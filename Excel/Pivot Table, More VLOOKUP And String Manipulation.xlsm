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ich\Desktop\Projects\SQL_Tableau_Excel_Sample\Excel\"/>
    </mc:Choice>
  </mc:AlternateContent>
  <xr:revisionPtr revIDLastSave="0" documentId="13_ncr:1_{4642E28C-6DA9-47AD-94F1-85F85BFD59BA}" xr6:coauthVersionLast="47" xr6:coauthVersionMax="47" xr10:uidLastSave="{00000000-0000-0000-0000-000000000000}"/>
  <bookViews>
    <workbookView xWindow="456" yWindow="1530" windowWidth="17280" windowHeight="8994" activeTab="2" xr2:uid="{00000000-000D-0000-FFFF-FFFF00000000}"/>
  </bookViews>
  <sheets>
    <sheet name="Customers" sheetId="3" r:id="rId1"/>
    <sheet name="Order Details" sheetId="2" r:id="rId2"/>
    <sheet name="Order Header" sheetId="4" r:id="rId3"/>
    <sheet name="OrderDetailsCustomers" sheetId="6" r:id="rId4"/>
    <sheet name="Pivot Table" sheetId="7" r:id="rId5"/>
  </sheets>
  <definedNames>
    <definedName name="Customers" localSheetId="0">Customers!$A$1:$K$92</definedName>
    <definedName name="Query1">'Order Details'!$A$1:$G$2158</definedName>
  </definedNames>
  <calcPr calcId="191028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4" l="1"/>
  <c r="X2" i="6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2" i="4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" i="6"/>
  <c r="J832" i="4"/>
  <c r="J831" i="4"/>
  <c r="J830" i="4"/>
  <c r="J829" i="4"/>
  <c r="J828" i="4"/>
  <c r="J827" i="4"/>
  <c r="J826" i="4"/>
  <c r="J825" i="4"/>
  <c r="J824" i="4"/>
  <c r="J823" i="4"/>
  <c r="J822" i="4"/>
  <c r="J821" i="4"/>
  <c r="J820" i="4"/>
  <c r="J819" i="4"/>
  <c r="J818" i="4"/>
  <c r="J817" i="4"/>
  <c r="J816" i="4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J674" i="4"/>
  <c r="J673" i="4"/>
  <c r="J672" i="4"/>
  <c r="J671" i="4"/>
  <c r="J670" i="4"/>
  <c r="J669" i="4"/>
  <c r="J668" i="4"/>
  <c r="J667" i="4"/>
  <c r="J666" i="4"/>
  <c r="J665" i="4"/>
  <c r="J664" i="4"/>
  <c r="J663" i="4"/>
  <c r="J662" i="4"/>
  <c r="J661" i="4"/>
  <c r="J660" i="4"/>
  <c r="J659" i="4"/>
  <c r="J658" i="4"/>
  <c r="J657" i="4"/>
  <c r="J656" i="4"/>
  <c r="J655" i="4"/>
  <c r="J654" i="4"/>
  <c r="J653" i="4"/>
  <c r="J652" i="4"/>
  <c r="J651" i="4"/>
  <c r="J650" i="4"/>
  <c r="J649" i="4"/>
  <c r="J648" i="4"/>
  <c r="J647" i="4"/>
  <c r="J646" i="4"/>
  <c r="J645" i="4"/>
  <c r="J644" i="4"/>
  <c r="J643" i="4"/>
  <c r="J642" i="4"/>
  <c r="J641" i="4"/>
  <c r="J640" i="4"/>
  <c r="J639" i="4"/>
  <c r="J638" i="4"/>
  <c r="J637" i="4"/>
  <c r="J636" i="4"/>
  <c r="J635" i="4"/>
  <c r="J634" i="4"/>
  <c r="J633" i="4"/>
  <c r="J632" i="4"/>
  <c r="J631" i="4"/>
  <c r="J630" i="4"/>
  <c r="J629" i="4"/>
  <c r="J628" i="4"/>
  <c r="J627" i="4"/>
  <c r="J626" i="4"/>
  <c r="J625" i="4"/>
  <c r="J624" i="4"/>
  <c r="J623" i="4"/>
  <c r="J622" i="4"/>
  <c r="J621" i="4"/>
  <c r="J620" i="4"/>
  <c r="J619" i="4"/>
  <c r="J618" i="4"/>
  <c r="J617" i="4"/>
  <c r="J616" i="4"/>
  <c r="J615" i="4"/>
  <c r="J614" i="4"/>
  <c r="J613" i="4"/>
  <c r="J612" i="4"/>
  <c r="J611" i="4"/>
  <c r="J610" i="4"/>
  <c r="J609" i="4"/>
  <c r="J608" i="4"/>
  <c r="J607" i="4"/>
  <c r="J606" i="4"/>
  <c r="J605" i="4"/>
  <c r="J604" i="4"/>
  <c r="J603" i="4"/>
  <c r="J602" i="4"/>
  <c r="J601" i="4"/>
  <c r="J600" i="4"/>
  <c r="J599" i="4"/>
  <c r="J598" i="4"/>
  <c r="J597" i="4"/>
  <c r="J596" i="4"/>
  <c r="J595" i="4"/>
  <c r="J594" i="4"/>
  <c r="J593" i="4"/>
  <c r="J592" i="4"/>
  <c r="J591" i="4"/>
  <c r="J590" i="4"/>
  <c r="J589" i="4"/>
  <c r="J588" i="4"/>
  <c r="J587" i="4"/>
  <c r="J586" i="4"/>
  <c r="J585" i="4"/>
  <c r="J584" i="4"/>
  <c r="J583" i="4"/>
  <c r="J582" i="4"/>
  <c r="J581" i="4"/>
  <c r="J580" i="4"/>
  <c r="J579" i="4"/>
  <c r="J578" i="4"/>
  <c r="J577" i="4"/>
  <c r="J576" i="4"/>
  <c r="J575" i="4"/>
  <c r="J574" i="4"/>
  <c r="J573" i="4"/>
  <c r="J572" i="4"/>
  <c r="J571" i="4"/>
  <c r="J570" i="4"/>
  <c r="J569" i="4"/>
  <c r="J568" i="4"/>
  <c r="J567" i="4"/>
  <c r="J566" i="4"/>
  <c r="J565" i="4"/>
  <c r="J564" i="4"/>
  <c r="J563" i="4"/>
  <c r="J562" i="4"/>
  <c r="J561" i="4"/>
  <c r="J560" i="4"/>
  <c r="J559" i="4"/>
  <c r="J558" i="4"/>
  <c r="J557" i="4"/>
  <c r="J556" i="4"/>
  <c r="J555" i="4"/>
  <c r="J554" i="4"/>
  <c r="J553" i="4"/>
  <c r="J552" i="4"/>
  <c r="J551" i="4"/>
  <c r="J550" i="4"/>
  <c r="J549" i="4"/>
  <c r="J548" i="4"/>
  <c r="J547" i="4"/>
  <c r="J546" i="4"/>
  <c r="J545" i="4"/>
  <c r="J544" i="4"/>
  <c r="J543" i="4"/>
  <c r="J542" i="4"/>
  <c r="J541" i="4"/>
  <c r="J540" i="4"/>
  <c r="J539" i="4"/>
  <c r="J538" i="4"/>
  <c r="J537" i="4"/>
  <c r="J536" i="4"/>
  <c r="J535" i="4"/>
  <c r="J534" i="4"/>
  <c r="J533" i="4"/>
  <c r="J532" i="4"/>
  <c r="J531" i="4"/>
  <c r="J530" i="4"/>
  <c r="J529" i="4"/>
  <c r="J528" i="4"/>
  <c r="J527" i="4"/>
  <c r="J526" i="4"/>
  <c r="J525" i="4"/>
  <c r="J524" i="4"/>
  <c r="J523" i="4"/>
  <c r="J522" i="4"/>
  <c r="J521" i="4"/>
  <c r="J520" i="4"/>
  <c r="J519" i="4"/>
  <c r="J518" i="4"/>
  <c r="J517" i="4"/>
  <c r="J516" i="4"/>
  <c r="J515" i="4"/>
  <c r="J514" i="4"/>
  <c r="J513" i="4"/>
  <c r="J512" i="4"/>
  <c r="J511" i="4"/>
  <c r="J510" i="4"/>
  <c r="J509" i="4"/>
  <c r="J508" i="4"/>
  <c r="J507" i="4"/>
  <c r="J506" i="4"/>
  <c r="J505" i="4"/>
  <c r="J504" i="4"/>
  <c r="J503" i="4"/>
  <c r="J502" i="4"/>
  <c r="J501" i="4"/>
  <c r="J500" i="4"/>
  <c r="J499" i="4"/>
  <c r="J498" i="4"/>
  <c r="J497" i="4"/>
  <c r="J496" i="4"/>
  <c r="J495" i="4"/>
  <c r="J494" i="4"/>
  <c r="J493" i="4"/>
  <c r="J492" i="4"/>
  <c r="J491" i="4"/>
  <c r="J490" i="4"/>
  <c r="J489" i="4"/>
  <c r="J488" i="4"/>
  <c r="J487" i="4"/>
  <c r="J486" i="4"/>
  <c r="J485" i="4"/>
  <c r="J484" i="4"/>
  <c r="J483" i="4"/>
  <c r="J482" i="4"/>
  <c r="J481" i="4"/>
  <c r="J480" i="4"/>
  <c r="J479" i="4"/>
  <c r="J478" i="4"/>
  <c r="J477" i="4"/>
  <c r="J476" i="4"/>
  <c r="J475" i="4"/>
  <c r="J474" i="4"/>
  <c r="J473" i="4"/>
  <c r="J472" i="4"/>
  <c r="J471" i="4"/>
  <c r="J470" i="4"/>
  <c r="J469" i="4"/>
  <c r="J468" i="4"/>
  <c r="J467" i="4"/>
  <c r="J466" i="4"/>
  <c r="J465" i="4"/>
  <c r="J464" i="4"/>
  <c r="J463" i="4"/>
  <c r="J462" i="4"/>
  <c r="J461" i="4"/>
  <c r="J460" i="4"/>
  <c r="J459" i="4"/>
  <c r="J458" i="4"/>
  <c r="J457" i="4"/>
  <c r="J456" i="4"/>
  <c r="J455" i="4"/>
  <c r="J454" i="4"/>
  <c r="J453" i="4"/>
  <c r="J452" i="4"/>
  <c r="J451" i="4"/>
  <c r="J450" i="4"/>
  <c r="J449" i="4"/>
  <c r="J448" i="4"/>
  <c r="J447" i="4"/>
  <c r="J446" i="4"/>
  <c r="J445" i="4"/>
  <c r="J444" i="4"/>
  <c r="J443" i="4"/>
  <c r="J442" i="4"/>
  <c r="J441" i="4"/>
  <c r="J440" i="4"/>
  <c r="J439" i="4"/>
  <c r="J438" i="4"/>
  <c r="J437" i="4"/>
  <c r="J436" i="4"/>
  <c r="J435" i="4"/>
  <c r="J434" i="4"/>
  <c r="J433" i="4"/>
  <c r="J432" i="4"/>
  <c r="J431" i="4"/>
  <c r="J430" i="4"/>
  <c r="J429" i="4"/>
  <c r="J428" i="4"/>
  <c r="J427" i="4"/>
  <c r="J426" i="4"/>
  <c r="J425" i="4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W2164" i="6"/>
  <c r="P3" i="6"/>
  <c r="S3" i="6" s="1"/>
  <c r="P4" i="6"/>
  <c r="S4" i="6" s="1"/>
  <c r="P5" i="6"/>
  <c r="S5" i="6" s="1"/>
  <c r="P6" i="6"/>
  <c r="S6" i="6" s="1"/>
  <c r="P7" i="6"/>
  <c r="S7" i="6" s="1"/>
  <c r="P8" i="6"/>
  <c r="S8" i="6" s="1"/>
  <c r="P9" i="6"/>
  <c r="S9" i="6" s="1"/>
  <c r="P10" i="6"/>
  <c r="S10" i="6" s="1"/>
  <c r="P11" i="6"/>
  <c r="S11" i="6" s="1"/>
  <c r="P12" i="6"/>
  <c r="S12" i="6" s="1"/>
  <c r="P13" i="6"/>
  <c r="S13" i="6" s="1"/>
  <c r="P14" i="6"/>
  <c r="S14" i="6" s="1"/>
  <c r="P15" i="6"/>
  <c r="S15" i="6" s="1"/>
  <c r="P16" i="6"/>
  <c r="S16" i="6" s="1"/>
  <c r="P17" i="6"/>
  <c r="S17" i="6" s="1"/>
  <c r="P18" i="6"/>
  <c r="S18" i="6" s="1"/>
  <c r="P19" i="6"/>
  <c r="S19" i="6" s="1"/>
  <c r="P20" i="6"/>
  <c r="S20" i="6" s="1"/>
  <c r="P21" i="6"/>
  <c r="S21" i="6" s="1"/>
  <c r="P22" i="6"/>
  <c r="S22" i="6" s="1"/>
  <c r="P23" i="6"/>
  <c r="S23" i="6" s="1"/>
  <c r="P24" i="6"/>
  <c r="S24" i="6" s="1"/>
  <c r="P25" i="6"/>
  <c r="S25" i="6" s="1"/>
  <c r="P26" i="6"/>
  <c r="S26" i="6" s="1"/>
  <c r="P27" i="6"/>
  <c r="S27" i="6" s="1"/>
  <c r="P28" i="6"/>
  <c r="S28" i="6" s="1"/>
  <c r="P29" i="6"/>
  <c r="S29" i="6" s="1"/>
  <c r="P30" i="6"/>
  <c r="S30" i="6" s="1"/>
  <c r="P31" i="6"/>
  <c r="S31" i="6" s="1"/>
  <c r="P32" i="6"/>
  <c r="S32" i="6" s="1"/>
  <c r="P33" i="6"/>
  <c r="S33" i="6" s="1"/>
  <c r="P34" i="6"/>
  <c r="S34" i="6" s="1"/>
  <c r="P35" i="6"/>
  <c r="S35" i="6" s="1"/>
  <c r="P36" i="6"/>
  <c r="S36" i="6" s="1"/>
  <c r="P37" i="6"/>
  <c r="S37" i="6" s="1"/>
  <c r="P38" i="6"/>
  <c r="S38" i="6" s="1"/>
  <c r="P39" i="6"/>
  <c r="S39" i="6" s="1"/>
  <c r="P40" i="6"/>
  <c r="S40" i="6" s="1"/>
  <c r="P41" i="6"/>
  <c r="S41" i="6" s="1"/>
  <c r="P42" i="6"/>
  <c r="S42" i="6" s="1"/>
  <c r="P43" i="6"/>
  <c r="S43" i="6" s="1"/>
  <c r="P44" i="6"/>
  <c r="S44" i="6" s="1"/>
  <c r="P45" i="6"/>
  <c r="S45" i="6" s="1"/>
  <c r="P46" i="6"/>
  <c r="S46" i="6" s="1"/>
  <c r="P47" i="6"/>
  <c r="S47" i="6" s="1"/>
  <c r="P48" i="6"/>
  <c r="S48" i="6" s="1"/>
  <c r="P49" i="6"/>
  <c r="S49" i="6" s="1"/>
  <c r="P50" i="6"/>
  <c r="S50" i="6" s="1"/>
  <c r="P51" i="6"/>
  <c r="S51" i="6" s="1"/>
  <c r="P52" i="6"/>
  <c r="S52" i="6" s="1"/>
  <c r="P53" i="6"/>
  <c r="S53" i="6" s="1"/>
  <c r="P54" i="6"/>
  <c r="S54" i="6" s="1"/>
  <c r="P55" i="6"/>
  <c r="S55" i="6" s="1"/>
  <c r="P56" i="6"/>
  <c r="S56" i="6" s="1"/>
  <c r="P57" i="6"/>
  <c r="S57" i="6" s="1"/>
  <c r="P58" i="6"/>
  <c r="S58" i="6" s="1"/>
  <c r="P59" i="6"/>
  <c r="S59" i="6" s="1"/>
  <c r="P60" i="6"/>
  <c r="S60" i="6" s="1"/>
  <c r="P61" i="6"/>
  <c r="S61" i="6" s="1"/>
  <c r="P62" i="6"/>
  <c r="S62" i="6" s="1"/>
  <c r="P63" i="6"/>
  <c r="S63" i="6" s="1"/>
  <c r="P64" i="6"/>
  <c r="S64" i="6" s="1"/>
  <c r="P65" i="6"/>
  <c r="S65" i="6" s="1"/>
  <c r="P66" i="6"/>
  <c r="S66" i="6" s="1"/>
  <c r="P67" i="6"/>
  <c r="S67" i="6" s="1"/>
  <c r="P68" i="6"/>
  <c r="S68" i="6" s="1"/>
  <c r="P69" i="6"/>
  <c r="S69" i="6" s="1"/>
  <c r="P70" i="6"/>
  <c r="S70" i="6" s="1"/>
  <c r="P71" i="6"/>
  <c r="S71" i="6" s="1"/>
  <c r="P72" i="6"/>
  <c r="S72" i="6" s="1"/>
  <c r="P73" i="6"/>
  <c r="S73" i="6" s="1"/>
  <c r="P74" i="6"/>
  <c r="S74" i="6" s="1"/>
  <c r="P75" i="6"/>
  <c r="S75" i="6" s="1"/>
  <c r="P76" i="6"/>
  <c r="S76" i="6" s="1"/>
  <c r="P77" i="6"/>
  <c r="S77" i="6" s="1"/>
  <c r="P78" i="6"/>
  <c r="S78" i="6" s="1"/>
  <c r="P79" i="6"/>
  <c r="S79" i="6" s="1"/>
  <c r="P80" i="6"/>
  <c r="S80" i="6" s="1"/>
  <c r="P81" i="6"/>
  <c r="S81" i="6" s="1"/>
  <c r="P82" i="6"/>
  <c r="S82" i="6" s="1"/>
  <c r="P83" i="6"/>
  <c r="S83" i="6" s="1"/>
  <c r="P84" i="6"/>
  <c r="S84" i="6" s="1"/>
  <c r="P85" i="6"/>
  <c r="S85" i="6" s="1"/>
  <c r="P86" i="6"/>
  <c r="S86" i="6" s="1"/>
  <c r="P87" i="6"/>
  <c r="S87" i="6" s="1"/>
  <c r="P88" i="6"/>
  <c r="S88" i="6" s="1"/>
  <c r="P89" i="6"/>
  <c r="S89" i="6" s="1"/>
  <c r="P90" i="6"/>
  <c r="S90" i="6" s="1"/>
  <c r="P91" i="6"/>
  <c r="S91" i="6" s="1"/>
  <c r="P92" i="6"/>
  <c r="S92" i="6" s="1"/>
  <c r="P93" i="6"/>
  <c r="S93" i="6" s="1"/>
  <c r="P94" i="6"/>
  <c r="S94" i="6" s="1"/>
  <c r="P95" i="6"/>
  <c r="S95" i="6" s="1"/>
  <c r="P96" i="6"/>
  <c r="S96" i="6" s="1"/>
  <c r="P97" i="6"/>
  <c r="S97" i="6" s="1"/>
  <c r="P98" i="6"/>
  <c r="S98" i="6" s="1"/>
  <c r="P99" i="6"/>
  <c r="S99" i="6" s="1"/>
  <c r="P100" i="6"/>
  <c r="S100" i="6" s="1"/>
  <c r="P101" i="6"/>
  <c r="S101" i="6" s="1"/>
  <c r="P102" i="6"/>
  <c r="S102" i="6" s="1"/>
  <c r="P103" i="6"/>
  <c r="S103" i="6" s="1"/>
  <c r="P104" i="6"/>
  <c r="S104" i="6" s="1"/>
  <c r="P105" i="6"/>
  <c r="S105" i="6" s="1"/>
  <c r="P106" i="6"/>
  <c r="S106" i="6" s="1"/>
  <c r="P107" i="6"/>
  <c r="S107" i="6" s="1"/>
  <c r="P108" i="6"/>
  <c r="S108" i="6" s="1"/>
  <c r="P109" i="6"/>
  <c r="S109" i="6" s="1"/>
  <c r="P110" i="6"/>
  <c r="S110" i="6" s="1"/>
  <c r="P111" i="6"/>
  <c r="S111" i="6" s="1"/>
  <c r="P112" i="6"/>
  <c r="S112" i="6" s="1"/>
  <c r="P113" i="6"/>
  <c r="S113" i="6" s="1"/>
  <c r="P114" i="6"/>
  <c r="S114" i="6" s="1"/>
  <c r="P115" i="6"/>
  <c r="S115" i="6" s="1"/>
  <c r="P116" i="6"/>
  <c r="S116" i="6" s="1"/>
  <c r="P117" i="6"/>
  <c r="S117" i="6" s="1"/>
  <c r="P118" i="6"/>
  <c r="S118" i="6" s="1"/>
  <c r="P119" i="6"/>
  <c r="S119" i="6" s="1"/>
  <c r="P120" i="6"/>
  <c r="S120" i="6" s="1"/>
  <c r="P121" i="6"/>
  <c r="S121" i="6" s="1"/>
  <c r="P122" i="6"/>
  <c r="S122" i="6" s="1"/>
  <c r="P123" i="6"/>
  <c r="S123" i="6" s="1"/>
  <c r="P124" i="6"/>
  <c r="S124" i="6" s="1"/>
  <c r="P125" i="6"/>
  <c r="S125" i="6" s="1"/>
  <c r="P126" i="6"/>
  <c r="S126" i="6" s="1"/>
  <c r="P127" i="6"/>
  <c r="S127" i="6" s="1"/>
  <c r="P128" i="6"/>
  <c r="S128" i="6" s="1"/>
  <c r="P129" i="6"/>
  <c r="S129" i="6" s="1"/>
  <c r="P130" i="6"/>
  <c r="S130" i="6" s="1"/>
  <c r="P131" i="6"/>
  <c r="S131" i="6" s="1"/>
  <c r="P132" i="6"/>
  <c r="S132" i="6" s="1"/>
  <c r="P133" i="6"/>
  <c r="S133" i="6" s="1"/>
  <c r="P134" i="6"/>
  <c r="S134" i="6" s="1"/>
  <c r="P135" i="6"/>
  <c r="S135" i="6" s="1"/>
  <c r="P136" i="6"/>
  <c r="S136" i="6" s="1"/>
  <c r="P137" i="6"/>
  <c r="S137" i="6" s="1"/>
  <c r="P138" i="6"/>
  <c r="S138" i="6" s="1"/>
  <c r="P139" i="6"/>
  <c r="S139" i="6" s="1"/>
  <c r="P140" i="6"/>
  <c r="S140" i="6" s="1"/>
  <c r="P141" i="6"/>
  <c r="S141" i="6" s="1"/>
  <c r="P142" i="6"/>
  <c r="S142" i="6" s="1"/>
  <c r="P143" i="6"/>
  <c r="S143" i="6" s="1"/>
  <c r="P144" i="6"/>
  <c r="S144" i="6" s="1"/>
  <c r="P145" i="6"/>
  <c r="S145" i="6" s="1"/>
  <c r="P146" i="6"/>
  <c r="S146" i="6" s="1"/>
  <c r="P147" i="6"/>
  <c r="S147" i="6" s="1"/>
  <c r="P148" i="6"/>
  <c r="S148" i="6" s="1"/>
  <c r="P149" i="6"/>
  <c r="S149" i="6" s="1"/>
  <c r="P150" i="6"/>
  <c r="S150" i="6" s="1"/>
  <c r="P151" i="6"/>
  <c r="S151" i="6" s="1"/>
  <c r="P152" i="6"/>
  <c r="S152" i="6" s="1"/>
  <c r="P153" i="6"/>
  <c r="S153" i="6" s="1"/>
  <c r="P154" i="6"/>
  <c r="S154" i="6" s="1"/>
  <c r="P155" i="6"/>
  <c r="S155" i="6" s="1"/>
  <c r="P156" i="6"/>
  <c r="S156" i="6" s="1"/>
  <c r="P157" i="6"/>
  <c r="S157" i="6" s="1"/>
  <c r="P158" i="6"/>
  <c r="S158" i="6" s="1"/>
  <c r="P159" i="6"/>
  <c r="S159" i="6" s="1"/>
  <c r="P160" i="6"/>
  <c r="S160" i="6" s="1"/>
  <c r="P161" i="6"/>
  <c r="S161" i="6" s="1"/>
  <c r="P162" i="6"/>
  <c r="S162" i="6" s="1"/>
  <c r="P163" i="6"/>
  <c r="S163" i="6" s="1"/>
  <c r="P164" i="6"/>
  <c r="S164" i="6" s="1"/>
  <c r="P165" i="6"/>
  <c r="S165" i="6" s="1"/>
  <c r="P166" i="6"/>
  <c r="S166" i="6" s="1"/>
  <c r="P167" i="6"/>
  <c r="S167" i="6" s="1"/>
  <c r="P168" i="6"/>
  <c r="S168" i="6" s="1"/>
  <c r="P169" i="6"/>
  <c r="S169" i="6" s="1"/>
  <c r="P170" i="6"/>
  <c r="S170" i="6" s="1"/>
  <c r="P171" i="6"/>
  <c r="S171" i="6" s="1"/>
  <c r="P172" i="6"/>
  <c r="S172" i="6" s="1"/>
  <c r="P173" i="6"/>
  <c r="S173" i="6" s="1"/>
  <c r="P174" i="6"/>
  <c r="S174" i="6" s="1"/>
  <c r="P175" i="6"/>
  <c r="S175" i="6" s="1"/>
  <c r="P176" i="6"/>
  <c r="S176" i="6" s="1"/>
  <c r="P177" i="6"/>
  <c r="S177" i="6" s="1"/>
  <c r="P178" i="6"/>
  <c r="S178" i="6" s="1"/>
  <c r="P179" i="6"/>
  <c r="S179" i="6" s="1"/>
  <c r="P180" i="6"/>
  <c r="S180" i="6" s="1"/>
  <c r="P181" i="6"/>
  <c r="S181" i="6" s="1"/>
  <c r="P182" i="6"/>
  <c r="S182" i="6" s="1"/>
  <c r="P183" i="6"/>
  <c r="S183" i="6" s="1"/>
  <c r="P184" i="6"/>
  <c r="S184" i="6" s="1"/>
  <c r="P185" i="6"/>
  <c r="S185" i="6" s="1"/>
  <c r="P186" i="6"/>
  <c r="S186" i="6" s="1"/>
  <c r="P187" i="6"/>
  <c r="S187" i="6" s="1"/>
  <c r="P188" i="6"/>
  <c r="S188" i="6" s="1"/>
  <c r="P189" i="6"/>
  <c r="S189" i="6" s="1"/>
  <c r="P190" i="6"/>
  <c r="S190" i="6" s="1"/>
  <c r="P191" i="6"/>
  <c r="S191" i="6" s="1"/>
  <c r="P192" i="6"/>
  <c r="S192" i="6" s="1"/>
  <c r="P193" i="6"/>
  <c r="S193" i="6" s="1"/>
  <c r="P194" i="6"/>
  <c r="S194" i="6" s="1"/>
  <c r="P195" i="6"/>
  <c r="S195" i="6" s="1"/>
  <c r="P196" i="6"/>
  <c r="S196" i="6" s="1"/>
  <c r="P197" i="6"/>
  <c r="S197" i="6" s="1"/>
  <c r="P198" i="6"/>
  <c r="S198" i="6" s="1"/>
  <c r="P199" i="6"/>
  <c r="S199" i="6" s="1"/>
  <c r="P200" i="6"/>
  <c r="S200" i="6" s="1"/>
  <c r="P201" i="6"/>
  <c r="S201" i="6" s="1"/>
  <c r="P202" i="6"/>
  <c r="S202" i="6" s="1"/>
  <c r="P203" i="6"/>
  <c r="S203" i="6" s="1"/>
  <c r="P204" i="6"/>
  <c r="S204" i="6" s="1"/>
  <c r="P205" i="6"/>
  <c r="S205" i="6" s="1"/>
  <c r="P206" i="6"/>
  <c r="S206" i="6" s="1"/>
  <c r="P207" i="6"/>
  <c r="S207" i="6" s="1"/>
  <c r="P208" i="6"/>
  <c r="S208" i="6" s="1"/>
  <c r="P209" i="6"/>
  <c r="S209" i="6" s="1"/>
  <c r="P210" i="6"/>
  <c r="S210" i="6" s="1"/>
  <c r="P211" i="6"/>
  <c r="S211" i="6" s="1"/>
  <c r="P212" i="6"/>
  <c r="S212" i="6" s="1"/>
  <c r="P213" i="6"/>
  <c r="S213" i="6" s="1"/>
  <c r="P214" i="6"/>
  <c r="S214" i="6" s="1"/>
  <c r="P215" i="6"/>
  <c r="S215" i="6" s="1"/>
  <c r="P216" i="6"/>
  <c r="S216" i="6" s="1"/>
  <c r="P217" i="6"/>
  <c r="S217" i="6" s="1"/>
  <c r="P218" i="6"/>
  <c r="S218" i="6" s="1"/>
  <c r="P219" i="6"/>
  <c r="S219" i="6" s="1"/>
  <c r="P220" i="6"/>
  <c r="S220" i="6" s="1"/>
  <c r="P221" i="6"/>
  <c r="S221" i="6" s="1"/>
  <c r="P222" i="6"/>
  <c r="S222" i="6" s="1"/>
  <c r="P223" i="6"/>
  <c r="S223" i="6" s="1"/>
  <c r="P224" i="6"/>
  <c r="S224" i="6" s="1"/>
  <c r="P225" i="6"/>
  <c r="S225" i="6" s="1"/>
  <c r="P226" i="6"/>
  <c r="S226" i="6" s="1"/>
  <c r="P227" i="6"/>
  <c r="S227" i="6" s="1"/>
  <c r="P228" i="6"/>
  <c r="S228" i="6" s="1"/>
  <c r="P229" i="6"/>
  <c r="S229" i="6" s="1"/>
  <c r="P230" i="6"/>
  <c r="S230" i="6" s="1"/>
  <c r="P231" i="6"/>
  <c r="S231" i="6" s="1"/>
  <c r="P232" i="6"/>
  <c r="S232" i="6" s="1"/>
  <c r="P233" i="6"/>
  <c r="S233" i="6" s="1"/>
  <c r="P234" i="6"/>
  <c r="S234" i="6" s="1"/>
  <c r="P235" i="6"/>
  <c r="S235" i="6" s="1"/>
  <c r="P236" i="6"/>
  <c r="S236" i="6" s="1"/>
  <c r="P237" i="6"/>
  <c r="S237" i="6" s="1"/>
  <c r="P238" i="6"/>
  <c r="S238" i="6" s="1"/>
  <c r="P239" i="6"/>
  <c r="S239" i="6" s="1"/>
  <c r="P240" i="6"/>
  <c r="S240" i="6" s="1"/>
  <c r="P241" i="6"/>
  <c r="S241" i="6" s="1"/>
  <c r="P242" i="6"/>
  <c r="S242" i="6" s="1"/>
  <c r="P243" i="6"/>
  <c r="S243" i="6" s="1"/>
  <c r="P244" i="6"/>
  <c r="S244" i="6" s="1"/>
  <c r="P245" i="6"/>
  <c r="S245" i="6" s="1"/>
  <c r="P246" i="6"/>
  <c r="S246" i="6" s="1"/>
  <c r="P247" i="6"/>
  <c r="S247" i="6" s="1"/>
  <c r="P248" i="6"/>
  <c r="S248" i="6" s="1"/>
  <c r="P249" i="6"/>
  <c r="S249" i="6" s="1"/>
  <c r="P250" i="6"/>
  <c r="S250" i="6" s="1"/>
  <c r="P251" i="6"/>
  <c r="S251" i="6" s="1"/>
  <c r="P252" i="6"/>
  <c r="S252" i="6" s="1"/>
  <c r="P253" i="6"/>
  <c r="S253" i="6" s="1"/>
  <c r="P254" i="6"/>
  <c r="S254" i="6" s="1"/>
  <c r="P255" i="6"/>
  <c r="S255" i="6" s="1"/>
  <c r="P256" i="6"/>
  <c r="S256" i="6" s="1"/>
  <c r="P257" i="6"/>
  <c r="S257" i="6" s="1"/>
  <c r="P258" i="6"/>
  <c r="S258" i="6" s="1"/>
  <c r="P259" i="6"/>
  <c r="S259" i="6" s="1"/>
  <c r="P260" i="6"/>
  <c r="S260" i="6" s="1"/>
  <c r="P261" i="6"/>
  <c r="S261" i="6" s="1"/>
  <c r="P262" i="6"/>
  <c r="S262" i="6" s="1"/>
  <c r="P263" i="6"/>
  <c r="S263" i="6" s="1"/>
  <c r="P264" i="6"/>
  <c r="S264" i="6" s="1"/>
  <c r="P265" i="6"/>
  <c r="S265" i="6" s="1"/>
  <c r="P266" i="6"/>
  <c r="S266" i="6" s="1"/>
  <c r="P267" i="6"/>
  <c r="S267" i="6" s="1"/>
  <c r="P268" i="6"/>
  <c r="S268" i="6" s="1"/>
  <c r="P269" i="6"/>
  <c r="S269" i="6" s="1"/>
  <c r="P270" i="6"/>
  <c r="S270" i="6" s="1"/>
  <c r="P271" i="6"/>
  <c r="S271" i="6" s="1"/>
  <c r="P272" i="6"/>
  <c r="S272" i="6" s="1"/>
  <c r="P273" i="6"/>
  <c r="S273" i="6" s="1"/>
  <c r="P274" i="6"/>
  <c r="S274" i="6" s="1"/>
  <c r="P275" i="6"/>
  <c r="S275" i="6" s="1"/>
  <c r="P276" i="6"/>
  <c r="S276" i="6" s="1"/>
  <c r="P277" i="6"/>
  <c r="S277" i="6" s="1"/>
  <c r="P278" i="6"/>
  <c r="S278" i="6" s="1"/>
  <c r="P279" i="6"/>
  <c r="S279" i="6" s="1"/>
  <c r="P280" i="6"/>
  <c r="S280" i="6" s="1"/>
  <c r="P281" i="6"/>
  <c r="S281" i="6" s="1"/>
  <c r="P282" i="6"/>
  <c r="S282" i="6" s="1"/>
  <c r="P283" i="6"/>
  <c r="S283" i="6" s="1"/>
  <c r="P284" i="6"/>
  <c r="S284" i="6" s="1"/>
  <c r="P285" i="6"/>
  <c r="S285" i="6" s="1"/>
  <c r="P286" i="6"/>
  <c r="S286" i="6" s="1"/>
  <c r="P287" i="6"/>
  <c r="S287" i="6" s="1"/>
  <c r="P288" i="6"/>
  <c r="S288" i="6" s="1"/>
  <c r="P289" i="6"/>
  <c r="S289" i="6" s="1"/>
  <c r="P290" i="6"/>
  <c r="S290" i="6" s="1"/>
  <c r="P291" i="6"/>
  <c r="S291" i="6" s="1"/>
  <c r="P292" i="6"/>
  <c r="S292" i="6" s="1"/>
  <c r="P293" i="6"/>
  <c r="S293" i="6" s="1"/>
  <c r="P294" i="6"/>
  <c r="S294" i="6" s="1"/>
  <c r="P295" i="6"/>
  <c r="S295" i="6" s="1"/>
  <c r="P296" i="6"/>
  <c r="S296" i="6" s="1"/>
  <c r="P297" i="6"/>
  <c r="S297" i="6" s="1"/>
  <c r="P298" i="6"/>
  <c r="S298" i="6" s="1"/>
  <c r="P299" i="6"/>
  <c r="S299" i="6" s="1"/>
  <c r="P300" i="6"/>
  <c r="S300" i="6" s="1"/>
  <c r="P301" i="6"/>
  <c r="S301" i="6" s="1"/>
  <c r="P302" i="6"/>
  <c r="S302" i="6" s="1"/>
  <c r="P303" i="6"/>
  <c r="S303" i="6" s="1"/>
  <c r="P304" i="6"/>
  <c r="S304" i="6" s="1"/>
  <c r="P305" i="6"/>
  <c r="S305" i="6" s="1"/>
  <c r="P306" i="6"/>
  <c r="S306" i="6" s="1"/>
  <c r="P307" i="6"/>
  <c r="S307" i="6" s="1"/>
  <c r="P308" i="6"/>
  <c r="S308" i="6" s="1"/>
  <c r="P309" i="6"/>
  <c r="S309" i="6" s="1"/>
  <c r="P310" i="6"/>
  <c r="S310" i="6" s="1"/>
  <c r="P311" i="6"/>
  <c r="S311" i="6" s="1"/>
  <c r="P312" i="6"/>
  <c r="S312" i="6" s="1"/>
  <c r="P313" i="6"/>
  <c r="S313" i="6" s="1"/>
  <c r="P314" i="6"/>
  <c r="S314" i="6" s="1"/>
  <c r="P315" i="6"/>
  <c r="S315" i="6" s="1"/>
  <c r="P316" i="6"/>
  <c r="S316" i="6" s="1"/>
  <c r="P317" i="6"/>
  <c r="S317" i="6" s="1"/>
  <c r="P318" i="6"/>
  <c r="S318" i="6" s="1"/>
  <c r="P319" i="6"/>
  <c r="S319" i="6" s="1"/>
  <c r="P320" i="6"/>
  <c r="S320" i="6" s="1"/>
  <c r="P321" i="6"/>
  <c r="S321" i="6" s="1"/>
  <c r="P322" i="6"/>
  <c r="S322" i="6" s="1"/>
  <c r="P323" i="6"/>
  <c r="S323" i="6" s="1"/>
  <c r="P324" i="6"/>
  <c r="S324" i="6" s="1"/>
  <c r="P325" i="6"/>
  <c r="S325" i="6" s="1"/>
  <c r="P326" i="6"/>
  <c r="S326" i="6" s="1"/>
  <c r="P327" i="6"/>
  <c r="S327" i="6" s="1"/>
  <c r="P328" i="6"/>
  <c r="S328" i="6" s="1"/>
  <c r="P329" i="6"/>
  <c r="S329" i="6" s="1"/>
  <c r="P330" i="6"/>
  <c r="S330" i="6" s="1"/>
  <c r="P331" i="6"/>
  <c r="S331" i="6" s="1"/>
  <c r="P332" i="6"/>
  <c r="S332" i="6" s="1"/>
  <c r="P333" i="6"/>
  <c r="S333" i="6" s="1"/>
  <c r="P334" i="6"/>
  <c r="S334" i="6" s="1"/>
  <c r="P335" i="6"/>
  <c r="S335" i="6" s="1"/>
  <c r="P336" i="6"/>
  <c r="S336" i="6" s="1"/>
  <c r="P337" i="6"/>
  <c r="S337" i="6" s="1"/>
  <c r="P338" i="6"/>
  <c r="S338" i="6" s="1"/>
  <c r="P339" i="6"/>
  <c r="S339" i="6" s="1"/>
  <c r="P340" i="6"/>
  <c r="S340" i="6" s="1"/>
  <c r="P341" i="6"/>
  <c r="S341" i="6" s="1"/>
  <c r="P342" i="6"/>
  <c r="S342" i="6" s="1"/>
  <c r="P343" i="6"/>
  <c r="S343" i="6" s="1"/>
  <c r="P344" i="6"/>
  <c r="S344" i="6" s="1"/>
  <c r="P345" i="6"/>
  <c r="S345" i="6" s="1"/>
  <c r="P346" i="6"/>
  <c r="S346" i="6" s="1"/>
  <c r="P347" i="6"/>
  <c r="S347" i="6" s="1"/>
  <c r="P348" i="6"/>
  <c r="S348" i="6" s="1"/>
  <c r="P349" i="6"/>
  <c r="S349" i="6" s="1"/>
  <c r="P350" i="6"/>
  <c r="S350" i="6" s="1"/>
  <c r="P351" i="6"/>
  <c r="S351" i="6" s="1"/>
  <c r="P352" i="6"/>
  <c r="S352" i="6" s="1"/>
  <c r="P353" i="6"/>
  <c r="S353" i="6" s="1"/>
  <c r="P354" i="6"/>
  <c r="S354" i="6" s="1"/>
  <c r="P355" i="6"/>
  <c r="S355" i="6" s="1"/>
  <c r="P356" i="6"/>
  <c r="S356" i="6" s="1"/>
  <c r="P357" i="6"/>
  <c r="S357" i="6" s="1"/>
  <c r="P358" i="6"/>
  <c r="S358" i="6" s="1"/>
  <c r="P359" i="6"/>
  <c r="S359" i="6" s="1"/>
  <c r="P360" i="6"/>
  <c r="S360" i="6" s="1"/>
  <c r="P361" i="6"/>
  <c r="S361" i="6" s="1"/>
  <c r="P362" i="6"/>
  <c r="S362" i="6" s="1"/>
  <c r="P363" i="6"/>
  <c r="S363" i="6" s="1"/>
  <c r="P364" i="6"/>
  <c r="S364" i="6" s="1"/>
  <c r="P365" i="6"/>
  <c r="S365" i="6" s="1"/>
  <c r="P366" i="6"/>
  <c r="S366" i="6" s="1"/>
  <c r="P367" i="6"/>
  <c r="S367" i="6" s="1"/>
  <c r="P368" i="6"/>
  <c r="S368" i="6" s="1"/>
  <c r="P369" i="6"/>
  <c r="S369" i="6" s="1"/>
  <c r="P370" i="6"/>
  <c r="S370" i="6" s="1"/>
  <c r="P371" i="6"/>
  <c r="S371" i="6" s="1"/>
  <c r="P372" i="6"/>
  <c r="S372" i="6" s="1"/>
  <c r="P373" i="6"/>
  <c r="S373" i="6" s="1"/>
  <c r="P374" i="6"/>
  <c r="S374" i="6" s="1"/>
  <c r="P375" i="6"/>
  <c r="S375" i="6" s="1"/>
  <c r="P376" i="6"/>
  <c r="S376" i="6" s="1"/>
  <c r="P377" i="6"/>
  <c r="S377" i="6" s="1"/>
  <c r="P378" i="6"/>
  <c r="S378" i="6" s="1"/>
  <c r="P379" i="6"/>
  <c r="S379" i="6" s="1"/>
  <c r="P380" i="6"/>
  <c r="S380" i="6" s="1"/>
  <c r="P381" i="6"/>
  <c r="S381" i="6" s="1"/>
  <c r="P382" i="6"/>
  <c r="S382" i="6" s="1"/>
  <c r="P383" i="6"/>
  <c r="S383" i="6" s="1"/>
  <c r="P384" i="6"/>
  <c r="S384" i="6" s="1"/>
  <c r="P385" i="6"/>
  <c r="S385" i="6" s="1"/>
  <c r="P386" i="6"/>
  <c r="S386" i="6" s="1"/>
  <c r="P387" i="6"/>
  <c r="S387" i="6" s="1"/>
  <c r="P388" i="6"/>
  <c r="S388" i="6" s="1"/>
  <c r="P389" i="6"/>
  <c r="S389" i="6" s="1"/>
  <c r="P390" i="6"/>
  <c r="S390" i="6" s="1"/>
  <c r="P391" i="6"/>
  <c r="S391" i="6" s="1"/>
  <c r="P392" i="6"/>
  <c r="S392" i="6" s="1"/>
  <c r="P393" i="6"/>
  <c r="S393" i="6" s="1"/>
  <c r="P394" i="6"/>
  <c r="S394" i="6" s="1"/>
  <c r="P395" i="6"/>
  <c r="S395" i="6" s="1"/>
  <c r="P396" i="6"/>
  <c r="S396" i="6" s="1"/>
  <c r="P397" i="6"/>
  <c r="S397" i="6" s="1"/>
  <c r="P398" i="6"/>
  <c r="S398" i="6" s="1"/>
  <c r="P399" i="6"/>
  <c r="S399" i="6" s="1"/>
  <c r="P400" i="6"/>
  <c r="S400" i="6" s="1"/>
  <c r="P401" i="6"/>
  <c r="S401" i="6" s="1"/>
  <c r="P402" i="6"/>
  <c r="S402" i="6" s="1"/>
  <c r="P403" i="6"/>
  <c r="S403" i="6" s="1"/>
  <c r="P404" i="6"/>
  <c r="S404" i="6" s="1"/>
  <c r="P405" i="6"/>
  <c r="S405" i="6" s="1"/>
  <c r="P406" i="6"/>
  <c r="S406" i="6" s="1"/>
  <c r="P407" i="6"/>
  <c r="S407" i="6" s="1"/>
  <c r="P408" i="6"/>
  <c r="S408" i="6" s="1"/>
  <c r="P409" i="6"/>
  <c r="S409" i="6" s="1"/>
  <c r="P410" i="6"/>
  <c r="S410" i="6" s="1"/>
  <c r="P411" i="6"/>
  <c r="S411" i="6" s="1"/>
  <c r="P412" i="6"/>
  <c r="S412" i="6" s="1"/>
  <c r="P413" i="6"/>
  <c r="S413" i="6" s="1"/>
  <c r="P414" i="6"/>
  <c r="S414" i="6" s="1"/>
  <c r="P415" i="6"/>
  <c r="S415" i="6" s="1"/>
  <c r="P416" i="6"/>
  <c r="S416" i="6" s="1"/>
  <c r="P417" i="6"/>
  <c r="S417" i="6" s="1"/>
  <c r="P418" i="6"/>
  <c r="S418" i="6" s="1"/>
  <c r="P419" i="6"/>
  <c r="S419" i="6" s="1"/>
  <c r="P420" i="6"/>
  <c r="S420" i="6" s="1"/>
  <c r="P421" i="6"/>
  <c r="S421" i="6" s="1"/>
  <c r="P422" i="6"/>
  <c r="S422" i="6" s="1"/>
  <c r="P423" i="6"/>
  <c r="S423" i="6" s="1"/>
  <c r="P424" i="6"/>
  <c r="S424" i="6" s="1"/>
  <c r="P425" i="6"/>
  <c r="S425" i="6" s="1"/>
  <c r="P426" i="6"/>
  <c r="S426" i="6" s="1"/>
  <c r="P427" i="6"/>
  <c r="S427" i="6" s="1"/>
  <c r="P428" i="6"/>
  <c r="S428" i="6" s="1"/>
  <c r="P429" i="6"/>
  <c r="S429" i="6" s="1"/>
  <c r="P430" i="6"/>
  <c r="S430" i="6" s="1"/>
  <c r="P431" i="6"/>
  <c r="S431" i="6" s="1"/>
  <c r="P432" i="6"/>
  <c r="S432" i="6" s="1"/>
  <c r="P433" i="6"/>
  <c r="S433" i="6" s="1"/>
  <c r="P434" i="6"/>
  <c r="S434" i="6" s="1"/>
  <c r="P435" i="6"/>
  <c r="S435" i="6" s="1"/>
  <c r="P436" i="6"/>
  <c r="S436" i="6" s="1"/>
  <c r="P437" i="6"/>
  <c r="S437" i="6" s="1"/>
  <c r="P438" i="6"/>
  <c r="S438" i="6" s="1"/>
  <c r="P439" i="6"/>
  <c r="S439" i="6" s="1"/>
  <c r="P440" i="6"/>
  <c r="S440" i="6" s="1"/>
  <c r="P441" i="6"/>
  <c r="S441" i="6" s="1"/>
  <c r="P442" i="6"/>
  <c r="S442" i="6" s="1"/>
  <c r="P443" i="6"/>
  <c r="S443" i="6" s="1"/>
  <c r="P444" i="6"/>
  <c r="S444" i="6" s="1"/>
  <c r="P445" i="6"/>
  <c r="S445" i="6" s="1"/>
  <c r="P446" i="6"/>
  <c r="S446" i="6" s="1"/>
  <c r="P447" i="6"/>
  <c r="S447" i="6" s="1"/>
  <c r="P448" i="6"/>
  <c r="S448" i="6" s="1"/>
  <c r="P449" i="6"/>
  <c r="S449" i="6" s="1"/>
  <c r="P450" i="6"/>
  <c r="S450" i="6" s="1"/>
  <c r="P451" i="6"/>
  <c r="S451" i="6" s="1"/>
  <c r="P452" i="6"/>
  <c r="S452" i="6" s="1"/>
  <c r="P453" i="6"/>
  <c r="S453" i="6" s="1"/>
  <c r="P454" i="6"/>
  <c r="S454" i="6" s="1"/>
  <c r="P455" i="6"/>
  <c r="S455" i="6" s="1"/>
  <c r="P456" i="6"/>
  <c r="S456" i="6" s="1"/>
  <c r="P457" i="6"/>
  <c r="S457" i="6" s="1"/>
  <c r="P458" i="6"/>
  <c r="S458" i="6" s="1"/>
  <c r="P459" i="6"/>
  <c r="S459" i="6" s="1"/>
  <c r="P460" i="6"/>
  <c r="S460" i="6" s="1"/>
  <c r="P461" i="6"/>
  <c r="S461" i="6" s="1"/>
  <c r="P462" i="6"/>
  <c r="S462" i="6" s="1"/>
  <c r="P463" i="6"/>
  <c r="S463" i="6" s="1"/>
  <c r="P464" i="6"/>
  <c r="S464" i="6" s="1"/>
  <c r="P465" i="6"/>
  <c r="S465" i="6" s="1"/>
  <c r="P466" i="6"/>
  <c r="S466" i="6" s="1"/>
  <c r="P467" i="6"/>
  <c r="S467" i="6" s="1"/>
  <c r="P468" i="6"/>
  <c r="S468" i="6" s="1"/>
  <c r="P469" i="6"/>
  <c r="S469" i="6" s="1"/>
  <c r="P470" i="6"/>
  <c r="S470" i="6" s="1"/>
  <c r="P471" i="6"/>
  <c r="S471" i="6" s="1"/>
  <c r="P472" i="6"/>
  <c r="S472" i="6" s="1"/>
  <c r="P473" i="6"/>
  <c r="S473" i="6" s="1"/>
  <c r="P474" i="6"/>
  <c r="S474" i="6" s="1"/>
  <c r="P475" i="6"/>
  <c r="S475" i="6" s="1"/>
  <c r="P476" i="6"/>
  <c r="S476" i="6" s="1"/>
  <c r="P477" i="6"/>
  <c r="S477" i="6" s="1"/>
  <c r="P478" i="6"/>
  <c r="S478" i="6" s="1"/>
  <c r="P479" i="6"/>
  <c r="S479" i="6" s="1"/>
  <c r="P480" i="6"/>
  <c r="S480" i="6" s="1"/>
  <c r="P481" i="6"/>
  <c r="S481" i="6" s="1"/>
  <c r="P482" i="6"/>
  <c r="S482" i="6" s="1"/>
  <c r="P483" i="6"/>
  <c r="S483" i="6" s="1"/>
  <c r="P484" i="6"/>
  <c r="S484" i="6" s="1"/>
  <c r="P485" i="6"/>
  <c r="S485" i="6" s="1"/>
  <c r="P486" i="6"/>
  <c r="S486" i="6" s="1"/>
  <c r="P487" i="6"/>
  <c r="S487" i="6" s="1"/>
  <c r="P488" i="6"/>
  <c r="S488" i="6" s="1"/>
  <c r="P489" i="6"/>
  <c r="S489" i="6" s="1"/>
  <c r="P490" i="6"/>
  <c r="S490" i="6" s="1"/>
  <c r="P491" i="6"/>
  <c r="S491" i="6" s="1"/>
  <c r="P492" i="6"/>
  <c r="S492" i="6" s="1"/>
  <c r="P493" i="6"/>
  <c r="S493" i="6" s="1"/>
  <c r="P494" i="6"/>
  <c r="S494" i="6" s="1"/>
  <c r="P495" i="6"/>
  <c r="S495" i="6" s="1"/>
  <c r="P496" i="6"/>
  <c r="S496" i="6" s="1"/>
  <c r="P497" i="6"/>
  <c r="S497" i="6" s="1"/>
  <c r="P498" i="6"/>
  <c r="S498" i="6" s="1"/>
  <c r="P499" i="6"/>
  <c r="S499" i="6" s="1"/>
  <c r="P500" i="6"/>
  <c r="S500" i="6" s="1"/>
  <c r="P501" i="6"/>
  <c r="S501" i="6" s="1"/>
  <c r="P502" i="6"/>
  <c r="S502" i="6" s="1"/>
  <c r="P503" i="6"/>
  <c r="S503" i="6" s="1"/>
  <c r="P504" i="6"/>
  <c r="S504" i="6" s="1"/>
  <c r="P505" i="6"/>
  <c r="S505" i="6" s="1"/>
  <c r="P506" i="6"/>
  <c r="S506" i="6" s="1"/>
  <c r="P507" i="6"/>
  <c r="S507" i="6" s="1"/>
  <c r="P508" i="6"/>
  <c r="S508" i="6" s="1"/>
  <c r="P509" i="6"/>
  <c r="S509" i="6" s="1"/>
  <c r="P510" i="6"/>
  <c r="S510" i="6" s="1"/>
  <c r="P511" i="6"/>
  <c r="S511" i="6" s="1"/>
  <c r="P512" i="6"/>
  <c r="S512" i="6" s="1"/>
  <c r="P513" i="6"/>
  <c r="S513" i="6" s="1"/>
  <c r="P514" i="6"/>
  <c r="S514" i="6" s="1"/>
  <c r="P515" i="6"/>
  <c r="S515" i="6" s="1"/>
  <c r="P516" i="6"/>
  <c r="S516" i="6" s="1"/>
  <c r="P517" i="6"/>
  <c r="S517" i="6" s="1"/>
  <c r="P518" i="6"/>
  <c r="S518" i="6" s="1"/>
  <c r="P519" i="6"/>
  <c r="S519" i="6" s="1"/>
  <c r="P520" i="6"/>
  <c r="S520" i="6" s="1"/>
  <c r="P521" i="6"/>
  <c r="S521" i="6" s="1"/>
  <c r="P522" i="6"/>
  <c r="S522" i="6" s="1"/>
  <c r="P523" i="6"/>
  <c r="S523" i="6" s="1"/>
  <c r="P524" i="6"/>
  <c r="S524" i="6" s="1"/>
  <c r="P525" i="6"/>
  <c r="S525" i="6" s="1"/>
  <c r="P526" i="6"/>
  <c r="S526" i="6" s="1"/>
  <c r="P527" i="6"/>
  <c r="S527" i="6" s="1"/>
  <c r="P528" i="6"/>
  <c r="S528" i="6" s="1"/>
  <c r="P529" i="6"/>
  <c r="S529" i="6" s="1"/>
  <c r="P530" i="6"/>
  <c r="S530" i="6" s="1"/>
  <c r="P531" i="6"/>
  <c r="S531" i="6" s="1"/>
  <c r="P532" i="6"/>
  <c r="S532" i="6" s="1"/>
  <c r="P533" i="6"/>
  <c r="S533" i="6" s="1"/>
  <c r="P534" i="6"/>
  <c r="S534" i="6" s="1"/>
  <c r="P535" i="6"/>
  <c r="S535" i="6" s="1"/>
  <c r="P536" i="6"/>
  <c r="S536" i="6" s="1"/>
  <c r="P537" i="6"/>
  <c r="S537" i="6" s="1"/>
  <c r="P538" i="6"/>
  <c r="S538" i="6" s="1"/>
  <c r="P539" i="6"/>
  <c r="S539" i="6" s="1"/>
  <c r="P540" i="6"/>
  <c r="S540" i="6" s="1"/>
  <c r="P541" i="6"/>
  <c r="S541" i="6" s="1"/>
  <c r="P542" i="6"/>
  <c r="S542" i="6" s="1"/>
  <c r="P543" i="6"/>
  <c r="S543" i="6" s="1"/>
  <c r="P544" i="6"/>
  <c r="S544" i="6" s="1"/>
  <c r="P545" i="6"/>
  <c r="S545" i="6" s="1"/>
  <c r="P546" i="6"/>
  <c r="S546" i="6" s="1"/>
  <c r="P547" i="6"/>
  <c r="S547" i="6" s="1"/>
  <c r="P548" i="6"/>
  <c r="S548" i="6" s="1"/>
  <c r="P549" i="6"/>
  <c r="S549" i="6" s="1"/>
  <c r="P550" i="6"/>
  <c r="S550" i="6" s="1"/>
  <c r="P551" i="6"/>
  <c r="S551" i="6" s="1"/>
  <c r="P552" i="6"/>
  <c r="S552" i="6" s="1"/>
  <c r="P553" i="6"/>
  <c r="S553" i="6" s="1"/>
  <c r="P554" i="6"/>
  <c r="S554" i="6" s="1"/>
  <c r="P555" i="6"/>
  <c r="S555" i="6" s="1"/>
  <c r="P556" i="6"/>
  <c r="S556" i="6" s="1"/>
  <c r="P557" i="6"/>
  <c r="S557" i="6" s="1"/>
  <c r="P558" i="6"/>
  <c r="S558" i="6" s="1"/>
  <c r="P559" i="6"/>
  <c r="S559" i="6" s="1"/>
  <c r="P560" i="6"/>
  <c r="S560" i="6" s="1"/>
  <c r="P561" i="6"/>
  <c r="S561" i="6" s="1"/>
  <c r="P562" i="6"/>
  <c r="S562" i="6" s="1"/>
  <c r="P563" i="6"/>
  <c r="S563" i="6" s="1"/>
  <c r="P564" i="6"/>
  <c r="S564" i="6" s="1"/>
  <c r="P565" i="6"/>
  <c r="S565" i="6" s="1"/>
  <c r="P566" i="6"/>
  <c r="S566" i="6" s="1"/>
  <c r="P567" i="6"/>
  <c r="S567" i="6" s="1"/>
  <c r="P568" i="6"/>
  <c r="S568" i="6" s="1"/>
  <c r="P569" i="6"/>
  <c r="S569" i="6" s="1"/>
  <c r="P570" i="6"/>
  <c r="S570" i="6" s="1"/>
  <c r="P571" i="6"/>
  <c r="S571" i="6" s="1"/>
  <c r="P572" i="6"/>
  <c r="S572" i="6" s="1"/>
  <c r="P573" i="6"/>
  <c r="S573" i="6" s="1"/>
  <c r="P574" i="6"/>
  <c r="S574" i="6" s="1"/>
  <c r="P575" i="6"/>
  <c r="S575" i="6" s="1"/>
  <c r="P576" i="6"/>
  <c r="S576" i="6" s="1"/>
  <c r="P577" i="6"/>
  <c r="S577" i="6" s="1"/>
  <c r="P578" i="6"/>
  <c r="S578" i="6" s="1"/>
  <c r="P579" i="6"/>
  <c r="S579" i="6" s="1"/>
  <c r="P580" i="6"/>
  <c r="S580" i="6" s="1"/>
  <c r="P581" i="6"/>
  <c r="S581" i="6" s="1"/>
  <c r="P582" i="6"/>
  <c r="S582" i="6" s="1"/>
  <c r="P583" i="6"/>
  <c r="S583" i="6" s="1"/>
  <c r="P584" i="6"/>
  <c r="S584" i="6" s="1"/>
  <c r="P585" i="6"/>
  <c r="S585" i="6" s="1"/>
  <c r="P586" i="6"/>
  <c r="S586" i="6" s="1"/>
  <c r="P587" i="6"/>
  <c r="S587" i="6" s="1"/>
  <c r="P588" i="6"/>
  <c r="S588" i="6" s="1"/>
  <c r="P589" i="6"/>
  <c r="S589" i="6" s="1"/>
  <c r="P590" i="6"/>
  <c r="S590" i="6" s="1"/>
  <c r="P591" i="6"/>
  <c r="S591" i="6" s="1"/>
  <c r="P592" i="6"/>
  <c r="S592" i="6" s="1"/>
  <c r="P593" i="6"/>
  <c r="S593" i="6" s="1"/>
  <c r="P594" i="6"/>
  <c r="S594" i="6" s="1"/>
  <c r="P595" i="6"/>
  <c r="S595" i="6" s="1"/>
  <c r="P596" i="6"/>
  <c r="S596" i="6" s="1"/>
  <c r="P597" i="6"/>
  <c r="S597" i="6" s="1"/>
  <c r="P598" i="6"/>
  <c r="S598" i="6" s="1"/>
  <c r="P599" i="6"/>
  <c r="S599" i="6" s="1"/>
  <c r="P600" i="6"/>
  <c r="S600" i="6" s="1"/>
  <c r="P601" i="6"/>
  <c r="S601" i="6" s="1"/>
  <c r="P602" i="6"/>
  <c r="S602" i="6" s="1"/>
  <c r="P603" i="6"/>
  <c r="S603" i="6" s="1"/>
  <c r="P604" i="6"/>
  <c r="S604" i="6" s="1"/>
  <c r="P605" i="6"/>
  <c r="S605" i="6" s="1"/>
  <c r="P606" i="6"/>
  <c r="S606" i="6" s="1"/>
  <c r="P607" i="6"/>
  <c r="S607" i="6" s="1"/>
  <c r="P608" i="6"/>
  <c r="S608" i="6" s="1"/>
  <c r="P609" i="6"/>
  <c r="S609" i="6" s="1"/>
  <c r="P610" i="6"/>
  <c r="S610" i="6" s="1"/>
  <c r="P611" i="6"/>
  <c r="S611" i="6" s="1"/>
  <c r="P612" i="6"/>
  <c r="S612" i="6" s="1"/>
  <c r="P613" i="6"/>
  <c r="S613" i="6" s="1"/>
  <c r="P614" i="6"/>
  <c r="S614" i="6" s="1"/>
  <c r="P615" i="6"/>
  <c r="S615" i="6" s="1"/>
  <c r="P616" i="6"/>
  <c r="S616" i="6" s="1"/>
  <c r="P617" i="6"/>
  <c r="S617" i="6" s="1"/>
  <c r="P618" i="6"/>
  <c r="S618" i="6" s="1"/>
  <c r="P619" i="6"/>
  <c r="S619" i="6" s="1"/>
  <c r="P620" i="6"/>
  <c r="S620" i="6" s="1"/>
  <c r="P621" i="6"/>
  <c r="S621" i="6" s="1"/>
  <c r="P622" i="6"/>
  <c r="S622" i="6" s="1"/>
  <c r="P623" i="6"/>
  <c r="S623" i="6" s="1"/>
  <c r="P624" i="6"/>
  <c r="S624" i="6" s="1"/>
  <c r="P625" i="6"/>
  <c r="S625" i="6" s="1"/>
  <c r="P626" i="6"/>
  <c r="S626" i="6" s="1"/>
  <c r="P627" i="6"/>
  <c r="S627" i="6" s="1"/>
  <c r="P628" i="6"/>
  <c r="S628" i="6" s="1"/>
  <c r="P629" i="6"/>
  <c r="S629" i="6" s="1"/>
  <c r="P630" i="6"/>
  <c r="S630" i="6" s="1"/>
  <c r="P631" i="6"/>
  <c r="S631" i="6" s="1"/>
  <c r="P632" i="6"/>
  <c r="S632" i="6" s="1"/>
  <c r="P633" i="6"/>
  <c r="S633" i="6" s="1"/>
  <c r="P634" i="6"/>
  <c r="S634" i="6" s="1"/>
  <c r="P635" i="6"/>
  <c r="S635" i="6" s="1"/>
  <c r="P636" i="6"/>
  <c r="S636" i="6" s="1"/>
  <c r="P637" i="6"/>
  <c r="S637" i="6" s="1"/>
  <c r="P638" i="6"/>
  <c r="S638" i="6" s="1"/>
  <c r="P639" i="6"/>
  <c r="S639" i="6" s="1"/>
  <c r="P640" i="6"/>
  <c r="S640" i="6" s="1"/>
  <c r="P641" i="6"/>
  <c r="S641" i="6" s="1"/>
  <c r="P642" i="6"/>
  <c r="S642" i="6" s="1"/>
  <c r="P643" i="6"/>
  <c r="S643" i="6" s="1"/>
  <c r="P644" i="6"/>
  <c r="S644" i="6" s="1"/>
  <c r="P645" i="6"/>
  <c r="S645" i="6" s="1"/>
  <c r="P646" i="6"/>
  <c r="S646" i="6" s="1"/>
  <c r="P647" i="6"/>
  <c r="S647" i="6" s="1"/>
  <c r="P648" i="6"/>
  <c r="S648" i="6" s="1"/>
  <c r="P649" i="6"/>
  <c r="S649" i="6" s="1"/>
  <c r="P650" i="6"/>
  <c r="S650" i="6" s="1"/>
  <c r="P651" i="6"/>
  <c r="S651" i="6" s="1"/>
  <c r="P652" i="6"/>
  <c r="S652" i="6" s="1"/>
  <c r="P653" i="6"/>
  <c r="S653" i="6" s="1"/>
  <c r="P654" i="6"/>
  <c r="S654" i="6" s="1"/>
  <c r="P655" i="6"/>
  <c r="S655" i="6" s="1"/>
  <c r="P656" i="6"/>
  <c r="S656" i="6" s="1"/>
  <c r="P657" i="6"/>
  <c r="S657" i="6" s="1"/>
  <c r="P658" i="6"/>
  <c r="S658" i="6" s="1"/>
  <c r="P659" i="6"/>
  <c r="S659" i="6" s="1"/>
  <c r="P660" i="6"/>
  <c r="S660" i="6" s="1"/>
  <c r="P661" i="6"/>
  <c r="S661" i="6" s="1"/>
  <c r="P662" i="6"/>
  <c r="S662" i="6" s="1"/>
  <c r="P663" i="6"/>
  <c r="S663" i="6" s="1"/>
  <c r="P664" i="6"/>
  <c r="S664" i="6" s="1"/>
  <c r="P665" i="6"/>
  <c r="S665" i="6" s="1"/>
  <c r="P666" i="6"/>
  <c r="S666" i="6" s="1"/>
  <c r="P667" i="6"/>
  <c r="S667" i="6" s="1"/>
  <c r="P668" i="6"/>
  <c r="S668" i="6" s="1"/>
  <c r="P669" i="6"/>
  <c r="S669" i="6" s="1"/>
  <c r="P670" i="6"/>
  <c r="S670" i="6" s="1"/>
  <c r="P671" i="6"/>
  <c r="S671" i="6" s="1"/>
  <c r="P672" i="6"/>
  <c r="S672" i="6" s="1"/>
  <c r="P673" i="6"/>
  <c r="S673" i="6" s="1"/>
  <c r="P674" i="6"/>
  <c r="S674" i="6" s="1"/>
  <c r="P675" i="6"/>
  <c r="S675" i="6" s="1"/>
  <c r="P676" i="6"/>
  <c r="S676" i="6" s="1"/>
  <c r="P677" i="6"/>
  <c r="S677" i="6" s="1"/>
  <c r="P678" i="6"/>
  <c r="S678" i="6" s="1"/>
  <c r="P679" i="6"/>
  <c r="S679" i="6" s="1"/>
  <c r="P680" i="6"/>
  <c r="S680" i="6" s="1"/>
  <c r="P681" i="6"/>
  <c r="S681" i="6" s="1"/>
  <c r="P682" i="6"/>
  <c r="S682" i="6" s="1"/>
  <c r="P683" i="6"/>
  <c r="S683" i="6" s="1"/>
  <c r="P684" i="6"/>
  <c r="S684" i="6" s="1"/>
  <c r="P685" i="6"/>
  <c r="S685" i="6" s="1"/>
  <c r="P686" i="6"/>
  <c r="S686" i="6" s="1"/>
  <c r="P687" i="6"/>
  <c r="S687" i="6" s="1"/>
  <c r="P688" i="6"/>
  <c r="S688" i="6" s="1"/>
  <c r="P689" i="6"/>
  <c r="S689" i="6" s="1"/>
  <c r="P690" i="6"/>
  <c r="S690" i="6" s="1"/>
  <c r="P691" i="6"/>
  <c r="S691" i="6" s="1"/>
  <c r="P692" i="6"/>
  <c r="S692" i="6" s="1"/>
  <c r="P693" i="6"/>
  <c r="S693" i="6" s="1"/>
  <c r="P694" i="6"/>
  <c r="S694" i="6" s="1"/>
  <c r="P695" i="6"/>
  <c r="S695" i="6" s="1"/>
  <c r="P696" i="6"/>
  <c r="S696" i="6" s="1"/>
  <c r="P697" i="6"/>
  <c r="S697" i="6" s="1"/>
  <c r="P698" i="6"/>
  <c r="S698" i="6" s="1"/>
  <c r="P699" i="6"/>
  <c r="S699" i="6" s="1"/>
  <c r="P700" i="6"/>
  <c r="S700" i="6" s="1"/>
  <c r="P701" i="6"/>
  <c r="S701" i="6" s="1"/>
  <c r="P702" i="6"/>
  <c r="S702" i="6" s="1"/>
  <c r="P703" i="6"/>
  <c r="S703" i="6" s="1"/>
  <c r="P704" i="6"/>
  <c r="S704" i="6" s="1"/>
  <c r="P705" i="6"/>
  <c r="S705" i="6" s="1"/>
  <c r="P706" i="6"/>
  <c r="S706" i="6" s="1"/>
  <c r="P707" i="6"/>
  <c r="S707" i="6" s="1"/>
  <c r="P708" i="6"/>
  <c r="S708" i="6" s="1"/>
  <c r="P709" i="6"/>
  <c r="S709" i="6" s="1"/>
  <c r="P710" i="6"/>
  <c r="S710" i="6" s="1"/>
  <c r="P711" i="6"/>
  <c r="S711" i="6" s="1"/>
  <c r="P712" i="6"/>
  <c r="S712" i="6" s="1"/>
  <c r="P713" i="6"/>
  <c r="S713" i="6" s="1"/>
  <c r="P714" i="6"/>
  <c r="S714" i="6" s="1"/>
  <c r="P715" i="6"/>
  <c r="S715" i="6" s="1"/>
  <c r="P716" i="6"/>
  <c r="S716" i="6" s="1"/>
  <c r="P717" i="6"/>
  <c r="S717" i="6" s="1"/>
  <c r="P718" i="6"/>
  <c r="S718" i="6" s="1"/>
  <c r="P719" i="6"/>
  <c r="S719" i="6" s="1"/>
  <c r="P720" i="6"/>
  <c r="S720" i="6" s="1"/>
  <c r="P721" i="6"/>
  <c r="S721" i="6" s="1"/>
  <c r="P722" i="6"/>
  <c r="S722" i="6" s="1"/>
  <c r="P723" i="6"/>
  <c r="S723" i="6" s="1"/>
  <c r="P724" i="6"/>
  <c r="S724" i="6" s="1"/>
  <c r="P725" i="6"/>
  <c r="S725" i="6" s="1"/>
  <c r="P726" i="6"/>
  <c r="S726" i="6" s="1"/>
  <c r="P727" i="6"/>
  <c r="S727" i="6" s="1"/>
  <c r="P728" i="6"/>
  <c r="S728" i="6" s="1"/>
  <c r="P729" i="6"/>
  <c r="S729" i="6" s="1"/>
  <c r="P730" i="6"/>
  <c r="S730" i="6" s="1"/>
  <c r="P731" i="6"/>
  <c r="S731" i="6" s="1"/>
  <c r="P732" i="6"/>
  <c r="S732" i="6" s="1"/>
  <c r="P733" i="6"/>
  <c r="S733" i="6" s="1"/>
  <c r="P734" i="6"/>
  <c r="S734" i="6" s="1"/>
  <c r="P735" i="6"/>
  <c r="S735" i="6" s="1"/>
  <c r="P736" i="6"/>
  <c r="S736" i="6" s="1"/>
  <c r="P737" i="6"/>
  <c r="S737" i="6" s="1"/>
  <c r="P738" i="6"/>
  <c r="S738" i="6" s="1"/>
  <c r="P739" i="6"/>
  <c r="S739" i="6" s="1"/>
  <c r="P740" i="6"/>
  <c r="S740" i="6" s="1"/>
  <c r="P741" i="6"/>
  <c r="S741" i="6" s="1"/>
  <c r="P742" i="6"/>
  <c r="S742" i="6" s="1"/>
  <c r="P743" i="6"/>
  <c r="S743" i="6" s="1"/>
  <c r="P744" i="6"/>
  <c r="S744" i="6" s="1"/>
  <c r="P745" i="6"/>
  <c r="S745" i="6" s="1"/>
  <c r="P746" i="6"/>
  <c r="S746" i="6" s="1"/>
  <c r="P747" i="6"/>
  <c r="S747" i="6" s="1"/>
  <c r="P748" i="6"/>
  <c r="S748" i="6" s="1"/>
  <c r="P749" i="6"/>
  <c r="S749" i="6" s="1"/>
  <c r="P750" i="6"/>
  <c r="S750" i="6" s="1"/>
  <c r="P751" i="6"/>
  <c r="S751" i="6" s="1"/>
  <c r="P752" i="6"/>
  <c r="S752" i="6" s="1"/>
  <c r="P753" i="6"/>
  <c r="S753" i="6" s="1"/>
  <c r="P754" i="6"/>
  <c r="S754" i="6" s="1"/>
  <c r="P755" i="6"/>
  <c r="S755" i="6" s="1"/>
  <c r="P756" i="6"/>
  <c r="S756" i="6" s="1"/>
  <c r="P757" i="6"/>
  <c r="S757" i="6" s="1"/>
  <c r="P758" i="6"/>
  <c r="S758" i="6" s="1"/>
  <c r="P759" i="6"/>
  <c r="S759" i="6" s="1"/>
  <c r="P760" i="6"/>
  <c r="S760" i="6" s="1"/>
  <c r="P761" i="6"/>
  <c r="S761" i="6" s="1"/>
  <c r="P762" i="6"/>
  <c r="S762" i="6" s="1"/>
  <c r="P763" i="6"/>
  <c r="S763" i="6" s="1"/>
  <c r="P764" i="6"/>
  <c r="S764" i="6" s="1"/>
  <c r="P765" i="6"/>
  <c r="S765" i="6" s="1"/>
  <c r="P766" i="6"/>
  <c r="S766" i="6" s="1"/>
  <c r="P767" i="6"/>
  <c r="S767" i="6" s="1"/>
  <c r="P768" i="6"/>
  <c r="S768" i="6" s="1"/>
  <c r="P769" i="6"/>
  <c r="S769" i="6" s="1"/>
  <c r="P770" i="6"/>
  <c r="S770" i="6" s="1"/>
  <c r="P771" i="6"/>
  <c r="S771" i="6" s="1"/>
  <c r="P772" i="6"/>
  <c r="S772" i="6" s="1"/>
  <c r="P773" i="6"/>
  <c r="S773" i="6" s="1"/>
  <c r="P774" i="6"/>
  <c r="S774" i="6" s="1"/>
  <c r="P775" i="6"/>
  <c r="S775" i="6" s="1"/>
  <c r="P776" i="6"/>
  <c r="S776" i="6" s="1"/>
  <c r="P777" i="6"/>
  <c r="S777" i="6" s="1"/>
  <c r="P778" i="6"/>
  <c r="S778" i="6" s="1"/>
  <c r="P779" i="6"/>
  <c r="S779" i="6" s="1"/>
  <c r="P780" i="6"/>
  <c r="S780" i="6" s="1"/>
  <c r="P781" i="6"/>
  <c r="S781" i="6" s="1"/>
  <c r="P782" i="6"/>
  <c r="S782" i="6" s="1"/>
  <c r="P783" i="6"/>
  <c r="S783" i="6" s="1"/>
  <c r="P784" i="6"/>
  <c r="S784" i="6" s="1"/>
  <c r="P785" i="6"/>
  <c r="S785" i="6" s="1"/>
  <c r="P786" i="6"/>
  <c r="S786" i="6" s="1"/>
  <c r="P787" i="6"/>
  <c r="S787" i="6" s="1"/>
  <c r="P788" i="6"/>
  <c r="S788" i="6" s="1"/>
  <c r="P789" i="6"/>
  <c r="S789" i="6" s="1"/>
  <c r="P790" i="6"/>
  <c r="S790" i="6" s="1"/>
  <c r="P791" i="6"/>
  <c r="S791" i="6" s="1"/>
  <c r="P792" i="6"/>
  <c r="S792" i="6" s="1"/>
  <c r="P793" i="6"/>
  <c r="S793" i="6" s="1"/>
  <c r="P794" i="6"/>
  <c r="S794" i="6" s="1"/>
  <c r="P795" i="6"/>
  <c r="S795" i="6" s="1"/>
  <c r="P796" i="6"/>
  <c r="S796" i="6" s="1"/>
  <c r="P797" i="6"/>
  <c r="S797" i="6" s="1"/>
  <c r="P798" i="6"/>
  <c r="S798" i="6" s="1"/>
  <c r="P799" i="6"/>
  <c r="S799" i="6" s="1"/>
  <c r="P800" i="6"/>
  <c r="S800" i="6" s="1"/>
  <c r="P801" i="6"/>
  <c r="S801" i="6" s="1"/>
  <c r="P802" i="6"/>
  <c r="S802" i="6" s="1"/>
  <c r="P803" i="6"/>
  <c r="S803" i="6" s="1"/>
  <c r="P804" i="6"/>
  <c r="S804" i="6" s="1"/>
  <c r="P805" i="6"/>
  <c r="S805" i="6" s="1"/>
  <c r="P806" i="6"/>
  <c r="S806" i="6" s="1"/>
  <c r="P807" i="6"/>
  <c r="S807" i="6" s="1"/>
  <c r="P808" i="6"/>
  <c r="S808" i="6" s="1"/>
  <c r="P809" i="6"/>
  <c r="S809" i="6" s="1"/>
  <c r="P810" i="6"/>
  <c r="S810" i="6" s="1"/>
  <c r="P811" i="6"/>
  <c r="S811" i="6" s="1"/>
  <c r="P812" i="6"/>
  <c r="S812" i="6" s="1"/>
  <c r="P813" i="6"/>
  <c r="S813" i="6" s="1"/>
  <c r="P814" i="6"/>
  <c r="S814" i="6" s="1"/>
  <c r="P815" i="6"/>
  <c r="S815" i="6" s="1"/>
  <c r="P816" i="6"/>
  <c r="S816" i="6" s="1"/>
  <c r="P817" i="6"/>
  <c r="S817" i="6" s="1"/>
  <c r="P818" i="6"/>
  <c r="S818" i="6" s="1"/>
  <c r="P819" i="6"/>
  <c r="S819" i="6" s="1"/>
  <c r="P820" i="6"/>
  <c r="S820" i="6" s="1"/>
  <c r="P821" i="6"/>
  <c r="S821" i="6" s="1"/>
  <c r="P822" i="6"/>
  <c r="S822" i="6" s="1"/>
  <c r="P823" i="6"/>
  <c r="S823" i="6" s="1"/>
  <c r="P824" i="6"/>
  <c r="S824" i="6" s="1"/>
  <c r="P825" i="6"/>
  <c r="S825" i="6" s="1"/>
  <c r="P826" i="6"/>
  <c r="S826" i="6" s="1"/>
  <c r="P827" i="6"/>
  <c r="S827" i="6" s="1"/>
  <c r="P828" i="6"/>
  <c r="S828" i="6" s="1"/>
  <c r="P829" i="6"/>
  <c r="S829" i="6" s="1"/>
  <c r="P830" i="6"/>
  <c r="S830" i="6" s="1"/>
  <c r="P831" i="6"/>
  <c r="S831" i="6" s="1"/>
  <c r="P832" i="6"/>
  <c r="S832" i="6" s="1"/>
  <c r="P833" i="6"/>
  <c r="S833" i="6" s="1"/>
  <c r="P834" i="6"/>
  <c r="S834" i="6" s="1"/>
  <c r="P835" i="6"/>
  <c r="S835" i="6" s="1"/>
  <c r="P836" i="6"/>
  <c r="S836" i="6" s="1"/>
  <c r="P837" i="6"/>
  <c r="S837" i="6" s="1"/>
  <c r="P838" i="6"/>
  <c r="S838" i="6" s="1"/>
  <c r="P839" i="6"/>
  <c r="S839" i="6" s="1"/>
  <c r="P840" i="6"/>
  <c r="S840" i="6" s="1"/>
  <c r="P841" i="6"/>
  <c r="S841" i="6" s="1"/>
  <c r="P842" i="6"/>
  <c r="S842" i="6" s="1"/>
  <c r="P843" i="6"/>
  <c r="S843" i="6" s="1"/>
  <c r="P844" i="6"/>
  <c r="S844" i="6" s="1"/>
  <c r="P845" i="6"/>
  <c r="S845" i="6" s="1"/>
  <c r="P846" i="6"/>
  <c r="S846" i="6" s="1"/>
  <c r="P847" i="6"/>
  <c r="S847" i="6" s="1"/>
  <c r="P848" i="6"/>
  <c r="S848" i="6" s="1"/>
  <c r="P849" i="6"/>
  <c r="S849" i="6" s="1"/>
  <c r="P850" i="6"/>
  <c r="S850" i="6" s="1"/>
  <c r="P851" i="6"/>
  <c r="S851" i="6" s="1"/>
  <c r="P852" i="6"/>
  <c r="S852" i="6" s="1"/>
  <c r="P853" i="6"/>
  <c r="S853" i="6" s="1"/>
  <c r="P854" i="6"/>
  <c r="S854" i="6" s="1"/>
  <c r="P855" i="6"/>
  <c r="S855" i="6" s="1"/>
  <c r="P856" i="6"/>
  <c r="S856" i="6" s="1"/>
  <c r="P857" i="6"/>
  <c r="S857" i="6" s="1"/>
  <c r="P858" i="6"/>
  <c r="S858" i="6" s="1"/>
  <c r="P859" i="6"/>
  <c r="S859" i="6" s="1"/>
  <c r="P860" i="6"/>
  <c r="S860" i="6" s="1"/>
  <c r="P861" i="6"/>
  <c r="S861" i="6" s="1"/>
  <c r="P862" i="6"/>
  <c r="S862" i="6" s="1"/>
  <c r="P863" i="6"/>
  <c r="S863" i="6" s="1"/>
  <c r="P864" i="6"/>
  <c r="S864" i="6" s="1"/>
  <c r="P865" i="6"/>
  <c r="S865" i="6" s="1"/>
  <c r="P866" i="6"/>
  <c r="S866" i="6" s="1"/>
  <c r="P867" i="6"/>
  <c r="S867" i="6" s="1"/>
  <c r="P868" i="6"/>
  <c r="S868" i="6" s="1"/>
  <c r="P869" i="6"/>
  <c r="S869" i="6" s="1"/>
  <c r="P870" i="6"/>
  <c r="S870" i="6" s="1"/>
  <c r="P871" i="6"/>
  <c r="S871" i="6" s="1"/>
  <c r="P872" i="6"/>
  <c r="S872" i="6" s="1"/>
  <c r="P873" i="6"/>
  <c r="S873" i="6" s="1"/>
  <c r="P874" i="6"/>
  <c r="S874" i="6" s="1"/>
  <c r="P875" i="6"/>
  <c r="S875" i="6" s="1"/>
  <c r="P876" i="6"/>
  <c r="S876" i="6" s="1"/>
  <c r="P877" i="6"/>
  <c r="S877" i="6" s="1"/>
  <c r="P878" i="6"/>
  <c r="S878" i="6" s="1"/>
  <c r="P879" i="6"/>
  <c r="S879" i="6" s="1"/>
  <c r="P880" i="6"/>
  <c r="S880" i="6" s="1"/>
  <c r="P881" i="6"/>
  <c r="S881" i="6" s="1"/>
  <c r="P882" i="6"/>
  <c r="S882" i="6" s="1"/>
  <c r="P883" i="6"/>
  <c r="S883" i="6" s="1"/>
  <c r="P884" i="6"/>
  <c r="S884" i="6" s="1"/>
  <c r="P885" i="6"/>
  <c r="S885" i="6" s="1"/>
  <c r="P886" i="6"/>
  <c r="S886" i="6" s="1"/>
  <c r="P887" i="6"/>
  <c r="S887" i="6" s="1"/>
  <c r="P888" i="6"/>
  <c r="S888" i="6" s="1"/>
  <c r="P889" i="6"/>
  <c r="S889" i="6" s="1"/>
  <c r="P890" i="6"/>
  <c r="S890" i="6" s="1"/>
  <c r="P891" i="6"/>
  <c r="S891" i="6" s="1"/>
  <c r="P892" i="6"/>
  <c r="S892" i="6" s="1"/>
  <c r="P893" i="6"/>
  <c r="S893" i="6" s="1"/>
  <c r="P894" i="6"/>
  <c r="S894" i="6" s="1"/>
  <c r="P895" i="6"/>
  <c r="S895" i="6" s="1"/>
  <c r="P896" i="6"/>
  <c r="S896" i="6" s="1"/>
  <c r="P897" i="6"/>
  <c r="S897" i="6" s="1"/>
  <c r="P898" i="6"/>
  <c r="S898" i="6" s="1"/>
  <c r="P899" i="6"/>
  <c r="S899" i="6" s="1"/>
  <c r="P900" i="6"/>
  <c r="S900" i="6" s="1"/>
  <c r="P901" i="6"/>
  <c r="S901" i="6" s="1"/>
  <c r="P902" i="6"/>
  <c r="S902" i="6" s="1"/>
  <c r="P903" i="6"/>
  <c r="S903" i="6" s="1"/>
  <c r="P904" i="6"/>
  <c r="S904" i="6" s="1"/>
  <c r="P905" i="6"/>
  <c r="S905" i="6" s="1"/>
  <c r="P906" i="6"/>
  <c r="S906" i="6" s="1"/>
  <c r="P907" i="6"/>
  <c r="S907" i="6" s="1"/>
  <c r="P908" i="6"/>
  <c r="S908" i="6" s="1"/>
  <c r="P909" i="6"/>
  <c r="S909" i="6" s="1"/>
  <c r="P910" i="6"/>
  <c r="S910" i="6" s="1"/>
  <c r="P911" i="6"/>
  <c r="S911" i="6" s="1"/>
  <c r="P912" i="6"/>
  <c r="S912" i="6" s="1"/>
  <c r="P913" i="6"/>
  <c r="S913" i="6" s="1"/>
  <c r="P914" i="6"/>
  <c r="S914" i="6" s="1"/>
  <c r="P915" i="6"/>
  <c r="S915" i="6" s="1"/>
  <c r="P916" i="6"/>
  <c r="S916" i="6" s="1"/>
  <c r="P917" i="6"/>
  <c r="S917" i="6" s="1"/>
  <c r="P918" i="6"/>
  <c r="S918" i="6" s="1"/>
  <c r="P919" i="6"/>
  <c r="S919" i="6" s="1"/>
  <c r="P920" i="6"/>
  <c r="S920" i="6" s="1"/>
  <c r="P921" i="6"/>
  <c r="S921" i="6" s="1"/>
  <c r="P922" i="6"/>
  <c r="S922" i="6" s="1"/>
  <c r="P923" i="6"/>
  <c r="S923" i="6" s="1"/>
  <c r="P924" i="6"/>
  <c r="S924" i="6" s="1"/>
  <c r="P925" i="6"/>
  <c r="S925" i="6" s="1"/>
  <c r="P926" i="6"/>
  <c r="S926" i="6" s="1"/>
  <c r="P927" i="6"/>
  <c r="S927" i="6" s="1"/>
  <c r="P928" i="6"/>
  <c r="S928" i="6" s="1"/>
  <c r="P929" i="6"/>
  <c r="S929" i="6" s="1"/>
  <c r="P930" i="6"/>
  <c r="S930" i="6" s="1"/>
  <c r="P931" i="6"/>
  <c r="S931" i="6" s="1"/>
  <c r="P932" i="6"/>
  <c r="S932" i="6" s="1"/>
  <c r="P933" i="6"/>
  <c r="S933" i="6" s="1"/>
  <c r="P934" i="6"/>
  <c r="S934" i="6" s="1"/>
  <c r="P935" i="6"/>
  <c r="S935" i="6" s="1"/>
  <c r="P936" i="6"/>
  <c r="S936" i="6" s="1"/>
  <c r="P937" i="6"/>
  <c r="S937" i="6" s="1"/>
  <c r="P938" i="6"/>
  <c r="S938" i="6" s="1"/>
  <c r="P939" i="6"/>
  <c r="S939" i="6" s="1"/>
  <c r="P940" i="6"/>
  <c r="S940" i="6" s="1"/>
  <c r="P941" i="6"/>
  <c r="S941" i="6" s="1"/>
  <c r="P942" i="6"/>
  <c r="S942" i="6" s="1"/>
  <c r="P943" i="6"/>
  <c r="S943" i="6" s="1"/>
  <c r="P944" i="6"/>
  <c r="S944" i="6" s="1"/>
  <c r="P945" i="6"/>
  <c r="S945" i="6" s="1"/>
  <c r="P946" i="6"/>
  <c r="S946" i="6" s="1"/>
  <c r="P947" i="6"/>
  <c r="S947" i="6" s="1"/>
  <c r="P948" i="6"/>
  <c r="S948" i="6" s="1"/>
  <c r="P949" i="6"/>
  <c r="S949" i="6" s="1"/>
  <c r="P950" i="6"/>
  <c r="S950" i="6" s="1"/>
  <c r="P951" i="6"/>
  <c r="S951" i="6" s="1"/>
  <c r="P952" i="6"/>
  <c r="S952" i="6" s="1"/>
  <c r="P953" i="6"/>
  <c r="S953" i="6" s="1"/>
  <c r="P954" i="6"/>
  <c r="S954" i="6" s="1"/>
  <c r="P955" i="6"/>
  <c r="S955" i="6" s="1"/>
  <c r="P956" i="6"/>
  <c r="S956" i="6" s="1"/>
  <c r="P957" i="6"/>
  <c r="S957" i="6" s="1"/>
  <c r="P958" i="6"/>
  <c r="S958" i="6" s="1"/>
  <c r="P959" i="6"/>
  <c r="S959" i="6" s="1"/>
  <c r="P960" i="6"/>
  <c r="S960" i="6" s="1"/>
  <c r="P961" i="6"/>
  <c r="S961" i="6" s="1"/>
  <c r="P962" i="6"/>
  <c r="S962" i="6" s="1"/>
  <c r="P963" i="6"/>
  <c r="S963" i="6" s="1"/>
  <c r="P964" i="6"/>
  <c r="S964" i="6" s="1"/>
  <c r="P965" i="6"/>
  <c r="S965" i="6" s="1"/>
  <c r="P966" i="6"/>
  <c r="S966" i="6" s="1"/>
  <c r="P967" i="6"/>
  <c r="S967" i="6" s="1"/>
  <c r="P968" i="6"/>
  <c r="S968" i="6" s="1"/>
  <c r="P969" i="6"/>
  <c r="S969" i="6" s="1"/>
  <c r="P970" i="6"/>
  <c r="S970" i="6" s="1"/>
  <c r="P971" i="6"/>
  <c r="S971" i="6" s="1"/>
  <c r="P972" i="6"/>
  <c r="S972" i="6" s="1"/>
  <c r="P973" i="6"/>
  <c r="S973" i="6" s="1"/>
  <c r="P974" i="6"/>
  <c r="S974" i="6" s="1"/>
  <c r="P975" i="6"/>
  <c r="S975" i="6" s="1"/>
  <c r="P976" i="6"/>
  <c r="S976" i="6" s="1"/>
  <c r="P977" i="6"/>
  <c r="S977" i="6" s="1"/>
  <c r="P978" i="6"/>
  <c r="S978" i="6" s="1"/>
  <c r="P979" i="6"/>
  <c r="S979" i="6" s="1"/>
  <c r="P980" i="6"/>
  <c r="S980" i="6" s="1"/>
  <c r="P981" i="6"/>
  <c r="S981" i="6" s="1"/>
  <c r="P982" i="6"/>
  <c r="S982" i="6" s="1"/>
  <c r="P983" i="6"/>
  <c r="S983" i="6" s="1"/>
  <c r="P984" i="6"/>
  <c r="S984" i="6" s="1"/>
  <c r="P985" i="6"/>
  <c r="S985" i="6" s="1"/>
  <c r="P986" i="6"/>
  <c r="S986" i="6" s="1"/>
  <c r="P987" i="6"/>
  <c r="S987" i="6" s="1"/>
  <c r="P988" i="6"/>
  <c r="S988" i="6" s="1"/>
  <c r="P989" i="6"/>
  <c r="S989" i="6" s="1"/>
  <c r="P990" i="6"/>
  <c r="S990" i="6" s="1"/>
  <c r="P991" i="6"/>
  <c r="S991" i="6" s="1"/>
  <c r="P992" i="6"/>
  <c r="S992" i="6" s="1"/>
  <c r="P993" i="6"/>
  <c r="S993" i="6" s="1"/>
  <c r="P994" i="6"/>
  <c r="S994" i="6" s="1"/>
  <c r="P995" i="6"/>
  <c r="S995" i="6" s="1"/>
  <c r="P996" i="6"/>
  <c r="S996" i="6" s="1"/>
  <c r="P997" i="6"/>
  <c r="S997" i="6" s="1"/>
  <c r="P998" i="6"/>
  <c r="S998" i="6" s="1"/>
  <c r="P999" i="6"/>
  <c r="S999" i="6" s="1"/>
  <c r="P1000" i="6"/>
  <c r="S1000" i="6" s="1"/>
  <c r="P1001" i="6"/>
  <c r="S1001" i="6" s="1"/>
  <c r="P1002" i="6"/>
  <c r="S1002" i="6" s="1"/>
  <c r="P1003" i="6"/>
  <c r="S1003" i="6" s="1"/>
  <c r="P1004" i="6"/>
  <c r="S1004" i="6" s="1"/>
  <c r="P1005" i="6"/>
  <c r="S1005" i="6" s="1"/>
  <c r="P1006" i="6"/>
  <c r="S1006" i="6" s="1"/>
  <c r="P1007" i="6"/>
  <c r="S1007" i="6" s="1"/>
  <c r="P1008" i="6"/>
  <c r="S1008" i="6" s="1"/>
  <c r="P1009" i="6"/>
  <c r="S1009" i="6" s="1"/>
  <c r="P1010" i="6"/>
  <c r="S1010" i="6" s="1"/>
  <c r="P1011" i="6"/>
  <c r="S1011" i="6" s="1"/>
  <c r="P1012" i="6"/>
  <c r="S1012" i="6" s="1"/>
  <c r="P1013" i="6"/>
  <c r="S1013" i="6" s="1"/>
  <c r="P1014" i="6"/>
  <c r="S1014" i="6" s="1"/>
  <c r="P1015" i="6"/>
  <c r="S1015" i="6" s="1"/>
  <c r="P1016" i="6"/>
  <c r="S1016" i="6" s="1"/>
  <c r="P1017" i="6"/>
  <c r="S1017" i="6" s="1"/>
  <c r="P1018" i="6"/>
  <c r="S1018" i="6" s="1"/>
  <c r="P1019" i="6"/>
  <c r="S1019" i="6" s="1"/>
  <c r="P1020" i="6"/>
  <c r="S1020" i="6" s="1"/>
  <c r="P1021" i="6"/>
  <c r="S1021" i="6" s="1"/>
  <c r="P1022" i="6"/>
  <c r="S1022" i="6" s="1"/>
  <c r="P1023" i="6"/>
  <c r="S1023" i="6" s="1"/>
  <c r="P1024" i="6"/>
  <c r="S1024" i="6" s="1"/>
  <c r="P1025" i="6"/>
  <c r="S1025" i="6" s="1"/>
  <c r="P1026" i="6"/>
  <c r="S1026" i="6" s="1"/>
  <c r="P1027" i="6"/>
  <c r="S1027" i="6" s="1"/>
  <c r="P1028" i="6"/>
  <c r="S1028" i="6" s="1"/>
  <c r="P1029" i="6"/>
  <c r="S1029" i="6" s="1"/>
  <c r="P1030" i="6"/>
  <c r="S1030" i="6" s="1"/>
  <c r="P1031" i="6"/>
  <c r="S1031" i="6" s="1"/>
  <c r="P1032" i="6"/>
  <c r="S1032" i="6" s="1"/>
  <c r="P1033" i="6"/>
  <c r="S1033" i="6" s="1"/>
  <c r="P1034" i="6"/>
  <c r="S1034" i="6" s="1"/>
  <c r="P1035" i="6"/>
  <c r="S1035" i="6" s="1"/>
  <c r="P1036" i="6"/>
  <c r="S1036" i="6" s="1"/>
  <c r="P1037" i="6"/>
  <c r="S1037" i="6" s="1"/>
  <c r="P1038" i="6"/>
  <c r="S1038" i="6" s="1"/>
  <c r="P1039" i="6"/>
  <c r="S1039" i="6" s="1"/>
  <c r="P1040" i="6"/>
  <c r="S1040" i="6" s="1"/>
  <c r="P1041" i="6"/>
  <c r="S1041" i="6" s="1"/>
  <c r="P1042" i="6"/>
  <c r="S1042" i="6" s="1"/>
  <c r="P1043" i="6"/>
  <c r="S1043" i="6" s="1"/>
  <c r="P1044" i="6"/>
  <c r="S1044" i="6" s="1"/>
  <c r="P1045" i="6"/>
  <c r="S1045" i="6" s="1"/>
  <c r="P1046" i="6"/>
  <c r="S1046" i="6" s="1"/>
  <c r="P1047" i="6"/>
  <c r="S1047" i="6" s="1"/>
  <c r="P1048" i="6"/>
  <c r="S1048" i="6" s="1"/>
  <c r="P1049" i="6"/>
  <c r="S1049" i="6" s="1"/>
  <c r="P1050" i="6"/>
  <c r="S1050" i="6" s="1"/>
  <c r="P1051" i="6"/>
  <c r="S1051" i="6" s="1"/>
  <c r="P1052" i="6"/>
  <c r="S1052" i="6" s="1"/>
  <c r="P1053" i="6"/>
  <c r="S1053" i="6" s="1"/>
  <c r="P1054" i="6"/>
  <c r="S1054" i="6" s="1"/>
  <c r="P1055" i="6"/>
  <c r="S1055" i="6" s="1"/>
  <c r="P1056" i="6"/>
  <c r="S1056" i="6" s="1"/>
  <c r="P1057" i="6"/>
  <c r="S1057" i="6" s="1"/>
  <c r="P1058" i="6"/>
  <c r="S1058" i="6" s="1"/>
  <c r="P1059" i="6"/>
  <c r="S1059" i="6" s="1"/>
  <c r="P1060" i="6"/>
  <c r="S1060" i="6" s="1"/>
  <c r="P1061" i="6"/>
  <c r="S1061" i="6" s="1"/>
  <c r="P1062" i="6"/>
  <c r="S1062" i="6" s="1"/>
  <c r="P1063" i="6"/>
  <c r="S1063" i="6" s="1"/>
  <c r="P1064" i="6"/>
  <c r="S1064" i="6" s="1"/>
  <c r="P1065" i="6"/>
  <c r="S1065" i="6" s="1"/>
  <c r="P1066" i="6"/>
  <c r="S1066" i="6" s="1"/>
  <c r="P1067" i="6"/>
  <c r="S1067" i="6" s="1"/>
  <c r="P1068" i="6"/>
  <c r="S1068" i="6" s="1"/>
  <c r="P1069" i="6"/>
  <c r="S1069" i="6" s="1"/>
  <c r="P1070" i="6"/>
  <c r="S1070" i="6" s="1"/>
  <c r="P1071" i="6"/>
  <c r="S1071" i="6" s="1"/>
  <c r="P1072" i="6"/>
  <c r="S1072" i="6" s="1"/>
  <c r="P1073" i="6"/>
  <c r="S1073" i="6" s="1"/>
  <c r="P1074" i="6"/>
  <c r="S1074" i="6" s="1"/>
  <c r="P1075" i="6"/>
  <c r="S1075" i="6" s="1"/>
  <c r="P1076" i="6"/>
  <c r="S1076" i="6" s="1"/>
  <c r="P1077" i="6"/>
  <c r="S1077" i="6" s="1"/>
  <c r="P1078" i="6"/>
  <c r="S1078" i="6" s="1"/>
  <c r="P1079" i="6"/>
  <c r="S1079" i="6" s="1"/>
  <c r="P1080" i="6"/>
  <c r="S1080" i="6" s="1"/>
  <c r="P1081" i="6"/>
  <c r="S1081" i="6" s="1"/>
  <c r="P1082" i="6"/>
  <c r="S1082" i="6" s="1"/>
  <c r="P1083" i="6"/>
  <c r="S1083" i="6" s="1"/>
  <c r="P1084" i="6"/>
  <c r="S1084" i="6" s="1"/>
  <c r="P1085" i="6"/>
  <c r="S1085" i="6" s="1"/>
  <c r="P1086" i="6"/>
  <c r="S1086" i="6" s="1"/>
  <c r="P1087" i="6"/>
  <c r="S1087" i="6" s="1"/>
  <c r="P1088" i="6"/>
  <c r="S1088" i="6" s="1"/>
  <c r="P1089" i="6"/>
  <c r="S1089" i="6" s="1"/>
  <c r="P1090" i="6"/>
  <c r="S1090" i="6" s="1"/>
  <c r="P1091" i="6"/>
  <c r="S1091" i="6" s="1"/>
  <c r="P1092" i="6"/>
  <c r="S1092" i="6" s="1"/>
  <c r="P1093" i="6"/>
  <c r="S1093" i="6" s="1"/>
  <c r="P1094" i="6"/>
  <c r="S1094" i="6" s="1"/>
  <c r="P1095" i="6"/>
  <c r="S1095" i="6" s="1"/>
  <c r="P1096" i="6"/>
  <c r="S1096" i="6" s="1"/>
  <c r="P1097" i="6"/>
  <c r="S1097" i="6" s="1"/>
  <c r="P1098" i="6"/>
  <c r="S1098" i="6" s="1"/>
  <c r="P1099" i="6"/>
  <c r="S1099" i="6" s="1"/>
  <c r="P1100" i="6"/>
  <c r="S1100" i="6" s="1"/>
  <c r="P1101" i="6"/>
  <c r="S1101" i="6" s="1"/>
  <c r="P1102" i="6"/>
  <c r="S1102" i="6" s="1"/>
  <c r="P1103" i="6"/>
  <c r="S1103" i="6" s="1"/>
  <c r="P1104" i="6"/>
  <c r="S1104" i="6" s="1"/>
  <c r="P1105" i="6"/>
  <c r="S1105" i="6" s="1"/>
  <c r="P1106" i="6"/>
  <c r="S1106" i="6" s="1"/>
  <c r="P1107" i="6"/>
  <c r="S1107" i="6" s="1"/>
  <c r="P1108" i="6"/>
  <c r="S1108" i="6" s="1"/>
  <c r="P1109" i="6"/>
  <c r="S1109" i="6" s="1"/>
  <c r="P1110" i="6"/>
  <c r="S1110" i="6" s="1"/>
  <c r="P1111" i="6"/>
  <c r="S1111" i="6" s="1"/>
  <c r="P1112" i="6"/>
  <c r="S1112" i="6" s="1"/>
  <c r="P1113" i="6"/>
  <c r="S1113" i="6" s="1"/>
  <c r="P1114" i="6"/>
  <c r="S1114" i="6" s="1"/>
  <c r="P1115" i="6"/>
  <c r="S1115" i="6" s="1"/>
  <c r="P1116" i="6"/>
  <c r="S1116" i="6" s="1"/>
  <c r="P1117" i="6"/>
  <c r="S1117" i="6" s="1"/>
  <c r="P1118" i="6"/>
  <c r="S1118" i="6" s="1"/>
  <c r="P1119" i="6"/>
  <c r="S1119" i="6" s="1"/>
  <c r="P1120" i="6"/>
  <c r="S1120" i="6" s="1"/>
  <c r="P1121" i="6"/>
  <c r="S1121" i="6" s="1"/>
  <c r="P1122" i="6"/>
  <c r="S1122" i="6" s="1"/>
  <c r="P1123" i="6"/>
  <c r="S1123" i="6" s="1"/>
  <c r="P1124" i="6"/>
  <c r="S1124" i="6" s="1"/>
  <c r="P1125" i="6"/>
  <c r="S1125" i="6" s="1"/>
  <c r="P1126" i="6"/>
  <c r="S1126" i="6" s="1"/>
  <c r="P1127" i="6"/>
  <c r="S1127" i="6" s="1"/>
  <c r="P1128" i="6"/>
  <c r="S1128" i="6" s="1"/>
  <c r="P1129" i="6"/>
  <c r="S1129" i="6" s="1"/>
  <c r="P1130" i="6"/>
  <c r="S1130" i="6" s="1"/>
  <c r="P1131" i="6"/>
  <c r="S1131" i="6" s="1"/>
  <c r="P1132" i="6"/>
  <c r="S1132" i="6" s="1"/>
  <c r="P1133" i="6"/>
  <c r="S1133" i="6" s="1"/>
  <c r="P1134" i="6"/>
  <c r="S1134" i="6" s="1"/>
  <c r="P1135" i="6"/>
  <c r="S1135" i="6" s="1"/>
  <c r="P1136" i="6"/>
  <c r="S1136" i="6" s="1"/>
  <c r="P1137" i="6"/>
  <c r="S1137" i="6" s="1"/>
  <c r="P1138" i="6"/>
  <c r="S1138" i="6" s="1"/>
  <c r="P1139" i="6"/>
  <c r="S1139" i="6" s="1"/>
  <c r="P1140" i="6"/>
  <c r="S1140" i="6" s="1"/>
  <c r="P1141" i="6"/>
  <c r="S1141" i="6" s="1"/>
  <c r="P1142" i="6"/>
  <c r="S1142" i="6" s="1"/>
  <c r="P1143" i="6"/>
  <c r="S1143" i="6" s="1"/>
  <c r="P1144" i="6"/>
  <c r="S1144" i="6" s="1"/>
  <c r="P1145" i="6"/>
  <c r="S1145" i="6" s="1"/>
  <c r="P1146" i="6"/>
  <c r="S1146" i="6" s="1"/>
  <c r="P1147" i="6"/>
  <c r="S1147" i="6" s="1"/>
  <c r="P1148" i="6"/>
  <c r="S1148" i="6" s="1"/>
  <c r="P1149" i="6"/>
  <c r="S1149" i="6" s="1"/>
  <c r="P1150" i="6"/>
  <c r="S1150" i="6" s="1"/>
  <c r="P1151" i="6"/>
  <c r="S1151" i="6" s="1"/>
  <c r="P1152" i="6"/>
  <c r="S1152" i="6" s="1"/>
  <c r="P1153" i="6"/>
  <c r="S1153" i="6" s="1"/>
  <c r="P1154" i="6"/>
  <c r="S1154" i="6" s="1"/>
  <c r="P1155" i="6"/>
  <c r="S1155" i="6" s="1"/>
  <c r="P1156" i="6"/>
  <c r="S1156" i="6" s="1"/>
  <c r="P1157" i="6"/>
  <c r="S1157" i="6" s="1"/>
  <c r="P1158" i="6"/>
  <c r="S1158" i="6" s="1"/>
  <c r="P1159" i="6"/>
  <c r="S1159" i="6" s="1"/>
  <c r="P1160" i="6"/>
  <c r="S1160" i="6" s="1"/>
  <c r="P1161" i="6"/>
  <c r="S1161" i="6" s="1"/>
  <c r="P1162" i="6"/>
  <c r="S1162" i="6" s="1"/>
  <c r="P1163" i="6"/>
  <c r="S1163" i="6" s="1"/>
  <c r="P1164" i="6"/>
  <c r="S1164" i="6" s="1"/>
  <c r="P1165" i="6"/>
  <c r="S1165" i="6" s="1"/>
  <c r="P1166" i="6"/>
  <c r="S1166" i="6" s="1"/>
  <c r="P1167" i="6"/>
  <c r="S1167" i="6" s="1"/>
  <c r="P1168" i="6"/>
  <c r="S1168" i="6" s="1"/>
  <c r="P1169" i="6"/>
  <c r="S1169" i="6" s="1"/>
  <c r="P1170" i="6"/>
  <c r="S1170" i="6" s="1"/>
  <c r="P1171" i="6"/>
  <c r="S1171" i="6" s="1"/>
  <c r="P1172" i="6"/>
  <c r="S1172" i="6" s="1"/>
  <c r="P1173" i="6"/>
  <c r="S1173" i="6" s="1"/>
  <c r="P1174" i="6"/>
  <c r="S1174" i="6" s="1"/>
  <c r="P1175" i="6"/>
  <c r="S1175" i="6" s="1"/>
  <c r="P1176" i="6"/>
  <c r="S1176" i="6" s="1"/>
  <c r="P1177" i="6"/>
  <c r="S1177" i="6" s="1"/>
  <c r="P1178" i="6"/>
  <c r="S1178" i="6" s="1"/>
  <c r="P1179" i="6"/>
  <c r="S1179" i="6" s="1"/>
  <c r="P1180" i="6"/>
  <c r="S1180" i="6" s="1"/>
  <c r="P1181" i="6"/>
  <c r="S1181" i="6" s="1"/>
  <c r="P1182" i="6"/>
  <c r="S1182" i="6" s="1"/>
  <c r="P1183" i="6"/>
  <c r="S1183" i="6" s="1"/>
  <c r="P1184" i="6"/>
  <c r="S1184" i="6" s="1"/>
  <c r="P1185" i="6"/>
  <c r="S1185" i="6" s="1"/>
  <c r="P1186" i="6"/>
  <c r="S1186" i="6" s="1"/>
  <c r="P1187" i="6"/>
  <c r="S1187" i="6" s="1"/>
  <c r="P1188" i="6"/>
  <c r="S1188" i="6" s="1"/>
  <c r="P1189" i="6"/>
  <c r="S1189" i="6" s="1"/>
  <c r="P1190" i="6"/>
  <c r="S1190" i="6" s="1"/>
  <c r="P1191" i="6"/>
  <c r="S1191" i="6" s="1"/>
  <c r="P1192" i="6"/>
  <c r="S1192" i="6" s="1"/>
  <c r="P1193" i="6"/>
  <c r="S1193" i="6" s="1"/>
  <c r="P1194" i="6"/>
  <c r="S1194" i="6" s="1"/>
  <c r="P1195" i="6"/>
  <c r="S1195" i="6" s="1"/>
  <c r="P1196" i="6"/>
  <c r="S1196" i="6" s="1"/>
  <c r="P1197" i="6"/>
  <c r="S1197" i="6" s="1"/>
  <c r="P1198" i="6"/>
  <c r="S1198" i="6" s="1"/>
  <c r="P1199" i="6"/>
  <c r="S1199" i="6" s="1"/>
  <c r="P1200" i="6"/>
  <c r="S1200" i="6" s="1"/>
  <c r="P1201" i="6"/>
  <c r="S1201" i="6" s="1"/>
  <c r="P1202" i="6"/>
  <c r="S1202" i="6" s="1"/>
  <c r="P1203" i="6"/>
  <c r="S1203" i="6" s="1"/>
  <c r="P1204" i="6"/>
  <c r="S1204" i="6" s="1"/>
  <c r="P1205" i="6"/>
  <c r="S1205" i="6" s="1"/>
  <c r="P1206" i="6"/>
  <c r="S1206" i="6" s="1"/>
  <c r="P1207" i="6"/>
  <c r="S1207" i="6" s="1"/>
  <c r="P1208" i="6"/>
  <c r="S1208" i="6" s="1"/>
  <c r="P1209" i="6"/>
  <c r="S1209" i="6" s="1"/>
  <c r="P1210" i="6"/>
  <c r="S1210" i="6" s="1"/>
  <c r="P1211" i="6"/>
  <c r="S1211" i="6" s="1"/>
  <c r="P1212" i="6"/>
  <c r="S1212" i="6" s="1"/>
  <c r="P1213" i="6"/>
  <c r="S1213" i="6" s="1"/>
  <c r="P1214" i="6"/>
  <c r="S1214" i="6" s="1"/>
  <c r="P1215" i="6"/>
  <c r="S1215" i="6" s="1"/>
  <c r="P1216" i="6"/>
  <c r="S1216" i="6" s="1"/>
  <c r="P1217" i="6"/>
  <c r="S1217" i="6" s="1"/>
  <c r="P1218" i="6"/>
  <c r="S1218" i="6" s="1"/>
  <c r="P1219" i="6"/>
  <c r="S1219" i="6" s="1"/>
  <c r="P1220" i="6"/>
  <c r="S1220" i="6" s="1"/>
  <c r="P1221" i="6"/>
  <c r="S1221" i="6" s="1"/>
  <c r="P1222" i="6"/>
  <c r="S1222" i="6" s="1"/>
  <c r="P1223" i="6"/>
  <c r="S1223" i="6" s="1"/>
  <c r="P1224" i="6"/>
  <c r="S1224" i="6" s="1"/>
  <c r="P1225" i="6"/>
  <c r="S1225" i="6" s="1"/>
  <c r="P1226" i="6"/>
  <c r="S1226" i="6" s="1"/>
  <c r="P1227" i="6"/>
  <c r="S1227" i="6" s="1"/>
  <c r="P1228" i="6"/>
  <c r="S1228" i="6" s="1"/>
  <c r="P1229" i="6"/>
  <c r="S1229" i="6" s="1"/>
  <c r="P1230" i="6"/>
  <c r="S1230" i="6" s="1"/>
  <c r="P1231" i="6"/>
  <c r="S1231" i="6" s="1"/>
  <c r="P1232" i="6"/>
  <c r="S1232" i="6" s="1"/>
  <c r="P1233" i="6"/>
  <c r="S1233" i="6" s="1"/>
  <c r="P1234" i="6"/>
  <c r="S1234" i="6" s="1"/>
  <c r="P1235" i="6"/>
  <c r="S1235" i="6" s="1"/>
  <c r="P1236" i="6"/>
  <c r="S1236" i="6" s="1"/>
  <c r="P1237" i="6"/>
  <c r="S1237" i="6" s="1"/>
  <c r="P1238" i="6"/>
  <c r="S1238" i="6" s="1"/>
  <c r="P1239" i="6"/>
  <c r="S1239" i="6" s="1"/>
  <c r="P1240" i="6"/>
  <c r="S1240" i="6" s="1"/>
  <c r="P1241" i="6"/>
  <c r="S1241" i="6" s="1"/>
  <c r="P1242" i="6"/>
  <c r="S1242" i="6" s="1"/>
  <c r="P1243" i="6"/>
  <c r="S1243" i="6" s="1"/>
  <c r="P1244" i="6"/>
  <c r="S1244" i="6" s="1"/>
  <c r="P1245" i="6"/>
  <c r="S1245" i="6" s="1"/>
  <c r="P1246" i="6"/>
  <c r="S1246" i="6" s="1"/>
  <c r="P1247" i="6"/>
  <c r="S1247" i="6" s="1"/>
  <c r="P1248" i="6"/>
  <c r="S1248" i="6" s="1"/>
  <c r="P1249" i="6"/>
  <c r="S1249" i="6" s="1"/>
  <c r="P1250" i="6"/>
  <c r="S1250" i="6" s="1"/>
  <c r="P1251" i="6"/>
  <c r="S1251" i="6" s="1"/>
  <c r="P1252" i="6"/>
  <c r="S1252" i="6" s="1"/>
  <c r="P1253" i="6"/>
  <c r="S1253" i="6" s="1"/>
  <c r="P1254" i="6"/>
  <c r="S1254" i="6" s="1"/>
  <c r="P1255" i="6"/>
  <c r="S1255" i="6" s="1"/>
  <c r="P1256" i="6"/>
  <c r="S1256" i="6" s="1"/>
  <c r="P1257" i="6"/>
  <c r="S1257" i="6" s="1"/>
  <c r="P1258" i="6"/>
  <c r="S1258" i="6" s="1"/>
  <c r="P1259" i="6"/>
  <c r="S1259" i="6" s="1"/>
  <c r="P1260" i="6"/>
  <c r="S1260" i="6" s="1"/>
  <c r="P1261" i="6"/>
  <c r="S1261" i="6" s="1"/>
  <c r="P1262" i="6"/>
  <c r="S1262" i="6" s="1"/>
  <c r="P1263" i="6"/>
  <c r="S1263" i="6" s="1"/>
  <c r="P1264" i="6"/>
  <c r="S1264" i="6" s="1"/>
  <c r="P1265" i="6"/>
  <c r="S1265" i="6" s="1"/>
  <c r="P1266" i="6"/>
  <c r="S1266" i="6" s="1"/>
  <c r="P1267" i="6"/>
  <c r="S1267" i="6" s="1"/>
  <c r="P1268" i="6"/>
  <c r="S1268" i="6" s="1"/>
  <c r="P1269" i="6"/>
  <c r="S1269" i="6" s="1"/>
  <c r="P1270" i="6"/>
  <c r="S1270" i="6" s="1"/>
  <c r="P1271" i="6"/>
  <c r="S1271" i="6" s="1"/>
  <c r="P1272" i="6"/>
  <c r="S1272" i="6" s="1"/>
  <c r="P1273" i="6"/>
  <c r="S1273" i="6" s="1"/>
  <c r="P1274" i="6"/>
  <c r="S1274" i="6" s="1"/>
  <c r="P1275" i="6"/>
  <c r="S1275" i="6" s="1"/>
  <c r="P1276" i="6"/>
  <c r="S1276" i="6" s="1"/>
  <c r="P1277" i="6"/>
  <c r="S1277" i="6" s="1"/>
  <c r="P1278" i="6"/>
  <c r="S1278" i="6" s="1"/>
  <c r="P1279" i="6"/>
  <c r="S1279" i="6" s="1"/>
  <c r="P1280" i="6"/>
  <c r="S1280" i="6" s="1"/>
  <c r="P1281" i="6"/>
  <c r="S1281" i="6" s="1"/>
  <c r="P1282" i="6"/>
  <c r="S1282" i="6" s="1"/>
  <c r="P1283" i="6"/>
  <c r="S1283" i="6" s="1"/>
  <c r="P1284" i="6"/>
  <c r="S1284" i="6" s="1"/>
  <c r="P1285" i="6"/>
  <c r="S1285" i="6" s="1"/>
  <c r="P1286" i="6"/>
  <c r="S1286" i="6" s="1"/>
  <c r="P1287" i="6"/>
  <c r="S1287" i="6" s="1"/>
  <c r="P1288" i="6"/>
  <c r="S1288" i="6" s="1"/>
  <c r="P1289" i="6"/>
  <c r="S1289" i="6" s="1"/>
  <c r="P1290" i="6"/>
  <c r="S1290" i="6" s="1"/>
  <c r="P1291" i="6"/>
  <c r="S1291" i="6" s="1"/>
  <c r="P1292" i="6"/>
  <c r="S1292" i="6" s="1"/>
  <c r="P1293" i="6"/>
  <c r="S1293" i="6" s="1"/>
  <c r="P1294" i="6"/>
  <c r="S1294" i="6" s="1"/>
  <c r="P1295" i="6"/>
  <c r="S1295" i="6" s="1"/>
  <c r="P1296" i="6"/>
  <c r="S1296" i="6" s="1"/>
  <c r="P1297" i="6"/>
  <c r="S1297" i="6" s="1"/>
  <c r="P1298" i="6"/>
  <c r="S1298" i="6" s="1"/>
  <c r="P1299" i="6"/>
  <c r="S1299" i="6" s="1"/>
  <c r="P1300" i="6"/>
  <c r="S1300" i="6" s="1"/>
  <c r="P1301" i="6"/>
  <c r="S1301" i="6" s="1"/>
  <c r="P1302" i="6"/>
  <c r="S1302" i="6" s="1"/>
  <c r="P1303" i="6"/>
  <c r="S1303" i="6" s="1"/>
  <c r="P1304" i="6"/>
  <c r="S1304" i="6" s="1"/>
  <c r="P1305" i="6"/>
  <c r="S1305" i="6" s="1"/>
  <c r="P1306" i="6"/>
  <c r="S1306" i="6" s="1"/>
  <c r="P1307" i="6"/>
  <c r="S1307" i="6" s="1"/>
  <c r="P1308" i="6"/>
  <c r="S1308" i="6" s="1"/>
  <c r="P1309" i="6"/>
  <c r="S1309" i="6" s="1"/>
  <c r="P1310" i="6"/>
  <c r="S1310" i="6" s="1"/>
  <c r="P1311" i="6"/>
  <c r="S1311" i="6" s="1"/>
  <c r="P1312" i="6"/>
  <c r="S1312" i="6" s="1"/>
  <c r="P1313" i="6"/>
  <c r="S1313" i="6" s="1"/>
  <c r="P1314" i="6"/>
  <c r="S1314" i="6" s="1"/>
  <c r="P1315" i="6"/>
  <c r="S1315" i="6" s="1"/>
  <c r="P1316" i="6"/>
  <c r="S1316" i="6" s="1"/>
  <c r="P1317" i="6"/>
  <c r="S1317" i="6" s="1"/>
  <c r="P1318" i="6"/>
  <c r="S1318" i="6" s="1"/>
  <c r="P1319" i="6"/>
  <c r="S1319" i="6" s="1"/>
  <c r="P1320" i="6"/>
  <c r="S1320" i="6" s="1"/>
  <c r="P1321" i="6"/>
  <c r="S1321" i="6" s="1"/>
  <c r="P1322" i="6"/>
  <c r="S1322" i="6" s="1"/>
  <c r="P1323" i="6"/>
  <c r="S1323" i="6" s="1"/>
  <c r="P1324" i="6"/>
  <c r="S1324" i="6" s="1"/>
  <c r="P1325" i="6"/>
  <c r="S1325" i="6" s="1"/>
  <c r="P1326" i="6"/>
  <c r="S1326" i="6" s="1"/>
  <c r="P1327" i="6"/>
  <c r="S1327" i="6" s="1"/>
  <c r="P1328" i="6"/>
  <c r="S1328" i="6" s="1"/>
  <c r="P1329" i="6"/>
  <c r="S1329" i="6" s="1"/>
  <c r="P1330" i="6"/>
  <c r="S1330" i="6" s="1"/>
  <c r="P1331" i="6"/>
  <c r="S1331" i="6" s="1"/>
  <c r="P1332" i="6"/>
  <c r="S1332" i="6" s="1"/>
  <c r="P1333" i="6"/>
  <c r="S1333" i="6" s="1"/>
  <c r="P1334" i="6"/>
  <c r="S1334" i="6" s="1"/>
  <c r="P1335" i="6"/>
  <c r="S1335" i="6" s="1"/>
  <c r="P1336" i="6"/>
  <c r="S1336" i="6" s="1"/>
  <c r="P1337" i="6"/>
  <c r="S1337" i="6" s="1"/>
  <c r="P1338" i="6"/>
  <c r="S1338" i="6" s="1"/>
  <c r="P1339" i="6"/>
  <c r="S1339" i="6" s="1"/>
  <c r="P1340" i="6"/>
  <c r="S1340" i="6" s="1"/>
  <c r="P1341" i="6"/>
  <c r="S1341" i="6" s="1"/>
  <c r="P1342" i="6"/>
  <c r="S1342" i="6" s="1"/>
  <c r="P1343" i="6"/>
  <c r="S1343" i="6" s="1"/>
  <c r="P1344" i="6"/>
  <c r="S1344" i="6" s="1"/>
  <c r="P1345" i="6"/>
  <c r="S1345" i="6" s="1"/>
  <c r="P1346" i="6"/>
  <c r="S1346" i="6" s="1"/>
  <c r="P1347" i="6"/>
  <c r="S1347" i="6" s="1"/>
  <c r="P1348" i="6"/>
  <c r="S1348" i="6" s="1"/>
  <c r="P1349" i="6"/>
  <c r="S1349" i="6" s="1"/>
  <c r="P1350" i="6"/>
  <c r="S1350" i="6" s="1"/>
  <c r="P1351" i="6"/>
  <c r="S1351" i="6" s="1"/>
  <c r="P1352" i="6"/>
  <c r="S1352" i="6" s="1"/>
  <c r="P1353" i="6"/>
  <c r="S1353" i="6" s="1"/>
  <c r="P1354" i="6"/>
  <c r="S1354" i="6" s="1"/>
  <c r="P1355" i="6"/>
  <c r="S1355" i="6" s="1"/>
  <c r="P1356" i="6"/>
  <c r="S1356" i="6" s="1"/>
  <c r="P1357" i="6"/>
  <c r="S1357" i="6" s="1"/>
  <c r="P1358" i="6"/>
  <c r="S1358" i="6" s="1"/>
  <c r="P1359" i="6"/>
  <c r="S1359" i="6" s="1"/>
  <c r="P1360" i="6"/>
  <c r="S1360" i="6" s="1"/>
  <c r="P1361" i="6"/>
  <c r="S1361" i="6" s="1"/>
  <c r="P1362" i="6"/>
  <c r="S1362" i="6" s="1"/>
  <c r="P1363" i="6"/>
  <c r="S1363" i="6" s="1"/>
  <c r="P1364" i="6"/>
  <c r="S1364" i="6" s="1"/>
  <c r="P1365" i="6"/>
  <c r="S1365" i="6" s="1"/>
  <c r="P1366" i="6"/>
  <c r="S1366" i="6" s="1"/>
  <c r="P1367" i="6"/>
  <c r="S1367" i="6" s="1"/>
  <c r="P1368" i="6"/>
  <c r="S1368" i="6" s="1"/>
  <c r="P1369" i="6"/>
  <c r="S1369" i="6" s="1"/>
  <c r="P1370" i="6"/>
  <c r="S1370" i="6" s="1"/>
  <c r="P1371" i="6"/>
  <c r="S1371" i="6" s="1"/>
  <c r="P1372" i="6"/>
  <c r="S1372" i="6" s="1"/>
  <c r="P1373" i="6"/>
  <c r="S1373" i="6" s="1"/>
  <c r="P1374" i="6"/>
  <c r="S1374" i="6" s="1"/>
  <c r="P1375" i="6"/>
  <c r="S1375" i="6" s="1"/>
  <c r="P1376" i="6"/>
  <c r="S1376" i="6" s="1"/>
  <c r="P1377" i="6"/>
  <c r="S1377" i="6" s="1"/>
  <c r="P1378" i="6"/>
  <c r="S1378" i="6" s="1"/>
  <c r="P1379" i="6"/>
  <c r="S1379" i="6" s="1"/>
  <c r="P1380" i="6"/>
  <c r="S1380" i="6" s="1"/>
  <c r="P1381" i="6"/>
  <c r="S1381" i="6" s="1"/>
  <c r="P1382" i="6"/>
  <c r="S1382" i="6" s="1"/>
  <c r="P1383" i="6"/>
  <c r="S1383" i="6" s="1"/>
  <c r="P1384" i="6"/>
  <c r="S1384" i="6" s="1"/>
  <c r="P1385" i="6"/>
  <c r="S1385" i="6" s="1"/>
  <c r="P1386" i="6"/>
  <c r="S1386" i="6" s="1"/>
  <c r="P1387" i="6"/>
  <c r="S1387" i="6" s="1"/>
  <c r="P1388" i="6"/>
  <c r="S1388" i="6" s="1"/>
  <c r="P1389" i="6"/>
  <c r="S1389" i="6" s="1"/>
  <c r="P1390" i="6"/>
  <c r="S1390" i="6" s="1"/>
  <c r="P1391" i="6"/>
  <c r="S1391" i="6" s="1"/>
  <c r="P1392" i="6"/>
  <c r="S1392" i="6" s="1"/>
  <c r="P1393" i="6"/>
  <c r="S1393" i="6" s="1"/>
  <c r="P1394" i="6"/>
  <c r="S1394" i="6" s="1"/>
  <c r="P1395" i="6"/>
  <c r="S1395" i="6" s="1"/>
  <c r="P1396" i="6"/>
  <c r="S1396" i="6" s="1"/>
  <c r="P1397" i="6"/>
  <c r="S1397" i="6" s="1"/>
  <c r="P1398" i="6"/>
  <c r="S1398" i="6" s="1"/>
  <c r="P1399" i="6"/>
  <c r="S1399" i="6" s="1"/>
  <c r="P1400" i="6"/>
  <c r="S1400" i="6" s="1"/>
  <c r="P1401" i="6"/>
  <c r="S1401" i="6" s="1"/>
  <c r="P1402" i="6"/>
  <c r="S1402" i="6" s="1"/>
  <c r="P1403" i="6"/>
  <c r="S1403" i="6" s="1"/>
  <c r="P1404" i="6"/>
  <c r="S1404" i="6" s="1"/>
  <c r="P1405" i="6"/>
  <c r="S1405" i="6" s="1"/>
  <c r="P1406" i="6"/>
  <c r="S1406" i="6" s="1"/>
  <c r="P1407" i="6"/>
  <c r="S1407" i="6" s="1"/>
  <c r="P1408" i="6"/>
  <c r="S1408" i="6" s="1"/>
  <c r="P1409" i="6"/>
  <c r="S1409" i="6" s="1"/>
  <c r="P1410" i="6"/>
  <c r="S1410" i="6" s="1"/>
  <c r="P1411" i="6"/>
  <c r="S1411" i="6" s="1"/>
  <c r="P1412" i="6"/>
  <c r="S1412" i="6" s="1"/>
  <c r="P1413" i="6"/>
  <c r="S1413" i="6" s="1"/>
  <c r="P1414" i="6"/>
  <c r="S1414" i="6" s="1"/>
  <c r="P1415" i="6"/>
  <c r="S1415" i="6" s="1"/>
  <c r="P1416" i="6"/>
  <c r="S1416" i="6" s="1"/>
  <c r="P1417" i="6"/>
  <c r="S1417" i="6" s="1"/>
  <c r="P1418" i="6"/>
  <c r="S1418" i="6" s="1"/>
  <c r="P1419" i="6"/>
  <c r="S1419" i="6" s="1"/>
  <c r="P1420" i="6"/>
  <c r="S1420" i="6" s="1"/>
  <c r="P1421" i="6"/>
  <c r="S1421" i="6" s="1"/>
  <c r="P1422" i="6"/>
  <c r="S1422" i="6" s="1"/>
  <c r="P1423" i="6"/>
  <c r="S1423" i="6" s="1"/>
  <c r="P1424" i="6"/>
  <c r="S1424" i="6" s="1"/>
  <c r="P1425" i="6"/>
  <c r="S1425" i="6" s="1"/>
  <c r="P1426" i="6"/>
  <c r="S1426" i="6" s="1"/>
  <c r="P1427" i="6"/>
  <c r="S1427" i="6" s="1"/>
  <c r="P1428" i="6"/>
  <c r="S1428" i="6" s="1"/>
  <c r="P1429" i="6"/>
  <c r="S1429" i="6" s="1"/>
  <c r="P1430" i="6"/>
  <c r="S1430" i="6" s="1"/>
  <c r="P1431" i="6"/>
  <c r="S1431" i="6" s="1"/>
  <c r="P1432" i="6"/>
  <c r="S1432" i="6" s="1"/>
  <c r="P1433" i="6"/>
  <c r="S1433" i="6" s="1"/>
  <c r="P1434" i="6"/>
  <c r="S1434" i="6" s="1"/>
  <c r="P1435" i="6"/>
  <c r="S1435" i="6" s="1"/>
  <c r="P1436" i="6"/>
  <c r="S1436" i="6" s="1"/>
  <c r="P1437" i="6"/>
  <c r="S1437" i="6" s="1"/>
  <c r="P1438" i="6"/>
  <c r="S1438" i="6" s="1"/>
  <c r="P1439" i="6"/>
  <c r="S1439" i="6" s="1"/>
  <c r="P1440" i="6"/>
  <c r="S1440" i="6" s="1"/>
  <c r="P1441" i="6"/>
  <c r="S1441" i="6" s="1"/>
  <c r="P1442" i="6"/>
  <c r="S1442" i="6" s="1"/>
  <c r="P1443" i="6"/>
  <c r="S1443" i="6" s="1"/>
  <c r="P1444" i="6"/>
  <c r="S1444" i="6" s="1"/>
  <c r="P1445" i="6"/>
  <c r="S1445" i="6" s="1"/>
  <c r="P1446" i="6"/>
  <c r="S1446" i="6" s="1"/>
  <c r="P1447" i="6"/>
  <c r="S1447" i="6" s="1"/>
  <c r="P1448" i="6"/>
  <c r="S1448" i="6" s="1"/>
  <c r="P1449" i="6"/>
  <c r="S1449" i="6" s="1"/>
  <c r="P1450" i="6"/>
  <c r="S1450" i="6" s="1"/>
  <c r="P1451" i="6"/>
  <c r="S1451" i="6" s="1"/>
  <c r="P1452" i="6"/>
  <c r="S1452" i="6" s="1"/>
  <c r="P1453" i="6"/>
  <c r="S1453" i="6" s="1"/>
  <c r="P1454" i="6"/>
  <c r="S1454" i="6" s="1"/>
  <c r="P1455" i="6"/>
  <c r="S1455" i="6" s="1"/>
  <c r="P1456" i="6"/>
  <c r="S1456" i="6" s="1"/>
  <c r="P1457" i="6"/>
  <c r="S1457" i="6" s="1"/>
  <c r="P1458" i="6"/>
  <c r="S1458" i="6" s="1"/>
  <c r="P1459" i="6"/>
  <c r="S1459" i="6" s="1"/>
  <c r="P1460" i="6"/>
  <c r="S1460" i="6" s="1"/>
  <c r="P1461" i="6"/>
  <c r="S1461" i="6" s="1"/>
  <c r="P1462" i="6"/>
  <c r="S1462" i="6" s="1"/>
  <c r="P1463" i="6"/>
  <c r="S1463" i="6" s="1"/>
  <c r="P1464" i="6"/>
  <c r="S1464" i="6" s="1"/>
  <c r="P1465" i="6"/>
  <c r="S1465" i="6" s="1"/>
  <c r="P1466" i="6"/>
  <c r="S1466" i="6" s="1"/>
  <c r="P1467" i="6"/>
  <c r="S1467" i="6" s="1"/>
  <c r="P1468" i="6"/>
  <c r="S1468" i="6" s="1"/>
  <c r="P1469" i="6"/>
  <c r="S1469" i="6" s="1"/>
  <c r="P1470" i="6"/>
  <c r="S1470" i="6" s="1"/>
  <c r="P1471" i="6"/>
  <c r="S1471" i="6" s="1"/>
  <c r="P1472" i="6"/>
  <c r="S1472" i="6" s="1"/>
  <c r="P1473" i="6"/>
  <c r="S1473" i="6" s="1"/>
  <c r="P1474" i="6"/>
  <c r="S1474" i="6" s="1"/>
  <c r="P1475" i="6"/>
  <c r="S1475" i="6" s="1"/>
  <c r="P1476" i="6"/>
  <c r="S1476" i="6" s="1"/>
  <c r="P1477" i="6"/>
  <c r="S1477" i="6" s="1"/>
  <c r="P1478" i="6"/>
  <c r="S1478" i="6" s="1"/>
  <c r="P1479" i="6"/>
  <c r="S1479" i="6" s="1"/>
  <c r="P1480" i="6"/>
  <c r="S1480" i="6" s="1"/>
  <c r="P1481" i="6"/>
  <c r="S1481" i="6" s="1"/>
  <c r="P1482" i="6"/>
  <c r="S1482" i="6" s="1"/>
  <c r="P1483" i="6"/>
  <c r="S1483" i="6" s="1"/>
  <c r="P1484" i="6"/>
  <c r="S1484" i="6" s="1"/>
  <c r="P1485" i="6"/>
  <c r="S1485" i="6" s="1"/>
  <c r="P1486" i="6"/>
  <c r="S1486" i="6" s="1"/>
  <c r="P1487" i="6"/>
  <c r="S1487" i="6" s="1"/>
  <c r="P1488" i="6"/>
  <c r="S1488" i="6" s="1"/>
  <c r="P1489" i="6"/>
  <c r="S1489" i="6" s="1"/>
  <c r="P1490" i="6"/>
  <c r="S1490" i="6" s="1"/>
  <c r="P1491" i="6"/>
  <c r="S1491" i="6" s="1"/>
  <c r="P1492" i="6"/>
  <c r="S1492" i="6" s="1"/>
  <c r="P1493" i="6"/>
  <c r="S1493" i="6" s="1"/>
  <c r="P1494" i="6"/>
  <c r="S1494" i="6" s="1"/>
  <c r="P1495" i="6"/>
  <c r="S1495" i="6" s="1"/>
  <c r="P1496" i="6"/>
  <c r="S1496" i="6" s="1"/>
  <c r="P1497" i="6"/>
  <c r="S1497" i="6" s="1"/>
  <c r="P1498" i="6"/>
  <c r="S1498" i="6" s="1"/>
  <c r="P1499" i="6"/>
  <c r="S1499" i="6" s="1"/>
  <c r="P1500" i="6"/>
  <c r="S1500" i="6" s="1"/>
  <c r="P1501" i="6"/>
  <c r="S1501" i="6" s="1"/>
  <c r="P1502" i="6"/>
  <c r="S1502" i="6" s="1"/>
  <c r="P1503" i="6"/>
  <c r="S1503" i="6" s="1"/>
  <c r="P1504" i="6"/>
  <c r="S1504" i="6" s="1"/>
  <c r="P1505" i="6"/>
  <c r="S1505" i="6" s="1"/>
  <c r="P1506" i="6"/>
  <c r="S1506" i="6" s="1"/>
  <c r="P1507" i="6"/>
  <c r="S1507" i="6" s="1"/>
  <c r="P1508" i="6"/>
  <c r="S1508" i="6" s="1"/>
  <c r="P1509" i="6"/>
  <c r="S1509" i="6" s="1"/>
  <c r="P1510" i="6"/>
  <c r="S1510" i="6" s="1"/>
  <c r="P1511" i="6"/>
  <c r="S1511" i="6" s="1"/>
  <c r="P1512" i="6"/>
  <c r="S1512" i="6" s="1"/>
  <c r="P1513" i="6"/>
  <c r="S1513" i="6" s="1"/>
  <c r="P1514" i="6"/>
  <c r="S1514" i="6" s="1"/>
  <c r="P1515" i="6"/>
  <c r="S1515" i="6" s="1"/>
  <c r="P1516" i="6"/>
  <c r="S1516" i="6" s="1"/>
  <c r="P1517" i="6"/>
  <c r="S1517" i="6" s="1"/>
  <c r="P1518" i="6"/>
  <c r="S1518" i="6" s="1"/>
  <c r="P1519" i="6"/>
  <c r="S1519" i="6" s="1"/>
  <c r="P1520" i="6"/>
  <c r="S1520" i="6" s="1"/>
  <c r="P1521" i="6"/>
  <c r="S1521" i="6" s="1"/>
  <c r="P1522" i="6"/>
  <c r="S1522" i="6" s="1"/>
  <c r="P1523" i="6"/>
  <c r="S1523" i="6" s="1"/>
  <c r="P1524" i="6"/>
  <c r="S1524" i="6" s="1"/>
  <c r="P1525" i="6"/>
  <c r="S1525" i="6" s="1"/>
  <c r="P1526" i="6"/>
  <c r="S1526" i="6" s="1"/>
  <c r="P1527" i="6"/>
  <c r="S1527" i="6" s="1"/>
  <c r="P1528" i="6"/>
  <c r="S1528" i="6" s="1"/>
  <c r="P1529" i="6"/>
  <c r="S1529" i="6" s="1"/>
  <c r="P1530" i="6"/>
  <c r="S1530" i="6" s="1"/>
  <c r="P1531" i="6"/>
  <c r="S1531" i="6" s="1"/>
  <c r="P1532" i="6"/>
  <c r="S1532" i="6" s="1"/>
  <c r="P1533" i="6"/>
  <c r="S1533" i="6" s="1"/>
  <c r="P1534" i="6"/>
  <c r="S1534" i="6" s="1"/>
  <c r="P1535" i="6"/>
  <c r="S1535" i="6" s="1"/>
  <c r="P1536" i="6"/>
  <c r="S1536" i="6" s="1"/>
  <c r="P1537" i="6"/>
  <c r="S1537" i="6" s="1"/>
  <c r="P1538" i="6"/>
  <c r="S1538" i="6" s="1"/>
  <c r="P1539" i="6"/>
  <c r="S1539" i="6" s="1"/>
  <c r="P1540" i="6"/>
  <c r="S1540" i="6" s="1"/>
  <c r="P1541" i="6"/>
  <c r="S1541" i="6" s="1"/>
  <c r="P1542" i="6"/>
  <c r="S1542" i="6" s="1"/>
  <c r="P1543" i="6"/>
  <c r="S1543" i="6" s="1"/>
  <c r="P1544" i="6"/>
  <c r="S1544" i="6" s="1"/>
  <c r="P1545" i="6"/>
  <c r="S1545" i="6" s="1"/>
  <c r="P1546" i="6"/>
  <c r="S1546" i="6" s="1"/>
  <c r="P1547" i="6"/>
  <c r="S1547" i="6" s="1"/>
  <c r="P1548" i="6"/>
  <c r="S1548" i="6" s="1"/>
  <c r="P1549" i="6"/>
  <c r="S1549" i="6" s="1"/>
  <c r="P1550" i="6"/>
  <c r="S1550" i="6" s="1"/>
  <c r="P1551" i="6"/>
  <c r="S1551" i="6" s="1"/>
  <c r="P1552" i="6"/>
  <c r="S1552" i="6" s="1"/>
  <c r="P1553" i="6"/>
  <c r="S1553" i="6" s="1"/>
  <c r="P1554" i="6"/>
  <c r="S1554" i="6" s="1"/>
  <c r="P1555" i="6"/>
  <c r="S1555" i="6" s="1"/>
  <c r="P1556" i="6"/>
  <c r="S1556" i="6" s="1"/>
  <c r="P1557" i="6"/>
  <c r="S1557" i="6" s="1"/>
  <c r="P1558" i="6"/>
  <c r="S1558" i="6" s="1"/>
  <c r="P1559" i="6"/>
  <c r="S1559" i="6" s="1"/>
  <c r="P1560" i="6"/>
  <c r="S1560" i="6" s="1"/>
  <c r="P1561" i="6"/>
  <c r="S1561" i="6" s="1"/>
  <c r="P1562" i="6"/>
  <c r="S1562" i="6" s="1"/>
  <c r="P1563" i="6"/>
  <c r="S1563" i="6" s="1"/>
  <c r="P1564" i="6"/>
  <c r="S1564" i="6" s="1"/>
  <c r="P1565" i="6"/>
  <c r="S1565" i="6" s="1"/>
  <c r="P1566" i="6"/>
  <c r="S1566" i="6" s="1"/>
  <c r="P1567" i="6"/>
  <c r="S1567" i="6" s="1"/>
  <c r="P1568" i="6"/>
  <c r="S1568" i="6" s="1"/>
  <c r="P1569" i="6"/>
  <c r="S1569" i="6" s="1"/>
  <c r="P1570" i="6"/>
  <c r="S1570" i="6" s="1"/>
  <c r="P1571" i="6"/>
  <c r="S1571" i="6" s="1"/>
  <c r="P1572" i="6"/>
  <c r="S1572" i="6" s="1"/>
  <c r="P1573" i="6"/>
  <c r="S1573" i="6" s="1"/>
  <c r="P1574" i="6"/>
  <c r="S1574" i="6" s="1"/>
  <c r="P1575" i="6"/>
  <c r="S1575" i="6" s="1"/>
  <c r="P1576" i="6"/>
  <c r="S1576" i="6" s="1"/>
  <c r="P1577" i="6"/>
  <c r="S1577" i="6" s="1"/>
  <c r="P1578" i="6"/>
  <c r="S1578" i="6" s="1"/>
  <c r="P1579" i="6"/>
  <c r="S1579" i="6" s="1"/>
  <c r="P1580" i="6"/>
  <c r="S1580" i="6" s="1"/>
  <c r="P1581" i="6"/>
  <c r="S1581" i="6" s="1"/>
  <c r="P1582" i="6"/>
  <c r="S1582" i="6" s="1"/>
  <c r="P1583" i="6"/>
  <c r="S1583" i="6" s="1"/>
  <c r="P1584" i="6"/>
  <c r="S1584" i="6" s="1"/>
  <c r="P1585" i="6"/>
  <c r="S1585" i="6" s="1"/>
  <c r="P1586" i="6"/>
  <c r="S1586" i="6" s="1"/>
  <c r="P1587" i="6"/>
  <c r="S1587" i="6" s="1"/>
  <c r="P1588" i="6"/>
  <c r="S1588" i="6" s="1"/>
  <c r="P1589" i="6"/>
  <c r="S1589" i="6" s="1"/>
  <c r="P1590" i="6"/>
  <c r="S1590" i="6" s="1"/>
  <c r="P1591" i="6"/>
  <c r="S1591" i="6" s="1"/>
  <c r="P1592" i="6"/>
  <c r="S1592" i="6" s="1"/>
  <c r="P1593" i="6"/>
  <c r="S1593" i="6" s="1"/>
  <c r="P1594" i="6"/>
  <c r="S1594" i="6" s="1"/>
  <c r="P1595" i="6"/>
  <c r="S1595" i="6" s="1"/>
  <c r="P1596" i="6"/>
  <c r="S1596" i="6" s="1"/>
  <c r="P1597" i="6"/>
  <c r="S1597" i="6" s="1"/>
  <c r="P1598" i="6"/>
  <c r="S1598" i="6" s="1"/>
  <c r="P1599" i="6"/>
  <c r="S1599" i="6" s="1"/>
  <c r="P1600" i="6"/>
  <c r="S1600" i="6" s="1"/>
  <c r="P1601" i="6"/>
  <c r="S1601" i="6" s="1"/>
  <c r="P1602" i="6"/>
  <c r="S1602" i="6" s="1"/>
  <c r="P1603" i="6"/>
  <c r="S1603" i="6" s="1"/>
  <c r="P1604" i="6"/>
  <c r="S1604" i="6" s="1"/>
  <c r="P1605" i="6"/>
  <c r="S1605" i="6" s="1"/>
  <c r="P1606" i="6"/>
  <c r="S1606" i="6" s="1"/>
  <c r="P1607" i="6"/>
  <c r="S1607" i="6" s="1"/>
  <c r="P1608" i="6"/>
  <c r="S1608" i="6" s="1"/>
  <c r="P1609" i="6"/>
  <c r="S1609" i="6" s="1"/>
  <c r="P1610" i="6"/>
  <c r="S1610" i="6" s="1"/>
  <c r="P1611" i="6"/>
  <c r="S1611" i="6" s="1"/>
  <c r="P1612" i="6"/>
  <c r="S1612" i="6" s="1"/>
  <c r="P1613" i="6"/>
  <c r="S1613" i="6" s="1"/>
  <c r="P1614" i="6"/>
  <c r="S1614" i="6" s="1"/>
  <c r="P1615" i="6"/>
  <c r="S1615" i="6" s="1"/>
  <c r="P1616" i="6"/>
  <c r="S1616" i="6" s="1"/>
  <c r="P1617" i="6"/>
  <c r="S1617" i="6" s="1"/>
  <c r="P1618" i="6"/>
  <c r="S1618" i="6" s="1"/>
  <c r="P1619" i="6"/>
  <c r="S1619" i="6" s="1"/>
  <c r="P1620" i="6"/>
  <c r="S1620" i="6" s="1"/>
  <c r="P1621" i="6"/>
  <c r="S1621" i="6" s="1"/>
  <c r="P1622" i="6"/>
  <c r="S1622" i="6" s="1"/>
  <c r="P1623" i="6"/>
  <c r="S1623" i="6" s="1"/>
  <c r="P1624" i="6"/>
  <c r="S1624" i="6" s="1"/>
  <c r="P1625" i="6"/>
  <c r="S1625" i="6" s="1"/>
  <c r="P1626" i="6"/>
  <c r="S1626" i="6" s="1"/>
  <c r="P1627" i="6"/>
  <c r="S1627" i="6" s="1"/>
  <c r="P1628" i="6"/>
  <c r="S1628" i="6" s="1"/>
  <c r="P1629" i="6"/>
  <c r="S1629" i="6" s="1"/>
  <c r="P1630" i="6"/>
  <c r="S1630" i="6" s="1"/>
  <c r="P1631" i="6"/>
  <c r="S1631" i="6" s="1"/>
  <c r="P1632" i="6"/>
  <c r="S1632" i="6" s="1"/>
  <c r="P1633" i="6"/>
  <c r="S1633" i="6" s="1"/>
  <c r="P1634" i="6"/>
  <c r="S1634" i="6" s="1"/>
  <c r="P1635" i="6"/>
  <c r="S1635" i="6" s="1"/>
  <c r="P1636" i="6"/>
  <c r="S1636" i="6" s="1"/>
  <c r="P1637" i="6"/>
  <c r="S1637" i="6" s="1"/>
  <c r="P1638" i="6"/>
  <c r="S1638" i="6" s="1"/>
  <c r="P1639" i="6"/>
  <c r="S1639" i="6" s="1"/>
  <c r="P1640" i="6"/>
  <c r="S1640" i="6" s="1"/>
  <c r="P1641" i="6"/>
  <c r="S1641" i="6" s="1"/>
  <c r="P1642" i="6"/>
  <c r="S1642" i="6" s="1"/>
  <c r="P1643" i="6"/>
  <c r="S1643" i="6" s="1"/>
  <c r="P1644" i="6"/>
  <c r="S1644" i="6" s="1"/>
  <c r="P1645" i="6"/>
  <c r="S1645" i="6" s="1"/>
  <c r="P1646" i="6"/>
  <c r="S1646" i="6" s="1"/>
  <c r="P1647" i="6"/>
  <c r="S1647" i="6" s="1"/>
  <c r="P1648" i="6"/>
  <c r="S1648" i="6" s="1"/>
  <c r="P1649" i="6"/>
  <c r="S1649" i="6" s="1"/>
  <c r="P1650" i="6"/>
  <c r="S1650" i="6" s="1"/>
  <c r="P1651" i="6"/>
  <c r="S1651" i="6" s="1"/>
  <c r="P1652" i="6"/>
  <c r="S1652" i="6" s="1"/>
  <c r="P1653" i="6"/>
  <c r="S1653" i="6" s="1"/>
  <c r="P1654" i="6"/>
  <c r="S1654" i="6" s="1"/>
  <c r="P1655" i="6"/>
  <c r="S1655" i="6" s="1"/>
  <c r="P1656" i="6"/>
  <c r="S1656" i="6" s="1"/>
  <c r="P1657" i="6"/>
  <c r="S1657" i="6" s="1"/>
  <c r="P1658" i="6"/>
  <c r="S1658" i="6" s="1"/>
  <c r="P1659" i="6"/>
  <c r="S1659" i="6" s="1"/>
  <c r="P1660" i="6"/>
  <c r="S1660" i="6" s="1"/>
  <c r="P1661" i="6"/>
  <c r="S1661" i="6" s="1"/>
  <c r="P1662" i="6"/>
  <c r="S1662" i="6" s="1"/>
  <c r="P1663" i="6"/>
  <c r="S1663" i="6" s="1"/>
  <c r="P1664" i="6"/>
  <c r="S1664" i="6" s="1"/>
  <c r="P1665" i="6"/>
  <c r="S1665" i="6" s="1"/>
  <c r="P1666" i="6"/>
  <c r="S1666" i="6" s="1"/>
  <c r="P1667" i="6"/>
  <c r="S1667" i="6" s="1"/>
  <c r="P1668" i="6"/>
  <c r="S1668" i="6" s="1"/>
  <c r="P1669" i="6"/>
  <c r="S1669" i="6" s="1"/>
  <c r="P1670" i="6"/>
  <c r="S1670" i="6" s="1"/>
  <c r="P1671" i="6"/>
  <c r="S1671" i="6" s="1"/>
  <c r="P1672" i="6"/>
  <c r="S1672" i="6" s="1"/>
  <c r="P1673" i="6"/>
  <c r="S1673" i="6" s="1"/>
  <c r="P1674" i="6"/>
  <c r="S1674" i="6" s="1"/>
  <c r="P1675" i="6"/>
  <c r="S1675" i="6" s="1"/>
  <c r="P1676" i="6"/>
  <c r="S1676" i="6" s="1"/>
  <c r="P1677" i="6"/>
  <c r="S1677" i="6" s="1"/>
  <c r="P1678" i="6"/>
  <c r="S1678" i="6" s="1"/>
  <c r="P1679" i="6"/>
  <c r="S1679" i="6" s="1"/>
  <c r="P1680" i="6"/>
  <c r="S1680" i="6" s="1"/>
  <c r="P1681" i="6"/>
  <c r="S1681" i="6" s="1"/>
  <c r="P1682" i="6"/>
  <c r="S1682" i="6" s="1"/>
  <c r="P1683" i="6"/>
  <c r="S1683" i="6" s="1"/>
  <c r="P1684" i="6"/>
  <c r="S1684" i="6" s="1"/>
  <c r="P1685" i="6"/>
  <c r="S1685" i="6" s="1"/>
  <c r="P1686" i="6"/>
  <c r="S1686" i="6" s="1"/>
  <c r="P1687" i="6"/>
  <c r="S1687" i="6" s="1"/>
  <c r="P1688" i="6"/>
  <c r="S1688" i="6" s="1"/>
  <c r="P1689" i="6"/>
  <c r="S1689" i="6" s="1"/>
  <c r="P1690" i="6"/>
  <c r="S1690" i="6" s="1"/>
  <c r="P1691" i="6"/>
  <c r="S1691" i="6" s="1"/>
  <c r="P1692" i="6"/>
  <c r="S1692" i="6" s="1"/>
  <c r="P1693" i="6"/>
  <c r="S1693" i="6" s="1"/>
  <c r="P1694" i="6"/>
  <c r="S1694" i="6" s="1"/>
  <c r="P1695" i="6"/>
  <c r="S1695" i="6" s="1"/>
  <c r="P1696" i="6"/>
  <c r="S1696" i="6" s="1"/>
  <c r="P1697" i="6"/>
  <c r="S1697" i="6" s="1"/>
  <c r="P1698" i="6"/>
  <c r="S1698" i="6" s="1"/>
  <c r="P1699" i="6"/>
  <c r="S1699" i="6" s="1"/>
  <c r="P1700" i="6"/>
  <c r="S1700" i="6" s="1"/>
  <c r="P1701" i="6"/>
  <c r="S1701" i="6" s="1"/>
  <c r="P1702" i="6"/>
  <c r="S1702" i="6" s="1"/>
  <c r="P1703" i="6"/>
  <c r="S1703" i="6" s="1"/>
  <c r="P1704" i="6"/>
  <c r="S1704" i="6" s="1"/>
  <c r="P1705" i="6"/>
  <c r="S1705" i="6" s="1"/>
  <c r="P1706" i="6"/>
  <c r="S1706" i="6" s="1"/>
  <c r="P1707" i="6"/>
  <c r="S1707" i="6" s="1"/>
  <c r="P1708" i="6"/>
  <c r="S1708" i="6" s="1"/>
  <c r="P1709" i="6"/>
  <c r="S1709" i="6" s="1"/>
  <c r="P1710" i="6"/>
  <c r="S1710" i="6" s="1"/>
  <c r="P1711" i="6"/>
  <c r="S1711" i="6" s="1"/>
  <c r="P1712" i="6"/>
  <c r="S1712" i="6" s="1"/>
  <c r="P1713" i="6"/>
  <c r="S1713" i="6" s="1"/>
  <c r="P1714" i="6"/>
  <c r="S1714" i="6" s="1"/>
  <c r="P1715" i="6"/>
  <c r="S1715" i="6" s="1"/>
  <c r="P1716" i="6"/>
  <c r="S1716" i="6" s="1"/>
  <c r="P1717" i="6"/>
  <c r="S1717" i="6" s="1"/>
  <c r="P1718" i="6"/>
  <c r="S1718" i="6" s="1"/>
  <c r="P1719" i="6"/>
  <c r="S1719" i="6" s="1"/>
  <c r="P1720" i="6"/>
  <c r="S1720" i="6" s="1"/>
  <c r="P1721" i="6"/>
  <c r="S1721" i="6" s="1"/>
  <c r="P1722" i="6"/>
  <c r="S1722" i="6" s="1"/>
  <c r="P1723" i="6"/>
  <c r="S1723" i="6" s="1"/>
  <c r="P1724" i="6"/>
  <c r="S1724" i="6" s="1"/>
  <c r="P1725" i="6"/>
  <c r="S1725" i="6" s="1"/>
  <c r="P1726" i="6"/>
  <c r="S1726" i="6" s="1"/>
  <c r="P1727" i="6"/>
  <c r="S1727" i="6" s="1"/>
  <c r="P1728" i="6"/>
  <c r="S1728" i="6" s="1"/>
  <c r="P1729" i="6"/>
  <c r="S1729" i="6" s="1"/>
  <c r="P1730" i="6"/>
  <c r="S1730" i="6" s="1"/>
  <c r="P1731" i="6"/>
  <c r="S1731" i="6" s="1"/>
  <c r="P1732" i="6"/>
  <c r="S1732" i="6" s="1"/>
  <c r="P1733" i="6"/>
  <c r="S1733" i="6" s="1"/>
  <c r="P1734" i="6"/>
  <c r="S1734" i="6" s="1"/>
  <c r="P1735" i="6"/>
  <c r="S1735" i="6" s="1"/>
  <c r="P1736" i="6"/>
  <c r="S1736" i="6" s="1"/>
  <c r="P1737" i="6"/>
  <c r="S1737" i="6" s="1"/>
  <c r="P1738" i="6"/>
  <c r="S1738" i="6" s="1"/>
  <c r="P1739" i="6"/>
  <c r="S1739" i="6" s="1"/>
  <c r="P1740" i="6"/>
  <c r="S1740" i="6" s="1"/>
  <c r="P1741" i="6"/>
  <c r="S1741" i="6" s="1"/>
  <c r="P1742" i="6"/>
  <c r="S1742" i="6" s="1"/>
  <c r="P1743" i="6"/>
  <c r="S1743" i="6" s="1"/>
  <c r="P1744" i="6"/>
  <c r="S1744" i="6" s="1"/>
  <c r="P1745" i="6"/>
  <c r="S1745" i="6" s="1"/>
  <c r="P1746" i="6"/>
  <c r="S1746" i="6" s="1"/>
  <c r="P1747" i="6"/>
  <c r="S1747" i="6" s="1"/>
  <c r="P1748" i="6"/>
  <c r="S1748" i="6" s="1"/>
  <c r="P1749" i="6"/>
  <c r="S1749" i="6" s="1"/>
  <c r="P1750" i="6"/>
  <c r="S1750" i="6" s="1"/>
  <c r="P1751" i="6"/>
  <c r="S1751" i="6" s="1"/>
  <c r="P1752" i="6"/>
  <c r="S1752" i="6" s="1"/>
  <c r="P1753" i="6"/>
  <c r="S1753" i="6" s="1"/>
  <c r="P1754" i="6"/>
  <c r="S1754" i="6" s="1"/>
  <c r="P1755" i="6"/>
  <c r="S1755" i="6" s="1"/>
  <c r="P1756" i="6"/>
  <c r="S1756" i="6" s="1"/>
  <c r="P1757" i="6"/>
  <c r="S1757" i="6" s="1"/>
  <c r="P1758" i="6"/>
  <c r="S1758" i="6" s="1"/>
  <c r="P1759" i="6"/>
  <c r="S1759" i="6" s="1"/>
  <c r="P1760" i="6"/>
  <c r="S1760" i="6" s="1"/>
  <c r="P1761" i="6"/>
  <c r="S1761" i="6" s="1"/>
  <c r="P1762" i="6"/>
  <c r="S1762" i="6" s="1"/>
  <c r="P1763" i="6"/>
  <c r="S1763" i="6" s="1"/>
  <c r="P1764" i="6"/>
  <c r="S1764" i="6" s="1"/>
  <c r="P1765" i="6"/>
  <c r="S1765" i="6" s="1"/>
  <c r="P1766" i="6"/>
  <c r="S1766" i="6" s="1"/>
  <c r="P1767" i="6"/>
  <c r="S1767" i="6" s="1"/>
  <c r="P1768" i="6"/>
  <c r="S1768" i="6" s="1"/>
  <c r="P1769" i="6"/>
  <c r="S1769" i="6" s="1"/>
  <c r="P1770" i="6"/>
  <c r="S1770" i="6" s="1"/>
  <c r="P1771" i="6"/>
  <c r="S1771" i="6" s="1"/>
  <c r="P1772" i="6"/>
  <c r="S1772" i="6" s="1"/>
  <c r="P1773" i="6"/>
  <c r="S1773" i="6" s="1"/>
  <c r="P1774" i="6"/>
  <c r="S1774" i="6" s="1"/>
  <c r="P1775" i="6"/>
  <c r="S1775" i="6" s="1"/>
  <c r="P1776" i="6"/>
  <c r="S1776" i="6" s="1"/>
  <c r="P1777" i="6"/>
  <c r="S1777" i="6" s="1"/>
  <c r="P1778" i="6"/>
  <c r="S1778" i="6" s="1"/>
  <c r="P1779" i="6"/>
  <c r="S1779" i="6" s="1"/>
  <c r="P1780" i="6"/>
  <c r="S1780" i="6" s="1"/>
  <c r="P1781" i="6"/>
  <c r="S1781" i="6" s="1"/>
  <c r="P1782" i="6"/>
  <c r="S1782" i="6" s="1"/>
  <c r="P1783" i="6"/>
  <c r="S1783" i="6" s="1"/>
  <c r="P1784" i="6"/>
  <c r="S1784" i="6" s="1"/>
  <c r="P1785" i="6"/>
  <c r="S1785" i="6" s="1"/>
  <c r="P1786" i="6"/>
  <c r="S1786" i="6" s="1"/>
  <c r="P1787" i="6"/>
  <c r="S1787" i="6" s="1"/>
  <c r="P1788" i="6"/>
  <c r="S1788" i="6" s="1"/>
  <c r="P1789" i="6"/>
  <c r="S1789" i="6" s="1"/>
  <c r="P1790" i="6"/>
  <c r="S1790" i="6" s="1"/>
  <c r="P1791" i="6"/>
  <c r="S1791" i="6" s="1"/>
  <c r="P1792" i="6"/>
  <c r="S1792" i="6" s="1"/>
  <c r="P1793" i="6"/>
  <c r="S1793" i="6" s="1"/>
  <c r="P1794" i="6"/>
  <c r="S1794" i="6" s="1"/>
  <c r="P1795" i="6"/>
  <c r="S1795" i="6" s="1"/>
  <c r="P1796" i="6"/>
  <c r="S1796" i="6" s="1"/>
  <c r="P1797" i="6"/>
  <c r="S1797" i="6" s="1"/>
  <c r="P1798" i="6"/>
  <c r="S1798" i="6" s="1"/>
  <c r="P1799" i="6"/>
  <c r="S1799" i="6" s="1"/>
  <c r="P1800" i="6"/>
  <c r="S1800" i="6" s="1"/>
  <c r="P1801" i="6"/>
  <c r="S1801" i="6" s="1"/>
  <c r="P1802" i="6"/>
  <c r="S1802" i="6" s="1"/>
  <c r="P1803" i="6"/>
  <c r="S1803" i="6" s="1"/>
  <c r="P1804" i="6"/>
  <c r="S1804" i="6" s="1"/>
  <c r="P1805" i="6"/>
  <c r="S1805" i="6" s="1"/>
  <c r="P1806" i="6"/>
  <c r="S1806" i="6" s="1"/>
  <c r="P1807" i="6"/>
  <c r="S1807" i="6" s="1"/>
  <c r="P1808" i="6"/>
  <c r="S1808" i="6" s="1"/>
  <c r="P1809" i="6"/>
  <c r="S1809" i="6" s="1"/>
  <c r="P1810" i="6"/>
  <c r="S1810" i="6" s="1"/>
  <c r="P1811" i="6"/>
  <c r="S1811" i="6" s="1"/>
  <c r="P1812" i="6"/>
  <c r="S1812" i="6" s="1"/>
  <c r="P1813" i="6"/>
  <c r="S1813" i="6" s="1"/>
  <c r="P1814" i="6"/>
  <c r="S1814" i="6" s="1"/>
  <c r="P1815" i="6"/>
  <c r="S1815" i="6" s="1"/>
  <c r="P1816" i="6"/>
  <c r="S1816" i="6" s="1"/>
  <c r="P1817" i="6"/>
  <c r="S1817" i="6" s="1"/>
  <c r="P1818" i="6"/>
  <c r="S1818" i="6" s="1"/>
  <c r="P1819" i="6"/>
  <c r="S1819" i="6" s="1"/>
  <c r="P1820" i="6"/>
  <c r="S1820" i="6" s="1"/>
  <c r="P1821" i="6"/>
  <c r="S1821" i="6" s="1"/>
  <c r="P1822" i="6"/>
  <c r="S1822" i="6" s="1"/>
  <c r="P1823" i="6"/>
  <c r="S1823" i="6" s="1"/>
  <c r="P1824" i="6"/>
  <c r="S1824" i="6" s="1"/>
  <c r="P1825" i="6"/>
  <c r="S1825" i="6" s="1"/>
  <c r="P1826" i="6"/>
  <c r="S1826" i="6" s="1"/>
  <c r="P1827" i="6"/>
  <c r="S1827" i="6" s="1"/>
  <c r="P1828" i="6"/>
  <c r="S1828" i="6" s="1"/>
  <c r="P1829" i="6"/>
  <c r="S1829" i="6" s="1"/>
  <c r="P1830" i="6"/>
  <c r="S1830" i="6" s="1"/>
  <c r="P1831" i="6"/>
  <c r="S1831" i="6" s="1"/>
  <c r="P1832" i="6"/>
  <c r="S1832" i="6" s="1"/>
  <c r="P1833" i="6"/>
  <c r="S1833" i="6" s="1"/>
  <c r="P1834" i="6"/>
  <c r="S1834" i="6" s="1"/>
  <c r="P1835" i="6"/>
  <c r="S1835" i="6" s="1"/>
  <c r="P1836" i="6"/>
  <c r="S1836" i="6" s="1"/>
  <c r="P1837" i="6"/>
  <c r="S1837" i="6" s="1"/>
  <c r="P1838" i="6"/>
  <c r="S1838" i="6" s="1"/>
  <c r="P1839" i="6"/>
  <c r="S1839" i="6" s="1"/>
  <c r="P1840" i="6"/>
  <c r="S1840" i="6" s="1"/>
  <c r="P1841" i="6"/>
  <c r="S1841" i="6" s="1"/>
  <c r="P1842" i="6"/>
  <c r="S1842" i="6" s="1"/>
  <c r="P1843" i="6"/>
  <c r="S1843" i="6" s="1"/>
  <c r="P1844" i="6"/>
  <c r="S1844" i="6" s="1"/>
  <c r="P1845" i="6"/>
  <c r="S1845" i="6" s="1"/>
  <c r="P1846" i="6"/>
  <c r="S1846" i="6" s="1"/>
  <c r="P1847" i="6"/>
  <c r="S1847" i="6" s="1"/>
  <c r="P1848" i="6"/>
  <c r="S1848" i="6" s="1"/>
  <c r="P1849" i="6"/>
  <c r="S1849" i="6" s="1"/>
  <c r="P1850" i="6"/>
  <c r="S1850" i="6" s="1"/>
  <c r="P1851" i="6"/>
  <c r="S1851" i="6" s="1"/>
  <c r="P1852" i="6"/>
  <c r="S1852" i="6" s="1"/>
  <c r="P1853" i="6"/>
  <c r="S1853" i="6" s="1"/>
  <c r="P1854" i="6"/>
  <c r="S1854" i="6" s="1"/>
  <c r="P1855" i="6"/>
  <c r="S1855" i="6" s="1"/>
  <c r="P1856" i="6"/>
  <c r="S1856" i="6" s="1"/>
  <c r="P1857" i="6"/>
  <c r="S1857" i="6" s="1"/>
  <c r="P1858" i="6"/>
  <c r="S1858" i="6" s="1"/>
  <c r="P1859" i="6"/>
  <c r="S1859" i="6" s="1"/>
  <c r="P1860" i="6"/>
  <c r="S1860" i="6" s="1"/>
  <c r="P1861" i="6"/>
  <c r="S1861" i="6" s="1"/>
  <c r="P1862" i="6"/>
  <c r="S1862" i="6" s="1"/>
  <c r="P1863" i="6"/>
  <c r="S1863" i="6" s="1"/>
  <c r="P1864" i="6"/>
  <c r="S1864" i="6" s="1"/>
  <c r="P1865" i="6"/>
  <c r="S1865" i="6" s="1"/>
  <c r="P1866" i="6"/>
  <c r="S1866" i="6" s="1"/>
  <c r="P1867" i="6"/>
  <c r="S1867" i="6" s="1"/>
  <c r="P1868" i="6"/>
  <c r="S1868" i="6" s="1"/>
  <c r="P1869" i="6"/>
  <c r="S1869" i="6" s="1"/>
  <c r="P1870" i="6"/>
  <c r="S1870" i="6" s="1"/>
  <c r="P1871" i="6"/>
  <c r="S1871" i="6" s="1"/>
  <c r="P1872" i="6"/>
  <c r="S1872" i="6" s="1"/>
  <c r="P1873" i="6"/>
  <c r="S1873" i="6" s="1"/>
  <c r="P1874" i="6"/>
  <c r="S1874" i="6" s="1"/>
  <c r="P1875" i="6"/>
  <c r="S1875" i="6" s="1"/>
  <c r="P1876" i="6"/>
  <c r="S1876" i="6" s="1"/>
  <c r="P1877" i="6"/>
  <c r="S1877" i="6" s="1"/>
  <c r="P1878" i="6"/>
  <c r="S1878" i="6" s="1"/>
  <c r="P1879" i="6"/>
  <c r="S1879" i="6" s="1"/>
  <c r="P1880" i="6"/>
  <c r="S1880" i="6" s="1"/>
  <c r="P1881" i="6"/>
  <c r="S1881" i="6" s="1"/>
  <c r="P1882" i="6"/>
  <c r="S1882" i="6" s="1"/>
  <c r="P1883" i="6"/>
  <c r="S1883" i="6" s="1"/>
  <c r="P1884" i="6"/>
  <c r="S1884" i="6" s="1"/>
  <c r="P1885" i="6"/>
  <c r="S1885" i="6" s="1"/>
  <c r="P1886" i="6"/>
  <c r="S1886" i="6" s="1"/>
  <c r="P1887" i="6"/>
  <c r="S1887" i="6" s="1"/>
  <c r="P1888" i="6"/>
  <c r="S1888" i="6" s="1"/>
  <c r="P1889" i="6"/>
  <c r="S1889" i="6" s="1"/>
  <c r="P1890" i="6"/>
  <c r="S1890" i="6" s="1"/>
  <c r="P1891" i="6"/>
  <c r="S1891" i="6" s="1"/>
  <c r="P1892" i="6"/>
  <c r="S1892" i="6" s="1"/>
  <c r="P1893" i="6"/>
  <c r="S1893" i="6" s="1"/>
  <c r="P1894" i="6"/>
  <c r="S1894" i="6" s="1"/>
  <c r="P1895" i="6"/>
  <c r="S1895" i="6" s="1"/>
  <c r="P1896" i="6"/>
  <c r="S1896" i="6" s="1"/>
  <c r="P1897" i="6"/>
  <c r="S1897" i="6" s="1"/>
  <c r="P1898" i="6"/>
  <c r="S1898" i="6" s="1"/>
  <c r="P1899" i="6"/>
  <c r="S1899" i="6" s="1"/>
  <c r="P1900" i="6"/>
  <c r="S1900" i="6" s="1"/>
  <c r="P1901" i="6"/>
  <c r="S1901" i="6" s="1"/>
  <c r="P1902" i="6"/>
  <c r="S1902" i="6" s="1"/>
  <c r="P1903" i="6"/>
  <c r="S1903" i="6" s="1"/>
  <c r="P1904" i="6"/>
  <c r="S1904" i="6" s="1"/>
  <c r="P1905" i="6"/>
  <c r="S1905" i="6" s="1"/>
  <c r="P1906" i="6"/>
  <c r="S1906" i="6" s="1"/>
  <c r="P1907" i="6"/>
  <c r="S1907" i="6" s="1"/>
  <c r="P1908" i="6"/>
  <c r="S1908" i="6" s="1"/>
  <c r="P1909" i="6"/>
  <c r="S1909" i="6" s="1"/>
  <c r="P1910" i="6"/>
  <c r="S1910" i="6" s="1"/>
  <c r="P1911" i="6"/>
  <c r="S1911" i="6" s="1"/>
  <c r="P1912" i="6"/>
  <c r="S1912" i="6" s="1"/>
  <c r="P1913" i="6"/>
  <c r="S1913" i="6" s="1"/>
  <c r="P1914" i="6"/>
  <c r="S1914" i="6" s="1"/>
  <c r="P1915" i="6"/>
  <c r="S1915" i="6" s="1"/>
  <c r="P1916" i="6"/>
  <c r="S1916" i="6" s="1"/>
  <c r="P1917" i="6"/>
  <c r="S1917" i="6" s="1"/>
  <c r="P1918" i="6"/>
  <c r="S1918" i="6" s="1"/>
  <c r="P1919" i="6"/>
  <c r="S1919" i="6" s="1"/>
  <c r="P1920" i="6"/>
  <c r="S1920" i="6" s="1"/>
  <c r="P1921" i="6"/>
  <c r="S1921" i="6" s="1"/>
  <c r="P1922" i="6"/>
  <c r="S1922" i="6" s="1"/>
  <c r="P1923" i="6"/>
  <c r="S1923" i="6" s="1"/>
  <c r="P1924" i="6"/>
  <c r="S1924" i="6" s="1"/>
  <c r="P1925" i="6"/>
  <c r="S1925" i="6" s="1"/>
  <c r="P1926" i="6"/>
  <c r="S1926" i="6" s="1"/>
  <c r="P1927" i="6"/>
  <c r="S1927" i="6" s="1"/>
  <c r="P1928" i="6"/>
  <c r="S1928" i="6" s="1"/>
  <c r="P1929" i="6"/>
  <c r="S1929" i="6" s="1"/>
  <c r="P1930" i="6"/>
  <c r="S1930" i="6" s="1"/>
  <c r="P1931" i="6"/>
  <c r="S1931" i="6" s="1"/>
  <c r="P1932" i="6"/>
  <c r="S1932" i="6" s="1"/>
  <c r="P1933" i="6"/>
  <c r="S1933" i="6" s="1"/>
  <c r="P1934" i="6"/>
  <c r="S1934" i="6" s="1"/>
  <c r="P1935" i="6"/>
  <c r="S1935" i="6" s="1"/>
  <c r="P1936" i="6"/>
  <c r="S1936" i="6" s="1"/>
  <c r="P1937" i="6"/>
  <c r="S1937" i="6" s="1"/>
  <c r="P1938" i="6"/>
  <c r="S1938" i="6" s="1"/>
  <c r="P1939" i="6"/>
  <c r="S1939" i="6" s="1"/>
  <c r="P1940" i="6"/>
  <c r="S1940" i="6" s="1"/>
  <c r="P1941" i="6"/>
  <c r="S1941" i="6" s="1"/>
  <c r="P1942" i="6"/>
  <c r="S1942" i="6" s="1"/>
  <c r="P1943" i="6"/>
  <c r="S1943" i="6" s="1"/>
  <c r="P1944" i="6"/>
  <c r="S1944" i="6" s="1"/>
  <c r="P1945" i="6"/>
  <c r="S1945" i="6" s="1"/>
  <c r="P1946" i="6"/>
  <c r="S1946" i="6" s="1"/>
  <c r="P1947" i="6"/>
  <c r="S1947" i="6" s="1"/>
  <c r="P1948" i="6"/>
  <c r="S1948" i="6" s="1"/>
  <c r="P1949" i="6"/>
  <c r="S1949" i="6" s="1"/>
  <c r="P1950" i="6"/>
  <c r="S1950" i="6" s="1"/>
  <c r="P1951" i="6"/>
  <c r="S1951" i="6" s="1"/>
  <c r="P1952" i="6"/>
  <c r="S1952" i="6" s="1"/>
  <c r="P1953" i="6"/>
  <c r="S1953" i="6" s="1"/>
  <c r="P1954" i="6"/>
  <c r="S1954" i="6" s="1"/>
  <c r="P1955" i="6"/>
  <c r="S1955" i="6" s="1"/>
  <c r="P1956" i="6"/>
  <c r="S1956" i="6" s="1"/>
  <c r="P1957" i="6"/>
  <c r="S1957" i="6" s="1"/>
  <c r="P1958" i="6"/>
  <c r="S1958" i="6" s="1"/>
  <c r="P1959" i="6"/>
  <c r="S1959" i="6" s="1"/>
  <c r="P1960" i="6"/>
  <c r="S1960" i="6" s="1"/>
  <c r="P1961" i="6"/>
  <c r="S1961" i="6" s="1"/>
  <c r="P1962" i="6"/>
  <c r="S1962" i="6" s="1"/>
  <c r="P1963" i="6"/>
  <c r="S1963" i="6" s="1"/>
  <c r="P1964" i="6"/>
  <c r="S1964" i="6" s="1"/>
  <c r="P1965" i="6"/>
  <c r="S1965" i="6" s="1"/>
  <c r="P1966" i="6"/>
  <c r="S1966" i="6" s="1"/>
  <c r="P1967" i="6"/>
  <c r="S1967" i="6" s="1"/>
  <c r="P1968" i="6"/>
  <c r="S1968" i="6" s="1"/>
  <c r="P1969" i="6"/>
  <c r="S1969" i="6" s="1"/>
  <c r="P1970" i="6"/>
  <c r="S1970" i="6" s="1"/>
  <c r="P1971" i="6"/>
  <c r="S1971" i="6" s="1"/>
  <c r="P1972" i="6"/>
  <c r="S1972" i="6" s="1"/>
  <c r="P1973" i="6"/>
  <c r="S1973" i="6" s="1"/>
  <c r="P1974" i="6"/>
  <c r="S1974" i="6" s="1"/>
  <c r="P1975" i="6"/>
  <c r="S1975" i="6" s="1"/>
  <c r="P1976" i="6"/>
  <c r="S1976" i="6" s="1"/>
  <c r="P1977" i="6"/>
  <c r="S1977" i="6" s="1"/>
  <c r="P1978" i="6"/>
  <c r="S1978" i="6" s="1"/>
  <c r="P1979" i="6"/>
  <c r="S1979" i="6" s="1"/>
  <c r="P1980" i="6"/>
  <c r="S1980" i="6" s="1"/>
  <c r="P1981" i="6"/>
  <c r="S1981" i="6" s="1"/>
  <c r="P1982" i="6"/>
  <c r="S1982" i="6" s="1"/>
  <c r="P1983" i="6"/>
  <c r="S1983" i="6" s="1"/>
  <c r="P1984" i="6"/>
  <c r="S1984" i="6" s="1"/>
  <c r="P1985" i="6"/>
  <c r="S1985" i="6" s="1"/>
  <c r="P1986" i="6"/>
  <c r="S1986" i="6" s="1"/>
  <c r="P1987" i="6"/>
  <c r="S1987" i="6" s="1"/>
  <c r="P1988" i="6"/>
  <c r="S1988" i="6" s="1"/>
  <c r="P1989" i="6"/>
  <c r="S1989" i="6" s="1"/>
  <c r="P1990" i="6"/>
  <c r="S1990" i="6" s="1"/>
  <c r="P1991" i="6"/>
  <c r="S1991" i="6" s="1"/>
  <c r="P1992" i="6"/>
  <c r="S1992" i="6" s="1"/>
  <c r="P1993" i="6"/>
  <c r="S1993" i="6" s="1"/>
  <c r="P1994" i="6"/>
  <c r="S1994" i="6" s="1"/>
  <c r="P1995" i="6"/>
  <c r="S1995" i="6" s="1"/>
  <c r="P1996" i="6"/>
  <c r="S1996" i="6" s="1"/>
  <c r="P1997" i="6"/>
  <c r="S1997" i="6" s="1"/>
  <c r="P1998" i="6"/>
  <c r="S1998" i="6" s="1"/>
  <c r="P1999" i="6"/>
  <c r="S1999" i="6" s="1"/>
  <c r="P2000" i="6"/>
  <c r="S2000" i="6" s="1"/>
  <c r="P2001" i="6"/>
  <c r="S2001" i="6" s="1"/>
  <c r="P2002" i="6"/>
  <c r="S2002" i="6" s="1"/>
  <c r="P2003" i="6"/>
  <c r="S2003" i="6" s="1"/>
  <c r="P2004" i="6"/>
  <c r="S2004" i="6" s="1"/>
  <c r="P2005" i="6"/>
  <c r="S2005" i="6" s="1"/>
  <c r="P2006" i="6"/>
  <c r="S2006" i="6" s="1"/>
  <c r="P2007" i="6"/>
  <c r="S2007" i="6" s="1"/>
  <c r="P2008" i="6"/>
  <c r="S2008" i="6" s="1"/>
  <c r="P2009" i="6"/>
  <c r="S2009" i="6" s="1"/>
  <c r="P2010" i="6"/>
  <c r="S2010" i="6" s="1"/>
  <c r="P2011" i="6"/>
  <c r="S2011" i="6" s="1"/>
  <c r="P2012" i="6"/>
  <c r="S2012" i="6" s="1"/>
  <c r="P2013" i="6"/>
  <c r="S2013" i="6" s="1"/>
  <c r="P2014" i="6"/>
  <c r="S2014" i="6" s="1"/>
  <c r="P2015" i="6"/>
  <c r="S2015" i="6" s="1"/>
  <c r="P2016" i="6"/>
  <c r="S2016" i="6" s="1"/>
  <c r="P2017" i="6"/>
  <c r="S2017" i="6" s="1"/>
  <c r="P2018" i="6"/>
  <c r="S2018" i="6" s="1"/>
  <c r="P2019" i="6"/>
  <c r="S2019" i="6" s="1"/>
  <c r="P2020" i="6"/>
  <c r="S2020" i="6" s="1"/>
  <c r="P2021" i="6"/>
  <c r="S2021" i="6" s="1"/>
  <c r="P2022" i="6"/>
  <c r="S2022" i="6" s="1"/>
  <c r="P2023" i="6"/>
  <c r="S2023" i="6" s="1"/>
  <c r="P2024" i="6"/>
  <c r="S2024" i="6" s="1"/>
  <c r="P2025" i="6"/>
  <c r="S2025" i="6" s="1"/>
  <c r="P2026" i="6"/>
  <c r="S2026" i="6" s="1"/>
  <c r="P2027" i="6"/>
  <c r="S2027" i="6" s="1"/>
  <c r="P2028" i="6"/>
  <c r="S2028" i="6" s="1"/>
  <c r="P2029" i="6"/>
  <c r="S2029" i="6" s="1"/>
  <c r="P2030" i="6"/>
  <c r="S2030" i="6" s="1"/>
  <c r="P2031" i="6"/>
  <c r="S2031" i="6" s="1"/>
  <c r="P2032" i="6"/>
  <c r="S2032" i="6" s="1"/>
  <c r="P2033" i="6"/>
  <c r="S2033" i="6" s="1"/>
  <c r="P2034" i="6"/>
  <c r="S2034" i="6" s="1"/>
  <c r="P2035" i="6"/>
  <c r="S2035" i="6" s="1"/>
  <c r="P2036" i="6"/>
  <c r="S2036" i="6" s="1"/>
  <c r="P2037" i="6"/>
  <c r="S2037" i="6" s="1"/>
  <c r="P2038" i="6"/>
  <c r="S2038" i="6" s="1"/>
  <c r="P2039" i="6"/>
  <c r="S2039" i="6" s="1"/>
  <c r="P2040" i="6"/>
  <c r="S2040" i="6" s="1"/>
  <c r="P2041" i="6"/>
  <c r="S2041" i="6" s="1"/>
  <c r="P2042" i="6"/>
  <c r="S2042" i="6" s="1"/>
  <c r="P2043" i="6"/>
  <c r="S2043" i="6" s="1"/>
  <c r="P2044" i="6"/>
  <c r="S2044" i="6" s="1"/>
  <c r="P2045" i="6"/>
  <c r="S2045" i="6" s="1"/>
  <c r="P2046" i="6"/>
  <c r="S2046" i="6" s="1"/>
  <c r="P2047" i="6"/>
  <c r="S2047" i="6" s="1"/>
  <c r="P2048" i="6"/>
  <c r="S2048" i="6" s="1"/>
  <c r="P2049" i="6"/>
  <c r="S2049" i="6" s="1"/>
  <c r="P2050" i="6"/>
  <c r="S2050" i="6" s="1"/>
  <c r="P2051" i="6"/>
  <c r="S2051" i="6" s="1"/>
  <c r="P2052" i="6"/>
  <c r="S2052" i="6" s="1"/>
  <c r="P2053" i="6"/>
  <c r="S2053" i="6" s="1"/>
  <c r="P2054" i="6"/>
  <c r="S2054" i="6" s="1"/>
  <c r="P2055" i="6"/>
  <c r="S2055" i="6" s="1"/>
  <c r="P2056" i="6"/>
  <c r="S2056" i="6" s="1"/>
  <c r="P2057" i="6"/>
  <c r="S2057" i="6" s="1"/>
  <c r="P2058" i="6"/>
  <c r="S2058" i="6" s="1"/>
  <c r="P2059" i="6"/>
  <c r="S2059" i="6" s="1"/>
  <c r="P2060" i="6"/>
  <c r="S2060" i="6" s="1"/>
  <c r="P2061" i="6"/>
  <c r="S2061" i="6" s="1"/>
  <c r="P2062" i="6"/>
  <c r="S2062" i="6" s="1"/>
  <c r="P2063" i="6"/>
  <c r="S2063" i="6" s="1"/>
  <c r="P2064" i="6"/>
  <c r="S2064" i="6" s="1"/>
  <c r="P2065" i="6"/>
  <c r="S2065" i="6" s="1"/>
  <c r="P2066" i="6"/>
  <c r="S2066" i="6" s="1"/>
  <c r="P2067" i="6"/>
  <c r="S2067" i="6" s="1"/>
  <c r="P2068" i="6"/>
  <c r="S2068" i="6" s="1"/>
  <c r="P2069" i="6"/>
  <c r="S2069" i="6" s="1"/>
  <c r="P2070" i="6"/>
  <c r="S2070" i="6" s="1"/>
  <c r="P2071" i="6"/>
  <c r="S2071" i="6" s="1"/>
  <c r="P2072" i="6"/>
  <c r="S2072" i="6" s="1"/>
  <c r="P2073" i="6"/>
  <c r="S2073" i="6" s="1"/>
  <c r="P2074" i="6"/>
  <c r="S2074" i="6" s="1"/>
  <c r="P2075" i="6"/>
  <c r="S2075" i="6" s="1"/>
  <c r="P2076" i="6"/>
  <c r="S2076" i="6" s="1"/>
  <c r="P2077" i="6"/>
  <c r="S2077" i="6" s="1"/>
  <c r="P2078" i="6"/>
  <c r="S2078" i="6" s="1"/>
  <c r="P2079" i="6"/>
  <c r="S2079" i="6" s="1"/>
  <c r="P2080" i="6"/>
  <c r="S2080" i="6" s="1"/>
  <c r="P2081" i="6"/>
  <c r="S2081" i="6" s="1"/>
  <c r="P2082" i="6"/>
  <c r="S2082" i="6" s="1"/>
  <c r="P2083" i="6"/>
  <c r="S2083" i="6" s="1"/>
  <c r="P2084" i="6"/>
  <c r="S2084" i="6" s="1"/>
  <c r="P2085" i="6"/>
  <c r="S2085" i="6" s="1"/>
  <c r="P2086" i="6"/>
  <c r="S2086" i="6" s="1"/>
  <c r="P2087" i="6"/>
  <c r="S2087" i="6" s="1"/>
  <c r="P2088" i="6"/>
  <c r="S2088" i="6" s="1"/>
  <c r="P2089" i="6"/>
  <c r="S2089" i="6" s="1"/>
  <c r="P2090" i="6"/>
  <c r="S2090" i="6" s="1"/>
  <c r="P2091" i="6"/>
  <c r="S2091" i="6" s="1"/>
  <c r="P2092" i="6"/>
  <c r="S2092" i="6" s="1"/>
  <c r="P2093" i="6"/>
  <c r="S2093" i="6" s="1"/>
  <c r="P2094" i="6"/>
  <c r="S2094" i="6" s="1"/>
  <c r="P2095" i="6"/>
  <c r="S2095" i="6" s="1"/>
  <c r="P2096" i="6"/>
  <c r="S2096" i="6" s="1"/>
  <c r="P2097" i="6"/>
  <c r="S2097" i="6" s="1"/>
  <c r="P2098" i="6"/>
  <c r="S2098" i="6" s="1"/>
  <c r="P2099" i="6"/>
  <c r="S2099" i="6" s="1"/>
  <c r="P2100" i="6"/>
  <c r="S2100" i="6" s="1"/>
  <c r="P2101" i="6"/>
  <c r="S2101" i="6" s="1"/>
  <c r="P2102" i="6"/>
  <c r="S2102" i="6" s="1"/>
  <c r="P2103" i="6"/>
  <c r="S2103" i="6" s="1"/>
  <c r="P2104" i="6"/>
  <c r="S2104" i="6" s="1"/>
  <c r="P2105" i="6"/>
  <c r="S2105" i="6" s="1"/>
  <c r="P2106" i="6"/>
  <c r="S2106" i="6" s="1"/>
  <c r="P2107" i="6"/>
  <c r="S2107" i="6" s="1"/>
  <c r="P2108" i="6"/>
  <c r="S2108" i="6" s="1"/>
  <c r="P2109" i="6"/>
  <c r="S2109" i="6" s="1"/>
  <c r="P2110" i="6"/>
  <c r="S2110" i="6" s="1"/>
  <c r="P2111" i="6"/>
  <c r="S2111" i="6" s="1"/>
  <c r="P2112" i="6"/>
  <c r="S2112" i="6" s="1"/>
  <c r="P2113" i="6"/>
  <c r="S2113" i="6" s="1"/>
  <c r="P2114" i="6"/>
  <c r="S2114" i="6" s="1"/>
  <c r="P2115" i="6"/>
  <c r="S2115" i="6" s="1"/>
  <c r="P2116" i="6"/>
  <c r="S2116" i="6" s="1"/>
  <c r="P2117" i="6"/>
  <c r="S2117" i="6" s="1"/>
  <c r="P2118" i="6"/>
  <c r="S2118" i="6" s="1"/>
  <c r="P2119" i="6"/>
  <c r="S2119" i="6" s="1"/>
  <c r="P2120" i="6"/>
  <c r="S2120" i="6" s="1"/>
  <c r="P2121" i="6"/>
  <c r="S2121" i="6" s="1"/>
  <c r="P2122" i="6"/>
  <c r="S2122" i="6" s="1"/>
  <c r="P2123" i="6"/>
  <c r="S2123" i="6" s="1"/>
  <c r="P2124" i="6"/>
  <c r="S2124" i="6" s="1"/>
  <c r="P2125" i="6"/>
  <c r="S2125" i="6" s="1"/>
  <c r="P2126" i="6"/>
  <c r="S2126" i="6" s="1"/>
  <c r="P2127" i="6"/>
  <c r="S2127" i="6" s="1"/>
  <c r="P2128" i="6"/>
  <c r="S2128" i="6" s="1"/>
  <c r="P2129" i="6"/>
  <c r="S2129" i="6" s="1"/>
  <c r="P2130" i="6"/>
  <c r="S2130" i="6" s="1"/>
  <c r="P2131" i="6"/>
  <c r="S2131" i="6" s="1"/>
  <c r="P2132" i="6"/>
  <c r="S2132" i="6" s="1"/>
  <c r="P2133" i="6"/>
  <c r="S2133" i="6" s="1"/>
  <c r="P2134" i="6"/>
  <c r="S2134" i="6" s="1"/>
  <c r="P2135" i="6"/>
  <c r="S2135" i="6" s="1"/>
  <c r="P2136" i="6"/>
  <c r="S2136" i="6" s="1"/>
  <c r="P2137" i="6"/>
  <c r="S2137" i="6" s="1"/>
  <c r="P2138" i="6"/>
  <c r="S2138" i="6" s="1"/>
  <c r="P2139" i="6"/>
  <c r="S2139" i="6" s="1"/>
  <c r="P2140" i="6"/>
  <c r="S2140" i="6" s="1"/>
  <c r="P2141" i="6"/>
  <c r="S2141" i="6" s="1"/>
  <c r="P2142" i="6"/>
  <c r="S2142" i="6" s="1"/>
  <c r="P2143" i="6"/>
  <c r="S2143" i="6" s="1"/>
  <c r="P2144" i="6"/>
  <c r="S2144" i="6" s="1"/>
  <c r="P2145" i="6"/>
  <c r="S2145" i="6" s="1"/>
  <c r="P2146" i="6"/>
  <c r="S2146" i="6" s="1"/>
  <c r="P2147" i="6"/>
  <c r="S2147" i="6" s="1"/>
  <c r="P2148" i="6"/>
  <c r="S2148" i="6" s="1"/>
  <c r="P2149" i="6"/>
  <c r="S2149" i="6" s="1"/>
  <c r="P2150" i="6"/>
  <c r="S2150" i="6" s="1"/>
  <c r="P2151" i="6"/>
  <c r="S2151" i="6" s="1"/>
  <c r="P2152" i="6"/>
  <c r="S2152" i="6" s="1"/>
  <c r="P2153" i="6"/>
  <c r="S2153" i="6" s="1"/>
  <c r="P2154" i="6"/>
  <c r="S2154" i="6" s="1"/>
  <c r="P2155" i="6"/>
  <c r="S2155" i="6" s="1"/>
  <c r="P2156" i="6"/>
  <c r="S2156" i="6" s="1"/>
  <c r="P2157" i="6"/>
  <c r="S2157" i="6" s="1"/>
  <c r="P2158" i="6"/>
  <c r="S2158" i="6" s="1"/>
  <c r="AB2158" i="6" a="1"/>
  <c r="AB2158" i="6" s="1"/>
  <c r="AB2156" i="6" a="1"/>
  <c r="AB2156" i="6" s="1"/>
  <c r="AB2155" i="6" a="1"/>
  <c r="AB2155" i="6" s="1"/>
  <c r="AB2154" i="6" a="1"/>
  <c r="AB2154" i="6" s="1"/>
  <c r="AB2153" i="6" a="1"/>
  <c r="AB2153" i="6" s="1"/>
  <c r="AB2152" i="6" a="1"/>
  <c r="AB2152" i="6" s="1"/>
  <c r="AB2151" i="6" a="1"/>
  <c r="AB2151" i="6" s="1"/>
  <c r="AB2150" i="6" a="1"/>
  <c r="AB2150" i="6" s="1"/>
  <c r="AB2149" i="6" a="1"/>
  <c r="AB2149" i="6" s="1"/>
  <c r="AB2148" i="6" a="1"/>
  <c r="AB2148" i="6" s="1"/>
  <c r="AB2147" i="6" a="1"/>
  <c r="AB2147" i="6" s="1"/>
  <c r="AB2146" i="6" a="1"/>
  <c r="AB2146" i="6" s="1"/>
  <c r="AB2145" i="6" a="1"/>
  <c r="AB2145" i="6" s="1"/>
  <c r="AB2144" i="6" a="1"/>
  <c r="AB2144" i="6" s="1"/>
  <c r="AB2143" i="6" a="1"/>
  <c r="AB2143" i="6" s="1"/>
  <c r="AB2142" i="6" a="1"/>
  <c r="AB2142" i="6" s="1"/>
  <c r="AB2141" i="6" a="1"/>
  <c r="AB2141" i="6" s="1"/>
  <c r="AB2140" i="6" a="1"/>
  <c r="AB2140" i="6" s="1"/>
  <c r="AB2139" i="6" a="1"/>
  <c r="AB2139" i="6" s="1"/>
  <c r="AB2138" i="6" a="1"/>
  <c r="AB2138" i="6" s="1"/>
  <c r="AB2137" i="6" a="1"/>
  <c r="AB2137" i="6" s="1"/>
  <c r="AB2136" i="6" a="1"/>
  <c r="AB2136" i="6" s="1"/>
  <c r="AB2135" i="6" a="1"/>
  <c r="AB2135" i="6" s="1"/>
  <c r="AB2134" i="6" a="1"/>
  <c r="AB2134" i="6" s="1"/>
  <c r="AB2133" i="6" a="1"/>
  <c r="AB2133" i="6" s="1"/>
  <c r="AB2132" i="6" a="1"/>
  <c r="AB2132" i="6" s="1"/>
  <c r="AB2131" i="6" a="1"/>
  <c r="AB2131" i="6" s="1"/>
  <c r="AB2130" i="6" a="1"/>
  <c r="AB2130" i="6" s="1"/>
  <c r="AB2129" i="6" a="1"/>
  <c r="AB2129" i="6" s="1"/>
  <c r="AB2128" i="6" a="1"/>
  <c r="AB2128" i="6" s="1"/>
  <c r="AB2127" i="6" a="1"/>
  <c r="AB2127" i="6" s="1"/>
  <c r="AB2126" i="6" a="1"/>
  <c r="AB2126" i="6" s="1"/>
  <c r="AB2125" i="6" a="1"/>
  <c r="AB2125" i="6" s="1"/>
  <c r="AB2124" i="6" a="1"/>
  <c r="AB2124" i="6" s="1"/>
  <c r="AB2123" i="6" a="1"/>
  <c r="AB2123" i="6" s="1"/>
  <c r="AB2122" i="6" a="1"/>
  <c r="AB2122" i="6" s="1"/>
  <c r="AB2121" i="6" a="1"/>
  <c r="AB2121" i="6" s="1"/>
  <c r="AB2120" i="6" a="1"/>
  <c r="AB2120" i="6" s="1"/>
  <c r="AB2119" i="6" a="1"/>
  <c r="AB2119" i="6" s="1"/>
  <c r="AB2118" i="6" a="1"/>
  <c r="AB2118" i="6" s="1"/>
  <c r="AB2117" i="6" a="1"/>
  <c r="AB2117" i="6" s="1"/>
  <c r="AB2116" i="6" a="1"/>
  <c r="AB2116" i="6" s="1"/>
  <c r="AB2115" i="6" a="1"/>
  <c r="AB2115" i="6" s="1"/>
  <c r="AB2114" i="6" a="1"/>
  <c r="AB2114" i="6" s="1"/>
  <c r="AB2113" i="6" a="1"/>
  <c r="AB2113" i="6" s="1"/>
  <c r="AB2112" i="6" a="1"/>
  <c r="AB2112" i="6" s="1"/>
  <c r="AB2111" i="6" a="1"/>
  <c r="AB2111" i="6" s="1"/>
  <c r="AB2110" i="6" a="1"/>
  <c r="AB2110" i="6" s="1"/>
  <c r="AB2109" i="6" a="1"/>
  <c r="AB2109" i="6" s="1"/>
  <c r="AB2108" i="6" a="1"/>
  <c r="AB2108" i="6" s="1"/>
  <c r="AB2107" i="6" a="1"/>
  <c r="AB2107" i="6" s="1"/>
  <c r="AB2106" i="6" a="1"/>
  <c r="AB2106" i="6" s="1"/>
  <c r="AB2105" i="6" a="1"/>
  <c r="AB2105" i="6" s="1"/>
  <c r="AB2104" i="6" a="1"/>
  <c r="AB2104" i="6" s="1"/>
  <c r="AB2103" i="6" a="1"/>
  <c r="AB2103" i="6" s="1"/>
  <c r="AB2102" i="6" a="1"/>
  <c r="AB2102" i="6" s="1"/>
  <c r="AB2101" i="6" a="1"/>
  <c r="AB2101" i="6" s="1"/>
  <c r="AB2100" i="6" a="1"/>
  <c r="AB2100" i="6" s="1"/>
  <c r="AB2099" i="6" a="1"/>
  <c r="AB2099" i="6" s="1"/>
  <c r="AB2098" i="6" a="1"/>
  <c r="AB2098" i="6" s="1"/>
  <c r="AB2097" i="6" a="1"/>
  <c r="AB2097" i="6" s="1"/>
  <c r="AB2096" i="6" a="1"/>
  <c r="AB2096" i="6" s="1"/>
  <c r="AB2095" i="6" a="1"/>
  <c r="AB2095" i="6" s="1"/>
  <c r="AB2094" i="6" a="1"/>
  <c r="AB2094" i="6" s="1"/>
  <c r="AB2093" i="6" a="1"/>
  <c r="AB2093" i="6" s="1"/>
  <c r="AB2092" i="6" a="1"/>
  <c r="AB2092" i="6" s="1"/>
  <c r="AB2091" i="6" a="1"/>
  <c r="AB2091" i="6" s="1"/>
  <c r="AB2090" i="6" a="1"/>
  <c r="AB2090" i="6" s="1"/>
  <c r="AB2089" i="6" a="1"/>
  <c r="AB2089" i="6" s="1"/>
  <c r="AB2088" i="6" a="1"/>
  <c r="AB2088" i="6" s="1"/>
  <c r="AB2087" i="6" a="1"/>
  <c r="AB2087" i="6" s="1"/>
  <c r="AB2086" i="6" a="1"/>
  <c r="AB2086" i="6" s="1"/>
  <c r="AB2085" i="6" a="1"/>
  <c r="AB2085" i="6" s="1"/>
  <c r="AB2084" i="6" a="1"/>
  <c r="AB2084" i="6" s="1"/>
  <c r="AB2083" i="6" a="1"/>
  <c r="AB2083" i="6" s="1"/>
  <c r="AB2082" i="6" a="1"/>
  <c r="AB2082" i="6" s="1"/>
  <c r="AB2081" i="6" a="1"/>
  <c r="AB2081" i="6" s="1"/>
  <c r="AB2080" i="6" a="1"/>
  <c r="AB2080" i="6" s="1"/>
  <c r="AB2079" i="6" a="1"/>
  <c r="AB2079" i="6" s="1"/>
  <c r="AB2078" i="6" a="1"/>
  <c r="AB2078" i="6" s="1"/>
  <c r="AB2077" i="6" a="1"/>
  <c r="AB2077" i="6" s="1"/>
  <c r="AB2076" i="6" a="1"/>
  <c r="AB2076" i="6" s="1"/>
  <c r="AB2075" i="6" a="1"/>
  <c r="AB2075" i="6" s="1"/>
  <c r="AB2074" i="6" a="1"/>
  <c r="AB2074" i="6" s="1"/>
  <c r="AB2073" i="6" a="1"/>
  <c r="AB2073" i="6" s="1"/>
  <c r="AB2072" i="6" a="1"/>
  <c r="AB2072" i="6" s="1"/>
  <c r="AB2071" i="6" a="1"/>
  <c r="AB2071" i="6" s="1"/>
  <c r="AB2070" i="6" a="1"/>
  <c r="AB2070" i="6" s="1"/>
  <c r="AB2069" i="6" a="1"/>
  <c r="AB2069" i="6" s="1"/>
  <c r="AB2068" i="6" a="1"/>
  <c r="AB2068" i="6" s="1"/>
  <c r="AB2067" i="6" a="1"/>
  <c r="AB2067" i="6" s="1"/>
  <c r="AB2066" i="6" a="1"/>
  <c r="AB2066" i="6" s="1"/>
  <c r="AB2065" i="6" a="1"/>
  <c r="AB2065" i="6" s="1"/>
  <c r="AB2064" i="6" a="1"/>
  <c r="AB2064" i="6" s="1"/>
  <c r="AB2063" i="6" a="1"/>
  <c r="AB2063" i="6" s="1"/>
  <c r="AB2062" i="6" a="1"/>
  <c r="AB2062" i="6" s="1"/>
  <c r="AB2061" i="6" a="1"/>
  <c r="AB2061" i="6" s="1"/>
  <c r="AB2060" i="6" a="1"/>
  <c r="AB2060" i="6" s="1"/>
  <c r="AB2059" i="6" a="1"/>
  <c r="AB2059" i="6" s="1"/>
  <c r="AB2058" i="6" a="1"/>
  <c r="AB2058" i="6" s="1"/>
  <c r="AB2057" i="6" a="1"/>
  <c r="AB2057" i="6" s="1"/>
  <c r="AB2056" i="6" a="1"/>
  <c r="AB2056" i="6" s="1"/>
  <c r="AB2055" i="6" a="1"/>
  <c r="AB2055" i="6" s="1"/>
  <c r="AB2054" i="6" a="1"/>
  <c r="AB2054" i="6" s="1"/>
  <c r="AB2053" i="6" a="1"/>
  <c r="AB2053" i="6" s="1"/>
  <c r="AB2052" i="6" a="1"/>
  <c r="AB2052" i="6" s="1"/>
  <c r="AB2051" i="6" a="1"/>
  <c r="AB2051" i="6" s="1"/>
  <c r="AB2050" i="6" a="1"/>
  <c r="AB2050" i="6" s="1"/>
  <c r="AB2049" i="6" a="1"/>
  <c r="AB2049" i="6" s="1"/>
  <c r="AB2048" i="6" a="1"/>
  <c r="AB2048" i="6" s="1"/>
  <c r="AB2047" i="6" a="1"/>
  <c r="AB2047" i="6" s="1"/>
  <c r="AB2046" i="6" a="1"/>
  <c r="AB2046" i="6" s="1"/>
  <c r="AB2045" i="6" a="1"/>
  <c r="AB2045" i="6" s="1"/>
  <c r="AB2044" i="6" a="1"/>
  <c r="AB2044" i="6" s="1"/>
  <c r="AB2043" i="6" a="1"/>
  <c r="AB2043" i="6" s="1"/>
  <c r="AB2042" i="6" a="1"/>
  <c r="AB2042" i="6" s="1"/>
  <c r="AB2041" i="6" a="1"/>
  <c r="AB2041" i="6" s="1"/>
  <c r="AB2040" i="6" a="1"/>
  <c r="AB2040" i="6" s="1"/>
  <c r="AB2039" i="6" a="1"/>
  <c r="AB2039" i="6" s="1"/>
  <c r="AB2038" i="6" a="1"/>
  <c r="AB2038" i="6" s="1"/>
  <c r="AB2037" i="6" a="1"/>
  <c r="AB2037" i="6" s="1"/>
  <c r="AB2036" i="6" a="1"/>
  <c r="AB2036" i="6" s="1"/>
  <c r="AB2035" i="6" a="1"/>
  <c r="AB2035" i="6" s="1"/>
  <c r="AB2034" i="6" a="1"/>
  <c r="AB2034" i="6" s="1"/>
  <c r="AB2033" i="6" a="1"/>
  <c r="AB2033" i="6" s="1"/>
  <c r="AB2032" i="6" a="1"/>
  <c r="AB2032" i="6" s="1"/>
  <c r="AB2031" i="6" a="1"/>
  <c r="AB2031" i="6" s="1"/>
  <c r="AB2030" i="6" a="1"/>
  <c r="AB2030" i="6" s="1"/>
  <c r="AB2029" i="6" a="1"/>
  <c r="AB2029" i="6" s="1"/>
  <c r="AB2028" i="6" a="1"/>
  <c r="AB2028" i="6" s="1"/>
  <c r="AB2027" i="6" a="1"/>
  <c r="AB2027" i="6" s="1"/>
  <c r="AB2026" i="6" a="1"/>
  <c r="AB2026" i="6" s="1"/>
  <c r="AB2025" i="6" a="1"/>
  <c r="AB2025" i="6" s="1"/>
  <c r="AB2024" i="6" a="1"/>
  <c r="AB2024" i="6" s="1"/>
  <c r="AB2023" i="6" a="1"/>
  <c r="AB2023" i="6" s="1"/>
  <c r="AB2022" i="6" a="1"/>
  <c r="AB2022" i="6" s="1"/>
  <c r="AB2021" i="6" a="1"/>
  <c r="AB2021" i="6" s="1"/>
  <c r="AB2020" i="6" a="1"/>
  <c r="AB2020" i="6" s="1"/>
  <c r="AB2019" i="6" a="1"/>
  <c r="AB2019" i="6" s="1"/>
  <c r="AB2018" i="6" a="1"/>
  <c r="AB2018" i="6" s="1"/>
  <c r="AB2017" i="6" a="1"/>
  <c r="AB2017" i="6" s="1"/>
  <c r="AB2016" i="6" a="1"/>
  <c r="AB2016" i="6" s="1"/>
  <c r="AB2015" i="6" a="1"/>
  <c r="AB2015" i="6" s="1"/>
  <c r="AB2014" i="6" a="1"/>
  <c r="AB2014" i="6" s="1"/>
  <c r="AB2013" i="6" a="1"/>
  <c r="AB2013" i="6" s="1"/>
  <c r="AB2012" i="6" a="1"/>
  <c r="AB2012" i="6" s="1"/>
  <c r="AB2011" i="6" a="1"/>
  <c r="AB2011" i="6" s="1"/>
  <c r="AB2010" i="6" a="1"/>
  <c r="AB2010" i="6" s="1"/>
  <c r="AB2009" i="6" a="1"/>
  <c r="AB2009" i="6" s="1"/>
  <c r="AB2008" i="6" a="1"/>
  <c r="AB2008" i="6" s="1"/>
  <c r="AB2007" i="6" a="1"/>
  <c r="AB2007" i="6" s="1"/>
  <c r="AB2006" i="6" a="1"/>
  <c r="AB2006" i="6" s="1"/>
  <c r="AB2005" i="6" a="1"/>
  <c r="AB2005" i="6" s="1"/>
  <c r="AB2004" i="6" a="1"/>
  <c r="AB2004" i="6" s="1"/>
  <c r="AB2003" i="6" a="1"/>
  <c r="AB2003" i="6" s="1"/>
  <c r="AB2002" i="6" a="1"/>
  <c r="AB2002" i="6" s="1"/>
  <c r="AB2001" i="6" a="1"/>
  <c r="AB2001" i="6" s="1"/>
  <c r="AB2000" i="6" a="1"/>
  <c r="AB2000" i="6" s="1"/>
  <c r="AB1999" i="6" a="1"/>
  <c r="AB1999" i="6" s="1"/>
  <c r="AB1998" i="6" a="1"/>
  <c r="AB1998" i="6" s="1"/>
  <c r="AB1997" i="6" a="1"/>
  <c r="AB1997" i="6" s="1"/>
  <c r="AB1996" i="6" a="1"/>
  <c r="AB1996" i="6" s="1"/>
  <c r="AB1995" i="6" a="1"/>
  <c r="AB1995" i="6" s="1"/>
  <c r="AB1994" i="6" a="1"/>
  <c r="AB1994" i="6" s="1"/>
  <c r="AB1993" i="6" a="1"/>
  <c r="AB1993" i="6" s="1"/>
  <c r="AB1992" i="6" a="1"/>
  <c r="AB1992" i="6" s="1"/>
  <c r="AB1991" i="6" a="1"/>
  <c r="AB1991" i="6" s="1"/>
  <c r="AB1990" i="6" a="1"/>
  <c r="AB1990" i="6" s="1"/>
  <c r="AB1989" i="6" a="1"/>
  <c r="AB1989" i="6" s="1"/>
  <c r="AB1988" i="6" a="1"/>
  <c r="AB1988" i="6" s="1"/>
  <c r="AB1987" i="6" a="1"/>
  <c r="AB1987" i="6" s="1"/>
  <c r="AB1986" i="6" a="1"/>
  <c r="AB1986" i="6" s="1"/>
  <c r="AB1985" i="6" a="1"/>
  <c r="AB1985" i="6" s="1"/>
  <c r="AB1984" i="6" a="1"/>
  <c r="AB1984" i="6" s="1"/>
  <c r="AB1983" i="6" a="1"/>
  <c r="AB1983" i="6" s="1"/>
  <c r="AB1982" i="6" a="1"/>
  <c r="AB1982" i="6" s="1"/>
  <c r="AB1981" i="6" a="1"/>
  <c r="AB1981" i="6" s="1"/>
  <c r="AB1980" i="6" a="1"/>
  <c r="AB1980" i="6" s="1"/>
  <c r="AB1979" i="6" a="1"/>
  <c r="AB1979" i="6" s="1"/>
  <c r="AB1978" i="6" a="1"/>
  <c r="AB1978" i="6" s="1"/>
  <c r="AB1977" i="6" a="1"/>
  <c r="AB1977" i="6" s="1"/>
  <c r="AB1976" i="6" a="1"/>
  <c r="AB1976" i="6" s="1"/>
  <c r="AB1975" i="6" a="1"/>
  <c r="AB1975" i="6" s="1"/>
  <c r="AB1974" i="6" a="1"/>
  <c r="AB1974" i="6" s="1"/>
  <c r="AB1973" i="6" a="1"/>
  <c r="AB1973" i="6" s="1"/>
  <c r="AB1972" i="6" a="1"/>
  <c r="AB1972" i="6" s="1"/>
  <c r="AB1971" i="6" a="1"/>
  <c r="AB1971" i="6" s="1"/>
  <c r="AB1970" i="6" a="1"/>
  <c r="AB1970" i="6" s="1"/>
  <c r="AB1969" i="6" a="1"/>
  <c r="AB1969" i="6" s="1"/>
  <c r="AB1968" i="6" a="1"/>
  <c r="AB1968" i="6" s="1"/>
  <c r="AB1967" i="6" a="1"/>
  <c r="AB1967" i="6" s="1"/>
  <c r="AB1966" i="6" a="1"/>
  <c r="AB1966" i="6" s="1"/>
  <c r="AB1965" i="6" a="1"/>
  <c r="AB1965" i="6" s="1"/>
  <c r="AB1964" i="6" a="1"/>
  <c r="AB1964" i="6" s="1"/>
  <c r="AB1963" i="6" a="1"/>
  <c r="AB1963" i="6" s="1"/>
  <c r="AB1962" i="6" a="1"/>
  <c r="AB1962" i="6" s="1"/>
  <c r="AB1961" i="6" a="1"/>
  <c r="AB1961" i="6" s="1"/>
  <c r="AB1960" i="6" a="1"/>
  <c r="AB1960" i="6" s="1"/>
  <c r="AB1959" i="6" a="1"/>
  <c r="AB1959" i="6" s="1"/>
  <c r="AB1958" i="6" a="1"/>
  <c r="AB1958" i="6" s="1"/>
  <c r="AB1957" i="6" a="1"/>
  <c r="AB1957" i="6" s="1"/>
  <c r="AB1956" i="6" a="1"/>
  <c r="AB1956" i="6" s="1"/>
  <c r="AB1955" i="6" a="1"/>
  <c r="AB1955" i="6" s="1"/>
  <c r="AB1954" i="6" a="1"/>
  <c r="AB1954" i="6" s="1"/>
  <c r="AB1953" i="6" a="1"/>
  <c r="AB1953" i="6" s="1"/>
  <c r="AB1952" i="6" a="1"/>
  <c r="AB1952" i="6" s="1"/>
  <c r="AB1951" i="6" a="1"/>
  <c r="AB1951" i="6" s="1"/>
  <c r="AB1950" i="6" a="1"/>
  <c r="AB1950" i="6" s="1"/>
  <c r="AB1949" i="6" a="1"/>
  <c r="AB1949" i="6" s="1"/>
  <c r="AB1948" i="6" a="1"/>
  <c r="AB1948" i="6" s="1"/>
  <c r="AB1947" i="6" a="1"/>
  <c r="AB1947" i="6" s="1"/>
  <c r="AB1946" i="6" a="1"/>
  <c r="AB1946" i="6" s="1"/>
  <c r="AB1945" i="6" a="1"/>
  <c r="AB1945" i="6" s="1"/>
  <c r="AB1944" i="6" a="1"/>
  <c r="AB1944" i="6" s="1"/>
  <c r="AB1943" i="6" a="1"/>
  <c r="AB1943" i="6" s="1"/>
  <c r="AB1942" i="6" a="1"/>
  <c r="AB1942" i="6" s="1"/>
  <c r="AB1941" i="6" a="1"/>
  <c r="AB1941" i="6" s="1"/>
  <c r="AB1940" i="6" a="1"/>
  <c r="AB1940" i="6" s="1"/>
  <c r="AB1939" i="6" a="1"/>
  <c r="AB1939" i="6" s="1"/>
  <c r="AB1938" i="6" a="1"/>
  <c r="AB1938" i="6" s="1"/>
  <c r="AB1937" i="6" a="1"/>
  <c r="AB1937" i="6" s="1"/>
  <c r="AB1936" i="6" a="1"/>
  <c r="AB1936" i="6" s="1"/>
  <c r="AB1935" i="6" a="1"/>
  <c r="AB1935" i="6" s="1"/>
  <c r="AB1934" i="6" a="1"/>
  <c r="AB1934" i="6" s="1"/>
  <c r="AB1933" i="6" a="1"/>
  <c r="AB1933" i="6" s="1"/>
  <c r="AB1932" i="6" a="1"/>
  <c r="AB1932" i="6" s="1"/>
  <c r="AB1931" i="6" a="1"/>
  <c r="AB1931" i="6" s="1"/>
  <c r="AB1930" i="6" a="1"/>
  <c r="AB1930" i="6" s="1"/>
  <c r="AB1929" i="6" a="1"/>
  <c r="AB1929" i="6" s="1"/>
  <c r="AB1928" i="6" a="1"/>
  <c r="AB1928" i="6" s="1"/>
  <c r="AB1927" i="6" a="1"/>
  <c r="AB1927" i="6" s="1"/>
  <c r="AB1926" i="6" a="1"/>
  <c r="AB1926" i="6" s="1"/>
  <c r="AB1925" i="6" a="1"/>
  <c r="AB1925" i="6" s="1"/>
  <c r="AB1924" i="6" a="1"/>
  <c r="AB1924" i="6" s="1"/>
  <c r="AB1923" i="6" a="1"/>
  <c r="AB1923" i="6" s="1"/>
  <c r="AB1922" i="6" a="1"/>
  <c r="AB1922" i="6" s="1"/>
  <c r="AB1921" i="6" a="1"/>
  <c r="AB1921" i="6" s="1"/>
  <c r="AB1920" i="6" a="1"/>
  <c r="AB1920" i="6" s="1"/>
  <c r="AB1919" i="6" a="1"/>
  <c r="AB1919" i="6" s="1"/>
  <c r="AB1918" i="6" a="1"/>
  <c r="AB1918" i="6" s="1"/>
  <c r="AB1917" i="6" a="1"/>
  <c r="AB1917" i="6" s="1"/>
  <c r="AB1916" i="6" a="1"/>
  <c r="AB1916" i="6" s="1"/>
  <c r="AB1915" i="6" a="1"/>
  <c r="AB1915" i="6" s="1"/>
  <c r="AB1914" i="6" a="1"/>
  <c r="AB1914" i="6" s="1"/>
  <c r="AB1913" i="6" a="1"/>
  <c r="AB1913" i="6" s="1"/>
  <c r="AB1912" i="6" a="1"/>
  <c r="AB1912" i="6" s="1"/>
  <c r="AB1911" i="6" a="1"/>
  <c r="AB1911" i="6" s="1"/>
  <c r="AB1910" i="6" a="1"/>
  <c r="AB1910" i="6" s="1"/>
  <c r="AB1909" i="6" a="1"/>
  <c r="AB1909" i="6" s="1"/>
  <c r="AB1908" i="6" a="1"/>
  <c r="AB1908" i="6" s="1"/>
  <c r="AB1907" i="6" a="1"/>
  <c r="AB1907" i="6" s="1"/>
  <c r="AB1906" i="6" a="1"/>
  <c r="AB1906" i="6" s="1"/>
  <c r="AB1905" i="6" a="1"/>
  <c r="AB1905" i="6" s="1"/>
  <c r="AB1904" i="6" a="1"/>
  <c r="AB1904" i="6" s="1"/>
  <c r="AB1903" i="6" a="1"/>
  <c r="AB1903" i="6" s="1"/>
  <c r="AB1902" i="6" a="1"/>
  <c r="AB1902" i="6" s="1"/>
  <c r="AB1901" i="6" a="1"/>
  <c r="AB1901" i="6" s="1"/>
  <c r="AB1900" i="6" a="1"/>
  <c r="AB1900" i="6" s="1"/>
  <c r="AB1899" i="6" a="1"/>
  <c r="AB1899" i="6" s="1"/>
  <c r="AB1898" i="6" a="1"/>
  <c r="AB1898" i="6" s="1"/>
  <c r="AB1897" i="6" a="1"/>
  <c r="AB1897" i="6" s="1"/>
  <c r="AB1896" i="6" a="1"/>
  <c r="AB1896" i="6" s="1"/>
  <c r="AB1895" i="6" a="1"/>
  <c r="AB1895" i="6" s="1"/>
  <c r="AB1894" i="6" a="1"/>
  <c r="AB1894" i="6" s="1"/>
  <c r="AB1893" i="6" a="1"/>
  <c r="AB1893" i="6" s="1"/>
  <c r="AB1892" i="6" a="1"/>
  <c r="AB1892" i="6" s="1"/>
  <c r="AB1891" i="6" a="1"/>
  <c r="AB1891" i="6" s="1"/>
  <c r="AB1890" i="6" a="1"/>
  <c r="AB1890" i="6" s="1"/>
  <c r="AB1889" i="6" a="1"/>
  <c r="AB1889" i="6" s="1"/>
  <c r="AB1888" i="6" a="1"/>
  <c r="AB1888" i="6" s="1"/>
  <c r="AB1887" i="6" a="1"/>
  <c r="AB1887" i="6" s="1"/>
  <c r="AB1886" i="6" a="1"/>
  <c r="AB1886" i="6" s="1"/>
  <c r="AB1885" i="6" a="1"/>
  <c r="AB1885" i="6" s="1"/>
  <c r="AB1884" i="6" a="1"/>
  <c r="AB1884" i="6" s="1"/>
  <c r="AB1883" i="6" a="1"/>
  <c r="AB1883" i="6" s="1"/>
  <c r="AB1882" i="6" a="1"/>
  <c r="AB1882" i="6" s="1"/>
  <c r="AB1881" i="6" a="1"/>
  <c r="AB1881" i="6" s="1"/>
  <c r="AB1880" i="6" a="1"/>
  <c r="AB1880" i="6" s="1"/>
  <c r="AB1879" i="6" a="1"/>
  <c r="AB1879" i="6" s="1"/>
  <c r="AB1878" i="6" a="1"/>
  <c r="AB1878" i="6" s="1"/>
  <c r="AB1877" i="6" a="1"/>
  <c r="AB1877" i="6" s="1"/>
  <c r="AB1876" i="6" a="1"/>
  <c r="AB1876" i="6" s="1"/>
  <c r="AB1875" i="6" a="1"/>
  <c r="AB1875" i="6" s="1"/>
  <c r="AB1874" i="6" a="1"/>
  <c r="AB1874" i="6" s="1"/>
  <c r="AB1873" i="6" a="1"/>
  <c r="AB1873" i="6" s="1"/>
  <c r="AB1872" i="6" a="1"/>
  <c r="AB1872" i="6" s="1"/>
  <c r="AB1871" i="6" a="1"/>
  <c r="AB1871" i="6" s="1"/>
  <c r="AB1870" i="6" a="1"/>
  <c r="AB1870" i="6" s="1"/>
  <c r="AB1869" i="6" a="1"/>
  <c r="AB1869" i="6" s="1"/>
  <c r="AB1868" i="6" a="1"/>
  <c r="AB1868" i="6" s="1"/>
  <c r="AB1867" i="6" a="1"/>
  <c r="AB1867" i="6" s="1"/>
  <c r="AB1866" i="6" a="1"/>
  <c r="AB1866" i="6" s="1"/>
  <c r="AB1865" i="6" a="1"/>
  <c r="AB1865" i="6" s="1"/>
  <c r="AB1864" i="6" a="1"/>
  <c r="AB1864" i="6" s="1"/>
  <c r="AB1863" i="6" a="1"/>
  <c r="AB1863" i="6" s="1"/>
  <c r="AB1862" i="6" a="1"/>
  <c r="AB1862" i="6" s="1"/>
  <c r="AB1861" i="6" a="1"/>
  <c r="AB1861" i="6" s="1"/>
  <c r="AB1860" i="6" a="1"/>
  <c r="AB1860" i="6" s="1"/>
  <c r="AB1859" i="6" a="1"/>
  <c r="AB1859" i="6" s="1"/>
  <c r="AB1858" i="6" a="1"/>
  <c r="AB1858" i="6" s="1"/>
  <c r="AB1857" i="6" a="1"/>
  <c r="AB1857" i="6" s="1"/>
  <c r="AB1856" i="6" a="1"/>
  <c r="AB1856" i="6" s="1"/>
  <c r="AB1855" i="6" a="1"/>
  <c r="AB1855" i="6" s="1"/>
  <c r="AB1854" i="6" a="1"/>
  <c r="AB1854" i="6" s="1"/>
  <c r="AB1853" i="6" a="1"/>
  <c r="AB1853" i="6" s="1"/>
  <c r="AB1852" i="6" a="1"/>
  <c r="AB1852" i="6" s="1"/>
  <c r="AB1851" i="6" a="1"/>
  <c r="AB1851" i="6" s="1"/>
  <c r="AB1850" i="6" a="1"/>
  <c r="AB1850" i="6" s="1"/>
  <c r="AB1849" i="6" a="1"/>
  <c r="AB1849" i="6" s="1"/>
  <c r="AB1848" i="6" a="1"/>
  <c r="AB1848" i="6" s="1"/>
  <c r="AB1847" i="6" a="1"/>
  <c r="AB1847" i="6" s="1"/>
  <c r="AB1846" i="6" a="1"/>
  <c r="AB1846" i="6" s="1"/>
  <c r="AB1845" i="6" a="1"/>
  <c r="AB1845" i="6" s="1"/>
  <c r="AB1844" i="6" a="1"/>
  <c r="AB1844" i="6" s="1"/>
  <c r="AB1843" i="6" a="1"/>
  <c r="AB1843" i="6" s="1"/>
  <c r="AB1842" i="6" a="1"/>
  <c r="AB1842" i="6" s="1"/>
  <c r="AB1841" i="6" a="1"/>
  <c r="AB1841" i="6" s="1"/>
  <c r="AB1840" i="6" a="1"/>
  <c r="AB1840" i="6" s="1"/>
  <c r="AB1839" i="6" a="1"/>
  <c r="AB1839" i="6" s="1"/>
  <c r="AB1838" i="6" a="1"/>
  <c r="AB1838" i="6" s="1"/>
  <c r="AB1837" i="6" a="1"/>
  <c r="AB1837" i="6" s="1"/>
  <c r="AB1836" i="6" a="1"/>
  <c r="AB1836" i="6" s="1"/>
  <c r="AB1835" i="6" a="1"/>
  <c r="AB1835" i="6" s="1"/>
  <c r="AB1834" i="6" a="1"/>
  <c r="AB1834" i="6" s="1"/>
  <c r="AB1833" i="6" a="1"/>
  <c r="AB1833" i="6" s="1"/>
  <c r="AB1832" i="6" a="1"/>
  <c r="AB1832" i="6" s="1"/>
  <c r="AB1831" i="6" a="1"/>
  <c r="AB1831" i="6" s="1"/>
  <c r="AB1830" i="6" a="1"/>
  <c r="AB1830" i="6" s="1"/>
  <c r="AB1829" i="6" a="1"/>
  <c r="AB1829" i="6" s="1"/>
  <c r="AB1828" i="6" a="1"/>
  <c r="AB1828" i="6" s="1"/>
  <c r="AB1827" i="6" a="1"/>
  <c r="AB1827" i="6" s="1"/>
  <c r="AB1826" i="6" a="1"/>
  <c r="AB1826" i="6" s="1"/>
  <c r="AB1825" i="6" a="1"/>
  <c r="AB1825" i="6" s="1"/>
  <c r="AB1824" i="6" a="1"/>
  <c r="AB1824" i="6" s="1"/>
  <c r="AB1823" i="6" a="1"/>
  <c r="AB1823" i="6" s="1"/>
  <c r="AB1822" i="6" a="1"/>
  <c r="AB1822" i="6" s="1"/>
  <c r="AB1821" i="6" a="1"/>
  <c r="AB1821" i="6" s="1"/>
  <c r="AB1820" i="6" a="1"/>
  <c r="AB1820" i="6" s="1"/>
  <c r="AB1819" i="6" a="1"/>
  <c r="AB1819" i="6" s="1"/>
  <c r="AB1818" i="6" a="1"/>
  <c r="AB1818" i="6" s="1"/>
  <c r="AB1817" i="6" a="1"/>
  <c r="AB1817" i="6" s="1"/>
  <c r="AB1816" i="6" a="1"/>
  <c r="AB1816" i="6" s="1"/>
  <c r="AB1815" i="6" a="1"/>
  <c r="AB1815" i="6" s="1"/>
  <c r="AB1814" i="6" a="1"/>
  <c r="AB1814" i="6" s="1"/>
  <c r="AB1813" i="6" a="1"/>
  <c r="AB1813" i="6" s="1"/>
  <c r="AB1812" i="6" a="1"/>
  <c r="AB1812" i="6" s="1"/>
  <c r="AB1811" i="6" a="1"/>
  <c r="AB1811" i="6" s="1"/>
  <c r="AB1810" i="6" a="1"/>
  <c r="AB1810" i="6" s="1"/>
  <c r="AB1809" i="6" a="1"/>
  <c r="AB1809" i="6" s="1"/>
  <c r="AB1808" i="6" a="1"/>
  <c r="AB1808" i="6" s="1"/>
  <c r="AB1807" i="6" a="1"/>
  <c r="AB1807" i="6" s="1"/>
  <c r="AB1806" i="6" a="1"/>
  <c r="AB1806" i="6" s="1"/>
  <c r="AB1805" i="6" a="1"/>
  <c r="AB1805" i="6" s="1"/>
  <c r="AB1804" i="6" a="1"/>
  <c r="AB1804" i="6" s="1"/>
  <c r="AB1803" i="6" a="1"/>
  <c r="AB1803" i="6" s="1"/>
  <c r="AB1802" i="6" a="1"/>
  <c r="AB1802" i="6" s="1"/>
  <c r="AB1801" i="6" a="1"/>
  <c r="AB1801" i="6" s="1"/>
  <c r="AB1800" i="6" a="1"/>
  <c r="AB1800" i="6" s="1"/>
  <c r="AB1799" i="6" a="1"/>
  <c r="AB1799" i="6" s="1"/>
  <c r="AB1798" i="6" a="1"/>
  <c r="AB1798" i="6" s="1"/>
  <c r="AB1797" i="6" a="1"/>
  <c r="AB1797" i="6" s="1"/>
  <c r="AB1796" i="6" a="1"/>
  <c r="AB1796" i="6" s="1"/>
  <c r="AB1795" i="6" a="1"/>
  <c r="AB1795" i="6" s="1"/>
  <c r="AB1794" i="6" a="1"/>
  <c r="AB1794" i="6" s="1"/>
  <c r="AB1793" i="6" a="1"/>
  <c r="AB1793" i="6" s="1"/>
  <c r="AB1792" i="6" a="1"/>
  <c r="AB1792" i="6" s="1"/>
  <c r="AB1791" i="6" a="1"/>
  <c r="AB1791" i="6" s="1"/>
  <c r="AB1790" i="6" a="1"/>
  <c r="AB1790" i="6" s="1"/>
  <c r="AB1789" i="6" a="1"/>
  <c r="AB1789" i="6" s="1"/>
  <c r="AB1788" i="6" a="1"/>
  <c r="AB1788" i="6" s="1"/>
  <c r="AB1787" i="6" a="1"/>
  <c r="AB1787" i="6" s="1"/>
  <c r="AB1786" i="6" a="1"/>
  <c r="AB1786" i="6" s="1"/>
  <c r="AB1785" i="6" a="1"/>
  <c r="AB1785" i="6" s="1"/>
  <c r="AB1784" i="6" a="1"/>
  <c r="AB1784" i="6" s="1"/>
  <c r="AB1783" i="6" a="1"/>
  <c r="AB1783" i="6" s="1"/>
  <c r="AB1782" i="6" a="1"/>
  <c r="AB1782" i="6" s="1"/>
  <c r="AB1781" i="6" a="1"/>
  <c r="AB1781" i="6" s="1"/>
  <c r="AB1780" i="6" a="1"/>
  <c r="AB1780" i="6" s="1"/>
  <c r="AB1779" i="6" a="1"/>
  <c r="AB1779" i="6" s="1"/>
  <c r="AB1778" i="6" a="1"/>
  <c r="AB1778" i="6" s="1"/>
  <c r="AB1777" i="6" a="1"/>
  <c r="AB1777" i="6" s="1"/>
  <c r="AB1776" i="6" a="1"/>
  <c r="AB1776" i="6" s="1"/>
  <c r="AB1775" i="6" a="1"/>
  <c r="AB1775" i="6" s="1"/>
  <c r="AB1774" i="6" a="1"/>
  <c r="AB1774" i="6" s="1"/>
  <c r="AB1773" i="6" a="1"/>
  <c r="AB1773" i="6" s="1"/>
  <c r="AB1772" i="6" a="1"/>
  <c r="AB1772" i="6" s="1"/>
  <c r="AB1771" i="6" a="1"/>
  <c r="AB1771" i="6" s="1"/>
  <c r="AB1770" i="6" a="1"/>
  <c r="AB1770" i="6" s="1"/>
  <c r="AB1769" i="6" a="1"/>
  <c r="AB1769" i="6" s="1"/>
  <c r="AB1768" i="6" a="1"/>
  <c r="AB1768" i="6" s="1"/>
  <c r="AB1767" i="6" a="1"/>
  <c r="AB1767" i="6" s="1"/>
  <c r="AB1766" i="6" a="1"/>
  <c r="AB1766" i="6" s="1"/>
  <c r="AB1765" i="6" a="1"/>
  <c r="AB1765" i="6" s="1"/>
  <c r="AB1764" i="6" a="1"/>
  <c r="AB1764" i="6" s="1"/>
  <c r="AB1763" i="6" a="1"/>
  <c r="AB1763" i="6" s="1"/>
  <c r="AB1762" i="6" a="1"/>
  <c r="AB1762" i="6" s="1"/>
  <c r="AB1761" i="6" a="1"/>
  <c r="AB1761" i="6" s="1"/>
  <c r="AB1760" i="6" a="1"/>
  <c r="AB1760" i="6" s="1"/>
  <c r="AB1759" i="6" a="1"/>
  <c r="AB1759" i="6" s="1"/>
  <c r="AB1758" i="6" a="1"/>
  <c r="AB1758" i="6" s="1"/>
  <c r="AB1757" i="6" a="1"/>
  <c r="AB1757" i="6" s="1"/>
  <c r="AB1756" i="6" a="1"/>
  <c r="AB1756" i="6" s="1"/>
  <c r="AB1755" i="6" a="1"/>
  <c r="AB1755" i="6" s="1"/>
  <c r="AB1754" i="6" a="1"/>
  <c r="AB1754" i="6" s="1"/>
  <c r="AB1753" i="6" a="1"/>
  <c r="AB1753" i="6" s="1"/>
  <c r="AB1752" i="6" a="1"/>
  <c r="AB1752" i="6" s="1"/>
  <c r="AB1751" i="6" a="1"/>
  <c r="AB1751" i="6" s="1"/>
  <c r="AB1750" i="6" a="1"/>
  <c r="AB1750" i="6" s="1"/>
  <c r="AB1749" i="6" a="1"/>
  <c r="AB1749" i="6" s="1"/>
  <c r="AB1748" i="6" a="1"/>
  <c r="AB1748" i="6" s="1"/>
  <c r="AB1747" i="6" a="1"/>
  <c r="AB1747" i="6" s="1"/>
  <c r="AB1746" i="6" a="1"/>
  <c r="AB1746" i="6" s="1"/>
  <c r="AB1745" i="6" a="1"/>
  <c r="AB1745" i="6" s="1"/>
  <c r="AB1744" i="6" a="1"/>
  <c r="AB1744" i="6" s="1"/>
  <c r="AB1743" i="6" a="1"/>
  <c r="AB1743" i="6" s="1"/>
  <c r="AB1742" i="6" a="1"/>
  <c r="AB1742" i="6" s="1"/>
  <c r="AB1741" i="6" a="1"/>
  <c r="AB1741" i="6" s="1"/>
  <c r="AB1740" i="6" a="1"/>
  <c r="AB1740" i="6" s="1"/>
  <c r="AB1739" i="6" a="1"/>
  <c r="AB1739" i="6" s="1"/>
  <c r="AB1738" i="6" a="1"/>
  <c r="AB1738" i="6" s="1"/>
  <c r="AB1737" i="6" a="1"/>
  <c r="AB1737" i="6" s="1"/>
  <c r="AB1736" i="6" a="1"/>
  <c r="AB1736" i="6" s="1"/>
  <c r="AB1735" i="6" a="1"/>
  <c r="AB1735" i="6" s="1"/>
  <c r="AB1734" i="6" a="1"/>
  <c r="AB1734" i="6" s="1"/>
  <c r="AB1733" i="6" a="1"/>
  <c r="AB1733" i="6" s="1"/>
  <c r="AB1732" i="6" a="1"/>
  <c r="AB1732" i="6" s="1"/>
  <c r="AB1731" i="6" a="1"/>
  <c r="AB1731" i="6" s="1"/>
  <c r="AB1730" i="6" a="1"/>
  <c r="AB1730" i="6" s="1"/>
  <c r="AB1729" i="6" a="1"/>
  <c r="AB1729" i="6" s="1"/>
  <c r="AB1728" i="6" a="1"/>
  <c r="AB1728" i="6" s="1"/>
  <c r="AB1727" i="6" a="1"/>
  <c r="AB1727" i="6" s="1"/>
  <c r="AB1726" i="6" a="1"/>
  <c r="AB1726" i="6" s="1"/>
  <c r="AB1725" i="6" a="1"/>
  <c r="AB1725" i="6" s="1"/>
  <c r="AB1724" i="6" a="1"/>
  <c r="AB1724" i="6" s="1"/>
  <c r="AB1723" i="6" a="1"/>
  <c r="AB1723" i="6" s="1"/>
  <c r="AB1722" i="6" a="1"/>
  <c r="AB1722" i="6" s="1"/>
  <c r="AB1721" i="6" a="1"/>
  <c r="AB1721" i="6" s="1"/>
  <c r="AB1720" i="6" a="1"/>
  <c r="AB1720" i="6" s="1"/>
  <c r="AB1719" i="6" a="1"/>
  <c r="AB1719" i="6" s="1"/>
  <c r="AB1718" i="6" a="1"/>
  <c r="AB1718" i="6" s="1"/>
  <c r="AB1717" i="6" a="1"/>
  <c r="AB1717" i="6" s="1"/>
  <c r="AB1716" i="6" a="1"/>
  <c r="AB1716" i="6" s="1"/>
  <c r="AB1715" i="6" a="1"/>
  <c r="AB1715" i="6" s="1"/>
  <c r="AB1714" i="6" a="1"/>
  <c r="AB1714" i="6" s="1"/>
  <c r="AB1713" i="6" a="1"/>
  <c r="AB1713" i="6" s="1"/>
  <c r="AB1712" i="6" a="1"/>
  <c r="AB1712" i="6" s="1"/>
  <c r="AB1711" i="6" a="1"/>
  <c r="AB1711" i="6" s="1"/>
  <c r="AB1710" i="6" a="1"/>
  <c r="AB1710" i="6" s="1"/>
  <c r="AB1709" i="6" a="1"/>
  <c r="AB1709" i="6" s="1"/>
  <c r="AB1708" i="6" a="1"/>
  <c r="AB1708" i="6" s="1"/>
  <c r="AB1707" i="6" a="1"/>
  <c r="AB1707" i="6" s="1"/>
  <c r="AB1706" i="6" a="1"/>
  <c r="AB1706" i="6" s="1"/>
  <c r="AB1705" i="6" a="1"/>
  <c r="AB1705" i="6" s="1"/>
  <c r="AB1704" i="6" a="1"/>
  <c r="AB1704" i="6" s="1"/>
  <c r="AB1703" i="6" a="1"/>
  <c r="AB1703" i="6" s="1"/>
  <c r="AB1702" i="6" a="1"/>
  <c r="AB1702" i="6" s="1"/>
  <c r="AB1701" i="6" a="1"/>
  <c r="AB1701" i="6" s="1"/>
  <c r="AB1700" i="6" a="1"/>
  <c r="AB1700" i="6" s="1"/>
  <c r="AB1699" i="6" a="1"/>
  <c r="AB1699" i="6" s="1"/>
  <c r="AB1698" i="6" a="1"/>
  <c r="AB1698" i="6" s="1"/>
  <c r="AB1697" i="6" a="1"/>
  <c r="AB1697" i="6" s="1"/>
  <c r="AB1696" i="6" a="1"/>
  <c r="AB1696" i="6" s="1"/>
  <c r="AB1695" i="6" a="1"/>
  <c r="AB1695" i="6" s="1"/>
  <c r="AB1694" i="6" a="1"/>
  <c r="AB1694" i="6" s="1"/>
  <c r="AB1693" i="6" a="1"/>
  <c r="AB1693" i="6" s="1"/>
  <c r="AB1692" i="6" a="1"/>
  <c r="AB1692" i="6" s="1"/>
  <c r="AB1691" i="6" a="1"/>
  <c r="AB1691" i="6" s="1"/>
  <c r="AB1690" i="6" a="1"/>
  <c r="AB1690" i="6" s="1"/>
  <c r="AB1689" i="6" a="1"/>
  <c r="AB1689" i="6" s="1"/>
  <c r="AB1688" i="6" a="1"/>
  <c r="AB1688" i="6" s="1"/>
  <c r="AB1687" i="6" a="1"/>
  <c r="AB1687" i="6" s="1"/>
  <c r="AB1686" i="6" a="1"/>
  <c r="AB1686" i="6" s="1"/>
  <c r="AB1685" i="6" a="1"/>
  <c r="AB1685" i="6" s="1"/>
  <c r="AB1684" i="6" a="1"/>
  <c r="AB1684" i="6" s="1"/>
  <c r="AB1683" i="6" a="1"/>
  <c r="AB1683" i="6" s="1"/>
  <c r="AB1682" i="6" a="1"/>
  <c r="AB1682" i="6" s="1"/>
  <c r="AB1681" i="6" a="1"/>
  <c r="AB1681" i="6" s="1"/>
  <c r="AB1680" i="6" a="1"/>
  <c r="AB1680" i="6" s="1"/>
  <c r="AB1679" i="6" a="1"/>
  <c r="AB1679" i="6" s="1"/>
  <c r="AB1678" i="6" a="1"/>
  <c r="AB1678" i="6" s="1"/>
  <c r="AB1677" i="6" a="1"/>
  <c r="AB1677" i="6" s="1"/>
  <c r="AB1676" i="6" a="1"/>
  <c r="AB1676" i="6" s="1"/>
  <c r="AB1675" i="6" a="1"/>
  <c r="AB1675" i="6" s="1"/>
  <c r="AB1674" i="6" a="1"/>
  <c r="AB1674" i="6" s="1"/>
  <c r="AB1673" i="6" a="1"/>
  <c r="AB1673" i="6" s="1"/>
  <c r="AB1672" i="6" a="1"/>
  <c r="AB1672" i="6" s="1"/>
  <c r="AB1671" i="6" a="1"/>
  <c r="AB1671" i="6" s="1"/>
  <c r="AB1670" i="6" a="1"/>
  <c r="AB1670" i="6" s="1"/>
  <c r="AB1669" i="6" a="1"/>
  <c r="AB1669" i="6" s="1"/>
  <c r="AB1668" i="6" a="1"/>
  <c r="AB1668" i="6" s="1"/>
  <c r="AB1667" i="6" a="1"/>
  <c r="AB1667" i="6" s="1"/>
  <c r="AB1666" i="6" a="1"/>
  <c r="AB1666" i="6" s="1"/>
  <c r="AB1665" i="6" a="1"/>
  <c r="AB1665" i="6" s="1"/>
  <c r="AB1664" i="6" a="1"/>
  <c r="AB1664" i="6" s="1"/>
  <c r="AB1663" i="6" a="1"/>
  <c r="AB1663" i="6" s="1"/>
  <c r="AB1662" i="6" a="1"/>
  <c r="AB1662" i="6" s="1"/>
  <c r="AB1661" i="6" a="1"/>
  <c r="AB1661" i="6" s="1"/>
  <c r="AB1660" i="6" a="1"/>
  <c r="AB1660" i="6" s="1"/>
  <c r="AB1659" i="6" a="1"/>
  <c r="AB1659" i="6" s="1"/>
  <c r="AB1658" i="6" a="1"/>
  <c r="AB1658" i="6" s="1"/>
  <c r="AB1657" i="6" a="1"/>
  <c r="AB1657" i="6" s="1"/>
  <c r="AB1656" i="6" a="1"/>
  <c r="AB1656" i="6" s="1"/>
  <c r="AB1655" i="6" a="1"/>
  <c r="AB1655" i="6" s="1"/>
  <c r="AB1654" i="6" a="1"/>
  <c r="AB1654" i="6" s="1"/>
  <c r="AB1653" i="6" a="1"/>
  <c r="AB1653" i="6" s="1"/>
  <c r="AB1652" i="6" a="1"/>
  <c r="AB1652" i="6" s="1"/>
  <c r="AB1651" i="6" a="1"/>
  <c r="AB1651" i="6" s="1"/>
  <c r="AB1650" i="6" a="1"/>
  <c r="AB1650" i="6" s="1"/>
  <c r="AB1649" i="6" a="1"/>
  <c r="AB1649" i="6" s="1"/>
  <c r="AB1648" i="6" a="1"/>
  <c r="AB1648" i="6" s="1"/>
  <c r="AB1647" i="6" a="1"/>
  <c r="AB1647" i="6" s="1"/>
  <c r="AB1646" i="6" a="1"/>
  <c r="AB1646" i="6" s="1"/>
  <c r="AB1645" i="6" a="1"/>
  <c r="AB1645" i="6" s="1"/>
  <c r="AB1644" i="6" a="1"/>
  <c r="AB1644" i="6" s="1"/>
  <c r="AB1643" i="6" a="1"/>
  <c r="AB1643" i="6" s="1"/>
  <c r="AB1642" i="6" a="1"/>
  <c r="AB1642" i="6" s="1"/>
  <c r="AB1641" i="6" a="1"/>
  <c r="AB1641" i="6" s="1"/>
  <c r="AB1640" i="6" a="1"/>
  <c r="AB1640" i="6" s="1"/>
  <c r="AB1639" i="6" a="1"/>
  <c r="AB1639" i="6" s="1"/>
  <c r="AB1638" i="6" a="1"/>
  <c r="AB1638" i="6" s="1"/>
  <c r="AB1637" i="6" a="1"/>
  <c r="AB1637" i="6" s="1"/>
  <c r="AB1636" i="6" a="1"/>
  <c r="AB1636" i="6" s="1"/>
  <c r="AB1635" i="6" a="1"/>
  <c r="AB1635" i="6" s="1"/>
  <c r="AB1634" i="6" a="1"/>
  <c r="AB1634" i="6" s="1"/>
  <c r="AB1633" i="6" a="1"/>
  <c r="AB1633" i="6" s="1"/>
  <c r="AB1632" i="6" a="1"/>
  <c r="AB1632" i="6" s="1"/>
  <c r="AB1631" i="6" a="1"/>
  <c r="AB1631" i="6" s="1"/>
  <c r="AB1630" i="6" a="1"/>
  <c r="AB1630" i="6" s="1"/>
  <c r="AB1629" i="6" a="1"/>
  <c r="AB1629" i="6" s="1"/>
  <c r="AB1628" i="6" a="1"/>
  <c r="AB1628" i="6" s="1"/>
  <c r="AB1627" i="6" a="1"/>
  <c r="AB1627" i="6" s="1"/>
  <c r="AB1626" i="6" a="1"/>
  <c r="AB1626" i="6" s="1"/>
  <c r="AB1625" i="6" a="1"/>
  <c r="AB1625" i="6" s="1"/>
  <c r="AB1624" i="6" a="1"/>
  <c r="AB1624" i="6" s="1"/>
  <c r="AB1623" i="6" a="1"/>
  <c r="AB1623" i="6" s="1"/>
  <c r="AB1622" i="6" a="1"/>
  <c r="AB1622" i="6" s="1"/>
  <c r="AB1621" i="6" a="1"/>
  <c r="AB1621" i="6" s="1"/>
  <c r="AB1620" i="6" a="1"/>
  <c r="AB1620" i="6" s="1"/>
  <c r="AB1619" i="6" a="1"/>
  <c r="AB1619" i="6" s="1"/>
  <c r="AB1618" i="6" a="1"/>
  <c r="AB1618" i="6" s="1"/>
  <c r="AB1617" i="6" a="1"/>
  <c r="AB1617" i="6" s="1"/>
  <c r="AB1616" i="6" a="1"/>
  <c r="AB1616" i="6" s="1"/>
  <c r="AB1615" i="6" a="1"/>
  <c r="AB1615" i="6" s="1"/>
  <c r="AB1614" i="6" a="1"/>
  <c r="AB1614" i="6" s="1"/>
  <c r="AB1613" i="6" a="1"/>
  <c r="AB1613" i="6" s="1"/>
  <c r="AB1612" i="6" a="1"/>
  <c r="AB1612" i="6" s="1"/>
  <c r="AB1611" i="6" a="1"/>
  <c r="AB1611" i="6" s="1"/>
  <c r="AB1610" i="6" a="1"/>
  <c r="AB1610" i="6" s="1"/>
  <c r="AB1609" i="6" a="1"/>
  <c r="AB1609" i="6" s="1"/>
  <c r="AB1608" i="6" a="1"/>
  <c r="AB1608" i="6" s="1"/>
  <c r="AB1607" i="6" a="1"/>
  <c r="AB1607" i="6" s="1"/>
  <c r="AB1606" i="6" a="1"/>
  <c r="AB1606" i="6" s="1"/>
  <c r="AB1605" i="6" a="1"/>
  <c r="AB1605" i="6" s="1"/>
  <c r="AB1604" i="6" a="1"/>
  <c r="AB1604" i="6" s="1"/>
  <c r="AB1603" i="6" a="1"/>
  <c r="AB1603" i="6" s="1"/>
  <c r="AB1602" i="6" a="1"/>
  <c r="AB1602" i="6" s="1"/>
  <c r="AB1601" i="6" a="1"/>
  <c r="AB1601" i="6" s="1"/>
  <c r="AB1600" i="6" a="1"/>
  <c r="AB1600" i="6" s="1"/>
  <c r="AB1599" i="6" a="1"/>
  <c r="AB1599" i="6" s="1"/>
  <c r="AB1598" i="6" a="1"/>
  <c r="AB1598" i="6" s="1"/>
  <c r="AB1597" i="6" a="1"/>
  <c r="AB1597" i="6" s="1"/>
  <c r="AB1596" i="6" a="1"/>
  <c r="AB1596" i="6" s="1"/>
  <c r="AB1595" i="6" a="1"/>
  <c r="AB1595" i="6" s="1"/>
  <c r="AB1594" i="6" a="1"/>
  <c r="AB1594" i="6" s="1"/>
  <c r="AB1593" i="6" a="1"/>
  <c r="AB1593" i="6" s="1"/>
  <c r="AB1592" i="6" a="1"/>
  <c r="AB1592" i="6" s="1"/>
  <c r="AB1591" i="6" a="1"/>
  <c r="AB1591" i="6" s="1"/>
  <c r="AB1590" i="6" a="1"/>
  <c r="AB1590" i="6" s="1"/>
  <c r="AB1589" i="6" a="1"/>
  <c r="AB1589" i="6" s="1"/>
  <c r="AB1588" i="6" a="1"/>
  <c r="AB1588" i="6" s="1"/>
  <c r="AB1587" i="6" a="1"/>
  <c r="AB1587" i="6" s="1"/>
  <c r="AB1586" i="6" a="1"/>
  <c r="AB1586" i="6" s="1"/>
  <c r="AB1585" i="6" a="1"/>
  <c r="AB1585" i="6" s="1"/>
  <c r="AB1584" i="6" a="1"/>
  <c r="AB1584" i="6" s="1"/>
  <c r="AB1583" i="6" a="1"/>
  <c r="AB1583" i="6" s="1"/>
  <c r="AB1582" i="6" a="1"/>
  <c r="AB1582" i="6" s="1"/>
  <c r="AB1581" i="6" a="1"/>
  <c r="AB1581" i="6" s="1"/>
  <c r="AB1580" i="6" a="1"/>
  <c r="AB1580" i="6" s="1"/>
  <c r="AB1579" i="6" a="1"/>
  <c r="AB1579" i="6" s="1"/>
  <c r="AB1578" i="6" a="1"/>
  <c r="AB1578" i="6" s="1"/>
  <c r="AB1577" i="6" a="1"/>
  <c r="AB1577" i="6" s="1"/>
  <c r="AB1576" i="6" a="1"/>
  <c r="AB1576" i="6" s="1"/>
  <c r="AB1575" i="6" a="1"/>
  <c r="AB1575" i="6" s="1"/>
  <c r="AB1574" i="6" a="1"/>
  <c r="AB1574" i="6" s="1"/>
  <c r="AB1573" i="6" a="1"/>
  <c r="AB1573" i="6" s="1"/>
  <c r="AB1572" i="6" a="1"/>
  <c r="AB1572" i="6" s="1"/>
  <c r="AB1571" i="6" a="1"/>
  <c r="AB1571" i="6" s="1"/>
  <c r="AB1570" i="6" a="1"/>
  <c r="AB1570" i="6" s="1"/>
  <c r="AB1569" i="6" a="1"/>
  <c r="AB1569" i="6" s="1"/>
  <c r="AB1568" i="6" a="1"/>
  <c r="AB1568" i="6" s="1"/>
  <c r="AB1567" i="6" a="1"/>
  <c r="AB1567" i="6" s="1"/>
  <c r="AB1566" i="6" a="1"/>
  <c r="AB1566" i="6" s="1"/>
  <c r="AB1565" i="6" a="1"/>
  <c r="AB1565" i="6" s="1"/>
  <c r="AB1564" i="6" a="1"/>
  <c r="AB1564" i="6" s="1"/>
  <c r="AB1563" i="6" a="1"/>
  <c r="AB1563" i="6" s="1"/>
  <c r="AB1562" i="6" a="1"/>
  <c r="AB1562" i="6" s="1"/>
  <c r="AB1561" i="6" a="1"/>
  <c r="AB1561" i="6" s="1"/>
  <c r="AB1560" i="6" a="1"/>
  <c r="AB1560" i="6" s="1"/>
  <c r="AB1559" i="6" a="1"/>
  <c r="AB1559" i="6" s="1"/>
  <c r="AB1558" i="6" a="1"/>
  <c r="AB1558" i="6" s="1"/>
  <c r="AB1557" i="6" a="1"/>
  <c r="AB1557" i="6" s="1"/>
  <c r="AB1556" i="6" a="1"/>
  <c r="AB1556" i="6" s="1"/>
  <c r="AB1555" i="6" a="1"/>
  <c r="AB1555" i="6" s="1"/>
  <c r="AB1554" i="6" a="1"/>
  <c r="AB1554" i="6" s="1"/>
  <c r="AB1553" i="6" a="1"/>
  <c r="AB1553" i="6" s="1"/>
  <c r="AB1552" i="6" a="1"/>
  <c r="AB1552" i="6" s="1"/>
  <c r="AB1551" i="6" a="1"/>
  <c r="AB1551" i="6" s="1"/>
  <c r="AB1550" i="6" a="1"/>
  <c r="AB1550" i="6" s="1"/>
  <c r="AB1549" i="6" a="1"/>
  <c r="AB1549" i="6" s="1"/>
  <c r="AB1548" i="6" a="1"/>
  <c r="AB1548" i="6" s="1"/>
  <c r="AB1547" i="6" a="1"/>
  <c r="AB1547" i="6" s="1"/>
  <c r="AB1546" i="6" a="1"/>
  <c r="AB1546" i="6" s="1"/>
  <c r="AB1545" i="6" a="1"/>
  <c r="AB1545" i="6" s="1"/>
  <c r="AB1544" i="6" a="1"/>
  <c r="AB1544" i="6" s="1"/>
  <c r="AB1543" i="6" a="1"/>
  <c r="AB1543" i="6" s="1"/>
  <c r="AB1542" i="6" a="1"/>
  <c r="AB1542" i="6" s="1"/>
  <c r="AB1541" i="6" a="1"/>
  <c r="AB1541" i="6" s="1"/>
  <c r="AB1540" i="6" a="1"/>
  <c r="AB1540" i="6" s="1"/>
  <c r="AB1539" i="6" a="1"/>
  <c r="AB1539" i="6" s="1"/>
  <c r="AB1538" i="6" a="1"/>
  <c r="AB1538" i="6" s="1"/>
  <c r="AB1537" i="6" a="1"/>
  <c r="AB1537" i="6" s="1"/>
  <c r="AB1536" i="6" a="1"/>
  <c r="AB1536" i="6" s="1"/>
  <c r="AB1535" i="6" a="1"/>
  <c r="AB1535" i="6" s="1"/>
  <c r="AB1534" i="6" a="1"/>
  <c r="AB1534" i="6" s="1"/>
  <c r="AB1533" i="6" a="1"/>
  <c r="AB1533" i="6" s="1"/>
  <c r="AB1532" i="6" a="1"/>
  <c r="AB1532" i="6" s="1"/>
  <c r="AB1531" i="6" a="1"/>
  <c r="AB1531" i="6" s="1"/>
  <c r="AB1530" i="6" a="1"/>
  <c r="AB1530" i="6" s="1"/>
  <c r="AB1529" i="6" a="1"/>
  <c r="AB1529" i="6" s="1"/>
  <c r="AB1528" i="6" a="1"/>
  <c r="AB1528" i="6" s="1"/>
  <c r="AB1527" i="6" a="1"/>
  <c r="AB1527" i="6" s="1"/>
  <c r="AB1526" i="6" a="1"/>
  <c r="AB1526" i="6" s="1"/>
  <c r="AB1525" i="6" a="1"/>
  <c r="AB1525" i="6" s="1"/>
  <c r="AB1524" i="6" a="1"/>
  <c r="AB1524" i="6" s="1"/>
  <c r="AB1523" i="6" a="1"/>
  <c r="AB1523" i="6" s="1"/>
  <c r="AB1522" i="6" a="1"/>
  <c r="AB1522" i="6" s="1"/>
  <c r="AB1521" i="6" a="1"/>
  <c r="AB1521" i="6" s="1"/>
  <c r="AB1520" i="6" a="1"/>
  <c r="AB1520" i="6" s="1"/>
  <c r="AB1519" i="6" a="1"/>
  <c r="AB1519" i="6" s="1"/>
  <c r="AB1518" i="6" a="1"/>
  <c r="AB1518" i="6" s="1"/>
  <c r="AB1517" i="6" a="1"/>
  <c r="AB1517" i="6" s="1"/>
  <c r="AB1516" i="6" a="1"/>
  <c r="AB1516" i="6" s="1"/>
  <c r="AB1515" i="6" a="1"/>
  <c r="AB1515" i="6" s="1"/>
  <c r="AB1514" i="6" a="1"/>
  <c r="AB1514" i="6" s="1"/>
  <c r="AB1513" i="6" a="1"/>
  <c r="AB1513" i="6" s="1"/>
  <c r="AB1512" i="6" a="1"/>
  <c r="AB1512" i="6" s="1"/>
  <c r="AB1511" i="6" a="1"/>
  <c r="AB1511" i="6" s="1"/>
  <c r="AB1510" i="6" a="1"/>
  <c r="AB1510" i="6" s="1"/>
  <c r="AB1509" i="6" a="1"/>
  <c r="AB1509" i="6" s="1"/>
  <c r="AB1508" i="6" a="1"/>
  <c r="AB1508" i="6" s="1"/>
  <c r="AB1507" i="6" a="1"/>
  <c r="AB1507" i="6" s="1"/>
  <c r="AB1506" i="6" a="1"/>
  <c r="AB1506" i="6" s="1"/>
  <c r="AB1505" i="6" a="1"/>
  <c r="AB1505" i="6" s="1"/>
  <c r="AB1504" i="6" a="1"/>
  <c r="AB1504" i="6" s="1"/>
  <c r="AB1503" i="6" a="1"/>
  <c r="AB1503" i="6" s="1"/>
  <c r="AB1502" i="6" a="1"/>
  <c r="AB1502" i="6" s="1"/>
  <c r="AB1501" i="6" a="1"/>
  <c r="AB1501" i="6" s="1"/>
  <c r="AB1500" i="6" a="1"/>
  <c r="AB1500" i="6" s="1"/>
  <c r="AB1499" i="6" a="1"/>
  <c r="AB1499" i="6" s="1"/>
  <c r="AB1498" i="6" a="1"/>
  <c r="AB1498" i="6" s="1"/>
  <c r="AB1497" i="6" a="1"/>
  <c r="AB1497" i="6" s="1"/>
  <c r="AB1496" i="6" a="1"/>
  <c r="AB1496" i="6" s="1"/>
  <c r="AB1495" i="6" a="1"/>
  <c r="AB1495" i="6" s="1"/>
  <c r="AB1494" i="6" a="1"/>
  <c r="AB1494" i="6" s="1"/>
  <c r="AB1493" i="6" a="1"/>
  <c r="AB1493" i="6" s="1"/>
  <c r="AB1492" i="6" a="1"/>
  <c r="AB1492" i="6" s="1"/>
  <c r="AB1491" i="6" a="1"/>
  <c r="AB1491" i="6" s="1"/>
  <c r="AB1490" i="6" a="1"/>
  <c r="AB1490" i="6" s="1"/>
  <c r="AB1489" i="6" a="1"/>
  <c r="AB1489" i="6" s="1"/>
  <c r="AB1488" i="6" a="1"/>
  <c r="AB1488" i="6" s="1"/>
  <c r="AB1487" i="6" a="1"/>
  <c r="AB1487" i="6" s="1"/>
  <c r="AB1486" i="6" a="1"/>
  <c r="AB1486" i="6" s="1"/>
  <c r="AB1485" i="6" a="1"/>
  <c r="AB1485" i="6" s="1"/>
  <c r="AB1484" i="6" a="1"/>
  <c r="AB1484" i="6" s="1"/>
  <c r="AB1483" i="6" a="1"/>
  <c r="AB1483" i="6" s="1"/>
  <c r="AB1482" i="6" a="1"/>
  <c r="AB1482" i="6" s="1"/>
  <c r="AB1481" i="6" a="1"/>
  <c r="AB1481" i="6" s="1"/>
  <c r="AB1480" i="6" a="1"/>
  <c r="AB1480" i="6" s="1"/>
  <c r="AB1479" i="6" a="1"/>
  <c r="AB1479" i="6" s="1"/>
  <c r="AB1478" i="6" a="1"/>
  <c r="AB1478" i="6" s="1"/>
  <c r="AB1477" i="6" a="1"/>
  <c r="AB1477" i="6" s="1"/>
  <c r="AB1476" i="6" a="1"/>
  <c r="AB1476" i="6" s="1"/>
  <c r="AB1475" i="6" a="1"/>
  <c r="AB1475" i="6" s="1"/>
  <c r="AB1474" i="6" a="1"/>
  <c r="AB1474" i="6" s="1"/>
  <c r="AB1473" i="6" a="1"/>
  <c r="AB1473" i="6" s="1"/>
  <c r="AB1472" i="6" a="1"/>
  <c r="AB1472" i="6" s="1"/>
  <c r="AB1471" i="6" a="1"/>
  <c r="AB1471" i="6" s="1"/>
  <c r="AB1470" i="6" a="1"/>
  <c r="AB1470" i="6" s="1"/>
  <c r="AB1469" i="6" a="1"/>
  <c r="AB1469" i="6" s="1"/>
  <c r="AB1468" i="6" a="1"/>
  <c r="AB1468" i="6" s="1"/>
  <c r="AB1467" i="6" a="1"/>
  <c r="AB1467" i="6" s="1"/>
  <c r="AB1466" i="6" a="1"/>
  <c r="AB1466" i="6" s="1"/>
  <c r="AB1465" i="6" a="1"/>
  <c r="AB1465" i="6" s="1"/>
  <c r="AB1464" i="6" a="1"/>
  <c r="AB1464" i="6" s="1"/>
  <c r="AB1463" i="6" a="1"/>
  <c r="AB1463" i="6" s="1"/>
  <c r="AB1462" i="6" a="1"/>
  <c r="AB1462" i="6" s="1"/>
  <c r="AB1461" i="6" a="1"/>
  <c r="AB1461" i="6" s="1"/>
  <c r="AB1460" i="6" a="1"/>
  <c r="AB1460" i="6" s="1"/>
  <c r="AB1459" i="6" a="1"/>
  <c r="AB1459" i="6" s="1"/>
  <c r="AB1458" i="6" a="1"/>
  <c r="AB1458" i="6" s="1"/>
  <c r="AB1457" i="6" a="1"/>
  <c r="AB1457" i="6" s="1"/>
  <c r="AB1456" i="6" a="1"/>
  <c r="AB1456" i="6" s="1"/>
  <c r="AB1455" i="6" a="1"/>
  <c r="AB1455" i="6" s="1"/>
  <c r="AB1454" i="6" a="1"/>
  <c r="AB1454" i="6" s="1"/>
  <c r="AB1453" i="6" a="1"/>
  <c r="AB1453" i="6" s="1"/>
  <c r="AB1452" i="6" a="1"/>
  <c r="AB1452" i="6" s="1"/>
  <c r="AB1451" i="6" a="1"/>
  <c r="AB1451" i="6" s="1"/>
  <c r="AB1450" i="6" a="1"/>
  <c r="AB1450" i="6" s="1"/>
  <c r="AB1449" i="6" a="1"/>
  <c r="AB1449" i="6" s="1"/>
  <c r="AB1448" i="6" a="1"/>
  <c r="AB1448" i="6" s="1"/>
  <c r="AB1447" i="6" a="1"/>
  <c r="AB1447" i="6" s="1"/>
  <c r="AB1446" i="6" a="1"/>
  <c r="AB1446" i="6" s="1"/>
  <c r="AB1445" i="6" a="1"/>
  <c r="AB1445" i="6" s="1"/>
  <c r="AB1444" i="6" a="1"/>
  <c r="AB1444" i="6" s="1"/>
  <c r="AB1443" i="6" a="1"/>
  <c r="AB1443" i="6" s="1"/>
  <c r="AB1442" i="6" a="1"/>
  <c r="AB1442" i="6" s="1"/>
  <c r="AB1441" i="6" a="1"/>
  <c r="AB1441" i="6" s="1"/>
  <c r="AB1440" i="6" a="1"/>
  <c r="AB1440" i="6" s="1"/>
  <c r="AB1439" i="6" a="1"/>
  <c r="AB1439" i="6" s="1"/>
  <c r="AB1438" i="6" a="1"/>
  <c r="AB1438" i="6" s="1"/>
  <c r="AB1437" i="6" a="1"/>
  <c r="AB1437" i="6" s="1"/>
  <c r="AB1436" i="6" a="1"/>
  <c r="AB1436" i="6" s="1"/>
  <c r="AB1435" i="6" a="1"/>
  <c r="AB1435" i="6" s="1"/>
  <c r="AB1434" i="6" a="1"/>
  <c r="AB1434" i="6" s="1"/>
  <c r="AB1433" i="6" a="1"/>
  <c r="AB1433" i="6" s="1"/>
  <c r="AB1432" i="6" a="1"/>
  <c r="AB1432" i="6" s="1"/>
  <c r="AB1431" i="6" a="1"/>
  <c r="AB1431" i="6" s="1"/>
  <c r="AB1430" i="6" a="1"/>
  <c r="AB1430" i="6" s="1"/>
  <c r="AB1429" i="6" a="1"/>
  <c r="AB1429" i="6" s="1"/>
  <c r="AB1428" i="6" a="1"/>
  <c r="AB1428" i="6" s="1"/>
  <c r="AB1427" i="6" a="1"/>
  <c r="AB1427" i="6" s="1"/>
  <c r="AB1426" i="6" a="1"/>
  <c r="AB1426" i="6" s="1"/>
  <c r="AB1425" i="6" a="1"/>
  <c r="AB1425" i="6" s="1"/>
  <c r="AB1424" i="6" a="1"/>
  <c r="AB1424" i="6" s="1"/>
  <c r="AB1423" i="6" a="1"/>
  <c r="AB1423" i="6" s="1"/>
  <c r="AB1422" i="6" a="1"/>
  <c r="AB1422" i="6" s="1"/>
  <c r="AB1421" i="6" a="1"/>
  <c r="AB1421" i="6" s="1"/>
  <c r="AB1420" i="6" a="1"/>
  <c r="AB1420" i="6" s="1"/>
  <c r="AB1419" i="6" a="1"/>
  <c r="AB1419" i="6" s="1"/>
  <c r="AB1418" i="6" a="1"/>
  <c r="AB1418" i="6" s="1"/>
  <c r="AB1417" i="6" a="1"/>
  <c r="AB1417" i="6" s="1"/>
  <c r="AB1416" i="6" a="1"/>
  <c r="AB1416" i="6" s="1"/>
  <c r="AB1415" i="6" a="1"/>
  <c r="AB1415" i="6" s="1"/>
  <c r="AB1414" i="6" a="1"/>
  <c r="AB1414" i="6" s="1"/>
  <c r="AB1413" i="6" a="1"/>
  <c r="AB1413" i="6" s="1"/>
  <c r="AB1412" i="6" a="1"/>
  <c r="AB1412" i="6" s="1"/>
  <c r="AB1411" i="6" a="1"/>
  <c r="AB1411" i="6" s="1"/>
  <c r="AB1410" i="6" a="1"/>
  <c r="AB1410" i="6" s="1"/>
  <c r="AB1409" i="6" a="1"/>
  <c r="AB1409" i="6" s="1"/>
  <c r="AB1408" i="6" a="1"/>
  <c r="AB1408" i="6" s="1"/>
  <c r="AB1407" i="6" a="1"/>
  <c r="AB1407" i="6" s="1"/>
  <c r="AB1406" i="6" a="1"/>
  <c r="AB1406" i="6" s="1"/>
  <c r="AB1405" i="6" a="1"/>
  <c r="AB1405" i="6" s="1"/>
  <c r="AB1404" i="6" a="1"/>
  <c r="AB1404" i="6" s="1"/>
  <c r="AB1403" i="6" a="1"/>
  <c r="AB1403" i="6" s="1"/>
  <c r="AB1402" i="6" a="1"/>
  <c r="AB1402" i="6" s="1"/>
  <c r="AB1401" i="6" a="1"/>
  <c r="AB1401" i="6" s="1"/>
  <c r="AB1400" i="6" a="1"/>
  <c r="AB1400" i="6" s="1"/>
  <c r="AB1399" i="6" a="1"/>
  <c r="AB1399" i="6" s="1"/>
  <c r="AB1398" i="6" a="1"/>
  <c r="AB1398" i="6" s="1"/>
  <c r="AB1397" i="6" a="1"/>
  <c r="AB1397" i="6" s="1"/>
  <c r="AB1396" i="6" a="1"/>
  <c r="AB1396" i="6" s="1"/>
  <c r="AB1395" i="6" a="1"/>
  <c r="AB1395" i="6" s="1"/>
  <c r="AB1394" i="6" a="1"/>
  <c r="AB1394" i="6" s="1"/>
  <c r="AB1393" i="6" a="1"/>
  <c r="AB1393" i="6" s="1"/>
  <c r="AB1392" i="6" a="1"/>
  <c r="AB1392" i="6" s="1"/>
  <c r="AB1391" i="6" a="1"/>
  <c r="AB1391" i="6" s="1"/>
  <c r="AB1390" i="6" a="1"/>
  <c r="AB1390" i="6" s="1"/>
  <c r="AB1389" i="6" a="1"/>
  <c r="AB1389" i="6" s="1"/>
  <c r="AB1388" i="6" a="1"/>
  <c r="AB1388" i="6" s="1"/>
  <c r="AB1387" i="6" a="1"/>
  <c r="AB1387" i="6" s="1"/>
  <c r="AB1386" i="6" a="1"/>
  <c r="AB1386" i="6" s="1"/>
  <c r="AB1385" i="6" a="1"/>
  <c r="AB1385" i="6" s="1"/>
  <c r="AB1384" i="6" a="1"/>
  <c r="AB1384" i="6" s="1"/>
  <c r="AB1383" i="6" a="1"/>
  <c r="AB1383" i="6" s="1"/>
  <c r="AB1382" i="6" a="1"/>
  <c r="AB1382" i="6" s="1"/>
  <c r="AB1381" i="6" a="1"/>
  <c r="AB1381" i="6" s="1"/>
  <c r="AB1380" i="6" a="1"/>
  <c r="AB1380" i="6" s="1"/>
  <c r="AB1379" i="6" a="1"/>
  <c r="AB1379" i="6" s="1"/>
  <c r="AB1378" i="6" a="1"/>
  <c r="AB1378" i="6" s="1"/>
  <c r="AB1377" i="6" a="1"/>
  <c r="AB1377" i="6" s="1"/>
  <c r="AB1376" i="6" a="1"/>
  <c r="AB1376" i="6" s="1"/>
  <c r="AB1375" i="6" a="1"/>
  <c r="AB1375" i="6" s="1"/>
  <c r="AB1374" i="6" a="1"/>
  <c r="AB1374" i="6" s="1"/>
  <c r="AB1373" i="6" a="1"/>
  <c r="AB1373" i="6" s="1"/>
  <c r="AB1372" i="6" a="1"/>
  <c r="AB1372" i="6" s="1"/>
  <c r="AB1371" i="6" a="1"/>
  <c r="AB1371" i="6" s="1"/>
  <c r="AB1370" i="6" a="1"/>
  <c r="AB1370" i="6" s="1"/>
  <c r="AB1369" i="6" a="1"/>
  <c r="AB1369" i="6" s="1"/>
  <c r="AB1368" i="6" a="1"/>
  <c r="AB1368" i="6" s="1"/>
  <c r="AB1367" i="6" a="1"/>
  <c r="AB1367" i="6" s="1"/>
  <c r="AB1366" i="6" a="1"/>
  <c r="AB1366" i="6" s="1"/>
  <c r="AB1365" i="6" a="1"/>
  <c r="AB1365" i="6" s="1"/>
  <c r="AB1364" i="6" a="1"/>
  <c r="AB1364" i="6" s="1"/>
  <c r="AB1363" i="6" a="1"/>
  <c r="AB1363" i="6" s="1"/>
  <c r="AB1362" i="6" a="1"/>
  <c r="AB1362" i="6" s="1"/>
  <c r="AB1361" i="6" a="1"/>
  <c r="AB1361" i="6" s="1"/>
  <c r="AB1360" i="6" a="1"/>
  <c r="AB1360" i="6" s="1"/>
  <c r="AB1359" i="6" a="1"/>
  <c r="AB1359" i="6" s="1"/>
  <c r="AB1358" i="6" a="1"/>
  <c r="AB1358" i="6" s="1"/>
  <c r="AB1357" i="6" a="1"/>
  <c r="AB1357" i="6" s="1"/>
  <c r="AB1356" i="6" a="1"/>
  <c r="AB1356" i="6" s="1"/>
  <c r="AB1355" i="6" a="1"/>
  <c r="AB1355" i="6" s="1"/>
  <c r="AB1354" i="6" a="1"/>
  <c r="AB1354" i="6" s="1"/>
  <c r="AB1353" i="6" a="1"/>
  <c r="AB1353" i="6" s="1"/>
  <c r="AB1352" i="6" a="1"/>
  <c r="AB1352" i="6" s="1"/>
  <c r="AB1351" i="6" a="1"/>
  <c r="AB1351" i="6" s="1"/>
  <c r="AB1350" i="6" a="1"/>
  <c r="AB1350" i="6" s="1"/>
  <c r="AB1349" i="6" a="1"/>
  <c r="AB1349" i="6" s="1"/>
  <c r="AB1348" i="6" a="1"/>
  <c r="AB1348" i="6" s="1"/>
  <c r="AB1347" i="6" a="1"/>
  <c r="AB1347" i="6" s="1"/>
  <c r="AB1346" i="6" a="1"/>
  <c r="AB1346" i="6" s="1"/>
  <c r="AB1345" i="6" a="1"/>
  <c r="AB1345" i="6" s="1"/>
  <c r="AB1344" i="6" a="1"/>
  <c r="AB1344" i="6" s="1"/>
  <c r="AB1343" i="6" a="1"/>
  <c r="AB1343" i="6" s="1"/>
  <c r="AB1342" i="6" a="1"/>
  <c r="AB1342" i="6" s="1"/>
  <c r="AB1341" i="6" a="1"/>
  <c r="AB1341" i="6" s="1"/>
  <c r="AB1340" i="6" a="1"/>
  <c r="AB1340" i="6" s="1"/>
  <c r="AB1339" i="6" a="1"/>
  <c r="AB1339" i="6" s="1"/>
  <c r="AB1338" i="6" a="1"/>
  <c r="AB1338" i="6" s="1"/>
  <c r="AB1337" i="6" a="1"/>
  <c r="AB1337" i="6" s="1"/>
  <c r="AB1336" i="6" a="1"/>
  <c r="AB1336" i="6" s="1"/>
  <c r="AB1335" i="6" a="1"/>
  <c r="AB1335" i="6" s="1"/>
  <c r="AB1334" i="6" a="1"/>
  <c r="AB1334" i="6" s="1"/>
  <c r="AB1333" i="6" a="1"/>
  <c r="AB1333" i="6" s="1"/>
  <c r="AB1332" i="6" a="1"/>
  <c r="AB1332" i="6" s="1"/>
  <c r="AB1331" i="6" a="1"/>
  <c r="AB1331" i="6" s="1"/>
  <c r="AB1330" i="6" a="1"/>
  <c r="AB1330" i="6" s="1"/>
  <c r="AB1329" i="6" a="1"/>
  <c r="AB1329" i="6" s="1"/>
  <c r="AB1328" i="6" a="1"/>
  <c r="AB1328" i="6" s="1"/>
  <c r="AB1327" i="6" a="1"/>
  <c r="AB1327" i="6" s="1"/>
  <c r="AB1326" i="6" a="1"/>
  <c r="AB1326" i="6" s="1"/>
  <c r="AB1325" i="6" a="1"/>
  <c r="AB1325" i="6" s="1"/>
  <c r="AB1324" i="6" a="1"/>
  <c r="AB1324" i="6" s="1"/>
  <c r="AB1323" i="6" a="1"/>
  <c r="AB1323" i="6" s="1"/>
  <c r="AB1322" i="6" a="1"/>
  <c r="AB1322" i="6" s="1"/>
  <c r="AB1321" i="6" a="1"/>
  <c r="AB1321" i="6" s="1"/>
  <c r="AB1320" i="6" a="1"/>
  <c r="AB1320" i="6" s="1"/>
  <c r="AB1319" i="6" a="1"/>
  <c r="AB1319" i="6" s="1"/>
  <c r="AB1318" i="6" a="1"/>
  <c r="AB1318" i="6" s="1"/>
  <c r="AB1317" i="6" a="1"/>
  <c r="AB1317" i="6" s="1"/>
  <c r="AB1316" i="6" a="1"/>
  <c r="AB1316" i="6" s="1"/>
  <c r="AB1315" i="6" a="1"/>
  <c r="AB1315" i="6" s="1"/>
  <c r="AB1314" i="6" a="1"/>
  <c r="AB1314" i="6" s="1"/>
  <c r="AB1313" i="6" a="1"/>
  <c r="AB1313" i="6" s="1"/>
  <c r="AB1312" i="6" a="1"/>
  <c r="AB1312" i="6" s="1"/>
  <c r="AB1311" i="6" a="1"/>
  <c r="AB1311" i="6" s="1"/>
  <c r="AB1310" i="6" a="1"/>
  <c r="AB1310" i="6" s="1"/>
  <c r="AB1309" i="6" a="1"/>
  <c r="AB1309" i="6" s="1"/>
  <c r="AB1308" i="6" a="1"/>
  <c r="AB1308" i="6" s="1"/>
  <c r="AB1307" i="6" a="1"/>
  <c r="AB1307" i="6" s="1"/>
  <c r="AB1306" i="6" a="1"/>
  <c r="AB1306" i="6" s="1"/>
  <c r="AB1305" i="6" a="1"/>
  <c r="AB1305" i="6" s="1"/>
  <c r="AB1304" i="6" a="1"/>
  <c r="AB1304" i="6" s="1"/>
  <c r="AB1303" i="6" a="1"/>
  <c r="AB1303" i="6" s="1"/>
  <c r="AB1302" i="6" a="1"/>
  <c r="AB1302" i="6" s="1"/>
  <c r="AB1301" i="6" a="1"/>
  <c r="AB1301" i="6" s="1"/>
  <c r="AB1300" i="6" a="1"/>
  <c r="AB1300" i="6" s="1"/>
  <c r="AB1299" i="6" a="1"/>
  <c r="AB1299" i="6" s="1"/>
  <c r="AB1298" i="6" a="1"/>
  <c r="AB1298" i="6" s="1"/>
  <c r="AB1297" i="6" a="1"/>
  <c r="AB1297" i="6" s="1"/>
  <c r="AB1296" i="6" a="1"/>
  <c r="AB1296" i="6" s="1"/>
  <c r="AB1295" i="6" a="1"/>
  <c r="AB1295" i="6" s="1"/>
  <c r="AB1294" i="6" a="1"/>
  <c r="AB1294" i="6" s="1"/>
  <c r="AB1293" i="6" a="1"/>
  <c r="AB1293" i="6" s="1"/>
  <c r="AB1292" i="6" a="1"/>
  <c r="AB1292" i="6" s="1"/>
  <c r="AB1291" i="6" a="1"/>
  <c r="AB1291" i="6" s="1"/>
  <c r="AB1290" i="6" a="1"/>
  <c r="AB1290" i="6" s="1"/>
  <c r="AB1289" i="6" a="1"/>
  <c r="AB1289" i="6" s="1"/>
  <c r="AB1288" i="6" a="1"/>
  <c r="AB1288" i="6" s="1"/>
  <c r="AB1287" i="6" a="1"/>
  <c r="AB1287" i="6" s="1"/>
  <c r="AB1286" i="6" a="1"/>
  <c r="AB1286" i="6" s="1"/>
  <c r="AB1285" i="6" a="1"/>
  <c r="AB1285" i="6" s="1"/>
  <c r="AB1284" i="6" a="1"/>
  <c r="AB1284" i="6" s="1"/>
  <c r="AB1283" i="6" a="1"/>
  <c r="AB1283" i="6" s="1"/>
  <c r="AB1282" i="6" a="1"/>
  <c r="AB1282" i="6" s="1"/>
  <c r="AB1281" i="6" a="1"/>
  <c r="AB1281" i="6" s="1"/>
  <c r="AB1280" i="6" a="1"/>
  <c r="AB1280" i="6" s="1"/>
  <c r="AB1279" i="6" a="1"/>
  <c r="AB1279" i="6" s="1"/>
  <c r="AB1278" i="6" a="1"/>
  <c r="AB1278" i="6" s="1"/>
  <c r="AB1277" i="6" a="1"/>
  <c r="AB1277" i="6" s="1"/>
  <c r="AB1276" i="6" a="1"/>
  <c r="AB1276" i="6" s="1"/>
  <c r="AB1275" i="6" a="1"/>
  <c r="AB1275" i="6" s="1"/>
  <c r="AB1274" i="6" a="1"/>
  <c r="AB1274" i="6" s="1"/>
  <c r="AB1273" i="6" a="1"/>
  <c r="AB1273" i="6" s="1"/>
  <c r="AB1272" i="6" a="1"/>
  <c r="AB1272" i="6" s="1"/>
  <c r="AB1271" i="6" a="1"/>
  <c r="AB1271" i="6" s="1"/>
  <c r="AB1270" i="6" a="1"/>
  <c r="AB1270" i="6" s="1"/>
  <c r="AB1269" i="6" a="1"/>
  <c r="AB1269" i="6" s="1"/>
  <c r="AB1268" i="6" a="1"/>
  <c r="AB1268" i="6" s="1"/>
  <c r="AB1267" i="6" a="1"/>
  <c r="AB1267" i="6" s="1"/>
  <c r="AB1266" i="6" a="1"/>
  <c r="AB1266" i="6" s="1"/>
  <c r="AB1265" i="6" a="1"/>
  <c r="AB1265" i="6" s="1"/>
  <c r="AB1264" i="6" a="1"/>
  <c r="AB1264" i="6" s="1"/>
  <c r="AB1263" i="6" a="1"/>
  <c r="AB1263" i="6" s="1"/>
  <c r="AB1262" i="6" a="1"/>
  <c r="AB1262" i="6" s="1"/>
  <c r="AB1261" i="6" a="1"/>
  <c r="AB1261" i="6" s="1"/>
  <c r="AB1260" i="6" a="1"/>
  <c r="AB1260" i="6" s="1"/>
  <c r="AB1259" i="6" a="1"/>
  <c r="AB1259" i="6" s="1"/>
  <c r="AB1258" i="6" a="1"/>
  <c r="AB1258" i="6" s="1"/>
  <c r="AB1257" i="6" a="1"/>
  <c r="AB1257" i="6" s="1"/>
  <c r="AB1256" i="6" a="1"/>
  <c r="AB1256" i="6" s="1"/>
  <c r="AB1255" i="6" a="1"/>
  <c r="AB1255" i="6" s="1"/>
  <c r="AB1254" i="6" a="1"/>
  <c r="AB1254" i="6" s="1"/>
  <c r="AB1253" i="6" a="1"/>
  <c r="AB1253" i="6" s="1"/>
  <c r="AB1252" i="6" a="1"/>
  <c r="AB1252" i="6" s="1"/>
  <c r="AB1251" i="6" a="1"/>
  <c r="AB1251" i="6" s="1"/>
  <c r="AB1250" i="6" a="1"/>
  <c r="AB1250" i="6" s="1"/>
  <c r="AB1249" i="6" a="1"/>
  <c r="AB1249" i="6" s="1"/>
  <c r="AB1248" i="6" a="1"/>
  <c r="AB1248" i="6" s="1"/>
  <c r="AB1247" i="6" a="1"/>
  <c r="AB1247" i="6" s="1"/>
  <c r="AB1246" i="6" a="1"/>
  <c r="AB1246" i="6" s="1"/>
  <c r="AB1245" i="6" a="1"/>
  <c r="AB1245" i="6" s="1"/>
  <c r="AB1244" i="6" a="1"/>
  <c r="AB1244" i="6" s="1"/>
  <c r="AB1243" i="6" a="1"/>
  <c r="AB1243" i="6" s="1"/>
  <c r="AB1242" i="6" a="1"/>
  <c r="AB1242" i="6" s="1"/>
  <c r="AB1241" i="6" a="1"/>
  <c r="AB1241" i="6" s="1"/>
  <c r="AB1240" i="6" a="1"/>
  <c r="AB1240" i="6" s="1"/>
  <c r="AB1239" i="6" a="1"/>
  <c r="AB1239" i="6" s="1"/>
  <c r="AB1238" i="6" a="1"/>
  <c r="AB1238" i="6" s="1"/>
  <c r="AB1237" i="6" a="1"/>
  <c r="AB1237" i="6" s="1"/>
  <c r="AB1236" i="6" a="1"/>
  <c r="AB1236" i="6" s="1"/>
  <c r="AB1235" i="6" a="1"/>
  <c r="AB1235" i="6" s="1"/>
  <c r="AB1234" i="6" a="1"/>
  <c r="AB1234" i="6" s="1"/>
  <c r="AB1233" i="6" a="1"/>
  <c r="AB1233" i="6" s="1"/>
  <c r="AB1232" i="6" a="1"/>
  <c r="AB1232" i="6" s="1"/>
  <c r="AB1231" i="6" a="1"/>
  <c r="AB1231" i="6" s="1"/>
  <c r="AB1230" i="6" a="1"/>
  <c r="AB1230" i="6" s="1"/>
  <c r="AB1229" i="6" a="1"/>
  <c r="AB1229" i="6" s="1"/>
  <c r="AB1228" i="6" a="1"/>
  <c r="AB1228" i="6" s="1"/>
  <c r="AB1227" i="6" a="1"/>
  <c r="AB1227" i="6" s="1"/>
  <c r="AB1226" i="6" a="1"/>
  <c r="AB1226" i="6" s="1"/>
  <c r="AB1225" i="6" a="1"/>
  <c r="AB1225" i="6" s="1"/>
  <c r="AB1224" i="6" a="1"/>
  <c r="AB1224" i="6" s="1"/>
  <c r="AB1223" i="6" a="1"/>
  <c r="AB1223" i="6" s="1"/>
  <c r="AB1222" i="6" a="1"/>
  <c r="AB1222" i="6" s="1"/>
  <c r="AB1221" i="6" a="1"/>
  <c r="AB1221" i="6" s="1"/>
  <c r="AB1220" i="6" a="1"/>
  <c r="AB1220" i="6" s="1"/>
  <c r="AB1219" i="6" a="1"/>
  <c r="AB1219" i="6" s="1"/>
  <c r="AB1218" i="6" a="1"/>
  <c r="AB1218" i="6" s="1"/>
  <c r="AB1217" i="6" a="1"/>
  <c r="AB1217" i="6" s="1"/>
  <c r="AB1216" i="6" a="1"/>
  <c r="AB1216" i="6" s="1"/>
  <c r="AB1215" i="6" a="1"/>
  <c r="AB1215" i="6" s="1"/>
  <c r="AB1214" i="6" a="1"/>
  <c r="AB1214" i="6" s="1"/>
  <c r="AB1213" i="6" a="1"/>
  <c r="AB1213" i="6" s="1"/>
  <c r="AB1212" i="6" a="1"/>
  <c r="AB1212" i="6" s="1"/>
  <c r="AB1211" i="6" a="1"/>
  <c r="AB1211" i="6" s="1"/>
  <c r="AB1210" i="6" a="1"/>
  <c r="AB1210" i="6" s="1"/>
  <c r="AB1209" i="6" a="1"/>
  <c r="AB1209" i="6" s="1"/>
  <c r="AB1208" i="6" a="1"/>
  <c r="AB1208" i="6" s="1"/>
  <c r="AB1207" i="6" a="1"/>
  <c r="AB1207" i="6" s="1"/>
  <c r="AB1206" i="6" a="1"/>
  <c r="AB1206" i="6" s="1"/>
  <c r="AB1205" i="6" a="1"/>
  <c r="AB1205" i="6" s="1"/>
  <c r="AB1204" i="6" a="1"/>
  <c r="AB1204" i="6" s="1"/>
  <c r="AB1203" i="6" a="1"/>
  <c r="AB1203" i="6" s="1"/>
  <c r="AB1202" i="6" a="1"/>
  <c r="AB1202" i="6" s="1"/>
  <c r="AB1201" i="6" a="1"/>
  <c r="AB1201" i="6" s="1"/>
  <c r="AB1200" i="6" a="1"/>
  <c r="AB1200" i="6" s="1"/>
  <c r="AB1199" i="6" a="1"/>
  <c r="AB1199" i="6" s="1"/>
  <c r="AB1198" i="6" a="1"/>
  <c r="AB1198" i="6" s="1"/>
  <c r="AB1197" i="6" a="1"/>
  <c r="AB1197" i="6" s="1"/>
  <c r="AB1196" i="6" a="1"/>
  <c r="AB1196" i="6" s="1"/>
  <c r="AB1195" i="6" a="1"/>
  <c r="AB1195" i="6" s="1"/>
  <c r="AB1194" i="6" a="1"/>
  <c r="AB1194" i="6" s="1"/>
  <c r="AB1193" i="6" a="1"/>
  <c r="AB1193" i="6" s="1"/>
  <c r="AB1192" i="6" a="1"/>
  <c r="AB1192" i="6" s="1"/>
  <c r="AB1191" i="6" a="1"/>
  <c r="AB1191" i="6" s="1"/>
  <c r="AB1190" i="6" a="1"/>
  <c r="AB1190" i="6" s="1"/>
  <c r="AB1189" i="6" a="1"/>
  <c r="AB1189" i="6" s="1"/>
  <c r="AB1188" i="6" a="1"/>
  <c r="AB1188" i="6" s="1"/>
  <c r="AB1187" i="6" a="1"/>
  <c r="AB1187" i="6" s="1"/>
  <c r="AB1186" i="6" a="1"/>
  <c r="AB1186" i="6" s="1"/>
  <c r="AB1185" i="6" a="1"/>
  <c r="AB1185" i="6" s="1"/>
  <c r="AB1184" i="6" a="1"/>
  <c r="AB1184" i="6" s="1"/>
  <c r="AB1183" i="6" a="1"/>
  <c r="AB1183" i="6" s="1"/>
  <c r="AB1182" i="6" a="1"/>
  <c r="AB1182" i="6" s="1"/>
  <c r="AB1181" i="6" a="1"/>
  <c r="AB1181" i="6" s="1"/>
  <c r="AB1180" i="6" a="1"/>
  <c r="AB1180" i="6" s="1"/>
  <c r="AB1179" i="6" a="1"/>
  <c r="AB1179" i="6" s="1"/>
  <c r="AB1178" i="6" a="1"/>
  <c r="AB1178" i="6" s="1"/>
  <c r="AB1177" i="6" a="1"/>
  <c r="AB1177" i="6" s="1"/>
  <c r="AB1176" i="6" a="1"/>
  <c r="AB1176" i="6" s="1"/>
  <c r="AB1175" i="6" a="1"/>
  <c r="AB1175" i="6" s="1"/>
  <c r="AB1174" i="6" a="1"/>
  <c r="AB1174" i="6" s="1"/>
  <c r="AB1173" i="6" a="1"/>
  <c r="AB1173" i="6" s="1"/>
  <c r="AB1172" i="6" a="1"/>
  <c r="AB1172" i="6" s="1"/>
  <c r="AB1171" i="6" a="1"/>
  <c r="AB1171" i="6" s="1"/>
  <c r="AB1170" i="6" a="1"/>
  <c r="AB1170" i="6" s="1"/>
  <c r="AB1169" i="6" a="1"/>
  <c r="AB1169" i="6" s="1"/>
  <c r="AB1168" i="6" a="1"/>
  <c r="AB1168" i="6" s="1"/>
  <c r="AB1167" i="6" a="1"/>
  <c r="AB1167" i="6" s="1"/>
  <c r="AB1166" i="6" a="1"/>
  <c r="AB1166" i="6" s="1"/>
  <c r="AB1165" i="6" a="1"/>
  <c r="AB1165" i="6" s="1"/>
  <c r="AB1164" i="6" a="1"/>
  <c r="AB1164" i="6" s="1"/>
  <c r="AB1163" i="6" a="1"/>
  <c r="AB1163" i="6" s="1"/>
  <c r="AB1162" i="6" a="1"/>
  <c r="AB1162" i="6" s="1"/>
  <c r="AB1161" i="6" a="1"/>
  <c r="AB1161" i="6" s="1"/>
  <c r="AB1160" i="6" a="1"/>
  <c r="AB1160" i="6" s="1"/>
  <c r="AB1159" i="6" a="1"/>
  <c r="AB1159" i="6" s="1"/>
  <c r="AB1158" i="6" a="1"/>
  <c r="AB1158" i="6" s="1"/>
  <c r="AB1157" i="6" a="1"/>
  <c r="AB1157" i="6" s="1"/>
  <c r="AB1156" i="6" a="1"/>
  <c r="AB1156" i="6" s="1"/>
  <c r="AB1155" i="6" a="1"/>
  <c r="AB1155" i="6" s="1"/>
  <c r="AB1154" i="6" a="1"/>
  <c r="AB1154" i="6" s="1"/>
  <c r="AB1153" i="6" a="1"/>
  <c r="AB1153" i="6" s="1"/>
  <c r="AB1152" i="6" a="1"/>
  <c r="AB1152" i="6" s="1"/>
  <c r="AB1151" i="6" a="1"/>
  <c r="AB1151" i="6" s="1"/>
  <c r="AB1150" i="6" a="1"/>
  <c r="AB1150" i="6" s="1"/>
  <c r="AB1149" i="6" a="1"/>
  <c r="AB1149" i="6" s="1"/>
  <c r="AB1148" i="6" a="1"/>
  <c r="AB1148" i="6" s="1"/>
  <c r="AB1147" i="6" a="1"/>
  <c r="AB1147" i="6" s="1"/>
  <c r="AB1146" i="6" a="1"/>
  <c r="AB1146" i="6" s="1"/>
  <c r="AB1145" i="6" a="1"/>
  <c r="AB1145" i="6" s="1"/>
  <c r="AB1144" i="6" a="1"/>
  <c r="AB1144" i="6" s="1"/>
  <c r="AB1143" i="6" a="1"/>
  <c r="AB1143" i="6" s="1"/>
  <c r="AB1142" i="6" a="1"/>
  <c r="AB1142" i="6" s="1"/>
  <c r="AB1141" i="6" a="1"/>
  <c r="AB1141" i="6" s="1"/>
  <c r="AB1140" i="6" a="1"/>
  <c r="AB1140" i="6" s="1"/>
  <c r="AB1139" i="6" a="1"/>
  <c r="AB1139" i="6" s="1"/>
  <c r="AB1138" i="6" a="1"/>
  <c r="AB1138" i="6" s="1"/>
  <c r="AB1137" i="6" a="1"/>
  <c r="AB1137" i="6" s="1"/>
  <c r="AB1136" i="6" a="1"/>
  <c r="AB1136" i="6" s="1"/>
  <c r="AB1135" i="6" a="1"/>
  <c r="AB1135" i="6" s="1"/>
  <c r="AB1134" i="6" a="1"/>
  <c r="AB1134" i="6" s="1"/>
  <c r="AB1133" i="6" a="1"/>
  <c r="AB1133" i="6" s="1"/>
  <c r="AB1132" i="6" a="1"/>
  <c r="AB1132" i="6" s="1"/>
  <c r="AB1131" i="6" a="1"/>
  <c r="AB1131" i="6" s="1"/>
  <c r="AB1130" i="6" a="1"/>
  <c r="AB1130" i="6" s="1"/>
  <c r="AB1129" i="6" a="1"/>
  <c r="AB1129" i="6" s="1"/>
  <c r="AB1128" i="6" a="1"/>
  <c r="AB1128" i="6" s="1"/>
  <c r="AB1127" i="6" a="1"/>
  <c r="AB1127" i="6" s="1"/>
  <c r="AB1126" i="6" a="1"/>
  <c r="AB1126" i="6" s="1"/>
  <c r="AB1125" i="6" a="1"/>
  <c r="AB1125" i="6" s="1"/>
  <c r="AB1124" i="6" a="1"/>
  <c r="AB1124" i="6" s="1"/>
  <c r="AB1123" i="6" a="1"/>
  <c r="AB1123" i="6" s="1"/>
  <c r="AB1122" i="6" a="1"/>
  <c r="AB1122" i="6" s="1"/>
  <c r="AB1121" i="6" a="1"/>
  <c r="AB1121" i="6" s="1"/>
  <c r="AB1120" i="6" a="1"/>
  <c r="AB1120" i="6" s="1"/>
  <c r="AB1119" i="6" a="1"/>
  <c r="AB1119" i="6" s="1"/>
  <c r="AB1118" i="6" a="1"/>
  <c r="AB1118" i="6" s="1"/>
  <c r="AB1117" i="6" a="1"/>
  <c r="AB1117" i="6" s="1"/>
  <c r="AB1116" i="6" a="1"/>
  <c r="AB1116" i="6" s="1"/>
  <c r="AB1115" i="6" a="1"/>
  <c r="AB1115" i="6" s="1"/>
  <c r="AB1114" i="6" a="1"/>
  <c r="AB1114" i="6" s="1"/>
  <c r="AB1113" i="6" a="1"/>
  <c r="AB1113" i="6" s="1"/>
  <c r="AB1112" i="6" a="1"/>
  <c r="AB1112" i="6" s="1"/>
  <c r="AB1111" i="6" a="1"/>
  <c r="AB1111" i="6" s="1"/>
  <c r="AB1110" i="6" a="1"/>
  <c r="AB1110" i="6" s="1"/>
  <c r="AB1109" i="6" a="1"/>
  <c r="AB1109" i="6" s="1"/>
  <c r="AB1108" i="6" a="1"/>
  <c r="AB1108" i="6" s="1"/>
  <c r="AB1107" i="6" a="1"/>
  <c r="AB1107" i="6" s="1"/>
  <c r="AB1106" i="6" a="1"/>
  <c r="AB1106" i="6" s="1"/>
  <c r="AB1105" i="6" a="1"/>
  <c r="AB1105" i="6" s="1"/>
  <c r="AB1104" i="6" a="1"/>
  <c r="AB1104" i="6" s="1"/>
  <c r="AB1103" i="6" a="1"/>
  <c r="AB1103" i="6" s="1"/>
  <c r="AB1102" i="6" a="1"/>
  <c r="AB1102" i="6" s="1"/>
  <c r="AB1101" i="6" a="1"/>
  <c r="AB1101" i="6" s="1"/>
  <c r="AB1100" i="6" a="1"/>
  <c r="AB1100" i="6" s="1"/>
  <c r="AB1099" i="6" a="1"/>
  <c r="AB1099" i="6" s="1"/>
  <c r="AB1098" i="6" a="1"/>
  <c r="AB1098" i="6" s="1"/>
  <c r="AB1097" i="6" a="1"/>
  <c r="AB1097" i="6" s="1"/>
  <c r="AB1096" i="6" a="1"/>
  <c r="AB1096" i="6" s="1"/>
  <c r="AB1095" i="6" a="1"/>
  <c r="AB1095" i="6" s="1"/>
  <c r="AB1094" i="6" a="1"/>
  <c r="AB1094" i="6" s="1"/>
  <c r="AB1093" i="6" a="1"/>
  <c r="AB1093" i="6" s="1"/>
  <c r="AB1092" i="6" a="1"/>
  <c r="AB1092" i="6" s="1"/>
  <c r="AB1091" i="6" a="1"/>
  <c r="AB1091" i="6" s="1"/>
  <c r="AB1090" i="6" a="1"/>
  <c r="AB1090" i="6" s="1"/>
  <c r="AB1089" i="6" a="1"/>
  <c r="AB1089" i="6" s="1"/>
  <c r="AB1088" i="6" a="1"/>
  <c r="AB1088" i="6" s="1"/>
  <c r="AB1087" i="6" a="1"/>
  <c r="AB1087" i="6" s="1"/>
  <c r="AB1086" i="6" a="1"/>
  <c r="AB1086" i="6" s="1"/>
  <c r="AB1085" i="6" a="1"/>
  <c r="AB1085" i="6" s="1"/>
  <c r="AB1084" i="6" a="1"/>
  <c r="AB1084" i="6" s="1"/>
  <c r="AB1083" i="6" a="1"/>
  <c r="AB1083" i="6" s="1"/>
  <c r="AB1082" i="6" a="1"/>
  <c r="AB1082" i="6" s="1"/>
  <c r="AB1081" i="6" a="1"/>
  <c r="AB1081" i="6" s="1"/>
  <c r="AB1080" i="6" a="1"/>
  <c r="AB1080" i="6" s="1"/>
  <c r="AB1079" i="6" a="1"/>
  <c r="AB1079" i="6" s="1"/>
  <c r="AB1078" i="6" a="1"/>
  <c r="AB1078" i="6" s="1"/>
  <c r="AB1077" i="6" a="1"/>
  <c r="AB1077" i="6" s="1"/>
  <c r="AB1076" i="6" a="1"/>
  <c r="AB1076" i="6" s="1"/>
  <c r="AB1075" i="6" a="1"/>
  <c r="AB1075" i="6" s="1"/>
  <c r="AB1074" i="6" a="1"/>
  <c r="AB1074" i="6" s="1"/>
  <c r="AB1073" i="6" a="1"/>
  <c r="AB1073" i="6" s="1"/>
  <c r="AB1072" i="6" a="1"/>
  <c r="AB1072" i="6" s="1"/>
  <c r="AB1071" i="6" a="1"/>
  <c r="AB1071" i="6" s="1"/>
  <c r="AB1070" i="6" a="1"/>
  <c r="AB1070" i="6" s="1"/>
  <c r="AB1069" i="6" a="1"/>
  <c r="AB1069" i="6" s="1"/>
  <c r="AB1068" i="6" a="1"/>
  <c r="AB1068" i="6" s="1"/>
  <c r="AB1067" i="6" a="1"/>
  <c r="AB1067" i="6" s="1"/>
  <c r="AB1066" i="6" a="1"/>
  <c r="AB1066" i="6" s="1"/>
  <c r="AB1065" i="6" a="1"/>
  <c r="AB1065" i="6" s="1"/>
  <c r="AB1064" i="6" a="1"/>
  <c r="AB1064" i="6" s="1"/>
  <c r="AB1063" i="6" a="1"/>
  <c r="AB1063" i="6" s="1"/>
  <c r="AB1062" i="6" a="1"/>
  <c r="AB1062" i="6" s="1"/>
  <c r="AB1061" i="6" a="1"/>
  <c r="AB1061" i="6" s="1"/>
  <c r="AB1060" i="6" a="1"/>
  <c r="AB1060" i="6" s="1"/>
  <c r="AB1059" i="6" a="1"/>
  <c r="AB1059" i="6" s="1"/>
  <c r="AB1058" i="6" a="1"/>
  <c r="AB1058" i="6" s="1"/>
  <c r="AB1057" i="6" a="1"/>
  <c r="AB1057" i="6" s="1"/>
  <c r="AB1056" i="6" a="1"/>
  <c r="AB1056" i="6" s="1"/>
  <c r="AB1055" i="6" a="1"/>
  <c r="AB1055" i="6" s="1"/>
  <c r="AB1054" i="6" a="1"/>
  <c r="AB1054" i="6" s="1"/>
  <c r="AB1053" i="6" a="1"/>
  <c r="AB1053" i="6" s="1"/>
  <c r="AB1052" i="6" a="1"/>
  <c r="AB1052" i="6" s="1"/>
  <c r="AB1051" i="6" a="1"/>
  <c r="AB1051" i="6" s="1"/>
  <c r="AB1050" i="6" a="1"/>
  <c r="AB1050" i="6" s="1"/>
  <c r="AB1049" i="6" a="1"/>
  <c r="AB1049" i="6" s="1"/>
  <c r="AB1048" i="6" a="1"/>
  <c r="AB1048" i="6" s="1"/>
  <c r="AB1047" i="6" a="1"/>
  <c r="AB1047" i="6" s="1"/>
  <c r="AB1046" i="6" a="1"/>
  <c r="AB1046" i="6" s="1"/>
  <c r="AB1045" i="6" a="1"/>
  <c r="AB1045" i="6" s="1"/>
  <c r="AB1044" i="6" a="1"/>
  <c r="AB1044" i="6" s="1"/>
  <c r="AB1043" i="6" a="1"/>
  <c r="AB1043" i="6" s="1"/>
  <c r="AB1042" i="6" a="1"/>
  <c r="AB1042" i="6" s="1"/>
  <c r="AB1041" i="6" a="1"/>
  <c r="AB1041" i="6" s="1"/>
  <c r="AB1040" i="6" a="1"/>
  <c r="AB1040" i="6" s="1"/>
  <c r="AB1039" i="6" a="1"/>
  <c r="AB1039" i="6" s="1"/>
  <c r="AB1038" i="6" a="1"/>
  <c r="AB1038" i="6" s="1"/>
  <c r="AB1037" i="6" a="1"/>
  <c r="AB1037" i="6" s="1"/>
  <c r="AB1036" i="6" a="1"/>
  <c r="AB1036" i="6" s="1"/>
  <c r="AB1035" i="6" a="1"/>
  <c r="AB1035" i="6" s="1"/>
  <c r="AB1034" i="6" a="1"/>
  <c r="AB1034" i="6" s="1"/>
  <c r="AB1033" i="6" a="1"/>
  <c r="AB1033" i="6" s="1"/>
  <c r="AB1032" i="6" a="1"/>
  <c r="AB1032" i="6" s="1"/>
  <c r="AB1031" i="6" a="1"/>
  <c r="AB1031" i="6" s="1"/>
  <c r="AB1030" i="6" a="1"/>
  <c r="AB1030" i="6" s="1"/>
  <c r="AB1029" i="6" a="1"/>
  <c r="AB1029" i="6" s="1"/>
  <c r="AB1028" i="6" a="1"/>
  <c r="AB1028" i="6" s="1"/>
  <c r="AB1027" i="6" a="1"/>
  <c r="AB1027" i="6" s="1"/>
  <c r="AB1026" i="6" a="1"/>
  <c r="AB1026" i="6" s="1"/>
  <c r="AB1025" i="6" a="1"/>
  <c r="AB1025" i="6" s="1"/>
  <c r="AB1024" i="6" a="1"/>
  <c r="AB1024" i="6" s="1"/>
  <c r="AB1023" i="6" a="1"/>
  <c r="AB1023" i="6" s="1"/>
  <c r="AB1022" i="6" a="1"/>
  <c r="AB1022" i="6" s="1"/>
  <c r="AB1021" i="6" a="1"/>
  <c r="AB1021" i="6" s="1"/>
  <c r="AB1020" i="6" a="1"/>
  <c r="AB1020" i="6" s="1"/>
  <c r="AB1019" i="6" a="1"/>
  <c r="AB1019" i="6" s="1"/>
  <c r="AB1018" i="6" a="1"/>
  <c r="AB1018" i="6" s="1"/>
  <c r="AB1017" i="6" a="1"/>
  <c r="AB1017" i="6" s="1"/>
  <c r="AB1016" i="6" a="1"/>
  <c r="AB1016" i="6" s="1"/>
  <c r="AB1015" i="6" a="1"/>
  <c r="AB1015" i="6" s="1"/>
  <c r="AB1014" i="6" a="1"/>
  <c r="AB1014" i="6" s="1"/>
  <c r="AB1013" i="6" a="1"/>
  <c r="AB1013" i="6" s="1"/>
  <c r="AB1012" i="6" a="1"/>
  <c r="AB1012" i="6" s="1"/>
  <c r="AB1011" i="6" a="1"/>
  <c r="AB1011" i="6" s="1"/>
  <c r="AB1010" i="6" a="1"/>
  <c r="AB1010" i="6" s="1"/>
  <c r="AB1009" i="6" a="1"/>
  <c r="AB1009" i="6" s="1"/>
  <c r="AB1008" i="6" a="1"/>
  <c r="AB1008" i="6" s="1"/>
  <c r="AB1007" i="6" a="1"/>
  <c r="AB1007" i="6" s="1"/>
  <c r="AB1006" i="6" a="1"/>
  <c r="AB1006" i="6" s="1"/>
  <c r="AB1005" i="6" a="1"/>
  <c r="AB1005" i="6" s="1"/>
  <c r="AB1004" i="6" a="1"/>
  <c r="AB1004" i="6" s="1"/>
  <c r="AB1003" i="6" a="1"/>
  <c r="AB1003" i="6" s="1"/>
  <c r="AB1002" i="6" a="1"/>
  <c r="AB1002" i="6" s="1"/>
  <c r="AB1001" i="6" a="1"/>
  <c r="AB1001" i="6" s="1"/>
  <c r="AB1000" i="6" a="1"/>
  <c r="AB1000" i="6" s="1"/>
  <c r="AB999" i="6" a="1"/>
  <c r="AB999" i="6" s="1"/>
  <c r="AB998" i="6" a="1"/>
  <c r="AB998" i="6" s="1"/>
  <c r="AB997" i="6" a="1"/>
  <c r="AB997" i="6" s="1"/>
  <c r="AB996" i="6" a="1"/>
  <c r="AB996" i="6" s="1"/>
  <c r="AB995" i="6" a="1"/>
  <c r="AB995" i="6" s="1"/>
  <c r="AB994" i="6" a="1"/>
  <c r="AB994" i="6" s="1"/>
  <c r="AB993" i="6" a="1"/>
  <c r="AB993" i="6" s="1"/>
  <c r="AB992" i="6" a="1"/>
  <c r="AB992" i="6" s="1"/>
  <c r="AB991" i="6" a="1"/>
  <c r="AB991" i="6" s="1"/>
  <c r="AB990" i="6" a="1"/>
  <c r="AB990" i="6" s="1"/>
  <c r="AB989" i="6" a="1"/>
  <c r="AB989" i="6" s="1"/>
  <c r="AB988" i="6" a="1"/>
  <c r="AB988" i="6" s="1"/>
  <c r="AB987" i="6" a="1"/>
  <c r="AB987" i="6" s="1"/>
  <c r="AB986" i="6" a="1"/>
  <c r="AB986" i="6" s="1"/>
  <c r="AB985" i="6" a="1"/>
  <c r="AB985" i="6" s="1"/>
  <c r="AB984" i="6" a="1"/>
  <c r="AB984" i="6" s="1"/>
  <c r="AB983" i="6" a="1"/>
  <c r="AB983" i="6" s="1"/>
  <c r="AB982" i="6" a="1"/>
  <c r="AB982" i="6" s="1"/>
  <c r="AB981" i="6" a="1"/>
  <c r="AB981" i="6" s="1"/>
  <c r="AB980" i="6" a="1"/>
  <c r="AB980" i="6" s="1"/>
  <c r="AB979" i="6" a="1"/>
  <c r="AB979" i="6" s="1"/>
  <c r="AB978" i="6" a="1"/>
  <c r="AB978" i="6" s="1"/>
  <c r="AB977" i="6" a="1"/>
  <c r="AB977" i="6" s="1"/>
  <c r="AB976" i="6" a="1"/>
  <c r="AB976" i="6" s="1"/>
  <c r="AB975" i="6" a="1"/>
  <c r="AB975" i="6" s="1"/>
  <c r="AB974" i="6" a="1"/>
  <c r="AB974" i="6" s="1"/>
  <c r="AB973" i="6" a="1"/>
  <c r="AB973" i="6" s="1"/>
  <c r="AB972" i="6" a="1"/>
  <c r="AB972" i="6" s="1"/>
  <c r="AB971" i="6" a="1"/>
  <c r="AB971" i="6" s="1"/>
  <c r="AB970" i="6" a="1"/>
  <c r="AB970" i="6" s="1"/>
  <c r="AB969" i="6" a="1"/>
  <c r="AB969" i="6" s="1"/>
  <c r="AB968" i="6" a="1"/>
  <c r="AB968" i="6" s="1"/>
  <c r="AB967" i="6" a="1"/>
  <c r="AB967" i="6" s="1"/>
  <c r="AB966" i="6" a="1"/>
  <c r="AB966" i="6" s="1"/>
  <c r="AB965" i="6" a="1"/>
  <c r="AB965" i="6" s="1"/>
  <c r="AB964" i="6" a="1"/>
  <c r="AB964" i="6" s="1"/>
  <c r="AB963" i="6" a="1"/>
  <c r="AB963" i="6" s="1"/>
  <c r="AB962" i="6" a="1"/>
  <c r="AB962" i="6" s="1"/>
  <c r="AB961" i="6" a="1"/>
  <c r="AB961" i="6" s="1"/>
  <c r="AB960" i="6" a="1"/>
  <c r="AB960" i="6" s="1"/>
  <c r="AB959" i="6" a="1"/>
  <c r="AB959" i="6" s="1"/>
  <c r="AB958" i="6" a="1"/>
  <c r="AB958" i="6" s="1"/>
  <c r="AB957" i="6" a="1"/>
  <c r="AB957" i="6" s="1"/>
  <c r="AB956" i="6" a="1"/>
  <c r="AB956" i="6" s="1"/>
  <c r="AB955" i="6" a="1"/>
  <c r="AB955" i="6" s="1"/>
  <c r="AB954" i="6" a="1"/>
  <c r="AB954" i="6" s="1"/>
  <c r="AB953" i="6" a="1"/>
  <c r="AB953" i="6" s="1"/>
  <c r="AB952" i="6" a="1"/>
  <c r="AB952" i="6" s="1"/>
  <c r="AB951" i="6" a="1"/>
  <c r="AB951" i="6" s="1"/>
  <c r="AB950" i="6" a="1"/>
  <c r="AB950" i="6" s="1"/>
  <c r="AB949" i="6" a="1"/>
  <c r="AB949" i="6" s="1"/>
  <c r="AB948" i="6" a="1"/>
  <c r="AB948" i="6" s="1"/>
  <c r="AB947" i="6" a="1"/>
  <c r="AB947" i="6" s="1"/>
  <c r="AB946" i="6" a="1"/>
  <c r="AB946" i="6" s="1"/>
  <c r="AB945" i="6" a="1"/>
  <c r="AB945" i="6" s="1"/>
  <c r="AB944" i="6" a="1"/>
  <c r="AB944" i="6" s="1"/>
  <c r="AB943" i="6" a="1"/>
  <c r="AB943" i="6" s="1"/>
  <c r="AB942" i="6" a="1"/>
  <c r="AB942" i="6" s="1"/>
  <c r="AB941" i="6" a="1"/>
  <c r="AB941" i="6" s="1"/>
  <c r="AB940" i="6" a="1"/>
  <c r="AB940" i="6" s="1"/>
  <c r="AB939" i="6" a="1"/>
  <c r="AB939" i="6" s="1"/>
  <c r="AB938" i="6" a="1"/>
  <c r="AB938" i="6" s="1"/>
  <c r="AB937" i="6" a="1"/>
  <c r="AB937" i="6" s="1"/>
  <c r="AB936" i="6" a="1"/>
  <c r="AB936" i="6" s="1"/>
  <c r="AB935" i="6" a="1"/>
  <c r="AB935" i="6" s="1"/>
  <c r="AB934" i="6" a="1"/>
  <c r="AB934" i="6" s="1"/>
  <c r="AB933" i="6" a="1"/>
  <c r="AB933" i="6" s="1"/>
  <c r="AB932" i="6" a="1"/>
  <c r="AB932" i="6" s="1"/>
  <c r="AB931" i="6" a="1"/>
  <c r="AB931" i="6" s="1"/>
  <c r="AB930" i="6" a="1"/>
  <c r="AB930" i="6" s="1"/>
  <c r="AB929" i="6" a="1"/>
  <c r="AB929" i="6" s="1"/>
  <c r="AB928" i="6" a="1"/>
  <c r="AB928" i="6" s="1"/>
  <c r="AB927" i="6" a="1"/>
  <c r="AB927" i="6" s="1"/>
  <c r="AB926" i="6" a="1"/>
  <c r="AB926" i="6" s="1"/>
  <c r="AB925" i="6" a="1"/>
  <c r="AB925" i="6" s="1"/>
  <c r="AB924" i="6" a="1"/>
  <c r="AB924" i="6" s="1"/>
  <c r="AB923" i="6" a="1"/>
  <c r="AB923" i="6" s="1"/>
  <c r="AB922" i="6" a="1"/>
  <c r="AB922" i="6" s="1"/>
  <c r="AB921" i="6" a="1"/>
  <c r="AB921" i="6" s="1"/>
  <c r="AB920" i="6" a="1"/>
  <c r="AB920" i="6" s="1"/>
  <c r="AB919" i="6" a="1"/>
  <c r="AB919" i="6" s="1"/>
  <c r="AB918" i="6" a="1"/>
  <c r="AB918" i="6" s="1"/>
  <c r="AB917" i="6" a="1"/>
  <c r="AB917" i="6" s="1"/>
  <c r="AB916" i="6" a="1"/>
  <c r="AB916" i="6" s="1"/>
  <c r="AB915" i="6" a="1"/>
  <c r="AB915" i="6" s="1"/>
  <c r="AB914" i="6" a="1"/>
  <c r="AB914" i="6" s="1"/>
  <c r="AB913" i="6" a="1"/>
  <c r="AB913" i="6" s="1"/>
  <c r="AB912" i="6" a="1"/>
  <c r="AB912" i="6" s="1"/>
  <c r="AB911" i="6" a="1"/>
  <c r="AB911" i="6" s="1"/>
  <c r="AB910" i="6" a="1"/>
  <c r="AB910" i="6" s="1"/>
  <c r="AB909" i="6" a="1"/>
  <c r="AB909" i="6" s="1"/>
  <c r="AB908" i="6" a="1"/>
  <c r="AB908" i="6" s="1"/>
  <c r="AB907" i="6" a="1"/>
  <c r="AB907" i="6" s="1"/>
  <c r="AB906" i="6" a="1"/>
  <c r="AB906" i="6" s="1"/>
  <c r="AB905" i="6" a="1"/>
  <c r="AB905" i="6" s="1"/>
  <c r="AB904" i="6" a="1"/>
  <c r="AB904" i="6" s="1"/>
  <c r="AB903" i="6" a="1"/>
  <c r="AB903" i="6" s="1"/>
  <c r="AB902" i="6" a="1"/>
  <c r="AB902" i="6" s="1"/>
  <c r="AB901" i="6" a="1"/>
  <c r="AB901" i="6" s="1"/>
  <c r="AB900" i="6" a="1"/>
  <c r="AB900" i="6" s="1"/>
  <c r="AB899" i="6" a="1"/>
  <c r="AB899" i="6" s="1"/>
  <c r="AB898" i="6" a="1"/>
  <c r="AB898" i="6" s="1"/>
  <c r="AB897" i="6" a="1"/>
  <c r="AB897" i="6" s="1"/>
  <c r="AB896" i="6" a="1"/>
  <c r="AB896" i="6" s="1"/>
  <c r="AB895" i="6" a="1"/>
  <c r="AB895" i="6" s="1"/>
  <c r="AB894" i="6" a="1"/>
  <c r="AB894" i="6" s="1"/>
  <c r="AB893" i="6" a="1"/>
  <c r="AB893" i="6" s="1"/>
  <c r="AB892" i="6" a="1"/>
  <c r="AB892" i="6" s="1"/>
  <c r="AB891" i="6" a="1"/>
  <c r="AB891" i="6" s="1"/>
  <c r="AB890" i="6" a="1"/>
  <c r="AB890" i="6" s="1"/>
  <c r="AB889" i="6" a="1"/>
  <c r="AB889" i="6" s="1"/>
  <c r="AB888" i="6" a="1"/>
  <c r="AB888" i="6" s="1"/>
  <c r="AB887" i="6" a="1"/>
  <c r="AB887" i="6" s="1"/>
  <c r="AB886" i="6" a="1"/>
  <c r="AB886" i="6" s="1"/>
  <c r="AB885" i="6" a="1"/>
  <c r="AB885" i="6" s="1"/>
  <c r="AB884" i="6" a="1"/>
  <c r="AB884" i="6" s="1"/>
  <c r="AB883" i="6" a="1"/>
  <c r="AB883" i="6" s="1"/>
  <c r="AB882" i="6" a="1"/>
  <c r="AB882" i="6" s="1"/>
  <c r="AB881" i="6" a="1"/>
  <c r="AB881" i="6" s="1"/>
  <c r="AB880" i="6" a="1"/>
  <c r="AB880" i="6" s="1"/>
  <c r="AB879" i="6" a="1"/>
  <c r="AB879" i="6" s="1"/>
  <c r="AB878" i="6" a="1"/>
  <c r="AB878" i="6" s="1"/>
  <c r="AB877" i="6" a="1"/>
  <c r="AB877" i="6" s="1"/>
  <c r="AB876" i="6" a="1"/>
  <c r="AB876" i="6" s="1"/>
  <c r="AB875" i="6" a="1"/>
  <c r="AB875" i="6" s="1"/>
  <c r="AB874" i="6" a="1"/>
  <c r="AB874" i="6" s="1"/>
  <c r="AB873" i="6" a="1"/>
  <c r="AB873" i="6" s="1"/>
  <c r="AB872" i="6" a="1"/>
  <c r="AB872" i="6" s="1"/>
  <c r="AB871" i="6" a="1"/>
  <c r="AB871" i="6" s="1"/>
  <c r="AB870" i="6" a="1"/>
  <c r="AB870" i="6" s="1"/>
  <c r="AB869" i="6" a="1"/>
  <c r="AB869" i="6" s="1"/>
  <c r="AB868" i="6" a="1"/>
  <c r="AB868" i="6" s="1"/>
  <c r="AB867" i="6" a="1"/>
  <c r="AB867" i="6" s="1"/>
  <c r="AB866" i="6" a="1"/>
  <c r="AB866" i="6" s="1"/>
  <c r="AB865" i="6" a="1"/>
  <c r="AB865" i="6" s="1"/>
  <c r="AB864" i="6" a="1"/>
  <c r="AB864" i="6" s="1"/>
  <c r="AB863" i="6" a="1"/>
  <c r="AB863" i="6" s="1"/>
  <c r="AB862" i="6" a="1"/>
  <c r="AB862" i="6" s="1"/>
  <c r="AB861" i="6" a="1"/>
  <c r="AB861" i="6" s="1"/>
  <c r="AB860" i="6" a="1"/>
  <c r="AB860" i="6" s="1"/>
  <c r="AB859" i="6" a="1"/>
  <c r="AB859" i="6" s="1"/>
  <c r="AB858" i="6" a="1"/>
  <c r="AB858" i="6" s="1"/>
  <c r="AB857" i="6" a="1"/>
  <c r="AB857" i="6" s="1"/>
  <c r="AB856" i="6" a="1"/>
  <c r="AB856" i="6" s="1"/>
  <c r="AB855" i="6" a="1"/>
  <c r="AB855" i="6" s="1"/>
  <c r="AB854" i="6" a="1"/>
  <c r="AB854" i="6" s="1"/>
  <c r="AB853" i="6" a="1"/>
  <c r="AB853" i="6" s="1"/>
  <c r="AB852" i="6" a="1"/>
  <c r="AB852" i="6" s="1"/>
  <c r="AB851" i="6" a="1"/>
  <c r="AB851" i="6" s="1"/>
  <c r="AB850" i="6" a="1"/>
  <c r="AB850" i="6" s="1"/>
  <c r="AB849" i="6" a="1"/>
  <c r="AB849" i="6" s="1"/>
  <c r="AB848" i="6" a="1"/>
  <c r="AB848" i="6" s="1"/>
  <c r="AB847" i="6" a="1"/>
  <c r="AB847" i="6" s="1"/>
  <c r="AB846" i="6" a="1"/>
  <c r="AB846" i="6" s="1"/>
  <c r="AB845" i="6" a="1"/>
  <c r="AB845" i="6" s="1"/>
  <c r="AB844" i="6" a="1"/>
  <c r="AB844" i="6" s="1"/>
  <c r="AB843" i="6" a="1"/>
  <c r="AB843" i="6" s="1"/>
  <c r="AB842" i="6" a="1"/>
  <c r="AB842" i="6" s="1"/>
  <c r="AB841" i="6" a="1"/>
  <c r="AB841" i="6" s="1"/>
  <c r="AB840" i="6" a="1"/>
  <c r="AB840" i="6" s="1"/>
  <c r="AB839" i="6" a="1"/>
  <c r="AB839" i="6" s="1"/>
  <c r="AB838" i="6" a="1"/>
  <c r="AB838" i="6" s="1"/>
  <c r="AB837" i="6" a="1"/>
  <c r="AB837" i="6" s="1"/>
  <c r="AB836" i="6" a="1"/>
  <c r="AB836" i="6" s="1"/>
  <c r="AB835" i="6" a="1"/>
  <c r="AB835" i="6" s="1"/>
  <c r="AB834" i="6" a="1"/>
  <c r="AB834" i="6" s="1"/>
  <c r="AB833" i="6" a="1"/>
  <c r="AB833" i="6" s="1"/>
  <c r="AB832" i="6" a="1"/>
  <c r="AB832" i="6" s="1"/>
  <c r="AB831" i="6" a="1"/>
  <c r="AB831" i="6" s="1"/>
  <c r="AB830" i="6" a="1"/>
  <c r="AB830" i="6" s="1"/>
  <c r="AB829" i="6" a="1"/>
  <c r="AB829" i="6" s="1"/>
  <c r="AB828" i="6" a="1"/>
  <c r="AB828" i="6" s="1"/>
  <c r="AB827" i="6" a="1"/>
  <c r="AB827" i="6" s="1"/>
  <c r="AB826" i="6" a="1"/>
  <c r="AB826" i="6" s="1"/>
  <c r="AB825" i="6" a="1"/>
  <c r="AB825" i="6" s="1"/>
  <c r="AB824" i="6" a="1"/>
  <c r="AB824" i="6" s="1"/>
  <c r="AB823" i="6" a="1"/>
  <c r="AB823" i="6" s="1"/>
  <c r="AB822" i="6" a="1"/>
  <c r="AB822" i="6" s="1"/>
  <c r="AB821" i="6" a="1"/>
  <c r="AB821" i="6" s="1"/>
  <c r="AB820" i="6" a="1"/>
  <c r="AB820" i="6" s="1"/>
  <c r="AB819" i="6" a="1"/>
  <c r="AB819" i="6" s="1"/>
  <c r="AB818" i="6" a="1"/>
  <c r="AB818" i="6" s="1"/>
  <c r="AB817" i="6" a="1"/>
  <c r="AB817" i="6" s="1"/>
  <c r="AB816" i="6" a="1"/>
  <c r="AB816" i="6" s="1"/>
  <c r="AB815" i="6" a="1"/>
  <c r="AB815" i="6" s="1"/>
  <c r="AB814" i="6" a="1"/>
  <c r="AB814" i="6" s="1"/>
  <c r="AB813" i="6" a="1"/>
  <c r="AB813" i="6" s="1"/>
  <c r="AB812" i="6" a="1"/>
  <c r="AB812" i="6" s="1"/>
  <c r="AB811" i="6" a="1"/>
  <c r="AB811" i="6" s="1"/>
  <c r="AB810" i="6" a="1"/>
  <c r="AB810" i="6" s="1"/>
  <c r="AB809" i="6" a="1"/>
  <c r="AB809" i="6" s="1"/>
  <c r="AB808" i="6" a="1"/>
  <c r="AB808" i="6" s="1"/>
  <c r="AB807" i="6" a="1"/>
  <c r="AB807" i="6" s="1"/>
  <c r="AB806" i="6" a="1"/>
  <c r="AB806" i="6" s="1"/>
  <c r="AB805" i="6" a="1"/>
  <c r="AB805" i="6" s="1"/>
  <c r="AB804" i="6" a="1"/>
  <c r="AB804" i="6" s="1"/>
  <c r="AB803" i="6" a="1"/>
  <c r="AB803" i="6" s="1"/>
  <c r="AB802" i="6" a="1"/>
  <c r="AB802" i="6" s="1"/>
  <c r="AB801" i="6" a="1"/>
  <c r="AB801" i="6" s="1"/>
  <c r="AB800" i="6" a="1"/>
  <c r="AB800" i="6" s="1"/>
  <c r="AB799" i="6" a="1"/>
  <c r="AB799" i="6" s="1"/>
  <c r="AB798" i="6" a="1"/>
  <c r="AB798" i="6" s="1"/>
  <c r="AB797" i="6" a="1"/>
  <c r="AB797" i="6" s="1"/>
  <c r="AB796" i="6" a="1"/>
  <c r="AB796" i="6" s="1"/>
  <c r="AB795" i="6" a="1"/>
  <c r="AB795" i="6" s="1"/>
  <c r="AB794" i="6" a="1"/>
  <c r="AB794" i="6" s="1"/>
  <c r="AB793" i="6" a="1"/>
  <c r="AB793" i="6" s="1"/>
  <c r="AB792" i="6" a="1"/>
  <c r="AB792" i="6" s="1"/>
  <c r="AB791" i="6" a="1"/>
  <c r="AB791" i="6" s="1"/>
  <c r="AB790" i="6" a="1"/>
  <c r="AB790" i="6" s="1"/>
  <c r="AB789" i="6" a="1"/>
  <c r="AB789" i="6" s="1"/>
  <c r="AB788" i="6" a="1"/>
  <c r="AB788" i="6" s="1"/>
  <c r="AB787" i="6" a="1"/>
  <c r="AB787" i="6" s="1"/>
  <c r="AB786" i="6" a="1"/>
  <c r="AB786" i="6" s="1"/>
  <c r="AB785" i="6" a="1"/>
  <c r="AB785" i="6" s="1"/>
  <c r="AB784" i="6" a="1"/>
  <c r="AB784" i="6" s="1"/>
  <c r="AB783" i="6" a="1"/>
  <c r="AB783" i="6" s="1"/>
  <c r="AB782" i="6" a="1"/>
  <c r="AB782" i="6" s="1"/>
  <c r="AB781" i="6" a="1"/>
  <c r="AB781" i="6" s="1"/>
  <c r="AB780" i="6" a="1"/>
  <c r="AB780" i="6" s="1"/>
  <c r="AB779" i="6" a="1"/>
  <c r="AB779" i="6" s="1"/>
  <c r="AB778" i="6" a="1"/>
  <c r="AB778" i="6" s="1"/>
  <c r="AB777" i="6" a="1"/>
  <c r="AB777" i="6" s="1"/>
  <c r="AB776" i="6" a="1"/>
  <c r="AB776" i="6" s="1"/>
  <c r="AB775" i="6" a="1"/>
  <c r="AB775" i="6" s="1"/>
  <c r="AB774" i="6" a="1"/>
  <c r="AB774" i="6" s="1"/>
  <c r="AB773" i="6" a="1"/>
  <c r="AB773" i="6" s="1"/>
  <c r="AB772" i="6" a="1"/>
  <c r="AB772" i="6" s="1"/>
  <c r="AB771" i="6" a="1"/>
  <c r="AB771" i="6" s="1"/>
  <c r="AB770" i="6" a="1"/>
  <c r="AB770" i="6" s="1"/>
  <c r="AB769" i="6" a="1"/>
  <c r="AB769" i="6" s="1"/>
  <c r="AB768" i="6" a="1"/>
  <c r="AB768" i="6" s="1"/>
  <c r="AB767" i="6" a="1"/>
  <c r="AB767" i="6" s="1"/>
  <c r="AB766" i="6" a="1"/>
  <c r="AB766" i="6" s="1"/>
  <c r="AB765" i="6" a="1"/>
  <c r="AB765" i="6" s="1"/>
  <c r="AB764" i="6" a="1"/>
  <c r="AB764" i="6" s="1"/>
  <c r="AB763" i="6" a="1"/>
  <c r="AB763" i="6" s="1"/>
  <c r="AB762" i="6" a="1"/>
  <c r="AB762" i="6" s="1"/>
  <c r="AB761" i="6" a="1"/>
  <c r="AB761" i="6" s="1"/>
  <c r="AB760" i="6" a="1"/>
  <c r="AB760" i="6" s="1"/>
  <c r="AB759" i="6" a="1"/>
  <c r="AB759" i="6" s="1"/>
  <c r="AB758" i="6" a="1"/>
  <c r="AB758" i="6" s="1"/>
  <c r="AB757" i="6" a="1"/>
  <c r="AB757" i="6" s="1"/>
  <c r="AB756" i="6" a="1"/>
  <c r="AB756" i="6" s="1"/>
  <c r="AB755" i="6" a="1"/>
  <c r="AB755" i="6" s="1"/>
  <c r="AB754" i="6" a="1"/>
  <c r="AB754" i="6" s="1"/>
  <c r="AB753" i="6" a="1"/>
  <c r="AB753" i="6" s="1"/>
  <c r="AB752" i="6" a="1"/>
  <c r="AB752" i="6" s="1"/>
  <c r="AB751" i="6" a="1"/>
  <c r="AB751" i="6" s="1"/>
  <c r="AB750" i="6" a="1"/>
  <c r="AB750" i="6" s="1"/>
  <c r="AB749" i="6" a="1"/>
  <c r="AB749" i="6" s="1"/>
  <c r="AB748" i="6" a="1"/>
  <c r="AB748" i="6" s="1"/>
  <c r="AB747" i="6" a="1"/>
  <c r="AB747" i="6" s="1"/>
  <c r="AB746" i="6" a="1"/>
  <c r="AB746" i="6" s="1"/>
  <c r="AB745" i="6" a="1"/>
  <c r="AB745" i="6" s="1"/>
  <c r="AB744" i="6" a="1"/>
  <c r="AB744" i="6" s="1"/>
  <c r="AB743" i="6" a="1"/>
  <c r="AB743" i="6" s="1"/>
  <c r="AB742" i="6" a="1"/>
  <c r="AB742" i="6" s="1"/>
  <c r="AB741" i="6" a="1"/>
  <c r="AB741" i="6" s="1"/>
  <c r="AB740" i="6" a="1"/>
  <c r="AB740" i="6" s="1"/>
  <c r="AB739" i="6" a="1"/>
  <c r="AB739" i="6" s="1"/>
  <c r="AB738" i="6" a="1"/>
  <c r="AB738" i="6" s="1"/>
  <c r="AB737" i="6" a="1"/>
  <c r="AB737" i="6" s="1"/>
  <c r="AB736" i="6" a="1"/>
  <c r="AB736" i="6" s="1"/>
  <c r="AB735" i="6" a="1"/>
  <c r="AB735" i="6" s="1"/>
  <c r="AB734" i="6" a="1"/>
  <c r="AB734" i="6" s="1"/>
  <c r="AB733" i="6" a="1"/>
  <c r="AB733" i="6" s="1"/>
  <c r="AB732" i="6" a="1"/>
  <c r="AB732" i="6" s="1"/>
  <c r="AB731" i="6" a="1"/>
  <c r="AB731" i="6" s="1"/>
  <c r="AB730" i="6" a="1"/>
  <c r="AB730" i="6" s="1"/>
  <c r="AB729" i="6" a="1"/>
  <c r="AB729" i="6" s="1"/>
  <c r="AB728" i="6" a="1"/>
  <c r="AB728" i="6" s="1"/>
  <c r="AB727" i="6" a="1"/>
  <c r="AB727" i="6" s="1"/>
  <c r="AB726" i="6" a="1"/>
  <c r="AB726" i="6" s="1"/>
  <c r="AB725" i="6" a="1"/>
  <c r="AB725" i="6" s="1"/>
  <c r="AB724" i="6" a="1"/>
  <c r="AB724" i="6" s="1"/>
  <c r="AB723" i="6" a="1"/>
  <c r="AB723" i="6" s="1"/>
  <c r="AB722" i="6" a="1"/>
  <c r="AB722" i="6" s="1"/>
  <c r="AB721" i="6" a="1"/>
  <c r="AB721" i="6" s="1"/>
  <c r="AB720" i="6" a="1"/>
  <c r="AB720" i="6" s="1"/>
  <c r="AB719" i="6" a="1"/>
  <c r="AB719" i="6" s="1"/>
  <c r="AB718" i="6" a="1"/>
  <c r="AB718" i="6" s="1"/>
  <c r="AB717" i="6" a="1"/>
  <c r="AB717" i="6" s="1"/>
  <c r="AB716" i="6" a="1"/>
  <c r="AB716" i="6" s="1"/>
  <c r="AB715" i="6" a="1"/>
  <c r="AB715" i="6" s="1"/>
  <c r="AB714" i="6" a="1"/>
  <c r="AB714" i="6" s="1"/>
  <c r="AB713" i="6" a="1"/>
  <c r="AB713" i="6" s="1"/>
  <c r="AB712" i="6" a="1"/>
  <c r="AB712" i="6" s="1"/>
  <c r="AB711" i="6" a="1"/>
  <c r="AB711" i="6" s="1"/>
  <c r="AB710" i="6" a="1"/>
  <c r="AB710" i="6" s="1"/>
  <c r="AB709" i="6" a="1"/>
  <c r="AB709" i="6" s="1"/>
  <c r="AB708" i="6" a="1"/>
  <c r="AB708" i="6" s="1"/>
  <c r="AB707" i="6" a="1"/>
  <c r="AB707" i="6" s="1"/>
  <c r="AB706" i="6" a="1"/>
  <c r="AB706" i="6" s="1"/>
  <c r="AB705" i="6" a="1"/>
  <c r="AB705" i="6" s="1"/>
  <c r="AB704" i="6" a="1"/>
  <c r="AB704" i="6" s="1"/>
  <c r="AB703" i="6" a="1"/>
  <c r="AB703" i="6" s="1"/>
  <c r="AB702" i="6" a="1"/>
  <c r="AB702" i="6" s="1"/>
  <c r="AB701" i="6" a="1"/>
  <c r="AB701" i="6" s="1"/>
  <c r="AB700" i="6" a="1"/>
  <c r="AB700" i="6" s="1"/>
  <c r="AB699" i="6" a="1"/>
  <c r="AB699" i="6" s="1"/>
  <c r="AB698" i="6" a="1"/>
  <c r="AB698" i="6" s="1"/>
  <c r="AB697" i="6" a="1"/>
  <c r="AB697" i="6" s="1"/>
  <c r="AB696" i="6" a="1"/>
  <c r="AB696" i="6" s="1"/>
  <c r="AB695" i="6" a="1"/>
  <c r="AB695" i="6" s="1"/>
  <c r="AB694" i="6" a="1"/>
  <c r="AB694" i="6" s="1"/>
  <c r="AB693" i="6" a="1"/>
  <c r="AB693" i="6" s="1"/>
  <c r="AB692" i="6" a="1"/>
  <c r="AB692" i="6" s="1"/>
  <c r="AB691" i="6" a="1"/>
  <c r="AB691" i="6" s="1"/>
  <c r="AB690" i="6" a="1"/>
  <c r="AB690" i="6" s="1"/>
  <c r="AB689" i="6" a="1"/>
  <c r="AB689" i="6" s="1"/>
  <c r="AB688" i="6" a="1"/>
  <c r="AB688" i="6" s="1"/>
  <c r="AB687" i="6" a="1"/>
  <c r="AB687" i="6" s="1"/>
  <c r="AB686" i="6" a="1"/>
  <c r="AB686" i="6" s="1"/>
  <c r="AB685" i="6" a="1"/>
  <c r="AB685" i="6" s="1"/>
  <c r="AB684" i="6" a="1"/>
  <c r="AB684" i="6" s="1"/>
  <c r="AB683" i="6" a="1"/>
  <c r="AB683" i="6" s="1"/>
  <c r="AB682" i="6" a="1"/>
  <c r="AB682" i="6" s="1"/>
  <c r="AB681" i="6" a="1"/>
  <c r="AB681" i="6" s="1"/>
  <c r="AB680" i="6" a="1"/>
  <c r="AB680" i="6" s="1"/>
  <c r="AB679" i="6" a="1"/>
  <c r="AB679" i="6" s="1"/>
  <c r="AB678" i="6" a="1"/>
  <c r="AB678" i="6" s="1"/>
  <c r="AB677" i="6" a="1"/>
  <c r="AB677" i="6" s="1"/>
  <c r="AB676" i="6" a="1"/>
  <c r="AB676" i="6" s="1"/>
  <c r="AB675" i="6" a="1"/>
  <c r="AB675" i="6" s="1"/>
  <c r="AB674" i="6" a="1"/>
  <c r="AB674" i="6" s="1"/>
  <c r="AB673" i="6" a="1"/>
  <c r="AB673" i="6" s="1"/>
  <c r="AB672" i="6" a="1"/>
  <c r="AB672" i="6" s="1"/>
  <c r="AB671" i="6" a="1"/>
  <c r="AB671" i="6" s="1"/>
  <c r="AB670" i="6" a="1"/>
  <c r="AB670" i="6" s="1"/>
  <c r="AB669" i="6" a="1"/>
  <c r="AB669" i="6" s="1"/>
  <c r="AB668" i="6" a="1"/>
  <c r="AB668" i="6" s="1"/>
  <c r="AB667" i="6" a="1"/>
  <c r="AB667" i="6" s="1"/>
  <c r="AB666" i="6" a="1"/>
  <c r="AB666" i="6" s="1"/>
  <c r="AB665" i="6" a="1"/>
  <c r="AB665" i="6" s="1"/>
  <c r="AB664" i="6" a="1"/>
  <c r="AB664" i="6" s="1"/>
  <c r="AB663" i="6" a="1"/>
  <c r="AB663" i="6" s="1"/>
  <c r="AB662" i="6" a="1"/>
  <c r="AB662" i="6" s="1"/>
  <c r="AB661" i="6" a="1"/>
  <c r="AB661" i="6" s="1"/>
  <c r="AB660" i="6" a="1"/>
  <c r="AB660" i="6" s="1"/>
  <c r="AB659" i="6" a="1"/>
  <c r="AB659" i="6" s="1"/>
  <c r="AB658" i="6" a="1"/>
  <c r="AB658" i="6" s="1"/>
  <c r="AB657" i="6" a="1"/>
  <c r="AB657" i="6" s="1"/>
  <c r="AB656" i="6" a="1"/>
  <c r="AB656" i="6" s="1"/>
  <c r="AB655" i="6" a="1"/>
  <c r="AB655" i="6" s="1"/>
  <c r="AB654" i="6" a="1"/>
  <c r="AB654" i="6" s="1"/>
  <c r="AB653" i="6" a="1"/>
  <c r="AB653" i="6" s="1"/>
  <c r="AB652" i="6" a="1"/>
  <c r="AB652" i="6" s="1"/>
  <c r="AB651" i="6" a="1"/>
  <c r="AB651" i="6" s="1"/>
  <c r="AB650" i="6" a="1"/>
  <c r="AB650" i="6" s="1"/>
  <c r="AB649" i="6" a="1"/>
  <c r="AB649" i="6" s="1"/>
  <c r="AB648" i="6" a="1"/>
  <c r="AB648" i="6" s="1"/>
  <c r="AB647" i="6" a="1"/>
  <c r="AB647" i="6" s="1"/>
  <c r="AB646" i="6" a="1"/>
  <c r="AB646" i="6" s="1"/>
  <c r="AB645" i="6" a="1"/>
  <c r="AB645" i="6" s="1"/>
  <c r="AB644" i="6" a="1"/>
  <c r="AB644" i="6" s="1"/>
  <c r="AB643" i="6" a="1"/>
  <c r="AB643" i="6" s="1"/>
  <c r="AB642" i="6" a="1"/>
  <c r="AB642" i="6" s="1"/>
  <c r="AB641" i="6" a="1"/>
  <c r="AB641" i="6" s="1"/>
  <c r="AB640" i="6" a="1"/>
  <c r="AB640" i="6" s="1"/>
  <c r="AB639" i="6" a="1"/>
  <c r="AB639" i="6" s="1"/>
  <c r="AB638" i="6" a="1"/>
  <c r="AB638" i="6" s="1"/>
  <c r="AB637" i="6" a="1"/>
  <c r="AB637" i="6" s="1"/>
  <c r="AB636" i="6" a="1"/>
  <c r="AB636" i="6" s="1"/>
  <c r="AB635" i="6" a="1"/>
  <c r="AB635" i="6" s="1"/>
  <c r="AB634" i="6" a="1"/>
  <c r="AB634" i="6" s="1"/>
  <c r="AB633" i="6" a="1"/>
  <c r="AB633" i="6" s="1"/>
  <c r="AB632" i="6" a="1"/>
  <c r="AB632" i="6" s="1"/>
  <c r="AB631" i="6" a="1"/>
  <c r="AB631" i="6" s="1"/>
  <c r="AB630" i="6" a="1"/>
  <c r="AB630" i="6" s="1"/>
  <c r="AB629" i="6" a="1"/>
  <c r="AB629" i="6" s="1"/>
  <c r="AB628" i="6" a="1"/>
  <c r="AB628" i="6" s="1"/>
  <c r="AB627" i="6" a="1"/>
  <c r="AB627" i="6" s="1"/>
  <c r="AB626" i="6" a="1"/>
  <c r="AB626" i="6" s="1"/>
  <c r="AB625" i="6" a="1"/>
  <c r="AB625" i="6" s="1"/>
  <c r="AB624" i="6" a="1"/>
  <c r="AB624" i="6" s="1"/>
  <c r="AB623" i="6" a="1"/>
  <c r="AB623" i="6" s="1"/>
  <c r="AB622" i="6" a="1"/>
  <c r="AB622" i="6" s="1"/>
  <c r="AB621" i="6" a="1"/>
  <c r="AB621" i="6" s="1"/>
  <c r="AB620" i="6" a="1"/>
  <c r="AB620" i="6" s="1"/>
  <c r="AB619" i="6" a="1"/>
  <c r="AB619" i="6" s="1"/>
  <c r="AB618" i="6" a="1"/>
  <c r="AB618" i="6" s="1"/>
  <c r="AB617" i="6" a="1"/>
  <c r="AB617" i="6" s="1"/>
  <c r="AB616" i="6" a="1"/>
  <c r="AB616" i="6" s="1"/>
  <c r="AB615" i="6" a="1"/>
  <c r="AB615" i="6" s="1"/>
  <c r="AB614" i="6" a="1"/>
  <c r="AB614" i="6" s="1"/>
  <c r="AB613" i="6" a="1"/>
  <c r="AB613" i="6" s="1"/>
  <c r="AB612" i="6" a="1"/>
  <c r="AB612" i="6" s="1"/>
  <c r="AB611" i="6" a="1"/>
  <c r="AB611" i="6" s="1"/>
  <c r="AB610" i="6" a="1"/>
  <c r="AB610" i="6" s="1"/>
  <c r="AB609" i="6" a="1"/>
  <c r="AB609" i="6" s="1"/>
  <c r="AB608" i="6" a="1"/>
  <c r="AB608" i="6" s="1"/>
  <c r="AB607" i="6" a="1"/>
  <c r="AB607" i="6" s="1"/>
  <c r="AB606" i="6" a="1"/>
  <c r="AB606" i="6" s="1"/>
  <c r="AB605" i="6" a="1"/>
  <c r="AB605" i="6" s="1"/>
  <c r="AB604" i="6" a="1"/>
  <c r="AB604" i="6" s="1"/>
  <c r="AB603" i="6" a="1"/>
  <c r="AB603" i="6" s="1"/>
  <c r="AB602" i="6" a="1"/>
  <c r="AB602" i="6" s="1"/>
  <c r="AB601" i="6" a="1"/>
  <c r="AB601" i="6" s="1"/>
  <c r="AB600" i="6" a="1"/>
  <c r="AB600" i="6" s="1"/>
  <c r="AB599" i="6" a="1"/>
  <c r="AB599" i="6" s="1"/>
  <c r="AB598" i="6" a="1"/>
  <c r="AB598" i="6" s="1"/>
  <c r="AB597" i="6" a="1"/>
  <c r="AB597" i="6" s="1"/>
  <c r="AB596" i="6" a="1"/>
  <c r="AB596" i="6" s="1"/>
  <c r="AB595" i="6" a="1"/>
  <c r="AB595" i="6" s="1"/>
  <c r="AB594" i="6" a="1"/>
  <c r="AB594" i="6" s="1"/>
  <c r="AB593" i="6" a="1"/>
  <c r="AB593" i="6" s="1"/>
  <c r="AB592" i="6" a="1"/>
  <c r="AB592" i="6" s="1"/>
  <c r="AB591" i="6" a="1"/>
  <c r="AB591" i="6" s="1"/>
  <c r="AB590" i="6" a="1"/>
  <c r="AB590" i="6" s="1"/>
  <c r="AB589" i="6" a="1"/>
  <c r="AB589" i="6" s="1"/>
  <c r="AB588" i="6" a="1"/>
  <c r="AB588" i="6" s="1"/>
  <c r="AB587" i="6" a="1"/>
  <c r="AB587" i="6" s="1"/>
  <c r="AB586" i="6" a="1"/>
  <c r="AB586" i="6" s="1"/>
  <c r="AB585" i="6" a="1"/>
  <c r="AB585" i="6" s="1"/>
  <c r="AB584" i="6" a="1"/>
  <c r="AB584" i="6" s="1"/>
  <c r="AB583" i="6" a="1"/>
  <c r="AB583" i="6" s="1"/>
  <c r="AB582" i="6" a="1"/>
  <c r="AB582" i="6" s="1"/>
  <c r="AB581" i="6" a="1"/>
  <c r="AB581" i="6" s="1"/>
  <c r="AB580" i="6" a="1"/>
  <c r="AB580" i="6" s="1"/>
  <c r="AB579" i="6" a="1"/>
  <c r="AB579" i="6" s="1"/>
  <c r="AB578" i="6" a="1"/>
  <c r="AB578" i="6" s="1"/>
  <c r="AB577" i="6" a="1"/>
  <c r="AB577" i="6" s="1"/>
  <c r="AB576" i="6" a="1"/>
  <c r="AB576" i="6" s="1"/>
  <c r="AB575" i="6" a="1"/>
  <c r="AB575" i="6" s="1"/>
  <c r="AB574" i="6" a="1"/>
  <c r="AB574" i="6" s="1"/>
  <c r="AB573" i="6" a="1"/>
  <c r="AB573" i="6" s="1"/>
  <c r="AB572" i="6" a="1"/>
  <c r="AB572" i="6" s="1"/>
  <c r="AB571" i="6" a="1"/>
  <c r="AB571" i="6" s="1"/>
  <c r="AB570" i="6" a="1"/>
  <c r="AB570" i="6" s="1"/>
  <c r="AB569" i="6" a="1"/>
  <c r="AB569" i="6" s="1"/>
  <c r="AB568" i="6" a="1"/>
  <c r="AB568" i="6" s="1"/>
  <c r="AB567" i="6" a="1"/>
  <c r="AB567" i="6" s="1"/>
  <c r="AB566" i="6" a="1"/>
  <c r="AB566" i="6" s="1"/>
  <c r="AB565" i="6" a="1"/>
  <c r="AB565" i="6" s="1"/>
  <c r="AB564" i="6" a="1"/>
  <c r="AB564" i="6" s="1"/>
  <c r="AB563" i="6" a="1"/>
  <c r="AB563" i="6" s="1"/>
  <c r="AB562" i="6" a="1"/>
  <c r="AB562" i="6" s="1"/>
  <c r="AB561" i="6" a="1"/>
  <c r="AB561" i="6" s="1"/>
  <c r="AB560" i="6" a="1"/>
  <c r="AB560" i="6" s="1"/>
  <c r="AB559" i="6" a="1"/>
  <c r="AB559" i="6" s="1"/>
  <c r="AB558" i="6" a="1"/>
  <c r="AB558" i="6" s="1"/>
  <c r="AB557" i="6" a="1"/>
  <c r="AB557" i="6" s="1"/>
  <c r="AB556" i="6" a="1"/>
  <c r="AB556" i="6" s="1"/>
  <c r="AB555" i="6" a="1"/>
  <c r="AB555" i="6" s="1"/>
  <c r="AB554" i="6" a="1"/>
  <c r="AB554" i="6" s="1"/>
  <c r="AB553" i="6" a="1"/>
  <c r="AB553" i="6" s="1"/>
  <c r="AB552" i="6" a="1"/>
  <c r="AB552" i="6" s="1"/>
  <c r="AB551" i="6" a="1"/>
  <c r="AB551" i="6" s="1"/>
  <c r="AB550" i="6" a="1"/>
  <c r="AB550" i="6" s="1"/>
  <c r="AB549" i="6" a="1"/>
  <c r="AB549" i="6" s="1"/>
  <c r="AB548" i="6" a="1"/>
  <c r="AB548" i="6" s="1"/>
  <c r="AB547" i="6" a="1"/>
  <c r="AB547" i="6" s="1"/>
  <c r="AB546" i="6" a="1"/>
  <c r="AB546" i="6" s="1"/>
  <c r="AB545" i="6" a="1"/>
  <c r="AB545" i="6" s="1"/>
  <c r="AB544" i="6" a="1"/>
  <c r="AB544" i="6" s="1"/>
  <c r="AB543" i="6" a="1"/>
  <c r="AB543" i="6" s="1"/>
  <c r="AB542" i="6" a="1"/>
  <c r="AB542" i="6" s="1"/>
  <c r="AB541" i="6" a="1"/>
  <c r="AB541" i="6" s="1"/>
  <c r="AB540" i="6" a="1"/>
  <c r="AB540" i="6" s="1"/>
  <c r="AB539" i="6" a="1"/>
  <c r="AB539" i="6" s="1"/>
  <c r="AB538" i="6" a="1"/>
  <c r="AB538" i="6" s="1"/>
  <c r="AB537" i="6" a="1"/>
  <c r="AB537" i="6" s="1"/>
  <c r="AB536" i="6" a="1"/>
  <c r="AB536" i="6" s="1"/>
  <c r="AB535" i="6" a="1"/>
  <c r="AB535" i="6" s="1"/>
  <c r="AB534" i="6" a="1"/>
  <c r="AB534" i="6" s="1"/>
  <c r="AB533" i="6" a="1"/>
  <c r="AB533" i="6" s="1"/>
  <c r="AB532" i="6" a="1"/>
  <c r="AB532" i="6" s="1"/>
  <c r="AB531" i="6" a="1"/>
  <c r="AB531" i="6" s="1"/>
  <c r="AB530" i="6" a="1"/>
  <c r="AB530" i="6" s="1"/>
  <c r="AB529" i="6" a="1"/>
  <c r="AB529" i="6" s="1"/>
  <c r="AB528" i="6" a="1"/>
  <c r="AB528" i="6" s="1"/>
  <c r="AB527" i="6" a="1"/>
  <c r="AB527" i="6" s="1"/>
  <c r="AB526" i="6" a="1"/>
  <c r="AB526" i="6" s="1"/>
  <c r="AB525" i="6" a="1"/>
  <c r="AB525" i="6" s="1"/>
  <c r="AB524" i="6" a="1"/>
  <c r="AB524" i="6" s="1"/>
  <c r="AB523" i="6" a="1"/>
  <c r="AB523" i="6" s="1"/>
  <c r="AB522" i="6" a="1"/>
  <c r="AB522" i="6" s="1"/>
  <c r="AB521" i="6" a="1"/>
  <c r="AB521" i="6" s="1"/>
  <c r="AB520" i="6" a="1"/>
  <c r="AB520" i="6" s="1"/>
  <c r="AB519" i="6" a="1"/>
  <c r="AB519" i="6" s="1"/>
  <c r="AB518" i="6" a="1"/>
  <c r="AB518" i="6" s="1"/>
  <c r="AB517" i="6" a="1"/>
  <c r="AB517" i="6" s="1"/>
  <c r="AB516" i="6" a="1"/>
  <c r="AB516" i="6" s="1"/>
  <c r="AB515" i="6" a="1"/>
  <c r="AB515" i="6" s="1"/>
  <c r="AB514" i="6" a="1"/>
  <c r="AB514" i="6" s="1"/>
  <c r="AB513" i="6" a="1"/>
  <c r="AB513" i="6" s="1"/>
  <c r="AB512" i="6" a="1"/>
  <c r="AB512" i="6" s="1"/>
  <c r="AB511" i="6" a="1"/>
  <c r="AB511" i="6" s="1"/>
  <c r="AB510" i="6" a="1"/>
  <c r="AB510" i="6" s="1"/>
  <c r="AB509" i="6" a="1"/>
  <c r="AB509" i="6" s="1"/>
  <c r="AB508" i="6" a="1"/>
  <c r="AB508" i="6" s="1"/>
  <c r="AB507" i="6" a="1"/>
  <c r="AB507" i="6" s="1"/>
  <c r="AB506" i="6" a="1"/>
  <c r="AB506" i="6" s="1"/>
  <c r="AB505" i="6" a="1"/>
  <c r="AB505" i="6" s="1"/>
  <c r="AB504" i="6" a="1"/>
  <c r="AB504" i="6" s="1"/>
  <c r="AB503" i="6" a="1"/>
  <c r="AB503" i="6" s="1"/>
  <c r="AB502" i="6" a="1"/>
  <c r="AB502" i="6" s="1"/>
  <c r="AB501" i="6" a="1"/>
  <c r="AB501" i="6" s="1"/>
  <c r="AB500" i="6" a="1"/>
  <c r="AB500" i="6" s="1"/>
  <c r="AB499" i="6" a="1"/>
  <c r="AB499" i="6" s="1"/>
  <c r="AB498" i="6" a="1"/>
  <c r="AB498" i="6" s="1"/>
  <c r="AB497" i="6" a="1"/>
  <c r="AB497" i="6" s="1"/>
  <c r="AB496" i="6" a="1"/>
  <c r="AB496" i="6" s="1"/>
  <c r="AB495" i="6" a="1"/>
  <c r="AB495" i="6" s="1"/>
  <c r="AB494" i="6" a="1"/>
  <c r="AB494" i="6" s="1"/>
  <c r="AB493" i="6" a="1"/>
  <c r="AB493" i="6" s="1"/>
  <c r="AB492" i="6" a="1"/>
  <c r="AB492" i="6" s="1"/>
  <c r="AB491" i="6" a="1"/>
  <c r="AB491" i="6" s="1"/>
  <c r="AB490" i="6" a="1"/>
  <c r="AB490" i="6" s="1"/>
  <c r="AB489" i="6" a="1"/>
  <c r="AB489" i="6" s="1"/>
  <c r="AB488" i="6" a="1"/>
  <c r="AB488" i="6" s="1"/>
  <c r="AB487" i="6" a="1"/>
  <c r="AB487" i="6" s="1"/>
  <c r="AB486" i="6" a="1"/>
  <c r="AB486" i="6" s="1"/>
  <c r="AB485" i="6" a="1"/>
  <c r="AB485" i="6" s="1"/>
  <c r="AB484" i="6" a="1"/>
  <c r="AB484" i="6" s="1"/>
  <c r="AB483" i="6" a="1"/>
  <c r="AB483" i="6" s="1"/>
  <c r="AB482" i="6" a="1"/>
  <c r="AB482" i="6" s="1"/>
  <c r="AB481" i="6" a="1"/>
  <c r="AB481" i="6" s="1"/>
  <c r="AB480" i="6" a="1"/>
  <c r="AB480" i="6" s="1"/>
  <c r="AB479" i="6" a="1"/>
  <c r="AB479" i="6" s="1"/>
  <c r="AB478" i="6" a="1"/>
  <c r="AB478" i="6" s="1"/>
  <c r="AB477" i="6" a="1"/>
  <c r="AB477" i="6" s="1"/>
  <c r="AB476" i="6" a="1"/>
  <c r="AB476" i="6" s="1"/>
  <c r="AB475" i="6" a="1"/>
  <c r="AB475" i="6" s="1"/>
  <c r="AB474" i="6" a="1"/>
  <c r="AB474" i="6" s="1"/>
  <c r="AB473" i="6" a="1"/>
  <c r="AB473" i="6" s="1"/>
  <c r="AB472" i="6" a="1"/>
  <c r="AB472" i="6" s="1"/>
  <c r="AB471" i="6" a="1"/>
  <c r="AB471" i="6" s="1"/>
  <c r="AB470" i="6" a="1"/>
  <c r="AB470" i="6" s="1"/>
  <c r="AB469" i="6" a="1"/>
  <c r="AB469" i="6" s="1"/>
  <c r="AB468" i="6" a="1"/>
  <c r="AB468" i="6" s="1"/>
  <c r="AB467" i="6" a="1"/>
  <c r="AB467" i="6" s="1"/>
  <c r="AB466" i="6" a="1"/>
  <c r="AB466" i="6" s="1"/>
  <c r="AB465" i="6" a="1"/>
  <c r="AB465" i="6" s="1"/>
  <c r="AB464" i="6" a="1"/>
  <c r="AB464" i="6" s="1"/>
  <c r="AB463" i="6" a="1"/>
  <c r="AB463" i="6" s="1"/>
  <c r="AB462" i="6" a="1"/>
  <c r="AB462" i="6" s="1"/>
  <c r="AB461" i="6" a="1"/>
  <c r="AB461" i="6" s="1"/>
  <c r="AB460" i="6" a="1"/>
  <c r="AB460" i="6" s="1"/>
  <c r="AB459" i="6" a="1"/>
  <c r="AB459" i="6" s="1"/>
  <c r="AB458" i="6" a="1"/>
  <c r="AB458" i="6" s="1"/>
  <c r="AB457" i="6" a="1"/>
  <c r="AB457" i="6" s="1"/>
  <c r="AB456" i="6" a="1"/>
  <c r="AB456" i="6" s="1"/>
  <c r="AB455" i="6" a="1"/>
  <c r="AB455" i="6" s="1"/>
  <c r="AB454" i="6" a="1"/>
  <c r="AB454" i="6" s="1"/>
  <c r="AB453" i="6" a="1"/>
  <c r="AB453" i="6" s="1"/>
  <c r="AB452" i="6" a="1"/>
  <c r="AB452" i="6" s="1"/>
  <c r="AB451" i="6" a="1"/>
  <c r="AB451" i="6" s="1"/>
  <c r="AB450" i="6" a="1"/>
  <c r="AB450" i="6" s="1"/>
  <c r="AB449" i="6" a="1"/>
  <c r="AB449" i="6" s="1"/>
  <c r="AB448" i="6" a="1"/>
  <c r="AB448" i="6" s="1"/>
  <c r="AB447" i="6" a="1"/>
  <c r="AB447" i="6" s="1"/>
  <c r="AB446" i="6" a="1"/>
  <c r="AB446" i="6" s="1"/>
  <c r="AB445" i="6" a="1"/>
  <c r="AB445" i="6" s="1"/>
  <c r="AB444" i="6" a="1"/>
  <c r="AB444" i="6" s="1"/>
  <c r="AB443" i="6" a="1"/>
  <c r="AB443" i="6" s="1"/>
  <c r="AB442" i="6" a="1"/>
  <c r="AB442" i="6" s="1"/>
  <c r="AB441" i="6" a="1"/>
  <c r="AB441" i="6" s="1"/>
  <c r="AB440" i="6" a="1"/>
  <c r="AB440" i="6" s="1"/>
  <c r="AB439" i="6" a="1"/>
  <c r="AB439" i="6" s="1"/>
  <c r="AB438" i="6" a="1"/>
  <c r="AB438" i="6" s="1"/>
  <c r="AB437" i="6" a="1"/>
  <c r="AB437" i="6" s="1"/>
  <c r="AB436" i="6" a="1"/>
  <c r="AB436" i="6" s="1"/>
  <c r="AB435" i="6" a="1"/>
  <c r="AB435" i="6" s="1"/>
  <c r="AB434" i="6" a="1"/>
  <c r="AB434" i="6" s="1"/>
  <c r="AB433" i="6" a="1"/>
  <c r="AB433" i="6" s="1"/>
  <c r="AB432" i="6" a="1"/>
  <c r="AB432" i="6" s="1"/>
  <c r="AB431" i="6" a="1"/>
  <c r="AB431" i="6" s="1"/>
  <c r="AB430" i="6" a="1"/>
  <c r="AB430" i="6" s="1"/>
  <c r="AB429" i="6" a="1"/>
  <c r="AB429" i="6" s="1"/>
  <c r="AB428" i="6" a="1"/>
  <c r="AB428" i="6" s="1"/>
  <c r="AB427" i="6" a="1"/>
  <c r="AB427" i="6" s="1"/>
  <c r="AB426" i="6" a="1"/>
  <c r="AB426" i="6" s="1"/>
  <c r="AB425" i="6" a="1"/>
  <c r="AB425" i="6" s="1"/>
  <c r="AB424" i="6" a="1"/>
  <c r="AB424" i="6" s="1"/>
  <c r="AB423" i="6" a="1"/>
  <c r="AB423" i="6" s="1"/>
  <c r="AB422" i="6" a="1"/>
  <c r="AB422" i="6" s="1"/>
  <c r="AB421" i="6" a="1"/>
  <c r="AB421" i="6" s="1"/>
  <c r="AB420" i="6" a="1"/>
  <c r="AB420" i="6" s="1"/>
  <c r="AB419" i="6" a="1"/>
  <c r="AB419" i="6" s="1"/>
  <c r="AB418" i="6" a="1"/>
  <c r="AB418" i="6" s="1"/>
  <c r="AB417" i="6" a="1"/>
  <c r="AB417" i="6" s="1"/>
  <c r="AB416" i="6" a="1"/>
  <c r="AB416" i="6" s="1"/>
  <c r="AB415" i="6" a="1"/>
  <c r="AB415" i="6" s="1"/>
  <c r="AB414" i="6" a="1"/>
  <c r="AB414" i="6" s="1"/>
  <c r="AB413" i="6" a="1"/>
  <c r="AB413" i="6" s="1"/>
  <c r="AB412" i="6" a="1"/>
  <c r="AB412" i="6" s="1"/>
  <c r="AB411" i="6" a="1"/>
  <c r="AB411" i="6" s="1"/>
  <c r="AB410" i="6" a="1"/>
  <c r="AB410" i="6" s="1"/>
  <c r="AB409" i="6" a="1"/>
  <c r="AB409" i="6" s="1"/>
  <c r="AB408" i="6" a="1"/>
  <c r="AB408" i="6" s="1"/>
  <c r="AB407" i="6" a="1"/>
  <c r="AB407" i="6" s="1"/>
  <c r="AB406" i="6" a="1"/>
  <c r="AB406" i="6" s="1"/>
  <c r="AB405" i="6" a="1"/>
  <c r="AB405" i="6" s="1"/>
  <c r="AB404" i="6" a="1"/>
  <c r="AB404" i="6" s="1"/>
  <c r="AB403" i="6" a="1"/>
  <c r="AB403" i="6" s="1"/>
  <c r="AB402" i="6" a="1"/>
  <c r="AB402" i="6" s="1"/>
  <c r="AB401" i="6" a="1"/>
  <c r="AB401" i="6" s="1"/>
  <c r="AB400" i="6" a="1"/>
  <c r="AB400" i="6" s="1"/>
  <c r="AB399" i="6" a="1"/>
  <c r="AB399" i="6" s="1"/>
  <c r="AB398" i="6" a="1"/>
  <c r="AB398" i="6" s="1"/>
  <c r="AB397" i="6" a="1"/>
  <c r="AB397" i="6" s="1"/>
  <c r="AB396" i="6" a="1"/>
  <c r="AB396" i="6" s="1"/>
  <c r="AB395" i="6" a="1"/>
  <c r="AB395" i="6" s="1"/>
  <c r="AB394" i="6" a="1"/>
  <c r="AB394" i="6" s="1"/>
  <c r="AB393" i="6" a="1"/>
  <c r="AB393" i="6" s="1"/>
  <c r="AB392" i="6" a="1"/>
  <c r="AB392" i="6" s="1"/>
  <c r="AB391" i="6" a="1"/>
  <c r="AB391" i="6" s="1"/>
  <c r="AB390" i="6" a="1"/>
  <c r="AB390" i="6" s="1"/>
  <c r="AB389" i="6" a="1"/>
  <c r="AB389" i="6" s="1"/>
  <c r="AB388" i="6" a="1"/>
  <c r="AB388" i="6" s="1"/>
  <c r="AB387" i="6" a="1"/>
  <c r="AB387" i="6" s="1"/>
  <c r="AB386" i="6" a="1"/>
  <c r="AB386" i="6" s="1"/>
  <c r="AB385" i="6" a="1"/>
  <c r="AB385" i="6" s="1"/>
  <c r="AB384" i="6" a="1"/>
  <c r="AB384" i="6" s="1"/>
  <c r="AB383" i="6" a="1"/>
  <c r="AB383" i="6" s="1"/>
  <c r="AB382" i="6" a="1"/>
  <c r="AB382" i="6" s="1"/>
  <c r="AB381" i="6" a="1"/>
  <c r="AB381" i="6" s="1"/>
  <c r="AB380" i="6" a="1"/>
  <c r="AB380" i="6" s="1"/>
  <c r="AB379" i="6" a="1"/>
  <c r="AB379" i="6" s="1"/>
  <c r="AB378" i="6" a="1"/>
  <c r="AB378" i="6" s="1"/>
  <c r="AB377" i="6" a="1"/>
  <c r="AB377" i="6" s="1"/>
  <c r="AB376" i="6" a="1"/>
  <c r="AB376" i="6" s="1"/>
  <c r="AB375" i="6" a="1"/>
  <c r="AB375" i="6" s="1"/>
  <c r="AB374" i="6" a="1"/>
  <c r="AB374" i="6" s="1"/>
  <c r="AB373" i="6" a="1"/>
  <c r="AB373" i="6" s="1"/>
  <c r="AB372" i="6" a="1"/>
  <c r="AB372" i="6" s="1"/>
  <c r="AB371" i="6" a="1"/>
  <c r="AB371" i="6" s="1"/>
  <c r="AB370" i="6" a="1"/>
  <c r="AB370" i="6" s="1"/>
  <c r="AB369" i="6" a="1"/>
  <c r="AB369" i="6" s="1"/>
  <c r="AB368" i="6" a="1"/>
  <c r="AB368" i="6" s="1"/>
  <c r="AB367" i="6" a="1"/>
  <c r="AB367" i="6" s="1"/>
  <c r="AB366" i="6" a="1"/>
  <c r="AB366" i="6" s="1"/>
  <c r="AB365" i="6" a="1"/>
  <c r="AB365" i="6" s="1"/>
  <c r="AB364" i="6" a="1"/>
  <c r="AB364" i="6" s="1"/>
  <c r="AB363" i="6" a="1"/>
  <c r="AB363" i="6" s="1"/>
  <c r="AB362" i="6" a="1"/>
  <c r="AB362" i="6" s="1"/>
  <c r="AB361" i="6" a="1"/>
  <c r="AB361" i="6" s="1"/>
  <c r="AB360" i="6" a="1"/>
  <c r="AB360" i="6" s="1"/>
  <c r="AB359" i="6" a="1"/>
  <c r="AB359" i="6" s="1"/>
  <c r="AB358" i="6" a="1"/>
  <c r="AB358" i="6" s="1"/>
  <c r="AB357" i="6" a="1"/>
  <c r="AB357" i="6" s="1"/>
  <c r="AB356" i="6" a="1"/>
  <c r="AB356" i="6" s="1"/>
  <c r="AB355" i="6" a="1"/>
  <c r="AB355" i="6" s="1"/>
  <c r="AB354" i="6" a="1"/>
  <c r="AB354" i="6" s="1"/>
  <c r="AB353" i="6" a="1"/>
  <c r="AB353" i="6" s="1"/>
  <c r="AB352" i="6" a="1"/>
  <c r="AB352" i="6" s="1"/>
  <c r="AB351" i="6" a="1"/>
  <c r="AB351" i="6" s="1"/>
  <c r="AB350" i="6" a="1"/>
  <c r="AB350" i="6" s="1"/>
  <c r="AB349" i="6" a="1"/>
  <c r="AB349" i="6" s="1"/>
  <c r="AB348" i="6" a="1"/>
  <c r="AB348" i="6" s="1"/>
  <c r="AB347" i="6" a="1"/>
  <c r="AB347" i="6" s="1"/>
  <c r="AB346" i="6" a="1"/>
  <c r="AB346" i="6" s="1"/>
  <c r="AB345" i="6" a="1"/>
  <c r="AB345" i="6" s="1"/>
  <c r="AB344" i="6" a="1"/>
  <c r="AB344" i="6" s="1"/>
  <c r="AB343" i="6" a="1"/>
  <c r="AB343" i="6" s="1"/>
  <c r="AB342" i="6" a="1"/>
  <c r="AB342" i="6" s="1"/>
  <c r="AB341" i="6" a="1"/>
  <c r="AB341" i="6" s="1"/>
  <c r="AB340" i="6" a="1"/>
  <c r="AB340" i="6" s="1"/>
  <c r="AB339" i="6" a="1"/>
  <c r="AB339" i="6" s="1"/>
  <c r="AB338" i="6" a="1"/>
  <c r="AB338" i="6" s="1"/>
  <c r="AB337" i="6" a="1"/>
  <c r="AB337" i="6" s="1"/>
  <c r="AB336" i="6" a="1"/>
  <c r="AB336" i="6" s="1"/>
  <c r="AB335" i="6" a="1"/>
  <c r="AB335" i="6" s="1"/>
  <c r="AB334" i="6" a="1"/>
  <c r="AB334" i="6" s="1"/>
  <c r="AB333" i="6" a="1"/>
  <c r="AB333" i="6" s="1"/>
  <c r="AB332" i="6" a="1"/>
  <c r="AB332" i="6" s="1"/>
  <c r="AB331" i="6" a="1"/>
  <c r="AB331" i="6" s="1"/>
  <c r="AB330" i="6" a="1"/>
  <c r="AB330" i="6" s="1"/>
  <c r="AB329" i="6" a="1"/>
  <c r="AB329" i="6" s="1"/>
  <c r="AB328" i="6" a="1"/>
  <c r="AB328" i="6" s="1"/>
  <c r="AB327" i="6" a="1"/>
  <c r="AB327" i="6" s="1"/>
  <c r="AB326" i="6" a="1"/>
  <c r="AB326" i="6" s="1"/>
  <c r="AB325" i="6" a="1"/>
  <c r="AB325" i="6" s="1"/>
  <c r="AB324" i="6" a="1"/>
  <c r="AB324" i="6" s="1"/>
  <c r="AB323" i="6" a="1"/>
  <c r="AB323" i="6" s="1"/>
  <c r="AB322" i="6" a="1"/>
  <c r="AB322" i="6" s="1"/>
  <c r="AB321" i="6" a="1"/>
  <c r="AB321" i="6" s="1"/>
  <c r="AB320" i="6" a="1"/>
  <c r="AB320" i="6" s="1"/>
  <c r="AB319" i="6" a="1"/>
  <c r="AB319" i="6" s="1"/>
  <c r="AB318" i="6" a="1"/>
  <c r="AB318" i="6" s="1"/>
  <c r="AB317" i="6" a="1"/>
  <c r="AB317" i="6" s="1"/>
  <c r="AB316" i="6" a="1"/>
  <c r="AB316" i="6" s="1"/>
  <c r="AB315" i="6" a="1"/>
  <c r="AB315" i="6" s="1"/>
  <c r="AB314" i="6" a="1"/>
  <c r="AB314" i="6" s="1"/>
  <c r="AB313" i="6" a="1"/>
  <c r="AB313" i="6" s="1"/>
  <c r="AB312" i="6" a="1"/>
  <c r="AB312" i="6" s="1"/>
  <c r="AB311" i="6" a="1"/>
  <c r="AB311" i="6" s="1"/>
  <c r="AB310" i="6" a="1"/>
  <c r="AB310" i="6" s="1"/>
  <c r="AB309" i="6" a="1"/>
  <c r="AB309" i="6" s="1"/>
  <c r="AB308" i="6" a="1"/>
  <c r="AB308" i="6" s="1"/>
  <c r="AB307" i="6" a="1"/>
  <c r="AB307" i="6" s="1"/>
  <c r="AB306" i="6" a="1"/>
  <c r="AB306" i="6" s="1"/>
  <c r="AB305" i="6" a="1"/>
  <c r="AB305" i="6" s="1"/>
  <c r="AB304" i="6" a="1"/>
  <c r="AB304" i="6" s="1"/>
  <c r="AB303" i="6" a="1"/>
  <c r="AB303" i="6" s="1"/>
  <c r="AB302" i="6" a="1"/>
  <c r="AB302" i="6" s="1"/>
  <c r="AB301" i="6" a="1"/>
  <c r="AB301" i="6" s="1"/>
  <c r="AB300" i="6" a="1"/>
  <c r="AB300" i="6" s="1"/>
  <c r="AB299" i="6" a="1"/>
  <c r="AB299" i="6" s="1"/>
  <c r="AB298" i="6" a="1"/>
  <c r="AB298" i="6" s="1"/>
  <c r="AB297" i="6" a="1"/>
  <c r="AB297" i="6" s="1"/>
  <c r="AB296" i="6" a="1"/>
  <c r="AB296" i="6" s="1"/>
  <c r="AB295" i="6" a="1"/>
  <c r="AB295" i="6" s="1"/>
  <c r="AB294" i="6" a="1"/>
  <c r="AB294" i="6" s="1"/>
  <c r="AB293" i="6" a="1"/>
  <c r="AB293" i="6" s="1"/>
  <c r="AB292" i="6" a="1"/>
  <c r="AB292" i="6" s="1"/>
  <c r="AB291" i="6" a="1"/>
  <c r="AB291" i="6" s="1"/>
  <c r="AB290" i="6" a="1"/>
  <c r="AB290" i="6" s="1"/>
  <c r="AB289" i="6" a="1"/>
  <c r="AB289" i="6" s="1"/>
  <c r="AB288" i="6" a="1"/>
  <c r="AB288" i="6" s="1"/>
  <c r="AB287" i="6" a="1"/>
  <c r="AB287" i="6" s="1"/>
  <c r="AB286" i="6" a="1"/>
  <c r="AB286" i="6" s="1"/>
  <c r="AB285" i="6" a="1"/>
  <c r="AB285" i="6" s="1"/>
  <c r="AB284" i="6" a="1"/>
  <c r="AB284" i="6" s="1"/>
  <c r="AB283" i="6" a="1"/>
  <c r="AB283" i="6" s="1"/>
  <c r="AB282" i="6" a="1"/>
  <c r="AB282" i="6" s="1"/>
  <c r="AB281" i="6" a="1"/>
  <c r="AB281" i="6" s="1"/>
  <c r="AB280" i="6" a="1"/>
  <c r="AB280" i="6" s="1"/>
  <c r="AB279" i="6" a="1"/>
  <c r="AB279" i="6" s="1"/>
  <c r="AB278" i="6" a="1"/>
  <c r="AB278" i="6" s="1"/>
  <c r="AB277" i="6" a="1"/>
  <c r="AB277" i="6" s="1"/>
  <c r="AB276" i="6" a="1"/>
  <c r="AB276" i="6" s="1"/>
  <c r="AB275" i="6" a="1"/>
  <c r="AB275" i="6" s="1"/>
  <c r="AB274" i="6" a="1"/>
  <c r="AB274" i="6" s="1"/>
  <c r="AB273" i="6" a="1"/>
  <c r="AB273" i="6" s="1"/>
  <c r="AB272" i="6" a="1"/>
  <c r="AB272" i="6" s="1"/>
  <c r="AB271" i="6" a="1"/>
  <c r="AB271" i="6" s="1"/>
  <c r="AB270" i="6" a="1"/>
  <c r="AB270" i="6" s="1"/>
  <c r="AB269" i="6" a="1"/>
  <c r="AB269" i="6" s="1"/>
  <c r="AB268" i="6" a="1"/>
  <c r="AB268" i="6" s="1"/>
  <c r="AB267" i="6" a="1"/>
  <c r="AB267" i="6" s="1"/>
  <c r="AB266" i="6" a="1"/>
  <c r="AB266" i="6" s="1"/>
  <c r="AB265" i="6" a="1"/>
  <c r="AB265" i="6" s="1"/>
  <c r="AB264" i="6" a="1"/>
  <c r="AB264" i="6" s="1"/>
  <c r="AB263" i="6" a="1"/>
  <c r="AB263" i="6" s="1"/>
  <c r="AB262" i="6" a="1"/>
  <c r="AB262" i="6" s="1"/>
  <c r="AB261" i="6" a="1"/>
  <c r="AB261" i="6" s="1"/>
  <c r="AB260" i="6" a="1"/>
  <c r="AB260" i="6" s="1"/>
  <c r="AB259" i="6" a="1"/>
  <c r="AB259" i="6" s="1"/>
  <c r="AB258" i="6" a="1"/>
  <c r="AB258" i="6" s="1"/>
  <c r="AB257" i="6" a="1"/>
  <c r="AB257" i="6" s="1"/>
  <c r="AB256" i="6" a="1"/>
  <c r="AB256" i="6" s="1"/>
  <c r="AB255" i="6" a="1"/>
  <c r="AB255" i="6" s="1"/>
  <c r="AB254" i="6" a="1"/>
  <c r="AB254" i="6" s="1"/>
  <c r="AB253" i="6" a="1"/>
  <c r="AB253" i="6" s="1"/>
  <c r="AB252" i="6" a="1"/>
  <c r="AB252" i="6" s="1"/>
  <c r="AB251" i="6" a="1"/>
  <c r="AB251" i="6" s="1"/>
  <c r="AB250" i="6" a="1"/>
  <c r="AB250" i="6" s="1"/>
  <c r="AB249" i="6" a="1"/>
  <c r="AB249" i="6" s="1"/>
  <c r="AB248" i="6" a="1"/>
  <c r="AB248" i="6" s="1"/>
  <c r="AB247" i="6" a="1"/>
  <c r="AB247" i="6" s="1"/>
  <c r="AB246" i="6" a="1"/>
  <c r="AB246" i="6" s="1"/>
  <c r="AB245" i="6" a="1"/>
  <c r="AB245" i="6" s="1"/>
  <c r="AB244" i="6" a="1"/>
  <c r="AB244" i="6" s="1"/>
  <c r="AB243" i="6" a="1"/>
  <c r="AB243" i="6" s="1"/>
  <c r="AB242" i="6" a="1"/>
  <c r="AB242" i="6" s="1"/>
  <c r="AB241" i="6" a="1"/>
  <c r="AB241" i="6" s="1"/>
  <c r="AB240" i="6" a="1"/>
  <c r="AB240" i="6" s="1"/>
  <c r="AB239" i="6" a="1"/>
  <c r="AB239" i="6" s="1"/>
  <c r="AB238" i="6" a="1"/>
  <c r="AB238" i="6" s="1"/>
  <c r="AB237" i="6" a="1"/>
  <c r="AB237" i="6" s="1"/>
  <c r="AB236" i="6" a="1"/>
  <c r="AB236" i="6" s="1"/>
  <c r="AB235" i="6" a="1"/>
  <c r="AB235" i="6" s="1"/>
  <c r="AB234" i="6" a="1"/>
  <c r="AB234" i="6" s="1"/>
  <c r="AB233" i="6" a="1"/>
  <c r="AB233" i="6" s="1"/>
  <c r="AB232" i="6" a="1"/>
  <c r="AB232" i="6" s="1"/>
  <c r="AB231" i="6" a="1"/>
  <c r="AB231" i="6" s="1"/>
  <c r="AB230" i="6" a="1"/>
  <c r="AB230" i="6" s="1"/>
  <c r="AB229" i="6" a="1"/>
  <c r="AB229" i="6" s="1"/>
  <c r="AB228" i="6" a="1"/>
  <c r="AB228" i="6" s="1"/>
  <c r="AB227" i="6" a="1"/>
  <c r="AB227" i="6" s="1"/>
  <c r="AB226" i="6" a="1"/>
  <c r="AB226" i="6" s="1"/>
  <c r="AB225" i="6" a="1"/>
  <c r="AB225" i="6" s="1"/>
  <c r="AB224" i="6" a="1"/>
  <c r="AB224" i="6" s="1"/>
  <c r="AB223" i="6" a="1"/>
  <c r="AB223" i="6" s="1"/>
  <c r="AB222" i="6" a="1"/>
  <c r="AB222" i="6" s="1"/>
  <c r="AB221" i="6" a="1"/>
  <c r="AB221" i="6" s="1"/>
  <c r="AB220" i="6" a="1"/>
  <c r="AB220" i="6" s="1"/>
  <c r="AB219" i="6" a="1"/>
  <c r="AB219" i="6" s="1"/>
  <c r="AB218" i="6" a="1"/>
  <c r="AB218" i="6" s="1"/>
  <c r="AB217" i="6" a="1"/>
  <c r="AB217" i="6" s="1"/>
  <c r="AB216" i="6" a="1"/>
  <c r="AB216" i="6" s="1"/>
  <c r="AB215" i="6" a="1"/>
  <c r="AB215" i="6" s="1"/>
  <c r="AB214" i="6" a="1"/>
  <c r="AB214" i="6" s="1"/>
  <c r="AB213" i="6" a="1"/>
  <c r="AB213" i="6" s="1"/>
  <c r="AB212" i="6" a="1"/>
  <c r="AB212" i="6" s="1"/>
  <c r="AB211" i="6" a="1"/>
  <c r="AB211" i="6" s="1"/>
  <c r="AB210" i="6" a="1"/>
  <c r="AB210" i="6" s="1"/>
  <c r="AB209" i="6" a="1"/>
  <c r="AB209" i="6" s="1"/>
  <c r="AB208" i="6" a="1"/>
  <c r="AB208" i="6" s="1"/>
  <c r="AB207" i="6" a="1"/>
  <c r="AB207" i="6" s="1"/>
  <c r="AB206" i="6" a="1"/>
  <c r="AB206" i="6" s="1"/>
  <c r="AB205" i="6" a="1"/>
  <c r="AB205" i="6" s="1"/>
  <c r="AB204" i="6" a="1"/>
  <c r="AB204" i="6" s="1"/>
  <c r="AB203" i="6" a="1"/>
  <c r="AB203" i="6" s="1"/>
  <c r="AB202" i="6" a="1"/>
  <c r="AB202" i="6" s="1"/>
  <c r="AB201" i="6" a="1"/>
  <c r="AB201" i="6" s="1"/>
  <c r="AB200" i="6" a="1"/>
  <c r="AB200" i="6" s="1"/>
  <c r="AB199" i="6" a="1"/>
  <c r="AB199" i="6" s="1"/>
  <c r="AB198" i="6" a="1"/>
  <c r="AB198" i="6" s="1"/>
  <c r="AB197" i="6" a="1"/>
  <c r="AB197" i="6" s="1"/>
  <c r="AB196" i="6" a="1"/>
  <c r="AB196" i="6" s="1"/>
  <c r="AB195" i="6" a="1"/>
  <c r="AB195" i="6" s="1"/>
  <c r="AB194" i="6" a="1"/>
  <c r="AB194" i="6" s="1"/>
  <c r="AB193" i="6" a="1"/>
  <c r="AB193" i="6" s="1"/>
  <c r="AB192" i="6" a="1"/>
  <c r="AB192" i="6" s="1"/>
  <c r="AB191" i="6" a="1"/>
  <c r="AB191" i="6" s="1"/>
  <c r="AB190" i="6" a="1"/>
  <c r="AB190" i="6" s="1"/>
  <c r="AB189" i="6" a="1"/>
  <c r="AB189" i="6" s="1"/>
  <c r="AB188" i="6" a="1"/>
  <c r="AB188" i="6" s="1"/>
  <c r="AB187" i="6" a="1"/>
  <c r="AB187" i="6" s="1"/>
  <c r="AB186" i="6" a="1"/>
  <c r="AB186" i="6" s="1"/>
  <c r="AB185" i="6" a="1"/>
  <c r="AB185" i="6" s="1"/>
  <c r="AB184" i="6" a="1"/>
  <c r="AB184" i="6" s="1"/>
  <c r="AB183" i="6" a="1"/>
  <c r="AB183" i="6" s="1"/>
  <c r="AB182" i="6" a="1"/>
  <c r="AB182" i="6" s="1"/>
  <c r="AB181" i="6" a="1"/>
  <c r="AB181" i="6" s="1"/>
  <c r="AB180" i="6" a="1"/>
  <c r="AB180" i="6" s="1"/>
  <c r="AB179" i="6" a="1"/>
  <c r="AB179" i="6" s="1"/>
  <c r="AB178" i="6" a="1"/>
  <c r="AB178" i="6" s="1"/>
  <c r="AB177" i="6" a="1"/>
  <c r="AB177" i="6" s="1"/>
  <c r="AB176" i="6" a="1"/>
  <c r="AB176" i="6" s="1"/>
  <c r="AB175" i="6" a="1"/>
  <c r="AB175" i="6" s="1"/>
  <c r="AB174" i="6" a="1"/>
  <c r="AB174" i="6" s="1"/>
  <c r="AB173" i="6" a="1"/>
  <c r="AB173" i="6" s="1"/>
  <c r="AB172" i="6" a="1"/>
  <c r="AB172" i="6" s="1"/>
  <c r="AB171" i="6" a="1"/>
  <c r="AB171" i="6" s="1"/>
  <c r="AB170" i="6" a="1"/>
  <c r="AB170" i="6" s="1"/>
  <c r="AB169" i="6" a="1"/>
  <c r="AB169" i="6" s="1"/>
  <c r="AB168" i="6" a="1"/>
  <c r="AB168" i="6" s="1"/>
  <c r="AB167" i="6" a="1"/>
  <c r="AB167" i="6" s="1"/>
  <c r="AB166" i="6" a="1"/>
  <c r="AB166" i="6" s="1"/>
  <c r="AB165" i="6" a="1"/>
  <c r="AB165" i="6" s="1"/>
  <c r="AB164" i="6" a="1"/>
  <c r="AB164" i="6" s="1"/>
  <c r="AB163" i="6" a="1"/>
  <c r="AB163" i="6" s="1"/>
  <c r="AB162" i="6" a="1"/>
  <c r="AB162" i="6" s="1"/>
  <c r="AB161" i="6" a="1"/>
  <c r="AB161" i="6" s="1"/>
  <c r="AB160" i="6" a="1"/>
  <c r="AB160" i="6" s="1"/>
  <c r="AB159" i="6" a="1"/>
  <c r="AB159" i="6" s="1"/>
  <c r="AB158" i="6" a="1"/>
  <c r="AB158" i="6" s="1"/>
  <c r="AB157" i="6" a="1"/>
  <c r="AB157" i="6" s="1"/>
  <c r="AB156" i="6" a="1"/>
  <c r="AB156" i="6" s="1"/>
  <c r="AB155" i="6" a="1"/>
  <c r="AB155" i="6" s="1"/>
  <c r="AB154" i="6" a="1"/>
  <c r="AB154" i="6" s="1"/>
  <c r="AB153" i="6" a="1"/>
  <c r="AB153" i="6" s="1"/>
  <c r="AB152" i="6" a="1"/>
  <c r="AB152" i="6" s="1"/>
  <c r="AB151" i="6" a="1"/>
  <c r="AB151" i="6" s="1"/>
  <c r="AB150" i="6" a="1"/>
  <c r="AB150" i="6" s="1"/>
  <c r="AB149" i="6" a="1"/>
  <c r="AB149" i="6" s="1"/>
  <c r="AB148" i="6" a="1"/>
  <c r="AB148" i="6" s="1"/>
  <c r="AB147" i="6" a="1"/>
  <c r="AB147" i="6" s="1"/>
  <c r="AB146" i="6" a="1"/>
  <c r="AB146" i="6" s="1"/>
  <c r="AB145" i="6" a="1"/>
  <c r="AB145" i="6" s="1"/>
  <c r="AB144" i="6" a="1"/>
  <c r="AB144" i="6" s="1"/>
  <c r="AB143" i="6" a="1"/>
  <c r="AB143" i="6" s="1"/>
  <c r="AB142" i="6" a="1"/>
  <c r="AB142" i="6" s="1"/>
  <c r="AB141" i="6" a="1"/>
  <c r="AB141" i="6" s="1"/>
  <c r="AB140" i="6" a="1"/>
  <c r="AB140" i="6" s="1"/>
  <c r="AB139" i="6" a="1"/>
  <c r="AB139" i="6" s="1"/>
  <c r="AB138" i="6" a="1"/>
  <c r="AB138" i="6" s="1"/>
  <c r="AB137" i="6" a="1"/>
  <c r="AB137" i="6" s="1"/>
  <c r="AB136" i="6" a="1"/>
  <c r="AB136" i="6" s="1"/>
  <c r="AB135" i="6" a="1"/>
  <c r="AB135" i="6" s="1"/>
  <c r="AB134" i="6" a="1"/>
  <c r="AB134" i="6" s="1"/>
  <c r="AB133" i="6" a="1"/>
  <c r="AB133" i="6" s="1"/>
  <c r="AB132" i="6" a="1"/>
  <c r="AB132" i="6" s="1"/>
  <c r="AB131" i="6" a="1"/>
  <c r="AB131" i="6" s="1"/>
  <c r="AB130" i="6" a="1"/>
  <c r="AB130" i="6" s="1"/>
  <c r="AB129" i="6" a="1"/>
  <c r="AB129" i="6" s="1"/>
  <c r="AB128" i="6" a="1"/>
  <c r="AB128" i="6" s="1"/>
  <c r="AB127" i="6" a="1"/>
  <c r="AB127" i="6" s="1"/>
  <c r="AB126" i="6" a="1"/>
  <c r="AB126" i="6" s="1"/>
  <c r="AB125" i="6" a="1"/>
  <c r="AB125" i="6" s="1"/>
  <c r="AB124" i="6" a="1"/>
  <c r="AB124" i="6" s="1"/>
  <c r="AB123" i="6" a="1"/>
  <c r="AB123" i="6" s="1"/>
  <c r="AB122" i="6" a="1"/>
  <c r="AB122" i="6" s="1"/>
  <c r="AB121" i="6" a="1"/>
  <c r="AB121" i="6" s="1"/>
  <c r="AB120" i="6" a="1"/>
  <c r="AB120" i="6" s="1"/>
  <c r="AB119" i="6" a="1"/>
  <c r="AB119" i="6" s="1"/>
  <c r="AB118" i="6" a="1"/>
  <c r="AB118" i="6" s="1"/>
  <c r="AB117" i="6" a="1"/>
  <c r="AB117" i="6" s="1"/>
  <c r="AB116" i="6" a="1"/>
  <c r="AB116" i="6" s="1"/>
  <c r="AB115" i="6" a="1"/>
  <c r="AB115" i="6" s="1"/>
  <c r="AB114" i="6" a="1"/>
  <c r="AB114" i="6" s="1"/>
  <c r="AB113" i="6" a="1"/>
  <c r="AB113" i="6" s="1"/>
  <c r="AB112" i="6" a="1"/>
  <c r="AB112" i="6" s="1"/>
  <c r="AB111" i="6" a="1"/>
  <c r="AB111" i="6" s="1"/>
  <c r="AB110" i="6" a="1"/>
  <c r="AB110" i="6" s="1"/>
  <c r="AB109" i="6" a="1"/>
  <c r="AB109" i="6" s="1"/>
  <c r="AB108" i="6" a="1"/>
  <c r="AB108" i="6" s="1"/>
  <c r="AB107" i="6" a="1"/>
  <c r="AB107" i="6" s="1"/>
  <c r="AB106" i="6" a="1"/>
  <c r="AB106" i="6" s="1"/>
  <c r="AB105" i="6" a="1"/>
  <c r="AB105" i="6" s="1"/>
  <c r="AB104" i="6" a="1"/>
  <c r="AB104" i="6" s="1"/>
  <c r="AB103" i="6" a="1"/>
  <c r="AB103" i="6" s="1"/>
  <c r="AB102" i="6" a="1"/>
  <c r="AB102" i="6" s="1"/>
  <c r="AB101" i="6" a="1"/>
  <c r="AB101" i="6" s="1"/>
  <c r="AB100" i="6" a="1"/>
  <c r="AB100" i="6" s="1"/>
  <c r="AB99" i="6" a="1"/>
  <c r="AB99" i="6" s="1"/>
  <c r="AB98" i="6" a="1"/>
  <c r="AB98" i="6" s="1"/>
  <c r="AB97" i="6" a="1"/>
  <c r="AB97" i="6" s="1"/>
  <c r="AB96" i="6" a="1"/>
  <c r="AB96" i="6" s="1"/>
  <c r="AB95" i="6" a="1"/>
  <c r="AB95" i="6" s="1"/>
  <c r="AB94" i="6" a="1"/>
  <c r="AB94" i="6" s="1"/>
  <c r="AB93" i="6" a="1"/>
  <c r="AB93" i="6" s="1"/>
  <c r="AB92" i="6" a="1"/>
  <c r="AB92" i="6" s="1"/>
  <c r="AB91" i="6" a="1"/>
  <c r="AB91" i="6" s="1"/>
  <c r="AB90" i="6" a="1"/>
  <c r="AB90" i="6" s="1"/>
  <c r="AB89" i="6" a="1"/>
  <c r="AB89" i="6" s="1"/>
  <c r="AB88" i="6" a="1"/>
  <c r="AB88" i="6" s="1"/>
  <c r="AB87" i="6" a="1"/>
  <c r="AB87" i="6" s="1"/>
  <c r="AB86" i="6" a="1"/>
  <c r="AB86" i="6" s="1"/>
  <c r="AB85" i="6" a="1"/>
  <c r="AB85" i="6" s="1"/>
  <c r="AB84" i="6" a="1"/>
  <c r="AB84" i="6" s="1"/>
  <c r="AB83" i="6" a="1"/>
  <c r="AB83" i="6" s="1"/>
  <c r="AB82" i="6" a="1"/>
  <c r="AB82" i="6" s="1"/>
  <c r="AB81" i="6" a="1"/>
  <c r="AB81" i="6" s="1"/>
  <c r="AB80" i="6" a="1"/>
  <c r="AB80" i="6" s="1"/>
  <c r="AB79" i="6" a="1"/>
  <c r="AB79" i="6" s="1"/>
  <c r="AB78" i="6" a="1"/>
  <c r="AB78" i="6" s="1"/>
  <c r="AB77" i="6" a="1"/>
  <c r="AB77" i="6" s="1"/>
  <c r="AB76" i="6" a="1"/>
  <c r="AB76" i="6" s="1"/>
  <c r="AB75" i="6" a="1"/>
  <c r="AB75" i="6" s="1"/>
  <c r="AB74" i="6" a="1"/>
  <c r="AB74" i="6" s="1"/>
  <c r="AB73" i="6" a="1"/>
  <c r="AB73" i="6" s="1"/>
  <c r="AB72" i="6" a="1"/>
  <c r="AB72" i="6" s="1"/>
  <c r="AB71" i="6" a="1"/>
  <c r="AB71" i="6" s="1"/>
  <c r="AB70" i="6" a="1"/>
  <c r="AB70" i="6" s="1"/>
  <c r="AB69" i="6" a="1"/>
  <c r="AB69" i="6" s="1"/>
  <c r="AB68" i="6" a="1"/>
  <c r="AB68" i="6" s="1"/>
  <c r="AB67" i="6" a="1"/>
  <c r="AB67" i="6" s="1"/>
  <c r="AB66" i="6" a="1"/>
  <c r="AB66" i="6" s="1"/>
  <c r="AB65" i="6" a="1"/>
  <c r="AB65" i="6" s="1"/>
  <c r="AB64" i="6" a="1"/>
  <c r="AB64" i="6" s="1"/>
  <c r="AB63" i="6" a="1"/>
  <c r="AB63" i="6" s="1"/>
  <c r="AB62" i="6" a="1"/>
  <c r="AB62" i="6" s="1"/>
  <c r="AB61" i="6" a="1"/>
  <c r="AB61" i="6" s="1"/>
  <c r="AB60" i="6" a="1"/>
  <c r="AB60" i="6" s="1"/>
  <c r="AB59" i="6" a="1"/>
  <c r="AB59" i="6" s="1"/>
  <c r="AB58" i="6" a="1"/>
  <c r="AB58" i="6" s="1"/>
  <c r="AB57" i="6" a="1"/>
  <c r="AB57" i="6" s="1"/>
  <c r="AB56" i="6" a="1"/>
  <c r="AB56" i="6" s="1"/>
  <c r="AB55" i="6" a="1"/>
  <c r="AB55" i="6" s="1"/>
  <c r="AB54" i="6" a="1"/>
  <c r="AB54" i="6" s="1"/>
  <c r="AB53" i="6" a="1"/>
  <c r="AB53" i="6" s="1"/>
  <c r="AB52" i="6" a="1"/>
  <c r="AB52" i="6" s="1"/>
  <c r="AB51" i="6" a="1"/>
  <c r="AB51" i="6" s="1"/>
  <c r="AB50" i="6" a="1"/>
  <c r="AB50" i="6" s="1"/>
  <c r="AB49" i="6" a="1"/>
  <c r="AB49" i="6" s="1"/>
  <c r="AB48" i="6" a="1"/>
  <c r="AB48" i="6" s="1"/>
  <c r="AB47" i="6" a="1"/>
  <c r="AB47" i="6" s="1"/>
  <c r="AB46" i="6" a="1"/>
  <c r="AB46" i="6" s="1"/>
  <c r="AB45" i="6" a="1"/>
  <c r="AB45" i="6" s="1"/>
  <c r="AB44" i="6" a="1"/>
  <c r="AB44" i="6" s="1"/>
  <c r="AB43" i="6" a="1"/>
  <c r="AB43" i="6" s="1"/>
  <c r="AB42" i="6" a="1"/>
  <c r="AB42" i="6" s="1"/>
  <c r="AB41" i="6" a="1"/>
  <c r="AB41" i="6" s="1"/>
  <c r="AB40" i="6" a="1"/>
  <c r="AB40" i="6" s="1"/>
  <c r="AB39" i="6" a="1"/>
  <c r="AB39" i="6" s="1"/>
  <c r="AB38" i="6" a="1"/>
  <c r="AB38" i="6" s="1"/>
  <c r="AB37" i="6" a="1"/>
  <c r="AB37" i="6" s="1"/>
  <c r="AB36" i="6" a="1"/>
  <c r="AB36" i="6" s="1"/>
  <c r="AB35" i="6" a="1"/>
  <c r="AB35" i="6" s="1"/>
  <c r="AB34" i="6" a="1"/>
  <c r="AB34" i="6" s="1"/>
  <c r="AB33" i="6" a="1"/>
  <c r="AB33" i="6" s="1"/>
  <c r="AB32" i="6" a="1"/>
  <c r="AB32" i="6" s="1"/>
  <c r="AB31" i="6" a="1"/>
  <c r="AB31" i="6" s="1"/>
  <c r="AB30" i="6" a="1"/>
  <c r="AB30" i="6" s="1"/>
  <c r="AB29" i="6" a="1"/>
  <c r="AB29" i="6" s="1"/>
  <c r="AB28" i="6" a="1"/>
  <c r="AB28" i="6" s="1"/>
  <c r="AB27" i="6" a="1"/>
  <c r="AB27" i="6" s="1"/>
  <c r="AB26" i="6" a="1"/>
  <c r="AB26" i="6" s="1"/>
  <c r="AB25" i="6" a="1"/>
  <c r="AB25" i="6" s="1"/>
  <c r="AB24" i="6" a="1"/>
  <c r="AB24" i="6" s="1"/>
  <c r="AB23" i="6" a="1"/>
  <c r="AB23" i="6" s="1"/>
  <c r="AB22" i="6" a="1"/>
  <c r="AB22" i="6" s="1"/>
  <c r="AB21" i="6" a="1"/>
  <c r="AB21" i="6" s="1"/>
  <c r="AB20" i="6" a="1"/>
  <c r="AB20" i="6" s="1"/>
  <c r="AB19" i="6" a="1"/>
  <c r="AB19" i="6" s="1"/>
  <c r="AB18" i="6" a="1"/>
  <c r="AB18" i="6" s="1"/>
  <c r="AB17" i="6" a="1"/>
  <c r="AB17" i="6" s="1"/>
  <c r="AB16" i="6" a="1"/>
  <c r="AB16" i="6" s="1"/>
  <c r="AB15" i="6" a="1"/>
  <c r="AB15" i="6" s="1"/>
  <c r="AB14" i="6" a="1"/>
  <c r="AB14" i="6" s="1"/>
  <c r="AB13" i="6" a="1"/>
  <c r="AB13" i="6" s="1"/>
  <c r="AB12" i="6" a="1"/>
  <c r="AB12" i="6" s="1"/>
  <c r="AB11" i="6" a="1"/>
  <c r="AB11" i="6" s="1"/>
  <c r="AB10" i="6" a="1"/>
  <c r="AB10" i="6" s="1"/>
  <c r="AB9" i="6" a="1"/>
  <c r="AB9" i="6" s="1"/>
  <c r="AB8" i="6" a="1"/>
  <c r="AB8" i="6" s="1"/>
  <c r="AB7" i="6" a="1"/>
  <c r="AB7" i="6" s="1"/>
  <c r="AB6" i="6" a="1"/>
  <c r="AB6" i="6" s="1"/>
  <c r="AB5" i="6" a="1"/>
  <c r="AB5" i="6" s="1"/>
  <c r="AB4" i="6" a="1"/>
  <c r="AB4" i="6" s="1"/>
  <c r="AB3" i="6" a="1"/>
  <c r="AB3" i="6" s="1"/>
  <c r="AB2" i="6" a="1"/>
  <c r="AB2" i="6" s="1"/>
  <c r="AB2157" i="6" a="1"/>
  <c r="AB2157" i="6" s="1"/>
  <c r="AA2158" i="6"/>
  <c r="AA2157" i="6"/>
  <c r="AA2156" i="6"/>
  <c r="AA2155" i="6"/>
  <c r="AA2154" i="6"/>
  <c r="AA2153" i="6"/>
  <c r="AA2152" i="6"/>
  <c r="AA2151" i="6"/>
  <c r="AA2150" i="6"/>
  <c r="AA2149" i="6"/>
  <c r="AA2148" i="6"/>
  <c r="AA2147" i="6"/>
  <c r="AA2146" i="6"/>
  <c r="AA2145" i="6"/>
  <c r="AA2144" i="6"/>
  <c r="AA2143" i="6"/>
  <c r="AA2142" i="6"/>
  <c r="AA2141" i="6"/>
  <c r="AA2140" i="6"/>
  <c r="AA2139" i="6"/>
  <c r="AA2138" i="6"/>
  <c r="AA2137" i="6"/>
  <c r="AA2136" i="6"/>
  <c r="AA2135" i="6"/>
  <c r="AA2134" i="6"/>
  <c r="AA2133" i="6"/>
  <c r="AA2132" i="6"/>
  <c r="AA2131" i="6"/>
  <c r="AA2130" i="6"/>
  <c r="AA2129" i="6"/>
  <c r="AA2128" i="6"/>
  <c r="AA2127" i="6"/>
  <c r="AA2126" i="6"/>
  <c r="AA2125" i="6"/>
  <c r="AA2124" i="6"/>
  <c r="AA2123" i="6"/>
  <c r="AA2122" i="6"/>
  <c r="AA2121" i="6"/>
  <c r="AA2120" i="6"/>
  <c r="AA2119" i="6"/>
  <c r="AA2118" i="6"/>
  <c r="AA2117" i="6"/>
  <c r="AA2116" i="6"/>
  <c r="AA2115" i="6"/>
  <c r="AA2114" i="6"/>
  <c r="AA2113" i="6"/>
  <c r="AA2112" i="6"/>
  <c r="AA2111" i="6"/>
  <c r="AA2110" i="6"/>
  <c r="AA2109" i="6"/>
  <c r="AA2108" i="6"/>
  <c r="AA2107" i="6"/>
  <c r="AA2106" i="6"/>
  <c r="AA2105" i="6"/>
  <c r="AA2104" i="6"/>
  <c r="AA2103" i="6"/>
  <c r="AA2102" i="6"/>
  <c r="AA2101" i="6"/>
  <c r="AA2100" i="6"/>
  <c r="AA2099" i="6"/>
  <c r="AA2098" i="6"/>
  <c r="AA2097" i="6"/>
  <c r="AA2096" i="6"/>
  <c r="AA2095" i="6"/>
  <c r="AA2094" i="6"/>
  <c r="AA2093" i="6"/>
  <c r="AA2092" i="6"/>
  <c r="AA2091" i="6"/>
  <c r="AA2090" i="6"/>
  <c r="AA2089" i="6"/>
  <c r="AA2088" i="6"/>
  <c r="AA2087" i="6"/>
  <c r="AA2086" i="6"/>
  <c r="AA2085" i="6"/>
  <c r="AA2084" i="6"/>
  <c r="AA2083" i="6"/>
  <c r="AA2082" i="6"/>
  <c r="AA2081" i="6"/>
  <c r="AA2080" i="6"/>
  <c r="AA2079" i="6"/>
  <c r="AA2078" i="6"/>
  <c r="AA2077" i="6"/>
  <c r="AA2076" i="6"/>
  <c r="AA2075" i="6"/>
  <c r="AA2074" i="6"/>
  <c r="AA2073" i="6"/>
  <c r="AA2072" i="6"/>
  <c r="AA2071" i="6"/>
  <c r="AA2070" i="6"/>
  <c r="AA2069" i="6"/>
  <c r="AA2068" i="6"/>
  <c r="AA2067" i="6"/>
  <c r="AA2066" i="6"/>
  <c r="AA2065" i="6"/>
  <c r="AA2064" i="6"/>
  <c r="AA2063" i="6"/>
  <c r="AA2062" i="6"/>
  <c r="AA2061" i="6"/>
  <c r="AA2060" i="6"/>
  <c r="AA2059" i="6"/>
  <c r="AA2058" i="6"/>
  <c r="AA2057" i="6"/>
  <c r="AA2056" i="6"/>
  <c r="AA2055" i="6"/>
  <c r="AA2054" i="6"/>
  <c r="AA2053" i="6"/>
  <c r="AA2052" i="6"/>
  <c r="AA2051" i="6"/>
  <c r="AA2050" i="6"/>
  <c r="AA2049" i="6"/>
  <c r="AA2048" i="6"/>
  <c r="AA2047" i="6"/>
  <c r="AA2046" i="6"/>
  <c r="AA2045" i="6"/>
  <c r="AA2044" i="6"/>
  <c r="AA2043" i="6"/>
  <c r="AA2042" i="6"/>
  <c r="AA2041" i="6"/>
  <c r="AA2040" i="6"/>
  <c r="AA2039" i="6"/>
  <c r="AA2038" i="6"/>
  <c r="AA2037" i="6"/>
  <c r="AA2036" i="6"/>
  <c r="AA2035" i="6"/>
  <c r="AA2034" i="6"/>
  <c r="AA2033" i="6"/>
  <c r="AA2032" i="6"/>
  <c r="AA2031" i="6"/>
  <c r="AA2030" i="6"/>
  <c r="AA2029" i="6"/>
  <c r="AA2028" i="6"/>
  <c r="AA2027" i="6"/>
  <c r="AA2026" i="6"/>
  <c r="AA2025" i="6"/>
  <c r="AA2024" i="6"/>
  <c r="AA2023" i="6"/>
  <c r="AA2022" i="6"/>
  <c r="AA2021" i="6"/>
  <c r="AA2020" i="6"/>
  <c r="AA2019" i="6"/>
  <c r="AA2018" i="6"/>
  <c r="AA2017" i="6"/>
  <c r="AA2016" i="6"/>
  <c r="AA2015" i="6"/>
  <c r="AA2014" i="6"/>
  <c r="AA2013" i="6"/>
  <c r="AA2012" i="6"/>
  <c r="AA2011" i="6"/>
  <c r="AA2010" i="6"/>
  <c r="AA2009" i="6"/>
  <c r="AA2008" i="6"/>
  <c r="AA2007" i="6"/>
  <c r="AA2006" i="6"/>
  <c r="AA2005" i="6"/>
  <c r="AA2004" i="6"/>
  <c r="AA2003" i="6"/>
  <c r="AA2002" i="6"/>
  <c r="AA2001" i="6"/>
  <c r="AA2000" i="6"/>
  <c r="AA1999" i="6"/>
  <c r="AA1998" i="6"/>
  <c r="AA1997" i="6"/>
  <c r="AA1996" i="6"/>
  <c r="AA1995" i="6"/>
  <c r="AA1994" i="6"/>
  <c r="AA1993" i="6"/>
  <c r="AA1992" i="6"/>
  <c r="AA1991" i="6"/>
  <c r="AA1990" i="6"/>
  <c r="AA1989" i="6"/>
  <c r="AA1988" i="6"/>
  <c r="AA1987" i="6"/>
  <c r="AA1986" i="6"/>
  <c r="AA1985" i="6"/>
  <c r="AA1984" i="6"/>
  <c r="AA1983" i="6"/>
  <c r="AA1982" i="6"/>
  <c r="AA1981" i="6"/>
  <c r="AA1980" i="6"/>
  <c r="AA1979" i="6"/>
  <c r="AA1978" i="6"/>
  <c r="AA1977" i="6"/>
  <c r="AA1976" i="6"/>
  <c r="AA1975" i="6"/>
  <c r="AA1974" i="6"/>
  <c r="AA1973" i="6"/>
  <c r="AA1972" i="6"/>
  <c r="AA1971" i="6"/>
  <c r="AA1970" i="6"/>
  <c r="AA1969" i="6"/>
  <c r="AA1968" i="6"/>
  <c r="AA1967" i="6"/>
  <c r="AA1966" i="6"/>
  <c r="AA1965" i="6"/>
  <c r="AA1964" i="6"/>
  <c r="AA1963" i="6"/>
  <c r="AA1962" i="6"/>
  <c r="AA1961" i="6"/>
  <c r="AA1960" i="6"/>
  <c r="AA1959" i="6"/>
  <c r="AA1958" i="6"/>
  <c r="AA1957" i="6"/>
  <c r="AA1956" i="6"/>
  <c r="AA1955" i="6"/>
  <c r="AA1954" i="6"/>
  <c r="AA1953" i="6"/>
  <c r="AA1952" i="6"/>
  <c r="AA1951" i="6"/>
  <c r="AA1950" i="6"/>
  <c r="AA1949" i="6"/>
  <c r="AA1948" i="6"/>
  <c r="AA1947" i="6"/>
  <c r="AA1946" i="6"/>
  <c r="AA1945" i="6"/>
  <c r="AA1944" i="6"/>
  <c r="AA1943" i="6"/>
  <c r="AA1942" i="6"/>
  <c r="AA1941" i="6"/>
  <c r="AA1940" i="6"/>
  <c r="AA1939" i="6"/>
  <c r="AA1938" i="6"/>
  <c r="AA1937" i="6"/>
  <c r="AA1936" i="6"/>
  <c r="AA1935" i="6"/>
  <c r="AA1934" i="6"/>
  <c r="AA1933" i="6"/>
  <c r="AA1932" i="6"/>
  <c r="AA1931" i="6"/>
  <c r="AA1930" i="6"/>
  <c r="AA1929" i="6"/>
  <c r="AA1928" i="6"/>
  <c r="AA1927" i="6"/>
  <c r="AA1926" i="6"/>
  <c r="AA1925" i="6"/>
  <c r="AA1924" i="6"/>
  <c r="AA1923" i="6"/>
  <c r="AA1922" i="6"/>
  <c r="AA1921" i="6"/>
  <c r="AA1920" i="6"/>
  <c r="AA1919" i="6"/>
  <c r="AA1918" i="6"/>
  <c r="AA1917" i="6"/>
  <c r="AA1916" i="6"/>
  <c r="AA1915" i="6"/>
  <c r="AA1914" i="6"/>
  <c r="AA1913" i="6"/>
  <c r="AA1912" i="6"/>
  <c r="AA1911" i="6"/>
  <c r="AA1910" i="6"/>
  <c r="AA1909" i="6"/>
  <c r="AA1908" i="6"/>
  <c r="AA1907" i="6"/>
  <c r="AA1906" i="6"/>
  <c r="AA1905" i="6"/>
  <c r="AA1904" i="6"/>
  <c r="AA1903" i="6"/>
  <c r="AA1902" i="6"/>
  <c r="AA1901" i="6"/>
  <c r="AA1900" i="6"/>
  <c r="AA1899" i="6"/>
  <c r="AA1898" i="6"/>
  <c r="AA1897" i="6"/>
  <c r="AA1896" i="6"/>
  <c r="AA1895" i="6"/>
  <c r="AA1894" i="6"/>
  <c r="AA1893" i="6"/>
  <c r="AA1892" i="6"/>
  <c r="AA1891" i="6"/>
  <c r="AA1890" i="6"/>
  <c r="AA1889" i="6"/>
  <c r="AA1888" i="6"/>
  <c r="AA1887" i="6"/>
  <c r="AA1886" i="6"/>
  <c r="AA1885" i="6"/>
  <c r="AA1884" i="6"/>
  <c r="AA1883" i="6"/>
  <c r="AA1882" i="6"/>
  <c r="AA1881" i="6"/>
  <c r="AA1880" i="6"/>
  <c r="AA1879" i="6"/>
  <c r="AA1878" i="6"/>
  <c r="AA1877" i="6"/>
  <c r="AA1876" i="6"/>
  <c r="AA1875" i="6"/>
  <c r="AA1874" i="6"/>
  <c r="AA1873" i="6"/>
  <c r="AA1872" i="6"/>
  <c r="AA1871" i="6"/>
  <c r="AA1870" i="6"/>
  <c r="AA1869" i="6"/>
  <c r="AA1868" i="6"/>
  <c r="AA1867" i="6"/>
  <c r="AA1866" i="6"/>
  <c r="AA1865" i="6"/>
  <c r="AA1864" i="6"/>
  <c r="AA1863" i="6"/>
  <c r="AA1862" i="6"/>
  <c r="AA1861" i="6"/>
  <c r="AA1860" i="6"/>
  <c r="AA1859" i="6"/>
  <c r="AA1858" i="6"/>
  <c r="AA1857" i="6"/>
  <c r="AA1856" i="6"/>
  <c r="AA1855" i="6"/>
  <c r="AA1854" i="6"/>
  <c r="AA1853" i="6"/>
  <c r="AA1852" i="6"/>
  <c r="AA1851" i="6"/>
  <c r="AA1850" i="6"/>
  <c r="AA1849" i="6"/>
  <c r="AA1848" i="6"/>
  <c r="AA1847" i="6"/>
  <c r="AA1846" i="6"/>
  <c r="AA1845" i="6"/>
  <c r="AA1844" i="6"/>
  <c r="AA1843" i="6"/>
  <c r="AA1842" i="6"/>
  <c r="AA1841" i="6"/>
  <c r="AA1840" i="6"/>
  <c r="AA1839" i="6"/>
  <c r="AA1838" i="6"/>
  <c r="AA1837" i="6"/>
  <c r="AA1836" i="6"/>
  <c r="AA1835" i="6"/>
  <c r="AA1834" i="6"/>
  <c r="AA1833" i="6"/>
  <c r="AA1832" i="6"/>
  <c r="AA1831" i="6"/>
  <c r="AA1830" i="6"/>
  <c r="AA1829" i="6"/>
  <c r="AA1828" i="6"/>
  <c r="AA1827" i="6"/>
  <c r="AA1826" i="6"/>
  <c r="AA1825" i="6"/>
  <c r="AA1824" i="6"/>
  <c r="AA1823" i="6"/>
  <c r="AA1822" i="6"/>
  <c r="AA1821" i="6"/>
  <c r="AA1820" i="6"/>
  <c r="AA1819" i="6"/>
  <c r="AA1818" i="6"/>
  <c r="AA1817" i="6"/>
  <c r="AA1816" i="6"/>
  <c r="AA1815" i="6"/>
  <c r="AA1814" i="6"/>
  <c r="AA1813" i="6"/>
  <c r="AA1812" i="6"/>
  <c r="AA1811" i="6"/>
  <c r="AA1810" i="6"/>
  <c r="AA1809" i="6"/>
  <c r="AA1808" i="6"/>
  <c r="AA1807" i="6"/>
  <c r="AA1806" i="6"/>
  <c r="AA1805" i="6"/>
  <c r="AA1804" i="6"/>
  <c r="AA1803" i="6"/>
  <c r="AA1802" i="6"/>
  <c r="AA1801" i="6"/>
  <c r="AA1800" i="6"/>
  <c r="AA1799" i="6"/>
  <c r="AA1798" i="6"/>
  <c r="AA1797" i="6"/>
  <c r="AA1796" i="6"/>
  <c r="AA1795" i="6"/>
  <c r="AA1794" i="6"/>
  <c r="AA1793" i="6"/>
  <c r="AA1792" i="6"/>
  <c r="AA1791" i="6"/>
  <c r="AA1790" i="6"/>
  <c r="AA1789" i="6"/>
  <c r="AA1788" i="6"/>
  <c r="AA1787" i="6"/>
  <c r="AA1786" i="6"/>
  <c r="AA1785" i="6"/>
  <c r="AA1784" i="6"/>
  <c r="AA1783" i="6"/>
  <c r="AA1782" i="6"/>
  <c r="AA1781" i="6"/>
  <c r="AA1780" i="6"/>
  <c r="AA1779" i="6"/>
  <c r="AA1778" i="6"/>
  <c r="AA1777" i="6"/>
  <c r="AA1776" i="6"/>
  <c r="AA1775" i="6"/>
  <c r="AA1774" i="6"/>
  <c r="AA1773" i="6"/>
  <c r="AA1772" i="6"/>
  <c r="AA1771" i="6"/>
  <c r="AA1770" i="6"/>
  <c r="AA1769" i="6"/>
  <c r="AA1768" i="6"/>
  <c r="AA1767" i="6"/>
  <c r="AA1766" i="6"/>
  <c r="AA1765" i="6"/>
  <c r="AA1764" i="6"/>
  <c r="AA1763" i="6"/>
  <c r="AA1762" i="6"/>
  <c r="AA1761" i="6"/>
  <c r="AA1760" i="6"/>
  <c r="AA1759" i="6"/>
  <c r="AA1758" i="6"/>
  <c r="AA1757" i="6"/>
  <c r="AA1756" i="6"/>
  <c r="AA1755" i="6"/>
  <c r="AA1754" i="6"/>
  <c r="AA1753" i="6"/>
  <c r="AA1752" i="6"/>
  <c r="AA1751" i="6"/>
  <c r="AA1750" i="6"/>
  <c r="AA1749" i="6"/>
  <c r="AA1748" i="6"/>
  <c r="AA1747" i="6"/>
  <c r="AA1746" i="6"/>
  <c r="AA1745" i="6"/>
  <c r="AA1744" i="6"/>
  <c r="AA1743" i="6"/>
  <c r="AA1742" i="6"/>
  <c r="AA1741" i="6"/>
  <c r="AA1740" i="6"/>
  <c r="AA1739" i="6"/>
  <c r="AA1738" i="6"/>
  <c r="AA1737" i="6"/>
  <c r="AA1736" i="6"/>
  <c r="AA1735" i="6"/>
  <c r="AA1734" i="6"/>
  <c r="AA1733" i="6"/>
  <c r="AA1732" i="6"/>
  <c r="AA1731" i="6"/>
  <c r="AA1730" i="6"/>
  <c r="AA1729" i="6"/>
  <c r="AA1728" i="6"/>
  <c r="AA1727" i="6"/>
  <c r="AA1726" i="6"/>
  <c r="AA1725" i="6"/>
  <c r="AA1724" i="6"/>
  <c r="AA1723" i="6"/>
  <c r="AA1722" i="6"/>
  <c r="AA1721" i="6"/>
  <c r="AA1720" i="6"/>
  <c r="AA1719" i="6"/>
  <c r="AA1718" i="6"/>
  <c r="AA1717" i="6"/>
  <c r="AA1716" i="6"/>
  <c r="AA1715" i="6"/>
  <c r="AA1714" i="6"/>
  <c r="AA1713" i="6"/>
  <c r="AA1712" i="6"/>
  <c r="AA1711" i="6"/>
  <c r="AA1710" i="6"/>
  <c r="AA1709" i="6"/>
  <c r="AA1708" i="6"/>
  <c r="AA1707" i="6"/>
  <c r="AA1706" i="6"/>
  <c r="AA1705" i="6"/>
  <c r="AA1704" i="6"/>
  <c r="AA1703" i="6"/>
  <c r="AA1702" i="6"/>
  <c r="AA1701" i="6"/>
  <c r="AA1700" i="6"/>
  <c r="AA1699" i="6"/>
  <c r="AA1698" i="6"/>
  <c r="AA1697" i="6"/>
  <c r="AA1696" i="6"/>
  <c r="AA1695" i="6"/>
  <c r="AA1694" i="6"/>
  <c r="AA1693" i="6"/>
  <c r="AA1692" i="6"/>
  <c r="AA1691" i="6"/>
  <c r="AA1690" i="6"/>
  <c r="AA1689" i="6"/>
  <c r="AA1688" i="6"/>
  <c r="AA1687" i="6"/>
  <c r="AA1686" i="6"/>
  <c r="AA1685" i="6"/>
  <c r="AA1684" i="6"/>
  <c r="AA1683" i="6"/>
  <c r="AA1682" i="6"/>
  <c r="AA1681" i="6"/>
  <c r="AA1680" i="6"/>
  <c r="AA1679" i="6"/>
  <c r="AA1678" i="6"/>
  <c r="AA1677" i="6"/>
  <c r="AA1676" i="6"/>
  <c r="AA1675" i="6"/>
  <c r="AA1674" i="6"/>
  <c r="AA1673" i="6"/>
  <c r="AA1672" i="6"/>
  <c r="AA1671" i="6"/>
  <c r="AA1670" i="6"/>
  <c r="AA1669" i="6"/>
  <c r="AA1668" i="6"/>
  <c r="AA1667" i="6"/>
  <c r="AA1666" i="6"/>
  <c r="AA1665" i="6"/>
  <c r="AA1664" i="6"/>
  <c r="AA1663" i="6"/>
  <c r="AA1662" i="6"/>
  <c r="AA1661" i="6"/>
  <c r="AA1660" i="6"/>
  <c r="AA1659" i="6"/>
  <c r="AA1658" i="6"/>
  <c r="AA1657" i="6"/>
  <c r="AA1656" i="6"/>
  <c r="AA1655" i="6"/>
  <c r="AA1654" i="6"/>
  <c r="AA1653" i="6"/>
  <c r="AA1652" i="6"/>
  <c r="AA1651" i="6"/>
  <c r="AA1650" i="6"/>
  <c r="AA1649" i="6"/>
  <c r="AA1648" i="6"/>
  <c r="AA1647" i="6"/>
  <c r="AA1646" i="6"/>
  <c r="AA1645" i="6"/>
  <c r="AA1644" i="6"/>
  <c r="AA1643" i="6"/>
  <c r="AA1642" i="6"/>
  <c r="AA1641" i="6"/>
  <c r="AA1640" i="6"/>
  <c r="AA1639" i="6"/>
  <c r="AA1638" i="6"/>
  <c r="AA1637" i="6"/>
  <c r="AA1636" i="6"/>
  <c r="AA1635" i="6"/>
  <c r="AA1634" i="6"/>
  <c r="AA1633" i="6"/>
  <c r="AA1632" i="6"/>
  <c r="AA1631" i="6"/>
  <c r="AA1630" i="6"/>
  <c r="AA1629" i="6"/>
  <c r="AA1628" i="6"/>
  <c r="AA1627" i="6"/>
  <c r="AA1626" i="6"/>
  <c r="AA1625" i="6"/>
  <c r="AA1624" i="6"/>
  <c r="AA1623" i="6"/>
  <c r="AA1622" i="6"/>
  <c r="AA1621" i="6"/>
  <c r="AA1620" i="6"/>
  <c r="AA1619" i="6"/>
  <c r="AA1618" i="6"/>
  <c r="AA1617" i="6"/>
  <c r="AA1616" i="6"/>
  <c r="AA1615" i="6"/>
  <c r="AA1614" i="6"/>
  <c r="AA1613" i="6"/>
  <c r="AA1612" i="6"/>
  <c r="AA1611" i="6"/>
  <c r="AA1610" i="6"/>
  <c r="AA1609" i="6"/>
  <c r="AA1608" i="6"/>
  <c r="AA1607" i="6"/>
  <c r="AA1606" i="6"/>
  <c r="AA1605" i="6"/>
  <c r="AA1604" i="6"/>
  <c r="AA1603" i="6"/>
  <c r="AA1602" i="6"/>
  <c r="AA1601" i="6"/>
  <c r="AA1600" i="6"/>
  <c r="AA1599" i="6"/>
  <c r="AA1598" i="6"/>
  <c r="AA1597" i="6"/>
  <c r="AA1596" i="6"/>
  <c r="AA1595" i="6"/>
  <c r="AA1594" i="6"/>
  <c r="AA1593" i="6"/>
  <c r="AA1592" i="6"/>
  <c r="AA1591" i="6"/>
  <c r="AA1590" i="6"/>
  <c r="AA1589" i="6"/>
  <c r="AA1588" i="6"/>
  <c r="AA1587" i="6"/>
  <c r="AA1586" i="6"/>
  <c r="AA1585" i="6"/>
  <c r="AA1584" i="6"/>
  <c r="AA1583" i="6"/>
  <c r="AA1582" i="6"/>
  <c r="AA1581" i="6"/>
  <c r="AA1580" i="6"/>
  <c r="AA1579" i="6"/>
  <c r="AA1578" i="6"/>
  <c r="AA1577" i="6"/>
  <c r="AA1576" i="6"/>
  <c r="AA1575" i="6"/>
  <c r="AA1574" i="6"/>
  <c r="AA1573" i="6"/>
  <c r="AA1572" i="6"/>
  <c r="AA1571" i="6"/>
  <c r="AA1570" i="6"/>
  <c r="AA1569" i="6"/>
  <c r="AA1568" i="6"/>
  <c r="AA1567" i="6"/>
  <c r="AA1566" i="6"/>
  <c r="AA1565" i="6"/>
  <c r="AA1564" i="6"/>
  <c r="AA1563" i="6"/>
  <c r="AA1562" i="6"/>
  <c r="AA1561" i="6"/>
  <c r="AA1560" i="6"/>
  <c r="AA1559" i="6"/>
  <c r="AA1558" i="6"/>
  <c r="AA1557" i="6"/>
  <c r="AA1556" i="6"/>
  <c r="AA1555" i="6"/>
  <c r="AA1554" i="6"/>
  <c r="AA1553" i="6"/>
  <c r="AA1552" i="6"/>
  <c r="AA1551" i="6"/>
  <c r="AA1550" i="6"/>
  <c r="AA1549" i="6"/>
  <c r="AA1548" i="6"/>
  <c r="AA1547" i="6"/>
  <c r="AA1546" i="6"/>
  <c r="AA1545" i="6"/>
  <c r="AA1544" i="6"/>
  <c r="AA1543" i="6"/>
  <c r="AA1542" i="6"/>
  <c r="AA1541" i="6"/>
  <c r="AA1540" i="6"/>
  <c r="AA1539" i="6"/>
  <c r="AA1538" i="6"/>
  <c r="AA1537" i="6"/>
  <c r="AA1536" i="6"/>
  <c r="AA1535" i="6"/>
  <c r="AA1534" i="6"/>
  <c r="AA1533" i="6"/>
  <c r="AA1532" i="6"/>
  <c r="AA1531" i="6"/>
  <c r="AA1530" i="6"/>
  <c r="AA1529" i="6"/>
  <c r="AA1528" i="6"/>
  <c r="AA1527" i="6"/>
  <c r="AA1526" i="6"/>
  <c r="AA1525" i="6"/>
  <c r="AA1524" i="6"/>
  <c r="AA1523" i="6"/>
  <c r="AA1522" i="6"/>
  <c r="AA1521" i="6"/>
  <c r="AA1520" i="6"/>
  <c r="AA1519" i="6"/>
  <c r="AA1518" i="6"/>
  <c r="AA1517" i="6"/>
  <c r="AA1516" i="6"/>
  <c r="AA1515" i="6"/>
  <c r="AA1514" i="6"/>
  <c r="AA1513" i="6"/>
  <c r="AA1512" i="6"/>
  <c r="AA1511" i="6"/>
  <c r="AA1510" i="6"/>
  <c r="AA1509" i="6"/>
  <c r="AA1508" i="6"/>
  <c r="AA1507" i="6"/>
  <c r="AA1506" i="6"/>
  <c r="AA1505" i="6"/>
  <c r="AA1504" i="6"/>
  <c r="AA1503" i="6"/>
  <c r="AA1502" i="6"/>
  <c r="AA1501" i="6"/>
  <c r="AA1500" i="6"/>
  <c r="AA1499" i="6"/>
  <c r="AA1498" i="6"/>
  <c r="AA1497" i="6"/>
  <c r="AA1496" i="6"/>
  <c r="AA1495" i="6"/>
  <c r="AA1494" i="6"/>
  <c r="AA1493" i="6"/>
  <c r="AA1492" i="6"/>
  <c r="AA1491" i="6"/>
  <c r="AA1490" i="6"/>
  <c r="AA1489" i="6"/>
  <c r="AA1488" i="6"/>
  <c r="AA1487" i="6"/>
  <c r="AA1486" i="6"/>
  <c r="AA1485" i="6"/>
  <c r="AA1484" i="6"/>
  <c r="AA1483" i="6"/>
  <c r="AA1482" i="6"/>
  <c r="AA1481" i="6"/>
  <c r="AA1480" i="6"/>
  <c r="AA1479" i="6"/>
  <c r="AA1478" i="6"/>
  <c r="AA1477" i="6"/>
  <c r="AA1476" i="6"/>
  <c r="AA1475" i="6"/>
  <c r="AA1474" i="6"/>
  <c r="AA1473" i="6"/>
  <c r="AA1472" i="6"/>
  <c r="AA1471" i="6"/>
  <c r="AA1470" i="6"/>
  <c r="AA1469" i="6"/>
  <c r="AA1468" i="6"/>
  <c r="AA1467" i="6"/>
  <c r="AA1466" i="6"/>
  <c r="AA1465" i="6"/>
  <c r="AA1464" i="6"/>
  <c r="AA1463" i="6"/>
  <c r="AA1462" i="6"/>
  <c r="AA1461" i="6"/>
  <c r="AA1460" i="6"/>
  <c r="AA1459" i="6"/>
  <c r="AA1458" i="6"/>
  <c r="AA1457" i="6"/>
  <c r="AA1456" i="6"/>
  <c r="AA1455" i="6"/>
  <c r="AA1454" i="6"/>
  <c r="AA1453" i="6"/>
  <c r="AA1452" i="6"/>
  <c r="AA1451" i="6"/>
  <c r="AA1450" i="6"/>
  <c r="AA1449" i="6"/>
  <c r="AA1448" i="6"/>
  <c r="AA1447" i="6"/>
  <c r="AA1446" i="6"/>
  <c r="AA1445" i="6"/>
  <c r="AA1444" i="6"/>
  <c r="AA1443" i="6"/>
  <c r="AA1442" i="6"/>
  <c r="AA1441" i="6"/>
  <c r="AA1440" i="6"/>
  <c r="AA1439" i="6"/>
  <c r="AA1438" i="6"/>
  <c r="AA1437" i="6"/>
  <c r="AA1436" i="6"/>
  <c r="AA1435" i="6"/>
  <c r="AA1434" i="6"/>
  <c r="AA1433" i="6"/>
  <c r="AA1432" i="6"/>
  <c r="AA1431" i="6"/>
  <c r="AA1430" i="6"/>
  <c r="AA1429" i="6"/>
  <c r="AA1428" i="6"/>
  <c r="AA1427" i="6"/>
  <c r="AA1426" i="6"/>
  <c r="AA1425" i="6"/>
  <c r="AA1424" i="6"/>
  <c r="AA1423" i="6"/>
  <c r="AA1422" i="6"/>
  <c r="AA1421" i="6"/>
  <c r="AA1420" i="6"/>
  <c r="AA1419" i="6"/>
  <c r="AA1418" i="6"/>
  <c r="AA1417" i="6"/>
  <c r="AA1416" i="6"/>
  <c r="AA1415" i="6"/>
  <c r="AA1414" i="6"/>
  <c r="AA1413" i="6"/>
  <c r="AA1412" i="6"/>
  <c r="AA1411" i="6"/>
  <c r="AA1410" i="6"/>
  <c r="AA1409" i="6"/>
  <c r="AA1408" i="6"/>
  <c r="AA1407" i="6"/>
  <c r="AA1406" i="6"/>
  <c r="AA1405" i="6"/>
  <c r="AA1404" i="6"/>
  <c r="AA1403" i="6"/>
  <c r="AA1402" i="6"/>
  <c r="AA1401" i="6"/>
  <c r="AA1400" i="6"/>
  <c r="AA1399" i="6"/>
  <c r="AA1398" i="6"/>
  <c r="AA1397" i="6"/>
  <c r="AA1396" i="6"/>
  <c r="AA1395" i="6"/>
  <c r="AA1394" i="6"/>
  <c r="AA1393" i="6"/>
  <c r="AA1392" i="6"/>
  <c r="AA1391" i="6"/>
  <c r="AA1390" i="6"/>
  <c r="AA1389" i="6"/>
  <c r="AA1388" i="6"/>
  <c r="AA1387" i="6"/>
  <c r="AA1386" i="6"/>
  <c r="AA1385" i="6"/>
  <c r="AA1384" i="6"/>
  <c r="AA1383" i="6"/>
  <c r="AA1382" i="6"/>
  <c r="AA1381" i="6"/>
  <c r="AA1380" i="6"/>
  <c r="AA1379" i="6"/>
  <c r="AA1378" i="6"/>
  <c r="AA1377" i="6"/>
  <c r="AA1376" i="6"/>
  <c r="AA1375" i="6"/>
  <c r="AA1374" i="6"/>
  <c r="AA1373" i="6"/>
  <c r="AA1372" i="6"/>
  <c r="AA1371" i="6"/>
  <c r="AA1370" i="6"/>
  <c r="AA1369" i="6"/>
  <c r="AA1368" i="6"/>
  <c r="AA1367" i="6"/>
  <c r="AA1366" i="6"/>
  <c r="AA1365" i="6"/>
  <c r="AA1364" i="6"/>
  <c r="AA1363" i="6"/>
  <c r="AA1362" i="6"/>
  <c r="AA1361" i="6"/>
  <c r="AA1360" i="6"/>
  <c r="AA1359" i="6"/>
  <c r="AA1358" i="6"/>
  <c r="AA1357" i="6"/>
  <c r="AA1356" i="6"/>
  <c r="AA1355" i="6"/>
  <c r="AA1354" i="6"/>
  <c r="AA1353" i="6"/>
  <c r="AA1352" i="6"/>
  <c r="AA1351" i="6"/>
  <c r="AA1350" i="6"/>
  <c r="AA1349" i="6"/>
  <c r="AA1348" i="6"/>
  <c r="AA1347" i="6"/>
  <c r="AA1346" i="6"/>
  <c r="AA1345" i="6"/>
  <c r="AA1344" i="6"/>
  <c r="AA1343" i="6"/>
  <c r="AA1342" i="6"/>
  <c r="AA1341" i="6"/>
  <c r="AA1340" i="6"/>
  <c r="AA1339" i="6"/>
  <c r="AA1338" i="6"/>
  <c r="AA1337" i="6"/>
  <c r="AA1336" i="6"/>
  <c r="AA1335" i="6"/>
  <c r="AA1334" i="6"/>
  <c r="AA1333" i="6"/>
  <c r="AA1332" i="6"/>
  <c r="AA1331" i="6"/>
  <c r="AA1330" i="6"/>
  <c r="AA1329" i="6"/>
  <c r="AA1328" i="6"/>
  <c r="AA1327" i="6"/>
  <c r="AA1326" i="6"/>
  <c r="AA1325" i="6"/>
  <c r="AA1324" i="6"/>
  <c r="AA1323" i="6"/>
  <c r="AA1322" i="6"/>
  <c r="AA1321" i="6"/>
  <c r="AA1320" i="6"/>
  <c r="AA1319" i="6"/>
  <c r="AA1318" i="6"/>
  <c r="AA1317" i="6"/>
  <c r="AA1316" i="6"/>
  <c r="AA1315" i="6"/>
  <c r="AA1314" i="6"/>
  <c r="AA1313" i="6"/>
  <c r="AA1312" i="6"/>
  <c r="AA1311" i="6"/>
  <c r="AA1310" i="6"/>
  <c r="AA1309" i="6"/>
  <c r="AA1308" i="6"/>
  <c r="AA1307" i="6"/>
  <c r="AA1306" i="6"/>
  <c r="AA1305" i="6"/>
  <c r="AA1304" i="6"/>
  <c r="AA1303" i="6"/>
  <c r="AA1302" i="6"/>
  <c r="AA1301" i="6"/>
  <c r="AA1300" i="6"/>
  <c r="AA1299" i="6"/>
  <c r="AA1298" i="6"/>
  <c r="AA1297" i="6"/>
  <c r="AA1296" i="6"/>
  <c r="AA1295" i="6"/>
  <c r="AA1294" i="6"/>
  <c r="AA1293" i="6"/>
  <c r="AA1292" i="6"/>
  <c r="AA1291" i="6"/>
  <c r="AA1290" i="6"/>
  <c r="AA1289" i="6"/>
  <c r="AA1288" i="6"/>
  <c r="AA1287" i="6"/>
  <c r="AA1286" i="6"/>
  <c r="AA1285" i="6"/>
  <c r="AA1284" i="6"/>
  <c r="AA1283" i="6"/>
  <c r="AA1282" i="6"/>
  <c r="AA1281" i="6"/>
  <c r="AA1280" i="6"/>
  <c r="AA1279" i="6"/>
  <c r="AA1278" i="6"/>
  <c r="AA1277" i="6"/>
  <c r="AA1276" i="6"/>
  <c r="AA1275" i="6"/>
  <c r="AA1274" i="6"/>
  <c r="AA1273" i="6"/>
  <c r="AA1272" i="6"/>
  <c r="AA1271" i="6"/>
  <c r="AA1270" i="6"/>
  <c r="AA1269" i="6"/>
  <c r="AA1268" i="6"/>
  <c r="AA1267" i="6"/>
  <c r="AA1266" i="6"/>
  <c r="AA1265" i="6"/>
  <c r="AA1264" i="6"/>
  <c r="AA1263" i="6"/>
  <c r="AA1262" i="6"/>
  <c r="AA1261" i="6"/>
  <c r="AA1260" i="6"/>
  <c r="AA1259" i="6"/>
  <c r="AA1258" i="6"/>
  <c r="AA1257" i="6"/>
  <c r="AA1256" i="6"/>
  <c r="AA1255" i="6"/>
  <c r="AA1254" i="6"/>
  <c r="AA1253" i="6"/>
  <c r="AA1252" i="6"/>
  <c r="AA1251" i="6"/>
  <c r="AA1250" i="6"/>
  <c r="AA1249" i="6"/>
  <c r="AA1248" i="6"/>
  <c r="AA1247" i="6"/>
  <c r="AA1246" i="6"/>
  <c r="AA1245" i="6"/>
  <c r="AA1244" i="6"/>
  <c r="AA1243" i="6"/>
  <c r="AA1242" i="6"/>
  <c r="AA1241" i="6"/>
  <c r="AA1240" i="6"/>
  <c r="AA1239" i="6"/>
  <c r="AA1238" i="6"/>
  <c r="AA1237" i="6"/>
  <c r="AA1236" i="6"/>
  <c r="AA1235" i="6"/>
  <c r="AA1234" i="6"/>
  <c r="AA1233" i="6"/>
  <c r="AA1232" i="6"/>
  <c r="AA1231" i="6"/>
  <c r="AA1230" i="6"/>
  <c r="AA1229" i="6"/>
  <c r="AA1228" i="6"/>
  <c r="AA1227" i="6"/>
  <c r="AA1226" i="6"/>
  <c r="AA1225" i="6"/>
  <c r="AA1224" i="6"/>
  <c r="AA1223" i="6"/>
  <c r="AA1222" i="6"/>
  <c r="AA1221" i="6"/>
  <c r="AA1220" i="6"/>
  <c r="AA1219" i="6"/>
  <c r="AA1218" i="6"/>
  <c r="AA1217" i="6"/>
  <c r="AA1216" i="6"/>
  <c r="AA1215" i="6"/>
  <c r="AA1214" i="6"/>
  <c r="AA1213" i="6"/>
  <c r="AA1212" i="6"/>
  <c r="AA1211" i="6"/>
  <c r="AA1210" i="6"/>
  <c r="AA1209" i="6"/>
  <c r="AA1208" i="6"/>
  <c r="AA1207" i="6"/>
  <c r="AA1206" i="6"/>
  <c r="AA1205" i="6"/>
  <c r="AA1204" i="6"/>
  <c r="AA1203" i="6"/>
  <c r="AA1202" i="6"/>
  <c r="AA1201" i="6"/>
  <c r="AA1200" i="6"/>
  <c r="AA1199" i="6"/>
  <c r="AA1198" i="6"/>
  <c r="AA1197" i="6"/>
  <c r="AA1196" i="6"/>
  <c r="AA1195" i="6"/>
  <c r="AA1194" i="6"/>
  <c r="AA1193" i="6"/>
  <c r="AA1192" i="6"/>
  <c r="AA1191" i="6"/>
  <c r="AA1190" i="6"/>
  <c r="AA1189" i="6"/>
  <c r="AA1188" i="6"/>
  <c r="AA1187" i="6"/>
  <c r="AA1186" i="6"/>
  <c r="AA1185" i="6"/>
  <c r="AA1184" i="6"/>
  <c r="AA1183" i="6"/>
  <c r="AA1182" i="6"/>
  <c r="AA1181" i="6"/>
  <c r="AA1180" i="6"/>
  <c r="AA1179" i="6"/>
  <c r="AA1178" i="6"/>
  <c r="AA1177" i="6"/>
  <c r="AA1176" i="6"/>
  <c r="AA1175" i="6"/>
  <c r="AA1174" i="6"/>
  <c r="AA1173" i="6"/>
  <c r="AA1172" i="6"/>
  <c r="AA1171" i="6"/>
  <c r="AA1170" i="6"/>
  <c r="AA1169" i="6"/>
  <c r="AA1168" i="6"/>
  <c r="AA1167" i="6"/>
  <c r="AA1166" i="6"/>
  <c r="AA1165" i="6"/>
  <c r="AA1164" i="6"/>
  <c r="AA1163" i="6"/>
  <c r="AA1162" i="6"/>
  <c r="AA1161" i="6"/>
  <c r="AA1160" i="6"/>
  <c r="AA1159" i="6"/>
  <c r="AA1158" i="6"/>
  <c r="AA1157" i="6"/>
  <c r="AA1156" i="6"/>
  <c r="AA1155" i="6"/>
  <c r="AA1154" i="6"/>
  <c r="AA1153" i="6"/>
  <c r="AA1152" i="6"/>
  <c r="AA1151" i="6"/>
  <c r="AA1150" i="6"/>
  <c r="AA1149" i="6"/>
  <c r="AA1148" i="6"/>
  <c r="AA1147" i="6"/>
  <c r="AA1146" i="6"/>
  <c r="AA1145" i="6"/>
  <c r="AA1144" i="6"/>
  <c r="AA1143" i="6"/>
  <c r="AA1142" i="6"/>
  <c r="AA1141" i="6"/>
  <c r="AA1140" i="6"/>
  <c r="AA1139" i="6"/>
  <c r="AA1138" i="6"/>
  <c r="AA1137" i="6"/>
  <c r="AA1136" i="6"/>
  <c r="AA1135" i="6"/>
  <c r="AA1134" i="6"/>
  <c r="AA1133" i="6"/>
  <c r="AA1132" i="6"/>
  <c r="AA1131" i="6"/>
  <c r="AA1130" i="6"/>
  <c r="AA1129" i="6"/>
  <c r="AA1128" i="6"/>
  <c r="AA1127" i="6"/>
  <c r="AA1126" i="6"/>
  <c r="AA1125" i="6"/>
  <c r="AA1124" i="6"/>
  <c r="AA1123" i="6"/>
  <c r="AA1122" i="6"/>
  <c r="AA1121" i="6"/>
  <c r="AA1120" i="6"/>
  <c r="AA1119" i="6"/>
  <c r="AA1118" i="6"/>
  <c r="AA1117" i="6"/>
  <c r="AA1116" i="6"/>
  <c r="AA1115" i="6"/>
  <c r="AA1114" i="6"/>
  <c r="AA1113" i="6"/>
  <c r="AA1112" i="6"/>
  <c r="AA1111" i="6"/>
  <c r="AA1110" i="6"/>
  <c r="AA1109" i="6"/>
  <c r="AA1108" i="6"/>
  <c r="AA1107" i="6"/>
  <c r="AA1106" i="6"/>
  <c r="AA1105" i="6"/>
  <c r="AA1104" i="6"/>
  <c r="AA1103" i="6"/>
  <c r="AA1102" i="6"/>
  <c r="AA1101" i="6"/>
  <c r="AA1100" i="6"/>
  <c r="AA1099" i="6"/>
  <c r="AA1098" i="6"/>
  <c r="AA1097" i="6"/>
  <c r="AA1096" i="6"/>
  <c r="AA1095" i="6"/>
  <c r="AA1094" i="6"/>
  <c r="AA1093" i="6"/>
  <c r="AA1092" i="6"/>
  <c r="AA1091" i="6"/>
  <c r="AA1090" i="6"/>
  <c r="AA1089" i="6"/>
  <c r="AA1088" i="6"/>
  <c r="AA1087" i="6"/>
  <c r="AA1086" i="6"/>
  <c r="AA1085" i="6"/>
  <c r="AA1084" i="6"/>
  <c r="AA1083" i="6"/>
  <c r="AA1082" i="6"/>
  <c r="AA1081" i="6"/>
  <c r="AA1080" i="6"/>
  <c r="AA1079" i="6"/>
  <c r="AA1078" i="6"/>
  <c r="AA1077" i="6"/>
  <c r="AA1076" i="6"/>
  <c r="AA1075" i="6"/>
  <c r="AA1074" i="6"/>
  <c r="AA1073" i="6"/>
  <c r="AA1072" i="6"/>
  <c r="AA1071" i="6"/>
  <c r="AA1070" i="6"/>
  <c r="AA1069" i="6"/>
  <c r="AA1068" i="6"/>
  <c r="AA1067" i="6"/>
  <c r="AA1066" i="6"/>
  <c r="AA1065" i="6"/>
  <c r="AA1064" i="6"/>
  <c r="AA1063" i="6"/>
  <c r="AA1062" i="6"/>
  <c r="AA1061" i="6"/>
  <c r="AA1060" i="6"/>
  <c r="AA1059" i="6"/>
  <c r="AA1058" i="6"/>
  <c r="AA1057" i="6"/>
  <c r="AA1056" i="6"/>
  <c r="AA1055" i="6"/>
  <c r="AA1054" i="6"/>
  <c r="AA1053" i="6"/>
  <c r="AA1052" i="6"/>
  <c r="AA1051" i="6"/>
  <c r="AA1050" i="6"/>
  <c r="AA1049" i="6"/>
  <c r="AA1048" i="6"/>
  <c r="AA1047" i="6"/>
  <c r="AA1046" i="6"/>
  <c r="AA1045" i="6"/>
  <c r="AA1044" i="6"/>
  <c r="AA1043" i="6"/>
  <c r="AA1042" i="6"/>
  <c r="AA1041" i="6"/>
  <c r="AA1040" i="6"/>
  <c r="AA1039" i="6"/>
  <c r="AA1038" i="6"/>
  <c r="AA1037" i="6"/>
  <c r="AA1036" i="6"/>
  <c r="AA1035" i="6"/>
  <c r="AA1034" i="6"/>
  <c r="AA1033" i="6"/>
  <c r="AA1032" i="6"/>
  <c r="AA1031" i="6"/>
  <c r="AA1030" i="6"/>
  <c r="AA1029" i="6"/>
  <c r="AA1028" i="6"/>
  <c r="AA1027" i="6"/>
  <c r="AA1026" i="6"/>
  <c r="AA1025" i="6"/>
  <c r="AA1024" i="6"/>
  <c r="AA1023" i="6"/>
  <c r="AA1022" i="6"/>
  <c r="AA1021" i="6"/>
  <c r="AA1020" i="6"/>
  <c r="AA1019" i="6"/>
  <c r="AA1018" i="6"/>
  <c r="AA1017" i="6"/>
  <c r="AA1016" i="6"/>
  <c r="AA1015" i="6"/>
  <c r="AA1014" i="6"/>
  <c r="AA1013" i="6"/>
  <c r="AA1012" i="6"/>
  <c r="AA1011" i="6"/>
  <c r="AA1010" i="6"/>
  <c r="AA1009" i="6"/>
  <c r="AA1008" i="6"/>
  <c r="AA1007" i="6"/>
  <c r="AA1006" i="6"/>
  <c r="AA1005" i="6"/>
  <c r="AA1004" i="6"/>
  <c r="AA1003" i="6"/>
  <c r="AA1002" i="6"/>
  <c r="AA1001" i="6"/>
  <c r="AA1000" i="6"/>
  <c r="AA999" i="6"/>
  <c r="AA998" i="6"/>
  <c r="AA997" i="6"/>
  <c r="AA996" i="6"/>
  <c r="AA995" i="6"/>
  <c r="AA994" i="6"/>
  <c r="AA993" i="6"/>
  <c r="AA992" i="6"/>
  <c r="AA991" i="6"/>
  <c r="AA990" i="6"/>
  <c r="AA989" i="6"/>
  <c r="AA988" i="6"/>
  <c r="AA987" i="6"/>
  <c r="AA986" i="6"/>
  <c r="AA985" i="6"/>
  <c r="AA984" i="6"/>
  <c r="AA983" i="6"/>
  <c r="AA982" i="6"/>
  <c r="AA981" i="6"/>
  <c r="AA980" i="6"/>
  <c r="AA979" i="6"/>
  <c r="AA978" i="6"/>
  <c r="AA977" i="6"/>
  <c r="AA976" i="6"/>
  <c r="AA975" i="6"/>
  <c r="AA974" i="6"/>
  <c r="AA973" i="6"/>
  <c r="AA972" i="6"/>
  <c r="AA971" i="6"/>
  <c r="AA970" i="6"/>
  <c r="AA969" i="6"/>
  <c r="AA968" i="6"/>
  <c r="AA967" i="6"/>
  <c r="AA966" i="6"/>
  <c r="AA965" i="6"/>
  <c r="AA964" i="6"/>
  <c r="AA963" i="6"/>
  <c r="AA962" i="6"/>
  <c r="AA961" i="6"/>
  <c r="AA960" i="6"/>
  <c r="AA959" i="6"/>
  <c r="AA958" i="6"/>
  <c r="AA957" i="6"/>
  <c r="AA956" i="6"/>
  <c r="AA955" i="6"/>
  <c r="AA954" i="6"/>
  <c r="AA953" i="6"/>
  <c r="AA952" i="6"/>
  <c r="AA951" i="6"/>
  <c r="AA950" i="6"/>
  <c r="AA949" i="6"/>
  <c r="AA948" i="6"/>
  <c r="AA947" i="6"/>
  <c r="AA946" i="6"/>
  <c r="AA945" i="6"/>
  <c r="AA944" i="6"/>
  <c r="AA943" i="6"/>
  <c r="AA942" i="6"/>
  <c r="AA941" i="6"/>
  <c r="AA940" i="6"/>
  <c r="AA939" i="6"/>
  <c r="AA938" i="6"/>
  <c r="AA937" i="6"/>
  <c r="AA936" i="6"/>
  <c r="AA935" i="6"/>
  <c r="AA934" i="6"/>
  <c r="AA933" i="6"/>
  <c r="AA932" i="6"/>
  <c r="AA931" i="6"/>
  <c r="AA930" i="6"/>
  <c r="AA929" i="6"/>
  <c r="AA928" i="6"/>
  <c r="AA927" i="6"/>
  <c r="AA926" i="6"/>
  <c r="AA925" i="6"/>
  <c r="AA924" i="6"/>
  <c r="AA923" i="6"/>
  <c r="AA922" i="6"/>
  <c r="AA921" i="6"/>
  <c r="AA920" i="6"/>
  <c r="AA919" i="6"/>
  <c r="AA918" i="6"/>
  <c r="AA917" i="6"/>
  <c r="AA916" i="6"/>
  <c r="AA915" i="6"/>
  <c r="AA914" i="6"/>
  <c r="AA913" i="6"/>
  <c r="AA912" i="6"/>
  <c r="AA911" i="6"/>
  <c r="AA910" i="6"/>
  <c r="AA909" i="6"/>
  <c r="AA908" i="6"/>
  <c r="AA907" i="6"/>
  <c r="AA906" i="6"/>
  <c r="AA905" i="6"/>
  <c r="AA904" i="6"/>
  <c r="AA903" i="6"/>
  <c r="AA902" i="6"/>
  <c r="AA901" i="6"/>
  <c r="AA900" i="6"/>
  <c r="AA899" i="6"/>
  <c r="AA898" i="6"/>
  <c r="AA897" i="6"/>
  <c r="AA896" i="6"/>
  <c r="AA895" i="6"/>
  <c r="AA894" i="6"/>
  <c r="AA893" i="6"/>
  <c r="AA892" i="6"/>
  <c r="AA891" i="6"/>
  <c r="AA890" i="6"/>
  <c r="AA889" i="6"/>
  <c r="AA888" i="6"/>
  <c r="AA887" i="6"/>
  <c r="AA886" i="6"/>
  <c r="AA885" i="6"/>
  <c r="AA884" i="6"/>
  <c r="AA883" i="6"/>
  <c r="AA882" i="6"/>
  <c r="AA881" i="6"/>
  <c r="AA880" i="6"/>
  <c r="AA879" i="6"/>
  <c r="AA878" i="6"/>
  <c r="AA877" i="6"/>
  <c r="AA876" i="6"/>
  <c r="AA875" i="6"/>
  <c r="AA874" i="6"/>
  <c r="AA873" i="6"/>
  <c r="AA872" i="6"/>
  <c r="AA871" i="6"/>
  <c r="AA870" i="6"/>
  <c r="AA869" i="6"/>
  <c r="AA868" i="6"/>
  <c r="AA867" i="6"/>
  <c r="AA866" i="6"/>
  <c r="AA865" i="6"/>
  <c r="AA864" i="6"/>
  <c r="AA863" i="6"/>
  <c r="AA862" i="6"/>
  <c r="AA861" i="6"/>
  <c r="AA860" i="6"/>
  <c r="AA859" i="6"/>
  <c r="AA858" i="6"/>
  <c r="AA857" i="6"/>
  <c r="AA856" i="6"/>
  <c r="AA855" i="6"/>
  <c r="AA854" i="6"/>
  <c r="AA853" i="6"/>
  <c r="AA852" i="6"/>
  <c r="AA851" i="6"/>
  <c r="AA850" i="6"/>
  <c r="AA849" i="6"/>
  <c r="AA848" i="6"/>
  <c r="AA847" i="6"/>
  <c r="AA846" i="6"/>
  <c r="AA845" i="6"/>
  <c r="AA844" i="6"/>
  <c r="AA843" i="6"/>
  <c r="AA842" i="6"/>
  <c r="AA841" i="6"/>
  <c r="AA840" i="6"/>
  <c r="AA839" i="6"/>
  <c r="AA838" i="6"/>
  <c r="AA837" i="6"/>
  <c r="AA836" i="6"/>
  <c r="AA835" i="6"/>
  <c r="AA834" i="6"/>
  <c r="AA833" i="6"/>
  <c r="AA832" i="6"/>
  <c r="AA831" i="6"/>
  <c r="AA830" i="6"/>
  <c r="AA829" i="6"/>
  <c r="AA828" i="6"/>
  <c r="AA827" i="6"/>
  <c r="AA826" i="6"/>
  <c r="AA825" i="6"/>
  <c r="AA824" i="6"/>
  <c r="AA823" i="6"/>
  <c r="AA822" i="6"/>
  <c r="AA821" i="6"/>
  <c r="AA820" i="6"/>
  <c r="AA819" i="6"/>
  <c r="AA818" i="6"/>
  <c r="AA817" i="6"/>
  <c r="AA816" i="6"/>
  <c r="AA815" i="6"/>
  <c r="AA814" i="6"/>
  <c r="AA813" i="6"/>
  <c r="AA812" i="6"/>
  <c r="AA811" i="6"/>
  <c r="AA810" i="6"/>
  <c r="AA809" i="6"/>
  <c r="AA808" i="6"/>
  <c r="AA807" i="6"/>
  <c r="AA806" i="6"/>
  <c r="AA805" i="6"/>
  <c r="AA804" i="6"/>
  <c r="AA803" i="6"/>
  <c r="AA802" i="6"/>
  <c r="AA801" i="6"/>
  <c r="AA800" i="6"/>
  <c r="AA799" i="6"/>
  <c r="AA798" i="6"/>
  <c r="AA797" i="6"/>
  <c r="AA796" i="6"/>
  <c r="AA795" i="6"/>
  <c r="AA794" i="6"/>
  <c r="AA793" i="6"/>
  <c r="AA792" i="6"/>
  <c r="AA791" i="6"/>
  <c r="AA790" i="6"/>
  <c r="AA789" i="6"/>
  <c r="AA788" i="6"/>
  <c r="AA787" i="6"/>
  <c r="AA786" i="6"/>
  <c r="AA785" i="6"/>
  <c r="AA784" i="6"/>
  <c r="AA783" i="6"/>
  <c r="AA782" i="6"/>
  <c r="AA781" i="6"/>
  <c r="AA780" i="6"/>
  <c r="AA779" i="6"/>
  <c r="AA778" i="6"/>
  <c r="AA777" i="6"/>
  <c r="AA776" i="6"/>
  <c r="AA775" i="6"/>
  <c r="AA774" i="6"/>
  <c r="AA773" i="6"/>
  <c r="AA772" i="6"/>
  <c r="AA771" i="6"/>
  <c r="AA770" i="6"/>
  <c r="AA769" i="6"/>
  <c r="AA768" i="6"/>
  <c r="AA767" i="6"/>
  <c r="AA766" i="6"/>
  <c r="AA765" i="6"/>
  <c r="AA764" i="6"/>
  <c r="AA763" i="6"/>
  <c r="AA762" i="6"/>
  <c r="AA761" i="6"/>
  <c r="AA760" i="6"/>
  <c r="AA759" i="6"/>
  <c r="AA758" i="6"/>
  <c r="AA757" i="6"/>
  <c r="AA756" i="6"/>
  <c r="AA755" i="6"/>
  <c r="AA754" i="6"/>
  <c r="AA753" i="6"/>
  <c r="AA752" i="6"/>
  <c r="AA751" i="6"/>
  <c r="AA750" i="6"/>
  <c r="AA749" i="6"/>
  <c r="AA748" i="6"/>
  <c r="AA747" i="6"/>
  <c r="AA746" i="6"/>
  <c r="AA745" i="6"/>
  <c r="AA744" i="6"/>
  <c r="AA743" i="6"/>
  <c r="AA742" i="6"/>
  <c r="AA741" i="6"/>
  <c r="AA740" i="6"/>
  <c r="AA739" i="6"/>
  <c r="AA738" i="6"/>
  <c r="AA737" i="6"/>
  <c r="AA736" i="6"/>
  <c r="AA735" i="6"/>
  <c r="AA734" i="6"/>
  <c r="AA733" i="6"/>
  <c r="AA732" i="6"/>
  <c r="AA731" i="6"/>
  <c r="AA730" i="6"/>
  <c r="AA729" i="6"/>
  <c r="AA728" i="6"/>
  <c r="AA727" i="6"/>
  <c r="AA726" i="6"/>
  <c r="AA725" i="6"/>
  <c r="AA724" i="6"/>
  <c r="AA723" i="6"/>
  <c r="AA722" i="6"/>
  <c r="AA721" i="6"/>
  <c r="AA720" i="6"/>
  <c r="AA719" i="6"/>
  <c r="AA718" i="6"/>
  <c r="AA717" i="6"/>
  <c r="AA716" i="6"/>
  <c r="AA715" i="6"/>
  <c r="AA714" i="6"/>
  <c r="AA713" i="6"/>
  <c r="AA712" i="6"/>
  <c r="AA711" i="6"/>
  <c r="AA710" i="6"/>
  <c r="AA709" i="6"/>
  <c r="AA708" i="6"/>
  <c r="AA707" i="6"/>
  <c r="AA706" i="6"/>
  <c r="AA705" i="6"/>
  <c r="AA704" i="6"/>
  <c r="AA703" i="6"/>
  <c r="AA702" i="6"/>
  <c r="AA701" i="6"/>
  <c r="AA700" i="6"/>
  <c r="AA699" i="6"/>
  <c r="AA698" i="6"/>
  <c r="AA697" i="6"/>
  <c r="AA696" i="6"/>
  <c r="AA695" i="6"/>
  <c r="AA694" i="6"/>
  <c r="AA693" i="6"/>
  <c r="AA692" i="6"/>
  <c r="AA691" i="6"/>
  <c r="AA690" i="6"/>
  <c r="AA689" i="6"/>
  <c r="AA688" i="6"/>
  <c r="AA687" i="6"/>
  <c r="AA686" i="6"/>
  <c r="AA685" i="6"/>
  <c r="AA684" i="6"/>
  <c r="AA683" i="6"/>
  <c r="AA682" i="6"/>
  <c r="AA681" i="6"/>
  <c r="AA680" i="6"/>
  <c r="AA679" i="6"/>
  <c r="AA678" i="6"/>
  <c r="AA677" i="6"/>
  <c r="AA676" i="6"/>
  <c r="AA675" i="6"/>
  <c r="AA674" i="6"/>
  <c r="AA673" i="6"/>
  <c r="AA672" i="6"/>
  <c r="AA671" i="6"/>
  <c r="AA670" i="6"/>
  <c r="AA669" i="6"/>
  <c r="AA668" i="6"/>
  <c r="AA667" i="6"/>
  <c r="AA666" i="6"/>
  <c r="AA665" i="6"/>
  <c r="AA664" i="6"/>
  <c r="AA663" i="6"/>
  <c r="AA662" i="6"/>
  <c r="AA661" i="6"/>
  <c r="AA660" i="6"/>
  <c r="AA659" i="6"/>
  <c r="AA658" i="6"/>
  <c r="AA657" i="6"/>
  <c r="AA656" i="6"/>
  <c r="AA655" i="6"/>
  <c r="AA654" i="6"/>
  <c r="AA653" i="6"/>
  <c r="AA652" i="6"/>
  <c r="AA651" i="6"/>
  <c r="AA650" i="6"/>
  <c r="AA649" i="6"/>
  <c r="AA648" i="6"/>
  <c r="AA647" i="6"/>
  <c r="AA646" i="6"/>
  <c r="AA645" i="6"/>
  <c r="AA644" i="6"/>
  <c r="AA643" i="6"/>
  <c r="AA642" i="6"/>
  <c r="AA641" i="6"/>
  <c r="AA640" i="6"/>
  <c r="AA639" i="6"/>
  <c r="AA638" i="6"/>
  <c r="AA637" i="6"/>
  <c r="AA636" i="6"/>
  <c r="AA635" i="6"/>
  <c r="AA634" i="6"/>
  <c r="AA633" i="6"/>
  <c r="AA632" i="6"/>
  <c r="AA631" i="6"/>
  <c r="AA630" i="6"/>
  <c r="AA629" i="6"/>
  <c r="AA628" i="6"/>
  <c r="AA627" i="6"/>
  <c r="AA626" i="6"/>
  <c r="AA625" i="6"/>
  <c r="AA624" i="6"/>
  <c r="AA623" i="6"/>
  <c r="AA622" i="6"/>
  <c r="AA621" i="6"/>
  <c r="AA620" i="6"/>
  <c r="AA619" i="6"/>
  <c r="AA618" i="6"/>
  <c r="AA617" i="6"/>
  <c r="AA616" i="6"/>
  <c r="AA615" i="6"/>
  <c r="AA614" i="6"/>
  <c r="AA613" i="6"/>
  <c r="AA612" i="6"/>
  <c r="AA611" i="6"/>
  <c r="AA610" i="6"/>
  <c r="AA609" i="6"/>
  <c r="AA608" i="6"/>
  <c r="AA607" i="6"/>
  <c r="AA606" i="6"/>
  <c r="AA605" i="6"/>
  <c r="AA604" i="6"/>
  <c r="AA603" i="6"/>
  <c r="AA602" i="6"/>
  <c r="AA601" i="6"/>
  <c r="AA600" i="6"/>
  <c r="AA599" i="6"/>
  <c r="AA598" i="6"/>
  <c r="AA597" i="6"/>
  <c r="AA596" i="6"/>
  <c r="AA595" i="6"/>
  <c r="AA594" i="6"/>
  <c r="AA593" i="6"/>
  <c r="AA592" i="6"/>
  <c r="AA591" i="6"/>
  <c r="AA590" i="6"/>
  <c r="AA589" i="6"/>
  <c r="AA588" i="6"/>
  <c r="AA587" i="6"/>
  <c r="AA586" i="6"/>
  <c r="AA585" i="6"/>
  <c r="AA584" i="6"/>
  <c r="AA583" i="6"/>
  <c r="AA582" i="6"/>
  <c r="AA581" i="6"/>
  <c r="AA580" i="6"/>
  <c r="AA579" i="6"/>
  <c r="AA578" i="6"/>
  <c r="AA577" i="6"/>
  <c r="AA576" i="6"/>
  <c r="AA575" i="6"/>
  <c r="AA574" i="6"/>
  <c r="AA573" i="6"/>
  <c r="AA572" i="6"/>
  <c r="AA571" i="6"/>
  <c r="AA570" i="6"/>
  <c r="AA569" i="6"/>
  <c r="AA568" i="6"/>
  <c r="AA567" i="6"/>
  <c r="AA566" i="6"/>
  <c r="AA565" i="6"/>
  <c r="AA564" i="6"/>
  <c r="AA563" i="6"/>
  <c r="AA562" i="6"/>
  <c r="AA561" i="6"/>
  <c r="AA560" i="6"/>
  <c r="AA559" i="6"/>
  <c r="AA558" i="6"/>
  <c r="AA557" i="6"/>
  <c r="AA556" i="6"/>
  <c r="AA555" i="6"/>
  <c r="AA554" i="6"/>
  <c r="AA553" i="6"/>
  <c r="AA552" i="6"/>
  <c r="AA551" i="6"/>
  <c r="AA550" i="6"/>
  <c r="AA549" i="6"/>
  <c r="AA548" i="6"/>
  <c r="AA547" i="6"/>
  <c r="AA546" i="6"/>
  <c r="AA545" i="6"/>
  <c r="AA544" i="6"/>
  <c r="AA543" i="6"/>
  <c r="AA542" i="6"/>
  <c r="AA541" i="6"/>
  <c r="AA540" i="6"/>
  <c r="AA539" i="6"/>
  <c r="AA538" i="6"/>
  <c r="AA537" i="6"/>
  <c r="AA536" i="6"/>
  <c r="AA535" i="6"/>
  <c r="AA534" i="6"/>
  <c r="AA533" i="6"/>
  <c r="AA532" i="6"/>
  <c r="AA531" i="6"/>
  <c r="AA530" i="6"/>
  <c r="AA529" i="6"/>
  <c r="AA528" i="6"/>
  <c r="AA527" i="6"/>
  <c r="AA526" i="6"/>
  <c r="AA525" i="6"/>
  <c r="AA524" i="6"/>
  <c r="AA523" i="6"/>
  <c r="AA522" i="6"/>
  <c r="AA521" i="6"/>
  <c r="AA520" i="6"/>
  <c r="AA519" i="6"/>
  <c r="AA518" i="6"/>
  <c r="AA517" i="6"/>
  <c r="AA516" i="6"/>
  <c r="AA515" i="6"/>
  <c r="AA514" i="6"/>
  <c r="AA513" i="6"/>
  <c r="AA512" i="6"/>
  <c r="AA511" i="6"/>
  <c r="AA510" i="6"/>
  <c r="AA509" i="6"/>
  <c r="AA508" i="6"/>
  <c r="AA507" i="6"/>
  <c r="AA506" i="6"/>
  <c r="AA505" i="6"/>
  <c r="AA504" i="6"/>
  <c r="AA503" i="6"/>
  <c r="AA502" i="6"/>
  <c r="AA501" i="6"/>
  <c r="AA500" i="6"/>
  <c r="AA499" i="6"/>
  <c r="AA498" i="6"/>
  <c r="AA497" i="6"/>
  <c r="AA496" i="6"/>
  <c r="AA495" i="6"/>
  <c r="AA494" i="6"/>
  <c r="AA493" i="6"/>
  <c r="AA492" i="6"/>
  <c r="AA491" i="6"/>
  <c r="AA490" i="6"/>
  <c r="AA489" i="6"/>
  <c r="AA488" i="6"/>
  <c r="AA487" i="6"/>
  <c r="AA486" i="6"/>
  <c r="AA485" i="6"/>
  <c r="AA484" i="6"/>
  <c r="AA483" i="6"/>
  <c r="AA482" i="6"/>
  <c r="AA481" i="6"/>
  <c r="AA480" i="6"/>
  <c r="AA479" i="6"/>
  <c r="AA478" i="6"/>
  <c r="AA477" i="6"/>
  <c r="AA476" i="6"/>
  <c r="AA475" i="6"/>
  <c r="AA474" i="6"/>
  <c r="AA473" i="6"/>
  <c r="AA472" i="6"/>
  <c r="AA471" i="6"/>
  <c r="AA470" i="6"/>
  <c r="AA469" i="6"/>
  <c r="AA468" i="6"/>
  <c r="AA467" i="6"/>
  <c r="AA466" i="6"/>
  <c r="AA465" i="6"/>
  <c r="AA464" i="6"/>
  <c r="AA463" i="6"/>
  <c r="AA462" i="6"/>
  <c r="AA461" i="6"/>
  <c r="AA460" i="6"/>
  <c r="AA459" i="6"/>
  <c r="AA458" i="6"/>
  <c r="AA457" i="6"/>
  <c r="AA456" i="6"/>
  <c r="AA455" i="6"/>
  <c r="AA454" i="6"/>
  <c r="AA453" i="6"/>
  <c r="AA452" i="6"/>
  <c r="AA451" i="6"/>
  <c r="AA450" i="6"/>
  <c r="AA449" i="6"/>
  <c r="AA448" i="6"/>
  <c r="AA447" i="6"/>
  <c r="AA446" i="6"/>
  <c r="AA445" i="6"/>
  <c r="AA444" i="6"/>
  <c r="AA443" i="6"/>
  <c r="AA442" i="6"/>
  <c r="AA441" i="6"/>
  <c r="AA440" i="6"/>
  <c r="AA439" i="6"/>
  <c r="AA438" i="6"/>
  <c r="AA437" i="6"/>
  <c r="AA436" i="6"/>
  <c r="AA435" i="6"/>
  <c r="AA434" i="6"/>
  <c r="AA433" i="6"/>
  <c r="AA432" i="6"/>
  <c r="AA431" i="6"/>
  <c r="AA430" i="6"/>
  <c r="AA429" i="6"/>
  <c r="AA428" i="6"/>
  <c r="AA427" i="6"/>
  <c r="AA426" i="6"/>
  <c r="AA425" i="6"/>
  <c r="AA424" i="6"/>
  <c r="AA423" i="6"/>
  <c r="AA422" i="6"/>
  <c r="AA421" i="6"/>
  <c r="AA420" i="6"/>
  <c r="AA419" i="6"/>
  <c r="AA418" i="6"/>
  <c r="AA417" i="6"/>
  <c r="AA416" i="6"/>
  <c r="AA415" i="6"/>
  <c r="AA414" i="6"/>
  <c r="AA413" i="6"/>
  <c r="AA412" i="6"/>
  <c r="AA411" i="6"/>
  <c r="AA410" i="6"/>
  <c r="AA409" i="6"/>
  <c r="AA408" i="6"/>
  <c r="AA407" i="6"/>
  <c r="AA406" i="6"/>
  <c r="AA405" i="6"/>
  <c r="AA404" i="6"/>
  <c r="AA403" i="6"/>
  <c r="AA402" i="6"/>
  <c r="AA401" i="6"/>
  <c r="AA400" i="6"/>
  <c r="AA399" i="6"/>
  <c r="AA398" i="6"/>
  <c r="AA397" i="6"/>
  <c r="AA396" i="6"/>
  <c r="AA395" i="6"/>
  <c r="AA394" i="6"/>
  <c r="AA393" i="6"/>
  <c r="AA392" i="6"/>
  <c r="AA391" i="6"/>
  <c r="AA390" i="6"/>
  <c r="AA389" i="6"/>
  <c r="AA388" i="6"/>
  <c r="AA387" i="6"/>
  <c r="AA386" i="6"/>
  <c r="AA385" i="6"/>
  <c r="AA384" i="6"/>
  <c r="AA383" i="6"/>
  <c r="AA382" i="6"/>
  <c r="AA381" i="6"/>
  <c r="AA380" i="6"/>
  <c r="AA379" i="6"/>
  <c r="AA378" i="6"/>
  <c r="AA377" i="6"/>
  <c r="AA376" i="6"/>
  <c r="AA375" i="6"/>
  <c r="AA374" i="6"/>
  <c r="AA373" i="6"/>
  <c r="AA372" i="6"/>
  <c r="AA371" i="6"/>
  <c r="AA370" i="6"/>
  <c r="AA369" i="6"/>
  <c r="AA368" i="6"/>
  <c r="AA367" i="6"/>
  <c r="AA366" i="6"/>
  <c r="AA365" i="6"/>
  <c r="AA364" i="6"/>
  <c r="AA363" i="6"/>
  <c r="AA362" i="6"/>
  <c r="AA361" i="6"/>
  <c r="AA360" i="6"/>
  <c r="AA359" i="6"/>
  <c r="AA358" i="6"/>
  <c r="AA357" i="6"/>
  <c r="AA356" i="6"/>
  <c r="AA355" i="6"/>
  <c r="AA354" i="6"/>
  <c r="AA353" i="6"/>
  <c r="AA352" i="6"/>
  <c r="AA351" i="6"/>
  <c r="AA350" i="6"/>
  <c r="AA349" i="6"/>
  <c r="AA348" i="6"/>
  <c r="AA347" i="6"/>
  <c r="AA346" i="6"/>
  <c r="AA345" i="6"/>
  <c r="AA344" i="6"/>
  <c r="AA343" i="6"/>
  <c r="AA342" i="6"/>
  <c r="AA341" i="6"/>
  <c r="AA340" i="6"/>
  <c r="AA339" i="6"/>
  <c r="AA338" i="6"/>
  <c r="AA337" i="6"/>
  <c r="AA336" i="6"/>
  <c r="AA335" i="6"/>
  <c r="AA334" i="6"/>
  <c r="AA333" i="6"/>
  <c r="AA332" i="6"/>
  <c r="AA331" i="6"/>
  <c r="AA330" i="6"/>
  <c r="AA329" i="6"/>
  <c r="AA328" i="6"/>
  <c r="AA327" i="6"/>
  <c r="AA326" i="6"/>
  <c r="AA325" i="6"/>
  <c r="AA324" i="6"/>
  <c r="AA323" i="6"/>
  <c r="AA322" i="6"/>
  <c r="AA321" i="6"/>
  <c r="AA320" i="6"/>
  <c r="AA319" i="6"/>
  <c r="AA318" i="6"/>
  <c r="AA317" i="6"/>
  <c r="AA316" i="6"/>
  <c r="AA315" i="6"/>
  <c r="AA314" i="6"/>
  <c r="AA313" i="6"/>
  <c r="AA312" i="6"/>
  <c r="AA311" i="6"/>
  <c r="AA310" i="6"/>
  <c r="AA309" i="6"/>
  <c r="AA308" i="6"/>
  <c r="AA307" i="6"/>
  <c r="AA306" i="6"/>
  <c r="AA305" i="6"/>
  <c r="AA304" i="6"/>
  <c r="AA303" i="6"/>
  <c r="AA302" i="6"/>
  <c r="AA301" i="6"/>
  <c r="AA300" i="6"/>
  <c r="AA299" i="6"/>
  <c r="AA298" i="6"/>
  <c r="AA297" i="6"/>
  <c r="AA296" i="6"/>
  <c r="AA295" i="6"/>
  <c r="AA294" i="6"/>
  <c r="AA293" i="6"/>
  <c r="AA292" i="6"/>
  <c r="AA291" i="6"/>
  <c r="AA290" i="6"/>
  <c r="AA289" i="6"/>
  <c r="AA288" i="6"/>
  <c r="AA287" i="6"/>
  <c r="AA286" i="6"/>
  <c r="AA285" i="6"/>
  <c r="AA284" i="6"/>
  <c r="AA283" i="6"/>
  <c r="AA282" i="6"/>
  <c r="AA281" i="6"/>
  <c r="AA280" i="6"/>
  <c r="AA279" i="6"/>
  <c r="AA278" i="6"/>
  <c r="AA277" i="6"/>
  <c r="AA276" i="6"/>
  <c r="AA275" i="6"/>
  <c r="AA274" i="6"/>
  <c r="AA273" i="6"/>
  <c r="AA272" i="6"/>
  <c r="AA271" i="6"/>
  <c r="AA270" i="6"/>
  <c r="AA269" i="6"/>
  <c r="AA268" i="6"/>
  <c r="AA267" i="6"/>
  <c r="AA266" i="6"/>
  <c r="AA265" i="6"/>
  <c r="AA264" i="6"/>
  <c r="AA263" i="6"/>
  <c r="AA262" i="6"/>
  <c r="AA261" i="6"/>
  <c r="AA260" i="6"/>
  <c r="AA259" i="6"/>
  <c r="AA258" i="6"/>
  <c r="AA257" i="6"/>
  <c r="AA256" i="6"/>
  <c r="AA255" i="6"/>
  <c r="AA254" i="6"/>
  <c r="AA253" i="6"/>
  <c r="AA252" i="6"/>
  <c r="AA251" i="6"/>
  <c r="AA250" i="6"/>
  <c r="AA249" i="6"/>
  <c r="AA248" i="6"/>
  <c r="AA247" i="6"/>
  <c r="AA246" i="6"/>
  <c r="AA245" i="6"/>
  <c r="AA244" i="6"/>
  <c r="AA243" i="6"/>
  <c r="AA242" i="6"/>
  <c r="AA241" i="6"/>
  <c r="AA240" i="6"/>
  <c r="AA239" i="6"/>
  <c r="AA238" i="6"/>
  <c r="AA237" i="6"/>
  <c r="AA236" i="6"/>
  <c r="AA235" i="6"/>
  <c r="AA234" i="6"/>
  <c r="AA233" i="6"/>
  <c r="AA232" i="6"/>
  <c r="AA231" i="6"/>
  <c r="AA230" i="6"/>
  <c r="AA229" i="6"/>
  <c r="AA228" i="6"/>
  <c r="AA227" i="6"/>
  <c r="AA226" i="6"/>
  <c r="AA225" i="6"/>
  <c r="AA224" i="6"/>
  <c r="AA223" i="6"/>
  <c r="AA222" i="6"/>
  <c r="AA221" i="6"/>
  <c r="AA220" i="6"/>
  <c r="AA219" i="6"/>
  <c r="AA218" i="6"/>
  <c r="AA217" i="6"/>
  <c r="AA216" i="6"/>
  <c r="AA215" i="6"/>
  <c r="AA214" i="6"/>
  <c r="AA213" i="6"/>
  <c r="AA212" i="6"/>
  <c r="AA211" i="6"/>
  <c r="AA210" i="6"/>
  <c r="AA209" i="6"/>
  <c r="AA208" i="6"/>
  <c r="AA207" i="6"/>
  <c r="AA206" i="6"/>
  <c r="AA205" i="6"/>
  <c r="AA204" i="6"/>
  <c r="AA203" i="6"/>
  <c r="AA202" i="6"/>
  <c r="AA201" i="6"/>
  <c r="AA200" i="6"/>
  <c r="AA199" i="6"/>
  <c r="AA198" i="6"/>
  <c r="AA197" i="6"/>
  <c r="AA196" i="6"/>
  <c r="AA195" i="6"/>
  <c r="AA194" i="6"/>
  <c r="AA193" i="6"/>
  <c r="AA192" i="6"/>
  <c r="AA191" i="6"/>
  <c r="AA190" i="6"/>
  <c r="AA189" i="6"/>
  <c r="AA188" i="6"/>
  <c r="AA187" i="6"/>
  <c r="AA186" i="6"/>
  <c r="AA185" i="6"/>
  <c r="AA184" i="6"/>
  <c r="AA183" i="6"/>
  <c r="AA182" i="6"/>
  <c r="AA181" i="6"/>
  <c r="AA180" i="6"/>
  <c r="AA179" i="6"/>
  <c r="AA178" i="6"/>
  <c r="AA177" i="6"/>
  <c r="AA176" i="6"/>
  <c r="AA175" i="6"/>
  <c r="AA174" i="6"/>
  <c r="AA173" i="6"/>
  <c r="AA172" i="6"/>
  <c r="AA171" i="6"/>
  <c r="AA170" i="6"/>
  <c r="AA169" i="6"/>
  <c r="AA168" i="6"/>
  <c r="AA167" i="6"/>
  <c r="AA166" i="6"/>
  <c r="AA165" i="6"/>
  <c r="AA164" i="6"/>
  <c r="AA163" i="6"/>
  <c r="AA162" i="6"/>
  <c r="AA161" i="6"/>
  <c r="AA160" i="6"/>
  <c r="AA159" i="6"/>
  <c r="AA158" i="6"/>
  <c r="AA157" i="6"/>
  <c r="AA156" i="6"/>
  <c r="AA155" i="6"/>
  <c r="AA154" i="6"/>
  <c r="AA153" i="6"/>
  <c r="AA152" i="6"/>
  <c r="AA151" i="6"/>
  <c r="AA150" i="6"/>
  <c r="AA149" i="6"/>
  <c r="AA148" i="6"/>
  <c r="AA147" i="6"/>
  <c r="AA146" i="6"/>
  <c r="AA145" i="6"/>
  <c r="AA144" i="6"/>
  <c r="AA143" i="6"/>
  <c r="AA142" i="6"/>
  <c r="AA141" i="6"/>
  <c r="AA140" i="6"/>
  <c r="AA139" i="6"/>
  <c r="AA138" i="6"/>
  <c r="AA137" i="6"/>
  <c r="AA136" i="6"/>
  <c r="AA135" i="6"/>
  <c r="AA134" i="6"/>
  <c r="AA133" i="6"/>
  <c r="AA132" i="6"/>
  <c r="AA131" i="6"/>
  <c r="AA130" i="6"/>
  <c r="AA129" i="6"/>
  <c r="AA128" i="6"/>
  <c r="AA127" i="6"/>
  <c r="AA126" i="6"/>
  <c r="AA125" i="6"/>
  <c r="AA124" i="6"/>
  <c r="AA123" i="6"/>
  <c r="AA122" i="6"/>
  <c r="AA121" i="6"/>
  <c r="AA120" i="6"/>
  <c r="AA119" i="6"/>
  <c r="AA118" i="6"/>
  <c r="AA117" i="6"/>
  <c r="AA116" i="6"/>
  <c r="AA115" i="6"/>
  <c r="AA114" i="6"/>
  <c r="AA113" i="6"/>
  <c r="AA112" i="6"/>
  <c r="AA111" i="6"/>
  <c r="AA110" i="6"/>
  <c r="AA109" i="6"/>
  <c r="AA108" i="6"/>
  <c r="AA107" i="6"/>
  <c r="AA106" i="6"/>
  <c r="AA105" i="6"/>
  <c r="AA104" i="6"/>
  <c r="AA103" i="6"/>
  <c r="AA102" i="6"/>
  <c r="AA101" i="6"/>
  <c r="AA100" i="6"/>
  <c r="AA99" i="6"/>
  <c r="AA98" i="6"/>
  <c r="AA97" i="6"/>
  <c r="AA96" i="6"/>
  <c r="AA95" i="6"/>
  <c r="AA94" i="6"/>
  <c r="AA93" i="6"/>
  <c r="AA92" i="6"/>
  <c r="AA91" i="6"/>
  <c r="AA90" i="6"/>
  <c r="AA89" i="6"/>
  <c r="AA88" i="6"/>
  <c r="AA87" i="6"/>
  <c r="AA86" i="6"/>
  <c r="AA85" i="6"/>
  <c r="AA84" i="6"/>
  <c r="AA83" i="6"/>
  <c r="AA82" i="6"/>
  <c r="AA81" i="6"/>
  <c r="AA80" i="6"/>
  <c r="AA79" i="6"/>
  <c r="AA78" i="6"/>
  <c r="AA77" i="6"/>
  <c r="AA76" i="6"/>
  <c r="AA75" i="6"/>
  <c r="AA74" i="6"/>
  <c r="AA73" i="6"/>
  <c r="AA72" i="6"/>
  <c r="AA71" i="6"/>
  <c r="AA70" i="6"/>
  <c r="AA69" i="6"/>
  <c r="AA68" i="6"/>
  <c r="AA67" i="6"/>
  <c r="AA66" i="6"/>
  <c r="AA65" i="6"/>
  <c r="AA64" i="6"/>
  <c r="AA63" i="6"/>
  <c r="AA62" i="6"/>
  <c r="AA61" i="6"/>
  <c r="AA60" i="6"/>
  <c r="AA59" i="6"/>
  <c r="AA58" i="6"/>
  <c r="AA57" i="6"/>
  <c r="AA56" i="6"/>
  <c r="AA55" i="6"/>
  <c r="AA54" i="6"/>
  <c r="AA53" i="6"/>
  <c r="AA52" i="6"/>
  <c r="AA51" i="6"/>
  <c r="AA50" i="6"/>
  <c r="AA49" i="6"/>
  <c r="AA48" i="6"/>
  <c r="AA47" i="6"/>
  <c r="AA46" i="6"/>
  <c r="AA45" i="6"/>
  <c r="AA44" i="6"/>
  <c r="AA43" i="6"/>
  <c r="AA42" i="6"/>
  <c r="AA41" i="6"/>
  <c r="AA40" i="6"/>
  <c r="AA39" i="6"/>
  <c r="AA38" i="6"/>
  <c r="AA37" i="6"/>
  <c r="AA36" i="6"/>
  <c r="AA35" i="6"/>
  <c r="AA34" i="6"/>
  <c r="AA33" i="6"/>
  <c r="AA32" i="6"/>
  <c r="AA31" i="6"/>
  <c r="AA30" i="6"/>
  <c r="AA29" i="6"/>
  <c r="AA28" i="6"/>
  <c r="AA27" i="6"/>
  <c r="AA26" i="6"/>
  <c r="AA25" i="6"/>
  <c r="AA24" i="6"/>
  <c r="AA23" i="6"/>
  <c r="AA22" i="6"/>
  <c r="AA21" i="6"/>
  <c r="AA20" i="6"/>
  <c r="AA19" i="6"/>
  <c r="AA18" i="6"/>
  <c r="AA17" i="6"/>
  <c r="AA16" i="6"/>
  <c r="AA15" i="6"/>
  <c r="AA14" i="6"/>
  <c r="AA13" i="6"/>
  <c r="AA12" i="6"/>
  <c r="AA11" i="6"/>
  <c r="AA10" i="6"/>
  <c r="AA9" i="6"/>
  <c r="AA8" i="6"/>
  <c r="AA7" i="6"/>
  <c r="AA6" i="6"/>
  <c r="AA5" i="6"/>
  <c r="AA4" i="6"/>
  <c r="AA3" i="6"/>
  <c r="AA2" i="6"/>
  <c r="Z2" i="6"/>
  <c r="Z2158" i="6"/>
  <c r="Z2157" i="6"/>
  <c r="Z2156" i="6"/>
  <c r="Z2155" i="6"/>
  <c r="Z2154" i="6"/>
  <c r="Z2153" i="6"/>
  <c r="Z2152" i="6"/>
  <c r="Z2151" i="6"/>
  <c r="Z2150" i="6"/>
  <c r="Z2149" i="6"/>
  <c r="Z2148" i="6"/>
  <c r="Z2147" i="6"/>
  <c r="Z2146" i="6"/>
  <c r="Z2145" i="6"/>
  <c r="Z2144" i="6"/>
  <c r="Z2143" i="6"/>
  <c r="Z2142" i="6"/>
  <c r="Z2141" i="6"/>
  <c r="Z2140" i="6"/>
  <c r="Z2139" i="6"/>
  <c r="Z2138" i="6"/>
  <c r="Z2137" i="6"/>
  <c r="Z2136" i="6"/>
  <c r="Z2135" i="6"/>
  <c r="Z2134" i="6"/>
  <c r="Z2133" i="6"/>
  <c r="Z2132" i="6"/>
  <c r="Z2131" i="6"/>
  <c r="Z2130" i="6"/>
  <c r="Z2129" i="6"/>
  <c r="Z2128" i="6"/>
  <c r="Z2127" i="6"/>
  <c r="Z2126" i="6"/>
  <c r="Z2125" i="6"/>
  <c r="Z2124" i="6"/>
  <c r="Z2123" i="6"/>
  <c r="Z2122" i="6"/>
  <c r="Z2121" i="6"/>
  <c r="Z2120" i="6"/>
  <c r="Z2119" i="6"/>
  <c r="Z2118" i="6"/>
  <c r="Z2117" i="6"/>
  <c r="Z2116" i="6"/>
  <c r="Z2115" i="6"/>
  <c r="Z2114" i="6"/>
  <c r="Z2113" i="6"/>
  <c r="Z2112" i="6"/>
  <c r="Z2111" i="6"/>
  <c r="Z2110" i="6"/>
  <c r="Z2109" i="6"/>
  <c r="Z2108" i="6"/>
  <c r="Z2107" i="6"/>
  <c r="Z2106" i="6"/>
  <c r="Z2105" i="6"/>
  <c r="Z2104" i="6"/>
  <c r="Z2103" i="6"/>
  <c r="Z2102" i="6"/>
  <c r="Z2101" i="6"/>
  <c r="Z2100" i="6"/>
  <c r="Z2099" i="6"/>
  <c r="Z2098" i="6"/>
  <c r="Z2097" i="6"/>
  <c r="Z2096" i="6"/>
  <c r="Z2095" i="6"/>
  <c r="Z2094" i="6"/>
  <c r="Z2093" i="6"/>
  <c r="Z2092" i="6"/>
  <c r="Z2091" i="6"/>
  <c r="Z2090" i="6"/>
  <c r="Z2089" i="6"/>
  <c r="Z2088" i="6"/>
  <c r="Z2087" i="6"/>
  <c r="Z2086" i="6"/>
  <c r="Z2085" i="6"/>
  <c r="Z2084" i="6"/>
  <c r="Z2083" i="6"/>
  <c r="Z2082" i="6"/>
  <c r="Z2081" i="6"/>
  <c r="Z2080" i="6"/>
  <c r="Z2079" i="6"/>
  <c r="Z2078" i="6"/>
  <c r="Z2077" i="6"/>
  <c r="Z2076" i="6"/>
  <c r="Z2075" i="6"/>
  <c r="Z2074" i="6"/>
  <c r="Z2073" i="6"/>
  <c r="Z2072" i="6"/>
  <c r="Z2071" i="6"/>
  <c r="Z2070" i="6"/>
  <c r="Z2069" i="6"/>
  <c r="Z2068" i="6"/>
  <c r="Z2067" i="6"/>
  <c r="Z2066" i="6"/>
  <c r="Z2065" i="6"/>
  <c r="Z2064" i="6"/>
  <c r="Z2063" i="6"/>
  <c r="Z2062" i="6"/>
  <c r="Z2061" i="6"/>
  <c r="Z2060" i="6"/>
  <c r="Z2059" i="6"/>
  <c r="Z2058" i="6"/>
  <c r="Z2057" i="6"/>
  <c r="Z2056" i="6"/>
  <c r="Z2055" i="6"/>
  <c r="Z2054" i="6"/>
  <c r="Z2053" i="6"/>
  <c r="Z2052" i="6"/>
  <c r="Z2051" i="6"/>
  <c r="Z2050" i="6"/>
  <c r="Z2049" i="6"/>
  <c r="Z2048" i="6"/>
  <c r="Z2047" i="6"/>
  <c r="Z2046" i="6"/>
  <c r="Z2045" i="6"/>
  <c r="Z2044" i="6"/>
  <c r="Z2043" i="6"/>
  <c r="Z2042" i="6"/>
  <c r="Z2041" i="6"/>
  <c r="Z2040" i="6"/>
  <c r="Z2039" i="6"/>
  <c r="Z2038" i="6"/>
  <c r="Z2037" i="6"/>
  <c r="Z2036" i="6"/>
  <c r="Z2035" i="6"/>
  <c r="Z2034" i="6"/>
  <c r="Z2033" i="6"/>
  <c r="Z2032" i="6"/>
  <c r="Z2031" i="6"/>
  <c r="Z2030" i="6"/>
  <c r="Z2029" i="6"/>
  <c r="Z2028" i="6"/>
  <c r="Z2027" i="6"/>
  <c r="Z2026" i="6"/>
  <c r="Z2025" i="6"/>
  <c r="Z2024" i="6"/>
  <c r="Z2023" i="6"/>
  <c r="Z2022" i="6"/>
  <c r="Z2021" i="6"/>
  <c r="Z2020" i="6"/>
  <c r="Z2019" i="6"/>
  <c r="Z2018" i="6"/>
  <c r="Z2017" i="6"/>
  <c r="Z2016" i="6"/>
  <c r="Z2015" i="6"/>
  <c r="Z2014" i="6"/>
  <c r="Z2013" i="6"/>
  <c r="Z2012" i="6"/>
  <c r="Z2011" i="6"/>
  <c r="Z2010" i="6"/>
  <c r="Z2009" i="6"/>
  <c r="Z2008" i="6"/>
  <c r="Z2007" i="6"/>
  <c r="Z2006" i="6"/>
  <c r="Z2005" i="6"/>
  <c r="Z2004" i="6"/>
  <c r="Z2003" i="6"/>
  <c r="Z2002" i="6"/>
  <c r="Z2001" i="6"/>
  <c r="Z2000" i="6"/>
  <c r="Z1999" i="6"/>
  <c r="Z1998" i="6"/>
  <c r="Z1997" i="6"/>
  <c r="Z1996" i="6"/>
  <c r="Z1995" i="6"/>
  <c r="Z1994" i="6"/>
  <c r="Z1993" i="6"/>
  <c r="Z1992" i="6"/>
  <c r="Z1991" i="6"/>
  <c r="Z1990" i="6"/>
  <c r="Z1989" i="6"/>
  <c r="Z1988" i="6"/>
  <c r="Z1987" i="6"/>
  <c r="Z1986" i="6"/>
  <c r="Z1985" i="6"/>
  <c r="Z1984" i="6"/>
  <c r="Z1983" i="6"/>
  <c r="Z1982" i="6"/>
  <c r="Z1981" i="6"/>
  <c r="Z1980" i="6"/>
  <c r="Z1979" i="6"/>
  <c r="Z1978" i="6"/>
  <c r="Z1977" i="6"/>
  <c r="Z1976" i="6"/>
  <c r="Z1975" i="6"/>
  <c r="Z1974" i="6"/>
  <c r="Z1973" i="6"/>
  <c r="Z1972" i="6"/>
  <c r="Z1971" i="6"/>
  <c r="Z1970" i="6"/>
  <c r="Z1969" i="6"/>
  <c r="Z1968" i="6"/>
  <c r="Z1967" i="6"/>
  <c r="Z1966" i="6"/>
  <c r="Z1965" i="6"/>
  <c r="Z1964" i="6"/>
  <c r="Z1963" i="6"/>
  <c r="Z1962" i="6"/>
  <c r="Z1961" i="6"/>
  <c r="Z1960" i="6"/>
  <c r="Z1959" i="6"/>
  <c r="Z1958" i="6"/>
  <c r="Z1957" i="6"/>
  <c r="Z1956" i="6"/>
  <c r="Z1955" i="6"/>
  <c r="Z1954" i="6"/>
  <c r="Z1953" i="6"/>
  <c r="Z1952" i="6"/>
  <c r="Z1951" i="6"/>
  <c r="Z1950" i="6"/>
  <c r="Z1949" i="6"/>
  <c r="Z1948" i="6"/>
  <c r="Z1947" i="6"/>
  <c r="Z1946" i="6"/>
  <c r="Z1945" i="6"/>
  <c r="Z1944" i="6"/>
  <c r="Z1943" i="6"/>
  <c r="Z1942" i="6"/>
  <c r="Z1941" i="6"/>
  <c r="Z1940" i="6"/>
  <c r="Z1939" i="6"/>
  <c r="Z1938" i="6"/>
  <c r="Z1937" i="6"/>
  <c r="Z1936" i="6"/>
  <c r="Z1935" i="6"/>
  <c r="Z1934" i="6"/>
  <c r="Z1933" i="6"/>
  <c r="Z1932" i="6"/>
  <c r="Z1931" i="6"/>
  <c r="Z1930" i="6"/>
  <c r="Z1929" i="6"/>
  <c r="Z1928" i="6"/>
  <c r="Z1927" i="6"/>
  <c r="Z1926" i="6"/>
  <c r="Z1925" i="6"/>
  <c r="Z1924" i="6"/>
  <c r="Z1923" i="6"/>
  <c r="Z1922" i="6"/>
  <c r="Z1921" i="6"/>
  <c r="Z1920" i="6"/>
  <c r="Z1919" i="6"/>
  <c r="Z1918" i="6"/>
  <c r="Z1917" i="6"/>
  <c r="Z1916" i="6"/>
  <c r="Z1915" i="6"/>
  <c r="Z1914" i="6"/>
  <c r="Z1913" i="6"/>
  <c r="Z1912" i="6"/>
  <c r="Z1911" i="6"/>
  <c r="Z1910" i="6"/>
  <c r="Z1909" i="6"/>
  <c r="Z1908" i="6"/>
  <c r="Z1907" i="6"/>
  <c r="Z1906" i="6"/>
  <c r="Z1905" i="6"/>
  <c r="Z1904" i="6"/>
  <c r="Z1903" i="6"/>
  <c r="Z1902" i="6"/>
  <c r="Z1901" i="6"/>
  <c r="Z1900" i="6"/>
  <c r="Z1899" i="6"/>
  <c r="Z1898" i="6"/>
  <c r="Z1897" i="6"/>
  <c r="Z1896" i="6"/>
  <c r="Z1895" i="6"/>
  <c r="Z1894" i="6"/>
  <c r="Z1893" i="6"/>
  <c r="Z1892" i="6"/>
  <c r="Z1891" i="6"/>
  <c r="Z1890" i="6"/>
  <c r="Z1889" i="6"/>
  <c r="Z1888" i="6"/>
  <c r="Z1887" i="6"/>
  <c r="Z1886" i="6"/>
  <c r="Z1885" i="6"/>
  <c r="Z1884" i="6"/>
  <c r="Z1883" i="6"/>
  <c r="Z1882" i="6"/>
  <c r="Z1881" i="6"/>
  <c r="Z1880" i="6"/>
  <c r="Z1879" i="6"/>
  <c r="Z1878" i="6"/>
  <c r="Z1877" i="6"/>
  <c r="Z1876" i="6"/>
  <c r="Z1875" i="6"/>
  <c r="Z1874" i="6"/>
  <c r="Z1873" i="6"/>
  <c r="Z1872" i="6"/>
  <c r="Z1871" i="6"/>
  <c r="Z1870" i="6"/>
  <c r="Z1869" i="6"/>
  <c r="Z1868" i="6"/>
  <c r="Z1867" i="6"/>
  <c r="Z1866" i="6"/>
  <c r="Z1865" i="6"/>
  <c r="Z1864" i="6"/>
  <c r="Z1863" i="6"/>
  <c r="Z1862" i="6"/>
  <c r="Z1861" i="6"/>
  <c r="Z1860" i="6"/>
  <c r="Z1859" i="6"/>
  <c r="Z1858" i="6"/>
  <c r="Z1857" i="6"/>
  <c r="Z1856" i="6"/>
  <c r="Z1855" i="6"/>
  <c r="Z1854" i="6"/>
  <c r="Z1853" i="6"/>
  <c r="Z1852" i="6"/>
  <c r="Z1851" i="6"/>
  <c r="Z1850" i="6"/>
  <c r="Z1849" i="6"/>
  <c r="Z1848" i="6"/>
  <c r="Z1847" i="6"/>
  <c r="Z1846" i="6"/>
  <c r="Z1845" i="6"/>
  <c r="Z1844" i="6"/>
  <c r="Z1843" i="6"/>
  <c r="Z1842" i="6"/>
  <c r="Z1841" i="6"/>
  <c r="Z1840" i="6"/>
  <c r="Z1839" i="6"/>
  <c r="Z1838" i="6"/>
  <c r="Z1837" i="6"/>
  <c r="Z1836" i="6"/>
  <c r="Z1835" i="6"/>
  <c r="Z1834" i="6"/>
  <c r="Z1833" i="6"/>
  <c r="Z1832" i="6"/>
  <c r="Z1831" i="6"/>
  <c r="Z1830" i="6"/>
  <c r="Z1829" i="6"/>
  <c r="Z1828" i="6"/>
  <c r="Z1827" i="6"/>
  <c r="Z1826" i="6"/>
  <c r="Z1825" i="6"/>
  <c r="Z1824" i="6"/>
  <c r="Z1823" i="6"/>
  <c r="Z1822" i="6"/>
  <c r="Z1821" i="6"/>
  <c r="Z1820" i="6"/>
  <c r="Z1819" i="6"/>
  <c r="Z1818" i="6"/>
  <c r="Z1817" i="6"/>
  <c r="Z1816" i="6"/>
  <c r="Z1815" i="6"/>
  <c r="Z1814" i="6"/>
  <c r="Z1813" i="6"/>
  <c r="Z1812" i="6"/>
  <c r="Z1811" i="6"/>
  <c r="Z1810" i="6"/>
  <c r="Z1809" i="6"/>
  <c r="Z1808" i="6"/>
  <c r="Z1807" i="6"/>
  <c r="Z1806" i="6"/>
  <c r="Z1805" i="6"/>
  <c r="Z1804" i="6"/>
  <c r="Z1803" i="6"/>
  <c r="Z1802" i="6"/>
  <c r="Z1801" i="6"/>
  <c r="Z1800" i="6"/>
  <c r="Z1799" i="6"/>
  <c r="Z1798" i="6"/>
  <c r="Z1797" i="6"/>
  <c r="Z1796" i="6"/>
  <c r="Z1795" i="6"/>
  <c r="Z1794" i="6"/>
  <c r="Z1793" i="6"/>
  <c r="Z1792" i="6"/>
  <c r="Z1791" i="6"/>
  <c r="Z1790" i="6"/>
  <c r="Z1789" i="6"/>
  <c r="Z1788" i="6"/>
  <c r="Z1787" i="6"/>
  <c r="Z1786" i="6"/>
  <c r="Z1785" i="6"/>
  <c r="Z1784" i="6"/>
  <c r="Z1783" i="6"/>
  <c r="Z1782" i="6"/>
  <c r="Z1781" i="6"/>
  <c r="Z1780" i="6"/>
  <c r="Z1779" i="6"/>
  <c r="Z1778" i="6"/>
  <c r="Z1777" i="6"/>
  <c r="Z1776" i="6"/>
  <c r="Z1775" i="6"/>
  <c r="Z1774" i="6"/>
  <c r="Z1773" i="6"/>
  <c r="Z1772" i="6"/>
  <c r="Z1771" i="6"/>
  <c r="Z1770" i="6"/>
  <c r="Z1769" i="6"/>
  <c r="Z1768" i="6"/>
  <c r="Z1767" i="6"/>
  <c r="Z1766" i="6"/>
  <c r="Z1765" i="6"/>
  <c r="Z1764" i="6"/>
  <c r="Z1763" i="6"/>
  <c r="Z1762" i="6"/>
  <c r="Z1761" i="6"/>
  <c r="Z1760" i="6"/>
  <c r="Z1759" i="6"/>
  <c r="Z1758" i="6"/>
  <c r="Z1757" i="6"/>
  <c r="Z1756" i="6"/>
  <c r="Z1755" i="6"/>
  <c r="Z1754" i="6"/>
  <c r="Z1753" i="6"/>
  <c r="Z1752" i="6"/>
  <c r="Z1751" i="6"/>
  <c r="Z1750" i="6"/>
  <c r="Z1749" i="6"/>
  <c r="Z1748" i="6"/>
  <c r="Z1747" i="6"/>
  <c r="Z1746" i="6"/>
  <c r="Z1745" i="6"/>
  <c r="Z1744" i="6"/>
  <c r="Z1743" i="6"/>
  <c r="Z1742" i="6"/>
  <c r="Z1741" i="6"/>
  <c r="Z1740" i="6"/>
  <c r="Z1739" i="6"/>
  <c r="Z1738" i="6"/>
  <c r="Z1737" i="6"/>
  <c r="Z1736" i="6"/>
  <c r="Z1735" i="6"/>
  <c r="Z1734" i="6"/>
  <c r="Z1733" i="6"/>
  <c r="Z1732" i="6"/>
  <c r="Z1731" i="6"/>
  <c r="Z1730" i="6"/>
  <c r="Z1729" i="6"/>
  <c r="Z1728" i="6"/>
  <c r="Z1727" i="6"/>
  <c r="Z1726" i="6"/>
  <c r="Z1725" i="6"/>
  <c r="Z1724" i="6"/>
  <c r="Z1723" i="6"/>
  <c r="Z1722" i="6"/>
  <c r="Z1721" i="6"/>
  <c r="Z1720" i="6"/>
  <c r="Z1719" i="6"/>
  <c r="Z1718" i="6"/>
  <c r="Z1717" i="6"/>
  <c r="Z1716" i="6"/>
  <c r="Z1715" i="6"/>
  <c r="Z1714" i="6"/>
  <c r="Z1712" i="6"/>
  <c r="Z1711" i="6"/>
  <c r="Z1710" i="6"/>
  <c r="Z1709" i="6"/>
  <c r="Z1708" i="6"/>
  <c r="Z1707" i="6"/>
  <c r="Z1706" i="6"/>
  <c r="Z1705" i="6"/>
  <c r="Z1704" i="6"/>
  <c r="Z1703" i="6"/>
  <c r="Z1702" i="6"/>
  <c r="Z1701" i="6"/>
  <c r="Z1700" i="6"/>
  <c r="Z1699" i="6"/>
  <c r="Z1698" i="6"/>
  <c r="Z1697" i="6"/>
  <c r="Z1696" i="6"/>
  <c r="Z1695" i="6"/>
  <c r="Z1694" i="6"/>
  <c r="Z1693" i="6"/>
  <c r="Z1692" i="6"/>
  <c r="Z1691" i="6"/>
  <c r="Z1690" i="6"/>
  <c r="Z1689" i="6"/>
  <c r="Z1688" i="6"/>
  <c r="Z1687" i="6"/>
  <c r="Z1686" i="6"/>
  <c r="Z1685" i="6"/>
  <c r="Z1684" i="6"/>
  <c r="Z1683" i="6"/>
  <c r="Z1682" i="6"/>
  <c r="Z1681" i="6"/>
  <c r="Z1680" i="6"/>
  <c r="Z1679" i="6"/>
  <c r="Z1678" i="6"/>
  <c r="Z1677" i="6"/>
  <c r="Z1676" i="6"/>
  <c r="Z1675" i="6"/>
  <c r="Z1674" i="6"/>
  <c r="Z1673" i="6"/>
  <c r="Z1672" i="6"/>
  <c r="Z1671" i="6"/>
  <c r="Z1670" i="6"/>
  <c r="Z1669" i="6"/>
  <c r="Z1668" i="6"/>
  <c r="Z1667" i="6"/>
  <c r="Z1666" i="6"/>
  <c r="Z1665" i="6"/>
  <c r="Z1664" i="6"/>
  <c r="Z1663" i="6"/>
  <c r="Z1662" i="6"/>
  <c r="Z1661" i="6"/>
  <c r="Z1660" i="6"/>
  <c r="Z1659" i="6"/>
  <c r="Z1658" i="6"/>
  <c r="Z1657" i="6"/>
  <c r="Z1656" i="6"/>
  <c r="Z1655" i="6"/>
  <c r="Z1654" i="6"/>
  <c r="Z1653" i="6"/>
  <c r="Z1652" i="6"/>
  <c r="Z1651" i="6"/>
  <c r="Z1650" i="6"/>
  <c r="Z1649" i="6"/>
  <c r="Z1648" i="6"/>
  <c r="Z1647" i="6"/>
  <c r="Z1646" i="6"/>
  <c r="Z1645" i="6"/>
  <c r="Z1644" i="6"/>
  <c r="Z1643" i="6"/>
  <c r="Z1642" i="6"/>
  <c r="Z1641" i="6"/>
  <c r="Z1640" i="6"/>
  <c r="Z1639" i="6"/>
  <c r="Z1638" i="6"/>
  <c r="Z1637" i="6"/>
  <c r="Z1636" i="6"/>
  <c r="Z1635" i="6"/>
  <c r="Z1634" i="6"/>
  <c r="Z1633" i="6"/>
  <c r="Z1632" i="6"/>
  <c r="Z1631" i="6"/>
  <c r="Z1630" i="6"/>
  <c r="Z1629" i="6"/>
  <c r="Z1628" i="6"/>
  <c r="Z1627" i="6"/>
  <c r="Z1626" i="6"/>
  <c r="Z1625" i="6"/>
  <c r="Z1624" i="6"/>
  <c r="Z1623" i="6"/>
  <c r="Z1622" i="6"/>
  <c r="Z1621" i="6"/>
  <c r="Z1620" i="6"/>
  <c r="Z1619" i="6"/>
  <c r="Z1618" i="6"/>
  <c r="Z1617" i="6"/>
  <c r="Z1616" i="6"/>
  <c r="Z1615" i="6"/>
  <c r="Z1614" i="6"/>
  <c r="Z1613" i="6"/>
  <c r="Z1612" i="6"/>
  <c r="Z1611" i="6"/>
  <c r="Z1610" i="6"/>
  <c r="Z1609" i="6"/>
  <c r="Z1608" i="6"/>
  <c r="Z1607" i="6"/>
  <c r="Z1606" i="6"/>
  <c r="Z1605" i="6"/>
  <c r="Z1604" i="6"/>
  <c r="Z1603" i="6"/>
  <c r="Z1602" i="6"/>
  <c r="Z1601" i="6"/>
  <c r="Z1600" i="6"/>
  <c r="Z1599" i="6"/>
  <c r="Z1598" i="6"/>
  <c r="Z1597" i="6"/>
  <c r="Z1596" i="6"/>
  <c r="Z1595" i="6"/>
  <c r="Z1594" i="6"/>
  <c r="Z1593" i="6"/>
  <c r="Z1592" i="6"/>
  <c r="Z1591" i="6"/>
  <c r="Z1590" i="6"/>
  <c r="Z1589" i="6"/>
  <c r="Z1588" i="6"/>
  <c r="Z1587" i="6"/>
  <c r="Z1586" i="6"/>
  <c r="Z1585" i="6"/>
  <c r="Z1584" i="6"/>
  <c r="Z1583" i="6"/>
  <c r="Z1582" i="6"/>
  <c r="Z1581" i="6"/>
  <c r="Z1580" i="6"/>
  <c r="Z1579" i="6"/>
  <c r="Z1578" i="6"/>
  <c r="Z1577" i="6"/>
  <c r="Z1576" i="6"/>
  <c r="Z1575" i="6"/>
  <c r="Z1574" i="6"/>
  <c r="Z1573" i="6"/>
  <c r="Z1572" i="6"/>
  <c r="Z1571" i="6"/>
  <c r="Z1570" i="6"/>
  <c r="Z1569" i="6"/>
  <c r="Z1568" i="6"/>
  <c r="Z1567" i="6"/>
  <c r="Z1566" i="6"/>
  <c r="Z1565" i="6"/>
  <c r="Z1564" i="6"/>
  <c r="Z1563" i="6"/>
  <c r="Z1562" i="6"/>
  <c r="Z1561" i="6"/>
  <c r="Z1560" i="6"/>
  <c r="Z1559" i="6"/>
  <c r="Z1558" i="6"/>
  <c r="Z1557" i="6"/>
  <c r="Z1556" i="6"/>
  <c r="Z1555" i="6"/>
  <c r="Z1554" i="6"/>
  <c r="Z1553" i="6"/>
  <c r="Z1552" i="6"/>
  <c r="Z1551" i="6"/>
  <c r="Z1550" i="6"/>
  <c r="Z1549" i="6"/>
  <c r="Z1548" i="6"/>
  <c r="Z1547" i="6"/>
  <c r="Z1546" i="6"/>
  <c r="Z1545" i="6"/>
  <c r="Z1544" i="6"/>
  <c r="Z1543" i="6"/>
  <c r="Z1542" i="6"/>
  <c r="Z1541" i="6"/>
  <c r="Z1540" i="6"/>
  <c r="Z1539" i="6"/>
  <c r="Z1538" i="6"/>
  <c r="Z1537" i="6"/>
  <c r="Z1536" i="6"/>
  <c r="Z1535" i="6"/>
  <c r="Z1534" i="6"/>
  <c r="Z1533" i="6"/>
  <c r="Z1532" i="6"/>
  <c r="Z1531" i="6"/>
  <c r="Z1530" i="6"/>
  <c r="Z1529" i="6"/>
  <c r="Z1528" i="6"/>
  <c r="Z1527" i="6"/>
  <c r="Z1526" i="6"/>
  <c r="Z1525" i="6"/>
  <c r="Z1524" i="6"/>
  <c r="Z1523" i="6"/>
  <c r="Z1522" i="6"/>
  <c r="Z1521" i="6"/>
  <c r="Z1520" i="6"/>
  <c r="Z1519" i="6"/>
  <c r="Z1518" i="6"/>
  <c r="Z1517" i="6"/>
  <c r="Z1516" i="6"/>
  <c r="Z1515" i="6"/>
  <c r="Z1514" i="6"/>
  <c r="Z1513" i="6"/>
  <c r="Z1512" i="6"/>
  <c r="Z1511" i="6"/>
  <c r="Z1510" i="6"/>
  <c r="Z1509" i="6"/>
  <c r="Z1508" i="6"/>
  <c r="Z1507" i="6"/>
  <c r="Z1506" i="6"/>
  <c r="Z1505" i="6"/>
  <c r="Z1504" i="6"/>
  <c r="Z1503" i="6"/>
  <c r="Z1502" i="6"/>
  <c r="Z1501" i="6"/>
  <c r="Z1500" i="6"/>
  <c r="Z1499" i="6"/>
  <c r="Z1498" i="6"/>
  <c r="Z1497" i="6"/>
  <c r="Z1496" i="6"/>
  <c r="Z1495" i="6"/>
  <c r="Z1494" i="6"/>
  <c r="Z1493" i="6"/>
  <c r="Z1492" i="6"/>
  <c r="Z1491" i="6"/>
  <c r="Z1490" i="6"/>
  <c r="Z1489" i="6"/>
  <c r="Z1488" i="6"/>
  <c r="Z1487" i="6"/>
  <c r="Z1486" i="6"/>
  <c r="Z1485" i="6"/>
  <c r="Z1484" i="6"/>
  <c r="Z1483" i="6"/>
  <c r="Z1482" i="6"/>
  <c r="Z1481" i="6"/>
  <c r="Z1480" i="6"/>
  <c r="Z1479" i="6"/>
  <c r="Z1478" i="6"/>
  <c r="Z1477" i="6"/>
  <c r="Z1476" i="6"/>
  <c r="Z1475" i="6"/>
  <c r="Z1474" i="6"/>
  <c r="Z1473" i="6"/>
  <c r="Z1472" i="6"/>
  <c r="Z1471" i="6"/>
  <c r="Z1470" i="6"/>
  <c r="Z1469" i="6"/>
  <c r="Z1468" i="6"/>
  <c r="Z1467" i="6"/>
  <c r="Z1466" i="6"/>
  <c r="Z1465" i="6"/>
  <c r="Z1464" i="6"/>
  <c r="Z1463" i="6"/>
  <c r="Z1462" i="6"/>
  <c r="Z1461" i="6"/>
  <c r="Z1460" i="6"/>
  <c r="Z1459" i="6"/>
  <c r="Z1458" i="6"/>
  <c r="Z1457" i="6"/>
  <c r="Z1456" i="6"/>
  <c r="Z1455" i="6"/>
  <c r="Z1454" i="6"/>
  <c r="Z1453" i="6"/>
  <c r="Z1452" i="6"/>
  <c r="Z1451" i="6"/>
  <c r="Z1450" i="6"/>
  <c r="Z1449" i="6"/>
  <c r="Z1448" i="6"/>
  <c r="Z1447" i="6"/>
  <c r="Z1446" i="6"/>
  <c r="Z1445" i="6"/>
  <c r="Z1444" i="6"/>
  <c r="Z1443" i="6"/>
  <c r="Z1442" i="6"/>
  <c r="Z1441" i="6"/>
  <c r="Z1440" i="6"/>
  <c r="Z1439" i="6"/>
  <c r="Z1438" i="6"/>
  <c r="Z1437" i="6"/>
  <c r="Z1436" i="6"/>
  <c r="Z1435" i="6"/>
  <c r="Z1434" i="6"/>
  <c r="Z1433" i="6"/>
  <c r="Z1432" i="6"/>
  <c r="Z1431" i="6"/>
  <c r="Z1430" i="6"/>
  <c r="Z1429" i="6"/>
  <c r="Z1428" i="6"/>
  <c r="Z1427" i="6"/>
  <c r="Z1426" i="6"/>
  <c r="Z1425" i="6"/>
  <c r="Z1424" i="6"/>
  <c r="Z1423" i="6"/>
  <c r="Z1422" i="6"/>
  <c r="Z1421" i="6"/>
  <c r="Z1420" i="6"/>
  <c r="Z1419" i="6"/>
  <c r="Z1418" i="6"/>
  <c r="Z1417" i="6"/>
  <c r="Z1416" i="6"/>
  <c r="Z1415" i="6"/>
  <c r="Z1414" i="6"/>
  <c r="Z1413" i="6"/>
  <c r="Z1412" i="6"/>
  <c r="Z1411" i="6"/>
  <c r="Z1410" i="6"/>
  <c r="Z1409" i="6"/>
  <c r="Z1408" i="6"/>
  <c r="Z1407" i="6"/>
  <c r="Z1406" i="6"/>
  <c r="Z1405" i="6"/>
  <c r="Z1404" i="6"/>
  <c r="Z1403" i="6"/>
  <c r="Z1402" i="6"/>
  <c r="Z1401" i="6"/>
  <c r="Z1400" i="6"/>
  <c r="Z1399" i="6"/>
  <c r="Z1398" i="6"/>
  <c r="Z1397" i="6"/>
  <c r="Z1396" i="6"/>
  <c r="Z1395" i="6"/>
  <c r="Z1394" i="6"/>
  <c r="Z1393" i="6"/>
  <c r="Z1392" i="6"/>
  <c r="Z1391" i="6"/>
  <c r="Z1390" i="6"/>
  <c r="Z1389" i="6"/>
  <c r="Z1388" i="6"/>
  <c r="Z1387" i="6"/>
  <c r="Z1386" i="6"/>
  <c r="Z1385" i="6"/>
  <c r="Z1384" i="6"/>
  <c r="Z1383" i="6"/>
  <c r="Z1382" i="6"/>
  <c r="Z1381" i="6"/>
  <c r="Z1380" i="6"/>
  <c r="Z1379" i="6"/>
  <c r="Z1378" i="6"/>
  <c r="Z1377" i="6"/>
  <c r="Z1376" i="6"/>
  <c r="Z1375" i="6"/>
  <c r="Z1374" i="6"/>
  <c r="Z1373" i="6"/>
  <c r="Z1372" i="6"/>
  <c r="Z1371" i="6"/>
  <c r="Z1370" i="6"/>
  <c r="Z1369" i="6"/>
  <c r="Z1368" i="6"/>
  <c r="Z1367" i="6"/>
  <c r="Z1366" i="6"/>
  <c r="Z1365" i="6"/>
  <c r="Z1364" i="6"/>
  <c r="Z1363" i="6"/>
  <c r="Z1362" i="6"/>
  <c r="Z1361" i="6"/>
  <c r="Z1360" i="6"/>
  <c r="Z1359" i="6"/>
  <c r="Z1358" i="6"/>
  <c r="Z1357" i="6"/>
  <c r="Z1356" i="6"/>
  <c r="Z1355" i="6"/>
  <c r="Z1354" i="6"/>
  <c r="Z1353" i="6"/>
  <c r="Z1352" i="6"/>
  <c r="Z1351" i="6"/>
  <c r="Z1350" i="6"/>
  <c r="Z1349" i="6"/>
  <c r="Z1348" i="6"/>
  <c r="Z1347" i="6"/>
  <c r="Z1346" i="6"/>
  <c r="Z1345" i="6"/>
  <c r="Z1344" i="6"/>
  <c r="Z1343" i="6"/>
  <c r="Z1342" i="6"/>
  <c r="Z1341" i="6"/>
  <c r="Z1340" i="6"/>
  <c r="Z1339" i="6"/>
  <c r="Z1338" i="6"/>
  <c r="Z1337" i="6"/>
  <c r="Z1336" i="6"/>
  <c r="Z1335" i="6"/>
  <c r="Z1334" i="6"/>
  <c r="Z1333" i="6"/>
  <c r="Z1332" i="6"/>
  <c r="Z1331" i="6"/>
  <c r="Z1330" i="6"/>
  <c r="Z1329" i="6"/>
  <c r="Z1328" i="6"/>
  <c r="Z1327" i="6"/>
  <c r="Z1326" i="6"/>
  <c r="Z1325" i="6"/>
  <c r="Z1324" i="6"/>
  <c r="Z1323" i="6"/>
  <c r="Z1322" i="6"/>
  <c r="Z1321" i="6"/>
  <c r="Z1320" i="6"/>
  <c r="Z1319" i="6"/>
  <c r="Z1318" i="6"/>
  <c r="Z1317" i="6"/>
  <c r="Z1316" i="6"/>
  <c r="Z1315" i="6"/>
  <c r="Z1314" i="6"/>
  <c r="Z1313" i="6"/>
  <c r="Z1312" i="6"/>
  <c r="Z1311" i="6"/>
  <c r="Z1310" i="6"/>
  <c r="Z1309" i="6"/>
  <c r="Z1308" i="6"/>
  <c r="Z1307" i="6"/>
  <c r="Z1306" i="6"/>
  <c r="Z1305" i="6"/>
  <c r="Z1304" i="6"/>
  <c r="Z1303" i="6"/>
  <c r="Z1302" i="6"/>
  <c r="Z1301" i="6"/>
  <c r="Z1300" i="6"/>
  <c r="Z1299" i="6"/>
  <c r="Z1298" i="6"/>
  <c r="Z1297" i="6"/>
  <c r="Z1296" i="6"/>
  <c r="Z1295" i="6"/>
  <c r="Z1294" i="6"/>
  <c r="Z1293" i="6"/>
  <c r="Z1292" i="6"/>
  <c r="Z1291" i="6"/>
  <c r="Z1290" i="6"/>
  <c r="Z1289" i="6"/>
  <c r="Z1288" i="6"/>
  <c r="Z1287" i="6"/>
  <c r="Z1286" i="6"/>
  <c r="Z1285" i="6"/>
  <c r="Z1284" i="6"/>
  <c r="Z1283" i="6"/>
  <c r="Z1282" i="6"/>
  <c r="Z1281" i="6"/>
  <c r="Z1280" i="6"/>
  <c r="Z1279" i="6"/>
  <c r="Z1278" i="6"/>
  <c r="Z1277" i="6"/>
  <c r="Z1276" i="6"/>
  <c r="Z1275" i="6"/>
  <c r="Z1274" i="6"/>
  <c r="Z1273" i="6"/>
  <c r="Z1272" i="6"/>
  <c r="Z1271" i="6"/>
  <c r="Z1270" i="6"/>
  <c r="Z1269" i="6"/>
  <c r="Z1268" i="6"/>
  <c r="Z1267" i="6"/>
  <c r="Z1266" i="6"/>
  <c r="Z1265" i="6"/>
  <c r="Z1264" i="6"/>
  <c r="Z1263" i="6"/>
  <c r="Z1262" i="6"/>
  <c r="Z1261" i="6"/>
  <c r="Z1260" i="6"/>
  <c r="Z1259" i="6"/>
  <c r="Z1258" i="6"/>
  <c r="Z1257" i="6"/>
  <c r="Z1256" i="6"/>
  <c r="Z1255" i="6"/>
  <c r="Z1254" i="6"/>
  <c r="Z1253" i="6"/>
  <c r="Z1252" i="6"/>
  <c r="Z1251" i="6"/>
  <c r="Z1250" i="6"/>
  <c r="Z1249" i="6"/>
  <c r="Z1248" i="6"/>
  <c r="Z1247" i="6"/>
  <c r="Z1246" i="6"/>
  <c r="Z1245" i="6"/>
  <c r="Z1244" i="6"/>
  <c r="Z1243" i="6"/>
  <c r="Z1242" i="6"/>
  <c r="Z1241" i="6"/>
  <c r="Z1240" i="6"/>
  <c r="Z1239" i="6"/>
  <c r="Z1238" i="6"/>
  <c r="Z1237" i="6"/>
  <c r="Z1236" i="6"/>
  <c r="Z1235" i="6"/>
  <c r="Z1234" i="6"/>
  <c r="Z1233" i="6"/>
  <c r="Z1232" i="6"/>
  <c r="Z1231" i="6"/>
  <c r="Z1230" i="6"/>
  <c r="Z1229" i="6"/>
  <c r="Z1228" i="6"/>
  <c r="Z1227" i="6"/>
  <c r="Z1226" i="6"/>
  <c r="Z1225" i="6"/>
  <c r="Z1224" i="6"/>
  <c r="Z1223" i="6"/>
  <c r="Z1222" i="6"/>
  <c r="Z1221" i="6"/>
  <c r="Z1220" i="6"/>
  <c r="Z1219" i="6"/>
  <c r="Z1218" i="6"/>
  <c r="Z1217" i="6"/>
  <c r="Z1216" i="6"/>
  <c r="Z1215" i="6"/>
  <c r="Z1214" i="6"/>
  <c r="Z1213" i="6"/>
  <c r="Z1212" i="6"/>
  <c r="Z1211" i="6"/>
  <c r="Z1210" i="6"/>
  <c r="Z1209" i="6"/>
  <c r="Z1208" i="6"/>
  <c r="Z1207" i="6"/>
  <c r="Z1206" i="6"/>
  <c r="Z1205" i="6"/>
  <c r="Z1204" i="6"/>
  <c r="Z1203" i="6"/>
  <c r="Z1202" i="6"/>
  <c r="Z1201" i="6"/>
  <c r="Z1200" i="6"/>
  <c r="Z1199" i="6"/>
  <c r="Z1198" i="6"/>
  <c r="Z1197" i="6"/>
  <c r="Z1196" i="6"/>
  <c r="Z1195" i="6"/>
  <c r="Z1194" i="6"/>
  <c r="Z1193" i="6"/>
  <c r="Z1192" i="6"/>
  <c r="Z1191" i="6"/>
  <c r="Z1190" i="6"/>
  <c r="Z1189" i="6"/>
  <c r="Z1188" i="6"/>
  <c r="Z1187" i="6"/>
  <c r="Z1186" i="6"/>
  <c r="Z1185" i="6"/>
  <c r="Z1184" i="6"/>
  <c r="Z1183" i="6"/>
  <c r="Z1182" i="6"/>
  <c r="Z1181" i="6"/>
  <c r="Z1180" i="6"/>
  <c r="Z1179" i="6"/>
  <c r="Z1178" i="6"/>
  <c r="Z1177" i="6"/>
  <c r="Z1176" i="6"/>
  <c r="Z1175" i="6"/>
  <c r="Z1174" i="6"/>
  <c r="Z1173" i="6"/>
  <c r="Z1172" i="6"/>
  <c r="Z1171" i="6"/>
  <c r="Z1170" i="6"/>
  <c r="Z1169" i="6"/>
  <c r="Z1168" i="6"/>
  <c r="Z1167" i="6"/>
  <c r="Z1166" i="6"/>
  <c r="Z1165" i="6"/>
  <c r="Z1164" i="6"/>
  <c r="Z1163" i="6"/>
  <c r="Z1162" i="6"/>
  <c r="Z1161" i="6"/>
  <c r="Z1160" i="6"/>
  <c r="Z1159" i="6"/>
  <c r="Z1158" i="6"/>
  <c r="Z1157" i="6"/>
  <c r="Z1156" i="6"/>
  <c r="Z1155" i="6"/>
  <c r="Z1154" i="6"/>
  <c r="Z1153" i="6"/>
  <c r="Z1152" i="6"/>
  <c r="Z1151" i="6"/>
  <c r="Z1150" i="6"/>
  <c r="Z1149" i="6"/>
  <c r="Z1148" i="6"/>
  <c r="Z1147" i="6"/>
  <c r="Z1146" i="6"/>
  <c r="Z1145" i="6"/>
  <c r="Z1144" i="6"/>
  <c r="Z1143" i="6"/>
  <c r="Z1142" i="6"/>
  <c r="Z1141" i="6"/>
  <c r="Z1140" i="6"/>
  <c r="Z1139" i="6"/>
  <c r="Z1138" i="6"/>
  <c r="Z1137" i="6"/>
  <c r="Z1136" i="6"/>
  <c r="Z1135" i="6"/>
  <c r="Z1134" i="6"/>
  <c r="Z1133" i="6"/>
  <c r="Z1132" i="6"/>
  <c r="Z1131" i="6"/>
  <c r="Z1130" i="6"/>
  <c r="Z1129" i="6"/>
  <c r="Z1128" i="6"/>
  <c r="Z1127" i="6"/>
  <c r="Z1126" i="6"/>
  <c r="Z1125" i="6"/>
  <c r="Z1124" i="6"/>
  <c r="Z1123" i="6"/>
  <c r="Z1122" i="6"/>
  <c r="Z1121" i="6"/>
  <c r="Z1120" i="6"/>
  <c r="Z1119" i="6"/>
  <c r="Z1118" i="6"/>
  <c r="Z1117" i="6"/>
  <c r="Z1116" i="6"/>
  <c r="Z1115" i="6"/>
  <c r="Z1114" i="6"/>
  <c r="Z1113" i="6"/>
  <c r="Z1112" i="6"/>
  <c r="Z1111" i="6"/>
  <c r="Z1110" i="6"/>
  <c r="Z1109" i="6"/>
  <c r="Z1108" i="6"/>
  <c r="Z1107" i="6"/>
  <c r="Z1106" i="6"/>
  <c r="Z1105" i="6"/>
  <c r="Z1104" i="6"/>
  <c r="Z1103" i="6"/>
  <c r="Z1102" i="6"/>
  <c r="Z1101" i="6"/>
  <c r="Z1100" i="6"/>
  <c r="Z1099" i="6"/>
  <c r="Z1098" i="6"/>
  <c r="Z1097" i="6"/>
  <c r="Z1096" i="6"/>
  <c r="Z1095" i="6"/>
  <c r="Z1094" i="6"/>
  <c r="Z1093" i="6"/>
  <c r="Z1092" i="6"/>
  <c r="Z1091" i="6"/>
  <c r="Z1090" i="6"/>
  <c r="Z1089" i="6"/>
  <c r="Z1088" i="6"/>
  <c r="Z1087" i="6"/>
  <c r="Z1086" i="6"/>
  <c r="Z1085" i="6"/>
  <c r="Z1084" i="6"/>
  <c r="Z1083" i="6"/>
  <c r="Z1082" i="6"/>
  <c r="Z1081" i="6"/>
  <c r="Z1080" i="6"/>
  <c r="Z1079" i="6"/>
  <c r="Z1078" i="6"/>
  <c r="Z1077" i="6"/>
  <c r="Z1076" i="6"/>
  <c r="Z1075" i="6"/>
  <c r="Z1074" i="6"/>
  <c r="Z1073" i="6"/>
  <c r="Z1072" i="6"/>
  <c r="Z1071" i="6"/>
  <c r="Z1070" i="6"/>
  <c r="Z1069" i="6"/>
  <c r="Z1068" i="6"/>
  <c r="Z1067" i="6"/>
  <c r="Z1066" i="6"/>
  <c r="Z1065" i="6"/>
  <c r="Z1064" i="6"/>
  <c r="Z1063" i="6"/>
  <c r="Z1062" i="6"/>
  <c r="Z1061" i="6"/>
  <c r="Z1060" i="6"/>
  <c r="Z1059" i="6"/>
  <c r="Z1058" i="6"/>
  <c r="Z1057" i="6"/>
  <c r="Z1056" i="6"/>
  <c r="Z1055" i="6"/>
  <c r="Z1054" i="6"/>
  <c r="Z1053" i="6"/>
  <c r="Z1052" i="6"/>
  <c r="Z1051" i="6"/>
  <c r="Z1050" i="6"/>
  <c r="Z1049" i="6"/>
  <c r="Z1048" i="6"/>
  <c r="Z1047" i="6"/>
  <c r="Z1046" i="6"/>
  <c r="Z1045" i="6"/>
  <c r="Z1044" i="6"/>
  <c r="Z1043" i="6"/>
  <c r="Z1042" i="6"/>
  <c r="Z1041" i="6"/>
  <c r="Z1040" i="6"/>
  <c r="Z1039" i="6"/>
  <c r="Z1038" i="6"/>
  <c r="Z1037" i="6"/>
  <c r="Z1036" i="6"/>
  <c r="Z1035" i="6"/>
  <c r="Z1034" i="6"/>
  <c r="Z1033" i="6"/>
  <c r="Z1032" i="6"/>
  <c r="Z1031" i="6"/>
  <c r="Z1030" i="6"/>
  <c r="Z1029" i="6"/>
  <c r="Z1028" i="6"/>
  <c r="Z1027" i="6"/>
  <c r="Z1026" i="6"/>
  <c r="Z1025" i="6"/>
  <c r="Z1024" i="6"/>
  <c r="Z1023" i="6"/>
  <c r="Z1022" i="6"/>
  <c r="Z1021" i="6"/>
  <c r="Z1020" i="6"/>
  <c r="Z1019" i="6"/>
  <c r="Z1018" i="6"/>
  <c r="Z1017" i="6"/>
  <c r="Z1016" i="6"/>
  <c r="Z1015" i="6"/>
  <c r="Z1014" i="6"/>
  <c r="Z1013" i="6"/>
  <c r="Z1012" i="6"/>
  <c r="Z1011" i="6"/>
  <c r="Z1010" i="6"/>
  <c r="Z1009" i="6"/>
  <c r="Z1008" i="6"/>
  <c r="Z1007" i="6"/>
  <c r="Z1006" i="6"/>
  <c r="Z1005" i="6"/>
  <c r="Z1004" i="6"/>
  <c r="Z1003" i="6"/>
  <c r="Z1002" i="6"/>
  <c r="Z1001" i="6"/>
  <c r="Z1000" i="6"/>
  <c r="Z999" i="6"/>
  <c r="Z998" i="6"/>
  <c r="Z997" i="6"/>
  <c r="Z996" i="6"/>
  <c r="Z995" i="6"/>
  <c r="Z994" i="6"/>
  <c r="Z993" i="6"/>
  <c r="Z992" i="6"/>
  <c r="Z991" i="6"/>
  <c r="Z990" i="6"/>
  <c r="Z989" i="6"/>
  <c r="Z988" i="6"/>
  <c r="Z987" i="6"/>
  <c r="Z986" i="6"/>
  <c r="Z985" i="6"/>
  <c r="Z984" i="6"/>
  <c r="Z983" i="6"/>
  <c r="Z982" i="6"/>
  <c r="Z981" i="6"/>
  <c r="Z980" i="6"/>
  <c r="Z979" i="6"/>
  <c r="Z978" i="6"/>
  <c r="Z977" i="6"/>
  <c r="Z976" i="6"/>
  <c r="Z975" i="6"/>
  <c r="Z974" i="6"/>
  <c r="Z973" i="6"/>
  <c r="Z972" i="6"/>
  <c r="Z971" i="6"/>
  <c r="Z970" i="6"/>
  <c r="Z969" i="6"/>
  <c r="Z968" i="6"/>
  <c r="Z967" i="6"/>
  <c r="Z966" i="6"/>
  <c r="Z965" i="6"/>
  <c r="Z964" i="6"/>
  <c r="Z963" i="6"/>
  <c r="Z962" i="6"/>
  <c r="Z961" i="6"/>
  <c r="Z960" i="6"/>
  <c r="Z959" i="6"/>
  <c r="Z958" i="6"/>
  <c r="Z957" i="6"/>
  <c r="Z956" i="6"/>
  <c r="Z955" i="6"/>
  <c r="Z954" i="6"/>
  <c r="Z953" i="6"/>
  <c r="Z952" i="6"/>
  <c r="Z951" i="6"/>
  <c r="Z950" i="6"/>
  <c r="Z949" i="6"/>
  <c r="Z948" i="6"/>
  <c r="Z947" i="6"/>
  <c r="Z946" i="6"/>
  <c r="Z945" i="6"/>
  <c r="Z944" i="6"/>
  <c r="Z943" i="6"/>
  <c r="Z942" i="6"/>
  <c r="Z941" i="6"/>
  <c r="Z940" i="6"/>
  <c r="Z939" i="6"/>
  <c r="Z938" i="6"/>
  <c r="Z937" i="6"/>
  <c r="Z936" i="6"/>
  <c r="Z935" i="6"/>
  <c r="Z934" i="6"/>
  <c r="Z933" i="6"/>
  <c r="Z932" i="6"/>
  <c r="Z931" i="6"/>
  <c r="Z930" i="6"/>
  <c r="Z929" i="6"/>
  <c r="Z928" i="6"/>
  <c r="Z927" i="6"/>
  <c r="Z926" i="6"/>
  <c r="Z925" i="6"/>
  <c r="Z924" i="6"/>
  <c r="Z923" i="6"/>
  <c r="Z922" i="6"/>
  <c r="Z921" i="6"/>
  <c r="Z920" i="6"/>
  <c r="Z919" i="6"/>
  <c r="Z918" i="6"/>
  <c r="Z917" i="6"/>
  <c r="Z916" i="6"/>
  <c r="Z915" i="6"/>
  <c r="Z914" i="6"/>
  <c r="Z913" i="6"/>
  <c r="Z912" i="6"/>
  <c r="Z911" i="6"/>
  <c r="Z910" i="6"/>
  <c r="Z909" i="6"/>
  <c r="Z908" i="6"/>
  <c r="Z907" i="6"/>
  <c r="Z906" i="6"/>
  <c r="Z905" i="6"/>
  <c r="Z904" i="6"/>
  <c r="Z903" i="6"/>
  <c r="Z902" i="6"/>
  <c r="Z901" i="6"/>
  <c r="Z900" i="6"/>
  <c r="Z899" i="6"/>
  <c r="Z898" i="6"/>
  <c r="Z897" i="6"/>
  <c r="Z896" i="6"/>
  <c r="Z895" i="6"/>
  <c r="Z894" i="6"/>
  <c r="Z893" i="6"/>
  <c r="Z892" i="6"/>
  <c r="Z891" i="6"/>
  <c r="Z890" i="6"/>
  <c r="Z889" i="6"/>
  <c r="Z888" i="6"/>
  <c r="Z887" i="6"/>
  <c r="Z886" i="6"/>
  <c r="Z885" i="6"/>
  <c r="Z884" i="6"/>
  <c r="Z883" i="6"/>
  <c r="Z882" i="6"/>
  <c r="Z881" i="6"/>
  <c r="Z880" i="6"/>
  <c r="Z879" i="6"/>
  <c r="Z878" i="6"/>
  <c r="Z877" i="6"/>
  <c r="Z876" i="6"/>
  <c r="Z875" i="6"/>
  <c r="Z874" i="6"/>
  <c r="Z873" i="6"/>
  <c r="Z872" i="6"/>
  <c r="Z871" i="6"/>
  <c r="Z870" i="6"/>
  <c r="Z869" i="6"/>
  <c r="Z868" i="6"/>
  <c r="Z867" i="6"/>
  <c r="Z866" i="6"/>
  <c r="Z865" i="6"/>
  <c r="Z864" i="6"/>
  <c r="Z863" i="6"/>
  <c r="Z862" i="6"/>
  <c r="Z861" i="6"/>
  <c r="Z860" i="6"/>
  <c r="Z859" i="6"/>
  <c r="Z858" i="6"/>
  <c r="Z857" i="6"/>
  <c r="Z856" i="6"/>
  <c r="Z855" i="6"/>
  <c r="Z854" i="6"/>
  <c r="Z853" i="6"/>
  <c r="Z852" i="6"/>
  <c r="Z851" i="6"/>
  <c r="Z850" i="6"/>
  <c r="Z849" i="6"/>
  <c r="Z848" i="6"/>
  <c r="Z847" i="6"/>
  <c r="Z846" i="6"/>
  <c r="Z845" i="6"/>
  <c r="Z844" i="6"/>
  <c r="Z843" i="6"/>
  <c r="Z842" i="6"/>
  <c r="Z841" i="6"/>
  <c r="Z840" i="6"/>
  <c r="Z839" i="6"/>
  <c r="Z838" i="6"/>
  <c r="Z837" i="6"/>
  <c r="Z836" i="6"/>
  <c r="Z835" i="6"/>
  <c r="Z834" i="6"/>
  <c r="Z833" i="6"/>
  <c r="Z832" i="6"/>
  <c r="Z831" i="6"/>
  <c r="Z830" i="6"/>
  <c r="Z829" i="6"/>
  <c r="Z828" i="6"/>
  <c r="Z827" i="6"/>
  <c r="Z826" i="6"/>
  <c r="Z825" i="6"/>
  <c r="Z824" i="6"/>
  <c r="Z823" i="6"/>
  <c r="Z822" i="6"/>
  <c r="Z821" i="6"/>
  <c r="Z820" i="6"/>
  <c r="Z819" i="6"/>
  <c r="Z818" i="6"/>
  <c r="Z817" i="6"/>
  <c r="Z816" i="6"/>
  <c r="Z815" i="6"/>
  <c r="Z814" i="6"/>
  <c r="Z813" i="6"/>
  <c r="Z812" i="6"/>
  <c r="Z811" i="6"/>
  <c r="Z810" i="6"/>
  <c r="Z809" i="6"/>
  <c r="Z808" i="6"/>
  <c r="Z807" i="6"/>
  <c r="Z806" i="6"/>
  <c r="Z805" i="6"/>
  <c r="Z804" i="6"/>
  <c r="Z803" i="6"/>
  <c r="Z802" i="6"/>
  <c r="Z801" i="6"/>
  <c r="Z800" i="6"/>
  <c r="Z799" i="6"/>
  <c r="Z798" i="6"/>
  <c r="Z797" i="6"/>
  <c r="Z796" i="6"/>
  <c r="Z795" i="6"/>
  <c r="Z794" i="6"/>
  <c r="Z793" i="6"/>
  <c r="Z792" i="6"/>
  <c r="Z791" i="6"/>
  <c r="Z790" i="6"/>
  <c r="Z789" i="6"/>
  <c r="Z788" i="6"/>
  <c r="Z787" i="6"/>
  <c r="Z786" i="6"/>
  <c r="Z785" i="6"/>
  <c r="Z784" i="6"/>
  <c r="Z783" i="6"/>
  <c r="Z782" i="6"/>
  <c r="Z781" i="6"/>
  <c r="Z780" i="6"/>
  <c r="Z779" i="6"/>
  <c r="Z778" i="6"/>
  <c r="Z777" i="6"/>
  <c r="Z776" i="6"/>
  <c r="Z775" i="6"/>
  <c r="Z774" i="6"/>
  <c r="Z773" i="6"/>
  <c r="Z772" i="6"/>
  <c r="Z771" i="6"/>
  <c r="Z770" i="6"/>
  <c r="Z769" i="6"/>
  <c r="Z768" i="6"/>
  <c r="Z767" i="6"/>
  <c r="Z766" i="6"/>
  <c r="Z765" i="6"/>
  <c r="Z764" i="6"/>
  <c r="Z763" i="6"/>
  <c r="Z762" i="6"/>
  <c r="Z761" i="6"/>
  <c r="Z760" i="6"/>
  <c r="Z759" i="6"/>
  <c r="Z758" i="6"/>
  <c r="Z757" i="6"/>
  <c r="Z756" i="6"/>
  <c r="Z755" i="6"/>
  <c r="Z754" i="6"/>
  <c r="Z753" i="6"/>
  <c r="Z752" i="6"/>
  <c r="Z751" i="6"/>
  <c r="Z750" i="6"/>
  <c r="Z749" i="6"/>
  <c r="Z748" i="6"/>
  <c r="Z747" i="6"/>
  <c r="Z746" i="6"/>
  <c r="Z745" i="6"/>
  <c r="Z744" i="6"/>
  <c r="Z743" i="6"/>
  <c r="Z742" i="6"/>
  <c r="Z741" i="6"/>
  <c r="Z740" i="6"/>
  <c r="Z739" i="6"/>
  <c r="Z738" i="6"/>
  <c r="Z737" i="6"/>
  <c r="Z736" i="6"/>
  <c r="Z735" i="6"/>
  <c r="Z734" i="6"/>
  <c r="Z733" i="6"/>
  <c r="Z732" i="6"/>
  <c r="Z731" i="6"/>
  <c r="Z730" i="6"/>
  <c r="Z729" i="6"/>
  <c r="Z728" i="6"/>
  <c r="Z727" i="6"/>
  <c r="Z726" i="6"/>
  <c r="Z725" i="6"/>
  <c r="Z724" i="6"/>
  <c r="Z723" i="6"/>
  <c r="Z722" i="6"/>
  <c r="Z721" i="6"/>
  <c r="Z720" i="6"/>
  <c r="Z719" i="6"/>
  <c r="Z718" i="6"/>
  <c r="Z717" i="6"/>
  <c r="Z716" i="6"/>
  <c r="Z715" i="6"/>
  <c r="Z714" i="6"/>
  <c r="Z713" i="6"/>
  <c r="Z712" i="6"/>
  <c r="Z711" i="6"/>
  <c r="Z710" i="6"/>
  <c r="Z709" i="6"/>
  <c r="Z708" i="6"/>
  <c r="Z707" i="6"/>
  <c r="Z706" i="6"/>
  <c r="Z705" i="6"/>
  <c r="Z704" i="6"/>
  <c r="Z703" i="6"/>
  <c r="Z702" i="6"/>
  <c r="Z701" i="6"/>
  <c r="Z700" i="6"/>
  <c r="Z699" i="6"/>
  <c r="Z698" i="6"/>
  <c r="Z697" i="6"/>
  <c r="Z696" i="6"/>
  <c r="Z695" i="6"/>
  <c r="Z694" i="6"/>
  <c r="Z693" i="6"/>
  <c r="Z692" i="6"/>
  <c r="Z691" i="6"/>
  <c r="Z690" i="6"/>
  <c r="Z689" i="6"/>
  <c r="Z688" i="6"/>
  <c r="Z687" i="6"/>
  <c r="Z686" i="6"/>
  <c r="Z685" i="6"/>
  <c r="Z684" i="6"/>
  <c r="Z683" i="6"/>
  <c r="Z682" i="6"/>
  <c r="Z681" i="6"/>
  <c r="Z680" i="6"/>
  <c r="Z679" i="6"/>
  <c r="Z678" i="6"/>
  <c r="Z677" i="6"/>
  <c r="Z676" i="6"/>
  <c r="Z675" i="6"/>
  <c r="Z674" i="6"/>
  <c r="Z673" i="6"/>
  <c r="Z672" i="6"/>
  <c r="Z671" i="6"/>
  <c r="Z670" i="6"/>
  <c r="Z669" i="6"/>
  <c r="Z668" i="6"/>
  <c r="Z667" i="6"/>
  <c r="Z666" i="6"/>
  <c r="Z665" i="6"/>
  <c r="Z664" i="6"/>
  <c r="Z663" i="6"/>
  <c r="Z662" i="6"/>
  <c r="Z661" i="6"/>
  <c r="Z660" i="6"/>
  <c r="Z659" i="6"/>
  <c r="Z658" i="6"/>
  <c r="Z657" i="6"/>
  <c r="Z656" i="6"/>
  <c r="Z655" i="6"/>
  <c r="Z654" i="6"/>
  <c r="Z653" i="6"/>
  <c r="Z652" i="6"/>
  <c r="Z651" i="6"/>
  <c r="Z650" i="6"/>
  <c r="Z649" i="6"/>
  <c r="Z648" i="6"/>
  <c r="Z647" i="6"/>
  <c r="Z646" i="6"/>
  <c r="Z645" i="6"/>
  <c r="Z644" i="6"/>
  <c r="Z643" i="6"/>
  <c r="Z642" i="6"/>
  <c r="Z641" i="6"/>
  <c r="Z640" i="6"/>
  <c r="Z639" i="6"/>
  <c r="Z638" i="6"/>
  <c r="Z637" i="6"/>
  <c r="Z636" i="6"/>
  <c r="Z635" i="6"/>
  <c r="Z634" i="6"/>
  <c r="Z633" i="6"/>
  <c r="Z632" i="6"/>
  <c r="Z631" i="6"/>
  <c r="Z630" i="6"/>
  <c r="Z629" i="6"/>
  <c r="Z628" i="6"/>
  <c r="Z627" i="6"/>
  <c r="Z626" i="6"/>
  <c r="Z625" i="6"/>
  <c r="Z624" i="6"/>
  <c r="Z623" i="6"/>
  <c r="Z622" i="6"/>
  <c r="Z621" i="6"/>
  <c r="Z620" i="6"/>
  <c r="Z619" i="6"/>
  <c r="Z618" i="6"/>
  <c r="Z617" i="6"/>
  <c r="Z616" i="6"/>
  <c r="Z615" i="6"/>
  <c r="Z614" i="6"/>
  <c r="Z613" i="6"/>
  <c r="Z612" i="6"/>
  <c r="Z611" i="6"/>
  <c r="Z610" i="6"/>
  <c r="Z609" i="6"/>
  <c r="Z608" i="6"/>
  <c r="Z607" i="6"/>
  <c r="Z606" i="6"/>
  <c r="Z605" i="6"/>
  <c r="Z604" i="6"/>
  <c r="Z603" i="6"/>
  <c r="Z602" i="6"/>
  <c r="Z601" i="6"/>
  <c r="Z600" i="6"/>
  <c r="Z599" i="6"/>
  <c r="Z598" i="6"/>
  <c r="Z597" i="6"/>
  <c r="Z596" i="6"/>
  <c r="Z595" i="6"/>
  <c r="Z594" i="6"/>
  <c r="Z593" i="6"/>
  <c r="Z592" i="6"/>
  <c r="Z591" i="6"/>
  <c r="Z590" i="6"/>
  <c r="Z589" i="6"/>
  <c r="Z588" i="6"/>
  <c r="Z587" i="6"/>
  <c r="Z586" i="6"/>
  <c r="Z585" i="6"/>
  <c r="Z584" i="6"/>
  <c r="Z583" i="6"/>
  <c r="Z582" i="6"/>
  <c r="Z581" i="6"/>
  <c r="Z580" i="6"/>
  <c r="Z579" i="6"/>
  <c r="Z578" i="6"/>
  <c r="Z577" i="6"/>
  <c r="Z576" i="6"/>
  <c r="Z575" i="6"/>
  <c r="Z574" i="6"/>
  <c r="Z573" i="6"/>
  <c r="Z572" i="6"/>
  <c r="Z571" i="6"/>
  <c r="Z570" i="6"/>
  <c r="Z569" i="6"/>
  <c r="Z568" i="6"/>
  <c r="Z567" i="6"/>
  <c r="Z566" i="6"/>
  <c r="Z565" i="6"/>
  <c r="Z564" i="6"/>
  <c r="Z563" i="6"/>
  <c r="Z562" i="6"/>
  <c r="Z561" i="6"/>
  <c r="Z560" i="6"/>
  <c r="Z559" i="6"/>
  <c r="Z558" i="6"/>
  <c r="Z557" i="6"/>
  <c r="Z556" i="6"/>
  <c r="Z555" i="6"/>
  <c r="Z554" i="6"/>
  <c r="Z553" i="6"/>
  <c r="Z552" i="6"/>
  <c r="Z551" i="6"/>
  <c r="Z550" i="6"/>
  <c r="Z549" i="6"/>
  <c r="Z548" i="6"/>
  <c r="Z547" i="6"/>
  <c r="Z546" i="6"/>
  <c r="Z545" i="6"/>
  <c r="Z544" i="6"/>
  <c r="Z543" i="6"/>
  <c r="Z542" i="6"/>
  <c r="Z541" i="6"/>
  <c r="Z540" i="6"/>
  <c r="Z539" i="6"/>
  <c r="Z538" i="6"/>
  <c r="Z537" i="6"/>
  <c r="Z536" i="6"/>
  <c r="Z535" i="6"/>
  <c r="Z534" i="6"/>
  <c r="Z533" i="6"/>
  <c r="Z532" i="6"/>
  <c r="Z531" i="6"/>
  <c r="Z530" i="6"/>
  <c r="Z529" i="6"/>
  <c r="Z528" i="6"/>
  <c r="Z527" i="6"/>
  <c r="Z526" i="6"/>
  <c r="Z525" i="6"/>
  <c r="Z524" i="6"/>
  <c r="Z523" i="6"/>
  <c r="Z522" i="6"/>
  <c r="Z521" i="6"/>
  <c r="Z520" i="6"/>
  <c r="Z519" i="6"/>
  <c r="Z518" i="6"/>
  <c r="Z517" i="6"/>
  <c r="Z516" i="6"/>
  <c r="Z515" i="6"/>
  <c r="Z514" i="6"/>
  <c r="Z513" i="6"/>
  <c r="Z512" i="6"/>
  <c r="Z511" i="6"/>
  <c r="Z510" i="6"/>
  <c r="Z509" i="6"/>
  <c r="Z508" i="6"/>
  <c r="Z507" i="6"/>
  <c r="Z506" i="6"/>
  <c r="Z505" i="6"/>
  <c r="Z504" i="6"/>
  <c r="Z503" i="6"/>
  <c r="Z502" i="6"/>
  <c r="Z501" i="6"/>
  <c r="Z500" i="6"/>
  <c r="Z499" i="6"/>
  <c r="Z498" i="6"/>
  <c r="Z497" i="6"/>
  <c r="Z496" i="6"/>
  <c r="Z495" i="6"/>
  <c r="Z494" i="6"/>
  <c r="Z493" i="6"/>
  <c r="Z492" i="6"/>
  <c r="Z491" i="6"/>
  <c r="Z490" i="6"/>
  <c r="Z489" i="6"/>
  <c r="Z488" i="6"/>
  <c r="Z487" i="6"/>
  <c r="Z486" i="6"/>
  <c r="Z485" i="6"/>
  <c r="Z484" i="6"/>
  <c r="Z483" i="6"/>
  <c r="Z482" i="6"/>
  <c r="Z481" i="6"/>
  <c r="Z480" i="6"/>
  <c r="Z479" i="6"/>
  <c r="Z478" i="6"/>
  <c r="Z477" i="6"/>
  <c r="Z476" i="6"/>
  <c r="Z475" i="6"/>
  <c r="Z474" i="6"/>
  <c r="Z473" i="6"/>
  <c r="Z472" i="6"/>
  <c r="Z471" i="6"/>
  <c r="Z470" i="6"/>
  <c r="Z469" i="6"/>
  <c r="Z468" i="6"/>
  <c r="Z467" i="6"/>
  <c r="Z466" i="6"/>
  <c r="Z465" i="6"/>
  <c r="Z464" i="6"/>
  <c r="Z463" i="6"/>
  <c r="Z462" i="6"/>
  <c r="Z461" i="6"/>
  <c r="Z460" i="6"/>
  <c r="Z459" i="6"/>
  <c r="Z458" i="6"/>
  <c r="Z457" i="6"/>
  <c r="Z456" i="6"/>
  <c r="Z455" i="6"/>
  <c r="Z454" i="6"/>
  <c r="Z453" i="6"/>
  <c r="Z452" i="6"/>
  <c r="Z451" i="6"/>
  <c r="Z450" i="6"/>
  <c r="Z449" i="6"/>
  <c r="Z448" i="6"/>
  <c r="Z447" i="6"/>
  <c r="Z446" i="6"/>
  <c r="Z445" i="6"/>
  <c r="Z444" i="6"/>
  <c r="Z443" i="6"/>
  <c r="Z442" i="6"/>
  <c r="Z441" i="6"/>
  <c r="Z440" i="6"/>
  <c r="Z439" i="6"/>
  <c r="Z438" i="6"/>
  <c r="Z437" i="6"/>
  <c r="Z436" i="6"/>
  <c r="Z435" i="6"/>
  <c r="Z434" i="6"/>
  <c r="Z433" i="6"/>
  <c r="Z432" i="6"/>
  <c r="Z431" i="6"/>
  <c r="Z430" i="6"/>
  <c r="Z429" i="6"/>
  <c r="Z428" i="6"/>
  <c r="Z427" i="6"/>
  <c r="Z426" i="6"/>
  <c r="Z425" i="6"/>
  <c r="Z424" i="6"/>
  <c r="Z423" i="6"/>
  <c r="Z422" i="6"/>
  <c r="Z421" i="6"/>
  <c r="Z420" i="6"/>
  <c r="Z419" i="6"/>
  <c r="Z418" i="6"/>
  <c r="Z417" i="6"/>
  <c r="Z416" i="6"/>
  <c r="Z415" i="6"/>
  <c r="Z414" i="6"/>
  <c r="Z413" i="6"/>
  <c r="Z412" i="6"/>
  <c r="Z411" i="6"/>
  <c r="Z410" i="6"/>
  <c r="Z409" i="6"/>
  <c r="Z408" i="6"/>
  <c r="Z407" i="6"/>
  <c r="Z406" i="6"/>
  <c r="Z405" i="6"/>
  <c r="Z404" i="6"/>
  <c r="Z403" i="6"/>
  <c r="Z402" i="6"/>
  <c r="Z401" i="6"/>
  <c r="Z400" i="6"/>
  <c r="Z399" i="6"/>
  <c r="Z398" i="6"/>
  <c r="Z397" i="6"/>
  <c r="Z396" i="6"/>
  <c r="Z395" i="6"/>
  <c r="Z394" i="6"/>
  <c r="Z393" i="6"/>
  <c r="Z392" i="6"/>
  <c r="Z391" i="6"/>
  <c r="Z390" i="6"/>
  <c r="Z389" i="6"/>
  <c r="Z388" i="6"/>
  <c r="Z387" i="6"/>
  <c r="Z386" i="6"/>
  <c r="Z385" i="6"/>
  <c r="Z384" i="6"/>
  <c r="Z383" i="6"/>
  <c r="Z382" i="6"/>
  <c r="Z381" i="6"/>
  <c r="Z380" i="6"/>
  <c r="Z379" i="6"/>
  <c r="Z378" i="6"/>
  <c r="Z377" i="6"/>
  <c r="Z376" i="6"/>
  <c r="Z375" i="6"/>
  <c r="Z374" i="6"/>
  <c r="Z373" i="6"/>
  <c r="Z372" i="6"/>
  <c r="Z371" i="6"/>
  <c r="Z370" i="6"/>
  <c r="Z369" i="6"/>
  <c r="Z368" i="6"/>
  <c r="Z367" i="6"/>
  <c r="Z366" i="6"/>
  <c r="Z365" i="6"/>
  <c r="Z364" i="6"/>
  <c r="Z363" i="6"/>
  <c r="Z362" i="6"/>
  <c r="Z361" i="6"/>
  <c r="Z360" i="6"/>
  <c r="Z359" i="6"/>
  <c r="Z358" i="6"/>
  <c r="Z357" i="6"/>
  <c r="Z356" i="6"/>
  <c r="Z355" i="6"/>
  <c r="Z354" i="6"/>
  <c r="Z353" i="6"/>
  <c r="Z352" i="6"/>
  <c r="Z351" i="6"/>
  <c r="Z350" i="6"/>
  <c r="Z349" i="6"/>
  <c r="Z348" i="6"/>
  <c r="Z347" i="6"/>
  <c r="Z346" i="6"/>
  <c r="Z345" i="6"/>
  <c r="Z344" i="6"/>
  <c r="Z343" i="6"/>
  <c r="Z342" i="6"/>
  <c r="Z341" i="6"/>
  <c r="Z340" i="6"/>
  <c r="Z339" i="6"/>
  <c r="Z338" i="6"/>
  <c r="Z337" i="6"/>
  <c r="Z336" i="6"/>
  <c r="Z335" i="6"/>
  <c r="Z334" i="6"/>
  <c r="Z333" i="6"/>
  <c r="Z332" i="6"/>
  <c r="Z331" i="6"/>
  <c r="Z330" i="6"/>
  <c r="Z329" i="6"/>
  <c r="Z328" i="6"/>
  <c r="Z327" i="6"/>
  <c r="Z326" i="6"/>
  <c r="Z325" i="6"/>
  <c r="Z324" i="6"/>
  <c r="Z323" i="6"/>
  <c r="Z322" i="6"/>
  <c r="Z321" i="6"/>
  <c r="Z320" i="6"/>
  <c r="Z319" i="6"/>
  <c r="Z318" i="6"/>
  <c r="Z317" i="6"/>
  <c r="Z316" i="6"/>
  <c r="Z315" i="6"/>
  <c r="Z314" i="6"/>
  <c r="Z313" i="6"/>
  <c r="Z312" i="6"/>
  <c r="Z311" i="6"/>
  <c r="Z310" i="6"/>
  <c r="Z309" i="6"/>
  <c r="Z308" i="6"/>
  <c r="Z307" i="6"/>
  <c r="Z306" i="6"/>
  <c r="Z305" i="6"/>
  <c r="Z304" i="6"/>
  <c r="Z303" i="6"/>
  <c r="Z302" i="6"/>
  <c r="Z301" i="6"/>
  <c r="Z300" i="6"/>
  <c r="Z299" i="6"/>
  <c r="Z298" i="6"/>
  <c r="Z297" i="6"/>
  <c r="Z296" i="6"/>
  <c r="Z295" i="6"/>
  <c r="Z294" i="6"/>
  <c r="Z293" i="6"/>
  <c r="Z292" i="6"/>
  <c r="Z291" i="6"/>
  <c r="Z290" i="6"/>
  <c r="Z289" i="6"/>
  <c r="Z288" i="6"/>
  <c r="Z287" i="6"/>
  <c r="Z286" i="6"/>
  <c r="Z285" i="6"/>
  <c r="Z284" i="6"/>
  <c r="Z283" i="6"/>
  <c r="Z282" i="6"/>
  <c r="Z281" i="6"/>
  <c r="Z280" i="6"/>
  <c r="Z279" i="6"/>
  <c r="Z278" i="6"/>
  <c r="Z277" i="6"/>
  <c r="Z276" i="6"/>
  <c r="Z275" i="6"/>
  <c r="Z274" i="6"/>
  <c r="Z273" i="6"/>
  <c r="Z272" i="6"/>
  <c r="Z271" i="6"/>
  <c r="Z270" i="6"/>
  <c r="Z269" i="6"/>
  <c r="Z268" i="6"/>
  <c r="Z267" i="6"/>
  <c r="Z266" i="6"/>
  <c r="Z265" i="6"/>
  <c r="Z264" i="6"/>
  <c r="Z263" i="6"/>
  <c r="Z262" i="6"/>
  <c r="Z261" i="6"/>
  <c r="Z260" i="6"/>
  <c r="Z259" i="6"/>
  <c r="Z258" i="6"/>
  <c r="Z257" i="6"/>
  <c r="Z256" i="6"/>
  <c r="Z255" i="6"/>
  <c r="Z254" i="6"/>
  <c r="Z253" i="6"/>
  <c r="Z252" i="6"/>
  <c r="Z251" i="6"/>
  <c r="Z250" i="6"/>
  <c r="Z249" i="6"/>
  <c r="Z248" i="6"/>
  <c r="Z247" i="6"/>
  <c r="Z246" i="6"/>
  <c r="Z245" i="6"/>
  <c r="Z244" i="6"/>
  <c r="Z243" i="6"/>
  <c r="Z242" i="6"/>
  <c r="Z241" i="6"/>
  <c r="Z240" i="6"/>
  <c r="Z239" i="6"/>
  <c r="Z238" i="6"/>
  <c r="Z237" i="6"/>
  <c r="Z236" i="6"/>
  <c r="Z235" i="6"/>
  <c r="Z234" i="6"/>
  <c r="Z233" i="6"/>
  <c r="Z232" i="6"/>
  <c r="Z231" i="6"/>
  <c r="Z230" i="6"/>
  <c r="Z229" i="6"/>
  <c r="Z228" i="6"/>
  <c r="Z227" i="6"/>
  <c r="Z226" i="6"/>
  <c r="Z225" i="6"/>
  <c r="Z224" i="6"/>
  <c r="Z223" i="6"/>
  <c r="Z222" i="6"/>
  <c r="Z221" i="6"/>
  <c r="Z220" i="6"/>
  <c r="Z219" i="6"/>
  <c r="Z218" i="6"/>
  <c r="Z217" i="6"/>
  <c r="Z216" i="6"/>
  <c r="Z215" i="6"/>
  <c r="Z214" i="6"/>
  <c r="Z213" i="6"/>
  <c r="Z212" i="6"/>
  <c r="Z211" i="6"/>
  <c r="Z210" i="6"/>
  <c r="Z209" i="6"/>
  <c r="Z208" i="6"/>
  <c r="Z207" i="6"/>
  <c r="Z206" i="6"/>
  <c r="Z205" i="6"/>
  <c r="Z204" i="6"/>
  <c r="Z203" i="6"/>
  <c r="Z202" i="6"/>
  <c r="Z201" i="6"/>
  <c r="Z200" i="6"/>
  <c r="Z199" i="6"/>
  <c r="Z198" i="6"/>
  <c r="Z197" i="6"/>
  <c r="Z196" i="6"/>
  <c r="Z195" i="6"/>
  <c r="Z194" i="6"/>
  <c r="Z193" i="6"/>
  <c r="Z192" i="6"/>
  <c r="Z191" i="6"/>
  <c r="Z190" i="6"/>
  <c r="Z189" i="6"/>
  <c r="Z188" i="6"/>
  <c r="Z187" i="6"/>
  <c r="Z186" i="6"/>
  <c r="Z185" i="6"/>
  <c r="Z184" i="6"/>
  <c r="Z183" i="6"/>
  <c r="Z182" i="6"/>
  <c r="Z181" i="6"/>
  <c r="Z180" i="6"/>
  <c r="Z179" i="6"/>
  <c r="Z178" i="6"/>
  <c r="Z177" i="6"/>
  <c r="Z176" i="6"/>
  <c r="Z175" i="6"/>
  <c r="Z174" i="6"/>
  <c r="Z173" i="6"/>
  <c r="Z172" i="6"/>
  <c r="Z171" i="6"/>
  <c r="Z170" i="6"/>
  <c r="Z169" i="6"/>
  <c r="Z168" i="6"/>
  <c r="Z167" i="6"/>
  <c r="Z166" i="6"/>
  <c r="Z165" i="6"/>
  <c r="Z164" i="6"/>
  <c r="Z163" i="6"/>
  <c r="Z162" i="6"/>
  <c r="Z161" i="6"/>
  <c r="Z160" i="6"/>
  <c r="Z159" i="6"/>
  <c r="Z158" i="6"/>
  <c r="Z157" i="6"/>
  <c r="Z156" i="6"/>
  <c r="Z155" i="6"/>
  <c r="Z154" i="6"/>
  <c r="Z153" i="6"/>
  <c r="Z152" i="6"/>
  <c r="Z151" i="6"/>
  <c r="Z150" i="6"/>
  <c r="Z149" i="6"/>
  <c r="Z148" i="6"/>
  <c r="Z147" i="6"/>
  <c r="Z146" i="6"/>
  <c r="Z145" i="6"/>
  <c r="Z144" i="6"/>
  <c r="Z143" i="6"/>
  <c r="Z142" i="6"/>
  <c r="Z141" i="6"/>
  <c r="Z140" i="6"/>
  <c r="Z139" i="6"/>
  <c r="Z138" i="6"/>
  <c r="Z137" i="6"/>
  <c r="Z136" i="6"/>
  <c r="Z135" i="6"/>
  <c r="Z134" i="6"/>
  <c r="Z133" i="6"/>
  <c r="Z132" i="6"/>
  <c r="Z131" i="6"/>
  <c r="Z130" i="6"/>
  <c r="Z129" i="6"/>
  <c r="Z128" i="6"/>
  <c r="Z127" i="6"/>
  <c r="Z126" i="6"/>
  <c r="Z125" i="6"/>
  <c r="Z124" i="6"/>
  <c r="Z123" i="6"/>
  <c r="Z122" i="6"/>
  <c r="Z121" i="6"/>
  <c r="Z120" i="6"/>
  <c r="Z119" i="6"/>
  <c r="Z118" i="6"/>
  <c r="Z117" i="6"/>
  <c r="Z116" i="6"/>
  <c r="Z115" i="6"/>
  <c r="Z114" i="6"/>
  <c r="Z113" i="6"/>
  <c r="Z112" i="6"/>
  <c r="Z111" i="6"/>
  <c r="Z110" i="6"/>
  <c r="Z109" i="6"/>
  <c r="Z108" i="6"/>
  <c r="Z107" i="6"/>
  <c r="Z106" i="6"/>
  <c r="Z105" i="6"/>
  <c r="Z104" i="6"/>
  <c r="Z103" i="6"/>
  <c r="Z102" i="6"/>
  <c r="Z101" i="6"/>
  <c r="Z100" i="6"/>
  <c r="Z99" i="6"/>
  <c r="Z98" i="6"/>
  <c r="Z97" i="6"/>
  <c r="Z96" i="6"/>
  <c r="Z95" i="6"/>
  <c r="Z94" i="6"/>
  <c r="Z93" i="6"/>
  <c r="Z92" i="6"/>
  <c r="Z91" i="6"/>
  <c r="Z90" i="6"/>
  <c r="Z89" i="6"/>
  <c r="Z88" i="6"/>
  <c r="Z87" i="6"/>
  <c r="Z86" i="6"/>
  <c r="Z85" i="6"/>
  <c r="Z84" i="6"/>
  <c r="Z83" i="6"/>
  <c r="Z82" i="6"/>
  <c r="Z81" i="6"/>
  <c r="Z80" i="6"/>
  <c r="Z79" i="6"/>
  <c r="Z78" i="6"/>
  <c r="Z77" i="6"/>
  <c r="Z76" i="6"/>
  <c r="Z75" i="6"/>
  <c r="Z74" i="6"/>
  <c r="Z73" i="6"/>
  <c r="Z72" i="6"/>
  <c r="Z71" i="6"/>
  <c r="Z70" i="6"/>
  <c r="Z69" i="6"/>
  <c r="Z68" i="6"/>
  <c r="Z67" i="6"/>
  <c r="Z66" i="6"/>
  <c r="Z65" i="6"/>
  <c r="Z64" i="6"/>
  <c r="Z63" i="6"/>
  <c r="Z62" i="6"/>
  <c r="Z61" i="6"/>
  <c r="Z60" i="6"/>
  <c r="Z59" i="6"/>
  <c r="Z58" i="6"/>
  <c r="Z57" i="6"/>
  <c r="Z56" i="6"/>
  <c r="Z55" i="6"/>
  <c r="Z54" i="6"/>
  <c r="Z53" i="6"/>
  <c r="Z52" i="6"/>
  <c r="Z51" i="6"/>
  <c r="Z50" i="6"/>
  <c r="Z49" i="6"/>
  <c r="Z48" i="6"/>
  <c r="Z47" i="6"/>
  <c r="Z46" i="6"/>
  <c r="Z45" i="6"/>
  <c r="Z44" i="6"/>
  <c r="Z43" i="6"/>
  <c r="Z42" i="6"/>
  <c r="Z41" i="6"/>
  <c r="Z40" i="6"/>
  <c r="Z39" i="6"/>
  <c r="Z38" i="6"/>
  <c r="Z37" i="6"/>
  <c r="Z36" i="6"/>
  <c r="Z35" i="6"/>
  <c r="Z34" i="6"/>
  <c r="Z33" i="6"/>
  <c r="Z32" i="6"/>
  <c r="Z31" i="6"/>
  <c r="Z30" i="6"/>
  <c r="Z29" i="6"/>
  <c r="Z28" i="6"/>
  <c r="Z27" i="6"/>
  <c r="Z26" i="6"/>
  <c r="Z25" i="6"/>
  <c r="Z24" i="6"/>
  <c r="Z23" i="6"/>
  <c r="Z22" i="6"/>
  <c r="Z21" i="6"/>
  <c r="Z20" i="6"/>
  <c r="Z19" i="6"/>
  <c r="Z18" i="6"/>
  <c r="Z17" i="6"/>
  <c r="Z16" i="6"/>
  <c r="Z15" i="6"/>
  <c r="Z14" i="6"/>
  <c r="Z13" i="6"/>
  <c r="Z12" i="6"/>
  <c r="Z11" i="6"/>
  <c r="Z10" i="6"/>
  <c r="Z9" i="6"/>
  <c r="Z8" i="6"/>
  <c r="Z7" i="6"/>
  <c r="Z6" i="6"/>
  <c r="Z5" i="6"/>
  <c r="Z4" i="6"/>
  <c r="Z3" i="6"/>
  <c r="Z1713" i="6"/>
  <c r="X3" i="6"/>
  <c r="X4" i="6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X28" i="6"/>
  <c r="X29" i="6"/>
  <c r="X30" i="6"/>
  <c r="X31" i="6"/>
  <c r="X32" i="6"/>
  <c r="X33" i="6"/>
  <c r="X34" i="6"/>
  <c r="X35" i="6"/>
  <c r="X36" i="6"/>
  <c r="X37" i="6"/>
  <c r="X38" i="6"/>
  <c r="X39" i="6"/>
  <c r="X40" i="6"/>
  <c r="X41" i="6"/>
  <c r="X42" i="6"/>
  <c r="X43" i="6"/>
  <c r="X44" i="6"/>
  <c r="X45" i="6"/>
  <c r="X46" i="6"/>
  <c r="X47" i="6"/>
  <c r="X48" i="6"/>
  <c r="X49" i="6"/>
  <c r="X50" i="6"/>
  <c r="X51" i="6"/>
  <c r="X52" i="6"/>
  <c r="X53" i="6"/>
  <c r="X54" i="6"/>
  <c r="X55" i="6"/>
  <c r="X56" i="6"/>
  <c r="X57" i="6"/>
  <c r="X58" i="6"/>
  <c r="X59" i="6"/>
  <c r="X60" i="6"/>
  <c r="X61" i="6"/>
  <c r="X62" i="6"/>
  <c r="X63" i="6"/>
  <c r="X64" i="6"/>
  <c r="X65" i="6"/>
  <c r="X66" i="6"/>
  <c r="X67" i="6"/>
  <c r="X68" i="6"/>
  <c r="X69" i="6"/>
  <c r="X70" i="6"/>
  <c r="X71" i="6"/>
  <c r="X72" i="6"/>
  <c r="X73" i="6"/>
  <c r="X74" i="6"/>
  <c r="X75" i="6"/>
  <c r="X76" i="6"/>
  <c r="X77" i="6"/>
  <c r="X78" i="6"/>
  <c r="X79" i="6"/>
  <c r="X80" i="6"/>
  <c r="X81" i="6"/>
  <c r="X82" i="6"/>
  <c r="X83" i="6"/>
  <c r="X84" i="6"/>
  <c r="X85" i="6"/>
  <c r="X86" i="6"/>
  <c r="X87" i="6"/>
  <c r="X88" i="6"/>
  <c r="X89" i="6"/>
  <c r="X90" i="6"/>
  <c r="X91" i="6"/>
  <c r="X92" i="6"/>
  <c r="X93" i="6"/>
  <c r="X94" i="6"/>
  <c r="X95" i="6"/>
  <c r="X96" i="6"/>
  <c r="X97" i="6"/>
  <c r="X98" i="6"/>
  <c r="X99" i="6"/>
  <c r="X100" i="6"/>
  <c r="X101" i="6"/>
  <c r="X102" i="6"/>
  <c r="X103" i="6"/>
  <c r="X104" i="6"/>
  <c r="X105" i="6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X120" i="6"/>
  <c r="X121" i="6"/>
  <c r="X122" i="6"/>
  <c r="X123" i="6"/>
  <c r="X124" i="6"/>
  <c r="X125" i="6"/>
  <c r="X126" i="6"/>
  <c r="X127" i="6"/>
  <c r="X128" i="6"/>
  <c r="X129" i="6"/>
  <c r="X130" i="6"/>
  <c r="X131" i="6"/>
  <c r="X132" i="6"/>
  <c r="X133" i="6"/>
  <c r="X134" i="6"/>
  <c r="X135" i="6"/>
  <c r="X136" i="6"/>
  <c r="X137" i="6"/>
  <c r="X138" i="6"/>
  <c r="X139" i="6"/>
  <c r="X140" i="6"/>
  <c r="X141" i="6"/>
  <c r="X142" i="6"/>
  <c r="X143" i="6"/>
  <c r="X144" i="6"/>
  <c r="X145" i="6"/>
  <c r="X146" i="6"/>
  <c r="X147" i="6"/>
  <c r="X148" i="6"/>
  <c r="X149" i="6"/>
  <c r="X150" i="6"/>
  <c r="X151" i="6"/>
  <c r="X152" i="6"/>
  <c r="X153" i="6"/>
  <c r="X154" i="6"/>
  <c r="X155" i="6"/>
  <c r="X156" i="6"/>
  <c r="X157" i="6"/>
  <c r="X158" i="6"/>
  <c r="X159" i="6"/>
  <c r="X160" i="6"/>
  <c r="X161" i="6"/>
  <c r="X162" i="6"/>
  <c r="X163" i="6"/>
  <c r="X164" i="6"/>
  <c r="X165" i="6"/>
  <c r="X166" i="6"/>
  <c r="X167" i="6"/>
  <c r="X168" i="6"/>
  <c r="X169" i="6"/>
  <c r="X170" i="6"/>
  <c r="X171" i="6"/>
  <c r="X172" i="6"/>
  <c r="X173" i="6"/>
  <c r="X174" i="6"/>
  <c r="X175" i="6"/>
  <c r="X176" i="6"/>
  <c r="X177" i="6"/>
  <c r="X178" i="6"/>
  <c r="X179" i="6"/>
  <c r="X180" i="6"/>
  <c r="X181" i="6"/>
  <c r="X182" i="6"/>
  <c r="X183" i="6"/>
  <c r="X184" i="6"/>
  <c r="X185" i="6"/>
  <c r="X186" i="6"/>
  <c r="X187" i="6"/>
  <c r="X188" i="6"/>
  <c r="X189" i="6"/>
  <c r="X190" i="6"/>
  <c r="X191" i="6"/>
  <c r="X192" i="6"/>
  <c r="X193" i="6"/>
  <c r="X194" i="6"/>
  <c r="X195" i="6"/>
  <c r="X196" i="6"/>
  <c r="X197" i="6"/>
  <c r="X198" i="6"/>
  <c r="X199" i="6"/>
  <c r="X200" i="6"/>
  <c r="X201" i="6"/>
  <c r="X202" i="6"/>
  <c r="X203" i="6"/>
  <c r="X204" i="6"/>
  <c r="X205" i="6"/>
  <c r="X206" i="6"/>
  <c r="X207" i="6"/>
  <c r="X208" i="6"/>
  <c r="X209" i="6"/>
  <c r="X210" i="6"/>
  <c r="X211" i="6"/>
  <c r="X212" i="6"/>
  <c r="X213" i="6"/>
  <c r="X214" i="6"/>
  <c r="X215" i="6"/>
  <c r="X216" i="6"/>
  <c r="X217" i="6"/>
  <c r="X218" i="6"/>
  <c r="X219" i="6"/>
  <c r="X220" i="6"/>
  <c r="X221" i="6"/>
  <c r="X222" i="6"/>
  <c r="X223" i="6"/>
  <c r="X224" i="6"/>
  <c r="X225" i="6"/>
  <c r="X226" i="6"/>
  <c r="X227" i="6"/>
  <c r="X228" i="6"/>
  <c r="X229" i="6"/>
  <c r="X230" i="6"/>
  <c r="X231" i="6"/>
  <c r="X232" i="6"/>
  <c r="X233" i="6"/>
  <c r="X234" i="6"/>
  <c r="X235" i="6"/>
  <c r="X236" i="6"/>
  <c r="X237" i="6"/>
  <c r="X238" i="6"/>
  <c r="X239" i="6"/>
  <c r="X240" i="6"/>
  <c r="X241" i="6"/>
  <c r="X242" i="6"/>
  <c r="X243" i="6"/>
  <c r="X244" i="6"/>
  <c r="X245" i="6"/>
  <c r="X246" i="6"/>
  <c r="X247" i="6"/>
  <c r="X248" i="6"/>
  <c r="X249" i="6"/>
  <c r="X250" i="6"/>
  <c r="X251" i="6"/>
  <c r="X252" i="6"/>
  <c r="X253" i="6"/>
  <c r="X254" i="6"/>
  <c r="X255" i="6"/>
  <c r="X256" i="6"/>
  <c r="X257" i="6"/>
  <c r="X258" i="6"/>
  <c r="X259" i="6"/>
  <c r="X260" i="6"/>
  <c r="X261" i="6"/>
  <c r="X262" i="6"/>
  <c r="X263" i="6"/>
  <c r="X264" i="6"/>
  <c r="X265" i="6"/>
  <c r="X266" i="6"/>
  <c r="X267" i="6"/>
  <c r="X268" i="6"/>
  <c r="X269" i="6"/>
  <c r="X270" i="6"/>
  <c r="X271" i="6"/>
  <c r="X272" i="6"/>
  <c r="X273" i="6"/>
  <c r="X274" i="6"/>
  <c r="X275" i="6"/>
  <c r="X276" i="6"/>
  <c r="X277" i="6"/>
  <c r="X278" i="6"/>
  <c r="X279" i="6"/>
  <c r="X280" i="6"/>
  <c r="X281" i="6"/>
  <c r="X282" i="6"/>
  <c r="X283" i="6"/>
  <c r="X284" i="6"/>
  <c r="X285" i="6"/>
  <c r="X286" i="6"/>
  <c r="X287" i="6"/>
  <c r="X288" i="6"/>
  <c r="X289" i="6"/>
  <c r="X290" i="6"/>
  <c r="X291" i="6"/>
  <c r="X292" i="6"/>
  <c r="X293" i="6"/>
  <c r="X294" i="6"/>
  <c r="X295" i="6"/>
  <c r="X296" i="6"/>
  <c r="X297" i="6"/>
  <c r="X298" i="6"/>
  <c r="X299" i="6"/>
  <c r="X300" i="6"/>
  <c r="X301" i="6"/>
  <c r="X302" i="6"/>
  <c r="X303" i="6"/>
  <c r="X304" i="6"/>
  <c r="X305" i="6"/>
  <c r="X306" i="6"/>
  <c r="X307" i="6"/>
  <c r="X308" i="6"/>
  <c r="X309" i="6"/>
  <c r="X310" i="6"/>
  <c r="X311" i="6"/>
  <c r="X312" i="6"/>
  <c r="X313" i="6"/>
  <c r="X314" i="6"/>
  <c r="X315" i="6"/>
  <c r="X316" i="6"/>
  <c r="X317" i="6"/>
  <c r="X318" i="6"/>
  <c r="X319" i="6"/>
  <c r="X320" i="6"/>
  <c r="X321" i="6"/>
  <c r="X322" i="6"/>
  <c r="X323" i="6"/>
  <c r="X324" i="6"/>
  <c r="X325" i="6"/>
  <c r="X326" i="6"/>
  <c r="X327" i="6"/>
  <c r="X328" i="6"/>
  <c r="X329" i="6"/>
  <c r="X330" i="6"/>
  <c r="X331" i="6"/>
  <c r="X332" i="6"/>
  <c r="X333" i="6"/>
  <c r="X334" i="6"/>
  <c r="X335" i="6"/>
  <c r="X336" i="6"/>
  <c r="X337" i="6"/>
  <c r="X338" i="6"/>
  <c r="X339" i="6"/>
  <c r="X340" i="6"/>
  <c r="X341" i="6"/>
  <c r="X342" i="6"/>
  <c r="X343" i="6"/>
  <c r="X344" i="6"/>
  <c r="X345" i="6"/>
  <c r="X346" i="6"/>
  <c r="X347" i="6"/>
  <c r="X348" i="6"/>
  <c r="X349" i="6"/>
  <c r="X350" i="6"/>
  <c r="X351" i="6"/>
  <c r="X352" i="6"/>
  <c r="X353" i="6"/>
  <c r="X354" i="6"/>
  <c r="X355" i="6"/>
  <c r="X356" i="6"/>
  <c r="X357" i="6"/>
  <c r="X358" i="6"/>
  <c r="X359" i="6"/>
  <c r="X360" i="6"/>
  <c r="X361" i="6"/>
  <c r="X362" i="6"/>
  <c r="X363" i="6"/>
  <c r="X364" i="6"/>
  <c r="X365" i="6"/>
  <c r="X366" i="6"/>
  <c r="X367" i="6"/>
  <c r="X368" i="6"/>
  <c r="X369" i="6"/>
  <c r="X370" i="6"/>
  <c r="X371" i="6"/>
  <c r="X372" i="6"/>
  <c r="X373" i="6"/>
  <c r="X374" i="6"/>
  <c r="X375" i="6"/>
  <c r="X376" i="6"/>
  <c r="X377" i="6"/>
  <c r="X378" i="6"/>
  <c r="X379" i="6"/>
  <c r="X380" i="6"/>
  <c r="X381" i="6"/>
  <c r="X382" i="6"/>
  <c r="X383" i="6"/>
  <c r="X384" i="6"/>
  <c r="X385" i="6"/>
  <c r="X386" i="6"/>
  <c r="X387" i="6"/>
  <c r="X388" i="6"/>
  <c r="X389" i="6"/>
  <c r="X390" i="6"/>
  <c r="X391" i="6"/>
  <c r="X392" i="6"/>
  <c r="X393" i="6"/>
  <c r="X394" i="6"/>
  <c r="X395" i="6"/>
  <c r="X396" i="6"/>
  <c r="X397" i="6"/>
  <c r="X398" i="6"/>
  <c r="X399" i="6"/>
  <c r="X400" i="6"/>
  <c r="X401" i="6"/>
  <c r="X402" i="6"/>
  <c r="X403" i="6"/>
  <c r="X404" i="6"/>
  <c r="X405" i="6"/>
  <c r="X406" i="6"/>
  <c r="X407" i="6"/>
  <c r="X408" i="6"/>
  <c r="X409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504" i="6"/>
  <c r="X505" i="6"/>
  <c r="X506" i="6"/>
  <c r="X507" i="6"/>
  <c r="X508" i="6"/>
  <c r="X509" i="6"/>
  <c r="X510" i="6"/>
  <c r="X511" i="6"/>
  <c r="X512" i="6"/>
  <c r="X513" i="6"/>
  <c r="X514" i="6"/>
  <c r="X515" i="6"/>
  <c r="X516" i="6"/>
  <c r="X517" i="6"/>
  <c r="X518" i="6"/>
  <c r="X519" i="6"/>
  <c r="X520" i="6"/>
  <c r="X521" i="6"/>
  <c r="X522" i="6"/>
  <c r="X523" i="6"/>
  <c r="X524" i="6"/>
  <c r="X525" i="6"/>
  <c r="X526" i="6"/>
  <c r="X527" i="6"/>
  <c r="X528" i="6"/>
  <c r="X529" i="6"/>
  <c r="X530" i="6"/>
  <c r="X531" i="6"/>
  <c r="X532" i="6"/>
  <c r="X533" i="6"/>
  <c r="X534" i="6"/>
  <c r="X535" i="6"/>
  <c r="X536" i="6"/>
  <c r="X537" i="6"/>
  <c r="X538" i="6"/>
  <c r="X539" i="6"/>
  <c r="X540" i="6"/>
  <c r="X541" i="6"/>
  <c r="X542" i="6"/>
  <c r="X543" i="6"/>
  <c r="X544" i="6"/>
  <c r="X545" i="6"/>
  <c r="X546" i="6"/>
  <c r="X547" i="6"/>
  <c r="X548" i="6"/>
  <c r="X549" i="6"/>
  <c r="X550" i="6"/>
  <c r="X551" i="6"/>
  <c r="X552" i="6"/>
  <c r="X553" i="6"/>
  <c r="X554" i="6"/>
  <c r="X555" i="6"/>
  <c r="X556" i="6"/>
  <c r="X557" i="6"/>
  <c r="X558" i="6"/>
  <c r="X559" i="6"/>
  <c r="X560" i="6"/>
  <c r="X561" i="6"/>
  <c r="X562" i="6"/>
  <c r="X563" i="6"/>
  <c r="X564" i="6"/>
  <c r="X565" i="6"/>
  <c r="X566" i="6"/>
  <c r="X567" i="6"/>
  <c r="X568" i="6"/>
  <c r="X569" i="6"/>
  <c r="X570" i="6"/>
  <c r="X571" i="6"/>
  <c r="X572" i="6"/>
  <c r="X573" i="6"/>
  <c r="X574" i="6"/>
  <c r="X575" i="6"/>
  <c r="X576" i="6"/>
  <c r="X577" i="6"/>
  <c r="X578" i="6"/>
  <c r="X579" i="6"/>
  <c r="X580" i="6"/>
  <c r="X581" i="6"/>
  <c r="X582" i="6"/>
  <c r="X583" i="6"/>
  <c r="X584" i="6"/>
  <c r="X585" i="6"/>
  <c r="X586" i="6"/>
  <c r="X587" i="6"/>
  <c r="X588" i="6"/>
  <c r="X589" i="6"/>
  <c r="X590" i="6"/>
  <c r="X591" i="6"/>
  <c r="X592" i="6"/>
  <c r="X593" i="6"/>
  <c r="X594" i="6"/>
  <c r="X595" i="6"/>
  <c r="X596" i="6"/>
  <c r="X597" i="6"/>
  <c r="X598" i="6"/>
  <c r="X599" i="6"/>
  <c r="X600" i="6"/>
  <c r="X601" i="6"/>
  <c r="X602" i="6"/>
  <c r="X603" i="6"/>
  <c r="X604" i="6"/>
  <c r="X605" i="6"/>
  <c r="X606" i="6"/>
  <c r="X607" i="6"/>
  <c r="X608" i="6"/>
  <c r="X609" i="6"/>
  <c r="X610" i="6"/>
  <c r="X611" i="6"/>
  <c r="X612" i="6"/>
  <c r="X613" i="6"/>
  <c r="X614" i="6"/>
  <c r="X615" i="6"/>
  <c r="X616" i="6"/>
  <c r="X617" i="6"/>
  <c r="X618" i="6"/>
  <c r="X619" i="6"/>
  <c r="X620" i="6"/>
  <c r="X621" i="6"/>
  <c r="X622" i="6"/>
  <c r="X623" i="6"/>
  <c r="X624" i="6"/>
  <c r="X625" i="6"/>
  <c r="X626" i="6"/>
  <c r="X627" i="6"/>
  <c r="X628" i="6"/>
  <c r="X629" i="6"/>
  <c r="X630" i="6"/>
  <c r="X631" i="6"/>
  <c r="X632" i="6"/>
  <c r="X633" i="6"/>
  <c r="X634" i="6"/>
  <c r="X635" i="6"/>
  <c r="X636" i="6"/>
  <c r="X637" i="6"/>
  <c r="X638" i="6"/>
  <c r="X639" i="6"/>
  <c r="X640" i="6"/>
  <c r="X641" i="6"/>
  <c r="X642" i="6"/>
  <c r="X643" i="6"/>
  <c r="X644" i="6"/>
  <c r="X645" i="6"/>
  <c r="X646" i="6"/>
  <c r="X647" i="6"/>
  <c r="X648" i="6"/>
  <c r="X649" i="6"/>
  <c r="X650" i="6"/>
  <c r="X651" i="6"/>
  <c r="X652" i="6"/>
  <c r="X653" i="6"/>
  <c r="X654" i="6"/>
  <c r="X655" i="6"/>
  <c r="X656" i="6"/>
  <c r="X657" i="6"/>
  <c r="X658" i="6"/>
  <c r="X659" i="6"/>
  <c r="X660" i="6"/>
  <c r="X661" i="6"/>
  <c r="X662" i="6"/>
  <c r="X663" i="6"/>
  <c r="X664" i="6"/>
  <c r="X665" i="6"/>
  <c r="X666" i="6"/>
  <c r="X667" i="6"/>
  <c r="X668" i="6"/>
  <c r="X669" i="6"/>
  <c r="X67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02" i="6"/>
  <c r="X703" i="6"/>
  <c r="X704" i="6"/>
  <c r="X705" i="6"/>
  <c r="X706" i="6"/>
  <c r="X707" i="6"/>
  <c r="X708" i="6"/>
  <c r="X709" i="6"/>
  <c r="X710" i="6"/>
  <c r="X711" i="6"/>
  <c r="X712" i="6"/>
  <c r="X713" i="6"/>
  <c r="X714" i="6"/>
  <c r="X715" i="6"/>
  <c r="X716" i="6"/>
  <c r="X717" i="6"/>
  <c r="X718" i="6"/>
  <c r="X719" i="6"/>
  <c r="X720" i="6"/>
  <c r="X721" i="6"/>
  <c r="X722" i="6"/>
  <c r="X723" i="6"/>
  <c r="X724" i="6"/>
  <c r="X725" i="6"/>
  <c r="X726" i="6"/>
  <c r="X727" i="6"/>
  <c r="X728" i="6"/>
  <c r="X729" i="6"/>
  <c r="X730" i="6"/>
  <c r="X731" i="6"/>
  <c r="X732" i="6"/>
  <c r="X733" i="6"/>
  <c r="X734" i="6"/>
  <c r="X735" i="6"/>
  <c r="X736" i="6"/>
  <c r="X737" i="6"/>
  <c r="X738" i="6"/>
  <c r="X739" i="6"/>
  <c r="X740" i="6"/>
  <c r="X741" i="6"/>
  <c r="X742" i="6"/>
  <c r="X743" i="6"/>
  <c r="X744" i="6"/>
  <c r="X745" i="6"/>
  <c r="X746" i="6"/>
  <c r="X747" i="6"/>
  <c r="X748" i="6"/>
  <c r="X749" i="6"/>
  <c r="X750" i="6"/>
  <c r="X751" i="6"/>
  <c r="X752" i="6"/>
  <c r="X753" i="6"/>
  <c r="X754" i="6"/>
  <c r="X755" i="6"/>
  <c r="X756" i="6"/>
  <c r="X757" i="6"/>
  <c r="X758" i="6"/>
  <c r="X759" i="6"/>
  <c r="X760" i="6"/>
  <c r="X761" i="6"/>
  <c r="X762" i="6"/>
  <c r="X763" i="6"/>
  <c r="X764" i="6"/>
  <c r="X765" i="6"/>
  <c r="X766" i="6"/>
  <c r="X767" i="6"/>
  <c r="X768" i="6"/>
  <c r="X769" i="6"/>
  <c r="X770" i="6"/>
  <c r="X771" i="6"/>
  <c r="X772" i="6"/>
  <c r="X773" i="6"/>
  <c r="X774" i="6"/>
  <c r="X775" i="6"/>
  <c r="X776" i="6"/>
  <c r="X777" i="6"/>
  <c r="X778" i="6"/>
  <c r="X779" i="6"/>
  <c r="X780" i="6"/>
  <c r="X781" i="6"/>
  <c r="X782" i="6"/>
  <c r="X783" i="6"/>
  <c r="X784" i="6"/>
  <c r="X785" i="6"/>
  <c r="X786" i="6"/>
  <c r="X787" i="6"/>
  <c r="X788" i="6"/>
  <c r="X789" i="6"/>
  <c r="X790" i="6"/>
  <c r="X791" i="6"/>
  <c r="X792" i="6"/>
  <c r="X793" i="6"/>
  <c r="X794" i="6"/>
  <c r="X795" i="6"/>
  <c r="X796" i="6"/>
  <c r="X797" i="6"/>
  <c r="X798" i="6"/>
  <c r="X799" i="6"/>
  <c r="X800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4" i="6"/>
  <c r="X815" i="6"/>
  <c r="X816" i="6"/>
  <c r="X817" i="6"/>
  <c r="X818" i="6"/>
  <c r="X819" i="6"/>
  <c r="X820" i="6"/>
  <c r="X821" i="6"/>
  <c r="X822" i="6"/>
  <c r="X823" i="6"/>
  <c r="X824" i="6"/>
  <c r="X825" i="6"/>
  <c r="X826" i="6"/>
  <c r="X827" i="6"/>
  <c r="X828" i="6"/>
  <c r="X829" i="6"/>
  <c r="X830" i="6"/>
  <c r="X831" i="6"/>
  <c r="X832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X939" i="6"/>
  <c r="X940" i="6"/>
  <c r="X941" i="6"/>
  <c r="X942" i="6"/>
  <c r="X943" i="6"/>
  <c r="X944" i="6"/>
  <c r="X945" i="6"/>
  <c r="X946" i="6"/>
  <c r="X947" i="6"/>
  <c r="X948" i="6"/>
  <c r="X949" i="6"/>
  <c r="X950" i="6"/>
  <c r="X951" i="6"/>
  <c r="X952" i="6"/>
  <c r="X953" i="6"/>
  <c r="X954" i="6"/>
  <c r="X955" i="6"/>
  <c r="X956" i="6"/>
  <c r="X957" i="6"/>
  <c r="X958" i="6"/>
  <c r="X959" i="6"/>
  <c r="X960" i="6"/>
  <c r="X961" i="6"/>
  <c r="X962" i="6"/>
  <c r="X963" i="6"/>
  <c r="X964" i="6"/>
  <c r="X965" i="6"/>
  <c r="X966" i="6"/>
  <c r="X967" i="6"/>
  <c r="X968" i="6"/>
  <c r="X969" i="6"/>
  <c r="X970" i="6"/>
  <c r="X971" i="6"/>
  <c r="X972" i="6"/>
  <c r="X973" i="6"/>
  <c r="X974" i="6"/>
  <c r="X975" i="6"/>
  <c r="X976" i="6"/>
  <c r="X977" i="6"/>
  <c r="X978" i="6"/>
  <c r="X979" i="6"/>
  <c r="X980" i="6"/>
  <c r="X981" i="6"/>
  <c r="X982" i="6"/>
  <c r="X983" i="6"/>
  <c r="X984" i="6"/>
  <c r="X985" i="6"/>
  <c r="X986" i="6"/>
  <c r="X987" i="6"/>
  <c r="X988" i="6"/>
  <c r="X989" i="6"/>
  <c r="X990" i="6"/>
  <c r="X991" i="6"/>
  <c r="X992" i="6"/>
  <c r="X993" i="6"/>
  <c r="X994" i="6"/>
  <c r="X995" i="6"/>
  <c r="X996" i="6"/>
  <c r="X997" i="6"/>
  <c r="X998" i="6"/>
  <c r="X999" i="6"/>
  <c r="X1000" i="6"/>
  <c r="X1001" i="6"/>
  <c r="X1002" i="6"/>
  <c r="X1003" i="6"/>
  <c r="X1004" i="6"/>
  <c r="X1005" i="6"/>
  <c r="X1006" i="6"/>
  <c r="X1007" i="6"/>
  <c r="X1008" i="6"/>
  <c r="X1009" i="6"/>
  <c r="X1010" i="6"/>
  <c r="X1011" i="6"/>
  <c r="X1012" i="6"/>
  <c r="X1013" i="6"/>
  <c r="X1014" i="6"/>
  <c r="X1015" i="6"/>
  <c r="X1016" i="6"/>
  <c r="X1017" i="6"/>
  <c r="X1018" i="6"/>
  <c r="X1019" i="6"/>
  <c r="X1020" i="6"/>
  <c r="X1021" i="6"/>
  <c r="X1022" i="6"/>
  <c r="X1023" i="6"/>
  <c r="X1024" i="6"/>
  <c r="X1025" i="6"/>
  <c r="X1026" i="6"/>
  <c r="X1027" i="6"/>
  <c r="X1028" i="6"/>
  <c r="X1029" i="6"/>
  <c r="X1030" i="6"/>
  <c r="X1031" i="6"/>
  <c r="X1032" i="6"/>
  <c r="X1033" i="6"/>
  <c r="X1034" i="6"/>
  <c r="X1035" i="6"/>
  <c r="X1036" i="6"/>
  <c r="X1037" i="6"/>
  <c r="X1038" i="6"/>
  <c r="X1039" i="6"/>
  <c r="X1040" i="6"/>
  <c r="X1041" i="6"/>
  <c r="X1042" i="6"/>
  <c r="X1043" i="6"/>
  <c r="X1044" i="6"/>
  <c r="X1045" i="6"/>
  <c r="X1046" i="6"/>
  <c r="X1047" i="6"/>
  <c r="X1048" i="6"/>
  <c r="X1049" i="6"/>
  <c r="X1050" i="6"/>
  <c r="X1051" i="6"/>
  <c r="X1052" i="6"/>
  <c r="X1053" i="6"/>
  <c r="X1054" i="6"/>
  <c r="X1055" i="6"/>
  <c r="X1056" i="6"/>
  <c r="X1057" i="6"/>
  <c r="X1058" i="6"/>
  <c r="X1059" i="6"/>
  <c r="X1060" i="6"/>
  <c r="X1061" i="6"/>
  <c r="X1062" i="6"/>
  <c r="X1063" i="6"/>
  <c r="X1064" i="6"/>
  <c r="X1065" i="6"/>
  <c r="X1066" i="6"/>
  <c r="X1067" i="6"/>
  <c r="X1068" i="6"/>
  <c r="X1069" i="6"/>
  <c r="X1070" i="6"/>
  <c r="X1071" i="6"/>
  <c r="X1072" i="6"/>
  <c r="X1073" i="6"/>
  <c r="X1074" i="6"/>
  <c r="X1075" i="6"/>
  <c r="X1076" i="6"/>
  <c r="X1077" i="6"/>
  <c r="X1078" i="6"/>
  <c r="X1079" i="6"/>
  <c r="X1080" i="6"/>
  <c r="X1081" i="6"/>
  <c r="X1082" i="6"/>
  <c r="X1083" i="6"/>
  <c r="X1084" i="6"/>
  <c r="X1085" i="6"/>
  <c r="X1086" i="6"/>
  <c r="X1087" i="6"/>
  <c r="X1088" i="6"/>
  <c r="X1089" i="6"/>
  <c r="X1090" i="6"/>
  <c r="X1091" i="6"/>
  <c r="X1092" i="6"/>
  <c r="X1093" i="6"/>
  <c r="X1094" i="6"/>
  <c r="X1095" i="6"/>
  <c r="X1096" i="6"/>
  <c r="X1097" i="6"/>
  <c r="X1098" i="6"/>
  <c r="X1099" i="6"/>
  <c r="X1100" i="6"/>
  <c r="X1101" i="6"/>
  <c r="X1102" i="6"/>
  <c r="X1103" i="6"/>
  <c r="X1104" i="6"/>
  <c r="X1105" i="6"/>
  <c r="X1106" i="6"/>
  <c r="X1107" i="6"/>
  <c r="X1108" i="6"/>
  <c r="X1109" i="6"/>
  <c r="X1110" i="6"/>
  <c r="X1111" i="6"/>
  <c r="X1112" i="6"/>
  <c r="X1113" i="6"/>
  <c r="X1114" i="6"/>
  <c r="X1115" i="6"/>
  <c r="X1116" i="6"/>
  <c r="X1117" i="6"/>
  <c r="X1118" i="6"/>
  <c r="X1119" i="6"/>
  <c r="X1120" i="6"/>
  <c r="X1121" i="6"/>
  <c r="X1122" i="6"/>
  <c r="X1123" i="6"/>
  <c r="X1124" i="6"/>
  <c r="X1125" i="6"/>
  <c r="X1126" i="6"/>
  <c r="X1127" i="6"/>
  <c r="X1128" i="6"/>
  <c r="X1129" i="6"/>
  <c r="X1130" i="6"/>
  <c r="X1131" i="6"/>
  <c r="X1132" i="6"/>
  <c r="X1133" i="6"/>
  <c r="X1134" i="6"/>
  <c r="X1135" i="6"/>
  <c r="X1136" i="6"/>
  <c r="X1137" i="6"/>
  <c r="X1138" i="6"/>
  <c r="X1139" i="6"/>
  <c r="X1140" i="6"/>
  <c r="X1141" i="6"/>
  <c r="X1142" i="6"/>
  <c r="X1143" i="6"/>
  <c r="X1144" i="6"/>
  <c r="X1145" i="6"/>
  <c r="X1146" i="6"/>
  <c r="X1147" i="6"/>
  <c r="X1148" i="6"/>
  <c r="X1149" i="6"/>
  <c r="X1150" i="6"/>
  <c r="X1151" i="6"/>
  <c r="X1152" i="6"/>
  <c r="X1153" i="6"/>
  <c r="X1154" i="6"/>
  <c r="X1155" i="6"/>
  <c r="X1156" i="6"/>
  <c r="X1157" i="6"/>
  <c r="X1158" i="6"/>
  <c r="X1159" i="6"/>
  <c r="X1160" i="6"/>
  <c r="X1161" i="6"/>
  <c r="X1162" i="6"/>
  <c r="X1163" i="6"/>
  <c r="X1164" i="6"/>
  <c r="X1165" i="6"/>
  <c r="X1166" i="6"/>
  <c r="X1167" i="6"/>
  <c r="X1168" i="6"/>
  <c r="X1169" i="6"/>
  <c r="X1170" i="6"/>
  <c r="X1171" i="6"/>
  <c r="X1172" i="6"/>
  <c r="X1173" i="6"/>
  <c r="X1174" i="6"/>
  <c r="X1175" i="6"/>
  <c r="X1176" i="6"/>
  <c r="X1177" i="6"/>
  <c r="X1178" i="6"/>
  <c r="X1179" i="6"/>
  <c r="X1180" i="6"/>
  <c r="X1181" i="6"/>
  <c r="X1182" i="6"/>
  <c r="X1183" i="6"/>
  <c r="X1184" i="6"/>
  <c r="X1185" i="6"/>
  <c r="X1186" i="6"/>
  <c r="X1187" i="6"/>
  <c r="X1188" i="6"/>
  <c r="X1189" i="6"/>
  <c r="X1190" i="6"/>
  <c r="X1191" i="6"/>
  <c r="X1192" i="6"/>
  <c r="X1193" i="6"/>
  <c r="X1194" i="6"/>
  <c r="X1195" i="6"/>
  <c r="X1196" i="6"/>
  <c r="X1197" i="6"/>
  <c r="X1198" i="6"/>
  <c r="X1199" i="6"/>
  <c r="X1200" i="6"/>
  <c r="X1201" i="6"/>
  <c r="X1202" i="6"/>
  <c r="X1203" i="6"/>
  <c r="X1204" i="6"/>
  <c r="X1205" i="6"/>
  <c r="X1206" i="6"/>
  <c r="X1207" i="6"/>
  <c r="X1208" i="6"/>
  <c r="X1209" i="6"/>
  <c r="X1210" i="6"/>
  <c r="X1211" i="6"/>
  <c r="X1212" i="6"/>
  <c r="X1213" i="6"/>
  <c r="X1214" i="6"/>
  <c r="X1215" i="6"/>
  <c r="X1216" i="6"/>
  <c r="X1217" i="6"/>
  <c r="X1218" i="6"/>
  <c r="X1219" i="6"/>
  <c r="X1220" i="6"/>
  <c r="X1221" i="6"/>
  <c r="X1222" i="6"/>
  <c r="X1223" i="6"/>
  <c r="X1224" i="6"/>
  <c r="X1225" i="6"/>
  <c r="X1226" i="6"/>
  <c r="X1227" i="6"/>
  <c r="X1228" i="6"/>
  <c r="X1229" i="6"/>
  <c r="X1230" i="6"/>
  <c r="X1231" i="6"/>
  <c r="X1232" i="6"/>
  <c r="X1233" i="6"/>
  <c r="X1234" i="6"/>
  <c r="X1235" i="6"/>
  <c r="X1236" i="6"/>
  <c r="X1237" i="6"/>
  <c r="X1238" i="6"/>
  <c r="X1239" i="6"/>
  <c r="X1240" i="6"/>
  <c r="X1241" i="6"/>
  <c r="X1242" i="6"/>
  <c r="X1243" i="6"/>
  <c r="X1244" i="6"/>
  <c r="X1245" i="6"/>
  <c r="X1246" i="6"/>
  <c r="X1247" i="6"/>
  <c r="X1248" i="6"/>
  <c r="X1249" i="6"/>
  <c r="X1250" i="6"/>
  <c r="X1251" i="6"/>
  <c r="X1252" i="6"/>
  <c r="X1253" i="6"/>
  <c r="X1254" i="6"/>
  <c r="X1255" i="6"/>
  <c r="X1256" i="6"/>
  <c r="X1257" i="6"/>
  <c r="X1258" i="6"/>
  <c r="X1259" i="6"/>
  <c r="X1260" i="6"/>
  <c r="X1261" i="6"/>
  <c r="X1262" i="6"/>
  <c r="X1263" i="6"/>
  <c r="X1264" i="6"/>
  <c r="X1265" i="6"/>
  <c r="X1266" i="6"/>
  <c r="X1267" i="6"/>
  <c r="X1268" i="6"/>
  <c r="X1269" i="6"/>
  <c r="X1270" i="6"/>
  <c r="X1271" i="6"/>
  <c r="X1272" i="6"/>
  <c r="X1273" i="6"/>
  <c r="X1274" i="6"/>
  <c r="X1275" i="6"/>
  <c r="X1276" i="6"/>
  <c r="X1277" i="6"/>
  <c r="X1278" i="6"/>
  <c r="X1279" i="6"/>
  <c r="X1280" i="6"/>
  <c r="X1281" i="6"/>
  <c r="X1282" i="6"/>
  <c r="X1283" i="6"/>
  <c r="X1284" i="6"/>
  <c r="X1285" i="6"/>
  <c r="X1286" i="6"/>
  <c r="X1287" i="6"/>
  <c r="X1288" i="6"/>
  <c r="X1289" i="6"/>
  <c r="X1290" i="6"/>
  <c r="X1291" i="6"/>
  <c r="X1292" i="6"/>
  <c r="X1293" i="6"/>
  <c r="X1294" i="6"/>
  <c r="X1295" i="6"/>
  <c r="X1296" i="6"/>
  <c r="X1297" i="6"/>
  <c r="X1298" i="6"/>
  <c r="X1299" i="6"/>
  <c r="X1300" i="6"/>
  <c r="X1301" i="6"/>
  <c r="X1302" i="6"/>
  <c r="X1303" i="6"/>
  <c r="X1304" i="6"/>
  <c r="X1305" i="6"/>
  <c r="X1306" i="6"/>
  <c r="X1307" i="6"/>
  <c r="X1308" i="6"/>
  <c r="X1309" i="6"/>
  <c r="X1310" i="6"/>
  <c r="X1311" i="6"/>
  <c r="X1312" i="6"/>
  <c r="X1313" i="6"/>
  <c r="X1314" i="6"/>
  <c r="X1315" i="6"/>
  <c r="X1316" i="6"/>
  <c r="X1317" i="6"/>
  <c r="X1318" i="6"/>
  <c r="X1319" i="6"/>
  <c r="X1320" i="6"/>
  <c r="X1321" i="6"/>
  <c r="X1322" i="6"/>
  <c r="X1323" i="6"/>
  <c r="X1324" i="6"/>
  <c r="X1325" i="6"/>
  <c r="X1326" i="6"/>
  <c r="X1327" i="6"/>
  <c r="X1328" i="6"/>
  <c r="X1329" i="6"/>
  <c r="X1330" i="6"/>
  <c r="X1331" i="6"/>
  <c r="X1332" i="6"/>
  <c r="X1333" i="6"/>
  <c r="X1334" i="6"/>
  <c r="X1335" i="6"/>
  <c r="X1336" i="6"/>
  <c r="X1337" i="6"/>
  <c r="X1338" i="6"/>
  <c r="X1339" i="6"/>
  <c r="X1340" i="6"/>
  <c r="X1341" i="6"/>
  <c r="X1342" i="6"/>
  <c r="X1343" i="6"/>
  <c r="X1344" i="6"/>
  <c r="X1345" i="6"/>
  <c r="X1346" i="6"/>
  <c r="X1347" i="6"/>
  <c r="X1348" i="6"/>
  <c r="X1349" i="6"/>
  <c r="X1350" i="6"/>
  <c r="X1351" i="6"/>
  <c r="X1352" i="6"/>
  <c r="X1353" i="6"/>
  <c r="X1354" i="6"/>
  <c r="X1355" i="6"/>
  <c r="X1356" i="6"/>
  <c r="X1357" i="6"/>
  <c r="X1358" i="6"/>
  <c r="X1359" i="6"/>
  <c r="X1360" i="6"/>
  <c r="X1361" i="6"/>
  <c r="X1362" i="6"/>
  <c r="X1363" i="6"/>
  <c r="X1364" i="6"/>
  <c r="X1365" i="6"/>
  <c r="X1366" i="6"/>
  <c r="X1367" i="6"/>
  <c r="X1368" i="6"/>
  <c r="X1369" i="6"/>
  <c r="X1370" i="6"/>
  <c r="X1371" i="6"/>
  <c r="X1372" i="6"/>
  <c r="X1373" i="6"/>
  <c r="X1374" i="6"/>
  <c r="X1375" i="6"/>
  <c r="X1376" i="6"/>
  <c r="X1377" i="6"/>
  <c r="X1378" i="6"/>
  <c r="X1379" i="6"/>
  <c r="X1380" i="6"/>
  <c r="X1381" i="6"/>
  <c r="X1382" i="6"/>
  <c r="X1383" i="6"/>
  <c r="X1384" i="6"/>
  <c r="X1385" i="6"/>
  <c r="X1386" i="6"/>
  <c r="X1387" i="6"/>
  <c r="X1388" i="6"/>
  <c r="X1389" i="6"/>
  <c r="X1390" i="6"/>
  <c r="X1391" i="6"/>
  <c r="X1392" i="6"/>
  <c r="X1393" i="6"/>
  <c r="X1394" i="6"/>
  <c r="X1395" i="6"/>
  <c r="X1396" i="6"/>
  <c r="X1397" i="6"/>
  <c r="X1398" i="6"/>
  <c r="X1399" i="6"/>
  <c r="X1400" i="6"/>
  <c r="X1401" i="6"/>
  <c r="X1402" i="6"/>
  <c r="X1403" i="6"/>
  <c r="X1404" i="6"/>
  <c r="X1405" i="6"/>
  <c r="X1406" i="6"/>
  <c r="X1407" i="6"/>
  <c r="X1408" i="6"/>
  <c r="X1409" i="6"/>
  <c r="X1410" i="6"/>
  <c r="X1411" i="6"/>
  <c r="X1412" i="6"/>
  <c r="X1413" i="6"/>
  <c r="X1414" i="6"/>
  <c r="X1415" i="6"/>
  <c r="X1416" i="6"/>
  <c r="X1417" i="6"/>
  <c r="X1418" i="6"/>
  <c r="X1419" i="6"/>
  <c r="X1420" i="6"/>
  <c r="X1421" i="6"/>
  <c r="X1422" i="6"/>
  <c r="X1423" i="6"/>
  <c r="X1424" i="6"/>
  <c r="X1425" i="6"/>
  <c r="X1426" i="6"/>
  <c r="X1427" i="6"/>
  <c r="X1428" i="6"/>
  <c r="X1429" i="6"/>
  <c r="X1430" i="6"/>
  <c r="X1431" i="6"/>
  <c r="X1432" i="6"/>
  <c r="X1433" i="6"/>
  <c r="X1434" i="6"/>
  <c r="X1435" i="6"/>
  <c r="X1436" i="6"/>
  <c r="X1437" i="6"/>
  <c r="X1438" i="6"/>
  <c r="X1439" i="6"/>
  <c r="X1440" i="6"/>
  <c r="X1441" i="6"/>
  <c r="X1442" i="6"/>
  <c r="X1443" i="6"/>
  <c r="X1444" i="6"/>
  <c r="X1445" i="6"/>
  <c r="X1446" i="6"/>
  <c r="X1447" i="6"/>
  <c r="X1448" i="6"/>
  <c r="X1449" i="6"/>
  <c r="X1450" i="6"/>
  <c r="X1451" i="6"/>
  <c r="X1452" i="6"/>
  <c r="X1453" i="6"/>
  <c r="X1454" i="6"/>
  <c r="X1455" i="6"/>
  <c r="X1456" i="6"/>
  <c r="X1457" i="6"/>
  <c r="X1458" i="6"/>
  <c r="X1459" i="6"/>
  <c r="X1460" i="6"/>
  <c r="X1461" i="6"/>
  <c r="X1462" i="6"/>
  <c r="X1463" i="6"/>
  <c r="X1464" i="6"/>
  <c r="X1465" i="6"/>
  <c r="X1466" i="6"/>
  <c r="X1467" i="6"/>
  <c r="X1468" i="6"/>
  <c r="X1469" i="6"/>
  <c r="X1470" i="6"/>
  <c r="X1471" i="6"/>
  <c r="X1472" i="6"/>
  <c r="X1473" i="6"/>
  <c r="X1474" i="6"/>
  <c r="X1475" i="6"/>
  <c r="X1476" i="6"/>
  <c r="X1477" i="6"/>
  <c r="X1478" i="6"/>
  <c r="X1479" i="6"/>
  <c r="X1480" i="6"/>
  <c r="X1481" i="6"/>
  <c r="X1482" i="6"/>
  <c r="X1483" i="6"/>
  <c r="X1484" i="6"/>
  <c r="X1485" i="6"/>
  <c r="X1486" i="6"/>
  <c r="X1487" i="6"/>
  <c r="X1488" i="6"/>
  <c r="X1489" i="6"/>
  <c r="X1490" i="6"/>
  <c r="X1491" i="6"/>
  <c r="X1492" i="6"/>
  <c r="X1493" i="6"/>
  <c r="X1494" i="6"/>
  <c r="X1495" i="6"/>
  <c r="X1496" i="6"/>
  <c r="X1497" i="6"/>
  <c r="X1498" i="6"/>
  <c r="X1499" i="6"/>
  <c r="X1500" i="6"/>
  <c r="X1501" i="6"/>
  <c r="X1502" i="6"/>
  <c r="X1503" i="6"/>
  <c r="X1504" i="6"/>
  <c r="X1505" i="6"/>
  <c r="X1506" i="6"/>
  <c r="X1507" i="6"/>
  <c r="X1508" i="6"/>
  <c r="X1509" i="6"/>
  <c r="X1510" i="6"/>
  <c r="X1511" i="6"/>
  <c r="X1512" i="6"/>
  <c r="X1513" i="6"/>
  <c r="X1514" i="6"/>
  <c r="X1515" i="6"/>
  <c r="X1516" i="6"/>
  <c r="X1517" i="6"/>
  <c r="X1518" i="6"/>
  <c r="X1519" i="6"/>
  <c r="X1520" i="6"/>
  <c r="X1521" i="6"/>
  <c r="X1522" i="6"/>
  <c r="X1523" i="6"/>
  <c r="X1524" i="6"/>
  <c r="X1525" i="6"/>
  <c r="X1526" i="6"/>
  <c r="X1527" i="6"/>
  <c r="X1528" i="6"/>
  <c r="X1529" i="6"/>
  <c r="X1530" i="6"/>
  <c r="X1531" i="6"/>
  <c r="X1532" i="6"/>
  <c r="X1533" i="6"/>
  <c r="X1534" i="6"/>
  <c r="X1535" i="6"/>
  <c r="X1536" i="6"/>
  <c r="X1537" i="6"/>
  <c r="X1538" i="6"/>
  <c r="X1539" i="6"/>
  <c r="X1540" i="6"/>
  <c r="X1541" i="6"/>
  <c r="X1542" i="6"/>
  <c r="X1543" i="6"/>
  <c r="X1544" i="6"/>
  <c r="X1545" i="6"/>
  <c r="X1546" i="6"/>
  <c r="X1547" i="6"/>
  <c r="X1548" i="6"/>
  <c r="X1549" i="6"/>
  <c r="X1550" i="6"/>
  <c r="X1551" i="6"/>
  <c r="X1552" i="6"/>
  <c r="X1553" i="6"/>
  <c r="X1554" i="6"/>
  <c r="X1555" i="6"/>
  <c r="X1556" i="6"/>
  <c r="X1557" i="6"/>
  <c r="X1558" i="6"/>
  <c r="X1559" i="6"/>
  <c r="X1560" i="6"/>
  <c r="X1561" i="6"/>
  <c r="X1562" i="6"/>
  <c r="X1563" i="6"/>
  <c r="X1564" i="6"/>
  <c r="X1565" i="6"/>
  <c r="X1566" i="6"/>
  <c r="X1567" i="6"/>
  <c r="X1568" i="6"/>
  <c r="X1569" i="6"/>
  <c r="X1570" i="6"/>
  <c r="X1571" i="6"/>
  <c r="X1572" i="6"/>
  <c r="X1573" i="6"/>
  <c r="X1574" i="6"/>
  <c r="X1575" i="6"/>
  <c r="X1576" i="6"/>
  <c r="X1577" i="6"/>
  <c r="X1578" i="6"/>
  <c r="X1579" i="6"/>
  <c r="X1580" i="6"/>
  <c r="X1581" i="6"/>
  <c r="X1582" i="6"/>
  <c r="X1583" i="6"/>
  <c r="X1584" i="6"/>
  <c r="X1585" i="6"/>
  <c r="X1586" i="6"/>
  <c r="X1587" i="6"/>
  <c r="X1588" i="6"/>
  <c r="X1589" i="6"/>
  <c r="X1590" i="6"/>
  <c r="X1591" i="6"/>
  <c r="X1592" i="6"/>
  <c r="X1593" i="6"/>
  <c r="X1594" i="6"/>
  <c r="X1595" i="6"/>
  <c r="X1596" i="6"/>
  <c r="X1597" i="6"/>
  <c r="X1598" i="6"/>
  <c r="X1599" i="6"/>
  <c r="X1600" i="6"/>
  <c r="X1601" i="6"/>
  <c r="X1602" i="6"/>
  <c r="X1603" i="6"/>
  <c r="X1604" i="6"/>
  <c r="X1605" i="6"/>
  <c r="X1606" i="6"/>
  <c r="X1607" i="6"/>
  <c r="X1608" i="6"/>
  <c r="X1609" i="6"/>
  <c r="X1610" i="6"/>
  <c r="X1611" i="6"/>
  <c r="X1612" i="6"/>
  <c r="X1613" i="6"/>
  <c r="X1614" i="6"/>
  <c r="X1615" i="6"/>
  <c r="X1616" i="6"/>
  <c r="X1617" i="6"/>
  <c r="X1618" i="6"/>
  <c r="X1619" i="6"/>
  <c r="X1620" i="6"/>
  <c r="X1621" i="6"/>
  <c r="X1622" i="6"/>
  <c r="X1623" i="6"/>
  <c r="X1624" i="6"/>
  <c r="X1625" i="6"/>
  <c r="X1626" i="6"/>
  <c r="X1627" i="6"/>
  <c r="X1628" i="6"/>
  <c r="X1629" i="6"/>
  <c r="X1630" i="6"/>
  <c r="X1631" i="6"/>
  <c r="X1632" i="6"/>
  <c r="X1633" i="6"/>
  <c r="X1634" i="6"/>
  <c r="X1635" i="6"/>
  <c r="X1636" i="6"/>
  <c r="X1637" i="6"/>
  <c r="X1638" i="6"/>
  <c r="X1639" i="6"/>
  <c r="X1640" i="6"/>
  <c r="X1641" i="6"/>
  <c r="X1642" i="6"/>
  <c r="X1643" i="6"/>
  <c r="X1644" i="6"/>
  <c r="X1645" i="6"/>
  <c r="X1646" i="6"/>
  <c r="X1647" i="6"/>
  <c r="X1648" i="6"/>
  <c r="X1649" i="6"/>
  <c r="X1650" i="6"/>
  <c r="X1651" i="6"/>
  <c r="X1652" i="6"/>
  <c r="X1653" i="6"/>
  <c r="X1654" i="6"/>
  <c r="X1655" i="6"/>
  <c r="X1656" i="6"/>
  <c r="X1657" i="6"/>
  <c r="X1658" i="6"/>
  <c r="X1659" i="6"/>
  <c r="X1660" i="6"/>
  <c r="X1661" i="6"/>
  <c r="X1662" i="6"/>
  <c r="X1663" i="6"/>
  <c r="X1664" i="6"/>
  <c r="X1665" i="6"/>
  <c r="X1666" i="6"/>
  <c r="X1667" i="6"/>
  <c r="X1668" i="6"/>
  <c r="X1669" i="6"/>
  <c r="X1670" i="6"/>
  <c r="X1671" i="6"/>
  <c r="X1672" i="6"/>
  <c r="X1673" i="6"/>
  <c r="X1674" i="6"/>
  <c r="X1675" i="6"/>
  <c r="X1676" i="6"/>
  <c r="X1677" i="6"/>
  <c r="X1678" i="6"/>
  <c r="X1679" i="6"/>
  <c r="X1680" i="6"/>
  <c r="X1681" i="6"/>
  <c r="X1682" i="6"/>
  <c r="X1683" i="6"/>
  <c r="X1684" i="6"/>
  <c r="X1685" i="6"/>
  <c r="X1686" i="6"/>
  <c r="X1687" i="6"/>
  <c r="X1688" i="6"/>
  <c r="X1689" i="6"/>
  <c r="X1690" i="6"/>
  <c r="X1691" i="6"/>
  <c r="X1692" i="6"/>
  <c r="X1693" i="6"/>
  <c r="X1694" i="6"/>
  <c r="X1695" i="6"/>
  <c r="X1696" i="6"/>
  <c r="X1697" i="6"/>
  <c r="X1698" i="6"/>
  <c r="X1699" i="6"/>
  <c r="X1700" i="6"/>
  <c r="X1701" i="6"/>
  <c r="X1702" i="6"/>
  <c r="X1703" i="6"/>
  <c r="X1704" i="6"/>
  <c r="X1705" i="6"/>
  <c r="X1706" i="6"/>
  <c r="X1707" i="6"/>
  <c r="X1708" i="6"/>
  <c r="X1709" i="6"/>
  <c r="X1710" i="6"/>
  <c r="X1711" i="6"/>
  <c r="X1712" i="6"/>
  <c r="X1713" i="6"/>
  <c r="X1714" i="6"/>
  <c r="X1715" i="6"/>
  <c r="X1716" i="6"/>
  <c r="X1717" i="6"/>
  <c r="X1718" i="6"/>
  <c r="X1719" i="6"/>
  <c r="X1720" i="6"/>
  <c r="X1721" i="6"/>
  <c r="X1722" i="6"/>
  <c r="X1723" i="6"/>
  <c r="X1724" i="6"/>
  <c r="X1725" i="6"/>
  <c r="X1726" i="6"/>
  <c r="X1727" i="6"/>
  <c r="X1728" i="6"/>
  <c r="X1729" i="6"/>
  <c r="X1730" i="6"/>
  <c r="X1731" i="6"/>
  <c r="X1732" i="6"/>
  <c r="X1733" i="6"/>
  <c r="X1734" i="6"/>
  <c r="X1735" i="6"/>
  <c r="X1736" i="6"/>
  <c r="X1737" i="6"/>
  <c r="X1738" i="6"/>
  <c r="X1739" i="6"/>
  <c r="X1740" i="6"/>
  <c r="X1741" i="6"/>
  <c r="X1742" i="6"/>
  <c r="X1743" i="6"/>
  <c r="X1744" i="6"/>
  <c r="X1745" i="6"/>
  <c r="X1746" i="6"/>
  <c r="X1747" i="6"/>
  <c r="X1748" i="6"/>
  <c r="X1749" i="6"/>
  <c r="X1750" i="6"/>
  <c r="X1751" i="6"/>
  <c r="X1752" i="6"/>
  <c r="X1753" i="6"/>
  <c r="X1754" i="6"/>
  <c r="X1755" i="6"/>
  <c r="X1756" i="6"/>
  <c r="X1757" i="6"/>
  <c r="X1758" i="6"/>
  <c r="X1759" i="6"/>
  <c r="X1760" i="6"/>
  <c r="X1761" i="6"/>
  <c r="X1762" i="6"/>
  <c r="X1763" i="6"/>
  <c r="X1764" i="6"/>
  <c r="X1765" i="6"/>
  <c r="X1766" i="6"/>
  <c r="X1767" i="6"/>
  <c r="X1768" i="6"/>
  <c r="X1769" i="6"/>
  <c r="X1770" i="6"/>
  <c r="X1771" i="6"/>
  <c r="X1772" i="6"/>
  <c r="X1773" i="6"/>
  <c r="X1774" i="6"/>
  <c r="X1775" i="6"/>
  <c r="X1776" i="6"/>
  <c r="X1777" i="6"/>
  <c r="X1778" i="6"/>
  <c r="X1779" i="6"/>
  <c r="X1780" i="6"/>
  <c r="X1781" i="6"/>
  <c r="X1782" i="6"/>
  <c r="X1783" i="6"/>
  <c r="X1784" i="6"/>
  <c r="X1785" i="6"/>
  <c r="X1786" i="6"/>
  <c r="X1787" i="6"/>
  <c r="X1788" i="6"/>
  <c r="X1789" i="6"/>
  <c r="X1790" i="6"/>
  <c r="X1791" i="6"/>
  <c r="X1792" i="6"/>
  <c r="X1793" i="6"/>
  <c r="X1794" i="6"/>
  <c r="X1795" i="6"/>
  <c r="X1796" i="6"/>
  <c r="X1797" i="6"/>
  <c r="X1798" i="6"/>
  <c r="X1799" i="6"/>
  <c r="X1800" i="6"/>
  <c r="X1801" i="6"/>
  <c r="X1802" i="6"/>
  <c r="X1803" i="6"/>
  <c r="X1804" i="6"/>
  <c r="X1805" i="6"/>
  <c r="X1806" i="6"/>
  <c r="X1807" i="6"/>
  <c r="X1808" i="6"/>
  <c r="X1809" i="6"/>
  <c r="X1810" i="6"/>
  <c r="X1811" i="6"/>
  <c r="X1812" i="6"/>
  <c r="X1813" i="6"/>
  <c r="X1814" i="6"/>
  <c r="X1815" i="6"/>
  <c r="X1816" i="6"/>
  <c r="X1817" i="6"/>
  <c r="X1818" i="6"/>
  <c r="X1819" i="6"/>
  <c r="X1820" i="6"/>
  <c r="X1821" i="6"/>
  <c r="X1822" i="6"/>
  <c r="X1823" i="6"/>
  <c r="X1824" i="6"/>
  <c r="X1825" i="6"/>
  <c r="X1826" i="6"/>
  <c r="X1827" i="6"/>
  <c r="X1828" i="6"/>
  <c r="X1829" i="6"/>
  <c r="X1830" i="6"/>
  <c r="X1831" i="6"/>
  <c r="X1832" i="6"/>
  <c r="X1833" i="6"/>
  <c r="X1834" i="6"/>
  <c r="X1835" i="6"/>
  <c r="X1836" i="6"/>
  <c r="X1837" i="6"/>
  <c r="X1838" i="6"/>
  <c r="X1839" i="6"/>
  <c r="X1840" i="6"/>
  <c r="X1841" i="6"/>
  <c r="X1842" i="6"/>
  <c r="X1843" i="6"/>
  <c r="X1844" i="6"/>
  <c r="X1845" i="6"/>
  <c r="X1846" i="6"/>
  <c r="X1847" i="6"/>
  <c r="X1848" i="6"/>
  <c r="X1849" i="6"/>
  <c r="X1850" i="6"/>
  <c r="X1851" i="6"/>
  <c r="X1852" i="6"/>
  <c r="X1853" i="6"/>
  <c r="X1854" i="6"/>
  <c r="X1855" i="6"/>
  <c r="X1856" i="6"/>
  <c r="X1857" i="6"/>
  <c r="X1858" i="6"/>
  <c r="X1859" i="6"/>
  <c r="X1860" i="6"/>
  <c r="X1861" i="6"/>
  <c r="X1862" i="6"/>
  <c r="X1863" i="6"/>
  <c r="X1864" i="6"/>
  <c r="X1865" i="6"/>
  <c r="X1866" i="6"/>
  <c r="X1867" i="6"/>
  <c r="X1868" i="6"/>
  <c r="X1869" i="6"/>
  <c r="X1870" i="6"/>
  <c r="X1871" i="6"/>
  <c r="X1872" i="6"/>
  <c r="X1873" i="6"/>
  <c r="X1874" i="6"/>
  <c r="X1875" i="6"/>
  <c r="X1876" i="6"/>
  <c r="X1877" i="6"/>
  <c r="X1878" i="6"/>
  <c r="X1879" i="6"/>
  <c r="X1880" i="6"/>
  <c r="X1881" i="6"/>
  <c r="X1882" i="6"/>
  <c r="X1883" i="6"/>
  <c r="X1884" i="6"/>
  <c r="X1885" i="6"/>
  <c r="X1886" i="6"/>
  <c r="X1887" i="6"/>
  <c r="X1888" i="6"/>
  <c r="X1889" i="6"/>
  <c r="X1890" i="6"/>
  <c r="X1891" i="6"/>
  <c r="X1892" i="6"/>
  <c r="X1893" i="6"/>
  <c r="X1894" i="6"/>
  <c r="X1895" i="6"/>
  <c r="X1896" i="6"/>
  <c r="X1897" i="6"/>
  <c r="X1898" i="6"/>
  <c r="X1899" i="6"/>
  <c r="X1900" i="6"/>
  <c r="X1901" i="6"/>
  <c r="X1902" i="6"/>
  <c r="X1903" i="6"/>
  <c r="X1904" i="6"/>
  <c r="X1905" i="6"/>
  <c r="X1906" i="6"/>
  <c r="X1907" i="6"/>
  <c r="X1908" i="6"/>
  <c r="X1909" i="6"/>
  <c r="X1910" i="6"/>
  <c r="X1911" i="6"/>
  <c r="X1912" i="6"/>
  <c r="X1913" i="6"/>
  <c r="X1914" i="6"/>
  <c r="X1915" i="6"/>
  <c r="X1916" i="6"/>
  <c r="X1917" i="6"/>
  <c r="X1918" i="6"/>
  <c r="X1919" i="6"/>
  <c r="X1920" i="6"/>
  <c r="X1921" i="6"/>
  <c r="X1922" i="6"/>
  <c r="X1923" i="6"/>
  <c r="X1924" i="6"/>
  <c r="X1925" i="6"/>
  <c r="X1926" i="6"/>
  <c r="X1927" i="6"/>
  <c r="X1928" i="6"/>
  <c r="X1929" i="6"/>
  <c r="X1930" i="6"/>
  <c r="X1931" i="6"/>
  <c r="X1932" i="6"/>
  <c r="X1933" i="6"/>
  <c r="X1934" i="6"/>
  <c r="X1935" i="6"/>
  <c r="X1936" i="6"/>
  <c r="X1937" i="6"/>
  <c r="X1938" i="6"/>
  <c r="X1939" i="6"/>
  <c r="X1940" i="6"/>
  <c r="X1941" i="6"/>
  <c r="X1942" i="6"/>
  <c r="X1943" i="6"/>
  <c r="X1944" i="6"/>
  <c r="X1945" i="6"/>
  <c r="X1946" i="6"/>
  <c r="X1947" i="6"/>
  <c r="X1948" i="6"/>
  <c r="X1949" i="6"/>
  <c r="X1950" i="6"/>
  <c r="X1951" i="6"/>
  <c r="X1952" i="6"/>
  <c r="X1953" i="6"/>
  <c r="X1954" i="6"/>
  <c r="X1955" i="6"/>
  <c r="X1956" i="6"/>
  <c r="X1957" i="6"/>
  <c r="X1958" i="6"/>
  <c r="X1959" i="6"/>
  <c r="X1960" i="6"/>
  <c r="X1961" i="6"/>
  <c r="X1962" i="6"/>
  <c r="X1963" i="6"/>
  <c r="X1964" i="6"/>
  <c r="X1965" i="6"/>
  <c r="X1966" i="6"/>
  <c r="X1967" i="6"/>
  <c r="X1968" i="6"/>
  <c r="X1969" i="6"/>
  <c r="X1970" i="6"/>
  <c r="X1971" i="6"/>
  <c r="X1972" i="6"/>
  <c r="X1973" i="6"/>
  <c r="X1974" i="6"/>
  <c r="X1975" i="6"/>
  <c r="X1976" i="6"/>
  <c r="X1977" i="6"/>
  <c r="X1978" i="6"/>
  <c r="X1979" i="6"/>
  <c r="X1980" i="6"/>
  <c r="X1981" i="6"/>
  <c r="X1982" i="6"/>
  <c r="X1983" i="6"/>
  <c r="X1984" i="6"/>
  <c r="X1985" i="6"/>
  <c r="X1986" i="6"/>
  <c r="X1987" i="6"/>
  <c r="X1988" i="6"/>
  <c r="X1989" i="6"/>
  <c r="X1990" i="6"/>
  <c r="X1991" i="6"/>
  <c r="X1992" i="6"/>
  <c r="X1993" i="6"/>
  <c r="X1994" i="6"/>
  <c r="X1995" i="6"/>
  <c r="X1996" i="6"/>
  <c r="X1997" i="6"/>
  <c r="X1998" i="6"/>
  <c r="X1999" i="6"/>
  <c r="X2000" i="6"/>
  <c r="X2001" i="6"/>
  <c r="X2002" i="6"/>
  <c r="X2003" i="6"/>
  <c r="X2004" i="6"/>
  <c r="X2005" i="6"/>
  <c r="X2006" i="6"/>
  <c r="X2007" i="6"/>
  <c r="X2008" i="6"/>
  <c r="X2009" i="6"/>
  <c r="X2010" i="6"/>
  <c r="X2011" i="6"/>
  <c r="X2012" i="6"/>
  <c r="X2013" i="6"/>
  <c r="X2014" i="6"/>
  <c r="X2015" i="6"/>
  <c r="X2016" i="6"/>
  <c r="X2017" i="6"/>
  <c r="X2018" i="6"/>
  <c r="X2019" i="6"/>
  <c r="X2020" i="6"/>
  <c r="X2021" i="6"/>
  <c r="X2022" i="6"/>
  <c r="X2023" i="6"/>
  <c r="X2024" i="6"/>
  <c r="X2025" i="6"/>
  <c r="X2026" i="6"/>
  <c r="X2027" i="6"/>
  <c r="X2028" i="6"/>
  <c r="X2029" i="6"/>
  <c r="X2030" i="6"/>
  <c r="X2031" i="6"/>
  <c r="X2032" i="6"/>
  <c r="X2033" i="6"/>
  <c r="X2034" i="6"/>
  <c r="X2035" i="6"/>
  <c r="X2036" i="6"/>
  <c r="X2037" i="6"/>
  <c r="X2038" i="6"/>
  <c r="X2039" i="6"/>
  <c r="X2040" i="6"/>
  <c r="X2041" i="6"/>
  <c r="X2042" i="6"/>
  <c r="X2043" i="6"/>
  <c r="X2044" i="6"/>
  <c r="X2045" i="6"/>
  <c r="X2046" i="6"/>
  <c r="X2047" i="6"/>
  <c r="X2048" i="6"/>
  <c r="X2049" i="6"/>
  <c r="X2050" i="6"/>
  <c r="X2051" i="6"/>
  <c r="X2052" i="6"/>
  <c r="X2053" i="6"/>
  <c r="X2054" i="6"/>
  <c r="X2055" i="6"/>
  <c r="X2056" i="6"/>
  <c r="X2057" i="6"/>
  <c r="X2058" i="6"/>
  <c r="X2059" i="6"/>
  <c r="X2060" i="6"/>
  <c r="X2061" i="6"/>
  <c r="X2062" i="6"/>
  <c r="X2063" i="6"/>
  <c r="X2064" i="6"/>
  <c r="X2065" i="6"/>
  <c r="X2066" i="6"/>
  <c r="X2067" i="6"/>
  <c r="X2068" i="6"/>
  <c r="X2069" i="6"/>
  <c r="X2070" i="6"/>
  <c r="X2071" i="6"/>
  <c r="X2072" i="6"/>
  <c r="X2073" i="6"/>
  <c r="X2074" i="6"/>
  <c r="X2075" i="6"/>
  <c r="X2076" i="6"/>
  <c r="X2077" i="6"/>
  <c r="X2078" i="6"/>
  <c r="X2079" i="6"/>
  <c r="X2080" i="6"/>
  <c r="X2081" i="6"/>
  <c r="X2082" i="6"/>
  <c r="X2083" i="6"/>
  <c r="X2084" i="6"/>
  <c r="X2085" i="6"/>
  <c r="X2086" i="6"/>
  <c r="X2087" i="6"/>
  <c r="X2088" i="6"/>
  <c r="X2089" i="6"/>
  <c r="X2090" i="6"/>
  <c r="X2091" i="6"/>
  <c r="X2092" i="6"/>
  <c r="X2093" i="6"/>
  <c r="X2094" i="6"/>
  <c r="X2095" i="6"/>
  <c r="X2096" i="6"/>
  <c r="X2097" i="6"/>
  <c r="X2098" i="6"/>
  <c r="X2099" i="6"/>
  <c r="X2100" i="6"/>
  <c r="X2101" i="6"/>
  <c r="X2102" i="6"/>
  <c r="X2103" i="6"/>
  <c r="X2104" i="6"/>
  <c r="X2105" i="6"/>
  <c r="X2106" i="6"/>
  <c r="X2107" i="6"/>
  <c r="X2108" i="6"/>
  <c r="X2109" i="6"/>
  <c r="X2110" i="6"/>
  <c r="X2111" i="6"/>
  <c r="X2112" i="6"/>
  <c r="X2113" i="6"/>
  <c r="X2114" i="6"/>
  <c r="X2115" i="6"/>
  <c r="X2116" i="6"/>
  <c r="X2117" i="6"/>
  <c r="X2118" i="6"/>
  <c r="X2119" i="6"/>
  <c r="X2120" i="6"/>
  <c r="X2121" i="6"/>
  <c r="X2122" i="6"/>
  <c r="X2123" i="6"/>
  <c r="X2124" i="6"/>
  <c r="X2125" i="6"/>
  <c r="X2126" i="6"/>
  <c r="X2127" i="6"/>
  <c r="X2128" i="6"/>
  <c r="X2129" i="6"/>
  <c r="X2130" i="6"/>
  <c r="X2131" i="6"/>
  <c r="X2132" i="6"/>
  <c r="X2133" i="6"/>
  <c r="X2134" i="6"/>
  <c r="X2135" i="6"/>
  <c r="X2136" i="6"/>
  <c r="X2137" i="6"/>
  <c r="X2138" i="6"/>
  <c r="X2139" i="6"/>
  <c r="X2140" i="6"/>
  <c r="X2141" i="6"/>
  <c r="X2142" i="6"/>
  <c r="X2143" i="6"/>
  <c r="X2144" i="6"/>
  <c r="X2145" i="6"/>
  <c r="X2146" i="6"/>
  <c r="X2147" i="6"/>
  <c r="X2148" i="6"/>
  <c r="X2149" i="6"/>
  <c r="X2150" i="6"/>
  <c r="X2151" i="6"/>
  <c r="X2152" i="6"/>
  <c r="X2153" i="6"/>
  <c r="X2154" i="6"/>
  <c r="X2155" i="6"/>
  <c r="X2156" i="6"/>
  <c r="X2157" i="6"/>
  <c r="X2158" i="6"/>
  <c r="W2158" i="6"/>
  <c r="W2157" i="6"/>
  <c r="W2156" i="6"/>
  <c r="W2155" i="6"/>
  <c r="W2154" i="6"/>
  <c r="W2153" i="6"/>
  <c r="W2152" i="6"/>
  <c r="W2151" i="6"/>
  <c r="W2150" i="6"/>
  <c r="W2149" i="6"/>
  <c r="W2148" i="6"/>
  <c r="W2147" i="6"/>
  <c r="W2146" i="6"/>
  <c r="W2145" i="6"/>
  <c r="W2144" i="6"/>
  <c r="W2143" i="6"/>
  <c r="W2142" i="6"/>
  <c r="W2141" i="6"/>
  <c r="W2140" i="6"/>
  <c r="W2139" i="6"/>
  <c r="W2138" i="6"/>
  <c r="W2137" i="6"/>
  <c r="W2136" i="6"/>
  <c r="W2135" i="6"/>
  <c r="W2134" i="6"/>
  <c r="W2133" i="6"/>
  <c r="W2132" i="6"/>
  <c r="W2131" i="6"/>
  <c r="W2130" i="6"/>
  <c r="W2129" i="6"/>
  <c r="W2128" i="6"/>
  <c r="W2127" i="6"/>
  <c r="W2126" i="6"/>
  <c r="W2125" i="6"/>
  <c r="W2124" i="6"/>
  <c r="W2123" i="6"/>
  <c r="W2122" i="6"/>
  <c r="W2121" i="6"/>
  <c r="W2120" i="6"/>
  <c r="W2119" i="6"/>
  <c r="W2118" i="6"/>
  <c r="W2117" i="6"/>
  <c r="W2116" i="6"/>
  <c r="W2115" i="6"/>
  <c r="W2114" i="6"/>
  <c r="W2113" i="6"/>
  <c r="W2112" i="6"/>
  <c r="W2111" i="6"/>
  <c r="W2110" i="6"/>
  <c r="W2109" i="6"/>
  <c r="W2108" i="6"/>
  <c r="W2107" i="6"/>
  <c r="W2106" i="6"/>
  <c r="W2105" i="6"/>
  <c r="W2104" i="6"/>
  <c r="W2103" i="6"/>
  <c r="W2102" i="6"/>
  <c r="W2101" i="6"/>
  <c r="W2100" i="6"/>
  <c r="W2099" i="6"/>
  <c r="W2098" i="6"/>
  <c r="W2097" i="6"/>
  <c r="W2096" i="6"/>
  <c r="W2095" i="6"/>
  <c r="W2094" i="6"/>
  <c r="W2093" i="6"/>
  <c r="W2092" i="6"/>
  <c r="W2091" i="6"/>
  <c r="W2090" i="6"/>
  <c r="W2089" i="6"/>
  <c r="W2088" i="6"/>
  <c r="W2087" i="6"/>
  <c r="W2086" i="6"/>
  <c r="W2085" i="6"/>
  <c r="W2084" i="6"/>
  <c r="W2083" i="6"/>
  <c r="W2082" i="6"/>
  <c r="W2081" i="6"/>
  <c r="W2080" i="6"/>
  <c r="W2079" i="6"/>
  <c r="W2078" i="6"/>
  <c r="W2077" i="6"/>
  <c r="W2076" i="6"/>
  <c r="W2075" i="6"/>
  <c r="W2074" i="6"/>
  <c r="W2073" i="6"/>
  <c r="W2072" i="6"/>
  <c r="W2071" i="6"/>
  <c r="W2070" i="6"/>
  <c r="W2069" i="6"/>
  <c r="W2068" i="6"/>
  <c r="W2067" i="6"/>
  <c r="W2066" i="6"/>
  <c r="W2065" i="6"/>
  <c r="W2064" i="6"/>
  <c r="W2063" i="6"/>
  <c r="W2062" i="6"/>
  <c r="W2061" i="6"/>
  <c r="W2060" i="6"/>
  <c r="W2059" i="6"/>
  <c r="W2058" i="6"/>
  <c r="W2057" i="6"/>
  <c r="W2056" i="6"/>
  <c r="W2055" i="6"/>
  <c r="W2054" i="6"/>
  <c r="W2053" i="6"/>
  <c r="W2052" i="6"/>
  <c r="W2051" i="6"/>
  <c r="W2050" i="6"/>
  <c r="W2049" i="6"/>
  <c r="W2048" i="6"/>
  <c r="W2047" i="6"/>
  <c r="W2046" i="6"/>
  <c r="W2045" i="6"/>
  <c r="W2044" i="6"/>
  <c r="W2043" i="6"/>
  <c r="W2042" i="6"/>
  <c r="W2041" i="6"/>
  <c r="W2040" i="6"/>
  <c r="W2039" i="6"/>
  <c r="W2038" i="6"/>
  <c r="W2037" i="6"/>
  <c r="W2036" i="6"/>
  <c r="W2035" i="6"/>
  <c r="W2034" i="6"/>
  <c r="W2033" i="6"/>
  <c r="W2032" i="6"/>
  <c r="W2031" i="6"/>
  <c r="W2030" i="6"/>
  <c r="W2029" i="6"/>
  <c r="W2028" i="6"/>
  <c r="W2027" i="6"/>
  <c r="W2026" i="6"/>
  <c r="W2025" i="6"/>
  <c r="W2024" i="6"/>
  <c r="W2023" i="6"/>
  <c r="W2022" i="6"/>
  <c r="W2021" i="6"/>
  <c r="W2020" i="6"/>
  <c r="W2019" i="6"/>
  <c r="W2018" i="6"/>
  <c r="W2017" i="6"/>
  <c r="W2016" i="6"/>
  <c r="W2015" i="6"/>
  <c r="W2014" i="6"/>
  <c r="W2013" i="6"/>
  <c r="W2012" i="6"/>
  <c r="W2011" i="6"/>
  <c r="W2010" i="6"/>
  <c r="W2009" i="6"/>
  <c r="W2008" i="6"/>
  <c r="W2007" i="6"/>
  <c r="W2006" i="6"/>
  <c r="W2005" i="6"/>
  <c r="W2004" i="6"/>
  <c r="W2003" i="6"/>
  <c r="W2002" i="6"/>
  <c r="W2001" i="6"/>
  <c r="W2000" i="6"/>
  <c r="W1999" i="6"/>
  <c r="W1998" i="6"/>
  <c r="W1997" i="6"/>
  <c r="W1996" i="6"/>
  <c r="W1995" i="6"/>
  <c r="W1994" i="6"/>
  <c r="W1993" i="6"/>
  <c r="W1992" i="6"/>
  <c r="W1991" i="6"/>
  <c r="W1990" i="6"/>
  <c r="W1989" i="6"/>
  <c r="W1988" i="6"/>
  <c r="W1987" i="6"/>
  <c r="W1986" i="6"/>
  <c r="W1985" i="6"/>
  <c r="W1984" i="6"/>
  <c r="W1983" i="6"/>
  <c r="W1982" i="6"/>
  <c r="W1981" i="6"/>
  <c r="W1980" i="6"/>
  <c r="W1979" i="6"/>
  <c r="W1978" i="6"/>
  <c r="W1977" i="6"/>
  <c r="W1976" i="6"/>
  <c r="W1975" i="6"/>
  <c r="W1974" i="6"/>
  <c r="W1973" i="6"/>
  <c r="W1972" i="6"/>
  <c r="W1971" i="6"/>
  <c r="W1970" i="6"/>
  <c r="W1969" i="6"/>
  <c r="W1968" i="6"/>
  <c r="W1967" i="6"/>
  <c r="W1966" i="6"/>
  <c r="W1965" i="6"/>
  <c r="W1964" i="6"/>
  <c r="W1963" i="6"/>
  <c r="W1962" i="6"/>
  <c r="W1961" i="6"/>
  <c r="W1960" i="6"/>
  <c r="W1959" i="6"/>
  <c r="W1958" i="6"/>
  <c r="W1957" i="6"/>
  <c r="W1956" i="6"/>
  <c r="W1955" i="6"/>
  <c r="W1954" i="6"/>
  <c r="W1953" i="6"/>
  <c r="W1952" i="6"/>
  <c r="W1951" i="6"/>
  <c r="W1950" i="6"/>
  <c r="W1949" i="6"/>
  <c r="W1948" i="6"/>
  <c r="W1947" i="6"/>
  <c r="W1946" i="6"/>
  <c r="W1945" i="6"/>
  <c r="W1944" i="6"/>
  <c r="W1943" i="6"/>
  <c r="W1942" i="6"/>
  <c r="W1941" i="6"/>
  <c r="W1940" i="6"/>
  <c r="W1939" i="6"/>
  <c r="W1938" i="6"/>
  <c r="W1937" i="6"/>
  <c r="W1936" i="6"/>
  <c r="W1935" i="6"/>
  <c r="W1934" i="6"/>
  <c r="W1933" i="6"/>
  <c r="W1932" i="6"/>
  <c r="W1931" i="6"/>
  <c r="W1930" i="6"/>
  <c r="W1929" i="6"/>
  <c r="W1928" i="6"/>
  <c r="W1927" i="6"/>
  <c r="W1926" i="6"/>
  <c r="W1925" i="6"/>
  <c r="W1924" i="6"/>
  <c r="W1923" i="6"/>
  <c r="W1922" i="6"/>
  <c r="W1921" i="6"/>
  <c r="W1920" i="6"/>
  <c r="W1919" i="6"/>
  <c r="W1918" i="6"/>
  <c r="W1917" i="6"/>
  <c r="W1916" i="6"/>
  <c r="W1915" i="6"/>
  <c r="W1914" i="6"/>
  <c r="W1913" i="6"/>
  <c r="W1912" i="6"/>
  <c r="W1911" i="6"/>
  <c r="W1910" i="6"/>
  <c r="W1909" i="6"/>
  <c r="W1908" i="6"/>
  <c r="W1907" i="6"/>
  <c r="W1906" i="6"/>
  <c r="W1905" i="6"/>
  <c r="W1904" i="6"/>
  <c r="W1903" i="6"/>
  <c r="W1902" i="6"/>
  <c r="W1901" i="6"/>
  <c r="W1900" i="6"/>
  <c r="W1899" i="6"/>
  <c r="W1898" i="6"/>
  <c r="W1897" i="6"/>
  <c r="W1896" i="6"/>
  <c r="W1895" i="6"/>
  <c r="W1894" i="6"/>
  <c r="W1893" i="6"/>
  <c r="W1892" i="6"/>
  <c r="W1891" i="6"/>
  <c r="W1890" i="6"/>
  <c r="W1889" i="6"/>
  <c r="W1888" i="6"/>
  <c r="W1887" i="6"/>
  <c r="W1886" i="6"/>
  <c r="W1885" i="6"/>
  <c r="W1884" i="6"/>
  <c r="W1883" i="6"/>
  <c r="W1882" i="6"/>
  <c r="W1881" i="6"/>
  <c r="W1880" i="6"/>
  <c r="W1879" i="6"/>
  <c r="W1878" i="6"/>
  <c r="W1877" i="6"/>
  <c r="W1876" i="6"/>
  <c r="W1875" i="6"/>
  <c r="W1874" i="6"/>
  <c r="W1873" i="6"/>
  <c r="W1872" i="6"/>
  <c r="W1871" i="6"/>
  <c r="W1870" i="6"/>
  <c r="W1869" i="6"/>
  <c r="W1868" i="6"/>
  <c r="W1867" i="6"/>
  <c r="W1866" i="6"/>
  <c r="W1865" i="6"/>
  <c r="W1864" i="6"/>
  <c r="W1863" i="6"/>
  <c r="W1862" i="6"/>
  <c r="W1861" i="6"/>
  <c r="W1860" i="6"/>
  <c r="W1859" i="6"/>
  <c r="W1858" i="6"/>
  <c r="W1857" i="6"/>
  <c r="W1856" i="6"/>
  <c r="W1855" i="6"/>
  <c r="W1854" i="6"/>
  <c r="W1853" i="6"/>
  <c r="W1852" i="6"/>
  <c r="W1851" i="6"/>
  <c r="W1850" i="6"/>
  <c r="W1849" i="6"/>
  <c r="W1848" i="6"/>
  <c r="W1847" i="6"/>
  <c r="W1846" i="6"/>
  <c r="W1845" i="6"/>
  <c r="W1844" i="6"/>
  <c r="W1843" i="6"/>
  <c r="W1842" i="6"/>
  <c r="W1841" i="6"/>
  <c r="W1840" i="6"/>
  <c r="W1839" i="6"/>
  <c r="W1838" i="6"/>
  <c r="W1837" i="6"/>
  <c r="W1836" i="6"/>
  <c r="W1835" i="6"/>
  <c r="W1834" i="6"/>
  <c r="W1833" i="6"/>
  <c r="W1832" i="6"/>
  <c r="W1831" i="6"/>
  <c r="W1830" i="6"/>
  <c r="W1829" i="6"/>
  <c r="W1828" i="6"/>
  <c r="W1827" i="6"/>
  <c r="W1826" i="6"/>
  <c r="W1825" i="6"/>
  <c r="W1824" i="6"/>
  <c r="W1823" i="6"/>
  <c r="W1822" i="6"/>
  <c r="W1821" i="6"/>
  <c r="W1820" i="6"/>
  <c r="W1819" i="6"/>
  <c r="W1818" i="6"/>
  <c r="W1817" i="6"/>
  <c r="W1816" i="6"/>
  <c r="W1815" i="6"/>
  <c r="W1814" i="6"/>
  <c r="W1813" i="6"/>
  <c r="W1812" i="6"/>
  <c r="W1811" i="6"/>
  <c r="W1810" i="6"/>
  <c r="W1809" i="6"/>
  <c r="W1808" i="6"/>
  <c r="W1807" i="6"/>
  <c r="W1806" i="6"/>
  <c r="W1805" i="6"/>
  <c r="W1804" i="6"/>
  <c r="W1803" i="6"/>
  <c r="W1802" i="6"/>
  <c r="W1801" i="6"/>
  <c r="W1800" i="6"/>
  <c r="W1799" i="6"/>
  <c r="W1798" i="6"/>
  <c r="W1797" i="6"/>
  <c r="W1796" i="6"/>
  <c r="W1795" i="6"/>
  <c r="W1794" i="6"/>
  <c r="W1793" i="6"/>
  <c r="W1792" i="6"/>
  <c r="W1791" i="6"/>
  <c r="W1790" i="6"/>
  <c r="W1789" i="6"/>
  <c r="W1788" i="6"/>
  <c r="W1787" i="6"/>
  <c r="W1786" i="6"/>
  <c r="W1785" i="6"/>
  <c r="W1784" i="6"/>
  <c r="W1783" i="6"/>
  <c r="W1782" i="6"/>
  <c r="W1781" i="6"/>
  <c r="W1780" i="6"/>
  <c r="W1779" i="6"/>
  <c r="W1778" i="6"/>
  <c r="W1777" i="6"/>
  <c r="W1776" i="6"/>
  <c r="W1775" i="6"/>
  <c r="W1774" i="6"/>
  <c r="W1773" i="6"/>
  <c r="W1772" i="6"/>
  <c r="W1771" i="6"/>
  <c r="W1770" i="6"/>
  <c r="W1769" i="6"/>
  <c r="W1768" i="6"/>
  <c r="W1767" i="6"/>
  <c r="W1766" i="6"/>
  <c r="W1765" i="6"/>
  <c r="W1764" i="6"/>
  <c r="W1763" i="6"/>
  <c r="W1762" i="6"/>
  <c r="W1761" i="6"/>
  <c r="W1760" i="6"/>
  <c r="W1759" i="6"/>
  <c r="W1758" i="6"/>
  <c r="W1757" i="6"/>
  <c r="W1756" i="6"/>
  <c r="W1755" i="6"/>
  <c r="W1754" i="6"/>
  <c r="W1753" i="6"/>
  <c r="W1752" i="6"/>
  <c r="W1751" i="6"/>
  <c r="W1750" i="6"/>
  <c r="W1749" i="6"/>
  <c r="W1748" i="6"/>
  <c r="W1747" i="6"/>
  <c r="W1746" i="6"/>
  <c r="W1745" i="6"/>
  <c r="W1744" i="6"/>
  <c r="W1743" i="6"/>
  <c r="W1742" i="6"/>
  <c r="W1741" i="6"/>
  <c r="W1740" i="6"/>
  <c r="W1739" i="6"/>
  <c r="W1738" i="6"/>
  <c r="W1737" i="6"/>
  <c r="W1736" i="6"/>
  <c r="W1735" i="6"/>
  <c r="W1734" i="6"/>
  <c r="W1733" i="6"/>
  <c r="W1732" i="6"/>
  <c r="W1731" i="6"/>
  <c r="W1730" i="6"/>
  <c r="W1729" i="6"/>
  <c r="W1728" i="6"/>
  <c r="W1727" i="6"/>
  <c r="W1726" i="6"/>
  <c r="W1725" i="6"/>
  <c r="W1724" i="6"/>
  <c r="W1723" i="6"/>
  <c r="W1722" i="6"/>
  <c r="W1721" i="6"/>
  <c r="W1720" i="6"/>
  <c r="W1719" i="6"/>
  <c r="W1718" i="6"/>
  <c r="W1717" i="6"/>
  <c r="W1716" i="6"/>
  <c r="W1715" i="6"/>
  <c r="W1714" i="6"/>
  <c r="W1713" i="6"/>
  <c r="W1712" i="6"/>
  <c r="W1711" i="6"/>
  <c r="W1710" i="6"/>
  <c r="W1709" i="6"/>
  <c r="W1708" i="6"/>
  <c r="W1707" i="6"/>
  <c r="W1706" i="6"/>
  <c r="W1705" i="6"/>
  <c r="W1704" i="6"/>
  <c r="W1703" i="6"/>
  <c r="W1702" i="6"/>
  <c r="W1701" i="6"/>
  <c r="W1700" i="6"/>
  <c r="W1699" i="6"/>
  <c r="W1698" i="6"/>
  <c r="W1697" i="6"/>
  <c r="W1696" i="6"/>
  <c r="W1695" i="6"/>
  <c r="W1694" i="6"/>
  <c r="W1693" i="6"/>
  <c r="W1692" i="6"/>
  <c r="W1691" i="6"/>
  <c r="W1690" i="6"/>
  <c r="W1689" i="6"/>
  <c r="W1688" i="6"/>
  <c r="W1687" i="6"/>
  <c r="W1686" i="6"/>
  <c r="W1685" i="6"/>
  <c r="W1684" i="6"/>
  <c r="W1683" i="6"/>
  <c r="W1682" i="6"/>
  <c r="W1681" i="6"/>
  <c r="W1680" i="6"/>
  <c r="W1679" i="6"/>
  <c r="W1678" i="6"/>
  <c r="W1677" i="6"/>
  <c r="W1676" i="6"/>
  <c r="W1675" i="6"/>
  <c r="W1674" i="6"/>
  <c r="W1673" i="6"/>
  <c r="W1672" i="6"/>
  <c r="W1671" i="6"/>
  <c r="W1670" i="6"/>
  <c r="W1669" i="6"/>
  <c r="W1668" i="6"/>
  <c r="W1667" i="6"/>
  <c r="W1666" i="6"/>
  <c r="W1665" i="6"/>
  <c r="W1664" i="6"/>
  <c r="W1663" i="6"/>
  <c r="W1662" i="6"/>
  <c r="W1661" i="6"/>
  <c r="W1660" i="6"/>
  <c r="W1659" i="6"/>
  <c r="W1658" i="6"/>
  <c r="W1657" i="6"/>
  <c r="W1656" i="6"/>
  <c r="W1655" i="6"/>
  <c r="W1654" i="6"/>
  <c r="W1653" i="6"/>
  <c r="W1652" i="6"/>
  <c r="W1651" i="6"/>
  <c r="W1650" i="6"/>
  <c r="W1649" i="6"/>
  <c r="W1648" i="6"/>
  <c r="W1647" i="6"/>
  <c r="W1646" i="6"/>
  <c r="W1645" i="6"/>
  <c r="W1644" i="6"/>
  <c r="W1643" i="6"/>
  <c r="W1642" i="6"/>
  <c r="W1641" i="6"/>
  <c r="W1640" i="6"/>
  <c r="W1639" i="6"/>
  <c r="W1638" i="6"/>
  <c r="W1637" i="6"/>
  <c r="W1636" i="6"/>
  <c r="W1635" i="6"/>
  <c r="W1634" i="6"/>
  <c r="W1633" i="6"/>
  <c r="W1632" i="6"/>
  <c r="W1631" i="6"/>
  <c r="W1630" i="6"/>
  <c r="W1629" i="6"/>
  <c r="W1628" i="6"/>
  <c r="W1627" i="6"/>
  <c r="W1626" i="6"/>
  <c r="W1625" i="6"/>
  <c r="W1624" i="6"/>
  <c r="W1623" i="6"/>
  <c r="W1622" i="6"/>
  <c r="W1621" i="6"/>
  <c r="W1620" i="6"/>
  <c r="W1619" i="6"/>
  <c r="W1618" i="6"/>
  <c r="W1617" i="6"/>
  <c r="W1616" i="6"/>
  <c r="W1615" i="6"/>
  <c r="W1614" i="6"/>
  <c r="W1613" i="6"/>
  <c r="W1612" i="6"/>
  <c r="W1611" i="6"/>
  <c r="W1610" i="6"/>
  <c r="W1609" i="6"/>
  <c r="W1608" i="6"/>
  <c r="W1607" i="6"/>
  <c r="W1606" i="6"/>
  <c r="W1605" i="6"/>
  <c r="W1604" i="6"/>
  <c r="W1603" i="6"/>
  <c r="W1602" i="6"/>
  <c r="W1601" i="6"/>
  <c r="W1600" i="6"/>
  <c r="W1599" i="6"/>
  <c r="W1598" i="6"/>
  <c r="W1597" i="6"/>
  <c r="W1596" i="6"/>
  <c r="W1595" i="6"/>
  <c r="W1594" i="6"/>
  <c r="W1593" i="6"/>
  <c r="W1592" i="6"/>
  <c r="W1591" i="6"/>
  <c r="W1590" i="6"/>
  <c r="W1589" i="6"/>
  <c r="W1588" i="6"/>
  <c r="W1587" i="6"/>
  <c r="W1586" i="6"/>
  <c r="W1585" i="6"/>
  <c r="W1584" i="6"/>
  <c r="W1583" i="6"/>
  <c r="W1582" i="6"/>
  <c r="W1581" i="6"/>
  <c r="W1580" i="6"/>
  <c r="W1579" i="6"/>
  <c r="W1578" i="6"/>
  <c r="W1577" i="6"/>
  <c r="W1576" i="6"/>
  <c r="W1575" i="6"/>
  <c r="W1574" i="6"/>
  <c r="W1573" i="6"/>
  <c r="W1572" i="6"/>
  <c r="W1571" i="6"/>
  <c r="W1570" i="6"/>
  <c r="W1569" i="6"/>
  <c r="W1568" i="6"/>
  <c r="W1567" i="6"/>
  <c r="W1566" i="6"/>
  <c r="W1565" i="6"/>
  <c r="W1564" i="6"/>
  <c r="W1563" i="6"/>
  <c r="W1562" i="6"/>
  <c r="W1561" i="6"/>
  <c r="W1560" i="6"/>
  <c r="W1559" i="6"/>
  <c r="W1558" i="6"/>
  <c r="W1557" i="6"/>
  <c r="W1556" i="6"/>
  <c r="W1555" i="6"/>
  <c r="W1554" i="6"/>
  <c r="W1553" i="6"/>
  <c r="W1552" i="6"/>
  <c r="W1551" i="6"/>
  <c r="W1550" i="6"/>
  <c r="W1549" i="6"/>
  <c r="W1548" i="6"/>
  <c r="W1547" i="6"/>
  <c r="W1546" i="6"/>
  <c r="W1545" i="6"/>
  <c r="W1544" i="6"/>
  <c r="W1543" i="6"/>
  <c r="W1542" i="6"/>
  <c r="W1541" i="6"/>
  <c r="W1540" i="6"/>
  <c r="W1539" i="6"/>
  <c r="W1538" i="6"/>
  <c r="W1537" i="6"/>
  <c r="W1536" i="6"/>
  <c r="W1535" i="6"/>
  <c r="W1534" i="6"/>
  <c r="W1533" i="6"/>
  <c r="W1532" i="6"/>
  <c r="W1531" i="6"/>
  <c r="W1530" i="6"/>
  <c r="W1529" i="6"/>
  <c r="W1528" i="6"/>
  <c r="W1527" i="6"/>
  <c r="W1526" i="6"/>
  <c r="W1525" i="6"/>
  <c r="W1524" i="6"/>
  <c r="W1523" i="6"/>
  <c r="W1522" i="6"/>
  <c r="W1521" i="6"/>
  <c r="W1520" i="6"/>
  <c r="W1519" i="6"/>
  <c r="W1518" i="6"/>
  <c r="W1517" i="6"/>
  <c r="W1516" i="6"/>
  <c r="W1515" i="6"/>
  <c r="W1514" i="6"/>
  <c r="W1513" i="6"/>
  <c r="W1512" i="6"/>
  <c r="W1511" i="6"/>
  <c r="W1510" i="6"/>
  <c r="W1509" i="6"/>
  <c r="W1508" i="6"/>
  <c r="W1507" i="6"/>
  <c r="W1506" i="6"/>
  <c r="W1505" i="6"/>
  <c r="W1504" i="6"/>
  <c r="W1503" i="6"/>
  <c r="W1502" i="6"/>
  <c r="W1501" i="6"/>
  <c r="W1500" i="6"/>
  <c r="W1499" i="6"/>
  <c r="W1498" i="6"/>
  <c r="W1497" i="6"/>
  <c r="W1496" i="6"/>
  <c r="W1495" i="6"/>
  <c r="W1494" i="6"/>
  <c r="W1493" i="6"/>
  <c r="W1492" i="6"/>
  <c r="W1491" i="6"/>
  <c r="W1490" i="6"/>
  <c r="W1489" i="6"/>
  <c r="W1488" i="6"/>
  <c r="W1487" i="6"/>
  <c r="W1486" i="6"/>
  <c r="W1485" i="6"/>
  <c r="W1484" i="6"/>
  <c r="W1483" i="6"/>
  <c r="W1482" i="6"/>
  <c r="W1481" i="6"/>
  <c r="W1480" i="6"/>
  <c r="W1479" i="6"/>
  <c r="W1478" i="6"/>
  <c r="W1477" i="6"/>
  <c r="W1476" i="6"/>
  <c r="W1475" i="6"/>
  <c r="W1474" i="6"/>
  <c r="W1473" i="6"/>
  <c r="W1472" i="6"/>
  <c r="W1471" i="6"/>
  <c r="W1470" i="6"/>
  <c r="W1469" i="6"/>
  <c r="W1468" i="6"/>
  <c r="W1467" i="6"/>
  <c r="W1466" i="6"/>
  <c r="W1465" i="6"/>
  <c r="W1464" i="6"/>
  <c r="W1463" i="6"/>
  <c r="W1462" i="6"/>
  <c r="W1461" i="6"/>
  <c r="W1460" i="6"/>
  <c r="W1459" i="6"/>
  <c r="W1458" i="6"/>
  <c r="W1457" i="6"/>
  <c r="W1456" i="6"/>
  <c r="W1455" i="6"/>
  <c r="W1454" i="6"/>
  <c r="W1453" i="6"/>
  <c r="W1452" i="6"/>
  <c r="W1451" i="6"/>
  <c r="W1450" i="6"/>
  <c r="W1449" i="6"/>
  <c r="W1448" i="6"/>
  <c r="W1447" i="6"/>
  <c r="W1446" i="6"/>
  <c r="W1445" i="6"/>
  <c r="W1444" i="6"/>
  <c r="W1443" i="6"/>
  <c r="W1442" i="6"/>
  <c r="W1441" i="6"/>
  <c r="W1440" i="6"/>
  <c r="W1439" i="6"/>
  <c r="W1438" i="6"/>
  <c r="W1437" i="6"/>
  <c r="W1436" i="6"/>
  <c r="W1435" i="6"/>
  <c r="W1434" i="6"/>
  <c r="W1433" i="6"/>
  <c r="W1432" i="6"/>
  <c r="W1431" i="6"/>
  <c r="W1430" i="6"/>
  <c r="W1429" i="6"/>
  <c r="W1428" i="6"/>
  <c r="W1427" i="6"/>
  <c r="W1426" i="6"/>
  <c r="W1425" i="6"/>
  <c r="W1424" i="6"/>
  <c r="W1423" i="6"/>
  <c r="W1422" i="6"/>
  <c r="W1421" i="6"/>
  <c r="W1420" i="6"/>
  <c r="W1419" i="6"/>
  <c r="W1418" i="6"/>
  <c r="W1417" i="6"/>
  <c r="W1416" i="6"/>
  <c r="W1415" i="6"/>
  <c r="W1414" i="6"/>
  <c r="W1413" i="6"/>
  <c r="W1412" i="6"/>
  <c r="W1411" i="6"/>
  <c r="W1410" i="6"/>
  <c r="W1409" i="6"/>
  <c r="W1408" i="6"/>
  <c r="W1407" i="6"/>
  <c r="W1406" i="6"/>
  <c r="W1405" i="6"/>
  <c r="W1404" i="6"/>
  <c r="W1403" i="6"/>
  <c r="W1402" i="6"/>
  <c r="W1401" i="6"/>
  <c r="W1400" i="6"/>
  <c r="W1399" i="6"/>
  <c r="W1398" i="6"/>
  <c r="W1397" i="6"/>
  <c r="W1396" i="6"/>
  <c r="W1395" i="6"/>
  <c r="W1394" i="6"/>
  <c r="W1393" i="6"/>
  <c r="W1392" i="6"/>
  <c r="W1391" i="6"/>
  <c r="W1390" i="6"/>
  <c r="W1389" i="6"/>
  <c r="W1388" i="6"/>
  <c r="W1387" i="6"/>
  <c r="W1386" i="6"/>
  <c r="W1385" i="6"/>
  <c r="W1384" i="6"/>
  <c r="W1383" i="6"/>
  <c r="W1382" i="6"/>
  <c r="W1381" i="6"/>
  <c r="W1380" i="6"/>
  <c r="W1379" i="6"/>
  <c r="W1378" i="6"/>
  <c r="W1377" i="6"/>
  <c r="W1376" i="6"/>
  <c r="W1375" i="6"/>
  <c r="W1374" i="6"/>
  <c r="W1373" i="6"/>
  <c r="W1372" i="6"/>
  <c r="W1371" i="6"/>
  <c r="W1370" i="6"/>
  <c r="W1369" i="6"/>
  <c r="W1368" i="6"/>
  <c r="W1367" i="6"/>
  <c r="W1366" i="6"/>
  <c r="W1365" i="6"/>
  <c r="W1364" i="6"/>
  <c r="W1363" i="6"/>
  <c r="W1362" i="6"/>
  <c r="W1361" i="6"/>
  <c r="W1360" i="6"/>
  <c r="W1359" i="6"/>
  <c r="W1358" i="6"/>
  <c r="W1357" i="6"/>
  <c r="W1356" i="6"/>
  <c r="W1355" i="6"/>
  <c r="W1354" i="6"/>
  <c r="W1353" i="6"/>
  <c r="W1352" i="6"/>
  <c r="W1351" i="6"/>
  <c r="W1350" i="6"/>
  <c r="W1349" i="6"/>
  <c r="W1348" i="6"/>
  <c r="W1347" i="6"/>
  <c r="W1346" i="6"/>
  <c r="W1345" i="6"/>
  <c r="W1344" i="6"/>
  <c r="W1343" i="6"/>
  <c r="W1342" i="6"/>
  <c r="W1341" i="6"/>
  <c r="W1340" i="6"/>
  <c r="W1339" i="6"/>
  <c r="W1338" i="6"/>
  <c r="W1337" i="6"/>
  <c r="W1336" i="6"/>
  <c r="W1335" i="6"/>
  <c r="W1334" i="6"/>
  <c r="W1333" i="6"/>
  <c r="W1332" i="6"/>
  <c r="W1331" i="6"/>
  <c r="W1330" i="6"/>
  <c r="W1329" i="6"/>
  <c r="W1328" i="6"/>
  <c r="W1327" i="6"/>
  <c r="W1326" i="6"/>
  <c r="W1325" i="6"/>
  <c r="W1324" i="6"/>
  <c r="W1323" i="6"/>
  <c r="W1322" i="6"/>
  <c r="W1321" i="6"/>
  <c r="W1320" i="6"/>
  <c r="W1319" i="6"/>
  <c r="W1318" i="6"/>
  <c r="W1317" i="6"/>
  <c r="W1316" i="6"/>
  <c r="W1315" i="6"/>
  <c r="W1314" i="6"/>
  <c r="W1313" i="6"/>
  <c r="W1312" i="6"/>
  <c r="W1311" i="6"/>
  <c r="W1310" i="6"/>
  <c r="W1309" i="6"/>
  <c r="W1308" i="6"/>
  <c r="W1307" i="6"/>
  <c r="W1306" i="6"/>
  <c r="W1305" i="6"/>
  <c r="W1304" i="6"/>
  <c r="W1303" i="6"/>
  <c r="W1302" i="6"/>
  <c r="W1301" i="6"/>
  <c r="W1300" i="6"/>
  <c r="W1299" i="6"/>
  <c r="W1298" i="6"/>
  <c r="W1297" i="6"/>
  <c r="W1296" i="6"/>
  <c r="W1295" i="6"/>
  <c r="W1294" i="6"/>
  <c r="W1293" i="6"/>
  <c r="W1292" i="6"/>
  <c r="W1291" i="6"/>
  <c r="W1290" i="6"/>
  <c r="W1289" i="6"/>
  <c r="W1288" i="6"/>
  <c r="W1287" i="6"/>
  <c r="W1286" i="6"/>
  <c r="W1285" i="6"/>
  <c r="W1284" i="6"/>
  <c r="W1283" i="6"/>
  <c r="W1282" i="6"/>
  <c r="W1281" i="6"/>
  <c r="W1280" i="6"/>
  <c r="W1279" i="6"/>
  <c r="W1278" i="6"/>
  <c r="W1277" i="6"/>
  <c r="W1276" i="6"/>
  <c r="W1275" i="6"/>
  <c r="W1274" i="6"/>
  <c r="W1273" i="6"/>
  <c r="W1272" i="6"/>
  <c r="W1271" i="6"/>
  <c r="W1270" i="6"/>
  <c r="W1269" i="6"/>
  <c r="W1268" i="6"/>
  <c r="W1267" i="6"/>
  <c r="W1266" i="6"/>
  <c r="W1265" i="6"/>
  <c r="W1264" i="6"/>
  <c r="W1263" i="6"/>
  <c r="W1262" i="6"/>
  <c r="W1261" i="6"/>
  <c r="W1260" i="6"/>
  <c r="W1259" i="6"/>
  <c r="W1258" i="6"/>
  <c r="W1257" i="6"/>
  <c r="W1256" i="6"/>
  <c r="W1255" i="6"/>
  <c r="W1254" i="6"/>
  <c r="W1253" i="6"/>
  <c r="W1252" i="6"/>
  <c r="W1251" i="6"/>
  <c r="W1250" i="6"/>
  <c r="W1249" i="6"/>
  <c r="W1248" i="6"/>
  <c r="W1247" i="6"/>
  <c r="W1246" i="6"/>
  <c r="W1245" i="6"/>
  <c r="W1244" i="6"/>
  <c r="W1243" i="6"/>
  <c r="W1242" i="6"/>
  <c r="W1241" i="6"/>
  <c r="W1240" i="6"/>
  <c r="W1239" i="6"/>
  <c r="W1238" i="6"/>
  <c r="W1237" i="6"/>
  <c r="W1236" i="6"/>
  <c r="W1235" i="6"/>
  <c r="W1234" i="6"/>
  <c r="W1233" i="6"/>
  <c r="W1232" i="6"/>
  <c r="W1231" i="6"/>
  <c r="W1230" i="6"/>
  <c r="W1229" i="6"/>
  <c r="W1228" i="6"/>
  <c r="W1227" i="6"/>
  <c r="W1226" i="6"/>
  <c r="W1225" i="6"/>
  <c r="W1224" i="6"/>
  <c r="W1223" i="6"/>
  <c r="W1222" i="6"/>
  <c r="W1221" i="6"/>
  <c r="W1220" i="6"/>
  <c r="W1219" i="6"/>
  <c r="W1218" i="6"/>
  <c r="W1217" i="6"/>
  <c r="W1216" i="6"/>
  <c r="W1215" i="6"/>
  <c r="W1214" i="6"/>
  <c r="W1213" i="6"/>
  <c r="W1212" i="6"/>
  <c r="W1211" i="6"/>
  <c r="W1210" i="6"/>
  <c r="W1209" i="6"/>
  <c r="W1208" i="6"/>
  <c r="W1207" i="6"/>
  <c r="W1206" i="6"/>
  <c r="W1205" i="6"/>
  <c r="W1204" i="6"/>
  <c r="W1203" i="6"/>
  <c r="W1202" i="6"/>
  <c r="W1201" i="6"/>
  <c r="W1200" i="6"/>
  <c r="W1199" i="6"/>
  <c r="W1198" i="6"/>
  <c r="W1197" i="6"/>
  <c r="W1196" i="6"/>
  <c r="W1195" i="6"/>
  <c r="W1194" i="6"/>
  <c r="W1193" i="6"/>
  <c r="W1192" i="6"/>
  <c r="W1191" i="6"/>
  <c r="W1190" i="6"/>
  <c r="W1189" i="6"/>
  <c r="W1188" i="6"/>
  <c r="W1187" i="6"/>
  <c r="W1186" i="6"/>
  <c r="W1185" i="6"/>
  <c r="W1184" i="6"/>
  <c r="W1183" i="6"/>
  <c r="W1182" i="6"/>
  <c r="W1181" i="6"/>
  <c r="W1180" i="6"/>
  <c r="W1179" i="6"/>
  <c r="W1178" i="6"/>
  <c r="W1177" i="6"/>
  <c r="W1176" i="6"/>
  <c r="W1175" i="6"/>
  <c r="W1174" i="6"/>
  <c r="W1173" i="6"/>
  <c r="W1172" i="6"/>
  <c r="W1171" i="6"/>
  <c r="W1170" i="6"/>
  <c r="W1169" i="6"/>
  <c r="W1168" i="6"/>
  <c r="W1167" i="6"/>
  <c r="W1166" i="6"/>
  <c r="W1165" i="6"/>
  <c r="W1164" i="6"/>
  <c r="W1163" i="6"/>
  <c r="W1162" i="6"/>
  <c r="W1161" i="6"/>
  <c r="W1160" i="6"/>
  <c r="W1159" i="6"/>
  <c r="W1158" i="6"/>
  <c r="W1157" i="6"/>
  <c r="W1156" i="6"/>
  <c r="W1155" i="6"/>
  <c r="W1154" i="6"/>
  <c r="W1153" i="6"/>
  <c r="W1152" i="6"/>
  <c r="W1151" i="6"/>
  <c r="W1150" i="6"/>
  <c r="W1149" i="6"/>
  <c r="W1148" i="6"/>
  <c r="W1147" i="6"/>
  <c r="W1146" i="6"/>
  <c r="W1145" i="6"/>
  <c r="W1144" i="6"/>
  <c r="W1143" i="6"/>
  <c r="W1142" i="6"/>
  <c r="W1141" i="6"/>
  <c r="W1140" i="6"/>
  <c r="W1139" i="6"/>
  <c r="W1138" i="6"/>
  <c r="W1137" i="6"/>
  <c r="W1136" i="6"/>
  <c r="W1135" i="6"/>
  <c r="W1134" i="6"/>
  <c r="W1133" i="6"/>
  <c r="W1132" i="6"/>
  <c r="W1131" i="6"/>
  <c r="W1130" i="6"/>
  <c r="W1129" i="6"/>
  <c r="W1128" i="6"/>
  <c r="W1127" i="6"/>
  <c r="W1126" i="6"/>
  <c r="W1125" i="6"/>
  <c r="W1124" i="6"/>
  <c r="W1123" i="6"/>
  <c r="W1122" i="6"/>
  <c r="W1121" i="6"/>
  <c r="W1120" i="6"/>
  <c r="W1119" i="6"/>
  <c r="W1118" i="6"/>
  <c r="W1117" i="6"/>
  <c r="W1116" i="6"/>
  <c r="W1115" i="6"/>
  <c r="W1114" i="6"/>
  <c r="W1113" i="6"/>
  <c r="W1112" i="6"/>
  <c r="W1111" i="6"/>
  <c r="W1110" i="6"/>
  <c r="W1109" i="6"/>
  <c r="W1108" i="6"/>
  <c r="W1107" i="6"/>
  <c r="W1106" i="6"/>
  <c r="W1105" i="6"/>
  <c r="W1104" i="6"/>
  <c r="W1103" i="6"/>
  <c r="W1102" i="6"/>
  <c r="W1101" i="6"/>
  <c r="W1100" i="6"/>
  <c r="W1099" i="6"/>
  <c r="W1098" i="6"/>
  <c r="W1097" i="6"/>
  <c r="W1096" i="6"/>
  <c r="W1095" i="6"/>
  <c r="W1094" i="6"/>
  <c r="W1093" i="6"/>
  <c r="W1092" i="6"/>
  <c r="W1091" i="6"/>
  <c r="W1090" i="6"/>
  <c r="W1089" i="6"/>
  <c r="W1088" i="6"/>
  <c r="W1087" i="6"/>
  <c r="W1086" i="6"/>
  <c r="W1085" i="6"/>
  <c r="W1084" i="6"/>
  <c r="W1083" i="6"/>
  <c r="W1082" i="6"/>
  <c r="W1081" i="6"/>
  <c r="W1080" i="6"/>
  <c r="W1079" i="6"/>
  <c r="W1078" i="6"/>
  <c r="W1077" i="6"/>
  <c r="W1076" i="6"/>
  <c r="W1075" i="6"/>
  <c r="W1074" i="6"/>
  <c r="W1073" i="6"/>
  <c r="W1072" i="6"/>
  <c r="W1071" i="6"/>
  <c r="W1070" i="6"/>
  <c r="W1069" i="6"/>
  <c r="W1068" i="6"/>
  <c r="W1067" i="6"/>
  <c r="W1066" i="6"/>
  <c r="W1065" i="6"/>
  <c r="W1064" i="6"/>
  <c r="W1063" i="6"/>
  <c r="W1062" i="6"/>
  <c r="W1061" i="6"/>
  <c r="W1060" i="6"/>
  <c r="W1059" i="6"/>
  <c r="W1058" i="6"/>
  <c r="W1057" i="6"/>
  <c r="W1056" i="6"/>
  <c r="W1055" i="6"/>
  <c r="W1054" i="6"/>
  <c r="W1053" i="6"/>
  <c r="W1052" i="6"/>
  <c r="W1051" i="6"/>
  <c r="W1050" i="6"/>
  <c r="W1049" i="6"/>
  <c r="W1048" i="6"/>
  <c r="W1047" i="6"/>
  <c r="W1046" i="6"/>
  <c r="W1045" i="6"/>
  <c r="W1044" i="6"/>
  <c r="W1043" i="6"/>
  <c r="W1042" i="6"/>
  <c r="W1041" i="6"/>
  <c r="W1040" i="6"/>
  <c r="W1039" i="6"/>
  <c r="W1038" i="6"/>
  <c r="W1037" i="6"/>
  <c r="W1036" i="6"/>
  <c r="W1035" i="6"/>
  <c r="W1034" i="6"/>
  <c r="W1033" i="6"/>
  <c r="W1032" i="6"/>
  <c r="W1031" i="6"/>
  <c r="W1030" i="6"/>
  <c r="W1029" i="6"/>
  <c r="W1028" i="6"/>
  <c r="W1027" i="6"/>
  <c r="W1026" i="6"/>
  <c r="W1025" i="6"/>
  <c r="W1024" i="6"/>
  <c r="W1023" i="6"/>
  <c r="W1022" i="6"/>
  <c r="W1021" i="6"/>
  <c r="W1020" i="6"/>
  <c r="W1019" i="6"/>
  <c r="W1018" i="6"/>
  <c r="W1017" i="6"/>
  <c r="W1016" i="6"/>
  <c r="W1015" i="6"/>
  <c r="W1014" i="6"/>
  <c r="W1013" i="6"/>
  <c r="W1012" i="6"/>
  <c r="W1011" i="6"/>
  <c r="W1010" i="6"/>
  <c r="W1009" i="6"/>
  <c r="W1008" i="6"/>
  <c r="W1007" i="6"/>
  <c r="W1006" i="6"/>
  <c r="W1005" i="6"/>
  <c r="W1004" i="6"/>
  <c r="W1003" i="6"/>
  <c r="W1002" i="6"/>
  <c r="W1001" i="6"/>
  <c r="W1000" i="6"/>
  <c r="W999" i="6"/>
  <c r="W998" i="6"/>
  <c r="W997" i="6"/>
  <c r="W996" i="6"/>
  <c r="W995" i="6"/>
  <c r="W994" i="6"/>
  <c r="W993" i="6"/>
  <c r="W992" i="6"/>
  <c r="W991" i="6"/>
  <c r="W990" i="6"/>
  <c r="W989" i="6"/>
  <c r="W988" i="6"/>
  <c r="W987" i="6"/>
  <c r="W986" i="6"/>
  <c r="W985" i="6"/>
  <c r="W984" i="6"/>
  <c r="W983" i="6"/>
  <c r="W982" i="6"/>
  <c r="W981" i="6"/>
  <c r="W980" i="6"/>
  <c r="W979" i="6"/>
  <c r="W978" i="6"/>
  <c r="W977" i="6"/>
  <c r="W976" i="6"/>
  <c r="W975" i="6"/>
  <c r="W974" i="6"/>
  <c r="W973" i="6"/>
  <c r="W972" i="6"/>
  <c r="W971" i="6"/>
  <c r="W970" i="6"/>
  <c r="W969" i="6"/>
  <c r="W968" i="6"/>
  <c r="W967" i="6"/>
  <c r="W966" i="6"/>
  <c r="W965" i="6"/>
  <c r="W964" i="6"/>
  <c r="W963" i="6"/>
  <c r="W962" i="6"/>
  <c r="W961" i="6"/>
  <c r="W960" i="6"/>
  <c r="W959" i="6"/>
  <c r="W958" i="6"/>
  <c r="W957" i="6"/>
  <c r="W956" i="6"/>
  <c r="W955" i="6"/>
  <c r="W954" i="6"/>
  <c r="W953" i="6"/>
  <c r="W952" i="6"/>
  <c r="W951" i="6"/>
  <c r="W950" i="6"/>
  <c r="W949" i="6"/>
  <c r="W948" i="6"/>
  <c r="W947" i="6"/>
  <c r="W946" i="6"/>
  <c r="W945" i="6"/>
  <c r="W944" i="6"/>
  <c r="W943" i="6"/>
  <c r="W942" i="6"/>
  <c r="W941" i="6"/>
  <c r="W940" i="6"/>
  <c r="W939" i="6"/>
  <c r="W938" i="6"/>
  <c r="W937" i="6"/>
  <c r="W936" i="6"/>
  <c r="W935" i="6"/>
  <c r="W934" i="6"/>
  <c r="W933" i="6"/>
  <c r="W932" i="6"/>
  <c r="W931" i="6"/>
  <c r="W930" i="6"/>
  <c r="W929" i="6"/>
  <c r="W928" i="6"/>
  <c r="W927" i="6"/>
  <c r="W926" i="6"/>
  <c r="W925" i="6"/>
  <c r="W924" i="6"/>
  <c r="W923" i="6"/>
  <c r="W922" i="6"/>
  <c r="W921" i="6"/>
  <c r="W920" i="6"/>
  <c r="W919" i="6"/>
  <c r="W918" i="6"/>
  <c r="W917" i="6"/>
  <c r="W916" i="6"/>
  <c r="W915" i="6"/>
  <c r="W914" i="6"/>
  <c r="W913" i="6"/>
  <c r="W912" i="6"/>
  <c r="W911" i="6"/>
  <c r="W910" i="6"/>
  <c r="W909" i="6"/>
  <c r="W908" i="6"/>
  <c r="W907" i="6"/>
  <c r="W906" i="6"/>
  <c r="W905" i="6"/>
  <c r="W904" i="6"/>
  <c r="W903" i="6"/>
  <c r="W902" i="6"/>
  <c r="W901" i="6"/>
  <c r="W900" i="6"/>
  <c r="W899" i="6"/>
  <c r="W898" i="6"/>
  <c r="W897" i="6"/>
  <c r="W896" i="6"/>
  <c r="W895" i="6"/>
  <c r="W894" i="6"/>
  <c r="W893" i="6"/>
  <c r="W892" i="6"/>
  <c r="W891" i="6"/>
  <c r="W890" i="6"/>
  <c r="W889" i="6"/>
  <c r="W888" i="6"/>
  <c r="W887" i="6"/>
  <c r="W886" i="6"/>
  <c r="W885" i="6"/>
  <c r="W884" i="6"/>
  <c r="W883" i="6"/>
  <c r="W882" i="6"/>
  <c r="W881" i="6"/>
  <c r="W880" i="6"/>
  <c r="W879" i="6"/>
  <c r="W878" i="6"/>
  <c r="W877" i="6"/>
  <c r="W876" i="6"/>
  <c r="W875" i="6"/>
  <c r="W874" i="6"/>
  <c r="W873" i="6"/>
  <c r="W872" i="6"/>
  <c r="W871" i="6"/>
  <c r="W870" i="6"/>
  <c r="W869" i="6"/>
  <c r="W868" i="6"/>
  <c r="W867" i="6"/>
  <c r="W866" i="6"/>
  <c r="W865" i="6"/>
  <c r="W864" i="6"/>
  <c r="W863" i="6"/>
  <c r="W862" i="6"/>
  <c r="W861" i="6"/>
  <c r="W860" i="6"/>
  <c r="W859" i="6"/>
  <c r="W858" i="6"/>
  <c r="W857" i="6"/>
  <c r="W856" i="6"/>
  <c r="W855" i="6"/>
  <c r="W854" i="6"/>
  <c r="W853" i="6"/>
  <c r="W852" i="6"/>
  <c r="W851" i="6"/>
  <c r="W850" i="6"/>
  <c r="W849" i="6"/>
  <c r="W848" i="6"/>
  <c r="W847" i="6"/>
  <c r="W846" i="6"/>
  <c r="W845" i="6"/>
  <c r="W844" i="6"/>
  <c r="W843" i="6"/>
  <c r="W842" i="6"/>
  <c r="W841" i="6"/>
  <c r="W840" i="6"/>
  <c r="W839" i="6"/>
  <c r="W838" i="6"/>
  <c r="W837" i="6"/>
  <c r="W836" i="6"/>
  <c r="W835" i="6"/>
  <c r="W834" i="6"/>
  <c r="W833" i="6"/>
  <c r="W832" i="6"/>
  <c r="W831" i="6"/>
  <c r="W830" i="6"/>
  <c r="W829" i="6"/>
  <c r="W828" i="6"/>
  <c r="W827" i="6"/>
  <c r="W826" i="6"/>
  <c r="W825" i="6"/>
  <c r="W824" i="6"/>
  <c r="W823" i="6"/>
  <c r="W822" i="6"/>
  <c r="W821" i="6"/>
  <c r="W820" i="6"/>
  <c r="W819" i="6"/>
  <c r="W818" i="6"/>
  <c r="W817" i="6"/>
  <c r="W816" i="6"/>
  <c r="W815" i="6"/>
  <c r="W814" i="6"/>
  <c r="W813" i="6"/>
  <c r="W812" i="6"/>
  <c r="W811" i="6"/>
  <c r="W810" i="6"/>
  <c r="W809" i="6"/>
  <c r="W808" i="6"/>
  <c r="W807" i="6"/>
  <c r="W806" i="6"/>
  <c r="W805" i="6"/>
  <c r="W804" i="6"/>
  <c r="W803" i="6"/>
  <c r="W802" i="6"/>
  <c r="W801" i="6"/>
  <c r="W800" i="6"/>
  <c r="W799" i="6"/>
  <c r="W798" i="6"/>
  <c r="W797" i="6"/>
  <c r="W796" i="6"/>
  <c r="W795" i="6"/>
  <c r="W794" i="6"/>
  <c r="W793" i="6"/>
  <c r="W792" i="6"/>
  <c r="W791" i="6"/>
  <c r="W790" i="6"/>
  <c r="W789" i="6"/>
  <c r="W788" i="6"/>
  <c r="W787" i="6"/>
  <c r="W786" i="6"/>
  <c r="W785" i="6"/>
  <c r="W784" i="6"/>
  <c r="W783" i="6"/>
  <c r="W782" i="6"/>
  <c r="W781" i="6"/>
  <c r="W780" i="6"/>
  <c r="W779" i="6"/>
  <c r="W778" i="6"/>
  <c r="W777" i="6"/>
  <c r="W776" i="6"/>
  <c r="W775" i="6"/>
  <c r="W774" i="6"/>
  <c r="W773" i="6"/>
  <c r="W772" i="6"/>
  <c r="W771" i="6"/>
  <c r="W770" i="6"/>
  <c r="W769" i="6"/>
  <c r="W768" i="6"/>
  <c r="W767" i="6"/>
  <c r="W766" i="6"/>
  <c r="W765" i="6"/>
  <c r="W764" i="6"/>
  <c r="W763" i="6"/>
  <c r="W762" i="6"/>
  <c r="W761" i="6"/>
  <c r="W760" i="6"/>
  <c r="W759" i="6"/>
  <c r="W758" i="6"/>
  <c r="W757" i="6"/>
  <c r="W756" i="6"/>
  <c r="W755" i="6"/>
  <c r="W754" i="6"/>
  <c r="W753" i="6"/>
  <c r="W752" i="6"/>
  <c r="W751" i="6"/>
  <c r="W750" i="6"/>
  <c r="W749" i="6"/>
  <c r="W748" i="6"/>
  <c r="W747" i="6"/>
  <c r="W746" i="6"/>
  <c r="W745" i="6"/>
  <c r="W744" i="6"/>
  <c r="W743" i="6"/>
  <c r="W742" i="6"/>
  <c r="W741" i="6"/>
  <c r="W740" i="6"/>
  <c r="W739" i="6"/>
  <c r="W738" i="6"/>
  <c r="W737" i="6"/>
  <c r="W736" i="6"/>
  <c r="W735" i="6"/>
  <c r="W734" i="6"/>
  <c r="W733" i="6"/>
  <c r="W732" i="6"/>
  <c r="W731" i="6"/>
  <c r="W730" i="6"/>
  <c r="W729" i="6"/>
  <c r="W728" i="6"/>
  <c r="W727" i="6"/>
  <c r="W726" i="6"/>
  <c r="W725" i="6"/>
  <c r="W724" i="6"/>
  <c r="W723" i="6"/>
  <c r="W722" i="6"/>
  <c r="W721" i="6"/>
  <c r="W720" i="6"/>
  <c r="W719" i="6"/>
  <c r="W718" i="6"/>
  <c r="W717" i="6"/>
  <c r="W716" i="6"/>
  <c r="W715" i="6"/>
  <c r="W714" i="6"/>
  <c r="W713" i="6"/>
  <c r="W712" i="6"/>
  <c r="W711" i="6"/>
  <c r="W710" i="6"/>
  <c r="W709" i="6"/>
  <c r="W708" i="6"/>
  <c r="W707" i="6"/>
  <c r="W706" i="6"/>
  <c r="W705" i="6"/>
  <c r="W704" i="6"/>
  <c r="W703" i="6"/>
  <c r="W702" i="6"/>
  <c r="W701" i="6"/>
  <c r="W700" i="6"/>
  <c r="W699" i="6"/>
  <c r="W698" i="6"/>
  <c r="W697" i="6"/>
  <c r="W696" i="6"/>
  <c r="W695" i="6"/>
  <c r="W694" i="6"/>
  <c r="W693" i="6"/>
  <c r="W692" i="6"/>
  <c r="W691" i="6"/>
  <c r="W690" i="6"/>
  <c r="W689" i="6"/>
  <c r="W688" i="6"/>
  <c r="W687" i="6"/>
  <c r="W686" i="6"/>
  <c r="W685" i="6"/>
  <c r="W684" i="6"/>
  <c r="W683" i="6"/>
  <c r="W682" i="6"/>
  <c r="W681" i="6"/>
  <c r="W680" i="6"/>
  <c r="W679" i="6"/>
  <c r="W678" i="6"/>
  <c r="W677" i="6"/>
  <c r="W676" i="6"/>
  <c r="W675" i="6"/>
  <c r="W674" i="6"/>
  <c r="W673" i="6"/>
  <c r="W672" i="6"/>
  <c r="W671" i="6"/>
  <c r="W670" i="6"/>
  <c r="W669" i="6"/>
  <c r="W668" i="6"/>
  <c r="W667" i="6"/>
  <c r="W666" i="6"/>
  <c r="W665" i="6"/>
  <c r="W664" i="6"/>
  <c r="W663" i="6"/>
  <c r="W662" i="6"/>
  <c r="W661" i="6"/>
  <c r="W660" i="6"/>
  <c r="W659" i="6"/>
  <c r="W658" i="6"/>
  <c r="W657" i="6"/>
  <c r="W656" i="6"/>
  <c r="W655" i="6"/>
  <c r="W654" i="6"/>
  <c r="W653" i="6"/>
  <c r="W652" i="6"/>
  <c r="W651" i="6"/>
  <c r="W650" i="6"/>
  <c r="W649" i="6"/>
  <c r="W648" i="6"/>
  <c r="W647" i="6"/>
  <c r="W646" i="6"/>
  <c r="W645" i="6"/>
  <c r="W644" i="6"/>
  <c r="W643" i="6"/>
  <c r="W642" i="6"/>
  <c r="W641" i="6"/>
  <c r="W640" i="6"/>
  <c r="W639" i="6"/>
  <c r="W638" i="6"/>
  <c r="W637" i="6"/>
  <c r="W636" i="6"/>
  <c r="W635" i="6"/>
  <c r="W634" i="6"/>
  <c r="W633" i="6"/>
  <c r="W632" i="6"/>
  <c r="W631" i="6"/>
  <c r="W630" i="6"/>
  <c r="W629" i="6"/>
  <c r="W628" i="6"/>
  <c r="W627" i="6"/>
  <c r="W626" i="6"/>
  <c r="W625" i="6"/>
  <c r="W624" i="6"/>
  <c r="W623" i="6"/>
  <c r="W622" i="6"/>
  <c r="W621" i="6"/>
  <c r="W620" i="6"/>
  <c r="W619" i="6"/>
  <c r="W618" i="6"/>
  <c r="W617" i="6"/>
  <c r="W616" i="6"/>
  <c r="W615" i="6"/>
  <c r="W614" i="6"/>
  <c r="W613" i="6"/>
  <c r="W612" i="6"/>
  <c r="W611" i="6"/>
  <c r="W610" i="6"/>
  <c r="W609" i="6"/>
  <c r="W608" i="6"/>
  <c r="W607" i="6"/>
  <c r="W606" i="6"/>
  <c r="W605" i="6"/>
  <c r="W604" i="6"/>
  <c r="W603" i="6"/>
  <c r="W602" i="6"/>
  <c r="W601" i="6"/>
  <c r="W600" i="6"/>
  <c r="W599" i="6"/>
  <c r="W598" i="6"/>
  <c r="W597" i="6"/>
  <c r="W596" i="6"/>
  <c r="W595" i="6"/>
  <c r="W594" i="6"/>
  <c r="W593" i="6"/>
  <c r="W592" i="6"/>
  <c r="W591" i="6"/>
  <c r="W590" i="6"/>
  <c r="W589" i="6"/>
  <c r="W588" i="6"/>
  <c r="W587" i="6"/>
  <c r="W586" i="6"/>
  <c r="W585" i="6"/>
  <c r="W584" i="6"/>
  <c r="W583" i="6"/>
  <c r="W582" i="6"/>
  <c r="W581" i="6"/>
  <c r="W580" i="6"/>
  <c r="W579" i="6"/>
  <c r="W578" i="6"/>
  <c r="W577" i="6"/>
  <c r="W576" i="6"/>
  <c r="W575" i="6"/>
  <c r="W574" i="6"/>
  <c r="W573" i="6"/>
  <c r="W572" i="6"/>
  <c r="W571" i="6"/>
  <c r="W570" i="6"/>
  <c r="W569" i="6"/>
  <c r="W568" i="6"/>
  <c r="W567" i="6"/>
  <c r="W566" i="6"/>
  <c r="W565" i="6"/>
  <c r="W564" i="6"/>
  <c r="W563" i="6"/>
  <c r="W562" i="6"/>
  <c r="W561" i="6"/>
  <c r="W560" i="6"/>
  <c r="W559" i="6"/>
  <c r="W558" i="6"/>
  <c r="W557" i="6"/>
  <c r="W556" i="6"/>
  <c r="W555" i="6"/>
  <c r="W554" i="6"/>
  <c r="W553" i="6"/>
  <c r="W552" i="6"/>
  <c r="W551" i="6"/>
  <c r="W550" i="6"/>
  <c r="W549" i="6"/>
  <c r="W548" i="6"/>
  <c r="W547" i="6"/>
  <c r="W546" i="6"/>
  <c r="W545" i="6"/>
  <c r="W544" i="6"/>
  <c r="W543" i="6"/>
  <c r="W542" i="6"/>
  <c r="W541" i="6"/>
  <c r="W540" i="6"/>
  <c r="W539" i="6"/>
  <c r="W538" i="6"/>
  <c r="W537" i="6"/>
  <c r="W536" i="6"/>
  <c r="W535" i="6"/>
  <c r="W534" i="6"/>
  <c r="W533" i="6"/>
  <c r="W532" i="6"/>
  <c r="W531" i="6"/>
  <c r="W530" i="6"/>
  <c r="W529" i="6"/>
  <c r="W528" i="6"/>
  <c r="W527" i="6"/>
  <c r="W526" i="6"/>
  <c r="W525" i="6"/>
  <c r="W524" i="6"/>
  <c r="W523" i="6"/>
  <c r="W522" i="6"/>
  <c r="W521" i="6"/>
  <c r="W520" i="6"/>
  <c r="W519" i="6"/>
  <c r="W518" i="6"/>
  <c r="W517" i="6"/>
  <c r="W516" i="6"/>
  <c r="W515" i="6"/>
  <c r="W514" i="6"/>
  <c r="W513" i="6"/>
  <c r="W512" i="6"/>
  <c r="W511" i="6"/>
  <c r="W510" i="6"/>
  <c r="W509" i="6"/>
  <c r="W508" i="6"/>
  <c r="W507" i="6"/>
  <c r="W506" i="6"/>
  <c r="W505" i="6"/>
  <c r="W504" i="6"/>
  <c r="W503" i="6"/>
  <c r="W502" i="6"/>
  <c r="W501" i="6"/>
  <c r="W500" i="6"/>
  <c r="W499" i="6"/>
  <c r="W498" i="6"/>
  <c r="W497" i="6"/>
  <c r="W496" i="6"/>
  <c r="W495" i="6"/>
  <c r="W494" i="6"/>
  <c r="W493" i="6"/>
  <c r="W492" i="6"/>
  <c r="W491" i="6"/>
  <c r="W490" i="6"/>
  <c r="W489" i="6"/>
  <c r="W488" i="6"/>
  <c r="W487" i="6"/>
  <c r="W486" i="6"/>
  <c r="W485" i="6"/>
  <c r="W484" i="6"/>
  <c r="W483" i="6"/>
  <c r="W482" i="6"/>
  <c r="W481" i="6"/>
  <c r="W480" i="6"/>
  <c r="W479" i="6"/>
  <c r="W478" i="6"/>
  <c r="W477" i="6"/>
  <c r="W476" i="6"/>
  <c r="W475" i="6"/>
  <c r="W474" i="6"/>
  <c r="W473" i="6"/>
  <c r="W472" i="6"/>
  <c r="W471" i="6"/>
  <c r="W470" i="6"/>
  <c r="W469" i="6"/>
  <c r="W468" i="6"/>
  <c r="W467" i="6"/>
  <c r="W466" i="6"/>
  <c r="W465" i="6"/>
  <c r="W464" i="6"/>
  <c r="W463" i="6"/>
  <c r="W462" i="6"/>
  <c r="W461" i="6"/>
  <c r="W460" i="6"/>
  <c r="W459" i="6"/>
  <c r="W458" i="6"/>
  <c r="W457" i="6"/>
  <c r="W456" i="6"/>
  <c r="W455" i="6"/>
  <c r="W454" i="6"/>
  <c r="W453" i="6"/>
  <c r="W452" i="6"/>
  <c r="W451" i="6"/>
  <c r="W450" i="6"/>
  <c r="W449" i="6"/>
  <c r="W448" i="6"/>
  <c r="W447" i="6"/>
  <c r="W446" i="6"/>
  <c r="W445" i="6"/>
  <c r="W444" i="6"/>
  <c r="W443" i="6"/>
  <c r="W442" i="6"/>
  <c r="W441" i="6"/>
  <c r="W440" i="6"/>
  <c r="W439" i="6"/>
  <c r="W438" i="6"/>
  <c r="W437" i="6"/>
  <c r="W436" i="6"/>
  <c r="W435" i="6"/>
  <c r="W434" i="6"/>
  <c r="W433" i="6"/>
  <c r="W432" i="6"/>
  <c r="W431" i="6"/>
  <c r="W430" i="6"/>
  <c r="W429" i="6"/>
  <c r="W428" i="6"/>
  <c r="W427" i="6"/>
  <c r="W426" i="6"/>
  <c r="W425" i="6"/>
  <c r="W424" i="6"/>
  <c r="W423" i="6"/>
  <c r="W422" i="6"/>
  <c r="W421" i="6"/>
  <c r="W420" i="6"/>
  <c r="W419" i="6"/>
  <c r="W418" i="6"/>
  <c r="W417" i="6"/>
  <c r="W416" i="6"/>
  <c r="W415" i="6"/>
  <c r="W414" i="6"/>
  <c r="W413" i="6"/>
  <c r="W412" i="6"/>
  <c r="W411" i="6"/>
  <c r="W410" i="6"/>
  <c r="W409" i="6"/>
  <c r="W408" i="6"/>
  <c r="W407" i="6"/>
  <c r="W406" i="6"/>
  <c r="W405" i="6"/>
  <c r="W404" i="6"/>
  <c r="W403" i="6"/>
  <c r="W402" i="6"/>
  <c r="W401" i="6"/>
  <c r="W400" i="6"/>
  <c r="W399" i="6"/>
  <c r="W398" i="6"/>
  <c r="W397" i="6"/>
  <c r="W396" i="6"/>
  <c r="W395" i="6"/>
  <c r="W394" i="6"/>
  <c r="W393" i="6"/>
  <c r="W392" i="6"/>
  <c r="W391" i="6"/>
  <c r="W390" i="6"/>
  <c r="W389" i="6"/>
  <c r="W388" i="6"/>
  <c r="W387" i="6"/>
  <c r="W386" i="6"/>
  <c r="W385" i="6"/>
  <c r="W384" i="6"/>
  <c r="W383" i="6"/>
  <c r="W382" i="6"/>
  <c r="W381" i="6"/>
  <c r="W380" i="6"/>
  <c r="W379" i="6"/>
  <c r="W378" i="6"/>
  <c r="W377" i="6"/>
  <c r="W376" i="6"/>
  <c r="W375" i="6"/>
  <c r="W374" i="6"/>
  <c r="W373" i="6"/>
  <c r="W372" i="6"/>
  <c r="W371" i="6"/>
  <c r="W370" i="6"/>
  <c r="W369" i="6"/>
  <c r="W368" i="6"/>
  <c r="W367" i="6"/>
  <c r="W366" i="6"/>
  <c r="W365" i="6"/>
  <c r="W364" i="6"/>
  <c r="W363" i="6"/>
  <c r="W362" i="6"/>
  <c r="W361" i="6"/>
  <c r="W360" i="6"/>
  <c r="W359" i="6"/>
  <c r="W358" i="6"/>
  <c r="W357" i="6"/>
  <c r="W356" i="6"/>
  <c r="W355" i="6"/>
  <c r="W354" i="6"/>
  <c r="W353" i="6"/>
  <c r="W352" i="6"/>
  <c r="W351" i="6"/>
  <c r="W350" i="6"/>
  <c r="W349" i="6"/>
  <c r="W348" i="6"/>
  <c r="W347" i="6"/>
  <c r="W346" i="6"/>
  <c r="W345" i="6"/>
  <c r="W344" i="6"/>
  <c r="W343" i="6"/>
  <c r="W342" i="6"/>
  <c r="W341" i="6"/>
  <c r="W340" i="6"/>
  <c r="W339" i="6"/>
  <c r="W338" i="6"/>
  <c r="W337" i="6"/>
  <c r="W336" i="6"/>
  <c r="W335" i="6"/>
  <c r="W334" i="6"/>
  <c r="W333" i="6"/>
  <c r="W332" i="6"/>
  <c r="W331" i="6"/>
  <c r="W330" i="6"/>
  <c r="W329" i="6"/>
  <c r="W328" i="6"/>
  <c r="W327" i="6"/>
  <c r="W326" i="6"/>
  <c r="W325" i="6"/>
  <c r="W324" i="6"/>
  <c r="W323" i="6"/>
  <c r="W322" i="6"/>
  <c r="W321" i="6"/>
  <c r="W320" i="6"/>
  <c r="W319" i="6"/>
  <c r="W318" i="6"/>
  <c r="W317" i="6"/>
  <c r="W316" i="6"/>
  <c r="W315" i="6"/>
  <c r="W314" i="6"/>
  <c r="W313" i="6"/>
  <c r="W312" i="6"/>
  <c r="W311" i="6"/>
  <c r="W310" i="6"/>
  <c r="W309" i="6"/>
  <c r="W308" i="6"/>
  <c r="W307" i="6"/>
  <c r="W306" i="6"/>
  <c r="W305" i="6"/>
  <c r="W304" i="6"/>
  <c r="W303" i="6"/>
  <c r="W302" i="6"/>
  <c r="W301" i="6"/>
  <c r="W300" i="6"/>
  <c r="W299" i="6"/>
  <c r="W298" i="6"/>
  <c r="W297" i="6"/>
  <c r="W296" i="6"/>
  <c r="W295" i="6"/>
  <c r="W294" i="6"/>
  <c r="W293" i="6"/>
  <c r="W292" i="6"/>
  <c r="W291" i="6"/>
  <c r="W290" i="6"/>
  <c r="W289" i="6"/>
  <c r="W288" i="6"/>
  <c r="W287" i="6"/>
  <c r="W286" i="6"/>
  <c r="W285" i="6"/>
  <c r="W284" i="6"/>
  <c r="W283" i="6"/>
  <c r="W282" i="6"/>
  <c r="W281" i="6"/>
  <c r="W280" i="6"/>
  <c r="W279" i="6"/>
  <c r="W278" i="6"/>
  <c r="W277" i="6"/>
  <c r="W276" i="6"/>
  <c r="W275" i="6"/>
  <c r="W274" i="6"/>
  <c r="W273" i="6"/>
  <c r="W272" i="6"/>
  <c r="W271" i="6"/>
  <c r="W270" i="6"/>
  <c r="W269" i="6"/>
  <c r="W268" i="6"/>
  <c r="W267" i="6"/>
  <c r="W266" i="6"/>
  <c r="W265" i="6"/>
  <c r="W264" i="6"/>
  <c r="W263" i="6"/>
  <c r="W262" i="6"/>
  <c r="W261" i="6"/>
  <c r="W260" i="6"/>
  <c r="W259" i="6"/>
  <c r="W258" i="6"/>
  <c r="W257" i="6"/>
  <c r="W256" i="6"/>
  <c r="W255" i="6"/>
  <c r="W254" i="6"/>
  <c r="W253" i="6"/>
  <c r="W252" i="6"/>
  <c r="W251" i="6"/>
  <c r="W250" i="6"/>
  <c r="W249" i="6"/>
  <c r="W248" i="6"/>
  <c r="W247" i="6"/>
  <c r="W246" i="6"/>
  <c r="W245" i="6"/>
  <c r="W244" i="6"/>
  <c r="W243" i="6"/>
  <c r="W242" i="6"/>
  <c r="W241" i="6"/>
  <c r="W240" i="6"/>
  <c r="W239" i="6"/>
  <c r="W238" i="6"/>
  <c r="W237" i="6"/>
  <c r="W236" i="6"/>
  <c r="W235" i="6"/>
  <c r="W234" i="6"/>
  <c r="W233" i="6"/>
  <c r="W232" i="6"/>
  <c r="W231" i="6"/>
  <c r="W230" i="6"/>
  <c r="W229" i="6"/>
  <c r="W228" i="6"/>
  <c r="W227" i="6"/>
  <c r="W226" i="6"/>
  <c r="W225" i="6"/>
  <c r="W224" i="6"/>
  <c r="W223" i="6"/>
  <c r="W222" i="6"/>
  <c r="W221" i="6"/>
  <c r="W220" i="6"/>
  <c r="W219" i="6"/>
  <c r="W218" i="6"/>
  <c r="W217" i="6"/>
  <c r="W216" i="6"/>
  <c r="W215" i="6"/>
  <c r="W214" i="6"/>
  <c r="W213" i="6"/>
  <c r="W212" i="6"/>
  <c r="W211" i="6"/>
  <c r="W210" i="6"/>
  <c r="W209" i="6"/>
  <c r="W208" i="6"/>
  <c r="W207" i="6"/>
  <c r="W206" i="6"/>
  <c r="W205" i="6"/>
  <c r="W204" i="6"/>
  <c r="W203" i="6"/>
  <c r="W202" i="6"/>
  <c r="W201" i="6"/>
  <c r="W200" i="6"/>
  <c r="W199" i="6"/>
  <c r="W198" i="6"/>
  <c r="W197" i="6"/>
  <c r="W196" i="6"/>
  <c r="W195" i="6"/>
  <c r="W194" i="6"/>
  <c r="W193" i="6"/>
  <c r="W192" i="6"/>
  <c r="W191" i="6"/>
  <c r="W190" i="6"/>
  <c r="W189" i="6"/>
  <c r="W188" i="6"/>
  <c r="W187" i="6"/>
  <c r="W186" i="6"/>
  <c r="W185" i="6"/>
  <c r="W184" i="6"/>
  <c r="W183" i="6"/>
  <c r="W182" i="6"/>
  <c r="W181" i="6"/>
  <c r="W180" i="6"/>
  <c r="W179" i="6"/>
  <c r="W178" i="6"/>
  <c r="W177" i="6"/>
  <c r="W176" i="6"/>
  <c r="W175" i="6"/>
  <c r="W174" i="6"/>
  <c r="W173" i="6"/>
  <c r="W172" i="6"/>
  <c r="W171" i="6"/>
  <c r="W170" i="6"/>
  <c r="W169" i="6"/>
  <c r="W168" i="6"/>
  <c r="W167" i="6"/>
  <c r="W166" i="6"/>
  <c r="W165" i="6"/>
  <c r="W164" i="6"/>
  <c r="W163" i="6"/>
  <c r="W162" i="6"/>
  <c r="W161" i="6"/>
  <c r="W160" i="6"/>
  <c r="W159" i="6"/>
  <c r="W158" i="6"/>
  <c r="W157" i="6"/>
  <c r="W156" i="6"/>
  <c r="W155" i="6"/>
  <c r="W154" i="6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54" i="6"/>
  <c r="W53" i="6"/>
  <c r="W52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8" i="6"/>
  <c r="W7" i="6"/>
  <c r="W6" i="6"/>
  <c r="W5" i="6"/>
  <c r="W4" i="6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3" i="4"/>
  <c r="G2" i="4"/>
  <c r="B2158" i="6"/>
  <c r="B2157" i="6"/>
  <c r="B2156" i="6"/>
  <c r="B2155" i="6"/>
  <c r="B2154" i="6"/>
  <c r="B2153" i="6"/>
  <c r="B2152" i="6"/>
  <c r="B2151" i="6"/>
  <c r="B2150" i="6"/>
  <c r="B2149" i="6"/>
  <c r="B2148" i="6"/>
  <c r="B2147" i="6"/>
  <c r="B2146" i="6"/>
  <c r="B2145" i="6"/>
  <c r="B2144" i="6"/>
  <c r="B2143" i="6"/>
  <c r="B2142" i="6"/>
  <c r="B2141" i="6"/>
  <c r="B2140" i="6"/>
  <c r="B2139" i="6"/>
  <c r="B2138" i="6"/>
  <c r="B2137" i="6"/>
  <c r="B2136" i="6"/>
  <c r="B2135" i="6"/>
  <c r="B2134" i="6"/>
  <c r="B2133" i="6"/>
  <c r="B2132" i="6"/>
  <c r="B2131" i="6"/>
  <c r="B2130" i="6"/>
  <c r="B2129" i="6"/>
  <c r="B2128" i="6"/>
  <c r="B2127" i="6"/>
  <c r="B2126" i="6"/>
  <c r="B2125" i="6"/>
  <c r="B2124" i="6"/>
  <c r="B2123" i="6"/>
  <c r="B2122" i="6"/>
  <c r="B2121" i="6"/>
  <c r="B2120" i="6"/>
  <c r="B2119" i="6"/>
  <c r="B2118" i="6"/>
  <c r="B2117" i="6"/>
  <c r="B2116" i="6"/>
  <c r="B2115" i="6"/>
  <c r="B2114" i="6"/>
  <c r="B2113" i="6"/>
  <c r="B2112" i="6"/>
  <c r="B2111" i="6"/>
  <c r="B2110" i="6"/>
  <c r="B2109" i="6"/>
  <c r="B2108" i="6"/>
  <c r="B2107" i="6"/>
  <c r="B2106" i="6"/>
  <c r="B2105" i="6"/>
  <c r="B2104" i="6"/>
  <c r="B2103" i="6"/>
  <c r="B2102" i="6"/>
  <c r="B2101" i="6"/>
  <c r="B2100" i="6"/>
  <c r="B2099" i="6"/>
  <c r="B2098" i="6"/>
  <c r="B2097" i="6"/>
  <c r="B2096" i="6"/>
  <c r="B2095" i="6"/>
  <c r="B2094" i="6"/>
  <c r="B2093" i="6"/>
  <c r="B2092" i="6"/>
  <c r="B2091" i="6"/>
  <c r="B2090" i="6"/>
  <c r="B2089" i="6"/>
  <c r="B2088" i="6"/>
  <c r="B2087" i="6"/>
  <c r="B2086" i="6"/>
  <c r="B2085" i="6"/>
  <c r="B2084" i="6"/>
  <c r="B2083" i="6"/>
  <c r="B2082" i="6"/>
  <c r="B2081" i="6"/>
  <c r="B2080" i="6"/>
  <c r="B2079" i="6"/>
  <c r="B2078" i="6"/>
  <c r="B2077" i="6"/>
  <c r="B2076" i="6"/>
  <c r="B2075" i="6"/>
  <c r="B2074" i="6"/>
  <c r="B2073" i="6"/>
  <c r="B2072" i="6"/>
  <c r="B2071" i="6"/>
  <c r="B2070" i="6"/>
  <c r="B2069" i="6"/>
  <c r="B2068" i="6"/>
  <c r="B2067" i="6"/>
  <c r="B2066" i="6"/>
  <c r="B2065" i="6"/>
  <c r="B2064" i="6"/>
  <c r="B2063" i="6"/>
  <c r="B2062" i="6"/>
  <c r="B2061" i="6"/>
  <c r="B2060" i="6"/>
  <c r="B2059" i="6"/>
  <c r="B2058" i="6"/>
  <c r="B2057" i="6"/>
  <c r="B2056" i="6"/>
  <c r="B2055" i="6"/>
  <c r="B2054" i="6"/>
  <c r="B2053" i="6"/>
  <c r="B2052" i="6"/>
  <c r="B2051" i="6"/>
  <c r="B2050" i="6"/>
  <c r="B2049" i="6"/>
  <c r="B2048" i="6"/>
  <c r="B2047" i="6"/>
  <c r="B2046" i="6"/>
  <c r="B2045" i="6"/>
  <c r="B2044" i="6"/>
  <c r="B2043" i="6"/>
  <c r="B2042" i="6"/>
  <c r="B2041" i="6"/>
  <c r="B2040" i="6"/>
  <c r="B2039" i="6"/>
  <c r="B2038" i="6"/>
  <c r="B2037" i="6"/>
  <c r="B2036" i="6"/>
  <c r="B2035" i="6"/>
  <c r="B2034" i="6"/>
  <c r="B2033" i="6"/>
  <c r="B2032" i="6"/>
  <c r="B2031" i="6"/>
  <c r="B2030" i="6"/>
  <c r="B2029" i="6"/>
  <c r="B2028" i="6"/>
  <c r="B2027" i="6"/>
  <c r="B2026" i="6"/>
  <c r="B2025" i="6"/>
  <c r="B2024" i="6"/>
  <c r="B2023" i="6"/>
  <c r="B2022" i="6"/>
  <c r="B2021" i="6"/>
  <c r="B2020" i="6"/>
  <c r="B2019" i="6"/>
  <c r="B2018" i="6"/>
  <c r="B2017" i="6"/>
  <c r="B2016" i="6"/>
  <c r="B2015" i="6"/>
  <c r="B2014" i="6"/>
  <c r="B2013" i="6"/>
  <c r="B2012" i="6"/>
  <c r="B2011" i="6"/>
  <c r="B2010" i="6"/>
  <c r="B2009" i="6"/>
  <c r="B2008" i="6"/>
  <c r="B2007" i="6"/>
  <c r="B2006" i="6"/>
  <c r="B2005" i="6"/>
  <c r="B2004" i="6"/>
  <c r="B2003" i="6"/>
  <c r="B2002" i="6"/>
  <c r="B2001" i="6"/>
  <c r="B2000" i="6"/>
  <c r="B1999" i="6"/>
  <c r="B1998" i="6"/>
  <c r="B1997" i="6"/>
  <c r="B1996" i="6"/>
  <c r="B1995" i="6"/>
  <c r="B1994" i="6"/>
  <c r="B1993" i="6"/>
  <c r="B1992" i="6"/>
  <c r="B1991" i="6"/>
  <c r="B1990" i="6"/>
  <c r="B1989" i="6"/>
  <c r="B1988" i="6"/>
  <c r="B1987" i="6"/>
  <c r="B1986" i="6"/>
  <c r="B1985" i="6"/>
  <c r="B1984" i="6"/>
  <c r="B1983" i="6"/>
  <c r="B1982" i="6"/>
  <c r="B1981" i="6"/>
  <c r="B1980" i="6"/>
  <c r="B1979" i="6"/>
  <c r="B1978" i="6"/>
  <c r="B1977" i="6"/>
  <c r="B1976" i="6"/>
  <c r="B1975" i="6"/>
  <c r="B1974" i="6"/>
  <c r="B1973" i="6"/>
  <c r="B1972" i="6"/>
  <c r="B1971" i="6"/>
  <c r="B1970" i="6"/>
  <c r="B1969" i="6"/>
  <c r="B1968" i="6"/>
  <c r="B1967" i="6"/>
  <c r="B1966" i="6"/>
  <c r="B1965" i="6"/>
  <c r="B1964" i="6"/>
  <c r="B1963" i="6"/>
  <c r="B1962" i="6"/>
  <c r="B1961" i="6"/>
  <c r="B1960" i="6"/>
  <c r="B1959" i="6"/>
  <c r="B1958" i="6"/>
  <c r="B1957" i="6"/>
  <c r="B1956" i="6"/>
  <c r="B1955" i="6"/>
  <c r="B1954" i="6"/>
  <c r="B1953" i="6"/>
  <c r="B1952" i="6"/>
  <c r="B1951" i="6"/>
  <c r="B1950" i="6"/>
  <c r="B1949" i="6"/>
  <c r="B1948" i="6"/>
  <c r="B1947" i="6"/>
  <c r="B1946" i="6"/>
  <c r="B1945" i="6"/>
  <c r="B1944" i="6"/>
  <c r="B1943" i="6"/>
  <c r="B1942" i="6"/>
  <c r="B1941" i="6"/>
  <c r="B1940" i="6"/>
  <c r="B1939" i="6"/>
  <c r="B1938" i="6"/>
  <c r="B1937" i="6"/>
  <c r="B1936" i="6"/>
  <c r="B1935" i="6"/>
  <c r="B1934" i="6"/>
  <c r="B1933" i="6"/>
  <c r="B1932" i="6"/>
  <c r="B1931" i="6"/>
  <c r="B1930" i="6"/>
  <c r="B1929" i="6"/>
  <c r="B1928" i="6"/>
  <c r="B1927" i="6"/>
  <c r="B1926" i="6"/>
  <c r="B1925" i="6"/>
  <c r="B1924" i="6"/>
  <c r="B1923" i="6"/>
  <c r="B1922" i="6"/>
  <c r="B1921" i="6"/>
  <c r="B1920" i="6"/>
  <c r="B1919" i="6"/>
  <c r="B1918" i="6"/>
  <c r="B1917" i="6"/>
  <c r="B1916" i="6"/>
  <c r="B1915" i="6"/>
  <c r="B1914" i="6"/>
  <c r="B1913" i="6"/>
  <c r="B1912" i="6"/>
  <c r="B1911" i="6"/>
  <c r="B1910" i="6"/>
  <c r="B1909" i="6"/>
  <c r="B1908" i="6"/>
  <c r="B1907" i="6"/>
  <c r="B1906" i="6"/>
  <c r="B1905" i="6"/>
  <c r="B1904" i="6"/>
  <c r="B1903" i="6"/>
  <c r="B1902" i="6"/>
  <c r="B1901" i="6"/>
  <c r="B1900" i="6"/>
  <c r="B1899" i="6"/>
  <c r="B1898" i="6"/>
  <c r="B1897" i="6"/>
  <c r="B1896" i="6"/>
  <c r="B1895" i="6"/>
  <c r="B1894" i="6"/>
  <c r="B1893" i="6"/>
  <c r="B1892" i="6"/>
  <c r="B1891" i="6"/>
  <c r="B1890" i="6"/>
  <c r="B1889" i="6"/>
  <c r="B1888" i="6"/>
  <c r="B1887" i="6"/>
  <c r="B1886" i="6"/>
  <c r="B1885" i="6"/>
  <c r="B1884" i="6"/>
  <c r="B1883" i="6"/>
  <c r="B1882" i="6"/>
  <c r="B1881" i="6"/>
  <c r="B1880" i="6"/>
  <c r="B1879" i="6"/>
  <c r="B1878" i="6"/>
  <c r="B1877" i="6"/>
  <c r="B1876" i="6"/>
  <c r="B1875" i="6"/>
  <c r="B1874" i="6"/>
  <c r="B1873" i="6"/>
  <c r="B1872" i="6"/>
  <c r="B1871" i="6"/>
  <c r="B1870" i="6"/>
  <c r="B1869" i="6"/>
  <c r="B1868" i="6"/>
  <c r="B1867" i="6"/>
  <c r="B1866" i="6"/>
  <c r="B1865" i="6"/>
  <c r="B1864" i="6"/>
  <c r="B1863" i="6"/>
  <c r="B1862" i="6"/>
  <c r="B1861" i="6"/>
  <c r="B1860" i="6"/>
  <c r="B1859" i="6"/>
  <c r="B1858" i="6"/>
  <c r="B1857" i="6"/>
  <c r="B1856" i="6"/>
  <c r="B1855" i="6"/>
  <c r="B1854" i="6"/>
  <c r="B1853" i="6"/>
  <c r="B1852" i="6"/>
  <c r="B1851" i="6"/>
  <c r="B1850" i="6"/>
  <c r="B1849" i="6"/>
  <c r="B1848" i="6"/>
  <c r="B1847" i="6"/>
  <c r="B1846" i="6"/>
  <c r="B1845" i="6"/>
  <c r="B1844" i="6"/>
  <c r="B1843" i="6"/>
  <c r="B1842" i="6"/>
  <c r="B1841" i="6"/>
  <c r="B1840" i="6"/>
  <c r="B1839" i="6"/>
  <c r="B1838" i="6"/>
  <c r="B1837" i="6"/>
  <c r="B1836" i="6"/>
  <c r="B1835" i="6"/>
  <c r="B1834" i="6"/>
  <c r="B1833" i="6"/>
  <c r="B1832" i="6"/>
  <c r="B1831" i="6"/>
  <c r="B1830" i="6"/>
  <c r="B1829" i="6"/>
  <c r="B1828" i="6"/>
  <c r="B1827" i="6"/>
  <c r="B1826" i="6"/>
  <c r="B1825" i="6"/>
  <c r="B1824" i="6"/>
  <c r="B1823" i="6"/>
  <c r="B1822" i="6"/>
  <c r="B1821" i="6"/>
  <c r="B1820" i="6"/>
  <c r="B1819" i="6"/>
  <c r="B1818" i="6"/>
  <c r="B1817" i="6"/>
  <c r="B1816" i="6"/>
  <c r="B1815" i="6"/>
  <c r="B1814" i="6"/>
  <c r="B1813" i="6"/>
  <c r="B1812" i="6"/>
  <c r="B1811" i="6"/>
  <c r="B1810" i="6"/>
  <c r="B1809" i="6"/>
  <c r="B1808" i="6"/>
  <c r="B1807" i="6"/>
  <c r="B1806" i="6"/>
  <c r="B1805" i="6"/>
  <c r="B1804" i="6"/>
  <c r="B1803" i="6"/>
  <c r="B1802" i="6"/>
  <c r="B1801" i="6"/>
  <c r="B1800" i="6"/>
  <c r="B1799" i="6"/>
  <c r="B1798" i="6"/>
  <c r="B1797" i="6"/>
  <c r="B1796" i="6"/>
  <c r="B1795" i="6"/>
  <c r="B1794" i="6"/>
  <c r="B1793" i="6"/>
  <c r="B1792" i="6"/>
  <c r="B1791" i="6"/>
  <c r="B1790" i="6"/>
  <c r="B1789" i="6"/>
  <c r="B1788" i="6"/>
  <c r="B1787" i="6"/>
  <c r="B1786" i="6"/>
  <c r="B1785" i="6"/>
  <c r="B1784" i="6"/>
  <c r="B1783" i="6"/>
  <c r="B1782" i="6"/>
  <c r="B1781" i="6"/>
  <c r="B1780" i="6"/>
  <c r="B1779" i="6"/>
  <c r="B1778" i="6"/>
  <c r="B1777" i="6"/>
  <c r="B1776" i="6"/>
  <c r="B1775" i="6"/>
  <c r="B1774" i="6"/>
  <c r="B1773" i="6"/>
  <c r="B1772" i="6"/>
  <c r="B1771" i="6"/>
  <c r="B1770" i="6"/>
  <c r="B1769" i="6"/>
  <c r="B1768" i="6"/>
  <c r="B1767" i="6"/>
  <c r="B1766" i="6"/>
  <c r="B1765" i="6"/>
  <c r="B1764" i="6"/>
  <c r="B1763" i="6"/>
  <c r="B1762" i="6"/>
  <c r="B1761" i="6"/>
  <c r="B1760" i="6"/>
  <c r="B1759" i="6"/>
  <c r="B1758" i="6"/>
  <c r="B1757" i="6"/>
  <c r="B1756" i="6"/>
  <c r="B1755" i="6"/>
  <c r="B1754" i="6"/>
  <c r="B1753" i="6"/>
  <c r="B1752" i="6"/>
  <c r="B1751" i="6"/>
  <c r="B1750" i="6"/>
  <c r="B1749" i="6"/>
  <c r="B1748" i="6"/>
  <c r="B1747" i="6"/>
  <c r="B1746" i="6"/>
  <c r="B1745" i="6"/>
  <c r="B1744" i="6"/>
  <c r="B1743" i="6"/>
  <c r="B1742" i="6"/>
  <c r="B1741" i="6"/>
  <c r="B1740" i="6"/>
  <c r="B1739" i="6"/>
  <c r="B1738" i="6"/>
  <c r="B1737" i="6"/>
  <c r="B1736" i="6"/>
  <c r="B1735" i="6"/>
  <c r="B1734" i="6"/>
  <c r="B1733" i="6"/>
  <c r="B1732" i="6"/>
  <c r="B1731" i="6"/>
  <c r="B1730" i="6"/>
  <c r="B1729" i="6"/>
  <c r="B1728" i="6"/>
  <c r="B1727" i="6"/>
  <c r="B1726" i="6"/>
  <c r="B1725" i="6"/>
  <c r="B1724" i="6"/>
  <c r="B1723" i="6"/>
  <c r="B1722" i="6"/>
  <c r="B1721" i="6"/>
  <c r="B1720" i="6"/>
  <c r="B1719" i="6"/>
  <c r="B1718" i="6"/>
  <c r="B1717" i="6"/>
  <c r="B1716" i="6"/>
  <c r="B1715" i="6"/>
  <c r="B1714" i="6"/>
  <c r="B1713" i="6"/>
  <c r="B1712" i="6"/>
  <c r="B1711" i="6"/>
  <c r="B1710" i="6"/>
  <c r="B1709" i="6"/>
  <c r="B1708" i="6"/>
  <c r="B1707" i="6"/>
  <c r="B1706" i="6"/>
  <c r="B1705" i="6"/>
  <c r="B1704" i="6"/>
  <c r="B1703" i="6"/>
  <c r="B1702" i="6"/>
  <c r="B1701" i="6"/>
  <c r="B1700" i="6"/>
  <c r="B1699" i="6"/>
  <c r="B1698" i="6"/>
  <c r="B1697" i="6"/>
  <c r="B1696" i="6"/>
  <c r="B1695" i="6"/>
  <c r="B1694" i="6"/>
  <c r="B1693" i="6"/>
  <c r="B1692" i="6"/>
  <c r="B1691" i="6"/>
  <c r="B1690" i="6"/>
  <c r="B1689" i="6"/>
  <c r="B1688" i="6"/>
  <c r="B1687" i="6"/>
  <c r="B1686" i="6"/>
  <c r="B1685" i="6"/>
  <c r="B1684" i="6"/>
  <c r="B1683" i="6"/>
  <c r="B1682" i="6"/>
  <c r="B1681" i="6"/>
  <c r="B1680" i="6"/>
  <c r="B1679" i="6"/>
  <c r="B1678" i="6"/>
  <c r="B1677" i="6"/>
  <c r="B1676" i="6"/>
  <c r="B1675" i="6"/>
  <c r="B1674" i="6"/>
  <c r="B1673" i="6"/>
  <c r="B1672" i="6"/>
  <c r="B1671" i="6"/>
  <c r="B1670" i="6"/>
  <c r="B1669" i="6"/>
  <c r="B1668" i="6"/>
  <c r="B1667" i="6"/>
  <c r="B1666" i="6"/>
  <c r="B1665" i="6"/>
  <c r="B1664" i="6"/>
  <c r="B1663" i="6"/>
  <c r="B1662" i="6"/>
  <c r="B1661" i="6"/>
  <c r="B1660" i="6"/>
  <c r="B1659" i="6"/>
  <c r="B1658" i="6"/>
  <c r="B1657" i="6"/>
  <c r="B1656" i="6"/>
  <c r="B1655" i="6"/>
  <c r="B1654" i="6"/>
  <c r="B1653" i="6"/>
  <c r="B1652" i="6"/>
  <c r="B1651" i="6"/>
  <c r="B1650" i="6"/>
  <c r="B1649" i="6"/>
  <c r="B1648" i="6"/>
  <c r="B1647" i="6"/>
  <c r="B1646" i="6"/>
  <c r="B1645" i="6"/>
  <c r="B1644" i="6"/>
  <c r="B1643" i="6"/>
  <c r="B1642" i="6"/>
  <c r="B1641" i="6"/>
  <c r="B1640" i="6"/>
  <c r="B1639" i="6"/>
  <c r="B1638" i="6"/>
  <c r="B1637" i="6"/>
  <c r="B1636" i="6"/>
  <c r="B1635" i="6"/>
  <c r="B1634" i="6"/>
  <c r="B1633" i="6"/>
  <c r="B1632" i="6"/>
  <c r="B1631" i="6"/>
  <c r="B1630" i="6"/>
  <c r="B1629" i="6"/>
  <c r="B1628" i="6"/>
  <c r="B1627" i="6"/>
  <c r="B1626" i="6"/>
  <c r="B1625" i="6"/>
  <c r="B1624" i="6"/>
  <c r="B1623" i="6"/>
  <c r="B1622" i="6"/>
  <c r="B1621" i="6"/>
  <c r="B1620" i="6"/>
  <c r="B1619" i="6"/>
  <c r="B1618" i="6"/>
  <c r="B1617" i="6"/>
  <c r="B1616" i="6"/>
  <c r="B1615" i="6"/>
  <c r="B1614" i="6"/>
  <c r="B1613" i="6"/>
  <c r="B1612" i="6"/>
  <c r="B1611" i="6"/>
  <c r="B1610" i="6"/>
  <c r="B1609" i="6"/>
  <c r="B1608" i="6"/>
  <c r="B1607" i="6"/>
  <c r="B1606" i="6"/>
  <c r="B1605" i="6"/>
  <c r="B1604" i="6"/>
  <c r="B1603" i="6"/>
  <c r="B1602" i="6"/>
  <c r="B1601" i="6"/>
  <c r="B1600" i="6"/>
  <c r="B1599" i="6"/>
  <c r="B1598" i="6"/>
  <c r="B1597" i="6"/>
  <c r="B1596" i="6"/>
  <c r="B1595" i="6"/>
  <c r="B1594" i="6"/>
  <c r="B1593" i="6"/>
  <c r="B1592" i="6"/>
  <c r="B1591" i="6"/>
  <c r="B1590" i="6"/>
  <c r="B1589" i="6"/>
  <c r="B1588" i="6"/>
  <c r="B1587" i="6"/>
  <c r="B1586" i="6"/>
  <c r="B1585" i="6"/>
  <c r="B1584" i="6"/>
  <c r="B1583" i="6"/>
  <c r="B1582" i="6"/>
  <c r="B1581" i="6"/>
  <c r="B1580" i="6"/>
  <c r="B1579" i="6"/>
  <c r="B1578" i="6"/>
  <c r="B1577" i="6"/>
  <c r="B1576" i="6"/>
  <c r="B1575" i="6"/>
  <c r="B1574" i="6"/>
  <c r="B1573" i="6"/>
  <c r="B1572" i="6"/>
  <c r="B1571" i="6"/>
  <c r="B1570" i="6"/>
  <c r="B1569" i="6"/>
  <c r="B1568" i="6"/>
  <c r="B1567" i="6"/>
  <c r="B1566" i="6"/>
  <c r="B1565" i="6"/>
  <c r="B1564" i="6"/>
  <c r="B1563" i="6"/>
  <c r="B1562" i="6"/>
  <c r="B1561" i="6"/>
  <c r="B1560" i="6"/>
  <c r="B1559" i="6"/>
  <c r="B1558" i="6"/>
  <c r="B1557" i="6"/>
  <c r="B1556" i="6"/>
  <c r="B1555" i="6"/>
  <c r="B1554" i="6"/>
  <c r="B1553" i="6"/>
  <c r="B1552" i="6"/>
  <c r="B1551" i="6"/>
  <c r="B1550" i="6"/>
  <c r="B1549" i="6"/>
  <c r="B1548" i="6"/>
  <c r="B1547" i="6"/>
  <c r="B1546" i="6"/>
  <c r="B1545" i="6"/>
  <c r="B1544" i="6"/>
  <c r="B1543" i="6"/>
  <c r="B1542" i="6"/>
  <c r="B1541" i="6"/>
  <c r="B1540" i="6"/>
  <c r="B1539" i="6"/>
  <c r="B1538" i="6"/>
  <c r="B1537" i="6"/>
  <c r="B1536" i="6"/>
  <c r="B1535" i="6"/>
  <c r="B1534" i="6"/>
  <c r="B1533" i="6"/>
  <c r="B1532" i="6"/>
  <c r="B1531" i="6"/>
  <c r="B1530" i="6"/>
  <c r="B1529" i="6"/>
  <c r="B1528" i="6"/>
  <c r="B1527" i="6"/>
  <c r="B1526" i="6"/>
  <c r="B1525" i="6"/>
  <c r="B1524" i="6"/>
  <c r="B1523" i="6"/>
  <c r="B1522" i="6"/>
  <c r="B1521" i="6"/>
  <c r="B1520" i="6"/>
  <c r="B1519" i="6"/>
  <c r="B1518" i="6"/>
  <c r="B1517" i="6"/>
  <c r="B1516" i="6"/>
  <c r="B1515" i="6"/>
  <c r="B1514" i="6"/>
  <c r="B1513" i="6"/>
  <c r="B1512" i="6"/>
  <c r="B1511" i="6"/>
  <c r="B1510" i="6"/>
  <c r="B1509" i="6"/>
  <c r="B1508" i="6"/>
  <c r="B1507" i="6"/>
  <c r="B1506" i="6"/>
  <c r="B1505" i="6"/>
  <c r="B1504" i="6"/>
  <c r="B1503" i="6"/>
  <c r="B1502" i="6"/>
  <c r="B1501" i="6"/>
  <c r="B1500" i="6"/>
  <c r="B1499" i="6"/>
  <c r="B1498" i="6"/>
  <c r="B1497" i="6"/>
  <c r="B1496" i="6"/>
  <c r="B1495" i="6"/>
  <c r="B1494" i="6"/>
  <c r="B1493" i="6"/>
  <c r="B1492" i="6"/>
  <c r="B1491" i="6"/>
  <c r="B1490" i="6"/>
  <c r="B1489" i="6"/>
  <c r="B1488" i="6"/>
  <c r="B1487" i="6"/>
  <c r="B1486" i="6"/>
  <c r="B1485" i="6"/>
  <c r="B1484" i="6"/>
  <c r="B1483" i="6"/>
  <c r="B1482" i="6"/>
  <c r="B1481" i="6"/>
  <c r="B1480" i="6"/>
  <c r="B1479" i="6"/>
  <c r="B1478" i="6"/>
  <c r="B1477" i="6"/>
  <c r="B1476" i="6"/>
  <c r="B1475" i="6"/>
  <c r="B1474" i="6"/>
  <c r="B1473" i="6"/>
  <c r="B1472" i="6"/>
  <c r="B1471" i="6"/>
  <c r="B1470" i="6"/>
  <c r="B1469" i="6"/>
  <c r="B1468" i="6"/>
  <c r="B1467" i="6"/>
  <c r="B1466" i="6"/>
  <c r="B1465" i="6"/>
  <c r="B1464" i="6"/>
  <c r="B1463" i="6"/>
  <c r="B1462" i="6"/>
  <c r="B1461" i="6"/>
  <c r="B1460" i="6"/>
  <c r="B1459" i="6"/>
  <c r="B1458" i="6"/>
  <c r="B1457" i="6"/>
  <c r="B1456" i="6"/>
  <c r="B1455" i="6"/>
  <c r="B1454" i="6"/>
  <c r="B1453" i="6"/>
  <c r="B1452" i="6"/>
  <c r="B1451" i="6"/>
  <c r="B1450" i="6"/>
  <c r="B1449" i="6"/>
  <c r="B1448" i="6"/>
  <c r="B1447" i="6"/>
  <c r="B1446" i="6"/>
  <c r="B1445" i="6"/>
  <c r="B1444" i="6"/>
  <c r="B1443" i="6"/>
  <c r="B1442" i="6"/>
  <c r="B1441" i="6"/>
  <c r="B1440" i="6"/>
  <c r="B1439" i="6"/>
  <c r="B1438" i="6"/>
  <c r="B1437" i="6"/>
  <c r="B1436" i="6"/>
  <c r="B1435" i="6"/>
  <c r="B1434" i="6"/>
  <c r="B1433" i="6"/>
  <c r="B1432" i="6"/>
  <c r="B1431" i="6"/>
  <c r="B1430" i="6"/>
  <c r="B1429" i="6"/>
  <c r="B1428" i="6"/>
  <c r="B1427" i="6"/>
  <c r="B1426" i="6"/>
  <c r="B1425" i="6"/>
  <c r="B1424" i="6"/>
  <c r="B1423" i="6"/>
  <c r="B1422" i="6"/>
  <c r="B1421" i="6"/>
  <c r="B1420" i="6"/>
  <c r="B1419" i="6"/>
  <c r="B1418" i="6"/>
  <c r="B1417" i="6"/>
  <c r="B1416" i="6"/>
  <c r="B1415" i="6"/>
  <c r="B1414" i="6"/>
  <c r="B1413" i="6"/>
  <c r="B1412" i="6"/>
  <c r="B1411" i="6"/>
  <c r="B1410" i="6"/>
  <c r="B1409" i="6"/>
  <c r="B1408" i="6"/>
  <c r="B1407" i="6"/>
  <c r="B1406" i="6"/>
  <c r="B1405" i="6"/>
  <c r="B1404" i="6"/>
  <c r="B1403" i="6"/>
  <c r="B1402" i="6"/>
  <c r="B1401" i="6"/>
  <c r="B1400" i="6"/>
  <c r="B1399" i="6"/>
  <c r="B1398" i="6"/>
  <c r="B1397" i="6"/>
  <c r="B1396" i="6"/>
  <c r="B1395" i="6"/>
  <c r="B1394" i="6"/>
  <c r="B1393" i="6"/>
  <c r="B1392" i="6"/>
  <c r="B1391" i="6"/>
  <c r="B1390" i="6"/>
  <c r="B1389" i="6"/>
  <c r="B1388" i="6"/>
  <c r="B1387" i="6"/>
  <c r="B1386" i="6"/>
  <c r="B1385" i="6"/>
  <c r="B1384" i="6"/>
  <c r="B1383" i="6"/>
  <c r="B1382" i="6"/>
  <c r="B1381" i="6"/>
  <c r="B1380" i="6"/>
  <c r="B1379" i="6"/>
  <c r="B1378" i="6"/>
  <c r="B1377" i="6"/>
  <c r="B1376" i="6"/>
  <c r="B1375" i="6"/>
  <c r="B1374" i="6"/>
  <c r="B1373" i="6"/>
  <c r="B1372" i="6"/>
  <c r="B1371" i="6"/>
  <c r="B1370" i="6"/>
  <c r="B1369" i="6"/>
  <c r="B1368" i="6"/>
  <c r="B1367" i="6"/>
  <c r="B1366" i="6"/>
  <c r="B1365" i="6"/>
  <c r="B1364" i="6"/>
  <c r="B1363" i="6"/>
  <c r="B1362" i="6"/>
  <c r="B1361" i="6"/>
  <c r="B1360" i="6"/>
  <c r="B1359" i="6"/>
  <c r="B1358" i="6"/>
  <c r="B1357" i="6"/>
  <c r="B1356" i="6"/>
  <c r="B1355" i="6"/>
  <c r="B1354" i="6"/>
  <c r="B1353" i="6"/>
  <c r="B1352" i="6"/>
  <c r="B1351" i="6"/>
  <c r="B1350" i="6"/>
  <c r="B1349" i="6"/>
  <c r="B1348" i="6"/>
  <c r="B1347" i="6"/>
  <c r="B1346" i="6"/>
  <c r="B1345" i="6"/>
  <c r="B1344" i="6"/>
  <c r="B1343" i="6"/>
  <c r="B1342" i="6"/>
  <c r="B1341" i="6"/>
  <c r="B1340" i="6"/>
  <c r="B1339" i="6"/>
  <c r="B1338" i="6"/>
  <c r="B1337" i="6"/>
  <c r="B1336" i="6"/>
  <c r="B1335" i="6"/>
  <c r="B1334" i="6"/>
  <c r="B1333" i="6"/>
  <c r="B1332" i="6"/>
  <c r="B1331" i="6"/>
  <c r="B1330" i="6"/>
  <c r="B1329" i="6"/>
  <c r="B1328" i="6"/>
  <c r="B1327" i="6"/>
  <c r="B1326" i="6"/>
  <c r="B1325" i="6"/>
  <c r="B1324" i="6"/>
  <c r="B1323" i="6"/>
  <c r="B1322" i="6"/>
  <c r="B1321" i="6"/>
  <c r="B1320" i="6"/>
  <c r="B1319" i="6"/>
  <c r="B1318" i="6"/>
  <c r="B1317" i="6"/>
  <c r="B1316" i="6"/>
  <c r="B1315" i="6"/>
  <c r="B1314" i="6"/>
  <c r="B1313" i="6"/>
  <c r="B1312" i="6"/>
  <c r="B1311" i="6"/>
  <c r="B1310" i="6"/>
  <c r="B1309" i="6"/>
  <c r="B1308" i="6"/>
  <c r="B1307" i="6"/>
  <c r="B1306" i="6"/>
  <c r="B1305" i="6"/>
  <c r="B1304" i="6"/>
  <c r="B1303" i="6"/>
  <c r="B1302" i="6"/>
  <c r="B1301" i="6"/>
  <c r="B1300" i="6"/>
  <c r="B1299" i="6"/>
  <c r="B1298" i="6"/>
  <c r="B1297" i="6"/>
  <c r="B1296" i="6"/>
  <c r="B1295" i="6"/>
  <c r="B1294" i="6"/>
  <c r="B1293" i="6"/>
  <c r="B1292" i="6"/>
  <c r="B1291" i="6"/>
  <c r="B1290" i="6"/>
  <c r="B1289" i="6"/>
  <c r="B1288" i="6"/>
  <c r="B1287" i="6"/>
  <c r="B1286" i="6"/>
  <c r="B1285" i="6"/>
  <c r="B1284" i="6"/>
  <c r="B1283" i="6"/>
  <c r="B1282" i="6"/>
  <c r="B1281" i="6"/>
  <c r="B1280" i="6"/>
  <c r="B1279" i="6"/>
  <c r="B1278" i="6"/>
  <c r="B1277" i="6"/>
  <c r="B1276" i="6"/>
  <c r="B1275" i="6"/>
  <c r="B1274" i="6"/>
  <c r="B1273" i="6"/>
  <c r="B1272" i="6"/>
  <c r="B1271" i="6"/>
  <c r="B1270" i="6"/>
  <c r="B1269" i="6"/>
  <c r="B1268" i="6"/>
  <c r="B1267" i="6"/>
  <c r="B1266" i="6"/>
  <c r="B1265" i="6"/>
  <c r="B1264" i="6"/>
  <c r="B1263" i="6"/>
  <c r="B1262" i="6"/>
  <c r="B1261" i="6"/>
  <c r="B1260" i="6"/>
  <c r="B1259" i="6"/>
  <c r="B1258" i="6"/>
  <c r="B1257" i="6"/>
  <c r="B1256" i="6"/>
  <c r="B1255" i="6"/>
  <c r="B1254" i="6"/>
  <c r="B1253" i="6"/>
  <c r="B1252" i="6"/>
  <c r="B1251" i="6"/>
  <c r="B1250" i="6"/>
  <c r="B1249" i="6"/>
  <c r="B1248" i="6"/>
  <c r="B1247" i="6"/>
  <c r="B1246" i="6"/>
  <c r="B1245" i="6"/>
  <c r="B1244" i="6"/>
  <c r="B1243" i="6"/>
  <c r="B1242" i="6"/>
  <c r="B1241" i="6"/>
  <c r="B1240" i="6"/>
  <c r="B1239" i="6"/>
  <c r="B1238" i="6"/>
  <c r="B1237" i="6"/>
  <c r="B1236" i="6"/>
  <c r="B1235" i="6"/>
  <c r="B1234" i="6"/>
  <c r="B1233" i="6"/>
  <c r="B1232" i="6"/>
  <c r="B1231" i="6"/>
  <c r="B1230" i="6"/>
  <c r="B1229" i="6"/>
  <c r="B1228" i="6"/>
  <c r="B1227" i="6"/>
  <c r="B1226" i="6"/>
  <c r="B1225" i="6"/>
  <c r="B1224" i="6"/>
  <c r="B1223" i="6"/>
  <c r="B1222" i="6"/>
  <c r="B1221" i="6"/>
  <c r="B1220" i="6"/>
  <c r="B1219" i="6"/>
  <c r="B1218" i="6"/>
  <c r="B1217" i="6"/>
  <c r="B1216" i="6"/>
  <c r="B1215" i="6"/>
  <c r="B1214" i="6"/>
  <c r="B1213" i="6"/>
  <c r="B1212" i="6"/>
  <c r="B1211" i="6"/>
  <c r="B1210" i="6"/>
  <c r="B1209" i="6"/>
  <c r="B1208" i="6"/>
  <c r="B1207" i="6"/>
  <c r="B1206" i="6"/>
  <c r="B1205" i="6"/>
  <c r="B1204" i="6"/>
  <c r="B1203" i="6"/>
  <c r="B1202" i="6"/>
  <c r="B1201" i="6"/>
  <c r="B1200" i="6"/>
  <c r="B1199" i="6"/>
  <c r="B1198" i="6"/>
  <c r="B1197" i="6"/>
  <c r="B1196" i="6"/>
  <c r="B1195" i="6"/>
  <c r="B1194" i="6"/>
  <c r="B1193" i="6"/>
  <c r="B1192" i="6"/>
  <c r="B1191" i="6"/>
  <c r="B1190" i="6"/>
  <c r="B1189" i="6"/>
  <c r="B1188" i="6"/>
  <c r="B1187" i="6"/>
  <c r="B1186" i="6"/>
  <c r="B1185" i="6"/>
  <c r="B1184" i="6"/>
  <c r="B1183" i="6"/>
  <c r="B1182" i="6"/>
  <c r="B1181" i="6"/>
  <c r="B1180" i="6"/>
  <c r="B1179" i="6"/>
  <c r="B1178" i="6"/>
  <c r="B1177" i="6"/>
  <c r="B1176" i="6"/>
  <c r="B1175" i="6"/>
  <c r="B1174" i="6"/>
  <c r="B1173" i="6"/>
  <c r="B1172" i="6"/>
  <c r="B1171" i="6"/>
  <c r="B1170" i="6"/>
  <c r="B1169" i="6"/>
  <c r="B1168" i="6"/>
  <c r="B1167" i="6"/>
  <c r="B1166" i="6"/>
  <c r="B1165" i="6"/>
  <c r="B1164" i="6"/>
  <c r="B1163" i="6"/>
  <c r="B1162" i="6"/>
  <c r="B1161" i="6"/>
  <c r="B1160" i="6"/>
  <c r="B1159" i="6"/>
  <c r="B1158" i="6"/>
  <c r="B1157" i="6"/>
  <c r="B1156" i="6"/>
  <c r="B1155" i="6"/>
  <c r="B1154" i="6"/>
  <c r="B1153" i="6"/>
  <c r="B1152" i="6"/>
  <c r="B1151" i="6"/>
  <c r="B1150" i="6"/>
  <c r="B1149" i="6"/>
  <c r="B1148" i="6"/>
  <c r="B1147" i="6"/>
  <c r="B1146" i="6"/>
  <c r="B1145" i="6"/>
  <c r="B1144" i="6"/>
  <c r="B1143" i="6"/>
  <c r="B1142" i="6"/>
  <c r="B1141" i="6"/>
  <c r="B1140" i="6"/>
  <c r="B1139" i="6"/>
  <c r="B1138" i="6"/>
  <c r="B1137" i="6"/>
  <c r="B1136" i="6"/>
  <c r="B1135" i="6"/>
  <c r="B1134" i="6"/>
  <c r="B1133" i="6"/>
  <c r="B1132" i="6"/>
  <c r="B1131" i="6"/>
  <c r="B1130" i="6"/>
  <c r="B1129" i="6"/>
  <c r="B1128" i="6"/>
  <c r="B1127" i="6"/>
  <c r="B1126" i="6"/>
  <c r="B1125" i="6"/>
  <c r="B1124" i="6"/>
  <c r="B1123" i="6"/>
  <c r="B1122" i="6"/>
  <c r="B1121" i="6"/>
  <c r="B1120" i="6"/>
  <c r="B1119" i="6"/>
  <c r="B1118" i="6"/>
  <c r="B1117" i="6"/>
  <c r="B1116" i="6"/>
  <c r="B1115" i="6"/>
  <c r="B1114" i="6"/>
  <c r="B1113" i="6"/>
  <c r="B1112" i="6"/>
  <c r="B1111" i="6"/>
  <c r="B1110" i="6"/>
  <c r="B1109" i="6"/>
  <c r="B1108" i="6"/>
  <c r="B1107" i="6"/>
  <c r="B1106" i="6"/>
  <c r="B1105" i="6"/>
  <c r="B1104" i="6"/>
  <c r="B1103" i="6"/>
  <c r="B1102" i="6"/>
  <c r="B1101" i="6"/>
  <c r="B1100" i="6"/>
  <c r="B1099" i="6"/>
  <c r="B1098" i="6"/>
  <c r="B1097" i="6"/>
  <c r="B1096" i="6"/>
  <c r="B1095" i="6"/>
  <c r="B1094" i="6"/>
  <c r="B1093" i="6"/>
  <c r="B1092" i="6"/>
  <c r="B1091" i="6"/>
  <c r="B1090" i="6"/>
  <c r="B1089" i="6"/>
  <c r="B1088" i="6"/>
  <c r="B1087" i="6"/>
  <c r="B1086" i="6"/>
  <c r="B1085" i="6"/>
  <c r="B1084" i="6"/>
  <c r="B1083" i="6"/>
  <c r="B1082" i="6"/>
  <c r="B1081" i="6"/>
  <c r="B1080" i="6"/>
  <c r="B1079" i="6"/>
  <c r="B1078" i="6"/>
  <c r="B1077" i="6"/>
  <c r="B1076" i="6"/>
  <c r="B1075" i="6"/>
  <c r="B1074" i="6"/>
  <c r="B1073" i="6"/>
  <c r="B1072" i="6"/>
  <c r="B1071" i="6"/>
  <c r="B1070" i="6"/>
  <c r="B1069" i="6"/>
  <c r="B1068" i="6"/>
  <c r="B1067" i="6"/>
  <c r="B1066" i="6"/>
  <c r="B1065" i="6"/>
  <c r="B1064" i="6"/>
  <c r="B1063" i="6"/>
  <c r="B1062" i="6"/>
  <c r="B1061" i="6"/>
  <c r="B1060" i="6"/>
  <c r="B1059" i="6"/>
  <c r="B1058" i="6"/>
  <c r="B1057" i="6"/>
  <c r="B1056" i="6"/>
  <c r="B1055" i="6"/>
  <c r="B1054" i="6"/>
  <c r="B1053" i="6"/>
  <c r="B1052" i="6"/>
  <c r="B1051" i="6"/>
  <c r="B1050" i="6"/>
  <c r="B1049" i="6"/>
  <c r="B1048" i="6"/>
  <c r="B1047" i="6"/>
  <c r="B1046" i="6"/>
  <c r="B1045" i="6"/>
  <c r="B1044" i="6"/>
  <c r="B1043" i="6"/>
  <c r="B1042" i="6"/>
  <c r="B1041" i="6"/>
  <c r="B1040" i="6"/>
  <c r="B1039" i="6"/>
  <c r="B1038" i="6"/>
  <c r="B1037" i="6"/>
  <c r="B1036" i="6"/>
  <c r="B1035" i="6"/>
  <c r="B1034" i="6"/>
  <c r="B1033" i="6"/>
  <c r="B1032" i="6"/>
  <c r="B1031" i="6"/>
  <c r="B1030" i="6"/>
  <c r="B1029" i="6"/>
  <c r="B1028" i="6"/>
  <c r="B1027" i="6"/>
  <c r="B1026" i="6"/>
  <c r="B1025" i="6"/>
  <c r="B1024" i="6"/>
  <c r="B1023" i="6"/>
  <c r="B1022" i="6"/>
  <c r="B1021" i="6"/>
  <c r="B1020" i="6"/>
  <c r="B1019" i="6"/>
  <c r="B1018" i="6"/>
  <c r="B1017" i="6"/>
  <c r="B1016" i="6"/>
  <c r="B1015" i="6"/>
  <c r="B1014" i="6"/>
  <c r="B1013" i="6"/>
  <c r="B1012" i="6"/>
  <c r="B1011" i="6"/>
  <c r="B1010" i="6"/>
  <c r="B1009" i="6"/>
  <c r="B1008" i="6"/>
  <c r="B1007" i="6"/>
  <c r="B1006" i="6"/>
  <c r="B1005" i="6"/>
  <c r="B1004" i="6"/>
  <c r="B1003" i="6"/>
  <c r="B1002" i="6"/>
  <c r="B1001" i="6"/>
  <c r="B1000" i="6"/>
  <c r="B999" i="6"/>
  <c r="B998" i="6"/>
  <c r="B997" i="6"/>
  <c r="B996" i="6"/>
  <c r="B995" i="6"/>
  <c r="B994" i="6"/>
  <c r="B993" i="6"/>
  <c r="B992" i="6"/>
  <c r="B991" i="6"/>
  <c r="B990" i="6"/>
  <c r="B989" i="6"/>
  <c r="B988" i="6"/>
  <c r="B987" i="6"/>
  <c r="B986" i="6"/>
  <c r="B985" i="6"/>
  <c r="B984" i="6"/>
  <c r="B983" i="6"/>
  <c r="B982" i="6"/>
  <c r="B981" i="6"/>
  <c r="B980" i="6"/>
  <c r="B979" i="6"/>
  <c r="B978" i="6"/>
  <c r="B977" i="6"/>
  <c r="B976" i="6"/>
  <c r="B975" i="6"/>
  <c r="B974" i="6"/>
  <c r="B973" i="6"/>
  <c r="B972" i="6"/>
  <c r="B971" i="6"/>
  <c r="B970" i="6"/>
  <c r="B969" i="6"/>
  <c r="B968" i="6"/>
  <c r="B967" i="6"/>
  <c r="B966" i="6"/>
  <c r="B965" i="6"/>
  <c r="B964" i="6"/>
  <c r="B963" i="6"/>
  <c r="B962" i="6"/>
  <c r="B961" i="6"/>
  <c r="B960" i="6"/>
  <c r="B959" i="6"/>
  <c r="B958" i="6"/>
  <c r="B957" i="6"/>
  <c r="B956" i="6"/>
  <c r="B955" i="6"/>
  <c r="B954" i="6"/>
  <c r="B953" i="6"/>
  <c r="B952" i="6"/>
  <c r="B951" i="6"/>
  <c r="B950" i="6"/>
  <c r="B949" i="6"/>
  <c r="B948" i="6"/>
  <c r="B947" i="6"/>
  <c r="B946" i="6"/>
  <c r="B945" i="6"/>
  <c r="B944" i="6"/>
  <c r="B943" i="6"/>
  <c r="B942" i="6"/>
  <c r="B941" i="6"/>
  <c r="B940" i="6"/>
  <c r="B939" i="6"/>
  <c r="B938" i="6"/>
  <c r="B937" i="6"/>
  <c r="B936" i="6"/>
  <c r="B935" i="6"/>
  <c r="B934" i="6"/>
  <c r="B933" i="6"/>
  <c r="B932" i="6"/>
  <c r="B931" i="6"/>
  <c r="B930" i="6"/>
  <c r="B929" i="6"/>
  <c r="B928" i="6"/>
  <c r="B927" i="6"/>
  <c r="B926" i="6"/>
  <c r="B925" i="6"/>
  <c r="B924" i="6"/>
  <c r="B923" i="6"/>
  <c r="B922" i="6"/>
  <c r="B921" i="6"/>
  <c r="B920" i="6"/>
  <c r="B919" i="6"/>
  <c r="B918" i="6"/>
  <c r="B917" i="6"/>
  <c r="B916" i="6"/>
  <c r="B915" i="6"/>
  <c r="B914" i="6"/>
  <c r="B913" i="6"/>
  <c r="B912" i="6"/>
  <c r="B911" i="6"/>
  <c r="B910" i="6"/>
  <c r="B909" i="6"/>
  <c r="B908" i="6"/>
  <c r="B907" i="6"/>
  <c r="B906" i="6"/>
  <c r="B905" i="6"/>
  <c r="B904" i="6"/>
  <c r="B903" i="6"/>
  <c r="B902" i="6"/>
  <c r="B901" i="6"/>
  <c r="B900" i="6"/>
  <c r="B899" i="6"/>
  <c r="B898" i="6"/>
  <c r="B897" i="6"/>
  <c r="B896" i="6"/>
  <c r="B895" i="6"/>
  <c r="B894" i="6"/>
  <c r="B893" i="6"/>
  <c r="B892" i="6"/>
  <c r="B891" i="6"/>
  <c r="B890" i="6"/>
  <c r="B889" i="6"/>
  <c r="B888" i="6"/>
  <c r="B887" i="6"/>
  <c r="B886" i="6"/>
  <c r="B885" i="6"/>
  <c r="B884" i="6"/>
  <c r="B883" i="6"/>
  <c r="B882" i="6"/>
  <c r="B881" i="6"/>
  <c r="B880" i="6"/>
  <c r="B879" i="6"/>
  <c r="B878" i="6"/>
  <c r="B877" i="6"/>
  <c r="B876" i="6"/>
  <c r="B875" i="6"/>
  <c r="B874" i="6"/>
  <c r="B873" i="6"/>
  <c r="B872" i="6"/>
  <c r="B871" i="6"/>
  <c r="B870" i="6"/>
  <c r="B869" i="6"/>
  <c r="B868" i="6"/>
  <c r="B867" i="6"/>
  <c r="B866" i="6"/>
  <c r="B865" i="6"/>
  <c r="B864" i="6"/>
  <c r="B863" i="6"/>
  <c r="B862" i="6"/>
  <c r="B861" i="6"/>
  <c r="B860" i="6"/>
  <c r="B859" i="6"/>
  <c r="B858" i="6"/>
  <c r="B857" i="6"/>
  <c r="B856" i="6"/>
  <c r="B855" i="6"/>
  <c r="B854" i="6"/>
  <c r="B853" i="6"/>
  <c r="B852" i="6"/>
  <c r="B851" i="6"/>
  <c r="B850" i="6"/>
  <c r="B849" i="6"/>
  <c r="B848" i="6"/>
  <c r="B847" i="6"/>
  <c r="B846" i="6"/>
  <c r="B845" i="6"/>
  <c r="B844" i="6"/>
  <c r="B843" i="6"/>
  <c r="B842" i="6"/>
  <c r="B841" i="6"/>
  <c r="B840" i="6"/>
  <c r="B839" i="6"/>
  <c r="B838" i="6"/>
  <c r="B837" i="6"/>
  <c r="B836" i="6"/>
  <c r="B835" i="6"/>
  <c r="B834" i="6"/>
  <c r="B833" i="6"/>
  <c r="B832" i="6"/>
  <c r="B831" i="6"/>
  <c r="B830" i="6"/>
  <c r="B829" i="6"/>
  <c r="B828" i="6"/>
  <c r="B827" i="6"/>
  <c r="B826" i="6"/>
  <c r="B825" i="6"/>
  <c r="B824" i="6"/>
  <c r="B823" i="6"/>
  <c r="B822" i="6"/>
  <c r="B821" i="6"/>
  <c r="B820" i="6"/>
  <c r="B819" i="6"/>
  <c r="B818" i="6"/>
  <c r="B817" i="6"/>
  <c r="B816" i="6"/>
  <c r="B815" i="6"/>
  <c r="B814" i="6"/>
  <c r="B813" i="6"/>
  <c r="B812" i="6"/>
  <c r="B811" i="6"/>
  <c r="B810" i="6"/>
  <c r="B809" i="6"/>
  <c r="B808" i="6"/>
  <c r="B807" i="6"/>
  <c r="B806" i="6"/>
  <c r="B805" i="6"/>
  <c r="B804" i="6"/>
  <c r="B803" i="6"/>
  <c r="B802" i="6"/>
  <c r="B801" i="6"/>
  <c r="B800" i="6"/>
  <c r="B799" i="6"/>
  <c r="B798" i="6"/>
  <c r="B797" i="6"/>
  <c r="B796" i="6"/>
  <c r="B795" i="6"/>
  <c r="B794" i="6"/>
  <c r="B793" i="6"/>
  <c r="B792" i="6"/>
  <c r="B791" i="6"/>
  <c r="B790" i="6"/>
  <c r="B789" i="6"/>
  <c r="B788" i="6"/>
  <c r="B787" i="6"/>
  <c r="B786" i="6"/>
  <c r="B785" i="6"/>
  <c r="B784" i="6"/>
  <c r="B783" i="6"/>
  <c r="B782" i="6"/>
  <c r="B781" i="6"/>
  <c r="B780" i="6"/>
  <c r="B779" i="6"/>
  <c r="B778" i="6"/>
  <c r="B777" i="6"/>
  <c r="B776" i="6"/>
  <c r="B775" i="6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B2" i="6"/>
  <c r="A2158" i="6"/>
  <c r="A2157" i="6"/>
  <c r="A2156" i="6"/>
  <c r="A2155" i="6"/>
  <c r="A2154" i="6"/>
  <c r="A2153" i="6"/>
  <c r="A2152" i="6"/>
  <c r="A2151" i="6"/>
  <c r="A2150" i="6"/>
  <c r="A2149" i="6"/>
  <c r="A2148" i="6"/>
  <c r="A2147" i="6"/>
  <c r="A2146" i="6"/>
  <c r="A2145" i="6"/>
  <c r="A2144" i="6"/>
  <c r="A2143" i="6"/>
  <c r="A2142" i="6"/>
  <c r="A2141" i="6"/>
  <c r="A2140" i="6"/>
  <c r="A2139" i="6"/>
  <c r="A2138" i="6"/>
  <c r="A2137" i="6"/>
  <c r="A2136" i="6"/>
  <c r="A2135" i="6"/>
  <c r="A2134" i="6"/>
  <c r="A2133" i="6"/>
  <c r="A2132" i="6"/>
  <c r="A2131" i="6"/>
  <c r="A2130" i="6"/>
  <c r="A2129" i="6"/>
  <c r="A2128" i="6"/>
  <c r="A2127" i="6"/>
  <c r="A2126" i="6"/>
  <c r="A2125" i="6"/>
  <c r="A2124" i="6"/>
  <c r="A2123" i="6"/>
  <c r="A2122" i="6"/>
  <c r="A2121" i="6"/>
  <c r="A2120" i="6"/>
  <c r="A2119" i="6"/>
  <c r="A2118" i="6"/>
  <c r="A2117" i="6"/>
  <c r="A2116" i="6"/>
  <c r="A2115" i="6"/>
  <c r="A2114" i="6"/>
  <c r="A2113" i="6"/>
  <c r="A2112" i="6"/>
  <c r="A2111" i="6"/>
  <c r="A2110" i="6"/>
  <c r="A2109" i="6"/>
  <c r="A2108" i="6"/>
  <c r="A2107" i="6"/>
  <c r="A2106" i="6"/>
  <c r="A2105" i="6"/>
  <c r="A2104" i="6"/>
  <c r="A2103" i="6"/>
  <c r="A2102" i="6"/>
  <c r="A2101" i="6"/>
  <c r="A2100" i="6"/>
  <c r="A2099" i="6"/>
  <c r="A2098" i="6"/>
  <c r="A2097" i="6"/>
  <c r="A2096" i="6"/>
  <c r="A2095" i="6"/>
  <c r="A2094" i="6"/>
  <c r="A2093" i="6"/>
  <c r="A2092" i="6"/>
  <c r="A2091" i="6"/>
  <c r="A2090" i="6"/>
  <c r="A2089" i="6"/>
  <c r="A2088" i="6"/>
  <c r="A2087" i="6"/>
  <c r="A2086" i="6"/>
  <c r="A2085" i="6"/>
  <c r="A2084" i="6"/>
  <c r="A2083" i="6"/>
  <c r="A2082" i="6"/>
  <c r="A2081" i="6"/>
  <c r="A2080" i="6"/>
  <c r="A2079" i="6"/>
  <c r="A2078" i="6"/>
  <c r="A2077" i="6"/>
  <c r="A2076" i="6"/>
  <c r="A2075" i="6"/>
  <c r="A2074" i="6"/>
  <c r="A2073" i="6"/>
  <c r="A2072" i="6"/>
  <c r="A2071" i="6"/>
  <c r="A2070" i="6"/>
  <c r="A2069" i="6"/>
  <c r="A2068" i="6"/>
  <c r="A2067" i="6"/>
  <c r="A2066" i="6"/>
  <c r="A2065" i="6"/>
  <c r="A2064" i="6"/>
  <c r="A2063" i="6"/>
  <c r="A2062" i="6"/>
  <c r="A2061" i="6"/>
  <c r="A2060" i="6"/>
  <c r="A2059" i="6"/>
  <c r="A2058" i="6"/>
  <c r="A2057" i="6"/>
  <c r="A2056" i="6"/>
  <c r="A2055" i="6"/>
  <c r="A2054" i="6"/>
  <c r="A2053" i="6"/>
  <c r="A2052" i="6"/>
  <c r="A2051" i="6"/>
  <c r="A2050" i="6"/>
  <c r="A2049" i="6"/>
  <c r="A2048" i="6"/>
  <c r="A2047" i="6"/>
  <c r="A2046" i="6"/>
  <c r="A2045" i="6"/>
  <c r="A2044" i="6"/>
  <c r="A2043" i="6"/>
  <c r="A2042" i="6"/>
  <c r="A2041" i="6"/>
  <c r="A2040" i="6"/>
  <c r="A2039" i="6"/>
  <c r="A2038" i="6"/>
  <c r="A2037" i="6"/>
  <c r="A2036" i="6"/>
  <c r="A2035" i="6"/>
  <c r="A2034" i="6"/>
  <c r="A2033" i="6"/>
  <c r="A2032" i="6"/>
  <c r="A2031" i="6"/>
  <c r="A2030" i="6"/>
  <c r="A2029" i="6"/>
  <c r="A2028" i="6"/>
  <c r="A2027" i="6"/>
  <c r="A2026" i="6"/>
  <c r="A2025" i="6"/>
  <c r="A2024" i="6"/>
  <c r="A2023" i="6"/>
  <c r="A2022" i="6"/>
  <c r="A2021" i="6"/>
  <c r="A2020" i="6"/>
  <c r="A2019" i="6"/>
  <c r="A2018" i="6"/>
  <c r="A2017" i="6"/>
  <c r="A2016" i="6"/>
  <c r="A2015" i="6"/>
  <c r="A2014" i="6"/>
  <c r="A2013" i="6"/>
  <c r="A2012" i="6"/>
  <c r="A2011" i="6"/>
  <c r="A2010" i="6"/>
  <c r="A2009" i="6"/>
  <c r="A2008" i="6"/>
  <c r="A2007" i="6"/>
  <c r="A2006" i="6"/>
  <c r="A2005" i="6"/>
  <c r="A2004" i="6"/>
  <c r="A2003" i="6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K770" i="4" l="1"/>
  <c r="K773" i="4"/>
  <c r="K776" i="4"/>
  <c r="K779" i="4"/>
  <c r="K783" i="4"/>
  <c r="K799" i="4"/>
  <c r="K803" i="4"/>
  <c r="K791" i="4"/>
  <c r="K794" i="4"/>
  <c r="K746" i="4"/>
  <c r="K765" i="4"/>
  <c r="K781" i="4"/>
  <c r="K796" i="4"/>
  <c r="K806" i="4"/>
  <c r="K816" i="4"/>
  <c r="K825" i="4"/>
  <c r="K828" i="4"/>
  <c r="K832" i="4"/>
  <c r="K768" i="4"/>
  <c r="K15" i="4"/>
  <c r="K35" i="4"/>
  <c r="K52" i="4"/>
  <c r="K80" i="4"/>
  <c r="K145" i="4"/>
  <c r="K215" i="4"/>
  <c r="K321" i="4"/>
  <c r="K414" i="4"/>
  <c r="K446" i="4"/>
  <c r="K460" i="4"/>
  <c r="K471" i="4"/>
  <c r="K486" i="4"/>
  <c r="K497" i="4"/>
  <c r="K514" i="4"/>
  <c r="K565" i="4"/>
  <c r="K578" i="4"/>
  <c r="K658" i="4"/>
  <c r="K673" i="4"/>
  <c r="K685" i="4"/>
  <c r="K718" i="4"/>
  <c r="K731" i="4"/>
  <c r="K790" i="4"/>
  <c r="K7" i="4"/>
  <c r="K32" i="4"/>
  <c r="K40" i="4"/>
  <c r="K46" i="4"/>
  <c r="K74" i="4"/>
  <c r="K124" i="4"/>
  <c r="K198" i="4"/>
  <c r="K206" i="4"/>
  <c r="K237" i="4"/>
  <c r="K253" i="4"/>
  <c r="K265" i="4"/>
  <c r="K301" i="4"/>
  <c r="K314" i="4"/>
  <c r="K410" i="4"/>
  <c r="K449" i="4"/>
  <c r="K463" i="4"/>
  <c r="K509" i="4"/>
  <c r="K552" i="4"/>
  <c r="K568" i="4"/>
  <c r="K608" i="4"/>
  <c r="K654" i="4"/>
  <c r="K666" i="4"/>
  <c r="K736" i="4"/>
  <c r="K763" i="4"/>
  <c r="K798" i="4"/>
  <c r="K5" i="4"/>
  <c r="K10" i="4"/>
  <c r="K13" i="4"/>
  <c r="K16" i="4"/>
  <c r="K29" i="4"/>
  <c r="K41" i="4"/>
  <c r="K49" i="4"/>
  <c r="K56" i="4"/>
  <c r="K64" i="4"/>
  <c r="K67" i="4"/>
  <c r="K71" i="4"/>
  <c r="K76" i="4"/>
  <c r="K83" i="4"/>
  <c r="K104" i="4"/>
  <c r="K107" i="4"/>
  <c r="K122" i="4"/>
  <c r="K128" i="4"/>
  <c r="K133" i="4"/>
  <c r="K136" i="4"/>
  <c r="K138" i="4"/>
  <c r="K147" i="4"/>
  <c r="K155" i="4"/>
  <c r="K158" i="4"/>
  <c r="K186" i="4"/>
  <c r="K190" i="4"/>
  <c r="K193" i="4"/>
  <c r="K195" i="4"/>
  <c r="K201" i="4"/>
  <c r="K204" i="4"/>
  <c r="K207" i="4"/>
  <c r="K221" i="4"/>
  <c r="K228" i="4"/>
  <c r="K238" i="4"/>
  <c r="K247" i="4"/>
  <c r="K251" i="4"/>
  <c r="K254" i="4"/>
  <c r="K258" i="4"/>
  <c r="K268" i="4"/>
  <c r="K272" i="4"/>
  <c r="K275" i="4"/>
  <c r="K285" i="4"/>
  <c r="K293" i="4"/>
  <c r="K295" i="4"/>
  <c r="K298" i="4"/>
  <c r="K302" i="4"/>
  <c r="K315" i="4"/>
  <c r="K326" i="4"/>
  <c r="K342" i="4"/>
  <c r="K346" i="4"/>
  <c r="K352" i="4"/>
  <c r="K357" i="4"/>
  <c r="K360" i="4"/>
  <c r="K362" i="4"/>
  <c r="K366" i="4"/>
  <c r="K372" i="4"/>
  <c r="K380" i="4"/>
  <c r="K384" i="4"/>
  <c r="K390" i="4"/>
  <c r="K393" i="4"/>
  <c r="K407" i="4"/>
  <c r="K419" i="4"/>
  <c r="K425" i="4"/>
  <c r="K428" i="4"/>
  <c r="K438" i="4"/>
  <c r="K441" i="4"/>
  <c r="K467" i="4"/>
  <c r="K474" i="4"/>
  <c r="K478" i="4"/>
  <c r="K499" i="4"/>
  <c r="K501" i="4"/>
  <c r="K521" i="4"/>
  <c r="K528" i="4"/>
  <c r="K531" i="4"/>
  <c r="K543" i="4"/>
  <c r="K546" i="4"/>
  <c r="K553" i="4"/>
  <c r="K556" i="4"/>
  <c r="K562" i="4"/>
  <c r="K576" i="4"/>
  <c r="K579" i="4"/>
  <c r="K583" i="4"/>
  <c r="K585" i="4"/>
  <c r="K587" i="4"/>
  <c r="K592" i="4"/>
  <c r="K598" i="4"/>
  <c r="K609" i="4"/>
  <c r="K617" i="4"/>
  <c r="K630" i="4"/>
  <c r="K634" i="4"/>
  <c r="K638" i="4"/>
  <c r="K650" i="4"/>
  <c r="K659" i="4"/>
  <c r="K664" i="4"/>
  <c r="K667" i="4"/>
  <c r="K686" i="4"/>
  <c r="K699" i="4"/>
  <c r="K712" i="4"/>
  <c r="K28" i="4"/>
  <c r="K8" i="4"/>
  <c r="K19" i="4"/>
  <c r="K23" i="4"/>
  <c r="K27" i="4"/>
  <c r="K36" i="4"/>
  <c r="K50" i="4"/>
  <c r="K59" i="4"/>
  <c r="K62" i="4"/>
  <c r="K68" i="4"/>
  <c r="K72" i="4"/>
  <c r="K77" i="4"/>
  <c r="K79" i="4"/>
  <c r="K81" i="4"/>
  <c r="K92" i="4"/>
  <c r="K95" i="4"/>
  <c r="K101" i="4"/>
  <c r="K111" i="4"/>
  <c r="K116" i="4"/>
  <c r="K119" i="4"/>
  <c r="K125" i="4"/>
  <c r="K153" i="4"/>
  <c r="K161" i="4"/>
  <c r="K164" i="4"/>
  <c r="K171" i="4"/>
  <c r="K173" i="4"/>
  <c r="K179" i="4"/>
  <c r="K184" i="4"/>
  <c r="K196" i="4"/>
  <c r="K210" i="4"/>
  <c r="K213" i="4"/>
  <c r="K216" i="4"/>
  <c r="K219" i="4"/>
  <c r="K231" i="4"/>
  <c r="K234" i="4"/>
  <c r="K244" i="4"/>
  <c r="K262" i="4"/>
  <c r="K266" i="4"/>
  <c r="K280" i="4"/>
  <c r="K283" i="4"/>
  <c r="K286" i="4"/>
  <c r="K289" i="4"/>
  <c r="K291" i="4"/>
  <c r="K305" i="4"/>
  <c r="K319" i="4"/>
  <c r="K322" i="4"/>
  <c r="K334" i="4"/>
  <c r="K363" i="4"/>
  <c r="K388" i="4"/>
  <c r="K394" i="4"/>
  <c r="K404" i="4"/>
  <c r="K411" i="4"/>
  <c r="K416" i="4"/>
  <c r="K429" i="4"/>
  <c r="K432" i="4"/>
  <c r="K435" i="4"/>
  <c r="K445" i="4"/>
  <c r="K450" i="4"/>
  <c r="K455" i="4"/>
  <c r="K458" i="4"/>
  <c r="K461" i="4"/>
  <c r="K464" i="4"/>
  <c r="K85" i="4"/>
  <c r="K166" i="4"/>
  <c r="K182" i="4"/>
  <c r="K227" i="4"/>
  <c r="K274" i="4"/>
  <c r="K288" i="4"/>
  <c r="K297" i="4"/>
  <c r="K325" i="4"/>
  <c r="K383" i="4"/>
  <c r="K443" i="4"/>
  <c r="K483" i="4"/>
  <c r="K535" i="4"/>
  <c r="K545" i="4"/>
  <c r="K555" i="4"/>
  <c r="K582" i="4"/>
  <c r="K605" i="4"/>
  <c r="K616" i="4"/>
  <c r="K626" i="4"/>
  <c r="K677" i="4"/>
  <c r="K688" i="4"/>
  <c r="K702" i="4"/>
  <c r="K715" i="4"/>
  <c r="K733" i="4"/>
  <c r="K810" i="4"/>
  <c r="K58" i="4"/>
  <c r="K70" i="4"/>
  <c r="K94" i="4"/>
  <c r="K106" i="4"/>
  <c r="K143" i="4"/>
  <c r="K157" i="4"/>
  <c r="K170" i="4"/>
  <c r="K178" i="4"/>
  <c r="K220" i="4"/>
  <c r="K246" i="4"/>
  <c r="K257" i="4"/>
  <c r="K282" i="4"/>
  <c r="K292" i="4"/>
  <c r="K307" i="4"/>
  <c r="K406" i="4"/>
  <c r="K434" i="4"/>
  <c r="K466" i="4"/>
  <c r="K494" i="4"/>
  <c r="K511" i="4"/>
  <c r="K542" i="4"/>
  <c r="K575" i="4"/>
  <c r="K600" i="4"/>
  <c r="K611" i="4"/>
  <c r="K620" i="4"/>
  <c r="K680" i="4"/>
  <c r="K748" i="4"/>
  <c r="K760" i="4"/>
  <c r="K802" i="4"/>
  <c r="K26" i="4"/>
  <c r="K55" i="4"/>
  <c r="K110" i="4"/>
  <c r="K127" i="4"/>
  <c r="K318" i="4"/>
  <c r="K440" i="4"/>
  <c r="K457" i="4"/>
  <c r="K705" i="4"/>
  <c r="K823" i="4"/>
  <c r="K469" i="4"/>
  <c r="K472" i="4"/>
  <c r="K484" i="4"/>
  <c r="K491" i="4"/>
  <c r="K506" i="4"/>
  <c r="K515" i="4"/>
  <c r="K522" i="4"/>
  <c r="K524" i="4"/>
  <c r="K532" i="4"/>
  <c r="K536" i="4"/>
  <c r="K540" i="4"/>
  <c r="K550" i="4"/>
  <c r="K566" i="4"/>
  <c r="K572" i="4"/>
  <c r="K599" i="4"/>
  <c r="K601" i="4"/>
  <c r="K603" i="4"/>
  <c r="K612" i="4"/>
  <c r="K615" i="4"/>
  <c r="K621" i="4"/>
  <c r="K624" i="4"/>
  <c r="K648" i="4"/>
  <c r="K656" i="4"/>
  <c r="K660" i="4"/>
  <c r="K674" i="4"/>
  <c r="K678" i="4"/>
  <c r="K693" i="4"/>
  <c r="K696" i="4"/>
  <c r="K703" i="4"/>
  <c r="K706" i="4"/>
  <c r="K709" i="4"/>
  <c r="K719" i="4"/>
  <c r="K743" i="4"/>
  <c r="K750" i="4"/>
  <c r="K753" i="4"/>
  <c r="K764" i="4"/>
  <c r="K771" i="4"/>
  <c r="K774" i="4"/>
  <c r="K777" i="4"/>
  <c r="K780" i="4"/>
  <c r="K784" i="4"/>
  <c r="K792" i="4"/>
  <c r="K795" i="4"/>
  <c r="K800" i="4"/>
  <c r="K804" i="4"/>
  <c r="K811" i="4"/>
  <c r="K827" i="4"/>
  <c r="K4" i="4"/>
  <c r="K12" i="4"/>
  <c r="K25" i="4"/>
  <c r="K43" i="4"/>
  <c r="K82" i="4"/>
  <c r="K88" i="4"/>
  <c r="K102" i="4"/>
  <c r="K11" i="4"/>
  <c r="K14" i="4"/>
  <c r="K30" i="4"/>
  <c r="K33" i="4"/>
  <c r="K53" i="4"/>
  <c r="K65" i="4"/>
  <c r="K87" i="4"/>
  <c r="K98" i="4"/>
  <c r="K105" i="4"/>
  <c r="K108" i="4"/>
  <c r="K114" i="4"/>
  <c r="K120" i="4"/>
  <c r="K126" i="4"/>
  <c r="K129" i="4"/>
  <c r="K139" i="4"/>
  <c r="K144" i="4"/>
  <c r="K150" i="4"/>
  <c r="K168" i="4"/>
  <c r="K187" i="4"/>
  <c r="K199" i="4"/>
  <c r="K205" i="4"/>
  <c r="K208" i="4"/>
  <c r="K222" i="4"/>
  <c r="K225" i="4"/>
  <c r="K241" i="4"/>
  <c r="K255" i="4"/>
  <c r="K270" i="4"/>
  <c r="K299" i="4"/>
  <c r="K303" i="4"/>
  <c r="K316" i="4"/>
  <c r="K323" i="4"/>
  <c r="K331" i="4"/>
  <c r="K338" i="4"/>
  <c r="K343" i="4"/>
  <c r="K347" i="4"/>
  <c r="K350" i="4"/>
  <c r="K353" i="4"/>
  <c r="K358" i="4"/>
  <c r="K369" i="4"/>
  <c r="K378" i="4"/>
  <c r="K385" i="4"/>
  <c r="K391" i="4"/>
  <c r="K398" i="4"/>
  <c r="K408" i="4"/>
  <c r="K417" i="4"/>
  <c r="K423" i="4"/>
  <c r="K131" i="4"/>
  <c r="K137" i="4"/>
  <c r="K140" i="4"/>
  <c r="K148" i="4"/>
  <c r="K151" i="4"/>
  <c r="K154" i="4"/>
  <c r="K172" i="4"/>
  <c r="K181" i="4"/>
  <c r="K185" i="4"/>
  <c r="K189" i="4"/>
  <c r="K192" i="4"/>
  <c r="K203" i="4"/>
  <c r="K209" i="4"/>
  <c r="K218" i="4"/>
  <c r="K233" i="4"/>
  <c r="K236" i="4"/>
  <c r="K242" i="4"/>
  <c r="K260" i="4"/>
  <c r="K267" i="4"/>
  <c r="K269" i="4"/>
  <c r="K271" i="4"/>
  <c r="K290" i="4"/>
  <c r="K304" i="4"/>
  <c r="K311" i="4"/>
  <c r="K332" i="4"/>
  <c r="K336" i="4"/>
  <c r="K341" i="4"/>
  <c r="K345" i="4"/>
  <c r="K348" i="4"/>
  <c r="K351" i="4"/>
  <c r="K355" i="4"/>
  <c r="K365" i="4"/>
  <c r="K367" i="4"/>
  <c r="K374" i="4"/>
  <c r="K377" i="4"/>
  <c r="K379" i="4"/>
  <c r="K382" i="4"/>
  <c r="K387" i="4"/>
  <c r="K389" i="4"/>
  <c r="K392" i="4"/>
  <c r="K396" i="4"/>
  <c r="K399" i="4"/>
  <c r="K402" i="4"/>
  <c r="K409" i="4"/>
  <c r="K418" i="4"/>
  <c r="K421" i="4"/>
  <c r="K427" i="4"/>
  <c r="K433" i="4"/>
  <c r="K454" i="4"/>
  <c r="K473" i="4"/>
  <c r="K480" i="4"/>
  <c r="K489" i="4"/>
  <c r="K505" i="4"/>
  <c r="K508" i="4"/>
  <c r="K513" i="4"/>
  <c r="K520" i="4"/>
  <c r="K523" i="4"/>
  <c r="K527" i="4"/>
  <c r="K548" i="4"/>
  <c r="K551" i="4"/>
  <c r="K571" i="4"/>
  <c r="K574" i="4"/>
  <c r="K589" i="4"/>
  <c r="K594" i="4"/>
  <c r="K607" i="4"/>
  <c r="K623" i="4"/>
  <c r="K629" i="4"/>
  <c r="K633" i="4"/>
  <c r="K643" i="4"/>
  <c r="K653" i="4"/>
  <c r="K663" i="4"/>
  <c r="K682" i="4"/>
  <c r="K692" i="4"/>
  <c r="K695" i="4"/>
  <c r="K698" i="4"/>
  <c r="K701" i="4"/>
  <c r="K704" i="4"/>
  <c r="K708" i="4"/>
  <c r="K711" i="4"/>
  <c r="K717" i="4"/>
  <c r="K721" i="4"/>
  <c r="K726" i="4"/>
  <c r="K730" i="4"/>
  <c r="K735" i="4"/>
  <c r="K739" i="4"/>
  <c r="K752" i="4"/>
  <c r="K766" i="4"/>
  <c r="K769" i="4"/>
  <c r="K782" i="4"/>
  <c r="K785" i="4"/>
  <c r="K787" i="4"/>
  <c r="K797" i="4"/>
  <c r="K807" i="4"/>
  <c r="K813" i="4"/>
  <c r="K817" i="4"/>
  <c r="K819" i="4"/>
  <c r="K826" i="4"/>
  <c r="K18" i="4"/>
  <c r="K22" i="4"/>
  <c r="K38" i="4"/>
  <c r="K44" i="4"/>
  <c r="K47" i="4"/>
  <c r="K61" i="4"/>
  <c r="K75" i="4"/>
  <c r="K86" i="4"/>
  <c r="K89" i="4"/>
  <c r="K97" i="4"/>
  <c r="K100" i="4"/>
  <c r="K103" i="4"/>
  <c r="K113" i="4"/>
  <c r="K115" i="4"/>
  <c r="K118" i="4"/>
  <c r="K132" i="4"/>
  <c r="K135" i="4"/>
  <c r="K141" i="4"/>
  <c r="K146" i="4"/>
  <c r="K149" i="4"/>
  <c r="K152" i="4"/>
  <c r="K475" i="4"/>
  <c r="K479" i="4"/>
  <c r="K482" i="4"/>
  <c r="K488" i="4"/>
  <c r="K495" i="4"/>
  <c r="K504" i="4"/>
  <c r="K510" i="4"/>
  <c r="K512" i="4"/>
  <c r="K518" i="4"/>
  <c r="K525" i="4"/>
  <c r="K529" i="4"/>
  <c r="K533" i="4"/>
  <c r="K537" i="4"/>
  <c r="K559" i="4"/>
  <c r="K563" i="4"/>
  <c r="K569" i="4"/>
  <c r="K577" i="4"/>
  <c r="K580" i="4"/>
  <c r="K606" i="4"/>
  <c r="K618" i="4"/>
  <c r="K622" i="4"/>
  <c r="K627" i="4"/>
  <c r="K631" i="4"/>
  <c r="K641" i="4"/>
  <c r="K645" i="4"/>
  <c r="K651" i="4"/>
  <c r="K661" i="4"/>
  <c r="K671" i="4"/>
  <c r="K675" i="4"/>
  <c r="K681" i="4"/>
  <c r="K684" i="4"/>
  <c r="K690" i="4"/>
  <c r="K697" i="4"/>
  <c r="K700" i="4"/>
  <c r="K710" i="4"/>
  <c r="K720" i="4"/>
  <c r="K723" i="4"/>
  <c r="K728" i="4"/>
  <c r="K732" i="4"/>
  <c r="K738" i="4"/>
  <c r="K751" i="4"/>
  <c r="K758" i="4"/>
  <c r="K775" i="4"/>
  <c r="K786" i="4"/>
  <c r="K789" i="4"/>
  <c r="K805" i="4"/>
  <c r="K809" i="4"/>
  <c r="K812" i="4"/>
  <c r="K815" i="4"/>
  <c r="K821" i="4"/>
  <c r="K831" i="4"/>
  <c r="K3" i="4"/>
  <c r="K6" i="4"/>
  <c r="K17" i="4"/>
  <c r="K20" i="4"/>
  <c r="K24" i="4"/>
  <c r="K34" i="4"/>
  <c r="K37" i="4"/>
  <c r="K39" i="4"/>
  <c r="K42" i="4"/>
  <c r="K45" i="4"/>
  <c r="K48" i="4"/>
  <c r="K57" i="4"/>
  <c r="K63" i="4"/>
  <c r="K73" i="4"/>
  <c r="K90" i="4"/>
  <c r="K93" i="4"/>
  <c r="K96" i="4"/>
  <c r="K134" i="4"/>
  <c r="K142" i="4"/>
  <c r="K159" i="4"/>
  <c r="K165" i="4"/>
  <c r="K174" i="4"/>
  <c r="K176" i="4"/>
  <c r="K180" i="4"/>
  <c r="K188" i="4"/>
  <c r="K202" i="4"/>
  <c r="K211" i="4"/>
  <c r="K217" i="4"/>
  <c r="K235" i="4"/>
  <c r="K239" i="4"/>
  <c r="K248" i="4"/>
  <c r="K252" i="4"/>
  <c r="K256" i="4"/>
  <c r="K263" i="4"/>
  <c r="K273" i="4"/>
  <c r="K276" i="4"/>
  <c r="K278" i="4"/>
  <c r="K287" i="4"/>
  <c r="K300" i="4"/>
  <c r="K308" i="4"/>
  <c r="K320" i="4"/>
  <c r="K329" i="4"/>
  <c r="K339" i="4"/>
  <c r="K344" i="4"/>
  <c r="K354" i="4"/>
  <c r="K361" i="4"/>
  <c r="K370" i="4"/>
  <c r="K373" i="4"/>
  <c r="K376" i="4"/>
  <c r="K381" i="4"/>
  <c r="K386" i="4"/>
  <c r="K395" i="4"/>
  <c r="K401" i="4"/>
  <c r="K413" i="4"/>
  <c r="K420" i="4"/>
  <c r="K424" i="4"/>
  <c r="K426" i="4"/>
  <c r="K439" i="4"/>
  <c r="K442" i="4"/>
  <c r="K448" i="4"/>
  <c r="K451" i="4"/>
  <c r="K465" i="4"/>
  <c r="K470" i="4"/>
  <c r="K476" i="4"/>
  <c r="K492" i="4"/>
  <c r="K496" i="4"/>
  <c r="K507" i="4"/>
  <c r="K163" i="4"/>
  <c r="K167" i="4"/>
  <c r="K175" i="4"/>
  <c r="K183" i="4"/>
  <c r="K224" i="4"/>
  <c r="K230" i="4"/>
  <c r="K240" i="4"/>
  <c r="K243" i="4"/>
  <c r="K250" i="4"/>
  <c r="K261" i="4"/>
  <c r="K277" i="4"/>
  <c r="K279" i="4"/>
  <c r="K309" i="4"/>
  <c r="K312" i="4"/>
  <c r="K328" i="4"/>
  <c r="K330" i="4"/>
  <c r="K333" i="4"/>
  <c r="K337" i="4"/>
  <c r="K349" i="4"/>
  <c r="K356" i="4"/>
  <c r="K368" i="4"/>
  <c r="K371" i="4"/>
  <c r="K375" i="4"/>
  <c r="K397" i="4"/>
  <c r="K400" i="4"/>
  <c r="K403" i="4"/>
  <c r="K412" i="4"/>
  <c r="K415" i="4"/>
  <c r="K422" i="4"/>
  <c r="K431" i="4"/>
  <c r="K437" i="4"/>
  <c r="K444" i="4"/>
  <c r="K447" i="4"/>
  <c r="K452" i="4"/>
  <c r="K477" i="4"/>
  <c r="K481" i="4"/>
  <c r="K487" i="4"/>
  <c r="K490" i="4"/>
  <c r="K498" i="4"/>
  <c r="K503" i="4"/>
  <c r="K517" i="4"/>
  <c r="K539" i="4"/>
  <c r="K549" i="4"/>
  <c r="K558" i="4"/>
  <c r="K561" i="4"/>
  <c r="K590" i="4"/>
  <c r="K595" i="4"/>
  <c r="K597" i="4"/>
  <c r="K602" i="4"/>
  <c r="K614" i="4"/>
  <c r="K637" i="4"/>
  <c r="K640" i="4"/>
  <c r="K644" i="4"/>
  <c r="K655" i="4"/>
  <c r="K670" i="4"/>
  <c r="K683" i="4"/>
  <c r="K689" i="4"/>
  <c r="K722" i="4"/>
  <c r="K727" i="4"/>
  <c r="K742" i="4"/>
  <c r="K749" i="4"/>
  <c r="K516" i="4"/>
  <c r="K526" i="4"/>
  <c r="K547" i="4"/>
  <c r="K554" i="4"/>
  <c r="K564" i="4"/>
  <c r="K570" i="4"/>
  <c r="K573" i="4"/>
  <c r="K588" i="4"/>
  <c r="K593" i="4"/>
  <c r="K596" i="4"/>
  <c r="K604" i="4"/>
  <c r="K625" i="4"/>
  <c r="K635" i="4"/>
  <c r="K639" i="4"/>
  <c r="K642" i="4"/>
  <c r="K646" i="4"/>
  <c r="K657" i="4"/>
  <c r="K662" i="4"/>
  <c r="K665" i="4"/>
  <c r="K668" i="4"/>
  <c r="K691" i="4"/>
  <c r="K694" i="4"/>
  <c r="K707" i="4"/>
  <c r="K713" i="4"/>
  <c r="K724" i="4"/>
  <c r="K729" i="4"/>
  <c r="K9" i="4"/>
  <c r="K21" i="4"/>
  <c r="K31" i="4"/>
  <c r="K51" i="4"/>
  <c r="K54" i="4"/>
  <c r="K60" i="4"/>
  <c r="K66" i="4"/>
  <c r="K69" i="4"/>
  <c r="K78" i="4"/>
  <c r="K84" i="4"/>
  <c r="K91" i="4"/>
  <c r="K99" i="4"/>
  <c r="K109" i="4"/>
  <c r="K112" i="4"/>
  <c r="K117" i="4"/>
  <c r="K121" i="4"/>
  <c r="K123" i="4"/>
  <c r="K130" i="4"/>
  <c r="K156" i="4"/>
  <c r="K160" i="4"/>
  <c r="K162" i="4"/>
  <c r="K169" i="4"/>
  <c r="K177" i="4"/>
  <c r="K191" i="4"/>
  <c r="K194" i="4"/>
  <c r="K197" i="4"/>
  <c r="K200" i="4"/>
  <c r="K212" i="4"/>
  <c r="K214" i="4"/>
  <c r="K223" i="4"/>
  <c r="K226" i="4"/>
  <c r="K229" i="4"/>
  <c r="K232" i="4"/>
  <c r="K245" i="4"/>
  <c r="K249" i="4"/>
  <c r="K259" i="4"/>
  <c r="K264" i="4"/>
  <c r="K281" i="4"/>
  <c r="K284" i="4"/>
  <c r="K756" i="4"/>
  <c r="K762" i="4"/>
  <c r="K778" i="4"/>
  <c r="K822" i="4"/>
  <c r="K294" i="4"/>
  <c r="K296" i="4"/>
  <c r="K306" i="4"/>
  <c r="K310" i="4"/>
  <c r="K313" i="4"/>
  <c r="K317" i="4"/>
  <c r="K324" i="4"/>
  <c r="K327" i="4"/>
  <c r="K335" i="4"/>
  <c r="K340" i="4"/>
  <c r="K359" i="4"/>
  <c r="K364" i="4"/>
  <c r="K405" i="4"/>
  <c r="K430" i="4"/>
  <c r="K436" i="4"/>
  <c r="K453" i="4"/>
  <c r="K456" i="4"/>
  <c r="K459" i="4"/>
  <c r="K462" i="4"/>
  <c r="K468" i="4"/>
  <c r="K485" i="4"/>
  <c r="K493" i="4"/>
  <c r="K500" i="4"/>
  <c r="K502" i="4"/>
  <c r="K519" i="4"/>
  <c r="K530" i="4"/>
  <c r="K534" i="4"/>
  <c r="K538" i="4"/>
  <c r="K541" i="4"/>
  <c r="K544" i="4"/>
  <c r="K557" i="4"/>
  <c r="K560" i="4"/>
  <c r="K567" i="4"/>
  <c r="K581" i="4"/>
  <c r="K584" i="4"/>
  <c r="K586" i="4"/>
  <c r="K591" i="4"/>
  <c r="K610" i="4"/>
  <c r="K613" i="4"/>
  <c r="K619" i="4"/>
  <c r="K628" i="4"/>
  <c r="K632" i="4"/>
  <c r="K636" i="4"/>
  <c r="K647" i="4"/>
  <c r="K649" i="4"/>
  <c r="K652" i="4"/>
  <c r="K669" i="4"/>
  <c r="K672" i="4"/>
  <c r="K676" i="4"/>
  <c r="K679" i="4"/>
  <c r="K687" i="4"/>
  <c r="K714" i="4"/>
  <c r="K725" i="4"/>
  <c r="K734" i="4"/>
  <c r="K741" i="4"/>
  <c r="K744" i="4"/>
  <c r="K747" i="4"/>
  <c r="K754" i="4"/>
  <c r="K759" i="4"/>
  <c r="K772" i="4"/>
  <c r="K793" i="4"/>
  <c r="K801" i="4"/>
  <c r="K829" i="4"/>
  <c r="K755" i="4"/>
  <c r="K757" i="4"/>
  <c r="K788" i="4"/>
  <c r="K820" i="4"/>
  <c r="K824" i="4"/>
  <c r="K830" i="4"/>
  <c r="K2" i="4"/>
  <c r="K716" i="4"/>
  <c r="K737" i="4"/>
  <c r="K740" i="4"/>
  <c r="K745" i="4"/>
  <c r="K761" i="4"/>
  <c r="K767" i="4"/>
  <c r="K808" i="4"/>
  <c r="K814" i="4"/>
  <c r="K818" i="4"/>
  <c r="H3" i="4"/>
  <c r="H4" i="4"/>
  <c r="H5" i="4"/>
  <c r="H6" i="4"/>
  <c r="H8" i="4"/>
  <c r="H9" i="4"/>
  <c r="H10" i="4"/>
  <c r="H11" i="4"/>
  <c r="H12" i="4"/>
  <c r="H13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2" i="4"/>
  <c r="W2165" i="6"/>
  <c r="W2162" i="6"/>
  <c r="W2161" i="6"/>
  <c r="W2160" i="6"/>
  <c r="H14" i="4"/>
  <c r="W2163" i="6"/>
  <c r="Q2158" i="6"/>
  <c r="R2158" i="6"/>
  <c r="Q2157" i="6"/>
  <c r="R2157" i="6"/>
  <c r="Q2156" i="6"/>
  <c r="R2156" i="6"/>
  <c r="Q2155" i="6"/>
  <c r="R2155" i="6"/>
  <c r="Q2154" i="6"/>
  <c r="R2154" i="6"/>
  <c r="Q2153" i="6"/>
  <c r="R2153" i="6"/>
  <c r="Q2152" i="6"/>
  <c r="R2152" i="6"/>
  <c r="Q2151" i="6"/>
  <c r="R2151" i="6"/>
  <c r="Q2150" i="6"/>
  <c r="R2150" i="6"/>
  <c r="Q2149" i="6"/>
  <c r="R2149" i="6"/>
  <c r="Q2148" i="6"/>
  <c r="R2148" i="6"/>
  <c r="Q2147" i="6"/>
  <c r="R2147" i="6"/>
  <c r="Q2146" i="6"/>
  <c r="R2146" i="6"/>
  <c r="Q2145" i="6"/>
  <c r="R2145" i="6"/>
  <c r="Q2144" i="6"/>
  <c r="R2144" i="6"/>
  <c r="Q2143" i="6"/>
  <c r="R2143" i="6"/>
  <c r="Q2142" i="6"/>
  <c r="R2142" i="6"/>
  <c r="Q2141" i="6"/>
  <c r="R2141" i="6"/>
  <c r="Q2140" i="6"/>
  <c r="R2140" i="6"/>
  <c r="Q2139" i="6"/>
  <c r="R2139" i="6"/>
  <c r="Q2138" i="6"/>
  <c r="R2138" i="6"/>
  <c r="Q2137" i="6"/>
  <c r="R2137" i="6"/>
  <c r="Q2136" i="6"/>
  <c r="R2136" i="6"/>
  <c r="Q2135" i="6"/>
  <c r="R2135" i="6"/>
  <c r="Q2134" i="6"/>
  <c r="R2134" i="6"/>
  <c r="Q2133" i="6"/>
  <c r="R2133" i="6"/>
  <c r="Q2132" i="6"/>
  <c r="R2132" i="6"/>
  <c r="Q2131" i="6"/>
  <c r="R2131" i="6"/>
  <c r="Q2130" i="6"/>
  <c r="R2130" i="6"/>
  <c r="Q2129" i="6"/>
  <c r="R2129" i="6"/>
  <c r="Q2128" i="6"/>
  <c r="R2128" i="6"/>
  <c r="Q2127" i="6"/>
  <c r="R2127" i="6"/>
  <c r="Q2126" i="6"/>
  <c r="R2126" i="6"/>
  <c r="Q2125" i="6"/>
  <c r="R2125" i="6"/>
  <c r="Q2124" i="6"/>
  <c r="R2124" i="6"/>
  <c r="Q2123" i="6"/>
  <c r="R2123" i="6"/>
  <c r="Q2122" i="6"/>
  <c r="R2122" i="6"/>
  <c r="Q2121" i="6"/>
  <c r="R2121" i="6"/>
  <c r="Q2120" i="6"/>
  <c r="R2120" i="6"/>
  <c r="Q2119" i="6"/>
  <c r="R2119" i="6"/>
  <c r="Q2118" i="6"/>
  <c r="R2118" i="6"/>
  <c r="Q2117" i="6"/>
  <c r="R2117" i="6"/>
  <c r="Q2116" i="6"/>
  <c r="R2116" i="6"/>
  <c r="Q2115" i="6"/>
  <c r="R2115" i="6"/>
  <c r="Q2114" i="6"/>
  <c r="R2114" i="6"/>
  <c r="Q2113" i="6"/>
  <c r="R2113" i="6"/>
  <c r="Q2112" i="6"/>
  <c r="R2112" i="6"/>
  <c r="Q2111" i="6"/>
  <c r="R2111" i="6"/>
  <c r="Q2110" i="6"/>
  <c r="R2110" i="6"/>
  <c r="Q2109" i="6"/>
  <c r="R2109" i="6"/>
  <c r="Q2108" i="6"/>
  <c r="R2108" i="6"/>
  <c r="Q2107" i="6"/>
  <c r="R2107" i="6"/>
  <c r="Q2106" i="6"/>
  <c r="R2106" i="6"/>
  <c r="Q2105" i="6"/>
  <c r="R2105" i="6"/>
  <c r="Q2104" i="6"/>
  <c r="R2104" i="6"/>
  <c r="Q2103" i="6"/>
  <c r="R2103" i="6"/>
  <c r="Q2102" i="6"/>
  <c r="R2102" i="6"/>
  <c r="Q2101" i="6"/>
  <c r="R2101" i="6"/>
  <c r="Q2100" i="6"/>
  <c r="R2100" i="6"/>
  <c r="Q2099" i="6"/>
  <c r="R2099" i="6"/>
  <c r="Q2098" i="6"/>
  <c r="R2098" i="6"/>
  <c r="Q2097" i="6"/>
  <c r="R2097" i="6"/>
  <c r="Q2096" i="6"/>
  <c r="R2096" i="6"/>
  <c r="Q2095" i="6"/>
  <c r="R2095" i="6"/>
  <c r="Q2094" i="6"/>
  <c r="R2094" i="6"/>
  <c r="Q2093" i="6"/>
  <c r="R2093" i="6"/>
  <c r="Q2092" i="6"/>
  <c r="R2092" i="6"/>
  <c r="Q2091" i="6"/>
  <c r="R2091" i="6"/>
  <c r="Q2090" i="6"/>
  <c r="R2090" i="6"/>
  <c r="Q2089" i="6"/>
  <c r="R2089" i="6"/>
  <c r="Q2088" i="6"/>
  <c r="R2088" i="6"/>
  <c r="Q2087" i="6"/>
  <c r="R2087" i="6"/>
  <c r="Q2086" i="6"/>
  <c r="R2086" i="6"/>
  <c r="Q2085" i="6"/>
  <c r="R2085" i="6"/>
  <c r="Q2084" i="6"/>
  <c r="R2084" i="6"/>
  <c r="Q2083" i="6"/>
  <c r="R2083" i="6"/>
  <c r="Q2082" i="6"/>
  <c r="R2082" i="6"/>
  <c r="Q2081" i="6"/>
  <c r="R2081" i="6"/>
  <c r="Q2080" i="6"/>
  <c r="R2080" i="6"/>
  <c r="Q2079" i="6"/>
  <c r="R2079" i="6"/>
  <c r="Q2078" i="6"/>
  <c r="R2078" i="6"/>
  <c r="Q2077" i="6"/>
  <c r="R2077" i="6"/>
  <c r="Q2076" i="6"/>
  <c r="R2076" i="6"/>
  <c r="Q2075" i="6"/>
  <c r="R2075" i="6"/>
  <c r="Q2074" i="6"/>
  <c r="R2074" i="6"/>
  <c r="Q2073" i="6"/>
  <c r="R2073" i="6"/>
  <c r="Q2072" i="6"/>
  <c r="R2072" i="6"/>
  <c r="Q2071" i="6"/>
  <c r="R2071" i="6"/>
  <c r="Q2070" i="6"/>
  <c r="R2070" i="6"/>
  <c r="Q2069" i="6"/>
  <c r="R2069" i="6"/>
  <c r="Q2068" i="6"/>
  <c r="R2068" i="6"/>
  <c r="Q2067" i="6"/>
  <c r="R2067" i="6"/>
  <c r="Q2066" i="6"/>
  <c r="R2066" i="6"/>
  <c r="Q2065" i="6"/>
  <c r="R2065" i="6"/>
  <c r="Q2064" i="6"/>
  <c r="R2064" i="6"/>
  <c r="Q2063" i="6"/>
  <c r="R2063" i="6"/>
  <c r="Q2062" i="6"/>
  <c r="R2062" i="6"/>
  <c r="Q2061" i="6"/>
  <c r="R2061" i="6"/>
  <c r="Q2060" i="6"/>
  <c r="R2060" i="6"/>
  <c r="Q2059" i="6"/>
  <c r="R2059" i="6"/>
  <c r="Q2058" i="6"/>
  <c r="R2058" i="6"/>
  <c r="Q2057" i="6"/>
  <c r="R2057" i="6"/>
  <c r="Q2056" i="6"/>
  <c r="R2056" i="6"/>
  <c r="Q2055" i="6"/>
  <c r="R2055" i="6"/>
  <c r="Q2054" i="6"/>
  <c r="R2054" i="6"/>
  <c r="Q2053" i="6"/>
  <c r="R2053" i="6"/>
  <c r="Q2052" i="6"/>
  <c r="R2052" i="6"/>
  <c r="Q2051" i="6"/>
  <c r="R2051" i="6"/>
  <c r="Q2050" i="6"/>
  <c r="R2050" i="6"/>
  <c r="Q2049" i="6"/>
  <c r="R2049" i="6"/>
  <c r="Q2048" i="6"/>
  <c r="R2048" i="6"/>
  <c r="Q2047" i="6"/>
  <c r="R2047" i="6"/>
  <c r="Q2046" i="6"/>
  <c r="R2046" i="6"/>
  <c r="Q2045" i="6"/>
  <c r="R2045" i="6"/>
  <c r="Q2044" i="6"/>
  <c r="R2044" i="6"/>
  <c r="Q2043" i="6"/>
  <c r="R2043" i="6"/>
  <c r="Q2042" i="6"/>
  <c r="R2042" i="6"/>
  <c r="Q2041" i="6"/>
  <c r="R2041" i="6"/>
  <c r="Q2040" i="6"/>
  <c r="R2040" i="6"/>
  <c r="Q2039" i="6"/>
  <c r="R2039" i="6"/>
  <c r="Q2038" i="6"/>
  <c r="R2038" i="6"/>
  <c r="Q2037" i="6"/>
  <c r="R2037" i="6"/>
  <c r="Q2036" i="6"/>
  <c r="R2036" i="6"/>
  <c r="Q2035" i="6"/>
  <c r="R2035" i="6"/>
  <c r="Q2034" i="6"/>
  <c r="R2034" i="6"/>
  <c r="Q2033" i="6"/>
  <c r="R2033" i="6"/>
  <c r="Q2032" i="6"/>
  <c r="R2032" i="6"/>
  <c r="Q2031" i="6"/>
  <c r="R2031" i="6"/>
  <c r="Q2030" i="6"/>
  <c r="R2030" i="6"/>
  <c r="Q2029" i="6"/>
  <c r="R2029" i="6"/>
  <c r="Q2028" i="6"/>
  <c r="R2028" i="6"/>
  <c r="Q2027" i="6"/>
  <c r="R2027" i="6"/>
  <c r="Q2026" i="6"/>
  <c r="R2026" i="6"/>
  <c r="Q2025" i="6"/>
  <c r="R2025" i="6"/>
  <c r="Q2024" i="6"/>
  <c r="R2024" i="6"/>
  <c r="Q2023" i="6"/>
  <c r="R2023" i="6"/>
  <c r="Q2022" i="6"/>
  <c r="R2022" i="6"/>
  <c r="Q2021" i="6"/>
  <c r="R2021" i="6"/>
  <c r="Q2020" i="6"/>
  <c r="R2020" i="6"/>
  <c r="Q2019" i="6"/>
  <c r="R2019" i="6"/>
  <c r="Q2018" i="6"/>
  <c r="R2018" i="6"/>
  <c r="Q2017" i="6"/>
  <c r="R2017" i="6"/>
  <c r="Q2016" i="6"/>
  <c r="R2016" i="6"/>
  <c r="Q2015" i="6"/>
  <c r="R2015" i="6"/>
  <c r="Q2014" i="6"/>
  <c r="R2014" i="6"/>
  <c r="Q2013" i="6"/>
  <c r="R2013" i="6"/>
  <c r="Q2012" i="6"/>
  <c r="R2012" i="6"/>
  <c r="Q2011" i="6"/>
  <c r="R2011" i="6"/>
  <c r="Q2010" i="6"/>
  <c r="R2010" i="6"/>
  <c r="Q2009" i="6"/>
  <c r="R2009" i="6"/>
  <c r="Q2008" i="6"/>
  <c r="R2008" i="6"/>
  <c r="Q2007" i="6"/>
  <c r="R2007" i="6"/>
  <c r="Q2006" i="6"/>
  <c r="R2006" i="6"/>
  <c r="Q2005" i="6"/>
  <c r="R2005" i="6"/>
  <c r="Q2004" i="6"/>
  <c r="R2004" i="6"/>
  <c r="Q2003" i="6"/>
  <c r="R2003" i="6"/>
  <c r="Q2002" i="6"/>
  <c r="R2002" i="6"/>
  <c r="Q2001" i="6"/>
  <c r="R2001" i="6"/>
  <c r="Q2000" i="6"/>
  <c r="R2000" i="6"/>
  <c r="Q1999" i="6"/>
  <c r="R1999" i="6"/>
  <c r="Q1998" i="6"/>
  <c r="R1998" i="6"/>
  <c r="Q1997" i="6"/>
  <c r="R1997" i="6"/>
  <c r="Q1996" i="6"/>
  <c r="R1996" i="6"/>
  <c r="Q1995" i="6"/>
  <c r="R1995" i="6"/>
  <c r="Q1994" i="6"/>
  <c r="R1994" i="6"/>
  <c r="Q1993" i="6"/>
  <c r="R1993" i="6"/>
  <c r="Q1992" i="6"/>
  <c r="R1992" i="6"/>
  <c r="Q1991" i="6"/>
  <c r="R1991" i="6"/>
  <c r="Q1990" i="6"/>
  <c r="R1990" i="6"/>
  <c r="Q1989" i="6"/>
  <c r="R1989" i="6"/>
  <c r="Q1988" i="6"/>
  <c r="R1988" i="6"/>
  <c r="Q1987" i="6"/>
  <c r="R1987" i="6"/>
  <c r="Q1986" i="6"/>
  <c r="R1986" i="6"/>
  <c r="Q1985" i="6"/>
  <c r="R1985" i="6"/>
  <c r="Q1984" i="6"/>
  <c r="R1984" i="6"/>
  <c r="Q1983" i="6"/>
  <c r="R1983" i="6"/>
  <c r="Q1982" i="6"/>
  <c r="R1982" i="6"/>
  <c r="Q1981" i="6"/>
  <c r="R1981" i="6"/>
  <c r="Q1980" i="6"/>
  <c r="R1980" i="6"/>
  <c r="Q1979" i="6"/>
  <c r="R1979" i="6"/>
  <c r="Q1978" i="6"/>
  <c r="R1978" i="6"/>
  <c r="Q1977" i="6"/>
  <c r="R1977" i="6"/>
  <c r="Q1976" i="6"/>
  <c r="R1976" i="6"/>
  <c r="Q1975" i="6"/>
  <c r="R1975" i="6"/>
  <c r="Q1974" i="6"/>
  <c r="R1974" i="6"/>
  <c r="Q1973" i="6"/>
  <c r="R1973" i="6"/>
  <c r="Q1972" i="6"/>
  <c r="R1972" i="6"/>
  <c r="Q1971" i="6"/>
  <c r="R1971" i="6"/>
  <c r="Q1970" i="6"/>
  <c r="R1970" i="6"/>
  <c r="Q1969" i="6"/>
  <c r="R1969" i="6"/>
  <c r="Q1968" i="6"/>
  <c r="R1968" i="6"/>
  <c r="Q1967" i="6"/>
  <c r="R1967" i="6"/>
  <c r="Q1966" i="6"/>
  <c r="R1966" i="6"/>
  <c r="Q1965" i="6"/>
  <c r="R1965" i="6"/>
  <c r="Q1964" i="6"/>
  <c r="R1964" i="6"/>
  <c r="Q1963" i="6"/>
  <c r="R1963" i="6"/>
  <c r="Q1962" i="6"/>
  <c r="R1962" i="6"/>
  <c r="Q1961" i="6"/>
  <c r="R1961" i="6"/>
  <c r="Q1960" i="6"/>
  <c r="R1960" i="6"/>
  <c r="Q1959" i="6"/>
  <c r="R1959" i="6"/>
  <c r="Q1958" i="6"/>
  <c r="R1958" i="6"/>
  <c r="Q1957" i="6"/>
  <c r="R1957" i="6"/>
  <c r="Q1956" i="6"/>
  <c r="R1956" i="6"/>
  <c r="Q1955" i="6"/>
  <c r="R1955" i="6"/>
  <c r="Q1954" i="6"/>
  <c r="R1954" i="6"/>
  <c r="Q1953" i="6"/>
  <c r="R1953" i="6"/>
  <c r="Q1952" i="6"/>
  <c r="R1952" i="6"/>
  <c r="Q1951" i="6"/>
  <c r="R1951" i="6"/>
  <c r="Q1950" i="6"/>
  <c r="R1950" i="6"/>
  <c r="Q1949" i="6"/>
  <c r="R1949" i="6"/>
  <c r="Q1948" i="6"/>
  <c r="R1948" i="6"/>
  <c r="Q1947" i="6"/>
  <c r="R1947" i="6"/>
  <c r="Q1946" i="6"/>
  <c r="R1946" i="6"/>
  <c r="Q1945" i="6"/>
  <c r="R1945" i="6"/>
  <c r="Q1944" i="6"/>
  <c r="R1944" i="6"/>
  <c r="Q1943" i="6"/>
  <c r="R1943" i="6"/>
  <c r="Q1942" i="6"/>
  <c r="R1942" i="6"/>
  <c r="Q1941" i="6"/>
  <c r="R1941" i="6"/>
  <c r="Q1940" i="6"/>
  <c r="R1940" i="6"/>
  <c r="Q1939" i="6"/>
  <c r="R1939" i="6"/>
  <c r="Q1938" i="6"/>
  <c r="R1938" i="6"/>
  <c r="Q1937" i="6"/>
  <c r="R1937" i="6"/>
  <c r="Q1936" i="6"/>
  <c r="R1936" i="6"/>
  <c r="Q1935" i="6"/>
  <c r="R1935" i="6"/>
  <c r="Q1934" i="6"/>
  <c r="R1934" i="6"/>
  <c r="Q1933" i="6"/>
  <c r="R1933" i="6"/>
  <c r="Q1932" i="6"/>
  <c r="R1932" i="6"/>
  <c r="Q1931" i="6"/>
  <c r="R1931" i="6"/>
  <c r="Q1930" i="6"/>
  <c r="R1930" i="6"/>
  <c r="Q1929" i="6"/>
  <c r="R1929" i="6"/>
  <c r="Q1928" i="6"/>
  <c r="R1928" i="6"/>
  <c r="Q1927" i="6"/>
  <c r="R1927" i="6"/>
  <c r="Q1926" i="6"/>
  <c r="R1926" i="6"/>
  <c r="Q1925" i="6"/>
  <c r="R1925" i="6"/>
  <c r="Q1924" i="6"/>
  <c r="R1924" i="6"/>
  <c r="Q1923" i="6"/>
  <c r="R1923" i="6"/>
  <c r="Q1922" i="6"/>
  <c r="R1922" i="6"/>
  <c r="Q1921" i="6"/>
  <c r="R1921" i="6"/>
  <c r="Q1920" i="6"/>
  <c r="R1920" i="6"/>
  <c r="Q1919" i="6"/>
  <c r="R1919" i="6"/>
  <c r="Q1918" i="6"/>
  <c r="R1918" i="6"/>
  <c r="Q1917" i="6"/>
  <c r="R1917" i="6"/>
  <c r="Q1916" i="6"/>
  <c r="R1916" i="6"/>
  <c r="Q1915" i="6"/>
  <c r="R1915" i="6"/>
  <c r="Q1914" i="6"/>
  <c r="R1914" i="6"/>
  <c r="Q1913" i="6"/>
  <c r="R1913" i="6"/>
  <c r="Q1912" i="6"/>
  <c r="R1912" i="6"/>
  <c r="Q1911" i="6"/>
  <c r="R1911" i="6"/>
  <c r="Q1910" i="6"/>
  <c r="R1910" i="6"/>
  <c r="Q1909" i="6"/>
  <c r="R1909" i="6"/>
  <c r="Q1908" i="6"/>
  <c r="R1908" i="6"/>
  <c r="Q1907" i="6"/>
  <c r="R1907" i="6"/>
  <c r="Q1906" i="6"/>
  <c r="R1906" i="6"/>
  <c r="Q1905" i="6"/>
  <c r="R1905" i="6"/>
  <c r="Q1904" i="6"/>
  <c r="R1904" i="6"/>
  <c r="Q1903" i="6"/>
  <c r="R1903" i="6"/>
  <c r="Q1902" i="6"/>
  <c r="R1902" i="6"/>
  <c r="Q1901" i="6"/>
  <c r="R1901" i="6"/>
  <c r="Q1900" i="6"/>
  <c r="R1900" i="6"/>
  <c r="Q1899" i="6"/>
  <c r="R1899" i="6"/>
  <c r="Q1898" i="6"/>
  <c r="R1898" i="6"/>
  <c r="Q1897" i="6"/>
  <c r="R1897" i="6"/>
  <c r="Q1896" i="6"/>
  <c r="R1896" i="6"/>
  <c r="Q1895" i="6"/>
  <c r="R1895" i="6"/>
  <c r="Q1894" i="6"/>
  <c r="R1894" i="6"/>
  <c r="Q1893" i="6"/>
  <c r="R1893" i="6"/>
  <c r="Q1892" i="6"/>
  <c r="R1892" i="6"/>
  <c r="Q1891" i="6"/>
  <c r="R1891" i="6"/>
  <c r="Q1890" i="6"/>
  <c r="R1890" i="6"/>
  <c r="Q1889" i="6"/>
  <c r="R1889" i="6"/>
  <c r="Q1888" i="6"/>
  <c r="R1888" i="6"/>
  <c r="Q1887" i="6"/>
  <c r="R1887" i="6"/>
  <c r="Q1886" i="6"/>
  <c r="R1886" i="6"/>
  <c r="Q1885" i="6"/>
  <c r="R1885" i="6"/>
  <c r="Q1884" i="6"/>
  <c r="R1884" i="6"/>
  <c r="Q1883" i="6"/>
  <c r="R1883" i="6"/>
  <c r="Q1882" i="6"/>
  <c r="R1882" i="6"/>
  <c r="Q1881" i="6"/>
  <c r="R1881" i="6"/>
  <c r="Q1880" i="6"/>
  <c r="R1880" i="6"/>
  <c r="Q1879" i="6"/>
  <c r="R1879" i="6"/>
  <c r="Q1878" i="6"/>
  <c r="R1878" i="6"/>
  <c r="Q1877" i="6"/>
  <c r="R1877" i="6"/>
  <c r="Q1876" i="6"/>
  <c r="R1876" i="6"/>
  <c r="Q1875" i="6"/>
  <c r="R1875" i="6"/>
  <c r="Q1874" i="6"/>
  <c r="R1874" i="6"/>
  <c r="Q1873" i="6"/>
  <c r="R1873" i="6"/>
  <c r="Q1872" i="6"/>
  <c r="R1872" i="6"/>
  <c r="Q1871" i="6"/>
  <c r="R1871" i="6"/>
  <c r="Q1870" i="6"/>
  <c r="R1870" i="6"/>
  <c r="Q1869" i="6"/>
  <c r="R1869" i="6"/>
  <c r="Q1868" i="6"/>
  <c r="R1868" i="6"/>
  <c r="Q1867" i="6"/>
  <c r="R1867" i="6"/>
  <c r="Q1866" i="6"/>
  <c r="R1866" i="6"/>
  <c r="Q1865" i="6"/>
  <c r="R1865" i="6"/>
  <c r="Q1864" i="6"/>
  <c r="R1864" i="6"/>
  <c r="Q1863" i="6"/>
  <c r="R1863" i="6"/>
  <c r="Q1862" i="6"/>
  <c r="R1862" i="6"/>
  <c r="Q1861" i="6"/>
  <c r="R1861" i="6"/>
  <c r="Q1860" i="6"/>
  <c r="R1860" i="6"/>
  <c r="Q1859" i="6"/>
  <c r="R1859" i="6"/>
  <c r="Q1858" i="6"/>
  <c r="R1858" i="6"/>
  <c r="Q1857" i="6"/>
  <c r="R1857" i="6"/>
  <c r="Q1856" i="6"/>
  <c r="R1856" i="6"/>
  <c r="Q1855" i="6"/>
  <c r="R1855" i="6"/>
  <c r="Q1854" i="6"/>
  <c r="R1854" i="6"/>
  <c r="Q1853" i="6"/>
  <c r="R1853" i="6"/>
  <c r="Q1852" i="6"/>
  <c r="R1852" i="6"/>
  <c r="Q1851" i="6"/>
  <c r="R1851" i="6"/>
  <c r="Q1850" i="6"/>
  <c r="R1850" i="6"/>
  <c r="Q1849" i="6"/>
  <c r="R1849" i="6"/>
  <c r="Q1848" i="6"/>
  <c r="R1848" i="6"/>
  <c r="Q1847" i="6"/>
  <c r="R1847" i="6"/>
  <c r="Q1846" i="6"/>
  <c r="R1846" i="6"/>
  <c r="Q1845" i="6"/>
  <c r="R1845" i="6"/>
  <c r="Q1844" i="6"/>
  <c r="R1844" i="6"/>
  <c r="Q1843" i="6"/>
  <c r="R1843" i="6"/>
  <c r="Q1842" i="6"/>
  <c r="R1842" i="6"/>
  <c r="Q1841" i="6"/>
  <c r="R1841" i="6"/>
  <c r="Q1840" i="6"/>
  <c r="R1840" i="6"/>
  <c r="Q1839" i="6"/>
  <c r="R1839" i="6"/>
  <c r="Q1838" i="6"/>
  <c r="R1838" i="6"/>
  <c r="Q1837" i="6"/>
  <c r="R1837" i="6"/>
  <c r="Q1836" i="6"/>
  <c r="R1836" i="6"/>
  <c r="Q1835" i="6"/>
  <c r="R1835" i="6"/>
  <c r="Q1834" i="6"/>
  <c r="R1834" i="6"/>
  <c r="Q1833" i="6"/>
  <c r="R1833" i="6"/>
  <c r="Q1832" i="6"/>
  <c r="R1832" i="6"/>
  <c r="Q1831" i="6"/>
  <c r="R1831" i="6"/>
  <c r="Q1830" i="6"/>
  <c r="R1830" i="6"/>
  <c r="Q1829" i="6"/>
  <c r="R1829" i="6"/>
  <c r="Q1828" i="6"/>
  <c r="R1828" i="6"/>
  <c r="Q1827" i="6"/>
  <c r="R1827" i="6"/>
  <c r="Q1826" i="6"/>
  <c r="R1826" i="6"/>
  <c r="Q1825" i="6"/>
  <c r="R1825" i="6"/>
  <c r="Q1824" i="6"/>
  <c r="R1824" i="6"/>
  <c r="Q1823" i="6"/>
  <c r="R1823" i="6"/>
  <c r="Q1822" i="6"/>
  <c r="R1822" i="6"/>
  <c r="Q1821" i="6"/>
  <c r="R1821" i="6"/>
  <c r="Q1820" i="6"/>
  <c r="R1820" i="6"/>
  <c r="Q1819" i="6"/>
  <c r="R1819" i="6"/>
  <c r="Q1818" i="6"/>
  <c r="R1818" i="6"/>
  <c r="Q1817" i="6"/>
  <c r="R1817" i="6"/>
  <c r="Q1816" i="6"/>
  <c r="R1816" i="6"/>
  <c r="Q1815" i="6"/>
  <c r="R1815" i="6"/>
  <c r="Q1814" i="6"/>
  <c r="R1814" i="6"/>
  <c r="Q1813" i="6"/>
  <c r="R1813" i="6"/>
  <c r="Q1812" i="6"/>
  <c r="R1812" i="6"/>
  <c r="Q1811" i="6"/>
  <c r="R1811" i="6"/>
  <c r="Q1810" i="6"/>
  <c r="R1810" i="6"/>
  <c r="Q1809" i="6"/>
  <c r="R1809" i="6"/>
  <c r="Q1808" i="6"/>
  <c r="R1808" i="6"/>
  <c r="Q1807" i="6"/>
  <c r="R1807" i="6"/>
  <c r="Q1806" i="6"/>
  <c r="R1806" i="6"/>
  <c r="Q1805" i="6"/>
  <c r="R1805" i="6"/>
  <c r="Q1804" i="6"/>
  <c r="R1804" i="6"/>
  <c r="Q1803" i="6"/>
  <c r="R1803" i="6"/>
  <c r="Q1802" i="6"/>
  <c r="R1802" i="6"/>
  <c r="Q1801" i="6"/>
  <c r="R1801" i="6"/>
  <c r="Q1800" i="6"/>
  <c r="R1800" i="6"/>
  <c r="Q1799" i="6"/>
  <c r="R1799" i="6"/>
  <c r="Q1798" i="6"/>
  <c r="R1798" i="6"/>
  <c r="Q1797" i="6"/>
  <c r="R1797" i="6"/>
  <c r="Q1796" i="6"/>
  <c r="R1796" i="6"/>
  <c r="Q1795" i="6"/>
  <c r="R1795" i="6"/>
  <c r="Q1794" i="6"/>
  <c r="R1794" i="6"/>
  <c r="Q1793" i="6"/>
  <c r="R1793" i="6"/>
  <c r="Q1792" i="6"/>
  <c r="R1792" i="6"/>
  <c r="Q1791" i="6"/>
  <c r="R1791" i="6"/>
  <c r="Q1790" i="6"/>
  <c r="R1790" i="6"/>
  <c r="Q1789" i="6"/>
  <c r="R1789" i="6"/>
  <c r="Q1788" i="6"/>
  <c r="R1788" i="6"/>
  <c r="Q1787" i="6"/>
  <c r="R1787" i="6"/>
  <c r="Q1786" i="6"/>
  <c r="R1786" i="6"/>
  <c r="Q1785" i="6"/>
  <c r="R1785" i="6"/>
  <c r="Q1784" i="6"/>
  <c r="R1784" i="6"/>
  <c r="Q1783" i="6"/>
  <c r="R1783" i="6"/>
  <c r="Q1782" i="6"/>
  <c r="R1782" i="6"/>
  <c r="Q1781" i="6"/>
  <c r="R1781" i="6"/>
  <c r="Q1780" i="6"/>
  <c r="R1780" i="6"/>
  <c r="Q1779" i="6"/>
  <c r="R1779" i="6"/>
  <c r="Q1778" i="6"/>
  <c r="R1778" i="6"/>
  <c r="Q1777" i="6"/>
  <c r="R1777" i="6"/>
  <c r="Q1776" i="6"/>
  <c r="R1776" i="6"/>
  <c r="Q1775" i="6"/>
  <c r="R1775" i="6"/>
  <c r="Q1774" i="6"/>
  <c r="R1774" i="6"/>
  <c r="Q1773" i="6"/>
  <c r="R1773" i="6"/>
  <c r="Q1772" i="6"/>
  <c r="R1772" i="6"/>
  <c r="Q1771" i="6"/>
  <c r="R1771" i="6"/>
  <c r="Q1770" i="6"/>
  <c r="R1770" i="6"/>
  <c r="Q1769" i="6"/>
  <c r="R1769" i="6"/>
  <c r="Q1768" i="6"/>
  <c r="R1768" i="6"/>
  <c r="Q1767" i="6"/>
  <c r="R1767" i="6"/>
  <c r="Q1766" i="6"/>
  <c r="R1766" i="6"/>
  <c r="Q1765" i="6"/>
  <c r="R1765" i="6"/>
  <c r="Q1764" i="6"/>
  <c r="R1764" i="6"/>
  <c r="Q1763" i="6"/>
  <c r="R1763" i="6"/>
  <c r="Q1762" i="6"/>
  <c r="R1762" i="6"/>
  <c r="Q1761" i="6"/>
  <c r="R1761" i="6"/>
  <c r="Q1760" i="6"/>
  <c r="R1760" i="6"/>
  <c r="Q1759" i="6"/>
  <c r="R1759" i="6"/>
  <c r="Q1758" i="6"/>
  <c r="R1758" i="6"/>
  <c r="Q1757" i="6"/>
  <c r="R1757" i="6"/>
  <c r="Q1756" i="6"/>
  <c r="R1756" i="6"/>
  <c r="Q1755" i="6"/>
  <c r="R1755" i="6"/>
  <c r="Q1754" i="6"/>
  <c r="R1754" i="6"/>
  <c r="Q1753" i="6"/>
  <c r="R1753" i="6"/>
  <c r="Q1752" i="6"/>
  <c r="R1752" i="6"/>
  <c r="Q1751" i="6"/>
  <c r="R1751" i="6"/>
  <c r="Q1750" i="6"/>
  <c r="R1750" i="6"/>
  <c r="Q1749" i="6"/>
  <c r="R1749" i="6"/>
  <c r="Q1748" i="6"/>
  <c r="R1748" i="6"/>
  <c r="Q1747" i="6"/>
  <c r="R1747" i="6"/>
  <c r="Q1746" i="6"/>
  <c r="R1746" i="6"/>
  <c r="Q1745" i="6"/>
  <c r="R1745" i="6"/>
  <c r="Q1744" i="6"/>
  <c r="R1744" i="6"/>
  <c r="Q1743" i="6"/>
  <c r="R1743" i="6"/>
  <c r="Q1742" i="6"/>
  <c r="R1742" i="6"/>
  <c r="Q1741" i="6"/>
  <c r="R1741" i="6"/>
  <c r="Q1740" i="6"/>
  <c r="R1740" i="6"/>
  <c r="Q1739" i="6"/>
  <c r="R1739" i="6"/>
  <c r="Q1738" i="6"/>
  <c r="R1738" i="6"/>
  <c r="Q1737" i="6"/>
  <c r="R1737" i="6"/>
  <c r="Q1736" i="6"/>
  <c r="R1736" i="6"/>
  <c r="Q1735" i="6"/>
  <c r="R1735" i="6"/>
  <c r="Q1734" i="6"/>
  <c r="R1734" i="6"/>
  <c r="Q1733" i="6"/>
  <c r="R1733" i="6"/>
  <c r="Q1732" i="6"/>
  <c r="R1732" i="6"/>
  <c r="Q1731" i="6"/>
  <c r="R1731" i="6"/>
  <c r="Q1730" i="6"/>
  <c r="R1730" i="6"/>
  <c r="Q1729" i="6"/>
  <c r="R1729" i="6"/>
  <c r="Q1728" i="6"/>
  <c r="R1728" i="6"/>
  <c r="Q1727" i="6"/>
  <c r="R1727" i="6"/>
  <c r="Q1726" i="6"/>
  <c r="R1726" i="6"/>
  <c r="Q1725" i="6"/>
  <c r="R1725" i="6"/>
  <c r="Q1724" i="6"/>
  <c r="R1724" i="6"/>
  <c r="Q1723" i="6"/>
  <c r="R1723" i="6"/>
  <c r="Q1722" i="6"/>
  <c r="R1722" i="6"/>
  <c r="Q1721" i="6"/>
  <c r="R1721" i="6"/>
  <c r="Q1720" i="6"/>
  <c r="R1720" i="6"/>
  <c r="Q1719" i="6"/>
  <c r="R1719" i="6"/>
  <c r="Q1718" i="6"/>
  <c r="R1718" i="6"/>
  <c r="Q1717" i="6"/>
  <c r="R1717" i="6"/>
  <c r="Q1716" i="6"/>
  <c r="R1716" i="6"/>
  <c r="Q1715" i="6"/>
  <c r="R1715" i="6"/>
  <c r="Q1714" i="6"/>
  <c r="R1714" i="6"/>
  <c r="Q1713" i="6"/>
  <c r="R1713" i="6"/>
  <c r="Q1712" i="6"/>
  <c r="R1712" i="6"/>
  <c r="Q1711" i="6"/>
  <c r="R1711" i="6"/>
  <c r="Q1710" i="6"/>
  <c r="R1710" i="6"/>
  <c r="Q1709" i="6"/>
  <c r="R1709" i="6"/>
  <c r="Q1708" i="6"/>
  <c r="R1708" i="6"/>
  <c r="Q1707" i="6"/>
  <c r="R1707" i="6"/>
  <c r="Q1706" i="6"/>
  <c r="R1706" i="6"/>
  <c r="Q1705" i="6"/>
  <c r="R1705" i="6"/>
  <c r="Q1704" i="6"/>
  <c r="R1704" i="6"/>
  <c r="Q1703" i="6"/>
  <c r="R1703" i="6"/>
  <c r="Q1702" i="6"/>
  <c r="R1702" i="6"/>
  <c r="Q1701" i="6"/>
  <c r="R1701" i="6"/>
  <c r="Q1700" i="6"/>
  <c r="R1700" i="6"/>
  <c r="Q1699" i="6"/>
  <c r="R1699" i="6"/>
  <c r="Q1698" i="6"/>
  <c r="R1698" i="6"/>
  <c r="Q1697" i="6"/>
  <c r="R1697" i="6"/>
  <c r="Q1696" i="6"/>
  <c r="R1696" i="6"/>
  <c r="Q1695" i="6"/>
  <c r="R1695" i="6"/>
  <c r="Q1694" i="6"/>
  <c r="R1694" i="6"/>
  <c r="Q1693" i="6"/>
  <c r="R1693" i="6"/>
  <c r="Q1692" i="6"/>
  <c r="R1692" i="6"/>
  <c r="Q1691" i="6"/>
  <c r="R1691" i="6"/>
  <c r="Q1690" i="6"/>
  <c r="R1690" i="6"/>
  <c r="Q1689" i="6"/>
  <c r="R1689" i="6"/>
  <c r="Q1688" i="6"/>
  <c r="R1688" i="6"/>
  <c r="Q1687" i="6"/>
  <c r="R1687" i="6"/>
  <c r="Q1686" i="6"/>
  <c r="R1686" i="6"/>
  <c r="Q1685" i="6"/>
  <c r="R1685" i="6"/>
  <c r="Q1684" i="6"/>
  <c r="R1684" i="6"/>
  <c r="Q1683" i="6"/>
  <c r="R1683" i="6"/>
  <c r="Q1682" i="6"/>
  <c r="R1682" i="6"/>
  <c r="Q1681" i="6"/>
  <c r="R1681" i="6"/>
  <c r="Q1680" i="6"/>
  <c r="R1680" i="6"/>
  <c r="Q1679" i="6"/>
  <c r="R1679" i="6"/>
  <c r="Q1678" i="6"/>
  <c r="R1678" i="6"/>
  <c r="Q1677" i="6"/>
  <c r="R1677" i="6"/>
  <c r="Q1676" i="6"/>
  <c r="R1676" i="6"/>
  <c r="Q1675" i="6"/>
  <c r="R1675" i="6"/>
  <c r="Q1674" i="6"/>
  <c r="R1674" i="6"/>
  <c r="Q1673" i="6"/>
  <c r="R1673" i="6"/>
  <c r="Q1672" i="6"/>
  <c r="R1672" i="6"/>
  <c r="Q1671" i="6"/>
  <c r="R1671" i="6"/>
  <c r="Q1670" i="6"/>
  <c r="R1670" i="6"/>
  <c r="Q1669" i="6"/>
  <c r="R1669" i="6"/>
  <c r="Q1668" i="6"/>
  <c r="R1668" i="6"/>
  <c r="Q1667" i="6"/>
  <c r="R1667" i="6"/>
  <c r="Q1666" i="6"/>
  <c r="R1666" i="6"/>
  <c r="Q1665" i="6"/>
  <c r="R1665" i="6"/>
  <c r="Q1664" i="6"/>
  <c r="R1664" i="6"/>
  <c r="Q1663" i="6"/>
  <c r="R1663" i="6"/>
  <c r="Q1662" i="6"/>
  <c r="R1662" i="6"/>
  <c r="Q1661" i="6"/>
  <c r="R1661" i="6"/>
  <c r="Q1660" i="6"/>
  <c r="R1660" i="6"/>
  <c r="Q1659" i="6"/>
  <c r="R1659" i="6"/>
  <c r="Q1658" i="6"/>
  <c r="R1658" i="6"/>
  <c r="Q1657" i="6"/>
  <c r="R1657" i="6"/>
  <c r="Q1656" i="6"/>
  <c r="R1656" i="6"/>
  <c r="Q1655" i="6"/>
  <c r="R1655" i="6"/>
  <c r="Q1654" i="6"/>
  <c r="R1654" i="6"/>
  <c r="Q1653" i="6"/>
  <c r="R1653" i="6"/>
  <c r="Q1652" i="6"/>
  <c r="R1652" i="6"/>
  <c r="Q1651" i="6"/>
  <c r="R1651" i="6"/>
  <c r="Q1650" i="6"/>
  <c r="R1650" i="6"/>
  <c r="Q1649" i="6"/>
  <c r="R1649" i="6"/>
  <c r="Q1648" i="6"/>
  <c r="R1648" i="6"/>
  <c r="Q1647" i="6"/>
  <c r="R1647" i="6"/>
  <c r="Q1646" i="6"/>
  <c r="R1646" i="6"/>
  <c r="Q1645" i="6"/>
  <c r="R1645" i="6"/>
  <c r="Q1644" i="6"/>
  <c r="R1644" i="6"/>
  <c r="Q1643" i="6"/>
  <c r="R1643" i="6"/>
  <c r="Q1642" i="6"/>
  <c r="R1642" i="6"/>
  <c r="Q1641" i="6"/>
  <c r="R1641" i="6"/>
  <c r="Q1640" i="6"/>
  <c r="R1640" i="6"/>
  <c r="Q1639" i="6"/>
  <c r="R1639" i="6"/>
  <c r="Q1638" i="6"/>
  <c r="R1638" i="6"/>
  <c r="Q1637" i="6"/>
  <c r="R1637" i="6"/>
  <c r="Q1636" i="6"/>
  <c r="R1636" i="6"/>
  <c r="Q1635" i="6"/>
  <c r="R1635" i="6"/>
  <c r="Q1634" i="6"/>
  <c r="R1634" i="6"/>
  <c r="Q1633" i="6"/>
  <c r="R1633" i="6"/>
  <c r="Q1632" i="6"/>
  <c r="R1632" i="6"/>
  <c r="Q1631" i="6"/>
  <c r="R1631" i="6"/>
  <c r="Q1630" i="6"/>
  <c r="R1630" i="6"/>
  <c r="Q1629" i="6"/>
  <c r="R1629" i="6"/>
  <c r="Q1628" i="6"/>
  <c r="R1628" i="6"/>
  <c r="Q1627" i="6"/>
  <c r="R1627" i="6"/>
  <c r="Q1626" i="6"/>
  <c r="R1626" i="6"/>
  <c r="Q1625" i="6"/>
  <c r="R1625" i="6"/>
  <c r="Q1624" i="6"/>
  <c r="R1624" i="6"/>
  <c r="Q1623" i="6"/>
  <c r="R1623" i="6"/>
  <c r="Q1622" i="6"/>
  <c r="R1622" i="6"/>
  <c r="Q1621" i="6"/>
  <c r="R1621" i="6"/>
  <c r="Q1620" i="6"/>
  <c r="R1620" i="6"/>
  <c r="Q1619" i="6"/>
  <c r="R1619" i="6"/>
  <c r="Q1618" i="6"/>
  <c r="R1618" i="6"/>
  <c r="Q1617" i="6"/>
  <c r="R1617" i="6"/>
  <c r="Q1616" i="6"/>
  <c r="R1616" i="6"/>
  <c r="Q1615" i="6"/>
  <c r="R1615" i="6"/>
  <c r="Q1614" i="6"/>
  <c r="R1614" i="6"/>
  <c r="Q1613" i="6"/>
  <c r="R1613" i="6"/>
  <c r="Q1612" i="6"/>
  <c r="R1612" i="6"/>
  <c r="Q1611" i="6"/>
  <c r="R1611" i="6"/>
  <c r="Q1610" i="6"/>
  <c r="R1610" i="6"/>
  <c r="Q1609" i="6"/>
  <c r="R1609" i="6"/>
  <c r="Q1608" i="6"/>
  <c r="R1608" i="6"/>
  <c r="Q1607" i="6"/>
  <c r="R1607" i="6"/>
  <c r="Q1606" i="6"/>
  <c r="R1606" i="6"/>
  <c r="Q1605" i="6"/>
  <c r="R1605" i="6"/>
  <c r="Q1604" i="6"/>
  <c r="R1604" i="6"/>
  <c r="Q1603" i="6"/>
  <c r="R1603" i="6"/>
  <c r="Q1602" i="6"/>
  <c r="R1602" i="6"/>
  <c r="Q1601" i="6"/>
  <c r="R1601" i="6"/>
  <c r="Q1600" i="6"/>
  <c r="R1600" i="6"/>
  <c r="Q1599" i="6"/>
  <c r="R1599" i="6"/>
  <c r="Q1598" i="6"/>
  <c r="R1598" i="6"/>
  <c r="Q1597" i="6"/>
  <c r="R1597" i="6"/>
  <c r="Q1596" i="6"/>
  <c r="R1596" i="6"/>
  <c r="Q1595" i="6"/>
  <c r="R1595" i="6"/>
  <c r="Q1594" i="6"/>
  <c r="R1594" i="6"/>
  <c r="Q1593" i="6"/>
  <c r="R1593" i="6"/>
  <c r="Q1592" i="6"/>
  <c r="R1592" i="6"/>
  <c r="Q1591" i="6"/>
  <c r="R1591" i="6"/>
  <c r="Q1590" i="6"/>
  <c r="R1590" i="6"/>
  <c r="Q1589" i="6"/>
  <c r="R1589" i="6"/>
  <c r="Q1588" i="6"/>
  <c r="R1588" i="6"/>
  <c r="Q1587" i="6"/>
  <c r="R1587" i="6"/>
  <c r="Q1586" i="6"/>
  <c r="R1586" i="6"/>
  <c r="Q1585" i="6"/>
  <c r="R1585" i="6"/>
  <c r="Q1584" i="6"/>
  <c r="R1584" i="6"/>
  <c r="Q1583" i="6"/>
  <c r="R1583" i="6"/>
  <c r="Q1582" i="6"/>
  <c r="R1582" i="6"/>
  <c r="Q1581" i="6"/>
  <c r="R1581" i="6"/>
  <c r="Q1580" i="6"/>
  <c r="R1580" i="6"/>
  <c r="Q1579" i="6"/>
  <c r="R1579" i="6"/>
  <c r="Q1578" i="6"/>
  <c r="R1578" i="6"/>
  <c r="Q1577" i="6"/>
  <c r="R1577" i="6"/>
  <c r="Q1576" i="6"/>
  <c r="R1576" i="6"/>
  <c r="Q1575" i="6"/>
  <c r="R1575" i="6"/>
  <c r="Q1574" i="6"/>
  <c r="R1574" i="6"/>
  <c r="Q1573" i="6"/>
  <c r="R1573" i="6"/>
  <c r="Q1572" i="6"/>
  <c r="R1572" i="6"/>
  <c r="Q1571" i="6"/>
  <c r="R1571" i="6"/>
  <c r="Q1570" i="6"/>
  <c r="R1570" i="6"/>
  <c r="Q1569" i="6"/>
  <c r="R1569" i="6"/>
  <c r="Q1568" i="6"/>
  <c r="R1568" i="6"/>
  <c r="Q1567" i="6"/>
  <c r="R1567" i="6"/>
  <c r="Q1566" i="6"/>
  <c r="R1566" i="6"/>
  <c r="Q1565" i="6"/>
  <c r="R1565" i="6"/>
  <c r="Q1564" i="6"/>
  <c r="R1564" i="6"/>
  <c r="Q1563" i="6"/>
  <c r="R1563" i="6"/>
  <c r="Q1562" i="6"/>
  <c r="R1562" i="6"/>
  <c r="Q1561" i="6"/>
  <c r="R1561" i="6"/>
  <c r="Q1560" i="6"/>
  <c r="R1560" i="6"/>
  <c r="Q1559" i="6"/>
  <c r="R1559" i="6"/>
  <c r="Q1558" i="6"/>
  <c r="R1558" i="6"/>
  <c r="Q1557" i="6"/>
  <c r="R1557" i="6"/>
  <c r="Q1556" i="6"/>
  <c r="R1556" i="6"/>
  <c r="Q1555" i="6"/>
  <c r="R1555" i="6"/>
  <c r="Q1554" i="6"/>
  <c r="R1554" i="6"/>
  <c r="Q1553" i="6"/>
  <c r="R1553" i="6"/>
  <c r="Q1552" i="6"/>
  <c r="R1552" i="6"/>
  <c r="Q1551" i="6"/>
  <c r="R1551" i="6"/>
  <c r="Q1550" i="6"/>
  <c r="R1550" i="6"/>
  <c r="Q1549" i="6"/>
  <c r="R1549" i="6"/>
  <c r="Q1548" i="6"/>
  <c r="R1548" i="6"/>
  <c r="Q1547" i="6"/>
  <c r="R1547" i="6"/>
  <c r="Q1546" i="6"/>
  <c r="R1546" i="6"/>
  <c r="Q1545" i="6"/>
  <c r="R1545" i="6"/>
  <c r="Q1544" i="6"/>
  <c r="R1544" i="6"/>
  <c r="Q1543" i="6"/>
  <c r="R1543" i="6"/>
  <c r="Q1542" i="6"/>
  <c r="R1542" i="6"/>
  <c r="Q1541" i="6"/>
  <c r="R1541" i="6"/>
  <c r="Q1540" i="6"/>
  <c r="R1540" i="6"/>
  <c r="Q1539" i="6"/>
  <c r="R1539" i="6"/>
  <c r="Q1538" i="6"/>
  <c r="R1538" i="6"/>
  <c r="Q1537" i="6"/>
  <c r="R1537" i="6"/>
  <c r="Q1536" i="6"/>
  <c r="R1536" i="6"/>
  <c r="Q1535" i="6"/>
  <c r="R1535" i="6"/>
  <c r="Q1534" i="6"/>
  <c r="R1534" i="6"/>
  <c r="Q1533" i="6"/>
  <c r="R1533" i="6"/>
  <c r="Q1532" i="6"/>
  <c r="R1532" i="6"/>
  <c r="Q1531" i="6"/>
  <c r="R1531" i="6"/>
  <c r="Q1530" i="6"/>
  <c r="R1530" i="6"/>
  <c r="Q1529" i="6"/>
  <c r="R1529" i="6"/>
  <c r="Q1528" i="6"/>
  <c r="R1528" i="6"/>
  <c r="Q1527" i="6"/>
  <c r="R1527" i="6"/>
  <c r="Q1526" i="6"/>
  <c r="R1526" i="6"/>
  <c r="Q1525" i="6"/>
  <c r="R1525" i="6"/>
  <c r="Q1524" i="6"/>
  <c r="R1524" i="6"/>
  <c r="Q1523" i="6"/>
  <c r="R1523" i="6"/>
  <c r="Q1522" i="6"/>
  <c r="R1522" i="6"/>
  <c r="Q1521" i="6"/>
  <c r="R1521" i="6"/>
  <c r="Q1520" i="6"/>
  <c r="R1520" i="6"/>
  <c r="Q1519" i="6"/>
  <c r="R1519" i="6"/>
  <c r="Q1518" i="6"/>
  <c r="R1518" i="6"/>
  <c r="Q1517" i="6"/>
  <c r="R1517" i="6"/>
  <c r="Q1516" i="6"/>
  <c r="R1516" i="6"/>
  <c r="Q1515" i="6"/>
  <c r="R1515" i="6"/>
  <c r="Q1514" i="6"/>
  <c r="R1514" i="6"/>
  <c r="Q1513" i="6"/>
  <c r="R1513" i="6"/>
  <c r="Q1512" i="6"/>
  <c r="R1512" i="6"/>
  <c r="Q1511" i="6"/>
  <c r="R1511" i="6"/>
  <c r="Q1510" i="6"/>
  <c r="R1510" i="6"/>
  <c r="Q1509" i="6"/>
  <c r="R1509" i="6"/>
  <c r="Q1508" i="6"/>
  <c r="R1508" i="6"/>
  <c r="Q1507" i="6"/>
  <c r="R1507" i="6"/>
  <c r="Q1506" i="6"/>
  <c r="R1506" i="6"/>
  <c r="Q1505" i="6"/>
  <c r="R1505" i="6"/>
  <c r="Q1504" i="6"/>
  <c r="R1504" i="6"/>
  <c r="Q1503" i="6"/>
  <c r="R1503" i="6"/>
  <c r="Q1502" i="6"/>
  <c r="R1502" i="6"/>
  <c r="Q1501" i="6"/>
  <c r="R1501" i="6"/>
  <c r="Q1500" i="6"/>
  <c r="R1500" i="6"/>
  <c r="Q1499" i="6"/>
  <c r="R1499" i="6"/>
  <c r="Q1498" i="6"/>
  <c r="R1498" i="6"/>
  <c r="Q1497" i="6"/>
  <c r="R1497" i="6"/>
  <c r="Q1496" i="6"/>
  <c r="R1496" i="6"/>
  <c r="Q1495" i="6"/>
  <c r="R1495" i="6"/>
  <c r="Q1494" i="6"/>
  <c r="R1494" i="6"/>
  <c r="Q1493" i="6"/>
  <c r="R1493" i="6"/>
  <c r="Q1492" i="6"/>
  <c r="R1492" i="6"/>
  <c r="Q1491" i="6"/>
  <c r="R1491" i="6"/>
  <c r="Q1490" i="6"/>
  <c r="R1490" i="6"/>
  <c r="Q1489" i="6"/>
  <c r="R1489" i="6"/>
  <c r="Q1488" i="6"/>
  <c r="R1488" i="6"/>
  <c r="Q1487" i="6"/>
  <c r="R1487" i="6"/>
  <c r="Q1486" i="6"/>
  <c r="R1486" i="6"/>
  <c r="Q1485" i="6"/>
  <c r="R1485" i="6"/>
  <c r="Q1484" i="6"/>
  <c r="R1484" i="6"/>
  <c r="Q1483" i="6"/>
  <c r="R1483" i="6"/>
  <c r="Q1482" i="6"/>
  <c r="R1482" i="6"/>
  <c r="Q1481" i="6"/>
  <c r="R1481" i="6"/>
  <c r="Q1480" i="6"/>
  <c r="R1480" i="6"/>
  <c r="Q1479" i="6"/>
  <c r="R1479" i="6"/>
  <c r="Q1478" i="6"/>
  <c r="R1478" i="6"/>
  <c r="Q1477" i="6"/>
  <c r="R1477" i="6"/>
  <c r="Q1476" i="6"/>
  <c r="R1476" i="6"/>
  <c r="Q1475" i="6"/>
  <c r="R1475" i="6"/>
  <c r="Q1474" i="6"/>
  <c r="R1474" i="6"/>
  <c r="Q1473" i="6"/>
  <c r="R1473" i="6"/>
  <c r="Q1472" i="6"/>
  <c r="R1472" i="6"/>
  <c r="Q1471" i="6"/>
  <c r="R1471" i="6"/>
  <c r="Q1470" i="6"/>
  <c r="R1470" i="6"/>
  <c r="Q1469" i="6"/>
  <c r="R1469" i="6"/>
  <c r="Q1468" i="6"/>
  <c r="R1468" i="6"/>
  <c r="Q1467" i="6"/>
  <c r="R1467" i="6"/>
  <c r="Q1466" i="6"/>
  <c r="R1466" i="6"/>
  <c r="Q1465" i="6"/>
  <c r="R1465" i="6"/>
  <c r="Q1464" i="6"/>
  <c r="R1464" i="6"/>
  <c r="Q1463" i="6"/>
  <c r="R1463" i="6"/>
  <c r="Q1462" i="6"/>
  <c r="R1462" i="6"/>
  <c r="Q1461" i="6"/>
  <c r="R1461" i="6"/>
  <c r="Q1460" i="6"/>
  <c r="R1460" i="6"/>
  <c r="Q1459" i="6"/>
  <c r="R1459" i="6"/>
  <c r="Q1458" i="6"/>
  <c r="R1458" i="6"/>
  <c r="Q1457" i="6"/>
  <c r="R1457" i="6"/>
  <c r="Q1456" i="6"/>
  <c r="R1456" i="6"/>
  <c r="Q1455" i="6"/>
  <c r="R1455" i="6"/>
  <c r="Q1454" i="6"/>
  <c r="R1454" i="6"/>
  <c r="Q1453" i="6"/>
  <c r="R1453" i="6"/>
  <c r="Q1452" i="6"/>
  <c r="R1452" i="6"/>
  <c r="Q1451" i="6"/>
  <c r="R1451" i="6"/>
  <c r="Q1450" i="6"/>
  <c r="R1450" i="6"/>
  <c r="Q1449" i="6"/>
  <c r="R1449" i="6"/>
  <c r="Q1448" i="6"/>
  <c r="R1448" i="6"/>
  <c r="Q1447" i="6"/>
  <c r="R1447" i="6"/>
  <c r="Q1446" i="6"/>
  <c r="R1446" i="6"/>
  <c r="Q1445" i="6"/>
  <c r="R1445" i="6"/>
  <c r="Q1444" i="6"/>
  <c r="R1444" i="6"/>
  <c r="Q1443" i="6"/>
  <c r="R1443" i="6"/>
  <c r="Q1442" i="6"/>
  <c r="R1442" i="6"/>
  <c r="Q1441" i="6"/>
  <c r="R1441" i="6"/>
  <c r="Q1440" i="6"/>
  <c r="R1440" i="6"/>
  <c r="Q1439" i="6"/>
  <c r="R1439" i="6"/>
  <c r="Q1438" i="6"/>
  <c r="R1438" i="6"/>
  <c r="Q1437" i="6"/>
  <c r="R1437" i="6"/>
  <c r="Q1436" i="6"/>
  <c r="R1436" i="6"/>
  <c r="Q1435" i="6"/>
  <c r="R1435" i="6"/>
  <c r="Q1434" i="6"/>
  <c r="R1434" i="6"/>
  <c r="Q1433" i="6"/>
  <c r="R1433" i="6"/>
  <c r="Q1432" i="6"/>
  <c r="R1432" i="6"/>
  <c r="Q1431" i="6"/>
  <c r="R1431" i="6"/>
  <c r="Q1430" i="6"/>
  <c r="R1430" i="6"/>
  <c r="Q1429" i="6"/>
  <c r="R1429" i="6"/>
  <c r="Q1428" i="6"/>
  <c r="R1428" i="6"/>
  <c r="Q1427" i="6"/>
  <c r="R1427" i="6"/>
  <c r="Q1426" i="6"/>
  <c r="R1426" i="6"/>
  <c r="Q1425" i="6"/>
  <c r="R1425" i="6"/>
  <c r="Q1424" i="6"/>
  <c r="R1424" i="6"/>
  <c r="Q1423" i="6"/>
  <c r="R1423" i="6"/>
  <c r="Q1422" i="6"/>
  <c r="R1422" i="6"/>
  <c r="Q1421" i="6"/>
  <c r="R1421" i="6"/>
  <c r="Q1420" i="6"/>
  <c r="R1420" i="6"/>
  <c r="Q1419" i="6"/>
  <c r="R1419" i="6"/>
  <c r="Q1418" i="6"/>
  <c r="R1418" i="6"/>
  <c r="Q1417" i="6"/>
  <c r="R1417" i="6"/>
  <c r="Q1416" i="6"/>
  <c r="R1416" i="6"/>
  <c r="Q1415" i="6"/>
  <c r="R1415" i="6"/>
  <c r="Q1414" i="6"/>
  <c r="R1414" i="6"/>
  <c r="Q1413" i="6"/>
  <c r="R1413" i="6"/>
  <c r="Q1412" i="6"/>
  <c r="R1412" i="6"/>
  <c r="Q1411" i="6"/>
  <c r="R1411" i="6"/>
  <c r="Q1410" i="6"/>
  <c r="R1410" i="6"/>
  <c r="Q1409" i="6"/>
  <c r="R1409" i="6"/>
  <c r="Q1408" i="6"/>
  <c r="R1408" i="6"/>
  <c r="Q1407" i="6"/>
  <c r="R1407" i="6"/>
  <c r="Q1406" i="6"/>
  <c r="R1406" i="6"/>
  <c r="Q1405" i="6"/>
  <c r="R1405" i="6"/>
  <c r="Q1404" i="6"/>
  <c r="R1404" i="6"/>
  <c r="Q1403" i="6"/>
  <c r="R1403" i="6"/>
  <c r="Q1402" i="6"/>
  <c r="R1402" i="6"/>
  <c r="Q1401" i="6"/>
  <c r="R1401" i="6"/>
  <c r="Q1400" i="6"/>
  <c r="R1400" i="6"/>
  <c r="Q1399" i="6"/>
  <c r="R1399" i="6"/>
  <c r="Q1398" i="6"/>
  <c r="R1398" i="6"/>
  <c r="Q1397" i="6"/>
  <c r="R1397" i="6"/>
  <c r="Q1396" i="6"/>
  <c r="R1396" i="6"/>
  <c r="Q1395" i="6"/>
  <c r="R1395" i="6"/>
  <c r="Q1394" i="6"/>
  <c r="R1394" i="6"/>
  <c r="Q1393" i="6"/>
  <c r="R1393" i="6"/>
  <c r="Q1392" i="6"/>
  <c r="R1392" i="6"/>
  <c r="Q1391" i="6"/>
  <c r="R1391" i="6"/>
  <c r="Q1390" i="6"/>
  <c r="R1390" i="6"/>
  <c r="Q1389" i="6"/>
  <c r="R1389" i="6"/>
  <c r="Q1388" i="6"/>
  <c r="R1388" i="6"/>
  <c r="Q1387" i="6"/>
  <c r="R1387" i="6"/>
  <c r="Q1386" i="6"/>
  <c r="R1386" i="6"/>
  <c r="Q1385" i="6"/>
  <c r="R1385" i="6"/>
  <c r="Q1384" i="6"/>
  <c r="R1384" i="6"/>
  <c r="Q1383" i="6"/>
  <c r="R1383" i="6"/>
  <c r="Q1382" i="6"/>
  <c r="R1382" i="6"/>
  <c r="Q1381" i="6"/>
  <c r="R1381" i="6"/>
  <c r="Q1380" i="6"/>
  <c r="R1380" i="6"/>
  <c r="Q1379" i="6"/>
  <c r="R1379" i="6"/>
  <c r="Q1378" i="6"/>
  <c r="R1378" i="6"/>
  <c r="Q1377" i="6"/>
  <c r="R1377" i="6"/>
  <c r="Q1376" i="6"/>
  <c r="R1376" i="6"/>
  <c r="Q1375" i="6"/>
  <c r="R1375" i="6"/>
  <c r="Q1374" i="6"/>
  <c r="R1374" i="6"/>
  <c r="Q1373" i="6"/>
  <c r="R1373" i="6"/>
  <c r="Q1372" i="6"/>
  <c r="R1372" i="6"/>
  <c r="Q1371" i="6"/>
  <c r="R1371" i="6"/>
  <c r="Q1370" i="6"/>
  <c r="R1370" i="6"/>
  <c r="Q1369" i="6"/>
  <c r="R1369" i="6"/>
  <c r="Q1368" i="6"/>
  <c r="R1368" i="6"/>
  <c r="Q1367" i="6"/>
  <c r="R1367" i="6"/>
  <c r="Q1366" i="6"/>
  <c r="R1366" i="6"/>
  <c r="Q1365" i="6"/>
  <c r="R1365" i="6"/>
  <c r="Q1364" i="6"/>
  <c r="R1364" i="6"/>
  <c r="Q1363" i="6"/>
  <c r="R1363" i="6"/>
  <c r="Q1362" i="6"/>
  <c r="R1362" i="6"/>
  <c r="Q1361" i="6"/>
  <c r="R1361" i="6"/>
  <c r="Q1360" i="6"/>
  <c r="R1360" i="6"/>
  <c r="Q1359" i="6"/>
  <c r="R1359" i="6"/>
  <c r="Q1358" i="6"/>
  <c r="R1358" i="6"/>
  <c r="Q1357" i="6"/>
  <c r="R1357" i="6"/>
  <c r="Q1356" i="6"/>
  <c r="R1356" i="6"/>
  <c r="Q1355" i="6"/>
  <c r="R1355" i="6"/>
  <c r="Q1354" i="6"/>
  <c r="R1354" i="6"/>
  <c r="Q1353" i="6"/>
  <c r="R1353" i="6"/>
  <c r="Q1352" i="6"/>
  <c r="R1352" i="6"/>
  <c r="Q1351" i="6"/>
  <c r="R1351" i="6"/>
  <c r="Q1350" i="6"/>
  <c r="R1350" i="6"/>
  <c r="Q1349" i="6"/>
  <c r="R1349" i="6"/>
  <c r="Q1348" i="6"/>
  <c r="R1348" i="6"/>
  <c r="Q1347" i="6"/>
  <c r="R1347" i="6"/>
  <c r="Q1346" i="6"/>
  <c r="R1346" i="6"/>
  <c r="Q1345" i="6"/>
  <c r="R1345" i="6"/>
  <c r="Q1344" i="6"/>
  <c r="R1344" i="6"/>
  <c r="Q1343" i="6"/>
  <c r="R1343" i="6"/>
  <c r="Q1342" i="6"/>
  <c r="R1342" i="6"/>
  <c r="Q1341" i="6"/>
  <c r="R1341" i="6"/>
  <c r="Q1340" i="6"/>
  <c r="R1340" i="6"/>
  <c r="Q1339" i="6"/>
  <c r="R1339" i="6"/>
  <c r="Q1338" i="6"/>
  <c r="R1338" i="6"/>
  <c r="Q1337" i="6"/>
  <c r="R1337" i="6"/>
  <c r="Q1336" i="6"/>
  <c r="R1336" i="6"/>
  <c r="Q1335" i="6"/>
  <c r="R1335" i="6"/>
  <c r="Q1334" i="6"/>
  <c r="R1334" i="6"/>
  <c r="Q1333" i="6"/>
  <c r="R1333" i="6"/>
  <c r="Q1332" i="6"/>
  <c r="R1332" i="6"/>
  <c r="Q1331" i="6"/>
  <c r="R1331" i="6"/>
  <c r="Q1330" i="6"/>
  <c r="R1330" i="6"/>
  <c r="Q1329" i="6"/>
  <c r="R1329" i="6"/>
  <c r="Q1328" i="6"/>
  <c r="R1328" i="6"/>
  <c r="Q1327" i="6"/>
  <c r="R1327" i="6"/>
  <c r="Q1326" i="6"/>
  <c r="R1326" i="6"/>
  <c r="Q1325" i="6"/>
  <c r="R1325" i="6"/>
  <c r="Q1324" i="6"/>
  <c r="R1324" i="6"/>
  <c r="Q1323" i="6"/>
  <c r="R1323" i="6"/>
  <c r="Q1322" i="6"/>
  <c r="R1322" i="6"/>
  <c r="Q1321" i="6"/>
  <c r="R1321" i="6"/>
  <c r="Q1320" i="6"/>
  <c r="R1320" i="6"/>
  <c r="Q1319" i="6"/>
  <c r="R1319" i="6"/>
  <c r="Q1318" i="6"/>
  <c r="R1318" i="6"/>
  <c r="Q1317" i="6"/>
  <c r="R1317" i="6"/>
  <c r="Q1316" i="6"/>
  <c r="R1316" i="6"/>
  <c r="Q1315" i="6"/>
  <c r="R1315" i="6"/>
  <c r="Q1314" i="6"/>
  <c r="R1314" i="6"/>
  <c r="Q1313" i="6"/>
  <c r="R1313" i="6"/>
  <c r="Q1312" i="6"/>
  <c r="R1312" i="6"/>
  <c r="Q1311" i="6"/>
  <c r="R1311" i="6"/>
  <c r="Q1310" i="6"/>
  <c r="R1310" i="6"/>
  <c r="Q1309" i="6"/>
  <c r="R1309" i="6"/>
  <c r="Q1308" i="6"/>
  <c r="R1308" i="6"/>
  <c r="Q1307" i="6"/>
  <c r="R1307" i="6"/>
  <c r="Q1306" i="6"/>
  <c r="R1306" i="6"/>
  <c r="Q1305" i="6"/>
  <c r="R1305" i="6"/>
  <c r="Q1304" i="6"/>
  <c r="R1304" i="6"/>
  <c r="Q1303" i="6"/>
  <c r="R1303" i="6"/>
  <c r="Q1302" i="6"/>
  <c r="R1302" i="6"/>
  <c r="Q1301" i="6"/>
  <c r="R1301" i="6"/>
  <c r="Q1300" i="6"/>
  <c r="R1300" i="6"/>
  <c r="Q1299" i="6"/>
  <c r="R1299" i="6"/>
  <c r="Q1298" i="6"/>
  <c r="R1298" i="6"/>
  <c r="Q1297" i="6"/>
  <c r="R1297" i="6"/>
  <c r="Q1296" i="6"/>
  <c r="R1296" i="6"/>
  <c r="Q1295" i="6"/>
  <c r="R1295" i="6"/>
  <c r="Q1294" i="6"/>
  <c r="R1294" i="6"/>
  <c r="Q1293" i="6"/>
  <c r="R1293" i="6"/>
  <c r="Q1292" i="6"/>
  <c r="R1292" i="6"/>
  <c r="Q1291" i="6"/>
  <c r="R1291" i="6"/>
  <c r="Q1290" i="6"/>
  <c r="R1290" i="6"/>
  <c r="Q1289" i="6"/>
  <c r="R1289" i="6"/>
  <c r="Q1288" i="6"/>
  <c r="R1288" i="6"/>
  <c r="Q1287" i="6"/>
  <c r="R1287" i="6"/>
  <c r="Q1286" i="6"/>
  <c r="R1286" i="6"/>
  <c r="Q1285" i="6"/>
  <c r="R1285" i="6"/>
  <c r="Q1284" i="6"/>
  <c r="R1284" i="6"/>
  <c r="Q1283" i="6"/>
  <c r="R1283" i="6"/>
  <c r="Q1282" i="6"/>
  <c r="R1282" i="6"/>
  <c r="Q1281" i="6"/>
  <c r="R1281" i="6"/>
  <c r="Q1280" i="6"/>
  <c r="R1280" i="6"/>
  <c r="Q1279" i="6"/>
  <c r="R1279" i="6"/>
  <c r="Q1278" i="6"/>
  <c r="R1278" i="6"/>
  <c r="Q1277" i="6"/>
  <c r="R1277" i="6"/>
  <c r="Q1276" i="6"/>
  <c r="R1276" i="6"/>
  <c r="Q1275" i="6"/>
  <c r="R1275" i="6"/>
  <c r="Q1274" i="6"/>
  <c r="R1274" i="6"/>
  <c r="Q1273" i="6"/>
  <c r="R1273" i="6"/>
  <c r="Q1272" i="6"/>
  <c r="R1272" i="6"/>
  <c r="Q1271" i="6"/>
  <c r="R1271" i="6"/>
  <c r="Q1270" i="6"/>
  <c r="R1270" i="6"/>
  <c r="Q1269" i="6"/>
  <c r="R1269" i="6"/>
  <c r="Q1268" i="6"/>
  <c r="R1268" i="6"/>
  <c r="Q1267" i="6"/>
  <c r="R1267" i="6"/>
  <c r="Q1266" i="6"/>
  <c r="R1266" i="6"/>
  <c r="Q1265" i="6"/>
  <c r="R1265" i="6"/>
  <c r="Q1264" i="6"/>
  <c r="R1264" i="6"/>
  <c r="Q1263" i="6"/>
  <c r="R1263" i="6"/>
  <c r="Q1262" i="6"/>
  <c r="R1262" i="6"/>
  <c r="Q1261" i="6"/>
  <c r="R1261" i="6"/>
  <c r="Q1260" i="6"/>
  <c r="R1260" i="6"/>
  <c r="Q1259" i="6"/>
  <c r="R1259" i="6"/>
  <c r="Q1258" i="6"/>
  <c r="R1258" i="6"/>
  <c r="Q1257" i="6"/>
  <c r="R1257" i="6"/>
  <c r="Q1256" i="6"/>
  <c r="R1256" i="6"/>
  <c r="Q1255" i="6"/>
  <c r="R1255" i="6"/>
  <c r="Q1254" i="6"/>
  <c r="R1254" i="6"/>
  <c r="Q1253" i="6"/>
  <c r="R1253" i="6"/>
  <c r="Q1252" i="6"/>
  <c r="R1252" i="6"/>
  <c r="Q1251" i="6"/>
  <c r="R1251" i="6"/>
  <c r="Q1250" i="6"/>
  <c r="R1250" i="6"/>
  <c r="Q1249" i="6"/>
  <c r="R1249" i="6"/>
  <c r="Q1248" i="6"/>
  <c r="R1248" i="6"/>
  <c r="Q1247" i="6"/>
  <c r="R1247" i="6"/>
  <c r="Q1246" i="6"/>
  <c r="R1246" i="6"/>
  <c r="Q1245" i="6"/>
  <c r="R1245" i="6"/>
  <c r="Q1244" i="6"/>
  <c r="R1244" i="6"/>
  <c r="Q1243" i="6"/>
  <c r="R1243" i="6"/>
  <c r="Q1242" i="6"/>
  <c r="R1242" i="6"/>
  <c r="Q1241" i="6"/>
  <c r="R1241" i="6"/>
  <c r="Q1240" i="6"/>
  <c r="R1240" i="6"/>
  <c r="Q1239" i="6"/>
  <c r="R1239" i="6"/>
  <c r="Q1238" i="6"/>
  <c r="R1238" i="6"/>
  <c r="Q1237" i="6"/>
  <c r="R1237" i="6"/>
  <c r="Q1236" i="6"/>
  <c r="R1236" i="6"/>
  <c r="Q1235" i="6"/>
  <c r="R1235" i="6"/>
  <c r="Q1234" i="6"/>
  <c r="R1234" i="6"/>
  <c r="Q1233" i="6"/>
  <c r="R1233" i="6"/>
  <c r="Q1232" i="6"/>
  <c r="R1232" i="6"/>
  <c r="Q1231" i="6"/>
  <c r="R1231" i="6"/>
  <c r="Q1230" i="6"/>
  <c r="R1230" i="6"/>
  <c r="Q1229" i="6"/>
  <c r="R1229" i="6"/>
  <c r="Q1228" i="6"/>
  <c r="R1228" i="6"/>
  <c r="Q1227" i="6"/>
  <c r="R1227" i="6"/>
  <c r="Q1226" i="6"/>
  <c r="R1226" i="6"/>
  <c r="Q1225" i="6"/>
  <c r="R1225" i="6"/>
  <c r="Q1224" i="6"/>
  <c r="R1224" i="6"/>
  <c r="Q1223" i="6"/>
  <c r="R1223" i="6"/>
  <c r="Q1222" i="6"/>
  <c r="R1222" i="6"/>
  <c r="Q1221" i="6"/>
  <c r="R1221" i="6"/>
  <c r="Q1220" i="6"/>
  <c r="R1220" i="6"/>
  <c r="Q1219" i="6"/>
  <c r="R1219" i="6"/>
  <c r="Q1218" i="6"/>
  <c r="R1218" i="6"/>
  <c r="Q1217" i="6"/>
  <c r="R1217" i="6"/>
  <c r="Q1216" i="6"/>
  <c r="R1216" i="6"/>
  <c r="Q1215" i="6"/>
  <c r="R1215" i="6"/>
  <c r="Q1214" i="6"/>
  <c r="R1214" i="6"/>
  <c r="Q1213" i="6"/>
  <c r="R1213" i="6"/>
  <c r="Q1212" i="6"/>
  <c r="R1212" i="6"/>
  <c r="Q1211" i="6"/>
  <c r="R1211" i="6"/>
  <c r="Q1210" i="6"/>
  <c r="R1210" i="6"/>
  <c r="Q1209" i="6"/>
  <c r="R1209" i="6"/>
  <c r="Q1208" i="6"/>
  <c r="R1208" i="6"/>
  <c r="Q1207" i="6"/>
  <c r="R1207" i="6"/>
  <c r="Q1206" i="6"/>
  <c r="R1206" i="6"/>
  <c r="Q1205" i="6"/>
  <c r="R1205" i="6"/>
  <c r="Q1204" i="6"/>
  <c r="R1204" i="6"/>
  <c r="Q1203" i="6"/>
  <c r="R1203" i="6"/>
  <c r="Q1202" i="6"/>
  <c r="R1202" i="6"/>
  <c r="Q1201" i="6"/>
  <c r="R1201" i="6"/>
  <c r="Q1200" i="6"/>
  <c r="R1200" i="6"/>
  <c r="Q1199" i="6"/>
  <c r="R1199" i="6"/>
  <c r="Q1198" i="6"/>
  <c r="R1198" i="6"/>
  <c r="Q1197" i="6"/>
  <c r="R1197" i="6"/>
  <c r="Q1196" i="6"/>
  <c r="R1196" i="6"/>
  <c r="Q1195" i="6"/>
  <c r="R1195" i="6"/>
  <c r="Q1194" i="6"/>
  <c r="R1194" i="6"/>
  <c r="Q1193" i="6"/>
  <c r="R1193" i="6"/>
  <c r="Q1192" i="6"/>
  <c r="R1192" i="6"/>
  <c r="Q1191" i="6"/>
  <c r="R1191" i="6"/>
  <c r="Q1190" i="6"/>
  <c r="R1190" i="6"/>
  <c r="Q1189" i="6"/>
  <c r="R1189" i="6"/>
  <c r="Q1188" i="6"/>
  <c r="R1188" i="6"/>
  <c r="Q1187" i="6"/>
  <c r="R1187" i="6"/>
  <c r="Q1186" i="6"/>
  <c r="R1186" i="6"/>
  <c r="Q1185" i="6"/>
  <c r="R1185" i="6"/>
  <c r="Q1184" i="6"/>
  <c r="R1184" i="6"/>
  <c r="Q1183" i="6"/>
  <c r="R1183" i="6"/>
  <c r="Q1182" i="6"/>
  <c r="R1182" i="6"/>
  <c r="Q1181" i="6"/>
  <c r="R1181" i="6"/>
  <c r="Q1180" i="6"/>
  <c r="R1180" i="6"/>
  <c r="Q1179" i="6"/>
  <c r="R1179" i="6"/>
  <c r="Q1178" i="6"/>
  <c r="R1178" i="6"/>
  <c r="Q1177" i="6"/>
  <c r="R1177" i="6"/>
  <c r="Q1176" i="6"/>
  <c r="R1176" i="6"/>
  <c r="Q1175" i="6"/>
  <c r="R1175" i="6"/>
  <c r="Q1174" i="6"/>
  <c r="R1174" i="6"/>
  <c r="Q1173" i="6"/>
  <c r="R1173" i="6"/>
  <c r="Q1172" i="6"/>
  <c r="R1172" i="6"/>
  <c r="Q1171" i="6"/>
  <c r="R1171" i="6"/>
  <c r="Q1170" i="6"/>
  <c r="R1170" i="6"/>
  <c r="Q1169" i="6"/>
  <c r="R1169" i="6"/>
  <c r="Q1168" i="6"/>
  <c r="R1168" i="6"/>
  <c r="Q1167" i="6"/>
  <c r="R1167" i="6"/>
  <c r="Q1166" i="6"/>
  <c r="R1166" i="6"/>
  <c r="Q1165" i="6"/>
  <c r="R1165" i="6"/>
  <c r="Q1164" i="6"/>
  <c r="R1164" i="6"/>
  <c r="Q1163" i="6"/>
  <c r="R1163" i="6"/>
  <c r="Q1162" i="6"/>
  <c r="R1162" i="6"/>
  <c r="Q1161" i="6"/>
  <c r="R1161" i="6"/>
  <c r="Q1160" i="6"/>
  <c r="R1160" i="6"/>
  <c r="Q1159" i="6"/>
  <c r="R1159" i="6"/>
  <c r="Q1158" i="6"/>
  <c r="R1158" i="6"/>
  <c r="Q1157" i="6"/>
  <c r="R1157" i="6"/>
  <c r="Q1156" i="6"/>
  <c r="R1156" i="6"/>
  <c r="Q1155" i="6"/>
  <c r="R1155" i="6"/>
  <c r="Q1154" i="6"/>
  <c r="R1154" i="6"/>
  <c r="Q1153" i="6"/>
  <c r="R1153" i="6"/>
  <c r="Q1152" i="6"/>
  <c r="R1152" i="6"/>
  <c r="Q1151" i="6"/>
  <c r="R1151" i="6"/>
  <c r="Q1150" i="6"/>
  <c r="R1150" i="6"/>
  <c r="Q1149" i="6"/>
  <c r="R1149" i="6"/>
  <c r="Q1148" i="6"/>
  <c r="R1148" i="6"/>
  <c r="Q1147" i="6"/>
  <c r="R1147" i="6"/>
  <c r="Q1146" i="6"/>
  <c r="R1146" i="6"/>
  <c r="Q1145" i="6"/>
  <c r="R1145" i="6"/>
  <c r="Q1144" i="6"/>
  <c r="R1144" i="6"/>
  <c r="Q1143" i="6"/>
  <c r="R1143" i="6"/>
  <c r="Q1142" i="6"/>
  <c r="R1142" i="6"/>
  <c r="Q1141" i="6"/>
  <c r="R1141" i="6"/>
  <c r="Q1140" i="6"/>
  <c r="R1140" i="6"/>
  <c r="Q1139" i="6"/>
  <c r="R1139" i="6"/>
  <c r="Q1138" i="6"/>
  <c r="R1138" i="6"/>
  <c r="Q1137" i="6"/>
  <c r="R1137" i="6"/>
  <c r="Q1136" i="6"/>
  <c r="R1136" i="6"/>
  <c r="Q1135" i="6"/>
  <c r="R1135" i="6"/>
  <c r="Q1134" i="6"/>
  <c r="R1134" i="6"/>
  <c r="Q1133" i="6"/>
  <c r="R1133" i="6"/>
  <c r="Q1132" i="6"/>
  <c r="R1132" i="6"/>
  <c r="Q1131" i="6"/>
  <c r="R1131" i="6"/>
  <c r="Q1130" i="6"/>
  <c r="R1130" i="6"/>
  <c r="Q1129" i="6"/>
  <c r="R1129" i="6"/>
  <c r="Q1128" i="6"/>
  <c r="R1128" i="6"/>
  <c r="Q1127" i="6"/>
  <c r="R1127" i="6"/>
  <c r="Q1126" i="6"/>
  <c r="R1126" i="6"/>
  <c r="Q1125" i="6"/>
  <c r="R1125" i="6"/>
  <c r="Q1124" i="6"/>
  <c r="R1124" i="6"/>
  <c r="Q1123" i="6"/>
  <c r="R1123" i="6"/>
  <c r="Q1122" i="6"/>
  <c r="R1122" i="6"/>
  <c r="Q1121" i="6"/>
  <c r="R1121" i="6"/>
  <c r="Q1120" i="6"/>
  <c r="R1120" i="6"/>
  <c r="Q1119" i="6"/>
  <c r="R1119" i="6"/>
  <c r="Q1118" i="6"/>
  <c r="R1118" i="6"/>
  <c r="Q1117" i="6"/>
  <c r="R1117" i="6"/>
  <c r="Q1116" i="6"/>
  <c r="R1116" i="6"/>
  <c r="Q1115" i="6"/>
  <c r="R1115" i="6"/>
  <c r="Q1114" i="6"/>
  <c r="R1114" i="6"/>
  <c r="Q1113" i="6"/>
  <c r="R1113" i="6"/>
  <c r="Q1112" i="6"/>
  <c r="R1112" i="6"/>
  <c r="Q1111" i="6"/>
  <c r="R1111" i="6"/>
  <c r="Q1110" i="6"/>
  <c r="R1110" i="6"/>
  <c r="Q1109" i="6"/>
  <c r="R1109" i="6"/>
  <c r="Q1108" i="6"/>
  <c r="R1108" i="6"/>
  <c r="Q1107" i="6"/>
  <c r="R1107" i="6"/>
  <c r="Q1106" i="6"/>
  <c r="R1106" i="6"/>
  <c r="Q1105" i="6"/>
  <c r="R1105" i="6"/>
  <c r="Q1104" i="6"/>
  <c r="R1104" i="6"/>
  <c r="Q1103" i="6"/>
  <c r="R1103" i="6"/>
  <c r="Q1102" i="6"/>
  <c r="R1102" i="6"/>
  <c r="Q1101" i="6"/>
  <c r="R1101" i="6"/>
  <c r="Q1100" i="6"/>
  <c r="R1100" i="6"/>
  <c r="Q1099" i="6"/>
  <c r="R1099" i="6"/>
  <c r="Q1098" i="6"/>
  <c r="R1098" i="6"/>
  <c r="Q1097" i="6"/>
  <c r="R1097" i="6"/>
  <c r="Q1096" i="6"/>
  <c r="R1096" i="6"/>
  <c r="Q1095" i="6"/>
  <c r="R1095" i="6"/>
  <c r="Q1094" i="6"/>
  <c r="R1094" i="6"/>
  <c r="Q1093" i="6"/>
  <c r="R1093" i="6"/>
  <c r="Q1092" i="6"/>
  <c r="R1092" i="6"/>
  <c r="Q1091" i="6"/>
  <c r="R1091" i="6"/>
  <c r="Q1090" i="6"/>
  <c r="R1090" i="6"/>
  <c r="Q1089" i="6"/>
  <c r="R1089" i="6"/>
  <c r="Q1088" i="6"/>
  <c r="R1088" i="6"/>
  <c r="Q1087" i="6"/>
  <c r="R1087" i="6"/>
  <c r="Q1086" i="6"/>
  <c r="R1086" i="6"/>
  <c r="Q1085" i="6"/>
  <c r="R1085" i="6"/>
  <c r="Q1084" i="6"/>
  <c r="R1084" i="6"/>
  <c r="Q1083" i="6"/>
  <c r="R1083" i="6"/>
  <c r="Q1082" i="6"/>
  <c r="R1082" i="6"/>
  <c r="Q1081" i="6"/>
  <c r="R1081" i="6"/>
  <c r="Q1080" i="6"/>
  <c r="R1080" i="6"/>
  <c r="Q1079" i="6"/>
  <c r="R1079" i="6"/>
  <c r="Q1078" i="6"/>
  <c r="R1078" i="6"/>
  <c r="Q1077" i="6"/>
  <c r="R1077" i="6"/>
  <c r="Q1076" i="6"/>
  <c r="R1076" i="6"/>
  <c r="Q1075" i="6"/>
  <c r="R1075" i="6"/>
  <c r="Q1074" i="6"/>
  <c r="R1074" i="6"/>
  <c r="Q1073" i="6"/>
  <c r="R1073" i="6"/>
  <c r="Q1072" i="6"/>
  <c r="R1072" i="6"/>
  <c r="Q1071" i="6"/>
  <c r="R1071" i="6"/>
  <c r="Q1070" i="6"/>
  <c r="R1070" i="6"/>
  <c r="Q1069" i="6"/>
  <c r="R1069" i="6"/>
  <c r="Q1068" i="6"/>
  <c r="R1068" i="6"/>
  <c r="Q1067" i="6"/>
  <c r="R1067" i="6"/>
  <c r="Q1066" i="6"/>
  <c r="R1066" i="6"/>
  <c r="Q1065" i="6"/>
  <c r="R1065" i="6"/>
  <c r="Q1064" i="6"/>
  <c r="R1064" i="6"/>
  <c r="Q1063" i="6"/>
  <c r="R1063" i="6"/>
  <c r="Q1062" i="6"/>
  <c r="R1062" i="6"/>
  <c r="Q1061" i="6"/>
  <c r="R1061" i="6"/>
  <c r="Q1060" i="6"/>
  <c r="R1060" i="6"/>
  <c r="Q1059" i="6"/>
  <c r="R1059" i="6"/>
  <c r="Q1058" i="6"/>
  <c r="R1058" i="6"/>
  <c r="Q1057" i="6"/>
  <c r="R1057" i="6"/>
  <c r="Q1056" i="6"/>
  <c r="R1056" i="6"/>
  <c r="Q1055" i="6"/>
  <c r="R1055" i="6"/>
  <c r="Q1054" i="6"/>
  <c r="R1054" i="6"/>
  <c r="Q1053" i="6"/>
  <c r="R1053" i="6"/>
  <c r="Q1052" i="6"/>
  <c r="R1052" i="6"/>
  <c r="Q1051" i="6"/>
  <c r="R1051" i="6"/>
  <c r="Q1050" i="6"/>
  <c r="R1050" i="6"/>
  <c r="Q1049" i="6"/>
  <c r="R1049" i="6"/>
  <c r="Q1048" i="6"/>
  <c r="R1048" i="6"/>
  <c r="Q1047" i="6"/>
  <c r="R1047" i="6"/>
  <c r="Q1046" i="6"/>
  <c r="R1046" i="6"/>
  <c r="Q1045" i="6"/>
  <c r="R1045" i="6"/>
  <c r="Q1044" i="6"/>
  <c r="R1044" i="6"/>
  <c r="Q1043" i="6"/>
  <c r="R1043" i="6"/>
  <c r="Q1042" i="6"/>
  <c r="R1042" i="6"/>
  <c r="Q1041" i="6"/>
  <c r="R1041" i="6"/>
  <c r="Q1040" i="6"/>
  <c r="R1040" i="6"/>
  <c r="Q1039" i="6"/>
  <c r="R1039" i="6"/>
  <c r="Q1038" i="6"/>
  <c r="R1038" i="6"/>
  <c r="Q1037" i="6"/>
  <c r="R1037" i="6"/>
  <c r="Q1036" i="6"/>
  <c r="R1036" i="6"/>
  <c r="Q1035" i="6"/>
  <c r="R1035" i="6"/>
  <c r="Q1034" i="6"/>
  <c r="R1034" i="6"/>
  <c r="Q1033" i="6"/>
  <c r="R1033" i="6"/>
  <c r="Q1032" i="6"/>
  <c r="R1032" i="6"/>
  <c r="Q1031" i="6"/>
  <c r="R1031" i="6"/>
  <c r="Q1030" i="6"/>
  <c r="R1030" i="6"/>
  <c r="Q1029" i="6"/>
  <c r="R1029" i="6"/>
  <c r="Q1028" i="6"/>
  <c r="R1028" i="6"/>
  <c r="Q1027" i="6"/>
  <c r="R1027" i="6"/>
  <c r="Q1026" i="6"/>
  <c r="R1026" i="6"/>
  <c r="Q1025" i="6"/>
  <c r="R1025" i="6"/>
  <c r="Q1024" i="6"/>
  <c r="R1024" i="6"/>
  <c r="Q1023" i="6"/>
  <c r="R1023" i="6"/>
  <c r="Q1022" i="6"/>
  <c r="R1022" i="6"/>
  <c r="Q1021" i="6"/>
  <c r="R1021" i="6"/>
  <c r="Q1020" i="6"/>
  <c r="R1020" i="6"/>
  <c r="Q1019" i="6"/>
  <c r="R1019" i="6"/>
  <c r="Q1018" i="6"/>
  <c r="R1018" i="6"/>
  <c r="Q1017" i="6"/>
  <c r="R1017" i="6"/>
  <c r="Q1016" i="6"/>
  <c r="R1016" i="6"/>
  <c r="Q1015" i="6"/>
  <c r="R1015" i="6"/>
  <c r="Q1014" i="6"/>
  <c r="R1014" i="6"/>
  <c r="Q1013" i="6"/>
  <c r="R1013" i="6"/>
  <c r="Q1012" i="6"/>
  <c r="R1012" i="6"/>
  <c r="Q1011" i="6"/>
  <c r="R1011" i="6"/>
  <c r="Q1010" i="6"/>
  <c r="R1010" i="6"/>
  <c r="Q1009" i="6"/>
  <c r="R1009" i="6"/>
  <c r="Q1008" i="6"/>
  <c r="R1008" i="6"/>
  <c r="Q1007" i="6"/>
  <c r="R1007" i="6"/>
  <c r="Q1006" i="6"/>
  <c r="R1006" i="6"/>
  <c r="Q1005" i="6"/>
  <c r="R1005" i="6"/>
  <c r="Q1004" i="6"/>
  <c r="R1004" i="6"/>
  <c r="Q1003" i="6"/>
  <c r="R1003" i="6"/>
  <c r="Q1002" i="6"/>
  <c r="R1002" i="6"/>
  <c r="Q1001" i="6"/>
  <c r="R1001" i="6"/>
  <c r="Q1000" i="6"/>
  <c r="R1000" i="6"/>
  <c r="Q999" i="6"/>
  <c r="R999" i="6"/>
  <c r="Q998" i="6"/>
  <c r="R998" i="6"/>
  <c r="Q997" i="6"/>
  <c r="R997" i="6"/>
  <c r="Q996" i="6"/>
  <c r="R996" i="6"/>
  <c r="Q995" i="6"/>
  <c r="R995" i="6"/>
  <c r="Q994" i="6"/>
  <c r="R994" i="6"/>
  <c r="Q993" i="6"/>
  <c r="R993" i="6"/>
  <c r="Q992" i="6"/>
  <c r="R992" i="6"/>
  <c r="Q991" i="6"/>
  <c r="R991" i="6"/>
  <c r="Q990" i="6"/>
  <c r="R990" i="6"/>
  <c r="Q989" i="6"/>
  <c r="R989" i="6"/>
  <c r="Q988" i="6"/>
  <c r="R988" i="6"/>
  <c r="Q987" i="6"/>
  <c r="R987" i="6"/>
  <c r="Q986" i="6"/>
  <c r="R986" i="6"/>
  <c r="Q985" i="6"/>
  <c r="R985" i="6"/>
  <c r="Q984" i="6"/>
  <c r="R984" i="6"/>
  <c r="Q983" i="6"/>
  <c r="R983" i="6"/>
  <c r="Q982" i="6"/>
  <c r="R982" i="6"/>
  <c r="Q981" i="6"/>
  <c r="R981" i="6"/>
  <c r="Q980" i="6"/>
  <c r="R980" i="6"/>
  <c r="Q979" i="6"/>
  <c r="R979" i="6"/>
  <c r="Q978" i="6"/>
  <c r="R978" i="6"/>
  <c r="Q977" i="6"/>
  <c r="R977" i="6"/>
  <c r="Q976" i="6"/>
  <c r="R976" i="6"/>
  <c r="Q975" i="6"/>
  <c r="R975" i="6"/>
  <c r="Q974" i="6"/>
  <c r="R974" i="6"/>
  <c r="Q973" i="6"/>
  <c r="R973" i="6"/>
  <c r="Q972" i="6"/>
  <c r="R972" i="6"/>
  <c r="Q971" i="6"/>
  <c r="R971" i="6"/>
  <c r="Q970" i="6"/>
  <c r="R970" i="6"/>
  <c r="Q969" i="6"/>
  <c r="R969" i="6"/>
  <c r="Q968" i="6"/>
  <c r="R968" i="6"/>
  <c r="Q967" i="6"/>
  <c r="R967" i="6"/>
  <c r="Q966" i="6"/>
  <c r="R966" i="6"/>
  <c r="Q965" i="6"/>
  <c r="R965" i="6"/>
  <c r="Q964" i="6"/>
  <c r="R964" i="6"/>
  <c r="Q963" i="6"/>
  <c r="R963" i="6"/>
  <c r="Q962" i="6"/>
  <c r="R962" i="6"/>
  <c r="Q961" i="6"/>
  <c r="R961" i="6"/>
  <c r="Q960" i="6"/>
  <c r="R960" i="6"/>
  <c r="Q959" i="6"/>
  <c r="R959" i="6"/>
  <c r="Q958" i="6"/>
  <c r="R958" i="6"/>
  <c r="Q957" i="6"/>
  <c r="R957" i="6"/>
  <c r="Q956" i="6"/>
  <c r="R956" i="6"/>
  <c r="Q955" i="6"/>
  <c r="R955" i="6"/>
  <c r="Q954" i="6"/>
  <c r="R954" i="6"/>
  <c r="Q953" i="6"/>
  <c r="R953" i="6"/>
  <c r="Q952" i="6"/>
  <c r="R952" i="6"/>
  <c r="Q951" i="6"/>
  <c r="R951" i="6"/>
  <c r="Q950" i="6"/>
  <c r="R950" i="6"/>
  <c r="Q949" i="6"/>
  <c r="R949" i="6"/>
  <c r="Q948" i="6"/>
  <c r="R948" i="6"/>
  <c r="Q947" i="6"/>
  <c r="R947" i="6"/>
  <c r="Q946" i="6"/>
  <c r="R946" i="6"/>
  <c r="Q945" i="6"/>
  <c r="R945" i="6"/>
  <c r="Q944" i="6"/>
  <c r="R944" i="6"/>
  <c r="Q943" i="6"/>
  <c r="R943" i="6"/>
  <c r="Q942" i="6"/>
  <c r="R942" i="6"/>
  <c r="Q941" i="6"/>
  <c r="R941" i="6"/>
  <c r="Q940" i="6"/>
  <c r="R940" i="6"/>
  <c r="Q939" i="6"/>
  <c r="R939" i="6"/>
  <c r="Q938" i="6"/>
  <c r="R938" i="6"/>
  <c r="Q937" i="6"/>
  <c r="R937" i="6"/>
  <c r="Q936" i="6"/>
  <c r="R936" i="6"/>
  <c r="Q935" i="6"/>
  <c r="R935" i="6"/>
  <c r="Q934" i="6"/>
  <c r="R934" i="6"/>
  <c r="Q933" i="6"/>
  <c r="R933" i="6"/>
  <c r="Q932" i="6"/>
  <c r="R932" i="6"/>
  <c r="Q931" i="6"/>
  <c r="R931" i="6"/>
  <c r="Q930" i="6"/>
  <c r="R930" i="6"/>
  <c r="Q929" i="6"/>
  <c r="R929" i="6"/>
  <c r="Q928" i="6"/>
  <c r="R928" i="6"/>
  <c r="Q927" i="6"/>
  <c r="R927" i="6"/>
  <c r="Q926" i="6"/>
  <c r="R926" i="6"/>
  <c r="Q925" i="6"/>
  <c r="R925" i="6"/>
  <c r="Q924" i="6"/>
  <c r="R924" i="6"/>
  <c r="Q923" i="6"/>
  <c r="R923" i="6"/>
  <c r="Q922" i="6"/>
  <c r="R922" i="6"/>
  <c r="Q921" i="6"/>
  <c r="R921" i="6"/>
  <c r="Q920" i="6"/>
  <c r="R920" i="6"/>
  <c r="Q919" i="6"/>
  <c r="R919" i="6"/>
  <c r="Q918" i="6"/>
  <c r="R918" i="6"/>
  <c r="Q917" i="6"/>
  <c r="R917" i="6"/>
  <c r="Q916" i="6"/>
  <c r="R916" i="6"/>
  <c r="Q915" i="6"/>
  <c r="R915" i="6"/>
  <c r="Q914" i="6"/>
  <c r="R914" i="6"/>
  <c r="Q913" i="6"/>
  <c r="R913" i="6"/>
  <c r="Q912" i="6"/>
  <c r="R912" i="6"/>
  <c r="Q911" i="6"/>
  <c r="R911" i="6"/>
  <c r="Q910" i="6"/>
  <c r="R910" i="6"/>
  <c r="Q909" i="6"/>
  <c r="R909" i="6"/>
  <c r="Q908" i="6"/>
  <c r="R908" i="6"/>
  <c r="Q907" i="6"/>
  <c r="R907" i="6"/>
  <c r="Q906" i="6"/>
  <c r="R906" i="6"/>
  <c r="Q905" i="6"/>
  <c r="R905" i="6"/>
  <c r="Q904" i="6"/>
  <c r="R904" i="6"/>
  <c r="Q903" i="6"/>
  <c r="R903" i="6"/>
  <c r="Q902" i="6"/>
  <c r="R902" i="6"/>
  <c r="Q901" i="6"/>
  <c r="R901" i="6"/>
  <c r="Q900" i="6"/>
  <c r="R900" i="6"/>
  <c r="Q899" i="6"/>
  <c r="R899" i="6"/>
  <c r="Q898" i="6"/>
  <c r="R898" i="6"/>
  <c r="Q897" i="6"/>
  <c r="R897" i="6"/>
  <c r="Q896" i="6"/>
  <c r="R896" i="6"/>
  <c r="Q895" i="6"/>
  <c r="R895" i="6"/>
  <c r="Q894" i="6"/>
  <c r="R894" i="6"/>
  <c r="Q893" i="6"/>
  <c r="R893" i="6"/>
  <c r="Q892" i="6"/>
  <c r="R892" i="6"/>
  <c r="Q891" i="6"/>
  <c r="R891" i="6"/>
  <c r="Q890" i="6"/>
  <c r="R890" i="6"/>
  <c r="Q889" i="6"/>
  <c r="R889" i="6"/>
  <c r="Q888" i="6"/>
  <c r="R888" i="6"/>
  <c r="Q887" i="6"/>
  <c r="R887" i="6"/>
  <c r="Q886" i="6"/>
  <c r="R886" i="6"/>
  <c r="Q885" i="6"/>
  <c r="R885" i="6"/>
  <c r="Q884" i="6"/>
  <c r="R884" i="6"/>
  <c r="Q883" i="6"/>
  <c r="R883" i="6"/>
  <c r="Q882" i="6"/>
  <c r="R882" i="6"/>
  <c r="Q881" i="6"/>
  <c r="R881" i="6"/>
  <c r="Q880" i="6"/>
  <c r="R880" i="6"/>
  <c r="Q879" i="6"/>
  <c r="R879" i="6"/>
  <c r="Q878" i="6"/>
  <c r="R878" i="6"/>
  <c r="Q877" i="6"/>
  <c r="R877" i="6"/>
  <c r="Q876" i="6"/>
  <c r="R876" i="6"/>
  <c r="Q875" i="6"/>
  <c r="R875" i="6"/>
  <c r="Q874" i="6"/>
  <c r="R874" i="6"/>
  <c r="Q873" i="6"/>
  <c r="R873" i="6"/>
  <c r="Q872" i="6"/>
  <c r="R872" i="6"/>
  <c r="Q871" i="6"/>
  <c r="R871" i="6"/>
  <c r="Q870" i="6"/>
  <c r="R870" i="6"/>
  <c r="Q869" i="6"/>
  <c r="R869" i="6"/>
  <c r="Q868" i="6"/>
  <c r="R868" i="6"/>
  <c r="Q867" i="6"/>
  <c r="R867" i="6"/>
  <c r="Q866" i="6"/>
  <c r="R866" i="6"/>
  <c r="Q865" i="6"/>
  <c r="R865" i="6"/>
  <c r="Q864" i="6"/>
  <c r="R864" i="6"/>
  <c r="Q863" i="6"/>
  <c r="R863" i="6"/>
  <c r="Q862" i="6"/>
  <c r="R862" i="6"/>
  <c r="Q861" i="6"/>
  <c r="R861" i="6"/>
  <c r="Q860" i="6"/>
  <c r="R860" i="6"/>
  <c r="Q859" i="6"/>
  <c r="R859" i="6"/>
  <c r="Q858" i="6"/>
  <c r="R858" i="6"/>
  <c r="Q857" i="6"/>
  <c r="R857" i="6"/>
  <c r="Q856" i="6"/>
  <c r="R856" i="6"/>
  <c r="Q855" i="6"/>
  <c r="R855" i="6"/>
  <c r="Q854" i="6"/>
  <c r="R854" i="6"/>
  <c r="Q853" i="6"/>
  <c r="R853" i="6"/>
  <c r="Q852" i="6"/>
  <c r="R852" i="6"/>
  <c r="Q851" i="6"/>
  <c r="R851" i="6"/>
  <c r="Q850" i="6"/>
  <c r="R850" i="6"/>
  <c r="Q849" i="6"/>
  <c r="R849" i="6"/>
  <c r="Q848" i="6"/>
  <c r="R848" i="6"/>
  <c r="Q847" i="6"/>
  <c r="R847" i="6"/>
  <c r="Q846" i="6"/>
  <c r="R846" i="6"/>
  <c r="Q845" i="6"/>
  <c r="R845" i="6"/>
  <c r="Q844" i="6"/>
  <c r="R844" i="6"/>
  <c r="Q843" i="6"/>
  <c r="R843" i="6"/>
  <c r="Q842" i="6"/>
  <c r="R842" i="6"/>
  <c r="Q841" i="6"/>
  <c r="R841" i="6"/>
  <c r="Q840" i="6"/>
  <c r="R840" i="6"/>
  <c r="Q839" i="6"/>
  <c r="R839" i="6"/>
  <c r="Q838" i="6"/>
  <c r="R838" i="6"/>
  <c r="Q837" i="6"/>
  <c r="R837" i="6"/>
  <c r="Q836" i="6"/>
  <c r="R836" i="6"/>
  <c r="Q835" i="6"/>
  <c r="R835" i="6"/>
  <c r="Q834" i="6"/>
  <c r="R834" i="6"/>
  <c r="Q833" i="6"/>
  <c r="R833" i="6"/>
  <c r="Q832" i="6"/>
  <c r="R832" i="6"/>
  <c r="Q831" i="6"/>
  <c r="R831" i="6"/>
  <c r="Q830" i="6"/>
  <c r="R830" i="6"/>
  <c r="Q829" i="6"/>
  <c r="R829" i="6"/>
  <c r="Q828" i="6"/>
  <c r="R828" i="6"/>
  <c r="Q827" i="6"/>
  <c r="R827" i="6"/>
  <c r="Q826" i="6"/>
  <c r="R826" i="6"/>
  <c r="Q825" i="6"/>
  <c r="R825" i="6"/>
  <c r="Q824" i="6"/>
  <c r="R824" i="6"/>
  <c r="Q823" i="6"/>
  <c r="R823" i="6"/>
  <c r="Q822" i="6"/>
  <c r="R822" i="6"/>
  <c r="Q821" i="6"/>
  <c r="R821" i="6"/>
  <c r="Q820" i="6"/>
  <c r="R820" i="6"/>
  <c r="Q819" i="6"/>
  <c r="R819" i="6"/>
  <c r="Q818" i="6"/>
  <c r="R818" i="6"/>
  <c r="Q817" i="6"/>
  <c r="R817" i="6"/>
  <c r="Q816" i="6"/>
  <c r="R816" i="6"/>
  <c r="Q815" i="6"/>
  <c r="R815" i="6"/>
  <c r="Q814" i="6"/>
  <c r="R814" i="6"/>
  <c r="Q813" i="6"/>
  <c r="R813" i="6"/>
  <c r="Q812" i="6"/>
  <c r="R812" i="6"/>
  <c r="Q811" i="6"/>
  <c r="R811" i="6"/>
  <c r="Q810" i="6"/>
  <c r="R810" i="6"/>
  <c r="Q809" i="6"/>
  <c r="R809" i="6"/>
  <c r="Q808" i="6"/>
  <c r="R808" i="6"/>
  <c r="Q807" i="6"/>
  <c r="R807" i="6"/>
  <c r="Q806" i="6"/>
  <c r="R806" i="6"/>
  <c r="Q805" i="6"/>
  <c r="R805" i="6"/>
  <c r="Q804" i="6"/>
  <c r="R804" i="6"/>
  <c r="Q803" i="6"/>
  <c r="R803" i="6"/>
  <c r="Q802" i="6"/>
  <c r="R802" i="6"/>
  <c r="Q801" i="6"/>
  <c r="R801" i="6"/>
  <c r="Q800" i="6"/>
  <c r="R800" i="6"/>
  <c r="Q799" i="6"/>
  <c r="R799" i="6"/>
  <c r="Q798" i="6"/>
  <c r="R798" i="6"/>
  <c r="Q797" i="6"/>
  <c r="R797" i="6"/>
  <c r="Q796" i="6"/>
  <c r="R796" i="6"/>
  <c r="Q795" i="6"/>
  <c r="R795" i="6"/>
  <c r="Q794" i="6"/>
  <c r="R794" i="6"/>
  <c r="Q793" i="6"/>
  <c r="R793" i="6"/>
  <c r="Q792" i="6"/>
  <c r="R792" i="6"/>
  <c r="Q791" i="6"/>
  <c r="R791" i="6"/>
  <c r="Q790" i="6"/>
  <c r="R790" i="6"/>
  <c r="Q789" i="6"/>
  <c r="R789" i="6"/>
  <c r="Q788" i="6"/>
  <c r="R788" i="6"/>
  <c r="Q787" i="6"/>
  <c r="R787" i="6"/>
  <c r="Q786" i="6"/>
  <c r="R786" i="6"/>
  <c r="Q785" i="6"/>
  <c r="R785" i="6"/>
  <c r="Q784" i="6"/>
  <c r="R784" i="6"/>
  <c r="Q783" i="6"/>
  <c r="R783" i="6"/>
  <c r="Q782" i="6"/>
  <c r="R782" i="6"/>
  <c r="Q781" i="6"/>
  <c r="R781" i="6"/>
  <c r="Q780" i="6"/>
  <c r="R780" i="6"/>
  <c r="Q779" i="6"/>
  <c r="R779" i="6"/>
  <c r="Q778" i="6"/>
  <c r="R778" i="6"/>
  <c r="Q777" i="6"/>
  <c r="R777" i="6"/>
  <c r="Q776" i="6"/>
  <c r="R776" i="6"/>
  <c r="Q775" i="6"/>
  <c r="R775" i="6"/>
  <c r="Q774" i="6"/>
  <c r="R774" i="6"/>
  <c r="Q773" i="6"/>
  <c r="R773" i="6"/>
  <c r="Q772" i="6"/>
  <c r="R772" i="6"/>
  <c r="Q771" i="6"/>
  <c r="R771" i="6"/>
  <c r="Q770" i="6"/>
  <c r="R770" i="6"/>
  <c r="Q769" i="6"/>
  <c r="R769" i="6"/>
  <c r="Q768" i="6"/>
  <c r="R768" i="6"/>
  <c r="Q767" i="6"/>
  <c r="R767" i="6"/>
  <c r="Q766" i="6"/>
  <c r="R766" i="6"/>
  <c r="Q765" i="6"/>
  <c r="R765" i="6"/>
  <c r="Q764" i="6"/>
  <c r="R764" i="6"/>
  <c r="Q763" i="6"/>
  <c r="R763" i="6"/>
  <c r="Q762" i="6"/>
  <c r="R762" i="6"/>
  <c r="Q761" i="6"/>
  <c r="R761" i="6"/>
  <c r="Q760" i="6"/>
  <c r="R760" i="6"/>
  <c r="Q759" i="6"/>
  <c r="R759" i="6"/>
  <c r="Q758" i="6"/>
  <c r="R758" i="6"/>
  <c r="Q757" i="6"/>
  <c r="R757" i="6"/>
  <c r="Q756" i="6"/>
  <c r="R756" i="6"/>
  <c r="Q755" i="6"/>
  <c r="R755" i="6"/>
  <c r="Q754" i="6"/>
  <c r="R754" i="6"/>
  <c r="Q753" i="6"/>
  <c r="R753" i="6"/>
  <c r="Q752" i="6"/>
  <c r="R752" i="6"/>
  <c r="Q751" i="6"/>
  <c r="R751" i="6"/>
  <c r="Q750" i="6"/>
  <c r="R750" i="6"/>
  <c r="Q749" i="6"/>
  <c r="R749" i="6"/>
  <c r="Q748" i="6"/>
  <c r="R748" i="6"/>
  <c r="Q747" i="6"/>
  <c r="R747" i="6"/>
  <c r="Q746" i="6"/>
  <c r="R746" i="6"/>
  <c r="Q745" i="6"/>
  <c r="R745" i="6"/>
  <c r="Q744" i="6"/>
  <c r="R744" i="6"/>
  <c r="Q743" i="6"/>
  <c r="R743" i="6"/>
  <c r="Q742" i="6"/>
  <c r="R742" i="6"/>
  <c r="Q741" i="6"/>
  <c r="R741" i="6"/>
  <c r="Q740" i="6"/>
  <c r="R740" i="6"/>
  <c r="Q739" i="6"/>
  <c r="R739" i="6"/>
  <c r="Q738" i="6"/>
  <c r="R738" i="6"/>
  <c r="Q737" i="6"/>
  <c r="R737" i="6"/>
  <c r="Q736" i="6"/>
  <c r="R736" i="6"/>
  <c r="Q735" i="6"/>
  <c r="R735" i="6"/>
  <c r="Q734" i="6"/>
  <c r="R734" i="6"/>
  <c r="Q733" i="6"/>
  <c r="R733" i="6"/>
  <c r="Q732" i="6"/>
  <c r="R732" i="6"/>
  <c r="Q731" i="6"/>
  <c r="R731" i="6"/>
  <c r="Q730" i="6"/>
  <c r="R730" i="6"/>
  <c r="Q729" i="6"/>
  <c r="R729" i="6"/>
  <c r="Q728" i="6"/>
  <c r="R728" i="6"/>
  <c r="Q727" i="6"/>
  <c r="R727" i="6"/>
  <c r="Q726" i="6"/>
  <c r="R726" i="6"/>
  <c r="Q725" i="6"/>
  <c r="R725" i="6"/>
  <c r="Q724" i="6"/>
  <c r="R724" i="6"/>
  <c r="Q723" i="6"/>
  <c r="R723" i="6"/>
  <c r="Q722" i="6"/>
  <c r="R722" i="6"/>
  <c r="Q721" i="6"/>
  <c r="R721" i="6"/>
  <c r="Q720" i="6"/>
  <c r="R720" i="6"/>
  <c r="Q719" i="6"/>
  <c r="R719" i="6"/>
  <c r="Q718" i="6"/>
  <c r="R718" i="6"/>
  <c r="Q717" i="6"/>
  <c r="R717" i="6"/>
  <c r="Q716" i="6"/>
  <c r="R716" i="6"/>
  <c r="Q715" i="6"/>
  <c r="R715" i="6"/>
  <c r="Q714" i="6"/>
  <c r="R714" i="6"/>
  <c r="Q713" i="6"/>
  <c r="R713" i="6"/>
  <c r="Q712" i="6"/>
  <c r="R712" i="6"/>
  <c r="Q711" i="6"/>
  <c r="R711" i="6"/>
  <c r="Q710" i="6"/>
  <c r="R710" i="6"/>
  <c r="Q709" i="6"/>
  <c r="R709" i="6"/>
  <c r="Q708" i="6"/>
  <c r="R708" i="6"/>
  <c r="Q707" i="6"/>
  <c r="R707" i="6"/>
  <c r="Q706" i="6"/>
  <c r="R706" i="6"/>
  <c r="Q705" i="6"/>
  <c r="R705" i="6"/>
  <c r="Q704" i="6"/>
  <c r="R704" i="6"/>
  <c r="Q703" i="6"/>
  <c r="R703" i="6"/>
  <c r="Q702" i="6"/>
  <c r="R702" i="6"/>
  <c r="Q701" i="6"/>
  <c r="R701" i="6"/>
  <c r="Q700" i="6"/>
  <c r="R700" i="6"/>
  <c r="Q699" i="6"/>
  <c r="R699" i="6"/>
  <c r="Q698" i="6"/>
  <c r="R698" i="6"/>
  <c r="Q697" i="6"/>
  <c r="R697" i="6"/>
  <c r="Q696" i="6"/>
  <c r="R696" i="6"/>
  <c r="Q695" i="6"/>
  <c r="R695" i="6"/>
  <c r="Q694" i="6"/>
  <c r="R694" i="6"/>
  <c r="Q693" i="6"/>
  <c r="R693" i="6"/>
  <c r="Q692" i="6"/>
  <c r="R692" i="6"/>
  <c r="Q691" i="6"/>
  <c r="R691" i="6"/>
  <c r="Q690" i="6"/>
  <c r="R690" i="6"/>
  <c r="Q689" i="6"/>
  <c r="R689" i="6"/>
  <c r="Q688" i="6"/>
  <c r="R688" i="6"/>
  <c r="Q687" i="6"/>
  <c r="R687" i="6"/>
  <c r="Q686" i="6"/>
  <c r="R686" i="6"/>
  <c r="Q685" i="6"/>
  <c r="R685" i="6"/>
  <c r="Q684" i="6"/>
  <c r="R684" i="6"/>
  <c r="Q683" i="6"/>
  <c r="R683" i="6"/>
  <c r="Q682" i="6"/>
  <c r="R682" i="6"/>
  <c r="Q681" i="6"/>
  <c r="R681" i="6"/>
  <c r="Q680" i="6"/>
  <c r="R680" i="6"/>
  <c r="Q679" i="6"/>
  <c r="R679" i="6"/>
  <c r="Q678" i="6"/>
  <c r="R678" i="6"/>
  <c r="Q677" i="6"/>
  <c r="R677" i="6"/>
  <c r="Q676" i="6"/>
  <c r="R676" i="6"/>
  <c r="Q675" i="6"/>
  <c r="R675" i="6"/>
  <c r="Q674" i="6"/>
  <c r="R674" i="6"/>
  <c r="Q673" i="6"/>
  <c r="R673" i="6"/>
  <c r="Q672" i="6"/>
  <c r="R672" i="6"/>
  <c r="Q671" i="6"/>
  <c r="R671" i="6"/>
  <c r="Q670" i="6"/>
  <c r="R670" i="6"/>
  <c r="Q669" i="6"/>
  <c r="R669" i="6"/>
  <c r="Q668" i="6"/>
  <c r="R668" i="6"/>
  <c r="Q667" i="6"/>
  <c r="R667" i="6"/>
  <c r="Q666" i="6"/>
  <c r="R666" i="6"/>
  <c r="Q665" i="6"/>
  <c r="R665" i="6"/>
  <c r="Q664" i="6"/>
  <c r="R664" i="6"/>
  <c r="Q663" i="6"/>
  <c r="R663" i="6"/>
  <c r="Q662" i="6"/>
  <c r="R662" i="6"/>
  <c r="Q661" i="6"/>
  <c r="R661" i="6"/>
  <c r="Q660" i="6"/>
  <c r="R660" i="6"/>
  <c r="Q659" i="6"/>
  <c r="R659" i="6"/>
  <c r="Q658" i="6"/>
  <c r="R658" i="6"/>
  <c r="Q657" i="6"/>
  <c r="R657" i="6"/>
  <c r="Q656" i="6"/>
  <c r="R656" i="6"/>
  <c r="Q655" i="6"/>
  <c r="R655" i="6"/>
  <c r="Q654" i="6"/>
  <c r="R654" i="6"/>
  <c r="Q653" i="6"/>
  <c r="R653" i="6"/>
  <c r="Q652" i="6"/>
  <c r="R652" i="6"/>
  <c r="Q651" i="6"/>
  <c r="R651" i="6"/>
  <c r="Q650" i="6"/>
  <c r="R650" i="6"/>
  <c r="Q649" i="6"/>
  <c r="R649" i="6"/>
  <c r="Q648" i="6"/>
  <c r="R648" i="6"/>
  <c r="Q647" i="6"/>
  <c r="R647" i="6"/>
  <c r="Q646" i="6"/>
  <c r="R646" i="6"/>
  <c r="Q645" i="6"/>
  <c r="R645" i="6"/>
  <c r="Q644" i="6"/>
  <c r="R644" i="6"/>
  <c r="Q643" i="6"/>
  <c r="R643" i="6"/>
  <c r="Q642" i="6"/>
  <c r="R642" i="6"/>
  <c r="Q641" i="6"/>
  <c r="R641" i="6"/>
  <c r="Q640" i="6"/>
  <c r="R640" i="6"/>
  <c r="Q639" i="6"/>
  <c r="R639" i="6"/>
  <c r="Q638" i="6"/>
  <c r="R638" i="6"/>
  <c r="Q637" i="6"/>
  <c r="R637" i="6"/>
  <c r="Q636" i="6"/>
  <c r="R636" i="6"/>
  <c r="Q635" i="6"/>
  <c r="R635" i="6"/>
  <c r="Q634" i="6"/>
  <c r="R634" i="6"/>
  <c r="Q633" i="6"/>
  <c r="R633" i="6"/>
  <c r="Q632" i="6"/>
  <c r="R632" i="6"/>
  <c r="Q631" i="6"/>
  <c r="R631" i="6"/>
  <c r="Q630" i="6"/>
  <c r="R630" i="6"/>
  <c r="Q629" i="6"/>
  <c r="R629" i="6"/>
  <c r="Q628" i="6"/>
  <c r="R628" i="6"/>
  <c r="Q627" i="6"/>
  <c r="R627" i="6"/>
  <c r="Q626" i="6"/>
  <c r="R626" i="6"/>
  <c r="Q625" i="6"/>
  <c r="R625" i="6"/>
  <c r="Q624" i="6"/>
  <c r="R624" i="6"/>
  <c r="Q623" i="6"/>
  <c r="R623" i="6"/>
  <c r="Q622" i="6"/>
  <c r="R622" i="6"/>
  <c r="Q621" i="6"/>
  <c r="R621" i="6"/>
  <c r="Q620" i="6"/>
  <c r="R620" i="6"/>
  <c r="Q619" i="6"/>
  <c r="R619" i="6"/>
  <c r="Q618" i="6"/>
  <c r="R618" i="6"/>
  <c r="Q617" i="6"/>
  <c r="R617" i="6"/>
  <c r="Q616" i="6"/>
  <c r="R616" i="6"/>
  <c r="Q615" i="6"/>
  <c r="R615" i="6"/>
  <c r="Q614" i="6"/>
  <c r="R614" i="6"/>
  <c r="Q613" i="6"/>
  <c r="R613" i="6"/>
  <c r="Q612" i="6"/>
  <c r="R612" i="6"/>
  <c r="Q611" i="6"/>
  <c r="R611" i="6"/>
  <c r="Q610" i="6"/>
  <c r="R610" i="6"/>
  <c r="Q609" i="6"/>
  <c r="R609" i="6"/>
  <c r="Q608" i="6"/>
  <c r="R608" i="6"/>
  <c r="Q607" i="6"/>
  <c r="R607" i="6"/>
  <c r="Q606" i="6"/>
  <c r="R606" i="6"/>
  <c r="Q605" i="6"/>
  <c r="R605" i="6"/>
  <c r="Q604" i="6"/>
  <c r="R604" i="6"/>
  <c r="Q603" i="6"/>
  <c r="R603" i="6"/>
  <c r="Q602" i="6"/>
  <c r="R602" i="6"/>
  <c r="Q601" i="6"/>
  <c r="R601" i="6"/>
  <c r="Q600" i="6"/>
  <c r="R600" i="6"/>
  <c r="Q599" i="6"/>
  <c r="R599" i="6"/>
  <c r="Q598" i="6"/>
  <c r="R598" i="6"/>
  <c r="Q597" i="6"/>
  <c r="R597" i="6"/>
  <c r="Q596" i="6"/>
  <c r="R596" i="6"/>
  <c r="Q595" i="6"/>
  <c r="R595" i="6"/>
  <c r="Q594" i="6"/>
  <c r="R594" i="6"/>
  <c r="Q593" i="6"/>
  <c r="R593" i="6"/>
  <c r="Q592" i="6"/>
  <c r="R592" i="6"/>
  <c r="Q591" i="6"/>
  <c r="R591" i="6"/>
  <c r="Q590" i="6"/>
  <c r="R590" i="6"/>
  <c r="Q589" i="6"/>
  <c r="R589" i="6"/>
  <c r="Q588" i="6"/>
  <c r="R588" i="6"/>
  <c r="Q587" i="6"/>
  <c r="R587" i="6"/>
  <c r="Q586" i="6"/>
  <c r="R586" i="6"/>
  <c r="Q585" i="6"/>
  <c r="R585" i="6"/>
  <c r="Q584" i="6"/>
  <c r="R584" i="6"/>
  <c r="Q583" i="6"/>
  <c r="R583" i="6"/>
  <c r="Q582" i="6"/>
  <c r="R582" i="6"/>
  <c r="Q581" i="6"/>
  <c r="R581" i="6"/>
  <c r="Q580" i="6"/>
  <c r="R580" i="6"/>
  <c r="Q579" i="6"/>
  <c r="R579" i="6"/>
  <c r="Q578" i="6"/>
  <c r="R578" i="6"/>
  <c r="Q577" i="6"/>
  <c r="R577" i="6"/>
  <c r="Q576" i="6"/>
  <c r="R576" i="6"/>
  <c r="Q575" i="6"/>
  <c r="R575" i="6"/>
  <c r="Q574" i="6"/>
  <c r="R574" i="6"/>
  <c r="Q573" i="6"/>
  <c r="R573" i="6"/>
  <c r="Q572" i="6"/>
  <c r="R572" i="6"/>
  <c r="Q571" i="6"/>
  <c r="R571" i="6"/>
  <c r="Q570" i="6"/>
  <c r="R570" i="6"/>
  <c r="Q569" i="6"/>
  <c r="R569" i="6"/>
  <c r="Q568" i="6"/>
  <c r="R568" i="6"/>
  <c r="Q567" i="6"/>
  <c r="R567" i="6"/>
  <c r="Q566" i="6"/>
  <c r="R566" i="6"/>
  <c r="Q565" i="6"/>
  <c r="R565" i="6"/>
  <c r="Q564" i="6"/>
  <c r="R564" i="6"/>
  <c r="Q563" i="6"/>
  <c r="R563" i="6"/>
  <c r="Q562" i="6"/>
  <c r="R562" i="6"/>
  <c r="Q561" i="6"/>
  <c r="R561" i="6"/>
  <c r="Q560" i="6"/>
  <c r="R560" i="6"/>
  <c r="Q559" i="6"/>
  <c r="R559" i="6"/>
  <c r="Q558" i="6"/>
  <c r="R558" i="6"/>
  <c r="Q557" i="6"/>
  <c r="R557" i="6"/>
  <c r="Q556" i="6"/>
  <c r="R556" i="6"/>
  <c r="Q555" i="6"/>
  <c r="R555" i="6"/>
  <c r="Q554" i="6"/>
  <c r="R554" i="6"/>
  <c r="Q553" i="6"/>
  <c r="R553" i="6"/>
  <c r="Q552" i="6"/>
  <c r="R552" i="6"/>
  <c r="Q551" i="6"/>
  <c r="R551" i="6"/>
  <c r="Q550" i="6"/>
  <c r="R550" i="6"/>
  <c r="Q549" i="6"/>
  <c r="R549" i="6"/>
  <c r="Q548" i="6"/>
  <c r="R548" i="6"/>
  <c r="Q547" i="6"/>
  <c r="R547" i="6"/>
  <c r="Q546" i="6"/>
  <c r="R546" i="6"/>
  <c r="Q545" i="6"/>
  <c r="R545" i="6"/>
  <c r="Q544" i="6"/>
  <c r="R544" i="6"/>
  <c r="Q543" i="6"/>
  <c r="R543" i="6"/>
  <c r="Q542" i="6"/>
  <c r="R542" i="6"/>
  <c r="Q541" i="6"/>
  <c r="R541" i="6"/>
  <c r="Q540" i="6"/>
  <c r="R540" i="6"/>
  <c r="Q539" i="6"/>
  <c r="R539" i="6"/>
  <c r="Q538" i="6"/>
  <c r="R538" i="6"/>
  <c r="Q537" i="6"/>
  <c r="R537" i="6"/>
  <c r="Q536" i="6"/>
  <c r="R536" i="6"/>
  <c r="Q535" i="6"/>
  <c r="R535" i="6"/>
  <c r="Q534" i="6"/>
  <c r="R534" i="6"/>
  <c r="Q533" i="6"/>
  <c r="R533" i="6"/>
  <c r="Q532" i="6"/>
  <c r="R532" i="6"/>
  <c r="Q531" i="6"/>
  <c r="R531" i="6"/>
  <c r="Q530" i="6"/>
  <c r="R530" i="6"/>
  <c r="Q529" i="6"/>
  <c r="R529" i="6"/>
  <c r="Q528" i="6"/>
  <c r="R528" i="6"/>
  <c r="Q527" i="6"/>
  <c r="R527" i="6"/>
  <c r="Q526" i="6"/>
  <c r="R526" i="6"/>
  <c r="Q525" i="6"/>
  <c r="R525" i="6"/>
  <c r="Q524" i="6"/>
  <c r="R524" i="6"/>
  <c r="Q523" i="6"/>
  <c r="R523" i="6"/>
  <c r="Q522" i="6"/>
  <c r="R522" i="6"/>
  <c r="Q521" i="6"/>
  <c r="R521" i="6"/>
  <c r="Q520" i="6"/>
  <c r="R520" i="6"/>
  <c r="Q519" i="6"/>
  <c r="R519" i="6"/>
  <c r="Q518" i="6"/>
  <c r="R518" i="6"/>
  <c r="Q517" i="6"/>
  <c r="R517" i="6"/>
  <c r="Q516" i="6"/>
  <c r="R516" i="6"/>
  <c r="Q515" i="6"/>
  <c r="R515" i="6"/>
  <c r="Q514" i="6"/>
  <c r="R514" i="6"/>
  <c r="Q513" i="6"/>
  <c r="R513" i="6"/>
  <c r="Q512" i="6"/>
  <c r="R512" i="6"/>
  <c r="Q511" i="6"/>
  <c r="R511" i="6"/>
  <c r="Q510" i="6"/>
  <c r="R510" i="6"/>
  <c r="Q509" i="6"/>
  <c r="R509" i="6"/>
  <c r="Q508" i="6"/>
  <c r="R508" i="6"/>
  <c r="Q507" i="6"/>
  <c r="R507" i="6"/>
  <c r="Q506" i="6"/>
  <c r="R506" i="6"/>
  <c r="Q505" i="6"/>
  <c r="R505" i="6"/>
  <c r="Q504" i="6"/>
  <c r="R504" i="6"/>
  <c r="Q503" i="6"/>
  <c r="R503" i="6"/>
  <c r="Q502" i="6"/>
  <c r="R502" i="6"/>
  <c r="Q501" i="6"/>
  <c r="R501" i="6"/>
  <c r="Q500" i="6"/>
  <c r="R500" i="6"/>
  <c r="Q499" i="6"/>
  <c r="R499" i="6"/>
  <c r="Q498" i="6"/>
  <c r="R498" i="6"/>
  <c r="Q497" i="6"/>
  <c r="R497" i="6"/>
  <c r="Q496" i="6"/>
  <c r="R496" i="6"/>
  <c r="Q495" i="6"/>
  <c r="R495" i="6"/>
  <c r="Q494" i="6"/>
  <c r="R494" i="6"/>
  <c r="Q493" i="6"/>
  <c r="R493" i="6"/>
  <c r="Q492" i="6"/>
  <c r="R492" i="6"/>
  <c r="Q491" i="6"/>
  <c r="R491" i="6"/>
  <c r="Q490" i="6"/>
  <c r="R490" i="6"/>
  <c r="Q489" i="6"/>
  <c r="R489" i="6"/>
  <c r="Q488" i="6"/>
  <c r="R488" i="6"/>
  <c r="Q487" i="6"/>
  <c r="R487" i="6"/>
  <c r="Q486" i="6"/>
  <c r="R486" i="6"/>
  <c r="Q485" i="6"/>
  <c r="R485" i="6"/>
  <c r="Q484" i="6"/>
  <c r="R484" i="6"/>
  <c r="Q483" i="6"/>
  <c r="R483" i="6"/>
  <c r="Q482" i="6"/>
  <c r="R482" i="6"/>
  <c r="Q481" i="6"/>
  <c r="R481" i="6"/>
  <c r="Q480" i="6"/>
  <c r="R480" i="6"/>
  <c r="Q479" i="6"/>
  <c r="R479" i="6"/>
  <c r="Q478" i="6"/>
  <c r="R478" i="6"/>
  <c r="Q477" i="6"/>
  <c r="R477" i="6"/>
  <c r="Q476" i="6"/>
  <c r="R476" i="6"/>
  <c r="Q475" i="6"/>
  <c r="R475" i="6"/>
  <c r="Q474" i="6"/>
  <c r="R474" i="6"/>
  <c r="Q473" i="6"/>
  <c r="R473" i="6"/>
  <c r="Q472" i="6"/>
  <c r="R472" i="6"/>
  <c r="Q471" i="6"/>
  <c r="R471" i="6"/>
  <c r="Q470" i="6"/>
  <c r="R470" i="6"/>
  <c r="Q469" i="6"/>
  <c r="R469" i="6"/>
  <c r="Q468" i="6"/>
  <c r="R468" i="6"/>
  <c r="Q467" i="6"/>
  <c r="R467" i="6"/>
  <c r="Q466" i="6"/>
  <c r="R466" i="6"/>
  <c r="Q465" i="6"/>
  <c r="R465" i="6"/>
  <c r="Q464" i="6"/>
  <c r="R464" i="6"/>
  <c r="Q463" i="6"/>
  <c r="R463" i="6"/>
  <c r="Q462" i="6"/>
  <c r="R462" i="6"/>
  <c r="Q461" i="6"/>
  <c r="R461" i="6"/>
  <c r="Q460" i="6"/>
  <c r="R460" i="6"/>
  <c r="Q459" i="6"/>
  <c r="R459" i="6"/>
  <c r="Q458" i="6"/>
  <c r="R458" i="6"/>
  <c r="Q457" i="6"/>
  <c r="R457" i="6"/>
  <c r="Q456" i="6"/>
  <c r="R456" i="6"/>
  <c r="Q455" i="6"/>
  <c r="R455" i="6"/>
  <c r="Q454" i="6"/>
  <c r="R454" i="6"/>
  <c r="Q453" i="6"/>
  <c r="R453" i="6"/>
  <c r="Q452" i="6"/>
  <c r="R452" i="6"/>
  <c r="Q451" i="6"/>
  <c r="R451" i="6"/>
  <c r="Q450" i="6"/>
  <c r="R450" i="6"/>
  <c r="Q449" i="6"/>
  <c r="R449" i="6"/>
  <c r="Q448" i="6"/>
  <c r="R448" i="6"/>
  <c r="Q447" i="6"/>
  <c r="R447" i="6"/>
  <c r="Q446" i="6"/>
  <c r="R446" i="6"/>
  <c r="Q445" i="6"/>
  <c r="R445" i="6"/>
  <c r="Q444" i="6"/>
  <c r="R444" i="6"/>
  <c r="Q443" i="6"/>
  <c r="R443" i="6"/>
  <c r="Q442" i="6"/>
  <c r="R442" i="6"/>
  <c r="Q441" i="6"/>
  <c r="R441" i="6"/>
  <c r="Q440" i="6"/>
  <c r="R440" i="6"/>
  <c r="Q439" i="6"/>
  <c r="R439" i="6"/>
  <c r="Q438" i="6"/>
  <c r="R438" i="6"/>
  <c r="Q437" i="6"/>
  <c r="R437" i="6"/>
  <c r="Q436" i="6"/>
  <c r="R436" i="6"/>
  <c r="Q435" i="6"/>
  <c r="R435" i="6"/>
  <c r="Q434" i="6"/>
  <c r="R434" i="6"/>
  <c r="Q433" i="6"/>
  <c r="R433" i="6"/>
  <c r="Q432" i="6"/>
  <c r="R432" i="6"/>
  <c r="Q431" i="6"/>
  <c r="R431" i="6"/>
  <c r="Q430" i="6"/>
  <c r="R430" i="6"/>
  <c r="Q429" i="6"/>
  <c r="R429" i="6"/>
  <c r="Q428" i="6"/>
  <c r="R428" i="6"/>
  <c r="Q427" i="6"/>
  <c r="R427" i="6"/>
  <c r="Q426" i="6"/>
  <c r="R426" i="6"/>
  <c r="Q425" i="6"/>
  <c r="R425" i="6"/>
  <c r="Q424" i="6"/>
  <c r="R424" i="6"/>
  <c r="Q423" i="6"/>
  <c r="R423" i="6"/>
  <c r="Q422" i="6"/>
  <c r="R422" i="6"/>
  <c r="Q421" i="6"/>
  <c r="R421" i="6"/>
  <c r="Q420" i="6"/>
  <c r="R420" i="6"/>
  <c r="Q419" i="6"/>
  <c r="R419" i="6"/>
  <c r="Q418" i="6"/>
  <c r="R418" i="6"/>
  <c r="Q417" i="6"/>
  <c r="R417" i="6"/>
  <c r="Q416" i="6"/>
  <c r="R416" i="6"/>
  <c r="Q415" i="6"/>
  <c r="R415" i="6"/>
  <c r="Q414" i="6"/>
  <c r="R414" i="6"/>
  <c r="Q413" i="6"/>
  <c r="R413" i="6"/>
  <c r="Q412" i="6"/>
  <c r="R412" i="6"/>
  <c r="Q411" i="6"/>
  <c r="R411" i="6"/>
  <c r="Q410" i="6"/>
  <c r="R410" i="6"/>
  <c r="Q409" i="6"/>
  <c r="R409" i="6"/>
  <c r="Q408" i="6"/>
  <c r="R408" i="6"/>
  <c r="Q407" i="6"/>
  <c r="R407" i="6"/>
  <c r="Q406" i="6"/>
  <c r="R406" i="6"/>
  <c r="Q405" i="6"/>
  <c r="R405" i="6"/>
  <c r="Q404" i="6"/>
  <c r="R404" i="6"/>
  <c r="Q403" i="6"/>
  <c r="R403" i="6"/>
  <c r="Q402" i="6"/>
  <c r="R402" i="6"/>
  <c r="Q401" i="6"/>
  <c r="R401" i="6"/>
  <c r="Q400" i="6"/>
  <c r="R400" i="6"/>
  <c r="Q399" i="6"/>
  <c r="R399" i="6"/>
  <c r="Q398" i="6"/>
  <c r="R398" i="6"/>
  <c r="Q397" i="6"/>
  <c r="R397" i="6"/>
  <c r="Q396" i="6"/>
  <c r="R396" i="6"/>
  <c r="Q395" i="6"/>
  <c r="R395" i="6"/>
  <c r="Q394" i="6"/>
  <c r="R394" i="6"/>
  <c r="Q393" i="6"/>
  <c r="R393" i="6"/>
  <c r="Q392" i="6"/>
  <c r="R392" i="6"/>
  <c r="Q391" i="6"/>
  <c r="R391" i="6"/>
  <c r="Q390" i="6"/>
  <c r="R390" i="6"/>
  <c r="Q389" i="6"/>
  <c r="R389" i="6"/>
  <c r="Q388" i="6"/>
  <c r="R388" i="6"/>
  <c r="Q387" i="6"/>
  <c r="R387" i="6"/>
  <c r="Q386" i="6"/>
  <c r="R386" i="6"/>
  <c r="Q385" i="6"/>
  <c r="R385" i="6"/>
  <c r="Q384" i="6"/>
  <c r="R384" i="6"/>
  <c r="Q383" i="6"/>
  <c r="R383" i="6"/>
  <c r="Q382" i="6"/>
  <c r="R382" i="6"/>
  <c r="Q381" i="6"/>
  <c r="R381" i="6"/>
  <c r="Q380" i="6"/>
  <c r="R380" i="6"/>
  <c r="Q379" i="6"/>
  <c r="R379" i="6"/>
  <c r="Q378" i="6"/>
  <c r="R378" i="6"/>
  <c r="Q377" i="6"/>
  <c r="R377" i="6"/>
  <c r="Q376" i="6"/>
  <c r="R376" i="6"/>
  <c r="Q375" i="6"/>
  <c r="R375" i="6"/>
  <c r="Q374" i="6"/>
  <c r="R374" i="6"/>
  <c r="Q373" i="6"/>
  <c r="R373" i="6"/>
  <c r="Q372" i="6"/>
  <c r="R372" i="6"/>
  <c r="Q371" i="6"/>
  <c r="R371" i="6"/>
  <c r="Q370" i="6"/>
  <c r="R370" i="6"/>
  <c r="Q369" i="6"/>
  <c r="R369" i="6"/>
  <c r="Q368" i="6"/>
  <c r="R368" i="6"/>
  <c r="Q367" i="6"/>
  <c r="R367" i="6"/>
  <c r="Q366" i="6"/>
  <c r="R366" i="6"/>
  <c r="Q365" i="6"/>
  <c r="R365" i="6"/>
  <c r="Q364" i="6"/>
  <c r="R364" i="6"/>
  <c r="Q363" i="6"/>
  <c r="R363" i="6"/>
  <c r="Q362" i="6"/>
  <c r="R362" i="6"/>
  <c r="Q361" i="6"/>
  <c r="R361" i="6"/>
  <c r="Q360" i="6"/>
  <c r="R360" i="6"/>
  <c r="Q359" i="6"/>
  <c r="R359" i="6"/>
  <c r="Q358" i="6"/>
  <c r="R358" i="6"/>
  <c r="Q357" i="6"/>
  <c r="R357" i="6"/>
  <c r="Q356" i="6"/>
  <c r="R356" i="6"/>
  <c r="Q355" i="6"/>
  <c r="R355" i="6"/>
  <c r="Q354" i="6"/>
  <c r="R354" i="6"/>
  <c r="Q353" i="6"/>
  <c r="R353" i="6"/>
  <c r="Q352" i="6"/>
  <c r="R352" i="6"/>
  <c r="Q351" i="6"/>
  <c r="R351" i="6"/>
  <c r="Q350" i="6"/>
  <c r="R350" i="6"/>
  <c r="Q349" i="6"/>
  <c r="R349" i="6"/>
  <c r="Q348" i="6"/>
  <c r="R348" i="6"/>
  <c r="Q347" i="6"/>
  <c r="R347" i="6"/>
  <c r="Q346" i="6"/>
  <c r="R346" i="6"/>
  <c r="Q345" i="6"/>
  <c r="R345" i="6"/>
  <c r="Q344" i="6"/>
  <c r="R344" i="6"/>
  <c r="Q343" i="6"/>
  <c r="R343" i="6"/>
  <c r="Q342" i="6"/>
  <c r="R342" i="6"/>
  <c r="Q341" i="6"/>
  <c r="R341" i="6"/>
  <c r="Q340" i="6"/>
  <c r="R340" i="6"/>
  <c r="Q339" i="6"/>
  <c r="R339" i="6"/>
  <c r="Q338" i="6"/>
  <c r="R338" i="6"/>
  <c r="Q337" i="6"/>
  <c r="R337" i="6"/>
  <c r="Q336" i="6"/>
  <c r="R336" i="6"/>
  <c r="Q335" i="6"/>
  <c r="R335" i="6"/>
  <c r="Q334" i="6"/>
  <c r="R334" i="6"/>
  <c r="Q333" i="6"/>
  <c r="R333" i="6"/>
  <c r="Q332" i="6"/>
  <c r="R332" i="6"/>
  <c r="Q331" i="6"/>
  <c r="R331" i="6"/>
  <c r="Q330" i="6"/>
  <c r="R330" i="6"/>
  <c r="Q329" i="6"/>
  <c r="R329" i="6"/>
  <c r="Q328" i="6"/>
  <c r="R328" i="6"/>
  <c r="Q327" i="6"/>
  <c r="R327" i="6"/>
  <c r="Q326" i="6"/>
  <c r="R326" i="6"/>
  <c r="Q325" i="6"/>
  <c r="R325" i="6"/>
  <c r="Q324" i="6"/>
  <c r="R324" i="6"/>
  <c r="Q323" i="6"/>
  <c r="R323" i="6"/>
  <c r="Q322" i="6"/>
  <c r="R322" i="6"/>
  <c r="Q321" i="6"/>
  <c r="R321" i="6"/>
  <c r="Q320" i="6"/>
  <c r="R320" i="6"/>
  <c r="Q319" i="6"/>
  <c r="R319" i="6"/>
  <c r="Q318" i="6"/>
  <c r="R318" i="6"/>
  <c r="Q317" i="6"/>
  <c r="R317" i="6"/>
  <c r="Q316" i="6"/>
  <c r="R316" i="6"/>
  <c r="Q315" i="6"/>
  <c r="R315" i="6"/>
  <c r="Q314" i="6"/>
  <c r="R314" i="6"/>
  <c r="Q313" i="6"/>
  <c r="R313" i="6"/>
  <c r="Q312" i="6"/>
  <c r="R312" i="6"/>
  <c r="Q311" i="6"/>
  <c r="R311" i="6"/>
  <c r="Q310" i="6"/>
  <c r="R310" i="6"/>
  <c r="Q309" i="6"/>
  <c r="R309" i="6"/>
  <c r="Q308" i="6"/>
  <c r="R308" i="6"/>
  <c r="Q307" i="6"/>
  <c r="R307" i="6"/>
  <c r="Q306" i="6"/>
  <c r="R306" i="6"/>
  <c r="Q305" i="6"/>
  <c r="R305" i="6"/>
  <c r="Q304" i="6"/>
  <c r="R304" i="6"/>
  <c r="Q303" i="6"/>
  <c r="R303" i="6"/>
  <c r="Q302" i="6"/>
  <c r="R302" i="6"/>
  <c r="Q301" i="6"/>
  <c r="R301" i="6"/>
  <c r="Q300" i="6"/>
  <c r="R300" i="6"/>
  <c r="Q299" i="6"/>
  <c r="R299" i="6"/>
  <c r="Q298" i="6"/>
  <c r="R298" i="6"/>
  <c r="Q297" i="6"/>
  <c r="R297" i="6"/>
  <c r="Q296" i="6"/>
  <c r="R296" i="6"/>
  <c r="Q295" i="6"/>
  <c r="R295" i="6"/>
  <c r="Q294" i="6"/>
  <c r="R294" i="6"/>
  <c r="Q293" i="6"/>
  <c r="R293" i="6"/>
  <c r="Q292" i="6"/>
  <c r="R292" i="6"/>
  <c r="Q291" i="6"/>
  <c r="R291" i="6"/>
  <c r="Q290" i="6"/>
  <c r="R290" i="6"/>
  <c r="Q289" i="6"/>
  <c r="R289" i="6"/>
  <c r="Q288" i="6"/>
  <c r="R288" i="6"/>
  <c r="Q287" i="6"/>
  <c r="R287" i="6"/>
  <c r="Q286" i="6"/>
  <c r="R286" i="6"/>
  <c r="Q285" i="6"/>
  <c r="R285" i="6"/>
  <c r="Q284" i="6"/>
  <c r="R284" i="6"/>
  <c r="Q283" i="6"/>
  <c r="R283" i="6"/>
  <c r="Q282" i="6"/>
  <c r="R282" i="6"/>
  <c r="Q281" i="6"/>
  <c r="R281" i="6"/>
  <c r="Q280" i="6"/>
  <c r="R280" i="6"/>
  <c r="Q279" i="6"/>
  <c r="R279" i="6"/>
  <c r="Q278" i="6"/>
  <c r="R278" i="6"/>
  <c r="Q277" i="6"/>
  <c r="R277" i="6"/>
  <c r="Q276" i="6"/>
  <c r="R276" i="6"/>
  <c r="Q275" i="6"/>
  <c r="R275" i="6"/>
  <c r="Q274" i="6"/>
  <c r="R274" i="6"/>
  <c r="Q273" i="6"/>
  <c r="R273" i="6"/>
  <c r="Q272" i="6"/>
  <c r="R272" i="6"/>
  <c r="Q271" i="6"/>
  <c r="R271" i="6"/>
  <c r="Q270" i="6"/>
  <c r="R270" i="6"/>
  <c r="Q269" i="6"/>
  <c r="R269" i="6"/>
  <c r="Q268" i="6"/>
  <c r="R268" i="6"/>
  <c r="Q267" i="6"/>
  <c r="R267" i="6"/>
  <c r="Q266" i="6"/>
  <c r="R266" i="6"/>
  <c r="Q265" i="6"/>
  <c r="R265" i="6"/>
  <c r="Q264" i="6"/>
  <c r="R264" i="6"/>
  <c r="Q263" i="6"/>
  <c r="R263" i="6"/>
  <c r="Q262" i="6"/>
  <c r="R262" i="6"/>
  <c r="Q261" i="6"/>
  <c r="R261" i="6"/>
  <c r="Q260" i="6"/>
  <c r="R260" i="6"/>
  <c r="Q259" i="6"/>
  <c r="R259" i="6"/>
  <c r="Q258" i="6"/>
  <c r="R258" i="6"/>
  <c r="Q257" i="6"/>
  <c r="R257" i="6"/>
  <c r="Q256" i="6"/>
  <c r="R256" i="6"/>
  <c r="Q255" i="6"/>
  <c r="R255" i="6"/>
  <c r="Q254" i="6"/>
  <c r="R254" i="6"/>
  <c r="Q253" i="6"/>
  <c r="R253" i="6"/>
  <c r="Q252" i="6"/>
  <c r="R252" i="6"/>
  <c r="Q251" i="6"/>
  <c r="R251" i="6"/>
  <c r="Q250" i="6"/>
  <c r="R250" i="6"/>
  <c r="Q249" i="6"/>
  <c r="R249" i="6"/>
  <c r="Q248" i="6"/>
  <c r="R248" i="6"/>
  <c r="Q247" i="6"/>
  <c r="R247" i="6"/>
  <c r="Q246" i="6"/>
  <c r="R246" i="6"/>
  <c r="Q245" i="6"/>
  <c r="R245" i="6"/>
  <c r="Q244" i="6"/>
  <c r="R244" i="6"/>
  <c r="Q243" i="6"/>
  <c r="R243" i="6"/>
  <c r="Q242" i="6"/>
  <c r="R242" i="6"/>
  <c r="Q241" i="6"/>
  <c r="R241" i="6"/>
  <c r="Q240" i="6"/>
  <c r="R240" i="6"/>
  <c r="Q239" i="6"/>
  <c r="R239" i="6"/>
  <c r="Q238" i="6"/>
  <c r="R238" i="6"/>
  <c r="Q237" i="6"/>
  <c r="R237" i="6"/>
  <c r="Q236" i="6"/>
  <c r="R236" i="6"/>
  <c r="Q235" i="6"/>
  <c r="R235" i="6"/>
  <c r="Q234" i="6"/>
  <c r="R234" i="6"/>
  <c r="Q233" i="6"/>
  <c r="R233" i="6"/>
  <c r="Q232" i="6"/>
  <c r="R232" i="6"/>
  <c r="Q231" i="6"/>
  <c r="R231" i="6"/>
  <c r="Q230" i="6"/>
  <c r="R230" i="6"/>
  <c r="Q229" i="6"/>
  <c r="R229" i="6"/>
  <c r="Q228" i="6"/>
  <c r="R228" i="6"/>
  <c r="Q227" i="6"/>
  <c r="R227" i="6"/>
  <c r="Q226" i="6"/>
  <c r="R226" i="6"/>
  <c r="Q225" i="6"/>
  <c r="R225" i="6"/>
  <c r="Q224" i="6"/>
  <c r="R224" i="6"/>
  <c r="Q223" i="6"/>
  <c r="R223" i="6"/>
  <c r="Q222" i="6"/>
  <c r="R222" i="6"/>
  <c r="Q221" i="6"/>
  <c r="R221" i="6"/>
  <c r="Q220" i="6"/>
  <c r="R220" i="6"/>
  <c r="Q219" i="6"/>
  <c r="R219" i="6"/>
  <c r="Q218" i="6"/>
  <c r="R218" i="6"/>
  <c r="Q217" i="6"/>
  <c r="R217" i="6"/>
  <c r="Q216" i="6"/>
  <c r="R216" i="6"/>
  <c r="Q215" i="6"/>
  <c r="R215" i="6"/>
  <c r="Q214" i="6"/>
  <c r="R214" i="6"/>
  <c r="Q213" i="6"/>
  <c r="R213" i="6"/>
  <c r="Q212" i="6"/>
  <c r="R212" i="6"/>
  <c r="Q211" i="6"/>
  <c r="R211" i="6"/>
  <c r="Q210" i="6"/>
  <c r="R210" i="6"/>
  <c r="Q209" i="6"/>
  <c r="R209" i="6"/>
  <c r="Q208" i="6"/>
  <c r="R208" i="6"/>
  <c r="Q207" i="6"/>
  <c r="R207" i="6"/>
  <c r="Q206" i="6"/>
  <c r="R206" i="6"/>
  <c r="Q205" i="6"/>
  <c r="R205" i="6"/>
  <c r="Q204" i="6"/>
  <c r="R204" i="6"/>
  <c r="Q203" i="6"/>
  <c r="R203" i="6"/>
  <c r="Q202" i="6"/>
  <c r="R202" i="6"/>
  <c r="Q201" i="6"/>
  <c r="R201" i="6"/>
  <c r="Q200" i="6"/>
  <c r="R200" i="6"/>
  <c r="Q199" i="6"/>
  <c r="R199" i="6"/>
  <c r="Q198" i="6"/>
  <c r="R198" i="6"/>
  <c r="Q197" i="6"/>
  <c r="R197" i="6"/>
  <c r="Q196" i="6"/>
  <c r="R196" i="6"/>
  <c r="Q195" i="6"/>
  <c r="R195" i="6"/>
  <c r="Q194" i="6"/>
  <c r="R194" i="6"/>
  <c r="Q193" i="6"/>
  <c r="R193" i="6"/>
  <c r="Q192" i="6"/>
  <c r="R192" i="6"/>
  <c r="Q191" i="6"/>
  <c r="R191" i="6"/>
  <c r="Q190" i="6"/>
  <c r="R190" i="6"/>
  <c r="Q189" i="6"/>
  <c r="R189" i="6"/>
  <c r="Q188" i="6"/>
  <c r="R188" i="6"/>
  <c r="Q187" i="6"/>
  <c r="R187" i="6"/>
  <c r="Q186" i="6"/>
  <c r="R186" i="6"/>
  <c r="Q185" i="6"/>
  <c r="R185" i="6"/>
  <c r="Q184" i="6"/>
  <c r="R184" i="6"/>
  <c r="Q183" i="6"/>
  <c r="R183" i="6"/>
  <c r="Q182" i="6"/>
  <c r="R182" i="6"/>
  <c r="Q181" i="6"/>
  <c r="R181" i="6"/>
  <c r="Q180" i="6"/>
  <c r="R180" i="6"/>
  <c r="Q179" i="6"/>
  <c r="R179" i="6"/>
  <c r="Q178" i="6"/>
  <c r="R178" i="6"/>
  <c r="Q177" i="6"/>
  <c r="R177" i="6"/>
  <c r="Q176" i="6"/>
  <c r="R176" i="6"/>
  <c r="Q175" i="6"/>
  <c r="R175" i="6"/>
  <c r="Q174" i="6"/>
  <c r="R174" i="6"/>
  <c r="Q173" i="6"/>
  <c r="R173" i="6"/>
  <c r="Q172" i="6"/>
  <c r="R172" i="6"/>
  <c r="Q171" i="6"/>
  <c r="R171" i="6"/>
  <c r="Q170" i="6"/>
  <c r="R170" i="6"/>
  <c r="Q169" i="6"/>
  <c r="R169" i="6"/>
  <c r="Q168" i="6"/>
  <c r="R168" i="6"/>
  <c r="Q167" i="6"/>
  <c r="R167" i="6"/>
  <c r="Q166" i="6"/>
  <c r="R166" i="6"/>
  <c r="Q165" i="6"/>
  <c r="R165" i="6"/>
  <c r="Q164" i="6"/>
  <c r="R164" i="6"/>
  <c r="Q163" i="6"/>
  <c r="R163" i="6"/>
  <c r="Q162" i="6"/>
  <c r="R162" i="6"/>
  <c r="Q161" i="6"/>
  <c r="R161" i="6"/>
  <c r="Q160" i="6"/>
  <c r="R160" i="6"/>
  <c r="Q159" i="6"/>
  <c r="R159" i="6"/>
  <c r="Q158" i="6"/>
  <c r="R158" i="6"/>
  <c r="Q157" i="6"/>
  <c r="R157" i="6"/>
  <c r="Q156" i="6"/>
  <c r="R156" i="6"/>
  <c r="Q155" i="6"/>
  <c r="R155" i="6"/>
  <c r="Q154" i="6"/>
  <c r="R154" i="6"/>
  <c r="Q153" i="6"/>
  <c r="R153" i="6"/>
  <c r="Q152" i="6"/>
  <c r="R152" i="6"/>
  <c r="Q151" i="6"/>
  <c r="R151" i="6"/>
  <c r="Q150" i="6"/>
  <c r="R150" i="6"/>
  <c r="Q149" i="6"/>
  <c r="R149" i="6"/>
  <c r="Q148" i="6"/>
  <c r="R148" i="6"/>
  <c r="Q147" i="6"/>
  <c r="R147" i="6"/>
  <c r="Q146" i="6"/>
  <c r="R146" i="6"/>
  <c r="Q145" i="6"/>
  <c r="R145" i="6"/>
  <c r="Q144" i="6"/>
  <c r="R144" i="6"/>
  <c r="Q143" i="6"/>
  <c r="R143" i="6"/>
  <c r="Q142" i="6"/>
  <c r="R142" i="6"/>
  <c r="Q141" i="6"/>
  <c r="R141" i="6"/>
  <c r="Q140" i="6"/>
  <c r="R140" i="6"/>
  <c r="Q139" i="6"/>
  <c r="R139" i="6"/>
  <c r="Q138" i="6"/>
  <c r="R138" i="6"/>
  <c r="Q137" i="6"/>
  <c r="R137" i="6"/>
  <c r="Q136" i="6"/>
  <c r="R136" i="6"/>
  <c r="Q135" i="6"/>
  <c r="R135" i="6"/>
  <c r="Q134" i="6"/>
  <c r="R134" i="6"/>
  <c r="Q133" i="6"/>
  <c r="R133" i="6"/>
  <c r="Q132" i="6"/>
  <c r="R132" i="6"/>
  <c r="Q131" i="6"/>
  <c r="R131" i="6"/>
  <c r="Q130" i="6"/>
  <c r="R130" i="6"/>
  <c r="Q129" i="6"/>
  <c r="R129" i="6"/>
  <c r="Q128" i="6"/>
  <c r="R128" i="6"/>
  <c r="Q127" i="6"/>
  <c r="R127" i="6"/>
  <c r="Q126" i="6"/>
  <c r="R126" i="6"/>
  <c r="Q125" i="6"/>
  <c r="R125" i="6"/>
  <c r="Q124" i="6"/>
  <c r="R124" i="6"/>
  <c r="Q123" i="6"/>
  <c r="R123" i="6"/>
  <c r="Q122" i="6"/>
  <c r="R122" i="6"/>
  <c r="Q121" i="6"/>
  <c r="R121" i="6"/>
  <c r="Q120" i="6"/>
  <c r="R120" i="6"/>
  <c r="Q119" i="6"/>
  <c r="R119" i="6"/>
  <c r="Q118" i="6"/>
  <c r="R118" i="6"/>
  <c r="Q117" i="6"/>
  <c r="R117" i="6"/>
  <c r="Q116" i="6"/>
  <c r="R116" i="6"/>
  <c r="Q115" i="6"/>
  <c r="R115" i="6"/>
  <c r="Q114" i="6"/>
  <c r="R114" i="6"/>
  <c r="Q113" i="6"/>
  <c r="R113" i="6"/>
  <c r="Q112" i="6"/>
  <c r="R112" i="6"/>
  <c r="Q111" i="6"/>
  <c r="R111" i="6"/>
  <c r="Q110" i="6"/>
  <c r="R110" i="6"/>
  <c r="Q109" i="6"/>
  <c r="R109" i="6"/>
  <c r="Q108" i="6"/>
  <c r="R108" i="6"/>
  <c r="Q107" i="6"/>
  <c r="R107" i="6"/>
  <c r="Q106" i="6"/>
  <c r="R106" i="6"/>
  <c r="Q105" i="6"/>
  <c r="R105" i="6"/>
  <c r="Q104" i="6"/>
  <c r="R104" i="6"/>
  <c r="Q103" i="6"/>
  <c r="R103" i="6"/>
  <c r="Q102" i="6"/>
  <c r="R102" i="6"/>
  <c r="Q101" i="6"/>
  <c r="R101" i="6"/>
  <c r="Q100" i="6"/>
  <c r="R100" i="6"/>
  <c r="Q99" i="6"/>
  <c r="R99" i="6"/>
  <c r="Q98" i="6"/>
  <c r="R98" i="6"/>
  <c r="Q97" i="6"/>
  <c r="R97" i="6"/>
  <c r="Q96" i="6"/>
  <c r="R96" i="6"/>
  <c r="Q95" i="6"/>
  <c r="R95" i="6"/>
  <c r="Q94" i="6"/>
  <c r="R94" i="6"/>
  <c r="Q93" i="6"/>
  <c r="R93" i="6"/>
  <c r="Q92" i="6"/>
  <c r="R92" i="6"/>
  <c r="Q91" i="6"/>
  <c r="R91" i="6"/>
  <c r="Q90" i="6"/>
  <c r="R90" i="6"/>
  <c r="Q89" i="6"/>
  <c r="R89" i="6"/>
  <c r="Q88" i="6"/>
  <c r="R88" i="6"/>
  <c r="Q87" i="6"/>
  <c r="R87" i="6"/>
  <c r="Q86" i="6"/>
  <c r="R86" i="6"/>
  <c r="Q85" i="6"/>
  <c r="R85" i="6"/>
  <c r="Q84" i="6"/>
  <c r="R84" i="6"/>
  <c r="Q83" i="6"/>
  <c r="R83" i="6"/>
  <c r="Q82" i="6"/>
  <c r="R82" i="6"/>
  <c r="Q81" i="6"/>
  <c r="R81" i="6"/>
  <c r="Q80" i="6"/>
  <c r="R80" i="6"/>
  <c r="Q79" i="6"/>
  <c r="R79" i="6"/>
  <c r="Q78" i="6"/>
  <c r="R78" i="6"/>
  <c r="Q77" i="6"/>
  <c r="R77" i="6"/>
  <c r="Q76" i="6"/>
  <c r="R76" i="6"/>
  <c r="Q75" i="6"/>
  <c r="R75" i="6"/>
  <c r="Q74" i="6"/>
  <c r="R74" i="6"/>
  <c r="Q73" i="6"/>
  <c r="R73" i="6"/>
  <c r="Q72" i="6"/>
  <c r="R72" i="6"/>
  <c r="Q71" i="6"/>
  <c r="R71" i="6"/>
  <c r="Q70" i="6"/>
  <c r="R70" i="6"/>
  <c r="Q69" i="6"/>
  <c r="R69" i="6"/>
  <c r="Q68" i="6"/>
  <c r="R68" i="6"/>
  <c r="Q67" i="6"/>
  <c r="R67" i="6"/>
  <c r="Q66" i="6"/>
  <c r="R66" i="6"/>
  <c r="Q65" i="6"/>
  <c r="R65" i="6"/>
  <c r="Q64" i="6"/>
  <c r="R64" i="6"/>
  <c r="Q63" i="6"/>
  <c r="R63" i="6"/>
  <c r="Q62" i="6"/>
  <c r="R62" i="6"/>
  <c r="Q61" i="6"/>
  <c r="R61" i="6"/>
  <c r="Q60" i="6"/>
  <c r="R60" i="6"/>
  <c r="Q59" i="6"/>
  <c r="R59" i="6"/>
  <c r="Q58" i="6"/>
  <c r="R58" i="6"/>
  <c r="Q57" i="6"/>
  <c r="R57" i="6"/>
  <c r="Q56" i="6"/>
  <c r="R56" i="6"/>
  <c r="Q55" i="6"/>
  <c r="R55" i="6"/>
  <c r="Q54" i="6"/>
  <c r="R54" i="6"/>
  <c r="Q53" i="6"/>
  <c r="R53" i="6"/>
  <c r="Q52" i="6"/>
  <c r="R52" i="6"/>
  <c r="Q51" i="6"/>
  <c r="R51" i="6"/>
  <c r="Q50" i="6"/>
  <c r="R50" i="6"/>
  <c r="Q49" i="6"/>
  <c r="R49" i="6"/>
  <c r="Q48" i="6"/>
  <c r="R48" i="6"/>
  <c r="Q47" i="6"/>
  <c r="R47" i="6"/>
  <c r="Q46" i="6"/>
  <c r="R46" i="6"/>
  <c r="Q45" i="6"/>
  <c r="R45" i="6"/>
  <c r="Q44" i="6"/>
  <c r="R44" i="6"/>
  <c r="Q43" i="6"/>
  <c r="R43" i="6"/>
  <c r="Q42" i="6"/>
  <c r="R42" i="6"/>
  <c r="Q41" i="6"/>
  <c r="R41" i="6"/>
  <c r="Q40" i="6"/>
  <c r="R40" i="6"/>
  <c r="Q39" i="6"/>
  <c r="R39" i="6"/>
  <c r="Q38" i="6"/>
  <c r="R38" i="6"/>
  <c r="Q37" i="6"/>
  <c r="R37" i="6"/>
  <c r="Q36" i="6"/>
  <c r="R36" i="6"/>
  <c r="Q35" i="6"/>
  <c r="R35" i="6"/>
  <c r="Q34" i="6"/>
  <c r="R34" i="6"/>
  <c r="Q33" i="6"/>
  <c r="R33" i="6"/>
  <c r="Q32" i="6"/>
  <c r="R32" i="6"/>
  <c r="Q31" i="6"/>
  <c r="R31" i="6"/>
  <c r="Q30" i="6"/>
  <c r="R30" i="6"/>
  <c r="Q29" i="6"/>
  <c r="R29" i="6"/>
  <c r="Q28" i="6"/>
  <c r="R28" i="6"/>
  <c r="Q27" i="6"/>
  <c r="R27" i="6"/>
  <c r="Q26" i="6"/>
  <c r="R26" i="6"/>
  <c r="Q25" i="6"/>
  <c r="R25" i="6"/>
  <c r="Q24" i="6"/>
  <c r="R24" i="6"/>
  <c r="Q23" i="6"/>
  <c r="R23" i="6"/>
  <c r="Q22" i="6"/>
  <c r="R22" i="6"/>
  <c r="Q21" i="6"/>
  <c r="R21" i="6"/>
  <c r="Q20" i="6"/>
  <c r="R20" i="6"/>
  <c r="Q19" i="6"/>
  <c r="R19" i="6"/>
  <c r="Q18" i="6"/>
  <c r="R18" i="6"/>
  <c r="Q17" i="6"/>
  <c r="R17" i="6"/>
  <c r="Q16" i="6"/>
  <c r="R16" i="6"/>
  <c r="Q15" i="6"/>
  <c r="R15" i="6"/>
  <c r="Q14" i="6"/>
  <c r="R14" i="6"/>
  <c r="Q13" i="6"/>
  <c r="R13" i="6"/>
  <c r="Q12" i="6"/>
  <c r="R12" i="6"/>
  <c r="Q11" i="6"/>
  <c r="R11" i="6"/>
  <c r="Q10" i="6"/>
  <c r="R10" i="6"/>
  <c r="Q9" i="6"/>
  <c r="R9" i="6"/>
  <c r="Q8" i="6"/>
  <c r="R8" i="6"/>
  <c r="Q7" i="6"/>
  <c r="R7" i="6"/>
  <c r="Q6" i="6"/>
  <c r="R6" i="6"/>
  <c r="Q5" i="6"/>
  <c r="R5" i="6"/>
  <c r="Q4" i="6"/>
  <c r="R4" i="6"/>
  <c r="Q3" i="6"/>
  <c r="R3" i="6"/>
  <c r="D2" i="6"/>
  <c r="C2" i="6"/>
  <c r="C3" i="6"/>
  <c r="D3" i="6"/>
  <c r="C4" i="6"/>
  <c r="D4" i="6"/>
  <c r="C5" i="6"/>
  <c r="D5" i="6"/>
  <c r="C6" i="6"/>
  <c r="D6" i="6"/>
  <c r="C7" i="6"/>
  <c r="D7" i="6"/>
  <c r="C8" i="6"/>
  <c r="D8" i="6"/>
  <c r="C9" i="6"/>
  <c r="D9" i="6"/>
  <c r="C10" i="6"/>
  <c r="D10" i="6"/>
  <c r="C11" i="6"/>
  <c r="D11" i="6"/>
  <c r="C12" i="6"/>
  <c r="D12" i="6"/>
  <c r="C13" i="6"/>
  <c r="D13" i="6"/>
  <c r="C14" i="6"/>
  <c r="D14" i="6"/>
  <c r="C15" i="6"/>
  <c r="D15" i="6"/>
  <c r="C16" i="6"/>
  <c r="D16" i="6"/>
  <c r="C17" i="6"/>
  <c r="D17" i="6"/>
  <c r="C18" i="6"/>
  <c r="D18" i="6"/>
  <c r="C19" i="6"/>
  <c r="D19" i="6"/>
  <c r="C20" i="6"/>
  <c r="D20" i="6"/>
  <c r="C21" i="6"/>
  <c r="D21" i="6"/>
  <c r="C22" i="6"/>
  <c r="D22" i="6"/>
  <c r="C23" i="6"/>
  <c r="D23" i="6"/>
  <c r="C24" i="6"/>
  <c r="D24" i="6"/>
  <c r="C25" i="6"/>
  <c r="D25" i="6"/>
  <c r="C26" i="6"/>
  <c r="D26" i="6"/>
  <c r="C27" i="6"/>
  <c r="D27" i="6"/>
  <c r="C28" i="6"/>
  <c r="D28" i="6"/>
  <c r="C29" i="6"/>
  <c r="D29" i="6"/>
  <c r="C30" i="6"/>
  <c r="D30" i="6"/>
  <c r="C31" i="6"/>
  <c r="D31" i="6"/>
  <c r="C32" i="6"/>
  <c r="D32" i="6"/>
  <c r="C33" i="6"/>
  <c r="D33" i="6"/>
  <c r="C34" i="6"/>
  <c r="D34" i="6"/>
  <c r="C35" i="6"/>
  <c r="D35" i="6"/>
  <c r="C36" i="6"/>
  <c r="D36" i="6"/>
  <c r="C37" i="6"/>
  <c r="D37" i="6"/>
  <c r="C38" i="6"/>
  <c r="D38" i="6"/>
  <c r="C39" i="6"/>
  <c r="D39" i="6"/>
  <c r="C40" i="6"/>
  <c r="D40" i="6"/>
  <c r="C41" i="6"/>
  <c r="D41" i="6"/>
  <c r="C42" i="6"/>
  <c r="D42" i="6"/>
  <c r="C43" i="6"/>
  <c r="D43" i="6"/>
  <c r="C44" i="6"/>
  <c r="D44" i="6"/>
  <c r="C45" i="6"/>
  <c r="D45" i="6"/>
  <c r="C46" i="6"/>
  <c r="D46" i="6"/>
  <c r="C47" i="6"/>
  <c r="D47" i="6"/>
  <c r="C48" i="6"/>
  <c r="D48" i="6"/>
  <c r="C49" i="6"/>
  <c r="D49" i="6"/>
  <c r="C50" i="6"/>
  <c r="D50" i="6"/>
  <c r="C51" i="6"/>
  <c r="D51" i="6"/>
  <c r="C52" i="6"/>
  <c r="D52" i="6"/>
  <c r="C53" i="6"/>
  <c r="D53" i="6"/>
  <c r="C54" i="6"/>
  <c r="D54" i="6"/>
  <c r="C55" i="6"/>
  <c r="D55" i="6"/>
  <c r="C56" i="6"/>
  <c r="D56" i="6"/>
  <c r="C57" i="6"/>
  <c r="D57" i="6"/>
  <c r="C58" i="6"/>
  <c r="D58" i="6"/>
  <c r="C59" i="6"/>
  <c r="D59" i="6"/>
  <c r="C60" i="6"/>
  <c r="D60" i="6"/>
  <c r="C61" i="6"/>
  <c r="D61" i="6"/>
  <c r="C62" i="6"/>
  <c r="D62" i="6"/>
  <c r="C63" i="6"/>
  <c r="D63" i="6"/>
  <c r="C64" i="6"/>
  <c r="D64" i="6"/>
  <c r="C65" i="6"/>
  <c r="D65" i="6"/>
  <c r="C66" i="6"/>
  <c r="D66" i="6"/>
  <c r="C67" i="6"/>
  <c r="D67" i="6"/>
  <c r="C68" i="6"/>
  <c r="D68" i="6"/>
  <c r="C69" i="6"/>
  <c r="D69" i="6"/>
  <c r="C70" i="6"/>
  <c r="D70" i="6"/>
  <c r="C71" i="6"/>
  <c r="D71" i="6"/>
  <c r="C72" i="6"/>
  <c r="D72" i="6"/>
  <c r="C73" i="6"/>
  <c r="D73" i="6"/>
  <c r="C74" i="6"/>
  <c r="D74" i="6"/>
  <c r="C75" i="6"/>
  <c r="D75" i="6"/>
  <c r="C76" i="6"/>
  <c r="D76" i="6"/>
  <c r="C77" i="6"/>
  <c r="D77" i="6"/>
  <c r="C78" i="6"/>
  <c r="D78" i="6"/>
  <c r="C79" i="6"/>
  <c r="D79" i="6"/>
  <c r="C80" i="6"/>
  <c r="D80" i="6"/>
  <c r="C81" i="6"/>
  <c r="D81" i="6"/>
  <c r="C82" i="6"/>
  <c r="D82" i="6"/>
  <c r="C83" i="6"/>
  <c r="D83" i="6"/>
  <c r="C84" i="6"/>
  <c r="D84" i="6"/>
  <c r="C85" i="6"/>
  <c r="D85" i="6"/>
  <c r="C86" i="6"/>
  <c r="D86" i="6"/>
  <c r="C87" i="6"/>
  <c r="D87" i="6"/>
  <c r="C88" i="6"/>
  <c r="D88" i="6"/>
  <c r="C89" i="6"/>
  <c r="D89" i="6"/>
  <c r="C90" i="6"/>
  <c r="D90" i="6"/>
  <c r="C91" i="6"/>
  <c r="D91" i="6"/>
  <c r="C92" i="6"/>
  <c r="D92" i="6"/>
  <c r="C93" i="6"/>
  <c r="D93" i="6"/>
  <c r="C94" i="6"/>
  <c r="D94" i="6"/>
  <c r="C95" i="6"/>
  <c r="D95" i="6"/>
  <c r="C96" i="6"/>
  <c r="D96" i="6"/>
  <c r="C97" i="6"/>
  <c r="D97" i="6"/>
  <c r="C98" i="6"/>
  <c r="D98" i="6"/>
  <c r="C99" i="6"/>
  <c r="D99" i="6"/>
  <c r="C100" i="6"/>
  <c r="D100" i="6"/>
  <c r="C101" i="6"/>
  <c r="D101" i="6"/>
  <c r="C102" i="6"/>
  <c r="D102" i="6"/>
  <c r="C103" i="6"/>
  <c r="D103" i="6"/>
  <c r="C104" i="6"/>
  <c r="D104" i="6"/>
  <c r="C105" i="6"/>
  <c r="D105" i="6"/>
  <c r="C106" i="6"/>
  <c r="D106" i="6"/>
  <c r="C107" i="6"/>
  <c r="D107" i="6"/>
  <c r="C108" i="6"/>
  <c r="D108" i="6"/>
  <c r="C109" i="6"/>
  <c r="D109" i="6"/>
  <c r="C110" i="6"/>
  <c r="D110" i="6"/>
  <c r="C111" i="6"/>
  <c r="D111" i="6"/>
  <c r="C112" i="6"/>
  <c r="D112" i="6"/>
  <c r="C113" i="6"/>
  <c r="D113" i="6"/>
  <c r="C114" i="6"/>
  <c r="D114" i="6"/>
  <c r="C115" i="6"/>
  <c r="D115" i="6"/>
  <c r="C116" i="6"/>
  <c r="D116" i="6"/>
  <c r="C117" i="6"/>
  <c r="D117" i="6"/>
  <c r="C118" i="6"/>
  <c r="D118" i="6"/>
  <c r="C119" i="6"/>
  <c r="D119" i="6"/>
  <c r="C120" i="6"/>
  <c r="D120" i="6"/>
  <c r="C121" i="6"/>
  <c r="D121" i="6"/>
  <c r="C122" i="6"/>
  <c r="D122" i="6"/>
  <c r="C123" i="6"/>
  <c r="D123" i="6"/>
  <c r="C124" i="6"/>
  <c r="D124" i="6"/>
  <c r="C125" i="6"/>
  <c r="D125" i="6"/>
  <c r="C126" i="6"/>
  <c r="D126" i="6"/>
  <c r="C127" i="6"/>
  <c r="D127" i="6"/>
  <c r="C128" i="6"/>
  <c r="D128" i="6"/>
  <c r="C129" i="6"/>
  <c r="D129" i="6"/>
  <c r="C130" i="6"/>
  <c r="D130" i="6"/>
  <c r="C131" i="6"/>
  <c r="D131" i="6"/>
  <c r="C132" i="6"/>
  <c r="D132" i="6"/>
  <c r="C133" i="6"/>
  <c r="D133" i="6"/>
  <c r="C134" i="6"/>
  <c r="D134" i="6"/>
  <c r="C135" i="6"/>
  <c r="D135" i="6"/>
  <c r="C136" i="6"/>
  <c r="D136" i="6"/>
  <c r="C137" i="6"/>
  <c r="D137" i="6"/>
  <c r="C138" i="6"/>
  <c r="D138" i="6"/>
  <c r="C139" i="6"/>
  <c r="D139" i="6"/>
  <c r="C140" i="6"/>
  <c r="D140" i="6"/>
  <c r="C141" i="6"/>
  <c r="D141" i="6"/>
  <c r="C142" i="6"/>
  <c r="D142" i="6"/>
  <c r="C143" i="6"/>
  <c r="D143" i="6"/>
  <c r="C144" i="6"/>
  <c r="D144" i="6"/>
  <c r="C145" i="6"/>
  <c r="D145" i="6"/>
  <c r="C146" i="6"/>
  <c r="D146" i="6"/>
  <c r="C147" i="6"/>
  <c r="D147" i="6"/>
  <c r="C148" i="6"/>
  <c r="D148" i="6"/>
  <c r="C149" i="6"/>
  <c r="D149" i="6"/>
  <c r="C150" i="6"/>
  <c r="D150" i="6"/>
  <c r="C151" i="6"/>
  <c r="D151" i="6"/>
  <c r="C152" i="6"/>
  <c r="D152" i="6"/>
  <c r="C153" i="6"/>
  <c r="D153" i="6"/>
  <c r="C154" i="6"/>
  <c r="D154" i="6"/>
  <c r="C155" i="6"/>
  <c r="D155" i="6"/>
  <c r="C156" i="6"/>
  <c r="D156" i="6"/>
  <c r="C157" i="6"/>
  <c r="D157" i="6"/>
  <c r="C158" i="6"/>
  <c r="D158" i="6"/>
  <c r="C159" i="6"/>
  <c r="D159" i="6"/>
  <c r="C160" i="6"/>
  <c r="D160" i="6"/>
  <c r="C161" i="6"/>
  <c r="D161" i="6"/>
  <c r="C162" i="6"/>
  <c r="D162" i="6"/>
  <c r="C163" i="6"/>
  <c r="D163" i="6"/>
  <c r="C164" i="6"/>
  <c r="D164" i="6"/>
  <c r="C165" i="6"/>
  <c r="D165" i="6"/>
  <c r="C166" i="6"/>
  <c r="D166" i="6"/>
  <c r="C167" i="6"/>
  <c r="D167" i="6"/>
  <c r="C168" i="6"/>
  <c r="D168" i="6"/>
  <c r="C169" i="6"/>
  <c r="D169" i="6"/>
  <c r="C170" i="6"/>
  <c r="D170" i="6"/>
  <c r="C171" i="6"/>
  <c r="D171" i="6"/>
  <c r="C172" i="6"/>
  <c r="D172" i="6"/>
  <c r="C173" i="6"/>
  <c r="D173" i="6"/>
  <c r="C174" i="6"/>
  <c r="D174" i="6"/>
  <c r="C175" i="6"/>
  <c r="D175" i="6"/>
  <c r="C176" i="6"/>
  <c r="D176" i="6"/>
  <c r="C177" i="6"/>
  <c r="D177" i="6"/>
  <c r="C178" i="6"/>
  <c r="D178" i="6"/>
  <c r="C179" i="6"/>
  <c r="D179" i="6"/>
  <c r="C180" i="6"/>
  <c r="D180" i="6"/>
  <c r="C181" i="6"/>
  <c r="D181" i="6"/>
  <c r="C182" i="6"/>
  <c r="D182" i="6"/>
  <c r="C183" i="6"/>
  <c r="D183" i="6"/>
  <c r="C184" i="6"/>
  <c r="D184" i="6"/>
  <c r="C185" i="6"/>
  <c r="D185" i="6"/>
  <c r="C186" i="6"/>
  <c r="D186" i="6"/>
  <c r="C187" i="6"/>
  <c r="D187" i="6"/>
  <c r="C188" i="6"/>
  <c r="D188" i="6"/>
  <c r="C189" i="6"/>
  <c r="D189" i="6"/>
  <c r="C190" i="6"/>
  <c r="D190" i="6"/>
  <c r="C191" i="6"/>
  <c r="D191" i="6"/>
  <c r="C192" i="6"/>
  <c r="D192" i="6"/>
  <c r="C193" i="6"/>
  <c r="D193" i="6"/>
  <c r="C194" i="6"/>
  <c r="D194" i="6"/>
  <c r="C195" i="6"/>
  <c r="D195" i="6"/>
  <c r="C196" i="6"/>
  <c r="D196" i="6"/>
  <c r="C197" i="6"/>
  <c r="D197" i="6"/>
  <c r="C198" i="6"/>
  <c r="D198" i="6"/>
  <c r="C199" i="6"/>
  <c r="D199" i="6"/>
  <c r="C200" i="6"/>
  <c r="D200" i="6"/>
  <c r="C201" i="6"/>
  <c r="D201" i="6"/>
  <c r="C202" i="6"/>
  <c r="D202" i="6"/>
  <c r="C203" i="6"/>
  <c r="D203" i="6"/>
  <c r="C204" i="6"/>
  <c r="D204" i="6"/>
  <c r="C205" i="6"/>
  <c r="D205" i="6"/>
  <c r="C206" i="6"/>
  <c r="D206" i="6"/>
  <c r="C207" i="6"/>
  <c r="D207" i="6"/>
  <c r="C208" i="6"/>
  <c r="D208" i="6"/>
  <c r="C209" i="6"/>
  <c r="D209" i="6"/>
  <c r="C210" i="6"/>
  <c r="D210" i="6"/>
  <c r="C211" i="6"/>
  <c r="D211" i="6"/>
  <c r="C212" i="6"/>
  <c r="D212" i="6"/>
  <c r="C213" i="6"/>
  <c r="D213" i="6"/>
  <c r="C214" i="6"/>
  <c r="D214" i="6"/>
  <c r="C215" i="6"/>
  <c r="D215" i="6"/>
  <c r="C216" i="6"/>
  <c r="D216" i="6"/>
  <c r="C217" i="6"/>
  <c r="D217" i="6"/>
  <c r="C218" i="6"/>
  <c r="D218" i="6"/>
  <c r="C219" i="6"/>
  <c r="D219" i="6"/>
  <c r="C220" i="6"/>
  <c r="D220" i="6"/>
  <c r="C221" i="6"/>
  <c r="D221" i="6"/>
  <c r="C222" i="6"/>
  <c r="D222" i="6"/>
  <c r="C223" i="6"/>
  <c r="D223" i="6"/>
  <c r="C224" i="6"/>
  <c r="D224" i="6"/>
  <c r="C225" i="6"/>
  <c r="D225" i="6"/>
  <c r="C226" i="6"/>
  <c r="D226" i="6"/>
  <c r="C227" i="6"/>
  <c r="D227" i="6"/>
  <c r="C228" i="6"/>
  <c r="D228" i="6"/>
  <c r="C229" i="6"/>
  <c r="D229" i="6"/>
  <c r="C230" i="6"/>
  <c r="D230" i="6"/>
  <c r="C231" i="6"/>
  <c r="D231" i="6"/>
  <c r="C232" i="6"/>
  <c r="D232" i="6"/>
  <c r="C233" i="6"/>
  <c r="D233" i="6"/>
  <c r="C234" i="6"/>
  <c r="D234" i="6"/>
  <c r="C235" i="6"/>
  <c r="D235" i="6"/>
  <c r="C236" i="6"/>
  <c r="D236" i="6"/>
  <c r="C237" i="6"/>
  <c r="D237" i="6"/>
  <c r="C238" i="6"/>
  <c r="D238" i="6"/>
  <c r="C239" i="6"/>
  <c r="D239" i="6"/>
  <c r="C240" i="6"/>
  <c r="D240" i="6"/>
  <c r="C241" i="6"/>
  <c r="D241" i="6"/>
  <c r="C242" i="6"/>
  <c r="D242" i="6"/>
  <c r="C243" i="6"/>
  <c r="D243" i="6"/>
  <c r="C244" i="6"/>
  <c r="D244" i="6"/>
  <c r="C245" i="6"/>
  <c r="D245" i="6"/>
  <c r="C246" i="6"/>
  <c r="D246" i="6"/>
  <c r="C247" i="6"/>
  <c r="D247" i="6"/>
  <c r="C248" i="6"/>
  <c r="D248" i="6"/>
  <c r="C249" i="6"/>
  <c r="D249" i="6"/>
  <c r="C250" i="6"/>
  <c r="D250" i="6"/>
  <c r="C251" i="6"/>
  <c r="D251" i="6"/>
  <c r="C252" i="6"/>
  <c r="D252" i="6"/>
  <c r="C253" i="6"/>
  <c r="D253" i="6"/>
  <c r="C254" i="6"/>
  <c r="D254" i="6"/>
  <c r="C255" i="6"/>
  <c r="D255" i="6"/>
  <c r="C256" i="6"/>
  <c r="D256" i="6"/>
  <c r="C257" i="6"/>
  <c r="D257" i="6"/>
  <c r="C258" i="6"/>
  <c r="D258" i="6"/>
  <c r="C259" i="6"/>
  <c r="D259" i="6"/>
  <c r="C260" i="6"/>
  <c r="D260" i="6"/>
  <c r="C261" i="6"/>
  <c r="D261" i="6"/>
  <c r="C262" i="6"/>
  <c r="D262" i="6"/>
  <c r="C263" i="6"/>
  <c r="D263" i="6"/>
  <c r="C264" i="6"/>
  <c r="D264" i="6"/>
  <c r="C265" i="6"/>
  <c r="D265" i="6"/>
  <c r="C266" i="6"/>
  <c r="D266" i="6"/>
  <c r="C267" i="6"/>
  <c r="D267" i="6"/>
  <c r="C268" i="6"/>
  <c r="D268" i="6"/>
  <c r="C269" i="6"/>
  <c r="D269" i="6"/>
  <c r="C270" i="6"/>
  <c r="D270" i="6"/>
  <c r="C271" i="6"/>
  <c r="D271" i="6"/>
  <c r="C272" i="6"/>
  <c r="D272" i="6"/>
  <c r="C273" i="6"/>
  <c r="D273" i="6"/>
  <c r="C274" i="6"/>
  <c r="D274" i="6"/>
  <c r="C275" i="6"/>
  <c r="D275" i="6"/>
  <c r="C276" i="6"/>
  <c r="D276" i="6"/>
  <c r="C277" i="6"/>
  <c r="D277" i="6"/>
  <c r="C278" i="6"/>
  <c r="D278" i="6"/>
  <c r="C279" i="6"/>
  <c r="D279" i="6"/>
  <c r="C280" i="6"/>
  <c r="D280" i="6"/>
  <c r="C281" i="6"/>
  <c r="D281" i="6"/>
  <c r="C282" i="6"/>
  <c r="D282" i="6"/>
  <c r="C283" i="6"/>
  <c r="D283" i="6"/>
  <c r="C284" i="6"/>
  <c r="D284" i="6"/>
  <c r="C285" i="6"/>
  <c r="D285" i="6"/>
  <c r="C286" i="6"/>
  <c r="D286" i="6"/>
  <c r="C287" i="6"/>
  <c r="D287" i="6"/>
  <c r="C288" i="6"/>
  <c r="D288" i="6"/>
  <c r="C289" i="6"/>
  <c r="D289" i="6"/>
  <c r="C290" i="6"/>
  <c r="D290" i="6"/>
  <c r="C291" i="6"/>
  <c r="D291" i="6"/>
  <c r="C292" i="6"/>
  <c r="D292" i="6"/>
  <c r="C293" i="6"/>
  <c r="D293" i="6"/>
  <c r="C294" i="6"/>
  <c r="D294" i="6"/>
  <c r="C295" i="6"/>
  <c r="D295" i="6"/>
  <c r="C296" i="6"/>
  <c r="D296" i="6"/>
  <c r="C297" i="6"/>
  <c r="D297" i="6"/>
  <c r="C298" i="6"/>
  <c r="D298" i="6"/>
  <c r="C299" i="6"/>
  <c r="D299" i="6"/>
  <c r="C300" i="6"/>
  <c r="D300" i="6"/>
  <c r="C301" i="6"/>
  <c r="D301" i="6"/>
  <c r="C302" i="6"/>
  <c r="D302" i="6"/>
  <c r="C303" i="6"/>
  <c r="D303" i="6"/>
  <c r="C304" i="6"/>
  <c r="D304" i="6"/>
  <c r="C305" i="6"/>
  <c r="D305" i="6"/>
  <c r="C306" i="6"/>
  <c r="D306" i="6"/>
  <c r="C307" i="6"/>
  <c r="D307" i="6"/>
  <c r="C308" i="6"/>
  <c r="D308" i="6"/>
  <c r="C309" i="6"/>
  <c r="D309" i="6"/>
  <c r="C310" i="6"/>
  <c r="D310" i="6"/>
  <c r="C311" i="6"/>
  <c r="D311" i="6"/>
  <c r="C312" i="6"/>
  <c r="D312" i="6"/>
  <c r="C313" i="6"/>
  <c r="D313" i="6"/>
  <c r="C314" i="6"/>
  <c r="D314" i="6"/>
  <c r="C315" i="6"/>
  <c r="D315" i="6"/>
  <c r="C316" i="6"/>
  <c r="D316" i="6"/>
  <c r="C317" i="6"/>
  <c r="D317" i="6"/>
  <c r="C318" i="6"/>
  <c r="D318" i="6"/>
  <c r="C319" i="6"/>
  <c r="D319" i="6"/>
  <c r="C320" i="6"/>
  <c r="D320" i="6"/>
  <c r="C321" i="6"/>
  <c r="D321" i="6"/>
  <c r="C322" i="6"/>
  <c r="D322" i="6"/>
  <c r="C323" i="6"/>
  <c r="D323" i="6"/>
  <c r="C324" i="6"/>
  <c r="D324" i="6"/>
  <c r="C325" i="6"/>
  <c r="D325" i="6"/>
  <c r="C326" i="6"/>
  <c r="D326" i="6"/>
  <c r="C327" i="6"/>
  <c r="D327" i="6"/>
  <c r="C328" i="6"/>
  <c r="D328" i="6"/>
  <c r="C329" i="6"/>
  <c r="D329" i="6"/>
  <c r="C330" i="6"/>
  <c r="D330" i="6"/>
  <c r="C331" i="6"/>
  <c r="D331" i="6"/>
  <c r="C332" i="6"/>
  <c r="D332" i="6"/>
  <c r="C333" i="6"/>
  <c r="D333" i="6"/>
  <c r="C334" i="6"/>
  <c r="D334" i="6"/>
  <c r="C335" i="6"/>
  <c r="D335" i="6"/>
  <c r="C336" i="6"/>
  <c r="D336" i="6"/>
  <c r="C337" i="6"/>
  <c r="D337" i="6"/>
  <c r="C338" i="6"/>
  <c r="D338" i="6"/>
  <c r="C339" i="6"/>
  <c r="D339" i="6"/>
  <c r="C340" i="6"/>
  <c r="D340" i="6"/>
  <c r="C341" i="6"/>
  <c r="D341" i="6"/>
  <c r="C342" i="6"/>
  <c r="D342" i="6"/>
  <c r="C343" i="6"/>
  <c r="D343" i="6"/>
  <c r="C344" i="6"/>
  <c r="D344" i="6"/>
  <c r="C345" i="6"/>
  <c r="D345" i="6"/>
  <c r="C346" i="6"/>
  <c r="D346" i="6"/>
  <c r="C347" i="6"/>
  <c r="D347" i="6"/>
  <c r="C348" i="6"/>
  <c r="D348" i="6"/>
  <c r="C349" i="6"/>
  <c r="D349" i="6"/>
  <c r="C350" i="6"/>
  <c r="D350" i="6"/>
  <c r="C351" i="6"/>
  <c r="D351" i="6"/>
  <c r="C352" i="6"/>
  <c r="D352" i="6"/>
  <c r="C353" i="6"/>
  <c r="D353" i="6"/>
  <c r="C354" i="6"/>
  <c r="D354" i="6"/>
  <c r="C355" i="6"/>
  <c r="D355" i="6"/>
  <c r="C356" i="6"/>
  <c r="D356" i="6"/>
  <c r="C357" i="6"/>
  <c r="D357" i="6"/>
  <c r="C358" i="6"/>
  <c r="D358" i="6"/>
  <c r="C359" i="6"/>
  <c r="D359" i="6"/>
  <c r="C360" i="6"/>
  <c r="D360" i="6"/>
  <c r="C361" i="6"/>
  <c r="D361" i="6"/>
  <c r="C362" i="6"/>
  <c r="D362" i="6"/>
  <c r="C363" i="6"/>
  <c r="D363" i="6"/>
  <c r="C364" i="6"/>
  <c r="D364" i="6"/>
  <c r="C365" i="6"/>
  <c r="D365" i="6"/>
  <c r="C366" i="6"/>
  <c r="D366" i="6"/>
  <c r="C367" i="6"/>
  <c r="D367" i="6"/>
  <c r="C368" i="6"/>
  <c r="D368" i="6"/>
  <c r="C369" i="6"/>
  <c r="D369" i="6"/>
  <c r="C370" i="6"/>
  <c r="D370" i="6"/>
  <c r="C371" i="6"/>
  <c r="D371" i="6"/>
  <c r="C372" i="6"/>
  <c r="D372" i="6"/>
  <c r="C373" i="6"/>
  <c r="D373" i="6"/>
  <c r="C374" i="6"/>
  <c r="D374" i="6"/>
  <c r="C375" i="6"/>
  <c r="D375" i="6"/>
  <c r="C376" i="6"/>
  <c r="D376" i="6"/>
  <c r="C377" i="6"/>
  <c r="D377" i="6"/>
  <c r="C378" i="6"/>
  <c r="D378" i="6"/>
  <c r="C379" i="6"/>
  <c r="D379" i="6"/>
  <c r="C380" i="6"/>
  <c r="D380" i="6"/>
  <c r="C381" i="6"/>
  <c r="D381" i="6"/>
  <c r="C382" i="6"/>
  <c r="D382" i="6"/>
  <c r="C383" i="6"/>
  <c r="D383" i="6"/>
  <c r="C384" i="6"/>
  <c r="D384" i="6"/>
  <c r="C385" i="6"/>
  <c r="D385" i="6"/>
  <c r="C386" i="6"/>
  <c r="D386" i="6"/>
  <c r="C387" i="6"/>
  <c r="D387" i="6"/>
  <c r="C388" i="6"/>
  <c r="D388" i="6"/>
  <c r="C389" i="6"/>
  <c r="D389" i="6"/>
  <c r="C390" i="6"/>
  <c r="D390" i="6"/>
  <c r="C391" i="6"/>
  <c r="D391" i="6"/>
  <c r="C392" i="6"/>
  <c r="D392" i="6"/>
  <c r="C393" i="6"/>
  <c r="D393" i="6"/>
  <c r="C394" i="6"/>
  <c r="D394" i="6"/>
  <c r="C395" i="6"/>
  <c r="D395" i="6"/>
  <c r="C396" i="6"/>
  <c r="D396" i="6"/>
  <c r="C397" i="6"/>
  <c r="D397" i="6"/>
  <c r="C398" i="6"/>
  <c r="D398" i="6"/>
  <c r="C399" i="6"/>
  <c r="D399" i="6"/>
  <c r="C400" i="6"/>
  <c r="D400" i="6"/>
  <c r="C401" i="6"/>
  <c r="D401" i="6"/>
  <c r="C402" i="6"/>
  <c r="D402" i="6"/>
  <c r="C403" i="6"/>
  <c r="D403" i="6"/>
  <c r="C404" i="6"/>
  <c r="D404" i="6"/>
  <c r="C405" i="6"/>
  <c r="D405" i="6"/>
  <c r="C406" i="6"/>
  <c r="D406" i="6"/>
  <c r="C407" i="6"/>
  <c r="D407" i="6"/>
  <c r="C408" i="6"/>
  <c r="D408" i="6"/>
  <c r="C409" i="6"/>
  <c r="D409" i="6"/>
  <c r="C410" i="6"/>
  <c r="D410" i="6"/>
  <c r="C411" i="6"/>
  <c r="D411" i="6"/>
  <c r="C412" i="6"/>
  <c r="D412" i="6"/>
  <c r="C413" i="6"/>
  <c r="D413" i="6"/>
  <c r="C414" i="6"/>
  <c r="D414" i="6"/>
  <c r="C415" i="6"/>
  <c r="D415" i="6"/>
  <c r="C416" i="6"/>
  <c r="D416" i="6"/>
  <c r="C417" i="6"/>
  <c r="D417" i="6"/>
  <c r="C418" i="6"/>
  <c r="D418" i="6"/>
  <c r="C419" i="6"/>
  <c r="D419" i="6"/>
  <c r="C420" i="6"/>
  <c r="D420" i="6"/>
  <c r="C421" i="6"/>
  <c r="D421" i="6"/>
  <c r="C422" i="6"/>
  <c r="D422" i="6"/>
  <c r="C423" i="6"/>
  <c r="D423" i="6"/>
  <c r="C424" i="6"/>
  <c r="D424" i="6"/>
  <c r="C425" i="6"/>
  <c r="D425" i="6"/>
  <c r="C426" i="6"/>
  <c r="D426" i="6"/>
  <c r="C427" i="6"/>
  <c r="D427" i="6"/>
  <c r="C428" i="6"/>
  <c r="D428" i="6"/>
  <c r="C429" i="6"/>
  <c r="D429" i="6"/>
  <c r="C430" i="6"/>
  <c r="D430" i="6"/>
  <c r="C431" i="6"/>
  <c r="D431" i="6"/>
  <c r="C432" i="6"/>
  <c r="D432" i="6"/>
  <c r="C433" i="6"/>
  <c r="D433" i="6"/>
  <c r="C434" i="6"/>
  <c r="D434" i="6"/>
  <c r="C435" i="6"/>
  <c r="D435" i="6"/>
  <c r="C436" i="6"/>
  <c r="D436" i="6"/>
  <c r="C437" i="6"/>
  <c r="D437" i="6"/>
  <c r="C438" i="6"/>
  <c r="D438" i="6"/>
  <c r="C439" i="6"/>
  <c r="D439" i="6"/>
  <c r="C440" i="6"/>
  <c r="D440" i="6"/>
  <c r="C441" i="6"/>
  <c r="D441" i="6"/>
  <c r="C442" i="6"/>
  <c r="D442" i="6"/>
  <c r="C443" i="6"/>
  <c r="D443" i="6"/>
  <c r="C444" i="6"/>
  <c r="D444" i="6"/>
  <c r="C445" i="6"/>
  <c r="D445" i="6"/>
  <c r="C446" i="6"/>
  <c r="D446" i="6"/>
  <c r="C447" i="6"/>
  <c r="D447" i="6"/>
  <c r="C448" i="6"/>
  <c r="D448" i="6"/>
  <c r="C449" i="6"/>
  <c r="D449" i="6"/>
  <c r="C450" i="6"/>
  <c r="D450" i="6"/>
  <c r="C451" i="6"/>
  <c r="D451" i="6"/>
  <c r="C452" i="6"/>
  <c r="D452" i="6"/>
  <c r="C453" i="6"/>
  <c r="D453" i="6"/>
  <c r="C454" i="6"/>
  <c r="D454" i="6"/>
  <c r="C455" i="6"/>
  <c r="D455" i="6"/>
  <c r="C456" i="6"/>
  <c r="D456" i="6"/>
  <c r="C457" i="6"/>
  <c r="D457" i="6"/>
  <c r="C458" i="6"/>
  <c r="D458" i="6"/>
  <c r="C459" i="6"/>
  <c r="D459" i="6"/>
  <c r="C460" i="6"/>
  <c r="D460" i="6"/>
  <c r="C461" i="6"/>
  <c r="D461" i="6"/>
  <c r="C462" i="6"/>
  <c r="D462" i="6"/>
  <c r="C463" i="6"/>
  <c r="D463" i="6"/>
  <c r="C464" i="6"/>
  <c r="D464" i="6"/>
  <c r="C465" i="6"/>
  <c r="D465" i="6"/>
  <c r="C466" i="6"/>
  <c r="D466" i="6"/>
  <c r="C467" i="6"/>
  <c r="D467" i="6"/>
  <c r="C468" i="6"/>
  <c r="D468" i="6"/>
  <c r="C469" i="6"/>
  <c r="D469" i="6"/>
  <c r="C470" i="6"/>
  <c r="D470" i="6"/>
  <c r="C471" i="6"/>
  <c r="D471" i="6"/>
  <c r="C472" i="6"/>
  <c r="D472" i="6"/>
  <c r="C473" i="6"/>
  <c r="D473" i="6"/>
  <c r="C474" i="6"/>
  <c r="D474" i="6"/>
  <c r="C475" i="6"/>
  <c r="D475" i="6"/>
  <c r="C476" i="6"/>
  <c r="D476" i="6"/>
  <c r="C477" i="6"/>
  <c r="D477" i="6"/>
  <c r="C478" i="6"/>
  <c r="D478" i="6"/>
  <c r="C479" i="6"/>
  <c r="D479" i="6"/>
  <c r="C480" i="6"/>
  <c r="D480" i="6"/>
  <c r="C481" i="6"/>
  <c r="D481" i="6"/>
  <c r="C482" i="6"/>
  <c r="D482" i="6"/>
  <c r="C483" i="6"/>
  <c r="D483" i="6"/>
  <c r="C484" i="6"/>
  <c r="D484" i="6"/>
  <c r="C485" i="6"/>
  <c r="D485" i="6"/>
  <c r="C486" i="6"/>
  <c r="D486" i="6"/>
  <c r="C487" i="6"/>
  <c r="D487" i="6"/>
  <c r="C488" i="6"/>
  <c r="D488" i="6"/>
  <c r="C489" i="6"/>
  <c r="D489" i="6"/>
  <c r="C490" i="6"/>
  <c r="D490" i="6"/>
  <c r="C491" i="6"/>
  <c r="D491" i="6"/>
  <c r="C492" i="6"/>
  <c r="D492" i="6"/>
  <c r="C493" i="6"/>
  <c r="D493" i="6"/>
  <c r="C494" i="6"/>
  <c r="D494" i="6"/>
  <c r="C495" i="6"/>
  <c r="D495" i="6"/>
  <c r="C496" i="6"/>
  <c r="D496" i="6"/>
  <c r="C497" i="6"/>
  <c r="D497" i="6"/>
  <c r="C498" i="6"/>
  <c r="D498" i="6"/>
  <c r="C499" i="6"/>
  <c r="D499" i="6"/>
  <c r="C500" i="6"/>
  <c r="D500" i="6"/>
  <c r="C501" i="6"/>
  <c r="D501" i="6"/>
  <c r="C502" i="6"/>
  <c r="D502" i="6"/>
  <c r="C503" i="6"/>
  <c r="D503" i="6"/>
  <c r="C504" i="6"/>
  <c r="D504" i="6"/>
  <c r="C505" i="6"/>
  <c r="D505" i="6"/>
  <c r="C506" i="6"/>
  <c r="D506" i="6"/>
  <c r="C507" i="6"/>
  <c r="D507" i="6"/>
  <c r="C508" i="6"/>
  <c r="D508" i="6"/>
  <c r="C509" i="6"/>
  <c r="D509" i="6"/>
  <c r="C510" i="6"/>
  <c r="D510" i="6"/>
  <c r="C511" i="6"/>
  <c r="D511" i="6"/>
  <c r="C512" i="6"/>
  <c r="D512" i="6"/>
  <c r="C513" i="6"/>
  <c r="D513" i="6"/>
  <c r="C514" i="6"/>
  <c r="D514" i="6"/>
  <c r="C515" i="6"/>
  <c r="D515" i="6"/>
  <c r="C516" i="6"/>
  <c r="D516" i="6"/>
  <c r="C517" i="6"/>
  <c r="D517" i="6"/>
  <c r="C518" i="6"/>
  <c r="D518" i="6"/>
  <c r="C519" i="6"/>
  <c r="D519" i="6"/>
  <c r="C520" i="6"/>
  <c r="D520" i="6"/>
  <c r="C521" i="6"/>
  <c r="D521" i="6"/>
  <c r="C522" i="6"/>
  <c r="D522" i="6"/>
  <c r="C523" i="6"/>
  <c r="D523" i="6"/>
  <c r="C524" i="6"/>
  <c r="D524" i="6"/>
  <c r="C525" i="6"/>
  <c r="D525" i="6"/>
  <c r="C526" i="6"/>
  <c r="D526" i="6"/>
  <c r="C527" i="6"/>
  <c r="D527" i="6"/>
  <c r="C528" i="6"/>
  <c r="D528" i="6"/>
  <c r="C529" i="6"/>
  <c r="D529" i="6"/>
  <c r="C530" i="6"/>
  <c r="D530" i="6"/>
  <c r="C531" i="6"/>
  <c r="D531" i="6"/>
  <c r="C532" i="6"/>
  <c r="D532" i="6"/>
  <c r="C533" i="6"/>
  <c r="D533" i="6"/>
  <c r="C534" i="6"/>
  <c r="D534" i="6"/>
  <c r="C535" i="6"/>
  <c r="D535" i="6"/>
  <c r="C536" i="6"/>
  <c r="D536" i="6"/>
  <c r="C537" i="6"/>
  <c r="D537" i="6"/>
  <c r="C538" i="6"/>
  <c r="D538" i="6"/>
  <c r="C539" i="6"/>
  <c r="D539" i="6"/>
  <c r="C540" i="6"/>
  <c r="D540" i="6"/>
  <c r="C541" i="6"/>
  <c r="D541" i="6"/>
  <c r="C542" i="6"/>
  <c r="D542" i="6"/>
  <c r="C543" i="6"/>
  <c r="D543" i="6"/>
  <c r="C544" i="6"/>
  <c r="D544" i="6"/>
  <c r="C545" i="6"/>
  <c r="D545" i="6"/>
  <c r="C546" i="6"/>
  <c r="D546" i="6"/>
  <c r="C547" i="6"/>
  <c r="D547" i="6"/>
  <c r="C548" i="6"/>
  <c r="D548" i="6"/>
  <c r="C549" i="6"/>
  <c r="D549" i="6"/>
  <c r="C550" i="6"/>
  <c r="D550" i="6"/>
  <c r="C551" i="6"/>
  <c r="D551" i="6"/>
  <c r="C552" i="6"/>
  <c r="D552" i="6"/>
  <c r="C553" i="6"/>
  <c r="D553" i="6"/>
  <c r="C554" i="6"/>
  <c r="D554" i="6"/>
  <c r="C555" i="6"/>
  <c r="D555" i="6"/>
  <c r="C556" i="6"/>
  <c r="D556" i="6"/>
  <c r="C557" i="6"/>
  <c r="D557" i="6"/>
  <c r="C558" i="6"/>
  <c r="D558" i="6"/>
  <c r="C559" i="6"/>
  <c r="D559" i="6"/>
  <c r="C560" i="6"/>
  <c r="D560" i="6"/>
  <c r="C561" i="6"/>
  <c r="D561" i="6"/>
  <c r="C562" i="6"/>
  <c r="D562" i="6"/>
  <c r="C563" i="6"/>
  <c r="D563" i="6"/>
  <c r="C564" i="6"/>
  <c r="D564" i="6"/>
  <c r="C565" i="6"/>
  <c r="D565" i="6"/>
  <c r="C566" i="6"/>
  <c r="D566" i="6"/>
  <c r="C567" i="6"/>
  <c r="D567" i="6"/>
  <c r="C568" i="6"/>
  <c r="D568" i="6"/>
  <c r="C569" i="6"/>
  <c r="D569" i="6"/>
  <c r="C570" i="6"/>
  <c r="D570" i="6"/>
  <c r="C571" i="6"/>
  <c r="D571" i="6"/>
  <c r="C572" i="6"/>
  <c r="D572" i="6"/>
  <c r="C573" i="6"/>
  <c r="D573" i="6"/>
  <c r="C574" i="6"/>
  <c r="D574" i="6"/>
  <c r="C575" i="6"/>
  <c r="D575" i="6"/>
  <c r="C576" i="6"/>
  <c r="D576" i="6"/>
  <c r="C577" i="6"/>
  <c r="D577" i="6"/>
  <c r="C578" i="6"/>
  <c r="D578" i="6"/>
  <c r="C579" i="6"/>
  <c r="D579" i="6"/>
  <c r="C580" i="6"/>
  <c r="D580" i="6"/>
  <c r="C581" i="6"/>
  <c r="D581" i="6"/>
  <c r="C582" i="6"/>
  <c r="D582" i="6"/>
  <c r="C583" i="6"/>
  <c r="D583" i="6"/>
  <c r="C584" i="6"/>
  <c r="D584" i="6"/>
  <c r="C585" i="6"/>
  <c r="D585" i="6"/>
  <c r="C586" i="6"/>
  <c r="D586" i="6"/>
  <c r="C587" i="6"/>
  <c r="D587" i="6"/>
  <c r="C588" i="6"/>
  <c r="D588" i="6"/>
  <c r="C589" i="6"/>
  <c r="D589" i="6"/>
  <c r="C590" i="6"/>
  <c r="D590" i="6"/>
  <c r="C591" i="6"/>
  <c r="D591" i="6"/>
  <c r="C592" i="6"/>
  <c r="D592" i="6"/>
  <c r="C593" i="6"/>
  <c r="D593" i="6"/>
  <c r="C594" i="6"/>
  <c r="D594" i="6"/>
  <c r="C595" i="6"/>
  <c r="D595" i="6"/>
  <c r="C596" i="6"/>
  <c r="D596" i="6"/>
  <c r="C597" i="6"/>
  <c r="D597" i="6"/>
  <c r="C598" i="6"/>
  <c r="D598" i="6"/>
  <c r="C599" i="6"/>
  <c r="D599" i="6"/>
  <c r="C600" i="6"/>
  <c r="D600" i="6"/>
  <c r="C601" i="6"/>
  <c r="D601" i="6"/>
  <c r="C602" i="6"/>
  <c r="D602" i="6"/>
  <c r="C603" i="6"/>
  <c r="D603" i="6"/>
  <c r="C604" i="6"/>
  <c r="D604" i="6"/>
  <c r="C605" i="6"/>
  <c r="D605" i="6"/>
  <c r="C606" i="6"/>
  <c r="D606" i="6"/>
  <c r="C607" i="6"/>
  <c r="D607" i="6"/>
  <c r="C608" i="6"/>
  <c r="D608" i="6"/>
  <c r="C609" i="6"/>
  <c r="D609" i="6"/>
  <c r="C610" i="6"/>
  <c r="D610" i="6"/>
  <c r="C611" i="6"/>
  <c r="D611" i="6"/>
  <c r="C612" i="6"/>
  <c r="D612" i="6"/>
  <c r="C613" i="6"/>
  <c r="D613" i="6"/>
  <c r="C614" i="6"/>
  <c r="D614" i="6"/>
  <c r="C615" i="6"/>
  <c r="D615" i="6"/>
  <c r="C616" i="6"/>
  <c r="D616" i="6"/>
  <c r="C617" i="6"/>
  <c r="D617" i="6"/>
  <c r="C618" i="6"/>
  <c r="D618" i="6"/>
  <c r="C619" i="6"/>
  <c r="D619" i="6"/>
  <c r="C620" i="6"/>
  <c r="D620" i="6"/>
  <c r="C621" i="6"/>
  <c r="D621" i="6"/>
  <c r="C622" i="6"/>
  <c r="D622" i="6"/>
  <c r="C623" i="6"/>
  <c r="D623" i="6"/>
  <c r="C624" i="6"/>
  <c r="D624" i="6"/>
  <c r="C625" i="6"/>
  <c r="D625" i="6"/>
  <c r="C626" i="6"/>
  <c r="D626" i="6"/>
  <c r="C627" i="6"/>
  <c r="D627" i="6"/>
  <c r="C628" i="6"/>
  <c r="D628" i="6"/>
  <c r="C629" i="6"/>
  <c r="D629" i="6"/>
  <c r="C630" i="6"/>
  <c r="D630" i="6"/>
  <c r="C631" i="6"/>
  <c r="D631" i="6"/>
  <c r="C632" i="6"/>
  <c r="D632" i="6"/>
  <c r="C633" i="6"/>
  <c r="D633" i="6"/>
  <c r="C634" i="6"/>
  <c r="D634" i="6"/>
  <c r="C635" i="6"/>
  <c r="D635" i="6"/>
  <c r="C636" i="6"/>
  <c r="D636" i="6"/>
  <c r="C637" i="6"/>
  <c r="D637" i="6"/>
  <c r="C638" i="6"/>
  <c r="D638" i="6"/>
  <c r="C639" i="6"/>
  <c r="D639" i="6"/>
  <c r="C640" i="6"/>
  <c r="D640" i="6"/>
  <c r="C641" i="6"/>
  <c r="D641" i="6"/>
  <c r="C642" i="6"/>
  <c r="D642" i="6"/>
  <c r="C643" i="6"/>
  <c r="D643" i="6"/>
  <c r="C644" i="6"/>
  <c r="D644" i="6"/>
  <c r="C645" i="6"/>
  <c r="D645" i="6"/>
  <c r="C646" i="6"/>
  <c r="D646" i="6"/>
  <c r="C647" i="6"/>
  <c r="D647" i="6"/>
  <c r="C648" i="6"/>
  <c r="D648" i="6"/>
  <c r="C649" i="6"/>
  <c r="D649" i="6"/>
  <c r="C650" i="6"/>
  <c r="D650" i="6"/>
  <c r="C651" i="6"/>
  <c r="D651" i="6"/>
  <c r="C652" i="6"/>
  <c r="D652" i="6"/>
  <c r="C653" i="6"/>
  <c r="D653" i="6"/>
  <c r="C654" i="6"/>
  <c r="D654" i="6"/>
  <c r="C655" i="6"/>
  <c r="D655" i="6"/>
  <c r="C656" i="6"/>
  <c r="D656" i="6"/>
  <c r="C657" i="6"/>
  <c r="D657" i="6"/>
  <c r="C658" i="6"/>
  <c r="D658" i="6"/>
  <c r="C659" i="6"/>
  <c r="D659" i="6"/>
  <c r="C660" i="6"/>
  <c r="D660" i="6"/>
  <c r="C661" i="6"/>
  <c r="D661" i="6"/>
  <c r="C662" i="6"/>
  <c r="D662" i="6"/>
  <c r="C663" i="6"/>
  <c r="D663" i="6"/>
  <c r="C664" i="6"/>
  <c r="D664" i="6"/>
  <c r="C665" i="6"/>
  <c r="D665" i="6"/>
  <c r="C666" i="6"/>
  <c r="D666" i="6"/>
  <c r="C667" i="6"/>
  <c r="D667" i="6"/>
  <c r="C668" i="6"/>
  <c r="D668" i="6"/>
  <c r="C669" i="6"/>
  <c r="D669" i="6"/>
  <c r="C670" i="6"/>
  <c r="D670" i="6"/>
  <c r="C671" i="6"/>
  <c r="D671" i="6"/>
  <c r="C672" i="6"/>
  <c r="D672" i="6"/>
  <c r="C673" i="6"/>
  <c r="D673" i="6"/>
  <c r="C674" i="6"/>
  <c r="D674" i="6"/>
  <c r="C675" i="6"/>
  <c r="D675" i="6"/>
  <c r="C676" i="6"/>
  <c r="D676" i="6"/>
  <c r="C677" i="6"/>
  <c r="D677" i="6"/>
  <c r="C678" i="6"/>
  <c r="D678" i="6"/>
  <c r="C679" i="6"/>
  <c r="D679" i="6"/>
  <c r="C680" i="6"/>
  <c r="D680" i="6"/>
  <c r="C681" i="6"/>
  <c r="D681" i="6"/>
  <c r="C682" i="6"/>
  <c r="D682" i="6"/>
  <c r="C683" i="6"/>
  <c r="D683" i="6"/>
  <c r="C684" i="6"/>
  <c r="D684" i="6"/>
  <c r="C685" i="6"/>
  <c r="D685" i="6"/>
  <c r="C686" i="6"/>
  <c r="D686" i="6"/>
  <c r="C687" i="6"/>
  <c r="D687" i="6"/>
  <c r="C688" i="6"/>
  <c r="D688" i="6"/>
  <c r="C689" i="6"/>
  <c r="D689" i="6"/>
  <c r="C690" i="6"/>
  <c r="D690" i="6"/>
  <c r="C691" i="6"/>
  <c r="D691" i="6"/>
  <c r="C692" i="6"/>
  <c r="D692" i="6"/>
  <c r="C693" i="6"/>
  <c r="D693" i="6"/>
  <c r="C694" i="6"/>
  <c r="D694" i="6"/>
  <c r="C695" i="6"/>
  <c r="D695" i="6"/>
  <c r="C696" i="6"/>
  <c r="D696" i="6"/>
  <c r="C697" i="6"/>
  <c r="D697" i="6"/>
  <c r="C698" i="6"/>
  <c r="D698" i="6"/>
  <c r="C699" i="6"/>
  <c r="D699" i="6"/>
  <c r="C700" i="6"/>
  <c r="D700" i="6"/>
  <c r="C701" i="6"/>
  <c r="D701" i="6"/>
  <c r="C702" i="6"/>
  <c r="D702" i="6"/>
  <c r="C703" i="6"/>
  <c r="D703" i="6"/>
  <c r="C704" i="6"/>
  <c r="D704" i="6"/>
  <c r="C705" i="6"/>
  <c r="D705" i="6"/>
  <c r="C706" i="6"/>
  <c r="D706" i="6"/>
  <c r="C707" i="6"/>
  <c r="D707" i="6"/>
  <c r="C708" i="6"/>
  <c r="D708" i="6"/>
  <c r="C709" i="6"/>
  <c r="D709" i="6"/>
  <c r="C710" i="6"/>
  <c r="D710" i="6"/>
  <c r="C711" i="6"/>
  <c r="D711" i="6"/>
  <c r="C712" i="6"/>
  <c r="D712" i="6"/>
  <c r="C713" i="6"/>
  <c r="D713" i="6"/>
  <c r="C714" i="6"/>
  <c r="D714" i="6"/>
  <c r="C715" i="6"/>
  <c r="D715" i="6"/>
  <c r="C716" i="6"/>
  <c r="D716" i="6"/>
  <c r="C717" i="6"/>
  <c r="D717" i="6"/>
  <c r="C718" i="6"/>
  <c r="D718" i="6"/>
  <c r="C719" i="6"/>
  <c r="D719" i="6"/>
  <c r="C720" i="6"/>
  <c r="D720" i="6"/>
  <c r="C721" i="6"/>
  <c r="D721" i="6"/>
  <c r="C722" i="6"/>
  <c r="D722" i="6"/>
  <c r="C723" i="6"/>
  <c r="D723" i="6"/>
  <c r="C724" i="6"/>
  <c r="D724" i="6"/>
  <c r="C725" i="6"/>
  <c r="D725" i="6"/>
  <c r="C726" i="6"/>
  <c r="D726" i="6"/>
  <c r="C727" i="6"/>
  <c r="D727" i="6"/>
  <c r="C728" i="6"/>
  <c r="D728" i="6"/>
  <c r="C729" i="6"/>
  <c r="D729" i="6"/>
  <c r="C730" i="6"/>
  <c r="D730" i="6"/>
  <c r="C731" i="6"/>
  <c r="D731" i="6"/>
  <c r="C732" i="6"/>
  <c r="D732" i="6"/>
  <c r="C733" i="6"/>
  <c r="D733" i="6"/>
  <c r="C734" i="6"/>
  <c r="D734" i="6"/>
  <c r="C735" i="6"/>
  <c r="D735" i="6"/>
  <c r="C736" i="6"/>
  <c r="D736" i="6"/>
  <c r="C737" i="6"/>
  <c r="D737" i="6"/>
  <c r="C738" i="6"/>
  <c r="D738" i="6"/>
  <c r="C739" i="6"/>
  <c r="D739" i="6"/>
  <c r="C740" i="6"/>
  <c r="D740" i="6"/>
  <c r="C741" i="6"/>
  <c r="D741" i="6"/>
  <c r="C742" i="6"/>
  <c r="D742" i="6"/>
  <c r="C743" i="6"/>
  <c r="D743" i="6"/>
  <c r="C744" i="6"/>
  <c r="D744" i="6"/>
  <c r="C745" i="6"/>
  <c r="D745" i="6"/>
  <c r="C746" i="6"/>
  <c r="D746" i="6"/>
  <c r="C747" i="6"/>
  <c r="D747" i="6"/>
  <c r="C748" i="6"/>
  <c r="D748" i="6"/>
  <c r="C749" i="6"/>
  <c r="D749" i="6"/>
  <c r="C750" i="6"/>
  <c r="D750" i="6"/>
  <c r="C751" i="6"/>
  <c r="D751" i="6"/>
  <c r="C752" i="6"/>
  <c r="D752" i="6"/>
  <c r="C753" i="6"/>
  <c r="D753" i="6"/>
  <c r="C754" i="6"/>
  <c r="D754" i="6"/>
  <c r="C755" i="6"/>
  <c r="D755" i="6"/>
  <c r="C756" i="6"/>
  <c r="D756" i="6"/>
  <c r="C757" i="6"/>
  <c r="D757" i="6"/>
  <c r="C758" i="6"/>
  <c r="D758" i="6"/>
  <c r="C759" i="6"/>
  <c r="D759" i="6"/>
  <c r="C760" i="6"/>
  <c r="D760" i="6"/>
  <c r="C761" i="6"/>
  <c r="D761" i="6"/>
  <c r="C762" i="6"/>
  <c r="D762" i="6"/>
  <c r="C763" i="6"/>
  <c r="D763" i="6"/>
  <c r="C764" i="6"/>
  <c r="D764" i="6"/>
  <c r="C765" i="6"/>
  <c r="D765" i="6"/>
  <c r="C766" i="6"/>
  <c r="D766" i="6"/>
  <c r="C767" i="6"/>
  <c r="D767" i="6"/>
  <c r="C768" i="6"/>
  <c r="D768" i="6"/>
  <c r="C769" i="6"/>
  <c r="D769" i="6"/>
  <c r="C770" i="6"/>
  <c r="D770" i="6"/>
  <c r="C771" i="6"/>
  <c r="D771" i="6"/>
  <c r="C772" i="6"/>
  <c r="D772" i="6"/>
  <c r="C773" i="6"/>
  <c r="D773" i="6"/>
  <c r="C774" i="6"/>
  <c r="D774" i="6"/>
  <c r="C775" i="6"/>
  <c r="D775" i="6"/>
  <c r="C776" i="6"/>
  <c r="D776" i="6"/>
  <c r="C777" i="6"/>
  <c r="D777" i="6"/>
  <c r="C778" i="6"/>
  <c r="D778" i="6"/>
  <c r="C779" i="6"/>
  <c r="D779" i="6"/>
  <c r="C780" i="6"/>
  <c r="D780" i="6"/>
  <c r="C781" i="6"/>
  <c r="D781" i="6"/>
  <c r="C782" i="6"/>
  <c r="D782" i="6"/>
  <c r="C783" i="6"/>
  <c r="D783" i="6"/>
  <c r="C784" i="6"/>
  <c r="D784" i="6"/>
  <c r="C785" i="6"/>
  <c r="D785" i="6"/>
  <c r="C786" i="6"/>
  <c r="D786" i="6"/>
  <c r="C787" i="6"/>
  <c r="D787" i="6"/>
  <c r="C788" i="6"/>
  <c r="D788" i="6"/>
  <c r="C789" i="6"/>
  <c r="D789" i="6"/>
  <c r="C790" i="6"/>
  <c r="D790" i="6"/>
  <c r="C791" i="6"/>
  <c r="D791" i="6"/>
  <c r="C792" i="6"/>
  <c r="D792" i="6"/>
  <c r="C793" i="6"/>
  <c r="D793" i="6"/>
  <c r="C794" i="6"/>
  <c r="D794" i="6"/>
  <c r="C795" i="6"/>
  <c r="D795" i="6"/>
  <c r="C796" i="6"/>
  <c r="D796" i="6"/>
  <c r="C797" i="6"/>
  <c r="D797" i="6"/>
  <c r="C798" i="6"/>
  <c r="D798" i="6"/>
  <c r="C799" i="6"/>
  <c r="D799" i="6"/>
  <c r="C800" i="6"/>
  <c r="D800" i="6"/>
  <c r="C801" i="6"/>
  <c r="D801" i="6"/>
  <c r="C802" i="6"/>
  <c r="D802" i="6"/>
  <c r="C803" i="6"/>
  <c r="D803" i="6"/>
  <c r="C804" i="6"/>
  <c r="D804" i="6"/>
  <c r="C805" i="6"/>
  <c r="D805" i="6"/>
  <c r="C806" i="6"/>
  <c r="D806" i="6"/>
  <c r="C807" i="6"/>
  <c r="D807" i="6"/>
  <c r="C808" i="6"/>
  <c r="D808" i="6"/>
  <c r="C809" i="6"/>
  <c r="D809" i="6"/>
  <c r="C810" i="6"/>
  <c r="D810" i="6"/>
  <c r="C811" i="6"/>
  <c r="D811" i="6"/>
  <c r="C812" i="6"/>
  <c r="D812" i="6"/>
  <c r="C813" i="6"/>
  <c r="D813" i="6"/>
  <c r="C814" i="6"/>
  <c r="D814" i="6"/>
  <c r="C815" i="6"/>
  <c r="D815" i="6"/>
  <c r="C816" i="6"/>
  <c r="D816" i="6"/>
  <c r="C817" i="6"/>
  <c r="D817" i="6"/>
  <c r="C818" i="6"/>
  <c r="D818" i="6"/>
  <c r="C819" i="6"/>
  <c r="D819" i="6"/>
  <c r="C820" i="6"/>
  <c r="D820" i="6"/>
  <c r="C821" i="6"/>
  <c r="D821" i="6"/>
  <c r="C822" i="6"/>
  <c r="D822" i="6"/>
  <c r="C823" i="6"/>
  <c r="D823" i="6"/>
  <c r="C824" i="6"/>
  <c r="D824" i="6"/>
  <c r="C825" i="6"/>
  <c r="D825" i="6"/>
  <c r="C826" i="6"/>
  <c r="D826" i="6"/>
  <c r="C827" i="6"/>
  <c r="D827" i="6"/>
  <c r="C828" i="6"/>
  <c r="D828" i="6"/>
  <c r="C829" i="6"/>
  <c r="D829" i="6"/>
  <c r="C830" i="6"/>
  <c r="D830" i="6"/>
  <c r="C831" i="6"/>
  <c r="D831" i="6"/>
  <c r="C832" i="6"/>
  <c r="D832" i="6"/>
  <c r="C833" i="6"/>
  <c r="D833" i="6"/>
  <c r="C834" i="6"/>
  <c r="D834" i="6"/>
  <c r="C835" i="6"/>
  <c r="D835" i="6"/>
  <c r="C836" i="6"/>
  <c r="D836" i="6"/>
  <c r="C837" i="6"/>
  <c r="D837" i="6"/>
  <c r="C838" i="6"/>
  <c r="D838" i="6"/>
  <c r="C839" i="6"/>
  <c r="D839" i="6"/>
  <c r="C840" i="6"/>
  <c r="D840" i="6"/>
  <c r="C841" i="6"/>
  <c r="D841" i="6"/>
  <c r="C842" i="6"/>
  <c r="D842" i="6"/>
  <c r="C843" i="6"/>
  <c r="D843" i="6"/>
  <c r="C844" i="6"/>
  <c r="D844" i="6"/>
  <c r="C845" i="6"/>
  <c r="D845" i="6"/>
  <c r="C846" i="6"/>
  <c r="D846" i="6"/>
  <c r="C847" i="6"/>
  <c r="D847" i="6"/>
  <c r="C848" i="6"/>
  <c r="D848" i="6"/>
  <c r="C849" i="6"/>
  <c r="D849" i="6"/>
  <c r="C850" i="6"/>
  <c r="D850" i="6"/>
  <c r="C851" i="6"/>
  <c r="D851" i="6"/>
  <c r="C852" i="6"/>
  <c r="D852" i="6"/>
  <c r="C853" i="6"/>
  <c r="D853" i="6"/>
  <c r="C854" i="6"/>
  <c r="D854" i="6"/>
  <c r="C855" i="6"/>
  <c r="D855" i="6"/>
  <c r="C856" i="6"/>
  <c r="D856" i="6"/>
  <c r="C857" i="6"/>
  <c r="D857" i="6"/>
  <c r="C858" i="6"/>
  <c r="D858" i="6"/>
  <c r="C859" i="6"/>
  <c r="D859" i="6"/>
  <c r="C860" i="6"/>
  <c r="D860" i="6"/>
  <c r="C861" i="6"/>
  <c r="D861" i="6"/>
  <c r="C862" i="6"/>
  <c r="D862" i="6"/>
  <c r="C863" i="6"/>
  <c r="D863" i="6"/>
  <c r="C864" i="6"/>
  <c r="D864" i="6"/>
  <c r="C865" i="6"/>
  <c r="D865" i="6"/>
  <c r="C866" i="6"/>
  <c r="D866" i="6"/>
  <c r="C867" i="6"/>
  <c r="D867" i="6"/>
  <c r="C868" i="6"/>
  <c r="D868" i="6"/>
  <c r="C869" i="6"/>
  <c r="D869" i="6"/>
  <c r="C870" i="6"/>
  <c r="D870" i="6"/>
  <c r="C871" i="6"/>
  <c r="D871" i="6"/>
  <c r="C872" i="6"/>
  <c r="D872" i="6"/>
  <c r="C873" i="6"/>
  <c r="D873" i="6"/>
  <c r="C874" i="6"/>
  <c r="D874" i="6"/>
  <c r="C875" i="6"/>
  <c r="D875" i="6"/>
  <c r="C876" i="6"/>
  <c r="D876" i="6"/>
  <c r="C877" i="6"/>
  <c r="D877" i="6"/>
  <c r="C878" i="6"/>
  <c r="D878" i="6"/>
  <c r="C879" i="6"/>
  <c r="D879" i="6"/>
  <c r="C880" i="6"/>
  <c r="D880" i="6"/>
  <c r="C881" i="6"/>
  <c r="D881" i="6"/>
  <c r="C882" i="6"/>
  <c r="D882" i="6"/>
  <c r="C883" i="6"/>
  <c r="D883" i="6"/>
  <c r="C884" i="6"/>
  <c r="D884" i="6"/>
  <c r="C885" i="6"/>
  <c r="D885" i="6"/>
  <c r="C886" i="6"/>
  <c r="D886" i="6"/>
  <c r="C887" i="6"/>
  <c r="D887" i="6"/>
  <c r="C888" i="6"/>
  <c r="D888" i="6"/>
  <c r="C889" i="6"/>
  <c r="D889" i="6"/>
  <c r="C890" i="6"/>
  <c r="D890" i="6"/>
  <c r="C891" i="6"/>
  <c r="D891" i="6"/>
  <c r="C892" i="6"/>
  <c r="D892" i="6"/>
  <c r="C893" i="6"/>
  <c r="D893" i="6"/>
  <c r="C894" i="6"/>
  <c r="D894" i="6"/>
  <c r="C895" i="6"/>
  <c r="D895" i="6"/>
  <c r="C896" i="6"/>
  <c r="D896" i="6"/>
  <c r="C897" i="6"/>
  <c r="D897" i="6"/>
  <c r="C898" i="6"/>
  <c r="D898" i="6"/>
  <c r="C899" i="6"/>
  <c r="D899" i="6"/>
  <c r="C900" i="6"/>
  <c r="D900" i="6"/>
  <c r="C901" i="6"/>
  <c r="D901" i="6"/>
  <c r="C902" i="6"/>
  <c r="D902" i="6"/>
  <c r="C903" i="6"/>
  <c r="D903" i="6"/>
  <c r="C904" i="6"/>
  <c r="D904" i="6"/>
  <c r="C905" i="6"/>
  <c r="D905" i="6"/>
  <c r="C906" i="6"/>
  <c r="D906" i="6"/>
  <c r="C907" i="6"/>
  <c r="D907" i="6"/>
  <c r="C908" i="6"/>
  <c r="D908" i="6"/>
  <c r="C909" i="6"/>
  <c r="D909" i="6"/>
  <c r="C910" i="6"/>
  <c r="D910" i="6"/>
  <c r="C911" i="6"/>
  <c r="D911" i="6"/>
  <c r="C912" i="6"/>
  <c r="D912" i="6"/>
  <c r="C913" i="6"/>
  <c r="D913" i="6"/>
  <c r="C914" i="6"/>
  <c r="D914" i="6"/>
  <c r="C915" i="6"/>
  <c r="D915" i="6"/>
  <c r="C916" i="6"/>
  <c r="D916" i="6"/>
  <c r="C917" i="6"/>
  <c r="D917" i="6"/>
  <c r="C918" i="6"/>
  <c r="D918" i="6"/>
  <c r="C919" i="6"/>
  <c r="D919" i="6"/>
  <c r="C920" i="6"/>
  <c r="D920" i="6"/>
  <c r="C921" i="6"/>
  <c r="D921" i="6"/>
  <c r="C922" i="6"/>
  <c r="D922" i="6"/>
  <c r="C923" i="6"/>
  <c r="D923" i="6"/>
  <c r="C924" i="6"/>
  <c r="D924" i="6"/>
  <c r="C925" i="6"/>
  <c r="D925" i="6"/>
  <c r="C926" i="6"/>
  <c r="D926" i="6"/>
  <c r="C927" i="6"/>
  <c r="D927" i="6"/>
  <c r="C928" i="6"/>
  <c r="D928" i="6"/>
  <c r="C929" i="6"/>
  <c r="D929" i="6"/>
  <c r="C930" i="6"/>
  <c r="D930" i="6"/>
  <c r="C931" i="6"/>
  <c r="D931" i="6"/>
  <c r="C932" i="6"/>
  <c r="D932" i="6"/>
  <c r="C933" i="6"/>
  <c r="D933" i="6"/>
  <c r="C934" i="6"/>
  <c r="D934" i="6"/>
  <c r="C935" i="6"/>
  <c r="D935" i="6"/>
  <c r="C936" i="6"/>
  <c r="D936" i="6"/>
  <c r="C937" i="6"/>
  <c r="D937" i="6"/>
  <c r="C938" i="6"/>
  <c r="D938" i="6"/>
  <c r="C939" i="6"/>
  <c r="D939" i="6"/>
  <c r="C940" i="6"/>
  <c r="D940" i="6"/>
  <c r="C941" i="6"/>
  <c r="D941" i="6"/>
  <c r="C942" i="6"/>
  <c r="D942" i="6"/>
  <c r="C943" i="6"/>
  <c r="D943" i="6"/>
  <c r="C944" i="6"/>
  <c r="D944" i="6"/>
  <c r="C945" i="6"/>
  <c r="D945" i="6"/>
  <c r="C946" i="6"/>
  <c r="D946" i="6"/>
  <c r="C947" i="6"/>
  <c r="D947" i="6"/>
  <c r="C948" i="6"/>
  <c r="D948" i="6"/>
  <c r="C949" i="6"/>
  <c r="D949" i="6"/>
  <c r="C950" i="6"/>
  <c r="D950" i="6"/>
  <c r="C951" i="6"/>
  <c r="D951" i="6"/>
  <c r="C952" i="6"/>
  <c r="D952" i="6"/>
  <c r="C953" i="6"/>
  <c r="D953" i="6"/>
  <c r="C954" i="6"/>
  <c r="D954" i="6"/>
  <c r="C955" i="6"/>
  <c r="D955" i="6"/>
  <c r="C956" i="6"/>
  <c r="D956" i="6"/>
  <c r="C957" i="6"/>
  <c r="D957" i="6"/>
  <c r="C958" i="6"/>
  <c r="D958" i="6"/>
  <c r="C959" i="6"/>
  <c r="D959" i="6"/>
  <c r="C960" i="6"/>
  <c r="D960" i="6"/>
  <c r="C961" i="6"/>
  <c r="D961" i="6"/>
  <c r="C962" i="6"/>
  <c r="D962" i="6"/>
  <c r="C963" i="6"/>
  <c r="D963" i="6"/>
  <c r="C964" i="6"/>
  <c r="D964" i="6"/>
  <c r="C965" i="6"/>
  <c r="D965" i="6"/>
  <c r="C966" i="6"/>
  <c r="D966" i="6"/>
  <c r="C967" i="6"/>
  <c r="D967" i="6"/>
  <c r="C968" i="6"/>
  <c r="D968" i="6"/>
  <c r="C969" i="6"/>
  <c r="D969" i="6"/>
  <c r="C970" i="6"/>
  <c r="D970" i="6"/>
  <c r="C971" i="6"/>
  <c r="D971" i="6"/>
  <c r="C972" i="6"/>
  <c r="D972" i="6"/>
  <c r="C973" i="6"/>
  <c r="D973" i="6"/>
  <c r="C974" i="6"/>
  <c r="D974" i="6"/>
  <c r="C975" i="6"/>
  <c r="D975" i="6"/>
  <c r="C976" i="6"/>
  <c r="D976" i="6"/>
  <c r="C977" i="6"/>
  <c r="D977" i="6"/>
  <c r="C978" i="6"/>
  <c r="D978" i="6"/>
  <c r="C979" i="6"/>
  <c r="D979" i="6"/>
  <c r="C980" i="6"/>
  <c r="D980" i="6"/>
  <c r="C981" i="6"/>
  <c r="D981" i="6"/>
  <c r="C982" i="6"/>
  <c r="D982" i="6"/>
  <c r="C983" i="6"/>
  <c r="D983" i="6"/>
  <c r="C984" i="6"/>
  <c r="D984" i="6"/>
  <c r="C985" i="6"/>
  <c r="D985" i="6"/>
  <c r="C986" i="6"/>
  <c r="D986" i="6"/>
  <c r="C987" i="6"/>
  <c r="D987" i="6"/>
  <c r="C988" i="6"/>
  <c r="D988" i="6"/>
  <c r="C989" i="6"/>
  <c r="D989" i="6"/>
  <c r="C990" i="6"/>
  <c r="D990" i="6"/>
  <c r="C991" i="6"/>
  <c r="D991" i="6"/>
  <c r="C992" i="6"/>
  <c r="D992" i="6"/>
  <c r="C993" i="6"/>
  <c r="D993" i="6"/>
  <c r="C994" i="6"/>
  <c r="D994" i="6"/>
  <c r="C995" i="6"/>
  <c r="D995" i="6"/>
  <c r="C996" i="6"/>
  <c r="D996" i="6"/>
  <c r="C997" i="6"/>
  <c r="D997" i="6"/>
  <c r="C998" i="6"/>
  <c r="D998" i="6"/>
  <c r="C999" i="6"/>
  <c r="D999" i="6"/>
  <c r="C1000" i="6"/>
  <c r="D1000" i="6"/>
  <c r="C1001" i="6"/>
  <c r="D1001" i="6"/>
  <c r="C1002" i="6"/>
  <c r="D1002" i="6"/>
  <c r="C1003" i="6"/>
  <c r="D1003" i="6"/>
  <c r="C1004" i="6"/>
  <c r="D1004" i="6"/>
  <c r="C1005" i="6"/>
  <c r="D1005" i="6"/>
  <c r="C1006" i="6"/>
  <c r="D1006" i="6"/>
  <c r="C1007" i="6"/>
  <c r="D1007" i="6"/>
  <c r="C1008" i="6"/>
  <c r="D1008" i="6"/>
  <c r="C1009" i="6"/>
  <c r="D1009" i="6"/>
  <c r="C1010" i="6"/>
  <c r="D1010" i="6"/>
  <c r="C1011" i="6"/>
  <c r="D1011" i="6"/>
  <c r="C1012" i="6"/>
  <c r="D1012" i="6"/>
  <c r="C1013" i="6"/>
  <c r="D1013" i="6"/>
  <c r="C1014" i="6"/>
  <c r="D1014" i="6"/>
  <c r="C1015" i="6"/>
  <c r="D1015" i="6"/>
  <c r="C1016" i="6"/>
  <c r="D1016" i="6"/>
  <c r="C1017" i="6"/>
  <c r="D1017" i="6"/>
  <c r="C1018" i="6"/>
  <c r="D1018" i="6"/>
  <c r="C1019" i="6"/>
  <c r="D1019" i="6"/>
  <c r="C1020" i="6"/>
  <c r="D1020" i="6"/>
  <c r="C1021" i="6"/>
  <c r="D1021" i="6"/>
  <c r="C1022" i="6"/>
  <c r="D1022" i="6"/>
  <c r="C1023" i="6"/>
  <c r="D1023" i="6"/>
  <c r="C1024" i="6"/>
  <c r="D1024" i="6"/>
  <c r="C1025" i="6"/>
  <c r="D1025" i="6"/>
  <c r="C1026" i="6"/>
  <c r="D1026" i="6"/>
  <c r="C1027" i="6"/>
  <c r="D1027" i="6"/>
  <c r="C1028" i="6"/>
  <c r="D1028" i="6"/>
  <c r="C1029" i="6"/>
  <c r="D1029" i="6"/>
  <c r="C1030" i="6"/>
  <c r="D1030" i="6"/>
  <c r="C1031" i="6"/>
  <c r="D1031" i="6"/>
  <c r="C1032" i="6"/>
  <c r="D1032" i="6"/>
  <c r="C1033" i="6"/>
  <c r="D1033" i="6"/>
  <c r="C1034" i="6"/>
  <c r="D1034" i="6"/>
  <c r="C1035" i="6"/>
  <c r="D1035" i="6"/>
  <c r="C1036" i="6"/>
  <c r="D1036" i="6"/>
  <c r="C1037" i="6"/>
  <c r="D1037" i="6"/>
  <c r="C1038" i="6"/>
  <c r="D1038" i="6"/>
  <c r="C1039" i="6"/>
  <c r="D1039" i="6"/>
  <c r="C1040" i="6"/>
  <c r="D1040" i="6"/>
  <c r="C1041" i="6"/>
  <c r="D1041" i="6"/>
  <c r="C1042" i="6"/>
  <c r="D1042" i="6"/>
  <c r="C1043" i="6"/>
  <c r="D1043" i="6"/>
  <c r="C1044" i="6"/>
  <c r="D1044" i="6"/>
  <c r="C1045" i="6"/>
  <c r="D1045" i="6"/>
  <c r="C1046" i="6"/>
  <c r="D1046" i="6"/>
  <c r="C1047" i="6"/>
  <c r="D1047" i="6"/>
  <c r="C1048" i="6"/>
  <c r="D1048" i="6"/>
  <c r="C1049" i="6"/>
  <c r="D1049" i="6"/>
  <c r="C1050" i="6"/>
  <c r="D1050" i="6"/>
  <c r="C1051" i="6"/>
  <c r="D1051" i="6"/>
  <c r="C1052" i="6"/>
  <c r="D1052" i="6"/>
  <c r="C1053" i="6"/>
  <c r="D1053" i="6"/>
  <c r="C1054" i="6"/>
  <c r="D1054" i="6"/>
  <c r="C1055" i="6"/>
  <c r="D1055" i="6"/>
  <c r="C1056" i="6"/>
  <c r="D1056" i="6"/>
  <c r="C1057" i="6"/>
  <c r="D1057" i="6"/>
  <c r="C1058" i="6"/>
  <c r="D1058" i="6"/>
  <c r="C1059" i="6"/>
  <c r="D1059" i="6"/>
  <c r="C1060" i="6"/>
  <c r="D1060" i="6"/>
  <c r="C1061" i="6"/>
  <c r="D1061" i="6"/>
  <c r="C1062" i="6"/>
  <c r="D1062" i="6"/>
  <c r="C1063" i="6"/>
  <c r="D1063" i="6"/>
  <c r="C1064" i="6"/>
  <c r="D1064" i="6"/>
  <c r="C1065" i="6"/>
  <c r="D1065" i="6"/>
  <c r="C1066" i="6"/>
  <c r="D1066" i="6"/>
  <c r="C1067" i="6"/>
  <c r="D1067" i="6"/>
  <c r="C1068" i="6"/>
  <c r="D1068" i="6"/>
  <c r="C1069" i="6"/>
  <c r="D1069" i="6"/>
  <c r="C1070" i="6"/>
  <c r="D1070" i="6"/>
  <c r="C1071" i="6"/>
  <c r="D1071" i="6"/>
  <c r="C1072" i="6"/>
  <c r="D1072" i="6"/>
  <c r="C1073" i="6"/>
  <c r="D1073" i="6"/>
  <c r="C1074" i="6"/>
  <c r="D1074" i="6"/>
  <c r="C1075" i="6"/>
  <c r="D1075" i="6"/>
  <c r="C1076" i="6"/>
  <c r="D1076" i="6"/>
  <c r="C1077" i="6"/>
  <c r="D1077" i="6"/>
  <c r="C1078" i="6"/>
  <c r="D1078" i="6"/>
  <c r="C1079" i="6"/>
  <c r="D1079" i="6"/>
  <c r="C1080" i="6"/>
  <c r="D1080" i="6"/>
  <c r="C1081" i="6"/>
  <c r="D1081" i="6"/>
  <c r="C1082" i="6"/>
  <c r="D1082" i="6"/>
  <c r="C1083" i="6"/>
  <c r="D1083" i="6"/>
  <c r="C1084" i="6"/>
  <c r="D1084" i="6"/>
  <c r="C1085" i="6"/>
  <c r="D1085" i="6"/>
  <c r="C1086" i="6"/>
  <c r="D1086" i="6"/>
  <c r="C1087" i="6"/>
  <c r="D1087" i="6"/>
  <c r="C1088" i="6"/>
  <c r="D1088" i="6"/>
  <c r="C1089" i="6"/>
  <c r="D1089" i="6"/>
  <c r="C1090" i="6"/>
  <c r="D1090" i="6"/>
  <c r="C1091" i="6"/>
  <c r="D1091" i="6"/>
  <c r="C1092" i="6"/>
  <c r="D1092" i="6"/>
  <c r="C1093" i="6"/>
  <c r="D1093" i="6"/>
  <c r="C1094" i="6"/>
  <c r="D1094" i="6"/>
  <c r="C1095" i="6"/>
  <c r="D1095" i="6"/>
  <c r="C1096" i="6"/>
  <c r="D1096" i="6"/>
  <c r="C1097" i="6"/>
  <c r="D1097" i="6"/>
  <c r="C1098" i="6"/>
  <c r="D1098" i="6"/>
  <c r="C1099" i="6"/>
  <c r="D1099" i="6"/>
  <c r="C1100" i="6"/>
  <c r="D1100" i="6"/>
  <c r="C1101" i="6"/>
  <c r="D1101" i="6"/>
  <c r="C1102" i="6"/>
  <c r="D1102" i="6"/>
  <c r="C1103" i="6"/>
  <c r="D1103" i="6"/>
  <c r="C1104" i="6"/>
  <c r="D1104" i="6"/>
  <c r="C1105" i="6"/>
  <c r="D1105" i="6"/>
  <c r="C1106" i="6"/>
  <c r="D1106" i="6"/>
  <c r="C1107" i="6"/>
  <c r="D1107" i="6"/>
  <c r="C1108" i="6"/>
  <c r="D1108" i="6"/>
  <c r="C1109" i="6"/>
  <c r="D1109" i="6"/>
  <c r="C1110" i="6"/>
  <c r="D1110" i="6"/>
  <c r="C1111" i="6"/>
  <c r="D1111" i="6"/>
  <c r="C1112" i="6"/>
  <c r="D1112" i="6"/>
  <c r="C1113" i="6"/>
  <c r="D1113" i="6"/>
  <c r="C1114" i="6"/>
  <c r="D1114" i="6"/>
  <c r="C1115" i="6"/>
  <c r="D1115" i="6"/>
  <c r="C1116" i="6"/>
  <c r="D1116" i="6"/>
  <c r="C1117" i="6"/>
  <c r="D1117" i="6"/>
  <c r="C1118" i="6"/>
  <c r="D1118" i="6"/>
  <c r="C1119" i="6"/>
  <c r="D1119" i="6"/>
  <c r="C1120" i="6"/>
  <c r="D1120" i="6"/>
  <c r="C1121" i="6"/>
  <c r="D1121" i="6"/>
  <c r="C1122" i="6"/>
  <c r="D1122" i="6"/>
  <c r="C1123" i="6"/>
  <c r="D1123" i="6"/>
  <c r="C1124" i="6"/>
  <c r="D1124" i="6"/>
  <c r="C1125" i="6"/>
  <c r="D1125" i="6"/>
  <c r="C1126" i="6"/>
  <c r="D1126" i="6"/>
  <c r="C1127" i="6"/>
  <c r="D1127" i="6"/>
  <c r="C1128" i="6"/>
  <c r="D1128" i="6"/>
  <c r="C1129" i="6"/>
  <c r="D1129" i="6"/>
  <c r="C1130" i="6"/>
  <c r="D1130" i="6"/>
  <c r="C1131" i="6"/>
  <c r="D1131" i="6"/>
  <c r="C1132" i="6"/>
  <c r="D1132" i="6"/>
  <c r="C1133" i="6"/>
  <c r="D1133" i="6"/>
  <c r="C1134" i="6"/>
  <c r="D1134" i="6"/>
  <c r="C1135" i="6"/>
  <c r="D1135" i="6"/>
  <c r="C1136" i="6"/>
  <c r="D1136" i="6"/>
  <c r="C1137" i="6"/>
  <c r="D1137" i="6"/>
  <c r="C1138" i="6"/>
  <c r="D1138" i="6"/>
  <c r="C1139" i="6"/>
  <c r="D1139" i="6"/>
  <c r="C1140" i="6"/>
  <c r="D1140" i="6"/>
  <c r="C1141" i="6"/>
  <c r="D1141" i="6"/>
  <c r="C1142" i="6"/>
  <c r="D1142" i="6"/>
  <c r="C1143" i="6"/>
  <c r="D1143" i="6"/>
  <c r="C1144" i="6"/>
  <c r="D1144" i="6"/>
  <c r="C1145" i="6"/>
  <c r="D1145" i="6"/>
  <c r="C1146" i="6"/>
  <c r="D1146" i="6"/>
  <c r="C1147" i="6"/>
  <c r="D1147" i="6"/>
  <c r="C1148" i="6"/>
  <c r="D1148" i="6"/>
  <c r="C1149" i="6"/>
  <c r="D1149" i="6"/>
  <c r="C1150" i="6"/>
  <c r="D1150" i="6"/>
  <c r="C1151" i="6"/>
  <c r="D1151" i="6"/>
  <c r="C1152" i="6"/>
  <c r="D1152" i="6"/>
  <c r="C1153" i="6"/>
  <c r="D1153" i="6"/>
  <c r="C1154" i="6"/>
  <c r="D1154" i="6"/>
  <c r="C1155" i="6"/>
  <c r="D1155" i="6"/>
  <c r="C1156" i="6"/>
  <c r="D1156" i="6"/>
  <c r="C1157" i="6"/>
  <c r="D1157" i="6"/>
  <c r="C1158" i="6"/>
  <c r="D1158" i="6"/>
  <c r="C1159" i="6"/>
  <c r="D1159" i="6"/>
  <c r="C1160" i="6"/>
  <c r="D1160" i="6"/>
  <c r="C1161" i="6"/>
  <c r="D1161" i="6"/>
  <c r="C1162" i="6"/>
  <c r="D1162" i="6"/>
  <c r="C1163" i="6"/>
  <c r="D1163" i="6"/>
  <c r="C1164" i="6"/>
  <c r="D1164" i="6"/>
  <c r="C1165" i="6"/>
  <c r="D1165" i="6"/>
  <c r="C1166" i="6"/>
  <c r="D1166" i="6"/>
  <c r="C1167" i="6"/>
  <c r="D1167" i="6"/>
  <c r="C1168" i="6"/>
  <c r="D1168" i="6"/>
  <c r="C1169" i="6"/>
  <c r="D1169" i="6"/>
  <c r="C1170" i="6"/>
  <c r="D1170" i="6"/>
  <c r="C1171" i="6"/>
  <c r="D1171" i="6"/>
  <c r="C1172" i="6"/>
  <c r="D1172" i="6"/>
  <c r="C1173" i="6"/>
  <c r="D1173" i="6"/>
  <c r="C1174" i="6"/>
  <c r="D1174" i="6"/>
  <c r="C1175" i="6"/>
  <c r="D1175" i="6"/>
  <c r="C1176" i="6"/>
  <c r="D1176" i="6"/>
  <c r="C1177" i="6"/>
  <c r="D1177" i="6"/>
  <c r="C1178" i="6"/>
  <c r="D1178" i="6"/>
  <c r="C1179" i="6"/>
  <c r="D1179" i="6"/>
  <c r="C1180" i="6"/>
  <c r="D1180" i="6"/>
  <c r="C1181" i="6"/>
  <c r="D1181" i="6"/>
  <c r="C1182" i="6"/>
  <c r="D1182" i="6"/>
  <c r="C1183" i="6"/>
  <c r="D1183" i="6"/>
  <c r="C1184" i="6"/>
  <c r="D1184" i="6"/>
  <c r="C1185" i="6"/>
  <c r="D1185" i="6"/>
  <c r="C1186" i="6"/>
  <c r="D1186" i="6"/>
  <c r="C1187" i="6"/>
  <c r="D1187" i="6"/>
  <c r="C1188" i="6"/>
  <c r="D1188" i="6"/>
  <c r="C1189" i="6"/>
  <c r="D1189" i="6"/>
  <c r="C1190" i="6"/>
  <c r="D1190" i="6"/>
  <c r="C1191" i="6"/>
  <c r="D1191" i="6"/>
  <c r="C1192" i="6"/>
  <c r="D1192" i="6"/>
  <c r="C1193" i="6"/>
  <c r="D1193" i="6"/>
  <c r="C1194" i="6"/>
  <c r="D1194" i="6"/>
  <c r="C1195" i="6"/>
  <c r="D1195" i="6"/>
  <c r="C1196" i="6"/>
  <c r="D1196" i="6"/>
  <c r="C1197" i="6"/>
  <c r="D1197" i="6"/>
  <c r="C1198" i="6"/>
  <c r="D1198" i="6"/>
  <c r="C1199" i="6"/>
  <c r="D1199" i="6"/>
  <c r="C1200" i="6"/>
  <c r="D1200" i="6"/>
  <c r="C1201" i="6"/>
  <c r="D1201" i="6"/>
  <c r="C1202" i="6"/>
  <c r="D1202" i="6"/>
  <c r="C1203" i="6"/>
  <c r="D1203" i="6"/>
  <c r="C1204" i="6"/>
  <c r="D1204" i="6"/>
  <c r="C1205" i="6"/>
  <c r="D1205" i="6"/>
  <c r="C1206" i="6"/>
  <c r="D1206" i="6"/>
  <c r="C1207" i="6"/>
  <c r="D1207" i="6"/>
  <c r="C1208" i="6"/>
  <c r="D1208" i="6"/>
  <c r="C1209" i="6"/>
  <c r="D1209" i="6"/>
  <c r="C1210" i="6"/>
  <c r="D1210" i="6"/>
  <c r="C1211" i="6"/>
  <c r="D1211" i="6"/>
  <c r="C1212" i="6"/>
  <c r="D1212" i="6"/>
  <c r="C1213" i="6"/>
  <c r="D1213" i="6"/>
  <c r="C1214" i="6"/>
  <c r="D1214" i="6"/>
  <c r="C1215" i="6"/>
  <c r="D1215" i="6"/>
  <c r="C1216" i="6"/>
  <c r="D1216" i="6"/>
  <c r="C1217" i="6"/>
  <c r="D1217" i="6"/>
  <c r="C1218" i="6"/>
  <c r="D1218" i="6"/>
  <c r="C1219" i="6"/>
  <c r="D1219" i="6"/>
  <c r="C1220" i="6"/>
  <c r="D1220" i="6"/>
  <c r="C1221" i="6"/>
  <c r="D1221" i="6"/>
  <c r="C1222" i="6"/>
  <c r="D1222" i="6"/>
  <c r="C1223" i="6"/>
  <c r="D1223" i="6"/>
  <c r="C1224" i="6"/>
  <c r="D1224" i="6"/>
  <c r="C1225" i="6"/>
  <c r="D1225" i="6"/>
  <c r="C1226" i="6"/>
  <c r="D1226" i="6"/>
  <c r="C1227" i="6"/>
  <c r="D1227" i="6"/>
  <c r="C1228" i="6"/>
  <c r="D1228" i="6"/>
  <c r="C1229" i="6"/>
  <c r="D1229" i="6"/>
  <c r="C1230" i="6"/>
  <c r="D1230" i="6"/>
  <c r="C1231" i="6"/>
  <c r="D1231" i="6"/>
  <c r="C1232" i="6"/>
  <c r="D1232" i="6"/>
  <c r="C1233" i="6"/>
  <c r="D1233" i="6"/>
  <c r="C1234" i="6"/>
  <c r="D1234" i="6"/>
  <c r="C1235" i="6"/>
  <c r="D1235" i="6"/>
  <c r="C1236" i="6"/>
  <c r="D1236" i="6"/>
  <c r="C1237" i="6"/>
  <c r="D1237" i="6"/>
  <c r="C1238" i="6"/>
  <c r="D1238" i="6"/>
  <c r="C1239" i="6"/>
  <c r="D1239" i="6"/>
  <c r="C1240" i="6"/>
  <c r="D1240" i="6"/>
  <c r="C1241" i="6"/>
  <c r="D1241" i="6"/>
  <c r="C1242" i="6"/>
  <c r="D1242" i="6"/>
  <c r="C1243" i="6"/>
  <c r="D1243" i="6"/>
  <c r="C1244" i="6"/>
  <c r="D1244" i="6"/>
  <c r="C1245" i="6"/>
  <c r="D1245" i="6"/>
  <c r="C1246" i="6"/>
  <c r="D1246" i="6"/>
  <c r="C1247" i="6"/>
  <c r="D1247" i="6"/>
  <c r="C1248" i="6"/>
  <c r="D1248" i="6"/>
  <c r="C1249" i="6"/>
  <c r="D1249" i="6"/>
  <c r="C1250" i="6"/>
  <c r="D1250" i="6"/>
  <c r="C1251" i="6"/>
  <c r="D1251" i="6"/>
  <c r="C1252" i="6"/>
  <c r="D1252" i="6"/>
  <c r="C1253" i="6"/>
  <c r="D1253" i="6"/>
  <c r="C1254" i="6"/>
  <c r="D1254" i="6"/>
  <c r="C1255" i="6"/>
  <c r="D1255" i="6"/>
  <c r="C1256" i="6"/>
  <c r="D1256" i="6"/>
  <c r="C1257" i="6"/>
  <c r="D1257" i="6"/>
  <c r="C1258" i="6"/>
  <c r="D1258" i="6"/>
  <c r="C1259" i="6"/>
  <c r="D1259" i="6"/>
  <c r="C1260" i="6"/>
  <c r="D1260" i="6"/>
  <c r="C1261" i="6"/>
  <c r="D1261" i="6"/>
  <c r="C1262" i="6"/>
  <c r="D1262" i="6"/>
  <c r="C1263" i="6"/>
  <c r="D1263" i="6"/>
  <c r="C1264" i="6"/>
  <c r="D1264" i="6"/>
  <c r="C1265" i="6"/>
  <c r="D1265" i="6"/>
  <c r="C1266" i="6"/>
  <c r="D1266" i="6"/>
  <c r="C1267" i="6"/>
  <c r="D1267" i="6"/>
  <c r="C1268" i="6"/>
  <c r="D1268" i="6"/>
  <c r="C1269" i="6"/>
  <c r="D1269" i="6"/>
  <c r="C1270" i="6"/>
  <c r="D1270" i="6"/>
  <c r="C1271" i="6"/>
  <c r="D1271" i="6"/>
  <c r="C1272" i="6"/>
  <c r="D1272" i="6"/>
  <c r="C1273" i="6"/>
  <c r="D1273" i="6"/>
  <c r="C1274" i="6"/>
  <c r="D1274" i="6"/>
  <c r="C1275" i="6"/>
  <c r="D1275" i="6"/>
  <c r="C1276" i="6"/>
  <c r="D1276" i="6"/>
  <c r="C1277" i="6"/>
  <c r="D1277" i="6"/>
  <c r="C1278" i="6"/>
  <c r="D1278" i="6"/>
  <c r="C1279" i="6"/>
  <c r="D1279" i="6"/>
  <c r="C1280" i="6"/>
  <c r="D1280" i="6"/>
  <c r="C1281" i="6"/>
  <c r="D1281" i="6"/>
  <c r="C1282" i="6"/>
  <c r="D1282" i="6"/>
  <c r="C1283" i="6"/>
  <c r="D1283" i="6"/>
  <c r="C1284" i="6"/>
  <c r="D1284" i="6"/>
  <c r="C1285" i="6"/>
  <c r="D1285" i="6"/>
  <c r="C1286" i="6"/>
  <c r="D1286" i="6"/>
  <c r="C1287" i="6"/>
  <c r="D1287" i="6"/>
  <c r="C1288" i="6"/>
  <c r="D1288" i="6"/>
  <c r="C1289" i="6"/>
  <c r="D1289" i="6"/>
  <c r="C1290" i="6"/>
  <c r="D1290" i="6"/>
  <c r="C1291" i="6"/>
  <c r="D1291" i="6"/>
  <c r="C1292" i="6"/>
  <c r="D1292" i="6"/>
  <c r="C1293" i="6"/>
  <c r="D1293" i="6"/>
  <c r="C1294" i="6"/>
  <c r="D1294" i="6"/>
  <c r="C1295" i="6"/>
  <c r="D1295" i="6"/>
  <c r="C1296" i="6"/>
  <c r="D1296" i="6"/>
  <c r="C1297" i="6"/>
  <c r="D1297" i="6"/>
  <c r="C1298" i="6"/>
  <c r="D1298" i="6"/>
  <c r="C1299" i="6"/>
  <c r="D1299" i="6"/>
  <c r="C1300" i="6"/>
  <c r="D1300" i="6"/>
  <c r="C1301" i="6"/>
  <c r="D1301" i="6"/>
  <c r="C1302" i="6"/>
  <c r="D1302" i="6"/>
  <c r="C1303" i="6"/>
  <c r="D1303" i="6"/>
  <c r="C1304" i="6"/>
  <c r="D1304" i="6"/>
  <c r="C1305" i="6"/>
  <c r="D1305" i="6"/>
  <c r="C1306" i="6"/>
  <c r="D1306" i="6"/>
  <c r="C1307" i="6"/>
  <c r="D1307" i="6"/>
  <c r="C1308" i="6"/>
  <c r="D1308" i="6"/>
  <c r="C1309" i="6"/>
  <c r="D1309" i="6"/>
  <c r="C1310" i="6"/>
  <c r="D1310" i="6"/>
  <c r="C1311" i="6"/>
  <c r="D1311" i="6"/>
  <c r="C1312" i="6"/>
  <c r="D1312" i="6"/>
  <c r="C1313" i="6"/>
  <c r="D1313" i="6"/>
  <c r="C1314" i="6"/>
  <c r="D1314" i="6"/>
  <c r="C1315" i="6"/>
  <c r="D1315" i="6"/>
  <c r="C1316" i="6"/>
  <c r="D1316" i="6"/>
  <c r="C1317" i="6"/>
  <c r="D1317" i="6"/>
  <c r="C1318" i="6"/>
  <c r="D1318" i="6"/>
  <c r="C1319" i="6"/>
  <c r="D1319" i="6"/>
  <c r="C1320" i="6"/>
  <c r="D1320" i="6"/>
  <c r="C1321" i="6"/>
  <c r="D1321" i="6"/>
  <c r="C1322" i="6"/>
  <c r="D1322" i="6"/>
  <c r="C1323" i="6"/>
  <c r="D1323" i="6"/>
  <c r="C1324" i="6"/>
  <c r="D1324" i="6"/>
  <c r="C1325" i="6"/>
  <c r="D1325" i="6"/>
  <c r="C1326" i="6"/>
  <c r="D1326" i="6"/>
  <c r="C1327" i="6"/>
  <c r="D1327" i="6"/>
  <c r="C1328" i="6"/>
  <c r="D1328" i="6"/>
  <c r="C1329" i="6"/>
  <c r="D1329" i="6"/>
  <c r="C1330" i="6"/>
  <c r="D1330" i="6"/>
  <c r="C1331" i="6"/>
  <c r="D1331" i="6"/>
  <c r="C1332" i="6"/>
  <c r="D1332" i="6"/>
  <c r="C1333" i="6"/>
  <c r="D1333" i="6"/>
  <c r="C1334" i="6"/>
  <c r="D1334" i="6"/>
  <c r="C1335" i="6"/>
  <c r="D1335" i="6"/>
  <c r="C1336" i="6"/>
  <c r="D1336" i="6"/>
  <c r="C1337" i="6"/>
  <c r="D1337" i="6"/>
  <c r="C1338" i="6"/>
  <c r="D1338" i="6"/>
  <c r="C1339" i="6"/>
  <c r="D1339" i="6"/>
  <c r="C1340" i="6"/>
  <c r="D1340" i="6"/>
  <c r="C1341" i="6"/>
  <c r="D1341" i="6"/>
  <c r="C1342" i="6"/>
  <c r="D1342" i="6"/>
  <c r="C1343" i="6"/>
  <c r="D1343" i="6"/>
  <c r="C1344" i="6"/>
  <c r="D1344" i="6"/>
  <c r="C1345" i="6"/>
  <c r="D1345" i="6"/>
  <c r="C1346" i="6"/>
  <c r="D1346" i="6"/>
  <c r="C1347" i="6"/>
  <c r="D1347" i="6"/>
  <c r="C1348" i="6"/>
  <c r="D1348" i="6"/>
  <c r="C1349" i="6"/>
  <c r="D1349" i="6"/>
  <c r="C1350" i="6"/>
  <c r="D1350" i="6"/>
  <c r="C1351" i="6"/>
  <c r="D1351" i="6"/>
  <c r="C1352" i="6"/>
  <c r="D1352" i="6"/>
  <c r="C1353" i="6"/>
  <c r="D1353" i="6"/>
  <c r="C1354" i="6"/>
  <c r="D1354" i="6"/>
  <c r="C1355" i="6"/>
  <c r="D1355" i="6"/>
  <c r="C1356" i="6"/>
  <c r="D1356" i="6"/>
  <c r="C1357" i="6"/>
  <c r="D1357" i="6"/>
  <c r="C1358" i="6"/>
  <c r="D1358" i="6"/>
  <c r="C1359" i="6"/>
  <c r="D1359" i="6"/>
  <c r="C1360" i="6"/>
  <c r="D1360" i="6"/>
  <c r="C1361" i="6"/>
  <c r="D1361" i="6"/>
  <c r="C1362" i="6"/>
  <c r="D1362" i="6"/>
  <c r="C1363" i="6"/>
  <c r="D1363" i="6"/>
  <c r="C1364" i="6"/>
  <c r="D1364" i="6"/>
  <c r="C1365" i="6"/>
  <c r="D1365" i="6"/>
  <c r="C1366" i="6"/>
  <c r="D1366" i="6"/>
  <c r="C1367" i="6"/>
  <c r="D1367" i="6"/>
  <c r="C1368" i="6"/>
  <c r="D1368" i="6"/>
  <c r="C1369" i="6"/>
  <c r="D1369" i="6"/>
  <c r="C1370" i="6"/>
  <c r="D1370" i="6"/>
  <c r="C1371" i="6"/>
  <c r="D1371" i="6"/>
  <c r="C1372" i="6"/>
  <c r="D1372" i="6"/>
  <c r="C1373" i="6"/>
  <c r="D1373" i="6"/>
  <c r="C1374" i="6"/>
  <c r="D1374" i="6"/>
  <c r="C1375" i="6"/>
  <c r="D1375" i="6"/>
  <c r="C1376" i="6"/>
  <c r="D1376" i="6"/>
  <c r="C1377" i="6"/>
  <c r="D1377" i="6"/>
  <c r="C1378" i="6"/>
  <c r="D1378" i="6"/>
  <c r="C1379" i="6"/>
  <c r="D1379" i="6"/>
  <c r="C1380" i="6"/>
  <c r="D1380" i="6"/>
  <c r="C1381" i="6"/>
  <c r="D1381" i="6"/>
  <c r="C1382" i="6"/>
  <c r="D1382" i="6"/>
  <c r="C1383" i="6"/>
  <c r="D1383" i="6"/>
  <c r="C1384" i="6"/>
  <c r="D1384" i="6"/>
  <c r="C1385" i="6"/>
  <c r="D1385" i="6"/>
  <c r="C1386" i="6"/>
  <c r="D1386" i="6"/>
  <c r="C1387" i="6"/>
  <c r="D1387" i="6"/>
  <c r="C1388" i="6"/>
  <c r="D1388" i="6"/>
  <c r="C1389" i="6"/>
  <c r="D1389" i="6"/>
  <c r="C1390" i="6"/>
  <c r="D1390" i="6"/>
  <c r="C1391" i="6"/>
  <c r="D1391" i="6"/>
  <c r="C1392" i="6"/>
  <c r="D1392" i="6"/>
  <c r="C1393" i="6"/>
  <c r="D1393" i="6"/>
  <c r="C1394" i="6"/>
  <c r="D1394" i="6"/>
  <c r="C1395" i="6"/>
  <c r="D1395" i="6"/>
  <c r="C1396" i="6"/>
  <c r="D1396" i="6"/>
  <c r="C1397" i="6"/>
  <c r="D1397" i="6"/>
  <c r="C1398" i="6"/>
  <c r="D1398" i="6"/>
  <c r="C1399" i="6"/>
  <c r="D1399" i="6"/>
  <c r="C1400" i="6"/>
  <c r="D1400" i="6"/>
  <c r="C1401" i="6"/>
  <c r="D1401" i="6"/>
  <c r="C1402" i="6"/>
  <c r="D1402" i="6"/>
  <c r="C1403" i="6"/>
  <c r="D1403" i="6"/>
  <c r="C1404" i="6"/>
  <c r="D1404" i="6"/>
  <c r="C1405" i="6"/>
  <c r="D1405" i="6"/>
  <c r="C1406" i="6"/>
  <c r="D1406" i="6"/>
  <c r="C1407" i="6"/>
  <c r="D1407" i="6"/>
  <c r="C1408" i="6"/>
  <c r="D1408" i="6"/>
  <c r="C1409" i="6"/>
  <c r="D1409" i="6"/>
  <c r="C1410" i="6"/>
  <c r="D1410" i="6"/>
  <c r="C1411" i="6"/>
  <c r="D1411" i="6"/>
  <c r="C1412" i="6"/>
  <c r="D1412" i="6"/>
  <c r="C1413" i="6"/>
  <c r="D1413" i="6"/>
  <c r="C1414" i="6"/>
  <c r="D1414" i="6"/>
  <c r="C1415" i="6"/>
  <c r="D1415" i="6"/>
  <c r="C1416" i="6"/>
  <c r="D1416" i="6"/>
  <c r="C1417" i="6"/>
  <c r="D1417" i="6"/>
  <c r="C1418" i="6"/>
  <c r="D1418" i="6"/>
  <c r="C1419" i="6"/>
  <c r="D1419" i="6"/>
  <c r="C1420" i="6"/>
  <c r="D1420" i="6"/>
  <c r="C1421" i="6"/>
  <c r="D1421" i="6"/>
  <c r="C1422" i="6"/>
  <c r="D1422" i="6"/>
  <c r="C1423" i="6"/>
  <c r="D1423" i="6"/>
  <c r="C1424" i="6"/>
  <c r="D1424" i="6"/>
  <c r="C1425" i="6"/>
  <c r="D1425" i="6"/>
  <c r="C1426" i="6"/>
  <c r="D1426" i="6"/>
  <c r="C1427" i="6"/>
  <c r="D1427" i="6"/>
  <c r="C1428" i="6"/>
  <c r="D1428" i="6"/>
  <c r="C1429" i="6"/>
  <c r="D1429" i="6"/>
  <c r="C1430" i="6"/>
  <c r="D1430" i="6"/>
  <c r="C1431" i="6"/>
  <c r="D1431" i="6"/>
  <c r="C1432" i="6"/>
  <c r="D1432" i="6"/>
  <c r="C1433" i="6"/>
  <c r="D1433" i="6"/>
  <c r="C1434" i="6"/>
  <c r="D1434" i="6"/>
  <c r="C1435" i="6"/>
  <c r="D1435" i="6"/>
  <c r="C1436" i="6"/>
  <c r="D1436" i="6"/>
  <c r="C1437" i="6"/>
  <c r="D1437" i="6"/>
  <c r="C1438" i="6"/>
  <c r="D1438" i="6"/>
  <c r="C1439" i="6"/>
  <c r="D1439" i="6"/>
  <c r="C1440" i="6"/>
  <c r="D1440" i="6"/>
  <c r="C1441" i="6"/>
  <c r="D1441" i="6"/>
  <c r="C1442" i="6"/>
  <c r="D1442" i="6"/>
  <c r="C1443" i="6"/>
  <c r="D1443" i="6"/>
  <c r="C1444" i="6"/>
  <c r="D1444" i="6"/>
  <c r="C1445" i="6"/>
  <c r="D1445" i="6"/>
  <c r="C1446" i="6"/>
  <c r="D1446" i="6"/>
  <c r="C1447" i="6"/>
  <c r="D1447" i="6"/>
  <c r="C1448" i="6"/>
  <c r="D1448" i="6"/>
  <c r="C1449" i="6"/>
  <c r="D1449" i="6"/>
  <c r="C1450" i="6"/>
  <c r="D1450" i="6"/>
  <c r="C1451" i="6"/>
  <c r="D1451" i="6"/>
  <c r="C1452" i="6"/>
  <c r="D1452" i="6"/>
  <c r="C1453" i="6"/>
  <c r="D1453" i="6"/>
  <c r="C1454" i="6"/>
  <c r="D1454" i="6"/>
  <c r="C1455" i="6"/>
  <c r="D1455" i="6"/>
  <c r="C1456" i="6"/>
  <c r="D1456" i="6"/>
  <c r="C1457" i="6"/>
  <c r="D1457" i="6"/>
  <c r="C1458" i="6"/>
  <c r="D1458" i="6"/>
  <c r="C1459" i="6"/>
  <c r="D1459" i="6"/>
  <c r="C1460" i="6"/>
  <c r="D1460" i="6"/>
  <c r="C1461" i="6"/>
  <c r="D1461" i="6"/>
  <c r="C1462" i="6"/>
  <c r="D1462" i="6"/>
  <c r="C1463" i="6"/>
  <c r="D1463" i="6"/>
  <c r="C1464" i="6"/>
  <c r="D1464" i="6"/>
  <c r="C1465" i="6"/>
  <c r="D1465" i="6"/>
  <c r="C1466" i="6"/>
  <c r="D1466" i="6"/>
  <c r="C1467" i="6"/>
  <c r="D1467" i="6"/>
  <c r="C1468" i="6"/>
  <c r="D1468" i="6"/>
  <c r="C1469" i="6"/>
  <c r="D1469" i="6"/>
  <c r="C1470" i="6"/>
  <c r="D1470" i="6"/>
  <c r="C1471" i="6"/>
  <c r="D1471" i="6"/>
  <c r="C1472" i="6"/>
  <c r="D1472" i="6"/>
  <c r="C1473" i="6"/>
  <c r="D1473" i="6"/>
  <c r="C1474" i="6"/>
  <c r="D1474" i="6"/>
  <c r="C1475" i="6"/>
  <c r="D1475" i="6"/>
  <c r="C1476" i="6"/>
  <c r="D1476" i="6"/>
  <c r="C1477" i="6"/>
  <c r="D1477" i="6"/>
  <c r="C1478" i="6"/>
  <c r="D1478" i="6"/>
  <c r="C1479" i="6"/>
  <c r="D1479" i="6"/>
  <c r="C1480" i="6"/>
  <c r="D1480" i="6"/>
  <c r="C1481" i="6"/>
  <c r="D1481" i="6"/>
  <c r="C1482" i="6"/>
  <c r="D1482" i="6"/>
  <c r="C1483" i="6"/>
  <c r="D1483" i="6"/>
  <c r="C1484" i="6"/>
  <c r="D1484" i="6"/>
  <c r="C1485" i="6"/>
  <c r="D1485" i="6"/>
  <c r="C1486" i="6"/>
  <c r="D1486" i="6"/>
  <c r="C1487" i="6"/>
  <c r="D1487" i="6"/>
  <c r="C1488" i="6"/>
  <c r="D1488" i="6"/>
  <c r="C1489" i="6"/>
  <c r="D1489" i="6"/>
  <c r="C1490" i="6"/>
  <c r="D1490" i="6"/>
  <c r="C1491" i="6"/>
  <c r="D1491" i="6"/>
  <c r="C1492" i="6"/>
  <c r="D1492" i="6"/>
  <c r="C1493" i="6"/>
  <c r="D1493" i="6"/>
  <c r="C1494" i="6"/>
  <c r="D1494" i="6"/>
  <c r="C1495" i="6"/>
  <c r="D1495" i="6"/>
  <c r="C1496" i="6"/>
  <c r="D1496" i="6"/>
  <c r="C1497" i="6"/>
  <c r="D1497" i="6"/>
  <c r="C1498" i="6"/>
  <c r="D1498" i="6"/>
  <c r="C1499" i="6"/>
  <c r="D1499" i="6"/>
  <c r="C1500" i="6"/>
  <c r="D1500" i="6"/>
  <c r="C1501" i="6"/>
  <c r="D1501" i="6"/>
  <c r="C1502" i="6"/>
  <c r="D1502" i="6"/>
  <c r="C1503" i="6"/>
  <c r="D1503" i="6"/>
  <c r="C1504" i="6"/>
  <c r="D1504" i="6"/>
  <c r="C1505" i="6"/>
  <c r="D1505" i="6"/>
  <c r="C1506" i="6"/>
  <c r="D1506" i="6"/>
  <c r="C1507" i="6"/>
  <c r="D1507" i="6"/>
  <c r="C1508" i="6"/>
  <c r="D1508" i="6"/>
  <c r="C1509" i="6"/>
  <c r="D1509" i="6"/>
  <c r="C1510" i="6"/>
  <c r="D1510" i="6"/>
  <c r="C1511" i="6"/>
  <c r="D1511" i="6"/>
  <c r="C1512" i="6"/>
  <c r="D1512" i="6"/>
  <c r="C1513" i="6"/>
  <c r="D1513" i="6"/>
  <c r="C1514" i="6"/>
  <c r="D1514" i="6"/>
  <c r="C1515" i="6"/>
  <c r="D1515" i="6"/>
  <c r="C1516" i="6"/>
  <c r="D1516" i="6"/>
  <c r="C1517" i="6"/>
  <c r="D1517" i="6"/>
  <c r="C1518" i="6"/>
  <c r="D1518" i="6"/>
  <c r="C1519" i="6"/>
  <c r="D1519" i="6"/>
  <c r="C1520" i="6"/>
  <c r="D1520" i="6"/>
  <c r="C1521" i="6"/>
  <c r="D1521" i="6"/>
  <c r="C1522" i="6"/>
  <c r="D1522" i="6"/>
  <c r="C1523" i="6"/>
  <c r="D1523" i="6"/>
  <c r="C1524" i="6"/>
  <c r="D1524" i="6"/>
  <c r="C1525" i="6"/>
  <c r="D1525" i="6"/>
  <c r="C1526" i="6"/>
  <c r="D1526" i="6"/>
  <c r="C1527" i="6"/>
  <c r="D1527" i="6"/>
  <c r="C1528" i="6"/>
  <c r="D1528" i="6"/>
  <c r="C1529" i="6"/>
  <c r="D1529" i="6"/>
  <c r="C1530" i="6"/>
  <c r="D1530" i="6"/>
  <c r="C1531" i="6"/>
  <c r="D1531" i="6"/>
  <c r="C1532" i="6"/>
  <c r="D1532" i="6"/>
  <c r="C1533" i="6"/>
  <c r="D1533" i="6"/>
  <c r="C1534" i="6"/>
  <c r="D1534" i="6"/>
  <c r="C1535" i="6"/>
  <c r="D1535" i="6"/>
  <c r="C1536" i="6"/>
  <c r="D1536" i="6"/>
  <c r="C1537" i="6"/>
  <c r="D1537" i="6"/>
  <c r="C1538" i="6"/>
  <c r="D1538" i="6"/>
  <c r="C1539" i="6"/>
  <c r="D1539" i="6"/>
  <c r="C1540" i="6"/>
  <c r="D1540" i="6"/>
  <c r="C1541" i="6"/>
  <c r="D1541" i="6"/>
  <c r="C1542" i="6"/>
  <c r="D1542" i="6"/>
  <c r="C1543" i="6"/>
  <c r="D1543" i="6"/>
  <c r="C1544" i="6"/>
  <c r="D1544" i="6"/>
  <c r="C1545" i="6"/>
  <c r="D1545" i="6"/>
  <c r="C1546" i="6"/>
  <c r="D1546" i="6"/>
  <c r="C1547" i="6"/>
  <c r="D1547" i="6"/>
  <c r="C1548" i="6"/>
  <c r="D1548" i="6"/>
  <c r="C1549" i="6"/>
  <c r="D1549" i="6"/>
  <c r="C1550" i="6"/>
  <c r="D1550" i="6"/>
  <c r="C1551" i="6"/>
  <c r="D1551" i="6"/>
  <c r="C1552" i="6"/>
  <c r="D1552" i="6"/>
  <c r="C1553" i="6"/>
  <c r="D1553" i="6"/>
  <c r="C1554" i="6"/>
  <c r="D1554" i="6"/>
  <c r="C1555" i="6"/>
  <c r="D1555" i="6"/>
  <c r="C1556" i="6"/>
  <c r="D1556" i="6"/>
  <c r="C1557" i="6"/>
  <c r="D1557" i="6"/>
  <c r="C1558" i="6"/>
  <c r="D1558" i="6"/>
  <c r="C1559" i="6"/>
  <c r="D1559" i="6"/>
  <c r="C1560" i="6"/>
  <c r="D1560" i="6"/>
  <c r="C1561" i="6"/>
  <c r="D1561" i="6"/>
  <c r="C1562" i="6"/>
  <c r="D1562" i="6"/>
  <c r="C1563" i="6"/>
  <c r="D1563" i="6"/>
  <c r="C1564" i="6"/>
  <c r="D1564" i="6"/>
  <c r="C1565" i="6"/>
  <c r="D1565" i="6"/>
  <c r="C1566" i="6"/>
  <c r="D1566" i="6"/>
  <c r="C1567" i="6"/>
  <c r="D1567" i="6"/>
  <c r="C1568" i="6"/>
  <c r="D1568" i="6"/>
  <c r="C1569" i="6"/>
  <c r="D1569" i="6"/>
  <c r="C1570" i="6"/>
  <c r="D1570" i="6"/>
  <c r="C1571" i="6"/>
  <c r="D1571" i="6"/>
  <c r="C1572" i="6"/>
  <c r="D1572" i="6"/>
  <c r="C1573" i="6"/>
  <c r="D1573" i="6"/>
  <c r="C1574" i="6"/>
  <c r="D1574" i="6"/>
  <c r="C1575" i="6"/>
  <c r="D1575" i="6"/>
  <c r="C1576" i="6"/>
  <c r="D1576" i="6"/>
  <c r="C1577" i="6"/>
  <c r="D1577" i="6"/>
  <c r="C1578" i="6"/>
  <c r="D1578" i="6"/>
  <c r="C1579" i="6"/>
  <c r="D1579" i="6"/>
  <c r="C1580" i="6"/>
  <c r="D1580" i="6"/>
  <c r="C1581" i="6"/>
  <c r="D1581" i="6"/>
  <c r="C1582" i="6"/>
  <c r="D1582" i="6"/>
  <c r="C1583" i="6"/>
  <c r="D1583" i="6"/>
  <c r="C1584" i="6"/>
  <c r="D1584" i="6"/>
  <c r="C1585" i="6"/>
  <c r="D1585" i="6"/>
  <c r="C1586" i="6"/>
  <c r="D1586" i="6"/>
  <c r="C1587" i="6"/>
  <c r="D1587" i="6"/>
  <c r="C1588" i="6"/>
  <c r="D1588" i="6"/>
  <c r="C1589" i="6"/>
  <c r="D1589" i="6"/>
  <c r="C1590" i="6"/>
  <c r="D1590" i="6"/>
  <c r="C1591" i="6"/>
  <c r="D1591" i="6"/>
  <c r="C1592" i="6"/>
  <c r="D1592" i="6"/>
  <c r="C1593" i="6"/>
  <c r="D1593" i="6"/>
  <c r="C1594" i="6"/>
  <c r="D1594" i="6"/>
  <c r="C1595" i="6"/>
  <c r="D1595" i="6"/>
  <c r="C1596" i="6"/>
  <c r="D1596" i="6"/>
  <c r="C1597" i="6"/>
  <c r="D1597" i="6"/>
  <c r="C1598" i="6"/>
  <c r="D1598" i="6"/>
  <c r="C1599" i="6"/>
  <c r="D1599" i="6"/>
  <c r="C1600" i="6"/>
  <c r="D1600" i="6"/>
  <c r="C1601" i="6"/>
  <c r="D1601" i="6"/>
  <c r="C1602" i="6"/>
  <c r="D1602" i="6"/>
  <c r="C1603" i="6"/>
  <c r="D1603" i="6"/>
  <c r="C1604" i="6"/>
  <c r="D1604" i="6"/>
  <c r="C1605" i="6"/>
  <c r="D1605" i="6"/>
  <c r="C1606" i="6"/>
  <c r="D1606" i="6"/>
  <c r="C1607" i="6"/>
  <c r="D1607" i="6"/>
  <c r="C1608" i="6"/>
  <c r="D1608" i="6"/>
  <c r="C1609" i="6"/>
  <c r="D1609" i="6"/>
  <c r="C1610" i="6"/>
  <c r="D1610" i="6"/>
  <c r="C1611" i="6"/>
  <c r="D1611" i="6"/>
  <c r="C1612" i="6"/>
  <c r="D1612" i="6"/>
  <c r="C1613" i="6"/>
  <c r="D1613" i="6"/>
  <c r="C1614" i="6"/>
  <c r="D1614" i="6"/>
  <c r="C1615" i="6"/>
  <c r="D1615" i="6"/>
  <c r="C1616" i="6"/>
  <c r="D1616" i="6"/>
  <c r="C1617" i="6"/>
  <c r="D1617" i="6"/>
  <c r="C1618" i="6"/>
  <c r="D1618" i="6"/>
  <c r="C1619" i="6"/>
  <c r="D1619" i="6"/>
  <c r="C1620" i="6"/>
  <c r="D1620" i="6"/>
  <c r="C1621" i="6"/>
  <c r="D1621" i="6"/>
  <c r="C1622" i="6"/>
  <c r="D1622" i="6"/>
  <c r="C1623" i="6"/>
  <c r="D1623" i="6"/>
  <c r="C1624" i="6"/>
  <c r="D1624" i="6"/>
  <c r="C1625" i="6"/>
  <c r="D1625" i="6"/>
  <c r="C1626" i="6"/>
  <c r="D1626" i="6"/>
  <c r="C1627" i="6"/>
  <c r="D1627" i="6"/>
  <c r="C1628" i="6"/>
  <c r="D1628" i="6"/>
  <c r="C1629" i="6"/>
  <c r="D1629" i="6"/>
  <c r="C1630" i="6"/>
  <c r="D1630" i="6"/>
  <c r="C1631" i="6"/>
  <c r="D1631" i="6"/>
  <c r="C1632" i="6"/>
  <c r="D1632" i="6"/>
  <c r="C1633" i="6"/>
  <c r="D1633" i="6"/>
  <c r="C1634" i="6"/>
  <c r="D1634" i="6"/>
  <c r="C1635" i="6"/>
  <c r="D1635" i="6"/>
  <c r="C1636" i="6"/>
  <c r="D1636" i="6"/>
  <c r="C1637" i="6"/>
  <c r="D1637" i="6"/>
  <c r="C1638" i="6"/>
  <c r="D1638" i="6"/>
  <c r="C1639" i="6"/>
  <c r="D1639" i="6"/>
  <c r="C1640" i="6"/>
  <c r="D1640" i="6"/>
  <c r="C1641" i="6"/>
  <c r="D1641" i="6"/>
  <c r="C1642" i="6"/>
  <c r="D1642" i="6"/>
  <c r="C1643" i="6"/>
  <c r="D1643" i="6"/>
  <c r="C1644" i="6"/>
  <c r="D1644" i="6"/>
  <c r="C1645" i="6"/>
  <c r="D1645" i="6"/>
  <c r="C1646" i="6"/>
  <c r="D1646" i="6"/>
  <c r="C1647" i="6"/>
  <c r="D1647" i="6"/>
  <c r="C1648" i="6"/>
  <c r="D1648" i="6"/>
  <c r="C1649" i="6"/>
  <c r="D1649" i="6"/>
  <c r="C1650" i="6"/>
  <c r="D1650" i="6"/>
  <c r="C1651" i="6"/>
  <c r="D1651" i="6"/>
  <c r="C1652" i="6"/>
  <c r="D1652" i="6"/>
  <c r="C1653" i="6"/>
  <c r="D1653" i="6"/>
  <c r="C1654" i="6"/>
  <c r="D1654" i="6"/>
  <c r="C1655" i="6"/>
  <c r="D1655" i="6"/>
  <c r="C1656" i="6"/>
  <c r="D1656" i="6"/>
  <c r="C1657" i="6"/>
  <c r="D1657" i="6"/>
  <c r="C1658" i="6"/>
  <c r="D1658" i="6"/>
  <c r="C1659" i="6"/>
  <c r="D1659" i="6"/>
  <c r="C1660" i="6"/>
  <c r="D1660" i="6"/>
  <c r="C1661" i="6"/>
  <c r="D1661" i="6"/>
  <c r="C1662" i="6"/>
  <c r="D1662" i="6"/>
  <c r="C1663" i="6"/>
  <c r="D1663" i="6"/>
  <c r="C1664" i="6"/>
  <c r="D1664" i="6"/>
  <c r="C1665" i="6"/>
  <c r="D1665" i="6"/>
  <c r="C1666" i="6"/>
  <c r="D1666" i="6"/>
  <c r="C1667" i="6"/>
  <c r="D1667" i="6"/>
  <c r="C1668" i="6"/>
  <c r="D1668" i="6"/>
  <c r="C1669" i="6"/>
  <c r="D1669" i="6"/>
  <c r="C1670" i="6"/>
  <c r="D1670" i="6"/>
  <c r="C1671" i="6"/>
  <c r="D1671" i="6"/>
  <c r="C1672" i="6"/>
  <c r="D1672" i="6"/>
  <c r="C1673" i="6"/>
  <c r="D1673" i="6"/>
  <c r="C1674" i="6"/>
  <c r="D1674" i="6"/>
  <c r="C1675" i="6"/>
  <c r="D1675" i="6"/>
  <c r="C1676" i="6"/>
  <c r="D1676" i="6"/>
  <c r="C1677" i="6"/>
  <c r="D1677" i="6"/>
  <c r="C1678" i="6"/>
  <c r="D1678" i="6"/>
  <c r="C1679" i="6"/>
  <c r="D1679" i="6"/>
  <c r="C1680" i="6"/>
  <c r="D1680" i="6"/>
  <c r="C1681" i="6"/>
  <c r="D1681" i="6"/>
  <c r="C1682" i="6"/>
  <c r="D1682" i="6"/>
  <c r="C1683" i="6"/>
  <c r="D1683" i="6"/>
  <c r="C1684" i="6"/>
  <c r="D1684" i="6"/>
  <c r="C1685" i="6"/>
  <c r="D1685" i="6"/>
  <c r="C1686" i="6"/>
  <c r="D1686" i="6"/>
  <c r="C1687" i="6"/>
  <c r="D1687" i="6"/>
  <c r="C1688" i="6"/>
  <c r="D1688" i="6"/>
  <c r="C1689" i="6"/>
  <c r="D1689" i="6"/>
  <c r="C1690" i="6"/>
  <c r="D1690" i="6"/>
  <c r="C1691" i="6"/>
  <c r="D1691" i="6"/>
  <c r="C1692" i="6"/>
  <c r="D1692" i="6"/>
  <c r="C1693" i="6"/>
  <c r="D1693" i="6"/>
  <c r="C1694" i="6"/>
  <c r="D1694" i="6"/>
  <c r="C1695" i="6"/>
  <c r="D1695" i="6"/>
  <c r="C1696" i="6"/>
  <c r="D1696" i="6"/>
  <c r="C1697" i="6"/>
  <c r="D1697" i="6"/>
  <c r="C1698" i="6"/>
  <c r="D1698" i="6"/>
  <c r="C1699" i="6"/>
  <c r="D1699" i="6"/>
  <c r="C1700" i="6"/>
  <c r="D1700" i="6"/>
  <c r="C1701" i="6"/>
  <c r="D1701" i="6"/>
  <c r="C1702" i="6"/>
  <c r="D1702" i="6"/>
  <c r="C1703" i="6"/>
  <c r="D1703" i="6"/>
  <c r="C1704" i="6"/>
  <c r="D1704" i="6"/>
  <c r="C1705" i="6"/>
  <c r="D1705" i="6"/>
  <c r="C1706" i="6"/>
  <c r="D1706" i="6"/>
  <c r="C1707" i="6"/>
  <c r="D1707" i="6"/>
  <c r="C1708" i="6"/>
  <c r="D1708" i="6"/>
  <c r="C1709" i="6"/>
  <c r="D1709" i="6"/>
  <c r="C1710" i="6"/>
  <c r="D1710" i="6"/>
  <c r="C1711" i="6"/>
  <c r="D1711" i="6"/>
  <c r="C1712" i="6"/>
  <c r="D1712" i="6"/>
  <c r="C1713" i="6"/>
  <c r="D1713" i="6"/>
  <c r="C1714" i="6"/>
  <c r="D1714" i="6"/>
  <c r="C1715" i="6"/>
  <c r="D1715" i="6"/>
  <c r="C1716" i="6"/>
  <c r="D1716" i="6"/>
  <c r="C1717" i="6"/>
  <c r="D1717" i="6"/>
  <c r="C1718" i="6"/>
  <c r="D1718" i="6"/>
  <c r="C1719" i="6"/>
  <c r="D1719" i="6"/>
  <c r="C1720" i="6"/>
  <c r="D1720" i="6"/>
  <c r="C1721" i="6"/>
  <c r="D1721" i="6"/>
  <c r="C1722" i="6"/>
  <c r="D1722" i="6"/>
  <c r="C1723" i="6"/>
  <c r="D1723" i="6"/>
  <c r="C1724" i="6"/>
  <c r="D1724" i="6"/>
  <c r="C1725" i="6"/>
  <c r="D1725" i="6"/>
  <c r="C1726" i="6"/>
  <c r="D1726" i="6"/>
  <c r="C1727" i="6"/>
  <c r="D1727" i="6"/>
  <c r="C1728" i="6"/>
  <c r="D1728" i="6"/>
  <c r="C1729" i="6"/>
  <c r="D1729" i="6"/>
  <c r="C1730" i="6"/>
  <c r="D1730" i="6"/>
  <c r="C1731" i="6"/>
  <c r="D1731" i="6"/>
  <c r="C1732" i="6"/>
  <c r="D1732" i="6"/>
  <c r="C1733" i="6"/>
  <c r="D1733" i="6"/>
  <c r="C1734" i="6"/>
  <c r="D1734" i="6"/>
  <c r="C1735" i="6"/>
  <c r="D1735" i="6"/>
  <c r="C1736" i="6"/>
  <c r="D1736" i="6"/>
  <c r="C1737" i="6"/>
  <c r="D1737" i="6"/>
  <c r="C1738" i="6"/>
  <c r="D1738" i="6"/>
  <c r="C1739" i="6"/>
  <c r="D1739" i="6"/>
  <c r="C1740" i="6"/>
  <c r="D1740" i="6"/>
  <c r="C1741" i="6"/>
  <c r="D1741" i="6"/>
  <c r="C1742" i="6"/>
  <c r="D1742" i="6"/>
  <c r="C1743" i="6"/>
  <c r="D1743" i="6"/>
  <c r="C1744" i="6"/>
  <c r="D1744" i="6"/>
  <c r="C1745" i="6"/>
  <c r="D1745" i="6"/>
  <c r="C1746" i="6"/>
  <c r="D1746" i="6"/>
  <c r="C1747" i="6"/>
  <c r="D1747" i="6"/>
  <c r="C1748" i="6"/>
  <c r="D1748" i="6"/>
  <c r="C1749" i="6"/>
  <c r="D1749" i="6"/>
  <c r="C1750" i="6"/>
  <c r="D1750" i="6"/>
  <c r="C1751" i="6"/>
  <c r="D1751" i="6"/>
  <c r="C1752" i="6"/>
  <c r="D1752" i="6"/>
  <c r="C1753" i="6"/>
  <c r="D1753" i="6"/>
  <c r="C1754" i="6"/>
  <c r="D1754" i="6"/>
  <c r="C1755" i="6"/>
  <c r="D1755" i="6"/>
  <c r="C1756" i="6"/>
  <c r="D1756" i="6"/>
  <c r="C1757" i="6"/>
  <c r="D1757" i="6"/>
  <c r="C1758" i="6"/>
  <c r="D1758" i="6"/>
  <c r="C1759" i="6"/>
  <c r="D1759" i="6"/>
  <c r="C1760" i="6"/>
  <c r="D1760" i="6"/>
  <c r="C1761" i="6"/>
  <c r="D1761" i="6"/>
  <c r="C1762" i="6"/>
  <c r="D1762" i="6"/>
  <c r="C1763" i="6"/>
  <c r="D1763" i="6"/>
  <c r="C1764" i="6"/>
  <c r="D1764" i="6"/>
  <c r="C1765" i="6"/>
  <c r="D1765" i="6"/>
  <c r="C1766" i="6"/>
  <c r="D1766" i="6"/>
  <c r="C1767" i="6"/>
  <c r="D1767" i="6"/>
  <c r="C1768" i="6"/>
  <c r="D1768" i="6"/>
  <c r="C1769" i="6"/>
  <c r="D1769" i="6"/>
  <c r="C1770" i="6"/>
  <c r="D1770" i="6"/>
  <c r="C1771" i="6"/>
  <c r="D1771" i="6"/>
  <c r="C1772" i="6"/>
  <c r="D1772" i="6"/>
  <c r="C1773" i="6"/>
  <c r="D1773" i="6"/>
  <c r="C1774" i="6"/>
  <c r="D1774" i="6"/>
  <c r="C1775" i="6"/>
  <c r="D1775" i="6"/>
  <c r="C1776" i="6"/>
  <c r="D1776" i="6"/>
  <c r="C1777" i="6"/>
  <c r="D1777" i="6"/>
  <c r="C1778" i="6"/>
  <c r="D1778" i="6"/>
  <c r="C1779" i="6"/>
  <c r="D1779" i="6"/>
  <c r="C1780" i="6"/>
  <c r="D1780" i="6"/>
  <c r="C1781" i="6"/>
  <c r="D1781" i="6"/>
  <c r="C1782" i="6"/>
  <c r="D1782" i="6"/>
  <c r="C1783" i="6"/>
  <c r="D1783" i="6"/>
  <c r="C1784" i="6"/>
  <c r="D1784" i="6"/>
  <c r="C1785" i="6"/>
  <c r="D1785" i="6"/>
  <c r="C1786" i="6"/>
  <c r="D1786" i="6"/>
  <c r="C1787" i="6"/>
  <c r="D1787" i="6"/>
  <c r="C1788" i="6"/>
  <c r="D1788" i="6"/>
  <c r="C1789" i="6"/>
  <c r="D1789" i="6"/>
  <c r="C1790" i="6"/>
  <c r="D1790" i="6"/>
  <c r="C1791" i="6"/>
  <c r="D1791" i="6"/>
  <c r="C1792" i="6"/>
  <c r="D1792" i="6"/>
  <c r="C1793" i="6"/>
  <c r="D1793" i="6"/>
  <c r="C1794" i="6"/>
  <c r="D1794" i="6"/>
  <c r="C1795" i="6"/>
  <c r="D1795" i="6"/>
  <c r="C1796" i="6"/>
  <c r="D1796" i="6"/>
  <c r="C1797" i="6"/>
  <c r="D1797" i="6"/>
  <c r="C1798" i="6"/>
  <c r="D1798" i="6"/>
  <c r="C1799" i="6"/>
  <c r="D1799" i="6"/>
  <c r="C1800" i="6"/>
  <c r="D1800" i="6"/>
  <c r="C1801" i="6"/>
  <c r="D1801" i="6"/>
  <c r="C1802" i="6"/>
  <c r="D1802" i="6"/>
  <c r="C1803" i="6"/>
  <c r="D1803" i="6"/>
  <c r="C1804" i="6"/>
  <c r="D1804" i="6"/>
  <c r="C1805" i="6"/>
  <c r="D1805" i="6"/>
  <c r="C1806" i="6"/>
  <c r="D1806" i="6"/>
  <c r="C1807" i="6"/>
  <c r="D1807" i="6"/>
  <c r="C1808" i="6"/>
  <c r="D1808" i="6"/>
  <c r="C1809" i="6"/>
  <c r="D1809" i="6"/>
  <c r="C1810" i="6"/>
  <c r="D1810" i="6"/>
  <c r="C1811" i="6"/>
  <c r="D1811" i="6"/>
  <c r="C1812" i="6"/>
  <c r="D1812" i="6"/>
  <c r="C1813" i="6"/>
  <c r="D1813" i="6"/>
  <c r="C1814" i="6"/>
  <c r="D1814" i="6"/>
  <c r="C1815" i="6"/>
  <c r="D1815" i="6"/>
  <c r="C1816" i="6"/>
  <c r="D1816" i="6"/>
  <c r="C1817" i="6"/>
  <c r="D1817" i="6"/>
  <c r="C1818" i="6"/>
  <c r="D1818" i="6"/>
  <c r="C1819" i="6"/>
  <c r="D1819" i="6"/>
  <c r="C1820" i="6"/>
  <c r="D1820" i="6"/>
  <c r="C1821" i="6"/>
  <c r="D1821" i="6"/>
  <c r="C1822" i="6"/>
  <c r="D1822" i="6"/>
  <c r="C1823" i="6"/>
  <c r="D1823" i="6"/>
  <c r="C1824" i="6"/>
  <c r="D1824" i="6"/>
  <c r="C1825" i="6"/>
  <c r="D1825" i="6"/>
  <c r="C1826" i="6"/>
  <c r="D1826" i="6"/>
  <c r="C1827" i="6"/>
  <c r="D1827" i="6"/>
  <c r="C1828" i="6"/>
  <c r="D1828" i="6"/>
  <c r="C1829" i="6"/>
  <c r="D1829" i="6"/>
  <c r="C1830" i="6"/>
  <c r="D1830" i="6"/>
  <c r="C1831" i="6"/>
  <c r="D1831" i="6"/>
  <c r="C1832" i="6"/>
  <c r="D1832" i="6"/>
  <c r="C1833" i="6"/>
  <c r="D1833" i="6"/>
  <c r="C1834" i="6"/>
  <c r="D1834" i="6"/>
  <c r="C1835" i="6"/>
  <c r="D1835" i="6"/>
  <c r="C1836" i="6"/>
  <c r="D1836" i="6"/>
  <c r="C1837" i="6"/>
  <c r="D1837" i="6"/>
  <c r="C1838" i="6"/>
  <c r="D1838" i="6"/>
  <c r="C1839" i="6"/>
  <c r="D1839" i="6"/>
  <c r="C1840" i="6"/>
  <c r="D1840" i="6"/>
  <c r="C1841" i="6"/>
  <c r="D1841" i="6"/>
  <c r="C1842" i="6"/>
  <c r="D1842" i="6"/>
  <c r="C1843" i="6"/>
  <c r="D1843" i="6"/>
  <c r="C1844" i="6"/>
  <c r="D1844" i="6"/>
  <c r="C1845" i="6"/>
  <c r="D1845" i="6"/>
  <c r="C1846" i="6"/>
  <c r="D1846" i="6"/>
  <c r="C1847" i="6"/>
  <c r="D1847" i="6"/>
  <c r="C1848" i="6"/>
  <c r="D1848" i="6"/>
  <c r="C1849" i="6"/>
  <c r="D1849" i="6"/>
  <c r="C1850" i="6"/>
  <c r="D1850" i="6"/>
  <c r="C1851" i="6"/>
  <c r="D1851" i="6"/>
  <c r="C1852" i="6"/>
  <c r="D1852" i="6"/>
  <c r="C1853" i="6"/>
  <c r="D1853" i="6"/>
  <c r="C1854" i="6"/>
  <c r="D1854" i="6"/>
  <c r="C1855" i="6"/>
  <c r="D1855" i="6"/>
  <c r="C1856" i="6"/>
  <c r="D1856" i="6"/>
  <c r="C1857" i="6"/>
  <c r="D1857" i="6"/>
  <c r="C1858" i="6"/>
  <c r="D1858" i="6"/>
  <c r="C1859" i="6"/>
  <c r="D1859" i="6"/>
  <c r="C1860" i="6"/>
  <c r="D1860" i="6"/>
  <c r="C1861" i="6"/>
  <c r="D1861" i="6"/>
  <c r="C1862" i="6"/>
  <c r="D1862" i="6"/>
  <c r="C1863" i="6"/>
  <c r="D1863" i="6"/>
  <c r="C1864" i="6"/>
  <c r="D1864" i="6"/>
  <c r="C1865" i="6"/>
  <c r="D1865" i="6"/>
  <c r="C1866" i="6"/>
  <c r="D1866" i="6"/>
  <c r="C1867" i="6"/>
  <c r="D1867" i="6"/>
  <c r="C1868" i="6"/>
  <c r="D1868" i="6"/>
  <c r="C1869" i="6"/>
  <c r="D1869" i="6"/>
  <c r="C1870" i="6"/>
  <c r="D1870" i="6"/>
  <c r="C1871" i="6"/>
  <c r="D1871" i="6"/>
  <c r="C1872" i="6"/>
  <c r="D1872" i="6"/>
  <c r="C1873" i="6"/>
  <c r="D1873" i="6"/>
  <c r="C1874" i="6"/>
  <c r="D1874" i="6"/>
  <c r="C1875" i="6"/>
  <c r="D1875" i="6"/>
  <c r="C1876" i="6"/>
  <c r="D1876" i="6"/>
  <c r="C1877" i="6"/>
  <c r="D1877" i="6"/>
  <c r="C1878" i="6"/>
  <c r="D1878" i="6"/>
  <c r="C1879" i="6"/>
  <c r="D1879" i="6"/>
  <c r="C1880" i="6"/>
  <c r="D1880" i="6"/>
  <c r="C1881" i="6"/>
  <c r="D1881" i="6"/>
  <c r="C1882" i="6"/>
  <c r="D1882" i="6"/>
  <c r="C1883" i="6"/>
  <c r="D1883" i="6"/>
  <c r="C1884" i="6"/>
  <c r="D1884" i="6"/>
  <c r="C1885" i="6"/>
  <c r="D1885" i="6"/>
  <c r="C1886" i="6"/>
  <c r="D1886" i="6"/>
  <c r="C1887" i="6"/>
  <c r="D1887" i="6"/>
  <c r="C1888" i="6"/>
  <c r="D1888" i="6"/>
  <c r="C1889" i="6"/>
  <c r="D1889" i="6"/>
  <c r="C1890" i="6"/>
  <c r="D1890" i="6"/>
  <c r="C1891" i="6"/>
  <c r="D1891" i="6"/>
  <c r="C1892" i="6"/>
  <c r="D1892" i="6"/>
  <c r="C1893" i="6"/>
  <c r="D1893" i="6"/>
  <c r="C1894" i="6"/>
  <c r="D1894" i="6"/>
  <c r="C1895" i="6"/>
  <c r="D1895" i="6"/>
  <c r="C1896" i="6"/>
  <c r="D1896" i="6"/>
  <c r="C1897" i="6"/>
  <c r="D1897" i="6"/>
  <c r="C1898" i="6"/>
  <c r="D1898" i="6"/>
  <c r="C1899" i="6"/>
  <c r="D1899" i="6"/>
  <c r="C1900" i="6"/>
  <c r="D1900" i="6"/>
  <c r="C1901" i="6"/>
  <c r="D1901" i="6"/>
  <c r="C1902" i="6"/>
  <c r="D1902" i="6"/>
  <c r="C1903" i="6"/>
  <c r="D1903" i="6"/>
  <c r="C1904" i="6"/>
  <c r="D1904" i="6"/>
  <c r="C1905" i="6"/>
  <c r="D1905" i="6"/>
  <c r="C1906" i="6"/>
  <c r="D1906" i="6"/>
  <c r="C1907" i="6"/>
  <c r="D1907" i="6"/>
  <c r="C1908" i="6"/>
  <c r="D1908" i="6"/>
  <c r="C1909" i="6"/>
  <c r="D1909" i="6"/>
  <c r="C1910" i="6"/>
  <c r="D1910" i="6"/>
  <c r="C1911" i="6"/>
  <c r="D1911" i="6"/>
  <c r="C1912" i="6"/>
  <c r="D1912" i="6"/>
  <c r="C1913" i="6"/>
  <c r="D1913" i="6"/>
  <c r="C1914" i="6"/>
  <c r="D1914" i="6"/>
  <c r="C1915" i="6"/>
  <c r="D1915" i="6"/>
  <c r="C1916" i="6"/>
  <c r="D1916" i="6"/>
  <c r="C1917" i="6"/>
  <c r="D1917" i="6"/>
  <c r="C1918" i="6"/>
  <c r="D1918" i="6"/>
  <c r="C1919" i="6"/>
  <c r="D1919" i="6"/>
  <c r="C1920" i="6"/>
  <c r="D1920" i="6"/>
  <c r="C1921" i="6"/>
  <c r="D1921" i="6"/>
  <c r="C1922" i="6"/>
  <c r="D1922" i="6"/>
  <c r="C1923" i="6"/>
  <c r="D1923" i="6"/>
  <c r="C1924" i="6"/>
  <c r="D1924" i="6"/>
  <c r="C1925" i="6"/>
  <c r="D1925" i="6"/>
  <c r="C1926" i="6"/>
  <c r="D1926" i="6"/>
  <c r="C1927" i="6"/>
  <c r="D1927" i="6"/>
  <c r="C1928" i="6"/>
  <c r="D1928" i="6"/>
  <c r="C1929" i="6"/>
  <c r="D1929" i="6"/>
  <c r="C1930" i="6"/>
  <c r="D1930" i="6"/>
  <c r="C1931" i="6"/>
  <c r="D1931" i="6"/>
  <c r="C1932" i="6"/>
  <c r="D1932" i="6"/>
  <c r="C1933" i="6"/>
  <c r="D1933" i="6"/>
  <c r="C1934" i="6"/>
  <c r="D1934" i="6"/>
  <c r="C1935" i="6"/>
  <c r="D1935" i="6"/>
  <c r="C1936" i="6"/>
  <c r="D1936" i="6"/>
  <c r="C1937" i="6"/>
  <c r="D1937" i="6"/>
  <c r="C1938" i="6"/>
  <c r="D1938" i="6"/>
  <c r="C1939" i="6"/>
  <c r="D1939" i="6"/>
  <c r="C1940" i="6"/>
  <c r="D1940" i="6"/>
  <c r="C1941" i="6"/>
  <c r="D1941" i="6"/>
  <c r="C1942" i="6"/>
  <c r="D1942" i="6"/>
  <c r="C1943" i="6"/>
  <c r="D1943" i="6"/>
  <c r="C1944" i="6"/>
  <c r="D1944" i="6"/>
  <c r="C1945" i="6"/>
  <c r="D1945" i="6"/>
  <c r="C1946" i="6"/>
  <c r="D1946" i="6"/>
  <c r="C1947" i="6"/>
  <c r="D1947" i="6"/>
  <c r="C1948" i="6"/>
  <c r="D1948" i="6"/>
  <c r="C1949" i="6"/>
  <c r="D1949" i="6"/>
  <c r="C1950" i="6"/>
  <c r="D1950" i="6"/>
  <c r="C1951" i="6"/>
  <c r="D1951" i="6"/>
  <c r="C1952" i="6"/>
  <c r="D1952" i="6"/>
  <c r="C1953" i="6"/>
  <c r="D1953" i="6"/>
  <c r="C1954" i="6"/>
  <c r="D1954" i="6"/>
  <c r="C1955" i="6"/>
  <c r="D1955" i="6"/>
  <c r="C1956" i="6"/>
  <c r="D1956" i="6"/>
  <c r="C1957" i="6"/>
  <c r="D1957" i="6"/>
  <c r="C1958" i="6"/>
  <c r="D1958" i="6"/>
  <c r="C1959" i="6"/>
  <c r="D1959" i="6"/>
  <c r="C1960" i="6"/>
  <c r="D1960" i="6"/>
  <c r="C1961" i="6"/>
  <c r="D1961" i="6"/>
  <c r="C1962" i="6"/>
  <c r="D1962" i="6"/>
  <c r="C1963" i="6"/>
  <c r="D1963" i="6"/>
  <c r="C1964" i="6"/>
  <c r="D1964" i="6"/>
  <c r="C1965" i="6"/>
  <c r="D1965" i="6"/>
  <c r="C1966" i="6"/>
  <c r="D1966" i="6"/>
  <c r="C1967" i="6"/>
  <c r="D1967" i="6"/>
  <c r="C1968" i="6"/>
  <c r="D1968" i="6"/>
  <c r="C1969" i="6"/>
  <c r="D1969" i="6"/>
  <c r="C1970" i="6"/>
  <c r="D1970" i="6"/>
  <c r="C1971" i="6"/>
  <c r="D1971" i="6"/>
  <c r="C1972" i="6"/>
  <c r="D1972" i="6"/>
  <c r="C1973" i="6"/>
  <c r="D1973" i="6"/>
  <c r="C1974" i="6"/>
  <c r="D1974" i="6"/>
  <c r="C1975" i="6"/>
  <c r="D1975" i="6"/>
  <c r="C1976" i="6"/>
  <c r="D1976" i="6"/>
  <c r="C1977" i="6"/>
  <c r="D1977" i="6"/>
  <c r="C1978" i="6"/>
  <c r="D1978" i="6"/>
  <c r="C1979" i="6"/>
  <c r="D1979" i="6"/>
  <c r="C1980" i="6"/>
  <c r="D1980" i="6"/>
  <c r="C1981" i="6"/>
  <c r="D1981" i="6"/>
  <c r="C1982" i="6"/>
  <c r="D1982" i="6"/>
  <c r="C1983" i="6"/>
  <c r="D1983" i="6"/>
  <c r="C1984" i="6"/>
  <c r="D1984" i="6"/>
  <c r="C1985" i="6"/>
  <c r="D1985" i="6"/>
  <c r="C1986" i="6"/>
  <c r="D1986" i="6"/>
  <c r="C1987" i="6"/>
  <c r="D1987" i="6"/>
  <c r="C1988" i="6"/>
  <c r="D1988" i="6"/>
  <c r="C1989" i="6"/>
  <c r="D1989" i="6"/>
  <c r="C1990" i="6"/>
  <c r="D1990" i="6"/>
  <c r="C1991" i="6"/>
  <c r="D1991" i="6"/>
  <c r="C1992" i="6"/>
  <c r="D1992" i="6"/>
  <c r="C1993" i="6"/>
  <c r="D1993" i="6"/>
  <c r="C1994" i="6"/>
  <c r="D1994" i="6"/>
  <c r="C1995" i="6"/>
  <c r="D1995" i="6"/>
  <c r="C1996" i="6"/>
  <c r="D1996" i="6"/>
  <c r="C1997" i="6"/>
  <c r="D1997" i="6"/>
  <c r="C1998" i="6"/>
  <c r="D1998" i="6"/>
  <c r="C1999" i="6"/>
  <c r="D1999" i="6"/>
  <c r="C2000" i="6"/>
  <c r="D2000" i="6"/>
  <c r="C2001" i="6"/>
  <c r="D2001" i="6"/>
  <c r="C2002" i="6"/>
  <c r="D2002" i="6"/>
  <c r="C2003" i="6"/>
  <c r="D2003" i="6"/>
  <c r="C2004" i="6"/>
  <c r="D2004" i="6"/>
  <c r="C2005" i="6"/>
  <c r="D2005" i="6"/>
  <c r="C2006" i="6"/>
  <c r="D2006" i="6"/>
  <c r="C2007" i="6"/>
  <c r="D2007" i="6"/>
  <c r="C2008" i="6"/>
  <c r="D2008" i="6"/>
  <c r="C2009" i="6"/>
  <c r="D2009" i="6"/>
  <c r="C2010" i="6"/>
  <c r="D2010" i="6"/>
  <c r="C2011" i="6"/>
  <c r="D2011" i="6"/>
  <c r="C2012" i="6"/>
  <c r="D2012" i="6"/>
  <c r="C2013" i="6"/>
  <c r="D2013" i="6"/>
  <c r="C2014" i="6"/>
  <c r="D2014" i="6"/>
  <c r="C2015" i="6"/>
  <c r="D2015" i="6"/>
  <c r="C2016" i="6"/>
  <c r="D2016" i="6"/>
  <c r="C2017" i="6"/>
  <c r="D2017" i="6"/>
  <c r="C2018" i="6"/>
  <c r="D2018" i="6"/>
  <c r="C2019" i="6"/>
  <c r="D2019" i="6"/>
  <c r="C2020" i="6"/>
  <c r="D2020" i="6"/>
  <c r="C2021" i="6"/>
  <c r="D2021" i="6"/>
  <c r="C2022" i="6"/>
  <c r="D2022" i="6"/>
  <c r="C2023" i="6"/>
  <c r="D2023" i="6"/>
  <c r="C2024" i="6"/>
  <c r="D2024" i="6"/>
  <c r="C2025" i="6"/>
  <c r="D2025" i="6"/>
  <c r="C2026" i="6"/>
  <c r="D2026" i="6"/>
  <c r="C2027" i="6"/>
  <c r="D2027" i="6"/>
  <c r="C2028" i="6"/>
  <c r="D2028" i="6"/>
  <c r="C2029" i="6"/>
  <c r="D2029" i="6"/>
  <c r="C2030" i="6"/>
  <c r="D2030" i="6"/>
  <c r="C2031" i="6"/>
  <c r="D2031" i="6"/>
  <c r="C2032" i="6"/>
  <c r="D2032" i="6"/>
  <c r="C2033" i="6"/>
  <c r="D2033" i="6"/>
  <c r="C2034" i="6"/>
  <c r="D2034" i="6"/>
  <c r="C2035" i="6"/>
  <c r="D2035" i="6"/>
  <c r="C2036" i="6"/>
  <c r="D2036" i="6"/>
  <c r="C2037" i="6"/>
  <c r="D2037" i="6"/>
  <c r="C2038" i="6"/>
  <c r="D2038" i="6"/>
  <c r="C2039" i="6"/>
  <c r="D2039" i="6"/>
  <c r="C2040" i="6"/>
  <c r="D2040" i="6"/>
  <c r="C2041" i="6"/>
  <c r="D2041" i="6"/>
  <c r="C2042" i="6"/>
  <c r="D2042" i="6"/>
  <c r="C2043" i="6"/>
  <c r="D2043" i="6"/>
  <c r="C2044" i="6"/>
  <c r="D2044" i="6"/>
  <c r="C2045" i="6"/>
  <c r="D2045" i="6"/>
  <c r="C2046" i="6"/>
  <c r="D2046" i="6"/>
  <c r="C2047" i="6"/>
  <c r="D2047" i="6"/>
  <c r="C2048" i="6"/>
  <c r="D2048" i="6"/>
  <c r="C2049" i="6"/>
  <c r="D2049" i="6"/>
  <c r="C2050" i="6"/>
  <c r="D2050" i="6"/>
  <c r="C2051" i="6"/>
  <c r="D2051" i="6"/>
  <c r="C2052" i="6"/>
  <c r="D2052" i="6"/>
  <c r="C2053" i="6"/>
  <c r="D2053" i="6"/>
  <c r="C2054" i="6"/>
  <c r="D2054" i="6"/>
  <c r="C2055" i="6"/>
  <c r="D2055" i="6"/>
  <c r="C2056" i="6"/>
  <c r="D2056" i="6"/>
  <c r="C2057" i="6"/>
  <c r="D2057" i="6"/>
  <c r="C2058" i="6"/>
  <c r="D2058" i="6"/>
  <c r="C2059" i="6"/>
  <c r="D2059" i="6"/>
  <c r="C2060" i="6"/>
  <c r="D2060" i="6"/>
  <c r="C2061" i="6"/>
  <c r="D2061" i="6"/>
  <c r="C2062" i="6"/>
  <c r="D2062" i="6"/>
  <c r="C2063" i="6"/>
  <c r="D2063" i="6"/>
  <c r="C2064" i="6"/>
  <c r="D2064" i="6"/>
  <c r="C2065" i="6"/>
  <c r="D2065" i="6"/>
  <c r="C2066" i="6"/>
  <c r="D2066" i="6"/>
  <c r="C2067" i="6"/>
  <c r="D2067" i="6"/>
  <c r="C2068" i="6"/>
  <c r="D2068" i="6"/>
  <c r="C2069" i="6"/>
  <c r="D2069" i="6"/>
  <c r="C2070" i="6"/>
  <c r="D2070" i="6"/>
  <c r="C2071" i="6"/>
  <c r="D2071" i="6"/>
  <c r="C2072" i="6"/>
  <c r="D2072" i="6"/>
  <c r="C2073" i="6"/>
  <c r="D2073" i="6"/>
  <c r="C2074" i="6"/>
  <c r="D2074" i="6"/>
  <c r="C2075" i="6"/>
  <c r="D2075" i="6"/>
  <c r="C2076" i="6"/>
  <c r="D2076" i="6"/>
  <c r="C2077" i="6"/>
  <c r="D2077" i="6"/>
  <c r="C2078" i="6"/>
  <c r="D2078" i="6"/>
  <c r="C2079" i="6"/>
  <c r="D2079" i="6"/>
  <c r="C2080" i="6"/>
  <c r="D2080" i="6"/>
  <c r="C2081" i="6"/>
  <c r="D2081" i="6"/>
  <c r="C2082" i="6"/>
  <c r="D2082" i="6"/>
  <c r="C2083" i="6"/>
  <c r="D2083" i="6"/>
  <c r="C2084" i="6"/>
  <c r="D2084" i="6"/>
  <c r="C2085" i="6"/>
  <c r="D2085" i="6"/>
  <c r="C2086" i="6"/>
  <c r="D2086" i="6"/>
  <c r="C2087" i="6"/>
  <c r="D2087" i="6"/>
  <c r="C2088" i="6"/>
  <c r="D2088" i="6"/>
  <c r="C2089" i="6"/>
  <c r="D2089" i="6"/>
  <c r="C2090" i="6"/>
  <c r="D2090" i="6"/>
  <c r="C2091" i="6"/>
  <c r="D2091" i="6"/>
  <c r="C2092" i="6"/>
  <c r="D2092" i="6"/>
  <c r="C2093" i="6"/>
  <c r="D2093" i="6"/>
  <c r="C2094" i="6"/>
  <c r="D2094" i="6"/>
  <c r="C2095" i="6"/>
  <c r="D2095" i="6"/>
  <c r="C2096" i="6"/>
  <c r="D2096" i="6"/>
  <c r="C2097" i="6"/>
  <c r="D2097" i="6"/>
  <c r="C2098" i="6"/>
  <c r="D2098" i="6"/>
  <c r="C2099" i="6"/>
  <c r="D2099" i="6"/>
  <c r="C2100" i="6"/>
  <c r="D2100" i="6"/>
  <c r="C2101" i="6"/>
  <c r="D2101" i="6"/>
  <c r="C2102" i="6"/>
  <c r="D2102" i="6"/>
  <c r="C2103" i="6"/>
  <c r="D2103" i="6"/>
  <c r="C2104" i="6"/>
  <c r="D2104" i="6"/>
  <c r="C2105" i="6"/>
  <c r="D2105" i="6"/>
  <c r="C2106" i="6"/>
  <c r="D2106" i="6"/>
  <c r="C2107" i="6"/>
  <c r="D2107" i="6"/>
  <c r="C2108" i="6"/>
  <c r="D2108" i="6"/>
  <c r="C2109" i="6"/>
  <c r="D2109" i="6"/>
  <c r="C2110" i="6"/>
  <c r="D2110" i="6"/>
  <c r="C2111" i="6"/>
  <c r="D2111" i="6"/>
  <c r="C2112" i="6"/>
  <c r="D2112" i="6"/>
  <c r="C2113" i="6"/>
  <c r="D2113" i="6"/>
  <c r="C2114" i="6"/>
  <c r="D2114" i="6"/>
  <c r="C2115" i="6"/>
  <c r="D2115" i="6"/>
  <c r="C2116" i="6"/>
  <c r="D2116" i="6"/>
  <c r="C2117" i="6"/>
  <c r="D2117" i="6"/>
  <c r="C2118" i="6"/>
  <c r="D2118" i="6"/>
  <c r="C2119" i="6"/>
  <c r="D2119" i="6"/>
  <c r="C2120" i="6"/>
  <c r="D2120" i="6"/>
  <c r="C2121" i="6"/>
  <c r="D2121" i="6"/>
  <c r="C2122" i="6"/>
  <c r="D2122" i="6"/>
  <c r="C2123" i="6"/>
  <c r="D2123" i="6"/>
  <c r="C2124" i="6"/>
  <c r="D2124" i="6"/>
  <c r="C2125" i="6"/>
  <c r="D2125" i="6"/>
  <c r="C2126" i="6"/>
  <c r="D2126" i="6"/>
  <c r="C2127" i="6"/>
  <c r="D2127" i="6"/>
  <c r="C2128" i="6"/>
  <c r="D2128" i="6"/>
  <c r="C2129" i="6"/>
  <c r="D2129" i="6"/>
  <c r="C2130" i="6"/>
  <c r="D2130" i="6"/>
  <c r="C2131" i="6"/>
  <c r="D2131" i="6"/>
  <c r="C2132" i="6"/>
  <c r="D2132" i="6"/>
  <c r="C2133" i="6"/>
  <c r="D2133" i="6"/>
  <c r="C2134" i="6"/>
  <c r="D2134" i="6"/>
  <c r="C2135" i="6"/>
  <c r="D2135" i="6"/>
  <c r="C2136" i="6"/>
  <c r="D2136" i="6"/>
  <c r="C2137" i="6"/>
  <c r="D2137" i="6"/>
  <c r="C2138" i="6"/>
  <c r="D2138" i="6"/>
  <c r="C2139" i="6"/>
  <c r="D2139" i="6"/>
  <c r="C2140" i="6"/>
  <c r="D2140" i="6"/>
  <c r="C2141" i="6"/>
  <c r="D2141" i="6"/>
  <c r="C2142" i="6"/>
  <c r="D2142" i="6"/>
  <c r="C2143" i="6"/>
  <c r="D2143" i="6"/>
  <c r="C2144" i="6"/>
  <c r="D2144" i="6"/>
  <c r="C2145" i="6"/>
  <c r="D2145" i="6"/>
  <c r="C2146" i="6"/>
  <c r="D2146" i="6"/>
  <c r="C2147" i="6"/>
  <c r="D2147" i="6"/>
  <c r="C2148" i="6"/>
  <c r="D2148" i="6"/>
  <c r="C2149" i="6"/>
  <c r="D2149" i="6"/>
  <c r="C2150" i="6"/>
  <c r="D2150" i="6"/>
  <c r="C2151" i="6"/>
  <c r="D2151" i="6"/>
  <c r="C2152" i="6"/>
  <c r="D2152" i="6"/>
  <c r="C2153" i="6"/>
  <c r="D2153" i="6"/>
  <c r="C2154" i="6"/>
  <c r="D2154" i="6"/>
  <c r="C2155" i="6"/>
  <c r="D2155" i="6"/>
  <c r="C2156" i="6"/>
  <c r="D2156" i="6"/>
  <c r="C2157" i="6"/>
  <c r="D2157" i="6"/>
  <c r="C2158" i="6"/>
  <c r="D2158" i="6"/>
  <c r="W2169" i="6" l="1"/>
  <c r="W2168" i="6"/>
  <c r="W2167" i="6"/>
  <c r="W2166" i="6"/>
  <c r="E2158" i="6"/>
  <c r="F2158" i="6"/>
  <c r="E2157" i="6"/>
  <c r="F2157" i="6"/>
  <c r="E2156" i="6"/>
  <c r="F2156" i="6"/>
  <c r="E2155" i="6"/>
  <c r="F2155" i="6"/>
  <c r="E2154" i="6"/>
  <c r="F2154" i="6"/>
  <c r="E2153" i="6"/>
  <c r="F2153" i="6"/>
  <c r="E2152" i="6"/>
  <c r="F2152" i="6"/>
  <c r="E2151" i="6"/>
  <c r="F2151" i="6"/>
  <c r="E2150" i="6"/>
  <c r="F2150" i="6"/>
  <c r="E2149" i="6"/>
  <c r="F2149" i="6"/>
  <c r="E2148" i="6"/>
  <c r="F2148" i="6"/>
  <c r="E2147" i="6"/>
  <c r="F2147" i="6"/>
  <c r="E2146" i="6"/>
  <c r="F2146" i="6"/>
  <c r="E2145" i="6"/>
  <c r="F2145" i="6"/>
  <c r="E2144" i="6"/>
  <c r="F2144" i="6"/>
  <c r="E2143" i="6"/>
  <c r="F2143" i="6"/>
  <c r="E2142" i="6"/>
  <c r="F2142" i="6"/>
  <c r="E2141" i="6"/>
  <c r="F2141" i="6"/>
  <c r="E2140" i="6"/>
  <c r="F2140" i="6"/>
  <c r="E2139" i="6"/>
  <c r="F2139" i="6"/>
  <c r="E2138" i="6"/>
  <c r="F2138" i="6"/>
  <c r="E2137" i="6"/>
  <c r="F2137" i="6"/>
  <c r="E2136" i="6"/>
  <c r="F2136" i="6"/>
  <c r="E2135" i="6"/>
  <c r="F2135" i="6"/>
  <c r="E2134" i="6"/>
  <c r="F2134" i="6"/>
  <c r="E2133" i="6"/>
  <c r="F2133" i="6"/>
  <c r="E2132" i="6"/>
  <c r="F2132" i="6"/>
  <c r="E2131" i="6"/>
  <c r="F2131" i="6"/>
  <c r="E2130" i="6"/>
  <c r="F2130" i="6"/>
  <c r="E2129" i="6"/>
  <c r="F2129" i="6"/>
  <c r="E2128" i="6"/>
  <c r="F2128" i="6"/>
  <c r="E2127" i="6"/>
  <c r="F2127" i="6"/>
  <c r="E2126" i="6"/>
  <c r="F2126" i="6"/>
  <c r="E2125" i="6"/>
  <c r="F2125" i="6"/>
  <c r="E2124" i="6"/>
  <c r="F2124" i="6"/>
  <c r="E2123" i="6"/>
  <c r="F2123" i="6"/>
  <c r="E2122" i="6"/>
  <c r="F2122" i="6"/>
  <c r="E2121" i="6"/>
  <c r="F2121" i="6"/>
  <c r="E2120" i="6"/>
  <c r="F2120" i="6"/>
  <c r="E2119" i="6"/>
  <c r="F2119" i="6"/>
  <c r="E2118" i="6"/>
  <c r="F2118" i="6"/>
  <c r="E2117" i="6"/>
  <c r="F2117" i="6"/>
  <c r="E2116" i="6"/>
  <c r="F2116" i="6"/>
  <c r="E2115" i="6"/>
  <c r="F2115" i="6"/>
  <c r="E2114" i="6"/>
  <c r="F2114" i="6"/>
  <c r="E2113" i="6"/>
  <c r="F2113" i="6"/>
  <c r="E2112" i="6"/>
  <c r="F2112" i="6"/>
  <c r="E2111" i="6"/>
  <c r="F2111" i="6"/>
  <c r="E2110" i="6"/>
  <c r="F2110" i="6"/>
  <c r="E2109" i="6"/>
  <c r="F2109" i="6"/>
  <c r="E2108" i="6"/>
  <c r="F2108" i="6"/>
  <c r="E2107" i="6"/>
  <c r="F2107" i="6"/>
  <c r="E2106" i="6"/>
  <c r="F2106" i="6"/>
  <c r="E2105" i="6"/>
  <c r="F2105" i="6"/>
  <c r="E2104" i="6"/>
  <c r="F2104" i="6"/>
  <c r="E2103" i="6"/>
  <c r="F2103" i="6"/>
  <c r="E2102" i="6"/>
  <c r="F2102" i="6"/>
  <c r="E2101" i="6"/>
  <c r="F2101" i="6"/>
  <c r="E2100" i="6"/>
  <c r="F2100" i="6"/>
  <c r="E2099" i="6"/>
  <c r="F2099" i="6"/>
  <c r="E2098" i="6"/>
  <c r="F2098" i="6"/>
  <c r="E2097" i="6"/>
  <c r="F2097" i="6"/>
  <c r="E2096" i="6"/>
  <c r="F2096" i="6"/>
  <c r="E2095" i="6"/>
  <c r="F2095" i="6"/>
  <c r="E2094" i="6"/>
  <c r="F2094" i="6"/>
  <c r="E2093" i="6"/>
  <c r="F2093" i="6"/>
  <c r="E2092" i="6"/>
  <c r="F2092" i="6"/>
  <c r="E2091" i="6"/>
  <c r="F2091" i="6"/>
  <c r="E2090" i="6"/>
  <c r="F2090" i="6"/>
  <c r="E2089" i="6"/>
  <c r="F2089" i="6"/>
  <c r="E2088" i="6"/>
  <c r="F2088" i="6"/>
  <c r="E2087" i="6"/>
  <c r="F2087" i="6"/>
  <c r="E2086" i="6"/>
  <c r="F2086" i="6"/>
  <c r="E2085" i="6"/>
  <c r="F2085" i="6"/>
  <c r="E2084" i="6"/>
  <c r="F2084" i="6"/>
  <c r="E2083" i="6"/>
  <c r="F2083" i="6"/>
  <c r="E2082" i="6"/>
  <c r="F2082" i="6"/>
  <c r="E2081" i="6"/>
  <c r="F2081" i="6"/>
  <c r="E2080" i="6"/>
  <c r="F2080" i="6"/>
  <c r="E2079" i="6"/>
  <c r="F2079" i="6"/>
  <c r="E2078" i="6"/>
  <c r="F2078" i="6"/>
  <c r="E2077" i="6"/>
  <c r="F2077" i="6"/>
  <c r="E2076" i="6"/>
  <c r="F2076" i="6"/>
  <c r="E2075" i="6"/>
  <c r="F2075" i="6"/>
  <c r="E2074" i="6"/>
  <c r="F2074" i="6"/>
  <c r="E2073" i="6"/>
  <c r="F2073" i="6"/>
  <c r="E2072" i="6"/>
  <c r="F2072" i="6"/>
  <c r="E2071" i="6"/>
  <c r="F2071" i="6"/>
  <c r="E2070" i="6"/>
  <c r="F2070" i="6"/>
  <c r="E2069" i="6"/>
  <c r="F2069" i="6"/>
  <c r="E2068" i="6"/>
  <c r="F2068" i="6"/>
  <c r="E2067" i="6"/>
  <c r="F2067" i="6"/>
  <c r="E2066" i="6"/>
  <c r="F2066" i="6"/>
  <c r="E2065" i="6"/>
  <c r="F2065" i="6"/>
  <c r="E2064" i="6"/>
  <c r="F2064" i="6"/>
  <c r="E2063" i="6"/>
  <c r="F2063" i="6"/>
  <c r="E2062" i="6"/>
  <c r="F2062" i="6"/>
  <c r="E2061" i="6"/>
  <c r="F2061" i="6"/>
  <c r="E2060" i="6"/>
  <c r="F2060" i="6"/>
  <c r="E2059" i="6"/>
  <c r="F2059" i="6"/>
  <c r="E2058" i="6"/>
  <c r="F2058" i="6"/>
  <c r="E2057" i="6"/>
  <c r="F2057" i="6"/>
  <c r="E2056" i="6"/>
  <c r="F2056" i="6"/>
  <c r="E2055" i="6"/>
  <c r="F2055" i="6"/>
  <c r="E2054" i="6"/>
  <c r="F2054" i="6"/>
  <c r="E2053" i="6"/>
  <c r="F2053" i="6"/>
  <c r="E2052" i="6"/>
  <c r="F2052" i="6"/>
  <c r="E2051" i="6"/>
  <c r="F2051" i="6"/>
  <c r="E2050" i="6"/>
  <c r="F2050" i="6"/>
  <c r="E2049" i="6"/>
  <c r="F2049" i="6"/>
  <c r="E2048" i="6"/>
  <c r="F2048" i="6"/>
  <c r="E2047" i="6"/>
  <c r="F2047" i="6"/>
  <c r="E2046" i="6"/>
  <c r="F2046" i="6"/>
  <c r="E2045" i="6"/>
  <c r="F2045" i="6"/>
  <c r="E2044" i="6"/>
  <c r="F2044" i="6"/>
  <c r="E2043" i="6"/>
  <c r="F2043" i="6"/>
  <c r="E2042" i="6"/>
  <c r="F2042" i="6"/>
  <c r="E2041" i="6"/>
  <c r="F2041" i="6"/>
  <c r="E2040" i="6"/>
  <c r="F2040" i="6"/>
  <c r="E2039" i="6"/>
  <c r="F2039" i="6"/>
  <c r="E2038" i="6"/>
  <c r="F2038" i="6"/>
  <c r="E2037" i="6"/>
  <c r="F2037" i="6"/>
  <c r="E2036" i="6"/>
  <c r="F2036" i="6"/>
  <c r="E2035" i="6"/>
  <c r="F2035" i="6"/>
  <c r="E2034" i="6"/>
  <c r="F2034" i="6"/>
  <c r="E2033" i="6"/>
  <c r="F2033" i="6"/>
  <c r="E2032" i="6"/>
  <c r="F2032" i="6"/>
  <c r="E2031" i="6"/>
  <c r="F2031" i="6"/>
  <c r="E2030" i="6"/>
  <c r="F2030" i="6"/>
  <c r="E2029" i="6"/>
  <c r="F2029" i="6"/>
  <c r="E2028" i="6"/>
  <c r="F2028" i="6"/>
  <c r="E2027" i="6"/>
  <c r="F2027" i="6"/>
  <c r="E2026" i="6"/>
  <c r="F2026" i="6"/>
  <c r="E2025" i="6"/>
  <c r="F2025" i="6"/>
  <c r="E2024" i="6"/>
  <c r="F2024" i="6"/>
  <c r="E2023" i="6"/>
  <c r="F2023" i="6"/>
  <c r="E2022" i="6"/>
  <c r="F2022" i="6"/>
  <c r="E2021" i="6"/>
  <c r="F2021" i="6"/>
  <c r="E2020" i="6"/>
  <c r="F2020" i="6"/>
  <c r="E2019" i="6"/>
  <c r="F2019" i="6"/>
  <c r="E2018" i="6"/>
  <c r="F2018" i="6"/>
  <c r="E2017" i="6"/>
  <c r="F2017" i="6"/>
  <c r="E2016" i="6"/>
  <c r="F2016" i="6"/>
  <c r="E2015" i="6"/>
  <c r="F2015" i="6"/>
  <c r="E2014" i="6"/>
  <c r="F2014" i="6"/>
  <c r="E2013" i="6"/>
  <c r="F2013" i="6"/>
  <c r="E2012" i="6"/>
  <c r="F2012" i="6"/>
  <c r="E2011" i="6"/>
  <c r="F2011" i="6"/>
  <c r="E2010" i="6"/>
  <c r="F2010" i="6"/>
  <c r="E2009" i="6"/>
  <c r="F2009" i="6"/>
  <c r="E2008" i="6"/>
  <c r="F2008" i="6"/>
  <c r="E2007" i="6"/>
  <c r="F2007" i="6"/>
  <c r="E2006" i="6"/>
  <c r="F2006" i="6"/>
  <c r="E2005" i="6"/>
  <c r="F2005" i="6"/>
  <c r="E2004" i="6"/>
  <c r="F2004" i="6"/>
  <c r="E2003" i="6"/>
  <c r="F2003" i="6"/>
  <c r="E2002" i="6"/>
  <c r="F2002" i="6"/>
  <c r="E2001" i="6"/>
  <c r="F2001" i="6"/>
  <c r="E2000" i="6"/>
  <c r="F2000" i="6"/>
  <c r="E1999" i="6"/>
  <c r="F1999" i="6"/>
  <c r="E1998" i="6"/>
  <c r="F1998" i="6"/>
  <c r="E1997" i="6"/>
  <c r="F1997" i="6"/>
  <c r="E1996" i="6"/>
  <c r="F1996" i="6"/>
  <c r="E1995" i="6"/>
  <c r="F1995" i="6"/>
  <c r="E1994" i="6"/>
  <c r="F1994" i="6"/>
  <c r="E1993" i="6"/>
  <c r="F1993" i="6"/>
  <c r="E1992" i="6"/>
  <c r="F1992" i="6"/>
  <c r="E1991" i="6"/>
  <c r="F1991" i="6"/>
  <c r="E1990" i="6"/>
  <c r="F1990" i="6"/>
  <c r="E1989" i="6"/>
  <c r="F1989" i="6"/>
  <c r="E1988" i="6"/>
  <c r="F1988" i="6"/>
  <c r="E1987" i="6"/>
  <c r="F1987" i="6"/>
  <c r="E1986" i="6"/>
  <c r="F1986" i="6"/>
  <c r="E1985" i="6"/>
  <c r="F1985" i="6"/>
  <c r="E1984" i="6"/>
  <c r="F1984" i="6"/>
  <c r="E1983" i="6"/>
  <c r="F1983" i="6"/>
  <c r="E1982" i="6"/>
  <c r="F1982" i="6"/>
  <c r="E1981" i="6"/>
  <c r="F1981" i="6"/>
  <c r="E1980" i="6"/>
  <c r="F1980" i="6"/>
  <c r="E1979" i="6"/>
  <c r="F1979" i="6"/>
  <c r="E1978" i="6"/>
  <c r="F1978" i="6"/>
  <c r="E1977" i="6"/>
  <c r="F1977" i="6"/>
  <c r="E1976" i="6"/>
  <c r="F1976" i="6"/>
  <c r="E1975" i="6"/>
  <c r="F1975" i="6"/>
  <c r="E1974" i="6"/>
  <c r="F1974" i="6"/>
  <c r="E1973" i="6"/>
  <c r="F1973" i="6"/>
  <c r="E1972" i="6"/>
  <c r="F1972" i="6"/>
  <c r="E1971" i="6"/>
  <c r="F1971" i="6"/>
  <c r="E1970" i="6"/>
  <c r="F1970" i="6"/>
  <c r="E1969" i="6"/>
  <c r="F1969" i="6"/>
  <c r="E1968" i="6"/>
  <c r="F1968" i="6"/>
  <c r="E1967" i="6"/>
  <c r="F1967" i="6"/>
  <c r="E1966" i="6"/>
  <c r="F1966" i="6"/>
  <c r="E1965" i="6"/>
  <c r="F1965" i="6"/>
  <c r="E1964" i="6"/>
  <c r="F1964" i="6"/>
  <c r="E1963" i="6"/>
  <c r="F1963" i="6"/>
  <c r="E1962" i="6"/>
  <c r="F1962" i="6"/>
  <c r="E1961" i="6"/>
  <c r="F1961" i="6"/>
  <c r="E1960" i="6"/>
  <c r="F1960" i="6"/>
  <c r="E1959" i="6"/>
  <c r="F1959" i="6"/>
  <c r="E1958" i="6"/>
  <c r="F1958" i="6"/>
  <c r="E1957" i="6"/>
  <c r="F1957" i="6"/>
  <c r="E1956" i="6"/>
  <c r="F1956" i="6"/>
  <c r="E1955" i="6"/>
  <c r="F1955" i="6"/>
  <c r="E1954" i="6"/>
  <c r="F1954" i="6"/>
  <c r="E1953" i="6"/>
  <c r="F1953" i="6"/>
  <c r="E1952" i="6"/>
  <c r="F1952" i="6"/>
  <c r="E1951" i="6"/>
  <c r="F1951" i="6"/>
  <c r="E1950" i="6"/>
  <c r="F1950" i="6"/>
  <c r="E1949" i="6"/>
  <c r="F1949" i="6"/>
  <c r="E1948" i="6"/>
  <c r="F1948" i="6"/>
  <c r="E1947" i="6"/>
  <c r="F1947" i="6"/>
  <c r="E1946" i="6"/>
  <c r="F1946" i="6"/>
  <c r="E1945" i="6"/>
  <c r="F1945" i="6"/>
  <c r="E1944" i="6"/>
  <c r="F1944" i="6"/>
  <c r="E1943" i="6"/>
  <c r="F1943" i="6"/>
  <c r="E1942" i="6"/>
  <c r="F1942" i="6"/>
  <c r="E1941" i="6"/>
  <c r="F1941" i="6"/>
  <c r="E1940" i="6"/>
  <c r="F1940" i="6"/>
  <c r="E1939" i="6"/>
  <c r="F1939" i="6"/>
  <c r="E1938" i="6"/>
  <c r="F1938" i="6"/>
  <c r="E1937" i="6"/>
  <c r="F1937" i="6"/>
  <c r="E1936" i="6"/>
  <c r="F1936" i="6"/>
  <c r="E1935" i="6"/>
  <c r="F1935" i="6"/>
  <c r="E1934" i="6"/>
  <c r="F1934" i="6"/>
  <c r="E1933" i="6"/>
  <c r="F1933" i="6"/>
  <c r="E1932" i="6"/>
  <c r="F1932" i="6"/>
  <c r="E1931" i="6"/>
  <c r="F1931" i="6"/>
  <c r="E1930" i="6"/>
  <c r="F1930" i="6"/>
  <c r="E1929" i="6"/>
  <c r="F1929" i="6"/>
  <c r="E1928" i="6"/>
  <c r="F1928" i="6"/>
  <c r="E1927" i="6"/>
  <c r="F1927" i="6"/>
  <c r="E1926" i="6"/>
  <c r="F1926" i="6"/>
  <c r="E1925" i="6"/>
  <c r="F1925" i="6"/>
  <c r="E1924" i="6"/>
  <c r="F1924" i="6"/>
  <c r="E1923" i="6"/>
  <c r="F1923" i="6"/>
  <c r="E1922" i="6"/>
  <c r="F1922" i="6"/>
  <c r="E1921" i="6"/>
  <c r="F1921" i="6"/>
  <c r="E1920" i="6"/>
  <c r="F1920" i="6"/>
  <c r="E1919" i="6"/>
  <c r="F1919" i="6"/>
  <c r="E1918" i="6"/>
  <c r="F1918" i="6"/>
  <c r="E1917" i="6"/>
  <c r="F1917" i="6"/>
  <c r="E1916" i="6"/>
  <c r="F1916" i="6"/>
  <c r="E1915" i="6"/>
  <c r="F1915" i="6"/>
  <c r="E1914" i="6"/>
  <c r="F1914" i="6"/>
  <c r="E1913" i="6"/>
  <c r="F1913" i="6"/>
  <c r="E1912" i="6"/>
  <c r="F1912" i="6"/>
  <c r="E1911" i="6"/>
  <c r="F1911" i="6"/>
  <c r="E1910" i="6"/>
  <c r="F1910" i="6"/>
  <c r="E1909" i="6"/>
  <c r="F1909" i="6"/>
  <c r="E1908" i="6"/>
  <c r="F1908" i="6"/>
  <c r="E1907" i="6"/>
  <c r="F1907" i="6"/>
  <c r="E1906" i="6"/>
  <c r="F1906" i="6"/>
  <c r="E1905" i="6"/>
  <c r="F1905" i="6"/>
  <c r="E1904" i="6"/>
  <c r="F1904" i="6"/>
  <c r="E1903" i="6"/>
  <c r="F1903" i="6"/>
  <c r="E1902" i="6"/>
  <c r="F1902" i="6"/>
  <c r="E1901" i="6"/>
  <c r="F1901" i="6"/>
  <c r="E1900" i="6"/>
  <c r="F1900" i="6"/>
  <c r="E1899" i="6"/>
  <c r="F1899" i="6"/>
  <c r="E1898" i="6"/>
  <c r="F1898" i="6"/>
  <c r="E1897" i="6"/>
  <c r="F1897" i="6"/>
  <c r="E1896" i="6"/>
  <c r="F1896" i="6"/>
  <c r="E1895" i="6"/>
  <c r="F1895" i="6"/>
  <c r="E1894" i="6"/>
  <c r="F1894" i="6"/>
  <c r="E1893" i="6"/>
  <c r="F1893" i="6"/>
  <c r="E1892" i="6"/>
  <c r="F1892" i="6"/>
  <c r="E1891" i="6"/>
  <c r="F1891" i="6"/>
  <c r="E1890" i="6"/>
  <c r="F1890" i="6"/>
  <c r="E1889" i="6"/>
  <c r="F1889" i="6"/>
  <c r="E1888" i="6"/>
  <c r="F1888" i="6"/>
  <c r="E1887" i="6"/>
  <c r="F1887" i="6"/>
  <c r="E1886" i="6"/>
  <c r="F1886" i="6"/>
  <c r="E1885" i="6"/>
  <c r="F1885" i="6"/>
  <c r="E1884" i="6"/>
  <c r="F1884" i="6"/>
  <c r="E1883" i="6"/>
  <c r="F1883" i="6"/>
  <c r="E1882" i="6"/>
  <c r="F1882" i="6"/>
  <c r="E1881" i="6"/>
  <c r="F1881" i="6"/>
  <c r="E1880" i="6"/>
  <c r="F1880" i="6"/>
  <c r="E1879" i="6"/>
  <c r="F1879" i="6"/>
  <c r="E1878" i="6"/>
  <c r="F1878" i="6"/>
  <c r="E1877" i="6"/>
  <c r="F1877" i="6"/>
  <c r="E1876" i="6"/>
  <c r="F1876" i="6"/>
  <c r="E1875" i="6"/>
  <c r="F1875" i="6"/>
  <c r="E1874" i="6"/>
  <c r="F1874" i="6"/>
  <c r="E1873" i="6"/>
  <c r="F1873" i="6"/>
  <c r="E1872" i="6"/>
  <c r="F1872" i="6"/>
  <c r="E1871" i="6"/>
  <c r="F1871" i="6"/>
  <c r="E1870" i="6"/>
  <c r="F1870" i="6"/>
  <c r="E1869" i="6"/>
  <c r="F1869" i="6"/>
  <c r="E1868" i="6"/>
  <c r="F1868" i="6"/>
  <c r="E1867" i="6"/>
  <c r="F1867" i="6"/>
  <c r="E1866" i="6"/>
  <c r="F1866" i="6"/>
  <c r="E1865" i="6"/>
  <c r="F1865" i="6"/>
  <c r="E1864" i="6"/>
  <c r="F1864" i="6"/>
  <c r="E1863" i="6"/>
  <c r="F1863" i="6"/>
  <c r="E1862" i="6"/>
  <c r="F1862" i="6"/>
  <c r="E1861" i="6"/>
  <c r="F1861" i="6"/>
  <c r="E1860" i="6"/>
  <c r="F1860" i="6"/>
  <c r="E1859" i="6"/>
  <c r="F1859" i="6"/>
  <c r="E1858" i="6"/>
  <c r="F1858" i="6"/>
  <c r="E1857" i="6"/>
  <c r="F1857" i="6"/>
  <c r="E1856" i="6"/>
  <c r="F1856" i="6"/>
  <c r="E1855" i="6"/>
  <c r="F1855" i="6"/>
  <c r="E1854" i="6"/>
  <c r="F1854" i="6"/>
  <c r="E1853" i="6"/>
  <c r="F1853" i="6"/>
  <c r="E1852" i="6"/>
  <c r="F1852" i="6"/>
  <c r="E1851" i="6"/>
  <c r="F1851" i="6"/>
  <c r="E1850" i="6"/>
  <c r="F1850" i="6"/>
  <c r="E1849" i="6"/>
  <c r="F1849" i="6"/>
  <c r="E1848" i="6"/>
  <c r="F1848" i="6"/>
  <c r="E1847" i="6"/>
  <c r="F1847" i="6"/>
  <c r="E1846" i="6"/>
  <c r="F1846" i="6"/>
  <c r="E1845" i="6"/>
  <c r="F1845" i="6"/>
  <c r="E1844" i="6"/>
  <c r="F1844" i="6"/>
  <c r="E1843" i="6"/>
  <c r="F1843" i="6"/>
  <c r="E1842" i="6"/>
  <c r="F1842" i="6"/>
  <c r="E1841" i="6"/>
  <c r="F1841" i="6"/>
  <c r="E1840" i="6"/>
  <c r="F1840" i="6"/>
  <c r="E1839" i="6"/>
  <c r="F1839" i="6"/>
  <c r="E1838" i="6"/>
  <c r="F1838" i="6"/>
  <c r="E1837" i="6"/>
  <c r="F1837" i="6"/>
  <c r="E1836" i="6"/>
  <c r="F1836" i="6"/>
  <c r="E1835" i="6"/>
  <c r="F1835" i="6"/>
  <c r="E1834" i="6"/>
  <c r="F1834" i="6"/>
  <c r="E1833" i="6"/>
  <c r="F1833" i="6"/>
  <c r="E1832" i="6"/>
  <c r="F1832" i="6"/>
  <c r="E1831" i="6"/>
  <c r="F1831" i="6"/>
  <c r="E1830" i="6"/>
  <c r="F1830" i="6"/>
  <c r="E1829" i="6"/>
  <c r="F1829" i="6"/>
  <c r="E1828" i="6"/>
  <c r="F1828" i="6"/>
  <c r="E1827" i="6"/>
  <c r="F1827" i="6"/>
  <c r="E1826" i="6"/>
  <c r="F1826" i="6"/>
  <c r="E1825" i="6"/>
  <c r="F1825" i="6"/>
  <c r="E1824" i="6"/>
  <c r="F1824" i="6"/>
  <c r="E1823" i="6"/>
  <c r="F1823" i="6"/>
  <c r="E1822" i="6"/>
  <c r="F1822" i="6"/>
  <c r="E1821" i="6"/>
  <c r="F1821" i="6"/>
  <c r="E1820" i="6"/>
  <c r="F1820" i="6"/>
  <c r="E1819" i="6"/>
  <c r="F1819" i="6"/>
  <c r="E1818" i="6"/>
  <c r="F1818" i="6"/>
  <c r="E1817" i="6"/>
  <c r="F1817" i="6"/>
  <c r="E1816" i="6"/>
  <c r="F1816" i="6"/>
  <c r="E1815" i="6"/>
  <c r="F1815" i="6"/>
  <c r="E1814" i="6"/>
  <c r="F1814" i="6"/>
  <c r="E1813" i="6"/>
  <c r="F1813" i="6"/>
  <c r="E1812" i="6"/>
  <c r="F1812" i="6"/>
  <c r="E1811" i="6"/>
  <c r="F1811" i="6"/>
  <c r="E1810" i="6"/>
  <c r="F1810" i="6"/>
  <c r="E1809" i="6"/>
  <c r="F1809" i="6"/>
  <c r="E1808" i="6"/>
  <c r="F1808" i="6"/>
  <c r="E1807" i="6"/>
  <c r="F1807" i="6"/>
  <c r="E1806" i="6"/>
  <c r="F1806" i="6"/>
  <c r="E1805" i="6"/>
  <c r="F1805" i="6"/>
  <c r="E1804" i="6"/>
  <c r="F1804" i="6"/>
  <c r="E1803" i="6"/>
  <c r="F1803" i="6"/>
  <c r="E1802" i="6"/>
  <c r="F1802" i="6"/>
  <c r="E1801" i="6"/>
  <c r="F1801" i="6"/>
  <c r="E1800" i="6"/>
  <c r="F1800" i="6"/>
  <c r="E1799" i="6"/>
  <c r="F1799" i="6"/>
  <c r="E1798" i="6"/>
  <c r="F1798" i="6"/>
  <c r="E1797" i="6"/>
  <c r="F1797" i="6"/>
  <c r="E1796" i="6"/>
  <c r="F1796" i="6"/>
  <c r="E1795" i="6"/>
  <c r="F1795" i="6"/>
  <c r="E1794" i="6"/>
  <c r="F1794" i="6"/>
  <c r="E1793" i="6"/>
  <c r="F1793" i="6"/>
  <c r="E1792" i="6"/>
  <c r="F1792" i="6"/>
  <c r="E1791" i="6"/>
  <c r="F1791" i="6"/>
  <c r="E1790" i="6"/>
  <c r="F1790" i="6"/>
  <c r="E1789" i="6"/>
  <c r="F1789" i="6"/>
  <c r="E1788" i="6"/>
  <c r="F1788" i="6"/>
  <c r="E1787" i="6"/>
  <c r="F1787" i="6"/>
  <c r="E1786" i="6"/>
  <c r="F1786" i="6"/>
  <c r="E1785" i="6"/>
  <c r="F1785" i="6"/>
  <c r="E1784" i="6"/>
  <c r="F1784" i="6"/>
  <c r="E1783" i="6"/>
  <c r="F1783" i="6"/>
  <c r="E1782" i="6"/>
  <c r="F1782" i="6"/>
  <c r="E1781" i="6"/>
  <c r="F1781" i="6"/>
  <c r="E1780" i="6"/>
  <c r="F1780" i="6"/>
  <c r="E1779" i="6"/>
  <c r="F1779" i="6"/>
  <c r="E1778" i="6"/>
  <c r="F1778" i="6"/>
  <c r="E1777" i="6"/>
  <c r="F1777" i="6"/>
  <c r="E1776" i="6"/>
  <c r="F1776" i="6"/>
  <c r="E1775" i="6"/>
  <c r="F1775" i="6"/>
  <c r="E1774" i="6"/>
  <c r="F1774" i="6"/>
  <c r="E1773" i="6"/>
  <c r="F1773" i="6"/>
  <c r="E1772" i="6"/>
  <c r="F1772" i="6"/>
  <c r="E1771" i="6"/>
  <c r="F1771" i="6"/>
  <c r="E1770" i="6"/>
  <c r="F1770" i="6"/>
  <c r="E1769" i="6"/>
  <c r="F1769" i="6"/>
  <c r="E1768" i="6"/>
  <c r="F1768" i="6"/>
  <c r="E1767" i="6"/>
  <c r="F1767" i="6"/>
  <c r="E1766" i="6"/>
  <c r="F1766" i="6"/>
  <c r="E1765" i="6"/>
  <c r="F1765" i="6"/>
  <c r="E1764" i="6"/>
  <c r="F1764" i="6"/>
  <c r="E1763" i="6"/>
  <c r="F1763" i="6"/>
  <c r="E1762" i="6"/>
  <c r="F1762" i="6"/>
  <c r="E1761" i="6"/>
  <c r="F1761" i="6"/>
  <c r="E1760" i="6"/>
  <c r="F1760" i="6"/>
  <c r="E1759" i="6"/>
  <c r="F1759" i="6"/>
  <c r="E1758" i="6"/>
  <c r="F1758" i="6"/>
  <c r="E1757" i="6"/>
  <c r="F1757" i="6"/>
  <c r="E1756" i="6"/>
  <c r="F1756" i="6"/>
  <c r="E1755" i="6"/>
  <c r="F1755" i="6"/>
  <c r="E1754" i="6"/>
  <c r="F1754" i="6"/>
  <c r="E1753" i="6"/>
  <c r="F1753" i="6"/>
  <c r="E1752" i="6"/>
  <c r="F1752" i="6"/>
  <c r="E1751" i="6"/>
  <c r="F1751" i="6"/>
  <c r="E1750" i="6"/>
  <c r="F1750" i="6"/>
  <c r="E1749" i="6"/>
  <c r="F1749" i="6"/>
  <c r="E1748" i="6"/>
  <c r="F1748" i="6"/>
  <c r="E1747" i="6"/>
  <c r="F1747" i="6"/>
  <c r="E1746" i="6"/>
  <c r="F1746" i="6"/>
  <c r="E1745" i="6"/>
  <c r="F1745" i="6"/>
  <c r="E1744" i="6"/>
  <c r="F1744" i="6"/>
  <c r="E1743" i="6"/>
  <c r="F1743" i="6"/>
  <c r="E1742" i="6"/>
  <c r="F1742" i="6"/>
  <c r="E1741" i="6"/>
  <c r="F1741" i="6"/>
  <c r="E1740" i="6"/>
  <c r="F1740" i="6"/>
  <c r="E1739" i="6"/>
  <c r="F1739" i="6"/>
  <c r="E1738" i="6"/>
  <c r="F1738" i="6"/>
  <c r="E1737" i="6"/>
  <c r="F1737" i="6"/>
  <c r="E1736" i="6"/>
  <c r="F1736" i="6"/>
  <c r="E1735" i="6"/>
  <c r="F1735" i="6"/>
  <c r="E1734" i="6"/>
  <c r="F1734" i="6"/>
  <c r="E1733" i="6"/>
  <c r="F1733" i="6"/>
  <c r="E1732" i="6"/>
  <c r="F1732" i="6"/>
  <c r="E1731" i="6"/>
  <c r="F1731" i="6"/>
  <c r="E1730" i="6"/>
  <c r="F1730" i="6"/>
  <c r="E1729" i="6"/>
  <c r="F1729" i="6"/>
  <c r="E1728" i="6"/>
  <c r="F1728" i="6"/>
  <c r="E1727" i="6"/>
  <c r="F1727" i="6"/>
  <c r="E1726" i="6"/>
  <c r="F1726" i="6"/>
  <c r="E1725" i="6"/>
  <c r="F1725" i="6"/>
  <c r="E1724" i="6"/>
  <c r="F1724" i="6"/>
  <c r="E1723" i="6"/>
  <c r="F1723" i="6"/>
  <c r="E1722" i="6"/>
  <c r="F1722" i="6"/>
  <c r="E1721" i="6"/>
  <c r="F1721" i="6"/>
  <c r="E1720" i="6"/>
  <c r="F1720" i="6"/>
  <c r="E1719" i="6"/>
  <c r="F1719" i="6"/>
  <c r="E1718" i="6"/>
  <c r="F1718" i="6"/>
  <c r="E1717" i="6"/>
  <c r="F1717" i="6"/>
  <c r="E1716" i="6"/>
  <c r="F1716" i="6"/>
  <c r="E1715" i="6"/>
  <c r="F1715" i="6"/>
  <c r="E1714" i="6"/>
  <c r="F1714" i="6"/>
  <c r="E1713" i="6"/>
  <c r="F1713" i="6"/>
  <c r="E1712" i="6"/>
  <c r="F1712" i="6"/>
  <c r="E1711" i="6"/>
  <c r="F1711" i="6"/>
  <c r="E1710" i="6"/>
  <c r="F1710" i="6"/>
  <c r="E1709" i="6"/>
  <c r="F1709" i="6"/>
  <c r="E1708" i="6"/>
  <c r="F1708" i="6"/>
  <c r="E1707" i="6"/>
  <c r="F1707" i="6"/>
  <c r="E1706" i="6"/>
  <c r="F1706" i="6"/>
  <c r="E1705" i="6"/>
  <c r="F1705" i="6"/>
  <c r="E1704" i="6"/>
  <c r="F1704" i="6"/>
  <c r="E1703" i="6"/>
  <c r="F1703" i="6"/>
  <c r="E1702" i="6"/>
  <c r="F1702" i="6"/>
  <c r="E1701" i="6"/>
  <c r="F1701" i="6"/>
  <c r="E1700" i="6"/>
  <c r="F1700" i="6"/>
  <c r="E1699" i="6"/>
  <c r="F1699" i="6"/>
  <c r="E1698" i="6"/>
  <c r="F1698" i="6"/>
  <c r="E1697" i="6"/>
  <c r="F1697" i="6"/>
  <c r="E1696" i="6"/>
  <c r="F1696" i="6"/>
  <c r="E1695" i="6"/>
  <c r="F1695" i="6"/>
  <c r="E1694" i="6"/>
  <c r="F1694" i="6"/>
  <c r="E1693" i="6"/>
  <c r="F1693" i="6"/>
  <c r="E1692" i="6"/>
  <c r="F1692" i="6"/>
  <c r="E1691" i="6"/>
  <c r="F1691" i="6"/>
  <c r="E1690" i="6"/>
  <c r="F1690" i="6"/>
  <c r="E1689" i="6"/>
  <c r="F1689" i="6"/>
  <c r="E1688" i="6"/>
  <c r="F1688" i="6"/>
  <c r="E1687" i="6"/>
  <c r="F1687" i="6"/>
  <c r="E1686" i="6"/>
  <c r="F1686" i="6"/>
  <c r="E1685" i="6"/>
  <c r="F1685" i="6"/>
  <c r="E1684" i="6"/>
  <c r="F1684" i="6"/>
  <c r="E1683" i="6"/>
  <c r="F1683" i="6"/>
  <c r="E1682" i="6"/>
  <c r="F1682" i="6"/>
  <c r="E1681" i="6"/>
  <c r="F1681" i="6"/>
  <c r="E1680" i="6"/>
  <c r="F1680" i="6"/>
  <c r="E1679" i="6"/>
  <c r="F1679" i="6"/>
  <c r="E1678" i="6"/>
  <c r="F1678" i="6"/>
  <c r="E1677" i="6"/>
  <c r="F1677" i="6"/>
  <c r="E1676" i="6"/>
  <c r="F1676" i="6"/>
  <c r="E1675" i="6"/>
  <c r="F1675" i="6"/>
  <c r="E1674" i="6"/>
  <c r="F1674" i="6"/>
  <c r="E1673" i="6"/>
  <c r="F1673" i="6"/>
  <c r="E1672" i="6"/>
  <c r="F1672" i="6"/>
  <c r="E1671" i="6"/>
  <c r="F1671" i="6"/>
  <c r="E1670" i="6"/>
  <c r="F1670" i="6"/>
  <c r="E1669" i="6"/>
  <c r="F1669" i="6"/>
  <c r="E1668" i="6"/>
  <c r="F1668" i="6"/>
  <c r="E1667" i="6"/>
  <c r="F1667" i="6"/>
  <c r="E1666" i="6"/>
  <c r="F1666" i="6"/>
  <c r="E1665" i="6"/>
  <c r="F1665" i="6"/>
  <c r="E1664" i="6"/>
  <c r="F1664" i="6"/>
  <c r="E1663" i="6"/>
  <c r="F1663" i="6"/>
  <c r="E1662" i="6"/>
  <c r="F1662" i="6"/>
  <c r="E1661" i="6"/>
  <c r="F1661" i="6"/>
  <c r="E1660" i="6"/>
  <c r="F1660" i="6"/>
  <c r="E1659" i="6"/>
  <c r="F1659" i="6"/>
  <c r="E1658" i="6"/>
  <c r="F1658" i="6"/>
  <c r="E1657" i="6"/>
  <c r="F1657" i="6"/>
  <c r="E1656" i="6"/>
  <c r="F1656" i="6"/>
  <c r="E1655" i="6"/>
  <c r="F1655" i="6"/>
  <c r="E1654" i="6"/>
  <c r="F1654" i="6"/>
  <c r="E1653" i="6"/>
  <c r="F1653" i="6"/>
  <c r="E1652" i="6"/>
  <c r="F1652" i="6"/>
  <c r="E1651" i="6"/>
  <c r="F1651" i="6"/>
  <c r="E1650" i="6"/>
  <c r="F1650" i="6"/>
  <c r="E1649" i="6"/>
  <c r="F1649" i="6"/>
  <c r="E1648" i="6"/>
  <c r="F1648" i="6"/>
  <c r="E1647" i="6"/>
  <c r="F1647" i="6"/>
  <c r="E1646" i="6"/>
  <c r="F1646" i="6"/>
  <c r="E1645" i="6"/>
  <c r="F1645" i="6"/>
  <c r="E1644" i="6"/>
  <c r="F1644" i="6"/>
  <c r="E1643" i="6"/>
  <c r="F1643" i="6"/>
  <c r="E1642" i="6"/>
  <c r="F1642" i="6"/>
  <c r="E1641" i="6"/>
  <c r="F1641" i="6"/>
  <c r="E1640" i="6"/>
  <c r="F1640" i="6"/>
  <c r="E1639" i="6"/>
  <c r="F1639" i="6"/>
  <c r="E1638" i="6"/>
  <c r="F1638" i="6"/>
  <c r="E1637" i="6"/>
  <c r="F1637" i="6"/>
  <c r="E1636" i="6"/>
  <c r="F1636" i="6"/>
  <c r="E1635" i="6"/>
  <c r="F1635" i="6"/>
  <c r="E1634" i="6"/>
  <c r="F1634" i="6"/>
  <c r="E1633" i="6"/>
  <c r="F1633" i="6"/>
  <c r="E1632" i="6"/>
  <c r="F1632" i="6"/>
  <c r="E1631" i="6"/>
  <c r="F1631" i="6"/>
  <c r="E1630" i="6"/>
  <c r="F1630" i="6"/>
  <c r="E1629" i="6"/>
  <c r="F1629" i="6"/>
  <c r="E1628" i="6"/>
  <c r="F1628" i="6"/>
  <c r="E1627" i="6"/>
  <c r="F1627" i="6"/>
  <c r="E1626" i="6"/>
  <c r="F1626" i="6"/>
  <c r="E1625" i="6"/>
  <c r="F1625" i="6"/>
  <c r="E1624" i="6"/>
  <c r="F1624" i="6"/>
  <c r="E1623" i="6"/>
  <c r="F1623" i="6"/>
  <c r="E1622" i="6"/>
  <c r="F1622" i="6"/>
  <c r="E1621" i="6"/>
  <c r="F1621" i="6"/>
  <c r="E1620" i="6"/>
  <c r="F1620" i="6"/>
  <c r="E1619" i="6"/>
  <c r="F1619" i="6"/>
  <c r="E1618" i="6"/>
  <c r="F1618" i="6"/>
  <c r="E1617" i="6"/>
  <c r="F1617" i="6"/>
  <c r="E1616" i="6"/>
  <c r="F1616" i="6"/>
  <c r="E1615" i="6"/>
  <c r="F1615" i="6"/>
  <c r="E1614" i="6"/>
  <c r="F1614" i="6"/>
  <c r="E1613" i="6"/>
  <c r="F1613" i="6"/>
  <c r="E1612" i="6"/>
  <c r="F1612" i="6"/>
  <c r="E1611" i="6"/>
  <c r="F1611" i="6"/>
  <c r="E1610" i="6"/>
  <c r="F1610" i="6"/>
  <c r="E1609" i="6"/>
  <c r="F1609" i="6"/>
  <c r="E1608" i="6"/>
  <c r="F1608" i="6"/>
  <c r="E1607" i="6"/>
  <c r="F1607" i="6"/>
  <c r="E1606" i="6"/>
  <c r="F1606" i="6"/>
  <c r="E1605" i="6"/>
  <c r="F1605" i="6"/>
  <c r="E1604" i="6"/>
  <c r="F1604" i="6"/>
  <c r="E1603" i="6"/>
  <c r="F1603" i="6"/>
  <c r="E1602" i="6"/>
  <c r="F1602" i="6"/>
  <c r="E1601" i="6"/>
  <c r="F1601" i="6"/>
  <c r="E1600" i="6"/>
  <c r="F1600" i="6"/>
  <c r="E1599" i="6"/>
  <c r="F1599" i="6"/>
  <c r="E1598" i="6"/>
  <c r="F1598" i="6"/>
  <c r="E1597" i="6"/>
  <c r="F1597" i="6"/>
  <c r="E1596" i="6"/>
  <c r="F1596" i="6"/>
  <c r="E1595" i="6"/>
  <c r="F1595" i="6"/>
  <c r="E1594" i="6"/>
  <c r="F1594" i="6"/>
  <c r="E1593" i="6"/>
  <c r="F1593" i="6"/>
  <c r="E1592" i="6"/>
  <c r="F1592" i="6"/>
  <c r="E1591" i="6"/>
  <c r="F1591" i="6"/>
  <c r="E1590" i="6"/>
  <c r="F1590" i="6"/>
  <c r="E1589" i="6"/>
  <c r="F1589" i="6"/>
  <c r="E1588" i="6"/>
  <c r="F1588" i="6"/>
  <c r="E1587" i="6"/>
  <c r="F1587" i="6"/>
  <c r="E1586" i="6"/>
  <c r="F1586" i="6"/>
  <c r="E1585" i="6"/>
  <c r="F1585" i="6"/>
  <c r="E1584" i="6"/>
  <c r="F1584" i="6"/>
  <c r="E1583" i="6"/>
  <c r="F1583" i="6"/>
  <c r="E1582" i="6"/>
  <c r="F1582" i="6"/>
  <c r="E1581" i="6"/>
  <c r="F1581" i="6"/>
  <c r="E1580" i="6"/>
  <c r="F1580" i="6"/>
  <c r="E1579" i="6"/>
  <c r="F1579" i="6"/>
  <c r="E1578" i="6"/>
  <c r="F1578" i="6"/>
  <c r="E1577" i="6"/>
  <c r="F1577" i="6"/>
  <c r="E1576" i="6"/>
  <c r="F1576" i="6"/>
  <c r="E1575" i="6"/>
  <c r="F1575" i="6"/>
  <c r="E1574" i="6"/>
  <c r="F1574" i="6"/>
  <c r="E1573" i="6"/>
  <c r="F1573" i="6"/>
  <c r="E1572" i="6"/>
  <c r="F1572" i="6"/>
  <c r="E1571" i="6"/>
  <c r="F1571" i="6"/>
  <c r="E1570" i="6"/>
  <c r="F1570" i="6"/>
  <c r="E1569" i="6"/>
  <c r="F1569" i="6"/>
  <c r="E1568" i="6"/>
  <c r="F1568" i="6"/>
  <c r="E1567" i="6"/>
  <c r="F1567" i="6"/>
  <c r="E1566" i="6"/>
  <c r="F1566" i="6"/>
  <c r="E1565" i="6"/>
  <c r="F1565" i="6"/>
  <c r="E1564" i="6"/>
  <c r="F1564" i="6"/>
  <c r="E1563" i="6"/>
  <c r="F1563" i="6"/>
  <c r="E1562" i="6"/>
  <c r="F1562" i="6"/>
  <c r="E1561" i="6"/>
  <c r="F1561" i="6"/>
  <c r="E1560" i="6"/>
  <c r="F1560" i="6"/>
  <c r="E1559" i="6"/>
  <c r="F1559" i="6"/>
  <c r="E1558" i="6"/>
  <c r="F1558" i="6"/>
  <c r="E1557" i="6"/>
  <c r="F1557" i="6"/>
  <c r="E1556" i="6"/>
  <c r="F1556" i="6"/>
  <c r="E1555" i="6"/>
  <c r="F1555" i="6"/>
  <c r="E1554" i="6"/>
  <c r="F1554" i="6"/>
  <c r="E1553" i="6"/>
  <c r="F1553" i="6"/>
  <c r="E1552" i="6"/>
  <c r="F1552" i="6"/>
  <c r="E1551" i="6"/>
  <c r="F1551" i="6"/>
  <c r="E1550" i="6"/>
  <c r="F1550" i="6"/>
  <c r="E1549" i="6"/>
  <c r="F1549" i="6"/>
  <c r="E1548" i="6"/>
  <c r="F1548" i="6"/>
  <c r="E1547" i="6"/>
  <c r="F1547" i="6"/>
  <c r="E1546" i="6"/>
  <c r="F1546" i="6"/>
  <c r="E1545" i="6"/>
  <c r="F1545" i="6"/>
  <c r="E1544" i="6"/>
  <c r="F1544" i="6"/>
  <c r="E1543" i="6"/>
  <c r="F1543" i="6"/>
  <c r="E1542" i="6"/>
  <c r="F1542" i="6"/>
  <c r="E1541" i="6"/>
  <c r="F1541" i="6"/>
  <c r="E1540" i="6"/>
  <c r="F1540" i="6"/>
  <c r="E1539" i="6"/>
  <c r="F1539" i="6"/>
  <c r="E1538" i="6"/>
  <c r="F1538" i="6"/>
  <c r="E1537" i="6"/>
  <c r="F1537" i="6"/>
  <c r="E1536" i="6"/>
  <c r="F1536" i="6"/>
  <c r="E1535" i="6"/>
  <c r="F1535" i="6"/>
  <c r="E1534" i="6"/>
  <c r="F1534" i="6"/>
  <c r="E1533" i="6"/>
  <c r="F1533" i="6"/>
  <c r="E1532" i="6"/>
  <c r="F1532" i="6"/>
  <c r="E1531" i="6"/>
  <c r="F1531" i="6"/>
  <c r="E1530" i="6"/>
  <c r="F1530" i="6"/>
  <c r="E1529" i="6"/>
  <c r="F1529" i="6"/>
  <c r="E1528" i="6"/>
  <c r="F1528" i="6"/>
  <c r="E1527" i="6"/>
  <c r="F1527" i="6"/>
  <c r="E1526" i="6"/>
  <c r="F1526" i="6"/>
  <c r="E1525" i="6"/>
  <c r="F1525" i="6"/>
  <c r="E1524" i="6"/>
  <c r="F1524" i="6"/>
  <c r="E1523" i="6"/>
  <c r="F1523" i="6"/>
  <c r="E1522" i="6"/>
  <c r="F1522" i="6"/>
  <c r="E1521" i="6"/>
  <c r="F1521" i="6"/>
  <c r="E1520" i="6"/>
  <c r="F1520" i="6"/>
  <c r="E1519" i="6"/>
  <c r="F1519" i="6"/>
  <c r="E1518" i="6"/>
  <c r="F1518" i="6"/>
  <c r="E1517" i="6"/>
  <c r="F1517" i="6"/>
  <c r="E1516" i="6"/>
  <c r="F1516" i="6"/>
  <c r="E1515" i="6"/>
  <c r="F1515" i="6"/>
  <c r="E1514" i="6"/>
  <c r="F1514" i="6"/>
  <c r="E1513" i="6"/>
  <c r="F1513" i="6"/>
  <c r="E1512" i="6"/>
  <c r="F1512" i="6"/>
  <c r="E1511" i="6"/>
  <c r="F1511" i="6"/>
  <c r="E1510" i="6"/>
  <c r="F1510" i="6"/>
  <c r="E1509" i="6"/>
  <c r="F1509" i="6"/>
  <c r="E1508" i="6"/>
  <c r="F1508" i="6"/>
  <c r="E1507" i="6"/>
  <c r="F1507" i="6"/>
  <c r="E1506" i="6"/>
  <c r="F1506" i="6"/>
  <c r="E1505" i="6"/>
  <c r="F1505" i="6"/>
  <c r="E1504" i="6"/>
  <c r="F1504" i="6"/>
  <c r="E1503" i="6"/>
  <c r="F1503" i="6"/>
  <c r="E1502" i="6"/>
  <c r="F1502" i="6"/>
  <c r="E1501" i="6"/>
  <c r="F1501" i="6"/>
  <c r="E1500" i="6"/>
  <c r="F1500" i="6"/>
  <c r="E1499" i="6"/>
  <c r="F1499" i="6"/>
  <c r="E1498" i="6"/>
  <c r="F1498" i="6"/>
  <c r="E1497" i="6"/>
  <c r="F1497" i="6"/>
  <c r="E1496" i="6"/>
  <c r="F1496" i="6"/>
  <c r="E1495" i="6"/>
  <c r="F1495" i="6"/>
  <c r="E1494" i="6"/>
  <c r="F1494" i="6"/>
  <c r="E1493" i="6"/>
  <c r="F1493" i="6"/>
  <c r="E1492" i="6"/>
  <c r="F1492" i="6"/>
  <c r="E1491" i="6"/>
  <c r="F1491" i="6"/>
  <c r="E1490" i="6"/>
  <c r="F1490" i="6"/>
  <c r="E1489" i="6"/>
  <c r="F1489" i="6"/>
  <c r="E1488" i="6"/>
  <c r="F1488" i="6"/>
  <c r="E1487" i="6"/>
  <c r="F1487" i="6"/>
  <c r="E1486" i="6"/>
  <c r="F1486" i="6"/>
  <c r="E1485" i="6"/>
  <c r="F1485" i="6"/>
  <c r="E1484" i="6"/>
  <c r="F1484" i="6"/>
  <c r="E1483" i="6"/>
  <c r="F1483" i="6"/>
  <c r="E1482" i="6"/>
  <c r="F1482" i="6"/>
  <c r="E1481" i="6"/>
  <c r="F1481" i="6"/>
  <c r="E1480" i="6"/>
  <c r="F1480" i="6"/>
  <c r="E1479" i="6"/>
  <c r="F1479" i="6"/>
  <c r="E1478" i="6"/>
  <c r="F1478" i="6"/>
  <c r="E1477" i="6"/>
  <c r="F1477" i="6"/>
  <c r="E1476" i="6"/>
  <c r="F1476" i="6"/>
  <c r="E1475" i="6"/>
  <c r="F1475" i="6"/>
  <c r="E1474" i="6"/>
  <c r="F1474" i="6"/>
  <c r="E1473" i="6"/>
  <c r="F1473" i="6"/>
  <c r="E1472" i="6"/>
  <c r="F1472" i="6"/>
  <c r="E1471" i="6"/>
  <c r="F1471" i="6"/>
  <c r="E1470" i="6"/>
  <c r="F1470" i="6"/>
  <c r="E1469" i="6"/>
  <c r="F1469" i="6"/>
  <c r="E1468" i="6"/>
  <c r="F1468" i="6"/>
  <c r="E1467" i="6"/>
  <c r="F1467" i="6"/>
  <c r="E1466" i="6"/>
  <c r="F1466" i="6"/>
  <c r="E1465" i="6"/>
  <c r="F1465" i="6"/>
  <c r="E1464" i="6"/>
  <c r="F1464" i="6"/>
  <c r="E1463" i="6"/>
  <c r="F1463" i="6"/>
  <c r="E1462" i="6"/>
  <c r="F1462" i="6"/>
  <c r="E1461" i="6"/>
  <c r="F1461" i="6"/>
  <c r="E1460" i="6"/>
  <c r="F1460" i="6"/>
  <c r="E1459" i="6"/>
  <c r="F1459" i="6"/>
  <c r="E1458" i="6"/>
  <c r="F1458" i="6"/>
  <c r="E1457" i="6"/>
  <c r="F1457" i="6"/>
  <c r="E1456" i="6"/>
  <c r="F1456" i="6"/>
  <c r="E1455" i="6"/>
  <c r="F1455" i="6"/>
  <c r="E1454" i="6"/>
  <c r="F1454" i="6"/>
  <c r="E1453" i="6"/>
  <c r="F1453" i="6"/>
  <c r="E1452" i="6"/>
  <c r="F1452" i="6"/>
  <c r="E1451" i="6"/>
  <c r="F1451" i="6"/>
  <c r="E1450" i="6"/>
  <c r="F1450" i="6"/>
  <c r="E1449" i="6"/>
  <c r="F1449" i="6"/>
  <c r="E1448" i="6"/>
  <c r="F1448" i="6"/>
  <c r="E1447" i="6"/>
  <c r="F1447" i="6"/>
  <c r="E1446" i="6"/>
  <c r="F1446" i="6"/>
  <c r="E1445" i="6"/>
  <c r="F1445" i="6"/>
  <c r="E1444" i="6"/>
  <c r="F1444" i="6"/>
  <c r="E1443" i="6"/>
  <c r="F1443" i="6"/>
  <c r="E1442" i="6"/>
  <c r="F1442" i="6"/>
  <c r="E1441" i="6"/>
  <c r="F1441" i="6"/>
  <c r="E1440" i="6"/>
  <c r="F1440" i="6"/>
  <c r="E1439" i="6"/>
  <c r="F1439" i="6"/>
  <c r="E1438" i="6"/>
  <c r="F1438" i="6"/>
  <c r="E1437" i="6"/>
  <c r="F1437" i="6"/>
  <c r="E1436" i="6"/>
  <c r="F1436" i="6"/>
  <c r="E1435" i="6"/>
  <c r="F1435" i="6"/>
  <c r="E1434" i="6"/>
  <c r="F1434" i="6"/>
  <c r="E1433" i="6"/>
  <c r="F1433" i="6"/>
  <c r="E1432" i="6"/>
  <c r="F1432" i="6"/>
  <c r="E1431" i="6"/>
  <c r="F1431" i="6"/>
  <c r="E1430" i="6"/>
  <c r="F1430" i="6"/>
  <c r="E1429" i="6"/>
  <c r="F1429" i="6"/>
  <c r="E1428" i="6"/>
  <c r="F1428" i="6"/>
  <c r="E1427" i="6"/>
  <c r="F1427" i="6"/>
  <c r="E1426" i="6"/>
  <c r="F1426" i="6"/>
  <c r="E1425" i="6"/>
  <c r="F1425" i="6"/>
  <c r="E1424" i="6"/>
  <c r="F1424" i="6"/>
  <c r="E1423" i="6"/>
  <c r="F1423" i="6"/>
  <c r="E1422" i="6"/>
  <c r="F1422" i="6"/>
  <c r="E1421" i="6"/>
  <c r="F1421" i="6"/>
  <c r="E1420" i="6"/>
  <c r="F1420" i="6"/>
  <c r="E1419" i="6"/>
  <c r="F1419" i="6"/>
  <c r="E1418" i="6"/>
  <c r="F1418" i="6"/>
  <c r="E1417" i="6"/>
  <c r="F1417" i="6"/>
  <c r="E1416" i="6"/>
  <c r="F1416" i="6"/>
  <c r="E1415" i="6"/>
  <c r="F1415" i="6"/>
  <c r="E1414" i="6"/>
  <c r="F1414" i="6"/>
  <c r="E1413" i="6"/>
  <c r="F1413" i="6"/>
  <c r="E1412" i="6"/>
  <c r="F1412" i="6"/>
  <c r="E1411" i="6"/>
  <c r="F1411" i="6"/>
  <c r="E1410" i="6"/>
  <c r="F1410" i="6"/>
  <c r="E1409" i="6"/>
  <c r="F1409" i="6"/>
  <c r="E1408" i="6"/>
  <c r="F1408" i="6"/>
  <c r="E1407" i="6"/>
  <c r="F1407" i="6"/>
  <c r="E1406" i="6"/>
  <c r="F1406" i="6"/>
  <c r="E1405" i="6"/>
  <c r="F1405" i="6"/>
  <c r="E1404" i="6"/>
  <c r="F1404" i="6"/>
  <c r="E1403" i="6"/>
  <c r="F1403" i="6"/>
  <c r="E1402" i="6"/>
  <c r="F1402" i="6"/>
  <c r="E1401" i="6"/>
  <c r="F1401" i="6"/>
  <c r="E1400" i="6"/>
  <c r="F1400" i="6"/>
  <c r="E1399" i="6"/>
  <c r="F1399" i="6"/>
  <c r="E1398" i="6"/>
  <c r="F1398" i="6"/>
  <c r="E1397" i="6"/>
  <c r="F1397" i="6"/>
  <c r="E1396" i="6"/>
  <c r="F1396" i="6"/>
  <c r="E1395" i="6"/>
  <c r="F1395" i="6"/>
  <c r="E1394" i="6"/>
  <c r="F1394" i="6"/>
  <c r="E1393" i="6"/>
  <c r="F1393" i="6"/>
  <c r="E1392" i="6"/>
  <c r="F1392" i="6"/>
  <c r="E1391" i="6"/>
  <c r="F1391" i="6"/>
  <c r="E1390" i="6"/>
  <c r="F1390" i="6"/>
  <c r="E1389" i="6"/>
  <c r="F1389" i="6"/>
  <c r="E1388" i="6"/>
  <c r="F1388" i="6"/>
  <c r="E1387" i="6"/>
  <c r="F1387" i="6"/>
  <c r="E1386" i="6"/>
  <c r="F1386" i="6"/>
  <c r="E1385" i="6"/>
  <c r="F1385" i="6"/>
  <c r="E1384" i="6"/>
  <c r="F1384" i="6"/>
  <c r="E1383" i="6"/>
  <c r="F1383" i="6"/>
  <c r="E1382" i="6"/>
  <c r="F1382" i="6"/>
  <c r="E1381" i="6"/>
  <c r="F1381" i="6"/>
  <c r="E1380" i="6"/>
  <c r="F1380" i="6"/>
  <c r="E1379" i="6"/>
  <c r="F1379" i="6"/>
  <c r="E1378" i="6"/>
  <c r="F1378" i="6"/>
  <c r="E1377" i="6"/>
  <c r="F1377" i="6"/>
  <c r="E1376" i="6"/>
  <c r="F1376" i="6"/>
  <c r="E1375" i="6"/>
  <c r="F1375" i="6"/>
  <c r="E1374" i="6"/>
  <c r="F1374" i="6"/>
  <c r="E1373" i="6"/>
  <c r="F1373" i="6"/>
  <c r="E1372" i="6"/>
  <c r="F1372" i="6"/>
  <c r="E1371" i="6"/>
  <c r="F1371" i="6"/>
  <c r="E1370" i="6"/>
  <c r="F1370" i="6"/>
  <c r="E1369" i="6"/>
  <c r="F1369" i="6"/>
  <c r="E1368" i="6"/>
  <c r="F1368" i="6"/>
  <c r="E1367" i="6"/>
  <c r="F1367" i="6"/>
  <c r="E1366" i="6"/>
  <c r="F1366" i="6"/>
  <c r="E1365" i="6"/>
  <c r="F1365" i="6"/>
  <c r="E1364" i="6"/>
  <c r="F1364" i="6"/>
  <c r="E1363" i="6"/>
  <c r="F1363" i="6"/>
  <c r="E1362" i="6"/>
  <c r="F1362" i="6"/>
  <c r="E1361" i="6"/>
  <c r="F1361" i="6"/>
  <c r="E1360" i="6"/>
  <c r="F1360" i="6"/>
  <c r="E1359" i="6"/>
  <c r="F1359" i="6"/>
  <c r="E1358" i="6"/>
  <c r="F1358" i="6"/>
  <c r="E1357" i="6"/>
  <c r="F1357" i="6"/>
  <c r="E1356" i="6"/>
  <c r="F1356" i="6"/>
  <c r="E1355" i="6"/>
  <c r="F1355" i="6"/>
  <c r="E1354" i="6"/>
  <c r="F1354" i="6"/>
  <c r="E1353" i="6"/>
  <c r="F1353" i="6"/>
  <c r="E1352" i="6"/>
  <c r="F1352" i="6"/>
  <c r="E1351" i="6"/>
  <c r="F1351" i="6"/>
  <c r="E1350" i="6"/>
  <c r="F1350" i="6"/>
  <c r="E1349" i="6"/>
  <c r="F1349" i="6"/>
  <c r="E1348" i="6"/>
  <c r="F1348" i="6"/>
  <c r="E1347" i="6"/>
  <c r="F1347" i="6"/>
  <c r="E1346" i="6"/>
  <c r="F1346" i="6"/>
  <c r="E1345" i="6"/>
  <c r="F1345" i="6"/>
  <c r="E1344" i="6"/>
  <c r="F1344" i="6"/>
  <c r="E1343" i="6"/>
  <c r="F1343" i="6"/>
  <c r="E1342" i="6"/>
  <c r="F1342" i="6"/>
  <c r="E1341" i="6"/>
  <c r="F1341" i="6"/>
  <c r="E1340" i="6"/>
  <c r="F1340" i="6"/>
  <c r="E1339" i="6"/>
  <c r="F1339" i="6"/>
  <c r="E1338" i="6"/>
  <c r="F1338" i="6"/>
  <c r="E1337" i="6"/>
  <c r="F1337" i="6"/>
  <c r="E1336" i="6"/>
  <c r="F1336" i="6"/>
  <c r="E1335" i="6"/>
  <c r="F1335" i="6"/>
  <c r="E1334" i="6"/>
  <c r="F1334" i="6"/>
  <c r="E1333" i="6"/>
  <c r="F1333" i="6"/>
  <c r="E1332" i="6"/>
  <c r="F1332" i="6"/>
  <c r="E1331" i="6"/>
  <c r="F1331" i="6"/>
  <c r="E1330" i="6"/>
  <c r="F1330" i="6"/>
  <c r="E1329" i="6"/>
  <c r="F1329" i="6"/>
  <c r="E1328" i="6"/>
  <c r="F1328" i="6"/>
  <c r="E1327" i="6"/>
  <c r="F1327" i="6"/>
  <c r="E1326" i="6"/>
  <c r="F1326" i="6"/>
  <c r="E1325" i="6"/>
  <c r="F1325" i="6"/>
  <c r="E1324" i="6"/>
  <c r="F1324" i="6"/>
  <c r="E1323" i="6"/>
  <c r="F1323" i="6"/>
  <c r="E1322" i="6"/>
  <c r="F1322" i="6"/>
  <c r="E1321" i="6"/>
  <c r="F1321" i="6"/>
  <c r="E1320" i="6"/>
  <c r="F1320" i="6"/>
  <c r="E1319" i="6"/>
  <c r="F1319" i="6"/>
  <c r="E1318" i="6"/>
  <c r="F1318" i="6"/>
  <c r="E1317" i="6"/>
  <c r="F1317" i="6"/>
  <c r="E1316" i="6"/>
  <c r="F1316" i="6"/>
  <c r="E1315" i="6"/>
  <c r="F1315" i="6"/>
  <c r="E1314" i="6"/>
  <c r="F1314" i="6"/>
  <c r="E1313" i="6"/>
  <c r="F1313" i="6"/>
  <c r="E1312" i="6"/>
  <c r="F1312" i="6"/>
  <c r="E1311" i="6"/>
  <c r="F1311" i="6"/>
  <c r="E1310" i="6"/>
  <c r="F1310" i="6"/>
  <c r="E1309" i="6"/>
  <c r="F1309" i="6"/>
  <c r="E1308" i="6"/>
  <c r="F1308" i="6"/>
  <c r="E1307" i="6"/>
  <c r="F1307" i="6"/>
  <c r="E1306" i="6"/>
  <c r="F1306" i="6"/>
  <c r="E1305" i="6"/>
  <c r="F1305" i="6"/>
  <c r="E1304" i="6"/>
  <c r="F1304" i="6"/>
  <c r="E1303" i="6"/>
  <c r="F1303" i="6"/>
  <c r="E1302" i="6"/>
  <c r="F1302" i="6"/>
  <c r="E1301" i="6"/>
  <c r="F1301" i="6"/>
  <c r="E1300" i="6"/>
  <c r="F1300" i="6"/>
  <c r="E1299" i="6"/>
  <c r="F1299" i="6"/>
  <c r="E1298" i="6"/>
  <c r="F1298" i="6"/>
  <c r="E1297" i="6"/>
  <c r="F1297" i="6"/>
  <c r="E1296" i="6"/>
  <c r="F1296" i="6"/>
  <c r="E1295" i="6"/>
  <c r="F1295" i="6"/>
  <c r="E1294" i="6"/>
  <c r="F1294" i="6"/>
  <c r="E1293" i="6"/>
  <c r="F1293" i="6"/>
  <c r="E1292" i="6"/>
  <c r="F1292" i="6"/>
  <c r="E1291" i="6"/>
  <c r="F1291" i="6"/>
  <c r="E1290" i="6"/>
  <c r="F1290" i="6"/>
  <c r="E1289" i="6"/>
  <c r="F1289" i="6"/>
  <c r="E1288" i="6"/>
  <c r="F1288" i="6"/>
  <c r="E1287" i="6"/>
  <c r="F1287" i="6"/>
  <c r="E1286" i="6"/>
  <c r="F1286" i="6"/>
  <c r="E1285" i="6"/>
  <c r="F1285" i="6"/>
  <c r="E1284" i="6"/>
  <c r="F1284" i="6"/>
  <c r="E1283" i="6"/>
  <c r="F1283" i="6"/>
  <c r="E1282" i="6"/>
  <c r="F1282" i="6"/>
  <c r="E1281" i="6"/>
  <c r="F1281" i="6"/>
  <c r="E1280" i="6"/>
  <c r="F1280" i="6"/>
  <c r="E1279" i="6"/>
  <c r="F1279" i="6"/>
  <c r="E1278" i="6"/>
  <c r="F1278" i="6"/>
  <c r="E1277" i="6"/>
  <c r="F1277" i="6"/>
  <c r="E1276" i="6"/>
  <c r="F1276" i="6"/>
  <c r="E1275" i="6"/>
  <c r="F1275" i="6"/>
  <c r="E1274" i="6"/>
  <c r="F1274" i="6"/>
  <c r="E1273" i="6"/>
  <c r="F1273" i="6"/>
  <c r="E1272" i="6"/>
  <c r="F1272" i="6"/>
  <c r="E1271" i="6"/>
  <c r="F1271" i="6"/>
  <c r="E1270" i="6"/>
  <c r="F1270" i="6"/>
  <c r="E1269" i="6"/>
  <c r="F1269" i="6"/>
  <c r="E1268" i="6"/>
  <c r="F1268" i="6"/>
  <c r="E1267" i="6"/>
  <c r="F1267" i="6"/>
  <c r="E1266" i="6"/>
  <c r="F1266" i="6"/>
  <c r="E1265" i="6"/>
  <c r="F1265" i="6"/>
  <c r="E1264" i="6"/>
  <c r="F1264" i="6"/>
  <c r="E1263" i="6"/>
  <c r="F1263" i="6"/>
  <c r="E1262" i="6"/>
  <c r="F1262" i="6"/>
  <c r="E1261" i="6"/>
  <c r="F1261" i="6"/>
  <c r="E1260" i="6"/>
  <c r="F1260" i="6"/>
  <c r="E1259" i="6"/>
  <c r="F1259" i="6"/>
  <c r="E1258" i="6"/>
  <c r="F1258" i="6"/>
  <c r="E1257" i="6"/>
  <c r="F1257" i="6"/>
  <c r="E1256" i="6"/>
  <c r="F1256" i="6"/>
  <c r="E1255" i="6"/>
  <c r="F1255" i="6"/>
  <c r="E1254" i="6"/>
  <c r="F1254" i="6"/>
  <c r="E1253" i="6"/>
  <c r="F1253" i="6"/>
  <c r="E1252" i="6"/>
  <c r="F1252" i="6"/>
  <c r="E1251" i="6"/>
  <c r="F1251" i="6"/>
  <c r="E1250" i="6"/>
  <c r="F1250" i="6"/>
  <c r="E1249" i="6"/>
  <c r="F1249" i="6"/>
  <c r="E1248" i="6"/>
  <c r="F1248" i="6"/>
  <c r="E1247" i="6"/>
  <c r="F1247" i="6"/>
  <c r="E1246" i="6"/>
  <c r="F1246" i="6"/>
  <c r="E1245" i="6"/>
  <c r="F1245" i="6"/>
  <c r="E1244" i="6"/>
  <c r="F1244" i="6"/>
  <c r="E1243" i="6"/>
  <c r="F1243" i="6"/>
  <c r="E1242" i="6"/>
  <c r="F1242" i="6"/>
  <c r="E1241" i="6"/>
  <c r="F1241" i="6"/>
  <c r="E1240" i="6"/>
  <c r="F1240" i="6"/>
  <c r="E1239" i="6"/>
  <c r="F1239" i="6"/>
  <c r="E1238" i="6"/>
  <c r="F1238" i="6"/>
  <c r="E1237" i="6"/>
  <c r="F1237" i="6"/>
  <c r="E1236" i="6"/>
  <c r="F1236" i="6"/>
  <c r="E1235" i="6"/>
  <c r="F1235" i="6"/>
  <c r="E1234" i="6"/>
  <c r="F1234" i="6"/>
  <c r="E1233" i="6"/>
  <c r="F1233" i="6"/>
  <c r="E1232" i="6"/>
  <c r="F1232" i="6"/>
  <c r="E1231" i="6"/>
  <c r="F1231" i="6"/>
  <c r="E1230" i="6"/>
  <c r="F1230" i="6"/>
  <c r="E1229" i="6"/>
  <c r="F1229" i="6"/>
  <c r="E1228" i="6"/>
  <c r="F1228" i="6"/>
  <c r="E1227" i="6"/>
  <c r="F1227" i="6"/>
  <c r="E1226" i="6"/>
  <c r="F1226" i="6"/>
  <c r="E1225" i="6"/>
  <c r="F1225" i="6"/>
  <c r="E1224" i="6"/>
  <c r="F1224" i="6"/>
  <c r="E1223" i="6"/>
  <c r="F1223" i="6"/>
  <c r="E1222" i="6"/>
  <c r="F1222" i="6"/>
  <c r="E1221" i="6"/>
  <c r="F1221" i="6"/>
  <c r="E1220" i="6"/>
  <c r="F1220" i="6"/>
  <c r="E1219" i="6"/>
  <c r="F1219" i="6"/>
  <c r="E1218" i="6"/>
  <c r="F1218" i="6"/>
  <c r="E1217" i="6"/>
  <c r="F1217" i="6"/>
  <c r="E1216" i="6"/>
  <c r="F1216" i="6"/>
  <c r="E1215" i="6"/>
  <c r="F1215" i="6"/>
  <c r="E1214" i="6"/>
  <c r="F1214" i="6"/>
  <c r="E1213" i="6"/>
  <c r="F1213" i="6"/>
  <c r="E1212" i="6"/>
  <c r="F1212" i="6"/>
  <c r="E1211" i="6"/>
  <c r="F1211" i="6"/>
  <c r="E1210" i="6"/>
  <c r="F1210" i="6"/>
  <c r="E1209" i="6"/>
  <c r="F1209" i="6"/>
  <c r="E1208" i="6"/>
  <c r="F1208" i="6"/>
  <c r="E1207" i="6"/>
  <c r="F1207" i="6"/>
  <c r="E1206" i="6"/>
  <c r="F1206" i="6"/>
  <c r="E1205" i="6"/>
  <c r="F1205" i="6"/>
  <c r="E1204" i="6"/>
  <c r="F1204" i="6"/>
  <c r="E1203" i="6"/>
  <c r="F1203" i="6"/>
  <c r="E1202" i="6"/>
  <c r="F1202" i="6"/>
  <c r="E1201" i="6"/>
  <c r="F1201" i="6"/>
  <c r="E1200" i="6"/>
  <c r="F1200" i="6"/>
  <c r="E1199" i="6"/>
  <c r="F1199" i="6"/>
  <c r="E1198" i="6"/>
  <c r="F1198" i="6"/>
  <c r="E1197" i="6"/>
  <c r="F1197" i="6"/>
  <c r="E1196" i="6"/>
  <c r="F1196" i="6"/>
  <c r="E1195" i="6"/>
  <c r="F1195" i="6"/>
  <c r="E1194" i="6"/>
  <c r="F1194" i="6"/>
  <c r="E1193" i="6"/>
  <c r="F1193" i="6"/>
  <c r="E1192" i="6"/>
  <c r="F1192" i="6"/>
  <c r="E1191" i="6"/>
  <c r="F1191" i="6"/>
  <c r="E1190" i="6"/>
  <c r="F1190" i="6"/>
  <c r="E1189" i="6"/>
  <c r="F1189" i="6"/>
  <c r="E1188" i="6"/>
  <c r="F1188" i="6"/>
  <c r="E1187" i="6"/>
  <c r="F1187" i="6"/>
  <c r="E1186" i="6"/>
  <c r="F1186" i="6"/>
  <c r="E1185" i="6"/>
  <c r="F1185" i="6"/>
  <c r="E1184" i="6"/>
  <c r="F1184" i="6"/>
  <c r="E1183" i="6"/>
  <c r="F1183" i="6"/>
  <c r="E1182" i="6"/>
  <c r="F1182" i="6"/>
  <c r="E1181" i="6"/>
  <c r="F1181" i="6"/>
  <c r="E1180" i="6"/>
  <c r="F1180" i="6"/>
  <c r="E1179" i="6"/>
  <c r="F1179" i="6"/>
  <c r="E1178" i="6"/>
  <c r="F1178" i="6"/>
  <c r="E1177" i="6"/>
  <c r="F1177" i="6"/>
  <c r="E1176" i="6"/>
  <c r="F1176" i="6"/>
  <c r="E1175" i="6"/>
  <c r="F1175" i="6"/>
  <c r="E1174" i="6"/>
  <c r="F1174" i="6"/>
  <c r="E1173" i="6"/>
  <c r="F1173" i="6"/>
  <c r="E1172" i="6"/>
  <c r="F1172" i="6"/>
  <c r="E1171" i="6"/>
  <c r="F1171" i="6"/>
  <c r="E1170" i="6"/>
  <c r="F1170" i="6"/>
  <c r="E1169" i="6"/>
  <c r="F1169" i="6"/>
  <c r="E1168" i="6"/>
  <c r="F1168" i="6"/>
  <c r="E1167" i="6"/>
  <c r="F1167" i="6"/>
  <c r="E1166" i="6"/>
  <c r="F1166" i="6"/>
  <c r="E1165" i="6"/>
  <c r="F1165" i="6"/>
  <c r="E1164" i="6"/>
  <c r="F1164" i="6"/>
  <c r="E1163" i="6"/>
  <c r="F1163" i="6"/>
  <c r="E1162" i="6"/>
  <c r="F1162" i="6"/>
  <c r="E1161" i="6"/>
  <c r="F1161" i="6"/>
  <c r="E1160" i="6"/>
  <c r="F1160" i="6"/>
  <c r="E1159" i="6"/>
  <c r="F1159" i="6"/>
  <c r="E1158" i="6"/>
  <c r="F1158" i="6"/>
  <c r="E1157" i="6"/>
  <c r="F1157" i="6"/>
  <c r="E1156" i="6"/>
  <c r="F1156" i="6"/>
  <c r="E1155" i="6"/>
  <c r="F1155" i="6"/>
  <c r="E1154" i="6"/>
  <c r="F1154" i="6"/>
  <c r="E1153" i="6"/>
  <c r="F1153" i="6"/>
  <c r="E1152" i="6"/>
  <c r="F1152" i="6"/>
  <c r="E1151" i="6"/>
  <c r="F1151" i="6"/>
  <c r="E1150" i="6"/>
  <c r="F1150" i="6"/>
  <c r="E1149" i="6"/>
  <c r="F1149" i="6"/>
  <c r="E1148" i="6"/>
  <c r="F1148" i="6"/>
  <c r="E1147" i="6"/>
  <c r="F1147" i="6"/>
  <c r="E1146" i="6"/>
  <c r="F1146" i="6"/>
  <c r="E1145" i="6"/>
  <c r="F1145" i="6"/>
  <c r="E1144" i="6"/>
  <c r="F1144" i="6"/>
  <c r="E1143" i="6"/>
  <c r="F1143" i="6"/>
  <c r="E1142" i="6"/>
  <c r="F1142" i="6"/>
  <c r="E1141" i="6"/>
  <c r="F1141" i="6"/>
  <c r="E1140" i="6"/>
  <c r="F1140" i="6"/>
  <c r="E1139" i="6"/>
  <c r="F1139" i="6"/>
  <c r="E1138" i="6"/>
  <c r="F1138" i="6"/>
  <c r="E1137" i="6"/>
  <c r="F1137" i="6"/>
  <c r="E1136" i="6"/>
  <c r="F1136" i="6"/>
  <c r="E1135" i="6"/>
  <c r="F1135" i="6"/>
  <c r="E1134" i="6"/>
  <c r="F1134" i="6"/>
  <c r="E1133" i="6"/>
  <c r="F1133" i="6"/>
  <c r="E1132" i="6"/>
  <c r="F1132" i="6"/>
  <c r="E1131" i="6"/>
  <c r="F1131" i="6"/>
  <c r="E1130" i="6"/>
  <c r="F1130" i="6"/>
  <c r="E1129" i="6"/>
  <c r="F1129" i="6"/>
  <c r="E1128" i="6"/>
  <c r="F1128" i="6"/>
  <c r="E1127" i="6"/>
  <c r="F1127" i="6"/>
  <c r="E1126" i="6"/>
  <c r="F1126" i="6"/>
  <c r="E1125" i="6"/>
  <c r="F1125" i="6"/>
  <c r="E1124" i="6"/>
  <c r="F1124" i="6"/>
  <c r="E1123" i="6"/>
  <c r="F1123" i="6"/>
  <c r="E1122" i="6"/>
  <c r="F1122" i="6"/>
  <c r="E1121" i="6"/>
  <c r="F1121" i="6"/>
  <c r="E1120" i="6"/>
  <c r="F1120" i="6"/>
  <c r="E1119" i="6"/>
  <c r="F1119" i="6"/>
  <c r="E1118" i="6"/>
  <c r="F1118" i="6"/>
  <c r="E1117" i="6"/>
  <c r="F1117" i="6"/>
  <c r="E1116" i="6"/>
  <c r="F1116" i="6"/>
  <c r="E1115" i="6"/>
  <c r="F1115" i="6"/>
  <c r="E1114" i="6"/>
  <c r="F1114" i="6"/>
  <c r="E1113" i="6"/>
  <c r="F1113" i="6"/>
  <c r="E1112" i="6"/>
  <c r="F1112" i="6"/>
  <c r="E1111" i="6"/>
  <c r="F1111" i="6"/>
  <c r="E1110" i="6"/>
  <c r="F1110" i="6"/>
  <c r="E1109" i="6"/>
  <c r="F1109" i="6"/>
  <c r="E1108" i="6"/>
  <c r="F1108" i="6"/>
  <c r="E1107" i="6"/>
  <c r="F1107" i="6"/>
  <c r="E1106" i="6"/>
  <c r="F1106" i="6"/>
  <c r="E1105" i="6"/>
  <c r="F1105" i="6"/>
  <c r="E1104" i="6"/>
  <c r="F1104" i="6"/>
  <c r="E1103" i="6"/>
  <c r="F1103" i="6"/>
  <c r="E1102" i="6"/>
  <c r="F1102" i="6"/>
  <c r="E1101" i="6"/>
  <c r="F1101" i="6"/>
  <c r="E1100" i="6"/>
  <c r="F1100" i="6"/>
  <c r="E1099" i="6"/>
  <c r="F1099" i="6"/>
  <c r="E1098" i="6"/>
  <c r="F1098" i="6"/>
  <c r="E1097" i="6"/>
  <c r="F1097" i="6"/>
  <c r="E1096" i="6"/>
  <c r="F1096" i="6"/>
  <c r="E1095" i="6"/>
  <c r="F1095" i="6"/>
  <c r="E1094" i="6"/>
  <c r="F1094" i="6"/>
  <c r="E1093" i="6"/>
  <c r="F1093" i="6"/>
  <c r="E1092" i="6"/>
  <c r="F1092" i="6"/>
  <c r="E1091" i="6"/>
  <c r="F1091" i="6"/>
  <c r="E1090" i="6"/>
  <c r="F1090" i="6"/>
  <c r="E1089" i="6"/>
  <c r="F1089" i="6"/>
  <c r="E1088" i="6"/>
  <c r="F1088" i="6"/>
  <c r="E1087" i="6"/>
  <c r="F1087" i="6"/>
  <c r="E1086" i="6"/>
  <c r="F1086" i="6"/>
  <c r="E1085" i="6"/>
  <c r="F1085" i="6"/>
  <c r="E1084" i="6"/>
  <c r="F1084" i="6"/>
  <c r="E1083" i="6"/>
  <c r="F1083" i="6"/>
  <c r="E1082" i="6"/>
  <c r="F1082" i="6"/>
  <c r="E1081" i="6"/>
  <c r="F1081" i="6"/>
  <c r="E1080" i="6"/>
  <c r="F1080" i="6"/>
  <c r="E1079" i="6"/>
  <c r="F1079" i="6"/>
  <c r="E1078" i="6"/>
  <c r="F1078" i="6"/>
  <c r="E1077" i="6"/>
  <c r="F1077" i="6"/>
  <c r="E1076" i="6"/>
  <c r="F1076" i="6"/>
  <c r="E1075" i="6"/>
  <c r="F1075" i="6"/>
  <c r="E1074" i="6"/>
  <c r="F1074" i="6"/>
  <c r="E1073" i="6"/>
  <c r="F1073" i="6"/>
  <c r="E1072" i="6"/>
  <c r="F1072" i="6"/>
  <c r="E1071" i="6"/>
  <c r="F1071" i="6"/>
  <c r="E1070" i="6"/>
  <c r="F1070" i="6"/>
  <c r="E1069" i="6"/>
  <c r="F1069" i="6"/>
  <c r="E1068" i="6"/>
  <c r="F1068" i="6"/>
  <c r="E1067" i="6"/>
  <c r="F1067" i="6"/>
  <c r="E1066" i="6"/>
  <c r="F1066" i="6"/>
  <c r="E1065" i="6"/>
  <c r="F1065" i="6"/>
  <c r="E1064" i="6"/>
  <c r="F1064" i="6"/>
  <c r="E1063" i="6"/>
  <c r="F1063" i="6"/>
  <c r="E1062" i="6"/>
  <c r="F1062" i="6"/>
  <c r="E1061" i="6"/>
  <c r="F1061" i="6"/>
  <c r="E1060" i="6"/>
  <c r="F1060" i="6"/>
  <c r="E1059" i="6"/>
  <c r="F1059" i="6"/>
  <c r="E1058" i="6"/>
  <c r="F1058" i="6"/>
  <c r="E1057" i="6"/>
  <c r="F1057" i="6"/>
  <c r="E1056" i="6"/>
  <c r="F1056" i="6"/>
  <c r="E1055" i="6"/>
  <c r="F1055" i="6"/>
  <c r="E1054" i="6"/>
  <c r="F1054" i="6"/>
  <c r="E1053" i="6"/>
  <c r="F1053" i="6"/>
  <c r="E1052" i="6"/>
  <c r="F1052" i="6"/>
  <c r="E1051" i="6"/>
  <c r="F1051" i="6"/>
  <c r="E1050" i="6"/>
  <c r="F1050" i="6"/>
  <c r="E1049" i="6"/>
  <c r="F1049" i="6"/>
  <c r="E1048" i="6"/>
  <c r="F1048" i="6"/>
  <c r="E1047" i="6"/>
  <c r="F1047" i="6"/>
  <c r="E1046" i="6"/>
  <c r="F1046" i="6"/>
  <c r="E1045" i="6"/>
  <c r="F1045" i="6"/>
  <c r="E1044" i="6"/>
  <c r="F1044" i="6"/>
  <c r="E1043" i="6"/>
  <c r="F1043" i="6"/>
  <c r="E1042" i="6"/>
  <c r="F1042" i="6"/>
  <c r="E1041" i="6"/>
  <c r="F1041" i="6"/>
  <c r="E1040" i="6"/>
  <c r="F1040" i="6"/>
  <c r="E1039" i="6"/>
  <c r="F1039" i="6"/>
  <c r="E1038" i="6"/>
  <c r="F1038" i="6"/>
  <c r="E1037" i="6"/>
  <c r="F1037" i="6"/>
  <c r="E1036" i="6"/>
  <c r="F1036" i="6"/>
  <c r="E1035" i="6"/>
  <c r="F1035" i="6"/>
  <c r="E1034" i="6"/>
  <c r="F1034" i="6"/>
  <c r="E1033" i="6"/>
  <c r="F1033" i="6"/>
  <c r="E1032" i="6"/>
  <c r="F1032" i="6"/>
  <c r="E1031" i="6"/>
  <c r="F1031" i="6"/>
  <c r="E1030" i="6"/>
  <c r="F1030" i="6"/>
  <c r="E1029" i="6"/>
  <c r="F1029" i="6"/>
  <c r="E1028" i="6"/>
  <c r="F1028" i="6"/>
  <c r="E1027" i="6"/>
  <c r="F1027" i="6"/>
  <c r="E1026" i="6"/>
  <c r="F1026" i="6"/>
  <c r="E1025" i="6"/>
  <c r="F1025" i="6"/>
  <c r="E1024" i="6"/>
  <c r="F1024" i="6"/>
  <c r="E1023" i="6"/>
  <c r="F1023" i="6"/>
  <c r="E1022" i="6"/>
  <c r="F1022" i="6"/>
  <c r="E1021" i="6"/>
  <c r="F1021" i="6"/>
  <c r="E1020" i="6"/>
  <c r="F1020" i="6"/>
  <c r="E1019" i="6"/>
  <c r="F1019" i="6"/>
  <c r="E1018" i="6"/>
  <c r="F1018" i="6"/>
  <c r="E1017" i="6"/>
  <c r="F1017" i="6"/>
  <c r="E1016" i="6"/>
  <c r="F1016" i="6"/>
  <c r="E1015" i="6"/>
  <c r="F1015" i="6"/>
  <c r="E1014" i="6"/>
  <c r="F1014" i="6"/>
  <c r="E1013" i="6"/>
  <c r="F1013" i="6"/>
  <c r="E1012" i="6"/>
  <c r="F1012" i="6"/>
  <c r="E1011" i="6"/>
  <c r="F1011" i="6"/>
  <c r="E1010" i="6"/>
  <c r="F1010" i="6"/>
  <c r="E1009" i="6"/>
  <c r="F1009" i="6"/>
  <c r="E1008" i="6"/>
  <c r="F1008" i="6"/>
  <c r="E1007" i="6"/>
  <c r="F1007" i="6"/>
  <c r="E1006" i="6"/>
  <c r="F1006" i="6"/>
  <c r="E1005" i="6"/>
  <c r="F1005" i="6"/>
  <c r="E1004" i="6"/>
  <c r="F1004" i="6"/>
  <c r="E1003" i="6"/>
  <c r="F1003" i="6"/>
  <c r="E1002" i="6"/>
  <c r="F1002" i="6"/>
  <c r="E1001" i="6"/>
  <c r="F1001" i="6"/>
  <c r="E1000" i="6"/>
  <c r="F1000" i="6"/>
  <c r="E999" i="6"/>
  <c r="F999" i="6"/>
  <c r="E998" i="6"/>
  <c r="F998" i="6"/>
  <c r="E997" i="6"/>
  <c r="F997" i="6"/>
  <c r="E996" i="6"/>
  <c r="F996" i="6"/>
  <c r="E995" i="6"/>
  <c r="F995" i="6"/>
  <c r="E994" i="6"/>
  <c r="F994" i="6"/>
  <c r="E993" i="6"/>
  <c r="F993" i="6"/>
  <c r="E992" i="6"/>
  <c r="F992" i="6"/>
  <c r="E991" i="6"/>
  <c r="F991" i="6"/>
  <c r="E990" i="6"/>
  <c r="F990" i="6"/>
  <c r="E989" i="6"/>
  <c r="F989" i="6"/>
  <c r="E988" i="6"/>
  <c r="F988" i="6"/>
  <c r="E987" i="6"/>
  <c r="F987" i="6"/>
  <c r="E986" i="6"/>
  <c r="F986" i="6"/>
  <c r="E985" i="6"/>
  <c r="F985" i="6"/>
  <c r="E984" i="6"/>
  <c r="F984" i="6"/>
  <c r="E983" i="6"/>
  <c r="F983" i="6"/>
  <c r="E982" i="6"/>
  <c r="F982" i="6"/>
  <c r="E981" i="6"/>
  <c r="F981" i="6"/>
  <c r="E980" i="6"/>
  <c r="F980" i="6"/>
  <c r="E979" i="6"/>
  <c r="F979" i="6"/>
  <c r="E978" i="6"/>
  <c r="F978" i="6"/>
  <c r="E977" i="6"/>
  <c r="F977" i="6"/>
  <c r="E976" i="6"/>
  <c r="F976" i="6"/>
  <c r="E975" i="6"/>
  <c r="F975" i="6"/>
  <c r="E974" i="6"/>
  <c r="F974" i="6"/>
  <c r="E973" i="6"/>
  <c r="F973" i="6"/>
  <c r="E972" i="6"/>
  <c r="F972" i="6"/>
  <c r="E971" i="6"/>
  <c r="F971" i="6"/>
  <c r="E970" i="6"/>
  <c r="F970" i="6"/>
  <c r="E969" i="6"/>
  <c r="F969" i="6"/>
  <c r="E968" i="6"/>
  <c r="F968" i="6"/>
  <c r="E967" i="6"/>
  <c r="F967" i="6"/>
  <c r="E966" i="6"/>
  <c r="F966" i="6"/>
  <c r="E965" i="6"/>
  <c r="F965" i="6"/>
  <c r="E964" i="6"/>
  <c r="F964" i="6"/>
  <c r="E963" i="6"/>
  <c r="F963" i="6"/>
  <c r="E962" i="6"/>
  <c r="F962" i="6"/>
  <c r="E961" i="6"/>
  <c r="F961" i="6"/>
  <c r="E960" i="6"/>
  <c r="F960" i="6"/>
  <c r="E959" i="6"/>
  <c r="F959" i="6"/>
  <c r="E958" i="6"/>
  <c r="F958" i="6"/>
  <c r="E957" i="6"/>
  <c r="F957" i="6"/>
  <c r="E956" i="6"/>
  <c r="F956" i="6"/>
  <c r="E955" i="6"/>
  <c r="F955" i="6"/>
  <c r="E954" i="6"/>
  <c r="F954" i="6"/>
  <c r="E953" i="6"/>
  <c r="F953" i="6"/>
  <c r="E952" i="6"/>
  <c r="F952" i="6"/>
  <c r="E951" i="6"/>
  <c r="F951" i="6"/>
  <c r="E950" i="6"/>
  <c r="F950" i="6"/>
  <c r="E949" i="6"/>
  <c r="F949" i="6"/>
  <c r="E948" i="6"/>
  <c r="F948" i="6"/>
  <c r="E947" i="6"/>
  <c r="F947" i="6"/>
  <c r="E946" i="6"/>
  <c r="F946" i="6"/>
  <c r="E945" i="6"/>
  <c r="F945" i="6"/>
  <c r="E944" i="6"/>
  <c r="F944" i="6"/>
  <c r="E943" i="6"/>
  <c r="F943" i="6"/>
  <c r="E942" i="6"/>
  <c r="F942" i="6"/>
  <c r="E941" i="6"/>
  <c r="F941" i="6"/>
  <c r="E940" i="6"/>
  <c r="F940" i="6"/>
  <c r="E939" i="6"/>
  <c r="F939" i="6"/>
  <c r="E938" i="6"/>
  <c r="F938" i="6"/>
  <c r="E937" i="6"/>
  <c r="F937" i="6"/>
  <c r="E936" i="6"/>
  <c r="F936" i="6"/>
  <c r="E935" i="6"/>
  <c r="F935" i="6"/>
  <c r="E934" i="6"/>
  <c r="F934" i="6"/>
  <c r="E933" i="6"/>
  <c r="F933" i="6"/>
  <c r="E932" i="6"/>
  <c r="F932" i="6"/>
  <c r="E931" i="6"/>
  <c r="F931" i="6"/>
  <c r="E930" i="6"/>
  <c r="F930" i="6"/>
  <c r="E929" i="6"/>
  <c r="F929" i="6"/>
  <c r="E928" i="6"/>
  <c r="F928" i="6"/>
  <c r="E927" i="6"/>
  <c r="F927" i="6"/>
  <c r="E926" i="6"/>
  <c r="F926" i="6"/>
  <c r="E925" i="6"/>
  <c r="F925" i="6"/>
  <c r="E924" i="6"/>
  <c r="F924" i="6"/>
  <c r="E923" i="6"/>
  <c r="F923" i="6"/>
  <c r="E922" i="6"/>
  <c r="F922" i="6"/>
  <c r="E921" i="6"/>
  <c r="F921" i="6"/>
  <c r="E920" i="6"/>
  <c r="F920" i="6"/>
  <c r="E919" i="6"/>
  <c r="F919" i="6"/>
  <c r="E918" i="6"/>
  <c r="F918" i="6"/>
  <c r="E917" i="6"/>
  <c r="F917" i="6"/>
  <c r="E916" i="6"/>
  <c r="F916" i="6"/>
  <c r="E915" i="6"/>
  <c r="F915" i="6"/>
  <c r="E914" i="6"/>
  <c r="F914" i="6"/>
  <c r="E913" i="6"/>
  <c r="F913" i="6"/>
  <c r="E912" i="6"/>
  <c r="F912" i="6"/>
  <c r="E911" i="6"/>
  <c r="F911" i="6"/>
  <c r="E910" i="6"/>
  <c r="F910" i="6"/>
  <c r="E909" i="6"/>
  <c r="F909" i="6"/>
  <c r="E908" i="6"/>
  <c r="F908" i="6"/>
  <c r="E907" i="6"/>
  <c r="F907" i="6"/>
  <c r="E906" i="6"/>
  <c r="F906" i="6"/>
  <c r="E905" i="6"/>
  <c r="F905" i="6"/>
  <c r="E904" i="6"/>
  <c r="F904" i="6"/>
  <c r="E903" i="6"/>
  <c r="F903" i="6"/>
  <c r="E902" i="6"/>
  <c r="F902" i="6"/>
  <c r="E901" i="6"/>
  <c r="F901" i="6"/>
  <c r="E900" i="6"/>
  <c r="F900" i="6"/>
  <c r="E899" i="6"/>
  <c r="F899" i="6"/>
  <c r="E898" i="6"/>
  <c r="F898" i="6"/>
  <c r="E897" i="6"/>
  <c r="F897" i="6"/>
  <c r="E896" i="6"/>
  <c r="F896" i="6"/>
  <c r="E895" i="6"/>
  <c r="F895" i="6"/>
  <c r="E894" i="6"/>
  <c r="F894" i="6"/>
  <c r="E893" i="6"/>
  <c r="F893" i="6"/>
  <c r="E892" i="6"/>
  <c r="F892" i="6"/>
  <c r="E891" i="6"/>
  <c r="F891" i="6"/>
  <c r="E890" i="6"/>
  <c r="F890" i="6"/>
  <c r="E889" i="6"/>
  <c r="F889" i="6"/>
  <c r="E888" i="6"/>
  <c r="F888" i="6"/>
  <c r="E887" i="6"/>
  <c r="F887" i="6"/>
  <c r="E886" i="6"/>
  <c r="F886" i="6"/>
  <c r="E885" i="6"/>
  <c r="F885" i="6"/>
  <c r="E884" i="6"/>
  <c r="F884" i="6"/>
  <c r="E883" i="6"/>
  <c r="F883" i="6"/>
  <c r="E882" i="6"/>
  <c r="F882" i="6"/>
  <c r="E881" i="6"/>
  <c r="F881" i="6"/>
  <c r="E880" i="6"/>
  <c r="F880" i="6"/>
  <c r="E879" i="6"/>
  <c r="F879" i="6"/>
  <c r="E878" i="6"/>
  <c r="F878" i="6"/>
  <c r="E877" i="6"/>
  <c r="F877" i="6"/>
  <c r="E876" i="6"/>
  <c r="F876" i="6"/>
  <c r="E875" i="6"/>
  <c r="F875" i="6"/>
  <c r="E874" i="6"/>
  <c r="F874" i="6"/>
  <c r="E873" i="6"/>
  <c r="F873" i="6"/>
  <c r="E872" i="6"/>
  <c r="F872" i="6"/>
  <c r="E871" i="6"/>
  <c r="F871" i="6"/>
  <c r="E870" i="6"/>
  <c r="F870" i="6"/>
  <c r="E869" i="6"/>
  <c r="F869" i="6"/>
  <c r="E868" i="6"/>
  <c r="F868" i="6"/>
  <c r="E867" i="6"/>
  <c r="F867" i="6"/>
  <c r="E866" i="6"/>
  <c r="F866" i="6"/>
  <c r="E865" i="6"/>
  <c r="F865" i="6"/>
  <c r="E864" i="6"/>
  <c r="F864" i="6"/>
  <c r="E863" i="6"/>
  <c r="F863" i="6"/>
  <c r="E862" i="6"/>
  <c r="F862" i="6"/>
  <c r="E861" i="6"/>
  <c r="F861" i="6"/>
  <c r="E860" i="6"/>
  <c r="F860" i="6"/>
  <c r="E859" i="6"/>
  <c r="F859" i="6"/>
  <c r="E858" i="6"/>
  <c r="F858" i="6"/>
  <c r="E857" i="6"/>
  <c r="F857" i="6"/>
  <c r="E856" i="6"/>
  <c r="F856" i="6"/>
  <c r="E855" i="6"/>
  <c r="F855" i="6"/>
  <c r="E854" i="6"/>
  <c r="F854" i="6"/>
  <c r="E853" i="6"/>
  <c r="F853" i="6"/>
  <c r="E852" i="6"/>
  <c r="F852" i="6"/>
  <c r="E851" i="6"/>
  <c r="F851" i="6"/>
  <c r="E850" i="6"/>
  <c r="F850" i="6"/>
  <c r="E849" i="6"/>
  <c r="F849" i="6"/>
  <c r="E848" i="6"/>
  <c r="F848" i="6"/>
  <c r="E847" i="6"/>
  <c r="F847" i="6"/>
  <c r="E846" i="6"/>
  <c r="F846" i="6"/>
  <c r="E845" i="6"/>
  <c r="F845" i="6"/>
  <c r="E844" i="6"/>
  <c r="F844" i="6"/>
  <c r="E843" i="6"/>
  <c r="F843" i="6"/>
  <c r="E842" i="6"/>
  <c r="F842" i="6"/>
  <c r="E841" i="6"/>
  <c r="F841" i="6"/>
  <c r="E840" i="6"/>
  <c r="F840" i="6"/>
  <c r="E839" i="6"/>
  <c r="F839" i="6"/>
  <c r="E838" i="6"/>
  <c r="F838" i="6"/>
  <c r="E837" i="6"/>
  <c r="F837" i="6"/>
  <c r="E836" i="6"/>
  <c r="F836" i="6"/>
  <c r="E835" i="6"/>
  <c r="F835" i="6"/>
  <c r="E834" i="6"/>
  <c r="F834" i="6"/>
  <c r="E833" i="6"/>
  <c r="F833" i="6"/>
  <c r="E832" i="6"/>
  <c r="F832" i="6"/>
  <c r="E831" i="6"/>
  <c r="F831" i="6"/>
  <c r="E830" i="6"/>
  <c r="F830" i="6"/>
  <c r="E829" i="6"/>
  <c r="F829" i="6"/>
  <c r="E828" i="6"/>
  <c r="F828" i="6"/>
  <c r="E827" i="6"/>
  <c r="F827" i="6"/>
  <c r="E826" i="6"/>
  <c r="F826" i="6"/>
  <c r="E825" i="6"/>
  <c r="F825" i="6"/>
  <c r="E824" i="6"/>
  <c r="F824" i="6"/>
  <c r="E823" i="6"/>
  <c r="F823" i="6"/>
  <c r="E822" i="6"/>
  <c r="F822" i="6"/>
  <c r="E821" i="6"/>
  <c r="F821" i="6"/>
  <c r="E820" i="6"/>
  <c r="F820" i="6"/>
  <c r="E819" i="6"/>
  <c r="F819" i="6"/>
  <c r="E818" i="6"/>
  <c r="F818" i="6"/>
  <c r="E817" i="6"/>
  <c r="F817" i="6"/>
  <c r="E816" i="6"/>
  <c r="F816" i="6"/>
  <c r="E815" i="6"/>
  <c r="F815" i="6"/>
  <c r="E814" i="6"/>
  <c r="F814" i="6"/>
  <c r="E813" i="6"/>
  <c r="F813" i="6"/>
  <c r="E812" i="6"/>
  <c r="F812" i="6"/>
  <c r="E811" i="6"/>
  <c r="F811" i="6"/>
  <c r="E810" i="6"/>
  <c r="F810" i="6"/>
  <c r="E809" i="6"/>
  <c r="F809" i="6"/>
  <c r="E808" i="6"/>
  <c r="F808" i="6"/>
  <c r="E807" i="6"/>
  <c r="F807" i="6"/>
  <c r="E806" i="6"/>
  <c r="F806" i="6"/>
  <c r="E805" i="6"/>
  <c r="F805" i="6"/>
  <c r="E804" i="6"/>
  <c r="F804" i="6"/>
  <c r="E803" i="6"/>
  <c r="F803" i="6"/>
  <c r="E802" i="6"/>
  <c r="F802" i="6"/>
  <c r="E801" i="6"/>
  <c r="F801" i="6"/>
  <c r="E800" i="6"/>
  <c r="F800" i="6"/>
  <c r="E799" i="6"/>
  <c r="F799" i="6"/>
  <c r="E798" i="6"/>
  <c r="F798" i="6"/>
  <c r="E797" i="6"/>
  <c r="F797" i="6"/>
  <c r="E796" i="6"/>
  <c r="F796" i="6"/>
  <c r="E795" i="6"/>
  <c r="F795" i="6"/>
  <c r="E794" i="6"/>
  <c r="F794" i="6"/>
  <c r="E793" i="6"/>
  <c r="F793" i="6"/>
  <c r="E792" i="6"/>
  <c r="F792" i="6"/>
  <c r="E791" i="6"/>
  <c r="F791" i="6"/>
  <c r="E790" i="6"/>
  <c r="F790" i="6"/>
  <c r="E789" i="6"/>
  <c r="F789" i="6"/>
  <c r="E788" i="6"/>
  <c r="F788" i="6"/>
  <c r="E787" i="6"/>
  <c r="F787" i="6"/>
  <c r="E786" i="6"/>
  <c r="F786" i="6"/>
  <c r="E785" i="6"/>
  <c r="F785" i="6"/>
  <c r="E784" i="6"/>
  <c r="F784" i="6"/>
  <c r="E783" i="6"/>
  <c r="F783" i="6"/>
  <c r="E782" i="6"/>
  <c r="F782" i="6"/>
  <c r="E781" i="6"/>
  <c r="F781" i="6"/>
  <c r="E780" i="6"/>
  <c r="F780" i="6"/>
  <c r="E779" i="6"/>
  <c r="F779" i="6"/>
  <c r="E778" i="6"/>
  <c r="F778" i="6"/>
  <c r="E777" i="6"/>
  <c r="F777" i="6"/>
  <c r="E776" i="6"/>
  <c r="F776" i="6"/>
  <c r="E775" i="6"/>
  <c r="F775" i="6"/>
  <c r="E774" i="6"/>
  <c r="F774" i="6"/>
  <c r="E773" i="6"/>
  <c r="F773" i="6"/>
  <c r="E772" i="6"/>
  <c r="F772" i="6"/>
  <c r="E771" i="6"/>
  <c r="F771" i="6"/>
  <c r="E770" i="6"/>
  <c r="F770" i="6"/>
  <c r="E769" i="6"/>
  <c r="F769" i="6"/>
  <c r="E768" i="6"/>
  <c r="F768" i="6"/>
  <c r="E767" i="6"/>
  <c r="F767" i="6"/>
  <c r="E766" i="6"/>
  <c r="F766" i="6"/>
  <c r="E765" i="6"/>
  <c r="F765" i="6"/>
  <c r="E764" i="6"/>
  <c r="F764" i="6"/>
  <c r="E763" i="6"/>
  <c r="F763" i="6"/>
  <c r="E762" i="6"/>
  <c r="F762" i="6"/>
  <c r="E761" i="6"/>
  <c r="F761" i="6"/>
  <c r="E760" i="6"/>
  <c r="F760" i="6"/>
  <c r="E759" i="6"/>
  <c r="F759" i="6"/>
  <c r="E758" i="6"/>
  <c r="F758" i="6"/>
  <c r="E757" i="6"/>
  <c r="F757" i="6"/>
  <c r="E756" i="6"/>
  <c r="F756" i="6"/>
  <c r="E755" i="6"/>
  <c r="F755" i="6"/>
  <c r="E754" i="6"/>
  <c r="F754" i="6"/>
  <c r="E753" i="6"/>
  <c r="F753" i="6"/>
  <c r="E752" i="6"/>
  <c r="F752" i="6"/>
  <c r="E751" i="6"/>
  <c r="F751" i="6"/>
  <c r="E750" i="6"/>
  <c r="F750" i="6"/>
  <c r="E749" i="6"/>
  <c r="F749" i="6"/>
  <c r="E748" i="6"/>
  <c r="F748" i="6"/>
  <c r="E747" i="6"/>
  <c r="F747" i="6"/>
  <c r="E746" i="6"/>
  <c r="F746" i="6"/>
  <c r="E745" i="6"/>
  <c r="F745" i="6"/>
  <c r="E744" i="6"/>
  <c r="F744" i="6"/>
  <c r="E743" i="6"/>
  <c r="F743" i="6"/>
  <c r="E742" i="6"/>
  <c r="F742" i="6"/>
  <c r="E741" i="6"/>
  <c r="F741" i="6"/>
  <c r="E740" i="6"/>
  <c r="F740" i="6"/>
  <c r="E739" i="6"/>
  <c r="F739" i="6"/>
  <c r="E738" i="6"/>
  <c r="F738" i="6"/>
  <c r="E737" i="6"/>
  <c r="F737" i="6"/>
  <c r="E736" i="6"/>
  <c r="F736" i="6"/>
  <c r="E735" i="6"/>
  <c r="F735" i="6"/>
  <c r="E734" i="6"/>
  <c r="F734" i="6"/>
  <c r="E733" i="6"/>
  <c r="F733" i="6"/>
  <c r="E732" i="6"/>
  <c r="F732" i="6"/>
  <c r="E731" i="6"/>
  <c r="F731" i="6"/>
  <c r="E730" i="6"/>
  <c r="F730" i="6"/>
  <c r="E729" i="6"/>
  <c r="F729" i="6"/>
  <c r="E728" i="6"/>
  <c r="F728" i="6"/>
  <c r="E727" i="6"/>
  <c r="F727" i="6"/>
  <c r="E726" i="6"/>
  <c r="F726" i="6"/>
  <c r="E725" i="6"/>
  <c r="F725" i="6"/>
  <c r="E724" i="6"/>
  <c r="F724" i="6"/>
  <c r="E723" i="6"/>
  <c r="F723" i="6"/>
  <c r="E722" i="6"/>
  <c r="F722" i="6"/>
  <c r="E721" i="6"/>
  <c r="F721" i="6"/>
  <c r="E720" i="6"/>
  <c r="F720" i="6"/>
  <c r="E719" i="6"/>
  <c r="F719" i="6"/>
  <c r="E718" i="6"/>
  <c r="F718" i="6"/>
  <c r="E717" i="6"/>
  <c r="F717" i="6"/>
  <c r="E716" i="6"/>
  <c r="F716" i="6"/>
  <c r="E715" i="6"/>
  <c r="F715" i="6"/>
  <c r="E714" i="6"/>
  <c r="F714" i="6"/>
  <c r="E713" i="6"/>
  <c r="F713" i="6"/>
  <c r="E712" i="6"/>
  <c r="F712" i="6"/>
  <c r="E711" i="6"/>
  <c r="F711" i="6"/>
  <c r="E710" i="6"/>
  <c r="F710" i="6"/>
  <c r="E709" i="6"/>
  <c r="F709" i="6"/>
  <c r="E708" i="6"/>
  <c r="F708" i="6"/>
  <c r="E707" i="6"/>
  <c r="F707" i="6"/>
  <c r="E706" i="6"/>
  <c r="F706" i="6"/>
  <c r="E705" i="6"/>
  <c r="F705" i="6"/>
  <c r="E704" i="6"/>
  <c r="F704" i="6"/>
  <c r="E703" i="6"/>
  <c r="F703" i="6"/>
  <c r="E702" i="6"/>
  <c r="F702" i="6"/>
  <c r="E701" i="6"/>
  <c r="F701" i="6"/>
  <c r="E700" i="6"/>
  <c r="F700" i="6"/>
  <c r="E699" i="6"/>
  <c r="F699" i="6"/>
  <c r="E698" i="6"/>
  <c r="F698" i="6"/>
  <c r="E697" i="6"/>
  <c r="F697" i="6"/>
  <c r="E696" i="6"/>
  <c r="F696" i="6"/>
  <c r="E695" i="6"/>
  <c r="F695" i="6"/>
  <c r="E694" i="6"/>
  <c r="F694" i="6"/>
  <c r="E693" i="6"/>
  <c r="F693" i="6"/>
  <c r="E692" i="6"/>
  <c r="F692" i="6"/>
  <c r="E691" i="6"/>
  <c r="F691" i="6"/>
  <c r="E690" i="6"/>
  <c r="F690" i="6"/>
  <c r="E689" i="6"/>
  <c r="F689" i="6"/>
  <c r="E688" i="6"/>
  <c r="F688" i="6"/>
  <c r="E687" i="6"/>
  <c r="F687" i="6"/>
  <c r="E686" i="6"/>
  <c r="F686" i="6"/>
  <c r="E685" i="6"/>
  <c r="F685" i="6"/>
  <c r="E684" i="6"/>
  <c r="F684" i="6"/>
  <c r="E683" i="6"/>
  <c r="F683" i="6"/>
  <c r="E682" i="6"/>
  <c r="F682" i="6"/>
  <c r="E681" i="6"/>
  <c r="F681" i="6"/>
  <c r="E680" i="6"/>
  <c r="F680" i="6"/>
  <c r="E679" i="6"/>
  <c r="F679" i="6"/>
  <c r="E678" i="6"/>
  <c r="F678" i="6"/>
  <c r="E677" i="6"/>
  <c r="F677" i="6"/>
  <c r="E676" i="6"/>
  <c r="F676" i="6"/>
  <c r="E675" i="6"/>
  <c r="F675" i="6"/>
  <c r="E674" i="6"/>
  <c r="F674" i="6"/>
  <c r="E673" i="6"/>
  <c r="F673" i="6"/>
  <c r="E672" i="6"/>
  <c r="F672" i="6"/>
  <c r="E671" i="6"/>
  <c r="F671" i="6"/>
  <c r="E670" i="6"/>
  <c r="F670" i="6"/>
  <c r="E669" i="6"/>
  <c r="F669" i="6"/>
  <c r="E668" i="6"/>
  <c r="F668" i="6"/>
  <c r="E667" i="6"/>
  <c r="F667" i="6"/>
  <c r="E666" i="6"/>
  <c r="F666" i="6"/>
  <c r="E665" i="6"/>
  <c r="F665" i="6"/>
  <c r="E664" i="6"/>
  <c r="F664" i="6"/>
  <c r="E663" i="6"/>
  <c r="F663" i="6"/>
  <c r="E662" i="6"/>
  <c r="F662" i="6"/>
  <c r="E661" i="6"/>
  <c r="F661" i="6"/>
  <c r="E660" i="6"/>
  <c r="F660" i="6"/>
  <c r="E659" i="6"/>
  <c r="F659" i="6"/>
  <c r="E658" i="6"/>
  <c r="F658" i="6"/>
  <c r="E657" i="6"/>
  <c r="F657" i="6"/>
  <c r="E656" i="6"/>
  <c r="F656" i="6"/>
  <c r="E655" i="6"/>
  <c r="F655" i="6"/>
  <c r="E654" i="6"/>
  <c r="F654" i="6"/>
  <c r="E653" i="6"/>
  <c r="F653" i="6"/>
  <c r="E652" i="6"/>
  <c r="F652" i="6"/>
  <c r="E651" i="6"/>
  <c r="F651" i="6"/>
  <c r="E650" i="6"/>
  <c r="F650" i="6"/>
  <c r="E649" i="6"/>
  <c r="F649" i="6"/>
  <c r="E648" i="6"/>
  <c r="F648" i="6"/>
  <c r="E647" i="6"/>
  <c r="F647" i="6"/>
  <c r="E646" i="6"/>
  <c r="F646" i="6"/>
  <c r="E645" i="6"/>
  <c r="F645" i="6"/>
  <c r="E644" i="6"/>
  <c r="F644" i="6"/>
  <c r="E643" i="6"/>
  <c r="F643" i="6"/>
  <c r="E642" i="6"/>
  <c r="F642" i="6"/>
  <c r="E641" i="6"/>
  <c r="F641" i="6"/>
  <c r="E640" i="6"/>
  <c r="F640" i="6"/>
  <c r="E639" i="6"/>
  <c r="F639" i="6"/>
  <c r="E638" i="6"/>
  <c r="F638" i="6"/>
  <c r="E637" i="6"/>
  <c r="F637" i="6"/>
  <c r="E636" i="6"/>
  <c r="F636" i="6"/>
  <c r="E635" i="6"/>
  <c r="F635" i="6"/>
  <c r="E634" i="6"/>
  <c r="F634" i="6"/>
  <c r="E633" i="6"/>
  <c r="F633" i="6"/>
  <c r="E632" i="6"/>
  <c r="F632" i="6"/>
  <c r="E631" i="6"/>
  <c r="F631" i="6"/>
  <c r="E630" i="6"/>
  <c r="F630" i="6"/>
  <c r="E629" i="6"/>
  <c r="F629" i="6"/>
  <c r="E628" i="6"/>
  <c r="F628" i="6"/>
  <c r="E627" i="6"/>
  <c r="F627" i="6"/>
  <c r="E626" i="6"/>
  <c r="F626" i="6"/>
  <c r="E625" i="6"/>
  <c r="F625" i="6"/>
  <c r="E624" i="6"/>
  <c r="F624" i="6"/>
  <c r="E623" i="6"/>
  <c r="F623" i="6"/>
  <c r="E622" i="6"/>
  <c r="F622" i="6"/>
  <c r="E621" i="6"/>
  <c r="F621" i="6"/>
  <c r="E620" i="6"/>
  <c r="F620" i="6"/>
  <c r="E619" i="6"/>
  <c r="F619" i="6"/>
  <c r="E618" i="6"/>
  <c r="F618" i="6"/>
  <c r="E617" i="6"/>
  <c r="F617" i="6"/>
  <c r="E616" i="6"/>
  <c r="F616" i="6"/>
  <c r="E615" i="6"/>
  <c r="F615" i="6"/>
  <c r="E614" i="6"/>
  <c r="F614" i="6"/>
  <c r="E613" i="6"/>
  <c r="F613" i="6"/>
  <c r="E612" i="6"/>
  <c r="F612" i="6"/>
  <c r="E611" i="6"/>
  <c r="F611" i="6"/>
  <c r="E610" i="6"/>
  <c r="F610" i="6"/>
  <c r="E609" i="6"/>
  <c r="F609" i="6"/>
  <c r="E608" i="6"/>
  <c r="F608" i="6"/>
  <c r="E607" i="6"/>
  <c r="F607" i="6"/>
  <c r="E606" i="6"/>
  <c r="F606" i="6"/>
  <c r="E605" i="6"/>
  <c r="F605" i="6"/>
  <c r="E604" i="6"/>
  <c r="F604" i="6"/>
  <c r="E603" i="6"/>
  <c r="F603" i="6"/>
  <c r="E602" i="6"/>
  <c r="F602" i="6"/>
  <c r="E601" i="6"/>
  <c r="F601" i="6"/>
  <c r="E600" i="6"/>
  <c r="F600" i="6"/>
  <c r="E599" i="6"/>
  <c r="F599" i="6"/>
  <c r="E598" i="6"/>
  <c r="F598" i="6"/>
  <c r="E597" i="6"/>
  <c r="F597" i="6"/>
  <c r="E596" i="6"/>
  <c r="F596" i="6"/>
  <c r="E595" i="6"/>
  <c r="F595" i="6"/>
  <c r="E594" i="6"/>
  <c r="F594" i="6"/>
  <c r="E593" i="6"/>
  <c r="F593" i="6"/>
  <c r="E592" i="6"/>
  <c r="F592" i="6"/>
  <c r="E591" i="6"/>
  <c r="F591" i="6"/>
  <c r="E590" i="6"/>
  <c r="F590" i="6"/>
  <c r="E589" i="6"/>
  <c r="F589" i="6"/>
  <c r="E588" i="6"/>
  <c r="F588" i="6"/>
  <c r="E587" i="6"/>
  <c r="F587" i="6"/>
  <c r="E586" i="6"/>
  <c r="F586" i="6"/>
  <c r="E585" i="6"/>
  <c r="F585" i="6"/>
  <c r="E584" i="6"/>
  <c r="F584" i="6"/>
  <c r="E583" i="6"/>
  <c r="F583" i="6"/>
  <c r="E582" i="6"/>
  <c r="F582" i="6"/>
  <c r="E581" i="6"/>
  <c r="F581" i="6"/>
  <c r="E580" i="6"/>
  <c r="F580" i="6"/>
  <c r="E579" i="6"/>
  <c r="F579" i="6"/>
  <c r="E578" i="6"/>
  <c r="F578" i="6"/>
  <c r="E577" i="6"/>
  <c r="F577" i="6"/>
  <c r="E576" i="6"/>
  <c r="F576" i="6"/>
  <c r="E575" i="6"/>
  <c r="F575" i="6"/>
  <c r="E574" i="6"/>
  <c r="F574" i="6"/>
  <c r="E573" i="6"/>
  <c r="F573" i="6"/>
  <c r="E572" i="6"/>
  <c r="F572" i="6"/>
  <c r="E571" i="6"/>
  <c r="F571" i="6"/>
  <c r="E570" i="6"/>
  <c r="F570" i="6"/>
  <c r="E569" i="6"/>
  <c r="F569" i="6"/>
  <c r="E568" i="6"/>
  <c r="F568" i="6"/>
  <c r="E567" i="6"/>
  <c r="F567" i="6"/>
  <c r="E566" i="6"/>
  <c r="F566" i="6"/>
  <c r="E565" i="6"/>
  <c r="F565" i="6"/>
  <c r="E564" i="6"/>
  <c r="F564" i="6"/>
  <c r="E563" i="6"/>
  <c r="F563" i="6"/>
  <c r="E562" i="6"/>
  <c r="F562" i="6"/>
  <c r="E561" i="6"/>
  <c r="F561" i="6"/>
  <c r="E560" i="6"/>
  <c r="F560" i="6"/>
  <c r="E559" i="6"/>
  <c r="F559" i="6"/>
  <c r="E558" i="6"/>
  <c r="F558" i="6"/>
  <c r="E557" i="6"/>
  <c r="F557" i="6"/>
  <c r="E556" i="6"/>
  <c r="F556" i="6"/>
  <c r="E555" i="6"/>
  <c r="F555" i="6"/>
  <c r="E554" i="6"/>
  <c r="F554" i="6"/>
  <c r="E553" i="6"/>
  <c r="F553" i="6"/>
  <c r="E552" i="6"/>
  <c r="F552" i="6"/>
  <c r="E551" i="6"/>
  <c r="F551" i="6"/>
  <c r="E550" i="6"/>
  <c r="F550" i="6"/>
  <c r="E549" i="6"/>
  <c r="F549" i="6"/>
  <c r="E548" i="6"/>
  <c r="F548" i="6"/>
  <c r="E547" i="6"/>
  <c r="F547" i="6"/>
  <c r="E546" i="6"/>
  <c r="F546" i="6"/>
  <c r="E545" i="6"/>
  <c r="F545" i="6"/>
  <c r="E544" i="6"/>
  <c r="F544" i="6"/>
  <c r="E543" i="6"/>
  <c r="F543" i="6"/>
  <c r="E542" i="6"/>
  <c r="F542" i="6"/>
  <c r="E541" i="6"/>
  <c r="F541" i="6"/>
  <c r="E540" i="6"/>
  <c r="F540" i="6"/>
  <c r="E539" i="6"/>
  <c r="F539" i="6"/>
  <c r="E538" i="6"/>
  <c r="F538" i="6"/>
  <c r="E537" i="6"/>
  <c r="F537" i="6"/>
  <c r="E536" i="6"/>
  <c r="F536" i="6"/>
  <c r="E535" i="6"/>
  <c r="F535" i="6"/>
  <c r="E534" i="6"/>
  <c r="F534" i="6"/>
  <c r="E533" i="6"/>
  <c r="F533" i="6"/>
  <c r="E532" i="6"/>
  <c r="F532" i="6"/>
  <c r="E531" i="6"/>
  <c r="F531" i="6"/>
  <c r="E530" i="6"/>
  <c r="F530" i="6"/>
  <c r="E529" i="6"/>
  <c r="F529" i="6"/>
  <c r="E528" i="6"/>
  <c r="F528" i="6"/>
  <c r="E527" i="6"/>
  <c r="F527" i="6"/>
  <c r="E526" i="6"/>
  <c r="F526" i="6"/>
  <c r="E525" i="6"/>
  <c r="F525" i="6"/>
  <c r="E524" i="6"/>
  <c r="F524" i="6"/>
  <c r="E523" i="6"/>
  <c r="F523" i="6"/>
  <c r="E522" i="6"/>
  <c r="F522" i="6"/>
  <c r="E521" i="6"/>
  <c r="F521" i="6"/>
  <c r="E520" i="6"/>
  <c r="F520" i="6"/>
  <c r="E519" i="6"/>
  <c r="F519" i="6"/>
  <c r="E518" i="6"/>
  <c r="F518" i="6"/>
  <c r="E517" i="6"/>
  <c r="F517" i="6"/>
  <c r="E516" i="6"/>
  <c r="F516" i="6"/>
  <c r="E515" i="6"/>
  <c r="F515" i="6"/>
  <c r="E514" i="6"/>
  <c r="F514" i="6"/>
  <c r="E513" i="6"/>
  <c r="F513" i="6"/>
  <c r="E512" i="6"/>
  <c r="F512" i="6"/>
  <c r="E511" i="6"/>
  <c r="F511" i="6"/>
  <c r="E510" i="6"/>
  <c r="F510" i="6"/>
  <c r="E509" i="6"/>
  <c r="F509" i="6"/>
  <c r="E508" i="6"/>
  <c r="F508" i="6"/>
  <c r="E507" i="6"/>
  <c r="F507" i="6"/>
  <c r="E506" i="6"/>
  <c r="F506" i="6"/>
  <c r="E505" i="6"/>
  <c r="F505" i="6"/>
  <c r="E504" i="6"/>
  <c r="F504" i="6"/>
  <c r="E503" i="6"/>
  <c r="F503" i="6"/>
  <c r="E502" i="6"/>
  <c r="F502" i="6"/>
  <c r="E501" i="6"/>
  <c r="F501" i="6"/>
  <c r="E500" i="6"/>
  <c r="F500" i="6"/>
  <c r="E499" i="6"/>
  <c r="F499" i="6"/>
  <c r="E498" i="6"/>
  <c r="F498" i="6"/>
  <c r="E497" i="6"/>
  <c r="F497" i="6"/>
  <c r="E496" i="6"/>
  <c r="F496" i="6"/>
  <c r="E495" i="6"/>
  <c r="F495" i="6"/>
  <c r="E494" i="6"/>
  <c r="F494" i="6"/>
  <c r="E493" i="6"/>
  <c r="F493" i="6"/>
  <c r="E492" i="6"/>
  <c r="F492" i="6"/>
  <c r="E491" i="6"/>
  <c r="F491" i="6"/>
  <c r="E490" i="6"/>
  <c r="F490" i="6"/>
  <c r="E489" i="6"/>
  <c r="F489" i="6"/>
  <c r="E488" i="6"/>
  <c r="F488" i="6"/>
  <c r="E487" i="6"/>
  <c r="F487" i="6"/>
  <c r="E486" i="6"/>
  <c r="F486" i="6"/>
  <c r="E485" i="6"/>
  <c r="F485" i="6"/>
  <c r="E484" i="6"/>
  <c r="F484" i="6"/>
  <c r="E483" i="6"/>
  <c r="F483" i="6"/>
  <c r="E482" i="6"/>
  <c r="F482" i="6"/>
  <c r="E481" i="6"/>
  <c r="F481" i="6"/>
  <c r="E480" i="6"/>
  <c r="F480" i="6"/>
  <c r="E479" i="6"/>
  <c r="F479" i="6"/>
  <c r="E478" i="6"/>
  <c r="F478" i="6"/>
  <c r="E477" i="6"/>
  <c r="F477" i="6"/>
  <c r="E476" i="6"/>
  <c r="F476" i="6"/>
  <c r="E475" i="6"/>
  <c r="F475" i="6"/>
  <c r="E474" i="6"/>
  <c r="F474" i="6"/>
  <c r="E473" i="6"/>
  <c r="F473" i="6"/>
  <c r="E472" i="6"/>
  <c r="F472" i="6"/>
  <c r="E471" i="6"/>
  <c r="F471" i="6"/>
  <c r="E470" i="6"/>
  <c r="F470" i="6"/>
  <c r="E469" i="6"/>
  <c r="F469" i="6"/>
  <c r="E468" i="6"/>
  <c r="F468" i="6"/>
  <c r="E467" i="6"/>
  <c r="F467" i="6"/>
  <c r="E466" i="6"/>
  <c r="F466" i="6"/>
  <c r="E465" i="6"/>
  <c r="F465" i="6"/>
  <c r="E464" i="6"/>
  <c r="F464" i="6"/>
  <c r="E463" i="6"/>
  <c r="F463" i="6"/>
  <c r="E462" i="6"/>
  <c r="F462" i="6"/>
  <c r="E461" i="6"/>
  <c r="F461" i="6"/>
  <c r="E460" i="6"/>
  <c r="F460" i="6"/>
  <c r="E459" i="6"/>
  <c r="F459" i="6"/>
  <c r="E458" i="6"/>
  <c r="F458" i="6"/>
  <c r="E457" i="6"/>
  <c r="F457" i="6"/>
  <c r="E456" i="6"/>
  <c r="F456" i="6"/>
  <c r="E455" i="6"/>
  <c r="F455" i="6"/>
  <c r="E454" i="6"/>
  <c r="F454" i="6"/>
  <c r="E453" i="6"/>
  <c r="F453" i="6"/>
  <c r="E452" i="6"/>
  <c r="F452" i="6"/>
  <c r="E451" i="6"/>
  <c r="F451" i="6"/>
  <c r="E450" i="6"/>
  <c r="F450" i="6"/>
  <c r="E449" i="6"/>
  <c r="F449" i="6"/>
  <c r="E448" i="6"/>
  <c r="F448" i="6"/>
  <c r="E447" i="6"/>
  <c r="F447" i="6"/>
  <c r="E446" i="6"/>
  <c r="F446" i="6"/>
  <c r="E445" i="6"/>
  <c r="F445" i="6"/>
  <c r="E444" i="6"/>
  <c r="F444" i="6"/>
  <c r="E443" i="6"/>
  <c r="F443" i="6"/>
  <c r="E442" i="6"/>
  <c r="F442" i="6"/>
  <c r="E441" i="6"/>
  <c r="F441" i="6"/>
  <c r="E440" i="6"/>
  <c r="F440" i="6"/>
  <c r="E439" i="6"/>
  <c r="F439" i="6"/>
  <c r="E438" i="6"/>
  <c r="F438" i="6"/>
  <c r="E437" i="6"/>
  <c r="F437" i="6"/>
  <c r="E436" i="6"/>
  <c r="F436" i="6"/>
  <c r="E435" i="6"/>
  <c r="F435" i="6"/>
  <c r="E434" i="6"/>
  <c r="F434" i="6"/>
  <c r="E433" i="6"/>
  <c r="F433" i="6"/>
  <c r="E432" i="6"/>
  <c r="F432" i="6"/>
  <c r="E431" i="6"/>
  <c r="F431" i="6"/>
  <c r="E430" i="6"/>
  <c r="F430" i="6"/>
  <c r="E429" i="6"/>
  <c r="F429" i="6"/>
  <c r="E428" i="6"/>
  <c r="F428" i="6"/>
  <c r="E427" i="6"/>
  <c r="F427" i="6"/>
  <c r="E426" i="6"/>
  <c r="F426" i="6"/>
  <c r="E425" i="6"/>
  <c r="F425" i="6"/>
  <c r="E424" i="6"/>
  <c r="F424" i="6"/>
  <c r="E423" i="6"/>
  <c r="F423" i="6"/>
  <c r="E422" i="6"/>
  <c r="F422" i="6"/>
  <c r="E421" i="6"/>
  <c r="F421" i="6"/>
  <c r="E420" i="6"/>
  <c r="F420" i="6"/>
  <c r="E419" i="6"/>
  <c r="F419" i="6"/>
  <c r="E418" i="6"/>
  <c r="F418" i="6"/>
  <c r="E417" i="6"/>
  <c r="F417" i="6"/>
  <c r="E416" i="6"/>
  <c r="F416" i="6"/>
  <c r="E415" i="6"/>
  <c r="F415" i="6"/>
  <c r="E414" i="6"/>
  <c r="F414" i="6"/>
  <c r="E413" i="6"/>
  <c r="F413" i="6"/>
  <c r="E412" i="6"/>
  <c r="F412" i="6"/>
  <c r="E411" i="6"/>
  <c r="F411" i="6"/>
  <c r="E410" i="6"/>
  <c r="F410" i="6"/>
  <c r="E409" i="6"/>
  <c r="F409" i="6"/>
  <c r="E408" i="6"/>
  <c r="F408" i="6"/>
  <c r="E407" i="6"/>
  <c r="F407" i="6"/>
  <c r="E406" i="6"/>
  <c r="F406" i="6"/>
  <c r="E405" i="6"/>
  <c r="F405" i="6"/>
  <c r="E404" i="6"/>
  <c r="F404" i="6"/>
  <c r="E403" i="6"/>
  <c r="F403" i="6"/>
  <c r="E402" i="6"/>
  <c r="F402" i="6"/>
  <c r="E401" i="6"/>
  <c r="F401" i="6"/>
  <c r="E400" i="6"/>
  <c r="F400" i="6"/>
  <c r="E399" i="6"/>
  <c r="F399" i="6"/>
  <c r="E398" i="6"/>
  <c r="F398" i="6"/>
  <c r="E397" i="6"/>
  <c r="F397" i="6"/>
  <c r="E396" i="6"/>
  <c r="F396" i="6"/>
  <c r="E395" i="6"/>
  <c r="F395" i="6"/>
  <c r="E394" i="6"/>
  <c r="F394" i="6"/>
  <c r="E393" i="6"/>
  <c r="F393" i="6"/>
  <c r="E392" i="6"/>
  <c r="F392" i="6"/>
  <c r="E391" i="6"/>
  <c r="F391" i="6"/>
  <c r="E390" i="6"/>
  <c r="F390" i="6"/>
  <c r="E389" i="6"/>
  <c r="F389" i="6"/>
  <c r="E388" i="6"/>
  <c r="F388" i="6"/>
  <c r="E387" i="6"/>
  <c r="F387" i="6"/>
  <c r="E386" i="6"/>
  <c r="F386" i="6"/>
  <c r="E385" i="6"/>
  <c r="F385" i="6"/>
  <c r="E384" i="6"/>
  <c r="F384" i="6"/>
  <c r="E383" i="6"/>
  <c r="F383" i="6"/>
  <c r="E382" i="6"/>
  <c r="F382" i="6"/>
  <c r="E381" i="6"/>
  <c r="F381" i="6"/>
  <c r="E380" i="6"/>
  <c r="F380" i="6"/>
  <c r="E379" i="6"/>
  <c r="F379" i="6"/>
  <c r="E378" i="6"/>
  <c r="F378" i="6"/>
  <c r="E377" i="6"/>
  <c r="F377" i="6"/>
  <c r="E376" i="6"/>
  <c r="F376" i="6"/>
  <c r="E375" i="6"/>
  <c r="F375" i="6"/>
  <c r="E374" i="6"/>
  <c r="F374" i="6"/>
  <c r="E373" i="6"/>
  <c r="F373" i="6"/>
  <c r="E372" i="6"/>
  <c r="F372" i="6"/>
  <c r="E371" i="6"/>
  <c r="F371" i="6"/>
  <c r="E370" i="6"/>
  <c r="F370" i="6"/>
  <c r="E369" i="6"/>
  <c r="F369" i="6"/>
  <c r="E368" i="6"/>
  <c r="F368" i="6"/>
  <c r="E367" i="6"/>
  <c r="F367" i="6"/>
  <c r="E366" i="6"/>
  <c r="F366" i="6"/>
  <c r="E365" i="6"/>
  <c r="F365" i="6"/>
  <c r="E364" i="6"/>
  <c r="F364" i="6"/>
  <c r="E363" i="6"/>
  <c r="F363" i="6"/>
  <c r="E362" i="6"/>
  <c r="F362" i="6"/>
  <c r="E361" i="6"/>
  <c r="F361" i="6"/>
  <c r="E360" i="6"/>
  <c r="F360" i="6"/>
  <c r="E359" i="6"/>
  <c r="F359" i="6"/>
  <c r="E358" i="6"/>
  <c r="F358" i="6"/>
  <c r="E357" i="6"/>
  <c r="F357" i="6"/>
  <c r="E356" i="6"/>
  <c r="F356" i="6"/>
  <c r="E355" i="6"/>
  <c r="F355" i="6"/>
  <c r="E354" i="6"/>
  <c r="F354" i="6"/>
  <c r="E353" i="6"/>
  <c r="F353" i="6"/>
  <c r="E352" i="6"/>
  <c r="F352" i="6"/>
  <c r="E351" i="6"/>
  <c r="F351" i="6"/>
  <c r="E350" i="6"/>
  <c r="F350" i="6"/>
  <c r="E349" i="6"/>
  <c r="F349" i="6"/>
  <c r="E348" i="6"/>
  <c r="F348" i="6"/>
  <c r="E347" i="6"/>
  <c r="F347" i="6"/>
  <c r="E346" i="6"/>
  <c r="F346" i="6"/>
  <c r="E345" i="6"/>
  <c r="F345" i="6"/>
  <c r="E344" i="6"/>
  <c r="F344" i="6"/>
  <c r="E343" i="6"/>
  <c r="F343" i="6"/>
  <c r="E342" i="6"/>
  <c r="F342" i="6"/>
  <c r="E341" i="6"/>
  <c r="F341" i="6"/>
  <c r="E340" i="6"/>
  <c r="F340" i="6"/>
  <c r="E339" i="6"/>
  <c r="F339" i="6"/>
  <c r="E338" i="6"/>
  <c r="F338" i="6"/>
  <c r="E337" i="6"/>
  <c r="F337" i="6"/>
  <c r="E336" i="6"/>
  <c r="F336" i="6"/>
  <c r="E335" i="6"/>
  <c r="F335" i="6"/>
  <c r="E334" i="6"/>
  <c r="F334" i="6"/>
  <c r="E333" i="6"/>
  <c r="F333" i="6"/>
  <c r="E332" i="6"/>
  <c r="F332" i="6"/>
  <c r="E331" i="6"/>
  <c r="F331" i="6"/>
  <c r="E330" i="6"/>
  <c r="F330" i="6"/>
  <c r="E329" i="6"/>
  <c r="F329" i="6"/>
  <c r="E328" i="6"/>
  <c r="F328" i="6"/>
  <c r="E327" i="6"/>
  <c r="F327" i="6"/>
  <c r="E326" i="6"/>
  <c r="F326" i="6"/>
  <c r="E325" i="6"/>
  <c r="F325" i="6"/>
  <c r="E324" i="6"/>
  <c r="F324" i="6"/>
  <c r="E323" i="6"/>
  <c r="F323" i="6"/>
  <c r="E322" i="6"/>
  <c r="F322" i="6"/>
  <c r="E321" i="6"/>
  <c r="F321" i="6"/>
  <c r="E320" i="6"/>
  <c r="F320" i="6"/>
  <c r="E319" i="6"/>
  <c r="F319" i="6"/>
  <c r="E318" i="6"/>
  <c r="F318" i="6"/>
  <c r="E317" i="6"/>
  <c r="F317" i="6"/>
  <c r="E316" i="6"/>
  <c r="F316" i="6"/>
  <c r="E315" i="6"/>
  <c r="F315" i="6"/>
  <c r="E314" i="6"/>
  <c r="F314" i="6"/>
  <c r="E313" i="6"/>
  <c r="F313" i="6"/>
  <c r="E312" i="6"/>
  <c r="F312" i="6"/>
  <c r="E311" i="6"/>
  <c r="F311" i="6"/>
  <c r="E310" i="6"/>
  <c r="F310" i="6"/>
  <c r="E309" i="6"/>
  <c r="F309" i="6"/>
  <c r="E308" i="6"/>
  <c r="F308" i="6"/>
  <c r="E307" i="6"/>
  <c r="F307" i="6"/>
  <c r="E306" i="6"/>
  <c r="F306" i="6"/>
  <c r="E305" i="6"/>
  <c r="F305" i="6"/>
  <c r="E304" i="6"/>
  <c r="F304" i="6"/>
  <c r="E303" i="6"/>
  <c r="F303" i="6"/>
  <c r="E302" i="6"/>
  <c r="F302" i="6"/>
  <c r="E301" i="6"/>
  <c r="F301" i="6"/>
  <c r="E300" i="6"/>
  <c r="F300" i="6"/>
  <c r="E299" i="6"/>
  <c r="F299" i="6"/>
  <c r="E298" i="6"/>
  <c r="F298" i="6"/>
  <c r="E297" i="6"/>
  <c r="F297" i="6"/>
  <c r="E296" i="6"/>
  <c r="F296" i="6"/>
  <c r="E295" i="6"/>
  <c r="F295" i="6"/>
  <c r="E294" i="6"/>
  <c r="F294" i="6"/>
  <c r="E293" i="6"/>
  <c r="F293" i="6"/>
  <c r="E292" i="6"/>
  <c r="F292" i="6"/>
  <c r="E291" i="6"/>
  <c r="F291" i="6"/>
  <c r="E290" i="6"/>
  <c r="F290" i="6"/>
  <c r="E289" i="6"/>
  <c r="F289" i="6"/>
  <c r="E288" i="6"/>
  <c r="F288" i="6"/>
  <c r="E287" i="6"/>
  <c r="F287" i="6"/>
  <c r="E286" i="6"/>
  <c r="F286" i="6"/>
  <c r="E285" i="6"/>
  <c r="F285" i="6"/>
  <c r="E284" i="6"/>
  <c r="F284" i="6"/>
  <c r="E283" i="6"/>
  <c r="F283" i="6"/>
  <c r="E282" i="6"/>
  <c r="F282" i="6"/>
  <c r="E281" i="6"/>
  <c r="F281" i="6"/>
  <c r="E280" i="6"/>
  <c r="F280" i="6"/>
  <c r="E279" i="6"/>
  <c r="F279" i="6"/>
  <c r="E278" i="6"/>
  <c r="F278" i="6"/>
  <c r="E277" i="6"/>
  <c r="F277" i="6"/>
  <c r="E276" i="6"/>
  <c r="F276" i="6"/>
  <c r="E275" i="6"/>
  <c r="F275" i="6"/>
  <c r="E274" i="6"/>
  <c r="F274" i="6"/>
  <c r="E273" i="6"/>
  <c r="F273" i="6"/>
  <c r="E272" i="6"/>
  <c r="F272" i="6"/>
  <c r="E271" i="6"/>
  <c r="F271" i="6"/>
  <c r="E270" i="6"/>
  <c r="F270" i="6"/>
  <c r="E269" i="6"/>
  <c r="F269" i="6"/>
  <c r="E268" i="6"/>
  <c r="F268" i="6"/>
  <c r="E267" i="6"/>
  <c r="F267" i="6"/>
  <c r="E266" i="6"/>
  <c r="F266" i="6"/>
  <c r="E265" i="6"/>
  <c r="F265" i="6"/>
  <c r="E264" i="6"/>
  <c r="F264" i="6"/>
  <c r="E263" i="6"/>
  <c r="F263" i="6"/>
  <c r="E262" i="6"/>
  <c r="F262" i="6"/>
  <c r="E261" i="6"/>
  <c r="F261" i="6"/>
  <c r="E260" i="6"/>
  <c r="F260" i="6"/>
  <c r="E259" i="6"/>
  <c r="F259" i="6"/>
  <c r="E258" i="6"/>
  <c r="F258" i="6"/>
  <c r="E257" i="6"/>
  <c r="F257" i="6"/>
  <c r="E256" i="6"/>
  <c r="F256" i="6"/>
  <c r="E255" i="6"/>
  <c r="F255" i="6"/>
  <c r="E254" i="6"/>
  <c r="F254" i="6"/>
  <c r="E253" i="6"/>
  <c r="F253" i="6"/>
  <c r="E252" i="6"/>
  <c r="F252" i="6"/>
  <c r="E251" i="6"/>
  <c r="F251" i="6"/>
  <c r="E250" i="6"/>
  <c r="F250" i="6"/>
  <c r="E249" i="6"/>
  <c r="F249" i="6"/>
  <c r="E248" i="6"/>
  <c r="F248" i="6"/>
  <c r="E247" i="6"/>
  <c r="F247" i="6"/>
  <c r="E246" i="6"/>
  <c r="F246" i="6"/>
  <c r="E245" i="6"/>
  <c r="F245" i="6"/>
  <c r="E244" i="6"/>
  <c r="F244" i="6"/>
  <c r="E243" i="6"/>
  <c r="F243" i="6"/>
  <c r="E242" i="6"/>
  <c r="F242" i="6"/>
  <c r="E241" i="6"/>
  <c r="F241" i="6"/>
  <c r="E240" i="6"/>
  <c r="F240" i="6"/>
  <c r="E239" i="6"/>
  <c r="F239" i="6"/>
  <c r="E238" i="6"/>
  <c r="F238" i="6"/>
  <c r="E237" i="6"/>
  <c r="F237" i="6"/>
  <c r="E236" i="6"/>
  <c r="F236" i="6"/>
  <c r="E235" i="6"/>
  <c r="F235" i="6"/>
  <c r="E234" i="6"/>
  <c r="F234" i="6"/>
  <c r="E233" i="6"/>
  <c r="F233" i="6"/>
  <c r="E232" i="6"/>
  <c r="F232" i="6"/>
  <c r="E231" i="6"/>
  <c r="F231" i="6"/>
  <c r="E230" i="6"/>
  <c r="F230" i="6"/>
  <c r="E229" i="6"/>
  <c r="F229" i="6"/>
  <c r="E228" i="6"/>
  <c r="F228" i="6"/>
  <c r="E227" i="6"/>
  <c r="F227" i="6"/>
  <c r="E226" i="6"/>
  <c r="F226" i="6"/>
  <c r="E225" i="6"/>
  <c r="F225" i="6"/>
  <c r="E224" i="6"/>
  <c r="F224" i="6"/>
  <c r="E223" i="6"/>
  <c r="F223" i="6"/>
  <c r="E222" i="6"/>
  <c r="F222" i="6"/>
  <c r="E221" i="6"/>
  <c r="F221" i="6"/>
  <c r="E220" i="6"/>
  <c r="F220" i="6"/>
  <c r="E219" i="6"/>
  <c r="F219" i="6"/>
  <c r="E218" i="6"/>
  <c r="F218" i="6"/>
  <c r="E217" i="6"/>
  <c r="F217" i="6"/>
  <c r="E216" i="6"/>
  <c r="F216" i="6"/>
  <c r="E215" i="6"/>
  <c r="F215" i="6"/>
  <c r="E214" i="6"/>
  <c r="F214" i="6"/>
  <c r="E213" i="6"/>
  <c r="F213" i="6"/>
  <c r="E212" i="6"/>
  <c r="F212" i="6"/>
  <c r="E211" i="6"/>
  <c r="F211" i="6"/>
  <c r="E210" i="6"/>
  <c r="F210" i="6"/>
  <c r="E209" i="6"/>
  <c r="F209" i="6"/>
  <c r="E208" i="6"/>
  <c r="F208" i="6"/>
  <c r="E207" i="6"/>
  <c r="F207" i="6"/>
  <c r="E206" i="6"/>
  <c r="F206" i="6"/>
  <c r="E205" i="6"/>
  <c r="F205" i="6"/>
  <c r="E204" i="6"/>
  <c r="F204" i="6"/>
  <c r="E203" i="6"/>
  <c r="F203" i="6"/>
  <c r="E202" i="6"/>
  <c r="F202" i="6"/>
  <c r="E201" i="6"/>
  <c r="F201" i="6"/>
  <c r="E200" i="6"/>
  <c r="F200" i="6"/>
  <c r="E199" i="6"/>
  <c r="F199" i="6"/>
  <c r="E198" i="6"/>
  <c r="F198" i="6"/>
  <c r="E197" i="6"/>
  <c r="F197" i="6"/>
  <c r="E196" i="6"/>
  <c r="F196" i="6"/>
  <c r="E195" i="6"/>
  <c r="F195" i="6"/>
  <c r="E194" i="6"/>
  <c r="F194" i="6"/>
  <c r="E193" i="6"/>
  <c r="F193" i="6"/>
  <c r="E192" i="6"/>
  <c r="F192" i="6"/>
  <c r="E191" i="6"/>
  <c r="F191" i="6"/>
  <c r="E190" i="6"/>
  <c r="F190" i="6"/>
  <c r="E189" i="6"/>
  <c r="F189" i="6"/>
  <c r="E188" i="6"/>
  <c r="F188" i="6"/>
  <c r="E187" i="6"/>
  <c r="F187" i="6"/>
  <c r="E186" i="6"/>
  <c r="F186" i="6"/>
  <c r="E185" i="6"/>
  <c r="F185" i="6"/>
  <c r="E184" i="6"/>
  <c r="F184" i="6"/>
  <c r="E183" i="6"/>
  <c r="F183" i="6"/>
  <c r="E182" i="6"/>
  <c r="F182" i="6"/>
  <c r="E181" i="6"/>
  <c r="F181" i="6"/>
  <c r="E180" i="6"/>
  <c r="F180" i="6"/>
  <c r="E179" i="6"/>
  <c r="F179" i="6"/>
  <c r="E178" i="6"/>
  <c r="F178" i="6"/>
  <c r="E177" i="6"/>
  <c r="F177" i="6"/>
  <c r="E176" i="6"/>
  <c r="F176" i="6"/>
  <c r="E175" i="6"/>
  <c r="F175" i="6"/>
  <c r="E174" i="6"/>
  <c r="F174" i="6"/>
  <c r="E173" i="6"/>
  <c r="F173" i="6"/>
  <c r="E172" i="6"/>
  <c r="F172" i="6"/>
  <c r="E171" i="6"/>
  <c r="F171" i="6"/>
  <c r="E170" i="6"/>
  <c r="F170" i="6"/>
  <c r="E169" i="6"/>
  <c r="F169" i="6"/>
  <c r="E168" i="6"/>
  <c r="F168" i="6"/>
  <c r="E167" i="6"/>
  <c r="F167" i="6"/>
  <c r="E166" i="6"/>
  <c r="F166" i="6"/>
  <c r="E165" i="6"/>
  <c r="F165" i="6"/>
  <c r="E164" i="6"/>
  <c r="F164" i="6"/>
  <c r="E163" i="6"/>
  <c r="F163" i="6"/>
  <c r="E162" i="6"/>
  <c r="F162" i="6"/>
  <c r="E161" i="6"/>
  <c r="F161" i="6"/>
  <c r="E160" i="6"/>
  <c r="F160" i="6"/>
  <c r="E159" i="6"/>
  <c r="F159" i="6"/>
  <c r="E158" i="6"/>
  <c r="F158" i="6"/>
  <c r="E157" i="6"/>
  <c r="F157" i="6"/>
  <c r="E156" i="6"/>
  <c r="F156" i="6"/>
  <c r="E155" i="6"/>
  <c r="F155" i="6"/>
  <c r="E154" i="6"/>
  <c r="F154" i="6"/>
  <c r="E153" i="6"/>
  <c r="F153" i="6"/>
  <c r="E152" i="6"/>
  <c r="F152" i="6"/>
  <c r="E151" i="6"/>
  <c r="F151" i="6"/>
  <c r="E150" i="6"/>
  <c r="F150" i="6"/>
  <c r="E149" i="6"/>
  <c r="F149" i="6"/>
  <c r="E148" i="6"/>
  <c r="F148" i="6"/>
  <c r="E147" i="6"/>
  <c r="F147" i="6"/>
  <c r="E146" i="6"/>
  <c r="F146" i="6"/>
  <c r="E145" i="6"/>
  <c r="F145" i="6"/>
  <c r="E144" i="6"/>
  <c r="F144" i="6"/>
  <c r="E143" i="6"/>
  <c r="F143" i="6"/>
  <c r="E142" i="6"/>
  <c r="F142" i="6"/>
  <c r="E141" i="6"/>
  <c r="F141" i="6"/>
  <c r="E140" i="6"/>
  <c r="F140" i="6"/>
  <c r="E139" i="6"/>
  <c r="F139" i="6"/>
  <c r="E138" i="6"/>
  <c r="F138" i="6"/>
  <c r="E137" i="6"/>
  <c r="F137" i="6"/>
  <c r="E136" i="6"/>
  <c r="F136" i="6"/>
  <c r="E135" i="6"/>
  <c r="F135" i="6"/>
  <c r="E134" i="6"/>
  <c r="F134" i="6"/>
  <c r="E133" i="6"/>
  <c r="F133" i="6"/>
  <c r="E132" i="6"/>
  <c r="F132" i="6"/>
  <c r="E131" i="6"/>
  <c r="F131" i="6"/>
  <c r="E130" i="6"/>
  <c r="F130" i="6"/>
  <c r="E129" i="6"/>
  <c r="F129" i="6"/>
  <c r="E128" i="6"/>
  <c r="F128" i="6"/>
  <c r="E127" i="6"/>
  <c r="F127" i="6"/>
  <c r="E126" i="6"/>
  <c r="F126" i="6"/>
  <c r="E125" i="6"/>
  <c r="F125" i="6"/>
  <c r="E124" i="6"/>
  <c r="F124" i="6"/>
  <c r="E123" i="6"/>
  <c r="F123" i="6"/>
  <c r="E122" i="6"/>
  <c r="F122" i="6"/>
  <c r="E121" i="6"/>
  <c r="F121" i="6"/>
  <c r="E120" i="6"/>
  <c r="F120" i="6"/>
  <c r="E119" i="6"/>
  <c r="F119" i="6"/>
  <c r="E118" i="6"/>
  <c r="F118" i="6"/>
  <c r="E117" i="6"/>
  <c r="F117" i="6"/>
  <c r="E116" i="6"/>
  <c r="F116" i="6"/>
  <c r="E115" i="6"/>
  <c r="F115" i="6"/>
  <c r="E114" i="6"/>
  <c r="F114" i="6"/>
  <c r="E113" i="6"/>
  <c r="F113" i="6"/>
  <c r="E112" i="6"/>
  <c r="F112" i="6"/>
  <c r="E111" i="6"/>
  <c r="F111" i="6"/>
  <c r="E110" i="6"/>
  <c r="F110" i="6"/>
  <c r="E109" i="6"/>
  <c r="F109" i="6"/>
  <c r="E108" i="6"/>
  <c r="F108" i="6"/>
  <c r="E107" i="6"/>
  <c r="F107" i="6"/>
  <c r="E106" i="6"/>
  <c r="F106" i="6"/>
  <c r="E105" i="6"/>
  <c r="F105" i="6"/>
  <c r="E104" i="6"/>
  <c r="F104" i="6"/>
  <c r="E103" i="6"/>
  <c r="F103" i="6"/>
  <c r="E102" i="6"/>
  <c r="F102" i="6"/>
  <c r="E101" i="6"/>
  <c r="F101" i="6"/>
  <c r="E100" i="6"/>
  <c r="F100" i="6"/>
  <c r="E99" i="6"/>
  <c r="F99" i="6"/>
  <c r="E98" i="6"/>
  <c r="F98" i="6"/>
  <c r="E97" i="6"/>
  <c r="F97" i="6"/>
  <c r="E96" i="6"/>
  <c r="F96" i="6"/>
  <c r="E95" i="6"/>
  <c r="F95" i="6"/>
  <c r="E94" i="6"/>
  <c r="F94" i="6"/>
  <c r="E93" i="6"/>
  <c r="F93" i="6"/>
  <c r="E92" i="6"/>
  <c r="F92" i="6"/>
  <c r="E91" i="6"/>
  <c r="F91" i="6"/>
  <c r="E90" i="6"/>
  <c r="F90" i="6"/>
  <c r="E89" i="6"/>
  <c r="F89" i="6"/>
  <c r="E88" i="6"/>
  <c r="F88" i="6"/>
  <c r="E87" i="6"/>
  <c r="F87" i="6"/>
  <c r="E86" i="6"/>
  <c r="F86" i="6"/>
  <c r="E85" i="6"/>
  <c r="F85" i="6"/>
  <c r="E84" i="6"/>
  <c r="F84" i="6"/>
  <c r="E83" i="6"/>
  <c r="F83" i="6"/>
  <c r="E82" i="6"/>
  <c r="F82" i="6"/>
  <c r="E81" i="6"/>
  <c r="F81" i="6"/>
  <c r="E80" i="6"/>
  <c r="F80" i="6"/>
  <c r="E79" i="6"/>
  <c r="F79" i="6"/>
  <c r="E78" i="6"/>
  <c r="F78" i="6"/>
  <c r="E77" i="6"/>
  <c r="F77" i="6"/>
  <c r="E76" i="6"/>
  <c r="F76" i="6"/>
  <c r="E75" i="6"/>
  <c r="F75" i="6"/>
  <c r="E74" i="6"/>
  <c r="F74" i="6"/>
  <c r="E73" i="6"/>
  <c r="F73" i="6"/>
  <c r="E72" i="6"/>
  <c r="F72" i="6"/>
  <c r="E71" i="6"/>
  <c r="F71" i="6"/>
  <c r="E70" i="6"/>
  <c r="F70" i="6"/>
  <c r="E69" i="6"/>
  <c r="F69" i="6"/>
  <c r="E68" i="6"/>
  <c r="F68" i="6"/>
  <c r="E67" i="6"/>
  <c r="F67" i="6"/>
  <c r="E66" i="6"/>
  <c r="F66" i="6"/>
  <c r="E65" i="6"/>
  <c r="F65" i="6"/>
  <c r="E64" i="6"/>
  <c r="F64" i="6"/>
  <c r="E63" i="6"/>
  <c r="F63" i="6"/>
  <c r="E62" i="6"/>
  <c r="F62" i="6"/>
  <c r="E61" i="6"/>
  <c r="F61" i="6"/>
  <c r="E60" i="6"/>
  <c r="F60" i="6"/>
  <c r="E59" i="6"/>
  <c r="F59" i="6"/>
  <c r="E58" i="6"/>
  <c r="F58" i="6"/>
  <c r="E57" i="6"/>
  <c r="F57" i="6"/>
  <c r="E56" i="6"/>
  <c r="F56" i="6"/>
  <c r="E55" i="6"/>
  <c r="F55" i="6"/>
  <c r="E54" i="6"/>
  <c r="F54" i="6"/>
  <c r="E53" i="6"/>
  <c r="F53" i="6"/>
  <c r="E52" i="6"/>
  <c r="F52" i="6"/>
  <c r="E51" i="6"/>
  <c r="F51" i="6"/>
  <c r="E50" i="6"/>
  <c r="F50" i="6"/>
  <c r="E49" i="6"/>
  <c r="F49" i="6"/>
  <c r="E48" i="6"/>
  <c r="F48" i="6"/>
  <c r="E47" i="6"/>
  <c r="F47" i="6"/>
  <c r="E46" i="6"/>
  <c r="F46" i="6"/>
  <c r="E45" i="6"/>
  <c r="F45" i="6"/>
  <c r="E44" i="6"/>
  <c r="F44" i="6"/>
  <c r="E43" i="6"/>
  <c r="F43" i="6"/>
  <c r="E42" i="6"/>
  <c r="F42" i="6"/>
  <c r="E41" i="6"/>
  <c r="F41" i="6"/>
  <c r="E40" i="6"/>
  <c r="F40" i="6"/>
  <c r="E39" i="6"/>
  <c r="F39" i="6"/>
  <c r="E38" i="6"/>
  <c r="F38" i="6"/>
  <c r="E37" i="6"/>
  <c r="F37" i="6"/>
  <c r="E36" i="6"/>
  <c r="F36" i="6"/>
  <c r="E35" i="6"/>
  <c r="F35" i="6"/>
  <c r="E34" i="6"/>
  <c r="F34" i="6"/>
  <c r="E33" i="6"/>
  <c r="F33" i="6"/>
  <c r="E32" i="6"/>
  <c r="F32" i="6"/>
  <c r="E31" i="6"/>
  <c r="F31" i="6"/>
  <c r="E30" i="6"/>
  <c r="F30" i="6"/>
  <c r="E29" i="6"/>
  <c r="F29" i="6"/>
  <c r="E28" i="6"/>
  <c r="F28" i="6"/>
  <c r="E27" i="6"/>
  <c r="F27" i="6"/>
  <c r="E26" i="6"/>
  <c r="F26" i="6"/>
  <c r="E25" i="6"/>
  <c r="F25" i="6"/>
  <c r="E24" i="6"/>
  <c r="F24" i="6"/>
  <c r="E23" i="6"/>
  <c r="F23" i="6"/>
  <c r="E22" i="6"/>
  <c r="F22" i="6"/>
  <c r="E21" i="6"/>
  <c r="F21" i="6"/>
  <c r="E20" i="6"/>
  <c r="F20" i="6"/>
  <c r="E19" i="6"/>
  <c r="F19" i="6"/>
  <c r="E18" i="6"/>
  <c r="F18" i="6"/>
  <c r="E17" i="6"/>
  <c r="F17" i="6"/>
  <c r="E16" i="6"/>
  <c r="F16" i="6"/>
  <c r="E15" i="6"/>
  <c r="F15" i="6"/>
  <c r="E14" i="6"/>
  <c r="F14" i="6"/>
  <c r="E13" i="6"/>
  <c r="F13" i="6"/>
  <c r="E12" i="6"/>
  <c r="F12" i="6"/>
  <c r="E11" i="6"/>
  <c r="F11" i="6"/>
  <c r="E10" i="6"/>
  <c r="F10" i="6"/>
  <c r="E9" i="6"/>
  <c r="F9" i="6"/>
  <c r="E8" i="6"/>
  <c r="F8" i="6"/>
  <c r="E7" i="6"/>
  <c r="F7" i="6"/>
  <c r="E6" i="6"/>
  <c r="F6" i="6"/>
  <c r="E5" i="6"/>
  <c r="F5" i="6"/>
  <c r="E4" i="6"/>
  <c r="F4" i="6"/>
  <c r="E3" i="6"/>
  <c r="F3" i="6"/>
  <c r="F2" i="6"/>
  <c r="E2" i="6"/>
  <c r="P2" i="6"/>
  <c r="R2" i="6" s="1"/>
  <c r="G2" i="6" l="1"/>
  <c r="G31" i="6"/>
  <c r="G159" i="6"/>
  <c r="G295" i="6"/>
  <c r="G431" i="6"/>
  <c r="G543" i="6"/>
  <c r="G679" i="6"/>
  <c r="G799" i="6"/>
  <c r="G40" i="6"/>
  <c r="G104" i="6"/>
  <c r="G168" i="6"/>
  <c r="G232" i="6"/>
  <c r="G296" i="6"/>
  <c r="G360" i="6"/>
  <c r="G424" i="6"/>
  <c r="G488" i="6"/>
  <c r="G552" i="6"/>
  <c r="G616" i="6"/>
  <c r="G680" i="6"/>
  <c r="G744" i="6"/>
  <c r="G23" i="6"/>
  <c r="G151" i="6"/>
  <c r="G271" i="6"/>
  <c r="G391" i="6"/>
  <c r="G535" i="6"/>
  <c r="G655" i="6"/>
  <c r="G791" i="6"/>
  <c r="G879" i="6"/>
  <c r="G19" i="6"/>
  <c r="G83" i="6"/>
  <c r="G147" i="6"/>
  <c r="G211" i="6"/>
  <c r="G275" i="6"/>
  <c r="G339" i="6"/>
  <c r="G403" i="6"/>
  <c r="G467" i="6"/>
  <c r="G531" i="6"/>
  <c r="G595" i="6"/>
  <c r="G659" i="6"/>
  <c r="G723" i="6"/>
  <c r="G787" i="6"/>
  <c r="G204" i="6"/>
  <c r="G460" i="6"/>
  <c r="G84" i="6"/>
  <c r="G252" i="6"/>
  <c r="G420" i="6"/>
  <c r="G580" i="6"/>
  <c r="G724" i="6"/>
  <c r="G852" i="6"/>
  <c r="G980" i="6"/>
  <c r="G1116" i="6"/>
  <c r="G1324" i="6"/>
  <c r="G1452" i="6"/>
  <c r="G1548" i="6"/>
  <c r="G1652" i="6"/>
  <c r="G1780" i="6"/>
  <c r="G1916" i="6"/>
  <c r="G2052" i="6"/>
  <c r="G36" i="6"/>
  <c r="G47" i="6"/>
  <c r="G175" i="6"/>
  <c r="G311" i="6"/>
  <c r="G447" i="6"/>
  <c r="G559" i="6"/>
  <c r="G687" i="6"/>
  <c r="G815" i="6"/>
  <c r="G48" i="6"/>
  <c r="G112" i="6"/>
  <c r="G176" i="6"/>
  <c r="G240" i="6"/>
  <c r="G304" i="6"/>
  <c r="G368" i="6"/>
  <c r="G432" i="6"/>
  <c r="G496" i="6"/>
  <c r="G560" i="6"/>
  <c r="G624" i="6"/>
  <c r="G688" i="6"/>
  <c r="G752" i="6"/>
  <c r="G39" i="6"/>
  <c r="G167" i="6"/>
  <c r="G287" i="6"/>
  <c r="G407" i="6"/>
  <c r="G551" i="6"/>
  <c r="G671" i="6"/>
  <c r="G807" i="6"/>
  <c r="G887" i="6"/>
  <c r="G27" i="6"/>
  <c r="G91" i="6"/>
  <c r="G155" i="6"/>
  <c r="G219" i="6"/>
  <c r="G283" i="6"/>
  <c r="G347" i="6"/>
  <c r="G411" i="6"/>
  <c r="G475" i="6"/>
  <c r="G539" i="6"/>
  <c r="G603" i="6"/>
  <c r="G667" i="6"/>
  <c r="G731" i="6"/>
  <c r="G795" i="6"/>
  <c r="G236" i="6"/>
  <c r="G500" i="6"/>
  <c r="G100" i="6"/>
  <c r="G276" i="6"/>
  <c r="G444" i="6"/>
  <c r="G596" i="6"/>
  <c r="G740" i="6"/>
  <c r="G868" i="6"/>
  <c r="G996" i="6"/>
  <c r="G1156" i="6"/>
  <c r="G1340" i="6"/>
  <c r="G1468" i="6"/>
  <c r="G1556" i="6"/>
  <c r="G1668" i="6"/>
  <c r="G1796" i="6"/>
  <c r="G1932" i="6"/>
  <c r="G2068" i="6"/>
  <c r="G52" i="6"/>
  <c r="G220" i="6"/>
  <c r="G396" i="6"/>
  <c r="G548" i="6"/>
  <c r="G676" i="6"/>
  <c r="G812" i="6"/>
  <c r="G940" i="6"/>
  <c r="G1060" i="6"/>
  <c r="G1172" i="6"/>
  <c r="G1260" i="6"/>
  <c r="G1380" i="6"/>
  <c r="G1516" i="6"/>
  <c r="G1692" i="6"/>
  <c r="G1812" i="6"/>
  <c r="G1940" i="6"/>
  <c r="G2060" i="6"/>
  <c r="G951" i="6"/>
  <c r="G1015" i="6"/>
  <c r="G1079" i="6"/>
  <c r="G1143" i="6"/>
  <c r="G1207" i="6"/>
  <c r="G1271" i="6"/>
  <c r="G1335" i="6"/>
  <c r="G1399" i="6"/>
  <c r="G1463" i="6"/>
  <c r="G1527" i="6"/>
  <c r="G1591" i="6"/>
  <c r="G1655" i="6"/>
  <c r="G1719" i="6"/>
  <c r="G63" i="6"/>
  <c r="G191" i="6"/>
  <c r="G327" i="6"/>
  <c r="G463" i="6"/>
  <c r="G575" i="6"/>
  <c r="G703" i="6"/>
  <c r="G839" i="6"/>
  <c r="G56" i="6"/>
  <c r="G120" i="6"/>
  <c r="G184" i="6"/>
  <c r="G248" i="6"/>
  <c r="G312" i="6"/>
  <c r="G376" i="6"/>
  <c r="G440" i="6"/>
  <c r="G504" i="6"/>
  <c r="G568" i="6"/>
  <c r="G632" i="6"/>
  <c r="G696" i="6"/>
  <c r="G760" i="6"/>
  <c r="G55" i="6"/>
  <c r="G183" i="6"/>
  <c r="G303" i="6"/>
  <c r="G423" i="6"/>
  <c r="G567" i="6"/>
  <c r="G695" i="6"/>
  <c r="G823" i="6"/>
  <c r="G895" i="6"/>
  <c r="G35" i="6"/>
  <c r="G99" i="6"/>
  <c r="G163" i="6"/>
  <c r="G227" i="6"/>
  <c r="G291" i="6"/>
  <c r="G355" i="6"/>
  <c r="G419" i="6"/>
  <c r="G483" i="6"/>
  <c r="G547" i="6"/>
  <c r="G611" i="6"/>
  <c r="G675" i="6"/>
  <c r="G739" i="6"/>
  <c r="G4" i="6"/>
  <c r="G268" i="6"/>
  <c r="G564" i="6"/>
  <c r="G124" i="6"/>
  <c r="G292" i="6"/>
  <c r="G468" i="6"/>
  <c r="G612" i="6"/>
  <c r="G756" i="6"/>
  <c r="G884" i="6"/>
  <c r="G1020" i="6"/>
  <c r="G1220" i="6"/>
  <c r="G1356" i="6"/>
  <c r="G1484" i="6"/>
  <c r="G1564" i="6"/>
  <c r="G1684" i="6"/>
  <c r="G1820" i="6"/>
  <c r="G1956" i="6"/>
  <c r="G2092" i="6"/>
  <c r="G76" i="6"/>
  <c r="G244" i="6"/>
  <c r="G412" i="6"/>
  <c r="G572" i="6"/>
  <c r="G692" i="6"/>
  <c r="G828" i="6"/>
  <c r="G956" i="6"/>
  <c r="G1076" i="6"/>
  <c r="G1180" i="6"/>
  <c r="G1276" i="6"/>
  <c r="G1396" i="6"/>
  <c r="G1572" i="6"/>
  <c r="G1708" i="6"/>
  <c r="G1828" i="6"/>
  <c r="G1948" i="6"/>
  <c r="G2076" i="6"/>
  <c r="G959" i="6"/>
  <c r="G1023" i="6"/>
  <c r="G1087" i="6"/>
  <c r="G1151" i="6"/>
  <c r="G1215" i="6"/>
  <c r="G1279" i="6"/>
  <c r="G1343" i="6"/>
  <c r="G1407" i="6"/>
  <c r="G1471" i="6"/>
  <c r="G1535" i="6"/>
  <c r="G1599" i="6"/>
  <c r="G1663" i="6"/>
  <c r="G79" i="6"/>
  <c r="G207" i="6"/>
  <c r="G343" i="6"/>
  <c r="G471" i="6"/>
  <c r="G599" i="6"/>
  <c r="G719" i="6"/>
  <c r="G919" i="6"/>
  <c r="G64" i="6"/>
  <c r="G128" i="6"/>
  <c r="G192" i="6"/>
  <c r="G256" i="6"/>
  <c r="G320" i="6"/>
  <c r="G384" i="6"/>
  <c r="G448" i="6"/>
  <c r="G512" i="6"/>
  <c r="G576" i="6"/>
  <c r="G640" i="6"/>
  <c r="G704" i="6"/>
  <c r="G768" i="6"/>
  <c r="G71" i="6"/>
  <c r="G199" i="6"/>
  <c r="G319" i="6"/>
  <c r="G439" i="6"/>
  <c r="G583" i="6"/>
  <c r="G711" i="6"/>
  <c r="G831" i="6"/>
  <c r="G903" i="6"/>
  <c r="G43" i="6"/>
  <c r="G107" i="6"/>
  <c r="G171" i="6"/>
  <c r="G235" i="6"/>
  <c r="G299" i="6"/>
  <c r="G363" i="6"/>
  <c r="G427" i="6"/>
  <c r="G491" i="6"/>
  <c r="G555" i="6"/>
  <c r="G935" i="6"/>
  <c r="G263" i="6"/>
  <c r="G519" i="6"/>
  <c r="G767" i="6"/>
  <c r="G88" i="6"/>
  <c r="G216" i="6"/>
  <c r="G344" i="6"/>
  <c r="G472" i="6"/>
  <c r="G600" i="6"/>
  <c r="G728" i="6"/>
  <c r="G119" i="6"/>
  <c r="G367" i="6"/>
  <c r="G623" i="6"/>
  <c r="G863" i="6"/>
  <c r="G67" i="6"/>
  <c r="G195" i="6"/>
  <c r="G323" i="6"/>
  <c r="G451" i="6"/>
  <c r="G579" i="6"/>
  <c r="G691" i="6"/>
  <c r="G779" i="6"/>
  <c r="G364" i="6"/>
  <c r="G148" i="6"/>
  <c r="G380" i="6"/>
  <c r="G652" i="6"/>
  <c r="G836" i="6"/>
  <c r="G1068" i="6"/>
  <c r="G1372" i="6"/>
  <c r="G1532" i="6"/>
  <c r="G1716" i="6"/>
  <c r="G1900" i="6"/>
  <c r="G2140" i="6"/>
  <c r="G196" i="6"/>
  <c r="G452" i="6"/>
  <c r="G628" i="6"/>
  <c r="G796" i="6"/>
  <c r="G988" i="6"/>
  <c r="G1140" i="6"/>
  <c r="G1244" i="6"/>
  <c r="G1428" i="6"/>
  <c r="G1644" i="6"/>
  <c r="G1804" i="6"/>
  <c r="G1980" i="6"/>
  <c r="G2132" i="6"/>
  <c r="G1007" i="6"/>
  <c r="G1103" i="6"/>
  <c r="G1183" i="6"/>
  <c r="G1263" i="6"/>
  <c r="G1359" i="6"/>
  <c r="G1439" i="6"/>
  <c r="G1519" i="6"/>
  <c r="G1615" i="6"/>
  <c r="G1695" i="6"/>
  <c r="G1767" i="6"/>
  <c r="G1831" i="6"/>
  <c r="G1895" i="6"/>
  <c r="G1959" i="6"/>
  <c r="G2023" i="6"/>
  <c r="G2087" i="6"/>
  <c r="G2151" i="6"/>
  <c r="G859" i="6"/>
  <c r="G923" i="6"/>
  <c r="G987" i="6"/>
  <c r="G1051" i="6"/>
  <c r="G1115" i="6"/>
  <c r="G1179" i="6"/>
  <c r="G1243" i="6"/>
  <c r="G1307" i="6"/>
  <c r="G1371" i="6"/>
  <c r="G1435" i="6"/>
  <c r="G1499" i="6"/>
  <c r="G1563" i="6"/>
  <c r="G1627" i="6"/>
  <c r="G1691" i="6"/>
  <c r="G1755" i="6"/>
  <c r="G1819" i="6"/>
  <c r="G1883" i="6"/>
  <c r="G1947" i="6"/>
  <c r="G2011" i="6"/>
  <c r="G2075" i="6"/>
  <c r="G2139" i="6"/>
  <c r="G840" i="6"/>
  <c r="G904" i="6"/>
  <c r="G968" i="6"/>
  <c r="G1032" i="6"/>
  <c r="G1096" i="6"/>
  <c r="G1160" i="6"/>
  <c r="G1224" i="6"/>
  <c r="G1288" i="6"/>
  <c r="G1352" i="6"/>
  <c r="G1416" i="6"/>
  <c r="G1480" i="6"/>
  <c r="G1544" i="6"/>
  <c r="G1608" i="6"/>
  <c r="G1672" i="6"/>
  <c r="G1736" i="6"/>
  <c r="G1800" i="6"/>
  <c r="G1864" i="6"/>
  <c r="G1928" i="6"/>
  <c r="G1992" i="6"/>
  <c r="G2056" i="6"/>
  <c r="G2120" i="6"/>
  <c r="G33" i="6"/>
  <c r="G97" i="6"/>
  <c r="G161" i="6"/>
  <c r="G225" i="6"/>
  <c r="G289" i="6"/>
  <c r="G353" i="6"/>
  <c r="G417" i="6"/>
  <c r="G481" i="6"/>
  <c r="G545" i="6"/>
  <c r="G609" i="6"/>
  <c r="G673" i="6"/>
  <c r="G737" i="6"/>
  <c r="G801" i="6"/>
  <c r="G865" i="6"/>
  <c r="G929" i="6"/>
  <c r="G993" i="6"/>
  <c r="G1057" i="6"/>
  <c r="G1121" i="6"/>
  <c r="G1185" i="6"/>
  <c r="G1249" i="6"/>
  <c r="G1313" i="6"/>
  <c r="G1377" i="6"/>
  <c r="G1441" i="6"/>
  <c r="G61" i="6"/>
  <c r="G125" i="6"/>
  <c r="G189" i="6"/>
  <c r="G253" i="6"/>
  <c r="G317" i="6"/>
  <c r="G381" i="6"/>
  <c r="G445" i="6"/>
  <c r="G509" i="6"/>
  <c r="G573" i="6"/>
  <c r="G637" i="6"/>
  <c r="G701" i="6"/>
  <c r="G765" i="6"/>
  <c r="G829" i="6"/>
  <c r="G893" i="6"/>
  <c r="G957" i="6"/>
  <c r="G1021" i="6"/>
  <c r="G1085" i="6"/>
  <c r="G1149" i="6"/>
  <c r="G1213" i="6"/>
  <c r="G1277" i="6"/>
  <c r="G14" i="6"/>
  <c r="G78" i="6"/>
  <c r="G142" i="6"/>
  <c r="G66" i="6"/>
  <c r="G130" i="6"/>
  <c r="G194" i="6"/>
  <c r="G258" i="6"/>
  <c r="G322" i="6"/>
  <c r="G386" i="6"/>
  <c r="G450" i="6"/>
  <c r="G514" i="6"/>
  <c r="G578" i="6"/>
  <c r="G642" i="6"/>
  <c r="G706" i="6"/>
  <c r="G770" i="6"/>
  <c r="G190" i="6"/>
  <c r="G254" i="6"/>
  <c r="G318" i="6"/>
  <c r="G382" i="6"/>
  <c r="G446" i="6"/>
  <c r="G510" i="6"/>
  <c r="G574" i="6"/>
  <c r="G638" i="6"/>
  <c r="G702" i="6"/>
  <c r="G766" i="6"/>
  <c r="G15" i="6"/>
  <c r="G279" i="6"/>
  <c r="G527" i="6"/>
  <c r="G783" i="6"/>
  <c r="G96" i="6"/>
  <c r="G224" i="6"/>
  <c r="G352" i="6"/>
  <c r="G480" i="6"/>
  <c r="G608" i="6"/>
  <c r="G736" i="6"/>
  <c r="G135" i="6"/>
  <c r="G383" i="6"/>
  <c r="G639" i="6"/>
  <c r="G871" i="6"/>
  <c r="G75" i="6"/>
  <c r="G203" i="6"/>
  <c r="G331" i="6"/>
  <c r="G459" i="6"/>
  <c r="G587" i="6"/>
  <c r="G699" i="6"/>
  <c r="G44" i="6"/>
  <c r="G388" i="6"/>
  <c r="G164" i="6"/>
  <c r="G404" i="6"/>
  <c r="G668" i="6"/>
  <c r="G900" i="6"/>
  <c r="G1084" i="6"/>
  <c r="G1388" i="6"/>
  <c r="G1540" i="6"/>
  <c r="G95" i="6"/>
  <c r="G359" i="6"/>
  <c r="G615" i="6"/>
  <c r="G8" i="6"/>
  <c r="G136" i="6"/>
  <c r="G264" i="6"/>
  <c r="G392" i="6"/>
  <c r="G520" i="6"/>
  <c r="G648" i="6"/>
  <c r="G776" i="6"/>
  <c r="G215" i="6"/>
  <c r="G455" i="6"/>
  <c r="G727" i="6"/>
  <c r="G911" i="6"/>
  <c r="G115" i="6"/>
  <c r="G243" i="6"/>
  <c r="G371" i="6"/>
  <c r="G499" i="6"/>
  <c r="G619" i="6"/>
  <c r="G707" i="6"/>
  <c r="G68" i="6"/>
  <c r="G428" i="6"/>
  <c r="G188" i="6"/>
  <c r="G484" i="6"/>
  <c r="G684" i="6"/>
  <c r="G916" i="6"/>
  <c r="G1100" i="6"/>
  <c r="G1404" i="6"/>
  <c r="G1580" i="6"/>
  <c r="G1756" i="6"/>
  <c r="G1988" i="6"/>
  <c r="G12" i="6"/>
  <c r="G284" i="6"/>
  <c r="G492" i="6"/>
  <c r="G660" i="6"/>
  <c r="G860" i="6"/>
  <c r="G1012" i="6"/>
  <c r="G1164" i="6"/>
  <c r="G1300" i="6"/>
  <c r="G1460" i="6"/>
  <c r="G1676" i="6"/>
  <c r="G1860" i="6"/>
  <c r="G2012" i="6"/>
  <c r="G943" i="6"/>
  <c r="G1039" i="6"/>
  <c r="G1119" i="6"/>
  <c r="G1199" i="6"/>
  <c r="G1295" i="6"/>
  <c r="G1375" i="6"/>
  <c r="G1455" i="6"/>
  <c r="G1551" i="6"/>
  <c r="G1631" i="6"/>
  <c r="G1711" i="6"/>
  <c r="G1783" i="6"/>
  <c r="G1847" i="6"/>
  <c r="G1911" i="6"/>
  <c r="G1975" i="6"/>
  <c r="G2039" i="6"/>
  <c r="G2103" i="6"/>
  <c r="G811" i="6"/>
  <c r="G875" i="6"/>
  <c r="G939" i="6"/>
  <c r="G1003" i="6"/>
  <c r="G1067" i="6"/>
  <c r="G1131" i="6"/>
  <c r="G1195" i="6"/>
  <c r="G1259" i="6"/>
  <c r="G1323" i="6"/>
  <c r="G1387" i="6"/>
  <c r="G1451" i="6"/>
  <c r="G1515" i="6"/>
  <c r="G1579" i="6"/>
  <c r="G1643" i="6"/>
  <c r="G1707" i="6"/>
  <c r="G1771" i="6"/>
  <c r="G1835" i="6"/>
  <c r="G1899" i="6"/>
  <c r="G1963" i="6"/>
  <c r="G2027" i="6"/>
  <c r="G2091" i="6"/>
  <c r="G2155" i="6"/>
  <c r="G856" i="6"/>
  <c r="G920" i="6"/>
  <c r="G984" i="6"/>
  <c r="G1048" i="6"/>
  <c r="G1112" i="6"/>
  <c r="G1176" i="6"/>
  <c r="G1240" i="6"/>
  <c r="G1304" i="6"/>
  <c r="G1368" i="6"/>
  <c r="G1432" i="6"/>
  <c r="G1496" i="6"/>
  <c r="G1560" i="6"/>
  <c r="G1624" i="6"/>
  <c r="G1688" i="6"/>
  <c r="G1752" i="6"/>
  <c r="G1816" i="6"/>
  <c r="G1880" i="6"/>
  <c r="G1944" i="6"/>
  <c r="G2008" i="6"/>
  <c r="G2072" i="6"/>
  <c r="G2136" i="6"/>
  <c r="G49" i="6"/>
  <c r="G113" i="6"/>
  <c r="G177" i="6"/>
  <c r="G241" i="6"/>
  <c r="G305" i="6"/>
  <c r="G369" i="6"/>
  <c r="G433" i="6"/>
  <c r="G497" i="6"/>
  <c r="G561" i="6"/>
  <c r="G625" i="6"/>
  <c r="G689" i="6"/>
  <c r="G753" i="6"/>
  <c r="G817" i="6"/>
  <c r="G881" i="6"/>
  <c r="G945" i="6"/>
  <c r="G1009" i="6"/>
  <c r="G1073" i="6"/>
  <c r="G1137" i="6"/>
  <c r="G1201" i="6"/>
  <c r="G1265" i="6"/>
  <c r="G1329" i="6"/>
  <c r="G1393" i="6"/>
  <c r="G13" i="6"/>
  <c r="G77" i="6"/>
  <c r="G141" i="6"/>
  <c r="G205" i="6"/>
  <c r="G269" i="6"/>
  <c r="G333" i="6"/>
  <c r="G397" i="6"/>
  <c r="G461" i="6"/>
  <c r="G525" i="6"/>
  <c r="G589" i="6"/>
  <c r="G653" i="6"/>
  <c r="G717" i="6"/>
  <c r="G781" i="6"/>
  <c r="G111" i="6"/>
  <c r="G375" i="6"/>
  <c r="G631" i="6"/>
  <c r="G16" i="6"/>
  <c r="G144" i="6"/>
  <c r="G272" i="6"/>
  <c r="G400" i="6"/>
  <c r="G528" i="6"/>
  <c r="G656" i="6"/>
  <c r="G784" i="6"/>
  <c r="G223" i="6"/>
  <c r="G479" i="6"/>
  <c r="G743" i="6"/>
  <c r="G927" i="6"/>
  <c r="G123" i="6"/>
  <c r="G251" i="6"/>
  <c r="G379" i="6"/>
  <c r="G507" i="6"/>
  <c r="G627" i="6"/>
  <c r="G715" i="6"/>
  <c r="G108" i="6"/>
  <c r="G708" i="6"/>
  <c r="G212" i="6"/>
  <c r="G508" i="6"/>
  <c r="G700" i="6"/>
  <c r="G932" i="6"/>
  <c r="G1236" i="6"/>
  <c r="G1420" i="6"/>
  <c r="G1596" i="6"/>
  <c r="G1764" i="6"/>
  <c r="G2004" i="6"/>
  <c r="G92" i="6"/>
  <c r="G308" i="6"/>
  <c r="G516" i="6"/>
  <c r="G716" i="6"/>
  <c r="G876" i="6"/>
  <c r="G1028" i="6"/>
  <c r="G1188" i="6"/>
  <c r="G1316" i="6"/>
  <c r="G1476" i="6"/>
  <c r="G1724" i="6"/>
  <c r="G1876" i="6"/>
  <c r="G2028" i="6"/>
  <c r="G967" i="6"/>
  <c r="G1047" i="6"/>
  <c r="G1127" i="6"/>
  <c r="G1223" i="6"/>
  <c r="G1303" i="6"/>
  <c r="G1383" i="6"/>
  <c r="G1479" i="6"/>
  <c r="G1559" i="6"/>
  <c r="G1639" i="6"/>
  <c r="G1727" i="6"/>
  <c r="G1791" i="6"/>
  <c r="G1855" i="6"/>
  <c r="G1919" i="6"/>
  <c r="G1983" i="6"/>
  <c r="G2047" i="6"/>
  <c r="G2111" i="6"/>
  <c r="G819" i="6"/>
  <c r="G883" i="6"/>
  <c r="G947" i="6"/>
  <c r="G1011" i="6"/>
  <c r="G1075" i="6"/>
  <c r="G1139" i="6"/>
  <c r="G1203" i="6"/>
  <c r="G1267" i="6"/>
  <c r="G1331" i="6"/>
  <c r="G1395" i="6"/>
  <c r="G1459" i="6"/>
  <c r="G1523" i="6"/>
  <c r="G1587" i="6"/>
  <c r="G1651" i="6"/>
  <c r="G1715" i="6"/>
  <c r="G1779" i="6"/>
  <c r="G1843" i="6"/>
  <c r="G1907" i="6"/>
  <c r="G1971" i="6"/>
  <c r="G2035" i="6"/>
  <c r="G2099" i="6"/>
  <c r="G800" i="6"/>
  <c r="G864" i="6"/>
  <c r="G928" i="6"/>
  <c r="G992" i="6"/>
  <c r="G1056" i="6"/>
  <c r="G1120" i="6"/>
  <c r="G1184" i="6"/>
  <c r="G1248" i="6"/>
  <c r="G1312" i="6"/>
  <c r="G1376" i="6"/>
  <c r="G1440" i="6"/>
  <c r="G1504" i="6"/>
  <c r="G1568" i="6"/>
  <c r="G1632" i="6"/>
  <c r="G1696" i="6"/>
  <c r="G1760" i="6"/>
  <c r="G1824" i="6"/>
  <c r="G1888" i="6"/>
  <c r="G1952" i="6"/>
  <c r="G2016" i="6"/>
  <c r="G2080" i="6"/>
  <c r="G2144" i="6"/>
  <c r="G57" i="6"/>
  <c r="G121" i="6"/>
  <c r="G185" i="6"/>
  <c r="G249" i="6"/>
  <c r="G313" i="6"/>
  <c r="G377" i="6"/>
  <c r="G441" i="6"/>
  <c r="G505" i="6"/>
  <c r="G569" i="6"/>
  <c r="G633" i="6"/>
  <c r="G697" i="6"/>
  <c r="G761" i="6"/>
  <c r="G825" i="6"/>
  <c r="G889" i="6"/>
  <c r="G953" i="6"/>
  <c r="G1017" i="6"/>
  <c r="G1081" i="6"/>
  <c r="G1145" i="6"/>
  <c r="G1209" i="6"/>
  <c r="G1273" i="6"/>
  <c r="G1337" i="6"/>
  <c r="G1401" i="6"/>
  <c r="G21" i="6"/>
  <c r="G85" i="6"/>
  <c r="G149" i="6"/>
  <c r="G213" i="6"/>
  <c r="G277" i="6"/>
  <c r="G341" i="6"/>
  <c r="G405" i="6"/>
  <c r="G469" i="6"/>
  <c r="G533" i="6"/>
  <c r="G597" i="6"/>
  <c r="G661" i="6"/>
  <c r="G725" i="6"/>
  <c r="G789" i="6"/>
  <c r="G853" i="6"/>
  <c r="G917" i="6"/>
  <c r="G981" i="6"/>
  <c r="G1045" i="6"/>
  <c r="G1109" i="6"/>
  <c r="G1173" i="6"/>
  <c r="G1237" i="6"/>
  <c r="G1301" i="6"/>
  <c r="G38" i="6"/>
  <c r="G102" i="6"/>
  <c r="G26" i="6"/>
  <c r="G90" i="6"/>
  <c r="G154" i="6"/>
  <c r="G218" i="6"/>
  <c r="G282" i="6"/>
  <c r="G346" i="6"/>
  <c r="G410" i="6"/>
  <c r="G474" i="6"/>
  <c r="G538" i="6"/>
  <c r="G602" i="6"/>
  <c r="G666" i="6"/>
  <c r="G730" i="6"/>
  <c r="G150" i="6"/>
  <c r="G214" i="6"/>
  <c r="G278" i="6"/>
  <c r="G342" i="6"/>
  <c r="G406" i="6"/>
  <c r="G470" i="6"/>
  <c r="G534" i="6"/>
  <c r="G598" i="6"/>
  <c r="G662" i="6"/>
  <c r="G726" i="6"/>
  <c r="G790" i="6"/>
  <c r="G854" i="6"/>
  <c r="G127" i="6"/>
  <c r="G399" i="6"/>
  <c r="G647" i="6"/>
  <c r="G24" i="6"/>
  <c r="G152" i="6"/>
  <c r="G280" i="6"/>
  <c r="G408" i="6"/>
  <c r="G536" i="6"/>
  <c r="G664" i="6"/>
  <c r="G792" i="6"/>
  <c r="G239" i="6"/>
  <c r="G495" i="6"/>
  <c r="G759" i="6"/>
  <c r="G3" i="6"/>
  <c r="G131" i="6"/>
  <c r="G259" i="6"/>
  <c r="G387" i="6"/>
  <c r="G515" i="6"/>
  <c r="G635" i="6"/>
  <c r="G747" i="6"/>
  <c r="G132" i="6"/>
  <c r="G1132" i="6"/>
  <c r="G228" i="6"/>
  <c r="G524" i="6"/>
  <c r="G772" i="6"/>
  <c r="G948" i="6"/>
  <c r="G1252" i="6"/>
  <c r="G1436" i="6"/>
  <c r="G1604" i="6"/>
  <c r="G1836" i="6"/>
  <c r="G2020" i="6"/>
  <c r="G116" i="6"/>
  <c r="G324" i="6"/>
  <c r="G532" i="6"/>
  <c r="G732" i="6"/>
  <c r="G892" i="6"/>
  <c r="G1044" i="6"/>
  <c r="G1196" i="6"/>
  <c r="G1332" i="6"/>
  <c r="G1492" i="6"/>
  <c r="G1732" i="6"/>
  <c r="G1892" i="6"/>
  <c r="G2044" i="6"/>
  <c r="G975" i="6"/>
  <c r="G1055" i="6"/>
  <c r="G1135" i="6"/>
  <c r="G1231" i="6"/>
  <c r="G1311" i="6"/>
  <c r="G1391" i="6"/>
  <c r="G1487" i="6"/>
  <c r="G1567" i="6"/>
  <c r="G1647" i="6"/>
  <c r="G1735" i="6"/>
  <c r="G1799" i="6"/>
  <c r="G1863" i="6"/>
  <c r="G1927" i="6"/>
  <c r="G1991" i="6"/>
  <c r="G2055" i="6"/>
  <c r="G2119" i="6"/>
  <c r="G827" i="6"/>
  <c r="G891" i="6"/>
  <c r="G955" i="6"/>
  <c r="G1019" i="6"/>
  <c r="G1083" i="6"/>
  <c r="G1147" i="6"/>
  <c r="G1211" i="6"/>
  <c r="G1275" i="6"/>
  <c r="G1339" i="6"/>
  <c r="G1403" i="6"/>
  <c r="G1467" i="6"/>
  <c r="G1531" i="6"/>
  <c r="G1595" i="6"/>
  <c r="G1659" i="6"/>
  <c r="G1723" i="6"/>
  <c r="G1787" i="6"/>
  <c r="G1851" i="6"/>
  <c r="G1915" i="6"/>
  <c r="G1979" i="6"/>
  <c r="G2043" i="6"/>
  <c r="G2107" i="6"/>
  <c r="G808" i="6"/>
  <c r="G872" i="6"/>
  <c r="G936" i="6"/>
  <c r="G1000" i="6"/>
  <c r="G1064" i="6"/>
  <c r="G1128" i="6"/>
  <c r="G1192" i="6"/>
  <c r="G1256" i="6"/>
  <c r="G1320" i="6"/>
  <c r="G1384" i="6"/>
  <c r="G1448" i="6"/>
  <c r="G1512" i="6"/>
  <c r="G1576" i="6"/>
  <c r="G1640" i="6"/>
  <c r="G1704" i="6"/>
  <c r="G1768" i="6"/>
  <c r="G1832" i="6"/>
  <c r="G1896" i="6"/>
  <c r="G1960" i="6"/>
  <c r="G2024" i="6"/>
  <c r="G2088" i="6"/>
  <c r="G2152" i="6"/>
  <c r="G65" i="6"/>
  <c r="G129" i="6"/>
  <c r="G193" i="6"/>
  <c r="G257" i="6"/>
  <c r="G321" i="6"/>
  <c r="G385" i="6"/>
  <c r="G449" i="6"/>
  <c r="G513" i="6"/>
  <c r="G577" i="6"/>
  <c r="G641" i="6"/>
  <c r="G705" i="6"/>
  <c r="G769" i="6"/>
  <c r="G833" i="6"/>
  <c r="G897" i="6"/>
  <c r="G961" i="6"/>
  <c r="G1025" i="6"/>
  <c r="G1089" i="6"/>
  <c r="G1153" i="6"/>
  <c r="G1217" i="6"/>
  <c r="G1281" i="6"/>
  <c r="G1345" i="6"/>
  <c r="G1409" i="6"/>
  <c r="G29" i="6"/>
  <c r="G93" i="6"/>
  <c r="G157" i="6"/>
  <c r="G221" i="6"/>
  <c r="G285" i="6"/>
  <c r="G349" i="6"/>
  <c r="G413" i="6"/>
  <c r="G477" i="6"/>
  <c r="G541" i="6"/>
  <c r="G143" i="6"/>
  <c r="G415" i="6"/>
  <c r="G663" i="6"/>
  <c r="G32" i="6"/>
  <c r="G160" i="6"/>
  <c r="G288" i="6"/>
  <c r="G416" i="6"/>
  <c r="G544" i="6"/>
  <c r="G672" i="6"/>
  <c r="G7" i="6"/>
  <c r="G255" i="6"/>
  <c r="G511" i="6"/>
  <c r="G775" i="6"/>
  <c r="G11" i="6"/>
  <c r="G139" i="6"/>
  <c r="G267" i="6"/>
  <c r="G395" i="6"/>
  <c r="G523" i="6"/>
  <c r="G643" i="6"/>
  <c r="G755" i="6"/>
  <c r="G172" i="6"/>
  <c r="G20" i="6"/>
  <c r="G316" i="6"/>
  <c r="G540" i="6"/>
  <c r="G788" i="6"/>
  <c r="G964" i="6"/>
  <c r="G1268" i="6"/>
  <c r="G1500" i="6"/>
  <c r="G1620" i="6"/>
  <c r="G1852" i="6"/>
  <c r="G2036" i="6"/>
  <c r="G140" i="6"/>
  <c r="G348" i="6"/>
  <c r="G588" i="6"/>
  <c r="G748" i="6"/>
  <c r="G908" i="6"/>
  <c r="G1092" i="6"/>
  <c r="G1204" i="6"/>
  <c r="G1348" i="6"/>
  <c r="G1588" i="6"/>
  <c r="G1748" i="6"/>
  <c r="G1908" i="6"/>
  <c r="G2084" i="6"/>
  <c r="G983" i="6"/>
  <c r="G1063" i="6"/>
  <c r="G1159" i="6"/>
  <c r="G1239" i="6"/>
  <c r="G1319" i="6"/>
  <c r="G1415" i="6"/>
  <c r="G1495" i="6"/>
  <c r="G1575" i="6"/>
  <c r="G1671" i="6"/>
  <c r="G1743" i="6"/>
  <c r="G1807" i="6"/>
  <c r="G1871" i="6"/>
  <c r="G1935" i="6"/>
  <c r="G1999" i="6"/>
  <c r="G2063" i="6"/>
  <c r="G2127" i="6"/>
  <c r="G835" i="6"/>
  <c r="G899" i="6"/>
  <c r="G963" i="6"/>
  <c r="G1027" i="6"/>
  <c r="G1091" i="6"/>
  <c r="G1155" i="6"/>
  <c r="G1219" i="6"/>
  <c r="G1283" i="6"/>
  <c r="G1347" i="6"/>
  <c r="G1411" i="6"/>
  <c r="G1475" i="6"/>
  <c r="G1539" i="6"/>
  <c r="G1603" i="6"/>
  <c r="G1667" i="6"/>
  <c r="G1731" i="6"/>
  <c r="G1795" i="6"/>
  <c r="G1859" i="6"/>
  <c r="G1923" i="6"/>
  <c r="G1987" i="6"/>
  <c r="G2051" i="6"/>
  <c r="G2115" i="6"/>
  <c r="G816" i="6"/>
  <c r="G880" i="6"/>
  <c r="G944" i="6"/>
  <c r="G1008" i="6"/>
  <c r="G1072" i="6"/>
  <c r="G1136" i="6"/>
  <c r="G1200" i="6"/>
  <c r="G1264" i="6"/>
  <c r="G1328" i="6"/>
  <c r="G1392" i="6"/>
  <c r="G1456" i="6"/>
  <c r="G1520" i="6"/>
  <c r="G1584" i="6"/>
  <c r="G1648" i="6"/>
  <c r="G1712" i="6"/>
  <c r="G1776" i="6"/>
  <c r="G1840" i="6"/>
  <c r="G1904" i="6"/>
  <c r="G1968" i="6"/>
  <c r="G2032" i="6"/>
  <c r="G2096" i="6"/>
  <c r="G9" i="6"/>
  <c r="G73" i="6"/>
  <c r="G137" i="6"/>
  <c r="G201" i="6"/>
  <c r="G265" i="6"/>
  <c r="G329" i="6"/>
  <c r="G393" i="6"/>
  <c r="G457" i="6"/>
  <c r="G521" i="6"/>
  <c r="G585" i="6"/>
  <c r="G649" i="6"/>
  <c r="G713" i="6"/>
  <c r="G777" i="6"/>
  <c r="G841" i="6"/>
  <c r="G905" i="6"/>
  <c r="G969" i="6"/>
  <c r="G1033" i="6"/>
  <c r="G1097" i="6"/>
  <c r="G1161" i="6"/>
  <c r="G231" i="6"/>
  <c r="G200" i="6"/>
  <c r="G712" i="6"/>
  <c r="G847" i="6"/>
  <c r="G435" i="6"/>
  <c r="G300" i="6"/>
  <c r="G804" i="6"/>
  <c r="G1636" i="6"/>
  <c r="G2156" i="6"/>
  <c r="G620" i="6"/>
  <c r="G1108" i="6"/>
  <c r="G1444" i="6"/>
  <c r="G1964" i="6"/>
  <c r="G1071" i="6"/>
  <c r="G1287" i="6"/>
  <c r="G1511" i="6"/>
  <c r="G1751" i="6"/>
  <c r="G1903" i="6"/>
  <c r="G2079" i="6"/>
  <c r="G907" i="6"/>
  <c r="G1059" i="6"/>
  <c r="G1235" i="6"/>
  <c r="G1419" i="6"/>
  <c r="G1571" i="6"/>
  <c r="G1747" i="6"/>
  <c r="G1931" i="6"/>
  <c r="G2083" i="6"/>
  <c r="G896" i="6"/>
  <c r="G1080" i="6"/>
  <c r="G1232" i="6"/>
  <c r="G1408" i="6"/>
  <c r="G1592" i="6"/>
  <c r="G1744" i="6"/>
  <c r="G1920" i="6"/>
  <c r="G2104" i="6"/>
  <c r="G105" i="6"/>
  <c r="G281" i="6"/>
  <c r="G465" i="6"/>
  <c r="G617" i="6"/>
  <c r="G793" i="6"/>
  <c r="G977" i="6"/>
  <c r="G1129" i="6"/>
  <c r="G1289" i="6"/>
  <c r="G1417" i="6"/>
  <c r="G101" i="6"/>
  <c r="G229" i="6"/>
  <c r="G357" i="6"/>
  <c r="G485" i="6"/>
  <c r="G605" i="6"/>
  <c r="G693" i="6"/>
  <c r="G805" i="6"/>
  <c r="G885" i="6"/>
  <c r="G973" i="6"/>
  <c r="G1061" i="6"/>
  <c r="G1141" i="6"/>
  <c r="G1229" i="6"/>
  <c r="G1317" i="6"/>
  <c r="G70" i="6"/>
  <c r="G18" i="6"/>
  <c r="G106" i="6"/>
  <c r="G186" i="6"/>
  <c r="G274" i="6"/>
  <c r="G362" i="6"/>
  <c r="G442" i="6"/>
  <c r="G530" i="6"/>
  <c r="G618" i="6"/>
  <c r="G698" i="6"/>
  <c r="G786" i="6"/>
  <c r="G230" i="6"/>
  <c r="G310" i="6"/>
  <c r="G398" i="6"/>
  <c r="G486" i="6"/>
  <c r="G566" i="6"/>
  <c r="G654" i="6"/>
  <c r="G742" i="6"/>
  <c r="G822" i="6"/>
  <c r="G894" i="6"/>
  <c r="G958" i="6"/>
  <c r="G1022" i="6"/>
  <c r="G1086" i="6"/>
  <c r="G1150" i="6"/>
  <c r="G1214" i="6"/>
  <c r="G1278" i="6"/>
  <c r="G1342" i="6"/>
  <c r="G1406" i="6"/>
  <c r="G1470" i="6"/>
  <c r="G1473" i="6"/>
  <c r="G1537" i="6"/>
  <c r="G1601" i="6"/>
  <c r="G1665" i="6"/>
  <c r="G1729" i="6"/>
  <c r="G1793" i="6"/>
  <c r="G1857" i="6"/>
  <c r="G1921" i="6"/>
  <c r="G2121" i="6"/>
  <c r="G818" i="6"/>
  <c r="G882" i="6"/>
  <c r="G946" i="6"/>
  <c r="G1010" i="6"/>
  <c r="G1074" i="6"/>
  <c r="G1138" i="6"/>
  <c r="G1202" i="6"/>
  <c r="G1266" i="6"/>
  <c r="G1330" i="6"/>
  <c r="G1394" i="6"/>
  <c r="G1333" i="6"/>
  <c r="G1397" i="6"/>
  <c r="G1461" i="6"/>
  <c r="G1525" i="6"/>
  <c r="G1589" i="6"/>
  <c r="G1653" i="6"/>
  <c r="G1526" i="6"/>
  <c r="G1590" i="6"/>
  <c r="G1458" i="6"/>
  <c r="G1530" i="6"/>
  <c r="G1594" i="6"/>
  <c r="G1658" i="6"/>
  <c r="G1722" i="6"/>
  <c r="G1786" i="6"/>
  <c r="G1850" i="6"/>
  <c r="G1914" i="6"/>
  <c r="G1978" i="6"/>
  <c r="G1717" i="6"/>
  <c r="G1781" i="6"/>
  <c r="G1845" i="6"/>
  <c r="G1909" i="6"/>
  <c r="G1965" i="6"/>
  <c r="G2013" i="6"/>
  <c r="G2157" i="6"/>
  <c r="G1702" i="6"/>
  <c r="G1766" i="6"/>
  <c r="G1830" i="6"/>
  <c r="G1894" i="6"/>
  <c r="G1958" i="6"/>
  <c r="G2014" i="6"/>
  <c r="G2078" i="6"/>
  <c r="G2142" i="6"/>
  <c r="G2114" i="6"/>
  <c r="G247" i="6"/>
  <c r="G208" i="6"/>
  <c r="G720" i="6"/>
  <c r="G855" i="6"/>
  <c r="G443" i="6"/>
  <c r="G332" i="6"/>
  <c r="G820" i="6"/>
  <c r="G1700" i="6"/>
  <c r="G156" i="6"/>
  <c r="G644" i="6"/>
  <c r="G1124" i="6"/>
  <c r="G1612" i="6"/>
  <c r="G1996" i="6"/>
  <c r="G1095" i="6"/>
  <c r="G1327" i="6"/>
  <c r="G1543" i="6"/>
  <c r="G1759" i="6"/>
  <c r="G1943" i="6"/>
  <c r="G2095" i="6"/>
  <c r="G915" i="6"/>
  <c r="G1099" i="6"/>
  <c r="G1251" i="6"/>
  <c r="G1427" i="6"/>
  <c r="G1611" i="6"/>
  <c r="G1763" i="6"/>
  <c r="G1939" i="6"/>
  <c r="G2123" i="6"/>
  <c r="G912" i="6"/>
  <c r="G1088" i="6"/>
  <c r="G1272" i="6"/>
  <c r="G1424" i="6"/>
  <c r="G1600" i="6"/>
  <c r="G1784" i="6"/>
  <c r="G1936" i="6"/>
  <c r="G2112" i="6"/>
  <c r="G145" i="6"/>
  <c r="G297" i="6"/>
  <c r="G473" i="6"/>
  <c r="G657" i="6"/>
  <c r="G809" i="6"/>
  <c r="G985" i="6"/>
  <c r="G1169" i="6"/>
  <c r="G1297" i="6"/>
  <c r="G1425" i="6"/>
  <c r="G109" i="6"/>
  <c r="G237" i="6"/>
  <c r="G365" i="6"/>
  <c r="G493" i="6"/>
  <c r="G613" i="6"/>
  <c r="G709" i="6"/>
  <c r="G813" i="6"/>
  <c r="G901" i="6"/>
  <c r="G989" i="6"/>
  <c r="G1069" i="6"/>
  <c r="G1157" i="6"/>
  <c r="G1245" i="6"/>
  <c r="G1325" i="6"/>
  <c r="G86" i="6"/>
  <c r="G34" i="6"/>
  <c r="G114" i="6"/>
  <c r="G202" i="6"/>
  <c r="G290" i="6"/>
  <c r="G370" i="6"/>
  <c r="G458" i="6"/>
  <c r="G546" i="6"/>
  <c r="G626" i="6"/>
  <c r="G714" i="6"/>
  <c r="G158" i="6"/>
  <c r="G238" i="6"/>
  <c r="G326" i="6"/>
  <c r="G414" i="6"/>
  <c r="G494" i="6"/>
  <c r="G582" i="6"/>
  <c r="G670" i="6"/>
  <c r="G750" i="6"/>
  <c r="G830" i="6"/>
  <c r="G902" i="6"/>
  <c r="G966" i="6"/>
  <c r="G1030" i="6"/>
  <c r="G1094" i="6"/>
  <c r="G1158" i="6"/>
  <c r="G1222" i="6"/>
  <c r="G1286" i="6"/>
  <c r="G1350" i="6"/>
  <c r="G1414" i="6"/>
  <c r="G1478" i="6"/>
  <c r="G1481" i="6"/>
  <c r="G1545" i="6"/>
  <c r="G1609" i="6"/>
  <c r="G1673" i="6"/>
  <c r="G1737" i="6"/>
  <c r="G1801" i="6"/>
  <c r="G1865" i="6"/>
  <c r="G1929" i="6"/>
  <c r="G1985" i="6"/>
  <c r="G2017" i="6"/>
  <c r="G2065" i="6"/>
  <c r="G2129" i="6"/>
  <c r="G826" i="6"/>
  <c r="G890" i="6"/>
  <c r="G954" i="6"/>
  <c r="G1018" i="6"/>
  <c r="G1082" i="6"/>
  <c r="G1146" i="6"/>
  <c r="G1210" i="6"/>
  <c r="G1274" i="6"/>
  <c r="G1338" i="6"/>
  <c r="G1402" i="6"/>
  <c r="G1341" i="6"/>
  <c r="G1405" i="6"/>
  <c r="G1469" i="6"/>
  <c r="G1533" i="6"/>
  <c r="G1597" i="6"/>
  <c r="G1661" i="6"/>
  <c r="G1534" i="6"/>
  <c r="G1598" i="6"/>
  <c r="G1466" i="6"/>
  <c r="G1538" i="6"/>
  <c r="G1602" i="6"/>
  <c r="G1666" i="6"/>
  <c r="G1730" i="6"/>
  <c r="G1794" i="6"/>
  <c r="G1858" i="6"/>
  <c r="G1922" i="6"/>
  <c r="G1986" i="6"/>
  <c r="G2042" i="6"/>
  <c r="G1725" i="6"/>
  <c r="G1789" i="6"/>
  <c r="G1853" i="6"/>
  <c r="G1917" i="6"/>
  <c r="G2021" i="6"/>
  <c r="G2069" i="6"/>
  <c r="G2117" i="6"/>
  <c r="G1646" i="6"/>
  <c r="G1710" i="6"/>
  <c r="G1774" i="6"/>
  <c r="G1838" i="6"/>
  <c r="G1902" i="6"/>
  <c r="G1966" i="6"/>
  <c r="G2022" i="6"/>
  <c r="G2086" i="6"/>
  <c r="G2150" i="6"/>
  <c r="G2122" i="6"/>
  <c r="G487" i="6"/>
  <c r="G328" i="6"/>
  <c r="G87" i="6"/>
  <c r="G51" i="6"/>
  <c r="G563" i="6"/>
  <c r="G28" i="6"/>
  <c r="G1036" i="6"/>
  <c r="G1740" i="6"/>
  <c r="G180" i="6"/>
  <c r="G764" i="6"/>
  <c r="G1148" i="6"/>
  <c r="G1628" i="6"/>
  <c r="G2100" i="6"/>
  <c r="G1111" i="6"/>
  <c r="G1351" i="6"/>
  <c r="G1583" i="6"/>
  <c r="G1775" i="6"/>
  <c r="G1951" i="6"/>
  <c r="G2135" i="6"/>
  <c r="G931" i="6"/>
  <c r="G1107" i="6"/>
  <c r="G1291" i="6"/>
  <c r="G1443" i="6"/>
  <c r="G1619" i="6"/>
  <c r="G1803" i="6"/>
  <c r="G1955" i="6"/>
  <c r="G2131" i="6"/>
  <c r="G952" i="6"/>
  <c r="G1104" i="6"/>
  <c r="G1280" i="6"/>
  <c r="G1464" i="6"/>
  <c r="G1616" i="6"/>
  <c r="G1792" i="6"/>
  <c r="G1976" i="6"/>
  <c r="G2128" i="6"/>
  <c r="G153" i="6"/>
  <c r="G337" i="6"/>
  <c r="G489" i="6"/>
  <c r="G665" i="6"/>
  <c r="G849" i="6"/>
  <c r="G1001" i="6"/>
  <c r="G1177" i="6"/>
  <c r="G1305" i="6"/>
  <c r="G1433" i="6"/>
  <c r="G117" i="6"/>
  <c r="G245" i="6"/>
  <c r="G373" i="6"/>
  <c r="G501" i="6"/>
  <c r="G621" i="6"/>
  <c r="G733" i="6"/>
  <c r="G821" i="6"/>
  <c r="G909" i="6"/>
  <c r="G997" i="6"/>
  <c r="G1077" i="6"/>
  <c r="G1165" i="6"/>
  <c r="G1253" i="6"/>
  <c r="G6" i="6"/>
  <c r="G94" i="6"/>
  <c r="G42" i="6"/>
  <c r="G122" i="6"/>
  <c r="G210" i="6"/>
  <c r="G298" i="6"/>
  <c r="G378" i="6"/>
  <c r="G466" i="6"/>
  <c r="G554" i="6"/>
  <c r="G634" i="6"/>
  <c r="G722" i="6"/>
  <c r="G166" i="6"/>
  <c r="G246" i="6"/>
  <c r="G334" i="6"/>
  <c r="G422" i="6"/>
  <c r="G502" i="6"/>
  <c r="G590" i="6"/>
  <c r="G678" i="6"/>
  <c r="G758" i="6"/>
  <c r="G838" i="6"/>
  <c r="G910" i="6"/>
  <c r="G974" i="6"/>
  <c r="G1038" i="6"/>
  <c r="G1102" i="6"/>
  <c r="G1166" i="6"/>
  <c r="G1230" i="6"/>
  <c r="G1294" i="6"/>
  <c r="G1358" i="6"/>
  <c r="G1422" i="6"/>
  <c r="G1486" i="6"/>
  <c r="G1489" i="6"/>
  <c r="G1553" i="6"/>
  <c r="G1617" i="6"/>
  <c r="G1681" i="6"/>
  <c r="G1745" i="6"/>
  <c r="G1809" i="6"/>
  <c r="G1873" i="6"/>
  <c r="G1937" i="6"/>
  <c r="G2025" i="6"/>
  <c r="G2073" i="6"/>
  <c r="G2137" i="6"/>
  <c r="G834" i="6"/>
  <c r="G898" i="6"/>
  <c r="G962" i="6"/>
  <c r="G1026" i="6"/>
  <c r="G1090" i="6"/>
  <c r="G1154" i="6"/>
  <c r="G1218" i="6"/>
  <c r="G1282" i="6"/>
  <c r="G1346" i="6"/>
  <c r="G1410" i="6"/>
  <c r="G1349" i="6"/>
  <c r="G1413" i="6"/>
  <c r="G1477" i="6"/>
  <c r="G1541" i="6"/>
  <c r="G1605" i="6"/>
  <c r="G1669" i="6"/>
  <c r="G1542" i="6"/>
  <c r="G1606" i="6"/>
  <c r="G1474" i="6"/>
  <c r="G1546" i="6"/>
  <c r="G1610" i="6"/>
  <c r="G1674" i="6"/>
  <c r="G1738" i="6"/>
  <c r="G1802" i="6"/>
  <c r="G1866" i="6"/>
  <c r="G1930" i="6"/>
  <c r="G1994" i="6"/>
  <c r="G1733" i="6"/>
  <c r="G1797" i="6"/>
  <c r="G1861" i="6"/>
  <c r="G1973" i="6"/>
  <c r="G2029" i="6"/>
  <c r="G2077" i="6"/>
  <c r="G1654" i="6"/>
  <c r="G1718" i="6"/>
  <c r="G1782" i="6"/>
  <c r="G1846" i="6"/>
  <c r="G1910" i="6"/>
  <c r="G1974" i="6"/>
  <c r="G2030" i="6"/>
  <c r="G2094" i="6"/>
  <c r="G2158" i="6"/>
  <c r="G2130" i="6"/>
  <c r="G503" i="6"/>
  <c r="G336" i="6"/>
  <c r="G103" i="6"/>
  <c r="G59" i="6"/>
  <c r="G571" i="6"/>
  <c r="G60" i="6"/>
  <c r="G1052" i="6"/>
  <c r="G1868" i="6"/>
  <c r="G260" i="6"/>
  <c r="G780" i="6"/>
  <c r="G1212" i="6"/>
  <c r="G1660" i="6"/>
  <c r="G2116" i="6"/>
  <c r="G1167" i="6"/>
  <c r="G1367" i="6"/>
  <c r="G1607" i="6"/>
  <c r="G1815" i="6"/>
  <c r="G1967" i="6"/>
  <c r="G2143" i="6"/>
  <c r="G971" i="6"/>
  <c r="G1123" i="6"/>
  <c r="G1299" i="6"/>
  <c r="G1483" i="6"/>
  <c r="G1635" i="6"/>
  <c r="G1811" i="6"/>
  <c r="G1995" i="6"/>
  <c r="G2147" i="6"/>
  <c r="G960" i="6"/>
  <c r="G1144" i="6"/>
  <c r="G1296" i="6"/>
  <c r="G1472" i="6"/>
  <c r="G1656" i="6"/>
  <c r="G1808" i="6"/>
  <c r="G1984" i="6"/>
  <c r="G17" i="6"/>
  <c r="G169" i="6"/>
  <c r="G345" i="6"/>
  <c r="G529" i="6"/>
  <c r="G681" i="6"/>
  <c r="G857" i="6"/>
  <c r="G1041" i="6"/>
  <c r="G1193" i="6"/>
  <c r="G1321" i="6"/>
  <c r="G5" i="6"/>
  <c r="G133" i="6"/>
  <c r="G261" i="6"/>
  <c r="G389" i="6"/>
  <c r="G517" i="6"/>
  <c r="G629" i="6"/>
  <c r="G741" i="6"/>
  <c r="G837" i="6"/>
  <c r="G925" i="6"/>
  <c r="G1005" i="6"/>
  <c r="G1093" i="6"/>
  <c r="G1181" i="6"/>
  <c r="G1261" i="6"/>
  <c r="G22" i="6"/>
  <c r="G110" i="6"/>
  <c r="G50" i="6"/>
  <c r="G138" i="6"/>
  <c r="G226" i="6"/>
  <c r="G306" i="6"/>
  <c r="G394" i="6"/>
  <c r="G482" i="6"/>
  <c r="G562" i="6"/>
  <c r="G650" i="6"/>
  <c r="G738" i="6"/>
  <c r="G174" i="6"/>
  <c r="G262" i="6"/>
  <c r="G350" i="6"/>
  <c r="G430" i="6"/>
  <c r="G518" i="6"/>
  <c r="G606" i="6"/>
  <c r="G686" i="6"/>
  <c r="G774" i="6"/>
  <c r="G846" i="6"/>
  <c r="G918" i="6"/>
  <c r="G982" i="6"/>
  <c r="G1046" i="6"/>
  <c r="G1110" i="6"/>
  <c r="G1174" i="6"/>
  <c r="G1238" i="6"/>
  <c r="G1302" i="6"/>
  <c r="G1366" i="6"/>
  <c r="G1430" i="6"/>
  <c r="G1494" i="6"/>
  <c r="G1497" i="6"/>
  <c r="G1561" i="6"/>
  <c r="G1625" i="6"/>
  <c r="G1689" i="6"/>
  <c r="G1753" i="6"/>
  <c r="G1817" i="6"/>
  <c r="G1881" i="6"/>
  <c r="G1945" i="6"/>
  <c r="G1993" i="6"/>
  <c r="G2033" i="6"/>
  <c r="G2081" i="6"/>
  <c r="G2145" i="6"/>
  <c r="G842" i="6"/>
  <c r="G906" i="6"/>
  <c r="G970" i="6"/>
  <c r="G1034" i="6"/>
  <c r="G1098" i="6"/>
  <c r="G1162" i="6"/>
  <c r="G1226" i="6"/>
  <c r="G1290" i="6"/>
  <c r="G1354" i="6"/>
  <c r="G1418" i="6"/>
  <c r="G1357" i="6"/>
  <c r="G1421" i="6"/>
  <c r="G1485" i="6"/>
  <c r="G1549" i="6"/>
  <c r="G1613" i="6"/>
  <c r="G1677" i="6"/>
  <c r="G1550" i="6"/>
  <c r="G1614" i="6"/>
  <c r="G1482" i="6"/>
  <c r="G1554" i="6"/>
  <c r="G1618" i="6"/>
  <c r="G1682" i="6"/>
  <c r="G1746" i="6"/>
  <c r="G1810" i="6"/>
  <c r="G1874" i="6"/>
  <c r="G1938" i="6"/>
  <c r="G2002" i="6"/>
  <c r="G2050" i="6"/>
  <c r="G1741" i="6"/>
  <c r="G1805" i="6"/>
  <c r="G1869" i="6"/>
  <c r="G1925" i="6"/>
  <c r="G1981" i="6"/>
  <c r="G2037" i="6"/>
  <c r="G2085" i="6"/>
  <c r="G2125" i="6"/>
  <c r="G1662" i="6"/>
  <c r="G1726" i="6"/>
  <c r="G1790" i="6"/>
  <c r="G1854" i="6"/>
  <c r="G1918" i="6"/>
  <c r="G2038" i="6"/>
  <c r="G2102" i="6"/>
  <c r="G2074" i="6"/>
  <c r="G2138" i="6"/>
  <c r="G735" i="6"/>
  <c r="G456" i="6"/>
  <c r="G335" i="6"/>
  <c r="G179" i="6"/>
  <c r="G651" i="6"/>
  <c r="G340" i="6"/>
  <c r="G1284" i="6"/>
  <c r="G1884" i="6"/>
  <c r="G372" i="6"/>
  <c r="G844" i="6"/>
  <c r="G1228" i="6"/>
  <c r="G1772" i="6"/>
  <c r="G2148" i="6"/>
  <c r="G1175" i="6"/>
  <c r="G1423" i="6"/>
  <c r="G1623" i="6"/>
  <c r="G1823" i="6"/>
  <c r="G2007" i="6"/>
  <c r="G803" i="6"/>
  <c r="G979" i="6"/>
  <c r="G1163" i="6"/>
  <c r="G1315" i="6"/>
  <c r="G1491" i="6"/>
  <c r="G1675" i="6"/>
  <c r="G1827" i="6"/>
  <c r="G2003" i="6"/>
  <c r="G824" i="6"/>
  <c r="G976" i="6"/>
  <c r="G1152" i="6"/>
  <c r="G1336" i="6"/>
  <c r="G1488" i="6"/>
  <c r="G1664" i="6"/>
  <c r="G1848" i="6"/>
  <c r="G2000" i="6"/>
  <c r="G25" i="6"/>
  <c r="G209" i="6"/>
  <c r="G361" i="6"/>
  <c r="G537" i="6"/>
  <c r="G721" i="6"/>
  <c r="G873" i="6"/>
  <c r="G1049" i="6"/>
  <c r="G1225" i="6"/>
  <c r="G1353" i="6"/>
  <c r="G37" i="6"/>
  <c r="G165" i="6"/>
  <c r="G293" i="6"/>
  <c r="G421" i="6"/>
  <c r="G549" i="6"/>
  <c r="G645" i="6"/>
  <c r="G749" i="6"/>
  <c r="G845" i="6"/>
  <c r="G933" i="6"/>
  <c r="G1013" i="6"/>
  <c r="G1101" i="6"/>
  <c r="G1189" i="6"/>
  <c r="G1269" i="6"/>
  <c r="G30" i="6"/>
  <c r="G118" i="6"/>
  <c r="G58" i="6"/>
  <c r="G146" i="6"/>
  <c r="G234" i="6"/>
  <c r="G314" i="6"/>
  <c r="G402" i="6"/>
  <c r="G490" i="6"/>
  <c r="G570" i="6"/>
  <c r="G658" i="6"/>
  <c r="G746" i="6"/>
  <c r="G182" i="6"/>
  <c r="G270" i="6"/>
  <c r="G358" i="6"/>
  <c r="G438" i="6"/>
  <c r="G526" i="6"/>
  <c r="G614" i="6"/>
  <c r="G694" i="6"/>
  <c r="G782" i="6"/>
  <c r="G862" i="6"/>
  <c r="G926" i="6"/>
  <c r="G990" i="6"/>
  <c r="G1054" i="6"/>
  <c r="G1118" i="6"/>
  <c r="G1182" i="6"/>
  <c r="G1246" i="6"/>
  <c r="G1310" i="6"/>
  <c r="G1374" i="6"/>
  <c r="G1438" i="6"/>
  <c r="G1502" i="6"/>
  <c r="G1505" i="6"/>
  <c r="G1569" i="6"/>
  <c r="G1633" i="6"/>
  <c r="G1697" i="6"/>
  <c r="G1761" i="6"/>
  <c r="G1825" i="6"/>
  <c r="G1889" i="6"/>
  <c r="G1953" i="6"/>
  <c r="G2041" i="6"/>
  <c r="G2089" i="6"/>
  <c r="G2153" i="6"/>
  <c r="G850" i="6"/>
  <c r="G914" i="6"/>
  <c r="G978" i="6"/>
  <c r="G1042" i="6"/>
  <c r="G1106" i="6"/>
  <c r="G1170" i="6"/>
  <c r="G1234" i="6"/>
  <c r="G1298" i="6"/>
  <c r="G1362" i="6"/>
  <c r="G1426" i="6"/>
  <c r="G1365" i="6"/>
  <c r="G1429" i="6"/>
  <c r="G1493" i="6"/>
  <c r="G1557" i="6"/>
  <c r="G1621" i="6"/>
  <c r="G1685" i="6"/>
  <c r="G1558" i="6"/>
  <c r="G1622" i="6"/>
  <c r="G1498" i="6"/>
  <c r="G1562" i="6"/>
  <c r="G1626" i="6"/>
  <c r="G1690" i="6"/>
  <c r="G1754" i="6"/>
  <c r="G1818" i="6"/>
  <c r="G1882" i="6"/>
  <c r="G1946" i="6"/>
  <c r="G2010" i="6"/>
  <c r="G2058" i="6"/>
  <c r="G1749" i="6"/>
  <c r="G1813" i="6"/>
  <c r="G1877" i="6"/>
  <c r="G1933" i="6"/>
  <c r="G1989" i="6"/>
  <c r="G2045" i="6"/>
  <c r="G2133" i="6"/>
  <c r="G1670" i="6"/>
  <c r="G1734" i="6"/>
  <c r="G1798" i="6"/>
  <c r="G1862" i="6"/>
  <c r="G1926" i="6"/>
  <c r="G1982" i="6"/>
  <c r="G2046" i="6"/>
  <c r="G2110" i="6"/>
  <c r="G2082" i="6"/>
  <c r="G2146" i="6"/>
  <c r="G751" i="6"/>
  <c r="G464" i="6"/>
  <c r="G351" i="6"/>
  <c r="G187" i="6"/>
  <c r="G683" i="6"/>
  <c r="G356" i="6"/>
  <c r="G1308" i="6"/>
  <c r="G1972" i="6"/>
  <c r="G436" i="6"/>
  <c r="G924" i="6"/>
  <c r="G1292" i="6"/>
  <c r="G1788" i="6"/>
  <c r="G991" i="6"/>
  <c r="G1191" i="6"/>
  <c r="G1431" i="6"/>
  <c r="G1679" i="6"/>
  <c r="G1839" i="6"/>
  <c r="G2015" i="6"/>
  <c r="G843" i="6"/>
  <c r="G995" i="6"/>
  <c r="G1171" i="6"/>
  <c r="G1355" i="6"/>
  <c r="G1507" i="6"/>
  <c r="G1683" i="6"/>
  <c r="G1867" i="6"/>
  <c r="G2019" i="6"/>
  <c r="G832" i="6"/>
  <c r="G1016" i="6"/>
  <c r="G1168" i="6"/>
  <c r="G1344" i="6"/>
  <c r="G1528" i="6"/>
  <c r="G1680" i="6"/>
  <c r="G1856" i="6"/>
  <c r="G2040" i="6"/>
  <c r="G41" i="6"/>
  <c r="G217" i="6"/>
  <c r="G401" i="6"/>
  <c r="G553" i="6"/>
  <c r="G729" i="6"/>
  <c r="G913" i="6"/>
  <c r="G1065" i="6"/>
  <c r="G1233" i="6"/>
  <c r="G1361" i="6"/>
  <c r="G45" i="6"/>
  <c r="G173" i="6"/>
  <c r="G301" i="6"/>
  <c r="G429" i="6"/>
  <c r="G557" i="6"/>
  <c r="G669" i="6"/>
  <c r="G757" i="6"/>
  <c r="G861" i="6"/>
  <c r="G941" i="6"/>
  <c r="G1029" i="6"/>
  <c r="G1117" i="6"/>
  <c r="G1197" i="6"/>
  <c r="G1285" i="6"/>
  <c r="G46" i="6"/>
  <c r="G126" i="6"/>
  <c r="G74" i="6"/>
  <c r="G162" i="6"/>
  <c r="G242" i="6"/>
  <c r="G330" i="6"/>
  <c r="G418" i="6"/>
  <c r="G498" i="6"/>
  <c r="G586" i="6"/>
  <c r="G674" i="6"/>
  <c r="G754" i="6"/>
  <c r="G198" i="6"/>
  <c r="G286" i="6"/>
  <c r="G366" i="6"/>
  <c r="G454" i="6"/>
  <c r="G542" i="6"/>
  <c r="G622" i="6"/>
  <c r="G710" i="6"/>
  <c r="G798" i="6"/>
  <c r="G870" i="6"/>
  <c r="G934" i="6"/>
  <c r="G998" i="6"/>
  <c r="G1062" i="6"/>
  <c r="G1126" i="6"/>
  <c r="G1190" i="6"/>
  <c r="G1254" i="6"/>
  <c r="G1318" i="6"/>
  <c r="G1382" i="6"/>
  <c r="G1446" i="6"/>
  <c r="G1449" i="6"/>
  <c r="G1513" i="6"/>
  <c r="G1577" i="6"/>
  <c r="G1641" i="6"/>
  <c r="G1705" i="6"/>
  <c r="G1769" i="6"/>
  <c r="G1833" i="6"/>
  <c r="G1897" i="6"/>
  <c r="G1961" i="6"/>
  <c r="G2001" i="6"/>
  <c r="G2049" i="6"/>
  <c r="G2097" i="6"/>
  <c r="G794" i="6"/>
  <c r="G858" i="6"/>
  <c r="G922" i="6"/>
  <c r="G986" i="6"/>
  <c r="G1050" i="6"/>
  <c r="G1114" i="6"/>
  <c r="G1178" i="6"/>
  <c r="G1242" i="6"/>
  <c r="G1306" i="6"/>
  <c r="G1370" i="6"/>
  <c r="G1434" i="6"/>
  <c r="G1373" i="6"/>
  <c r="G1437" i="6"/>
  <c r="G1501" i="6"/>
  <c r="G1565" i="6"/>
  <c r="G1629" i="6"/>
  <c r="G1693" i="6"/>
  <c r="G1566" i="6"/>
  <c r="G1630" i="6"/>
  <c r="G1506" i="6"/>
  <c r="G1570" i="6"/>
  <c r="G1634" i="6"/>
  <c r="G1698" i="6"/>
  <c r="G1762" i="6"/>
  <c r="G1826" i="6"/>
  <c r="G1890" i="6"/>
  <c r="G1954" i="6"/>
  <c r="G2018" i="6"/>
  <c r="G2066" i="6"/>
  <c r="G1757" i="6"/>
  <c r="G1821" i="6"/>
  <c r="G1885" i="6"/>
  <c r="G1941" i="6"/>
  <c r="G1997" i="6"/>
  <c r="G2093" i="6"/>
  <c r="G2141" i="6"/>
  <c r="G1678" i="6"/>
  <c r="G1742" i="6"/>
  <c r="G1806" i="6"/>
  <c r="G1870" i="6"/>
  <c r="G1934" i="6"/>
  <c r="G1990" i="6"/>
  <c r="G2054" i="6"/>
  <c r="G2118" i="6"/>
  <c r="G2090" i="6"/>
  <c r="G2154" i="6"/>
  <c r="G72" i="6"/>
  <c r="G584" i="6"/>
  <c r="G591" i="6"/>
  <c r="G307" i="6"/>
  <c r="G763" i="6"/>
  <c r="G556" i="6"/>
  <c r="G1508" i="6"/>
  <c r="G2108" i="6"/>
  <c r="G476" i="6"/>
  <c r="G972" i="6"/>
  <c r="G1364" i="6"/>
  <c r="G1844" i="6"/>
  <c r="G999" i="6"/>
  <c r="G1247" i="6"/>
  <c r="G1447" i="6"/>
  <c r="G1687" i="6"/>
  <c r="G1879" i="6"/>
  <c r="G2031" i="6"/>
  <c r="G851" i="6"/>
  <c r="G1035" i="6"/>
  <c r="G1187" i="6"/>
  <c r="G1363" i="6"/>
  <c r="G1547" i="6"/>
  <c r="G1699" i="6"/>
  <c r="G1875" i="6"/>
  <c r="G2059" i="6"/>
  <c r="G848" i="6"/>
  <c r="G1024" i="6"/>
  <c r="G1208" i="6"/>
  <c r="G1360" i="6"/>
  <c r="G1536" i="6"/>
  <c r="G1720" i="6"/>
  <c r="G1872" i="6"/>
  <c r="G2048" i="6"/>
  <c r="G81" i="6"/>
  <c r="G233" i="6"/>
  <c r="G409" i="6"/>
  <c r="G593" i="6"/>
  <c r="G745" i="6"/>
  <c r="G921" i="6"/>
  <c r="G1105" i="6"/>
  <c r="G1241" i="6"/>
  <c r="G1369" i="6"/>
  <c r="G53" i="6"/>
  <c r="G181" i="6"/>
  <c r="G309" i="6"/>
  <c r="G437" i="6"/>
  <c r="G565" i="6"/>
  <c r="G677" i="6"/>
  <c r="G773" i="6"/>
  <c r="G869" i="6"/>
  <c r="G949" i="6"/>
  <c r="G1037" i="6"/>
  <c r="G1125" i="6"/>
  <c r="G1205" i="6"/>
  <c r="G1293" i="6"/>
  <c r="G54" i="6"/>
  <c r="G134" i="6"/>
  <c r="G82" i="6"/>
  <c r="G170" i="6"/>
  <c r="G250" i="6"/>
  <c r="G338" i="6"/>
  <c r="G426" i="6"/>
  <c r="G506" i="6"/>
  <c r="G594" i="6"/>
  <c r="G682" i="6"/>
  <c r="G762" i="6"/>
  <c r="G206" i="6"/>
  <c r="G294" i="6"/>
  <c r="G374" i="6"/>
  <c r="G462" i="6"/>
  <c r="G550" i="6"/>
  <c r="G630" i="6"/>
  <c r="G718" i="6"/>
  <c r="G806" i="6"/>
  <c r="G878" i="6"/>
  <c r="G942" i="6"/>
  <c r="G1006" i="6"/>
  <c r="G1070" i="6"/>
  <c r="G1134" i="6"/>
  <c r="G1198" i="6"/>
  <c r="G1262" i="6"/>
  <c r="G1326" i="6"/>
  <c r="G1390" i="6"/>
  <c r="G1454" i="6"/>
  <c r="G1457" i="6"/>
  <c r="G1521" i="6"/>
  <c r="G1585" i="6"/>
  <c r="G1649" i="6"/>
  <c r="G1713" i="6"/>
  <c r="G1777" i="6"/>
  <c r="G1841" i="6"/>
  <c r="G1905" i="6"/>
  <c r="G1969" i="6"/>
  <c r="G2105" i="6"/>
  <c r="G802" i="6"/>
  <c r="G866" i="6"/>
  <c r="G930" i="6"/>
  <c r="G994" i="6"/>
  <c r="G1058" i="6"/>
  <c r="G1122" i="6"/>
  <c r="G1186" i="6"/>
  <c r="G1250" i="6"/>
  <c r="G1314" i="6"/>
  <c r="G1378" i="6"/>
  <c r="G1442" i="6"/>
  <c r="G1381" i="6"/>
  <c r="G1445" i="6"/>
  <c r="G1509" i="6"/>
  <c r="G1573" i="6"/>
  <c r="G1637" i="6"/>
  <c r="G1510" i="6"/>
  <c r="G1574" i="6"/>
  <c r="G1638" i="6"/>
  <c r="G1514" i="6"/>
  <c r="G1578" i="6"/>
  <c r="G1642" i="6"/>
  <c r="G1706" i="6"/>
  <c r="G1770" i="6"/>
  <c r="G1834" i="6"/>
  <c r="G1898" i="6"/>
  <c r="G1962" i="6"/>
  <c r="G2026" i="6"/>
  <c r="G1701" i="6"/>
  <c r="G1765" i="6"/>
  <c r="G1829" i="6"/>
  <c r="G1893" i="6"/>
  <c r="G1949" i="6"/>
  <c r="G2005" i="6"/>
  <c r="G2053" i="6"/>
  <c r="G2101" i="6"/>
  <c r="G2149" i="6"/>
  <c r="G1686" i="6"/>
  <c r="G1750" i="6"/>
  <c r="G1814" i="6"/>
  <c r="G1878" i="6"/>
  <c r="G1942" i="6"/>
  <c r="G1998" i="6"/>
  <c r="G2062" i="6"/>
  <c r="G2126" i="6"/>
  <c r="G2098" i="6"/>
  <c r="G80" i="6"/>
  <c r="G592" i="6"/>
  <c r="G607" i="6"/>
  <c r="G315" i="6"/>
  <c r="G771" i="6"/>
  <c r="G636" i="6"/>
  <c r="G1524" i="6"/>
  <c r="G2124" i="6"/>
  <c r="G604" i="6"/>
  <c r="G1004" i="6"/>
  <c r="G1412" i="6"/>
  <c r="G1924" i="6"/>
  <c r="G1031" i="6"/>
  <c r="G1255" i="6"/>
  <c r="G1503" i="6"/>
  <c r="G1703" i="6"/>
  <c r="G1887" i="6"/>
  <c r="G2071" i="6"/>
  <c r="G867" i="6"/>
  <c r="G1043" i="6"/>
  <c r="G1227" i="6"/>
  <c r="G1379" i="6"/>
  <c r="G1555" i="6"/>
  <c r="G1739" i="6"/>
  <c r="G1891" i="6"/>
  <c r="G2067" i="6"/>
  <c r="G888" i="6"/>
  <c r="G1040" i="6"/>
  <c r="G1216" i="6"/>
  <c r="G1400" i="6"/>
  <c r="G1552" i="6"/>
  <c r="G1728" i="6"/>
  <c r="G1912" i="6"/>
  <c r="G2064" i="6"/>
  <c r="G89" i="6"/>
  <c r="G273" i="6"/>
  <c r="G425" i="6"/>
  <c r="G601" i="6"/>
  <c r="G785" i="6"/>
  <c r="G937" i="6"/>
  <c r="G1113" i="6"/>
  <c r="G1257" i="6"/>
  <c r="G1385" i="6"/>
  <c r="G69" i="6"/>
  <c r="G197" i="6"/>
  <c r="G325" i="6"/>
  <c r="G453" i="6"/>
  <c r="G581" i="6"/>
  <c r="G685" i="6"/>
  <c r="G797" i="6"/>
  <c r="G877" i="6"/>
  <c r="G965" i="6"/>
  <c r="G1053" i="6"/>
  <c r="G1133" i="6"/>
  <c r="G1221" i="6"/>
  <c r="G1309" i="6"/>
  <c r="G62" i="6"/>
  <c r="G10" i="6"/>
  <c r="G98" i="6"/>
  <c r="G178" i="6"/>
  <c r="G266" i="6"/>
  <c r="G354" i="6"/>
  <c r="G434" i="6"/>
  <c r="G522" i="6"/>
  <c r="G610" i="6"/>
  <c r="G690" i="6"/>
  <c r="G778" i="6"/>
  <c r="G222" i="6"/>
  <c r="G302" i="6"/>
  <c r="G390" i="6"/>
  <c r="G478" i="6"/>
  <c r="G558" i="6"/>
  <c r="G646" i="6"/>
  <c r="G734" i="6"/>
  <c r="G814" i="6"/>
  <c r="G886" i="6"/>
  <c r="G950" i="6"/>
  <c r="G1014" i="6"/>
  <c r="G1078" i="6"/>
  <c r="G1142" i="6"/>
  <c r="G1206" i="6"/>
  <c r="G1270" i="6"/>
  <c r="G1334" i="6"/>
  <c r="G1398" i="6"/>
  <c r="G1462" i="6"/>
  <c r="G1465" i="6"/>
  <c r="G1529" i="6"/>
  <c r="G1593" i="6"/>
  <c r="G1657" i="6"/>
  <c r="G1721" i="6"/>
  <c r="G1785" i="6"/>
  <c r="G1849" i="6"/>
  <c r="G1913" i="6"/>
  <c r="G1977" i="6"/>
  <c r="G2009" i="6"/>
  <c r="G2057" i="6"/>
  <c r="G2113" i="6"/>
  <c r="G810" i="6"/>
  <c r="G874" i="6"/>
  <c r="G938" i="6"/>
  <c r="G1002" i="6"/>
  <c r="G1066" i="6"/>
  <c r="G1130" i="6"/>
  <c r="G1194" i="6"/>
  <c r="G1258" i="6"/>
  <c r="G1322" i="6"/>
  <c r="G1386" i="6"/>
  <c r="G1490" i="6"/>
  <c r="G1389" i="6"/>
  <c r="G1453" i="6"/>
  <c r="G1517" i="6"/>
  <c r="G1581" i="6"/>
  <c r="G1645" i="6"/>
  <c r="G1518" i="6"/>
  <c r="G1582" i="6"/>
  <c r="G1450" i="6"/>
  <c r="G1522" i="6"/>
  <c r="G1586" i="6"/>
  <c r="G1650" i="6"/>
  <c r="G1714" i="6"/>
  <c r="G1778" i="6"/>
  <c r="G1842" i="6"/>
  <c r="G1906" i="6"/>
  <c r="G1970" i="6"/>
  <c r="G2034" i="6"/>
  <c r="G1709" i="6"/>
  <c r="G1773" i="6"/>
  <c r="G1837" i="6"/>
  <c r="G1901" i="6"/>
  <c r="G1957" i="6"/>
  <c r="G2061" i="6"/>
  <c r="G2109" i="6"/>
  <c r="G1694" i="6"/>
  <c r="G1758" i="6"/>
  <c r="G1822" i="6"/>
  <c r="G1886" i="6"/>
  <c r="G1950" i="6"/>
  <c r="G2006" i="6"/>
  <c r="G2070" i="6"/>
  <c r="G2134" i="6"/>
  <c r="G2106" i="6"/>
  <c r="K2" i="6"/>
  <c r="K208" i="6"/>
  <c r="K536" i="6"/>
  <c r="K832" i="6"/>
  <c r="K1240" i="6"/>
  <c r="K1432" i="6"/>
  <c r="K1648" i="6"/>
  <c r="K1808" i="6"/>
  <c r="K2016" i="6"/>
  <c r="K48" i="6"/>
  <c r="K408" i="6"/>
  <c r="K1024" i="6"/>
  <c r="K1216" i="6"/>
  <c r="K1440" i="6"/>
  <c r="K1664" i="6"/>
  <c r="K1872" i="6"/>
  <c r="K26" i="6"/>
  <c r="K122" i="6"/>
  <c r="K202" i="6"/>
  <c r="K258" i="6"/>
  <c r="K306" i="6"/>
  <c r="K346" i="6"/>
  <c r="K386" i="6"/>
  <c r="K434" i="6"/>
  <c r="K490" i="6"/>
  <c r="K570" i="6"/>
  <c r="K618" i="6"/>
  <c r="K658" i="6"/>
  <c r="K698" i="6"/>
  <c r="K746" i="6"/>
  <c r="K786" i="6"/>
  <c r="K834" i="6"/>
  <c r="K882" i="6"/>
  <c r="K1002" i="6"/>
  <c r="K1042" i="6"/>
  <c r="K1138" i="6"/>
  <c r="K1186" i="6"/>
  <c r="K1242" i="6"/>
  <c r="K1290" i="6"/>
  <c r="K1338" i="6"/>
  <c r="K1386" i="6"/>
  <c r="K1426" i="6"/>
  <c r="K1466" i="6"/>
  <c r="K1546" i="6"/>
  <c r="K1594" i="6"/>
  <c r="K1690" i="6"/>
  <c r="K1778" i="6"/>
  <c r="K1834" i="6"/>
  <c r="K1890" i="6"/>
  <c r="K1962" i="6"/>
  <c r="K2026" i="6"/>
  <c r="K2106" i="6"/>
  <c r="K72" i="6"/>
  <c r="K35" i="6"/>
  <c r="K75" i="6"/>
  <c r="K171" i="6"/>
  <c r="K203" i="6"/>
  <c r="K291" i="6"/>
  <c r="K331" i="6"/>
  <c r="K395" i="6"/>
  <c r="K435" i="6"/>
  <c r="K475" i="6"/>
  <c r="K523" i="6"/>
  <c r="K611" i="6"/>
  <c r="K659" i="6"/>
  <c r="K707" i="6"/>
  <c r="K795" i="6"/>
  <c r="K891" i="6"/>
  <c r="K1011" i="6"/>
  <c r="K1099" i="6"/>
  <c r="K1139" i="6"/>
  <c r="K1187" i="6"/>
  <c r="K1219" i="6"/>
  <c r="K352" i="6"/>
  <c r="K1232" i="6"/>
  <c r="K1424" i="6"/>
  <c r="K1584" i="6"/>
  <c r="K1752" i="6"/>
  <c r="K1888" i="6"/>
  <c r="K2120" i="6"/>
  <c r="K344" i="6"/>
  <c r="K472" i="6"/>
  <c r="K816" i="6"/>
  <c r="K1112" i="6"/>
  <c r="K1296" i="6"/>
  <c r="K1496" i="6"/>
  <c r="K1656" i="6"/>
  <c r="K1904" i="6"/>
  <c r="K2064" i="6"/>
  <c r="K144" i="6"/>
  <c r="K464" i="6"/>
  <c r="K848" i="6"/>
  <c r="K1251" i="6"/>
  <c r="K1299" i="6"/>
  <c r="K1483" i="6"/>
  <c r="K1539" i="6"/>
  <c r="K1579" i="6"/>
  <c r="K1675" i="6"/>
  <c r="K1715" i="6"/>
  <c r="K1763" i="6"/>
  <c r="K1811" i="6"/>
  <c r="K1851" i="6"/>
  <c r="K1907" i="6"/>
  <c r="K1947" i="6"/>
  <c r="K2027" i="6"/>
  <c r="K2115" i="6"/>
  <c r="K7" i="6"/>
  <c r="K63" i="6"/>
  <c r="K111" i="6"/>
  <c r="K175" i="6"/>
  <c r="K4" i="6"/>
  <c r="K52" i="6"/>
  <c r="K100" i="6"/>
  <c r="K156" i="6"/>
  <c r="K212" i="6"/>
  <c r="K260" i="6"/>
  <c r="K300" i="6"/>
  <c r="K340" i="6"/>
  <c r="K388" i="6"/>
  <c r="K492" i="6"/>
  <c r="K540" i="6"/>
  <c r="K636" i="6"/>
  <c r="K692" i="6"/>
  <c r="K748" i="6"/>
  <c r="K852" i="6"/>
  <c r="K972" i="6"/>
  <c r="K1020" i="6"/>
  <c r="K1108" i="6"/>
  <c r="K1172" i="6"/>
  <c r="K303" i="6"/>
  <c r="K447" i="6"/>
  <c r="K487" i="6"/>
  <c r="K575" i="6"/>
  <c r="K623" i="6"/>
  <c r="K711" i="6"/>
  <c r="K767" i="6"/>
  <c r="K823" i="6"/>
  <c r="K879" i="6"/>
  <c r="K911" i="6"/>
  <c r="K951" i="6"/>
  <c r="K1095" i="6"/>
  <c r="K1135" i="6"/>
  <c r="K1191" i="6"/>
  <c r="K1247" i="6"/>
  <c r="K1295" i="6"/>
  <c r="K1343" i="6"/>
  <c r="K1431" i="6"/>
  <c r="K1583" i="6"/>
  <c r="K1631" i="6"/>
  <c r="K1719" i="6"/>
  <c r="K1775" i="6"/>
  <c r="K1847" i="6"/>
  <c r="K1879" i="6"/>
  <c r="K1927" i="6"/>
  <c r="K1975" i="6"/>
  <c r="K2063" i="6"/>
  <c r="K2151" i="6"/>
  <c r="K105" i="6"/>
  <c r="K153" i="6"/>
  <c r="K201" i="6"/>
  <c r="K249" i="6"/>
  <c r="K289" i="6"/>
  <c r="K329" i="6"/>
  <c r="K369" i="6"/>
  <c r="K409" i="6"/>
  <c r="K1340" i="6"/>
  <c r="K1380" i="6"/>
  <c r="K1420" i="6"/>
  <c r="K1468" i="6"/>
  <c r="K1508" i="6"/>
  <c r="K1572" i="6"/>
  <c r="K1620" i="6"/>
  <c r="K1660" i="6"/>
  <c r="K1700" i="6"/>
  <c r="K40" i="6"/>
  <c r="K256" i="6"/>
  <c r="K1088" i="6"/>
  <c r="K1688" i="6"/>
  <c r="K192" i="6"/>
  <c r="K456" i="6"/>
  <c r="K624" i="6"/>
  <c r="K800" i="6"/>
  <c r="K1248" i="6"/>
  <c r="K2056" i="6"/>
  <c r="K74" i="6"/>
  <c r="K170" i="6"/>
  <c r="K210" i="6"/>
  <c r="K266" i="6"/>
  <c r="K314" i="6"/>
  <c r="K394" i="6"/>
  <c r="K442" i="6"/>
  <c r="K498" i="6"/>
  <c r="K530" i="6"/>
  <c r="K578" i="6"/>
  <c r="K706" i="6"/>
  <c r="K890" i="6"/>
  <c r="K930" i="6"/>
  <c r="K962" i="6"/>
  <c r="K1050" i="6"/>
  <c r="K1098" i="6"/>
  <c r="K1194" i="6"/>
  <c r="K1298" i="6"/>
  <c r="K1346" i="6"/>
  <c r="K1434" i="6"/>
  <c r="K1474" i="6"/>
  <c r="K1514" i="6"/>
  <c r="K1554" i="6"/>
  <c r="K1602" i="6"/>
  <c r="K1650" i="6"/>
  <c r="K1730" i="6"/>
  <c r="K1786" i="6"/>
  <c r="K1906" i="6"/>
  <c r="K1970" i="6"/>
  <c r="K2034" i="6"/>
  <c r="K2114" i="6"/>
  <c r="K424" i="6"/>
  <c r="K43" i="6"/>
  <c r="K83" i="6"/>
  <c r="K131" i="6"/>
  <c r="K251" i="6"/>
  <c r="K299" i="6"/>
  <c r="K339" i="6"/>
  <c r="K443" i="6"/>
  <c r="K531" i="6"/>
  <c r="K571" i="6"/>
  <c r="K667" i="6"/>
  <c r="K715" i="6"/>
  <c r="K755" i="6"/>
  <c r="K803" i="6"/>
  <c r="K851" i="6"/>
  <c r="K899" i="6"/>
  <c r="K955" i="6"/>
  <c r="K1059" i="6"/>
  <c r="K1107" i="6"/>
  <c r="K1147" i="6"/>
  <c r="K1227" i="6"/>
  <c r="K392" i="6"/>
  <c r="K600" i="6"/>
  <c r="K792" i="6"/>
  <c r="K1008" i="6"/>
  <c r="K1912" i="6"/>
  <c r="K2144" i="6"/>
  <c r="K184" i="6"/>
  <c r="K512" i="6"/>
  <c r="K672" i="6"/>
  <c r="K872" i="6"/>
  <c r="K1536" i="6"/>
  <c r="K1696" i="6"/>
  <c r="K2088" i="6"/>
  <c r="K200" i="6"/>
  <c r="K504" i="6"/>
  <c r="K888" i="6"/>
  <c r="K1200" i="6"/>
  <c r="K1824" i="6"/>
  <c r="K1259" i="6"/>
  <c r="K1307" i="6"/>
  <c r="K1355" i="6"/>
  <c r="K1395" i="6"/>
  <c r="K1435" i="6"/>
  <c r="K1547" i="6"/>
  <c r="K1587" i="6"/>
  <c r="K1627" i="6"/>
  <c r="K1683" i="6"/>
  <c r="K1723" i="6"/>
  <c r="K1771" i="6"/>
  <c r="K1955" i="6"/>
  <c r="K1995" i="6"/>
  <c r="K2035" i="6"/>
  <c r="K2067" i="6"/>
  <c r="K15" i="6"/>
  <c r="K119" i="6"/>
  <c r="K183" i="6"/>
  <c r="K231" i="6"/>
  <c r="K12" i="6"/>
  <c r="K60" i="6"/>
  <c r="K108" i="6"/>
  <c r="K164" i="6"/>
  <c r="K220" i="6"/>
  <c r="K268" i="6"/>
  <c r="K308" i="6"/>
  <c r="K348" i="6"/>
  <c r="K444" i="6"/>
  <c r="K500" i="6"/>
  <c r="K644" i="6"/>
  <c r="K700" i="6"/>
  <c r="K756" i="6"/>
  <c r="K804" i="6"/>
  <c r="K900" i="6"/>
  <c r="K932" i="6"/>
  <c r="K980" i="6"/>
  <c r="K1068" i="6"/>
  <c r="K1116" i="6"/>
  <c r="K1180" i="6"/>
  <c r="K311" i="6"/>
  <c r="K359" i="6"/>
  <c r="K399" i="6"/>
  <c r="K535" i="6"/>
  <c r="K583" i="6"/>
  <c r="K631" i="6"/>
  <c r="K679" i="6"/>
  <c r="K719" i="6"/>
  <c r="K775" i="6"/>
  <c r="K991" i="6"/>
  <c r="K1023" i="6"/>
  <c r="K1055" i="6"/>
  <c r="K1143" i="6"/>
  <c r="K1199" i="6"/>
  <c r="K1255" i="6"/>
  <c r="K1303" i="6"/>
  <c r="K1383" i="6"/>
  <c r="K1487" i="6"/>
  <c r="K1535" i="6"/>
  <c r="K1639" i="6"/>
  <c r="K1679" i="6"/>
  <c r="K1727" i="6"/>
  <c r="K1783" i="6"/>
  <c r="K1815" i="6"/>
  <c r="K1887" i="6"/>
  <c r="K2023" i="6"/>
  <c r="K2103" i="6"/>
  <c r="K9" i="6"/>
  <c r="K57" i="6"/>
  <c r="K209" i="6"/>
  <c r="K337" i="6"/>
  <c r="K377" i="6"/>
  <c r="K1212" i="6"/>
  <c r="K1260" i="6"/>
  <c r="K1300" i="6"/>
  <c r="K1428" i="6"/>
  <c r="K1476" i="6"/>
  <c r="K1516" i="6"/>
  <c r="K1580" i="6"/>
  <c r="K304" i="6"/>
  <c r="K568" i="6"/>
  <c r="K856" i="6"/>
  <c r="K1128" i="6"/>
  <c r="K1280" i="6"/>
  <c r="K1472" i="6"/>
  <c r="K1856" i="6"/>
  <c r="K2040" i="6"/>
  <c r="K80" i="6"/>
  <c r="K232" i="6"/>
  <c r="K488" i="6"/>
  <c r="K1072" i="6"/>
  <c r="K1288" i="6"/>
  <c r="K1480" i="6"/>
  <c r="K1704" i="6"/>
  <c r="K1896" i="6"/>
  <c r="K2096" i="6"/>
  <c r="K34" i="6"/>
  <c r="K82" i="6"/>
  <c r="K130" i="6"/>
  <c r="K354" i="6"/>
  <c r="K402" i="6"/>
  <c r="K450" i="6"/>
  <c r="K626" i="6"/>
  <c r="K666" i="6"/>
  <c r="K754" i="6"/>
  <c r="K794" i="6"/>
  <c r="K842" i="6"/>
  <c r="K898" i="6"/>
  <c r="K970" i="6"/>
  <c r="K1010" i="6"/>
  <c r="K1058" i="6"/>
  <c r="K1106" i="6"/>
  <c r="K1146" i="6"/>
  <c r="K1202" i="6"/>
  <c r="K1250" i="6"/>
  <c r="K1354" i="6"/>
  <c r="K1394" i="6"/>
  <c r="K1482" i="6"/>
  <c r="K1610" i="6"/>
  <c r="K1698" i="6"/>
  <c r="K1738" i="6"/>
  <c r="K1794" i="6"/>
  <c r="K1842" i="6"/>
  <c r="K1914" i="6"/>
  <c r="K1978" i="6"/>
  <c r="K2058" i="6"/>
  <c r="K2122" i="6"/>
  <c r="K1328" i="6"/>
  <c r="K139" i="6"/>
  <c r="K179" i="6"/>
  <c r="K211" i="6"/>
  <c r="K259" i="6"/>
  <c r="K347" i="6"/>
  <c r="K403" i="6"/>
  <c r="K483" i="6"/>
  <c r="K539" i="6"/>
  <c r="K619" i="6"/>
  <c r="K675" i="6"/>
  <c r="K723" i="6"/>
  <c r="K907" i="6"/>
  <c r="K963" i="6"/>
  <c r="K1019" i="6"/>
  <c r="K1067" i="6"/>
  <c r="K1115" i="6"/>
  <c r="K1155" i="6"/>
  <c r="K1195" i="6"/>
  <c r="K8" i="6"/>
  <c r="K640" i="6"/>
  <c r="K824" i="6"/>
  <c r="K1040" i="6"/>
  <c r="K1272" i="6"/>
  <c r="K1448" i="6"/>
  <c r="K1616" i="6"/>
  <c r="K1784" i="6"/>
  <c r="K1944" i="6"/>
  <c r="K24" i="6"/>
  <c r="K216" i="6"/>
  <c r="K376" i="6"/>
  <c r="K552" i="6"/>
  <c r="K712" i="6"/>
  <c r="K912" i="6"/>
  <c r="K1136" i="6"/>
  <c r="K1344" i="6"/>
  <c r="K1736" i="6"/>
  <c r="K1928" i="6"/>
  <c r="K2128" i="6"/>
  <c r="K240" i="6"/>
  <c r="K576" i="6"/>
  <c r="K944" i="6"/>
  <c r="K1256" i="6"/>
  <c r="K1267" i="6"/>
  <c r="K1315" i="6"/>
  <c r="K1363" i="6"/>
  <c r="K1443" i="6"/>
  <c r="K1491" i="6"/>
  <c r="K1555" i="6"/>
  <c r="K1595" i="6"/>
  <c r="K1731" i="6"/>
  <c r="K1779" i="6"/>
  <c r="K1819" i="6"/>
  <c r="K1859" i="6"/>
  <c r="K1915" i="6"/>
  <c r="K1963" i="6"/>
  <c r="K2075" i="6"/>
  <c r="K2123" i="6"/>
  <c r="K23" i="6"/>
  <c r="K71" i="6"/>
  <c r="K127" i="6"/>
  <c r="K191" i="6"/>
  <c r="K239" i="6"/>
  <c r="K20" i="6"/>
  <c r="K68" i="6"/>
  <c r="K116" i="6"/>
  <c r="K356" i="6"/>
  <c r="K396" i="6"/>
  <c r="K452" i="6"/>
  <c r="K508" i="6"/>
  <c r="K548" i="6"/>
  <c r="K596" i="6"/>
  <c r="K652" i="6"/>
  <c r="K764" i="6"/>
  <c r="K812" i="6"/>
  <c r="K860" i="6"/>
  <c r="K988" i="6"/>
  <c r="K1028" i="6"/>
  <c r="K1076" i="6"/>
  <c r="K1124" i="6"/>
  <c r="K1188" i="6"/>
  <c r="K319" i="6"/>
  <c r="K455" i="6"/>
  <c r="K495" i="6"/>
  <c r="K543" i="6"/>
  <c r="K591" i="6"/>
  <c r="K687" i="6"/>
  <c r="K727" i="6"/>
  <c r="K783" i="6"/>
  <c r="K831" i="6"/>
  <c r="K887" i="6"/>
  <c r="K919" i="6"/>
  <c r="K959" i="6"/>
  <c r="K1063" i="6"/>
  <c r="K1103" i="6"/>
  <c r="K1151" i="6"/>
  <c r="K1207" i="6"/>
  <c r="K1311" i="6"/>
  <c r="K1351" i="6"/>
  <c r="K1391" i="6"/>
  <c r="K1439" i="6"/>
  <c r="K1543" i="6"/>
  <c r="K1591" i="6"/>
  <c r="K1687" i="6"/>
  <c r="K1735" i="6"/>
  <c r="K1855" i="6"/>
  <c r="K88" i="6"/>
  <c r="K360" i="6"/>
  <c r="K608" i="6"/>
  <c r="K896" i="6"/>
  <c r="K1712" i="6"/>
  <c r="K2072" i="6"/>
  <c r="K272" i="6"/>
  <c r="K664" i="6"/>
  <c r="K840" i="6"/>
  <c r="K1104" i="6"/>
  <c r="K1520" i="6"/>
  <c r="K1936" i="6"/>
  <c r="K2136" i="6"/>
  <c r="K90" i="6"/>
  <c r="K138" i="6"/>
  <c r="K178" i="6"/>
  <c r="K218" i="6"/>
  <c r="K274" i="6"/>
  <c r="K322" i="6"/>
  <c r="K458" i="6"/>
  <c r="K538" i="6"/>
  <c r="K586" i="6"/>
  <c r="K634" i="6"/>
  <c r="K714" i="6"/>
  <c r="K762" i="6"/>
  <c r="K850" i="6"/>
  <c r="K938" i="6"/>
  <c r="K1018" i="6"/>
  <c r="K1210" i="6"/>
  <c r="K1306" i="6"/>
  <c r="K1362" i="6"/>
  <c r="K1402" i="6"/>
  <c r="K1442" i="6"/>
  <c r="K1490" i="6"/>
  <c r="K1522" i="6"/>
  <c r="K1562" i="6"/>
  <c r="K1658" i="6"/>
  <c r="K1706" i="6"/>
  <c r="K1746" i="6"/>
  <c r="K1802" i="6"/>
  <c r="K1850" i="6"/>
  <c r="K1922" i="6"/>
  <c r="K1986" i="6"/>
  <c r="K2066" i="6"/>
  <c r="K2130" i="6"/>
  <c r="K3" i="6"/>
  <c r="K51" i="6"/>
  <c r="K91" i="6"/>
  <c r="K147" i="6"/>
  <c r="K219" i="6"/>
  <c r="K307" i="6"/>
  <c r="K355" i="6"/>
  <c r="K411" i="6"/>
  <c r="K451" i="6"/>
  <c r="K491" i="6"/>
  <c r="K547" i="6"/>
  <c r="K579" i="6"/>
  <c r="K627" i="6"/>
  <c r="K731" i="6"/>
  <c r="K763" i="6"/>
  <c r="K811" i="6"/>
  <c r="K859" i="6"/>
  <c r="K915" i="6"/>
  <c r="K971" i="6"/>
  <c r="K1027" i="6"/>
  <c r="K176" i="6"/>
  <c r="K440" i="6"/>
  <c r="K680" i="6"/>
  <c r="K1080" i="6"/>
  <c r="K1320" i="6"/>
  <c r="K1488" i="6"/>
  <c r="K1976" i="6"/>
  <c r="K56" i="6"/>
  <c r="K960" i="6"/>
  <c r="K1184" i="6"/>
  <c r="K1376" i="6"/>
  <c r="K1568" i="6"/>
  <c r="K32" i="6"/>
  <c r="K632" i="6"/>
  <c r="K1000" i="6"/>
  <c r="K1312" i="6"/>
  <c r="K2112" i="6"/>
  <c r="K1323" i="6"/>
  <c r="K1403" i="6"/>
  <c r="K1451" i="6"/>
  <c r="K1499" i="6"/>
  <c r="K1635" i="6"/>
  <c r="K1691" i="6"/>
  <c r="K1739" i="6"/>
  <c r="K1787" i="6"/>
  <c r="K1867" i="6"/>
  <c r="K1923" i="6"/>
  <c r="K2003" i="6"/>
  <c r="K2043" i="6"/>
  <c r="K2131" i="6"/>
  <c r="K79" i="6"/>
  <c r="K135" i="6"/>
  <c r="K199" i="6"/>
  <c r="K247" i="6"/>
  <c r="K76" i="6"/>
  <c r="K124" i="6"/>
  <c r="K172" i="6"/>
  <c r="K228" i="6"/>
  <c r="K276" i="6"/>
  <c r="K316" i="6"/>
  <c r="K404" i="6"/>
  <c r="K460" i="6"/>
  <c r="K516" i="6"/>
  <c r="K556" i="6"/>
  <c r="K604" i="6"/>
  <c r="K660" i="6"/>
  <c r="K708" i="6"/>
  <c r="K772" i="6"/>
  <c r="K820" i="6"/>
  <c r="K868" i="6"/>
  <c r="K908" i="6"/>
  <c r="K940" i="6"/>
  <c r="K1036" i="6"/>
  <c r="K1084" i="6"/>
  <c r="K1132" i="6"/>
  <c r="K1196" i="6"/>
  <c r="K327" i="6"/>
  <c r="K367" i="6"/>
  <c r="K407" i="6"/>
  <c r="K463" i="6"/>
  <c r="K599" i="6"/>
  <c r="K639" i="6"/>
  <c r="K735" i="6"/>
  <c r="K791" i="6"/>
  <c r="K839" i="6"/>
  <c r="K999" i="6"/>
  <c r="K1031" i="6"/>
  <c r="K1111" i="6"/>
  <c r="K1159" i="6"/>
  <c r="K1215" i="6"/>
  <c r="K1263" i="6"/>
  <c r="K1319" i="6"/>
  <c r="K1359" i="6"/>
  <c r="K1399" i="6"/>
  <c r="K1447" i="6"/>
  <c r="K1495" i="6"/>
  <c r="K1599" i="6"/>
  <c r="K1647" i="6"/>
  <c r="K1695" i="6"/>
  <c r="K1743" i="6"/>
  <c r="K1791" i="6"/>
  <c r="K1823" i="6"/>
  <c r="K1895" i="6"/>
  <c r="K1943" i="6"/>
  <c r="K1991" i="6"/>
  <c r="K2031" i="6"/>
  <c r="K2079" i="6"/>
  <c r="K25" i="6"/>
  <c r="K73" i="6"/>
  <c r="K656" i="6"/>
  <c r="K928" i="6"/>
  <c r="K1168" i="6"/>
  <c r="K1304" i="6"/>
  <c r="K1504" i="6"/>
  <c r="K1880" i="6"/>
  <c r="K2104" i="6"/>
  <c r="K104" i="6"/>
  <c r="K296" i="6"/>
  <c r="K520" i="6"/>
  <c r="K880" i="6"/>
  <c r="K1144" i="6"/>
  <c r="K1336" i="6"/>
  <c r="K1560" i="6"/>
  <c r="K1728" i="6"/>
  <c r="K42" i="6"/>
  <c r="K98" i="6"/>
  <c r="K226" i="6"/>
  <c r="K330" i="6"/>
  <c r="K362" i="6"/>
  <c r="K410" i="6"/>
  <c r="K466" i="6"/>
  <c r="K506" i="6"/>
  <c r="K594" i="6"/>
  <c r="K642" i="6"/>
  <c r="K674" i="6"/>
  <c r="K770" i="6"/>
  <c r="K802" i="6"/>
  <c r="K858" i="6"/>
  <c r="K906" i="6"/>
  <c r="K978" i="6"/>
  <c r="K1066" i="6"/>
  <c r="K1114" i="6"/>
  <c r="K1154" i="6"/>
  <c r="K1218" i="6"/>
  <c r="K1258" i="6"/>
  <c r="K1410" i="6"/>
  <c r="K1570" i="6"/>
  <c r="K1618" i="6"/>
  <c r="K1754" i="6"/>
  <c r="K1858" i="6"/>
  <c r="K1930" i="6"/>
  <c r="K1994" i="6"/>
  <c r="K2074" i="6"/>
  <c r="K2138" i="6"/>
  <c r="K11" i="6"/>
  <c r="K99" i="6"/>
  <c r="K187" i="6"/>
  <c r="K227" i="6"/>
  <c r="K267" i="6"/>
  <c r="K363" i="6"/>
  <c r="K419" i="6"/>
  <c r="K499" i="6"/>
  <c r="K587" i="6"/>
  <c r="K635" i="6"/>
  <c r="K683" i="6"/>
  <c r="K819" i="6"/>
  <c r="K867" i="6"/>
  <c r="K923" i="6"/>
  <c r="K979" i="6"/>
  <c r="K1075" i="6"/>
  <c r="K1123" i="6"/>
  <c r="K1163" i="6"/>
  <c r="K1203" i="6"/>
  <c r="K864" i="6"/>
  <c r="K1120" i="6"/>
  <c r="K1360" i="6"/>
  <c r="K1640" i="6"/>
  <c r="K1816" i="6"/>
  <c r="K2008" i="6"/>
  <c r="K96" i="6"/>
  <c r="K248" i="6"/>
  <c r="K416" i="6"/>
  <c r="K584" i="6"/>
  <c r="K744" i="6"/>
  <c r="K992" i="6"/>
  <c r="K1760" i="6"/>
  <c r="K1960" i="6"/>
  <c r="K288" i="6"/>
  <c r="K696" i="6"/>
  <c r="K1048" i="6"/>
  <c r="K1384" i="6"/>
  <c r="K1275" i="6"/>
  <c r="K1371" i="6"/>
  <c r="K1459" i="6"/>
  <c r="K1507" i="6"/>
  <c r="K1563" i="6"/>
  <c r="K1603" i="6"/>
  <c r="K1643" i="6"/>
  <c r="K1699" i="6"/>
  <c r="K1827" i="6"/>
  <c r="K1875" i="6"/>
  <c r="K1971" i="6"/>
  <c r="K2083" i="6"/>
  <c r="K2139" i="6"/>
  <c r="K31" i="6"/>
  <c r="K87" i="6"/>
  <c r="K143" i="6"/>
  <c r="K207" i="6"/>
  <c r="K255" i="6"/>
  <c r="K28" i="6"/>
  <c r="K132" i="6"/>
  <c r="K180" i="6"/>
  <c r="K236" i="6"/>
  <c r="K324" i="6"/>
  <c r="K364" i="6"/>
  <c r="K412" i="6"/>
  <c r="K468" i="6"/>
  <c r="K564" i="6"/>
  <c r="K612" i="6"/>
  <c r="K716" i="6"/>
  <c r="K780" i="6"/>
  <c r="K828" i="6"/>
  <c r="K876" i="6"/>
  <c r="K948" i="6"/>
  <c r="K996" i="6"/>
  <c r="K1140" i="6"/>
  <c r="K1204" i="6"/>
  <c r="K335" i="6"/>
  <c r="K375" i="6"/>
  <c r="K415" i="6"/>
  <c r="K471" i="6"/>
  <c r="K503" i="6"/>
  <c r="K551" i="6"/>
  <c r="K607" i="6"/>
  <c r="K647" i="6"/>
  <c r="K695" i="6"/>
  <c r="K743" i="6"/>
  <c r="K799" i="6"/>
  <c r="K847" i="6"/>
  <c r="K895" i="6"/>
  <c r="K927" i="6"/>
  <c r="K967" i="6"/>
  <c r="K1071" i="6"/>
  <c r="K1167" i="6"/>
  <c r="K1223" i="6"/>
  <c r="K1271" i="6"/>
  <c r="K1407" i="6"/>
  <c r="K1455" i="6"/>
  <c r="K1503" i="6"/>
  <c r="K1551" i="6"/>
  <c r="K1607" i="6"/>
  <c r="K1751" i="6"/>
  <c r="K1863" i="6"/>
  <c r="K1951" i="6"/>
  <c r="K1999" i="6"/>
  <c r="K2039" i="6"/>
  <c r="K2119" i="6"/>
  <c r="K33" i="6"/>
  <c r="K81" i="6"/>
  <c r="K121" i="6"/>
  <c r="K177" i="6"/>
  <c r="K225" i="6"/>
  <c r="K265" i="6"/>
  <c r="K305" i="6"/>
  <c r="K1236" i="6"/>
  <c r="K1276" i="6"/>
  <c r="K1396" i="6"/>
  <c r="K1452" i="6"/>
  <c r="K1492" i="6"/>
  <c r="K1540" i="6"/>
  <c r="K1596" i="6"/>
  <c r="K1724" i="6"/>
  <c r="K1764" i="6"/>
  <c r="K1804" i="6"/>
  <c r="K1852" i="6"/>
  <c r="K1884" i="6"/>
  <c r="K1932" i="6"/>
  <c r="K1988" i="6"/>
  <c r="K2076" i="6"/>
  <c r="K136" i="6"/>
  <c r="K384" i="6"/>
  <c r="K704" i="6"/>
  <c r="K968" i="6"/>
  <c r="K1528" i="6"/>
  <c r="K1744" i="6"/>
  <c r="K1920" i="6"/>
  <c r="K2152" i="6"/>
  <c r="K688" i="6"/>
  <c r="K920" i="6"/>
  <c r="K1368" i="6"/>
  <c r="K1768" i="6"/>
  <c r="K1968" i="6"/>
  <c r="K10" i="6"/>
  <c r="K50" i="6"/>
  <c r="K146" i="6"/>
  <c r="K186" i="6"/>
  <c r="K234" i="6"/>
  <c r="K282" i="6"/>
  <c r="K370" i="6"/>
  <c r="K418" i="6"/>
  <c r="K474" i="6"/>
  <c r="K546" i="6"/>
  <c r="K682" i="6"/>
  <c r="K722" i="6"/>
  <c r="K810" i="6"/>
  <c r="K946" i="6"/>
  <c r="K986" i="6"/>
  <c r="K1026" i="6"/>
  <c r="K1074" i="6"/>
  <c r="K1162" i="6"/>
  <c r="K1266" i="6"/>
  <c r="K1314" i="6"/>
  <c r="K1370" i="6"/>
  <c r="K1450" i="6"/>
  <c r="K1498" i="6"/>
  <c r="K1530" i="6"/>
  <c r="K1578" i="6"/>
  <c r="K1626" i="6"/>
  <c r="K1666" i="6"/>
  <c r="K1714" i="6"/>
  <c r="K1762" i="6"/>
  <c r="K1810" i="6"/>
  <c r="K1866" i="6"/>
  <c r="K1938" i="6"/>
  <c r="K2002" i="6"/>
  <c r="K2082" i="6"/>
  <c r="K2146" i="6"/>
  <c r="K59" i="6"/>
  <c r="K107" i="6"/>
  <c r="K155" i="6"/>
  <c r="K235" i="6"/>
  <c r="K275" i="6"/>
  <c r="K315" i="6"/>
  <c r="K371" i="6"/>
  <c r="K459" i="6"/>
  <c r="K507" i="6"/>
  <c r="K555" i="6"/>
  <c r="K595" i="6"/>
  <c r="K739" i="6"/>
  <c r="K771" i="6"/>
  <c r="K827" i="6"/>
  <c r="K875" i="6"/>
  <c r="K931" i="6"/>
  <c r="K987" i="6"/>
  <c r="K1035" i="6"/>
  <c r="K1083" i="6"/>
  <c r="K1171" i="6"/>
  <c r="K224" i="6"/>
  <c r="K480" i="6"/>
  <c r="K720" i="6"/>
  <c r="K904" i="6"/>
  <c r="K1512" i="6"/>
  <c r="K1672" i="6"/>
  <c r="K2048" i="6"/>
  <c r="K128" i="6"/>
  <c r="K616" i="6"/>
  <c r="K1032" i="6"/>
  <c r="K1224" i="6"/>
  <c r="K1416" i="6"/>
  <c r="K1600" i="6"/>
  <c r="K1792" i="6"/>
  <c r="K1992" i="6"/>
  <c r="K64" i="6"/>
  <c r="K752" i="6"/>
  <c r="K1096" i="6"/>
  <c r="K1464" i="6"/>
  <c r="K1235" i="6"/>
  <c r="K1283" i="6"/>
  <c r="K1331" i="6"/>
  <c r="K1411" i="6"/>
  <c r="K1467" i="6"/>
  <c r="K1515" i="6"/>
  <c r="K1651" i="6"/>
  <c r="K1747" i="6"/>
  <c r="K1795" i="6"/>
  <c r="K1883" i="6"/>
  <c r="K1931" i="6"/>
  <c r="K1979" i="6"/>
  <c r="K2011" i="6"/>
  <c r="K2051" i="6"/>
  <c r="K2091" i="6"/>
  <c r="K2147" i="6"/>
  <c r="K39" i="6"/>
  <c r="K95" i="6"/>
  <c r="K151" i="6"/>
  <c r="K263" i="6"/>
  <c r="K188" i="6"/>
  <c r="K244" i="6"/>
  <c r="K284" i="6"/>
  <c r="K372" i="6"/>
  <c r="K420" i="6"/>
  <c r="K476" i="6"/>
  <c r="K524" i="6"/>
  <c r="K572" i="6"/>
  <c r="K620" i="6"/>
  <c r="K668" i="6"/>
  <c r="K724" i="6"/>
  <c r="K788" i="6"/>
  <c r="K836" i="6"/>
  <c r="K916" i="6"/>
  <c r="K956" i="6"/>
  <c r="K1004" i="6"/>
  <c r="K1044" i="6"/>
  <c r="K1092" i="6"/>
  <c r="K1148" i="6"/>
  <c r="K279" i="6"/>
  <c r="K383" i="6"/>
  <c r="K423" i="6"/>
  <c r="K511" i="6"/>
  <c r="K559" i="6"/>
  <c r="K655" i="6"/>
  <c r="K751" i="6"/>
  <c r="K855" i="6"/>
  <c r="K975" i="6"/>
  <c r="K1007" i="6"/>
  <c r="K1039" i="6"/>
  <c r="K1079" i="6"/>
  <c r="K1119" i="6"/>
  <c r="K1175" i="6"/>
  <c r="K1231" i="6"/>
  <c r="K1279" i="6"/>
  <c r="K1327" i="6"/>
  <c r="K1367" i="6"/>
  <c r="K1415" i="6"/>
  <c r="K1463" i="6"/>
  <c r="K1511" i="6"/>
  <c r="K1559" i="6"/>
  <c r="K1615" i="6"/>
  <c r="K1655" i="6"/>
  <c r="K1703" i="6"/>
  <c r="K1759" i="6"/>
  <c r="K1799" i="6"/>
  <c r="K1831" i="6"/>
  <c r="K1903" i="6"/>
  <c r="K1959" i="6"/>
  <c r="K2007" i="6"/>
  <c r="K2047" i="6"/>
  <c r="K2087" i="6"/>
  <c r="K2127" i="6"/>
  <c r="K41" i="6"/>
  <c r="K89" i="6"/>
  <c r="K129" i="6"/>
  <c r="K185" i="6"/>
  <c r="K353" i="6"/>
  <c r="K393" i="6"/>
  <c r="K1244" i="6"/>
  <c r="K1324" i="6"/>
  <c r="K1364" i="6"/>
  <c r="K1548" i="6"/>
  <c r="K1604" i="6"/>
  <c r="K1644" i="6"/>
  <c r="K1684" i="6"/>
  <c r="K1732" i="6"/>
  <c r="K1892" i="6"/>
  <c r="K1940" i="6"/>
  <c r="K2036" i="6"/>
  <c r="K2124" i="6"/>
  <c r="K13" i="6"/>
  <c r="K53" i="6"/>
  <c r="K93" i="6"/>
  <c r="K125" i="6"/>
  <c r="K173" i="6"/>
  <c r="K229" i="6"/>
  <c r="K269" i="6"/>
  <c r="K333" i="6"/>
  <c r="K381" i="6"/>
  <c r="K525" i="6"/>
  <c r="K621" i="6"/>
  <c r="K661" i="6"/>
  <c r="K709" i="6"/>
  <c r="K749" i="6"/>
  <c r="K797" i="6"/>
  <c r="K941" i="6"/>
  <c r="K981" i="6"/>
  <c r="K1021" i="6"/>
  <c r="K1069" i="6"/>
  <c r="K1109" i="6"/>
  <c r="K496" i="6"/>
  <c r="K784" i="6"/>
  <c r="K1056" i="6"/>
  <c r="K1392" i="6"/>
  <c r="K1608" i="6"/>
  <c r="K1776" i="6"/>
  <c r="K1984" i="6"/>
  <c r="K16" i="6"/>
  <c r="K160" i="6"/>
  <c r="K368" i="6"/>
  <c r="K592" i="6"/>
  <c r="K768" i="6"/>
  <c r="K984" i="6"/>
  <c r="K1632" i="6"/>
  <c r="K1840" i="6"/>
  <c r="K2024" i="6"/>
  <c r="K66" i="6"/>
  <c r="K114" i="6"/>
  <c r="K162" i="6"/>
  <c r="K194" i="6"/>
  <c r="K250" i="6"/>
  <c r="K298" i="6"/>
  <c r="K426" i="6"/>
  <c r="K522" i="6"/>
  <c r="K562" i="6"/>
  <c r="K610" i="6"/>
  <c r="K738" i="6"/>
  <c r="K826" i="6"/>
  <c r="K874" i="6"/>
  <c r="K922" i="6"/>
  <c r="K954" i="6"/>
  <c r="K1034" i="6"/>
  <c r="K1090" i="6"/>
  <c r="K1130" i="6"/>
  <c r="K1178" i="6"/>
  <c r="K1234" i="6"/>
  <c r="K1282" i="6"/>
  <c r="K1330" i="6"/>
  <c r="K1506" i="6"/>
  <c r="K1642" i="6"/>
  <c r="K1682" i="6"/>
  <c r="K1722" i="6"/>
  <c r="K1826" i="6"/>
  <c r="K1882" i="6"/>
  <c r="K1954" i="6"/>
  <c r="K2018" i="6"/>
  <c r="K2098" i="6"/>
  <c r="K27" i="6"/>
  <c r="K67" i="6"/>
  <c r="K123" i="6"/>
  <c r="K163" i="6"/>
  <c r="K243" i="6"/>
  <c r="K387" i="6"/>
  <c r="K515" i="6"/>
  <c r="K563" i="6"/>
  <c r="K651" i="6"/>
  <c r="K699" i="6"/>
  <c r="K747" i="6"/>
  <c r="K787" i="6"/>
  <c r="K843" i="6"/>
  <c r="K947" i="6"/>
  <c r="K1003" i="6"/>
  <c r="K1051" i="6"/>
  <c r="K1091" i="6"/>
  <c r="K736" i="6"/>
  <c r="K544" i="6"/>
  <c r="K338" i="6"/>
  <c r="K482" i="6"/>
  <c r="K1170" i="6"/>
  <c r="K1322" i="6"/>
  <c r="K1770" i="6"/>
  <c r="K2090" i="6"/>
  <c r="K195" i="6"/>
  <c r="K779" i="6"/>
  <c r="K320" i="6"/>
  <c r="K648" i="6"/>
  <c r="K336" i="6"/>
  <c r="K1680" i="6"/>
  <c r="K1291" i="6"/>
  <c r="K1387" i="6"/>
  <c r="K1475" i="6"/>
  <c r="K1891" i="6"/>
  <c r="K1987" i="6"/>
  <c r="K167" i="6"/>
  <c r="K140" i="6"/>
  <c r="K740" i="6"/>
  <c r="K884" i="6"/>
  <c r="K1052" i="6"/>
  <c r="K287" i="6"/>
  <c r="K391" i="6"/>
  <c r="K815" i="6"/>
  <c r="K1807" i="6"/>
  <c r="K1935" i="6"/>
  <c r="K145" i="6"/>
  <c r="K281" i="6"/>
  <c r="K345" i="6"/>
  <c r="K401" i="6"/>
  <c r="K1388" i="6"/>
  <c r="K1460" i="6"/>
  <c r="K1532" i="6"/>
  <c r="K1628" i="6"/>
  <c r="K1788" i="6"/>
  <c r="K1836" i="6"/>
  <c r="K2012" i="6"/>
  <c r="K141" i="6"/>
  <c r="K245" i="6"/>
  <c r="K309" i="6"/>
  <c r="K429" i="6"/>
  <c r="K469" i="6"/>
  <c r="K517" i="6"/>
  <c r="K669" i="6"/>
  <c r="K773" i="6"/>
  <c r="K829" i="6"/>
  <c r="K877" i="6"/>
  <c r="K925" i="6"/>
  <c r="K973" i="6"/>
  <c r="K1013" i="6"/>
  <c r="K1077" i="6"/>
  <c r="K1117" i="6"/>
  <c r="K1165" i="6"/>
  <c r="K1213" i="6"/>
  <c r="K1253" i="6"/>
  <c r="K1301" i="6"/>
  <c r="K417" i="6"/>
  <c r="K513" i="6"/>
  <c r="K577" i="6"/>
  <c r="K625" i="6"/>
  <c r="K665" i="6"/>
  <c r="K721" i="6"/>
  <c r="K769" i="6"/>
  <c r="K825" i="6"/>
  <c r="K873" i="6"/>
  <c r="K913" i="6"/>
  <c r="K961" i="6"/>
  <c r="K1001" i="6"/>
  <c r="K1049" i="6"/>
  <c r="K1089" i="6"/>
  <c r="K1137" i="6"/>
  <c r="K1177" i="6"/>
  <c r="K1233" i="6"/>
  <c r="K1369" i="6"/>
  <c r="K1425" i="6"/>
  <c r="K1465" i="6"/>
  <c r="K1529" i="6"/>
  <c r="K1569" i="6"/>
  <c r="K1617" i="6"/>
  <c r="K1713" i="6"/>
  <c r="K1817" i="6"/>
  <c r="K1921" i="6"/>
  <c r="K1977" i="6"/>
  <c r="K2097" i="6"/>
  <c r="K1405" i="6"/>
  <c r="K1453" i="6"/>
  <c r="K1493" i="6"/>
  <c r="K1589" i="6"/>
  <c r="K1645" i="6"/>
  <c r="K1773" i="6"/>
  <c r="K1821" i="6"/>
  <c r="K1917" i="6"/>
  <c r="K1997" i="6"/>
  <c r="K2085" i="6"/>
  <c r="K22" i="6"/>
  <c r="K70" i="6"/>
  <c r="K126" i="6"/>
  <c r="K166" i="6"/>
  <c r="K206" i="6"/>
  <c r="K254" i="6"/>
  <c r="K294" i="6"/>
  <c r="K334" i="6"/>
  <c r="K390" i="6"/>
  <c r="K430" i="6"/>
  <c r="K478" i="6"/>
  <c r="K518" i="6"/>
  <c r="K646" i="6"/>
  <c r="K686" i="6"/>
  <c r="K742" i="6"/>
  <c r="K1974" i="6"/>
  <c r="K2070" i="6"/>
  <c r="K2142" i="6"/>
  <c r="K2053" i="6"/>
  <c r="K758" i="6"/>
  <c r="K806" i="6"/>
  <c r="K886" i="6"/>
  <c r="K934" i="6"/>
  <c r="K982" i="6"/>
  <c r="K1046" i="6"/>
  <c r="K1110" i="6"/>
  <c r="K1158" i="6"/>
  <c r="K1206" i="6"/>
  <c r="K1254" i="6"/>
  <c r="K1302" i="6"/>
  <c r="K1350" i="6"/>
  <c r="K1430" i="6"/>
  <c r="K1518" i="6"/>
  <c r="K1566" i="6"/>
  <c r="K1614" i="6"/>
  <c r="K1654" i="6"/>
  <c r="K1694" i="6"/>
  <c r="K1838" i="6"/>
  <c r="K1886" i="6"/>
  <c r="K2065" i="6"/>
  <c r="K2062" i="6"/>
  <c r="K1898" i="6"/>
  <c r="K953" i="6"/>
  <c r="K1129" i="6"/>
  <c r="K1169" i="6"/>
  <c r="K1225" i="6"/>
  <c r="K1273" i="6"/>
  <c r="K1313" i="6"/>
  <c r="K1361" i="6"/>
  <c r="K1417" i="6"/>
  <c r="K382" i="6"/>
  <c r="K558" i="6"/>
  <c r="K1592" i="6"/>
  <c r="K106" i="6"/>
  <c r="K554" i="6"/>
  <c r="K866" i="6"/>
  <c r="K1082" i="6"/>
  <c r="K1538" i="6"/>
  <c r="K2154" i="6"/>
  <c r="K115" i="6"/>
  <c r="K995" i="6"/>
  <c r="K528" i="6"/>
  <c r="K936" i="6"/>
  <c r="K1400" i="6"/>
  <c r="K1720" i="6"/>
  <c r="K2080" i="6"/>
  <c r="K2032" i="6"/>
  <c r="K400" i="6"/>
  <c r="K1803" i="6"/>
  <c r="K1899" i="6"/>
  <c r="K2059" i="6"/>
  <c r="K36" i="6"/>
  <c r="K148" i="6"/>
  <c r="K628" i="6"/>
  <c r="K892" i="6"/>
  <c r="K964" i="6"/>
  <c r="K1060" i="6"/>
  <c r="K295" i="6"/>
  <c r="K983" i="6"/>
  <c r="K1375" i="6"/>
  <c r="K1623" i="6"/>
  <c r="K1711" i="6"/>
  <c r="K1871" i="6"/>
  <c r="K1967" i="6"/>
  <c r="K2111" i="6"/>
  <c r="K65" i="6"/>
  <c r="K233" i="6"/>
  <c r="K1220" i="6"/>
  <c r="K1284" i="6"/>
  <c r="K1556" i="6"/>
  <c r="K1636" i="6"/>
  <c r="K1692" i="6"/>
  <c r="K1748" i="6"/>
  <c r="K1796" i="6"/>
  <c r="K1844" i="6"/>
  <c r="K1956" i="6"/>
  <c r="K2020" i="6"/>
  <c r="K2068" i="6"/>
  <c r="K2108" i="6"/>
  <c r="K5" i="6"/>
  <c r="K101" i="6"/>
  <c r="K149" i="6"/>
  <c r="K197" i="6"/>
  <c r="K317" i="6"/>
  <c r="K373" i="6"/>
  <c r="K573" i="6"/>
  <c r="K629" i="6"/>
  <c r="K677" i="6"/>
  <c r="K725" i="6"/>
  <c r="K781" i="6"/>
  <c r="K837" i="6"/>
  <c r="K885" i="6"/>
  <c r="K1029" i="6"/>
  <c r="K1125" i="6"/>
  <c r="K1261" i="6"/>
  <c r="K1309" i="6"/>
  <c r="K425" i="6"/>
  <c r="K465" i="6"/>
  <c r="K521" i="6"/>
  <c r="K585" i="6"/>
  <c r="K673" i="6"/>
  <c r="K777" i="6"/>
  <c r="K1009" i="6"/>
  <c r="K1097" i="6"/>
  <c r="K1241" i="6"/>
  <c r="K1281" i="6"/>
  <c r="K1321" i="6"/>
  <c r="K1377" i="6"/>
  <c r="K1473" i="6"/>
  <c r="K1625" i="6"/>
  <c r="K1673" i="6"/>
  <c r="K1721" i="6"/>
  <c r="K1769" i="6"/>
  <c r="K1825" i="6"/>
  <c r="K1873" i="6"/>
  <c r="K2025" i="6"/>
  <c r="K2105" i="6"/>
  <c r="K1357" i="6"/>
  <c r="K1413" i="6"/>
  <c r="K1461" i="6"/>
  <c r="K1501" i="6"/>
  <c r="K1549" i="6"/>
  <c r="K1597" i="6"/>
  <c r="K1653" i="6"/>
  <c r="K1685" i="6"/>
  <c r="K1725" i="6"/>
  <c r="K1781" i="6"/>
  <c r="K1869" i="6"/>
  <c r="K1933" i="6"/>
  <c r="K2005" i="6"/>
  <c r="K2101" i="6"/>
  <c r="K214" i="6"/>
  <c r="K302" i="6"/>
  <c r="K398" i="6"/>
  <c r="K438" i="6"/>
  <c r="K486" i="6"/>
  <c r="K566" i="6"/>
  <c r="K606" i="6"/>
  <c r="K694" i="6"/>
  <c r="K1998" i="6"/>
  <c r="K2078" i="6"/>
  <c r="K2150" i="6"/>
  <c r="K2013" i="6"/>
  <c r="K766" i="6"/>
  <c r="K846" i="6"/>
  <c r="K990" i="6"/>
  <c r="K1118" i="6"/>
  <c r="K1166" i="6"/>
  <c r="K1262" i="6"/>
  <c r="K1358" i="6"/>
  <c r="K1398" i="6"/>
  <c r="K1438" i="6"/>
  <c r="K1478" i="6"/>
  <c r="K1574" i="6"/>
  <c r="K1742" i="6"/>
  <c r="K1782" i="6"/>
  <c r="K2057" i="6"/>
  <c r="K2046" i="6"/>
  <c r="K301" i="6"/>
  <c r="K569" i="6"/>
  <c r="K246" i="6"/>
  <c r="K798" i="6"/>
  <c r="K878" i="6"/>
  <c r="K1038" i="6"/>
  <c r="K2126" i="6"/>
  <c r="K1016" i="6"/>
  <c r="K120" i="6"/>
  <c r="K1176" i="6"/>
  <c r="K18" i="6"/>
  <c r="K242" i="6"/>
  <c r="K778" i="6"/>
  <c r="K1226" i="6"/>
  <c r="K1378" i="6"/>
  <c r="K1458" i="6"/>
  <c r="K323" i="6"/>
  <c r="K691" i="6"/>
  <c r="K835" i="6"/>
  <c r="K1131" i="6"/>
  <c r="K1211" i="6"/>
  <c r="K560" i="6"/>
  <c r="K976" i="6"/>
  <c r="K1264" i="6"/>
  <c r="K808" i="6"/>
  <c r="K1339" i="6"/>
  <c r="K1523" i="6"/>
  <c r="K1611" i="6"/>
  <c r="K1707" i="6"/>
  <c r="K47" i="6"/>
  <c r="K215" i="6"/>
  <c r="K44" i="6"/>
  <c r="K292" i="6"/>
  <c r="K380" i="6"/>
  <c r="K532" i="6"/>
  <c r="K796" i="6"/>
  <c r="K615" i="6"/>
  <c r="K703" i="6"/>
  <c r="K863" i="6"/>
  <c r="K1127" i="6"/>
  <c r="K1287" i="6"/>
  <c r="K1519" i="6"/>
  <c r="K2055" i="6"/>
  <c r="K161" i="6"/>
  <c r="K241" i="6"/>
  <c r="K297" i="6"/>
  <c r="K361" i="6"/>
  <c r="K1228" i="6"/>
  <c r="K1292" i="6"/>
  <c r="K1348" i="6"/>
  <c r="K1564" i="6"/>
  <c r="K1756" i="6"/>
  <c r="K1900" i="6"/>
  <c r="K1964" i="6"/>
  <c r="K2116" i="6"/>
  <c r="K61" i="6"/>
  <c r="K205" i="6"/>
  <c r="K253" i="6"/>
  <c r="K325" i="6"/>
  <c r="K389" i="6"/>
  <c r="K437" i="6"/>
  <c r="K477" i="6"/>
  <c r="K533" i="6"/>
  <c r="K581" i="6"/>
  <c r="K637" i="6"/>
  <c r="K789" i="6"/>
  <c r="K845" i="6"/>
  <c r="K893" i="6"/>
  <c r="K933" i="6"/>
  <c r="K1085" i="6"/>
  <c r="K1133" i="6"/>
  <c r="K1173" i="6"/>
  <c r="K1221" i="6"/>
  <c r="K1269" i="6"/>
  <c r="K1317" i="6"/>
  <c r="K473" i="6"/>
  <c r="K529" i="6"/>
  <c r="K633" i="6"/>
  <c r="K729" i="6"/>
  <c r="K785" i="6"/>
  <c r="K833" i="6"/>
  <c r="K881" i="6"/>
  <c r="K921" i="6"/>
  <c r="K969" i="6"/>
  <c r="K1017" i="6"/>
  <c r="K1057" i="6"/>
  <c r="K1145" i="6"/>
  <c r="K1185" i="6"/>
  <c r="K1249" i="6"/>
  <c r="K1329" i="6"/>
  <c r="K1385" i="6"/>
  <c r="K1433" i="6"/>
  <c r="K1481" i="6"/>
  <c r="K1537" i="6"/>
  <c r="K1577" i="6"/>
  <c r="K1633" i="6"/>
  <c r="K1729" i="6"/>
  <c r="K1777" i="6"/>
  <c r="K1833" i="6"/>
  <c r="K1881" i="6"/>
  <c r="K1929" i="6"/>
  <c r="K2033" i="6"/>
  <c r="K2113" i="6"/>
  <c r="K1365" i="6"/>
  <c r="K1421" i="6"/>
  <c r="K1509" i="6"/>
  <c r="K1605" i="6"/>
  <c r="K1693" i="6"/>
  <c r="K1829" i="6"/>
  <c r="K1941" i="6"/>
  <c r="K2021" i="6"/>
  <c r="K2109" i="6"/>
  <c r="K30" i="6"/>
  <c r="K78" i="6"/>
  <c r="K134" i="6"/>
  <c r="K174" i="6"/>
  <c r="K262" i="6"/>
  <c r="K342" i="6"/>
  <c r="K406" i="6"/>
  <c r="K494" i="6"/>
  <c r="K526" i="6"/>
  <c r="K574" i="6"/>
  <c r="K654" i="6"/>
  <c r="K702" i="6"/>
  <c r="K750" i="6"/>
  <c r="K2006" i="6"/>
  <c r="K2086" i="6"/>
  <c r="K2158" i="6"/>
  <c r="K1973" i="6"/>
  <c r="K774" i="6"/>
  <c r="K814" i="6"/>
  <c r="K854" i="6"/>
  <c r="K894" i="6"/>
  <c r="K942" i="6"/>
  <c r="K998" i="6"/>
  <c r="K1062" i="6"/>
  <c r="K1174" i="6"/>
  <c r="K1214" i="6"/>
  <c r="K1270" i="6"/>
  <c r="K1310" i="6"/>
  <c r="K1446" i="6"/>
  <c r="K1486" i="6"/>
  <c r="K1526" i="6"/>
  <c r="K1582" i="6"/>
  <c r="K1622" i="6"/>
  <c r="K1662" i="6"/>
  <c r="K1702" i="6"/>
  <c r="K1790" i="6"/>
  <c r="K1846" i="6"/>
  <c r="K1894" i="6"/>
  <c r="K2017" i="6"/>
  <c r="K1990" i="6"/>
  <c r="K133" i="6"/>
  <c r="K917" i="6"/>
  <c r="K1349" i="6"/>
  <c r="K457" i="6"/>
  <c r="K505" i="6"/>
  <c r="K617" i="6"/>
  <c r="K713" i="6"/>
  <c r="K761" i="6"/>
  <c r="K838" i="6"/>
  <c r="K926" i="6"/>
  <c r="K1102" i="6"/>
  <c r="K1150" i="6"/>
  <c r="K1246" i="6"/>
  <c r="K1342" i="6"/>
  <c r="K1422" i="6"/>
  <c r="K1558" i="6"/>
  <c r="K1918" i="6"/>
  <c r="K168" i="6"/>
  <c r="K1352" i="6"/>
  <c r="K690" i="6"/>
  <c r="K994" i="6"/>
  <c r="K1674" i="6"/>
  <c r="K1818" i="6"/>
  <c r="K467" i="6"/>
  <c r="K603" i="6"/>
  <c r="K152" i="6"/>
  <c r="K1624" i="6"/>
  <c r="K1347" i="6"/>
  <c r="K1531" i="6"/>
  <c r="K1619" i="6"/>
  <c r="K55" i="6"/>
  <c r="K223" i="6"/>
  <c r="K196" i="6"/>
  <c r="K343" i="6"/>
  <c r="K431" i="6"/>
  <c r="K519" i="6"/>
  <c r="K871" i="6"/>
  <c r="K1047" i="6"/>
  <c r="K1423" i="6"/>
  <c r="K1527" i="6"/>
  <c r="K2135" i="6"/>
  <c r="K97" i="6"/>
  <c r="K169" i="6"/>
  <c r="K1356" i="6"/>
  <c r="K1404" i="6"/>
  <c r="K1484" i="6"/>
  <c r="K1708" i="6"/>
  <c r="K1860" i="6"/>
  <c r="K1908" i="6"/>
  <c r="K1972" i="6"/>
  <c r="K2028" i="6"/>
  <c r="K21" i="6"/>
  <c r="K69" i="6"/>
  <c r="K109" i="6"/>
  <c r="K157" i="6"/>
  <c r="K213" i="6"/>
  <c r="K261" i="6"/>
  <c r="K341" i="6"/>
  <c r="K397" i="6"/>
  <c r="K445" i="6"/>
  <c r="K485" i="6"/>
  <c r="K541" i="6"/>
  <c r="K589" i="6"/>
  <c r="K645" i="6"/>
  <c r="K685" i="6"/>
  <c r="K733" i="6"/>
  <c r="K989" i="6"/>
  <c r="K1037" i="6"/>
  <c r="K1093" i="6"/>
  <c r="K1141" i="6"/>
  <c r="K1229" i="6"/>
  <c r="K1277" i="6"/>
  <c r="K1325" i="6"/>
  <c r="K433" i="6"/>
  <c r="K537" i="6"/>
  <c r="K593" i="6"/>
  <c r="K681" i="6"/>
  <c r="K793" i="6"/>
  <c r="K841" i="6"/>
  <c r="K929" i="6"/>
  <c r="K1025" i="6"/>
  <c r="K1065" i="6"/>
  <c r="K1105" i="6"/>
  <c r="K1153" i="6"/>
  <c r="K1193" i="6"/>
  <c r="K1289" i="6"/>
  <c r="K1337" i="6"/>
  <c r="K1393" i="6"/>
  <c r="K1441" i="6"/>
  <c r="K1489" i="6"/>
  <c r="K1545" i="6"/>
  <c r="K1585" i="6"/>
  <c r="K1641" i="6"/>
  <c r="K1681" i="6"/>
  <c r="K1841" i="6"/>
  <c r="K1889" i="6"/>
  <c r="K1937" i="6"/>
  <c r="K2041" i="6"/>
  <c r="K2121" i="6"/>
  <c r="K1373" i="6"/>
  <c r="K1469" i="6"/>
  <c r="K1517" i="6"/>
  <c r="K1557" i="6"/>
  <c r="K1613" i="6"/>
  <c r="K1661" i="6"/>
  <c r="K1701" i="6"/>
  <c r="K1733" i="6"/>
  <c r="K1789" i="6"/>
  <c r="K1837" i="6"/>
  <c r="K1877" i="6"/>
  <c r="K1949" i="6"/>
  <c r="K2029" i="6"/>
  <c r="K2133" i="6"/>
  <c r="K38" i="6"/>
  <c r="K86" i="6"/>
  <c r="K142" i="6"/>
  <c r="K222" i="6"/>
  <c r="K270" i="6"/>
  <c r="K310" i="6"/>
  <c r="K350" i="6"/>
  <c r="K446" i="6"/>
  <c r="K534" i="6"/>
  <c r="K582" i="6"/>
  <c r="K614" i="6"/>
  <c r="K662" i="6"/>
  <c r="K710" i="6"/>
  <c r="K1054" i="6"/>
  <c r="K2014" i="6"/>
  <c r="K2094" i="6"/>
  <c r="K2157" i="6"/>
  <c r="K1925" i="6"/>
  <c r="K822" i="6"/>
  <c r="K950" i="6"/>
  <c r="K1006" i="6"/>
  <c r="K1070" i="6"/>
  <c r="K1126" i="6"/>
  <c r="K1222" i="6"/>
  <c r="K1366" i="6"/>
  <c r="K1406" i="6"/>
  <c r="K1494" i="6"/>
  <c r="K1534" i="6"/>
  <c r="K1590" i="6"/>
  <c r="K1630" i="6"/>
  <c r="K1670" i="6"/>
  <c r="K1710" i="6"/>
  <c r="K1750" i="6"/>
  <c r="K1798" i="6"/>
  <c r="K1854" i="6"/>
  <c r="K1902" i="6"/>
  <c r="K2009" i="6"/>
  <c r="K1982" i="6"/>
  <c r="K1521" i="6"/>
  <c r="K1913" i="6"/>
  <c r="K1397" i="6"/>
  <c r="K1541" i="6"/>
  <c r="K1581" i="6"/>
  <c r="K1637" i="6"/>
  <c r="K1677" i="6"/>
  <c r="K1717" i="6"/>
  <c r="K1765" i="6"/>
  <c r="K1813" i="6"/>
  <c r="K1861" i="6"/>
  <c r="K1909" i="6"/>
  <c r="K1989" i="6"/>
  <c r="K2077" i="6"/>
  <c r="K14" i="6"/>
  <c r="K62" i="6"/>
  <c r="K118" i="6"/>
  <c r="K158" i="6"/>
  <c r="K1966" i="6"/>
  <c r="K2054" i="6"/>
  <c r="K2134" i="6"/>
  <c r="K2069" i="6"/>
  <c r="K1952" i="6"/>
  <c r="K728" i="6"/>
  <c r="K1800" i="6"/>
  <c r="K154" i="6"/>
  <c r="K378" i="6"/>
  <c r="K602" i="6"/>
  <c r="K914" i="6"/>
  <c r="K1586" i="6"/>
  <c r="K19" i="6"/>
  <c r="K379" i="6"/>
  <c r="K1043" i="6"/>
  <c r="K448" i="6"/>
  <c r="K776" i="6"/>
  <c r="K112" i="6"/>
  <c r="K1419" i="6"/>
  <c r="K2099" i="6"/>
  <c r="K204" i="6"/>
  <c r="K428" i="6"/>
  <c r="K676" i="6"/>
  <c r="K1100" i="6"/>
  <c r="K351" i="6"/>
  <c r="K439" i="6"/>
  <c r="K527" i="6"/>
  <c r="K759" i="6"/>
  <c r="K935" i="6"/>
  <c r="K1183" i="6"/>
  <c r="K1767" i="6"/>
  <c r="K1983" i="6"/>
  <c r="K2071" i="6"/>
  <c r="K2143" i="6"/>
  <c r="K257" i="6"/>
  <c r="K1252" i="6"/>
  <c r="K1308" i="6"/>
  <c r="K1412" i="6"/>
  <c r="K1588" i="6"/>
  <c r="K1652" i="6"/>
  <c r="K1812" i="6"/>
  <c r="K1916" i="6"/>
  <c r="K1980" i="6"/>
  <c r="K2084" i="6"/>
  <c r="K2132" i="6"/>
  <c r="K29" i="6"/>
  <c r="K77" i="6"/>
  <c r="K221" i="6"/>
  <c r="K277" i="6"/>
  <c r="K405" i="6"/>
  <c r="K453" i="6"/>
  <c r="K549" i="6"/>
  <c r="K597" i="6"/>
  <c r="K693" i="6"/>
  <c r="K741" i="6"/>
  <c r="K805" i="6"/>
  <c r="K853" i="6"/>
  <c r="K901" i="6"/>
  <c r="K949" i="6"/>
  <c r="K997" i="6"/>
  <c r="K1045" i="6"/>
  <c r="K1181" i="6"/>
  <c r="K1285" i="6"/>
  <c r="K481" i="6"/>
  <c r="K545" i="6"/>
  <c r="K601" i="6"/>
  <c r="K641" i="6"/>
  <c r="K689" i="6"/>
  <c r="K737" i="6"/>
  <c r="K801" i="6"/>
  <c r="K849" i="6"/>
  <c r="K889" i="6"/>
  <c r="K977" i="6"/>
  <c r="K1033" i="6"/>
  <c r="K1073" i="6"/>
  <c r="K1113" i="6"/>
  <c r="K1201" i="6"/>
  <c r="K1257" i="6"/>
  <c r="K1297" i="6"/>
  <c r="K1345" i="6"/>
  <c r="K1401" i="6"/>
  <c r="K1449" i="6"/>
  <c r="K1497" i="6"/>
  <c r="K1593" i="6"/>
  <c r="K1649" i="6"/>
  <c r="K1689" i="6"/>
  <c r="K1737" i="6"/>
  <c r="K1785" i="6"/>
  <c r="K1849" i="6"/>
  <c r="K1897" i="6"/>
  <c r="K1945" i="6"/>
  <c r="K2049" i="6"/>
  <c r="K2129" i="6"/>
  <c r="K1429" i="6"/>
  <c r="K1477" i="6"/>
  <c r="K1525" i="6"/>
  <c r="K1565" i="6"/>
  <c r="K1621" i="6"/>
  <c r="K1741" i="6"/>
  <c r="K1885" i="6"/>
  <c r="K1957" i="6"/>
  <c r="K2037" i="6"/>
  <c r="K2141" i="6"/>
  <c r="K46" i="6"/>
  <c r="K94" i="6"/>
  <c r="K182" i="6"/>
  <c r="K230" i="6"/>
  <c r="K278" i="6"/>
  <c r="K358" i="6"/>
  <c r="K414" i="6"/>
  <c r="K454" i="6"/>
  <c r="K502" i="6"/>
  <c r="K542" i="6"/>
  <c r="K622" i="6"/>
  <c r="K670" i="6"/>
  <c r="K718" i="6"/>
  <c r="K1182" i="6"/>
  <c r="K2022" i="6"/>
  <c r="K2102" i="6"/>
  <c r="K2125" i="6"/>
  <c r="K782" i="6"/>
  <c r="K862" i="6"/>
  <c r="K902" i="6"/>
  <c r="K1014" i="6"/>
  <c r="K1078" i="6"/>
  <c r="K1134" i="6"/>
  <c r="K1190" i="6"/>
  <c r="K1278" i="6"/>
  <c r="K1318" i="6"/>
  <c r="K1374" i="6"/>
  <c r="K1454" i="6"/>
  <c r="K1502" i="6"/>
  <c r="K1638" i="6"/>
  <c r="K1678" i="6"/>
  <c r="K1718" i="6"/>
  <c r="K1806" i="6"/>
  <c r="K1862" i="6"/>
  <c r="K2001" i="6"/>
  <c r="K1958" i="6"/>
  <c r="K189" i="6"/>
  <c r="K1061" i="6"/>
  <c r="K1157" i="6"/>
  <c r="K1205" i="6"/>
  <c r="K993" i="6"/>
  <c r="K470" i="6"/>
  <c r="K598" i="6"/>
  <c r="K1470" i="6"/>
  <c r="K1734" i="6"/>
  <c r="K1774" i="6"/>
  <c r="K1830" i="6"/>
  <c r="K1878" i="6"/>
  <c r="K328" i="6"/>
  <c r="K1408" i="6"/>
  <c r="K290" i="6"/>
  <c r="K514" i="6"/>
  <c r="K1122" i="6"/>
  <c r="K1274" i="6"/>
  <c r="K1874" i="6"/>
  <c r="K883" i="6"/>
  <c r="K264" i="6"/>
  <c r="K1160" i="6"/>
  <c r="K1544" i="6"/>
  <c r="K1832" i="6"/>
  <c r="K1152" i="6"/>
  <c r="K1243" i="6"/>
  <c r="K1427" i="6"/>
  <c r="K1835" i="6"/>
  <c r="K1939" i="6"/>
  <c r="K2019" i="6"/>
  <c r="K2107" i="6"/>
  <c r="K103" i="6"/>
  <c r="K84" i="6"/>
  <c r="K436" i="6"/>
  <c r="K580" i="6"/>
  <c r="K684" i="6"/>
  <c r="K844" i="6"/>
  <c r="K1012" i="6"/>
  <c r="K663" i="6"/>
  <c r="K943" i="6"/>
  <c r="K1335" i="6"/>
  <c r="K1663" i="6"/>
  <c r="K1839" i="6"/>
  <c r="K1911" i="6"/>
  <c r="K17" i="6"/>
  <c r="K113" i="6"/>
  <c r="K193" i="6"/>
  <c r="K313" i="6"/>
  <c r="K385" i="6"/>
  <c r="K1316" i="6"/>
  <c r="K1372" i="6"/>
  <c r="K1436" i="6"/>
  <c r="K1500" i="6"/>
  <c r="K1612" i="6"/>
  <c r="K1668" i="6"/>
  <c r="K1716" i="6"/>
  <c r="K1772" i="6"/>
  <c r="K1820" i="6"/>
  <c r="K1868" i="6"/>
  <c r="K1924" i="6"/>
  <c r="K2044" i="6"/>
  <c r="K2140" i="6"/>
  <c r="K37" i="6"/>
  <c r="K117" i="6"/>
  <c r="K165" i="6"/>
  <c r="K285" i="6"/>
  <c r="K349" i="6"/>
  <c r="K413" i="6"/>
  <c r="K493" i="6"/>
  <c r="K605" i="6"/>
  <c r="K653" i="6"/>
  <c r="K701" i="6"/>
  <c r="K813" i="6"/>
  <c r="K861" i="6"/>
  <c r="K957" i="6"/>
  <c r="K1101" i="6"/>
  <c r="K1149" i="6"/>
  <c r="K1189" i="6"/>
  <c r="K1237" i="6"/>
  <c r="K1333" i="6"/>
  <c r="K441" i="6"/>
  <c r="K489" i="6"/>
  <c r="K553" i="6"/>
  <c r="K649" i="6"/>
  <c r="K697" i="6"/>
  <c r="K745" i="6"/>
  <c r="K809" i="6"/>
  <c r="K857" i="6"/>
  <c r="K937" i="6"/>
  <c r="K1121" i="6"/>
  <c r="K1161" i="6"/>
  <c r="K1209" i="6"/>
  <c r="K1353" i="6"/>
  <c r="K1505" i="6"/>
  <c r="K1553" i="6"/>
  <c r="K1601" i="6"/>
  <c r="K1657" i="6"/>
  <c r="K1697" i="6"/>
  <c r="K1745" i="6"/>
  <c r="K1793" i="6"/>
  <c r="K1857" i="6"/>
  <c r="K1905" i="6"/>
  <c r="K1953" i="6"/>
  <c r="K2073" i="6"/>
  <c r="K2137" i="6"/>
  <c r="K1381" i="6"/>
  <c r="K1437" i="6"/>
  <c r="K1573" i="6"/>
  <c r="K1629" i="6"/>
  <c r="K1669" i="6"/>
  <c r="K1709" i="6"/>
  <c r="K1749" i="6"/>
  <c r="K1797" i="6"/>
  <c r="K1845" i="6"/>
  <c r="K1893" i="6"/>
  <c r="K1965" i="6"/>
  <c r="K2045" i="6"/>
  <c r="K2149" i="6"/>
  <c r="K102" i="6"/>
  <c r="K150" i="6"/>
  <c r="K190" i="6"/>
  <c r="K318" i="6"/>
  <c r="K366" i="6"/>
  <c r="K462" i="6"/>
  <c r="K550" i="6"/>
  <c r="K590" i="6"/>
  <c r="K630" i="6"/>
  <c r="K726" i="6"/>
  <c r="K1934" i="6"/>
  <c r="K2030" i="6"/>
  <c r="K2110" i="6"/>
  <c r="K2117" i="6"/>
  <c r="K830" i="6"/>
  <c r="K910" i="6"/>
  <c r="K958" i="6"/>
  <c r="K1022" i="6"/>
  <c r="K1086" i="6"/>
  <c r="K1230" i="6"/>
  <c r="K1286" i="6"/>
  <c r="K1326" i="6"/>
  <c r="K1382" i="6"/>
  <c r="K1414" i="6"/>
  <c r="K1542" i="6"/>
  <c r="K1598" i="6"/>
  <c r="K1726" i="6"/>
  <c r="K1758" i="6"/>
  <c r="K1814" i="6"/>
  <c r="K1910" i="6"/>
  <c r="K1993" i="6"/>
  <c r="K1942" i="6"/>
  <c r="K365" i="6"/>
  <c r="K657" i="6"/>
  <c r="K905" i="6"/>
  <c r="K326" i="6"/>
  <c r="K974" i="6"/>
  <c r="K1294" i="6"/>
  <c r="K1390" i="6"/>
  <c r="K1606" i="6"/>
  <c r="K432" i="6"/>
  <c r="K1208" i="6"/>
  <c r="K1576" i="6"/>
  <c r="K58" i="6"/>
  <c r="K818" i="6"/>
  <c r="K1418" i="6"/>
  <c r="K1946" i="6"/>
  <c r="K283" i="6"/>
  <c r="K1179" i="6"/>
  <c r="K312" i="6"/>
  <c r="K760" i="6"/>
  <c r="K1192" i="6"/>
  <c r="K1848" i="6"/>
  <c r="K1456" i="6"/>
  <c r="K1864" i="6"/>
  <c r="K1571" i="6"/>
  <c r="K1659" i="6"/>
  <c r="K1755" i="6"/>
  <c r="K1843" i="6"/>
  <c r="K271" i="6"/>
  <c r="K92" i="6"/>
  <c r="K252" i="6"/>
  <c r="K332" i="6"/>
  <c r="K588" i="6"/>
  <c r="K924" i="6"/>
  <c r="K1156" i="6"/>
  <c r="K671" i="6"/>
  <c r="K1015" i="6"/>
  <c r="K1087" i="6"/>
  <c r="K1239" i="6"/>
  <c r="K1471" i="6"/>
  <c r="K1567" i="6"/>
  <c r="K1671" i="6"/>
  <c r="K1919" i="6"/>
  <c r="K2015" i="6"/>
  <c r="K217" i="6"/>
  <c r="K321" i="6"/>
  <c r="K1444" i="6"/>
  <c r="K1780" i="6"/>
  <c r="K1828" i="6"/>
  <c r="K1996" i="6"/>
  <c r="K2052" i="6"/>
  <c r="K2092" i="6"/>
  <c r="K2148" i="6"/>
  <c r="K45" i="6"/>
  <c r="K85" i="6"/>
  <c r="K181" i="6"/>
  <c r="K237" i="6"/>
  <c r="K293" i="6"/>
  <c r="K357" i="6"/>
  <c r="K461" i="6"/>
  <c r="K501" i="6"/>
  <c r="K557" i="6"/>
  <c r="K613" i="6"/>
  <c r="K757" i="6"/>
  <c r="K869" i="6"/>
  <c r="K909" i="6"/>
  <c r="K965" i="6"/>
  <c r="K1005" i="6"/>
  <c r="K1053" i="6"/>
  <c r="K1197" i="6"/>
  <c r="K1245" i="6"/>
  <c r="K1293" i="6"/>
  <c r="K1341" i="6"/>
  <c r="K449" i="6"/>
  <c r="K497" i="6"/>
  <c r="K561" i="6"/>
  <c r="K609" i="6"/>
  <c r="K705" i="6"/>
  <c r="K753" i="6"/>
  <c r="K817" i="6"/>
  <c r="K865" i="6"/>
  <c r="K897" i="6"/>
  <c r="K945" i="6"/>
  <c r="K985" i="6"/>
  <c r="K1041" i="6"/>
  <c r="K1081" i="6"/>
  <c r="K1217" i="6"/>
  <c r="K1265" i="6"/>
  <c r="K1305" i="6"/>
  <c r="K1409" i="6"/>
  <c r="K1457" i="6"/>
  <c r="K1513" i="6"/>
  <c r="K1753" i="6"/>
  <c r="K1801" i="6"/>
  <c r="K1961" i="6"/>
  <c r="K2081" i="6"/>
  <c r="K2145" i="6"/>
  <c r="K1389" i="6"/>
  <c r="K1485" i="6"/>
  <c r="K1533" i="6"/>
  <c r="K1757" i="6"/>
  <c r="K1805" i="6"/>
  <c r="K1853" i="6"/>
  <c r="K1901" i="6"/>
  <c r="K1981" i="6"/>
  <c r="K2061" i="6"/>
  <c r="K6" i="6"/>
  <c r="K54" i="6"/>
  <c r="K110" i="6"/>
  <c r="K198" i="6"/>
  <c r="K238" i="6"/>
  <c r="K286" i="6"/>
  <c r="K374" i="6"/>
  <c r="K422" i="6"/>
  <c r="K510" i="6"/>
  <c r="K638" i="6"/>
  <c r="K678" i="6"/>
  <c r="K734" i="6"/>
  <c r="K1950" i="6"/>
  <c r="K2038" i="6"/>
  <c r="K2118" i="6"/>
  <c r="K2093" i="6"/>
  <c r="K790" i="6"/>
  <c r="K870" i="6"/>
  <c r="K918" i="6"/>
  <c r="K966" i="6"/>
  <c r="K1030" i="6"/>
  <c r="K1094" i="6"/>
  <c r="K1142" i="6"/>
  <c r="K1198" i="6"/>
  <c r="K1238" i="6"/>
  <c r="K1334" i="6"/>
  <c r="K1462" i="6"/>
  <c r="K1510" i="6"/>
  <c r="K1550" i="6"/>
  <c r="K1646" i="6"/>
  <c r="K1686" i="6"/>
  <c r="K1766" i="6"/>
  <c r="K1822" i="6"/>
  <c r="K1870" i="6"/>
  <c r="K2050" i="6"/>
  <c r="K1985" i="6"/>
  <c r="K1926" i="6"/>
  <c r="K952" i="6"/>
  <c r="K2000" i="6"/>
  <c r="K650" i="6"/>
  <c r="K730" i="6"/>
  <c r="K1634" i="6"/>
  <c r="K2010" i="6"/>
  <c r="K427" i="6"/>
  <c r="K643" i="6"/>
  <c r="K939" i="6"/>
  <c r="K280" i="6"/>
  <c r="K1064" i="6"/>
  <c r="K1552" i="6"/>
  <c r="K1379" i="6"/>
  <c r="K1667" i="6"/>
  <c r="K2155" i="6"/>
  <c r="K159" i="6"/>
  <c r="K484" i="6"/>
  <c r="K732" i="6"/>
  <c r="K1164" i="6"/>
  <c r="K479" i="6"/>
  <c r="K567" i="6"/>
  <c r="K807" i="6"/>
  <c r="K903" i="6"/>
  <c r="K1479" i="6"/>
  <c r="K1575" i="6"/>
  <c r="K2095" i="6"/>
  <c r="K49" i="6"/>
  <c r="K137" i="6"/>
  <c r="K273" i="6"/>
  <c r="K1268" i="6"/>
  <c r="K1332" i="6"/>
  <c r="K1524" i="6"/>
  <c r="K1676" i="6"/>
  <c r="K1740" i="6"/>
  <c r="K1876" i="6"/>
  <c r="K1948" i="6"/>
  <c r="K2004" i="6"/>
  <c r="K2060" i="6"/>
  <c r="K2100" i="6"/>
  <c r="K2156" i="6"/>
  <c r="K421" i="6"/>
  <c r="K509" i="6"/>
  <c r="K565" i="6"/>
  <c r="K717" i="6"/>
  <c r="K765" i="6"/>
  <c r="K821" i="6"/>
  <c r="K1561" i="6"/>
  <c r="K1609" i="6"/>
  <c r="K1665" i="6"/>
  <c r="K1705" i="6"/>
  <c r="K1761" i="6"/>
  <c r="K1809" i="6"/>
  <c r="K1865" i="6"/>
  <c r="K1969" i="6"/>
  <c r="K2089" i="6"/>
  <c r="K2153" i="6"/>
  <c r="K1445" i="6"/>
  <c r="K2042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" i="6"/>
  <c r="I2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3" i="6"/>
  <c r="S2" i="6"/>
  <c r="Q2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<sst xmlns="http://schemas.openxmlformats.org/spreadsheetml/2006/main" count="13082" uniqueCount="910">
  <si>
    <t>CustomerID</t>
  </si>
  <si>
    <t>CompanyName</t>
  </si>
  <si>
    <t>ContactName</t>
  </si>
  <si>
    <t>ContactTitle</t>
  </si>
  <si>
    <t>Address</t>
  </si>
  <si>
    <t>City</t>
  </si>
  <si>
    <t>Region</t>
  </si>
  <si>
    <t>PostalCode</t>
  </si>
  <si>
    <t>Country</t>
  </si>
  <si>
    <t>Phone</t>
  </si>
  <si>
    <t>Fax</t>
  </si>
  <si>
    <t>ALFKI</t>
  </si>
  <si>
    <t>Alfreds Futterkiste</t>
  </si>
  <si>
    <t>Maria Anders</t>
  </si>
  <si>
    <t>Sales Representative</t>
  </si>
  <si>
    <t>Obere Str. 57</t>
  </si>
  <si>
    <t>Berlin</t>
  </si>
  <si>
    <t>Germany</t>
  </si>
  <si>
    <t>030-0074321</t>
  </si>
  <si>
    <t>030-0076545</t>
  </si>
  <si>
    <t>ANATR</t>
  </si>
  <si>
    <t>Ana Trujillo Emparedados y helados</t>
  </si>
  <si>
    <t>Ana Trujillo</t>
  </si>
  <si>
    <t>Owner</t>
  </si>
  <si>
    <t>Avda. de la Constitución 2222</t>
  </si>
  <si>
    <t>México D.F.</t>
  </si>
  <si>
    <t>Mexico</t>
  </si>
  <si>
    <t>(5) 555-4729</t>
  </si>
  <si>
    <t>(5) 555-3745</t>
  </si>
  <si>
    <t>ANTON</t>
  </si>
  <si>
    <t>Antonio Moreno Taquería</t>
  </si>
  <si>
    <t>Antonio Moreno</t>
  </si>
  <si>
    <t>Mataderos  2312</t>
  </si>
  <si>
    <t>(5) 555-3932</t>
  </si>
  <si>
    <t>AROUT</t>
  </si>
  <si>
    <t>Around the Horn</t>
  </si>
  <si>
    <t>Thomas Hardy</t>
  </si>
  <si>
    <t>120 Hanover Sq.</t>
  </si>
  <si>
    <t>London</t>
  </si>
  <si>
    <t>WA1 1DP</t>
  </si>
  <si>
    <t>UK</t>
  </si>
  <si>
    <t>(171) 555-7788</t>
  </si>
  <si>
    <t>(171) 555-6750</t>
  </si>
  <si>
    <t>BERGS</t>
  </si>
  <si>
    <t>Berglunds snabbköp</t>
  </si>
  <si>
    <t>Christina Berglund</t>
  </si>
  <si>
    <t>Order Administrator</t>
  </si>
  <si>
    <t>Berguvsvägen  8</t>
  </si>
  <si>
    <t>Luleå</t>
  </si>
  <si>
    <t>S-958 22</t>
  </si>
  <si>
    <t>Sweden</t>
  </si>
  <si>
    <t>0921-12 34 65</t>
  </si>
  <si>
    <t>0921-12 34 67</t>
  </si>
  <si>
    <t>BLAUS</t>
  </si>
  <si>
    <t>Blauer See Delikatessen</t>
  </si>
  <si>
    <t>Hanna Moos</t>
  </si>
  <si>
    <t>Forsterstr. 57</t>
  </si>
  <si>
    <t>Mannheim</t>
  </si>
  <si>
    <t>0621-08460</t>
  </si>
  <si>
    <t>0621-08924</t>
  </si>
  <si>
    <t>BLONP</t>
  </si>
  <si>
    <t>Blondel père et fils</t>
  </si>
  <si>
    <t>Frédérique Citeaux</t>
  </si>
  <si>
    <t>Marketing Manager</t>
  </si>
  <si>
    <t>24, place Kléber</t>
  </si>
  <si>
    <t>Strasbourg</t>
  </si>
  <si>
    <t>France</t>
  </si>
  <si>
    <t>88.60.15.31</t>
  </si>
  <si>
    <t>88.60.15.32</t>
  </si>
  <si>
    <t>BOLID</t>
  </si>
  <si>
    <t>Bólido Comidas preparadas</t>
  </si>
  <si>
    <t>Martín Sommer</t>
  </si>
  <si>
    <t>C/ Araquil, 67</t>
  </si>
  <si>
    <t>Madrid</t>
  </si>
  <si>
    <t>Spain</t>
  </si>
  <si>
    <t>(91) 555 22 82</t>
  </si>
  <si>
    <t>(91) 555 91 99</t>
  </si>
  <si>
    <t>BONAP</t>
  </si>
  <si>
    <t>Bon app'</t>
  </si>
  <si>
    <t>Laurence Lebihan</t>
  </si>
  <si>
    <t>12, rue des Bouchers</t>
  </si>
  <si>
    <t>Marseille</t>
  </si>
  <si>
    <t>91.24.45.40</t>
  </si>
  <si>
    <t>91.24.45.41</t>
  </si>
  <si>
    <t>BOTTM</t>
  </si>
  <si>
    <t>Bottom-Dollar Markets</t>
  </si>
  <si>
    <t>Elizabeth Lincoln</t>
  </si>
  <si>
    <t>Accounting Manager</t>
  </si>
  <si>
    <t>23 Tsawassen Blvd.</t>
  </si>
  <si>
    <t>Tsawassen</t>
  </si>
  <si>
    <t>BC</t>
  </si>
  <si>
    <t>T2F 8M4</t>
  </si>
  <si>
    <t>Canada</t>
  </si>
  <si>
    <t>(604) 555-4729</t>
  </si>
  <si>
    <t>(604) 555-3745</t>
  </si>
  <si>
    <t>BSBEV</t>
  </si>
  <si>
    <t>B's Beverages</t>
  </si>
  <si>
    <t>Victoria Ashworth</t>
  </si>
  <si>
    <t>Fauntleroy Circus</t>
  </si>
  <si>
    <t>EC2 5NT</t>
  </si>
  <si>
    <t>(171) 555-1212</t>
  </si>
  <si>
    <t>CACTU</t>
  </si>
  <si>
    <t>Cactus Comidas para llevar</t>
  </si>
  <si>
    <t>Patricio Simpson</t>
  </si>
  <si>
    <t>Sales Agent</t>
  </si>
  <si>
    <t>Cerrito 333</t>
  </si>
  <si>
    <t>Buenos Aires</t>
  </si>
  <si>
    <t>Argentina</t>
  </si>
  <si>
    <t>(1) 135-5555</t>
  </si>
  <si>
    <t>(1) 135-4892</t>
  </si>
  <si>
    <t>CENTC</t>
  </si>
  <si>
    <t>Centro comercial Moctezuma</t>
  </si>
  <si>
    <t>Francisco Chang</t>
  </si>
  <si>
    <t>Sierras de Granada 9993</t>
  </si>
  <si>
    <t>(5) 555-3392</t>
  </si>
  <si>
    <t>(5) 555-7293</t>
  </si>
  <si>
    <t>CHOPS</t>
  </si>
  <si>
    <t>Chop-suey Chinese</t>
  </si>
  <si>
    <t>Yang Wang</t>
  </si>
  <si>
    <t>Hauptstr. 29</t>
  </si>
  <si>
    <t>Bern</t>
  </si>
  <si>
    <t>Switzerland</t>
  </si>
  <si>
    <t>0452-076545</t>
  </si>
  <si>
    <t>COMMI</t>
  </si>
  <si>
    <t>Comércio Mineiro</t>
  </si>
  <si>
    <t>Pedro Afonso</t>
  </si>
  <si>
    <t>Sales Associate</t>
  </si>
  <si>
    <t>Av. dos Lusíadas, 23</t>
  </si>
  <si>
    <t>São Paulo</t>
  </si>
  <si>
    <t>SP</t>
  </si>
  <si>
    <t>05432-043</t>
  </si>
  <si>
    <t>Brazil</t>
  </si>
  <si>
    <t>(11) 555-7647</t>
  </si>
  <si>
    <t>CONSH</t>
  </si>
  <si>
    <t>Consolidated Holdings</t>
  </si>
  <si>
    <t>Elizabeth Brown</t>
  </si>
  <si>
    <t>Berkeley Gardens 12  Brewery</t>
  </si>
  <si>
    <t>WX1 6LT</t>
  </si>
  <si>
    <t>(171) 555-2282</t>
  </si>
  <si>
    <t>(171) 555-9199</t>
  </si>
  <si>
    <t>DRACD</t>
  </si>
  <si>
    <t>Drachenblut Delikatessen</t>
  </si>
  <si>
    <t>Sven Ottlieb</t>
  </si>
  <si>
    <t>Walserweg 21</t>
  </si>
  <si>
    <t>Aachen</t>
  </si>
  <si>
    <t>0241-039123</t>
  </si>
  <si>
    <t>0241-059428</t>
  </si>
  <si>
    <t>DUMON</t>
  </si>
  <si>
    <t>Du monde entier</t>
  </si>
  <si>
    <t>Janine Labrune</t>
  </si>
  <si>
    <t>67, rue des Cinquante Otages</t>
  </si>
  <si>
    <t>Nantes</t>
  </si>
  <si>
    <t>40.67.88.88</t>
  </si>
  <si>
    <t>40.67.89.89</t>
  </si>
  <si>
    <t>EASTC</t>
  </si>
  <si>
    <t>Eastern Connection</t>
  </si>
  <si>
    <t>Ann Devon</t>
  </si>
  <si>
    <t>35 King George</t>
  </si>
  <si>
    <t>WX3 6FW</t>
  </si>
  <si>
    <t>(171) 555-0297</t>
  </si>
  <si>
    <t>(171) 555-3373</t>
  </si>
  <si>
    <t>ERNSH</t>
  </si>
  <si>
    <t>Ernst Handel</t>
  </si>
  <si>
    <t>Roland Mendel</t>
  </si>
  <si>
    <t>Sales Manager</t>
  </si>
  <si>
    <t>Kirchgasse 6</t>
  </si>
  <si>
    <t>Graz</t>
  </si>
  <si>
    <t>Austria</t>
  </si>
  <si>
    <t>7675-3425</t>
  </si>
  <si>
    <t>7675-3426</t>
  </si>
  <si>
    <t>FAMIA</t>
  </si>
  <si>
    <t>Familia Arquibaldo</t>
  </si>
  <si>
    <t>Aria Cruz</t>
  </si>
  <si>
    <t>Marketing Assistant</t>
  </si>
  <si>
    <t>Rua Orós, 92</t>
  </si>
  <si>
    <t>05442-030</t>
  </si>
  <si>
    <t>(11) 555-9857</t>
  </si>
  <si>
    <t>FISSA</t>
  </si>
  <si>
    <t>FISSA Fabrica Inter. Salchichas S.A.</t>
  </si>
  <si>
    <t>Diego Roel</t>
  </si>
  <si>
    <t>C/ Moralzarzal, 86</t>
  </si>
  <si>
    <t>(91) 555 94 44</t>
  </si>
  <si>
    <t>(91) 555 55 93</t>
  </si>
  <si>
    <t>FOLIG</t>
  </si>
  <si>
    <t>Folies gourmandes</t>
  </si>
  <si>
    <t>Martine Rancé</t>
  </si>
  <si>
    <t>Assistant Sales Agent</t>
  </si>
  <si>
    <t>184, chaussée de Tournai</t>
  </si>
  <si>
    <t>Lille</t>
  </si>
  <si>
    <t>20.16.10.16</t>
  </si>
  <si>
    <t>20.16.10.17</t>
  </si>
  <si>
    <t>FOLKO</t>
  </si>
  <si>
    <t>Folk och fä HB</t>
  </si>
  <si>
    <t>Maria Larsson</t>
  </si>
  <si>
    <t>Åkergatan 24</t>
  </si>
  <si>
    <t>Bräcke</t>
  </si>
  <si>
    <t>S-844 67</t>
  </si>
  <si>
    <t>0695-34 67 21</t>
  </si>
  <si>
    <t>FRANK</t>
  </si>
  <si>
    <t>Frankenversand</t>
  </si>
  <si>
    <t>Peter Franken</t>
  </si>
  <si>
    <t>Berliner Platz 43</t>
  </si>
  <si>
    <t>München</t>
  </si>
  <si>
    <t>089-0877310</t>
  </si>
  <si>
    <t>089-0877451</t>
  </si>
  <si>
    <t>FRANR</t>
  </si>
  <si>
    <t>France restauration</t>
  </si>
  <si>
    <t>Carine Schmitt</t>
  </si>
  <si>
    <t>54, rue Royale</t>
  </si>
  <si>
    <t>40.32.21.21</t>
  </si>
  <si>
    <t>40.32.21.20</t>
  </si>
  <si>
    <t>FRANS</t>
  </si>
  <si>
    <t>Franchi S.p.A.</t>
  </si>
  <si>
    <t>Paolo Accorti</t>
  </si>
  <si>
    <t>Via Monte Bianco 34</t>
  </si>
  <si>
    <t>Torino</t>
  </si>
  <si>
    <t>Italy</t>
  </si>
  <si>
    <t>011-4988260</t>
  </si>
  <si>
    <t>011-4988261</t>
  </si>
  <si>
    <t>FURIB</t>
  </si>
  <si>
    <t>Furia Bacalhau e Frutos do Mar</t>
  </si>
  <si>
    <t>Lino Rodriguez</t>
  </si>
  <si>
    <t>Jardim das rosas n. 32</t>
  </si>
  <si>
    <t>Lisboa</t>
  </si>
  <si>
    <t>Portugal</t>
  </si>
  <si>
    <t>(1) 354-2534</t>
  </si>
  <si>
    <t>(1) 354-2535</t>
  </si>
  <si>
    <t>GALED</t>
  </si>
  <si>
    <t>Galería del gastrónomo</t>
  </si>
  <si>
    <t>Eduardo Saavedra</t>
  </si>
  <si>
    <t>Rambla de Cataluña, 23</t>
  </si>
  <si>
    <t>Barcelona</t>
  </si>
  <si>
    <t>(93) 203 4560</t>
  </si>
  <si>
    <t>(93) 203 4561</t>
  </si>
  <si>
    <t>GODOS</t>
  </si>
  <si>
    <t>Godos Cocina Típica</t>
  </si>
  <si>
    <t>José Pedro Freyre</t>
  </si>
  <si>
    <t>C/ Romero, 33</t>
  </si>
  <si>
    <t>Sevilla</t>
  </si>
  <si>
    <t>(95) 555 82 82</t>
  </si>
  <si>
    <t>GOURL</t>
  </si>
  <si>
    <t>Gourmet Lanchonetes</t>
  </si>
  <si>
    <t>André Fonseca</t>
  </si>
  <si>
    <t>Av. Brasil, 442</t>
  </si>
  <si>
    <t>Campinas</t>
  </si>
  <si>
    <t>04876-786</t>
  </si>
  <si>
    <t>(11) 555-9482</t>
  </si>
  <si>
    <t>GREAL</t>
  </si>
  <si>
    <t>Great Lakes Food Market</t>
  </si>
  <si>
    <t>Howard Snyder</t>
  </si>
  <si>
    <t>2732 Baker Blvd.</t>
  </si>
  <si>
    <t>Eugene</t>
  </si>
  <si>
    <t>OR</t>
  </si>
  <si>
    <t>USA</t>
  </si>
  <si>
    <t>(503) 555-7555</t>
  </si>
  <si>
    <t>GROSR</t>
  </si>
  <si>
    <t>GROSELLA-Restaurante</t>
  </si>
  <si>
    <t>Manuel Pereira</t>
  </si>
  <si>
    <t>5ª Ave. Los Palos Grandes</t>
  </si>
  <si>
    <t>Caracas</t>
  </si>
  <si>
    <t>DF</t>
  </si>
  <si>
    <t>Venezuela</t>
  </si>
  <si>
    <t>(2) 283-2951</t>
  </si>
  <si>
    <t>(2) 283-3397</t>
  </si>
  <si>
    <t>HANAR</t>
  </si>
  <si>
    <t>Hanari Carnes</t>
  </si>
  <si>
    <t>Mario Pontes</t>
  </si>
  <si>
    <t>Rua do Paço, 67</t>
  </si>
  <si>
    <t>Rio de Janeiro</t>
  </si>
  <si>
    <t>RJ</t>
  </si>
  <si>
    <t>05454-876</t>
  </si>
  <si>
    <t>(21) 555-0091</t>
  </si>
  <si>
    <t>(21) 555-8765</t>
  </si>
  <si>
    <t>HILAA</t>
  </si>
  <si>
    <t>HILARIÓN-Abastos</t>
  </si>
  <si>
    <t>Carlos Hernández</t>
  </si>
  <si>
    <t>Carrera 22 con Ave. Carlos Soublette #8-35</t>
  </si>
  <si>
    <t>San Cristóbal</t>
  </si>
  <si>
    <t>Táchira</t>
  </si>
  <si>
    <t>(5) 555-1340</t>
  </si>
  <si>
    <t>(5) 555-1948</t>
  </si>
  <si>
    <t>HUNGC</t>
  </si>
  <si>
    <t>Hungry Coyote Import Store</t>
  </si>
  <si>
    <t>Yoshi Latimer</t>
  </si>
  <si>
    <t>City Center Plaza 516 Main St.</t>
  </si>
  <si>
    <t>Elgin</t>
  </si>
  <si>
    <t>(503) 555-6874</t>
  </si>
  <si>
    <t>(503) 555-2376</t>
  </si>
  <si>
    <t>HUNGO</t>
  </si>
  <si>
    <t>Hungry Owl All-Night Grocers</t>
  </si>
  <si>
    <t>Patricia McKenna</t>
  </si>
  <si>
    <t>8 Johnstown Road</t>
  </si>
  <si>
    <t>Cork</t>
  </si>
  <si>
    <t>Co. Cork</t>
  </si>
  <si>
    <t>Ireland</t>
  </si>
  <si>
    <t>2967 542</t>
  </si>
  <si>
    <t>2967 3333</t>
  </si>
  <si>
    <t>ISLAT</t>
  </si>
  <si>
    <t>Island Trading</t>
  </si>
  <si>
    <t>Helen Bennett</t>
  </si>
  <si>
    <t>Garden House Crowther Way</t>
  </si>
  <si>
    <t>Cowes</t>
  </si>
  <si>
    <t>Isle of Wight</t>
  </si>
  <si>
    <t>PO31 7PJ</t>
  </si>
  <si>
    <t>(198) 555-8888</t>
  </si>
  <si>
    <t>KOENE</t>
  </si>
  <si>
    <t>Königlich Essen</t>
  </si>
  <si>
    <t>Philip Cramer</t>
  </si>
  <si>
    <t>Maubelstr. 90</t>
  </si>
  <si>
    <t>Brandenburg</t>
  </si>
  <si>
    <t>0555-09876</t>
  </si>
  <si>
    <t>LACOR</t>
  </si>
  <si>
    <t>La corne d'abondance</t>
  </si>
  <si>
    <t>Daniel Tonini</t>
  </si>
  <si>
    <t>67, avenue de l'Europe</t>
  </si>
  <si>
    <t>Versailles</t>
  </si>
  <si>
    <t>30.59.84.10</t>
  </si>
  <si>
    <t>30.59.85.11</t>
  </si>
  <si>
    <t>LAMAI</t>
  </si>
  <si>
    <t>La maison d'Asie</t>
  </si>
  <si>
    <t>Annette Roulet</t>
  </si>
  <si>
    <t>1 rue Alsace-Lorraine</t>
  </si>
  <si>
    <t>Toulouse</t>
  </si>
  <si>
    <t>61.77.61.10</t>
  </si>
  <si>
    <t>61.77.61.11</t>
  </si>
  <si>
    <t>LAUGB</t>
  </si>
  <si>
    <t>Laughing Bacchus Wine Cellars</t>
  </si>
  <si>
    <t>Yoshi Tannamuri</t>
  </si>
  <si>
    <t>1900 Oak St.</t>
  </si>
  <si>
    <t>Vancouver</t>
  </si>
  <si>
    <t>V3F 2K1</t>
  </si>
  <si>
    <t>(604) 555-3392</t>
  </si>
  <si>
    <t>(604) 555-7293</t>
  </si>
  <si>
    <t>LAZYK</t>
  </si>
  <si>
    <t>Lazy K Kountry Store</t>
  </si>
  <si>
    <t>John Steel</t>
  </si>
  <si>
    <t>12 Orchestra Terrace</t>
  </si>
  <si>
    <t>Walla Walla</t>
  </si>
  <si>
    <t>WA</t>
  </si>
  <si>
    <t>(509) 555-7969</t>
  </si>
  <si>
    <t>(509) 555-6221</t>
  </si>
  <si>
    <t>LEHMS</t>
  </si>
  <si>
    <t>Lehmanns Marktstand</t>
  </si>
  <si>
    <t>Renate Messner</t>
  </si>
  <si>
    <t>Magazinweg 7</t>
  </si>
  <si>
    <t>Frankfurt a.M.</t>
  </si>
  <si>
    <t>069-0245984</t>
  </si>
  <si>
    <t>069-0245874</t>
  </si>
  <si>
    <t>LETSS</t>
  </si>
  <si>
    <t>Let's Stop N Shop</t>
  </si>
  <si>
    <t>Jaime Yorres</t>
  </si>
  <si>
    <t>87 Polk St. Suite 5</t>
  </si>
  <si>
    <t>San Francisco</t>
  </si>
  <si>
    <t>CA</t>
  </si>
  <si>
    <t>(415) 555-5938</t>
  </si>
  <si>
    <t>LILAS</t>
  </si>
  <si>
    <t>LILA-Supermercado</t>
  </si>
  <si>
    <t>Carlos González</t>
  </si>
  <si>
    <t>Carrera 52 con Ave. Bolívar #65-98 Llano Largo</t>
  </si>
  <si>
    <t>Barquisimeto</t>
  </si>
  <si>
    <t>Lara</t>
  </si>
  <si>
    <t>(9) 331-6954</t>
  </si>
  <si>
    <t>(9) 331-7256</t>
  </si>
  <si>
    <t>LINOD</t>
  </si>
  <si>
    <t>LINO-Delicateses</t>
  </si>
  <si>
    <t>Felipe Izquierdo</t>
  </si>
  <si>
    <t>Ave. 5 de Mayo Porlamar</t>
  </si>
  <si>
    <t>I. de Margarita</t>
  </si>
  <si>
    <t>Nueva Esparta</t>
  </si>
  <si>
    <t>(8) 34-56-12</t>
  </si>
  <si>
    <t>(8) 34-93-93</t>
  </si>
  <si>
    <t>LONEP</t>
  </si>
  <si>
    <t>Lonesome Pine Restaurant</t>
  </si>
  <si>
    <t>Fran Wilson</t>
  </si>
  <si>
    <t>89 Chiaroscuro Rd.</t>
  </si>
  <si>
    <t>Portland</t>
  </si>
  <si>
    <t>(503) 555-9573</t>
  </si>
  <si>
    <t>(503) 555-9646</t>
  </si>
  <si>
    <t>MAGAA</t>
  </si>
  <si>
    <t>Magazzini Alimentari Riuniti</t>
  </si>
  <si>
    <t>Giovanni Rovelli</t>
  </si>
  <si>
    <t>Via Ludovico il Moro 22</t>
  </si>
  <si>
    <t>Bergamo</t>
  </si>
  <si>
    <t>035-640230</t>
  </si>
  <si>
    <t>035-640231</t>
  </si>
  <si>
    <t>MAISD</t>
  </si>
  <si>
    <t>Maison Dewey</t>
  </si>
  <si>
    <t>Catherine Dewey</t>
  </si>
  <si>
    <t>Rue Joseph-Bens 532</t>
  </si>
  <si>
    <t>Bruxelles</t>
  </si>
  <si>
    <t>B-1180</t>
  </si>
  <si>
    <t>Belgium</t>
  </si>
  <si>
    <t>(02) 201 24 67</t>
  </si>
  <si>
    <t>(02) 201 24 68</t>
  </si>
  <si>
    <t>MEREP</t>
  </si>
  <si>
    <t>Mère Paillarde</t>
  </si>
  <si>
    <t>Jean Fresnière</t>
  </si>
  <si>
    <t>43 rue St. Laurent</t>
  </si>
  <si>
    <t>Montréal</t>
  </si>
  <si>
    <t>Québec</t>
  </si>
  <si>
    <t>H1J 1C3</t>
  </si>
  <si>
    <t>(514) 555-8054</t>
  </si>
  <si>
    <t>(514) 555-8055</t>
  </si>
  <si>
    <t>MORGK</t>
  </si>
  <si>
    <t>Morgenstern Gesundkost</t>
  </si>
  <si>
    <t>Alexander Feuer</t>
  </si>
  <si>
    <t>Heerstr. 22</t>
  </si>
  <si>
    <t>Leipzig</t>
  </si>
  <si>
    <t>0342-023176</t>
  </si>
  <si>
    <t>NORTS</t>
  </si>
  <si>
    <t>North/South</t>
  </si>
  <si>
    <t>Simon Crowther</t>
  </si>
  <si>
    <t>South House 300 Queensbridge</t>
  </si>
  <si>
    <t>SW7 1RZ</t>
  </si>
  <si>
    <t>(171) 555-7733</t>
  </si>
  <si>
    <t>(171) 555-2530</t>
  </si>
  <si>
    <t>OCEAN</t>
  </si>
  <si>
    <t>Océano Atlántico Ltda.</t>
  </si>
  <si>
    <t>Yvonne Moncada</t>
  </si>
  <si>
    <t>Ing. Gustavo Moncada 8585 Piso 20-A</t>
  </si>
  <si>
    <t>(1) 135-5333</t>
  </si>
  <si>
    <t>(1) 135-5535</t>
  </si>
  <si>
    <t>OLDWO</t>
  </si>
  <si>
    <t>Old World Delicatessen</t>
  </si>
  <si>
    <t>Rene Phillips</t>
  </si>
  <si>
    <t>2743 Bering St.</t>
  </si>
  <si>
    <t>Anchorage</t>
  </si>
  <si>
    <t>AK</t>
  </si>
  <si>
    <t>(907) 555-7584</t>
  </si>
  <si>
    <t>(907) 555-2880</t>
  </si>
  <si>
    <t>OTTIK</t>
  </si>
  <si>
    <t>Ottilies Käseladen</t>
  </si>
  <si>
    <t>Henriette Pfalzheim</t>
  </si>
  <si>
    <t>Mehrheimerstr. 369</t>
  </si>
  <si>
    <t>Köln</t>
  </si>
  <si>
    <t>0221-0644327</t>
  </si>
  <si>
    <t>0221-0765721</t>
  </si>
  <si>
    <t>PARIS</t>
  </si>
  <si>
    <t>Paris spécialités</t>
  </si>
  <si>
    <t>Marie Bertrand</t>
  </si>
  <si>
    <t>265, boulevard Charonne</t>
  </si>
  <si>
    <t>Paris</t>
  </si>
  <si>
    <t>(1) 42.34.22.66</t>
  </si>
  <si>
    <t>(1) 42.34.22.77</t>
  </si>
  <si>
    <t>PERIC</t>
  </si>
  <si>
    <t>Pericles Comidas clásicas</t>
  </si>
  <si>
    <t>Guillermo Fernández</t>
  </si>
  <si>
    <t>Calle Dr. Jorge Cash 321</t>
  </si>
  <si>
    <t>(5) 552-3745</t>
  </si>
  <si>
    <t>(5) 545-3745</t>
  </si>
  <si>
    <t>PICCO</t>
  </si>
  <si>
    <t>Piccolo und mehr</t>
  </si>
  <si>
    <t>Georg Pipps</t>
  </si>
  <si>
    <t>Geislweg 14</t>
  </si>
  <si>
    <t>Salzburg</t>
  </si>
  <si>
    <t>6562-9722</t>
  </si>
  <si>
    <t>6562-9723</t>
  </si>
  <si>
    <t>PRINI</t>
  </si>
  <si>
    <t>Princesa Isabel Vinhos</t>
  </si>
  <si>
    <t>Isabel de Castro</t>
  </si>
  <si>
    <t>Estrada da saúde n. 58</t>
  </si>
  <si>
    <t>(1) 356-5634</t>
  </si>
  <si>
    <t>QUEDE</t>
  </si>
  <si>
    <t>Que Delícia</t>
  </si>
  <si>
    <t>Bernardo Batista</t>
  </si>
  <si>
    <t>Rua da Panificadora, 12</t>
  </si>
  <si>
    <t>02389-673</t>
  </si>
  <si>
    <t>(21) 555-4252</t>
  </si>
  <si>
    <t>(21) 555-4545</t>
  </si>
  <si>
    <t>QUEEN</t>
  </si>
  <si>
    <t>Queen Cozinha</t>
  </si>
  <si>
    <t>Lúcia Carvalho</t>
  </si>
  <si>
    <t>Alameda dos Canàrios, 891</t>
  </si>
  <si>
    <t>05487-020</t>
  </si>
  <si>
    <t>(11) 555-1189</t>
  </si>
  <si>
    <t>QUICK</t>
  </si>
  <si>
    <t>QUICK-Stop</t>
  </si>
  <si>
    <t>Horst Kloss</t>
  </si>
  <si>
    <t>Taucherstraße 10</t>
  </si>
  <si>
    <t>Cunewalde</t>
  </si>
  <si>
    <t>0372-035188</t>
  </si>
  <si>
    <t>RANCH</t>
  </si>
  <si>
    <t>Rancho grande</t>
  </si>
  <si>
    <t>Sergio Gutiérrez</t>
  </si>
  <si>
    <t>Av. del Libertador 900</t>
  </si>
  <si>
    <t>(1) 123-5555</t>
  </si>
  <si>
    <t>(1) 123-5556</t>
  </si>
  <si>
    <t>RATTC</t>
  </si>
  <si>
    <t>Rattlesnake Canyon Grocery</t>
  </si>
  <si>
    <t>Paula Wilson</t>
  </si>
  <si>
    <t>Assistant Sales Representative</t>
  </si>
  <si>
    <t>2817 Milton Dr.</t>
  </si>
  <si>
    <t>Albuquerque</t>
  </si>
  <si>
    <t>NM</t>
  </si>
  <si>
    <t>(505) 555-5939</t>
  </si>
  <si>
    <t>(505) 555-3620</t>
  </si>
  <si>
    <t>REGGC</t>
  </si>
  <si>
    <t>Reggiani Caseifici</t>
  </si>
  <si>
    <t>Maurizio Moroni</t>
  </si>
  <si>
    <t>Strada Provinciale 124</t>
  </si>
  <si>
    <t>Reggio Emilia</t>
  </si>
  <si>
    <t>0522-556721</t>
  </si>
  <si>
    <t>0522-556722</t>
  </si>
  <si>
    <t>RICAR</t>
  </si>
  <si>
    <t>Ricardo Adocicados</t>
  </si>
  <si>
    <t>Janete Limeira</t>
  </si>
  <si>
    <t>Av. Copacabana, 267</t>
  </si>
  <si>
    <t>02389-890</t>
  </si>
  <si>
    <t>(21) 555-3412</t>
  </si>
  <si>
    <t>RICSU</t>
  </si>
  <si>
    <t>Richter Supermarkt</t>
  </si>
  <si>
    <t>Michael Holz</t>
  </si>
  <si>
    <t>Grenzacherweg 237</t>
  </si>
  <si>
    <t>Genève</t>
  </si>
  <si>
    <t>0897-034214</t>
  </si>
  <si>
    <t>ROMEY</t>
  </si>
  <si>
    <t>Romero y tomillo</t>
  </si>
  <si>
    <t>Alejandra Camino</t>
  </si>
  <si>
    <t>Gran Vía, 1</t>
  </si>
  <si>
    <t>(91) 745 6200</t>
  </si>
  <si>
    <t>(91) 745 6210</t>
  </si>
  <si>
    <t>SANTG</t>
  </si>
  <si>
    <t>Santé Gourmet</t>
  </si>
  <si>
    <t>Jonas Bergulfsen</t>
  </si>
  <si>
    <t>Erling Skakkes gate 78</t>
  </si>
  <si>
    <t>Stavern</t>
  </si>
  <si>
    <t>Norway</t>
  </si>
  <si>
    <t>07-98 92 35</t>
  </si>
  <si>
    <t>07-98 92 47</t>
  </si>
  <si>
    <t>SAVEA</t>
  </si>
  <si>
    <t>Save-a-lot Markets</t>
  </si>
  <si>
    <t>Jose Pavarotti</t>
  </si>
  <si>
    <t>187 Suffolk Ln.</t>
  </si>
  <si>
    <t>Boise</t>
  </si>
  <si>
    <t>ID</t>
  </si>
  <si>
    <t>(208) 555-8097</t>
  </si>
  <si>
    <t>SEVES</t>
  </si>
  <si>
    <t>Seven Seas Imports</t>
  </si>
  <si>
    <t>Hari Kumar</t>
  </si>
  <si>
    <t>90 Wadhurst Rd.</t>
  </si>
  <si>
    <t>OX15 4NB</t>
  </si>
  <si>
    <t>(171) 555-1717</t>
  </si>
  <si>
    <t>(171) 555-5646</t>
  </si>
  <si>
    <t>SIMOB</t>
  </si>
  <si>
    <t>Simons bistro</t>
  </si>
  <si>
    <t>Jytte Petersen</t>
  </si>
  <si>
    <t>Vinbæltet 34</t>
  </si>
  <si>
    <t>København</t>
  </si>
  <si>
    <t>Denmark</t>
  </si>
  <si>
    <t>31 12 34 56</t>
  </si>
  <si>
    <t>31 13 35 57</t>
  </si>
  <si>
    <t>SPECD</t>
  </si>
  <si>
    <t>Spécialités du monde</t>
  </si>
  <si>
    <t>Dominique Perrier</t>
  </si>
  <si>
    <t>25, rue Lauriston</t>
  </si>
  <si>
    <t>(1) 47.55.60.10</t>
  </si>
  <si>
    <t>(1) 47.55.60.20</t>
  </si>
  <si>
    <t>SPLIR</t>
  </si>
  <si>
    <t>Split Rail Beer &amp; Ale</t>
  </si>
  <si>
    <t>Art Braunschweiger</t>
  </si>
  <si>
    <t>P.O. Box 555</t>
  </si>
  <si>
    <t>Lander</t>
  </si>
  <si>
    <t>WY</t>
  </si>
  <si>
    <t>(307) 555-4680</t>
  </si>
  <si>
    <t>(307) 555-6525</t>
  </si>
  <si>
    <t>SUPRD</t>
  </si>
  <si>
    <t>Suprêmes délices</t>
  </si>
  <si>
    <t>Pascale Cartrain</t>
  </si>
  <si>
    <t>Boulevard Tirou, 255</t>
  </si>
  <si>
    <t>Charleroi</t>
  </si>
  <si>
    <t>B-6000</t>
  </si>
  <si>
    <t>(071) 23 67 22 20</t>
  </si>
  <si>
    <t>(071) 23 67 22 21</t>
  </si>
  <si>
    <t>THEBI</t>
  </si>
  <si>
    <t>The Big Cheese</t>
  </si>
  <si>
    <t>Liz Nixon</t>
  </si>
  <si>
    <t>89 Jefferson Way Suite 2</t>
  </si>
  <si>
    <t>(503) 555-3612</t>
  </si>
  <si>
    <t>THECR</t>
  </si>
  <si>
    <t>The Cracker Box</t>
  </si>
  <si>
    <t>Liu Wong</t>
  </si>
  <si>
    <t>55 Grizzly Peak Rd.</t>
  </si>
  <si>
    <t>Butte</t>
  </si>
  <si>
    <t>MT</t>
  </si>
  <si>
    <t>(406) 555-5834</t>
  </si>
  <si>
    <t>(406) 555-8083</t>
  </si>
  <si>
    <t>TOMSP</t>
  </si>
  <si>
    <t>Toms Spezialitäten</t>
  </si>
  <si>
    <t>Karin Josephs</t>
  </si>
  <si>
    <t>Luisenstr. 48</t>
  </si>
  <si>
    <t>Münster</t>
  </si>
  <si>
    <t>0251-031259</t>
  </si>
  <si>
    <t>0251-035695</t>
  </si>
  <si>
    <t>TORTU</t>
  </si>
  <si>
    <t>Tortuga Restaurante</t>
  </si>
  <si>
    <t>Miguel Angel Paolino</t>
  </si>
  <si>
    <t>Avda. Azteca 123</t>
  </si>
  <si>
    <t>(5) 555-2933</t>
  </si>
  <si>
    <t>TRADH</t>
  </si>
  <si>
    <t>Tradição Hipermercados</t>
  </si>
  <si>
    <t>Anabela Domingues</t>
  </si>
  <si>
    <t>Av. Inês de Castro, 414</t>
  </si>
  <si>
    <t>05634-030</t>
  </si>
  <si>
    <t>(11) 555-2167</t>
  </si>
  <si>
    <t>(11) 555-2168</t>
  </si>
  <si>
    <t>TRAIH</t>
  </si>
  <si>
    <t>Trail's Head Gourmet Provisioners</t>
  </si>
  <si>
    <t>Helvetius Nagy</t>
  </si>
  <si>
    <t>722 DaVinci Blvd.</t>
  </si>
  <si>
    <t>Kirkland</t>
  </si>
  <si>
    <t>(206) 555-8257</t>
  </si>
  <si>
    <t>(206) 555-2174</t>
  </si>
  <si>
    <t>VAFFE</t>
  </si>
  <si>
    <t>Vaffeljernet</t>
  </si>
  <si>
    <t>Palle Ibsen</t>
  </si>
  <si>
    <t>Smagsløget 45</t>
  </si>
  <si>
    <t>Århus</t>
  </si>
  <si>
    <t>86 21 32 43</t>
  </si>
  <si>
    <t>86 22 33 44</t>
  </si>
  <si>
    <t>VICTE</t>
  </si>
  <si>
    <t>Victuailles en stock</t>
  </si>
  <si>
    <t>Mary Saveley</t>
  </si>
  <si>
    <t>2, rue du Commerce</t>
  </si>
  <si>
    <t>Lyon</t>
  </si>
  <si>
    <t>78.32.54.86</t>
  </si>
  <si>
    <t>78.32.54.87</t>
  </si>
  <si>
    <t>VINET</t>
  </si>
  <si>
    <t>Vins et alcools Chevalier</t>
  </si>
  <si>
    <t>Paul Henriot</t>
  </si>
  <si>
    <t>59 rue de l'Abbaye</t>
  </si>
  <si>
    <t>Reims</t>
  </si>
  <si>
    <t>26.47.15.10</t>
  </si>
  <si>
    <t>26.47.15.11</t>
  </si>
  <si>
    <t>WANDK</t>
  </si>
  <si>
    <t>Die Wandernde Kuh</t>
  </si>
  <si>
    <t>Rita Müller</t>
  </si>
  <si>
    <t>Adenauerallee 900</t>
  </si>
  <si>
    <t>Stuttgart</t>
  </si>
  <si>
    <t>0711-020361</t>
  </si>
  <si>
    <t>0711-035428</t>
  </si>
  <si>
    <t>WARTH</t>
  </si>
  <si>
    <t>Wartian Herkku</t>
  </si>
  <si>
    <t>Pirkko Koskitalo</t>
  </si>
  <si>
    <t>Torikatu 38</t>
  </si>
  <si>
    <t>Oulu</t>
  </si>
  <si>
    <t>Finland</t>
  </si>
  <si>
    <t>981-443655</t>
  </si>
  <si>
    <t>WELLI</t>
  </si>
  <si>
    <t>Wellington Importadora</t>
  </si>
  <si>
    <t>Paula Parente</t>
  </si>
  <si>
    <t>Rua do Mercado, 12</t>
  </si>
  <si>
    <t>Resende</t>
  </si>
  <si>
    <t>08737-363</t>
  </si>
  <si>
    <t>(14) 555-8122</t>
  </si>
  <si>
    <t>WHITC</t>
  </si>
  <si>
    <t>White Clover Markets</t>
  </si>
  <si>
    <t>Karl Jablonski</t>
  </si>
  <si>
    <t>305 - 14th Ave. S. Suite 3B</t>
  </si>
  <si>
    <t>Seattle</t>
  </si>
  <si>
    <t>(206) 555-4112</t>
  </si>
  <si>
    <t>(206) 555-4115</t>
  </si>
  <si>
    <t>WILMK</t>
  </si>
  <si>
    <t>Wilman Kala</t>
  </si>
  <si>
    <t>Matti Karttunen</t>
  </si>
  <si>
    <t>Owner/Marketing Assistant</t>
  </si>
  <si>
    <t>Keskuskatu 45</t>
  </si>
  <si>
    <t>Helsinki</t>
  </si>
  <si>
    <t>90-224 8858</t>
  </si>
  <si>
    <t>WOLZA</t>
  </si>
  <si>
    <t>Wolski  Zajazd</t>
  </si>
  <si>
    <t>Zbyszek Piestrzeniewicz</t>
  </si>
  <si>
    <t>ul. Filtrowa 68</t>
  </si>
  <si>
    <t>Warszawa</t>
  </si>
  <si>
    <t>01-012</t>
  </si>
  <si>
    <t>Poland</t>
  </si>
  <si>
    <t>(26) 642-7012</t>
  </si>
  <si>
    <t>OrderID</t>
  </si>
  <si>
    <t>ProductID</t>
  </si>
  <si>
    <t>ProductName</t>
  </si>
  <si>
    <t>UnitPrice</t>
  </si>
  <si>
    <t>Quantity</t>
  </si>
  <si>
    <t>Discount</t>
  </si>
  <si>
    <t>OrderDate</t>
  </si>
  <si>
    <t>Queso Cabrales</t>
  </si>
  <si>
    <t>Singaporean Hokkien Fried Mee</t>
  </si>
  <si>
    <t>Mozzarella di Giovanni</t>
  </si>
  <si>
    <t>Tofu</t>
  </si>
  <si>
    <t>Manjimup Dried Apples</t>
  </si>
  <si>
    <t>Jack's New England Clam Chowder</t>
  </si>
  <si>
    <t>Louisiana Fiery Hot Pepper Sauce</t>
  </si>
  <si>
    <t>Gustaf's Knäckebröd</t>
  </si>
  <si>
    <t>Ravioli Angelo</t>
  </si>
  <si>
    <t>Sir Rodney's Marmalade</t>
  </si>
  <si>
    <t>Geitost</t>
  </si>
  <si>
    <t>Camembert Pierrot</t>
  </si>
  <si>
    <t>Gorgonzola Telino</t>
  </si>
  <si>
    <t>Chartreuse verte</t>
  </si>
  <si>
    <t>Maxilaku</t>
  </si>
  <si>
    <t>Guaraná Fantástica</t>
  </si>
  <si>
    <t>Pâté chinois</t>
  </si>
  <si>
    <t>Longlife Tofu</t>
  </si>
  <si>
    <t>Chang</t>
  </si>
  <si>
    <t>Pavlova</t>
  </si>
  <si>
    <t>Inlagd Sill</t>
  </si>
  <si>
    <t>Raclette Courdavault</t>
  </si>
  <si>
    <t>Perth Pasties</t>
  </si>
  <si>
    <t>Original Frankfurter grüne Soße</t>
  </si>
  <si>
    <t>Schoggi Schokolade</t>
  </si>
  <si>
    <t>Chef Anton's Gumbo Mix</t>
  </si>
  <si>
    <t>Mascarpone Fabioli</t>
  </si>
  <si>
    <t>Sir Rodney's Scones</t>
  </si>
  <si>
    <t>Gravad lax</t>
  </si>
  <si>
    <t>Tarte au sucre</t>
  </si>
  <si>
    <t>Outback Lager</t>
  </si>
  <si>
    <t>Steeleye Stout</t>
  </si>
  <si>
    <t>Uncle Bob's Organic Dried Pears</t>
  </si>
  <si>
    <t>Gnocchi di nonna Alice</t>
  </si>
  <si>
    <t>Nord-Ost Matjeshering</t>
  </si>
  <si>
    <t>Alice Mutton</t>
  </si>
  <si>
    <t>Queso Manchego La Pastora</t>
  </si>
  <si>
    <t>Boston Crab Meat</t>
  </si>
  <si>
    <t>Lakkalikööri</t>
  </si>
  <si>
    <t>Thüringer Rostbratwurst</t>
  </si>
  <si>
    <t>Ipoh Coffee</t>
  </si>
  <si>
    <t>Ikura</t>
  </si>
  <si>
    <t>Fløtemysost</t>
  </si>
  <si>
    <t>Konbu</t>
  </si>
  <si>
    <t>Rössle Sauerkraut</t>
  </si>
  <si>
    <t>Gula Malacca</t>
  </si>
  <si>
    <t>Vegie-spread</t>
  </si>
  <si>
    <t>Röd Kaviar</t>
  </si>
  <si>
    <t>Rhönbräu Klosterbier</t>
  </si>
  <si>
    <t>Teatime Chocolate Biscuits</t>
  </si>
  <si>
    <t>Genen Shouyu</t>
  </si>
  <si>
    <t>Laughing Lumberjack Lager</t>
  </si>
  <si>
    <t>Chai</t>
  </si>
  <si>
    <t>Sasquatch Ale</t>
  </si>
  <si>
    <t>Spegesild</t>
  </si>
  <si>
    <t>Tourtière</t>
  </si>
  <si>
    <t>Scottish Longbreads</t>
  </si>
  <si>
    <t>Aniseed Syrup</t>
  </si>
  <si>
    <t>Wimmers gute Semmelknödel</t>
  </si>
  <si>
    <t>Carnarvon Tigers</t>
  </si>
  <si>
    <t>Gudbrandsdalsost</t>
  </si>
  <si>
    <t>Louisiana Hot Spiced Okra</t>
  </si>
  <si>
    <t>Chef Anton's Cajun Seasoning</t>
  </si>
  <si>
    <t>Grandma's Boysenberry Spread</t>
  </si>
  <si>
    <t>Escargots de Bourgogne</t>
  </si>
  <si>
    <t>Filo Mix</t>
  </si>
  <si>
    <t>NuNuCa Nuß-Nougat-Creme</t>
  </si>
  <si>
    <t>Côte de Blaye</t>
  </si>
  <si>
    <t>Gumbär Gummibärchen</t>
  </si>
  <si>
    <t>Zaanse koeken</t>
  </si>
  <si>
    <t>Tunnbröd</t>
  </si>
  <si>
    <t>Northwoods Cranberry Sauce</t>
  </si>
  <si>
    <t>Valkoinen suklaa</t>
  </si>
  <si>
    <t>Røgede sild</t>
  </si>
  <si>
    <t>Chocolade</t>
  </si>
  <si>
    <t>Sirop d'érable</t>
  </si>
  <si>
    <t>Mishi Kobe Niku</t>
  </si>
  <si>
    <t>SalesPerson</t>
  </si>
  <si>
    <t>Tax</t>
  </si>
  <si>
    <t>Freight</t>
  </si>
  <si>
    <t>Tax Category</t>
  </si>
  <si>
    <t>orderDetailsTotal</t>
  </si>
  <si>
    <t>Jones_William</t>
  </si>
  <si>
    <t>Thompson_Chloe</t>
  </si>
  <si>
    <t>Thomas_Olivia</t>
  </si>
  <si>
    <t>Brown_Jayden</t>
  </si>
  <si>
    <t>Moore_Emily</t>
  </si>
  <si>
    <t>García_Daniel</t>
  </si>
  <si>
    <t>Hernández_Ava</t>
  </si>
  <si>
    <t>White_Mia</t>
  </si>
  <si>
    <t>Taylor_Emma</t>
  </si>
  <si>
    <t>Smith_Jacob</t>
  </si>
  <si>
    <t>Davis_Noah</t>
  </si>
  <si>
    <t>Rodríguez_Aiden</t>
  </si>
  <si>
    <t>Williams_Michael</t>
  </si>
  <si>
    <t>Anderson_Sophia</t>
  </si>
  <si>
    <t>Miller_Alexander</t>
  </si>
  <si>
    <t>Martínez_Isabella</t>
  </si>
  <si>
    <t>Martin_Abigail</t>
  </si>
  <si>
    <t>Wilson_Anthony</t>
  </si>
  <si>
    <t>Johnson_Ethan</t>
  </si>
  <si>
    <t>Jackson_Madison</t>
  </si>
  <si>
    <t>Customer Name</t>
  </si>
  <si>
    <t>Customer Contact</t>
  </si>
  <si>
    <t>First Name</t>
  </si>
  <si>
    <t>Last Name</t>
  </si>
  <si>
    <t>Last, First</t>
  </si>
  <si>
    <t>Last, First w/ &amp;</t>
  </si>
  <si>
    <t>Outlier</t>
  </si>
  <si>
    <t>Outlier with AND</t>
  </si>
  <si>
    <t>+2 and +3 outliers</t>
  </si>
  <si>
    <t>fat_concatenation</t>
  </si>
  <si>
    <t>extract ID</t>
  </si>
  <si>
    <t>extract ID with 2 find funcs</t>
  </si>
  <si>
    <t>product name</t>
  </si>
  <si>
    <t>Line Item Total</t>
  </si>
  <si>
    <t>Current</t>
  </si>
  <si>
    <t>1996 Q1</t>
  </si>
  <si>
    <t>Q1||Q2</t>
  </si>
  <si>
    <t>Average</t>
  </si>
  <si>
    <t>Min</t>
  </si>
  <si>
    <t>Max</t>
  </si>
  <si>
    <t>sum of products with 25%+ discout</t>
  </si>
  <si>
    <t>count of products with 25%+ discount</t>
  </si>
  <si>
    <t>sd</t>
  </si>
  <si>
    <t>Average + 3std</t>
  </si>
  <si>
    <t>Average - 3std</t>
  </si>
  <si>
    <t>Average + 2std</t>
  </si>
  <si>
    <t>Average - 2std</t>
  </si>
  <si>
    <t>No</t>
  </si>
  <si>
    <t>yes</t>
  </si>
  <si>
    <t>Grand Total</t>
  </si>
  <si>
    <t>Alfreds Futterkiste Total</t>
  </si>
  <si>
    <t>Ana Trujillo Emparedados y helados Total</t>
  </si>
  <si>
    <t>Antonio Moreno Taquería Total</t>
  </si>
  <si>
    <t>Around the Horn Total</t>
  </si>
  <si>
    <t>Berglunds snabbköp Total</t>
  </si>
  <si>
    <t>Blauer See Delikatessen Total</t>
  </si>
  <si>
    <t>Blondel père et fils Total</t>
  </si>
  <si>
    <t>Bólido Comidas preparadas Total</t>
  </si>
  <si>
    <t>Bon app' Total</t>
  </si>
  <si>
    <t>Bottom-Dollar Markets Total</t>
  </si>
  <si>
    <t>B's Beverages Total</t>
  </si>
  <si>
    <t>Cactus Comidas para llevar Total</t>
  </si>
  <si>
    <t>Centro comercial Moctezuma Total</t>
  </si>
  <si>
    <t>Chop-suey Chinese Total</t>
  </si>
  <si>
    <t>Comércio Mineiro Total</t>
  </si>
  <si>
    <t>Consolidated Holdings Total</t>
  </si>
  <si>
    <t>Die Wandernde Kuh Total</t>
  </si>
  <si>
    <t>Drachenblut Delikatessen Total</t>
  </si>
  <si>
    <t>Du monde entier Total</t>
  </si>
  <si>
    <t>Eastern Connection Total</t>
  </si>
  <si>
    <t>Ernst Handel Total</t>
  </si>
  <si>
    <t>Familia Arquibaldo Total</t>
  </si>
  <si>
    <t>Folies gourmandes Total</t>
  </si>
  <si>
    <t>Folk och fä HB Total</t>
  </si>
  <si>
    <t>France restauration Total</t>
  </si>
  <si>
    <t>Franchi S.p.A. Total</t>
  </si>
  <si>
    <t>Frankenversand Total</t>
  </si>
  <si>
    <t>Furia Bacalhau e Frutos do Mar Total</t>
  </si>
  <si>
    <t>Galería del gastrónomo Total</t>
  </si>
  <si>
    <t>Godos Cocina Típica Total</t>
  </si>
  <si>
    <t>Gourmet Lanchonetes Total</t>
  </si>
  <si>
    <t>Great Lakes Food Market Total</t>
  </si>
  <si>
    <t>GROSELLA-Restaurante Total</t>
  </si>
  <si>
    <t>Hanari Carnes Total</t>
  </si>
  <si>
    <t>HILARIÓN-Abastos Total</t>
  </si>
  <si>
    <t>Hungry Coyote Import Store Total</t>
  </si>
  <si>
    <t>Hungry Owl All-Night Grocers Total</t>
  </si>
  <si>
    <t>Island Trading Total</t>
  </si>
  <si>
    <t>Königlich Essen Total</t>
  </si>
  <si>
    <t>La corne d'abondance Total</t>
  </si>
  <si>
    <t>La maison d'Asie Total</t>
  </si>
  <si>
    <t>Laughing Bacchus Wine Cellars Total</t>
  </si>
  <si>
    <t>Lazy K Kountry Store Total</t>
  </si>
  <si>
    <t>Lehmanns Marktstand Total</t>
  </si>
  <si>
    <t>Let's Stop N Shop Total</t>
  </si>
  <si>
    <t>LILA-Supermercado Total</t>
  </si>
  <si>
    <t>LINO-Delicateses Total</t>
  </si>
  <si>
    <t>Lonesome Pine Restaurant Total</t>
  </si>
  <si>
    <t>Magazzini Alimentari Riuniti Total</t>
  </si>
  <si>
    <t>Maison Dewey Total</t>
  </si>
  <si>
    <t>Mère Paillarde Total</t>
  </si>
  <si>
    <t>Morgenstern Gesundkost Total</t>
  </si>
  <si>
    <t>North/South Total</t>
  </si>
  <si>
    <t>Océano Atlántico Ltda. Total</t>
  </si>
  <si>
    <t>Old World Delicatessen Total</t>
  </si>
  <si>
    <t>Ottilies Käseladen Total</t>
  </si>
  <si>
    <t>Pericles Comidas clásicas Total</t>
  </si>
  <si>
    <t>Piccolo und mehr Total</t>
  </si>
  <si>
    <t>Princesa Isabel Vinhos Total</t>
  </si>
  <si>
    <t>Que Delícia Total</t>
  </si>
  <si>
    <t>Queen Cozinha Total</t>
  </si>
  <si>
    <t>QUICK-Stop Total</t>
  </si>
  <si>
    <t>Rancho grande Total</t>
  </si>
  <si>
    <t>Rattlesnake Canyon Grocery Total</t>
  </si>
  <si>
    <t>Reggiani Caseifici Total</t>
  </si>
  <si>
    <t>Ricardo Adocicados Total</t>
  </si>
  <si>
    <t>Richter Supermarkt Total</t>
  </si>
  <si>
    <t>Romero y tomillo Total</t>
  </si>
  <si>
    <t>Santé Gourmet Total</t>
  </si>
  <si>
    <t>Save-a-lot Markets Total</t>
  </si>
  <si>
    <t>Seven Seas Imports Total</t>
  </si>
  <si>
    <t>Simons bistro Total</t>
  </si>
  <si>
    <t>Spécialités du monde Total</t>
  </si>
  <si>
    <t>Split Rail Beer &amp; Ale Total</t>
  </si>
  <si>
    <t>Suprêmes délices Total</t>
  </si>
  <si>
    <t>The Big Cheese Total</t>
  </si>
  <si>
    <t>The Cracker Box Total</t>
  </si>
  <si>
    <t>Toms Spezialitäten Total</t>
  </si>
  <si>
    <t>Tortuga Restaurante Total</t>
  </si>
  <si>
    <t>Tradição Hipermercados Total</t>
  </si>
  <si>
    <t>Trail's Head Gourmet Provisioners Total</t>
  </si>
  <si>
    <t>Vaffeljernet Total</t>
  </si>
  <si>
    <t>Victuailles en stock Total</t>
  </si>
  <si>
    <t>Vins et alcools Chevalier Total</t>
  </si>
  <si>
    <t>Wartian Herkku Total</t>
  </si>
  <si>
    <t>Wellington Importadora Total</t>
  </si>
  <si>
    <t>White Clover Markets Total</t>
  </si>
  <si>
    <t>Wilman Kala Total</t>
  </si>
  <si>
    <t>Wolski  Zajazd Total</t>
  </si>
  <si>
    <t>Average of Line Item Total</t>
  </si>
  <si>
    <t>Tax Category V2</t>
  </si>
  <si>
    <t>OrderTotal V2</t>
  </si>
  <si>
    <t>outlier v2</t>
  </si>
  <si>
    <t>oulier with moderate v2</t>
  </si>
  <si>
    <t>tax category v3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</si>
</sst>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6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1"/>
      <color rgb="FF444444"/>
      <name val="Calibri"/>
      <family val="2"/>
      <charset val="1"/>
    </font>
    <font>
      <sz val="10"/>
      <color rgb="FF9C0006"/>
      <name val="Arial"/>
      <family val="2"/>
    </font>
    <font>
      <sz val="11"/>
      <color rgb="FF444444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E7E6E6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quotePrefix="1"/>
    <xf numFmtId="164" fontId="0" fillId="0" borderId="0" xfId="0" applyNumberFormat="1"/>
    <xf numFmtId="0" fontId="1" fillId="0" borderId="0" xfId="0" applyFont="1"/>
    <xf numFmtId="14" fontId="0" fillId="0" borderId="0" xfId="0" applyNumberFormat="1"/>
    <xf numFmtId="3" fontId="0" fillId="0" borderId="0" xfId="0" applyNumberFormat="1"/>
    <xf numFmtId="0" fontId="1" fillId="0" borderId="0" xfId="0" quotePrefix="1" applyFont="1"/>
    <xf numFmtId="0" fontId="2" fillId="2" borderId="1" xfId="0" applyFont="1" applyFill="1" applyBorder="1" applyAlignment="1">
      <alignment horizontal="center"/>
    </xf>
    <xf numFmtId="0" fontId="3" fillId="0" borderId="0" xfId="0" quotePrefix="1" applyFont="1"/>
    <xf numFmtId="0" fontId="4" fillId="0" borderId="0" xfId="0" quotePrefix="1" applyFont="1"/>
    <xf numFmtId="0" fontId="5" fillId="0" borderId="0" xfId="0" quotePrefix="1" applyFont="1"/>
    <xf numFmtId="0" fontId="0" fillId="0" borderId="0" xfId="0" applyNumberFormat="1"/>
    <xf numFmtId="0" fontId="0" fillId="0" borderId="0" xfId="0" pivotButton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4657.884176388892" createdVersion="7" refreshedVersion="7" minRefreshableVersion="3" recordCount="2157" xr:uid="{9707A614-D036-46F8-9C5A-382CCF000F27}">
  <cacheSource type="worksheet">
    <worksheetSource ref="A1:AA2158" sheet="OrderDetailsCustomers"/>
  </cacheSource>
  <cacheFields count="25">
    <cacheField name="Customer Name" numFmtId="0">
      <sharedItems count="89">
        <s v="Vins et alcools Chevalier"/>
        <s v="Toms Spezialitäten"/>
        <s v="Hanari Carnes"/>
        <s v="Victuailles en stock"/>
        <s v="Suprêmes délices"/>
        <s v="Chop-suey Chinese"/>
        <s v="Richter Supermarkt"/>
        <s v="Wellington Importadora"/>
        <s v="HILARIÓN-Abastos"/>
        <s v="Ernst Handel"/>
        <s v="Centro comercial Moctezuma"/>
        <s v="Ottilies Käseladen"/>
        <s v="Que Delícia"/>
        <s v="Rattlesnake Canyon Grocery"/>
        <s v="Folk och fä HB"/>
        <s v="Blondel père et fils"/>
        <s v="Wartian Herkku"/>
        <s v="Frankenversand"/>
        <s v="GROSELLA-Restaurante"/>
        <s v="White Clover Markets"/>
        <s v="Split Rail Beer &amp; Ale"/>
        <s v="QUICK-Stop"/>
        <s v="Magazzini Alimentari Riuniti"/>
        <s v="Tortuga Restaurante"/>
        <s v="Morgenstern Gesundkost"/>
        <s v="Berglunds snabbköp"/>
        <s v="Lehmanns Marktstand"/>
        <s v="Romero y tomillo"/>
        <s v="LILA-Supermercado"/>
        <s v="Ricardo Adocicados"/>
        <s v="Reggiani Caseifici"/>
        <s v="B's Beverages"/>
        <s v="Comércio Mineiro"/>
        <s v="Tradição Hipermercados"/>
        <s v="Hungry Owl All-Night Grocers"/>
        <s v="Die Wandernde Kuh"/>
        <s v="Godos Cocina Típica"/>
        <s v="Old World Delicatessen"/>
        <s v="Lonesome Pine Restaurant"/>
        <s v="Ana Trujillo Emparedados y helados"/>
        <s v="The Big Cheese"/>
        <s v="Du monde entier"/>
        <s v="Island Trading"/>
        <s v="Pericles Comidas clásicas"/>
        <s v="Königlich Essen"/>
        <s v="Save-a-lot Markets"/>
        <s v="Bólido Comidas preparadas"/>
        <s v="Furia Bacalhau e Frutos do Mar"/>
        <s v="Bon app'"/>
        <s v="Mère Paillarde"/>
        <s v="Princesa Isabel Vinhos"/>
        <s v="Simons bistro"/>
        <s v="Familia Arquibaldo"/>
        <s v="La maison d'Asie"/>
        <s v="Piccolo und mehr"/>
        <s v="Around the Horn"/>
        <s v="Seven Seas Imports"/>
        <s v="Drachenblut Delikatessen"/>
        <s v="Eastern Connection"/>
        <s v="Antonio Moreno Taquería"/>
        <s v="Galería del gastrónomo"/>
        <s v="Vaffeljernet"/>
        <s v="Queen Cozinha"/>
        <s v="Wolski  Zajazd"/>
        <s v="Hungry Coyote Import Store"/>
        <s v="Santé Gourmet"/>
        <s v="Bottom-Dollar Markets"/>
        <s v="LINO-Delicateses"/>
        <s v="Folies gourmandes"/>
        <s v="Océano Atlántico Ltda."/>
        <s v="Franchi S.p.A."/>
        <s v="Gourmet Lanchonetes"/>
        <s v="Consolidated Holdings"/>
        <s v="Rancho grande"/>
        <s v="Lazy K Kountry Store"/>
        <s v="Laughing Bacchus Wine Cellars"/>
        <s v="Blauer See Delikatessen"/>
        <s v="North/South"/>
        <s v="Cactus Comidas para llevar"/>
        <s v="Great Lakes Food Market"/>
        <s v="Maison Dewey"/>
        <s v="Trail's Head Gourmet Provisioners"/>
        <s v="Let's Stop N Shop"/>
        <s v="Wilman Kala"/>
        <s v="The Cracker Box"/>
        <s v="Alfreds Futterkiste"/>
        <s v="France restauration"/>
        <s v="Spécialités du monde"/>
        <s v="La corne d'abondance"/>
      </sharedItems>
    </cacheField>
    <cacheField name="Customer Contact" numFmtId="0">
      <sharedItems count="89">
        <s v="Paul Henriot"/>
        <s v="Karin Josephs"/>
        <s v="Mario Pontes"/>
        <s v="Mary Saveley"/>
        <s v="Pascale Cartrain"/>
        <s v="Yang Wang"/>
        <s v="Michael Holz"/>
        <s v="Paula Parente"/>
        <s v="Carlos Hernández"/>
        <s v="Roland Mendel"/>
        <s v="Francisco Chang"/>
        <s v="Henriette Pfalzheim"/>
        <s v="Bernardo Batista"/>
        <s v="Paula Wilson"/>
        <s v="Maria Larsson"/>
        <s v="Frédérique Citeaux"/>
        <s v="Pirkko Koskitalo"/>
        <s v="Peter Franken"/>
        <s v="Manuel Pereira"/>
        <s v="Karl Jablonski"/>
        <s v="Art Braunschweiger"/>
        <s v="Horst Kloss"/>
        <s v="Giovanni Rovelli"/>
        <s v="Miguel Angel Paolino"/>
        <s v="Alexander Feuer"/>
        <s v="Christina Berglund"/>
        <s v="Renate Messner"/>
        <s v="Alejandra Camino"/>
        <s v="Carlos González"/>
        <s v="Janete Limeira"/>
        <s v="Maurizio Moroni"/>
        <s v="Victoria Ashworth"/>
        <s v="Pedro Afonso"/>
        <s v="Anabela Domingues"/>
        <s v="Patricia McKenna"/>
        <s v="Rita Müller"/>
        <s v="José Pedro Freyre"/>
        <s v="Rene Phillips"/>
        <s v="Fran Wilson"/>
        <s v="Ana Trujillo"/>
        <s v="Liz Nixon"/>
        <s v="Janine Labrune"/>
        <s v="Helen Bennett"/>
        <s v="Guillermo Fernández"/>
        <s v="Philip Cramer"/>
        <s v="Jose Pavarotti"/>
        <s v="Martín Sommer"/>
        <s v="Lino Rodriguez"/>
        <s v="Laurence Lebihan"/>
        <s v="Jean Fresnière"/>
        <s v="Isabel de Castro"/>
        <s v="Jytte Petersen"/>
        <s v="Aria Cruz"/>
        <s v="Annette Roulet"/>
        <s v="Georg Pipps"/>
        <s v="Thomas Hardy"/>
        <s v="Hari Kumar"/>
        <s v="Sven Ottlieb"/>
        <s v="Ann Devon"/>
        <s v="Antonio Moreno"/>
        <s v="Eduardo Saavedra"/>
        <s v="Palle Ibsen"/>
        <s v="Lúcia Carvalho"/>
        <s v="Zbyszek Piestrzeniewicz"/>
        <s v="Yoshi Latimer"/>
        <s v="Jonas Bergulfsen"/>
        <s v="Elizabeth Lincoln"/>
        <s v="Felipe Izquierdo"/>
        <s v="Martine Rancé"/>
        <s v="Yvonne Moncada"/>
        <s v="Paolo Accorti"/>
        <s v="André Fonseca"/>
        <s v="Elizabeth Brown"/>
        <s v="Sergio Gutiérrez"/>
        <s v="John Steel"/>
        <s v="Yoshi Tannamuri"/>
        <s v="Hanna Moos"/>
        <s v="Simon Crowther"/>
        <s v="Patricio Simpson"/>
        <s v="Howard Snyder"/>
        <s v="Catherine Dewey"/>
        <s v="Helvetius Nagy"/>
        <s v="Jaime Yorres"/>
        <s v="Matti Karttunen"/>
        <s v="Liu Wong"/>
        <s v="Maria Anders"/>
        <s v="Carine Schmitt"/>
        <s v="Dominique Perrier"/>
        <s v="Daniel Tonini"/>
      </sharedItems>
    </cacheField>
    <cacheField name="First Name" numFmtId="0">
      <sharedItems/>
    </cacheField>
    <cacheField name="Last Name" numFmtId="0">
      <sharedItems/>
    </cacheField>
    <cacheField name="Last, First" numFmtId="0">
      <sharedItems/>
    </cacheField>
    <cacheField name="Last, First w/ &amp;" numFmtId="0">
      <sharedItems/>
    </cacheField>
    <cacheField name="Outlier" numFmtId="0">
      <sharedItems count="2">
        <s v="no"/>
        <s v="yes"/>
      </sharedItems>
    </cacheField>
    <cacheField name="Outlier with AND" numFmtId="0">
      <sharedItems/>
    </cacheField>
    <cacheField name="+2 and +3 outliers" numFmtId="0">
      <sharedItems/>
    </cacheField>
    <cacheField name="CustomerID" numFmtId="0">
      <sharedItems/>
    </cacheField>
    <cacheField name="OrderID" numFmtId="0">
      <sharedItems containsSemiMixedTypes="0" containsString="0" containsNumber="1" containsInteger="1" minValue="10248" maxValue="11079"/>
    </cacheField>
    <cacheField name="ProductID" numFmtId="0">
      <sharedItems containsSemiMixedTypes="0" containsString="0" containsNumber="1" containsInteger="1" minValue="1" maxValue="77" count="77">
        <n v="11"/>
        <n v="42"/>
        <n v="72"/>
        <n v="14"/>
        <n v="51"/>
        <n v="41"/>
        <n v="65"/>
        <n v="22"/>
        <n v="57"/>
        <n v="20"/>
        <n v="33"/>
        <n v="60"/>
        <n v="31"/>
        <n v="39"/>
        <n v="49"/>
        <n v="24"/>
        <n v="55"/>
        <n v="74"/>
        <n v="2"/>
        <n v="16"/>
        <n v="36"/>
        <n v="59"/>
        <n v="53"/>
        <n v="77"/>
        <n v="27"/>
        <n v="5"/>
        <n v="32"/>
        <n v="21"/>
        <n v="37"/>
        <n v="62"/>
        <n v="70"/>
        <n v="35"/>
        <n v="7"/>
        <n v="56"/>
        <n v="30"/>
        <n v="17"/>
        <n v="12"/>
        <n v="40"/>
        <n v="76"/>
        <n v="29"/>
        <n v="43"/>
        <n v="10"/>
        <n v="71"/>
        <n v="13"/>
        <n v="28"/>
        <n v="44"/>
        <n v="63"/>
        <n v="73"/>
        <n v="75"/>
        <n v="19"/>
        <n v="15"/>
        <n v="67"/>
        <n v="1"/>
        <n v="34"/>
        <n v="46"/>
        <n v="54"/>
        <n v="68"/>
        <n v="3"/>
        <n v="64"/>
        <n v="18"/>
        <n v="69"/>
        <n v="66"/>
        <n v="4"/>
        <n v="6"/>
        <n v="58"/>
        <n v="52"/>
        <n v="25"/>
        <n v="38"/>
        <n v="26"/>
        <n v="47"/>
        <n v="23"/>
        <n v="8"/>
        <n v="50"/>
        <n v="45"/>
        <n v="48"/>
        <n v="61"/>
        <n v="9"/>
      </sharedItems>
    </cacheField>
    <cacheField name="ProductName" numFmtId="0">
      <sharedItems count="77">
        <s v="Queso Cabrales"/>
        <s v="Singaporean Hokkien Fried Mee"/>
        <s v="Mozzarella di Giovanni"/>
        <s v="Tofu"/>
        <s v="Manjimup Dried Apples"/>
        <s v="Jack's New England Clam Chowder"/>
        <s v="Louisiana Fiery Hot Pepper Sauce"/>
        <s v="Gustaf's Knäckebröd"/>
        <s v="Ravioli Angelo"/>
        <s v="Sir Rodney's Marmalade"/>
        <s v="Geitost"/>
        <s v="Camembert Pierrot"/>
        <s v="Gorgonzola Telino"/>
        <s v="Chartreuse verte"/>
        <s v="Maxilaku"/>
        <s v="Guaraná Fantástica"/>
        <s v="Pâté chinois"/>
        <s v="Longlife Tofu"/>
        <s v="Chang"/>
        <s v="Pavlova"/>
        <s v="Inlagd Sill"/>
        <s v="Raclette Courdavault"/>
        <s v="Perth Pasties"/>
        <s v="Original Frankfurter grüne Soße"/>
        <s v="Schoggi Schokolade"/>
        <s v="Chef Anton's Gumbo Mix"/>
        <s v="Mascarpone Fabioli"/>
        <s v="Sir Rodney's Scones"/>
        <s v="Gravad lax"/>
        <s v="Tarte au sucre"/>
        <s v="Outback Lager"/>
        <s v="Steeleye Stout"/>
        <s v="Uncle Bob's Organic Dried Pears"/>
        <s v="Gnocchi di nonna Alice"/>
        <s v="Nord-Ost Matjeshering"/>
        <s v="Alice Mutton"/>
        <s v="Queso Manchego La Pastora"/>
        <s v="Boston Crab Meat"/>
        <s v="Lakkalikööri"/>
        <s v="Thüringer Rostbratwurst"/>
        <s v="Ipoh Coffee"/>
        <s v="Ikura"/>
        <s v="Fløtemysost"/>
        <s v="Konbu"/>
        <s v="Rössle Sauerkraut"/>
        <s v="Gula Malacca"/>
        <s v="Vegie-spread"/>
        <s v="Röd Kaviar"/>
        <s v="Rhönbräu Klosterbier"/>
        <s v="Teatime Chocolate Biscuits"/>
        <s v="Genen Shouyu"/>
        <s v="Laughing Lumberjack Lager"/>
        <s v="Chai"/>
        <s v="Sasquatch Ale"/>
        <s v="Spegesild"/>
        <s v="Tourtière"/>
        <s v="Scottish Longbreads"/>
        <s v="Aniseed Syrup"/>
        <s v="Wimmers gute Semmelknödel"/>
        <s v="Carnarvon Tigers"/>
        <s v="Gudbrandsdalsost"/>
        <s v="Louisiana Hot Spiced Okra"/>
        <s v="Chef Anton's Cajun Seasoning"/>
        <s v="Grandma's Boysenberry Spread"/>
        <s v="Escargots de Bourgogne"/>
        <s v="Filo Mix"/>
        <s v="NuNuCa Nuß-Nougat-Creme"/>
        <s v="Côte de Blaye"/>
        <s v="Gumbär Gummibärchen"/>
        <s v="Zaanse koeken"/>
        <s v="Tunnbröd"/>
        <s v="Northwoods Cranberry Sauce"/>
        <s v="Valkoinen suklaa"/>
        <s v="Røgede sild"/>
        <s v="Chocolade"/>
        <s v="Sirop d'érable"/>
        <s v="Mishi Kobe Niku"/>
      </sharedItems>
    </cacheField>
    <cacheField name="fat_concatenation" numFmtId="0">
      <sharedItems/>
    </cacheField>
    <cacheField name="extract ID" numFmtId="0">
      <sharedItems/>
    </cacheField>
    <cacheField name="extract ID with 2 find funcs" numFmtId="0">
      <sharedItems/>
    </cacheField>
    <cacheField name="product name" numFmtId="0">
      <sharedItems/>
    </cacheField>
    <cacheField name="UnitPrice" numFmtId="0">
      <sharedItems containsSemiMixedTypes="0" containsString="0" containsNumber="1" minValue="2" maxValue="263.5"/>
    </cacheField>
    <cacheField name="Quantity" numFmtId="0">
      <sharedItems containsSemiMixedTypes="0" containsString="0" containsNumber="1" containsInteger="1" minValue="1" maxValue="130" count="55">
        <n v="12"/>
        <n v="10"/>
        <n v="5"/>
        <n v="9"/>
        <n v="40"/>
        <n v="35"/>
        <n v="15"/>
        <n v="6"/>
        <n v="20"/>
        <n v="25"/>
        <n v="42"/>
        <n v="21"/>
        <n v="30"/>
        <n v="50"/>
        <n v="65"/>
        <n v="1"/>
        <n v="16"/>
        <n v="2"/>
        <n v="60"/>
        <n v="28"/>
        <n v="36"/>
        <n v="70"/>
        <n v="4"/>
        <n v="24"/>
        <n v="33"/>
        <n v="7"/>
        <n v="8"/>
        <n v="18"/>
        <n v="3"/>
        <n v="45"/>
        <n v="100"/>
        <n v="14"/>
        <n v="80"/>
        <n v="48"/>
        <n v="56"/>
        <n v="13"/>
        <n v="77"/>
        <n v="54"/>
        <n v="55"/>
        <n v="32"/>
        <n v="120"/>
        <n v="49"/>
        <n v="90"/>
        <n v="39"/>
        <n v="84"/>
        <n v="11"/>
        <n v="110"/>
        <n v="27"/>
        <n v="44"/>
        <n v="130"/>
        <n v="52"/>
        <n v="91"/>
        <n v="66"/>
        <n v="63"/>
        <n v="22"/>
      </sharedItems>
    </cacheField>
    <cacheField name="Discount" numFmtId="0">
      <sharedItems containsSemiMixedTypes="0" containsString="0" containsNumber="1" minValue="0" maxValue="0.25" count="11">
        <n v="0"/>
        <n v="0.15"/>
        <n v="0.05"/>
        <n v="0.2"/>
        <n v="0.25"/>
        <n v="0.1"/>
        <n v="0.02"/>
        <n v="0.03"/>
        <n v="0.04"/>
        <n v="0.06"/>
        <n v="0.01"/>
      </sharedItems>
    </cacheField>
    <cacheField name="Line Item Total" numFmtId="0">
      <sharedItems containsSemiMixedTypes="0" containsString="0" containsNumber="1" minValue="4.8" maxValue="15810"/>
    </cacheField>
    <cacheField name="Current" numFmtId="0">
      <sharedItems count="2">
        <s v="No"/>
        <s v="yes"/>
      </sharedItems>
    </cacheField>
    <cacheField name="OrderDate" numFmtId="164">
      <sharedItems containsSemiMixedTypes="0" containsNonDate="0" containsDate="1" containsString="0" minDate="1994-08-04T00:00:00" maxDate="1999-02-18T00:00:00"/>
    </cacheField>
    <cacheField name="1996 Q1" numFmtId="0">
      <sharedItems/>
    </cacheField>
    <cacheField name="Q1||Q2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57">
  <r>
    <x v="0"/>
    <x v="0"/>
    <s v="Paul"/>
    <s v="Henriot"/>
    <s v="Henriot, Paul"/>
    <s v="Henriot, Paul"/>
    <x v="0"/>
    <s v="no"/>
    <s v="no"/>
    <s v="VINET"/>
    <n v="10248"/>
    <x v="0"/>
    <x v="0"/>
    <s v="VINET_10248_Queso Cabrales"/>
    <s v="10248"/>
    <s v="10248"/>
    <s v="Queso Cabrales"/>
    <n v="14"/>
    <x v="0"/>
    <x v="0"/>
    <n v="168"/>
    <x v="0"/>
    <d v="1994-08-04T00:00:00"/>
    <s v=""/>
    <s v=""/>
  </r>
  <r>
    <x v="0"/>
    <x v="0"/>
    <s v="Paul"/>
    <s v="Henriot"/>
    <s v="Henriot, Paul"/>
    <s v="Henriot, Paul"/>
    <x v="0"/>
    <s v="no"/>
    <s v="no"/>
    <s v="VINET"/>
    <n v="10248"/>
    <x v="1"/>
    <x v="1"/>
    <s v="VINET_10248_Singaporean Hokkien Fried Mee"/>
    <s v="10248"/>
    <s v="10248"/>
    <s v="Singaporean Hokkien Fried Mee"/>
    <n v="9.8000000000000007"/>
    <x v="1"/>
    <x v="0"/>
    <n v="98"/>
    <x v="0"/>
    <d v="1994-08-04T00:00:00"/>
    <s v=""/>
    <s v=""/>
  </r>
  <r>
    <x v="0"/>
    <x v="0"/>
    <s v="Paul"/>
    <s v="Henriot"/>
    <s v="Henriot, Paul"/>
    <s v="Henriot, Paul"/>
    <x v="0"/>
    <s v="no"/>
    <s v="no"/>
    <s v="VINET"/>
    <n v="10248"/>
    <x v="2"/>
    <x v="2"/>
    <s v="VINET_10248_Mozzarella di Giovanni"/>
    <s v="10248"/>
    <s v="10248"/>
    <s v="Mozzarella di Giovanni"/>
    <n v="34.799999999999997"/>
    <x v="2"/>
    <x v="0"/>
    <n v="174"/>
    <x v="0"/>
    <d v="1994-08-04T00:00:00"/>
    <s v=""/>
    <s v=""/>
  </r>
  <r>
    <x v="1"/>
    <x v="1"/>
    <s v="Karin"/>
    <s v="Josephs"/>
    <s v="Josephs, Karin"/>
    <s v="Josephs, Karin"/>
    <x v="0"/>
    <s v="no"/>
    <s v="no"/>
    <s v="TOMSP"/>
    <n v="10249"/>
    <x v="3"/>
    <x v="3"/>
    <s v="TOMSP_10249_Tofu"/>
    <s v="10249"/>
    <s v="10249"/>
    <s v="Tofu"/>
    <n v="18.600000000000001"/>
    <x v="3"/>
    <x v="0"/>
    <n v="167.4"/>
    <x v="0"/>
    <d v="1994-08-05T00:00:00"/>
    <s v=""/>
    <s v=""/>
  </r>
  <r>
    <x v="1"/>
    <x v="1"/>
    <s v="Karin"/>
    <s v="Josephs"/>
    <s v="Josephs, Karin"/>
    <s v="Josephs, Karin"/>
    <x v="0"/>
    <s v="no"/>
    <s v="no"/>
    <s v="TOMSP"/>
    <n v="10249"/>
    <x v="4"/>
    <x v="4"/>
    <s v="TOMSP_10249_Manjimup Dried Apples"/>
    <s v="10249"/>
    <s v="10249"/>
    <s v="Manjimup Dried Apples"/>
    <n v="42.4"/>
    <x v="4"/>
    <x v="0"/>
    <n v="1696"/>
    <x v="0"/>
    <d v="1994-08-05T00:00:00"/>
    <s v=""/>
    <s v=""/>
  </r>
  <r>
    <x v="2"/>
    <x v="2"/>
    <s v="Mario"/>
    <s v="Pontes"/>
    <s v="Pontes, Mario"/>
    <s v="Pontes, Mario"/>
    <x v="0"/>
    <s v="no"/>
    <s v="no"/>
    <s v="HANAR"/>
    <n v="10250"/>
    <x v="5"/>
    <x v="5"/>
    <s v="HANAR_10250_Jack's New England Clam Chowder"/>
    <s v="10250"/>
    <s v="10250"/>
    <s v="Jack's New England Clam Chowder"/>
    <n v="7.7"/>
    <x v="1"/>
    <x v="0"/>
    <n v="77"/>
    <x v="0"/>
    <d v="1994-08-08T00:00:00"/>
    <s v=""/>
    <s v=""/>
  </r>
  <r>
    <x v="2"/>
    <x v="2"/>
    <s v="Mario"/>
    <s v="Pontes"/>
    <s v="Pontes, Mario"/>
    <s v="Pontes, Mario"/>
    <x v="0"/>
    <s v="no"/>
    <s v="no"/>
    <s v="HANAR"/>
    <n v="10250"/>
    <x v="4"/>
    <x v="4"/>
    <s v="HANAR_10250_Manjimup Dried Apples"/>
    <s v="10250"/>
    <s v="10250"/>
    <s v="Manjimup Dried Apples"/>
    <n v="42.4"/>
    <x v="5"/>
    <x v="1"/>
    <n v="1261.3999999999999"/>
    <x v="0"/>
    <d v="1994-08-08T00:00:00"/>
    <s v=""/>
    <s v=""/>
  </r>
  <r>
    <x v="2"/>
    <x v="2"/>
    <s v="Mario"/>
    <s v="Pontes"/>
    <s v="Pontes, Mario"/>
    <s v="Pontes, Mario"/>
    <x v="0"/>
    <s v="no"/>
    <s v="no"/>
    <s v="HANAR"/>
    <n v="10250"/>
    <x v="6"/>
    <x v="6"/>
    <s v="HANAR_10250_Louisiana Fiery Hot Pepper Sauce"/>
    <s v="10250"/>
    <s v="10250"/>
    <s v="Louisiana Fiery Hot Pepper Sauce"/>
    <n v="16.8"/>
    <x v="6"/>
    <x v="1"/>
    <n v="214.2"/>
    <x v="0"/>
    <d v="1994-08-08T00:00:00"/>
    <s v=""/>
    <s v=""/>
  </r>
  <r>
    <x v="3"/>
    <x v="3"/>
    <s v="Mary"/>
    <s v="Saveley"/>
    <s v="Saveley, Mary"/>
    <s v="Saveley, Mary"/>
    <x v="0"/>
    <s v="no"/>
    <s v="no"/>
    <s v="VICTE"/>
    <n v="10251"/>
    <x v="7"/>
    <x v="7"/>
    <s v="VICTE_10251_Gustaf's Knäckebröd"/>
    <s v="10251"/>
    <s v="10251"/>
    <s v="Gustaf's Knäckebröd"/>
    <n v="16.8"/>
    <x v="7"/>
    <x v="2"/>
    <n v="95.76"/>
    <x v="0"/>
    <d v="1994-08-08T00:00:00"/>
    <s v=""/>
    <s v=""/>
  </r>
  <r>
    <x v="3"/>
    <x v="3"/>
    <s v="Mary"/>
    <s v="Saveley"/>
    <s v="Saveley, Mary"/>
    <s v="Saveley, Mary"/>
    <x v="0"/>
    <s v="no"/>
    <s v="no"/>
    <s v="VICTE"/>
    <n v="10251"/>
    <x v="8"/>
    <x v="8"/>
    <s v="VICTE_10251_Ravioli Angelo"/>
    <s v="10251"/>
    <s v="10251"/>
    <s v="Ravioli Angelo"/>
    <n v="15.6"/>
    <x v="6"/>
    <x v="2"/>
    <n v="222.29999999999998"/>
    <x v="0"/>
    <d v="1994-08-08T00:00:00"/>
    <s v=""/>
    <s v=""/>
  </r>
  <r>
    <x v="3"/>
    <x v="3"/>
    <s v="Mary"/>
    <s v="Saveley"/>
    <s v="Saveley, Mary"/>
    <s v="Saveley, Mary"/>
    <x v="0"/>
    <s v="no"/>
    <s v="no"/>
    <s v="VICTE"/>
    <n v="10251"/>
    <x v="6"/>
    <x v="6"/>
    <s v="VICTE_10251_Louisiana Fiery Hot Pepper Sauce"/>
    <s v="10251"/>
    <s v="10251"/>
    <s v="Louisiana Fiery Hot Pepper Sauce"/>
    <n v="16.8"/>
    <x v="8"/>
    <x v="0"/>
    <n v="336"/>
    <x v="0"/>
    <d v="1994-08-08T00:00:00"/>
    <s v=""/>
    <s v=""/>
  </r>
  <r>
    <x v="4"/>
    <x v="4"/>
    <s v="Pascale"/>
    <s v="Cartrain"/>
    <s v="Cartrain, Pascale"/>
    <s v="Cartrain, Pascale"/>
    <x v="0"/>
    <s v="no"/>
    <s v="no"/>
    <s v="SUPRD"/>
    <n v="10252"/>
    <x v="9"/>
    <x v="9"/>
    <s v="SUPRD_10252_Sir Rodney's Marmalade"/>
    <s v="10252"/>
    <s v="10252"/>
    <s v="Sir Rodney's Marmalade"/>
    <n v="64.8"/>
    <x v="4"/>
    <x v="2"/>
    <n v="2462.4"/>
    <x v="0"/>
    <d v="1994-08-09T00:00:00"/>
    <s v=""/>
    <s v=""/>
  </r>
  <r>
    <x v="4"/>
    <x v="4"/>
    <s v="Pascale"/>
    <s v="Cartrain"/>
    <s v="Cartrain, Pascale"/>
    <s v="Cartrain, Pascale"/>
    <x v="0"/>
    <s v="no"/>
    <s v="no"/>
    <s v="SUPRD"/>
    <n v="10252"/>
    <x v="10"/>
    <x v="10"/>
    <s v="SUPRD_10252_Geitost"/>
    <s v="10252"/>
    <s v="10252"/>
    <s v="Geitost"/>
    <n v="2"/>
    <x v="9"/>
    <x v="2"/>
    <n v="47.5"/>
    <x v="0"/>
    <d v="1994-08-09T00:00:00"/>
    <s v=""/>
    <s v=""/>
  </r>
  <r>
    <x v="4"/>
    <x v="4"/>
    <s v="Pascale"/>
    <s v="Cartrain"/>
    <s v="Cartrain, Pascale"/>
    <s v="Cartrain, Pascale"/>
    <x v="0"/>
    <s v="no"/>
    <s v="no"/>
    <s v="SUPRD"/>
    <n v="10252"/>
    <x v="11"/>
    <x v="11"/>
    <s v="SUPRD_10252_Camembert Pierrot"/>
    <s v="10252"/>
    <s v="10252"/>
    <s v="Camembert Pierrot"/>
    <n v="27.2"/>
    <x v="4"/>
    <x v="0"/>
    <n v="1088"/>
    <x v="0"/>
    <d v="1994-08-09T00:00:00"/>
    <s v=""/>
    <s v=""/>
  </r>
  <r>
    <x v="2"/>
    <x v="2"/>
    <s v="Mario"/>
    <s v="Pontes"/>
    <s v="Pontes, Mario"/>
    <s v="Pontes, Mario"/>
    <x v="0"/>
    <s v="no"/>
    <s v="no"/>
    <s v="HANAR"/>
    <n v="10253"/>
    <x v="12"/>
    <x v="12"/>
    <s v="HANAR_10253_Gorgonzola Telino"/>
    <s v="10253"/>
    <s v="10253"/>
    <s v="Gorgonzola Telino"/>
    <n v="10"/>
    <x v="8"/>
    <x v="0"/>
    <n v="200"/>
    <x v="0"/>
    <d v="1994-08-10T00:00:00"/>
    <s v=""/>
    <s v=""/>
  </r>
  <r>
    <x v="2"/>
    <x v="2"/>
    <s v="Mario"/>
    <s v="Pontes"/>
    <s v="Pontes, Mario"/>
    <s v="Pontes, Mario"/>
    <x v="0"/>
    <s v="no"/>
    <s v="no"/>
    <s v="HANAR"/>
    <n v="10253"/>
    <x v="13"/>
    <x v="13"/>
    <s v="HANAR_10253_Chartreuse verte"/>
    <s v="10253"/>
    <s v="10253"/>
    <s v="Chartreuse verte"/>
    <n v="14.4"/>
    <x v="10"/>
    <x v="0"/>
    <n v="604.80000000000007"/>
    <x v="0"/>
    <d v="1994-08-10T00:00:00"/>
    <s v=""/>
    <s v=""/>
  </r>
  <r>
    <x v="2"/>
    <x v="2"/>
    <s v="Mario"/>
    <s v="Pontes"/>
    <s v="Pontes, Mario"/>
    <s v="Pontes, Mario"/>
    <x v="0"/>
    <s v="no"/>
    <s v="no"/>
    <s v="HANAR"/>
    <n v="10253"/>
    <x v="14"/>
    <x v="14"/>
    <s v="HANAR_10253_Maxilaku"/>
    <s v="10253"/>
    <s v="10253"/>
    <s v="Maxilaku"/>
    <n v="16"/>
    <x v="4"/>
    <x v="0"/>
    <n v="640"/>
    <x v="0"/>
    <d v="1994-08-10T00:00:00"/>
    <s v=""/>
    <s v=""/>
  </r>
  <r>
    <x v="5"/>
    <x v="5"/>
    <s v="Yang"/>
    <s v="Wang"/>
    <s v="Wang, Yang"/>
    <s v="Wang, Yang"/>
    <x v="0"/>
    <s v="no"/>
    <s v="no"/>
    <s v="CHOPS"/>
    <n v="10254"/>
    <x v="15"/>
    <x v="15"/>
    <s v="CHOPS_10254_Guaraná Fantástica"/>
    <s v="10254"/>
    <s v="10254"/>
    <s v="Guaraná Fantástica"/>
    <n v="3.6"/>
    <x v="6"/>
    <x v="1"/>
    <n v="45.9"/>
    <x v="0"/>
    <d v="1994-08-11T00:00:00"/>
    <s v=""/>
    <s v=""/>
  </r>
  <r>
    <x v="5"/>
    <x v="5"/>
    <s v="Yang"/>
    <s v="Wang"/>
    <s v="Wang, Yang"/>
    <s v="Wang, Yang"/>
    <x v="0"/>
    <s v="no"/>
    <s v="no"/>
    <s v="CHOPS"/>
    <n v="10254"/>
    <x v="16"/>
    <x v="16"/>
    <s v="CHOPS_10254_Pâté chinois"/>
    <s v="10254"/>
    <s v="10254"/>
    <s v="Pâté chinois"/>
    <n v="19.2"/>
    <x v="11"/>
    <x v="1"/>
    <n v="342.71999999999997"/>
    <x v="0"/>
    <d v="1994-08-11T00:00:00"/>
    <s v=""/>
    <s v=""/>
  </r>
  <r>
    <x v="5"/>
    <x v="5"/>
    <s v="Yang"/>
    <s v="Wang"/>
    <s v="Wang, Yang"/>
    <s v="Wang, Yang"/>
    <x v="0"/>
    <s v="no"/>
    <s v="no"/>
    <s v="CHOPS"/>
    <n v="10254"/>
    <x v="17"/>
    <x v="17"/>
    <s v="CHOPS_10254_Longlife Tofu"/>
    <s v="10254"/>
    <s v="10254"/>
    <s v="Longlife Tofu"/>
    <n v="8"/>
    <x v="11"/>
    <x v="0"/>
    <n v="168"/>
    <x v="0"/>
    <d v="1994-08-11T00:00:00"/>
    <s v=""/>
    <s v=""/>
  </r>
  <r>
    <x v="6"/>
    <x v="6"/>
    <s v="Michael"/>
    <s v="Holz"/>
    <s v="Holz, Michael"/>
    <s v="Holz, Michael"/>
    <x v="0"/>
    <s v="no"/>
    <s v="no"/>
    <s v="RICSU"/>
    <n v="10255"/>
    <x v="18"/>
    <x v="18"/>
    <s v="RICSU_10255_Chang"/>
    <s v="10255"/>
    <s v="10255"/>
    <s v="Chang"/>
    <n v="15.2"/>
    <x v="8"/>
    <x v="0"/>
    <n v="304"/>
    <x v="0"/>
    <d v="1994-08-12T00:00:00"/>
    <s v=""/>
    <s v=""/>
  </r>
  <r>
    <x v="6"/>
    <x v="6"/>
    <s v="Michael"/>
    <s v="Holz"/>
    <s v="Holz, Michael"/>
    <s v="Holz, Michael"/>
    <x v="0"/>
    <s v="no"/>
    <s v="no"/>
    <s v="RICSU"/>
    <n v="10255"/>
    <x v="19"/>
    <x v="19"/>
    <s v="RICSU_10255_Pavlova"/>
    <s v="10255"/>
    <s v="10255"/>
    <s v="Pavlova"/>
    <n v="13.9"/>
    <x v="5"/>
    <x v="0"/>
    <n v="486.5"/>
    <x v="0"/>
    <d v="1994-08-12T00:00:00"/>
    <s v=""/>
    <s v=""/>
  </r>
  <r>
    <x v="6"/>
    <x v="6"/>
    <s v="Michael"/>
    <s v="Holz"/>
    <s v="Holz, Michael"/>
    <s v="Holz, Michael"/>
    <x v="0"/>
    <s v="no"/>
    <s v="no"/>
    <s v="RICSU"/>
    <n v="10255"/>
    <x v="20"/>
    <x v="20"/>
    <s v="RICSU_10255_Inlagd Sill"/>
    <s v="10255"/>
    <s v="10255"/>
    <s v="Inlagd Sill"/>
    <n v="15.2"/>
    <x v="9"/>
    <x v="0"/>
    <n v="380"/>
    <x v="0"/>
    <d v="1994-08-12T00:00:00"/>
    <s v=""/>
    <s v=""/>
  </r>
  <r>
    <x v="6"/>
    <x v="6"/>
    <s v="Michael"/>
    <s v="Holz"/>
    <s v="Holz, Michael"/>
    <s v="Holz, Michael"/>
    <x v="0"/>
    <s v="no"/>
    <s v="no"/>
    <s v="RICSU"/>
    <n v="10255"/>
    <x v="21"/>
    <x v="21"/>
    <s v="RICSU_10255_Raclette Courdavault"/>
    <s v="10255"/>
    <s v="10255"/>
    <s v="Raclette Courdavault"/>
    <n v="44"/>
    <x v="12"/>
    <x v="0"/>
    <n v="1320"/>
    <x v="0"/>
    <d v="1994-08-12T00:00:00"/>
    <s v=""/>
    <s v=""/>
  </r>
  <r>
    <x v="7"/>
    <x v="7"/>
    <s v="Paula"/>
    <s v="Parente"/>
    <s v="Parente, Paula"/>
    <s v="Parente, Paula"/>
    <x v="0"/>
    <s v="no"/>
    <s v="no"/>
    <s v="WELLI"/>
    <n v="10256"/>
    <x v="22"/>
    <x v="22"/>
    <s v="WELLI_10256_Perth Pasties"/>
    <s v="10256"/>
    <s v="10256"/>
    <s v="Perth Pasties"/>
    <n v="26.2"/>
    <x v="6"/>
    <x v="0"/>
    <n v="393"/>
    <x v="0"/>
    <d v="1994-08-15T00:00:00"/>
    <s v=""/>
    <s v=""/>
  </r>
  <r>
    <x v="7"/>
    <x v="7"/>
    <s v="Paula"/>
    <s v="Parente"/>
    <s v="Parente, Paula"/>
    <s v="Parente, Paula"/>
    <x v="0"/>
    <s v="no"/>
    <s v="no"/>
    <s v="WELLI"/>
    <n v="10256"/>
    <x v="23"/>
    <x v="23"/>
    <s v="WELLI_10256_Original Frankfurter grüne Soße"/>
    <s v="10256"/>
    <s v="10256"/>
    <s v="Original Frankfurter grüne Soße"/>
    <n v="10.4"/>
    <x v="0"/>
    <x v="0"/>
    <n v="124.80000000000001"/>
    <x v="0"/>
    <d v="1994-08-15T00:00:00"/>
    <s v=""/>
    <s v=""/>
  </r>
  <r>
    <x v="8"/>
    <x v="8"/>
    <s v="Carlos"/>
    <s v="Hernández"/>
    <s v="Hernández, Carlos"/>
    <s v="Hernández, Carlos"/>
    <x v="0"/>
    <s v="no"/>
    <s v="no"/>
    <s v="HILAA"/>
    <n v="10257"/>
    <x v="24"/>
    <x v="24"/>
    <s v="HILAA_10257_Schoggi Schokolade"/>
    <s v="10257"/>
    <s v="10257"/>
    <s v="Schoggi Schokolade"/>
    <n v="35.1"/>
    <x v="9"/>
    <x v="0"/>
    <n v="877.5"/>
    <x v="0"/>
    <d v="1994-08-16T00:00:00"/>
    <s v=""/>
    <s v=""/>
  </r>
  <r>
    <x v="8"/>
    <x v="8"/>
    <s v="Carlos"/>
    <s v="Hernández"/>
    <s v="Hernández, Carlos"/>
    <s v="Hernández, Carlos"/>
    <x v="0"/>
    <s v="no"/>
    <s v="no"/>
    <s v="HILAA"/>
    <n v="10257"/>
    <x v="13"/>
    <x v="13"/>
    <s v="HILAA_10257_Chartreuse verte"/>
    <s v="10257"/>
    <s v="10257"/>
    <s v="Chartreuse verte"/>
    <n v="14.4"/>
    <x v="7"/>
    <x v="0"/>
    <n v="86.4"/>
    <x v="0"/>
    <d v="1994-08-16T00:00:00"/>
    <s v=""/>
    <s v=""/>
  </r>
  <r>
    <x v="8"/>
    <x v="8"/>
    <s v="Carlos"/>
    <s v="Hernández"/>
    <s v="Hernández, Carlos"/>
    <s v="Hernández, Carlos"/>
    <x v="0"/>
    <s v="no"/>
    <s v="no"/>
    <s v="HILAA"/>
    <n v="10257"/>
    <x v="23"/>
    <x v="23"/>
    <s v="HILAA_10257_Original Frankfurter grüne Soße"/>
    <s v="10257"/>
    <s v="10257"/>
    <s v="Original Frankfurter grüne Soße"/>
    <n v="10.4"/>
    <x v="6"/>
    <x v="0"/>
    <n v="156"/>
    <x v="0"/>
    <d v="1994-08-16T00:00:00"/>
    <s v=""/>
    <s v=""/>
  </r>
  <r>
    <x v="9"/>
    <x v="9"/>
    <s v="Roland"/>
    <s v="Mendel"/>
    <s v="Mendel, Roland"/>
    <s v="Mendel, Roland"/>
    <x v="0"/>
    <s v="no"/>
    <s v="no"/>
    <s v="ERNSH"/>
    <n v="10258"/>
    <x v="18"/>
    <x v="18"/>
    <s v="ERNSH_10258_Chang"/>
    <s v="10258"/>
    <s v="10258"/>
    <s v="Chang"/>
    <n v="15.2"/>
    <x v="13"/>
    <x v="3"/>
    <n v="608"/>
    <x v="0"/>
    <d v="1994-08-17T00:00:00"/>
    <s v=""/>
    <s v=""/>
  </r>
  <r>
    <x v="9"/>
    <x v="9"/>
    <s v="Roland"/>
    <s v="Mendel"/>
    <s v="Mendel, Roland"/>
    <s v="Mendel, Roland"/>
    <x v="0"/>
    <s v="no"/>
    <s v="no"/>
    <s v="ERNSH"/>
    <n v="10258"/>
    <x v="25"/>
    <x v="25"/>
    <s v="ERNSH_10258_Chef Anton's Gumbo Mix"/>
    <s v="10258"/>
    <s v="10258"/>
    <s v="Chef Anton's Gumbo Mix"/>
    <n v="17"/>
    <x v="14"/>
    <x v="3"/>
    <n v="884"/>
    <x v="0"/>
    <d v="1994-08-17T00:00:00"/>
    <s v=""/>
    <s v=""/>
  </r>
  <r>
    <x v="9"/>
    <x v="9"/>
    <s v="Roland"/>
    <s v="Mendel"/>
    <s v="Mendel, Roland"/>
    <s v="Mendel, Roland"/>
    <x v="0"/>
    <s v="no"/>
    <s v="no"/>
    <s v="ERNSH"/>
    <n v="10258"/>
    <x v="26"/>
    <x v="26"/>
    <s v="ERNSH_10258_Mascarpone Fabioli"/>
    <s v="10258"/>
    <s v="10258"/>
    <s v="Mascarpone Fabioli"/>
    <n v="25.6"/>
    <x v="7"/>
    <x v="3"/>
    <n v="122.88000000000002"/>
    <x v="0"/>
    <d v="1994-08-17T00:00:00"/>
    <s v=""/>
    <s v=""/>
  </r>
  <r>
    <x v="10"/>
    <x v="10"/>
    <s v="Francisco"/>
    <s v="Chang"/>
    <s v="Chang, Francisco"/>
    <s v="Chang, Francisco"/>
    <x v="0"/>
    <s v="no"/>
    <s v="no"/>
    <s v="CENTC"/>
    <n v="10259"/>
    <x v="27"/>
    <x v="27"/>
    <s v="CENTC_10259_Sir Rodney's Scones"/>
    <s v="10259"/>
    <s v="10259"/>
    <s v="Sir Rodney's Scones"/>
    <n v="8"/>
    <x v="1"/>
    <x v="0"/>
    <n v="80"/>
    <x v="0"/>
    <d v="1994-08-18T00:00:00"/>
    <s v=""/>
    <s v=""/>
  </r>
  <r>
    <x v="10"/>
    <x v="10"/>
    <s v="Francisco"/>
    <s v="Chang"/>
    <s v="Chang, Francisco"/>
    <s v="Chang, Francisco"/>
    <x v="0"/>
    <s v="no"/>
    <s v="no"/>
    <s v="CENTC"/>
    <n v="10259"/>
    <x v="28"/>
    <x v="28"/>
    <s v="CENTC_10259_Gravad lax"/>
    <s v="10259"/>
    <s v="10259"/>
    <s v="Gravad lax"/>
    <n v="20.8"/>
    <x v="15"/>
    <x v="0"/>
    <n v="20.8"/>
    <x v="0"/>
    <d v="1994-08-18T00:00:00"/>
    <s v=""/>
    <s v=""/>
  </r>
  <r>
    <x v="11"/>
    <x v="11"/>
    <s v="Henriette"/>
    <s v="Pfalzheim"/>
    <s v="Pfalzheim, Henriette"/>
    <s v="Pfalzheim, Henriette"/>
    <x v="0"/>
    <s v="no"/>
    <s v="no"/>
    <s v="OTTIK"/>
    <n v="10260"/>
    <x v="5"/>
    <x v="5"/>
    <s v="OTTIK_10260_Jack's New England Clam Chowder"/>
    <s v="10260"/>
    <s v="10260"/>
    <s v="Jack's New England Clam Chowder"/>
    <n v="7.7"/>
    <x v="16"/>
    <x v="4"/>
    <n v="92.4"/>
    <x v="0"/>
    <d v="1994-08-19T00:00:00"/>
    <s v=""/>
    <s v=""/>
  </r>
  <r>
    <x v="11"/>
    <x v="11"/>
    <s v="Henriette"/>
    <s v="Pfalzheim"/>
    <s v="Pfalzheim, Henriette"/>
    <s v="Pfalzheim, Henriette"/>
    <x v="0"/>
    <s v="no"/>
    <s v="no"/>
    <s v="OTTIK"/>
    <n v="10260"/>
    <x v="8"/>
    <x v="8"/>
    <s v="OTTIK_10260_Ravioli Angelo"/>
    <s v="10260"/>
    <s v="10260"/>
    <s v="Ravioli Angelo"/>
    <n v="15.6"/>
    <x v="13"/>
    <x v="0"/>
    <n v="780"/>
    <x v="0"/>
    <d v="1994-08-19T00:00:00"/>
    <s v=""/>
    <s v=""/>
  </r>
  <r>
    <x v="11"/>
    <x v="11"/>
    <s v="Henriette"/>
    <s v="Pfalzheim"/>
    <s v="Pfalzheim, Henriette"/>
    <s v="Pfalzheim, Henriette"/>
    <x v="0"/>
    <s v="no"/>
    <s v="no"/>
    <s v="OTTIK"/>
    <n v="10260"/>
    <x v="29"/>
    <x v="29"/>
    <s v="OTTIK_10260_Tarte au sucre"/>
    <s v="10260"/>
    <s v="10260"/>
    <s v="Tarte au sucre"/>
    <n v="39.4"/>
    <x v="6"/>
    <x v="4"/>
    <n v="443.25"/>
    <x v="0"/>
    <d v="1994-08-19T00:00:00"/>
    <s v=""/>
    <s v=""/>
  </r>
  <r>
    <x v="11"/>
    <x v="11"/>
    <s v="Henriette"/>
    <s v="Pfalzheim"/>
    <s v="Pfalzheim, Henriette"/>
    <s v="Pfalzheim, Henriette"/>
    <x v="0"/>
    <s v="no"/>
    <s v="no"/>
    <s v="OTTIK"/>
    <n v="10260"/>
    <x v="30"/>
    <x v="30"/>
    <s v="OTTIK_10260_Outback Lager"/>
    <s v="10260"/>
    <s v="10260"/>
    <s v="Outback Lager"/>
    <n v="12"/>
    <x v="11"/>
    <x v="4"/>
    <n v="189"/>
    <x v="0"/>
    <d v="1994-08-19T00:00:00"/>
    <s v=""/>
    <s v=""/>
  </r>
  <r>
    <x v="12"/>
    <x v="12"/>
    <s v="Bernardo"/>
    <s v="Batista"/>
    <s v="Batista, Bernardo"/>
    <s v="Batista, Bernardo"/>
    <x v="0"/>
    <s v="no"/>
    <s v="no"/>
    <s v="QUEDE"/>
    <n v="10261"/>
    <x v="27"/>
    <x v="27"/>
    <s v="QUEDE_10261_Sir Rodney's Scones"/>
    <s v="10261"/>
    <s v="10261"/>
    <s v="Sir Rodney's Scones"/>
    <n v="8"/>
    <x v="8"/>
    <x v="0"/>
    <n v="160"/>
    <x v="0"/>
    <d v="1994-08-19T00:00:00"/>
    <s v=""/>
    <s v=""/>
  </r>
  <r>
    <x v="12"/>
    <x v="12"/>
    <s v="Bernardo"/>
    <s v="Batista"/>
    <s v="Batista, Bernardo"/>
    <s v="Batista, Bernardo"/>
    <x v="0"/>
    <s v="no"/>
    <s v="no"/>
    <s v="QUEDE"/>
    <n v="10261"/>
    <x v="31"/>
    <x v="31"/>
    <s v="QUEDE_10261_Steeleye Stout"/>
    <s v="10261"/>
    <s v="10261"/>
    <s v="Steeleye Stout"/>
    <n v="14.4"/>
    <x v="8"/>
    <x v="0"/>
    <n v="288"/>
    <x v="0"/>
    <d v="1994-08-19T00:00:00"/>
    <s v=""/>
    <s v=""/>
  </r>
  <r>
    <x v="13"/>
    <x v="13"/>
    <s v="Paula"/>
    <s v="Wilson"/>
    <s v="Wilson, Paula"/>
    <s v="Wilson, Paula"/>
    <x v="0"/>
    <s v="no"/>
    <s v="no"/>
    <s v="RATTC"/>
    <n v="10262"/>
    <x v="25"/>
    <x v="25"/>
    <s v="RATTC_10262_Chef Anton's Gumbo Mix"/>
    <s v="10262"/>
    <s v="10262"/>
    <s v="Chef Anton's Gumbo Mix"/>
    <n v="17"/>
    <x v="0"/>
    <x v="3"/>
    <n v="163.20000000000002"/>
    <x v="0"/>
    <d v="1994-08-22T00:00:00"/>
    <s v=""/>
    <s v=""/>
  </r>
  <r>
    <x v="13"/>
    <x v="13"/>
    <s v="Paula"/>
    <s v="Wilson"/>
    <s v="Wilson, Paula"/>
    <s v="Wilson, Paula"/>
    <x v="0"/>
    <s v="no"/>
    <s v="no"/>
    <s v="RATTC"/>
    <n v="10262"/>
    <x v="32"/>
    <x v="32"/>
    <s v="RATTC_10262_Uncle Bob's Organic Dried Pears"/>
    <s v="10262"/>
    <s v="10262"/>
    <s v="Uncle Bob's Organic Dried Pears"/>
    <n v="24"/>
    <x v="6"/>
    <x v="0"/>
    <n v="360"/>
    <x v="0"/>
    <d v="1994-08-22T00:00:00"/>
    <s v=""/>
    <s v=""/>
  </r>
  <r>
    <x v="13"/>
    <x v="13"/>
    <s v="Paula"/>
    <s v="Wilson"/>
    <s v="Wilson, Paula"/>
    <s v="Wilson, Paula"/>
    <x v="0"/>
    <s v="no"/>
    <s v="no"/>
    <s v="RATTC"/>
    <n v="10262"/>
    <x v="33"/>
    <x v="33"/>
    <s v="RATTC_10262_Gnocchi di nonna Alice"/>
    <s v="10262"/>
    <s v="10262"/>
    <s v="Gnocchi di nonna Alice"/>
    <n v="30.4"/>
    <x v="17"/>
    <x v="0"/>
    <n v="60.8"/>
    <x v="0"/>
    <d v="1994-08-22T00:00:00"/>
    <s v=""/>
    <s v=""/>
  </r>
  <r>
    <x v="9"/>
    <x v="9"/>
    <s v="Roland"/>
    <s v="Mendel"/>
    <s v="Mendel, Roland"/>
    <s v="Mendel, Roland"/>
    <x v="0"/>
    <s v="no"/>
    <s v="no"/>
    <s v="ERNSH"/>
    <n v="10263"/>
    <x v="19"/>
    <x v="19"/>
    <s v="ERNSH_10263_Pavlova"/>
    <s v="10263"/>
    <s v="10263"/>
    <s v="Pavlova"/>
    <n v="13.9"/>
    <x v="18"/>
    <x v="4"/>
    <n v="625.5"/>
    <x v="0"/>
    <d v="1994-08-23T00:00:00"/>
    <s v=""/>
    <s v=""/>
  </r>
  <r>
    <x v="9"/>
    <x v="9"/>
    <s v="Roland"/>
    <s v="Mendel"/>
    <s v="Mendel, Roland"/>
    <s v="Mendel, Roland"/>
    <x v="0"/>
    <s v="no"/>
    <s v="no"/>
    <s v="ERNSH"/>
    <n v="10263"/>
    <x v="15"/>
    <x v="15"/>
    <s v="ERNSH_10263_Guaraná Fantástica"/>
    <s v="10263"/>
    <s v="10263"/>
    <s v="Guaraná Fantástica"/>
    <n v="3.6"/>
    <x v="19"/>
    <x v="0"/>
    <n v="100.8"/>
    <x v="0"/>
    <d v="1994-08-23T00:00:00"/>
    <s v=""/>
    <s v=""/>
  </r>
  <r>
    <x v="9"/>
    <x v="9"/>
    <s v="Roland"/>
    <s v="Mendel"/>
    <s v="Mendel, Roland"/>
    <s v="Mendel, Roland"/>
    <x v="0"/>
    <s v="no"/>
    <s v="no"/>
    <s v="ERNSH"/>
    <n v="10263"/>
    <x v="34"/>
    <x v="34"/>
    <s v="ERNSH_10263_Nord-Ost Matjeshering"/>
    <s v="10263"/>
    <s v="10263"/>
    <s v="Nord-Ost Matjeshering"/>
    <n v="20.7"/>
    <x v="18"/>
    <x v="4"/>
    <n v="931.5"/>
    <x v="0"/>
    <d v="1994-08-23T00:00:00"/>
    <s v=""/>
    <s v=""/>
  </r>
  <r>
    <x v="9"/>
    <x v="9"/>
    <s v="Roland"/>
    <s v="Mendel"/>
    <s v="Mendel, Roland"/>
    <s v="Mendel, Roland"/>
    <x v="0"/>
    <s v="no"/>
    <s v="no"/>
    <s v="ERNSH"/>
    <n v="10263"/>
    <x v="17"/>
    <x v="17"/>
    <s v="ERNSH_10263_Longlife Tofu"/>
    <s v="10263"/>
    <s v="10263"/>
    <s v="Longlife Tofu"/>
    <n v="8"/>
    <x v="20"/>
    <x v="4"/>
    <n v="216"/>
    <x v="0"/>
    <d v="1994-08-23T00:00:00"/>
    <s v=""/>
    <s v=""/>
  </r>
  <r>
    <x v="14"/>
    <x v="14"/>
    <s v="Maria"/>
    <s v="Larsson"/>
    <s v="Larsson, Maria"/>
    <s v="Larsson, Maria"/>
    <x v="0"/>
    <s v="no"/>
    <s v="no"/>
    <s v="FOLKO"/>
    <n v="10264"/>
    <x v="18"/>
    <x v="18"/>
    <s v="FOLKO_10264_Chang"/>
    <s v="10264"/>
    <s v="10264"/>
    <s v="Chang"/>
    <n v="15.2"/>
    <x v="5"/>
    <x v="0"/>
    <n v="532"/>
    <x v="0"/>
    <d v="1994-08-24T00:00:00"/>
    <s v=""/>
    <s v=""/>
  </r>
  <r>
    <x v="14"/>
    <x v="14"/>
    <s v="Maria"/>
    <s v="Larsson"/>
    <s v="Larsson, Maria"/>
    <s v="Larsson, Maria"/>
    <x v="0"/>
    <s v="no"/>
    <s v="no"/>
    <s v="FOLKO"/>
    <n v="10264"/>
    <x v="5"/>
    <x v="5"/>
    <s v="FOLKO_10264_Jack's New England Clam Chowder"/>
    <s v="10264"/>
    <s v="10264"/>
    <s v="Jack's New England Clam Chowder"/>
    <n v="7.7"/>
    <x v="9"/>
    <x v="1"/>
    <n v="163.625"/>
    <x v="0"/>
    <d v="1994-08-24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0265"/>
    <x v="35"/>
    <x v="35"/>
    <s v="BLONP_10265_Alice Mutton"/>
    <s v="10265"/>
    <s v="10265"/>
    <s v="Alice Mutton"/>
    <n v="31.2"/>
    <x v="12"/>
    <x v="0"/>
    <n v="936"/>
    <x v="0"/>
    <d v="1994-08-25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0265"/>
    <x v="30"/>
    <x v="30"/>
    <s v="BLONP_10265_Outback Lager"/>
    <s v="10265"/>
    <s v="10265"/>
    <s v="Outback Lager"/>
    <n v="12"/>
    <x v="8"/>
    <x v="0"/>
    <n v="240"/>
    <x v="0"/>
    <d v="1994-08-25T00:00:00"/>
    <s v=""/>
    <s v=""/>
  </r>
  <r>
    <x v="16"/>
    <x v="16"/>
    <s v="Pirkko"/>
    <s v="Koskitalo"/>
    <s v="Koskitalo, Pirkko"/>
    <s v="Koskitalo, Pirkko"/>
    <x v="0"/>
    <s v="no"/>
    <s v="no"/>
    <s v="WARTH"/>
    <n v="10266"/>
    <x v="36"/>
    <x v="36"/>
    <s v="WARTH_10266_Queso Manchego La Pastora"/>
    <s v="10266"/>
    <s v="10266"/>
    <s v="Queso Manchego La Pastora"/>
    <n v="30.4"/>
    <x v="0"/>
    <x v="2"/>
    <n v="346.55999999999995"/>
    <x v="0"/>
    <d v="1994-08-26T00:00:00"/>
    <s v=""/>
    <s v=""/>
  </r>
  <r>
    <x v="17"/>
    <x v="17"/>
    <s v="Peter"/>
    <s v="Franken"/>
    <s v="Franken, Peter"/>
    <s v="Franken, Peter"/>
    <x v="0"/>
    <s v="no"/>
    <s v="no"/>
    <s v="FRANK"/>
    <n v="10267"/>
    <x v="37"/>
    <x v="37"/>
    <s v="FRANK_10267_Boston Crab Meat"/>
    <s v="10267"/>
    <s v="10267"/>
    <s v="Boston Crab Meat"/>
    <n v="14.7"/>
    <x v="13"/>
    <x v="0"/>
    <n v="735"/>
    <x v="0"/>
    <d v="1994-08-29T00:00:00"/>
    <s v=""/>
    <s v=""/>
  </r>
  <r>
    <x v="17"/>
    <x v="17"/>
    <s v="Peter"/>
    <s v="Franken"/>
    <s v="Franken, Peter"/>
    <s v="Franken, Peter"/>
    <x v="0"/>
    <s v="no"/>
    <s v="moderate"/>
    <s v="FRANK"/>
    <n v="10267"/>
    <x v="21"/>
    <x v="21"/>
    <s v="FRANK_10267_Raclette Courdavault"/>
    <s v="10267"/>
    <s v="10267"/>
    <s v="Raclette Courdavault"/>
    <n v="44"/>
    <x v="21"/>
    <x v="1"/>
    <n v="2618"/>
    <x v="0"/>
    <d v="1994-08-29T00:00:00"/>
    <s v=""/>
    <s v=""/>
  </r>
  <r>
    <x v="17"/>
    <x v="17"/>
    <s v="Peter"/>
    <s v="Franken"/>
    <s v="Franken, Peter"/>
    <s v="Franken, Peter"/>
    <x v="0"/>
    <s v="no"/>
    <s v="no"/>
    <s v="FRANK"/>
    <n v="10267"/>
    <x v="38"/>
    <x v="38"/>
    <s v="FRANK_10267_Lakkalikööri"/>
    <s v="10267"/>
    <s v="10267"/>
    <s v="Lakkalikööri"/>
    <n v="14.4"/>
    <x v="6"/>
    <x v="1"/>
    <n v="183.6"/>
    <x v="0"/>
    <d v="1994-08-29T00:00:00"/>
    <s v=""/>
    <s v=""/>
  </r>
  <r>
    <x v="18"/>
    <x v="18"/>
    <s v="Manuel"/>
    <s v="Pereira"/>
    <s v="Pereira, Manuel"/>
    <s v="Pereira, Manuel"/>
    <x v="0"/>
    <s v="no"/>
    <s v="no"/>
    <s v="GROSR"/>
    <n v="10268"/>
    <x v="39"/>
    <x v="39"/>
    <s v="GROSR_10268_Thüringer Rostbratwurst"/>
    <s v="10268"/>
    <s v="10268"/>
    <s v="Thüringer Rostbratwurst"/>
    <n v="99"/>
    <x v="1"/>
    <x v="0"/>
    <n v="990"/>
    <x v="0"/>
    <d v="1994-08-30T00:00:00"/>
    <s v=""/>
    <s v=""/>
  </r>
  <r>
    <x v="18"/>
    <x v="18"/>
    <s v="Manuel"/>
    <s v="Pereira"/>
    <s v="Pereira, Manuel"/>
    <s v="Pereira, Manuel"/>
    <x v="0"/>
    <s v="no"/>
    <s v="no"/>
    <s v="GROSR"/>
    <n v="10268"/>
    <x v="2"/>
    <x v="2"/>
    <s v="GROSR_10268_Mozzarella di Giovanni"/>
    <s v="10268"/>
    <s v="10268"/>
    <s v="Mozzarella di Giovanni"/>
    <n v="27.8"/>
    <x v="22"/>
    <x v="0"/>
    <n v="111.2"/>
    <x v="0"/>
    <d v="1994-08-30T00:00:00"/>
    <s v=""/>
    <s v=""/>
  </r>
  <r>
    <x v="19"/>
    <x v="19"/>
    <s v="Karl"/>
    <s v="Jablonski"/>
    <s v="Jablonski, Karl"/>
    <s v="Jablonski, Karl"/>
    <x v="0"/>
    <s v="no"/>
    <s v="no"/>
    <s v="WHITC"/>
    <n v="10269"/>
    <x v="10"/>
    <x v="10"/>
    <s v="WHITC_10269_Geitost"/>
    <s v="10269"/>
    <s v="10269"/>
    <s v="Geitost"/>
    <n v="2"/>
    <x v="18"/>
    <x v="2"/>
    <n v="114"/>
    <x v="0"/>
    <d v="1994-08-31T00:00:00"/>
    <s v=""/>
    <s v=""/>
  </r>
  <r>
    <x v="19"/>
    <x v="19"/>
    <s v="Karl"/>
    <s v="Jablonski"/>
    <s v="Jablonski, Karl"/>
    <s v="Jablonski, Karl"/>
    <x v="0"/>
    <s v="no"/>
    <s v="no"/>
    <s v="WHITC"/>
    <n v="10269"/>
    <x v="2"/>
    <x v="2"/>
    <s v="WHITC_10269_Mozzarella di Giovanni"/>
    <s v="10269"/>
    <s v="10269"/>
    <s v="Mozzarella di Giovanni"/>
    <n v="27.8"/>
    <x v="8"/>
    <x v="2"/>
    <n v="528.19999999999993"/>
    <x v="0"/>
    <d v="1994-08-31T00:00:00"/>
    <s v=""/>
    <s v=""/>
  </r>
  <r>
    <x v="16"/>
    <x v="16"/>
    <s v="Pirkko"/>
    <s v="Koskitalo"/>
    <s v="Koskitalo, Pirkko"/>
    <s v="Koskitalo, Pirkko"/>
    <x v="0"/>
    <s v="no"/>
    <s v="no"/>
    <s v="WARTH"/>
    <n v="10270"/>
    <x v="20"/>
    <x v="20"/>
    <s v="WARTH_10270_Inlagd Sill"/>
    <s v="10270"/>
    <s v="10270"/>
    <s v="Inlagd Sill"/>
    <n v="15.2"/>
    <x v="12"/>
    <x v="0"/>
    <n v="456"/>
    <x v="0"/>
    <d v="1994-09-01T00:00:00"/>
    <s v=""/>
    <s v=""/>
  </r>
  <r>
    <x v="16"/>
    <x v="16"/>
    <s v="Pirkko"/>
    <s v="Koskitalo"/>
    <s v="Koskitalo, Pirkko"/>
    <s v="Koskitalo, Pirkko"/>
    <x v="0"/>
    <s v="no"/>
    <s v="no"/>
    <s v="WARTH"/>
    <n v="10270"/>
    <x v="40"/>
    <x v="40"/>
    <s v="WARTH_10270_Ipoh Coffee"/>
    <s v="10270"/>
    <s v="10270"/>
    <s v="Ipoh Coffee"/>
    <n v="36.799999999999997"/>
    <x v="9"/>
    <x v="0"/>
    <n v="919.99999999999989"/>
    <x v="0"/>
    <d v="1994-09-01T00:00:00"/>
    <s v=""/>
    <s v=""/>
  </r>
  <r>
    <x v="20"/>
    <x v="20"/>
    <s v="Art"/>
    <s v="Braunschweiger"/>
    <s v="Braunschweiger, Art"/>
    <s v="Braunschweiger, Art"/>
    <x v="0"/>
    <s v="no"/>
    <s v="no"/>
    <s v="SPLIR"/>
    <n v="10271"/>
    <x v="10"/>
    <x v="10"/>
    <s v="SPLIR_10271_Geitost"/>
    <s v="10271"/>
    <s v="10271"/>
    <s v="Geitost"/>
    <n v="2"/>
    <x v="23"/>
    <x v="0"/>
    <n v="48"/>
    <x v="0"/>
    <d v="1994-09-01T00:00:00"/>
    <s v=""/>
    <s v=""/>
  </r>
  <r>
    <x v="13"/>
    <x v="13"/>
    <s v="Paula"/>
    <s v="Wilson"/>
    <s v="Wilson, Paula"/>
    <s v="Wilson, Paula"/>
    <x v="0"/>
    <s v="no"/>
    <s v="no"/>
    <s v="RATTC"/>
    <n v="10272"/>
    <x v="9"/>
    <x v="9"/>
    <s v="RATTC_10272_Sir Rodney's Marmalade"/>
    <s v="10272"/>
    <s v="10272"/>
    <s v="Sir Rodney's Marmalade"/>
    <n v="64.8"/>
    <x v="7"/>
    <x v="0"/>
    <n v="388.79999999999995"/>
    <x v="0"/>
    <d v="1994-09-02T00:00:00"/>
    <s v=""/>
    <s v=""/>
  </r>
  <r>
    <x v="13"/>
    <x v="13"/>
    <s v="Paula"/>
    <s v="Wilson"/>
    <s v="Wilson, Paula"/>
    <s v="Wilson, Paula"/>
    <x v="0"/>
    <s v="no"/>
    <s v="no"/>
    <s v="RATTC"/>
    <n v="10272"/>
    <x v="12"/>
    <x v="12"/>
    <s v="RATTC_10272_Gorgonzola Telino"/>
    <s v="10272"/>
    <s v="10272"/>
    <s v="Gorgonzola Telino"/>
    <n v="10"/>
    <x v="4"/>
    <x v="0"/>
    <n v="400"/>
    <x v="0"/>
    <d v="1994-09-02T00:00:00"/>
    <s v=""/>
    <s v=""/>
  </r>
  <r>
    <x v="13"/>
    <x v="13"/>
    <s v="Paula"/>
    <s v="Wilson"/>
    <s v="Wilson, Paula"/>
    <s v="Wilson, Paula"/>
    <x v="0"/>
    <s v="no"/>
    <s v="no"/>
    <s v="RATTC"/>
    <n v="10272"/>
    <x v="2"/>
    <x v="2"/>
    <s v="RATTC_10272_Mozzarella di Giovanni"/>
    <s v="10272"/>
    <s v="10272"/>
    <s v="Mozzarella di Giovanni"/>
    <n v="27.8"/>
    <x v="23"/>
    <x v="0"/>
    <n v="667.2"/>
    <x v="0"/>
    <d v="1994-09-02T00:00:00"/>
    <s v=""/>
    <s v=""/>
  </r>
  <r>
    <x v="21"/>
    <x v="21"/>
    <s v="Horst"/>
    <s v="Kloss"/>
    <s v="Kloss, Horst"/>
    <s v="Kloss, Horst"/>
    <x v="0"/>
    <s v="no"/>
    <s v="no"/>
    <s v="QUICK"/>
    <n v="10273"/>
    <x v="41"/>
    <x v="41"/>
    <s v="QUICK_10273_Ikura"/>
    <s v="10273"/>
    <s v="10273"/>
    <s v="Ikura"/>
    <n v="24.8"/>
    <x v="23"/>
    <x v="2"/>
    <n v="565.44000000000005"/>
    <x v="0"/>
    <d v="1994-09-05T00:00:00"/>
    <s v=""/>
    <s v=""/>
  </r>
  <r>
    <x v="21"/>
    <x v="21"/>
    <s v="Horst"/>
    <s v="Kloss"/>
    <s v="Kloss, Horst"/>
    <s v="Kloss, Horst"/>
    <x v="0"/>
    <s v="no"/>
    <s v="no"/>
    <s v="QUICK"/>
    <n v="10273"/>
    <x v="12"/>
    <x v="12"/>
    <s v="QUICK_10273_Gorgonzola Telino"/>
    <s v="10273"/>
    <s v="10273"/>
    <s v="Gorgonzola Telino"/>
    <n v="10"/>
    <x v="6"/>
    <x v="2"/>
    <n v="142.5"/>
    <x v="0"/>
    <d v="1994-09-05T00:00:00"/>
    <s v=""/>
    <s v=""/>
  </r>
  <r>
    <x v="21"/>
    <x v="21"/>
    <s v="Horst"/>
    <s v="Kloss"/>
    <s v="Kloss, Horst"/>
    <s v="Kloss, Horst"/>
    <x v="0"/>
    <s v="no"/>
    <s v="no"/>
    <s v="QUICK"/>
    <n v="10273"/>
    <x v="10"/>
    <x v="10"/>
    <s v="QUICK_10273_Geitost"/>
    <s v="10273"/>
    <s v="10273"/>
    <s v="Geitost"/>
    <n v="2"/>
    <x v="8"/>
    <x v="0"/>
    <n v="40"/>
    <x v="0"/>
    <d v="1994-09-05T00:00:00"/>
    <s v=""/>
    <s v=""/>
  </r>
  <r>
    <x v="21"/>
    <x v="21"/>
    <s v="Horst"/>
    <s v="Kloss"/>
    <s v="Kloss, Horst"/>
    <s v="Kloss, Horst"/>
    <x v="0"/>
    <s v="no"/>
    <s v="no"/>
    <s v="QUICK"/>
    <n v="10273"/>
    <x v="37"/>
    <x v="37"/>
    <s v="QUICK_10273_Boston Crab Meat"/>
    <s v="10273"/>
    <s v="10273"/>
    <s v="Boston Crab Meat"/>
    <n v="14.7"/>
    <x v="18"/>
    <x v="2"/>
    <n v="837.9"/>
    <x v="0"/>
    <d v="1994-09-05T00:00:00"/>
    <s v=""/>
    <s v=""/>
  </r>
  <r>
    <x v="21"/>
    <x v="21"/>
    <s v="Horst"/>
    <s v="Kloss"/>
    <s v="Kloss, Horst"/>
    <s v="Kloss, Horst"/>
    <x v="0"/>
    <s v="no"/>
    <s v="no"/>
    <s v="QUICK"/>
    <n v="10273"/>
    <x v="38"/>
    <x v="38"/>
    <s v="QUICK_10273_Lakkalikööri"/>
    <s v="10273"/>
    <s v="10273"/>
    <s v="Lakkalikööri"/>
    <n v="14.4"/>
    <x v="24"/>
    <x v="2"/>
    <n v="451.43999999999994"/>
    <x v="0"/>
    <d v="1994-09-05T00:00:00"/>
    <s v=""/>
    <s v=""/>
  </r>
  <r>
    <x v="0"/>
    <x v="0"/>
    <s v="Paul"/>
    <s v="Henriot"/>
    <s v="Henriot, Paul"/>
    <s v="Henriot, Paul"/>
    <x v="0"/>
    <s v="no"/>
    <s v="no"/>
    <s v="VINET"/>
    <n v="10274"/>
    <x v="42"/>
    <x v="42"/>
    <s v="VINET_10274_Fløtemysost"/>
    <s v="10274"/>
    <s v="10274"/>
    <s v="Fløtemysost"/>
    <n v="17.2"/>
    <x v="8"/>
    <x v="0"/>
    <n v="344"/>
    <x v="0"/>
    <d v="1994-09-06T00:00:00"/>
    <s v=""/>
    <s v=""/>
  </r>
  <r>
    <x v="0"/>
    <x v="0"/>
    <s v="Paul"/>
    <s v="Henriot"/>
    <s v="Henriot, Paul"/>
    <s v="Henriot, Paul"/>
    <x v="0"/>
    <s v="no"/>
    <s v="no"/>
    <s v="VINET"/>
    <n v="10274"/>
    <x v="2"/>
    <x v="2"/>
    <s v="VINET_10274_Mozzarella di Giovanni"/>
    <s v="10274"/>
    <s v="10274"/>
    <s v="Mozzarella di Giovanni"/>
    <n v="27.8"/>
    <x v="25"/>
    <x v="0"/>
    <n v="194.6"/>
    <x v="0"/>
    <d v="1994-09-06T00:00:00"/>
    <s v=""/>
    <s v=""/>
  </r>
  <r>
    <x v="22"/>
    <x v="22"/>
    <s v="Giovanni"/>
    <s v="Rovelli"/>
    <s v="Rovelli, Giovanni"/>
    <s v="Rovelli, Giovanni"/>
    <x v="0"/>
    <s v="no"/>
    <s v="no"/>
    <s v="MAGAA"/>
    <n v="10275"/>
    <x v="15"/>
    <x v="15"/>
    <s v="MAGAA_10275_Guaraná Fantástica"/>
    <s v="10275"/>
    <s v="10275"/>
    <s v="Guaraná Fantástica"/>
    <n v="3.6"/>
    <x v="0"/>
    <x v="2"/>
    <n v="41.04"/>
    <x v="0"/>
    <d v="1994-09-07T00:00:00"/>
    <s v=""/>
    <s v=""/>
  </r>
  <r>
    <x v="22"/>
    <x v="22"/>
    <s v="Giovanni"/>
    <s v="Rovelli"/>
    <s v="Rovelli, Giovanni"/>
    <s v="Rovelli, Giovanni"/>
    <x v="0"/>
    <s v="no"/>
    <s v="no"/>
    <s v="MAGAA"/>
    <n v="10275"/>
    <x v="21"/>
    <x v="21"/>
    <s v="MAGAA_10275_Raclette Courdavault"/>
    <s v="10275"/>
    <s v="10275"/>
    <s v="Raclette Courdavault"/>
    <n v="44"/>
    <x v="7"/>
    <x v="2"/>
    <n v="250.79999999999998"/>
    <x v="0"/>
    <d v="1994-09-07T00:00:00"/>
    <s v=""/>
    <s v=""/>
  </r>
  <r>
    <x v="23"/>
    <x v="23"/>
    <s v="Miguel"/>
    <s v="Angel Paolino"/>
    <s v="Angel Paolino, Miguel"/>
    <s v="Angel Paolino, Miguel"/>
    <x v="0"/>
    <s v="no"/>
    <s v="no"/>
    <s v="TORTU"/>
    <n v="10276"/>
    <x v="41"/>
    <x v="41"/>
    <s v="TORTU_10276_Ikura"/>
    <s v="10276"/>
    <s v="10276"/>
    <s v="Ikura"/>
    <n v="24.8"/>
    <x v="6"/>
    <x v="0"/>
    <n v="372"/>
    <x v="0"/>
    <d v="1994-09-08T00:00:00"/>
    <s v=""/>
    <s v=""/>
  </r>
  <r>
    <x v="23"/>
    <x v="23"/>
    <s v="Miguel"/>
    <s v="Angel Paolino"/>
    <s v="Angel Paolino, Miguel"/>
    <s v="Angel Paolino, Miguel"/>
    <x v="0"/>
    <s v="no"/>
    <s v="no"/>
    <s v="TORTU"/>
    <n v="10276"/>
    <x v="43"/>
    <x v="43"/>
    <s v="TORTU_10276_Konbu"/>
    <s v="10276"/>
    <s v="10276"/>
    <s v="Konbu"/>
    <n v="4.8"/>
    <x v="1"/>
    <x v="0"/>
    <n v="48"/>
    <x v="0"/>
    <d v="1994-09-08T00:00:00"/>
    <s v=""/>
    <s v=""/>
  </r>
  <r>
    <x v="24"/>
    <x v="24"/>
    <s v="Alexander"/>
    <s v="Feuer"/>
    <s v="Feuer, Alexander"/>
    <s v="Feuer, Alexander"/>
    <x v="0"/>
    <s v="no"/>
    <s v="no"/>
    <s v="MORGK"/>
    <n v="10277"/>
    <x v="44"/>
    <x v="44"/>
    <s v="MORGK_10277_Rössle Sauerkraut"/>
    <s v="10277"/>
    <s v="10277"/>
    <s v="Rössle Sauerkraut"/>
    <n v="36.4"/>
    <x v="8"/>
    <x v="0"/>
    <n v="728"/>
    <x v="0"/>
    <d v="1994-09-09T00:00:00"/>
    <s v=""/>
    <s v=""/>
  </r>
  <r>
    <x v="24"/>
    <x v="24"/>
    <s v="Alexander"/>
    <s v="Feuer"/>
    <s v="Feuer, Alexander"/>
    <s v="Feuer, Alexander"/>
    <x v="0"/>
    <s v="no"/>
    <s v="no"/>
    <s v="MORGK"/>
    <n v="10277"/>
    <x v="29"/>
    <x v="29"/>
    <s v="MORGK_10277_Tarte au sucre"/>
    <s v="10277"/>
    <s v="10277"/>
    <s v="Tarte au sucre"/>
    <n v="39.4"/>
    <x v="0"/>
    <x v="0"/>
    <n v="472.79999999999995"/>
    <x v="0"/>
    <d v="1994-09-09T00:00:00"/>
    <s v=""/>
    <s v=""/>
  </r>
  <r>
    <x v="25"/>
    <x v="25"/>
    <s v="Christina"/>
    <s v="Berglund"/>
    <s v="Berglund, Christina"/>
    <s v="Berglund, Christina"/>
    <x v="0"/>
    <s v="no"/>
    <s v="no"/>
    <s v="BERGS"/>
    <n v="10278"/>
    <x v="45"/>
    <x v="45"/>
    <s v="BERGS_10278_Gula Malacca"/>
    <s v="10278"/>
    <s v="10278"/>
    <s v="Gula Malacca"/>
    <n v="15.5"/>
    <x v="16"/>
    <x v="0"/>
    <n v="248"/>
    <x v="0"/>
    <d v="1994-09-12T00:00:00"/>
    <s v=""/>
    <s v=""/>
  </r>
  <r>
    <x v="25"/>
    <x v="25"/>
    <s v="Christina"/>
    <s v="Berglund"/>
    <s v="Berglund, Christina"/>
    <s v="Berglund, Christina"/>
    <x v="0"/>
    <s v="no"/>
    <s v="no"/>
    <s v="BERGS"/>
    <n v="10278"/>
    <x v="21"/>
    <x v="21"/>
    <s v="BERGS_10278_Raclette Courdavault"/>
    <s v="10278"/>
    <s v="10278"/>
    <s v="Raclette Courdavault"/>
    <n v="44"/>
    <x v="6"/>
    <x v="0"/>
    <n v="660"/>
    <x v="0"/>
    <d v="1994-09-12T00:00:00"/>
    <s v=""/>
    <s v=""/>
  </r>
  <r>
    <x v="25"/>
    <x v="25"/>
    <s v="Christina"/>
    <s v="Berglund"/>
    <s v="Berglund, Christina"/>
    <s v="Berglund, Christina"/>
    <x v="0"/>
    <s v="no"/>
    <s v="no"/>
    <s v="BERGS"/>
    <n v="10278"/>
    <x v="46"/>
    <x v="46"/>
    <s v="BERGS_10278_Vegie-spread"/>
    <s v="10278"/>
    <s v="10278"/>
    <s v="Vegie-spread"/>
    <n v="35.1"/>
    <x v="26"/>
    <x v="0"/>
    <n v="280.8"/>
    <x v="0"/>
    <d v="1994-09-12T00:00:00"/>
    <s v=""/>
    <s v=""/>
  </r>
  <r>
    <x v="25"/>
    <x v="25"/>
    <s v="Christina"/>
    <s v="Berglund"/>
    <s v="Berglund, Christina"/>
    <s v="Berglund, Christina"/>
    <x v="0"/>
    <s v="no"/>
    <s v="no"/>
    <s v="BERGS"/>
    <n v="10278"/>
    <x v="47"/>
    <x v="47"/>
    <s v="BERGS_10278_Röd Kaviar"/>
    <s v="10278"/>
    <s v="10278"/>
    <s v="Röd Kaviar"/>
    <n v="12"/>
    <x v="9"/>
    <x v="0"/>
    <n v="300"/>
    <x v="0"/>
    <d v="1994-09-12T00:00:00"/>
    <s v=""/>
    <s v=""/>
  </r>
  <r>
    <x v="26"/>
    <x v="26"/>
    <s v="Renate"/>
    <s v="Messner"/>
    <s v="Messner, Renate"/>
    <s v="Messner, Renate"/>
    <x v="0"/>
    <s v="no"/>
    <s v="no"/>
    <s v="LEHMS"/>
    <n v="10279"/>
    <x v="35"/>
    <x v="35"/>
    <s v="LEHMS_10279_Alice Mutton"/>
    <s v="10279"/>
    <s v="10279"/>
    <s v="Alice Mutton"/>
    <n v="31.2"/>
    <x v="6"/>
    <x v="4"/>
    <n v="351"/>
    <x v="0"/>
    <d v="1994-09-13T00:00:00"/>
    <s v=""/>
    <s v=""/>
  </r>
  <r>
    <x v="25"/>
    <x v="25"/>
    <s v="Christina"/>
    <s v="Berglund"/>
    <s v="Berglund, Christina"/>
    <s v="Berglund, Christina"/>
    <x v="0"/>
    <s v="no"/>
    <s v="no"/>
    <s v="BERGS"/>
    <n v="10280"/>
    <x v="15"/>
    <x v="15"/>
    <s v="BERGS_10280_Guaraná Fantástica"/>
    <s v="10280"/>
    <s v="10280"/>
    <s v="Guaraná Fantástica"/>
    <n v="3.6"/>
    <x v="0"/>
    <x v="0"/>
    <n v="43.2"/>
    <x v="0"/>
    <d v="1994-09-14T00:00:00"/>
    <s v=""/>
    <s v=""/>
  </r>
  <r>
    <x v="25"/>
    <x v="25"/>
    <s v="Christina"/>
    <s v="Berglund"/>
    <s v="Berglund, Christina"/>
    <s v="Berglund, Christina"/>
    <x v="0"/>
    <s v="no"/>
    <s v="no"/>
    <s v="BERGS"/>
    <n v="10280"/>
    <x v="16"/>
    <x v="16"/>
    <s v="BERGS_10280_Pâté chinois"/>
    <s v="10280"/>
    <s v="10280"/>
    <s v="Pâté chinois"/>
    <n v="19.2"/>
    <x v="8"/>
    <x v="0"/>
    <n v="384"/>
    <x v="0"/>
    <d v="1994-09-14T00:00:00"/>
    <s v=""/>
    <s v=""/>
  </r>
  <r>
    <x v="25"/>
    <x v="25"/>
    <s v="Christina"/>
    <s v="Berglund"/>
    <s v="Berglund, Christina"/>
    <s v="Berglund, Christina"/>
    <x v="0"/>
    <s v="no"/>
    <s v="no"/>
    <s v="BERGS"/>
    <n v="10280"/>
    <x v="48"/>
    <x v="48"/>
    <s v="BERGS_10280_Rhönbräu Klosterbier"/>
    <s v="10280"/>
    <s v="10280"/>
    <s v="Rhönbräu Klosterbier"/>
    <n v="6.2"/>
    <x v="12"/>
    <x v="0"/>
    <n v="186"/>
    <x v="0"/>
    <d v="1994-09-14T00:00:00"/>
    <s v=""/>
    <s v=""/>
  </r>
  <r>
    <x v="27"/>
    <x v="27"/>
    <s v="Alejandra"/>
    <s v="Camino"/>
    <s v="Camino, Alejandra"/>
    <s v="Camino, Alejandra"/>
    <x v="0"/>
    <s v="no"/>
    <s v="no"/>
    <s v="ROMEY"/>
    <n v="10281"/>
    <x v="49"/>
    <x v="49"/>
    <s v="ROMEY_10281_Teatime Chocolate Biscuits"/>
    <s v="10281"/>
    <s v="10281"/>
    <s v="Teatime Chocolate Biscuits"/>
    <n v="7.3"/>
    <x v="15"/>
    <x v="0"/>
    <n v="7.3"/>
    <x v="0"/>
    <d v="1994-09-14T00:00:00"/>
    <s v=""/>
    <s v=""/>
  </r>
  <r>
    <x v="27"/>
    <x v="27"/>
    <s v="Alejandra"/>
    <s v="Camino"/>
    <s v="Camino, Alejandra"/>
    <s v="Camino, Alejandra"/>
    <x v="0"/>
    <s v="no"/>
    <s v="no"/>
    <s v="ROMEY"/>
    <n v="10281"/>
    <x v="15"/>
    <x v="15"/>
    <s v="ROMEY_10281_Guaraná Fantástica"/>
    <s v="10281"/>
    <s v="10281"/>
    <s v="Guaraná Fantástica"/>
    <n v="3.6"/>
    <x v="7"/>
    <x v="0"/>
    <n v="21.6"/>
    <x v="0"/>
    <d v="1994-09-14T00:00:00"/>
    <s v=""/>
    <s v=""/>
  </r>
  <r>
    <x v="27"/>
    <x v="27"/>
    <s v="Alejandra"/>
    <s v="Camino"/>
    <s v="Camino, Alejandra"/>
    <s v="Camino, Alejandra"/>
    <x v="0"/>
    <s v="no"/>
    <s v="no"/>
    <s v="ROMEY"/>
    <n v="10281"/>
    <x v="31"/>
    <x v="31"/>
    <s v="ROMEY_10281_Steeleye Stout"/>
    <s v="10281"/>
    <s v="10281"/>
    <s v="Steeleye Stout"/>
    <n v="14.4"/>
    <x v="22"/>
    <x v="0"/>
    <n v="57.6"/>
    <x v="0"/>
    <d v="1994-09-14T00:00:00"/>
    <s v=""/>
    <s v=""/>
  </r>
  <r>
    <x v="27"/>
    <x v="27"/>
    <s v="Alejandra"/>
    <s v="Camino"/>
    <s v="Camino, Alejandra"/>
    <s v="Camino, Alejandra"/>
    <x v="0"/>
    <s v="no"/>
    <s v="no"/>
    <s v="ROMEY"/>
    <n v="10282"/>
    <x v="34"/>
    <x v="34"/>
    <s v="ROMEY_10282_Nord-Ost Matjeshering"/>
    <s v="10282"/>
    <s v="10282"/>
    <s v="Nord-Ost Matjeshering"/>
    <n v="20.7"/>
    <x v="7"/>
    <x v="0"/>
    <n v="124.19999999999999"/>
    <x v="0"/>
    <d v="1994-09-15T00:00:00"/>
    <s v=""/>
    <s v=""/>
  </r>
  <r>
    <x v="27"/>
    <x v="27"/>
    <s v="Alejandra"/>
    <s v="Camino"/>
    <s v="Camino, Alejandra"/>
    <s v="Camino, Alejandra"/>
    <x v="0"/>
    <s v="no"/>
    <s v="no"/>
    <s v="ROMEY"/>
    <n v="10282"/>
    <x v="8"/>
    <x v="8"/>
    <s v="ROMEY_10282_Ravioli Angelo"/>
    <s v="10282"/>
    <s v="10282"/>
    <s v="Ravioli Angelo"/>
    <n v="15.6"/>
    <x v="17"/>
    <x v="0"/>
    <n v="31.2"/>
    <x v="0"/>
    <d v="1994-09-15T00:00:00"/>
    <s v=""/>
    <s v=""/>
  </r>
  <r>
    <x v="28"/>
    <x v="28"/>
    <s v="Carlos"/>
    <s v="González"/>
    <s v="González, Carlos"/>
    <s v="González, Carlos"/>
    <x v="0"/>
    <s v="no"/>
    <s v="no"/>
    <s v="LILAS"/>
    <n v="10283"/>
    <x v="50"/>
    <x v="50"/>
    <s v="LILAS_10283_Genen Shouyu"/>
    <s v="10283"/>
    <s v="10283"/>
    <s v="Genen Shouyu"/>
    <n v="12.4"/>
    <x v="8"/>
    <x v="0"/>
    <n v="248"/>
    <x v="0"/>
    <d v="1994-09-16T00:00:00"/>
    <s v=""/>
    <s v=""/>
  </r>
  <r>
    <x v="28"/>
    <x v="28"/>
    <s v="Carlos"/>
    <s v="González"/>
    <s v="González, Carlos"/>
    <s v="González, Carlos"/>
    <x v="0"/>
    <s v="no"/>
    <s v="no"/>
    <s v="LILAS"/>
    <n v="10283"/>
    <x v="49"/>
    <x v="49"/>
    <s v="LILAS_10283_Teatime Chocolate Biscuits"/>
    <s v="10283"/>
    <s v="10283"/>
    <s v="Teatime Chocolate Biscuits"/>
    <n v="7.3"/>
    <x v="27"/>
    <x v="0"/>
    <n v="131.4"/>
    <x v="0"/>
    <d v="1994-09-16T00:00:00"/>
    <s v=""/>
    <s v=""/>
  </r>
  <r>
    <x v="28"/>
    <x v="28"/>
    <s v="Carlos"/>
    <s v="González"/>
    <s v="González, Carlos"/>
    <s v="González, Carlos"/>
    <x v="0"/>
    <s v="no"/>
    <s v="no"/>
    <s v="LILAS"/>
    <n v="10283"/>
    <x v="11"/>
    <x v="11"/>
    <s v="LILAS_10283_Camembert Pierrot"/>
    <s v="10283"/>
    <s v="10283"/>
    <s v="Camembert Pierrot"/>
    <n v="27.2"/>
    <x v="5"/>
    <x v="0"/>
    <n v="952"/>
    <x v="0"/>
    <d v="1994-09-16T00:00:00"/>
    <s v=""/>
    <s v=""/>
  </r>
  <r>
    <x v="28"/>
    <x v="28"/>
    <s v="Carlos"/>
    <s v="González"/>
    <s v="González, Carlos"/>
    <s v="González, Carlos"/>
    <x v="0"/>
    <s v="no"/>
    <s v="no"/>
    <s v="LILAS"/>
    <n v="10283"/>
    <x v="2"/>
    <x v="2"/>
    <s v="LILAS_10283_Mozzarella di Giovanni"/>
    <s v="10283"/>
    <s v="10283"/>
    <s v="Mozzarella di Giovanni"/>
    <n v="27.8"/>
    <x v="28"/>
    <x v="0"/>
    <n v="83.4"/>
    <x v="0"/>
    <d v="1994-09-16T00:00:00"/>
    <s v=""/>
    <s v=""/>
  </r>
  <r>
    <x v="26"/>
    <x v="26"/>
    <s v="Renate"/>
    <s v="Messner"/>
    <s v="Messner, Renate"/>
    <s v="Messner, Renate"/>
    <x v="0"/>
    <s v="no"/>
    <s v="no"/>
    <s v="LEHMS"/>
    <n v="10284"/>
    <x v="24"/>
    <x v="24"/>
    <s v="LEHMS_10284_Schoggi Schokolade"/>
    <s v="10284"/>
    <s v="10284"/>
    <s v="Schoggi Schokolade"/>
    <n v="35.1"/>
    <x v="6"/>
    <x v="4"/>
    <n v="394.875"/>
    <x v="0"/>
    <d v="1994-09-19T00:00:00"/>
    <s v=""/>
    <s v=""/>
  </r>
  <r>
    <x v="26"/>
    <x v="26"/>
    <s v="Renate"/>
    <s v="Messner"/>
    <s v="Messner, Renate"/>
    <s v="Messner, Renate"/>
    <x v="0"/>
    <s v="no"/>
    <s v="no"/>
    <s v="LEHMS"/>
    <n v="10284"/>
    <x v="45"/>
    <x v="45"/>
    <s v="LEHMS_10284_Gula Malacca"/>
    <s v="10284"/>
    <s v="10284"/>
    <s v="Gula Malacca"/>
    <n v="15.5"/>
    <x v="11"/>
    <x v="0"/>
    <n v="325.5"/>
    <x v="0"/>
    <d v="1994-09-19T00:00:00"/>
    <s v=""/>
    <s v=""/>
  </r>
  <r>
    <x v="26"/>
    <x v="26"/>
    <s v="Renate"/>
    <s v="Messner"/>
    <s v="Messner, Renate"/>
    <s v="Messner, Renate"/>
    <x v="0"/>
    <s v="no"/>
    <s v="no"/>
    <s v="LEHMS"/>
    <n v="10284"/>
    <x v="11"/>
    <x v="11"/>
    <s v="LEHMS_10284_Camembert Pierrot"/>
    <s v="10284"/>
    <s v="10284"/>
    <s v="Camembert Pierrot"/>
    <n v="27.2"/>
    <x v="8"/>
    <x v="4"/>
    <n v="408"/>
    <x v="0"/>
    <d v="1994-09-19T00:00:00"/>
    <s v=""/>
    <s v=""/>
  </r>
  <r>
    <x v="26"/>
    <x v="26"/>
    <s v="Renate"/>
    <s v="Messner"/>
    <s v="Messner, Renate"/>
    <s v="Messner, Renate"/>
    <x v="0"/>
    <s v="no"/>
    <s v="no"/>
    <s v="LEHMS"/>
    <n v="10284"/>
    <x v="51"/>
    <x v="51"/>
    <s v="LEHMS_10284_Laughing Lumberjack Lager"/>
    <s v="10284"/>
    <s v="10284"/>
    <s v="Laughing Lumberjack Lager"/>
    <n v="11.2"/>
    <x v="2"/>
    <x v="4"/>
    <n v="42"/>
    <x v="0"/>
    <d v="1994-09-19T00:00:00"/>
    <s v=""/>
    <s v=""/>
  </r>
  <r>
    <x v="21"/>
    <x v="21"/>
    <s v="Horst"/>
    <s v="Kloss"/>
    <s v="Kloss, Horst"/>
    <s v="Kloss, Horst"/>
    <x v="0"/>
    <s v="no"/>
    <s v="no"/>
    <s v="QUICK"/>
    <n v="10285"/>
    <x v="52"/>
    <x v="52"/>
    <s v="QUICK_10285_Chai"/>
    <s v="10285"/>
    <s v="10285"/>
    <s v="Chai"/>
    <n v="14.4"/>
    <x v="29"/>
    <x v="3"/>
    <n v="518.4"/>
    <x v="0"/>
    <d v="1994-09-20T00:00:00"/>
    <s v=""/>
    <s v=""/>
  </r>
  <r>
    <x v="21"/>
    <x v="21"/>
    <s v="Horst"/>
    <s v="Kloss"/>
    <s v="Kloss, Horst"/>
    <s v="Kloss, Horst"/>
    <x v="0"/>
    <s v="no"/>
    <s v="no"/>
    <s v="QUICK"/>
    <n v="10285"/>
    <x v="37"/>
    <x v="37"/>
    <s v="QUICK_10285_Boston Crab Meat"/>
    <s v="10285"/>
    <s v="10285"/>
    <s v="Boston Crab Meat"/>
    <n v="14.7"/>
    <x v="4"/>
    <x v="3"/>
    <n v="470.40000000000003"/>
    <x v="0"/>
    <d v="1994-09-20T00:00:00"/>
    <s v=""/>
    <s v=""/>
  </r>
  <r>
    <x v="21"/>
    <x v="21"/>
    <s v="Horst"/>
    <s v="Kloss"/>
    <s v="Kloss, Horst"/>
    <s v="Kloss, Horst"/>
    <x v="0"/>
    <s v="no"/>
    <s v="no"/>
    <s v="QUICK"/>
    <n v="10285"/>
    <x v="22"/>
    <x v="22"/>
    <s v="QUICK_10285_Perth Pasties"/>
    <s v="10285"/>
    <s v="10285"/>
    <s v="Perth Pasties"/>
    <n v="26.2"/>
    <x v="20"/>
    <x v="3"/>
    <n v="754.56"/>
    <x v="0"/>
    <d v="1994-09-20T00:00:00"/>
    <s v=""/>
    <s v=""/>
  </r>
  <r>
    <x v="21"/>
    <x v="21"/>
    <s v="Horst"/>
    <s v="Kloss"/>
    <s v="Kloss, Horst"/>
    <s v="Kloss, Horst"/>
    <x v="0"/>
    <s v="no"/>
    <s v="no"/>
    <s v="QUICK"/>
    <n v="10286"/>
    <x v="31"/>
    <x v="31"/>
    <s v="QUICK_10286_Steeleye Stout"/>
    <s v="10286"/>
    <s v="10286"/>
    <s v="Steeleye Stout"/>
    <n v="14.4"/>
    <x v="30"/>
    <x v="0"/>
    <n v="1440"/>
    <x v="0"/>
    <d v="1994-09-21T00:00:00"/>
    <s v=""/>
    <s v=""/>
  </r>
  <r>
    <x v="21"/>
    <x v="21"/>
    <s v="Horst"/>
    <s v="Kloss"/>
    <s v="Kloss, Horst"/>
    <s v="Kloss, Horst"/>
    <x v="0"/>
    <s v="no"/>
    <s v="no"/>
    <s v="QUICK"/>
    <n v="10286"/>
    <x v="29"/>
    <x v="29"/>
    <s v="QUICK_10286_Tarte au sucre"/>
    <s v="10286"/>
    <s v="10286"/>
    <s v="Tarte au sucre"/>
    <n v="39.4"/>
    <x v="4"/>
    <x v="0"/>
    <n v="1576"/>
    <x v="0"/>
    <d v="1994-09-21T00:00:00"/>
    <s v=""/>
    <s v=""/>
  </r>
  <r>
    <x v="29"/>
    <x v="29"/>
    <s v="Janete"/>
    <s v="Limeira"/>
    <s v="Limeira, Janete"/>
    <s v="Limeira, Janete"/>
    <x v="0"/>
    <s v="no"/>
    <s v="no"/>
    <s v="RICAR"/>
    <n v="10287"/>
    <x v="19"/>
    <x v="19"/>
    <s v="RICAR_10287_Pavlova"/>
    <s v="10287"/>
    <s v="10287"/>
    <s v="Pavlova"/>
    <n v="13.9"/>
    <x v="4"/>
    <x v="1"/>
    <n v="472.59999999999997"/>
    <x v="0"/>
    <d v="1994-09-22T00:00:00"/>
    <s v=""/>
    <s v=""/>
  </r>
  <r>
    <x v="29"/>
    <x v="29"/>
    <s v="Janete"/>
    <s v="Limeira"/>
    <s v="Limeira, Janete"/>
    <s v="Limeira, Janete"/>
    <x v="0"/>
    <s v="no"/>
    <s v="no"/>
    <s v="RICAR"/>
    <n v="10287"/>
    <x v="53"/>
    <x v="53"/>
    <s v="RICAR_10287_Sasquatch Ale"/>
    <s v="10287"/>
    <s v="10287"/>
    <s v="Sasquatch Ale"/>
    <n v="11.2"/>
    <x v="8"/>
    <x v="0"/>
    <n v="224"/>
    <x v="0"/>
    <d v="1994-09-22T00:00:00"/>
    <s v=""/>
    <s v=""/>
  </r>
  <r>
    <x v="29"/>
    <x v="29"/>
    <s v="Janete"/>
    <s v="Limeira"/>
    <s v="Limeira, Janete"/>
    <s v="Limeira, Janete"/>
    <x v="0"/>
    <s v="no"/>
    <s v="no"/>
    <s v="RICAR"/>
    <n v="10287"/>
    <x v="54"/>
    <x v="54"/>
    <s v="RICAR_10287_Spegesild"/>
    <s v="10287"/>
    <s v="10287"/>
    <s v="Spegesild"/>
    <n v="9.6"/>
    <x v="6"/>
    <x v="1"/>
    <n v="122.39999999999999"/>
    <x v="0"/>
    <d v="1994-09-22T00:00:00"/>
    <s v=""/>
    <s v=""/>
  </r>
  <r>
    <x v="30"/>
    <x v="30"/>
    <s v="Maurizio"/>
    <s v="Moroni"/>
    <s v="Moroni, Maurizio"/>
    <s v="Moroni, Maurizio"/>
    <x v="0"/>
    <s v="no"/>
    <s v="no"/>
    <s v="REGGC"/>
    <n v="10288"/>
    <x v="55"/>
    <x v="55"/>
    <s v="REGGC_10288_Tourtière"/>
    <s v="10288"/>
    <s v="10288"/>
    <s v="Tourtière"/>
    <n v="5.9"/>
    <x v="1"/>
    <x v="5"/>
    <n v="53.1"/>
    <x v="0"/>
    <d v="1994-09-23T00:00:00"/>
    <s v=""/>
    <s v=""/>
  </r>
  <r>
    <x v="30"/>
    <x v="30"/>
    <s v="Maurizio"/>
    <s v="Moroni"/>
    <s v="Moroni, Maurizio"/>
    <s v="Moroni, Maurizio"/>
    <x v="0"/>
    <s v="no"/>
    <s v="no"/>
    <s v="REGGC"/>
    <n v="10288"/>
    <x v="56"/>
    <x v="56"/>
    <s v="REGGC_10288_Scottish Longbreads"/>
    <s v="10288"/>
    <s v="10288"/>
    <s v="Scottish Longbreads"/>
    <n v="10"/>
    <x v="28"/>
    <x v="5"/>
    <n v="27"/>
    <x v="0"/>
    <d v="1994-09-23T00:00:00"/>
    <s v=""/>
    <s v=""/>
  </r>
  <r>
    <x v="31"/>
    <x v="31"/>
    <s v="Victoria"/>
    <s v="Ashworth"/>
    <s v="Ashworth, Victoria"/>
    <s v="Ashworth, Victoria"/>
    <x v="0"/>
    <s v="no"/>
    <s v="no"/>
    <s v="BSBEV"/>
    <n v="10289"/>
    <x v="57"/>
    <x v="57"/>
    <s v="BSBEV_10289_Aniseed Syrup"/>
    <s v="10289"/>
    <s v="10289"/>
    <s v="Aniseed Syrup"/>
    <n v="8"/>
    <x v="12"/>
    <x v="0"/>
    <n v="240"/>
    <x v="0"/>
    <d v="1994-09-26T00:00:00"/>
    <s v=""/>
    <s v=""/>
  </r>
  <r>
    <x v="31"/>
    <x v="31"/>
    <s v="Victoria"/>
    <s v="Ashworth"/>
    <s v="Ashworth, Victoria"/>
    <s v="Ashworth, Victoria"/>
    <x v="0"/>
    <s v="no"/>
    <s v="no"/>
    <s v="BSBEV"/>
    <n v="10289"/>
    <x v="58"/>
    <x v="58"/>
    <s v="BSBEV_10289_Wimmers gute Semmelknödel"/>
    <s v="10289"/>
    <s v="10289"/>
    <s v="Wimmers gute Semmelknödel"/>
    <n v="26.6"/>
    <x v="3"/>
    <x v="0"/>
    <n v="239.4"/>
    <x v="0"/>
    <d v="1994-09-26T00:00:00"/>
    <s v=""/>
    <s v=""/>
  </r>
  <r>
    <x v="32"/>
    <x v="32"/>
    <s v="Pedro"/>
    <s v="Afonso"/>
    <s v="Afonso, Pedro"/>
    <s v="Afonso, Pedro"/>
    <x v="0"/>
    <s v="no"/>
    <s v="no"/>
    <s v="COMMI"/>
    <n v="10290"/>
    <x v="25"/>
    <x v="25"/>
    <s v="COMMI_10290_Chef Anton's Gumbo Mix"/>
    <s v="10290"/>
    <s v="10290"/>
    <s v="Chef Anton's Gumbo Mix"/>
    <n v="17"/>
    <x v="8"/>
    <x v="0"/>
    <n v="340"/>
    <x v="0"/>
    <d v="1994-09-27T00:00:00"/>
    <s v=""/>
    <s v=""/>
  </r>
  <r>
    <x v="32"/>
    <x v="32"/>
    <s v="Pedro"/>
    <s v="Afonso"/>
    <s v="Afonso, Pedro"/>
    <s v="Afonso, Pedro"/>
    <x v="0"/>
    <s v="no"/>
    <s v="no"/>
    <s v="COMMI"/>
    <n v="10290"/>
    <x v="39"/>
    <x v="39"/>
    <s v="COMMI_10290_Thüringer Rostbratwurst"/>
    <s v="10290"/>
    <s v="10290"/>
    <s v="Thüringer Rostbratwurst"/>
    <n v="99"/>
    <x v="6"/>
    <x v="0"/>
    <n v="1485"/>
    <x v="0"/>
    <d v="1994-09-27T00:00:00"/>
    <s v=""/>
    <s v=""/>
  </r>
  <r>
    <x v="32"/>
    <x v="32"/>
    <s v="Pedro"/>
    <s v="Afonso"/>
    <s v="Afonso, Pedro"/>
    <s v="Afonso, Pedro"/>
    <x v="0"/>
    <s v="no"/>
    <s v="no"/>
    <s v="COMMI"/>
    <n v="10290"/>
    <x v="14"/>
    <x v="14"/>
    <s v="COMMI_10290_Maxilaku"/>
    <s v="10290"/>
    <s v="10290"/>
    <s v="Maxilaku"/>
    <n v="16"/>
    <x v="6"/>
    <x v="0"/>
    <n v="240"/>
    <x v="0"/>
    <d v="1994-09-27T00:00:00"/>
    <s v=""/>
    <s v=""/>
  </r>
  <r>
    <x v="32"/>
    <x v="32"/>
    <s v="Pedro"/>
    <s v="Afonso"/>
    <s v="Afonso, Pedro"/>
    <s v="Afonso, Pedro"/>
    <x v="0"/>
    <s v="no"/>
    <s v="no"/>
    <s v="COMMI"/>
    <n v="10290"/>
    <x v="23"/>
    <x v="23"/>
    <s v="COMMI_10290_Original Frankfurter grüne Soße"/>
    <s v="10290"/>
    <s v="10290"/>
    <s v="Original Frankfurter grüne Soße"/>
    <n v="10.4"/>
    <x v="1"/>
    <x v="0"/>
    <n v="104"/>
    <x v="0"/>
    <d v="1994-09-27T00:00:00"/>
    <s v=""/>
    <s v=""/>
  </r>
  <r>
    <x v="12"/>
    <x v="12"/>
    <s v="Bernardo"/>
    <s v="Batista"/>
    <s v="Batista, Bernardo"/>
    <s v="Batista, Bernardo"/>
    <x v="0"/>
    <s v="no"/>
    <s v="no"/>
    <s v="QUEDE"/>
    <n v="10291"/>
    <x v="43"/>
    <x v="43"/>
    <s v="QUEDE_10291_Konbu"/>
    <s v="10291"/>
    <s v="10291"/>
    <s v="Konbu"/>
    <n v="4.8"/>
    <x v="8"/>
    <x v="5"/>
    <n v="86.4"/>
    <x v="0"/>
    <d v="1994-09-27T00:00:00"/>
    <s v=""/>
    <s v=""/>
  </r>
  <r>
    <x v="12"/>
    <x v="12"/>
    <s v="Bernardo"/>
    <s v="Batista"/>
    <s v="Batista, Bernardo"/>
    <s v="Batista, Bernardo"/>
    <x v="0"/>
    <s v="no"/>
    <s v="no"/>
    <s v="QUEDE"/>
    <n v="10291"/>
    <x v="45"/>
    <x v="45"/>
    <s v="QUEDE_10291_Gula Malacca"/>
    <s v="10291"/>
    <s v="10291"/>
    <s v="Gula Malacca"/>
    <n v="15.5"/>
    <x v="23"/>
    <x v="5"/>
    <n v="334.8"/>
    <x v="0"/>
    <d v="1994-09-27T00:00:00"/>
    <s v=""/>
    <s v=""/>
  </r>
  <r>
    <x v="12"/>
    <x v="12"/>
    <s v="Bernardo"/>
    <s v="Batista"/>
    <s v="Batista, Bernardo"/>
    <s v="Batista, Bernardo"/>
    <x v="0"/>
    <s v="no"/>
    <s v="no"/>
    <s v="QUEDE"/>
    <n v="10291"/>
    <x v="4"/>
    <x v="4"/>
    <s v="QUEDE_10291_Manjimup Dried Apples"/>
    <s v="10291"/>
    <s v="10291"/>
    <s v="Manjimup Dried Apples"/>
    <n v="42.4"/>
    <x v="17"/>
    <x v="5"/>
    <n v="76.319999999999993"/>
    <x v="0"/>
    <d v="1994-09-27T00:00:00"/>
    <s v=""/>
    <s v=""/>
  </r>
  <r>
    <x v="33"/>
    <x v="33"/>
    <s v="Anabela"/>
    <s v="Domingues"/>
    <s v="Domingues, Anabela"/>
    <s v="Domingues, Anabela"/>
    <x v="0"/>
    <s v="no"/>
    <s v="no"/>
    <s v="TRADH"/>
    <n v="10292"/>
    <x v="9"/>
    <x v="9"/>
    <s v="TRADH_10292_Sir Rodney's Marmalade"/>
    <s v="10292"/>
    <s v="10292"/>
    <s v="Sir Rodney's Marmalade"/>
    <n v="64.8"/>
    <x v="8"/>
    <x v="0"/>
    <n v="1296"/>
    <x v="0"/>
    <d v="1994-09-28T00:00:00"/>
    <s v=""/>
    <s v=""/>
  </r>
  <r>
    <x v="23"/>
    <x v="23"/>
    <s v="Miguel"/>
    <s v="Angel Paolino"/>
    <s v="Angel Paolino, Miguel"/>
    <s v="Angel Paolino, Miguel"/>
    <x v="0"/>
    <s v="no"/>
    <s v="no"/>
    <s v="TORTU"/>
    <n v="10293"/>
    <x v="59"/>
    <x v="59"/>
    <s v="TORTU_10293_Carnarvon Tigers"/>
    <s v="10293"/>
    <s v="10293"/>
    <s v="Carnarvon Tigers"/>
    <n v="50"/>
    <x v="0"/>
    <x v="0"/>
    <n v="600"/>
    <x v="0"/>
    <d v="1994-09-29T00:00:00"/>
    <s v=""/>
    <s v=""/>
  </r>
  <r>
    <x v="23"/>
    <x v="23"/>
    <s v="Miguel"/>
    <s v="Angel Paolino"/>
    <s v="Angel Paolino, Miguel"/>
    <s v="Angel Paolino, Miguel"/>
    <x v="0"/>
    <s v="no"/>
    <s v="no"/>
    <s v="TORTU"/>
    <n v="10293"/>
    <x v="15"/>
    <x v="15"/>
    <s v="TORTU_10293_Guaraná Fantástica"/>
    <s v="10293"/>
    <s v="10293"/>
    <s v="Guaraná Fantástica"/>
    <n v="3.6"/>
    <x v="1"/>
    <x v="0"/>
    <n v="36"/>
    <x v="0"/>
    <d v="1994-09-29T00:00:00"/>
    <s v=""/>
    <s v=""/>
  </r>
  <r>
    <x v="23"/>
    <x v="23"/>
    <s v="Miguel"/>
    <s v="Angel Paolino"/>
    <s v="Angel Paolino, Miguel"/>
    <s v="Angel Paolino, Miguel"/>
    <x v="0"/>
    <s v="no"/>
    <s v="no"/>
    <s v="TORTU"/>
    <n v="10293"/>
    <x v="46"/>
    <x v="46"/>
    <s v="TORTU_10293_Vegie-spread"/>
    <s v="10293"/>
    <s v="10293"/>
    <s v="Vegie-spread"/>
    <n v="35.1"/>
    <x v="2"/>
    <x v="0"/>
    <n v="175.5"/>
    <x v="0"/>
    <d v="1994-09-29T00:00:00"/>
    <s v=""/>
    <s v=""/>
  </r>
  <r>
    <x v="23"/>
    <x v="23"/>
    <s v="Miguel"/>
    <s v="Angel Paolino"/>
    <s v="Angel Paolino, Miguel"/>
    <s v="Angel Paolino, Miguel"/>
    <x v="0"/>
    <s v="no"/>
    <s v="no"/>
    <s v="TORTU"/>
    <n v="10293"/>
    <x v="48"/>
    <x v="48"/>
    <s v="TORTU_10293_Rhönbräu Klosterbier"/>
    <s v="10293"/>
    <s v="10293"/>
    <s v="Rhönbräu Klosterbier"/>
    <n v="6.2"/>
    <x v="7"/>
    <x v="0"/>
    <n v="37.200000000000003"/>
    <x v="0"/>
    <d v="1994-09-29T00:00:00"/>
    <s v=""/>
    <s v=""/>
  </r>
  <r>
    <x v="13"/>
    <x v="13"/>
    <s v="Paula"/>
    <s v="Wilson"/>
    <s v="Wilson, Paula"/>
    <s v="Wilson, Paula"/>
    <x v="0"/>
    <s v="no"/>
    <s v="no"/>
    <s v="RATTC"/>
    <n v="10294"/>
    <x v="52"/>
    <x v="52"/>
    <s v="RATTC_10294_Chai"/>
    <s v="10294"/>
    <s v="10294"/>
    <s v="Chai"/>
    <n v="14.4"/>
    <x v="27"/>
    <x v="0"/>
    <n v="259.2"/>
    <x v="0"/>
    <d v="1994-09-30T00:00:00"/>
    <s v=""/>
    <s v=""/>
  </r>
  <r>
    <x v="13"/>
    <x v="13"/>
    <s v="Paula"/>
    <s v="Wilson"/>
    <s v="Wilson, Paula"/>
    <s v="Wilson, Paula"/>
    <x v="0"/>
    <s v="no"/>
    <s v="no"/>
    <s v="RATTC"/>
    <n v="10294"/>
    <x v="35"/>
    <x v="35"/>
    <s v="RATTC_10294_Alice Mutton"/>
    <s v="10294"/>
    <s v="10294"/>
    <s v="Alice Mutton"/>
    <n v="31.2"/>
    <x v="6"/>
    <x v="0"/>
    <n v="468"/>
    <x v="0"/>
    <d v="1994-09-30T00:00:00"/>
    <s v=""/>
    <s v=""/>
  </r>
  <r>
    <x v="13"/>
    <x v="13"/>
    <s v="Paula"/>
    <s v="Wilson"/>
    <s v="Wilson, Paula"/>
    <s v="Wilson, Paula"/>
    <x v="0"/>
    <s v="no"/>
    <s v="no"/>
    <s v="RATTC"/>
    <n v="10294"/>
    <x v="40"/>
    <x v="40"/>
    <s v="RATTC_10294_Ipoh Coffee"/>
    <s v="10294"/>
    <s v="10294"/>
    <s v="Ipoh Coffee"/>
    <n v="36.799999999999997"/>
    <x v="6"/>
    <x v="0"/>
    <n v="552"/>
    <x v="0"/>
    <d v="1994-09-30T00:00:00"/>
    <s v=""/>
    <s v=""/>
  </r>
  <r>
    <x v="13"/>
    <x v="13"/>
    <s v="Paula"/>
    <s v="Wilson"/>
    <s v="Wilson, Paula"/>
    <s v="Wilson, Paula"/>
    <x v="0"/>
    <s v="no"/>
    <s v="no"/>
    <s v="RATTC"/>
    <n v="10294"/>
    <x v="11"/>
    <x v="11"/>
    <s v="RATTC_10294_Camembert Pierrot"/>
    <s v="10294"/>
    <s v="10294"/>
    <s v="Camembert Pierrot"/>
    <n v="27.2"/>
    <x v="11"/>
    <x v="0"/>
    <n v="571.19999999999993"/>
    <x v="0"/>
    <d v="1994-09-30T00:00:00"/>
    <s v=""/>
    <s v=""/>
  </r>
  <r>
    <x v="13"/>
    <x v="13"/>
    <s v="Paula"/>
    <s v="Wilson"/>
    <s v="Wilson, Paula"/>
    <s v="Wilson, Paula"/>
    <x v="0"/>
    <s v="no"/>
    <s v="no"/>
    <s v="RATTC"/>
    <n v="10294"/>
    <x v="48"/>
    <x v="48"/>
    <s v="RATTC_10294_Rhönbräu Klosterbier"/>
    <s v="10294"/>
    <s v="10294"/>
    <s v="Rhönbräu Klosterbier"/>
    <n v="6.2"/>
    <x v="7"/>
    <x v="0"/>
    <n v="37.200000000000003"/>
    <x v="0"/>
    <d v="1994-09-30T00:00:00"/>
    <s v=""/>
    <s v=""/>
  </r>
  <r>
    <x v="0"/>
    <x v="0"/>
    <s v="Paul"/>
    <s v="Henriot"/>
    <s v="Henriot, Paul"/>
    <s v="Henriot, Paul"/>
    <x v="0"/>
    <s v="no"/>
    <s v="no"/>
    <s v="VINET"/>
    <n v="10295"/>
    <x v="33"/>
    <x v="33"/>
    <s v="VINET_10295_Gnocchi di nonna Alice"/>
    <s v="10295"/>
    <s v="10295"/>
    <s v="Gnocchi di nonna Alice"/>
    <n v="30.4"/>
    <x v="22"/>
    <x v="0"/>
    <n v="121.6"/>
    <x v="0"/>
    <d v="1994-10-03T00:00:00"/>
    <s v=""/>
    <s v=""/>
  </r>
  <r>
    <x v="28"/>
    <x v="28"/>
    <s v="Carlos"/>
    <s v="González"/>
    <s v="González, Carlos"/>
    <s v="González, Carlos"/>
    <x v="0"/>
    <s v="no"/>
    <s v="no"/>
    <s v="LILAS"/>
    <n v="10296"/>
    <x v="0"/>
    <x v="0"/>
    <s v="LILAS_10296_Queso Cabrales"/>
    <s v="10296"/>
    <s v="10296"/>
    <s v="Queso Cabrales"/>
    <n v="16.8"/>
    <x v="0"/>
    <x v="0"/>
    <n v="201.60000000000002"/>
    <x v="0"/>
    <d v="1994-10-04T00:00:00"/>
    <s v=""/>
    <s v=""/>
  </r>
  <r>
    <x v="28"/>
    <x v="28"/>
    <s v="Carlos"/>
    <s v="González"/>
    <s v="González, Carlos"/>
    <s v="González, Carlos"/>
    <x v="0"/>
    <s v="no"/>
    <s v="no"/>
    <s v="LILAS"/>
    <n v="10296"/>
    <x v="19"/>
    <x v="19"/>
    <s v="LILAS_10296_Pavlova"/>
    <s v="10296"/>
    <s v="10296"/>
    <s v="Pavlova"/>
    <n v="13.9"/>
    <x v="12"/>
    <x v="0"/>
    <n v="417"/>
    <x v="0"/>
    <d v="1994-10-04T00:00:00"/>
    <s v=""/>
    <s v=""/>
  </r>
  <r>
    <x v="28"/>
    <x v="28"/>
    <s v="Carlos"/>
    <s v="González"/>
    <s v="González, Carlos"/>
    <s v="González, Carlos"/>
    <x v="0"/>
    <s v="no"/>
    <s v="no"/>
    <s v="LILAS"/>
    <n v="10296"/>
    <x v="60"/>
    <x v="60"/>
    <s v="LILAS_10296_Gudbrandsdalsost"/>
    <s v="10296"/>
    <s v="10296"/>
    <s v="Gudbrandsdalsost"/>
    <n v="28.8"/>
    <x v="6"/>
    <x v="0"/>
    <n v="432"/>
    <x v="0"/>
    <d v="1994-10-04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0297"/>
    <x v="13"/>
    <x v="13"/>
    <s v="BLONP_10297_Chartreuse verte"/>
    <s v="10297"/>
    <s v="10297"/>
    <s v="Chartreuse verte"/>
    <n v="14.4"/>
    <x v="18"/>
    <x v="0"/>
    <n v="864"/>
    <x v="0"/>
    <d v="1994-10-05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0297"/>
    <x v="2"/>
    <x v="2"/>
    <s v="BLONP_10297_Mozzarella di Giovanni"/>
    <s v="10297"/>
    <s v="10297"/>
    <s v="Mozzarella di Giovanni"/>
    <n v="27.8"/>
    <x v="8"/>
    <x v="0"/>
    <n v="556"/>
    <x v="0"/>
    <d v="1994-10-05T00:00:00"/>
    <s v=""/>
    <s v=""/>
  </r>
  <r>
    <x v="34"/>
    <x v="34"/>
    <s v="Patricia"/>
    <s v="McKenna"/>
    <s v="McKenna, Patricia"/>
    <s v="McKenna, Patricia"/>
    <x v="0"/>
    <s v="no"/>
    <s v="no"/>
    <s v="HUNGO"/>
    <n v="10298"/>
    <x v="18"/>
    <x v="18"/>
    <s v="HUNGO_10298_Chang"/>
    <s v="10298"/>
    <s v="10298"/>
    <s v="Chang"/>
    <n v="15.2"/>
    <x v="4"/>
    <x v="0"/>
    <n v="608"/>
    <x v="0"/>
    <d v="1994-10-06T00:00:00"/>
    <s v=""/>
    <s v=""/>
  </r>
  <r>
    <x v="34"/>
    <x v="34"/>
    <s v="Patricia"/>
    <s v="McKenna"/>
    <s v="McKenna, Patricia"/>
    <s v="McKenna, Patricia"/>
    <x v="0"/>
    <s v="no"/>
    <s v="no"/>
    <s v="HUNGO"/>
    <n v="10298"/>
    <x v="20"/>
    <x v="20"/>
    <s v="HUNGO_10298_Inlagd Sill"/>
    <s v="10298"/>
    <s v="10298"/>
    <s v="Inlagd Sill"/>
    <n v="15.2"/>
    <x v="4"/>
    <x v="4"/>
    <n v="456"/>
    <x v="0"/>
    <d v="1994-10-06T00:00:00"/>
    <s v=""/>
    <s v=""/>
  </r>
  <r>
    <x v="34"/>
    <x v="34"/>
    <s v="Patricia"/>
    <s v="McKenna"/>
    <s v="McKenna, Patricia"/>
    <s v="McKenna, Patricia"/>
    <x v="0"/>
    <s v="no"/>
    <s v="no"/>
    <s v="HUNGO"/>
    <n v="10298"/>
    <x v="21"/>
    <x v="21"/>
    <s v="HUNGO_10298_Raclette Courdavault"/>
    <s v="10298"/>
    <s v="10298"/>
    <s v="Raclette Courdavault"/>
    <n v="44"/>
    <x v="12"/>
    <x v="4"/>
    <n v="990"/>
    <x v="0"/>
    <d v="1994-10-06T00:00:00"/>
    <s v=""/>
    <s v=""/>
  </r>
  <r>
    <x v="34"/>
    <x v="34"/>
    <s v="Patricia"/>
    <s v="McKenna"/>
    <s v="McKenna, Patricia"/>
    <s v="McKenna, Patricia"/>
    <x v="0"/>
    <s v="no"/>
    <s v="no"/>
    <s v="HUNGO"/>
    <n v="10298"/>
    <x v="29"/>
    <x v="29"/>
    <s v="HUNGO_10298_Tarte au sucre"/>
    <s v="10298"/>
    <s v="10298"/>
    <s v="Tarte au sucre"/>
    <n v="39.4"/>
    <x v="6"/>
    <x v="0"/>
    <n v="591"/>
    <x v="0"/>
    <d v="1994-10-06T00:00:00"/>
    <s v=""/>
    <s v=""/>
  </r>
  <r>
    <x v="29"/>
    <x v="29"/>
    <s v="Janete"/>
    <s v="Limeira"/>
    <s v="Limeira, Janete"/>
    <s v="Limeira, Janete"/>
    <x v="0"/>
    <s v="no"/>
    <s v="no"/>
    <s v="RICAR"/>
    <n v="10299"/>
    <x v="49"/>
    <x v="49"/>
    <s v="RICAR_10299_Teatime Chocolate Biscuits"/>
    <s v="10299"/>
    <s v="10299"/>
    <s v="Teatime Chocolate Biscuits"/>
    <n v="7.3"/>
    <x v="6"/>
    <x v="0"/>
    <n v="109.5"/>
    <x v="0"/>
    <d v="1994-10-07T00:00:00"/>
    <s v=""/>
    <s v=""/>
  </r>
  <r>
    <x v="29"/>
    <x v="29"/>
    <s v="Janete"/>
    <s v="Limeira"/>
    <s v="Limeira, Janete"/>
    <s v="Limeira, Janete"/>
    <x v="0"/>
    <s v="no"/>
    <s v="no"/>
    <s v="RICAR"/>
    <n v="10299"/>
    <x v="30"/>
    <x v="30"/>
    <s v="RICAR_10299_Outback Lager"/>
    <s v="10299"/>
    <s v="10299"/>
    <s v="Outback Lager"/>
    <n v="12"/>
    <x v="8"/>
    <x v="0"/>
    <n v="240"/>
    <x v="0"/>
    <d v="1994-10-07T00:00:00"/>
    <s v=""/>
    <s v=""/>
  </r>
  <r>
    <x v="22"/>
    <x v="22"/>
    <s v="Giovanni"/>
    <s v="Rovelli"/>
    <s v="Rovelli, Giovanni"/>
    <s v="Rovelli, Giovanni"/>
    <x v="0"/>
    <s v="no"/>
    <s v="no"/>
    <s v="MAGAA"/>
    <n v="10300"/>
    <x v="61"/>
    <x v="61"/>
    <s v="MAGAA_10300_Louisiana Hot Spiced Okra"/>
    <s v="10300"/>
    <s v="10300"/>
    <s v="Louisiana Hot Spiced Okra"/>
    <n v="13.6"/>
    <x v="12"/>
    <x v="0"/>
    <n v="408"/>
    <x v="0"/>
    <d v="1994-10-10T00:00:00"/>
    <s v=""/>
    <s v=""/>
  </r>
  <r>
    <x v="22"/>
    <x v="22"/>
    <s v="Giovanni"/>
    <s v="Rovelli"/>
    <s v="Rovelli, Giovanni"/>
    <s v="Rovelli, Giovanni"/>
    <x v="0"/>
    <s v="no"/>
    <s v="no"/>
    <s v="MAGAA"/>
    <n v="10300"/>
    <x v="56"/>
    <x v="56"/>
    <s v="MAGAA_10300_Scottish Longbreads"/>
    <s v="10300"/>
    <s v="10300"/>
    <s v="Scottish Longbreads"/>
    <n v="10"/>
    <x v="8"/>
    <x v="0"/>
    <n v="200"/>
    <x v="0"/>
    <d v="1994-10-10T00:00:00"/>
    <s v=""/>
    <s v=""/>
  </r>
  <r>
    <x v="35"/>
    <x v="35"/>
    <s v="Rita"/>
    <s v="Müller"/>
    <s v="Müller, Rita"/>
    <s v="Müller, Rita"/>
    <x v="0"/>
    <s v="no"/>
    <s v="no"/>
    <s v="WANDK"/>
    <n v="10301"/>
    <x v="37"/>
    <x v="37"/>
    <s v="WANDK_10301_Boston Crab Meat"/>
    <s v="10301"/>
    <s v="10301"/>
    <s v="Boston Crab Meat"/>
    <n v="14.7"/>
    <x v="1"/>
    <x v="0"/>
    <n v="147"/>
    <x v="0"/>
    <d v="1994-10-10T00:00:00"/>
    <s v=""/>
    <s v=""/>
  </r>
  <r>
    <x v="35"/>
    <x v="35"/>
    <s v="Rita"/>
    <s v="Müller"/>
    <s v="Müller, Rita"/>
    <s v="Müller, Rita"/>
    <x v="0"/>
    <s v="no"/>
    <s v="no"/>
    <s v="WANDK"/>
    <n v="10301"/>
    <x v="33"/>
    <x v="33"/>
    <s v="WANDK_10301_Gnocchi di nonna Alice"/>
    <s v="10301"/>
    <s v="10301"/>
    <s v="Gnocchi di nonna Alice"/>
    <n v="30.4"/>
    <x v="8"/>
    <x v="0"/>
    <n v="608"/>
    <x v="0"/>
    <d v="1994-10-10T00:00:00"/>
    <s v=""/>
    <s v=""/>
  </r>
  <r>
    <x v="4"/>
    <x v="4"/>
    <s v="Pascale"/>
    <s v="Cartrain"/>
    <s v="Cartrain, Pascale"/>
    <s v="Cartrain, Pascale"/>
    <x v="0"/>
    <s v="no"/>
    <s v="no"/>
    <s v="SUPRD"/>
    <n v="10302"/>
    <x v="35"/>
    <x v="35"/>
    <s v="SUPRD_10302_Alice Mutton"/>
    <s v="10302"/>
    <s v="10302"/>
    <s v="Alice Mutton"/>
    <n v="31.2"/>
    <x v="4"/>
    <x v="0"/>
    <n v="1248"/>
    <x v="0"/>
    <d v="1994-10-11T00:00:00"/>
    <s v=""/>
    <s v=""/>
  </r>
  <r>
    <x v="4"/>
    <x v="4"/>
    <s v="Pascale"/>
    <s v="Cartrain"/>
    <s v="Cartrain, Pascale"/>
    <s v="Cartrain, Pascale"/>
    <x v="0"/>
    <s v="no"/>
    <s v="no"/>
    <s v="SUPRD"/>
    <n v="10302"/>
    <x v="44"/>
    <x v="44"/>
    <s v="SUPRD_10302_Rössle Sauerkraut"/>
    <s v="10302"/>
    <s v="10302"/>
    <s v="Rössle Sauerkraut"/>
    <n v="36.4"/>
    <x v="19"/>
    <x v="0"/>
    <n v="1019.1999999999999"/>
    <x v="0"/>
    <d v="1994-10-11T00:00:00"/>
    <s v=""/>
    <s v=""/>
  </r>
  <r>
    <x v="4"/>
    <x v="4"/>
    <s v="Pascale"/>
    <s v="Cartrain"/>
    <s v="Cartrain, Pascale"/>
    <s v="Cartrain, Pascale"/>
    <x v="0"/>
    <s v="no"/>
    <s v="no"/>
    <s v="SUPRD"/>
    <n v="10302"/>
    <x v="40"/>
    <x v="40"/>
    <s v="SUPRD_10302_Ipoh Coffee"/>
    <s v="10302"/>
    <s v="10302"/>
    <s v="Ipoh Coffee"/>
    <n v="36.799999999999997"/>
    <x v="0"/>
    <x v="0"/>
    <n v="441.59999999999997"/>
    <x v="0"/>
    <d v="1994-10-11T00:00:00"/>
    <s v=""/>
    <s v=""/>
  </r>
  <r>
    <x v="36"/>
    <x v="36"/>
    <s v="José"/>
    <s v="Pedro Freyre"/>
    <s v="Pedro Freyre, José"/>
    <s v="Pedro Freyre, José"/>
    <x v="0"/>
    <s v="no"/>
    <s v="no"/>
    <s v="GODOS"/>
    <n v="10303"/>
    <x v="37"/>
    <x v="37"/>
    <s v="GODOS_10303_Boston Crab Meat"/>
    <s v="10303"/>
    <s v="10303"/>
    <s v="Boston Crab Meat"/>
    <n v="14.7"/>
    <x v="4"/>
    <x v="5"/>
    <n v="529.20000000000005"/>
    <x v="0"/>
    <d v="1994-10-12T00:00:00"/>
    <s v=""/>
    <s v=""/>
  </r>
  <r>
    <x v="36"/>
    <x v="36"/>
    <s v="José"/>
    <s v="Pedro Freyre"/>
    <s v="Pedro Freyre, José"/>
    <s v="Pedro Freyre, José"/>
    <x v="0"/>
    <s v="no"/>
    <s v="no"/>
    <s v="GODOS"/>
    <n v="10303"/>
    <x v="6"/>
    <x v="6"/>
    <s v="GODOS_10303_Louisiana Fiery Hot Pepper Sauce"/>
    <s v="10303"/>
    <s v="10303"/>
    <s v="Louisiana Fiery Hot Pepper Sauce"/>
    <n v="16.8"/>
    <x v="12"/>
    <x v="5"/>
    <n v="453.6"/>
    <x v="0"/>
    <d v="1994-10-12T00:00:00"/>
    <s v=""/>
    <s v=""/>
  </r>
  <r>
    <x v="36"/>
    <x v="36"/>
    <s v="José"/>
    <s v="Pedro Freyre"/>
    <s v="Pedro Freyre, José"/>
    <s v="Pedro Freyre, José"/>
    <x v="0"/>
    <s v="no"/>
    <s v="no"/>
    <s v="GODOS"/>
    <n v="10303"/>
    <x v="56"/>
    <x v="56"/>
    <s v="GODOS_10303_Scottish Longbreads"/>
    <s v="10303"/>
    <s v="10303"/>
    <s v="Scottish Longbreads"/>
    <n v="10"/>
    <x v="6"/>
    <x v="5"/>
    <n v="135"/>
    <x v="0"/>
    <d v="1994-10-12T00:00:00"/>
    <s v=""/>
    <s v=""/>
  </r>
  <r>
    <x v="23"/>
    <x v="23"/>
    <s v="Miguel"/>
    <s v="Angel Paolino"/>
    <s v="Angel Paolino, Miguel"/>
    <s v="Angel Paolino, Miguel"/>
    <x v="0"/>
    <s v="no"/>
    <s v="no"/>
    <s v="TORTU"/>
    <n v="10304"/>
    <x v="14"/>
    <x v="14"/>
    <s v="TORTU_10304_Maxilaku"/>
    <s v="10304"/>
    <s v="10304"/>
    <s v="Maxilaku"/>
    <n v="16"/>
    <x v="12"/>
    <x v="0"/>
    <n v="480"/>
    <x v="0"/>
    <d v="1994-10-13T00:00:00"/>
    <s v=""/>
    <s v=""/>
  </r>
  <r>
    <x v="23"/>
    <x v="23"/>
    <s v="Miguel"/>
    <s v="Angel Paolino"/>
    <s v="Angel Paolino, Miguel"/>
    <s v="Angel Paolino, Miguel"/>
    <x v="0"/>
    <s v="no"/>
    <s v="no"/>
    <s v="TORTU"/>
    <n v="10304"/>
    <x v="21"/>
    <x v="21"/>
    <s v="TORTU_10304_Raclette Courdavault"/>
    <s v="10304"/>
    <s v="10304"/>
    <s v="Raclette Courdavault"/>
    <n v="44"/>
    <x v="1"/>
    <x v="0"/>
    <n v="440"/>
    <x v="0"/>
    <d v="1994-10-13T00:00:00"/>
    <s v=""/>
    <s v=""/>
  </r>
  <r>
    <x v="23"/>
    <x v="23"/>
    <s v="Miguel"/>
    <s v="Angel Paolino"/>
    <s v="Angel Paolino, Miguel"/>
    <s v="Angel Paolino, Miguel"/>
    <x v="0"/>
    <s v="no"/>
    <s v="no"/>
    <s v="TORTU"/>
    <n v="10304"/>
    <x v="42"/>
    <x v="42"/>
    <s v="TORTU_10304_Fløtemysost"/>
    <s v="10304"/>
    <s v="10304"/>
    <s v="Fløtemysost"/>
    <n v="17.2"/>
    <x v="17"/>
    <x v="0"/>
    <n v="34.4"/>
    <x v="0"/>
    <d v="1994-10-13T00:00:00"/>
    <s v=""/>
    <s v=""/>
  </r>
  <r>
    <x v="37"/>
    <x v="37"/>
    <s v="Rene"/>
    <s v="Phillips"/>
    <s v="Phillips, Rene"/>
    <s v="Phillips, Rene"/>
    <x v="0"/>
    <s v="no"/>
    <s v="no"/>
    <s v="OLDWO"/>
    <n v="10305"/>
    <x v="59"/>
    <x v="59"/>
    <s v="OLDWO_10305_Carnarvon Tigers"/>
    <s v="10305"/>
    <s v="10305"/>
    <s v="Carnarvon Tigers"/>
    <n v="50"/>
    <x v="9"/>
    <x v="5"/>
    <n v="1125"/>
    <x v="0"/>
    <d v="1994-10-14T00:00:00"/>
    <s v=""/>
    <s v=""/>
  </r>
  <r>
    <x v="37"/>
    <x v="37"/>
    <s v="Rene"/>
    <s v="Phillips"/>
    <s v="Phillips, Rene"/>
    <s v="Phillips, Rene"/>
    <x v="0"/>
    <s v="no"/>
    <s v="no"/>
    <s v="OLDWO"/>
    <n v="10305"/>
    <x v="39"/>
    <x v="39"/>
    <s v="OLDWO_10305_Thüringer Rostbratwurst"/>
    <s v="10305"/>
    <s v="10305"/>
    <s v="Thüringer Rostbratwurst"/>
    <n v="99"/>
    <x v="9"/>
    <x v="5"/>
    <n v="2227.5"/>
    <x v="0"/>
    <d v="1994-10-14T00:00:00"/>
    <s v=""/>
    <s v=""/>
  </r>
  <r>
    <x v="37"/>
    <x v="37"/>
    <s v="Rene"/>
    <s v="Phillips"/>
    <s v="Phillips, Rene"/>
    <s v="Phillips, Rene"/>
    <x v="0"/>
    <s v="no"/>
    <s v="no"/>
    <s v="OLDWO"/>
    <n v="10305"/>
    <x v="13"/>
    <x v="13"/>
    <s v="OLDWO_10305_Chartreuse verte"/>
    <s v="10305"/>
    <s v="10305"/>
    <s v="Chartreuse verte"/>
    <n v="14.4"/>
    <x v="12"/>
    <x v="5"/>
    <n v="388.8"/>
    <x v="0"/>
    <d v="1994-10-14T00:00:00"/>
    <s v=""/>
    <s v=""/>
  </r>
  <r>
    <x v="27"/>
    <x v="27"/>
    <s v="Alejandra"/>
    <s v="Camino"/>
    <s v="Camino, Alejandra"/>
    <s v="Camino, Alejandra"/>
    <x v="0"/>
    <s v="no"/>
    <s v="no"/>
    <s v="ROMEY"/>
    <n v="10306"/>
    <x v="34"/>
    <x v="34"/>
    <s v="ROMEY_10306_Nord-Ost Matjeshering"/>
    <s v="10306"/>
    <s v="10306"/>
    <s v="Nord-Ost Matjeshering"/>
    <n v="20.7"/>
    <x v="1"/>
    <x v="0"/>
    <n v="207"/>
    <x v="0"/>
    <d v="1994-10-17T00:00:00"/>
    <s v=""/>
    <s v=""/>
  </r>
  <r>
    <x v="27"/>
    <x v="27"/>
    <s v="Alejandra"/>
    <s v="Camino"/>
    <s v="Camino, Alejandra"/>
    <s v="Camino, Alejandra"/>
    <x v="0"/>
    <s v="no"/>
    <s v="no"/>
    <s v="ROMEY"/>
    <n v="10306"/>
    <x v="22"/>
    <x v="22"/>
    <s v="ROMEY_10306_Perth Pasties"/>
    <s v="10306"/>
    <s v="10306"/>
    <s v="Perth Pasties"/>
    <n v="26.2"/>
    <x v="1"/>
    <x v="0"/>
    <n v="262"/>
    <x v="0"/>
    <d v="1994-10-17T00:00:00"/>
    <s v=""/>
    <s v=""/>
  </r>
  <r>
    <x v="27"/>
    <x v="27"/>
    <s v="Alejandra"/>
    <s v="Camino"/>
    <s v="Camino, Alejandra"/>
    <s v="Camino, Alejandra"/>
    <x v="0"/>
    <s v="no"/>
    <s v="no"/>
    <s v="ROMEY"/>
    <n v="10306"/>
    <x v="55"/>
    <x v="55"/>
    <s v="ROMEY_10306_Tourtière"/>
    <s v="10306"/>
    <s v="10306"/>
    <s v="Tourtière"/>
    <n v="5.9"/>
    <x v="2"/>
    <x v="0"/>
    <n v="29.5"/>
    <x v="0"/>
    <d v="1994-10-17T00:00:00"/>
    <s v=""/>
    <s v=""/>
  </r>
  <r>
    <x v="38"/>
    <x v="38"/>
    <s v="Fran"/>
    <s v="Wilson"/>
    <s v="Wilson, Fran"/>
    <s v="Wilson, Fran"/>
    <x v="0"/>
    <s v="no"/>
    <s v="no"/>
    <s v="LONEP"/>
    <n v="10307"/>
    <x v="29"/>
    <x v="29"/>
    <s v="LONEP_10307_Tarte au sucre"/>
    <s v="10307"/>
    <s v="10307"/>
    <s v="Tarte au sucre"/>
    <n v="39.4"/>
    <x v="1"/>
    <x v="0"/>
    <n v="394"/>
    <x v="0"/>
    <d v="1994-10-18T00:00:00"/>
    <s v=""/>
    <s v=""/>
  </r>
  <r>
    <x v="38"/>
    <x v="38"/>
    <s v="Fran"/>
    <s v="Wilson"/>
    <s v="Wilson, Fran"/>
    <s v="Wilson, Fran"/>
    <x v="0"/>
    <s v="no"/>
    <s v="no"/>
    <s v="LONEP"/>
    <n v="10307"/>
    <x v="56"/>
    <x v="56"/>
    <s v="LONEP_10307_Scottish Longbreads"/>
    <s v="10307"/>
    <s v="10307"/>
    <s v="Scottish Longbreads"/>
    <n v="10"/>
    <x v="28"/>
    <x v="0"/>
    <n v="30"/>
    <x v="0"/>
    <d v="1994-10-18T00:00:00"/>
    <s v=""/>
    <s v=""/>
  </r>
  <r>
    <x v="39"/>
    <x v="39"/>
    <s v="Ana"/>
    <s v="Trujillo"/>
    <s v="Trujillo, Ana"/>
    <s v="Trujillo, Ana"/>
    <x v="0"/>
    <s v="no"/>
    <s v="no"/>
    <s v="ANATR"/>
    <n v="10308"/>
    <x v="60"/>
    <x v="60"/>
    <s v="ANATR_10308_Gudbrandsdalsost"/>
    <s v="10308"/>
    <s v="10308"/>
    <s v="Gudbrandsdalsost"/>
    <n v="28.8"/>
    <x v="15"/>
    <x v="0"/>
    <n v="28.8"/>
    <x v="0"/>
    <d v="1994-10-19T00:00:00"/>
    <s v=""/>
    <s v=""/>
  </r>
  <r>
    <x v="39"/>
    <x v="39"/>
    <s v="Ana"/>
    <s v="Trujillo"/>
    <s v="Trujillo, Ana"/>
    <s v="Trujillo, Ana"/>
    <x v="0"/>
    <s v="no"/>
    <s v="no"/>
    <s v="ANATR"/>
    <n v="10308"/>
    <x v="30"/>
    <x v="30"/>
    <s v="ANATR_10308_Outback Lager"/>
    <s v="10308"/>
    <s v="10308"/>
    <s v="Outback Lager"/>
    <n v="12"/>
    <x v="2"/>
    <x v="0"/>
    <n v="60"/>
    <x v="0"/>
    <d v="1994-10-19T00:00:00"/>
    <s v=""/>
    <s v=""/>
  </r>
  <r>
    <x v="34"/>
    <x v="34"/>
    <s v="Patricia"/>
    <s v="McKenna"/>
    <s v="McKenna, Patricia"/>
    <s v="McKenna, Patricia"/>
    <x v="0"/>
    <s v="no"/>
    <s v="no"/>
    <s v="HUNGO"/>
    <n v="10309"/>
    <x v="62"/>
    <x v="62"/>
    <s v="HUNGO_10309_Chef Anton's Cajun Seasoning"/>
    <s v="10309"/>
    <s v="10309"/>
    <s v="Chef Anton's Cajun Seasoning"/>
    <n v="17.600000000000001"/>
    <x v="8"/>
    <x v="0"/>
    <n v="352"/>
    <x v="0"/>
    <d v="1994-10-20T00:00:00"/>
    <s v=""/>
    <s v=""/>
  </r>
  <r>
    <x v="34"/>
    <x v="34"/>
    <s v="Patricia"/>
    <s v="McKenna"/>
    <s v="McKenna, Patricia"/>
    <s v="McKenna, Patricia"/>
    <x v="0"/>
    <s v="no"/>
    <s v="no"/>
    <s v="HUNGO"/>
    <n v="10309"/>
    <x v="63"/>
    <x v="63"/>
    <s v="HUNGO_10309_Grandma's Boysenberry Spread"/>
    <s v="10309"/>
    <s v="10309"/>
    <s v="Grandma's Boysenberry Spread"/>
    <n v="20"/>
    <x v="12"/>
    <x v="0"/>
    <n v="600"/>
    <x v="0"/>
    <d v="1994-10-20T00:00:00"/>
    <s v=""/>
    <s v=""/>
  </r>
  <r>
    <x v="34"/>
    <x v="34"/>
    <s v="Patricia"/>
    <s v="McKenna"/>
    <s v="McKenna, Patricia"/>
    <s v="McKenna, Patricia"/>
    <x v="0"/>
    <s v="no"/>
    <s v="no"/>
    <s v="HUNGO"/>
    <n v="10309"/>
    <x v="1"/>
    <x v="1"/>
    <s v="HUNGO_10309_Singaporean Hokkien Fried Mee"/>
    <s v="10309"/>
    <s v="10309"/>
    <s v="Singaporean Hokkien Fried Mee"/>
    <n v="11.2"/>
    <x v="17"/>
    <x v="0"/>
    <n v="22.4"/>
    <x v="0"/>
    <d v="1994-10-20T00:00:00"/>
    <s v=""/>
    <s v=""/>
  </r>
  <r>
    <x v="34"/>
    <x v="34"/>
    <s v="Patricia"/>
    <s v="McKenna"/>
    <s v="McKenna, Patricia"/>
    <s v="McKenna, Patricia"/>
    <x v="0"/>
    <s v="no"/>
    <s v="no"/>
    <s v="HUNGO"/>
    <n v="10309"/>
    <x v="40"/>
    <x v="40"/>
    <s v="HUNGO_10309_Ipoh Coffee"/>
    <s v="10309"/>
    <s v="10309"/>
    <s v="Ipoh Coffee"/>
    <n v="36.799999999999997"/>
    <x v="8"/>
    <x v="0"/>
    <n v="736"/>
    <x v="0"/>
    <d v="1994-10-20T00:00:00"/>
    <s v=""/>
    <s v=""/>
  </r>
  <r>
    <x v="34"/>
    <x v="34"/>
    <s v="Patricia"/>
    <s v="McKenna"/>
    <s v="McKenna, Patricia"/>
    <s v="McKenna, Patricia"/>
    <x v="0"/>
    <s v="no"/>
    <s v="no"/>
    <s v="HUNGO"/>
    <n v="10309"/>
    <x v="42"/>
    <x v="42"/>
    <s v="HUNGO_10309_Fløtemysost"/>
    <s v="10309"/>
    <s v="10309"/>
    <s v="Fløtemysost"/>
    <n v="17.2"/>
    <x v="28"/>
    <x v="0"/>
    <n v="51.599999999999994"/>
    <x v="0"/>
    <d v="1994-10-20T00:00:00"/>
    <s v=""/>
    <s v=""/>
  </r>
  <r>
    <x v="40"/>
    <x v="40"/>
    <s v="Liz"/>
    <s v="Nixon"/>
    <s v="Nixon, Liz"/>
    <s v="Nixon, Liz"/>
    <x v="0"/>
    <s v="no"/>
    <s v="no"/>
    <s v="THEBI"/>
    <n v="10310"/>
    <x v="19"/>
    <x v="19"/>
    <s v="THEBI_10310_Pavlova"/>
    <s v="10310"/>
    <s v="10310"/>
    <s v="Pavlova"/>
    <n v="13.9"/>
    <x v="1"/>
    <x v="0"/>
    <n v="139"/>
    <x v="0"/>
    <d v="1994-10-21T00:00:00"/>
    <s v=""/>
    <s v=""/>
  </r>
  <r>
    <x v="40"/>
    <x v="40"/>
    <s v="Liz"/>
    <s v="Nixon"/>
    <s v="Nixon, Liz"/>
    <s v="Nixon, Liz"/>
    <x v="0"/>
    <s v="no"/>
    <s v="no"/>
    <s v="THEBI"/>
    <n v="10310"/>
    <x v="29"/>
    <x v="29"/>
    <s v="THEBI_10310_Tarte au sucre"/>
    <s v="10310"/>
    <s v="10310"/>
    <s v="Tarte au sucre"/>
    <n v="39.4"/>
    <x v="2"/>
    <x v="0"/>
    <n v="197"/>
    <x v="0"/>
    <d v="1994-10-21T00:00:00"/>
    <s v=""/>
    <s v=""/>
  </r>
  <r>
    <x v="41"/>
    <x v="41"/>
    <s v="Janine"/>
    <s v="Labrune"/>
    <s v="Labrune, Janine"/>
    <s v="Labrune, Janine"/>
    <x v="0"/>
    <s v="no"/>
    <s v="no"/>
    <s v="DUMON"/>
    <n v="10311"/>
    <x v="1"/>
    <x v="1"/>
    <s v="DUMON_10311_Singaporean Hokkien Fried Mee"/>
    <s v="10311"/>
    <s v="10311"/>
    <s v="Singaporean Hokkien Fried Mee"/>
    <n v="11.2"/>
    <x v="7"/>
    <x v="0"/>
    <n v="67.199999999999989"/>
    <x v="0"/>
    <d v="1994-10-21T00:00:00"/>
    <s v=""/>
    <s v=""/>
  </r>
  <r>
    <x v="41"/>
    <x v="41"/>
    <s v="Janine"/>
    <s v="Labrune"/>
    <s v="Labrune, Janine"/>
    <s v="Labrune, Janine"/>
    <x v="0"/>
    <s v="no"/>
    <s v="no"/>
    <s v="DUMON"/>
    <n v="10311"/>
    <x v="60"/>
    <x v="60"/>
    <s v="DUMON_10311_Gudbrandsdalsost"/>
    <s v="10311"/>
    <s v="10311"/>
    <s v="Gudbrandsdalsost"/>
    <n v="28.8"/>
    <x v="25"/>
    <x v="0"/>
    <n v="201.6"/>
    <x v="0"/>
    <d v="1994-10-21T00:00:00"/>
    <s v=""/>
    <s v=""/>
  </r>
  <r>
    <x v="35"/>
    <x v="35"/>
    <s v="Rita"/>
    <s v="Müller"/>
    <s v="Müller, Rita"/>
    <s v="Müller, Rita"/>
    <x v="0"/>
    <s v="no"/>
    <s v="no"/>
    <s v="WANDK"/>
    <n v="10312"/>
    <x v="44"/>
    <x v="44"/>
    <s v="WANDK_10312_Rössle Sauerkraut"/>
    <s v="10312"/>
    <s v="10312"/>
    <s v="Rössle Sauerkraut"/>
    <n v="36.4"/>
    <x v="22"/>
    <x v="0"/>
    <n v="145.6"/>
    <x v="0"/>
    <d v="1994-10-24T00:00:00"/>
    <s v=""/>
    <s v=""/>
  </r>
  <r>
    <x v="35"/>
    <x v="35"/>
    <s v="Rita"/>
    <s v="Müller"/>
    <s v="Müller, Rita"/>
    <s v="Müller, Rita"/>
    <x v="0"/>
    <s v="no"/>
    <s v="no"/>
    <s v="WANDK"/>
    <n v="10312"/>
    <x v="40"/>
    <x v="40"/>
    <s v="WANDK_10312_Ipoh Coffee"/>
    <s v="10312"/>
    <s v="10312"/>
    <s v="Ipoh Coffee"/>
    <n v="36.799999999999997"/>
    <x v="23"/>
    <x v="0"/>
    <n v="883.19999999999993"/>
    <x v="0"/>
    <d v="1994-10-24T00:00:00"/>
    <s v=""/>
    <s v=""/>
  </r>
  <r>
    <x v="35"/>
    <x v="35"/>
    <s v="Rita"/>
    <s v="Müller"/>
    <s v="Müller, Rita"/>
    <s v="Müller, Rita"/>
    <x v="0"/>
    <s v="no"/>
    <s v="no"/>
    <s v="WANDK"/>
    <n v="10312"/>
    <x v="22"/>
    <x v="22"/>
    <s v="WANDK_10312_Perth Pasties"/>
    <s v="10312"/>
    <s v="10312"/>
    <s v="Perth Pasties"/>
    <n v="26.2"/>
    <x v="8"/>
    <x v="0"/>
    <n v="524"/>
    <x v="0"/>
    <d v="1994-10-24T00:00:00"/>
    <s v=""/>
    <s v=""/>
  </r>
  <r>
    <x v="35"/>
    <x v="35"/>
    <s v="Rita"/>
    <s v="Müller"/>
    <s v="Müller, Rita"/>
    <s v="Müller, Rita"/>
    <x v="0"/>
    <s v="no"/>
    <s v="no"/>
    <s v="WANDK"/>
    <n v="10312"/>
    <x v="48"/>
    <x v="48"/>
    <s v="WANDK_10312_Rhönbräu Klosterbier"/>
    <s v="10312"/>
    <s v="10312"/>
    <s v="Rhönbräu Klosterbier"/>
    <n v="6.2"/>
    <x v="1"/>
    <x v="0"/>
    <n v="62"/>
    <x v="0"/>
    <d v="1994-10-24T00:00:00"/>
    <s v=""/>
    <s v=""/>
  </r>
  <r>
    <x v="21"/>
    <x v="21"/>
    <s v="Horst"/>
    <s v="Kloss"/>
    <s v="Kloss, Horst"/>
    <s v="Kloss, Horst"/>
    <x v="0"/>
    <s v="no"/>
    <s v="no"/>
    <s v="QUICK"/>
    <n v="10313"/>
    <x v="20"/>
    <x v="20"/>
    <s v="QUICK_10313_Inlagd Sill"/>
    <s v="10313"/>
    <s v="10313"/>
    <s v="Inlagd Sill"/>
    <n v="15.2"/>
    <x v="0"/>
    <x v="0"/>
    <n v="182.39999999999998"/>
    <x v="0"/>
    <d v="1994-10-25T00:00:00"/>
    <s v=""/>
    <s v=""/>
  </r>
  <r>
    <x v="13"/>
    <x v="13"/>
    <s v="Paula"/>
    <s v="Wilson"/>
    <s v="Wilson, Paula"/>
    <s v="Wilson, Paula"/>
    <x v="0"/>
    <s v="no"/>
    <s v="no"/>
    <s v="RATTC"/>
    <n v="10314"/>
    <x v="26"/>
    <x v="26"/>
    <s v="RATTC_10314_Mascarpone Fabioli"/>
    <s v="10314"/>
    <s v="10314"/>
    <s v="Mascarpone Fabioli"/>
    <n v="25.6"/>
    <x v="4"/>
    <x v="5"/>
    <n v="921.6"/>
    <x v="0"/>
    <d v="1994-10-26T00:00:00"/>
    <s v=""/>
    <s v=""/>
  </r>
  <r>
    <x v="13"/>
    <x v="13"/>
    <s v="Paula"/>
    <s v="Wilson"/>
    <s v="Wilson, Paula"/>
    <s v="Wilson, Paula"/>
    <x v="0"/>
    <s v="no"/>
    <s v="no"/>
    <s v="RATTC"/>
    <n v="10314"/>
    <x v="64"/>
    <x v="64"/>
    <s v="RATTC_10314_Escargots de Bourgogne"/>
    <s v="10314"/>
    <s v="10314"/>
    <s v="Escargots de Bourgogne"/>
    <n v="10.6"/>
    <x v="12"/>
    <x v="5"/>
    <n v="286.2"/>
    <x v="0"/>
    <d v="1994-10-26T00:00:00"/>
    <s v=""/>
    <s v=""/>
  </r>
  <r>
    <x v="13"/>
    <x v="13"/>
    <s v="Paula"/>
    <s v="Wilson"/>
    <s v="Wilson, Paula"/>
    <s v="Wilson, Paula"/>
    <x v="0"/>
    <s v="no"/>
    <s v="no"/>
    <s v="RATTC"/>
    <n v="10314"/>
    <x v="29"/>
    <x v="29"/>
    <s v="RATTC_10314_Tarte au sucre"/>
    <s v="10314"/>
    <s v="10314"/>
    <s v="Tarte au sucre"/>
    <n v="39.4"/>
    <x v="9"/>
    <x v="5"/>
    <n v="886.5"/>
    <x v="0"/>
    <d v="1994-10-26T00:00:00"/>
    <s v=""/>
    <s v=""/>
  </r>
  <r>
    <x v="42"/>
    <x v="42"/>
    <s v="Helen"/>
    <s v="Bennett"/>
    <s v="Bennett, Helen"/>
    <s v="Bennett, Helen"/>
    <x v="0"/>
    <s v="no"/>
    <s v="no"/>
    <s v="ISLAT"/>
    <n v="10315"/>
    <x v="53"/>
    <x v="53"/>
    <s v="ISLAT_10315_Sasquatch Ale"/>
    <s v="10315"/>
    <s v="10315"/>
    <s v="Sasquatch Ale"/>
    <n v="11.2"/>
    <x v="31"/>
    <x v="0"/>
    <n v="156.79999999999998"/>
    <x v="0"/>
    <d v="1994-10-27T00:00:00"/>
    <s v=""/>
    <s v=""/>
  </r>
  <r>
    <x v="42"/>
    <x v="42"/>
    <s v="Helen"/>
    <s v="Bennett"/>
    <s v="Bennett, Helen"/>
    <s v="Bennett, Helen"/>
    <x v="0"/>
    <s v="no"/>
    <s v="no"/>
    <s v="ISLAT"/>
    <n v="10315"/>
    <x v="30"/>
    <x v="30"/>
    <s v="ISLAT_10315_Outback Lager"/>
    <s v="10315"/>
    <s v="10315"/>
    <s v="Outback Lager"/>
    <n v="12"/>
    <x v="12"/>
    <x v="0"/>
    <n v="360"/>
    <x v="0"/>
    <d v="1994-10-27T00:00:00"/>
    <s v=""/>
    <s v=""/>
  </r>
  <r>
    <x v="13"/>
    <x v="13"/>
    <s v="Paula"/>
    <s v="Wilson"/>
    <s v="Wilson, Paula"/>
    <s v="Wilson, Paula"/>
    <x v="0"/>
    <s v="no"/>
    <s v="no"/>
    <s v="RATTC"/>
    <n v="10316"/>
    <x v="5"/>
    <x v="5"/>
    <s v="RATTC_10316_Jack's New England Clam Chowder"/>
    <s v="10316"/>
    <s v="10316"/>
    <s v="Jack's New England Clam Chowder"/>
    <n v="7.7"/>
    <x v="1"/>
    <x v="0"/>
    <n v="77"/>
    <x v="0"/>
    <d v="1994-10-28T00:00:00"/>
    <s v=""/>
    <s v=""/>
  </r>
  <r>
    <x v="13"/>
    <x v="13"/>
    <s v="Paula"/>
    <s v="Wilson"/>
    <s v="Wilson, Paula"/>
    <s v="Wilson, Paula"/>
    <x v="0"/>
    <s v="no"/>
    <s v="moderate"/>
    <s v="RATTC"/>
    <n v="10316"/>
    <x v="29"/>
    <x v="29"/>
    <s v="RATTC_10316_Tarte au sucre"/>
    <s v="10316"/>
    <s v="10316"/>
    <s v="Tarte au sucre"/>
    <n v="39.4"/>
    <x v="21"/>
    <x v="0"/>
    <n v="2758"/>
    <x v="0"/>
    <d v="1994-10-28T00:00:00"/>
    <s v=""/>
    <s v=""/>
  </r>
  <r>
    <x v="38"/>
    <x v="38"/>
    <s v="Fran"/>
    <s v="Wilson"/>
    <s v="Wilson, Fran"/>
    <s v="Wilson, Fran"/>
    <x v="0"/>
    <s v="no"/>
    <s v="no"/>
    <s v="LONEP"/>
    <n v="10317"/>
    <x v="52"/>
    <x v="52"/>
    <s v="LONEP_10317_Chai"/>
    <s v="10317"/>
    <s v="10317"/>
    <s v="Chai"/>
    <n v="14.4"/>
    <x v="8"/>
    <x v="0"/>
    <n v="288"/>
    <x v="0"/>
    <d v="1994-10-31T00:00:00"/>
    <s v=""/>
    <s v=""/>
  </r>
  <r>
    <x v="42"/>
    <x v="42"/>
    <s v="Helen"/>
    <s v="Bennett"/>
    <s v="Bennett, Helen"/>
    <s v="Bennett, Helen"/>
    <x v="0"/>
    <s v="no"/>
    <s v="no"/>
    <s v="ISLAT"/>
    <n v="10318"/>
    <x v="5"/>
    <x v="5"/>
    <s v="ISLAT_10318_Jack's New England Clam Chowder"/>
    <s v="10318"/>
    <s v="10318"/>
    <s v="Jack's New England Clam Chowder"/>
    <n v="7.7"/>
    <x v="8"/>
    <x v="0"/>
    <n v="154"/>
    <x v="0"/>
    <d v="1994-11-01T00:00:00"/>
    <s v=""/>
    <s v=""/>
  </r>
  <r>
    <x v="42"/>
    <x v="42"/>
    <s v="Helen"/>
    <s v="Bennett"/>
    <s v="Bennett, Helen"/>
    <s v="Bennett, Helen"/>
    <x v="0"/>
    <s v="no"/>
    <s v="no"/>
    <s v="ISLAT"/>
    <n v="10318"/>
    <x v="38"/>
    <x v="38"/>
    <s v="ISLAT_10318_Lakkalikööri"/>
    <s v="10318"/>
    <s v="10318"/>
    <s v="Lakkalikööri"/>
    <n v="14.4"/>
    <x v="7"/>
    <x v="0"/>
    <n v="86.4"/>
    <x v="0"/>
    <d v="1994-11-01T00:00:00"/>
    <s v=""/>
    <s v=""/>
  </r>
  <r>
    <x v="23"/>
    <x v="23"/>
    <s v="Miguel"/>
    <s v="Angel Paolino"/>
    <s v="Angel Paolino, Miguel"/>
    <s v="Angel Paolino, Miguel"/>
    <x v="0"/>
    <s v="no"/>
    <s v="no"/>
    <s v="TORTU"/>
    <n v="10319"/>
    <x v="35"/>
    <x v="35"/>
    <s v="TORTU_10319_Alice Mutton"/>
    <s v="10319"/>
    <s v="10319"/>
    <s v="Alice Mutton"/>
    <n v="31.2"/>
    <x v="26"/>
    <x v="0"/>
    <n v="249.6"/>
    <x v="0"/>
    <d v="1994-11-02T00:00:00"/>
    <s v=""/>
    <s v=""/>
  </r>
  <r>
    <x v="23"/>
    <x v="23"/>
    <s v="Miguel"/>
    <s v="Angel Paolino"/>
    <s v="Angel Paolino, Miguel"/>
    <s v="Angel Paolino, Miguel"/>
    <x v="0"/>
    <s v="no"/>
    <s v="no"/>
    <s v="TORTU"/>
    <n v="10319"/>
    <x v="44"/>
    <x v="44"/>
    <s v="TORTU_10319_Rössle Sauerkraut"/>
    <s v="10319"/>
    <s v="10319"/>
    <s v="Rössle Sauerkraut"/>
    <n v="36.4"/>
    <x v="31"/>
    <x v="0"/>
    <n v="509.59999999999997"/>
    <x v="0"/>
    <d v="1994-11-02T00:00:00"/>
    <s v=""/>
    <s v=""/>
  </r>
  <r>
    <x v="23"/>
    <x v="23"/>
    <s v="Miguel"/>
    <s v="Angel Paolino"/>
    <s v="Angel Paolino, Miguel"/>
    <s v="Angel Paolino, Miguel"/>
    <x v="0"/>
    <s v="no"/>
    <s v="no"/>
    <s v="TORTU"/>
    <n v="10319"/>
    <x v="38"/>
    <x v="38"/>
    <s v="TORTU_10319_Lakkalikööri"/>
    <s v="10319"/>
    <s v="10319"/>
    <s v="Lakkalikööri"/>
    <n v="14.4"/>
    <x v="12"/>
    <x v="0"/>
    <n v="432"/>
    <x v="0"/>
    <d v="1994-11-02T00:00:00"/>
    <s v=""/>
    <s v=""/>
  </r>
  <r>
    <x v="16"/>
    <x v="16"/>
    <s v="Pirkko"/>
    <s v="Koskitalo"/>
    <s v="Koskitalo, Pirkko"/>
    <s v="Koskitalo, Pirkko"/>
    <x v="0"/>
    <s v="no"/>
    <s v="no"/>
    <s v="WARTH"/>
    <n v="10320"/>
    <x v="42"/>
    <x v="42"/>
    <s v="WARTH_10320_Fløtemysost"/>
    <s v="10320"/>
    <s v="10320"/>
    <s v="Fløtemysost"/>
    <n v="17.2"/>
    <x v="12"/>
    <x v="0"/>
    <n v="516"/>
    <x v="0"/>
    <d v="1994-11-03T00:00:00"/>
    <s v=""/>
    <s v=""/>
  </r>
  <r>
    <x v="42"/>
    <x v="42"/>
    <s v="Helen"/>
    <s v="Bennett"/>
    <s v="Bennett, Helen"/>
    <s v="Bennett, Helen"/>
    <x v="0"/>
    <s v="no"/>
    <s v="no"/>
    <s v="ISLAT"/>
    <n v="10321"/>
    <x v="31"/>
    <x v="31"/>
    <s v="ISLAT_10321_Steeleye Stout"/>
    <s v="10321"/>
    <s v="10321"/>
    <s v="Steeleye Stout"/>
    <n v="14.4"/>
    <x v="1"/>
    <x v="0"/>
    <n v="144"/>
    <x v="0"/>
    <d v="1994-11-03T00:00:00"/>
    <s v=""/>
    <s v=""/>
  </r>
  <r>
    <x v="43"/>
    <x v="43"/>
    <s v="Guillermo"/>
    <s v="Fernández"/>
    <s v="Fernández, Guillermo"/>
    <s v="Fernández, Guillermo"/>
    <x v="0"/>
    <s v="no"/>
    <s v="no"/>
    <s v="PERIC"/>
    <n v="10322"/>
    <x v="65"/>
    <x v="65"/>
    <s v="PERIC_10322_Filo Mix"/>
    <s v="10322"/>
    <s v="10322"/>
    <s v="Filo Mix"/>
    <n v="5.6"/>
    <x v="8"/>
    <x v="0"/>
    <n v="112"/>
    <x v="0"/>
    <d v="1994-11-04T00:00:00"/>
    <s v=""/>
    <s v=""/>
  </r>
  <r>
    <x v="44"/>
    <x v="44"/>
    <s v="Philip"/>
    <s v="Cramer"/>
    <s v="Cramer, Philip"/>
    <s v="Cramer, Philip"/>
    <x v="0"/>
    <s v="no"/>
    <s v="no"/>
    <s v="KOENE"/>
    <n v="10323"/>
    <x v="50"/>
    <x v="50"/>
    <s v="KOENE_10323_Genen Shouyu"/>
    <s v="10323"/>
    <s v="10323"/>
    <s v="Genen Shouyu"/>
    <n v="12.4"/>
    <x v="2"/>
    <x v="0"/>
    <n v="62"/>
    <x v="0"/>
    <d v="1994-11-07T00:00:00"/>
    <s v=""/>
    <s v=""/>
  </r>
  <r>
    <x v="44"/>
    <x v="44"/>
    <s v="Philip"/>
    <s v="Cramer"/>
    <s v="Cramer, Philip"/>
    <s v="Cramer, Philip"/>
    <x v="0"/>
    <s v="no"/>
    <s v="no"/>
    <s v="KOENE"/>
    <n v="10323"/>
    <x v="66"/>
    <x v="66"/>
    <s v="KOENE_10323_NuNuCa Nuß-Nougat-Creme"/>
    <s v="10323"/>
    <s v="10323"/>
    <s v="NuNuCa Nuß-Nougat-Creme"/>
    <n v="11.2"/>
    <x v="22"/>
    <x v="0"/>
    <n v="44.8"/>
    <x v="0"/>
    <d v="1994-11-07T00:00:00"/>
    <s v=""/>
    <s v=""/>
  </r>
  <r>
    <x v="44"/>
    <x v="44"/>
    <s v="Philip"/>
    <s v="Cramer"/>
    <s v="Cramer, Philip"/>
    <s v="Cramer, Philip"/>
    <x v="0"/>
    <s v="no"/>
    <s v="no"/>
    <s v="KOENE"/>
    <n v="10323"/>
    <x v="13"/>
    <x v="13"/>
    <s v="KOENE_10323_Chartreuse verte"/>
    <s v="10323"/>
    <s v="10323"/>
    <s v="Chartreuse verte"/>
    <n v="14.4"/>
    <x v="22"/>
    <x v="0"/>
    <n v="57.6"/>
    <x v="0"/>
    <d v="1994-11-07T00:00:00"/>
    <s v=""/>
    <s v=""/>
  </r>
  <r>
    <x v="45"/>
    <x v="45"/>
    <s v="Jose"/>
    <s v="Pavarotti"/>
    <s v="Pavarotti, Jose"/>
    <s v="Pavarotti, Jose"/>
    <x v="0"/>
    <s v="no"/>
    <s v="no"/>
    <s v="SAVEA"/>
    <n v="10324"/>
    <x v="19"/>
    <x v="19"/>
    <s v="SAVEA_10324_Pavlova"/>
    <s v="10324"/>
    <s v="10324"/>
    <s v="Pavlova"/>
    <n v="13.9"/>
    <x v="11"/>
    <x v="1"/>
    <n v="248.11500000000001"/>
    <x v="0"/>
    <d v="1994-11-08T00:00:00"/>
    <s v=""/>
    <s v=""/>
  </r>
  <r>
    <x v="45"/>
    <x v="45"/>
    <s v="Jose"/>
    <s v="Pavarotti"/>
    <s v="Pavarotti, Jose"/>
    <s v="Pavarotti, Jose"/>
    <x v="0"/>
    <s v="no"/>
    <s v="no"/>
    <s v="SAVEA"/>
    <n v="10324"/>
    <x v="31"/>
    <x v="31"/>
    <s v="SAVEA_10324_Steeleye Stout"/>
    <s v="10324"/>
    <s v="10324"/>
    <s v="Steeleye Stout"/>
    <n v="14.4"/>
    <x v="21"/>
    <x v="1"/>
    <n v="856.8"/>
    <x v="0"/>
    <d v="1994-11-08T00:00:00"/>
    <s v=""/>
    <s v=""/>
  </r>
  <r>
    <x v="45"/>
    <x v="45"/>
    <s v="Jose"/>
    <s v="Pavarotti"/>
    <s v="Pavarotti, Jose"/>
    <s v="Pavarotti, Jose"/>
    <x v="0"/>
    <s v="no"/>
    <s v="no"/>
    <s v="SAVEA"/>
    <n v="10324"/>
    <x v="54"/>
    <x v="54"/>
    <s v="SAVEA_10324_Spegesild"/>
    <s v="10324"/>
    <s v="10324"/>
    <s v="Spegesild"/>
    <n v="9.6"/>
    <x v="12"/>
    <x v="0"/>
    <n v="288"/>
    <x v="0"/>
    <d v="1994-11-08T00:00:00"/>
    <s v=""/>
    <s v=""/>
  </r>
  <r>
    <x v="45"/>
    <x v="45"/>
    <s v="Jose"/>
    <s v="Pavarotti"/>
    <s v="Pavarotti, Jose"/>
    <s v="Pavarotti, Jose"/>
    <x v="0"/>
    <s v="no"/>
    <s v="no"/>
    <s v="SAVEA"/>
    <n v="10324"/>
    <x v="21"/>
    <x v="21"/>
    <s v="SAVEA_10324_Raclette Courdavault"/>
    <s v="10324"/>
    <s v="10324"/>
    <s v="Raclette Courdavault"/>
    <n v="44"/>
    <x v="4"/>
    <x v="1"/>
    <n v="1496"/>
    <x v="0"/>
    <d v="1994-11-08T00:00:00"/>
    <s v=""/>
    <s v=""/>
  </r>
  <r>
    <x v="45"/>
    <x v="45"/>
    <s v="Jose"/>
    <s v="Pavarotti"/>
    <s v="Pavarotti, Jose"/>
    <s v="Pavarotti, Jose"/>
    <x v="0"/>
    <s v="no"/>
    <s v="no"/>
    <s v="SAVEA"/>
    <n v="10324"/>
    <x v="46"/>
    <x v="46"/>
    <s v="SAVEA_10324_Vegie-spread"/>
    <s v="10324"/>
    <s v="10324"/>
    <s v="Vegie-spread"/>
    <n v="35.1"/>
    <x v="32"/>
    <x v="1"/>
    <n v="2386.7999999999997"/>
    <x v="0"/>
    <d v="1994-11-08T00:00:00"/>
    <s v=""/>
    <s v=""/>
  </r>
  <r>
    <x v="44"/>
    <x v="44"/>
    <s v="Philip"/>
    <s v="Cramer"/>
    <s v="Cramer, Philip"/>
    <s v="Cramer, Philip"/>
    <x v="0"/>
    <s v="no"/>
    <s v="no"/>
    <s v="KOENE"/>
    <n v="10325"/>
    <x v="63"/>
    <x v="63"/>
    <s v="KOENE_10325_Grandma's Boysenberry Spread"/>
    <s v="10325"/>
    <s v="10325"/>
    <s v="Grandma's Boysenberry Spread"/>
    <n v="20"/>
    <x v="7"/>
    <x v="0"/>
    <n v="120"/>
    <x v="0"/>
    <d v="1994-11-09T00:00:00"/>
    <s v=""/>
    <s v=""/>
  </r>
  <r>
    <x v="44"/>
    <x v="44"/>
    <s v="Philip"/>
    <s v="Cramer"/>
    <s v="Cramer, Philip"/>
    <s v="Cramer, Philip"/>
    <x v="0"/>
    <s v="no"/>
    <s v="no"/>
    <s v="KOENE"/>
    <n v="10325"/>
    <x v="43"/>
    <x v="43"/>
    <s v="KOENE_10325_Konbu"/>
    <s v="10325"/>
    <s v="10325"/>
    <s v="Konbu"/>
    <n v="4.8"/>
    <x v="0"/>
    <x v="0"/>
    <n v="57.599999999999994"/>
    <x v="0"/>
    <d v="1994-11-09T00:00:00"/>
    <s v=""/>
    <s v=""/>
  </r>
  <r>
    <x v="44"/>
    <x v="44"/>
    <s v="Philip"/>
    <s v="Cramer"/>
    <s v="Cramer, Philip"/>
    <s v="Cramer, Philip"/>
    <x v="0"/>
    <s v="no"/>
    <s v="no"/>
    <s v="KOENE"/>
    <n v="10325"/>
    <x v="3"/>
    <x v="3"/>
    <s v="KOENE_10325_Tofu"/>
    <s v="10325"/>
    <s v="10325"/>
    <s v="Tofu"/>
    <n v="18.600000000000001"/>
    <x v="3"/>
    <x v="0"/>
    <n v="167.4"/>
    <x v="0"/>
    <d v="1994-11-09T00:00:00"/>
    <s v=""/>
    <s v=""/>
  </r>
  <r>
    <x v="44"/>
    <x v="44"/>
    <s v="Philip"/>
    <s v="Cramer"/>
    <s v="Cramer, Philip"/>
    <s v="Cramer, Philip"/>
    <x v="0"/>
    <s v="no"/>
    <s v="no"/>
    <s v="KOENE"/>
    <n v="10325"/>
    <x v="12"/>
    <x v="12"/>
    <s v="KOENE_10325_Gorgonzola Telino"/>
    <s v="10325"/>
    <s v="10325"/>
    <s v="Gorgonzola Telino"/>
    <n v="10"/>
    <x v="22"/>
    <x v="0"/>
    <n v="40"/>
    <x v="0"/>
    <d v="1994-11-09T00:00:00"/>
    <s v=""/>
    <s v=""/>
  </r>
  <r>
    <x v="44"/>
    <x v="44"/>
    <s v="Philip"/>
    <s v="Cramer"/>
    <s v="Cramer, Philip"/>
    <s v="Cramer, Philip"/>
    <x v="0"/>
    <s v="no"/>
    <s v="no"/>
    <s v="KOENE"/>
    <n v="10325"/>
    <x v="2"/>
    <x v="2"/>
    <s v="KOENE_10325_Mozzarella di Giovanni"/>
    <s v="10325"/>
    <s v="10325"/>
    <s v="Mozzarella di Giovanni"/>
    <n v="27.8"/>
    <x v="4"/>
    <x v="0"/>
    <n v="1112"/>
    <x v="0"/>
    <d v="1994-11-09T00:00:00"/>
    <s v=""/>
    <s v=""/>
  </r>
  <r>
    <x v="46"/>
    <x v="46"/>
    <s v="Martín"/>
    <s v="Sommer"/>
    <s v="Sommer, Martín"/>
    <s v="Sommer, Martín"/>
    <x v="0"/>
    <s v="no"/>
    <s v="no"/>
    <s v="BOLID"/>
    <n v="10326"/>
    <x v="62"/>
    <x v="62"/>
    <s v="BOLID_10326_Chef Anton's Cajun Seasoning"/>
    <s v="10326"/>
    <s v="10326"/>
    <s v="Chef Anton's Cajun Seasoning"/>
    <n v="17.600000000000001"/>
    <x v="23"/>
    <x v="0"/>
    <n v="422.40000000000003"/>
    <x v="0"/>
    <d v="1994-11-10T00:00:00"/>
    <s v=""/>
    <s v=""/>
  </r>
  <r>
    <x v="46"/>
    <x v="46"/>
    <s v="Martín"/>
    <s v="Sommer"/>
    <s v="Sommer, Martín"/>
    <s v="Sommer, Martín"/>
    <x v="0"/>
    <s v="no"/>
    <s v="no"/>
    <s v="BOLID"/>
    <n v="10326"/>
    <x v="8"/>
    <x v="8"/>
    <s v="BOLID_10326_Ravioli Angelo"/>
    <s v="10326"/>
    <s v="10326"/>
    <s v="Ravioli Angelo"/>
    <n v="15.6"/>
    <x v="16"/>
    <x v="0"/>
    <n v="249.6"/>
    <x v="0"/>
    <d v="1994-11-10T00:00:00"/>
    <s v=""/>
    <s v=""/>
  </r>
  <r>
    <x v="46"/>
    <x v="46"/>
    <s v="Martín"/>
    <s v="Sommer"/>
    <s v="Sommer, Martín"/>
    <s v="Sommer, Martín"/>
    <x v="0"/>
    <s v="no"/>
    <s v="no"/>
    <s v="BOLID"/>
    <n v="10326"/>
    <x v="48"/>
    <x v="48"/>
    <s v="BOLID_10326_Rhönbräu Klosterbier"/>
    <s v="10326"/>
    <s v="10326"/>
    <s v="Rhönbräu Klosterbier"/>
    <n v="6.2"/>
    <x v="13"/>
    <x v="0"/>
    <n v="310"/>
    <x v="0"/>
    <d v="1994-11-10T00:00:00"/>
    <s v=""/>
    <s v=""/>
  </r>
  <r>
    <x v="14"/>
    <x v="14"/>
    <s v="Maria"/>
    <s v="Larsson"/>
    <s v="Larsson, Maria"/>
    <s v="Larsson, Maria"/>
    <x v="0"/>
    <s v="no"/>
    <s v="no"/>
    <s v="FOLKO"/>
    <n v="10327"/>
    <x v="18"/>
    <x v="18"/>
    <s v="FOLKO_10327_Chang"/>
    <s v="10327"/>
    <s v="10327"/>
    <s v="Chang"/>
    <n v="15.2"/>
    <x v="9"/>
    <x v="3"/>
    <n v="304"/>
    <x v="0"/>
    <d v="1994-11-11T00:00:00"/>
    <s v=""/>
    <s v=""/>
  </r>
  <r>
    <x v="14"/>
    <x v="14"/>
    <s v="Maria"/>
    <s v="Larsson"/>
    <s v="Larsson, Maria"/>
    <s v="Larsson, Maria"/>
    <x v="0"/>
    <s v="no"/>
    <s v="no"/>
    <s v="FOLKO"/>
    <n v="10327"/>
    <x v="0"/>
    <x v="0"/>
    <s v="FOLKO_10327_Queso Cabrales"/>
    <s v="10327"/>
    <s v="10327"/>
    <s v="Queso Cabrales"/>
    <n v="16.8"/>
    <x v="13"/>
    <x v="3"/>
    <n v="672"/>
    <x v="0"/>
    <d v="1994-11-11T00:00:00"/>
    <s v=""/>
    <s v=""/>
  </r>
  <r>
    <x v="14"/>
    <x v="14"/>
    <s v="Maria"/>
    <s v="Larsson"/>
    <s v="Larsson, Maria"/>
    <s v="Larsson, Maria"/>
    <x v="0"/>
    <s v="no"/>
    <s v="no"/>
    <s v="FOLKO"/>
    <n v="10327"/>
    <x v="34"/>
    <x v="34"/>
    <s v="FOLKO_10327_Nord-Ost Matjeshering"/>
    <s v="10327"/>
    <s v="10327"/>
    <s v="Nord-Ost Matjeshering"/>
    <n v="20.7"/>
    <x v="5"/>
    <x v="3"/>
    <n v="579.6"/>
    <x v="0"/>
    <d v="1994-11-11T00:00:00"/>
    <s v=""/>
    <s v=""/>
  </r>
  <r>
    <x v="14"/>
    <x v="14"/>
    <s v="Maria"/>
    <s v="Larsson"/>
    <s v="Larsson, Maria"/>
    <s v="Larsson, Maria"/>
    <x v="0"/>
    <s v="no"/>
    <s v="no"/>
    <s v="FOLKO"/>
    <n v="10327"/>
    <x v="64"/>
    <x v="64"/>
    <s v="FOLKO_10327_Escargots de Bourgogne"/>
    <s v="10327"/>
    <s v="10327"/>
    <s v="Escargots de Bourgogne"/>
    <n v="10.6"/>
    <x v="12"/>
    <x v="3"/>
    <n v="254.4"/>
    <x v="0"/>
    <d v="1994-11-11T00:00:00"/>
    <s v=""/>
    <s v=""/>
  </r>
  <r>
    <x v="47"/>
    <x v="47"/>
    <s v="Lino"/>
    <s v="Rodriguez"/>
    <s v="Rodriguez, Lino"/>
    <s v="Rodriguez, Lino"/>
    <x v="0"/>
    <s v="no"/>
    <s v="no"/>
    <s v="FURIB"/>
    <n v="10328"/>
    <x v="21"/>
    <x v="21"/>
    <s v="FURIB_10328_Raclette Courdavault"/>
    <s v="10328"/>
    <s v="10328"/>
    <s v="Raclette Courdavault"/>
    <n v="44"/>
    <x v="3"/>
    <x v="0"/>
    <n v="396"/>
    <x v="0"/>
    <d v="1994-11-14T00:00:00"/>
    <s v=""/>
    <s v=""/>
  </r>
  <r>
    <x v="47"/>
    <x v="47"/>
    <s v="Lino"/>
    <s v="Rodriguez"/>
    <s v="Rodriguez, Lino"/>
    <s v="Rodriguez, Lino"/>
    <x v="0"/>
    <s v="no"/>
    <s v="no"/>
    <s v="FURIB"/>
    <n v="10328"/>
    <x v="6"/>
    <x v="6"/>
    <s v="FURIB_10328_Louisiana Fiery Hot Pepper Sauce"/>
    <s v="10328"/>
    <s v="10328"/>
    <s v="Louisiana Fiery Hot Pepper Sauce"/>
    <n v="16.8"/>
    <x v="4"/>
    <x v="0"/>
    <n v="672"/>
    <x v="0"/>
    <d v="1994-11-14T00:00:00"/>
    <s v=""/>
    <s v=""/>
  </r>
  <r>
    <x v="47"/>
    <x v="47"/>
    <s v="Lino"/>
    <s v="Rodriguez"/>
    <s v="Rodriguez, Lino"/>
    <s v="Rodriguez, Lino"/>
    <x v="0"/>
    <s v="no"/>
    <s v="no"/>
    <s v="FURIB"/>
    <n v="10328"/>
    <x v="56"/>
    <x v="56"/>
    <s v="FURIB_10328_Scottish Longbreads"/>
    <s v="10328"/>
    <s v="10328"/>
    <s v="Scottish Longbreads"/>
    <n v="10"/>
    <x v="1"/>
    <x v="0"/>
    <n v="100"/>
    <x v="0"/>
    <d v="1994-11-14T00:00:00"/>
    <s v=""/>
    <s v=""/>
  </r>
  <r>
    <x v="20"/>
    <x v="20"/>
    <s v="Art"/>
    <s v="Braunschweiger"/>
    <s v="Braunschweiger, Art"/>
    <s v="Braunschweiger, Art"/>
    <x v="0"/>
    <s v="no"/>
    <s v="no"/>
    <s v="SPLIR"/>
    <n v="10329"/>
    <x v="49"/>
    <x v="49"/>
    <s v="SPLIR_10329_Teatime Chocolate Biscuits"/>
    <s v="10329"/>
    <s v="10329"/>
    <s v="Teatime Chocolate Biscuits"/>
    <n v="7.3"/>
    <x v="1"/>
    <x v="2"/>
    <n v="69.349999999999994"/>
    <x v="0"/>
    <d v="1994-11-15T00:00:00"/>
    <s v=""/>
    <s v=""/>
  </r>
  <r>
    <x v="20"/>
    <x v="20"/>
    <s v="Art"/>
    <s v="Braunschweiger"/>
    <s v="Braunschweiger, Art"/>
    <s v="Braunschweiger, Art"/>
    <x v="0"/>
    <s v="no"/>
    <s v="no"/>
    <s v="SPLIR"/>
    <n v="10329"/>
    <x v="34"/>
    <x v="34"/>
    <s v="SPLIR_10329_Nord-Ost Matjeshering"/>
    <s v="10329"/>
    <s v="10329"/>
    <s v="Nord-Ost Matjeshering"/>
    <n v="20.7"/>
    <x v="26"/>
    <x v="2"/>
    <n v="157.32"/>
    <x v="0"/>
    <d v="1994-11-15T00:00:00"/>
    <s v=""/>
    <s v=""/>
  </r>
  <r>
    <x v="20"/>
    <x v="20"/>
    <s v="Art"/>
    <s v="Braunschweiger"/>
    <s v="Braunschweiger, Art"/>
    <s v="Braunschweiger, Art"/>
    <x v="1"/>
    <s v="yes"/>
    <s v="yes"/>
    <s v="SPLIR"/>
    <n v="10329"/>
    <x v="67"/>
    <x v="67"/>
    <s v="SPLIR_10329_Côte de Blaye"/>
    <s v="10329"/>
    <s v="10329"/>
    <s v="Côte de Blaye"/>
    <n v="210.8"/>
    <x v="8"/>
    <x v="2"/>
    <n v="4005.2"/>
    <x v="0"/>
    <d v="1994-11-15T00:00:00"/>
    <s v=""/>
    <s v=""/>
  </r>
  <r>
    <x v="20"/>
    <x v="20"/>
    <s v="Art"/>
    <s v="Braunschweiger"/>
    <s v="Braunschweiger, Art"/>
    <s v="Braunschweiger, Art"/>
    <x v="0"/>
    <s v="no"/>
    <s v="no"/>
    <s v="SPLIR"/>
    <n v="10329"/>
    <x v="33"/>
    <x v="33"/>
    <s v="SPLIR_10329_Gnocchi di nonna Alice"/>
    <s v="10329"/>
    <s v="10329"/>
    <s v="Gnocchi di nonna Alice"/>
    <n v="30.4"/>
    <x v="0"/>
    <x v="2"/>
    <n v="346.55999999999995"/>
    <x v="0"/>
    <d v="1994-11-15T00:00:00"/>
    <s v=""/>
    <s v=""/>
  </r>
  <r>
    <x v="28"/>
    <x v="28"/>
    <s v="Carlos"/>
    <s v="González"/>
    <s v="González, Carlos"/>
    <s v="González, Carlos"/>
    <x v="0"/>
    <s v="no"/>
    <s v="no"/>
    <s v="LILAS"/>
    <n v="10330"/>
    <x v="68"/>
    <x v="68"/>
    <s v="LILAS_10330_Gumbär Gummibärchen"/>
    <s v="10330"/>
    <s v="10330"/>
    <s v="Gumbär Gummibärchen"/>
    <n v="24.9"/>
    <x v="13"/>
    <x v="1"/>
    <n v="1058.25"/>
    <x v="0"/>
    <d v="1994-11-16T00:00:00"/>
    <s v=""/>
    <s v=""/>
  </r>
  <r>
    <x v="28"/>
    <x v="28"/>
    <s v="Carlos"/>
    <s v="González"/>
    <s v="González, Carlos"/>
    <s v="González, Carlos"/>
    <x v="0"/>
    <s v="no"/>
    <s v="no"/>
    <s v="LILAS"/>
    <n v="10330"/>
    <x v="2"/>
    <x v="2"/>
    <s v="LILAS_10330_Mozzarella di Giovanni"/>
    <s v="10330"/>
    <s v="10330"/>
    <s v="Mozzarella di Giovanni"/>
    <n v="27.8"/>
    <x v="9"/>
    <x v="1"/>
    <n v="590.75"/>
    <x v="0"/>
    <d v="1994-11-16T00:00:00"/>
    <s v=""/>
    <s v=""/>
  </r>
  <r>
    <x v="48"/>
    <x v="48"/>
    <s v="Laurence"/>
    <s v="Lebihan"/>
    <s v="Lebihan, Laurence"/>
    <s v="Lebihan, Laurence"/>
    <x v="0"/>
    <s v="no"/>
    <s v="no"/>
    <s v="BONAP"/>
    <n v="10331"/>
    <x v="55"/>
    <x v="55"/>
    <s v="BONAP_10331_Tourtière"/>
    <s v="10331"/>
    <s v="10331"/>
    <s v="Tourtière"/>
    <n v="5.9"/>
    <x v="6"/>
    <x v="0"/>
    <n v="88.5"/>
    <x v="0"/>
    <d v="1994-11-16T00:00:00"/>
    <s v=""/>
    <s v=""/>
  </r>
  <r>
    <x v="49"/>
    <x v="49"/>
    <s v="Jean"/>
    <s v="Fresnière"/>
    <s v="Fresnière, Jean"/>
    <s v="Fresnière, Jean"/>
    <x v="0"/>
    <s v="no"/>
    <s v="no"/>
    <s v="MEREP"/>
    <n v="10332"/>
    <x v="59"/>
    <x v="59"/>
    <s v="MEREP_10332_Carnarvon Tigers"/>
    <s v="10332"/>
    <s v="10332"/>
    <s v="Carnarvon Tigers"/>
    <n v="50"/>
    <x v="4"/>
    <x v="3"/>
    <n v="1600"/>
    <x v="0"/>
    <d v="1994-11-17T00:00:00"/>
    <s v=""/>
    <s v=""/>
  </r>
  <r>
    <x v="49"/>
    <x v="49"/>
    <s v="Jean"/>
    <s v="Fresnière"/>
    <s v="Fresnière, Jean"/>
    <s v="Fresnière, Jean"/>
    <x v="0"/>
    <s v="no"/>
    <s v="no"/>
    <s v="MEREP"/>
    <n v="10332"/>
    <x v="1"/>
    <x v="1"/>
    <s v="MEREP_10332_Singaporean Hokkien Fried Mee"/>
    <s v="10332"/>
    <s v="10332"/>
    <s v="Singaporean Hokkien Fried Mee"/>
    <n v="11.2"/>
    <x v="1"/>
    <x v="3"/>
    <n v="89.600000000000009"/>
    <x v="0"/>
    <d v="1994-11-17T00:00:00"/>
    <s v=""/>
    <s v=""/>
  </r>
  <r>
    <x v="49"/>
    <x v="49"/>
    <s v="Jean"/>
    <s v="Fresnière"/>
    <s v="Fresnière, Jean"/>
    <s v="Fresnière, Jean"/>
    <x v="0"/>
    <s v="no"/>
    <s v="no"/>
    <s v="MEREP"/>
    <n v="10332"/>
    <x v="69"/>
    <x v="69"/>
    <s v="MEREP_10332_Zaanse koeken"/>
    <s v="10332"/>
    <s v="10332"/>
    <s v="Zaanse koeken"/>
    <n v="7.6"/>
    <x v="16"/>
    <x v="3"/>
    <n v="97.28"/>
    <x v="0"/>
    <d v="1994-11-17T00:00:00"/>
    <s v=""/>
    <s v=""/>
  </r>
  <r>
    <x v="16"/>
    <x v="16"/>
    <s v="Pirkko"/>
    <s v="Koskitalo"/>
    <s v="Koskitalo, Pirkko"/>
    <s v="Koskitalo, Pirkko"/>
    <x v="0"/>
    <s v="no"/>
    <s v="no"/>
    <s v="WARTH"/>
    <n v="10333"/>
    <x v="3"/>
    <x v="3"/>
    <s v="WARTH_10333_Tofu"/>
    <s v="10333"/>
    <s v="10333"/>
    <s v="Tofu"/>
    <n v="18.600000000000001"/>
    <x v="1"/>
    <x v="0"/>
    <n v="186"/>
    <x v="0"/>
    <d v="1994-11-18T00:00:00"/>
    <s v=""/>
    <s v=""/>
  </r>
  <r>
    <x v="16"/>
    <x v="16"/>
    <s v="Pirkko"/>
    <s v="Koskitalo"/>
    <s v="Koskitalo, Pirkko"/>
    <s v="Koskitalo, Pirkko"/>
    <x v="0"/>
    <s v="no"/>
    <s v="no"/>
    <s v="WARTH"/>
    <n v="10333"/>
    <x v="27"/>
    <x v="27"/>
    <s v="WARTH_10333_Sir Rodney's Scones"/>
    <s v="10333"/>
    <s v="10333"/>
    <s v="Sir Rodney's Scones"/>
    <n v="8"/>
    <x v="1"/>
    <x v="5"/>
    <n v="72"/>
    <x v="0"/>
    <d v="1994-11-18T00:00:00"/>
    <s v=""/>
    <s v=""/>
  </r>
  <r>
    <x v="16"/>
    <x v="16"/>
    <s v="Pirkko"/>
    <s v="Koskitalo"/>
    <s v="Koskitalo, Pirkko"/>
    <s v="Koskitalo, Pirkko"/>
    <x v="0"/>
    <s v="no"/>
    <s v="no"/>
    <s v="WARTH"/>
    <n v="10333"/>
    <x v="42"/>
    <x v="42"/>
    <s v="WARTH_10333_Fløtemysost"/>
    <s v="10333"/>
    <s v="10333"/>
    <s v="Fløtemysost"/>
    <n v="17.2"/>
    <x v="4"/>
    <x v="5"/>
    <n v="619.20000000000005"/>
    <x v="0"/>
    <d v="1994-11-18T00:00:00"/>
    <s v=""/>
    <s v=""/>
  </r>
  <r>
    <x v="3"/>
    <x v="3"/>
    <s v="Mary"/>
    <s v="Saveley"/>
    <s v="Saveley, Mary"/>
    <s v="Saveley, Mary"/>
    <x v="0"/>
    <s v="no"/>
    <s v="no"/>
    <s v="VICTE"/>
    <n v="10334"/>
    <x v="65"/>
    <x v="65"/>
    <s v="VICTE_10334_Filo Mix"/>
    <s v="10334"/>
    <s v="10334"/>
    <s v="Filo Mix"/>
    <n v="5.6"/>
    <x v="26"/>
    <x v="0"/>
    <n v="44.8"/>
    <x v="0"/>
    <d v="1994-11-21T00:00:00"/>
    <s v=""/>
    <s v=""/>
  </r>
  <r>
    <x v="3"/>
    <x v="3"/>
    <s v="Mary"/>
    <s v="Saveley"/>
    <s v="Saveley, Mary"/>
    <s v="Saveley, Mary"/>
    <x v="0"/>
    <s v="no"/>
    <s v="no"/>
    <s v="VICTE"/>
    <n v="10334"/>
    <x v="56"/>
    <x v="56"/>
    <s v="VICTE_10334_Scottish Longbreads"/>
    <s v="10334"/>
    <s v="10334"/>
    <s v="Scottish Longbreads"/>
    <n v="10"/>
    <x v="1"/>
    <x v="0"/>
    <n v="100"/>
    <x v="0"/>
    <d v="1994-11-21T00:00:00"/>
    <s v=""/>
    <s v=""/>
  </r>
  <r>
    <x v="34"/>
    <x v="34"/>
    <s v="Patricia"/>
    <s v="McKenna"/>
    <s v="McKenna, Patricia"/>
    <s v="McKenna, Patricia"/>
    <x v="0"/>
    <s v="no"/>
    <s v="no"/>
    <s v="HUNGO"/>
    <n v="10335"/>
    <x v="18"/>
    <x v="18"/>
    <s v="HUNGO_10335_Chang"/>
    <s v="10335"/>
    <s v="10335"/>
    <s v="Chang"/>
    <n v="15.2"/>
    <x v="25"/>
    <x v="3"/>
    <n v="85.12"/>
    <x v="0"/>
    <d v="1994-11-22T00:00:00"/>
    <s v=""/>
    <s v=""/>
  </r>
  <r>
    <x v="34"/>
    <x v="34"/>
    <s v="Patricia"/>
    <s v="McKenna"/>
    <s v="McKenna, Patricia"/>
    <s v="McKenna, Patricia"/>
    <x v="0"/>
    <s v="no"/>
    <s v="no"/>
    <s v="HUNGO"/>
    <n v="10335"/>
    <x v="12"/>
    <x v="12"/>
    <s v="HUNGO_10335_Gorgonzola Telino"/>
    <s v="10335"/>
    <s v="10335"/>
    <s v="Gorgonzola Telino"/>
    <n v="10"/>
    <x v="9"/>
    <x v="3"/>
    <n v="200"/>
    <x v="0"/>
    <d v="1994-11-22T00:00:00"/>
    <s v=""/>
    <s v=""/>
  </r>
  <r>
    <x v="34"/>
    <x v="34"/>
    <s v="Patricia"/>
    <s v="McKenna"/>
    <s v="McKenna, Patricia"/>
    <s v="McKenna, Patricia"/>
    <x v="0"/>
    <s v="no"/>
    <s v="no"/>
    <s v="HUNGO"/>
    <n v="10335"/>
    <x v="26"/>
    <x v="26"/>
    <s v="HUNGO_10335_Mascarpone Fabioli"/>
    <s v="10335"/>
    <s v="10335"/>
    <s v="Mascarpone Fabioli"/>
    <n v="25.6"/>
    <x v="7"/>
    <x v="3"/>
    <n v="122.88000000000002"/>
    <x v="0"/>
    <d v="1994-11-22T00:00:00"/>
    <s v=""/>
    <s v=""/>
  </r>
  <r>
    <x v="34"/>
    <x v="34"/>
    <s v="Patricia"/>
    <s v="McKenna"/>
    <s v="McKenna, Patricia"/>
    <s v="McKenna, Patricia"/>
    <x v="0"/>
    <s v="no"/>
    <s v="no"/>
    <s v="HUNGO"/>
    <n v="10335"/>
    <x v="4"/>
    <x v="4"/>
    <s v="HUNGO_10335_Manjimup Dried Apples"/>
    <s v="10335"/>
    <s v="10335"/>
    <s v="Manjimup Dried Apples"/>
    <n v="42.4"/>
    <x v="33"/>
    <x v="3"/>
    <n v="1628.1599999999999"/>
    <x v="0"/>
    <d v="1994-11-22T00:00:00"/>
    <s v=""/>
    <s v=""/>
  </r>
  <r>
    <x v="50"/>
    <x v="50"/>
    <s v="Isabel"/>
    <s v="de Castro"/>
    <s v="de Castro, Isabel"/>
    <s v="de Castro, Isabel"/>
    <x v="0"/>
    <s v="no"/>
    <s v="no"/>
    <s v="PRINI"/>
    <n v="10336"/>
    <x v="62"/>
    <x v="62"/>
    <s v="PRINI_10336_Chef Anton's Cajun Seasoning"/>
    <s v="10336"/>
    <s v="10336"/>
    <s v="Chef Anton's Cajun Seasoning"/>
    <n v="17.600000000000001"/>
    <x v="27"/>
    <x v="5"/>
    <n v="285.12"/>
    <x v="0"/>
    <d v="1994-11-23T00:00:00"/>
    <s v=""/>
    <s v=""/>
  </r>
  <r>
    <x v="17"/>
    <x v="17"/>
    <s v="Peter"/>
    <s v="Franken"/>
    <s v="Franken, Peter"/>
    <s v="Franken, Peter"/>
    <x v="0"/>
    <s v="no"/>
    <s v="no"/>
    <s v="FRANK"/>
    <n v="10337"/>
    <x v="70"/>
    <x v="70"/>
    <s v="FRANK_10337_Tunnbröd"/>
    <s v="10337"/>
    <s v="10337"/>
    <s v="Tunnbröd"/>
    <n v="7.2"/>
    <x v="4"/>
    <x v="0"/>
    <n v="288"/>
    <x v="0"/>
    <d v="1994-11-24T00:00:00"/>
    <s v=""/>
    <s v=""/>
  </r>
  <r>
    <x v="17"/>
    <x v="17"/>
    <s v="Peter"/>
    <s v="Franken"/>
    <s v="Franken, Peter"/>
    <s v="Franken, Peter"/>
    <x v="0"/>
    <s v="no"/>
    <s v="no"/>
    <s v="FRANK"/>
    <n v="10337"/>
    <x v="68"/>
    <x v="68"/>
    <s v="FRANK_10337_Gumbär Gummibärchen"/>
    <s v="10337"/>
    <s v="10337"/>
    <s v="Gumbär Gummibärchen"/>
    <n v="24.9"/>
    <x v="23"/>
    <x v="0"/>
    <n v="597.59999999999991"/>
    <x v="0"/>
    <d v="1994-11-24T00:00:00"/>
    <s v=""/>
    <s v=""/>
  </r>
  <r>
    <x v="17"/>
    <x v="17"/>
    <s v="Peter"/>
    <s v="Franken"/>
    <s v="Franken, Peter"/>
    <s v="Franken, Peter"/>
    <x v="0"/>
    <s v="no"/>
    <s v="no"/>
    <s v="FRANK"/>
    <n v="10337"/>
    <x v="20"/>
    <x v="20"/>
    <s v="FRANK_10337_Inlagd Sill"/>
    <s v="10337"/>
    <s v="10337"/>
    <s v="Inlagd Sill"/>
    <n v="15.2"/>
    <x v="8"/>
    <x v="0"/>
    <n v="304"/>
    <x v="0"/>
    <d v="1994-11-24T00:00:00"/>
    <s v=""/>
    <s v=""/>
  </r>
  <r>
    <x v="17"/>
    <x v="17"/>
    <s v="Peter"/>
    <s v="Franken"/>
    <s v="Franken, Peter"/>
    <s v="Franken, Peter"/>
    <x v="0"/>
    <s v="no"/>
    <s v="no"/>
    <s v="FRANK"/>
    <n v="10337"/>
    <x v="28"/>
    <x v="28"/>
    <s v="FRANK_10337_Gravad lax"/>
    <s v="10337"/>
    <s v="10337"/>
    <s v="Gravad lax"/>
    <n v="20.8"/>
    <x v="19"/>
    <x v="0"/>
    <n v="582.4"/>
    <x v="0"/>
    <d v="1994-11-24T00:00:00"/>
    <s v=""/>
    <s v=""/>
  </r>
  <r>
    <x v="17"/>
    <x v="17"/>
    <s v="Peter"/>
    <s v="Franken"/>
    <s v="Franken, Peter"/>
    <s v="Franken, Peter"/>
    <x v="0"/>
    <s v="no"/>
    <s v="no"/>
    <s v="FRANK"/>
    <n v="10337"/>
    <x v="2"/>
    <x v="2"/>
    <s v="FRANK_10337_Mozzarella di Giovanni"/>
    <s v="10337"/>
    <s v="10337"/>
    <s v="Mozzarella di Giovanni"/>
    <n v="27.8"/>
    <x v="9"/>
    <x v="0"/>
    <n v="695"/>
    <x v="0"/>
    <d v="1994-11-24T00:00:00"/>
    <s v=""/>
    <s v=""/>
  </r>
  <r>
    <x v="37"/>
    <x v="37"/>
    <s v="Rene"/>
    <s v="Phillips"/>
    <s v="Phillips, Rene"/>
    <s v="Phillips, Rene"/>
    <x v="0"/>
    <s v="no"/>
    <s v="no"/>
    <s v="OLDWO"/>
    <n v="10338"/>
    <x v="35"/>
    <x v="35"/>
    <s v="OLDWO_10338_Alice Mutton"/>
    <s v="10338"/>
    <s v="10338"/>
    <s v="Alice Mutton"/>
    <n v="31.2"/>
    <x v="8"/>
    <x v="0"/>
    <n v="624"/>
    <x v="0"/>
    <d v="1994-11-25T00:00:00"/>
    <s v=""/>
    <s v=""/>
  </r>
  <r>
    <x v="37"/>
    <x v="37"/>
    <s v="Rene"/>
    <s v="Phillips"/>
    <s v="Phillips, Rene"/>
    <s v="Phillips, Rene"/>
    <x v="0"/>
    <s v="no"/>
    <s v="no"/>
    <s v="OLDWO"/>
    <n v="10338"/>
    <x v="34"/>
    <x v="34"/>
    <s v="OLDWO_10338_Nord-Ost Matjeshering"/>
    <s v="10338"/>
    <s v="10338"/>
    <s v="Nord-Ost Matjeshering"/>
    <n v="20.7"/>
    <x v="6"/>
    <x v="0"/>
    <n v="310.5"/>
    <x v="0"/>
    <d v="1994-11-25T00:00:00"/>
    <s v=""/>
    <s v=""/>
  </r>
  <r>
    <x v="49"/>
    <x v="49"/>
    <s v="Jean"/>
    <s v="Fresnière"/>
    <s v="Fresnière, Jean"/>
    <s v="Fresnière, Jean"/>
    <x v="0"/>
    <s v="no"/>
    <s v="no"/>
    <s v="MEREP"/>
    <n v="10339"/>
    <x v="62"/>
    <x v="62"/>
    <s v="MEREP_10339_Chef Anton's Cajun Seasoning"/>
    <s v="10339"/>
    <s v="10339"/>
    <s v="Chef Anton's Cajun Seasoning"/>
    <n v="17.600000000000001"/>
    <x v="1"/>
    <x v="0"/>
    <n v="176"/>
    <x v="0"/>
    <d v="1994-11-28T00:00:00"/>
    <s v=""/>
    <s v=""/>
  </r>
  <r>
    <x v="49"/>
    <x v="49"/>
    <s v="Jean"/>
    <s v="Fresnière"/>
    <s v="Fresnière, Jean"/>
    <s v="Fresnière, Jean"/>
    <x v="0"/>
    <s v="no"/>
    <s v="no"/>
    <s v="MEREP"/>
    <n v="10339"/>
    <x v="35"/>
    <x v="35"/>
    <s v="MEREP_10339_Alice Mutton"/>
    <s v="10339"/>
    <s v="10339"/>
    <s v="Alice Mutton"/>
    <n v="31.2"/>
    <x v="21"/>
    <x v="2"/>
    <n v="2074.7999999999997"/>
    <x v="0"/>
    <d v="1994-11-28T00:00:00"/>
    <s v=""/>
    <s v=""/>
  </r>
  <r>
    <x v="49"/>
    <x v="49"/>
    <s v="Jean"/>
    <s v="Fresnière"/>
    <s v="Fresnière, Jean"/>
    <s v="Fresnière, Jean"/>
    <x v="0"/>
    <s v="no"/>
    <s v="no"/>
    <s v="MEREP"/>
    <n v="10339"/>
    <x v="29"/>
    <x v="29"/>
    <s v="MEREP_10339_Tarte au sucre"/>
    <s v="10339"/>
    <s v="10339"/>
    <s v="Tarte au sucre"/>
    <n v="39.4"/>
    <x v="19"/>
    <x v="0"/>
    <n v="1103.2"/>
    <x v="0"/>
    <d v="1994-11-28T00:00:00"/>
    <s v=""/>
    <s v=""/>
  </r>
  <r>
    <x v="48"/>
    <x v="48"/>
    <s v="Laurence"/>
    <s v="Lebihan"/>
    <s v="Lebihan, Laurence"/>
    <s v="Lebihan, Laurence"/>
    <x v="0"/>
    <s v="no"/>
    <s v="no"/>
    <s v="BONAP"/>
    <n v="10340"/>
    <x v="59"/>
    <x v="59"/>
    <s v="BONAP_10340_Carnarvon Tigers"/>
    <s v="10340"/>
    <s v="10340"/>
    <s v="Carnarvon Tigers"/>
    <n v="50"/>
    <x v="8"/>
    <x v="2"/>
    <n v="950"/>
    <x v="0"/>
    <d v="1994-11-29T00:00:00"/>
    <s v=""/>
    <s v=""/>
  </r>
  <r>
    <x v="48"/>
    <x v="48"/>
    <s v="Laurence"/>
    <s v="Lebihan"/>
    <s v="Lebihan, Laurence"/>
    <s v="Lebihan, Laurence"/>
    <x v="0"/>
    <s v="no"/>
    <s v="no"/>
    <s v="BONAP"/>
    <n v="10340"/>
    <x v="5"/>
    <x v="5"/>
    <s v="BONAP_10340_Jack's New England Clam Chowder"/>
    <s v="10340"/>
    <s v="10340"/>
    <s v="Jack's New England Clam Chowder"/>
    <n v="7.7"/>
    <x v="0"/>
    <x v="2"/>
    <n v="87.78"/>
    <x v="0"/>
    <d v="1994-11-29T00:00:00"/>
    <s v=""/>
    <s v=""/>
  </r>
  <r>
    <x v="48"/>
    <x v="48"/>
    <s v="Laurence"/>
    <s v="Lebihan"/>
    <s v="Lebihan, Laurence"/>
    <s v="Lebihan, Laurence"/>
    <x v="0"/>
    <s v="no"/>
    <s v="no"/>
    <s v="BONAP"/>
    <n v="10340"/>
    <x v="40"/>
    <x v="40"/>
    <s v="BONAP_10340_Ipoh Coffee"/>
    <s v="10340"/>
    <s v="10340"/>
    <s v="Ipoh Coffee"/>
    <n v="36.799999999999997"/>
    <x v="4"/>
    <x v="2"/>
    <n v="1398.3999999999999"/>
    <x v="0"/>
    <d v="1994-11-29T00:00:00"/>
    <s v=""/>
    <s v=""/>
  </r>
  <r>
    <x v="51"/>
    <x v="51"/>
    <s v="Jytte"/>
    <s v="Petersen"/>
    <s v="Petersen, Jytte"/>
    <s v="Petersen, Jytte"/>
    <x v="0"/>
    <s v="no"/>
    <s v="no"/>
    <s v="SIMOB"/>
    <n v="10341"/>
    <x v="10"/>
    <x v="10"/>
    <s v="SIMOB_10341_Geitost"/>
    <s v="10341"/>
    <s v="10341"/>
    <s v="Geitost"/>
    <n v="2"/>
    <x v="26"/>
    <x v="0"/>
    <n v="16"/>
    <x v="0"/>
    <d v="1994-11-29T00:00:00"/>
    <s v=""/>
    <s v=""/>
  </r>
  <r>
    <x v="51"/>
    <x v="51"/>
    <s v="Jytte"/>
    <s v="Petersen"/>
    <s v="Petersen, Jytte"/>
    <s v="Petersen, Jytte"/>
    <x v="0"/>
    <s v="no"/>
    <s v="no"/>
    <s v="SIMOB"/>
    <n v="10341"/>
    <x v="21"/>
    <x v="21"/>
    <s v="SIMOB_10341_Raclette Courdavault"/>
    <s v="10341"/>
    <s v="10341"/>
    <s v="Raclette Courdavault"/>
    <n v="44"/>
    <x v="3"/>
    <x v="1"/>
    <n v="336.59999999999997"/>
    <x v="0"/>
    <d v="1994-11-29T00:00:00"/>
    <s v=""/>
    <s v=""/>
  </r>
  <r>
    <x v="17"/>
    <x v="17"/>
    <s v="Peter"/>
    <s v="Franken"/>
    <s v="Franken, Peter"/>
    <s v="Franken, Peter"/>
    <x v="0"/>
    <s v="no"/>
    <s v="no"/>
    <s v="FRANK"/>
    <n v="10342"/>
    <x v="18"/>
    <x v="18"/>
    <s v="FRANK_10342_Chang"/>
    <s v="10342"/>
    <s v="10342"/>
    <s v="Chang"/>
    <n v="15.2"/>
    <x v="23"/>
    <x v="3"/>
    <n v="291.83999999999997"/>
    <x v="0"/>
    <d v="1994-11-30T00:00:00"/>
    <s v=""/>
    <s v=""/>
  </r>
  <r>
    <x v="17"/>
    <x v="17"/>
    <s v="Peter"/>
    <s v="Franken"/>
    <s v="Franken, Peter"/>
    <s v="Franken, Peter"/>
    <x v="0"/>
    <s v="no"/>
    <s v="no"/>
    <s v="FRANK"/>
    <n v="10342"/>
    <x v="12"/>
    <x v="12"/>
    <s v="FRANK_10342_Gorgonzola Telino"/>
    <s v="10342"/>
    <s v="10342"/>
    <s v="Gorgonzola Telino"/>
    <n v="10"/>
    <x v="34"/>
    <x v="3"/>
    <n v="448"/>
    <x v="0"/>
    <d v="1994-11-30T00:00:00"/>
    <s v=""/>
    <s v=""/>
  </r>
  <r>
    <x v="17"/>
    <x v="17"/>
    <s v="Peter"/>
    <s v="Franken"/>
    <s v="Franken, Peter"/>
    <s v="Franken, Peter"/>
    <x v="0"/>
    <s v="no"/>
    <s v="no"/>
    <s v="FRANK"/>
    <n v="10342"/>
    <x v="20"/>
    <x v="20"/>
    <s v="FRANK_10342_Inlagd Sill"/>
    <s v="10342"/>
    <s v="10342"/>
    <s v="Inlagd Sill"/>
    <n v="15.2"/>
    <x v="4"/>
    <x v="3"/>
    <n v="486.40000000000003"/>
    <x v="0"/>
    <d v="1994-11-30T00:00:00"/>
    <s v=""/>
    <s v=""/>
  </r>
  <r>
    <x v="17"/>
    <x v="17"/>
    <s v="Peter"/>
    <s v="Franken"/>
    <s v="Franken, Peter"/>
    <s v="Franken, Peter"/>
    <x v="0"/>
    <s v="no"/>
    <s v="no"/>
    <s v="FRANK"/>
    <n v="10342"/>
    <x v="16"/>
    <x v="16"/>
    <s v="FRANK_10342_Pâté chinois"/>
    <s v="10342"/>
    <s v="10342"/>
    <s v="Pâté chinois"/>
    <n v="19.2"/>
    <x v="4"/>
    <x v="3"/>
    <n v="614.40000000000009"/>
    <x v="0"/>
    <d v="1994-11-30T00:00:00"/>
    <s v=""/>
    <s v=""/>
  </r>
  <r>
    <x v="26"/>
    <x v="26"/>
    <s v="Renate"/>
    <s v="Messner"/>
    <s v="Messner, Renate"/>
    <s v="Messner, Renate"/>
    <x v="0"/>
    <s v="no"/>
    <s v="no"/>
    <s v="LEHMS"/>
    <n v="10343"/>
    <x v="58"/>
    <x v="58"/>
    <s v="LEHMS_10343_Wimmers gute Semmelknödel"/>
    <s v="10343"/>
    <s v="10343"/>
    <s v="Wimmers gute Semmelknödel"/>
    <n v="26.6"/>
    <x v="13"/>
    <x v="0"/>
    <n v="1330"/>
    <x v="0"/>
    <d v="1994-12-01T00:00:00"/>
    <s v=""/>
    <s v=""/>
  </r>
  <r>
    <x v="26"/>
    <x v="26"/>
    <s v="Renate"/>
    <s v="Messner"/>
    <s v="Messner, Renate"/>
    <s v="Messner, Renate"/>
    <x v="0"/>
    <s v="no"/>
    <s v="no"/>
    <s v="LEHMS"/>
    <n v="10343"/>
    <x v="56"/>
    <x v="56"/>
    <s v="LEHMS_10343_Scottish Longbreads"/>
    <s v="10343"/>
    <s v="10343"/>
    <s v="Scottish Longbreads"/>
    <n v="10"/>
    <x v="22"/>
    <x v="2"/>
    <n v="38"/>
    <x v="0"/>
    <d v="1994-12-01T00:00:00"/>
    <s v=""/>
    <s v=""/>
  </r>
  <r>
    <x v="26"/>
    <x v="26"/>
    <s v="Renate"/>
    <s v="Messner"/>
    <s v="Messner, Renate"/>
    <s v="Messner, Renate"/>
    <x v="0"/>
    <s v="no"/>
    <s v="no"/>
    <s v="LEHMS"/>
    <n v="10343"/>
    <x v="38"/>
    <x v="38"/>
    <s v="LEHMS_10343_Lakkalikööri"/>
    <s v="10343"/>
    <s v="10343"/>
    <s v="Lakkalikööri"/>
    <n v="14.4"/>
    <x v="6"/>
    <x v="0"/>
    <n v="216"/>
    <x v="0"/>
    <d v="1994-12-01T00:00:00"/>
    <s v=""/>
    <s v=""/>
  </r>
  <r>
    <x v="19"/>
    <x v="19"/>
    <s v="Karl"/>
    <s v="Jablonski"/>
    <s v="Jablonski, Karl"/>
    <s v="Jablonski, Karl"/>
    <x v="0"/>
    <s v="no"/>
    <s v="no"/>
    <s v="WHITC"/>
    <n v="10344"/>
    <x v="62"/>
    <x v="62"/>
    <s v="WHITC_10344_Chef Anton's Cajun Seasoning"/>
    <s v="10344"/>
    <s v="10344"/>
    <s v="Chef Anton's Cajun Seasoning"/>
    <n v="17.600000000000001"/>
    <x v="5"/>
    <x v="0"/>
    <n v="616"/>
    <x v="0"/>
    <d v="1994-12-02T00:00:00"/>
    <s v=""/>
    <s v=""/>
  </r>
  <r>
    <x v="19"/>
    <x v="19"/>
    <s v="Karl"/>
    <s v="Jablonski"/>
    <s v="Jablonski, Karl"/>
    <s v="Jablonski, Karl"/>
    <x v="0"/>
    <s v="no"/>
    <s v="no"/>
    <s v="WHITC"/>
    <n v="10344"/>
    <x v="71"/>
    <x v="71"/>
    <s v="WHITC_10344_Northwoods Cranberry Sauce"/>
    <s v="10344"/>
    <s v="10344"/>
    <s v="Northwoods Cranberry Sauce"/>
    <n v="32"/>
    <x v="21"/>
    <x v="4"/>
    <n v="1680"/>
    <x v="0"/>
    <d v="1994-12-02T00:00:00"/>
    <s v=""/>
    <s v=""/>
  </r>
  <r>
    <x v="21"/>
    <x v="21"/>
    <s v="Horst"/>
    <s v="Kloss"/>
    <s v="Kloss, Horst"/>
    <s v="Kloss, Horst"/>
    <x v="0"/>
    <s v="no"/>
    <s v="no"/>
    <s v="QUICK"/>
    <n v="10345"/>
    <x v="71"/>
    <x v="71"/>
    <s v="QUICK_10345_Northwoods Cranberry Sauce"/>
    <s v="10345"/>
    <s v="10345"/>
    <s v="Northwoods Cranberry Sauce"/>
    <n v="32"/>
    <x v="21"/>
    <x v="0"/>
    <n v="2240"/>
    <x v="0"/>
    <d v="1994-12-05T00:00:00"/>
    <s v=""/>
    <s v=""/>
  </r>
  <r>
    <x v="21"/>
    <x v="21"/>
    <s v="Horst"/>
    <s v="Kloss"/>
    <s v="Kloss, Horst"/>
    <s v="Kloss, Horst"/>
    <x v="0"/>
    <s v="no"/>
    <s v="no"/>
    <s v="QUICK"/>
    <n v="10345"/>
    <x v="49"/>
    <x v="49"/>
    <s v="QUICK_10345_Teatime Chocolate Biscuits"/>
    <s v="10345"/>
    <s v="10345"/>
    <s v="Teatime Chocolate Biscuits"/>
    <n v="7.3"/>
    <x v="32"/>
    <x v="0"/>
    <n v="584"/>
    <x v="0"/>
    <d v="1994-12-05T00:00:00"/>
    <s v=""/>
    <s v=""/>
  </r>
  <r>
    <x v="21"/>
    <x v="21"/>
    <s v="Horst"/>
    <s v="Kloss"/>
    <s v="Kloss, Horst"/>
    <s v="Kloss, Horst"/>
    <x v="0"/>
    <s v="no"/>
    <s v="no"/>
    <s v="QUICK"/>
    <n v="10345"/>
    <x v="1"/>
    <x v="1"/>
    <s v="QUICK_10345_Singaporean Hokkien Fried Mee"/>
    <s v="10345"/>
    <s v="10345"/>
    <s v="Singaporean Hokkien Fried Mee"/>
    <n v="11.2"/>
    <x v="3"/>
    <x v="0"/>
    <n v="100.8"/>
    <x v="0"/>
    <d v="1994-12-05T00:00:00"/>
    <s v=""/>
    <s v=""/>
  </r>
  <r>
    <x v="13"/>
    <x v="13"/>
    <s v="Paula"/>
    <s v="Wilson"/>
    <s v="Wilson, Paula"/>
    <s v="Wilson, Paula"/>
    <x v="0"/>
    <s v="no"/>
    <s v="no"/>
    <s v="RATTC"/>
    <n v="10346"/>
    <x v="35"/>
    <x v="35"/>
    <s v="RATTC_10346_Alice Mutton"/>
    <s v="10346"/>
    <s v="10346"/>
    <s v="Alice Mutton"/>
    <n v="31.2"/>
    <x v="20"/>
    <x v="5"/>
    <n v="1010.8800000000001"/>
    <x v="0"/>
    <d v="1994-12-06T00:00:00"/>
    <s v=""/>
    <s v=""/>
  </r>
  <r>
    <x v="13"/>
    <x v="13"/>
    <s v="Paula"/>
    <s v="Wilson"/>
    <s v="Wilson, Paula"/>
    <s v="Wilson, Paula"/>
    <x v="0"/>
    <s v="no"/>
    <s v="no"/>
    <s v="RATTC"/>
    <n v="10346"/>
    <x v="33"/>
    <x v="33"/>
    <s v="RATTC_10346_Gnocchi di nonna Alice"/>
    <s v="10346"/>
    <s v="10346"/>
    <s v="Gnocchi di nonna Alice"/>
    <n v="30.4"/>
    <x v="8"/>
    <x v="0"/>
    <n v="608"/>
    <x v="0"/>
    <d v="1994-12-06T00:00:00"/>
    <s v=""/>
    <s v=""/>
  </r>
  <r>
    <x v="52"/>
    <x v="52"/>
    <s v="Aria"/>
    <s v="Cruz"/>
    <s v="Cruz, Aria"/>
    <s v="Cruz, Aria"/>
    <x v="0"/>
    <s v="no"/>
    <s v="no"/>
    <s v="FAMIA"/>
    <n v="10347"/>
    <x v="66"/>
    <x v="66"/>
    <s v="FAMIA_10347_NuNuCa Nuß-Nougat-Creme"/>
    <s v="10347"/>
    <s v="10347"/>
    <s v="NuNuCa Nuß-Nougat-Creme"/>
    <n v="11.2"/>
    <x v="1"/>
    <x v="0"/>
    <n v="112"/>
    <x v="0"/>
    <d v="1994-12-07T00:00:00"/>
    <s v=""/>
    <s v=""/>
  </r>
  <r>
    <x v="52"/>
    <x v="52"/>
    <s v="Aria"/>
    <s v="Cruz"/>
    <s v="Cruz, Aria"/>
    <s v="Cruz, Aria"/>
    <x v="0"/>
    <s v="no"/>
    <s v="no"/>
    <s v="FAMIA"/>
    <n v="10347"/>
    <x v="13"/>
    <x v="13"/>
    <s v="FAMIA_10347_Chartreuse verte"/>
    <s v="10347"/>
    <s v="10347"/>
    <s v="Chartreuse verte"/>
    <n v="14.4"/>
    <x v="13"/>
    <x v="1"/>
    <n v="612"/>
    <x v="0"/>
    <d v="1994-12-07T00:00:00"/>
    <s v=""/>
    <s v=""/>
  </r>
  <r>
    <x v="52"/>
    <x v="52"/>
    <s v="Aria"/>
    <s v="Cruz"/>
    <s v="Cruz, Aria"/>
    <s v="Cruz, Aria"/>
    <x v="0"/>
    <s v="no"/>
    <s v="no"/>
    <s v="FAMIA"/>
    <n v="10347"/>
    <x v="37"/>
    <x v="37"/>
    <s v="FAMIA_10347_Boston Crab Meat"/>
    <s v="10347"/>
    <s v="10347"/>
    <s v="Boston Crab Meat"/>
    <n v="14.7"/>
    <x v="22"/>
    <x v="0"/>
    <n v="58.8"/>
    <x v="0"/>
    <d v="1994-12-07T00:00:00"/>
    <s v=""/>
    <s v=""/>
  </r>
  <r>
    <x v="52"/>
    <x v="52"/>
    <s v="Aria"/>
    <s v="Cruz"/>
    <s v="Cruz, Aria"/>
    <s v="Cruz, Aria"/>
    <x v="0"/>
    <s v="no"/>
    <s v="no"/>
    <s v="FAMIA"/>
    <n v="10347"/>
    <x v="48"/>
    <x v="48"/>
    <s v="FAMIA_10347_Rhönbräu Klosterbier"/>
    <s v="10347"/>
    <s v="10347"/>
    <s v="Rhönbräu Klosterbier"/>
    <n v="6.2"/>
    <x v="7"/>
    <x v="1"/>
    <n v="31.62"/>
    <x v="0"/>
    <d v="1994-12-07T00:00:00"/>
    <s v=""/>
    <s v=""/>
  </r>
  <r>
    <x v="35"/>
    <x v="35"/>
    <s v="Rita"/>
    <s v="Müller"/>
    <s v="Müller, Rita"/>
    <s v="Müller, Rita"/>
    <x v="0"/>
    <s v="no"/>
    <s v="no"/>
    <s v="WANDK"/>
    <n v="10348"/>
    <x v="52"/>
    <x v="52"/>
    <s v="WANDK_10348_Chai"/>
    <s v="10348"/>
    <s v="10348"/>
    <s v="Chai"/>
    <n v="14.4"/>
    <x v="6"/>
    <x v="1"/>
    <n v="183.6"/>
    <x v="0"/>
    <d v="1994-12-08T00:00:00"/>
    <s v=""/>
    <s v=""/>
  </r>
  <r>
    <x v="35"/>
    <x v="35"/>
    <s v="Rita"/>
    <s v="Müller"/>
    <s v="Müller, Rita"/>
    <s v="Müller, Rita"/>
    <x v="0"/>
    <s v="no"/>
    <s v="no"/>
    <s v="WANDK"/>
    <n v="10348"/>
    <x v="70"/>
    <x v="70"/>
    <s v="WANDK_10348_Tunnbröd"/>
    <s v="10348"/>
    <s v="10348"/>
    <s v="Tunnbröd"/>
    <n v="7.2"/>
    <x v="9"/>
    <x v="0"/>
    <n v="180"/>
    <x v="0"/>
    <d v="1994-12-08T00:00:00"/>
    <s v=""/>
    <s v=""/>
  </r>
  <r>
    <x v="20"/>
    <x v="20"/>
    <s v="Art"/>
    <s v="Braunschweiger"/>
    <s v="Braunschweiger, Art"/>
    <s v="Braunschweiger, Art"/>
    <x v="0"/>
    <s v="no"/>
    <s v="no"/>
    <s v="SPLIR"/>
    <n v="10349"/>
    <x v="55"/>
    <x v="55"/>
    <s v="SPLIR_10349_Tourtière"/>
    <s v="10349"/>
    <s v="10349"/>
    <s v="Tourtière"/>
    <n v="5.9"/>
    <x v="23"/>
    <x v="0"/>
    <n v="141.60000000000002"/>
    <x v="0"/>
    <d v="1994-12-09T00:00:00"/>
    <s v=""/>
    <s v=""/>
  </r>
  <r>
    <x v="53"/>
    <x v="53"/>
    <s v="Annette"/>
    <s v="Roulet"/>
    <s v="Roulet, Annette"/>
    <s v="Roulet, Annette"/>
    <x v="0"/>
    <s v="no"/>
    <s v="no"/>
    <s v="LAMAI"/>
    <n v="10350"/>
    <x v="72"/>
    <x v="72"/>
    <s v="LAMAI_10350_Valkoinen suklaa"/>
    <s v="10350"/>
    <s v="10350"/>
    <s v="Valkoinen suklaa"/>
    <n v="13"/>
    <x v="6"/>
    <x v="5"/>
    <n v="175.5"/>
    <x v="0"/>
    <d v="1994-12-12T00:00:00"/>
    <s v=""/>
    <s v=""/>
  </r>
  <r>
    <x v="53"/>
    <x v="53"/>
    <s v="Annette"/>
    <s v="Roulet"/>
    <s v="Roulet, Annette"/>
    <s v="Roulet, Annette"/>
    <x v="0"/>
    <s v="no"/>
    <s v="no"/>
    <s v="LAMAI"/>
    <n v="10350"/>
    <x v="60"/>
    <x v="60"/>
    <s v="LAMAI_10350_Gudbrandsdalsost"/>
    <s v="10350"/>
    <s v="10350"/>
    <s v="Gudbrandsdalsost"/>
    <n v="28.8"/>
    <x v="27"/>
    <x v="5"/>
    <n v="466.56"/>
    <x v="0"/>
    <d v="1994-12-12T00:00:00"/>
    <s v=""/>
    <s v=""/>
  </r>
  <r>
    <x v="9"/>
    <x v="9"/>
    <s v="Roland"/>
    <s v="Mendel"/>
    <s v="Mendel, Roland"/>
    <s v="Mendel, Roland"/>
    <x v="1"/>
    <s v="yes"/>
    <s v="yes"/>
    <s v="ERNSH"/>
    <n v="10351"/>
    <x v="67"/>
    <x v="67"/>
    <s v="ERNSH_10351_Côte de Blaye"/>
    <s v="10351"/>
    <s v="10351"/>
    <s v="Côte de Blaye"/>
    <n v="210.8"/>
    <x v="8"/>
    <x v="2"/>
    <n v="4005.2"/>
    <x v="0"/>
    <d v="1994-12-12T00:00:00"/>
    <s v=""/>
    <s v=""/>
  </r>
  <r>
    <x v="9"/>
    <x v="9"/>
    <s v="Roland"/>
    <s v="Mendel"/>
    <s v="Mendel, Roland"/>
    <s v="Mendel, Roland"/>
    <x v="0"/>
    <s v="no"/>
    <s v="no"/>
    <s v="ERNSH"/>
    <n v="10351"/>
    <x v="5"/>
    <x v="5"/>
    <s v="ERNSH_10351_Jack's New England Clam Chowder"/>
    <s v="10351"/>
    <s v="10351"/>
    <s v="Jack's New England Clam Chowder"/>
    <n v="7.7"/>
    <x v="35"/>
    <x v="0"/>
    <n v="100.10000000000001"/>
    <x v="0"/>
    <d v="1994-12-12T00:00:00"/>
    <s v=""/>
    <s v=""/>
  </r>
  <r>
    <x v="9"/>
    <x v="9"/>
    <s v="Roland"/>
    <s v="Mendel"/>
    <s v="Mendel, Roland"/>
    <s v="Mendel, Roland"/>
    <x v="0"/>
    <s v="no"/>
    <s v="no"/>
    <s v="ERNSH"/>
    <n v="10351"/>
    <x v="45"/>
    <x v="45"/>
    <s v="ERNSH_10351_Gula Malacca"/>
    <s v="10351"/>
    <s v="10351"/>
    <s v="Gula Malacca"/>
    <n v="15.5"/>
    <x v="36"/>
    <x v="2"/>
    <n v="1133.825"/>
    <x v="0"/>
    <d v="1994-12-12T00:00:00"/>
    <s v=""/>
    <s v=""/>
  </r>
  <r>
    <x v="9"/>
    <x v="9"/>
    <s v="Roland"/>
    <s v="Mendel"/>
    <s v="Mendel, Roland"/>
    <s v="Mendel, Roland"/>
    <x v="0"/>
    <s v="no"/>
    <s v="no"/>
    <s v="ERNSH"/>
    <n v="10351"/>
    <x v="6"/>
    <x v="6"/>
    <s v="ERNSH_10351_Louisiana Fiery Hot Pepper Sauce"/>
    <s v="10351"/>
    <s v="10351"/>
    <s v="Louisiana Fiery Hot Pepper Sauce"/>
    <n v="16.8"/>
    <x v="1"/>
    <x v="2"/>
    <n v="159.6"/>
    <x v="0"/>
    <d v="1994-12-12T00:00:00"/>
    <s v=""/>
    <s v=""/>
  </r>
  <r>
    <x v="47"/>
    <x v="47"/>
    <s v="Lino"/>
    <s v="Rodriguez"/>
    <s v="Rodriguez, Lino"/>
    <s v="Rodriguez, Lino"/>
    <x v="0"/>
    <s v="no"/>
    <s v="no"/>
    <s v="FURIB"/>
    <n v="10352"/>
    <x v="15"/>
    <x v="15"/>
    <s v="FURIB_10352_Guaraná Fantástica"/>
    <s v="10352"/>
    <s v="10352"/>
    <s v="Guaraná Fantástica"/>
    <n v="3.6"/>
    <x v="1"/>
    <x v="0"/>
    <n v="36"/>
    <x v="0"/>
    <d v="1994-12-13T00:00:00"/>
    <s v=""/>
    <s v=""/>
  </r>
  <r>
    <x v="47"/>
    <x v="47"/>
    <s v="Lino"/>
    <s v="Rodriguez"/>
    <s v="Rodriguez, Lino"/>
    <s v="Rodriguez, Lino"/>
    <x v="0"/>
    <s v="no"/>
    <s v="no"/>
    <s v="FURIB"/>
    <n v="10352"/>
    <x v="55"/>
    <x v="55"/>
    <s v="FURIB_10352_Tourtière"/>
    <s v="10352"/>
    <s v="10352"/>
    <s v="Tourtière"/>
    <n v="5.9"/>
    <x v="8"/>
    <x v="1"/>
    <n v="100.3"/>
    <x v="0"/>
    <d v="1994-12-13T00:00:00"/>
    <s v=""/>
    <s v=""/>
  </r>
  <r>
    <x v="54"/>
    <x v="54"/>
    <s v="Georg"/>
    <s v="Pipps"/>
    <s v="Pipps, Georg"/>
    <s v="Pipps, Georg"/>
    <x v="0"/>
    <s v="no"/>
    <s v="no"/>
    <s v="PICCO"/>
    <n v="10353"/>
    <x v="0"/>
    <x v="0"/>
    <s v="PICCO_10353_Queso Cabrales"/>
    <s v="10353"/>
    <s v="10353"/>
    <s v="Queso Cabrales"/>
    <n v="16.8"/>
    <x v="0"/>
    <x v="3"/>
    <n v="161.28000000000003"/>
    <x v="0"/>
    <d v="1994-12-14T00:00:00"/>
    <s v=""/>
    <s v=""/>
  </r>
  <r>
    <x v="54"/>
    <x v="54"/>
    <s v="Georg"/>
    <s v="Pipps"/>
    <s v="Pipps, Georg"/>
    <s v="Pipps, Georg"/>
    <x v="1"/>
    <s v="yes"/>
    <s v="yes"/>
    <s v="PICCO"/>
    <n v="10353"/>
    <x v="67"/>
    <x v="67"/>
    <s v="PICCO_10353_Côte de Blaye"/>
    <s v="10353"/>
    <s v="10353"/>
    <s v="Côte de Blaye"/>
    <n v="210.8"/>
    <x v="13"/>
    <x v="3"/>
    <n v="8432"/>
    <x v="0"/>
    <d v="1994-12-14T00:00:00"/>
    <s v=""/>
    <s v=""/>
  </r>
  <r>
    <x v="43"/>
    <x v="43"/>
    <s v="Guillermo"/>
    <s v="Fernández"/>
    <s v="Fernández, Guillermo"/>
    <s v="Fernández, Guillermo"/>
    <x v="0"/>
    <s v="no"/>
    <s v="no"/>
    <s v="PERIC"/>
    <n v="10354"/>
    <x v="52"/>
    <x v="52"/>
    <s v="PERIC_10354_Chai"/>
    <s v="10354"/>
    <s v="10354"/>
    <s v="Chai"/>
    <n v="14.4"/>
    <x v="0"/>
    <x v="0"/>
    <n v="172.8"/>
    <x v="0"/>
    <d v="1994-12-15T00:00:00"/>
    <s v=""/>
    <s v=""/>
  </r>
  <r>
    <x v="43"/>
    <x v="43"/>
    <s v="Guillermo"/>
    <s v="Fernández"/>
    <s v="Fernández, Guillermo"/>
    <s v="Fernández, Guillermo"/>
    <x v="0"/>
    <s v="no"/>
    <s v="no"/>
    <s v="PERIC"/>
    <n v="10354"/>
    <x v="39"/>
    <x v="39"/>
    <s v="PERIC_10354_Thüringer Rostbratwurst"/>
    <s v="10354"/>
    <s v="10354"/>
    <s v="Thüringer Rostbratwurst"/>
    <n v="99"/>
    <x v="22"/>
    <x v="0"/>
    <n v="396"/>
    <x v="0"/>
    <d v="1994-12-15T00:00:00"/>
    <s v=""/>
    <s v=""/>
  </r>
  <r>
    <x v="55"/>
    <x v="55"/>
    <s v="Thomas"/>
    <s v="Hardy"/>
    <s v="Hardy, Thomas"/>
    <s v="Hardy, Thomas"/>
    <x v="0"/>
    <s v="no"/>
    <s v="no"/>
    <s v="AROUT"/>
    <n v="10355"/>
    <x v="15"/>
    <x v="15"/>
    <s v="AROUT_10355_Guaraná Fantástica"/>
    <s v="10355"/>
    <s v="10355"/>
    <s v="Guaraná Fantástica"/>
    <n v="3.6"/>
    <x v="9"/>
    <x v="0"/>
    <n v="90"/>
    <x v="0"/>
    <d v="1994-12-16T00:00:00"/>
    <s v=""/>
    <s v=""/>
  </r>
  <r>
    <x v="55"/>
    <x v="55"/>
    <s v="Thomas"/>
    <s v="Hardy"/>
    <s v="Hardy, Thomas"/>
    <s v="Hardy, Thomas"/>
    <x v="0"/>
    <s v="no"/>
    <s v="no"/>
    <s v="AROUT"/>
    <n v="10355"/>
    <x v="8"/>
    <x v="8"/>
    <s v="AROUT_10355_Ravioli Angelo"/>
    <s v="10355"/>
    <s v="10355"/>
    <s v="Ravioli Angelo"/>
    <n v="15.6"/>
    <x v="9"/>
    <x v="0"/>
    <n v="390"/>
    <x v="0"/>
    <d v="1994-12-16T00:00:00"/>
    <s v=""/>
    <s v=""/>
  </r>
  <r>
    <x v="35"/>
    <x v="35"/>
    <s v="Rita"/>
    <s v="Müller"/>
    <s v="Müller, Rita"/>
    <s v="Müller, Rita"/>
    <x v="0"/>
    <s v="no"/>
    <s v="no"/>
    <s v="WANDK"/>
    <n v="10356"/>
    <x v="12"/>
    <x v="12"/>
    <s v="WANDK_10356_Gorgonzola Telino"/>
    <s v="10356"/>
    <s v="10356"/>
    <s v="Gorgonzola Telino"/>
    <n v="10"/>
    <x v="12"/>
    <x v="0"/>
    <n v="300"/>
    <x v="0"/>
    <d v="1994-12-19T00:00:00"/>
    <s v=""/>
    <s v=""/>
  </r>
  <r>
    <x v="35"/>
    <x v="35"/>
    <s v="Rita"/>
    <s v="Müller"/>
    <s v="Müller, Rita"/>
    <s v="Müller, Rita"/>
    <x v="0"/>
    <s v="no"/>
    <s v="no"/>
    <s v="WANDK"/>
    <n v="10356"/>
    <x v="16"/>
    <x v="16"/>
    <s v="WANDK_10356_Pâté chinois"/>
    <s v="10356"/>
    <s v="10356"/>
    <s v="Pâté chinois"/>
    <n v="19.2"/>
    <x v="0"/>
    <x v="0"/>
    <n v="230.39999999999998"/>
    <x v="0"/>
    <d v="1994-12-19T00:00:00"/>
    <s v=""/>
    <s v=""/>
  </r>
  <r>
    <x v="35"/>
    <x v="35"/>
    <s v="Rita"/>
    <s v="Müller"/>
    <s v="Müller, Rita"/>
    <s v="Müller, Rita"/>
    <x v="0"/>
    <s v="no"/>
    <s v="no"/>
    <s v="WANDK"/>
    <n v="10356"/>
    <x v="60"/>
    <x v="60"/>
    <s v="WANDK_10356_Gudbrandsdalsost"/>
    <s v="10356"/>
    <s v="10356"/>
    <s v="Gudbrandsdalsost"/>
    <n v="28.8"/>
    <x v="8"/>
    <x v="0"/>
    <n v="576"/>
    <x v="0"/>
    <d v="1994-12-19T00:00:00"/>
    <s v=""/>
    <s v=""/>
  </r>
  <r>
    <x v="28"/>
    <x v="28"/>
    <s v="Carlos"/>
    <s v="González"/>
    <s v="González, Carlos"/>
    <s v="González, Carlos"/>
    <x v="0"/>
    <s v="no"/>
    <s v="no"/>
    <s v="LILAS"/>
    <n v="10357"/>
    <x v="41"/>
    <x v="41"/>
    <s v="LILAS_10357_Ikura"/>
    <s v="10357"/>
    <s v="10357"/>
    <s v="Ikura"/>
    <n v="24.8"/>
    <x v="12"/>
    <x v="3"/>
    <n v="595.20000000000005"/>
    <x v="0"/>
    <d v="1994-12-20T00:00:00"/>
    <s v=""/>
    <s v=""/>
  </r>
  <r>
    <x v="28"/>
    <x v="28"/>
    <s v="Carlos"/>
    <s v="González"/>
    <s v="González, Carlos"/>
    <s v="González, Carlos"/>
    <x v="0"/>
    <s v="no"/>
    <s v="no"/>
    <s v="LILAS"/>
    <n v="10357"/>
    <x v="68"/>
    <x v="68"/>
    <s v="LILAS_10357_Gumbär Gummibärchen"/>
    <s v="10357"/>
    <s v="10357"/>
    <s v="Gumbär Gummibärchen"/>
    <n v="24.9"/>
    <x v="16"/>
    <x v="0"/>
    <n v="398.4"/>
    <x v="0"/>
    <d v="1994-12-20T00:00:00"/>
    <s v=""/>
    <s v=""/>
  </r>
  <r>
    <x v="28"/>
    <x v="28"/>
    <s v="Carlos"/>
    <s v="González"/>
    <s v="González, Carlos"/>
    <s v="González, Carlos"/>
    <x v="0"/>
    <s v="no"/>
    <s v="no"/>
    <s v="LILAS"/>
    <n v="10357"/>
    <x v="11"/>
    <x v="11"/>
    <s v="LILAS_10357_Camembert Pierrot"/>
    <s v="10357"/>
    <s v="10357"/>
    <s v="Camembert Pierrot"/>
    <n v="27.2"/>
    <x v="26"/>
    <x v="3"/>
    <n v="174.08"/>
    <x v="0"/>
    <d v="1994-12-20T00:00:00"/>
    <s v=""/>
    <s v=""/>
  </r>
  <r>
    <x v="53"/>
    <x v="53"/>
    <s v="Annette"/>
    <s v="Roulet"/>
    <s v="Roulet, Annette"/>
    <s v="Roulet, Annette"/>
    <x v="0"/>
    <s v="no"/>
    <s v="no"/>
    <s v="LAMAI"/>
    <n v="10358"/>
    <x v="15"/>
    <x v="15"/>
    <s v="LAMAI_10358_Guaraná Fantástica"/>
    <s v="10358"/>
    <s v="10358"/>
    <s v="Guaraná Fantástica"/>
    <n v="3.6"/>
    <x v="1"/>
    <x v="2"/>
    <n v="34.199999999999996"/>
    <x v="0"/>
    <d v="1994-12-21T00:00:00"/>
    <s v=""/>
    <s v=""/>
  </r>
  <r>
    <x v="53"/>
    <x v="53"/>
    <s v="Annette"/>
    <s v="Roulet"/>
    <s v="Roulet, Annette"/>
    <s v="Roulet, Annette"/>
    <x v="0"/>
    <s v="no"/>
    <s v="no"/>
    <s v="LAMAI"/>
    <n v="10358"/>
    <x v="53"/>
    <x v="53"/>
    <s v="LAMAI_10358_Sasquatch Ale"/>
    <s v="10358"/>
    <s v="10358"/>
    <s v="Sasquatch Ale"/>
    <n v="11.2"/>
    <x v="1"/>
    <x v="2"/>
    <n v="106.39999999999999"/>
    <x v="0"/>
    <d v="1994-12-21T00:00:00"/>
    <s v=""/>
    <s v=""/>
  </r>
  <r>
    <x v="53"/>
    <x v="53"/>
    <s v="Annette"/>
    <s v="Roulet"/>
    <s v="Roulet, Annette"/>
    <s v="Roulet, Annette"/>
    <x v="0"/>
    <s v="no"/>
    <s v="no"/>
    <s v="LAMAI"/>
    <n v="10358"/>
    <x v="20"/>
    <x v="20"/>
    <s v="LAMAI_10358_Inlagd Sill"/>
    <s v="10358"/>
    <s v="10358"/>
    <s v="Inlagd Sill"/>
    <n v="15.2"/>
    <x v="8"/>
    <x v="2"/>
    <n v="288.8"/>
    <x v="0"/>
    <d v="1994-12-21T00:00:00"/>
    <s v=""/>
    <s v=""/>
  </r>
  <r>
    <x v="56"/>
    <x v="56"/>
    <s v="Hari"/>
    <s v="Kumar"/>
    <s v="Kumar, Hari"/>
    <s v="Kumar, Hari"/>
    <x v="0"/>
    <s v="no"/>
    <s v="no"/>
    <s v="SEVES"/>
    <n v="10359"/>
    <x v="19"/>
    <x v="19"/>
    <s v="SEVES_10359_Pavlova"/>
    <s v="10359"/>
    <s v="10359"/>
    <s v="Pavlova"/>
    <n v="13.9"/>
    <x v="34"/>
    <x v="2"/>
    <n v="739.4799999999999"/>
    <x v="0"/>
    <d v="1994-12-22T00:00:00"/>
    <s v=""/>
    <s v=""/>
  </r>
  <r>
    <x v="56"/>
    <x v="56"/>
    <s v="Hari"/>
    <s v="Kumar"/>
    <s v="Kumar, Hari"/>
    <s v="Kumar, Hari"/>
    <x v="0"/>
    <s v="no"/>
    <s v="no"/>
    <s v="SEVES"/>
    <n v="10359"/>
    <x v="12"/>
    <x v="12"/>
    <s v="SEVES_10359_Gorgonzola Telino"/>
    <s v="10359"/>
    <s v="10359"/>
    <s v="Gorgonzola Telino"/>
    <n v="10"/>
    <x v="21"/>
    <x v="2"/>
    <n v="665"/>
    <x v="0"/>
    <d v="1994-12-22T00:00:00"/>
    <s v=""/>
    <s v=""/>
  </r>
  <r>
    <x v="56"/>
    <x v="56"/>
    <s v="Hari"/>
    <s v="Kumar"/>
    <s v="Kumar, Hari"/>
    <s v="Kumar, Hari"/>
    <x v="0"/>
    <s v="no"/>
    <s v="no"/>
    <s v="SEVES"/>
    <n v="10359"/>
    <x v="11"/>
    <x v="11"/>
    <s v="SEVES_10359_Camembert Pierrot"/>
    <s v="10359"/>
    <s v="10359"/>
    <s v="Camembert Pierrot"/>
    <n v="27.2"/>
    <x v="32"/>
    <x v="2"/>
    <n v="2067.1999999999998"/>
    <x v="0"/>
    <d v="1994-12-22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0360"/>
    <x v="44"/>
    <x v="44"/>
    <s v="BLONP_10360_Rössle Sauerkraut"/>
    <s v="10360"/>
    <s v="10360"/>
    <s v="Rössle Sauerkraut"/>
    <n v="36.4"/>
    <x v="12"/>
    <x v="0"/>
    <n v="1092"/>
    <x v="0"/>
    <d v="1994-12-23T00:00:00"/>
    <s v=""/>
    <s v=""/>
  </r>
  <r>
    <x v="15"/>
    <x v="15"/>
    <s v="Frédérique"/>
    <s v="Citeaux"/>
    <s v="Citeaux, Frédérique"/>
    <s v="Citeaux, Frédérique"/>
    <x v="0"/>
    <s v="no"/>
    <s v="moderate"/>
    <s v="BLONP"/>
    <n v="10360"/>
    <x v="39"/>
    <x v="39"/>
    <s v="BLONP_10360_Thüringer Rostbratwurst"/>
    <s v="10360"/>
    <s v="10360"/>
    <s v="Thüringer Rostbratwurst"/>
    <n v="99"/>
    <x v="5"/>
    <x v="0"/>
    <n v="3465"/>
    <x v="0"/>
    <d v="1994-12-23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0360"/>
    <x v="67"/>
    <x v="67"/>
    <s v="BLONP_10360_Côte de Blaye"/>
    <s v="10360"/>
    <s v="10360"/>
    <s v="Côte de Blaye"/>
    <n v="210.8"/>
    <x v="1"/>
    <x v="0"/>
    <n v="2108"/>
    <x v="0"/>
    <d v="1994-12-23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0360"/>
    <x v="14"/>
    <x v="14"/>
    <s v="BLONP_10360_Maxilaku"/>
    <s v="10360"/>
    <s v="10360"/>
    <s v="Maxilaku"/>
    <n v="16"/>
    <x v="5"/>
    <x v="0"/>
    <n v="560"/>
    <x v="0"/>
    <d v="1994-12-23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0360"/>
    <x v="55"/>
    <x v="55"/>
    <s v="BLONP_10360_Tourtière"/>
    <s v="10360"/>
    <s v="10360"/>
    <s v="Tourtière"/>
    <n v="5.9"/>
    <x v="19"/>
    <x v="0"/>
    <n v="165.20000000000002"/>
    <x v="0"/>
    <d v="1994-12-23T00:00:00"/>
    <s v=""/>
    <s v=""/>
  </r>
  <r>
    <x v="21"/>
    <x v="21"/>
    <s v="Horst"/>
    <s v="Kloss"/>
    <s v="Kloss, Horst"/>
    <s v="Kloss, Horst"/>
    <x v="0"/>
    <s v="no"/>
    <s v="no"/>
    <s v="QUICK"/>
    <n v="10361"/>
    <x v="13"/>
    <x v="13"/>
    <s v="QUICK_10361_Chartreuse verte"/>
    <s v="10361"/>
    <s v="10361"/>
    <s v="Chartreuse verte"/>
    <n v="14.4"/>
    <x v="37"/>
    <x v="5"/>
    <n v="699.84"/>
    <x v="0"/>
    <d v="1994-12-23T00:00:00"/>
    <s v=""/>
    <s v=""/>
  </r>
  <r>
    <x v="21"/>
    <x v="21"/>
    <s v="Horst"/>
    <s v="Kloss"/>
    <s v="Kloss, Horst"/>
    <s v="Kloss, Horst"/>
    <x v="0"/>
    <s v="no"/>
    <s v="no"/>
    <s v="QUICK"/>
    <n v="10361"/>
    <x v="11"/>
    <x v="11"/>
    <s v="QUICK_10361_Camembert Pierrot"/>
    <s v="10361"/>
    <s v="10361"/>
    <s v="Camembert Pierrot"/>
    <n v="27.2"/>
    <x v="38"/>
    <x v="5"/>
    <n v="1346.4"/>
    <x v="0"/>
    <d v="1994-12-23T00:00:00"/>
    <s v=""/>
    <s v=""/>
  </r>
  <r>
    <x v="48"/>
    <x v="48"/>
    <s v="Laurence"/>
    <s v="Lebihan"/>
    <s v="Lebihan, Laurence"/>
    <s v="Lebihan, Laurence"/>
    <x v="0"/>
    <s v="no"/>
    <s v="no"/>
    <s v="BONAP"/>
    <n v="10362"/>
    <x v="66"/>
    <x v="66"/>
    <s v="BONAP_10362_NuNuCa Nuß-Nougat-Creme"/>
    <s v="10362"/>
    <s v="10362"/>
    <s v="NuNuCa Nuß-Nougat-Creme"/>
    <n v="11.2"/>
    <x v="13"/>
    <x v="0"/>
    <n v="560"/>
    <x v="0"/>
    <d v="1994-12-26T00:00:00"/>
    <s v=""/>
    <s v=""/>
  </r>
  <r>
    <x v="48"/>
    <x v="48"/>
    <s v="Laurence"/>
    <s v="Lebihan"/>
    <s v="Lebihan, Laurence"/>
    <s v="Lebihan, Laurence"/>
    <x v="0"/>
    <s v="no"/>
    <s v="no"/>
    <s v="BONAP"/>
    <n v="10362"/>
    <x v="4"/>
    <x v="4"/>
    <s v="BONAP_10362_Manjimup Dried Apples"/>
    <s v="10362"/>
    <s v="10362"/>
    <s v="Manjimup Dried Apples"/>
    <n v="42.4"/>
    <x v="8"/>
    <x v="0"/>
    <n v="848"/>
    <x v="0"/>
    <d v="1994-12-26T00:00:00"/>
    <s v=""/>
    <s v=""/>
  </r>
  <r>
    <x v="48"/>
    <x v="48"/>
    <s v="Laurence"/>
    <s v="Lebihan"/>
    <s v="Lebihan, Laurence"/>
    <s v="Lebihan, Laurence"/>
    <x v="0"/>
    <s v="no"/>
    <s v="no"/>
    <s v="BONAP"/>
    <n v="10362"/>
    <x v="55"/>
    <x v="55"/>
    <s v="BONAP_10362_Tourtière"/>
    <s v="10362"/>
    <s v="10362"/>
    <s v="Tourtière"/>
    <n v="5.9"/>
    <x v="23"/>
    <x v="0"/>
    <n v="141.60000000000002"/>
    <x v="0"/>
    <d v="1994-12-26T00:00:00"/>
    <s v=""/>
    <s v=""/>
  </r>
  <r>
    <x v="57"/>
    <x v="57"/>
    <s v="Sven"/>
    <s v="Ottlieb"/>
    <s v="Ottlieb, Sven"/>
    <s v="Ottlieb, Sven"/>
    <x v="0"/>
    <s v="no"/>
    <s v="no"/>
    <s v="DRACD"/>
    <n v="10363"/>
    <x v="12"/>
    <x v="12"/>
    <s v="DRACD_10363_Gorgonzola Telino"/>
    <s v="10363"/>
    <s v="10363"/>
    <s v="Gorgonzola Telino"/>
    <n v="10"/>
    <x v="8"/>
    <x v="0"/>
    <n v="200"/>
    <x v="0"/>
    <d v="1994-12-27T00:00:00"/>
    <s v=""/>
    <s v=""/>
  </r>
  <r>
    <x v="57"/>
    <x v="57"/>
    <s v="Sven"/>
    <s v="Ottlieb"/>
    <s v="Ottlieb, Sven"/>
    <s v="Ottlieb, Sven"/>
    <x v="0"/>
    <s v="no"/>
    <s v="no"/>
    <s v="DRACD"/>
    <n v="10363"/>
    <x v="48"/>
    <x v="48"/>
    <s v="DRACD_10363_Rhönbräu Klosterbier"/>
    <s v="10363"/>
    <s v="10363"/>
    <s v="Rhönbräu Klosterbier"/>
    <n v="6.2"/>
    <x v="0"/>
    <x v="0"/>
    <n v="74.400000000000006"/>
    <x v="0"/>
    <d v="1994-12-27T00:00:00"/>
    <s v=""/>
    <s v=""/>
  </r>
  <r>
    <x v="57"/>
    <x v="57"/>
    <s v="Sven"/>
    <s v="Ottlieb"/>
    <s v="Ottlieb, Sven"/>
    <s v="Ottlieb, Sven"/>
    <x v="0"/>
    <s v="no"/>
    <s v="no"/>
    <s v="DRACD"/>
    <n v="10363"/>
    <x v="38"/>
    <x v="38"/>
    <s v="DRACD_10363_Lakkalikööri"/>
    <s v="10363"/>
    <s v="10363"/>
    <s v="Lakkalikööri"/>
    <n v="14.4"/>
    <x v="0"/>
    <x v="0"/>
    <n v="172.8"/>
    <x v="0"/>
    <d v="1994-12-27T00:00:00"/>
    <s v=""/>
    <s v=""/>
  </r>
  <r>
    <x v="58"/>
    <x v="58"/>
    <s v="Ann"/>
    <s v="Devon"/>
    <s v="Devon, Ann"/>
    <s v="Devon, Ann"/>
    <x v="0"/>
    <s v="no"/>
    <s v="no"/>
    <s v="EASTC"/>
    <n v="10364"/>
    <x v="60"/>
    <x v="60"/>
    <s v="EASTC_10364_Gudbrandsdalsost"/>
    <s v="10364"/>
    <s v="10364"/>
    <s v="Gudbrandsdalsost"/>
    <n v="28.8"/>
    <x v="12"/>
    <x v="0"/>
    <n v="864"/>
    <x v="0"/>
    <d v="1994-12-27T00:00:00"/>
    <s v=""/>
    <s v=""/>
  </r>
  <r>
    <x v="58"/>
    <x v="58"/>
    <s v="Ann"/>
    <s v="Devon"/>
    <s v="Devon, Ann"/>
    <s v="Devon, Ann"/>
    <x v="0"/>
    <s v="no"/>
    <s v="no"/>
    <s v="EASTC"/>
    <n v="10364"/>
    <x v="42"/>
    <x v="42"/>
    <s v="EASTC_10364_Fløtemysost"/>
    <s v="10364"/>
    <s v="10364"/>
    <s v="Fløtemysost"/>
    <n v="17.2"/>
    <x v="2"/>
    <x v="0"/>
    <n v="86"/>
    <x v="0"/>
    <d v="1994-12-27T00:00:00"/>
    <s v=""/>
    <s v=""/>
  </r>
  <r>
    <x v="59"/>
    <x v="59"/>
    <s v="Antonio"/>
    <s v="Moreno"/>
    <s v="Moreno, Antonio"/>
    <s v="Moreno, Antonio"/>
    <x v="0"/>
    <s v="no"/>
    <s v="no"/>
    <s v="ANTON"/>
    <n v="10365"/>
    <x v="0"/>
    <x v="0"/>
    <s v="ANTON_10365_Queso Cabrales"/>
    <s v="10365"/>
    <s v="10365"/>
    <s v="Queso Cabrales"/>
    <n v="16.8"/>
    <x v="23"/>
    <x v="0"/>
    <n v="403.20000000000005"/>
    <x v="0"/>
    <d v="1994-12-28T00:00:00"/>
    <s v=""/>
    <s v=""/>
  </r>
  <r>
    <x v="60"/>
    <x v="60"/>
    <s v="Eduardo"/>
    <s v="Saavedra"/>
    <s v="Saavedra, Eduardo"/>
    <s v="Saavedra, Eduardo"/>
    <x v="0"/>
    <s v="no"/>
    <s v="no"/>
    <s v="GALED"/>
    <n v="10366"/>
    <x v="6"/>
    <x v="6"/>
    <s v="GALED_10366_Louisiana Fiery Hot Pepper Sauce"/>
    <s v="10366"/>
    <s v="10366"/>
    <s v="Louisiana Fiery Hot Pepper Sauce"/>
    <n v="16.8"/>
    <x v="2"/>
    <x v="0"/>
    <n v="84"/>
    <x v="0"/>
    <d v="1994-12-29T00:00:00"/>
    <s v=""/>
    <s v=""/>
  </r>
  <r>
    <x v="60"/>
    <x v="60"/>
    <s v="Eduardo"/>
    <s v="Saavedra"/>
    <s v="Saavedra, Eduardo"/>
    <s v="Saavedra, Eduardo"/>
    <x v="0"/>
    <s v="no"/>
    <s v="no"/>
    <s v="GALED"/>
    <n v="10366"/>
    <x v="23"/>
    <x v="23"/>
    <s v="GALED_10366_Original Frankfurter grüne Soße"/>
    <s v="10366"/>
    <s v="10366"/>
    <s v="Original Frankfurter grüne Soße"/>
    <n v="10.4"/>
    <x v="2"/>
    <x v="0"/>
    <n v="52"/>
    <x v="0"/>
    <d v="1994-12-29T00:00:00"/>
    <s v=""/>
    <s v=""/>
  </r>
  <r>
    <x v="61"/>
    <x v="61"/>
    <s v="Palle"/>
    <s v="Ibsen"/>
    <s v="Ibsen, Palle"/>
    <s v="Ibsen, Palle"/>
    <x v="0"/>
    <s v="no"/>
    <s v="no"/>
    <s v="VAFFE"/>
    <n v="10367"/>
    <x v="53"/>
    <x v="53"/>
    <s v="VAFFE_10367_Sasquatch Ale"/>
    <s v="10367"/>
    <s v="10367"/>
    <s v="Sasquatch Ale"/>
    <n v="11.2"/>
    <x v="20"/>
    <x v="0"/>
    <n v="403.2"/>
    <x v="0"/>
    <d v="1994-12-29T00:00:00"/>
    <s v=""/>
    <s v=""/>
  </r>
  <r>
    <x v="61"/>
    <x v="61"/>
    <s v="Palle"/>
    <s v="Ibsen"/>
    <s v="Ibsen, Palle"/>
    <s v="Ibsen, Palle"/>
    <x v="0"/>
    <s v="no"/>
    <s v="no"/>
    <s v="VAFFE"/>
    <n v="10367"/>
    <x v="55"/>
    <x v="55"/>
    <s v="VAFFE_10367_Tourtière"/>
    <s v="10367"/>
    <s v="10367"/>
    <s v="Tourtière"/>
    <n v="5.9"/>
    <x v="27"/>
    <x v="0"/>
    <n v="106.2"/>
    <x v="0"/>
    <d v="1994-12-29T00:00:00"/>
    <s v=""/>
    <s v=""/>
  </r>
  <r>
    <x v="61"/>
    <x v="61"/>
    <s v="Palle"/>
    <s v="Ibsen"/>
    <s v="Ibsen, Palle"/>
    <s v="Ibsen, Palle"/>
    <x v="0"/>
    <s v="no"/>
    <s v="no"/>
    <s v="VAFFE"/>
    <n v="10367"/>
    <x v="6"/>
    <x v="6"/>
    <s v="VAFFE_10367_Louisiana Fiery Hot Pepper Sauce"/>
    <s v="10367"/>
    <s v="10367"/>
    <s v="Louisiana Fiery Hot Pepper Sauce"/>
    <n v="16.8"/>
    <x v="6"/>
    <x v="0"/>
    <n v="252"/>
    <x v="0"/>
    <d v="1994-12-29T00:00:00"/>
    <s v=""/>
    <s v=""/>
  </r>
  <r>
    <x v="61"/>
    <x v="61"/>
    <s v="Palle"/>
    <s v="Ibsen"/>
    <s v="Ibsen, Palle"/>
    <s v="Ibsen, Palle"/>
    <x v="0"/>
    <s v="no"/>
    <s v="no"/>
    <s v="VAFFE"/>
    <n v="10367"/>
    <x v="23"/>
    <x v="23"/>
    <s v="VAFFE_10367_Original Frankfurter grüne Soße"/>
    <s v="10367"/>
    <s v="10367"/>
    <s v="Original Frankfurter grüne Soße"/>
    <n v="10.4"/>
    <x v="25"/>
    <x v="0"/>
    <n v="72.8"/>
    <x v="0"/>
    <d v="1994-12-29T00:00:00"/>
    <s v=""/>
    <s v=""/>
  </r>
  <r>
    <x v="9"/>
    <x v="9"/>
    <s v="Roland"/>
    <s v="Mendel"/>
    <s v="Mendel, Roland"/>
    <s v="Mendel, Roland"/>
    <x v="0"/>
    <s v="no"/>
    <s v="no"/>
    <s v="ERNSH"/>
    <n v="10368"/>
    <x v="27"/>
    <x v="27"/>
    <s v="ERNSH_10368_Sir Rodney's Scones"/>
    <s v="10368"/>
    <s v="10368"/>
    <s v="Sir Rodney's Scones"/>
    <n v="8"/>
    <x v="2"/>
    <x v="5"/>
    <n v="36"/>
    <x v="0"/>
    <d v="1994-12-30T00:00:00"/>
    <s v=""/>
    <s v=""/>
  </r>
  <r>
    <x v="9"/>
    <x v="9"/>
    <s v="Roland"/>
    <s v="Mendel"/>
    <s v="Mendel, Roland"/>
    <s v="Mendel, Roland"/>
    <x v="0"/>
    <s v="no"/>
    <s v="no"/>
    <s v="ERNSH"/>
    <n v="10368"/>
    <x v="44"/>
    <x v="44"/>
    <s v="ERNSH_10368_Rössle Sauerkraut"/>
    <s v="10368"/>
    <s v="10368"/>
    <s v="Rössle Sauerkraut"/>
    <n v="36.4"/>
    <x v="35"/>
    <x v="5"/>
    <n v="425.88"/>
    <x v="0"/>
    <d v="1994-12-30T00:00:00"/>
    <s v=""/>
    <s v=""/>
  </r>
  <r>
    <x v="9"/>
    <x v="9"/>
    <s v="Roland"/>
    <s v="Mendel"/>
    <s v="Mendel, Roland"/>
    <s v="Mendel, Roland"/>
    <x v="0"/>
    <s v="no"/>
    <s v="no"/>
    <s v="ERNSH"/>
    <n v="10368"/>
    <x v="8"/>
    <x v="8"/>
    <s v="ERNSH_10368_Ravioli Angelo"/>
    <s v="10368"/>
    <s v="10368"/>
    <s v="Ravioli Angelo"/>
    <n v="15.6"/>
    <x v="9"/>
    <x v="0"/>
    <n v="390"/>
    <x v="0"/>
    <d v="1994-12-30T00:00:00"/>
    <s v=""/>
    <s v=""/>
  </r>
  <r>
    <x v="9"/>
    <x v="9"/>
    <s v="Roland"/>
    <s v="Mendel"/>
    <s v="Mendel, Roland"/>
    <s v="Mendel, Roland"/>
    <x v="0"/>
    <s v="no"/>
    <s v="no"/>
    <s v="ERNSH"/>
    <n v="10368"/>
    <x v="58"/>
    <x v="58"/>
    <s v="ERNSH_10368_Wimmers gute Semmelknödel"/>
    <s v="10368"/>
    <s v="10368"/>
    <s v="Wimmers gute Semmelknödel"/>
    <n v="26.6"/>
    <x v="5"/>
    <x v="5"/>
    <n v="837.9"/>
    <x v="0"/>
    <d v="1994-12-30T00:00:00"/>
    <s v=""/>
    <s v=""/>
  </r>
  <r>
    <x v="20"/>
    <x v="20"/>
    <s v="Art"/>
    <s v="Braunschweiger"/>
    <s v="Braunschweiger, Art"/>
    <s v="Braunschweiger, Art"/>
    <x v="0"/>
    <s v="no"/>
    <s v="no"/>
    <s v="SPLIR"/>
    <n v="10369"/>
    <x v="39"/>
    <x v="39"/>
    <s v="SPLIR_10369_Thüringer Rostbratwurst"/>
    <s v="10369"/>
    <s v="10369"/>
    <s v="Thüringer Rostbratwurst"/>
    <n v="99"/>
    <x v="8"/>
    <x v="0"/>
    <n v="1980"/>
    <x v="0"/>
    <d v="1995-01-02T00:00:00"/>
    <s v=""/>
    <s v=""/>
  </r>
  <r>
    <x v="20"/>
    <x v="20"/>
    <s v="Art"/>
    <s v="Braunschweiger"/>
    <s v="Braunschweiger, Art"/>
    <s v="Braunschweiger, Art"/>
    <x v="0"/>
    <s v="no"/>
    <s v="no"/>
    <s v="SPLIR"/>
    <n v="10369"/>
    <x v="33"/>
    <x v="33"/>
    <s v="SPLIR_10369_Gnocchi di nonna Alice"/>
    <s v="10369"/>
    <s v="10369"/>
    <s v="Gnocchi di nonna Alice"/>
    <n v="30.4"/>
    <x v="27"/>
    <x v="4"/>
    <n v="410.4"/>
    <x v="0"/>
    <d v="1995-01-02T00:00:00"/>
    <s v=""/>
    <s v=""/>
  </r>
  <r>
    <x v="5"/>
    <x v="5"/>
    <s v="Yang"/>
    <s v="Wang"/>
    <s v="Wang, Yang"/>
    <s v="Wang, Yang"/>
    <x v="0"/>
    <s v="no"/>
    <s v="no"/>
    <s v="CHOPS"/>
    <n v="10370"/>
    <x v="52"/>
    <x v="52"/>
    <s v="CHOPS_10370_Chai"/>
    <s v="10370"/>
    <s v="10370"/>
    <s v="Chai"/>
    <n v="14.4"/>
    <x v="6"/>
    <x v="1"/>
    <n v="183.6"/>
    <x v="0"/>
    <d v="1995-01-03T00:00:00"/>
    <s v=""/>
    <s v=""/>
  </r>
  <r>
    <x v="5"/>
    <x v="5"/>
    <s v="Yang"/>
    <s v="Wang"/>
    <s v="Wang, Yang"/>
    <s v="Wang, Yang"/>
    <x v="0"/>
    <s v="no"/>
    <s v="no"/>
    <s v="CHOPS"/>
    <n v="10370"/>
    <x v="58"/>
    <x v="58"/>
    <s v="CHOPS_10370_Wimmers gute Semmelknödel"/>
    <s v="10370"/>
    <s v="10370"/>
    <s v="Wimmers gute Semmelknödel"/>
    <n v="26.6"/>
    <x v="12"/>
    <x v="0"/>
    <n v="798"/>
    <x v="0"/>
    <d v="1995-01-03T00:00:00"/>
    <s v=""/>
    <s v=""/>
  </r>
  <r>
    <x v="5"/>
    <x v="5"/>
    <s v="Yang"/>
    <s v="Wang"/>
    <s v="Wang, Yang"/>
    <s v="Wang, Yang"/>
    <x v="0"/>
    <s v="no"/>
    <s v="no"/>
    <s v="CHOPS"/>
    <n v="10370"/>
    <x v="17"/>
    <x v="17"/>
    <s v="CHOPS_10370_Longlife Tofu"/>
    <s v="10370"/>
    <s v="10370"/>
    <s v="Longlife Tofu"/>
    <n v="8"/>
    <x v="8"/>
    <x v="1"/>
    <n v="136"/>
    <x v="0"/>
    <d v="1995-01-03T00:00:00"/>
    <s v=""/>
    <s v=""/>
  </r>
  <r>
    <x v="53"/>
    <x v="53"/>
    <s v="Annette"/>
    <s v="Roulet"/>
    <s v="Roulet, Annette"/>
    <s v="Roulet, Annette"/>
    <x v="0"/>
    <s v="no"/>
    <s v="no"/>
    <s v="LAMAI"/>
    <n v="10371"/>
    <x v="20"/>
    <x v="20"/>
    <s v="LAMAI_10371_Inlagd Sill"/>
    <s v="10371"/>
    <s v="10371"/>
    <s v="Inlagd Sill"/>
    <n v="15.2"/>
    <x v="7"/>
    <x v="3"/>
    <n v="72.959999999999994"/>
    <x v="0"/>
    <d v="1995-01-03T00:00:00"/>
    <s v=""/>
    <s v=""/>
  </r>
  <r>
    <x v="62"/>
    <x v="62"/>
    <s v="Lúcia"/>
    <s v="Carvalho"/>
    <s v="Carvalho, Lúcia"/>
    <s v="Carvalho, Lúcia"/>
    <x v="0"/>
    <s v="no"/>
    <s v="no"/>
    <s v="QUEEN"/>
    <n v="10372"/>
    <x v="9"/>
    <x v="9"/>
    <s v="QUEEN_10372_Sir Rodney's Marmalade"/>
    <s v="10372"/>
    <s v="10372"/>
    <s v="Sir Rodney's Marmalade"/>
    <n v="64.8"/>
    <x v="0"/>
    <x v="4"/>
    <n v="583.19999999999993"/>
    <x v="0"/>
    <d v="1995-01-04T00:00:00"/>
    <s v=""/>
    <s v=""/>
  </r>
  <r>
    <x v="62"/>
    <x v="62"/>
    <s v="Lúcia"/>
    <s v="Carvalho"/>
    <s v="Carvalho, Lúcia"/>
    <s v="Carvalho, Lúcia"/>
    <x v="1"/>
    <s v="yes"/>
    <s v="yes"/>
    <s v="QUEEN"/>
    <n v="10372"/>
    <x v="67"/>
    <x v="67"/>
    <s v="QUEEN_10372_Côte de Blaye"/>
    <s v="10372"/>
    <s v="10372"/>
    <s v="Côte de Blaye"/>
    <n v="210.8"/>
    <x v="4"/>
    <x v="4"/>
    <n v="6324"/>
    <x v="0"/>
    <d v="1995-01-04T00:00:00"/>
    <s v=""/>
    <s v=""/>
  </r>
  <r>
    <x v="62"/>
    <x v="62"/>
    <s v="Lúcia"/>
    <s v="Carvalho"/>
    <s v="Carvalho, Lúcia"/>
    <s v="Carvalho, Lúcia"/>
    <x v="0"/>
    <s v="no"/>
    <s v="no"/>
    <s v="QUEEN"/>
    <n v="10372"/>
    <x v="11"/>
    <x v="11"/>
    <s v="QUEEN_10372_Camembert Pierrot"/>
    <s v="10372"/>
    <s v="10372"/>
    <s v="Camembert Pierrot"/>
    <n v="27.2"/>
    <x v="21"/>
    <x v="4"/>
    <n v="1428"/>
    <x v="0"/>
    <d v="1995-01-04T00:00:00"/>
    <s v=""/>
    <s v=""/>
  </r>
  <r>
    <x v="62"/>
    <x v="62"/>
    <s v="Lúcia"/>
    <s v="Carvalho"/>
    <s v="Carvalho, Lúcia"/>
    <s v="Carvalho, Lúcia"/>
    <x v="0"/>
    <s v="no"/>
    <s v="no"/>
    <s v="QUEEN"/>
    <n v="10372"/>
    <x v="2"/>
    <x v="2"/>
    <s v="QUEEN_10372_Mozzarella di Giovanni"/>
    <s v="10372"/>
    <s v="10372"/>
    <s v="Mozzarella di Giovanni"/>
    <n v="27.8"/>
    <x v="10"/>
    <x v="4"/>
    <n v="875.7"/>
    <x v="0"/>
    <d v="1995-01-04T00:00:00"/>
    <s v=""/>
    <s v=""/>
  </r>
  <r>
    <x v="34"/>
    <x v="34"/>
    <s v="Patricia"/>
    <s v="McKenna"/>
    <s v="McKenna, Patricia"/>
    <s v="McKenna, Patricia"/>
    <x v="0"/>
    <s v="no"/>
    <s v="no"/>
    <s v="HUNGO"/>
    <n v="10373"/>
    <x v="64"/>
    <x v="64"/>
    <s v="HUNGO_10373_Escargots de Bourgogne"/>
    <s v="10373"/>
    <s v="10373"/>
    <s v="Escargots de Bourgogne"/>
    <n v="10.6"/>
    <x v="32"/>
    <x v="3"/>
    <n v="678.40000000000009"/>
    <x v="0"/>
    <d v="1995-01-05T00:00:00"/>
    <s v=""/>
    <s v=""/>
  </r>
  <r>
    <x v="34"/>
    <x v="34"/>
    <s v="Patricia"/>
    <s v="McKenna"/>
    <s v="McKenna, Patricia"/>
    <s v="McKenna, Patricia"/>
    <x v="0"/>
    <s v="no"/>
    <s v="no"/>
    <s v="HUNGO"/>
    <n v="10373"/>
    <x v="42"/>
    <x v="42"/>
    <s v="HUNGO_10373_Fløtemysost"/>
    <s v="10373"/>
    <s v="10373"/>
    <s v="Fløtemysost"/>
    <n v="17.2"/>
    <x v="13"/>
    <x v="3"/>
    <n v="688"/>
    <x v="0"/>
    <d v="1995-01-05T00:00:00"/>
    <s v=""/>
    <s v=""/>
  </r>
  <r>
    <x v="63"/>
    <x v="63"/>
    <s v="Zbyszek"/>
    <s v="Piestrzeniewicz"/>
    <s v="Piestrzeniewicz, Zbyszek"/>
    <s v="Piestrzeniewicz, Zbyszek"/>
    <x v="0"/>
    <s v="no"/>
    <s v="no"/>
    <s v="WOLZA"/>
    <n v="10374"/>
    <x v="12"/>
    <x v="12"/>
    <s v="WOLZA_10374_Gorgonzola Telino"/>
    <s v="10374"/>
    <s v="10374"/>
    <s v="Gorgonzola Telino"/>
    <n v="10"/>
    <x v="12"/>
    <x v="0"/>
    <n v="300"/>
    <x v="0"/>
    <d v="1995-01-05T00:00:00"/>
    <s v=""/>
    <s v=""/>
  </r>
  <r>
    <x v="63"/>
    <x v="63"/>
    <s v="Zbyszek"/>
    <s v="Piestrzeniewicz"/>
    <s v="Piestrzeniewicz, Zbyszek"/>
    <s v="Piestrzeniewicz, Zbyszek"/>
    <x v="0"/>
    <s v="no"/>
    <s v="no"/>
    <s v="WOLZA"/>
    <n v="10374"/>
    <x v="64"/>
    <x v="64"/>
    <s v="WOLZA_10374_Escargots de Bourgogne"/>
    <s v="10374"/>
    <s v="10374"/>
    <s v="Escargots de Bourgogne"/>
    <n v="10.6"/>
    <x v="6"/>
    <x v="0"/>
    <n v="159"/>
    <x v="0"/>
    <d v="1995-01-05T00:00:00"/>
    <s v=""/>
    <s v=""/>
  </r>
  <r>
    <x v="64"/>
    <x v="64"/>
    <s v="Yoshi"/>
    <s v="Latimer"/>
    <s v="Latimer, Yoshi"/>
    <s v="Latimer, Yoshi"/>
    <x v="0"/>
    <s v="no"/>
    <s v="no"/>
    <s v="HUNGC"/>
    <n v="10375"/>
    <x v="3"/>
    <x v="3"/>
    <s v="HUNGC_10375_Tofu"/>
    <s v="10375"/>
    <s v="10375"/>
    <s v="Tofu"/>
    <n v="18.600000000000001"/>
    <x v="6"/>
    <x v="0"/>
    <n v="279"/>
    <x v="0"/>
    <d v="1995-01-06T00:00:00"/>
    <s v=""/>
    <s v=""/>
  </r>
  <r>
    <x v="64"/>
    <x v="64"/>
    <s v="Yoshi"/>
    <s v="Latimer"/>
    <s v="Latimer, Yoshi"/>
    <s v="Latimer, Yoshi"/>
    <x v="0"/>
    <s v="no"/>
    <s v="no"/>
    <s v="HUNGC"/>
    <n v="10375"/>
    <x v="55"/>
    <x v="55"/>
    <s v="HUNGC_10375_Tourtière"/>
    <s v="10375"/>
    <s v="10375"/>
    <s v="Tourtière"/>
    <n v="5.9"/>
    <x v="1"/>
    <x v="0"/>
    <n v="59"/>
    <x v="0"/>
    <d v="1995-01-06T00:00:00"/>
    <s v=""/>
    <s v=""/>
  </r>
  <r>
    <x v="49"/>
    <x v="49"/>
    <s v="Jean"/>
    <s v="Fresnière"/>
    <s v="Fresnière, Jean"/>
    <s v="Fresnière, Jean"/>
    <x v="0"/>
    <s v="no"/>
    <s v="no"/>
    <s v="MEREP"/>
    <n v="10376"/>
    <x v="12"/>
    <x v="12"/>
    <s v="MEREP_10376_Gorgonzola Telino"/>
    <s v="10376"/>
    <s v="10376"/>
    <s v="Gorgonzola Telino"/>
    <n v="10"/>
    <x v="10"/>
    <x v="2"/>
    <n v="399"/>
    <x v="0"/>
    <d v="1995-01-09T00:00:00"/>
    <s v=""/>
    <s v=""/>
  </r>
  <r>
    <x v="56"/>
    <x v="56"/>
    <s v="Hari"/>
    <s v="Kumar"/>
    <s v="Kumar, Hari"/>
    <s v="Kumar, Hari"/>
    <x v="0"/>
    <s v="no"/>
    <s v="no"/>
    <s v="SEVES"/>
    <n v="10377"/>
    <x v="44"/>
    <x v="44"/>
    <s v="SEVES_10377_Rössle Sauerkraut"/>
    <s v="10377"/>
    <s v="10377"/>
    <s v="Rössle Sauerkraut"/>
    <n v="36.4"/>
    <x v="8"/>
    <x v="1"/>
    <n v="618.79999999999995"/>
    <x v="0"/>
    <d v="1995-01-09T00:00:00"/>
    <s v=""/>
    <s v=""/>
  </r>
  <r>
    <x v="56"/>
    <x v="56"/>
    <s v="Hari"/>
    <s v="Kumar"/>
    <s v="Kumar, Hari"/>
    <s v="Kumar, Hari"/>
    <x v="0"/>
    <s v="no"/>
    <s v="no"/>
    <s v="SEVES"/>
    <n v="10377"/>
    <x v="13"/>
    <x v="13"/>
    <s v="SEVES_10377_Chartreuse verte"/>
    <s v="10377"/>
    <s v="10377"/>
    <s v="Chartreuse verte"/>
    <n v="14.4"/>
    <x v="8"/>
    <x v="1"/>
    <n v="244.79999999999998"/>
    <x v="0"/>
    <d v="1995-01-09T00:00:00"/>
    <s v=""/>
    <s v=""/>
  </r>
  <r>
    <x v="14"/>
    <x v="14"/>
    <s v="Maria"/>
    <s v="Larsson"/>
    <s v="Larsson, Maria"/>
    <s v="Larsson, Maria"/>
    <x v="0"/>
    <s v="no"/>
    <s v="no"/>
    <s v="FOLKO"/>
    <n v="10378"/>
    <x v="42"/>
    <x v="42"/>
    <s v="FOLKO_10378_Fløtemysost"/>
    <s v="10378"/>
    <s v="10378"/>
    <s v="Fløtemysost"/>
    <n v="17.2"/>
    <x v="7"/>
    <x v="0"/>
    <n v="103.19999999999999"/>
    <x v="0"/>
    <d v="1995-01-10T00:00:00"/>
    <s v=""/>
    <s v=""/>
  </r>
  <r>
    <x v="12"/>
    <x v="12"/>
    <s v="Bernardo"/>
    <s v="Batista"/>
    <s v="Batista, Bernardo"/>
    <s v="Batista, Bernardo"/>
    <x v="0"/>
    <s v="no"/>
    <s v="no"/>
    <s v="QUEDE"/>
    <n v="10379"/>
    <x v="5"/>
    <x v="5"/>
    <s v="QUEDE_10379_Jack's New England Clam Chowder"/>
    <s v="10379"/>
    <s v="10379"/>
    <s v="Jack's New England Clam Chowder"/>
    <n v="7.7"/>
    <x v="26"/>
    <x v="5"/>
    <n v="55.440000000000005"/>
    <x v="0"/>
    <d v="1995-01-11T00:00:00"/>
    <s v=""/>
    <s v=""/>
  </r>
  <r>
    <x v="12"/>
    <x v="12"/>
    <s v="Bernardo"/>
    <s v="Batista"/>
    <s v="Batista, Bernardo"/>
    <s v="Batista, Bernardo"/>
    <x v="0"/>
    <s v="no"/>
    <s v="no"/>
    <s v="QUEDE"/>
    <n v="10379"/>
    <x v="46"/>
    <x v="46"/>
    <s v="QUEDE_10379_Vegie-spread"/>
    <s v="10379"/>
    <s v="10379"/>
    <s v="Vegie-spread"/>
    <n v="35.1"/>
    <x v="16"/>
    <x v="5"/>
    <n v="505.44000000000005"/>
    <x v="0"/>
    <d v="1995-01-11T00:00:00"/>
    <s v=""/>
    <s v=""/>
  </r>
  <r>
    <x v="12"/>
    <x v="12"/>
    <s v="Bernardo"/>
    <s v="Batista"/>
    <s v="Batista, Bernardo"/>
    <s v="Batista, Bernardo"/>
    <x v="0"/>
    <s v="no"/>
    <s v="no"/>
    <s v="QUEDE"/>
    <n v="10379"/>
    <x v="6"/>
    <x v="6"/>
    <s v="QUEDE_10379_Louisiana Fiery Hot Pepper Sauce"/>
    <s v="10379"/>
    <s v="10379"/>
    <s v="Louisiana Fiery Hot Pepper Sauce"/>
    <n v="16.8"/>
    <x v="8"/>
    <x v="5"/>
    <n v="302.40000000000003"/>
    <x v="0"/>
    <d v="1995-01-11T00:00:00"/>
    <s v=""/>
    <s v=""/>
  </r>
  <r>
    <x v="34"/>
    <x v="34"/>
    <s v="Patricia"/>
    <s v="McKenna"/>
    <s v="McKenna, Patricia"/>
    <s v="McKenna, Patricia"/>
    <x v="0"/>
    <s v="no"/>
    <s v="no"/>
    <s v="HUNGO"/>
    <n v="10380"/>
    <x v="34"/>
    <x v="34"/>
    <s v="HUNGO_10380_Nord-Ost Matjeshering"/>
    <s v="10380"/>
    <s v="10380"/>
    <s v="Nord-Ost Matjeshering"/>
    <n v="20.7"/>
    <x v="27"/>
    <x v="5"/>
    <n v="335.34"/>
    <x v="0"/>
    <d v="1995-01-12T00:00:00"/>
    <s v=""/>
    <s v=""/>
  </r>
  <r>
    <x v="34"/>
    <x v="34"/>
    <s v="Patricia"/>
    <s v="McKenna"/>
    <s v="McKenna, Patricia"/>
    <s v="McKenna, Patricia"/>
    <x v="0"/>
    <s v="no"/>
    <s v="no"/>
    <s v="HUNGO"/>
    <n v="10380"/>
    <x v="22"/>
    <x v="22"/>
    <s v="HUNGO_10380_Perth Pasties"/>
    <s v="10380"/>
    <s v="10380"/>
    <s v="Perth Pasties"/>
    <n v="26.2"/>
    <x v="8"/>
    <x v="5"/>
    <n v="471.6"/>
    <x v="0"/>
    <d v="1995-01-12T00:00:00"/>
    <s v=""/>
    <s v=""/>
  </r>
  <r>
    <x v="34"/>
    <x v="34"/>
    <s v="Patricia"/>
    <s v="McKenna"/>
    <s v="McKenna, Patricia"/>
    <s v="McKenna, Patricia"/>
    <x v="0"/>
    <s v="no"/>
    <s v="no"/>
    <s v="HUNGO"/>
    <n v="10380"/>
    <x v="11"/>
    <x v="11"/>
    <s v="HUNGO_10380_Camembert Pierrot"/>
    <s v="10380"/>
    <s v="10380"/>
    <s v="Camembert Pierrot"/>
    <n v="27.2"/>
    <x v="7"/>
    <x v="5"/>
    <n v="146.88"/>
    <x v="0"/>
    <d v="1995-01-12T00:00:00"/>
    <s v=""/>
    <s v=""/>
  </r>
  <r>
    <x v="34"/>
    <x v="34"/>
    <s v="Patricia"/>
    <s v="McKenna"/>
    <s v="McKenna, Patricia"/>
    <s v="McKenna, Patricia"/>
    <x v="0"/>
    <s v="no"/>
    <s v="no"/>
    <s v="HUNGO"/>
    <n v="10380"/>
    <x v="30"/>
    <x v="30"/>
    <s v="HUNGO_10380_Outback Lager"/>
    <s v="10380"/>
    <s v="10380"/>
    <s v="Outback Lager"/>
    <n v="12"/>
    <x v="12"/>
    <x v="0"/>
    <n v="360"/>
    <x v="0"/>
    <d v="1995-01-12T00:00:00"/>
    <s v=""/>
    <s v=""/>
  </r>
  <r>
    <x v="28"/>
    <x v="28"/>
    <s v="Carlos"/>
    <s v="González"/>
    <s v="González, Carlos"/>
    <s v="González, Carlos"/>
    <x v="0"/>
    <s v="no"/>
    <s v="no"/>
    <s v="LILAS"/>
    <n v="10381"/>
    <x v="17"/>
    <x v="17"/>
    <s v="LILAS_10381_Longlife Tofu"/>
    <s v="10381"/>
    <s v="10381"/>
    <s v="Longlife Tofu"/>
    <n v="8"/>
    <x v="31"/>
    <x v="0"/>
    <n v="112"/>
    <x v="0"/>
    <d v="1995-01-12T00:00:00"/>
    <s v=""/>
    <s v=""/>
  </r>
  <r>
    <x v="9"/>
    <x v="9"/>
    <s v="Roland"/>
    <s v="Mendel"/>
    <s v="Mendel, Roland"/>
    <s v="Mendel, Roland"/>
    <x v="0"/>
    <s v="no"/>
    <s v="no"/>
    <s v="ERNSH"/>
    <n v="10382"/>
    <x v="25"/>
    <x v="25"/>
    <s v="ERNSH_10382_Chef Anton's Gumbo Mix"/>
    <s v="10382"/>
    <s v="10382"/>
    <s v="Chef Anton's Gumbo Mix"/>
    <n v="17"/>
    <x v="39"/>
    <x v="0"/>
    <n v="544"/>
    <x v="0"/>
    <d v="1995-01-13T00:00:00"/>
    <s v=""/>
    <s v=""/>
  </r>
  <r>
    <x v="9"/>
    <x v="9"/>
    <s v="Roland"/>
    <s v="Mendel"/>
    <s v="Mendel, Roland"/>
    <s v="Mendel, Roland"/>
    <x v="0"/>
    <s v="no"/>
    <s v="no"/>
    <s v="ERNSH"/>
    <n v="10382"/>
    <x v="59"/>
    <x v="59"/>
    <s v="ERNSH_10382_Carnarvon Tigers"/>
    <s v="10382"/>
    <s v="10382"/>
    <s v="Carnarvon Tigers"/>
    <n v="50"/>
    <x v="3"/>
    <x v="0"/>
    <n v="450"/>
    <x v="0"/>
    <d v="1995-01-13T00:00:00"/>
    <s v=""/>
    <s v=""/>
  </r>
  <r>
    <x v="9"/>
    <x v="9"/>
    <s v="Roland"/>
    <s v="Mendel"/>
    <s v="Mendel, Roland"/>
    <s v="Mendel, Roland"/>
    <x v="0"/>
    <s v="no"/>
    <s v="no"/>
    <s v="ERNSH"/>
    <n v="10382"/>
    <x v="39"/>
    <x v="39"/>
    <s v="ERNSH_10382_Thüringer Rostbratwurst"/>
    <s v="10382"/>
    <s v="10382"/>
    <s v="Thüringer Rostbratwurst"/>
    <n v="99"/>
    <x v="31"/>
    <x v="0"/>
    <n v="1386"/>
    <x v="0"/>
    <d v="1995-01-13T00:00:00"/>
    <s v=""/>
    <s v=""/>
  </r>
  <r>
    <x v="9"/>
    <x v="9"/>
    <s v="Roland"/>
    <s v="Mendel"/>
    <s v="Mendel, Roland"/>
    <s v="Mendel, Roland"/>
    <x v="0"/>
    <s v="no"/>
    <s v="no"/>
    <s v="ERNSH"/>
    <n v="10382"/>
    <x v="10"/>
    <x v="10"/>
    <s v="ERNSH_10382_Geitost"/>
    <s v="10382"/>
    <s v="10382"/>
    <s v="Geitost"/>
    <n v="2"/>
    <x v="18"/>
    <x v="0"/>
    <n v="120"/>
    <x v="0"/>
    <d v="1995-01-13T00:00:00"/>
    <s v=""/>
    <s v=""/>
  </r>
  <r>
    <x v="9"/>
    <x v="9"/>
    <s v="Roland"/>
    <s v="Mendel"/>
    <s v="Mendel, Roland"/>
    <s v="Mendel, Roland"/>
    <x v="0"/>
    <s v="no"/>
    <s v="no"/>
    <s v="ERNSH"/>
    <n v="10382"/>
    <x v="17"/>
    <x v="17"/>
    <s v="ERNSH_10382_Longlife Tofu"/>
    <s v="10382"/>
    <s v="10382"/>
    <s v="Longlife Tofu"/>
    <n v="8"/>
    <x v="13"/>
    <x v="0"/>
    <n v="400"/>
    <x v="0"/>
    <d v="1995-01-13T00:00:00"/>
    <s v=""/>
    <s v=""/>
  </r>
  <r>
    <x v="55"/>
    <x v="55"/>
    <s v="Thomas"/>
    <s v="Hardy"/>
    <s v="Hardy, Thomas"/>
    <s v="Hardy, Thomas"/>
    <x v="0"/>
    <s v="no"/>
    <s v="no"/>
    <s v="AROUT"/>
    <n v="10383"/>
    <x v="43"/>
    <x v="43"/>
    <s v="AROUT_10383_Konbu"/>
    <s v="10383"/>
    <s v="10383"/>
    <s v="Konbu"/>
    <n v="4.8"/>
    <x v="8"/>
    <x v="0"/>
    <n v="96"/>
    <x v="0"/>
    <d v="1995-01-16T00:00:00"/>
    <s v=""/>
    <s v=""/>
  </r>
  <r>
    <x v="55"/>
    <x v="55"/>
    <s v="Thomas"/>
    <s v="Hardy"/>
    <s v="Hardy, Thomas"/>
    <s v="Hardy, Thomas"/>
    <x v="0"/>
    <s v="no"/>
    <s v="no"/>
    <s v="AROUT"/>
    <n v="10383"/>
    <x v="72"/>
    <x v="72"/>
    <s v="AROUT_10383_Valkoinen suklaa"/>
    <s v="10383"/>
    <s v="10383"/>
    <s v="Valkoinen suklaa"/>
    <n v="13"/>
    <x v="6"/>
    <x v="0"/>
    <n v="195"/>
    <x v="0"/>
    <d v="1995-01-16T00:00:00"/>
    <s v=""/>
    <s v=""/>
  </r>
  <r>
    <x v="55"/>
    <x v="55"/>
    <s v="Thomas"/>
    <s v="Hardy"/>
    <s v="Hardy, Thomas"/>
    <s v="Hardy, Thomas"/>
    <x v="0"/>
    <s v="no"/>
    <s v="no"/>
    <s v="AROUT"/>
    <n v="10383"/>
    <x v="33"/>
    <x v="33"/>
    <s v="AROUT_10383_Gnocchi di nonna Alice"/>
    <s v="10383"/>
    <s v="10383"/>
    <s v="Gnocchi di nonna Alice"/>
    <n v="30.4"/>
    <x v="8"/>
    <x v="0"/>
    <n v="608"/>
    <x v="0"/>
    <d v="1995-01-16T00:00:00"/>
    <s v=""/>
    <s v=""/>
  </r>
  <r>
    <x v="25"/>
    <x v="25"/>
    <s v="Christina"/>
    <s v="Berglund"/>
    <s v="Berglund, Christina"/>
    <s v="Berglund, Christina"/>
    <x v="0"/>
    <s v="no"/>
    <s v="no"/>
    <s v="BERGS"/>
    <n v="10384"/>
    <x v="9"/>
    <x v="9"/>
    <s v="BERGS_10384_Sir Rodney's Marmalade"/>
    <s v="10384"/>
    <s v="10384"/>
    <s v="Sir Rodney's Marmalade"/>
    <n v="64.8"/>
    <x v="19"/>
    <x v="0"/>
    <n v="1814.3999999999999"/>
    <x v="0"/>
    <d v="1995-01-16T00:00:00"/>
    <s v=""/>
    <s v=""/>
  </r>
  <r>
    <x v="25"/>
    <x v="25"/>
    <s v="Christina"/>
    <s v="Berglund"/>
    <s v="Berglund, Christina"/>
    <s v="Berglund, Christina"/>
    <x v="0"/>
    <s v="no"/>
    <s v="no"/>
    <s v="BERGS"/>
    <n v="10384"/>
    <x v="11"/>
    <x v="11"/>
    <s v="BERGS_10384_Camembert Pierrot"/>
    <s v="10384"/>
    <s v="10384"/>
    <s v="Camembert Pierrot"/>
    <n v="27.2"/>
    <x v="6"/>
    <x v="0"/>
    <n v="408"/>
    <x v="0"/>
    <d v="1995-01-16T00:00:00"/>
    <s v=""/>
    <s v=""/>
  </r>
  <r>
    <x v="20"/>
    <x v="20"/>
    <s v="Art"/>
    <s v="Braunschweiger"/>
    <s v="Braunschweiger, Art"/>
    <s v="Braunschweiger, Art"/>
    <x v="0"/>
    <s v="no"/>
    <s v="no"/>
    <s v="SPLIR"/>
    <n v="10385"/>
    <x v="32"/>
    <x v="32"/>
    <s v="SPLIR_10385_Uncle Bob's Organic Dried Pears"/>
    <s v="10385"/>
    <s v="10385"/>
    <s v="Uncle Bob's Organic Dried Pears"/>
    <n v="24"/>
    <x v="1"/>
    <x v="3"/>
    <n v="192"/>
    <x v="0"/>
    <d v="1995-01-17T00:00:00"/>
    <s v=""/>
    <s v=""/>
  </r>
  <r>
    <x v="20"/>
    <x v="20"/>
    <s v="Art"/>
    <s v="Braunschweiger"/>
    <s v="Braunschweiger, Art"/>
    <s v="Braunschweiger, Art"/>
    <x v="0"/>
    <s v="no"/>
    <s v="no"/>
    <s v="SPLIR"/>
    <n v="10385"/>
    <x v="11"/>
    <x v="11"/>
    <s v="SPLIR_10385_Camembert Pierrot"/>
    <s v="10385"/>
    <s v="10385"/>
    <s v="Camembert Pierrot"/>
    <n v="27.2"/>
    <x v="8"/>
    <x v="3"/>
    <n v="435.20000000000005"/>
    <x v="0"/>
    <d v="1995-01-17T00:00:00"/>
    <s v=""/>
    <s v=""/>
  </r>
  <r>
    <x v="20"/>
    <x v="20"/>
    <s v="Art"/>
    <s v="Braunschweiger"/>
    <s v="Braunschweiger, Art"/>
    <s v="Braunschweiger, Art"/>
    <x v="0"/>
    <s v="no"/>
    <s v="no"/>
    <s v="SPLIR"/>
    <n v="10385"/>
    <x v="56"/>
    <x v="56"/>
    <s v="SPLIR_10385_Scottish Longbreads"/>
    <s v="10385"/>
    <s v="10385"/>
    <s v="Scottish Longbreads"/>
    <n v="10"/>
    <x v="26"/>
    <x v="3"/>
    <n v="64"/>
    <x v="0"/>
    <d v="1995-01-17T00:00:00"/>
    <s v=""/>
    <s v=""/>
  </r>
  <r>
    <x v="52"/>
    <x v="52"/>
    <s v="Aria"/>
    <s v="Cruz"/>
    <s v="Cruz, Aria"/>
    <s v="Cruz, Aria"/>
    <x v="0"/>
    <s v="no"/>
    <s v="no"/>
    <s v="FAMIA"/>
    <n v="10386"/>
    <x v="15"/>
    <x v="15"/>
    <s v="FAMIA_10386_Guaraná Fantástica"/>
    <s v="10386"/>
    <s v="10386"/>
    <s v="Guaraná Fantástica"/>
    <n v="3.6"/>
    <x v="6"/>
    <x v="0"/>
    <n v="54"/>
    <x v="0"/>
    <d v="1995-01-18T00:00:00"/>
    <s v=""/>
    <s v=""/>
  </r>
  <r>
    <x v="52"/>
    <x v="52"/>
    <s v="Aria"/>
    <s v="Cruz"/>
    <s v="Cruz, Aria"/>
    <s v="Cruz, Aria"/>
    <x v="0"/>
    <s v="no"/>
    <s v="no"/>
    <s v="FAMIA"/>
    <n v="10386"/>
    <x v="53"/>
    <x v="53"/>
    <s v="FAMIA_10386_Sasquatch Ale"/>
    <s v="10386"/>
    <s v="10386"/>
    <s v="Sasquatch Ale"/>
    <n v="11.2"/>
    <x v="1"/>
    <x v="0"/>
    <n v="112"/>
    <x v="0"/>
    <d v="1995-01-18T00:00:00"/>
    <s v=""/>
    <s v=""/>
  </r>
  <r>
    <x v="65"/>
    <x v="65"/>
    <s v="Jonas"/>
    <s v="Bergulfsen"/>
    <s v="Bergulfsen, Jonas"/>
    <s v="Bergulfsen, Jonas"/>
    <x v="0"/>
    <s v="no"/>
    <s v="no"/>
    <s v="SANTG"/>
    <n v="10387"/>
    <x v="15"/>
    <x v="15"/>
    <s v="SANTG_10387_Guaraná Fantástica"/>
    <s v="10387"/>
    <s v="10387"/>
    <s v="Guaraná Fantástica"/>
    <n v="3.6"/>
    <x v="6"/>
    <x v="0"/>
    <n v="54"/>
    <x v="0"/>
    <d v="1995-01-18T00:00:00"/>
    <s v=""/>
    <s v=""/>
  </r>
  <r>
    <x v="65"/>
    <x v="65"/>
    <s v="Jonas"/>
    <s v="Bergulfsen"/>
    <s v="Bergulfsen, Jonas"/>
    <s v="Bergulfsen, Jonas"/>
    <x v="0"/>
    <s v="no"/>
    <s v="no"/>
    <s v="SANTG"/>
    <n v="10387"/>
    <x v="44"/>
    <x v="44"/>
    <s v="SANTG_10387_Rössle Sauerkraut"/>
    <s v="10387"/>
    <s v="10387"/>
    <s v="Rössle Sauerkraut"/>
    <n v="36.4"/>
    <x v="7"/>
    <x v="0"/>
    <n v="218.39999999999998"/>
    <x v="0"/>
    <d v="1995-01-18T00:00:00"/>
    <s v=""/>
    <s v=""/>
  </r>
  <r>
    <x v="65"/>
    <x v="65"/>
    <s v="Jonas"/>
    <s v="Bergulfsen"/>
    <s v="Bergulfsen, Jonas"/>
    <s v="Bergulfsen, Jonas"/>
    <x v="0"/>
    <s v="no"/>
    <s v="no"/>
    <s v="SANTG"/>
    <n v="10387"/>
    <x v="21"/>
    <x v="21"/>
    <s v="SANTG_10387_Raclette Courdavault"/>
    <s v="10387"/>
    <s v="10387"/>
    <s v="Raclette Courdavault"/>
    <n v="44"/>
    <x v="0"/>
    <x v="0"/>
    <n v="528"/>
    <x v="0"/>
    <d v="1995-01-18T00:00:00"/>
    <s v=""/>
    <s v=""/>
  </r>
  <r>
    <x v="65"/>
    <x v="65"/>
    <s v="Jonas"/>
    <s v="Bergulfsen"/>
    <s v="Bergulfsen, Jonas"/>
    <s v="Bergulfsen, Jonas"/>
    <x v="0"/>
    <s v="no"/>
    <s v="no"/>
    <s v="SANTG"/>
    <n v="10387"/>
    <x v="42"/>
    <x v="42"/>
    <s v="SANTG_10387_Fløtemysost"/>
    <s v="10387"/>
    <s v="10387"/>
    <s v="Fløtemysost"/>
    <n v="17.2"/>
    <x v="6"/>
    <x v="0"/>
    <n v="258"/>
    <x v="0"/>
    <d v="1995-01-18T00:00:00"/>
    <s v=""/>
    <s v=""/>
  </r>
  <r>
    <x v="56"/>
    <x v="56"/>
    <s v="Hari"/>
    <s v="Kumar"/>
    <s v="Kumar, Hari"/>
    <s v="Kumar, Hari"/>
    <x v="0"/>
    <s v="no"/>
    <s v="no"/>
    <s v="SEVES"/>
    <n v="10388"/>
    <x v="73"/>
    <x v="73"/>
    <s v="SEVES_10388_Røgede sild"/>
    <s v="10388"/>
    <s v="10388"/>
    <s v="Røgede sild"/>
    <n v="7.6"/>
    <x v="6"/>
    <x v="3"/>
    <n v="91.2"/>
    <x v="0"/>
    <d v="1995-01-19T00:00:00"/>
    <s v=""/>
    <s v=""/>
  </r>
  <r>
    <x v="56"/>
    <x v="56"/>
    <s v="Hari"/>
    <s v="Kumar"/>
    <s v="Kumar, Hari"/>
    <s v="Kumar, Hari"/>
    <x v="0"/>
    <s v="no"/>
    <s v="no"/>
    <s v="SEVES"/>
    <n v="10388"/>
    <x v="65"/>
    <x v="65"/>
    <s v="SEVES_10388_Filo Mix"/>
    <s v="10388"/>
    <s v="10388"/>
    <s v="Filo Mix"/>
    <n v="5.6"/>
    <x v="8"/>
    <x v="3"/>
    <n v="89.600000000000009"/>
    <x v="0"/>
    <d v="1995-01-19T00:00:00"/>
    <s v=""/>
    <s v=""/>
  </r>
  <r>
    <x v="56"/>
    <x v="56"/>
    <s v="Hari"/>
    <s v="Kumar"/>
    <s v="Kumar, Hari"/>
    <s v="Kumar, Hari"/>
    <x v="0"/>
    <s v="no"/>
    <s v="no"/>
    <s v="SEVES"/>
    <n v="10388"/>
    <x v="22"/>
    <x v="22"/>
    <s v="SEVES_10388_Perth Pasties"/>
    <s v="10388"/>
    <s v="10388"/>
    <s v="Perth Pasties"/>
    <n v="26.2"/>
    <x v="4"/>
    <x v="0"/>
    <n v="1048"/>
    <x v="0"/>
    <d v="1995-01-19T00:00:00"/>
    <s v=""/>
    <s v=""/>
  </r>
  <r>
    <x v="66"/>
    <x v="66"/>
    <s v="Elizabeth"/>
    <s v="Lincoln"/>
    <s v="Lincoln, Elizabeth"/>
    <s v="Lincoln, Elizabeth"/>
    <x v="0"/>
    <s v="no"/>
    <s v="no"/>
    <s v="BOTTM"/>
    <n v="10389"/>
    <x v="41"/>
    <x v="41"/>
    <s v="BOTTM_10389_Ikura"/>
    <s v="10389"/>
    <s v="10389"/>
    <s v="Ikura"/>
    <n v="24.8"/>
    <x v="16"/>
    <x v="0"/>
    <n v="396.8"/>
    <x v="0"/>
    <d v="1995-01-20T00:00:00"/>
    <s v=""/>
    <s v=""/>
  </r>
  <r>
    <x v="66"/>
    <x v="66"/>
    <s v="Elizabeth"/>
    <s v="Lincoln"/>
    <s v="Lincoln, Elizabeth"/>
    <s v="Lincoln, Elizabeth"/>
    <x v="0"/>
    <s v="no"/>
    <s v="no"/>
    <s v="BOTTM"/>
    <n v="10389"/>
    <x v="16"/>
    <x v="16"/>
    <s v="BOTTM_10389_Pâté chinois"/>
    <s v="10389"/>
    <s v="10389"/>
    <s v="Pâté chinois"/>
    <n v="19.2"/>
    <x v="6"/>
    <x v="0"/>
    <n v="288"/>
    <x v="0"/>
    <d v="1995-01-20T00:00:00"/>
    <s v=""/>
    <s v=""/>
  </r>
  <r>
    <x v="66"/>
    <x v="66"/>
    <s v="Elizabeth"/>
    <s v="Lincoln"/>
    <s v="Lincoln, Elizabeth"/>
    <s v="Lincoln, Elizabeth"/>
    <x v="0"/>
    <s v="no"/>
    <s v="no"/>
    <s v="BOTTM"/>
    <n v="10389"/>
    <x v="29"/>
    <x v="29"/>
    <s v="BOTTM_10389_Tarte au sucre"/>
    <s v="10389"/>
    <s v="10389"/>
    <s v="Tarte au sucre"/>
    <n v="39.4"/>
    <x v="8"/>
    <x v="0"/>
    <n v="788"/>
    <x v="0"/>
    <d v="1995-01-20T00:00:00"/>
    <s v=""/>
    <s v=""/>
  </r>
  <r>
    <x v="66"/>
    <x v="66"/>
    <s v="Elizabeth"/>
    <s v="Lincoln"/>
    <s v="Lincoln, Elizabeth"/>
    <s v="Lincoln, Elizabeth"/>
    <x v="0"/>
    <s v="no"/>
    <s v="no"/>
    <s v="BOTTM"/>
    <n v="10389"/>
    <x v="30"/>
    <x v="30"/>
    <s v="BOTTM_10389_Outback Lager"/>
    <s v="10389"/>
    <s v="10389"/>
    <s v="Outback Lager"/>
    <n v="12"/>
    <x v="12"/>
    <x v="0"/>
    <n v="360"/>
    <x v="0"/>
    <d v="1995-01-20T00:00:00"/>
    <s v=""/>
    <s v=""/>
  </r>
  <r>
    <x v="9"/>
    <x v="9"/>
    <s v="Roland"/>
    <s v="Mendel"/>
    <s v="Mendel, Roland"/>
    <s v="Mendel, Roland"/>
    <x v="0"/>
    <s v="no"/>
    <s v="no"/>
    <s v="ERNSH"/>
    <n v="10390"/>
    <x v="12"/>
    <x v="12"/>
    <s v="ERNSH_10390_Gorgonzola Telino"/>
    <s v="10390"/>
    <s v="10390"/>
    <s v="Gorgonzola Telino"/>
    <n v="10"/>
    <x v="18"/>
    <x v="5"/>
    <n v="540"/>
    <x v="0"/>
    <d v="1995-01-23T00:00:00"/>
    <s v=""/>
    <s v=""/>
  </r>
  <r>
    <x v="9"/>
    <x v="9"/>
    <s v="Roland"/>
    <s v="Mendel"/>
    <s v="Mendel, Roland"/>
    <s v="Mendel, Roland"/>
    <x v="0"/>
    <s v="no"/>
    <s v="no"/>
    <s v="ERNSH"/>
    <n v="10390"/>
    <x v="31"/>
    <x v="31"/>
    <s v="ERNSH_10390_Steeleye Stout"/>
    <s v="10390"/>
    <s v="10390"/>
    <s v="Steeleye Stout"/>
    <n v="14.4"/>
    <x v="4"/>
    <x v="5"/>
    <n v="518.4"/>
    <x v="0"/>
    <d v="1995-01-23T00:00:00"/>
    <s v=""/>
    <s v=""/>
  </r>
  <r>
    <x v="9"/>
    <x v="9"/>
    <s v="Roland"/>
    <s v="Mendel"/>
    <s v="Mendel, Roland"/>
    <s v="Mendel, Roland"/>
    <x v="0"/>
    <s v="no"/>
    <s v="no"/>
    <s v="ERNSH"/>
    <n v="10390"/>
    <x v="54"/>
    <x v="54"/>
    <s v="ERNSH_10390_Spegesild"/>
    <s v="10390"/>
    <s v="10390"/>
    <s v="Spegesild"/>
    <n v="9.6"/>
    <x v="29"/>
    <x v="0"/>
    <n v="432"/>
    <x v="0"/>
    <d v="1995-01-23T00:00:00"/>
    <s v=""/>
    <s v=""/>
  </r>
  <r>
    <x v="9"/>
    <x v="9"/>
    <s v="Roland"/>
    <s v="Mendel"/>
    <s v="Mendel, Roland"/>
    <s v="Mendel, Roland"/>
    <x v="0"/>
    <s v="no"/>
    <s v="no"/>
    <s v="ERNSH"/>
    <n v="10390"/>
    <x v="2"/>
    <x v="2"/>
    <s v="ERNSH_10390_Mozzarella di Giovanni"/>
    <s v="10390"/>
    <s v="10390"/>
    <s v="Mozzarella di Giovanni"/>
    <n v="27.8"/>
    <x v="23"/>
    <x v="5"/>
    <n v="600.48"/>
    <x v="0"/>
    <d v="1995-01-23T00:00:00"/>
    <s v=""/>
    <s v=""/>
  </r>
  <r>
    <x v="57"/>
    <x v="57"/>
    <s v="Sven"/>
    <s v="Ottlieb"/>
    <s v="Ottlieb, Sven"/>
    <s v="Ottlieb, Sven"/>
    <x v="0"/>
    <s v="no"/>
    <s v="no"/>
    <s v="DRACD"/>
    <n v="10391"/>
    <x v="43"/>
    <x v="43"/>
    <s v="DRACD_10391_Konbu"/>
    <s v="10391"/>
    <s v="10391"/>
    <s v="Konbu"/>
    <n v="4.8"/>
    <x v="27"/>
    <x v="0"/>
    <n v="86.399999999999991"/>
    <x v="0"/>
    <d v="1995-01-23T00:00:00"/>
    <s v=""/>
    <s v=""/>
  </r>
  <r>
    <x v="54"/>
    <x v="54"/>
    <s v="Georg"/>
    <s v="Pipps"/>
    <s v="Pipps, Georg"/>
    <s v="Pipps, Georg"/>
    <x v="0"/>
    <s v="no"/>
    <s v="no"/>
    <s v="PICCO"/>
    <n v="10392"/>
    <x v="60"/>
    <x v="60"/>
    <s v="PICCO_10392_Gudbrandsdalsost"/>
    <s v="10392"/>
    <s v="10392"/>
    <s v="Gudbrandsdalsost"/>
    <n v="28.8"/>
    <x v="13"/>
    <x v="0"/>
    <n v="1440"/>
    <x v="0"/>
    <d v="1995-01-24T00:00:00"/>
    <s v=""/>
    <s v=""/>
  </r>
  <r>
    <x v="45"/>
    <x v="45"/>
    <s v="Jose"/>
    <s v="Pavarotti"/>
    <s v="Pavarotti, Jose"/>
    <s v="Pavarotti, Jose"/>
    <x v="0"/>
    <s v="no"/>
    <s v="no"/>
    <s v="SAVEA"/>
    <n v="10393"/>
    <x v="18"/>
    <x v="18"/>
    <s v="SAVEA_10393_Chang"/>
    <s v="10393"/>
    <s v="10393"/>
    <s v="Chang"/>
    <n v="15.2"/>
    <x v="9"/>
    <x v="4"/>
    <n v="285"/>
    <x v="0"/>
    <d v="1995-01-25T00:00:00"/>
    <s v=""/>
    <s v=""/>
  </r>
  <r>
    <x v="45"/>
    <x v="45"/>
    <s v="Jose"/>
    <s v="Pavarotti"/>
    <s v="Pavarotti, Jose"/>
    <s v="Pavarotti, Jose"/>
    <x v="0"/>
    <s v="no"/>
    <s v="no"/>
    <s v="SAVEA"/>
    <n v="10393"/>
    <x v="3"/>
    <x v="3"/>
    <s v="SAVEA_10393_Tofu"/>
    <s v="10393"/>
    <s v="10393"/>
    <s v="Tofu"/>
    <n v="18.600000000000001"/>
    <x v="10"/>
    <x v="4"/>
    <n v="585.90000000000009"/>
    <x v="0"/>
    <d v="1995-01-25T00:00:00"/>
    <s v=""/>
    <s v=""/>
  </r>
  <r>
    <x v="45"/>
    <x v="45"/>
    <s v="Jose"/>
    <s v="Pavarotti"/>
    <s v="Pavarotti, Jose"/>
    <s v="Pavarotti, Jose"/>
    <x v="0"/>
    <s v="no"/>
    <s v="no"/>
    <s v="SAVEA"/>
    <n v="10393"/>
    <x v="66"/>
    <x v="66"/>
    <s v="SAVEA_10393_NuNuCa Nuß-Nougat-Creme"/>
    <s v="10393"/>
    <s v="10393"/>
    <s v="NuNuCa Nuß-Nougat-Creme"/>
    <n v="11.2"/>
    <x v="25"/>
    <x v="4"/>
    <n v="58.8"/>
    <x v="0"/>
    <d v="1995-01-25T00:00:00"/>
    <s v=""/>
    <s v=""/>
  </r>
  <r>
    <x v="45"/>
    <x v="45"/>
    <s v="Jose"/>
    <s v="Pavarotti"/>
    <s v="Pavarotti, Jose"/>
    <s v="Pavarotti, Jose"/>
    <x v="0"/>
    <s v="no"/>
    <s v="no"/>
    <s v="SAVEA"/>
    <n v="10393"/>
    <x v="68"/>
    <x v="68"/>
    <s v="SAVEA_10393_Gumbär Gummibärchen"/>
    <s v="10393"/>
    <s v="10393"/>
    <s v="Gumbär Gummibärchen"/>
    <n v="24.9"/>
    <x v="21"/>
    <x v="4"/>
    <n v="1307.25"/>
    <x v="0"/>
    <d v="1995-01-25T00:00:00"/>
    <s v=""/>
    <s v=""/>
  </r>
  <r>
    <x v="45"/>
    <x v="45"/>
    <s v="Jose"/>
    <s v="Pavarotti"/>
    <s v="Pavarotti, Jose"/>
    <s v="Pavarotti, Jose"/>
    <x v="0"/>
    <s v="no"/>
    <s v="no"/>
    <s v="SAVEA"/>
    <n v="10393"/>
    <x v="12"/>
    <x v="12"/>
    <s v="SAVEA_10393_Gorgonzola Telino"/>
    <s v="10393"/>
    <s v="10393"/>
    <s v="Gorgonzola Telino"/>
    <n v="10"/>
    <x v="39"/>
    <x v="0"/>
    <n v="320"/>
    <x v="0"/>
    <d v="1995-01-25T00:00:00"/>
    <s v=""/>
    <s v=""/>
  </r>
  <r>
    <x v="64"/>
    <x v="64"/>
    <s v="Yoshi"/>
    <s v="Latimer"/>
    <s v="Latimer, Yoshi"/>
    <s v="Latimer, Yoshi"/>
    <x v="0"/>
    <s v="no"/>
    <s v="no"/>
    <s v="HUNGC"/>
    <n v="10394"/>
    <x v="43"/>
    <x v="43"/>
    <s v="HUNGC_10394_Konbu"/>
    <s v="10394"/>
    <s v="10394"/>
    <s v="Konbu"/>
    <n v="4.8"/>
    <x v="1"/>
    <x v="0"/>
    <n v="48"/>
    <x v="0"/>
    <d v="1995-01-25T00:00:00"/>
    <s v=""/>
    <s v=""/>
  </r>
  <r>
    <x v="64"/>
    <x v="64"/>
    <s v="Yoshi"/>
    <s v="Latimer"/>
    <s v="Latimer, Yoshi"/>
    <s v="Latimer, Yoshi"/>
    <x v="0"/>
    <s v="no"/>
    <s v="no"/>
    <s v="HUNGC"/>
    <n v="10394"/>
    <x v="29"/>
    <x v="29"/>
    <s v="HUNGC_10394_Tarte au sucre"/>
    <s v="10394"/>
    <s v="10394"/>
    <s v="Tarte au sucre"/>
    <n v="39.4"/>
    <x v="1"/>
    <x v="0"/>
    <n v="394"/>
    <x v="0"/>
    <d v="1995-01-25T00:00:00"/>
    <s v=""/>
    <s v=""/>
  </r>
  <r>
    <x v="8"/>
    <x v="8"/>
    <s v="Carlos"/>
    <s v="Hernández"/>
    <s v="Hernández, Carlos"/>
    <s v="Hernández, Carlos"/>
    <x v="0"/>
    <s v="no"/>
    <s v="no"/>
    <s v="HILAA"/>
    <n v="10395"/>
    <x v="54"/>
    <x v="54"/>
    <s v="HILAA_10395_Spegesild"/>
    <s v="10395"/>
    <s v="10395"/>
    <s v="Spegesild"/>
    <n v="9.6"/>
    <x v="19"/>
    <x v="5"/>
    <n v="241.92000000000002"/>
    <x v="0"/>
    <d v="1995-01-26T00:00:00"/>
    <s v=""/>
    <s v=""/>
  </r>
  <r>
    <x v="8"/>
    <x v="8"/>
    <s v="Carlos"/>
    <s v="Hernández"/>
    <s v="Hernández, Carlos"/>
    <s v="Hernández, Carlos"/>
    <x v="0"/>
    <s v="no"/>
    <s v="no"/>
    <s v="HILAA"/>
    <n v="10395"/>
    <x v="22"/>
    <x v="22"/>
    <s v="HILAA_10395_Perth Pasties"/>
    <s v="10395"/>
    <s v="10395"/>
    <s v="Perth Pasties"/>
    <n v="26.2"/>
    <x v="21"/>
    <x v="5"/>
    <n v="1650.6000000000001"/>
    <x v="0"/>
    <d v="1995-01-26T00:00:00"/>
    <s v=""/>
    <s v=""/>
  </r>
  <r>
    <x v="8"/>
    <x v="8"/>
    <s v="Carlos"/>
    <s v="Hernández"/>
    <s v="Hernández, Carlos"/>
    <s v="Hernández, Carlos"/>
    <x v="0"/>
    <s v="no"/>
    <s v="no"/>
    <s v="HILAA"/>
    <n v="10395"/>
    <x v="60"/>
    <x v="60"/>
    <s v="HILAA_10395_Gudbrandsdalsost"/>
    <s v="10395"/>
    <s v="10395"/>
    <s v="Gudbrandsdalsost"/>
    <n v="28.8"/>
    <x v="26"/>
    <x v="0"/>
    <n v="230.4"/>
    <x v="0"/>
    <d v="1995-01-26T00:00:00"/>
    <s v=""/>
    <s v=""/>
  </r>
  <r>
    <x v="17"/>
    <x v="17"/>
    <s v="Peter"/>
    <s v="Franken"/>
    <s v="Franken, Peter"/>
    <s v="Franken, Peter"/>
    <x v="0"/>
    <s v="no"/>
    <s v="no"/>
    <s v="FRANK"/>
    <n v="10396"/>
    <x v="70"/>
    <x v="70"/>
    <s v="FRANK_10396_Tunnbröd"/>
    <s v="10396"/>
    <s v="10396"/>
    <s v="Tunnbröd"/>
    <n v="7.2"/>
    <x v="4"/>
    <x v="0"/>
    <n v="288"/>
    <x v="0"/>
    <d v="1995-01-27T00:00:00"/>
    <s v=""/>
    <s v=""/>
  </r>
  <r>
    <x v="17"/>
    <x v="17"/>
    <s v="Peter"/>
    <s v="Franken"/>
    <s v="Franken, Peter"/>
    <s v="Franken, Peter"/>
    <x v="0"/>
    <s v="no"/>
    <s v="no"/>
    <s v="FRANK"/>
    <n v="10396"/>
    <x v="42"/>
    <x v="42"/>
    <s v="FRANK_10396_Fløtemysost"/>
    <s v="10396"/>
    <s v="10396"/>
    <s v="Fløtemysost"/>
    <n v="17.2"/>
    <x v="18"/>
    <x v="0"/>
    <n v="1032"/>
    <x v="0"/>
    <d v="1995-01-27T00:00:00"/>
    <s v=""/>
    <s v=""/>
  </r>
  <r>
    <x v="17"/>
    <x v="17"/>
    <s v="Peter"/>
    <s v="Franken"/>
    <s v="Franken, Peter"/>
    <s v="Franken, Peter"/>
    <x v="0"/>
    <s v="no"/>
    <s v="no"/>
    <s v="FRANK"/>
    <n v="10396"/>
    <x v="2"/>
    <x v="2"/>
    <s v="FRANK_10396_Mozzarella di Giovanni"/>
    <s v="10396"/>
    <s v="10396"/>
    <s v="Mozzarella di Giovanni"/>
    <n v="27.8"/>
    <x v="11"/>
    <x v="0"/>
    <n v="583.80000000000007"/>
    <x v="0"/>
    <d v="1995-01-27T00:00:00"/>
    <s v=""/>
    <s v=""/>
  </r>
  <r>
    <x v="50"/>
    <x v="50"/>
    <s v="Isabel"/>
    <s v="de Castro"/>
    <s v="de Castro, Isabel"/>
    <s v="de Castro, Isabel"/>
    <x v="0"/>
    <s v="no"/>
    <s v="no"/>
    <s v="PRINI"/>
    <n v="10397"/>
    <x v="27"/>
    <x v="27"/>
    <s v="PRINI_10397_Sir Rodney's Scones"/>
    <s v="10397"/>
    <s v="10397"/>
    <s v="Sir Rodney's Scones"/>
    <n v="8"/>
    <x v="1"/>
    <x v="1"/>
    <n v="68"/>
    <x v="0"/>
    <d v="1995-01-27T00:00:00"/>
    <s v=""/>
    <s v=""/>
  </r>
  <r>
    <x v="50"/>
    <x v="50"/>
    <s v="Isabel"/>
    <s v="de Castro"/>
    <s v="de Castro, Isabel"/>
    <s v="de Castro, Isabel"/>
    <x v="0"/>
    <s v="no"/>
    <s v="no"/>
    <s v="PRINI"/>
    <n v="10397"/>
    <x v="4"/>
    <x v="4"/>
    <s v="PRINI_10397_Manjimup Dried Apples"/>
    <s v="10397"/>
    <s v="10397"/>
    <s v="Manjimup Dried Apples"/>
    <n v="42.4"/>
    <x v="27"/>
    <x v="1"/>
    <n v="648.71999999999991"/>
    <x v="0"/>
    <d v="1995-01-27T00:00:00"/>
    <s v=""/>
    <s v=""/>
  </r>
  <r>
    <x v="45"/>
    <x v="45"/>
    <s v="Jose"/>
    <s v="Pavarotti"/>
    <s v="Pavarotti, Jose"/>
    <s v="Pavarotti, Jose"/>
    <x v="0"/>
    <s v="no"/>
    <s v="no"/>
    <s v="SAVEA"/>
    <n v="10398"/>
    <x v="31"/>
    <x v="31"/>
    <s v="SAVEA_10398_Steeleye Stout"/>
    <s v="10398"/>
    <s v="10398"/>
    <s v="Steeleye Stout"/>
    <n v="14.4"/>
    <x v="12"/>
    <x v="0"/>
    <n v="432"/>
    <x v="0"/>
    <d v="1995-01-30T00:00:00"/>
    <s v=""/>
    <s v=""/>
  </r>
  <r>
    <x v="45"/>
    <x v="45"/>
    <s v="Jose"/>
    <s v="Pavarotti"/>
    <s v="Pavarotti, Jose"/>
    <s v="Pavarotti, Jose"/>
    <x v="0"/>
    <s v="no"/>
    <s v="no"/>
    <s v="SAVEA"/>
    <n v="10398"/>
    <x v="16"/>
    <x v="16"/>
    <s v="SAVEA_10398_Pâté chinois"/>
    <s v="10398"/>
    <s v="10398"/>
    <s v="Pâté chinois"/>
    <n v="19.2"/>
    <x v="40"/>
    <x v="5"/>
    <n v="2073.6"/>
    <x v="0"/>
    <d v="1995-01-30T00:00:00"/>
    <s v=""/>
    <s v=""/>
  </r>
  <r>
    <x v="61"/>
    <x v="61"/>
    <s v="Palle"/>
    <s v="Ibsen"/>
    <s v="Ibsen, Palle"/>
    <s v="Ibsen, Palle"/>
    <x v="0"/>
    <s v="no"/>
    <s v="no"/>
    <s v="VAFFE"/>
    <n v="10399"/>
    <x v="56"/>
    <x v="56"/>
    <s v="VAFFE_10399_Scottish Longbreads"/>
    <s v="10399"/>
    <s v="10399"/>
    <s v="Scottish Longbreads"/>
    <n v="10"/>
    <x v="18"/>
    <x v="0"/>
    <n v="600"/>
    <x v="0"/>
    <d v="1995-01-31T00:00:00"/>
    <s v=""/>
    <s v=""/>
  </r>
  <r>
    <x v="61"/>
    <x v="61"/>
    <s v="Palle"/>
    <s v="Ibsen"/>
    <s v="Ibsen, Palle"/>
    <s v="Ibsen, Palle"/>
    <x v="0"/>
    <s v="no"/>
    <s v="no"/>
    <s v="VAFFE"/>
    <n v="10399"/>
    <x v="42"/>
    <x v="42"/>
    <s v="VAFFE_10399_Fløtemysost"/>
    <s v="10399"/>
    <s v="10399"/>
    <s v="Fløtemysost"/>
    <n v="17.2"/>
    <x v="12"/>
    <x v="0"/>
    <n v="516"/>
    <x v="0"/>
    <d v="1995-01-31T00:00:00"/>
    <s v=""/>
    <s v=""/>
  </r>
  <r>
    <x v="61"/>
    <x v="61"/>
    <s v="Palle"/>
    <s v="Ibsen"/>
    <s v="Ibsen, Palle"/>
    <s v="Ibsen, Palle"/>
    <x v="0"/>
    <s v="no"/>
    <s v="no"/>
    <s v="VAFFE"/>
    <n v="10399"/>
    <x v="38"/>
    <x v="38"/>
    <s v="VAFFE_10399_Lakkalikööri"/>
    <s v="10399"/>
    <s v="10399"/>
    <s v="Lakkalikööri"/>
    <n v="14.4"/>
    <x v="5"/>
    <x v="0"/>
    <n v="504"/>
    <x v="0"/>
    <d v="1995-01-31T00:00:00"/>
    <s v=""/>
    <s v=""/>
  </r>
  <r>
    <x v="61"/>
    <x v="61"/>
    <s v="Palle"/>
    <s v="Ibsen"/>
    <s v="Ibsen, Palle"/>
    <s v="Ibsen, Palle"/>
    <x v="0"/>
    <s v="no"/>
    <s v="no"/>
    <s v="VAFFE"/>
    <n v="10399"/>
    <x v="23"/>
    <x v="23"/>
    <s v="VAFFE_10399_Original Frankfurter grüne Soße"/>
    <s v="10399"/>
    <s v="10399"/>
    <s v="Original Frankfurter grüne Soße"/>
    <n v="10.4"/>
    <x v="31"/>
    <x v="0"/>
    <n v="145.6"/>
    <x v="0"/>
    <d v="1995-01-31T00:00:00"/>
    <s v=""/>
    <s v=""/>
  </r>
  <r>
    <x v="58"/>
    <x v="58"/>
    <s v="Ann"/>
    <s v="Devon"/>
    <s v="Devon, Ann"/>
    <s v="Devon, Ann"/>
    <x v="0"/>
    <s v="no"/>
    <s v="no"/>
    <s v="EASTC"/>
    <n v="10400"/>
    <x v="39"/>
    <x v="39"/>
    <s v="EASTC_10400_Thüringer Rostbratwurst"/>
    <s v="10400"/>
    <s v="10400"/>
    <s v="Thüringer Rostbratwurst"/>
    <n v="99"/>
    <x v="11"/>
    <x v="0"/>
    <n v="2079"/>
    <x v="0"/>
    <d v="1995-02-01T00:00:00"/>
    <s v=""/>
    <s v=""/>
  </r>
  <r>
    <x v="58"/>
    <x v="58"/>
    <s v="Ann"/>
    <s v="Devon"/>
    <s v="Devon, Ann"/>
    <s v="Devon, Ann"/>
    <x v="0"/>
    <s v="no"/>
    <s v="no"/>
    <s v="EASTC"/>
    <n v="10400"/>
    <x v="31"/>
    <x v="31"/>
    <s v="EASTC_10400_Steeleye Stout"/>
    <s v="10400"/>
    <s v="10400"/>
    <s v="Steeleye Stout"/>
    <n v="14.4"/>
    <x v="5"/>
    <x v="0"/>
    <n v="504"/>
    <x v="0"/>
    <d v="1995-02-01T00:00:00"/>
    <s v=""/>
    <s v=""/>
  </r>
  <r>
    <x v="58"/>
    <x v="58"/>
    <s v="Ann"/>
    <s v="Devon"/>
    <s v="Devon, Ann"/>
    <s v="Devon, Ann"/>
    <x v="0"/>
    <s v="no"/>
    <s v="no"/>
    <s v="EASTC"/>
    <n v="10400"/>
    <x v="14"/>
    <x v="14"/>
    <s v="EASTC_10400_Maxilaku"/>
    <s v="10400"/>
    <s v="10400"/>
    <s v="Maxilaku"/>
    <n v="16"/>
    <x v="12"/>
    <x v="0"/>
    <n v="480"/>
    <x v="0"/>
    <d v="1995-02-01T00:00:00"/>
    <s v=""/>
    <s v=""/>
  </r>
  <r>
    <x v="13"/>
    <x v="13"/>
    <s v="Paula"/>
    <s v="Wilson"/>
    <s v="Wilson, Paula"/>
    <s v="Wilson, Paula"/>
    <x v="0"/>
    <s v="no"/>
    <s v="no"/>
    <s v="RATTC"/>
    <n v="10401"/>
    <x v="34"/>
    <x v="34"/>
    <s v="RATTC_10401_Nord-Ost Matjeshering"/>
    <s v="10401"/>
    <s v="10401"/>
    <s v="Nord-Ost Matjeshering"/>
    <n v="20.7"/>
    <x v="27"/>
    <x v="0"/>
    <n v="372.59999999999997"/>
    <x v="0"/>
    <d v="1995-02-01T00:00:00"/>
    <s v=""/>
    <s v=""/>
  </r>
  <r>
    <x v="13"/>
    <x v="13"/>
    <s v="Paula"/>
    <s v="Wilson"/>
    <s v="Wilson, Paula"/>
    <s v="Wilson, Paula"/>
    <x v="0"/>
    <s v="no"/>
    <s v="no"/>
    <s v="RATTC"/>
    <n v="10401"/>
    <x v="33"/>
    <x v="33"/>
    <s v="RATTC_10401_Gnocchi di nonna Alice"/>
    <s v="10401"/>
    <s v="10401"/>
    <s v="Gnocchi di nonna Alice"/>
    <n v="30.4"/>
    <x v="21"/>
    <x v="0"/>
    <n v="2128"/>
    <x v="0"/>
    <d v="1995-02-01T00:00:00"/>
    <s v=""/>
    <s v=""/>
  </r>
  <r>
    <x v="13"/>
    <x v="13"/>
    <s v="Paula"/>
    <s v="Wilson"/>
    <s v="Wilson, Paula"/>
    <s v="Wilson, Paula"/>
    <x v="0"/>
    <s v="no"/>
    <s v="no"/>
    <s v="RATTC"/>
    <n v="10401"/>
    <x v="6"/>
    <x v="6"/>
    <s v="RATTC_10401_Louisiana Fiery Hot Pepper Sauce"/>
    <s v="10401"/>
    <s v="10401"/>
    <s v="Louisiana Fiery Hot Pepper Sauce"/>
    <n v="16.8"/>
    <x v="8"/>
    <x v="0"/>
    <n v="336"/>
    <x v="0"/>
    <d v="1995-02-01T00:00:00"/>
    <s v=""/>
    <s v=""/>
  </r>
  <r>
    <x v="13"/>
    <x v="13"/>
    <s v="Paula"/>
    <s v="Wilson"/>
    <s v="Wilson, Paula"/>
    <s v="Wilson, Paula"/>
    <x v="0"/>
    <s v="no"/>
    <s v="no"/>
    <s v="RATTC"/>
    <n v="10401"/>
    <x v="42"/>
    <x v="42"/>
    <s v="RATTC_10401_Fløtemysost"/>
    <s v="10401"/>
    <s v="10401"/>
    <s v="Fløtemysost"/>
    <n v="17.2"/>
    <x v="18"/>
    <x v="0"/>
    <n v="1032"/>
    <x v="0"/>
    <d v="1995-02-01T00:00:00"/>
    <s v=""/>
    <s v=""/>
  </r>
  <r>
    <x v="9"/>
    <x v="9"/>
    <s v="Roland"/>
    <s v="Mendel"/>
    <s v="Mendel, Roland"/>
    <s v="Mendel, Roland"/>
    <x v="0"/>
    <s v="no"/>
    <s v="no"/>
    <s v="ERNSH"/>
    <n v="10402"/>
    <x v="70"/>
    <x v="70"/>
    <s v="ERNSH_10402_Tunnbröd"/>
    <s v="10402"/>
    <s v="10402"/>
    <s v="Tunnbröd"/>
    <n v="7.2"/>
    <x v="18"/>
    <x v="0"/>
    <n v="432"/>
    <x v="0"/>
    <d v="1995-02-02T00:00:00"/>
    <s v=""/>
    <s v=""/>
  </r>
  <r>
    <x v="9"/>
    <x v="9"/>
    <s v="Roland"/>
    <s v="Mendel"/>
    <s v="Mendel, Roland"/>
    <s v="Mendel, Roland"/>
    <x v="0"/>
    <s v="no"/>
    <s v="no"/>
    <s v="ERNSH"/>
    <n v="10402"/>
    <x v="46"/>
    <x v="46"/>
    <s v="ERNSH_10402_Vegie-spread"/>
    <s v="10402"/>
    <s v="10402"/>
    <s v="Vegie-spread"/>
    <n v="35.1"/>
    <x v="14"/>
    <x v="0"/>
    <n v="2281.5"/>
    <x v="0"/>
    <d v="1995-02-02T00:00:00"/>
    <s v=""/>
    <s v=""/>
  </r>
  <r>
    <x v="9"/>
    <x v="9"/>
    <s v="Roland"/>
    <s v="Mendel"/>
    <s v="Mendel, Roland"/>
    <s v="Mendel, Roland"/>
    <x v="0"/>
    <s v="no"/>
    <s v="no"/>
    <s v="ERNSH"/>
    <n v="10403"/>
    <x v="19"/>
    <x v="19"/>
    <s v="ERNSH_10403_Pavlova"/>
    <s v="10403"/>
    <s v="10403"/>
    <s v="Pavlova"/>
    <n v="13.9"/>
    <x v="11"/>
    <x v="1"/>
    <n v="248.11500000000001"/>
    <x v="0"/>
    <d v="1995-02-03T00:00:00"/>
    <s v=""/>
    <s v=""/>
  </r>
  <r>
    <x v="9"/>
    <x v="9"/>
    <s v="Roland"/>
    <s v="Mendel"/>
    <s v="Mendel, Roland"/>
    <s v="Mendel, Roland"/>
    <x v="0"/>
    <s v="no"/>
    <s v="no"/>
    <s v="ERNSH"/>
    <n v="10403"/>
    <x v="74"/>
    <x v="74"/>
    <s v="ERNSH_10403_Chocolade"/>
    <s v="10403"/>
    <s v="10403"/>
    <s v="Chocolade"/>
    <n v="10.199999999999999"/>
    <x v="21"/>
    <x v="1"/>
    <n v="606.9"/>
    <x v="0"/>
    <d v="1995-02-03T00:00:00"/>
    <s v=""/>
    <s v=""/>
  </r>
  <r>
    <x v="22"/>
    <x v="22"/>
    <s v="Giovanni"/>
    <s v="Rovelli"/>
    <s v="Rovelli, Giovanni"/>
    <s v="Rovelli, Giovanni"/>
    <x v="0"/>
    <s v="no"/>
    <s v="no"/>
    <s v="MAGAA"/>
    <n v="10404"/>
    <x v="68"/>
    <x v="68"/>
    <s v="MAGAA_10404_Gumbär Gummibärchen"/>
    <s v="10404"/>
    <s v="10404"/>
    <s v="Gumbär Gummibärchen"/>
    <n v="24.9"/>
    <x v="12"/>
    <x v="2"/>
    <n v="709.65"/>
    <x v="0"/>
    <d v="1995-02-03T00:00:00"/>
    <s v=""/>
    <s v=""/>
  </r>
  <r>
    <x v="22"/>
    <x v="22"/>
    <s v="Giovanni"/>
    <s v="Rovelli"/>
    <s v="Rovelli, Giovanni"/>
    <s v="Rovelli, Giovanni"/>
    <x v="0"/>
    <s v="no"/>
    <s v="no"/>
    <s v="MAGAA"/>
    <n v="10404"/>
    <x v="1"/>
    <x v="1"/>
    <s v="MAGAA_10404_Singaporean Hokkien Fried Mee"/>
    <s v="10404"/>
    <s v="10404"/>
    <s v="Singaporean Hokkien Fried Mee"/>
    <n v="11.2"/>
    <x v="4"/>
    <x v="2"/>
    <n v="425.59999999999997"/>
    <x v="0"/>
    <d v="1995-02-03T00:00:00"/>
    <s v=""/>
    <s v=""/>
  </r>
  <r>
    <x v="22"/>
    <x v="22"/>
    <s v="Giovanni"/>
    <s v="Rovelli"/>
    <s v="Rovelli, Giovanni"/>
    <s v="Rovelli, Giovanni"/>
    <x v="0"/>
    <s v="no"/>
    <s v="no"/>
    <s v="MAGAA"/>
    <n v="10404"/>
    <x v="14"/>
    <x v="14"/>
    <s v="MAGAA_10404_Maxilaku"/>
    <s v="10404"/>
    <s v="10404"/>
    <s v="Maxilaku"/>
    <n v="16"/>
    <x v="12"/>
    <x v="2"/>
    <n v="456"/>
    <x v="0"/>
    <d v="1995-02-03T00:00:00"/>
    <s v=""/>
    <s v=""/>
  </r>
  <r>
    <x v="67"/>
    <x v="67"/>
    <s v="Felipe"/>
    <s v="Izquierdo"/>
    <s v="Izquierdo, Felipe"/>
    <s v="Izquierdo, Felipe"/>
    <x v="0"/>
    <s v="no"/>
    <s v="no"/>
    <s v="LINOD"/>
    <n v="10405"/>
    <x v="57"/>
    <x v="57"/>
    <s v="LINOD_10405_Aniseed Syrup"/>
    <s v="10405"/>
    <s v="10405"/>
    <s v="Aniseed Syrup"/>
    <n v="8"/>
    <x v="13"/>
    <x v="0"/>
    <n v="400"/>
    <x v="0"/>
    <d v="1995-02-06T00:00:00"/>
    <s v=""/>
    <s v=""/>
  </r>
  <r>
    <x v="62"/>
    <x v="62"/>
    <s v="Lúcia"/>
    <s v="Carvalho"/>
    <s v="Carvalho, Lúcia"/>
    <s v="Carvalho, Lúcia"/>
    <x v="0"/>
    <s v="no"/>
    <s v="no"/>
    <s v="QUEEN"/>
    <n v="10406"/>
    <x v="52"/>
    <x v="52"/>
    <s v="QUEEN_10406_Chai"/>
    <s v="10406"/>
    <s v="10406"/>
    <s v="Chai"/>
    <n v="14.4"/>
    <x v="1"/>
    <x v="0"/>
    <n v="144"/>
    <x v="0"/>
    <d v="1995-02-07T00:00:00"/>
    <s v=""/>
    <s v=""/>
  </r>
  <r>
    <x v="62"/>
    <x v="62"/>
    <s v="Lúcia"/>
    <s v="Carvalho"/>
    <s v="Carvalho, Lúcia"/>
    <s v="Carvalho, Lúcia"/>
    <x v="0"/>
    <s v="no"/>
    <s v="no"/>
    <s v="QUEEN"/>
    <n v="10406"/>
    <x v="27"/>
    <x v="27"/>
    <s v="QUEEN_10406_Sir Rodney's Scones"/>
    <s v="10406"/>
    <s v="10406"/>
    <s v="Sir Rodney's Scones"/>
    <n v="8"/>
    <x v="12"/>
    <x v="5"/>
    <n v="216"/>
    <x v="0"/>
    <d v="1995-02-07T00:00:00"/>
    <s v=""/>
    <s v=""/>
  </r>
  <r>
    <x v="62"/>
    <x v="62"/>
    <s v="Lúcia"/>
    <s v="Carvalho"/>
    <s v="Carvalho, Lúcia"/>
    <s v="Carvalho, Lúcia"/>
    <x v="0"/>
    <s v="no"/>
    <s v="no"/>
    <s v="QUEEN"/>
    <n v="10406"/>
    <x v="44"/>
    <x v="44"/>
    <s v="QUEEN_10406_Rössle Sauerkraut"/>
    <s v="10406"/>
    <s v="10406"/>
    <s v="Rössle Sauerkraut"/>
    <n v="36.4"/>
    <x v="10"/>
    <x v="5"/>
    <n v="1375.92"/>
    <x v="0"/>
    <d v="1995-02-07T00:00:00"/>
    <s v=""/>
    <s v=""/>
  </r>
  <r>
    <x v="62"/>
    <x v="62"/>
    <s v="Lúcia"/>
    <s v="Carvalho"/>
    <s v="Carvalho, Lúcia"/>
    <s v="Carvalho, Lúcia"/>
    <x v="0"/>
    <s v="no"/>
    <s v="no"/>
    <s v="QUEEN"/>
    <n v="10406"/>
    <x v="20"/>
    <x v="20"/>
    <s v="QUEEN_10406_Inlagd Sill"/>
    <s v="10406"/>
    <s v="10406"/>
    <s v="Inlagd Sill"/>
    <n v="15.2"/>
    <x v="2"/>
    <x v="5"/>
    <n v="68.400000000000006"/>
    <x v="0"/>
    <d v="1995-02-07T00:00:00"/>
    <s v=""/>
    <s v=""/>
  </r>
  <r>
    <x v="62"/>
    <x v="62"/>
    <s v="Lúcia"/>
    <s v="Carvalho"/>
    <s v="Carvalho, Lúcia"/>
    <s v="Carvalho, Lúcia"/>
    <x v="0"/>
    <s v="no"/>
    <s v="no"/>
    <s v="QUEEN"/>
    <n v="10406"/>
    <x v="37"/>
    <x v="37"/>
    <s v="QUEEN_10406_Boston Crab Meat"/>
    <s v="10406"/>
    <s v="10406"/>
    <s v="Boston Crab Meat"/>
    <n v="14.7"/>
    <x v="17"/>
    <x v="5"/>
    <n v="26.46"/>
    <x v="0"/>
    <d v="1995-02-07T00:00:00"/>
    <s v=""/>
    <s v=""/>
  </r>
  <r>
    <x v="11"/>
    <x v="11"/>
    <s v="Henriette"/>
    <s v="Pfalzheim"/>
    <s v="Pfalzheim, Henriette"/>
    <s v="Pfalzheim, Henriette"/>
    <x v="0"/>
    <s v="no"/>
    <s v="no"/>
    <s v="OTTIK"/>
    <n v="10407"/>
    <x v="0"/>
    <x v="0"/>
    <s v="OTTIK_10407_Queso Cabrales"/>
    <s v="10407"/>
    <s v="10407"/>
    <s v="Queso Cabrales"/>
    <n v="16.8"/>
    <x v="12"/>
    <x v="0"/>
    <n v="504"/>
    <x v="0"/>
    <d v="1995-02-07T00:00:00"/>
    <s v=""/>
    <s v=""/>
  </r>
  <r>
    <x v="11"/>
    <x v="11"/>
    <s v="Henriette"/>
    <s v="Pfalzheim"/>
    <s v="Pfalzheim, Henriette"/>
    <s v="Pfalzheim, Henriette"/>
    <x v="0"/>
    <s v="no"/>
    <s v="no"/>
    <s v="OTTIK"/>
    <n v="10407"/>
    <x v="60"/>
    <x v="60"/>
    <s v="OTTIK_10407_Gudbrandsdalsost"/>
    <s v="10407"/>
    <s v="10407"/>
    <s v="Gudbrandsdalsost"/>
    <n v="28.8"/>
    <x v="6"/>
    <x v="0"/>
    <n v="432"/>
    <x v="0"/>
    <d v="1995-02-07T00:00:00"/>
    <s v=""/>
    <s v=""/>
  </r>
  <r>
    <x v="11"/>
    <x v="11"/>
    <s v="Henriette"/>
    <s v="Pfalzheim"/>
    <s v="Pfalzheim, Henriette"/>
    <s v="Pfalzheim, Henriette"/>
    <x v="0"/>
    <s v="no"/>
    <s v="no"/>
    <s v="OTTIK"/>
    <n v="10407"/>
    <x v="42"/>
    <x v="42"/>
    <s v="OTTIK_10407_Fløtemysost"/>
    <s v="10407"/>
    <s v="10407"/>
    <s v="Fløtemysost"/>
    <n v="17.2"/>
    <x v="6"/>
    <x v="0"/>
    <n v="258"/>
    <x v="0"/>
    <d v="1995-02-07T00:00:00"/>
    <s v=""/>
    <s v=""/>
  </r>
  <r>
    <x v="68"/>
    <x v="68"/>
    <s v="Martine"/>
    <s v="Rancé"/>
    <s v="Rancé, Martine"/>
    <s v="Rancé, Martine"/>
    <x v="0"/>
    <s v="no"/>
    <s v="no"/>
    <s v="FOLIG"/>
    <n v="10408"/>
    <x v="28"/>
    <x v="28"/>
    <s v="FOLIG_10408_Gravad lax"/>
    <s v="10408"/>
    <s v="10408"/>
    <s v="Gravad lax"/>
    <n v="20.8"/>
    <x v="1"/>
    <x v="0"/>
    <n v="208"/>
    <x v="0"/>
    <d v="1995-02-08T00:00:00"/>
    <s v=""/>
    <s v=""/>
  </r>
  <r>
    <x v="68"/>
    <x v="68"/>
    <s v="Martine"/>
    <s v="Rancé"/>
    <s v="Rancé, Martine"/>
    <s v="Rancé, Martine"/>
    <x v="0"/>
    <s v="no"/>
    <s v="no"/>
    <s v="FOLIG"/>
    <n v="10408"/>
    <x v="55"/>
    <x v="55"/>
    <s v="FOLIG_10408_Tourtière"/>
    <s v="10408"/>
    <s v="10408"/>
    <s v="Tourtière"/>
    <n v="5.9"/>
    <x v="7"/>
    <x v="0"/>
    <n v="35.400000000000006"/>
    <x v="0"/>
    <d v="1995-02-08T00:00:00"/>
    <s v=""/>
    <s v=""/>
  </r>
  <r>
    <x v="68"/>
    <x v="68"/>
    <s v="Martine"/>
    <s v="Rancé"/>
    <s v="Rancé, Martine"/>
    <s v="Rancé, Martine"/>
    <x v="0"/>
    <s v="no"/>
    <s v="no"/>
    <s v="FOLIG"/>
    <n v="10408"/>
    <x v="29"/>
    <x v="29"/>
    <s v="FOLIG_10408_Tarte au sucre"/>
    <s v="10408"/>
    <s v="10408"/>
    <s v="Tarte au sucre"/>
    <n v="39.4"/>
    <x v="5"/>
    <x v="0"/>
    <n v="1379"/>
    <x v="0"/>
    <d v="1995-02-08T00:00:00"/>
    <s v=""/>
    <s v=""/>
  </r>
  <r>
    <x v="69"/>
    <x v="69"/>
    <s v="Yvonne"/>
    <s v="Moncada"/>
    <s v="Moncada, Yvonne"/>
    <s v="Moncada, Yvonne"/>
    <x v="0"/>
    <s v="no"/>
    <s v="no"/>
    <s v="OCEAN"/>
    <n v="10409"/>
    <x v="3"/>
    <x v="3"/>
    <s v="OCEAN_10409_Tofu"/>
    <s v="10409"/>
    <s v="10409"/>
    <s v="Tofu"/>
    <n v="18.600000000000001"/>
    <x v="0"/>
    <x v="0"/>
    <n v="223.20000000000002"/>
    <x v="0"/>
    <d v="1995-02-09T00:00:00"/>
    <s v=""/>
    <s v=""/>
  </r>
  <r>
    <x v="69"/>
    <x v="69"/>
    <s v="Yvonne"/>
    <s v="Moncada"/>
    <s v="Moncada, Yvonne"/>
    <s v="Moncada, Yvonne"/>
    <x v="0"/>
    <s v="no"/>
    <s v="no"/>
    <s v="OCEAN"/>
    <n v="10409"/>
    <x v="27"/>
    <x v="27"/>
    <s v="OCEAN_10409_Sir Rodney's Scones"/>
    <s v="10409"/>
    <s v="10409"/>
    <s v="Sir Rodney's Scones"/>
    <n v="8"/>
    <x v="0"/>
    <x v="0"/>
    <n v="96"/>
    <x v="0"/>
    <d v="1995-02-09T00:00:00"/>
    <s v=""/>
    <s v=""/>
  </r>
  <r>
    <x v="66"/>
    <x v="66"/>
    <s v="Elizabeth"/>
    <s v="Lincoln"/>
    <s v="Lincoln, Elizabeth"/>
    <s v="Lincoln, Elizabeth"/>
    <x v="0"/>
    <s v="no"/>
    <s v="no"/>
    <s v="BOTTM"/>
    <n v="10410"/>
    <x v="10"/>
    <x v="10"/>
    <s v="BOTTM_10410_Geitost"/>
    <s v="10410"/>
    <s v="10410"/>
    <s v="Geitost"/>
    <n v="2"/>
    <x v="41"/>
    <x v="0"/>
    <n v="98"/>
    <x v="0"/>
    <d v="1995-02-10T00:00:00"/>
    <s v=""/>
    <s v=""/>
  </r>
  <r>
    <x v="66"/>
    <x v="66"/>
    <s v="Elizabeth"/>
    <s v="Lincoln"/>
    <s v="Lincoln, Elizabeth"/>
    <s v="Lincoln, Elizabeth"/>
    <x v="0"/>
    <s v="no"/>
    <s v="no"/>
    <s v="BOTTM"/>
    <n v="10410"/>
    <x v="21"/>
    <x v="21"/>
    <s v="BOTTM_10410_Raclette Courdavault"/>
    <s v="10410"/>
    <s v="10410"/>
    <s v="Raclette Courdavault"/>
    <n v="44"/>
    <x v="16"/>
    <x v="0"/>
    <n v="704"/>
    <x v="0"/>
    <d v="1995-02-10T00:00:00"/>
    <s v=""/>
    <s v=""/>
  </r>
  <r>
    <x v="66"/>
    <x v="66"/>
    <s v="Elizabeth"/>
    <s v="Lincoln"/>
    <s v="Lincoln, Elizabeth"/>
    <s v="Lincoln, Elizabeth"/>
    <x v="0"/>
    <s v="no"/>
    <s v="no"/>
    <s v="BOTTM"/>
    <n v="10411"/>
    <x v="5"/>
    <x v="5"/>
    <s v="BOTTM_10411_Jack's New England Clam Chowder"/>
    <s v="10411"/>
    <s v="10411"/>
    <s v="Jack's New England Clam Chowder"/>
    <n v="7.7"/>
    <x v="9"/>
    <x v="3"/>
    <n v="154"/>
    <x v="0"/>
    <d v="1995-02-10T00:00:00"/>
    <s v=""/>
    <s v=""/>
  </r>
  <r>
    <x v="66"/>
    <x v="66"/>
    <s v="Elizabeth"/>
    <s v="Lincoln"/>
    <s v="Lincoln, Elizabeth"/>
    <s v="Lincoln, Elizabeth"/>
    <x v="0"/>
    <s v="no"/>
    <s v="no"/>
    <s v="BOTTM"/>
    <n v="10411"/>
    <x v="45"/>
    <x v="45"/>
    <s v="BOTTM_10411_Gula Malacca"/>
    <s v="10411"/>
    <s v="10411"/>
    <s v="Gula Malacca"/>
    <n v="15.5"/>
    <x v="4"/>
    <x v="3"/>
    <n v="496"/>
    <x v="0"/>
    <d v="1995-02-10T00:00:00"/>
    <s v=""/>
    <s v=""/>
  </r>
  <r>
    <x v="66"/>
    <x v="66"/>
    <s v="Elizabeth"/>
    <s v="Lincoln"/>
    <s v="Lincoln, Elizabeth"/>
    <s v="Lincoln, Elizabeth"/>
    <x v="0"/>
    <s v="no"/>
    <s v="no"/>
    <s v="BOTTM"/>
    <n v="10411"/>
    <x v="21"/>
    <x v="21"/>
    <s v="BOTTM_10411_Raclette Courdavault"/>
    <s v="10411"/>
    <s v="10411"/>
    <s v="Raclette Courdavault"/>
    <n v="44"/>
    <x v="3"/>
    <x v="3"/>
    <n v="316.8"/>
    <x v="0"/>
    <d v="1995-02-10T00:00:00"/>
    <s v=""/>
    <s v=""/>
  </r>
  <r>
    <x v="16"/>
    <x v="16"/>
    <s v="Pirkko"/>
    <s v="Koskitalo"/>
    <s v="Koskitalo, Pirkko"/>
    <s v="Koskitalo, Pirkko"/>
    <x v="0"/>
    <s v="no"/>
    <s v="no"/>
    <s v="WARTH"/>
    <n v="10412"/>
    <x v="3"/>
    <x v="3"/>
    <s v="WARTH_10412_Tofu"/>
    <s v="10412"/>
    <s v="10412"/>
    <s v="Tofu"/>
    <n v="18.600000000000001"/>
    <x v="8"/>
    <x v="5"/>
    <n v="334.8"/>
    <x v="0"/>
    <d v="1995-02-13T00:00:00"/>
    <s v=""/>
    <s v=""/>
  </r>
  <r>
    <x v="53"/>
    <x v="53"/>
    <s v="Annette"/>
    <s v="Roulet"/>
    <s v="Roulet, Annette"/>
    <s v="Roulet, Annette"/>
    <x v="0"/>
    <s v="no"/>
    <s v="no"/>
    <s v="LAMAI"/>
    <n v="10413"/>
    <x v="52"/>
    <x v="52"/>
    <s v="LAMAI_10413_Chai"/>
    <s v="10413"/>
    <s v="10413"/>
    <s v="Chai"/>
    <n v="14.4"/>
    <x v="23"/>
    <x v="0"/>
    <n v="345.6"/>
    <x v="0"/>
    <d v="1995-02-14T00:00:00"/>
    <s v=""/>
    <s v=""/>
  </r>
  <r>
    <x v="53"/>
    <x v="53"/>
    <s v="Annette"/>
    <s v="Roulet"/>
    <s v="Roulet, Annette"/>
    <s v="Roulet, Annette"/>
    <x v="0"/>
    <s v="no"/>
    <s v="no"/>
    <s v="LAMAI"/>
    <n v="10413"/>
    <x v="29"/>
    <x v="29"/>
    <s v="LAMAI_10413_Tarte au sucre"/>
    <s v="10413"/>
    <s v="10413"/>
    <s v="Tarte au sucre"/>
    <n v="39.4"/>
    <x v="4"/>
    <x v="0"/>
    <n v="1576"/>
    <x v="0"/>
    <d v="1995-02-14T00:00:00"/>
    <s v=""/>
    <s v=""/>
  </r>
  <r>
    <x v="53"/>
    <x v="53"/>
    <s v="Annette"/>
    <s v="Roulet"/>
    <s v="Roulet, Annette"/>
    <s v="Roulet, Annette"/>
    <x v="0"/>
    <s v="no"/>
    <s v="no"/>
    <s v="LAMAI"/>
    <n v="10413"/>
    <x v="38"/>
    <x v="38"/>
    <s v="LAMAI_10413_Lakkalikööri"/>
    <s v="10413"/>
    <s v="10413"/>
    <s v="Lakkalikööri"/>
    <n v="14.4"/>
    <x v="31"/>
    <x v="0"/>
    <n v="201.6"/>
    <x v="0"/>
    <d v="1995-02-14T00:00:00"/>
    <s v=""/>
    <s v=""/>
  </r>
  <r>
    <x v="52"/>
    <x v="52"/>
    <s v="Aria"/>
    <s v="Cruz"/>
    <s v="Cruz, Aria"/>
    <s v="Cruz, Aria"/>
    <x v="0"/>
    <s v="no"/>
    <s v="no"/>
    <s v="FAMIA"/>
    <n v="10414"/>
    <x v="49"/>
    <x v="49"/>
    <s v="FAMIA_10414_Teatime Chocolate Biscuits"/>
    <s v="10414"/>
    <s v="10414"/>
    <s v="Teatime Chocolate Biscuits"/>
    <n v="7.3"/>
    <x v="27"/>
    <x v="2"/>
    <n v="124.83"/>
    <x v="0"/>
    <d v="1995-02-14T00:00:00"/>
    <s v=""/>
    <s v=""/>
  </r>
  <r>
    <x v="52"/>
    <x v="52"/>
    <s v="Aria"/>
    <s v="Cruz"/>
    <s v="Cruz, Aria"/>
    <s v="Cruz, Aria"/>
    <x v="0"/>
    <s v="no"/>
    <s v="no"/>
    <s v="FAMIA"/>
    <n v="10414"/>
    <x v="10"/>
    <x v="10"/>
    <s v="FAMIA_10414_Geitost"/>
    <s v="10414"/>
    <s v="10414"/>
    <s v="Geitost"/>
    <n v="2"/>
    <x v="13"/>
    <x v="0"/>
    <n v="100"/>
    <x v="0"/>
    <d v="1995-02-14T00:00:00"/>
    <s v=""/>
    <s v=""/>
  </r>
  <r>
    <x v="64"/>
    <x v="64"/>
    <s v="Yoshi"/>
    <s v="Latimer"/>
    <s v="Latimer, Yoshi"/>
    <s v="Latimer, Yoshi"/>
    <x v="0"/>
    <s v="no"/>
    <s v="no"/>
    <s v="HUNGC"/>
    <n v="10415"/>
    <x v="35"/>
    <x v="35"/>
    <s v="HUNGC_10415_Alice Mutton"/>
    <s v="10415"/>
    <s v="10415"/>
    <s v="Alice Mutton"/>
    <n v="31.2"/>
    <x v="17"/>
    <x v="0"/>
    <n v="62.4"/>
    <x v="0"/>
    <d v="1995-02-15T00:00:00"/>
    <s v=""/>
    <s v=""/>
  </r>
  <r>
    <x v="64"/>
    <x v="64"/>
    <s v="Yoshi"/>
    <s v="Latimer"/>
    <s v="Latimer, Yoshi"/>
    <s v="Latimer, Yoshi"/>
    <x v="0"/>
    <s v="no"/>
    <s v="no"/>
    <s v="HUNGC"/>
    <n v="10415"/>
    <x v="10"/>
    <x v="10"/>
    <s v="HUNGC_10415_Geitost"/>
    <s v="10415"/>
    <s v="10415"/>
    <s v="Geitost"/>
    <n v="2"/>
    <x v="8"/>
    <x v="0"/>
    <n v="40"/>
    <x v="0"/>
    <d v="1995-02-15T00:00:00"/>
    <s v=""/>
    <s v=""/>
  </r>
  <r>
    <x v="16"/>
    <x v="16"/>
    <s v="Pirkko"/>
    <s v="Koskitalo"/>
    <s v="Koskitalo, Pirkko"/>
    <s v="Koskitalo, Pirkko"/>
    <x v="0"/>
    <s v="no"/>
    <s v="no"/>
    <s v="WARTH"/>
    <n v="10416"/>
    <x v="49"/>
    <x v="49"/>
    <s v="WARTH_10416_Teatime Chocolate Biscuits"/>
    <s v="10416"/>
    <s v="10416"/>
    <s v="Teatime Chocolate Biscuits"/>
    <n v="7.3"/>
    <x v="8"/>
    <x v="0"/>
    <n v="146"/>
    <x v="0"/>
    <d v="1995-02-16T00:00:00"/>
    <s v=""/>
    <s v=""/>
  </r>
  <r>
    <x v="16"/>
    <x v="16"/>
    <s v="Pirkko"/>
    <s v="Koskitalo"/>
    <s v="Koskitalo, Pirkko"/>
    <s v="Koskitalo, Pirkko"/>
    <x v="0"/>
    <s v="no"/>
    <s v="no"/>
    <s v="WARTH"/>
    <n v="10416"/>
    <x v="22"/>
    <x v="22"/>
    <s v="WARTH_10416_Perth Pasties"/>
    <s v="10416"/>
    <s v="10416"/>
    <s v="Perth Pasties"/>
    <n v="26.2"/>
    <x v="1"/>
    <x v="0"/>
    <n v="262"/>
    <x v="0"/>
    <d v="1995-02-16T00:00:00"/>
    <s v=""/>
    <s v=""/>
  </r>
  <r>
    <x v="16"/>
    <x v="16"/>
    <s v="Pirkko"/>
    <s v="Koskitalo"/>
    <s v="Koskitalo, Pirkko"/>
    <s v="Koskitalo, Pirkko"/>
    <x v="0"/>
    <s v="no"/>
    <s v="no"/>
    <s v="WARTH"/>
    <n v="10416"/>
    <x v="8"/>
    <x v="8"/>
    <s v="WARTH_10416_Ravioli Angelo"/>
    <s v="10416"/>
    <s v="10416"/>
    <s v="Ravioli Angelo"/>
    <n v="15.6"/>
    <x v="8"/>
    <x v="0"/>
    <n v="312"/>
    <x v="0"/>
    <d v="1995-02-16T00:00:00"/>
    <s v=""/>
    <s v=""/>
  </r>
  <r>
    <x v="51"/>
    <x v="51"/>
    <s v="Jytte"/>
    <s v="Petersen"/>
    <s v="Petersen, Jytte"/>
    <s v="Petersen, Jytte"/>
    <x v="1"/>
    <s v="yes"/>
    <s v="yes"/>
    <s v="SIMOB"/>
    <n v="10417"/>
    <x v="67"/>
    <x v="67"/>
    <s v="SIMOB_10417_Côte de Blaye"/>
    <s v="10417"/>
    <s v="10417"/>
    <s v="Côte de Blaye"/>
    <n v="210.8"/>
    <x v="13"/>
    <x v="0"/>
    <n v="10540"/>
    <x v="0"/>
    <d v="1995-02-16T00:00:00"/>
    <s v=""/>
    <s v=""/>
  </r>
  <r>
    <x v="51"/>
    <x v="51"/>
    <s v="Jytte"/>
    <s v="Petersen"/>
    <s v="Petersen, Jytte"/>
    <s v="Petersen, Jytte"/>
    <x v="0"/>
    <s v="no"/>
    <s v="no"/>
    <s v="SIMOB"/>
    <n v="10417"/>
    <x v="54"/>
    <x v="54"/>
    <s v="SIMOB_10417_Spegesild"/>
    <s v="10417"/>
    <s v="10417"/>
    <s v="Spegesild"/>
    <n v="9.6"/>
    <x v="17"/>
    <x v="4"/>
    <n v="14.399999999999999"/>
    <x v="0"/>
    <d v="1995-02-16T00:00:00"/>
    <s v=""/>
    <s v=""/>
  </r>
  <r>
    <x v="51"/>
    <x v="51"/>
    <s v="Jytte"/>
    <s v="Petersen"/>
    <s v="Petersen, Jytte"/>
    <s v="Petersen, Jytte"/>
    <x v="0"/>
    <s v="no"/>
    <s v="no"/>
    <s v="SIMOB"/>
    <n v="10417"/>
    <x v="56"/>
    <x v="56"/>
    <s v="SIMOB_10417_Scottish Longbreads"/>
    <s v="10417"/>
    <s v="10417"/>
    <s v="Scottish Longbreads"/>
    <n v="10"/>
    <x v="20"/>
    <x v="4"/>
    <n v="270"/>
    <x v="0"/>
    <d v="1995-02-16T00:00:00"/>
    <s v=""/>
    <s v=""/>
  </r>
  <r>
    <x v="51"/>
    <x v="51"/>
    <s v="Jytte"/>
    <s v="Petersen"/>
    <s v="Petersen, Jytte"/>
    <s v="Petersen, Jytte"/>
    <x v="0"/>
    <s v="no"/>
    <s v="no"/>
    <s v="SIMOB"/>
    <n v="10417"/>
    <x v="23"/>
    <x v="23"/>
    <s v="SIMOB_10417_Original Frankfurter grüne Soße"/>
    <s v="10417"/>
    <s v="10417"/>
    <s v="Original Frankfurter grüne Soße"/>
    <n v="10.4"/>
    <x v="5"/>
    <x v="0"/>
    <n v="364"/>
    <x v="0"/>
    <d v="1995-02-16T00:00:00"/>
    <s v=""/>
    <s v=""/>
  </r>
  <r>
    <x v="21"/>
    <x v="21"/>
    <s v="Horst"/>
    <s v="Kloss"/>
    <s v="Kloss, Horst"/>
    <s v="Kloss, Horst"/>
    <x v="0"/>
    <s v="no"/>
    <s v="no"/>
    <s v="QUICK"/>
    <n v="10418"/>
    <x v="18"/>
    <x v="18"/>
    <s v="QUICK_10418_Chang"/>
    <s v="10418"/>
    <s v="10418"/>
    <s v="Chang"/>
    <n v="15.2"/>
    <x v="18"/>
    <x v="0"/>
    <n v="912"/>
    <x v="0"/>
    <d v="1995-02-17T00:00:00"/>
    <s v=""/>
    <s v=""/>
  </r>
  <r>
    <x v="21"/>
    <x v="21"/>
    <s v="Horst"/>
    <s v="Kloss"/>
    <s v="Kloss, Horst"/>
    <s v="Kloss, Horst"/>
    <x v="0"/>
    <s v="no"/>
    <s v="no"/>
    <s v="QUICK"/>
    <n v="10418"/>
    <x v="69"/>
    <x v="69"/>
    <s v="QUICK_10418_Zaanse koeken"/>
    <s v="10418"/>
    <s v="10418"/>
    <s v="Zaanse koeken"/>
    <n v="7.6"/>
    <x v="38"/>
    <x v="0"/>
    <n v="418"/>
    <x v="0"/>
    <d v="1995-02-17T00:00:00"/>
    <s v=""/>
    <s v=""/>
  </r>
  <r>
    <x v="21"/>
    <x v="21"/>
    <s v="Horst"/>
    <s v="Kloss"/>
    <s v="Kloss, Horst"/>
    <s v="Kloss, Horst"/>
    <x v="0"/>
    <s v="no"/>
    <s v="no"/>
    <s v="QUICK"/>
    <n v="10418"/>
    <x v="75"/>
    <x v="75"/>
    <s v="QUICK_10418_Sirop d'érable"/>
    <s v="10418"/>
    <s v="10418"/>
    <s v="Sirop d'érable"/>
    <n v="22.8"/>
    <x v="16"/>
    <x v="0"/>
    <n v="364.8"/>
    <x v="0"/>
    <d v="1995-02-17T00:00:00"/>
    <s v=""/>
    <s v=""/>
  </r>
  <r>
    <x v="21"/>
    <x v="21"/>
    <s v="Horst"/>
    <s v="Kloss"/>
    <s v="Kloss, Horst"/>
    <s v="Kloss, Horst"/>
    <x v="0"/>
    <s v="no"/>
    <s v="no"/>
    <s v="QUICK"/>
    <n v="10418"/>
    <x v="17"/>
    <x v="17"/>
    <s v="QUICK_10418_Longlife Tofu"/>
    <s v="10418"/>
    <s v="10418"/>
    <s v="Longlife Tofu"/>
    <n v="8"/>
    <x v="6"/>
    <x v="0"/>
    <n v="120"/>
    <x v="0"/>
    <d v="1995-02-17T00:00:00"/>
    <s v=""/>
    <s v=""/>
  </r>
  <r>
    <x v="6"/>
    <x v="6"/>
    <s v="Michael"/>
    <s v="Holz"/>
    <s v="Holz, Michael"/>
    <s v="Holz, Michael"/>
    <x v="0"/>
    <s v="no"/>
    <s v="no"/>
    <s v="RICSU"/>
    <n v="10419"/>
    <x v="11"/>
    <x v="11"/>
    <s v="RICSU_10419_Camembert Pierrot"/>
    <s v="10419"/>
    <s v="10419"/>
    <s v="Camembert Pierrot"/>
    <n v="27.2"/>
    <x v="18"/>
    <x v="2"/>
    <n v="1550.3999999999999"/>
    <x v="0"/>
    <d v="1995-02-20T00:00:00"/>
    <s v=""/>
    <s v=""/>
  </r>
  <r>
    <x v="6"/>
    <x v="6"/>
    <s v="Michael"/>
    <s v="Holz"/>
    <s v="Holz, Michael"/>
    <s v="Holz, Michael"/>
    <x v="0"/>
    <s v="no"/>
    <s v="no"/>
    <s v="RICSU"/>
    <n v="10419"/>
    <x v="60"/>
    <x v="60"/>
    <s v="RICSU_10419_Gudbrandsdalsost"/>
    <s v="10419"/>
    <s v="10419"/>
    <s v="Gudbrandsdalsost"/>
    <n v="28.8"/>
    <x v="8"/>
    <x v="2"/>
    <n v="547.19999999999993"/>
    <x v="0"/>
    <d v="1995-02-20T00:00:00"/>
    <s v=""/>
    <s v=""/>
  </r>
  <r>
    <x v="7"/>
    <x v="7"/>
    <s v="Paula"/>
    <s v="Parente"/>
    <s v="Parente, Paula"/>
    <s v="Parente, Paula"/>
    <x v="0"/>
    <s v="no"/>
    <s v="no"/>
    <s v="WELLI"/>
    <n v="10420"/>
    <x v="76"/>
    <x v="76"/>
    <s v="WELLI_10420_Mishi Kobe Niku"/>
    <s v="10420"/>
    <s v="10420"/>
    <s v="Mishi Kobe Niku"/>
    <n v="77.599999999999994"/>
    <x v="8"/>
    <x v="5"/>
    <n v="1396.8"/>
    <x v="0"/>
    <d v="1995-02-21T00:00:00"/>
    <s v=""/>
    <s v=""/>
  </r>
  <r>
    <x v="7"/>
    <x v="7"/>
    <s v="Paula"/>
    <s v="Parente"/>
    <s v="Parente, Paula"/>
    <s v="Parente, Paula"/>
    <x v="0"/>
    <s v="no"/>
    <s v="no"/>
    <s v="WELLI"/>
    <n v="10420"/>
    <x v="43"/>
    <x v="43"/>
    <s v="WELLI_10420_Konbu"/>
    <s v="10420"/>
    <s v="10420"/>
    <s v="Konbu"/>
    <n v="4.8"/>
    <x v="17"/>
    <x v="5"/>
    <n v="8.64"/>
    <x v="0"/>
    <d v="1995-02-21T00:00:00"/>
    <s v=""/>
    <s v=""/>
  </r>
  <r>
    <x v="7"/>
    <x v="7"/>
    <s v="Paula"/>
    <s v="Parente"/>
    <s v="Parente, Paula"/>
    <s v="Parente, Paula"/>
    <x v="0"/>
    <s v="no"/>
    <s v="no"/>
    <s v="WELLI"/>
    <n v="10420"/>
    <x v="30"/>
    <x v="30"/>
    <s v="WELLI_10420_Outback Lager"/>
    <s v="10420"/>
    <s v="10420"/>
    <s v="Outback Lager"/>
    <n v="12"/>
    <x v="26"/>
    <x v="5"/>
    <n v="86.4"/>
    <x v="0"/>
    <d v="1995-02-21T00:00:00"/>
    <s v=""/>
    <s v=""/>
  </r>
  <r>
    <x v="7"/>
    <x v="7"/>
    <s v="Paula"/>
    <s v="Parente"/>
    <s v="Parente, Paula"/>
    <s v="Parente, Paula"/>
    <x v="0"/>
    <s v="no"/>
    <s v="no"/>
    <s v="WELLI"/>
    <n v="10420"/>
    <x v="47"/>
    <x v="47"/>
    <s v="WELLI_10420_Röd Kaviar"/>
    <s v="10420"/>
    <s v="10420"/>
    <s v="Röd Kaviar"/>
    <n v="12"/>
    <x v="8"/>
    <x v="5"/>
    <n v="216"/>
    <x v="0"/>
    <d v="1995-02-21T00:00:00"/>
    <s v=""/>
    <s v=""/>
  </r>
  <r>
    <x v="12"/>
    <x v="12"/>
    <s v="Bernardo"/>
    <s v="Batista"/>
    <s v="Batista, Bernardo"/>
    <s v="Batista, Bernardo"/>
    <x v="0"/>
    <s v="no"/>
    <s v="no"/>
    <s v="QUEDE"/>
    <n v="10421"/>
    <x v="49"/>
    <x v="49"/>
    <s v="QUEDE_10421_Teatime Chocolate Biscuits"/>
    <s v="10421"/>
    <s v="10421"/>
    <s v="Teatime Chocolate Biscuits"/>
    <n v="7.3"/>
    <x v="22"/>
    <x v="1"/>
    <n v="24.82"/>
    <x v="0"/>
    <d v="1995-02-21T00:00:00"/>
    <s v=""/>
    <s v=""/>
  </r>
  <r>
    <x v="12"/>
    <x v="12"/>
    <s v="Bernardo"/>
    <s v="Batista"/>
    <s v="Batista, Bernardo"/>
    <s v="Batista, Bernardo"/>
    <x v="0"/>
    <s v="no"/>
    <s v="no"/>
    <s v="QUEDE"/>
    <n v="10421"/>
    <x v="68"/>
    <x v="68"/>
    <s v="QUEDE_10421_Gumbär Gummibärchen"/>
    <s v="10421"/>
    <s v="10421"/>
    <s v="Gumbär Gummibärchen"/>
    <n v="24.9"/>
    <x v="12"/>
    <x v="0"/>
    <n v="747"/>
    <x v="0"/>
    <d v="1995-02-21T00:00:00"/>
    <s v=""/>
    <s v=""/>
  </r>
  <r>
    <x v="12"/>
    <x v="12"/>
    <s v="Bernardo"/>
    <s v="Batista"/>
    <s v="Batista, Bernardo"/>
    <s v="Batista, Bernardo"/>
    <x v="0"/>
    <s v="no"/>
    <s v="no"/>
    <s v="QUEDE"/>
    <n v="10421"/>
    <x v="22"/>
    <x v="22"/>
    <s v="QUEDE_10421_Perth Pasties"/>
    <s v="10421"/>
    <s v="10421"/>
    <s v="Perth Pasties"/>
    <n v="26.2"/>
    <x v="6"/>
    <x v="1"/>
    <n v="334.05"/>
    <x v="0"/>
    <d v="1995-02-21T00:00:00"/>
    <s v=""/>
    <s v=""/>
  </r>
  <r>
    <x v="12"/>
    <x v="12"/>
    <s v="Bernardo"/>
    <s v="Batista"/>
    <s v="Batista, Bernardo"/>
    <s v="Batista, Bernardo"/>
    <x v="0"/>
    <s v="no"/>
    <s v="no"/>
    <s v="QUEDE"/>
    <n v="10421"/>
    <x v="23"/>
    <x v="23"/>
    <s v="QUEDE_10421_Original Frankfurter grüne Soße"/>
    <s v="10421"/>
    <s v="10421"/>
    <s v="Original Frankfurter grüne Soße"/>
    <n v="10.4"/>
    <x v="1"/>
    <x v="1"/>
    <n v="88.399999999999991"/>
    <x v="0"/>
    <d v="1995-02-21T00:00:00"/>
    <s v=""/>
    <s v=""/>
  </r>
  <r>
    <x v="70"/>
    <x v="70"/>
    <s v="Paolo"/>
    <s v="Accorti"/>
    <s v="Accorti, Paolo"/>
    <s v="Accorti, Paolo"/>
    <x v="0"/>
    <s v="no"/>
    <s v="no"/>
    <s v="FRANS"/>
    <n v="10422"/>
    <x v="68"/>
    <x v="68"/>
    <s v="FRANS_10422_Gumbär Gummibärchen"/>
    <s v="10422"/>
    <s v="10422"/>
    <s v="Gumbär Gummibärchen"/>
    <n v="24.9"/>
    <x v="17"/>
    <x v="0"/>
    <n v="49.8"/>
    <x v="0"/>
    <d v="1995-02-22T00:00:00"/>
    <s v=""/>
    <s v=""/>
  </r>
  <r>
    <x v="71"/>
    <x v="71"/>
    <s v="André"/>
    <s v="Fonseca"/>
    <s v="Fonseca, André"/>
    <s v="Fonseca, André"/>
    <x v="0"/>
    <s v="no"/>
    <s v="no"/>
    <s v="GOURL"/>
    <n v="10423"/>
    <x v="12"/>
    <x v="12"/>
    <s v="GOURL_10423_Gorgonzola Telino"/>
    <s v="10423"/>
    <s v="10423"/>
    <s v="Gorgonzola Telino"/>
    <n v="10"/>
    <x v="31"/>
    <x v="0"/>
    <n v="140"/>
    <x v="0"/>
    <d v="1995-02-23T00:00:00"/>
    <s v=""/>
    <s v=""/>
  </r>
  <r>
    <x v="71"/>
    <x v="71"/>
    <s v="André"/>
    <s v="Fonseca"/>
    <s v="Fonseca, André"/>
    <s v="Fonseca, André"/>
    <x v="0"/>
    <s v="no"/>
    <s v="no"/>
    <s v="GOURL"/>
    <n v="10423"/>
    <x v="21"/>
    <x v="21"/>
    <s v="GOURL_10423_Raclette Courdavault"/>
    <s v="10423"/>
    <s v="10423"/>
    <s v="Raclette Courdavault"/>
    <n v="44"/>
    <x v="8"/>
    <x v="0"/>
    <n v="880"/>
    <x v="0"/>
    <d v="1995-02-23T00:00:00"/>
    <s v=""/>
    <s v=""/>
  </r>
  <r>
    <x v="49"/>
    <x v="49"/>
    <s v="Jean"/>
    <s v="Fresnière"/>
    <s v="Fresnière, Jean"/>
    <s v="Fresnière, Jean"/>
    <x v="0"/>
    <s v="no"/>
    <s v="no"/>
    <s v="MEREP"/>
    <n v="10424"/>
    <x v="31"/>
    <x v="31"/>
    <s v="MEREP_10424_Steeleye Stout"/>
    <s v="10424"/>
    <s v="10424"/>
    <s v="Steeleye Stout"/>
    <n v="14.4"/>
    <x v="18"/>
    <x v="3"/>
    <n v="691.2"/>
    <x v="0"/>
    <d v="1995-02-23T00:00:00"/>
    <s v=""/>
    <s v=""/>
  </r>
  <r>
    <x v="49"/>
    <x v="49"/>
    <s v="Jean"/>
    <s v="Fresnière"/>
    <s v="Fresnière, Jean"/>
    <s v="Fresnière, Jean"/>
    <x v="1"/>
    <s v="yes"/>
    <s v="yes"/>
    <s v="MEREP"/>
    <n v="10424"/>
    <x v="67"/>
    <x v="67"/>
    <s v="MEREP_10424_Côte de Blaye"/>
    <s v="10424"/>
    <s v="10424"/>
    <s v="Côte de Blaye"/>
    <n v="210.8"/>
    <x v="41"/>
    <x v="3"/>
    <n v="8263.36"/>
    <x v="0"/>
    <d v="1995-02-23T00:00:00"/>
    <s v=""/>
    <s v=""/>
  </r>
  <r>
    <x v="49"/>
    <x v="49"/>
    <s v="Jean"/>
    <s v="Fresnière"/>
    <s v="Fresnière, Jean"/>
    <s v="Fresnière, Jean"/>
    <x v="0"/>
    <s v="no"/>
    <s v="no"/>
    <s v="MEREP"/>
    <n v="10424"/>
    <x v="56"/>
    <x v="56"/>
    <s v="MEREP_10424_Scottish Longbreads"/>
    <s v="10424"/>
    <s v="10424"/>
    <s v="Scottish Longbreads"/>
    <n v="10"/>
    <x v="12"/>
    <x v="3"/>
    <n v="240"/>
    <x v="0"/>
    <d v="1995-02-23T00:00:00"/>
    <s v=""/>
    <s v=""/>
  </r>
  <r>
    <x v="53"/>
    <x v="53"/>
    <s v="Annette"/>
    <s v="Roulet"/>
    <s v="Roulet, Annette"/>
    <s v="Roulet, Annette"/>
    <x v="0"/>
    <s v="no"/>
    <s v="no"/>
    <s v="LAMAI"/>
    <n v="10425"/>
    <x v="16"/>
    <x v="16"/>
    <s v="LAMAI_10425_Pâté chinois"/>
    <s v="10425"/>
    <s v="10425"/>
    <s v="Pâté chinois"/>
    <n v="19.2"/>
    <x v="1"/>
    <x v="4"/>
    <n v="144"/>
    <x v="0"/>
    <d v="1995-02-24T00:00:00"/>
    <s v=""/>
    <s v=""/>
  </r>
  <r>
    <x v="53"/>
    <x v="53"/>
    <s v="Annette"/>
    <s v="Roulet"/>
    <s v="Roulet, Annette"/>
    <s v="Roulet, Annette"/>
    <x v="0"/>
    <s v="no"/>
    <s v="no"/>
    <s v="LAMAI"/>
    <n v="10425"/>
    <x v="38"/>
    <x v="38"/>
    <s v="LAMAI_10425_Lakkalikööri"/>
    <s v="10425"/>
    <s v="10425"/>
    <s v="Lakkalikööri"/>
    <n v="14.4"/>
    <x v="8"/>
    <x v="4"/>
    <n v="216"/>
    <x v="0"/>
    <d v="1995-02-24T00:00:00"/>
    <s v=""/>
    <s v=""/>
  </r>
  <r>
    <x v="60"/>
    <x v="60"/>
    <s v="Eduardo"/>
    <s v="Saavedra"/>
    <s v="Saavedra, Eduardo"/>
    <s v="Saavedra, Eduardo"/>
    <x v="0"/>
    <s v="no"/>
    <s v="no"/>
    <s v="GALED"/>
    <n v="10426"/>
    <x v="33"/>
    <x v="33"/>
    <s v="GALED_10426_Gnocchi di nonna Alice"/>
    <s v="10426"/>
    <s v="10426"/>
    <s v="Gnocchi di nonna Alice"/>
    <n v="30.4"/>
    <x v="2"/>
    <x v="0"/>
    <n v="152"/>
    <x v="0"/>
    <d v="1995-02-27T00:00:00"/>
    <s v=""/>
    <s v=""/>
  </r>
  <r>
    <x v="60"/>
    <x v="60"/>
    <s v="Eduardo"/>
    <s v="Saavedra"/>
    <s v="Saavedra, Eduardo"/>
    <s v="Saavedra, Eduardo"/>
    <x v="0"/>
    <s v="no"/>
    <s v="no"/>
    <s v="GALED"/>
    <n v="10426"/>
    <x v="58"/>
    <x v="58"/>
    <s v="GALED_10426_Wimmers gute Semmelknödel"/>
    <s v="10426"/>
    <s v="10426"/>
    <s v="Wimmers gute Semmelknödel"/>
    <n v="26.6"/>
    <x v="25"/>
    <x v="0"/>
    <n v="186.20000000000002"/>
    <x v="0"/>
    <d v="1995-02-27T00:00:00"/>
    <s v=""/>
    <s v=""/>
  </r>
  <r>
    <x v="54"/>
    <x v="54"/>
    <s v="Georg"/>
    <s v="Pipps"/>
    <s v="Pipps, Georg"/>
    <s v="Pipps, Georg"/>
    <x v="0"/>
    <s v="no"/>
    <s v="no"/>
    <s v="PICCO"/>
    <n v="10427"/>
    <x v="3"/>
    <x v="3"/>
    <s v="PICCO_10427_Tofu"/>
    <s v="10427"/>
    <s v="10427"/>
    <s v="Tofu"/>
    <n v="18.600000000000001"/>
    <x v="5"/>
    <x v="0"/>
    <n v="651"/>
    <x v="0"/>
    <d v="1995-02-27T00:00:00"/>
    <s v=""/>
    <s v=""/>
  </r>
  <r>
    <x v="30"/>
    <x v="30"/>
    <s v="Maurizio"/>
    <s v="Moroni"/>
    <s v="Moroni, Maurizio"/>
    <s v="Moroni, Maurizio"/>
    <x v="0"/>
    <s v="no"/>
    <s v="no"/>
    <s v="REGGC"/>
    <n v="10428"/>
    <x v="54"/>
    <x v="54"/>
    <s v="REGGC_10428_Spegesild"/>
    <s v="10428"/>
    <s v="10428"/>
    <s v="Spegesild"/>
    <n v="9.6"/>
    <x v="8"/>
    <x v="0"/>
    <n v="192"/>
    <x v="0"/>
    <d v="1995-02-28T00:00:00"/>
    <s v=""/>
    <s v=""/>
  </r>
  <r>
    <x v="34"/>
    <x v="34"/>
    <s v="Patricia"/>
    <s v="McKenna"/>
    <s v="McKenna, Patricia"/>
    <s v="McKenna, Patricia"/>
    <x v="0"/>
    <s v="no"/>
    <s v="no"/>
    <s v="HUNGO"/>
    <n v="10429"/>
    <x v="72"/>
    <x v="72"/>
    <s v="HUNGO_10429_Valkoinen suklaa"/>
    <s v="10429"/>
    <s v="10429"/>
    <s v="Valkoinen suklaa"/>
    <n v="13"/>
    <x v="4"/>
    <x v="0"/>
    <n v="520"/>
    <x v="0"/>
    <d v="1995-03-01T00:00:00"/>
    <s v=""/>
    <s v=""/>
  </r>
  <r>
    <x v="34"/>
    <x v="34"/>
    <s v="Patricia"/>
    <s v="McKenna"/>
    <s v="McKenna, Patricia"/>
    <s v="McKenna, Patricia"/>
    <x v="0"/>
    <s v="no"/>
    <s v="no"/>
    <s v="HUNGO"/>
    <n v="10429"/>
    <x v="46"/>
    <x v="46"/>
    <s v="HUNGO_10429_Vegie-spread"/>
    <s v="10429"/>
    <s v="10429"/>
    <s v="Vegie-spread"/>
    <n v="35.1"/>
    <x v="5"/>
    <x v="4"/>
    <n v="921.375"/>
    <x v="0"/>
    <d v="1995-03-01T00:00:00"/>
    <s v=""/>
    <s v=""/>
  </r>
  <r>
    <x v="9"/>
    <x v="9"/>
    <s v="Roland"/>
    <s v="Mendel"/>
    <s v="Mendel, Roland"/>
    <s v="Mendel, Roland"/>
    <x v="0"/>
    <s v="no"/>
    <s v="no"/>
    <s v="ERNSH"/>
    <n v="10430"/>
    <x v="35"/>
    <x v="35"/>
    <s v="ERNSH_10430_Alice Mutton"/>
    <s v="10430"/>
    <s v="10430"/>
    <s v="Alice Mutton"/>
    <n v="31.2"/>
    <x v="29"/>
    <x v="3"/>
    <n v="1123.2"/>
    <x v="0"/>
    <d v="1995-03-02T00:00:00"/>
    <s v=""/>
    <s v=""/>
  </r>
  <r>
    <x v="9"/>
    <x v="9"/>
    <s v="Roland"/>
    <s v="Mendel"/>
    <s v="Mendel, Roland"/>
    <s v="Mendel, Roland"/>
    <x v="0"/>
    <s v="no"/>
    <s v="no"/>
    <s v="ERNSH"/>
    <n v="10430"/>
    <x v="27"/>
    <x v="27"/>
    <s v="ERNSH_10430_Sir Rodney's Scones"/>
    <s v="10430"/>
    <s v="10430"/>
    <s v="Sir Rodney's Scones"/>
    <n v="8"/>
    <x v="13"/>
    <x v="0"/>
    <n v="400"/>
    <x v="0"/>
    <d v="1995-03-02T00:00:00"/>
    <s v=""/>
    <s v=""/>
  </r>
  <r>
    <x v="9"/>
    <x v="9"/>
    <s v="Roland"/>
    <s v="Mendel"/>
    <s v="Mendel, Roland"/>
    <s v="Mendel, Roland"/>
    <x v="0"/>
    <s v="no"/>
    <s v="no"/>
    <s v="ERNSH"/>
    <n v="10430"/>
    <x v="33"/>
    <x v="33"/>
    <s v="ERNSH_10430_Gnocchi di nonna Alice"/>
    <s v="10430"/>
    <s v="10430"/>
    <s v="Gnocchi di nonna Alice"/>
    <n v="30.4"/>
    <x v="12"/>
    <x v="0"/>
    <n v="912"/>
    <x v="0"/>
    <d v="1995-03-02T00:00:00"/>
    <s v=""/>
    <s v=""/>
  </r>
  <r>
    <x v="9"/>
    <x v="9"/>
    <s v="Roland"/>
    <s v="Mendel"/>
    <s v="Mendel, Roland"/>
    <s v="Mendel, Roland"/>
    <x v="0"/>
    <s v="no"/>
    <s v="no"/>
    <s v="ERNSH"/>
    <n v="10430"/>
    <x v="21"/>
    <x v="21"/>
    <s v="ERNSH_10430_Raclette Courdavault"/>
    <s v="10430"/>
    <s v="10430"/>
    <s v="Raclette Courdavault"/>
    <n v="44"/>
    <x v="21"/>
    <x v="3"/>
    <n v="2464"/>
    <x v="0"/>
    <d v="1995-03-02T00:00:00"/>
    <s v=""/>
    <s v=""/>
  </r>
  <r>
    <x v="66"/>
    <x v="66"/>
    <s v="Elizabeth"/>
    <s v="Lincoln"/>
    <s v="Lincoln, Elizabeth"/>
    <s v="Lincoln, Elizabeth"/>
    <x v="0"/>
    <s v="no"/>
    <s v="no"/>
    <s v="BOTTM"/>
    <n v="10431"/>
    <x v="35"/>
    <x v="35"/>
    <s v="BOTTM_10431_Alice Mutton"/>
    <s v="10431"/>
    <s v="10431"/>
    <s v="Alice Mutton"/>
    <n v="31.2"/>
    <x v="13"/>
    <x v="4"/>
    <n v="1170"/>
    <x v="0"/>
    <d v="1995-03-02T00:00:00"/>
    <s v=""/>
    <s v=""/>
  </r>
  <r>
    <x v="66"/>
    <x v="66"/>
    <s v="Elizabeth"/>
    <s v="Lincoln"/>
    <s v="Lincoln, Elizabeth"/>
    <s v="Lincoln, Elizabeth"/>
    <x v="0"/>
    <s v="no"/>
    <s v="no"/>
    <s v="BOTTM"/>
    <n v="10431"/>
    <x v="37"/>
    <x v="37"/>
    <s v="BOTTM_10431_Boston Crab Meat"/>
    <s v="10431"/>
    <s v="10431"/>
    <s v="Boston Crab Meat"/>
    <n v="14.7"/>
    <x v="13"/>
    <x v="4"/>
    <n v="551.25"/>
    <x v="0"/>
    <d v="1995-03-02T00:00:00"/>
    <s v=""/>
    <s v=""/>
  </r>
  <r>
    <x v="66"/>
    <x v="66"/>
    <s v="Elizabeth"/>
    <s v="Lincoln"/>
    <s v="Lincoln, Elizabeth"/>
    <s v="Lincoln, Elizabeth"/>
    <x v="0"/>
    <s v="no"/>
    <s v="no"/>
    <s v="BOTTM"/>
    <n v="10431"/>
    <x v="69"/>
    <x v="69"/>
    <s v="BOTTM_10431_Zaanse koeken"/>
    <s v="10431"/>
    <s v="10431"/>
    <s v="Zaanse koeken"/>
    <n v="7.6"/>
    <x v="12"/>
    <x v="4"/>
    <n v="171"/>
    <x v="0"/>
    <d v="1995-03-02T00:00:00"/>
    <s v=""/>
    <s v=""/>
  </r>
  <r>
    <x v="20"/>
    <x v="20"/>
    <s v="Art"/>
    <s v="Braunschweiger"/>
    <s v="Braunschweiger, Art"/>
    <s v="Braunschweiger, Art"/>
    <x v="0"/>
    <s v="no"/>
    <s v="no"/>
    <s v="SPLIR"/>
    <n v="10432"/>
    <x v="68"/>
    <x v="68"/>
    <s v="SPLIR_10432_Gumbär Gummibärchen"/>
    <s v="10432"/>
    <s v="10432"/>
    <s v="Gumbär Gummibärchen"/>
    <n v="24.9"/>
    <x v="1"/>
    <x v="0"/>
    <n v="249"/>
    <x v="0"/>
    <d v="1995-03-03T00:00:00"/>
    <s v=""/>
    <s v=""/>
  </r>
  <r>
    <x v="20"/>
    <x v="20"/>
    <s v="Art"/>
    <s v="Braunschweiger"/>
    <s v="Braunschweiger, Art"/>
    <s v="Braunschweiger, Art"/>
    <x v="0"/>
    <s v="no"/>
    <s v="no"/>
    <s v="SPLIR"/>
    <n v="10432"/>
    <x v="55"/>
    <x v="55"/>
    <s v="SPLIR_10432_Tourtière"/>
    <s v="10432"/>
    <s v="10432"/>
    <s v="Tourtière"/>
    <n v="5.9"/>
    <x v="4"/>
    <x v="0"/>
    <n v="236"/>
    <x v="0"/>
    <d v="1995-03-03T00:00:00"/>
    <s v=""/>
    <s v=""/>
  </r>
  <r>
    <x v="50"/>
    <x v="50"/>
    <s v="Isabel"/>
    <s v="de Castro"/>
    <s v="de Castro, Isabel"/>
    <s v="de Castro, Isabel"/>
    <x v="0"/>
    <s v="no"/>
    <s v="no"/>
    <s v="PRINI"/>
    <n v="10433"/>
    <x v="33"/>
    <x v="33"/>
    <s v="PRINI_10433_Gnocchi di nonna Alice"/>
    <s v="10433"/>
    <s v="10433"/>
    <s v="Gnocchi di nonna Alice"/>
    <n v="30.4"/>
    <x v="19"/>
    <x v="0"/>
    <n v="851.19999999999993"/>
    <x v="0"/>
    <d v="1995-03-06T00:00:00"/>
    <s v=""/>
    <s v=""/>
  </r>
  <r>
    <x v="14"/>
    <x v="14"/>
    <s v="Maria"/>
    <s v="Larsson"/>
    <s v="Larsson, Maria"/>
    <s v="Larsson, Maria"/>
    <x v="0"/>
    <s v="no"/>
    <s v="no"/>
    <s v="FOLKO"/>
    <n v="10434"/>
    <x v="0"/>
    <x v="0"/>
    <s v="FOLKO_10434_Queso Cabrales"/>
    <s v="10434"/>
    <s v="10434"/>
    <s v="Queso Cabrales"/>
    <n v="16.8"/>
    <x v="7"/>
    <x v="0"/>
    <n v="100.80000000000001"/>
    <x v="0"/>
    <d v="1995-03-06T00:00:00"/>
    <s v=""/>
    <s v=""/>
  </r>
  <r>
    <x v="14"/>
    <x v="14"/>
    <s v="Maria"/>
    <s v="Larsson"/>
    <s v="Larsson, Maria"/>
    <s v="Larsson, Maria"/>
    <x v="0"/>
    <s v="no"/>
    <s v="no"/>
    <s v="FOLKO"/>
    <n v="10434"/>
    <x v="38"/>
    <x v="38"/>
    <s v="FOLKO_10434_Lakkalikööri"/>
    <s v="10434"/>
    <s v="10434"/>
    <s v="Lakkalikööri"/>
    <n v="14.4"/>
    <x v="27"/>
    <x v="1"/>
    <n v="220.32"/>
    <x v="0"/>
    <d v="1995-03-06T00:00:00"/>
    <s v=""/>
    <s v=""/>
  </r>
  <r>
    <x v="72"/>
    <x v="72"/>
    <s v="Elizabeth"/>
    <s v="Brown"/>
    <s v="Brown, Elizabeth"/>
    <s v="Brown, Elizabeth"/>
    <x v="0"/>
    <s v="no"/>
    <s v="no"/>
    <s v="CONSH"/>
    <n v="10435"/>
    <x v="18"/>
    <x v="18"/>
    <s v="CONSH_10435_Chang"/>
    <s v="10435"/>
    <s v="10435"/>
    <s v="Chang"/>
    <n v="15.2"/>
    <x v="1"/>
    <x v="0"/>
    <n v="152"/>
    <x v="0"/>
    <d v="1995-03-07T00:00:00"/>
    <s v=""/>
    <s v=""/>
  </r>
  <r>
    <x v="72"/>
    <x v="72"/>
    <s v="Elizabeth"/>
    <s v="Brown"/>
    <s v="Brown, Elizabeth"/>
    <s v="Brown, Elizabeth"/>
    <x v="0"/>
    <s v="no"/>
    <s v="no"/>
    <s v="CONSH"/>
    <n v="10435"/>
    <x v="7"/>
    <x v="7"/>
    <s v="CONSH_10435_Gustaf's Knäckebröd"/>
    <s v="10435"/>
    <s v="10435"/>
    <s v="Gustaf's Knäckebröd"/>
    <n v="16.8"/>
    <x v="0"/>
    <x v="0"/>
    <n v="201.60000000000002"/>
    <x v="0"/>
    <d v="1995-03-07T00:00:00"/>
    <s v=""/>
    <s v=""/>
  </r>
  <r>
    <x v="72"/>
    <x v="72"/>
    <s v="Elizabeth"/>
    <s v="Brown"/>
    <s v="Brown, Elizabeth"/>
    <s v="Brown, Elizabeth"/>
    <x v="0"/>
    <s v="no"/>
    <s v="no"/>
    <s v="CONSH"/>
    <n v="10435"/>
    <x v="2"/>
    <x v="2"/>
    <s v="CONSH_10435_Mozzarella di Giovanni"/>
    <s v="10435"/>
    <s v="10435"/>
    <s v="Mozzarella di Giovanni"/>
    <n v="27.8"/>
    <x v="1"/>
    <x v="0"/>
    <n v="278"/>
    <x v="0"/>
    <d v="1995-03-07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0436"/>
    <x v="54"/>
    <x v="54"/>
    <s v="BLONP_10436_Spegesild"/>
    <s v="10436"/>
    <s v="10436"/>
    <s v="Spegesild"/>
    <n v="9.6"/>
    <x v="2"/>
    <x v="0"/>
    <n v="48"/>
    <x v="0"/>
    <d v="1995-03-08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0436"/>
    <x v="33"/>
    <x v="33"/>
    <s v="BLONP_10436_Gnocchi di nonna Alice"/>
    <s v="10436"/>
    <s v="10436"/>
    <s v="Gnocchi di nonna Alice"/>
    <n v="30.4"/>
    <x v="4"/>
    <x v="5"/>
    <n v="1094.4000000000001"/>
    <x v="0"/>
    <d v="1995-03-08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0436"/>
    <x v="58"/>
    <x v="58"/>
    <s v="BLONP_10436_Wimmers gute Semmelknödel"/>
    <s v="10436"/>
    <s v="10436"/>
    <s v="Wimmers gute Semmelknödel"/>
    <n v="26.6"/>
    <x v="12"/>
    <x v="5"/>
    <n v="718.2"/>
    <x v="0"/>
    <d v="1995-03-08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0436"/>
    <x v="48"/>
    <x v="48"/>
    <s v="BLONP_10436_Rhönbräu Klosterbier"/>
    <s v="10436"/>
    <s v="10436"/>
    <s v="Rhönbräu Klosterbier"/>
    <n v="6.2"/>
    <x v="23"/>
    <x v="5"/>
    <n v="133.92000000000002"/>
    <x v="0"/>
    <d v="1995-03-08T00:00:00"/>
    <s v=""/>
    <s v=""/>
  </r>
  <r>
    <x v="16"/>
    <x v="16"/>
    <s v="Pirkko"/>
    <s v="Koskitalo"/>
    <s v="Koskitalo, Pirkko"/>
    <s v="Koskitalo, Pirkko"/>
    <x v="0"/>
    <s v="no"/>
    <s v="no"/>
    <s v="WARTH"/>
    <n v="10437"/>
    <x v="22"/>
    <x v="22"/>
    <s v="WARTH_10437_Perth Pasties"/>
    <s v="10437"/>
    <s v="10437"/>
    <s v="Perth Pasties"/>
    <n v="26.2"/>
    <x v="6"/>
    <x v="0"/>
    <n v="393"/>
    <x v="0"/>
    <d v="1995-03-08T00:00:00"/>
    <s v=""/>
    <s v=""/>
  </r>
  <r>
    <x v="1"/>
    <x v="1"/>
    <s v="Karin"/>
    <s v="Josephs"/>
    <s v="Josephs, Karin"/>
    <s v="Josephs, Karin"/>
    <x v="0"/>
    <s v="no"/>
    <s v="no"/>
    <s v="TOMSP"/>
    <n v="10438"/>
    <x v="49"/>
    <x v="49"/>
    <s v="TOMSP_10438_Teatime Chocolate Biscuits"/>
    <s v="10438"/>
    <s v="10438"/>
    <s v="Teatime Chocolate Biscuits"/>
    <n v="7.3"/>
    <x v="6"/>
    <x v="3"/>
    <n v="87.600000000000009"/>
    <x v="0"/>
    <d v="1995-03-09T00:00:00"/>
    <s v=""/>
    <s v=""/>
  </r>
  <r>
    <x v="1"/>
    <x v="1"/>
    <s v="Karin"/>
    <s v="Josephs"/>
    <s v="Josephs, Karin"/>
    <s v="Josephs, Karin"/>
    <x v="0"/>
    <s v="no"/>
    <s v="no"/>
    <s v="TOMSP"/>
    <n v="10438"/>
    <x v="53"/>
    <x v="53"/>
    <s v="TOMSP_10438_Sasquatch Ale"/>
    <s v="10438"/>
    <s v="10438"/>
    <s v="Sasquatch Ale"/>
    <n v="11.2"/>
    <x v="8"/>
    <x v="3"/>
    <n v="179.20000000000002"/>
    <x v="0"/>
    <d v="1995-03-09T00:00:00"/>
    <s v=""/>
    <s v=""/>
  </r>
  <r>
    <x v="1"/>
    <x v="1"/>
    <s v="Karin"/>
    <s v="Josephs"/>
    <s v="Josephs, Karin"/>
    <s v="Josephs, Karin"/>
    <x v="0"/>
    <s v="no"/>
    <s v="no"/>
    <s v="TOMSP"/>
    <n v="10438"/>
    <x v="8"/>
    <x v="8"/>
    <s v="TOMSP_10438_Ravioli Angelo"/>
    <s v="10438"/>
    <s v="10438"/>
    <s v="Ravioli Angelo"/>
    <n v="15.6"/>
    <x v="6"/>
    <x v="3"/>
    <n v="187.20000000000002"/>
    <x v="0"/>
    <d v="1995-03-09T00:00:00"/>
    <s v=""/>
    <s v=""/>
  </r>
  <r>
    <x v="49"/>
    <x v="49"/>
    <s v="Jean"/>
    <s v="Fresnière"/>
    <s v="Fresnière, Jean"/>
    <s v="Fresnière, Jean"/>
    <x v="0"/>
    <s v="no"/>
    <s v="no"/>
    <s v="MEREP"/>
    <n v="10439"/>
    <x v="36"/>
    <x v="36"/>
    <s v="MEREP_10439_Queso Manchego La Pastora"/>
    <s v="10439"/>
    <s v="10439"/>
    <s v="Queso Manchego La Pastora"/>
    <n v="30.4"/>
    <x v="6"/>
    <x v="0"/>
    <n v="456"/>
    <x v="0"/>
    <d v="1995-03-10T00:00:00"/>
    <s v=""/>
    <s v=""/>
  </r>
  <r>
    <x v="49"/>
    <x v="49"/>
    <s v="Jean"/>
    <s v="Fresnière"/>
    <s v="Fresnière, Jean"/>
    <s v="Fresnière, Jean"/>
    <x v="0"/>
    <s v="no"/>
    <s v="no"/>
    <s v="MEREP"/>
    <n v="10439"/>
    <x v="19"/>
    <x v="19"/>
    <s v="MEREP_10439_Pavlova"/>
    <s v="10439"/>
    <s v="10439"/>
    <s v="Pavlova"/>
    <n v="13.9"/>
    <x v="16"/>
    <x v="0"/>
    <n v="222.4"/>
    <x v="0"/>
    <d v="1995-03-10T00:00:00"/>
    <s v=""/>
    <s v=""/>
  </r>
  <r>
    <x v="49"/>
    <x v="49"/>
    <s v="Jean"/>
    <s v="Fresnière"/>
    <s v="Fresnière, Jean"/>
    <s v="Fresnière, Jean"/>
    <x v="0"/>
    <s v="no"/>
    <s v="no"/>
    <s v="MEREP"/>
    <n v="10439"/>
    <x v="58"/>
    <x v="58"/>
    <s v="MEREP_10439_Wimmers gute Semmelknödel"/>
    <s v="10439"/>
    <s v="10439"/>
    <s v="Wimmers gute Semmelknödel"/>
    <n v="26.6"/>
    <x v="7"/>
    <x v="0"/>
    <n v="159.60000000000002"/>
    <x v="0"/>
    <d v="1995-03-10T00:00:00"/>
    <s v=""/>
    <s v=""/>
  </r>
  <r>
    <x v="49"/>
    <x v="49"/>
    <s v="Jean"/>
    <s v="Fresnière"/>
    <s v="Fresnière, Jean"/>
    <s v="Fresnière, Jean"/>
    <x v="0"/>
    <s v="no"/>
    <s v="no"/>
    <s v="MEREP"/>
    <n v="10439"/>
    <x v="17"/>
    <x v="17"/>
    <s v="MEREP_10439_Longlife Tofu"/>
    <s v="10439"/>
    <s v="10439"/>
    <s v="Longlife Tofu"/>
    <n v="8"/>
    <x v="12"/>
    <x v="0"/>
    <n v="240"/>
    <x v="0"/>
    <d v="1995-03-10T00:00:00"/>
    <s v=""/>
    <s v=""/>
  </r>
  <r>
    <x v="45"/>
    <x v="45"/>
    <s v="Jose"/>
    <s v="Pavarotti"/>
    <s v="Pavarotti, Jose"/>
    <s v="Pavarotti, Jose"/>
    <x v="0"/>
    <s v="no"/>
    <s v="no"/>
    <s v="SAVEA"/>
    <n v="10440"/>
    <x v="18"/>
    <x v="18"/>
    <s v="SAVEA_10440_Chang"/>
    <s v="10440"/>
    <s v="10440"/>
    <s v="Chang"/>
    <n v="15.2"/>
    <x v="29"/>
    <x v="1"/>
    <n v="581.4"/>
    <x v="0"/>
    <d v="1995-03-13T00:00:00"/>
    <s v=""/>
    <s v=""/>
  </r>
  <r>
    <x v="45"/>
    <x v="45"/>
    <s v="Jose"/>
    <s v="Pavarotti"/>
    <s v="Pavarotti, Jose"/>
    <s v="Pavarotti, Jose"/>
    <x v="0"/>
    <s v="no"/>
    <s v="no"/>
    <s v="SAVEA"/>
    <n v="10440"/>
    <x v="19"/>
    <x v="19"/>
    <s v="SAVEA_10440_Pavlova"/>
    <s v="10440"/>
    <s v="10440"/>
    <s v="Pavlova"/>
    <n v="13.9"/>
    <x v="41"/>
    <x v="1"/>
    <n v="578.93500000000006"/>
    <x v="0"/>
    <d v="1995-03-13T00:00:00"/>
    <s v=""/>
    <s v=""/>
  </r>
  <r>
    <x v="45"/>
    <x v="45"/>
    <s v="Jose"/>
    <s v="Pavarotti"/>
    <s v="Pavarotti, Jose"/>
    <s v="Pavarotti, Jose"/>
    <x v="0"/>
    <s v="no"/>
    <s v="no"/>
    <s v="SAVEA"/>
    <n v="10440"/>
    <x v="39"/>
    <x v="39"/>
    <s v="SAVEA_10440_Thüringer Rostbratwurst"/>
    <s v="10440"/>
    <s v="10440"/>
    <s v="Thüringer Rostbratwurst"/>
    <n v="99"/>
    <x v="23"/>
    <x v="1"/>
    <n v="2019.6"/>
    <x v="0"/>
    <d v="1995-03-13T00:00:00"/>
    <s v=""/>
    <s v=""/>
  </r>
  <r>
    <x v="45"/>
    <x v="45"/>
    <s v="Jose"/>
    <s v="Pavarotti"/>
    <s v="Pavarotti, Jose"/>
    <s v="Pavarotti, Jose"/>
    <x v="0"/>
    <s v="no"/>
    <s v="no"/>
    <s v="SAVEA"/>
    <n v="10440"/>
    <x v="75"/>
    <x v="75"/>
    <s v="SAVEA_10440_Sirop d'érable"/>
    <s v="10440"/>
    <s v="10440"/>
    <s v="Sirop d'érable"/>
    <n v="22.8"/>
    <x v="42"/>
    <x v="1"/>
    <n v="1744.2"/>
    <x v="0"/>
    <d v="1995-03-13T00:00:00"/>
    <s v=""/>
    <s v=""/>
  </r>
  <r>
    <x v="37"/>
    <x v="37"/>
    <s v="Rene"/>
    <s v="Phillips"/>
    <s v="Phillips, Rene"/>
    <s v="Phillips, Rene"/>
    <x v="0"/>
    <s v="no"/>
    <s v="no"/>
    <s v="OLDWO"/>
    <n v="10441"/>
    <x v="24"/>
    <x v="24"/>
    <s v="OLDWO_10441_Schoggi Schokolade"/>
    <s v="10441"/>
    <s v="10441"/>
    <s v="Schoggi Schokolade"/>
    <n v="35.1"/>
    <x v="13"/>
    <x v="0"/>
    <n v="1755"/>
    <x v="0"/>
    <d v="1995-03-13T00:00:00"/>
    <s v=""/>
    <s v=""/>
  </r>
  <r>
    <x v="9"/>
    <x v="9"/>
    <s v="Roland"/>
    <s v="Mendel"/>
    <s v="Mendel, Roland"/>
    <s v="Mendel, Roland"/>
    <x v="0"/>
    <s v="no"/>
    <s v="no"/>
    <s v="ERNSH"/>
    <n v="10442"/>
    <x v="0"/>
    <x v="0"/>
    <s v="ERNSH_10442_Queso Cabrales"/>
    <s v="10442"/>
    <s v="10442"/>
    <s v="Queso Cabrales"/>
    <n v="16.8"/>
    <x v="12"/>
    <x v="0"/>
    <n v="504"/>
    <x v="0"/>
    <d v="1995-03-14T00:00:00"/>
    <s v=""/>
    <s v=""/>
  </r>
  <r>
    <x v="9"/>
    <x v="9"/>
    <s v="Roland"/>
    <s v="Mendel"/>
    <s v="Mendel, Roland"/>
    <s v="Mendel, Roland"/>
    <x v="0"/>
    <s v="no"/>
    <s v="no"/>
    <s v="ERNSH"/>
    <n v="10442"/>
    <x v="55"/>
    <x v="55"/>
    <s v="ERNSH_10442_Tourtière"/>
    <s v="10442"/>
    <s v="10442"/>
    <s v="Tourtière"/>
    <n v="5.9"/>
    <x v="32"/>
    <x v="0"/>
    <n v="472"/>
    <x v="0"/>
    <d v="1995-03-14T00:00:00"/>
    <s v=""/>
    <s v=""/>
  </r>
  <r>
    <x v="9"/>
    <x v="9"/>
    <s v="Roland"/>
    <s v="Mendel"/>
    <s v="Mendel, Roland"/>
    <s v="Mendel, Roland"/>
    <x v="0"/>
    <s v="no"/>
    <s v="no"/>
    <s v="ERNSH"/>
    <n v="10442"/>
    <x v="61"/>
    <x v="61"/>
    <s v="ERNSH_10442_Louisiana Hot Spiced Okra"/>
    <s v="10442"/>
    <s v="10442"/>
    <s v="Louisiana Hot Spiced Okra"/>
    <n v="13.6"/>
    <x v="18"/>
    <x v="0"/>
    <n v="816"/>
    <x v="0"/>
    <d v="1995-03-14T00:00:00"/>
    <s v=""/>
    <s v=""/>
  </r>
  <r>
    <x v="30"/>
    <x v="30"/>
    <s v="Maurizio"/>
    <s v="Moroni"/>
    <s v="Moroni, Maurizio"/>
    <s v="Moroni, Maurizio"/>
    <x v="0"/>
    <s v="no"/>
    <s v="no"/>
    <s v="REGGC"/>
    <n v="10443"/>
    <x v="0"/>
    <x v="0"/>
    <s v="REGGC_10443_Queso Cabrales"/>
    <s v="10443"/>
    <s v="10443"/>
    <s v="Queso Cabrales"/>
    <n v="16.8"/>
    <x v="7"/>
    <x v="3"/>
    <n v="80.640000000000015"/>
    <x v="0"/>
    <d v="1995-03-15T00:00:00"/>
    <s v=""/>
    <s v=""/>
  </r>
  <r>
    <x v="30"/>
    <x v="30"/>
    <s v="Maurizio"/>
    <s v="Moroni"/>
    <s v="Moroni, Maurizio"/>
    <s v="Moroni, Maurizio"/>
    <x v="0"/>
    <s v="no"/>
    <s v="no"/>
    <s v="REGGC"/>
    <n v="10443"/>
    <x v="44"/>
    <x v="44"/>
    <s v="REGGC_10443_Rössle Sauerkraut"/>
    <s v="10443"/>
    <s v="10443"/>
    <s v="Rössle Sauerkraut"/>
    <n v="36.4"/>
    <x v="0"/>
    <x v="0"/>
    <n v="436.79999999999995"/>
    <x v="0"/>
    <d v="1995-03-15T00:00:00"/>
    <s v=""/>
    <s v=""/>
  </r>
  <r>
    <x v="25"/>
    <x v="25"/>
    <s v="Christina"/>
    <s v="Berglund"/>
    <s v="Berglund, Christina"/>
    <s v="Berglund, Christina"/>
    <x v="0"/>
    <s v="no"/>
    <s v="no"/>
    <s v="BERGS"/>
    <n v="10444"/>
    <x v="35"/>
    <x v="35"/>
    <s v="BERGS_10444_Alice Mutton"/>
    <s v="10444"/>
    <s v="10444"/>
    <s v="Alice Mutton"/>
    <n v="31.2"/>
    <x v="1"/>
    <x v="0"/>
    <n v="312"/>
    <x v="0"/>
    <d v="1995-03-15T00:00:00"/>
    <s v=""/>
    <s v=""/>
  </r>
  <r>
    <x v="25"/>
    <x v="25"/>
    <s v="Christina"/>
    <s v="Berglund"/>
    <s v="Berglund, Christina"/>
    <s v="Berglund, Christina"/>
    <x v="0"/>
    <s v="no"/>
    <s v="no"/>
    <s v="BERGS"/>
    <n v="10444"/>
    <x v="68"/>
    <x v="68"/>
    <s v="BERGS_10444_Gumbär Gummibärchen"/>
    <s v="10444"/>
    <s v="10444"/>
    <s v="Gumbär Gummibärchen"/>
    <n v="24.9"/>
    <x v="6"/>
    <x v="0"/>
    <n v="373.5"/>
    <x v="0"/>
    <d v="1995-03-15T00:00:00"/>
    <s v=""/>
    <s v=""/>
  </r>
  <r>
    <x v="25"/>
    <x v="25"/>
    <s v="Christina"/>
    <s v="Berglund"/>
    <s v="Berglund, Christina"/>
    <s v="Berglund, Christina"/>
    <x v="0"/>
    <s v="no"/>
    <s v="no"/>
    <s v="BERGS"/>
    <n v="10444"/>
    <x v="31"/>
    <x v="31"/>
    <s v="BERGS_10444_Steeleye Stout"/>
    <s v="10444"/>
    <s v="10444"/>
    <s v="Steeleye Stout"/>
    <n v="14.4"/>
    <x v="26"/>
    <x v="0"/>
    <n v="115.2"/>
    <x v="0"/>
    <d v="1995-03-15T00:00:00"/>
    <s v=""/>
    <s v=""/>
  </r>
  <r>
    <x v="25"/>
    <x v="25"/>
    <s v="Christina"/>
    <s v="Berglund"/>
    <s v="Berglund, Christina"/>
    <s v="Berglund, Christina"/>
    <x v="0"/>
    <s v="no"/>
    <s v="no"/>
    <s v="BERGS"/>
    <n v="10444"/>
    <x v="5"/>
    <x v="5"/>
    <s v="BERGS_10444_Jack's New England Clam Chowder"/>
    <s v="10444"/>
    <s v="10444"/>
    <s v="Jack's New England Clam Chowder"/>
    <n v="7.7"/>
    <x v="12"/>
    <x v="0"/>
    <n v="231"/>
    <x v="0"/>
    <d v="1995-03-15T00:00:00"/>
    <s v=""/>
    <s v=""/>
  </r>
  <r>
    <x v="25"/>
    <x v="25"/>
    <s v="Christina"/>
    <s v="Berglund"/>
    <s v="Berglund, Christina"/>
    <s v="Berglund, Christina"/>
    <x v="0"/>
    <s v="no"/>
    <s v="no"/>
    <s v="BERGS"/>
    <n v="10445"/>
    <x v="13"/>
    <x v="13"/>
    <s v="BERGS_10445_Chartreuse verte"/>
    <s v="10445"/>
    <s v="10445"/>
    <s v="Chartreuse verte"/>
    <n v="14.4"/>
    <x v="7"/>
    <x v="0"/>
    <n v="86.4"/>
    <x v="0"/>
    <d v="1995-03-16T00:00:00"/>
    <s v=""/>
    <s v=""/>
  </r>
  <r>
    <x v="25"/>
    <x v="25"/>
    <s v="Christina"/>
    <s v="Berglund"/>
    <s v="Berglund, Christina"/>
    <s v="Berglund, Christina"/>
    <x v="0"/>
    <s v="no"/>
    <s v="no"/>
    <s v="BERGS"/>
    <n v="10445"/>
    <x v="55"/>
    <x v="55"/>
    <s v="BERGS_10445_Tourtière"/>
    <s v="10445"/>
    <s v="10445"/>
    <s v="Tourtière"/>
    <n v="5.9"/>
    <x v="6"/>
    <x v="0"/>
    <n v="88.5"/>
    <x v="0"/>
    <d v="1995-03-16T00:00:00"/>
    <s v=""/>
    <s v=""/>
  </r>
  <r>
    <x v="1"/>
    <x v="1"/>
    <s v="Karin"/>
    <s v="Josephs"/>
    <s v="Josephs, Karin"/>
    <s v="Josephs, Karin"/>
    <x v="0"/>
    <s v="no"/>
    <s v="no"/>
    <s v="TOMSP"/>
    <n v="10446"/>
    <x v="49"/>
    <x v="49"/>
    <s v="TOMSP_10446_Teatime Chocolate Biscuits"/>
    <s v="10446"/>
    <s v="10446"/>
    <s v="Teatime Chocolate Biscuits"/>
    <n v="7.3"/>
    <x v="0"/>
    <x v="5"/>
    <n v="78.84"/>
    <x v="0"/>
    <d v="1995-03-17T00:00:00"/>
    <s v=""/>
    <s v=""/>
  </r>
  <r>
    <x v="1"/>
    <x v="1"/>
    <s v="Karin"/>
    <s v="Josephs"/>
    <s v="Josephs, Karin"/>
    <s v="Josephs, Karin"/>
    <x v="0"/>
    <s v="no"/>
    <s v="no"/>
    <s v="TOMSP"/>
    <n v="10446"/>
    <x v="15"/>
    <x v="15"/>
    <s v="TOMSP_10446_Guaraná Fantástica"/>
    <s v="10446"/>
    <s v="10446"/>
    <s v="Guaraná Fantástica"/>
    <n v="3.6"/>
    <x v="8"/>
    <x v="5"/>
    <n v="64.8"/>
    <x v="0"/>
    <d v="1995-03-17T00:00:00"/>
    <s v=""/>
    <s v=""/>
  </r>
  <r>
    <x v="1"/>
    <x v="1"/>
    <s v="Karin"/>
    <s v="Josephs"/>
    <s v="Josephs, Karin"/>
    <s v="Josephs, Karin"/>
    <x v="0"/>
    <s v="no"/>
    <s v="no"/>
    <s v="TOMSP"/>
    <n v="10446"/>
    <x v="12"/>
    <x v="12"/>
    <s v="TOMSP_10446_Gorgonzola Telino"/>
    <s v="10446"/>
    <s v="10446"/>
    <s v="Gorgonzola Telino"/>
    <n v="10"/>
    <x v="28"/>
    <x v="5"/>
    <n v="27"/>
    <x v="0"/>
    <d v="1995-03-17T00:00:00"/>
    <s v=""/>
    <s v=""/>
  </r>
  <r>
    <x v="1"/>
    <x v="1"/>
    <s v="Karin"/>
    <s v="Josephs"/>
    <s v="Josephs, Karin"/>
    <s v="Josephs, Karin"/>
    <x v="0"/>
    <s v="no"/>
    <s v="no"/>
    <s v="TOMSP"/>
    <n v="10446"/>
    <x v="65"/>
    <x v="65"/>
    <s v="TOMSP_10446_Filo Mix"/>
    <s v="10446"/>
    <s v="10446"/>
    <s v="Filo Mix"/>
    <n v="5.6"/>
    <x v="6"/>
    <x v="5"/>
    <n v="75.600000000000009"/>
    <x v="0"/>
    <d v="1995-03-17T00:00:00"/>
    <s v=""/>
    <s v=""/>
  </r>
  <r>
    <x v="29"/>
    <x v="29"/>
    <s v="Janete"/>
    <s v="Limeira"/>
    <s v="Limeira, Janete"/>
    <s v="Limeira, Janete"/>
    <x v="0"/>
    <s v="no"/>
    <s v="no"/>
    <s v="RICAR"/>
    <n v="10447"/>
    <x v="49"/>
    <x v="49"/>
    <s v="RICAR_10447_Teatime Chocolate Biscuits"/>
    <s v="10447"/>
    <s v="10447"/>
    <s v="Teatime Chocolate Biscuits"/>
    <n v="7.3"/>
    <x v="4"/>
    <x v="0"/>
    <n v="292"/>
    <x v="0"/>
    <d v="1995-03-17T00:00:00"/>
    <s v=""/>
    <s v=""/>
  </r>
  <r>
    <x v="29"/>
    <x v="29"/>
    <s v="Janete"/>
    <s v="Limeira"/>
    <s v="Limeira, Janete"/>
    <s v="Limeira, Janete"/>
    <x v="0"/>
    <s v="no"/>
    <s v="no"/>
    <s v="RICAR"/>
    <n v="10447"/>
    <x v="6"/>
    <x v="6"/>
    <s v="RICAR_10447_Louisiana Fiery Hot Pepper Sauce"/>
    <s v="10447"/>
    <s v="10447"/>
    <s v="Louisiana Fiery Hot Pepper Sauce"/>
    <n v="16.8"/>
    <x v="5"/>
    <x v="0"/>
    <n v="588"/>
    <x v="0"/>
    <d v="1995-03-17T00:00:00"/>
    <s v=""/>
    <s v=""/>
  </r>
  <r>
    <x v="29"/>
    <x v="29"/>
    <s v="Janete"/>
    <s v="Limeira"/>
    <s v="Limeira, Janete"/>
    <s v="Limeira, Janete"/>
    <x v="0"/>
    <s v="no"/>
    <s v="no"/>
    <s v="RICAR"/>
    <n v="10447"/>
    <x v="42"/>
    <x v="42"/>
    <s v="RICAR_10447_Fløtemysost"/>
    <s v="10447"/>
    <s v="10447"/>
    <s v="Fløtemysost"/>
    <n v="17.2"/>
    <x v="17"/>
    <x v="0"/>
    <n v="34.4"/>
    <x v="0"/>
    <d v="1995-03-17T00:00:00"/>
    <s v=""/>
    <s v=""/>
  </r>
  <r>
    <x v="73"/>
    <x v="73"/>
    <s v="Sergio"/>
    <s v="Gutiérrez"/>
    <s v="Gutiérrez, Sergio"/>
    <s v="Gutiérrez, Sergio"/>
    <x v="0"/>
    <s v="no"/>
    <s v="no"/>
    <s v="RANCH"/>
    <n v="10448"/>
    <x v="68"/>
    <x v="68"/>
    <s v="RANCH_10448_Gumbär Gummibärchen"/>
    <s v="10448"/>
    <s v="10448"/>
    <s v="Gumbär Gummibärchen"/>
    <n v="24.9"/>
    <x v="7"/>
    <x v="0"/>
    <n v="149.39999999999998"/>
    <x v="0"/>
    <d v="1995-03-20T00:00:00"/>
    <s v=""/>
    <s v=""/>
  </r>
  <r>
    <x v="73"/>
    <x v="73"/>
    <s v="Sergio"/>
    <s v="Gutiérrez"/>
    <s v="Gutiérrez, Sergio"/>
    <s v="Gutiérrez, Sergio"/>
    <x v="0"/>
    <s v="no"/>
    <s v="no"/>
    <s v="RANCH"/>
    <n v="10448"/>
    <x v="37"/>
    <x v="37"/>
    <s v="RANCH_10448_Boston Crab Meat"/>
    <s v="10448"/>
    <s v="10448"/>
    <s v="Boston Crab Meat"/>
    <n v="14.7"/>
    <x v="8"/>
    <x v="0"/>
    <n v="294"/>
    <x v="0"/>
    <d v="1995-03-20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0449"/>
    <x v="41"/>
    <x v="41"/>
    <s v="BLONP_10449_Ikura"/>
    <s v="10449"/>
    <s v="10449"/>
    <s v="Ikura"/>
    <n v="24.8"/>
    <x v="31"/>
    <x v="0"/>
    <n v="347.2"/>
    <x v="0"/>
    <d v="1995-03-21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0449"/>
    <x v="65"/>
    <x v="65"/>
    <s v="BLONP_10449_Filo Mix"/>
    <s v="10449"/>
    <s v="10449"/>
    <s v="Filo Mix"/>
    <n v="5.6"/>
    <x v="8"/>
    <x v="0"/>
    <n v="112"/>
    <x v="0"/>
    <d v="1995-03-21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0449"/>
    <x v="29"/>
    <x v="29"/>
    <s v="BLONP_10449_Tarte au sucre"/>
    <s v="10449"/>
    <s v="10449"/>
    <s v="Tarte au sucre"/>
    <n v="39.4"/>
    <x v="5"/>
    <x v="0"/>
    <n v="1379"/>
    <x v="0"/>
    <d v="1995-03-21T00:00:00"/>
    <s v=""/>
    <s v=""/>
  </r>
  <r>
    <x v="3"/>
    <x v="3"/>
    <s v="Mary"/>
    <s v="Saveley"/>
    <s v="Saveley, Mary"/>
    <s v="Saveley, Mary"/>
    <x v="0"/>
    <s v="no"/>
    <s v="no"/>
    <s v="VICTE"/>
    <n v="10450"/>
    <x v="41"/>
    <x v="41"/>
    <s v="VICTE_10450_Ikura"/>
    <s v="10450"/>
    <s v="10450"/>
    <s v="Ikura"/>
    <n v="24.8"/>
    <x v="8"/>
    <x v="3"/>
    <n v="396.8"/>
    <x v="0"/>
    <d v="1995-03-22T00:00:00"/>
    <s v=""/>
    <s v=""/>
  </r>
  <r>
    <x v="3"/>
    <x v="3"/>
    <s v="Mary"/>
    <s v="Saveley"/>
    <s v="Saveley, Mary"/>
    <s v="Saveley, Mary"/>
    <x v="0"/>
    <s v="no"/>
    <s v="no"/>
    <s v="VICTE"/>
    <n v="10450"/>
    <x v="55"/>
    <x v="55"/>
    <s v="VICTE_10450_Tourtière"/>
    <s v="10450"/>
    <s v="10450"/>
    <s v="Tourtière"/>
    <n v="5.9"/>
    <x v="7"/>
    <x v="3"/>
    <n v="28.320000000000007"/>
    <x v="0"/>
    <d v="1995-03-22T00:00:00"/>
    <s v=""/>
    <s v=""/>
  </r>
  <r>
    <x v="21"/>
    <x v="21"/>
    <s v="Horst"/>
    <s v="Kloss"/>
    <s v="Kloss, Horst"/>
    <s v="Kloss, Horst"/>
    <x v="0"/>
    <s v="no"/>
    <s v="no"/>
    <s v="QUICK"/>
    <n v="10451"/>
    <x v="16"/>
    <x v="16"/>
    <s v="QUICK_10451_Pâté chinois"/>
    <s v="10451"/>
    <s v="10451"/>
    <s v="Pâté chinois"/>
    <n v="19.2"/>
    <x v="40"/>
    <x v="5"/>
    <n v="2073.6"/>
    <x v="0"/>
    <d v="1995-03-22T00:00:00"/>
    <s v=""/>
    <s v=""/>
  </r>
  <r>
    <x v="21"/>
    <x v="21"/>
    <s v="Horst"/>
    <s v="Kloss"/>
    <s v="Kloss, Horst"/>
    <s v="Kloss, Horst"/>
    <x v="0"/>
    <s v="no"/>
    <s v="no"/>
    <s v="QUICK"/>
    <n v="10451"/>
    <x v="58"/>
    <x v="58"/>
    <s v="QUICK_10451_Wimmers gute Semmelknödel"/>
    <s v="10451"/>
    <s v="10451"/>
    <s v="Wimmers gute Semmelknödel"/>
    <n v="26.6"/>
    <x v="5"/>
    <x v="5"/>
    <n v="837.9"/>
    <x v="0"/>
    <d v="1995-03-22T00:00:00"/>
    <s v=""/>
    <s v=""/>
  </r>
  <r>
    <x v="21"/>
    <x v="21"/>
    <s v="Horst"/>
    <s v="Kloss"/>
    <s v="Kloss, Horst"/>
    <s v="Kloss, Horst"/>
    <x v="0"/>
    <s v="no"/>
    <s v="no"/>
    <s v="QUICK"/>
    <n v="10451"/>
    <x v="6"/>
    <x v="6"/>
    <s v="QUICK_10451_Louisiana Fiery Hot Pepper Sauce"/>
    <s v="10451"/>
    <s v="10451"/>
    <s v="Louisiana Fiery Hot Pepper Sauce"/>
    <n v="16.8"/>
    <x v="19"/>
    <x v="5"/>
    <n v="423.36"/>
    <x v="0"/>
    <d v="1995-03-22T00:00:00"/>
    <s v=""/>
    <s v=""/>
  </r>
  <r>
    <x v="21"/>
    <x v="21"/>
    <s v="Horst"/>
    <s v="Kloss"/>
    <s v="Kloss, Horst"/>
    <s v="Kloss, Horst"/>
    <x v="0"/>
    <s v="no"/>
    <s v="no"/>
    <s v="QUICK"/>
    <n v="10451"/>
    <x v="23"/>
    <x v="23"/>
    <s v="QUICK_10451_Original Frankfurter grüne Soße"/>
    <s v="10451"/>
    <s v="10451"/>
    <s v="Original Frankfurter grüne Soße"/>
    <n v="10.4"/>
    <x v="38"/>
    <x v="5"/>
    <n v="514.80000000000007"/>
    <x v="0"/>
    <d v="1995-03-22T00:00:00"/>
    <s v=""/>
    <s v=""/>
  </r>
  <r>
    <x v="45"/>
    <x v="45"/>
    <s v="Jose"/>
    <s v="Pavarotti"/>
    <s v="Pavarotti, Jose"/>
    <s v="Pavarotti, Jose"/>
    <x v="0"/>
    <s v="no"/>
    <s v="no"/>
    <s v="SAVEA"/>
    <n v="10452"/>
    <x v="44"/>
    <x v="44"/>
    <s v="SAVEA_10452_Rössle Sauerkraut"/>
    <s v="10452"/>
    <s v="10452"/>
    <s v="Rössle Sauerkraut"/>
    <n v="36.4"/>
    <x v="6"/>
    <x v="0"/>
    <n v="546"/>
    <x v="0"/>
    <d v="1995-03-23T00:00:00"/>
    <s v=""/>
    <s v=""/>
  </r>
  <r>
    <x v="45"/>
    <x v="45"/>
    <s v="Jose"/>
    <s v="Pavarotti"/>
    <s v="Pavarotti, Jose"/>
    <s v="Pavarotti, Jose"/>
    <x v="0"/>
    <s v="no"/>
    <s v="no"/>
    <s v="SAVEA"/>
    <n v="10452"/>
    <x v="45"/>
    <x v="45"/>
    <s v="SAVEA_10452_Gula Malacca"/>
    <s v="10452"/>
    <s v="10452"/>
    <s v="Gula Malacca"/>
    <n v="15.5"/>
    <x v="30"/>
    <x v="2"/>
    <n v="1472.5"/>
    <x v="0"/>
    <d v="1995-03-23T00:00:00"/>
    <s v=""/>
    <s v=""/>
  </r>
  <r>
    <x v="55"/>
    <x v="55"/>
    <s v="Thomas"/>
    <s v="Hardy"/>
    <s v="Hardy, Thomas"/>
    <s v="Hardy, Thomas"/>
    <x v="0"/>
    <s v="no"/>
    <s v="no"/>
    <s v="AROUT"/>
    <n v="10453"/>
    <x v="74"/>
    <x v="74"/>
    <s v="AROUT_10453_Chocolade"/>
    <s v="10453"/>
    <s v="10453"/>
    <s v="Chocolade"/>
    <n v="10.199999999999999"/>
    <x v="6"/>
    <x v="5"/>
    <n v="137.70000000000002"/>
    <x v="0"/>
    <d v="1995-03-24T00:00:00"/>
    <s v=""/>
    <s v=""/>
  </r>
  <r>
    <x v="55"/>
    <x v="55"/>
    <s v="Thomas"/>
    <s v="Hardy"/>
    <s v="Hardy, Thomas"/>
    <s v="Hardy, Thomas"/>
    <x v="0"/>
    <s v="no"/>
    <s v="no"/>
    <s v="AROUT"/>
    <n v="10453"/>
    <x v="30"/>
    <x v="30"/>
    <s v="AROUT_10453_Outback Lager"/>
    <s v="10453"/>
    <s v="10453"/>
    <s v="Outback Lager"/>
    <n v="12"/>
    <x v="9"/>
    <x v="5"/>
    <n v="270"/>
    <x v="0"/>
    <d v="1995-03-24T00:00:00"/>
    <s v=""/>
    <s v=""/>
  </r>
  <r>
    <x v="53"/>
    <x v="53"/>
    <s v="Annette"/>
    <s v="Roulet"/>
    <s v="Roulet, Annette"/>
    <s v="Roulet, Annette"/>
    <x v="0"/>
    <s v="no"/>
    <s v="no"/>
    <s v="LAMAI"/>
    <n v="10454"/>
    <x v="19"/>
    <x v="19"/>
    <s v="LAMAI_10454_Pavlova"/>
    <s v="10454"/>
    <s v="10454"/>
    <s v="Pavlova"/>
    <n v="13.9"/>
    <x v="8"/>
    <x v="3"/>
    <n v="222.4"/>
    <x v="0"/>
    <d v="1995-03-24T00:00:00"/>
    <s v=""/>
    <s v=""/>
  </r>
  <r>
    <x v="53"/>
    <x v="53"/>
    <s v="Annette"/>
    <s v="Roulet"/>
    <s v="Roulet, Annette"/>
    <s v="Roulet, Annette"/>
    <x v="0"/>
    <s v="no"/>
    <s v="no"/>
    <s v="LAMAI"/>
    <n v="10454"/>
    <x v="10"/>
    <x v="10"/>
    <s v="LAMAI_10454_Geitost"/>
    <s v="10454"/>
    <s v="10454"/>
    <s v="Geitost"/>
    <n v="2"/>
    <x v="8"/>
    <x v="3"/>
    <n v="32"/>
    <x v="0"/>
    <d v="1995-03-24T00:00:00"/>
    <s v=""/>
    <s v=""/>
  </r>
  <r>
    <x v="53"/>
    <x v="53"/>
    <s v="Annette"/>
    <s v="Roulet"/>
    <s v="Roulet, Annette"/>
    <s v="Roulet, Annette"/>
    <x v="0"/>
    <s v="no"/>
    <s v="no"/>
    <s v="LAMAI"/>
    <n v="10454"/>
    <x v="54"/>
    <x v="54"/>
    <s v="LAMAI_10454_Spegesild"/>
    <s v="10454"/>
    <s v="10454"/>
    <s v="Spegesild"/>
    <n v="9.6"/>
    <x v="1"/>
    <x v="3"/>
    <n v="76.800000000000011"/>
    <x v="0"/>
    <d v="1995-03-24T00:00:00"/>
    <s v=""/>
    <s v=""/>
  </r>
  <r>
    <x v="16"/>
    <x v="16"/>
    <s v="Pirkko"/>
    <s v="Koskitalo"/>
    <s v="Koskitalo, Pirkko"/>
    <s v="Koskitalo, Pirkko"/>
    <x v="0"/>
    <s v="no"/>
    <s v="no"/>
    <s v="WARTH"/>
    <n v="10455"/>
    <x v="13"/>
    <x v="13"/>
    <s v="WARTH_10455_Chartreuse verte"/>
    <s v="10455"/>
    <s v="10455"/>
    <s v="Chartreuse verte"/>
    <n v="14.4"/>
    <x v="8"/>
    <x v="0"/>
    <n v="288"/>
    <x v="0"/>
    <d v="1995-03-27T00:00:00"/>
    <s v=""/>
    <s v=""/>
  </r>
  <r>
    <x v="16"/>
    <x v="16"/>
    <s v="Pirkko"/>
    <s v="Koskitalo"/>
    <s v="Koskitalo, Pirkko"/>
    <s v="Koskitalo, Pirkko"/>
    <x v="0"/>
    <s v="no"/>
    <s v="no"/>
    <s v="WARTH"/>
    <n v="10455"/>
    <x v="22"/>
    <x v="22"/>
    <s v="WARTH_10455_Perth Pasties"/>
    <s v="10455"/>
    <s v="10455"/>
    <s v="Perth Pasties"/>
    <n v="26.2"/>
    <x v="13"/>
    <x v="0"/>
    <n v="1310"/>
    <x v="0"/>
    <d v="1995-03-27T00:00:00"/>
    <s v=""/>
    <s v=""/>
  </r>
  <r>
    <x v="16"/>
    <x v="16"/>
    <s v="Pirkko"/>
    <s v="Koskitalo"/>
    <s v="Koskitalo, Pirkko"/>
    <s v="Koskitalo, Pirkko"/>
    <x v="0"/>
    <s v="no"/>
    <s v="no"/>
    <s v="WARTH"/>
    <n v="10455"/>
    <x v="75"/>
    <x v="75"/>
    <s v="WARTH_10455_Sirop d'érable"/>
    <s v="10455"/>
    <s v="10455"/>
    <s v="Sirop d'érable"/>
    <n v="22.8"/>
    <x v="9"/>
    <x v="0"/>
    <n v="570"/>
    <x v="0"/>
    <d v="1995-03-27T00:00:00"/>
    <s v=""/>
    <s v=""/>
  </r>
  <r>
    <x v="16"/>
    <x v="16"/>
    <s v="Pirkko"/>
    <s v="Koskitalo"/>
    <s v="Koskitalo, Pirkko"/>
    <s v="Koskitalo, Pirkko"/>
    <x v="0"/>
    <s v="no"/>
    <s v="no"/>
    <s v="WARTH"/>
    <n v="10455"/>
    <x v="42"/>
    <x v="42"/>
    <s v="WARTH_10455_Fløtemysost"/>
    <s v="10455"/>
    <s v="10455"/>
    <s v="Fløtemysost"/>
    <n v="17.2"/>
    <x v="12"/>
    <x v="0"/>
    <n v="516"/>
    <x v="0"/>
    <d v="1995-03-27T00:00:00"/>
    <s v=""/>
    <s v=""/>
  </r>
  <r>
    <x v="44"/>
    <x v="44"/>
    <s v="Philip"/>
    <s v="Cramer"/>
    <s v="Cramer, Philip"/>
    <s v="Cramer, Philip"/>
    <x v="0"/>
    <s v="no"/>
    <s v="no"/>
    <s v="KOENE"/>
    <n v="10456"/>
    <x v="27"/>
    <x v="27"/>
    <s v="KOENE_10456_Sir Rodney's Scones"/>
    <s v="10456"/>
    <s v="10456"/>
    <s v="Sir Rodney's Scones"/>
    <n v="8"/>
    <x v="4"/>
    <x v="1"/>
    <n v="272"/>
    <x v="0"/>
    <d v="1995-03-28T00:00:00"/>
    <s v=""/>
    <s v=""/>
  </r>
  <r>
    <x v="44"/>
    <x v="44"/>
    <s v="Philip"/>
    <s v="Cramer"/>
    <s v="Cramer, Philip"/>
    <s v="Cramer, Philip"/>
    <x v="0"/>
    <s v="no"/>
    <s v="no"/>
    <s v="KOENE"/>
    <n v="10456"/>
    <x v="14"/>
    <x v="14"/>
    <s v="KOENE_10456_Maxilaku"/>
    <s v="10456"/>
    <s v="10456"/>
    <s v="Maxilaku"/>
    <n v="16"/>
    <x v="11"/>
    <x v="1"/>
    <n v="285.59999999999997"/>
    <x v="0"/>
    <d v="1995-03-28T00:00:00"/>
    <s v=""/>
    <s v=""/>
  </r>
  <r>
    <x v="44"/>
    <x v="44"/>
    <s v="Philip"/>
    <s v="Cramer"/>
    <s v="Cramer, Philip"/>
    <s v="Cramer, Philip"/>
    <x v="0"/>
    <s v="no"/>
    <s v="no"/>
    <s v="KOENE"/>
    <n v="10457"/>
    <x v="21"/>
    <x v="21"/>
    <s v="KOENE_10457_Raclette Courdavault"/>
    <s v="10457"/>
    <s v="10457"/>
    <s v="Raclette Courdavault"/>
    <n v="44"/>
    <x v="20"/>
    <x v="0"/>
    <n v="1584"/>
    <x v="0"/>
    <d v="1995-03-28T00:00:00"/>
    <s v=""/>
    <s v=""/>
  </r>
  <r>
    <x v="4"/>
    <x v="4"/>
    <s v="Pascale"/>
    <s v="Cartrain"/>
    <s v="Cartrain, Pascale"/>
    <s v="Cartrain, Pascale"/>
    <x v="0"/>
    <s v="no"/>
    <s v="no"/>
    <s v="SUPRD"/>
    <n v="10458"/>
    <x v="68"/>
    <x v="68"/>
    <s v="SUPRD_10458_Gumbär Gummibärchen"/>
    <s v="10458"/>
    <s v="10458"/>
    <s v="Gumbär Gummibärchen"/>
    <n v="24.9"/>
    <x v="12"/>
    <x v="0"/>
    <n v="747"/>
    <x v="0"/>
    <d v="1995-03-29T00:00:00"/>
    <s v=""/>
    <s v=""/>
  </r>
  <r>
    <x v="4"/>
    <x v="4"/>
    <s v="Pascale"/>
    <s v="Cartrain"/>
    <s v="Cartrain, Pascale"/>
    <s v="Cartrain, Pascale"/>
    <x v="0"/>
    <s v="no"/>
    <s v="no"/>
    <s v="SUPRD"/>
    <n v="10458"/>
    <x v="44"/>
    <x v="44"/>
    <s v="SUPRD_10458_Rössle Sauerkraut"/>
    <s v="10458"/>
    <s v="10458"/>
    <s v="Rössle Sauerkraut"/>
    <n v="36.4"/>
    <x v="12"/>
    <x v="0"/>
    <n v="1092"/>
    <x v="0"/>
    <d v="1995-03-29T00:00:00"/>
    <s v=""/>
    <s v=""/>
  </r>
  <r>
    <x v="4"/>
    <x v="4"/>
    <s v="Pascale"/>
    <s v="Cartrain"/>
    <s v="Cartrain, Pascale"/>
    <s v="Cartrain, Pascale"/>
    <x v="0"/>
    <s v="no"/>
    <s v="no"/>
    <s v="SUPRD"/>
    <n v="10458"/>
    <x v="40"/>
    <x v="40"/>
    <s v="SUPRD_10458_Ipoh Coffee"/>
    <s v="10458"/>
    <s v="10458"/>
    <s v="Ipoh Coffee"/>
    <n v="36.799999999999997"/>
    <x v="8"/>
    <x v="0"/>
    <n v="736"/>
    <x v="0"/>
    <d v="1995-03-29T00:00:00"/>
    <s v=""/>
    <s v=""/>
  </r>
  <r>
    <x v="4"/>
    <x v="4"/>
    <s v="Pascale"/>
    <s v="Cartrain"/>
    <s v="Cartrain, Pascale"/>
    <s v="Cartrain, Pascale"/>
    <x v="0"/>
    <s v="no"/>
    <s v="no"/>
    <s v="SUPRD"/>
    <n v="10458"/>
    <x v="33"/>
    <x v="33"/>
    <s v="SUPRD_10458_Gnocchi di nonna Alice"/>
    <s v="10458"/>
    <s v="10458"/>
    <s v="Gnocchi di nonna Alice"/>
    <n v="30.4"/>
    <x v="6"/>
    <x v="0"/>
    <n v="456"/>
    <x v="0"/>
    <d v="1995-03-29T00:00:00"/>
    <s v=""/>
    <s v=""/>
  </r>
  <r>
    <x v="4"/>
    <x v="4"/>
    <s v="Pascale"/>
    <s v="Cartrain"/>
    <s v="Cartrain, Pascale"/>
    <s v="Cartrain, Pascale"/>
    <x v="0"/>
    <s v="no"/>
    <s v="no"/>
    <s v="SUPRD"/>
    <n v="10458"/>
    <x v="42"/>
    <x v="42"/>
    <s v="SUPRD_10458_Fløtemysost"/>
    <s v="10458"/>
    <s v="10458"/>
    <s v="Fløtemysost"/>
    <n v="17.2"/>
    <x v="13"/>
    <x v="0"/>
    <n v="860"/>
    <x v="0"/>
    <d v="1995-03-29T00:00:00"/>
    <s v=""/>
    <s v=""/>
  </r>
  <r>
    <x v="3"/>
    <x v="3"/>
    <s v="Mary"/>
    <s v="Saveley"/>
    <s v="Saveley, Mary"/>
    <s v="Saveley, Mary"/>
    <x v="0"/>
    <s v="no"/>
    <s v="no"/>
    <s v="VICTE"/>
    <n v="10459"/>
    <x v="32"/>
    <x v="32"/>
    <s v="VICTE_10459_Uncle Bob's Organic Dried Pears"/>
    <s v="10459"/>
    <s v="10459"/>
    <s v="Uncle Bob's Organic Dried Pears"/>
    <n v="24"/>
    <x v="16"/>
    <x v="2"/>
    <n v="364.79999999999995"/>
    <x v="0"/>
    <d v="1995-03-30T00:00:00"/>
    <s v=""/>
    <s v=""/>
  </r>
  <r>
    <x v="3"/>
    <x v="3"/>
    <s v="Mary"/>
    <s v="Saveley"/>
    <s v="Saveley, Mary"/>
    <s v="Saveley, Mary"/>
    <x v="0"/>
    <s v="no"/>
    <s v="no"/>
    <s v="VICTE"/>
    <n v="10459"/>
    <x v="54"/>
    <x v="54"/>
    <s v="VICTE_10459_Spegesild"/>
    <s v="10459"/>
    <s v="10459"/>
    <s v="Spegesild"/>
    <n v="9.6"/>
    <x v="8"/>
    <x v="2"/>
    <n v="182.39999999999998"/>
    <x v="0"/>
    <d v="1995-03-30T00:00:00"/>
    <s v=""/>
    <s v=""/>
  </r>
  <r>
    <x v="3"/>
    <x v="3"/>
    <s v="Mary"/>
    <s v="Saveley"/>
    <s v="Saveley, Mary"/>
    <s v="Saveley, Mary"/>
    <x v="0"/>
    <s v="no"/>
    <s v="no"/>
    <s v="VICTE"/>
    <n v="10459"/>
    <x v="2"/>
    <x v="2"/>
    <s v="VICTE_10459_Mozzarella di Giovanni"/>
    <s v="10459"/>
    <s v="10459"/>
    <s v="Mozzarella di Giovanni"/>
    <n v="27.8"/>
    <x v="4"/>
    <x v="0"/>
    <n v="1112"/>
    <x v="0"/>
    <d v="1995-03-30T00:00:00"/>
    <s v=""/>
    <s v=""/>
  </r>
  <r>
    <x v="14"/>
    <x v="14"/>
    <s v="Maria"/>
    <s v="Larsson"/>
    <s v="Larsson, Maria"/>
    <s v="Larsson, Maria"/>
    <x v="0"/>
    <s v="no"/>
    <s v="no"/>
    <s v="FOLKO"/>
    <n v="10460"/>
    <x v="56"/>
    <x v="56"/>
    <s v="FOLKO_10460_Scottish Longbreads"/>
    <s v="10460"/>
    <s v="10460"/>
    <s v="Scottish Longbreads"/>
    <n v="10"/>
    <x v="11"/>
    <x v="4"/>
    <n v="157.5"/>
    <x v="0"/>
    <d v="1995-03-31T00:00:00"/>
    <s v=""/>
    <s v=""/>
  </r>
  <r>
    <x v="14"/>
    <x v="14"/>
    <s v="Maria"/>
    <s v="Larsson"/>
    <s v="Larsson, Maria"/>
    <s v="Larsson, Maria"/>
    <x v="0"/>
    <s v="no"/>
    <s v="no"/>
    <s v="FOLKO"/>
    <n v="10460"/>
    <x v="48"/>
    <x v="48"/>
    <s v="FOLKO_10460_Rhönbräu Klosterbier"/>
    <s v="10460"/>
    <s v="10460"/>
    <s v="Rhönbräu Klosterbier"/>
    <n v="6.2"/>
    <x v="22"/>
    <x v="4"/>
    <n v="18.600000000000001"/>
    <x v="0"/>
    <d v="1995-03-31T00:00:00"/>
    <s v=""/>
    <s v=""/>
  </r>
  <r>
    <x v="28"/>
    <x v="28"/>
    <s v="Carlos"/>
    <s v="González"/>
    <s v="González, Carlos"/>
    <s v="González, Carlos"/>
    <x v="0"/>
    <s v="no"/>
    <s v="no"/>
    <s v="LILAS"/>
    <n v="10461"/>
    <x v="27"/>
    <x v="27"/>
    <s v="LILAS_10461_Sir Rodney's Scones"/>
    <s v="10461"/>
    <s v="10461"/>
    <s v="Sir Rodney's Scones"/>
    <n v="8"/>
    <x v="4"/>
    <x v="4"/>
    <n v="240"/>
    <x v="0"/>
    <d v="1995-03-31T00:00:00"/>
    <s v=""/>
    <s v=""/>
  </r>
  <r>
    <x v="28"/>
    <x v="28"/>
    <s v="Carlos"/>
    <s v="González"/>
    <s v="González, Carlos"/>
    <s v="González, Carlos"/>
    <x v="0"/>
    <s v="no"/>
    <s v="no"/>
    <s v="LILAS"/>
    <n v="10461"/>
    <x v="34"/>
    <x v="34"/>
    <s v="LILAS_10461_Nord-Ost Matjeshering"/>
    <s v="10461"/>
    <s v="10461"/>
    <s v="Nord-Ost Matjeshering"/>
    <n v="20.7"/>
    <x v="19"/>
    <x v="4"/>
    <n v="434.70000000000005"/>
    <x v="0"/>
    <d v="1995-03-31T00:00:00"/>
    <s v=""/>
    <s v=""/>
  </r>
  <r>
    <x v="28"/>
    <x v="28"/>
    <s v="Carlos"/>
    <s v="González"/>
    <s v="González, Carlos"/>
    <s v="González, Carlos"/>
    <x v="0"/>
    <s v="no"/>
    <s v="no"/>
    <s v="LILAS"/>
    <n v="10461"/>
    <x v="16"/>
    <x v="16"/>
    <s v="LILAS_10461_Pâté chinois"/>
    <s v="10461"/>
    <s v="10461"/>
    <s v="Pâté chinois"/>
    <n v="19.2"/>
    <x v="18"/>
    <x v="4"/>
    <n v="864"/>
    <x v="0"/>
    <d v="1995-03-31T00:00:00"/>
    <s v=""/>
    <s v=""/>
  </r>
  <r>
    <x v="72"/>
    <x v="72"/>
    <s v="Elizabeth"/>
    <s v="Brown"/>
    <s v="Brown, Elizabeth"/>
    <s v="Brown, Elizabeth"/>
    <x v="0"/>
    <s v="no"/>
    <s v="no"/>
    <s v="CONSH"/>
    <n v="10462"/>
    <x v="43"/>
    <x v="43"/>
    <s v="CONSH_10462_Konbu"/>
    <s v="10462"/>
    <s v="10462"/>
    <s v="Konbu"/>
    <n v="4.8"/>
    <x v="15"/>
    <x v="0"/>
    <n v="4.8"/>
    <x v="0"/>
    <d v="1995-04-03T00:00:00"/>
    <s v=""/>
    <s v=""/>
  </r>
  <r>
    <x v="72"/>
    <x v="72"/>
    <s v="Elizabeth"/>
    <s v="Brown"/>
    <s v="Brown, Elizabeth"/>
    <s v="Brown, Elizabeth"/>
    <x v="0"/>
    <s v="no"/>
    <s v="no"/>
    <s v="CONSH"/>
    <n v="10462"/>
    <x v="70"/>
    <x v="70"/>
    <s v="CONSH_10462_Tunnbröd"/>
    <s v="10462"/>
    <s v="10462"/>
    <s v="Tunnbröd"/>
    <n v="7.2"/>
    <x v="11"/>
    <x v="0"/>
    <n v="151.20000000000002"/>
    <x v="0"/>
    <d v="1995-04-03T00:00:00"/>
    <s v=""/>
    <s v=""/>
  </r>
  <r>
    <x v="4"/>
    <x v="4"/>
    <s v="Pascale"/>
    <s v="Cartrain"/>
    <s v="Cartrain, Pascale"/>
    <s v="Cartrain, Pascale"/>
    <x v="0"/>
    <s v="no"/>
    <s v="no"/>
    <s v="SUPRD"/>
    <n v="10463"/>
    <x v="49"/>
    <x v="49"/>
    <s v="SUPRD_10463_Teatime Chocolate Biscuits"/>
    <s v="10463"/>
    <s v="10463"/>
    <s v="Teatime Chocolate Biscuits"/>
    <n v="7.3"/>
    <x v="11"/>
    <x v="0"/>
    <n v="153.29999999999998"/>
    <x v="0"/>
    <d v="1995-04-04T00:00:00"/>
    <s v=""/>
    <s v=""/>
  </r>
  <r>
    <x v="4"/>
    <x v="4"/>
    <s v="Pascale"/>
    <s v="Cartrain"/>
    <s v="Cartrain, Pascale"/>
    <s v="Cartrain, Pascale"/>
    <x v="0"/>
    <s v="no"/>
    <s v="no"/>
    <s v="SUPRD"/>
    <n v="10463"/>
    <x v="1"/>
    <x v="1"/>
    <s v="SUPRD_10463_Singaporean Hokkien Fried Mee"/>
    <s v="10463"/>
    <s v="10463"/>
    <s v="Singaporean Hokkien Fried Mee"/>
    <n v="11.2"/>
    <x v="13"/>
    <x v="0"/>
    <n v="560"/>
    <x v="0"/>
    <d v="1995-04-04T00:00:00"/>
    <s v=""/>
    <s v=""/>
  </r>
  <r>
    <x v="47"/>
    <x v="47"/>
    <s v="Lino"/>
    <s v="Rodriguez"/>
    <s v="Rodriguez, Lino"/>
    <s v="Rodriguez, Lino"/>
    <x v="0"/>
    <s v="no"/>
    <s v="no"/>
    <s v="FURIB"/>
    <n v="10464"/>
    <x v="62"/>
    <x v="62"/>
    <s v="FURIB_10464_Chef Anton's Cajun Seasoning"/>
    <s v="10464"/>
    <s v="10464"/>
    <s v="Chef Anton's Cajun Seasoning"/>
    <n v="17.600000000000001"/>
    <x v="16"/>
    <x v="3"/>
    <n v="225.28000000000003"/>
    <x v="0"/>
    <d v="1995-04-04T00:00:00"/>
    <s v=""/>
    <s v=""/>
  </r>
  <r>
    <x v="47"/>
    <x v="47"/>
    <s v="Lino"/>
    <s v="Rodriguez"/>
    <s v="Rodriguez, Lino"/>
    <s v="Rodriguez, Lino"/>
    <x v="0"/>
    <s v="no"/>
    <s v="no"/>
    <s v="FURIB"/>
    <n v="10464"/>
    <x v="40"/>
    <x v="40"/>
    <s v="FURIB_10464_Ipoh Coffee"/>
    <s v="10464"/>
    <s v="10464"/>
    <s v="Ipoh Coffee"/>
    <n v="36.799999999999997"/>
    <x v="28"/>
    <x v="0"/>
    <n v="110.39999999999999"/>
    <x v="0"/>
    <d v="1995-04-04T00:00:00"/>
    <s v=""/>
    <s v=""/>
  </r>
  <r>
    <x v="47"/>
    <x v="47"/>
    <s v="Lino"/>
    <s v="Rodriguez"/>
    <s v="Rodriguez, Lino"/>
    <s v="Rodriguez, Lino"/>
    <x v="0"/>
    <s v="no"/>
    <s v="no"/>
    <s v="FURIB"/>
    <n v="10464"/>
    <x v="33"/>
    <x v="33"/>
    <s v="FURIB_10464_Gnocchi di nonna Alice"/>
    <s v="10464"/>
    <s v="10464"/>
    <s v="Gnocchi di nonna Alice"/>
    <n v="30.4"/>
    <x v="12"/>
    <x v="3"/>
    <n v="729.6"/>
    <x v="0"/>
    <d v="1995-04-04T00:00:00"/>
    <s v=""/>
    <s v=""/>
  </r>
  <r>
    <x v="47"/>
    <x v="47"/>
    <s v="Lino"/>
    <s v="Rodriguez"/>
    <s v="Rodriguez, Lino"/>
    <s v="Rodriguez, Lino"/>
    <x v="0"/>
    <s v="no"/>
    <s v="no"/>
    <s v="FURIB"/>
    <n v="10464"/>
    <x v="11"/>
    <x v="11"/>
    <s v="FURIB_10464_Camembert Pierrot"/>
    <s v="10464"/>
    <s v="10464"/>
    <s v="Camembert Pierrot"/>
    <n v="27.2"/>
    <x v="8"/>
    <x v="0"/>
    <n v="544"/>
    <x v="0"/>
    <d v="1995-04-04T00:00:00"/>
    <s v=""/>
    <s v=""/>
  </r>
  <r>
    <x v="61"/>
    <x v="61"/>
    <s v="Palle"/>
    <s v="Ibsen"/>
    <s v="Ibsen, Palle"/>
    <s v="Ibsen, Palle"/>
    <x v="0"/>
    <s v="no"/>
    <s v="no"/>
    <s v="VAFFE"/>
    <n v="10465"/>
    <x v="15"/>
    <x v="15"/>
    <s v="VAFFE_10465_Guaraná Fantástica"/>
    <s v="10465"/>
    <s v="10465"/>
    <s v="Guaraná Fantástica"/>
    <n v="3.6"/>
    <x v="9"/>
    <x v="0"/>
    <n v="90"/>
    <x v="0"/>
    <d v="1995-04-05T00:00:00"/>
    <s v=""/>
    <s v=""/>
  </r>
  <r>
    <x v="61"/>
    <x v="61"/>
    <s v="Palle"/>
    <s v="Ibsen"/>
    <s v="Ibsen, Palle"/>
    <s v="Ibsen, Palle"/>
    <x v="0"/>
    <s v="no"/>
    <s v="no"/>
    <s v="VAFFE"/>
    <n v="10465"/>
    <x v="39"/>
    <x v="39"/>
    <s v="VAFFE_10465_Thüringer Rostbratwurst"/>
    <s v="10465"/>
    <s v="10465"/>
    <s v="Thüringer Rostbratwurst"/>
    <n v="99"/>
    <x v="27"/>
    <x v="5"/>
    <n v="1603.8"/>
    <x v="0"/>
    <d v="1995-04-05T00:00:00"/>
    <s v=""/>
    <s v=""/>
  </r>
  <r>
    <x v="61"/>
    <x v="61"/>
    <s v="Palle"/>
    <s v="Ibsen"/>
    <s v="Ibsen, Palle"/>
    <s v="Ibsen, Palle"/>
    <x v="0"/>
    <s v="no"/>
    <s v="no"/>
    <s v="VAFFE"/>
    <n v="10465"/>
    <x v="37"/>
    <x v="37"/>
    <s v="VAFFE_10465_Boston Crab Meat"/>
    <s v="10465"/>
    <s v="10465"/>
    <s v="Boston Crab Meat"/>
    <n v="14.7"/>
    <x v="8"/>
    <x v="0"/>
    <n v="294"/>
    <x v="0"/>
    <d v="1995-04-05T00:00:00"/>
    <s v=""/>
    <s v=""/>
  </r>
  <r>
    <x v="61"/>
    <x v="61"/>
    <s v="Palle"/>
    <s v="Ibsen"/>
    <s v="Ibsen, Palle"/>
    <s v="Ibsen, Palle"/>
    <x v="0"/>
    <s v="no"/>
    <s v="no"/>
    <s v="VAFFE"/>
    <n v="10465"/>
    <x v="73"/>
    <x v="73"/>
    <s v="VAFFE_10465_Røgede sild"/>
    <s v="10465"/>
    <s v="10465"/>
    <s v="Røgede sild"/>
    <n v="7.6"/>
    <x v="12"/>
    <x v="5"/>
    <n v="205.20000000000002"/>
    <x v="0"/>
    <d v="1995-04-05T00:00:00"/>
    <s v=""/>
    <s v=""/>
  </r>
  <r>
    <x v="61"/>
    <x v="61"/>
    <s v="Palle"/>
    <s v="Ibsen"/>
    <s v="Ibsen, Palle"/>
    <s v="Ibsen, Palle"/>
    <x v="0"/>
    <s v="no"/>
    <s v="no"/>
    <s v="VAFFE"/>
    <n v="10465"/>
    <x v="72"/>
    <x v="72"/>
    <s v="VAFFE_10465_Valkoinen suklaa"/>
    <s v="10465"/>
    <s v="10465"/>
    <s v="Valkoinen suklaa"/>
    <n v="13"/>
    <x v="9"/>
    <x v="0"/>
    <n v="325"/>
    <x v="0"/>
    <d v="1995-04-05T00:00:00"/>
    <s v=""/>
    <s v=""/>
  </r>
  <r>
    <x v="32"/>
    <x v="32"/>
    <s v="Pedro"/>
    <s v="Afonso"/>
    <s v="Afonso, Pedro"/>
    <s v="Afonso, Pedro"/>
    <x v="0"/>
    <s v="no"/>
    <s v="no"/>
    <s v="COMMI"/>
    <n v="10466"/>
    <x v="0"/>
    <x v="0"/>
    <s v="COMMI_10466_Queso Cabrales"/>
    <s v="10466"/>
    <s v="10466"/>
    <s v="Queso Cabrales"/>
    <n v="16.8"/>
    <x v="1"/>
    <x v="0"/>
    <n v="168"/>
    <x v="0"/>
    <d v="1995-04-06T00:00:00"/>
    <s v=""/>
    <s v=""/>
  </r>
  <r>
    <x v="32"/>
    <x v="32"/>
    <s v="Pedro"/>
    <s v="Afonso"/>
    <s v="Afonso, Pedro"/>
    <s v="Afonso, Pedro"/>
    <x v="0"/>
    <s v="no"/>
    <s v="no"/>
    <s v="COMMI"/>
    <n v="10466"/>
    <x v="54"/>
    <x v="54"/>
    <s v="COMMI_10466_Spegesild"/>
    <s v="10466"/>
    <s v="10466"/>
    <s v="Spegesild"/>
    <n v="9.6"/>
    <x v="2"/>
    <x v="0"/>
    <n v="48"/>
    <x v="0"/>
    <d v="1995-04-06T00:00:00"/>
    <s v=""/>
    <s v=""/>
  </r>
  <r>
    <x v="22"/>
    <x v="22"/>
    <s v="Giovanni"/>
    <s v="Rovelli"/>
    <s v="Rovelli, Giovanni"/>
    <s v="Rovelli, Giovanni"/>
    <x v="0"/>
    <s v="no"/>
    <s v="no"/>
    <s v="MAGAA"/>
    <n v="10467"/>
    <x v="15"/>
    <x v="15"/>
    <s v="MAGAA_10467_Guaraná Fantástica"/>
    <s v="10467"/>
    <s v="10467"/>
    <s v="Guaraná Fantástica"/>
    <n v="3.6"/>
    <x v="19"/>
    <x v="0"/>
    <n v="100.8"/>
    <x v="0"/>
    <d v="1995-04-06T00:00:00"/>
    <s v=""/>
    <s v=""/>
  </r>
  <r>
    <x v="22"/>
    <x v="22"/>
    <s v="Giovanni"/>
    <s v="Rovelli"/>
    <s v="Rovelli, Giovanni"/>
    <s v="Rovelli, Giovanni"/>
    <x v="0"/>
    <s v="no"/>
    <s v="no"/>
    <s v="MAGAA"/>
    <n v="10467"/>
    <x v="66"/>
    <x v="66"/>
    <s v="MAGAA_10467_NuNuCa Nuß-Nougat-Creme"/>
    <s v="10467"/>
    <s v="10467"/>
    <s v="NuNuCa Nuß-Nougat-Creme"/>
    <n v="11.2"/>
    <x v="0"/>
    <x v="0"/>
    <n v="134.39999999999998"/>
    <x v="0"/>
    <d v="1995-04-06T00:00:00"/>
    <s v=""/>
    <s v=""/>
  </r>
  <r>
    <x v="44"/>
    <x v="44"/>
    <s v="Philip"/>
    <s v="Cramer"/>
    <s v="Cramer, Philip"/>
    <s v="Cramer, Philip"/>
    <x v="0"/>
    <s v="no"/>
    <s v="no"/>
    <s v="KOENE"/>
    <n v="10468"/>
    <x v="34"/>
    <x v="34"/>
    <s v="KOENE_10468_Nord-Ost Matjeshering"/>
    <s v="10468"/>
    <s v="10468"/>
    <s v="Nord-Ost Matjeshering"/>
    <n v="20.7"/>
    <x v="26"/>
    <x v="0"/>
    <n v="165.6"/>
    <x v="0"/>
    <d v="1995-04-07T00:00:00"/>
    <s v=""/>
    <s v=""/>
  </r>
  <r>
    <x v="44"/>
    <x v="44"/>
    <s v="Philip"/>
    <s v="Cramer"/>
    <s v="Cramer, Philip"/>
    <s v="Cramer, Philip"/>
    <x v="0"/>
    <s v="no"/>
    <s v="no"/>
    <s v="KOENE"/>
    <n v="10468"/>
    <x v="40"/>
    <x v="40"/>
    <s v="KOENE_10468_Ipoh Coffee"/>
    <s v="10468"/>
    <s v="10468"/>
    <s v="Ipoh Coffee"/>
    <n v="36.799999999999997"/>
    <x v="6"/>
    <x v="0"/>
    <n v="552"/>
    <x v="0"/>
    <d v="1995-04-07T00:00:00"/>
    <s v=""/>
    <s v=""/>
  </r>
  <r>
    <x v="19"/>
    <x v="19"/>
    <s v="Karl"/>
    <s v="Jablonski"/>
    <s v="Jablonski, Karl"/>
    <s v="Jablonski, Karl"/>
    <x v="0"/>
    <s v="no"/>
    <s v="no"/>
    <s v="WHITC"/>
    <n v="10469"/>
    <x v="18"/>
    <x v="18"/>
    <s v="WHITC_10469_Chang"/>
    <s v="10469"/>
    <s v="10469"/>
    <s v="Chang"/>
    <n v="15.2"/>
    <x v="4"/>
    <x v="1"/>
    <n v="516.79999999999995"/>
    <x v="0"/>
    <d v="1995-04-10T00:00:00"/>
    <s v=""/>
    <s v=""/>
  </r>
  <r>
    <x v="19"/>
    <x v="19"/>
    <s v="Karl"/>
    <s v="Jablonski"/>
    <s v="Jablonski, Karl"/>
    <s v="Jablonski, Karl"/>
    <x v="0"/>
    <s v="no"/>
    <s v="no"/>
    <s v="WHITC"/>
    <n v="10469"/>
    <x v="19"/>
    <x v="19"/>
    <s v="WHITC_10469_Pavlova"/>
    <s v="10469"/>
    <s v="10469"/>
    <s v="Pavlova"/>
    <n v="13.9"/>
    <x v="5"/>
    <x v="1"/>
    <n v="413.52499999999998"/>
    <x v="0"/>
    <d v="1995-04-10T00:00:00"/>
    <s v=""/>
    <s v=""/>
  </r>
  <r>
    <x v="19"/>
    <x v="19"/>
    <s v="Karl"/>
    <s v="Jablonski"/>
    <s v="Jablonski, Karl"/>
    <s v="Jablonski, Karl"/>
    <x v="0"/>
    <s v="no"/>
    <s v="no"/>
    <s v="WHITC"/>
    <n v="10469"/>
    <x v="45"/>
    <x v="45"/>
    <s v="WHITC_10469_Gula Malacca"/>
    <s v="10469"/>
    <s v="10469"/>
    <s v="Gula Malacca"/>
    <n v="15.5"/>
    <x v="17"/>
    <x v="1"/>
    <n v="26.349999999999998"/>
    <x v="0"/>
    <d v="1995-04-10T00:00:00"/>
    <s v=""/>
    <s v=""/>
  </r>
  <r>
    <x v="48"/>
    <x v="48"/>
    <s v="Laurence"/>
    <s v="Lebihan"/>
    <s v="Lebihan, Laurence"/>
    <s v="Lebihan, Laurence"/>
    <x v="0"/>
    <s v="no"/>
    <s v="no"/>
    <s v="BONAP"/>
    <n v="10470"/>
    <x v="59"/>
    <x v="59"/>
    <s v="BONAP_10470_Carnarvon Tigers"/>
    <s v="10470"/>
    <s v="10470"/>
    <s v="Carnarvon Tigers"/>
    <n v="50"/>
    <x v="12"/>
    <x v="0"/>
    <n v="1500"/>
    <x v="0"/>
    <d v="1995-04-11T00:00:00"/>
    <s v=""/>
    <s v=""/>
  </r>
  <r>
    <x v="48"/>
    <x v="48"/>
    <s v="Laurence"/>
    <s v="Lebihan"/>
    <s v="Lebihan, Laurence"/>
    <s v="Lebihan, Laurence"/>
    <x v="0"/>
    <s v="no"/>
    <s v="no"/>
    <s v="BONAP"/>
    <n v="10470"/>
    <x v="70"/>
    <x v="70"/>
    <s v="BONAP_10470_Tunnbröd"/>
    <s v="10470"/>
    <s v="10470"/>
    <s v="Tunnbröd"/>
    <n v="7.2"/>
    <x v="6"/>
    <x v="0"/>
    <n v="108"/>
    <x v="0"/>
    <d v="1995-04-11T00:00:00"/>
    <s v=""/>
    <s v=""/>
  </r>
  <r>
    <x v="48"/>
    <x v="48"/>
    <s v="Laurence"/>
    <s v="Lebihan"/>
    <s v="Lebihan, Laurence"/>
    <s v="Lebihan, Laurence"/>
    <x v="0"/>
    <s v="no"/>
    <s v="no"/>
    <s v="BONAP"/>
    <n v="10470"/>
    <x v="58"/>
    <x v="58"/>
    <s v="BONAP_10470_Wimmers gute Semmelknödel"/>
    <s v="10470"/>
    <s v="10470"/>
    <s v="Wimmers gute Semmelknödel"/>
    <n v="26.6"/>
    <x v="26"/>
    <x v="0"/>
    <n v="212.8"/>
    <x v="0"/>
    <d v="1995-04-11T00:00:00"/>
    <s v=""/>
    <s v=""/>
  </r>
  <r>
    <x v="31"/>
    <x v="31"/>
    <s v="Victoria"/>
    <s v="Ashworth"/>
    <s v="Ashworth, Victoria"/>
    <s v="Ashworth, Victoria"/>
    <x v="0"/>
    <s v="no"/>
    <s v="no"/>
    <s v="BSBEV"/>
    <n v="10471"/>
    <x v="32"/>
    <x v="32"/>
    <s v="BSBEV_10471_Uncle Bob's Organic Dried Pears"/>
    <s v="10471"/>
    <s v="10471"/>
    <s v="Uncle Bob's Organic Dried Pears"/>
    <n v="24"/>
    <x v="12"/>
    <x v="0"/>
    <n v="720"/>
    <x v="0"/>
    <d v="1995-04-11T00:00:00"/>
    <s v=""/>
    <s v=""/>
  </r>
  <r>
    <x v="31"/>
    <x v="31"/>
    <s v="Victoria"/>
    <s v="Ashworth"/>
    <s v="Ashworth, Victoria"/>
    <s v="Ashworth, Victoria"/>
    <x v="0"/>
    <s v="no"/>
    <s v="no"/>
    <s v="BSBEV"/>
    <n v="10471"/>
    <x v="33"/>
    <x v="33"/>
    <s v="BSBEV_10471_Gnocchi di nonna Alice"/>
    <s v="10471"/>
    <s v="10471"/>
    <s v="Gnocchi di nonna Alice"/>
    <n v="30.4"/>
    <x v="8"/>
    <x v="0"/>
    <n v="608"/>
    <x v="0"/>
    <d v="1995-04-11T00:00:00"/>
    <s v=""/>
    <s v=""/>
  </r>
  <r>
    <x v="56"/>
    <x v="56"/>
    <s v="Hari"/>
    <s v="Kumar"/>
    <s v="Kumar, Hari"/>
    <s v="Kumar, Hari"/>
    <x v="0"/>
    <s v="no"/>
    <s v="no"/>
    <s v="SEVES"/>
    <n v="10472"/>
    <x v="15"/>
    <x v="15"/>
    <s v="SEVES_10472_Guaraná Fantástica"/>
    <s v="10472"/>
    <s v="10472"/>
    <s v="Guaraná Fantástica"/>
    <n v="3.6"/>
    <x v="32"/>
    <x v="2"/>
    <n v="273.59999999999997"/>
    <x v="0"/>
    <d v="1995-04-12T00:00:00"/>
    <s v=""/>
    <s v=""/>
  </r>
  <r>
    <x v="56"/>
    <x v="56"/>
    <s v="Hari"/>
    <s v="Kumar"/>
    <s v="Kumar, Hari"/>
    <s v="Kumar, Hari"/>
    <x v="0"/>
    <s v="no"/>
    <s v="no"/>
    <s v="SEVES"/>
    <n v="10472"/>
    <x v="4"/>
    <x v="4"/>
    <s v="SEVES_10472_Manjimup Dried Apples"/>
    <s v="10472"/>
    <s v="10472"/>
    <s v="Manjimup Dried Apples"/>
    <n v="42.4"/>
    <x v="27"/>
    <x v="0"/>
    <n v="763.19999999999993"/>
    <x v="0"/>
    <d v="1995-04-12T00:00:00"/>
    <s v=""/>
    <s v=""/>
  </r>
  <r>
    <x v="42"/>
    <x v="42"/>
    <s v="Helen"/>
    <s v="Bennett"/>
    <s v="Bennett, Helen"/>
    <s v="Bennett, Helen"/>
    <x v="0"/>
    <s v="no"/>
    <s v="no"/>
    <s v="ISLAT"/>
    <n v="10473"/>
    <x v="10"/>
    <x v="10"/>
    <s v="ISLAT_10473_Geitost"/>
    <s v="10473"/>
    <s v="10473"/>
    <s v="Geitost"/>
    <n v="2"/>
    <x v="0"/>
    <x v="0"/>
    <n v="24"/>
    <x v="0"/>
    <d v="1995-04-13T00:00:00"/>
    <s v=""/>
    <s v=""/>
  </r>
  <r>
    <x v="42"/>
    <x v="42"/>
    <s v="Helen"/>
    <s v="Bennett"/>
    <s v="Bennett, Helen"/>
    <s v="Bennett, Helen"/>
    <x v="0"/>
    <s v="no"/>
    <s v="no"/>
    <s v="ISLAT"/>
    <n v="10473"/>
    <x v="42"/>
    <x v="42"/>
    <s v="ISLAT_10473_Fløtemysost"/>
    <s v="10473"/>
    <s v="10473"/>
    <s v="Fløtemysost"/>
    <n v="17.2"/>
    <x v="0"/>
    <x v="0"/>
    <n v="206.39999999999998"/>
    <x v="0"/>
    <d v="1995-04-13T00:00:00"/>
    <s v=""/>
    <s v=""/>
  </r>
  <r>
    <x v="43"/>
    <x v="43"/>
    <s v="Guillermo"/>
    <s v="Fernández"/>
    <s v="Fernández, Guillermo"/>
    <s v="Fernández, Guillermo"/>
    <x v="0"/>
    <s v="no"/>
    <s v="no"/>
    <s v="PERIC"/>
    <n v="10474"/>
    <x v="3"/>
    <x v="3"/>
    <s v="PERIC_10474_Tofu"/>
    <s v="10474"/>
    <s v="10474"/>
    <s v="Tofu"/>
    <n v="18.600000000000001"/>
    <x v="0"/>
    <x v="0"/>
    <n v="223.20000000000002"/>
    <x v="0"/>
    <d v="1995-04-13T00:00:00"/>
    <s v=""/>
    <s v=""/>
  </r>
  <r>
    <x v="43"/>
    <x v="43"/>
    <s v="Guillermo"/>
    <s v="Fernández"/>
    <s v="Fernández, Guillermo"/>
    <s v="Fernández, Guillermo"/>
    <x v="0"/>
    <s v="no"/>
    <s v="no"/>
    <s v="PERIC"/>
    <n v="10474"/>
    <x v="44"/>
    <x v="44"/>
    <s v="PERIC_10474_Rössle Sauerkraut"/>
    <s v="10474"/>
    <s v="10474"/>
    <s v="Rössle Sauerkraut"/>
    <n v="36.4"/>
    <x v="27"/>
    <x v="0"/>
    <n v="655.19999999999993"/>
    <x v="0"/>
    <d v="1995-04-13T00:00:00"/>
    <s v=""/>
    <s v=""/>
  </r>
  <r>
    <x v="43"/>
    <x v="43"/>
    <s v="Guillermo"/>
    <s v="Fernández"/>
    <s v="Fernández, Guillermo"/>
    <s v="Fernández, Guillermo"/>
    <x v="0"/>
    <s v="no"/>
    <s v="no"/>
    <s v="PERIC"/>
    <n v="10474"/>
    <x v="37"/>
    <x v="37"/>
    <s v="PERIC_10474_Boston Crab Meat"/>
    <s v="10474"/>
    <s v="10474"/>
    <s v="Boston Crab Meat"/>
    <n v="14.7"/>
    <x v="11"/>
    <x v="0"/>
    <n v="308.7"/>
    <x v="0"/>
    <d v="1995-04-13T00:00:00"/>
    <s v=""/>
    <s v=""/>
  </r>
  <r>
    <x v="43"/>
    <x v="43"/>
    <s v="Guillermo"/>
    <s v="Fernández"/>
    <s v="Fernández, Guillermo"/>
    <s v="Fernández, Guillermo"/>
    <x v="0"/>
    <s v="no"/>
    <s v="no"/>
    <s v="PERIC"/>
    <n v="10474"/>
    <x v="48"/>
    <x v="48"/>
    <s v="PERIC_10474_Rhönbräu Klosterbier"/>
    <s v="10474"/>
    <s v="10474"/>
    <s v="Rhönbräu Klosterbier"/>
    <n v="6.2"/>
    <x v="1"/>
    <x v="0"/>
    <n v="62"/>
    <x v="0"/>
    <d v="1995-04-13T00:00:00"/>
    <s v=""/>
    <s v=""/>
  </r>
  <r>
    <x v="4"/>
    <x v="4"/>
    <s v="Pascale"/>
    <s v="Cartrain"/>
    <s v="Cartrain, Pascale"/>
    <s v="Cartrain, Pascale"/>
    <x v="0"/>
    <s v="no"/>
    <s v="no"/>
    <s v="SUPRD"/>
    <n v="10475"/>
    <x v="12"/>
    <x v="12"/>
    <s v="SUPRD_10475_Gorgonzola Telino"/>
    <s v="10475"/>
    <s v="10475"/>
    <s v="Gorgonzola Telino"/>
    <n v="10"/>
    <x v="5"/>
    <x v="1"/>
    <n v="297.5"/>
    <x v="0"/>
    <d v="1995-04-14T00:00:00"/>
    <s v=""/>
    <s v=""/>
  </r>
  <r>
    <x v="4"/>
    <x v="4"/>
    <s v="Pascale"/>
    <s v="Cartrain"/>
    <s v="Cartrain, Pascale"/>
    <s v="Cartrain, Pascale"/>
    <x v="0"/>
    <s v="no"/>
    <s v="no"/>
    <s v="SUPRD"/>
    <n v="10475"/>
    <x v="61"/>
    <x v="61"/>
    <s v="SUPRD_10475_Louisiana Hot Spiced Okra"/>
    <s v="10475"/>
    <s v="10475"/>
    <s v="Louisiana Hot Spiced Okra"/>
    <n v="13.6"/>
    <x v="18"/>
    <x v="1"/>
    <n v="693.6"/>
    <x v="0"/>
    <d v="1995-04-14T00:00:00"/>
    <s v=""/>
    <s v=""/>
  </r>
  <r>
    <x v="4"/>
    <x v="4"/>
    <s v="Pascale"/>
    <s v="Cartrain"/>
    <s v="Cartrain, Pascale"/>
    <s v="Cartrain, Pascale"/>
    <x v="0"/>
    <s v="no"/>
    <s v="no"/>
    <s v="SUPRD"/>
    <n v="10475"/>
    <x v="38"/>
    <x v="38"/>
    <s v="SUPRD_10475_Lakkalikööri"/>
    <s v="10475"/>
    <s v="10475"/>
    <s v="Lakkalikööri"/>
    <n v="14.4"/>
    <x v="10"/>
    <x v="1"/>
    <n v="514.08000000000004"/>
    <x v="0"/>
    <d v="1995-04-14T00:00:00"/>
    <s v=""/>
    <s v=""/>
  </r>
  <r>
    <x v="8"/>
    <x v="8"/>
    <s v="Carlos"/>
    <s v="Hernández"/>
    <s v="Hernández, Carlos"/>
    <s v="Hernández, Carlos"/>
    <x v="0"/>
    <s v="no"/>
    <s v="no"/>
    <s v="HILAA"/>
    <n v="10476"/>
    <x v="16"/>
    <x v="16"/>
    <s v="HILAA_10476_Pâté chinois"/>
    <s v="10476"/>
    <s v="10476"/>
    <s v="Pâté chinois"/>
    <n v="19.2"/>
    <x v="17"/>
    <x v="2"/>
    <n v="36.479999999999997"/>
    <x v="0"/>
    <d v="1995-04-17T00:00:00"/>
    <s v=""/>
    <s v=""/>
  </r>
  <r>
    <x v="8"/>
    <x v="8"/>
    <s v="Carlos"/>
    <s v="Hernández"/>
    <s v="Hernández, Carlos"/>
    <s v="Hernández, Carlos"/>
    <x v="0"/>
    <s v="no"/>
    <s v="no"/>
    <s v="HILAA"/>
    <n v="10476"/>
    <x v="30"/>
    <x v="30"/>
    <s v="HILAA_10476_Outback Lager"/>
    <s v="10476"/>
    <s v="10476"/>
    <s v="Outback Lager"/>
    <n v="12"/>
    <x v="0"/>
    <x v="0"/>
    <n v="144"/>
    <x v="0"/>
    <d v="1995-04-17T00:00:00"/>
    <s v=""/>
    <s v=""/>
  </r>
  <r>
    <x v="50"/>
    <x v="50"/>
    <s v="Isabel"/>
    <s v="de Castro"/>
    <s v="de Castro, Isabel"/>
    <s v="de Castro, Isabel"/>
    <x v="0"/>
    <s v="no"/>
    <s v="no"/>
    <s v="PRINI"/>
    <n v="10477"/>
    <x v="52"/>
    <x v="52"/>
    <s v="PRINI_10477_Chai"/>
    <s v="10477"/>
    <s v="10477"/>
    <s v="Chai"/>
    <n v="14.4"/>
    <x v="6"/>
    <x v="0"/>
    <n v="216"/>
    <x v="0"/>
    <d v="1995-04-17T00:00:00"/>
    <s v=""/>
    <s v=""/>
  </r>
  <r>
    <x v="50"/>
    <x v="50"/>
    <s v="Isabel"/>
    <s v="de Castro"/>
    <s v="de Castro, Isabel"/>
    <s v="de Castro, Isabel"/>
    <x v="0"/>
    <s v="no"/>
    <s v="no"/>
    <s v="PRINI"/>
    <n v="10477"/>
    <x v="27"/>
    <x v="27"/>
    <s v="PRINI_10477_Sir Rodney's Scones"/>
    <s v="10477"/>
    <s v="10477"/>
    <s v="Sir Rodney's Scones"/>
    <n v="8"/>
    <x v="11"/>
    <x v="4"/>
    <n v="126"/>
    <x v="0"/>
    <d v="1995-04-17T00:00:00"/>
    <s v=""/>
    <s v=""/>
  </r>
  <r>
    <x v="50"/>
    <x v="50"/>
    <s v="Isabel"/>
    <s v="de Castro"/>
    <s v="de Castro, Isabel"/>
    <s v="de Castro, Isabel"/>
    <x v="0"/>
    <s v="no"/>
    <s v="no"/>
    <s v="PRINI"/>
    <n v="10477"/>
    <x v="13"/>
    <x v="13"/>
    <s v="PRINI_10477_Chartreuse verte"/>
    <s v="10477"/>
    <s v="10477"/>
    <s v="Chartreuse verte"/>
    <n v="14.4"/>
    <x v="8"/>
    <x v="4"/>
    <n v="216"/>
    <x v="0"/>
    <d v="1995-04-17T00:00:00"/>
    <s v=""/>
    <s v=""/>
  </r>
  <r>
    <x v="3"/>
    <x v="3"/>
    <s v="Mary"/>
    <s v="Saveley"/>
    <s v="Saveley, Mary"/>
    <s v="Saveley, Mary"/>
    <x v="0"/>
    <s v="no"/>
    <s v="no"/>
    <s v="VICTE"/>
    <n v="10478"/>
    <x v="41"/>
    <x v="41"/>
    <s v="VICTE_10478_Ikura"/>
    <s v="10478"/>
    <s v="10478"/>
    <s v="Ikura"/>
    <n v="24.8"/>
    <x v="8"/>
    <x v="2"/>
    <n v="471.2"/>
    <x v="0"/>
    <d v="1995-04-18T00:00:00"/>
    <s v=""/>
    <s v=""/>
  </r>
  <r>
    <x v="13"/>
    <x v="13"/>
    <s v="Paula"/>
    <s v="Wilson"/>
    <s v="Wilson, Paula"/>
    <s v="Wilson, Paula"/>
    <x v="1"/>
    <s v="yes"/>
    <s v="yes"/>
    <s v="RATTC"/>
    <n v="10479"/>
    <x v="67"/>
    <x v="67"/>
    <s v="RATTC_10479_Côte de Blaye"/>
    <s v="10479"/>
    <s v="10479"/>
    <s v="Côte de Blaye"/>
    <n v="210.8"/>
    <x v="12"/>
    <x v="0"/>
    <n v="6324"/>
    <x v="0"/>
    <d v="1995-04-19T00:00:00"/>
    <s v=""/>
    <s v=""/>
  </r>
  <r>
    <x v="13"/>
    <x v="13"/>
    <s v="Paula"/>
    <s v="Wilson"/>
    <s v="Wilson, Paula"/>
    <s v="Wilson, Paula"/>
    <x v="0"/>
    <s v="no"/>
    <s v="no"/>
    <s v="RATTC"/>
    <n v="10479"/>
    <x v="22"/>
    <x v="22"/>
    <s v="RATTC_10479_Perth Pasties"/>
    <s v="10479"/>
    <s v="10479"/>
    <s v="Perth Pasties"/>
    <n v="26.2"/>
    <x v="19"/>
    <x v="0"/>
    <n v="733.6"/>
    <x v="0"/>
    <d v="1995-04-19T00:00:00"/>
    <s v=""/>
    <s v=""/>
  </r>
  <r>
    <x v="13"/>
    <x v="13"/>
    <s v="Paula"/>
    <s v="Wilson"/>
    <s v="Wilson, Paula"/>
    <s v="Wilson, Paula"/>
    <x v="0"/>
    <s v="no"/>
    <s v="moderate"/>
    <s v="RATTC"/>
    <n v="10479"/>
    <x v="21"/>
    <x v="21"/>
    <s v="RATTC_10479_Raclette Courdavault"/>
    <s v="10479"/>
    <s v="10479"/>
    <s v="Raclette Courdavault"/>
    <n v="44"/>
    <x v="18"/>
    <x v="0"/>
    <n v="2640"/>
    <x v="0"/>
    <d v="1995-04-19T00:00:00"/>
    <s v=""/>
    <s v=""/>
  </r>
  <r>
    <x v="13"/>
    <x v="13"/>
    <s v="Paula"/>
    <s v="Wilson"/>
    <s v="Wilson, Paula"/>
    <s v="Wilson, Paula"/>
    <x v="0"/>
    <s v="no"/>
    <s v="no"/>
    <s v="RATTC"/>
    <n v="10479"/>
    <x v="58"/>
    <x v="58"/>
    <s v="RATTC_10479_Wimmers gute Semmelknödel"/>
    <s v="10479"/>
    <s v="10479"/>
    <s v="Wimmers gute Semmelknödel"/>
    <n v="26.6"/>
    <x v="12"/>
    <x v="0"/>
    <n v="798"/>
    <x v="0"/>
    <d v="1995-04-19T00:00:00"/>
    <s v=""/>
    <s v=""/>
  </r>
  <r>
    <x v="68"/>
    <x v="68"/>
    <s v="Martine"/>
    <s v="Rancé"/>
    <s v="Rancé, Martine"/>
    <s v="Rancé, Martine"/>
    <x v="0"/>
    <s v="no"/>
    <s v="no"/>
    <s v="FOLIG"/>
    <n v="10480"/>
    <x v="69"/>
    <x v="69"/>
    <s v="FOLIG_10480_Zaanse koeken"/>
    <s v="10480"/>
    <s v="10480"/>
    <s v="Zaanse koeken"/>
    <n v="7.6"/>
    <x v="12"/>
    <x v="0"/>
    <n v="228"/>
    <x v="0"/>
    <d v="1995-04-20T00:00:00"/>
    <s v=""/>
    <s v=""/>
  </r>
  <r>
    <x v="68"/>
    <x v="68"/>
    <s v="Martine"/>
    <s v="Rancé"/>
    <s v="Rancé, Martine"/>
    <s v="Rancé, Martine"/>
    <x v="0"/>
    <s v="no"/>
    <s v="no"/>
    <s v="FOLIG"/>
    <n v="10480"/>
    <x v="21"/>
    <x v="21"/>
    <s v="FOLIG_10480_Raclette Courdavault"/>
    <s v="10480"/>
    <s v="10480"/>
    <s v="Raclette Courdavault"/>
    <n v="44"/>
    <x v="0"/>
    <x v="0"/>
    <n v="528"/>
    <x v="0"/>
    <d v="1995-04-20T00:00:00"/>
    <s v=""/>
    <s v=""/>
  </r>
  <r>
    <x v="29"/>
    <x v="29"/>
    <s v="Janete"/>
    <s v="Limeira"/>
    <s v="Limeira, Janete"/>
    <s v="Limeira, Janete"/>
    <x v="0"/>
    <s v="no"/>
    <s v="no"/>
    <s v="RICAR"/>
    <n v="10481"/>
    <x v="14"/>
    <x v="14"/>
    <s v="RICAR_10481_Maxilaku"/>
    <s v="10481"/>
    <s v="10481"/>
    <s v="Maxilaku"/>
    <n v="16"/>
    <x v="23"/>
    <x v="0"/>
    <n v="384"/>
    <x v="0"/>
    <d v="1995-04-20T00:00:00"/>
    <s v=""/>
    <s v=""/>
  </r>
  <r>
    <x v="29"/>
    <x v="29"/>
    <s v="Janete"/>
    <s v="Limeira"/>
    <s v="Limeira, Janete"/>
    <s v="Limeira, Janete"/>
    <x v="0"/>
    <s v="no"/>
    <s v="no"/>
    <s v="RICAR"/>
    <n v="10481"/>
    <x v="11"/>
    <x v="11"/>
    <s v="RICAR_10481_Camembert Pierrot"/>
    <s v="10481"/>
    <s v="10481"/>
    <s v="Camembert Pierrot"/>
    <n v="27.2"/>
    <x v="4"/>
    <x v="0"/>
    <n v="1088"/>
    <x v="0"/>
    <d v="1995-04-20T00:00:00"/>
    <s v=""/>
    <s v=""/>
  </r>
  <r>
    <x v="74"/>
    <x v="74"/>
    <s v="John"/>
    <s v="Steel"/>
    <s v="Steel, John"/>
    <s v="Steel, John"/>
    <x v="0"/>
    <s v="no"/>
    <s v="no"/>
    <s v="LAZYK"/>
    <n v="10482"/>
    <x v="37"/>
    <x v="37"/>
    <s v="LAZYK_10482_Boston Crab Meat"/>
    <s v="10482"/>
    <s v="10482"/>
    <s v="Boston Crab Meat"/>
    <n v="14.7"/>
    <x v="1"/>
    <x v="0"/>
    <n v="147"/>
    <x v="0"/>
    <d v="1995-04-21T00:00:00"/>
    <s v=""/>
    <s v=""/>
  </r>
  <r>
    <x v="19"/>
    <x v="19"/>
    <s v="Karl"/>
    <s v="Jablonski"/>
    <s v="Jablonski, Karl"/>
    <s v="Jablonski, Karl"/>
    <x v="0"/>
    <s v="no"/>
    <s v="no"/>
    <s v="WHITC"/>
    <n v="10483"/>
    <x v="53"/>
    <x v="53"/>
    <s v="WHITC_10483_Sasquatch Ale"/>
    <s v="10483"/>
    <s v="10483"/>
    <s v="Sasquatch Ale"/>
    <n v="11.2"/>
    <x v="5"/>
    <x v="2"/>
    <n v="372.4"/>
    <x v="0"/>
    <d v="1995-04-24T00:00:00"/>
    <s v=""/>
    <s v=""/>
  </r>
  <r>
    <x v="19"/>
    <x v="19"/>
    <s v="Karl"/>
    <s v="Jablonski"/>
    <s v="Jablonski, Karl"/>
    <s v="Jablonski, Karl"/>
    <x v="0"/>
    <s v="no"/>
    <s v="no"/>
    <s v="WHITC"/>
    <n v="10483"/>
    <x v="23"/>
    <x v="23"/>
    <s v="WHITC_10483_Original Frankfurter grüne Soße"/>
    <s v="10483"/>
    <s v="10483"/>
    <s v="Original Frankfurter grüne Soße"/>
    <n v="10.4"/>
    <x v="12"/>
    <x v="2"/>
    <n v="296.39999999999998"/>
    <x v="0"/>
    <d v="1995-04-24T00:00:00"/>
    <s v=""/>
    <s v=""/>
  </r>
  <r>
    <x v="31"/>
    <x v="31"/>
    <s v="Victoria"/>
    <s v="Ashworth"/>
    <s v="Ashworth, Victoria"/>
    <s v="Ashworth, Victoria"/>
    <x v="0"/>
    <s v="no"/>
    <s v="no"/>
    <s v="BSBEV"/>
    <n v="10484"/>
    <x v="27"/>
    <x v="27"/>
    <s v="BSBEV_10484_Sir Rodney's Scones"/>
    <s v="10484"/>
    <s v="10484"/>
    <s v="Sir Rodney's Scones"/>
    <n v="8"/>
    <x v="31"/>
    <x v="0"/>
    <n v="112"/>
    <x v="0"/>
    <d v="1995-04-24T00:00:00"/>
    <s v=""/>
    <s v=""/>
  </r>
  <r>
    <x v="31"/>
    <x v="31"/>
    <s v="Victoria"/>
    <s v="Ashworth"/>
    <s v="Ashworth, Victoria"/>
    <s v="Ashworth, Victoria"/>
    <x v="0"/>
    <s v="no"/>
    <s v="no"/>
    <s v="BSBEV"/>
    <n v="10484"/>
    <x v="37"/>
    <x v="37"/>
    <s v="BSBEV_10484_Boston Crab Meat"/>
    <s v="10484"/>
    <s v="10484"/>
    <s v="Boston Crab Meat"/>
    <n v="14.7"/>
    <x v="1"/>
    <x v="0"/>
    <n v="147"/>
    <x v="0"/>
    <d v="1995-04-24T00:00:00"/>
    <s v=""/>
    <s v=""/>
  </r>
  <r>
    <x v="31"/>
    <x v="31"/>
    <s v="Victoria"/>
    <s v="Ashworth"/>
    <s v="Ashworth, Victoria"/>
    <s v="Ashworth, Victoria"/>
    <x v="0"/>
    <s v="no"/>
    <s v="no"/>
    <s v="BSBEV"/>
    <n v="10484"/>
    <x v="4"/>
    <x v="4"/>
    <s v="BSBEV_10484_Manjimup Dried Apples"/>
    <s v="10484"/>
    <s v="10484"/>
    <s v="Manjimup Dried Apples"/>
    <n v="42.4"/>
    <x v="28"/>
    <x v="0"/>
    <n v="127.19999999999999"/>
    <x v="0"/>
    <d v="1995-04-24T00:00:00"/>
    <s v=""/>
    <s v=""/>
  </r>
  <r>
    <x v="67"/>
    <x v="67"/>
    <s v="Felipe"/>
    <s v="Izquierdo"/>
    <s v="Izquierdo, Felipe"/>
    <s v="Izquierdo, Felipe"/>
    <x v="0"/>
    <s v="no"/>
    <s v="no"/>
    <s v="LINOD"/>
    <n v="10485"/>
    <x v="18"/>
    <x v="18"/>
    <s v="LINOD_10485_Chang"/>
    <s v="10485"/>
    <s v="10485"/>
    <s v="Chang"/>
    <n v="15.2"/>
    <x v="8"/>
    <x v="5"/>
    <n v="273.60000000000002"/>
    <x v="0"/>
    <d v="1995-04-25T00:00:00"/>
    <s v=""/>
    <s v=""/>
  </r>
  <r>
    <x v="67"/>
    <x v="67"/>
    <s v="Felipe"/>
    <s v="Izquierdo"/>
    <s v="Izquierdo, Felipe"/>
    <s v="Izquierdo, Felipe"/>
    <x v="0"/>
    <s v="no"/>
    <s v="no"/>
    <s v="LINOD"/>
    <n v="10485"/>
    <x v="57"/>
    <x v="57"/>
    <s v="LINOD_10485_Aniseed Syrup"/>
    <s v="10485"/>
    <s v="10485"/>
    <s v="Aniseed Syrup"/>
    <n v="8"/>
    <x v="8"/>
    <x v="5"/>
    <n v="144"/>
    <x v="0"/>
    <d v="1995-04-25T00:00:00"/>
    <s v=""/>
    <s v=""/>
  </r>
  <r>
    <x v="67"/>
    <x v="67"/>
    <s v="Felipe"/>
    <s v="Izquierdo"/>
    <s v="Izquierdo, Felipe"/>
    <s v="Izquierdo, Felipe"/>
    <x v="0"/>
    <s v="no"/>
    <s v="no"/>
    <s v="LINOD"/>
    <n v="10485"/>
    <x v="16"/>
    <x v="16"/>
    <s v="LINOD_10485_Pâté chinois"/>
    <s v="10485"/>
    <s v="10485"/>
    <s v="Pâté chinois"/>
    <n v="19.2"/>
    <x v="12"/>
    <x v="5"/>
    <n v="518.4"/>
    <x v="0"/>
    <d v="1995-04-25T00:00:00"/>
    <s v=""/>
    <s v=""/>
  </r>
  <r>
    <x v="67"/>
    <x v="67"/>
    <s v="Felipe"/>
    <s v="Izquierdo"/>
    <s v="Izquierdo, Felipe"/>
    <s v="Izquierdo, Felipe"/>
    <x v="0"/>
    <s v="no"/>
    <s v="no"/>
    <s v="LINOD"/>
    <n v="10485"/>
    <x v="30"/>
    <x v="30"/>
    <s v="LINOD_10485_Outback Lager"/>
    <s v="10485"/>
    <s v="10485"/>
    <s v="Outback Lager"/>
    <n v="12"/>
    <x v="18"/>
    <x v="5"/>
    <n v="648"/>
    <x v="0"/>
    <d v="1995-04-25T00:00:00"/>
    <s v=""/>
    <s v=""/>
  </r>
  <r>
    <x v="8"/>
    <x v="8"/>
    <s v="Carlos"/>
    <s v="Hernández"/>
    <s v="Hernández, Carlos"/>
    <s v="Hernández, Carlos"/>
    <x v="0"/>
    <s v="no"/>
    <s v="no"/>
    <s v="HILAA"/>
    <n v="10486"/>
    <x v="0"/>
    <x v="0"/>
    <s v="HILAA_10486_Queso Cabrales"/>
    <s v="10486"/>
    <s v="10486"/>
    <s v="Queso Cabrales"/>
    <n v="16.8"/>
    <x v="2"/>
    <x v="0"/>
    <n v="84"/>
    <x v="0"/>
    <d v="1995-04-26T00:00:00"/>
    <s v=""/>
    <s v=""/>
  </r>
  <r>
    <x v="8"/>
    <x v="8"/>
    <s v="Carlos"/>
    <s v="Hernández"/>
    <s v="Hernández, Carlos"/>
    <s v="Hernández, Carlos"/>
    <x v="0"/>
    <s v="no"/>
    <s v="no"/>
    <s v="HILAA"/>
    <n v="10486"/>
    <x v="4"/>
    <x v="4"/>
    <s v="HILAA_10486_Manjimup Dried Apples"/>
    <s v="10486"/>
    <s v="10486"/>
    <s v="Manjimup Dried Apples"/>
    <n v="42.4"/>
    <x v="9"/>
    <x v="0"/>
    <n v="1060"/>
    <x v="0"/>
    <d v="1995-04-26T00:00:00"/>
    <s v=""/>
    <s v=""/>
  </r>
  <r>
    <x v="8"/>
    <x v="8"/>
    <s v="Carlos"/>
    <s v="Hernández"/>
    <s v="Hernández, Carlos"/>
    <s v="Hernández, Carlos"/>
    <x v="0"/>
    <s v="no"/>
    <s v="no"/>
    <s v="HILAA"/>
    <n v="10486"/>
    <x v="17"/>
    <x v="17"/>
    <s v="HILAA_10486_Longlife Tofu"/>
    <s v="10486"/>
    <s v="10486"/>
    <s v="Longlife Tofu"/>
    <n v="8"/>
    <x v="16"/>
    <x v="0"/>
    <n v="128"/>
    <x v="0"/>
    <d v="1995-04-26T00:00:00"/>
    <s v=""/>
    <s v=""/>
  </r>
  <r>
    <x v="62"/>
    <x v="62"/>
    <s v="Lúcia"/>
    <s v="Carvalho"/>
    <s v="Carvalho, Lúcia"/>
    <s v="Carvalho, Lúcia"/>
    <x v="0"/>
    <s v="no"/>
    <s v="no"/>
    <s v="QUEEN"/>
    <n v="10487"/>
    <x v="49"/>
    <x v="49"/>
    <s v="QUEEN_10487_Teatime Chocolate Biscuits"/>
    <s v="10487"/>
    <s v="10487"/>
    <s v="Teatime Chocolate Biscuits"/>
    <n v="7.3"/>
    <x v="2"/>
    <x v="0"/>
    <n v="36.5"/>
    <x v="0"/>
    <d v="1995-04-26T00:00:00"/>
    <s v=""/>
    <s v=""/>
  </r>
  <r>
    <x v="62"/>
    <x v="62"/>
    <s v="Lúcia"/>
    <s v="Carvalho"/>
    <s v="Carvalho, Lúcia"/>
    <s v="Carvalho, Lúcia"/>
    <x v="0"/>
    <s v="no"/>
    <s v="no"/>
    <s v="QUEEN"/>
    <n v="10487"/>
    <x v="68"/>
    <x v="68"/>
    <s v="QUEEN_10487_Gumbär Gummibärchen"/>
    <s v="10487"/>
    <s v="10487"/>
    <s v="Gumbär Gummibärchen"/>
    <n v="24.9"/>
    <x v="12"/>
    <x v="0"/>
    <n v="747"/>
    <x v="0"/>
    <d v="1995-04-26T00:00:00"/>
    <s v=""/>
    <s v=""/>
  </r>
  <r>
    <x v="62"/>
    <x v="62"/>
    <s v="Lúcia"/>
    <s v="Carvalho"/>
    <s v="Carvalho, Lúcia"/>
    <s v="Carvalho, Lúcia"/>
    <x v="0"/>
    <s v="no"/>
    <s v="no"/>
    <s v="QUEEN"/>
    <n v="10487"/>
    <x v="55"/>
    <x v="55"/>
    <s v="QUEEN_10487_Tourtière"/>
    <s v="10487"/>
    <s v="10487"/>
    <s v="Tourtière"/>
    <n v="5.9"/>
    <x v="23"/>
    <x v="4"/>
    <n v="106.20000000000002"/>
    <x v="0"/>
    <d v="1995-04-26T00:00:00"/>
    <s v=""/>
    <s v=""/>
  </r>
  <r>
    <x v="17"/>
    <x v="17"/>
    <s v="Peter"/>
    <s v="Franken"/>
    <s v="Franken, Peter"/>
    <s v="Franken, Peter"/>
    <x v="0"/>
    <s v="no"/>
    <s v="no"/>
    <s v="FRANK"/>
    <n v="10488"/>
    <x v="21"/>
    <x v="21"/>
    <s v="FRANK_10488_Raclette Courdavault"/>
    <s v="10488"/>
    <s v="10488"/>
    <s v="Raclette Courdavault"/>
    <n v="44"/>
    <x v="12"/>
    <x v="0"/>
    <n v="1320"/>
    <x v="0"/>
    <d v="1995-04-27T00:00:00"/>
    <s v=""/>
    <s v=""/>
  </r>
  <r>
    <x v="17"/>
    <x v="17"/>
    <s v="Peter"/>
    <s v="Franken"/>
    <s v="Franken, Peter"/>
    <s v="Franken, Peter"/>
    <x v="0"/>
    <s v="no"/>
    <s v="no"/>
    <s v="FRANK"/>
    <n v="10488"/>
    <x v="47"/>
    <x v="47"/>
    <s v="FRANK_10488_Röd Kaviar"/>
    <s v="10488"/>
    <s v="10488"/>
    <s v="Röd Kaviar"/>
    <n v="12"/>
    <x v="8"/>
    <x v="3"/>
    <n v="192"/>
    <x v="0"/>
    <d v="1995-04-27T00:00:00"/>
    <s v=""/>
    <s v=""/>
  </r>
  <r>
    <x v="54"/>
    <x v="54"/>
    <s v="Georg"/>
    <s v="Pipps"/>
    <s v="Pipps, Georg"/>
    <s v="Pipps, Georg"/>
    <x v="0"/>
    <s v="no"/>
    <s v="no"/>
    <s v="PICCO"/>
    <n v="10489"/>
    <x v="0"/>
    <x v="0"/>
    <s v="PICCO_10489_Queso Cabrales"/>
    <s v="10489"/>
    <s v="10489"/>
    <s v="Queso Cabrales"/>
    <n v="16.8"/>
    <x v="6"/>
    <x v="4"/>
    <n v="189"/>
    <x v="0"/>
    <d v="1995-04-28T00:00:00"/>
    <s v=""/>
    <s v=""/>
  </r>
  <r>
    <x v="54"/>
    <x v="54"/>
    <s v="Georg"/>
    <s v="Pipps"/>
    <s v="Pipps, Georg"/>
    <s v="Pipps, Georg"/>
    <x v="0"/>
    <s v="no"/>
    <s v="no"/>
    <s v="PICCO"/>
    <n v="10489"/>
    <x v="19"/>
    <x v="19"/>
    <s v="PICCO_10489_Pavlova"/>
    <s v="10489"/>
    <s v="10489"/>
    <s v="Pavlova"/>
    <n v="13.9"/>
    <x v="27"/>
    <x v="0"/>
    <n v="250.20000000000002"/>
    <x v="0"/>
    <d v="1995-04-28T00:00:00"/>
    <s v=""/>
    <s v=""/>
  </r>
  <r>
    <x v="8"/>
    <x v="8"/>
    <s v="Carlos"/>
    <s v="Hernández"/>
    <s v="Hernández, Carlos"/>
    <s v="Hernández, Carlos"/>
    <x v="0"/>
    <s v="no"/>
    <s v="moderate"/>
    <s v="HILAA"/>
    <n v="10490"/>
    <x v="21"/>
    <x v="21"/>
    <s v="HILAA_10490_Raclette Courdavault"/>
    <s v="10490"/>
    <s v="10490"/>
    <s v="Raclette Courdavault"/>
    <n v="44"/>
    <x v="18"/>
    <x v="0"/>
    <n v="2640"/>
    <x v="0"/>
    <d v="1995-05-01T00:00:00"/>
    <s v=""/>
    <s v=""/>
  </r>
  <r>
    <x v="8"/>
    <x v="8"/>
    <s v="Carlos"/>
    <s v="Hernández"/>
    <s v="Hernández, Carlos"/>
    <s v="Hernández, Carlos"/>
    <x v="0"/>
    <s v="no"/>
    <s v="no"/>
    <s v="HILAA"/>
    <n v="10490"/>
    <x v="56"/>
    <x v="56"/>
    <s v="HILAA_10490_Scottish Longbreads"/>
    <s v="10490"/>
    <s v="10490"/>
    <s v="Scottish Longbreads"/>
    <n v="10"/>
    <x v="12"/>
    <x v="0"/>
    <n v="300"/>
    <x v="0"/>
    <d v="1995-05-01T00:00:00"/>
    <s v=""/>
    <s v=""/>
  </r>
  <r>
    <x v="8"/>
    <x v="8"/>
    <s v="Carlos"/>
    <s v="Hernández"/>
    <s v="Hernández, Carlos"/>
    <s v="Hernández, Carlos"/>
    <x v="0"/>
    <s v="no"/>
    <s v="no"/>
    <s v="HILAA"/>
    <n v="10490"/>
    <x v="48"/>
    <x v="48"/>
    <s v="HILAA_10490_Rhönbräu Klosterbier"/>
    <s v="10490"/>
    <s v="10490"/>
    <s v="Rhönbräu Klosterbier"/>
    <n v="6.2"/>
    <x v="20"/>
    <x v="0"/>
    <n v="223.20000000000002"/>
    <x v="0"/>
    <d v="1995-05-01T00:00:00"/>
    <s v=""/>
    <s v=""/>
  </r>
  <r>
    <x v="47"/>
    <x v="47"/>
    <s v="Lino"/>
    <s v="Rodriguez"/>
    <s v="Rodriguez, Lino"/>
    <s v="Rodriguez, Lino"/>
    <x v="0"/>
    <s v="no"/>
    <s v="no"/>
    <s v="FURIB"/>
    <n v="10491"/>
    <x v="45"/>
    <x v="45"/>
    <s v="FURIB_10491_Gula Malacca"/>
    <s v="10491"/>
    <s v="10491"/>
    <s v="Gula Malacca"/>
    <n v="15.5"/>
    <x v="6"/>
    <x v="1"/>
    <n v="197.625"/>
    <x v="0"/>
    <d v="1995-05-01T00:00:00"/>
    <s v=""/>
    <s v=""/>
  </r>
  <r>
    <x v="47"/>
    <x v="47"/>
    <s v="Lino"/>
    <s v="Rodriguez"/>
    <s v="Rodriguez, Lino"/>
    <s v="Rodriguez, Lino"/>
    <x v="0"/>
    <s v="no"/>
    <s v="no"/>
    <s v="FURIB"/>
    <n v="10491"/>
    <x v="23"/>
    <x v="23"/>
    <s v="FURIB_10491_Original Frankfurter grüne Soße"/>
    <s v="10491"/>
    <s v="10491"/>
    <s v="Original Frankfurter grüne Soße"/>
    <n v="10.4"/>
    <x v="25"/>
    <x v="1"/>
    <n v="61.879999999999995"/>
    <x v="0"/>
    <d v="1995-05-01T00:00:00"/>
    <s v=""/>
    <s v=""/>
  </r>
  <r>
    <x v="66"/>
    <x v="66"/>
    <s v="Elizabeth"/>
    <s v="Lincoln"/>
    <s v="Lincoln, Elizabeth"/>
    <s v="Lincoln, Elizabeth"/>
    <x v="0"/>
    <s v="no"/>
    <s v="no"/>
    <s v="BOTTM"/>
    <n v="10492"/>
    <x v="66"/>
    <x v="66"/>
    <s v="BOTTM_10492_NuNuCa Nuß-Nougat-Creme"/>
    <s v="10492"/>
    <s v="10492"/>
    <s v="NuNuCa Nuß-Nougat-Creme"/>
    <n v="11.2"/>
    <x v="18"/>
    <x v="2"/>
    <n v="638.4"/>
    <x v="0"/>
    <d v="1995-05-02T00:00:00"/>
    <s v=""/>
    <s v=""/>
  </r>
  <r>
    <x v="66"/>
    <x v="66"/>
    <s v="Elizabeth"/>
    <s v="Lincoln"/>
    <s v="Lincoln, Elizabeth"/>
    <s v="Lincoln, Elizabeth"/>
    <x v="0"/>
    <s v="no"/>
    <s v="no"/>
    <s v="BOTTM"/>
    <n v="10492"/>
    <x v="1"/>
    <x v="1"/>
    <s v="BOTTM_10492_Singaporean Hokkien Fried Mee"/>
    <s v="10492"/>
    <s v="10492"/>
    <s v="Singaporean Hokkien Fried Mee"/>
    <n v="11.2"/>
    <x v="8"/>
    <x v="2"/>
    <n v="212.79999999999998"/>
    <x v="0"/>
    <d v="1995-05-02T00:00:00"/>
    <s v=""/>
    <s v=""/>
  </r>
  <r>
    <x v="53"/>
    <x v="53"/>
    <s v="Annette"/>
    <s v="Roulet"/>
    <s v="Roulet, Annette"/>
    <s v="Roulet, Annette"/>
    <x v="0"/>
    <s v="no"/>
    <s v="no"/>
    <s v="LAMAI"/>
    <n v="10493"/>
    <x v="6"/>
    <x v="6"/>
    <s v="LAMAI_10493_Louisiana Fiery Hot Pepper Sauce"/>
    <s v="10493"/>
    <s v="10493"/>
    <s v="Louisiana Fiery Hot Pepper Sauce"/>
    <n v="16.8"/>
    <x v="6"/>
    <x v="5"/>
    <n v="226.8"/>
    <x v="0"/>
    <d v="1995-05-03T00:00:00"/>
    <s v=""/>
    <s v=""/>
  </r>
  <r>
    <x v="53"/>
    <x v="53"/>
    <s v="Annette"/>
    <s v="Roulet"/>
    <s v="Roulet, Annette"/>
    <s v="Roulet, Annette"/>
    <x v="0"/>
    <s v="no"/>
    <s v="no"/>
    <s v="LAMAI"/>
    <n v="10493"/>
    <x v="61"/>
    <x v="61"/>
    <s v="LAMAI_10493_Louisiana Hot Spiced Okra"/>
    <s v="10493"/>
    <s v="10493"/>
    <s v="Louisiana Hot Spiced Okra"/>
    <n v="13.6"/>
    <x v="1"/>
    <x v="5"/>
    <n v="122.4"/>
    <x v="0"/>
    <d v="1995-05-03T00:00:00"/>
    <s v=""/>
    <s v=""/>
  </r>
  <r>
    <x v="53"/>
    <x v="53"/>
    <s v="Annette"/>
    <s v="Roulet"/>
    <s v="Roulet, Annette"/>
    <s v="Roulet, Annette"/>
    <x v="0"/>
    <s v="no"/>
    <s v="no"/>
    <s v="LAMAI"/>
    <n v="10493"/>
    <x v="60"/>
    <x v="60"/>
    <s v="LAMAI_10493_Gudbrandsdalsost"/>
    <s v="10493"/>
    <s v="10493"/>
    <s v="Gudbrandsdalsost"/>
    <n v="28.8"/>
    <x v="1"/>
    <x v="5"/>
    <n v="259.2"/>
    <x v="0"/>
    <d v="1995-05-03T00:00:00"/>
    <s v=""/>
    <s v=""/>
  </r>
  <r>
    <x v="32"/>
    <x v="32"/>
    <s v="Pedro"/>
    <s v="Afonso"/>
    <s v="Afonso, Pedro"/>
    <s v="Afonso, Pedro"/>
    <x v="0"/>
    <s v="no"/>
    <s v="no"/>
    <s v="COMMI"/>
    <n v="10494"/>
    <x v="33"/>
    <x v="33"/>
    <s v="COMMI_10494_Gnocchi di nonna Alice"/>
    <s v="10494"/>
    <s v="10494"/>
    <s v="Gnocchi di nonna Alice"/>
    <n v="30.4"/>
    <x v="12"/>
    <x v="0"/>
    <n v="912"/>
    <x v="0"/>
    <d v="1995-05-03T00:00:00"/>
    <s v=""/>
    <s v=""/>
  </r>
  <r>
    <x v="75"/>
    <x v="75"/>
    <s v="Yoshi"/>
    <s v="Tannamuri"/>
    <s v="Tannamuri, Yoshi"/>
    <s v="Tannamuri, Yoshi"/>
    <x v="0"/>
    <s v="no"/>
    <s v="no"/>
    <s v="LAUGB"/>
    <n v="10495"/>
    <x v="70"/>
    <x v="70"/>
    <s v="LAUGB_10495_Tunnbröd"/>
    <s v="10495"/>
    <s v="10495"/>
    <s v="Tunnbröd"/>
    <n v="7.2"/>
    <x v="1"/>
    <x v="0"/>
    <n v="72"/>
    <x v="0"/>
    <d v="1995-05-04T00:00:00"/>
    <s v=""/>
    <s v=""/>
  </r>
  <r>
    <x v="75"/>
    <x v="75"/>
    <s v="Yoshi"/>
    <s v="Tannamuri"/>
    <s v="Tannamuri, Yoshi"/>
    <s v="Tannamuri, Yoshi"/>
    <x v="0"/>
    <s v="no"/>
    <s v="no"/>
    <s v="LAUGB"/>
    <n v="10495"/>
    <x v="5"/>
    <x v="5"/>
    <s v="LAUGB_10495_Jack's New England Clam Chowder"/>
    <s v="10495"/>
    <s v="10495"/>
    <s v="Jack's New England Clam Chowder"/>
    <n v="7.7"/>
    <x v="8"/>
    <x v="0"/>
    <n v="154"/>
    <x v="0"/>
    <d v="1995-05-04T00:00:00"/>
    <s v=""/>
    <s v=""/>
  </r>
  <r>
    <x v="75"/>
    <x v="75"/>
    <s v="Yoshi"/>
    <s v="Tannamuri"/>
    <s v="Tannamuri, Yoshi"/>
    <s v="Tannamuri, Yoshi"/>
    <x v="0"/>
    <s v="no"/>
    <s v="no"/>
    <s v="LAUGB"/>
    <n v="10495"/>
    <x v="23"/>
    <x v="23"/>
    <s v="LAUGB_10495_Original Frankfurter grüne Soße"/>
    <s v="10495"/>
    <s v="10495"/>
    <s v="Original Frankfurter grüne Soße"/>
    <n v="10.4"/>
    <x v="2"/>
    <x v="0"/>
    <n v="52"/>
    <x v="0"/>
    <d v="1995-05-04T00:00:00"/>
    <s v=""/>
    <s v=""/>
  </r>
  <r>
    <x v="33"/>
    <x v="33"/>
    <s v="Anabela"/>
    <s v="Domingues"/>
    <s v="Domingues, Anabela"/>
    <s v="Domingues, Anabela"/>
    <x v="0"/>
    <s v="no"/>
    <s v="no"/>
    <s v="TRADH"/>
    <n v="10496"/>
    <x v="12"/>
    <x v="12"/>
    <s v="TRADH_10496_Gorgonzola Telino"/>
    <s v="10496"/>
    <s v="10496"/>
    <s v="Gorgonzola Telino"/>
    <n v="10"/>
    <x v="8"/>
    <x v="2"/>
    <n v="190"/>
    <x v="0"/>
    <d v="1995-05-05T00:00:00"/>
    <s v=""/>
    <s v=""/>
  </r>
  <r>
    <x v="26"/>
    <x v="26"/>
    <s v="Renate"/>
    <s v="Messner"/>
    <s v="Messner, Renate"/>
    <s v="Messner, Renate"/>
    <x v="0"/>
    <s v="no"/>
    <s v="no"/>
    <s v="LEHMS"/>
    <n v="10497"/>
    <x v="33"/>
    <x v="33"/>
    <s v="LEHMS_10497_Gnocchi di nonna Alice"/>
    <s v="10497"/>
    <s v="10497"/>
    <s v="Gnocchi di nonna Alice"/>
    <n v="30.4"/>
    <x v="31"/>
    <x v="0"/>
    <n v="425.59999999999997"/>
    <x v="0"/>
    <d v="1995-05-05T00:00:00"/>
    <s v=""/>
    <s v=""/>
  </r>
  <r>
    <x v="26"/>
    <x v="26"/>
    <s v="Renate"/>
    <s v="Messner"/>
    <s v="Messner, Renate"/>
    <s v="Messner, Renate"/>
    <x v="0"/>
    <s v="no"/>
    <s v="no"/>
    <s v="LEHMS"/>
    <n v="10497"/>
    <x v="2"/>
    <x v="2"/>
    <s v="LEHMS_10497_Mozzarella di Giovanni"/>
    <s v="10497"/>
    <s v="10497"/>
    <s v="Mozzarella di Giovanni"/>
    <n v="27.8"/>
    <x v="9"/>
    <x v="0"/>
    <n v="695"/>
    <x v="0"/>
    <d v="1995-05-05T00:00:00"/>
    <s v=""/>
    <s v=""/>
  </r>
  <r>
    <x v="26"/>
    <x v="26"/>
    <s v="Renate"/>
    <s v="Messner"/>
    <s v="Messner, Renate"/>
    <s v="Messner, Renate"/>
    <x v="0"/>
    <s v="no"/>
    <s v="no"/>
    <s v="LEHMS"/>
    <n v="10497"/>
    <x v="23"/>
    <x v="23"/>
    <s v="LEHMS_10497_Original Frankfurter grüne Soße"/>
    <s v="10497"/>
    <s v="10497"/>
    <s v="Original Frankfurter grüne Soße"/>
    <n v="10.4"/>
    <x v="9"/>
    <x v="0"/>
    <n v="260"/>
    <x v="0"/>
    <d v="1995-05-05T00:00:00"/>
    <s v=""/>
    <s v=""/>
  </r>
  <r>
    <x v="8"/>
    <x v="8"/>
    <s v="Carlos"/>
    <s v="Hernández"/>
    <s v="Hernández, Carlos"/>
    <s v="Hernández, Carlos"/>
    <x v="0"/>
    <s v="no"/>
    <s v="no"/>
    <s v="HILAA"/>
    <n v="10498"/>
    <x v="15"/>
    <x v="15"/>
    <s v="HILAA_10498_Guaraná Fantástica"/>
    <s v="10498"/>
    <s v="10498"/>
    <s v="Guaraná Fantástica"/>
    <n v="4.5"/>
    <x v="31"/>
    <x v="0"/>
    <n v="63"/>
    <x v="0"/>
    <d v="1995-05-08T00:00:00"/>
    <s v=""/>
    <s v=""/>
  </r>
  <r>
    <x v="8"/>
    <x v="8"/>
    <s v="Carlos"/>
    <s v="Hernández"/>
    <s v="Hernández, Carlos"/>
    <s v="Hernández, Carlos"/>
    <x v="0"/>
    <s v="no"/>
    <s v="no"/>
    <s v="HILAA"/>
    <n v="10498"/>
    <x v="37"/>
    <x v="37"/>
    <s v="HILAA_10498_Boston Crab Meat"/>
    <s v="10498"/>
    <s v="10498"/>
    <s v="Boston Crab Meat"/>
    <n v="18.399999999999999"/>
    <x v="2"/>
    <x v="0"/>
    <n v="92"/>
    <x v="0"/>
    <d v="1995-05-08T00:00:00"/>
    <s v=""/>
    <s v=""/>
  </r>
  <r>
    <x v="8"/>
    <x v="8"/>
    <s v="Carlos"/>
    <s v="Hernández"/>
    <s v="Hernández, Carlos"/>
    <s v="Hernández, Carlos"/>
    <x v="0"/>
    <s v="no"/>
    <s v="no"/>
    <s v="HILAA"/>
    <n v="10498"/>
    <x v="1"/>
    <x v="1"/>
    <s v="HILAA_10498_Singaporean Hokkien Fried Mee"/>
    <s v="10498"/>
    <s v="10498"/>
    <s v="Singaporean Hokkien Fried Mee"/>
    <n v="14"/>
    <x v="12"/>
    <x v="0"/>
    <n v="420"/>
    <x v="0"/>
    <d v="1995-05-08T00:00:00"/>
    <s v=""/>
    <s v=""/>
  </r>
  <r>
    <x v="28"/>
    <x v="28"/>
    <s v="Carlos"/>
    <s v="González"/>
    <s v="González, Carlos"/>
    <s v="González, Carlos"/>
    <x v="0"/>
    <s v="no"/>
    <s v="no"/>
    <s v="LILAS"/>
    <n v="10499"/>
    <x v="44"/>
    <x v="44"/>
    <s v="LILAS_10499_Rössle Sauerkraut"/>
    <s v="10499"/>
    <s v="10499"/>
    <s v="Rössle Sauerkraut"/>
    <n v="45.6"/>
    <x v="8"/>
    <x v="0"/>
    <n v="912"/>
    <x v="0"/>
    <d v="1995-05-09T00:00:00"/>
    <s v=""/>
    <s v=""/>
  </r>
  <r>
    <x v="28"/>
    <x v="28"/>
    <s v="Carlos"/>
    <s v="González"/>
    <s v="González, Carlos"/>
    <s v="González, Carlos"/>
    <x v="0"/>
    <s v="no"/>
    <s v="no"/>
    <s v="LILAS"/>
    <n v="10499"/>
    <x v="14"/>
    <x v="14"/>
    <s v="LILAS_10499_Maxilaku"/>
    <s v="10499"/>
    <s v="10499"/>
    <s v="Maxilaku"/>
    <n v="20"/>
    <x v="9"/>
    <x v="0"/>
    <n v="500"/>
    <x v="0"/>
    <d v="1995-05-09T00:00:00"/>
    <s v=""/>
    <s v=""/>
  </r>
  <r>
    <x v="53"/>
    <x v="53"/>
    <s v="Annette"/>
    <s v="Roulet"/>
    <s v="Roulet, Annette"/>
    <s v="Roulet, Annette"/>
    <x v="0"/>
    <s v="no"/>
    <s v="no"/>
    <s v="LAMAI"/>
    <n v="10500"/>
    <x v="50"/>
    <x v="50"/>
    <s v="LAMAI_10500_Genen Shouyu"/>
    <s v="10500"/>
    <s v="10500"/>
    <s v="Genen Shouyu"/>
    <n v="15.5"/>
    <x v="0"/>
    <x v="2"/>
    <n v="176.7"/>
    <x v="0"/>
    <d v="1995-05-10T00:00:00"/>
    <s v=""/>
    <s v=""/>
  </r>
  <r>
    <x v="53"/>
    <x v="53"/>
    <s v="Annette"/>
    <s v="Roulet"/>
    <s v="Roulet, Annette"/>
    <s v="Roulet, Annette"/>
    <x v="0"/>
    <s v="no"/>
    <s v="no"/>
    <s v="LAMAI"/>
    <n v="10500"/>
    <x v="44"/>
    <x v="44"/>
    <s v="LAMAI_10500_Rössle Sauerkraut"/>
    <s v="10500"/>
    <s v="10500"/>
    <s v="Rössle Sauerkraut"/>
    <n v="45.6"/>
    <x v="26"/>
    <x v="2"/>
    <n v="346.56"/>
    <x v="0"/>
    <d v="1995-05-10T00:00:00"/>
    <s v=""/>
    <s v=""/>
  </r>
  <r>
    <x v="76"/>
    <x v="76"/>
    <s v="Hanna"/>
    <s v="Moos"/>
    <s v="Moos, Hanna"/>
    <s v="Moos, Hanna"/>
    <x v="0"/>
    <s v="no"/>
    <s v="no"/>
    <s v="BLAUS"/>
    <n v="10501"/>
    <x v="55"/>
    <x v="55"/>
    <s v="BLAUS_10501_Tourtière"/>
    <s v="10501"/>
    <s v="10501"/>
    <s v="Tourtière"/>
    <n v="7.45"/>
    <x v="8"/>
    <x v="0"/>
    <n v="149"/>
    <x v="0"/>
    <d v="1995-05-10T00:00:00"/>
    <s v=""/>
    <s v=""/>
  </r>
  <r>
    <x v="43"/>
    <x v="43"/>
    <s v="Guillermo"/>
    <s v="Fernández"/>
    <s v="Fernández, Guillermo"/>
    <s v="Fernández, Guillermo"/>
    <x v="0"/>
    <s v="no"/>
    <s v="no"/>
    <s v="PERIC"/>
    <n v="10502"/>
    <x v="73"/>
    <x v="73"/>
    <s v="PERIC_10502_Røgede sild"/>
    <s v="10502"/>
    <s v="10502"/>
    <s v="Røgede sild"/>
    <n v="9.5"/>
    <x v="11"/>
    <x v="0"/>
    <n v="199.5"/>
    <x v="0"/>
    <d v="1995-05-11T00:00:00"/>
    <s v=""/>
    <s v=""/>
  </r>
  <r>
    <x v="43"/>
    <x v="43"/>
    <s v="Guillermo"/>
    <s v="Fernández"/>
    <s v="Fernández, Guillermo"/>
    <s v="Fernández, Guillermo"/>
    <x v="0"/>
    <s v="no"/>
    <s v="no"/>
    <s v="PERIC"/>
    <n v="10502"/>
    <x v="22"/>
    <x v="22"/>
    <s v="PERIC_10502_Perth Pasties"/>
    <s v="10502"/>
    <s v="10502"/>
    <s v="Perth Pasties"/>
    <n v="32.799999999999997"/>
    <x v="7"/>
    <x v="0"/>
    <n v="196.79999999999998"/>
    <x v="0"/>
    <d v="1995-05-11T00:00:00"/>
    <s v=""/>
    <s v=""/>
  </r>
  <r>
    <x v="43"/>
    <x v="43"/>
    <s v="Guillermo"/>
    <s v="Fernández"/>
    <s v="Fernández, Guillermo"/>
    <s v="Fernández, Guillermo"/>
    <x v="0"/>
    <s v="no"/>
    <s v="no"/>
    <s v="PERIC"/>
    <n v="10502"/>
    <x v="51"/>
    <x v="51"/>
    <s v="PERIC_10502_Laughing Lumberjack Lager"/>
    <s v="10502"/>
    <s v="10502"/>
    <s v="Laughing Lumberjack Lager"/>
    <n v="14"/>
    <x v="12"/>
    <x v="0"/>
    <n v="420"/>
    <x v="0"/>
    <d v="1995-05-11T00:00:00"/>
    <s v=""/>
    <s v=""/>
  </r>
  <r>
    <x v="34"/>
    <x v="34"/>
    <s v="Patricia"/>
    <s v="McKenna"/>
    <s v="McKenna, Patricia"/>
    <s v="McKenna, Patricia"/>
    <x v="0"/>
    <s v="no"/>
    <s v="no"/>
    <s v="HUNGO"/>
    <n v="10503"/>
    <x v="3"/>
    <x v="3"/>
    <s v="HUNGO_10503_Tofu"/>
    <s v="10503"/>
    <s v="10503"/>
    <s v="Tofu"/>
    <n v="23.25"/>
    <x v="21"/>
    <x v="0"/>
    <n v="1627.5"/>
    <x v="0"/>
    <d v="1995-05-12T00:00:00"/>
    <s v=""/>
    <s v=""/>
  </r>
  <r>
    <x v="34"/>
    <x v="34"/>
    <s v="Patricia"/>
    <s v="McKenna"/>
    <s v="McKenna, Patricia"/>
    <s v="McKenna, Patricia"/>
    <x v="0"/>
    <s v="no"/>
    <s v="no"/>
    <s v="HUNGO"/>
    <n v="10503"/>
    <x v="6"/>
    <x v="6"/>
    <s v="HUNGO_10503_Louisiana Fiery Hot Pepper Sauce"/>
    <s v="10503"/>
    <s v="10503"/>
    <s v="Louisiana Fiery Hot Pepper Sauce"/>
    <n v="21.05"/>
    <x v="8"/>
    <x v="0"/>
    <n v="421"/>
    <x v="0"/>
    <d v="1995-05-12T00:00:00"/>
    <s v=""/>
    <s v=""/>
  </r>
  <r>
    <x v="19"/>
    <x v="19"/>
    <s v="Karl"/>
    <s v="Jablonski"/>
    <s v="Jablonski, Karl"/>
    <s v="Jablonski, Karl"/>
    <x v="0"/>
    <s v="no"/>
    <s v="no"/>
    <s v="WHITC"/>
    <n v="10504"/>
    <x v="18"/>
    <x v="18"/>
    <s v="WHITC_10504_Chang"/>
    <s v="10504"/>
    <s v="10504"/>
    <s v="Chang"/>
    <n v="19"/>
    <x v="0"/>
    <x v="0"/>
    <n v="228"/>
    <x v="0"/>
    <d v="1995-05-12T00:00:00"/>
    <s v=""/>
    <s v=""/>
  </r>
  <r>
    <x v="19"/>
    <x v="19"/>
    <s v="Karl"/>
    <s v="Jablonski"/>
    <s v="Jablonski, Karl"/>
    <s v="Jablonski, Karl"/>
    <x v="0"/>
    <s v="no"/>
    <s v="no"/>
    <s v="WHITC"/>
    <n v="10504"/>
    <x v="27"/>
    <x v="27"/>
    <s v="WHITC_10504_Sir Rodney's Scones"/>
    <s v="10504"/>
    <s v="10504"/>
    <s v="Sir Rodney's Scones"/>
    <n v="10"/>
    <x v="0"/>
    <x v="0"/>
    <n v="120"/>
    <x v="0"/>
    <d v="1995-05-12T00:00:00"/>
    <s v=""/>
    <s v=""/>
  </r>
  <r>
    <x v="19"/>
    <x v="19"/>
    <s v="Karl"/>
    <s v="Jablonski"/>
    <s v="Jablonski, Karl"/>
    <s v="Jablonski, Karl"/>
    <x v="0"/>
    <s v="no"/>
    <s v="no"/>
    <s v="WHITC"/>
    <n v="10504"/>
    <x v="22"/>
    <x v="22"/>
    <s v="WHITC_10504_Perth Pasties"/>
    <s v="10504"/>
    <s v="10504"/>
    <s v="Perth Pasties"/>
    <n v="32.799999999999997"/>
    <x v="1"/>
    <x v="0"/>
    <n v="328"/>
    <x v="0"/>
    <d v="1995-05-12T00:00:00"/>
    <s v=""/>
    <s v=""/>
  </r>
  <r>
    <x v="19"/>
    <x v="19"/>
    <s v="Karl"/>
    <s v="Jablonski"/>
    <s v="Jablonski, Karl"/>
    <s v="Jablonski, Karl"/>
    <x v="0"/>
    <s v="no"/>
    <s v="no"/>
    <s v="WHITC"/>
    <n v="10504"/>
    <x v="75"/>
    <x v="75"/>
    <s v="WHITC_10504_Sirop d'érable"/>
    <s v="10504"/>
    <s v="10504"/>
    <s v="Sirop d'érable"/>
    <n v="28.5"/>
    <x v="9"/>
    <x v="0"/>
    <n v="712.5"/>
    <x v="0"/>
    <d v="1995-05-12T00:00:00"/>
    <s v=""/>
    <s v=""/>
  </r>
  <r>
    <x v="49"/>
    <x v="49"/>
    <s v="Jean"/>
    <s v="Fresnière"/>
    <s v="Fresnière, Jean"/>
    <s v="Fresnière, Jean"/>
    <x v="0"/>
    <s v="no"/>
    <s v="no"/>
    <s v="MEREP"/>
    <n v="10505"/>
    <x v="29"/>
    <x v="29"/>
    <s v="MEREP_10505_Tarte au sucre"/>
    <s v="10505"/>
    <s v="10505"/>
    <s v="Tarte au sucre"/>
    <n v="49.3"/>
    <x v="28"/>
    <x v="0"/>
    <n v="147.89999999999998"/>
    <x v="0"/>
    <d v="1995-05-15T00:00:00"/>
    <s v=""/>
    <s v=""/>
  </r>
  <r>
    <x v="44"/>
    <x v="44"/>
    <s v="Philip"/>
    <s v="Cramer"/>
    <s v="Cramer, Philip"/>
    <s v="Cramer, Philip"/>
    <x v="0"/>
    <s v="no"/>
    <s v="no"/>
    <s v="KOENE"/>
    <n v="10506"/>
    <x v="66"/>
    <x v="66"/>
    <s v="KOENE_10506_NuNuCa Nuß-Nougat-Creme"/>
    <s v="10506"/>
    <s v="10506"/>
    <s v="NuNuCa Nuß-Nougat-Creme"/>
    <n v="14"/>
    <x v="27"/>
    <x v="5"/>
    <n v="226.8"/>
    <x v="0"/>
    <d v="1995-05-16T00:00:00"/>
    <s v=""/>
    <s v=""/>
  </r>
  <r>
    <x v="44"/>
    <x v="44"/>
    <s v="Philip"/>
    <s v="Cramer"/>
    <s v="Cramer, Philip"/>
    <s v="Cramer, Philip"/>
    <x v="0"/>
    <s v="no"/>
    <s v="no"/>
    <s v="KOENE"/>
    <n v="10506"/>
    <x v="30"/>
    <x v="30"/>
    <s v="KOENE_10506_Outback Lager"/>
    <s v="10506"/>
    <s v="10506"/>
    <s v="Outback Lager"/>
    <n v="15"/>
    <x v="31"/>
    <x v="5"/>
    <n v="189"/>
    <x v="0"/>
    <d v="1995-05-16T00:00:00"/>
    <s v=""/>
    <s v=""/>
  </r>
  <r>
    <x v="59"/>
    <x v="59"/>
    <s v="Antonio"/>
    <s v="Moreno"/>
    <s v="Moreno, Antonio"/>
    <s v="Moreno, Antonio"/>
    <x v="0"/>
    <s v="no"/>
    <s v="no"/>
    <s v="ANTON"/>
    <n v="10507"/>
    <x v="40"/>
    <x v="40"/>
    <s v="ANTON_10507_Ipoh Coffee"/>
    <s v="10507"/>
    <s v="10507"/>
    <s v="Ipoh Coffee"/>
    <n v="46"/>
    <x v="6"/>
    <x v="1"/>
    <n v="586.5"/>
    <x v="0"/>
    <d v="1995-05-16T00:00:00"/>
    <s v=""/>
    <s v=""/>
  </r>
  <r>
    <x v="59"/>
    <x v="59"/>
    <s v="Antonio"/>
    <s v="Moreno"/>
    <s v="Moreno, Antonio"/>
    <s v="Moreno, Antonio"/>
    <x v="0"/>
    <s v="no"/>
    <s v="no"/>
    <s v="ANTON"/>
    <n v="10507"/>
    <x v="74"/>
    <x v="74"/>
    <s v="ANTON_10507_Chocolade"/>
    <s v="10507"/>
    <s v="10507"/>
    <s v="Chocolade"/>
    <n v="12.75"/>
    <x v="6"/>
    <x v="1"/>
    <n v="162.5625"/>
    <x v="0"/>
    <d v="1995-05-16T00:00:00"/>
    <s v=""/>
    <s v=""/>
  </r>
  <r>
    <x v="11"/>
    <x v="11"/>
    <s v="Henriette"/>
    <s v="Pfalzheim"/>
    <s v="Pfalzheim, Henriette"/>
    <s v="Pfalzheim, Henriette"/>
    <x v="0"/>
    <s v="no"/>
    <s v="no"/>
    <s v="OTTIK"/>
    <n v="10508"/>
    <x v="43"/>
    <x v="43"/>
    <s v="OTTIK_10508_Konbu"/>
    <s v="10508"/>
    <s v="10508"/>
    <s v="Konbu"/>
    <n v="6"/>
    <x v="1"/>
    <x v="0"/>
    <n v="60"/>
    <x v="0"/>
    <d v="1995-05-17T00:00:00"/>
    <s v=""/>
    <s v=""/>
  </r>
  <r>
    <x v="11"/>
    <x v="11"/>
    <s v="Henriette"/>
    <s v="Pfalzheim"/>
    <s v="Pfalzheim, Henriette"/>
    <s v="Pfalzheim, Henriette"/>
    <x v="0"/>
    <s v="no"/>
    <s v="no"/>
    <s v="OTTIK"/>
    <n v="10508"/>
    <x v="13"/>
    <x v="13"/>
    <s v="OTTIK_10508_Chartreuse verte"/>
    <s v="10508"/>
    <s v="10508"/>
    <s v="Chartreuse verte"/>
    <n v="18"/>
    <x v="1"/>
    <x v="0"/>
    <n v="180"/>
    <x v="0"/>
    <d v="1995-05-17T00:00:00"/>
    <s v=""/>
    <s v=""/>
  </r>
  <r>
    <x v="76"/>
    <x v="76"/>
    <s v="Hanna"/>
    <s v="Moos"/>
    <s v="Moos, Hanna"/>
    <s v="Moos, Hanna"/>
    <x v="0"/>
    <s v="no"/>
    <s v="no"/>
    <s v="BLAUS"/>
    <n v="10509"/>
    <x v="44"/>
    <x v="44"/>
    <s v="BLAUS_10509_Rössle Sauerkraut"/>
    <s v="10509"/>
    <s v="10509"/>
    <s v="Rössle Sauerkraut"/>
    <n v="45.6"/>
    <x v="28"/>
    <x v="0"/>
    <n v="136.80000000000001"/>
    <x v="0"/>
    <d v="1995-05-18T00:00:00"/>
    <s v=""/>
    <s v=""/>
  </r>
  <r>
    <x v="45"/>
    <x v="45"/>
    <s v="Jose"/>
    <s v="Pavarotti"/>
    <s v="Pavarotti, Jose"/>
    <s v="Pavarotti, Jose"/>
    <x v="1"/>
    <s v="yes"/>
    <s v="yes"/>
    <s v="SAVEA"/>
    <n v="10510"/>
    <x v="39"/>
    <x v="39"/>
    <s v="SAVEA_10510_Thüringer Rostbratwurst"/>
    <s v="10510"/>
    <s v="10510"/>
    <s v="Thüringer Rostbratwurst"/>
    <n v="123.79"/>
    <x v="20"/>
    <x v="0"/>
    <n v="4456.4400000000005"/>
    <x v="0"/>
    <d v="1995-05-19T00:00:00"/>
    <s v=""/>
    <s v=""/>
  </r>
  <r>
    <x v="45"/>
    <x v="45"/>
    <s v="Jose"/>
    <s v="Pavarotti"/>
    <s v="Pavarotti, Jose"/>
    <s v="Pavarotti, Jose"/>
    <x v="0"/>
    <s v="no"/>
    <s v="no"/>
    <s v="SAVEA"/>
    <n v="10510"/>
    <x v="48"/>
    <x v="48"/>
    <s v="SAVEA_10510_Rhönbräu Klosterbier"/>
    <s v="10510"/>
    <s v="10510"/>
    <s v="Rhönbräu Klosterbier"/>
    <n v="7.75"/>
    <x v="20"/>
    <x v="5"/>
    <n v="251.1"/>
    <x v="0"/>
    <d v="1995-05-19T00:00:00"/>
    <s v=""/>
    <s v=""/>
  </r>
  <r>
    <x v="48"/>
    <x v="48"/>
    <s v="Laurence"/>
    <s v="Lebihan"/>
    <s v="Lebihan, Laurence"/>
    <s v="Lebihan, Laurence"/>
    <x v="0"/>
    <s v="no"/>
    <s v="no"/>
    <s v="BONAP"/>
    <n v="10511"/>
    <x v="62"/>
    <x v="62"/>
    <s v="BONAP_10511_Chef Anton's Cajun Seasoning"/>
    <s v="10511"/>
    <s v="10511"/>
    <s v="Chef Anton's Cajun Seasoning"/>
    <n v="22"/>
    <x v="13"/>
    <x v="1"/>
    <n v="935"/>
    <x v="0"/>
    <d v="1995-05-19T00:00:00"/>
    <s v=""/>
    <s v=""/>
  </r>
  <r>
    <x v="48"/>
    <x v="48"/>
    <s v="Laurence"/>
    <s v="Lebihan"/>
    <s v="Lebihan, Laurence"/>
    <s v="Lebihan, Laurence"/>
    <x v="0"/>
    <s v="no"/>
    <s v="no"/>
    <s v="BONAP"/>
    <n v="10511"/>
    <x v="32"/>
    <x v="32"/>
    <s v="BONAP_10511_Uncle Bob's Organic Dried Pears"/>
    <s v="10511"/>
    <s v="10511"/>
    <s v="Uncle Bob's Organic Dried Pears"/>
    <n v="30"/>
    <x v="13"/>
    <x v="1"/>
    <n v="1275"/>
    <x v="0"/>
    <d v="1995-05-19T00:00:00"/>
    <s v=""/>
    <s v=""/>
  </r>
  <r>
    <x v="48"/>
    <x v="48"/>
    <s v="Laurence"/>
    <s v="Lebihan"/>
    <s v="Lebihan, Laurence"/>
    <s v="Lebihan, Laurence"/>
    <x v="0"/>
    <s v="no"/>
    <s v="no"/>
    <s v="BONAP"/>
    <n v="10511"/>
    <x v="71"/>
    <x v="71"/>
    <s v="BONAP_10511_Northwoods Cranberry Sauce"/>
    <s v="10511"/>
    <s v="10511"/>
    <s v="Northwoods Cranberry Sauce"/>
    <n v="40"/>
    <x v="1"/>
    <x v="1"/>
    <n v="340"/>
    <x v="0"/>
    <d v="1995-05-19T00:00:00"/>
    <s v=""/>
    <s v=""/>
  </r>
  <r>
    <x v="52"/>
    <x v="52"/>
    <s v="Aria"/>
    <s v="Cruz"/>
    <s v="Cruz, Aria"/>
    <s v="Cruz, Aria"/>
    <x v="0"/>
    <s v="no"/>
    <s v="no"/>
    <s v="FAMIA"/>
    <n v="10512"/>
    <x v="15"/>
    <x v="15"/>
    <s v="FAMIA_10512_Guaraná Fantástica"/>
    <s v="10512"/>
    <s v="10512"/>
    <s v="Guaraná Fantástica"/>
    <n v="4.5"/>
    <x v="1"/>
    <x v="1"/>
    <n v="38.25"/>
    <x v="0"/>
    <d v="1995-05-22T00:00:00"/>
    <s v=""/>
    <s v=""/>
  </r>
  <r>
    <x v="52"/>
    <x v="52"/>
    <s v="Aria"/>
    <s v="Cruz"/>
    <s v="Cruz, Aria"/>
    <s v="Cruz, Aria"/>
    <x v="0"/>
    <s v="no"/>
    <s v="no"/>
    <s v="FAMIA"/>
    <n v="10512"/>
    <x v="54"/>
    <x v="54"/>
    <s v="FAMIA_10512_Spegesild"/>
    <s v="10512"/>
    <s v="10512"/>
    <s v="Spegesild"/>
    <n v="12"/>
    <x v="3"/>
    <x v="1"/>
    <n v="91.8"/>
    <x v="0"/>
    <d v="1995-05-22T00:00:00"/>
    <s v=""/>
    <s v=""/>
  </r>
  <r>
    <x v="52"/>
    <x v="52"/>
    <s v="Aria"/>
    <s v="Cruz"/>
    <s v="Cruz, Aria"/>
    <s v="Cruz, Aria"/>
    <x v="0"/>
    <s v="no"/>
    <s v="no"/>
    <s v="FAMIA"/>
    <n v="10512"/>
    <x v="69"/>
    <x v="69"/>
    <s v="FAMIA_10512_Zaanse koeken"/>
    <s v="10512"/>
    <s v="10512"/>
    <s v="Zaanse koeken"/>
    <n v="9.5"/>
    <x v="7"/>
    <x v="1"/>
    <n v="48.449999999999996"/>
    <x v="0"/>
    <d v="1995-05-22T00:00:00"/>
    <s v=""/>
    <s v=""/>
  </r>
  <r>
    <x v="52"/>
    <x v="52"/>
    <s v="Aria"/>
    <s v="Cruz"/>
    <s v="Cruz, Aria"/>
    <s v="Cruz, Aria"/>
    <x v="0"/>
    <s v="no"/>
    <s v="no"/>
    <s v="FAMIA"/>
    <n v="10512"/>
    <x v="11"/>
    <x v="11"/>
    <s v="FAMIA_10512_Camembert Pierrot"/>
    <s v="10512"/>
    <s v="10512"/>
    <s v="Camembert Pierrot"/>
    <n v="34"/>
    <x v="0"/>
    <x v="1"/>
    <n v="346.8"/>
    <x v="0"/>
    <d v="1995-05-22T00:00:00"/>
    <s v=""/>
    <s v=""/>
  </r>
  <r>
    <x v="35"/>
    <x v="35"/>
    <s v="Rita"/>
    <s v="Müller"/>
    <s v="Müller, Rita"/>
    <s v="Müller, Rita"/>
    <x v="0"/>
    <s v="no"/>
    <s v="no"/>
    <s v="WANDK"/>
    <n v="10513"/>
    <x v="27"/>
    <x v="27"/>
    <s v="WANDK_10513_Sir Rodney's Scones"/>
    <s v="10513"/>
    <s v="10513"/>
    <s v="Sir Rodney's Scones"/>
    <n v="10"/>
    <x v="4"/>
    <x v="3"/>
    <n v="320"/>
    <x v="0"/>
    <d v="1995-05-23T00:00:00"/>
    <s v=""/>
    <s v=""/>
  </r>
  <r>
    <x v="35"/>
    <x v="35"/>
    <s v="Rita"/>
    <s v="Müller"/>
    <s v="Müller, Rita"/>
    <s v="Müller, Rita"/>
    <x v="0"/>
    <s v="no"/>
    <s v="no"/>
    <s v="WANDK"/>
    <n v="10513"/>
    <x v="26"/>
    <x v="26"/>
    <s v="WANDK_10513_Mascarpone Fabioli"/>
    <s v="10513"/>
    <s v="10513"/>
    <s v="Mascarpone Fabioli"/>
    <n v="32"/>
    <x v="13"/>
    <x v="3"/>
    <n v="1280"/>
    <x v="0"/>
    <d v="1995-05-23T00:00:00"/>
    <s v=""/>
    <s v=""/>
  </r>
  <r>
    <x v="35"/>
    <x v="35"/>
    <s v="Rita"/>
    <s v="Müller"/>
    <s v="Müller, Rita"/>
    <s v="Müller, Rita"/>
    <x v="0"/>
    <s v="no"/>
    <s v="no"/>
    <s v="WANDK"/>
    <n v="10513"/>
    <x v="75"/>
    <x v="75"/>
    <s v="WANDK_10513_Sirop d'érable"/>
    <s v="10513"/>
    <s v="10513"/>
    <s v="Sirop d'érable"/>
    <n v="28.5"/>
    <x v="6"/>
    <x v="3"/>
    <n v="342"/>
    <x v="0"/>
    <d v="1995-05-23T00:00:00"/>
    <s v=""/>
    <s v=""/>
  </r>
  <r>
    <x v="9"/>
    <x v="9"/>
    <s v="Roland"/>
    <s v="Mendel"/>
    <s v="Mendel, Roland"/>
    <s v="Mendel, Roland"/>
    <x v="0"/>
    <s v="no"/>
    <s v="moderate"/>
    <s v="ERNSH"/>
    <n v="10514"/>
    <x v="9"/>
    <x v="9"/>
    <s v="ERNSH_10514_Sir Rodney's Marmalade"/>
    <s v="10514"/>
    <s v="10514"/>
    <s v="Sir Rodney's Marmalade"/>
    <n v="81"/>
    <x v="43"/>
    <x v="0"/>
    <n v="3159"/>
    <x v="0"/>
    <d v="1995-05-23T00:00:00"/>
    <s v=""/>
    <s v=""/>
  </r>
  <r>
    <x v="9"/>
    <x v="9"/>
    <s v="Roland"/>
    <s v="Mendel"/>
    <s v="Mendel, Roland"/>
    <s v="Mendel, Roland"/>
    <x v="0"/>
    <s v="no"/>
    <s v="no"/>
    <s v="ERNSH"/>
    <n v="10514"/>
    <x v="44"/>
    <x v="44"/>
    <s v="ERNSH_10514_Rössle Sauerkraut"/>
    <s v="10514"/>
    <s v="10514"/>
    <s v="Rössle Sauerkraut"/>
    <n v="45.6"/>
    <x v="5"/>
    <x v="0"/>
    <n v="1596"/>
    <x v="0"/>
    <d v="1995-05-23T00:00:00"/>
    <s v=""/>
    <s v=""/>
  </r>
  <r>
    <x v="9"/>
    <x v="9"/>
    <s v="Roland"/>
    <s v="Mendel"/>
    <s v="Mendel, Roland"/>
    <s v="Mendel, Roland"/>
    <x v="0"/>
    <s v="no"/>
    <s v="moderate"/>
    <s v="ERNSH"/>
    <n v="10514"/>
    <x v="33"/>
    <x v="33"/>
    <s v="ERNSH_10514_Gnocchi di nonna Alice"/>
    <s v="10514"/>
    <s v="10514"/>
    <s v="Gnocchi di nonna Alice"/>
    <n v="38"/>
    <x v="21"/>
    <x v="0"/>
    <n v="2660"/>
    <x v="0"/>
    <d v="1995-05-23T00:00:00"/>
    <s v=""/>
    <s v=""/>
  </r>
  <r>
    <x v="9"/>
    <x v="9"/>
    <s v="Roland"/>
    <s v="Mendel"/>
    <s v="Mendel, Roland"/>
    <s v="Mendel, Roland"/>
    <x v="0"/>
    <s v="no"/>
    <s v="no"/>
    <s v="ERNSH"/>
    <n v="10514"/>
    <x v="6"/>
    <x v="6"/>
    <s v="ERNSH_10514_Louisiana Fiery Hot Pepper Sauce"/>
    <s v="10514"/>
    <s v="10514"/>
    <s v="Louisiana Fiery Hot Pepper Sauce"/>
    <n v="21.05"/>
    <x v="43"/>
    <x v="0"/>
    <n v="820.95"/>
    <x v="0"/>
    <d v="1995-05-23T00:00:00"/>
    <s v=""/>
    <s v=""/>
  </r>
  <r>
    <x v="9"/>
    <x v="9"/>
    <s v="Roland"/>
    <s v="Mendel"/>
    <s v="Mendel, Roland"/>
    <s v="Mendel, Roland"/>
    <x v="0"/>
    <s v="no"/>
    <s v="no"/>
    <s v="ERNSH"/>
    <n v="10514"/>
    <x v="48"/>
    <x v="48"/>
    <s v="ERNSH_10514_Rhönbräu Klosterbier"/>
    <s v="10514"/>
    <s v="10514"/>
    <s v="Rhönbräu Klosterbier"/>
    <n v="7.75"/>
    <x v="13"/>
    <x v="0"/>
    <n v="387.5"/>
    <x v="0"/>
    <d v="1995-05-23T00:00:00"/>
    <s v=""/>
    <s v=""/>
  </r>
  <r>
    <x v="21"/>
    <x v="21"/>
    <s v="Horst"/>
    <s v="Kloss"/>
    <s v="Kloss, Horst"/>
    <s v="Kloss, Horst"/>
    <x v="0"/>
    <s v="no"/>
    <s v="no"/>
    <s v="QUICK"/>
    <n v="10515"/>
    <x v="76"/>
    <x v="76"/>
    <s v="QUICK_10515_Mishi Kobe Niku"/>
    <s v="10515"/>
    <s v="10515"/>
    <s v="Mishi Kobe Niku"/>
    <n v="97"/>
    <x v="16"/>
    <x v="1"/>
    <n v="1319.2"/>
    <x v="0"/>
    <d v="1995-05-24T00:00:00"/>
    <s v=""/>
    <s v=""/>
  </r>
  <r>
    <x v="21"/>
    <x v="21"/>
    <s v="Horst"/>
    <s v="Kloss"/>
    <s v="Kloss, Horst"/>
    <s v="Kloss, Horst"/>
    <x v="0"/>
    <s v="no"/>
    <s v="no"/>
    <s v="QUICK"/>
    <n v="10515"/>
    <x v="19"/>
    <x v="19"/>
    <s v="QUICK_10515_Pavlova"/>
    <s v="10515"/>
    <s v="10515"/>
    <s v="Pavlova"/>
    <n v="17.45"/>
    <x v="13"/>
    <x v="0"/>
    <n v="872.5"/>
    <x v="0"/>
    <d v="1995-05-24T00:00:00"/>
    <s v=""/>
    <s v=""/>
  </r>
  <r>
    <x v="21"/>
    <x v="21"/>
    <s v="Horst"/>
    <s v="Kloss"/>
    <s v="Kloss, Horst"/>
    <s v="Kloss, Horst"/>
    <x v="1"/>
    <s v="yes"/>
    <s v="yes"/>
    <s v="QUICK"/>
    <n v="10515"/>
    <x v="24"/>
    <x v="24"/>
    <s v="QUICK_10515_Schoggi Schokolade"/>
    <s v="10515"/>
    <s v="10515"/>
    <s v="Schoggi Schokolade"/>
    <n v="43.9"/>
    <x v="40"/>
    <x v="0"/>
    <n v="5268"/>
    <x v="0"/>
    <d v="1995-05-24T00:00:00"/>
    <s v=""/>
    <s v=""/>
  </r>
  <r>
    <x v="21"/>
    <x v="21"/>
    <s v="Horst"/>
    <s v="Kloss"/>
    <s v="Kloss, Horst"/>
    <s v="Kloss, Horst"/>
    <x v="0"/>
    <s v="no"/>
    <s v="no"/>
    <s v="QUICK"/>
    <n v="10515"/>
    <x v="10"/>
    <x v="10"/>
    <s v="QUICK_10515_Geitost"/>
    <s v="10515"/>
    <s v="10515"/>
    <s v="Geitost"/>
    <n v="2.5"/>
    <x v="16"/>
    <x v="1"/>
    <n v="34"/>
    <x v="0"/>
    <d v="1995-05-24T00:00:00"/>
    <s v=""/>
    <s v=""/>
  </r>
  <r>
    <x v="21"/>
    <x v="21"/>
    <s v="Horst"/>
    <s v="Kloss"/>
    <s v="Kloss, Horst"/>
    <s v="Kloss, Horst"/>
    <x v="0"/>
    <s v="no"/>
    <s v="no"/>
    <s v="QUICK"/>
    <n v="10515"/>
    <x v="11"/>
    <x v="11"/>
    <s v="QUICK_10515_Camembert Pierrot"/>
    <s v="10515"/>
    <s v="10515"/>
    <s v="Camembert Pierrot"/>
    <n v="34"/>
    <x v="44"/>
    <x v="1"/>
    <n v="2427.6"/>
    <x v="0"/>
    <d v="1995-05-24T00:00:00"/>
    <s v=""/>
    <s v=""/>
  </r>
  <r>
    <x v="34"/>
    <x v="34"/>
    <s v="Patricia"/>
    <s v="McKenna"/>
    <s v="McKenna, Patricia"/>
    <s v="McKenna, Patricia"/>
    <x v="0"/>
    <s v="no"/>
    <s v="no"/>
    <s v="HUNGO"/>
    <n v="10516"/>
    <x v="59"/>
    <x v="59"/>
    <s v="HUNGO_10516_Carnarvon Tigers"/>
    <s v="10516"/>
    <s v="10516"/>
    <s v="Carnarvon Tigers"/>
    <n v="62.5"/>
    <x v="9"/>
    <x v="5"/>
    <n v="1406.25"/>
    <x v="0"/>
    <d v="1995-05-25T00:00:00"/>
    <s v=""/>
    <s v=""/>
  </r>
  <r>
    <x v="34"/>
    <x v="34"/>
    <s v="Patricia"/>
    <s v="McKenna"/>
    <s v="McKenna, Patricia"/>
    <s v="McKenna, Patricia"/>
    <x v="0"/>
    <s v="no"/>
    <s v="no"/>
    <s v="HUNGO"/>
    <n v="10516"/>
    <x v="5"/>
    <x v="5"/>
    <s v="HUNGO_10516_Jack's New England Clam Chowder"/>
    <s v="10516"/>
    <s v="10516"/>
    <s v="Jack's New England Clam Chowder"/>
    <n v="9.65"/>
    <x v="32"/>
    <x v="5"/>
    <n v="694.80000000000007"/>
    <x v="0"/>
    <d v="1995-05-25T00:00:00"/>
    <s v=""/>
    <s v=""/>
  </r>
  <r>
    <x v="34"/>
    <x v="34"/>
    <s v="Patricia"/>
    <s v="McKenna"/>
    <s v="McKenna, Patricia"/>
    <s v="McKenna, Patricia"/>
    <x v="0"/>
    <s v="no"/>
    <s v="no"/>
    <s v="HUNGO"/>
    <n v="10516"/>
    <x v="1"/>
    <x v="1"/>
    <s v="HUNGO_10516_Singaporean Hokkien Fried Mee"/>
    <s v="10516"/>
    <s v="10516"/>
    <s v="Singaporean Hokkien Fried Mee"/>
    <n v="14"/>
    <x v="8"/>
    <x v="0"/>
    <n v="280"/>
    <x v="0"/>
    <d v="1995-05-25T00:00:00"/>
    <s v=""/>
    <s v=""/>
  </r>
  <r>
    <x v="77"/>
    <x v="77"/>
    <s v="Simon"/>
    <s v="Crowther"/>
    <s v="Crowther, Simon"/>
    <s v="Crowther, Simon"/>
    <x v="0"/>
    <s v="no"/>
    <s v="no"/>
    <s v="NORTS"/>
    <n v="10517"/>
    <x v="65"/>
    <x v="65"/>
    <s v="NORTS_10517_Filo Mix"/>
    <s v="10517"/>
    <s v="10517"/>
    <s v="Filo Mix"/>
    <n v="7"/>
    <x v="7"/>
    <x v="0"/>
    <n v="42"/>
    <x v="0"/>
    <d v="1995-05-25T00:00:00"/>
    <s v=""/>
    <s v=""/>
  </r>
  <r>
    <x v="77"/>
    <x v="77"/>
    <s v="Simon"/>
    <s v="Crowther"/>
    <s v="Crowther, Simon"/>
    <s v="Crowther, Simon"/>
    <x v="0"/>
    <s v="no"/>
    <s v="no"/>
    <s v="NORTS"/>
    <n v="10517"/>
    <x v="21"/>
    <x v="21"/>
    <s v="NORTS_10517_Raclette Courdavault"/>
    <s v="10517"/>
    <s v="10517"/>
    <s v="Raclette Courdavault"/>
    <n v="55"/>
    <x v="22"/>
    <x v="0"/>
    <n v="220"/>
    <x v="0"/>
    <d v="1995-05-25T00:00:00"/>
    <s v=""/>
    <s v=""/>
  </r>
  <r>
    <x v="77"/>
    <x v="77"/>
    <s v="Simon"/>
    <s v="Crowther"/>
    <s v="Crowther, Simon"/>
    <s v="Crowther, Simon"/>
    <x v="0"/>
    <s v="no"/>
    <s v="no"/>
    <s v="NORTS"/>
    <n v="10517"/>
    <x v="30"/>
    <x v="30"/>
    <s v="NORTS_10517_Outback Lager"/>
    <s v="10517"/>
    <s v="10517"/>
    <s v="Outback Lager"/>
    <n v="15"/>
    <x v="7"/>
    <x v="0"/>
    <n v="90"/>
    <x v="0"/>
    <d v="1995-05-25T00:00:00"/>
    <s v=""/>
    <s v=""/>
  </r>
  <r>
    <x v="23"/>
    <x v="23"/>
    <s v="Miguel"/>
    <s v="Angel Paolino"/>
    <s v="Angel Paolino, Miguel"/>
    <s v="Angel Paolino, Miguel"/>
    <x v="0"/>
    <s v="no"/>
    <s v="no"/>
    <s v="TORTU"/>
    <n v="10518"/>
    <x v="15"/>
    <x v="15"/>
    <s v="TORTU_10518_Guaraná Fantástica"/>
    <s v="10518"/>
    <s v="10518"/>
    <s v="Guaraná Fantástica"/>
    <n v="4.5"/>
    <x v="2"/>
    <x v="0"/>
    <n v="22.5"/>
    <x v="0"/>
    <d v="1995-05-26T00:00:00"/>
    <s v=""/>
    <s v=""/>
  </r>
  <r>
    <x v="23"/>
    <x v="23"/>
    <s v="Miguel"/>
    <s v="Angel Paolino"/>
    <s v="Angel Paolino, Miguel"/>
    <s v="Angel Paolino, Miguel"/>
    <x v="1"/>
    <s v="yes"/>
    <s v="yes"/>
    <s v="TORTU"/>
    <n v="10518"/>
    <x v="67"/>
    <x v="67"/>
    <s v="TORTU_10518_Côte de Blaye"/>
    <s v="10518"/>
    <s v="10518"/>
    <s v="Côte de Blaye"/>
    <n v="263.5"/>
    <x v="6"/>
    <x v="0"/>
    <n v="3952.5"/>
    <x v="0"/>
    <d v="1995-05-26T00:00:00"/>
    <s v=""/>
    <s v=""/>
  </r>
  <r>
    <x v="23"/>
    <x v="23"/>
    <s v="Miguel"/>
    <s v="Angel Paolino"/>
    <s v="Angel Paolino, Miguel"/>
    <s v="Angel Paolino, Miguel"/>
    <x v="0"/>
    <s v="no"/>
    <s v="no"/>
    <s v="TORTU"/>
    <n v="10518"/>
    <x v="45"/>
    <x v="45"/>
    <s v="TORTU_10518_Gula Malacca"/>
    <s v="10518"/>
    <s v="10518"/>
    <s v="Gula Malacca"/>
    <n v="19.45"/>
    <x v="3"/>
    <x v="0"/>
    <n v="175.04999999999998"/>
    <x v="0"/>
    <d v="1995-05-26T00:00:00"/>
    <s v=""/>
    <s v=""/>
  </r>
  <r>
    <x v="5"/>
    <x v="5"/>
    <s v="Yang"/>
    <s v="Wang"/>
    <s v="Wang, Yang"/>
    <s v="Wang, Yang"/>
    <x v="0"/>
    <s v="no"/>
    <s v="no"/>
    <s v="CHOPS"/>
    <n v="10519"/>
    <x v="41"/>
    <x v="41"/>
    <s v="CHOPS_10519_Ikura"/>
    <s v="10519"/>
    <s v="10519"/>
    <s v="Ikura"/>
    <n v="31"/>
    <x v="16"/>
    <x v="2"/>
    <n v="471.2"/>
    <x v="0"/>
    <d v="1995-05-29T00:00:00"/>
    <s v=""/>
    <s v=""/>
  </r>
  <r>
    <x v="5"/>
    <x v="5"/>
    <s v="Yang"/>
    <s v="Wang"/>
    <s v="Wang, Yang"/>
    <s v="Wang, Yang"/>
    <x v="0"/>
    <s v="no"/>
    <s v="no"/>
    <s v="CHOPS"/>
    <n v="10519"/>
    <x v="33"/>
    <x v="33"/>
    <s v="CHOPS_10519_Gnocchi di nonna Alice"/>
    <s v="10519"/>
    <s v="10519"/>
    <s v="Gnocchi di nonna Alice"/>
    <n v="38"/>
    <x v="4"/>
    <x v="0"/>
    <n v="1520"/>
    <x v="0"/>
    <d v="1995-05-29T00:00:00"/>
    <s v=""/>
    <s v=""/>
  </r>
  <r>
    <x v="5"/>
    <x v="5"/>
    <s v="Yang"/>
    <s v="Wang"/>
    <s v="Wang, Yang"/>
    <s v="Wang, Yang"/>
    <x v="0"/>
    <s v="no"/>
    <s v="no"/>
    <s v="CHOPS"/>
    <n v="10519"/>
    <x v="11"/>
    <x v="11"/>
    <s v="CHOPS_10519_Camembert Pierrot"/>
    <s v="10519"/>
    <s v="10519"/>
    <s v="Camembert Pierrot"/>
    <n v="34"/>
    <x v="1"/>
    <x v="2"/>
    <n v="323"/>
    <x v="0"/>
    <d v="1995-05-29T00:00:00"/>
    <s v=""/>
    <s v=""/>
  </r>
  <r>
    <x v="65"/>
    <x v="65"/>
    <s v="Jonas"/>
    <s v="Bergulfsen"/>
    <s v="Bergulfsen, Jonas"/>
    <s v="Bergulfsen, Jonas"/>
    <x v="0"/>
    <s v="no"/>
    <s v="no"/>
    <s v="SANTG"/>
    <n v="10520"/>
    <x v="15"/>
    <x v="15"/>
    <s v="SANTG_10520_Guaraná Fantástica"/>
    <s v="10520"/>
    <s v="10520"/>
    <s v="Guaraná Fantástica"/>
    <n v="4.5"/>
    <x v="26"/>
    <x v="0"/>
    <n v="36"/>
    <x v="0"/>
    <d v="1995-05-30T00:00:00"/>
    <s v=""/>
    <s v=""/>
  </r>
  <r>
    <x v="65"/>
    <x v="65"/>
    <s v="Jonas"/>
    <s v="Bergulfsen"/>
    <s v="Bergulfsen, Jonas"/>
    <s v="Bergulfsen, Jonas"/>
    <x v="0"/>
    <s v="no"/>
    <s v="no"/>
    <s v="SANTG"/>
    <n v="10520"/>
    <x v="22"/>
    <x v="22"/>
    <s v="SANTG_10520_Perth Pasties"/>
    <s v="10520"/>
    <s v="10520"/>
    <s v="Perth Pasties"/>
    <n v="32.799999999999997"/>
    <x v="2"/>
    <x v="0"/>
    <n v="164"/>
    <x v="0"/>
    <d v="1995-05-30T00:00:00"/>
    <s v=""/>
    <s v=""/>
  </r>
  <r>
    <x v="78"/>
    <x v="78"/>
    <s v="Patricio"/>
    <s v="Simpson"/>
    <s v="Simpson, Patricio"/>
    <s v="Simpson, Patricio"/>
    <x v="0"/>
    <s v="no"/>
    <s v="no"/>
    <s v="CACTU"/>
    <n v="10521"/>
    <x v="31"/>
    <x v="31"/>
    <s v="CACTU_10521_Steeleye Stout"/>
    <s v="10521"/>
    <s v="10521"/>
    <s v="Steeleye Stout"/>
    <n v="18"/>
    <x v="28"/>
    <x v="0"/>
    <n v="54"/>
    <x v="0"/>
    <d v="1995-05-30T00:00:00"/>
    <s v=""/>
    <s v=""/>
  </r>
  <r>
    <x v="78"/>
    <x v="78"/>
    <s v="Patricio"/>
    <s v="Simpson"/>
    <s v="Simpson, Patricio"/>
    <s v="Simpson, Patricio"/>
    <x v="0"/>
    <s v="no"/>
    <s v="no"/>
    <s v="CACTU"/>
    <n v="10521"/>
    <x v="5"/>
    <x v="5"/>
    <s v="CACTU_10521_Jack's New England Clam Chowder"/>
    <s v="10521"/>
    <s v="10521"/>
    <s v="Jack's New England Clam Chowder"/>
    <n v="9.65"/>
    <x v="1"/>
    <x v="0"/>
    <n v="96.5"/>
    <x v="0"/>
    <d v="1995-05-30T00:00:00"/>
    <s v=""/>
    <s v=""/>
  </r>
  <r>
    <x v="78"/>
    <x v="78"/>
    <s v="Patricio"/>
    <s v="Simpson"/>
    <s v="Simpson, Patricio"/>
    <s v="Simpson, Patricio"/>
    <x v="0"/>
    <s v="no"/>
    <s v="no"/>
    <s v="CACTU"/>
    <n v="10521"/>
    <x v="56"/>
    <x v="56"/>
    <s v="CACTU_10521_Scottish Longbreads"/>
    <s v="10521"/>
    <s v="10521"/>
    <s v="Scottish Longbreads"/>
    <n v="12.5"/>
    <x v="7"/>
    <x v="0"/>
    <n v="75"/>
    <x v="0"/>
    <d v="1995-05-30T00:00:00"/>
    <s v=""/>
    <s v=""/>
  </r>
  <r>
    <x v="26"/>
    <x v="26"/>
    <s v="Renate"/>
    <s v="Messner"/>
    <s v="Messner, Renate"/>
    <s v="Messner, Renate"/>
    <x v="0"/>
    <s v="no"/>
    <s v="no"/>
    <s v="LEHMS"/>
    <n v="10522"/>
    <x v="52"/>
    <x v="52"/>
    <s v="LEHMS_10522_Chai"/>
    <s v="10522"/>
    <s v="10522"/>
    <s v="Chai"/>
    <n v="18"/>
    <x v="4"/>
    <x v="3"/>
    <n v="576"/>
    <x v="0"/>
    <d v="1995-05-31T00:00:00"/>
    <s v=""/>
    <s v=""/>
  </r>
  <r>
    <x v="26"/>
    <x v="26"/>
    <s v="Renate"/>
    <s v="Messner"/>
    <s v="Messner, Renate"/>
    <s v="Messner, Renate"/>
    <x v="0"/>
    <s v="no"/>
    <s v="no"/>
    <s v="LEHMS"/>
    <n v="10522"/>
    <x v="71"/>
    <x v="71"/>
    <s v="LEHMS_10522_Northwoods Cranberry Sauce"/>
    <s v="10522"/>
    <s v="10522"/>
    <s v="Northwoods Cranberry Sauce"/>
    <n v="40"/>
    <x v="23"/>
    <x v="0"/>
    <n v="960"/>
    <x v="0"/>
    <d v="1995-05-31T00:00:00"/>
    <s v=""/>
    <s v=""/>
  </r>
  <r>
    <x v="26"/>
    <x v="26"/>
    <s v="Renate"/>
    <s v="Messner"/>
    <s v="Messner, Renate"/>
    <s v="Messner, Renate"/>
    <x v="0"/>
    <s v="no"/>
    <s v="no"/>
    <s v="LEHMS"/>
    <n v="10522"/>
    <x v="34"/>
    <x v="34"/>
    <s v="LEHMS_10522_Nord-Ost Matjeshering"/>
    <s v="10522"/>
    <s v="10522"/>
    <s v="Nord-Ost Matjeshering"/>
    <n v="25.89"/>
    <x v="8"/>
    <x v="3"/>
    <n v="414.24"/>
    <x v="0"/>
    <d v="1995-05-31T00:00:00"/>
    <s v=""/>
    <s v=""/>
  </r>
  <r>
    <x v="26"/>
    <x v="26"/>
    <s v="Renate"/>
    <s v="Messner"/>
    <s v="Messner, Renate"/>
    <s v="Messner, Renate"/>
    <x v="0"/>
    <s v="no"/>
    <s v="no"/>
    <s v="LEHMS"/>
    <n v="10522"/>
    <x v="37"/>
    <x v="37"/>
    <s v="LEHMS_10522_Boston Crab Meat"/>
    <s v="10522"/>
    <s v="10522"/>
    <s v="Boston Crab Meat"/>
    <n v="18.399999999999999"/>
    <x v="9"/>
    <x v="3"/>
    <n v="368"/>
    <x v="0"/>
    <d v="1995-05-31T00:00:00"/>
    <s v=""/>
    <s v=""/>
  </r>
  <r>
    <x v="56"/>
    <x v="56"/>
    <s v="Hari"/>
    <s v="Kumar"/>
    <s v="Kumar, Hari"/>
    <s v="Kumar, Hari"/>
    <x v="0"/>
    <s v="no"/>
    <s v="no"/>
    <s v="SEVES"/>
    <n v="10523"/>
    <x v="35"/>
    <x v="35"/>
    <s v="SEVES_10523_Alice Mutton"/>
    <s v="10523"/>
    <s v="10523"/>
    <s v="Alice Mutton"/>
    <n v="39"/>
    <x v="9"/>
    <x v="5"/>
    <n v="877.5"/>
    <x v="0"/>
    <d v="1995-06-01T00:00:00"/>
    <s v=""/>
    <s v=""/>
  </r>
  <r>
    <x v="56"/>
    <x v="56"/>
    <s v="Hari"/>
    <s v="Kumar"/>
    <s v="Kumar, Hari"/>
    <s v="Kumar, Hari"/>
    <x v="0"/>
    <s v="no"/>
    <s v="no"/>
    <s v="SEVES"/>
    <n v="10523"/>
    <x v="9"/>
    <x v="9"/>
    <s v="SEVES_10523_Sir Rodney's Marmalade"/>
    <s v="10523"/>
    <s v="10523"/>
    <s v="Sir Rodney's Marmalade"/>
    <n v="81"/>
    <x v="6"/>
    <x v="5"/>
    <n v="1093.5"/>
    <x v="0"/>
    <d v="1995-06-01T00:00:00"/>
    <s v=""/>
    <s v=""/>
  </r>
  <r>
    <x v="56"/>
    <x v="56"/>
    <s v="Hari"/>
    <s v="Kumar"/>
    <s v="Kumar, Hari"/>
    <s v="Kumar, Hari"/>
    <x v="0"/>
    <s v="no"/>
    <s v="no"/>
    <s v="SEVES"/>
    <n v="10523"/>
    <x v="28"/>
    <x v="28"/>
    <s v="SEVES_10523_Gravad lax"/>
    <s v="10523"/>
    <s v="10523"/>
    <s v="Gravad lax"/>
    <n v="26"/>
    <x v="27"/>
    <x v="5"/>
    <n v="421.2"/>
    <x v="0"/>
    <d v="1995-06-01T00:00:00"/>
    <s v=""/>
    <s v=""/>
  </r>
  <r>
    <x v="56"/>
    <x v="56"/>
    <s v="Hari"/>
    <s v="Kumar"/>
    <s v="Kumar, Hari"/>
    <s v="Kumar, Hari"/>
    <x v="0"/>
    <s v="no"/>
    <s v="no"/>
    <s v="SEVES"/>
    <n v="10523"/>
    <x v="5"/>
    <x v="5"/>
    <s v="SEVES_10523_Jack's New England Clam Chowder"/>
    <s v="10523"/>
    <s v="10523"/>
    <s v="Jack's New England Clam Chowder"/>
    <n v="9.65"/>
    <x v="7"/>
    <x v="5"/>
    <n v="52.110000000000007"/>
    <x v="0"/>
    <d v="1995-06-01T00:00:00"/>
    <s v=""/>
    <s v=""/>
  </r>
  <r>
    <x v="25"/>
    <x v="25"/>
    <s v="Christina"/>
    <s v="Berglund"/>
    <s v="Berglund, Christina"/>
    <s v="Berglund, Christina"/>
    <x v="0"/>
    <s v="no"/>
    <s v="no"/>
    <s v="BERGS"/>
    <n v="10524"/>
    <x v="41"/>
    <x v="41"/>
    <s v="BERGS_10524_Ikura"/>
    <s v="10524"/>
    <s v="10524"/>
    <s v="Ikura"/>
    <n v="31"/>
    <x v="17"/>
    <x v="0"/>
    <n v="62"/>
    <x v="0"/>
    <d v="1995-06-01T00:00:00"/>
    <s v=""/>
    <s v=""/>
  </r>
  <r>
    <x v="25"/>
    <x v="25"/>
    <s v="Christina"/>
    <s v="Berglund"/>
    <s v="Berglund, Christina"/>
    <s v="Berglund, Christina"/>
    <x v="0"/>
    <s v="no"/>
    <s v="no"/>
    <s v="BERGS"/>
    <n v="10524"/>
    <x v="34"/>
    <x v="34"/>
    <s v="BERGS_10524_Nord-Ost Matjeshering"/>
    <s v="10524"/>
    <s v="10524"/>
    <s v="Nord-Ost Matjeshering"/>
    <n v="25.89"/>
    <x v="1"/>
    <x v="0"/>
    <n v="258.89999999999998"/>
    <x v="0"/>
    <d v="1995-06-01T00:00:00"/>
    <s v=""/>
    <s v=""/>
  </r>
  <r>
    <x v="25"/>
    <x v="25"/>
    <s v="Christina"/>
    <s v="Berglund"/>
    <s v="Berglund, Christina"/>
    <s v="Berglund, Christina"/>
    <x v="0"/>
    <s v="no"/>
    <s v="moderate"/>
    <s v="BERGS"/>
    <n v="10524"/>
    <x v="40"/>
    <x v="40"/>
    <s v="BERGS_10524_Ipoh Coffee"/>
    <s v="10524"/>
    <s v="10524"/>
    <s v="Ipoh Coffee"/>
    <n v="46"/>
    <x v="18"/>
    <x v="0"/>
    <n v="2760"/>
    <x v="0"/>
    <d v="1995-06-01T00:00:00"/>
    <s v=""/>
    <s v=""/>
  </r>
  <r>
    <x v="25"/>
    <x v="25"/>
    <s v="Christina"/>
    <s v="Berglund"/>
    <s v="Berglund, Christina"/>
    <s v="Berglund, Christina"/>
    <x v="0"/>
    <s v="no"/>
    <s v="no"/>
    <s v="BERGS"/>
    <n v="10524"/>
    <x v="55"/>
    <x v="55"/>
    <s v="BERGS_10524_Tourtière"/>
    <s v="10524"/>
    <s v="10524"/>
    <s v="Tourtière"/>
    <n v="7.45"/>
    <x v="6"/>
    <x v="0"/>
    <n v="111.75"/>
    <x v="0"/>
    <d v="1995-06-01T00:00:00"/>
    <s v=""/>
    <s v=""/>
  </r>
  <r>
    <x v="48"/>
    <x v="48"/>
    <s v="Laurence"/>
    <s v="Lebihan"/>
    <s v="Lebihan, Laurence"/>
    <s v="Lebihan, Laurence"/>
    <x v="0"/>
    <s v="no"/>
    <s v="no"/>
    <s v="BONAP"/>
    <n v="10525"/>
    <x v="20"/>
    <x v="20"/>
    <s v="BONAP_10525_Inlagd Sill"/>
    <s v="10525"/>
    <s v="10525"/>
    <s v="Inlagd Sill"/>
    <n v="19"/>
    <x v="12"/>
    <x v="0"/>
    <n v="570"/>
    <x v="0"/>
    <d v="1995-06-02T00:00:00"/>
    <s v=""/>
    <s v=""/>
  </r>
  <r>
    <x v="48"/>
    <x v="48"/>
    <s v="Laurence"/>
    <s v="Lebihan"/>
    <s v="Lebihan, Laurence"/>
    <s v="Lebihan, Laurence"/>
    <x v="0"/>
    <s v="no"/>
    <s v="no"/>
    <s v="BONAP"/>
    <n v="10525"/>
    <x v="37"/>
    <x v="37"/>
    <s v="BONAP_10525_Boston Crab Meat"/>
    <s v="10525"/>
    <s v="10525"/>
    <s v="Boston Crab Meat"/>
    <n v="18.399999999999999"/>
    <x v="6"/>
    <x v="5"/>
    <n v="248.4"/>
    <x v="0"/>
    <d v="1995-06-02T00:00:00"/>
    <s v=""/>
    <s v=""/>
  </r>
  <r>
    <x v="16"/>
    <x v="16"/>
    <s v="Pirkko"/>
    <s v="Koskitalo"/>
    <s v="Koskitalo, Pirkko"/>
    <s v="Koskitalo, Pirkko"/>
    <x v="0"/>
    <s v="no"/>
    <s v="no"/>
    <s v="WARTH"/>
    <n v="10526"/>
    <x v="52"/>
    <x v="52"/>
    <s v="WARTH_10526_Chai"/>
    <s v="10526"/>
    <s v="10526"/>
    <s v="Chai"/>
    <n v="18"/>
    <x v="26"/>
    <x v="1"/>
    <n v="122.39999999999999"/>
    <x v="0"/>
    <d v="1995-06-05T00:00:00"/>
    <s v=""/>
    <s v=""/>
  </r>
  <r>
    <x v="16"/>
    <x v="16"/>
    <s v="Pirkko"/>
    <s v="Koskitalo"/>
    <s v="Koskitalo, Pirkko"/>
    <s v="Koskitalo, Pirkko"/>
    <x v="0"/>
    <s v="no"/>
    <s v="no"/>
    <s v="WARTH"/>
    <n v="10526"/>
    <x v="43"/>
    <x v="43"/>
    <s v="WARTH_10526_Konbu"/>
    <s v="10526"/>
    <s v="10526"/>
    <s v="Konbu"/>
    <n v="6"/>
    <x v="1"/>
    <x v="0"/>
    <n v="60"/>
    <x v="0"/>
    <d v="1995-06-05T00:00:00"/>
    <s v=""/>
    <s v=""/>
  </r>
  <r>
    <x v="16"/>
    <x v="16"/>
    <s v="Pirkko"/>
    <s v="Koskitalo"/>
    <s v="Koskitalo, Pirkko"/>
    <s v="Koskitalo, Pirkko"/>
    <x v="0"/>
    <s v="no"/>
    <s v="no"/>
    <s v="WARTH"/>
    <n v="10526"/>
    <x v="33"/>
    <x v="33"/>
    <s v="WARTH_10526_Gnocchi di nonna Alice"/>
    <s v="10526"/>
    <s v="10526"/>
    <s v="Gnocchi di nonna Alice"/>
    <n v="38"/>
    <x v="12"/>
    <x v="1"/>
    <n v="969"/>
    <x v="0"/>
    <d v="1995-06-05T00:00:00"/>
    <s v=""/>
    <s v=""/>
  </r>
  <r>
    <x v="21"/>
    <x v="21"/>
    <s v="Horst"/>
    <s v="Kloss"/>
    <s v="Kloss, Horst"/>
    <s v="Kloss, Horst"/>
    <x v="0"/>
    <s v="no"/>
    <s v="no"/>
    <s v="QUICK"/>
    <n v="10527"/>
    <x v="62"/>
    <x v="62"/>
    <s v="QUICK_10527_Chef Anton's Cajun Seasoning"/>
    <s v="10527"/>
    <s v="10527"/>
    <s v="Chef Anton's Cajun Seasoning"/>
    <n v="22"/>
    <x v="13"/>
    <x v="5"/>
    <n v="990"/>
    <x v="0"/>
    <d v="1995-06-05T00:00:00"/>
    <s v=""/>
    <s v=""/>
  </r>
  <r>
    <x v="21"/>
    <x v="21"/>
    <s v="Horst"/>
    <s v="Kloss"/>
    <s v="Kloss, Horst"/>
    <s v="Kloss, Horst"/>
    <x v="0"/>
    <s v="no"/>
    <s v="no"/>
    <s v="QUICK"/>
    <n v="10527"/>
    <x v="20"/>
    <x v="20"/>
    <s v="QUICK_10527_Inlagd Sill"/>
    <s v="10527"/>
    <s v="10527"/>
    <s v="Inlagd Sill"/>
    <n v="19"/>
    <x v="12"/>
    <x v="5"/>
    <n v="513"/>
    <x v="0"/>
    <d v="1995-06-05T00:00:00"/>
    <s v=""/>
    <s v=""/>
  </r>
  <r>
    <x v="79"/>
    <x v="79"/>
    <s v="Howard"/>
    <s v="Snyder"/>
    <s v="Snyder, Howard"/>
    <s v="Snyder, Howard"/>
    <x v="0"/>
    <s v="no"/>
    <s v="no"/>
    <s v="GREAL"/>
    <n v="10528"/>
    <x v="0"/>
    <x v="0"/>
    <s v="GREAL_10528_Queso Cabrales"/>
    <s v="10528"/>
    <s v="10528"/>
    <s v="Queso Cabrales"/>
    <n v="21"/>
    <x v="28"/>
    <x v="0"/>
    <n v="63"/>
    <x v="0"/>
    <d v="1995-06-06T00:00:00"/>
    <s v=""/>
    <s v=""/>
  </r>
  <r>
    <x v="79"/>
    <x v="79"/>
    <s v="Howard"/>
    <s v="Snyder"/>
    <s v="Snyder, Howard"/>
    <s v="Snyder, Howard"/>
    <x v="0"/>
    <s v="no"/>
    <s v="no"/>
    <s v="GREAL"/>
    <n v="10528"/>
    <x v="10"/>
    <x v="10"/>
    <s v="GREAL_10528_Geitost"/>
    <s v="10528"/>
    <s v="10528"/>
    <s v="Geitost"/>
    <n v="2.5"/>
    <x v="26"/>
    <x v="3"/>
    <n v="16"/>
    <x v="0"/>
    <d v="1995-06-06T00:00:00"/>
    <s v=""/>
    <s v=""/>
  </r>
  <r>
    <x v="79"/>
    <x v="79"/>
    <s v="Howard"/>
    <s v="Snyder"/>
    <s v="Snyder, Howard"/>
    <s v="Snyder, Howard"/>
    <x v="0"/>
    <s v="no"/>
    <s v="no"/>
    <s v="GREAL"/>
    <n v="10528"/>
    <x v="2"/>
    <x v="2"/>
    <s v="GREAL_10528_Mozzarella di Giovanni"/>
    <s v="10528"/>
    <s v="10528"/>
    <s v="Mozzarella di Giovanni"/>
    <n v="34.799999999999997"/>
    <x v="3"/>
    <x v="0"/>
    <n v="313.2"/>
    <x v="0"/>
    <d v="1995-06-06T00:00:00"/>
    <s v=""/>
    <s v=""/>
  </r>
  <r>
    <x v="80"/>
    <x v="80"/>
    <s v="Catherine"/>
    <s v="Dewey"/>
    <s v="Dewey, Catherine"/>
    <s v="Dewey, Catherine"/>
    <x v="0"/>
    <s v="no"/>
    <s v="no"/>
    <s v="MAISD"/>
    <n v="10529"/>
    <x v="16"/>
    <x v="16"/>
    <s v="MAISD_10529_Pâté chinois"/>
    <s v="10529"/>
    <s v="10529"/>
    <s v="Pâté chinois"/>
    <n v="24"/>
    <x v="31"/>
    <x v="0"/>
    <n v="336"/>
    <x v="0"/>
    <d v="1995-06-07T00:00:00"/>
    <s v=""/>
    <s v=""/>
  </r>
  <r>
    <x v="80"/>
    <x v="80"/>
    <s v="Catherine"/>
    <s v="Dewey"/>
    <s v="Dewey, Catherine"/>
    <s v="Dewey, Catherine"/>
    <x v="0"/>
    <s v="no"/>
    <s v="no"/>
    <s v="MAISD"/>
    <n v="10529"/>
    <x v="56"/>
    <x v="56"/>
    <s v="MAISD_10529_Scottish Longbreads"/>
    <s v="10529"/>
    <s v="10529"/>
    <s v="Scottish Longbreads"/>
    <n v="12.5"/>
    <x v="8"/>
    <x v="0"/>
    <n v="250"/>
    <x v="0"/>
    <d v="1995-06-07T00:00:00"/>
    <s v=""/>
    <s v=""/>
  </r>
  <r>
    <x v="80"/>
    <x v="80"/>
    <s v="Catherine"/>
    <s v="Dewey"/>
    <s v="Dewey, Catherine"/>
    <s v="Dewey, Catherine"/>
    <x v="0"/>
    <s v="no"/>
    <s v="no"/>
    <s v="MAISD"/>
    <n v="10529"/>
    <x v="60"/>
    <x v="60"/>
    <s v="MAISD_10529_Gudbrandsdalsost"/>
    <s v="10529"/>
    <s v="10529"/>
    <s v="Gudbrandsdalsost"/>
    <n v="36"/>
    <x v="1"/>
    <x v="0"/>
    <n v="360"/>
    <x v="0"/>
    <d v="1995-06-07T00:00:00"/>
    <s v=""/>
    <s v=""/>
  </r>
  <r>
    <x v="54"/>
    <x v="54"/>
    <s v="Georg"/>
    <s v="Pipps"/>
    <s v="Pipps, Georg"/>
    <s v="Pipps, Georg"/>
    <x v="0"/>
    <s v="no"/>
    <s v="no"/>
    <s v="PICCO"/>
    <n v="10530"/>
    <x v="35"/>
    <x v="35"/>
    <s v="PICCO_10530_Alice Mutton"/>
    <s v="10530"/>
    <s v="10530"/>
    <s v="Alice Mutton"/>
    <n v="39"/>
    <x v="4"/>
    <x v="0"/>
    <n v="1560"/>
    <x v="0"/>
    <d v="1995-06-08T00:00:00"/>
    <s v=""/>
    <s v=""/>
  </r>
  <r>
    <x v="54"/>
    <x v="54"/>
    <s v="Georg"/>
    <s v="Pipps"/>
    <s v="Pipps, Georg"/>
    <s v="Pipps, Georg"/>
    <x v="0"/>
    <s v="no"/>
    <s v="no"/>
    <s v="PICCO"/>
    <n v="10530"/>
    <x v="40"/>
    <x v="40"/>
    <s v="PICCO_10530_Ipoh Coffee"/>
    <s v="10530"/>
    <s v="10530"/>
    <s v="Ipoh Coffee"/>
    <n v="46"/>
    <x v="9"/>
    <x v="0"/>
    <n v="1150"/>
    <x v="0"/>
    <d v="1995-06-08T00:00:00"/>
    <s v=""/>
    <s v=""/>
  </r>
  <r>
    <x v="54"/>
    <x v="54"/>
    <s v="Georg"/>
    <s v="Pipps"/>
    <s v="Pipps, Georg"/>
    <s v="Pipps, Georg"/>
    <x v="0"/>
    <s v="no"/>
    <s v="no"/>
    <s v="PICCO"/>
    <n v="10530"/>
    <x v="75"/>
    <x v="75"/>
    <s v="PICCO_10530_Sirop d'érable"/>
    <s v="10530"/>
    <s v="10530"/>
    <s v="Sirop d'érable"/>
    <n v="28.5"/>
    <x v="8"/>
    <x v="0"/>
    <n v="570"/>
    <x v="0"/>
    <d v="1995-06-08T00:00:00"/>
    <s v=""/>
    <s v=""/>
  </r>
  <r>
    <x v="54"/>
    <x v="54"/>
    <s v="Georg"/>
    <s v="Pipps"/>
    <s v="Pipps, Georg"/>
    <s v="Pipps, Georg"/>
    <x v="0"/>
    <s v="no"/>
    <s v="no"/>
    <s v="PICCO"/>
    <n v="10530"/>
    <x v="38"/>
    <x v="38"/>
    <s v="PICCO_10530_Lakkalikööri"/>
    <s v="10530"/>
    <s v="10530"/>
    <s v="Lakkalikööri"/>
    <n v="18"/>
    <x v="13"/>
    <x v="0"/>
    <n v="900"/>
    <x v="0"/>
    <d v="1995-06-08T00:00:00"/>
    <s v=""/>
    <s v=""/>
  </r>
  <r>
    <x v="69"/>
    <x v="69"/>
    <s v="Yvonne"/>
    <s v="Moncada"/>
    <s v="Moncada, Yvonne"/>
    <s v="Moncada, Yvonne"/>
    <x v="0"/>
    <s v="no"/>
    <s v="no"/>
    <s v="OCEAN"/>
    <n v="10531"/>
    <x v="21"/>
    <x v="21"/>
    <s v="OCEAN_10531_Raclette Courdavault"/>
    <s v="10531"/>
    <s v="10531"/>
    <s v="Raclette Courdavault"/>
    <n v="55"/>
    <x v="17"/>
    <x v="0"/>
    <n v="110"/>
    <x v="0"/>
    <d v="1995-06-08T00:00:00"/>
    <s v=""/>
    <s v=""/>
  </r>
  <r>
    <x v="58"/>
    <x v="58"/>
    <s v="Ann"/>
    <s v="Devon"/>
    <s v="Devon, Ann"/>
    <s v="Devon, Ann"/>
    <x v="0"/>
    <s v="no"/>
    <s v="no"/>
    <s v="EASTC"/>
    <n v="10532"/>
    <x v="34"/>
    <x v="34"/>
    <s v="EASTC_10532_Nord-Ost Matjeshering"/>
    <s v="10532"/>
    <s v="10532"/>
    <s v="Nord-Ost Matjeshering"/>
    <n v="25.89"/>
    <x v="6"/>
    <x v="0"/>
    <n v="388.35"/>
    <x v="0"/>
    <d v="1995-06-09T00:00:00"/>
    <s v=""/>
    <s v=""/>
  </r>
  <r>
    <x v="58"/>
    <x v="58"/>
    <s v="Ann"/>
    <s v="Devon"/>
    <s v="Devon, Ann"/>
    <s v="Devon, Ann"/>
    <x v="0"/>
    <s v="no"/>
    <s v="no"/>
    <s v="EASTC"/>
    <n v="10532"/>
    <x v="61"/>
    <x v="61"/>
    <s v="EASTC_10532_Louisiana Hot Spiced Okra"/>
    <s v="10532"/>
    <s v="10532"/>
    <s v="Louisiana Hot Spiced Okra"/>
    <n v="17"/>
    <x v="23"/>
    <x v="0"/>
    <n v="408"/>
    <x v="0"/>
    <d v="1995-06-09T00:00:00"/>
    <s v=""/>
    <s v=""/>
  </r>
  <r>
    <x v="14"/>
    <x v="14"/>
    <s v="Maria"/>
    <s v="Larsson"/>
    <s v="Larsson, Maria"/>
    <s v="Larsson, Maria"/>
    <x v="0"/>
    <s v="no"/>
    <s v="no"/>
    <s v="FOLKO"/>
    <n v="10533"/>
    <x v="62"/>
    <x v="62"/>
    <s v="FOLKO_10533_Chef Anton's Cajun Seasoning"/>
    <s v="10533"/>
    <s v="10533"/>
    <s v="Chef Anton's Cajun Seasoning"/>
    <n v="22"/>
    <x v="13"/>
    <x v="2"/>
    <n v="1045"/>
    <x v="0"/>
    <d v="1995-06-12T00:00:00"/>
    <s v=""/>
    <s v=""/>
  </r>
  <r>
    <x v="14"/>
    <x v="14"/>
    <s v="Maria"/>
    <s v="Larsson"/>
    <s v="Larsson, Maria"/>
    <s v="Larsson, Maria"/>
    <x v="0"/>
    <s v="no"/>
    <s v="no"/>
    <s v="FOLKO"/>
    <n v="10533"/>
    <x v="2"/>
    <x v="2"/>
    <s v="FOLKO_10533_Mozzarella di Giovanni"/>
    <s v="10533"/>
    <s v="10533"/>
    <s v="Mozzarella di Giovanni"/>
    <n v="34.799999999999997"/>
    <x v="23"/>
    <x v="0"/>
    <n v="835.19999999999993"/>
    <x v="0"/>
    <d v="1995-06-12T00:00:00"/>
    <s v=""/>
    <s v=""/>
  </r>
  <r>
    <x v="14"/>
    <x v="14"/>
    <s v="Maria"/>
    <s v="Larsson"/>
    <s v="Larsson, Maria"/>
    <s v="Larsson, Maria"/>
    <x v="0"/>
    <s v="no"/>
    <s v="no"/>
    <s v="FOLKO"/>
    <n v="10533"/>
    <x v="47"/>
    <x v="47"/>
    <s v="FOLKO_10533_Röd Kaviar"/>
    <s v="10533"/>
    <s v="10533"/>
    <s v="Röd Kaviar"/>
    <n v="15"/>
    <x v="23"/>
    <x v="2"/>
    <n v="342"/>
    <x v="0"/>
    <d v="1995-06-12T00:00:00"/>
    <s v=""/>
    <s v=""/>
  </r>
  <r>
    <x v="26"/>
    <x v="26"/>
    <s v="Renate"/>
    <s v="Messner"/>
    <s v="Messner, Renate"/>
    <s v="Messner, Renate"/>
    <x v="0"/>
    <s v="no"/>
    <s v="no"/>
    <s v="LEHMS"/>
    <n v="10534"/>
    <x v="34"/>
    <x v="34"/>
    <s v="LEHMS_10534_Nord-Ost Matjeshering"/>
    <s v="10534"/>
    <s v="10534"/>
    <s v="Nord-Ost Matjeshering"/>
    <n v="25.89"/>
    <x v="1"/>
    <x v="0"/>
    <n v="258.89999999999998"/>
    <x v="0"/>
    <d v="1995-06-12T00:00:00"/>
    <s v=""/>
    <s v=""/>
  </r>
  <r>
    <x v="26"/>
    <x v="26"/>
    <s v="Renate"/>
    <s v="Messner"/>
    <s v="Messner, Renate"/>
    <s v="Messner, Renate"/>
    <x v="0"/>
    <s v="no"/>
    <s v="no"/>
    <s v="LEHMS"/>
    <n v="10534"/>
    <x v="37"/>
    <x v="37"/>
    <s v="LEHMS_10534_Boston Crab Meat"/>
    <s v="10534"/>
    <s v="10534"/>
    <s v="Boston Crab Meat"/>
    <n v="18.399999999999999"/>
    <x v="1"/>
    <x v="3"/>
    <n v="147.20000000000002"/>
    <x v="0"/>
    <d v="1995-06-12T00:00:00"/>
    <s v=""/>
    <s v=""/>
  </r>
  <r>
    <x v="26"/>
    <x v="26"/>
    <s v="Renate"/>
    <s v="Messner"/>
    <s v="Messner, Renate"/>
    <s v="Messner, Renate"/>
    <x v="0"/>
    <s v="no"/>
    <s v="no"/>
    <s v="LEHMS"/>
    <n v="10534"/>
    <x v="55"/>
    <x v="55"/>
    <s v="LEHMS_10534_Tourtière"/>
    <s v="10534"/>
    <s v="10534"/>
    <s v="Tourtière"/>
    <n v="7.45"/>
    <x v="1"/>
    <x v="3"/>
    <n v="59.6"/>
    <x v="0"/>
    <d v="1995-06-12T00:00:00"/>
    <s v=""/>
    <s v=""/>
  </r>
  <r>
    <x v="59"/>
    <x v="59"/>
    <s v="Antonio"/>
    <s v="Moreno"/>
    <s v="Moreno, Antonio"/>
    <s v="Moreno, Antonio"/>
    <x v="0"/>
    <s v="no"/>
    <s v="no"/>
    <s v="ANTON"/>
    <n v="10535"/>
    <x v="0"/>
    <x v="0"/>
    <s v="ANTON_10535_Queso Cabrales"/>
    <s v="10535"/>
    <s v="10535"/>
    <s v="Queso Cabrales"/>
    <n v="21"/>
    <x v="13"/>
    <x v="5"/>
    <n v="945"/>
    <x v="0"/>
    <d v="1995-06-13T00:00:00"/>
    <s v=""/>
    <s v=""/>
  </r>
  <r>
    <x v="59"/>
    <x v="59"/>
    <s v="Antonio"/>
    <s v="Moreno"/>
    <s v="Moreno, Antonio"/>
    <s v="Moreno, Antonio"/>
    <x v="0"/>
    <s v="no"/>
    <s v="no"/>
    <s v="ANTON"/>
    <n v="10535"/>
    <x v="37"/>
    <x v="37"/>
    <s v="ANTON_10535_Boston Crab Meat"/>
    <s v="10535"/>
    <s v="10535"/>
    <s v="Boston Crab Meat"/>
    <n v="18.399999999999999"/>
    <x v="1"/>
    <x v="5"/>
    <n v="165.6"/>
    <x v="0"/>
    <d v="1995-06-13T00:00:00"/>
    <s v=""/>
    <s v=""/>
  </r>
  <r>
    <x v="59"/>
    <x v="59"/>
    <s v="Antonio"/>
    <s v="Moreno"/>
    <s v="Moreno, Antonio"/>
    <s v="Moreno, Antonio"/>
    <x v="0"/>
    <s v="no"/>
    <s v="no"/>
    <s v="ANTON"/>
    <n v="10535"/>
    <x v="8"/>
    <x v="8"/>
    <s v="ANTON_10535_Ravioli Angelo"/>
    <s v="10535"/>
    <s v="10535"/>
    <s v="Ravioli Angelo"/>
    <n v="19.5"/>
    <x v="2"/>
    <x v="5"/>
    <n v="87.75"/>
    <x v="0"/>
    <d v="1995-06-13T00:00:00"/>
    <s v=""/>
    <s v=""/>
  </r>
  <r>
    <x v="59"/>
    <x v="59"/>
    <s v="Antonio"/>
    <s v="Moreno"/>
    <s v="Moreno, Antonio"/>
    <s v="Moreno, Antonio"/>
    <x v="0"/>
    <s v="no"/>
    <s v="no"/>
    <s v="ANTON"/>
    <n v="10535"/>
    <x v="21"/>
    <x v="21"/>
    <s v="ANTON_10535_Raclette Courdavault"/>
    <s v="10535"/>
    <s v="10535"/>
    <s v="Raclette Courdavault"/>
    <n v="55"/>
    <x v="6"/>
    <x v="5"/>
    <n v="742.5"/>
    <x v="0"/>
    <d v="1995-06-13T00:00:00"/>
    <s v=""/>
    <s v=""/>
  </r>
  <r>
    <x v="26"/>
    <x v="26"/>
    <s v="Renate"/>
    <s v="Messner"/>
    <s v="Messner, Renate"/>
    <s v="Messner, Renate"/>
    <x v="0"/>
    <s v="no"/>
    <s v="no"/>
    <s v="LEHMS"/>
    <n v="10536"/>
    <x v="36"/>
    <x v="36"/>
    <s v="LEHMS_10536_Queso Manchego La Pastora"/>
    <s v="10536"/>
    <s v="10536"/>
    <s v="Queso Manchego La Pastora"/>
    <n v="38"/>
    <x v="6"/>
    <x v="4"/>
    <n v="427.5"/>
    <x v="0"/>
    <d v="1995-06-14T00:00:00"/>
    <s v=""/>
    <s v=""/>
  </r>
  <r>
    <x v="26"/>
    <x v="26"/>
    <s v="Renate"/>
    <s v="Messner"/>
    <s v="Messner, Renate"/>
    <s v="Messner, Renate"/>
    <x v="0"/>
    <s v="no"/>
    <s v="no"/>
    <s v="LEHMS"/>
    <n v="10536"/>
    <x v="12"/>
    <x v="12"/>
    <s v="LEHMS_10536_Gorgonzola Telino"/>
    <s v="10536"/>
    <s v="10536"/>
    <s v="Gorgonzola Telino"/>
    <n v="12.5"/>
    <x v="8"/>
    <x v="0"/>
    <n v="250"/>
    <x v="0"/>
    <d v="1995-06-14T00:00:00"/>
    <s v=""/>
    <s v=""/>
  </r>
  <r>
    <x v="26"/>
    <x v="26"/>
    <s v="Renate"/>
    <s v="Messner"/>
    <s v="Messner, Renate"/>
    <s v="Messner, Renate"/>
    <x v="0"/>
    <s v="no"/>
    <s v="no"/>
    <s v="LEHMS"/>
    <n v="10536"/>
    <x v="10"/>
    <x v="10"/>
    <s v="LEHMS_10536_Geitost"/>
    <s v="10536"/>
    <s v="10536"/>
    <s v="Geitost"/>
    <n v="2.5"/>
    <x v="12"/>
    <x v="0"/>
    <n v="75"/>
    <x v="0"/>
    <d v="1995-06-14T00:00:00"/>
    <s v=""/>
    <s v=""/>
  </r>
  <r>
    <x v="26"/>
    <x v="26"/>
    <s v="Renate"/>
    <s v="Messner"/>
    <s v="Messner, Renate"/>
    <s v="Messner, Renate"/>
    <x v="0"/>
    <s v="no"/>
    <s v="no"/>
    <s v="LEHMS"/>
    <n v="10536"/>
    <x v="11"/>
    <x v="11"/>
    <s v="LEHMS_10536_Camembert Pierrot"/>
    <s v="10536"/>
    <s v="10536"/>
    <s v="Camembert Pierrot"/>
    <n v="34"/>
    <x v="5"/>
    <x v="4"/>
    <n v="892.5"/>
    <x v="0"/>
    <d v="1995-06-14T00:00:00"/>
    <s v=""/>
    <s v=""/>
  </r>
  <r>
    <x v="6"/>
    <x v="6"/>
    <s v="Michael"/>
    <s v="Holz"/>
    <s v="Holz, Michael"/>
    <s v="Holz, Michael"/>
    <x v="0"/>
    <s v="no"/>
    <s v="no"/>
    <s v="RICSU"/>
    <n v="10537"/>
    <x v="12"/>
    <x v="12"/>
    <s v="RICSU_10537_Gorgonzola Telino"/>
    <s v="10537"/>
    <s v="10537"/>
    <s v="Gorgonzola Telino"/>
    <n v="12.5"/>
    <x v="12"/>
    <x v="0"/>
    <n v="375"/>
    <x v="0"/>
    <d v="1995-06-14T00:00:00"/>
    <s v=""/>
    <s v=""/>
  </r>
  <r>
    <x v="6"/>
    <x v="6"/>
    <s v="Michael"/>
    <s v="Holz"/>
    <s v="Holz, Michael"/>
    <s v="Holz, Michael"/>
    <x v="0"/>
    <s v="no"/>
    <s v="no"/>
    <s v="RICSU"/>
    <n v="10537"/>
    <x v="4"/>
    <x v="4"/>
    <s v="RICSU_10537_Manjimup Dried Apples"/>
    <s v="10537"/>
    <s v="10537"/>
    <s v="Manjimup Dried Apples"/>
    <n v="53"/>
    <x v="7"/>
    <x v="0"/>
    <n v="318"/>
    <x v="0"/>
    <d v="1995-06-14T00:00:00"/>
    <s v=""/>
    <s v=""/>
  </r>
  <r>
    <x v="6"/>
    <x v="6"/>
    <s v="Michael"/>
    <s v="Holz"/>
    <s v="Holz, Michael"/>
    <s v="Holz, Michael"/>
    <x v="0"/>
    <s v="no"/>
    <s v="no"/>
    <s v="RICSU"/>
    <n v="10537"/>
    <x v="64"/>
    <x v="64"/>
    <s v="RICSU_10537_Escargots de Bourgogne"/>
    <s v="10537"/>
    <s v="10537"/>
    <s v="Escargots de Bourgogne"/>
    <n v="13.25"/>
    <x v="8"/>
    <x v="0"/>
    <n v="265"/>
    <x v="0"/>
    <d v="1995-06-14T00:00:00"/>
    <s v=""/>
    <s v=""/>
  </r>
  <r>
    <x v="6"/>
    <x v="6"/>
    <s v="Michael"/>
    <s v="Holz"/>
    <s v="Holz, Michael"/>
    <s v="Holz, Michael"/>
    <x v="0"/>
    <s v="no"/>
    <s v="no"/>
    <s v="RICSU"/>
    <n v="10537"/>
    <x v="2"/>
    <x v="2"/>
    <s v="RICSU_10537_Mozzarella di Giovanni"/>
    <s v="10537"/>
    <s v="10537"/>
    <s v="Mozzarella di Giovanni"/>
    <n v="34.799999999999997"/>
    <x v="11"/>
    <x v="0"/>
    <n v="730.8"/>
    <x v="0"/>
    <d v="1995-06-14T00:00:00"/>
    <s v=""/>
    <s v=""/>
  </r>
  <r>
    <x v="6"/>
    <x v="6"/>
    <s v="Michael"/>
    <s v="Holz"/>
    <s v="Holz, Michael"/>
    <s v="Holz, Michael"/>
    <x v="0"/>
    <s v="no"/>
    <s v="no"/>
    <s v="RICSU"/>
    <n v="10537"/>
    <x v="47"/>
    <x v="47"/>
    <s v="RICSU_10537_Röd Kaviar"/>
    <s v="10537"/>
    <s v="10537"/>
    <s v="Röd Kaviar"/>
    <n v="15"/>
    <x v="3"/>
    <x v="0"/>
    <n v="135"/>
    <x v="0"/>
    <d v="1995-06-14T00:00:00"/>
    <s v=""/>
    <s v=""/>
  </r>
  <r>
    <x v="31"/>
    <x v="31"/>
    <s v="Victoria"/>
    <s v="Ashworth"/>
    <s v="Ashworth, Victoria"/>
    <s v="Ashworth, Victoria"/>
    <x v="0"/>
    <s v="no"/>
    <s v="no"/>
    <s v="BSBEV"/>
    <n v="10538"/>
    <x v="30"/>
    <x v="30"/>
    <s v="BSBEV_10538_Outback Lager"/>
    <s v="10538"/>
    <s v="10538"/>
    <s v="Outback Lager"/>
    <n v="15"/>
    <x v="25"/>
    <x v="0"/>
    <n v="105"/>
    <x v="0"/>
    <d v="1995-06-15T00:00:00"/>
    <s v=""/>
    <s v=""/>
  </r>
  <r>
    <x v="31"/>
    <x v="31"/>
    <s v="Victoria"/>
    <s v="Ashworth"/>
    <s v="Ashworth, Victoria"/>
    <s v="Ashworth, Victoria"/>
    <x v="0"/>
    <s v="no"/>
    <s v="no"/>
    <s v="BSBEV"/>
    <n v="10538"/>
    <x v="2"/>
    <x v="2"/>
    <s v="BSBEV_10538_Mozzarella di Giovanni"/>
    <s v="10538"/>
    <s v="10538"/>
    <s v="Mozzarella di Giovanni"/>
    <n v="34.799999999999997"/>
    <x v="15"/>
    <x v="0"/>
    <n v="34.799999999999997"/>
    <x v="0"/>
    <d v="1995-06-15T00:00:00"/>
    <s v=""/>
    <s v=""/>
  </r>
  <r>
    <x v="31"/>
    <x v="31"/>
    <s v="Victoria"/>
    <s v="Ashworth"/>
    <s v="Ashworth, Victoria"/>
    <s v="Ashworth, Victoria"/>
    <x v="0"/>
    <s v="no"/>
    <s v="no"/>
    <s v="BSBEV"/>
    <n v="10539"/>
    <x v="43"/>
    <x v="43"/>
    <s v="BSBEV_10539_Konbu"/>
    <s v="10539"/>
    <s v="10539"/>
    <s v="Konbu"/>
    <n v="6"/>
    <x v="26"/>
    <x v="0"/>
    <n v="48"/>
    <x v="0"/>
    <d v="1995-06-16T00:00:00"/>
    <s v=""/>
    <s v=""/>
  </r>
  <r>
    <x v="31"/>
    <x v="31"/>
    <s v="Victoria"/>
    <s v="Ashworth"/>
    <s v="Ashworth, Victoria"/>
    <s v="Ashworth, Victoria"/>
    <x v="0"/>
    <s v="no"/>
    <s v="no"/>
    <s v="BSBEV"/>
    <n v="10539"/>
    <x v="27"/>
    <x v="27"/>
    <s v="BSBEV_10539_Sir Rodney's Scones"/>
    <s v="10539"/>
    <s v="10539"/>
    <s v="Sir Rodney's Scones"/>
    <n v="10"/>
    <x v="6"/>
    <x v="0"/>
    <n v="150"/>
    <x v="0"/>
    <d v="1995-06-16T00:00:00"/>
    <s v=""/>
    <s v=""/>
  </r>
  <r>
    <x v="31"/>
    <x v="31"/>
    <s v="Victoria"/>
    <s v="Ashworth"/>
    <s v="Ashworth, Victoria"/>
    <s v="Ashworth, Victoria"/>
    <x v="0"/>
    <s v="no"/>
    <s v="no"/>
    <s v="BSBEV"/>
    <n v="10539"/>
    <x v="10"/>
    <x v="10"/>
    <s v="BSBEV_10539_Geitost"/>
    <s v="10539"/>
    <s v="10539"/>
    <s v="Geitost"/>
    <n v="2.5"/>
    <x v="6"/>
    <x v="0"/>
    <n v="37.5"/>
    <x v="0"/>
    <d v="1995-06-16T00:00:00"/>
    <s v=""/>
    <s v=""/>
  </r>
  <r>
    <x v="31"/>
    <x v="31"/>
    <s v="Victoria"/>
    <s v="Ashworth"/>
    <s v="Ashworth, Victoria"/>
    <s v="Ashworth, Victoria"/>
    <x v="0"/>
    <s v="no"/>
    <s v="no"/>
    <s v="BSBEV"/>
    <n v="10539"/>
    <x v="14"/>
    <x v="14"/>
    <s v="BSBEV_10539_Maxilaku"/>
    <s v="10539"/>
    <s v="10539"/>
    <s v="Maxilaku"/>
    <n v="20"/>
    <x v="7"/>
    <x v="0"/>
    <n v="120"/>
    <x v="0"/>
    <d v="1995-06-16T00:00:00"/>
    <s v=""/>
    <s v=""/>
  </r>
  <r>
    <x v="21"/>
    <x v="21"/>
    <s v="Horst"/>
    <s v="Kloss"/>
    <s v="Kloss, Horst"/>
    <s v="Kloss, Horst"/>
    <x v="0"/>
    <s v="no"/>
    <s v="no"/>
    <s v="QUICK"/>
    <n v="10540"/>
    <x v="57"/>
    <x v="57"/>
    <s v="QUICK_10540_Aniseed Syrup"/>
    <s v="10540"/>
    <s v="10540"/>
    <s v="Aniseed Syrup"/>
    <n v="10"/>
    <x v="18"/>
    <x v="0"/>
    <n v="600"/>
    <x v="0"/>
    <d v="1995-06-19T00:00:00"/>
    <s v=""/>
    <s v=""/>
  </r>
  <r>
    <x v="21"/>
    <x v="21"/>
    <s v="Horst"/>
    <s v="Kloss"/>
    <s v="Kloss, Horst"/>
    <s v="Kloss, Horst"/>
    <x v="0"/>
    <s v="no"/>
    <s v="no"/>
    <s v="QUICK"/>
    <n v="10540"/>
    <x v="68"/>
    <x v="68"/>
    <s v="QUICK_10540_Gumbär Gummibärchen"/>
    <s v="10540"/>
    <s v="10540"/>
    <s v="Gumbär Gummibärchen"/>
    <n v="31.23"/>
    <x v="4"/>
    <x v="0"/>
    <n v="1249.2"/>
    <x v="0"/>
    <d v="1995-06-19T00:00:00"/>
    <s v=""/>
    <s v=""/>
  </r>
  <r>
    <x v="21"/>
    <x v="21"/>
    <s v="Horst"/>
    <s v="Kloss"/>
    <s v="Kloss, Horst"/>
    <s v="Kloss, Horst"/>
    <x v="1"/>
    <s v="yes"/>
    <s v="yes"/>
    <s v="QUICK"/>
    <n v="10540"/>
    <x v="67"/>
    <x v="67"/>
    <s v="QUICK_10540_Côte de Blaye"/>
    <s v="10540"/>
    <s v="10540"/>
    <s v="Côte de Blaye"/>
    <n v="263.5"/>
    <x v="12"/>
    <x v="0"/>
    <n v="7905"/>
    <x v="0"/>
    <d v="1995-06-19T00:00:00"/>
    <s v=""/>
    <s v=""/>
  </r>
  <r>
    <x v="21"/>
    <x v="21"/>
    <s v="Horst"/>
    <s v="Kloss"/>
    <s v="Kloss, Horst"/>
    <s v="Kloss, Horst"/>
    <x v="0"/>
    <s v="no"/>
    <s v="no"/>
    <s v="QUICK"/>
    <n v="10540"/>
    <x v="56"/>
    <x v="56"/>
    <s v="QUICK_10540_Scottish Longbreads"/>
    <s v="10540"/>
    <s v="10540"/>
    <s v="Scottish Longbreads"/>
    <n v="12.5"/>
    <x v="5"/>
    <x v="0"/>
    <n v="437.5"/>
    <x v="0"/>
    <d v="1995-06-19T00:00:00"/>
    <s v=""/>
    <s v=""/>
  </r>
  <r>
    <x v="2"/>
    <x v="2"/>
    <s v="Mario"/>
    <s v="Pontes"/>
    <s v="Pontes, Mario"/>
    <s v="Pontes, Mario"/>
    <x v="0"/>
    <s v="no"/>
    <s v="no"/>
    <s v="HANAR"/>
    <n v="10541"/>
    <x v="15"/>
    <x v="15"/>
    <s v="HANAR_10541_Guaraná Fantástica"/>
    <s v="10541"/>
    <s v="10541"/>
    <s v="Guaraná Fantástica"/>
    <n v="4.5"/>
    <x v="5"/>
    <x v="5"/>
    <n v="141.75"/>
    <x v="0"/>
    <d v="1995-06-19T00:00:00"/>
    <s v=""/>
    <s v=""/>
  </r>
  <r>
    <x v="2"/>
    <x v="2"/>
    <s v="Mario"/>
    <s v="Pontes"/>
    <s v="Pontes, Mario"/>
    <s v="Pontes, Mario"/>
    <x v="0"/>
    <s v="no"/>
    <s v="no"/>
    <s v="HANAR"/>
    <n v="10541"/>
    <x v="67"/>
    <x v="67"/>
    <s v="HANAR_10541_Côte de Blaye"/>
    <s v="10541"/>
    <s v="10541"/>
    <s v="Côte de Blaye"/>
    <n v="263.5"/>
    <x v="22"/>
    <x v="5"/>
    <n v="948.6"/>
    <x v="0"/>
    <d v="1995-06-19T00:00:00"/>
    <s v=""/>
    <s v=""/>
  </r>
  <r>
    <x v="2"/>
    <x v="2"/>
    <s v="Mario"/>
    <s v="Pontes"/>
    <s v="Pontes, Mario"/>
    <s v="Pontes, Mario"/>
    <x v="0"/>
    <s v="no"/>
    <s v="no"/>
    <s v="HANAR"/>
    <n v="10541"/>
    <x v="6"/>
    <x v="6"/>
    <s v="HANAR_10541_Louisiana Fiery Hot Pepper Sauce"/>
    <s v="10541"/>
    <s v="10541"/>
    <s v="Louisiana Fiery Hot Pepper Sauce"/>
    <n v="21.05"/>
    <x v="20"/>
    <x v="5"/>
    <n v="682.0200000000001"/>
    <x v="0"/>
    <d v="1995-06-19T00:00:00"/>
    <s v=""/>
    <s v=""/>
  </r>
  <r>
    <x v="2"/>
    <x v="2"/>
    <s v="Mario"/>
    <s v="Pontes"/>
    <s v="Pontes, Mario"/>
    <s v="Pontes, Mario"/>
    <x v="0"/>
    <s v="no"/>
    <s v="no"/>
    <s v="HANAR"/>
    <n v="10541"/>
    <x v="42"/>
    <x v="42"/>
    <s v="HANAR_10541_Fløtemysost"/>
    <s v="10541"/>
    <s v="10541"/>
    <s v="Fløtemysost"/>
    <n v="21.5"/>
    <x v="3"/>
    <x v="5"/>
    <n v="174.15"/>
    <x v="0"/>
    <d v="1995-06-19T00:00:00"/>
    <s v=""/>
    <s v=""/>
  </r>
  <r>
    <x v="44"/>
    <x v="44"/>
    <s v="Philip"/>
    <s v="Cramer"/>
    <s v="Cramer, Philip"/>
    <s v="Cramer, Philip"/>
    <x v="0"/>
    <s v="no"/>
    <s v="no"/>
    <s v="KOENE"/>
    <n v="10542"/>
    <x v="0"/>
    <x v="0"/>
    <s v="KOENE_10542_Queso Cabrales"/>
    <s v="10542"/>
    <s v="10542"/>
    <s v="Queso Cabrales"/>
    <n v="21"/>
    <x v="6"/>
    <x v="2"/>
    <n v="299.25"/>
    <x v="0"/>
    <d v="1995-06-20T00:00:00"/>
    <s v=""/>
    <s v=""/>
  </r>
  <r>
    <x v="44"/>
    <x v="44"/>
    <s v="Philip"/>
    <s v="Cramer"/>
    <s v="Cramer, Philip"/>
    <s v="Cramer, Philip"/>
    <x v="0"/>
    <s v="no"/>
    <s v="no"/>
    <s v="KOENE"/>
    <n v="10542"/>
    <x v="55"/>
    <x v="55"/>
    <s v="KOENE_10542_Tourtière"/>
    <s v="10542"/>
    <s v="10542"/>
    <s v="Tourtière"/>
    <n v="7.45"/>
    <x v="23"/>
    <x v="2"/>
    <n v="169.86"/>
    <x v="0"/>
    <d v="1995-06-20T00:00:00"/>
    <s v=""/>
    <s v=""/>
  </r>
  <r>
    <x v="28"/>
    <x v="28"/>
    <s v="Carlos"/>
    <s v="González"/>
    <s v="González, Carlos"/>
    <s v="González, Carlos"/>
    <x v="0"/>
    <s v="no"/>
    <s v="no"/>
    <s v="LILAS"/>
    <n v="10543"/>
    <x v="36"/>
    <x v="36"/>
    <s v="LILAS_10543_Queso Manchego La Pastora"/>
    <s v="10543"/>
    <s v="10543"/>
    <s v="Queso Manchego La Pastora"/>
    <n v="38"/>
    <x v="12"/>
    <x v="1"/>
    <n v="969"/>
    <x v="0"/>
    <d v="1995-06-21T00:00:00"/>
    <s v=""/>
    <s v=""/>
  </r>
  <r>
    <x v="28"/>
    <x v="28"/>
    <s v="Carlos"/>
    <s v="González"/>
    <s v="González, Carlos"/>
    <s v="González, Carlos"/>
    <x v="0"/>
    <s v="no"/>
    <s v="no"/>
    <s v="LILAS"/>
    <n v="10543"/>
    <x v="70"/>
    <x v="70"/>
    <s v="LILAS_10543_Tunnbröd"/>
    <s v="10543"/>
    <s v="10543"/>
    <s v="Tunnbröd"/>
    <n v="9"/>
    <x v="21"/>
    <x v="1"/>
    <n v="535.5"/>
    <x v="0"/>
    <d v="1995-06-21T00:00:00"/>
    <s v=""/>
    <s v=""/>
  </r>
  <r>
    <x v="38"/>
    <x v="38"/>
    <s v="Fran"/>
    <s v="Wilson"/>
    <s v="Wilson, Fran"/>
    <s v="Wilson, Fran"/>
    <x v="0"/>
    <s v="no"/>
    <s v="no"/>
    <s v="LONEP"/>
    <n v="10544"/>
    <x v="44"/>
    <x v="44"/>
    <s v="LONEP_10544_Rössle Sauerkraut"/>
    <s v="10544"/>
    <s v="10544"/>
    <s v="Rössle Sauerkraut"/>
    <n v="45.6"/>
    <x v="25"/>
    <x v="0"/>
    <n v="319.2"/>
    <x v="0"/>
    <d v="1995-06-21T00:00:00"/>
    <s v=""/>
    <s v=""/>
  </r>
  <r>
    <x v="38"/>
    <x v="38"/>
    <s v="Fran"/>
    <s v="Wilson"/>
    <s v="Wilson, Fran"/>
    <s v="Wilson, Fran"/>
    <x v="0"/>
    <s v="no"/>
    <s v="no"/>
    <s v="LONEP"/>
    <n v="10544"/>
    <x v="51"/>
    <x v="51"/>
    <s v="LONEP_10544_Laughing Lumberjack Lager"/>
    <s v="10544"/>
    <s v="10544"/>
    <s v="Laughing Lumberjack Lager"/>
    <n v="14"/>
    <x v="25"/>
    <x v="0"/>
    <n v="98"/>
    <x v="0"/>
    <d v="1995-06-21T00:00:00"/>
    <s v=""/>
    <s v=""/>
  </r>
  <r>
    <x v="74"/>
    <x v="74"/>
    <s v="John"/>
    <s v="Steel"/>
    <s v="Steel, John"/>
    <s v="Steel, John"/>
    <x v="0"/>
    <s v="no"/>
    <s v="no"/>
    <s v="LAZYK"/>
    <n v="10545"/>
    <x v="0"/>
    <x v="0"/>
    <s v="LAZYK_10545_Queso Cabrales"/>
    <s v="10545"/>
    <s v="10545"/>
    <s v="Queso Cabrales"/>
    <n v="21"/>
    <x v="1"/>
    <x v="0"/>
    <n v="210"/>
    <x v="0"/>
    <d v="1995-06-22T00:00:00"/>
    <s v=""/>
    <s v=""/>
  </r>
  <r>
    <x v="3"/>
    <x v="3"/>
    <s v="Mary"/>
    <s v="Saveley"/>
    <s v="Saveley, Mary"/>
    <s v="Saveley, Mary"/>
    <x v="0"/>
    <s v="no"/>
    <s v="no"/>
    <s v="VICTE"/>
    <n v="10546"/>
    <x v="32"/>
    <x v="32"/>
    <s v="VICTE_10546_Uncle Bob's Organic Dried Pears"/>
    <s v="10546"/>
    <s v="10546"/>
    <s v="Uncle Bob's Organic Dried Pears"/>
    <n v="30"/>
    <x v="1"/>
    <x v="0"/>
    <n v="300"/>
    <x v="0"/>
    <d v="1995-06-23T00:00:00"/>
    <s v=""/>
    <s v=""/>
  </r>
  <r>
    <x v="3"/>
    <x v="3"/>
    <s v="Mary"/>
    <s v="Saveley"/>
    <s v="Saveley, Mary"/>
    <s v="Saveley, Mary"/>
    <x v="0"/>
    <s v="no"/>
    <s v="no"/>
    <s v="VICTE"/>
    <n v="10546"/>
    <x v="31"/>
    <x v="31"/>
    <s v="VICTE_10546_Steeleye Stout"/>
    <s v="10546"/>
    <s v="10546"/>
    <s v="Steeleye Stout"/>
    <n v="18"/>
    <x v="12"/>
    <x v="0"/>
    <n v="540"/>
    <x v="0"/>
    <d v="1995-06-23T00:00:00"/>
    <s v=""/>
    <s v=""/>
  </r>
  <r>
    <x v="3"/>
    <x v="3"/>
    <s v="Mary"/>
    <s v="Saveley"/>
    <s v="Saveley, Mary"/>
    <s v="Saveley, Mary"/>
    <x v="0"/>
    <s v="no"/>
    <s v="no"/>
    <s v="VICTE"/>
    <n v="10546"/>
    <x v="29"/>
    <x v="29"/>
    <s v="VICTE_10546_Tarte au sucre"/>
    <s v="10546"/>
    <s v="10546"/>
    <s v="Tarte au sucre"/>
    <n v="49.3"/>
    <x v="4"/>
    <x v="0"/>
    <n v="1972"/>
    <x v="0"/>
    <d v="1995-06-23T00:00:00"/>
    <s v=""/>
    <s v=""/>
  </r>
  <r>
    <x v="56"/>
    <x v="56"/>
    <s v="Hari"/>
    <s v="Kumar"/>
    <s v="Kumar, Hari"/>
    <s v="Kumar, Hari"/>
    <x v="0"/>
    <s v="no"/>
    <s v="no"/>
    <s v="SEVES"/>
    <n v="10547"/>
    <x v="26"/>
    <x v="26"/>
    <s v="SEVES_10547_Mascarpone Fabioli"/>
    <s v="10547"/>
    <s v="10547"/>
    <s v="Mascarpone Fabioli"/>
    <n v="32"/>
    <x v="23"/>
    <x v="1"/>
    <n v="652.79999999999995"/>
    <x v="0"/>
    <d v="1995-06-23T00:00:00"/>
    <s v=""/>
    <s v=""/>
  </r>
  <r>
    <x v="56"/>
    <x v="56"/>
    <s v="Hari"/>
    <s v="Kumar"/>
    <s v="Kumar, Hari"/>
    <s v="Kumar, Hari"/>
    <x v="0"/>
    <s v="no"/>
    <s v="no"/>
    <s v="SEVES"/>
    <n v="10547"/>
    <x v="20"/>
    <x v="20"/>
    <s v="SEVES_10547_Inlagd Sill"/>
    <s v="10547"/>
    <s v="10547"/>
    <s v="Inlagd Sill"/>
    <n v="19"/>
    <x v="18"/>
    <x v="0"/>
    <n v="1140"/>
    <x v="0"/>
    <d v="1995-06-23T00:00:00"/>
    <s v=""/>
    <s v=""/>
  </r>
  <r>
    <x v="1"/>
    <x v="1"/>
    <s v="Karin"/>
    <s v="Josephs"/>
    <s v="Josephs, Karin"/>
    <s v="Josephs, Karin"/>
    <x v="0"/>
    <s v="no"/>
    <s v="no"/>
    <s v="TOMSP"/>
    <n v="10548"/>
    <x v="53"/>
    <x v="53"/>
    <s v="TOMSP_10548_Sasquatch Ale"/>
    <s v="10548"/>
    <s v="10548"/>
    <s v="Sasquatch Ale"/>
    <n v="14"/>
    <x v="1"/>
    <x v="4"/>
    <n v="105"/>
    <x v="0"/>
    <d v="1995-06-26T00:00:00"/>
    <s v=""/>
    <s v=""/>
  </r>
  <r>
    <x v="1"/>
    <x v="1"/>
    <s v="Karin"/>
    <s v="Josephs"/>
    <s v="Josephs, Karin"/>
    <s v="Josephs, Karin"/>
    <x v="0"/>
    <s v="no"/>
    <s v="no"/>
    <s v="TOMSP"/>
    <n v="10548"/>
    <x v="5"/>
    <x v="5"/>
    <s v="TOMSP_10548_Jack's New England Clam Chowder"/>
    <s v="10548"/>
    <s v="10548"/>
    <s v="Jack's New England Clam Chowder"/>
    <n v="9.65"/>
    <x v="31"/>
    <x v="0"/>
    <n v="135.1"/>
    <x v="0"/>
    <d v="1995-06-26T00:00:00"/>
    <s v=""/>
    <s v=""/>
  </r>
  <r>
    <x v="21"/>
    <x v="21"/>
    <s v="Horst"/>
    <s v="Kloss"/>
    <s v="Kloss, Horst"/>
    <s v="Kloss, Horst"/>
    <x v="0"/>
    <s v="no"/>
    <s v="no"/>
    <s v="QUICK"/>
    <n v="10549"/>
    <x v="12"/>
    <x v="12"/>
    <s v="QUICK_10549_Gorgonzola Telino"/>
    <s v="10549"/>
    <s v="10549"/>
    <s v="Gorgonzola Telino"/>
    <n v="12.5"/>
    <x v="38"/>
    <x v="1"/>
    <n v="584.375"/>
    <x v="0"/>
    <d v="1995-06-27T00:00:00"/>
    <s v=""/>
    <s v=""/>
  </r>
  <r>
    <x v="21"/>
    <x v="21"/>
    <s v="Horst"/>
    <s v="Kloss"/>
    <s v="Kloss, Horst"/>
    <s v="Kloss, Horst"/>
    <x v="0"/>
    <s v="no"/>
    <s v="no"/>
    <s v="QUICK"/>
    <n v="10549"/>
    <x v="73"/>
    <x v="73"/>
    <s v="QUICK_10549_Røgede sild"/>
    <s v="10549"/>
    <s v="10549"/>
    <s v="Røgede sild"/>
    <n v="9.5"/>
    <x v="30"/>
    <x v="1"/>
    <n v="807.5"/>
    <x v="0"/>
    <d v="1995-06-27T00:00:00"/>
    <s v=""/>
    <s v=""/>
  </r>
  <r>
    <x v="21"/>
    <x v="21"/>
    <s v="Horst"/>
    <s v="Kloss"/>
    <s v="Kloss, Horst"/>
    <s v="Kloss, Horst"/>
    <x v="0"/>
    <s v="no"/>
    <s v="no"/>
    <s v="QUICK"/>
    <n v="10549"/>
    <x v="4"/>
    <x v="4"/>
    <s v="QUICK_10549_Manjimup Dried Apples"/>
    <s v="10549"/>
    <s v="10549"/>
    <s v="Manjimup Dried Apples"/>
    <n v="53"/>
    <x v="33"/>
    <x v="1"/>
    <n v="2162.4"/>
    <x v="0"/>
    <d v="1995-06-27T00:00:00"/>
    <s v=""/>
    <s v=""/>
  </r>
  <r>
    <x v="36"/>
    <x v="36"/>
    <s v="José"/>
    <s v="Pedro Freyre"/>
    <s v="Pedro Freyre, José"/>
    <s v="Pedro Freyre, José"/>
    <x v="0"/>
    <s v="no"/>
    <s v="no"/>
    <s v="GODOS"/>
    <n v="10550"/>
    <x v="35"/>
    <x v="35"/>
    <s v="GODOS_10550_Alice Mutton"/>
    <s v="10550"/>
    <s v="10550"/>
    <s v="Alice Mutton"/>
    <n v="39"/>
    <x v="26"/>
    <x v="5"/>
    <n v="280.8"/>
    <x v="0"/>
    <d v="1995-06-28T00:00:00"/>
    <s v=""/>
    <s v=""/>
  </r>
  <r>
    <x v="36"/>
    <x v="36"/>
    <s v="José"/>
    <s v="Pedro Freyre"/>
    <s v="Pedro Freyre, José"/>
    <s v="Pedro Freyre, José"/>
    <x v="0"/>
    <s v="no"/>
    <s v="no"/>
    <s v="GODOS"/>
    <n v="10550"/>
    <x v="49"/>
    <x v="49"/>
    <s v="GODOS_10550_Teatime Chocolate Biscuits"/>
    <s v="10550"/>
    <s v="10550"/>
    <s v="Teatime Chocolate Biscuits"/>
    <n v="9.1999999999999993"/>
    <x v="1"/>
    <x v="0"/>
    <n v="92"/>
    <x v="0"/>
    <d v="1995-06-28T00:00:00"/>
    <s v=""/>
    <s v=""/>
  </r>
  <r>
    <x v="36"/>
    <x v="36"/>
    <s v="José"/>
    <s v="Pedro Freyre"/>
    <s v="Pedro Freyre, José"/>
    <s v="Pedro Freyre, José"/>
    <x v="0"/>
    <s v="no"/>
    <s v="no"/>
    <s v="GODOS"/>
    <n v="10550"/>
    <x v="27"/>
    <x v="27"/>
    <s v="GODOS_10550_Sir Rodney's Scones"/>
    <s v="10550"/>
    <s v="10550"/>
    <s v="Sir Rodney's Scones"/>
    <n v="10"/>
    <x v="7"/>
    <x v="5"/>
    <n v="54"/>
    <x v="0"/>
    <d v="1995-06-28T00:00:00"/>
    <s v=""/>
    <s v=""/>
  </r>
  <r>
    <x v="36"/>
    <x v="36"/>
    <s v="José"/>
    <s v="Pedro Freyre"/>
    <s v="Pedro Freyre, José"/>
    <s v="Pedro Freyre, José"/>
    <x v="0"/>
    <s v="no"/>
    <s v="no"/>
    <s v="GODOS"/>
    <n v="10550"/>
    <x v="75"/>
    <x v="75"/>
    <s v="GODOS_10550_Sirop d'érable"/>
    <s v="10550"/>
    <s v="10550"/>
    <s v="Sirop d'érable"/>
    <n v="28.5"/>
    <x v="1"/>
    <x v="5"/>
    <n v="256.5"/>
    <x v="0"/>
    <d v="1995-06-28T00:00:00"/>
    <s v=""/>
    <s v=""/>
  </r>
  <r>
    <x v="47"/>
    <x v="47"/>
    <s v="Lino"/>
    <s v="Rodriguez"/>
    <s v="Rodriguez, Lino"/>
    <s v="Rodriguez, Lino"/>
    <x v="0"/>
    <s v="no"/>
    <s v="no"/>
    <s v="FURIB"/>
    <n v="10551"/>
    <x v="19"/>
    <x v="19"/>
    <s v="FURIB_10551_Pavlova"/>
    <s v="10551"/>
    <s v="10551"/>
    <s v="Pavlova"/>
    <n v="17.45"/>
    <x v="4"/>
    <x v="1"/>
    <n v="593.29999999999995"/>
    <x v="0"/>
    <d v="1995-06-28T00:00:00"/>
    <s v=""/>
    <s v=""/>
  </r>
  <r>
    <x v="47"/>
    <x v="47"/>
    <s v="Lino"/>
    <s v="Rodriguez"/>
    <s v="Rodriguez, Lino"/>
    <s v="Rodriguez, Lino"/>
    <x v="0"/>
    <s v="no"/>
    <s v="no"/>
    <s v="FURIB"/>
    <n v="10551"/>
    <x v="31"/>
    <x v="31"/>
    <s v="FURIB_10551_Steeleye Stout"/>
    <s v="10551"/>
    <s v="10551"/>
    <s v="Steeleye Stout"/>
    <n v="18"/>
    <x v="8"/>
    <x v="1"/>
    <n v="306"/>
    <x v="0"/>
    <d v="1995-06-28T00:00:00"/>
    <s v=""/>
    <s v=""/>
  </r>
  <r>
    <x v="47"/>
    <x v="47"/>
    <s v="Lino"/>
    <s v="Rodriguez"/>
    <s v="Rodriguez, Lino"/>
    <s v="Rodriguez, Lino"/>
    <x v="0"/>
    <s v="no"/>
    <s v="no"/>
    <s v="FURIB"/>
    <n v="10551"/>
    <x v="45"/>
    <x v="45"/>
    <s v="FURIB_10551_Gula Malacca"/>
    <s v="10551"/>
    <s v="10551"/>
    <s v="Gula Malacca"/>
    <n v="19.45"/>
    <x v="4"/>
    <x v="0"/>
    <n v="778"/>
    <x v="0"/>
    <d v="1995-06-28T00:00:00"/>
    <s v=""/>
    <s v=""/>
  </r>
  <r>
    <x v="8"/>
    <x v="8"/>
    <s v="Carlos"/>
    <s v="Hernández"/>
    <s v="Hernández, Carlos"/>
    <s v="Hernández, Carlos"/>
    <x v="0"/>
    <s v="no"/>
    <s v="no"/>
    <s v="HILAA"/>
    <n v="10552"/>
    <x v="60"/>
    <x v="60"/>
    <s v="HILAA_10552_Gudbrandsdalsost"/>
    <s v="10552"/>
    <s v="10552"/>
    <s v="Gudbrandsdalsost"/>
    <n v="36"/>
    <x v="27"/>
    <x v="0"/>
    <n v="648"/>
    <x v="0"/>
    <d v="1995-06-29T00:00:00"/>
    <s v=""/>
    <s v=""/>
  </r>
  <r>
    <x v="8"/>
    <x v="8"/>
    <s v="Carlos"/>
    <s v="Hernández"/>
    <s v="Hernández, Carlos"/>
    <s v="Hernández, Carlos"/>
    <x v="0"/>
    <s v="no"/>
    <s v="no"/>
    <s v="HILAA"/>
    <n v="10552"/>
    <x v="48"/>
    <x v="48"/>
    <s v="HILAA_10552_Rhönbräu Klosterbier"/>
    <s v="10552"/>
    <s v="10552"/>
    <s v="Rhönbräu Klosterbier"/>
    <n v="7.75"/>
    <x v="12"/>
    <x v="0"/>
    <n v="232.5"/>
    <x v="0"/>
    <d v="1995-06-29T00:00:00"/>
    <s v=""/>
    <s v=""/>
  </r>
  <r>
    <x v="16"/>
    <x v="16"/>
    <s v="Pirkko"/>
    <s v="Koskitalo"/>
    <s v="Koskitalo, Pirkko"/>
    <s v="Koskitalo, Pirkko"/>
    <x v="0"/>
    <s v="no"/>
    <s v="no"/>
    <s v="WARTH"/>
    <n v="10553"/>
    <x v="0"/>
    <x v="0"/>
    <s v="WARTH_10553_Queso Cabrales"/>
    <s v="10553"/>
    <s v="10553"/>
    <s v="Queso Cabrales"/>
    <n v="21"/>
    <x v="6"/>
    <x v="0"/>
    <n v="315"/>
    <x v="0"/>
    <d v="1995-06-30T00:00:00"/>
    <s v=""/>
    <s v=""/>
  </r>
  <r>
    <x v="16"/>
    <x v="16"/>
    <s v="Pirkko"/>
    <s v="Koskitalo"/>
    <s v="Koskitalo, Pirkko"/>
    <s v="Koskitalo, Pirkko"/>
    <x v="0"/>
    <s v="no"/>
    <s v="no"/>
    <s v="WARTH"/>
    <n v="10553"/>
    <x v="19"/>
    <x v="19"/>
    <s v="WARTH_10553_Pavlova"/>
    <s v="10553"/>
    <s v="10553"/>
    <s v="Pavlova"/>
    <n v="17.45"/>
    <x v="31"/>
    <x v="0"/>
    <n v="244.29999999999998"/>
    <x v="0"/>
    <d v="1995-06-30T00:00:00"/>
    <s v=""/>
    <s v=""/>
  </r>
  <r>
    <x v="16"/>
    <x v="16"/>
    <s v="Pirkko"/>
    <s v="Koskitalo"/>
    <s v="Koskitalo, Pirkko"/>
    <s v="Koskitalo, Pirkko"/>
    <x v="0"/>
    <s v="no"/>
    <s v="no"/>
    <s v="WARTH"/>
    <n v="10553"/>
    <x v="7"/>
    <x v="7"/>
    <s v="WARTH_10553_Gustaf's Knäckebröd"/>
    <s v="10553"/>
    <s v="10553"/>
    <s v="Gustaf's Knäckebröd"/>
    <n v="21"/>
    <x v="23"/>
    <x v="0"/>
    <n v="504"/>
    <x v="0"/>
    <d v="1995-06-30T00:00:00"/>
    <s v=""/>
    <s v=""/>
  </r>
  <r>
    <x v="16"/>
    <x v="16"/>
    <s v="Pirkko"/>
    <s v="Koskitalo"/>
    <s v="Koskitalo, Pirkko"/>
    <s v="Koskitalo, Pirkko"/>
    <x v="0"/>
    <s v="no"/>
    <s v="no"/>
    <s v="WARTH"/>
    <n v="10553"/>
    <x v="12"/>
    <x v="12"/>
    <s v="WARTH_10553_Gorgonzola Telino"/>
    <s v="10553"/>
    <s v="10553"/>
    <s v="Gorgonzola Telino"/>
    <n v="12.5"/>
    <x v="12"/>
    <x v="0"/>
    <n v="375"/>
    <x v="0"/>
    <d v="1995-06-30T00:00:00"/>
    <s v=""/>
    <s v=""/>
  </r>
  <r>
    <x v="16"/>
    <x v="16"/>
    <s v="Pirkko"/>
    <s v="Koskitalo"/>
    <s v="Koskitalo, Pirkko"/>
    <s v="Koskitalo, Pirkko"/>
    <x v="0"/>
    <s v="no"/>
    <s v="no"/>
    <s v="WARTH"/>
    <n v="10553"/>
    <x v="31"/>
    <x v="31"/>
    <s v="WARTH_10553_Steeleye Stout"/>
    <s v="10553"/>
    <s v="10553"/>
    <s v="Steeleye Stout"/>
    <n v="18"/>
    <x v="7"/>
    <x v="0"/>
    <n v="108"/>
    <x v="0"/>
    <d v="1995-06-30T00:00:00"/>
    <s v=""/>
    <s v=""/>
  </r>
  <r>
    <x v="11"/>
    <x v="11"/>
    <s v="Henriette"/>
    <s v="Pfalzheim"/>
    <s v="Pfalzheim, Henriette"/>
    <s v="Pfalzheim, Henriette"/>
    <x v="0"/>
    <s v="no"/>
    <s v="no"/>
    <s v="OTTIK"/>
    <n v="10554"/>
    <x v="19"/>
    <x v="19"/>
    <s v="OTTIK_10554_Pavlova"/>
    <s v="10554"/>
    <s v="10554"/>
    <s v="Pavlova"/>
    <n v="17.45"/>
    <x v="12"/>
    <x v="2"/>
    <n v="497.32499999999999"/>
    <x v="0"/>
    <d v="1995-06-30T00:00:00"/>
    <s v=""/>
    <s v=""/>
  </r>
  <r>
    <x v="11"/>
    <x v="11"/>
    <s v="Henriette"/>
    <s v="Pfalzheim"/>
    <s v="Pfalzheim, Henriette"/>
    <s v="Pfalzheim, Henriette"/>
    <x v="0"/>
    <s v="no"/>
    <s v="no"/>
    <s v="OTTIK"/>
    <n v="10554"/>
    <x v="70"/>
    <x v="70"/>
    <s v="OTTIK_10554_Tunnbröd"/>
    <s v="10554"/>
    <s v="10554"/>
    <s v="Tunnbröd"/>
    <n v="9"/>
    <x v="8"/>
    <x v="2"/>
    <n v="171"/>
    <x v="0"/>
    <d v="1995-06-30T00:00:00"/>
    <s v=""/>
    <s v=""/>
  </r>
  <r>
    <x v="11"/>
    <x v="11"/>
    <s v="Henriette"/>
    <s v="Pfalzheim"/>
    <s v="Pfalzheim, Henriette"/>
    <s v="Pfalzheim, Henriette"/>
    <x v="0"/>
    <s v="no"/>
    <s v="no"/>
    <s v="OTTIK"/>
    <n v="10554"/>
    <x v="29"/>
    <x v="29"/>
    <s v="OTTIK_10554_Tarte au sucre"/>
    <s v="10554"/>
    <s v="10554"/>
    <s v="Tarte au sucre"/>
    <n v="49.3"/>
    <x v="8"/>
    <x v="2"/>
    <n v="936.69999999999993"/>
    <x v="0"/>
    <d v="1995-06-30T00:00:00"/>
    <s v=""/>
    <s v=""/>
  </r>
  <r>
    <x v="11"/>
    <x v="11"/>
    <s v="Henriette"/>
    <s v="Pfalzheim"/>
    <s v="Pfalzheim, Henriette"/>
    <s v="Pfalzheim, Henriette"/>
    <x v="0"/>
    <s v="no"/>
    <s v="no"/>
    <s v="OTTIK"/>
    <n v="10554"/>
    <x v="23"/>
    <x v="23"/>
    <s v="OTTIK_10554_Original Frankfurter grüne Soße"/>
    <s v="10554"/>
    <s v="10554"/>
    <s v="Original Frankfurter grüne Soße"/>
    <n v="13"/>
    <x v="1"/>
    <x v="2"/>
    <n v="123.5"/>
    <x v="0"/>
    <d v="1995-06-30T00:00:00"/>
    <s v=""/>
    <s v=""/>
  </r>
  <r>
    <x v="45"/>
    <x v="45"/>
    <s v="Jose"/>
    <s v="Pavarotti"/>
    <s v="Pavarotti, Jose"/>
    <s v="Pavarotti, Jose"/>
    <x v="0"/>
    <s v="no"/>
    <s v="no"/>
    <s v="SAVEA"/>
    <n v="10555"/>
    <x v="3"/>
    <x v="3"/>
    <s v="SAVEA_10555_Tofu"/>
    <s v="10555"/>
    <s v="10555"/>
    <s v="Tofu"/>
    <n v="23.25"/>
    <x v="12"/>
    <x v="3"/>
    <n v="558"/>
    <x v="0"/>
    <d v="1995-07-03T00:00:00"/>
    <s v=""/>
    <s v=""/>
  </r>
  <r>
    <x v="45"/>
    <x v="45"/>
    <s v="Jose"/>
    <s v="Pavarotti"/>
    <s v="Pavarotti, Jose"/>
    <s v="Pavarotti, Jose"/>
    <x v="0"/>
    <s v="no"/>
    <s v="no"/>
    <s v="SAVEA"/>
    <n v="10555"/>
    <x v="49"/>
    <x v="49"/>
    <s v="SAVEA_10555_Teatime Chocolate Biscuits"/>
    <s v="10555"/>
    <s v="10555"/>
    <s v="Teatime Chocolate Biscuits"/>
    <n v="9.1999999999999993"/>
    <x v="5"/>
    <x v="3"/>
    <n v="257.60000000000002"/>
    <x v="0"/>
    <d v="1995-07-03T00:00:00"/>
    <s v=""/>
    <s v=""/>
  </r>
  <r>
    <x v="45"/>
    <x v="45"/>
    <s v="Jose"/>
    <s v="Pavarotti"/>
    <s v="Pavarotti, Jose"/>
    <s v="Pavarotti, Jose"/>
    <x v="0"/>
    <s v="no"/>
    <s v="no"/>
    <s v="SAVEA"/>
    <n v="10555"/>
    <x v="15"/>
    <x v="15"/>
    <s v="SAVEA_10555_Guaraná Fantástica"/>
    <s v="10555"/>
    <s v="10555"/>
    <s v="Guaraná Fantástica"/>
    <n v="4.5"/>
    <x v="27"/>
    <x v="3"/>
    <n v="64.8"/>
    <x v="0"/>
    <d v="1995-07-03T00:00:00"/>
    <s v=""/>
    <s v=""/>
  </r>
  <r>
    <x v="45"/>
    <x v="45"/>
    <s v="Jose"/>
    <s v="Pavarotti"/>
    <s v="Pavarotti, Jose"/>
    <s v="Pavarotti, Jose"/>
    <x v="0"/>
    <s v="no"/>
    <s v="no"/>
    <s v="SAVEA"/>
    <n v="10555"/>
    <x v="4"/>
    <x v="4"/>
    <s v="SAVEA_10555_Manjimup Dried Apples"/>
    <s v="10555"/>
    <s v="10555"/>
    <s v="Manjimup Dried Apples"/>
    <n v="53"/>
    <x v="8"/>
    <x v="3"/>
    <n v="848"/>
    <x v="0"/>
    <d v="1995-07-03T00:00:00"/>
    <s v=""/>
    <s v=""/>
  </r>
  <r>
    <x v="45"/>
    <x v="45"/>
    <s v="Jose"/>
    <s v="Pavarotti"/>
    <s v="Pavarotti, Jose"/>
    <s v="Pavarotti, Jose"/>
    <x v="0"/>
    <s v="no"/>
    <s v="no"/>
    <s v="SAVEA"/>
    <n v="10555"/>
    <x v="33"/>
    <x v="33"/>
    <s v="SAVEA_10555_Gnocchi di nonna Alice"/>
    <s v="10555"/>
    <s v="10555"/>
    <s v="Gnocchi di nonna Alice"/>
    <n v="38"/>
    <x v="4"/>
    <x v="3"/>
    <n v="1216"/>
    <x v="0"/>
    <d v="1995-07-03T00:00:00"/>
    <s v=""/>
    <s v=""/>
  </r>
  <r>
    <x v="51"/>
    <x v="51"/>
    <s v="Jytte"/>
    <s v="Petersen"/>
    <s v="Petersen, Jytte"/>
    <s v="Petersen, Jytte"/>
    <x v="0"/>
    <s v="no"/>
    <s v="no"/>
    <s v="SIMOB"/>
    <n v="10556"/>
    <x v="2"/>
    <x v="2"/>
    <s v="SIMOB_10556_Mozzarella di Giovanni"/>
    <s v="10556"/>
    <s v="10556"/>
    <s v="Mozzarella di Giovanni"/>
    <n v="34.799999999999997"/>
    <x v="23"/>
    <x v="0"/>
    <n v="835.19999999999993"/>
    <x v="0"/>
    <d v="1995-07-04T00:00:00"/>
    <s v=""/>
    <s v=""/>
  </r>
  <r>
    <x v="26"/>
    <x v="26"/>
    <s v="Renate"/>
    <s v="Messner"/>
    <s v="Messner, Renate"/>
    <s v="Messner, Renate"/>
    <x v="0"/>
    <s v="no"/>
    <s v="no"/>
    <s v="LEHMS"/>
    <n v="10557"/>
    <x v="58"/>
    <x v="58"/>
    <s v="LEHMS_10557_Wimmers gute Semmelknödel"/>
    <s v="10557"/>
    <s v="10557"/>
    <s v="Wimmers gute Semmelknödel"/>
    <n v="33.25"/>
    <x v="12"/>
    <x v="0"/>
    <n v="997.5"/>
    <x v="0"/>
    <d v="1995-07-04T00:00:00"/>
    <s v=""/>
    <s v=""/>
  </r>
  <r>
    <x v="26"/>
    <x v="26"/>
    <s v="Renate"/>
    <s v="Messner"/>
    <s v="Messner, Renate"/>
    <s v="Messner, Renate"/>
    <x v="0"/>
    <s v="no"/>
    <s v="no"/>
    <s v="LEHMS"/>
    <n v="10557"/>
    <x v="48"/>
    <x v="48"/>
    <s v="LEHMS_10557_Rhönbräu Klosterbier"/>
    <s v="10557"/>
    <s v="10557"/>
    <s v="Rhönbräu Klosterbier"/>
    <n v="7.75"/>
    <x v="8"/>
    <x v="0"/>
    <n v="155"/>
    <x v="0"/>
    <d v="1995-07-04T00:00:00"/>
    <s v=""/>
    <s v=""/>
  </r>
  <r>
    <x v="55"/>
    <x v="55"/>
    <s v="Thomas"/>
    <s v="Hardy"/>
    <s v="Hardy, Thomas"/>
    <s v="Hardy, Thomas"/>
    <x v="0"/>
    <s v="no"/>
    <s v="no"/>
    <s v="AROUT"/>
    <n v="10558"/>
    <x v="69"/>
    <x v="69"/>
    <s v="AROUT_10558_Zaanse koeken"/>
    <s v="10558"/>
    <s v="10558"/>
    <s v="Zaanse koeken"/>
    <n v="9.5"/>
    <x v="9"/>
    <x v="0"/>
    <n v="237.5"/>
    <x v="0"/>
    <d v="1995-07-05T00:00:00"/>
    <s v=""/>
    <s v=""/>
  </r>
  <r>
    <x v="55"/>
    <x v="55"/>
    <s v="Thomas"/>
    <s v="Hardy"/>
    <s v="Hardy, Thomas"/>
    <s v="Hardy, Thomas"/>
    <x v="0"/>
    <s v="no"/>
    <s v="no"/>
    <s v="AROUT"/>
    <n v="10558"/>
    <x v="4"/>
    <x v="4"/>
    <s v="AROUT_10558_Manjimup Dried Apples"/>
    <s v="10558"/>
    <s v="10558"/>
    <s v="Manjimup Dried Apples"/>
    <n v="53"/>
    <x v="8"/>
    <x v="0"/>
    <n v="1060"/>
    <x v="0"/>
    <d v="1995-07-05T00:00:00"/>
    <s v=""/>
    <s v=""/>
  </r>
  <r>
    <x v="55"/>
    <x v="55"/>
    <s v="Thomas"/>
    <s v="Hardy"/>
    <s v="Hardy, Thomas"/>
    <s v="Hardy, Thomas"/>
    <x v="0"/>
    <s v="no"/>
    <s v="no"/>
    <s v="AROUT"/>
    <n v="10558"/>
    <x v="65"/>
    <x v="65"/>
    <s v="AROUT_10558_Filo Mix"/>
    <s v="10558"/>
    <s v="10558"/>
    <s v="Filo Mix"/>
    <n v="7"/>
    <x v="12"/>
    <x v="0"/>
    <n v="210"/>
    <x v="0"/>
    <d v="1995-07-05T00:00:00"/>
    <s v=""/>
    <s v=""/>
  </r>
  <r>
    <x v="55"/>
    <x v="55"/>
    <s v="Thomas"/>
    <s v="Hardy"/>
    <s v="Hardy, Thomas"/>
    <s v="Hardy, Thomas"/>
    <x v="0"/>
    <s v="no"/>
    <s v="no"/>
    <s v="AROUT"/>
    <n v="10558"/>
    <x v="22"/>
    <x v="22"/>
    <s v="AROUT_10558_Perth Pasties"/>
    <s v="10558"/>
    <s v="10558"/>
    <s v="Perth Pasties"/>
    <n v="32.799999999999997"/>
    <x v="27"/>
    <x v="0"/>
    <n v="590.4"/>
    <x v="0"/>
    <d v="1995-07-05T00:00:00"/>
    <s v=""/>
    <s v=""/>
  </r>
  <r>
    <x v="55"/>
    <x v="55"/>
    <s v="Thomas"/>
    <s v="Hardy"/>
    <s v="Hardy, Thomas"/>
    <s v="Hardy, Thomas"/>
    <x v="0"/>
    <s v="no"/>
    <s v="no"/>
    <s v="AROUT"/>
    <n v="10558"/>
    <x v="47"/>
    <x v="47"/>
    <s v="AROUT_10558_Röd Kaviar"/>
    <s v="10558"/>
    <s v="10558"/>
    <s v="Röd Kaviar"/>
    <n v="15"/>
    <x v="28"/>
    <x v="0"/>
    <n v="45"/>
    <x v="0"/>
    <d v="1995-07-05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0559"/>
    <x v="5"/>
    <x v="5"/>
    <s v="BLONP_10559_Jack's New England Clam Chowder"/>
    <s v="10559"/>
    <s v="10559"/>
    <s v="Jack's New England Clam Chowder"/>
    <n v="9.65"/>
    <x v="0"/>
    <x v="2"/>
    <n v="110.01"/>
    <x v="0"/>
    <d v="1995-07-06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0559"/>
    <x v="16"/>
    <x v="16"/>
    <s v="BLONP_10559_Pâté chinois"/>
    <s v="10559"/>
    <s v="10559"/>
    <s v="Pâté chinois"/>
    <n v="24"/>
    <x v="27"/>
    <x v="2"/>
    <n v="410.4"/>
    <x v="0"/>
    <d v="1995-07-06T00:00:00"/>
    <s v=""/>
    <s v=""/>
  </r>
  <r>
    <x v="17"/>
    <x v="17"/>
    <s v="Peter"/>
    <s v="Franken"/>
    <s v="Franken, Peter"/>
    <s v="Franken, Peter"/>
    <x v="0"/>
    <s v="no"/>
    <s v="no"/>
    <s v="FRANK"/>
    <n v="10560"/>
    <x v="34"/>
    <x v="34"/>
    <s v="FRANK_10560_Nord-Ost Matjeshering"/>
    <s v="10560"/>
    <s v="10560"/>
    <s v="Nord-Ost Matjeshering"/>
    <n v="25.89"/>
    <x v="8"/>
    <x v="0"/>
    <n v="517.79999999999995"/>
    <x v="0"/>
    <d v="1995-07-07T00:00:00"/>
    <s v=""/>
    <s v=""/>
  </r>
  <r>
    <x v="17"/>
    <x v="17"/>
    <s v="Peter"/>
    <s v="Franken"/>
    <s v="Franken, Peter"/>
    <s v="Franken, Peter"/>
    <x v="0"/>
    <s v="no"/>
    <s v="no"/>
    <s v="FRANK"/>
    <n v="10560"/>
    <x v="29"/>
    <x v="29"/>
    <s v="FRANK_10560_Tarte au sucre"/>
    <s v="10560"/>
    <s v="10560"/>
    <s v="Tarte au sucre"/>
    <n v="49.3"/>
    <x v="6"/>
    <x v="4"/>
    <n v="554.625"/>
    <x v="0"/>
    <d v="1995-07-07T00:00:00"/>
    <s v=""/>
    <s v=""/>
  </r>
  <r>
    <x v="14"/>
    <x v="14"/>
    <s v="Maria"/>
    <s v="Larsson"/>
    <s v="Larsson, Maria"/>
    <s v="Larsson, Maria"/>
    <x v="0"/>
    <s v="no"/>
    <s v="no"/>
    <s v="FOLKO"/>
    <n v="10561"/>
    <x v="45"/>
    <x v="45"/>
    <s v="FOLKO_10561_Gula Malacca"/>
    <s v="10561"/>
    <s v="10561"/>
    <s v="Gula Malacca"/>
    <n v="19.45"/>
    <x v="1"/>
    <x v="0"/>
    <n v="194.5"/>
    <x v="0"/>
    <d v="1995-07-07T00:00:00"/>
    <s v=""/>
    <s v=""/>
  </r>
  <r>
    <x v="14"/>
    <x v="14"/>
    <s v="Maria"/>
    <s v="Larsson"/>
    <s v="Larsson, Maria"/>
    <s v="Larsson, Maria"/>
    <x v="0"/>
    <s v="no"/>
    <s v="moderate"/>
    <s v="FOLKO"/>
    <n v="10561"/>
    <x v="4"/>
    <x v="4"/>
    <s v="FOLKO_10561_Manjimup Dried Apples"/>
    <s v="10561"/>
    <s v="10561"/>
    <s v="Manjimup Dried Apples"/>
    <n v="53"/>
    <x v="13"/>
    <x v="0"/>
    <n v="2650"/>
    <x v="0"/>
    <d v="1995-07-07T00:00:00"/>
    <s v=""/>
    <s v=""/>
  </r>
  <r>
    <x v="30"/>
    <x v="30"/>
    <s v="Maurizio"/>
    <s v="Moroni"/>
    <s v="Moroni, Maurizio"/>
    <s v="Moroni, Maurizio"/>
    <x v="0"/>
    <s v="no"/>
    <s v="no"/>
    <s v="REGGC"/>
    <n v="10562"/>
    <x v="10"/>
    <x v="10"/>
    <s v="REGGC_10562_Geitost"/>
    <s v="10562"/>
    <s v="10562"/>
    <s v="Geitost"/>
    <n v="2.5"/>
    <x v="8"/>
    <x v="5"/>
    <n v="45"/>
    <x v="0"/>
    <d v="1995-07-10T00:00:00"/>
    <s v=""/>
    <s v=""/>
  </r>
  <r>
    <x v="30"/>
    <x v="30"/>
    <s v="Maurizio"/>
    <s v="Moroni"/>
    <s v="Moroni, Maurizio"/>
    <s v="Moroni, Maurizio"/>
    <x v="0"/>
    <s v="no"/>
    <s v="no"/>
    <s v="REGGC"/>
    <n v="10562"/>
    <x v="29"/>
    <x v="29"/>
    <s v="REGGC_10562_Tarte au sucre"/>
    <s v="10562"/>
    <s v="10562"/>
    <s v="Tarte au sucre"/>
    <n v="49.3"/>
    <x v="1"/>
    <x v="5"/>
    <n v="443.7"/>
    <x v="0"/>
    <d v="1995-07-10T00:00:00"/>
    <s v=""/>
    <s v=""/>
  </r>
  <r>
    <x v="29"/>
    <x v="29"/>
    <s v="Janete"/>
    <s v="Limeira"/>
    <s v="Limeira, Janete"/>
    <s v="Limeira, Janete"/>
    <x v="0"/>
    <s v="no"/>
    <s v="no"/>
    <s v="RICAR"/>
    <n v="10563"/>
    <x v="20"/>
    <x v="20"/>
    <s v="RICAR_10563_Inlagd Sill"/>
    <s v="10563"/>
    <s v="10563"/>
    <s v="Inlagd Sill"/>
    <n v="19"/>
    <x v="9"/>
    <x v="0"/>
    <n v="475"/>
    <x v="0"/>
    <d v="1995-07-11T00:00:00"/>
    <s v=""/>
    <s v=""/>
  </r>
  <r>
    <x v="29"/>
    <x v="29"/>
    <s v="Janete"/>
    <s v="Limeira"/>
    <s v="Limeira, Janete"/>
    <s v="Limeira, Janete"/>
    <x v="0"/>
    <s v="no"/>
    <s v="no"/>
    <s v="RICAR"/>
    <n v="10563"/>
    <x v="65"/>
    <x v="65"/>
    <s v="RICAR_10563_Filo Mix"/>
    <s v="10563"/>
    <s v="10563"/>
    <s v="Filo Mix"/>
    <n v="7"/>
    <x v="21"/>
    <x v="0"/>
    <n v="490"/>
    <x v="0"/>
    <d v="1995-07-11T00:00:00"/>
    <s v=""/>
    <s v=""/>
  </r>
  <r>
    <x v="13"/>
    <x v="13"/>
    <s v="Paula"/>
    <s v="Wilson"/>
    <s v="Wilson, Paula"/>
    <s v="Wilson, Paula"/>
    <x v="0"/>
    <s v="no"/>
    <s v="no"/>
    <s v="RATTC"/>
    <n v="10564"/>
    <x v="35"/>
    <x v="35"/>
    <s v="RATTC_10564_Alice Mutton"/>
    <s v="10564"/>
    <s v="10564"/>
    <s v="Alice Mutton"/>
    <n v="39"/>
    <x v="16"/>
    <x v="2"/>
    <n v="592.79999999999995"/>
    <x v="0"/>
    <d v="1995-07-11T00:00:00"/>
    <s v=""/>
    <s v=""/>
  </r>
  <r>
    <x v="13"/>
    <x v="13"/>
    <s v="Paula"/>
    <s v="Wilson"/>
    <s v="Wilson, Paula"/>
    <s v="Wilson, Paula"/>
    <x v="0"/>
    <s v="no"/>
    <s v="no"/>
    <s v="RATTC"/>
    <n v="10564"/>
    <x v="12"/>
    <x v="12"/>
    <s v="RATTC_10564_Gorgonzola Telino"/>
    <s v="10564"/>
    <s v="10564"/>
    <s v="Gorgonzola Telino"/>
    <n v="12.5"/>
    <x v="7"/>
    <x v="2"/>
    <n v="71.25"/>
    <x v="0"/>
    <d v="1995-07-11T00:00:00"/>
    <s v=""/>
    <s v=""/>
  </r>
  <r>
    <x v="13"/>
    <x v="13"/>
    <s v="Paula"/>
    <s v="Wilson"/>
    <s v="Wilson, Paula"/>
    <s v="Wilson, Paula"/>
    <x v="0"/>
    <s v="no"/>
    <s v="no"/>
    <s v="RATTC"/>
    <n v="10564"/>
    <x v="16"/>
    <x v="16"/>
    <s v="RATTC_10564_Pâté chinois"/>
    <s v="10564"/>
    <s v="10564"/>
    <s v="Pâté chinois"/>
    <n v="24"/>
    <x v="9"/>
    <x v="2"/>
    <n v="570"/>
    <x v="0"/>
    <d v="1995-07-11T00:00:00"/>
    <s v=""/>
    <s v=""/>
  </r>
  <r>
    <x v="49"/>
    <x v="49"/>
    <s v="Jean"/>
    <s v="Fresnière"/>
    <s v="Fresnière, Jean"/>
    <s v="Fresnière, Jean"/>
    <x v="0"/>
    <s v="no"/>
    <s v="no"/>
    <s v="MEREP"/>
    <n v="10565"/>
    <x v="15"/>
    <x v="15"/>
    <s v="MEREP_10565_Guaraná Fantástica"/>
    <s v="10565"/>
    <s v="10565"/>
    <s v="Guaraná Fantástica"/>
    <n v="4.5"/>
    <x v="9"/>
    <x v="5"/>
    <n v="101.25"/>
    <x v="0"/>
    <d v="1995-07-12T00:00:00"/>
    <s v=""/>
    <s v=""/>
  </r>
  <r>
    <x v="49"/>
    <x v="49"/>
    <s v="Jean"/>
    <s v="Fresnière"/>
    <s v="Fresnière, Jean"/>
    <s v="Fresnière, Jean"/>
    <x v="0"/>
    <s v="no"/>
    <s v="no"/>
    <s v="MEREP"/>
    <n v="10565"/>
    <x v="58"/>
    <x v="58"/>
    <s v="MEREP_10565_Wimmers gute Semmelknödel"/>
    <s v="10565"/>
    <s v="10565"/>
    <s v="Wimmers gute Semmelknödel"/>
    <n v="33.25"/>
    <x v="27"/>
    <x v="5"/>
    <n v="538.65"/>
    <x v="0"/>
    <d v="1995-07-12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0566"/>
    <x v="0"/>
    <x v="0"/>
    <s v="BLONP_10566_Queso Cabrales"/>
    <s v="10566"/>
    <s v="10566"/>
    <s v="Queso Cabrales"/>
    <n v="21"/>
    <x v="5"/>
    <x v="1"/>
    <n v="624.75"/>
    <x v="0"/>
    <d v="1995-07-13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0566"/>
    <x v="59"/>
    <x v="59"/>
    <s v="BLONP_10566_Carnarvon Tigers"/>
    <s v="10566"/>
    <s v="10566"/>
    <s v="Carnarvon Tigers"/>
    <n v="62.5"/>
    <x v="27"/>
    <x v="1"/>
    <n v="956.25"/>
    <x v="0"/>
    <d v="1995-07-13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0566"/>
    <x v="38"/>
    <x v="38"/>
    <s v="BLONP_10566_Lakkalikööri"/>
    <s v="10566"/>
    <s v="10566"/>
    <s v="Lakkalikööri"/>
    <n v="18"/>
    <x v="1"/>
    <x v="0"/>
    <n v="180"/>
    <x v="0"/>
    <d v="1995-07-13T00:00:00"/>
    <s v=""/>
    <s v=""/>
  </r>
  <r>
    <x v="34"/>
    <x v="34"/>
    <s v="Patricia"/>
    <s v="McKenna"/>
    <s v="McKenna, Patricia"/>
    <s v="McKenna, Patricia"/>
    <x v="0"/>
    <s v="no"/>
    <s v="no"/>
    <s v="HUNGO"/>
    <n v="10567"/>
    <x v="12"/>
    <x v="12"/>
    <s v="HUNGO_10567_Gorgonzola Telino"/>
    <s v="10567"/>
    <s v="10567"/>
    <s v="Gorgonzola Telino"/>
    <n v="12.5"/>
    <x v="18"/>
    <x v="3"/>
    <n v="600"/>
    <x v="0"/>
    <d v="1995-07-13T00:00:00"/>
    <s v=""/>
    <s v=""/>
  </r>
  <r>
    <x v="34"/>
    <x v="34"/>
    <s v="Patricia"/>
    <s v="McKenna"/>
    <s v="McKenna, Patricia"/>
    <s v="McKenna, Patricia"/>
    <x v="0"/>
    <s v="no"/>
    <s v="no"/>
    <s v="HUNGO"/>
    <n v="10567"/>
    <x v="4"/>
    <x v="4"/>
    <s v="HUNGO_10567_Manjimup Dried Apples"/>
    <s v="10567"/>
    <s v="10567"/>
    <s v="Manjimup Dried Apples"/>
    <n v="53"/>
    <x v="28"/>
    <x v="0"/>
    <n v="159"/>
    <x v="0"/>
    <d v="1995-07-13T00:00:00"/>
    <s v=""/>
    <s v=""/>
  </r>
  <r>
    <x v="34"/>
    <x v="34"/>
    <s v="Patricia"/>
    <s v="McKenna"/>
    <s v="McKenna, Patricia"/>
    <s v="McKenna, Patricia"/>
    <x v="0"/>
    <s v="no"/>
    <s v="no"/>
    <s v="HUNGO"/>
    <n v="10567"/>
    <x v="21"/>
    <x v="21"/>
    <s v="HUNGO_10567_Raclette Courdavault"/>
    <s v="10567"/>
    <s v="10567"/>
    <s v="Raclette Courdavault"/>
    <n v="55"/>
    <x v="4"/>
    <x v="3"/>
    <n v="1760"/>
    <x v="0"/>
    <d v="1995-07-13T00:00:00"/>
    <s v=""/>
    <s v=""/>
  </r>
  <r>
    <x v="60"/>
    <x v="60"/>
    <s v="Eduardo"/>
    <s v="Saavedra"/>
    <s v="Saavedra, Eduardo"/>
    <s v="Saavedra, Eduardo"/>
    <x v="0"/>
    <s v="no"/>
    <s v="no"/>
    <s v="GALED"/>
    <n v="10568"/>
    <x v="41"/>
    <x v="41"/>
    <s v="GALED_10568_Ikura"/>
    <s v="10568"/>
    <s v="10568"/>
    <s v="Ikura"/>
    <n v="31"/>
    <x v="2"/>
    <x v="0"/>
    <n v="155"/>
    <x v="0"/>
    <d v="1995-07-14T00:00:00"/>
    <s v=""/>
    <s v=""/>
  </r>
  <r>
    <x v="13"/>
    <x v="13"/>
    <s v="Paula"/>
    <s v="Wilson"/>
    <s v="Wilson, Paula"/>
    <s v="Wilson, Paula"/>
    <x v="0"/>
    <s v="no"/>
    <s v="no"/>
    <s v="RATTC"/>
    <n v="10569"/>
    <x v="12"/>
    <x v="12"/>
    <s v="RATTC_10569_Gorgonzola Telino"/>
    <s v="10569"/>
    <s v="10569"/>
    <s v="Gorgonzola Telino"/>
    <n v="12.5"/>
    <x v="5"/>
    <x v="3"/>
    <n v="350"/>
    <x v="0"/>
    <d v="1995-07-17T00:00:00"/>
    <s v=""/>
    <s v=""/>
  </r>
  <r>
    <x v="13"/>
    <x v="13"/>
    <s v="Paula"/>
    <s v="Wilson"/>
    <s v="Wilson, Paula"/>
    <s v="Wilson, Paula"/>
    <x v="0"/>
    <s v="no"/>
    <s v="no"/>
    <s v="RATTC"/>
    <n v="10569"/>
    <x v="38"/>
    <x v="38"/>
    <s v="RATTC_10569_Lakkalikööri"/>
    <s v="10569"/>
    <s v="10569"/>
    <s v="Lakkalikööri"/>
    <n v="18"/>
    <x v="12"/>
    <x v="0"/>
    <n v="540"/>
    <x v="0"/>
    <d v="1995-07-17T00:00:00"/>
    <s v=""/>
    <s v=""/>
  </r>
  <r>
    <x v="49"/>
    <x v="49"/>
    <s v="Jean"/>
    <s v="Fresnière"/>
    <s v="Fresnière, Jean"/>
    <s v="Fresnière, Jean"/>
    <x v="0"/>
    <s v="no"/>
    <s v="no"/>
    <s v="MEREP"/>
    <n v="10570"/>
    <x v="0"/>
    <x v="0"/>
    <s v="MEREP_10570_Queso Cabrales"/>
    <s v="10570"/>
    <s v="10570"/>
    <s v="Queso Cabrales"/>
    <n v="21"/>
    <x v="6"/>
    <x v="2"/>
    <n v="299.25"/>
    <x v="0"/>
    <d v="1995-07-18T00:00:00"/>
    <s v=""/>
    <s v=""/>
  </r>
  <r>
    <x v="49"/>
    <x v="49"/>
    <s v="Jean"/>
    <s v="Fresnière"/>
    <s v="Fresnière, Jean"/>
    <s v="Fresnière, Jean"/>
    <x v="0"/>
    <s v="no"/>
    <s v="no"/>
    <s v="MEREP"/>
    <n v="10570"/>
    <x v="33"/>
    <x v="33"/>
    <s v="MEREP_10570_Gnocchi di nonna Alice"/>
    <s v="10570"/>
    <s v="10570"/>
    <s v="Gnocchi di nonna Alice"/>
    <n v="38"/>
    <x v="18"/>
    <x v="2"/>
    <n v="2166"/>
    <x v="0"/>
    <d v="1995-07-18T00:00:00"/>
    <s v=""/>
    <s v=""/>
  </r>
  <r>
    <x v="9"/>
    <x v="9"/>
    <s v="Roland"/>
    <s v="Mendel"/>
    <s v="Mendel, Roland"/>
    <s v="Mendel, Roland"/>
    <x v="0"/>
    <s v="no"/>
    <s v="no"/>
    <s v="ERNSH"/>
    <n v="10571"/>
    <x v="3"/>
    <x v="3"/>
    <s v="ERNSH_10571_Tofu"/>
    <s v="10571"/>
    <s v="10571"/>
    <s v="Tofu"/>
    <n v="23.25"/>
    <x v="45"/>
    <x v="1"/>
    <n v="217.38749999999999"/>
    <x v="0"/>
    <d v="1995-07-18T00:00:00"/>
    <s v=""/>
    <s v=""/>
  </r>
  <r>
    <x v="9"/>
    <x v="9"/>
    <s v="Roland"/>
    <s v="Mendel"/>
    <s v="Mendel, Roland"/>
    <s v="Mendel, Roland"/>
    <x v="0"/>
    <s v="no"/>
    <s v="no"/>
    <s v="ERNSH"/>
    <n v="10571"/>
    <x v="1"/>
    <x v="1"/>
    <s v="ERNSH_10571_Singaporean Hokkien Fried Mee"/>
    <s v="10571"/>
    <s v="10571"/>
    <s v="Singaporean Hokkien Fried Mee"/>
    <n v="14"/>
    <x v="19"/>
    <x v="1"/>
    <n v="333.2"/>
    <x v="0"/>
    <d v="1995-07-18T00:00:00"/>
    <s v=""/>
    <s v=""/>
  </r>
  <r>
    <x v="25"/>
    <x v="25"/>
    <s v="Christina"/>
    <s v="Berglund"/>
    <s v="Berglund, Christina"/>
    <s v="Berglund, Christina"/>
    <x v="0"/>
    <s v="no"/>
    <s v="no"/>
    <s v="BERGS"/>
    <n v="10572"/>
    <x v="19"/>
    <x v="19"/>
    <s v="BERGS_10572_Pavlova"/>
    <s v="10572"/>
    <s v="10572"/>
    <s v="Pavlova"/>
    <n v="17.45"/>
    <x v="0"/>
    <x v="5"/>
    <n v="188.45999999999998"/>
    <x v="0"/>
    <d v="1995-07-19T00:00:00"/>
    <s v=""/>
    <s v=""/>
  </r>
  <r>
    <x v="25"/>
    <x v="25"/>
    <s v="Christina"/>
    <s v="Berglund"/>
    <s v="Berglund, Christina"/>
    <s v="Berglund, Christina"/>
    <x v="0"/>
    <s v="no"/>
    <s v="no"/>
    <s v="BERGS"/>
    <n v="10572"/>
    <x v="26"/>
    <x v="26"/>
    <s v="BERGS_10572_Mascarpone Fabioli"/>
    <s v="10572"/>
    <s v="10572"/>
    <s v="Mascarpone Fabioli"/>
    <n v="32"/>
    <x v="1"/>
    <x v="5"/>
    <n v="288"/>
    <x v="0"/>
    <d v="1995-07-19T00:00:00"/>
    <s v=""/>
    <s v=""/>
  </r>
  <r>
    <x v="25"/>
    <x v="25"/>
    <s v="Christina"/>
    <s v="Berglund"/>
    <s v="Berglund, Christina"/>
    <s v="Berglund, Christina"/>
    <x v="0"/>
    <s v="no"/>
    <s v="no"/>
    <s v="BERGS"/>
    <n v="10572"/>
    <x v="37"/>
    <x v="37"/>
    <s v="BERGS_10572_Boston Crab Meat"/>
    <s v="10572"/>
    <s v="10572"/>
    <s v="Boston Crab Meat"/>
    <n v="18.399999999999999"/>
    <x v="13"/>
    <x v="0"/>
    <n v="919.99999999999989"/>
    <x v="0"/>
    <d v="1995-07-19T00:00:00"/>
    <s v=""/>
    <s v=""/>
  </r>
  <r>
    <x v="25"/>
    <x v="25"/>
    <s v="Christina"/>
    <s v="Berglund"/>
    <s v="Berglund, Christina"/>
    <s v="Berglund, Christina"/>
    <x v="0"/>
    <s v="no"/>
    <s v="no"/>
    <s v="BERGS"/>
    <n v="10572"/>
    <x v="48"/>
    <x v="48"/>
    <s v="BERGS_10572_Rhönbräu Klosterbier"/>
    <s v="10572"/>
    <s v="10572"/>
    <s v="Rhönbräu Klosterbier"/>
    <n v="7.75"/>
    <x v="6"/>
    <x v="5"/>
    <n v="104.625"/>
    <x v="0"/>
    <d v="1995-07-19T00:00:00"/>
    <s v=""/>
    <s v=""/>
  </r>
  <r>
    <x v="59"/>
    <x v="59"/>
    <s v="Antonio"/>
    <s v="Moreno"/>
    <s v="Moreno, Antonio"/>
    <s v="Moreno, Antonio"/>
    <x v="0"/>
    <s v="no"/>
    <s v="no"/>
    <s v="ANTON"/>
    <n v="10573"/>
    <x v="35"/>
    <x v="35"/>
    <s v="ANTON_10573_Alice Mutton"/>
    <s v="10573"/>
    <s v="10573"/>
    <s v="Alice Mutton"/>
    <n v="39"/>
    <x v="27"/>
    <x v="0"/>
    <n v="702"/>
    <x v="0"/>
    <d v="1995-07-20T00:00:00"/>
    <s v=""/>
    <s v=""/>
  </r>
  <r>
    <x v="59"/>
    <x v="59"/>
    <s v="Antonio"/>
    <s v="Moreno"/>
    <s v="Moreno, Antonio"/>
    <s v="Moreno, Antonio"/>
    <x v="0"/>
    <s v="no"/>
    <s v="no"/>
    <s v="ANTON"/>
    <n v="10573"/>
    <x v="53"/>
    <x v="53"/>
    <s v="ANTON_10573_Sasquatch Ale"/>
    <s v="10573"/>
    <s v="10573"/>
    <s v="Sasquatch Ale"/>
    <n v="14"/>
    <x v="4"/>
    <x v="0"/>
    <n v="560"/>
    <x v="0"/>
    <d v="1995-07-20T00:00:00"/>
    <s v=""/>
    <s v=""/>
  </r>
  <r>
    <x v="59"/>
    <x v="59"/>
    <s v="Antonio"/>
    <s v="Moreno"/>
    <s v="Moreno, Antonio"/>
    <s v="Moreno, Antonio"/>
    <x v="0"/>
    <s v="no"/>
    <s v="no"/>
    <s v="ANTON"/>
    <n v="10573"/>
    <x v="22"/>
    <x v="22"/>
    <s v="ANTON_10573_Perth Pasties"/>
    <s v="10573"/>
    <s v="10573"/>
    <s v="Perth Pasties"/>
    <n v="32.799999999999997"/>
    <x v="9"/>
    <x v="0"/>
    <n v="819.99999999999989"/>
    <x v="0"/>
    <d v="1995-07-20T00:00:00"/>
    <s v=""/>
    <s v=""/>
  </r>
  <r>
    <x v="81"/>
    <x v="81"/>
    <s v="Helvetius"/>
    <s v="Nagy"/>
    <s v="Nagy, Helvetius"/>
    <s v="Nagy, Helvetius"/>
    <x v="0"/>
    <s v="no"/>
    <s v="no"/>
    <s v="TRAIH"/>
    <n v="10574"/>
    <x v="10"/>
    <x v="10"/>
    <s v="TRAIH_10574_Geitost"/>
    <s v="10574"/>
    <s v="10574"/>
    <s v="Geitost"/>
    <n v="2.5"/>
    <x v="31"/>
    <x v="0"/>
    <n v="35"/>
    <x v="0"/>
    <d v="1995-07-20T00:00:00"/>
    <s v=""/>
    <s v=""/>
  </r>
  <r>
    <x v="81"/>
    <x v="81"/>
    <s v="Helvetius"/>
    <s v="Nagy"/>
    <s v="Nagy, Helvetius"/>
    <s v="Nagy, Helvetius"/>
    <x v="0"/>
    <s v="no"/>
    <s v="no"/>
    <s v="TRAIH"/>
    <n v="10574"/>
    <x v="37"/>
    <x v="37"/>
    <s v="TRAIH_10574_Boston Crab Meat"/>
    <s v="10574"/>
    <s v="10574"/>
    <s v="Boston Crab Meat"/>
    <n v="18.399999999999999"/>
    <x v="17"/>
    <x v="0"/>
    <n v="36.799999999999997"/>
    <x v="0"/>
    <d v="1995-07-20T00:00:00"/>
    <s v=""/>
    <s v=""/>
  </r>
  <r>
    <x v="81"/>
    <x v="81"/>
    <s v="Helvetius"/>
    <s v="Nagy"/>
    <s v="Nagy, Helvetius"/>
    <s v="Nagy, Helvetius"/>
    <x v="0"/>
    <s v="no"/>
    <s v="no"/>
    <s v="TRAIH"/>
    <n v="10574"/>
    <x v="29"/>
    <x v="29"/>
    <s v="TRAIH_10574_Tarte au sucre"/>
    <s v="10574"/>
    <s v="10574"/>
    <s v="Tarte au sucre"/>
    <n v="49.3"/>
    <x v="1"/>
    <x v="0"/>
    <n v="493"/>
    <x v="0"/>
    <d v="1995-07-20T00:00:00"/>
    <s v=""/>
    <s v=""/>
  </r>
  <r>
    <x v="81"/>
    <x v="81"/>
    <s v="Helvetius"/>
    <s v="Nagy"/>
    <s v="Nagy, Helvetius"/>
    <s v="Nagy, Helvetius"/>
    <x v="0"/>
    <s v="no"/>
    <s v="no"/>
    <s v="TRAIH"/>
    <n v="10574"/>
    <x v="58"/>
    <x v="58"/>
    <s v="TRAIH_10574_Wimmers gute Semmelknödel"/>
    <s v="10574"/>
    <s v="10574"/>
    <s v="Wimmers gute Semmelknödel"/>
    <n v="33.25"/>
    <x v="7"/>
    <x v="0"/>
    <n v="199.5"/>
    <x v="0"/>
    <d v="1995-07-20T00:00:00"/>
    <s v=""/>
    <s v=""/>
  </r>
  <r>
    <x v="24"/>
    <x v="24"/>
    <s v="Alexander"/>
    <s v="Feuer"/>
    <s v="Feuer, Alexander"/>
    <s v="Feuer, Alexander"/>
    <x v="0"/>
    <s v="no"/>
    <s v="no"/>
    <s v="MORGK"/>
    <n v="10575"/>
    <x v="21"/>
    <x v="21"/>
    <s v="MORGK_10575_Raclette Courdavault"/>
    <s v="10575"/>
    <s v="10575"/>
    <s v="Raclette Courdavault"/>
    <n v="55"/>
    <x v="0"/>
    <x v="0"/>
    <n v="660"/>
    <x v="0"/>
    <d v="1995-07-21T00:00:00"/>
    <s v=""/>
    <s v=""/>
  </r>
  <r>
    <x v="24"/>
    <x v="24"/>
    <s v="Alexander"/>
    <s v="Feuer"/>
    <s v="Feuer, Alexander"/>
    <s v="Feuer, Alexander"/>
    <x v="0"/>
    <s v="no"/>
    <s v="no"/>
    <s v="MORGK"/>
    <n v="10575"/>
    <x v="46"/>
    <x v="46"/>
    <s v="MORGK_10575_Vegie-spread"/>
    <s v="10575"/>
    <s v="10575"/>
    <s v="Vegie-spread"/>
    <n v="43.9"/>
    <x v="7"/>
    <x v="0"/>
    <n v="263.39999999999998"/>
    <x v="0"/>
    <d v="1995-07-21T00:00:00"/>
    <s v=""/>
    <s v=""/>
  </r>
  <r>
    <x v="24"/>
    <x v="24"/>
    <s v="Alexander"/>
    <s v="Feuer"/>
    <s v="Feuer, Alexander"/>
    <s v="Feuer, Alexander"/>
    <x v="0"/>
    <s v="no"/>
    <s v="no"/>
    <s v="MORGK"/>
    <n v="10575"/>
    <x v="2"/>
    <x v="2"/>
    <s v="MORGK_10575_Mozzarella di Giovanni"/>
    <s v="10575"/>
    <s v="10575"/>
    <s v="Mozzarella di Giovanni"/>
    <n v="34.799999999999997"/>
    <x v="12"/>
    <x v="0"/>
    <n v="1044"/>
    <x v="0"/>
    <d v="1995-07-21T00:00:00"/>
    <s v=""/>
    <s v=""/>
  </r>
  <r>
    <x v="24"/>
    <x v="24"/>
    <s v="Alexander"/>
    <s v="Feuer"/>
    <s v="Feuer, Alexander"/>
    <s v="Feuer, Alexander"/>
    <x v="0"/>
    <s v="no"/>
    <s v="no"/>
    <s v="MORGK"/>
    <n v="10575"/>
    <x v="38"/>
    <x v="38"/>
    <s v="MORGK_10575_Lakkalikööri"/>
    <s v="10575"/>
    <s v="10575"/>
    <s v="Lakkalikööri"/>
    <n v="18"/>
    <x v="1"/>
    <x v="0"/>
    <n v="180"/>
    <x v="0"/>
    <d v="1995-07-21T00:00:00"/>
    <s v=""/>
    <s v=""/>
  </r>
  <r>
    <x v="23"/>
    <x v="23"/>
    <s v="Miguel"/>
    <s v="Angel Paolino"/>
    <s v="Angel Paolino, Miguel"/>
    <s v="Angel Paolino, Miguel"/>
    <x v="0"/>
    <s v="no"/>
    <s v="no"/>
    <s v="TORTU"/>
    <n v="10576"/>
    <x v="52"/>
    <x v="52"/>
    <s v="TORTU_10576_Chai"/>
    <s v="10576"/>
    <s v="10576"/>
    <s v="Chai"/>
    <n v="18"/>
    <x v="1"/>
    <x v="0"/>
    <n v="180"/>
    <x v="0"/>
    <d v="1995-07-24T00:00:00"/>
    <s v=""/>
    <s v=""/>
  </r>
  <r>
    <x v="23"/>
    <x v="23"/>
    <s v="Miguel"/>
    <s v="Angel Paolino"/>
    <s v="Angel Paolino, Miguel"/>
    <s v="Angel Paolino, Miguel"/>
    <x v="0"/>
    <s v="no"/>
    <s v="no"/>
    <s v="TORTU"/>
    <n v="10576"/>
    <x v="12"/>
    <x v="12"/>
    <s v="TORTU_10576_Gorgonzola Telino"/>
    <s v="10576"/>
    <s v="10576"/>
    <s v="Gorgonzola Telino"/>
    <n v="12.5"/>
    <x v="8"/>
    <x v="0"/>
    <n v="250"/>
    <x v="0"/>
    <d v="1995-07-24T00:00:00"/>
    <s v=""/>
    <s v=""/>
  </r>
  <r>
    <x v="23"/>
    <x v="23"/>
    <s v="Miguel"/>
    <s v="Angel Paolino"/>
    <s v="Angel Paolino, Miguel"/>
    <s v="Angel Paolino, Miguel"/>
    <x v="0"/>
    <s v="no"/>
    <s v="no"/>
    <s v="TORTU"/>
    <n v="10576"/>
    <x v="45"/>
    <x v="45"/>
    <s v="TORTU_10576_Gula Malacca"/>
    <s v="10576"/>
    <s v="10576"/>
    <s v="Gula Malacca"/>
    <n v="19.45"/>
    <x v="11"/>
    <x v="0"/>
    <n v="408.45"/>
    <x v="0"/>
    <d v="1995-07-24T00:00:00"/>
    <s v=""/>
    <s v=""/>
  </r>
  <r>
    <x v="81"/>
    <x v="81"/>
    <s v="Helvetius"/>
    <s v="Nagy"/>
    <s v="Nagy, Helvetius"/>
    <s v="Nagy, Helvetius"/>
    <x v="0"/>
    <s v="no"/>
    <s v="no"/>
    <s v="TRAIH"/>
    <n v="10577"/>
    <x v="13"/>
    <x v="13"/>
    <s v="TRAIH_10577_Chartreuse verte"/>
    <s v="10577"/>
    <s v="10577"/>
    <s v="Chartreuse verte"/>
    <n v="18"/>
    <x v="1"/>
    <x v="0"/>
    <n v="180"/>
    <x v="0"/>
    <d v="1995-07-24T00:00:00"/>
    <s v=""/>
    <s v=""/>
  </r>
  <r>
    <x v="81"/>
    <x v="81"/>
    <s v="Helvetius"/>
    <s v="Nagy"/>
    <s v="Nagy, Helvetius"/>
    <s v="Nagy, Helvetius"/>
    <x v="0"/>
    <s v="no"/>
    <s v="no"/>
    <s v="TRAIH"/>
    <n v="10577"/>
    <x v="48"/>
    <x v="48"/>
    <s v="TRAIH_10577_Rhönbräu Klosterbier"/>
    <s v="10577"/>
    <s v="10577"/>
    <s v="Rhönbräu Klosterbier"/>
    <n v="7.75"/>
    <x v="8"/>
    <x v="0"/>
    <n v="155"/>
    <x v="0"/>
    <d v="1995-07-24T00:00:00"/>
    <s v=""/>
    <s v=""/>
  </r>
  <r>
    <x v="81"/>
    <x v="81"/>
    <s v="Helvetius"/>
    <s v="Nagy"/>
    <s v="Nagy, Helvetius"/>
    <s v="Nagy, Helvetius"/>
    <x v="0"/>
    <s v="no"/>
    <s v="no"/>
    <s v="TRAIH"/>
    <n v="10577"/>
    <x v="23"/>
    <x v="23"/>
    <s v="TRAIH_10577_Original Frankfurter grüne Soße"/>
    <s v="10577"/>
    <s v="10577"/>
    <s v="Original Frankfurter grüne Soße"/>
    <n v="13"/>
    <x v="27"/>
    <x v="0"/>
    <n v="234"/>
    <x v="0"/>
    <d v="1995-07-24T00:00:00"/>
    <s v=""/>
    <s v=""/>
  </r>
  <r>
    <x v="31"/>
    <x v="31"/>
    <s v="Victoria"/>
    <s v="Ashworth"/>
    <s v="Ashworth, Victoria"/>
    <s v="Ashworth, Victoria"/>
    <x v="0"/>
    <s v="no"/>
    <s v="no"/>
    <s v="BSBEV"/>
    <n v="10578"/>
    <x v="31"/>
    <x v="31"/>
    <s v="BSBEV_10578_Steeleye Stout"/>
    <s v="10578"/>
    <s v="10578"/>
    <s v="Steeleye Stout"/>
    <n v="18"/>
    <x v="8"/>
    <x v="0"/>
    <n v="360"/>
    <x v="0"/>
    <d v="1995-07-25T00:00:00"/>
    <s v=""/>
    <s v=""/>
  </r>
  <r>
    <x v="31"/>
    <x v="31"/>
    <s v="Victoria"/>
    <s v="Ashworth"/>
    <s v="Ashworth, Victoria"/>
    <s v="Ashworth, Victoria"/>
    <x v="0"/>
    <s v="no"/>
    <s v="no"/>
    <s v="BSBEV"/>
    <n v="10578"/>
    <x v="8"/>
    <x v="8"/>
    <s v="BSBEV_10578_Ravioli Angelo"/>
    <s v="10578"/>
    <s v="10578"/>
    <s v="Ravioli Angelo"/>
    <n v="19.5"/>
    <x v="7"/>
    <x v="0"/>
    <n v="117"/>
    <x v="0"/>
    <d v="1995-07-25T00:00:00"/>
    <s v=""/>
    <s v=""/>
  </r>
  <r>
    <x v="82"/>
    <x v="82"/>
    <s v="Jaime"/>
    <s v="Yorres"/>
    <s v="Yorres, Jaime"/>
    <s v="Yorres, Jaime"/>
    <x v="0"/>
    <s v="no"/>
    <s v="no"/>
    <s v="LETSS"/>
    <n v="10579"/>
    <x v="50"/>
    <x v="50"/>
    <s v="LETSS_10579_Genen Shouyu"/>
    <s v="10579"/>
    <s v="10579"/>
    <s v="Genen Shouyu"/>
    <n v="15.5"/>
    <x v="1"/>
    <x v="0"/>
    <n v="155"/>
    <x v="0"/>
    <d v="1995-07-26T00:00:00"/>
    <s v=""/>
    <s v=""/>
  </r>
  <r>
    <x v="82"/>
    <x v="82"/>
    <s v="Jaime"/>
    <s v="Yorres"/>
    <s v="Yorres, Jaime"/>
    <s v="Yorres, Jaime"/>
    <x v="0"/>
    <s v="no"/>
    <s v="no"/>
    <s v="LETSS"/>
    <n v="10579"/>
    <x v="48"/>
    <x v="48"/>
    <s v="LETSS_10579_Rhönbräu Klosterbier"/>
    <s v="10579"/>
    <s v="10579"/>
    <s v="Rhönbräu Klosterbier"/>
    <n v="7.75"/>
    <x v="11"/>
    <x v="0"/>
    <n v="162.75"/>
    <x v="0"/>
    <d v="1995-07-26T00:00:00"/>
    <s v=""/>
    <s v=""/>
  </r>
  <r>
    <x v="11"/>
    <x v="11"/>
    <s v="Henriette"/>
    <s v="Pfalzheim"/>
    <s v="Pfalzheim, Henriette"/>
    <s v="Pfalzheim, Henriette"/>
    <x v="0"/>
    <s v="no"/>
    <s v="no"/>
    <s v="OTTIK"/>
    <n v="10580"/>
    <x v="3"/>
    <x v="3"/>
    <s v="OTTIK_10580_Tofu"/>
    <s v="10580"/>
    <s v="10580"/>
    <s v="Tofu"/>
    <n v="23.25"/>
    <x v="6"/>
    <x v="2"/>
    <n v="331.3125"/>
    <x v="0"/>
    <d v="1995-07-27T00:00:00"/>
    <s v=""/>
    <s v=""/>
  </r>
  <r>
    <x v="11"/>
    <x v="11"/>
    <s v="Henriette"/>
    <s v="Pfalzheim"/>
    <s v="Pfalzheim, Henriette"/>
    <s v="Pfalzheim, Henriette"/>
    <x v="0"/>
    <s v="no"/>
    <s v="no"/>
    <s v="OTTIK"/>
    <n v="10580"/>
    <x v="5"/>
    <x v="5"/>
    <s v="OTTIK_10580_Jack's New England Clam Chowder"/>
    <s v="10580"/>
    <s v="10580"/>
    <s v="Jack's New England Clam Chowder"/>
    <n v="9.65"/>
    <x v="3"/>
    <x v="2"/>
    <n v="82.507500000000007"/>
    <x v="0"/>
    <d v="1995-07-27T00:00:00"/>
    <s v=""/>
    <s v=""/>
  </r>
  <r>
    <x v="11"/>
    <x v="11"/>
    <s v="Henriette"/>
    <s v="Pfalzheim"/>
    <s v="Pfalzheim, Henriette"/>
    <s v="Pfalzheim, Henriette"/>
    <x v="0"/>
    <s v="no"/>
    <s v="no"/>
    <s v="OTTIK"/>
    <n v="10580"/>
    <x v="6"/>
    <x v="6"/>
    <s v="OTTIK_10580_Louisiana Fiery Hot Pepper Sauce"/>
    <s v="10580"/>
    <s v="10580"/>
    <s v="Louisiana Fiery Hot Pepper Sauce"/>
    <n v="21.05"/>
    <x v="12"/>
    <x v="2"/>
    <n v="599.92499999999995"/>
    <x v="0"/>
    <d v="1995-07-27T00:00:00"/>
    <s v=""/>
    <s v=""/>
  </r>
  <r>
    <x v="52"/>
    <x v="52"/>
    <s v="Aria"/>
    <s v="Cruz"/>
    <s v="Cruz, Aria"/>
    <s v="Cruz, Aria"/>
    <x v="0"/>
    <s v="no"/>
    <s v="no"/>
    <s v="FAMIA"/>
    <n v="10581"/>
    <x v="48"/>
    <x v="48"/>
    <s v="FAMIA_10581_Rhönbräu Klosterbier"/>
    <s v="10581"/>
    <s v="10581"/>
    <s v="Rhönbräu Klosterbier"/>
    <n v="7.75"/>
    <x v="13"/>
    <x v="3"/>
    <n v="310"/>
    <x v="0"/>
    <d v="1995-07-27T00:00:00"/>
    <s v=""/>
    <s v=""/>
  </r>
  <r>
    <x v="76"/>
    <x v="76"/>
    <s v="Hanna"/>
    <s v="Moos"/>
    <s v="Moos, Hanna"/>
    <s v="Moos, Hanna"/>
    <x v="0"/>
    <s v="no"/>
    <s v="no"/>
    <s v="BLAUS"/>
    <n v="10582"/>
    <x v="8"/>
    <x v="8"/>
    <s v="BLAUS_10582_Ravioli Angelo"/>
    <s v="10582"/>
    <s v="10582"/>
    <s v="Ravioli Angelo"/>
    <n v="19.5"/>
    <x v="22"/>
    <x v="0"/>
    <n v="78"/>
    <x v="0"/>
    <d v="1995-07-28T00:00:00"/>
    <s v=""/>
    <s v=""/>
  </r>
  <r>
    <x v="76"/>
    <x v="76"/>
    <s v="Hanna"/>
    <s v="Moos"/>
    <s v="Moos, Hanna"/>
    <s v="Moos, Hanna"/>
    <x v="0"/>
    <s v="no"/>
    <s v="no"/>
    <s v="BLAUS"/>
    <n v="10582"/>
    <x v="38"/>
    <x v="38"/>
    <s v="BLAUS_10582_Lakkalikööri"/>
    <s v="10582"/>
    <s v="10582"/>
    <s v="Lakkalikööri"/>
    <n v="18"/>
    <x v="31"/>
    <x v="0"/>
    <n v="252"/>
    <x v="0"/>
    <d v="1995-07-28T00:00:00"/>
    <s v=""/>
    <s v=""/>
  </r>
  <r>
    <x v="16"/>
    <x v="16"/>
    <s v="Pirkko"/>
    <s v="Koskitalo"/>
    <s v="Koskitalo, Pirkko"/>
    <s v="Koskitalo, Pirkko"/>
    <x v="0"/>
    <s v="no"/>
    <s v="no"/>
    <s v="WARTH"/>
    <n v="10583"/>
    <x v="39"/>
    <x v="39"/>
    <s v="WARTH_10583_Thüringer Rostbratwurst"/>
    <s v="10583"/>
    <s v="10583"/>
    <s v="Thüringer Rostbratwurst"/>
    <n v="123.79"/>
    <x v="1"/>
    <x v="0"/>
    <n v="1237.9000000000001"/>
    <x v="0"/>
    <d v="1995-07-31T00:00:00"/>
    <s v=""/>
    <s v=""/>
  </r>
  <r>
    <x v="16"/>
    <x v="16"/>
    <s v="Pirkko"/>
    <s v="Koskitalo"/>
    <s v="Koskitalo, Pirkko"/>
    <s v="Koskitalo, Pirkko"/>
    <x v="0"/>
    <s v="no"/>
    <s v="no"/>
    <s v="WARTH"/>
    <n v="10583"/>
    <x v="11"/>
    <x v="11"/>
    <s v="WARTH_10583_Camembert Pierrot"/>
    <s v="10583"/>
    <s v="10583"/>
    <s v="Camembert Pierrot"/>
    <n v="34"/>
    <x v="23"/>
    <x v="1"/>
    <n v="693.6"/>
    <x v="0"/>
    <d v="1995-07-31T00:00:00"/>
    <s v=""/>
    <s v=""/>
  </r>
  <r>
    <x v="16"/>
    <x v="16"/>
    <s v="Pirkko"/>
    <s v="Koskitalo"/>
    <s v="Koskitalo, Pirkko"/>
    <s v="Koskitalo, Pirkko"/>
    <x v="0"/>
    <s v="no"/>
    <s v="no"/>
    <s v="WARTH"/>
    <n v="10583"/>
    <x v="60"/>
    <x v="60"/>
    <s v="WARTH_10583_Gudbrandsdalsost"/>
    <s v="10583"/>
    <s v="10583"/>
    <s v="Gudbrandsdalsost"/>
    <n v="36"/>
    <x v="1"/>
    <x v="1"/>
    <n v="306"/>
    <x v="0"/>
    <d v="1995-07-31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0584"/>
    <x v="12"/>
    <x v="12"/>
    <s v="BLONP_10584_Gorgonzola Telino"/>
    <s v="10584"/>
    <s v="10584"/>
    <s v="Gorgonzola Telino"/>
    <n v="12.5"/>
    <x v="13"/>
    <x v="2"/>
    <n v="593.75"/>
    <x v="0"/>
    <d v="1995-07-31T00:00:00"/>
    <s v=""/>
    <s v=""/>
  </r>
  <r>
    <x v="7"/>
    <x v="7"/>
    <s v="Paula"/>
    <s v="Parente"/>
    <s v="Parente, Paula"/>
    <s v="Parente, Paula"/>
    <x v="0"/>
    <s v="no"/>
    <s v="no"/>
    <s v="WELLI"/>
    <n v="10585"/>
    <x v="69"/>
    <x v="69"/>
    <s v="WELLI_10585_Zaanse koeken"/>
    <s v="10585"/>
    <s v="10585"/>
    <s v="Zaanse koeken"/>
    <n v="9.5"/>
    <x v="6"/>
    <x v="0"/>
    <n v="142.5"/>
    <x v="0"/>
    <d v="1995-08-01T00:00:00"/>
    <s v=""/>
    <s v=""/>
  </r>
  <r>
    <x v="30"/>
    <x v="30"/>
    <s v="Maurizio"/>
    <s v="Moroni"/>
    <s v="Moroni, Maurizio"/>
    <s v="Moroni, Maurizio"/>
    <x v="0"/>
    <s v="no"/>
    <s v="no"/>
    <s v="REGGC"/>
    <n v="10586"/>
    <x v="65"/>
    <x v="65"/>
    <s v="REGGC_10586_Filo Mix"/>
    <s v="10586"/>
    <s v="10586"/>
    <s v="Filo Mix"/>
    <n v="7"/>
    <x v="22"/>
    <x v="1"/>
    <n v="23.8"/>
    <x v="0"/>
    <d v="1995-08-02T00:00:00"/>
    <s v=""/>
    <s v=""/>
  </r>
  <r>
    <x v="12"/>
    <x v="12"/>
    <s v="Bernardo"/>
    <s v="Batista"/>
    <s v="Batista, Bernardo"/>
    <s v="Batista, Bernardo"/>
    <x v="0"/>
    <s v="no"/>
    <s v="no"/>
    <s v="QUEDE"/>
    <n v="10587"/>
    <x v="68"/>
    <x v="68"/>
    <s v="QUEDE_10587_Gumbär Gummibärchen"/>
    <s v="10587"/>
    <s v="10587"/>
    <s v="Gumbär Gummibärchen"/>
    <n v="31.23"/>
    <x v="7"/>
    <x v="0"/>
    <n v="187.38"/>
    <x v="0"/>
    <d v="1995-08-02T00:00:00"/>
    <s v=""/>
    <s v=""/>
  </r>
  <r>
    <x v="12"/>
    <x v="12"/>
    <s v="Bernardo"/>
    <s v="Batista"/>
    <s v="Batista, Bernardo"/>
    <s v="Batista, Bernardo"/>
    <x v="0"/>
    <s v="no"/>
    <s v="no"/>
    <s v="QUEDE"/>
    <n v="10587"/>
    <x v="31"/>
    <x v="31"/>
    <s v="QUEDE_10587_Steeleye Stout"/>
    <s v="10587"/>
    <s v="10587"/>
    <s v="Steeleye Stout"/>
    <n v="18"/>
    <x v="8"/>
    <x v="0"/>
    <n v="360"/>
    <x v="0"/>
    <d v="1995-08-02T00:00:00"/>
    <s v=""/>
    <s v=""/>
  </r>
  <r>
    <x v="12"/>
    <x v="12"/>
    <s v="Bernardo"/>
    <s v="Batista"/>
    <s v="Batista, Bernardo"/>
    <s v="Batista, Bernardo"/>
    <x v="0"/>
    <s v="no"/>
    <s v="no"/>
    <s v="QUEDE"/>
    <n v="10587"/>
    <x v="23"/>
    <x v="23"/>
    <s v="QUEDE_10587_Original Frankfurter grüne Soße"/>
    <s v="10587"/>
    <s v="10587"/>
    <s v="Original Frankfurter grüne Soße"/>
    <n v="13"/>
    <x v="8"/>
    <x v="0"/>
    <n v="260"/>
    <x v="0"/>
    <d v="1995-08-02T00:00:00"/>
    <s v=""/>
    <s v=""/>
  </r>
  <r>
    <x v="21"/>
    <x v="21"/>
    <s v="Horst"/>
    <s v="Kloss"/>
    <s v="Kloss, Horst"/>
    <s v="Kloss, Horst"/>
    <x v="0"/>
    <s v="no"/>
    <s v="no"/>
    <s v="QUICK"/>
    <n v="10588"/>
    <x v="59"/>
    <x v="59"/>
    <s v="QUICK_10588_Carnarvon Tigers"/>
    <s v="10588"/>
    <s v="10588"/>
    <s v="Carnarvon Tigers"/>
    <n v="62.5"/>
    <x v="4"/>
    <x v="3"/>
    <n v="2000"/>
    <x v="0"/>
    <d v="1995-08-03T00:00:00"/>
    <s v=""/>
    <s v=""/>
  </r>
  <r>
    <x v="21"/>
    <x v="21"/>
    <s v="Horst"/>
    <s v="Kloss"/>
    <s v="Kloss, Horst"/>
    <s v="Kloss, Horst"/>
    <x v="0"/>
    <s v="no"/>
    <s v="no"/>
    <s v="QUICK"/>
    <n v="10588"/>
    <x v="1"/>
    <x v="1"/>
    <s v="QUICK_10588_Singaporean Hokkien Fried Mee"/>
    <s v="10588"/>
    <s v="10588"/>
    <s v="Singaporean Hokkien Fried Mee"/>
    <n v="14"/>
    <x v="30"/>
    <x v="3"/>
    <n v="1120"/>
    <x v="0"/>
    <d v="1995-08-03T00:00:00"/>
    <s v=""/>
    <s v=""/>
  </r>
  <r>
    <x v="79"/>
    <x v="79"/>
    <s v="Howard"/>
    <s v="Snyder"/>
    <s v="Snyder, Howard"/>
    <s v="Snyder, Howard"/>
    <x v="0"/>
    <s v="no"/>
    <s v="no"/>
    <s v="GREAL"/>
    <n v="10589"/>
    <x v="31"/>
    <x v="31"/>
    <s v="GREAL_10589_Steeleye Stout"/>
    <s v="10589"/>
    <s v="10589"/>
    <s v="Steeleye Stout"/>
    <n v="18"/>
    <x v="22"/>
    <x v="0"/>
    <n v="72"/>
    <x v="0"/>
    <d v="1995-08-04T00:00:00"/>
    <s v=""/>
    <s v=""/>
  </r>
  <r>
    <x v="49"/>
    <x v="49"/>
    <s v="Jean"/>
    <s v="Fresnière"/>
    <s v="Fresnière, Jean"/>
    <s v="Fresnière, Jean"/>
    <x v="0"/>
    <s v="no"/>
    <s v="no"/>
    <s v="MEREP"/>
    <n v="10590"/>
    <x v="52"/>
    <x v="52"/>
    <s v="MEREP_10590_Chai"/>
    <s v="10590"/>
    <s v="10590"/>
    <s v="Chai"/>
    <n v="18"/>
    <x v="8"/>
    <x v="0"/>
    <n v="360"/>
    <x v="0"/>
    <d v="1995-08-07T00:00:00"/>
    <s v=""/>
    <s v=""/>
  </r>
  <r>
    <x v="49"/>
    <x v="49"/>
    <s v="Jean"/>
    <s v="Fresnière"/>
    <s v="Fresnière, Jean"/>
    <s v="Fresnière, Jean"/>
    <x v="0"/>
    <s v="no"/>
    <s v="no"/>
    <s v="MEREP"/>
    <n v="10590"/>
    <x v="23"/>
    <x v="23"/>
    <s v="MEREP_10590_Original Frankfurter grüne Soße"/>
    <s v="10590"/>
    <s v="10590"/>
    <s v="Original Frankfurter grüne Soße"/>
    <n v="13"/>
    <x v="18"/>
    <x v="2"/>
    <n v="741"/>
    <x v="0"/>
    <d v="1995-08-07T00:00:00"/>
    <s v=""/>
    <s v=""/>
  </r>
  <r>
    <x v="61"/>
    <x v="61"/>
    <s v="Palle"/>
    <s v="Ibsen"/>
    <s v="Ibsen, Palle"/>
    <s v="Ibsen, Palle"/>
    <x v="0"/>
    <s v="no"/>
    <s v="no"/>
    <s v="VAFFE"/>
    <n v="10591"/>
    <x v="57"/>
    <x v="57"/>
    <s v="VAFFE_10591_Aniseed Syrup"/>
    <s v="10591"/>
    <s v="10591"/>
    <s v="Aniseed Syrup"/>
    <n v="10"/>
    <x v="31"/>
    <x v="0"/>
    <n v="140"/>
    <x v="0"/>
    <d v="1995-08-07T00:00:00"/>
    <s v=""/>
    <s v=""/>
  </r>
  <r>
    <x v="61"/>
    <x v="61"/>
    <s v="Palle"/>
    <s v="Ibsen"/>
    <s v="Ibsen, Palle"/>
    <s v="Ibsen, Palle"/>
    <x v="0"/>
    <s v="no"/>
    <s v="no"/>
    <s v="VAFFE"/>
    <n v="10591"/>
    <x v="32"/>
    <x v="32"/>
    <s v="VAFFE_10591_Uncle Bob's Organic Dried Pears"/>
    <s v="10591"/>
    <s v="10591"/>
    <s v="Uncle Bob's Organic Dried Pears"/>
    <n v="30"/>
    <x v="1"/>
    <x v="0"/>
    <n v="300"/>
    <x v="0"/>
    <d v="1995-08-07T00:00:00"/>
    <s v=""/>
    <s v=""/>
  </r>
  <r>
    <x v="61"/>
    <x v="61"/>
    <s v="Palle"/>
    <s v="Ibsen"/>
    <s v="Ibsen, Palle"/>
    <s v="Ibsen, Palle"/>
    <x v="0"/>
    <s v="no"/>
    <s v="no"/>
    <s v="VAFFE"/>
    <n v="10591"/>
    <x v="55"/>
    <x v="55"/>
    <s v="VAFFE_10591_Tourtière"/>
    <s v="10591"/>
    <s v="10591"/>
    <s v="Tourtière"/>
    <n v="7.45"/>
    <x v="13"/>
    <x v="0"/>
    <n v="372.5"/>
    <x v="0"/>
    <d v="1995-08-07T00:00:00"/>
    <s v=""/>
    <s v=""/>
  </r>
  <r>
    <x v="26"/>
    <x v="26"/>
    <s v="Renate"/>
    <s v="Messner"/>
    <s v="Messner, Renate"/>
    <s v="Messner, Renate"/>
    <x v="0"/>
    <s v="no"/>
    <s v="no"/>
    <s v="LEHMS"/>
    <n v="10592"/>
    <x v="50"/>
    <x v="50"/>
    <s v="LEHMS_10592_Genen Shouyu"/>
    <s v="10592"/>
    <s v="10592"/>
    <s v="Genen Shouyu"/>
    <n v="15.5"/>
    <x v="9"/>
    <x v="2"/>
    <n v="368.125"/>
    <x v="0"/>
    <d v="1995-08-08T00:00:00"/>
    <s v=""/>
    <s v=""/>
  </r>
  <r>
    <x v="26"/>
    <x v="26"/>
    <s v="Renate"/>
    <s v="Messner"/>
    <s v="Messner, Renate"/>
    <s v="Messner, Renate"/>
    <x v="0"/>
    <s v="no"/>
    <s v="no"/>
    <s v="LEHMS"/>
    <n v="10592"/>
    <x v="68"/>
    <x v="68"/>
    <s v="LEHMS_10592_Gumbär Gummibärchen"/>
    <s v="10592"/>
    <s v="10592"/>
    <s v="Gumbär Gummibärchen"/>
    <n v="31.23"/>
    <x v="2"/>
    <x v="2"/>
    <n v="148.3425"/>
    <x v="0"/>
    <d v="1995-08-08T00:00:00"/>
    <s v=""/>
    <s v=""/>
  </r>
  <r>
    <x v="26"/>
    <x v="26"/>
    <s v="Renate"/>
    <s v="Messner"/>
    <s v="Messner, Renate"/>
    <s v="Messner, Renate"/>
    <x v="0"/>
    <s v="no"/>
    <s v="no"/>
    <s v="LEHMS"/>
    <n v="10593"/>
    <x v="9"/>
    <x v="9"/>
    <s v="LEHMS_10593_Sir Rodney's Marmalade"/>
    <s v="10593"/>
    <s v="10593"/>
    <s v="Sir Rodney's Marmalade"/>
    <n v="81"/>
    <x v="11"/>
    <x v="3"/>
    <n v="1360.8000000000002"/>
    <x v="0"/>
    <d v="1995-08-09T00:00:00"/>
    <s v=""/>
    <s v=""/>
  </r>
  <r>
    <x v="26"/>
    <x v="26"/>
    <s v="Renate"/>
    <s v="Messner"/>
    <s v="Messner, Renate"/>
    <s v="Messner, Renate"/>
    <x v="0"/>
    <s v="no"/>
    <s v="no"/>
    <s v="LEHMS"/>
    <n v="10593"/>
    <x v="60"/>
    <x v="60"/>
    <s v="LEHMS_10593_Gudbrandsdalsost"/>
    <s v="10593"/>
    <s v="10593"/>
    <s v="Gudbrandsdalsost"/>
    <n v="36"/>
    <x v="8"/>
    <x v="3"/>
    <n v="576"/>
    <x v="0"/>
    <d v="1995-08-09T00:00:00"/>
    <s v=""/>
    <s v=""/>
  </r>
  <r>
    <x v="26"/>
    <x v="26"/>
    <s v="Renate"/>
    <s v="Messner"/>
    <s v="Messner, Renate"/>
    <s v="Messner, Renate"/>
    <x v="0"/>
    <s v="no"/>
    <s v="no"/>
    <s v="LEHMS"/>
    <n v="10593"/>
    <x v="38"/>
    <x v="38"/>
    <s v="LEHMS_10593_Lakkalikööri"/>
    <s v="10593"/>
    <s v="10593"/>
    <s v="Lakkalikööri"/>
    <n v="18"/>
    <x v="22"/>
    <x v="3"/>
    <n v="57.6"/>
    <x v="0"/>
    <d v="1995-08-09T00:00:00"/>
    <s v=""/>
    <s v=""/>
  </r>
  <r>
    <x v="37"/>
    <x v="37"/>
    <s v="Rene"/>
    <s v="Phillips"/>
    <s v="Phillips, Rene"/>
    <s v="Phillips, Rene"/>
    <x v="0"/>
    <s v="no"/>
    <s v="no"/>
    <s v="OLDWO"/>
    <n v="10594"/>
    <x v="65"/>
    <x v="65"/>
    <s v="OLDWO_10594_Filo Mix"/>
    <s v="10594"/>
    <s v="10594"/>
    <s v="Filo Mix"/>
    <n v="7"/>
    <x v="23"/>
    <x v="0"/>
    <n v="168"/>
    <x v="0"/>
    <d v="1995-08-09T00:00:00"/>
    <s v=""/>
    <s v=""/>
  </r>
  <r>
    <x v="37"/>
    <x v="37"/>
    <s v="Rene"/>
    <s v="Phillips"/>
    <s v="Phillips, Rene"/>
    <s v="Phillips, Rene"/>
    <x v="0"/>
    <s v="no"/>
    <s v="no"/>
    <s v="OLDWO"/>
    <n v="10594"/>
    <x v="64"/>
    <x v="64"/>
    <s v="OLDWO_10594_Escargots de Bourgogne"/>
    <s v="10594"/>
    <s v="10594"/>
    <s v="Escargots de Bourgogne"/>
    <n v="13.25"/>
    <x v="12"/>
    <x v="0"/>
    <n v="397.5"/>
    <x v="0"/>
    <d v="1995-08-09T00:00:00"/>
    <s v=""/>
    <s v=""/>
  </r>
  <r>
    <x v="9"/>
    <x v="9"/>
    <s v="Roland"/>
    <s v="Mendel"/>
    <s v="Mendel, Roland"/>
    <s v="Mendel, Roland"/>
    <x v="0"/>
    <s v="no"/>
    <s v="no"/>
    <s v="ERNSH"/>
    <n v="10595"/>
    <x v="31"/>
    <x v="31"/>
    <s v="ERNSH_10595_Steeleye Stout"/>
    <s v="10595"/>
    <s v="10595"/>
    <s v="Steeleye Stout"/>
    <n v="18"/>
    <x v="12"/>
    <x v="4"/>
    <n v="405"/>
    <x v="0"/>
    <d v="1995-08-10T00:00:00"/>
    <s v=""/>
    <s v=""/>
  </r>
  <r>
    <x v="9"/>
    <x v="9"/>
    <s v="Roland"/>
    <s v="Mendel"/>
    <s v="Mendel, Roland"/>
    <s v="Mendel, Roland"/>
    <x v="0"/>
    <s v="no"/>
    <s v="moderate"/>
    <s v="ERNSH"/>
    <n v="10595"/>
    <x v="75"/>
    <x v="75"/>
    <s v="ERNSH_10595_Sirop d'érable"/>
    <s v="10595"/>
    <s v="10595"/>
    <s v="Sirop d'érable"/>
    <n v="28.5"/>
    <x v="40"/>
    <x v="4"/>
    <n v="2565"/>
    <x v="0"/>
    <d v="1995-08-10T00:00:00"/>
    <s v=""/>
    <s v=""/>
  </r>
  <r>
    <x v="9"/>
    <x v="9"/>
    <s v="Roland"/>
    <s v="Mendel"/>
    <s v="Mendel, Roland"/>
    <s v="Mendel, Roland"/>
    <x v="0"/>
    <s v="no"/>
    <s v="no"/>
    <s v="ERNSH"/>
    <n v="10595"/>
    <x v="60"/>
    <x v="60"/>
    <s v="ERNSH_10595_Gudbrandsdalsost"/>
    <s v="10595"/>
    <s v="10595"/>
    <s v="Gudbrandsdalsost"/>
    <n v="36"/>
    <x v="14"/>
    <x v="4"/>
    <n v="1755"/>
    <x v="0"/>
    <d v="1995-08-10T00:00:00"/>
    <s v=""/>
    <s v=""/>
  </r>
  <r>
    <x v="19"/>
    <x v="19"/>
    <s v="Karl"/>
    <s v="Jablonski"/>
    <s v="Jablonski, Karl"/>
    <s v="Jablonski, Karl"/>
    <x v="0"/>
    <s v="no"/>
    <s v="no"/>
    <s v="WHITC"/>
    <n v="10596"/>
    <x v="33"/>
    <x v="33"/>
    <s v="WHITC_10596_Gnocchi di nonna Alice"/>
    <s v="10596"/>
    <s v="10596"/>
    <s v="Gnocchi di nonna Alice"/>
    <n v="38"/>
    <x v="2"/>
    <x v="3"/>
    <n v="152"/>
    <x v="0"/>
    <d v="1995-08-11T00:00:00"/>
    <s v=""/>
    <s v=""/>
  </r>
  <r>
    <x v="19"/>
    <x v="19"/>
    <s v="Karl"/>
    <s v="Jablonski"/>
    <s v="Jablonski, Karl"/>
    <s v="Jablonski, Karl"/>
    <x v="0"/>
    <s v="no"/>
    <s v="no"/>
    <s v="WHITC"/>
    <n v="10596"/>
    <x v="46"/>
    <x v="46"/>
    <s v="WHITC_10596_Vegie-spread"/>
    <s v="10596"/>
    <s v="10596"/>
    <s v="Vegie-spread"/>
    <n v="43.9"/>
    <x v="23"/>
    <x v="3"/>
    <n v="842.88"/>
    <x v="0"/>
    <d v="1995-08-11T00:00:00"/>
    <s v=""/>
    <s v=""/>
  </r>
  <r>
    <x v="19"/>
    <x v="19"/>
    <s v="Karl"/>
    <s v="Jablonski"/>
    <s v="Jablonski, Karl"/>
    <s v="Jablonski, Karl"/>
    <x v="0"/>
    <s v="no"/>
    <s v="no"/>
    <s v="WHITC"/>
    <n v="10596"/>
    <x v="48"/>
    <x v="48"/>
    <s v="WHITC_10596_Rhönbräu Klosterbier"/>
    <s v="10596"/>
    <s v="10596"/>
    <s v="Rhönbräu Klosterbier"/>
    <n v="7.75"/>
    <x v="12"/>
    <x v="3"/>
    <n v="186"/>
    <x v="0"/>
    <d v="1995-08-11T00:00:00"/>
    <s v=""/>
    <s v=""/>
  </r>
  <r>
    <x v="54"/>
    <x v="54"/>
    <s v="Georg"/>
    <s v="Pipps"/>
    <s v="Pipps, Georg"/>
    <s v="Pipps, Georg"/>
    <x v="0"/>
    <s v="no"/>
    <s v="no"/>
    <s v="PICCO"/>
    <n v="10597"/>
    <x v="15"/>
    <x v="15"/>
    <s v="PICCO_10597_Guaraná Fantástica"/>
    <s v="10597"/>
    <s v="10597"/>
    <s v="Guaraná Fantástica"/>
    <n v="4.5"/>
    <x v="5"/>
    <x v="3"/>
    <n v="126"/>
    <x v="0"/>
    <d v="1995-08-11T00:00:00"/>
    <s v=""/>
    <s v=""/>
  </r>
  <r>
    <x v="54"/>
    <x v="54"/>
    <s v="Georg"/>
    <s v="Pipps"/>
    <s v="Pipps, Georg"/>
    <s v="Pipps, Georg"/>
    <x v="0"/>
    <s v="no"/>
    <s v="no"/>
    <s v="PICCO"/>
    <n v="10597"/>
    <x v="8"/>
    <x v="8"/>
    <s v="PICCO_10597_Ravioli Angelo"/>
    <s v="10597"/>
    <s v="10597"/>
    <s v="Ravioli Angelo"/>
    <n v="19.5"/>
    <x v="8"/>
    <x v="0"/>
    <n v="390"/>
    <x v="0"/>
    <d v="1995-08-11T00:00:00"/>
    <s v=""/>
    <s v=""/>
  </r>
  <r>
    <x v="54"/>
    <x v="54"/>
    <s v="Georg"/>
    <s v="Pipps"/>
    <s v="Pipps, Georg"/>
    <s v="Pipps, Georg"/>
    <x v="0"/>
    <s v="no"/>
    <s v="no"/>
    <s v="PICCO"/>
    <n v="10597"/>
    <x v="6"/>
    <x v="6"/>
    <s v="PICCO_10597_Louisiana Fiery Hot Pepper Sauce"/>
    <s v="10597"/>
    <s v="10597"/>
    <s v="Louisiana Fiery Hot Pepper Sauce"/>
    <n v="21.05"/>
    <x v="0"/>
    <x v="3"/>
    <n v="202.08000000000004"/>
    <x v="0"/>
    <d v="1995-08-11T00:00:00"/>
    <s v=""/>
    <s v=""/>
  </r>
  <r>
    <x v="13"/>
    <x v="13"/>
    <s v="Paula"/>
    <s v="Wilson"/>
    <s v="Wilson, Paula"/>
    <s v="Wilson, Paula"/>
    <x v="0"/>
    <s v="no"/>
    <s v="no"/>
    <s v="RATTC"/>
    <n v="10598"/>
    <x v="24"/>
    <x v="24"/>
    <s v="RATTC_10598_Schoggi Schokolade"/>
    <s v="10598"/>
    <s v="10598"/>
    <s v="Schoggi Schokolade"/>
    <n v="43.9"/>
    <x v="13"/>
    <x v="0"/>
    <n v="2195"/>
    <x v="0"/>
    <d v="1995-08-14T00:00:00"/>
    <s v=""/>
    <s v=""/>
  </r>
  <r>
    <x v="13"/>
    <x v="13"/>
    <s v="Paula"/>
    <s v="Wilson"/>
    <s v="Wilson, Paula"/>
    <s v="Wilson, Paula"/>
    <x v="0"/>
    <s v="no"/>
    <s v="no"/>
    <s v="RATTC"/>
    <n v="10598"/>
    <x v="42"/>
    <x v="42"/>
    <s v="RATTC_10598_Fløtemysost"/>
    <s v="10598"/>
    <s v="10598"/>
    <s v="Fløtemysost"/>
    <n v="21.5"/>
    <x v="3"/>
    <x v="0"/>
    <n v="193.5"/>
    <x v="0"/>
    <d v="1995-08-14T00:00:00"/>
    <s v=""/>
    <s v=""/>
  </r>
  <r>
    <x v="31"/>
    <x v="31"/>
    <s v="Victoria"/>
    <s v="Ashworth"/>
    <s v="Ashworth, Victoria"/>
    <s v="Ashworth, Victoria"/>
    <x v="0"/>
    <s v="no"/>
    <s v="no"/>
    <s v="BSBEV"/>
    <n v="10599"/>
    <x v="29"/>
    <x v="29"/>
    <s v="BSBEV_10599_Tarte au sucre"/>
    <s v="10599"/>
    <s v="10599"/>
    <s v="Tarte au sucre"/>
    <n v="49.3"/>
    <x v="1"/>
    <x v="0"/>
    <n v="493"/>
    <x v="0"/>
    <d v="1995-08-15T00:00:00"/>
    <s v=""/>
    <s v=""/>
  </r>
  <r>
    <x v="64"/>
    <x v="64"/>
    <s v="Yoshi"/>
    <s v="Latimer"/>
    <s v="Latimer, Yoshi"/>
    <s v="Latimer, Yoshi"/>
    <x v="0"/>
    <s v="no"/>
    <s v="no"/>
    <s v="HUNGC"/>
    <n v="10600"/>
    <x v="55"/>
    <x v="55"/>
    <s v="HUNGC_10600_Tourtière"/>
    <s v="10600"/>
    <s v="10600"/>
    <s v="Tourtière"/>
    <n v="7.45"/>
    <x v="22"/>
    <x v="0"/>
    <n v="29.8"/>
    <x v="0"/>
    <d v="1995-08-16T00:00:00"/>
    <s v=""/>
    <s v=""/>
  </r>
  <r>
    <x v="64"/>
    <x v="64"/>
    <s v="Yoshi"/>
    <s v="Latimer"/>
    <s v="Latimer, Yoshi"/>
    <s v="Latimer, Yoshi"/>
    <x v="0"/>
    <s v="no"/>
    <s v="no"/>
    <s v="HUNGC"/>
    <n v="10600"/>
    <x v="47"/>
    <x v="47"/>
    <s v="HUNGC_10600_Röd Kaviar"/>
    <s v="10600"/>
    <s v="10600"/>
    <s v="Röd Kaviar"/>
    <n v="15"/>
    <x v="12"/>
    <x v="0"/>
    <n v="450"/>
    <x v="0"/>
    <d v="1995-08-16T00:00:00"/>
    <s v=""/>
    <s v=""/>
  </r>
  <r>
    <x v="8"/>
    <x v="8"/>
    <s v="Carlos"/>
    <s v="Hernández"/>
    <s v="Hernández, Carlos"/>
    <s v="Hernández, Carlos"/>
    <x v="0"/>
    <s v="no"/>
    <s v="no"/>
    <s v="HILAA"/>
    <n v="10601"/>
    <x v="43"/>
    <x v="43"/>
    <s v="HILAA_10601_Konbu"/>
    <s v="10601"/>
    <s v="10601"/>
    <s v="Konbu"/>
    <n v="6"/>
    <x v="18"/>
    <x v="0"/>
    <n v="360"/>
    <x v="0"/>
    <d v="1995-08-16T00:00:00"/>
    <s v=""/>
    <s v=""/>
  </r>
  <r>
    <x v="8"/>
    <x v="8"/>
    <s v="Carlos"/>
    <s v="Hernández"/>
    <s v="Hernández, Carlos"/>
    <s v="Hernández, Carlos"/>
    <x v="0"/>
    <s v="no"/>
    <s v="no"/>
    <s v="HILAA"/>
    <n v="10601"/>
    <x v="21"/>
    <x v="21"/>
    <s v="HILAA_10601_Raclette Courdavault"/>
    <s v="10601"/>
    <s v="10601"/>
    <s v="Raclette Courdavault"/>
    <n v="55"/>
    <x v="5"/>
    <x v="0"/>
    <n v="1925"/>
    <x v="0"/>
    <d v="1995-08-16T00:00:00"/>
    <s v=""/>
    <s v=""/>
  </r>
  <r>
    <x v="61"/>
    <x v="61"/>
    <s v="Palle"/>
    <s v="Ibsen"/>
    <s v="Ibsen, Palle"/>
    <s v="Ibsen, Palle"/>
    <x v="0"/>
    <s v="no"/>
    <s v="no"/>
    <s v="VAFFE"/>
    <n v="10602"/>
    <x v="23"/>
    <x v="23"/>
    <s v="VAFFE_10602_Original Frankfurter grüne Soße"/>
    <s v="10602"/>
    <s v="10602"/>
    <s v="Original Frankfurter grüne Soße"/>
    <n v="13"/>
    <x v="2"/>
    <x v="4"/>
    <n v="48.75"/>
    <x v="0"/>
    <d v="1995-08-17T00:00:00"/>
    <s v=""/>
    <s v=""/>
  </r>
  <r>
    <x v="45"/>
    <x v="45"/>
    <s v="Jose"/>
    <s v="Pavarotti"/>
    <s v="Pavarotti, Jose"/>
    <s v="Pavarotti, Jose"/>
    <x v="0"/>
    <s v="no"/>
    <s v="no"/>
    <s v="SAVEA"/>
    <n v="10603"/>
    <x v="7"/>
    <x v="7"/>
    <s v="SAVEA_10603_Gustaf's Knäckebröd"/>
    <s v="10603"/>
    <s v="10603"/>
    <s v="Gustaf's Knäckebröd"/>
    <n v="21"/>
    <x v="33"/>
    <x v="0"/>
    <n v="1008"/>
    <x v="0"/>
    <d v="1995-08-18T00:00:00"/>
    <s v=""/>
    <s v=""/>
  </r>
  <r>
    <x v="45"/>
    <x v="45"/>
    <s v="Jose"/>
    <s v="Pavarotti"/>
    <s v="Pavarotti, Jose"/>
    <s v="Pavarotti, Jose"/>
    <x v="0"/>
    <s v="no"/>
    <s v="no"/>
    <s v="SAVEA"/>
    <n v="10603"/>
    <x v="14"/>
    <x v="14"/>
    <s v="SAVEA_10603_Maxilaku"/>
    <s v="10603"/>
    <s v="10603"/>
    <s v="Maxilaku"/>
    <n v="20"/>
    <x v="9"/>
    <x v="2"/>
    <n v="475"/>
    <x v="0"/>
    <d v="1995-08-18T00:00:00"/>
    <s v=""/>
    <s v=""/>
  </r>
  <r>
    <x v="47"/>
    <x v="47"/>
    <s v="Lino"/>
    <s v="Rodriguez"/>
    <s v="Rodriguez, Lino"/>
    <s v="Rodriguez, Lino"/>
    <x v="0"/>
    <s v="no"/>
    <s v="no"/>
    <s v="FURIB"/>
    <n v="10604"/>
    <x v="74"/>
    <x v="74"/>
    <s v="FURIB_10604_Chocolade"/>
    <s v="10604"/>
    <s v="10604"/>
    <s v="Chocolade"/>
    <n v="12.75"/>
    <x v="7"/>
    <x v="5"/>
    <n v="68.850000000000009"/>
    <x v="0"/>
    <d v="1995-08-18T00:00:00"/>
    <s v=""/>
    <s v=""/>
  </r>
  <r>
    <x v="47"/>
    <x v="47"/>
    <s v="Lino"/>
    <s v="Rodriguez"/>
    <s v="Rodriguez, Lino"/>
    <s v="Rodriguez, Lino"/>
    <x v="0"/>
    <s v="no"/>
    <s v="no"/>
    <s v="FURIB"/>
    <n v="10604"/>
    <x v="38"/>
    <x v="38"/>
    <s v="FURIB_10604_Lakkalikööri"/>
    <s v="10604"/>
    <s v="10604"/>
    <s v="Lakkalikööri"/>
    <n v="18"/>
    <x v="1"/>
    <x v="5"/>
    <n v="162"/>
    <x v="0"/>
    <d v="1995-08-18T00:00:00"/>
    <s v=""/>
    <s v=""/>
  </r>
  <r>
    <x v="49"/>
    <x v="49"/>
    <s v="Jean"/>
    <s v="Fresnière"/>
    <s v="Fresnière, Jean"/>
    <s v="Fresnière, Jean"/>
    <x v="0"/>
    <s v="no"/>
    <s v="no"/>
    <s v="MEREP"/>
    <n v="10605"/>
    <x v="19"/>
    <x v="19"/>
    <s v="MEREP_10605_Pavlova"/>
    <s v="10605"/>
    <s v="10605"/>
    <s v="Pavlova"/>
    <n v="17.45"/>
    <x v="12"/>
    <x v="2"/>
    <n v="497.32499999999999"/>
    <x v="0"/>
    <d v="1995-08-21T00:00:00"/>
    <s v=""/>
    <s v=""/>
  </r>
  <r>
    <x v="49"/>
    <x v="49"/>
    <s v="Jean"/>
    <s v="Fresnière"/>
    <s v="Fresnière, Jean"/>
    <s v="Fresnière, Jean"/>
    <x v="0"/>
    <s v="no"/>
    <s v="no"/>
    <s v="MEREP"/>
    <n v="10605"/>
    <x v="21"/>
    <x v="21"/>
    <s v="MEREP_10605_Raclette Courdavault"/>
    <s v="10605"/>
    <s v="10605"/>
    <s v="Raclette Courdavault"/>
    <n v="55"/>
    <x v="8"/>
    <x v="2"/>
    <n v="1045"/>
    <x v="0"/>
    <d v="1995-08-21T00:00:00"/>
    <s v=""/>
    <s v=""/>
  </r>
  <r>
    <x v="49"/>
    <x v="49"/>
    <s v="Jean"/>
    <s v="Fresnière"/>
    <s v="Fresnière, Jean"/>
    <s v="Fresnière, Jean"/>
    <x v="0"/>
    <s v="no"/>
    <s v="no"/>
    <s v="MEREP"/>
    <n v="10605"/>
    <x v="11"/>
    <x v="11"/>
    <s v="MEREP_10605_Camembert Pierrot"/>
    <s v="10605"/>
    <s v="10605"/>
    <s v="Camembert Pierrot"/>
    <n v="34"/>
    <x v="21"/>
    <x v="2"/>
    <n v="2261"/>
    <x v="0"/>
    <d v="1995-08-21T00:00:00"/>
    <s v=""/>
    <s v=""/>
  </r>
  <r>
    <x v="49"/>
    <x v="49"/>
    <s v="Jean"/>
    <s v="Fresnière"/>
    <s v="Fresnière, Jean"/>
    <s v="Fresnière, Jean"/>
    <x v="0"/>
    <s v="no"/>
    <s v="no"/>
    <s v="MEREP"/>
    <n v="10605"/>
    <x v="42"/>
    <x v="42"/>
    <s v="MEREP_10605_Fløtemysost"/>
    <s v="10605"/>
    <s v="10605"/>
    <s v="Fløtemysost"/>
    <n v="21.5"/>
    <x v="6"/>
    <x v="2"/>
    <n v="306.375"/>
    <x v="0"/>
    <d v="1995-08-21T00:00:00"/>
    <s v=""/>
    <s v=""/>
  </r>
  <r>
    <x v="33"/>
    <x v="33"/>
    <s v="Anabela"/>
    <s v="Domingues"/>
    <s v="Domingues, Anabela"/>
    <s v="Domingues, Anabela"/>
    <x v="0"/>
    <s v="no"/>
    <s v="no"/>
    <s v="TRADH"/>
    <n v="10606"/>
    <x v="62"/>
    <x v="62"/>
    <s v="TRADH_10606_Chef Anton's Cajun Seasoning"/>
    <s v="10606"/>
    <s v="10606"/>
    <s v="Chef Anton's Cajun Seasoning"/>
    <n v="22"/>
    <x v="8"/>
    <x v="3"/>
    <n v="352"/>
    <x v="0"/>
    <d v="1995-08-22T00:00:00"/>
    <s v=""/>
    <s v=""/>
  </r>
  <r>
    <x v="33"/>
    <x v="33"/>
    <s v="Anabela"/>
    <s v="Domingues"/>
    <s v="Domingues, Anabela"/>
    <s v="Domingues, Anabela"/>
    <x v="0"/>
    <s v="no"/>
    <s v="no"/>
    <s v="TRADH"/>
    <n v="10606"/>
    <x v="16"/>
    <x v="16"/>
    <s v="TRADH_10606_Pâté chinois"/>
    <s v="10606"/>
    <s v="10606"/>
    <s v="Pâté chinois"/>
    <n v="24"/>
    <x v="8"/>
    <x v="3"/>
    <n v="384"/>
    <x v="0"/>
    <d v="1995-08-22T00:00:00"/>
    <s v=""/>
    <s v=""/>
  </r>
  <r>
    <x v="33"/>
    <x v="33"/>
    <s v="Anabela"/>
    <s v="Domingues"/>
    <s v="Domingues, Anabela"/>
    <s v="Domingues, Anabela"/>
    <x v="0"/>
    <s v="no"/>
    <s v="no"/>
    <s v="TRADH"/>
    <n v="10606"/>
    <x v="29"/>
    <x v="29"/>
    <s v="TRADH_10606_Tarte au sucre"/>
    <s v="10606"/>
    <s v="10606"/>
    <s v="Tarte au sucre"/>
    <n v="49.3"/>
    <x v="1"/>
    <x v="3"/>
    <n v="394.40000000000003"/>
    <x v="0"/>
    <d v="1995-08-22T00:00:00"/>
    <s v=""/>
    <s v=""/>
  </r>
  <r>
    <x v="45"/>
    <x v="45"/>
    <s v="Jose"/>
    <s v="Pavarotti"/>
    <s v="Pavarotti, Jose"/>
    <s v="Pavarotti, Jose"/>
    <x v="0"/>
    <s v="no"/>
    <s v="no"/>
    <s v="SAVEA"/>
    <n v="10607"/>
    <x v="32"/>
    <x v="32"/>
    <s v="SAVEA_10607_Uncle Bob's Organic Dried Pears"/>
    <s v="10607"/>
    <s v="10607"/>
    <s v="Uncle Bob's Organic Dried Pears"/>
    <n v="30"/>
    <x v="29"/>
    <x v="0"/>
    <n v="1350"/>
    <x v="0"/>
    <d v="1995-08-22T00:00:00"/>
    <s v=""/>
    <s v=""/>
  </r>
  <r>
    <x v="45"/>
    <x v="45"/>
    <s v="Jose"/>
    <s v="Pavarotti"/>
    <s v="Pavarotti, Jose"/>
    <s v="Pavarotti, Jose"/>
    <x v="1"/>
    <s v="yes"/>
    <s v="yes"/>
    <s v="SAVEA"/>
    <n v="10607"/>
    <x v="35"/>
    <x v="35"/>
    <s v="SAVEA_10607_Alice Mutton"/>
    <s v="10607"/>
    <s v="10607"/>
    <s v="Alice Mutton"/>
    <n v="39"/>
    <x v="30"/>
    <x v="0"/>
    <n v="3900"/>
    <x v="0"/>
    <d v="1995-08-22T00:00:00"/>
    <s v=""/>
    <s v=""/>
  </r>
  <r>
    <x v="45"/>
    <x v="45"/>
    <s v="Jose"/>
    <s v="Pavarotti"/>
    <s v="Pavarotti, Jose"/>
    <s v="Pavarotti, Jose"/>
    <x v="0"/>
    <s v="no"/>
    <s v="no"/>
    <s v="SAVEA"/>
    <n v="10607"/>
    <x v="10"/>
    <x v="10"/>
    <s v="SAVEA_10607_Geitost"/>
    <s v="10607"/>
    <s v="10607"/>
    <s v="Geitost"/>
    <n v="2.5"/>
    <x v="31"/>
    <x v="0"/>
    <n v="35"/>
    <x v="0"/>
    <d v="1995-08-22T00:00:00"/>
    <s v=""/>
    <s v=""/>
  </r>
  <r>
    <x v="45"/>
    <x v="45"/>
    <s v="Jose"/>
    <s v="Pavarotti"/>
    <s v="Pavarotti, Jose"/>
    <s v="Pavarotti, Jose"/>
    <x v="0"/>
    <s v="no"/>
    <s v="no"/>
    <s v="SAVEA"/>
    <n v="10607"/>
    <x v="37"/>
    <x v="37"/>
    <s v="SAVEA_10607_Boston Crab Meat"/>
    <s v="10607"/>
    <s v="10607"/>
    <s v="Boston Crab Meat"/>
    <n v="18.399999999999999"/>
    <x v="10"/>
    <x v="0"/>
    <n v="772.8"/>
    <x v="0"/>
    <d v="1995-08-22T00:00:00"/>
    <s v=""/>
    <s v=""/>
  </r>
  <r>
    <x v="45"/>
    <x v="45"/>
    <s v="Jose"/>
    <s v="Pavarotti"/>
    <s v="Pavarotti, Jose"/>
    <s v="Pavarotti, Jose"/>
    <x v="0"/>
    <s v="no"/>
    <s v="no"/>
    <s v="SAVEA"/>
    <n v="10607"/>
    <x v="2"/>
    <x v="2"/>
    <s v="SAVEA_10607_Mozzarella di Giovanni"/>
    <s v="10607"/>
    <s v="10607"/>
    <s v="Mozzarella di Giovanni"/>
    <n v="34.799999999999997"/>
    <x v="0"/>
    <x v="0"/>
    <n v="417.59999999999997"/>
    <x v="0"/>
    <d v="1995-08-22T00:00:00"/>
    <s v=""/>
    <s v=""/>
  </r>
  <r>
    <x v="1"/>
    <x v="1"/>
    <s v="Karin"/>
    <s v="Josephs"/>
    <s v="Josephs, Karin"/>
    <s v="Josephs, Karin"/>
    <x v="0"/>
    <s v="no"/>
    <s v="no"/>
    <s v="TOMSP"/>
    <n v="10608"/>
    <x v="33"/>
    <x v="33"/>
    <s v="TOMSP_10608_Gnocchi di nonna Alice"/>
    <s v="10608"/>
    <s v="10608"/>
    <s v="Gnocchi di nonna Alice"/>
    <n v="38"/>
    <x v="19"/>
    <x v="0"/>
    <n v="1064"/>
    <x v="0"/>
    <d v="1995-08-23T00:00:00"/>
    <s v=""/>
    <s v=""/>
  </r>
  <r>
    <x v="41"/>
    <x v="41"/>
    <s v="Janine"/>
    <s v="Labrune"/>
    <s v="Labrune, Janine"/>
    <s v="Labrune, Janine"/>
    <x v="0"/>
    <s v="no"/>
    <s v="no"/>
    <s v="DUMON"/>
    <n v="10609"/>
    <x v="52"/>
    <x v="52"/>
    <s v="DUMON_10609_Chai"/>
    <s v="10609"/>
    <s v="10609"/>
    <s v="Chai"/>
    <n v="18"/>
    <x v="28"/>
    <x v="0"/>
    <n v="54"/>
    <x v="0"/>
    <d v="1995-08-24T00:00:00"/>
    <s v=""/>
    <s v=""/>
  </r>
  <r>
    <x v="41"/>
    <x v="41"/>
    <s v="Janine"/>
    <s v="Labrune"/>
    <s v="Labrune, Janine"/>
    <s v="Labrune, Janine"/>
    <x v="0"/>
    <s v="no"/>
    <s v="no"/>
    <s v="DUMON"/>
    <n v="10609"/>
    <x v="41"/>
    <x v="41"/>
    <s v="DUMON_10609_Ikura"/>
    <s v="10609"/>
    <s v="10609"/>
    <s v="Ikura"/>
    <n v="31"/>
    <x v="1"/>
    <x v="0"/>
    <n v="310"/>
    <x v="0"/>
    <d v="1995-08-24T00:00:00"/>
    <s v=""/>
    <s v=""/>
  </r>
  <r>
    <x v="41"/>
    <x v="41"/>
    <s v="Janine"/>
    <s v="Labrune"/>
    <s v="Labrune, Janine"/>
    <s v="Labrune, Janine"/>
    <x v="0"/>
    <s v="no"/>
    <s v="no"/>
    <s v="DUMON"/>
    <n v="10609"/>
    <x v="27"/>
    <x v="27"/>
    <s v="DUMON_10609_Sir Rodney's Scones"/>
    <s v="10609"/>
    <s v="10609"/>
    <s v="Sir Rodney's Scones"/>
    <n v="10"/>
    <x v="7"/>
    <x v="0"/>
    <n v="60"/>
    <x v="0"/>
    <d v="1995-08-24T00:00:00"/>
    <s v=""/>
    <s v=""/>
  </r>
  <r>
    <x v="53"/>
    <x v="53"/>
    <s v="Annette"/>
    <s v="Roulet"/>
    <s v="Roulet, Annette"/>
    <s v="Roulet, Annette"/>
    <x v="0"/>
    <s v="no"/>
    <s v="no"/>
    <s v="LAMAI"/>
    <n v="10610"/>
    <x v="20"/>
    <x v="20"/>
    <s v="LAMAI_10610_Inlagd Sill"/>
    <s v="10610"/>
    <s v="10610"/>
    <s v="Inlagd Sill"/>
    <n v="19"/>
    <x v="11"/>
    <x v="4"/>
    <n v="299.25"/>
    <x v="0"/>
    <d v="1995-08-25T00:00:00"/>
    <s v=""/>
    <s v=""/>
  </r>
  <r>
    <x v="63"/>
    <x v="63"/>
    <s v="Zbyszek"/>
    <s v="Piestrzeniewicz"/>
    <s v="Piestrzeniewicz, Zbyszek"/>
    <s v="Piestrzeniewicz, Zbyszek"/>
    <x v="0"/>
    <s v="no"/>
    <s v="no"/>
    <s v="WOLZA"/>
    <n v="10611"/>
    <x v="52"/>
    <x v="52"/>
    <s v="WOLZA_10611_Chai"/>
    <s v="10611"/>
    <s v="10611"/>
    <s v="Chai"/>
    <n v="18"/>
    <x v="7"/>
    <x v="0"/>
    <n v="108"/>
    <x v="0"/>
    <d v="1995-08-25T00:00:00"/>
    <s v=""/>
    <s v=""/>
  </r>
  <r>
    <x v="63"/>
    <x v="63"/>
    <s v="Zbyszek"/>
    <s v="Piestrzeniewicz"/>
    <s v="Piestrzeniewicz, Zbyszek"/>
    <s v="Piestrzeniewicz, Zbyszek"/>
    <x v="0"/>
    <s v="no"/>
    <s v="no"/>
    <s v="WOLZA"/>
    <n v="10611"/>
    <x v="18"/>
    <x v="18"/>
    <s v="WOLZA_10611_Chang"/>
    <s v="10611"/>
    <s v="10611"/>
    <s v="Chang"/>
    <n v="19"/>
    <x v="1"/>
    <x v="0"/>
    <n v="190"/>
    <x v="0"/>
    <d v="1995-08-25T00:00:00"/>
    <s v=""/>
    <s v=""/>
  </r>
  <r>
    <x v="63"/>
    <x v="63"/>
    <s v="Zbyszek"/>
    <s v="Piestrzeniewicz"/>
    <s v="Piestrzeniewicz, Zbyszek"/>
    <s v="Piestrzeniewicz, Zbyszek"/>
    <x v="0"/>
    <s v="no"/>
    <s v="no"/>
    <s v="WOLZA"/>
    <n v="10611"/>
    <x v="11"/>
    <x v="11"/>
    <s v="WOLZA_10611_Camembert Pierrot"/>
    <s v="10611"/>
    <s v="10611"/>
    <s v="Camembert Pierrot"/>
    <n v="34"/>
    <x v="6"/>
    <x v="0"/>
    <n v="510"/>
    <x v="0"/>
    <d v="1995-08-25T00:00:00"/>
    <s v=""/>
    <s v=""/>
  </r>
  <r>
    <x v="45"/>
    <x v="45"/>
    <s v="Jose"/>
    <s v="Pavarotti"/>
    <s v="Pavarotti, Jose"/>
    <s v="Pavarotti, Jose"/>
    <x v="0"/>
    <s v="no"/>
    <s v="no"/>
    <s v="SAVEA"/>
    <n v="10612"/>
    <x v="41"/>
    <x v="41"/>
    <s v="SAVEA_10612_Ikura"/>
    <s v="10612"/>
    <s v="10612"/>
    <s v="Ikura"/>
    <n v="31"/>
    <x v="21"/>
    <x v="0"/>
    <n v="2170"/>
    <x v="0"/>
    <d v="1995-08-28T00:00:00"/>
    <s v=""/>
    <s v=""/>
  </r>
  <r>
    <x v="45"/>
    <x v="45"/>
    <s v="Jose"/>
    <s v="Pavarotti"/>
    <s v="Pavarotti, Jose"/>
    <s v="Pavarotti, Jose"/>
    <x v="0"/>
    <s v="no"/>
    <s v="no"/>
    <s v="SAVEA"/>
    <n v="10612"/>
    <x v="20"/>
    <x v="20"/>
    <s v="SAVEA_10612_Inlagd Sill"/>
    <s v="10612"/>
    <s v="10612"/>
    <s v="Inlagd Sill"/>
    <n v="19"/>
    <x v="38"/>
    <x v="0"/>
    <n v="1045"/>
    <x v="0"/>
    <d v="1995-08-28T00:00:00"/>
    <s v=""/>
    <s v=""/>
  </r>
  <r>
    <x v="45"/>
    <x v="45"/>
    <s v="Jose"/>
    <s v="Pavarotti"/>
    <s v="Pavarotti, Jose"/>
    <s v="Pavarotti, Jose"/>
    <x v="0"/>
    <s v="no"/>
    <s v="no"/>
    <s v="SAVEA"/>
    <n v="10612"/>
    <x v="14"/>
    <x v="14"/>
    <s v="SAVEA_10612_Maxilaku"/>
    <s v="10612"/>
    <s v="10612"/>
    <s v="Maxilaku"/>
    <n v="20"/>
    <x v="27"/>
    <x v="0"/>
    <n v="360"/>
    <x v="0"/>
    <d v="1995-08-28T00:00:00"/>
    <s v=""/>
    <s v=""/>
  </r>
  <r>
    <x v="45"/>
    <x v="45"/>
    <s v="Jose"/>
    <s v="Pavarotti"/>
    <s v="Pavarotti, Jose"/>
    <s v="Pavarotti, Jose"/>
    <x v="0"/>
    <s v="no"/>
    <s v="no"/>
    <s v="SAVEA"/>
    <n v="10612"/>
    <x v="11"/>
    <x v="11"/>
    <s v="SAVEA_10612_Camembert Pierrot"/>
    <s v="10612"/>
    <s v="10612"/>
    <s v="Camembert Pierrot"/>
    <n v="34"/>
    <x v="4"/>
    <x v="0"/>
    <n v="1360"/>
    <x v="0"/>
    <d v="1995-08-28T00:00:00"/>
    <s v=""/>
    <s v=""/>
  </r>
  <r>
    <x v="45"/>
    <x v="45"/>
    <s v="Jose"/>
    <s v="Pavarotti"/>
    <s v="Pavarotti, Jose"/>
    <s v="Pavarotti, Jose"/>
    <x v="0"/>
    <s v="no"/>
    <s v="no"/>
    <s v="SAVEA"/>
    <n v="10612"/>
    <x v="38"/>
    <x v="38"/>
    <s v="SAVEA_10612_Lakkalikööri"/>
    <s v="10612"/>
    <s v="10612"/>
    <s v="Lakkalikööri"/>
    <n v="18"/>
    <x v="32"/>
    <x v="0"/>
    <n v="1440"/>
    <x v="0"/>
    <d v="1995-08-28T00:00:00"/>
    <s v=""/>
    <s v=""/>
  </r>
  <r>
    <x v="8"/>
    <x v="8"/>
    <s v="Carlos"/>
    <s v="Hernández"/>
    <s v="Hernández, Carlos"/>
    <s v="Hernández, Carlos"/>
    <x v="0"/>
    <s v="no"/>
    <s v="no"/>
    <s v="HILAA"/>
    <n v="10613"/>
    <x v="43"/>
    <x v="43"/>
    <s v="HILAA_10613_Konbu"/>
    <s v="10613"/>
    <s v="10613"/>
    <s v="Konbu"/>
    <n v="6"/>
    <x v="26"/>
    <x v="5"/>
    <n v="43.2"/>
    <x v="0"/>
    <d v="1995-08-29T00:00:00"/>
    <s v=""/>
    <s v=""/>
  </r>
  <r>
    <x v="8"/>
    <x v="8"/>
    <s v="Carlos"/>
    <s v="Hernández"/>
    <s v="Hernández, Carlos"/>
    <s v="Hernández, Carlos"/>
    <x v="0"/>
    <s v="no"/>
    <s v="no"/>
    <s v="HILAA"/>
    <n v="10613"/>
    <x v="48"/>
    <x v="48"/>
    <s v="HILAA_10613_Rhönbräu Klosterbier"/>
    <s v="10613"/>
    <s v="10613"/>
    <s v="Rhönbräu Klosterbier"/>
    <n v="7.75"/>
    <x v="4"/>
    <x v="0"/>
    <n v="310"/>
    <x v="0"/>
    <d v="1995-08-29T00:00:00"/>
    <s v=""/>
    <s v=""/>
  </r>
  <r>
    <x v="76"/>
    <x v="76"/>
    <s v="Hanna"/>
    <s v="Moos"/>
    <s v="Moos, Hanna"/>
    <s v="Moos, Hanna"/>
    <x v="0"/>
    <s v="no"/>
    <s v="no"/>
    <s v="BLAUS"/>
    <n v="10614"/>
    <x v="0"/>
    <x v="0"/>
    <s v="BLAUS_10614_Queso Cabrales"/>
    <s v="10614"/>
    <s v="10614"/>
    <s v="Queso Cabrales"/>
    <n v="21"/>
    <x v="31"/>
    <x v="0"/>
    <n v="294"/>
    <x v="0"/>
    <d v="1995-08-29T00:00:00"/>
    <s v=""/>
    <s v=""/>
  </r>
  <r>
    <x v="76"/>
    <x v="76"/>
    <s v="Hanna"/>
    <s v="Moos"/>
    <s v="Moos, Hanna"/>
    <s v="Moos, Hanna"/>
    <x v="0"/>
    <s v="no"/>
    <s v="no"/>
    <s v="BLAUS"/>
    <n v="10614"/>
    <x v="27"/>
    <x v="27"/>
    <s v="BLAUS_10614_Sir Rodney's Scones"/>
    <s v="10614"/>
    <s v="10614"/>
    <s v="Sir Rodney's Scones"/>
    <n v="10"/>
    <x v="26"/>
    <x v="0"/>
    <n v="80"/>
    <x v="0"/>
    <d v="1995-08-29T00:00:00"/>
    <s v=""/>
    <s v=""/>
  </r>
  <r>
    <x v="76"/>
    <x v="76"/>
    <s v="Hanna"/>
    <s v="Moos"/>
    <s v="Moos, Hanna"/>
    <s v="Moos, Hanna"/>
    <x v="0"/>
    <s v="no"/>
    <s v="no"/>
    <s v="BLAUS"/>
    <n v="10614"/>
    <x v="13"/>
    <x v="13"/>
    <s v="BLAUS_10614_Chartreuse verte"/>
    <s v="10614"/>
    <s v="10614"/>
    <s v="Chartreuse verte"/>
    <n v="18"/>
    <x v="2"/>
    <x v="0"/>
    <n v="90"/>
    <x v="0"/>
    <d v="1995-08-29T00:00:00"/>
    <s v=""/>
    <s v=""/>
  </r>
  <r>
    <x v="83"/>
    <x v="83"/>
    <s v="Matti"/>
    <s v="Karttunen"/>
    <s v="Karttunen, Matti"/>
    <s v="Karttunen, Matti"/>
    <x v="0"/>
    <s v="no"/>
    <s v="no"/>
    <s v="WILMK"/>
    <n v="10615"/>
    <x v="16"/>
    <x v="16"/>
    <s v="WILMK_10615_Pâté chinois"/>
    <s v="10615"/>
    <s v="10615"/>
    <s v="Pâté chinois"/>
    <n v="24"/>
    <x v="2"/>
    <x v="0"/>
    <n v="120"/>
    <x v="0"/>
    <d v="1995-08-30T00:00:00"/>
    <s v=""/>
    <s v=""/>
  </r>
  <r>
    <x v="79"/>
    <x v="79"/>
    <s v="Howard"/>
    <s v="Snyder"/>
    <s v="Snyder, Howard"/>
    <s v="Snyder, Howard"/>
    <x v="1"/>
    <s v="yes"/>
    <s v="yes"/>
    <s v="GREAL"/>
    <n v="10616"/>
    <x v="67"/>
    <x v="67"/>
    <s v="GREAL_10616_Côte de Blaye"/>
    <s v="10616"/>
    <s v="10616"/>
    <s v="Côte de Blaye"/>
    <n v="263.5"/>
    <x v="6"/>
    <x v="2"/>
    <n v="3754.875"/>
    <x v="0"/>
    <d v="1995-08-31T00:00:00"/>
    <s v=""/>
    <s v=""/>
  </r>
  <r>
    <x v="79"/>
    <x v="79"/>
    <s v="Howard"/>
    <s v="Snyder"/>
    <s v="Snyder, Howard"/>
    <s v="Snyder, Howard"/>
    <x v="0"/>
    <s v="no"/>
    <s v="no"/>
    <s v="GREAL"/>
    <n v="10616"/>
    <x v="33"/>
    <x v="33"/>
    <s v="GREAL_10616_Gnocchi di nonna Alice"/>
    <s v="10616"/>
    <s v="10616"/>
    <s v="Gnocchi di nonna Alice"/>
    <n v="38"/>
    <x v="31"/>
    <x v="0"/>
    <n v="532"/>
    <x v="0"/>
    <d v="1995-08-31T00:00:00"/>
    <s v=""/>
    <s v=""/>
  </r>
  <r>
    <x v="79"/>
    <x v="79"/>
    <s v="Howard"/>
    <s v="Snyder"/>
    <s v="Snyder, Howard"/>
    <s v="Snyder, Howard"/>
    <x v="0"/>
    <s v="no"/>
    <s v="no"/>
    <s v="GREAL"/>
    <n v="10616"/>
    <x v="30"/>
    <x v="30"/>
    <s v="GREAL_10616_Outback Lager"/>
    <s v="10616"/>
    <s v="10616"/>
    <s v="Outback Lager"/>
    <n v="15"/>
    <x v="6"/>
    <x v="2"/>
    <n v="213.75"/>
    <x v="0"/>
    <d v="1995-08-31T00:00:00"/>
    <s v=""/>
    <s v=""/>
  </r>
  <r>
    <x v="79"/>
    <x v="79"/>
    <s v="Howard"/>
    <s v="Snyder"/>
    <s v="Snyder, Howard"/>
    <s v="Snyder, Howard"/>
    <x v="0"/>
    <s v="no"/>
    <s v="no"/>
    <s v="GREAL"/>
    <n v="10616"/>
    <x v="42"/>
    <x v="42"/>
    <s v="GREAL_10616_Fløtemysost"/>
    <s v="10616"/>
    <s v="10616"/>
    <s v="Fløtemysost"/>
    <n v="21.5"/>
    <x v="6"/>
    <x v="2"/>
    <n v="306.375"/>
    <x v="0"/>
    <d v="1995-08-31T00:00:00"/>
    <s v=""/>
    <s v=""/>
  </r>
  <r>
    <x v="79"/>
    <x v="79"/>
    <s v="Howard"/>
    <s v="Snyder"/>
    <s v="Snyder, Howard"/>
    <s v="Snyder, Howard"/>
    <x v="0"/>
    <s v="no"/>
    <s v="no"/>
    <s v="GREAL"/>
    <n v="10617"/>
    <x v="21"/>
    <x v="21"/>
    <s v="GREAL_10617_Raclette Courdavault"/>
    <s v="10617"/>
    <s v="10617"/>
    <s v="Raclette Courdavault"/>
    <n v="55"/>
    <x v="12"/>
    <x v="1"/>
    <n v="1402.5"/>
    <x v="0"/>
    <d v="1995-08-31T00:00:00"/>
    <s v=""/>
    <s v=""/>
  </r>
  <r>
    <x v="49"/>
    <x v="49"/>
    <s v="Jean"/>
    <s v="Fresnière"/>
    <s v="Fresnière, Jean"/>
    <s v="Fresnière, Jean"/>
    <x v="0"/>
    <s v="no"/>
    <s v="no"/>
    <s v="MEREP"/>
    <n v="10618"/>
    <x v="63"/>
    <x v="63"/>
    <s v="MEREP_10618_Grandma's Boysenberry Spread"/>
    <s v="10618"/>
    <s v="10618"/>
    <s v="Grandma's Boysenberry Spread"/>
    <n v="25"/>
    <x v="21"/>
    <x v="0"/>
    <n v="1750"/>
    <x v="0"/>
    <d v="1995-09-01T00:00:00"/>
    <s v=""/>
    <s v=""/>
  </r>
  <r>
    <x v="49"/>
    <x v="49"/>
    <s v="Jean"/>
    <s v="Fresnière"/>
    <s v="Fresnière, Jean"/>
    <s v="Fresnière, Jean"/>
    <x v="0"/>
    <s v="no"/>
    <s v="no"/>
    <s v="MEREP"/>
    <n v="10618"/>
    <x v="33"/>
    <x v="33"/>
    <s v="MEREP_10618_Gnocchi di nonna Alice"/>
    <s v="10618"/>
    <s v="10618"/>
    <s v="Gnocchi di nonna Alice"/>
    <n v="38"/>
    <x v="8"/>
    <x v="0"/>
    <n v="760"/>
    <x v="0"/>
    <d v="1995-09-01T00:00:00"/>
    <s v=""/>
    <s v=""/>
  </r>
  <r>
    <x v="49"/>
    <x v="49"/>
    <s v="Jean"/>
    <s v="Fresnière"/>
    <s v="Fresnière, Jean"/>
    <s v="Fresnière, Jean"/>
    <x v="0"/>
    <s v="no"/>
    <s v="no"/>
    <s v="MEREP"/>
    <n v="10618"/>
    <x v="56"/>
    <x v="56"/>
    <s v="MEREP_10618_Scottish Longbreads"/>
    <s v="10618"/>
    <s v="10618"/>
    <s v="Scottish Longbreads"/>
    <n v="12.5"/>
    <x v="6"/>
    <x v="0"/>
    <n v="187.5"/>
    <x v="0"/>
    <d v="1995-09-01T00:00:00"/>
    <s v=""/>
    <s v=""/>
  </r>
  <r>
    <x v="49"/>
    <x v="49"/>
    <s v="Jean"/>
    <s v="Fresnière"/>
    <s v="Fresnière, Jean"/>
    <s v="Fresnière, Jean"/>
    <x v="0"/>
    <s v="no"/>
    <s v="no"/>
    <s v="MEREP"/>
    <n v="10619"/>
    <x v="27"/>
    <x v="27"/>
    <s v="MEREP_10619_Sir Rodney's Scones"/>
    <s v="10619"/>
    <s v="10619"/>
    <s v="Sir Rodney's Scones"/>
    <n v="10"/>
    <x v="10"/>
    <x v="0"/>
    <n v="420"/>
    <x v="0"/>
    <d v="1995-09-04T00:00:00"/>
    <s v=""/>
    <s v=""/>
  </r>
  <r>
    <x v="49"/>
    <x v="49"/>
    <s v="Jean"/>
    <s v="Fresnière"/>
    <s v="Fresnière, Jean"/>
    <s v="Fresnière, Jean"/>
    <x v="0"/>
    <s v="no"/>
    <s v="no"/>
    <s v="MEREP"/>
    <n v="10619"/>
    <x v="7"/>
    <x v="7"/>
    <s v="MEREP_10619_Gustaf's Knäckebröd"/>
    <s v="10619"/>
    <s v="10619"/>
    <s v="Gustaf's Knäckebröd"/>
    <n v="21"/>
    <x v="4"/>
    <x v="0"/>
    <n v="840"/>
    <x v="0"/>
    <d v="1995-09-04T00:00:00"/>
    <s v=""/>
    <s v=""/>
  </r>
  <r>
    <x v="75"/>
    <x v="75"/>
    <s v="Yoshi"/>
    <s v="Tannamuri"/>
    <s v="Tannamuri, Yoshi"/>
    <s v="Tannamuri, Yoshi"/>
    <x v="0"/>
    <s v="no"/>
    <s v="no"/>
    <s v="LAUGB"/>
    <n v="10620"/>
    <x v="15"/>
    <x v="15"/>
    <s v="LAUGB_10620_Guaraná Fantástica"/>
    <s v="10620"/>
    <s v="10620"/>
    <s v="Guaraná Fantástica"/>
    <n v="4.5"/>
    <x v="2"/>
    <x v="0"/>
    <n v="22.5"/>
    <x v="0"/>
    <d v="1995-09-05T00:00:00"/>
    <s v=""/>
    <s v=""/>
  </r>
  <r>
    <x v="75"/>
    <x v="75"/>
    <s v="Yoshi"/>
    <s v="Tannamuri"/>
    <s v="Tannamuri, Yoshi"/>
    <s v="Tannamuri, Yoshi"/>
    <x v="0"/>
    <s v="no"/>
    <s v="no"/>
    <s v="LAUGB"/>
    <n v="10620"/>
    <x v="65"/>
    <x v="65"/>
    <s v="LAUGB_10620_Filo Mix"/>
    <s v="10620"/>
    <s v="10620"/>
    <s v="Filo Mix"/>
    <n v="7"/>
    <x v="2"/>
    <x v="0"/>
    <n v="35"/>
    <x v="0"/>
    <d v="1995-09-05T00:00:00"/>
    <s v=""/>
    <s v=""/>
  </r>
  <r>
    <x v="42"/>
    <x v="42"/>
    <s v="Helen"/>
    <s v="Bennett"/>
    <s v="Bennett, Helen"/>
    <s v="Bennett, Helen"/>
    <x v="0"/>
    <s v="no"/>
    <s v="no"/>
    <s v="ISLAT"/>
    <n v="10621"/>
    <x v="49"/>
    <x v="49"/>
    <s v="ISLAT_10621_Teatime Chocolate Biscuits"/>
    <s v="10621"/>
    <s v="10621"/>
    <s v="Teatime Chocolate Biscuits"/>
    <n v="9.1999999999999993"/>
    <x v="2"/>
    <x v="0"/>
    <n v="46"/>
    <x v="0"/>
    <d v="1995-09-05T00:00:00"/>
    <s v=""/>
    <s v=""/>
  </r>
  <r>
    <x v="42"/>
    <x v="42"/>
    <s v="Helen"/>
    <s v="Bennett"/>
    <s v="Bennett, Helen"/>
    <s v="Bennett, Helen"/>
    <x v="0"/>
    <s v="no"/>
    <s v="no"/>
    <s v="ISLAT"/>
    <n v="10621"/>
    <x v="70"/>
    <x v="70"/>
    <s v="ISLAT_10621_Tunnbröd"/>
    <s v="10621"/>
    <s v="10621"/>
    <s v="Tunnbröd"/>
    <n v="9"/>
    <x v="1"/>
    <x v="0"/>
    <n v="90"/>
    <x v="0"/>
    <d v="1995-09-05T00:00:00"/>
    <s v=""/>
    <s v=""/>
  </r>
  <r>
    <x v="42"/>
    <x v="42"/>
    <s v="Helen"/>
    <s v="Bennett"/>
    <s v="Bennett, Helen"/>
    <s v="Bennett, Helen"/>
    <x v="0"/>
    <s v="no"/>
    <s v="no"/>
    <s v="ISLAT"/>
    <n v="10621"/>
    <x v="30"/>
    <x v="30"/>
    <s v="ISLAT_10621_Outback Lager"/>
    <s v="10621"/>
    <s v="10621"/>
    <s v="Outback Lager"/>
    <n v="15"/>
    <x v="8"/>
    <x v="0"/>
    <n v="300"/>
    <x v="0"/>
    <d v="1995-09-05T00:00:00"/>
    <s v=""/>
    <s v=""/>
  </r>
  <r>
    <x v="42"/>
    <x v="42"/>
    <s v="Helen"/>
    <s v="Bennett"/>
    <s v="Bennett, Helen"/>
    <s v="Bennett, Helen"/>
    <x v="0"/>
    <s v="no"/>
    <s v="no"/>
    <s v="ISLAT"/>
    <n v="10621"/>
    <x v="42"/>
    <x v="42"/>
    <s v="ISLAT_10621_Fløtemysost"/>
    <s v="10621"/>
    <s v="10621"/>
    <s v="Fløtemysost"/>
    <n v="21.5"/>
    <x v="6"/>
    <x v="0"/>
    <n v="322.5"/>
    <x v="0"/>
    <d v="1995-09-05T00:00:00"/>
    <s v=""/>
    <s v=""/>
  </r>
  <r>
    <x v="29"/>
    <x v="29"/>
    <s v="Janete"/>
    <s v="Limeira"/>
    <s v="Limeira, Janete"/>
    <s v="Limeira, Janete"/>
    <x v="0"/>
    <s v="no"/>
    <s v="no"/>
    <s v="RICAR"/>
    <n v="10622"/>
    <x v="18"/>
    <x v="18"/>
    <s v="RICAR_10622_Chang"/>
    <s v="10622"/>
    <s v="10622"/>
    <s v="Chang"/>
    <n v="19"/>
    <x v="8"/>
    <x v="0"/>
    <n v="380"/>
    <x v="0"/>
    <d v="1995-09-06T00:00:00"/>
    <s v=""/>
    <s v=""/>
  </r>
  <r>
    <x v="29"/>
    <x v="29"/>
    <s v="Janete"/>
    <s v="Limeira"/>
    <s v="Limeira, Janete"/>
    <s v="Limeira, Janete"/>
    <x v="0"/>
    <s v="no"/>
    <s v="no"/>
    <s v="RICAR"/>
    <n v="10622"/>
    <x v="56"/>
    <x v="56"/>
    <s v="RICAR_10622_Scottish Longbreads"/>
    <s v="10622"/>
    <s v="10622"/>
    <s v="Scottish Longbreads"/>
    <n v="12.5"/>
    <x v="27"/>
    <x v="3"/>
    <n v="180"/>
    <x v="0"/>
    <d v="1995-09-06T00:00:00"/>
    <s v=""/>
    <s v=""/>
  </r>
  <r>
    <x v="17"/>
    <x v="17"/>
    <s v="Peter"/>
    <s v="Franken"/>
    <s v="Franken, Peter"/>
    <s v="Franken, Peter"/>
    <x v="0"/>
    <s v="no"/>
    <s v="no"/>
    <s v="FRANK"/>
    <n v="10623"/>
    <x v="3"/>
    <x v="3"/>
    <s v="FRANK_10623_Tofu"/>
    <s v="10623"/>
    <s v="10623"/>
    <s v="Tofu"/>
    <n v="23.25"/>
    <x v="11"/>
    <x v="0"/>
    <n v="488.25"/>
    <x v="0"/>
    <d v="1995-09-07T00:00:00"/>
    <s v=""/>
    <s v=""/>
  </r>
  <r>
    <x v="17"/>
    <x v="17"/>
    <s v="Peter"/>
    <s v="Franken"/>
    <s v="Franken, Peter"/>
    <s v="Franken, Peter"/>
    <x v="0"/>
    <s v="no"/>
    <s v="no"/>
    <s v="FRANK"/>
    <n v="10623"/>
    <x v="49"/>
    <x v="49"/>
    <s v="FRANK_10623_Teatime Chocolate Biscuits"/>
    <s v="10623"/>
    <s v="10623"/>
    <s v="Teatime Chocolate Biscuits"/>
    <n v="9.1999999999999993"/>
    <x v="6"/>
    <x v="5"/>
    <n v="124.2"/>
    <x v="0"/>
    <d v="1995-09-07T00:00:00"/>
    <s v=""/>
    <s v=""/>
  </r>
  <r>
    <x v="17"/>
    <x v="17"/>
    <s v="Peter"/>
    <s v="Franken"/>
    <s v="Franken, Peter"/>
    <s v="Franken, Peter"/>
    <x v="0"/>
    <s v="no"/>
    <s v="no"/>
    <s v="FRANK"/>
    <n v="10623"/>
    <x v="27"/>
    <x v="27"/>
    <s v="FRANK_10623_Sir Rodney's Scones"/>
    <s v="10623"/>
    <s v="10623"/>
    <s v="Sir Rodney's Scones"/>
    <n v="10"/>
    <x v="9"/>
    <x v="5"/>
    <n v="225"/>
    <x v="0"/>
    <d v="1995-09-07T00:00:00"/>
    <s v=""/>
    <s v=""/>
  </r>
  <r>
    <x v="17"/>
    <x v="17"/>
    <s v="Peter"/>
    <s v="Franken"/>
    <s v="Franken, Peter"/>
    <s v="Franken, Peter"/>
    <x v="0"/>
    <s v="no"/>
    <s v="no"/>
    <s v="FRANK"/>
    <n v="10623"/>
    <x v="15"/>
    <x v="15"/>
    <s v="FRANK_10623_Guaraná Fantástica"/>
    <s v="10623"/>
    <s v="10623"/>
    <s v="Guaraná Fantástica"/>
    <n v="4.5"/>
    <x v="28"/>
    <x v="0"/>
    <n v="13.5"/>
    <x v="0"/>
    <d v="1995-09-07T00:00:00"/>
    <s v=""/>
    <s v=""/>
  </r>
  <r>
    <x v="17"/>
    <x v="17"/>
    <s v="Peter"/>
    <s v="Franken"/>
    <s v="Franken, Peter"/>
    <s v="Franken, Peter"/>
    <x v="0"/>
    <s v="no"/>
    <s v="no"/>
    <s v="FRANK"/>
    <n v="10623"/>
    <x v="31"/>
    <x v="31"/>
    <s v="FRANK_10623_Steeleye Stout"/>
    <s v="10623"/>
    <s v="10623"/>
    <s v="Steeleye Stout"/>
    <n v="18"/>
    <x v="12"/>
    <x v="5"/>
    <n v="486"/>
    <x v="0"/>
    <d v="1995-09-07T00:00:00"/>
    <s v=""/>
    <s v=""/>
  </r>
  <r>
    <x v="84"/>
    <x v="84"/>
    <s v="Liu"/>
    <s v="Wong"/>
    <s v="Wong, Liu"/>
    <s v="Wong, Liu"/>
    <x v="0"/>
    <s v="no"/>
    <s v="no"/>
    <s v="THECR"/>
    <n v="10624"/>
    <x v="44"/>
    <x v="44"/>
    <s v="THECR_10624_Rössle Sauerkraut"/>
    <s v="10624"/>
    <s v="10624"/>
    <s v="Rössle Sauerkraut"/>
    <n v="45.6"/>
    <x v="1"/>
    <x v="0"/>
    <n v="456"/>
    <x v="0"/>
    <d v="1995-09-07T00:00:00"/>
    <s v=""/>
    <s v=""/>
  </r>
  <r>
    <x v="84"/>
    <x v="84"/>
    <s v="Liu"/>
    <s v="Wong"/>
    <s v="Wong, Liu"/>
    <s v="Wong, Liu"/>
    <x v="0"/>
    <s v="no"/>
    <s v="no"/>
    <s v="THECR"/>
    <n v="10624"/>
    <x v="39"/>
    <x v="39"/>
    <s v="THECR_10624_Thüringer Rostbratwurst"/>
    <s v="10624"/>
    <s v="10624"/>
    <s v="Thüringer Rostbratwurst"/>
    <n v="123.79"/>
    <x v="7"/>
    <x v="0"/>
    <n v="742.74"/>
    <x v="0"/>
    <d v="1995-09-07T00:00:00"/>
    <s v=""/>
    <s v=""/>
  </r>
  <r>
    <x v="84"/>
    <x v="84"/>
    <s v="Liu"/>
    <s v="Wong"/>
    <s v="Wong, Liu"/>
    <s v="Wong, Liu"/>
    <x v="0"/>
    <s v="no"/>
    <s v="no"/>
    <s v="THECR"/>
    <n v="10624"/>
    <x v="45"/>
    <x v="45"/>
    <s v="THECR_10624_Gula Malacca"/>
    <s v="10624"/>
    <s v="10624"/>
    <s v="Gula Malacca"/>
    <n v="19.45"/>
    <x v="1"/>
    <x v="0"/>
    <n v="194.5"/>
    <x v="0"/>
    <d v="1995-09-07T00:00:00"/>
    <s v=""/>
    <s v=""/>
  </r>
  <r>
    <x v="39"/>
    <x v="39"/>
    <s v="Ana"/>
    <s v="Trujillo"/>
    <s v="Trujillo, Ana"/>
    <s v="Trujillo, Ana"/>
    <x v="0"/>
    <s v="no"/>
    <s v="no"/>
    <s v="ANATR"/>
    <n v="10625"/>
    <x v="3"/>
    <x v="3"/>
    <s v="ANATR_10625_Tofu"/>
    <s v="10625"/>
    <s v="10625"/>
    <s v="Tofu"/>
    <n v="23.25"/>
    <x v="28"/>
    <x v="0"/>
    <n v="69.75"/>
    <x v="0"/>
    <d v="1995-09-08T00:00:00"/>
    <s v=""/>
    <s v=""/>
  </r>
  <r>
    <x v="39"/>
    <x v="39"/>
    <s v="Ana"/>
    <s v="Trujillo"/>
    <s v="Trujillo, Ana"/>
    <s v="Trujillo, Ana"/>
    <x v="0"/>
    <s v="no"/>
    <s v="no"/>
    <s v="ANATR"/>
    <n v="10625"/>
    <x v="1"/>
    <x v="1"/>
    <s v="ANATR_10625_Singaporean Hokkien Fried Mee"/>
    <s v="10625"/>
    <s v="10625"/>
    <s v="Singaporean Hokkien Fried Mee"/>
    <n v="14"/>
    <x v="2"/>
    <x v="0"/>
    <n v="70"/>
    <x v="0"/>
    <d v="1995-09-08T00:00:00"/>
    <s v=""/>
    <s v=""/>
  </r>
  <r>
    <x v="39"/>
    <x v="39"/>
    <s v="Ana"/>
    <s v="Trujillo"/>
    <s v="Trujillo, Ana"/>
    <s v="Trujillo, Ana"/>
    <x v="0"/>
    <s v="no"/>
    <s v="no"/>
    <s v="ANATR"/>
    <n v="10625"/>
    <x v="11"/>
    <x v="11"/>
    <s v="ANATR_10625_Camembert Pierrot"/>
    <s v="10625"/>
    <s v="10625"/>
    <s v="Camembert Pierrot"/>
    <n v="34"/>
    <x v="1"/>
    <x v="0"/>
    <n v="340"/>
    <x v="0"/>
    <d v="1995-09-08T00:00:00"/>
    <s v=""/>
    <s v=""/>
  </r>
  <r>
    <x v="25"/>
    <x v="25"/>
    <s v="Christina"/>
    <s v="Berglund"/>
    <s v="Berglund, Christina"/>
    <s v="Berglund, Christina"/>
    <x v="0"/>
    <s v="no"/>
    <s v="no"/>
    <s v="BERGS"/>
    <n v="10626"/>
    <x v="22"/>
    <x v="22"/>
    <s v="BERGS_10626_Perth Pasties"/>
    <s v="10626"/>
    <s v="10626"/>
    <s v="Perth Pasties"/>
    <n v="32.799999999999997"/>
    <x v="0"/>
    <x v="0"/>
    <n v="393.59999999999997"/>
    <x v="0"/>
    <d v="1995-09-11T00:00:00"/>
    <s v=""/>
    <s v=""/>
  </r>
  <r>
    <x v="25"/>
    <x v="25"/>
    <s v="Christina"/>
    <s v="Berglund"/>
    <s v="Berglund, Christina"/>
    <s v="Berglund, Christina"/>
    <x v="0"/>
    <s v="no"/>
    <s v="no"/>
    <s v="BERGS"/>
    <n v="10626"/>
    <x v="11"/>
    <x v="11"/>
    <s v="BERGS_10626_Camembert Pierrot"/>
    <s v="10626"/>
    <s v="10626"/>
    <s v="Camembert Pierrot"/>
    <n v="34"/>
    <x v="8"/>
    <x v="0"/>
    <n v="680"/>
    <x v="0"/>
    <d v="1995-09-11T00:00:00"/>
    <s v=""/>
    <s v=""/>
  </r>
  <r>
    <x v="25"/>
    <x v="25"/>
    <s v="Christina"/>
    <s v="Berglund"/>
    <s v="Berglund, Christina"/>
    <s v="Berglund, Christina"/>
    <x v="0"/>
    <s v="no"/>
    <s v="no"/>
    <s v="BERGS"/>
    <n v="10626"/>
    <x v="42"/>
    <x v="42"/>
    <s v="BERGS_10626_Fløtemysost"/>
    <s v="10626"/>
    <s v="10626"/>
    <s v="Fløtemysost"/>
    <n v="21.5"/>
    <x v="8"/>
    <x v="0"/>
    <n v="430"/>
    <x v="0"/>
    <d v="1995-09-11T00:00:00"/>
    <s v=""/>
    <s v=""/>
  </r>
  <r>
    <x v="45"/>
    <x v="45"/>
    <s v="Jose"/>
    <s v="Pavarotti"/>
    <s v="Pavarotti, Jose"/>
    <s v="Pavarotti, Jose"/>
    <x v="0"/>
    <s v="no"/>
    <s v="no"/>
    <s v="SAVEA"/>
    <n v="10627"/>
    <x v="29"/>
    <x v="29"/>
    <s v="SAVEA_10627_Tarte au sucre"/>
    <s v="10627"/>
    <s v="10627"/>
    <s v="Tarte au sucre"/>
    <n v="49.3"/>
    <x v="6"/>
    <x v="0"/>
    <n v="739.5"/>
    <x v="0"/>
    <d v="1995-09-11T00:00:00"/>
    <s v=""/>
    <s v=""/>
  </r>
  <r>
    <x v="45"/>
    <x v="45"/>
    <s v="Jose"/>
    <s v="Pavarotti"/>
    <s v="Pavarotti, Jose"/>
    <s v="Pavarotti, Jose"/>
    <x v="0"/>
    <s v="no"/>
    <s v="no"/>
    <s v="SAVEA"/>
    <n v="10627"/>
    <x v="47"/>
    <x v="47"/>
    <s v="SAVEA_10627_Röd Kaviar"/>
    <s v="10627"/>
    <s v="10627"/>
    <s v="Röd Kaviar"/>
    <n v="15"/>
    <x v="5"/>
    <x v="1"/>
    <n v="446.25"/>
    <x v="0"/>
    <d v="1995-09-11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0628"/>
    <x v="52"/>
    <x v="52"/>
    <s v="BLONP_10628_Chai"/>
    <s v="10628"/>
    <s v="10628"/>
    <s v="Chai"/>
    <n v="18"/>
    <x v="9"/>
    <x v="0"/>
    <n v="450"/>
    <x v="0"/>
    <d v="1995-09-12T00:00:00"/>
    <s v=""/>
    <s v=""/>
  </r>
  <r>
    <x v="36"/>
    <x v="36"/>
    <s v="José"/>
    <s v="Pedro Freyre"/>
    <s v="Pedro Freyre, José"/>
    <s v="Pedro Freyre, José"/>
    <x v="0"/>
    <s v="no"/>
    <s v="no"/>
    <s v="GODOS"/>
    <n v="10629"/>
    <x v="39"/>
    <x v="39"/>
    <s v="GODOS_10629_Thüringer Rostbratwurst"/>
    <s v="10629"/>
    <s v="10629"/>
    <s v="Thüringer Rostbratwurst"/>
    <n v="123.79"/>
    <x v="8"/>
    <x v="0"/>
    <n v="2475.8000000000002"/>
    <x v="0"/>
    <d v="1995-09-12T00:00:00"/>
    <s v=""/>
    <s v=""/>
  </r>
  <r>
    <x v="36"/>
    <x v="36"/>
    <s v="José"/>
    <s v="Pedro Freyre"/>
    <s v="Pedro Freyre, José"/>
    <s v="Pedro Freyre, José"/>
    <x v="0"/>
    <s v="no"/>
    <s v="no"/>
    <s v="GODOS"/>
    <n v="10629"/>
    <x v="58"/>
    <x v="58"/>
    <s v="GODOS_10629_Wimmers gute Semmelknödel"/>
    <s v="10629"/>
    <s v="10629"/>
    <s v="Wimmers gute Semmelknödel"/>
    <n v="33.25"/>
    <x v="3"/>
    <x v="0"/>
    <n v="299.25"/>
    <x v="0"/>
    <d v="1995-09-12T00:00:00"/>
    <s v=""/>
    <s v=""/>
  </r>
  <r>
    <x v="44"/>
    <x v="44"/>
    <s v="Philip"/>
    <s v="Cramer"/>
    <s v="Cramer, Philip"/>
    <s v="Cramer, Philip"/>
    <x v="0"/>
    <s v="no"/>
    <s v="no"/>
    <s v="KOENE"/>
    <n v="10630"/>
    <x v="16"/>
    <x v="16"/>
    <s v="KOENE_10630_Pâté chinois"/>
    <s v="10630"/>
    <s v="10630"/>
    <s v="Pâté chinois"/>
    <n v="24"/>
    <x v="0"/>
    <x v="2"/>
    <n v="273.59999999999997"/>
    <x v="0"/>
    <d v="1995-09-13T00:00:00"/>
    <s v=""/>
    <s v=""/>
  </r>
  <r>
    <x v="44"/>
    <x v="44"/>
    <s v="Philip"/>
    <s v="Cramer"/>
    <s v="Cramer, Philip"/>
    <s v="Cramer, Philip"/>
    <x v="0"/>
    <s v="no"/>
    <s v="no"/>
    <s v="KOENE"/>
    <n v="10630"/>
    <x v="38"/>
    <x v="38"/>
    <s v="KOENE_10630_Lakkalikööri"/>
    <s v="10630"/>
    <s v="10630"/>
    <s v="Lakkalikööri"/>
    <n v="18"/>
    <x v="5"/>
    <x v="0"/>
    <n v="630"/>
    <x v="0"/>
    <d v="1995-09-13T00:00:00"/>
    <s v=""/>
    <s v=""/>
  </r>
  <r>
    <x v="53"/>
    <x v="53"/>
    <s v="Annette"/>
    <s v="Roulet"/>
    <s v="Roulet, Annette"/>
    <s v="Roulet, Annette"/>
    <x v="0"/>
    <s v="no"/>
    <s v="no"/>
    <s v="LAMAI"/>
    <n v="10631"/>
    <x v="48"/>
    <x v="48"/>
    <s v="LAMAI_10631_Rhönbräu Klosterbier"/>
    <s v="10631"/>
    <s v="10631"/>
    <s v="Rhönbräu Klosterbier"/>
    <n v="7.75"/>
    <x v="26"/>
    <x v="5"/>
    <n v="55.800000000000004"/>
    <x v="0"/>
    <d v="1995-09-14T00:00:00"/>
    <s v=""/>
    <s v=""/>
  </r>
  <r>
    <x v="35"/>
    <x v="35"/>
    <s v="Rita"/>
    <s v="Müller"/>
    <s v="Müller, Rita"/>
    <s v="Müller, Rita"/>
    <x v="0"/>
    <s v="no"/>
    <s v="no"/>
    <s v="WANDK"/>
    <n v="10632"/>
    <x v="18"/>
    <x v="18"/>
    <s v="WANDK_10632_Chang"/>
    <s v="10632"/>
    <s v="10632"/>
    <s v="Chang"/>
    <n v="19"/>
    <x v="12"/>
    <x v="2"/>
    <n v="541.5"/>
    <x v="0"/>
    <d v="1995-09-14T00:00:00"/>
    <s v=""/>
    <s v=""/>
  </r>
  <r>
    <x v="35"/>
    <x v="35"/>
    <s v="Rita"/>
    <s v="Müller"/>
    <s v="Müller, Rita"/>
    <s v="Müller, Rita"/>
    <x v="0"/>
    <s v="no"/>
    <s v="no"/>
    <s v="WANDK"/>
    <n v="10632"/>
    <x v="10"/>
    <x v="10"/>
    <s v="WANDK_10632_Geitost"/>
    <s v="10632"/>
    <s v="10632"/>
    <s v="Geitost"/>
    <n v="2.5"/>
    <x v="8"/>
    <x v="2"/>
    <n v="47.5"/>
    <x v="0"/>
    <d v="1995-09-14T00:00:00"/>
    <s v=""/>
    <s v=""/>
  </r>
  <r>
    <x v="9"/>
    <x v="9"/>
    <s v="Roland"/>
    <s v="Mendel"/>
    <s v="Mendel, Roland"/>
    <s v="Mendel, Roland"/>
    <x v="0"/>
    <s v="no"/>
    <s v="no"/>
    <s v="ERNSH"/>
    <n v="10633"/>
    <x v="36"/>
    <x v="36"/>
    <s v="ERNSH_10633_Queso Manchego La Pastora"/>
    <s v="10633"/>
    <s v="10633"/>
    <s v="Queso Manchego La Pastora"/>
    <n v="38"/>
    <x v="20"/>
    <x v="1"/>
    <n v="1162.8"/>
    <x v="0"/>
    <d v="1995-09-15T00:00:00"/>
    <s v=""/>
    <s v=""/>
  </r>
  <r>
    <x v="9"/>
    <x v="9"/>
    <s v="Roland"/>
    <s v="Mendel"/>
    <s v="Mendel, Roland"/>
    <s v="Mendel, Roland"/>
    <x v="0"/>
    <s v="no"/>
    <s v="no"/>
    <s v="ERNSH"/>
    <n v="10633"/>
    <x v="43"/>
    <x v="43"/>
    <s v="ERNSH_10633_Konbu"/>
    <s v="10633"/>
    <s v="10633"/>
    <s v="Konbu"/>
    <n v="6"/>
    <x v="35"/>
    <x v="1"/>
    <n v="66.3"/>
    <x v="0"/>
    <d v="1995-09-15T00:00:00"/>
    <s v=""/>
    <s v=""/>
  </r>
  <r>
    <x v="9"/>
    <x v="9"/>
    <s v="Roland"/>
    <s v="Mendel"/>
    <s v="Mendel, Roland"/>
    <s v="Mendel, Roland"/>
    <x v="0"/>
    <s v="no"/>
    <s v="no"/>
    <s v="ERNSH"/>
    <n v="10633"/>
    <x v="68"/>
    <x v="68"/>
    <s v="ERNSH_10633_Gumbär Gummibärchen"/>
    <s v="10633"/>
    <s v="10633"/>
    <s v="Gumbär Gummibärchen"/>
    <n v="31.23"/>
    <x v="5"/>
    <x v="1"/>
    <n v="929.09249999999997"/>
    <x v="0"/>
    <d v="1995-09-15T00:00:00"/>
    <s v=""/>
    <s v=""/>
  </r>
  <r>
    <x v="9"/>
    <x v="9"/>
    <s v="Roland"/>
    <s v="Mendel"/>
    <s v="Mendel, Roland"/>
    <s v="Mendel, Roland"/>
    <x v="0"/>
    <s v="no"/>
    <s v="moderate"/>
    <s v="ERNSH"/>
    <n v="10633"/>
    <x v="29"/>
    <x v="29"/>
    <s v="ERNSH_10633_Tarte au sucre"/>
    <s v="10633"/>
    <s v="10633"/>
    <s v="Tarte au sucre"/>
    <n v="49.3"/>
    <x v="32"/>
    <x v="1"/>
    <n v="3352.4"/>
    <x v="0"/>
    <d v="1995-09-15T00:00:00"/>
    <s v=""/>
    <s v=""/>
  </r>
  <r>
    <x v="68"/>
    <x v="68"/>
    <s v="Martine"/>
    <s v="Rancé"/>
    <s v="Rancé, Martine"/>
    <s v="Rancé, Martine"/>
    <x v="0"/>
    <s v="no"/>
    <s v="no"/>
    <s v="FOLIG"/>
    <n v="10634"/>
    <x v="32"/>
    <x v="32"/>
    <s v="FOLIG_10634_Uncle Bob's Organic Dried Pears"/>
    <s v="10634"/>
    <s v="10634"/>
    <s v="Uncle Bob's Organic Dried Pears"/>
    <n v="30"/>
    <x v="5"/>
    <x v="0"/>
    <n v="1050"/>
    <x v="0"/>
    <d v="1995-09-15T00:00:00"/>
    <s v=""/>
    <s v=""/>
  </r>
  <r>
    <x v="68"/>
    <x v="68"/>
    <s v="Martine"/>
    <s v="Rancé"/>
    <s v="Rancé, Martine"/>
    <s v="Rancé, Martine"/>
    <x v="0"/>
    <s v="no"/>
    <s v="moderate"/>
    <s v="FOLIG"/>
    <n v="10634"/>
    <x v="59"/>
    <x v="59"/>
    <s v="FOLIG_10634_Carnarvon Tigers"/>
    <s v="10634"/>
    <s v="10634"/>
    <s v="Carnarvon Tigers"/>
    <n v="62.5"/>
    <x v="13"/>
    <x v="0"/>
    <n v="3125"/>
    <x v="0"/>
    <d v="1995-09-15T00:00:00"/>
    <s v=""/>
    <s v=""/>
  </r>
  <r>
    <x v="68"/>
    <x v="68"/>
    <s v="Martine"/>
    <s v="Rancé"/>
    <s v="Rancé, Martine"/>
    <s v="Rancé, Martine"/>
    <x v="0"/>
    <s v="no"/>
    <s v="no"/>
    <s v="FOLIG"/>
    <n v="10634"/>
    <x v="4"/>
    <x v="4"/>
    <s v="FOLIG_10634_Manjimup Dried Apples"/>
    <s v="10634"/>
    <s v="10634"/>
    <s v="Manjimup Dried Apples"/>
    <n v="53"/>
    <x v="6"/>
    <x v="0"/>
    <n v="795"/>
    <x v="0"/>
    <d v="1995-09-15T00:00:00"/>
    <s v=""/>
    <s v=""/>
  </r>
  <r>
    <x v="68"/>
    <x v="68"/>
    <s v="Martine"/>
    <s v="Rancé"/>
    <s v="Rancé, Martine"/>
    <s v="Rancé, Martine"/>
    <x v="0"/>
    <s v="no"/>
    <s v="no"/>
    <s v="FOLIG"/>
    <n v="10634"/>
    <x v="48"/>
    <x v="48"/>
    <s v="FOLIG_10634_Rhönbräu Klosterbier"/>
    <s v="10634"/>
    <s v="10634"/>
    <s v="Rhönbräu Klosterbier"/>
    <n v="7.75"/>
    <x v="17"/>
    <x v="0"/>
    <n v="15.5"/>
    <x v="0"/>
    <d v="1995-09-15T00:00:00"/>
    <s v=""/>
    <s v=""/>
  </r>
  <r>
    <x v="22"/>
    <x v="22"/>
    <s v="Giovanni"/>
    <s v="Rovelli"/>
    <s v="Rovelli, Giovanni"/>
    <s v="Rovelli, Giovanni"/>
    <x v="0"/>
    <s v="no"/>
    <s v="no"/>
    <s v="MAGAA"/>
    <n v="10635"/>
    <x v="62"/>
    <x v="62"/>
    <s v="MAGAA_10635_Chef Anton's Cajun Seasoning"/>
    <s v="10635"/>
    <s v="10635"/>
    <s v="Chef Anton's Cajun Seasoning"/>
    <n v="22"/>
    <x v="1"/>
    <x v="5"/>
    <n v="198"/>
    <x v="0"/>
    <d v="1995-09-18T00:00:00"/>
    <s v=""/>
    <s v=""/>
  </r>
  <r>
    <x v="22"/>
    <x v="22"/>
    <s v="Giovanni"/>
    <s v="Rovelli"/>
    <s v="Rovelli, Giovanni"/>
    <s v="Rovelli, Giovanni"/>
    <x v="0"/>
    <s v="no"/>
    <s v="no"/>
    <s v="MAGAA"/>
    <n v="10635"/>
    <x v="25"/>
    <x v="25"/>
    <s v="MAGAA_10635_Chef Anton's Gumbo Mix"/>
    <s v="10635"/>
    <s v="10635"/>
    <s v="Chef Anton's Gumbo Mix"/>
    <n v="21.35"/>
    <x v="6"/>
    <x v="5"/>
    <n v="288.22500000000002"/>
    <x v="0"/>
    <d v="1995-09-18T00:00:00"/>
    <s v=""/>
    <s v=""/>
  </r>
  <r>
    <x v="22"/>
    <x v="22"/>
    <s v="Giovanni"/>
    <s v="Rovelli"/>
    <s v="Rovelli, Giovanni"/>
    <s v="Rovelli, Giovanni"/>
    <x v="0"/>
    <s v="no"/>
    <s v="no"/>
    <s v="MAGAA"/>
    <n v="10635"/>
    <x v="7"/>
    <x v="7"/>
    <s v="MAGAA_10635_Gustaf's Knäckebröd"/>
    <s v="10635"/>
    <s v="10635"/>
    <s v="Gustaf's Knäckebröd"/>
    <n v="21"/>
    <x v="4"/>
    <x v="0"/>
    <n v="840"/>
    <x v="0"/>
    <d v="1995-09-18T00:00:00"/>
    <s v=""/>
    <s v=""/>
  </r>
  <r>
    <x v="16"/>
    <x v="16"/>
    <s v="Pirkko"/>
    <s v="Koskitalo"/>
    <s v="Koskitalo, Pirkko"/>
    <s v="Koskitalo, Pirkko"/>
    <x v="0"/>
    <s v="no"/>
    <s v="no"/>
    <s v="WARTH"/>
    <n v="10636"/>
    <x v="62"/>
    <x v="62"/>
    <s v="WARTH_10636_Chef Anton's Cajun Seasoning"/>
    <s v="10636"/>
    <s v="10636"/>
    <s v="Chef Anton's Cajun Seasoning"/>
    <n v="22"/>
    <x v="9"/>
    <x v="0"/>
    <n v="550"/>
    <x v="0"/>
    <d v="1995-09-19T00:00:00"/>
    <s v=""/>
    <s v=""/>
  </r>
  <r>
    <x v="16"/>
    <x v="16"/>
    <s v="Pirkko"/>
    <s v="Koskitalo"/>
    <s v="Koskitalo, Pirkko"/>
    <s v="Koskitalo, Pirkko"/>
    <x v="0"/>
    <s v="no"/>
    <s v="no"/>
    <s v="WARTH"/>
    <n v="10636"/>
    <x v="64"/>
    <x v="64"/>
    <s v="WARTH_10636_Escargots de Bourgogne"/>
    <s v="10636"/>
    <s v="10636"/>
    <s v="Escargots de Bourgogne"/>
    <n v="13.25"/>
    <x v="7"/>
    <x v="0"/>
    <n v="79.5"/>
    <x v="0"/>
    <d v="1995-09-19T00:00:00"/>
    <s v=""/>
    <s v=""/>
  </r>
  <r>
    <x v="62"/>
    <x v="62"/>
    <s v="Lúcia"/>
    <s v="Carvalho"/>
    <s v="Carvalho, Lúcia"/>
    <s v="Carvalho, Lúcia"/>
    <x v="0"/>
    <s v="no"/>
    <s v="no"/>
    <s v="QUEEN"/>
    <n v="10637"/>
    <x v="0"/>
    <x v="0"/>
    <s v="QUEEN_10637_Queso Cabrales"/>
    <s v="10637"/>
    <s v="10637"/>
    <s v="Queso Cabrales"/>
    <n v="21"/>
    <x v="1"/>
    <x v="0"/>
    <n v="210"/>
    <x v="0"/>
    <d v="1995-09-19T00:00:00"/>
    <s v=""/>
    <s v=""/>
  </r>
  <r>
    <x v="62"/>
    <x v="62"/>
    <s v="Lúcia"/>
    <s v="Carvalho"/>
    <s v="Carvalho, Lúcia"/>
    <s v="Carvalho, Lúcia"/>
    <x v="0"/>
    <s v="no"/>
    <s v="no"/>
    <s v="QUEEN"/>
    <n v="10637"/>
    <x v="72"/>
    <x v="72"/>
    <s v="QUEEN_10637_Valkoinen suklaa"/>
    <s v="10637"/>
    <s v="10637"/>
    <s v="Valkoinen suklaa"/>
    <n v="16.25"/>
    <x v="9"/>
    <x v="2"/>
    <n v="385.9375"/>
    <x v="0"/>
    <d v="1995-09-19T00:00:00"/>
    <s v=""/>
    <s v=""/>
  </r>
  <r>
    <x v="62"/>
    <x v="62"/>
    <s v="Lúcia"/>
    <s v="Carvalho"/>
    <s v="Carvalho, Lúcia"/>
    <s v="Carvalho, Lúcia"/>
    <x v="0"/>
    <s v="no"/>
    <s v="no"/>
    <s v="QUEEN"/>
    <n v="10637"/>
    <x v="33"/>
    <x v="33"/>
    <s v="QUEEN_10637_Gnocchi di nonna Alice"/>
    <s v="10637"/>
    <s v="10637"/>
    <s v="Gnocchi di nonna Alice"/>
    <n v="38"/>
    <x v="18"/>
    <x v="2"/>
    <n v="2166"/>
    <x v="0"/>
    <d v="1995-09-19T00:00:00"/>
    <s v=""/>
    <s v=""/>
  </r>
  <r>
    <x v="67"/>
    <x v="67"/>
    <s v="Felipe"/>
    <s v="Izquierdo"/>
    <s v="Izquierdo, Felipe"/>
    <s v="Izquierdo, Felipe"/>
    <x v="0"/>
    <s v="no"/>
    <s v="no"/>
    <s v="LINOD"/>
    <n v="10638"/>
    <x v="73"/>
    <x v="73"/>
    <s v="LINOD_10638_Røgede sild"/>
    <s v="10638"/>
    <s v="10638"/>
    <s v="Røgede sild"/>
    <n v="9.5"/>
    <x v="8"/>
    <x v="0"/>
    <n v="190"/>
    <x v="0"/>
    <d v="1995-09-20T00:00:00"/>
    <s v=""/>
    <s v=""/>
  </r>
  <r>
    <x v="67"/>
    <x v="67"/>
    <s v="Felipe"/>
    <s v="Izquierdo"/>
    <s v="Izquierdo, Felipe"/>
    <s v="Izquierdo, Felipe"/>
    <x v="0"/>
    <s v="no"/>
    <s v="no"/>
    <s v="LINOD"/>
    <n v="10638"/>
    <x v="6"/>
    <x v="6"/>
    <s v="LINOD_10638_Louisiana Fiery Hot Pepper Sauce"/>
    <s v="10638"/>
    <s v="10638"/>
    <s v="Louisiana Fiery Hot Pepper Sauce"/>
    <n v="21.05"/>
    <x v="11"/>
    <x v="0"/>
    <n v="442.05"/>
    <x v="0"/>
    <d v="1995-09-20T00:00:00"/>
    <s v=""/>
    <s v=""/>
  </r>
  <r>
    <x v="67"/>
    <x v="67"/>
    <s v="Felipe"/>
    <s v="Izquierdo"/>
    <s v="Izquierdo, Felipe"/>
    <s v="Izquierdo, Felipe"/>
    <x v="0"/>
    <s v="no"/>
    <s v="no"/>
    <s v="LINOD"/>
    <n v="10638"/>
    <x v="2"/>
    <x v="2"/>
    <s v="LINOD_10638_Mozzarella di Giovanni"/>
    <s v="10638"/>
    <s v="10638"/>
    <s v="Mozzarella di Giovanni"/>
    <n v="34.799999999999997"/>
    <x v="18"/>
    <x v="0"/>
    <n v="2088"/>
    <x v="0"/>
    <d v="1995-09-20T00:00:00"/>
    <s v=""/>
    <s v=""/>
  </r>
  <r>
    <x v="65"/>
    <x v="65"/>
    <s v="Jonas"/>
    <s v="Bergulfsen"/>
    <s v="Bergulfsen, Jonas"/>
    <s v="Bergulfsen, Jonas"/>
    <x v="0"/>
    <s v="no"/>
    <s v="no"/>
    <s v="SANTG"/>
    <n v="10639"/>
    <x v="59"/>
    <x v="59"/>
    <s v="SANTG_10639_Carnarvon Tigers"/>
    <s v="10639"/>
    <s v="10639"/>
    <s v="Carnarvon Tigers"/>
    <n v="62.5"/>
    <x v="26"/>
    <x v="0"/>
    <n v="500"/>
    <x v="0"/>
    <d v="1995-09-20T00:00:00"/>
    <s v=""/>
    <s v=""/>
  </r>
  <r>
    <x v="35"/>
    <x v="35"/>
    <s v="Rita"/>
    <s v="Müller"/>
    <s v="Müller, Rita"/>
    <s v="Müller, Rita"/>
    <x v="0"/>
    <s v="no"/>
    <s v="no"/>
    <s v="WANDK"/>
    <n v="10640"/>
    <x v="60"/>
    <x v="60"/>
    <s v="WANDK_10640_Gudbrandsdalsost"/>
    <s v="10640"/>
    <s v="10640"/>
    <s v="Gudbrandsdalsost"/>
    <n v="36"/>
    <x v="8"/>
    <x v="4"/>
    <n v="540"/>
    <x v="0"/>
    <d v="1995-09-21T00:00:00"/>
    <s v=""/>
    <s v=""/>
  </r>
  <r>
    <x v="35"/>
    <x v="35"/>
    <s v="Rita"/>
    <s v="Müller"/>
    <s v="Müller, Rita"/>
    <s v="Müller, Rita"/>
    <x v="0"/>
    <s v="no"/>
    <s v="no"/>
    <s v="WANDK"/>
    <n v="10640"/>
    <x v="30"/>
    <x v="30"/>
    <s v="WANDK_10640_Outback Lager"/>
    <s v="10640"/>
    <s v="10640"/>
    <s v="Outback Lager"/>
    <n v="15"/>
    <x v="6"/>
    <x v="4"/>
    <n v="168.75"/>
    <x v="0"/>
    <d v="1995-09-21T00:00:00"/>
    <s v=""/>
    <s v=""/>
  </r>
  <r>
    <x v="8"/>
    <x v="8"/>
    <s v="Carlos"/>
    <s v="Hernández"/>
    <s v="Hernández, Carlos"/>
    <s v="Hernández, Carlos"/>
    <x v="0"/>
    <s v="no"/>
    <s v="no"/>
    <s v="HILAA"/>
    <n v="10641"/>
    <x v="18"/>
    <x v="18"/>
    <s v="HILAA_10641_Chang"/>
    <s v="10641"/>
    <s v="10641"/>
    <s v="Chang"/>
    <n v="19"/>
    <x v="13"/>
    <x v="0"/>
    <n v="950"/>
    <x v="0"/>
    <d v="1995-09-22T00:00:00"/>
    <s v=""/>
    <s v=""/>
  </r>
  <r>
    <x v="8"/>
    <x v="8"/>
    <s v="Carlos"/>
    <s v="Hernández"/>
    <s v="Hernández, Carlos"/>
    <s v="Hernández, Carlos"/>
    <x v="0"/>
    <s v="no"/>
    <s v="no"/>
    <s v="HILAA"/>
    <n v="10641"/>
    <x v="37"/>
    <x v="37"/>
    <s v="HILAA_10641_Boston Crab Meat"/>
    <s v="10641"/>
    <s v="10641"/>
    <s v="Boston Crab Meat"/>
    <n v="18.399999999999999"/>
    <x v="18"/>
    <x v="0"/>
    <n v="1104"/>
    <x v="0"/>
    <d v="1995-09-22T00:00:00"/>
    <s v=""/>
    <s v=""/>
  </r>
  <r>
    <x v="51"/>
    <x v="51"/>
    <s v="Jytte"/>
    <s v="Petersen"/>
    <s v="Petersen, Jytte"/>
    <s v="Petersen, Jytte"/>
    <x v="0"/>
    <s v="no"/>
    <s v="no"/>
    <s v="SIMOB"/>
    <n v="10642"/>
    <x v="27"/>
    <x v="27"/>
    <s v="SIMOB_10642_Sir Rodney's Scones"/>
    <s v="10642"/>
    <s v="10642"/>
    <s v="Sir Rodney's Scones"/>
    <n v="10"/>
    <x v="12"/>
    <x v="3"/>
    <n v="240"/>
    <x v="0"/>
    <d v="1995-09-22T00:00:00"/>
    <s v=""/>
    <s v=""/>
  </r>
  <r>
    <x v="51"/>
    <x v="51"/>
    <s v="Jytte"/>
    <s v="Petersen"/>
    <s v="Petersen, Jytte"/>
    <s v="Petersen, Jytte"/>
    <x v="0"/>
    <s v="no"/>
    <s v="no"/>
    <s v="SIMOB"/>
    <n v="10642"/>
    <x v="75"/>
    <x v="75"/>
    <s v="SIMOB_10642_Sirop d'érable"/>
    <s v="10642"/>
    <s v="10642"/>
    <s v="Sirop d'érable"/>
    <n v="28.5"/>
    <x v="8"/>
    <x v="3"/>
    <n v="456"/>
    <x v="0"/>
    <d v="1995-09-22T00:00:00"/>
    <s v=""/>
    <s v=""/>
  </r>
  <r>
    <x v="85"/>
    <x v="85"/>
    <s v="Maria"/>
    <s v="Anders"/>
    <s v="Anders, Maria"/>
    <s v="Anders, Maria"/>
    <x v="0"/>
    <s v="no"/>
    <s v="no"/>
    <s v="ALFKI"/>
    <n v="10643"/>
    <x v="44"/>
    <x v="44"/>
    <s v="ALFKI_10643_Rössle Sauerkraut"/>
    <s v="10643"/>
    <s v="10643"/>
    <s v="Rössle Sauerkraut"/>
    <n v="45.6"/>
    <x v="6"/>
    <x v="4"/>
    <n v="513"/>
    <x v="0"/>
    <d v="1995-09-25T00:00:00"/>
    <s v=""/>
    <s v=""/>
  </r>
  <r>
    <x v="85"/>
    <x v="85"/>
    <s v="Maria"/>
    <s v="Anders"/>
    <s v="Anders, Maria"/>
    <s v="Anders, Maria"/>
    <x v="0"/>
    <s v="no"/>
    <s v="no"/>
    <s v="ALFKI"/>
    <n v="10643"/>
    <x v="13"/>
    <x v="13"/>
    <s v="ALFKI_10643_Chartreuse verte"/>
    <s v="10643"/>
    <s v="10643"/>
    <s v="Chartreuse verte"/>
    <n v="18"/>
    <x v="11"/>
    <x v="4"/>
    <n v="283.5"/>
    <x v="0"/>
    <d v="1995-09-25T00:00:00"/>
    <s v=""/>
    <s v=""/>
  </r>
  <r>
    <x v="85"/>
    <x v="85"/>
    <s v="Maria"/>
    <s v="Anders"/>
    <s v="Anders, Maria"/>
    <s v="Anders, Maria"/>
    <x v="0"/>
    <s v="no"/>
    <s v="no"/>
    <s v="ALFKI"/>
    <n v="10643"/>
    <x v="54"/>
    <x v="54"/>
    <s v="ALFKI_10643_Spegesild"/>
    <s v="10643"/>
    <s v="10643"/>
    <s v="Spegesild"/>
    <n v="12"/>
    <x v="17"/>
    <x v="4"/>
    <n v="18"/>
    <x v="0"/>
    <d v="1995-09-25T00:00:00"/>
    <s v=""/>
    <s v=""/>
  </r>
  <r>
    <x v="7"/>
    <x v="7"/>
    <s v="Paula"/>
    <s v="Parente"/>
    <s v="Parente, Paula"/>
    <s v="Parente, Paula"/>
    <x v="0"/>
    <s v="no"/>
    <s v="no"/>
    <s v="WELLI"/>
    <n v="10644"/>
    <x v="59"/>
    <x v="59"/>
    <s v="WELLI_10644_Carnarvon Tigers"/>
    <s v="10644"/>
    <s v="10644"/>
    <s v="Carnarvon Tigers"/>
    <n v="62.5"/>
    <x v="22"/>
    <x v="5"/>
    <n v="225"/>
    <x v="0"/>
    <d v="1995-09-25T00:00:00"/>
    <s v=""/>
    <s v=""/>
  </r>
  <r>
    <x v="7"/>
    <x v="7"/>
    <s v="Paula"/>
    <s v="Parente"/>
    <s v="Parente, Paula"/>
    <s v="Parente, Paula"/>
    <x v="0"/>
    <s v="no"/>
    <s v="no"/>
    <s v="WELLI"/>
    <n v="10644"/>
    <x v="40"/>
    <x v="40"/>
    <s v="WELLI_10644_Ipoh Coffee"/>
    <s v="10644"/>
    <s v="10644"/>
    <s v="Ipoh Coffee"/>
    <n v="46"/>
    <x v="8"/>
    <x v="0"/>
    <n v="920"/>
    <x v="0"/>
    <d v="1995-09-25T00:00:00"/>
    <s v=""/>
    <s v=""/>
  </r>
  <r>
    <x v="7"/>
    <x v="7"/>
    <s v="Paula"/>
    <s v="Parente"/>
    <s v="Parente, Paula"/>
    <s v="Parente, Paula"/>
    <x v="0"/>
    <s v="no"/>
    <s v="no"/>
    <s v="WELLI"/>
    <n v="10644"/>
    <x v="54"/>
    <x v="54"/>
    <s v="WELLI_10644_Spegesild"/>
    <s v="10644"/>
    <s v="10644"/>
    <s v="Spegesild"/>
    <n v="12"/>
    <x v="11"/>
    <x v="5"/>
    <n v="226.8"/>
    <x v="0"/>
    <d v="1995-09-25T00:00:00"/>
    <s v=""/>
    <s v=""/>
  </r>
  <r>
    <x v="2"/>
    <x v="2"/>
    <s v="Mario"/>
    <s v="Pontes"/>
    <s v="Pontes, Mario"/>
    <s v="Pontes, Mario"/>
    <x v="0"/>
    <s v="no"/>
    <s v="no"/>
    <s v="HANAR"/>
    <n v="10645"/>
    <x v="59"/>
    <x v="59"/>
    <s v="HANAR_10645_Carnarvon Tigers"/>
    <s v="10645"/>
    <s v="10645"/>
    <s v="Carnarvon Tigers"/>
    <n v="62.5"/>
    <x v="8"/>
    <x v="0"/>
    <n v="1250"/>
    <x v="0"/>
    <d v="1995-09-26T00:00:00"/>
    <s v=""/>
    <s v=""/>
  </r>
  <r>
    <x v="2"/>
    <x v="2"/>
    <s v="Mario"/>
    <s v="Pontes"/>
    <s v="Pontes, Mario"/>
    <s v="Pontes, Mario"/>
    <x v="0"/>
    <s v="no"/>
    <s v="no"/>
    <s v="HANAR"/>
    <n v="10645"/>
    <x v="20"/>
    <x v="20"/>
    <s v="HANAR_10645_Inlagd Sill"/>
    <s v="10645"/>
    <s v="10645"/>
    <s v="Inlagd Sill"/>
    <n v="19"/>
    <x v="6"/>
    <x v="0"/>
    <n v="285"/>
    <x v="0"/>
    <d v="1995-09-26T00:00:00"/>
    <s v=""/>
    <s v=""/>
  </r>
  <r>
    <x v="34"/>
    <x v="34"/>
    <s v="Patricia"/>
    <s v="McKenna"/>
    <s v="McKenna, Patricia"/>
    <s v="McKenna, Patricia"/>
    <x v="0"/>
    <s v="no"/>
    <s v="no"/>
    <s v="HUNGO"/>
    <n v="10646"/>
    <x v="52"/>
    <x v="52"/>
    <s v="HUNGO_10646_Chai"/>
    <s v="10646"/>
    <s v="10646"/>
    <s v="Chai"/>
    <n v="18"/>
    <x v="6"/>
    <x v="4"/>
    <n v="202.5"/>
    <x v="0"/>
    <d v="1995-09-27T00:00:00"/>
    <s v=""/>
    <s v=""/>
  </r>
  <r>
    <x v="34"/>
    <x v="34"/>
    <s v="Patricia"/>
    <s v="McKenna"/>
    <s v="McKenna, Patricia"/>
    <s v="McKenna, Patricia"/>
    <x v="0"/>
    <s v="no"/>
    <s v="no"/>
    <s v="HUNGO"/>
    <n v="10646"/>
    <x v="41"/>
    <x v="41"/>
    <s v="HUNGO_10646_Ikura"/>
    <s v="10646"/>
    <s v="10646"/>
    <s v="Ikura"/>
    <n v="31"/>
    <x v="27"/>
    <x v="4"/>
    <n v="418.5"/>
    <x v="0"/>
    <d v="1995-09-27T00:00:00"/>
    <s v=""/>
    <s v=""/>
  </r>
  <r>
    <x v="34"/>
    <x v="34"/>
    <s v="Patricia"/>
    <s v="McKenna"/>
    <s v="McKenna, Patricia"/>
    <s v="McKenna, Patricia"/>
    <x v="0"/>
    <s v="no"/>
    <s v="no"/>
    <s v="HUNGO"/>
    <n v="10646"/>
    <x v="42"/>
    <x v="42"/>
    <s v="HUNGO_10646_Fløtemysost"/>
    <s v="10646"/>
    <s v="10646"/>
    <s v="Fløtemysost"/>
    <n v="21.5"/>
    <x v="12"/>
    <x v="4"/>
    <n v="483.75"/>
    <x v="0"/>
    <d v="1995-09-27T00:00:00"/>
    <s v=""/>
    <s v=""/>
  </r>
  <r>
    <x v="34"/>
    <x v="34"/>
    <s v="Patricia"/>
    <s v="McKenna"/>
    <s v="McKenna, Patricia"/>
    <s v="McKenna, Patricia"/>
    <x v="0"/>
    <s v="no"/>
    <s v="no"/>
    <s v="HUNGO"/>
    <n v="10646"/>
    <x v="23"/>
    <x v="23"/>
    <s v="HUNGO_10646_Original Frankfurter grüne Soße"/>
    <s v="10646"/>
    <s v="10646"/>
    <s v="Original Frankfurter grüne Soße"/>
    <n v="13"/>
    <x v="5"/>
    <x v="4"/>
    <n v="341.25"/>
    <x v="0"/>
    <d v="1995-09-27T00:00:00"/>
    <s v=""/>
    <s v=""/>
  </r>
  <r>
    <x v="12"/>
    <x v="12"/>
    <s v="Bernardo"/>
    <s v="Batista"/>
    <s v="Batista, Bernardo"/>
    <s v="Batista, Bernardo"/>
    <x v="0"/>
    <s v="no"/>
    <s v="no"/>
    <s v="QUEDE"/>
    <n v="10647"/>
    <x v="49"/>
    <x v="49"/>
    <s v="QUEDE_10647_Teatime Chocolate Biscuits"/>
    <s v="10647"/>
    <s v="10647"/>
    <s v="Teatime Chocolate Biscuits"/>
    <n v="9.1999999999999993"/>
    <x v="12"/>
    <x v="0"/>
    <n v="276"/>
    <x v="0"/>
    <d v="1995-09-27T00:00:00"/>
    <s v=""/>
    <s v=""/>
  </r>
  <r>
    <x v="12"/>
    <x v="12"/>
    <s v="Bernardo"/>
    <s v="Batista"/>
    <s v="Batista, Bernardo"/>
    <s v="Batista, Bernardo"/>
    <x v="0"/>
    <s v="no"/>
    <s v="no"/>
    <s v="QUEDE"/>
    <n v="10647"/>
    <x v="13"/>
    <x v="13"/>
    <s v="QUEDE_10647_Chartreuse verte"/>
    <s v="10647"/>
    <s v="10647"/>
    <s v="Chartreuse verte"/>
    <n v="18"/>
    <x v="8"/>
    <x v="0"/>
    <n v="360"/>
    <x v="0"/>
    <d v="1995-09-27T00:00:00"/>
    <s v=""/>
    <s v=""/>
  </r>
  <r>
    <x v="29"/>
    <x v="29"/>
    <s v="Janete"/>
    <s v="Limeira"/>
    <s v="Limeira, Janete"/>
    <s v="Limeira, Janete"/>
    <x v="0"/>
    <s v="no"/>
    <s v="no"/>
    <s v="RICAR"/>
    <n v="10648"/>
    <x v="7"/>
    <x v="7"/>
    <s v="RICAR_10648_Gustaf's Knäckebröd"/>
    <s v="10648"/>
    <s v="10648"/>
    <s v="Gustaf's Knäckebröd"/>
    <n v="21"/>
    <x v="6"/>
    <x v="0"/>
    <n v="315"/>
    <x v="0"/>
    <d v="1995-09-28T00:00:00"/>
    <s v=""/>
    <s v=""/>
  </r>
  <r>
    <x v="29"/>
    <x v="29"/>
    <s v="Janete"/>
    <s v="Limeira"/>
    <s v="Limeira, Janete"/>
    <s v="Limeira, Janete"/>
    <x v="0"/>
    <s v="no"/>
    <s v="no"/>
    <s v="RICAR"/>
    <n v="10648"/>
    <x v="15"/>
    <x v="15"/>
    <s v="RICAR_10648_Guaraná Fantástica"/>
    <s v="10648"/>
    <s v="10648"/>
    <s v="Guaraná Fantástica"/>
    <n v="4.5"/>
    <x v="6"/>
    <x v="1"/>
    <n v="57.375"/>
    <x v="0"/>
    <d v="1995-09-28T00:00:00"/>
    <s v=""/>
    <s v=""/>
  </r>
  <r>
    <x v="80"/>
    <x v="80"/>
    <s v="Catherine"/>
    <s v="Dewey"/>
    <s v="Dewey, Catherine"/>
    <s v="Dewey, Catherine"/>
    <x v="0"/>
    <s v="no"/>
    <s v="no"/>
    <s v="MAISD"/>
    <n v="10649"/>
    <x v="44"/>
    <x v="44"/>
    <s v="MAISD_10649_Rössle Sauerkraut"/>
    <s v="10649"/>
    <s v="10649"/>
    <s v="Rössle Sauerkraut"/>
    <n v="45.6"/>
    <x v="8"/>
    <x v="0"/>
    <n v="912"/>
    <x v="0"/>
    <d v="1995-09-28T00:00:00"/>
    <s v=""/>
    <s v=""/>
  </r>
  <r>
    <x v="80"/>
    <x v="80"/>
    <s v="Catherine"/>
    <s v="Dewey"/>
    <s v="Dewey, Catherine"/>
    <s v="Dewey, Catherine"/>
    <x v="0"/>
    <s v="no"/>
    <s v="no"/>
    <s v="MAISD"/>
    <n v="10649"/>
    <x v="2"/>
    <x v="2"/>
    <s v="MAISD_10649_Mozzarella di Giovanni"/>
    <s v="10649"/>
    <s v="10649"/>
    <s v="Mozzarella di Giovanni"/>
    <n v="34.799999999999997"/>
    <x v="6"/>
    <x v="0"/>
    <n v="522"/>
    <x v="0"/>
    <d v="1995-09-28T00:00:00"/>
    <s v=""/>
    <s v=""/>
  </r>
  <r>
    <x v="52"/>
    <x v="52"/>
    <s v="Aria"/>
    <s v="Cruz"/>
    <s v="Cruz, Aria"/>
    <s v="Cruz, Aria"/>
    <x v="0"/>
    <s v="no"/>
    <s v="no"/>
    <s v="FAMIA"/>
    <n v="10650"/>
    <x v="34"/>
    <x v="34"/>
    <s v="FAMIA_10650_Nord-Ost Matjeshering"/>
    <s v="10650"/>
    <s v="10650"/>
    <s v="Nord-Ost Matjeshering"/>
    <n v="25.89"/>
    <x v="12"/>
    <x v="0"/>
    <n v="776.7"/>
    <x v="0"/>
    <d v="1995-09-29T00:00:00"/>
    <s v=""/>
    <s v=""/>
  </r>
  <r>
    <x v="52"/>
    <x v="52"/>
    <s v="Aria"/>
    <s v="Cruz"/>
    <s v="Cruz, Aria"/>
    <s v="Cruz, Aria"/>
    <x v="0"/>
    <s v="no"/>
    <s v="no"/>
    <s v="FAMIA"/>
    <n v="10650"/>
    <x v="22"/>
    <x v="22"/>
    <s v="FAMIA_10650_Perth Pasties"/>
    <s v="10650"/>
    <s v="10650"/>
    <s v="Perth Pasties"/>
    <n v="32.799999999999997"/>
    <x v="9"/>
    <x v="2"/>
    <n v="778.99999999999989"/>
    <x v="0"/>
    <d v="1995-09-29T00:00:00"/>
    <s v=""/>
    <s v=""/>
  </r>
  <r>
    <x v="52"/>
    <x v="52"/>
    <s v="Aria"/>
    <s v="Cruz"/>
    <s v="Cruz, Aria"/>
    <s v="Cruz, Aria"/>
    <x v="0"/>
    <s v="no"/>
    <s v="no"/>
    <s v="FAMIA"/>
    <n v="10650"/>
    <x v="55"/>
    <x v="55"/>
    <s v="FAMIA_10650_Tourtière"/>
    <s v="10650"/>
    <s v="10650"/>
    <s v="Tourtière"/>
    <n v="7.45"/>
    <x v="12"/>
    <x v="0"/>
    <n v="223.5"/>
    <x v="0"/>
    <d v="1995-09-29T00:00:00"/>
    <s v=""/>
    <s v=""/>
  </r>
  <r>
    <x v="35"/>
    <x v="35"/>
    <s v="Rita"/>
    <s v="Müller"/>
    <s v="Müller, Rita"/>
    <s v="Müller, Rita"/>
    <x v="0"/>
    <s v="no"/>
    <s v="no"/>
    <s v="WANDK"/>
    <n v="10651"/>
    <x v="49"/>
    <x v="49"/>
    <s v="WANDK_10651_Teatime Chocolate Biscuits"/>
    <s v="10651"/>
    <s v="10651"/>
    <s v="Teatime Chocolate Biscuits"/>
    <n v="9.1999999999999993"/>
    <x v="0"/>
    <x v="4"/>
    <n v="82.8"/>
    <x v="0"/>
    <d v="1995-10-02T00:00:00"/>
    <s v=""/>
    <s v=""/>
  </r>
  <r>
    <x v="35"/>
    <x v="35"/>
    <s v="Rita"/>
    <s v="Müller"/>
    <s v="Müller, Rita"/>
    <s v="Müller, Rita"/>
    <x v="0"/>
    <s v="no"/>
    <s v="no"/>
    <s v="WANDK"/>
    <n v="10651"/>
    <x v="7"/>
    <x v="7"/>
    <s v="WANDK_10651_Gustaf's Knäckebröd"/>
    <s v="10651"/>
    <s v="10651"/>
    <s v="Gustaf's Knäckebröd"/>
    <n v="21"/>
    <x v="8"/>
    <x v="4"/>
    <n v="315"/>
    <x v="0"/>
    <d v="1995-10-02T00:00:00"/>
    <s v=""/>
    <s v=""/>
  </r>
  <r>
    <x v="71"/>
    <x v="71"/>
    <s v="André"/>
    <s v="Fonseca"/>
    <s v="Fonseca, André"/>
    <s v="Fonseca, André"/>
    <x v="0"/>
    <s v="no"/>
    <s v="no"/>
    <s v="GOURL"/>
    <n v="10652"/>
    <x v="34"/>
    <x v="34"/>
    <s v="GOURL_10652_Nord-Ost Matjeshering"/>
    <s v="10652"/>
    <s v="10652"/>
    <s v="Nord-Ost Matjeshering"/>
    <n v="25.89"/>
    <x v="17"/>
    <x v="4"/>
    <n v="38.835000000000001"/>
    <x v="0"/>
    <d v="1995-10-02T00:00:00"/>
    <s v=""/>
    <s v=""/>
  </r>
  <r>
    <x v="71"/>
    <x v="71"/>
    <s v="André"/>
    <s v="Fonseca"/>
    <s v="Fonseca, André"/>
    <s v="Fonseca, André"/>
    <x v="0"/>
    <s v="no"/>
    <s v="no"/>
    <s v="GOURL"/>
    <n v="10652"/>
    <x v="1"/>
    <x v="1"/>
    <s v="GOURL_10652_Singaporean Hokkien Fried Mee"/>
    <s v="10652"/>
    <s v="10652"/>
    <s v="Singaporean Hokkien Fried Mee"/>
    <n v="14"/>
    <x v="8"/>
    <x v="0"/>
    <n v="280"/>
    <x v="0"/>
    <d v="1995-10-02T00:00:00"/>
    <s v=""/>
    <s v=""/>
  </r>
  <r>
    <x v="17"/>
    <x v="17"/>
    <s v="Peter"/>
    <s v="Franken"/>
    <s v="Franken, Peter"/>
    <s v="Franken, Peter"/>
    <x v="0"/>
    <s v="no"/>
    <s v="no"/>
    <s v="FRANK"/>
    <n v="10653"/>
    <x v="19"/>
    <x v="19"/>
    <s v="FRANK_10653_Pavlova"/>
    <s v="10653"/>
    <s v="10653"/>
    <s v="Pavlova"/>
    <n v="17.45"/>
    <x v="12"/>
    <x v="5"/>
    <n v="471.15000000000003"/>
    <x v="0"/>
    <d v="1995-10-03T00:00:00"/>
    <s v=""/>
    <s v=""/>
  </r>
  <r>
    <x v="17"/>
    <x v="17"/>
    <s v="Peter"/>
    <s v="Franken"/>
    <s v="Franken, Peter"/>
    <s v="Franken, Peter"/>
    <x v="0"/>
    <s v="no"/>
    <s v="no"/>
    <s v="FRANK"/>
    <n v="10653"/>
    <x v="11"/>
    <x v="11"/>
    <s v="FRANK_10653_Camembert Pierrot"/>
    <s v="10653"/>
    <s v="10653"/>
    <s v="Camembert Pierrot"/>
    <n v="34"/>
    <x v="8"/>
    <x v="5"/>
    <n v="612"/>
    <x v="0"/>
    <d v="1995-10-03T00:00:00"/>
    <s v=""/>
    <s v=""/>
  </r>
  <r>
    <x v="25"/>
    <x v="25"/>
    <s v="Christina"/>
    <s v="Berglund"/>
    <s v="Berglund, Christina"/>
    <s v="Berglund, Christina"/>
    <x v="0"/>
    <s v="no"/>
    <s v="no"/>
    <s v="BERGS"/>
    <n v="10654"/>
    <x v="62"/>
    <x v="62"/>
    <s v="BERGS_10654_Chef Anton's Cajun Seasoning"/>
    <s v="10654"/>
    <s v="10654"/>
    <s v="Chef Anton's Cajun Seasoning"/>
    <n v="22"/>
    <x v="0"/>
    <x v="5"/>
    <n v="237.6"/>
    <x v="0"/>
    <d v="1995-10-03T00:00:00"/>
    <s v=""/>
    <s v=""/>
  </r>
  <r>
    <x v="25"/>
    <x v="25"/>
    <s v="Christina"/>
    <s v="Berglund"/>
    <s v="Berglund, Christina"/>
    <s v="Berglund, Christina"/>
    <x v="0"/>
    <s v="no"/>
    <s v="no"/>
    <s v="BERGS"/>
    <n v="10654"/>
    <x v="13"/>
    <x v="13"/>
    <s v="BERGS_10654_Chartreuse verte"/>
    <s v="10654"/>
    <s v="10654"/>
    <s v="Chartreuse verte"/>
    <n v="18"/>
    <x v="8"/>
    <x v="5"/>
    <n v="324"/>
    <x v="0"/>
    <d v="1995-10-03T00:00:00"/>
    <s v=""/>
    <s v=""/>
  </r>
  <r>
    <x v="25"/>
    <x v="25"/>
    <s v="Christina"/>
    <s v="Berglund"/>
    <s v="Berglund, Christina"/>
    <s v="Berglund, Christina"/>
    <x v="0"/>
    <s v="no"/>
    <s v="no"/>
    <s v="BERGS"/>
    <n v="10654"/>
    <x v="55"/>
    <x v="55"/>
    <s v="BERGS_10654_Tourtière"/>
    <s v="10654"/>
    <s v="10654"/>
    <s v="Tourtière"/>
    <n v="7.45"/>
    <x v="7"/>
    <x v="5"/>
    <n v="40.230000000000004"/>
    <x v="0"/>
    <d v="1995-10-03T00:00:00"/>
    <s v=""/>
    <s v=""/>
  </r>
  <r>
    <x v="30"/>
    <x v="30"/>
    <s v="Maurizio"/>
    <s v="Moroni"/>
    <s v="Moroni, Maurizio"/>
    <s v="Moroni, Maurizio"/>
    <x v="0"/>
    <s v="no"/>
    <s v="no"/>
    <s v="REGGC"/>
    <n v="10655"/>
    <x v="5"/>
    <x v="5"/>
    <s v="REGGC_10655_Jack's New England Clam Chowder"/>
    <s v="10655"/>
    <s v="10655"/>
    <s v="Jack's New England Clam Chowder"/>
    <n v="9.65"/>
    <x v="8"/>
    <x v="3"/>
    <n v="154.4"/>
    <x v="0"/>
    <d v="1995-10-04T00:00:00"/>
    <s v=""/>
    <s v=""/>
  </r>
  <r>
    <x v="79"/>
    <x v="79"/>
    <s v="Howard"/>
    <s v="Snyder"/>
    <s v="Snyder, Howard"/>
    <s v="Snyder, Howard"/>
    <x v="0"/>
    <s v="no"/>
    <s v="no"/>
    <s v="GREAL"/>
    <n v="10656"/>
    <x v="3"/>
    <x v="3"/>
    <s v="GREAL_10656_Tofu"/>
    <s v="10656"/>
    <s v="10656"/>
    <s v="Tofu"/>
    <n v="23.25"/>
    <x v="28"/>
    <x v="5"/>
    <n v="62.774999999999999"/>
    <x v="0"/>
    <d v="1995-10-05T00:00:00"/>
    <s v=""/>
    <s v=""/>
  </r>
  <r>
    <x v="79"/>
    <x v="79"/>
    <s v="Howard"/>
    <s v="Snyder"/>
    <s v="Snyder, Howard"/>
    <s v="Snyder, Howard"/>
    <x v="0"/>
    <s v="no"/>
    <s v="no"/>
    <s v="GREAL"/>
    <n v="10656"/>
    <x v="45"/>
    <x v="45"/>
    <s v="GREAL_10656_Gula Malacca"/>
    <s v="10656"/>
    <s v="10656"/>
    <s v="Gula Malacca"/>
    <n v="19.45"/>
    <x v="19"/>
    <x v="5"/>
    <n v="490.14000000000004"/>
    <x v="0"/>
    <d v="1995-10-05T00:00:00"/>
    <s v=""/>
    <s v=""/>
  </r>
  <r>
    <x v="79"/>
    <x v="79"/>
    <s v="Howard"/>
    <s v="Snyder"/>
    <s v="Snyder, Howard"/>
    <s v="Snyder, Howard"/>
    <x v="0"/>
    <s v="no"/>
    <s v="no"/>
    <s v="GREAL"/>
    <n v="10656"/>
    <x v="69"/>
    <x v="69"/>
    <s v="GREAL_10656_Zaanse koeken"/>
    <s v="10656"/>
    <s v="10656"/>
    <s v="Zaanse koeken"/>
    <n v="9.5"/>
    <x v="7"/>
    <x v="5"/>
    <n v="51.300000000000004"/>
    <x v="0"/>
    <d v="1995-10-05T00:00:00"/>
    <s v=""/>
    <s v=""/>
  </r>
  <r>
    <x v="45"/>
    <x v="45"/>
    <s v="Jose"/>
    <s v="Pavarotti"/>
    <s v="Pavarotti, Jose"/>
    <s v="Pavarotti, Jose"/>
    <x v="0"/>
    <s v="no"/>
    <s v="no"/>
    <s v="SAVEA"/>
    <n v="10657"/>
    <x v="50"/>
    <x v="50"/>
    <s v="SAVEA_10657_Genen Shouyu"/>
    <s v="10657"/>
    <s v="10657"/>
    <s v="Genen Shouyu"/>
    <n v="15.5"/>
    <x v="13"/>
    <x v="0"/>
    <n v="775"/>
    <x v="0"/>
    <d v="1995-10-05T00:00:00"/>
    <s v=""/>
    <s v=""/>
  </r>
  <r>
    <x v="45"/>
    <x v="45"/>
    <s v="Jose"/>
    <s v="Pavarotti"/>
    <s v="Pavarotti, Jose"/>
    <s v="Pavarotti, Jose"/>
    <x v="0"/>
    <s v="no"/>
    <s v="no"/>
    <s v="SAVEA"/>
    <n v="10657"/>
    <x v="5"/>
    <x v="5"/>
    <s v="SAVEA_10657_Jack's New England Clam Chowder"/>
    <s v="10657"/>
    <s v="10657"/>
    <s v="Jack's New England Clam Chowder"/>
    <n v="9.65"/>
    <x v="23"/>
    <x v="0"/>
    <n v="231.60000000000002"/>
    <x v="0"/>
    <d v="1995-10-05T00:00:00"/>
    <s v=""/>
    <s v=""/>
  </r>
  <r>
    <x v="45"/>
    <x v="45"/>
    <s v="Jose"/>
    <s v="Pavarotti"/>
    <s v="Pavarotti, Jose"/>
    <s v="Pavarotti, Jose"/>
    <x v="0"/>
    <s v="no"/>
    <s v="no"/>
    <s v="SAVEA"/>
    <n v="10657"/>
    <x v="54"/>
    <x v="54"/>
    <s v="SAVEA_10657_Spegesild"/>
    <s v="10657"/>
    <s v="10657"/>
    <s v="Spegesild"/>
    <n v="12"/>
    <x v="29"/>
    <x v="0"/>
    <n v="540"/>
    <x v="0"/>
    <d v="1995-10-05T00:00:00"/>
    <s v=""/>
    <s v=""/>
  </r>
  <r>
    <x v="45"/>
    <x v="45"/>
    <s v="Jose"/>
    <s v="Pavarotti"/>
    <s v="Pavarotti, Jose"/>
    <s v="Pavarotti, Jose"/>
    <x v="0"/>
    <s v="no"/>
    <s v="no"/>
    <s v="SAVEA"/>
    <n v="10657"/>
    <x v="69"/>
    <x v="69"/>
    <s v="SAVEA_10657_Zaanse koeken"/>
    <s v="10657"/>
    <s v="10657"/>
    <s v="Zaanse koeken"/>
    <n v="9.5"/>
    <x v="1"/>
    <x v="0"/>
    <n v="95"/>
    <x v="0"/>
    <d v="1995-10-05T00:00:00"/>
    <s v=""/>
    <s v=""/>
  </r>
  <r>
    <x v="45"/>
    <x v="45"/>
    <s v="Jose"/>
    <s v="Pavarotti"/>
    <s v="Pavarotti, Jose"/>
    <s v="Pavarotti, Jose"/>
    <x v="0"/>
    <s v="no"/>
    <s v="no"/>
    <s v="SAVEA"/>
    <n v="10657"/>
    <x v="33"/>
    <x v="33"/>
    <s v="SAVEA_10657_Gnocchi di nonna Alice"/>
    <s v="10657"/>
    <s v="10657"/>
    <s v="Gnocchi di nonna Alice"/>
    <n v="38"/>
    <x v="29"/>
    <x v="0"/>
    <n v="1710"/>
    <x v="0"/>
    <d v="1995-10-05T00:00:00"/>
    <s v=""/>
    <s v=""/>
  </r>
  <r>
    <x v="45"/>
    <x v="45"/>
    <s v="Jose"/>
    <s v="Pavarotti"/>
    <s v="Pavarotti, Jose"/>
    <s v="Pavarotti, Jose"/>
    <x v="0"/>
    <s v="no"/>
    <s v="no"/>
    <s v="SAVEA"/>
    <n v="10657"/>
    <x v="11"/>
    <x v="11"/>
    <s v="SAVEA_10657_Camembert Pierrot"/>
    <s v="10657"/>
    <s v="10657"/>
    <s v="Camembert Pierrot"/>
    <n v="34"/>
    <x v="12"/>
    <x v="0"/>
    <n v="1020"/>
    <x v="0"/>
    <d v="1995-10-05T00:00:00"/>
    <s v=""/>
    <s v=""/>
  </r>
  <r>
    <x v="21"/>
    <x v="21"/>
    <s v="Horst"/>
    <s v="Kloss"/>
    <s v="Kloss, Horst"/>
    <s v="Kloss, Horst"/>
    <x v="0"/>
    <s v="no"/>
    <s v="no"/>
    <s v="QUICK"/>
    <n v="10658"/>
    <x v="27"/>
    <x v="27"/>
    <s v="QUICK_10658_Sir Rodney's Scones"/>
    <s v="10658"/>
    <s v="10658"/>
    <s v="Sir Rodney's Scones"/>
    <n v="10"/>
    <x v="18"/>
    <x v="0"/>
    <n v="600"/>
    <x v="0"/>
    <d v="1995-10-06T00:00:00"/>
    <s v=""/>
    <s v=""/>
  </r>
  <r>
    <x v="21"/>
    <x v="21"/>
    <s v="Horst"/>
    <s v="Kloss"/>
    <s v="Kloss, Horst"/>
    <s v="Kloss, Horst"/>
    <x v="0"/>
    <s v="no"/>
    <s v="no"/>
    <s v="QUICK"/>
    <n v="10658"/>
    <x v="37"/>
    <x v="37"/>
    <s v="QUICK_10658_Boston Crab Meat"/>
    <s v="10658"/>
    <s v="10658"/>
    <s v="Boston Crab Meat"/>
    <n v="18.399999999999999"/>
    <x v="21"/>
    <x v="2"/>
    <n v="1223.5999999999999"/>
    <x v="0"/>
    <d v="1995-10-06T00:00:00"/>
    <s v=""/>
    <s v=""/>
  </r>
  <r>
    <x v="21"/>
    <x v="21"/>
    <s v="Horst"/>
    <s v="Kloss"/>
    <s v="Kloss, Horst"/>
    <s v="Kloss, Horst"/>
    <x v="0"/>
    <s v="no"/>
    <s v="no"/>
    <s v="QUICK"/>
    <n v="10658"/>
    <x v="11"/>
    <x v="11"/>
    <s v="QUICK_10658_Camembert Pierrot"/>
    <s v="10658"/>
    <s v="10658"/>
    <s v="Camembert Pierrot"/>
    <n v="34"/>
    <x v="38"/>
    <x v="2"/>
    <n v="1776.5"/>
    <x v="0"/>
    <d v="1995-10-06T00:00:00"/>
    <s v=""/>
    <s v=""/>
  </r>
  <r>
    <x v="21"/>
    <x v="21"/>
    <s v="Horst"/>
    <s v="Kloss"/>
    <s v="Kloss, Horst"/>
    <s v="Kloss, Horst"/>
    <x v="0"/>
    <s v="no"/>
    <s v="no"/>
    <s v="QUICK"/>
    <n v="10658"/>
    <x v="23"/>
    <x v="23"/>
    <s v="QUICK_10658_Original Frankfurter grüne Soße"/>
    <s v="10658"/>
    <s v="10658"/>
    <s v="Original Frankfurter grüne Soße"/>
    <n v="13"/>
    <x v="21"/>
    <x v="2"/>
    <n v="864.5"/>
    <x v="0"/>
    <d v="1995-10-06T00:00:00"/>
    <s v=""/>
    <s v=""/>
  </r>
  <r>
    <x v="62"/>
    <x v="62"/>
    <s v="Lúcia"/>
    <s v="Carvalho"/>
    <s v="Carvalho, Lúcia"/>
    <s v="Carvalho, Lúcia"/>
    <x v="0"/>
    <s v="no"/>
    <s v="no"/>
    <s v="QUEEN"/>
    <n v="10659"/>
    <x v="12"/>
    <x v="12"/>
    <s v="QUEEN_10659_Gorgonzola Telino"/>
    <s v="10659"/>
    <s v="10659"/>
    <s v="Gorgonzola Telino"/>
    <n v="12.5"/>
    <x v="8"/>
    <x v="2"/>
    <n v="237.5"/>
    <x v="0"/>
    <d v="1995-10-06T00:00:00"/>
    <s v=""/>
    <s v=""/>
  </r>
  <r>
    <x v="62"/>
    <x v="62"/>
    <s v="Lúcia"/>
    <s v="Carvalho"/>
    <s v="Carvalho, Lúcia"/>
    <s v="Carvalho, Lúcia"/>
    <x v="0"/>
    <s v="no"/>
    <s v="no"/>
    <s v="QUEEN"/>
    <n v="10659"/>
    <x v="37"/>
    <x v="37"/>
    <s v="QUEEN_10659_Boston Crab Meat"/>
    <s v="10659"/>
    <s v="10659"/>
    <s v="Boston Crab Meat"/>
    <n v="18.399999999999999"/>
    <x v="23"/>
    <x v="2"/>
    <n v="419.51999999999992"/>
    <x v="0"/>
    <d v="1995-10-06T00:00:00"/>
    <s v=""/>
    <s v=""/>
  </r>
  <r>
    <x v="62"/>
    <x v="62"/>
    <s v="Lúcia"/>
    <s v="Carvalho"/>
    <s v="Carvalho, Lúcia"/>
    <s v="Carvalho, Lúcia"/>
    <x v="0"/>
    <s v="no"/>
    <s v="no"/>
    <s v="QUEEN"/>
    <n v="10659"/>
    <x v="30"/>
    <x v="30"/>
    <s v="QUEEN_10659_Outback Lager"/>
    <s v="10659"/>
    <s v="10659"/>
    <s v="Outback Lager"/>
    <n v="15"/>
    <x v="4"/>
    <x v="2"/>
    <n v="570"/>
    <x v="0"/>
    <d v="1995-10-06T00:00:00"/>
    <s v=""/>
    <s v=""/>
  </r>
  <r>
    <x v="64"/>
    <x v="64"/>
    <s v="Yoshi"/>
    <s v="Latimer"/>
    <s v="Latimer, Yoshi"/>
    <s v="Latimer, Yoshi"/>
    <x v="0"/>
    <s v="no"/>
    <s v="no"/>
    <s v="HUNGC"/>
    <n v="10660"/>
    <x v="9"/>
    <x v="9"/>
    <s v="HUNGC_10660_Sir Rodney's Marmalade"/>
    <s v="10660"/>
    <s v="10660"/>
    <s v="Sir Rodney's Marmalade"/>
    <n v="81"/>
    <x v="11"/>
    <x v="0"/>
    <n v="1701"/>
    <x v="0"/>
    <d v="1995-10-09T00:00:00"/>
    <s v=""/>
    <s v=""/>
  </r>
  <r>
    <x v="34"/>
    <x v="34"/>
    <s v="Patricia"/>
    <s v="McKenna"/>
    <s v="McKenna, Patricia"/>
    <s v="McKenna, Patricia"/>
    <x v="0"/>
    <s v="no"/>
    <s v="no"/>
    <s v="HUNGO"/>
    <n v="10661"/>
    <x v="13"/>
    <x v="13"/>
    <s v="HUNGO_10661_Chartreuse verte"/>
    <s v="10661"/>
    <s v="10661"/>
    <s v="Chartreuse verte"/>
    <n v="18"/>
    <x v="28"/>
    <x v="3"/>
    <n v="43.2"/>
    <x v="0"/>
    <d v="1995-10-10T00:00:00"/>
    <s v=""/>
    <s v=""/>
  </r>
  <r>
    <x v="34"/>
    <x v="34"/>
    <s v="Patricia"/>
    <s v="McKenna"/>
    <s v="McKenna, Patricia"/>
    <s v="McKenna, Patricia"/>
    <x v="0"/>
    <s v="no"/>
    <s v="no"/>
    <s v="HUNGO"/>
    <n v="10661"/>
    <x v="64"/>
    <x v="64"/>
    <s v="HUNGO_10661_Escargots de Bourgogne"/>
    <s v="10661"/>
    <s v="10661"/>
    <s v="Escargots de Bourgogne"/>
    <n v="13.25"/>
    <x v="41"/>
    <x v="3"/>
    <n v="519.4"/>
    <x v="0"/>
    <d v="1995-10-10T00:00:00"/>
    <s v=""/>
    <s v=""/>
  </r>
  <r>
    <x v="38"/>
    <x v="38"/>
    <s v="Fran"/>
    <s v="Wilson"/>
    <s v="Wilson, Fran"/>
    <s v="Wilson, Fran"/>
    <x v="0"/>
    <s v="no"/>
    <s v="no"/>
    <s v="LONEP"/>
    <n v="10662"/>
    <x v="56"/>
    <x v="56"/>
    <s v="LONEP_10662_Scottish Longbreads"/>
    <s v="10662"/>
    <s v="10662"/>
    <s v="Scottish Longbreads"/>
    <n v="12.5"/>
    <x v="1"/>
    <x v="0"/>
    <n v="125"/>
    <x v="0"/>
    <d v="1995-10-10T00:00:00"/>
    <s v=""/>
    <s v=""/>
  </r>
  <r>
    <x v="48"/>
    <x v="48"/>
    <s v="Laurence"/>
    <s v="Lebihan"/>
    <s v="Lebihan, Laurence"/>
    <s v="Lebihan, Laurence"/>
    <x v="0"/>
    <s v="no"/>
    <s v="no"/>
    <s v="BONAP"/>
    <n v="10663"/>
    <x v="37"/>
    <x v="37"/>
    <s v="BONAP_10663_Boston Crab Meat"/>
    <s v="10663"/>
    <s v="10663"/>
    <s v="Boston Crab Meat"/>
    <n v="18.399999999999999"/>
    <x v="12"/>
    <x v="2"/>
    <n v="524.4"/>
    <x v="0"/>
    <d v="1995-10-11T00:00:00"/>
    <s v=""/>
    <s v=""/>
  </r>
  <r>
    <x v="48"/>
    <x v="48"/>
    <s v="Laurence"/>
    <s v="Lebihan"/>
    <s v="Lebihan, Laurence"/>
    <s v="Lebihan, Laurence"/>
    <x v="0"/>
    <s v="no"/>
    <s v="no"/>
    <s v="BONAP"/>
    <n v="10663"/>
    <x v="1"/>
    <x v="1"/>
    <s v="BONAP_10663_Singaporean Hokkien Fried Mee"/>
    <s v="10663"/>
    <s v="10663"/>
    <s v="Singaporean Hokkien Fried Mee"/>
    <n v="14"/>
    <x v="12"/>
    <x v="2"/>
    <n v="399"/>
    <x v="0"/>
    <d v="1995-10-11T00:00:00"/>
    <s v=""/>
    <s v=""/>
  </r>
  <r>
    <x v="48"/>
    <x v="48"/>
    <s v="Laurence"/>
    <s v="Lebihan"/>
    <s v="Lebihan, Laurence"/>
    <s v="Lebihan, Laurence"/>
    <x v="0"/>
    <s v="no"/>
    <s v="no"/>
    <s v="BONAP"/>
    <n v="10663"/>
    <x v="4"/>
    <x v="4"/>
    <s v="BONAP_10663_Manjimup Dried Apples"/>
    <s v="10663"/>
    <s v="10663"/>
    <s v="Manjimup Dried Apples"/>
    <n v="53"/>
    <x v="8"/>
    <x v="2"/>
    <n v="1007"/>
    <x v="0"/>
    <d v="1995-10-11T00:00:00"/>
    <s v=""/>
    <s v=""/>
  </r>
  <r>
    <x v="47"/>
    <x v="47"/>
    <s v="Lino"/>
    <s v="Rodriguez"/>
    <s v="Rodriguez, Lino"/>
    <s v="Rodriguez, Lino"/>
    <x v="0"/>
    <s v="no"/>
    <s v="no"/>
    <s v="FURIB"/>
    <n v="10664"/>
    <x v="41"/>
    <x v="41"/>
    <s v="FURIB_10664_Ikura"/>
    <s v="10664"/>
    <s v="10664"/>
    <s v="Ikura"/>
    <n v="31"/>
    <x v="23"/>
    <x v="1"/>
    <n v="632.4"/>
    <x v="0"/>
    <d v="1995-10-11T00:00:00"/>
    <s v=""/>
    <s v=""/>
  </r>
  <r>
    <x v="47"/>
    <x v="47"/>
    <s v="Lino"/>
    <s v="Rodriguez"/>
    <s v="Rodriguez, Lino"/>
    <s v="Rodriguez, Lino"/>
    <x v="0"/>
    <s v="no"/>
    <s v="no"/>
    <s v="FURIB"/>
    <n v="10664"/>
    <x v="33"/>
    <x v="33"/>
    <s v="FURIB_10664_Gnocchi di nonna Alice"/>
    <s v="10664"/>
    <s v="10664"/>
    <s v="Gnocchi di nonna Alice"/>
    <n v="38"/>
    <x v="0"/>
    <x v="1"/>
    <n v="387.59999999999997"/>
    <x v="0"/>
    <d v="1995-10-11T00:00:00"/>
    <s v=""/>
    <s v=""/>
  </r>
  <r>
    <x v="47"/>
    <x v="47"/>
    <s v="Lino"/>
    <s v="Rodriguez"/>
    <s v="Rodriguez, Lino"/>
    <s v="Rodriguez, Lino"/>
    <x v="0"/>
    <s v="no"/>
    <s v="no"/>
    <s v="FURIB"/>
    <n v="10664"/>
    <x v="6"/>
    <x v="6"/>
    <s v="FURIB_10664_Louisiana Fiery Hot Pepper Sauce"/>
    <s v="10664"/>
    <s v="10664"/>
    <s v="Louisiana Fiery Hot Pepper Sauce"/>
    <n v="21.05"/>
    <x v="6"/>
    <x v="1"/>
    <n v="268.38749999999999"/>
    <x v="0"/>
    <d v="1995-10-11T00:00:00"/>
    <s v=""/>
    <s v=""/>
  </r>
  <r>
    <x v="38"/>
    <x v="38"/>
    <s v="Fran"/>
    <s v="Wilson"/>
    <s v="Wilson, Fran"/>
    <s v="Wilson, Fran"/>
    <x v="0"/>
    <s v="no"/>
    <s v="no"/>
    <s v="LONEP"/>
    <n v="10665"/>
    <x v="4"/>
    <x v="4"/>
    <s v="LONEP_10665_Manjimup Dried Apples"/>
    <s v="10665"/>
    <s v="10665"/>
    <s v="Manjimup Dried Apples"/>
    <n v="53"/>
    <x v="8"/>
    <x v="0"/>
    <n v="1060"/>
    <x v="0"/>
    <d v="1995-10-12T00:00:00"/>
    <s v=""/>
    <s v=""/>
  </r>
  <r>
    <x v="38"/>
    <x v="38"/>
    <s v="Fran"/>
    <s v="Wilson"/>
    <s v="Wilson, Fran"/>
    <s v="Wilson, Fran"/>
    <x v="0"/>
    <s v="no"/>
    <s v="no"/>
    <s v="LONEP"/>
    <n v="10665"/>
    <x v="21"/>
    <x v="21"/>
    <s v="LONEP_10665_Raclette Courdavault"/>
    <s v="10665"/>
    <s v="10665"/>
    <s v="Raclette Courdavault"/>
    <n v="55"/>
    <x v="15"/>
    <x v="0"/>
    <n v="55"/>
    <x v="0"/>
    <d v="1995-10-12T00:00:00"/>
    <s v=""/>
    <s v=""/>
  </r>
  <r>
    <x v="38"/>
    <x v="38"/>
    <s v="Fran"/>
    <s v="Wilson"/>
    <s v="Wilson, Fran"/>
    <s v="Wilson, Fran"/>
    <x v="0"/>
    <s v="no"/>
    <s v="no"/>
    <s v="LONEP"/>
    <n v="10665"/>
    <x v="38"/>
    <x v="38"/>
    <s v="LONEP_10665_Lakkalikööri"/>
    <s v="10665"/>
    <s v="10665"/>
    <s v="Lakkalikööri"/>
    <n v="18"/>
    <x v="1"/>
    <x v="0"/>
    <n v="180"/>
    <x v="0"/>
    <d v="1995-10-12T00:00:00"/>
    <s v=""/>
    <s v=""/>
  </r>
  <r>
    <x v="6"/>
    <x v="6"/>
    <s v="Michael"/>
    <s v="Holz"/>
    <s v="Holz, Michael"/>
    <s v="Holz, Michael"/>
    <x v="1"/>
    <s v="yes"/>
    <s v="yes"/>
    <s v="RICSU"/>
    <n v="10666"/>
    <x v="39"/>
    <x v="39"/>
    <s v="RICSU_10666_Thüringer Rostbratwurst"/>
    <s v="10666"/>
    <s v="10666"/>
    <s v="Thüringer Rostbratwurst"/>
    <n v="123.79"/>
    <x v="20"/>
    <x v="0"/>
    <n v="4456.4400000000005"/>
    <x v="0"/>
    <d v="1995-10-13T00:00:00"/>
    <s v=""/>
    <s v=""/>
  </r>
  <r>
    <x v="6"/>
    <x v="6"/>
    <s v="Michael"/>
    <s v="Holz"/>
    <s v="Holz, Michael"/>
    <s v="Holz, Michael"/>
    <x v="0"/>
    <s v="no"/>
    <s v="no"/>
    <s v="RICSU"/>
    <n v="10666"/>
    <x v="6"/>
    <x v="6"/>
    <s v="RICSU_10666_Louisiana Fiery Hot Pepper Sauce"/>
    <s v="10666"/>
    <s v="10666"/>
    <s v="Louisiana Fiery Hot Pepper Sauce"/>
    <n v="21.05"/>
    <x v="1"/>
    <x v="0"/>
    <n v="210.5"/>
    <x v="0"/>
    <d v="1995-10-13T00:00:00"/>
    <s v=""/>
    <s v=""/>
  </r>
  <r>
    <x v="9"/>
    <x v="9"/>
    <s v="Roland"/>
    <s v="Mendel"/>
    <s v="Mendel, Roland"/>
    <s v="Mendel, Roland"/>
    <x v="0"/>
    <s v="no"/>
    <s v="no"/>
    <s v="ERNSH"/>
    <n v="10667"/>
    <x v="60"/>
    <x v="60"/>
    <s v="ERNSH_10667_Gudbrandsdalsost"/>
    <s v="10667"/>
    <s v="10667"/>
    <s v="Gudbrandsdalsost"/>
    <n v="36"/>
    <x v="29"/>
    <x v="3"/>
    <n v="1296"/>
    <x v="0"/>
    <d v="1995-10-13T00:00:00"/>
    <s v=""/>
    <s v=""/>
  </r>
  <r>
    <x v="9"/>
    <x v="9"/>
    <s v="Roland"/>
    <s v="Mendel"/>
    <s v="Mendel, Roland"/>
    <s v="Mendel, Roland"/>
    <x v="0"/>
    <s v="no"/>
    <s v="no"/>
    <s v="ERNSH"/>
    <n v="10667"/>
    <x v="42"/>
    <x v="42"/>
    <s v="ERNSH_10667_Fløtemysost"/>
    <s v="10667"/>
    <s v="10667"/>
    <s v="Fløtemysost"/>
    <n v="21.5"/>
    <x v="31"/>
    <x v="3"/>
    <n v="240.8"/>
    <x v="0"/>
    <d v="1995-10-13T00:00:00"/>
    <s v=""/>
    <s v=""/>
  </r>
  <r>
    <x v="35"/>
    <x v="35"/>
    <s v="Rita"/>
    <s v="Müller"/>
    <s v="Müller, Rita"/>
    <s v="Müller, Rita"/>
    <x v="0"/>
    <s v="no"/>
    <s v="no"/>
    <s v="WANDK"/>
    <n v="10668"/>
    <x v="12"/>
    <x v="12"/>
    <s v="WANDK_10668_Gorgonzola Telino"/>
    <s v="10668"/>
    <s v="10668"/>
    <s v="Gorgonzola Telino"/>
    <n v="12.5"/>
    <x v="26"/>
    <x v="5"/>
    <n v="90"/>
    <x v="0"/>
    <d v="1995-10-16T00:00:00"/>
    <s v=""/>
    <s v=""/>
  </r>
  <r>
    <x v="35"/>
    <x v="35"/>
    <s v="Rita"/>
    <s v="Müller"/>
    <s v="Müller, Rita"/>
    <s v="Müller, Rita"/>
    <x v="0"/>
    <s v="no"/>
    <s v="no"/>
    <s v="WANDK"/>
    <n v="10668"/>
    <x v="16"/>
    <x v="16"/>
    <s v="WANDK_10668_Pâté chinois"/>
    <s v="10668"/>
    <s v="10668"/>
    <s v="Pâté chinois"/>
    <n v="24"/>
    <x v="22"/>
    <x v="5"/>
    <n v="86.4"/>
    <x v="0"/>
    <d v="1995-10-16T00:00:00"/>
    <s v=""/>
    <s v=""/>
  </r>
  <r>
    <x v="35"/>
    <x v="35"/>
    <s v="Rita"/>
    <s v="Müller"/>
    <s v="Müller, Rita"/>
    <s v="Müller, Rita"/>
    <x v="0"/>
    <s v="no"/>
    <s v="no"/>
    <s v="WANDK"/>
    <n v="10668"/>
    <x v="58"/>
    <x v="58"/>
    <s v="WANDK_10668_Wimmers gute Semmelknödel"/>
    <s v="10668"/>
    <s v="10668"/>
    <s v="Wimmers gute Semmelknödel"/>
    <n v="33.25"/>
    <x v="6"/>
    <x v="5"/>
    <n v="448.875"/>
    <x v="0"/>
    <d v="1995-10-16T00:00:00"/>
    <s v=""/>
    <s v=""/>
  </r>
  <r>
    <x v="51"/>
    <x v="51"/>
    <s v="Jytte"/>
    <s v="Petersen"/>
    <s v="Petersen, Jytte"/>
    <s v="Petersen, Jytte"/>
    <x v="0"/>
    <s v="no"/>
    <s v="no"/>
    <s v="SIMOB"/>
    <n v="10669"/>
    <x v="20"/>
    <x v="20"/>
    <s v="SIMOB_10669_Inlagd Sill"/>
    <s v="10669"/>
    <s v="10669"/>
    <s v="Inlagd Sill"/>
    <n v="19"/>
    <x v="12"/>
    <x v="0"/>
    <n v="570"/>
    <x v="0"/>
    <d v="1995-10-16T00:00:00"/>
    <s v=""/>
    <s v=""/>
  </r>
  <r>
    <x v="17"/>
    <x v="17"/>
    <s v="Peter"/>
    <s v="Franken"/>
    <s v="Franken, Peter"/>
    <s v="Franken, Peter"/>
    <x v="0"/>
    <s v="no"/>
    <s v="no"/>
    <s v="FRANK"/>
    <n v="10670"/>
    <x v="70"/>
    <x v="70"/>
    <s v="FRANK_10670_Tunnbröd"/>
    <s v="10670"/>
    <s v="10670"/>
    <s v="Tunnbröd"/>
    <n v="9"/>
    <x v="39"/>
    <x v="0"/>
    <n v="288"/>
    <x v="0"/>
    <d v="1995-10-17T00:00:00"/>
    <s v=""/>
    <s v=""/>
  </r>
  <r>
    <x v="17"/>
    <x v="17"/>
    <s v="Peter"/>
    <s v="Franken"/>
    <s v="Franken, Peter"/>
    <s v="Franken, Peter"/>
    <x v="0"/>
    <s v="no"/>
    <s v="no"/>
    <s v="FRANK"/>
    <n v="10670"/>
    <x v="54"/>
    <x v="54"/>
    <s v="FRANK_10670_Spegesild"/>
    <s v="10670"/>
    <s v="10670"/>
    <s v="Spegesild"/>
    <n v="12"/>
    <x v="18"/>
    <x v="0"/>
    <n v="720"/>
    <x v="0"/>
    <d v="1995-10-17T00:00:00"/>
    <s v=""/>
    <s v=""/>
  </r>
  <r>
    <x v="17"/>
    <x v="17"/>
    <s v="Peter"/>
    <s v="Franken"/>
    <s v="Franken, Peter"/>
    <s v="Franken, Peter"/>
    <x v="0"/>
    <s v="no"/>
    <s v="no"/>
    <s v="FRANK"/>
    <n v="10670"/>
    <x v="51"/>
    <x v="51"/>
    <s v="FRANK_10670_Laughing Lumberjack Lager"/>
    <s v="10670"/>
    <s v="10670"/>
    <s v="Laughing Lumberjack Lager"/>
    <n v="14"/>
    <x v="9"/>
    <x v="0"/>
    <n v="350"/>
    <x v="0"/>
    <d v="1995-10-17T00:00:00"/>
    <s v=""/>
    <s v=""/>
  </r>
  <r>
    <x v="17"/>
    <x v="17"/>
    <s v="Peter"/>
    <s v="Franken"/>
    <s v="Franken, Peter"/>
    <s v="Franken, Peter"/>
    <x v="0"/>
    <s v="no"/>
    <s v="no"/>
    <s v="FRANK"/>
    <n v="10670"/>
    <x v="47"/>
    <x v="47"/>
    <s v="FRANK_10670_Röd Kaviar"/>
    <s v="10670"/>
    <s v="10670"/>
    <s v="Röd Kaviar"/>
    <n v="15"/>
    <x v="13"/>
    <x v="0"/>
    <n v="750"/>
    <x v="0"/>
    <d v="1995-10-17T00:00:00"/>
    <s v=""/>
    <s v=""/>
  </r>
  <r>
    <x v="17"/>
    <x v="17"/>
    <s v="Peter"/>
    <s v="Franken"/>
    <s v="Franken, Peter"/>
    <s v="Franken, Peter"/>
    <x v="0"/>
    <s v="no"/>
    <s v="no"/>
    <s v="FRANK"/>
    <n v="10670"/>
    <x v="48"/>
    <x v="48"/>
    <s v="FRANK_10670_Rhönbräu Klosterbier"/>
    <s v="10670"/>
    <s v="10670"/>
    <s v="Rhönbräu Klosterbier"/>
    <n v="7.75"/>
    <x v="9"/>
    <x v="0"/>
    <n v="193.75"/>
    <x v="0"/>
    <d v="1995-10-17T00:00:00"/>
    <s v=""/>
    <s v=""/>
  </r>
  <r>
    <x v="86"/>
    <x v="86"/>
    <s v="Carine"/>
    <s v="Schmitt"/>
    <s v="Schmitt, Carine"/>
    <s v="Schmitt, Carine"/>
    <x v="0"/>
    <s v="no"/>
    <s v="no"/>
    <s v="FRANR"/>
    <n v="10671"/>
    <x v="19"/>
    <x v="19"/>
    <s v="FRANR_10671_Pavlova"/>
    <s v="10671"/>
    <s v="10671"/>
    <s v="Pavlova"/>
    <n v="17.45"/>
    <x v="1"/>
    <x v="0"/>
    <n v="174.5"/>
    <x v="0"/>
    <d v="1995-10-18T00:00:00"/>
    <s v=""/>
    <s v=""/>
  </r>
  <r>
    <x v="86"/>
    <x v="86"/>
    <s v="Carine"/>
    <s v="Schmitt"/>
    <s v="Schmitt, Carine"/>
    <s v="Schmitt, Carine"/>
    <x v="0"/>
    <s v="no"/>
    <s v="no"/>
    <s v="FRANR"/>
    <n v="10671"/>
    <x v="29"/>
    <x v="29"/>
    <s v="FRANR_10671_Tarte au sucre"/>
    <s v="10671"/>
    <s v="10671"/>
    <s v="Tarte au sucre"/>
    <n v="49.3"/>
    <x v="1"/>
    <x v="0"/>
    <n v="493"/>
    <x v="0"/>
    <d v="1995-10-18T00:00:00"/>
    <s v=""/>
    <s v=""/>
  </r>
  <r>
    <x v="86"/>
    <x v="86"/>
    <s v="Carine"/>
    <s v="Schmitt"/>
    <s v="Schmitt, Carine"/>
    <s v="Schmitt, Carine"/>
    <x v="0"/>
    <s v="no"/>
    <s v="no"/>
    <s v="FRANR"/>
    <n v="10671"/>
    <x v="6"/>
    <x v="6"/>
    <s v="FRANR_10671_Louisiana Fiery Hot Pepper Sauce"/>
    <s v="10671"/>
    <s v="10671"/>
    <s v="Louisiana Fiery Hot Pepper Sauce"/>
    <n v="21.05"/>
    <x v="0"/>
    <x v="0"/>
    <n v="252.60000000000002"/>
    <x v="0"/>
    <d v="1995-10-18T00:00:00"/>
    <s v=""/>
    <s v=""/>
  </r>
  <r>
    <x v="25"/>
    <x v="25"/>
    <s v="Christina"/>
    <s v="Berglund"/>
    <s v="Berglund, Christina"/>
    <s v="Berglund, Christina"/>
    <x v="1"/>
    <s v="yes"/>
    <s v="yes"/>
    <s v="BERGS"/>
    <n v="10672"/>
    <x v="67"/>
    <x v="67"/>
    <s v="BERGS_10672_Côte de Blaye"/>
    <s v="10672"/>
    <s v="10672"/>
    <s v="Côte de Blaye"/>
    <n v="263.5"/>
    <x v="6"/>
    <x v="5"/>
    <n v="3557.25"/>
    <x v="0"/>
    <d v="1995-10-18T00:00:00"/>
    <s v=""/>
    <s v=""/>
  </r>
  <r>
    <x v="25"/>
    <x v="25"/>
    <s v="Christina"/>
    <s v="Berglund"/>
    <s v="Berglund, Christina"/>
    <s v="Berglund, Christina"/>
    <x v="0"/>
    <s v="no"/>
    <s v="no"/>
    <s v="BERGS"/>
    <n v="10672"/>
    <x v="42"/>
    <x v="42"/>
    <s v="BERGS_10672_Fløtemysost"/>
    <s v="10672"/>
    <s v="10672"/>
    <s v="Fløtemysost"/>
    <n v="21.5"/>
    <x v="0"/>
    <x v="0"/>
    <n v="258"/>
    <x v="0"/>
    <d v="1995-10-18T00:00:00"/>
    <s v=""/>
    <s v=""/>
  </r>
  <r>
    <x v="83"/>
    <x v="83"/>
    <s v="Matti"/>
    <s v="Karttunen"/>
    <s v="Karttunen, Matti"/>
    <s v="Karttunen, Matti"/>
    <x v="0"/>
    <s v="no"/>
    <s v="no"/>
    <s v="WILMK"/>
    <n v="10673"/>
    <x v="19"/>
    <x v="19"/>
    <s v="WILMK_10673_Pavlova"/>
    <s v="10673"/>
    <s v="10673"/>
    <s v="Pavlova"/>
    <n v="17.45"/>
    <x v="28"/>
    <x v="0"/>
    <n v="52.349999999999994"/>
    <x v="0"/>
    <d v="1995-10-19T00:00:00"/>
    <s v=""/>
    <s v=""/>
  </r>
  <r>
    <x v="83"/>
    <x v="83"/>
    <s v="Matti"/>
    <s v="Karttunen"/>
    <s v="Karttunen, Matti"/>
    <s v="Karttunen, Matti"/>
    <x v="0"/>
    <s v="no"/>
    <s v="no"/>
    <s v="WILMK"/>
    <n v="10673"/>
    <x v="1"/>
    <x v="1"/>
    <s v="WILMK_10673_Singaporean Hokkien Fried Mee"/>
    <s v="10673"/>
    <s v="10673"/>
    <s v="Singaporean Hokkien Fried Mee"/>
    <n v="14"/>
    <x v="7"/>
    <x v="0"/>
    <n v="84"/>
    <x v="0"/>
    <d v="1995-10-19T00:00:00"/>
    <s v=""/>
    <s v=""/>
  </r>
  <r>
    <x v="83"/>
    <x v="83"/>
    <s v="Matti"/>
    <s v="Karttunen"/>
    <s v="Karttunen, Matti"/>
    <s v="Karttunen, Matti"/>
    <x v="0"/>
    <s v="no"/>
    <s v="no"/>
    <s v="WILMK"/>
    <n v="10673"/>
    <x v="40"/>
    <x v="40"/>
    <s v="WILMK_10673_Ipoh Coffee"/>
    <s v="10673"/>
    <s v="10673"/>
    <s v="Ipoh Coffee"/>
    <n v="46"/>
    <x v="7"/>
    <x v="0"/>
    <n v="276"/>
    <x v="0"/>
    <d v="1995-10-19T00:00:00"/>
    <s v=""/>
    <s v=""/>
  </r>
  <r>
    <x v="42"/>
    <x v="42"/>
    <s v="Helen"/>
    <s v="Bennett"/>
    <s v="Bennett, Helen"/>
    <s v="Bennett, Helen"/>
    <x v="0"/>
    <s v="no"/>
    <s v="no"/>
    <s v="ISLAT"/>
    <n v="10674"/>
    <x v="70"/>
    <x v="70"/>
    <s v="ISLAT_10674_Tunnbröd"/>
    <s v="10674"/>
    <s v="10674"/>
    <s v="Tunnbröd"/>
    <n v="9"/>
    <x v="2"/>
    <x v="0"/>
    <n v="45"/>
    <x v="0"/>
    <d v="1995-10-19T00:00:00"/>
    <s v=""/>
    <s v=""/>
  </r>
  <r>
    <x v="17"/>
    <x v="17"/>
    <s v="Peter"/>
    <s v="Franken"/>
    <s v="Franken, Peter"/>
    <s v="Franken, Peter"/>
    <x v="0"/>
    <s v="no"/>
    <s v="no"/>
    <s v="FRANK"/>
    <n v="10675"/>
    <x v="3"/>
    <x v="3"/>
    <s v="FRANK_10675_Tofu"/>
    <s v="10675"/>
    <s v="10675"/>
    <s v="Tofu"/>
    <n v="23.25"/>
    <x v="12"/>
    <x v="0"/>
    <n v="697.5"/>
    <x v="0"/>
    <d v="1995-10-20T00:00:00"/>
    <s v=""/>
    <s v=""/>
  </r>
  <r>
    <x v="17"/>
    <x v="17"/>
    <s v="Peter"/>
    <s v="Franken"/>
    <s v="Franken, Peter"/>
    <s v="Franken, Peter"/>
    <x v="0"/>
    <s v="no"/>
    <s v="no"/>
    <s v="FRANK"/>
    <n v="10675"/>
    <x v="22"/>
    <x v="22"/>
    <s v="FRANK_10675_Perth Pasties"/>
    <s v="10675"/>
    <s v="10675"/>
    <s v="Perth Pasties"/>
    <n v="32.799999999999997"/>
    <x v="1"/>
    <x v="0"/>
    <n v="328"/>
    <x v="0"/>
    <d v="1995-10-20T00:00:00"/>
    <s v=""/>
    <s v=""/>
  </r>
  <r>
    <x v="17"/>
    <x v="17"/>
    <s v="Peter"/>
    <s v="Franken"/>
    <s v="Franken, Peter"/>
    <s v="Franken, Peter"/>
    <x v="0"/>
    <s v="no"/>
    <s v="no"/>
    <s v="FRANK"/>
    <n v="10675"/>
    <x v="64"/>
    <x v="64"/>
    <s v="FRANK_10675_Escargots de Bourgogne"/>
    <s v="10675"/>
    <s v="10675"/>
    <s v="Escargots de Bourgogne"/>
    <n v="13.25"/>
    <x v="12"/>
    <x v="0"/>
    <n v="397.5"/>
    <x v="0"/>
    <d v="1995-10-20T00:00:00"/>
    <s v=""/>
    <s v=""/>
  </r>
  <r>
    <x v="23"/>
    <x v="23"/>
    <s v="Miguel"/>
    <s v="Angel Paolino"/>
    <s v="Angel Paolino, Miguel"/>
    <s v="Angel Paolino, Miguel"/>
    <x v="0"/>
    <s v="no"/>
    <s v="no"/>
    <s v="TORTU"/>
    <n v="10676"/>
    <x v="41"/>
    <x v="41"/>
    <s v="TORTU_10676_Ikura"/>
    <s v="10676"/>
    <s v="10676"/>
    <s v="Ikura"/>
    <n v="31"/>
    <x v="17"/>
    <x v="0"/>
    <n v="62"/>
    <x v="0"/>
    <d v="1995-10-23T00:00:00"/>
    <s v=""/>
    <s v=""/>
  </r>
  <r>
    <x v="23"/>
    <x v="23"/>
    <s v="Miguel"/>
    <s v="Angel Paolino"/>
    <s v="Angel Paolino, Miguel"/>
    <s v="Angel Paolino, Miguel"/>
    <x v="0"/>
    <s v="no"/>
    <s v="no"/>
    <s v="TORTU"/>
    <n v="10676"/>
    <x v="49"/>
    <x v="49"/>
    <s v="TORTU_10676_Teatime Chocolate Biscuits"/>
    <s v="10676"/>
    <s v="10676"/>
    <s v="Teatime Chocolate Biscuits"/>
    <n v="9.1999999999999993"/>
    <x v="25"/>
    <x v="0"/>
    <n v="64.399999999999991"/>
    <x v="0"/>
    <d v="1995-10-23T00:00:00"/>
    <s v=""/>
    <s v=""/>
  </r>
  <r>
    <x v="23"/>
    <x v="23"/>
    <s v="Miguel"/>
    <s v="Angel Paolino"/>
    <s v="Angel Paolino, Miguel"/>
    <s v="Angel Paolino, Miguel"/>
    <x v="0"/>
    <s v="no"/>
    <s v="no"/>
    <s v="TORTU"/>
    <n v="10676"/>
    <x v="45"/>
    <x v="45"/>
    <s v="TORTU_10676_Gula Malacca"/>
    <s v="10676"/>
    <s v="10676"/>
    <s v="Gula Malacca"/>
    <n v="19.45"/>
    <x v="11"/>
    <x v="0"/>
    <n v="408.45"/>
    <x v="0"/>
    <d v="1995-10-23T00:00:00"/>
    <s v=""/>
    <s v=""/>
  </r>
  <r>
    <x v="59"/>
    <x v="59"/>
    <s v="Antonio"/>
    <s v="Moreno"/>
    <s v="Moreno, Antonio"/>
    <s v="Moreno, Antonio"/>
    <x v="0"/>
    <s v="no"/>
    <s v="no"/>
    <s v="ANTON"/>
    <n v="10677"/>
    <x v="68"/>
    <x v="68"/>
    <s v="ANTON_10677_Gumbär Gummibärchen"/>
    <s v="10677"/>
    <s v="10677"/>
    <s v="Gumbär Gummibärchen"/>
    <n v="31.23"/>
    <x v="12"/>
    <x v="1"/>
    <n v="796.36500000000001"/>
    <x v="0"/>
    <d v="1995-10-23T00:00:00"/>
    <s v=""/>
    <s v=""/>
  </r>
  <r>
    <x v="59"/>
    <x v="59"/>
    <s v="Antonio"/>
    <s v="Moreno"/>
    <s v="Moreno, Antonio"/>
    <s v="Moreno, Antonio"/>
    <x v="0"/>
    <s v="no"/>
    <s v="no"/>
    <s v="ANTON"/>
    <n v="10677"/>
    <x v="10"/>
    <x v="10"/>
    <s v="ANTON_10677_Geitost"/>
    <s v="10677"/>
    <s v="10677"/>
    <s v="Geitost"/>
    <n v="2.5"/>
    <x v="26"/>
    <x v="1"/>
    <n v="17"/>
    <x v="0"/>
    <d v="1995-10-23T00:00:00"/>
    <s v=""/>
    <s v=""/>
  </r>
  <r>
    <x v="45"/>
    <x v="45"/>
    <s v="Jose"/>
    <s v="Pavarotti"/>
    <s v="Pavarotti, Jose"/>
    <s v="Pavarotti, Jose"/>
    <x v="1"/>
    <s v="yes"/>
    <s v="yes"/>
    <s v="SAVEA"/>
    <n v="10678"/>
    <x v="36"/>
    <x v="36"/>
    <s v="SAVEA_10678_Queso Manchego La Pastora"/>
    <s v="10678"/>
    <s v="10678"/>
    <s v="Queso Manchego La Pastora"/>
    <n v="38"/>
    <x v="30"/>
    <x v="0"/>
    <n v="3800"/>
    <x v="0"/>
    <d v="1995-10-24T00:00:00"/>
    <s v=""/>
    <s v=""/>
  </r>
  <r>
    <x v="45"/>
    <x v="45"/>
    <s v="Jose"/>
    <s v="Pavarotti"/>
    <s v="Pavarotti, Jose"/>
    <s v="Pavarotti, Jose"/>
    <x v="0"/>
    <s v="no"/>
    <s v="no"/>
    <s v="SAVEA"/>
    <n v="10678"/>
    <x v="10"/>
    <x v="10"/>
    <s v="SAVEA_10678_Geitost"/>
    <s v="10678"/>
    <s v="10678"/>
    <s v="Geitost"/>
    <n v="2.5"/>
    <x v="12"/>
    <x v="0"/>
    <n v="75"/>
    <x v="0"/>
    <d v="1995-10-24T00:00:00"/>
    <s v=""/>
    <s v=""/>
  </r>
  <r>
    <x v="45"/>
    <x v="45"/>
    <s v="Jose"/>
    <s v="Pavarotti"/>
    <s v="Pavarotti, Jose"/>
    <s v="Pavarotti, Jose"/>
    <x v="0"/>
    <s v="no"/>
    <s v="no"/>
    <s v="SAVEA"/>
    <n v="10678"/>
    <x v="5"/>
    <x v="5"/>
    <s v="SAVEA_10678_Jack's New England Clam Chowder"/>
    <s v="10678"/>
    <s v="10678"/>
    <s v="Jack's New England Clam Chowder"/>
    <n v="9.65"/>
    <x v="40"/>
    <x v="0"/>
    <n v="1158"/>
    <x v="0"/>
    <d v="1995-10-24T00:00:00"/>
    <s v=""/>
    <s v=""/>
  </r>
  <r>
    <x v="45"/>
    <x v="45"/>
    <s v="Jose"/>
    <s v="Pavarotti"/>
    <s v="Pavarotti, Jose"/>
    <s v="Pavarotti, Jose"/>
    <x v="0"/>
    <s v="no"/>
    <s v="no"/>
    <s v="SAVEA"/>
    <n v="10678"/>
    <x v="55"/>
    <x v="55"/>
    <s v="SAVEA_10678_Tourtière"/>
    <s v="10678"/>
    <s v="10678"/>
    <s v="Tourtière"/>
    <n v="7.45"/>
    <x v="12"/>
    <x v="0"/>
    <n v="223.5"/>
    <x v="0"/>
    <d v="1995-10-24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0679"/>
    <x v="21"/>
    <x v="21"/>
    <s v="BLONP_10679_Raclette Courdavault"/>
    <s v="10679"/>
    <s v="10679"/>
    <s v="Raclette Courdavault"/>
    <n v="55"/>
    <x v="0"/>
    <x v="0"/>
    <n v="660"/>
    <x v="0"/>
    <d v="1995-10-24T00:00:00"/>
    <s v=""/>
    <s v=""/>
  </r>
  <r>
    <x v="37"/>
    <x v="37"/>
    <s v="Rene"/>
    <s v="Phillips"/>
    <s v="Phillips, Rene"/>
    <s v="Phillips, Rene"/>
    <x v="0"/>
    <s v="no"/>
    <s v="no"/>
    <s v="OLDWO"/>
    <n v="10680"/>
    <x v="19"/>
    <x v="19"/>
    <s v="OLDWO_10680_Pavlova"/>
    <s v="10680"/>
    <s v="10680"/>
    <s v="Pavlova"/>
    <n v="17.45"/>
    <x v="13"/>
    <x v="4"/>
    <n v="654.375"/>
    <x v="0"/>
    <d v="1995-10-25T00:00:00"/>
    <s v=""/>
    <s v=""/>
  </r>
  <r>
    <x v="37"/>
    <x v="37"/>
    <s v="Rene"/>
    <s v="Phillips"/>
    <s v="Phillips, Rene"/>
    <s v="Phillips, Rene"/>
    <x v="0"/>
    <s v="no"/>
    <s v="no"/>
    <s v="OLDWO"/>
    <n v="10680"/>
    <x v="12"/>
    <x v="12"/>
    <s v="OLDWO_10680_Gorgonzola Telino"/>
    <s v="10680"/>
    <s v="10680"/>
    <s v="Gorgonzola Telino"/>
    <n v="12.5"/>
    <x v="8"/>
    <x v="4"/>
    <n v="187.5"/>
    <x v="0"/>
    <d v="1995-10-25T00:00:00"/>
    <s v=""/>
    <s v=""/>
  </r>
  <r>
    <x v="37"/>
    <x v="37"/>
    <s v="Rene"/>
    <s v="Phillips"/>
    <s v="Phillips, Rene"/>
    <s v="Phillips, Rene"/>
    <x v="0"/>
    <s v="no"/>
    <s v="no"/>
    <s v="OLDWO"/>
    <n v="10680"/>
    <x v="1"/>
    <x v="1"/>
    <s v="OLDWO_10680_Singaporean Hokkien Fried Mee"/>
    <s v="10680"/>
    <s v="10680"/>
    <s v="Singaporean Hokkien Fried Mee"/>
    <n v="14"/>
    <x v="4"/>
    <x v="4"/>
    <n v="420"/>
    <x v="0"/>
    <d v="1995-10-25T00:00:00"/>
    <s v=""/>
    <s v=""/>
  </r>
  <r>
    <x v="79"/>
    <x v="79"/>
    <s v="Howard"/>
    <s v="Snyder"/>
    <s v="Snyder, Howard"/>
    <s v="Snyder, Howard"/>
    <x v="0"/>
    <s v="no"/>
    <s v="no"/>
    <s v="GREAL"/>
    <n v="10681"/>
    <x v="49"/>
    <x v="49"/>
    <s v="GREAL_10681_Teatime Chocolate Biscuits"/>
    <s v="10681"/>
    <s v="10681"/>
    <s v="Teatime Chocolate Biscuits"/>
    <n v="9.1999999999999993"/>
    <x v="12"/>
    <x v="5"/>
    <n v="248.4"/>
    <x v="0"/>
    <d v="1995-10-26T00:00:00"/>
    <s v=""/>
    <s v=""/>
  </r>
  <r>
    <x v="79"/>
    <x v="79"/>
    <s v="Howard"/>
    <s v="Snyder"/>
    <s v="Snyder, Howard"/>
    <s v="Snyder, Howard"/>
    <x v="0"/>
    <s v="no"/>
    <s v="no"/>
    <s v="GREAL"/>
    <n v="10681"/>
    <x v="27"/>
    <x v="27"/>
    <s v="GREAL_10681_Sir Rodney's Scones"/>
    <s v="10681"/>
    <s v="10681"/>
    <s v="Sir Rodney's Scones"/>
    <n v="10"/>
    <x v="0"/>
    <x v="5"/>
    <n v="108"/>
    <x v="0"/>
    <d v="1995-10-26T00:00:00"/>
    <s v=""/>
    <s v=""/>
  </r>
  <r>
    <x v="79"/>
    <x v="79"/>
    <s v="Howard"/>
    <s v="Snyder"/>
    <s v="Snyder, Howard"/>
    <s v="Snyder, Howard"/>
    <x v="0"/>
    <s v="no"/>
    <s v="no"/>
    <s v="GREAL"/>
    <n v="10681"/>
    <x v="58"/>
    <x v="58"/>
    <s v="GREAL_10681_Wimmers gute Semmelknödel"/>
    <s v="10681"/>
    <s v="10681"/>
    <s v="Wimmers gute Semmelknödel"/>
    <n v="33.25"/>
    <x v="19"/>
    <x v="0"/>
    <n v="931"/>
    <x v="0"/>
    <d v="1995-10-26T00:00:00"/>
    <s v=""/>
    <s v=""/>
  </r>
  <r>
    <x v="59"/>
    <x v="59"/>
    <s v="Antonio"/>
    <s v="Moreno"/>
    <s v="Moreno, Antonio"/>
    <s v="Moreno, Antonio"/>
    <x v="0"/>
    <s v="no"/>
    <s v="no"/>
    <s v="ANTON"/>
    <n v="10682"/>
    <x v="10"/>
    <x v="10"/>
    <s v="ANTON_10682_Geitost"/>
    <s v="10682"/>
    <s v="10682"/>
    <s v="Geitost"/>
    <n v="2.5"/>
    <x v="12"/>
    <x v="0"/>
    <n v="75"/>
    <x v="0"/>
    <d v="1995-10-26T00:00:00"/>
    <s v=""/>
    <s v=""/>
  </r>
  <r>
    <x v="59"/>
    <x v="59"/>
    <s v="Antonio"/>
    <s v="Moreno"/>
    <s v="Moreno, Antonio"/>
    <s v="Moreno, Antonio"/>
    <x v="0"/>
    <s v="no"/>
    <s v="no"/>
    <s v="ANTON"/>
    <n v="10682"/>
    <x v="61"/>
    <x v="61"/>
    <s v="ANTON_10682_Louisiana Hot Spiced Okra"/>
    <s v="10682"/>
    <s v="10682"/>
    <s v="Louisiana Hot Spiced Okra"/>
    <n v="17"/>
    <x v="22"/>
    <x v="0"/>
    <n v="68"/>
    <x v="0"/>
    <d v="1995-10-26T00:00:00"/>
    <s v=""/>
    <s v=""/>
  </r>
  <r>
    <x v="59"/>
    <x v="59"/>
    <s v="Antonio"/>
    <s v="Moreno"/>
    <s v="Moreno, Antonio"/>
    <s v="Moreno, Antonio"/>
    <x v="0"/>
    <s v="no"/>
    <s v="no"/>
    <s v="ANTON"/>
    <n v="10682"/>
    <x v="48"/>
    <x v="48"/>
    <s v="ANTON_10682_Rhönbräu Klosterbier"/>
    <s v="10682"/>
    <s v="10682"/>
    <s v="Rhönbräu Klosterbier"/>
    <n v="7.75"/>
    <x v="12"/>
    <x v="0"/>
    <n v="232.5"/>
    <x v="0"/>
    <d v="1995-10-26T00:00:00"/>
    <s v=""/>
    <s v=""/>
  </r>
  <r>
    <x v="41"/>
    <x v="41"/>
    <s v="Janine"/>
    <s v="Labrune"/>
    <s v="Labrune, Janine"/>
    <s v="Labrune, Janine"/>
    <x v="0"/>
    <s v="no"/>
    <s v="no"/>
    <s v="DUMON"/>
    <n v="10683"/>
    <x v="65"/>
    <x v="65"/>
    <s v="DUMON_10683_Filo Mix"/>
    <s v="10683"/>
    <s v="10683"/>
    <s v="Filo Mix"/>
    <n v="7"/>
    <x v="3"/>
    <x v="0"/>
    <n v="63"/>
    <x v="0"/>
    <d v="1995-10-27T00:00:00"/>
    <s v=""/>
    <s v=""/>
  </r>
  <r>
    <x v="11"/>
    <x v="11"/>
    <s v="Henriette"/>
    <s v="Pfalzheim"/>
    <s v="Pfalzheim, Henriette"/>
    <s v="Pfalzheim, Henriette"/>
    <x v="0"/>
    <s v="no"/>
    <s v="no"/>
    <s v="OTTIK"/>
    <n v="10684"/>
    <x v="37"/>
    <x v="37"/>
    <s v="OTTIK_10684_Boston Crab Meat"/>
    <s v="10684"/>
    <s v="10684"/>
    <s v="Boston Crab Meat"/>
    <n v="18.399999999999999"/>
    <x v="8"/>
    <x v="0"/>
    <n v="368"/>
    <x v="0"/>
    <d v="1995-10-27T00:00:00"/>
    <s v=""/>
    <s v=""/>
  </r>
  <r>
    <x v="11"/>
    <x v="11"/>
    <s v="Henriette"/>
    <s v="Pfalzheim"/>
    <s v="Pfalzheim, Henriette"/>
    <s v="Pfalzheim, Henriette"/>
    <x v="0"/>
    <s v="no"/>
    <s v="no"/>
    <s v="OTTIK"/>
    <n v="10684"/>
    <x v="69"/>
    <x v="69"/>
    <s v="OTTIK_10684_Zaanse koeken"/>
    <s v="10684"/>
    <s v="10684"/>
    <s v="Zaanse koeken"/>
    <n v="9.5"/>
    <x v="4"/>
    <x v="0"/>
    <n v="380"/>
    <x v="0"/>
    <d v="1995-10-27T00:00:00"/>
    <s v=""/>
    <s v=""/>
  </r>
  <r>
    <x v="11"/>
    <x v="11"/>
    <s v="Henriette"/>
    <s v="Pfalzheim"/>
    <s v="Pfalzheim, Henriette"/>
    <s v="Pfalzheim, Henriette"/>
    <x v="0"/>
    <s v="no"/>
    <s v="no"/>
    <s v="OTTIK"/>
    <n v="10684"/>
    <x v="11"/>
    <x v="11"/>
    <s v="OTTIK_10684_Camembert Pierrot"/>
    <s v="10684"/>
    <s v="10684"/>
    <s v="Camembert Pierrot"/>
    <n v="34"/>
    <x v="12"/>
    <x v="0"/>
    <n v="1020"/>
    <x v="0"/>
    <d v="1995-10-27T00:00:00"/>
    <s v=""/>
    <s v=""/>
  </r>
  <r>
    <x v="71"/>
    <x v="71"/>
    <s v="André"/>
    <s v="Fonseca"/>
    <s v="Fonseca, André"/>
    <s v="Fonseca, André"/>
    <x v="0"/>
    <s v="no"/>
    <s v="no"/>
    <s v="GOURL"/>
    <n v="10685"/>
    <x v="41"/>
    <x v="41"/>
    <s v="GOURL_10685_Ikura"/>
    <s v="10685"/>
    <s v="10685"/>
    <s v="Ikura"/>
    <n v="31"/>
    <x v="8"/>
    <x v="0"/>
    <n v="620"/>
    <x v="0"/>
    <d v="1995-10-30T00:00:00"/>
    <s v=""/>
    <s v=""/>
  </r>
  <r>
    <x v="71"/>
    <x v="71"/>
    <s v="André"/>
    <s v="Fonseca"/>
    <s v="Fonseca, André"/>
    <s v="Fonseca, André"/>
    <x v="0"/>
    <s v="no"/>
    <s v="no"/>
    <s v="GOURL"/>
    <n v="10685"/>
    <x v="5"/>
    <x v="5"/>
    <s v="GOURL_10685_Jack's New England Clam Chowder"/>
    <s v="10685"/>
    <s v="10685"/>
    <s v="Jack's New England Clam Chowder"/>
    <n v="9.65"/>
    <x v="22"/>
    <x v="0"/>
    <n v="38.6"/>
    <x v="0"/>
    <d v="1995-10-30T00:00:00"/>
    <s v=""/>
    <s v=""/>
  </r>
  <r>
    <x v="71"/>
    <x v="71"/>
    <s v="André"/>
    <s v="Fonseca"/>
    <s v="Fonseca, André"/>
    <s v="Fonseca, André"/>
    <x v="0"/>
    <s v="no"/>
    <s v="no"/>
    <s v="GOURL"/>
    <n v="10685"/>
    <x v="69"/>
    <x v="69"/>
    <s v="GOURL_10685_Zaanse koeken"/>
    <s v="10685"/>
    <s v="10685"/>
    <s v="Zaanse koeken"/>
    <n v="9.5"/>
    <x v="6"/>
    <x v="0"/>
    <n v="142.5"/>
    <x v="0"/>
    <d v="1995-10-30T00:00:00"/>
    <s v=""/>
    <s v=""/>
  </r>
  <r>
    <x v="54"/>
    <x v="54"/>
    <s v="Georg"/>
    <s v="Pipps"/>
    <s v="Pipps, Georg"/>
    <s v="Pipps, Georg"/>
    <x v="0"/>
    <s v="no"/>
    <s v="no"/>
    <s v="PICCO"/>
    <n v="10686"/>
    <x v="35"/>
    <x v="35"/>
    <s v="PICCO_10686_Alice Mutton"/>
    <s v="10686"/>
    <s v="10686"/>
    <s v="Alice Mutton"/>
    <n v="39"/>
    <x v="12"/>
    <x v="3"/>
    <n v="936"/>
    <x v="0"/>
    <d v="1995-10-31T00:00:00"/>
    <s v=""/>
    <s v=""/>
  </r>
  <r>
    <x v="54"/>
    <x v="54"/>
    <s v="Georg"/>
    <s v="Pipps"/>
    <s v="Pipps, Georg"/>
    <s v="Pipps, Georg"/>
    <x v="0"/>
    <s v="no"/>
    <s v="no"/>
    <s v="PICCO"/>
    <n v="10686"/>
    <x v="68"/>
    <x v="68"/>
    <s v="PICCO_10686_Gumbär Gummibärchen"/>
    <s v="10686"/>
    <s v="10686"/>
    <s v="Gumbär Gummibärchen"/>
    <n v="31.23"/>
    <x v="6"/>
    <x v="0"/>
    <n v="468.45"/>
    <x v="0"/>
    <d v="1995-10-31T00:00:00"/>
    <s v=""/>
    <s v=""/>
  </r>
  <r>
    <x v="34"/>
    <x v="34"/>
    <s v="Patricia"/>
    <s v="McKenna"/>
    <s v="McKenna, Patricia"/>
    <s v="McKenna, Patricia"/>
    <x v="1"/>
    <s v="yes"/>
    <s v="yes"/>
    <s v="HUNGO"/>
    <n v="10687"/>
    <x v="76"/>
    <x v="76"/>
    <s v="HUNGO_10687_Mishi Kobe Niku"/>
    <s v="10687"/>
    <s v="10687"/>
    <s v="Mishi Kobe Niku"/>
    <n v="97"/>
    <x v="13"/>
    <x v="4"/>
    <n v="3637.5"/>
    <x v="0"/>
    <d v="1995-10-31T00:00:00"/>
    <s v=""/>
    <s v=""/>
  </r>
  <r>
    <x v="34"/>
    <x v="34"/>
    <s v="Patricia"/>
    <s v="McKenna"/>
    <s v="McKenna, Patricia"/>
    <s v="McKenna, Patricia"/>
    <x v="0"/>
    <s v="no"/>
    <s v="no"/>
    <s v="HUNGO"/>
    <n v="10687"/>
    <x v="39"/>
    <x v="39"/>
    <s v="HUNGO_10687_Thüringer Rostbratwurst"/>
    <s v="10687"/>
    <s v="10687"/>
    <s v="Thüringer Rostbratwurst"/>
    <n v="123.79"/>
    <x v="1"/>
    <x v="0"/>
    <n v="1237.9000000000001"/>
    <x v="0"/>
    <d v="1995-10-31T00:00:00"/>
    <s v=""/>
    <s v=""/>
  </r>
  <r>
    <x v="34"/>
    <x v="34"/>
    <s v="Patricia"/>
    <s v="McKenna"/>
    <s v="McKenna, Patricia"/>
    <s v="McKenna, Patricia"/>
    <x v="0"/>
    <s v="no"/>
    <s v="no"/>
    <s v="HUNGO"/>
    <n v="10687"/>
    <x v="20"/>
    <x v="20"/>
    <s v="HUNGO_10687_Inlagd Sill"/>
    <s v="10687"/>
    <s v="10687"/>
    <s v="Inlagd Sill"/>
    <n v="19"/>
    <x v="7"/>
    <x v="4"/>
    <n v="85.5"/>
    <x v="0"/>
    <d v="1995-10-31T00:00:00"/>
    <s v=""/>
    <s v=""/>
  </r>
  <r>
    <x v="61"/>
    <x v="61"/>
    <s v="Palle"/>
    <s v="Ibsen"/>
    <s v="Ibsen, Palle"/>
    <s v="Ibsen, Palle"/>
    <x v="0"/>
    <s v="no"/>
    <s v="no"/>
    <s v="VAFFE"/>
    <n v="10688"/>
    <x v="41"/>
    <x v="41"/>
    <s v="VAFFE_10688_Ikura"/>
    <s v="10688"/>
    <s v="10688"/>
    <s v="Ikura"/>
    <n v="31"/>
    <x v="27"/>
    <x v="5"/>
    <n v="502.2"/>
    <x v="0"/>
    <d v="1995-11-01T00:00:00"/>
    <s v=""/>
    <s v=""/>
  </r>
  <r>
    <x v="61"/>
    <x v="61"/>
    <s v="Palle"/>
    <s v="Ibsen"/>
    <s v="Ibsen, Palle"/>
    <s v="Ibsen, Palle"/>
    <x v="0"/>
    <s v="no"/>
    <s v="no"/>
    <s v="VAFFE"/>
    <n v="10688"/>
    <x v="44"/>
    <x v="44"/>
    <s v="VAFFE_10688_Rössle Sauerkraut"/>
    <s v="10688"/>
    <s v="10688"/>
    <s v="Rössle Sauerkraut"/>
    <n v="45.6"/>
    <x v="18"/>
    <x v="5"/>
    <n v="2462.4"/>
    <x v="0"/>
    <d v="1995-11-01T00:00:00"/>
    <s v=""/>
    <s v=""/>
  </r>
  <r>
    <x v="61"/>
    <x v="61"/>
    <s v="Palle"/>
    <s v="Ibsen"/>
    <s v="Ibsen, Palle"/>
    <s v="Ibsen, Palle"/>
    <x v="0"/>
    <s v="no"/>
    <s v="no"/>
    <s v="VAFFE"/>
    <n v="10688"/>
    <x v="53"/>
    <x v="53"/>
    <s v="VAFFE_10688_Sasquatch Ale"/>
    <s v="10688"/>
    <s v="10688"/>
    <s v="Sasquatch Ale"/>
    <n v="14"/>
    <x v="31"/>
    <x v="0"/>
    <n v="196"/>
    <x v="0"/>
    <d v="1995-11-01T00:00:00"/>
    <s v=""/>
    <s v=""/>
  </r>
  <r>
    <x v="25"/>
    <x v="25"/>
    <s v="Christina"/>
    <s v="Berglund"/>
    <s v="Berglund, Christina"/>
    <s v="Berglund, Christina"/>
    <x v="0"/>
    <s v="no"/>
    <s v="no"/>
    <s v="BERGS"/>
    <n v="10689"/>
    <x v="52"/>
    <x v="52"/>
    <s v="BERGS_10689_Chai"/>
    <s v="10689"/>
    <s v="10689"/>
    <s v="Chai"/>
    <n v="18"/>
    <x v="5"/>
    <x v="4"/>
    <n v="472.5"/>
    <x v="0"/>
    <d v="1995-11-01T00:00:00"/>
    <s v=""/>
    <s v=""/>
  </r>
  <r>
    <x v="2"/>
    <x v="2"/>
    <s v="Mario"/>
    <s v="Pontes"/>
    <s v="Pontes, Mario"/>
    <s v="Pontes, Mario"/>
    <x v="0"/>
    <s v="no"/>
    <s v="no"/>
    <s v="HANAR"/>
    <n v="10690"/>
    <x v="33"/>
    <x v="33"/>
    <s v="HANAR_10690_Gnocchi di nonna Alice"/>
    <s v="10690"/>
    <s v="10690"/>
    <s v="Gnocchi di nonna Alice"/>
    <n v="38"/>
    <x v="8"/>
    <x v="4"/>
    <n v="570"/>
    <x v="0"/>
    <d v="1995-11-02T00:00:00"/>
    <s v=""/>
    <s v=""/>
  </r>
  <r>
    <x v="2"/>
    <x v="2"/>
    <s v="Mario"/>
    <s v="Pontes"/>
    <s v="Pontes, Mario"/>
    <s v="Pontes, Mario"/>
    <x v="0"/>
    <s v="no"/>
    <s v="no"/>
    <s v="HANAR"/>
    <n v="10690"/>
    <x v="23"/>
    <x v="23"/>
    <s v="HANAR_10690_Original Frankfurter grüne Soße"/>
    <s v="10690"/>
    <s v="10690"/>
    <s v="Original Frankfurter grüne Soße"/>
    <n v="13"/>
    <x v="12"/>
    <x v="4"/>
    <n v="292.5"/>
    <x v="0"/>
    <d v="1995-11-02T00:00:00"/>
    <s v=""/>
    <s v=""/>
  </r>
  <r>
    <x v="21"/>
    <x v="21"/>
    <s v="Horst"/>
    <s v="Kloss"/>
    <s v="Kloss, Horst"/>
    <s v="Kloss, Horst"/>
    <x v="0"/>
    <s v="no"/>
    <s v="no"/>
    <s v="QUICK"/>
    <n v="10691"/>
    <x v="52"/>
    <x v="52"/>
    <s v="QUICK_10691_Chai"/>
    <s v="10691"/>
    <s v="10691"/>
    <s v="Chai"/>
    <n v="18"/>
    <x v="12"/>
    <x v="0"/>
    <n v="540"/>
    <x v="0"/>
    <d v="1995-11-03T00:00:00"/>
    <s v=""/>
    <s v=""/>
  </r>
  <r>
    <x v="21"/>
    <x v="21"/>
    <s v="Horst"/>
    <s v="Kloss"/>
    <s v="Kloss, Horst"/>
    <s v="Kloss, Horst"/>
    <x v="1"/>
    <s v="yes"/>
    <s v="yes"/>
    <s v="QUICK"/>
    <n v="10691"/>
    <x v="39"/>
    <x v="39"/>
    <s v="QUICK_10691_Thüringer Rostbratwurst"/>
    <s v="10691"/>
    <s v="10691"/>
    <s v="Thüringer Rostbratwurst"/>
    <n v="123.79"/>
    <x v="4"/>
    <x v="0"/>
    <n v="4951.6000000000004"/>
    <x v="0"/>
    <d v="1995-11-03T00:00:00"/>
    <s v=""/>
    <s v=""/>
  </r>
  <r>
    <x v="21"/>
    <x v="21"/>
    <s v="Horst"/>
    <s v="Kloss"/>
    <s v="Kloss, Horst"/>
    <s v="Kloss, Horst"/>
    <x v="0"/>
    <s v="no"/>
    <s v="no"/>
    <s v="QUICK"/>
    <n v="10691"/>
    <x v="40"/>
    <x v="40"/>
    <s v="QUICK_10691_Ipoh Coffee"/>
    <s v="10691"/>
    <s v="10691"/>
    <s v="Ipoh Coffee"/>
    <n v="46"/>
    <x v="4"/>
    <x v="0"/>
    <n v="1840"/>
    <x v="0"/>
    <d v="1995-11-03T00:00:00"/>
    <s v=""/>
    <s v=""/>
  </r>
  <r>
    <x v="21"/>
    <x v="21"/>
    <s v="Horst"/>
    <s v="Kloss"/>
    <s v="Kloss, Horst"/>
    <s v="Kloss, Horst"/>
    <x v="0"/>
    <s v="no"/>
    <s v="no"/>
    <s v="QUICK"/>
    <n v="10691"/>
    <x v="45"/>
    <x v="45"/>
    <s v="QUICK_10691_Gula Malacca"/>
    <s v="10691"/>
    <s v="10691"/>
    <s v="Gula Malacca"/>
    <n v="19.45"/>
    <x v="23"/>
    <x v="0"/>
    <n v="466.79999999999995"/>
    <x v="0"/>
    <d v="1995-11-03T00:00:00"/>
    <s v=""/>
    <s v=""/>
  </r>
  <r>
    <x v="21"/>
    <x v="21"/>
    <s v="Horst"/>
    <s v="Kloss"/>
    <s v="Kloss, Horst"/>
    <s v="Kloss, Horst"/>
    <x v="0"/>
    <s v="no"/>
    <s v="no"/>
    <s v="QUICK"/>
    <n v="10691"/>
    <x v="29"/>
    <x v="29"/>
    <s v="QUICK_10691_Tarte au sucre"/>
    <s v="10691"/>
    <s v="10691"/>
    <s v="Tarte au sucre"/>
    <n v="49.3"/>
    <x v="33"/>
    <x v="0"/>
    <n v="2366.3999999999996"/>
    <x v="0"/>
    <d v="1995-11-03T00:00:00"/>
    <s v=""/>
    <s v=""/>
  </r>
  <r>
    <x v="85"/>
    <x v="85"/>
    <s v="Maria"/>
    <s v="Anders"/>
    <s v="Anders, Maria"/>
    <s v="Anders, Maria"/>
    <x v="0"/>
    <s v="no"/>
    <s v="no"/>
    <s v="ALFKI"/>
    <n v="10692"/>
    <x v="46"/>
    <x v="46"/>
    <s v="ALFKI_10692_Vegie-spread"/>
    <s v="10692"/>
    <s v="10692"/>
    <s v="Vegie-spread"/>
    <n v="43.9"/>
    <x v="8"/>
    <x v="0"/>
    <n v="878"/>
    <x v="0"/>
    <d v="1995-11-03T00:00:00"/>
    <s v=""/>
    <s v=""/>
  </r>
  <r>
    <x v="19"/>
    <x v="19"/>
    <s v="Karl"/>
    <s v="Jablonski"/>
    <s v="Jablonski, Karl"/>
    <s v="Jablonski, Karl"/>
    <x v="0"/>
    <s v="no"/>
    <s v="no"/>
    <s v="WHITC"/>
    <n v="10693"/>
    <x v="76"/>
    <x v="76"/>
    <s v="WHITC_10693_Mishi Kobe Niku"/>
    <s v="10693"/>
    <s v="10693"/>
    <s v="Mishi Kobe Niku"/>
    <n v="97"/>
    <x v="7"/>
    <x v="0"/>
    <n v="582"/>
    <x v="0"/>
    <d v="1995-11-06T00:00:00"/>
    <s v=""/>
    <s v=""/>
  </r>
  <r>
    <x v="19"/>
    <x v="19"/>
    <s v="Karl"/>
    <s v="Jablonski"/>
    <s v="Jablonski, Karl"/>
    <s v="Jablonski, Karl"/>
    <x v="0"/>
    <s v="no"/>
    <s v="no"/>
    <s v="WHITC"/>
    <n v="10693"/>
    <x v="55"/>
    <x v="55"/>
    <s v="WHITC_10693_Tourtière"/>
    <s v="10693"/>
    <s v="10693"/>
    <s v="Tourtière"/>
    <n v="7.45"/>
    <x v="18"/>
    <x v="1"/>
    <n v="379.95"/>
    <x v="0"/>
    <d v="1995-11-06T00:00:00"/>
    <s v=""/>
    <s v=""/>
  </r>
  <r>
    <x v="19"/>
    <x v="19"/>
    <s v="Karl"/>
    <s v="Jablonski"/>
    <s v="Jablonski, Karl"/>
    <s v="Jablonski, Karl"/>
    <x v="0"/>
    <s v="no"/>
    <s v="no"/>
    <s v="WHITC"/>
    <n v="10693"/>
    <x v="60"/>
    <x v="60"/>
    <s v="WHITC_10693_Gudbrandsdalsost"/>
    <s v="10693"/>
    <s v="10693"/>
    <s v="Gudbrandsdalsost"/>
    <n v="36"/>
    <x v="12"/>
    <x v="1"/>
    <n v="918"/>
    <x v="0"/>
    <d v="1995-11-06T00:00:00"/>
    <s v=""/>
    <s v=""/>
  </r>
  <r>
    <x v="19"/>
    <x v="19"/>
    <s v="Karl"/>
    <s v="Jablonski"/>
    <s v="Jablonski, Karl"/>
    <s v="Jablonski, Karl"/>
    <x v="0"/>
    <s v="no"/>
    <s v="no"/>
    <s v="WHITC"/>
    <n v="10693"/>
    <x v="47"/>
    <x v="47"/>
    <s v="WHITC_10693_Röd Kaviar"/>
    <s v="10693"/>
    <s v="10693"/>
    <s v="Röd Kaviar"/>
    <n v="15"/>
    <x v="6"/>
    <x v="1"/>
    <n v="191.25"/>
    <x v="0"/>
    <d v="1995-11-06T00:00:00"/>
    <s v=""/>
    <s v=""/>
  </r>
  <r>
    <x v="21"/>
    <x v="21"/>
    <s v="Horst"/>
    <s v="Kloss"/>
    <s v="Kloss, Horst"/>
    <s v="Kloss, Horst"/>
    <x v="0"/>
    <s v="no"/>
    <s v="moderate"/>
    <s v="QUICK"/>
    <n v="10694"/>
    <x v="32"/>
    <x v="32"/>
    <s v="QUICK_10694_Uncle Bob's Organic Dried Pears"/>
    <s v="10694"/>
    <s v="10694"/>
    <s v="Uncle Bob's Organic Dried Pears"/>
    <n v="30"/>
    <x v="42"/>
    <x v="0"/>
    <n v="2700"/>
    <x v="0"/>
    <d v="1995-11-06T00:00:00"/>
    <s v=""/>
    <s v=""/>
  </r>
  <r>
    <x v="21"/>
    <x v="21"/>
    <s v="Horst"/>
    <s v="Kloss"/>
    <s v="Kloss, Horst"/>
    <s v="Kloss, Horst"/>
    <x v="0"/>
    <s v="no"/>
    <s v="no"/>
    <s v="QUICK"/>
    <n v="10694"/>
    <x v="21"/>
    <x v="21"/>
    <s v="QUICK_10694_Raclette Courdavault"/>
    <s v="10694"/>
    <s v="10694"/>
    <s v="Raclette Courdavault"/>
    <n v="55"/>
    <x v="9"/>
    <x v="0"/>
    <n v="1375"/>
    <x v="0"/>
    <d v="1995-11-06T00:00:00"/>
    <s v=""/>
    <s v=""/>
  </r>
  <r>
    <x v="21"/>
    <x v="21"/>
    <s v="Horst"/>
    <s v="Kloss"/>
    <s v="Kloss, Horst"/>
    <s v="Kloss, Horst"/>
    <x v="0"/>
    <s v="no"/>
    <s v="no"/>
    <s v="QUICK"/>
    <n v="10694"/>
    <x v="30"/>
    <x v="30"/>
    <s v="QUICK_10694_Outback Lager"/>
    <s v="10694"/>
    <s v="10694"/>
    <s v="Outback Lager"/>
    <n v="15"/>
    <x v="13"/>
    <x v="0"/>
    <n v="750"/>
    <x v="0"/>
    <d v="1995-11-06T00:00:00"/>
    <s v=""/>
    <s v=""/>
  </r>
  <r>
    <x v="83"/>
    <x v="83"/>
    <s v="Matti"/>
    <s v="Karttunen"/>
    <s v="Karttunen, Matti"/>
    <s v="Karttunen, Matti"/>
    <x v="0"/>
    <s v="no"/>
    <s v="no"/>
    <s v="WILMK"/>
    <n v="10695"/>
    <x v="71"/>
    <x v="71"/>
    <s v="WILMK_10695_Northwoods Cranberry Sauce"/>
    <s v="10695"/>
    <s v="10695"/>
    <s v="Northwoods Cranberry Sauce"/>
    <n v="40"/>
    <x v="1"/>
    <x v="0"/>
    <n v="400"/>
    <x v="0"/>
    <d v="1995-11-07T00:00:00"/>
    <s v=""/>
    <s v=""/>
  </r>
  <r>
    <x v="83"/>
    <x v="83"/>
    <s v="Matti"/>
    <s v="Karttunen"/>
    <s v="Karttunen, Matti"/>
    <s v="Karttunen, Matti"/>
    <x v="0"/>
    <s v="no"/>
    <s v="no"/>
    <s v="WILMK"/>
    <n v="10695"/>
    <x v="36"/>
    <x v="36"/>
    <s v="WILMK_10695_Queso Manchego La Pastora"/>
    <s v="10695"/>
    <s v="10695"/>
    <s v="Queso Manchego La Pastora"/>
    <n v="38"/>
    <x v="22"/>
    <x v="0"/>
    <n v="152"/>
    <x v="0"/>
    <d v="1995-11-07T00:00:00"/>
    <s v=""/>
    <s v=""/>
  </r>
  <r>
    <x v="83"/>
    <x v="83"/>
    <s v="Matti"/>
    <s v="Karttunen"/>
    <s v="Karttunen, Matti"/>
    <s v="Karttunen, Matti"/>
    <x v="0"/>
    <s v="no"/>
    <s v="no"/>
    <s v="WILMK"/>
    <n v="10695"/>
    <x v="15"/>
    <x v="15"/>
    <s v="WILMK_10695_Guaraná Fantástica"/>
    <s v="10695"/>
    <s v="10695"/>
    <s v="Guaraná Fantástica"/>
    <n v="4.5"/>
    <x v="8"/>
    <x v="0"/>
    <n v="90"/>
    <x v="0"/>
    <d v="1995-11-07T00:00:00"/>
    <s v=""/>
    <s v=""/>
  </r>
  <r>
    <x v="19"/>
    <x v="19"/>
    <s v="Karl"/>
    <s v="Jablonski"/>
    <s v="Jablonski, Karl"/>
    <s v="Jablonski, Karl"/>
    <x v="0"/>
    <s v="no"/>
    <s v="no"/>
    <s v="WHITC"/>
    <n v="10696"/>
    <x v="35"/>
    <x v="35"/>
    <s v="WHITC_10696_Alice Mutton"/>
    <s v="10696"/>
    <s v="10696"/>
    <s v="Alice Mutton"/>
    <n v="39"/>
    <x v="8"/>
    <x v="0"/>
    <n v="780"/>
    <x v="0"/>
    <d v="1995-11-08T00:00:00"/>
    <s v=""/>
    <s v=""/>
  </r>
  <r>
    <x v="19"/>
    <x v="19"/>
    <s v="Karl"/>
    <s v="Jablonski"/>
    <s v="Jablonski, Karl"/>
    <s v="Jablonski, Karl"/>
    <x v="0"/>
    <s v="no"/>
    <s v="no"/>
    <s v="WHITC"/>
    <n v="10696"/>
    <x v="54"/>
    <x v="54"/>
    <s v="WHITC_10696_Spegesild"/>
    <s v="10696"/>
    <s v="10696"/>
    <s v="Spegesild"/>
    <n v="12"/>
    <x v="27"/>
    <x v="0"/>
    <n v="216"/>
    <x v="0"/>
    <d v="1995-11-08T00:00:00"/>
    <s v=""/>
    <s v=""/>
  </r>
  <r>
    <x v="67"/>
    <x v="67"/>
    <s v="Felipe"/>
    <s v="Izquierdo"/>
    <s v="Izquierdo, Felipe"/>
    <s v="Izquierdo, Felipe"/>
    <x v="0"/>
    <s v="no"/>
    <s v="no"/>
    <s v="LINOD"/>
    <n v="10697"/>
    <x v="49"/>
    <x v="49"/>
    <s v="LINOD_10697_Teatime Chocolate Biscuits"/>
    <s v="10697"/>
    <s v="10697"/>
    <s v="Teatime Chocolate Biscuits"/>
    <n v="9.1999999999999993"/>
    <x v="25"/>
    <x v="4"/>
    <n v="48.3"/>
    <x v="0"/>
    <d v="1995-11-08T00:00:00"/>
    <s v=""/>
    <s v=""/>
  </r>
  <r>
    <x v="67"/>
    <x v="67"/>
    <s v="Felipe"/>
    <s v="Izquierdo"/>
    <s v="Izquierdo, Felipe"/>
    <s v="Izquierdo, Felipe"/>
    <x v="0"/>
    <s v="no"/>
    <s v="no"/>
    <s v="LINOD"/>
    <n v="10697"/>
    <x v="31"/>
    <x v="31"/>
    <s v="LINOD_10697_Steeleye Stout"/>
    <s v="10697"/>
    <s v="10697"/>
    <s v="Steeleye Stout"/>
    <n v="18"/>
    <x v="3"/>
    <x v="4"/>
    <n v="121.5"/>
    <x v="0"/>
    <d v="1995-11-08T00:00:00"/>
    <s v=""/>
    <s v=""/>
  </r>
  <r>
    <x v="67"/>
    <x v="67"/>
    <s v="Felipe"/>
    <s v="Izquierdo"/>
    <s v="Izquierdo, Felipe"/>
    <s v="Izquierdo, Felipe"/>
    <x v="0"/>
    <s v="no"/>
    <s v="no"/>
    <s v="LINOD"/>
    <n v="10697"/>
    <x v="64"/>
    <x v="64"/>
    <s v="LINOD_10697_Escargots de Bourgogne"/>
    <s v="10697"/>
    <s v="10697"/>
    <s v="Escargots de Bourgogne"/>
    <n v="13.25"/>
    <x v="12"/>
    <x v="4"/>
    <n v="298.125"/>
    <x v="0"/>
    <d v="1995-11-08T00:00:00"/>
    <s v=""/>
    <s v=""/>
  </r>
  <r>
    <x v="67"/>
    <x v="67"/>
    <s v="Felipe"/>
    <s v="Izquierdo"/>
    <s v="Izquierdo, Felipe"/>
    <s v="Izquierdo, Felipe"/>
    <x v="0"/>
    <s v="no"/>
    <s v="no"/>
    <s v="LINOD"/>
    <n v="10697"/>
    <x v="30"/>
    <x v="30"/>
    <s v="LINOD_10697_Outback Lager"/>
    <s v="10697"/>
    <s v="10697"/>
    <s v="Outback Lager"/>
    <n v="15"/>
    <x v="12"/>
    <x v="4"/>
    <n v="337.5"/>
    <x v="0"/>
    <d v="1995-11-08T00:00:00"/>
    <s v=""/>
    <s v=""/>
  </r>
  <r>
    <x v="9"/>
    <x v="9"/>
    <s v="Roland"/>
    <s v="Mendel"/>
    <s v="Mendel, Roland"/>
    <s v="Mendel, Roland"/>
    <x v="0"/>
    <s v="no"/>
    <s v="no"/>
    <s v="ERNSH"/>
    <n v="10698"/>
    <x v="0"/>
    <x v="0"/>
    <s v="ERNSH_10698_Queso Cabrales"/>
    <s v="10698"/>
    <s v="10698"/>
    <s v="Queso Cabrales"/>
    <n v="21"/>
    <x v="6"/>
    <x v="0"/>
    <n v="315"/>
    <x v="0"/>
    <d v="1995-11-09T00:00:00"/>
    <s v=""/>
    <s v=""/>
  </r>
  <r>
    <x v="9"/>
    <x v="9"/>
    <s v="Roland"/>
    <s v="Mendel"/>
    <s v="Mendel, Roland"/>
    <s v="Mendel, Roland"/>
    <x v="0"/>
    <s v="no"/>
    <s v="no"/>
    <s v="ERNSH"/>
    <n v="10698"/>
    <x v="35"/>
    <x v="35"/>
    <s v="ERNSH_10698_Alice Mutton"/>
    <s v="10698"/>
    <s v="10698"/>
    <s v="Alice Mutton"/>
    <n v="39"/>
    <x v="26"/>
    <x v="2"/>
    <n v="296.39999999999998"/>
    <x v="0"/>
    <d v="1995-11-09T00:00:00"/>
    <s v=""/>
    <s v=""/>
  </r>
  <r>
    <x v="9"/>
    <x v="9"/>
    <s v="Roland"/>
    <s v="Mendel"/>
    <s v="Mendel, Roland"/>
    <s v="Mendel, Roland"/>
    <x v="0"/>
    <s v="no"/>
    <s v="no"/>
    <s v="ERNSH"/>
    <n v="10698"/>
    <x v="39"/>
    <x v="39"/>
    <s v="ERNSH_10698_Thüringer Rostbratwurst"/>
    <s v="10698"/>
    <s v="10698"/>
    <s v="Thüringer Rostbratwurst"/>
    <n v="123.79"/>
    <x v="0"/>
    <x v="2"/>
    <n v="1411.2059999999999"/>
    <x v="0"/>
    <d v="1995-11-09T00:00:00"/>
    <s v=""/>
    <s v=""/>
  </r>
  <r>
    <x v="9"/>
    <x v="9"/>
    <s v="Roland"/>
    <s v="Mendel"/>
    <s v="Mendel, Roland"/>
    <s v="Mendel, Roland"/>
    <x v="0"/>
    <s v="no"/>
    <s v="no"/>
    <s v="ERNSH"/>
    <n v="10698"/>
    <x v="6"/>
    <x v="6"/>
    <s v="ERNSH_10698_Louisiana Fiery Hot Pepper Sauce"/>
    <s v="10698"/>
    <s v="10698"/>
    <s v="Louisiana Fiery Hot Pepper Sauce"/>
    <n v="21.05"/>
    <x v="14"/>
    <x v="2"/>
    <n v="1299.8374999999999"/>
    <x v="0"/>
    <d v="1995-11-09T00:00:00"/>
    <s v=""/>
    <s v=""/>
  </r>
  <r>
    <x v="9"/>
    <x v="9"/>
    <s v="Roland"/>
    <s v="Mendel"/>
    <s v="Mendel, Roland"/>
    <s v="Mendel, Roland"/>
    <x v="0"/>
    <s v="no"/>
    <s v="no"/>
    <s v="ERNSH"/>
    <n v="10698"/>
    <x v="30"/>
    <x v="30"/>
    <s v="ERNSH_10698_Outback Lager"/>
    <s v="10698"/>
    <s v="10698"/>
    <s v="Outback Lager"/>
    <n v="15"/>
    <x v="26"/>
    <x v="2"/>
    <n v="114"/>
    <x v="0"/>
    <d v="1995-11-09T00:00:00"/>
    <s v=""/>
    <s v=""/>
  </r>
  <r>
    <x v="24"/>
    <x v="24"/>
    <s v="Alexander"/>
    <s v="Feuer"/>
    <s v="Feuer, Alexander"/>
    <s v="Feuer, Alexander"/>
    <x v="0"/>
    <s v="no"/>
    <s v="no"/>
    <s v="MORGK"/>
    <n v="10699"/>
    <x v="69"/>
    <x v="69"/>
    <s v="MORGK_10699_Zaanse koeken"/>
    <s v="10699"/>
    <s v="10699"/>
    <s v="Zaanse koeken"/>
    <n v="9.5"/>
    <x v="0"/>
    <x v="0"/>
    <n v="114"/>
    <x v="0"/>
    <d v="1995-11-09T00:00:00"/>
    <s v=""/>
    <s v=""/>
  </r>
  <r>
    <x v="45"/>
    <x v="45"/>
    <s v="Jose"/>
    <s v="Pavarotti"/>
    <s v="Pavarotti, Jose"/>
    <s v="Pavarotti, Jose"/>
    <x v="0"/>
    <s v="no"/>
    <s v="no"/>
    <s v="SAVEA"/>
    <n v="10700"/>
    <x v="52"/>
    <x v="52"/>
    <s v="SAVEA_10700_Chai"/>
    <s v="10700"/>
    <s v="10700"/>
    <s v="Chai"/>
    <n v="18"/>
    <x v="2"/>
    <x v="3"/>
    <n v="72"/>
    <x v="0"/>
    <d v="1995-11-10T00:00:00"/>
    <s v=""/>
    <s v=""/>
  </r>
  <r>
    <x v="45"/>
    <x v="45"/>
    <s v="Jose"/>
    <s v="Pavarotti"/>
    <s v="Pavarotti, Jose"/>
    <s v="Pavarotti, Jose"/>
    <x v="0"/>
    <s v="no"/>
    <s v="no"/>
    <s v="SAVEA"/>
    <n v="10700"/>
    <x v="53"/>
    <x v="53"/>
    <s v="SAVEA_10700_Sasquatch Ale"/>
    <s v="10700"/>
    <s v="10700"/>
    <s v="Sasquatch Ale"/>
    <n v="14"/>
    <x v="0"/>
    <x v="3"/>
    <n v="134.4"/>
    <x v="0"/>
    <d v="1995-11-10T00:00:00"/>
    <s v=""/>
    <s v=""/>
  </r>
  <r>
    <x v="45"/>
    <x v="45"/>
    <s v="Jose"/>
    <s v="Pavarotti"/>
    <s v="Pavarotti, Jose"/>
    <s v="Pavarotti, Jose"/>
    <x v="0"/>
    <s v="no"/>
    <s v="no"/>
    <s v="SAVEA"/>
    <n v="10700"/>
    <x v="56"/>
    <x v="56"/>
    <s v="SAVEA_10700_Scottish Longbreads"/>
    <s v="10700"/>
    <s v="10700"/>
    <s v="Scottish Longbreads"/>
    <n v="12.5"/>
    <x v="4"/>
    <x v="3"/>
    <n v="400"/>
    <x v="0"/>
    <d v="1995-11-10T00:00:00"/>
    <s v=""/>
    <s v=""/>
  </r>
  <r>
    <x v="45"/>
    <x v="45"/>
    <s v="Jose"/>
    <s v="Pavarotti"/>
    <s v="Pavarotti, Jose"/>
    <s v="Pavarotti, Jose"/>
    <x v="0"/>
    <s v="no"/>
    <s v="no"/>
    <s v="SAVEA"/>
    <n v="10700"/>
    <x v="42"/>
    <x v="42"/>
    <s v="SAVEA_10700_Fløtemysost"/>
    <s v="10700"/>
    <s v="10700"/>
    <s v="Fløtemysost"/>
    <n v="21.5"/>
    <x v="18"/>
    <x v="3"/>
    <n v="1032"/>
    <x v="0"/>
    <d v="1995-11-10T00:00:00"/>
    <s v=""/>
    <s v=""/>
  </r>
  <r>
    <x v="34"/>
    <x v="34"/>
    <s v="Patricia"/>
    <s v="McKenna"/>
    <s v="McKenna, Patricia"/>
    <s v="McKenna, Patricia"/>
    <x v="0"/>
    <s v="no"/>
    <s v="no"/>
    <s v="HUNGO"/>
    <n v="10701"/>
    <x v="21"/>
    <x v="21"/>
    <s v="HUNGO_10701_Raclette Courdavault"/>
    <s v="10701"/>
    <s v="10701"/>
    <s v="Raclette Courdavault"/>
    <n v="55"/>
    <x v="10"/>
    <x v="1"/>
    <n v="1963.5"/>
    <x v="0"/>
    <d v="1995-11-13T00:00:00"/>
    <s v=""/>
    <s v=""/>
  </r>
  <r>
    <x v="34"/>
    <x v="34"/>
    <s v="Patricia"/>
    <s v="McKenna"/>
    <s v="McKenna, Patricia"/>
    <s v="McKenna, Patricia"/>
    <x v="0"/>
    <s v="no"/>
    <s v="no"/>
    <s v="HUNGO"/>
    <n v="10701"/>
    <x v="42"/>
    <x v="42"/>
    <s v="HUNGO_10701_Fløtemysost"/>
    <s v="10701"/>
    <s v="10701"/>
    <s v="Fløtemysost"/>
    <n v="21.5"/>
    <x v="8"/>
    <x v="1"/>
    <n v="365.5"/>
    <x v="0"/>
    <d v="1995-11-13T00:00:00"/>
    <s v=""/>
    <s v=""/>
  </r>
  <r>
    <x v="34"/>
    <x v="34"/>
    <s v="Patricia"/>
    <s v="McKenna"/>
    <s v="McKenna, Patricia"/>
    <s v="McKenna, Patricia"/>
    <x v="0"/>
    <s v="no"/>
    <s v="no"/>
    <s v="HUNGO"/>
    <n v="10701"/>
    <x v="38"/>
    <x v="38"/>
    <s v="HUNGO_10701_Lakkalikööri"/>
    <s v="10701"/>
    <s v="10701"/>
    <s v="Lakkalikööri"/>
    <n v="18"/>
    <x v="5"/>
    <x v="1"/>
    <n v="535.5"/>
    <x v="0"/>
    <d v="1995-11-13T00:00:00"/>
    <s v=""/>
    <s v=""/>
  </r>
  <r>
    <x v="85"/>
    <x v="85"/>
    <s v="Maria"/>
    <s v="Anders"/>
    <s v="Anders, Maria"/>
    <s v="Anders, Maria"/>
    <x v="0"/>
    <s v="no"/>
    <s v="no"/>
    <s v="ALFKI"/>
    <n v="10702"/>
    <x v="57"/>
    <x v="57"/>
    <s v="ALFKI_10702_Aniseed Syrup"/>
    <s v="10702"/>
    <s v="10702"/>
    <s v="Aniseed Syrup"/>
    <n v="10"/>
    <x v="7"/>
    <x v="0"/>
    <n v="60"/>
    <x v="0"/>
    <d v="1995-11-13T00:00:00"/>
    <s v=""/>
    <s v=""/>
  </r>
  <r>
    <x v="85"/>
    <x v="85"/>
    <s v="Maria"/>
    <s v="Anders"/>
    <s v="Anders, Maria"/>
    <s v="Anders, Maria"/>
    <x v="0"/>
    <s v="no"/>
    <s v="no"/>
    <s v="ALFKI"/>
    <n v="10702"/>
    <x v="38"/>
    <x v="38"/>
    <s v="ALFKI_10702_Lakkalikööri"/>
    <s v="10702"/>
    <s v="10702"/>
    <s v="Lakkalikööri"/>
    <n v="18"/>
    <x v="6"/>
    <x v="0"/>
    <n v="270"/>
    <x v="0"/>
    <d v="1995-11-13T00:00:00"/>
    <s v=""/>
    <s v=""/>
  </r>
  <r>
    <x v="14"/>
    <x v="14"/>
    <s v="Maria"/>
    <s v="Larsson"/>
    <s v="Larsson, Maria"/>
    <s v="Larsson, Maria"/>
    <x v="0"/>
    <s v="no"/>
    <s v="no"/>
    <s v="FOLKO"/>
    <n v="10703"/>
    <x v="18"/>
    <x v="18"/>
    <s v="FOLKO_10703_Chang"/>
    <s v="10703"/>
    <s v="10703"/>
    <s v="Chang"/>
    <n v="19"/>
    <x v="2"/>
    <x v="0"/>
    <n v="95"/>
    <x v="0"/>
    <d v="1995-11-14T00:00:00"/>
    <s v=""/>
    <s v=""/>
  </r>
  <r>
    <x v="14"/>
    <x v="14"/>
    <s v="Maria"/>
    <s v="Larsson"/>
    <s v="Larsson, Maria"/>
    <s v="Larsson, Maria"/>
    <x v="0"/>
    <s v="no"/>
    <s v="no"/>
    <s v="FOLKO"/>
    <n v="10703"/>
    <x v="21"/>
    <x v="21"/>
    <s v="FOLKO_10703_Raclette Courdavault"/>
    <s v="10703"/>
    <s v="10703"/>
    <s v="Raclette Courdavault"/>
    <n v="55"/>
    <x v="5"/>
    <x v="0"/>
    <n v="1925"/>
    <x v="0"/>
    <d v="1995-11-14T00:00:00"/>
    <s v=""/>
    <s v=""/>
  </r>
  <r>
    <x v="14"/>
    <x v="14"/>
    <s v="Maria"/>
    <s v="Larsson"/>
    <s v="Larsson, Maria"/>
    <s v="Larsson, Maria"/>
    <x v="0"/>
    <s v="no"/>
    <s v="no"/>
    <s v="FOLKO"/>
    <n v="10703"/>
    <x v="47"/>
    <x v="47"/>
    <s v="FOLKO_10703_Röd Kaviar"/>
    <s v="10703"/>
    <s v="10703"/>
    <s v="Röd Kaviar"/>
    <n v="15"/>
    <x v="5"/>
    <x v="0"/>
    <n v="525"/>
    <x v="0"/>
    <d v="1995-11-14T00:00:00"/>
    <s v=""/>
    <s v=""/>
  </r>
  <r>
    <x v="62"/>
    <x v="62"/>
    <s v="Lúcia"/>
    <s v="Carvalho"/>
    <s v="Carvalho, Lúcia"/>
    <s v="Carvalho, Lúcia"/>
    <x v="0"/>
    <s v="no"/>
    <s v="no"/>
    <s v="QUEEN"/>
    <n v="10704"/>
    <x v="62"/>
    <x v="62"/>
    <s v="QUEEN_10704_Chef Anton's Cajun Seasoning"/>
    <s v="10704"/>
    <s v="10704"/>
    <s v="Chef Anton's Cajun Seasoning"/>
    <n v="22"/>
    <x v="7"/>
    <x v="0"/>
    <n v="132"/>
    <x v="0"/>
    <d v="1995-11-14T00:00:00"/>
    <s v=""/>
    <s v=""/>
  </r>
  <r>
    <x v="62"/>
    <x v="62"/>
    <s v="Lúcia"/>
    <s v="Carvalho"/>
    <s v="Carvalho, Lúcia"/>
    <s v="Carvalho, Lúcia"/>
    <x v="0"/>
    <s v="no"/>
    <s v="no"/>
    <s v="QUEEN"/>
    <n v="10704"/>
    <x v="15"/>
    <x v="15"/>
    <s v="QUEEN_10704_Guaraná Fantástica"/>
    <s v="10704"/>
    <s v="10704"/>
    <s v="Guaraná Fantástica"/>
    <n v="4.5"/>
    <x v="5"/>
    <x v="0"/>
    <n v="157.5"/>
    <x v="0"/>
    <d v="1995-11-14T00:00:00"/>
    <s v=""/>
    <s v=""/>
  </r>
  <r>
    <x v="62"/>
    <x v="62"/>
    <s v="Lúcia"/>
    <s v="Carvalho"/>
    <s v="Carvalho, Lúcia"/>
    <s v="Carvalho, Lúcia"/>
    <x v="0"/>
    <s v="no"/>
    <s v="no"/>
    <s v="QUEEN"/>
    <n v="10704"/>
    <x v="74"/>
    <x v="74"/>
    <s v="QUEEN_10704_Chocolade"/>
    <s v="10704"/>
    <s v="10704"/>
    <s v="Chocolade"/>
    <n v="12.75"/>
    <x v="23"/>
    <x v="0"/>
    <n v="306"/>
    <x v="0"/>
    <d v="1995-11-14T00:00:00"/>
    <s v=""/>
    <s v=""/>
  </r>
  <r>
    <x v="8"/>
    <x v="8"/>
    <s v="Carlos"/>
    <s v="Hernández"/>
    <s v="Hernández, Carlos"/>
    <s v="Hernández, Carlos"/>
    <x v="0"/>
    <s v="no"/>
    <s v="no"/>
    <s v="HILAA"/>
    <n v="10705"/>
    <x v="12"/>
    <x v="12"/>
    <s v="HILAA_10705_Gorgonzola Telino"/>
    <s v="10705"/>
    <s v="10705"/>
    <s v="Gorgonzola Telino"/>
    <n v="12.5"/>
    <x v="8"/>
    <x v="0"/>
    <n v="250"/>
    <x v="0"/>
    <d v="1995-11-15T00:00:00"/>
    <s v=""/>
    <s v=""/>
  </r>
  <r>
    <x v="8"/>
    <x v="8"/>
    <s v="Carlos"/>
    <s v="Hernández"/>
    <s v="Hernández, Carlos"/>
    <s v="Hernández, Carlos"/>
    <x v="0"/>
    <s v="no"/>
    <s v="no"/>
    <s v="HILAA"/>
    <n v="10705"/>
    <x v="26"/>
    <x v="26"/>
    <s v="HILAA_10705_Mascarpone Fabioli"/>
    <s v="10705"/>
    <s v="10705"/>
    <s v="Mascarpone Fabioli"/>
    <n v="32"/>
    <x v="22"/>
    <x v="0"/>
    <n v="128"/>
    <x v="0"/>
    <d v="1995-11-15T00:00:00"/>
    <s v=""/>
    <s v=""/>
  </r>
  <r>
    <x v="37"/>
    <x v="37"/>
    <s v="Rene"/>
    <s v="Phillips"/>
    <s v="Phillips, Rene"/>
    <s v="Phillips, Rene"/>
    <x v="0"/>
    <s v="no"/>
    <s v="no"/>
    <s v="OLDWO"/>
    <n v="10706"/>
    <x v="19"/>
    <x v="19"/>
    <s v="OLDWO_10706_Pavlova"/>
    <s v="10706"/>
    <s v="10706"/>
    <s v="Pavlova"/>
    <n v="17.45"/>
    <x v="8"/>
    <x v="0"/>
    <n v="349"/>
    <x v="0"/>
    <d v="1995-11-16T00:00:00"/>
    <s v=""/>
    <s v=""/>
  </r>
  <r>
    <x v="37"/>
    <x v="37"/>
    <s v="Rene"/>
    <s v="Phillips"/>
    <s v="Phillips, Rene"/>
    <s v="Phillips, Rene"/>
    <x v="0"/>
    <s v="no"/>
    <s v="no"/>
    <s v="OLDWO"/>
    <n v="10706"/>
    <x v="40"/>
    <x v="40"/>
    <s v="OLDWO_10706_Ipoh Coffee"/>
    <s v="10706"/>
    <s v="10706"/>
    <s v="Ipoh Coffee"/>
    <n v="46"/>
    <x v="23"/>
    <x v="0"/>
    <n v="1104"/>
    <x v="0"/>
    <d v="1995-11-16T00:00:00"/>
    <s v=""/>
    <s v=""/>
  </r>
  <r>
    <x v="37"/>
    <x v="37"/>
    <s v="Rene"/>
    <s v="Phillips"/>
    <s v="Phillips, Rene"/>
    <s v="Phillips, Rene"/>
    <x v="0"/>
    <s v="no"/>
    <s v="no"/>
    <s v="OLDWO"/>
    <n v="10706"/>
    <x v="21"/>
    <x v="21"/>
    <s v="OLDWO_10706_Raclette Courdavault"/>
    <s v="10706"/>
    <s v="10706"/>
    <s v="Raclette Courdavault"/>
    <n v="55"/>
    <x v="26"/>
    <x v="0"/>
    <n v="440"/>
    <x v="0"/>
    <d v="1995-11-16T00:00:00"/>
    <s v=""/>
    <s v=""/>
  </r>
  <r>
    <x v="55"/>
    <x v="55"/>
    <s v="Thomas"/>
    <s v="Hardy"/>
    <s v="Hardy, Thomas"/>
    <s v="Hardy, Thomas"/>
    <x v="0"/>
    <s v="no"/>
    <s v="no"/>
    <s v="AROUT"/>
    <n v="10707"/>
    <x v="16"/>
    <x v="16"/>
    <s v="AROUT_10707_Pâté chinois"/>
    <s v="10707"/>
    <s v="10707"/>
    <s v="Pâté chinois"/>
    <n v="24"/>
    <x v="11"/>
    <x v="0"/>
    <n v="504"/>
    <x v="0"/>
    <d v="1995-11-16T00:00:00"/>
    <s v=""/>
    <s v=""/>
  </r>
  <r>
    <x v="55"/>
    <x v="55"/>
    <s v="Thomas"/>
    <s v="Hardy"/>
    <s v="Hardy, Thomas"/>
    <s v="Hardy, Thomas"/>
    <x v="0"/>
    <s v="no"/>
    <s v="no"/>
    <s v="AROUT"/>
    <n v="10707"/>
    <x v="8"/>
    <x v="8"/>
    <s v="AROUT_10707_Ravioli Angelo"/>
    <s v="10707"/>
    <s v="10707"/>
    <s v="Ravioli Angelo"/>
    <n v="19.5"/>
    <x v="4"/>
    <x v="0"/>
    <n v="780"/>
    <x v="0"/>
    <d v="1995-11-16T00:00:00"/>
    <s v=""/>
    <s v=""/>
  </r>
  <r>
    <x v="55"/>
    <x v="55"/>
    <s v="Thomas"/>
    <s v="Hardy"/>
    <s v="Hardy, Thomas"/>
    <s v="Hardy, Thomas"/>
    <x v="0"/>
    <s v="no"/>
    <s v="no"/>
    <s v="AROUT"/>
    <n v="10707"/>
    <x v="30"/>
    <x v="30"/>
    <s v="AROUT_10707_Outback Lager"/>
    <s v="10707"/>
    <s v="10707"/>
    <s v="Outback Lager"/>
    <n v="15"/>
    <x v="19"/>
    <x v="1"/>
    <n v="357"/>
    <x v="0"/>
    <d v="1995-11-16T00:00:00"/>
    <s v=""/>
    <s v=""/>
  </r>
  <r>
    <x v="40"/>
    <x v="40"/>
    <s v="Liz"/>
    <s v="Nixon"/>
    <s v="Nixon, Liz"/>
    <s v="Nixon, Liz"/>
    <x v="0"/>
    <s v="no"/>
    <s v="no"/>
    <s v="THEBI"/>
    <n v="10708"/>
    <x v="25"/>
    <x v="25"/>
    <s v="THEBI_10708_Chef Anton's Gumbo Mix"/>
    <s v="10708"/>
    <s v="10708"/>
    <s v="Chef Anton's Gumbo Mix"/>
    <n v="21.35"/>
    <x v="22"/>
    <x v="0"/>
    <n v="85.4"/>
    <x v="0"/>
    <d v="1995-11-17T00:00:00"/>
    <s v=""/>
    <s v=""/>
  </r>
  <r>
    <x v="40"/>
    <x v="40"/>
    <s v="Liz"/>
    <s v="Nixon"/>
    <s v="Nixon, Liz"/>
    <s v="Nixon, Liz"/>
    <x v="0"/>
    <s v="no"/>
    <s v="no"/>
    <s v="THEBI"/>
    <n v="10708"/>
    <x v="20"/>
    <x v="20"/>
    <s v="THEBI_10708_Inlagd Sill"/>
    <s v="10708"/>
    <s v="10708"/>
    <s v="Inlagd Sill"/>
    <n v="19"/>
    <x v="2"/>
    <x v="0"/>
    <n v="95"/>
    <x v="0"/>
    <d v="1995-11-17T00:00:00"/>
    <s v=""/>
    <s v=""/>
  </r>
  <r>
    <x v="71"/>
    <x v="71"/>
    <s v="André"/>
    <s v="Fonseca"/>
    <s v="Fonseca, André"/>
    <s v="Fonseca, André"/>
    <x v="0"/>
    <s v="no"/>
    <s v="no"/>
    <s v="GOURL"/>
    <n v="10709"/>
    <x v="71"/>
    <x v="71"/>
    <s v="GOURL_10709_Northwoods Cranberry Sauce"/>
    <s v="10709"/>
    <s v="10709"/>
    <s v="Northwoods Cranberry Sauce"/>
    <n v="40"/>
    <x v="4"/>
    <x v="0"/>
    <n v="1600"/>
    <x v="0"/>
    <d v="1995-11-17T00:00:00"/>
    <s v=""/>
    <s v=""/>
  </r>
  <r>
    <x v="71"/>
    <x v="71"/>
    <s v="André"/>
    <s v="Fonseca"/>
    <s v="Fonseca, André"/>
    <s v="Fonseca, André"/>
    <x v="0"/>
    <s v="no"/>
    <s v="no"/>
    <s v="GOURL"/>
    <n v="10709"/>
    <x v="4"/>
    <x v="4"/>
    <s v="GOURL_10709_Manjimup Dried Apples"/>
    <s v="10709"/>
    <s v="10709"/>
    <s v="Manjimup Dried Apples"/>
    <n v="53"/>
    <x v="19"/>
    <x v="0"/>
    <n v="1484"/>
    <x v="0"/>
    <d v="1995-11-17T00:00:00"/>
    <s v=""/>
    <s v=""/>
  </r>
  <r>
    <x v="71"/>
    <x v="71"/>
    <s v="André"/>
    <s v="Fonseca"/>
    <s v="Fonseca, André"/>
    <s v="Fonseca, André"/>
    <x v="0"/>
    <s v="no"/>
    <s v="no"/>
    <s v="GOURL"/>
    <n v="10709"/>
    <x v="11"/>
    <x v="11"/>
    <s v="GOURL_10709_Camembert Pierrot"/>
    <s v="10709"/>
    <s v="10709"/>
    <s v="Camembert Pierrot"/>
    <n v="34"/>
    <x v="1"/>
    <x v="0"/>
    <n v="340"/>
    <x v="0"/>
    <d v="1995-11-17T00:00:00"/>
    <s v=""/>
    <s v=""/>
  </r>
  <r>
    <x v="70"/>
    <x v="70"/>
    <s v="Paolo"/>
    <s v="Accorti"/>
    <s v="Accorti, Paolo"/>
    <s v="Accorti, Paolo"/>
    <x v="0"/>
    <s v="no"/>
    <s v="no"/>
    <s v="FRANS"/>
    <n v="10710"/>
    <x v="49"/>
    <x v="49"/>
    <s v="FRANS_10710_Teatime Chocolate Biscuits"/>
    <s v="10710"/>
    <s v="10710"/>
    <s v="Teatime Chocolate Biscuits"/>
    <n v="9.1999999999999993"/>
    <x v="2"/>
    <x v="0"/>
    <n v="46"/>
    <x v="0"/>
    <d v="1995-11-20T00:00:00"/>
    <s v=""/>
    <s v=""/>
  </r>
  <r>
    <x v="70"/>
    <x v="70"/>
    <s v="Paolo"/>
    <s v="Accorti"/>
    <s v="Accorti, Paolo"/>
    <s v="Accorti, Paolo"/>
    <x v="0"/>
    <s v="no"/>
    <s v="no"/>
    <s v="FRANS"/>
    <n v="10710"/>
    <x v="69"/>
    <x v="69"/>
    <s v="FRANS_10710_Zaanse koeken"/>
    <s v="10710"/>
    <s v="10710"/>
    <s v="Zaanse koeken"/>
    <n v="9.5"/>
    <x v="2"/>
    <x v="0"/>
    <n v="47.5"/>
    <x v="0"/>
    <d v="1995-11-20T00:00:00"/>
    <s v=""/>
    <s v=""/>
  </r>
  <r>
    <x v="45"/>
    <x v="45"/>
    <s v="Jose"/>
    <s v="Pavarotti"/>
    <s v="Pavarotti, Jose"/>
    <s v="Pavarotti, Jose"/>
    <x v="0"/>
    <s v="no"/>
    <s v="no"/>
    <s v="SAVEA"/>
    <n v="10711"/>
    <x v="49"/>
    <x v="49"/>
    <s v="SAVEA_10711_Teatime Chocolate Biscuits"/>
    <s v="10711"/>
    <s v="10711"/>
    <s v="Teatime Chocolate Biscuits"/>
    <n v="9.1999999999999993"/>
    <x v="0"/>
    <x v="0"/>
    <n v="110.39999999999999"/>
    <x v="0"/>
    <d v="1995-11-21T00:00:00"/>
    <s v=""/>
    <s v=""/>
  </r>
  <r>
    <x v="45"/>
    <x v="45"/>
    <s v="Jose"/>
    <s v="Pavarotti"/>
    <s v="Pavarotti, Jose"/>
    <s v="Pavarotti, Jose"/>
    <x v="0"/>
    <s v="no"/>
    <s v="no"/>
    <s v="SAVEA"/>
    <n v="10711"/>
    <x v="5"/>
    <x v="5"/>
    <s v="SAVEA_10711_Jack's New England Clam Chowder"/>
    <s v="10711"/>
    <s v="10711"/>
    <s v="Jack's New England Clam Chowder"/>
    <n v="9.65"/>
    <x v="10"/>
    <x v="0"/>
    <n v="405.3"/>
    <x v="0"/>
    <d v="1995-11-21T00:00:00"/>
    <s v=""/>
    <s v=""/>
  </r>
  <r>
    <x v="45"/>
    <x v="45"/>
    <s v="Jose"/>
    <s v="Pavarotti"/>
    <s v="Pavarotti, Jose"/>
    <s v="Pavarotti, Jose"/>
    <x v="1"/>
    <s v="yes"/>
    <s v="yes"/>
    <s v="SAVEA"/>
    <n v="10711"/>
    <x v="22"/>
    <x v="22"/>
    <s v="SAVEA_10711_Perth Pasties"/>
    <s v="10711"/>
    <s v="10711"/>
    <s v="Perth Pasties"/>
    <n v="32.799999999999997"/>
    <x v="40"/>
    <x v="0"/>
    <n v="3935.9999999999995"/>
    <x v="0"/>
    <d v="1995-11-21T00:00:00"/>
    <s v=""/>
    <s v=""/>
  </r>
  <r>
    <x v="34"/>
    <x v="34"/>
    <s v="Patricia"/>
    <s v="McKenna"/>
    <s v="McKenna, Patricia"/>
    <s v="McKenna, Patricia"/>
    <x v="0"/>
    <s v="no"/>
    <s v="no"/>
    <s v="HUNGO"/>
    <n v="10712"/>
    <x v="22"/>
    <x v="22"/>
    <s v="HUNGO_10712_Perth Pasties"/>
    <s v="10712"/>
    <s v="10712"/>
    <s v="Perth Pasties"/>
    <n v="32.799999999999997"/>
    <x v="28"/>
    <x v="2"/>
    <n v="93.47999999999999"/>
    <x v="0"/>
    <d v="1995-11-21T00:00:00"/>
    <s v=""/>
    <s v=""/>
  </r>
  <r>
    <x v="34"/>
    <x v="34"/>
    <s v="Patricia"/>
    <s v="McKenna"/>
    <s v="McKenna, Patricia"/>
    <s v="McKenna, Patricia"/>
    <x v="0"/>
    <s v="no"/>
    <s v="no"/>
    <s v="HUNGO"/>
    <n v="10712"/>
    <x v="33"/>
    <x v="33"/>
    <s v="HUNGO_10712_Gnocchi di nonna Alice"/>
    <s v="10712"/>
    <s v="10712"/>
    <s v="Gnocchi di nonna Alice"/>
    <n v="38"/>
    <x v="12"/>
    <x v="0"/>
    <n v="1140"/>
    <x v="0"/>
    <d v="1995-11-21T00:00:00"/>
    <s v=""/>
    <s v=""/>
  </r>
  <r>
    <x v="45"/>
    <x v="45"/>
    <s v="Jose"/>
    <s v="Pavarotti"/>
    <s v="Pavarotti, Jose"/>
    <s v="Pavarotti, Jose"/>
    <x v="0"/>
    <s v="no"/>
    <s v="no"/>
    <s v="SAVEA"/>
    <n v="10713"/>
    <x v="41"/>
    <x v="41"/>
    <s v="SAVEA_10713_Ikura"/>
    <s v="10713"/>
    <s v="10713"/>
    <s v="Ikura"/>
    <n v="31"/>
    <x v="27"/>
    <x v="0"/>
    <n v="558"/>
    <x v="0"/>
    <d v="1995-11-22T00:00:00"/>
    <s v=""/>
    <s v=""/>
  </r>
  <r>
    <x v="45"/>
    <x v="45"/>
    <s v="Jose"/>
    <s v="Pavarotti"/>
    <s v="Pavarotti, Jose"/>
    <s v="Pavarotti, Jose"/>
    <x v="0"/>
    <s v="no"/>
    <s v="no"/>
    <s v="SAVEA"/>
    <n v="10713"/>
    <x v="68"/>
    <x v="68"/>
    <s v="SAVEA_10713_Gumbär Gummibärchen"/>
    <s v="10713"/>
    <s v="10713"/>
    <s v="Gumbär Gummibärchen"/>
    <n v="31.23"/>
    <x v="12"/>
    <x v="0"/>
    <n v="936.9"/>
    <x v="0"/>
    <d v="1995-11-22T00:00:00"/>
    <s v=""/>
    <s v=""/>
  </r>
  <r>
    <x v="45"/>
    <x v="45"/>
    <s v="Jose"/>
    <s v="Pavarotti"/>
    <s v="Pavarotti, Jose"/>
    <s v="Pavarotti, Jose"/>
    <x v="0"/>
    <s v="no"/>
    <s v="no"/>
    <s v="SAVEA"/>
    <n v="10713"/>
    <x v="73"/>
    <x v="73"/>
    <s v="SAVEA_10713_Røgede sild"/>
    <s v="10713"/>
    <s v="10713"/>
    <s v="Røgede sild"/>
    <n v="9.5"/>
    <x v="46"/>
    <x v="0"/>
    <n v="1045"/>
    <x v="0"/>
    <d v="1995-11-22T00:00:00"/>
    <s v=""/>
    <s v=""/>
  </r>
  <r>
    <x v="45"/>
    <x v="45"/>
    <s v="Jose"/>
    <s v="Pavarotti"/>
    <s v="Pavarotti, Jose"/>
    <s v="Pavarotti, Jose"/>
    <x v="0"/>
    <s v="no"/>
    <s v="no"/>
    <s v="SAVEA"/>
    <n v="10713"/>
    <x v="54"/>
    <x v="54"/>
    <s v="SAVEA_10713_Spegesild"/>
    <s v="10713"/>
    <s v="10713"/>
    <s v="Spegesild"/>
    <n v="12"/>
    <x v="23"/>
    <x v="0"/>
    <n v="288"/>
    <x v="0"/>
    <d v="1995-11-22T00:00:00"/>
    <s v=""/>
    <s v=""/>
  </r>
  <r>
    <x v="45"/>
    <x v="45"/>
    <s v="Jose"/>
    <s v="Pavarotti"/>
    <s v="Pavarotti, Jose"/>
    <s v="Pavarotti, Jose"/>
    <x v="0"/>
    <s v="no"/>
    <s v="no"/>
    <s v="SAVEA"/>
    <n v="10714"/>
    <x v="18"/>
    <x v="18"/>
    <s v="SAVEA_10714_Chang"/>
    <s v="10714"/>
    <s v="10714"/>
    <s v="Chang"/>
    <n v="19"/>
    <x v="12"/>
    <x v="4"/>
    <n v="427.5"/>
    <x v="0"/>
    <d v="1995-11-22T00:00:00"/>
    <s v=""/>
    <s v=""/>
  </r>
  <r>
    <x v="45"/>
    <x v="45"/>
    <s v="Jose"/>
    <s v="Pavarotti"/>
    <s v="Pavarotti, Jose"/>
    <s v="Pavarotti, Jose"/>
    <x v="0"/>
    <s v="no"/>
    <s v="no"/>
    <s v="SAVEA"/>
    <n v="10714"/>
    <x v="35"/>
    <x v="35"/>
    <s v="SAVEA_10714_Alice Mutton"/>
    <s v="10714"/>
    <s v="10714"/>
    <s v="Alice Mutton"/>
    <n v="39"/>
    <x v="47"/>
    <x v="4"/>
    <n v="789.75"/>
    <x v="0"/>
    <d v="1995-11-22T00:00:00"/>
    <s v=""/>
    <s v=""/>
  </r>
  <r>
    <x v="45"/>
    <x v="45"/>
    <s v="Jose"/>
    <s v="Pavarotti"/>
    <s v="Pavarotti, Jose"/>
    <s v="Pavarotti, Jose"/>
    <x v="0"/>
    <s v="no"/>
    <s v="no"/>
    <s v="SAVEA"/>
    <n v="10714"/>
    <x v="69"/>
    <x v="69"/>
    <s v="SAVEA_10714_Zaanse koeken"/>
    <s v="10714"/>
    <s v="10714"/>
    <s v="Zaanse koeken"/>
    <n v="9.5"/>
    <x v="13"/>
    <x v="4"/>
    <n v="356.25"/>
    <x v="0"/>
    <d v="1995-11-22T00:00:00"/>
    <s v=""/>
    <s v=""/>
  </r>
  <r>
    <x v="45"/>
    <x v="45"/>
    <s v="Jose"/>
    <s v="Pavarotti"/>
    <s v="Pavarotti, Jose"/>
    <s v="Pavarotti, Jose"/>
    <x v="0"/>
    <s v="no"/>
    <s v="no"/>
    <s v="SAVEA"/>
    <n v="10714"/>
    <x v="33"/>
    <x v="33"/>
    <s v="SAVEA_10714_Gnocchi di nonna Alice"/>
    <s v="10714"/>
    <s v="10714"/>
    <s v="Gnocchi di nonna Alice"/>
    <n v="38"/>
    <x v="27"/>
    <x v="4"/>
    <n v="513"/>
    <x v="0"/>
    <d v="1995-11-22T00:00:00"/>
    <s v=""/>
    <s v=""/>
  </r>
  <r>
    <x v="45"/>
    <x v="45"/>
    <s v="Jose"/>
    <s v="Pavarotti"/>
    <s v="Pavarotti, Jose"/>
    <s v="Pavarotti, Jose"/>
    <x v="0"/>
    <s v="no"/>
    <s v="no"/>
    <s v="SAVEA"/>
    <n v="10714"/>
    <x v="64"/>
    <x v="64"/>
    <s v="SAVEA_10714_Escargots de Bourgogne"/>
    <s v="10714"/>
    <s v="10714"/>
    <s v="Escargots de Bourgogne"/>
    <n v="13.25"/>
    <x v="0"/>
    <x v="4"/>
    <n v="119.25"/>
    <x v="0"/>
    <d v="1995-11-22T00:00:00"/>
    <s v=""/>
    <s v=""/>
  </r>
  <r>
    <x v="48"/>
    <x v="48"/>
    <s v="Laurence"/>
    <s v="Lebihan"/>
    <s v="Lebihan, Laurence"/>
    <s v="Lebihan, Laurence"/>
    <x v="0"/>
    <s v="no"/>
    <s v="no"/>
    <s v="BONAP"/>
    <n v="10715"/>
    <x v="41"/>
    <x v="41"/>
    <s v="BONAP_10715_Ikura"/>
    <s v="10715"/>
    <s v="10715"/>
    <s v="Ikura"/>
    <n v="31"/>
    <x v="11"/>
    <x v="0"/>
    <n v="651"/>
    <x v="0"/>
    <d v="1995-11-23T00:00:00"/>
    <s v=""/>
    <s v=""/>
  </r>
  <r>
    <x v="48"/>
    <x v="48"/>
    <s v="Laurence"/>
    <s v="Lebihan"/>
    <s v="Lebihan, Laurence"/>
    <s v="Lebihan, Laurence"/>
    <x v="0"/>
    <s v="no"/>
    <s v="no"/>
    <s v="BONAP"/>
    <n v="10715"/>
    <x v="42"/>
    <x v="42"/>
    <s v="BONAP_10715_Fløtemysost"/>
    <s v="10715"/>
    <s v="10715"/>
    <s v="Fløtemysost"/>
    <n v="21.5"/>
    <x v="12"/>
    <x v="0"/>
    <n v="645"/>
    <x v="0"/>
    <d v="1995-11-23T00:00:00"/>
    <s v=""/>
    <s v=""/>
  </r>
  <r>
    <x v="73"/>
    <x v="73"/>
    <s v="Sergio"/>
    <s v="Gutiérrez"/>
    <s v="Gutiérrez, Sergio"/>
    <s v="Gutiérrez, Sergio"/>
    <x v="0"/>
    <s v="no"/>
    <s v="no"/>
    <s v="RANCH"/>
    <n v="10716"/>
    <x v="27"/>
    <x v="27"/>
    <s v="RANCH_10716_Sir Rodney's Scones"/>
    <s v="10716"/>
    <s v="10716"/>
    <s v="Sir Rodney's Scones"/>
    <n v="10"/>
    <x v="2"/>
    <x v="0"/>
    <n v="50"/>
    <x v="0"/>
    <d v="1995-11-24T00:00:00"/>
    <s v=""/>
    <s v=""/>
  </r>
  <r>
    <x v="73"/>
    <x v="73"/>
    <s v="Sergio"/>
    <s v="Gutiérrez"/>
    <s v="Gutiérrez, Sergio"/>
    <s v="Gutiérrez, Sergio"/>
    <x v="0"/>
    <s v="no"/>
    <s v="no"/>
    <s v="RANCH"/>
    <n v="10716"/>
    <x v="4"/>
    <x v="4"/>
    <s v="RANCH_10716_Manjimup Dried Apples"/>
    <s v="10716"/>
    <s v="10716"/>
    <s v="Manjimup Dried Apples"/>
    <n v="53"/>
    <x v="25"/>
    <x v="0"/>
    <n v="371"/>
    <x v="0"/>
    <d v="1995-11-24T00:00:00"/>
    <s v=""/>
    <s v=""/>
  </r>
  <r>
    <x v="73"/>
    <x v="73"/>
    <s v="Sergio"/>
    <s v="Gutiérrez"/>
    <s v="Gutiérrez, Sergio"/>
    <s v="Gutiérrez, Sergio"/>
    <x v="0"/>
    <s v="no"/>
    <s v="no"/>
    <s v="RANCH"/>
    <n v="10716"/>
    <x v="75"/>
    <x v="75"/>
    <s v="RANCH_10716_Sirop d'érable"/>
    <s v="10716"/>
    <s v="10716"/>
    <s v="Sirop d'érable"/>
    <n v="28.5"/>
    <x v="1"/>
    <x v="0"/>
    <n v="285"/>
    <x v="0"/>
    <d v="1995-11-24T00:00:00"/>
    <s v=""/>
    <s v=""/>
  </r>
  <r>
    <x v="17"/>
    <x v="17"/>
    <s v="Peter"/>
    <s v="Franken"/>
    <s v="Franken, Peter"/>
    <s v="Franken, Peter"/>
    <x v="0"/>
    <s v="no"/>
    <s v="no"/>
    <s v="FRANK"/>
    <n v="10717"/>
    <x v="27"/>
    <x v="27"/>
    <s v="FRANK_10717_Sir Rodney's Scones"/>
    <s v="10717"/>
    <s v="10717"/>
    <s v="Sir Rodney's Scones"/>
    <n v="10"/>
    <x v="39"/>
    <x v="2"/>
    <n v="304"/>
    <x v="0"/>
    <d v="1995-11-24T00:00:00"/>
    <s v=""/>
    <s v=""/>
  </r>
  <r>
    <x v="17"/>
    <x v="17"/>
    <s v="Peter"/>
    <s v="Franken"/>
    <s v="Franken, Peter"/>
    <s v="Franken, Peter"/>
    <x v="0"/>
    <s v="no"/>
    <s v="no"/>
    <s v="FRANK"/>
    <n v="10717"/>
    <x v="55"/>
    <x v="55"/>
    <s v="FRANK_10717_Tourtière"/>
    <s v="10717"/>
    <s v="10717"/>
    <s v="Tourtière"/>
    <n v="7.45"/>
    <x v="6"/>
    <x v="0"/>
    <n v="111.75"/>
    <x v="0"/>
    <d v="1995-11-24T00:00:00"/>
    <s v=""/>
    <s v=""/>
  </r>
  <r>
    <x v="17"/>
    <x v="17"/>
    <s v="Peter"/>
    <s v="Franken"/>
    <s v="Franken, Peter"/>
    <s v="Franken, Peter"/>
    <x v="0"/>
    <s v="no"/>
    <s v="no"/>
    <s v="FRANK"/>
    <n v="10717"/>
    <x v="60"/>
    <x v="60"/>
    <s v="FRANK_10717_Gudbrandsdalsost"/>
    <s v="10717"/>
    <s v="10717"/>
    <s v="Gudbrandsdalsost"/>
    <n v="36"/>
    <x v="9"/>
    <x v="2"/>
    <n v="855"/>
    <x v="0"/>
    <d v="1995-11-24T00:00:00"/>
    <s v=""/>
    <s v=""/>
  </r>
  <r>
    <x v="44"/>
    <x v="44"/>
    <s v="Philip"/>
    <s v="Cramer"/>
    <s v="Cramer, Philip"/>
    <s v="Cramer, Philip"/>
    <x v="0"/>
    <s v="no"/>
    <s v="no"/>
    <s v="KOENE"/>
    <n v="10718"/>
    <x v="36"/>
    <x v="36"/>
    <s v="KOENE_10718_Queso Manchego La Pastora"/>
    <s v="10718"/>
    <s v="10718"/>
    <s v="Queso Manchego La Pastora"/>
    <n v="38"/>
    <x v="20"/>
    <x v="0"/>
    <n v="1368"/>
    <x v="0"/>
    <d v="1995-11-27T00:00:00"/>
    <s v=""/>
    <s v=""/>
  </r>
  <r>
    <x v="44"/>
    <x v="44"/>
    <s v="Philip"/>
    <s v="Cramer"/>
    <s v="Cramer, Philip"/>
    <s v="Cramer, Philip"/>
    <x v="0"/>
    <s v="no"/>
    <s v="no"/>
    <s v="KOENE"/>
    <n v="10718"/>
    <x v="19"/>
    <x v="19"/>
    <s v="KOENE_10718_Pavlova"/>
    <s v="10718"/>
    <s v="10718"/>
    <s v="Pavlova"/>
    <n v="17.45"/>
    <x v="8"/>
    <x v="0"/>
    <n v="349"/>
    <x v="0"/>
    <d v="1995-11-27T00:00:00"/>
    <s v=""/>
    <s v=""/>
  </r>
  <r>
    <x v="44"/>
    <x v="44"/>
    <s v="Philip"/>
    <s v="Cramer"/>
    <s v="Cramer, Philip"/>
    <s v="Cramer, Philip"/>
    <x v="0"/>
    <s v="no"/>
    <s v="no"/>
    <s v="KOENE"/>
    <n v="10718"/>
    <x v="20"/>
    <x v="20"/>
    <s v="KOENE_10718_Inlagd Sill"/>
    <s v="10718"/>
    <s v="10718"/>
    <s v="Inlagd Sill"/>
    <n v="19"/>
    <x v="4"/>
    <x v="0"/>
    <n v="760"/>
    <x v="0"/>
    <d v="1995-11-27T00:00:00"/>
    <s v=""/>
    <s v=""/>
  </r>
  <r>
    <x v="44"/>
    <x v="44"/>
    <s v="Philip"/>
    <s v="Cramer"/>
    <s v="Cramer, Philip"/>
    <s v="Cramer, Philip"/>
    <x v="0"/>
    <s v="no"/>
    <s v="no"/>
    <s v="KOENE"/>
    <n v="10718"/>
    <x v="29"/>
    <x v="29"/>
    <s v="KOENE_10718_Tarte au sucre"/>
    <s v="10718"/>
    <s v="10718"/>
    <s v="Tarte au sucre"/>
    <n v="49.3"/>
    <x v="8"/>
    <x v="0"/>
    <n v="986"/>
    <x v="0"/>
    <d v="1995-11-27T00:00:00"/>
    <s v=""/>
    <s v=""/>
  </r>
  <r>
    <x v="82"/>
    <x v="82"/>
    <s v="Jaime"/>
    <s v="Yorres"/>
    <s v="Yorres, Jaime"/>
    <s v="Yorres, Jaime"/>
    <x v="0"/>
    <s v="no"/>
    <s v="no"/>
    <s v="LETSS"/>
    <n v="10719"/>
    <x v="59"/>
    <x v="59"/>
    <s v="LETSS_10719_Carnarvon Tigers"/>
    <s v="10719"/>
    <s v="10719"/>
    <s v="Carnarvon Tigers"/>
    <n v="62.5"/>
    <x v="0"/>
    <x v="4"/>
    <n v="562.5"/>
    <x v="0"/>
    <d v="1995-11-27T00:00:00"/>
    <s v=""/>
    <s v=""/>
  </r>
  <r>
    <x v="82"/>
    <x v="82"/>
    <s v="Jaime"/>
    <s v="Yorres"/>
    <s v="Yorres, Jaime"/>
    <s v="Yorres, Jaime"/>
    <x v="0"/>
    <s v="no"/>
    <s v="no"/>
    <s v="LETSS"/>
    <n v="10719"/>
    <x v="34"/>
    <x v="34"/>
    <s v="LETSS_10719_Nord-Ost Matjeshering"/>
    <s v="10719"/>
    <s v="10719"/>
    <s v="Nord-Ost Matjeshering"/>
    <n v="25.89"/>
    <x v="28"/>
    <x v="4"/>
    <n v="58.252499999999998"/>
    <x v="0"/>
    <d v="1995-11-27T00:00:00"/>
    <s v=""/>
    <s v=""/>
  </r>
  <r>
    <x v="82"/>
    <x v="82"/>
    <s v="Jaime"/>
    <s v="Yorres"/>
    <s v="Yorres, Jaime"/>
    <s v="Yorres, Jaime"/>
    <x v="0"/>
    <s v="no"/>
    <s v="no"/>
    <s v="LETSS"/>
    <n v="10719"/>
    <x v="55"/>
    <x v="55"/>
    <s v="LETSS_10719_Tourtière"/>
    <s v="10719"/>
    <s v="10719"/>
    <s v="Tourtière"/>
    <n v="7.45"/>
    <x v="4"/>
    <x v="4"/>
    <n v="223.5"/>
    <x v="0"/>
    <d v="1995-11-27T00:00:00"/>
    <s v=""/>
    <s v=""/>
  </r>
  <r>
    <x v="12"/>
    <x v="12"/>
    <s v="Bernardo"/>
    <s v="Batista"/>
    <s v="Batista, Bernardo"/>
    <s v="Batista, Bernardo"/>
    <x v="0"/>
    <s v="no"/>
    <s v="no"/>
    <s v="QUEDE"/>
    <n v="10720"/>
    <x v="31"/>
    <x v="31"/>
    <s v="QUEDE_10720_Steeleye Stout"/>
    <s v="10720"/>
    <s v="10720"/>
    <s v="Steeleye Stout"/>
    <n v="18"/>
    <x v="11"/>
    <x v="0"/>
    <n v="378"/>
    <x v="0"/>
    <d v="1995-11-28T00:00:00"/>
    <s v=""/>
    <s v=""/>
  </r>
  <r>
    <x v="12"/>
    <x v="12"/>
    <s v="Bernardo"/>
    <s v="Batista"/>
    <s v="Batista, Bernardo"/>
    <s v="Batista, Bernardo"/>
    <x v="0"/>
    <s v="no"/>
    <s v="no"/>
    <s v="QUEDE"/>
    <n v="10720"/>
    <x v="42"/>
    <x v="42"/>
    <s v="QUEDE_10720_Fløtemysost"/>
    <s v="10720"/>
    <s v="10720"/>
    <s v="Fløtemysost"/>
    <n v="21.5"/>
    <x v="26"/>
    <x v="0"/>
    <n v="172"/>
    <x v="0"/>
    <d v="1995-11-28T00:00:00"/>
    <s v=""/>
    <s v=""/>
  </r>
  <r>
    <x v="21"/>
    <x v="21"/>
    <s v="Horst"/>
    <s v="Kloss"/>
    <s v="Kloss, Horst"/>
    <s v="Kloss, Horst"/>
    <x v="0"/>
    <s v="no"/>
    <s v="no"/>
    <s v="QUICK"/>
    <n v="10721"/>
    <x v="45"/>
    <x v="45"/>
    <s v="QUICK_10721_Gula Malacca"/>
    <s v="10721"/>
    <s v="10721"/>
    <s v="Gula Malacca"/>
    <n v="19.45"/>
    <x v="13"/>
    <x v="2"/>
    <n v="923.875"/>
    <x v="0"/>
    <d v="1995-11-29T00:00:00"/>
    <s v=""/>
    <s v=""/>
  </r>
  <r>
    <x v="45"/>
    <x v="45"/>
    <s v="Jose"/>
    <s v="Pavarotti"/>
    <s v="Pavarotti, Jose"/>
    <s v="Pavarotti, Jose"/>
    <x v="0"/>
    <s v="no"/>
    <s v="no"/>
    <s v="SAVEA"/>
    <n v="10722"/>
    <x v="18"/>
    <x v="18"/>
    <s v="SAVEA_10722_Chang"/>
    <s v="10722"/>
    <s v="10722"/>
    <s v="Chang"/>
    <n v="19"/>
    <x v="28"/>
    <x v="0"/>
    <n v="57"/>
    <x v="0"/>
    <d v="1995-11-29T00:00:00"/>
    <s v=""/>
    <s v=""/>
  </r>
  <r>
    <x v="45"/>
    <x v="45"/>
    <s v="Jose"/>
    <s v="Pavarotti"/>
    <s v="Pavarotti, Jose"/>
    <s v="Pavarotti, Jose"/>
    <x v="0"/>
    <s v="no"/>
    <s v="no"/>
    <s v="SAVEA"/>
    <n v="10722"/>
    <x v="12"/>
    <x v="12"/>
    <s v="SAVEA_10722_Gorgonzola Telino"/>
    <s v="10722"/>
    <s v="10722"/>
    <s v="Gorgonzola Telino"/>
    <n v="12.5"/>
    <x v="13"/>
    <x v="0"/>
    <n v="625"/>
    <x v="0"/>
    <d v="1995-11-29T00:00:00"/>
    <s v=""/>
    <s v=""/>
  </r>
  <r>
    <x v="45"/>
    <x v="45"/>
    <s v="Jose"/>
    <s v="Pavarotti"/>
    <s v="Pavarotti, Jose"/>
    <s v="Pavarotti, Jose"/>
    <x v="0"/>
    <s v="no"/>
    <s v="no"/>
    <s v="SAVEA"/>
    <n v="10722"/>
    <x v="56"/>
    <x v="56"/>
    <s v="SAVEA_10722_Scottish Longbreads"/>
    <s v="10722"/>
    <s v="10722"/>
    <s v="Scottish Longbreads"/>
    <n v="12.5"/>
    <x v="29"/>
    <x v="0"/>
    <n v="562.5"/>
    <x v="0"/>
    <d v="1995-11-29T00:00:00"/>
    <s v=""/>
    <s v=""/>
  </r>
  <r>
    <x v="45"/>
    <x v="45"/>
    <s v="Jose"/>
    <s v="Pavarotti"/>
    <s v="Pavarotti, Jose"/>
    <s v="Pavarotti, Jose"/>
    <x v="0"/>
    <s v="no"/>
    <s v="no"/>
    <s v="SAVEA"/>
    <n v="10722"/>
    <x v="48"/>
    <x v="48"/>
    <s v="SAVEA_10722_Rhönbräu Klosterbier"/>
    <s v="10722"/>
    <s v="10722"/>
    <s v="Rhönbräu Klosterbier"/>
    <n v="7.75"/>
    <x v="10"/>
    <x v="0"/>
    <n v="325.5"/>
    <x v="0"/>
    <d v="1995-11-29T00:00:00"/>
    <s v=""/>
    <s v=""/>
  </r>
  <r>
    <x v="19"/>
    <x v="19"/>
    <s v="Karl"/>
    <s v="Jablonski"/>
    <s v="Jablonski, Karl"/>
    <s v="Jablonski, Karl"/>
    <x v="0"/>
    <s v="no"/>
    <s v="no"/>
    <s v="WHITC"/>
    <n v="10723"/>
    <x v="68"/>
    <x v="68"/>
    <s v="WHITC_10723_Gumbär Gummibärchen"/>
    <s v="10723"/>
    <s v="10723"/>
    <s v="Gumbär Gummibärchen"/>
    <n v="31.23"/>
    <x v="6"/>
    <x v="0"/>
    <n v="468.45"/>
    <x v="0"/>
    <d v="1995-11-30T00:00:00"/>
    <s v=""/>
    <s v=""/>
  </r>
  <r>
    <x v="49"/>
    <x v="49"/>
    <s v="Jean"/>
    <s v="Fresnière"/>
    <s v="Fresnière, Jean"/>
    <s v="Fresnière, Jean"/>
    <x v="0"/>
    <s v="no"/>
    <s v="no"/>
    <s v="MEREP"/>
    <n v="10724"/>
    <x v="41"/>
    <x v="41"/>
    <s v="MEREP_10724_Ikura"/>
    <s v="10724"/>
    <s v="10724"/>
    <s v="Ikura"/>
    <n v="31"/>
    <x v="16"/>
    <x v="0"/>
    <n v="496"/>
    <x v="0"/>
    <d v="1995-11-30T00:00:00"/>
    <s v=""/>
    <s v=""/>
  </r>
  <r>
    <x v="49"/>
    <x v="49"/>
    <s v="Jean"/>
    <s v="Fresnière"/>
    <s v="Fresnière, Jean"/>
    <s v="Fresnière, Jean"/>
    <x v="0"/>
    <s v="no"/>
    <s v="no"/>
    <s v="MEREP"/>
    <n v="10724"/>
    <x v="75"/>
    <x v="75"/>
    <s v="MEREP_10724_Sirop d'érable"/>
    <s v="10724"/>
    <s v="10724"/>
    <s v="Sirop d'érable"/>
    <n v="28.5"/>
    <x v="2"/>
    <x v="0"/>
    <n v="142.5"/>
    <x v="0"/>
    <d v="1995-11-30T00:00:00"/>
    <s v=""/>
    <s v=""/>
  </r>
  <r>
    <x v="52"/>
    <x v="52"/>
    <s v="Aria"/>
    <s v="Cruz"/>
    <s v="Cruz, Aria"/>
    <s v="Cruz, Aria"/>
    <x v="0"/>
    <s v="no"/>
    <s v="no"/>
    <s v="FAMIA"/>
    <n v="10725"/>
    <x v="5"/>
    <x v="5"/>
    <s v="FAMIA_10725_Jack's New England Clam Chowder"/>
    <s v="10725"/>
    <s v="10725"/>
    <s v="Jack's New England Clam Chowder"/>
    <n v="9.65"/>
    <x v="0"/>
    <x v="0"/>
    <n v="115.80000000000001"/>
    <x v="0"/>
    <d v="1995-12-01T00:00:00"/>
    <s v=""/>
    <s v=""/>
  </r>
  <r>
    <x v="52"/>
    <x v="52"/>
    <s v="Aria"/>
    <s v="Cruz"/>
    <s v="Cruz, Aria"/>
    <s v="Cruz, Aria"/>
    <x v="0"/>
    <s v="no"/>
    <s v="no"/>
    <s v="FAMIA"/>
    <n v="10725"/>
    <x v="65"/>
    <x v="65"/>
    <s v="FAMIA_10725_Filo Mix"/>
    <s v="10725"/>
    <s v="10725"/>
    <s v="Filo Mix"/>
    <n v="7"/>
    <x v="22"/>
    <x v="0"/>
    <n v="28"/>
    <x v="0"/>
    <d v="1995-12-01T00:00:00"/>
    <s v=""/>
    <s v=""/>
  </r>
  <r>
    <x v="52"/>
    <x v="52"/>
    <s v="Aria"/>
    <s v="Cruz"/>
    <s v="Cruz, Aria"/>
    <s v="Cruz, Aria"/>
    <x v="0"/>
    <s v="no"/>
    <s v="no"/>
    <s v="FAMIA"/>
    <n v="10725"/>
    <x v="16"/>
    <x v="16"/>
    <s v="FAMIA_10725_Pâté chinois"/>
    <s v="10725"/>
    <s v="10725"/>
    <s v="Pâté chinois"/>
    <n v="24"/>
    <x v="7"/>
    <x v="0"/>
    <n v="144"/>
    <x v="0"/>
    <d v="1995-12-01T00:00:00"/>
    <s v=""/>
    <s v=""/>
  </r>
  <r>
    <x v="58"/>
    <x v="58"/>
    <s v="Ann"/>
    <s v="Devon"/>
    <s v="Devon, Ann"/>
    <s v="Devon, Ann"/>
    <x v="0"/>
    <s v="no"/>
    <s v="no"/>
    <s v="EASTC"/>
    <n v="10726"/>
    <x v="62"/>
    <x v="62"/>
    <s v="EASTC_10726_Chef Anton's Cajun Seasoning"/>
    <s v="10726"/>
    <s v="10726"/>
    <s v="Chef Anton's Cajun Seasoning"/>
    <n v="22"/>
    <x v="9"/>
    <x v="0"/>
    <n v="550"/>
    <x v="0"/>
    <d v="1995-12-04T00:00:00"/>
    <s v=""/>
    <s v=""/>
  </r>
  <r>
    <x v="58"/>
    <x v="58"/>
    <s v="Ann"/>
    <s v="Devon"/>
    <s v="Devon, Ann"/>
    <s v="Devon, Ann"/>
    <x v="0"/>
    <s v="no"/>
    <s v="no"/>
    <s v="EASTC"/>
    <n v="10726"/>
    <x v="0"/>
    <x v="0"/>
    <s v="EASTC_10726_Queso Cabrales"/>
    <s v="10726"/>
    <s v="10726"/>
    <s v="Queso Cabrales"/>
    <n v="21"/>
    <x v="2"/>
    <x v="0"/>
    <n v="105"/>
    <x v="0"/>
    <d v="1995-12-04T00:00:00"/>
    <s v=""/>
    <s v=""/>
  </r>
  <r>
    <x v="30"/>
    <x v="30"/>
    <s v="Maurizio"/>
    <s v="Moroni"/>
    <s v="Moroni, Maurizio"/>
    <s v="Moroni, Maurizio"/>
    <x v="0"/>
    <s v="no"/>
    <s v="no"/>
    <s v="REGGC"/>
    <n v="10727"/>
    <x v="35"/>
    <x v="35"/>
    <s v="REGGC_10727_Alice Mutton"/>
    <s v="10727"/>
    <s v="10727"/>
    <s v="Alice Mutton"/>
    <n v="39"/>
    <x v="8"/>
    <x v="2"/>
    <n v="741"/>
    <x v="0"/>
    <d v="1995-12-04T00:00:00"/>
    <s v=""/>
    <s v=""/>
  </r>
  <r>
    <x v="30"/>
    <x v="30"/>
    <s v="Maurizio"/>
    <s v="Moroni"/>
    <s v="Moroni, Maurizio"/>
    <s v="Moroni, Maurizio"/>
    <x v="0"/>
    <s v="no"/>
    <s v="no"/>
    <s v="REGGC"/>
    <n v="10727"/>
    <x v="33"/>
    <x v="33"/>
    <s v="REGGC_10727_Gnocchi di nonna Alice"/>
    <s v="10727"/>
    <s v="10727"/>
    <s v="Gnocchi di nonna Alice"/>
    <n v="38"/>
    <x v="1"/>
    <x v="2"/>
    <n v="361"/>
    <x v="0"/>
    <d v="1995-12-04T00:00:00"/>
    <s v=""/>
    <s v=""/>
  </r>
  <r>
    <x v="30"/>
    <x v="30"/>
    <s v="Maurizio"/>
    <s v="Moroni"/>
    <s v="Moroni, Maurizio"/>
    <s v="Moroni, Maurizio"/>
    <x v="0"/>
    <s v="no"/>
    <s v="no"/>
    <s v="REGGC"/>
    <n v="10727"/>
    <x v="21"/>
    <x v="21"/>
    <s v="REGGC_10727_Raclette Courdavault"/>
    <s v="10727"/>
    <s v="10727"/>
    <s v="Raclette Courdavault"/>
    <n v="55"/>
    <x v="1"/>
    <x v="2"/>
    <n v="522.5"/>
    <x v="0"/>
    <d v="1995-12-04T00:00:00"/>
    <s v=""/>
    <s v=""/>
  </r>
  <r>
    <x v="62"/>
    <x v="62"/>
    <s v="Lúcia"/>
    <s v="Carvalho"/>
    <s v="Carvalho, Lúcia"/>
    <s v="Carvalho, Lúcia"/>
    <x v="0"/>
    <s v="no"/>
    <s v="no"/>
    <s v="QUEEN"/>
    <n v="10728"/>
    <x v="34"/>
    <x v="34"/>
    <s v="QUEEN_10728_Nord-Ost Matjeshering"/>
    <s v="10728"/>
    <s v="10728"/>
    <s v="Nord-Ost Matjeshering"/>
    <n v="25.89"/>
    <x v="6"/>
    <x v="0"/>
    <n v="388.35"/>
    <x v="0"/>
    <d v="1995-12-05T00:00:00"/>
    <s v=""/>
    <s v=""/>
  </r>
  <r>
    <x v="62"/>
    <x v="62"/>
    <s v="Lúcia"/>
    <s v="Carvalho"/>
    <s v="Carvalho, Lúcia"/>
    <s v="Carvalho, Lúcia"/>
    <x v="0"/>
    <s v="no"/>
    <s v="no"/>
    <s v="QUEEN"/>
    <n v="10728"/>
    <x v="37"/>
    <x v="37"/>
    <s v="QUEEN_10728_Boston Crab Meat"/>
    <s v="10728"/>
    <s v="10728"/>
    <s v="Boston Crab Meat"/>
    <n v="18.399999999999999"/>
    <x v="7"/>
    <x v="0"/>
    <n v="110.39999999999999"/>
    <x v="0"/>
    <d v="1995-12-05T00:00:00"/>
    <s v=""/>
    <s v=""/>
  </r>
  <r>
    <x v="62"/>
    <x v="62"/>
    <s v="Lúcia"/>
    <s v="Carvalho"/>
    <s v="Carvalho, Lúcia"/>
    <s v="Carvalho, Lúcia"/>
    <x v="0"/>
    <s v="no"/>
    <s v="no"/>
    <s v="QUEEN"/>
    <n v="10728"/>
    <x v="16"/>
    <x v="16"/>
    <s v="QUEEN_10728_Pâté chinois"/>
    <s v="10728"/>
    <s v="10728"/>
    <s v="Pâté chinois"/>
    <n v="24"/>
    <x v="0"/>
    <x v="0"/>
    <n v="288"/>
    <x v="0"/>
    <d v="1995-12-05T00:00:00"/>
    <s v=""/>
    <s v=""/>
  </r>
  <r>
    <x v="62"/>
    <x v="62"/>
    <s v="Lúcia"/>
    <s v="Carvalho"/>
    <s v="Carvalho, Lúcia"/>
    <s v="Carvalho, Lúcia"/>
    <x v="0"/>
    <s v="no"/>
    <s v="no"/>
    <s v="QUEEN"/>
    <n v="10728"/>
    <x v="11"/>
    <x v="11"/>
    <s v="QUEEN_10728_Camembert Pierrot"/>
    <s v="10728"/>
    <s v="10728"/>
    <s v="Camembert Pierrot"/>
    <n v="34"/>
    <x v="6"/>
    <x v="0"/>
    <n v="510"/>
    <x v="0"/>
    <d v="1995-12-05T00:00:00"/>
    <s v=""/>
    <s v=""/>
  </r>
  <r>
    <x v="67"/>
    <x v="67"/>
    <s v="Felipe"/>
    <s v="Izquierdo"/>
    <s v="Izquierdo, Felipe"/>
    <s v="Izquierdo, Felipe"/>
    <x v="0"/>
    <s v="no"/>
    <s v="no"/>
    <s v="LINOD"/>
    <n v="10729"/>
    <x v="52"/>
    <x v="52"/>
    <s v="LINOD_10729_Chai"/>
    <s v="10729"/>
    <s v="10729"/>
    <s v="Chai"/>
    <n v="18"/>
    <x v="13"/>
    <x v="0"/>
    <n v="900"/>
    <x v="0"/>
    <d v="1995-12-05T00:00:00"/>
    <s v=""/>
    <s v=""/>
  </r>
  <r>
    <x v="67"/>
    <x v="67"/>
    <s v="Felipe"/>
    <s v="Izquierdo"/>
    <s v="Izquierdo, Felipe"/>
    <s v="Izquierdo, Felipe"/>
    <x v="0"/>
    <s v="no"/>
    <s v="no"/>
    <s v="LINOD"/>
    <n v="10729"/>
    <x v="27"/>
    <x v="27"/>
    <s v="LINOD_10729_Sir Rodney's Scones"/>
    <s v="10729"/>
    <s v="10729"/>
    <s v="Sir Rodney's Scones"/>
    <n v="10"/>
    <x v="12"/>
    <x v="0"/>
    <n v="300"/>
    <x v="0"/>
    <d v="1995-12-05T00:00:00"/>
    <s v=""/>
    <s v=""/>
  </r>
  <r>
    <x v="67"/>
    <x v="67"/>
    <s v="Felipe"/>
    <s v="Izquierdo"/>
    <s v="Izquierdo, Felipe"/>
    <s v="Izquierdo, Felipe"/>
    <x v="0"/>
    <s v="no"/>
    <s v="no"/>
    <s v="LINOD"/>
    <n v="10729"/>
    <x v="72"/>
    <x v="72"/>
    <s v="LINOD_10729_Valkoinen suklaa"/>
    <s v="10729"/>
    <s v="10729"/>
    <s v="Valkoinen suklaa"/>
    <n v="16.25"/>
    <x v="4"/>
    <x v="0"/>
    <n v="650"/>
    <x v="0"/>
    <d v="1995-12-05T00:00:00"/>
    <s v=""/>
    <s v=""/>
  </r>
  <r>
    <x v="48"/>
    <x v="48"/>
    <s v="Laurence"/>
    <s v="Lebihan"/>
    <s v="Lebihan, Laurence"/>
    <s v="Lebihan, Laurence"/>
    <x v="0"/>
    <s v="no"/>
    <s v="no"/>
    <s v="BONAP"/>
    <n v="10730"/>
    <x v="19"/>
    <x v="19"/>
    <s v="BONAP_10730_Pavlova"/>
    <s v="10730"/>
    <s v="10730"/>
    <s v="Pavlova"/>
    <n v="17.45"/>
    <x v="6"/>
    <x v="2"/>
    <n v="248.66249999999999"/>
    <x v="0"/>
    <d v="1995-12-06T00:00:00"/>
    <s v=""/>
    <s v=""/>
  </r>
  <r>
    <x v="48"/>
    <x v="48"/>
    <s v="Laurence"/>
    <s v="Lebihan"/>
    <s v="Lebihan, Laurence"/>
    <s v="Lebihan, Laurence"/>
    <x v="0"/>
    <s v="no"/>
    <s v="no"/>
    <s v="BONAP"/>
    <n v="10730"/>
    <x v="12"/>
    <x v="12"/>
    <s v="BONAP_10730_Gorgonzola Telino"/>
    <s v="10730"/>
    <s v="10730"/>
    <s v="Gorgonzola Telino"/>
    <n v="12.5"/>
    <x v="28"/>
    <x v="2"/>
    <n v="35.625"/>
    <x v="0"/>
    <d v="1995-12-06T00:00:00"/>
    <s v=""/>
    <s v=""/>
  </r>
  <r>
    <x v="48"/>
    <x v="48"/>
    <s v="Laurence"/>
    <s v="Lebihan"/>
    <s v="Lebihan, Laurence"/>
    <s v="Lebihan, Laurence"/>
    <x v="0"/>
    <s v="no"/>
    <s v="no"/>
    <s v="BONAP"/>
    <n v="10730"/>
    <x v="6"/>
    <x v="6"/>
    <s v="BONAP_10730_Louisiana Fiery Hot Pepper Sauce"/>
    <s v="10730"/>
    <s v="10730"/>
    <s v="Louisiana Fiery Hot Pepper Sauce"/>
    <n v="21.05"/>
    <x v="1"/>
    <x v="2"/>
    <n v="199.97499999999999"/>
    <x v="0"/>
    <d v="1995-12-06T00:00:00"/>
    <s v=""/>
    <s v=""/>
  </r>
  <r>
    <x v="5"/>
    <x v="5"/>
    <s v="Yang"/>
    <s v="Wang"/>
    <s v="Wang, Yang"/>
    <s v="Wang, Yang"/>
    <x v="0"/>
    <s v="no"/>
    <s v="no"/>
    <s v="CHOPS"/>
    <n v="10731"/>
    <x v="27"/>
    <x v="27"/>
    <s v="CHOPS_10731_Sir Rodney's Scones"/>
    <s v="10731"/>
    <s v="10731"/>
    <s v="Sir Rodney's Scones"/>
    <n v="10"/>
    <x v="4"/>
    <x v="2"/>
    <n v="380"/>
    <x v="0"/>
    <d v="1995-12-07T00:00:00"/>
    <s v=""/>
    <s v=""/>
  </r>
  <r>
    <x v="5"/>
    <x v="5"/>
    <s v="Yang"/>
    <s v="Wang"/>
    <s v="Wang, Yang"/>
    <s v="Wang, Yang"/>
    <x v="0"/>
    <s v="no"/>
    <s v="no"/>
    <s v="CHOPS"/>
    <n v="10731"/>
    <x v="4"/>
    <x v="4"/>
    <s v="CHOPS_10731_Manjimup Dried Apples"/>
    <s v="10731"/>
    <s v="10731"/>
    <s v="Manjimup Dried Apples"/>
    <n v="53"/>
    <x v="12"/>
    <x v="2"/>
    <n v="1510.5"/>
    <x v="0"/>
    <d v="1995-12-07T00:00:00"/>
    <s v=""/>
    <s v=""/>
  </r>
  <r>
    <x v="48"/>
    <x v="48"/>
    <s v="Laurence"/>
    <s v="Lebihan"/>
    <s v="Lebihan, Laurence"/>
    <s v="Lebihan, Laurence"/>
    <x v="0"/>
    <s v="no"/>
    <s v="no"/>
    <s v="BONAP"/>
    <n v="10732"/>
    <x v="38"/>
    <x v="38"/>
    <s v="BONAP_10732_Lakkalikööri"/>
    <s v="10732"/>
    <s v="10732"/>
    <s v="Lakkalikööri"/>
    <n v="18"/>
    <x v="8"/>
    <x v="0"/>
    <n v="360"/>
    <x v="0"/>
    <d v="1995-12-07T00:00:00"/>
    <s v=""/>
    <s v=""/>
  </r>
  <r>
    <x v="25"/>
    <x v="25"/>
    <s v="Christina"/>
    <s v="Berglund"/>
    <s v="Berglund, Christina"/>
    <s v="Berglund, Christina"/>
    <x v="0"/>
    <s v="no"/>
    <s v="no"/>
    <s v="BERGS"/>
    <n v="10733"/>
    <x v="3"/>
    <x v="3"/>
    <s v="BERGS_10733_Tofu"/>
    <s v="10733"/>
    <s v="10733"/>
    <s v="Tofu"/>
    <n v="23.25"/>
    <x v="16"/>
    <x v="0"/>
    <n v="372"/>
    <x v="0"/>
    <d v="1995-12-08T00:00:00"/>
    <s v=""/>
    <s v=""/>
  </r>
  <r>
    <x v="25"/>
    <x v="25"/>
    <s v="Christina"/>
    <s v="Berglund"/>
    <s v="Berglund, Christina"/>
    <s v="Berglund, Christina"/>
    <x v="0"/>
    <s v="no"/>
    <s v="no"/>
    <s v="BERGS"/>
    <n v="10733"/>
    <x v="44"/>
    <x v="44"/>
    <s v="BERGS_10733_Rössle Sauerkraut"/>
    <s v="10733"/>
    <s v="10733"/>
    <s v="Rössle Sauerkraut"/>
    <n v="45.6"/>
    <x v="8"/>
    <x v="0"/>
    <n v="912"/>
    <x v="0"/>
    <d v="1995-12-08T00:00:00"/>
    <s v=""/>
    <s v=""/>
  </r>
  <r>
    <x v="25"/>
    <x v="25"/>
    <s v="Christina"/>
    <s v="Berglund"/>
    <s v="Berglund, Christina"/>
    <s v="Berglund, Christina"/>
    <x v="0"/>
    <s v="no"/>
    <s v="no"/>
    <s v="BERGS"/>
    <n v="10733"/>
    <x v="65"/>
    <x v="65"/>
    <s v="BERGS_10733_Filo Mix"/>
    <s v="10733"/>
    <s v="10733"/>
    <s v="Filo Mix"/>
    <n v="7"/>
    <x v="9"/>
    <x v="0"/>
    <n v="175"/>
    <x v="0"/>
    <d v="1995-12-08T00:00:00"/>
    <s v=""/>
    <s v=""/>
  </r>
  <r>
    <x v="71"/>
    <x v="71"/>
    <s v="André"/>
    <s v="Fonseca"/>
    <s v="Fonseca, André"/>
    <s v="Fonseca, André"/>
    <x v="0"/>
    <s v="no"/>
    <s v="no"/>
    <s v="GOURL"/>
    <n v="10734"/>
    <x v="63"/>
    <x v="63"/>
    <s v="GOURL_10734_Grandma's Boysenberry Spread"/>
    <s v="10734"/>
    <s v="10734"/>
    <s v="Grandma's Boysenberry Spread"/>
    <n v="25"/>
    <x v="12"/>
    <x v="0"/>
    <n v="750"/>
    <x v="0"/>
    <d v="1995-12-08T00:00:00"/>
    <s v=""/>
    <s v=""/>
  </r>
  <r>
    <x v="71"/>
    <x v="71"/>
    <s v="André"/>
    <s v="Fonseca"/>
    <s v="Fonseca, André"/>
    <s v="Fonseca, André"/>
    <x v="0"/>
    <s v="no"/>
    <s v="no"/>
    <s v="GOURL"/>
    <n v="10734"/>
    <x v="34"/>
    <x v="34"/>
    <s v="GOURL_10734_Nord-Ost Matjeshering"/>
    <s v="10734"/>
    <s v="10734"/>
    <s v="Nord-Ost Matjeshering"/>
    <n v="25.89"/>
    <x v="6"/>
    <x v="0"/>
    <n v="388.35"/>
    <x v="0"/>
    <d v="1995-12-08T00:00:00"/>
    <s v=""/>
    <s v=""/>
  </r>
  <r>
    <x v="71"/>
    <x v="71"/>
    <s v="André"/>
    <s v="Fonseca"/>
    <s v="Fonseca, André"/>
    <s v="Fonseca, André"/>
    <x v="0"/>
    <s v="no"/>
    <s v="no"/>
    <s v="GOURL"/>
    <n v="10734"/>
    <x v="38"/>
    <x v="38"/>
    <s v="GOURL_10734_Lakkalikööri"/>
    <s v="10734"/>
    <s v="10734"/>
    <s v="Lakkalikööri"/>
    <n v="18"/>
    <x v="8"/>
    <x v="0"/>
    <n v="360"/>
    <x v="0"/>
    <d v="1995-12-08T00:00:00"/>
    <s v=""/>
    <s v=""/>
  </r>
  <r>
    <x v="82"/>
    <x v="82"/>
    <s v="Jaime"/>
    <s v="Yorres"/>
    <s v="Yorres, Jaime"/>
    <s v="Yorres, Jaime"/>
    <x v="0"/>
    <s v="no"/>
    <s v="no"/>
    <s v="LETSS"/>
    <n v="10735"/>
    <x v="75"/>
    <x v="75"/>
    <s v="LETSS_10735_Sirop d'érable"/>
    <s v="10735"/>
    <s v="10735"/>
    <s v="Sirop d'érable"/>
    <n v="28.5"/>
    <x v="8"/>
    <x v="5"/>
    <n v="513"/>
    <x v="0"/>
    <d v="1995-12-11T00:00:00"/>
    <s v=""/>
    <s v=""/>
  </r>
  <r>
    <x v="82"/>
    <x v="82"/>
    <s v="Jaime"/>
    <s v="Yorres"/>
    <s v="Yorres, Jaime"/>
    <s v="Yorres, Jaime"/>
    <x v="0"/>
    <s v="no"/>
    <s v="no"/>
    <s v="LETSS"/>
    <n v="10735"/>
    <x v="23"/>
    <x v="23"/>
    <s v="LETSS_10735_Original Frankfurter grüne Soße"/>
    <s v="10735"/>
    <s v="10735"/>
    <s v="Original Frankfurter grüne Soße"/>
    <n v="13"/>
    <x v="17"/>
    <x v="5"/>
    <n v="23.400000000000002"/>
    <x v="0"/>
    <d v="1995-12-11T00:00:00"/>
    <s v=""/>
    <s v=""/>
  </r>
  <r>
    <x v="34"/>
    <x v="34"/>
    <s v="Patricia"/>
    <s v="McKenna"/>
    <s v="McKenna, Patricia"/>
    <s v="McKenna, Patricia"/>
    <x v="0"/>
    <s v="no"/>
    <s v="no"/>
    <s v="HUNGO"/>
    <n v="10736"/>
    <x v="6"/>
    <x v="6"/>
    <s v="HUNGO_10736_Louisiana Fiery Hot Pepper Sauce"/>
    <s v="10736"/>
    <s v="10736"/>
    <s v="Louisiana Fiery Hot Pepper Sauce"/>
    <n v="21.05"/>
    <x v="4"/>
    <x v="0"/>
    <n v="842"/>
    <x v="0"/>
    <d v="1995-12-12T00:00:00"/>
    <s v=""/>
    <s v=""/>
  </r>
  <r>
    <x v="34"/>
    <x v="34"/>
    <s v="Patricia"/>
    <s v="McKenna"/>
    <s v="McKenna, Patricia"/>
    <s v="McKenna, Patricia"/>
    <x v="0"/>
    <s v="no"/>
    <s v="no"/>
    <s v="HUNGO"/>
    <n v="10736"/>
    <x v="48"/>
    <x v="48"/>
    <s v="HUNGO_10736_Rhönbräu Klosterbier"/>
    <s v="10736"/>
    <s v="10736"/>
    <s v="Rhönbräu Klosterbier"/>
    <n v="7.75"/>
    <x v="8"/>
    <x v="0"/>
    <n v="155"/>
    <x v="0"/>
    <d v="1995-12-12T00:00:00"/>
    <s v=""/>
    <s v=""/>
  </r>
  <r>
    <x v="0"/>
    <x v="0"/>
    <s v="Paul"/>
    <s v="Henriot"/>
    <s v="Henriot, Paul"/>
    <s v="Henriot, Paul"/>
    <x v="0"/>
    <s v="no"/>
    <s v="no"/>
    <s v="VINET"/>
    <n v="10737"/>
    <x v="43"/>
    <x v="43"/>
    <s v="VINET_10737_Konbu"/>
    <s v="10737"/>
    <s v="10737"/>
    <s v="Konbu"/>
    <n v="6"/>
    <x v="22"/>
    <x v="0"/>
    <n v="24"/>
    <x v="0"/>
    <d v="1995-12-12T00:00:00"/>
    <s v=""/>
    <s v=""/>
  </r>
  <r>
    <x v="0"/>
    <x v="0"/>
    <s v="Paul"/>
    <s v="Henriot"/>
    <s v="Henriot, Paul"/>
    <s v="Henriot, Paul"/>
    <x v="0"/>
    <s v="no"/>
    <s v="no"/>
    <s v="VINET"/>
    <n v="10737"/>
    <x v="5"/>
    <x v="5"/>
    <s v="VINET_10737_Jack's New England Clam Chowder"/>
    <s v="10737"/>
    <s v="10737"/>
    <s v="Jack's New England Clam Chowder"/>
    <n v="9.65"/>
    <x v="0"/>
    <x v="0"/>
    <n v="115.80000000000001"/>
    <x v="0"/>
    <d v="1995-12-12T00:00:00"/>
    <s v=""/>
    <s v=""/>
  </r>
  <r>
    <x v="87"/>
    <x v="87"/>
    <s v="Dominique"/>
    <s v="Perrier"/>
    <s v="Perrier, Dominique"/>
    <s v="Perrier, Dominique"/>
    <x v="0"/>
    <s v="no"/>
    <s v="no"/>
    <s v="SPECD"/>
    <n v="10738"/>
    <x v="19"/>
    <x v="19"/>
    <s v="SPECD_10738_Pavlova"/>
    <s v="10738"/>
    <s v="10738"/>
    <s v="Pavlova"/>
    <n v="17.45"/>
    <x v="28"/>
    <x v="0"/>
    <n v="52.349999999999994"/>
    <x v="0"/>
    <d v="1995-12-13T00:00:00"/>
    <s v=""/>
    <s v=""/>
  </r>
  <r>
    <x v="0"/>
    <x v="0"/>
    <s v="Paul"/>
    <s v="Henriot"/>
    <s v="Henriot, Paul"/>
    <s v="Henriot, Paul"/>
    <x v="0"/>
    <s v="no"/>
    <s v="no"/>
    <s v="VINET"/>
    <n v="10739"/>
    <x v="20"/>
    <x v="20"/>
    <s v="VINET_10739_Inlagd Sill"/>
    <s v="10739"/>
    <s v="10739"/>
    <s v="Inlagd Sill"/>
    <n v="19"/>
    <x v="7"/>
    <x v="0"/>
    <n v="114"/>
    <x v="0"/>
    <d v="1995-12-13T00:00:00"/>
    <s v=""/>
    <s v=""/>
  </r>
  <r>
    <x v="0"/>
    <x v="0"/>
    <s v="Paul"/>
    <s v="Henriot"/>
    <s v="Henriot, Paul"/>
    <s v="Henriot, Paul"/>
    <x v="0"/>
    <s v="no"/>
    <s v="no"/>
    <s v="VINET"/>
    <n v="10739"/>
    <x v="65"/>
    <x v="65"/>
    <s v="VINET_10739_Filo Mix"/>
    <s v="10739"/>
    <s v="10739"/>
    <s v="Filo Mix"/>
    <n v="7"/>
    <x v="27"/>
    <x v="0"/>
    <n v="126"/>
    <x v="0"/>
    <d v="1995-12-13T00:00:00"/>
    <s v=""/>
    <s v=""/>
  </r>
  <r>
    <x v="19"/>
    <x v="19"/>
    <s v="Karl"/>
    <s v="Jablonski"/>
    <s v="Jablonski, Karl"/>
    <s v="Jablonski, Karl"/>
    <x v="0"/>
    <s v="no"/>
    <s v="no"/>
    <s v="WHITC"/>
    <n v="10740"/>
    <x v="44"/>
    <x v="44"/>
    <s v="WHITC_10740_Rössle Sauerkraut"/>
    <s v="10740"/>
    <s v="10740"/>
    <s v="Rössle Sauerkraut"/>
    <n v="45.6"/>
    <x v="2"/>
    <x v="3"/>
    <n v="182.4"/>
    <x v="0"/>
    <d v="1995-12-14T00:00:00"/>
    <s v=""/>
    <s v=""/>
  </r>
  <r>
    <x v="19"/>
    <x v="19"/>
    <s v="Karl"/>
    <s v="Jablonski"/>
    <s v="Jablonski, Karl"/>
    <s v="Jablonski, Karl"/>
    <x v="0"/>
    <s v="no"/>
    <s v="no"/>
    <s v="WHITC"/>
    <n v="10740"/>
    <x v="31"/>
    <x v="31"/>
    <s v="WHITC_10740_Steeleye Stout"/>
    <s v="10740"/>
    <s v="10740"/>
    <s v="Steeleye Stout"/>
    <n v="18"/>
    <x v="5"/>
    <x v="3"/>
    <n v="504"/>
    <x v="0"/>
    <d v="1995-12-14T00:00:00"/>
    <s v=""/>
    <s v=""/>
  </r>
  <r>
    <x v="19"/>
    <x v="19"/>
    <s v="Karl"/>
    <s v="Jablonski"/>
    <s v="Jablonski, Karl"/>
    <s v="Jablonski, Karl"/>
    <x v="0"/>
    <s v="no"/>
    <s v="no"/>
    <s v="WHITC"/>
    <n v="10740"/>
    <x v="73"/>
    <x v="73"/>
    <s v="WHITC_10740_Røgede sild"/>
    <s v="10740"/>
    <s v="10740"/>
    <s v="Røgede sild"/>
    <n v="9.5"/>
    <x v="4"/>
    <x v="3"/>
    <n v="304"/>
    <x v="0"/>
    <d v="1995-12-14T00:00:00"/>
    <s v=""/>
    <s v=""/>
  </r>
  <r>
    <x v="19"/>
    <x v="19"/>
    <s v="Karl"/>
    <s v="Jablonski"/>
    <s v="Jablonski, Karl"/>
    <s v="Jablonski, Karl"/>
    <x v="0"/>
    <s v="no"/>
    <s v="no"/>
    <s v="WHITC"/>
    <n v="10740"/>
    <x v="33"/>
    <x v="33"/>
    <s v="WHITC_10740_Gnocchi di nonna Alice"/>
    <s v="10740"/>
    <s v="10740"/>
    <s v="Gnocchi di nonna Alice"/>
    <n v="38"/>
    <x v="31"/>
    <x v="3"/>
    <n v="425.6"/>
    <x v="0"/>
    <d v="1995-12-14T00:00:00"/>
    <s v=""/>
    <s v=""/>
  </r>
  <r>
    <x v="55"/>
    <x v="55"/>
    <s v="Thomas"/>
    <s v="Hardy"/>
    <s v="Hardy, Thomas"/>
    <s v="Hardy, Thomas"/>
    <x v="0"/>
    <s v="no"/>
    <s v="no"/>
    <s v="AROUT"/>
    <n v="10741"/>
    <x v="18"/>
    <x v="18"/>
    <s v="AROUT_10741_Chang"/>
    <s v="10741"/>
    <s v="10741"/>
    <s v="Chang"/>
    <n v="19"/>
    <x v="6"/>
    <x v="3"/>
    <n v="228"/>
    <x v="0"/>
    <d v="1995-12-15T00:00:00"/>
    <s v=""/>
    <s v=""/>
  </r>
  <r>
    <x v="66"/>
    <x v="66"/>
    <s v="Elizabeth"/>
    <s v="Lincoln"/>
    <s v="Lincoln, Elizabeth"/>
    <s v="Lincoln, Elizabeth"/>
    <x v="0"/>
    <s v="no"/>
    <s v="no"/>
    <s v="BOTTM"/>
    <n v="10742"/>
    <x v="57"/>
    <x v="57"/>
    <s v="BOTTM_10742_Aniseed Syrup"/>
    <s v="10742"/>
    <s v="10742"/>
    <s v="Aniseed Syrup"/>
    <n v="10"/>
    <x v="8"/>
    <x v="0"/>
    <n v="200"/>
    <x v="0"/>
    <d v="1995-12-15T00:00:00"/>
    <s v=""/>
    <s v=""/>
  </r>
  <r>
    <x v="66"/>
    <x v="66"/>
    <s v="Elizabeth"/>
    <s v="Lincoln"/>
    <s v="Lincoln, Elizabeth"/>
    <s v="Lincoln, Elizabeth"/>
    <x v="0"/>
    <s v="no"/>
    <s v="no"/>
    <s v="BOTTM"/>
    <n v="10742"/>
    <x v="11"/>
    <x v="11"/>
    <s v="BOTTM_10742_Camembert Pierrot"/>
    <s v="10742"/>
    <s v="10742"/>
    <s v="Camembert Pierrot"/>
    <n v="34"/>
    <x v="13"/>
    <x v="0"/>
    <n v="1700"/>
    <x v="0"/>
    <d v="1995-12-15T00:00:00"/>
    <s v=""/>
    <s v=""/>
  </r>
  <r>
    <x v="66"/>
    <x v="66"/>
    <s v="Elizabeth"/>
    <s v="Lincoln"/>
    <s v="Lincoln, Elizabeth"/>
    <s v="Lincoln, Elizabeth"/>
    <x v="0"/>
    <s v="no"/>
    <s v="no"/>
    <s v="BOTTM"/>
    <n v="10742"/>
    <x v="2"/>
    <x v="2"/>
    <s v="BOTTM_10742_Mozzarella di Giovanni"/>
    <s v="10742"/>
    <s v="10742"/>
    <s v="Mozzarella di Giovanni"/>
    <n v="34.799999999999997"/>
    <x v="5"/>
    <x v="0"/>
    <n v="1218"/>
    <x v="0"/>
    <d v="1995-12-15T00:00:00"/>
    <s v=""/>
    <s v=""/>
  </r>
  <r>
    <x v="55"/>
    <x v="55"/>
    <s v="Thomas"/>
    <s v="Hardy"/>
    <s v="Hardy, Thomas"/>
    <s v="Hardy, Thomas"/>
    <x v="0"/>
    <s v="no"/>
    <s v="no"/>
    <s v="AROUT"/>
    <n v="10743"/>
    <x v="54"/>
    <x v="54"/>
    <s v="AROUT_10743_Spegesild"/>
    <s v="10743"/>
    <s v="10743"/>
    <s v="Spegesild"/>
    <n v="12"/>
    <x v="19"/>
    <x v="2"/>
    <n v="319.2"/>
    <x v="0"/>
    <d v="1995-12-18T00:00:00"/>
    <s v=""/>
    <s v=""/>
  </r>
  <r>
    <x v="61"/>
    <x v="61"/>
    <s v="Palle"/>
    <s v="Ibsen"/>
    <s v="Ibsen, Palle"/>
    <s v="Ibsen, Palle"/>
    <x v="0"/>
    <s v="no"/>
    <s v="no"/>
    <s v="VAFFE"/>
    <n v="10744"/>
    <x v="37"/>
    <x v="37"/>
    <s v="VAFFE_10744_Boston Crab Meat"/>
    <s v="10744"/>
    <s v="10744"/>
    <s v="Boston Crab Meat"/>
    <n v="18.399999999999999"/>
    <x v="13"/>
    <x v="3"/>
    <n v="736"/>
    <x v="0"/>
    <d v="1995-12-18T00:00:00"/>
    <s v=""/>
    <s v=""/>
  </r>
  <r>
    <x v="21"/>
    <x v="21"/>
    <s v="Horst"/>
    <s v="Kloss"/>
    <s v="Kloss, Horst"/>
    <s v="Kloss, Horst"/>
    <x v="0"/>
    <s v="no"/>
    <s v="no"/>
    <s v="QUICK"/>
    <n v="10745"/>
    <x v="59"/>
    <x v="59"/>
    <s v="QUICK_10745_Carnarvon Tigers"/>
    <s v="10745"/>
    <s v="10745"/>
    <s v="Carnarvon Tigers"/>
    <n v="62.5"/>
    <x v="23"/>
    <x v="0"/>
    <n v="1500"/>
    <x v="0"/>
    <d v="1995-12-19T00:00:00"/>
    <s v=""/>
    <s v=""/>
  </r>
  <r>
    <x v="21"/>
    <x v="21"/>
    <s v="Horst"/>
    <s v="Kloss"/>
    <s v="Kloss, Horst"/>
    <s v="Kloss, Horst"/>
    <x v="0"/>
    <s v="no"/>
    <s v="no"/>
    <s v="QUICK"/>
    <n v="10745"/>
    <x v="45"/>
    <x v="45"/>
    <s v="QUICK_10745_Gula Malacca"/>
    <s v="10745"/>
    <s v="10745"/>
    <s v="Gula Malacca"/>
    <n v="19.45"/>
    <x v="16"/>
    <x v="0"/>
    <n v="311.2"/>
    <x v="0"/>
    <d v="1995-12-19T00:00:00"/>
    <s v=""/>
    <s v=""/>
  </r>
  <r>
    <x v="21"/>
    <x v="21"/>
    <s v="Horst"/>
    <s v="Kloss"/>
    <s v="Kloss, Horst"/>
    <s v="Kloss, Horst"/>
    <x v="0"/>
    <s v="no"/>
    <s v="no"/>
    <s v="QUICK"/>
    <n v="10745"/>
    <x v="21"/>
    <x v="21"/>
    <s v="QUICK_10745_Raclette Courdavault"/>
    <s v="10745"/>
    <s v="10745"/>
    <s v="Raclette Courdavault"/>
    <n v="55"/>
    <x v="29"/>
    <x v="0"/>
    <n v="2475"/>
    <x v="0"/>
    <d v="1995-12-19T00:00:00"/>
    <s v=""/>
    <s v=""/>
  </r>
  <r>
    <x v="21"/>
    <x v="21"/>
    <s v="Horst"/>
    <s v="Kloss"/>
    <s v="Kloss, Horst"/>
    <s v="Kloss, Horst"/>
    <x v="0"/>
    <s v="no"/>
    <s v="no"/>
    <s v="QUICK"/>
    <n v="10745"/>
    <x v="2"/>
    <x v="2"/>
    <s v="QUICK_10745_Mozzarella di Giovanni"/>
    <s v="10745"/>
    <s v="10745"/>
    <s v="Mozzarella di Giovanni"/>
    <n v="34.799999999999997"/>
    <x v="25"/>
    <x v="0"/>
    <n v="243.59999999999997"/>
    <x v="0"/>
    <d v="1995-12-19T00:00:00"/>
    <s v=""/>
    <s v=""/>
  </r>
  <r>
    <x v="5"/>
    <x v="5"/>
    <s v="Yang"/>
    <s v="Wang"/>
    <s v="Wang, Yang"/>
    <s v="Wang, Yang"/>
    <x v="0"/>
    <s v="no"/>
    <s v="no"/>
    <s v="CHOPS"/>
    <n v="10746"/>
    <x v="43"/>
    <x v="43"/>
    <s v="CHOPS_10746_Konbu"/>
    <s v="10746"/>
    <s v="10746"/>
    <s v="Konbu"/>
    <n v="6"/>
    <x v="7"/>
    <x v="0"/>
    <n v="36"/>
    <x v="0"/>
    <d v="1995-12-20T00:00:00"/>
    <s v=""/>
    <s v=""/>
  </r>
  <r>
    <x v="5"/>
    <x v="5"/>
    <s v="Yang"/>
    <s v="Wang"/>
    <s v="Wang, Yang"/>
    <s v="Wang, Yang"/>
    <x v="0"/>
    <s v="no"/>
    <s v="no"/>
    <s v="CHOPS"/>
    <n v="10746"/>
    <x v="1"/>
    <x v="1"/>
    <s v="CHOPS_10746_Singaporean Hokkien Fried Mee"/>
    <s v="10746"/>
    <s v="10746"/>
    <s v="Singaporean Hokkien Fried Mee"/>
    <n v="14"/>
    <x v="19"/>
    <x v="0"/>
    <n v="392"/>
    <x v="0"/>
    <d v="1995-12-20T00:00:00"/>
    <s v=""/>
    <s v=""/>
  </r>
  <r>
    <x v="5"/>
    <x v="5"/>
    <s v="Yang"/>
    <s v="Wang"/>
    <s v="Wang, Yang"/>
    <s v="Wang, Yang"/>
    <x v="0"/>
    <s v="no"/>
    <s v="no"/>
    <s v="CHOPS"/>
    <n v="10746"/>
    <x v="29"/>
    <x v="29"/>
    <s v="CHOPS_10746_Tarte au sucre"/>
    <s v="10746"/>
    <s v="10746"/>
    <s v="Tarte au sucre"/>
    <n v="49.3"/>
    <x v="3"/>
    <x v="0"/>
    <n v="443.7"/>
    <x v="0"/>
    <d v="1995-12-20T00:00:00"/>
    <s v=""/>
    <s v=""/>
  </r>
  <r>
    <x v="5"/>
    <x v="5"/>
    <s v="Yang"/>
    <s v="Wang"/>
    <s v="Wang, Yang"/>
    <s v="Wang, Yang"/>
    <x v="0"/>
    <s v="no"/>
    <s v="no"/>
    <s v="CHOPS"/>
    <n v="10746"/>
    <x v="60"/>
    <x v="60"/>
    <s v="CHOPS_10746_Gudbrandsdalsost"/>
    <s v="10746"/>
    <s v="10746"/>
    <s v="Gudbrandsdalsost"/>
    <n v="36"/>
    <x v="4"/>
    <x v="0"/>
    <n v="1440"/>
    <x v="0"/>
    <d v="1995-12-20T00:00:00"/>
    <s v=""/>
    <s v=""/>
  </r>
  <r>
    <x v="54"/>
    <x v="54"/>
    <s v="Georg"/>
    <s v="Pipps"/>
    <s v="Pipps, Georg"/>
    <s v="Pipps, Georg"/>
    <x v="0"/>
    <s v="no"/>
    <s v="no"/>
    <s v="PICCO"/>
    <n v="10747"/>
    <x v="12"/>
    <x v="12"/>
    <s v="PICCO_10747_Gorgonzola Telino"/>
    <s v="10747"/>
    <s v="10747"/>
    <s v="Gorgonzola Telino"/>
    <n v="12.5"/>
    <x v="26"/>
    <x v="0"/>
    <n v="100"/>
    <x v="0"/>
    <d v="1995-12-20T00:00:00"/>
    <s v=""/>
    <s v=""/>
  </r>
  <r>
    <x v="54"/>
    <x v="54"/>
    <s v="Georg"/>
    <s v="Pipps"/>
    <s v="Pipps, Georg"/>
    <s v="Pipps, Georg"/>
    <x v="0"/>
    <s v="no"/>
    <s v="no"/>
    <s v="PICCO"/>
    <n v="10747"/>
    <x v="5"/>
    <x v="5"/>
    <s v="PICCO_10747_Jack's New England Clam Chowder"/>
    <s v="10747"/>
    <s v="10747"/>
    <s v="Jack's New England Clam Chowder"/>
    <n v="9.65"/>
    <x v="5"/>
    <x v="0"/>
    <n v="337.75"/>
    <x v="0"/>
    <d v="1995-12-20T00:00:00"/>
    <s v=""/>
    <s v=""/>
  </r>
  <r>
    <x v="54"/>
    <x v="54"/>
    <s v="Georg"/>
    <s v="Pipps"/>
    <s v="Pipps, Georg"/>
    <s v="Pipps, Georg"/>
    <x v="0"/>
    <s v="no"/>
    <s v="no"/>
    <s v="PICCO"/>
    <n v="10747"/>
    <x v="46"/>
    <x v="46"/>
    <s v="PICCO_10747_Vegie-spread"/>
    <s v="10747"/>
    <s v="10747"/>
    <s v="Vegie-spread"/>
    <n v="43.9"/>
    <x v="3"/>
    <x v="0"/>
    <n v="395.09999999999997"/>
    <x v="0"/>
    <d v="1995-12-20T00:00:00"/>
    <s v=""/>
    <s v=""/>
  </r>
  <r>
    <x v="54"/>
    <x v="54"/>
    <s v="Georg"/>
    <s v="Pipps"/>
    <s v="Pipps, Georg"/>
    <s v="Pipps, Georg"/>
    <x v="0"/>
    <s v="no"/>
    <s v="no"/>
    <s v="PICCO"/>
    <n v="10747"/>
    <x v="60"/>
    <x v="60"/>
    <s v="PICCO_10747_Gudbrandsdalsost"/>
    <s v="10747"/>
    <s v="10747"/>
    <s v="Gudbrandsdalsost"/>
    <n v="36"/>
    <x v="12"/>
    <x v="0"/>
    <n v="1080"/>
    <x v="0"/>
    <d v="1995-12-20T00:00:00"/>
    <s v=""/>
    <s v=""/>
  </r>
  <r>
    <x v="45"/>
    <x v="45"/>
    <s v="Jose"/>
    <s v="Pavarotti"/>
    <s v="Pavarotti, Jose"/>
    <s v="Pavarotti, Jose"/>
    <x v="0"/>
    <s v="no"/>
    <s v="no"/>
    <s v="SAVEA"/>
    <n v="10748"/>
    <x v="70"/>
    <x v="70"/>
    <s v="SAVEA_10748_Tunnbröd"/>
    <s v="10748"/>
    <s v="10748"/>
    <s v="Tunnbröd"/>
    <n v="9"/>
    <x v="48"/>
    <x v="0"/>
    <n v="396"/>
    <x v="0"/>
    <d v="1995-12-21T00:00:00"/>
    <s v=""/>
    <s v=""/>
  </r>
  <r>
    <x v="45"/>
    <x v="45"/>
    <s v="Jose"/>
    <s v="Pavarotti"/>
    <s v="Pavarotti, Jose"/>
    <s v="Pavarotti, Jose"/>
    <x v="0"/>
    <s v="no"/>
    <s v="no"/>
    <s v="SAVEA"/>
    <n v="10748"/>
    <x v="37"/>
    <x v="37"/>
    <s v="SAVEA_10748_Boston Crab Meat"/>
    <s v="10748"/>
    <s v="10748"/>
    <s v="Boston Crab Meat"/>
    <n v="18.399999999999999"/>
    <x v="4"/>
    <x v="0"/>
    <n v="736"/>
    <x v="0"/>
    <d v="1995-12-21T00:00:00"/>
    <s v=""/>
    <s v=""/>
  </r>
  <r>
    <x v="45"/>
    <x v="45"/>
    <s v="Jose"/>
    <s v="Pavarotti"/>
    <s v="Pavarotti, Jose"/>
    <s v="Pavarotti, Jose"/>
    <x v="0"/>
    <s v="no"/>
    <s v="no"/>
    <s v="SAVEA"/>
    <n v="10748"/>
    <x v="33"/>
    <x v="33"/>
    <s v="SAVEA_10748_Gnocchi di nonna Alice"/>
    <s v="10748"/>
    <s v="10748"/>
    <s v="Gnocchi di nonna Alice"/>
    <n v="38"/>
    <x v="19"/>
    <x v="0"/>
    <n v="1064"/>
    <x v="0"/>
    <d v="1995-12-21T00:00:00"/>
    <s v=""/>
    <s v=""/>
  </r>
  <r>
    <x v="42"/>
    <x v="42"/>
    <s v="Helen"/>
    <s v="Bennett"/>
    <s v="Bennett, Helen"/>
    <s v="Bennett, Helen"/>
    <x v="0"/>
    <s v="no"/>
    <s v="no"/>
    <s v="ISLAT"/>
    <n v="10749"/>
    <x v="33"/>
    <x v="33"/>
    <s v="ISLAT_10749_Gnocchi di nonna Alice"/>
    <s v="10749"/>
    <s v="10749"/>
    <s v="Gnocchi di nonna Alice"/>
    <n v="38"/>
    <x v="6"/>
    <x v="0"/>
    <n v="570"/>
    <x v="0"/>
    <d v="1995-12-21T00:00:00"/>
    <s v=""/>
    <s v=""/>
  </r>
  <r>
    <x v="42"/>
    <x v="42"/>
    <s v="Helen"/>
    <s v="Bennett"/>
    <s v="Bennett, Helen"/>
    <s v="Bennett, Helen"/>
    <x v="0"/>
    <s v="no"/>
    <s v="no"/>
    <s v="ISLAT"/>
    <n v="10749"/>
    <x v="21"/>
    <x v="21"/>
    <s v="ISLAT_10749_Raclette Courdavault"/>
    <s v="10749"/>
    <s v="10749"/>
    <s v="Raclette Courdavault"/>
    <n v="55"/>
    <x v="7"/>
    <x v="0"/>
    <n v="330"/>
    <x v="0"/>
    <d v="1995-12-21T00:00:00"/>
    <s v=""/>
    <s v=""/>
  </r>
  <r>
    <x v="42"/>
    <x v="42"/>
    <s v="Helen"/>
    <s v="Bennett"/>
    <s v="Bennett, Helen"/>
    <s v="Bennett, Helen"/>
    <x v="0"/>
    <s v="no"/>
    <s v="no"/>
    <s v="ISLAT"/>
    <n v="10749"/>
    <x v="38"/>
    <x v="38"/>
    <s v="ISLAT_10749_Lakkalikööri"/>
    <s v="10749"/>
    <s v="10749"/>
    <s v="Lakkalikööri"/>
    <n v="18"/>
    <x v="1"/>
    <x v="0"/>
    <n v="180"/>
    <x v="0"/>
    <d v="1995-12-21T00:00:00"/>
    <s v=""/>
    <s v=""/>
  </r>
  <r>
    <x v="16"/>
    <x v="16"/>
    <s v="Pirkko"/>
    <s v="Koskitalo"/>
    <s v="Koskitalo, Pirkko"/>
    <s v="Koskitalo, Pirkko"/>
    <x v="0"/>
    <s v="no"/>
    <s v="no"/>
    <s v="WARTH"/>
    <n v="10750"/>
    <x v="3"/>
    <x v="3"/>
    <s v="WARTH_10750_Tofu"/>
    <s v="10750"/>
    <s v="10750"/>
    <s v="Tofu"/>
    <n v="23.25"/>
    <x v="2"/>
    <x v="1"/>
    <n v="98.8125"/>
    <x v="0"/>
    <d v="1995-12-22T00:00:00"/>
    <s v=""/>
    <s v=""/>
  </r>
  <r>
    <x v="16"/>
    <x v="16"/>
    <s v="Pirkko"/>
    <s v="Koskitalo"/>
    <s v="Koskitalo, Pirkko"/>
    <s v="Koskitalo, Pirkko"/>
    <x v="0"/>
    <s v="no"/>
    <s v="no"/>
    <s v="WARTH"/>
    <n v="10750"/>
    <x v="73"/>
    <x v="73"/>
    <s v="WARTH_10750_Røgede sild"/>
    <s v="10750"/>
    <s v="10750"/>
    <s v="Røgede sild"/>
    <n v="9.5"/>
    <x v="4"/>
    <x v="1"/>
    <n v="323"/>
    <x v="0"/>
    <d v="1995-12-22T00:00:00"/>
    <s v=""/>
    <s v=""/>
  </r>
  <r>
    <x v="16"/>
    <x v="16"/>
    <s v="Pirkko"/>
    <s v="Koskitalo"/>
    <s v="Koskitalo, Pirkko"/>
    <s v="Koskitalo, Pirkko"/>
    <x v="0"/>
    <s v="no"/>
    <s v="no"/>
    <s v="WARTH"/>
    <n v="10750"/>
    <x v="21"/>
    <x v="21"/>
    <s v="WARTH_10750_Raclette Courdavault"/>
    <s v="10750"/>
    <s v="10750"/>
    <s v="Raclette Courdavault"/>
    <n v="55"/>
    <x v="9"/>
    <x v="1"/>
    <n v="1168.75"/>
    <x v="0"/>
    <d v="1995-12-22T00:00:00"/>
    <s v=""/>
    <s v=""/>
  </r>
  <r>
    <x v="6"/>
    <x v="6"/>
    <s v="Michael"/>
    <s v="Holz"/>
    <s v="Holz, Michael"/>
    <s v="Holz, Michael"/>
    <x v="0"/>
    <s v="no"/>
    <s v="no"/>
    <s v="RICSU"/>
    <n v="10751"/>
    <x v="68"/>
    <x v="68"/>
    <s v="RICSU_10751_Gumbär Gummibärchen"/>
    <s v="10751"/>
    <s v="10751"/>
    <s v="Gumbär Gummibärchen"/>
    <n v="31.23"/>
    <x v="0"/>
    <x v="5"/>
    <n v="337.28399999999999"/>
    <x v="0"/>
    <d v="1995-12-25T00:00:00"/>
    <s v=""/>
    <s v=""/>
  </r>
  <r>
    <x v="6"/>
    <x v="6"/>
    <s v="Michael"/>
    <s v="Holz"/>
    <s v="Holz, Michael"/>
    <s v="Holz, Michael"/>
    <x v="0"/>
    <s v="no"/>
    <s v="no"/>
    <s v="RICSU"/>
    <n v="10751"/>
    <x v="34"/>
    <x v="34"/>
    <s v="RICSU_10751_Nord-Ost Matjeshering"/>
    <s v="10751"/>
    <s v="10751"/>
    <s v="Nord-Ost Matjeshering"/>
    <n v="25.89"/>
    <x v="12"/>
    <x v="0"/>
    <n v="776.7"/>
    <x v="0"/>
    <d v="1995-12-25T00:00:00"/>
    <s v=""/>
    <s v=""/>
  </r>
  <r>
    <x v="6"/>
    <x v="6"/>
    <s v="Michael"/>
    <s v="Holz"/>
    <s v="Holz, Michael"/>
    <s v="Holz, Michael"/>
    <x v="0"/>
    <s v="no"/>
    <s v="no"/>
    <s v="RICSU"/>
    <n v="10751"/>
    <x v="72"/>
    <x v="72"/>
    <s v="RICSU_10751_Valkoinen suklaa"/>
    <s v="10751"/>
    <s v="10751"/>
    <s v="Valkoinen suklaa"/>
    <n v="16.25"/>
    <x v="8"/>
    <x v="5"/>
    <n v="292.5"/>
    <x v="0"/>
    <d v="1995-12-25T00:00:00"/>
    <s v=""/>
    <s v=""/>
  </r>
  <r>
    <x v="6"/>
    <x v="6"/>
    <s v="Michael"/>
    <s v="Holz"/>
    <s v="Holz, Michael"/>
    <s v="Holz, Michael"/>
    <x v="0"/>
    <s v="no"/>
    <s v="no"/>
    <s v="RICSU"/>
    <n v="10751"/>
    <x v="47"/>
    <x v="47"/>
    <s v="RICSU_10751_Röd Kaviar"/>
    <s v="10751"/>
    <s v="10751"/>
    <s v="Röd Kaviar"/>
    <n v="15"/>
    <x v="6"/>
    <x v="0"/>
    <n v="225"/>
    <x v="0"/>
    <d v="1995-12-25T00:00:00"/>
    <s v=""/>
    <s v=""/>
  </r>
  <r>
    <x v="77"/>
    <x v="77"/>
    <s v="Simon"/>
    <s v="Crowther"/>
    <s v="Crowther, Simon"/>
    <s v="Crowther, Simon"/>
    <x v="0"/>
    <s v="no"/>
    <s v="no"/>
    <s v="NORTS"/>
    <n v="10752"/>
    <x v="52"/>
    <x v="52"/>
    <s v="NORTS_10752_Chai"/>
    <s v="10752"/>
    <s v="10752"/>
    <s v="Chai"/>
    <n v="18"/>
    <x v="26"/>
    <x v="0"/>
    <n v="144"/>
    <x v="0"/>
    <d v="1995-12-25T00:00:00"/>
    <s v=""/>
    <s v=""/>
  </r>
  <r>
    <x v="77"/>
    <x v="77"/>
    <s v="Simon"/>
    <s v="Crowther"/>
    <s v="Crowther, Simon"/>
    <s v="Crowther, Simon"/>
    <x v="0"/>
    <s v="no"/>
    <s v="no"/>
    <s v="NORTS"/>
    <n v="10752"/>
    <x v="60"/>
    <x v="60"/>
    <s v="NORTS_10752_Gudbrandsdalsost"/>
    <s v="10752"/>
    <s v="10752"/>
    <s v="Gudbrandsdalsost"/>
    <n v="36"/>
    <x v="28"/>
    <x v="0"/>
    <n v="108"/>
    <x v="0"/>
    <d v="1995-12-25T00:00:00"/>
    <s v=""/>
    <s v=""/>
  </r>
  <r>
    <x v="70"/>
    <x v="70"/>
    <s v="Paolo"/>
    <s v="Accorti"/>
    <s v="Accorti, Paolo"/>
    <s v="Accorti, Paolo"/>
    <x v="0"/>
    <s v="no"/>
    <s v="no"/>
    <s v="FRANS"/>
    <n v="10753"/>
    <x v="73"/>
    <x v="73"/>
    <s v="FRANS_10753_Røgede sild"/>
    <s v="10753"/>
    <s v="10753"/>
    <s v="Røgede sild"/>
    <n v="9.5"/>
    <x v="22"/>
    <x v="0"/>
    <n v="38"/>
    <x v="0"/>
    <d v="1995-12-26T00:00:00"/>
    <s v=""/>
    <s v=""/>
  </r>
  <r>
    <x v="70"/>
    <x v="70"/>
    <s v="Paolo"/>
    <s v="Accorti"/>
    <s v="Accorti, Paolo"/>
    <s v="Accorti, Paolo"/>
    <x v="0"/>
    <s v="no"/>
    <s v="no"/>
    <s v="FRANS"/>
    <n v="10753"/>
    <x v="17"/>
    <x v="17"/>
    <s v="FRANS_10753_Longlife Tofu"/>
    <s v="10753"/>
    <s v="10753"/>
    <s v="Longlife Tofu"/>
    <n v="10"/>
    <x v="2"/>
    <x v="0"/>
    <n v="50"/>
    <x v="0"/>
    <d v="1995-12-26T00:00:00"/>
    <s v=""/>
    <s v=""/>
  </r>
  <r>
    <x v="22"/>
    <x v="22"/>
    <s v="Giovanni"/>
    <s v="Rovelli"/>
    <s v="Rovelli, Giovanni"/>
    <s v="Rovelli, Giovanni"/>
    <x v="0"/>
    <s v="no"/>
    <s v="no"/>
    <s v="MAGAA"/>
    <n v="10754"/>
    <x v="37"/>
    <x v="37"/>
    <s v="MAGAA_10754_Boston Crab Meat"/>
    <s v="10754"/>
    <s v="10754"/>
    <s v="Boston Crab Meat"/>
    <n v="18.399999999999999"/>
    <x v="28"/>
    <x v="0"/>
    <n v="55.199999999999996"/>
    <x v="0"/>
    <d v="1995-12-26T00:00:00"/>
    <s v=""/>
    <s v=""/>
  </r>
  <r>
    <x v="48"/>
    <x v="48"/>
    <s v="Laurence"/>
    <s v="Lebihan"/>
    <s v="Lebihan, Laurence"/>
    <s v="Lebihan, Laurence"/>
    <x v="0"/>
    <s v="no"/>
    <s v="no"/>
    <s v="BONAP"/>
    <n v="10755"/>
    <x v="69"/>
    <x v="69"/>
    <s v="BONAP_10755_Zaanse koeken"/>
    <s v="10755"/>
    <s v="10755"/>
    <s v="Zaanse koeken"/>
    <n v="9.5"/>
    <x v="12"/>
    <x v="4"/>
    <n v="213.75"/>
    <x v="0"/>
    <d v="1995-12-27T00:00:00"/>
    <s v=""/>
    <s v=""/>
  </r>
  <r>
    <x v="48"/>
    <x v="48"/>
    <s v="Laurence"/>
    <s v="Lebihan"/>
    <s v="Lebihan, Laurence"/>
    <s v="Lebihan, Laurence"/>
    <x v="0"/>
    <s v="no"/>
    <s v="no"/>
    <s v="BONAP"/>
    <n v="10755"/>
    <x v="33"/>
    <x v="33"/>
    <s v="BONAP_10755_Gnocchi di nonna Alice"/>
    <s v="10755"/>
    <s v="10755"/>
    <s v="Gnocchi di nonna Alice"/>
    <n v="38"/>
    <x v="12"/>
    <x v="4"/>
    <n v="855"/>
    <x v="0"/>
    <d v="1995-12-27T00:00:00"/>
    <s v=""/>
    <s v=""/>
  </r>
  <r>
    <x v="48"/>
    <x v="48"/>
    <s v="Laurence"/>
    <s v="Lebihan"/>
    <s v="Lebihan, Laurence"/>
    <s v="Lebihan, Laurence"/>
    <x v="0"/>
    <s v="no"/>
    <s v="no"/>
    <s v="BONAP"/>
    <n v="10755"/>
    <x v="8"/>
    <x v="8"/>
    <s v="BONAP_10755_Ravioli Angelo"/>
    <s v="10755"/>
    <s v="10755"/>
    <s v="Ravioli Angelo"/>
    <n v="19.5"/>
    <x v="31"/>
    <x v="4"/>
    <n v="204.75"/>
    <x v="0"/>
    <d v="1995-12-27T00:00:00"/>
    <s v=""/>
    <s v=""/>
  </r>
  <r>
    <x v="48"/>
    <x v="48"/>
    <s v="Laurence"/>
    <s v="Lebihan"/>
    <s v="Lebihan, Laurence"/>
    <s v="Lebihan, Laurence"/>
    <x v="0"/>
    <s v="no"/>
    <s v="no"/>
    <s v="BONAP"/>
    <n v="10755"/>
    <x v="60"/>
    <x v="60"/>
    <s v="BONAP_10755_Gudbrandsdalsost"/>
    <s v="10755"/>
    <s v="10755"/>
    <s v="Gudbrandsdalsost"/>
    <n v="36"/>
    <x v="9"/>
    <x v="4"/>
    <n v="675"/>
    <x v="0"/>
    <d v="1995-12-27T00:00:00"/>
    <s v=""/>
    <s v=""/>
  </r>
  <r>
    <x v="20"/>
    <x v="20"/>
    <s v="Art"/>
    <s v="Braunschweiger"/>
    <s v="Braunschweiger, Art"/>
    <s v="Braunschweiger, Art"/>
    <x v="0"/>
    <s v="no"/>
    <s v="no"/>
    <s v="SPLIR"/>
    <n v="10756"/>
    <x v="59"/>
    <x v="59"/>
    <s v="SPLIR_10756_Carnarvon Tigers"/>
    <s v="10756"/>
    <s v="10756"/>
    <s v="Carnarvon Tigers"/>
    <n v="62.5"/>
    <x v="11"/>
    <x v="3"/>
    <n v="1050"/>
    <x v="0"/>
    <d v="1995-12-28T00:00:00"/>
    <s v=""/>
    <s v=""/>
  </r>
  <r>
    <x v="20"/>
    <x v="20"/>
    <s v="Art"/>
    <s v="Braunschweiger"/>
    <s v="Braunschweiger, Art"/>
    <s v="Braunschweiger, Art"/>
    <x v="0"/>
    <s v="no"/>
    <s v="no"/>
    <s v="SPLIR"/>
    <n v="10756"/>
    <x v="20"/>
    <x v="20"/>
    <s v="SPLIR_10756_Inlagd Sill"/>
    <s v="10756"/>
    <s v="10756"/>
    <s v="Inlagd Sill"/>
    <n v="19"/>
    <x v="8"/>
    <x v="3"/>
    <n v="304"/>
    <x v="0"/>
    <d v="1995-12-28T00:00:00"/>
    <s v=""/>
    <s v=""/>
  </r>
  <r>
    <x v="20"/>
    <x v="20"/>
    <s v="Art"/>
    <s v="Braunschweiger"/>
    <s v="Braunschweiger, Art"/>
    <s v="Braunschweiger, Art"/>
    <x v="0"/>
    <s v="no"/>
    <s v="no"/>
    <s v="SPLIR"/>
    <n v="10756"/>
    <x v="56"/>
    <x v="56"/>
    <s v="SPLIR_10756_Scottish Longbreads"/>
    <s v="10756"/>
    <s v="10756"/>
    <s v="Scottish Longbreads"/>
    <n v="12.5"/>
    <x v="7"/>
    <x v="3"/>
    <n v="60"/>
    <x v="0"/>
    <d v="1995-12-28T00:00:00"/>
    <s v=""/>
    <s v=""/>
  </r>
  <r>
    <x v="20"/>
    <x v="20"/>
    <s v="Art"/>
    <s v="Braunschweiger"/>
    <s v="Braunschweiger, Art"/>
    <s v="Braunschweiger, Art"/>
    <x v="0"/>
    <s v="no"/>
    <s v="no"/>
    <s v="SPLIR"/>
    <n v="10756"/>
    <x v="60"/>
    <x v="60"/>
    <s v="SPLIR_10756_Gudbrandsdalsost"/>
    <s v="10756"/>
    <s v="10756"/>
    <s v="Gudbrandsdalsost"/>
    <n v="36"/>
    <x v="8"/>
    <x v="3"/>
    <n v="576"/>
    <x v="0"/>
    <d v="1995-12-28T00:00:00"/>
    <s v=""/>
    <s v=""/>
  </r>
  <r>
    <x v="45"/>
    <x v="45"/>
    <s v="Jose"/>
    <s v="Pavarotti"/>
    <s v="Pavarotti, Jose"/>
    <s v="Pavarotti, Jose"/>
    <x v="0"/>
    <s v="no"/>
    <s v="no"/>
    <s v="SAVEA"/>
    <n v="10757"/>
    <x v="53"/>
    <x v="53"/>
    <s v="SAVEA_10757_Sasquatch Ale"/>
    <s v="10757"/>
    <s v="10757"/>
    <s v="Sasquatch Ale"/>
    <n v="14"/>
    <x v="12"/>
    <x v="0"/>
    <n v="420"/>
    <x v="0"/>
    <d v="1995-12-28T00:00:00"/>
    <s v=""/>
    <s v=""/>
  </r>
  <r>
    <x v="45"/>
    <x v="45"/>
    <s v="Jose"/>
    <s v="Pavarotti"/>
    <s v="Pavarotti, Jose"/>
    <s v="Pavarotti, Jose"/>
    <x v="0"/>
    <s v="no"/>
    <s v="no"/>
    <s v="SAVEA"/>
    <n v="10757"/>
    <x v="21"/>
    <x v="21"/>
    <s v="SAVEA_10757_Raclette Courdavault"/>
    <s v="10757"/>
    <s v="10757"/>
    <s v="Raclette Courdavault"/>
    <n v="55"/>
    <x v="25"/>
    <x v="0"/>
    <n v="385"/>
    <x v="0"/>
    <d v="1995-12-28T00:00:00"/>
    <s v=""/>
    <s v=""/>
  </r>
  <r>
    <x v="45"/>
    <x v="45"/>
    <s v="Jose"/>
    <s v="Pavarotti"/>
    <s v="Pavarotti, Jose"/>
    <s v="Pavarotti, Jose"/>
    <x v="0"/>
    <s v="no"/>
    <s v="no"/>
    <s v="SAVEA"/>
    <n v="10757"/>
    <x v="29"/>
    <x v="29"/>
    <s v="SAVEA_10757_Tarte au sucre"/>
    <s v="10757"/>
    <s v="10757"/>
    <s v="Tarte au sucre"/>
    <n v="49.3"/>
    <x v="12"/>
    <x v="0"/>
    <n v="1479"/>
    <x v="0"/>
    <d v="1995-12-28T00:00:00"/>
    <s v=""/>
    <s v=""/>
  </r>
  <r>
    <x v="45"/>
    <x v="45"/>
    <s v="Jose"/>
    <s v="Pavarotti"/>
    <s v="Pavarotti, Jose"/>
    <s v="Pavarotti, Jose"/>
    <x v="0"/>
    <s v="no"/>
    <s v="no"/>
    <s v="SAVEA"/>
    <n v="10757"/>
    <x v="58"/>
    <x v="58"/>
    <s v="SAVEA_10757_Wimmers gute Semmelknödel"/>
    <s v="10757"/>
    <s v="10757"/>
    <s v="Wimmers gute Semmelknödel"/>
    <n v="33.25"/>
    <x v="23"/>
    <x v="0"/>
    <n v="798"/>
    <x v="0"/>
    <d v="1995-12-28T00:00:00"/>
    <s v=""/>
    <s v=""/>
  </r>
  <r>
    <x v="6"/>
    <x v="6"/>
    <s v="Michael"/>
    <s v="Holz"/>
    <s v="Holz, Michael"/>
    <s v="Holz, Michael"/>
    <x v="0"/>
    <s v="no"/>
    <s v="no"/>
    <s v="RICSU"/>
    <n v="10758"/>
    <x v="68"/>
    <x v="68"/>
    <s v="RICSU_10758_Gumbär Gummibärchen"/>
    <s v="10758"/>
    <s v="10758"/>
    <s v="Gumbär Gummibärchen"/>
    <n v="31.23"/>
    <x v="8"/>
    <x v="0"/>
    <n v="624.6"/>
    <x v="0"/>
    <d v="1995-12-29T00:00:00"/>
    <s v=""/>
    <s v=""/>
  </r>
  <r>
    <x v="6"/>
    <x v="6"/>
    <s v="Michael"/>
    <s v="Holz"/>
    <s v="Holz, Michael"/>
    <s v="Holz, Michael"/>
    <x v="0"/>
    <s v="no"/>
    <s v="no"/>
    <s v="RICSU"/>
    <n v="10758"/>
    <x v="65"/>
    <x v="65"/>
    <s v="RICSU_10758_Filo Mix"/>
    <s v="10758"/>
    <s v="10758"/>
    <s v="Filo Mix"/>
    <n v="7"/>
    <x v="18"/>
    <x v="0"/>
    <n v="420"/>
    <x v="0"/>
    <d v="1995-12-29T00:00:00"/>
    <s v=""/>
    <s v=""/>
  </r>
  <r>
    <x v="6"/>
    <x v="6"/>
    <s v="Michael"/>
    <s v="Holz"/>
    <s v="Holz, Michael"/>
    <s v="Holz, Michael"/>
    <x v="0"/>
    <s v="no"/>
    <s v="no"/>
    <s v="RICSU"/>
    <n v="10758"/>
    <x v="30"/>
    <x v="30"/>
    <s v="RICSU_10758_Outback Lager"/>
    <s v="10758"/>
    <s v="10758"/>
    <s v="Outback Lager"/>
    <n v="15"/>
    <x v="4"/>
    <x v="0"/>
    <n v="600"/>
    <x v="0"/>
    <d v="1995-12-29T00:00:00"/>
    <s v=""/>
    <s v=""/>
  </r>
  <r>
    <x v="39"/>
    <x v="39"/>
    <s v="Ana"/>
    <s v="Trujillo"/>
    <s v="Trujillo, Ana"/>
    <s v="Trujillo, Ana"/>
    <x v="0"/>
    <s v="no"/>
    <s v="no"/>
    <s v="ANATR"/>
    <n v="10759"/>
    <x v="26"/>
    <x v="26"/>
    <s v="ANATR_10759_Mascarpone Fabioli"/>
    <s v="10759"/>
    <s v="10759"/>
    <s v="Mascarpone Fabioli"/>
    <n v="32"/>
    <x v="1"/>
    <x v="0"/>
    <n v="320"/>
    <x v="0"/>
    <d v="1995-12-29T00:00:00"/>
    <s v=""/>
    <s v=""/>
  </r>
  <r>
    <x v="80"/>
    <x v="80"/>
    <s v="Catherine"/>
    <s v="Dewey"/>
    <s v="Dewey, Catherine"/>
    <s v="Dewey, Catherine"/>
    <x v="0"/>
    <s v="no"/>
    <s v="no"/>
    <s v="MAISD"/>
    <n v="10760"/>
    <x v="66"/>
    <x v="66"/>
    <s v="MAISD_10760_NuNuCa Nuß-Nougat-Creme"/>
    <s v="10760"/>
    <s v="10760"/>
    <s v="NuNuCa Nuß-Nougat-Creme"/>
    <n v="14"/>
    <x v="0"/>
    <x v="4"/>
    <n v="126"/>
    <x v="1"/>
    <d v="1996-01-01T00:00:00"/>
    <s v="1st Q 1996"/>
    <s v="1st Q 1996"/>
  </r>
  <r>
    <x v="80"/>
    <x v="80"/>
    <s v="Catherine"/>
    <s v="Dewey"/>
    <s v="Dewey, Catherine"/>
    <s v="Dewey, Catherine"/>
    <x v="0"/>
    <s v="no"/>
    <s v="no"/>
    <s v="MAISD"/>
    <n v="10760"/>
    <x v="24"/>
    <x v="24"/>
    <s v="MAISD_10760_Schoggi Schokolade"/>
    <s v="10760"/>
    <s v="10760"/>
    <s v="Schoggi Schokolade"/>
    <n v="43.9"/>
    <x v="4"/>
    <x v="0"/>
    <n v="1756"/>
    <x v="1"/>
    <d v="1996-01-01T00:00:00"/>
    <s v="1st Q 1996"/>
    <s v="1st Q 1996"/>
  </r>
  <r>
    <x v="80"/>
    <x v="80"/>
    <s v="Catherine"/>
    <s v="Dewey"/>
    <s v="Dewey, Catherine"/>
    <s v="Dewey, Catherine"/>
    <x v="0"/>
    <s v="no"/>
    <s v="no"/>
    <s v="MAISD"/>
    <n v="10760"/>
    <x v="40"/>
    <x v="40"/>
    <s v="MAISD_10760_Ipoh Coffee"/>
    <s v="10760"/>
    <s v="10760"/>
    <s v="Ipoh Coffee"/>
    <n v="46"/>
    <x v="12"/>
    <x v="4"/>
    <n v="1035"/>
    <x v="1"/>
    <d v="1996-01-01T00:00:00"/>
    <s v="1st Q 1996"/>
    <s v="1st Q 1996"/>
  </r>
  <r>
    <x v="13"/>
    <x v="13"/>
    <s v="Paula"/>
    <s v="Wilson"/>
    <s v="Wilson, Paula"/>
    <s v="Wilson, Paula"/>
    <x v="0"/>
    <s v="no"/>
    <s v="no"/>
    <s v="RATTC"/>
    <n v="10761"/>
    <x v="66"/>
    <x v="66"/>
    <s v="RATTC_10761_NuNuCa Nuß-Nougat-Creme"/>
    <s v="10761"/>
    <s v="10761"/>
    <s v="NuNuCa Nuß-Nougat-Creme"/>
    <n v="14"/>
    <x v="5"/>
    <x v="4"/>
    <n v="367.5"/>
    <x v="1"/>
    <d v="1996-01-02T00:00:00"/>
    <s v="1st Q 1996"/>
    <s v="1st Q 1996"/>
  </r>
  <r>
    <x v="13"/>
    <x v="13"/>
    <s v="Paula"/>
    <s v="Wilson"/>
    <s v="Wilson, Paula"/>
    <s v="Wilson, Paula"/>
    <x v="0"/>
    <s v="no"/>
    <s v="no"/>
    <s v="RATTC"/>
    <n v="10761"/>
    <x v="48"/>
    <x v="48"/>
    <s v="RATTC_10761_Rhönbräu Klosterbier"/>
    <s v="10761"/>
    <s v="10761"/>
    <s v="Rhönbräu Klosterbier"/>
    <n v="7.75"/>
    <x v="27"/>
    <x v="0"/>
    <n v="139.5"/>
    <x v="1"/>
    <d v="1996-01-02T00:00:00"/>
    <s v="1st Q 1996"/>
    <s v="1st Q 1996"/>
  </r>
  <r>
    <x v="14"/>
    <x v="14"/>
    <s v="Maria"/>
    <s v="Larsson"/>
    <s v="Larsson, Maria"/>
    <s v="Larsson, Maria"/>
    <x v="0"/>
    <s v="no"/>
    <s v="no"/>
    <s v="FOLKO"/>
    <n v="10762"/>
    <x v="13"/>
    <x v="13"/>
    <s v="FOLKO_10762_Chartreuse verte"/>
    <s v="10762"/>
    <s v="10762"/>
    <s v="Chartreuse verte"/>
    <n v="18"/>
    <x v="16"/>
    <x v="0"/>
    <n v="288"/>
    <x v="1"/>
    <d v="1996-01-02T00:00:00"/>
    <s v="1st Q 1996"/>
    <s v="1st Q 1996"/>
  </r>
  <r>
    <x v="14"/>
    <x v="14"/>
    <s v="Maria"/>
    <s v="Larsson"/>
    <s v="Larsson, Maria"/>
    <s v="Larsson, Maria"/>
    <x v="0"/>
    <s v="no"/>
    <s v="no"/>
    <s v="FOLKO"/>
    <n v="10762"/>
    <x v="69"/>
    <x v="69"/>
    <s v="FOLKO_10762_Zaanse koeken"/>
    <s v="10762"/>
    <s v="10762"/>
    <s v="Zaanse koeken"/>
    <n v="9.5"/>
    <x v="12"/>
    <x v="0"/>
    <n v="285"/>
    <x v="1"/>
    <d v="1996-01-02T00:00:00"/>
    <s v="1st Q 1996"/>
    <s v="1st Q 1996"/>
  </r>
  <r>
    <x v="14"/>
    <x v="14"/>
    <s v="Maria"/>
    <s v="Larsson"/>
    <s v="Larsson, Maria"/>
    <s v="Larsson, Maria"/>
    <x v="0"/>
    <s v="no"/>
    <s v="no"/>
    <s v="FOLKO"/>
    <n v="10762"/>
    <x v="4"/>
    <x v="4"/>
    <s v="FOLKO_10762_Manjimup Dried Apples"/>
    <s v="10762"/>
    <s v="10762"/>
    <s v="Manjimup Dried Apples"/>
    <n v="53"/>
    <x v="19"/>
    <x v="0"/>
    <n v="1484"/>
    <x v="1"/>
    <d v="1996-01-02T00:00:00"/>
    <s v="1st Q 1996"/>
    <s v="1st Q 1996"/>
  </r>
  <r>
    <x v="14"/>
    <x v="14"/>
    <s v="Maria"/>
    <s v="Larsson"/>
    <s v="Larsson, Maria"/>
    <s v="Larsson, Maria"/>
    <x v="0"/>
    <s v="no"/>
    <s v="no"/>
    <s v="FOLKO"/>
    <n v="10762"/>
    <x v="33"/>
    <x v="33"/>
    <s v="FOLKO_10762_Gnocchi di nonna Alice"/>
    <s v="10762"/>
    <s v="10762"/>
    <s v="Gnocchi di nonna Alice"/>
    <n v="38"/>
    <x v="18"/>
    <x v="0"/>
    <n v="2280"/>
    <x v="1"/>
    <d v="1996-01-02T00:00:00"/>
    <s v="1st Q 1996"/>
    <s v="1st Q 1996"/>
  </r>
  <r>
    <x v="68"/>
    <x v="68"/>
    <s v="Martine"/>
    <s v="Rancé"/>
    <s v="Rancé, Martine"/>
    <s v="Rancé, Martine"/>
    <x v="0"/>
    <s v="no"/>
    <s v="no"/>
    <s v="FOLIG"/>
    <n v="10763"/>
    <x v="27"/>
    <x v="27"/>
    <s v="FOLIG_10763_Sir Rodney's Scones"/>
    <s v="10763"/>
    <s v="10763"/>
    <s v="Sir Rodney's Scones"/>
    <n v="10"/>
    <x v="4"/>
    <x v="0"/>
    <n v="400"/>
    <x v="1"/>
    <d v="1996-01-03T00:00:00"/>
    <s v="1st Q 1996"/>
    <s v="1st Q 1996"/>
  </r>
  <r>
    <x v="68"/>
    <x v="68"/>
    <s v="Martine"/>
    <s v="Rancé"/>
    <s v="Rancé, Martine"/>
    <s v="Rancé, Martine"/>
    <x v="0"/>
    <s v="no"/>
    <s v="no"/>
    <s v="FOLIG"/>
    <n v="10763"/>
    <x v="7"/>
    <x v="7"/>
    <s v="FOLIG_10763_Gustaf's Knäckebröd"/>
    <s v="10763"/>
    <s v="10763"/>
    <s v="Gustaf's Knäckebröd"/>
    <n v="21"/>
    <x v="7"/>
    <x v="0"/>
    <n v="126"/>
    <x v="1"/>
    <d v="1996-01-03T00:00:00"/>
    <s v="1st Q 1996"/>
    <s v="1st Q 1996"/>
  </r>
  <r>
    <x v="68"/>
    <x v="68"/>
    <s v="Martine"/>
    <s v="Rancé"/>
    <s v="Rancé, Martine"/>
    <s v="Rancé, Martine"/>
    <x v="0"/>
    <s v="no"/>
    <s v="no"/>
    <s v="FOLIG"/>
    <n v="10763"/>
    <x v="15"/>
    <x v="15"/>
    <s v="FOLIG_10763_Guaraná Fantástica"/>
    <s v="10763"/>
    <s v="10763"/>
    <s v="Guaraná Fantástica"/>
    <n v="4.5"/>
    <x v="8"/>
    <x v="0"/>
    <n v="90"/>
    <x v="1"/>
    <d v="1996-01-03T00:00:00"/>
    <s v="1st Q 1996"/>
    <s v="1st Q 1996"/>
  </r>
  <r>
    <x v="9"/>
    <x v="9"/>
    <s v="Roland"/>
    <s v="Mendel"/>
    <s v="Mendel, Roland"/>
    <s v="Mendel, Roland"/>
    <x v="0"/>
    <s v="no"/>
    <s v="no"/>
    <s v="ERNSH"/>
    <n v="10764"/>
    <x v="57"/>
    <x v="57"/>
    <s v="ERNSH_10764_Aniseed Syrup"/>
    <s v="10764"/>
    <s v="10764"/>
    <s v="Aniseed Syrup"/>
    <n v="10"/>
    <x v="8"/>
    <x v="5"/>
    <n v="180"/>
    <x v="1"/>
    <d v="1996-01-03T00:00:00"/>
    <s v="1st Q 1996"/>
    <s v="1st Q 1996"/>
  </r>
  <r>
    <x v="9"/>
    <x v="9"/>
    <s v="Roland"/>
    <s v="Mendel"/>
    <s v="Mendel, Roland"/>
    <s v="Mendel, Roland"/>
    <x v="0"/>
    <s v="no"/>
    <s v="no"/>
    <s v="ERNSH"/>
    <n v="10764"/>
    <x v="13"/>
    <x v="13"/>
    <s v="ERNSH_10764_Chartreuse verte"/>
    <s v="10764"/>
    <s v="10764"/>
    <s v="Chartreuse verte"/>
    <n v="18"/>
    <x v="49"/>
    <x v="5"/>
    <n v="2106"/>
    <x v="1"/>
    <d v="1996-01-03T00:00:00"/>
    <s v="1st Q 1996"/>
    <s v="1st Q 1996"/>
  </r>
  <r>
    <x v="21"/>
    <x v="21"/>
    <s v="Horst"/>
    <s v="Kloss"/>
    <s v="Kloss, Horst"/>
    <s v="Kloss, Horst"/>
    <x v="0"/>
    <s v="no"/>
    <s v="no"/>
    <s v="QUICK"/>
    <n v="10765"/>
    <x v="6"/>
    <x v="6"/>
    <s v="QUICK_10765_Louisiana Fiery Hot Pepper Sauce"/>
    <s v="10765"/>
    <s v="10765"/>
    <s v="Louisiana Fiery Hot Pepper Sauce"/>
    <n v="21.05"/>
    <x v="32"/>
    <x v="5"/>
    <n v="1515.6000000000001"/>
    <x v="1"/>
    <d v="1996-01-04T00:00:00"/>
    <s v="1st Q 1996"/>
    <s v="1st Q 1996"/>
  </r>
  <r>
    <x v="11"/>
    <x v="11"/>
    <s v="Henriette"/>
    <s v="Pfalzheim"/>
    <s v="Pfalzheim, Henriette"/>
    <s v="Pfalzheim, Henriette"/>
    <x v="0"/>
    <s v="no"/>
    <s v="no"/>
    <s v="OTTIK"/>
    <n v="10766"/>
    <x v="18"/>
    <x v="18"/>
    <s v="OTTIK_10766_Chang"/>
    <s v="10766"/>
    <s v="10766"/>
    <s v="Chang"/>
    <n v="19"/>
    <x v="4"/>
    <x v="0"/>
    <n v="760"/>
    <x v="1"/>
    <d v="1996-01-05T00:00:00"/>
    <s v="1st Q 1996"/>
    <s v="1st Q 1996"/>
  </r>
  <r>
    <x v="11"/>
    <x v="11"/>
    <s v="Henriette"/>
    <s v="Pfalzheim"/>
    <s v="Pfalzheim, Henriette"/>
    <s v="Pfalzheim, Henriette"/>
    <x v="0"/>
    <s v="no"/>
    <s v="no"/>
    <s v="OTTIK"/>
    <n v="10766"/>
    <x v="32"/>
    <x v="32"/>
    <s v="OTTIK_10766_Uncle Bob's Organic Dried Pears"/>
    <s v="10766"/>
    <s v="10766"/>
    <s v="Uncle Bob's Organic Dried Pears"/>
    <n v="30"/>
    <x v="5"/>
    <x v="0"/>
    <n v="1050"/>
    <x v="1"/>
    <d v="1996-01-05T00:00:00"/>
    <s v="1st Q 1996"/>
    <s v="1st Q 1996"/>
  </r>
  <r>
    <x v="11"/>
    <x v="11"/>
    <s v="Henriette"/>
    <s v="Pfalzheim"/>
    <s v="Pfalzheim, Henriette"/>
    <s v="Pfalzheim, Henriette"/>
    <x v="0"/>
    <s v="no"/>
    <s v="no"/>
    <s v="OTTIK"/>
    <n v="10766"/>
    <x v="56"/>
    <x v="56"/>
    <s v="OTTIK_10766_Scottish Longbreads"/>
    <s v="10766"/>
    <s v="10766"/>
    <s v="Scottish Longbreads"/>
    <n v="12.5"/>
    <x v="4"/>
    <x v="0"/>
    <n v="500"/>
    <x v="1"/>
    <d v="1996-01-05T00:00:00"/>
    <s v="1st Q 1996"/>
    <s v="1st Q 1996"/>
  </r>
  <r>
    <x v="4"/>
    <x v="4"/>
    <s v="Pascale"/>
    <s v="Cartrain"/>
    <s v="Cartrain, Pascale"/>
    <s v="Cartrain, Pascale"/>
    <x v="0"/>
    <s v="no"/>
    <s v="no"/>
    <s v="SUPRD"/>
    <n v="10767"/>
    <x v="1"/>
    <x v="1"/>
    <s v="SUPRD_10767_Singaporean Hokkien Fried Mee"/>
    <s v="10767"/>
    <s v="10767"/>
    <s v="Singaporean Hokkien Fried Mee"/>
    <n v="14"/>
    <x v="17"/>
    <x v="0"/>
    <n v="28"/>
    <x v="1"/>
    <d v="1996-01-05T00:00:00"/>
    <s v="1st Q 1996"/>
    <s v="1st Q 1996"/>
  </r>
  <r>
    <x v="55"/>
    <x v="55"/>
    <s v="Thomas"/>
    <s v="Hardy"/>
    <s v="Hardy, Thomas"/>
    <s v="Hardy, Thomas"/>
    <x v="0"/>
    <s v="no"/>
    <s v="no"/>
    <s v="AROUT"/>
    <n v="10768"/>
    <x v="7"/>
    <x v="7"/>
    <s v="AROUT_10768_Gustaf's Knäckebröd"/>
    <s v="10768"/>
    <s v="10768"/>
    <s v="Gustaf's Knäckebröd"/>
    <n v="21"/>
    <x v="22"/>
    <x v="0"/>
    <n v="84"/>
    <x v="1"/>
    <d v="1996-01-08T00:00:00"/>
    <s v="1st Q 1996"/>
    <s v="1st Q 1996"/>
  </r>
  <r>
    <x v="55"/>
    <x v="55"/>
    <s v="Thomas"/>
    <s v="Hardy"/>
    <s v="Hardy, Thomas"/>
    <s v="Hardy, Thomas"/>
    <x v="0"/>
    <s v="no"/>
    <s v="no"/>
    <s v="AROUT"/>
    <n v="10768"/>
    <x v="12"/>
    <x v="12"/>
    <s v="AROUT_10768_Gorgonzola Telino"/>
    <s v="10768"/>
    <s v="10768"/>
    <s v="Gorgonzola Telino"/>
    <n v="12.5"/>
    <x v="13"/>
    <x v="0"/>
    <n v="625"/>
    <x v="1"/>
    <d v="1996-01-08T00:00:00"/>
    <s v="1st Q 1996"/>
    <s v="1st Q 1996"/>
  </r>
  <r>
    <x v="55"/>
    <x v="55"/>
    <s v="Thomas"/>
    <s v="Hardy"/>
    <s v="Hardy, Thomas"/>
    <s v="Hardy, Thomas"/>
    <x v="0"/>
    <s v="no"/>
    <s v="no"/>
    <s v="AROUT"/>
    <n v="10768"/>
    <x v="11"/>
    <x v="11"/>
    <s v="AROUT_10768_Camembert Pierrot"/>
    <s v="10768"/>
    <s v="10768"/>
    <s v="Camembert Pierrot"/>
    <n v="34"/>
    <x v="6"/>
    <x v="0"/>
    <n v="510"/>
    <x v="1"/>
    <d v="1996-01-08T00:00:00"/>
    <s v="1st Q 1996"/>
    <s v="1st Q 1996"/>
  </r>
  <r>
    <x v="55"/>
    <x v="55"/>
    <s v="Thomas"/>
    <s v="Hardy"/>
    <s v="Hardy, Thomas"/>
    <s v="Hardy, Thomas"/>
    <x v="0"/>
    <s v="no"/>
    <s v="no"/>
    <s v="AROUT"/>
    <n v="10768"/>
    <x v="42"/>
    <x v="42"/>
    <s v="AROUT_10768_Fløtemysost"/>
    <s v="10768"/>
    <s v="10768"/>
    <s v="Fløtemysost"/>
    <n v="21.5"/>
    <x v="0"/>
    <x v="0"/>
    <n v="258"/>
    <x v="1"/>
    <d v="1996-01-08T00:00:00"/>
    <s v="1st Q 1996"/>
    <s v="1st Q 1996"/>
  </r>
  <r>
    <x v="61"/>
    <x v="61"/>
    <s v="Palle"/>
    <s v="Ibsen"/>
    <s v="Ibsen, Palle"/>
    <s v="Ibsen, Palle"/>
    <x v="0"/>
    <s v="no"/>
    <s v="no"/>
    <s v="VAFFE"/>
    <n v="10769"/>
    <x v="5"/>
    <x v="5"/>
    <s v="VAFFE_10769_Jack's New England Clam Chowder"/>
    <s v="10769"/>
    <s v="10769"/>
    <s v="Jack's New England Clam Chowder"/>
    <n v="9.65"/>
    <x v="12"/>
    <x v="2"/>
    <n v="275.02499999999998"/>
    <x v="1"/>
    <d v="1996-01-08T00:00:00"/>
    <s v="1st Q 1996"/>
    <s v="1st Q 1996"/>
  </r>
  <r>
    <x v="61"/>
    <x v="61"/>
    <s v="Palle"/>
    <s v="Ibsen"/>
    <s v="Ibsen, Palle"/>
    <s v="Ibsen, Palle"/>
    <x v="0"/>
    <s v="no"/>
    <s v="no"/>
    <s v="VAFFE"/>
    <n v="10769"/>
    <x v="65"/>
    <x v="65"/>
    <s v="VAFFE_10769_Filo Mix"/>
    <s v="10769"/>
    <s v="10769"/>
    <s v="Filo Mix"/>
    <n v="7"/>
    <x v="6"/>
    <x v="2"/>
    <n v="99.75"/>
    <x v="1"/>
    <d v="1996-01-08T00:00:00"/>
    <s v="1st Q 1996"/>
    <s v="1st Q 1996"/>
  </r>
  <r>
    <x v="61"/>
    <x v="61"/>
    <s v="Palle"/>
    <s v="Ibsen"/>
    <s v="Ibsen, Palle"/>
    <s v="Ibsen, Palle"/>
    <x v="0"/>
    <s v="no"/>
    <s v="no"/>
    <s v="VAFFE"/>
    <n v="10769"/>
    <x v="75"/>
    <x v="75"/>
    <s v="VAFFE_10769_Sirop d'érable"/>
    <s v="10769"/>
    <s v="10769"/>
    <s v="Sirop d'érable"/>
    <n v="28.5"/>
    <x v="8"/>
    <x v="0"/>
    <n v="570"/>
    <x v="1"/>
    <d v="1996-01-08T00:00:00"/>
    <s v="1st Q 1996"/>
    <s v="1st Q 1996"/>
  </r>
  <r>
    <x v="61"/>
    <x v="61"/>
    <s v="Palle"/>
    <s v="Ibsen"/>
    <s v="Ibsen, Palle"/>
    <s v="Ibsen, Palle"/>
    <x v="0"/>
    <s v="no"/>
    <s v="no"/>
    <s v="VAFFE"/>
    <n v="10769"/>
    <x v="29"/>
    <x v="29"/>
    <s v="VAFFE_10769_Tarte au sucre"/>
    <s v="10769"/>
    <s v="10769"/>
    <s v="Tarte au sucre"/>
    <n v="49.3"/>
    <x v="6"/>
    <x v="0"/>
    <n v="739.5"/>
    <x v="1"/>
    <d v="1996-01-08T00:00:00"/>
    <s v="1st Q 1996"/>
    <s v="1st Q 1996"/>
  </r>
  <r>
    <x v="2"/>
    <x v="2"/>
    <s v="Mario"/>
    <s v="Pontes"/>
    <s v="Pontes, Mario"/>
    <s v="Pontes, Mario"/>
    <x v="0"/>
    <s v="no"/>
    <s v="no"/>
    <s v="HANAR"/>
    <n v="10770"/>
    <x v="0"/>
    <x v="0"/>
    <s v="HANAR_10770_Queso Cabrales"/>
    <s v="10770"/>
    <s v="10770"/>
    <s v="Queso Cabrales"/>
    <n v="21"/>
    <x v="6"/>
    <x v="4"/>
    <n v="236.25"/>
    <x v="1"/>
    <d v="1996-01-09T00:00:00"/>
    <s v="1st Q 1996"/>
    <s v="1st Q 1996"/>
  </r>
  <r>
    <x v="9"/>
    <x v="9"/>
    <s v="Roland"/>
    <s v="Mendel"/>
    <s v="Mendel, Roland"/>
    <s v="Mendel, Roland"/>
    <x v="0"/>
    <s v="no"/>
    <s v="no"/>
    <s v="ERNSH"/>
    <n v="10771"/>
    <x v="42"/>
    <x v="42"/>
    <s v="ERNSH_10771_Fløtemysost"/>
    <s v="10771"/>
    <s v="10771"/>
    <s v="Fløtemysost"/>
    <n v="21.5"/>
    <x v="16"/>
    <x v="0"/>
    <n v="344"/>
    <x v="1"/>
    <d v="1996-01-10T00:00:00"/>
    <s v="1st Q 1996"/>
    <s v="1st Q 1996"/>
  </r>
  <r>
    <x v="26"/>
    <x v="26"/>
    <s v="Renate"/>
    <s v="Messner"/>
    <s v="Messner, Renate"/>
    <s v="Messner, Renate"/>
    <x v="0"/>
    <s v="no"/>
    <s v="no"/>
    <s v="LEHMS"/>
    <n v="10772"/>
    <x v="39"/>
    <x v="39"/>
    <s v="LEHMS_10772_Thüringer Rostbratwurst"/>
    <s v="10772"/>
    <s v="10772"/>
    <s v="Thüringer Rostbratwurst"/>
    <n v="123.79"/>
    <x v="27"/>
    <x v="0"/>
    <n v="2228.2200000000003"/>
    <x v="1"/>
    <d v="1996-01-10T00:00:00"/>
    <s v="1st Q 1996"/>
    <s v="1st Q 1996"/>
  </r>
  <r>
    <x v="26"/>
    <x v="26"/>
    <s v="Renate"/>
    <s v="Messner"/>
    <s v="Messner, Renate"/>
    <s v="Messner, Renate"/>
    <x v="0"/>
    <s v="no"/>
    <s v="no"/>
    <s v="LEHMS"/>
    <n v="10772"/>
    <x v="21"/>
    <x v="21"/>
    <s v="LEHMS_10772_Raclette Courdavault"/>
    <s v="10772"/>
    <s v="10772"/>
    <s v="Raclette Courdavault"/>
    <n v="55"/>
    <x v="9"/>
    <x v="0"/>
    <n v="1375"/>
    <x v="1"/>
    <d v="1996-01-10T00:00:00"/>
    <s v="1st Q 1996"/>
    <s v="1st Q 1996"/>
  </r>
  <r>
    <x v="9"/>
    <x v="9"/>
    <s v="Roland"/>
    <s v="Mendel"/>
    <s v="Mendel, Roland"/>
    <s v="Mendel, Roland"/>
    <x v="0"/>
    <s v="no"/>
    <s v="no"/>
    <s v="ERNSH"/>
    <n v="10773"/>
    <x v="35"/>
    <x v="35"/>
    <s v="ERNSH_10773_Alice Mutton"/>
    <s v="10773"/>
    <s v="10773"/>
    <s v="Alice Mutton"/>
    <n v="39"/>
    <x v="24"/>
    <x v="0"/>
    <n v="1287"/>
    <x v="1"/>
    <d v="1996-01-11T00:00:00"/>
    <s v="1st Q 1996"/>
    <s v="1st Q 1996"/>
  </r>
  <r>
    <x v="9"/>
    <x v="9"/>
    <s v="Roland"/>
    <s v="Mendel"/>
    <s v="Mendel, Roland"/>
    <s v="Mendel, Roland"/>
    <x v="0"/>
    <s v="no"/>
    <s v="no"/>
    <s v="ERNSH"/>
    <n v="10773"/>
    <x v="12"/>
    <x v="12"/>
    <s v="ERNSH_10773_Gorgonzola Telino"/>
    <s v="10773"/>
    <s v="10773"/>
    <s v="Gorgonzola Telino"/>
    <n v="12.5"/>
    <x v="21"/>
    <x v="3"/>
    <n v="700"/>
    <x v="1"/>
    <d v="1996-01-11T00:00:00"/>
    <s v="1st Q 1996"/>
    <s v="1st Q 1996"/>
  </r>
  <r>
    <x v="9"/>
    <x v="9"/>
    <s v="Roland"/>
    <s v="Mendel"/>
    <s v="Mendel, Roland"/>
    <s v="Mendel, Roland"/>
    <x v="0"/>
    <s v="no"/>
    <s v="no"/>
    <s v="ERNSH"/>
    <n v="10773"/>
    <x v="48"/>
    <x v="48"/>
    <s v="ERNSH_10773_Rhönbräu Klosterbier"/>
    <s v="10773"/>
    <s v="10773"/>
    <s v="Rhönbräu Klosterbier"/>
    <n v="7.75"/>
    <x v="25"/>
    <x v="3"/>
    <n v="43.400000000000006"/>
    <x v="1"/>
    <d v="1996-01-11T00:00:00"/>
    <s v="1st Q 1996"/>
    <s v="1st Q 1996"/>
  </r>
  <r>
    <x v="14"/>
    <x v="14"/>
    <s v="Maria"/>
    <s v="Larsson"/>
    <s v="Larsson, Maria"/>
    <s v="Larsson, Maria"/>
    <x v="0"/>
    <s v="no"/>
    <s v="no"/>
    <s v="FOLKO"/>
    <n v="10774"/>
    <x v="12"/>
    <x v="12"/>
    <s v="FOLKO_10774_Gorgonzola Telino"/>
    <s v="10774"/>
    <s v="10774"/>
    <s v="Gorgonzola Telino"/>
    <n v="12.5"/>
    <x v="17"/>
    <x v="4"/>
    <n v="18.75"/>
    <x v="1"/>
    <d v="1996-01-11T00:00:00"/>
    <s v="1st Q 1996"/>
    <s v="1st Q 1996"/>
  </r>
  <r>
    <x v="14"/>
    <x v="14"/>
    <s v="Maria"/>
    <s v="Larsson"/>
    <s v="Larsson, Maria"/>
    <s v="Larsson, Maria"/>
    <x v="0"/>
    <s v="no"/>
    <s v="no"/>
    <s v="FOLKO"/>
    <n v="10774"/>
    <x v="61"/>
    <x v="61"/>
    <s v="FOLKO_10774_Louisiana Hot Spiced Okra"/>
    <s v="10774"/>
    <s v="10774"/>
    <s v="Louisiana Hot Spiced Okra"/>
    <n v="17"/>
    <x v="13"/>
    <x v="0"/>
    <n v="850"/>
    <x v="1"/>
    <d v="1996-01-11T00:00:00"/>
    <s v="1st Q 1996"/>
    <s v="1st Q 1996"/>
  </r>
  <r>
    <x v="84"/>
    <x v="84"/>
    <s v="Liu"/>
    <s v="Wong"/>
    <s v="Wong, Liu"/>
    <s v="Wong, Liu"/>
    <x v="0"/>
    <s v="no"/>
    <s v="no"/>
    <s v="THECR"/>
    <n v="10775"/>
    <x v="41"/>
    <x v="41"/>
    <s v="THECR_10775_Ikura"/>
    <s v="10775"/>
    <s v="10775"/>
    <s v="Ikura"/>
    <n v="31"/>
    <x v="7"/>
    <x v="0"/>
    <n v="186"/>
    <x v="1"/>
    <d v="1996-01-12T00:00:00"/>
    <s v="1st Q 1996"/>
    <s v="1st Q 1996"/>
  </r>
  <r>
    <x v="84"/>
    <x v="84"/>
    <s v="Liu"/>
    <s v="Wong"/>
    <s v="Wong, Liu"/>
    <s v="Wong, Liu"/>
    <x v="0"/>
    <s v="no"/>
    <s v="no"/>
    <s v="THECR"/>
    <n v="10775"/>
    <x v="51"/>
    <x v="51"/>
    <s v="THECR_10775_Laughing Lumberjack Lager"/>
    <s v="10775"/>
    <s v="10775"/>
    <s v="Laughing Lumberjack Lager"/>
    <n v="14"/>
    <x v="28"/>
    <x v="0"/>
    <n v="42"/>
    <x v="1"/>
    <d v="1996-01-12T00:00:00"/>
    <s v="1st Q 1996"/>
    <s v="1st Q 1996"/>
  </r>
  <r>
    <x v="9"/>
    <x v="9"/>
    <s v="Roland"/>
    <s v="Mendel"/>
    <s v="Mendel, Roland"/>
    <s v="Mendel, Roland"/>
    <x v="0"/>
    <s v="no"/>
    <s v="no"/>
    <s v="ERNSH"/>
    <n v="10776"/>
    <x v="12"/>
    <x v="12"/>
    <s v="ERNSH_10776_Gorgonzola Telino"/>
    <s v="10776"/>
    <s v="10776"/>
    <s v="Gorgonzola Telino"/>
    <n v="12.5"/>
    <x v="16"/>
    <x v="2"/>
    <n v="190"/>
    <x v="1"/>
    <d v="1996-01-15T00:00:00"/>
    <s v="1st Q 1996"/>
    <s v="1st Q 1996"/>
  </r>
  <r>
    <x v="9"/>
    <x v="9"/>
    <s v="Roland"/>
    <s v="Mendel"/>
    <s v="Mendel, Roland"/>
    <s v="Mendel, Roland"/>
    <x v="0"/>
    <s v="no"/>
    <s v="no"/>
    <s v="ERNSH"/>
    <n v="10776"/>
    <x v="1"/>
    <x v="1"/>
    <s v="ERNSH_10776_Singaporean Hokkien Fried Mee"/>
    <s v="10776"/>
    <s v="10776"/>
    <s v="Singaporean Hokkien Fried Mee"/>
    <n v="14"/>
    <x v="0"/>
    <x v="2"/>
    <n v="159.6"/>
    <x v="1"/>
    <d v="1996-01-15T00:00:00"/>
    <s v="1st Q 1996"/>
    <s v="1st Q 1996"/>
  </r>
  <r>
    <x v="9"/>
    <x v="9"/>
    <s v="Roland"/>
    <s v="Mendel"/>
    <s v="Mendel, Roland"/>
    <s v="Mendel, Roland"/>
    <x v="0"/>
    <s v="no"/>
    <s v="no"/>
    <s v="ERNSH"/>
    <n v="10776"/>
    <x v="73"/>
    <x v="73"/>
    <s v="ERNSH_10776_Røgede sild"/>
    <s v="10776"/>
    <s v="10776"/>
    <s v="Røgede sild"/>
    <n v="9.5"/>
    <x v="47"/>
    <x v="2"/>
    <n v="243.67499999999998"/>
    <x v="1"/>
    <d v="1996-01-15T00:00:00"/>
    <s v="1st Q 1996"/>
    <s v="1st Q 1996"/>
  </r>
  <r>
    <x v="9"/>
    <x v="9"/>
    <s v="Roland"/>
    <s v="Mendel"/>
    <s v="Mendel, Roland"/>
    <s v="Mendel, Roland"/>
    <x v="1"/>
    <s v="yes"/>
    <s v="yes"/>
    <s v="ERNSH"/>
    <n v="10776"/>
    <x v="4"/>
    <x v="4"/>
    <s v="ERNSH_10776_Manjimup Dried Apples"/>
    <s v="10776"/>
    <s v="10776"/>
    <s v="Manjimup Dried Apples"/>
    <n v="53"/>
    <x v="40"/>
    <x v="2"/>
    <n v="6042"/>
    <x v="1"/>
    <d v="1996-01-15T00:00:00"/>
    <s v="1st Q 1996"/>
    <s v="1st Q 1996"/>
  </r>
  <r>
    <x v="71"/>
    <x v="71"/>
    <s v="André"/>
    <s v="Fonseca"/>
    <s v="Fonseca, André"/>
    <s v="Fonseca, André"/>
    <x v="0"/>
    <s v="no"/>
    <s v="no"/>
    <s v="GOURL"/>
    <n v="10777"/>
    <x v="1"/>
    <x v="1"/>
    <s v="GOURL_10777_Singaporean Hokkien Fried Mee"/>
    <s v="10777"/>
    <s v="10777"/>
    <s v="Singaporean Hokkien Fried Mee"/>
    <n v="14"/>
    <x v="8"/>
    <x v="3"/>
    <n v="224"/>
    <x v="1"/>
    <d v="1996-01-15T00:00:00"/>
    <s v="1st Q 1996"/>
    <s v="1st Q 1996"/>
  </r>
  <r>
    <x v="25"/>
    <x v="25"/>
    <s v="Christina"/>
    <s v="Berglund"/>
    <s v="Berglund, Christina"/>
    <s v="Berglund, Christina"/>
    <x v="0"/>
    <s v="no"/>
    <s v="no"/>
    <s v="BERGS"/>
    <n v="10778"/>
    <x v="5"/>
    <x v="5"/>
    <s v="BERGS_10778_Jack's New England Clam Chowder"/>
    <s v="10778"/>
    <s v="10778"/>
    <s v="Jack's New England Clam Chowder"/>
    <n v="9.65"/>
    <x v="1"/>
    <x v="0"/>
    <n v="96.5"/>
    <x v="1"/>
    <d v="1996-01-16T00:00:00"/>
    <s v="1st Q 1996"/>
    <s v="1st Q 1996"/>
  </r>
  <r>
    <x v="24"/>
    <x v="24"/>
    <s v="Alexander"/>
    <s v="Feuer"/>
    <s v="Feuer, Alexander"/>
    <s v="Feuer, Alexander"/>
    <x v="0"/>
    <s v="no"/>
    <s v="no"/>
    <s v="MORGK"/>
    <n v="10779"/>
    <x v="19"/>
    <x v="19"/>
    <s v="MORGK_10779_Pavlova"/>
    <s v="10779"/>
    <s v="10779"/>
    <s v="Pavlova"/>
    <n v="17.45"/>
    <x v="8"/>
    <x v="0"/>
    <n v="349"/>
    <x v="1"/>
    <d v="1996-01-16T00:00:00"/>
    <s v="1st Q 1996"/>
    <s v="1st Q 1996"/>
  </r>
  <r>
    <x v="24"/>
    <x v="24"/>
    <s v="Alexander"/>
    <s v="Feuer"/>
    <s v="Feuer, Alexander"/>
    <s v="Feuer, Alexander"/>
    <x v="0"/>
    <s v="no"/>
    <s v="no"/>
    <s v="MORGK"/>
    <n v="10779"/>
    <x v="29"/>
    <x v="29"/>
    <s v="MORGK_10779_Tarte au sucre"/>
    <s v="10779"/>
    <s v="10779"/>
    <s v="Tarte au sucre"/>
    <n v="49.3"/>
    <x v="8"/>
    <x v="0"/>
    <n v="986"/>
    <x v="1"/>
    <d v="1996-01-16T00:00:00"/>
    <s v="1st Q 1996"/>
    <s v="1st Q 1996"/>
  </r>
  <r>
    <x v="28"/>
    <x v="28"/>
    <s v="Carlos"/>
    <s v="González"/>
    <s v="González, Carlos"/>
    <s v="González, Carlos"/>
    <x v="0"/>
    <s v="no"/>
    <s v="no"/>
    <s v="LILAS"/>
    <n v="10780"/>
    <x v="30"/>
    <x v="30"/>
    <s v="LILAS_10780_Outback Lager"/>
    <s v="10780"/>
    <s v="10780"/>
    <s v="Outback Lager"/>
    <n v="15"/>
    <x v="5"/>
    <x v="0"/>
    <n v="525"/>
    <x v="1"/>
    <d v="1996-01-16T00:00:00"/>
    <s v="1st Q 1996"/>
    <s v="1st Q 1996"/>
  </r>
  <r>
    <x v="28"/>
    <x v="28"/>
    <s v="Carlos"/>
    <s v="González"/>
    <s v="González, Carlos"/>
    <s v="González, Carlos"/>
    <x v="0"/>
    <s v="no"/>
    <s v="no"/>
    <s v="LILAS"/>
    <n v="10780"/>
    <x v="23"/>
    <x v="23"/>
    <s v="LILAS_10780_Original Frankfurter grüne Soße"/>
    <s v="10780"/>
    <s v="10780"/>
    <s v="Original Frankfurter grüne Soße"/>
    <n v="13"/>
    <x v="6"/>
    <x v="0"/>
    <n v="195"/>
    <x v="1"/>
    <d v="1996-01-16T00:00:00"/>
    <s v="1st Q 1996"/>
    <s v="1st Q 1996"/>
  </r>
  <r>
    <x v="16"/>
    <x v="16"/>
    <s v="Pirkko"/>
    <s v="Koskitalo"/>
    <s v="Koskitalo, Pirkko"/>
    <s v="Koskitalo, Pirkko"/>
    <x v="0"/>
    <s v="no"/>
    <s v="no"/>
    <s v="WARTH"/>
    <n v="10781"/>
    <x v="55"/>
    <x v="55"/>
    <s v="WARTH_10781_Tourtière"/>
    <s v="10781"/>
    <s v="10781"/>
    <s v="Tourtière"/>
    <n v="7.45"/>
    <x v="28"/>
    <x v="3"/>
    <n v="17.880000000000003"/>
    <x v="1"/>
    <d v="1996-01-17T00:00:00"/>
    <s v="1st Q 1996"/>
    <s v="1st Q 1996"/>
  </r>
  <r>
    <x v="16"/>
    <x v="16"/>
    <s v="Pirkko"/>
    <s v="Koskitalo"/>
    <s v="Koskitalo, Pirkko"/>
    <s v="Koskitalo, Pirkko"/>
    <x v="0"/>
    <s v="no"/>
    <s v="no"/>
    <s v="WARTH"/>
    <n v="10781"/>
    <x v="33"/>
    <x v="33"/>
    <s v="WARTH_10781_Gnocchi di nonna Alice"/>
    <s v="10781"/>
    <s v="10781"/>
    <s v="Gnocchi di nonna Alice"/>
    <n v="38"/>
    <x v="8"/>
    <x v="3"/>
    <n v="608"/>
    <x v="1"/>
    <d v="1996-01-17T00:00:00"/>
    <s v="1st Q 1996"/>
    <s v="1st Q 1996"/>
  </r>
  <r>
    <x v="16"/>
    <x v="16"/>
    <s v="Pirkko"/>
    <s v="Koskitalo"/>
    <s v="Koskitalo, Pirkko"/>
    <s v="Koskitalo, Pirkko"/>
    <x v="0"/>
    <s v="no"/>
    <s v="no"/>
    <s v="WARTH"/>
    <n v="10781"/>
    <x v="17"/>
    <x v="17"/>
    <s v="WARTH_10781_Longlife Tofu"/>
    <s v="10781"/>
    <s v="10781"/>
    <s v="Longlife Tofu"/>
    <n v="10"/>
    <x v="5"/>
    <x v="0"/>
    <n v="350"/>
    <x v="1"/>
    <d v="1996-01-17T00:00:00"/>
    <s v="1st Q 1996"/>
    <s v="1st Q 1996"/>
  </r>
  <r>
    <x v="78"/>
    <x v="78"/>
    <s v="Patricio"/>
    <s v="Simpson"/>
    <s v="Simpson, Patricio"/>
    <s v="Simpson, Patricio"/>
    <x v="0"/>
    <s v="no"/>
    <s v="no"/>
    <s v="CACTU"/>
    <n v="10782"/>
    <x v="12"/>
    <x v="12"/>
    <s v="CACTU_10782_Gorgonzola Telino"/>
    <s v="10782"/>
    <s v="10782"/>
    <s v="Gorgonzola Telino"/>
    <n v="12.5"/>
    <x v="15"/>
    <x v="0"/>
    <n v="12.5"/>
    <x v="1"/>
    <d v="1996-01-17T00:00:00"/>
    <s v="1st Q 1996"/>
    <s v="1st Q 1996"/>
  </r>
  <r>
    <x v="2"/>
    <x v="2"/>
    <s v="Mario"/>
    <s v="Pontes"/>
    <s v="Pontes, Mario"/>
    <s v="Pontes, Mario"/>
    <x v="0"/>
    <s v="no"/>
    <s v="no"/>
    <s v="HANAR"/>
    <n v="10783"/>
    <x v="12"/>
    <x v="12"/>
    <s v="HANAR_10783_Gorgonzola Telino"/>
    <s v="10783"/>
    <s v="10783"/>
    <s v="Gorgonzola Telino"/>
    <n v="12.5"/>
    <x v="1"/>
    <x v="0"/>
    <n v="125"/>
    <x v="1"/>
    <d v="1996-01-18T00:00:00"/>
    <s v="1st Q 1996"/>
    <s v="1st Q 1996"/>
  </r>
  <r>
    <x v="2"/>
    <x v="2"/>
    <s v="Mario"/>
    <s v="Pontes"/>
    <s v="Pontes, Mario"/>
    <s v="Pontes, Mario"/>
    <x v="0"/>
    <s v="no"/>
    <s v="no"/>
    <s v="HANAR"/>
    <n v="10783"/>
    <x v="67"/>
    <x v="67"/>
    <s v="HANAR_10783_Côte de Blaye"/>
    <s v="10783"/>
    <s v="10783"/>
    <s v="Côte de Blaye"/>
    <n v="263.5"/>
    <x v="2"/>
    <x v="0"/>
    <n v="1317.5"/>
    <x v="1"/>
    <d v="1996-01-18T00:00:00"/>
    <s v="1st Q 1996"/>
    <s v="1st Q 1996"/>
  </r>
  <r>
    <x v="22"/>
    <x v="22"/>
    <s v="Giovanni"/>
    <s v="Rovelli"/>
    <s v="Rovelli, Giovanni"/>
    <s v="Rovelli, Giovanni"/>
    <x v="0"/>
    <s v="no"/>
    <s v="no"/>
    <s v="MAGAA"/>
    <n v="10784"/>
    <x v="20"/>
    <x v="20"/>
    <s v="MAGAA_10784_Inlagd Sill"/>
    <s v="10784"/>
    <s v="10784"/>
    <s v="Inlagd Sill"/>
    <n v="19"/>
    <x v="12"/>
    <x v="0"/>
    <n v="570"/>
    <x v="1"/>
    <d v="1996-01-18T00:00:00"/>
    <s v="1st Q 1996"/>
    <s v="1st Q 1996"/>
  </r>
  <r>
    <x v="22"/>
    <x v="22"/>
    <s v="Giovanni"/>
    <s v="Rovelli"/>
    <s v="Rovelli, Giovanni"/>
    <s v="Rovelli, Giovanni"/>
    <x v="0"/>
    <s v="no"/>
    <s v="no"/>
    <s v="MAGAA"/>
    <n v="10784"/>
    <x v="13"/>
    <x v="13"/>
    <s v="MAGAA_10784_Chartreuse verte"/>
    <s v="10784"/>
    <s v="10784"/>
    <s v="Chartreuse verte"/>
    <n v="18"/>
    <x v="17"/>
    <x v="1"/>
    <n v="30.599999999999998"/>
    <x v="1"/>
    <d v="1996-01-18T00:00:00"/>
    <s v="1st Q 1996"/>
    <s v="1st Q 1996"/>
  </r>
  <r>
    <x v="22"/>
    <x v="22"/>
    <s v="Giovanni"/>
    <s v="Rovelli"/>
    <s v="Rovelli, Giovanni"/>
    <s v="Rovelli, Giovanni"/>
    <x v="0"/>
    <s v="no"/>
    <s v="no"/>
    <s v="MAGAA"/>
    <n v="10784"/>
    <x v="2"/>
    <x v="2"/>
    <s v="MAGAA_10784_Mozzarella di Giovanni"/>
    <s v="10784"/>
    <s v="10784"/>
    <s v="Mozzarella di Giovanni"/>
    <n v="34.799999999999997"/>
    <x v="12"/>
    <x v="1"/>
    <n v="887.4"/>
    <x v="1"/>
    <d v="1996-01-18T00:00:00"/>
    <s v="1st Q 1996"/>
    <s v="1st Q 1996"/>
  </r>
  <r>
    <x v="18"/>
    <x v="18"/>
    <s v="Manuel"/>
    <s v="Pereira"/>
    <s v="Pereira, Manuel"/>
    <s v="Pereira, Manuel"/>
    <x v="0"/>
    <s v="no"/>
    <s v="no"/>
    <s v="GROSR"/>
    <n v="10785"/>
    <x v="41"/>
    <x v="41"/>
    <s v="GROSR_10785_Ikura"/>
    <s v="10785"/>
    <s v="10785"/>
    <s v="Ikura"/>
    <n v="31"/>
    <x v="1"/>
    <x v="0"/>
    <n v="310"/>
    <x v="1"/>
    <d v="1996-01-18T00:00:00"/>
    <s v="1st Q 1996"/>
    <s v="1st Q 1996"/>
  </r>
  <r>
    <x v="18"/>
    <x v="18"/>
    <s v="Manuel"/>
    <s v="Pereira"/>
    <s v="Pereira, Manuel"/>
    <s v="Pereira, Manuel"/>
    <x v="0"/>
    <s v="no"/>
    <s v="no"/>
    <s v="GROSR"/>
    <n v="10785"/>
    <x v="48"/>
    <x v="48"/>
    <s v="GROSR_10785_Rhönbräu Klosterbier"/>
    <s v="10785"/>
    <s v="10785"/>
    <s v="Rhönbräu Klosterbier"/>
    <n v="7.75"/>
    <x v="1"/>
    <x v="0"/>
    <n v="77.5"/>
    <x v="1"/>
    <d v="1996-01-18T00:00:00"/>
    <s v="1st Q 1996"/>
    <s v="1st Q 1996"/>
  </r>
  <r>
    <x v="62"/>
    <x v="62"/>
    <s v="Lúcia"/>
    <s v="Carvalho"/>
    <s v="Carvalho, Lúcia"/>
    <s v="Carvalho, Lúcia"/>
    <x v="0"/>
    <s v="no"/>
    <s v="no"/>
    <s v="QUEEN"/>
    <n v="10786"/>
    <x v="71"/>
    <x v="71"/>
    <s v="QUEEN_10786_Northwoods Cranberry Sauce"/>
    <s v="10786"/>
    <s v="10786"/>
    <s v="Northwoods Cranberry Sauce"/>
    <n v="40"/>
    <x v="12"/>
    <x v="3"/>
    <n v="960"/>
    <x v="1"/>
    <d v="1996-01-19T00:00:00"/>
    <s v="1st Q 1996"/>
    <s v="1st Q 1996"/>
  </r>
  <r>
    <x v="62"/>
    <x v="62"/>
    <s v="Lúcia"/>
    <s v="Carvalho"/>
    <s v="Carvalho, Lúcia"/>
    <s v="Carvalho, Lúcia"/>
    <x v="0"/>
    <s v="no"/>
    <s v="no"/>
    <s v="QUEEN"/>
    <n v="10786"/>
    <x v="34"/>
    <x v="34"/>
    <s v="QUEEN_10786_Nord-Ost Matjeshering"/>
    <s v="10786"/>
    <s v="10786"/>
    <s v="Nord-Ost Matjeshering"/>
    <n v="25.89"/>
    <x v="6"/>
    <x v="3"/>
    <n v="310.68000000000006"/>
    <x v="1"/>
    <d v="1996-01-19T00:00:00"/>
    <s v="1st Q 1996"/>
    <s v="1st Q 1996"/>
  </r>
  <r>
    <x v="62"/>
    <x v="62"/>
    <s v="Lúcia"/>
    <s v="Carvalho"/>
    <s v="Carvalho, Lúcia"/>
    <s v="Carvalho, Lúcia"/>
    <x v="0"/>
    <s v="no"/>
    <s v="no"/>
    <s v="QUEEN"/>
    <n v="10786"/>
    <x v="48"/>
    <x v="48"/>
    <s v="QUEEN_10786_Rhönbräu Klosterbier"/>
    <s v="10786"/>
    <s v="10786"/>
    <s v="Rhönbräu Klosterbier"/>
    <n v="7.75"/>
    <x v="10"/>
    <x v="3"/>
    <n v="260.40000000000003"/>
    <x v="1"/>
    <d v="1996-01-19T00:00:00"/>
    <s v="1st Q 1996"/>
    <s v="1st Q 1996"/>
  </r>
  <r>
    <x v="53"/>
    <x v="53"/>
    <s v="Annette"/>
    <s v="Roulet"/>
    <s v="Roulet, Annette"/>
    <s v="Roulet, Annette"/>
    <x v="0"/>
    <s v="no"/>
    <s v="no"/>
    <s v="LAMAI"/>
    <n v="10787"/>
    <x v="18"/>
    <x v="18"/>
    <s v="LAMAI_10787_Chang"/>
    <s v="10787"/>
    <s v="10787"/>
    <s v="Chang"/>
    <n v="19"/>
    <x v="6"/>
    <x v="2"/>
    <n v="270.75"/>
    <x v="1"/>
    <d v="1996-01-19T00:00:00"/>
    <s v="1st Q 1996"/>
    <s v="1st Q 1996"/>
  </r>
  <r>
    <x v="53"/>
    <x v="53"/>
    <s v="Annette"/>
    <s v="Roulet"/>
    <s v="Roulet, Annette"/>
    <s v="Roulet, Annette"/>
    <x v="0"/>
    <s v="no"/>
    <s v="no"/>
    <s v="LAMAI"/>
    <n v="10787"/>
    <x v="39"/>
    <x v="39"/>
    <s v="LAMAI_10787_Thüringer Rostbratwurst"/>
    <s v="10787"/>
    <s v="10787"/>
    <s v="Thüringer Rostbratwurst"/>
    <n v="123.79"/>
    <x v="8"/>
    <x v="2"/>
    <n v="2352.0100000000002"/>
    <x v="1"/>
    <d v="1996-01-19T00:00:00"/>
    <s v="1st Q 1996"/>
    <s v="1st Q 1996"/>
  </r>
  <r>
    <x v="21"/>
    <x v="21"/>
    <s v="Horst"/>
    <s v="Kloss"/>
    <s v="Kloss, Horst"/>
    <s v="Kloss, Horst"/>
    <x v="0"/>
    <s v="no"/>
    <s v="no"/>
    <s v="QUICK"/>
    <n v="10788"/>
    <x v="49"/>
    <x v="49"/>
    <s v="QUICK_10788_Teatime Chocolate Biscuits"/>
    <s v="10788"/>
    <s v="10788"/>
    <s v="Teatime Chocolate Biscuits"/>
    <n v="9.1999999999999993"/>
    <x v="13"/>
    <x v="2"/>
    <n v="436.99999999999994"/>
    <x v="1"/>
    <d v="1996-01-22T00:00:00"/>
    <s v="1st Q 1996"/>
    <s v="1st Q 1996"/>
  </r>
  <r>
    <x v="21"/>
    <x v="21"/>
    <s v="Horst"/>
    <s v="Kloss"/>
    <s v="Kloss, Horst"/>
    <s v="Kloss, Horst"/>
    <x v="0"/>
    <s v="no"/>
    <s v="no"/>
    <s v="QUICK"/>
    <n v="10788"/>
    <x v="48"/>
    <x v="48"/>
    <s v="QUICK_10788_Rhönbräu Klosterbier"/>
    <s v="10788"/>
    <s v="10788"/>
    <s v="Rhönbräu Klosterbier"/>
    <n v="7.75"/>
    <x v="4"/>
    <x v="2"/>
    <n v="294.5"/>
    <x v="1"/>
    <d v="1996-01-22T00:00:00"/>
    <s v="1st Q 1996"/>
    <s v="1st Q 1996"/>
  </r>
  <r>
    <x v="68"/>
    <x v="68"/>
    <s v="Martine"/>
    <s v="Rancé"/>
    <s v="Rancé, Martine"/>
    <s v="Rancé, Martine"/>
    <x v="0"/>
    <s v="no"/>
    <s v="no"/>
    <s v="FOLIG"/>
    <n v="10789"/>
    <x v="59"/>
    <x v="59"/>
    <s v="FOLIG_10789_Carnarvon Tigers"/>
    <s v="10789"/>
    <s v="10789"/>
    <s v="Carnarvon Tigers"/>
    <n v="62.5"/>
    <x v="12"/>
    <x v="0"/>
    <n v="1875"/>
    <x v="1"/>
    <d v="1996-01-22T00:00:00"/>
    <s v="1st Q 1996"/>
    <s v="1st Q 1996"/>
  </r>
  <r>
    <x v="68"/>
    <x v="68"/>
    <s v="Martine"/>
    <s v="Rancé"/>
    <s v="Rancé, Martine"/>
    <s v="Rancé, Martine"/>
    <x v="0"/>
    <s v="no"/>
    <s v="no"/>
    <s v="FOLIG"/>
    <n v="10789"/>
    <x v="31"/>
    <x v="31"/>
    <s v="FOLIG_10789_Steeleye Stout"/>
    <s v="10789"/>
    <s v="10789"/>
    <s v="Steeleye Stout"/>
    <n v="18"/>
    <x v="6"/>
    <x v="0"/>
    <n v="270"/>
    <x v="1"/>
    <d v="1996-01-22T00:00:00"/>
    <s v="1st Q 1996"/>
    <s v="1st Q 1996"/>
  </r>
  <r>
    <x v="68"/>
    <x v="68"/>
    <s v="Martine"/>
    <s v="Rancé"/>
    <s v="Rancé, Martine"/>
    <s v="Rancé, Martine"/>
    <x v="0"/>
    <s v="no"/>
    <s v="no"/>
    <s v="FOLIG"/>
    <n v="10789"/>
    <x v="46"/>
    <x v="46"/>
    <s v="FOLIG_10789_Vegie-spread"/>
    <s v="10789"/>
    <s v="10789"/>
    <s v="Vegie-spread"/>
    <n v="43.9"/>
    <x v="12"/>
    <x v="0"/>
    <n v="1317"/>
    <x v="1"/>
    <d v="1996-01-22T00:00:00"/>
    <s v="1st Q 1996"/>
    <s v="1st Q 1996"/>
  </r>
  <r>
    <x v="68"/>
    <x v="68"/>
    <s v="Martine"/>
    <s v="Rancé"/>
    <s v="Rancé, Martine"/>
    <s v="Rancé, Martine"/>
    <x v="0"/>
    <s v="no"/>
    <s v="no"/>
    <s v="FOLIG"/>
    <n v="10789"/>
    <x v="56"/>
    <x v="56"/>
    <s v="FOLIG_10789_Scottish Longbreads"/>
    <s v="10789"/>
    <s v="10789"/>
    <s v="Scottish Longbreads"/>
    <n v="12.5"/>
    <x v="27"/>
    <x v="0"/>
    <n v="225"/>
    <x v="1"/>
    <d v="1996-01-22T00:00:00"/>
    <s v="1st Q 1996"/>
    <s v="1st Q 1996"/>
  </r>
  <r>
    <x v="71"/>
    <x v="71"/>
    <s v="André"/>
    <s v="Fonseca"/>
    <s v="Fonseca, André"/>
    <s v="Fonseca, André"/>
    <x v="0"/>
    <s v="no"/>
    <s v="no"/>
    <s v="GOURL"/>
    <n v="10790"/>
    <x v="32"/>
    <x v="32"/>
    <s v="GOURL_10790_Uncle Bob's Organic Dried Pears"/>
    <s v="10790"/>
    <s v="10790"/>
    <s v="Uncle Bob's Organic Dried Pears"/>
    <n v="30"/>
    <x v="28"/>
    <x v="1"/>
    <n v="76.5"/>
    <x v="1"/>
    <d v="1996-01-22T00:00:00"/>
    <s v="1st Q 1996"/>
    <s v="1st Q 1996"/>
  </r>
  <r>
    <x v="71"/>
    <x v="71"/>
    <s v="André"/>
    <s v="Fonseca"/>
    <s v="Fonseca, André"/>
    <s v="Fonseca, André"/>
    <x v="0"/>
    <s v="no"/>
    <s v="no"/>
    <s v="GOURL"/>
    <n v="10790"/>
    <x v="33"/>
    <x v="33"/>
    <s v="GOURL_10790_Gnocchi di nonna Alice"/>
    <s v="10790"/>
    <s v="10790"/>
    <s v="Gnocchi di nonna Alice"/>
    <n v="38"/>
    <x v="8"/>
    <x v="1"/>
    <n v="646"/>
    <x v="1"/>
    <d v="1996-01-22T00:00:00"/>
    <s v="1st Q 1996"/>
    <s v="1st Q 1996"/>
  </r>
  <r>
    <x v="17"/>
    <x v="17"/>
    <s v="Peter"/>
    <s v="Franken"/>
    <s v="Franken, Peter"/>
    <s v="Franken, Peter"/>
    <x v="0"/>
    <s v="no"/>
    <s v="no"/>
    <s v="FRANK"/>
    <n v="10791"/>
    <x v="39"/>
    <x v="39"/>
    <s v="FRANK_10791_Thüringer Rostbratwurst"/>
    <s v="10791"/>
    <s v="10791"/>
    <s v="Thüringer Rostbratwurst"/>
    <n v="123.79"/>
    <x v="31"/>
    <x v="2"/>
    <n v="1646.4070000000002"/>
    <x v="1"/>
    <d v="1996-01-23T00:00:00"/>
    <s v="1st Q 1996"/>
    <s v="1st Q 1996"/>
  </r>
  <r>
    <x v="17"/>
    <x v="17"/>
    <s v="Peter"/>
    <s v="Franken"/>
    <s v="Franken, Peter"/>
    <s v="Franken, Peter"/>
    <x v="0"/>
    <s v="no"/>
    <s v="no"/>
    <s v="FRANK"/>
    <n v="10791"/>
    <x v="5"/>
    <x v="5"/>
    <s v="FRANK_10791_Jack's New England Clam Chowder"/>
    <s v="10791"/>
    <s v="10791"/>
    <s v="Jack's New England Clam Chowder"/>
    <n v="9.65"/>
    <x v="8"/>
    <x v="2"/>
    <n v="183.35"/>
    <x v="1"/>
    <d v="1996-01-23T00:00:00"/>
    <s v="1st Q 1996"/>
    <s v="1st Q 1996"/>
  </r>
  <r>
    <x v="63"/>
    <x v="63"/>
    <s v="Zbyszek"/>
    <s v="Piestrzeniewicz"/>
    <s v="Piestrzeniewicz, Zbyszek"/>
    <s v="Piestrzeniewicz, Zbyszek"/>
    <x v="0"/>
    <s v="no"/>
    <s v="no"/>
    <s v="WOLZA"/>
    <n v="10792"/>
    <x v="18"/>
    <x v="18"/>
    <s v="WOLZA_10792_Chang"/>
    <s v="10792"/>
    <s v="10792"/>
    <s v="Chang"/>
    <n v="19"/>
    <x v="1"/>
    <x v="0"/>
    <n v="190"/>
    <x v="1"/>
    <d v="1996-01-23T00:00:00"/>
    <s v="1st Q 1996"/>
    <s v="1st Q 1996"/>
  </r>
  <r>
    <x v="63"/>
    <x v="63"/>
    <s v="Zbyszek"/>
    <s v="Piestrzeniewicz"/>
    <s v="Piestrzeniewicz, Zbyszek"/>
    <s v="Piestrzeniewicz, Zbyszek"/>
    <x v="0"/>
    <s v="no"/>
    <s v="no"/>
    <s v="WOLZA"/>
    <n v="10792"/>
    <x v="55"/>
    <x v="55"/>
    <s v="WOLZA_10792_Tourtière"/>
    <s v="10792"/>
    <s v="10792"/>
    <s v="Tourtière"/>
    <n v="7.45"/>
    <x v="28"/>
    <x v="0"/>
    <n v="22.35"/>
    <x v="1"/>
    <d v="1996-01-23T00:00:00"/>
    <s v="1st Q 1996"/>
    <s v="1st Q 1996"/>
  </r>
  <r>
    <x v="63"/>
    <x v="63"/>
    <s v="Zbyszek"/>
    <s v="Piestrzeniewicz"/>
    <s v="Piestrzeniewicz, Zbyszek"/>
    <s v="Piestrzeniewicz, Zbyszek"/>
    <x v="0"/>
    <s v="no"/>
    <s v="no"/>
    <s v="WOLZA"/>
    <n v="10792"/>
    <x v="56"/>
    <x v="56"/>
    <s v="WOLZA_10792_Scottish Longbreads"/>
    <s v="10792"/>
    <s v="10792"/>
    <s v="Scottish Longbreads"/>
    <n v="12.5"/>
    <x v="6"/>
    <x v="0"/>
    <n v="187.5"/>
    <x v="1"/>
    <d v="1996-01-23T00:00:00"/>
    <s v="1st Q 1996"/>
    <s v="1st Q 1996"/>
  </r>
  <r>
    <x v="55"/>
    <x v="55"/>
    <s v="Thomas"/>
    <s v="Hardy"/>
    <s v="Hardy, Thomas"/>
    <s v="Hardy, Thomas"/>
    <x v="0"/>
    <s v="no"/>
    <s v="no"/>
    <s v="AROUT"/>
    <n v="10793"/>
    <x v="5"/>
    <x v="5"/>
    <s v="AROUT_10793_Jack's New England Clam Chowder"/>
    <s v="10793"/>
    <s v="10793"/>
    <s v="Jack's New England Clam Chowder"/>
    <n v="9.65"/>
    <x v="31"/>
    <x v="0"/>
    <n v="135.1"/>
    <x v="1"/>
    <d v="1996-01-24T00:00:00"/>
    <s v="1st Q 1996"/>
    <s v="1st Q 1996"/>
  </r>
  <r>
    <x v="55"/>
    <x v="55"/>
    <s v="Thomas"/>
    <s v="Hardy"/>
    <s v="Hardy, Thomas"/>
    <s v="Hardy, Thomas"/>
    <x v="0"/>
    <s v="no"/>
    <s v="no"/>
    <s v="AROUT"/>
    <n v="10793"/>
    <x v="65"/>
    <x v="65"/>
    <s v="AROUT_10793_Filo Mix"/>
    <s v="10793"/>
    <s v="10793"/>
    <s v="Filo Mix"/>
    <n v="7"/>
    <x v="26"/>
    <x v="0"/>
    <n v="56"/>
    <x v="1"/>
    <d v="1996-01-24T00:00:00"/>
    <s v="1st Q 1996"/>
    <s v="1st Q 1996"/>
  </r>
  <r>
    <x v="12"/>
    <x v="12"/>
    <s v="Bernardo"/>
    <s v="Batista"/>
    <s v="Batista, Bernardo"/>
    <s v="Batista, Bernardo"/>
    <x v="0"/>
    <s v="no"/>
    <s v="no"/>
    <s v="QUEDE"/>
    <n v="10794"/>
    <x v="3"/>
    <x v="3"/>
    <s v="QUEDE_10794_Tofu"/>
    <s v="10794"/>
    <s v="10794"/>
    <s v="Tofu"/>
    <n v="23.25"/>
    <x v="6"/>
    <x v="3"/>
    <n v="279"/>
    <x v="1"/>
    <d v="1996-01-24T00:00:00"/>
    <s v="1st Q 1996"/>
    <s v="1st Q 1996"/>
  </r>
  <r>
    <x v="12"/>
    <x v="12"/>
    <s v="Bernardo"/>
    <s v="Batista"/>
    <s v="Batista, Bernardo"/>
    <s v="Batista, Bernardo"/>
    <x v="0"/>
    <s v="no"/>
    <s v="no"/>
    <s v="QUEDE"/>
    <n v="10794"/>
    <x v="55"/>
    <x v="55"/>
    <s v="QUEDE_10794_Tourtière"/>
    <s v="10794"/>
    <s v="10794"/>
    <s v="Tourtière"/>
    <n v="7.45"/>
    <x v="7"/>
    <x v="3"/>
    <n v="35.760000000000005"/>
    <x v="1"/>
    <d v="1996-01-24T00:00:00"/>
    <s v="1st Q 1996"/>
    <s v="1st Q 1996"/>
  </r>
  <r>
    <x v="9"/>
    <x v="9"/>
    <s v="Roland"/>
    <s v="Mendel"/>
    <s v="Mendel, Roland"/>
    <s v="Mendel, Roland"/>
    <x v="0"/>
    <s v="no"/>
    <s v="no"/>
    <s v="ERNSH"/>
    <n v="10795"/>
    <x v="19"/>
    <x v="19"/>
    <s v="ERNSH_10795_Pavlova"/>
    <s v="10795"/>
    <s v="10795"/>
    <s v="Pavlova"/>
    <n v="17.45"/>
    <x v="14"/>
    <x v="0"/>
    <n v="1134.25"/>
    <x v="1"/>
    <d v="1996-01-24T00:00:00"/>
    <s v="1st Q 1996"/>
    <s v="1st Q 1996"/>
  </r>
  <r>
    <x v="9"/>
    <x v="9"/>
    <s v="Roland"/>
    <s v="Mendel"/>
    <s v="Mendel, Roland"/>
    <s v="Mendel, Roland"/>
    <x v="0"/>
    <s v="no"/>
    <s v="no"/>
    <s v="ERNSH"/>
    <n v="10795"/>
    <x v="35"/>
    <x v="35"/>
    <s v="ERNSH_10795_Alice Mutton"/>
    <s v="10795"/>
    <s v="10795"/>
    <s v="Alice Mutton"/>
    <n v="39"/>
    <x v="5"/>
    <x v="4"/>
    <n v="1023.75"/>
    <x v="1"/>
    <d v="1996-01-24T00:00:00"/>
    <s v="1st Q 1996"/>
    <s v="1st Q 1996"/>
  </r>
  <r>
    <x v="8"/>
    <x v="8"/>
    <s v="Carlos"/>
    <s v="Hernández"/>
    <s v="Hernández, Carlos"/>
    <s v="Hernández, Carlos"/>
    <x v="0"/>
    <s v="no"/>
    <s v="no"/>
    <s v="HILAA"/>
    <n v="10796"/>
    <x v="68"/>
    <x v="68"/>
    <s v="HILAA_10796_Gumbär Gummibärchen"/>
    <s v="10796"/>
    <s v="10796"/>
    <s v="Gumbär Gummibärchen"/>
    <n v="31.23"/>
    <x v="11"/>
    <x v="3"/>
    <n v="524.6640000000001"/>
    <x v="1"/>
    <d v="1996-01-25T00:00:00"/>
    <s v="1st Q 1996"/>
    <s v="1st Q 1996"/>
  </r>
  <r>
    <x v="8"/>
    <x v="8"/>
    <s v="Carlos"/>
    <s v="Hernández"/>
    <s v="Hernández, Carlos"/>
    <s v="Hernández, Carlos"/>
    <x v="0"/>
    <s v="no"/>
    <s v="no"/>
    <s v="HILAA"/>
    <n v="10796"/>
    <x v="45"/>
    <x v="45"/>
    <s v="HILAA_10796_Gula Malacca"/>
    <s v="10796"/>
    <s v="10796"/>
    <s v="Gula Malacca"/>
    <n v="19.45"/>
    <x v="1"/>
    <x v="0"/>
    <n v="194.5"/>
    <x v="1"/>
    <d v="1996-01-25T00:00:00"/>
    <s v="1st Q 1996"/>
    <s v="1st Q 1996"/>
  </r>
  <r>
    <x v="8"/>
    <x v="8"/>
    <s v="Carlos"/>
    <s v="Hernández"/>
    <s v="Hernández, Carlos"/>
    <s v="Hernández, Carlos"/>
    <x v="0"/>
    <s v="no"/>
    <s v="no"/>
    <s v="HILAA"/>
    <n v="10796"/>
    <x v="58"/>
    <x v="58"/>
    <s v="HILAA_10796_Wimmers gute Semmelknödel"/>
    <s v="10796"/>
    <s v="10796"/>
    <s v="Wimmers gute Semmelknödel"/>
    <n v="33.25"/>
    <x v="5"/>
    <x v="3"/>
    <n v="931"/>
    <x v="1"/>
    <d v="1996-01-25T00:00:00"/>
    <s v="1st Q 1996"/>
    <s v="1st Q 1996"/>
  </r>
  <r>
    <x v="8"/>
    <x v="8"/>
    <s v="Carlos"/>
    <s v="Hernández"/>
    <s v="Hernández, Carlos"/>
    <s v="Hernández, Carlos"/>
    <x v="0"/>
    <s v="no"/>
    <s v="no"/>
    <s v="HILAA"/>
    <n v="10796"/>
    <x v="60"/>
    <x v="60"/>
    <s v="HILAA_10796_Gudbrandsdalsost"/>
    <s v="10796"/>
    <s v="10796"/>
    <s v="Gudbrandsdalsost"/>
    <n v="36"/>
    <x v="23"/>
    <x v="3"/>
    <n v="691.2"/>
    <x v="1"/>
    <d v="1996-01-25T00:00:00"/>
    <s v="1st Q 1996"/>
    <s v="1st Q 1996"/>
  </r>
  <r>
    <x v="57"/>
    <x v="57"/>
    <s v="Sven"/>
    <s v="Ottlieb"/>
    <s v="Ottlieb, Sven"/>
    <s v="Ottlieb, Sven"/>
    <x v="0"/>
    <s v="no"/>
    <s v="no"/>
    <s v="DRACD"/>
    <n v="10797"/>
    <x v="0"/>
    <x v="0"/>
    <s v="DRACD_10797_Queso Cabrales"/>
    <s v="10797"/>
    <s v="10797"/>
    <s v="Queso Cabrales"/>
    <n v="21"/>
    <x v="8"/>
    <x v="0"/>
    <n v="420"/>
    <x v="1"/>
    <d v="1996-01-25T00:00:00"/>
    <s v="1st Q 1996"/>
    <s v="1st Q 1996"/>
  </r>
  <r>
    <x v="42"/>
    <x v="42"/>
    <s v="Helen"/>
    <s v="Bennett"/>
    <s v="Bennett, Helen"/>
    <s v="Bennett, Helen"/>
    <x v="0"/>
    <s v="no"/>
    <s v="no"/>
    <s v="ISLAT"/>
    <n v="10798"/>
    <x v="29"/>
    <x v="29"/>
    <s v="ISLAT_10798_Tarte au sucre"/>
    <s v="10798"/>
    <s v="10798"/>
    <s v="Tarte au sucre"/>
    <n v="49.3"/>
    <x v="17"/>
    <x v="0"/>
    <n v="98.6"/>
    <x v="1"/>
    <d v="1996-01-26T00:00:00"/>
    <s v="1st Q 1996"/>
    <s v="1st Q 1996"/>
  </r>
  <r>
    <x v="42"/>
    <x v="42"/>
    <s v="Helen"/>
    <s v="Bennett"/>
    <s v="Bennett, Helen"/>
    <s v="Bennett, Helen"/>
    <x v="0"/>
    <s v="no"/>
    <s v="no"/>
    <s v="ISLAT"/>
    <n v="10798"/>
    <x v="2"/>
    <x v="2"/>
    <s v="ISLAT_10798_Mozzarella di Giovanni"/>
    <s v="10798"/>
    <s v="10798"/>
    <s v="Mozzarella di Giovanni"/>
    <n v="34.799999999999997"/>
    <x v="1"/>
    <x v="0"/>
    <n v="348"/>
    <x v="1"/>
    <d v="1996-01-26T00:00:00"/>
    <s v="1st Q 1996"/>
    <s v="1st Q 1996"/>
  </r>
  <r>
    <x v="44"/>
    <x v="44"/>
    <s v="Philip"/>
    <s v="Cramer"/>
    <s v="Cramer, Philip"/>
    <s v="Cramer, Philip"/>
    <x v="0"/>
    <s v="no"/>
    <s v="no"/>
    <s v="KOENE"/>
    <n v="10799"/>
    <x v="43"/>
    <x v="43"/>
    <s v="KOENE_10799_Konbu"/>
    <s v="10799"/>
    <s v="10799"/>
    <s v="Konbu"/>
    <n v="6"/>
    <x v="8"/>
    <x v="1"/>
    <n v="102"/>
    <x v="1"/>
    <d v="1996-01-26T00:00:00"/>
    <s v="1st Q 1996"/>
    <s v="1st Q 1996"/>
  </r>
  <r>
    <x v="44"/>
    <x v="44"/>
    <s v="Philip"/>
    <s v="Cramer"/>
    <s v="Cramer, Philip"/>
    <s v="Cramer, Philip"/>
    <x v="0"/>
    <s v="no"/>
    <s v="no"/>
    <s v="KOENE"/>
    <n v="10799"/>
    <x v="15"/>
    <x v="15"/>
    <s v="KOENE_10799_Guaraná Fantástica"/>
    <s v="10799"/>
    <s v="10799"/>
    <s v="Guaraná Fantástica"/>
    <n v="4.5"/>
    <x v="8"/>
    <x v="1"/>
    <n v="76.5"/>
    <x v="1"/>
    <d v="1996-01-26T00:00:00"/>
    <s v="1st Q 1996"/>
    <s v="1st Q 1996"/>
  </r>
  <r>
    <x v="44"/>
    <x v="44"/>
    <s v="Philip"/>
    <s v="Cramer"/>
    <s v="Cramer, Philip"/>
    <s v="Cramer, Philip"/>
    <x v="0"/>
    <s v="no"/>
    <s v="no"/>
    <s v="KOENE"/>
    <n v="10799"/>
    <x v="21"/>
    <x v="21"/>
    <s v="KOENE_10799_Raclette Courdavault"/>
    <s v="10799"/>
    <s v="10799"/>
    <s v="Raclette Courdavault"/>
    <n v="55"/>
    <x v="9"/>
    <x v="0"/>
    <n v="1375"/>
    <x v="1"/>
    <d v="1996-01-26T00:00:00"/>
    <s v="1st Q 1996"/>
    <s v="1st Q 1996"/>
  </r>
  <r>
    <x v="56"/>
    <x v="56"/>
    <s v="Hari"/>
    <s v="Kumar"/>
    <s v="Kumar, Hari"/>
    <s v="Kumar, Hari"/>
    <x v="0"/>
    <s v="no"/>
    <s v="no"/>
    <s v="SEVES"/>
    <n v="10800"/>
    <x v="0"/>
    <x v="0"/>
    <s v="SEVES_10800_Queso Cabrales"/>
    <s v="10800"/>
    <s v="10800"/>
    <s v="Queso Cabrales"/>
    <n v="21"/>
    <x v="13"/>
    <x v="5"/>
    <n v="945"/>
    <x v="1"/>
    <d v="1996-01-26T00:00:00"/>
    <s v="1st Q 1996"/>
    <s v="1st Q 1996"/>
  </r>
  <r>
    <x v="56"/>
    <x v="56"/>
    <s v="Hari"/>
    <s v="Kumar"/>
    <s v="Kumar, Hari"/>
    <s v="Kumar, Hari"/>
    <x v="0"/>
    <s v="no"/>
    <s v="no"/>
    <s v="SEVES"/>
    <n v="10800"/>
    <x v="4"/>
    <x v="4"/>
    <s v="SEVES_10800_Manjimup Dried Apples"/>
    <s v="10800"/>
    <s v="10800"/>
    <s v="Manjimup Dried Apples"/>
    <n v="53"/>
    <x v="1"/>
    <x v="5"/>
    <n v="477"/>
    <x v="1"/>
    <d v="1996-01-26T00:00:00"/>
    <s v="1st Q 1996"/>
    <s v="1st Q 1996"/>
  </r>
  <r>
    <x v="56"/>
    <x v="56"/>
    <s v="Hari"/>
    <s v="Kumar"/>
    <s v="Kumar, Hari"/>
    <s v="Kumar, Hari"/>
    <x v="0"/>
    <s v="no"/>
    <s v="no"/>
    <s v="SEVES"/>
    <n v="10800"/>
    <x v="55"/>
    <x v="55"/>
    <s v="SEVES_10800_Tourtière"/>
    <s v="10800"/>
    <s v="10800"/>
    <s v="Tourtière"/>
    <n v="7.45"/>
    <x v="25"/>
    <x v="5"/>
    <n v="46.935000000000002"/>
    <x v="1"/>
    <d v="1996-01-26T00:00:00"/>
    <s v="1st Q 1996"/>
    <s v="1st Q 1996"/>
  </r>
  <r>
    <x v="46"/>
    <x v="46"/>
    <s v="Martín"/>
    <s v="Sommer"/>
    <s v="Sommer, Martín"/>
    <s v="Sommer, Martín"/>
    <x v="0"/>
    <s v="no"/>
    <s v="no"/>
    <s v="BOLID"/>
    <n v="10801"/>
    <x v="35"/>
    <x v="35"/>
    <s v="BOLID_10801_Alice Mutton"/>
    <s v="10801"/>
    <s v="10801"/>
    <s v="Alice Mutton"/>
    <n v="39"/>
    <x v="4"/>
    <x v="4"/>
    <n v="1170"/>
    <x v="1"/>
    <d v="1996-01-29T00:00:00"/>
    <s v="1st Q 1996"/>
    <s v="1st Q 1996"/>
  </r>
  <r>
    <x v="46"/>
    <x v="46"/>
    <s v="Martín"/>
    <s v="Sommer"/>
    <s v="Sommer, Martín"/>
    <s v="Sommer, Martín"/>
    <x v="0"/>
    <s v="no"/>
    <s v="no"/>
    <s v="BOLID"/>
    <n v="10801"/>
    <x v="39"/>
    <x v="39"/>
    <s v="BOLID_10801_Thüringer Rostbratwurst"/>
    <s v="10801"/>
    <s v="10801"/>
    <s v="Thüringer Rostbratwurst"/>
    <n v="123.79"/>
    <x v="8"/>
    <x v="4"/>
    <n v="1856.8500000000001"/>
    <x v="1"/>
    <d v="1996-01-29T00:00:00"/>
    <s v="1st Q 1996"/>
    <s v="1st Q 1996"/>
  </r>
  <r>
    <x v="51"/>
    <x v="51"/>
    <s v="Jytte"/>
    <s v="Petersen"/>
    <s v="Petersen, Jytte"/>
    <s v="Petersen, Jytte"/>
    <x v="0"/>
    <s v="no"/>
    <s v="no"/>
    <s v="SIMOB"/>
    <n v="10802"/>
    <x v="34"/>
    <x v="34"/>
    <s v="SIMOB_10802_Nord-Ost Matjeshering"/>
    <s v="10802"/>
    <s v="10802"/>
    <s v="Nord-Ost Matjeshering"/>
    <n v="25.89"/>
    <x v="9"/>
    <x v="4"/>
    <n v="485.4375"/>
    <x v="1"/>
    <d v="1996-01-29T00:00:00"/>
    <s v="1st Q 1996"/>
    <s v="1st Q 1996"/>
  </r>
  <r>
    <x v="51"/>
    <x v="51"/>
    <s v="Jytte"/>
    <s v="Petersen"/>
    <s v="Petersen, Jytte"/>
    <s v="Petersen, Jytte"/>
    <x v="0"/>
    <s v="no"/>
    <s v="no"/>
    <s v="SIMOB"/>
    <n v="10802"/>
    <x v="4"/>
    <x v="4"/>
    <s v="SIMOB_10802_Manjimup Dried Apples"/>
    <s v="10802"/>
    <s v="10802"/>
    <s v="Manjimup Dried Apples"/>
    <n v="53"/>
    <x v="12"/>
    <x v="4"/>
    <n v="1192.5"/>
    <x v="1"/>
    <d v="1996-01-29T00:00:00"/>
    <s v="1st Q 1996"/>
    <s v="1st Q 1996"/>
  </r>
  <r>
    <x v="51"/>
    <x v="51"/>
    <s v="Jytte"/>
    <s v="Petersen"/>
    <s v="Petersen, Jytte"/>
    <s v="Petersen, Jytte"/>
    <x v="0"/>
    <s v="no"/>
    <s v="no"/>
    <s v="SIMOB"/>
    <n v="10802"/>
    <x v="16"/>
    <x v="16"/>
    <s v="SIMOB_10802_Pâté chinois"/>
    <s v="10802"/>
    <s v="10802"/>
    <s v="Pâté chinois"/>
    <n v="24"/>
    <x v="18"/>
    <x v="4"/>
    <n v="1080"/>
    <x v="1"/>
    <d v="1996-01-29T00:00:00"/>
    <s v="1st Q 1996"/>
    <s v="1st Q 1996"/>
  </r>
  <r>
    <x v="51"/>
    <x v="51"/>
    <s v="Jytte"/>
    <s v="Petersen"/>
    <s v="Petersen, Jytte"/>
    <s v="Petersen, Jytte"/>
    <x v="0"/>
    <s v="no"/>
    <s v="no"/>
    <s v="SIMOB"/>
    <n v="10802"/>
    <x v="29"/>
    <x v="29"/>
    <s v="SIMOB_10802_Tarte au sucre"/>
    <s v="10802"/>
    <s v="10802"/>
    <s v="Tarte au sucre"/>
    <n v="49.3"/>
    <x v="2"/>
    <x v="4"/>
    <n v="184.875"/>
    <x v="1"/>
    <d v="1996-01-29T00:00:00"/>
    <s v="1st Q 1996"/>
    <s v="1st Q 1996"/>
  </r>
  <r>
    <x v="7"/>
    <x v="7"/>
    <s v="Paula"/>
    <s v="Parente"/>
    <s v="Parente, Paula"/>
    <s v="Parente, Paula"/>
    <x v="0"/>
    <s v="no"/>
    <s v="no"/>
    <s v="WELLI"/>
    <n v="10803"/>
    <x v="49"/>
    <x v="49"/>
    <s v="WELLI_10803_Teatime Chocolate Biscuits"/>
    <s v="10803"/>
    <s v="10803"/>
    <s v="Teatime Chocolate Biscuits"/>
    <n v="9.1999999999999993"/>
    <x v="23"/>
    <x v="2"/>
    <n v="209.75999999999996"/>
    <x v="1"/>
    <d v="1996-01-30T00:00:00"/>
    <s v="1st Q 1996"/>
    <s v="1st Q 1996"/>
  </r>
  <r>
    <x v="7"/>
    <x v="7"/>
    <s v="Paula"/>
    <s v="Parente"/>
    <s v="Parente, Paula"/>
    <s v="Parente, Paula"/>
    <x v="0"/>
    <s v="no"/>
    <s v="no"/>
    <s v="WELLI"/>
    <n v="10803"/>
    <x v="66"/>
    <x v="66"/>
    <s v="WELLI_10803_NuNuCa Nuß-Nougat-Creme"/>
    <s v="10803"/>
    <s v="10803"/>
    <s v="NuNuCa Nuß-Nougat-Creme"/>
    <n v="14"/>
    <x v="6"/>
    <x v="2"/>
    <n v="199.5"/>
    <x v="1"/>
    <d v="1996-01-30T00:00:00"/>
    <s v="1st Q 1996"/>
    <s v="1st Q 1996"/>
  </r>
  <r>
    <x v="7"/>
    <x v="7"/>
    <s v="Paula"/>
    <s v="Parente"/>
    <s v="Parente, Paula"/>
    <s v="Parente, Paula"/>
    <x v="0"/>
    <s v="no"/>
    <s v="no"/>
    <s v="WELLI"/>
    <n v="10803"/>
    <x v="21"/>
    <x v="21"/>
    <s v="WELLI_10803_Raclette Courdavault"/>
    <s v="10803"/>
    <s v="10803"/>
    <s v="Raclette Courdavault"/>
    <n v="55"/>
    <x v="6"/>
    <x v="2"/>
    <n v="783.75"/>
    <x v="1"/>
    <d v="1996-01-30T00:00:00"/>
    <s v="1st Q 1996"/>
    <s v="1st Q 1996"/>
  </r>
  <r>
    <x v="56"/>
    <x v="56"/>
    <s v="Hari"/>
    <s v="Kumar"/>
    <s v="Kumar, Hari"/>
    <s v="Kumar, Hari"/>
    <x v="0"/>
    <s v="no"/>
    <s v="no"/>
    <s v="SEVES"/>
    <n v="10804"/>
    <x v="41"/>
    <x v="41"/>
    <s v="SEVES_10804_Ikura"/>
    <s v="10804"/>
    <s v="10804"/>
    <s v="Ikura"/>
    <n v="31"/>
    <x v="20"/>
    <x v="0"/>
    <n v="1116"/>
    <x v="1"/>
    <d v="1996-01-30T00:00:00"/>
    <s v="1st Q 1996"/>
    <s v="1st Q 1996"/>
  </r>
  <r>
    <x v="56"/>
    <x v="56"/>
    <s v="Hari"/>
    <s v="Kumar"/>
    <s v="Kumar, Hari"/>
    <s v="Kumar, Hari"/>
    <x v="0"/>
    <s v="no"/>
    <s v="no"/>
    <s v="SEVES"/>
    <n v="10804"/>
    <x v="44"/>
    <x v="44"/>
    <s v="SEVES_10804_Rössle Sauerkraut"/>
    <s v="10804"/>
    <s v="10804"/>
    <s v="Rössle Sauerkraut"/>
    <n v="45.6"/>
    <x v="23"/>
    <x v="0"/>
    <n v="1094.4000000000001"/>
    <x v="1"/>
    <d v="1996-01-30T00:00:00"/>
    <s v="1st Q 1996"/>
    <s v="1st Q 1996"/>
  </r>
  <r>
    <x v="56"/>
    <x v="56"/>
    <s v="Hari"/>
    <s v="Kumar"/>
    <s v="Kumar, Hari"/>
    <s v="Kumar, Hari"/>
    <x v="0"/>
    <s v="no"/>
    <s v="no"/>
    <s v="SEVES"/>
    <n v="10804"/>
    <x v="14"/>
    <x v="14"/>
    <s v="SEVES_10804_Maxilaku"/>
    <s v="10804"/>
    <s v="10804"/>
    <s v="Maxilaku"/>
    <n v="20"/>
    <x v="22"/>
    <x v="1"/>
    <n v="68"/>
    <x v="1"/>
    <d v="1996-01-30T00:00:00"/>
    <s v="1st Q 1996"/>
    <s v="1st Q 1996"/>
  </r>
  <r>
    <x v="40"/>
    <x v="40"/>
    <s v="Liz"/>
    <s v="Nixon"/>
    <s v="Nixon, Liz"/>
    <s v="Nixon, Liz"/>
    <x v="0"/>
    <s v="no"/>
    <s v="no"/>
    <s v="THEBI"/>
    <n v="10805"/>
    <x v="53"/>
    <x v="53"/>
    <s v="THEBI_10805_Sasquatch Ale"/>
    <s v="10805"/>
    <s v="10805"/>
    <s v="Sasquatch Ale"/>
    <n v="14"/>
    <x v="1"/>
    <x v="0"/>
    <n v="140"/>
    <x v="1"/>
    <d v="1996-01-30T00:00:00"/>
    <s v="1st Q 1996"/>
    <s v="1st Q 1996"/>
  </r>
  <r>
    <x v="40"/>
    <x v="40"/>
    <s v="Liz"/>
    <s v="Nixon"/>
    <s v="Nixon, Liz"/>
    <s v="Nixon, Liz"/>
    <x v="0"/>
    <s v="no"/>
    <s v="moderate"/>
    <s v="THEBI"/>
    <n v="10805"/>
    <x v="67"/>
    <x v="67"/>
    <s v="THEBI_10805_Côte de Blaye"/>
    <s v="10805"/>
    <s v="10805"/>
    <s v="Côte de Blaye"/>
    <n v="263.5"/>
    <x v="1"/>
    <x v="0"/>
    <n v="2635"/>
    <x v="1"/>
    <d v="1996-01-30T00:00:00"/>
    <s v="1st Q 1996"/>
    <s v="1st Q 1996"/>
  </r>
  <r>
    <x v="3"/>
    <x v="3"/>
    <s v="Mary"/>
    <s v="Saveley"/>
    <s v="Saveley, Mary"/>
    <s v="Saveley, Mary"/>
    <x v="0"/>
    <s v="no"/>
    <s v="no"/>
    <s v="VICTE"/>
    <n v="10806"/>
    <x v="18"/>
    <x v="18"/>
    <s v="VICTE_10806_Chang"/>
    <s v="10806"/>
    <s v="10806"/>
    <s v="Chang"/>
    <n v="19"/>
    <x v="8"/>
    <x v="4"/>
    <n v="285"/>
    <x v="1"/>
    <d v="1996-01-31T00:00:00"/>
    <s v="1st Q 1996"/>
    <s v="1st Q 1996"/>
  </r>
  <r>
    <x v="3"/>
    <x v="3"/>
    <s v="Mary"/>
    <s v="Saveley"/>
    <s v="Saveley, Mary"/>
    <s v="Saveley, Mary"/>
    <x v="0"/>
    <s v="no"/>
    <s v="no"/>
    <s v="VICTE"/>
    <n v="10806"/>
    <x v="6"/>
    <x v="6"/>
    <s v="VICTE_10806_Louisiana Fiery Hot Pepper Sauce"/>
    <s v="10806"/>
    <s v="10806"/>
    <s v="Louisiana Fiery Hot Pepper Sauce"/>
    <n v="21.05"/>
    <x v="17"/>
    <x v="0"/>
    <n v="42.1"/>
    <x v="1"/>
    <d v="1996-01-31T00:00:00"/>
    <s v="1st Q 1996"/>
    <s v="1st Q 1996"/>
  </r>
  <r>
    <x v="3"/>
    <x v="3"/>
    <s v="Mary"/>
    <s v="Saveley"/>
    <s v="Saveley, Mary"/>
    <s v="Saveley, Mary"/>
    <x v="0"/>
    <s v="no"/>
    <s v="no"/>
    <s v="VICTE"/>
    <n v="10806"/>
    <x v="17"/>
    <x v="17"/>
    <s v="VICTE_10806_Longlife Tofu"/>
    <s v="10806"/>
    <s v="10806"/>
    <s v="Longlife Tofu"/>
    <n v="10"/>
    <x v="6"/>
    <x v="4"/>
    <n v="112.5"/>
    <x v="1"/>
    <d v="1996-01-31T00:00:00"/>
    <s v="1st Q 1996"/>
    <s v="1st Q 1996"/>
  </r>
  <r>
    <x v="70"/>
    <x v="70"/>
    <s v="Paolo"/>
    <s v="Accorti"/>
    <s v="Accorti, Paolo"/>
    <s v="Accorti, Paolo"/>
    <x v="0"/>
    <s v="no"/>
    <s v="no"/>
    <s v="FRANS"/>
    <n v="10807"/>
    <x v="37"/>
    <x v="37"/>
    <s v="FRANS_10807_Boston Crab Meat"/>
    <s v="10807"/>
    <s v="10807"/>
    <s v="Boston Crab Meat"/>
    <n v="18.399999999999999"/>
    <x v="15"/>
    <x v="0"/>
    <n v="18.399999999999999"/>
    <x v="1"/>
    <d v="1996-01-31T00:00:00"/>
    <s v="1st Q 1996"/>
    <s v="1st Q 1996"/>
  </r>
  <r>
    <x v="37"/>
    <x v="37"/>
    <s v="Rene"/>
    <s v="Phillips"/>
    <s v="Phillips, Rene"/>
    <s v="Phillips, Rene"/>
    <x v="0"/>
    <s v="no"/>
    <s v="no"/>
    <s v="OLDWO"/>
    <n v="10808"/>
    <x v="33"/>
    <x v="33"/>
    <s v="OLDWO_10808_Gnocchi di nonna Alice"/>
    <s v="10808"/>
    <s v="10808"/>
    <s v="Gnocchi di nonna Alice"/>
    <n v="38"/>
    <x v="8"/>
    <x v="1"/>
    <n v="646"/>
    <x v="1"/>
    <d v="1996-02-01T00:00:00"/>
    <s v="1st Q 1996"/>
    <s v="1st Q 1996"/>
  </r>
  <r>
    <x v="37"/>
    <x v="37"/>
    <s v="Rene"/>
    <s v="Phillips"/>
    <s v="Phillips, Rene"/>
    <s v="Phillips, Rene"/>
    <x v="0"/>
    <s v="no"/>
    <s v="no"/>
    <s v="OLDWO"/>
    <n v="10808"/>
    <x v="38"/>
    <x v="38"/>
    <s v="OLDWO_10808_Lakkalikööri"/>
    <s v="10808"/>
    <s v="10808"/>
    <s v="Lakkalikööri"/>
    <n v="18"/>
    <x v="13"/>
    <x v="1"/>
    <n v="765"/>
    <x v="1"/>
    <d v="1996-02-01T00:00:00"/>
    <s v="1st Q 1996"/>
    <s v="1st Q 1996"/>
  </r>
  <r>
    <x v="7"/>
    <x v="7"/>
    <s v="Paula"/>
    <s v="Parente"/>
    <s v="Parente, Paula"/>
    <s v="Parente, Paula"/>
    <x v="0"/>
    <s v="no"/>
    <s v="no"/>
    <s v="WELLI"/>
    <n v="10809"/>
    <x v="65"/>
    <x v="65"/>
    <s v="WELLI_10809_Filo Mix"/>
    <s v="10809"/>
    <s v="10809"/>
    <s v="Filo Mix"/>
    <n v="7"/>
    <x v="8"/>
    <x v="0"/>
    <n v="140"/>
    <x v="1"/>
    <d v="1996-02-01T00:00:00"/>
    <s v="1st Q 1996"/>
    <s v="1st Q 1996"/>
  </r>
  <r>
    <x v="75"/>
    <x v="75"/>
    <s v="Yoshi"/>
    <s v="Tannamuri"/>
    <s v="Tannamuri, Yoshi"/>
    <s v="Tannamuri, Yoshi"/>
    <x v="0"/>
    <s v="no"/>
    <s v="no"/>
    <s v="LAUGB"/>
    <n v="10810"/>
    <x v="43"/>
    <x v="43"/>
    <s v="LAUGB_10810_Konbu"/>
    <s v="10810"/>
    <s v="10810"/>
    <s v="Konbu"/>
    <n v="6"/>
    <x v="25"/>
    <x v="0"/>
    <n v="42"/>
    <x v="1"/>
    <d v="1996-02-01T00:00:00"/>
    <s v="1st Q 1996"/>
    <s v="1st Q 1996"/>
  </r>
  <r>
    <x v="75"/>
    <x v="75"/>
    <s v="Yoshi"/>
    <s v="Tannamuri"/>
    <s v="Tannamuri, Yoshi"/>
    <s v="Tannamuri, Yoshi"/>
    <x v="0"/>
    <s v="no"/>
    <s v="no"/>
    <s v="LAUGB"/>
    <n v="10810"/>
    <x v="66"/>
    <x v="66"/>
    <s v="LAUGB_10810_NuNuCa Nuß-Nougat-Creme"/>
    <s v="10810"/>
    <s v="10810"/>
    <s v="NuNuCa Nuß-Nougat-Creme"/>
    <n v="14"/>
    <x v="2"/>
    <x v="0"/>
    <n v="70"/>
    <x v="1"/>
    <d v="1996-02-01T00:00:00"/>
    <s v="1st Q 1996"/>
    <s v="1st Q 1996"/>
  </r>
  <r>
    <x v="75"/>
    <x v="75"/>
    <s v="Yoshi"/>
    <s v="Tannamuri"/>
    <s v="Tannamuri, Yoshi"/>
    <s v="Tannamuri, Yoshi"/>
    <x v="0"/>
    <s v="no"/>
    <s v="no"/>
    <s v="LAUGB"/>
    <n v="10810"/>
    <x v="30"/>
    <x v="30"/>
    <s v="LAUGB_10810_Outback Lager"/>
    <s v="10810"/>
    <s v="10810"/>
    <s v="Outback Lager"/>
    <n v="15"/>
    <x v="2"/>
    <x v="0"/>
    <n v="75"/>
    <x v="1"/>
    <d v="1996-02-01T00:00:00"/>
    <s v="1st Q 1996"/>
    <s v="1st Q 1996"/>
  </r>
  <r>
    <x v="67"/>
    <x v="67"/>
    <s v="Felipe"/>
    <s v="Izquierdo"/>
    <s v="Izquierdo, Felipe"/>
    <s v="Izquierdo, Felipe"/>
    <x v="0"/>
    <s v="no"/>
    <s v="no"/>
    <s v="LINOD"/>
    <n v="10811"/>
    <x v="49"/>
    <x v="49"/>
    <s v="LINOD_10811_Teatime Chocolate Biscuits"/>
    <s v="10811"/>
    <s v="10811"/>
    <s v="Teatime Chocolate Biscuits"/>
    <n v="9.1999999999999993"/>
    <x v="6"/>
    <x v="0"/>
    <n v="138"/>
    <x v="1"/>
    <d v="1996-02-02T00:00:00"/>
    <s v="1st Q 1996"/>
    <s v="1st Q 1996"/>
  </r>
  <r>
    <x v="67"/>
    <x v="67"/>
    <s v="Felipe"/>
    <s v="Izquierdo"/>
    <s v="Izquierdo, Felipe"/>
    <s v="Izquierdo, Felipe"/>
    <x v="0"/>
    <s v="no"/>
    <s v="no"/>
    <s v="LINOD"/>
    <n v="10811"/>
    <x v="70"/>
    <x v="70"/>
    <s v="LINOD_10811_Tunnbröd"/>
    <s v="10811"/>
    <s v="10811"/>
    <s v="Tunnbröd"/>
    <n v="9"/>
    <x v="27"/>
    <x v="0"/>
    <n v="162"/>
    <x v="1"/>
    <d v="1996-02-02T00:00:00"/>
    <s v="1st Q 1996"/>
    <s v="1st Q 1996"/>
  </r>
  <r>
    <x v="67"/>
    <x v="67"/>
    <s v="Felipe"/>
    <s v="Izquierdo"/>
    <s v="Izquierdo, Felipe"/>
    <s v="Izquierdo, Felipe"/>
    <x v="0"/>
    <s v="no"/>
    <s v="no"/>
    <s v="LINOD"/>
    <n v="10811"/>
    <x v="37"/>
    <x v="37"/>
    <s v="LINOD_10811_Boston Crab Meat"/>
    <s v="10811"/>
    <s v="10811"/>
    <s v="Boston Crab Meat"/>
    <n v="18.399999999999999"/>
    <x v="12"/>
    <x v="0"/>
    <n v="552"/>
    <x v="1"/>
    <d v="1996-02-02T00:00:00"/>
    <s v="1st Q 1996"/>
    <s v="1st Q 1996"/>
  </r>
  <r>
    <x v="30"/>
    <x v="30"/>
    <s v="Maurizio"/>
    <s v="Moroni"/>
    <s v="Moroni, Maurizio"/>
    <s v="Moroni, Maurizio"/>
    <x v="0"/>
    <s v="no"/>
    <s v="no"/>
    <s v="REGGC"/>
    <n v="10812"/>
    <x v="12"/>
    <x v="12"/>
    <s v="REGGC_10812_Gorgonzola Telino"/>
    <s v="10812"/>
    <s v="10812"/>
    <s v="Gorgonzola Telino"/>
    <n v="12.5"/>
    <x v="16"/>
    <x v="5"/>
    <n v="180"/>
    <x v="1"/>
    <d v="1996-02-02T00:00:00"/>
    <s v="1st Q 1996"/>
    <s v="1st Q 1996"/>
  </r>
  <r>
    <x v="30"/>
    <x v="30"/>
    <s v="Maurizio"/>
    <s v="Moroni"/>
    <s v="Moroni, Maurizio"/>
    <s v="Moroni, Maurizio"/>
    <x v="0"/>
    <s v="no"/>
    <s v="no"/>
    <s v="REGGC"/>
    <n v="10812"/>
    <x v="2"/>
    <x v="2"/>
    <s v="REGGC_10812_Mozzarella di Giovanni"/>
    <s v="10812"/>
    <s v="10812"/>
    <s v="Mozzarella di Giovanni"/>
    <n v="34.799999999999997"/>
    <x v="4"/>
    <x v="5"/>
    <n v="1252.8"/>
    <x v="1"/>
    <d v="1996-02-02T00:00:00"/>
    <s v="1st Q 1996"/>
    <s v="1st Q 1996"/>
  </r>
  <r>
    <x v="30"/>
    <x v="30"/>
    <s v="Maurizio"/>
    <s v="Moroni"/>
    <s v="Moroni, Maurizio"/>
    <s v="Moroni, Maurizio"/>
    <x v="0"/>
    <s v="no"/>
    <s v="no"/>
    <s v="REGGC"/>
    <n v="10812"/>
    <x v="23"/>
    <x v="23"/>
    <s v="REGGC_10812_Original Frankfurter grüne Soße"/>
    <s v="10812"/>
    <s v="10812"/>
    <s v="Original Frankfurter grüne Soße"/>
    <n v="13"/>
    <x v="8"/>
    <x v="0"/>
    <n v="260"/>
    <x v="1"/>
    <d v="1996-02-02T00:00:00"/>
    <s v="1st Q 1996"/>
    <s v="1st Q 1996"/>
  </r>
  <r>
    <x v="29"/>
    <x v="29"/>
    <s v="Janete"/>
    <s v="Limeira"/>
    <s v="Limeira, Janete"/>
    <s v="Limeira, Janete"/>
    <x v="0"/>
    <s v="no"/>
    <s v="no"/>
    <s v="RICAR"/>
    <n v="10813"/>
    <x v="18"/>
    <x v="18"/>
    <s v="RICAR_10813_Chang"/>
    <s v="10813"/>
    <s v="10813"/>
    <s v="Chang"/>
    <n v="19"/>
    <x v="0"/>
    <x v="3"/>
    <n v="182.4"/>
    <x v="1"/>
    <d v="1996-02-05T00:00:00"/>
    <s v="1st Q 1996"/>
    <s v="1st Q 1996"/>
  </r>
  <r>
    <x v="29"/>
    <x v="29"/>
    <s v="Janete"/>
    <s v="Limeira"/>
    <s v="Limeira, Janete"/>
    <s v="Limeira, Janete"/>
    <x v="0"/>
    <s v="no"/>
    <s v="no"/>
    <s v="RICAR"/>
    <n v="10813"/>
    <x v="54"/>
    <x v="54"/>
    <s v="RICAR_10813_Spegesild"/>
    <s v="10813"/>
    <s v="10813"/>
    <s v="Spegesild"/>
    <n v="12"/>
    <x v="5"/>
    <x v="0"/>
    <n v="420"/>
    <x v="1"/>
    <d v="1996-02-05T00:00:00"/>
    <s v="1st Q 1996"/>
    <s v="1st Q 1996"/>
  </r>
  <r>
    <x v="3"/>
    <x v="3"/>
    <s v="Mary"/>
    <s v="Saveley"/>
    <s v="Saveley, Mary"/>
    <s v="Saveley, Mary"/>
    <x v="0"/>
    <s v="no"/>
    <s v="no"/>
    <s v="VICTE"/>
    <n v="10814"/>
    <x v="5"/>
    <x v="5"/>
    <s v="VICTE_10814_Jack's New England Clam Chowder"/>
    <s v="10814"/>
    <s v="10814"/>
    <s v="Jack's New England Clam Chowder"/>
    <n v="9.65"/>
    <x v="8"/>
    <x v="0"/>
    <n v="193"/>
    <x v="1"/>
    <d v="1996-02-05T00:00:00"/>
    <s v="1st Q 1996"/>
    <s v="1st Q 1996"/>
  </r>
  <r>
    <x v="3"/>
    <x v="3"/>
    <s v="Mary"/>
    <s v="Saveley"/>
    <s v="Saveley, Mary"/>
    <s v="Saveley, Mary"/>
    <x v="0"/>
    <s v="no"/>
    <s v="no"/>
    <s v="VICTE"/>
    <n v="10814"/>
    <x v="40"/>
    <x v="40"/>
    <s v="VICTE_10814_Ipoh Coffee"/>
    <s v="10814"/>
    <s v="10814"/>
    <s v="Ipoh Coffee"/>
    <n v="46"/>
    <x v="8"/>
    <x v="1"/>
    <n v="782"/>
    <x v="1"/>
    <d v="1996-02-05T00:00:00"/>
    <s v="1st Q 1996"/>
    <s v="1st Q 1996"/>
  </r>
  <r>
    <x v="3"/>
    <x v="3"/>
    <s v="Mary"/>
    <s v="Saveley"/>
    <s v="Saveley, Mary"/>
    <s v="Saveley, Mary"/>
    <x v="0"/>
    <s v="no"/>
    <s v="no"/>
    <s v="VICTE"/>
    <n v="10814"/>
    <x v="74"/>
    <x v="74"/>
    <s v="VICTE_10814_Chocolade"/>
    <s v="10814"/>
    <s v="10814"/>
    <s v="Chocolade"/>
    <n v="12.75"/>
    <x v="26"/>
    <x v="1"/>
    <n v="86.7"/>
    <x v="1"/>
    <d v="1996-02-05T00:00:00"/>
    <s v="1st Q 1996"/>
    <s v="1st Q 1996"/>
  </r>
  <r>
    <x v="3"/>
    <x v="3"/>
    <s v="Mary"/>
    <s v="Saveley"/>
    <s v="Saveley, Mary"/>
    <s v="Saveley, Mary"/>
    <x v="0"/>
    <s v="no"/>
    <s v="no"/>
    <s v="VICTE"/>
    <n v="10814"/>
    <x v="75"/>
    <x v="75"/>
    <s v="VICTE_10814_Sirop d'érable"/>
    <s v="10814"/>
    <s v="10814"/>
    <s v="Sirop d'érable"/>
    <n v="28.5"/>
    <x v="12"/>
    <x v="1"/>
    <n v="726.75"/>
    <x v="1"/>
    <d v="1996-02-05T00:00:00"/>
    <s v="1st Q 1996"/>
    <s v="1st Q 1996"/>
  </r>
  <r>
    <x v="45"/>
    <x v="45"/>
    <s v="Jose"/>
    <s v="Pavarotti"/>
    <s v="Pavarotti, Jose"/>
    <s v="Pavarotti, Jose"/>
    <x v="0"/>
    <s v="no"/>
    <s v="no"/>
    <s v="SAVEA"/>
    <n v="10815"/>
    <x v="10"/>
    <x v="10"/>
    <s v="SAVEA_10815_Geitost"/>
    <s v="10815"/>
    <s v="10815"/>
    <s v="Geitost"/>
    <n v="2.5"/>
    <x v="16"/>
    <x v="0"/>
    <n v="40"/>
    <x v="1"/>
    <d v="1996-02-05T00:00:00"/>
    <s v="1st Q 1996"/>
    <s v="1st Q 1996"/>
  </r>
  <r>
    <x v="79"/>
    <x v="79"/>
    <s v="Howard"/>
    <s v="Snyder"/>
    <s v="Snyder, Howard"/>
    <s v="Snyder, Howard"/>
    <x v="1"/>
    <s v="yes"/>
    <s v="yes"/>
    <s v="GREAL"/>
    <n v="10816"/>
    <x v="67"/>
    <x v="67"/>
    <s v="GREAL_10816_Côte de Blaye"/>
    <s v="10816"/>
    <s v="10816"/>
    <s v="Côte de Blaye"/>
    <n v="263.5"/>
    <x v="12"/>
    <x v="2"/>
    <n v="7509.75"/>
    <x v="1"/>
    <d v="1996-02-06T00:00:00"/>
    <s v="1st Q 1996"/>
    <s v="1st Q 1996"/>
  </r>
  <r>
    <x v="79"/>
    <x v="79"/>
    <s v="Howard"/>
    <s v="Snyder"/>
    <s v="Snyder, Howard"/>
    <s v="Snyder, Howard"/>
    <x v="0"/>
    <s v="no"/>
    <s v="no"/>
    <s v="GREAL"/>
    <n v="10816"/>
    <x v="29"/>
    <x v="29"/>
    <s v="GREAL_10816_Tarte au sucre"/>
    <s v="10816"/>
    <s v="10816"/>
    <s v="Tarte au sucre"/>
    <n v="49.3"/>
    <x v="8"/>
    <x v="2"/>
    <n v="936.69999999999993"/>
    <x v="1"/>
    <d v="1996-02-06T00:00:00"/>
    <s v="1st Q 1996"/>
    <s v="1st Q 1996"/>
  </r>
  <r>
    <x v="44"/>
    <x v="44"/>
    <s v="Philip"/>
    <s v="Cramer"/>
    <s v="Cramer, Philip"/>
    <s v="Cramer, Philip"/>
    <x v="0"/>
    <s v="no"/>
    <s v="no"/>
    <s v="KOENE"/>
    <n v="10817"/>
    <x v="68"/>
    <x v="68"/>
    <s v="KOENE_10817_Gumbär Gummibärchen"/>
    <s v="10817"/>
    <s v="10817"/>
    <s v="Gumbär Gummibärchen"/>
    <n v="31.23"/>
    <x v="4"/>
    <x v="1"/>
    <n v="1061.82"/>
    <x v="1"/>
    <d v="1996-02-06T00:00:00"/>
    <s v="1st Q 1996"/>
    <s v="1st Q 1996"/>
  </r>
  <r>
    <x v="44"/>
    <x v="44"/>
    <s v="Philip"/>
    <s v="Cramer"/>
    <s v="Cramer, Philip"/>
    <s v="Cramer, Philip"/>
    <x v="1"/>
    <s v="yes"/>
    <s v="yes"/>
    <s v="KOENE"/>
    <n v="10817"/>
    <x v="67"/>
    <x v="67"/>
    <s v="KOENE_10817_Côte de Blaye"/>
    <s v="10817"/>
    <s v="10817"/>
    <s v="Côte de Blaye"/>
    <n v="263.5"/>
    <x v="12"/>
    <x v="0"/>
    <n v="7905"/>
    <x v="1"/>
    <d v="1996-02-06T00:00:00"/>
    <s v="1st Q 1996"/>
    <s v="1st Q 1996"/>
  </r>
  <r>
    <x v="44"/>
    <x v="44"/>
    <s v="Philip"/>
    <s v="Cramer"/>
    <s v="Cramer, Philip"/>
    <s v="Cramer, Philip"/>
    <x v="0"/>
    <s v="no"/>
    <s v="no"/>
    <s v="KOENE"/>
    <n v="10817"/>
    <x v="37"/>
    <x v="37"/>
    <s v="KOENE_10817_Boston Crab Meat"/>
    <s v="10817"/>
    <s v="10817"/>
    <s v="Boston Crab Meat"/>
    <n v="18.399999999999999"/>
    <x v="18"/>
    <x v="1"/>
    <n v="938.4"/>
    <x v="1"/>
    <d v="1996-02-06T00:00:00"/>
    <s v="1st Q 1996"/>
    <s v="1st Q 1996"/>
  </r>
  <r>
    <x v="44"/>
    <x v="44"/>
    <s v="Philip"/>
    <s v="Cramer"/>
    <s v="Cramer, Philip"/>
    <s v="Cramer, Philip"/>
    <x v="0"/>
    <s v="no"/>
    <s v="no"/>
    <s v="KOENE"/>
    <n v="10817"/>
    <x v="29"/>
    <x v="29"/>
    <s v="KOENE_10817_Tarte au sucre"/>
    <s v="10817"/>
    <s v="10817"/>
    <s v="Tarte au sucre"/>
    <n v="49.3"/>
    <x v="9"/>
    <x v="1"/>
    <n v="1047.625"/>
    <x v="1"/>
    <d v="1996-02-06T00:00:00"/>
    <s v="1st Q 1996"/>
    <s v="1st Q 1996"/>
  </r>
  <r>
    <x v="22"/>
    <x v="22"/>
    <s v="Giovanni"/>
    <s v="Rovelli"/>
    <s v="Rovelli, Giovanni"/>
    <s v="Rovelli, Giovanni"/>
    <x v="0"/>
    <s v="no"/>
    <s v="no"/>
    <s v="MAGAA"/>
    <n v="10818"/>
    <x v="26"/>
    <x v="26"/>
    <s v="MAGAA_10818_Mascarpone Fabioli"/>
    <s v="10818"/>
    <s v="10818"/>
    <s v="Mascarpone Fabioli"/>
    <n v="32"/>
    <x v="8"/>
    <x v="0"/>
    <n v="640"/>
    <x v="1"/>
    <d v="1996-02-07T00:00:00"/>
    <s v="1st Q 1996"/>
    <s v="1st Q 1996"/>
  </r>
  <r>
    <x v="22"/>
    <x v="22"/>
    <s v="Giovanni"/>
    <s v="Rovelli"/>
    <s v="Rovelli, Giovanni"/>
    <s v="Rovelli, Giovanni"/>
    <x v="0"/>
    <s v="no"/>
    <s v="no"/>
    <s v="MAGAA"/>
    <n v="10818"/>
    <x v="5"/>
    <x v="5"/>
    <s v="MAGAA_10818_Jack's New England Clam Chowder"/>
    <s v="10818"/>
    <s v="10818"/>
    <s v="Jack's New England Clam Chowder"/>
    <n v="9.65"/>
    <x v="8"/>
    <x v="0"/>
    <n v="193"/>
    <x v="1"/>
    <d v="1996-02-07T00:00:00"/>
    <s v="1st Q 1996"/>
    <s v="1st Q 1996"/>
  </r>
  <r>
    <x v="78"/>
    <x v="78"/>
    <s v="Patricio"/>
    <s v="Simpson"/>
    <s v="Simpson, Patricio"/>
    <s v="Simpson, Patricio"/>
    <x v="0"/>
    <s v="no"/>
    <s v="no"/>
    <s v="CACTU"/>
    <n v="10819"/>
    <x v="40"/>
    <x v="40"/>
    <s v="CACTU_10819_Ipoh Coffee"/>
    <s v="10819"/>
    <s v="10819"/>
    <s v="Ipoh Coffee"/>
    <n v="46"/>
    <x v="25"/>
    <x v="0"/>
    <n v="322"/>
    <x v="1"/>
    <d v="1996-02-07T00:00:00"/>
    <s v="1st Q 1996"/>
    <s v="1st Q 1996"/>
  </r>
  <r>
    <x v="78"/>
    <x v="78"/>
    <s v="Patricio"/>
    <s v="Simpson"/>
    <s v="Simpson, Patricio"/>
    <s v="Simpson, Patricio"/>
    <x v="0"/>
    <s v="no"/>
    <s v="no"/>
    <s v="CACTU"/>
    <n v="10819"/>
    <x v="48"/>
    <x v="48"/>
    <s v="CACTU_10819_Rhönbräu Klosterbier"/>
    <s v="10819"/>
    <s v="10819"/>
    <s v="Rhönbräu Klosterbier"/>
    <n v="7.75"/>
    <x v="8"/>
    <x v="0"/>
    <n v="155"/>
    <x v="1"/>
    <d v="1996-02-07T00:00:00"/>
    <s v="1st Q 1996"/>
    <s v="1st Q 1996"/>
  </r>
  <r>
    <x v="13"/>
    <x v="13"/>
    <s v="Paula"/>
    <s v="Wilson"/>
    <s v="Wilson, Paula"/>
    <s v="Wilson, Paula"/>
    <x v="0"/>
    <s v="no"/>
    <s v="no"/>
    <s v="RATTC"/>
    <n v="10820"/>
    <x v="33"/>
    <x v="33"/>
    <s v="RATTC_10820_Gnocchi di nonna Alice"/>
    <s v="10820"/>
    <s v="10820"/>
    <s v="Gnocchi di nonna Alice"/>
    <n v="38"/>
    <x v="12"/>
    <x v="0"/>
    <n v="1140"/>
    <x v="1"/>
    <d v="1996-02-07T00:00:00"/>
    <s v="1st Q 1996"/>
    <s v="1st Q 1996"/>
  </r>
  <r>
    <x v="20"/>
    <x v="20"/>
    <s v="Art"/>
    <s v="Braunschweiger"/>
    <s v="Braunschweiger, Art"/>
    <s v="Braunschweiger, Art"/>
    <x v="0"/>
    <s v="no"/>
    <s v="no"/>
    <s v="SPLIR"/>
    <n v="10821"/>
    <x v="31"/>
    <x v="31"/>
    <s v="SPLIR_10821_Steeleye Stout"/>
    <s v="10821"/>
    <s v="10821"/>
    <s v="Steeleye Stout"/>
    <n v="18"/>
    <x v="8"/>
    <x v="0"/>
    <n v="360"/>
    <x v="1"/>
    <d v="1996-02-08T00:00:00"/>
    <s v="1st Q 1996"/>
    <s v="1st Q 1996"/>
  </r>
  <r>
    <x v="20"/>
    <x v="20"/>
    <s v="Art"/>
    <s v="Braunschweiger"/>
    <s v="Braunschweiger, Art"/>
    <s v="Braunschweiger, Art"/>
    <x v="0"/>
    <s v="no"/>
    <s v="no"/>
    <s v="SPLIR"/>
    <n v="10821"/>
    <x v="4"/>
    <x v="4"/>
    <s v="SPLIR_10821_Manjimup Dried Apples"/>
    <s v="10821"/>
    <s v="10821"/>
    <s v="Manjimup Dried Apples"/>
    <n v="53"/>
    <x v="7"/>
    <x v="0"/>
    <n v="318"/>
    <x v="1"/>
    <d v="1996-02-08T00:00:00"/>
    <s v="1st Q 1996"/>
    <s v="1st Q 1996"/>
  </r>
  <r>
    <x v="81"/>
    <x v="81"/>
    <s v="Helvetius"/>
    <s v="Nagy"/>
    <s v="Nagy, Helvetius"/>
    <s v="Nagy, Helvetius"/>
    <x v="0"/>
    <s v="no"/>
    <s v="no"/>
    <s v="TRAIH"/>
    <n v="10822"/>
    <x v="29"/>
    <x v="29"/>
    <s v="TRAIH_10822_Tarte au sucre"/>
    <s v="10822"/>
    <s v="10822"/>
    <s v="Tarte au sucre"/>
    <n v="49.3"/>
    <x v="28"/>
    <x v="0"/>
    <n v="147.89999999999998"/>
    <x v="1"/>
    <d v="1996-02-08T00:00:00"/>
    <s v="1st Q 1996"/>
    <s v="1st Q 1996"/>
  </r>
  <r>
    <x v="81"/>
    <x v="81"/>
    <s v="Helvetius"/>
    <s v="Nagy"/>
    <s v="Nagy, Helvetius"/>
    <s v="Nagy, Helvetius"/>
    <x v="0"/>
    <s v="no"/>
    <s v="no"/>
    <s v="TRAIH"/>
    <n v="10822"/>
    <x v="30"/>
    <x v="30"/>
    <s v="TRAIH_10822_Outback Lager"/>
    <s v="10822"/>
    <s v="10822"/>
    <s v="Outback Lager"/>
    <n v="15"/>
    <x v="7"/>
    <x v="0"/>
    <n v="90"/>
    <x v="1"/>
    <d v="1996-02-08T00:00:00"/>
    <s v="1st Q 1996"/>
    <s v="1st Q 1996"/>
  </r>
  <r>
    <x v="28"/>
    <x v="28"/>
    <s v="Carlos"/>
    <s v="González"/>
    <s v="González, Carlos"/>
    <s v="González, Carlos"/>
    <x v="0"/>
    <s v="no"/>
    <s v="no"/>
    <s v="LILAS"/>
    <n v="10823"/>
    <x v="0"/>
    <x v="0"/>
    <s v="LILAS_10823_Queso Cabrales"/>
    <s v="10823"/>
    <s v="10823"/>
    <s v="Queso Cabrales"/>
    <n v="21"/>
    <x v="8"/>
    <x v="5"/>
    <n v="378"/>
    <x v="1"/>
    <d v="1996-02-09T00:00:00"/>
    <s v="1st Q 1996"/>
    <s v="1st Q 1996"/>
  </r>
  <r>
    <x v="28"/>
    <x v="28"/>
    <s v="Carlos"/>
    <s v="González"/>
    <s v="González, Carlos"/>
    <s v="González, Carlos"/>
    <x v="0"/>
    <s v="no"/>
    <s v="no"/>
    <s v="LILAS"/>
    <n v="10823"/>
    <x v="8"/>
    <x v="8"/>
    <s v="LILAS_10823_Ravioli Angelo"/>
    <s v="10823"/>
    <s v="10823"/>
    <s v="Ravioli Angelo"/>
    <n v="19.5"/>
    <x v="6"/>
    <x v="0"/>
    <n v="292.5"/>
    <x v="1"/>
    <d v="1996-02-09T00:00:00"/>
    <s v="1st Q 1996"/>
    <s v="1st Q 1996"/>
  </r>
  <r>
    <x v="28"/>
    <x v="28"/>
    <s v="Carlos"/>
    <s v="González"/>
    <s v="González, Carlos"/>
    <s v="González, Carlos"/>
    <x v="0"/>
    <s v="no"/>
    <s v="no"/>
    <s v="LILAS"/>
    <n v="10823"/>
    <x v="21"/>
    <x v="21"/>
    <s v="LILAS_10823_Raclette Courdavault"/>
    <s v="10823"/>
    <s v="10823"/>
    <s v="Raclette Courdavault"/>
    <n v="55"/>
    <x v="4"/>
    <x v="5"/>
    <n v="1980"/>
    <x v="1"/>
    <d v="1996-02-09T00:00:00"/>
    <s v="1st Q 1996"/>
    <s v="1st Q 1996"/>
  </r>
  <r>
    <x v="28"/>
    <x v="28"/>
    <s v="Carlos"/>
    <s v="González"/>
    <s v="González, Carlos"/>
    <s v="González, Carlos"/>
    <x v="0"/>
    <s v="no"/>
    <s v="no"/>
    <s v="LILAS"/>
    <n v="10823"/>
    <x v="23"/>
    <x v="23"/>
    <s v="LILAS_10823_Original Frankfurter grüne Soße"/>
    <s v="10823"/>
    <s v="10823"/>
    <s v="Original Frankfurter grüne Soße"/>
    <n v="13"/>
    <x v="6"/>
    <x v="5"/>
    <n v="175.5"/>
    <x v="1"/>
    <d v="1996-02-09T00:00:00"/>
    <s v="1st Q 1996"/>
    <s v="1st Q 1996"/>
  </r>
  <r>
    <x v="14"/>
    <x v="14"/>
    <s v="Maria"/>
    <s v="Larsson"/>
    <s v="Larsson, Maria"/>
    <s v="Larsson, Maria"/>
    <x v="0"/>
    <s v="no"/>
    <s v="no"/>
    <s v="FOLKO"/>
    <n v="10824"/>
    <x v="5"/>
    <x v="5"/>
    <s v="FOLKO_10824_Jack's New England Clam Chowder"/>
    <s v="10824"/>
    <s v="10824"/>
    <s v="Jack's New England Clam Chowder"/>
    <n v="9.65"/>
    <x v="0"/>
    <x v="0"/>
    <n v="115.80000000000001"/>
    <x v="1"/>
    <d v="1996-02-09T00:00:00"/>
    <s v="1st Q 1996"/>
    <s v="1st Q 1996"/>
  </r>
  <r>
    <x v="14"/>
    <x v="14"/>
    <s v="Maria"/>
    <s v="Larsson"/>
    <s v="Larsson, Maria"/>
    <s v="Larsson, Maria"/>
    <x v="0"/>
    <s v="no"/>
    <s v="no"/>
    <s v="FOLKO"/>
    <n v="10824"/>
    <x v="30"/>
    <x v="30"/>
    <s v="FOLKO_10824_Outback Lager"/>
    <s v="10824"/>
    <s v="10824"/>
    <s v="Outback Lager"/>
    <n v="15"/>
    <x v="3"/>
    <x v="0"/>
    <n v="135"/>
    <x v="1"/>
    <d v="1996-02-09T00:00:00"/>
    <s v="1st Q 1996"/>
    <s v="1st Q 1996"/>
  </r>
  <r>
    <x v="57"/>
    <x v="57"/>
    <s v="Sven"/>
    <s v="Ottlieb"/>
    <s v="Ottlieb, Sven"/>
    <s v="Ottlieb, Sven"/>
    <x v="0"/>
    <s v="no"/>
    <s v="no"/>
    <s v="DRACD"/>
    <n v="10825"/>
    <x v="68"/>
    <x v="68"/>
    <s v="DRACD_10825_Gumbär Gummibärchen"/>
    <s v="10825"/>
    <s v="10825"/>
    <s v="Gumbär Gummibärchen"/>
    <n v="31.23"/>
    <x v="0"/>
    <x v="0"/>
    <n v="374.76"/>
    <x v="1"/>
    <d v="1996-02-09T00:00:00"/>
    <s v="1st Q 1996"/>
    <s v="1st Q 1996"/>
  </r>
  <r>
    <x v="57"/>
    <x v="57"/>
    <s v="Sven"/>
    <s v="Ottlieb"/>
    <s v="Ottlieb, Sven"/>
    <s v="Ottlieb, Sven"/>
    <x v="0"/>
    <s v="no"/>
    <s v="no"/>
    <s v="DRACD"/>
    <n v="10825"/>
    <x v="22"/>
    <x v="22"/>
    <s v="DRACD_10825_Perth Pasties"/>
    <s v="10825"/>
    <s v="10825"/>
    <s v="Perth Pasties"/>
    <n v="32.799999999999997"/>
    <x v="8"/>
    <x v="0"/>
    <n v="656"/>
    <x v="1"/>
    <d v="1996-02-09T00:00:00"/>
    <s v="1st Q 1996"/>
    <s v="1st Q 1996"/>
  </r>
  <r>
    <x v="15"/>
    <x v="15"/>
    <s v="Frédérique"/>
    <s v="Citeaux"/>
    <s v="Citeaux, Frédérique"/>
    <s v="Citeaux, Frédérique"/>
    <x v="0"/>
    <s v="no"/>
    <s v="no"/>
    <s v="BLONP"/>
    <n v="10826"/>
    <x v="12"/>
    <x v="12"/>
    <s v="BLONP_10826_Gorgonzola Telino"/>
    <s v="10826"/>
    <s v="10826"/>
    <s v="Gorgonzola Telino"/>
    <n v="12.5"/>
    <x v="5"/>
    <x v="0"/>
    <n v="437.5"/>
    <x v="1"/>
    <d v="1996-02-12T00:00:00"/>
    <s v="1st Q 1996"/>
    <s v="1st Q 1996"/>
  </r>
  <r>
    <x v="15"/>
    <x v="15"/>
    <s v="Frédérique"/>
    <s v="Citeaux"/>
    <s v="Citeaux, Frédérique"/>
    <s v="Citeaux, Frédérique"/>
    <x v="0"/>
    <s v="no"/>
    <s v="no"/>
    <s v="BLONP"/>
    <n v="10826"/>
    <x v="8"/>
    <x v="8"/>
    <s v="BLONP_10826_Ravioli Angelo"/>
    <s v="10826"/>
    <s v="10826"/>
    <s v="Ravioli Angelo"/>
    <n v="19.5"/>
    <x v="6"/>
    <x v="0"/>
    <n v="292.5"/>
    <x v="1"/>
    <d v="1996-02-12T00:00:00"/>
    <s v="1st Q 1996"/>
    <s v="1st Q 1996"/>
  </r>
  <r>
    <x v="48"/>
    <x v="48"/>
    <s v="Laurence"/>
    <s v="Lebihan"/>
    <s v="Lebihan, Laurence"/>
    <s v="Lebihan, Laurence"/>
    <x v="0"/>
    <s v="no"/>
    <s v="no"/>
    <s v="BONAP"/>
    <n v="10827"/>
    <x v="41"/>
    <x v="41"/>
    <s v="BONAP_10827_Ikura"/>
    <s v="10827"/>
    <s v="10827"/>
    <s v="Ikura"/>
    <n v="31"/>
    <x v="6"/>
    <x v="0"/>
    <n v="465"/>
    <x v="1"/>
    <d v="1996-02-12T00:00:00"/>
    <s v="1st Q 1996"/>
    <s v="1st Q 1996"/>
  </r>
  <r>
    <x v="48"/>
    <x v="48"/>
    <s v="Laurence"/>
    <s v="Lebihan"/>
    <s v="Lebihan, Laurence"/>
    <s v="Lebihan, Laurence"/>
    <x v="0"/>
    <s v="no"/>
    <s v="no"/>
    <s v="BONAP"/>
    <n v="10827"/>
    <x v="13"/>
    <x v="13"/>
    <s v="BONAP_10827_Chartreuse verte"/>
    <s v="10827"/>
    <s v="10827"/>
    <s v="Chartreuse verte"/>
    <n v="18"/>
    <x v="11"/>
    <x v="0"/>
    <n v="378"/>
    <x v="1"/>
    <d v="1996-02-12T00:00:00"/>
    <s v="1st Q 1996"/>
    <s v="1st Q 1996"/>
  </r>
  <r>
    <x v="73"/>
    <x v="73"/>
    <s v="Sergio"/>
    <s v="Gutiérrez"/>
    <s v="Gutiérrez, Sergio"/>
    <s v="Gutiérrez, Sergio"/>
    <x v="0"/>
    <s v="no"/>
    <s v="no"/>
    <s v="RANCH"/>
    <n v="10828"/>
    <x v="9"/>
    <x v="9"/>
    <s v="RANCH_10828_Sir Rodney's Marmalade"/>
    <s v="10828"/>
    <s v="10828"/>
    <s v="Sir Rodney's Marmalade"/>
    <n v="81"/>
    <x v="2"/>
    <x v="0"/>
    <n v="405"/>
    <x v="1"/>
    <d v="1996-02-13T00:00:00"/>
    <s v="1st Q 1996"/>
    <s v="1st Q 1996"/>
  </r>
  <r>
    <x v="73"/>
    <x v="73"/>
    <s v="Sergio"/>
    <s v="Gutiérrez"/>
    <s v="Gutiérrez, Sergio"/>
    <s v="Gutiérrez, Sergio"/>
    <x v="0"/>
    <s v="no"/>
    <s v="no"/>
    <s v="RANCH"/>
    <n v="10828"/>
    <x v="67"/>
    <x v="67"/>
    <s v="RANCH_10828_Côte de Blaye"/>
    <s v="10828"/>
    <s v="10828"/>
    <s v="Côte de Blaye"/>
    <n v="263.5"/>
    <x v="17"/>
    <x v="0"/>
    <n v="527"/>
    <x v="1"/>
    <d v="1996-02-13T00:00:00"/>
    <s v="1st Q 1996"/>
    <s v="1st Q 1996"/>
  </r>
  <r>
    <x v="42"/>
    <x v="42"/>
    <s v="Helen"/>
    <s v="Bennett"/>
    <s v="Bennett, Helen"/>
    <s v="Bennett, Helen"/>
    <x v="0"/>
    <s v="no"/>
    <s v="no"/>
    <s v="ISLAT"/>
    <n v="10829"/>
    <x v="18"/>
    <x v="18"/>
    <s v="ISLAT_10829_Chang"/>
    <s v="10829"/>
    <s v="10829"/>
    <s v="Chang"/>
    <n v="19"/>
    <x v="1"/>
    <x v="0"/>
    <n v="190"/>
    <x v="1"/>
    <d v="1996-02-13T00:00:00"/>
    <s v="1st Q 1996"/>
    <s v="1st Q 1996"/>
  </r>
  <r>
    <x v="42"/>
    <x v="42"/>
    <s v="Helen"/>
    <s v="Bennett"/>
    <s v="Bennett, Helen"/>
    <s v="Bennett, Helen"/>
    <x v="0"/>
    <s v="no"/>
    <s v="no"/>
    <s v="ISLAT"/>
    <n v="10829"/>
    <x v="71"/>
    <x v="71"/>
    <s v="ISLAT_10829_Northwoods Cranberry Sauce"/>
    <s v="10829"/>
    <s v="10829"/>
    <s v="Northwoods Cranberry Sauce"/>
    <n v="40"/>
    <x v="8"/>
    <x v="0"/>
    <n v="800"/>
    <x v="1"/>
    <d v="1996-02-13T00:00:00"/>
    <s v="1st Q 1996"/>
    <s v="1st Q 1996"/>
  </r>
  <r>
    <x v="42"/>
    <x v="42"/>
    <s v="Helen"/>
    <s v="Bennett"/>
    <s v="Bennett, Helen"/>
    <s v="Bennett, Helen"/>
    <x v="0"/>
    <s v="no"/>
    <s v="no"/>
    <s v="ISLAT"/>
    <n v="10829"/>
    <x v="43"/>
    <x v="43"/>
    <s v="ISLAT_10829_Konbu"/>
    <s v="10829"/>
    <s v="10829"/>
    <s v="Konbu"/>
    <n v="6"/>
    <x v="1"/>
    <x v="0"/>
    <n v="60"/>
    <x v="1"/>
    <d v="1996-02-13T00:00:00"/>
    <s v="1st Q 1996"/>
    <s v="1st Q 1996"/>
  </r>
  <r>
    <x v="42"/>
    <x v="42"/>
    <s v="Helen"/>
    <s v="Bennett"/>
    <s v="Bennett, Helen"/>
    <s v="Bennett, Helen"/>
    <x v="0"/>
    <s v="no"/>
    <s v="no"/>
    <s v="ISLAT"/>
    <n v="10829"/>
    <x v="11"/>
    <x v="11"/>
    <s v="ISLAT_10829_Camembert Pierrot"/>
    <s v="10829"/>
    <s v="10829"/>
    <s v="Camembert Pierrot"/>
    <n v="34"/>
    <x v="11"/>
    <x v="0"/>
    <n v="714"/>
    <x v="1"/>
    <d v="1996-02-13T00:00:00"/>
    <s v="1st Q 1996"/>
    <s v="1st Q 1996"/>
  </r>
  <r>
    <x v="33"/>
    <x v="33"/>
    <s v="Anabela"/>
    <s v="Domingues"/>
    <s v="Domingues, Anabela"/>
    <s v="Domingues, Anabela"/>
    <x v="0"/>
    <s v="no"/>
    <s v="no"/>
    <s v="TRADH"/>
    <n v="10830"/>
    <x v="63"/>
    <x v="63"/>
    <s v="TRADH_10830_Grandma's Boysenberry Spread"/>
    <s v="10830"/>
    <s v="10830"/>
    <s v="Grandma's Boysenberry Spread"/>
    <n v="25"/>
    <x v="7"/>
    <x v="0"/>
    <n v="150"/>
    <x v="1"/>
    <d v="1996-02-13T00:00:00"/>
    <s v="1st Q 1996"/>
    <s v="1st Q 1996"/>
  </r>
  <r>
    <x v="33"/>
    <x v="33"/>
    <s v="Anabela"/>
    <s v="Domingues"/>
    <s v="Domingues, Anabela"/>
    <s v="Domingues, Anabela"/>
    <x v="0"/>
    <s v="no"/>
    <s v="no"/>
    <s v="TRADH"/>
    <n v="10830"/>
    <x v="13"/>
    <x v="13"/>
    <s v="TRADH_10830_Chartreuse verte"/>
    <s v="10830"/>
    <s v="10830"/>
    <s v="Chartreuse verte"/>
    <n v="18"/>
    <x v="19"/>
    <x v="0"/>
    <n v="504"/>
    <x v="1"/>
    <d v="1996-02-13T00:00:00"/>
    <s v="1st Q 1996"/>
    <s v="1st Q 1996"/>
  </r>
  <r>
    <x v="33"/>
    <x v="33"/>
    <s v="Anabela"/>
    <s v="Domingues"/>
    <s v="Domingues, Anabela"/>
    <s v="Domingues, Anabela"/>
    <x v="0"/>
    <s v="no"/>
    <s v="no"/>
    <s v="TRADH"/>
    <n v="10830"/>
    <x v="11"/>
    <x v="11"/>
    <s v="TRADH_10830_Camembert Pierrot"/>
    <s v="10830"/>
    <s v="10830"/>
    <s v="Camembert Pierrot"/>
    <n v="34"/>
    <x v="12"/>
    <x v="0"/>
    <n v="1020"/>
    <x v="1"/>
    <d v="1996-02-13T00:00:00"/>
    <s v="1st Q 1996"/>
    <s v="1st Q 1996"/>
  </r>
  <r>
    <x v="33"/>
    <x v="33"/>
    <s v="Anabela"/>
    <s v="Domingues"/>
    <s v="Domingues, Anabela"/>
    <s v="Domingues, Anabela"/>
    <x v="0"/>
    <s v="no"/>
    <s v="no"/>
    <s v="TRADH"/>
    <n v="10830"/>
    <x v="56"/>
    <x v="56"/>
    <s v="TRADH_10830_Scottish Longbreads"/>
    <s v="10830"/>
    <s v="10830"/>
    <s v="Scottish Longbreads"/>
    <n v="12.5"/>
    <x v="23"/>
    <x v="0"/>
    <n v="300"/>
    <x v="1"/>
    <d v="1996-02-13T00:00:00"/>
    <s v="1st Q 1996"/>
    <s v="1st Q 1996"/>
  </r>
  <r>
    <x v="65"/>
    <x v="65"/>
    <s v="Jonas"/>
    <s v="Bergulfsen"/>
    <s v="Bergulfsen, Jonas"/>
    <s v="Bergulfsen, Jonas"/>
    <x v="0"/>
    <s v="no"/>
    <s v="no"/>
    <s v="SANTG"/>
    <n v="10831"/>
    <x v="49"/>
    <x v="49"/>
    <s v="SANTG_10831_Teatime Chocolate Biscuits"/>
    <s v="10831"/>
    <s v="10831"/>
    <s v="Teatime Chocolate Biscuits"/>
    <n v="9.1999999999999993"/>
    <x v="17"/>
    <x v="0"/>
    <n v="18.399999999999999"/>
    <x v="1"/>
    <d v="1996-02-14T00:00:00"/>
    <s v="1st Q 1996"/>
    <s v="1st Q 1996"/>
  </r>
  <r>
    <x v="65"/>
    <x v="65"/>
    <s v="Jonas"/>
    <s v="Bergulfsen"/>
    <s v="Bergulfsen, Jonas"/>
    <s v="Bergulfsen, Jonas"/>
    <x v="0"/>
    <s v="no"/>
    <s v="no"/>
    <s v="SANTG"/>
    <n v="10831"/>
    <x v="31"/>
    <x v="31"/>
    <s v="SANTG_10831_Steeleye Stout"/>
    <s v="10831"/>
    <s v="10831"/>
    <s v="Steeleye Stout"/>
    <n v="18"/>
    <x v="26"/>
    <x v="0"/>
    <n v="144"/>
    <x v="1"/>
    <d v="1996-02-14T00:00:00"/>
    <s v="1st Q 1996"/>
    <s v="1st Q 1996"/>
  </r>
  <r>
    <x v="65"/>
    <x v="65"/>
    <s v="Jonas"/>
    <s v="Bergulfsen"/>
    <s v="Bergulfsen, Jonas"/>
    <s v="Bergulfsen, Jonas"/>
    <x v="0"/>
    <s v="no"/>
    <s v="no"/>
    <s v="SANTG"/>
    <n v="10831"/>
    <x v="67"/>
    <x v="67"/>
    <s v="SANTG_10831_Côte de Blaye"/>
    <s v="10831"/>
    <s v="10831"/>
    <s v="Côte de Blaye"/>
    <n v="263.5"/>
    <x v="26"/>
    <x v="0"/>
    <n v="2108"/>
    <x v="1"/>
    <d v="1996-02-14T00:00:00"/>
    <s v="1st Q 1996"/>
    <s v="1st Q 1996"/>
  </r>
  <r>
    <x v="65"/>
    <x v="65"/>
    <s v="Jonas"/>
    <s v="Bergulfsen"/>
    <s v="Bergulfsen, Jonas"/>
    <s v="Bergulfsen, Jonas"/>
    <x v="0"/>
    <s v="no"/>
    <s v="no"/>
    <s v="SANTG"/>
    <n v="10831"/>
    <x v="40"/>
    <x v="40"/>
    <s v="SANTG_10831_Ipoh Coffee"/>
    <s v="10831"/>
    <s v="10831"/>
    <s v="Ipoh Coffee"/>
    <n v="46"/>
    <x v="3"/>
    <x v="0"/>
    <n v="414"/>
    <x v="1"/>
    <d v="1996-02-14T00:00:00"/>
    <s v="1st Q 1996"/>
    <s v="1st Q 1996"/>
  </r>
  <r>
    <x v="53"/>
    <x v="53"/>
    <s v="Annette"/>
    <s v="Roulet"/>
    <s v="Roulet, Annette"/>
    <s v="Roulet, Annette"/>
    <x v="0"/>
    <s v="no"/>
    <s v="no"/>
    <s v="LAMAI"/>
    <n v="10832"/>
    <x v="43"/>
    <x v="43"/>
    <s v="LAMAI_10832_Konbu"/>
    <s v="10832"/>
    <s v="10832"/>
    <s v="Konbu"/>
    <n v="6"/>
    <x v="28"/>
    <x v="3"/>
    <n v="14.4"/>
    <x v="1"/>
    <d v="1996-02-14T00:00:00"/>
    <s v="1st Q 1996"/>
    <s v="1st Q 1996"/>
  </r>
  <r>
    <x v="53"/>
    <x v="53"/>
    <s v="Annette"/>
    <s v="Roulet"/>
    <s v="Roulet, Annette"/>
    <s v="Roulet, Annette"/>
    <x v="0"/>
    <s v="no"/>
    <s v="no"/>
    <s v="LAMAI"/>
    <n v="10832"/>
    <x v="66"/>
    <x v="66"/>
    <s v="LAMAI_10832_NuNuCa Nuß-Nougat-Creme"/>
    <s v="10832"/>
    <s v="10832"/>
    <s v="NuNuCa Nuß-Nougat-Creme"/>
    <n v="14"/>
    <x v="1"/>
    <x v="3"/>
    <n v="112"/>
    <x v="1"/>
    <d v="1996-02-14T00:00:00"/>
    <s v="1st Q 1996"/>
    <s v="1st Q 1996"/>
  </r>
  <r>
    <x v="53"/>
    <x v="53"/>
    <s v="Annette"/>
    <s v="Roulet"/>
    <s v="Roulet, Annette"/>
    <s v="Roulet, Annette"/>
    <x v="0"/>
    <s v="no"/>
    <s v="no"/>
    <s v="LAMAI"/>
    <n v="10832"/>
    <x v="45"/>
    <x v="45"/>
    <s v="LAMAI_10832_Gula Malacca"/>
    <s v="10832"/>
    <s v="10832"/>
    <s v="Gula Malacca"/>
    <n v="19.45"/>
    <x v="16"/>
    <x v="3"/>
    <n v="248.96"/>
    <x v="1"/>
    <d v="1996-02-14T00:00:00"/>
    <s v="1st Q 1996"/>
    <s v="1st Q 1996"/>
  </r>
  <r>
    <x v="53"/>
    <x v="53"/>
    <s v="Annette"/>
    <s v="Roulet"/>
    <s v="Roulet, Annette"/>
    <s v="Roulet, Annette"/>
    <x v="0"/>
    <s v="no"/>
    <s v="no"/>
    <s v="LAMAI"/>
    <n v="10832"/>
    <x v="58"/>
    <x v="58"/>
    <s v="LAMAI_10832_Wimmers gute Semmelknödel"/>
    <s v="10832"/>
    <s v="10832"/>
    <s v="Wimmers gute Semmelknödel"/>
    <n v="33.25"/>
    <x v="28"/>
    <x v="0"/>
    <n v="99.75"/>
    <x v="1"/>
    <d v="1996-02-14T00:00:00"/>
    <s v="1st Q 1996"/>
    <s v="1st Q 1996"/>
  </r>
  <r>
    <x v="11"/>
    <x v="11"/>
    <s v="Henriette"/>
    <s v="Pfalzheim"/>
    <s v="Pfalzheim, Henriette"/>
    <s v="Pfalzheim, Henriette"/>
    <x v="0"/>
    <s v="no"/>
    <s v="no"/>
    <s v="OTTIK"/>
    <n v="10833"/>
    <x v="32"/>
    <x v="32"/>
    <s v="OTTIK_10833_Uncle Bob's Organic Dried Pears"/>
    <s v="10833"/>
    <s v="10833"/>
    <s v="Uncle Bob's Organic Dried Pears"/>
    <n v="30"/>
    <x v="8"/>
    <x v="5"/>
    <n v="540"/>
    <x v="1"/>
    <d v="1996-02-15T00:00:00"/>
    <s v="1st Q 1996"/>
    <s v="1st Q 1996"/>
  </r>
  <r>
    <x v="11"/>
    <x v="11"/>
    <s v="Henriette"/>
    <s v="Pfalzheim"/>
    <s v="Pfalzheim, Henriette"/>
    <s v="Pfalzheim, Henriette"/>
    <x v="0"/>
    <s v="no"/>
    <s v="no"/>
    <s v="OTTIK"/>
    <n v="10833"/>
    <x v="12"/>
    <x v="12"/>
    <s v="OTTIK_10833_Gorgonzola Telino"/>
    <s v="10833"/>
    <s v="10833"/>
    <s v="Gorgonzola Telino"/>
    <n v="12.5"/>
    <x v="3"/>
    <x v="5"/>
    <n v="101.25"/>
    <x v="1"/>
    <d v="1996-02-15T00:00:00"/>
    <s v="1st Q 1996"/>
    <s v="1st Q 1996"/>
  </r>
  <r>
    <x v="11"/>
    <x v="11"/>
    <s v="Henriette"/>
    <s v="Pfalzheim"/>
    <s v="Pfalzheim, Henriette"/>
    <s v="Pfalzheim, Henriette"/>
    <x v="0"/>
    <s v="no"/>
    <s v="no"/>
    <s v="OTTIK"/>
    <n v="10833"/>
    <x v="22"/>
    <x v="22"/>
    <s v="OTTIK_10833_Perth Pasties"/>
    <s v="10833"/>
    <s v="10833"/>
    <s v="Perth Pasties"/>
    <n v="32.799999999999997"/>
    <x v="3"/>
    <x v="5"/>
    <n v="265.68"/>
    <x v="1"/>
    <d v="1996-02-15T00:00:00"/>
    <s v="1st Q 1996"/>
    <s v="1st Q 1996"/>
  </r>
  <r>
    <x v="33"/>
    <x v="33"/>
    <s v="Anabela"/>
    <s v="Domingues"/>
    <s v="Domingues, Anabela"/>
    <s v="Domingues, Anabela"/>
    <x v="0"/>
    <s v="no"/>
    <s v="no"/>
    <s v="TRADH"/>
    <n v="10834"/>
    <x v="39"/>
    <x v="39"/>
    <s v="TRADH_10834_Thüringer Rostbratwurst"/>
    <s v="10834"/>
    <s v="10834"/>
    <s v="Thüringer Rostbratwurst"/>
    <n v="123.79"/>
    <x v="26"/>
    <x v="2"/>
    <n v="940.80399999999997"/>
    <x v="1"/>
    <d v="1996-02-15T00:00:00"/>
    <s v="1st Q 1996"/>
    <s v="1st Q 1996"/>
  </r>
  <r>
    <x v="33"/>
    <x v="33"/>
    <s v="Anabela"/>
    <s v="Domingues"/>
    <s v="Domingues, Anabela"/>
    <s v="Domingues, Anabela"/>
    <x v="0"/>
    <s v="no"/>
    <s v="no"/>
    <s v="TRADH"/>
    <n v="10834"/>
    <x v="34"/>
    <x v="34"/>
    <s v="TRADH_10834_Nord-Ost Matjeshering"/>
    <s v="10834"/>
    <s v="10834"/>
    <s v="Nord-Ost Matjeshering"/>
    <n v="25.89"/>
    <x v="8"/>
    <x v="2"/>
    <n v="491.90999999999991"/>
    <x v="1"/>
    <d v="1996-02-15T00:00:00"/>
    <s v="1st Q 1996"/>
    <s v="1st Q 1996"/>
  </r>
  <r>
    <x v="85"/>
    <x v="85"/>
    <s v="Maria"/>
    <s v="Anders"/>
    <s v="Anders, Maria"/>
    <s v="Anders, Maria"/>
    <x v="0"/>
    <s v="no"/>
    <s v="no"/>
    <s v="ALFKI"/>
    <n v="10835"/>
    <x v="21"/>
    <x v="21"/>
    <s v="ALFKI_10835_Raclette Courdavault"/>
    <s v="10835"/>
    <s v="10835"/>
    <s v="Raclette Courdavault"/>
    <n v="55"/>
    <x v="6"/>
    <x v="0"/>
    <n v="825"/>
    <x v="1"/>
    <d v="1996-02-15T00:00:00"/>
    <s v="1st Q 1996"/>
    <s v="1st Q 1996"/>
  </r>
  <r>
    <x v="85"/>
    <x v="85"/>
    <s v="Maria"/>
    <s v="Anders"/>
    <s v="Anders, Maria"/>
    <s v="Anders, Maria"/>
    <x v="0"/>
    <s v="no"/>
    <s v="no"/>
    <s v="ALFKI"/>
    <n v="10835"/>
    <x v="23"/>
    <x v="23"/>
    <s v="ALFKI_10835_Original Frankfurter grüne Soße"/>
    <s v="10835"/>
    <s v="10835"/>
    <s v="Original Frankfurter grüne Soße"/>
    <n v="13"/>
    <x v="17"/>
    <x v="3"/>
    <n v="20.8"/>
    <x v="1"/>
    <d v="1996-02-15T00:00:00"/>
    <s v="1st Q 1996"/>
    <s v="1st Q 1996"/>
  </r>
  <r>
    <x v="9"/>
    <x v="9"/>
    <s v="Roland"/>
    <s v="Mendel"/>
    <s v="Mendel, Roland"/>
    <s v="Mendel, Roland"/>
    <x v="0"/>
    <s v="no"/>
    <s v="no"/>
    <s v="ERNSH"/>
    <n v="10836"/>
    <x v="7"/>
    <x v="7"/>
    <s v="ERNSH_10836_Gustaf's Knäckebröd"/>
    <s v="10836"/>
    <s v="10836"/>
    <s v="Gustaf's Knäckebröd"/>
    <n v="21"/>
    <x v="50"/>
    <x v="0"/>
    <n v="1092"/>
    <x v="1"/>
    <d v="1996-02-16T00:00:00"/>
    <s v="1st Q 1996"/>
    <s v="1st Q 1996"/>
  </r>
  <r>
    <x v="9"/>
    <x v="9"/>
    <s v="Roland"/>
    <s v="Mendel"/>
    <s v="Mendel, Roland"/>
    <s v="Mendel, Roland"/>
    <x v="0"/>
    <s v="no"/>
    <s v="no"/>
    <s v="ERNSH"/>
    <n v="10836"/>
    <x v="31"/>
    <x v="31"/>
    <s v="ERNSH_10836_Steeleye Stout"/>
    <s v="10836"/>
    <s v="10836"/>
    <s v="Steeleye Stout"/>
    <n v="18"/>
    <x v="7"/>
    <x v="0"/>
    <n v="108"/>
    <x v="1"/>
    <d v="1996-02-16T00:00:00"/>
    <s v="1st Q 1996"/>
    <s v="1st Q 1996"/>
  </r>
  <r>
    <x v="9"/>
    <x v="9"/>
    <s v="Roland"/>
    <s v="Mendel"/>
    <s v="Mendel, Roland"/>
    <s v="Mendel, Roland"/>
    <x v="0"/>
    <s v="no"/>
    <s v="no"/>
    <s v="ERNSH"/>
    <n v="10836"/>
    <x v="8"/>
    <x v="8"/>
    <s v="ERNSH_10836_Ravioli Angelo"/>
    <s v="10836"/>
    <s v="10836"/>
    <s v="Ravioli Angelo"/>
    <n v="19.5"/>
    <x v="23"/>
    <x v="0"/>
    <n v="468"/>
    <x v="1"/>
    <d v="1996-02-16T00:00:00"/>
    <s v="1st Q 1996"/>
    <s v="1st Q 1996"/>
  </r>
  <r>
    <x v="9"/>
    <x v="9"/>
    <s v="Roland"/>
    <s v="Mendel"/>
    <s v="Mendel, Roland"/>
    <s v="Mendel, Roland"/>
    <x v="0"/>
    <s v="no"/>
    <s v="no"/>
    <s v="ERNSH"/>
    <n v="10836"/>
    <x v="11"/>
    <x v="11"/>
    <s v="ERNSH_10836_Camembert Pierrot"/>
    <s v="10836"/>
    <s v="10836"/>
    <s v="Camembert Pierrot"/>
    <n v="34"/>
    <x v="18"/>
    <x v="0"/>
    <n v="2040"/>
    <x v="1"/>
    <d v="1996-02-16T00:00:00"/>
    <s v="1st Q 1996"/>
    <s v="1st Q 1996"/>
  </r>
  <r>
    <x v="9"/>
    <x v="9"/>
    <s v="Roland"/>
    <s v="Mendel"/>
    <s v="Mendel, Roland"/>
    <s v="Mendel, Roland"/>
    <x v="0"/>
    <s v="no"/>
    <s v="no"/>
    <s v="ERNSH"/>
    <n v="10836"/>
    <x v="58"/>
    <x v="58"/>
    <s v="ERNSH_10836_Wimmers gute Semmelknödel"/>
    <s v="10836"/>
    <s v="10836"/>
    <s v="Wimmers gute Semmelknödel"/>
    <n v="33.25"/>
    <x v="12"/>
    <x v="0"/>
    <n v="997.5"/>
    <x v="1"/>
    <d v="1996-02-16T00:00:00"/>
    <s v="1st Q 1996"/>
    <s v="1st Q 1996"/>
  </r>
  <r>
    <x v="25"/>
    <x v="25"/>
    <s v="Christina"/>
    <s v="Berglund"/>
    <s v="Berglund, Christina"/>
    <s v="Berglund, Christina"/>
    <x v="0"/>
    <s v="no"/>
    <s v="no"/>
    <s v="BERGS"/>
    <n v="10837"/>
    <x v="43"/>
    <x v="43"/>
    <s v="BERGS_10837_Konbu"/>
    <s v="10837"/>
    <s v="10837"/>
    <s v="Konbu"/>
    <n v="6"/>
    <x v="7"/>
    <x v="0"/>
    <n v="36"/>
    <x v="1"/>
    <d v="1996-02-16T00:00:00"/>
    <s v="1st Q 1996"/>
    <s v="1st Q 1996"/>
  </r>
  <r>
    <x v="25"/>
    <x v="25"/>
    <s v="Christina"/>
    <s v="Berglund"/>
    <s v="Berglund, Christina"/>
    <s v="Berglund, Christina"/>
    <x v="0"/>
    <s v="no"/>
    <s v="no"/>
    <s v="BERGS"/>
    <n v="10837"/>
    <x v="37"/>
    <x v="37"/>
    <s v="BERGS_10837_Boston Crab Meat"/>
    <s v="10837"/>
    <s v="10837"/>
    <s v="Boston Crab Meat"/>
    <n v="18.399999999999999"/>
    <x v="9"/>
    <x v="0"/>
    <n v="459.99999999999994"/>
    <x v="1"/>
    <d v="1996-02-16T00:00:00"/>
    <s v="1st Q 1996"/>
    <s v="1st Q 1996"/>
  </r>
  <r>
    <x v="25"/>
    <x v="25"/>
    <s v="Christina"/>
    <s v="Berglund"/>
    <s v="Berglund, Christina"/>
    <s v="Berglund, Christina"/>
    <x v="0"/>
    <s v="no"/>
    <s v="no"/>
    <s v="BERGS"/>
    <n v="10837"/>
    <x v="69"/>
    <x v="69"/>
    <s v="BERGS_10837_Zaanse koeken"/>
    <s v="10837"/>
    <s v="10837"/>
    <s v="Zaanse koeken"/>
    <n v="9.5"/>
    <x v="4"/>
    <x v="4"/>
    <n v="285"/>
    <x v="1"/>
    <d v="1996-02-16T00:00:00"/>
    <s v="1st Q 1996"/>
    <s v="1st Q 1996"/>
  </r>
  <r>
    <x v="25"/>
    <x v="25"/>
    <s v="Christina"/>
    <s v="Berglund"/>
    <s v="Berglund, Christina"/>
    <s v="Berglund, Christina"/>
    <x v="0"/>
    <s v="no"/>
    <s v="no"/>
    <s v="BERGS"/>
    <n v="10837"/>
    <x v="38"/>
    <x v="38"/>
    <s v="BERGS_10837_Lakkalikööri"/>
    <s v="10837"/>
    <s v="10837"/>
    <s v="Lakkalikööri"/>
    <n v="18"/>
    <x v="11"/>
    <x v="4"/>
    <n v="283.5"/>
    <x v="1"/>
    <d v="1996-02-16T00:00:00"/>
    <s v="1st Q 1996"/>
    <s v="1st Q 1996"/>
  </r>
  <r>
    <x v="67"/>
    <x v="67"/>
    <s v="Felipe"/>
    <s v="Izquierdo"/>
    <s v="Izquierdo, Felipe"/>
    <s v="Izquierdo, Felipe"/>
    <x v="0"/>
    <s v="no"/>
    <s v="no"/>
    <s v="LINOD"/>
    <n v="10838"/>
    <x v="52"/>
    <x v="52"/>
    <s v="LINOD_10838_Chai"/>
    <s v="10838"/>
    <s v="10838"/>
    <s v="Chai"/>
    <n v="18"/>
    <x v="22"/>
    <x v="4"/>
    <n v="54"/>
    <x v="1"/>
    <d v="1996-02-19T00:00:00"/>
    <s v="1st Q 1996"/>
    <s v="1st Q 1996"/>
  </r>
  <r>
    <x v="67"/>
    <x v="67"/>
    <s v="Felipe"/>
    <s v="Izquierdo"/>
    <s v="Izquierdo, Felipe"/>
    <s v="Izquierdo, Felipe"/>
    <x v="0"/>
    <s v="no"/>
    <s v="no"/>
    <s v="LINOD"/>
    <n v="10838"/>
    <x v="59"/>
    <x v="59"/>
    <s v="LINOD_10838_Carnarvon Tigers"/>
    <s v="10838"/>
    <s v="10838"/>
    <s v="Carnarvon Tigers"/>
    <n v="62.5"/>
    <x v="9"/>
    <x v="4"/>
    <n v="1171.875"/>
    <x v="1"/>
    <d v="1996-02-19T00:00:00"/>
    <s v="1st Q 1996"/>
    <s v="1st Q 1996"/>
  </r>
  <r>
    <x v="67"/>
    <x v="67"/>
    <s v="Felipe"/>
    <s v="Izquierdo"/>
    <s v="Izquierdo, Felipe"/>
    <s v="Izquierdo, Felipe"/>
    <x v="0"/>
    <s v="no"/>
    <s v="no"/>
    <s v="LINOD"/>
    <n v="10838"/>
    <x v="20"/>
    <x v="20"/>
    <s v="LINOD_10838_Inlagd Sill"/>
    <s v="10838"/>
    <s v="10838"/>
    <s v="Inlagd Sill"/>
    <n v="19"/>
    <x v="13"/>
    <x v="4"/>
    <n v="712.5"/>
    <x v="1"/>
    <d v="1996-02-19T00:00:00"/>
    <s v="1st Q 1996"/>
    <s v="1st Q 1996"/>
  </r>
  <r>
    <x v="33"/>
    <x v="33"/>
    <s v="Anabela"/>
    <s v="Domingues"/>
    <s v="Domingues, Anabela"/>
    <s v="Domingues, Anabela"/>
    <x v="0"/>
    <s v="no"/>
    <s v="no"/>
    <s v="TRADH"/>
    <n v="10839"/>
    <x v="64"/>
    <x v="64"/>
    <s v="TRADH_10839_Escargots de Bourgogne"/>
    <s v="10839"/>
    <s v="10839"/>
    <s v="Escargots de Bourgogne"/>
    <n v="13.25"/>
    <x v="12"/>
    <x v="5"/>
    <n v="357.75"/>
    <x v="1"/>
    <d v="1996-02-19T00:00:00"/>
    <s v="1st Q 1996"/>
    <s v="1st Q 1996"/>
  </r>
  <r>
    <x v="33"/>
    <x v="33"/>
    <s v="Anabela"/>
    <s v="Domingues"/>
    <s v="Domingues, Anabela"/>
    <s v="Domingues, Anabela"/>
    <x v="0"/>
    <s v="no"/>
    <s v="no"/>
    <s v="TRADH"/>
    <n v="10839"/>
    <x v="2"/>
    <x v="2"/>
    <s v="TRADH_10839_Mozzarella di Giovanni"/>
    <s v="10839"/>
    <s v="10839"/>
    <s v="Mozzarella di Giovanni"/>
    <n v="34.799999999999997"/>
    <x v="6"/>
    <x v="5"/>
    <n v="469.8"/>
    <x v="1"/>
    <d v="1996-02-19T00:00:00"/>
    <s v="1st Q 1996"/>
    <s v="1st Q 1996"/>
  </r>
  <r>
    <x v="67"/>
    <x v="67"/>
    <s v="Felipe"/>
    <s v="Izquierdo"/>
    <s v="Izquierdo, Felipe"/>
    <s v="Izquierdo, Felipe"/>
    <x v="0"/>
    <s v="no"/>
    <s v="no"/>
    <s v="LINOD"/>
    <n v="10840"/>
    <x v="66"/>
    <x v="66"/>
    <s v="LINOD_10840_NuNuCa Nuß-Nougat-Creme"/>
    <s v="10840"/>
    <s v="10840"/>
    <s v="NuNuCa Nuß-Nougat-Creme"/>
    <n v="14"/>
    <x v="7"/>
    <x v="3"/>
    <n v="67.2"/>
    <x v="1"/>
    <d v="1996-02-19T00:00:00"/>
    <s v="1st Q 1996"/>
    <s v="1st Q 1996"/>
  </r>
  <r>
    <x v="67"/>
    <x v="67"/>
    <s v="Felipe"/>
    <s v="Izquierdo"/>
    <s v="Izquierdo, Felipe"/>
    <s v="Izquierdo, Felipe"/>
    <x v="0"/>
    <s v="no"/>
    <s v="no"/>
    <s v="LINOD"/>
    <n v="10840"/>
    <x v="13"/>
    <x v="13"/>
    <s v="LINOD_10840_Chartreuse verte"/>
    <s v="10840"/>
    <s v="10840"/>
    <s v="Chartreuse verte"/>
    <n v="18"/>
    <x v="1"/>
    <x v="3"/>
    <n v="144"/>
    <x v="1"/>
    <d v="1996-02-19T00:00:00"/>
    <s v="1st Q 1996"/>
    <s v="1st Q 1996"/>
  </r>
  <r>
    <x v="4"/>
    <x v="4"/>
    <s v="Pascale"/>
    <s v="Cartrain"/>
    <s v="Cartrain, Pascale"/>
    <s v="Cartrain, Pascale"/>
    <x v="0"/>
    <s v="no"/>
    <s v="no"/>
    <s v="SUPRD"/>
    <n v="10841"/>
    <x v="41"/>
    <x v="41"/>
    <s v="SUPRD_10841_Ikura"/>
    <s v="10841"/>
    <s v="10841"/>
    <s v="Ikura"/>
    <n v="31"/>
    <x v="16"/>
    <x v="0"/>
    <n v="496"/>
    <x v="1"/>
    <d v="1996-02-20T00:00:00"/>
    <s v="1st Q 1996"/>
    <s v="1st Q 1996"/>
  </r>
  <r>
    <x v="4"/>
    <x v="4"/>
    <s v="Pascale"/>
    <s v="Cartrain"/>
    <s v="Cartrain, Pascale"/>
    <s v="Cartrain, Pascale"/>
    <x v="0"/>
    <s v="no"/>
    <s v="no"/>
    <s v="SUPRD"/>
    <n v="10841"/>
    <x v="33"/>
    <x v="33"/>
    <s v="SUPRD_10841_Gnocchi di nonna Alice"/>
    <s v="10841"/>
    <s v="10841"/>
    <s v="Gnocchi di nonna Alice"/>
    <n v="38"/>
    <x v="12"/>
    <x v="0"/>
    <n v="1140"/>
    <x v="1"/>
    <d v="1996-02-20T00:00:00"/>
    <s v="1st Q 1996"/>
    <s v="1st Q 1996"/>
  </r>
  <r>
    <x v="4"/>
    <x v="4"/>
    <s v="Pascale"/>
    <s v="Cartrain"/>
    <s v="Cartrain, Pascale"/>
    <s v="Cartrain, Pascale"/>
    <x v="0"/>
    <s v="no"/>
    <s v="moderate"/>
    <s v="SUPRD"/>
    <n v="10841"/>
    <x v="21"/>
    <x v="21"/>
    <s v="SUPRD_10841_Raclette Courdavault"/>
    <s v="10841"/>
    <s v="10841"/>
    <s v="Raclette Courdavault"/>
    <n v="55"/>
    <x v="13"/>
    <x v="0"/>
    <n v="2750"/>
    <x v="1"/>
    <d v="1996-02-20T00:00:00"/>
    <s v="1st Q 1996"/>
    <s v="1st Q 1996"/>
  </r>
  <r>
    <x v="4"/>
    <x v="4"/>
    <s v="Pascale"/>
    <s v="Cartrain"/>
    <s v="Cartrain, Pascale"/>
    <s v="Cartrain, Pascale"/>
    <x v="0"/>
    <s v="no"/>
    <s v="no"/>
    <s v="SUPRD"/>
    <n v="10841"/>
    <x v="23"/>
    <x v="23"/>
    <s v="SUPRD_10841_Original Frankfurter grüne Soße"/>
    <s v="10841"/>
    <s v="10841"/>
    <s v="Original Frankfurter grüne Soße"/>
    <n v="13"/>
    <x v="6"/>
    <x v="0"/>
    <n v="195"/>
    <x v="1"/>
    <d v="1996-02-20T00:00:00"/>
    <s v="1st Q 1996"/>
    <s v="1st Q 1996"/>
  </r>
  <r>
    <x v="23"/>
    <x v="23"/>
    <s v="Miguel"/>
    <s v="Angel Paolino"/>
    <s v="Angel Paolino, Miguel"/>
    <s v="Angel Paolino, Miguel"/>
    <x v="0"/>
    <s v="no"/>
    <s v="no"/>
    <s v="TORTU"/>
    <n v="10842"/>
    <x v="0"/>
    <x v="0"/>
    <s v="TORTU_10842_Queso Cabrales"/>
    <s v="10842"/>
    <s v="10842"/>
    <s v="Queso Cabrales"/>
    <n v="21"/>
    <x v="6"/>
    <x v="0"/>
    <n v="315"/>
    <x v="1"/>
    <d v="1996-02-20T00:00:00"/>
    <s v="1st Q 1996"/>
    <s v="1st Q 1996"/>
  </r>
  <r>
    <x v="23"/>
    <x v="23"/>
    <s v="Miguel"/>
    <s v="Angel Paolino"/>
    <s v="Angel Paolino, Miguel"/>
    <s v="Angel Paolino, Miguel"/>
    <x v="0"/>
    <s v="no"/>
    <s v="no"/>
    <s v="TORTU"/>
    <n v="10842"/>
    <x v="40"/>
    <x v="40"/>
    <s v="TORTU_10842_Ipoh Coffee"/>
    <s v="10842"/>
    <s v="10842"/>
    <s v="Ipoh Coffee"/>
    <n v="46"/>
    <x v="2"/>
    <x v="0"/>
    <n v="230"/>
    <x v="1"/>
    <d v="1996-02-20T00:00:00"/>
    <s v="1st Q 1996"/>
    <s v="1st Q 1996"/>
  </r>
  <r>
    <x v="23"/>
    <x v="23"/>
    <s v="Miguel"/>
    <s v="Angel Paolino"/>
    <s v="Angel Paolino, Miguel"/>
    <s v="Angel Paolino, Miguel"/>
    <x v="0"/>
    <s v="no"/>
    <s v="no"/>
    <s v="TORTU"/>
    <n v="10842"/>
    <x v="56"/>
    <x v="56"/>
    <s v="TORTU_10842_Scottish Longbreads"/>
    <s v="10842"/>
    <s v="10842"/>
    <s v="Scottish Longbreads"/>
    <n v="12.5"/>
    <x v="8"/>
    <x v="0"/>
    <n v="250"/>
    <x v="1"/>
    <d v="1996-02-20T00:00:00"/>
    <s v="1st Q 1996"/>
    <s v="1st Q 1996"/>
  </r>
  <r>
    <x v="23"/>
    <x v="23"/>
    <s v="Miguel"/>
    <s v="Angel Paolino"/>
    <s v="Angel Paolino, Miguel"/>
    <s v="Angel Paolino, Miguel"/>
    <x v="0"/>
    <s v="no"/>
    <s v="no"/>
    <s v="TORTU"/>
    <n v="10842"/>
    <x v="30"/>
    <x v="30"/>
    <s v="TORTU_10842_Outback Lager"/>
    <s v="10842"/>
    <s v="10842"/>
    <s v="Outback Lager"/>
    <n v="15"/>
    <x v="0"/>
    <x v="0"/>
    <n v="180"/>
    <x v="1"/>
    <d v="1996-02-20T00:00:00"/>
    <s v="1st Q 1996"/>
    <s v="1st Q 1996"/>
  </r>
  <r>
    <x v="3"/>
    <x v="3"/>
    <s v="Mary"/>
    <s v="Saveley"/>
    <s v="Saveley, Mary"/>
    <s v="Saveley, Mary"/>
    <x v="0"/>
    <s v="no"/>
    <s v="no"/>
    <s v="VICTE"/>
    <n v="10843"/>
    <x v="4"/>
    <x v="4"/>
    <s v="VICTE_10843_Manjimup Dried Apples"/>
    <s v="10843"/>
    <s v="10843"/>
    <s v="Manjimup Dried Apples"/>
    <n v="53"/>
    <x v="22"/>
    <x v="4"/>
    <n v="159"/>
    <x v="1"/>
    <d v="1996-02-21T00:00:00"/>
    <s v="1st Q 1996"/>
    <s v="1st Q 1996"/>
  </r>
  <r>
    <x v="54"/>
    <x v="54"/>
    <s v="Georg"/>
    <s v="Pipps"/>
    <s v="Pipps, Georg"/>
    <s v="Pipps, Georg"/>
    <x v="0"/>
    <s v="no"/>
    <s v="no"/>
    <s v="PICCO"/>
    <n v="10844"/>
    <x v="7"/>
    <x v="7"/>
    <s v="PICCO_10844_Gustaf's Knäckebröd"/>
    <s v="10844"/>
    <s v="10844"/>
    <s v="Gustaf's Knäckebröd"/>
    <n v="21"/>
    <x v="5"/>
    <x v="0"/>
    <n v="735"/>
    <x v="1"/>
    <d v="1996-02-21T00:00:00"/>
    <s v="1st Q 1996"/>
    <s v="1st Q 1996"/>
  </r>
  <r>
    <x v="21"/>
    <x v="21"/>
    <s v="Horst"/>
    <s v="Kloss"/>
    <s v="Kloss, Horst"/>
    <s v="Kloss, Horst"/>
    <x v="0"/>
    <s v="no"/>
    <s v="no"/>
    <s v="QUICK"/>
    <n v="10845"/>
    <x v="70"/>
    <x v="70"/>
    <s v="QUICK_10845_Tunnbröd"/>
    <s v="10845"/>
    <s v="10845"/>
    <s v="Tunnbröd"/>
    <n v="9"/>
    <x v="21"/>
    <x v="5"/>
    <n v="567"/>
    <x v="1"/>
    <d v="1996-02-21T00:00:00"/>
    <s v="1st Q 1996"/>
    <s v="1st Q 1996"/>
  </r>
  <r>
    <x v="21"/>
    <x v="21"/>
    <s v="Horst"/>
    <s v="Kloss"/>
    <s v="Kloss, Horst"/>
    <s v="Kloss, Horst"/>
    <x v="0"/>
    <s v="no"/>
    <s v="no"/>
    <s v="QUICK"/>
    <n v="10845"/>
    <x v="31"/>
    <x v="31"/>
    <s v="QUICK_10845_Steeleye Stout"/>
    <s v="10845"/>
    <s v="10845"/>
    <s v="Steeleye Stout"/>
    <n v="18"/>
    <x v="9"/>
    <x v="5"/>
    <n v="405"/>
    <x v="1"/>
    <d v="1996-02-21T00:00:00"/>
    <s v="1st Q 1996"/>
    <s v="1st Q 1996"/>
  </r>
  <r>
    <x v="21"/>
    <x v="21"/>
    <s v="Horst"/>
    <s v="Kloss"/>
    <s v="Kloss, Horst"/>
    <s v="Kloss, Horst"/>
    <x v="0"/>
    <s v="no"/>
    <s v="no"/>
    <s v="QUICK"/>
    <n v="10845"/>
    <x v="1"/>
    <x v="1"/>
    <s v="QUICK_10845_Singaporean Hokkien Fried Mee"/>
    <s v="10845"/>
    <s v="10845"/>
    <s v="Singaporean Hokkien Fried Mee"/>
    <n v="14"/>
    <x v="10"/>
    <x v="5"/>
    <n v="529.20000000000005"/>
    <x v="1"/>
    <d v="1996-02-21T00:00:00"/>
    <s v="1st Q 1996"/>
    <s v="1st Q 1996"/>
  </r>
  <r>
    <x v="21"/>
    <x v="21"/>
    <s v="Horst"/>
    <s v="Kloss"/>
    <s v="Kloss, Horst"/>
    <s v="Kloss, Horst"/>
    <x v="0"/>
    <s v="no"/>
    <s v="no"/>
    <s v="QUICK"/>
    <n v="10845"/>
    <x v="64"/>
    <x v="64"/>
    <s v="QUICK_10845_Escargots de Bourgogne"/>
    <s v="10845"/>
    <s v="10845"/>
    <s v="Escargots de Bourgogne"/>
    <n v="13.25"/>
    <x v="18"/>
    <x v="5"/>
    <n v="715.5"/>
    <x v="1"/>
    <d v="1996-02-21T00:00:00"/>
    <s v="1st Q 1996"/>
    <s v="1st Q 1996"/>
  </r>
  <r>
    <x v="21"/>
    <x v="21"/>
    <s v="Horst"/>
    <s v="Kloss"/>
    <s v="Kloss, Horst"/>
    <s v="Kloss, Horst"/>
    <x v="0"/>
    <s v="no"/>
    <s v="no"/>
    <s v="QUICK"/>
    <n v="10845"/>
    <x v="58"/>
    <x v="58"/>
    <s v="QUICK_10845_Wimmers gute Semmelknödel"/>
    <s v="10845"/>
    <s v="10845"/>
    <s v="Wimmers gute Semmelknödel"/>
    <n v="33.25"/>
    <x v="33"/>
    <x v="0"/>
    <n v="1596"/>
    <x v="1"/>
    <d v="1996-02-21T00:00:00"/>
    <s v="1st Q 1996"/>
    <s v="1st Q 1996"/>
  </r>
  <r>
    <x v="4"/>
    <x v="4"/>
    <s v="Pascale"/>
    <s v="Cartrain"/>
    <s v="Cartrain, Pascale"/>
    <s v="Cartrain, Pascale"/>
    <x v="0"/>
    <s v="no"/>
    <s v="no"/>
    <s v="SUPRD"/>
    <n v="10846"/>
    <x v="62"/>
    <x v="62"/>
    <s v="SUPRD_10846_Chef Anton's Cajun Seasoning"/>
    <s v="10846"/>
    <s v="10846"/>
    <s v="Chef Anton's Cajun Seasoning"/>
    <n v="22"/>
    <x v="11"/>
    <x v="0"/>
    <n v="462"/>
    <x v="1"/>
    <d v="1996-02-22T00:00:00"/>
    <s v="1st Q 1996"/>
    <s v="1st Q 1996"/>
  </r>
  <r>
    <x v="4"/>
    <x v="4"/>
    <s v="Pascale"/>
    <s v="Cartrain"/>
    <s v="Cartrain, Pascale"/>
    <s v="Cartrain, Pascale"/>
    <x v="0"/>
    <s v="no"/>
    <s v="no"/>
    <s v="SUPRD"/>
    <n v="10846"/>
    <x v="30"/>
    <x v="30"/>
    <s v="SUPRD_10846_Outback Lager"/>
    <s v="10846"/>
    <s v="10846"/>
    <s v="Outback Lager"/>
    <n v="15"/>
    <x v="12"/>
    <x v="0"/>
    <n v="450"/>
    <x v="1"/>
    <d v="1996-02-22T00:00:00"/>
    <s v="1st Q 1996"/>
    <s v="1st Q 1996"/>
  </r>
  <r>
    <x v="4"/>
    <x v="4"/>
    <s v="Pascale"/>
    <s v="Cartrain"/>
    <s v="Cartrain, Pascale"/>
    <s v="Cartrain, Pascale"/>
    <x v="0"/>
    <s v="no"/>
    <s v="no"/>
    <s v="SUPRD"/>
    <n v="10846"/>
    <x v="17"/>
    <x v="17"/>
    <s v="SUPRD_10846_Longlife Tofu"/>
    <s v="10846"/>
    <s v="10846"/>
    <s v="Longlife Tofu"/>
    <n v="10"/>
    <x v="8"/>
    <x v="0"/>
    <n v="200"/>
    <x v="1"/>
    <d v="1996-02-22T00:00:00"/>
    <s v="1st Q 1996"/>
    <s v="1st Q 1996"/>
  </r>
  <r>
    <x v="45"/>
    <x v="45"/>
    <s v="Jose"/>
    <s v="Pavarotti"/>
    <s v="Pavarotti, Jose"/>
    <s v="Pavarotti, Jose"/>
    <x v="0"/>
    <s v="no"/>
    <s v="no"/>
    <s v="SAVEA"/>
    <n v="10847"/>
    <x v="52"/>
    <x v="52"/>
    <s v="SAVEA_10847_Chai"/>
    <s v="10847"/>
    <s v="10847"/>
    <s v="Chai"/>
    <n v="18"/>
    <x v="32"/>
    <x v="3"/>
    <n v="1152"/>
    <x v="1"/>
    <d v="1996-02-22T00:00:00"/>
    <s v="1st Q 1996"/>
    <s v="1st Q 1996"/>
  </r>
  <r>
    <x v="45"/>
    <x v="45"/>
    <s v="Jose"/>
    <s v="Pavarotti"/>
    <s v="Pavarotti, Jose"/>
    <s v="Pavarotti, Jose"/>
    <x v="0"/>
    <s v="no"/>
    <s v="no"/>
    <s v="SAVEA"/>
    <n v="10847"/>
    <x v="49"/>
    <x v="49"/>
    <s v="SAVEA_10847_Teatime Chocolate Biscuits"/>
    <s v="10847"/>
    <s v="10847"/>
    <s v="Teatime Chocolate Biscuits"/>
    <n v="9.1999999999999993"/>
    <x v="0"/>
    <x v="3"/>
    <n v="88.32"/>
    <x v="1"/>
    <d v="1996-02-22T00:00:00"/>
    <s v="1st Q 1996"/>
    <s v="1st Q 1996"/>
  </r>
  <r>
    <x v="45"/>
    <x v="45"/>
    <s v="Jose"/>
    <s v="Pavarotti"/>
    <s v="Pavarotti, Jose"/>
    <s v="Pavarotti, Jose"/>
    <x v="0"/>
    <s v="no"/>
    <s v="no"/>
    <s v="SAVEA"/>
    <n v="10847"/>
    <x v="28"/>
    <x v="28"/>
    <s v="SAVEA_10847_Gravad lax"/>
    <s v="10847"/>
    <s v="10847"/>
    <s v="Gravad lax"/>
    <n v="26"/>
    <x v="18"/>
    <x v="3"/>
    <n v="1248"/>
    <x v="1"/>
    <d v="1996-02-22T00:00:00"/>
    <s v="1st Q 1996"/>
    <s v="1st Q 1996"/>
  </r>
  <r>
    <x v="45"/>
    <x v="45"/>
    <s v="Jose"/>
    <s v="Pavarotti"/>
    <s v="Pavarotti, Jose"/>
    <s v="Pavarotti, Jose"/>
    <x v="0"/>
    <s v="no"/>
    <s v="no"/>
    <s v="SAVEA"/>
    <n v="10847"/>
    <x v="73"/>
    <x v="73"/>
    <s v="SAVEA_10847_Røgede sild"/>
    <s v="10847"/>
    <s v="10847"/>
    <s v="Røgede sild"/>
    <n v="9.5"/>
    <x v="20"/>
    <x v="3"/>
    <n v="273.60000000000002"/>
    <x v="1"/>
    <d v="1996-02-22T00:00:00"/>
    <s v="1st Q 1996"/>
    <s v="1st Q 1996"/>
  </r>
  <r>
    <x v="45"/>
    <x v="45"/>
    <s v="Jose"/>
    <s v="Pavarotti"/>
    <s v="Pavarotti, Jose"/>
    <s v="Pavarotti, Jose"/>
    <x v="0"/>
    <s v="no"/>
    <s v="no"/>
    <s v="SAVEA"/>
    <n v="10847"/>
    <x v="11"/>
    <x v="11"/>
    <s v="SAVEA_10847_Camembert Pierrot"/>
    <s v="10847"/>
    <s v="10847"/>
    <s v="Camembert Pierrot"/>
    <n v="34"/>
    <x v="29"/>
    <x v="3"/>
    <n v="1224"/>
    <x v="1"/>
    <d v="1996-02-22T00:00:00"/>
    <s v="1st Q 1996"/>
    <s v="1st Q 1996"/>
  </r>
  <r>
    <x v="45"/>
    <x v="45"/>
    <s v="Jose"/>
    <s v="Pavarotti"/>
    <s v="Pavarotti, Jose"/>
    <s v="Pavarotti, Jose"/>
    <x v="0"/>
    <s v="no"/>
    <s v="no"/>
    <s v="SAVEA"/>
    <n v="10847"/>
    <x v="42"/>
    <x v="42"/>
    <s v="SAVEA_10847_Fløtemysost"/>
    <s v="10847"/>
    <s v="10847"/>
    <s v="Fløtemysost"/>
    <n v="21.5"/>
    <x v="38"/>
    <x v="3"/>
    <n v="946"/>
    <x v="1"/>
    <d v="1996-02-22T00:00:00"/>
    <s v="1st Q 1996"/>
    <s v="1st Q 1996"/>
  </r>
  <r>
    <x v="72"/>
    <x v="72"/>
    <s v="Elizabeth"/>
    <s v="Brown"/>
    <s v="Brown, Elizabeth"/>
    <s v="Brown, Elizabeth"/>
    <x v="0"/>
    <s v="no"/>
    <s v="no"/>
    <s v="CONSH"/>
    <n v="10848"/>
    <x v="25"/>
    <x v="25"/>
    <s v="CONSH_10848_Chef Anton's Gumbo Mix"/>
    <s v="10848"/>
    <s v="10848"/>
    <s v="Chef Anton's Gumbo Mix"/>
    <n v="21.35"/>
    <x v="12"/>
    <x v="0"/>
    <n v="640.5"/>
    <x v="1"/>
    <d v="1996-02-23T00:00:00"/>
    <s v="1st Q 1996"/>
    <s v="1st Q 1996"/>
  </r>
  <r>
    <x v="72"/>
    <x v="72"/>
    <s v="Elizabeth"/>
    <s v="Brown"/>
    <s v="Brown, Elizabeth"/>
    <s v="Brown, Elizabeth"/>
    <x v="0"/>
    <s v="no"/>
    <s v="no"/>
    <s v="CONSH"/>
    <n v="10848"/>
    <x v="76"/>
    <x v="76"/>
    <s v="CONSH_10848_Mishi Kobe Niku"/>
    <s v="10848"/>
    <s v="10848"/>
    <s v="Mishi Kobe Niku"/>
    <n v="97"/>
    <x v="28"/>
    <x v="0"/>
    <n v="291"/>
    <x v="1"/>
    <d v="1996-02-23T00:00:00"/>
    <s v="1st Q 1996"/>
    <s v="1st Q 1996"/>
  </r>
  <r>
    <x v="44"/>
    <x v="44"/>
    <s v="Philip"/>
    <s v="Cramer"/>
    <s v="Cramer, Philip"/>
    <s v="Cramer, Philip"/>
    <x v="0"/>
    <s v="no"/>
    <s v="no"/>
    <s v="KOENE"/>
    <n v="10849"/>
    <x v="57"/>
    <x v="57"/>
    <s v="KOENE_10849_Aniseed Syrup"/>
    <s v="10849"/>
    <s v="10849"/>
    <s v="Aniseed Syrup"/>
    <n v="10"/>
    <x v="41"/>
    <x v="0"/>
    <n v="490"/>
    <x v="1"/>
    <d v="1996-02-23T00:00:00"/>
    <s v="1st Q 1996"/>
    <s v="1st Q 1996"/>
  </r>
  <r>
    <x v="44"/>
    <x v="44"/>
    <s v="Philip"/>
    <s v="Cramer"/>
    <s v="Cramer, Philip"/>
    <s v="Cramer, Philip"/>
    <x v="0"/>
    <s v="no"/>
    <s v="no"/>
    <s v="KOENE"/>
    <n v="10849"/>
    <x v="68"/>
    <x v="68"/>
    <s v="KOENE_10849_Gumbär Gummibärchen"/>
    <s v="10849"/>
    <s v="10849"/>
    <s v="Gumbär Gummibärchen"/>
    <n v="31.23"/>
    <x v="27"/>
    <x v="1"/>
    <n v="477.81899999999996"/>
    <x v="1"/>
    <d v="1996-02-23T00:00:00"/>
    <s v="1st Q 1996"/>
    <s v="1st Q 1996"/>
  </r>
  <r>
    <x v="3"/>
    <x v="3"/>
    <s v="Mary"/>
    <s v="Saveley"/>
    <s v="Saveley, Mary"/>
    <s v="Saveley, Mary"/>
    <x v="0"/>
    <s v="no"/>
    <s v="no"/>
    <s v="VICTE"/>
    <n v="10850"/>
    <x v="66"/>
    <x v="66"/>
    <s v="VICTE_10850_NuNuCa Nuß-Nougat-Creme"/>
    <s v="10850"/>
    <s v="10850"/>
    <s v="NuNuCa Nuß-Nougat-Creme"/>
    <n v="14"/>
    <x v="8"/>
    <x v="1"/>
    <n v="238"/>
    <x v="1"/>
    <d v="1996-02-23T00:00:00"/>
    <s v="1st Q 1996"/>
    <s v="1st Q 1996"/>
  </r>
  <r>
    <x v="3"/>
    <x v="3"/>
    <s v="Mary"/>
    <s v="Saveley"/>
    <s v="Saveley, Mary"/>
    <s v="Saveley, Mary"/>
    <x v="0"/>
    <s v="no"/>
    <s v="no"/>
    <s v="VICTE"/>
    <n v="10850"/>
    <x v="10"/>
    <x v="10"/>
    <s v="VICTE_10850_Geitost"/>
    <s v="10850"/>
    <s v="10850"/>
    <s v="Geitost"/>
    <n v="2.5"/>
    <x v="22"/>
    <x v="1"/>
    <n v="8.5"/>
    <x v="1"/>
    <d v="1996-02-23T00:00:00"/>
    <s v="1st Q 1996"/>
    <s v="1st Q 1996"/>
  </r>
  <r>
    <x v="3"/>
    <x v="3"/>
    <s v="Mary"/>
    <s v="Saveley"/>
    <s v="Saveley, Mary"/>
    <s v="Saveley, Mary"/>
    <x v="0"/>
    <s v="no"/>
    <s v="no"/>
    <s v="VICTE"/>
    <n v="10850"/>
    <x v="30"/>
    <x v="30"/>
    <s v="VICTE_10850_Outback Lager"/>
    <s v="10850"/>
    <s v="10850"/>
    <s v="Outback Lager"/>
    <n v="15"/>
    <x v="12"/>
    <x v="1"/>
    <n v="382.5"/>
    <x v="1"/>
    <d v="1996-02-23T00:00:00"/>
    <s v="1st Q 1996"/>
    <s v="1st Q 1996"/>
  </r>
  <r>
    <x v="29"/>
    <x v="29"/>
    <s v="Janete"/>
    <s v="Limeira"/>
    <s v="Limeira, Janete"/>
    <s v="Limeira, Janete"/>
    <x v="0"/>
    <s v="no"/>
    <s v="no"/>
    <s v="RICAR"/>
    <n v="10851"/>
    <x v="18"/>
    <x v="18"/>
    <s v="RICAR_10851_Chang"/>
    <s v="10851"/>
    <s v="10851"/>
    <s v="Chang"/>
    <n v="19"/>
    <x v="2"/>
    <x v="2"/>
    <n v="90.25"/>
    <x v="1"/>
    <d v="1996-02-26T00:00:00"/>
    <s v="1st Q 1996"/>
    <s v="1st Q 1996"/>
  </r>
  <r>
    <x v="29"/>
    <x v="29"/>
    <s v="Janete"/>
    <s v="Limeira"/>
    <s v="Limeira, Janete"/>
    <s v="Limeira, Janete"/>
    <x v="0"/>
    <s v="no"/>
    <s v="no"/>
    <s v="RICAR"/>
    <n v="10851"/>
    <x v="66"/>
    <x v="66"/>
    <s v="RICAR_10851_NuNuCa Nuß-Nougat-Creme"/>
    <s v="10851"/>
    <s v="10851"/>
    <s v="NuNuCa Nuß-Nougat-Creme"/>
    <n v="14"/>
    <x v="1"/>
    <x v="2"/>
    <n v="133"/>
    <x v="1"/>
    <d v="1996-02-26T00:00:00"/>
    <s v="1st Q 1996"/>
    <s v="1st Q 1996"/>
  </r>
  <r>
    <x v="29"/>
    <x v="29"/>
    <s v="Janete"/>
    <s v="Limeira"/>
    <s v="Limeira, Janete"/>
    <s v="Limeira, Janete"/>
    <x v="0"/>
    <s v="no"/>
    <s v="no"/>
    <s v="RICAR"/>
    <n v="10851"/>
    <x v="8"/>
    <x v="8"/>
    <s v="RICAR_10851_Ravioli Angelo"/>
    <s v="10851"/>
    <s v="10851"/>
    <s v="Ravioli Angelo"/>
    <n v="19.5"/>
    <x v="1"/>
    <x v="2"/>
    <n v="185.25"/>
    <x v="1"/>
    <d v="1996-02-26T00:00:00"/>
    <s v="1st Q 1996"/>
    <s v="1st Q 1996"/>
  </r>
  <r>
    <x v="29"/>
    <x v="29"/>
    <s v="Janete"/>
    <s v="Limeira"/>
    <s v="Limeira, Janete"/>
    <s v="Limeira, Janete"/>
    <x v="0"/>
    <s v="no"/>
    <s v="no"/>
    <s v="RICAR"/>
    <n v="10851"/>
    <x v="21"/>
    <x v="21"/>
    <s v="RICAR_10851_Raclette Courdavault"/>
    <s v="10851"/>
    <s v="10851"/>
    <s v="Raclette Courdavault"/>
    <n v="55"/>
    <x v="10"/>
    <x v="2"/>
    <n v="2194.5"/>
    <x v="1"/>
    <d v="1996-02-26T00:00:00"/>
    <s v="1st Q 1996"/>
    <s v="1st Q 1996"/>
  </r>
  <r>
    <x v="13"/>
    <x v="13"/>
    <s v="Paula"/>
    <s v="Wilson"/>
    <s v="Wilson, Paula"/>
    <s v="Wilson, Paula"/>
    <x v="0"/>
    <s v="no"/>
    <s v="no"/>
    <s v="RATTC"/>
    <n v="10852"/>
    <x v="18"/>
    <x v="18"/>
    <s v="RATTC_10852_Chang"/>
    <s v="10852"/>
    <s v="10852"/>
    <s v="Chang"/>
    <n v="19"/>
    <x v="6"/>
    <x v="0"/>
    <n v="285"/>
    <x v="1"/>
    <d v="1996-02-26T00:00:00"/>
    <s v="1st Q 1996"/>
    <s v="1st Q 1996"/>
  </r>
  <r>
    <x v="13"/>
    <x v="13"/>
    <s v="Paula"/>
    <s v="Wilson"/>
    <s v="Wilson, Paula"/>
    <s v="Wilson, Paula"/>
    <x v="0"/>
    <s v="no"/>
    <s v="no"/>
    <s v="RATTC"/>
    <n v="10852"/>
    <x v="35"/>
    <x v="35"/>
    <s v="RATTC_10852_Alice Mutton"/>
    <s v="10852"/>
    <s v="10852"/>
    <s v="Alice Mutton"/>
    <n v="39"/>
    <x v="7"/>
    <x v="0"/>
    <n v="234"/>
    <x v="1"/>
    <d v="1996-02-26T00:00:00"/>
    <s v="1st Q 1996"/>
    <s v="1st Q 1996"/>
  </r>
  <r>
    <x v="13"/>
    <x v="13"/>
    <s v="Paula"/>
    <s v="Wilson"/>
    <s v="Wilson, Paula"/>
    <s v="Wilson, Paula"/>
    <x v="0"/>
    <s v="no"/>
    <s v="no"/>
    <s v="RATTC"/>
    <n v="10852"/>
    <x v="29"/>
    <x v="29"/>
    <s v="RATTC_10852_Tarte au sucre"/>
    <s v="10852"/>
    <s v="10852"/>
    <s v="Tarte au sucre"/>
    <n v="49.3"/>
    <x v="13"/>
    <x v="0"/>
    <n v="2465"/>
    <x v="1"/>
    <d v="1996-02-26T00:00:00"/>
    <s v="1st Q 1996"/>
    <s v="1st Q 1996"/>
  </r>
  <r>
    <x v="76"/>
    <x v="76"/>
    <s v="Hanna"/>
    <s v="Moos"/>
    <s v="Moos, Hanna"/>
    <s v="Moos, Hanna"/>
    <x v="0"/>
    <s v="no"/>
    <s v="no"/>
    <s v="BLAUS"/>
    <n v="10853"/>
    <x v="59"/>
    <x v="59"/>
    <s v="BLAUS_10853_Carnarvon Tigers"/>
    <s v="10853"/>
    <s v="10853"/>
    <s v="Carnarvon Tigers"/>
    <n v="62.5"/>
    <x v="1"/>
    <x v="0"/>
    <n v="625"/>
    <x v="1"/>
    <d v="1996-02-27T00:00:00"/>
    <s v="1st Q 1996"/>
    <s v="1st Q 1996"/>
  </r>
  <r>
    <x v="9"/>
    <x v="9"/>
    <s v="Roland"/>
    <s v="Mendel"/>
    <s v="Mendel, Roland"/>
    <s v="Mendel, Roland"/>
    <x v="0"/>
    <s v="no"/>
    <s v="moderate"/>
    <s v="ERNSH"/>
    <n v="10854"/>
    <x v="41"/>
    <x v="41"/>
    <s v="ERNSH_10854_Ikura"/>
    <s v="10854"/>
    <s v="10854"/>
    <s v="Ikura"/>
    <n v="31"/>
    <x v="30"/>
    <x v="1"/>
    <n v="2635"/>
    <x v="1"/>
    <d v="1996-02-27T00:00:00"/>
    <s v="1st Q 1996"/>
    <s v="1st Q 1996"/>
  </r>
  <r>
    <x v="9"/>
    <x v="9"/>
    <s v="Roland"/>
    <s v="Mendel"/>
    <s v="Mendel, Roland"/>
    <s v="Mendel, Roland"/>
    <x v="0"/>
    <s v="no"/>
    <s v="no"/>
    <s v="ERNSH"/>
    <n v="10854"/>
    <x v="43"/>
    <x v="43"/>
    <s v="ERNSH_10854_Konbu"/>
    <s v="10854"/>
    <s v="10854"/>
    <s v="Konbu"/>
    <n v="6"/>
    <x v="14"/>
    <x v="1"/>
    <n v="331.5"/>
    <x v="1"/>
    <d v="1996-02-27T00:00:00"/>
    <s v="1st Q 1996"/>
    <s v="1st Q 1996"/>
  </r>
  <r>
    <x v="37"/>
    <x v="37"/>
    <s v="Rene"/>
    <s v="Phillips"/>
    <s v="Phillips, Rene"/>
    <s v="Phillips, Rene"/>
    <x v="0"/>
    <s v="no"/>
    <s v="no"/>
    <s v="OLDWO"/>
    <n v="10855"/>
    <x v="19"/>
    <x v="19"/>
    <s v="OLDWO_10855_Pavlova"/>
    <s v="10855"/>
    <s v="10855"/>
    <s v="Pavlova"/>
    <n v="17.45"/>
    <x v="13"/>
    <x v="0"/>
    <n v="872.5"/>
    <x v="1"/>
    <d v="1996-02-27T00:00:00"/>
    <s v="1st Q 1996"/>
    <s v="1st Q 1996"/>
  </r>
  <r>
    <x v="37"/>
    <x v="37"/>
    <s v="Rene"/>
    <s v="Phillips"/>
    <s v="Phillips, Rene"/>
    <s v="Phillips, Rene"/>
    <x v="0"/>
    <s v="no"/>
    <s v="no"/>
    <s v="OLDWO"/>
    <n v="10855"/>
    <x v="12"/>
    <x v="12"/>
    <s v="OLDWO_10855_Gorgonzola Telino"/>
    <s v="10855"/>
    <s v="10855"/>
    <s v="Gorgonzola Telino"/>
    <n v="12.5"/>
    <x v="31"/>
    <x v="0"/>
    <n v="175"/>
    <x v="1"/>
    <d v="1996-02-27T00:00:00"/>
    <s v="1st Q 1996"/>
    <s v="1st Q 1996"/>
  </r>
  <r>
    <x v="37"/>
    <x v="37"/>
    <s v="Rene"/>
    <s v="Phillips"/>
    <s v="Phillips, Rene"/>
    <s v="Phillips, Rene"/>
    <x v="0"/>
    <s v="no"/>
    <s v="no"/>
    <s v="OLDWO"/>
    <n v="10855"/>
    <x v="33"/>
    <x v="33"/>
    <s v="OLDWO_10855_Gnocchi di nonna Alice"/>
    <s v="10855"/>
    <s v="10855"/>
    <s v="Gnocchi di nonna Alice"/>
    <n v="38"/>
    <x v="23"/>
    <x v="0"/>
    <n v="912"/>
    <x v="1"/>
    <d v="1996-02-27T00:00:00"/>
    <s v="1st Q 1996"/>
    <s v="1st Q 1996"/>
  </r>
  <r>
    <x v="37"/>
    <x v="37"/>
    <s v="Rene"/>
    <s v="Phillips"/>
    <s v="Phillips, Rene"/>
    <s v="Phillips, Rene"/>
    <x v="0"/>
    <s v="no"/>
    <s v="no"/>
    <s v="OLDWO"/>
    <n v="10855"/>
    <x v="6"/>
    <x v="6"/>
    <s v="OLDWO_10855_Louisiana Fiery Hot Pepper Sauce"/>
    <s v="10855"/>
    <s v="10855"/>
    <s v="Louisiana Fiery Hot Pepper Sauce"/>
    <n v="21.05"/>
    <x v="6"/>
    <x v="1"/>
    <n v="268.38749999999999"/>
    <x v="1"/>
    <d v="1996-02-27T00:00:00"/>
    <s v="1st Q 1996"/>
    <s v="1st Q 1996"/>
  </r>
  <r>
    <x v="59"/>
    <x v="59"/>
    <s v="Antonio"/>
    <s v="Moreno"/>
    <s v="Moreno, Antonio"/>
    <s v="Moreno, Antonio"/>
    <x v="0"/>
    <s v="no"/>
    <s v="no"/>
    <s v="ANTON"/>
    <n v="10856"/>
    <x v="18"/>
    <x v="18"/>
    <s v="ANTON_10856_Chang"/>
    <s v="10856"/>
    <s v="10856"/>
    <s v="Chang"/>
    <n v="19"/>
    <x v="8"/>
    <x v="0"/>
    <n v="380"/>
    <x v="1"/>
    <d v="1996-02-28T00:00:00"/>
    <s v="1st Q 1996"/>
    <s v="1st Q 1996"/>
  </r>
  <r>
    <x v="59"/>
    <x v="59"/>
    <s v="Antonio"/>
    <s v="Moreno"/>
    <s v="Moreno, Antonio"/>
    <s v="Moreno, Antonio"/>
    <x v="0"/>
    <s v="no"/>
    <s v="no"/>
    <s v="ANTON"/>
    <n v="10856"/>
    <x v="1"/>
    <x v="1"/>
    <s v="ANTON_10856_Singaporean Hokkien Fried Mee"/>
    <s v="10856"/>
    <s v="10856"/>
    <s v="Singaporean Hokkien Fried Mee"/>
    <n v="14"/>
    <x v="8"/>
    <x v="0"/>
    <n v="280"/>
    <x v="1"/>
    <d v="1996-02-28T00:00:00"/>
    <s v="1st Q 1996"/>
    <s v="1st Q 1996"/>
  </r>
  <r>
    <x v="25"/>
    <x v="25"/>
    <s v="Christina"/>
    <s v="Berglund"/>
    <s v="Berglund, Christina"/>
    <s v="Berglund, Christina"/>
    <x v="0"/>
    <s v="no"/>
    <s v="no"/>
    <s v="BERGS"/>
    <n v="10857"/>
    <x v="57"/>
    <x v="57"/>
    <s v="BERGS_10857_Aniseed Syrup"/>
    <s v="10857"/>
    <s v="10857"/>
    <s v="Aniseed Syrup"/>
    <n v="10"/>
    <x v="12"/>
    <x v="0"/>
    <n v="300"/>
    <x v="1"/>
    <d v="1996-02-28T00:00:00"/>
    <s v="1st Q 1996"/>
    <s v="1st Q 1996"/>
  </r>
  <r>
    <x v="25"/>
    <x v="25"/>
    <s v="Christina"/>
    <s v="Berglund"/>
    <s v="Berglund, Christina"/>
    <s v="Berglund, Christina"/>
    <x v="0"/>
    <s v="no"/>
    <s v="no"/>
    <s v="BERGS"/>
    <n v="10857"/>
    <x v="68"/>
    <x v="68"/>
    <s v="BERGS_10857_Gumbär Gummibärchen"/>
    <s v="10857"/>
    <s v="10857"/>
    <s v="Gumbär Gummibärchen"/>
    <n v="31.23"/>
    <x v="5"/>
    <x v="4"/>
    <n v="819.78749999999991"/>
    <x v="1"/>
    <d v="1996-02-28T00:00:00"/>
    <s v="1st Q 1996"/>
    <s v="1st Q 1996"/>
  </r>
  <r>
    <x v="25"/>
    <x v="25"/>
    <s v="Christina"/>
    <s v="Berglund"/>
    <s v="Berglund, Christina"/>
    <s v="Berglund, Christina"/>
    <x v="0"/>
    <s v="no"/>
    <s v="no"/>
    <s v="BERGS"/>
    <n v="10857"/>
    <x v="39"/>
    <x v="39"/>
    <s v="BERGS_10857_Thüringer Rostbratwurst"/>
    <s v="10857"/>
    <s v="10857"/>
    <s v="Thüringer Rostbratwurst"/>
    <n v="123.79"/>
    <x v="1"/>
    <x v="4"/>
    <n v="928.42500000000007"/>
    <x v="1"/>
    <d v="1996-02-28T00:00:00"/>
    <s v="1st Q 1996"/>
    <s v="1st Q 1996"/>
  </r>
  <r>
    <x v="88"/>
    <x v="88"/>
    <s v="Daniel"/>
    <s v="Tonini"/>
    <s v="Tonini, Daniel"/>
    <s v="Tonini, Daniel"/>
    <x v="0"/>
    <s v="no"/>
    <s v="no"/>
    <s v="LACOR"/>
    <n v="10858"/>
    <x v="32"/>
    <x v="32"/>
    <s v="LACOR_10858_Uncle Bob's Organic Dried Pears"/>
    <s v="10858"/>
    <s v="10858"/>
    <s v="Uncle Bob's Organic Dried Pears"/>
    <n v="30"/>
    <x v="2"/>
    <x v="0"/>
    <n v="150"/>
    <x v="1"/>
    <d v="1996-02-29T00:00:00"/>
    <s v="1st Q 1996"/>
    <s v="1st Q 1996"/>
  </r>
  <r>
    <x v="88"/>
    <x v="88"/>
    <s v="Daniel"/>
    <s v="Tonini"/>
    <s v="Tonini, Daniel"/>
    <s v="Tonini, Daniel"/>
    <x v="0"/>
    <s v="no"/>
    <s v="no"/>
    <s v="LACOR"/>
    <n v="10858"/>
    <x v="24"/>
    <x v="24"/>
    <s v="LACOR_10858_Schoggi Schokolade"/>
    <s v="10858"/>
    <s v="10858"/>
    <s v="Schoggi Schokolade"/>
    <n v="43.9"/>
    <x v="1"/>
    <x v="0"/>
    <n v="439"/>
    <x v="1"/>
    <d v="1996-02-29T00:00:00"/>
    <s v="1st Q 1996"/>
    <s v="1st Q 1996"/>
  </r>
  <r>
    <x v="88"/>
    <x v="88"/>
    <s v="Daniel"/>
    <s v="Tonini"/>
    <s v="Tonini, Daniel"/>
    <s v="Tonini, Daniel"/>
    <x v="0"/>
    <s v="no"/>
    <s v="no"/>
    <s v="LACOR"/>
    <n v="10858"/>
    <x v="30"/>
    <x v="30"/>
    <s v="LACOR_10858_Outback Lager"/>
    <s v="10858"/>
    <s v="10858"/>
    <s v="Outback Lager"/>
    <n v="15"/>
    <x v="22"/>
    <x v="0"/>
    <n v="60"/>
    <x v="1"/>
    <d v="1996-02-29T00:00:00"/>
    <s v="1st Q 1996"/>
    <s v="1st Q 1996"/>
  </r>
  <r>
    <x v="17"/>
    <x v="17"/>
    <s v="Peter"/>
    <s v="Franken"/>
    <s v="Franken, Peter"/>
    <s v="Franken, Peter"/>
    <x v="0"/>
    <s v="no"/>
    <s v="no"/>
    <s v="FRANK"/>
    <n v="10859"/>
    <x v="15"/>
    <x v="15"/>
    <s v="FRANK_10859_Guaraná Fantástica"/>
    <s v="10859"/>
    <s v="10859"/>
    <s v="Guaraná Fantástica"/>
    <n v="4.5"/>
    <x v="4"/>
    <x v="4"/>
    <n v="135"/>
    <x v="1"/>
    <d v="1996-02-29T00:00:00"/>
    <s v="1st Q 1996"/>
    <s v="1st Q 1996"/>
  </r>
  <r>
    <x v="17"/>
    <x v="17"/>
    <s v="Peter"/>
    <s v="Franken"/>
    <s v="Franken, Peter"/>
    <s v="Franken, Peter"/>
    <x v="0"/>
    <s v="no"/>
    <s v="no"/>
    <s v="FRANK"/>
    <n v="10859"/>
    <x v="55"/>
    <x v="55"/>
    <s v="FRANK_10859_Tourtière"/>
    <s v="10859"/>
    <s v="10859"/>
    <s v="Tourtière"/>
    <n v="7.45"/>
    <x v="5"/>
    <x v="4"/>
    <n v="195.5625"/>
    <x v="1"/>
    <d v="1996-02-29T00:00:00"/>
    <s v="1st Q 1996"/>
    <s v="1st Q 1996"/>
  </r>
  <r>
    <x v="17"/>
    <x v="17"/>
    <s v="Peter"/>
    <s v="Franken"/>
    <s v="Franken, Peter"/>
    <s v="Franken, Peter"/>
    <x v="0"/>
    <s v="no"/>
    <s v="no"/>
    <s v="FRANK"/>
    <n v="10859"/>
    <x v="58"/>
    <x v="58"/>
    <s v="FRANK_10859_Wimmers gute Semmelknödel"/>
    <s v="10859"/>
    <s v="10859"/>
    <s v="Wimmers gute Semmelknödel"/>
    <n v="33.25"/>
    <x v="12"/>
    <x v="4"/>
    <n v="748.125"/>
    <x v="1"/>
    <d v="1996-02-29T00:00:00"/>
    <s v="1st Q 1996"/>
    <s v="1st Q 1996"/>
  </r>
  <r>
    <x v="86"/>
    <x v="86"/>
    <s v="Carine"/>
    <s v="Schmitt"/>
    <s v="Schmitt, Carine"/>
    <s v="Schmitt, Carine"/>
    <x v="0"/>
    <s v="no"/>
    <s v="no"/>
    <s v="FRANR"/>
    <n v="10860"/>
    <x v="4"/>
    <x v="4"/>
    <s v="FRANR_10860_Manjimup Dried Apples"/>
    <s v="10860"/>
    <s v="10860"/>
    <s v="Manjimup Dried Apples"/>
    <n v="53"/>
    <x v="28"/>
    <x v="0"/>
    <n v="159"/>
    <x v="1"/>
    <d v="1996-02-29T00:00:00"/>
    <s v="1st Q 1996"/>
    <s v="1st Q 1996"/>
  </r>
  <r>
    <x v="86"/>
    <x v="86"/>
    <s v="Carine"/>
    <s v="Schmitt"/>
    <s v="Schmitt, Carine"/>
    <s v="Schmitt, Carine"/>
    <x v="0"/>
    <s v="no"/>
    <s v="no"/>
    <s v="FRANR"/>
    <n v="10860"/>
    <x v="38"/>
    <x v="38"/>
    <s v="FRANR_10860_Lakkalikööri"/>
    <s v="10860"/>
    <s v="10860"/>
    <s v="Lakkalikööri"/>
    <n v="18"/>
    <x v="8"/>
    <x v="0"/>
    <n v="360"/>
    <x v="1"/>
    <d v="1996-02-29T00:00:00"/>
    <s v="1st Q 1996"/>
    <s v="1st Q 1996"/>
  </r>
  <r>
    <x v="19"/>
    <x v="19"/>
    <s v="Karl"/>
    <s v="Jablonski"/>
    <s v="Jablonski, Karl"/>
    <s v="Jablonski, Karl"/>
    <x v="0"/>
    <s v="no"/>
    <s v="no"/>
    <s v="WHITC"/>
    <n v="10861"/>
    <x v="35"/>
    <x v="35"/>
    <s v="WHITC_10861_Alice Mutton"/>
    <s v="10861"/>
    <s v="10861"/>
    <s v="Alice Mutton"/>
    <n v="39"/>
    <x v="10"/>
    <x v="0"/>
    <n v="1638"/>
    <x v="1"/>
    <d v="1996-03-01T00:00:00"/>
    <s v="1st Q 1996"/>
    <s v="1st Q 1996"/>
  </r>
  <r>
    <x v="19"/>
    <x v="19"/>
    <s v="Karl"/>
    <s v="Jablonski"/>
    <s v="Jablonski, Karl"/>
    <s v="Jablonski, Karl"/>
    <x v="0"/>
    <s v="no"/>
    <s v="no"/>
    <s v="WHITC"/>
    <n v="10861"/>
    <x v="59"/>
    <x v="59"/>
    <s v="WHITC_10861_Carnarvon Tigers"/>
    <s v="10861"/>
    <s v="10861"/>
    <s v="Carnarvon Tigers"/>
    <n v="62.5"/>
    <x v="8"/>
    <x v="0"/>
    <n v="1250"/>
    <x v="1"/>
    <d v="1996-03-01T00:00:00"/>
    <s v="1st Q 1996"/>
    <s v="1st Q 1996"/>
  </r>
  <r>
    <x v="19"/>
    <x v="19"/>
    <s v="Karl"/>
    <s v="Jablonski"/>
    <s v="Jablonski, Karl"/>
    <s v="Jablonski, Karl"/>
    <x v="0"/>
    <s v="no"/>
    <s v="no"/>
    <s v="WHITC"/>
    <n v="10861"/>
    <x v="27"/>
    <x v="27"/>
    <s v="WHITC_10861_Sir Rodney's Scones"/>
    <s v="10861"/>
    <s v="10861"/>
    <s v="Sir Rodney's Scones"/>
    <n v="10"/>
    <x v="4"/>
    <x v="0"/>
    <n v="400"/>
    <x v="1"/>
    <d v="1996-03-01T00:00:00"/>
    <s v="1st Q 1996"/>
    <s v="1st Q 1996"/>
  </r>
  <r>
    <x v="19"/>
    <x v="19"/>
    <s v="Karl"/>
    <s v="Jablonski"/>
    <s v="Jablonski, Karl"/>
    <s v="Jablonski, Karl"/>
    <x v="0"/>
    <s v="no"/>
    <s v="no"/>
    <s v="WHITC"/>
    <n v="10861"/>
    <x v="10"/>
    <x v="10"/>
    <s v="WHITC_10861_Geitost"/>
    <s v="10861"/>
    <s v="10861"/>
    <s v="Geitost"/>
    <n v="2.5"/>
    <x v="5"/>
    <x v="0"/>
    <n v="87.5"/>
    <x v="1"/>
    <d v="1996-03-01T00:00:00"/>
    <s v="1st Q 1996"/>
    <s v="1st Q 1996"/>
  </r>
  <r>
    <x v="19"/>
    <x v="19"/>
    <s v="Karl"/>
    <s v="Jablonski"/>
    <s v="Jablonski, Karl"/>
    <s v="Jablonski, Karl"/>
    <x v="0"/>
    <s v="no"/>
    <s v="no"/>
    <s v="WHITC"/>
    <n v="10861"/>
    <x v="29"/>
    <x v="29"/>
    <s v="WHITC_10861_Tarte au sucre"/>
    <s v="10861"/>
    <s v="10861"/>
    <s v="Tarte au sucre"/>
    <n v="49.3"/>
    <x v="28"/>
    <x v="0"/>
    <n v="147.89999999999998"/>
    <x v="1"/>
    <d v="1996-03-01T00:00:00"/>
    <s v="1st Q 1996"/>
    <s v="1st Q 1996"/>
  </r>
  <r>
    <x v="26"/>
    <x v="26"/>
    <s v="Renate"/>
    <s v="Messner"/>
    <s v="Messner, Renate"/>
    <s v="Messner, Renate"/>
    <x v="0"/>
    <s v="no"/>
    <s v="no"/>
    <s v="LEHMS"/>
    <n v="10862"/>
    <x v="0"/>
    <x v="0"/>
    <s v="LEHMS_10862_Queso Cabrales"/>
    <s v="10862"/>
    <s v="10862"/>
    <s v="Queso Cabrales"/>
    <n v="21"/>
    <x v="9"/>
    <x v="0"/>
    <n v="525"/>
    <x v="1"/>
    <d v="1996-03-01T00:00:00"/>
    <s v="1st Q 1996"/>
    <s v="1st Q 1996"/>
  </r>
  <r>
    <x v="26"/>
    <x v="26"/>
    <s v="Renate"/>
    <s v="Messner"/>
    <s v="Messner, Renate"/>
    <s v="Messner, Renate"/>
    <x v="0"/>
    <s v="no"/>
    <s v="no"/>
    <s v="LEHMS"/>
    <n v="10862"/>
    <x v="65"/>
    <x v="65"/>
    <s v="LEHMS_10862_Filo Mix"/>
    <s v="10862"/>
    <s v="10862"/>
    <s v="Filo Mix"/>
    <n v="7"/>
    <x v="26"/>
    <x v="0"/>
    <n v="56"/>
    <x v="1"/>
    <d v="1996-03-01T00:00:00"/>
    <s v="1st Q 1996"/>
    <s v="1st Q 1996"/>
  </r>
  <r>
    <x v="8"/>
    <x v="8"/>
    <s v="Carlos"/>
    <s v="Hernández"/>
    <s v="Hernández, Carlos"/>
    <s v="Hernández, Carlos"/>
    <x v="0"/>
    <s v="no"/>
    <s v="no"/>
    <s v="HILAA"/>
    <n v="10863"/>
    <x v="52"/>
    <x v="52"/>
    <s v="HILAA_10863_Chai"/>
    <s v="10863"/>
    <s v="10863"/>
    <s v="Chai"/>
    <n v="18"/>
    <x v="8"/>
    <x v="1"/>
    <n v="306"/>
    <x v="1"/>
    <d v="1996-03-04T00:00:00"/>
    <s v="1st Q 1996"/>
    <s v="1st Q 1996"/>
  </r>
  <r>
    <x v="8"/>
    <x v="8"/>
    <s v="Carlos"/>
    <s v="Hernández"/>
    <s v="Hernández, Carlos"/>
    <s v="Hernández, Carlos"/>
    <x v="0"/>
    <s v="no"/>
    <s v="no"/>
    <s v="HILAA"/>
    <n v="10863"/>
    <x v="64"/>
    <x v="64"/>
    <s v="HILAA_10863_Escargots de Bourgogne"/>
    <s v="10863"/>
    <s v="10863"/>
    <s v="Escargots de Bourgogne"/>
    <n v="13.25"/>
    <x v="0"/>
    <x v="1"/>
    <n v="135.15"/>
    <x v="1"/>
    <d v="1996-03-04T00:00:00"/>
    <s v="1st Q 1996"/>
    <s v="1st Q 1996"/>
  </r>
  <r>
    <x v="55"/>
    <x v="55"/>
    <s v="Thomas"/>
    <s v="Hardy"/>
    <s v="Hardy, Thomas"/>
    <s v="Hardy, Thomas"/>
    <x v="0"/>
    <s v="no"/>
    <s v="no"/>
    <s v="AROUT"/>
    <n v="10864"/>
    <x v="31"/>
    <x v="31"/>
    <s v="AROUT_10864_Steeleye Stout"/>
    <s v="10864"/>
    <s v="10864"/>
    <s v="Steeleye Stout"/>
    <n v="18"/>
    <x v="22"/>
    <x v="0"/>
    <n v="72"/>
    <x v="1"/>
    <d v="1996-03-04T00:00:00"/>
    <s v="1st Q 1996"/>
    <s v="1st Q 1996"/>
  </r>
  <r>
    <x v="55"/>
    <x v="55"/>
    <s v="Thomas"/>
    <s v="Hardy"/>
    <s v="Hardy, Thomas"/>
    <s v="Hardy, Thomas"/>
    <x v="0"/>
    <s v="no"/>
    <s v="no"/>
    <s v="AROUT"/>
    <n v="10864"/>
    <x v="51"/>
    <x v="51"/>
    <s v="AROUT_10864_Laughing Lumberjack Lager"/>
    <s v="10864"/>
    <s v="10864"/>
    <s v="Laughing Lumberjack Lager"/>
    <n v="14"/>
    <x v="6"/>
    <x v="0"/>
    <n v="210"/>
    <x v="1"/>
    <d v="1996-03-04T00:00:00"/>
    <s v="1st Q 1996"/>
    <s v="1st Q 1996"/>
  </r>
  <r>
    <x v="21"/>
    <x v="21"/>
    <s v="Horst"/>
    <s v="Kloss"/>
    <s v="Kloss, Horst"/>
    <s v="Kloss, Horst"/>
    <x v="1"/>
    <s v="yes"/>
    <s v="yes"/>
    <s v="QUICK"/>
    <n v="10865"/>
    <x v="67"/>
    <x v="67"/>
    <s v="QUICK_10865_Côte de Blaye"/>
    <s v="10865"/>
    <s v="10865"/>
    <s v="Côte de Blaye"/>
    <n v="263.5"/>
    <x v="18"/>
    <x v="2"/>
    <n v="15019.5"/>
    <x v="1"/>
    <d v="1996-03-04T00:00:00"/>
    <s v="1st Q 1996"/>
    <s v="1st Q 1996"/>
  </r>
  <r>
    <x v="21"/>
    <x v="21"/>
    <s v="Horst"/>
    <s v="Kloss"/>
    <s v="Kloss, Horst"/>
    <s v="Kloss, Horst"/>
    <x v="0"/>
    <s v="no"/>
    <s v="no"/>
    <s v="QUICK"/>
    <n v="10865"/>
    <x v="13"/>
    <x v="13"/>
    <s v="QUICK_10865_Chartreuse verte"/>
    <s v="10865"/>
    <s v="10865"/>
    <s v="Chartreuse verte"/>
    <n v="18"/>
    <x v="32"/>
    <x v="2"/>
    <n v="1368"/>
    <x v="1"/>
    <d v="1996-03-04T00:00:00"/>
    <s v="1st Q 1996"/>
    <s v="1st Q 1996"/>
  </r>
  <r>
    <x v="25"/>
    <x v="25"/>
    <s v="Christina"/>
    <s v="Berglund"/>
    <s v="Berglund, Christina"/>
    <s v="Berglund, Christina"/>
    <x v="0"/>
    <s v="no"/>
    <s v="no"/>
    <s v="BERGS"/>
    <n v="10866"/>
    <x v="18"/>
    <x v="18"/>
    <s v="BERGS_10866_Chang"/>
    <s v="10866"/>
    <s v="10866"/>
    <s v="Chang"/>
    <n v="19"/>
    <x v="11"/>
    <x v="4"/>
    <n v="299.25"/>
    <x v="1"/>
    <d v="1996-03-05T00:00:00"/>
    <s v="1st Q 1996"/>
    <s v="1st Q 1996"/>
  </r>
  <r>
    <x v="25"/>
    <x v="25"/>
    <s v="Christina"/>
    <s v="Berglund"/>
    <s v="Berglund, Christina"/>
    <s v="Berglund, Christina"/>
    <x v="0"/>
    <s v="no"/>
    <s v="no"/>
    <s v="BERGS"/>
    <n v="10866"/>
    <x v="15"/>
    <x v="15"/>
    <s v="BERGS_10866_Guaraná Fantástica"/>
    <s v="10866"/>
    <s v="10866"/>
    <s v="Guaraná Fantástica"/>
    <n v="4.5"/>
    <x v="7"/>
    <x v="4"/>
    <n v="20.25"/>
    <x v="1"/>
    <d v="1996-03-05T00:00:00"/>
    <s v="1st Q 1996"/>
    <s v="1st Q 1996"/>
  </r>
  <r>
    <x v="25"/>
    <x v="25"/>
    <s v="Christina"/>
    <s v="Berglund"/>
    <s v="Berglund, Christina"/>
    <s v="Berglund, Christina"/>
    <x v="0"/>
    <s v="no"/>
    <s v="no"/>
    <s v="BERGS"/>
    <n v="10866"/>
    <x v="34"/>
    <x v="34"/>
    <s v="BERGS_10866_Nord-Ost Matjeshering"/>
    <s v="10866"/>
    <s v="10866"/>
    <s v="Nord-Ost Matjeshering"/>
    <n v="25.89"/>
    <x v="4"/>
    <x v="4"/>
    <n v="776.69999999999993"/>
    <x v="1"/>
    <d v="1996-03-05T00:00:00"/>
    <s v="1st Q 1996"/>
    <s v="1st Q 1996"/>
  </r>
  <r>
    <x v="38"/>
    <x v="38"/>
    <s v="Fran"/>
    <s v="Wilson"/>
    <s v="Wilson, Fran"/>
    <s v="Wilson, Fran"/>
    <x v="0"/>
    <s v="no"/>
    <s v="no"/>
    <s v="LONEP"/>
    <n v="10867"/>
    <x v="22"/>
    <x v="22"/>
    <s v="LONEP_10867_Perth Pasties"/>
    <s v="10867"/>
    <s v="10867"/>
    <s v="Perth Pasties"/>
    <n v="32.799999999999997"/>
    <x v="28"/>
    <x v="0"/>
    <n v="98.399999999999991"/>
    <x v="1"/>
    <d v="1996-03-05T00:00:00"/>
    <s v="1st Q 1996"/>
    <s v="1st Q 1996"/>
  </r>
  <r>
    <x v="62"/>
    <x v="62"/>
    <s v="Lúcia"/>
    <s v="Carvalho"/>
    <s v="Carvalho, Lúcia"/>
    <s v="Carvalho, Lúcia"/>
    <x v="0"/>
    <s v="no"/>
    <s v="no"/>
    <s v="QUEEN"/>
    <n v="10868"/>
    <x v="68"/>
    <x v="68"/>
    <s v="QUEEN_10868_Gumbär Gummibärchen"/>
    <s v="10868"/>
    <s v="10868"/>
    <s v="Gumbär Gummibärchen"/>
    <n v="31.23"/>
    <x v="8"/>
    <x v="0"/>
    <n v="624.6"/>
    <x v="1"/>
    <d v="1996-03-06T00:00:00"/>
    <s v="1st Q 1996"/>
    <s v="1st Q 1996"/>
  </r>
  <r>
    <x v="62"/>
    <x v="62"/>
    <s v="Lúcia"/>
    <s v="Carvalho"/>
    <s v="Carvalho, Lúcia"/>
    <s v="Carvalho, Lúcia"/>
    <x v="0"/>
    <s v="no"/>
    <s v="no"/>
    <s v="QUEEN"/>
    <n v="10868"/>
    <x v="31"/>
    <x v="31"/>
    <s v="QUEEN_10868_Steeleye Stout"/>
    <s v="10868"/>
    <s v="10868"/>
    <s v="Steeleye Stout"/>
    <n v="18"/>
    <x v="12"/>
    <x v="0"/>
    <n v="540"/>
    <x v="1"/>
    <d v="1996-03-06T00:00:00"/>
    <s v="1st Q 1996"/>
    <s v="1st Q 1996"/>
  </r>
  <r>
    <x v="62"/>
    <x v="62"/>
    <s v="Lúcia"/>
    <s v="Carvalho"/>
    <s v="Carvalho, Lúcia"/>
    <s v="Carvalho, Lúcia"/>
    <x v="0"/>
    <s v="no"/>
    <s v="no"/>
    <s v="QUEEN"/>
    <n v="10868"/>
    <x v="14"/>
    <x v="14"/>
    <s v="QUEEN_10868_Maxilaku"/>
    <s v="10868"/>
    <s v="10868"/>
    <s v="Maxilaku"/>
    <n v="20"/>
    <x v="10"/>
    <x v="5"/>
    <n v="756"/>
    <x v="1"/>
    <d v="1996-03-06T00:00:00"/>
    <s v="1st Q 1996"/>
    <s v="1st Q 1996"/>
  </r>
  <r>
    <x v="56"/>
    <x v="56"/>
    <s v="Hari"/>
    <s v="Kumar"/>
    <s v="Kumar, Hari"/>
    <s v="Kumar, Hari"/>
    <x v="0"/>
    <s v="no"/>
    <s v="no"/>
    <s v="SEVES"/>
    <n v="10869"/>
    <x v="52"/>
    <x v="52"/>
    <s v="SEVES_10869_Chai"/>
    <s v="10869"/>
    <s v="10869"/>
    <s v="Chai"/>
    <n v="18"/>
    <x v="4"/>
    <x v="0"/>
    <n v="720"/>
    <x v="1"/>
    <d v="1996-03-06T00:00:00"/>
    <s v="1st Q 1996"/>
    <s v="1st Q 1996"/>
  </r>
  <r>
    <x v="56"/>
    <x v="56"/>
    <s v="Hari"/>
    <s v="Kumar"/>
    <s v="Kumar, Hari"/>
    <s v="Kumar, Hari"/>
    <x v="0"/>
    <s v="no"/>
    <s v="no"/>
    <s v="SEVES"/>
    <n v="10869"/>
    <x v="0"/>
    <x v="0"/>
    <s v="SEVES_10869_Queso Cabrales"/>
    <s v="10869"/>
    <s v="10869"/>
    <s v="Queso Cabrales"/>
    <n v="21"/>
    <x v="1"/>
    <x v="0"/>
    <n v="210"/>
    <x v="1"/>
    <d v="1996-03-06T00:00:00"/>
    <s v="1st Q 1996"/>
    <s v="1st Q 1996"/>
  </r>
  <r>
    <x v="56"/>
    <x v="56"/>
    <s v="Hari"/>
    <s v="Kumar"/>
    <s v="Kumar, Hari"/>
    <s v="Kumar, Hari"/>
    <x v="0"/>
    <s v="no"/>
    <s v="no"/>
    <s v="SEVES"/>
    <n v="10869"/>
    <x v="70"/>
    <x v="70"/>
    <s v="SEVES_10869_Tunnbröd"/>
    <s v="10869"/>
    <s v="10869"/>
    <s v="Tunnbröd"/>
    <n v="9"/>
    <x v="13"/>
    <x v="0"/>
    <n v="450"/>
    <x v="1"/>
    <d v="1996-03-06T00:00:00"/>
    <s v="1st Q 1996"/>
    <s v="1st Q 1996"/>
  </r>
  <r>
    <x v="56"/>
    <x v="56"/>
    <s v="Hari"/>
    <s v="Kumar"/>
    <s v="Kumar, Hari"/>
    <s v="Kumar, Hari"/>
    <x v="0"/>
    <s v="no"/>
    <s v="no"/>
    <s v="SEVES"/>
    <n v="10869"/>
    <x v="56"/>
    <x v="56"/>
    <s v="SEVES_10869_Scottish Longbreads"/>
    <s v="10869"/>
    <s v="10869"/>
    <s v="Scottish Longbreads"/>
    <n v="12.5"/>
    <x v="8"/>
    <x v="0"/>
    <n v="250"/>
    <x v="1"/>
    <d v="1996-03-06T00:00:00"/>
    <s v="1st Q 1996"/>
    <s v="1st Q 1996"/>
  </r>
  <r>
    <x v="63"/>
    <x v="63"/>
    <s v="Zbyszek"/>
    <s v="Piestrzeniewicz"/>
    <s v="Piestrzeniewicz, Zbyszek"/>
    <s v="Piestrzeniewicz, Zbyszek"/>
    <x v="0"/>
    <s v="no"/>
    <s v="no"/>
    <s v="WOLZA"/>
    <n v="10870"/>
    <x v="31"/>
    <x v="31"/>
    <s v="WOLZA_10870_Steeleye Stout"/>
    <s v="10870"/>
    <s v="10870"/>
    <s v="Steeleye Stout"/>
    <n v="18"/>
    <x v="28"/>
    <x v="0"/>
    <n v="54"/>
    <x v="1"/>
    <d v="1996-03-06T00:00:00"/>
    <s v="1st Q 1996"/>
    <s v="1st Q 1996"/>
  </r>
  <r>
    <x v="63"/>
    <x v="63"/>
    <s v="Zbyszek"/>
    <s v="Piestrzeniewicz"/>
    <s v="Piestrzeniewicz, Zbyszek"/>
    <s v="Piestrzeniewicz, Zbyszek"/>
    <x v="0"/>
    <s v="no"/>
    <s v="no"/>
    <s v="WOLZA"/>
    <n v="10870"/>
    <x v="4"/>
    <x v="4"/>
    <s v="WOLZA_10870_Manjimup Dried Apples"/>
    <s v="10870"/>
    <s v="10870"/>
    <s v="Manjimup Dried Apples"/>
    <n v="53"/>
    <x v="17"/>
    <x v="0"/>
    <n v="106"/>
    <x v="1"/>
    <d v="1996-03-06T00:00:00"/>
    <s v="1st Q 1996"/>
    <s v="1st Q 1996"/>
  </r>
  <r>
    <x v="48"/>
    <x v="48"/>
    <s v="Laurence"/>
    <s v="Lebihan"/>
    <s v="Lebihan, Laurence"/>
    <s v="Lebihan, Laurence"/>
    <x v="0"/>
    <s v="no"/>
    <s v="no"/>
    <s v="BONAP"/>
    <n v="10871"/>
    <x v="63"/>
    <x v="63"/>
    <s v="BONAP_10871_Grandma's Boysenberry Spread"/>
    <s v="10871"/>
    <s v="10871"/>
    <s v="Grandma's Boysenberry Spread"/>
    <n v="25"/>
    <x v="13"/>
    <x v="2"/>
    <n v="1187.5"/>
    <x v="1"/>
    <d v="1996-03-07T00:00:00"/>
    <s v="1st Q 1996"/>
    <s v="1st Q 1996"/>
  </r>
  <r>
    <x v="48"/>
    <x v="48"/>
    <s v="Laurence"/>
    <s v="Lebihan"/>
    <s v="Lebihan, Laurence"/>
    <s v="Lebihan, Laurence"/>
    <x v="0"/>
    <s v="no"/>
    <s v="no"/>
    <s v="BONAP"/>
    <n v="10871"/>
    <x v="19"/>
    <x v="19"/>
    <s v="BONAP_10871_Pavlova"/>
    <s v="10871"/>
    <s v="10871"/>
    <s v="Pavlova"/>
    <n v="17.45"/>
    <x v="0"/>
    <x v="2"/>
    <n v="198.92999999999998"/>
    <x v="1"/>
    <d v="1996-03-07T00:00:00"/>
    <s v="1st Q 1996"/>
    <s v="1st Q 1996"/>
  </r>
  <r>
    <x v="48"/>
    <x v="48"/>
    <s v="Laurence"/>
    <s v="Lebihan"/>
    <s v="Lebihan, Laurence"/>
    <s v="Lebihan, Laurence"/>
    <x v="0"/>
    <s v="no"/>
    <s v="no"/>
    <s v="BONAP"/>
    <n v="10871"/>
    <x v="35"/>
    <x v="35"/>
    <s v="BONAP_10871_Alice Mutton"/>
    <s v="10871"/>
    <s v="10871"/>
    <s v="Alice Mutton"/>
    <n v="39"/>
    <x v="16"/>
    <x v="2"/>
    <n v="592.79999999999995"/>
    <x v="1"/>
    <d v="1996-03-07T00:00:00"/>
    <s v="1st Q 1996"/>
    <s v="1st Q 1996"/>
  </r>
  <r>
    <x v="36"/>
    <x v="36"/>
    <s v="José"/>
    <s v="Pedro Freyre"/>
    <s v="Pedro Freyre, José"/>
    <s v="Pedro Freyre, José"/>
    <x v="0"/>
    <s v="no"/>
    <s v="no"/>
    <s v="GODOS"/>
    <n v="10872"/>
    <x v="16"/>
    <x v="16"/>
    <s v="GODOS_10872_Pâté chinois"/>
    <s v="10872"/>
    <s v="10872"/>
    <s v="Pâté chinois"/>
    <n v="24"/>
    <x v="1"/>
    <x v="2"/>
    <n v="228"/>
    <x v="1"/>
    <d v="1996-03-07T00:00:00"/>
    <s v="1st Q 1996"/>
    <s v="1st Q 1996"/>
  </r>
  <r>
    <x v="36"/>
    <x v="36"/>
    <s v="José"/>
    <s v="Pedro Freyre"/>
    <s v="Pedro Freyre, José"/>
    <s v="Pedro Freyre, José"/>
    <x v="0"/>
    <s v="no"/>
    <s v="no"/>
    <s v="GODOS"/>
    <n v="10872"/>
    <x v="29"/>
    <x v="29"/>
    <s v="GODOS_10872_Tarte au sucre"/>
    <s v="10872"/>
    <s v="10872"/>
    <s v="Tarte au sucre"/>
    <n v="49.3"/>
    <x v="8"/>
    <x v="2"/>
    <n v="936.69999999999993"/>
    <x v="1"/>
    <d v="1996-03-07T00:00:00"/>
    <s v="1st Q 1996"/>
    <s v="1st Q 1996"/>
  </r>
  <r>
    <x v="36"/>
    <x v="36"/>
    <s v="José"/>
    <s v="Pedro Freyre"/>
    <s v="Pedro Freyre, José"/>
    <s v="Pedro Freyre, José"/>
    <x v="0"/>
    <s v="no"/>
    <s v="no"/>
    <s v="GODOS"/>
    <n v="10872"/>
    <x v="58"/>
    <x v="58"/>
    <s v="GODOS_10872_Wimmers gute Semmelknödel"/>
    <s v="10872"/>
    <s v="10872"/>
    <s v="Wimmers gute Semmelknödel"/>
    <n v="33.25"/>
    <x v="6"/>
    <x v="2"/>
    <n v="473.8125"/>
    <x v="1"/>
    <d v="1996-03-07T00:00:00"/>
    <s v="1st Q 1996"/>
    <s v="1st Q 1996"/>
  </r>
  <r>
    <x v="36"/>
    <x v="36"/>
    <s v="José"/>
    <s v="Pedro Freyre"/>
    <s v="Pedro Freyre, José"/>
    <s v="Pedro Freyre, José"/>
    <x v="0"/>
    <s v="no"/>
    <s v="no"/>
    <s v="GODOS"/>
    <n v="10872"/>
    <x v="6"/>
    <x v="6"/>
    <s v="GODOS_10872_Louisiana Fiery Hot Pepper Sauce"/>
    <s v="10872"/>
    <s v="10872"/>
    <s v="Louisiana Fiery Hot Pepper Sauce"/>
    <n v="21.05"/>
    <x v="11"/>
    <x v="2"/>
    <n v="419.94749999999999"/>
    <x v="1"/>
    <d v="1996-03-07T00:00:00"/>
    <s v="1st Q 1996"/>
    <s v="1st Q 1996"/>
  </r>
  <r>
    <x v="83"/>
    <x v="83"/>
    <s v="Matti"/>
    <s v="Karttunen"/>
    <s v="Karttunen, Matti"/>
    <s v="Karttunen, Matti"/>
    <x v="0"/>
    <s v="no"/>
    <s v="no"/>
    <s v="WILMK"/>
    <n v="10873"/>
    <x v="27"/>
    <x v="27"/>
    <s v="WILMK_10873_Sir Rodney's Scones"/>
    <s v="10873"/>
    <s v="10873"/>
    <s v="Sir Rodney's Scones"/>
    <n v="10"/>
    <x v="8"/>
    <x v="0"/>
    <n v="200"/>
    <x v="1"/>
    <d v="1996-03-08T00:00:00"/>
    <s v="1st Q 1996"/>
    <s v="1st Q 1996"/>
  </r>
  <r>
    <x v="83"/>
    <x v="83"/>
    <s v="Matti"/>
    <s v="Karttunen"/>
    <s v="Karttunen, Matti"/>
    <s v="Karttunen, Matti"/>
    <x v="0"/>
    <s v="no"/>
    <s v="no"/>
    <s v="WILMK"/>
    <n v="10873"/>
    <x v="44"/>
    <x v="44"/>
    <s v="WILMK_10873_Rössle Sauerkraut"/>
    <s v="10873"/>
    <s v="10873"/>
    <s v="Rössle Sauerkraut"/>
    <n v="45.6"/>
    <x v="28"/>
    <x v="0"/>
    <n v="136.80000000000001"/>
    <x v="1"/>
    <d v="1996-03-08T00:00:00"/>
    <s v="1st Q 1996"/>
    <s v="1st Q 1996"/>
  </r>
  <r>
    <x v="36"/>
    <x v="36"/>
    <s v="José"/>
    <s v="Pedro Freyre"/>
    <s v="Pedro Freyre, José"/>
    <s v="Pedro Freyre, José"/>
    <x v="0"/>
    <s v="no"/>
    <s v="no"/>
    <s v="GODOS"/>
    <n v="10874"/>
    <x v="41"/>
    <x v="41"/>
    <s v="GODOS_10874_Ikura"/>
    <s v="10874"/>
    <s v="10874"/>
    <s v="Ikura"/>
    <n v="31"/>
    <x v="1"/>
    <x v="0"/>
    <n v="310"/>
    <x v="1"/>
    <d v="1996-03-08T00:00:00"/>
    <s v="1st Q 1996"/>
    <s v="1st Q 1996"/>
  </r>
  <r>
    <x v="25"/>
    <x v="25"/>
    <s v="Christina"/>
    <s v="Berglund"/>
    <s v="Berglund, Christina"/>
    <s v="Berglund, Christina"/>
    <x v="0"/>
    <s v="no"/>
    <s v="no"/>
    <s v="BERGS"/>
    <n v="10875"/>
    <x v="49"/>
    <x v="49"/>
    <s v="BERGS_10875_Teatime Chocolate Biscuits"/>
    <s v="10875"/>
    <s v="10875"/>
    <s v="Teatime Chocolate Biscuits"/>
    <n v="9.1999999999999993"/>
    <x v="9"/>
    <x v="0"/>
    <n v="229.99999999999997"/>
    <x v="1"/>
    <d v="1996-03-08T00:00:00"/>
    <s v="1st Q 1996"/>
    <s v="1st Q 1996"/>
  </r>
  <r>
    <x v="25"/>
    <x v="25"/>
    <s v="Christina"/>
    <s v="Berglund"/>
    <s v="Berglund, Christina"/>
    <s v="Berglund, Christina"/>
    <x v="0"/>
    <s v="no"/>
    <s v="no"/>
    <s v="BERGS"/>
    <n v="10875"/>
    <x v="69"/>
    <x v="69"/>
    <s v="BERGS_10875_Zaanse koeken"/>
    <s v="10875"/>
    <s v="10875"/>
    <s v="Zaanse koeken"/>
    <n v="9.5"/>
    <x v="11"/>
    <x v="5"/>
    <n v="179.55"/>
    <x v="1"/>
    <d v="1996-03-08T00:00:00"/>
    <s v="1st Q 1996"/>
    <s v="1st Q 1996"/>
  </r>
  <r>
    <x v="25"/>
    <x v="25"/>
    <s v="Christina"/>
    <s v="Berglund"/>
    <s v="Berglund, Christina"/>
    <s v="Berglund, Christina"/>
    <x v="0"/>
    <s v="no"/>
    <s v="no"/>
    <s v="BERGS"/>
    <n v="10875"/>
    <x v="14"/>
    <x v="14"/>
    <s v="BERGS_10875_Maxilaku"/>
    <s v="10875"/>
    <s v="10875"/>
    <s v="Maxilaku"/>
    <n v="20"/>
    <x v="6"/>
    <x v="0"/>
    <n v="300"/>
    <x v="1"/>
    <d v="1996-03-08T00:00:00"/>
    <s v="1st Q 1996"/>
    <s v="1st Q 1996"/>
  </r>
  <r>
    <x v="48"/>
    <x v="48"/>
    <s v="Laurence"/>
    <s v="Lebihan"/>
    <s v="Lebihan, Laurence"/>
    <s v="Lebihan, Laurence"/>
    <x v="0"/>
    <s v="no"/>
    <s v="no"/>
    <s v="BONAP"/>
    <n v="10876"/>
    <x v="54"/>
    <x v="54"/>
    <s v="BONAP_10876_Spegesild"/>
    <s v="10876"/>
    <s v="10876"/>
    <s v="Spegesild"/>
    <n v="12"/>
    <x v="11"/>
    <x v="0"/>
    <n v="252"/>
    <x v="1"/>
    <d v="1996-03-11T00:00:00"/>
    <s v="1st Q 1996"/>
    <s v="1st Q 1996"/>
  </r>
  <r>
    <x v="48"/>
    <x v="48"/>
    <s v="Laurence"/>
    <s v="Lebihan"/>
    <s v="Lebihan, Laurence"/>
    <s v="Lebihan, Laurence"/>
    <x v="0"/>
    <s v="no"/>
    <s v="no"/>
    <s v="BONAP"/>
    <n v="10876"/>
    <x v="58"/>
    <x v="58"/>
    <s v="BONAP_10876_Wimmers gute Semmelknödel"/>
    <s v="10876"/>
    <s v="10876"/>
    <s v="Wimmers gute Semmelknödel"/>
    <n v="33.25"/>
    <x v="8"/>
    <x v="0"/>
    <n v="665"/>
    <x v="1"/>
    <d v="1996-03-11T00:00:00"/>
    <s v="1st Q 1996"/>
    <s v="1st Q 1996"/>
  </r>
  <r>
    <x v="29"/>
    <x v="29"/>
    <s v="Janete"/>
    <s v="Limeira"/>
    <s v="Limeira, Janete"/>
    <s v="Limeira, Janete"/>
    <x v="0"/>
    <s v="no"/>
    <s v="no"/>
    <s v="RICAR"/>
    <n v="10877"/>
    <x v="19"/>
    <x v="19"/>
    <s v="RICAR_10877_Pavlova"/>
    <s v="10877"/>
    <s v="10877"/>
    <s v="Pavlova"/>
    <n v="17.45"/>
    <x v="12"/>
    <x v="4"/>
    <n v="392.625"/>
    <x v="1"/>
    <d v="1996-03-11T00:00:00"/>
    <s v="1st Q 1996"/>
    <s v="1st Q 1996"/>
  </r>
  <r>
    <x v="29"/>
    <x v="29"/>
    <s v="Janete"/>
    <s v="Limeira"/>
    <s v="Limeira, Janete"/>
    <s v="Limeira, Janete"/>
    <x v="0"/>
    <s v="no"/>
    <s v="no"/>
    <s v="RICAR"/>
    <n v="10877"/>
    <x v="59"/>
    <x v="59"/>
    <s v="RICAR_10877_Carnarvon Tigers"/>
    <s v="10877"/>
    <s v="10877"/>
    <s v="Carnarvon Tigers"/>
    <n v="62.5"/>
    <x v="9"/>
    <x v="0"/>
    <n v="1562.5"/>
    <x v="1"/>
    <d v="1996-03-11T00:00:00"/>
    <s v="1st Q 1996"/>
    <s v="1st Q 1996"/>
  </r>
  <r>
    <x v="21"/>
    <x v="21"/>
    <s v="Horst"/>
    <s v="Kloss"/>
    <s v="Kloss, Horst"/>
    <s v="Kloss, Horst"/>
    <x v="0"/>
    <s v="no"/>
    <s v="no"/>
    <s v="QUICK"/>
    <n v="10878"/>
    <x v="9"/>
    <x v="9"/>
    <s v="QUICK_10878_Sir Rodney's Marmalade"/>
    <s v="10878"/>
    <s v="10878"/>
    <s v="Sir Rodney's Marmalade"/>
    <n v="81"/>
    <x v="8"/>
    <x v="2"/>
    <n v="1539"/>
    <x v="1"/>
    <d v="1996-03-12T00:00:00"/>
    <s v="1st Q 1996"/>
    <s v="1st Q 1996"/>
  </r>
  <r>
    <x v="83"/>
    <x v="83"/>
    <s v="Matti"/>
    <s v="Karttunen"/>
    <s v="Karttunen, Matti"/>
    <s v="Karttunen, Matti"/>
    <x v="0"/>
    <s v="no"/>
    <s v="no"/>
    <s v="WILMK"/>
    <n v="10879"/>
    <x v="37"/>
    <x v="37"/>
    <s v="WILMK_10879_Boston Crab Meat"/>
    <s v="10879"/>
    <s v="10879"/>
    <s v="Boston Crab Meat"/>
    <n v="18.399999999999999"/>
    <x v="0"/>
    <x v="0"/>
    <n v="220.79999999999998"/>
    <x v="1"/>
    <d v="1996-03-12T00:00:00"/>
    <s v="1st Q 1996"/>
    <s v="1st Q 1996"/>
  </r>
  <r>
    <x v="83"/>
    <x v="83"/>
    <s v="Matti"/>
    <s v="Karttunen"/>
    <s v="Karttunen, Matti"/>
    <s v="Karttunen, Matti"/>
    <x v="0"/>
    <s v="no"/>
    <s v="no"/>
    <s v="WILMK"/>
    <n v="10879"/>
    <x v="6"/>
    <x v="6"/>
    <s v="WILMK_10879_Louisiana Fiery Hot Pepper Sauce"/>
    <s v="10879"/>
    <s v="10879"/>
    <s v="Louisiana Fiery Hot Pepper Sauce"/>
    <n v="21.05"/>
    <x v="1"/>
    <x v="0"/>
    <n v="210.5"/>
    <x v="1"/>
    <d v="1996-03-12T00:00:00"/>
    <s v="1st Q 1996"/>
    <s v="1st Q 1996"/>
  </r>
  <r>
    <x v="83"/>
    <x v="83"/>
    <s v="Matti"/>
    <s v="Karttunen"/>
    <s v="Karttunen, Matti"/>
    <s v="Karttunen, Matti"/>
    <x v="0"/>
    <s v="no"/>
    <s v="no"/>
    <s v="WILMK"/>
    <n v="10879"/>
    <x v="38"/>
    <x v="38"/>
    <s v="WILMK_10879_Lakkalikööri"/>
    <s v="10879"/>
    <s v="10879"/>
    <s v="Lakkalikööri"/>
    <n v="18"/>
    <x v="1"/>
    <x v="0"/>
    <n v="180"/>
    <x v="1"/>
    <d v="1996-03-12T00:00:00"/>
    <s v="1st Q 1996"/>
    <s v="1st Q 1996"/>
  </r>
  <r>
    <x v="14"/>
    <x v="14"/>
    <s v="Maria"/>
    <s v="Larsson"/>
    <s v="Larsson, Maria"/>
    <s v="Larsson, Maria"/>
    <x v="0"/>
    <s v="no"/>
    <s v="no"/>
    <s v="FOLKO"/>
    <n v="10880"/>
    <x v="70"/>
    <x v="70"/>
    <s v="FOLKO_10880_Tunnbröd"/>
    <s v="10880"/>
    <s v="10880"/>
    <s v="Tunnbröd"/>
    <n v="9"/>
    <x v="12"/>
    <x v="3"/>
    <n v="216"/>
    <x v="1"/>
    <d v="1996-03-12T00:00:00"/>
    <s v="1st Q 1996"/>
    <s v="1st Q 1996"/>
  </r>
  <r>
    <x v="14"/>
    <x v="14"/>
    <s v="Maria"/>
    <s v="Larsson"/>
    <s v="Larsson, Maria"/>
    <s v="Larsson, Maria"/>
    <x v="0"/>
    <s v="no"/>
    <s v="no"/>
    <s v="FOLKO"/>
    <n v="10880"/>
    <x v="75"/>
    <x v="75"/>
    <s v="FOLKO_10880_Sirop d'érable"/>
    <s v="10880"/>
    <s v="10880"/>
    <s v="Sirop d'érable"/>
    <n v="28.5"/>
    <x v="12"/>
    <x v="3"/>
    <n v="684"/>
    <x v="1"/>
    <d v="1996-03-12T00:00:00"/>
    <s v="1st Q 1996"/>
    <s v="1st Q 1996"/>
  </r>
  <r>
    <x v="14"/>
    <x v="14"/>
    <s v="Maria"/>
    <s v="Larsson"/>
    <s v="Larsson, Maria"/>
    <s v="Larsson, Maria"/>
    <x v="0"/>
    <s v="no"/>
    <s v="no"/>
    <s v="FOLKO"/>
    <n v="10880"/>
    <x v="30"/>
    <x v="30"/>
    <s v="FOLKO_10880_Outback Lager"/>
    <s v="10880"/>
    <s v="10880"/>
    <s v="Outback Lager"/>
    <n v="15"/>
    <x v="13"/>
    <x v="3"/>
    <n v="600"/>
    <x v="1"/>
    <d v="1996-03-12T00:00:00"/>
    <s v="1st Q 1996"/>
    <s v="1st Q 1996"/>
  </r>
  <r>
    <x v="78"/>
    <x v="78"/>
    <s v="Patricio"/>
    <s v="Simpson"/>
    <s v="Simpson, Patricio"/>
    <s v="Simpson, Patricio"/>
    <x v="0"/>
    <s v="no"/>
    <s v="no"/>
    <s v="CACTU"/>
    <n v="10881"/>
    <x v="47"/>
    <x v="47"/>
    <s v="CACTU_10881_Röd Kaviar"/>
    <s v="10881"/>
    <s v="10881"/>
    <s v="Röd Kaviar"/>
    <n v="15"/>
    <x v="1"/>
    <x v="0"/>
    <n v="150"/>
    <x v="1"/>
    <d v="1996-03-13T00:00:00"/>
    <s v="1st Q 1996"/>
    <s v="1st Q 1996"/>
  </r>
  <r>
    <x v="45"/>
    <x v="45"/>
    <s v="Jose"/>
    <s v="Pavarotti"/>
    <s v="Pavarotti, Jose"/>
    <s v="Pavarotti, Jose"/>
    <x v="0"/>
    <s v="no"/>
    <s v="no"/>
    <s v="SAVEA"/>
    <n v="10882"/>
    <x v="1"/>
    <x v="1"/>
    <s v="SAVEA_10882_Singaporean Hokkien Fried Mee"/>
    <s v="10882"/>
    <s v="10882"/>
    <s v="Singaporean Hokkien Fried Mee"/>
    <n v="14"/>
    <x v="9"/>
    <x v="0"/>
    <n v="350"/>
    <x v="1"/>
    <d v="1996-03-13T00:00:00"/>
    <s v="1st Q 1996"/>
    <s v="1st Q 1996"/>
  </r>
  <r>
    <x v="45"/>
    <x v="45"/>
    <s v="Jose"/>
    <s v="Pavarotti"/>
    <s v="Pavarotti, Jose"/>
    <s v="Pavarotti, Jose"/>
    <x v="0"/>
    <s v="no"/>
    <s v="no"/>
    <s v="SAVEA"/>
    <n v="10882"/>
    <x v="14"/>
    <x v="14"/>
    <s v="SAVEA_10882_Maxilaku"/>
    <s v="10882"/>
    <s v="10882"/>
    <s v="Maxilaku"/>
    <n v="20"/>
    <x v="8"/>
    <x v="1"/>
    <n v="340"/>
    <x v="1"/>
    <d v="1996-03-13T00:00:00"/>
    <s v="1st Q 1996"/>
    <s v="1st Q 1996"/>
  </r>
  <r>
    <x v="45"/>
    <x v="45"/>
    <s v="Jose"/>
    <s v="Pavarotti"/>
    <s v="Pavarotti, Jose"/>
    <s v="Pavarotti, Jose"/>
    <x v="0"/>
    <s v="no"/>
    <s v="no"/>
    <s v="SAVEA"/>
    <n v="10882"/>
    <x v="55"/>
    <x v="55"/>
    <s v="SAVEA_10882_Tourtière"/>
    <s v="10882"/>
    <s v="10882"/>
    <s v="Tourtière"/>
    <n v="7.45"/>
    <x v="39"/>
    <x v="1"/>
    <n v="202.64"/>
    <x v="1"/>
    <d v="1996-03-13T00:00:00"/>
    <s v="1st Q 1996"/>
    <s v="1st Q 1996"/>
  </r>
  <r>
    <x v="38"/>
    <x v="38"/>
    <s v="Fran"/>
    <s v="Wilson"/>
    <s v="Wilson, Fran"/>
    <s v="Wilson, Fran"/>
    <x v="0"/>
    <s v="no"/>
    <s v="no"/>
    <s v="LONEP"/>
    <n v="10883"/>
    <x v="15"/>
    <x v="15"/>
    <s v="LONEP_10883_Guaraná Fantástica"/>
    <s v="10883"/>
    <s v="10883"/>
    <s v="Guaraná Fantástica"/>
    <n v="4.5"/>
    <x v="26"/>
    <x v="0"/>
    <n v="36"/>
    <x v="1"/>
    <d v="1996-03-14T00:00:00"/>
    <s v="1st Q 1996"/>
    <s v="1st Q 1996"/>
  </r>
  <r>
    <x v="82"/>
    <x v="82"/>
    <s v="Jaime"/>
    <s v="Yorres"/>
    <s v="Yorres, Jaime"/>
    <s v="Yorres, Jaime"/>
    <x v="0"/>
    <s v="no"/>
    <s v="no"/>
    <s v="LETSS"/>
    <n v="10884"/>
    <x v="27"/>
    <x v="27"/>
    <s v="LETSS_10884_Sir Rodney's Scones"/>
    <s v="10884"/>
    <s v="10884"/>
    <s v="Sir Rodney's Scones"/>
    <n v="10"/>
    <x v="4"/>
    <x v="2"/>
    <n v="380"/>
    <x v="1"/>
    <d v="1996-03-14T00:00:00"/>
    <s v="1st Q 1996"/>
    <s v="1st Q 1996"/>
  </r>
  <r>
    <x v="82"/>
    <x v="82"/>
    <s v="Jaime"/>
    <s v="Yorres"/>
    <s v="Yorres, Jaime"/>
    <s v="Yorres, Jaime"/>
    <x v="0"/>
    <s v="no"/>
    <s v="no"/>
    <s v="LETSS"/>
    <n v="10884"/>
    <x v="33"/>
    <x v="33"/>
    <s v="LETSS_10884_Gnocchi di nonna Alice"/>
    <s v="10884"/>
    <s v="10884"/>
    <s v="Gnocchi di nonna Alice"/>
    <n v="38"/>
    <x v="11"/>
    <x v="2"/>
    <n v="758.09999999999991"/>
    <x v="1"/>
    <d v="1996-03-14T00:00:00"/>
    <s v="1st Q 1996"/>
    <s v="1st Q 1996"/>
  </r>
  <r>
    <x v="82"/>
    <x v="82"/>
    <s v="Jaime"/>
    <s v="Yorres"/>
    <s v="Yorres, Jaime"/>
    <s v="Yorres, Jaime"/>
    <x v="0"/>
    <s v="no"/>
    <s v="no"/>
    <s v="LETSS"/>
    <n v="10884"/>
    <x v="6"/>
    <x v="6"/>
    <s v="LETSS_10884_Louisiana Fiery Hot Pepper Sauce"/>
    <s v="10884"/>
    <s v="10884"/>
    <s v="Louisiana Fiery Hot Pepper Sauce"/>
    <n v="21.05"/>
    <x v="0"/>
    <x v="2"/>
    <n v="239.97"/>
    <x v="1"/>
    <d v="1996-03-14T00:00:00"/>
    <s v="1st Q 1996"/>
    <s v="1st Q 1996"/>
  </r>
  <r>
    <x v="4"/>
    <x v="4"/>
    <s v="Pascale"/>
    <s v="Cartrain"/>
    <s v="Cartrain, Pascale"/>
    <s v="Cartrain, Pascale"/>
    <x v="0"/>
    <s v="no"/>
    <s v="no"/>
    <s v="SUPRD"/>
    <n v="10885"/>
    <x v="18"/>
    <x v="18"/>
    <s v="SUPRD_10885_Chang"/>
    <s v="10885"/>
    <s v="10885"/>
    <s v="Chang"/>
    <n v="19"/>
    <x v="8"/>
    <x v="0"/>
    <n v="380"/>
    <x v="1"/>
    <d v="1996-03-14T00:00:00"/>
    <s v="1st Q 1996"/>
    <s v="1st Q 1996"/>
  </r>
  <r>
    <x v="4"/>
    <x v="4"/>
    <s v="Pascale"/>
    <s v="Cartrain"/>
    <s v="Cartrain, Pascale"/>
    <s v="Cartrain, Pascale"/>
    <x v="0"/>
    <s v="no"/>
    <s v="no"/>
    <s v="SUPRD"/>
    <n v="10885"/>
    <x v="15"/>
    <x v="15"/>
    <s v="SUPRD_10885_Guaraná Fantástica"/>
    <s v="10885"/>
    <s v="10885"/>
    <s v="Guaraná Fantástica"/>
    <n v="4.5"/>
    <x v="0"/>
    <x v="0"/>
    <n v="54"/>
    <x v="1"/>
    <d v="1996-03-14T00:00:00"/>
    <s v="1st Q 1996"/>
    <s v="1st Q 1996"/>
  </r>
  <r>
    <x v="4"/>
    <x v="4"/>
    <s v="Pascale"/>
    <s v="Cartrain"/>
    <s v="Cartrain, Pascale"/>
    <s v="Cartrain, Pascale"/>
    <x v="0"/>
    <s v="no"/>
    <s v="no"/>
    <s v="SUPRD"/>
    <n v="10885"/>
    <x v="30"/>
    <x v="30"/>
    <s v="SUPRD_10885_Outback Lager"/>
    <s v="10885"/>
    <s v="10885"/>
    <s v="Outback Lager"/>
    <n v="15"/>
    <x v="12"/>
    <x v="0"/>
    <n v="450"/>
    <x v="1"/>
    <d v="1996-03-14T00:00:00"/>
    <s v="1st Q 1996"/>
    <s v="1st Q 1996"/>
  </r>
  <r>
    <x v="4"/>
    <x v="4"/>
    <s v="Pascale"/>
    <s v="Cartrain"/>
    <s v="Cartrain, Pascale"/>
    <s v="Cartrain, Pascale"/>
    <x v="0"/>
    <s v="no"/>
    <s v="no"/>
    <s v="SUPRD"/>
    <n v="10885"/>
    <x v="23"/>
    <x v="23"/>
    <s v="SUPRD_10885_Original Frankfurter grüne Soße"/>
    <s v="10885"/>
    <s v="10885"/>
    <s v="Original Frankfurter grüne Soße"/>
    <n v="13"/>
    <x v="9"/>
    <x v="0"/>
    <n v="325"/>
    <x v="1"/>
    <d v="1996-03-14T00:00:00"/>
    <s v="1st Q 1996"/>
    <s v="1st Q 1996"/>
  </r>
  <r>
    <x v="2"/>
    <x v="2"/>
    <s v="Mario"/>
    <s v="Pontes"/>
    <s v="Pontes, Mario"/>
    <s v="Pontes, Mario"/>
    <x v="0"/>
    <s v="no"/>
    <s v="no"/>
    <s v="HANAR"/>
    <n v="10886"/>
    <x v="41"/>
    <x v="41"/>
    <s v="HANAR_10886_Ikura"/>
    <s v="10886"/>
    <s v="10886"/>
    <s v="Ikura"/>
    <n v="31"/>
    <x v="21"/>
    <x v="0"/>
    <n v="2170"/>
    <x v="1"/>
    <d v="1996-03-15T00:00:00"/>
    <s v="1st Q 1996"/>
    <s v="1st Q 1996"/>
  </r>
  <r>
    <x v="2"/>
    <x v="2"/>
    <s v="Mario"/>
    <s v="Pontes"/>
    <s v="Pontes, Mario"/>
    <s v="Pontes, Mario"/>
    <x v="0"/>
    <s v="no"/>
    <s v="no"/>
    <s v="HANAR"/>
    <n v="10886"/>
    <x v="12"/>
    <x v="12"/>
    <s v="HANAR_10886_Gorgonzola Telino"/>
    <s v="10886"/>
    <s v="10886"/>
    <s v="Gorgonzola Telino"/>
    <n v="12.5"/>
    <x v="5"/>
    <x v="0"/>
    <n v="437.5"/>
    <x v="1"/>
    <d v="1996-03-15T00:00:00"/>
    <s v="1st Q 1996"/>
    <s v="1st Q 1996"/>
  </r>
  <r>
    <x v="2"/>
    <x v="2"/>
    <s v="Mario"/>
    <s v="Pontes"/>
    <s v="Pontes, Mario"/>
    <s v="Pontes, Mario"/>
    <x v="0"/>
    <s v="no"/>
    <s v="no"/>
    <s v="HANAR"/>
    <n v="10886"/>
    <x v="23"/>
    <x v="23"/>
    <s v="HANAR_10886_Original Frankfurter grüne Soße"/>
    <s v="10886"/>
    <s v="10886"/>
    <s v="Original Frankfurter grüne Soße"/>
    <n v="13"/>
    <x v="4"/>
    <x v="0"/>
    <n v="520"/>
    <x v="1"/>
    <d v="1996-03-15T00:00:00"/>
    <s v="1st Q 1996"/>
    <s v="1st Q 1996"/>
  </r>
  <r>
    <x v="60"/>
    <x v="60"/>
    <s v="Eduardo"/>
    <s v="Saavedra"/>
    <s v="Saavedra, Eduardo"/>
    <s v="Saavedra, Eduardo"/>
    <x v="0"/>
    <s v="no"/>
    <s v="no"/>
    <s v="GALED"/>
    <n v="10887"/>
    <x v="66"/>
    <x v="66"/>
    <s v="GALED_10887_NuNuCa Nuß-Nougat-Creme"/>
    <s v="10887"/>
    <s v="10887"/>
    <s v="NuNuCa Nuß-Nougat-Creme"/>
    <n v="14"/>
    <x v="2"/>
    <x v="0"/>
    <n v="70"/>
    <x v="1"/>
    <d v="1996-03-15T00:00:00"/>
    <s v="1st Q 1996"/>
    <s v="1st Q 1996"/>
  </r>
  <r>
    <x v="36"/>
    <x v="36"/>
    <s v="José"/>
    <s v="Pedro Freyre"/>
    <s v="Pedro Freyre, José"/>
    <s v="Pedro Freyre, José"/>
    <x v="0"/>
    <s v="no"/>
    <s v="no"/>
    <s v="GODOS"/>
    <n v="10888"/>
    <x v="18"/>
    <x v="18"/>
    <s v="GODOS_10888_Chang"/>
    <s v="10888"/>
    <s v="10888"/>
    <s v="Chang"/>
    <n v="19"/>
    <x v="8"/>
    <x v="0"/>
    <n v="380"/>
    <x v="1"/>
    <d v="1996-03-18T00:00:00"/>
    <s v="1st Q 1996"/>
    <s v="1st Q 1996"/>
  </r>
  <r>
    <x v="36"/>
    <x v="36"/>
    <s v="José"/>
    <s v="Pedro Freyre"/>
    <s v="Pedro Freyre, José"/>
    <s v="Pedro Freyre, José"/>
    <x v="0"/>
    <s v="no"/>
    <s v="no"/>
    <s v="GODOS"/>
    <n v="10888"/>
    <x v="56"/>
    <x v="56"/>
    <s v="GODOS_10888_Scottish Longbreads"/>
    <s v="10888"/>
    <s v="10888"/>
    <s v="Scottish Longbreads"/>
    <n v="12.5"/>
    <x v="27"/>
    <x v="0"/>
    <n v="225"/>
    <x v="1"/>
    <d v="1996-03-18T00:00:00"/>
    <s v="1st Q 1996"/>
    <s v="1st Q 1996"/>
  </r>
  <r>
    <x v="13"/>
    <x v="13"/>
    <s v="Paula"/>
    <s v="Wilson"/>
    <s v="Wilson, Paula"/>
    <s v="Wilson, Paula"/>
    <x v="0"/>
    <s v="no"/>
    <s v="no"/>
    <s v="RATTC"/>
    <n v="10889"/>
    <x v="0"/>
    <x v="0"/>
    <s v="RATTC_10889_Queso Cabrales"/>
    <s v="10889"/>
    <s v="10889"/>
    <s v="Queso Cabrales"/>
    <n v="21"/>
    <x v="4"/>
    <x v="0"/>
    <n v="840"/>
    <x v="1"/>
    <d v="1996-03-18T00:00:00"/>
    <s v="1st Q 1996"/>
    <s v="1st Q 1996"/>
  </r>
  <r>
    <x v="13"/>
    <x v="13"/>
    <s v="Paula"/>
    <s v="Wilson"/>
    <s v="Wilson, Paula"/>
    <s v="Wilson, Paula"/>
    <x v="1"/>
    <s v="yes"/>
    <s v="yes"/>
    <s v="RATTC"/>
    <n v="10889"/>
    <x v="67"/>
    <x v="67"/>
    <s v="RATTC_10889_Côte de Blaye"/>
    <s v="10889"/>
    <s v="10889"/>
    <s v="Côte de Blaye"/>
    <n v="263.5"/>
    <x v="4"/>
    <x v="0"/>
    <n v="10540"/>
    <x v="1"/>
    <d v="1996-03-18T00:00:00"/>
    <s v="1st Q 1996"/>
    <s v="1st Q 1996"/>
  </r>
  <r>
    <x v="41"/>
    <x v="41"/>
    <s v="Janine"/>
    <s v="Labrune"/>
    <s v="Labrune, Janine"/>
    <s v="Labrune, Janine"/>
    <x v="0"/>
    <s v="no"/>
    <s v="no"/>
    <s v="DUMON"/>
    <n v="10890"/>
    <x v="35"/>
    <x v="35"/>
    <s v="DUMON_10890_Alice Mutton"/>
    <s v="10890"/>
    <s v="10890"/>
    <s v="Alice Mutton"/>
    <n v="39"/>
    <x v="6"/>
    <x v="0"/>
    <n v="585"/>
    <x v="1"/>
    <d v="1996-03-18T00:00:00"/>
    <s v="1st Q 1996"/>
    <s v="1st Q 1996"/>
  </r>
  <r>
    <x v="41"/>
    <x v="41"/>
    <s v="Janine"/>
    <s v="Labrune"/>
    <s v="Labrune, Janine"/>
    <s v="Labrune, Janine"/>
    <x v="0"/>
    <s v="no"/>
    <s v="no"/>
    <s v="DUMON"/>
    <n v="10890"/>
    <x v="53"/>
    <x v="53"/>
    <s v="DUMON_10890_Sasquatch Ale"/>
    <s v="10890"/>
    <s v="10890"/>
    <s v="Sasquatch Ale"/>
    <n v="14"/>
    <x v="1"/>
    <x v="0"/>
    <n v="140"/>
    <x v="1"/>
    <d v="1996-03-18T00:00:00"/>
    <s v="1st Q 1996"/>
    <s v="1st Q 1996"/>
  </r>
  <r>
    <x v="41"/>
    <x v="41"/>
    <s v="Janine"/>
    <s v="Labrune"/>
    <s v="Labrune, Janine"/>
    <s v="Labrune, Janine"/>
    <x v="0"/>
    <s v="no"/>
    <s v="no"/>
    <s v="DUMON"/>
    <n v="10890"/>
    <x v="5"/>
    <x v="5"/>
    <s v="DUMON_10890_Jack's New England Clam Chowder"/>
    <s v="10890"/>
    <s v="10890"/>
    <s v="Jack's New England Clam Chowder"/>
    <n v="9.65"/>
    <x v="31"/>
    <x v="0"/>
    <n v="135.1"/>
    <x v="1"/>
    <d v="1996-03-18T00:00:00"/>
    <s v="1st Q 1996"/>
    <s v="1st Q 1996"/>
  </r>
  <r>
    <x v="26"/>
    <x v="26"/>
    <s v="Renate"/>
    <s v="Messner"/>
    <s v="Messner, Renate"/>
    <s v="Messner, Renate"/>
    <x v="0"/>
    <s v="no"/>
    <s v="no"/>
    <s v="LEHMS"/>
    <n v="10891"/>
    <x v="34"/>
    <x v="34"/>
    <s v="LEHMS_10891_Nord-Ost Matjeshering"/>
    <s v="10891"/>
    <s v="10891"/>
    <s v="Nord-Ost Matjeshering"/>
    <n v="25.89"/>
    <x v="6"/>
    <x v="2"/>
    <n v="368.9325"/>
    <x v="1"/>
    <d v="1996-03-19T00:00:00"/>
    <s v="1st Q 1996"/>
    <s v="1st Q 1996"/>
  </r>
  <r>
    <x v="80"/>
    <x v="80"/>
    <s v="Catherine"/>
    <s v="Dewey"/>
    <s v="Dewey, Catherine"/>
    <s v="Dewey, Catherine"/>
    <x v="0"/>
    <s v="no"/>
    <s v="no"/>
    <s v="MAISD"/>
    <n v="10892"/>
    <x v="21"/>
    <x v="21"/>
    <s v="MAISD_10892_Raclette Courdavault"/>
    <s v="10892"/>
    <s v="10892"/>
    <s v="Raclette Courdavault"/>
    <n v="55"/>
    <x v="4"/>
    <x v="2"/>
    <n v="2090"/>
    <x v="1"/>
    <d v="1996-03-19T00:00:00"/>
    <s v="1st Q 1996"/>
    <s v="1st Q 1996"/>
  </r>
  <r>
    <x v="44"/>
    <x v="44"/>
    <s v="Philip"/>
    <s v="Cramer"/>
    <s v="Cramer, Philip"/>
    <s v="Cramer, Philip"/>
    <x v="0"/>
    <s v="no"/>
    <s v="no"/>
    <s v="KOENE"/>
    <n v="10893"/>
    <x v="71"/>
    <x v="71"/>
    <s v="KOENE_10893_Northwoods Cranberry Sauce"/>
    <s v="10893"/>
    <s v="10893"/>
    <s v="Northwoods Cranberry Sauce"/>
    <n v="40"/>
    <x v="12"/>
    <x v="0"/>
    <n v="1200"/>
    <x v="1"/>
    <d v="1996-03-20T00:00:00"/>
    <s v="1st Q 1996"/>
    <s v="1st Q 1996"/>
  </r>
  <r>
    <x v="44"/>
    <x v="44"/>
    <s v="Philip"/>
    <s v="Cramer"/>
    <s v="Cramer, Philip"/>
    <s v="Cramer, Philip"/>
    <x v="0"/>
    <s v="no"/>
    <s v="no"/>
    <s v="KOENE"/>
    <n v="10893"/>
    <x v="15"/>
    <x v="15"/>
    <s v="KOENE_10893_Guaraná Fantástica"/>
    <s v="10893"/>
    <s v="10893"/>
    <s v="Guaraná Fantástica"/>
    <n v="4.5"/>
    <x v="1"/>
    <x v="0"/>
    <n v="45"/>
    <x v="1"/>
    <d v="1996-03-20T00:00:00"/>
    <s v="1st Q 1996"/>
    <s v="1st Q 1996"/>
  </r>
  <r>
    <x v="44"/>
    <x v="44"/>
    <s v="Philip"/>
    <s v="Cramer"/>
    <s v="Cramer, Philip"/>
    <s v="Cramer, Philip"/>
    <x v="0"/>
    <s v="no"/>
    <s v="moderate"/>
    <s v="KOENE"/>
    <n v="10893"/>
    <x v="39"/>
    <x v="39"/>
    <s v="KOENE_10893_Thüringer Rostbratwurst"/>
    <s v="10893"/>
    <s v="10893"/>
    <s v="Thüringer Rostbratwurst"/>
    <n v="123.79"/>
    <x v="23"/>
    <x v="0"/>
    <n v="2970.96"/>
    <x v="1"/>
    <d v="1996-03-20T00:00:00"/>
    <s v="1st Q 1996"/>
    <s v="1st Q 1996"/>
  </r>
  <r>
    <x v="44"/>
    <x v="44"/>
    <s v="Philip"/>
    <s v="Cramer"/>
    <s v="Cramer, Philip"/>
    <s v="Cramer, Philip"/>
    <x v="0"/>
    <s v="no"/>
    <s v="no"/>
    <s v="KOENE"/>
    <n v="10893"/>
    <x v="34"/>
    <x v="34"/>
    <s v="KOENE_10893_Nord-Ost Matjeshering"/>
    <s v="10893"/>
    <s v="10893"/>
    <s v="Nord-Ost Matjeshering"/>
    <n v="25.89"/>
    <x v="5"/>
    <x v="0"/>
    <n v="906.15"/>
    <x v="1"/>
    <d v="1996-03-20T00:00:00"/>
    <s v="1st Q 1996"/>
    <s v="1st Q 1996"/>
  </r>
  <r>
    <x v="44"/>
    <x v="44"/>
    <s v="Philip"/>
    <s v="Cramer"/>
    <s v="Cramer, Philip"/>
    <s v="Cramer, Philip"/>
    <x v="0"/>
    <s v="no"/>
    <s v="no"/>
    <s v="KOENE"/>
    <n v="10893"/>
    <x v="20"/>
    <x v="20"/>
    <s v="KOENE_10893_Inlagd Sill"/>
    <s v="10893"/>
    <s v="10893"/>
    <s v="Inlagd Sill"/>
    <n v="19"/>
    <x v="8"/>
    <x v="0"/>
    <n v="380"/>
    <x v="1"/>
    <d v="1996-03-20T00:00:00"/>
    <s v="1st Q 1996"/>
    <s v="1st Q 1996"/>
  </r>
  <r>
    <x v="45"/>
    <x v="45"/>
    <s v="Jose"/>
    <s v="Pavarotti"/>
    <s v="Pavarotti, Jose"/>
    <s v="Pavarotti, Jose"/>
    <x v="0"/>
    <s v="no"/>
    <s v="no"/>
    <s v="SAVEA"/>
    <n v="10894"/>
    <x v="43"/>
    <x v="43"/>
    <s v="SAVEA_10894_Konbu"/>
    <s v="10894"/>
    <s v="10894"/>
    <s v="Konbu"/>
    <n v="6"/>
    <x v="19"/>
    <x v="2"/>
    <n v="159.6"/>
    <x v="1"/>
    <d v="1996-03-20T00:00:00"/>
    <s v="1st Q 1996"/>
    <s v="1st Q 1996"/>
  </r>
  <r>
    <x v="45"/>
    <x v="45"/>
    <s v="Jose"/>
    <s v="Pavarotti"/>
    <s v="Pavarotti, Jose"/>
    <s v="Pavarotti, Jose"/>
    <x v="0"/>
    <s v="no"/>
    <s v="no"/>
    <s v="SAVEA"/>
    <n v="10894"/>
    <x v="60"/>
    <x v="60"/>
    <s v="SAVEA_10894_Gudbrandsdalsost"/>
    <s v="10894"/>
    <s v="10894"/>
    <s v="Gudbrandsdalsost"/>
    <n v="36"/>
    <x v="13"/>
    <x v="2"/>
    <n v="1710"/>
    <x v="1"/>
    <d v="1996-03-20T00:00:00"/>
    <s v="1st Q 1996"/>
    <s v="1st Q 1996"/>
  </r>
  <r>
    <x v="45"/>
    <x v="45"/>
    <s v="Jose"/>
    <s v="Pavarotti"/>
    <s v="Pavarotti, Jose"/>
    <s v="Pavarotti, Jose"/>
    <x v="0"/>
    <s v="no"/>
    <s v="no"/>
    <s v="SAVEA"/>
    <n v="10894"/>
    <x v="48"/>
    <x v="48"/>
    <s v="SAVEA_10894_Rhönbräu Klosterbier"/>
    <s v="10894"/>
    <s v="10894"/>
    <s v="Rhönbräu Klosterbier"/>
    <n v="7.75"/>
    <x v="40"/>
    <x v="2"/>
    <n v="883.5"/>
    <x v="1"/>
    <d v="1996-03-20T00:00:00"/>
    <s v="1st Q 1996"/>
    <s v="1st Q 1996"/>
  </r>
  <r>
    <x v="9"/>
    <x v="9"/>
    <s v="Roland"/>
    <s v="Mendel"/>
    <s v="Mendel, Roland"/>
    <s v="Mendel, Roland"/>
    <x v="0"/>
    <s v="no"/>
    <s v="no"/>
    <s v="ERNSH"/>
    <n v="10895"/>
    <x v="15"/>
    <x v="15"/>
    <s v="ERNSH_10895_Guaraná Fantástica"/>
    <s v="10895"/>
    <s v="10895"/>
    <s v="Guaraná Fantástica"/>
    <n v="4.5"/>
    <x v="46"/>
    <x v="0"/>
    <n v="495"/>
    <x v="1"/>
    <d v="1996-03-20T00:00:00"/>
    <s v="1st Q 1996"/>
    <s v="1st Q 1996"/>
  </r>
  <r>
    <x v="9"/>
    <x v="9"/>
    <s v="Roland"/>
    <s v="Mendel"/>
    <s v="Mendel, Roland"/>
    <s v="Mendel, Roland"/>
    <x v="0"/>
    <s v="no"/>
    <s v="no"/>
    <s v="ERNSH"/>
    <n v="10895"/>
    <x v="13"/>
    <x v="13"/>
    <s v="ERNSH_10895_Chartreuse verte"/>
    <s v="10895"/>
    <s v="10895"/>
    <s v="Chartreuse verte"/>
    <n v="18"/>
    <x v="29"/>
    <x v="0"/>
    <n v="810"/>
    <x v="1"/>
    <d v="1996-03-20T00:00:00"/>
    <s v="1st Q 1996"/>
    <s v="1st Q 1996"/>
  </r>
  <r>
    <x v="9"/>
    <x v="9"/>
    <s v="Roland"/>
    <s v="Mendel"/>
    <s v="Mendel, Roland"/>
    <s v="Mendel, Roland"/>
    <x v="0"/>
    <s v="no"/>
    <s v="no"/>
    <s v="ERNSH"/>
    <n v="10895"/>
    <x v="37"/>
    <x v="37"/>
    <s v="ERNSH_10895_Boston Crab Meat"/>
    <s v="10895"/>
    <s v="10895"/>
    <s v="Boston Crab Meat"/>
    <n v="18.399999999999999"/>
    <x v="51"/>
    <x v="0"/>
    <n v="1674.3999999999999"/>
    <x v="1"/>
    <d v="1996-03-20T00:00:00"/>
    <s v="1st Q 1996"/>
    <s v="1st Q 1996"/>
  </r>
  <r>
    <x v="9"/>
    <x v="9"/>
    <s v="Roland"/>
    <s v="Mendel"/>
    <s v="Mendel, Roland"/>
    <s v="Mendel, Roland"/>
    <x v="0"/>
    <s v="no"/>
    <s v="moderate"/>
    <s v="ERNSH"/>
    <n v="10895"/>
    <x v="11"/>
    <x v="11"/>
    <s v="ERNSH_10895_Camembert Pierrot"/>
    <s v="10895"/>
    <s v="10895"/>
    <s v="Camembert Pierrot"/>
    <n v="34"/>
    <x v="30"/>
    <x v="0"/>
    <n v="3400"/>
    <x v="1"/>
    <d v="1996-03-20T00:00:00"/>
    <s v="1st Q 1996"/>
    <s v="1st Q 1996"/>
  </r>
  <r>
    <x v="80"/>
    <x v="80"/>
    <s v="Catherine"/>
    <s v="Dewey"/>
    <s v="Dewey, Catherine"/>
    <s v="Dewey, Catherine"/>
    <x v="0"/>
    <s v="no"/>
    <s v="no"/>
    <s v="MAISD"/>
    <n v="10896"/>
    <x v="73"/>
    <x v="73"/>
    <s v="MAISD_10896_Røgede sild"/>
    <s v="10896"/>
    <s v="10896"/>
    <s v="Røgede sild"/>
    <n v="9.5"/>
    <x v="6"/>
    <x v="0"/>
    <n v="142.5"/>
    <x v="1"/>
    <d v="1996-03-21T00:00:00"/>
    <s v="1st Q 1996"/>
    <s v="1st Q 1996"/>
  </r>
  <r>
    <x v="80"/>
    <x v="80"/>
    <s v="Catherine"/>
    <s v="Dewey"/>
    <s v="Dewey, Catherine"/>
    <s v="Dewey, Catherine"/>
    <x v="0"/>
    <s v="no"/>
    <s v="no"/>
    <s v="MAISD"/>
    <n v="10896"/>
    <x v="33"/>
    <x v="33"/>
    <s v="MAISD_10896_Gnocchi di nonna Alice"/>
    <s v="10896"/>
    <s v="10896"/>
    <s v="Gnocchi di nonna Alice"/>
    <n v="38"/>
    <x v="16"/>
    <x v="0"/>
    <n v="608"/>
    <x v="1"/>
    <d v="1996-03-21T00:00:00"/>
    <s v="1st Q 1996"/>
    <s v="1st Q 1996"/>
  </r>
  <r>
    <x v="34"/>
    <x v="34"/>
    <s v="Patricia"/>
    <s v="McKenna"/>
    <s v="McKenna, Patricia"/>
    <s v="McKenna, Patricia"/>
    <x v="1"/>
    <s v="yes"/>
    <s v="yes"/>
    <s v="HUNGO"/>
    <n v="10897"/>
    <x v="39"/>
    <x v="39"/>
    <s v="HUNGO_10897_Thüringer Rostbratwurst"/>
    <s v="10897"/>
    <s v="10897"/>
    <s v="Thüringer Rostbratwurst"/>
    <n v="123.79"/>
    <x v="32"/>
    <x v="0"/>
    <n v="9903.2000000000007"/>
    <x v="1"/>
    <d v="1996-03-21T00:00:00"/>
    <s v="1st Q 1996"/>
    <s v="1st Q 1996"/>
  </r>
  <r>
    <x v="34"/>
    <x v="34"/>
    <s v="Patricia"/>
    <s v="McKenna"/>
    <s v="McKenna, Patricia"/>
    <s v="McKenna, Patricia"/>
    <x v="0"/>
    <s v="no"/>
    <s v="no"/>
    <s v="HUNGO"/>
    <n v="10897"/>
    <x v="34"/>
    <x v="34"/>
    <s v="HUNGO_10897_Nord-Ost Matjeshering"/>
    <s v="10897"/>
    <s v="10897"/>
    <s v="Nord-Ost Matjeshering"/>
    <n v="25.89"/>
    <x v="20"/>
    <x v="0"/>
    <n v="932.04"/>
    <x v="1"/>
    <d v="1996-03-21T00:00:00"/>
    <s v="1st Q 1996"/>
    <s v="1st Q 1996"/>
  </r>
  <r>
    <x v="69"/>
    <x v="69"/>
    <s v="Yvonne"/>
    <s v="Moncada"/>
    <s v="Moncada, Yvonne"/>
    <s v="Moncada, Yvonne"/>
    <x v="0"/>
    <s v="no"/>
    <s v="no"/>
    <s v="OCEAN"/>
    <n v="10898"/>
    <x v="43"/>
    <x v="43"/>
    <s v="OCEAN_10898_Konbu"/>
    <s v="10898"/>
    <s v="10898"/>
    <s v="Konbu"/>
    <n v="6"/>
    <x v="2"/>
    <x v="0"/>
    <n v="30"/>
    <x v="1"/>
    <d v="1996-03-22T00:00:00"/>
    <s v="1st Q 1996"/>
    <s v="1st Q 1996"/>
  </r>
  <r>
    <x v="28"/>
    <x v="28"/>
    <s v="Carlos"/>
    <s v="González"/>
    <s v="González, Carlos"/>
    <s v="González, Carlos"/>
    <x v="0"/>
    <s v="no"/>
    <s v="no"/>
    <s v="LILAS"/>
    <n v="10899"/>
    <x v="13"/>
    <x v="13"/>
    <s v="LILAS_10899_Chartreuse verte"/>
    <s v="10899"/>
    <s v="10899"/>
    <s v="Chartreuse verte"/>
    <n v="18"/>
    <x v="26"/>
    <x v="1"/>
    <n v="122.39999999999999"/>
    <x v="1"/>
    <d v="1996-03-22T00:00:00"/>
    <s v="1st Q 1996"/>
    <s v="1st Q 1996"/>
  </r>
  <r>
    <x v="7"/>
    <x v="7"/>
    <s v="Paula"/>
    <s v="Parente"/>
    <s v="Parente, Paula"/>
    <s v="Parente, Paula"/>
    <x v="0"/>
    <s v="no"/>
    <s v="no"/>
    <s v="WELLI"/>
    <n v="10900"/>
    <x v="30"/>
    <x v="30"/>
    <s v="WELLI_10900_Outback Lager"/>
    <s v="10900"/>
    <s v="10900"/>
    <s v="Outback Lager"/>
    <n v="15"/>
    <x v="28"/>
    <x v="4"/>
    <n v="33.75"/>
    <x v="1"/>
    <d v="1996-03-22T00:00:00"/>
    <s v="1st Q 1996"/>
    <s v="1st Q 1996"/>
  </r>
  <r>
    <x v="8"/>
    <x v="8"/>
    <s v="Carlos"/>
    <s v="Hernández"/>
    <s v="Hernández, Carlos"/>
    <s v="Hernández, Carlos"/>
    <x v="0"/>
    <s v="no"/>
    <s v="no"/>
    <s v="HILAA"/>
    <n v="10901"/>
    <x v="5"/>
    <x v="5"/>
    <s v="HILAA_10901_Jack's New England Clam Chowder"/>
    <s v="10901"/>
    <s v="10901"/>
    <s v="Jack's New England Clam Chowder"/>
    <n v="9.65"/>
    <x v="12"/>
    <x v="0"/>
    <n v="289.5"/>
    <x v="1"/>
    <d v="1996-03-25T00:00:00"/>
    <s v="1st Q 1996"/>
    <s v="1st Q 1996"/>
  </r>
  <r>
    <x v="8"/>
    <x v="8"/>
    <s v="Carlos"/>
    <s v="Hernández"/>
    <s v="Hernández, Carlos"/>
    <s v="Hernández, Carlos"/>
    <x v="0"/>
    <s v="no"/>
    <s v="no"/>
    <s v="HILAA"/>
    <n v="10901"/>
    <x v="42"/>
    <x v="42"/>
    <s v="HILAA_10901_Fløtemysost"/>
    <s v="10901"/>
    <s v="10901"/>
    <s v="Fløtemysost"/>
    <n v="21.5"/>
    <x v="12"/>
    <x v="0"/>
    <n v="645"/>
    <x v="1"/>
    <d v="1996-03-25T00:00:00"/>
    <s v="1st Q 1996"/>
    <s v="1st Q 1996"/>
  </r>
  <r>
    <x v="14"/>
    <x v="14"/>
    <s v="Maria"/>
    <s v="Larsson"/>
    <s v="Larsson, Maria"/>
    <s v="Larsson, Maria"/>
    <x v="0"/>
    <s v="no"/>
    <s v="no"/>
    <s v="FOLKO"/>
    <n v="10902"/>
    <x v="16"/>
    <x v="16"/>
    <s v="FOLKO_10902_Pâté chinois"/>
    <s v="10902"/>
    <s v="10902"/>
    <s v="Pâté chinois"/>
    <n v="24"/>
    <x v="12"/>
    <x v="1"/>
    <n v="612"/>
    <x v="1"/>
    <d v="1996-03-25T00:00:00"/>
    <s v="1st Q 1996"/>
    <s v="1st Q 1996"/>
  </r>
  <r>
    <x v="14"/>
    <x v="14"/>
    <s v="Maria"/>
    <s v="Larsson"/>
    <s v="Larsson, Maria"/>
    <s v="Larsson, Maria"/>
    <x v="0"/>
    <s v="no"/>
    <s v="no"/>
    <s v="FOLKO"/>
    <n v="10902"/>
    <x v="29"/>
    <x v="29"/>
    <s v="FOLKO_10902_Tarte au sucre"/>
    <s v="10902"/>
    <s v="10902"/>
    <s v="Tarte au sucre"/>
    <n v="49.3"/>
    <x v="7"/>
    <x v="1"/>
    <n v="251.42999999999995"/>
    <x v="1"/>
    <d v="1996-03-25T00:00:00"/>
    <s v="1st Q 1996"/>
    <s v="1st Q 1996"/>
  </r>
  <r>
    <x v="2"/>
    <x v="2"/>
    <s v="Mario"/>
    <s v="Pontes"/>
    <s v="Pontes, Mario"/>
    <s v="Pontes, Mario"/>
    <x v="0"/>
    <s v="no"/>
    <s v="no"/>
    <s v="HANAR"/>
    <n v="10903"/>
    <x v="43"/>
    <x v="43"/>
    <s v="HANAR_10903_Konbu"/>
    <s v="10903"/>
    <s v="10903"/>
    <s v="Konbu"/>
    <n v="6"/>
    <x v="4"/>
    <x v="0"/>
    <n v="240"/>
    <x v="1"/>
    <d v="1996-03-26T00:00:00"/>
    <s v="1st Q 1996"/>
    <s v="1st Q 1996"/>
  </r>
  <r>
    <x v="2"/>
    <x v="2"/>
    <s v="Mario"/>
    <s v="Pontes"/>
    <s v="Pontes, Mario"/>
    <s v="Pontes, Mario"/>
    <x v="0"/>
    <s v="no"/>
    <s v="no"/>
    <s v="HANAR"/>
    <n v="10903"/>
    <x v="6"/>
    <x v="6"/>
    <s v="HANAR_10903_Louisiana Fiery Hot Pepper Sauce"/>
    <s v="10903"/>
    <s v="10903"/>
    <s v="Louisiana Fiery Hot Pepper Sauce"/>
    <n v="21.05"/>
    <x v="11"/>
    <x v="0"/>
    <n v="442.05"/>
    <x v="1"/>
    <d v="1996-03-26T00:00:00"/>
    <s v="1st Q 1996"/>
    <s v="1st Q 1996"/>
  </r>
  <r>
    <x v="2"/>
    <x v="2"/>
    <s v="Mario"/>
    <s v="Pontes"/>
    <s v="Pontes, Mario"/>
    <s v="Pontes, Mario"/>
    <x v="0"/>
    <s v="no"/>
    <s v="no"/>
    <s v="HANAR"/>
    <n v="10903"/>
    <x v="56"/>
    <x v="56"/>
    <s v="HANAR_10903_Scottish Longbreads"/>
    <s v="10903"/>
    <s v="10903"/>
    <s v="Scottish Longbreads"/>
    <n v="12.5"/>
    <x v="8"/>
    <x v="0"/>
    <n v="250"/>
    <x v="1"/>
    <d v="1996-03-26T00:00:00"/>
    <s v="1st Q 1996"/>
    <s v="1st Q 1996"/>
  </r>
  <r>
    <x v="19"/>
    <x v="19"/>
    <s v="Karl"/>
    <s v="Jablonski"/>
    <s v="Jablonski, Karl"/>
    <s v="Jablonski, Karl"/>
    <x v="0"/>
    <s v="no"/>
    <s v="no"/>
    <s v="WHITC"/>
    <n v="10904"/>
    <x v="64"/>
    <x v="64"/>
    <s v="WHITC_10904_Escargots de Bourgogne"/>
    <s v="10904"/>
    <s v="10904"/>
    <s v="Escargots de Bourgogne"/>
    <n v="13.25"/>
    <x v="6"/>
    <x v="0"/>
    <n v="198.75"/>
    <x v="1"/>
    <d v="1996-03-26T00:00:00"/>
    <s v="1st Q 1996"/>
    <s v="1st Q 1996"/>
  </r>
  <r>
    <x v="19"/>
    <x v="19"/>
    <s v="Karl"/>
    <s v="Jablonski"/>
    <s v="Jablonski, Karl"/>
    <s v="Jablonski, Karl"/>
    <x v="0"/>
    <s v="no"/>
    <s v="no"/>
    <s v="WHITC"/>
    <n v="10904"/>
    <x v="29"/>
    <x v="29"/>
    <s v="WHITC_10904_Tarte au sucre"/>
    <s v="10904"/>
    <s v="10904"/>
    <s v="Tarte au sucre"/>
    <n v="49.3"/>
    <x v="5"/>
    <x v="0"/>
    <n v="1725.5"/>
    <x v="1"/>
    <d v="1996-03-26T00:00:00"/>
    <s v="1st Q 1996"/>
    <s v="1st Q 1996"/>
  </r>
  <r>
    <x v="7"/>
    <x v="7"/>
    <s v="Paula"/>
    <s v="Parente"/>
    <s v="Parente, Paula"/>
    <s v="Parente, Paula"/>
    <x v="0"/>
    <s v="no"/>
    <s v="no"/>
    <s v="WELLI"/>
    <n v="10905"/>
    <x v="52"/>
    <x v="52"/>
    <s v="WELLI_10905_Chai"/>
    <s v="10905"/>
    <s v="10905"/>
    <s v="Chai"/>
    <n v="18"/>
    <x v="8"/>
    <x v="2"/>
    <n v="342"/>
    <x v="1"/>
    <d v="1996-03-26T00:00:00"/>
    <s v="1st Q 1996"/>
    <s v="1st Q 1996"/>
  </r>
  <r>
    <x v="63"/>
    <x v="63"/>
    <s v="Zbyszek"/>
    <s v="Piestrzeniewicz"/>
    <s v="Piestrzeniewicz, Zbyszek"/>
    <s v="Piestrzeniewicz, Zbyszek"/>
    <x v="0"/>
    <s v="no"/>
    <s v="no"/>
    <s v="WOLZA"/>
    <n v="10906"/>
    <x v="75"/>
    <x v="75"/>
    <s v="WOLZA_10906_Sirop d'érable"/>
    <s v="10906"/>
    <s v="10906"/>
    <s v="Sirop d'érable"/>
    <n v="28.5"/>
    <x v="6"/>
    <x v="0"/>
    <n v="427.5"/>
    <x v="1"/>
    <d v="1996-03-27T00:00:00"/>
    <s v="1st Q 1996"/>
    <s v="1st Q 1996"/>
  </r>
  <r>
    <x v="87"/>
    <x v="87"/>
    <s v="Dominique"/>
    <s v="Perrier"/>
    <s v="Perrier, Dominique"/>
    <s v="Perrier, Dominique"/>
    <x v="0"/>
    <s v="no"/>
    <s v="no"/>
    <s v="SPECD"/>
    <n v="10907"/>
    <x v="48"/>
    <x v="48"/>
    <s v="SPECD_10907_Rhönbräu Klosterbier"/>
    <s v="10907"/>
    <s v="10907"/>
    <s v="Rhönbräu Klosterbier"/>
    <n v="7.75"/>
    <x v="31"/>
    <x v="0"/>
    <n v="108.5"/>
    <x v="1"/>
    <d v="1996-03-27T00:00:00"/>
    <s v="1st Q 1996"/>
    <s v="1st Q 1996"/>
  </r>
  <r>
    <x v="30"/>
    <x v="30"/>
    <s v="Maurizio"/>
    <s v="Moroni"/>
    <s v="Moroni, Maurizio"/>
    <s v="Moroni, Maurizio"/>
    <x v="0"/>
    <s v="no"/>
    <s v="no"/>
    <s v="REGGC"/>
    <n v="10908"/>
    <x v="32"/>
    <x v="32"/>
    <s v="REGGC_10908_Uncle Bob's Organic Dried Pears"/>
    <s v="10908"/>
    <s v="10908"/>
    <s v="Uncle Bob's Organic Dried Pears"/>
    <n v="30"/>
    <x v="8"/>
    <x v="2"/>
    <n v="570"/>
    <x v="1"/>
    <d v="1996-03-28T00:00:00"/>
    <s v="1st Q 1996"/>
    <s v="1st Q 1996"/>
  </r>
  <r>
    <x v="30"/>
    <x v="30"/>
    <s v="Maurizio"/>
    <s v="Moroni"/>
    <s v="Moroni, Maurizio"/>
    <s v="Moroni, Maurizio"/>
    <x v="0"/>
    <s v="no"/>
    <s v="no"/>
    <s v="REGGC"/>
    <n v="10908"/>
    <x v="65"/>
    <x v="65"/>
    <s v="REGGC_10908_Filo Mix"/>
    <s v="10908"/>
    <s v="10908"/>
    <s v="Filo Mix"/>
    <n v="7"/>
    <x v="31"/>
    <x v="2"/>
    <n v="93.1"/>
    <x v="1"/>
    <d v="1996-03-28T00:00:00"/>
    <s v="1st Q 1996"/>
    <s v="1st Q 1996"/>
  </r>
  <r>
    <x v="65"/>
    <x v="65"/>
    <s v="Jonas"/>
    <s v="Bergulfsen"/>
    <s v="Bergulfsen, Jonas"/>
    <s v="Bergulfsen, Jonas"/>
    <x v="0"/>
    <s v="no"/>
    <s v="no"/>
    <s v="SANTG"/>
    <n v="10909"/>
    <x v="32"/>
    <x v="32"/>
    <s v="SANTG_10909_Uncle Bob's Organic Dried Pears"/>
    <s v="10909"/>
    <s v="10909"/>
    <s v="Uncle Bob's Organic Dried Pears"/>
    <n v="30"/>
    <x v="0"/>
    <x v="0"/>
    <n v="360"/>
    <x v="1"/>
    <d v="1996-03-28T00:00:00"/>
    <s v="1st Q 1996"/>
    <s v="1st Q 1996"/>
  </r>
  <r>
    <x v="65"/>
    <x v="65"/>
    <s v="Jonas"/>
    <s v="Bergulfsen"/>
    <s v="Bergulfsen, Jonas"/>
    <s v="Bergulfsen, Jonas"/>
    <x v="0"/>
    <s v="no"/>
    <s v="no"/>
    <s v="SANTG"/>
    <n v="10909"/>
    <x v="19"/>
    <x v="19"/>
    <s v="SANTG_10909_Pavlova"/>
    <s v="10909"/>
    <s v="10909"/>
    <s v="Pavlova"/>
    <n v="17.45"/>
    <x v="6"/>
    <x v="0"/>
    <n v="261.75"/>
    <x v="1"/>
    <d v="1996-03-28T00:00:00"/>
    <s v="1st Q 1996"/>
    <s v="1st Q 1996"/>
  </r>
  <r>
    <x v="65"/>
    <x v="65"/>
    <s v="Jonas"/>
    <s v="Bergulfsen"/>
    <s v="Bergulfsen, Jonas"/>
    <s v="Bergulfsen, Jonas"/>
    <x v="0"/>
    <s v="no"/>
    <s v="no"/>
    <s v="SANTG"/>
    <n v="10909"/>
    <x v="5"/>
    <x v="5"/>
    <s v="SANTG_10909_Jack's New England Clam Chowder"/>
    <s v="10909"/>
    <s v="10909"/>
    <s v="Jack's New England Clam Chowder"/>
    <n v="9.65"/>
    <x v="2"/>
    <x v="0"/>
    <n v="48.25"/>
    <x v="1"/>
    <d v="1996-03-28T00:00:00"/>
    <s v="1st Q 1996"/>
    <s v="1st Q 1996"/>
  </r>
  <r>
    <x v="83"/>
    <x v="83"/>
    <s v="Matti"/>
    <s v="Karttunen"/>
    <s v="Karttunen, Matti"/>
    <s v="Karttunen, Matti"/>
    <x v="0"/>
    <s v="no"/>
    <s v="no"/>
    <s v="WILMK"/>
    <n v="10910"/>
    <x v="49"/>
    <x v="49"/>
    <s v="WILMK_10910_Teatime Chocolate Biscuits"/>
    <s v="10910"/>
    <s v="10910"/>
    <s v="Teatime Chocolate Biscuits"/>
    <n v="9.1999999999999993"/>
    <x v="0"/>
    <x v="0"/>
    <n v="110.39999999999999"/>
    <x v="1"/>
    <d v="1996-03-28T00:00:00"/>
    <s v="1st Q 1996"/>
    <s v="1st Q 1996"/>
  </r>
  <r>
    <x v="83"/>
    <x v="83"/>
    <s v="Matti"/>
    <s v="Karttunen"/>
    <s v="Karttunen, Matti"/>
    <s v="Karttunen, Matti"/>
    <x v="0"/>
    <s v="no"/>
    <s v="no"/>
    <s v="WILMK"/>
    <n v="10910"/>
    <x v="14"/>
    <x v="14"/>
    <s v="WILMK_10910_Maxilaku"/>
    <s v="10910"/>
    <s v="10910"/>
    <s v="Maxilaku"/>
    <n v="20"/>
    <x v="1"/>
    <x v="0"/>
    <n v="200"/>
    <x v="1"/>
    <d v="1996-03-28T00:00:00"/>
    <s v="1st Q 1996"/>
    <s v="1st Q 1996"/>
  </r>
  <r>
    <x v="83"/>
    <x v="83"/>
    <s v="Matti"/>
    <s v="Karttunen"/>
    <s v="Karttunen, Matti"/>
    <s v="Karttunen, Matti"/>
    <x v="0"/>
    <s v="no"/>
    <s v="no"/>
    <s v="WILMK"/>
    <n v="10910"/>
    <x v="75"/>
    <x v="75"/>
    <s v="WILMK_10910_Sirop d'érable"/>
    <s v="10910"/>
    <s v="10910"/>
    <s v="Sirop d'érable"/>
    <n v="28.5"/>
    <x v="2"/>
    <x v="0"/>
    <n v="142.5"/>
    <x v="1"/>
    <d v="1996-03-28T00:00:00"/>
    <s v="1st Q 1996"/>
    <s v="1st Q 1996"/>
  </r>
  <r>
    <x v="36"/>
    <x v="36"/>
    <s v="José"/>
    <s v="Pedro Freyre"/>
    <s v="Pedro Freyre, José"/>
    <s v="Pedro Freyre, José"/>
    <x v="0"/>
    <s v="no"/>
    <s v="no"/>
    <s v="GODOS"/>
    <n v="10911"/>
    <x v="52"/>
    <x v="52"/>
    <s v="GODOS_10911_Chai"/>
    <s v="10911"/>
    <s v="10911"/>
    <s v="Chai"/>
    <n v="18"/>
    <x v="1"/>
    <x v="0"/>
    <n v="180"/>
    <x v="1"/>
    <d v="1996-03-28T00:00:00"/>
    <s v="1st Q 1996"/>
    <s v="1st Q 1996"/>
  </r>
  <r>
    <x v="36"/>
    <x v="36"/>
    <s v="José"/>
    <s v="Pedro Freyre"/>
    <s v="Pedro Freyre, José"/>
    <s v="Pedro Freyre, José"/>
    <x v="0"/>
    <s v="no"/>
    <s v="no"/>
    <s v="GODOS"/>
    <n v="10911"/>
    <x v="35"/>
    <x v="35"/>
    <s v="GODOS_10911_Alice Mutton"/>
    <s v="10911"/>
    <s v="10911"/>
    <s v="Alice Mutton"/>
    <n v="39"/>
    <x v="0"/>
    <x v="0"/>
    <n v="468"/>
    <x v="1"/>
    <d v="1996-03-28T00:00:00"/>
    <s v="1st Q 1996"/>
    <s v="1st Q 1996"/>
  </r>
  <r>
    <x v="36"/>
    <x v="36"/>
    <s v="José"/>
    <s v="Pedro Freyre"/>
    <s v="Pedro Freyre, José"/>
    <s v="Pedro Freyre, José"/>
    <x v="0"/>
    <s v="no"/>
    <s v="no"/>
    <s v="GODOS"/>
    <n v="10911"/>
    <x v="51"/>
    <x v="51"/>
    <s v="GODOS_10911_Laughing Lumberjack Lager"/>
    <s v="10911"/>
    <s v="10911"/>
    <s v="Laughing Lumberjack Lager"/>
    <n v="14"/>
    <x v="6"/>
    <x v="0"/>
    <n v="210"/>
    <x v="1"/>
    <d v="1996-03-28T00:00:00"/>
    <s v="1st Q 1996"/>
    <s v="1st Q 1996"/>
  </r>
  <r>
    <x v="34"/>
    <x v="34"/>
    <s v="Patricia"/>
    <s v="McKenna"/>
    <s v="McKenna, Patricia"/>
    <s v="McKenna, Patricia"/>
    <x v="0"/>
    <s v="no"/>
    <s v="no"/>
    <s v="HUNGO"/>
    <n v="10912"/>
    <x v="0"/>
    <x v="0"/>
    <s v="HUNGO_10912_Queso Cabrales"/>
    <s v="10912"/>
    <s v="10912"/>
    <s v="Queso Cabrales"/>
    <n v="21"/>
    <x v="4"/>
    <x v="4"/>
    <n v="630"/>
    <x v="1"/>
    <d v="1996-03-28T00:00:00"/>
    <s v="1st Q 1996"/>
    <s v="1st Q 1996"/>
  </r>
  <r>
    <x v="34"/>
    <x v="34"/>
    <s v="Patricia"/>
    <s v="McKenna"/>
    <s v="McKenna, Patricia"/>
    <s v="McKenna, Patricia"/>
    <x v="1"/>
    <s v="yes"/>
    <s v="yes"/>
    <s v="HUNGO"/>
    <n v="10912"/>
    <x v="39"/>
    <x v="39"/>
    <s v="HUNGO_10912_Thüringer Rostbratwurst"/>
    <s v="10912"/>
    <s v="10912"/>
    <s v="Thüringer Rostbratwurst"/>
    <n v="123.79"/>
    <x v="18"/>
    <x v="4"/>
    <n v="5570.55"/>
    <x v="1"/>
    <d v="1996-03-28T00:00:00"/>
    <s v="1st Q 1996"/>
    <s v="1st Q 1996"/>
  </r>
  <r>
    <x v="62"/>
    <x v="62"/>
    <s v="Lúcia"/>
    <s v="Carvalho"/>
    <s v="Carvalho, Lúcia"/>
    <s v="Carvalho, Lúcia"/>
    <x v="0"/>
    <s v="no"/>
    <s v="no"/>
    <s v="QUEEN"/>
    <n v="10913"/>
    <x v="62"/>
    <x v="62"/>
    <s v="QUEEN_10913_Chef Anton's Cajun Seasoning"/>
    <s v="10913"/>
    <s v="10913"/>
    <s v="Chef Anton's Cajun Seasoning"/>
    <n v="22"/>
    <x v="12"/>
    <x v="4"/>
    <n v="495"/>
    <x v="1"/>
    <d v="1996-03-28T00:00:00"/>
    <s v="1st Q 1996"/>
    <s v="1st Q 1996"/>
  </r>
  <r>
    <x v="62"/>
    <x v="62"/>
    <s v="Lúcia"/>
    <s v="Carvalho"/>
    <s v="Carvalho, Lúcia"/>
    <s v="Carvalho, Lúcia"/>
    <x v="0"/>
    <s v="no"/>
    <s v="no"/>
    <s v="QUEEN"/>
    <n v="10913"/>
    <x v="10"/>
    <x v="10"/>
    <s v="QUEEN_10913_Geitost"/>
    <s v="10913"/>
    <s v="10913"/>
    <s v="Geitost"/>
    <n v="2.5"/>
    <x v="4"/>
    <x v="4"/>
    <n v="75"/>
    <x v="1"/>
    <d v="1996-03-28T00:00:00"/>
    <s v="1st Q 1996"/>
    <s v="1st Q 1996"/>
  </r>
  <r>
    <x v="62"/>
    <x v="62"/>
    <s v="Lúcia"/>
    <s v="Carvalho"/>
    <s v="Carvalho, Lúcia"/>
    <s v="Carvalho, Lúcia"/>
    <x v="0"/>
    <s v="no"/>
    <s v="no"/>
    <s v="QUEEN"/>
    <n v="10913"/>
    <x v="64"/>
    <x v="64"/>
    <s v="QUEEN_10913_Escargots de Bourgogne"/>
    <s v="10913"/>
    <s v="10913"/>
    <s v="Escargots de Bourgogne"/>
    <n v="13.25"/>
    <x v="6"/>
    <x v="0"/>
    <n v="198.75"/>
    <x v="1"/>
    <d v="1996-03-28T00:00:00"/>
    <s v="1st Q 1996"/>
    <s v="1st Q 1996"/>
  </r>
  <r>
    <x v="62"/>
    <x v="62"/>
    <s v="Lúcia"/>
    <s v="Carvalho"/>
    <s v="Carvalho, Lúcia"/>
    <s v="Carvalho, Lúcia"/>
    <x v="0"/>
    <s v="no"/>
    <s v="no"/>
    <s v="QUEEN"/>
    <n v="10914"/>
    <x v="42"/>
    <x v="42"/>
    <s v="QUEEN_10914_Fløtemysost"/>
    <s v="10914"/>
    <s v="10914"/>
    <s v="Fløtemysost"/>
    <n v="21.5"/>
    <x v="9"/>
    <x v="0"/>
    <n v="537.5"/>
    <x v="1"/>
    <d v="1996-03-29T00:00:00"/>
    <s v="1st Q 1996"/>
    <s v="1st Q 1996"/>
  </r>
  <r>
    <x v="23"/>
    <x v="23"/>
    <s v="Miguel"/>
    <s v="Angel Paolino"/>
    <s v="Angel Paolino, Miguel"/>
    <s v="Angel Paolino, Miguel"/>
    <x v="0"/>
    <s v="no"/>
    <s v="no"/>
    <s v="TORTU"/>
    <n v="10915"/>
    <x v="35"/>
    <x v="35"/>
    <s v="TORTU_10915_Alice Mutton"/>
    <s v="10915"/>
    <s v="10915"/>
    <s v="Alice Mutton"/>
    <n v="39"/>
    <x v="1"/>
    <x v="0"/>
    <n v="390"/>
    <x v="1"/>
    <d v="1996-03-29T00:00:00"/>
    <s v="1st Q 1996"/>
    <s v="1st Q 1996"/>
  </r>
  <r>
    <x v="23"/>
    <x v="23"/>
    <s v="Miguel"/>
    <s v="Angel Paolino"/>
    <s v="Angel Paolino, Miguel"/>
    <s v="Angel Paolino, Miguel"/>
    <x v="0"/>
    <s v="no"/>
    <s v="no"/>
    <s v="TORTU"/>
    <n v="10915"/>
    <x v="10"/>
    <x v="10"/>
    <s v="TORTU_10915_Geitost"/>
    <s v="10915"/>
    <s v="10915"/>
    <s v="Geitost"/>
    <n v="2.5"/>
    <x v="12"/>
    <x v="0"/>
    <n v="75"/>
    <x v="1"/>
    <d v="1996-03-29T00:00:00"/>
    <s v="1st Q 1996"/>
    <s v="1st Q 1996"/>
  </r>
  <r>
    <x v="23"/>
    <x v="23"/>
    <s v="Miguel"/>
    <s v="Angel Paolino"/>
    <s v="Angel Paolino, Miguel"/>
    <s v="Angel Paolino, Miguel"/>
    <x v="0"/>
    <s v="no"/>
    <s v="no"/>
    <s v="TORTU"/>
    <n v="10915"/>
    <x v="55"/>
    <x v="55"/>
    <s v="TORTU_10915_Tourtière"/>
    <s v="10915"/>
    <s v="10915"/>
    <s v="Tourtière"/>
    <n v="7.45"/>
    <x v="1"/>
    <x v="0"/>
    <n v="74.5"/>
    <x v="1"/>
    <d v="1996-03-29T00:00:00"/>
    <s v="1st Q 1996"/>
    <s v="1st Q 1996"/>
  </r>
  <r>
    <x v="73"/>
    <x v="73"/>
    <s v="Sergio"/>
    <s v="Gutiérrez"/>
    <s v="Gutiérrez, Sergio"/>
    <s v="Gutiérrez, Sergio"/>
    <x v="0"/>
    <s v="no"/>
    <s v="no"/>
    <s v="RANCH"/>
    <n v="10916"/>
    <x v="19"/>
    <x v="19"/>
    <s v="RANCH_10916_Pavlova"/>
    <s v="10916"/>
    <s v="10916"/>
    <s v="Pavlova"/>
    <n v="17.45"/>
    <x v="7"/>
    <x v="0"/>
    <n v="104.69999999999999"/>
    <x v="1"/>
    <d v="1996-03-29T00:00:00"/>
    <s v="1st Q 1996"/>
    <s v="1st Q 1996"/>
  </r>
  <r>
    <x v="73"/>
    <x v="73"/>
    <s v="Sergio"/>
    <s v="Gutiérrez"/>
    <s v="Gutiérrez, Sergio"/>
    <s v="Gutiérrez, Sergio"/>
    <x v="0"/>
    <s v="no"/>
    <s v="no"/>
    <s v="RANCH"/>
    <n v="10916"/>
    <x v="26"/>
    <x v="26"/>
    <s v="RANCH_10916_Mascarpone Fabioli"/>
    <s v="10916"/>
    <s v="10916"/>
    <s v="Mascarpone Fabioli"/>
    <n v="32"/>
    <x v="7"/>
    <x v="0"/>
    <n v="192"/>
    <x v="1"/>
    <d v="1996-03-29T00:00:00"/>
    <s v="1st Q 1996"/>
    <s v="1st Q 1996"/>
  </r>
  <r>
    <x v="73"/>
    <x v="73"/>
    <s v="Sergio"/>
    <s v="Gutiérrez"/>
    <s v="Gutiérrez, Sergio"/>
    <s v="Gutiérrez, Sergio"/>
    <x v="0"/>
    <s v="no"/>
    <s v="no"/>
    <s v="RANCH"/>
    <n v="10916"/>
    <x v="8"/>
    <x v="8"/>
    <s v="RANCH_10916_Ravioli Angelo"/>
    <s v="10916"/>
    <s v="10916"/>
    <s v="Ravioli Angelo"/>
    <n v="19.5"/>
    <x v="8"/>
    <x v="0"/>
    <n v="390"/>
    <x v="1"/>
    <d v="1996-03-29T00:00:00"/>
    <s v="1st Q 1996"/>
    <s v="1st Q 1996"/>
  </r>
  <r>
    <x v="27"/>
    <x v="27"/>
    <s v="Alejandra"/>
    <s v="Camino"/>
    <s v="Camino, Alejandra"/>
    <s v="Camino, Alejandra"/>
    <x v="0"/>
    <s v="no"/>
    <s v="no"/>
    <s v="ROMEY"/>
    <n v="10917"/>
    <x v="34"/>
    <x v="34"/>
    <s v="ROMEY_10917_Nord-Ost Matjeshering"/>
    <s v="10917"/>
    <s v="10917"/>
    <s v="Nord-Ost Matjeshering"/>
    <n v="25.89"/>
    <x v="15"/>
    <x v="0"/>
    <n v="25.89"/>
    <x v="1"/>
    <d v="1996-04-01T00:00:00"/>
    <s v=""/>
    <s v="2nd Q 1996"/>
  </r>
  <r>
    <x v="27"/>
    <x v="27"/>
    <s v="Alejandra"/>
    <s v="Camino"/>
    <s v="Camino, Alejandra"/>
    <s v="Camino, Alejandra"/>
    <x v="0"/>
    <s v="no"/>
    <s v="no"/>
    <s v="ROMEY"/>
    <n v="10917"/>
    <x v="11"/>
    <x v="11"/>
    <s v="ROMEY_10917_Camembert Pierrot"/>
    <s v="10917"/>
    <s v="10917"/>
    <s v="Camembert Pierrot"/>
    <n v="34"/>
    <x v="1"/>
    <x v="0"/>
    <n v="340"/>
    <x v="1"/>
    <d v="1996-04-01T00:00:00"/>
    <s v=""/>
    <s v="2nd Q 1996"/>
  </r>
  <r>
    <x v="66"/>
    <x v="66"/>
    <s v="Elizabeth"/>
    <s v="Lincoln"/>
    <s v="Lincoln, Elizabeth"/>
    <s v="Lincoln, Elizabeth"/>
    <x v="0"/>
    <s v="no"/>
    <s v="no"/>
    <s v="BOTTM"/>
    <n v="10918"/>
    <x v="52"/>
    <x v="52"/>
    <s v="BOTTM_10918_Chai"/>
    <s v="10918"/>
    <s v="10918"/>
    <s v="Chai"/>
    <n v="18"/>
    <x v="18"/>
    <x v="4"/>
    <n v="810"/>
    <x v="1"/>
    <d v="1996-04-01T00:00:00"/>
    <s v=""/>
    <s v="2nd Q 1996"/>
  </r>
  <r>
    <x v="66"/>
    <x v="66"/>
    <s v="Elizabeth"/>
    <s v="Lincoln"/>
    <s v="Lincoln, Elizabeth"/>
    <s v="Lincoln, Elizabeth"/>
    <x v="0"/>
    <s v="no"/>
    <s v="no"/>
    <s v="BOTTM"/>
    <n v="10918"/>
    <x v="11"/>
    <x v="11"/>
    <s v="BOTTM_10918_Camembert Pierrot"/>
    <s v="10918"/>
    <s v="10918"/>
    <s v="Camembert Pierrot"/>
    <n v="34"/>
    <x v="9"/>
    <x v="4"/>
    <n v="637.5"/>
    <x v="1"/>
    <d v="1996-04-01T00:00:00"/>
    <s v=""/>
    <s v="2nd Q 1996"/>
  </r>
  <r>
    <x v="67"/>
    <x v="67"/>
    <s v="Felipe"/>
    <s v="Izquierdo"/>
    <s v="Izquierdo, Felipe"/>
    <s v="Izquierdo, Felipe"/>
    <x v="0"/>
    <s v="no"/>
    <s v="no"/>
    <s v="LINOD"/>
    <n v="10919"/>
    <x v="19"/>
    <x v="19"/>
    <s v="LINOD_10919_Pavlova"/>
    <s v="10919"/>
    <s v="10919"/>
    <s v="Pavlova"/>
    <n v="17.45"/>
    <x v="23"/>
    <x v="0"/>
    <n v="418.79999999999995"/>
    <x v="1"/>
    <d v="1996-04-01T00:00:00"/>
    <s v=""/>
    <s v="2nd Q 1996"/>
  </r>
  <r>
    <x v="67"/>
    <x v="67"/>
    <s v="Felipe"/>
    <s v="Izquierdo"/>
    <s v="Izquierdo, Felipe"/>
    <s v="Izquierdo, Felipe"/>
    <x v="0"/>
    <s v="no"/>
    <s v="no"/>
    <s v="LINOD"/>
    <n v="10919"/>
    <x v="66"/>
    <x v="66"/>
    <s v="LINOD_10919_NuNuCa Nuß-Nougat-Creme"/>
    <s v="10919"/>
    <s v="10919"/>
    <s v="NuNuCa Nuß-Nougat-Creme"/>
    <n v="14"/>
    <x v="23"/>
    <x v="0"/>
    <n v="336"/>
    <x v="1"/>
    <d v="1996-04-01T00:00:00"/>
    <s v=""/>
    <s v="2nd Q 1996"/>
  </r>
  <r>
    <x v="67"/>
    <x v="67"/>
    <s v="Felipe"/>
    <s v="Izquierdo"/>
    <s v="Izquierdo, Felipe"/>
    <s v="Izquierdo, Felipe"/>
    <x v="0"/>
    <s v="no"/>
    <s v="no"/>
    <s v="LINOD"/>
    <n v="10919"/>
    <x v="37"/>
    <x v="37"/>
    <s v="LINOD_10919_Boston Crab Meat"/>
    <s v="10919"/>
    <s v="10919"/>
    <s v="Boston Crab Meat"/>
    <n v="18.399999999999999"/>
    <x v="8"/>
    <x v="0"/>
    <n v="368"/>
    <x v="1"/>
    <d v="1996-04-01T00:00:00"/>
    <s v=""/>
    <s v="2nd Q 1996"/>
  </r>
  <r>
    <x v="55"/>
    <x v="55"/>
    <s v="Thomas"/>
    <s v="Hardy"/>
    <s v="Hardy, Thomas"/>
    <s v="Hardy, Thomas"/>
    <x v="0"/>
    <s v="no"/>
    <s v="no"/>
    <s v="AROUT"/>
    <n v="10920"/>
    <x v="72"/>
    <x v="72"/>
    <s v="AROUT_10920_Valkoinen suklaa"/>
    <s v="10920"/>
    <s v="10920"/>
    <s v="Valkoinen suklaa"/>
    <n v="16.25"/>
    <x v="23"/>
    <x v="0"/>
    <n v="390"/>
    <x v="1"/>
    <d v="1996-04-02T00:00:00"/>
    <s v=""/>
    <s v="2nd Q 1996"/>
  </r>
  <r>
    <x v="61"/>
    <x v="61"/>
    <s v="Palle"/>
    <s v="Ibsen"/>
    <s v="Ibsen, Palle"/>
    <s v="Ibsen, Palle"/>
    <x v="0"/>
    <s v="no"/>
    <s v="no"/>
    <s v="VAFFE"/>
    <n v="10921"/>
    <x v="31"/>
    <x v="31"/>
    <s v="VAFFE_10921_Steeleye Stout"/>
    <s v="10921"/>
    <s v="10921"/>
    <s v="Steeleye Stout"/>
    <n v="18"/>
    <x v="1"/>
    <x v="0"/>
    <n v="180"/>
    <x v="1"/>
    <d v="1996-04-02T00:00:00"/>
    <s v=""/>
    <s v="2nd Q 1996"/>
  </r>
  <r>
    <x v="61"/>
    <x v="61"/>
    <s v="Palle"/>
    <s v="Ibsen"/>
    <s v="Ibsen, Palle"/>
    <s v="Ibsen, Palle"/>
    <x v="0"/>
    <s v="no"/>
    <s v="no"/>
    <s v="VAFFE"/>
    <n v="10921"/>
    <x v="46"/>
    <x v="46"/>
    <s v="VAFFE_10921_Vegie-spread"/>
    <s v="10921"/>
    <s v="10921"/>
    <s v="Vegie-spread"/>
    <n v="43.9"/>
    <x v="4"/>
    <x v="0"/>
    <n v="1756"/>
    <x v="1"/>
    <d v="1996-04-02T00:00:00"/>
    <s v=""/>
    <s v="2nd Q 1996"/>
  </r>
  <r>
    <x v="2"/>
    <x v="2"/>
    <s v="Mario"/>
    <s v="Pontes"/>
    <s v="Pontes, Mario"/>
    <s v="Pontes, Mario"/>
    <x v="0"/>
    <s v="no"/>
    <s v="no"/>
    <s v="HANAR"/>
    <n v="10922"/>
    <x v="35"/>
    <x v="35"/>
    <s v="HANAR_10922_Alice Mutton"/>
    <s v="10922"/>
    <s v="10922"/>
    <s v="Alice Mutton"/>
    <n v="39"/>
    <x v="6"/>
    <x v="0"/>
    <n v="585"/>
    <x v="1"/>
    <d v="1996-04-02T00:00:00"/>
    <s v=""/>
    <s v="2nd Q 1996"/>
  </r>
  <r>
    <x v="2"/>
    <x v="2"/>
    <s v="Mario"/>
    <s v="Pontes"/>
    <s v="Pontes, Mario"/>
    <s v="Pontes, Mario"/>
    <x v="0"/>
    <s v="no"/>
    <s v="no"/>
    <s v="HANAR"/>
    <n v="10922"/>
    <x v="15"/>
    <x v="15"/>
    <s v="HANAR_10922_Guaraná Fantástica"/>
    <s v="10922"/>
    <s v="10922"/>
    <s v="Guaraná Fantástica"/>
    <n v="4.5"/>
    <x v="5"/>
    <x v="0"/>
    <n v="157.5"/>
    <x v="1"/>
    <d v="1996-04-02T00:00:00"/>
    <s v=""/>
    <s v="2nd Q 1996"/>
  </r>
  <r>
    <x v="53"/>
    <x v="53"/>
    <s v="Annette"/>
    <s v="Roulet"/>
    <s v="Roulet, Annette"/>
    <s v="Roulet, Annette"/>
    <x v="0"/>
    <s v="no"/>
    <s v="no"/>
    <s v="LAMAI"/>
    <n v="10923"/>
    <x v="1"/>
    <x v="1"/>
    <s v="LAMAI_10923_Singaporean Hokkien Fried Mee"/>
    <s v="10923"/>
    <s v="10923"/>
    <s v="Singaporean Hokkien Fried Mee"/>
    <n v="14"/>
    <x v="1"/>
    <x v="3"/>
    <n v="112"/>
    <x v="1"/>
    <d v="1996-04-02T00:00:00"/>
    <s v=""/>
    <s v="2nd Q 1996"/>
  </r>
  <r>
    <x v="53"/>
    <x v="53"/>
    <s v="Annette"/>
    <s v="Roulet"/>
    <s v="Roulet, Annette"/>
    <s v="Roulet, Annette"/>
    <x v="0"/>
    <s v="no"/>
    <s v="no"/>
    <s v="LAMAI"/>
    <n v="10923"/>
    <x v="40"/>
    <x v="40"/>
    <s v="LAMAI_10923_Ipoh Coffee"/>
    <s v="10923"/>
    <s v="10923"/>
    <s v="Ipoh Coffee"/>
    <n v="46"/>
    <x v="1"/>
    <x v="3"/>
    <n v="368"/>
    <x v="1"/>
    <d v="1996-04-02T00:00:00"/>
    <s v=""/>
    <s v="2nd Q 1996"/>
  </r>
  <r>
    <x v="53"/>
    <x v="53"/>
    <s v="Annette"/>
    <s v="Roulet"/>
    <s v="Roulet, Annette"/>
    <s v="Roulet, Annette"/>
    <x v="0"/>
    <s v="no"/>
    <s v="no"/>
    <s v="LAMAI"/>
    <n v="10923"/>
    <x v="51"/>
    <x v="51"/>
    <s v="LAMAI_10923_Laughing Lumberjack Lager"/>
    <s v="10923"/>
    <s v="10923"/>
    <s v="Laughing Lumberjack Lager"/>
    <n v="14"/>
    <x v="23"/>
    <x v="3"/>
    <n v="268.8"/>
    <x v="1"/>
    <d v="1996-04-02T00:00:00"/>
    <s v=""/>
    <s v="2nd Q 1996"/>
  </r>
  <r>
    <x v="25"/>
    <x v="25"/>
    <s v="Christina"/>
    <s v="Berglund"/>
    <s v="Berglund, Christina"/>
    <s v="Berglund, Christina"/>
    <x v="0"/>
    <s v="no"/>
    <s v="no"/>
    <s v="BERGS"/>
    <n v="10924"/>
    <x v="41"/>
    <x v="41"/>
    <s v="BERGS_10924_Ikura"/>
    <s v="10924"/>
    <s v="10924"/>
    <s v="Ikura"/>
    <n v="31"/>
    <x v="8"/>
    <x v="5"/>
    <n v="558"/>
    <x v="1"/>
    <d v="1996-04-03T00:00:00"/>
    <s v=""/>
    <s v="2nd Q 1996"/>
  </r>
  <r>
    <x v="25"/>
    <x v="25"/>
    <s v="Christina"/>
    <s v="Berglund"/>
    <s v="Berglund, Christina"/>
    <s v="Berglund, Christina"/>
    <x v="0"/>
    <s v="no"/>
    <s v="no"/>
    <s v="BERGS"/>
    <n v="10924"/>
    <x v="44"/>
    <x v="44"/>
    <s v="BERGS_10924_Rössle Sauerkraut"/>
    <s v="10924"/>
    <s v="10924"/>
    <s v="Rössle Sauerkraut"/>
    <n v="45.6"/>
    <x v="12"/>
    <x v="5"/>
    <n v="1231.2"/>
    <x v="1"/>
    <d v="1996-04-03T00:00:00"/>
    <s v=""/>
    <s v="2nd Q 1996"/>
  </r>
  <r>
    <x v="25"/>
    <x v="25"/>
    <s v="Christina"/>
    <s v="Berglund"/>
    <s v="Berglund, Christina"/>
    <s v="Berglund, Christina"/>
    <x v="0"/>
    <s v="no"/>
    <s v="no"/>
    <s v="BERGS"/>
    <n v="10924"/>
    <x v="48"/>
    <x v="48"/>
    <s v="BERGS_10924_Rhönbräu Klosterbier"/>
    <s v="10924"/>
    <s v="10924"/>
    <s v="Rhönbräu Klosterbier"/>
    <n v="7.75"/>
    <x v="7"/>
    <x v="0"/>
    <n v="46.5"/>
    <x v="1"/>
    <d v="1996-04-03T00:00:00"/>
    <s v=""/>
    <s v="2nd Q 1996"/>
  </r>
  <r>
    <x v="2"/>
    <x v="2"/>
    <s v="Mario"/>
    <s v="Pontes"/>
    <s v="Pontes, Mario"/>
    <s v="Pontes, Mario"/>
    <x v="0"/>
    <s v="no"/>
    <s v="no"/>
    <s v="HANAR"/>
    <n v="10925"/>
    <x v="20"/>
    <x v="20"/>
    <s v="HANAR_10925_Inlagd Sill"/>
    <s v="10925"/>
    <s v="10925"/>
    <s v="Inlagd Sill"/>
    <n v="19"/>
    <x v="9"/>
    <x v="1"/>
    <n v="403.75"/>
    <x v="1"/>
    <d v="1996-04-03T00:00:00"/>
    <s v=""/>
    <s v="2nd Q 1996"/>
  </r>
  <r>
    <x v="2"/>
    <x v="2"/>
    <s v="Mario"/>
    <s v="Pontes"/>
    <s v="Pontes, Mario"/>
    <s v="Pontes, Mario"/>
    <x v="0"/>
    <s v="no"/>
    <s v="no"/>
    <s v="HANAR"/>
    <n v="10925"/>
    <x v="65"/>
    <x v="65"/>
    <s v="HANAR_10925_Filo Mix"/>
    <s v="10925"/>
    <s v="10925"/>
    <s v="Filo Mix"/>
    <n v="7"/>
    <x v="0"/>
    <x v="1"/>
    <n v="71.399999999999991"/>
    <x v="1"/>
    <d v="1996-04-03T00:00:00"/>
    <s v=""/>
    <s v="2nd Q 1996"/>
  </r>
  <r>
    <x v="39"/>
    <x v="39"/>
    <s v="Ana"/>
    <s v="Trujillo"/>
    <s v="Trujillo, Ana"/>
    <s v="Trujillo, Ana"/>
    <x v="0"/>
    <s v="no"/>
    <s v="no"/>
    <s v="ANATR"/>
    <n v="10926"/>
    <x v="0"/>
    <x v="0"/>
    <s v="ANATR_10926_Queso Cabrales"/>
    <s v="10926"/>
    <s v="10926"/>
    <s v="Queso Cabrales"/>
    <n v="21"/>
    <x v="17"/>
    <x v="0"/>
    <n v="42"/>
    <x v="1"/>
    <d v="1996-04-03T00:00:00"/>
    <s v=""/>
    <s v="2nd Q 1996"/>
  </r>
  <r>
    <x v="39"/>
    <x v="39"/>
    <s v="Ana"/>
    <s v="Trujillo"/>
    <s v="Trujillo, Ana"/>
    <s v="Trujillo, Ana"/>
    <x v="0"/>
    <s v="no"/>
    <s v="no"/>
    <s v="ANATR"/>
    <n v="10926"/>
    <x v="43"/>
    <x v="43"/>
    <s v="ANATR_10926_Konbu"/>
    <s v="10926"/>
    <s v="10926"/>
    <s v="Konbu"/>
    <n v="6"/>
    <x v="1"/>
    <x v="0"/>
    <n v="60"/>
    <x v="1"/>
    <d v="1996-04-03T00:00:00"/>
    <s v=""/>
    <s v="2nd Q 1996"/>
  </r>
  <r>
    <x v="39"/>
    <x v="39"/>
    <s v="Ana"/>
    <s v="Trujillo"/>
    <s v="Trujillo, Ana"/>
    <s v="Trujillo, Ana"/>
    <x v="0"/>
    <s v="no"/>
    <s v="no"/>
    <s v="ANATR"/>
    <n v="10926"/>
    <x v="49"/>
    <x v="49"/>
    <s v="ANATR_10926_Teatime Chocolate Biscuits"/>
    <s v="10926"/>
    <s v="10926"/>
    <s v="Teatime Chocolate Biscuits"/>
    <n v="9.1999999999999993"/>
    <x v="25"/>
    <x v="0"/>
    <n v="64.399999999999991"/>
    <x v="1"/>
    <d v="1996-04-03T00:00:00"/>
    <s v=""/>
    <s v="2nd Q 1996"/>
  </r>
  <r>
    <x v="39"/>
    <x v="39"/>
    <s v="Ana"/>
    <s v="Trujillo"/>
    <s v="Trujillo, Ana"/>
    <s v="Trujillo, Ana"/>
    <x v="0"/>
    <s v="no"/>
    <s v="no"/>
    <s v="ANATR"/>
    <n v="10926"/>
    <x v="2"/>
    <x v="2"/>
    <s v="ANATR_10926_Mozzarella di Giovanni"/>
    <s v="10926"/>
    <s v="10926"/>
    <s v="Mozzarella di Giovanni"/>
    <n v="34.799999999999997"/>
    <x v="1"/>
    <x v="0"/>
    <n v="348"/>
    <x v="1"/>
    <d v="1996-04-03T00:00:00"/>
    <s v=""/>
    <s v="2nd Q 1996"/>
  </r>
  <r>
    <x v="88"/>
    <x v="88"/>
    <s v="Daniel"/>
    <s v="Tonini"/>
    <s v="Tonini, Daniel"/>
    <s v="Tonini, Daniel"/>
    <x v="0"/>
    <s v="no"/>
    <s v="no"/>
    <s v="LACOR"/>
    <n v="10927"/>
    <x v="9"/>
    <x v="9"/>
    <s v="LACOR_10927_Sir Rodney's Marmalade"/>
    <s v="10927"/>
    <s v="10927"/>
    <s v="Sir Rodney's Marmalade"/>
    <n v="81"/>
    <x v="2"/>
    <x v="0"/>
    <n v="405"/>
    <x v="1"/>
    <d v="1996-04-04T00:00:00"/>
    <s v=""/>
    <s v="2nd Q 1996"/>
  </r>
  <r>
    <x v="88"/>
    <x v="88"/>
    <s v="Daniel"/>
    <s v="Tonini"/>
    <s v="Tonini, Daniel"/>
    <s v="Tonini, Daniel"/>
    <x v="0"/>
    <s v="no"/>
    <s v="no"/>
    <s v="LACOR"/>
    <n v="10927"/>
    <x v="65"/>
    <x v="65"/>
    <s v="LACOR_10927_Filo Mix"/>
    <s v="10927"/>
    <s v="10927"/>
    <s v="Filo Mix"/>
    <n v="7"/>
    <x v="2"/>
    <x v="0"/>
    <n v="35"/>
    <x v="1"/>
    <d v="1996-04-04T00:00:00"/>
    <s v=""/>
    <s v="2nd Q 1996"/>
  </r>
  <r>
    <x v="88"/>
    <x v="88"/>
    <s v="Daniel"/>
    <s v="Tonini"/>
    <s v="Tonini, Daniel"/>
    <s v="Tonini, Daniel"/>
    <x v="0"/>
    <s v="no"/>
    <s v="no"/>
    <s v="LACOR"/>
    <n v="10927"/>
    <x v="38"/>
    <x v="38"/>
    <s v="LACOR_10927_Lakkalikööri"/>
    <s v="10927"/>
    <s v="10927"/>
    <s v="Lakkalikööri"/>
    <n v="18"/>
    <x v="8"/>
    <x v="0"/>
    <n v="360"/>
    <x v="1"/>
    <d v="1996-04-04T00:00:00"/>
    <s v=""/>
    <s v="2nd Q 1996"/>
  </r>
  <r>
    <x v="60"/>
    <x v="60"/>
    <s v="Eduardo"/>
    <s v="Saavedra"/>
    <s v="Saavedra, Eduardo"/>
    <s v="Saavedra, Eduardo"/>
    <x v="0"/>
    <s v="no"/>
    <s v="no"/>
    <s v="GALED"/>
    <n v="10928"/>
    <x v="69"/>
    <x v="69"/>
    <s v="GALED_10928_Zaanse koeken"/>
    <s v="10928"/>
    <s v="10928"/>
    <s v="Zaanse koeken"/>
    <n v="9.5"/>
    <x v="2"/>
    <x v="0"/>
    <n v="47.5"/>
    <x v="1"/>
    <d v="1996-04-04T00:00:00"/>
    <s v=""/>
    <s v="2nd Q 1996"/>
  </r>
  <r>
    <x v="60"/>
    <x v="60"/>
    <s v="Eduardo"/>
    <s v="Saavedra"/>
    <s v="Saavedra, Eduardo"/>
    <s v="Saavedra, Eduardo"/>
    <x v="0"/>
    <s v="no"/>
    <s v="no"/>
    <s v="GALED"/>
    <n v="10928"/>
    <x v="38"/>
    <x v="38"/>
    <s v="GALED_10928_Lakkalikööri"/>
    <s v="10928"/>
    <s v="10928"/>
    <s v="Lakkalikööri"/>
    <n v="18"/>
    <x v="2"/>
    <x v="0"/>
    <n v="90"/>
    <x v="1"/>
    <d v="1996-04-04T00:00:00"/>
    <s v=""/>
    <s v="2nd Q 1996"/>
  </r>
  <r>
    <x v="17"/>
    <x v="17"/>
    <s v="Peter"/>
    <s v="Franken"/>
    <s v="Franken, Peter"/>
    <s v="Franken, Peter"/>
    <x v="0"/>
    <s v="no"/>
    <s v="no"/>
    <s v="FRANK"/>
    <n v="10929"/>
    <x v="27"/>
    <x v="27"/>
    <s v="FRANK_10929_Sir Rodney's Scones"/>
    <s v="10929"/>
    <s v="10929"/>
    <s v="Sir Rodney's Scones"/>
    <n v="10"/>
    <x v="18"/>
    <x v="0"/>
    <n v="600"/>
    <x v="1"/>
    <d v="1996-04-04T00:00:00"/>
    <s v=""/>
    <s v="2nd Q 1996"/>
  </r>
  <r>
    <x v="17"/>
    <x v="17"/>
    <s v="Peter"/>
    <s v="Franken"/>
    <s v="Franken, Peter"/>
    <s v="Franken, Peter"/>
    <x v="0"/>
    <s v="no"/>
    <s v="no"/>
    <s v="FRANK"/>
    <n v="10929"/>
    <x v="48"/>
    <x v="48"/>
    <s v="FRANK_10929_Rhönbräu Klosterbier"/>
    <s v="10929"/>
    <s v="10929"/>
    <s v="Rhönbräu Klosterbier"/>
    <n v="7.75"/>
    <x v="41"/>
    <x v="0"/>
    <n v="379.75"/>
    <x v="1"/>
    <d v="1996-04-04T00:00:00"/>
    <s v=""/>
    <s v="2nd Q 1996"/>
  </r>
  <r>
    <x v="17"/>
    <x v="17"/>
    <s v="Peter"/>
    <s v="Franken"/>
    <s v="Franken, Peter"/>
    <s v="Franken, Peter"/>
    <x v="0"/>
    <s v="no"/>
    <s v="no"/>
    <s v="FRANK"/>
    <n v="10929"/>
    <x v="23"/>
    <x v="23"/>
    <s v="FRANK_10929_Original Frankfurter grüne Soße"/>
    <s v="10929"/>
    <s v="10929"/>
    <s v="Original Frankfurter grüne Soße"/>
    <n v="13"/>
    <x v="6"/>
    <x v="0"/>
    <n v="195"/>
    <x v="1"/>
    <d v="1996-04-04T00:00:00"/>
    <s v=""/>
    <s v="2nd Q 1996"/>
  </r>
  <r>
    <x v="4"/>
    <x v="4"/>
    <s v="Pascale"/>
    <s v="Cartrain"/>
    <s v="Cartrain, Pascale"/>
    <s v="Cartrain, Pascale"/>
    <x v="0"/>
    <s v="no"/>
    <s v="no"/>
    <s v="SUPRD"/>
    <n v="10930"/>
    <x v="27"/>
    <x v="27"/>
    <s v="SUPRD_10930_Sir Rodney's Scones"/>
    <s v="10930"/>
    <s v="10930"/>
    <s v="Sir Rodney's Scones"/>
    <n v="10"/>
    <x v="20"/>
    <x v="0"/>
    <n v="360"/>
    <x v="1"/>
    <d v="1996-04-05T00:00:00"/>
    <s v=""/>
    <s v="2nd Q 1996"/>
  </r>
  <r>
    <x v="4"/>
    <x v="4"/>
    <s v="Pascale"/>
    <s v="Cartrain"/>
    <s v="Cartrain, Pascale"/>
    <s v="Cartrain, Pascale"/>
    <x v="0"/>
    <s v="no"/>
    <s v="no"/>
    <s v="SUPRD"/>
    <n v="10930"/>
    <x v="24"/>
    <x v="24"/>
    <s v="SUPRD_10930_Schoggi Schokolade"/>
    <s v="10930"/>
    <s v="10930"/>
    <s v="Schoggi Schokolade"/>
    <n v="43.9"/>
    <x v="9"/>
    <x v="0"/>
    <n v="1097.5"/>
    <x v="1"/>
    <d v="1996-04-05T00:00:00"/>
    <s v=""/>
    <s v="2nd Q 1996"/>
  </r>
  <r>
    <x v="4"/>
    <x v="4"/>
    <s v="Pascale"/>
    <s v="Cartrain"/>
    <s v="Cartrain, Pascale"/>
    <s v="Cartrain, Pascale"/>
    <x v="0"/>
    <s v="no"/>
    <s v="no"/>
    <s v="SUPRD"/>
    <n v="10930"/>
    <x v="16"/>
    <x v="16"/>
    <s v="SUPRD_10930_Pâté chinois"/>
    <s v="10930"/>
    <s v="10930"/>
    <s v="Pâté chinois"/>
    <n v="24"/>
    <x v="9"/>
    <x v="3"/>
    <n v="480"/>
    <x v="1"/>
    <d v="1996-04-05T00:00:00"/>
    <s v=""/>
    <s v="2nd Q 1996"/>
  </r>
  <r>
    <x v="4"/>
    <x v="4"/>
    <s v="Pascale"/>
    <s v="Cartrain"/>
    <s v="Cartrain, Pascale"/>
    <s v="Cartrain, Pascale"/>
    <x v="0"/>
    <s v="no"/>
    <s v="no"/>
    <s v="SUPRD"/>
    <n v="10930"/>
    <x v="64"/>
    <x v="64"/>
    <s v="SUPRD_10930_Escargots de Bourgogne"/>
    <s v="10930"/>
    <s v="10930"/>
    <s v="Escargots de Bourgogne"/>
    <n v="13.25"/>
    <x v="12"/>
    <x v="3"/>
    <n v="318"/>
    <x v="1"/>
    <d v="1996-04-05T00:00:00"/>
    <s v=""/>
    <s v="2nd Q 1996"/>
  </r>
  <r>
    <x v="6"/>
    <x v="6"/>
    <s v="Michael"/>
    <s v="Holz"/>
    <s v="Holz, Michael"/>
    <s v="Holz, Michael"/>
    <x v="0"/>
    <s v="no"/>
    <s v="no"/>
    <s v="RICSU"/>
    <n v="10931"/>
    <x v="43"/>
    <x v="43"/>
    <s v="RICSU_10931_Konbu"/>
    <s v="10931"/>
    <s v="10931"/>
    <s v="Konbu"/>
    <n v="6"/>
    <x v="10"/>
    <x v="1"/>
    <n v="214.2"/>
    <x v="1"/>
    <d v="1996-04-05T00:00:00"/>
    <s v=""/>
    <s v="2nd Q 1996"/>
  </r>
  <r>
    <x v="6"/>
    <x v="6"/>
    <s v="Michael"/>
    <s v="Holz"/>
    <s v="Holz, Michael"/>
    <s v="Holz, Michael"/>
    <x v="0"/>
    <s v="no"/>
    <s v="no"/>
    <s v="RICSU"/>
    <n v="10931"/>
    <x v="8"/>
    <x v="8"/>
    <s v="RICSU_10931_Ravioli Angelo"/>
    <s v="10931"/>
    <s v="10931"/>
    <s v="Ravioli Angelo"/>
    <n v="19.5"/>
    <x v="12"/>
    <x v="0"/>
    <n v="585"/>
    <x v="1"/>
    <d v="1996-04-05T00:00:00"/>
    <s v=""/>
    <s v="2nd Q 1996"/>
  </r>
  <r>
    <x v="48"/>
    <x v="48"/>
    <s v="Laurence"/>
    <s v="Lebihan"/>
    <s v="Lebihan, Laurence"/>
    <s v="Lebihan, Laurence"/>
    <x v="0"/>
    <s v="no"/>
    <s v="no"/>
    <s v="BONAP"/>
    <n v="10932"/>
    <x v="19"/>
    <x v="19"/>
    <s v="BONAP_10932_Pavlova"/>
    <s v="10932"/>
    <s v="10932"/>
    <s v="Pavlova"/>
    <n v="17.45"/>
    <x v="12"/>
    <x v="5"/>
    <n v="471.15000000000003"/>
    <x v="1"/>
    <d v="1996-04-05T00:00:00"/>
    <s v=""/>
    <s v="2nd Q 1996"/>
  </r>
  <r>
    <x v="48"/>
    <x v="48"/>
    <s v="Laurence"/>
    <s v="Lebihan"/>
    <s v="Lebihan, Laurence"/>
    <s v="Lebihan, Laurence"/>
    <x v="0"/>
    <s v="no"/>
    <s v="no"/>
    <s v="BONAP"/>
    <n v="10932"/>
    <x v="29"/>
    <x v="29"/>
    <s v="BONAP_10932_Tarte au sucre"/>
    <s v="10932"/>
    <s v="10932"/>
    <s v="Tarte au sucre"/>
    <n v="49.3"/>
    <x v="31"/>
    <x v="5"/>
    <n v="621.17999999999995"/>
    <x v="1"/>
    <d v="1996-04-05T00:00:00"/>
    <s v=""/>
    <s v="2nd Q 1996"/>
  </r>
  <r>
    <x v="48"/>
    <x v="48"/>
    <s v="Laurence"/>
    <s v="Lebihan"/>
    <s v="Lebihan, Laurence"/>
    <s v="Lebihan, Laurence"/>
    <x v="0"/>
    <s v="no"/>
    <s v="no"/>
    <s v="BONAP"/>
    <n v="10932"/>
    <x v="2"/>
    <x v="2"/>
    <s v="BONAP_10932_Mozzarella di Giovanni"/>
    <s v="10932"/>
    <s v="10932"/>
    <s v="Mozzarella di Giovanni"/>
    <n v="34.799999999999997"/>
    <x v="16"/>
    <x v="0"/>
    <n v="556.79999999999995"/>
    <x v="1"/>
    <d v="1996-04-05T00:00:00"/>
    <s v=""/>
    <s v="2nd Q 1996"/>
  </r>
  <r>
    <x v="48"/>
    <x v="48"/>
    <s v="Laurence"/>
    <s v="Lebihan"/>
    <s v="Lebihan, Laurence"/>
    <s v="Lebihan, Laurence"/>
    <x v="0"/>
    <s v="no"/>
    <s v="no"/>
    <s v="BONAP"/>
    <n v="10932"/>
    <x v="48"/>
    <x v="48"/>
    <s v="BONAP_10932_Rhönbräu Klosterbier"/>
    <s v="10932"/>
    <s v="10932"/>
    <s v="Rhönbräu Klosterbier"/>
    <n v="7.75"/>
    <x v="8"/>
    <x v="5"/>
    <n v="139.5"/>
    <x v="1"/>
    <d v="1996-04-05T00:00:00"/>
    <s v=""/>
    <s v="2nd Q 1996"/>
  </r>
  <r>
    <x v="42"/>
    <x v="42"/>
    <s v="Helen"/>
    <s v="Bennett"/>
    <s v="Bennett, Helen"/>
    <s v="Bennett, Helen"/>
    <x v="0"/>
    <s v="no"/>
    <s v="no"/>
    <s v="ISLAT"/>
    <n v="10933"/>
    <x v="22"/>
    <x v="22"/>
    <s v="ISLAT_10933_Perth Pasties"/>
    <s v="10933"/>
    <s v="10933"/>
    <s v="Perth Pasties"/>
    <n v="32.799999999999997"/>
    <x v="17"/>
    <x v="0"/>
    <n v="65.599999999999994"/>
    <x v="1"/>
    <d v="1996-04-05T00:00:00"/>
    <s v=""/>
    <s v="2nd Q 1996"/>
  </r>
  <r>
    <x v="42"/>
    <x v="42"/>
    <s v="Helen"/>
    <s v="Bennett"/>
    <s v="Bennett, Helen"/>
    <s v="Bennett, Helen"/>
    <x v="0"/>
    <s v="no"/>
    <s v="no"/>
    <s v="ISLAT"/>
    <n v="10933"/>
    <x v="75"/>
    <x v="75"/>
    <s v="ISLAT_10933_Sirop d'érable"/>
    <s v="10933"/>
    <s v="10933"/>
    <s v="Sirop d'érable"/>
    <n v="28.5"/>
    <x v="12"/>
    <x v="0"/>
    <n v="855"/>
    <x v="1"/>
    <d v="1996-04-05T00:00:00"/>
    <s v=""/>
    <s v="2nd Q 1996"/>
  </r>
  <r>
    <x v="26"/>
    <x v="26"/>
    <s v="Renate"/>
    <s v="Messner"/>
    <s v="Messner, Renate"/>
    <s v="Messner, Renate"/>
    <x v="0"/>
    <s v="no"/>
    <s v="no"/>
    <s v="LEHMS"/>
    <n v="10934"/>
    <x v="63"/>
    <x v="63"/>
    <s v="LEHMS_10934_Grandma's Boysenberry Spread"/>
    <s v="10934"/>
    <s v="10934"/>
    <s v="Grandma's Boysenberry Spread"/>
    <n v="25"/>
    <x v="8"/>
    <x v="0"/>
    <n v="500"/>
    <x v="1"/>
    <d v="1996-04-08T00:00:00"/>
    <s v=""/>
    <s v="2nd Q 1996"/>
  </r>
  <r>
    <x v="7"/>
    <x v="7"/>
    <s v="Paula"/>
    <s v="Parente"/>
    <s v="Parente, Paula"/>
    <s v="Parente, Paula"/>
    <x v="0"/>
    <s v="no"/>
    <s v="no"/>
    <s v="WELLI"/>
    <n v="10935"/>
    <x v="52"/>
    <x v="52"/>
    <s v="WELLI_10935_Chai"/>
    <s v="10935"/>
    <s v="10935"/>
    <s v="Chai"/>
    <n v="18"/>
    <x v="11"/>
    <x v="0"/>
    <n v="378"/>
    <x v="1"/>
    <d v="1996-04-08T00:00:00"/>
    <s v=""/>
    <s v="2nd Q 1996"/>
  </r>
  <r>
    <x v="7"/>
    <x v="7"/>
    <s v="Paula"/>
    <s v="Parente"/>
    <s v="Parente, Paula"/>
    <s v="Parente, Paula"/>
    <x v="0"/>
    <s v="no"/>
    <s v="no"/>
    <s v="WELLI"/>
    <n v="10935"/>
    <x v="59"/>
    <x v="59"/>
    <s v="WELLI_10935_Carnarvon Tigers"/>
    <s v="10935"/>
    <s v="10935"/>
    <s v="Carnarvon Tigers"/>
    <n v="62.5"/>
    <x v="22"/>
    <x v="4"/>
    <n v="187.5"/>
    <x v="1"/>
    <d v="1996-04-08T00:00:00"/>
    <s v=""/>
    <s v="2nd Q 1996"/>
  </r>
  <r>
    <x v="7"/>
    <x v="7"/>
    <s v="Paula"/>
    <s v="Parente"/>
    <s v="Parente, Paula"/>
    <s v="Parente, Paula"/>
    <x v="0"/>
    <s v="no"/>
    <s v="no"/>
    <s v="WELLI"/>
    <n v="10935"/>
    <x v="70"/>
    <x v="70"/>
    <s v="WELLI_10935_Tunnbröd"/>
    <s v="10935"/>
    <s v="10935"/>
    <s v="Tunnbröd"/>
    <n v="9"/>
    <x v="26"/>
    <x v="4"/>
    <n v="54"/>
    <x v="1"/>
    <d v="1996-04-08T00:00:00"/>
    <s v=""/>
    <s v="2nd Q 1996"/>
  </r>
  <r>
    <x v="79"/>
    <x v="79"/>
    <s v="Howard"/>
    <s v="Snyder"/>
    <s v="Snyder, Howard"/>
    <s v="Snyder, Howard"/>
    <x v="0"/>
    <s v="no"/>
    <s v="no"/>
    <s v="GREAL"/>
    <n v="10936"/>
    <x v="20"/>
    <x v="20"/>
    <s v="GREAL_10936_Inlagd Sill"/>
    <s v="10936"/>
    <s v="10936"/>
    <s v="Inlagd Sill"/>
    <n v="19"/>
    <x v="12"/>
    <x v="3"/>
    <n v="456"/>
    <x v="1"/>
    <d v="1996-04-08T00:00:00"/>
    <s v=""/>
    <s v="2nd Q 1996"/>
  </r>
  <r>
    <x v="78"/>
    <x v="78"/>
    <s v="Patricio"/>
    <s v="Simpson"/>
    <s v="Simpson, Patricio"/>
    <s v="Simpson, Patricio"/>
    <x v="0"/>
    <s v="no"/>
    <s v="no"/>
    <s v="CACTU"/>
    <n v="10937"/>
    <x v="44"/>
    <x v="44"/>
    <s v="CACTU_10937_Rössle Sauerkraut"/>
    <s v="10937"/>
    <s v="10937"/>
    <s v="Rössle Sauerkraut"/>
    <n v="45.6"/>
    <x v="26"/>
    <x v="0"/>
    <n v="364.8"/>
    <x v="1"/>
    <d v="1996-04-09T00:00:00"/>
    <s v=""/>
    <s v="2nd Q 1996"/>
  </r>
  <r>
    <x v="78"/>
    <x v="78"/>
    <s v="Patricio"/>
    <s v="Simpson"/>
    <s v="Simpson, Patricio"/>
    <s v="Simpson, Patricio"/>
    <x v="0"/>
    <s v="no"/>
    <s v="no"/>
    <s v="CACTU"/>
    <n v="10937"/>
    <x v="53"/>
    <x v="53"/>
    <s v="CACTU_10937_Sasquatch Ale"/>
    <s v="10937"/>
    <s v="10937"/>
    <s v="Sasquatch Ale"/>
    <n v="14"/>
    <x v="8"/>
    <x v="0"/>
    <n v="280"/>
    <x v="1"/>
    <d v="1996-04-09T00:00:00"/>
    <s v=""/>
    <s v="2nd Q 1996"/>
  </r>
  <r>
    <x v="21"/>
    <x v="21"/>
    <s v="Horst"/>
    <s v="Kloss"/>
    <s v="Kloss, Horst"/>
    <s v="Kloss, Horst"/>
    <x v="0"/>
    <s v="no"/>
    <s v="no"/>
    <s v="QUICK"/>
    <n v="10938"/>
    <x v="43"/>
    <x v="43"/>
    <s v="QUICK_10938_Konbu"/>
    <s v="10938"/>
    <s v="10938"/>
    <s v="Konbu"/>
    <n v="6"/>
    <x v="8"/>
    <x v="4"/>
    <n v="90"/>
    <x v="1"/>
    <d v="1996-04-09T00:00:00"/>
    <s v=""/>
    <s v="2nd Q 1996"/>
  </r>
  <r>
    <x v="21"/>
    <x v="21"/>
    <s v="Horst"/>
    <s v="Kloss"/>
    <s v="Kloss, Horst"/>
    <s v="Kloss, Horst"/>
    <x v="0"/>
    <s v="no"/>
    <s v="no"/>
    <s v="QUICK"/>
    <n v="10938"/>
    <x v="40"/>
    <x v="40"/>
    <s v="QUICK_10938_Ipoh Coffee"/>
    <s v="10938"/>
    <s v="10938"/>
    <s v="Ipoh Coffee"/>
    <n v="46"/>
    <x v="23"/>
    <x v="4"/>
    <n v="828"/>
    <x v="1"/>
    <d v="1996-04-09T00:00:00"/>
    <s v=""/>
    <s v="2nd Q 1996"/>
  </r>
  <r>
    <x v="21"/>
    <x v="21"/>
    <s v="Horst"/>
    <s v="Kloss"/>
    <s v="Kloss, Horst"/>
    <s v="Kloss, Horst"/>
    <x v="0"/>
    <s v="no"/>
    <s v="no"/>
    <s v="QUICK"/>
    <n v="10938"/>
    <x v="11"/>
    <x v="11"/>
    <s v="QUICK_10938_Camembert Pierrot"/>
    <s v="10938"/>
    <s v="10938"/>
    <s v="Camembert Pierrot"/>
    <n v="34"/>
    <x v="41"/>
    <x v="4"/>
    <n v="1249.5"/>
    <x v="1"/>
    <d v="1996-04-09T00:00:00"/>
    <s v=""/>
    <s v="2nd Q 1996"/>
  </r>
  <r>
    <x v="21"/>
    <x v="21"/>
    <s v="Horst"/>
    <s v="Kloss"/>
    <s v="Kloss, Horst"/>
    <s v="Kloss, Horst"/>
    <x v="0"/>
    <s v="no"/>
    <s v="no"/>
    <s v="QUICK"/>
    <n v="10938"/>
    <x v="42"/>
    <x v="42"/>
    <s v="QUICK_10938_Fløtemysost"/>
    <s v="10938"/>
    <s v="10938"/>
    <s v="Fløtemysost"/>
    <n v="21.5"/>
    <x v="5"/>
    <x v="4"/>
    <n v="564.375"/>
    <x v="1"/>
    <d v="1996-04-09T00:00:00"/>
    <s v=""/>
    <s v="2nd Q 1996"/>
  </r>
  <r>
    <x v="22"/>
    <x v="22"/>
    <s v="Giovanni"/>
    <s v="Rovelli"/>
    <s v="Rovelli, Giovanni"/>
    <s v="Rovelli, Giovanni"/>
    <x v="0"/>
    <s v="no"/>
    <s v="no"/>
    <s v="MAGAA"/>
    <n v="10939"/>
    <x v="18"/>
    <x v="18"/>
    <s v="MAGAA_10939_Chang"/>
    <s v="10939"/>
    <s v="10939"/>
    <s v="Chang"/>
    <n v="19"/>
    <x v="1"/>
    <x v="1"/>
    <n v="161.5"/>
    <x v="1"/>
    <d v="1996-04-09T00:00:00"/>
    <s v=""/>
    <s v="2nd Q 1996"/>
  </r>
  <r>
    <x v="22"/>
    <x v="22"/>
    <s v="Giovanni"/>
    <s v="Rovelli"/>
    <s v="Rovelli, Giovanni"/>
    <s v="Rovelli, Giovanni"/>
    <x v="0"/>
    <s v="no"/>
    <s v="no"/>
    <s v="MAGAA"/>
    <n v="10939"/>
    <x v="51"/>
    <x v="51"/>
    <s v="MAGAA_10939_Laughing Lumberjack Lager"/>
    <s v="10939"/>
    <s v="10939"/>
    <s v="Laughing Lumberjack Lager"/>
    <n v="14"/>
    <x v="4"/>
    <x v="1"/>
    <n v="476"/>
    <x v="1"/>
    <d v="1996-04-09T00:00:00"/>
    <s v=""/>
    <s v="2nd Q 1996"/>
  </r>
  <r>
    <x v="48"/>
    <x v="48"/>
    <s v="Laurence"/>
    <s v="Lebihan"/>
    <s v="Lebihan, Laurence"/>
    <s v="Lebihan, Laurence"/>
    <x v="0"/>
    <s v="no"/>
    <s v="no"/>
    <s v="BONAP"/>
    <n v="10940"/>
    <x v="32"/>
    <x v="32"/>
    <s v="BONAP_10940_Uncle Bob's Organic Dried Pears"/>
    <s v="10940"/>
    <s v="10940"/>
    <s v="Uncle Bob's Organic Dried Pears"/>
    <n v="30"/>
    <x v="26"/>
    <x v="0"/>
    <n v="240"/>
    <x v="1"/>
    <d v="1996-04-10T00:00:00"/>
    <s v=""/>
    <s v="2nd Q 1996"/>
  </r>
  <r>
    <x v="48"/>
    <x v="48"/>
    <s v="Laurence"/>
    <s v="Lebihan"/>
    <s v="Lebihan, Laurence"/>
    <s v="Lebihan, Laurence"/>
    <x v="0"/>
    <s v="no"/>
    <s v="no"/>
    <s v="BONAP"/>
    <n v="10940"/>
    <x v="43"/>
    <x v="43"/>
    <s v="BONAP_10940_Konbu"/>
    <s v="10940"/>
    <s v="10940"/>
    <s v="Konbu"/>
    <n v="6"/>
    <x v="8"/>
    <x v="0"/>
    <n v="120"/>
    <x v="1"/>
    <d v="1996-04-10T00:00:00"/>
    <s v=""/>
    <s v="2nd Q 1996"/>
  </r>
  <r>
    <x v="45"/>
    <x v="45"/>
    <s v="Jose"/>
    <s v="Pavarotti"/>
    <s v="Pavarotti, Jose"/>
    <s v="Pavarotti, Jose"/>
    <x v="0"/>
    <s v="no"/>
    <s v="no"/>
    <s v="SAVEA"/>
    <n v="10941"/>
    <x v="12"/>
    <x v="12"/>
    <s v="SAVEA_10941_Gorgonzola Telino"/>
    <s v="10941"/>
    <s v="10941"/>
    <s v="Gorgonzola Telino"/>
    <n v="12.5"/>
    <x v="48"/>
    <x v="4"/>
    <n v="412.5"/>
    <x v="1"/>
    <d v="1996-04-10T00:00:00"/>
    <s v=""/>
    <s v="2nd Q 1996"/>
  </r>
  <r>
    <x v="45"/>
    <x v="45"/>
    <s v="Jose"/>
    <s v="Pavarotti"/>
    <s v="Pavarotti, Jose"/>
    <s v="Pavarotti, Jose"/>
    <x v="0"/>
    <s v="no"/>
    <s v="no"/>
    <s v="SAVEA"/>
    <n v="10941"/>
    <x v="29"/>
    <x v="29"/>
    <s v="SAVEA_10941_Tarte au sucre"/>
    <s v="10941"/>
    <s v="10941"/>
    <s v="Tarte au sucre"/>
    <n v="49.3"/>
    <x v="12"/>
    <x v="4"/>
    <n v="1109.25"/>
    <x v="1"/>
    <d v="1996-04-10T00:00:00"/>
    <s v=""/>
    <s v="2nd Q 1996"/>
  </r>
  <r>
    <x v="45"/>
    <x v="45"/>
    <s v="Jose"/>
    <s v="Pavarotti"/>
    <s v="Pavarotti, Jose"/>
    <s v="Pavarotti, Jose"/>
    <x v="0"/>
    <s v="no"/>
    <s v="no"/>
    <s v="SAVEA"/>
    <n v="10941"/>
    <x v="56"/>
    <x v="56"/>
    <s v="SAVEA_10941_Scottish Longbreads"/>
    <s v="10941"/>
    <s v="10941"/>
    <s v="Scottish Longbreads"/>
    <n v="12.5"/>
    <x v="32"/>
    <x v="4"/>
    <n v="750"/>
    <x v="1"/>
    <d v="1996-04-10T00:00:00"/>
    <s v=""/>
    <s v="2nd Q 1996"/>
  </r>
  <r>
    <x v="45"/>
    <x v="45"/>
    <s v="Jose"/>
    <s v="Pavarotti"/>
    <s v="Pavarotti, Jose"/>
    <s v="Pavarotti, Jose"/>
    <x v="0"/>
    <s v="no"/>
    <s v="no"/>
    <s v="SAVEA"/>
    <n v="10941"/>
    <x v="2"/>
    <x v="2"/>
    <s v="SAVEA_10941_Mozzarella di Giovanni"/>
    <s v="10941"/>
    <s v="10941"/>
    <s v="Mozzarella di Giovanni"/>
    <n v="34.799999999999997"/>
    <x v="13"/>
    <x v="0"/>
    <n v="1739.9999999999998"/>
    <x v="1"/>
    <d v="1996-04-10T00:00:00"/>
    <s v=""/>
    <s v="2nd Q 1996"/>
  </r>
  <r>
    <x v="30"/>
    <x v="30"/>
    <s v="Maurizio"/>
    <s v="Moroni"/>
    <s v="Moroni, Maurizio"/>
    <s v="Moroni, Maurizio"/>
    <x v="0"/>
    <s v="no"/>
    <s v="no"/>
    <s v="REGGC"/>
    <n v="10942"/>
    <x v="14"/>
    <x v="14"/>
    <s v="REGGC_10942_Maxilaku"/>
    <s v="10942"/>
    <s v="10942"/>
    <s v="Maxilaku"/>
    <n v="20"/>
    <x v="19"/>
    <x v="0"/>
    <n v="560"/>
    <x v="1"/>
    <d v="1996-04-10T00:00:00"/>
    <s v=""/>
    <s v="2nd Q 1996"/>
  </r>
  <r>
    <x v="31"/>
    <x v="31"/>
    <s v="Victoria"/>
    <s v="Ashworth"/>
    <s v="Ashworth, Victoria"/>
    <s v="Ashworth, Victoria"/>
    <x v="0"/>
    <s v="no"/>
    <s v="no"/>
    <s v="BSBEV"/>
    <n v="10943"/>
    <x v="43"/>
    <x v="43"/>
    <s v="BSBEV_10943_Konbu"/>
    <s v="10943"/>
    <s v="10943"/>
    <s v="Konbu"/>
    <n v="6"/>
    <x v="6"/>
    <x v="0"/>
    <n v="90"/>
    <x v="1"/>
    <d v="1996-04-10T00:00:00"/>
    <s v=""/>
    <s v="2nd Q 1996"/>
  </r>
  <r>
    <x v="31"/>
    <x v="31"/>
    <s v="Victoria"/>
    <s v="Ashworth"/>
    <s v="Ashworth, Victoria"/>
    <s v="Ashworth, Victoria"/>
    <x v="0"/>
    <s v="no"/>
    <s v="no"/>
    <s v="BSBEV"/>
    <n v="10943"/>
    <x v="7"/>
    <x v="7"/>
    <s v="BSBEV_10943_Gustaf's Knäckebröd"/>
    <s v="10943"/>
    <s v="10943"/>
    <s v="Gustaf's Knäckebröd"/>
    <n v="21"/>
    <x v="11"/>
    <x v="0"/>
    <n v="441"/>
    <x v="1"/>
    <d v="1996-04-10T00:00:00"/>
    <s v=""/>
    <s v="2nd Q 1996"/>
  </r>
  <r>
    <x v="31"/>
    <x v="31"/>
    <s v="Victoria"/>
    <s v="Ashworth"/>
    <s v="Ashworth, Victoria"/>
    <s v="Ashworth, Victoria"/>
    <x v="0"/>
    <s v="no"/>
    <s v="no"/>
    <s v="BSBEV"/>
    <n v="10943"/>
    <x v="54"/>
    <x v="54"/>
    <s v="BSBEV_10943_Spegesild"/>
    <s v="10943"/>
    <s v="10943"/>
    <s v="Spegesild"/>
    <n v="12"/>
    <x v="6"/>
    <x v="0"/>
    <n v="180"/>
    <x v="1"/>
    <d v="1996-04-10T00:00:00"/>
    <s v=""/>
    <s v="2nd Q 1996"/>
  </r>
  <r>
    <x v="66"/>
    <x v="66"/>
    <s v="Elizabeth"/>
    <s v="Lincoln"/>
    <s v="Lincoln, Elizabeth"/>
    <s v="Lincoln, Elizabeth"/>
    <x v="0"/>
    <s v="no"/>
    <s v="no"/>
    <s v="BOTTM"/>
    <n v="10944"/>
    <x v="0"/>
    <x v="0"/>
    <s v="BOTTM_10944_Queso Cabrales"/>
    <s v="10944"/>
    <s v="10944"/>
    <s v="Queso Cabrales"/>
    <n v="21"/>
    <x v="2"/>
    <x v="4"/>
    <n v="78.75"/>
    <x v="1"/>
    <d v="1996-04-11T00:00:00"/>
    <s v=""/>
    <s v="2nd Q 1996"/>
  </r>
  <r>
    <x v="66"/>
    <x v="66"/>
    <s v="Elizabeth"/>
    <s v="Lincoln"/>
    <s v="Lincoln, Elizabeth"/>
    <s v="Lincoln, Elizabeth"/>
    <x v="0"/>
    <s v="no"/>
    <s v="no"/>
    <s v="BOTTM"/>
    <n v="10944"/>
    <x v="45"/>
    <x v="45"/>
    <s v="BOTTM_10944_Gula Malacca"/>
    <s v="10944"/>
    <s v="10944"/>
    <s v="Gula Malacca"/>
    <n v="19.45"/>
    <x v="27"/>
    <x v="4"/>
    <n v="262.57499999999999"/>
    <x v="1"/>
    <d v="1996-04-11T00:00:00"/>
    <s v=""/>
    <s v="2nd Q 1996"/>
  </r>
  <r>
    <x v="66"/>
    <x v="66"/>
    <s v="Elizabeth"/>
    <s v="Lincoln"/>
    <s v="Lincoln, Elizabeth"/>
    <s v="Lincoln, Elizabeth"/>
    <x v="0"/>
    <s v="no"/>
    <s v="no"/>
    <s v="BOTTM"/>
    <n v="10944"/>
    <x v="33"/>
    <x v="33"/>
    <s v="BOTTM_10944_Gnocchi di nonna Alice"/>
    <s v="10944"/>
    <s v="10944"/>
    <s v="Gnocchi di nonna Alice"/>
    <n v="38"/>
    <x v="27"/>
    <x v="0"/>
    <n v="684"/>
    <x v="1"/>
    <d v="1996-04-11T00:00:00"/>
    <s v=""/>
    <s v="2nd Q 1996"/>
  </r>
  <r>
    <x v="24"/>
    <x v="24"/>
    <s v="Alexander"/>
    <s v="Feuer"/>
    <s v="Feuer, Alexander"/>
    <s v="Feuer, Alexander"/>
    <x v="0"/>
    <s v="no"/>
    <s v="no"/>
    <s v="MORGK"/>
    <n v="10945"/>
    <x v="43"/>
    <x v="43"/>
    <s v="MORGK_10945_Konbu"/>
    <s v="10945"/>
    <s v="10945"/>
    <s v="Konbu"/>
    <n v="6"/>
    <x v="8"/>
    <x v="0"/>
    <n v="120"/>
    <x v="1"/>
    <d v="1996-04-11T00:00:00"/>
    <s v=""/>
    <s v="2nd Q 1996"/>
  </r>
  <r>
    <x v="24"/>
    <x v="24"/>
    <s v="Alexander"/>
    <s v="Feuer"/>
    <s v="Feuer, Alexander"/>
    <s v="Feuer, Alexander"/>
    <x v="0"/>
    <s v="no"/>
    <s v="no"/>
    <s v="MORGK"/>
    <n v="10945"/>
    <x v="12"/>
    <x v="12"/>
    <s v="MORGK_10945_Gorgonzola Telino"/>
    <s v="10945"/>
    <s v="10945"/>
    <s v="Gorgonzola Telino"/>
    <n v="12.5"/>
    <x v="1"/>
    <x v="0"/>
    <n v="125"/>
    <x v="1"/>
    <d v="1996-04-11T00:00:00"/>
    <s v=""/>
    <s v="2nd Q 1996"/>
  </r>
  <r>
    <x v="61"/>
    <x v="61"/>
    <s v="Palle"/>
    <s v="Ibsen"/>
    <s v="Ibsen, Palle"/>
    <s v="Ibsen, Palle"/>
    <x v="0"/>
    <s v="no"/>
    <s v="no"/>
    <s v="VAFFE"/>
    <n v="10946"/>
    <x v="41"/>
    <x v="41"/>
    <s v="VAFFE_10946_Ikura"/>
    <s v="10946"/>
    <s v="10946"/>
    <s v="Ikura"/>
    <n v="31"/>
    <x v="9"/>
    <x v="0"/>
    <n v="775"/>
    <x v="1"/>
    <d v="1996-04-11T00:00:00"/>
    <s v=""/>
    <s v="2nd Q 1996"/>
  </r>
  <r>
    <x v="61"/>
    <x v="61"/>
    <s v="Palle"/>
    <s v="Ibsen"/>
    <s v="Ibsen, Palle"/>
    <s v="Ibsen, Palle"/>
    <x v="0"/>
    <s v="no"/>
    <s v="no"/>
    <s v="VAFFE"/>
    <n v="10946"/>
    <x v="15"/>
    <x v="15"/>
    <s v="VAFFE_10946_Guaraná Fantástica"/>
    <s v="10946"/>
    <s v="10946"/>
    <s v="Guaraná Fantástica"/>
    <n v="4.5"/>
    <x v="9"/>
    <x v="0"/>
    <n v="112.5"/>
    <x v="1"/>
    <d v="1996-04-11T00:00:00"/>
    <s v=""/>
    <s v="2nd Q 1996"/>
  </r>
  <r>
    <x v="61"/>
    <x v="61"/>
    <s v="Palle"/>
    <s v="Ibsen"/>
    <s v="Ibsen, Palle"/>
    <s v="Ibsen, Palle"/>
    <x v="0"/>
    <s v="no"/>
    <s v="no"/>
    <s v="VAFFE"/>
    <n v="10946"/>
    <x v="23"/>
    <x v="23"/>
    <s v="VAFFE_10946_Original Frankfurter grüne Soße"/>
    <s v="10946"/>
    <s v="10946"/>
    <s v="Original Frankfurter grüne Soße"/>
    <n v="13"/>
    <x v="4"/>
    <x v="0"/>
    <n v="520"/>
    <x v="1"/>
    <d v="1996-04-11T00:00:00"/>
    <s v=""/>
    <s v="2nd Q 1996"/>
  </r>
  <r>
    <x v="31"/>
    <x v="31"/>
    <s v="Victoria"/>
    <s v="Ashworth"/>
    <s v="Ashworth, Victoria"/>
    <s v="Ashworth, Victoria"/>
    <x v="0"/>
    <s v="no"/>
    <s v="no"/>
    <s v="BSBEV"/>
    <n v="10947"/>
    <x v="21"/>
    <x v="21"/>
    <s v="BSBEV_10947_Raclette Courdavault"/>
    <s v="10947"/>
    <s v="10947"/>
    <s v="Raclette Courdavault"/>
    <n v="55"/>
    <x v="22"/>
    <x v="0"/>
    <n v="220"/>
    <x v="1"/>
    <d v="1996-04-12T00:00:00"/>
    <s v=""/>
    <s v="2nd Q 1996"/>
  </r>
  <r>
    <x v="36"/>
    <x v="36"/>
    <s v="José"/>
    <s v="Pedro Freyre"/>
    <s v="Pedro Freyre, José"/>
    <s v="Pedro Freyre, José"/>
    <x v="0"/>
    <s v="no"/>
    <s v="no"/>
    <s v="GODOS"/>
    <n v="10948"/>
    <x v="72"/>
    <x v="72"/>
    <s v="GODOS_10948_Valkoinen suklaa"/>
    <s v="10948"/>
    <s v="10948"/>
    <s v="Valkoinen suklaa"/>
    <n v="16.25"/>
    <x v="3"/>
    <x v="0"/>
    <n v="146.25"/>
    <x v="1"/>
    <d v="1996-04-12T00:00:00"/>
    <s v=""/>
    <s v="2nd Q 1996"/>
  </r>
  <r>
    <x v="36"/>
    <x v="36"/>
    <s v="José"/>
    <s v="Pedro Freyre"/>
    <s v="Pedro Freyre, José"/>
    <s v="Pedro Freyre, José"/>
    <x v="0"/>
    <s v="no"/>
    <s v="no"/>
    <s v="GODOS"/>
    <n v="10948"/>
    <x v="4"/>
    <x v="4"/>
    <s v="GODOS_10948_Manjimup Dried Apples"/>
    <s v="10948"/>
    <s v="10948"/>
    <s v="Manjimup Dried Apples"/>
    <n v="53"/>
    <x v="4"/>
    <x v="0"/>
    <n v="2120"/>
    <x v="1"/>
    <d v="1996-04-12T00:00:00"/>
    <s v=""/>
    <s v="2nd Q 1996"/>
  </r>
  <r>
    <x v="36"/>
    <x v="36"/>
    <s v="José"/>
    <s v="Pedro Freyre"/>
    <s v="Pedro Freyre, José"/>
    <s v="Pedro Freyre, José"/>
    <x v="0"/>
    <s v="no"/>
    <s v="no"/>
    <s v="GODOS"/>
    <n v="10948"/>
    <x v="16"/>
    <x v="16"/>
    <s v="GODOS_10948_Pâté chinois"/>
    <s v="10948"/>
    <s v="10948"/>
    <s v="Pâté chinois"/>
    <n v="24"/>
    <x v="22"/>
    <x v="0"/>
    <n v="96"/>
    <x v="1"/>
    <d v="1996-04-12T00:00:00"/>
    <s v=""/>
    <s v="2nd Q 1996"/>
  </r>
  <r>
    <x v="66"/>
    <x v="66"/>
    <s v="Elizabeth"/>
    <s v="Lincoln"/>
    <s v="Lincoln, Elizabeth"/>
    <s v="Lincoln, Elizabeth"/>
    <x v="0"/>
    <s v="no"/>
    <s v="no"/>
    <s v="BOTTM"/>
    <n v="10949"/>
    <x v="63"/>
    <x v="63"/>
    <s v="BOTTM_10949_Grandma's Boysenberry Spread"/>
    <s v="10949"/>
    <s v="10949"/>
    <s v="Grandma's Boysenberry Spread"/>
    <n v="25"/>
    <x v="0"/>
    <x v="0"/>
    <n v="300"/>
    <x v="1"/>
    <d v="1996-04-12T00:00:00"/>
    <s v=""/>
    <s v="2nd Q 1996"/>
  </r>
  <r>
    <x v="66"/>
    <x v="66"/>
    <s v="Elizabeth"/>
    <s v="Lincoln"/>
    <s v="Lincoln, Elizabeth"/>
    <s v="Lincoln, Elizabeth"/>
    <x v="0"/>
    <s v="no"/>
    <s v="no"/>
    <s v="BOTTM"/>
    <n v="10949"/>
    <x v="41"/>
    <x v="41"/>
    <s v="BOTTM_10949_Ikura"/>
    <s v="10949"/>
    <s v="10949"/>
    <s v="Ikura"/>
    <n v="31"/>
    <x v="12"/>
    <x v="0"/>
    <n v="930"/>
    <x v="1"/>
    <d v="1996-04-12T00:00:00"/>
    <s v=""/>
    <s v="2nd Q 1996"/>
  </r>
  <r>
    <x v="66"/>
    <x v="66"/>
    <s v="Elizabeth"/>
    <s v="Lincoln"/>
    <s v="Lincoln, Elizabeth"/>
    <s v="Lincoln, Elizabeth"/>
    <x v="0"/>
    <s v="no"/>
    <s v="no"/>
    <s v="BOTTM"/>
    <n v="10949"/>
    <x v="35"/>
    <x v="35"/>
    <s v="BOTTM_10949_Alice Mutton"/>
    <s v="10949"/>
    <s v="10949"/>
    <s v="Alice Mutton"/>
    <n v="39"/>
    <x v="7"/>
    <x v="0"/>
    <n v="234"/>
    <x v="1"/>
    <d v="1996-04-12T00:00:00"/>
    <s v=""/>
    <s v="2nd Q 1996"/>
  </r>
  <r>
    <x v="66"/>
    <x v="66"/>
    <s v="Elizabeth"/>
    <s v="Lincoln"/>
    <s v="Lincoln, Elizabeth"/>
    <s v="Lincoln, Elizabeth"/>
    <x v="0"/>
    <s v="no"/>
    <s v="moderate"/>
    <s v="BOTTM"/>
    <n v="10949"/>
    <x v="29"/>
    <x v="29"/>
    <s v="BOTTM_10949_Tarte au sucre"/>
    <s v="10949"/>
    <s v="10949"/>
    <s v="Tarte au sucre"/>
    <n v="49.3"/>
    <x v="18"/>
    <x v="0"/>
    <n v="2958"/>
    <x v="1"/>
    <d v="1996-04-12T00:00:00"/>
    <s v=""/>
    <s v="2nd Q 1996"/>
  </r>
  <r>
    <x v="22"/>
    <x v="22"/>
    <s v="Giovanni"/>
    <s v="Rovelli"/>
    <s v="Rovelli, Giovanni"/>
    <s v="Rovelli, Giovanni"/>
    <x v="0"/>
    <s v="no"/>
    <s v="no"/>
    <s v="MAGAA"/>
    <n v="10950"/>
    <x v="62"/>
    <x v="62"/>
    <s v="MAGAA_10950_Chef Anton's Cajun Seasoning"/>
    <s v="10950"/>
    <s v="10950"/>
    <s v="Chef Anton's Cajun Seasoning"/>
    <n v="22"/>
    <x v="2"/>
    <x v="0"/>
    <n v="110"/>
    <x v="1"/>
    <d v="1996-04-15T00:00:00"/>
    <s v=""/>
    <s v="2nd Q 1996"/>
  </r>
  <r>
    <x v="6"/>
    <x v="6"/>
    <s v="Michael"/>
    <s v="Holz"/>
    <s v="Holz, Michael"/>
    <s v="Holz, Michael"/>
    <x v="0"/>
    <s v="no"/>
    <s v="no"/>
    <s v="RICSU"/>
    <n v="10951"/>
    <x v="10"/>
    <x v="10"/>
    <s v="RICSU_10951_Geitost"/>
    <s v="10951"/>
    <s v="10951"/>
    <s v="Geitost"/>
    <n v="2.5"/>
    <x v="6"/>
    <x v="2"/>
    <n v="35.625"/>
    <x v="1"/>
    <d v="1996-04-15T00:00:00"/>
    <s v=""/>
    <s v="2nd Q 1996"/>
  </r>
  <r>
    <x v="6"/>
    <x v="6"/>
    <s v="Michael"/>
    <s v="Holz"/>
    <s v="Holz, Michael"/>
    <s v="Holz, Michael"/>
    <x v="0"/>
    <s v="no"/>
    <s v="no"/>
    <s v="RICSU"/>
    <n v="10951"/>
    <x v="5"/>
    <x v="5"/>
    <s v="RICSU_10951_Jack's New England Clam Chowder"/>
    <s v="10951"/>
    <s v="10951"/>
    <s v="Jack's New England Clam Chowder"/>
    <n v="9.65"/>
    <x v="7"/>
    <x v="2"/>
    <n v="55.005000000000003"/>
    <x v="1"/>
    <d v="1996-04-15T00:00:00"/>
    <s v=""/>
    <s v="2nd Q 1996"/>
  </r>
  <r>
    <x v="6"/>
    <x v="6"/>
    <s v="Michael"/>
    <s v="Holz"/>
    <s v="Holz, Michael"/>
    <s v="Holz, Michael"/>
    <x v="0"/>
    <s v="no"/>
    <s v="no"/>
    <s v="RICSU"/>
    <n v="10951"/>
    <x v="48"/>
    <x v="48"/>
    <s v="RICSU_10951_Rhönbräu Klosterbier"/>
    <s v="10951"/>
    <s v="10951"/>
    <s v="Rhönbräu Klosterbier"/>
    <n v="7.75"/>
    <x v="13"/>
    <x v="2"/>
    <n v="368.125"/>
    <x v="1"/>
    <d v="1996-04-15T00:00:00"/>
    <s v=""/>
    <s v="2nd Q 1996"/>
  </r>
  <r>
    <x v="85"/>
    <x v="85"/>
    <s v="Maria"/>
    <s v="Anders"/>
    <s v="Anders, Maria"/>
    <s v="Anders, Maria"/>
    <x v="0"/>
    <s v="no"/>
    <s v="no"/>
    <s v="ALFKI"/>
    <n v="10952"/>
    <x v="63"/>
    <x v="63"/>
    <s v="ALFKI_10952_Grandma's Boysenberry Spread"/>
    <s v="10952"/>
    <s v="10952"/>
    <s v="Grandma's Boysenberry Spread"/>
    <n v="25"/>
    <x v="16"/>
    <x v="2"/>
    <n v="380"/>
    <x v="1"/>
    <d v="1996-04-15T00:00:00"/>
    <s v=""/>
    <s v="2nd Q 1996"/>
  </r>
  <r>
    <x v="85"/>
    <x v="85"/>
    <s v="Maria"/>
    <s v="Anders"/>
    <s v="Anders, Maria"/>
    <s v="Anders, Maria"/>
    <x v="0"/>
    <s v="no"/>
    <s v="no"/>
    <s v="ALFKI"/>
    <n v="10952"/>
    <x v="44"/>
    <x v="44"/>
    <s v="ALFKI_10952_Rössle Sauerkraut"/>
    <s v="10952"/>
    <s v="10952"/>
    <s v="Rössle Sauerkraut"/>
    <n v="45.6"/>
    <x v="17"/>
    <x v="0"/>
    <n v="91.2"/>
    <x v="1"/>
    <d v="1996-04-15T00:00:00"/>
    <s v=""/>
    <s v="2nd Q 1996"/>
  </r>
  <r>
    <x v="55"/>
    <x v="55"/>
    <s v="Thomas"/>
    <s v="Hardy"/>
    <s v="Hardy, Thomas"/>
    <s v="Hardy, Thomas"/>
    <x v="1"/>
    <s v="yes"/>
    <s v="yes"/>
    <s v="AROUT"/>
    <n v="10953"/>
    <x v="9"/>
    <x v="9"/>
    <s v="AROUT_10953_Sir Rodney's Marmalade"/>
    <s v="10953"/>
    <s v="10953"/>
    <s v="Sir Rodney's Marmalade"/>
    <n v="81"/>
    <x v="13"/>
    <x v="2"/>
    <n v="3847.5"/>
    <x v="1"/>
    <d v="1996-04-15T00:00:00"/>
    <s v=""/>
    <s v="2nd Q 1996"/>
  </r>
  <r>
    <x v="55"/>
    <x v="55"/>
    <s v="Thomas"/>
    <s v="Hardy"/>
    <s v="Hardy, Thomas"/>
    <s v="Hardy, Thomas"/>
    <x v="0"/>
    <s v="no"/>
    <s v="no"/>
    <s v="AROUT"/>
    <n v="10953"/>
    <x v="12"/>
    <x v="12"/>
    <s v="AROUT_10953_Gorgonzola Telino"/>
    <s v="10953"/>
    <s v="10953"/>
    <s v="Gorgonzola Telino"/>
    <n v="12.5"/>
    <x v="13"/>
    <x v="2"/>
    <n v="593.75"/>
    <x v="1"/>
    <d v="1996-04-15T00:00:00"/>
    <s v=""/>
    <s v="2nd Q 1996"/>
  </r>
  <r>
    <x v="67"/>
    <x v="67"/>
    <s v="Felipe"/>
    <s v="Izquierdo"/>
    <s v="Izquierdo, Felipe"/>
    <s v="Izquierdo, Felipe"/>
    <x v="0"/>
    <s v="no"/>
    <s v="no"/>
    <s v="LINOD"/>
    <n v="10954"/>
    <x v="19"/>
    <x v="19"/>
    <s v="LINOD_10954_Pavlova"/>
    <s v="10954"/>
    <s v="10954"/>
    <s v="Pavlova"/>
    <n v="17.45"/>
    <x v="19"/>
    <x v="1"/>
    <n v="415.30999999999995"/>
    <x v="1"/>
    <d v="1996-04-16T00:00:00"/>
    <s v=""/>
    <s v="2nd Q 1996"/>
  </r>
  <r>
    <x v="67"/>
    <x v="67"/>
    <s v="Felipe"/>
    <s v="Izquierdo"/>
    <s v="Izquierdo, Felipe"/>
    <s v="Izquierdo, Felipe"/>
    <x v="0"/>
    <s v="no"/>
    <s v="no"/>
    <s v="LINOD"/>
    <n v="10954"/>
    <x v="12"/>
    <x v="12"/>
    <s v="LINOD_10954_Gorgonzola Telino"/>
    <s v="10954"/>
    <s v="10954"/>
    <s v="Gorgonzola Telino"/>
    <n v="12.5"/>
    <x v="9"/>
    <x v="1"/>
    <n v="265.625"/>
    <x v="1"/>
    <d v="1996-04-16T00:00:00"/>
    <s v=""/>
    <s v="2nd Q 1996"/>
  </r>
  <r>
    <x v="67"/>
    <x v="67"/>
    <s v="Felipe"/>
    <s v="Izquierdo"/>
    <s v="Izquierdo, Felipe"/>
    <s v="Izquierdo, Felipe"/>
    <x v="0"/>
    <s v="no"/>
    <s v="no"/>
    <s v="LINOD"/>
    <n v="10954"/>
    <x v="73"/>
    <x v="73"/>
    <s v="LINOD_10954_Røgede sild"/>
    <s v="10954"/>
    <s v="10954"/>
    <s v="Røgede sild"/>
    <n v="9.5"/>
    <x v="12"/>
    <x v="0"/>
    <n v="285"/>
    <x v="1"/>
    <d v="1996-04-16T00:00:00"/>
    <s v=""/>
    <s v="2nd Q 1996"/>
  </r>
  <r>
    <x v="67"/>
    <x v="67"/>
    <s v="Felipe"/>
    <s v="Izquierdo"/>
    <s v="Izquierdo, Felipe"/>
    <s v="Izquierdo, Felipe"/>
    <x v="0"/>
    <s v="no"/>
    <s v="no"/>
    <s v="LINOD"/>
    <n v="10954"/>
    <x v="11"/>
    <x v="11"/>
    <s v="LINOD_10954_Camembert Pierrot"/>
    <s v="10954"/>
    <s v="10954"/>
    <s v="Camembert Pierrot"/>
    <n v="34"/>
    <x v="23"/>
    <x v="1"/>
    <n v="693.6"/>
    <x v="1"/>
    <d v="1996-04-16T00:00:00"/>
    <s v=""/>
    <s v="2nd Q 1996"/>
  </r>
  <r>
    <x v="14"/>
    <x v="14"/>
    <s v="Maria"/>
    <s v="Larsson"/>
    <s v="Larsson, Maria"/>
    <s v="Larsson, Maria"/>
    <x v="0"/>
    <s v="no"/>
    <s v="no"/>
    <s v="FOLKO"/>
    <n v="10955"/>
    <x v="48"/>
    <x v="48"/>
    <s v="FOLKO_10955_Rhönbräu Klosterbier"/>
    <s v="10955"/>
    <s v="10955"/>
    <s v="Rhönbräu Klosterbier"/>
    <n v="7.75"/>
    <x v="0"/>
    <x v="3"/>
    <n v="74.400000000000006"/>
    <x v="1"/>
    <d v="1996-04-16T00:00:00"/>
    <s v=""/>
    <s v="2nd Q 1996"/>
  </r>
  <r>
    <x v="76"/>
    <x v="76"/>
    <s v="Hanna"/>
    <s v="Moos"/>
    <s v="Moos, Hanna"/>
    <s v="Moos, Hanna"/>
    <x v="0"/>
    <s v="no"/>
    <s v="no"/>
    <s v="BLAUS"/>
    <n v="10956"/>
    <x v="27"/>
    <x v="27"/>
    <s v="BLAUS_10956_Sir Rodney's Scones"/>
    <s v="10956"/>
    <s v="10956"/>
    <s v="Sir Rodney's Scones"/>
    <n v="10"/>
    <x v="0"/>
    <x v="0"/>
    <n v="120"/>
    <x v="1"/>
    <d v="1996-04-16T00:00:00"/>
    <s v=""/>
    <s v="2nd Q 1996"/>
  </r>
  <r>
    <x v="76"/>
    <x v="76"/>
    <s v="Hanna"/>
    <s v="Moos"/>
    <s v="Moos, Hanna"/>
    <s v="Moos, Hanna"/>
    <x v="0"/>
    <s v="no"/>
    <s v="no"/>
    <s v="BLAUS"/>
    <n v="10956"/>
    <x v="69"/>
    <x v="69"/>
    <s v="BLAUS_10956_Zaanse koeken"/>
    <s v="10956"/>
    <s v="10956"/>
    <s v="Zaanse koeken"/>
    <n v="9.5"/>
    <x v="31"/>
    <x v="0"/>
    <n v="133"/>
    <x v="1"/>
    <d v="1996-04-16T00:00:00"/>
    <s v=""/>
    <s v="2nd Q 1996"/>
  </r>
  <r>
    <x v="76"/>
    <x v="76"/>
    <s v="Hanna"/>
    <s v="Moos"/>
    <s v="Moos, Hanna"/>
    <s v="Moos, Hanna"/>
    <x v="0"/>
    <s v="no"/>
    <s v="no"/>
    <s v="BLAUS"/>
    <n v="10956"/>
    <x v="4"/>
    <x v="4"/>
    <s v="BLAUS_10956_Manjimup Dried Apples"/>
    <s v="10956"/>
    <s v="10956"/>
    <s v="Manjimup Dried Apples"/>
    <n v="53"/>
    <x v="26"/>
    <x v="0"/>
    <n v="424"/>
    <x v="1"/>
    <d v="1996-04-16T00:00:00"/>
    <s v=""/>
    <s v="2nd Q 1996"/>
  </r>
  <r>
    <x v="8"/>
    <x v="8"/>
    <s v="Carlos"/>
    <s v="Hernández"/>
    <s v="Hernández, Carlos"/>
    <s v="Hernández, Carlos"/>
    <x v="0"/>
    <s v="no"/>
    <s v="no"/>
    <s v="HILAA"/>
    <n v="10957"/>
    <x v="34"/>
    <x v="34"/>
    <s v="HILAA_10957_Nord-Ost Matjeshering"/>
    <s v="10957"/>
    <s v="10957"/>
    <s v="Nord-Ost Matjeshering"/>
    <n v="25.89"/>
    <x v="12"/>
    <x v="0"/>
    <n v="776.7"/>
    <x v="1"/>
    <d v="1996-04-17T00:00:00"/>
    <s v=""/>
    <s v="2nd Q 1996"/>
  </r>
  <r>
    <x v="8"/>
    <x v="8"/>
    <s v="Carlos"/>
    <s v="Hernández"/>
    <s v="Hernández, Carlos"/>
    <s v="Hernández, Carlos"/>
    <x v="0"/>
    <s v="no"/>
    <s v="no"/>
    <s v="HILAA"/>
    <n v="10957"/>
    <x v="31"/>
    <x v="31"/>
    <s v="HILAA_10957_Steeleye Stout"/>
    <s v="10957"/>
    <s v="10957"/>
    <s v="Steeleye Stout"/>
    <n v="18"/>
    <x v="4"/>
    <x v="0"/>
    <n v="720"/>
    <x v="1"/>
    <d v="1996-04-17T00:00:00"/>
    <s v=""/>
    <s v="2nd Q 1996"/>
  </r>
  <r>
    <x v="8"/>
    <x v="8"/>
    <s v="Carlos"/>
    <s v="Hernández"/>
    <s v="Hernández, Carlos"/>
    <s v="Hernández, Carlos"/>
    <x v="0"/>
    <s v="no"/>
    <s v="no"/>
    <s v="HILAA"/>
    <n v="10957"/>
    <x v="58"/>
    <x v="58"/>
    <s v="HILAA_10957_Wimmers gute Semmelknödel"/>
    <s v="10957"/>
    <s v="10957"/>
    <s v="Wimmers gute Semmelknödel"/>
    <n v="33.25"/>
    <x v="26"/>
    <x v="0"/>
    <n v="266"/>
    <x v="1"/>
    <d v="1996-04-17T00:00:00"/>
    <s v=""/>
    <s v="2nd Q 1996"/>
  </r>
  <r>
    <x v="69"/>
    <x v="69"/>
    <s v="Yvonne"/>
    <s v="Moncada"/>
    <s v="Moncada, Yvonne"/>
    <s v="Moncada, Yvonne"/>
    <x v="0"/>
    <s v="no"/>
    <s v="no"/>
    <s v="OCEAN"/>
    <n v="10958"/>
    <x v="25"/>
    <x v="25"/>
    <s v="OCEAN_10958_Chef Anton's Gumbo Mix"/>
    <s v="10958"/>
    <s v="10958"/>
    <s v="Chef Anton's Gumbo Mix"/>
    <n v="21.35"/>
    <x v="8"/>
    <x v="0"/>
    <n v="427"/>
    <x v="1"/>
    <d v="1996-04-17T00:00:00"/>
    <s v=""/>
    <s v="2nd Q 1996"/>
  </r>
  <r>
    <x v="69"/>
    <x v="69"/>
    <s v="Yvonne"/>
    <s v="Moncada"/>
    <s v="Moncada, Yvonne"/>
    <s v="Moncada, Yvonne"/>
    <x v="0"/>
    <s v="no"/>
    <s v="no"/>
    <s v="OCEAN"/>
    <n v="10958"/>
    <x v="32"/>
    <x v="32"/>
    <s v="OCEAN_10958_Uncle Bob's Organic Dried Pears"/>
    <s v="10958"/>
    <s v="10958"/>
    <s v="Uncle Bob's Organic Dried Pears"/>
    <n v="30"/>
    <x v="7"/>
    <x v="0"/>
    <n v="180"/>
    <x v="1"/>
    <d v="1996-04-17T00:00:00"/>
    <s v=""/>
    <s v="2nd Q 1996"/>
  </r>
  <r>
    <x v="69"/>
    <x v="69"/>
    <s v="Yvonne"/>
    <s v="Moncada"/>
    <s v="Moncada, Yvonne"/>
    <s v="Moncada, Yvonne"/>
    <x v="0"/>
    <s v="no"/>
    <s v="no"/>
    <s v="OCEAN"/>
    <n v="10958"/>
    <x v="2"/>
    <x v="2"/>
    <s v="OCEAN_10958_Mozzarella di Giovanni"/>
    <s v="10958"/>
    <s v="10958"/>
    <s v="Mozzarella di Giovanni"/>
    <n v="34.799999999999997"/>
    <x v="2"/>
    <x v="0"/>
    <n v="174"/>
    <x v="1"/>
    <d v="1996-04-17T00:00:00"/>
    <s v=""/>
    <s v="2nd Q 1996"/>
  </r>
  <r>
    <x v="71"/>
    <x v="71"/>
    <s v="André"/>
    <s v="Fonseca"/>
    <s v="Fonseca, André"/>
    <s v="Fonseca, André"/>
    <x v="0"/>
    <s v="no"/>
    <s v="no"/>
    <s v="GOURL"/>
    <n v="10959"/>
    <x v="48"/>
    <x v="48"/>
    <s v="GOURL_10959_Rhönbräu Klosterbier"/>
    <s v="10959"/>
    <s v="10959"/>
    <s v="Rhönbräu Klosterbier"/>
    <n v="7.75"/>
    <x v="8"/>
    <x v="1"/>
    <n v="131.75"/>
    <x v="1"/>
    <d v="1996-04-17T00:00:00"/>
    <s v=""/>
    <s v="2nd Q 1996"/>
  </r>
  <r>
    <x v="8"/>
    <x v="8"/>
    <s v="Carlos"/>
    <s v="Hernández"/>
    <s v="Hernández, Carlos"/>
    <s v="Hernández, Carlos"/>
    <x v="0"/>
    <s v="no"/>
    <s v="no"/>
    <s v="HILAA"/>
    <n v="10960"/>
    <x v="15"/>
    <x v="15"/>
    <s v="HILAA_10960_Guaraná Fantástica"/>
    <s v="10960"/>
    <s v="10960"/>
    <s v="Guaraná Fantástica"/>
    <n v="4.5"/>
    <x v="1"/>
    <x v="4"/>
    <n v="33.75"/>
    <x v="1"/>
    <d v="1996-04-18T00:00:00"/>
    <s v=""/>
    <s v="2nd Q 1996"/>
  </r>
  <r>
    <x v="8"/>
    <x v="8"/>
    <s v="Carlos"/>
    <s v="Hernández"/>
    <s v="Hernández, Carlos"/>
    <s v="Hernández, Carlos"/>
    <x v="0"/>
    <s v="no"/>
    <s v="no"/>
    <s v="HILAA"/>
    <n v="10960"/>
    <x v="5"/>
    <x v="5"/>
    <s v="HILAA_10960_Jack's New England Clam Chowder"/>
    <s v="10960"/>
    <s v="10960"/>
    <s v="Jack's New England Clam Chowder"/>
    <n v="9.65"/>
    <x v="23"/>
    <x v="0"/>
    <n v="231.60000000000002"/>
    <x v="1"/>
    <d v="1996-04-18T00:00:00"/>
    <s v=""/>
    <s v="2nd Q 1996"/>
  </r>
  <r>
    <x v="62"/>
    <x v="62"/>
    <s v="Lúcia"/>
    <s v="Carvalho"/>
    <s v="Carvalho, Lúcia"/>
    <s v="Carvalho, Lúcia"/>
    <x v="0"/>
    <s v="no"/>
    <s v="no"/>
    <s v="QUEEN"/>
    <n v="10961"/>
    <x v="65"/>
    <x v="65"/>
    <s v="QUEEN_10961_Filo Mix"/>
    <s v="10961"/>
    <s v="10961"/>
    <s v="Filo Mix"/>
    <n v="7"/>
    <x v="7"/>
    <x v="2"/>
    <n v="39.9"/>
    <x v="1"/>
    <d v="1996-04-18T00:00:00"/>
    <s v=""/>
    <s v="2nd Q 1996"/>
  </r>
  <r>
    <x v="62"/>
    <x v="62"/>
    <s v="Lúcia"/>
    <s v="Carvalho"/>
    <s v="Carvalho, Lúcia"/>
    <s v="Carvalho, Lúcia"/>
    <x v="0"/>
    <s v="no"/>
    <s v="no"/>
    <s v="QUEEN"/>
    <n v="10961"/>
    <x v="38"/>
    <x v="38"/>
    <s v="QUEEN_10961_Lakkalikööri"/>
    <s v="10961"/>
    <s v="10961"/>
    <s v="Lakkalikööri"/>
    <n v="18"/>
    <x v="18"/>
    <x v="0"/>
    <n v="1080"/>
    <x v="1"/>
    <d v="1996-04-18T00:00:00"/>
    <s v=""/>
    <s v="2nd Q 1996"/>
  </r>
  <r>
    <x v="21"/>
    <x v="21"/>
    <s v="Horst"/>
    <s v="Kloss"/>
    <s v="Kloss, Horst"/>
    <s v="Kloss, Horst"/>
    <x v="0"/>
    <s v="no"/>
    <s v="no"/>
    <s v="QUICK"/>
    <n v="10962"/>
    <x v="32"/>
    <x v="32"/>
    <s v="QUICK_10962_Uncle Bob's Organic Dried Pears"/>
    <s v="10962"/>
    <s v="10962"/>
    <s v="Uncle Bob's Organic Dried Pears"/>
    <n v="30"/>
    <x v="29"/>
    <x v="0"/>
    <n v="1350"/>
    <x v="1"/>
    <d v="1996-04-18T00:00:00"/>
    <s v=""/>
    <s v="2nd Q 1996"/>
  </r>
  <r>
    <x v="21"/>
    <x v="21"/>
    <s v="Horst"/>
    <s v="Kloss"/>
    <s v="Kloss, Horst"/>
    <s v="Kloss, Horst"/>
    <x v="0"/>
    <s v="no"/>
    <s v="no"/>
    <s v="QUICK"/>
    <n v="10962"/>
    <x v="43"/>
    <x v="43"/>
    <s v="QUICK_10962_Konbu"/>
    <s v="10962"/>
    <s v="10962"/>
    <s v="Konbu"/>
    <n v="6"/>
    <x v="36"/>
    <x v="0"/>
    <n v="462"/>
    <x v="1"/>
    <d v="1996-04-18T00:00:00"/>
    <s v=""/>
    <s v="2nd Q 1996"/>
  </r>
  <r>
    <x v="21"/>
    <x v="21"/>
    <s v="Horst"/>
    <s v="Kloss"/>
    <s v="Kloss, Horst"/>
    <s v="Kloss, Horst"/>
    <x v="0"/>
    <s v="no"/>
    <s v="no"/>
    <s v="QUICK"/>
    <n v="10962"/>
    <x v="22"/>
    <x v="22"/>
    <s v="QUICK_10962_Perth Pasties"/>
    <s v="10962"/>
    <s v="10962"/>
    <s v="Perth Pasties"/>
    <n v="32.799999999999997"/>
    <x v="8"/>
    <x v="0"/>
    <n v="656"/>
    <x v="1"/>
    <d v="1996-04-18T00:00:00"/>
    <s v=""/>
    <s v="2nd Q 1996"/>
  </r>
  <r>
    <x v="21"/>
    <x v="21"/>
    <s v="Horst"/>
    <s v="Kloss"/>
    <s v="Kloss, Horst"/>
    <s v="Kloss, Horst"/>
    <x v="0"/>
    <s v="no"/>
    <s v="no"/>
    <s v="QUICK"/>
    <n v="10962"/>
    <x v="60"/>
    <x v="60"/>
    <s v="QUICK_10962_Gudbrandsdalsost"/>
    <s v="10962"/>
    <s v="10962"/>
    <s v="Gudbrandsdalsost"/>
    <n v="36"/>
    <x v="3"/>
    <x v="0"/>
    <n v="324"/>
    <x v="1"/>
    <d v="1996-04-18T00:00:00"/>
    <s v=""/>
    <s v="2nd Q 1996"/>
  </r>
  <r>
    <x v="21"/>
    <x v="21"/>
    <s v="Horst"/>
    <s v="Kloss"/>
    <s v="Kloss, Horst"/>
    <s v="Kloss, Horst"/>
    <x v="0"/>
    <s v="no"/>
    <s v="no"/>
    <s v="QUICK"/>
    <n v="10962"/>
    <x v="38"/>
    <x v="38"/>
    <s v="QUICK_10962_Lakkalikööri"/>
    <s v="10962"/>
    <s v="10962"/>
    <s v="Lakkalikööri"/>
    <n v="18"/>
    <x v="48"/>
    <x v="0"/>
    <n v="792"/>
    <x v="1"/>
    <d v="1996-04-18T00:00:00"/>
    <s v=""/>
    <s v="2nd Q 1996"/>
  </r>
  <r>
    <x v="47"/>
    <x v="47"/>
    <s v="Lino"/>
    <s v="Rodriguez"/>
    <s v="Rodriguez, Lino"/>
    <s v="Rodriguez, Lino"/>
    <x v="0"/>
    <s v="no"/>
    <s v="no"/>
    <s v="FURIB"/>
    <n v="10963"/>
    <x v="11"/>
    <x v="11"/>
    <s v="FURIB_10963_Camembert Pierrot"/>
    <s v="10963"/>
    <s v="10963"/>
    <s v="Camembert Pierrot"/>
    <n v="34"/>
    <x v="17"/>
    <x v="1"/>
    <n v="57.8"/>
    <x v="1"/>
    <d v="1996-04-18T00:00:00"/>
    <s v=""/>
    <s v="2nd Q 1996"/>
  </r>
  <r>
    <x v="87"/>
    <x v="87"/>
    <s v="Dominique"/>
    <s v="Perrier"/>
    <s v="Perrier, Dominique"/>
    <s v="Perrier, Dominique"/>
    <x v="0"/>
    <s v="no"/>
    <s v="no"/>
    <s v="SPECD"/>
    <n v="10964"/>
    <x v="59"/>
    <x v="59"/>
    <s v="SPECD_10964_Carnarvon Tigers"/>
    <s v="10964"/>
    <s v="10964"/>
    <s v="Carnarvon Tigers"/>
    <n v="62.5"/>
    <x v="7"/>
    <x v="0"/>
    <n v="375"/>
    <x v="1"/>
    <d v="1996-04-19T00:00:00"/>
    <s v=""/>
    <s v="2nd Q 1996"/>
  </r>
  <r>
    <x v="87"/>
    <x v="87"/>
    <s v="Dominique"/>
    <s v="Perrier"/>
    <s v="Perrier, Dominique"/>
    <s v="Perrier, Dominique"/>
    <x v="0"/>
    <s v="no"/>
    <s v="no"/>
    <s v="SPECD"/>
    <n v="10964"/>
    <x v="67"/>
    <x v="67"/>
    <s v="SPECD_10964_Côte de Blaye"/>
    <s v="10964"/>
    <s v="10964"/>
    <s v="Côte de Blaye"/>
    <n v="263.5"/>
    <x v="2"/>
    <x v="0"/>
    <n v="1317.5"/>
    <x v="1"/>
    <d v="1996-04-19T00:00:00"/>
    <s v=""/>
    <s v="2nd Q 1996"/>
  </r>
  <r>
    <x v="87"/>
    <x v="87"/>
    <s v="Dominique"/>
    <s v="Perrier"/>
    <s v="Perrier, Dominique"/>
    <s v="Perrier, Dominique"/>
    <x v="0"/>
    <s v="no"/>
    <s v="no"/>
    <s v="SPECD"/>
    <n v="10964"/>
    <x v="60"/>
    <x v="60"/>
    <s v="SPECD_10964_Gudbrandsdalsost"/>
    <s v="10964"/>
    <s v="10964"/>
    <s v="Gudbrandsdalsost"/>
    <n v="36"/>
    <x v="1"/>
    <x v="0"/>
    <n v="360"/>
    <x v="1"/>
    <d v="1996-04-19T00:00:00"/>
    <s v=""/>
    <s v="2nd Q 1996"/>
  </r>
  <r>
    <x v="37"/>
    <x v="37"/>
    <s v="Rene"/>
    <s v="Phillips"/>
    <s v="Phillips, Rene"/>
    <s v="Phillips, Rene"/>
    <x v="0"/>
    <s v="no"/>
    <s v="no"/>
    <s v="OLDWO"/>
    <n v="10965"/>
    <x v="4"/>
    <x v="4"/>
    <s v="OLDWO_10965_Manjimup Dried Apples"/>
    <s v="10965"/>
    <s v="10965"/>
    <s v="Manjimup Dried Apples"/>
    <n v="53"/>
    <x v="16"/>
    <x v="0"/>
    <n v="848"/>
    <x v="1"/>
    <d v="1996-04-19T00:00:00"/>
    <s v=""/>
    <s v="2nd Q 1996"/>
  </r>
  <r>
    <x v="5"/>
    <x v="5"/>
    <s v="Yang"/>
    <s v="Wang"/>
    <s v="Wang, Yang"/>
    <s v="Wang, Yang"/>
    <x v="0"/>
    <s v="no"/>
    <s v="no"/>
    <s v="CHOPS"/>
    <n v="10966"/>
    <x v="28"/>
    <x v="28"/>
    <s v="CHOPS_10966_Gravad lax"/>
    <s v="10966"/>
    <s v="10966"/>
    <s v="Gravad lax"/>
    <n v="26"/>
    <x v="26"/>
    <x v="0"/>
    <n v="208"/>
    <x v="1"/>
    <d v="1996-04-19T00:00:00"/>
    <s v=""/>
    <s v="2nd Q 1996"/>
  </r>
  <r>
    <x v="5"/>
    <x v="5"/>
    <s v="Yang"/>
    <s v="Wang"/>
    <s v="Wang, Yang"/>
    <s v="Wang, Yang"/>
    <x v="0"/>
    <s v="no"/>
    <s v="no"/>
    <s v="CHOPS"/>
    <n v="10966"/>
    <x v="33"/>
    <x v="33"/>
    <s v="CHOPS_10966_Gnocchi di nonna Alice"/>
    <s v="10966"/>
    <s v="10966"/>
    <s v="Gnocchi di nonna Alice"/>
    <n v="38"/>
    <x v="0"/>
    <x v="1"/>
    <n v="387.59999999999997"/>
    <x v="1"/>
    <d v="1996-04-19T00:00:00"/>
    <s v=""/>
    <s v="2nd Q 1996"/>
  </r>
  <r>
    <x v="5"/>
    <x v="5"/>
    <s v="Yang"/>
    <s v="Wang"/>
    <s v="Wang, Yang"/>
    <s v="Wang, Yang"/>
    <x v="0"/>
    <s v="no"/>
    <s v="no"/>
    <s v="CHOPS"/>
    <n v="10966"/>
    <x v="29"/>
    <x v="29"/>
    <s v="CHOPS_10966_Tarte au sucre"/>
    <s v="10966"/>
    <s v="10966"/>
    <s v="Tarte au sucre"/>
    <n v="49.3"/>
    <x v="0"/>
    <x v="1"/>
    <n v="502.8599999999999"/>
    <x v="1"/>
    <d v="1996-04-19T00:00:00"/>
    <s v=""/>
    <s v="2nd Q 1996"/>
  </r>
  <r>
    <x v="1"/>
    <x v="1"/>
    <s v="Karin"/>
    <s v="Josephs"/>
    <s v="Josephs, Karin"/>
    <s v="Josephs, Karin"/>
    <x v="0"/>
    <s v="no"/>
    <s v="no"/>
    <s v="TOMSP"/>
    <n v="10967"/>
    <x v="49"/>
    <x v="49"/>
    <s v="TOMSP_10967_Teatime Chocolate Biscuits"/>
    <s v="10967"/>
    <s v="10967"/>
    <s v="Teatime Chocolate Biscuits"/>
    <n v="9.1999999999999993"/>
    <x v="0"/>
    <x v="0"/>
    <n v="110.39999999999999"/>
    <x v="1"/>
    <d v="1996-04-22T00:00:00"/>
    <s v=""/>
    <s v="2nd Q 1996"/>
  </r>
  <r>
    <x v="1"/>
    <x v="1"/>
    <s v="Karin"/>
    <s v="Josephs"/>
    <s v="Josephs, Karin"/>
    <s v="Josephs, Karin"/>
    <x v="0"/>
    <s v="no"/>
    <s v="no"/>
    <s v="TOMSP"/>
    <n v="10967"/>
    <x v="14"/>
    <x v="14"/>
    <s v="TOMSP_10967_Maxilaku"/>
    <s v="10967"/>
    <s v="10967"/>
    <s v="Maxilaku"/>
    <n v="20"/>
    <x v="4"/>
    <x v="0"/>
    <n v="800"/>
    <x v="1"/>
    <d v="1996-04-22T00:00:00"/>
    <s v=""/>
    <s v="2nd Q 1996"/>
  </r>
  <r>
    <x v="9"/>
    <x v="9"/>
    <s v="Roland"/>
    <s v="Mendel"/>
    <s v="Mendel, Roland"/>
    <s v="Mendel, Roland"/>
    <x v="0"/>
    <s v="no"/>
    <s v="no"/>
    <s v="ERNSH"/>
    <n v="10968"/>
    <x v="36"/>
    <x v="36"/>
    <s v="ERNSH_10968_Queso Manchego La Pastora"/>
    <s v="10968"/>
    <s v="10968"/>
    <s v="Queso Manchego La Pastora"/>
    <n v="38"/>
    <x v="12"/>
    <x v="0"/>
    <n v="1140"/>
    <x v="1"/>
    <d v="1996-04-22T00:00:00"/>
    <s v=""/>
    <s v="2nd Q 1996"/>
  </r>
  <r>
    <x v="9"/>
    <x v="9"/>
    <s v="Roland"/>
    <s v="Mendel"/>
    <s v="Mendel, Roland"/>
    <s v="Mendel, Roland"/>
    <x v="0"/>
    <s v="no"/>
    <s v="no"/>
    <s v="ERNSH"/>
    <n v="10968"/>
    <x v="15"/>
    <x v="15"/>
    <s v="ERNSH_10968_Guaraná Fantástica"/>
    <s v="10968"/>
    <s v="10968"/>
    <s v="Guaraná Fantástica"/>
    <n v="4.5"/>
    <x v="12"/>
    <x v="0"/>
    <n v="135"/>
    <x v="1"/>
    <d v="1996-04-22T00:00:00"/>
    <s v=""/>
    <s v="2nd Q 1996"/>
  </r>
  <r>
    <x v="9"/>
    <x v="9"/>
    <s v="Roland"/>
    <s v="Mendel"/>
    <s v="Mendel, Roland"/>
    <s v="Mendel, Roland"/>
    <x v="0"/>
    <s v="no"/>
    <s v="no"/>
    <s v="ERNSH"/>
    <n v="10968"/>
    <x v="58"/>
    <x v="58"/>
    <s v="ERNSH_10968_Wimmers gute Semmelknödel"/>
    <s v="10968"/>
    <s v="10968"/>
    <s v="Wimmers gute Semmelknödel"/>
    <n v="33.25"/>
    <x v="22"/>
    <x v="0"/>
    <n v="133"/>
    <x v="1"/>
    <d v="1996-04-22T00:00:00"/>
    <s v=""/>
    <s v="2nd Q 1996"/>
  </r>
  <r>
    <x v="32"/>
    <x v="32"/>
    <s v="Pedro"/>
    <s v="Afonso"/>
    <s v="Afonso, Pedro"/>
    <s v="Afonso, Pedro"/>
    <x v="0"/>
    <s v="no"/>
    <s v="no"/>
    <s v="COMMI"/>
    <n v="10969"/>
    <x v="54"/>
    <x v="54"/>
    <s v="COMMI_10969_Spegesild"/>
    <s v="10969"/>
    <s v="10969"/>
    <s v="Spegesild"/>
    <n v="12"/>
    <x v="3"/>
    <x v="0"/>
    <n v="108"/>
    <x v="1"/>
    <d v="1996-04-22T00:00:00"/>
    <s v=""/>
    <s v="2nd Q 1996"/>
  </r>
  <r>
    <x v="46"/>
    <x v="46"/>
    <s v="Martín"/>
    <s v="Sommer"/>
    <s v="Sommer, Martín"/>
    <s v="Sommer, Martín"/>
    <x v="0"/>
    <s v="no"/>
    <s v="no"/>
    <s v="BOLID"/>
    <n v="10970"/>
    <x v="65"/>
    <x v="65"/>
    <s v="BOLID_10970_Filo Mix"/>
    <s v="10970"/>
    <s v="10970"/>
    <s v="Filo Mix"/>
    <n v="7"/>
    <x v="4"/>
    <x v="3"/>
    <n v="224"/>
    <x v="1"/>
    <d v="1996-04-23T00:00:00"/>
    <s v=""/>
    <s v="2nd Q 1996"/>
  </r>
  <r>
    <x v="86"/>
    <x v="86"/>
    <s v="Carine"/>
    <s v="Schmitt"/>
    <s v="Schmitt, Carine"/>
    <s v="Schmitt, Carine"/>
    <x v="0"/>
    <s v="no"/>
    <s v="no"/>
    <s v="FRANR"/>
    <n v="10971"/>
    <x v="39"/>
    <x v="39"/>
    <s v="FRANR_10971_Thüringer Rostbratwurst"/>
    <s v="10971"/>
    <s v="10971"/>
    <s v="Thüringer Rostbratwurst"/>
    <n v="123.79"/>
    <x v="31"/>
    <x v="0"/>
    <n v="1733.0600000000002"/>
    <x v="1"/>
    <d v="1996-04-23T00:00:00"/>
    <s v=""/>
    <s v="2nd Q 1996"/>
  </r>
  <r>
    <x v="88"/>
    <x v="88"/>
    <s v="Daniel"/>
    <s v="Tonini"/>
    <s v="Tonini, Daniel"/>
    <s v="Tonini, Daniel"/>
    <x v="0"/>
    <s v="no"/>
    <s v="no"/>
    <s v="LACOR"/>
    <n v="10972"/>
    <x v="35"/>
    <x v="35"/>
    <s v="LACOR_10972_Alice Mutton"/>
    <s v="10972"/>
    <s v="10972"/>
    <s v="Alice Mutton"/>
    <n v="39"/>
    <x v="7"/>
    <x v="0"/>
    <n v="234"/>
    <x v="1"/>
    <d v="1996-04-23T00:00:00"/>
    <s v=""/>
    <s v="2nd Q 1996"/>
  </r>
  <r>
    <x v="88"/>
    <x v="88"/>
    <s v="Daniel"/>
    <s v="Tonini"/>
    <s v="Tonini, Daniel"/>
    <s v="Tonini, Daniel"/>
    <x v="0"/>
    <s v="no"/>
    <s v="no"/>
    <s v="LACOR"/>
    <n v="10972"/>
    <x v="10"/>
    <x v="10"/>
    <s v="LACOR_10972_Geitost"/>
    <s v="10972"/>
    <s v="10972"/>
    <s v="Geitost"/>
    <n v="2.5"/>
    <x v="25"/>
    <x v="0"/>
    <n v="17.5"/>
    <x v="1"/>
    <d v="1996-04-23T00:00:00"/>
    <s v=""/>
    <s v="2nd Q 1996"/>
  </r>
  <r>
    <x v="88"/>
    <x v="88"/>
    <s v="Daniel"/>
    <s v="Tonini"/>
    <s v="Tonini, Daniel"/>
    <s v="Tonini, Daniel"/>
    <x v="0"/>
    <s v="no"/>
    <s v="no"/>
    <s v="LACOR"/>
    <n v="10973"/>
    <x v="68"/>
    <x v="68"/>
    <s v="LACOR_10973_Gumbär Gummibärchen"/>
    <s v="10973"/>
    <s v="10973"/>
    <s v="Gumbär Gummibärchen"/>
    <n v="31.23"/>
    <x v="2"/>
    <x v="0"/>
    <n v="156.15"/>
    <x v="1"/>
    <d v="1996-04-23T00:00:00"/>
    <s v=""/>
    <s v="2nd Q 1996"/>
  </r>
  <r>
    <x v="88"/>
    <x v="88"/>
    <s v="Daniel"/>
    <s v="Tonini"/>
    <s v="Tonini, Daniel"/>
    <s v="Tonini, Daniel"/>
    <x v="0"/>
    <s v="no"/>
    <s v="no"/>
    <s v="LACOR"/>
    <n v="10973"/>
    <x v="5"/>
    <x v="5"/>
    <s v="LACOR_10973_Jack's New England Clam Chowder"/>
    <s v="10973"/>
    <s v="10973"/>
    <s v="Jack's New England Clam Chowder"/>
    <n v="9.65"/>
    <x v="7"/>
    <x v="0"/>
    <n v="57.900000000000006"/>
    <x v="1"/>
    <d v="1996-04-23T00:00:00"/>
    <s v=""/>
    <s v="2nd Q 1996"/>
  </r>
  <r>
    <x v="88"/>
    <x v="88"/>
    <s v="Daniel"/>
    <s v="Tonini"/>
    <s v="Tonini, Daniel"/>
    <s v="Tonini, Daniel"/>
    <x v="0"/>
    <s v="no"/>
    <s v="no"/>
    <s v="LACOR"/>
    <n v="10973"/>
    <x v="48"/>
    <x v="48"/>
    <s v="LACOR_10973_Rhönbräu Klosterbier"/>
    <s v="10973"/>
    <s v="10973"/>
    <s v="Rhönbräu Klosterbier"/>
    <n v="7.75"/>
    <x v="1"/>
    <x v="0"/>
    <n v="77.5"/>
    <x v="1"/>
    <d v="1996-04-23T00:00:00"/>
    <s v=""/>
    <s v="2nd Q 1996"/>
  </r>
  <r>
    <x v="20"/>
    <x v="20"/>
    <s v="Art"/>
    <s v="Braunschweiger"/>
    <s v="Braunschweiger, Art"/>
    <s v="Braunschweiger, Art"/>
    <x v="0"/>
    <s v="no"/>
    <s v="no"/>
    <s v="SPLIR"/>
    <n v="10974"/>
    <x v="46"/>
    <x v="46"/>
    <s v="SPLIR_10974_Vegie-spread"/>
    <s v="10974"/>
    <s v="10974"/>
    <s v="Vegie-spread"/>
    <n v="43.9"/>
    <x v="1"/>
    <x v="0"/>
    <n v="439"/>
    <x v="1"/>
    <d v="1996-04-24T00:00:00"/>
    <s v=""/>
    <s v="2nd Q 1996"/>
  </r>
  <r>
    <x v="66"/>
    <x v="66"/>
    <s v="Elizabeth"/>
    <s v="Lincoln"/>
    <s v="Lincoln, Elizabeth"/>
    <s v="Lincoln, Elizabeth"/>
    <x v="0"/>
    <s v="no"/>
    <s v="no"/>
    <s v="BOTTM"/>
    <n v="10975"/>
    <x v="71"/>
    <x v="71"/>
    <s v="BOTTM_10975_Northwoods Cranberry Sauce"/>
    <s v="10975"/>
    <s v="10975"/>
    <s v="Northwoods Cranberry Sauce"/>
    <n v="40"/>
    <x v="16"/>
    <x v="0"/>
    <n v="640"/>
    <x v="1"/>
    <d v="1996-04-24T00:00:00"/>
    <s v=""/>
    <s v="2nd Q 1996"/>
  </r>
  <r>
    <x v="66"/>
    <x v="66"/>
    <s v="Elizabeth"/>
    <s v="Lincoln"/>
    <s v="Lincoln, Elizabeth"/>
    <s v="Lincoln, Elizabeth"/>
    <x v="0"/>
    <s v="no"/>
    <s v="no"/>
    <s v="BOTTM"/>
    <n v="10975"/>
    <x v="48"/>
    <x v="48"/>
    <s v="BOTTM_10975_Rhönbräu Klosterbier"/>
    <s v="10975"/>
    <s v="10975"/>
    <s v="Rhönbräu Klosterbier"/>
    <n v="7.75"/>
    <x v="1"/>
    <x v="0"/>
    <n v="77.5"/>
    <x v="1"/>
    <d v="1996-04-24T00:00:00"/>
    <s v=""/>
    <s v="2nd Q 1996"/>
  </r>
  <r>
    <x v="8"/>
    <x v="8"/>
    <s v="Carlos"/>
    <s v="Hernández"/>
    <s v="Hernández, Carlos"/>
    <s v="Hernández, Carlos"/>
    <x v="0"/>
    <s v="no"/>
    <s v="no"/>
    <s v="HILAA"/>
    <n v="10976"/>
    <x v="44"/>
    <x v="44"/>
    <s v="HILAA_10976_Rössle Sauerkraut"/>
    <s v="10976"/>
    <s v="10976"/>
    <s v="Rössle Sauerkraut"/>
    <n v="45.6"/>
    <x v="8"/>
    <x v="0"/>
    <n v="912"/>
    <x v="1"/>
    <d v="1996-04-24T00:00:00"/>
    <s v=""/>
    <s v="2nd Q 1996"/>
  </r>
  <r>
    <x v="14"/>
    <x v="14"/>
    <s v="Maria"/>
    <s v="Larsson"/>
    <s v="Larsson, Maria"/>
    <s v="Larsson, Maria"/>
    <x v="0"/>
    <s v="no"/>
    <s v="no"/>
    <s v="FOLKO"/>
    <n v="10977"/>
    <x v="13"/>
    <x v="13"/>
    <s v="FOLKO_10977_Chartreuse verte"/>
    <s v="10977"/>
    <s v="10977"/>
    <s v="Chartreuse verte"/>
    <n v="18"/>
    <x v="12"/>
    <x v="0"/>
    <n v="540"/>
    <x v="1"/>
    <d v="1996-04-25T00:00:00"/>
    <s v=""/>
    <s v="2nd Q 1996"/>
  </r>
  <r>
    <x v="14"/>
    <x v="14"/>
    <s v="Maria"/>
    <s v="Larsson"/>
    <s v="Larsson, Maria"/>
    <s v="Larsson, Maria"/>
    <x v="0"/>
    <s v="no"/>
    <s v="no"/>
    <s v="FOLKO"/>
    <n v="10977"/>
    <x v="69"/>
    <x v="69"/>
    <s v="FOLKO_10977_Zaanse koeken"/>
    <s v="10977"/>
    <s v="10977"/>
    <s v="Zaanse koeken"/>
    <n v="9.5"/>
    <x v="12"/>
    <x v="0"/>
    <n v="285"/>
    <x v="1"/>
    <d v="1996-04-25T00:00:00"/>
    <s v=""/>
    <s v="2nd Q 1996"/>
  </r>
  <r>
    <x v="14"/>
    <x v="14"/>
    <s v="Maria"/>
    <s v="Larsson"/>
    <s v="Larsson, Maria"/>
    <s v="Larsson, Maria"/>
    <x v="0"/>
    <s v="no"/>
    <s v="no"/>
    <s v="FOLKO"/>
    <n v="10977"/>
    <x v="4"/>
    <x v="4"/>
    <s v="FOLKO_10977_Manjimup Dried Apples"/>
    <s v="10977"/>
    <s v="10977"/>
    <s v="Manjimup Dried Apples"/>
    <n v="53"/>
    <x v="1"/>
    <x v="0"/>
    <n v="530"/>
    <x v="1"/>
    <d v="1996-04-25T00:00:00"/>
    <s v=""/>
    <s v="2nd Q 1996"/>
  </r>
  <r>
    <x v="14"/>
    <x v="14"/>
    <s v="Maria"/>
    <s v="Larsson"/>
    <s v="Larsson, Maria"/>
    <s v="Larsson, Maria"/>
    <x v="0"/>
    <s v="no"/>
    <s v="no"/>
    <s v="FOLKO"/>
    <n v="10977"/>
    <x v="46"/>
    <x v="46"/>
    <s v="FOLKO_10977_Vegie-spread"/>
    <s v="10977"/>
    <s v="10977"/>
    <s v="Vegie-spread"/>
    <n v="43.9"/>
    <x v="8"/>
    <x v="0"/>
    <n v="878"/>
    <x v="1"/>
    <d v="1996-04-25T00:00:00"/>
    <s v=""/>
    <s v="2nd Q 1996"/>
  </r>
  <r>
    <x v="80"/>
    <x v="80"/>
    <s v="Catherine"/>
    <s v="Dewey"/>
    <s v="Dewey, Catherine"/>
    <s v="Dewey, Catherine"/>
    <x v="0"/>
    <s v="no"/>
    <s v="no"/>
    <s v="MAISD"/>
    <n v="10978"/>
    <x v="71"/>
    <x v="71"/>
    <s v="MAISD_10978_Northwoods Cranberry Sauce"/>
    <s v="10978"/>
    <s v="10978"/>
    <s v="Northwoods Cranberry Sauce"/>
    <n v="40"/>
    <x v="8"/>
    <x v="1"/>
    <n v="680"/>
    <x v="1"/>
    <d v="1996-04-25T00:00:00"/>
    <s v=""/>
    <s v="2nd Q 1996"/>
  </r>
  <r>
    <x v="80"/>
    <x v="80"/>
    <s v="Catherine"/>
    <s v="Dewey"/>
    <s v="Dewey, Catherine"/>
    <s v="Dewey, Catherine"/>
    <x v="0"/>
    <s v="no"/>
    <s v="no"/>
    <s v="MAISD"/>
    <n v="10978"/>
    <x v="27"/>
    <x v="27"/>
    <s v="MAISD_10978_Sir Rodney's Scones"/>
    <s v="10978"/>
    <s v="10978"/>
    <s v="Sir Rodney's Scones"/>
    <n v="10"/>
    <x v="4"/>
    <x v="1"/>
    <n v="340"/>
    <x v="1"/>
    <d v="1996-04-25T00:00:00"/>
    <s v=""/>
    <s v="2nd Q 1996"/>
  </r>
  <r>
    <x v="80"/>
    <x v="80"/>
    <s v="Catherine"/>
    <s v="Dewey"/>
    <s v="Dewey, Catherine"/>
    <s v="Dewey, Catherine"/>
    <x v="0"/>
    <s v="no"/>
    <s v="no"/>
    <s v="MAISD"/>
    <n v="10978"/>
    <x v="37"/>
    <x v="37"/>
    <s v="MAISD_10978_Boston Crab Meat"/>
    <s v="10978"/>
    <s v="10978"/>
    <s v="Boston Crab Meat"/>
    <n v="18.399999999999999"/>
    <x v="1"/>
    <x v="0"/>
    <n v="184"/>
    <x v="1"/>
    <d v="1996-04-25T00:00:00"/>
    <s v=""/>
    <s v="2nd Q 1996"/>
  </r>
  <r>
    <x v="80"/>
    <x v="80"/>
    <s v="Catherine"/>
    <s v="Dewey"/>
    <s v="Dewey, Catherine"/>
    <s v="Dewey, Catherine"/>
    <x v="0"/>
    <s v="no"/>
    <s v="no"/>
    <s v="MAISD"/>
    <n v="10978"/>
    <x v="45"/>
    <x v="45"/>
    <s v="MAISD_10978_Gula Malacca"/>
    <s v="10978"/>
    <s v="10978"/>
    <s v="Gula Malacca"/>
    <n v="19.45"/>
    <x v="7"/>
    <x v="1"/>
    <n v="99.194999999999993"/>
    <x v="1"/>
    <d v="1996-04-25T00:00:00"/>
    <s v=""/>
    <s v="2nd Q 1996"/>
  </r>
  <r>
    <x v="9"/>
    <x v="9"/>
    <s v="Roland"/>
    <s v="Mendel"/>
    <s v="Mendel, Roland"/>
    <s v="Mendel, Roland"/>
    <x v="0"/>
    <s v="no"/>
    <s v="no"/>
    <s v="ERNSH"/>
    <n v="10979"/>
    <x v="32"/>
    <x v="32"/>
    <s v="ERNSH_10979_Uncle Bob's Organic Dried Pears"/>
    <s v="10979"/>
    <s v="10979"/>
    <s v="Uncle Bob's Organic Dried Pears"/>
    <n v="30"/>
    <x v="27"/>
    <x v="0"/>
    <n v="540"/>
    <x v="1"/>
    <d v="1996-04-25T00:00:00"/>
    <s v=""/>
    <s v="2nd Q 1996"/>
  </r>
  <r>
    <x v="9"/>
    <x v="9"/>
    <s v="Roland"/>
    <s v="Mendel"/>
    <s v="Mendel, Roland"/>
    <s v="Mendel, Roland"/>
    <x v="0"/>
    <s v="no"/>
    <s v="no"/>
    <s v="ERNSH"/>
    <n v="10979"/>
    <x v="36"/>
    <x v="36"/>
    <s v="ERNSH_10979_Queso Manchego La Pastora"/>
    <s v="10979"/>
    <s v="10979"/>
    <s v="Queso Manchego La Pastora"/>
    <n v="38"/>
    <x v="8"/>
    <x v="0"/>
    <n v="760"/>
    <x v="1"/>
    <d v="1996-04-25T00:00:00"/>
    <s v=""/>
    <s v="2nd Q 1996"/>
  </r>
  <r>
    <x v="9"/>
    <x v="9"/>
    <s v="Roland"/>
    <s v="Mendel"/>
    <s v="Mendel, Roland"/>
    <s v="Mendel, Roland"/>
    <x v="0"/>
    <s v="no"/>
    <s v="no"/>
    <s v="ERNSH"/>
    <n v="10979"/>
    <x v="15"/>
    <x v="15"/>
    <s v="ERNSH_10979_Guaraná Fantástica"/>
    <s v="10979"/>
    <s v="10979"/>
    <s v="Guaraná Fantástica"/>
    <n v="4.5"/>
    <x v="32"/>
    <x v="0"/>
    <n v="360"/>
    <x v="1"/>
    <d v="1996-04-25T00:00:00"/>
    <s v=""/>
    <s v="2nd Q 1996"/>
  </r>
  <r>
    <x v="9"/>
    <x v="9"/>
    <s v="Roland"/>
    <s v="Mendel"/>
    <s v="Mendel, Roland"/>
    <s v="Mendel, Roland"/>
    <x v="0"/>
    <s v="no"/>
    <s v="no"/>
    <s v="ERNSH"/>
    <n v="10979"/>
    <x v="24"/>
    <x v="24"/>
    <s v="ERNSH_10979_Schoggi Schokolade"/>
    <s v="10979"/>
    <s v="10979"/>
    <s v="Schoggi Schokolade"/>
    <n v="43.9"/>
    <x v="12"/>
    <x v="0"/>
    <n v="1317"/>
    <x v="1"/>
    <d v="1996-04-25T00:00:00"/>
    <s v=""/>
    <s v="2nd Q 1996"/>
  </r>
  <r>
    <x v="9"/>
    <x v="9"/>
    <s v="Roland"/>
    <s v="Mendel"/>
    <s v="Mendel, Roland"/>
    <s v="Mendel, Roland"/>
    <x v="0"/>
    <s v="no"/>
    <s v="no"/>
    <s v="ERNSH"/>
    <n v="10979"/>
    <x v="12"/>
    <x v="12"/>
    <s v="ERNSH_10979_Gorgonzola Telino"/>
    <s v="10979"/>
    <s v="10979"/>
    <s v="Gorgonzola Telino"/>
    <n v="12.5"/>
    <x v="23"/>
    <x v="0"/>
    <n v="300"/>
    <x v="1"/>
    <d v="1996-04-25T00:00:00"/>
    <s v=""/>
    <s v="2nd Q 1996"/>
  </r>
  <r>
    <x v="9"/>
    <x v="9"/>
    <s v="Roland"/>
    <s v="Mendel"/>
    <s v="Mendel, Roland"/>
    <s v="Mendel, Roland"/>
    <x v="0"/>
    <s v="no"/>
    <s v="no"/>
    <s v="ERNSH"/>
    <n v="10979"/>
    <x v="46"/>
    <x v="46"/>
    <s v="ERNSH_10979_Vegie-spread"/>
    <s v="10979"/>
    <s v="10979"/>
    <s v="Vegie-spread"/>
    <n v="43.9"/>
    <x v="5"/>
    <x v="0"/>
    <n v="1536.5"/>
    <x v="1"/>
    <d v="1996-04-25T00:00:00"/>
    <s v=""/>
    <s v="2nd Q 1996"/>
  </r>
  <r>
    <x v="14"/>
    <x v="14"/>
    <s v="Maria"/>
    <s v="Larsson"/>
    <s v="Larsson, Maria"/>
    <s v="Larsson, Maria"/>
    <x v="0"/>
    <s v="no"/>
    <s v="no"/>
    <s v="FOLKO"/>
    <n v="10980"/>
    <x v="48"/>
    <x v="48"/>
    <s v="FOLKO_10980_Rhönbräu Klosterbier"/>
    <s v="10980"/>
    <s v="10980"/>
    <s v="Rhönbräu Klosterbier"/>
    <n v="7.75"/>
    <x v="4"/>
    <x v="3"/>
    <n v="248"/>
    <x v="1"/>
    <d v="1996-04-26T00:00:00"/>
    <s v=""/>
    <s v="2nd Q 1996"/>
  </r>
  <r>
    <x v="2"/>
    <x v="2"/>
    <s v="Mario"/>
    <s v="Pontes"/>
    <s v="Pontes, Mario"/>
    <s v="Pontes, Mario"/>
    <x v="1"/>
    <s v="yes"/>
    <s v="yes"/>
    <s v="HANAR"/>
    <n v="10981"/>
    <x v="67"/>
    <x v="67"/>
    <s v="HANAR_10981_Côte de Blaye"/>
    <s v="10981"/>
    <s v="10981"/>
    <s v="Côte de Blaye"/>
    <n v="263.5"/>
    <x v="18"/>
    <x v="0"/>
    <n v="15810"/>
    <x v="1"/>
    <d v="1996-04-26T00:00:00"/>
    <s v=""/>
    <s v="2nd Q 1996"/>
  </r>
  <r>
    <x v="66"/>
    <x v="66"/>
    <s v="Elizabeth"/>
    <s v="Lincoln"/>
    <s v="Lincoln, Elizabeth"/>
    <s v="Lincoln, Elizabeth"/>
    <x v="0"/>
    <s v="no"/>
    <s v="no"/>
    <s v="BOTTM"/>
    <n v="10982"/>
    <x v="32"/>
    <x v="32"/>
    <s v="BOTTM_10982_Uncle Bob's Organic Dried Pears"/>
    <s v="10982"/>
    <s v="10982"/>
    <s v="Uncle Bob's Organic Dried Pears"/>
    <n v="30"/>
    <x v="8"/>
    <x v="0"/>
    <n v="600"/>
    <x v="1"/>
    <d v="1996-04-26T00:00:00"/>
    <s v=""/>
    <s v="2nd Q 1996"/>
  </r>
  <r>
    <x v="66"/>
    <x v="66"/>
    <s v="Elizabeth"/>
    <s v="Lincoln"/>
    <s v="Lincoln, Elizabeth"/>
    <s v="Lincoln, Elizabeth"/>
    <x v="0"/>
    <s v="no"/>
    <s v="no"/>
    <s v="BOTTM"/>
    <n v="10982"/>
    <x v="40"/>
    <x v="40"/>
    <s v="BOTTM_10982_Ipoh Coffee"/>
    <s v="10982"/>
    <s v="10982"/>
    <s v="Ipoh Coffee"/>
    <n v="46"/>
    <x v="3"/>
    <x v="0"/>
    <n v="414"/>
    <x v="1"/>
    <d v="1996-04-26T00:00:00"/>
    <s v=""/>
    <s v="2nd Q 1996"/>
  </r>
  <r>
    <x v="45"/>
    <x v="45"/>
    <s v="Jose"/>
    <s v="Pavarotti"/>
    <s v="Pavarotti, Jose"/>
    <s v="Pavarotti, Jose"/>
    <x v="0"/>
    <s v="no"/>
    <s v="no"/>
    <s v="SAVEA"/>
    <n v="10983"/>
    <x v="43"/>
    <x v="43"/>
    <s v="SAVEA_10983_Konbu"/>
    <s v="10983"/>
    <s v="10983"/>
    <s v="Konbu"/>
    <n v="6"/>
    <x v="44"/>
    <x v="1"/>
    <n v="428.4"/>
    <x v="1"/>
    <d v="1996-04-26T00:00:00"/>
    <s v=""/>
    <s v="2nd Q 1996"/>
  </r>
  <r>
    <x v="45"/>
    <x v="45"/>
    <s v="Jose"/>
    <s v="Pavarotti"/>
    <s v="Pavarotti, Jose"/>
    <s v="Pavarotti, Jose"/>
    <x v="0"/>
    <s v="no"/>
    <s v="no"/>
    <s v="SAVEA"/>
    <n v="10983"/>
    <x v="8"/>
    <x v="8"/>
    <s v="SAVEA_10983_Ravioli Angelo"/>
    <s v="10983"/>
    <s v="10983"/>
    <s v="Ravioli Angelo"/>
    <n v="19.5"/>
    <x v="6"/>
    <x v="0"/>
    <n v="292.5"/>
    <x v="1"/>
    <d v="1996-04-26T00:00:00"/>
    <s v=""/>
    <s v="2nd Q 1996"/>
  </r>
  <r>
    <x v="45"/>
    <x v="45"/>
    <s v="Jose"/>
    <s v="Pavarotti"/>
    <s v="Pavarotti, Jose"/>
    <s v="Pavarotti, Jose"/>
    <x v="0"/>
    <s v="no"/>
    <s v="no"/>
    <s v="SAVEA"/>
    <n v="10984"/>
    <x v="19"/>
    <x v="19"/>
    <s v="SAVEA_10984_Pavlova"/>
    <s v="10984"/>
    <s v="10984"/>
    <s v="Pavlova"/>
    <n v="17.45"/>
    <x v="38"/>
    <x v="0"/>
    <n v="959.75"/>
    <x v="1"/>
    <d v="1996-04-29T00:00:00"/>
    <s v=""/>
    <s v="2nd Q 1996"/>
  </r>
  <r>
    <x v="45"/>
    <x v="45"/>
    <s v="Jose"/>
    <s v="Pavarotti"/>
    <s v="Pavarotti, Jose"/>
    <s v="Pavarotti, Jose"/>
    <x v="0"/>
    <s v="no"/>
    <s v="no"/>
    <s v="SAVEA"/>
    <n v="10984"/>
    <x v="15"/>
    <x v="15"/>
    <s v="SAVEA_10984_Guaraná Fantástica"/>
    <s v="10984"/>
    <s v="10984"/>
    <s v="Guaraná Fantástica"/>
    <n v="4.5"/>
    <x v="8"/>
    <x v="0"/>
    <n v="90"/>
    <x v="1"/>
    <d v="1996-04-29T00:00:00"/>
    <s v=""/>
    <s v="2nd Q 1996"/>
  </r>
  <r>
    <x v="45"/>
    <x v="45"/>
    <s v="Jose"/>
    <s v="Pavarotti"/>
    <s v="Pavarotti, Jose"/>
    <s v="Pavarotti, Jose"/>
    <x v="0"/>
    <s v="no"/>
    <s v="no"/>
    <s v="SAVEA"/>
    <n v="10984"/>
    <x v="20"/>
    <x v="20"/>
    <s v="SAVEA_10984_Inlagd Sill"/>
    <s v="10984"/>
    <s v="10984"/>
    <s v="Inlagd Sill"/>
    <n v="19"/>
    <x v="4"/>
    <x v="0"/>
    <n v="760"/>
    <x v="1"/>
    <d v="1996-04-29T00:00:00"/>
    <s v=""/>
    <s v="2nd Q 1996"/>
  </r>
  <r>
    <x v="34"/>
    <x v="34"/>
    <s v="Patricia"/>
    <s v="McKenna"/>
    <s v="McKenna, Patricia"/>
    <s v="McKenna, Patricia"/>
    <x v="0"/>
    <s v="no"/>
    <s v="no"/>
    <s v="HUNGO"/>
    <n v="10985"/>
    <x v="19"/>
    <x v="19"/>
    <s v="HUNGO_10985_Pavlova"/>
    <s v="10985"/>
    <s v="10985"/>
    <s v="Pavlova"/>
    <n v="17.45"/>
    <x v="20"/>
    <x v="5"/>
    <n v="565.38"/>
    <x v="1"/>
    <d v="1996-04-29T00:00:00"/>
    <s v=""/>
    <s v="2nd Q 1996"/>
  </r>
  <r>
    <x v="34"/>
    <x v="34"/>
    <s v="Patricia"/>
    <s v="McKenna"/>
    <s v="McKenna, Patricia"/>
    <s v="McKenna, Patricia"/>
    <x v="0"/>
    <s v="no"/>
    <s v="no"/>
    <s v="HUNGO"/>
    <n v="10985"/>
    <x v="59"/>
    <x v="59"/>
    <s v="HUNGO_10985_Carnarvon Tigers"/>
    <s v="10985"/>
    <s v="10985"/>
    <s v="Carnarvon Tigers"/>
    <n v="62.5"/>
    <x v="26"/>
    <x v="5"/>
    <n v="450"/>
    <x v="1"/>
    <d v="1996-04-29T00:00:00"/>
    <s v=""/>
    <s v="2nd Q 1996"/>
  </r>
  <r>
    <x v="34"/>
    <x v="34"/>
    <s v="Patricia"/>
    <s v="McKenna"/>
    <s v="McKenna, Patricia"/>
    <s v="McKenna, Patricia"/>
    <x v="0"/>
    <s v="no"/>
    <s v="no"/>
    <s v="HUNGO"/>
    <n v="10985"/>
    <x v="26"/>
    <x v="26"/>
    <s v="HUNGO_10985_Mascarpone Fabioli"/>
    <s v="10985"/>
    <s v="10985"/>
    <s v="Mascarpone Fabioli"/>
    <n v="32"/>
    <x v="5"/>
    <x v="5"/>
    <n v="1008"/>
    <x v="1"/>
    <d v="1996-04-29T00:00:00"/>
    <s v=""/>
    <s v="2nd Q 1996"/>
  </r>
  <r>
    <x v="69"/>
    <x v="69"/>
    <s v="Yvonne"/>
    <s v="Moncada"/>
    <s v="Moncada, Yvonne"/>
    <s v="Moncada, Yvonne"/>
    <x v="0"/>
    <s v="no"/>
    <s v="no"/>
    <s v="OCEAN"/>
    <n v="10986"/>
    <x v="0"/>
    <x v="0"/>
    <s v="OCEAN_10986_Queso Cabrales"/>
    <s v="10986"/>
    <s v="10986"/>
    <s v="Queso Cabrales"/>
    <n v="21"/>
    <x v="12"/>
    <x v="0"/>
    <n v="630"/>
    <x v="1"/>
    <d v="1996-04-29T00:00:00"/>
    <s v=""/>
    <s v="2nd Q 1996"/>
  </r>
  <r>
    <x v="69"/>
    <x v="69"/>
    <s v="Yvonne"/>
    <s v="Moncada"/>
    <s v="Moncada, Yvonne"/>
    <s v="Moncada, Yvonne"/>
    <x v="0"/>
    <s v="no"/>
    <s v="no"/>
    <s v="OCEAN"/>
    <n v="10986"/>
    <x v="9"/>
    <x v="9"/>
    <s v="OCEAN_10986_Sir Rodney's Marmalade"/>
    <s v="10986"/>
    <s v="10986"/>
    <s v="Sir Rodney's Marmalade"/>
    <n v="81"/>
    <x v="6"/>
    <x v="0"/>
    <n v="1215"/>
    <x v="1"/>
    <d v="1996-04-29T00:00:00"/>
    <s v=""/>
    <s v="2nd Q 1996"/>
  </r>
  <r>
    <x v="69"/>
    <x v="69"/>
    <s v="Yvonne"/>
    <s v="Moncada"/>
    <s v="Moncada, Yvonne"/>
    <s v="Moncada, Yvonne"/>
    <x v="0"/>
    <s v="no"/>
    <s v="no"/>
    <s v="OCEAN"/>
    <n v="10986"/>
    <x v="38"/>
    <x v="38"/>
    <s v="OCEAN_10986_Lakkalikööri"/>
    <s v="10986"/>
    <s v="10986"/>
    <s v="Lakkalikööri"/>
    <n v="18"/>
    <x v="1"/>
    <x v="0"/>
    <n v="180"/>
    <x v="1"/>
    <d v="1996-04-29T00:00:00"/>
    <s v=""/>
    <s v="2nd Q 1996"/>
  </r>
  <r>
    <x v="69"/>
    <x v="69"/>
    <s v="Yvonne"/>
    <s v="Moncada"/>
    <s v="Moncada, Yvonne"/>
    <s v="Moncada, Yvonne"/>
    <x v="0"/>
    <s v="no"/>
    <s v="no"/>
    <s v="OCEAN"/>
    <n v="10986"/>
    <x v="23"/>
    <x v="23"/>
    <s v="OCEAN_10986_Original Frankfurter grüne Soße"/>
    <s v="10986"/>
    <s v="10986"/>
    <s v="Original Frankfurter grüne Soße"/>
    <n v="13"/>
    <x v="6"/>
    <x v="0"/>
    <n v="195"/>
    <x v="1"/>
    <d v="1996-04-29T00:00:00"/>
    <s v=""/>
    <s v="2nd Q 1996"/>
  </r>
  <r>
    <x v="58"/>
    <x v="58"/>
    <s v="Ann"/>
    <s v="Devon"/>
    <s v="Devon, Ann"/>
    <s v="Devon, Ann"/>
    <x v="0"/>
    <s v="no"/>
    <s v="no"/>
    <s v="EASTC"/>
    <n v="10987"/>
    <x v="32"/>
    <x v="32"/>
    <s v="EASTC_10987_Uncle Bob's Organic Dried Pears"/>
    <s v="10987"/>
    <s v="10987"/>
    <s v="Uncle Bob's Organic Dried Pears"/>
    <n v="30"/>
    <x v="18"/>
    <x v="0"/>
    <n v="1800"/>
    <x v="1"/>
    <d v="1996-04-30T00:00:00"/>
    <s v=""/>
    <s v="2nd Q 1996"/>
  </r>
  <r>
    <x v="58"/>
    <x v="58"/>
    <s v="Ann"/>
    <s v="Devon"/>
    <s v="Devon, Ann"/>
    <s v="Devon, Ann"/>
    <x v="0"/>
    <s v="no"/>
    <s v="no"/>
    <s v="EASTC"/>
    <n v="10987"/>
    <x v="40"/>
    <x v="40"/>
    <s v="EASTC_10987_Ipoh Coffee"/>
    <s v="10987"/>
    <s v="10987"/>
    <s v="Ipoh Coffee"/>
    <n v="46"/>
    <x v="7"/>
    <x v="0"/>
    <n v="276"/>
    <x v="1"/>
    <d v="1996-04-30T00:00:00"/>
    <s v=""/>
    <s v="2nd Q 1996"/>
  </r>
  <r>
    <x v="58"/>
    <x v="58"/>
    <s v="Ann"/>
    <s v="Devon"/>
    <s v="Devon, Ann"/>
    <s v="Devon, Ann"/>
    <x v="0"/>
    <s v="no"/>
    <s v="no"/>
    <s v="EASTC"/>
    <n v="10987"/>
    <x v="2"/>
    <x v="2"/>
    <s v="EASTC_10987_Mozzarella di Giovanni"/>
    <s v="10987"/>
    <s v="10987"/>
    <s v="Mozzarella di Giovanni"/>
    <n v="34.799999999999997"/>
    <x v="8"/>
    <x v="0"/>
    <n v="696"/>
    <x v="1"/>
    <d v="1996-04-30T00:00:00"/>
    <s v=""/>
    <s v="2nd Q 1996"/>
  </r>
  <r>
    <x v="13"/>
    <x v="13"/>
    <s v="Paula"/>
    <s v="Wilson"/>
    <s v="Wilson, Paula"/>
    <s v="Wilson, Paula"/>
    <x v="0"/>
    <s v="no"/>
    <s v="no"/>
    <s v="RATTC"/>
    <n v="10988"/>
    <x v="32"/>
    <x v="32"/>
    <s v="RATTC_10988_Uncle Bob's Organic Dried Pears"/>
    <s v="10988"/>
    <s v="10988"/>
    <s v="Uncle Bob's Organic Dried Pears"/>
    <n v="30"/>
    <x v="18"/>
    <x v="0"/>
    <n v="1800"/>
    <x v="1"/>
    <d v="1996-04-30T00:00:00"/>
    <s v=""/>
    <s v="2nd Q 1996"/>
  </r>
  <r>
    <x v="13"/>
    <x v="13"/>
    <s v="Paula"/>
    <s v="Wilson"/>
    <s v="Wilson, Paula"/>
    <s v="Wilson, Paula"/>
    <x v="0"/>
    <s v="no"/>
    <s v="no"/>
    <s v="RATTC"/>
    <n v="10988"/>
    <x v="29"/>
    <x v="29"/>
    <s v="RATTC_10988_Tarte au sucre"/>
    <s v="10988"/>
    <s v="10988"/>
    <s v="Tarte au sucre"/>
    <n v="49.3"/>
    <x v="4"/>
    <x v="5"/>
    <n v="1774.8"/>
    <x v="1"/>
    <d v="1996-04-30T00:00:00"/>
    <s v=""/>
    <s v="2nd Q 1996"/>
  </r>
  <r>
    <x v="12"/>
    <x v="12"/>
    <s v="Bernardo"/>
    <s v="Batista"/>
    <s v="Batista, Bernardo"/>
    <s v="Batista, Bernardo"/>
    <x v="0"/>
    <s v="no"/>
    <s v="no"/>
    <s v="QUEDE"/>
    <n v="10989"/>
    <x v="63"/>
    <x v="63"/>
    <s v="QUEDE_10989_Grandma's Boysenberry Spread"/>
    <s v="10989"/>
    <s v="10989"/>
    <s v="Grandma's Boysenberry Spread"/>
    <n v="25"/>
    <x v="4"/>
    <x v="0"/>
    <n v="1000"/>
    <x v="1"/>
    <d v="1996-04-30T00:00:00"/>
    <s v=""/>
    <s v="2nd Q 1996"/>
  </r>
  <r>
    <x v="12"/>
    <x v="12"/>
    <s v="Bernardo"/>
    <s v="Batista"/>
    <s v="Batista, Bernardo"/>
    <s v="Batista, Bernardo"/>
    <x v="0"/>
    <s v="no"/>
    <s v="no"/>
    <s v="QUEDE"/>
    <n v="10989"/>
    <x v="0"/>
    <x v="0"/>
    <s v="QUEDE_10989_Queso Cabrales"/>
    <s v="10989"/>
    <s v="10989"/>
    <s v="Queso Cabrales"/>
    <n v="21"/>
    <x v="6"/>
    <x v="0"/>
    <n v="315"/>
    <x v="1"/>
    <d v="1996-04-30T00:00:00"/>
    <s v=""/>
    <s v="2nd Q 1996"/>
  </r>
  <r>
    <x v="12"/>
    <x v="12"/>
    <s v="Bernardo"/>
    <s v="Batista"/>
    <s v="Batista, Bernardo"/>
    <s v="Batista, Bernardo"/>
    <x v="0"/>
    <s v="no"/>
    <s v="no"/>
    <s v="QUEDE"/>
    <n v="10989"/>
    <x v="5"/>
    <x v="5"/>
    <s v="QUEDE_10989_Jack's New England Clam Chowder"/>
    <s v="10989"/>
    <s v="10989"/>
    <s v="Jack's New England Clam Chowder"/>
    <n v="9.65"/>
    <x v="22"/>
    <x v="0"/>
    <n v="38.6"/>
    <x v="1"/>
    <d v="1996-04-30T00:00:00"/>
    <s v=""/>
    <s v="2nd Q 1996"/>
  </r>
  <r>
    <x v="9"/>
    <x v="9"/>
    <s v="Roland"/>
    <s v="Mendel"/>
    <s v="Mendel, Roland"/>
    <s v="Mendel, Roland"/>
    <x v="0"/>
    <s v="no"/>
    <s v="no"/>
    <s v="ERNSH"/>
    <n v="10990"/>
    <x v="27"/>
    <x v="27"/>
    <s v="ERNSH_10990_Sir Rodney's Scones"/>
    <s v="10990"/>
    <s v="10990"/>
    <s v="Sir Rodney's Scones"/>
    <n v="10"/>
    <x v="14"/>
    <x v="0"/>
    <n v="650"/>
    <x v="1"/>
    <d v="1996-05-01T00:00:00"/>
    <s v=""/>
    <s v="2nd Q 1996"/>
  </r>
  <r>
    <x v="9"/>
    <x v="9"/>
    <s v="Roland"/>
    <s v="Mendel"/>
    <s v="Mendel, Roland"/>
    <s v="Mendel, Roland"/>
    <x v="0"/>
    <s v="no"/>
    <s v="no"/>
    <s v="ERNSH"/>
    <n v="10990"/>
    <x v="53"/>
    <x v="53"/>
    <s v="ERNSH_10990_Sasquatch Ale"/>
    <s v="10990"/>
    <s v="10990"/>
    <s v="Sasquatch Ale"/>
    <n v="14"/>
    <x v="18"/>
    <x v="1"/>
    <n v="714"/>
    <x v="1"/>
    <d v="1996-05-01T00:00:00"/>
    <s v=""/>
    <s v="2nd Q 1996"/>
  </r>
  <r>
    <x v="9"/>
    <x v="9"/>
    <s v="Roland"/>
    <s v="Mendel"/>
    <s v="Mendel, Roland"/>
    <s v="Mendel, Roland"/>
    <x v="0"/>
    <s v="no"/>
    <s v="no"/>
    <s v="ERNSH"/>
    <n v="10990"/>
    <x v="16"/>
    <x v="16"/>
    <s v="ERNSH_10990_Pâté chinois"/>
    <s v="10990"/>
    <s v="10990"/>
    <s v="Pâté chinois"/>
    <n v="24"/>
    <x v="14"/>
    <x v="1"/>
    <n v="1326"/>
    <x v="1"/>
    <d v="1996-05-01T00:00:00"/>
    <s v=""/>
    <s v="2nd Q 1996"/>
  </r>
  <r>
    <x v="9"/>
    <x v="9"/>
    <s v="Roland"/>
    <s v="Mendel"/>
    <s v="Mendel, Roland"/>
    <s v="Mendel, Roland"/>
    <x v="0"/>
    <s v="no"/>
    <s v="no"/>
    <s v="ERNSH"/>
    <n v="10990"/>
    <x v="75"/>
    <x v="75"/>
    <s v="ERNSH_10990_Sirop d'érable"/>
    <s v="10990"/>
    <s v="10990"/>
    <s v="Sirop d'érable"/>
    <n v="28.5"/>
    <x v="52"/>
    <x v="1"/>
    <n v="1598.85"/>
    <x v="1"/>
    <d v="1996-05-01T00:00:00"/>
    <s v=""/>
    <s v="2nd Q 1996"/>
  </r>
  <r>
    <x v="21"/>
    <x v="21"/>
    <s v="Horst"/>
    <s v="Kloss"/>
    <s v="Kloss, Horst"/>
    <s v="Kloss, Horst"/>
    <x v="0"/>
    <s v="no"/>
    <s v="no"/>
    <s v="QUICK"/>
    <n v="10991"/>
    <x v="18"/>
    <x v="18"/>
    <s v="QUICK_10991_Chang"/>
    <s v="10991"/>
    <s v="10991"/>
    <s v="Chang"/>
    <n v="19"/>
    <x v="13"/>
    <x v="3"/>
    <n v="760"/>
    <x v="1"/>
    <d v="1996-05-01T00:00:00"/>
    <s v=""/>
    <s v="2nd Q 1996"/>
  </r>
  <r>
    <x v="21"/>
    <x v="21"/>
    <s v="Horst"/>
    <s v="Kloss"/>
    <s v="Kloss, Horst"/>
    <s v="Kloss, Horst"/>
    <x v="0"/>
    <s v="no"/>
    <s v="no"/>
    <s v="QUICK"/>
    <n v="10991"/>
    <x v="30"/>
    <x v="30"/>
    <s v="QUICK_10991_Outback Lager"/>
    <s v="10991"/>
    <s v="10991"/>
    <s v="Outback Lager"/>
    <n v="15"/>
    <x v="8"/>
    <x v="3"/>
    <n v="240"/>
    <x v="1"/>
    <d v="1996-05-01T00:00:00"/>
    <s v=""/>
    <s v="2nd Q 1996"/>
  </r>
  <r>
    <x v="21"/>
    <x v="21"/>
    <s v="Horst"/>
    <s v="Kloss"/>
    <s v="Kloss, Horst"/>
    <s v="Kloss, Horst"/>
    <x v="0"/>
    <s v="no"/>
    <s v="no"/>
    <s v="QUICK"/>
    <n v="10991"/>
    <x v="38"/>
    <x v="38"/>
    <s v="QUICK_10991_Lakkalikööri"/>
    <s v="10991"/>
    <s v="10991"/>
    <s v="Lakkalikööri"/>
    <n v="18"/>
    <x v="42"/>
    <x v="3"/>
    <n v="1296"/>
    <x v="1"/>
    <d v="1996-05-01T00:00:00"/>
    <s v=""/>
    <s v="2nd Q 1996"/>
  </r>
  <r>
    <x v="40"/>
    <x v="40"/>
    <s v="Liz"/>
    <s v="Nixon"/>
    <s v="Nixon, Liz"/>
    <s v="Nixon, Liz"/>
    <x v="0"/>
    <s v="no"/>
    <s v="no"/>
    <s v="THEBI"/>
    <n v="10992"/>
    <x v="2"/>
    <x v="2"/>
    <s v="THEBI_10992_Mozzarella di Giovanni"/>
    <s v="10992"/>
    <s v="10992"/>
    <s v="Mozzarella di Giovanni"/>
    <n v="34.799999999999997"/>
    <x v="17"/>
    <x v="0"/>
    <n v="69.599999999999994"/>
    <x v="1"/>
    <d v="1996-05-01T00:00:00"/>
    <s v=""/>
    <s v="2nd Q 1996"/>
  </r>
  <r>
    <x v="14"/>
    <x v="14"/>
    <s v="Maria"/>
    <s v="Larsson"/>
    <s v="Larsson, Maria"/>
    <s v="Larsson, Maria"/>
    <x v="1"/>
    <s v="yes"/>
    <s v="yes"/>
    <s v="FOLKO"/>
    <n v="10993"/>
    <x v="39"/>
    <x v="39"/>
    <s v="FOLKO_10993_Thüringer Rostbratwurst"/>
    <s v="10993"/>
    <s v="10993"/>
    <s v="Thüringer Rostbratwurst"/>
    <n v="123.79"/>
    <x v="13"/>
    <x v="4"/>
    <n v="4642.125"/>
    <x v="1"/>
    <d v="1996-05-01T00:00:00"/>
    <s v=""/>
    <s v="2nd Q 1996"/>
  </r>
  <r>
    <x v="14"/>
    <x v="14"/>
    <s v="Maria"/>
    <s v="Larsson"/>
    <s v="Larsson, Maria"/>
    <s v="Larsson, Maria"/>
    <x v="0"/>
    <s v="no"/>
    <s v="no"/>
    <s v="FOLKO"/>
    <n v="10993"/>
    <x v="5"/>
    <x v="5"/>
    <s v="FOLKO_10993_Jack's New England Clam Chowder"/>
    <s v="10993"/>
    <s v="10993"/>
    <s v="Jack's New England Clam Chowder"/>
    <n v="9.65"/>
    <x v="5"/>
    <x v="4"/>
    <n v="253.3125"/>
    <x v="1"/>
    <d v="1996-05-01T00:00:00"/>
    <s v=""/>
    <s v="2nd Q 1996"/>
  </r>
  <r>
    <x v="61"/>
    <x v="61"/>
    <s v="Palle"/>
    <s v="Ibsen"/>
    <s v="Ibsen, Palle"/>
    <s v="Ibsen, Palle"/>
    <x v="0"/>
    <s v="no"/>
    <s v="no"/>
    <s v="VAFFE"/>
    <n v="10994"/>
    <x v="21"/>
    <x v="21"/>
    <s v="VAFFE_10994_Raclette Courdavault"/>
    <s v="10994"/>
    <s v="10994"/>
    <s v="Raclette Courdavault"/>
    <n v="55"/>
    <x v="27"/>
    <x v="2"/>
    <n v="940.5"/>
    <x v="1"/>
    <d v="1996-05-02T00:00:00"/>
    <s v=""/>
    <s v="2nd Q 1996"/>
  </r>
  <r>
    <x v="43"/>
    <x v="43"/>
    <s v="Guillermo"/>
    <s v="Fernández"/>
    <s v="Fernández, Guillermo"/>
    <s v="Fernández, Guillermo"/>
    <x v="0"/>
    <s v="no"/>
    <s v="no"/>
    <s v="PERIC"/>
    <n v="10995"/>
    <x v="4"/>
    <x v="4"/>
    <s v="PERIC_10995_Manjimup Dried Apples"/>
    <s v="10995"/>
    <s v="10995"/>
    <s v="Manjimup Dried Apples"/>
    <n v="53"/>
    <x v="8"/>
    <x v="0"/>
    <n v="1060"/>
    <x v="1"/>
    <d v="1996-05-02T00:00:00"/>
    <s v=""/>
    <s v="2nd Q 1996"/>
  </r>
  <r>
    <x v="43"/>
    <x v="43"/>
    <s v="Guillermo"/>
    <s v="Fernández"/>
    <s v="Fernández, Guillermo"/>
    <s v="Fernández, Guillermo"/>
    <x v="0"/>
    <s v="no"/>
    <s v="no"/>
    <s v="PERIC"/>
    <n v="10995"/>
    <x v="11"/>
    <x v="11"/>
    <s v="PERIC_10995_Camembert Pierrot"/>
    <s v="10995"/>
    <s v="10995"/>
    <s v="Camembert Pierrot"/>
    <n v="34"/>
    <x v="22"/>
    <x v="0"/>
    <n v="136"/>
    <x v="1"/>
    <d v="1996-05-02T00:00:00"/>
    <s v=""/>
    <s v="2nd Q 1996"/>
  </r>
  <r>
    <x v="21"/>
    <x v="21"/>
    <s v="Horst"/>
    <s v="Kloss"/>
    <s v="Kloss, Horst"/>
    <s v="Kloss, Horst"/>
    <x v="0"/>
    <s v="no"/>
    <s v="no"/>
    <s v="QUICK"/>
    <n v="10996"/>
    <x v="1"/>
    <x v="1"/>
    <s v="QUICK_10996_Singaporean Hokkien Fried Mee"/>
    <s v="10996"/>
    <s v="10996"/>
    <s v="Singaporean Hokkien Fried Mee"/>
    <n v="14"/>
    <x v="4"/>
    <x v="0"/>
    <n v="560"/>
    <x v="1"/>
    <d v="1996-05-02T00:00:00"/>
    <s v=""/>
    <s v="2nd Q 1996"/>
  </r>
  <r>
    <x v="28"/>
    <x v="28"/>
    <s v="Carlos"/>
    <s v="González"/>
    <s v="González, Carlos"/>
    <s v="González, Carlos"/>
    <x v="0"/>
    <s v="no"/>
    <s v="no"/>
    <s v="LILAS"/>
    <n v="10997"/>
    <x v="26"/>
    <x v="26"/>
    <s v="LILAS_10997_Mascarpone Fabioli"/>
    <s v="10997"/>
    <s v="10997"/>
    <s v="Mascarpone Fabioli"/>
    <n v="32"/>
    <x v="13"/>
    <x v="0"/>
    <n v="1600"/>
    <x v="1"/>
    <d v="1996-05-03T00:00:00"/>
    <s v=""/>
    <s v="2nd Q 1996"/>
  </r>
  <r>
    <x v="28"/>
    <x v="28"/>
    <s v="Carlos"/>
    <s v="González"/>
    <s v="González, Carlos"/>
    <s v="González, Carlos"/>
    <x v="0"/>
    <s v="no"/>
    <s v="no"/>
    <s v="LILAS"/>
    <n v="10997"/>
    <x v="54"/>
    <x v="54"/>
    <s v="LILAS_10997_Spegesild"/>
    <s v="10997"/>
    <s v="10997"/>
    <s v="Spegesild"/>
    <n v="12"/>
    <x v="8"/>
    <x v="4"/>
    <n v="180"/>
    <x v="1"/>
    <d v="1996-05-03T00:00:00"/>
    <s v=""/>
    <s v="2nd Q 1996"/>
  </r>
  <r>
    <x v="28"/>
    <x v="28"/>
    <s v="Carlos"/>
    <s v="González"/>
    <s v="González, Carlos"/>
    <s v="González, Carlos"/>
    <x v="0"/>
    <s v="no"/>
    <s v="no"/>
    <s v="LILAS"/>
    <n v="10997"/>
    <x v="65"/>
    <x v="65"/>
    <s v="LILAS_10997_Filo Mix"/>
    <s v="10997"/>
    <s v="10997"/>
    <s v="Filo Mix"/>
    <n v="7"/>
    <x v="8"/>
    <x v="4"/>
    <n v="105"/>
    <x v="1"/>
    <d v="1996-05-03T00:00:00"/>
    <s v=""/>
    <s v="2nd Q 1996"/>
  </r>
  <r>
    <x v="63"/>
    <x v="63"/>
    <s v="Zbyszek"/>
    <s v="Piestrzeniewicz"/>
    <s v="Piestrzeniewicz, Zbyszek"/>
    <s v="Piestrzeniewicz, Zbyszek"/>
    <x v="0"/>
    <s v="no"/>
    <s v="no"/>
    <s v="WOLZA"/>
    <n v="10998"/>
    <x v="15"/>
    <x v="15"/>
    <s v="WOLZA_10998_Guaraná Fantástica"/>
    <s v="10998"/>
    <s v="10998"/>
    <s v="Guaraná Fantástica"/>
    <n v="4.5"/>
    <x v="0"/>
    <x v="0"/>
    <n v="54"/>
    <x v="1"/>
    <d v="1996-05-03T00:00:00"/>
    <s v=""/>
    <s v="2nd Q 1996"/>
  </r>
  <r>
    <x v="63"/>
    <x v="63"/>
    <s v="Zbyszek"/>
    <s v="Piestrzeniewicz"/>
    <s v="Piestrzeniewicz, Zbyszek"/>
    <s v="Piestrzeniewicz, Zbyszek"/>
    <x v="0"/>
    <s v="no"/>
    <s v="no"/>
    <s v="WOLZA"/>
    <n v="10998"/>
    <x v="75"/>
    <x v="75"/>
    <s v="WOLZA_10998_Sirop d'érable"/>
    <s v="10998"/>
    <s v="10998"/>
    <s v="Sirop d'érable"/>
    <n v="28.5"/>
    <x v="25"/>
    <x v="0"/>
    <n v="199.5"/>
    <x v="1"/>
    <d v="1996-05-03T00:00:00"/>
    <s v=""/>
    <s v="2nd Q 1996"/>
  </r>
  <r>
    <x v="63"/>
    <x v="63"/>
    <s v="Zbyszek"/>
    <s v="Piestrzeniewicz"/>
    <s v="Piestrzeniewicz, Zbyszek"/>
    <s v="Piestrzeniewicz, Zbyszek"/>
    <x v="0"/>
    <s v="no"/>
    <s v="no"/>
    <s v="WOLZA"/>
    <n v="10998"/>
    <x v="17"/>
    <x v="17"/>
    <s v="WOLZA_10998_Longlife Tofu"/>
    <s v="10998"/>
    <s v="10998"/>
    <s v="Longlife Tofu"/>
    <n v="10"/>
    <x v="8"/>
    <x v="0"/>
    <n v="200"/>
    <x v="1"/>
    <d v="1996-05-03T00:00:00"/>
    <s v=""/>
    <s v="2nd Q 1996"/>
  </r>
  <r>
    <x v="63"/>
    <x v="63"/>
    <s v="Zbyszek"/>
    <s v="Piestrzeniewicz"/>
    <s v="Piestrzeniewicz, Zbyszek"/>
    <s v="Piestrzeniewicz, Zbyszek"/>
    <x v="0"/>
    <s v="no"/>
    <s v="no"/>
    <s v="WOLZA"/>
    <n v="10998"/>
    <x v="48"/>
    <x v="48"/>
    <s v="WOLZA_10998_Rhönbräu Klosterbier"/>
    <s v="10998"/>
    <s v="10998"/>
    <s v="Rhönbräu Klosterbier"/>
    <n v="7.75"/>
    <x v="12"/>
    <x v="0"/>
    <n v="232.5"/>
    <x v="1"/>
    <d v="1996-05-03T00:00:00"/>
    <s v=""/>
    <s v="2nd Q 1996"/>
  </r>
  <r>
    <x v="11"/>
    <x v="11"/>
    <s v="Henriette"/>
    <s v="Pfalzheim"/>
    <s v="Pfalzheim, Henriette"/>
    <s v="Pfalzheim, Henriette"/>
    <x v="0"/>
    <s v="no"/>
    <s v="no"/>
    <s v="OTTIK"/>
    <n v="10999"/>
    <x v="5"/>
    <x v="5"/>
    <s v="OTTIK_10999_Jack's New England Clam Chowder"/>
    <s v="10999"/>
    <s v="10999"/>
    <s v="Jack's New England Clam Chowder"/>
    <n v="9.65"/>
    <x v="8"/>
    <x v="2"/>
    <n v="183.35"/>
    <x v="1"/>
    <d v="1996-05-03T00:00:00"/>
    <s v=""/>
    <s v="2nd Q 1996"/>
  </r>
  <r>
    <x v="11"/>
    <x v="11"/>
    <s v="Henriette"/>
    <s v="Pfalzheim"/>
    <s v="Pfalzheim, Henriette"/>
    <s v="Pfalzheim, Henriette"/>
    <x v="0"/>
    <s v="no"/>
    <s v="no"/>
    <s v="OTTIK"/>
    <n v="10999"/>
    <x v="4"/>
    <x v="4"/>
    <s v="OTTIK_10999_Manjimup Dried Apples"/>
    <s v="10999"/>
    <s v="10999"/>
    <s v="Manjimup Dried Apples"/>
    <n v="53"/>
    <x v="6"/>
    <x v="2"/>
    <n v="755.25"/>
    <x v="1"/>
    <d v="1996-05-03T00:00:00"/>
    <s v=""/>
    <s v="2nd Q 1996"/>
  </r>
  <r>
    <x v="11"/>
    <x v="11"/>
    <s v="Henriette"/>
    <s v="Pfalzheim"/>
    <s v="Pfalzheim, Henriette"/>
    <s v="Pfalzheim, Henriette"/>
    <x v="0"/>
    <s v="no"/>
    <s v="no"/>
    <s v="OTTIK"/>
    <n v="10999"/>
    <x v="23"/>
    <x v="23"/>
    <s v="OTTIK_10999_Original Frankfurter grüne Soße"/>
    <s v="10999"/>
    <s v="10999"/>
    <s v="Original Frankfurter grüne Soße"/>
    <n v="13"/>
    <x v="11"/>
    <x v="2"/>
    <n v="259.34999999999997"/>
    <x v="1"/>
    <d v="1996-05-03T00:00:00"/>
    <s v=""/>
    <s v="2nd Q 1996"/>
  </r>
  <r>
    <x v="13"/>
    <x v="13"/>
    <s v="Paula"/>
    <s v="Wilson"/>
    <s v="Wilson, Paula"/>
    <s v="Wilson, Paula"/>
    <x v="0"/>
    <s v="no"/>
    <s v="no"/>
    <s v="RATTC"/>
    <n v="11000"/>
    <x v="62"/>
    <x v="62"/>
    <s v="RATTC_11000_Chef Anton's Cajun Seasoning"/>
    <s v="11000"/>
    <s v="11000"/>
    <s v="Chef Anton's Cajun Seasoning"/>
    <n v="22"/>
    <x v="9"/>
    <x v="4"/>
    <n v="412.5"/>
    <x v="1"/>
    <d v="1996-05-06T00:00:00"/>
    <s v=""/>
    <s v="2nd Q 1996"/>
  </r>
  <r>
    <x v="13"/>
    <x v="13"/>
    <s v="Paula"/>
    <s v="Wilson"/>
    <s v="Wilson, Paula"/>
    <s v="Wilson, Paula"/>
    <x v="0"/>
    <s v="no"/>
    <s v="no"/>
    <s v="RATTC"/>
    <n v="11000"/>
    <x v="15"/>
    <x v="15"/>
    <s v="RATTC_11000_Guaraná Fantástica"/>
    <s v="11000"/>
    <s v="11000"/>
    <s v="Guaraná Fantástica"/>
    <n v="4.5"/>
    <x v="12"/>
    <x v="4"/>
    <n v="101.25"/>
    <x v="1"/>
    <d v="1996-05-06T00:00:00"/>
    <s v=""/>
    <s v="2nd Q 1996"/>
  </r>
  <r>
    <x v="13"/>
    <x v="13"/>
    <s v="Paula"/>
    <s v="Wilson"/>
    <s v="Wilson, Paula"/>
    <s v="Wilson, Paula"/>
    <x v="0"/>
    <s v="no"/>
    <s v="no"/>
    <s v="RATTC"/>
    <n v="11000"/>
    <x v="23"/>
    <x v="23"/>
    <s v="RATTC_11000_Original Frankfurter grüne Soße"/>
    <s v="11000"/>
    <s v="11000"/>
    <s v="Original Frankfurter grüne Soße"/>
    <n v="13"/>
    <x v="12"/>
    <x v="0"/>
    <n v="390"/>
    <x v="1"/>
    <d v="1996-05-06T00:00:00"/>
    <s v=""/>
    <s v="2nd Q 1996"/>
  </r>
  <r>
    <x v="14"/>
    <x v="14"/>
    <s v="Maria"/>
    <s v="Larsson"/>
    <s v="Larsson, Maria"/>
    <s v="Larsson, Maria"/>
    <x v="0"/>
    <s v="no"/>
    <s v="no"/>
    <s v="FOLKO"/>
    <n v="11001"/>
    <x v="32"/>
    <x v="32"/>
    <s v="FOLKO_11001_Uncle Bob's Organic Dried Pears"/>
    <s v="11001"/>
    <s v="11001"/>
    <s v="Uncle Bob's Organic Dried Pears"/>
    <n v="30"/>
    <x v="18"/>
    <x v="0"/>
    <n v="1800"/>
    <x v="1"/>
    <d v="1996-05-06T00:00:00"/>
    <s v=""/>
    <s v="2nd Q 1996"/>
  </r>
  <r>
    <x v="14"/>
    <x v="14"/>
    <s v="Maria"/>
    <s v="Larsson"/>
    <s v="Larsson, Maria"/>
    <s v="Larsson, Maria"/>
    <x v="0"/>
    <s v="no"/>
    <s v="no"/>
    <s v="FOLKO"/>
    <n v="11001"/>
    <x v="7"/>
    <x v="7"/>
    <s v="FOLKO_11001_Gustaf's Knäckebröd"/>
    <s v="11001"/>
    <s v="11001"/>
    <s v="Gustaf's Knäckebröd"/>
    <n v="21"/>
    <x v="9"/>
    <x v="0"/>
    <n v="525"/>
    <x v="1"/>
    <d v="1996-05-06T00:00:00"/>
    <s v=""/>
    <s v="2nd Q 1996"/>
  </r>
  <r>
    <x v="14"/>
    <x v="14"/>
    <s v="Maria"/>
    <s v="Larsson"/>
    <s v="Larsson, Maria"/>
    <s v="Larsson, Maria"/>
    <x v="0"/>
    <s v="no"/>
    <s v="no"/>
    <s v="FOLKO"/>
    <n v="11001"/>
    <x v="54"/>
    <x v="54"/>
    <s v="FOLKO_11001_Spegesild"/>
    <s v="11001"/>
    <s v="11001"/>
    <s v="Spegesild"/>
    <n v="12"/>
    <x v="9"/>
    <x v="0"/>
    <n v="300"/>
    <x v="1"/>
    <d v="1996-05-06T00:00:00"/>
    <s v=""/>
    <s v="2nd Q 1996"/>
  </r>
  <r>
    <x v="14"/>
    <x v="14"/>
    <s v="Maria"/>
    <s v="Larsson"/>
    <s v="Larsson, Maria"/>
    <s v="Larsson, Maria"/>
    <x v="0"/>
    <s v="no"/>
    <s v="no"/>
    <s v="FOLKO"/>
    <n v="11001"/>
    <x v="16"/>
    <x v="16"/>
    <s v="FOLKO_11001_Pâté chinois"/>
    <s v="11001"/>
    <s v="11001"/>
    <s v="Pâté chinois"/>
    <n v="24"/>
    <x v="7"/>
    <x v="0"/>
    <n v="144"/>
    <x v="1"/>
    <d v="1996-05-06T00:00:00"/>
    <s v=""/>
    <s v="2nd Q 1996"/>
  </r>
  <r>
    <x v="45"/>
    <x v="45"/>
    <s v="Jose"/>
    <s v="Pavarotti"/>
    <s v="Pavarotti, Jose"/>
    <s v="Pavarotti, Jose"/>
    <x v="0"/>
    <s v="no"/>
    <s v="no"/>
    <s v="SAVEA"/>
    <n v="11002"/>
    <x v="43"/>
    <x v="43"/>
    <s v="SAVEA_11002_Konbu"/>
    <s v="11002"/>
    <s v="11002"/>
    <s v="Konbu"/>
    <n v="6"/>
    <x v="34"/>
    <x v="0"/>
    <n v="336"/>
    <x v="1"/>
    <d v="1996-05-06T00:00:00"/>
    <s v=""/>
    <s v="2nd Q 1996"/>
  </r>
  <r>
    <x v="45"/>
    <x v="45"/>
    <s v="Jose"/>
    <s v="Pavarotti"/>
    <s v="Pavarotti, Jose"/>
    <s v="Pavarotti, Jose"/>
    <x v="0"/>
    <s v="no"/>
    <s v="no"/>
    <s v="SAVEA"/>
    <n v="11002"/>
    <x v="31"/>
    <x v="31"/>
    <s v="SAVEA_11002_Steeleye Stout"/>
    <s v="11002"/>
    <s v="11002"/>
    <s v="Steeleye Stout"/>
    <n v="18"/>
    <x v="6"/>
    <x v="1"/>
    <n v="229.5"/>
    <x v="1"/>
    <d v="1996-05-06T00:00:00"/>
    <s v=""/>
    <s v="2nd Q 1996"/>
  </r>
  <r>
    <x v="45"/>
    <x v="45"/>
    <s v="Jose"/>
    <s v="Pavarotti"/>
    <s v="Pavarotti, Jose"/>
    <s v="Pavarotti, Jose"/>
    <x v="0"/>
    <s v="no"/>
    <s v="no"/>
    <s v="SAVEA"/>
    <n v="11002"/>
    <x v="1"/>
    <x v="1"/>
    <s v="SAVEA_11002_Singaporean Hokkien Fried Mee"/>
    <s v="11002"/>
    <s v="11002"/>
    <s v="Singaporean Hokkien Fried Mee"/>
    <n v="14"/>
    <x v="23"/>
    <x v="1"/>
    <n v="285.59999999999997"/>
    <x v="1"/>
    <d v="1996-05-06T00:00:00"/>
    <s v=""/>
    <s v="2nd Q 1996"/>
  </r>
  <r>
    <x v="45"/>
    <x v="45"/>
    <s v="Jose"/>
    <s v="Pavarotti"/>
    <s v="Pavarotti, Jose"/>
    <s v="Pavarotti, Jose"/>
    <x v="0"/>
    <s v="no"/>
    <s v="no"/>
    <s v="SAVEA"/>
    <n v="11002"/>
    <x v="16"/>
    <x v="16"/>
    <s v="SAVEA_11002_Pâté chinois"/>
    <s v="11002"/>
    <s v="11002"/>
    <s v="Pâté chinois"/>
    <n v="24"/>
    <x v="4"/>
    <x v="0"/>
    <n v="960"/>
    <x v="1"/>
    <d v="1996-05-06T00:00:00"/>
    <s v=""/>
    <s v="2nd Q 1996"/>
  </r>
  <r>
    <x v="84"/>
    <x v="84"/>
    <s v="Liu"/>
    <s v="Wong"/>
    <s v="Wong, Liu"/>
    <s v="Wong, Liu"/>
    <x v="0"/>
    <s v="no"/>
    <s v="no"/>
    <s v="THECR"/>
    <n v="11003"/>
    <x v="52"/>
    <x v="52"/>
    <s v="THECR_11003_Chai"/>
    <s v="11003"/>
    <s v="11003"/>
    <s v="Chai"/>
    <n v="18"/>
    <x v="22"/>
    <x v="0"/>
    <n v="72"/>
    <x v="1"/>
    <d v="1996-05-06T00:00:00"/>
    <s v=""/>
    <s v="2nd Q 1996"/>
  </r>
  <r>
    <x v="84"/>
    <x v="84"/>
    <s v="Liu"/>
    <s v="Wong"/>
    <s v="Wong, Liu"/>
    <s v="Wong, Liu"/>
    <x v="0"/>
    <s v="no"/>
    <s v="no"/>
    <s v="THECR"/>
    <n v="11003"/>
    <x v="37"/>
    <x v="37"/>
    <s v="THECR_11003_Boston Crab Meat"/>
    <s v="11003"/>
    <s v="11003"/>
    <s v="Boston Crab Meat"/>
    <n v="18.399999999999999"/>
    <x v="1"/>
    <x v="0"/>
    <n v="184"/>
    <x v="1"/>
    <d v="1996-05-06T00:00:00"/>
    <s v=""/>
    <s v="2nd Q 1996"/>
  </r>
  <r>
    <x v="84"/>
    <x v="84"/>
    <s v="Liu"/>
    <s v="Wong"/>
    <s v="Wong, Liu"/>
    <s v="Wong, Liu"/>
    <x v="0"/>
    <s v="no"/>
    <s v="no"/>
    <s v="THECR"/>
    <n v="11003"/>
    <x v="65"/>
    <x v="65"/>
    <s v="THECR_11003_Filo Mix"/>
    <s v="11003"/>
    <s v="11003"/>
    <s v="Filo Mix"/>
    <n v="7"/>
    <x v="1"/>
    <x v="0"/>
    <n v="70"/>
    <x v="1"/>
    <d v="1996-05-06T00:00:00"/>
    <s v=""/>
    <s v="2nd Q 1996"/>
  </r>
  <r>
    <x v="80"/>
    <x v="80"/>
    <s v="Catherine"/>
    <s v="Dewey"/>
    <s v="Dewey, Catherine"/>
    <s v="Dewey, Catherine"/>
    <x v="0"/>
    <s v="no"/>
    <s v="no"/>
    <s v="MAISD"/>
    <n v="11004"/>
    <x v="68"/>
    <x v="68"/>
    <s v="MAISD_11004_Gumbär Gummibärchen"/>
    <s v="11004"/>
    <s v="11004"/>
    <s v="Gumbär Gummibärchen"/>
    <n v="31.23"/>
    <x v="7"/>
    <x v="0"/>
    <n v="187.38"/>
    <x v="1"/>
    <d v="1996-05-07T00:00:00"/>
    <s v=""/>
    <s v="2nd Q 1996"/>
  </r>
  <r>
    <x v="80"/>
    <x v="80"/>
    <s v="Catherine"/>
    <s v="Dewey"/>
    <s v="Dewey, Catherine"/>
    <s v="Dewey, Catherine"/>
    <x v="0"/>
    <s v="no"/>
    <s v="no"/>
    <s v="MAISD"/>
    <n v="11004"/>
    <x v="38"/>
    <x v="38"/>
    <s v="MAISD_11004_Lakkalikööri"/>
    <s v="11004"/>
    <s v="11004"/>
    <s v="Lakkalikööri"/>
    <n v="18"/>
    <x v="7"/>
    <x v="0"/>
    <n v="108"/>
    <x v="1"/>
    <d v="1996-05-07T00:00:00"/>
    <s v=""/>
    <s v="2nd Q 1996"/>
  </r>
  <r>
    <x v="83"/>
    <x v="83"/>
    <s v="Matti"/>
    <s v="Karttunen"/>
    <s v="Karttunen, Matti"/>
    <s v="Karttunen, Matti"/>
    <x v="0"/>
    <s v="no"/>
    <s v="no"/>
    <s v="WILMK"/>
    <n v="11005"/>
    <x v="52"/>
    <x v="52"/>
    <s v="WILMK_11005_Chai"/>
    <s v="11005"/>
    <s v="11005"/>
    <s v="Chai"/>
    <n v="18"/>
    <x v="17"/>
    <x v="0"/>
    <n v="36"/>
    <x v="1"/>
    <d v="1996-05-07T00:00:00"/>
    <s v=""/>
    <s v="2nd Q 1996"/>
  </r>
  <r>
    <x v="83"/>
    <x v="83"/>
    <s v="Matti"/>
    <s v="Karttunen"/>
    <s v="Karttunen, Matti"/>
    <s v="Karttunen, Matti"/>
    <x v="0"/>
    <s v="no"/>
    <s v="no"/>
    <s v="WILMK"/>
    <n v="11005"/>
    <x v="21"/>
    <x v="21"/>
    <s v="WILMK_11005_Raclette Courdavault"/>
    <s v="11005"/>
    <s v="11005"/>
    <s v="Raclette Courdavault"/>
    <n v="55"/>
    <x v="1"/>
    <x v="0"/>
    <n v="550"/>
    <x v="1"/>
    <d v="1996-05-07T00:00:00"/>
    <s v=""/>
    <s v="2nd Q 1996"/>
  </r>
  <r>
    <x v="79"/>
    <x v="79"/>
    <s v="Howard"/>
    <s v="Snyder"/>
    <s v="Snyder, Howard"/>
    <s v="Snyder, Howard"/>
    <x v="0"/>
    <s v="no"/>
    <s v="no"/>
    <s v="GREAL"/>
    <n v="11006"/>
    <x v="52"/>
    <x v="52"/>
    <s v="GREAL_11006_Chai"/>
    <s v="11006"/>
    <s v="11006"/>
    <s v="Chai"/>
    <n v="18"/>
    <x v="26"/>
    <x v="0"/>
    <n v="144"/>
    <x v="1"/>
    <d v="1996-05-07T00:00:00"/>
    <s v=""/>
    <s v="2nd Q 1996"/>
  </r>
  <r>
    <x v="79"/>
    <x v="79"/>
    <s v="Howard"/>
    <s v="Snyder"/>
    <s v="Snyder, Howard"/>
    <s v="Snyder, Howard"/>
    <x v="0"/>
    <s v="no"/>
    <s v="no"/>
    <s v="GREAL"/>
    <n v="11006"/>
    <x v="39"/>
    <x v="39"/>
    <s v="GREAL_11006_Thüringer Rostbratwurst"/>
    <s v="11006"/>
    <s v="11006"/>
    <s v="Thüringer Rostbratwurst"/>
    <n v="123.79"/>
    <x v="17"/>
    <x v="4"/>
    <n v="185.685"/>
    <x v="1"/>
    <d v="1996-05-07T00:00:00"/>
    <s v=""/>
    <s v="2nd Q 1996"/>
  </r>
  <r>
    <x v="50"/>
    <x v="50"/>
    <s v="Isabel"/>
    <s v="de Castro"/>
    <s v="de Castro, Isabel"/>
    <s v="de Castro, Isabel"/>
    <x v="0"/>
    <s v="no"/>
    <s v="no"/>
    <s v="PRINI"/>
    <n v="11007"/>
    <x v="71"/>
    <x v="71"/>
    <s v="PRINI_11007_Northwoods Cranberry Sauce"/>
    <s v="11007"/>
    <s v="11007"/>
    <s v="Northwoods Cranberry Sauce"/>
    <n v="40"/>
    <x v="12"/>
    <x v="0"/>
    <n v="1200"/>
    <x v="1"/>
    <d v="1996-05-08T00:00:00"/>
    <s v=""/>
    <s v="2nd Q 1996"/>
  </r>
  <r>
    <x v="50"/>
    <x v="50"/>
    <s v="Isabel"/>
    <s v="de Castro"/>
    <s v="de Castro, Isabel"/>
    <s v="de Castro, Isabel"/>
    <x v="0"/>
    <s v="no"/>
    <s v="no"/>
    <s v="PRINI"/>
    <n v="11007"/>
    <x v="39"/>
    <x v="39"/>
    <s v="PRINI_11007_Thüringer Rostbratwurst"/>
    <s v="11007"/>
    <s v="11007"/>
    <s v="Thüringer Rostbratwurst"/>
    <n v="123.79"/>
    <x v="1"/>
    <x v="0"/>
    <n v="1237.9000000000001"/>
    <x v="1"/>
    <d v="1996-05-08T00:00:00"/>
    <s v=""/>
    <s v="2nd Q 1996"/>
  </r>
  <r>
    <x v="50"/>
    <x v="50"/>
    <s v="Isabel"/>
    <s v="de Castro"/>
    <s v="de Castro, Isabel"/>
    <s v="de Castro, Isabel"/>
    <x v="0"/>
    <s v="no"/>
    <s v="no"/>
    <s v="PRINI"/>
    <n v="11007"/>
    <x v="1"/>
    <x v="1"/>
    <s v="PRINI_11007_Singaporean Hokkien Fried Mee"/>
    <s v="11007"/>
    <s v="11007"/>
    <s v="Singaporean Hokkien Fried Mee"/>
    <n v="14"/>
    <x v="31"/>
    <x v="0"/>
    <n v="196"/>
    <x v="1"/>
    <d v="1996-05-08T00:00:00"/>
    <s v=""/>
    <s v="2nd Q 1996"/>
  </r>
  <r>
    <x v="9"/>
    <x v="9"/>
    <s v="Roland"/>
    <s v="Mendel"/>
    <s v="Mendel, Roland"/>
    <s v="Mendel, Roland"/>
    <x v="0"/>
    <s v="no"/>
    <s v="moderate"/>
    <s v="ERNSH"/>
    <n v="11008"/>
    <x v="44"/>
    <x v="44"/>
    <s v="ERNSH_11008_Rössle Sauerkraut"/>
    <s v="11008"/>
    <s v="11008"/>
    <s v="Rössle Sauerkraut"/>
    <n v="45.6"/>
    <x v="21"/>
    <x v="2"/>
    <n v="3032.3999999999996"/>
    <x v="1"/>
    <d v="1996-05-08T00:00:00"/>
    <s v=""/>
    <s v="2nd Q 1996"/>
  </r>
  <r>
    <x v="9"/>
    <x v="9"/>
    <s v="Roland"/>
    <s v="Mendel"/>
    <s v="Mendel, Roland"/>
    <s v="Mendel, Roland"/>
    <x v="0"/>
    <s v="no"/>
    <s v="no"/>
    <s v="ERNSH"/>
    <n v="11008"/>
    <x v="53"/>
    <x v="53"/>
    <s v="ERNSH_11008_Sasquatch Ale"/>
    <s v="11008"/>
    <s v="11008"/>
    <s v="Sasquatch Ale"/>
    <n v="14"/>
    <x v="42"/>
    <x v="2"/>
    <n v="1197"/>
    <x v="1"/>
    <d v="1996-05-08T00:00:00"/>
    <s v=""/>
    <s v="2nd Q 1996"/>
  </r>
  <r>
    <x v="9"/>
    <x v="9"/>
    <s v="Roland"/>
    <s v="Mendel"/>
    <s v="Mendel, Roland"/>
    <s v="Mendel, Roland"/>
    <x v="0"/>
    <s v="no"/>
    <s v="no"/>
    <s v="ERNSH"/>
    <n v="11008"/>
    <x v="42"/>
    <x v="42"/>
    <s v="ERNSH_11008_Fløtemysost"/>
    <s v="11008"/>
    <s v="11008"/>
    <s v="Fløtemysost"/>
    <n v="21.5"/>
    <x v="11"/>
    <x v="0"/>
    <n v="451.5"/>
    <x v="1"/>
    <d v="1996-05-08T00:00:00"/>
    <s v=""/>
    <s v="2nd Q 1996"/>
  </r>
  <r>
    <x v="36"/>
    <x v="36"/>
    <s v="José"/>
    <s v="Pedro Freyre"/>
    <s v="Pedro Freyre, José"/>
    <s v="Pedro Freyre, José"/>
    <x v="0"/>
    <s v="no"/>
    <s v="no"/>
    <s v="GODOS"/>
    <n v="11009"/>
    <x v="15"/>
    <x v="15"/>
    <s v="GODOS_11009_Guaraná Fantástica"/>
    <s v="11009"/>
    <s v="11009"/>
    <s v="Guaraná Fantástica"/>
    <n v="4.5"/>
    <x v="0"/>
    <x v="0"/>
    <n v="54"/>
    <x v="1"/>
    <d v="1996-05-08T00:00:00"/>
    <s v=""/>
    <s v="2nd Q 1996"/>
  </r>
  <r>
    <x v="36"/>
    <x v="36"/>
    <s v="José"/>
    <s v="Pedro Freyre"/>
    <s v="Pedro Freyre, José"/>
    <s v="Pedro Freyre, José"/>
    <x v="0"/>
    <s v="no"/>
    <s v="no"/>
    <s v="GODOS"/>
    <n v="11009"/>
    <x v="20"/>
    <x v="20"/>
    <s v="GODOS_11009_Inlagd Sill"/>
    <s v="11009"/>
    <s v="11009"/>
    <s v="Inlagd Sill"/>
    <n v="19"/>
    <x v="27"/>
    <x v="4"/>
    <n v="256.5"/>
    <x v="1"/>
    <d v="1996-05-08T00:00:00"/>
    <s v=""/>
    <s v="2nd Q 1996"/>
  </r>
  <r>
    <x v="36"/>
    <x v="36"/>
    <s v="José"/>
    <s v="Pedro Freyre"/>
    <s v="Pedro Freyre, José"/>
    <s v="Pedro Freyre, José"/>
    <x v="0"/>
    <s v="no"/>
    <s v="no"/>
    <s v="GODOS"/>
    <n v="11009"/>
    <x v="11"/>
    <x v="11"/>
    <s v="GODOS_11009_Camembert Pierrot"/>
    <s v="11009"/>
    <s v="11009"/>
    <s v="Camembert Pierrot"/>
    <n v="34"/>
    <x v="3"/>
    <x v="0"/>
    <n v="306"/>
    <x v="1"/>
    <d v="1996-05-08T00:00:00"/>
    <s v=""/>
    <s v="2nd Q 1996"/>
  </r>
  <r>
    <x v="30"/>
    <x v="30"/>
    <s v="Maurizio"/>
    <s v="Moroni"/>
    <s v="Moroni, Maurizio"/>
    <s v="Moroni, Maurizio"/>
    <x v="0"/>
    <s v="no"/>
    <s v="no"/>
    <s v="REGGC"/>
    <n v="11010"/>
    <x v="32"/>
    <x v="32"/>
    <s v="REGGC_11010_Uncle Bob's Organic Dried Pears"/>
    <s v="11010"/>
    <s v="11010"/>
    <s v="Uncle Bob's Organic Dried Pears"/>
    <n v="30"/>
    <x v="8"/>
    <x v="0"/>
    <n v="600"/>
    <x v="1"/>
    <d v="1996-05-09T00:00:00"/>
    <s v=""/>
    <s v="2nd Q 1996"/>
  </r>
  <r>
    <x v="30"/>
    <x v="30"/>
    <s v="Maurizio"/>
    <s v="Moroni"/>
    <s v="Moroni, Maurizio"/>
    <s v="Moroni, Maurizio"/>
    <x v="0"/>
    <s v="no"/>
    <s v="no"/>
    <s v="REGGC"/>
    <n v="11010"/>
    <x v="15"/>
    <x v="15"/>
    <s v="REGGC_11010_Guaraná Fantástica"/>
    <s v="11010"/>
    <s v="11010"/>
    <s v="Guaraná Fantástica"/>
    <n v="4.5"/>
    <x v="1"/>
    <x v="0"/>
    <n v="45"/>
    <x v="1"/>
    <d v="1996-05-09T00:00:00"/>
    <s v=""/>
    <s v="2nd Q 1996"/>
  </r>
  <r>
    <x v="85"/>
    <x v="85"/>
    <s v="Maria"/>
    <s v="Anders"/>
    <s v="Anders, Maria"/>
    <s v="Anders, Maria"/>
    <x v="0"/>
    <s v="no"/>
    <s v="no"/>
    <s v="ALFKI"/>
    <n v="11011"/>
    <x v="64"/>
    <x v="64"/>
    <s v="ALFKI_11011_Escargots de Bourgogne"/>
    <s v="11011"/>
    <s v="11011"/>
    <s v="Escargots de Bourgogne"/>
    <n v="13.25"/>
    <x v="4"/>
    <x v="2"/>
    <n v="503.5"/>
    <x v="1"/>
    <d v="1996-05-09T00:00:00"/>
    <s v=""/>
    <s v="2nd Q 1996"/>
  </r>
  <r>
    <x v="85"/>
    <x v="85"/>
    <s v="Maria"/>
    <s v="Anders"/>
    <s v="Anders, Maria"/>
    <s v="Anders, Maria"/>
    <x v="0"/>
    <s v="no"/>
    <s v="no"/>
    <s v="ALFKI"/>
    <n v="11011"/>
    <x v="42"/>
    <x v="42"/>
    <s v="ALFKI_11011_Fløtemysost"/>
    <s v="11011"/>
    <s v="11011"/>
    <s v="Fløtemysost"/>
    <n v="21.5"/>
    <x v="8"/>
    <x v="0"/>
    <n v="430"/>
    <x v="1"/>
    <d v="1996-05-09T00:00:00"/>
    <s v=""/>
    <s v="2nd Q 1996"/>
  </r>
  <r>
    <x v="17"/>
    <x v="17"/>
    <s v="Peter"/>
    <s v="Franken"/>
    <s v="Franken, Peter"/>
    <s v="Franken, Peter"/>
    <x v="0"/>
    <s v="no"/>
    <s v="no"/>
    <s v="FRANK"/>
    <n v="11012"/>
    <x v="49"/>
    <x v="49"/>
    <s v="FRANK_11012_Teatime Chocolate Biscuits"/>
    <s v="11012"/>
    <s v="11012"/>
    <s v="Teatime Chocolate Biscuits"/>
    <n v="9.1999999999999993"/>
    <x v="13"/>
    <x v="2"/>
    <n v="436.99999999999994"/>
    <x v="1"/>
    <d v="1996-05-09T00:00:00"/>
    <s v=""/>
    <s v="2nd Q 1996"/>
  </r>
  <r>
    <x v="17"/>
    <x v="17"/>
    <s v="Peter"/>
    <s v="Franken"/>
    <s v="Franken, Peter"/>
    <s v="Franken, Peter"/>
    <x v="0"/>
    <s v="no"/>
    <s v="no"/>
    <s v="FRANK"/>
    <n v="11012"/>
    <x v="11"/>
    <x v="11"/>
    <s v="FRANK_11012_Camembert Pierrot"/>
    <s v="11012"/>
    <s v="11012"/>
    <s v="Camembert Pierrot"/>
    <n v="34"/>
    <x v="20"/>
    <x v="2"/>
    <n v="1162.8"/>
    <x v="1"/>
    <d v="1996-05-09T00:00:00"/>
    <s v=""/>
    <s v="2nd Q 1996"/>
  </r>
  <r>
    <x v="17"/>
    <x v="17"/>
    <s v="Peter"/>
    <s v="Franken"/>
    <s v="Franken, Peter"/>
    <s v="Franken, Peter"/>
    <x v="0"/>
    <s v="no"/>
    <s v="no"/>
    <s v="FRANK"/>
    <n v="11012"/>
    <x v="42"/>
    <x v="42"/>
    <s v="FRANK_11012_Fløtemysost"/>
    <s v="11012"/>
    <s v="11012"/>
    <s v="Fløtemysost"/>
    <n v="21.5"/>
    <x v="18"/>
    <x v="2"/>
    <n v="1225.5"/>
    <x v="1"/>
    <d v="1996-05-09T00:00:00"/>
    <s v=""/>
    <s v="2nd Q 1996"/>
  </r>
  <r>
    <x v="27"/>
    <x v="27"/>
    <s v="Alejandra"/>
    <s v="Camino"/>
    <s v="Camino, Alejandra"/>
    <s v="Camino, Alejandra"/>
    <x v="0"/>
    <s v="no"/>
    <s v="no"/>
    <s v="ROMEY"/>
    <n v="11013"/>
    <x v="70"/>
    <x v="70"/>
    <s v="ROMEY_11013_Tunnbröd"/>
    <s v="11013"/>
    <s v="11013"/>
    <s v="Tunnbröd"/>
    <n v="9"/>
    <x v="1"/>
    <x v="0"/>
    <n v="90"/>
    <x v="1"/>
    <d v="1996-05-09T00:00:00"/>
    <s v=""/>
    <s v="2nd Q 1996"/>
  </r>
  <r>
    <x v="27"/>
    <x v="27"/>
    <s v="Alejandra"/>
    <s v="Camino"/>
    <s v="Camino, Alejandra"/>
    <s v="Camino, Alejandra"/>
    <x v="0"/>
    <s v="no"/>
    <s v="no"/>
    <s v="ROMEY"/>
    <n v="11013"/>
    <x v="1"/>
    <x v="1"/>
    <s v="ROMEY_11013_Singaporean Hokkien Fried Mee"/>
    <s v="11013"/>
    <s v="11013"/>
    <s v="Singaporean Hokkien Fried Mee"/>
    <n v="14"/>
    <x v="22"/>
    <x v="0"/>
    <n v="56"/>
    <x v="1"/>
    <d v="1996-05-09T00:00:00"/>
    <s v=""/>
    <s v="2nd Q 1996"/>
  </r>
  <r>
    <x v="27"/>
    <x v="27"/>
    <s v="Alejandra"/>
    <s v="Camino"/>
    <s v="Camino, Alejandra"/>
    <s v="Camino, Alejandra"/>
    <x v="0"/>
    <s v="no"/>
    <s v="no"/>
    <s v="ROMEY"/>
    <n v="11013"/>
    <x v="73"/>
    <x v="73"/>
    <s v="ROMEY_11013_Røgede sild"/>
    <s v="11013"/>
    <s v="11013"/>
    <s v="Røgede sild"/>
    <n v="9.5"/>
    <x v="8"/>
    <x v="0"/>
    <n v="190"/>
    <x v="1"/>
    <d v="1996-05-09T00:00:00"/>
    <s v=""/>
    <s v="2nd Q 1996"/>
  </r>
  <r>
    <x v="27"/>
    <x v="27"/>
    <s v="Alejandra"/>
    <s v="Camino"/>
    <s v="Camino, Alejandra"/>
    <s v="Camino, Alejandra"/>
    <x v="0"/>
    <s v="no"/>
    <s v="no"/>
    <s v="ROMEY"/>
    <n v="11013"/>
    <x v="56"/>
    <x v="56"/>
    <s v="ROMEY_11013_Scottish Longbreads"/>
    <s v="11013"/>
    <s v="11013"/>
    <s v="Scottish Longbreads"/>
    <n v="12.5"/>
    <x v="17"/>
    <x v="0"/>
    <n v="25"/>
    <x v="1"/>
    <d v="1996-05-09T00:00:00"/>
    <s v=""/>
    <s v="2nd Q 1996"/>
  </r>
  <r>
    <x v="67"/>
    <x v="67"/>
    <s v="Felipe"/>
    <s v="Izquierdo"/>
    <s v="Izquierdo, Felipe"/>
    <s v="Izquierdo, Felipe"/>
    <x v="0"/>
    <s v="no"/>
    <s v="no"/>
    <s v="LINOD"/>
    <n v="11014"/>
    <x v="5"/>
    <x v="5"/>
    <s v="LINOD_11014_Jack's New England Clam Chowder"/>
    <s v="11014"/>
    <s v="11014"/>
    <s v="Jack's New England Clam Chowder"/>
    <n v="9.65"/>
    <x v="19"/>
    <x v="5"/>
    <n v="243.18"/>
    <x v="1"/>
    <d v="1996-05-10T00:00:00"/>
    <s v=""/>
    <s v="2nd Q 1996"/>
  </r>
  <r>
    <x v="65"/>
    <x v="65"/>
    <s v="Jonas"/>
    <s v="Bergulfsen"/>
    <s v="Bergulfsen, Jonas"/>
    <s v="Bergulfsen, Jonas"/>
    <x v="0"/>
    <s v="no"/>
    <s v="no"/>
    <s v="SANTG"/>
    <n v="11015"/>
    <x v="34"/>
    <x v="34"/>
    <s v="SANTG_11015_Nord-Ost Matjeshering"/>
    <s v="11015"/>
    <s v="11015"/>
    <s v="Nord-Ost Matjeshering"/>
    <n v="25.89"/>
    <x v="6"/>
    <x v="0"/>
    <n v="388.35"/>
    <x v="1"/>
    <d v="1996-05-10T00:00:00"/>
    <s v=""/>
    <s v="2nd Q 1996"/>
  </r>
  <r>
    <x v="65"/>
    <x v="65"/>
    <s v="Jonas"/>
    <s v="Bergulfsen"/>
    <s v="Bergulfsen, Jonas"/>
    <s v="Bergulfsen, Jonas"/>
    <x v="0"/>
    <s v="no"/>
    <s v="no"/>
    <s v="SANTG"/>
    <n v="11015"/>
    <x v="23"/>
    <x v="23"/>
    <s v="SANTG_11015_Original Frankfurter grüne Soße"/>
    <s v="11015"/>
    <s v="11015"/>
    <s v="Original Frankfurter grüne Soße"/>
    <n v="13"/>
    <x v="27"/>
    <x v="0"/>
    <n v="234"/>
    <x v="1"/>
    <d v="1996-05-10T00:00:00"/>
    <s v=""/>
    <s v="2nd Q 1996"/>
  </r>
  <r>
    <x v="55"/>
    <x v="55"/>
    <s v="Thomas"/>
    <s v="Hardy"/>
    <s v="Hardy, Thomas"/>
    <s v="Hardy, Thomas"/>
    <x v="0"/>
    <s v="no"/>
    <s v="no"/>
    <s v="AROUT"/>
    <n v="11016"/>
    <x v="12"/>
    <x v="12"/>
    <s v="AROUT_11016_Gorgonzola Telino"/>
    <s v="11016"/>
    <s v="11016"/>
    <s v="Gorgonzola Telino"/>
    <n v="12.5"/>
    <x v="6"/>
    <x v="0"/>
    <n v="187.5"/>
    <x v="1"/>
    <d v="1996-05-10T00:00:00"/>
    <s v=""/>
    <s v="2nd Q 1996"/>
  </r>
  <r>
    <x v="55"/>
    <x v="55"/>
    <s v="Thomas"/>
    <s v="Hardy"/>
    <s v="Hardy, Thomas"/>
    <s v="Hardy, Thomas"/>
    <x v="0"/>
    <s v="no"/>
    <s v="no"/>
    <s v="AROUT"/>
    <n v="11016"/>
    <x v="20"/>
    <x v="20"/>
    <s v="AROUT_11016_Inlagd Sill"/>
    <s v="11016"/>
    <s v="11016"/>
    <s v="Inlagd Sill"/>
    <n v="19"/>
    <x v="16"/>
    <x v="0"/>
    <n v="304"/>
    <x v="1"/>
    <d v="1996-05-10T00:00:00"/>
    <s v=""/>
    <s v="2nd Q 1996"/>
  </r>
  <r>
    <x v="9"/>
    <x v="9"/>
    <s v="Roland"/>
    <s v="Mendel"/>
    <s v="Mendel, Roland"/>
    <s v="Mendel, Roland"/>
    <x v="0"/>
    <s v="no"/>
    <s v="no"/>
    <s v="ERNSH"/>
    <n v="11017"/>
    <x v="57"/>
    <x v="57"/>
    <s v="ERNSH_11017_Aniseed Syrup"/>
    <s v="11017"/>
    <s v="11017"/>
    <s v="Aniseed Syrup"/>
    <n v="10"/>
    <x v="9"/>
    <x v="0"/>
    <n v="250"/>
    <x v="1"/>
    <d v="1996-05-13T00:00:00"/>
    <s v=""/>
    <s v="2nd Q 1996"/>
  </r>
  <r>
    <x v="9"/>
    <x v="9"/>
    <s v="Roland"/>
    <s v="Mendel"/>
    <s v="Mendel, Roland"/>
    <s v="Mendel, Roland"/>
    <x v="1"/>
    <s v="yes"/>
    <s v="yes"/>
    <s v="ERNSH"/>
    <n v="11017"/>
    <x v="21"/>
    <x v="21"/>
    <s v="ERNSH_11017_Raclette Courdavault"/>
    <s v="11017"/>
    <s v="11017"/>
    <s v="Raclette Courdavault"/>
    <n v="55"/>
    <x v="46"/>
    <x v="0"/>
    <n v="6050"/>
    <x v="1"/>
    <d v="1996-05-13T00:00:00"/>
    <s v=""/>
    <s v="2nd Q 1996"/>
  </r>
  <r>
    <x v="9"/>
    <x v="9"/>
    <s v="Roland"/>
    <s v="Mendel"/>
    <s v="Mendel, Roland"/>
    <s v="Mendel, Roland"/>
    <x v="0"/>
    <s v="no"/>
    <s v="no"/>
    <s v="ERNSH"/>
    <n v="11017"/>
    <x v="30"/>
    <x v="30"/>
    <s v="ERNSH_11017_Outback Lager"/>
    <s v="11017"/>
    <s v="11017"/>
    <s v="Outback Lager"/>
    <n v="15"/>
    <x v="12"/>
    <x v="0"/>
    <n v="450"/>
    <x v="1"/>
    <d v="1996-05-13T00:00:00"/>
    <s v=""/>
    <s v="2nd Q 1996"/>
  </r>
  <r>
    <x v="38"/>
    <x v="38"/>
    <s v="Fran"/>
    <s v="Wilson"/>
    <s v="Wilson, Fran"/>
    <s v="Wilson, Fran"/>
    <x v="0"/>
    <s v="no"/>
    <s v="no"/>
    <s v="LONEP"/>
    <n v="11018"/>
    <x v="36"/>
    <x v="36"/>
    <s v="LONEP_11018_Queso Manchego La Pastora"/>
    <s v="11018"/>
    <s v="11018"/>
    <s v="Queso Manchego La Pastora"/>
    <n v="38"/>
    <x v="8"/>
    <x v="0"/>
    <n v="760"/>
    <x v="1"/>
    <d v="1996-05-13T00:00:00"/>
    <s v=""/>
    <s v="2nd Q 1996"/>
  </r>
  <r>
    <x v="38"/>
    <x v="38"/>
    <s v="Fran"/>
    <s v="Wilson"/>
    <s v="Wilson, Fran"/>
    <s v="Wilson, Fran"/>
    <x v="0"/>
    <s v="no"/>
    <s v="no"/>
    <s v="LONEP"/>
    <n v="11018"/>
    <x v="59"/>
    <x v="59"/>
    <s v="LONEP_11018_Carnarvon Tigers"/>
    <s v="11018"/>
    <s v="11018"/>
    <s v="Carnarvon Tigers"/>
    <n v="62.5"/>
    <x v="1"/>
    <x v="0"/>
    <n v="625"/>
    <x v="1"/>
    <d v="1996-05-13T00:00:00"/>
    <s v=""/>
    <s v="2nd Q 1996"/>
  </r>
  <r>
    <x v="38"/>
    <x v="38"/>
    <s v="Fran"/>
    <s v="Wilson"/>
    <s v="Wilson, Fran"/>
    <s v="Wilson, Fran"/>
    <x v="0"/>
    <s v="no"/>
    <s v="no"/>
    <s v="LONEP"/>
    <n v="11018"/>
    <x v="33"/>
    <x v="33"/>
    <s v="LONEP_11018_Gnocchi di nonna Alice"/>
    <s v="11018"/>
    <s v="11018"/>
    <s v="Gnocchi di nonna Alice"/>
    <n v="38"/>
    <x v="2"/>
    <x v="0"/>
    <n v="190"/>
    <x v="1"/>
    <d v="1996-05-13T00:00:00"/>
    <s v=""/>
    <s v="2nd Q 1996"/>
  </r>
  <r>
    <x v="73"/>
    <x v="73"/>
    <s v="Sergio"/>
    <s v="Gutiérrez"/>
    <s v="Gutiérrez, Sergio"/>
    <s v="Gutiérrez, Sergio"/>
    <x v="0"/>
    <s v="no"/>
    <s v="no"/>
    <s v="RANCH"/>
    <n v="11019"/>
    <x v="54"/>
    <x v="54"/>
    <s v="RANCH_11019_Spegesild"/>
    <s v="11019"/>
    <s v="11019"/>
    <s v="Spegesild"/>
    <n v="12"/>
    <x v="28"/>
    <x v="0"/>
    <n v="36"/>
    <x v="1"/>
    <d v="1996-05-13T00:00:00"/>
    <s v=""/>
    <s v="2nd Q 1996"/>
  </r>
  <r>
    <x v="73"/>
    <x v="73"/>
    <s v="Sergio"/>
    <s v="Gutiérrez"/>
    <s v="Gutiérrez, Sergio"/>
    <s v="Gutiérrez, Sergio"/>
    <x v="0"/>
    <s v="no"/>
    <s v="no"/>
    <s v="RANCH"/>
    <n v="11019"/>
    <x v="14"/>
    <x v="14"/>
    <s v="RANCH_11019_Maxilaku"/>
    <s v="11019"/>
    <s v="11019"/>
    <s v="Maxilaku"/>
    <n v="20"/>
    <x v="17"/>
    <x v="0"/>
    <n v="40"/>
    <x v="1"/>
    <d v="1996-05-13T00:00:00"/>
    <s v=""/>
    <s v="2nd Q 1996"/>
  </r>
  <r>
    <x v="11"/>
    <x v="11"/>
    <s v="Henriette"/>
    <s v="Pfalzheim"/>
    <s v="Pfalzheim, Henriette"/>
    <s v="Pfalzheim, Henriette"/>
    <x v="0"/>
    <s v="no"/>
    <s v="no"/>
    <s v="OTTIK"/>
    <n v="11020"/>
    <x v="41"/>
    <x v="41"/>
    <s v="OTTIK_11020_Ikura"/>
    <s v="11020"/>
    <s v="11020"/>
    <s v="Ikura"/>
    <n v="31"/>
    <x v="23"/>
    <x v="1"/>
    <n v="632.4"/>
    <x v="1"/>
    <d v="1996-05-14T00:00:00"/>
    <s v=""/>
    <s v="2nd Q 1996"/>
  </r>
  <r>
    <x v="21"/>
    <x v="21"/>
    <s v="Horst"/>
    <s v="Kloss"/>
    <s v="Kloss, Horst"/>
    <s v="Kloss, Horst"/>
    <x v="0"/>
    <s v="no"/>
    <s v="no"/>
    <s v="QUICK"/>
    <n v="11021"/>
    <x v="18"/>
    <x v="18"/>
    <s v="QUICK_11021_Chang"/>
    <s v="11021"/>
    <s v="11021"/>
    <s v="Chang"/>
    <n v="19"/>
    <x v="45"/>
    <x v="4"/>
    <n v="156.75"/>
    <x v="1"/>
    <d v="1996-05-14T00:00:00"/>
    <s v=""/>
    <s v="2nd Q 1996"/>
  </r>
  <r>
    <x v="21"/>
    <x v="21"/>
    <s v="Horst"/>
    <s v="Kloss"/>
    <s v="Kloss, Horst"/>
    <s v="Kloss, Horst"/>
    <x v="0"/>
    <s v="no"/>
    <s v="no"/>
    <s v="QUICK"/>
    <n v="11021"/>
    <x v="9"/>
    <x v="9"/>
    <s v="QUICK_11021_Sir Rodney's Marmalade"/>
    <s v="11021"/>
    <s v="11021"/>
    <s v="Sir Rodney's Marmalade"/>
    <n v="81"/>
    <x v="6"/>
    <x v="0"/>
    <n v="1215"/>
    <x v="1"/>
    <d v="1996-05-14T00:00:00"/>
    <s v=""/>
    <s v="2nd Q 1996"/>
  </r>
  <r>
    <x v="21"/>
    <x v="21"/>
    <s v="Horst"/>
    <s v="Kloss"/>
    <s v="Kloss, Horst"/>
    <s v="Kloss, Horst"/>
    <x v="0"/>
    <s v="no"/>
    <s v="no"/>
    <s v="QUICK"/>
    <n v="11021"/>
    <x v="68"/>
    <x v="68"/>
    <s v="QUICK_11021_Gumbär Gummibärchen"/>
    <s v="11021"/>
    <s v="11021"/>
    <s v="Gumbär Gummibärchen"/>
    <n v="31.23"/>
    <x v="53"/>
    <x v="0"/>
    <n v="1967.49"/>
    <x v="1"/>
    <d v="1996-05-14T00:00:00"/>
    <s v=""/>
    <s v="2nd Q 1996"/>
  </r>
  <r>
    <x v="21"/>
    <x v="21"/>
    <s v="Horst"/>
    <s v="Kloss"/>
    <s v="Kloss, Horst"/>
    <s v="Kloss, Horst"/>
    <x v="0"/>
    <s v="no"/>
    <s v="no"/>
    <s v="QUICK"/>
    <n v="11021"/>
    <x v="4"/>
    <x v="4"/>
    <s v="QUICK_11021_Manjimup Dried Apples"/>
    <s v="11021"/>
    <s v="11021"/>
    <s v="Manjimup Dried Apples"/>
    <n v="53"/>
    <x v="48"/>
    <x v="4"/>
    <n v="1749"/>
    <x v="1"/>
    <d v="1996-05-14T00:00:00"/>
    <s v=""/>
    <s v="2nd Q 1996"/>
  </r>
  <r>
    <x v="21"/>
    <x v="21"/>
    <s v="Horst"/>
    <s v="Kloss"/>
    <s v="Kloss, Horst"/>
    <s v="Kloss, Horst"/>
    <x v="0"/>
    <s v="no"/>
    <s v="no"/>
    <s v="QUICK"/>
    <n v="11021"/>
    <x v="2"/>
    <x v="2"/>
    <s v="QUICK_11021_Mozzarella di Giovanni"/>
    <s v="11021"/>
    <s v="11021"/>
    <s v="Mozzarella di Giovanni"/>
    <n v="34.799999999999997"/>
    <x v="5"/>
    <x v="0"/>
    <n v="1218"/>
    <x v="1"/>
    <d v="1996-05-14T00:00:00"/>
    <s v=""/>
    <s v="2nd Q 1996"/>
  </r>
  <r>
    <x v="2"/>
    <x v="2"/>
    <s v="Mario"/>
    <s v="Pontes"/>
    <s v="Pontes, Mario"/>
    <s v="Pontes, Mario"/>
    <x v="0"/>
    <s v="no"/>
    <s v="no"/>
    <s v="HANAR"/>
    <n v="11022"/>
    <x v="49"/>
    <x v="49"/>
    <s v="HANAR_11022_Teatime Chocolate Biscuits"/>
    <s v="11022"/>
    <s v="11022"/>
    <s v="Teatime Chocolate Biscuits"/>
    <n v="9.1999999999999993"/>
    <x v="5"/>
    <x v="0"/>
    <n v="322"/>
    <x v="1"/>
    <d v="1996-05-14T00:00:00"/>
    <s v=""/>
    <s v="2nd Q 1996"/>
  </r>
  <r>
    <x v="2"/>
    <x v="2"/>
    <s v="Mario"/>
    <s v="Pontes"/>
    <s v="Pontes, Mario"/>
    <s v="Pontes, Mario"/>
    <x v="0"/>
    <s v="no"/>
    <s v="no"/>
    <s v="HANAR"/>
    <n v="11022"/>
    <x v="60"/>
    <x v="60"/>
    <s v="HANAR_11022_Gudbrandsdalsost"/>
    <s v="11022"/>
    <s v="11022"/>
    <s v="Gudbrandsdalsost"/>
    <n v="36"/>
    <x v="12"/>
    <x v="0"/>
    <n v="1080"/>
    <x v="1"/>
    <d v="1996-05-14T00:00:00"/>
    <s v=""/>
    <s v="2nd Q 1996"/>
  </r>
  <r>
    <x v="31"/>
    <x v="31"/>
    <s v="Victoria"/>
    <s v="Ashworth"/>
    <s v="Ashworth, Victoria"/>
    <s v="Ashworth, Victoria"/>
    <x v="0"/>
    <s v="no"/>
    <s v="no"/>
    <s v="BSBEV"/>
    <n v="11023"/>
    <x v="32"/>
    <x v="32"/>
    <s v="BSBEV_11023_Uncle Bob's Organic Dried Pears"/>
    <s v="11023"/>
    <s v="11023"/>
    <s v="Uncle Bob's Organic Dried Pears"/>
    <n v="30"/>
    <x v="22"/>
    <x v="0"/>
    <n v="120"/>
    <x v="1"/>
    <d v="1996-05-14T00:00:00"/>
    <s v=""/>
    <s v="2nd Q 1996"/>
  </r>
  <r>
    <x v="31"/>
    <x v="31"/>
    <s v="Victoria"/>
    <s v="Ashworth"/>
    <s v="Ashworth, Victoria"/>
    <s v="Ashworth, Victoria"/>
    <x v="0"/>
    <s v="no"/>
    <s v="no"/>
    <s v="BSBEV"/>
    <n v="11023"/>
    <x v="40"/>
    <x v="40"/>
    <s v="BSBEV_11023_Ipoh Coffee"/>
    <s v="11023"/>
    <s v="11023"/>
    <s v="Ipoh Coffee"/>
    <n v="46"/>
    <x v="12"/>
    <x v="0"/>
    <n v="1380"/>
    <x v="1"/>
    <d v="1996-05-14T00:00:00"/>
    <s v=""/>
    <s v="2nd Q 1996"/>
  </r>
  <r>
    <x v="58"/>
    <x v="58"/>
    <s v="Ann"/>
    <s v="Devon"/>
    <s v="Devon, Ann"/>
    <s v="Devon, Ann"/>
    <x v="0"/>
    <s v="no"/>
    <s v="no"/>
    <s v="EASTC"/>
    <n v="11024"/>
    <x v="68"/>
    <x v="68"/>
    <s v="EASTC_11024_Gumbär Gummibärchen"/>
    <s v="11024"/>
    <s v="11024"/>
    <s v="Gumbär Gummibärchen"/>
    <n v="31.23"/>
    <x v="0"/>
    <x v="0"/>
    <n v="374.76"/>
    <x v="1"/>
    <d v="1996-05-15T00:00:00"/>
    <s v=""/>
    <s v="2nd Q 1996"/>
  </r>
  <r>
    <x v="58"/>
    <x v="58"/>
    <s v="Ann"/>
    <s v="Devon"/>
    <s v="Devon, Ann"/>
    <s v="Devon, Ann"/>
    <x v="0"/>
    <s v="no"/>
    <s v="no"/>
    <s v="EASTC"/>
    <n v="11024"/>
    <x v="10"/>
    <x v="10"/>
    <s v="EASTC_11024_Geitost"/>
    <s v="11024"/>
    <s v="11024"/>
    <s v="Geitost"/>
    <n v="2.5"/>
    <x v="12"/>
    <x v="0"/>
    <n v="75"/>
    <x v="1"/>
    <d v="1996-05-15T00:00:00"/>
    <s v=""/>
    <s v="2nd Q 1996"/>
  </r>
  <r>
    <x v="58"/>
    <x v="58"/>
    <s v="Ann"/>
    <s v="Devon"/>
    <s v="Devon, Ann"/>
    <s v="Devon, Ann"/>
    <x v="0"/>
    <s v="no"/>
    <s v="no"/>
    <s v="EASTC"/>
    <n v="11024"/>
    <x v="6"/>
    <x v="6"/>
    <s v="EASTC_11024_Louisiana Fiery Hot Pepper Sauce"/>
    <s v="11024"/>
    <s v="11024"/>
    <s v="Louisiana Fiery Hot Pepper Sauce"/>
    <n v="21.05"/>
    <x v="11"/>
    <x v="0"/>
    <n v="442.05"/>
    <x v="1"/>
    <d v="1996-05-15T00:00:00"/>
    <s v=""/>
    <s v="2nd Q 1996"/>
  </r>
  <r>
    <x v="58"/>
    <x v="58"/>
    <s v="Ann"/>
    <s v="Devon"/>
    <s v="Devon, Ann"/>
    <s v="Devon, Ann"/>
    <x v="0"/>
    <s v="no"/>
    <s v="no"/>
    <s v="EASTC"/>
    <n v="11024"/>
    <x v="42"/>
    <x v="42"/>
    <s v="EASTC_11024_Fløtemysost"/>
    <s v="11024"/>
    <s v="11024"/>
    <s v="Fløtemysost"/>
    <n v="21.5"/>
    <x v="13"/>
    <x v="0"/>
    <n v="1075"/>
    <x v="1"/>
    <d v="1996-05-15T00:00:00"/>
    <s v=""/>
    <s v="2nd Q 1996"/>
  </r>
  <r>
    <x v="16"/>
    <x v="16"/>
    <s v="Pirkko"/>
    <s v="Koskitalo"/>
    <s v="Koskitalo, Pirkko"/>
    <s v="Koskitalo, Pirkko"/>
    <x v="0"/>
    <s v="no"/>
    <s v="no"/>
    <s v="WARTH"/>
    <n v="11025"/>
    <x v="52"/>
    <x v="52"/>
    <s v="WARTH_11025_Chai"/>
    <s v="11025"/>
    <s v="11025"/>
    <s v="Chai"/>
    <n v="18"/>
    <x v="1"/>
    <x v="5"/>
    <n v="162"/>
    <x v="1"/>
    <d v="1996-05-15T00:00:00"/>
    <s v=""/>
    <s v="2nd Q 1996"/>
  </r>
  <r>
    <x v="16"/>
    <x v="16"/>
    <s v="Pirkko"/>
    <s v="Koskitalo"/>
    <s v="Koskitalo, Pirkko"/>
    <s v="Koskitalo, Pirkko"/>
    <x v="0"/>
    <s v="no"/>
    <s v="no"/>
    <s v="WARTH"/>
    <n v="11025"/>
    <x v="43"/>
    <x v="43"/>
    <s v="WARTH_11025_Konbu"/>
    <s v="11025"/>
    <s v="11025"/>
    <s v="Konbu"/>
    <n v="6"/>
    <x v="8"/>
    <x v="5"/>
    <n v="108"/>
    <x v="1"/>
    <d v="1996-05-15T00:00:00"/>
    <s v=""/>
    <s v="2nd Q 1996"/>
  </r>
  <r>
    <x v="70"/>
    <x v="70"/>
    <s v="Paolo"/>
    <s v="Accorti"/>
    <s v="Accorti, Paolo"/>
    <s v="Accorti, Paolo"/>
    <x v="0"/>
    <s v="no"/>
    <s v="no"/>
    <s v="FRANS"/>
    <n v="11026"/>
    <x v="59"/>
    <x v="59"/>
    <s v="FRANS_11026_Carnarvon Tigers"/>
    <s v="11026"/>
    <s v="11026"/>
    <s v="Carnarvon Tigers"/>
    <n v="62.5"/>
    <x v="26"/>
    <x v="0"/>
    <n v="500"/>
    <x v="1"/>
    <d v="1996-05-15T00:00:00"/>
    <s v=""/>
    <s v="2nd Q 1996"/>
  </r>
  <r>
    <x v="70"/>
    <x v="70"/>
    <s v="Paolo"/>
    <s v="Accorti"/>
    <s v="Accorti, Paolo"/>
    <s v="Accorti, Paolo"/>
    <x v="0"/>
    <s v="no"/>
    <s v="no"/>
    <s v="FRANS"/>
    <n v="11026"/>
    <x v="4"/>
    <x v="4"/>
    <s v="FRANS_11026_Manjimup Dried Apples"/>
    <s v="11026"/>
    <s v="11026"/>
    <s v="Manjimup Dried Apples"/>
    <n v="53"/>
    <x v="1"/>
    <x v="0"/>
    <n v="530"/>
    <x v="1"/>
    <d v="1996-05-15T00:00:00"/>
    <s v=""/>
    <s v="2nd Q 1996"/>
  </r>
  <r>
    <x v="66"/>
    <x v="66"/>
    <s v="Elizabeth"/>
    <s v="Lincoln"/>
    <s v="Lincoln, Elizabeth"/>
    <s v="Lincoln, Elizabeth"/>
    <x v="0"/>
    <s v="no"/>
    <s v="no"/>
    <s v="BOTTM"/>
    <n v="11027"/>
    <x v="15"/>
    <x v="15"/>
    <s v="BOTTM_11027_Guaraná Fantástica"/>
    <s v="11027"/>
    <s v="11027"/>
    <s v="Guaraná Fantástica"/>
    <n v="4.5"/>
    <x v="12"/>
    <x v="4"/>
    <n v="101.25"/>
    <x v="1"/>
    <d v="1996-05-16T00:00:00"/>
    <s v=""/>
    <s v="2nd Q 1996"/>
  </r>
  <r>
    <x v="66"/>
    <x v="66"/>
    <s v="Elizabeth"/>
    <s v="Lincoln"/>
    <s v="Lincoln, Elizabeth"/>
    <s v="Lincoln, Elizabeth"/>
    <x v="0"/>
    <s v="no"/>
    <s v="no"/>
    <s v="BOTTM"/>
    <n v="11027"/>
    <x v="29"/>
    <x v="29"/>
    <s v="BOTTM_11027_Tarte au sucre"/>
    <s v="11027"/>
    <s v="11027"/>
    <s v="Tarte au sucre"/>
    <n v="49.3"/>
    <x v="11"/>
    <x v="4"/>
    <n v="776.47499999999991"/>
    <x v="1"/>
    <d v="1996-05-16T00:00:00"/>
    <s v=""/>
    <s v="2nd Q 1996"/>
  </r>
  <r>
    <x v="44"/>
    <x v="44"/>
    <s v="Philip"/>
    <s v="Cramer"/>
    <s v="Cramer, Philip"/>
    <s v="Cramer, Philip"/>
    <x v="0"/>
    <s v="no"/>
    <s v="no"/>
    <s v="KOENE"/>
    <n v="11028"/>
    <x v="16"/>
    <x v="16"/>
    <s v="KOENE_11028_Pâté chinois"/>
    <s v="11028"/>
    <s v="11028"/>
    <s v="Pâté chinois"/>
    <n v="24"/>
    <x v="5"/>
    <x v="0"/>
    <n v="840"/>
    <x v="1"/>
    <d v="1996-05-16T00:00:00"/>
    <s v=""/>
    <s v="2nd Q 1996"/>
  </r>
  <r>
    <x v="44"/>
    <x v="44"/>
    <s v="Philip"/>
    <s v="Cramer"/>
    <s v="Cramer, Philip"/>
    <s v="Cramer, Philip"/>
    <x v="0"/>
    <s v="no"/>
    <s v="no"/>
    <s v="KOENE"/>
    <n v="11028"/>
    <x v="21"/>
    <x v="21"/>
    <s v="KOENE_11028_Raclette Courdavault"/>
    <s v="11028"/>
    <s v="11028"/>
    <s v="Raclette Courdavault"/>
    <n v="55"/>
    <x v="23"/>
    <x v="0"/>
    <n v="1320"/>
    <x v="1"/>
    <d v="1996-05-16T00:00:00"/>
    <s v=""/>
    <s v="2nd Q 1996"/>
  </r>
  <r>
    <x v="5"/>
    <x v="5"/>
    <s v="Yang"/>
    <s v="Wang"/>
    <s v="Wang, Yang"/>
    <s v="Wang, Yang"/>
    <x v="0"/>
    <s v="no"/>
    <s v="no"/>
    <s v="CHOPS"/>
    <n v="11029"/>
    <x v="33"/>
    <x v="33"/>
    <s v="CHOPS_11029_Gnocchi di nonna Alice"/>
    <s v="11029"/>
    <s v="11029"/>
    <s v="Gnocchi di nonna Alice"/>
    <n v="38"/>
    <x v="8"/>
    <x v="0"/>
    <n v="760"/>
    <x v="1"/>
    <d v="1996-05-16T00:00:00"/>
    <s v=""/>
    <s v="2nd Q 1996"/>
  </r>
  <r>
    <x v="5"/>
    <x v="5"/>
    <s v="Yang"/>
    <s v="Wang"/>
    <s v="Wang, Yang"/>
    <s v="Wang, Yang"/>
    <x v="0"/>
    <s v="no"/>
    <s v="no"/>
    <s v="CHOPS"/>
    <n v="11029"/>
    <x v="46"/>
    <x v="46"/>
    <s v="CHOPS_11029_Vegie-spread"/>
    <s v="11029"/>
    <s v="11029"/>
    <s v="Vegie-spread"/>
    <n v="43.9"/>
    <x v="0"/>
    <x v="0"/>
    <n v="526.79999999999995"/>
    <x v="1"/>
    <d v="1996-05-16T00:00:00"/>
    <s v=""/>
    <s v="2nd Q 1996"/>
  </r>
  <r>
    <x v="45"/>
    <x v="45"/>
    <s v="Jose"/>
    <s v="Pavarotti"/>
    <s v="Pavarotti, Jose"/>
    <s v="Pavarotti, Jose"/>
    <x v="0"/>
    <s v="no"/>
    <s v="no"/>
    <s v="SAVEA"/>
    <n v="11030"/>
    <x v="18"/>
    <x v="18"/>
    <s v="SAVEA_11030_Chang"/>
    <s v="11030"/>
    <s v="11030"/>
    <s v="Chang"/>
    <n v="19"/>
    <x v="30"/>
    <x v="4"/>
    <n v="1425"/>
    <x v="1"/>
    <d v="1996-05-17T00:00:00"/>
    <s v=""/>
    <s v="2nd Q 1996"/>
  </r>
  <r>
    <x v="45"/>
    <x v="45"/>
    <s v="Jose"/>
    <s v="Pavarotti"/>
    <s v="Pavarotti, Jose"/>
    <s v="Pavarotti, Jose"/>
    <x v="0"/>
    <s v="no"/>
    <s v="no"/>
    <s v="SAVEA"/>
    <n v="11030"/>
    <x v="25"/>
    <x v="25"/>
    <s v="SAVEA_11030_Chef Anton's Gumbo Mix"/>
    <s v="11030"/>
    <s v="11030"/>
    <s v="Chef Anton's Gumbo Mix"/>
    <n v="21.35"/>
    <x v="21"/>
    <x v="0"/>
    <n v="1494.5"/>
    <x v="1"/>
    <d v="1996-05-17T00:00:00"/>
    <s v=""/>
    <s v="2nd Q 1996"/>
  </r>
  <r>
    <x v="45"/>
    <x v="45"/>
    <s v="Jose"/>
    <s v="Pavarotti"/>
    <s v="Pavarotti, Jose"/>
    <s v="Pavarotti, Jose"/>
    <x v="1"/>
    <s v="yes"/>
    <s v="yes"/>
    <s v="SAVEA"/>
    <n v="11030"/>
    <x v="39"/>
    <x v="39"/>
    <s v="SAVEA_11030_Thüringer Rostbratwurst"/>
    <s v="11030"/>
    <s v="11030"/>
    <s v="Thüringer Rostbratwurst"/>
    <n v="123.79"/>
    <x v="18"/>
    <x v="4"/>
    <n v="5570.55"/>
    <x v="1"/>
    <d v="1996-05-17T00:00:00"/>
    <s v=""/>
    <s v="2nd Q 1996"/>
  </r>
  <r>
    <x v="45"/>
    <x v="45"/>
    <s v="Jose"/>
    <s v="Pavarotti"/>
    <s v="Pavarotti, Jose"/>
    <s v="Pavarotti, Jose"/>
    <x v="1"/>
    <s v="yes"/>
    <s v="yes"/>
    <s v="SAVEA"/>
    <n v="11030"/>
    <x v="21"/>
    <x v="21"/>
    <s v="SAVEA_11030_Raclette Courdavault"/>
    <s v="11030"/>
    <s v="11030"/>
    <s v="Raclette Courdavault"/>
    <n v="55"/>
    <x v="30"/>
    <x v="4"/>
    <n v="4125"/>
    <x v="1"/>
    <d v="1996-05-17T00:00:00"/>
    <s v=""/>
    <s v="2nd Q 1996"/>
  </r>
  <r>
    <x v="45"/>
    <x v="45"/>
    <s v="Jose"/>
    <s v="Pavarotti"/>
    <s v="Pavarotti, Jose"/>
    <s v="Pavarotti, Jose"/>
    <x v="0"/>
    <s v="no"/>
    <s v="no"/>
    <s v="SAVEA"/>
    <n v="11031"/>
    <x v="52"/>
    <x v="52"/>
    <s v="SAVEA_11031_Chai"/>
    <s v="11031"/>
    <s v="11031"/>
    <s v="Chai"/>
    <n v="18"/>
    <x v="29"/>
    <x v="0"/>
    <n v="810"/>
    <x v="1"/>
    <d v="1996-05-17T00:00:00"/>
    <s v=""/>
    <s v="2nd Q 1996"/>
  </r>
  <r>
    <x v="45"/>
    <x v="45"/>
    <s v="Jose"/>
    <s v="Pavarotti"/>
    <s v="Pavarotti, Jose"/>
    <s v="Pavarotti, Jose"/>
    <x v="0"/>
    <s v="no"/>
    <s v="no"/>
    <s v="SAVEA"/>
    <n v="11031"/>
    <x v="43"/>
    <x v="43"/>
    <s v="SAVEA_11031_Konbu"/>
    <s v="11031"/>
    <s v="11031"/>
    <s v="Konbu"/>
    <n v="6"/>
    <x v="32"/>
    <x v="0"/>
    <n v="480"/>
    <x v="1"/>
    <d v="1996-05-17T00:00:00"/>
    <s v=""/>
    <s v="2nd Q 1996"/>
  </r>
  <r>
    <x v="45"/>
    <x v="45"/>
    <s v="Jose"/>
    <s v="Pavarotti"/>
    <s v="Pavarotti, Jose"/>
    <s v="Pavarotti, Jose"/>
    <x v="0"/>
    <s v="no"/>
    <s v="no"/>
    <s v="SAVEA"/>
    <n v="11031"/>
    <x v="15"/>
    <x v="15"/>
    <s v="SAVEA_11031_Guaraná Fantástica"/>
    <s v="11031"/>
    <s v="11031"/>
    <s v="Guaraná Fantástica"/>
    <n v="4.5"/>
    <x v="11"/>
    <x v="0"/>
    <n v="94.5"/>
    <x v="1"/>
    <d v="1996-05-17T00:00:00"/>
    <s v=""/>
    <s v="2nd Q 1996"/>
  </r>
  <r>
    <x v="45"/>
    <x v="45"/>
    <s v="Jose"/>
    <s v="Pavarotti"/>
    <s v="Pavarotti, Jose"/>
    <s v="Pavarotti, Jose"/>
    <x v="0"/>
    <s v="no"/>
    <s v="no"/>
    <s v="SAVEA"/>
    <n v="11031"/>
    <x v="58"/>
    <x v="58"/>
    <s v="SAVEA_11031_Wimmers gute Semmelknödel"/>
    <s v="11031"/>
    <s v="11031"/>
    <s v="Wimmers gute Semmelknödel"/>
    <n v="33.25"/>
    <x v="8"/>
    <x v="0"/>
    <n v="665"/>
    <x v="1"/>
    <d v="1996-05-17T00:00:00"/>
    <s v=""/>
    <s v="2nd Q 1996"/>
  </r>
  <r>
    <x v="45"/>
    <x v="45"/>
    <s v="Jose"/>
    <s v="Pavarotti"/>
    <s v="Pavarotti, Jose"/>
    <s v="Pavarotti, Jose"/>
    <x v="0"/>
    <s v="no"/>
    <s v="no"/>
    <s v="SAVEA"/>
    <n v="11031"/>
    <x v="42"/>
    <x v="42"/>
    <s v="SAVEA_11031_Fløtemysost"/>
    <s v="11031"/>
    <s v="11031"/>
    <s v="Fløtemysost"/>
    <n v="21.5"/>
    <x v="16"/>
    <x v="0"/>
    <n v="344"/>
    <x v="1"/>
    <d v="1996-05-17T00:00:00"/>
    <s v=""/>
    <s v="2nd Q 1996"/>
  </r>
  <r>
    <x v="19"/>
    <x v="19"/>
    <s v="Karl"/>
    <s v="Jablonski"/>
    <s v="Jablonski, Karl"/>
    <s v="Jablonski, Karl"/>
    <x v="0"/>
    <s v="no"/>
    <s v="no"/>
    <s v="WHITC"/>
    <n v="11032"/>
    <x v="20"/>
    <x v="20"/>
    <s v="WHITC_11032_Inlagd Sill"/>
    <s v="11032"/>
    <s v="11032"/>
    <s v="Inlagd Sill"/>
    <n v="19"/>
    <x v="5"/>
    <x v="0"/>
    <n v="665"/>
    <x v="1"/>
    <d v="1996-05-17T00:00:00"/>
    <s v=""/>
    <s v="2nd Q 1996"/>
  </r>
  <r>
    <x v="19"/>
    <x v="19"/>
    <s v="Karl"/>
    <s v="Jablonski"/>
    <s v="Jablonski, Karl"/>
    <s v="Jablonski, Karl"/>
    <x v="1"/>
    <s v="yes"/>
    <s v="yes"/>
    <s v="WHITC"/>
    <n v="11032"/>
    <x v="67"/>
    <x v="67"/>
    <s v="WHITC_11032_Côte de Blaye"/>
    <s v="11032"/>
    <s v="11032"/>
    <s v="Côte de Blaye"/>
    <n v="263.5"/>
    <x v="9"/>
    <x v="0"/>
    <n v="6587.5"/>
    <x v="1"/>
    <d v="1996-05-17T00:00:00"/>
    <s v=""/>
    <s v="2nd Q 1996"/>
  </r>
  <r>
    <x v="19"/>
    <x v="19"/>
    <s v="Karl"/>
    <s v="Jablonski"/>
    <s v="Jablonski, Karl"/>
    <s v="Jablonski, Karl"/>
    <x v="0"/>
    <s v="no"/>
    <s v="no"/>
    <s v="WHITC"/>
    <n v="11032"/>
    <x v="21"/>
    <x v="21"/>
    <s v="WHITC_11032_Raclette Courdavault"/>
    <s v="11032"/>
    <s v="11032"/>
    <s v="Raclette Courdavault"/>
    <n v="55"/>
    <x v="12"/>
    <x v="0"/>
    <n v="1650"/>
    <x v="1"/>
    <d v="1996-05-17T00:00:00"/>
    <s v=""/>
    <s v="2nd Q 1996"/>
  </r>
  <r>
    <x v="6"/>
    <x v="6"/>
    <s v="Michael"/>
    <s v="Holz"/>
    <s v="Holz, Michael"/>
    <s v="Holz, Michael"/>
    <x v="0"/>
    <s v="no"/>
    <s v="no"/>
    <s v="RICSU"/>
    <n v="11033"/>
    <x v="22"/>
    <x v="22"/>
    <s v="RICSU_11033_Perth Pasties"/>
    <s v="11033"/>
    <s v="11033"/>
    <s v="Perth Pasties"/>
    <n v="32.799999999999997"/>
    <x v="21"/>
    <x v="5"/>
    <n v="2066.4"/>
    <x v="1"/>
    <d v="1996-05-17T00:00:00"/>
    <s v=""/>
    <s v="2nd Q 1996"/>
  </r>
  <r>
    <x v="6"/>
    <x v="6"/>
    <s v="Michael"/>
    <s v="Holz"/>
    <s v="Holz, Michael"/>
    <s v="Holz, Michael"/>
    <x v="0"/>
    <s v="no"/>
    <s v="no"/>
    <s v="RICSU"/>
    <n v="11033"/>
    <x v="60"/>
    <x v="60"/>
    <s v="RICSU_11033_Gudbrandsdalsost"/>
    <s v="11033"/>
    <s v="11033"/>
    <s v="Gudbrandsdalsost"/>
    <n v="36"/>
    <x v="20"/>
    <x v="5"/>
    <n v="1166.4000000000001"/>
    <x v="1"/>
    <d v="1996-05-17T00:00:00"/>
    <s v=""/>
    <s v="2nd Q 1996"/>
  </r>
  <r>
    <x v="37"/>
    <x v="37"/>
    <s v="Rene"/>
    <s v="Phillips"/>
    <s v="Phillips, Rene"/>
    <s v="Phillips, Rene"/>
    <x v="0"/>
    <s v="no"/>
    <s v="no"/>
    <s v="OLDWO"/>
    <n v="11034"/>
    <x v="27"/>
    <x v="27"/>
    <s v="OLDWO_11034_Sir Rodney's Scones"/>
    <s v="11034"/>
    <s v="11034"/>
    <s v="Sir Rodney's Scones"/>
    <n v="10"/>
    <x v="6"/>
    <x v="5"/>
    <n v="135"/>
    <x v="1"/>
    <d v="1996-05-20T00:00:00"/>
    <s v=""/>
    <s v="2nd Q 1996"/>
  </r>
  <r>
    <x v="37"/>
    <x v="37"/>
    <s v="Rene"/>
    <s v="Phillips"/>
    <s v="Phillips, Rene"/>
    <s v="Phillips, Rene"/>
    <x v="0"/>
    <s v="no"/>
    <s v="no"/>
    <s v="OLDWO"/>
    <n v="11034"/>
    <x v="45"/>
    <x v="45"/>
    <s v="OLDWO_11034_Gula Malacca"/>
    <s v="11034"/>
    <s v="11034"/>
    <s v="Gula Malacca"/>
    <n v="19.45"/>
    <x v="0"/>
    <x v="0"/>
    <n v="233.39999999999998"/>
    <x v="1"/>
    <d v="1996-05-20T00:00:00"/>
    <s v=""/>
    <s v="2nd Q 1996"/>
  </r>
  <r>
    <x v="37"/>
    <x v="37"/>
    <s v="Rene"/>
    <s v="Phillips"/>
    <s v="Phillips, Rene"/>
    <s v="Phillips, Rene"/>
    <x v="0"/>
    <s v="no"/>
    <s v="no"/>
    <s v="OLDWO"/>
    <n v="11034"/>
    <x v="75"/>
    <x v="75"/>
    <s v="OLDWO_11034_Sirop d'érable"/>
    <s v="11034"/>
    <s v="11034"/>
    <s v="Sirop d'érable"/>
    <n v="28.5"/>
    <x v="7"/>
    <x v="0"/>
    <n v="171"/>
    <x v="1"/>
    <d v="1996-05-20T00:00:00"/>
    <s v=""/>
    <s v="2nd Q 1996"/>
  </r>
  <r>
    <x v="4"/>
    <x v="4"/>
    <s v="Pascale"/>
    <s v="Cartrain"/>
    <s v="Cartrain, Pascale"/>
    <s v="Cartrain, Pascale"/>
    <x v="0"/>
    <s v="no"/>
    <s v="no"/>
    <s v="SUPRD"/>
    <n v="11035"/>
    <x v="52"/>
    <x v="52"/>
    <s v="SUPRD_11035_Chai"/>
    <s v="11035"/>
    <s v="11035"/>
    <s v="Chai"/>
    <n v="18"/>
    <x v="1"/>
    <x v="0"/>
    <n v="180"/>
    <x v="1"/>
    <d v="1996-05-20T00:00:00"/>
    <s v=""/>
    <s v="2nd Q 1996"/>
  </r>
  <r>
    <x v="4"/>
    <x v="4"/>
    <s v="Pascale"/>
    <s v="Cartrain"/>
    <s v="Cartrain, Pascale"/>
    <s v="Cartrain, Pascale"/>
    <x v="0"/>
    <s v="no"/>
    <s v="no"/>
    <s v="SUPRD"/>
    <n v="11035"/>
    <x v="31"/>
    <x v="31"/>
    <s v="SUPRD_11035_Steeleye Stout"/>
    <s v="11035"/>
    <s v="11035"/>
    <s v="Steeleye Stout"/>
    <n v="18"/>
    <x v="18"/>
    <x v="0"/>
    <n v="1080"/>
    <x v="1"/>
    <d v="1996-05-20T00:00:00"/>
    <s v=""/>
    <s v="2nd Q 1996"/>
  </r>
  <r>
    <x v="4"/>
    <x v="4"/>
    <s v="Pascale"/>
    <s v="Cartrain"/>
    <s v="Cartrain, Pascale"/>
    <s v="Cartrain, Pascale"/>
    <x v="0"/>
    <s v="no"/>
    <s v="no"/>
    <s v="SUPRD"/>
    <n v="11035"/>
    <x v="1"/>
    <x v="1"/>
    <s v="SUPRD_11035_Singaporean Hokkien Fried Mee"/>
    <s v="11035"/>
    <s v="11035"/>
    <s v="Singaporean Hokkien Fried Mee"/>
    <n v="14"/>
    <x v="12"/>
    <x v="0"/>
    <n v="420"/>
    <x v="1"/>
    <d v="1996-05-20T00:00:00"/>
    <s v=""/>
    <s v="2nd Q 1996"/>
  </r>
  <r>
    <x v="4"/>
    <x v="4"/>
    <s v="Pascale"/>
    <s v="Cartrain"/>
    <s v="Cartrain, Pascale"/>
    <s v="Cartrain, Pascale"/>
    <x v="0"/>
    <s v="no"/>
    <s v="no"/>
    <s v="SUPRD"/>
    <n v="11035"/>
    <x v="55"/>
    <x v="55"/>
    <s v="SUPRD_11035_Tourtière"/>
    <s v="11035"/>
    <s v="11035"/>
    <s v="Tourtière"/>
    <n v="7.45"/>
    <x v="1"/>
    <x v="0"/>
    <n v="74.5"/>
    <x v="1"/>
    <d v="1996-05-20T00:00:00"/>
    <s v=""/>
    <s v="2nd Q 1996"/>
  </r>
  <r>
    <x v="57"/>
    <x v="57"/>
    <s v="Sven"/>
    <s v="Ottlieb"/>
    <s v="Ottlieb, Sven"/>
    <s v="Ottlieb, Sven"/>
    <x v="0"/>
    <s v="no"/>
    <s v="no"/>
    <s v="DRACD"/>
    <n v="11036"/>
    <x v="43"/>
    <x v="43"/>
    <s v="DRACD_11036_Konbu"/>
    <s v="11036"/>
    <s v="11036"/>
    <s v="Konbu"/>
    <n v="6"/>
    <x v="25"/>
    <x v="0"/>
    <n v="42"/>
    <x v="1"/>
    <d v="1996-05-20T00:00:00"/>
    <s v=""/>
    <s v="2nd Q 1996"/>
  </r>
  <r>
    <x v="57"/>
    <x v="57"/>
    <s v="Sven"/>
    <s v="Ottlieb"/>
    <s v="Ottlieb, Sven"/>
    <s v="Ottlieb, Sven"/>
    <x v="0"/>
    <s v="no"/>
    <s v="no"/>
    <s v="DRACD"/>
    <n v="11036"/>
    <x v="21"/>
    <x v="21"/>
    <s v="DRACD_11036_Raclette Courdavault"/>
    <s v="11036"/>
    <s v="11036"/>
    <s v="Raclette Courdavault"/>
    <n v="55"/>
    <x v="12"/>
    <x v="0"/>
    <n v="1650"/>
    <x v="1"/>
    <d v="1996-05-20T00:00:00"/>
    <s v=""/>
    <s v="2nd Q 1996"/>
  </r>
  <r>
    <x v="36"/>
    <x v="36"/>
    <s v="José"/>
    <s v="Pedro Freyre"/>
    <s v="Pedro Freyre, José"/>
    <s v="Pedro Freyre, José"/>
    <x v="0"/>
    <s v="no"/>
    <s v="no"/>
    <s v="GODOS"/>
    <n v="11037"/>
    <x v="30"/>
    <x v="30"/>
    <s v="GODOS_11037_Outback Lager"/>
    <s v="11037"/>
    <s v="11037"/>
    <s v="Outback Lager"/>
    <n v="15"/>
    <x v="22"/>
    <x v="0"/>
    <n v="60"/>
    <x v="1"/>
    <d v="1996-05-21T00:00:00"/>
    <s v=""/>
    <s v="2nd Q 1996"/>
  </r>
  <r>
    <x v="4"/>
    <x v="4"/>
    <s v="Pascale"/>
    <s v="Cartrain"/>
    <s v="Cartrain, Pascale"/>
    <s v="Cartrain, Pascale"/>
    <x v="0"/>
    <s v="no"/>
    <s v="no"/>
    <s v="SUPRD"/>
    <n v="11038"/>
    <x v="37"/>
    <x v="37"/>
    <s v="SUPRD_11038_Boston Crab Meat"/>
    <s v="11038"/>
    <s v="11038"/>
    <s v="Boston Crab Meat"/>
    <n v="18.399999999999999"/>
    <x v="2"/>
    <x v="3"/>
    <n v="73.600000000000009"/>
    <x v="1"/>
    <d v="1996-05-21T00:00:00"/>
    <s v=""/>
    <s v="2nd Q 1996"/>
  </r>
  <r>
    <x v="4"/>
    <x v="4"/>
    <s v="Pascale"/>
    <s v="Cartrain"/>
    <s v="Cartrain, Pascale"/>
    <s v="Cartrain, Pascale"/>
    <x v="0"/>
    <s v="no"/>
    <s v="no"/>
    <s v="SUPRD"/>
    <n v="11038"/>
    <x v="65"/>
    <x v="65"/>
    <s v="SUPRD_11038_Filo Mix"/>
    <s v="11038"/>
    <s v="11038"/>
    <s v="Filo Mix"/>
    <n v="7"/>
    <x v="17"/>
    <x v="0"/>
    <n v="14"/>
    <x v="1"/>
    <d v="1996-05-21T00:00:00"/>
    <s v=""/>
    <s v="2nd Q 1996"/>
  </r>
  <r>
    <x v="4"/>
    <x v="4"/>
    <s v="Pascale"/>
    <s v="Cartrain"/>
    <s v="Cartrain, Pascale"/>
    <s v="Cartrain, Pascale"/>
    <x v="0"/>
    <s v="no"/>
    <s v="no"/>
    <s v="SUPRD"/>
    <n v="11038"/>
    <x v="42"/>
    <x v="42"/>
    <s v="SUPRD_11038_Fløtemysost"/>
    <s v="11038"/>
    <s v="11038"/>
    <s v="Fløtemysost"/>
    <n v="21.5"/>
    <x v="12"/>
    <x v="0"/>
    <n v="645"/>
    <x v="1"/>
    <d v="1996-05-21T00:00:00"/>
    <s v=""/>
    <s v="2nd Q 1996"/>
  </r>
  <r>
    <x v="67"/>
    <x v="67"/>
    <s v="Felipe"/>
    <s v="Izquierdo"/>
    <s v="Izquierdo, Felipe"/>
    <s v="Izquierdo, Felipe"/>
    <x v="0"/>
    <s v="no"/>
    <s v="no"/>
    <s v="LINOD"/>
    <n v="11039"/>
    <x v="44"/>
    <x v="44"/>
    <s v="LINOD_11039_Rössle Sauerkraut"/>
    <s v="11039"/>
    <s v="11039"/>
    <s v="Rössle Sauerkraut"/>
    <n v="45.6"/>
    <x v="8"/>
    <x v="0"/>
    <n v="912"/>
    <x v="1"/>
    <d v="1996-05-21T00:00:00"/>
    <s v=""/>
    <s v="2nd Q 1996"/>
  </r>
  <r>
    <x v="67"/>
    <x v="67"/>
    <s v="Felipe"/>
    <s v="Izquierdo"/>
    <s v="Izquierdo, Felipe"/>
    <s v="Izquierdo, Felipe"/>
    <x v="0"/>
    <s v="no"/>
    <s v="no"/>
    <s v="LINOD"/>
    <n v="11039"/>
    <x v="31"/>
    <x v="31"/>
    <s v="LINOD_11039_Steeleye Stout"/>
    <s v="11039"/>
    <s v="11039"/>
    <s v="Steeleye Stout"/>
    <n v="18"/>
    <x v="23"/>
    <x v="0"/>
    <n v="432"/>
    <x v="1"/>
    <d v="1996-05-21T00:00:00"/>
    <s v=""/>
    <s v="2nd Q 1996"/>
  </r>
  <r>
    <x v="67"/>
    <x v="67"/>
    <s v="Felipe"/>
    <s v="Izquierdo"/>
    <s v="Izquierdo, Felipe"/>
    <s v="Izquierdo, Felipe"/>
    <x v="0"/>
    <s v="no"/>
    <s v="no"/>
    <s v="LINOD"/>
    <n v="11039"/>
    <x v="14"/>
    <x v="14"/>
    <s v="LINOD_11039_Maxilaku"/>
    <s v="11039"/>
    <s v="11039"/>
    <s v="Maxilaku"/>
    <n v="20"/>
    <x v="18"/>
    <x v="0"/>
    <n v="1200"/>
    <x v="1"/>
    <d v="1996-05-21T00:00:00"/>
    <s v=""/>
    <s v="2nd Q 1996"/>
  </r>
  <r>
    <x v="67"/>
    <x v="67"/>
    <s v="Felipe"/>
    <s v="Izquierdo"/>
    <s v="Izquierdo, Felipe"/>
    <s v="Izquierdo, Felipe"/>
    <x v="0"/>
    <s v="no"/>
    <s v="no"/>
    <s v="LINOD"/>
    <n v="11039"/>
    <x v="8"/>
    <x v="8"/>
    <s v="LINOD_11039_Ravioli Angelo"/>
    <s v="11039"/>
    <s v="11039"/>
    <s v="Ravioli Angelo"/>
    <n v="19.5"/>
    <x v="19"/>
    <x v="0"/>
    <n v="546"/>
    <x v="1"/>
    <d v="1996-05-21T00:00:00"/>
    <s v=""/>
    <s v="2nd Q 1996"/>
  </r>
  <r>
    <x v="79"/>
    <x v="79"/>
    <s v="Howard"/>
    <s v="Snyder"/>
    <s v="Snyder, Howard"/>
    <s v="Snyder, Howard"/>
    <x v="0"/>
    <s v="no"/>
    <s v="no"/>
    <s v="GREAL"/>
    <n v="11040"/>
    <x v="27"/>
    <x v="27"/>
    <s v="GREAL_11040_Sir Rodney's Scones"/>
    <s v="11040"/>
    <s v="11040"/>
    <s v="Sir Rodney's Scones"/>
    <n v="10"/>
    <x v="8"/>
    <x v="0"/>
    <n v="200"/>
    <x v="1"/>
    <d v="1996-05-22T00:00:00"/>
    <s v=""/>
    <s v="2nd Q 1996"/>
  </r>
  <r>
    <x v="5"/>
    <x v="5"/>
    <s v="Yang"/>
    <s v="Wang"/>
    <s v="Wang, Yang"/>
    <s v="Wang, Yang"/>
    <x v="0"/>
    <s v="no"/>
    <s v="no"/>
    <s v="CHOPS"/>
    <n v="11041"/>
    <x v="18"/>
    <x v="18"/>
    <s v="CHOPS_11041_Chang"/>
    <s v="11041"/>
    <s v="11041"/>
    <s v="Chang"/>
    <n v="19"/>
    <x v="12"/>
    <x v="3"/>
    <n v="456"/>
    <x v="1"/>
    <d v="1996-05-22T00:00:00"/>
    <s v=""/>
    <s v="2nd Q 1996"/>
  </r>
  <r>
    <x v="5"/>
    <x v="5"/>
    <s v="Yang"/>
    <s v="Wang"/>
    <s v="Wang, Yang"/>
    <s v="Wang, Yang"/>
    <x v="0"/>
    <s v="no"/>
    <s v="no"/>
    <s v="CHOPS"/>
    <n v="11041"/>
    <x v="46"/>
    <x v="46"/>
    <s v="CHOPS_11041_Vegie-spread"/>
    <s v="11041"/>
    <s v="11041"/>
    <s v="Vegie-spread"/>
    <n v="43.9"/>
    <x v="12"/>
    <x v="0"/>
    <n v="1317"/>
    <x v="1"/>
    <d v="1996-05-22T00:00:00"/>
    <s v=""/>
    <s v="2nd Q 1996"/>
  </r>
  <r>
    <x v="32"/>
    <x v="32"/>
    <s v="Pedro"/>
    <s v="Afonso"/>
    <s v="Afonso, Pedro"/>
    <s v="Afonso, Pedro"/>
    <x v="0"/>
    <s v="no"/>
    <s v="no"/>
    <s v="COMMI"/>
    <n v="11042"/>
    <x v="45"/>
    <x v="45"/>
    <s v="COMMI_11042_Gula Malacca"/>
    <s v="11042"/>
    <s v="11042"/>
    <s v="Gula Malacca"/>
    <n v="19.45"/>
    <x v="6"/>
    <x v="0"/>
    <n v="291.75"/>
    <x v="1"/>
    <d v="1996-05-22T00:00:00"/>
    <s v=""/>
    <s v="2nd Q 1996"/>
  </r>
  <r>
    <x v="32"/>
    <x v="32"/>
    <s v="Pedro"/>
    <s v="Afonso"/>
    <s v="Afonso, Pedro"/>
    <s v="Afonso, Pedro"/>
    <x v="0"/>
    <s v="no"/>
    <s v="no"/>
    <s v="COMMI"/>
    <n v="11042"/>
    <x v="75"/>
    <x v="75"/>
    <s v="COMMI_11042_Sirop d'érable"/>
    <s v="11042"/>
    <s v="11042"/>
    <s v="Sirop d'érable"/>
    <n v="28.5"/>
    <x v="22"/>
    <x v="0"/>
    <n v="114"/>
    <x v="1"/>
    <d v="1996-05-22T00:00:00"/>
    <s v=""/>
    <s v="2nd Q 1996"/>
  </r>
  <r>
    <x v="87"/>
    <x v="87"/>
    <s v="Dominique"/>
    <s v="Perrier"/>
    <s v="Perrier, Dominique"/>
    <s v="Perrier, Dominique"/>
    <x v="0"/>
    <s v="no"/>
    <s v="no"/>
    <s v="SPECD"/>
    <n v="11043"/>
    <x v="0"/>
    <x v="0"/>
    <s v="SPECD_11043_Queso Cabrales"/>
    <s v="11043"/>
    <s v="11043"/>
    <s v="Queso Cabrales"/>
    <n v="21"/>
    <x v="1"/>
    <x v="0"/>
    <n v="210"/>
    <x v="1"/>
    <d v="1996-05-22T00:00:00"/>
    <s v=""/>
    <s v="2nd Q 1996"/>
  </r>
  <r>
    <x v="63"/>
    <x v="63"/>
    <s v="Zbyszek"/>
    <s v="Piestrzeniewicz"/>
    <s v="Piestrzeniewicz, Zbyszek"/>
    <s v="Piestrzeniewicz, Zbyszek"/>
    <x v="0"/>
    <s v="no"/>
    <s v="no"/>
    <s v="WOLZA"/>
    <n v="11044"/>
    <x v="29"/>
    <x v="29"/>
    <s v="WOLZA_11044_Tarte au sucre"/>
    <s v="11044"/>
    <s v="11044"/>
    <s v="Tarte au sucre"/>
    <n v="49.3"/>
    <x v="0"/>
    <x v="0"/>
    <n v="591.59999999999991"/>
    <x v="1"/>
    <d v="1996-05-23T00:00:00"/>
    <s v=""/>
    <s v="2nd Q 1996"/>
  </r>
  <r>
    <x v="66"/>
    <x v="66"/>
    <s v="Elizabeth"/>
    <s v="Lincoln"/>
    <s v="Lincoln, Elizabeth"/>
    <s v="Lincoln, Elizabeth"/>
    <x v="0"/>
    <s v="no"/>
    <s v="no"/>
    <s v="BOTTM"/>
    <n v="11045"/>
    <x v="10"/>
    <x v="10"/>
    <s v="BOTTM_11045_Geitost"/>
    <s v="11045"/>
    <s v="11045"/>
    <s v="Geitost"/>
    <n v="2.5"/>
    <x v="6"/>
    <x v="0"/>
    <n v="37.5"/>
    <x v="1"/>
    <d v="1996-05-23T00:00:00"/>
    <s v=""/>
    <s v="2nd Q 1996"/>
  </r>
  <r>
    <x v="66"/>
    <x v="66"/>
    <s v="Elizabeth"/>
    <s v="Lincoln"/>
    <s v="Lincoln, Elizabeth"/>
    <s v="Lincoln, Elizabeth"/>
    <x v="0"/>
    <s v="no"/>
    <s v="no"/>
    <s v="BOTTM"/>
    <n v="11045"/>
    <x v="4"/>
    <x v="4"/>
    <s v="BOTTM_11045_Manjimup Dried Apples"/>
    <s v="11045"/>
    <s v="11045"/>
    <s v="Manjimup Dried Apples"/>
    <n v="53"/>
    <x v="23"/>
    <x v="0"/>
    <n v="1272"/>
    <x v="1"/>
    <d v="1996-05-23T00:00:00"/>
    <s v=""/>
    <s v="2nd Q 1996"/>
  </r>
  <r>
    <x v="35"/>
    <x v="35"/>
    <s v="Rita"/>
    <s v="Müller"/>
    <s v="Müller, Rita"/>
    <s v="Müller, Rita"/>
    <x v="0"/>
    <s v="no"/>
    <s v="no"/>
    <s v="WANDK"/>
    <n v="11046"/>
    <x v="36"/>
    <x v="36"/>
    <s v="WANDK_11046_Queso Manchego La Pastora"/>
    <s v="11046"/>
    <s v="11046"/>
    <s v="Queso Manchego La Pastora"/>
    <n v="38"/>
    <x v="8"/>
    <x v="2"/>
    <n v="722"/>
    <x v="1"/>
    <d v="1996-05-23T00:00:00"/>
    <s v=""/>
    <s v="2nd Q 1996"/>
  </r>
  <r>
    <x v="35"/>
    <x v="35"/>
    <s v="Rita"/>
    <s v="Müller"/>
    <s v="Müller, Rita"/>
    <s v="Müller, Rita"/>
    <x v="0"/>
    <s v="no"/>
    <s v="no"/>
    <s v="WANDK"/>
    <n v="11046"/>
    <x v="26"/>
    <x v="26"/>
    <s v="WANDK_11046_Mascarpone Fabioli"/>
    <s v="11046"/>
    <s v="11046"/>
    <s v="Mascarpone Fabioli"/>
    <n v="32"/>
    <x v="6"/>
    <x v="2"/>
    <n v="456"/>
    <x v="1"/>
    <d v="1996-05-23T00:00:00"/>
    <s v=""/>
    <s v="2nd Q 1996"/>
  </r>
  <r>
    <x v="35"/>
    <x v="35"/>
    <s v="Rita"/>
    <s v="Müller"/>
    <s v="Müller, Rita"/>
    <s v="Müller, Rita"/>
    <x v="0"/>
    <s v="no"/>
    <s v="no"/>
    <s v="WANDK"/>
    <n v="11046"/>
    <x v="31"/>
    <x v="31"/>
    <s v="WANDK_11046_Steeleye Stout"/>
    <s v="11046"/>
    <s v="11046"/>
    <s v="Steeleye Stout"/>
    <n v="18"/>
    <x v="27"/>
    <x v="2"/>
    <n v="307.8"/>
    <x v="1"/>
    <d v="1996-05-23T00:00:00"/>
    <s v=""/>
    <s v="2nd Q 1996"/>
  </r>
  <r>
    <x v="58"/>
    <x v="58"/>
    <s v="Ann"/>
    <s v="Devon"/>
    <s v="Devon, Ann"/>
    <s v="Devon, Ann"/>
    <x v="0"/>
    <s v="no"/>
    <s v="no"/>
    <s v="EASTC"/>
    <n v="11047"/>
    <x v="52"/>
    <x v="52"/>
    <s v="EASTC_11047_Chai"/>
    <s v="11047"/>
    <s v="11047"/>
    <s v="Chai"/>
    <n v="18"/>
    <x v="9"/>
    <x v="4"/>
    <n v="337.5"/>
    <x v="1"/>
    <d v="1996-05-24T00:00:00"/>
    <s v=""/>
    <s v="2nd Q 1996"/>
  </r>
  <r>
    <x v="58"/>
    <x v="58"/>
    <s v="Ann"/>
    <s v="Devon"/>
    <s v="Devon, Ann"/>
    <s v="Devon, Ann"/>
    <x v="0"/>
    <s v="no"/>
    <s v="no"/>
    <s v="EASTC"/>
    <n v="11047"/>
    <x v="25"/>
    <x v="25"/>
    <s v="EASTC_11047_Chef Anton's Gumbo Mix"/>
    <s v="11047"/>
    <s v="11047"/>
    <s v="Chef Anton's Gumbo Mix"/>
    <n v="21.35"/>
    <x v="12"/>
    <x v="4"/>
    <n v="480.375"/>
    <x v="1"/>
    <d v="1996-05-24T00:00:00"/>
    <s v=""/>
    <s v="2nd Q 1996"/>
  </r>
  <r>
    <x v="66"/>
    <x v="66"/>
    <s v="Elizabeth"/>
    <s v="Lincoln"/>
    <s v="Lincoln, Elizabeth"/>
    <s v="Lincoln, Elizabeth"/>
    <x v="0"/>
    <s v="no"/>
    <s v="no"/>
    <s v="BOTTM"/>
    <n v="11048"/>
    <x v="56"/>
    <x v="56"/>
    <s v="BOTTM_11048_Scottish Longbreads"/>
    <s v="11048"/>
    <s v="11048"/>
    <s v="Scottish Longbreads"/>
    <n v="12.5"/>
    <x v="10"/>
    <x v="0"/>
    <n v="525"/>
    <x v="1"/>
    <d v="1996-05-24T00:00:00"/>
    <s v=""/>
    <s v="2nd Q 1996"/>
  </r>
  <r>
    <x v="71"/>
    <x v="71"/>
    <s v="André"/>
    <s v="Fonseca"/>
    <s v="Fonseca, André"/>
    <s v="Fonseca, André"/>
    <x v="0"/>
    <s v="no"/>
    <s v="no"/>
    <s v="GOURL"/>
    <n v="11049"/>
    <x v="18"/>
    <x v="18"/>
    <s v="GOURL_11049_Chang"/>
    <s v="11049"/>
    <s v="11049"/>
    <s v="Chang"/>
    <n v="19"/>
    <x v="1"/>
    <x v="3"/>
    <n v="152"/>
    <x v="1"/>
    <d v="1996-05-24T00:00:00"/>
    <s v=""/>
    <s v="2nd Q 1996"/>
  </r>
  <r>
    <x v="71"/>
    <x v="71"/>
    <s v="André"/>
    <s v="Fonseca"/>
    <s v="Fonseca, André"/>
    <s v="Fonseca, André"/>
    <x v="0"/>
    <s v="no"/>
    <s v="no"/>
    <s v="GOURL"/>
    <n v="11049"/>
    <x v="36"/>
    <x v="36"/>
    <s v="GOURL_11049_Queso Manchego La Pastora"/>
    <s v="11049"/>
    <s v="11049"/>
    <s v="Queso Manchego La Pastora"/>
    <n v="38"/>
    <x v="22"/>
    <x v="3"/>
    <n v="121.60000000000001"/>
    <x v="1"/>
    <d v="1996-05-24T00:00:00"/>
    <s v=""/>
    <s v="2nd Q 1996"/>
  </r>
  <r>
    <x v="14"/>
    <x v="14"/>
    <s v="Maria"/>
    <s v="Larsson"/>
    <s v="Larsson, Maria"/>
    <s v="Larsson, Maria"/>
    <x v="0"/>
    <s v="no"/>
    <s v="no"/>
    <s v="FOLKO"/>
    <n v="11050"/>
    <x v="38"/>
    <x v="38"/>
    <s v="FOLKO_11050_Lakkalikööri"/>
    <s v="11050"/>
    <s v="11050"/>
    <s v="Lakkalikööri"/>
    <n v="18"/>
    <x v="13"/>
    <x v="5"/>
    <n v="810"/>
    <x v="1"/>
    <d v="1996-05-27T00:00:00"/>
    <s v=""/>
    <s v="2nd Q 1996"/>
  </r>
  <r>
    <x v="53"/>
    <x v="53"/>
    <s v="Annette"/>
    <s v="Roulet"/>
    <s v="Roulet, Annette"/>
    <s v="Roulet, Annette"/>
    <x v="0"/>
    <s v="no"/>
    <s v="no"/>
    <s v="LAMAI"/>
    <n v="11051"/>
    <x v="15"/>
    <x v="15"/>
    <s v="LAMAI_11051_Guaraná Fantástica"/>
    <s v="11051"/>
    <s v="11051"/>
    <s v="Guaraná Fantástica"/>
    <n v="4.5"/>
    <x v="1"/>
    <x v="3"/>
    <n v="36"/>
    <x v="1"/>
    <d v="1996-05-27T00:00:00"/>
    <s v=""/>
    <s v="2nd Q 1996"/>
  </r>
  <r>
    <x v="2"/>
    <x v="2"/>
    <s v="Mario"/>
    <s v="Pontes"/>
    <s v="Pontes, Mario"/>
    <s v="Pontes, Mario"/>
    <x v="0"/>
    <s v="no"/>
    <s v="no"/>
    <s v="HANAR"/>
    <n v="11052"/>
    <x v="40"/>
    <x v="40"/>
    <s v="HANAR_11052_Ipoh Coffee"/>
    <s v="11052"/>
    <s v="11052"/>
    <s v="Ipoh Coffee"/>
    <n v="46"/>
    <x v="12"/>
    <x v="3"/>
    <n v="1104"/>
    <x v="1"/>
    <d v="1996-05-27T00:00:00"/>
    <s v=""/>
    <s v="2nd Q 1996"/>
  </r>
  <r>
    <x v="2"/>
    <x v="2"/>
    <s v="Mario"/>
    <s v="Pontes"/>
    <s v="Pontes, Mario"/>
    <s v="Pontes, Mario"/>
    <x v="0"/>
    <s v="no"/>
    <s v="no"/>
    <s v="HANAR"/>
    <n v="11052"/>
    <x v="75"/>
    <x v="75"/>
    <s v="HANAR_11052_Sirop d'érable"/>
    <s v="11052"/>
    <s v="11052"/>
    <s v="Sirop d'érable"/>
    <n v="28.5"/>
    <x v="1"/>
    <x v="3"/>
    <n v="228"/>
    <x v="1"/>
    <d v="1996-05-27T00:00:00"/>
    <s v=""/>
    <s v="2nd Q 1996"/>
  </r>
  <r>
    <x v="54"/>
    <x v="54"/>
    <s v="Georg"/>
    <s v="Pipps"/>
    <s v="Pipps, Georg"/>
    <s v="Pipps, Georg"/>
    <x v="0"/>
    <s v="no"/>
    <s v="no"/>
    <s v="PICCO"/>
    <n v="11053"/>
    <x v="59"/>
    <x v="59"/>
    <s v="PICCO_11053_Carnarvon Tigers"/>
    <s v="11053"/>
    <s v="11053"/>
    <s v="Carnarvon Tigers"/>
    <n v="62.5"/>
    <x v="5"/>
    <x v="3"/>
    <n v="1750"/>
    <x v="1"/>
    <d v="1996-05-27T00:00:00"/>
    <s v=""/>
    <s v="2nd Q 1996"/>
  </r>
  <r>
    <x v="54"/>
    <x v="54"/>
    <s v="Georg"/>
    <s v="Pipps"/>
    <s v="Pipps, Georg"/>
    <s v="Pipps, Georg"/>
    <x v="0"/>
    <s v="no"/>
    <s v="no"/>
    <s v="PICCO"/>
    <n v="11053"/>
    <x v="26"/>
    <x v="26"/>
    <s v="PICCO_11053_Mascarpone Fabioli"/>
    <s v="11053"/>
    <s v="11053"/>
    <s v="Mascarpone Fabioli"/>
    <n v="32"/>
    <x v="8"/>
    <x v="0"/>
    <n v="640"/>
    <x v="1"/>
    <d v="1996-05-27T00:00:00"/>
    <s v=""/>
    <s v="2nd Q 1996"/>
  </r>
  <r>
    <x v="54"/>
    <x v="54"/>
    <s v="Georg"/>
    <s v="Pipps"/>
    <s v="Pipps, Georg"/>
    <s v="Pipps, Georg"/>
    <x v="0"/>
    <s v="no"/>
    <s v="no"/>
    <s v="PICCO"/>
    <n v="11053"/>
    <x v="58"/>
    <x v="58"/>
    <s v="PICCO_11053_Wimmers gute Semmelknödel"/>
    <s v="11053"/>
    <s v="11053"/>
    <s v="Wimmers gute Semmelknödel"/>
    <n v="33.25"/>
    <x v="9"/>
    <x v="3"/>
    <n v="665"/>
    <x v="1"/>
    <d v="1996-05-27T00:00:00"/>
    <s v=""/>
    <s v="2nd Q 1996"/>
  </r>
  <r>
    <x v="78"/>
    <x v="78"/>
    <s v="Patricio"/>
    <s v="Simpson"/>
    <s v="Simpson, Patricio"/>
    <s v="Simpson, Patricio"/>
    <x v="0"/>
    <s v="no"/>
    <s v="no"/>
    <s v="CACTU"/>
    <n v="11054"/>
    <x v="10"/>
    <x v="10"/>
    <s v="CACTU_11054_Geitost"/>
    <s v="11054"/>
    <s v="11054"/>
    <s v="Geitost"/>
    <n v="2.5"/>
    <x v="1"/>
    <x v="0"/>
    <n v="25"/>
    <x v="1"/>
    <d v="1996-05-28T00:00:00"/>
    <s v=""/>
    <s v="2nd Q 1996"/>
  </r>
  <r>
    <x v="78"/>
    <x v="78"/>
    <s v="Patricio"/>
    <s v="Simpson"/>
    <s v="Simpson, Patricio"/>
    <s v="Simpson, Patricio"/>
    <x v="0"/>
    <s v="no"/>
    <s v="no"/>
    <s v="CACTU"/>
    <n v="11054"/>
    <x v="51"/>
    <x v="51"/>
    <s v="CACTU_11054_Laughing Lumberjack Lager"/>
    <s v="11054"/>
    <s v="11054"/>
    <s v="Laughing Lumberjack Lager"/>
    <n v="14"/>
    <x v="8"/>
    <x v="0"/>
    <n v="280"/>
    <x v="1"/>
    <d v="1996-05-28T00:00:00"/>
    <s v=""/>
    <s v="2nd Q 1996"/>
  </r>
  <r>
    <x v="8"/>
    <x v="8"/>
    <s v="Carlos"/>
    <s v="Hernández"/>
    <s v="Hernández, Carlos"/>
    <s v="Hernández, Carlos"/>
    <x v="0"/>
    <s v="no"/>
    <s v="no"/>
    <s v="HILAA"/>
    <n v="11055"/>
    <x v="15"/>
    <x v="15"/>
    <s v="HILAA_11055_Guaraná Fantástica"/>
    <s v="11055"/>
    <s v="11055"/>
    <s v="Guaraná Fantástica"/>
    <n v="4.5"/>
    <x v="6"/>
    <x v="0"/>
    <n v="67.5"/>
    <x v="1"/>
    <d v="1996-05-28T00:00:00"/>
    <s v=""/>
    <s v="2nd Q 1996"/>
  </r>
  <r>
    <x v="8"/>
    <x v="8"/>
    <s v="Carlos"/>
    <s v="Hernández"/>
    <s v="Hernández, Carlos"/>
    <s v="Hernández, Carlos"/>
    <x v="0"/>
    <s v="no"/>
    <s v="no"/>
    <s v="HILAA"/>
    <n v="11055"/>
    <x v="66"/>
    <x v="66"/>
    <s v="HILAA_11055_NuNuCa Nuß-Nougat-Creme"/>
    <s v="11055"/>
    <s v="11055"/>
    <s v="NuNuCa Nuß-Nougat-Creme"/>
    <n v="14"/>
    <x v="6"/>
    <x v="0"/>
    <n v="210"/>
    <x v="1"/>
    <d v="1996-05-28T00:00:00"/>
    <s v=""/>
    <s v="2nd Q 1996"/>
  </r>
  <r>
    <x v="8"/>
    <x v="8"/>
    <s v="Carlos"/>
    <s v="Hernández"/>
    <s v="Hernández, Carlos"/>
    <s v="Hernández, Carlos"/>
    <x v="0"/>
    <s v="no"/>
    <s v="no"/>
    <s v="HILAA"/>
    <n v="11055"/>
    <x v="4"/>
    <x v="4"/>
    <s v="HILAA_11055_Manjimup Dried Apples"/>
    <s v="11055"/>
    <s v="11055"/>
    <s v="Manjimup Dried Apples"/>
    <n v="53"/>
    <x v="8"/>
    <x v="0"/>
    <n v="1060"/>
    <x v="1"/>
    <d v="1996-05-28T00:00:00"/>
    <s v=""/>
    <s v="2nd Q 1996"/>
  </r>
  <r>
    <x v="8"/>
    <x v="8"/>
    <s v="Carlos"/>
    <s v="Hernández"/>
    <s v="Hernández, Carlos"/>
    <s v="Hernández, Carlos"/>
    <x v="0"/>
    <s v="no"/>
    <s v="no"/>
    <s v="HILAA"/>
    <n v="11055"/>
    <x v="8"/>
    <x v="8"/>
    <s v="HILAA_11055_Ravioli Angelo"/>
    <s v="11055"/>
    <s v="11055"/>
    <s v="Ravioli Angelo"/>
    <n v="19.5"/>
    <x v="8"/>
    <x v="0"/>
    <n v="390"/>
    <x v="1"/>
    <d v="1996-05-28T00:00:00"/>
    <s v=""/>
    <s v="2nd Q 1996"/>
  </r>
  <r>
    <x v="58"/>
    <x v="58"/>
    <s v="Ann"/>
    <s v="Devon"/>
    <s v="Devon, Ann"/>
    <s v="Devon, Ann"/>
    <x v="0"/>
    <s v="no"/>
    <s v="no"/>
    <s v="EASTC"/>
    <n v="11056"/>
    <x v="32"/>
    <x v="32"/>
    <s v="EASTC_11056_Uncle Bob's Organic Dried Pears"/>
    <s v="11056"/>
    <s v="11056"/>
    <s v="Uncle Bob's Organic Dried Pears"/>
    <n v="30"/>
    <x v="4"/>
    <x v="0"/>
    <n v="1200"/>
    <x v="1"/>
    <d v="1996-05-28T00:00:00"/>
    <s v=""/>
    <s v="2nd Q 1996"/>
  </r>
  <r>
    <x v="58"/>
    <x v="58"/>
    <s v="Ann"/>
    <s v="Devon"/>
    <s v="Devon, Ann"/>
    <s v="Devon, Ann"/>
    <x v="0"/>
    <s v="no"/>
    <s v="no"/>
    <s v="EASTC"/>
    <n v="11056"/>
    <x v="16"/>
    <x v="16"/>
    <s v="EASTC_11056_Pâté chinois"/>
    <s v="11056"/>
    <s v="11056"/>
    <s v="Pâté chinois"/>
    <n v="24"/>
    <x v="5"/>
    <x v="0"/>
    <n v="840"/>
    <x v="1"/>
    <d v="1996-05-28T00:00:00"/>
    <s v=""/>
    <s v="2nd Q 1996"/>
  </r>
  <r>
    <x v="58"/>
    <x v="58"/>
    <s v="Ann"/>
    <s v="Devon"/>
    <s v="Devon, Ann"/>
    <s v="Devon, Ann"/>
    <x v="0"/>
    <s v="no"/>
    <s v="no"/>
    <s v="EASTC"/>
    <n v="11056"/>
    <x v="11"/>
    <x v="11"/>
    <s v="EASTC_11056_Camembert Pierrot"/>
    <s v="11056"/>
    <s v="11056"/>
    <s v="Camembert Pierrot"/>
    <n v="34"/>
    <x v="13"/>
    <x v="0"/>
    <n v="1700"/>
    <x v="1"/>
    <d v="1996-05-28T00:00:00"/>
    <s v=""/>
    <s v="2nd Q 1996"/>
  </r>
  <r>
    <x v="77"/>
    <x v="77"/>
    <s v="Simon"/>
    <s v="Crowther"/>
    <s v="Crowther, Simon"/>
    <s v="Crowther, Simon"/>
    <x v="0"/>
    <s v="no"/>
    <s v="no"/>
    <s v="NORTS"/>
    <n v="11057"/>
    <x v="30"/>
    <x v="30"/>
    <s v="NORTS_11057_Outback Lager"/>
    <s v="11057"/>
    <s v="11057"/>
    <s v="Outback Lager"/>
    <n v="15"/>
    <x v="28"/>
    <x v="0"/>
    <n v="45"/>
    <x v="1"/>
    <d v="1996-05-29T00:00:00"/>
    <s v=""/>
    <s v="2nd Q 1996"/>
  </r>
  <r>
    <x v="76"/>
    <x v="76"/>
    <s v="Hanna"/>
    <s v="Moos"/>
    <s v="Moos, Hanna"/>
    <s v="Moos, Hanna"/>
    <x v="0"/>
    <s v="no"/>
    <s v="no"/>
    <s v="BLAUS"/>
    <n v="11058"/>
    <x v="27"/>
    <x v="27"/>
    <s v="BLAUS_11058_Sir Rodney's Scones"/>
    <s v="11058"/>
    <s v="11058"/>
    <s v="Sir Rodney's Scones"/>
    <n v="10"/>
    <x v="28"/>
    <x v="0"/>
    <n v="30"/>
    <x v="1"/>
    <d v="1996-05-29T00:00:00"/>
    <s v=""/>
    <s v="2nd Q 1996"/>
  </r>
  <r>
    <x v="76"/>
    <x v="76"/>
    <s v="Hanna"/>
    <s v="Moos"/>
    <s v="Moos, Hanna"/>
    <s v="Moos, Hanna"/>
    <x v="0"/>
    <s v="no"/>
    <s v="no"/>
    <s v="BLAUS"/>
    <n v="11058"/>
    <x v="11"/>
    <x v="11"/>
    <s v="BLAUS_11058_Camembert Pierrot"/>
    <s v="11058"/>
    <s v="11058"/>
    <s v="Camembert Pierrot"/>
    <n v="34"/>
    <x v="11"/>
    <x v="0"/>
    <n v="714"/>
    <x v="1"/>
    <d v="1996-05-29T00:00:00"/>
    <s v=""/>
    <s v="2nd Q 1996"/>
  </r>
  <r>
    <x v="76"/>
    <x v="76"/>
    <s v="Hanna"/>
    <s v="Moos"/>
    <s v="Moos, Hanna"/>
    <s v="Moos, Hanna"/>
    <x v="0"/>
    <s v="no"/>
    <s v="no"/>
    <s v="BLAUS"/>
    <n v="11058"/>
    <x v="75"/>
    <x v="75"/>
    <s v="BLAUS_11058_Sirop d'érable"/>
    <s v="11058"/>
    <s v="11058"/>
    <s v="Sirop d'érable"/>
    <n v="28.5"/>
    <x v="22"/>
    <x v="0"/>
    <n v="114"/>
    <x v="1"/>
    <d v="1996-05-29T00:00:00"/>
    <s v=""/>
    <s v="2nd Q 1996"/>
  </r>
  <r>
    <x v="29"/>
    <x v="29"/>
    <s v="Janete"/>
    <s v="Limeira"/>
    <s v="Limeira, Janete"/>
    <s v="Limeira, Janete"/>
    <x v="0"/>
    <s v="no"/>
    <s v="no"/>
    <s v="RICAR"/>
    <n v="11059"/>
    <x v="43"/>
    <x v="43"/>
    <s v="RICAR_11059_Konbu"/>
    <s v="11059"/>
    <s v="11059"/>
    <s v="Konbu"/>
    <n v="6"/>
    <x v="12"/>
    <x v="0"/>
    <n v="180"/>
    <x v="1"/>
    <d v="1996-05-29T00:00:00"/>
    <s v=""/>
    <s v="2nd Q 1996"/>
  </r>
  <r>
    <x v="29"/>
    <x v="29"/>
    <s v="Janete"/>
    <s v="Limeira"/>
    <s v="Limeira, Janete"/>
    <s v="Limeira, Janete"/>
    <x v="0"/>
    <s v="no"/>
    <s v="no"/>
    <s v="RICAR"/>
    <n v="11059"/>
    <x v="35"/>
    <x v="35"/>
    <s v="RICAR_11059_Alice Mutton"/>
    <s v="11059"/>
    <s v="11059"/>
    <s v="Alice Mutton"/>
    <n v="39"/>
    <x v="0"/>
    <x v="0"/>
    <n v="468"/>
    <x v="1"/>
    <d v="1996-05-29T00:00:00"/>
    <s v=""/>
    <s v="2nd Q 1996"/>
  </r>
  <r>
    <x v="29"/>
    <x v="29"/>
    <s v="Janete"/>
    <s v="Limeira"/>
    <s v="Limeira, Janete"/>
    <s v="Limeira, Janete"/>
    <x v="0"/>
    <s v="no"/>
    <s v="no"/>
    <s v="RICAR"/>
    <n v="11059"/>
    <x v="11"/>
    <x v="11"/>
    <s v="RICAR_11059_Camembert Pierrot"/>
    <s v="11059"/>
    <s v="11059"/>
    <s v="Camembert Pierrot"/>
    <n v="34"/>
    <x v="5"/>
    <x v="0"/>
    <n v="1190"/>
    <x v="1"/>
    <d v="1996-05-29T00:00:00"/>
    <s v=""/>
    <s v="2nd Q 1996"/>
  </r>
  <r>
    <x v="70"/>
    <x v="70"/>
    <s v="Paolo"/>
    <s v="Accorti"/>
    <s v="Accorti, Paolo"/>
    <s v="Accorti, Paolo"/>
    <x v="0"/>
    <s v="no"/>
    <s v="no"/>
    <s v="FRANS"/>
    <n v="11060"/>
    <x v="11"/>
    <x v="11"/>
    <s v="FRANS_11060_Camembert Pierrot"/>
    <s v="11060"/>
    <s v="11060"/>
    <s v="Camembert Pierrot"/>
    <n v="34"/>
    <x v="22"/>
    <x v="0"/>
    <n v="136"/>
    <x v="1"/>
    <d v="1996-05-30T00:00:00"/>
    <s v=""/>
    <s v="2nd Q 1996"/>
  </r>
  <r>
    <x v="70"/>
    <x v="70"/>
    <s v="Paolo"/>
    <s v="Accorti"/>
    <s v="Accorti, Paolo"/>
    <s v="Accorti, Paolo"/>
    <x v="0"/>
    <s v="no"/>
    <s v="no"/>
    <s v="FRANS"/>
    <n v="11060"/>
    <x v="23"/>
    <x v="23"/>
    <s v="FRANS_11060_Original Frankfurter grüne Soße"/>
    <s v="11060"/>
    <s v="11060"/>
    <s v="Original Frankfurter grüne Soße"/>
    <n v="13"/>
    <x v="1"/>
    <x v="0"/>
    <n v="130"/>
    <x v="1"/>
    <d v="1996-05-30T00:00:00"/>
    <s v=""/>
    <s v="2nd Q 1996"/>
  </r>
  <r>
    <x v="79"/>
    <x v="79"/>
    <s v="Howard"/>
    <s v="Snyder"/>
    <s v="Snyder, Howard"/>
    <s v="Snyder, Howard"/>
    <x v="0"/>
    <s v="no"/>
    <s v="no"/>
    <s v="GREAL"/>
    <n v="11061"/>
    <x v="11"/>
    <x v="11"/>
    <s v="GREAL_11061_Camembert Pierrot"/>
    <s v="11061"/>
    <s v="11061"/>
    <s v="Camembert Pierrot"/>
    <n v="34"/>
    <x v="6"/>
    <x v="0"/>
    <n v="510"/>
    <x v="1"/>
    <d v="1996-05-30T00:00:00"/>
    <s v=""/>
    <s v="2nd Q 1996"/>
  </r>
  <r>
    <x v="30"/>
    <x v="30"/>
    <s v="Maurizio"/>
    <s v="Moroni"/>
    <s v="Moroni, Maurizio"/>
    <s v="Moroni, Maurizio"/>
    <x v="0"/>
    <s v="no"/>
    <s v="no"/>
    <s v="REGGC"/>
    <n v="11062"/>
    <x v="22"/>
    <x v="22"/>
    <s v="REGGC_11062_Perth Pasties"/>
    <s v="11062"/>
    <s v="11062"/>
    <s v="Perth Pasties"/>
    <n v="32.799999999999997"/>
    <x v="1"/>
    <x v="3"/>
    <n v="262.40000000000003"/>
    <x v="1"/>
    <d v="1996-05-30T00:00:00"/>
    <s v=""/>
    <s v="2nd Q 1996"/>
  </r>
  <r>
    <x v="30"/>
    <x v="30"/>
    <s v="Maurizio"/>
    <s v="Moroni"/>
    <s v="Moroni, Maurizio"/>
    <s v="Moroni, Maurizio"/>
    <x v="0"/>
    <s v="no"/>
    <s v="no"/>
    <s v="REGGC"/>
    <n v="11062"/>
    <x v="30"/>
    <x v="30"/>
    <s v="REGGC_11062_Outback Lager"/>
    <s v="11062"/>
    <s v="11062"/>
    <s v="Outback Lager"/>
    <n v="15"/>
    <x v="0"/>
    <x v="3"/>
    <n v="144"/>
    <x v="1"/>
    <d v="1996-05-30T00:00:00"/>
    <s v=""/>
    <s v="2nd Q 1996"/>
  </r>
  <r>
    <x v="34"/>
    <x v="34"/>
    <s v="Patricia"/>
    <s v="McKenna"/>
    <s v="McKenna, Patricia"/>
    <s v="McKenna, Patricia"/>
    <x v="0"/>
    <s v="no"/>
    <s v="no"/>
    <s v="HUNGO"/>
    <n v="11063"/>
    <x v="53"/>
    <x v="53"/>
    <s v="HUNGO_11063_Sasquatch Ale"/>
    <s v="11063"/>
    <s v="11063"/>
    <s v="Sasquatch Ale"/>
    <n v="14"/>
    <x v="12"/>
    <x v="0"/>
    <n v="420"/>
    <x v="1"/>
    <d v="1996-05-30T00:00:00"/>
    <s v=""/>
    <s v="2nd Q 1996"/>
  </r>
  <r>
    <x v="34"/>
    <x v="34"/>
    <s v="Patricia"/>
    <s v="McKenna"/>
    <s v="McKenna, Patricia"/>
    <s v="McKenna, Patricia"/>
    <x v="0"/>
    <s v="no"/>
    <s v="no"/>
    <s v="HUNGO"/>
    <n v="11063"/>
    <x v="37"/>
    <x v="37"/>
    <s v="HUNGO_11063_Boston Crab Meat"/>
    <s v="11063"/>
    <s v="11063"/>
    <s v="Boston Crab Meat"/>
    <n v="18.399999999999999"/>
    <x v="4"/>
    <x v="5"/>
    <n v="662.4"/>
    <x v="1"/>
    <d v="1996-05-30T00:00:00"/>
    <s v=""/>
    <s v="2nd Q 1996"/>
  </r>
  <r>
    <x v="34"/>
    <x v="34"/>
    <s v="Patricia"/>
    <s v="McKenna"/>
    <s v="McKenna, Patricia"/>
    <s v="McKenna, Patricia"/>
    <x v="0"/>
    <s v="no"/>
    <s v="no"/>
    <s v="HUNGO"/>
    <n v="11063"/>
    <x v="5"/>
    <x v="5"/>
    <s v="HUNGO_11063_Jack's New England Clam Chowder"/>
    <s v="11063"/>
    <s v="11063"/>
    <s v="Jack's New England Clam Chowder"/>
    <n v="9.65"/>
    <x v="12"/>
    <x v="5"/>
    <n v="260.55"/>
    <x v="1"/>
    <d v="1996-05-30T00:00:00"/>
    <s v=""/>
    <s v="2nd Q 1996"/>
  </r>
  <r>
    <x v="45"/>
    <x v="45"/>
    <s v="Jose"/>
    <s v="Pavarotti"/>
    <s v="Pavarotti, Jose"/>
    <s v="Pavarotti, Jose"/>
    <x v="0"/>
    <s v="no"/>
    <s v="moderate"/>
    <s v="SAVEA"/>
    <n v="11064"/>
    <x v="35"/>
    <x v="35"/>
    <s v="SAVEA_11064_Alice Mutton"/>
    <s v="11064"/>
    <s v="11064"/>
    <s v="Alice Mutton"/>
    <n v="39"/>
    <x v="36"/>
    <x v="5"/>
    <n v="2702.7000000000003"/>
    <x v="1"/>
    <d v="1996-05-31T00:00:00"/>
    <s v=""/>
    <s v="2nd Q 1996"/>
  </r>
  <r>
    <x v="45"/>
    <x v="45"/>
    <s v="Jose"/>
    <s v="Pavarotti"/>
    <s v="Pavarotti, Jose"/>
    <s v="Pavarotti, Jose"/>
    <x v="0"/>
    <s v="no"/>
    <s v="no"/>
    <s v="SAVEA"/>
    <n v="11064"/>
    <x v="5"/>
    <x v="5"/>
    <s v="SAVEA_11064_Jack's New England Clam Chowder"/>
    <s v="11064"/>
    <s v="11064"/>
    <s v="Jack's New England Clam Chowder"/>
    <n v="9.65"/>
    <x v="0"/>
    <x v="0"/>
    <n v="115.80000000000001"/>
    <x v="1"/>
    <d v="1996-05-31T00:00:00"/>
    <s v=""/>
    <s v="2nd Q 1996"/>
  </r>
  <r>
    <x v="45"/>
    <x v="45"/>
    <s v="Jose"/>
    <s v="Pavarotti"/>
    <s v="Pavarotti, Jose"/>
    <s v="Pavarotti, Jose"/>
    <x v="0"/>
    <s v="no"/>
    <s v="no"/>
    <s v="SAVEA"/>
    <n v="11064"/>
    <x v="22"/>
    <x v="22"/>
    <s v="SAVEA_11064_Perth Pasties"/>
    <s v="11064"/>
    <s v="11064"/>
    <s v="Perth Pasties"/>
    <n v="32.799999999999997"/>
    <x v="9"/>
    <x v="5"/>
    <n v="737.99999999999989"/>
    <x v="1"/>
    <d v="1996-05-31T00:00:00"/>
    <s v=""/>
    <s v="2nd Q 1996"/>
  </r>
  <r>
    <x v="45"/>
    <x v="45"/>
    <s v="Jose"/>
    <s v="Pavarotti"/>
    <s v="Pavarotti, Jose"/>
    <s v="Pavarotti, Jose"/>
    <x v="0"/>
    <s v="no"/>
    <s v="no"/>
    <s v="SAVEA"/>
    <n v="11064"/>
    <x v="16"/>
    <x v="16"/>
    <s v="SAVEA_11064_Pâté chinois"/>
    <s v="11064"/>
    <s v="11064"/>
    <s v="Pâté chinois"/>
    <n v="24"/>
    <x v="22"/>
    <x v="5"/>
    <n v="86.4"/>
    <x v="1"/>
    <d v="1996-05-31T00:00:00"/>
    <s v=""/>
    <s v="2nd Q 1996"/>
  </r>
  <r>
    <x v="45"/>
    <x v="45"/>
    <s v="Jose"/>
    <s v="Pavarotti"/>
    <s v="Pavarotti, Jose"/>
    <s v="Pavarotti, Jose"/>
    <x v="0"/>
    <s v="no"/>
    <s v="no"/>
    <s v="SAVEA"/>
    <n v="11064"/>
    <x v="56"/>
    <x v="56"/>
    <s v="SAVEA_11064_Scottish Longbreads"/>
    <s v="11064"/>
    <s v="11064"/>
    <s v="Scottish Longbreads"/>
    <n v="12.5"/>
    <x v="38"/>
    <x v="0"/>
    <n v="687.5"/>
    <x v="1"/>
    <d v="1996-05-31T00:00:00"/>
    <s v=""/>
    <s v="2nd Q 1996"/>
  </r>
  <r>
    <x v="28"/>
    <x v="28"/>
    <s v="Carlos"/>
    <s v="González"/>
    <s v="González, Carlos"/>
    <s v="González, Carlos"/>
    <x v="0"/>
    <s v="no"/>
    <s v="no"/>
    <s v="LILAS"/>
    <n v="11065"/>
    <x v="34"/>
    <x v="34"/>
    <s v="LILAS_11065_Nord-Ost Matjeshering"/>
    <s v="11065"/>
    <s v="11065"/>
    <s v="Nord-Ost Matjeshering"/>
    <n v="25.89"/>
    <x v="22"/>
    <x v="4"/>
    <n v="77.67"/>
    <x v="1"/>
    <d v="1996-05-31T00:00:00"/>
    <s v=""/>
    <s v="2nd Q 1996"/>
  </r>
  <r>
    <x v="28"/>
    <x v="28"/>
    <s v="Carlos"/>
    <s v="González"/>
    <s v="González, Carlos"/>
    <s v="González, Carlos"/>
    <x v="0"/>
    <s v="no"/>
    <s v="no"/>
    <s v="LILAS"/>
    <n v="11065"/>
    <x v="55"/>
    <x v="55"/>
    <s v="LILAS_11065_Tourtière"/>
    <s v="11065"/>
    <s v="11065"/>
    <s v="Tourtière"/>
    <n v="7.45"/>
    <x v="8"/>
    <x v="4"/>
    <n v="111.75"/>
    <x v="1"/>
    <d v="1996-05-31T00:00:00"/>
    <s v=""/>
    <s v="2nd Q 1996"/>
  </r>
  <r>
    <x v="19"/>
    <x v="19"/>
    <s v="Karl"/>
    <s v="Jablonski"/>
    <s v="Jablonski, Karl"/>
    <s v="Jablonski, Karl"/>
    <x v="0"/>
    <s v="no"/>
    <s v="no"/>
    <s v="WHITC"/>
    <n v="11066"/>
    <x v="19"/>
    <x v="19"/>
    <s v="WHITC_11066_Pavlova"/>
    <s v="11066"/>
    <s v="11066"/>
    <s v="Pavlova"/>
    <n v="17.45"/>
    <x v="28"/>
    <x v="0"/>
    <n v="52.349999999999994"/>
    <x v="1"/>
    <d v="1996-05-31T00:00:00"/>
    <s v=""/>
    <s v="2nd Q 1996"/>
  </r>
  <r>
    <x v="19"/>
    <x v="19"/>
    <s v="Karl"/>
    <s v="Jablonski"/>
    <s v="Jablonski, Karl"/>
    <s v="Jablonski, Karl"/>
    <x v="0"/>
    <s v="no"/>
    <s v="no"/>
    <s v="WHITC"/>
    <n v="11066"/>
    <x v="49"/>
    <x v="49"/>
    <s v="WHITC_11066_Teatime Chocolate Biscuits"/>
    <s v="11066"/>
    <s v="11066"/>
    <s v="Teatime Chocolate Biscuits"/>
    <n v="9.1999999999999993"/>
    <x v="10"/>
    <x v="0"/>
    <n v="386.4"/>
    <x v="1"/>
    <d v="1996-05-31T00:00:00"/>
    <s v=""/>
    <s v="2nd Q 1996"/>
  </r>
  <r>
    <x v="19"/>
    <x v="19"/>
    <s v="Karl"/>
    <s v="Jablonski"/>
    <s v="Jablonski, Karl"/>
    <s v="Jablonski, Karl"/>
    <x v="0"/>
    <s v="no"/>
    <s v="no"/>
    <s v="WHITC"/>
    <n v="11066"/>
    <x v="53"/>
    <x v="53"/>
    <s v="WHITC_11066_Sasquatch Ale"/>
    <s v="11066"/>
    <s v="11066"/>
    <s v="Sasquatch Ale"/>
    <n v="14"/>
    <x v="5"/>
    <x v="0"/>
    <n v="490"/>
    <x v="1"/>
    <d v="1996-05-31T00:00:00"/>
    <s v=""/>
    <s v="2nd Q 1996"/>
  </r>
  <r>
    <x v="57"/>
    <x v="57"/>
    <s v="Sven"/>
    <s v="Ottlieb"/>
    <s v="Ottlieb, Sven"/>
    <s v="Ottlieb, Sven"/>
    <x v="0"/>
    <s v="no"/>
    <s v="no"/>
    <s v="DRACD"/>
    <n v="11067"/>
    <x v="5"/>
    <x v="5"/>
    <s v="DRACD_11067_Jack's New England Clam Chowder"/>
    <s v="11067"/>
    <s v="11067"/>
    <s v="Jack's New England Clam Chowder"/>
    <n v="9.65"/>
    <x v="3"/>
    <x v="0"/>
    <n v="86.850000000000009"/>
    <x v="1"/>
    <d v="1996-06-03T00:00:00"/>
    <s v=""/>
    <s v="2nd Q 1996"/>
  </r>
  <r>
    <x v="62"/>
    <x v="62"/>
    <s v="Lúcia"/>
    <s v="Carvalho"/>
    <s v="Carvalho, Lúcia"/>
    <s v="Carvalho, Lúcia"/>
    <x v="0"/>
    <s v="no"/>
    <s v="no"/>
    <s v="QUEEN"/>
    <n v="11068"/>
    <x v="44"/>
    <x v="44"/>
    <s v="QUEEN_11068_Rössle Sauerkraut"/>
    <s v="11068"/>
    <s v="11068"/>
    <s v="Rössle Sauerkraut"/>
    <n v="45.6"/>
    <x v="26"/>
    <x v="1"/>
    <n v="310.08"/>
    <x v="1"/>
    <d v="1996-06-03T00:00:00"/>
    <s v=""/>
    <s v="2nd Q 1996"/>
  </r>
  <r>
    <x v="62"/>
    <x v="62"/>
    <s v="Lúcia"/>
    <s v="Carvalho"/>
    <s v="Carvalho, Lúcia"/>
    <s v="Carvalho, Lúcia"/>
    <x v="0"/>
    <s v="no"/>
    <s v="no"/>
    <s v="QUEEN"/>
    <n v="11068"/>
    <x v="40"/>
    <x v="40"/>
    <s v="QUEEN_11068_Ipoh Coffee"/>
    <s v="11068"/>
    <s v="11068"/>
    <s v="Ipoh Coffee"/>
    <n v="46"/>
    <x v="20"/>
    <x v="1"/>
    <n v="1407.6"/>
    <x v="1"/>
    <d v="1996-06-03T00:00:00"/>
    <s v=""/>
    <s v="2nd Q 1996"/>
  </r>
  <r>
    <x v="62"/>
    <x v="62"/>
    <s v="Lúcia"/>
    <s v="Carvalho"/>
    <s v="Carvalho, Lúcia"/>
    <s v="Carvalho, Lúcia"/>
    <x v="0"/>
    <s v="no"/>
    <s v="no"/>
    <s v="QUEEN"/>
    <n v="11068"/>
    <x v="23"/>
    <x v="23"/>
    <s v="QUEEN_11068_Original Frankfurter grüne Soße"/>
    <s v="11068"/>
    <s v="11068"/>
    <s v="Original Frankfurter grüne Soße"/>
    <n v="13"/>
    <x v="19"/>
    <x v="1"/>
    <n v="309.39999999999998"/>
    <x v="1"/>
    <d v="1996-06-03T00:00:00"/>
    <s v=""/>
    <s v="2nd Q 1996"/>
  </r>
  <r>
    <x v="23"/>
    <x v="23"/>
    <s v="Miguel"/>
    <s v="Angel Paolino"/>
    <s v="Angel Paolino, Miguel"/>
    <s v="Angel Paolino, Miguel"/>
    <x v="0"/>
    <s v="no"/>
    <s v="no"/>
    <s v="TORTU"/>
    <n v="11069"/>
    <x v="13"/>
    <x v="13"/>
    <s v="TORTU_11069_Chartreuse verte"/>
    <s v="11069"/>
    <s v="11069"/>
    <s v="Chartreuse verte"/>
    <n v="18"/>
    <x v="8"/>
    <x v="0"/>
    <n v="360"/>
    <x v="1"/>
    <d v="1996-06-03T00:00:00"/>
    <s v=""/>
    <s v="2nd Q 1996"/>
  </r>
  <r>
    <x v="26"/>
    <x v="26"/>
    <s v="Renate"/>
    <s v="Messner"/>
    <s v="Messner, Renate"/>
    <s v="Messner, Renate"/>
    <x v="0"/>
    <s v="no"/>
    <s v="no"/>
    <s v="LEHMS"/>
    <n v="11070"/>
    <x v="52"/>
    <x v="52"/>
    <s v="LEHMS_11070_Chai"/>
    <s v="11070"/>
    <s v="11070"/>
    <s v="Chai"/>
    <n v="18"/>
    <x v="4"/>
    <x v="1"/>
    <n v="612"/>
    <x v="1"/>
    <d v="1996-06-04T00:00:00"/>
    <s v=""/>
    <s v="2nd Q 1996"/>
  </r>
  <r>
    <x v="26"/>
    <x v="26"/>
    <s v="Renate"/>
    <s v="Messner"/>
    <s v="Messner, Renate"/>
    <s v="Messner, Renate"/>
    <x v="0"/>
    <s v="no"/>
    <s v="no"/>
    <s v="LEHMS"/>
    <n v="11070"/>
    <x v="18"/>
    <x v="18"/>
    <s v="LEHMS_11070_Chang"/>
    <s v="11070"/>
    <s v="11070"/>
    <s v="Chang"/>
    <n v="19"/>
    <x v="8"/>
    <x v="1"/>
    <n v="323"/>
    <x v="1"/>
    <d v="1996-06-04T00:00:00"/>
    <s v=""/>
    <s v="2nd Q 1996"/>
  </r>
  <r>
    <x v="26"/>
    <x v="26"/>
    <s v="Renate"/>
    <s v="Messner"/>
    <s v="Messner, Renate"/>
    <s v="Messner, Renate"/>
    <x v="0"/>
    <s v="no"/>
    <s v="no"/>
    <s v="LEHMS"/>
    <n v="11070"/>
    <x v="19"/>
    <x v="19"/>
    <s v="LEHMS_11070_Pavlova"/>
    <s v="11070"/>
    <s v="11070"/>
    <s v="Pavlova"/>
    <n v="17.45"/>
    <x v="12"/>
    <x v="1"/>
    <n v="444.97499999999997"/>
    <x v="1"/>
    <d v="1996-06-04T00:00:00"/>
    <s v=""/>
    <s v="2nd Q 1996"/>
  </r>
  <r>
    <x v="26"/>
    <x v="26"/>
    <s v="Renate"/>
    <s v="Messner"/>
    <s v="Messner, Renate"/>
    <s v="Messner, Renate"/>
    <x v="0"/>
    <s v="no"/>
    <s v="no"/>
    <s v="LEHMS"/>
    <n v="11070"/>
    <x v="12"/>
    <x v="12"/>
    <s v="LEHMS_11070_Gorgonzola Telino"/>
    <s v="11070"/>
    <s v="11070"/>
    <s v="Gorgonzola Telino"/>
    <n v="12.5"/>
    <x v="8"/>
    <x v="0"/>
    <n v="250"/>
    <x v="1"/>
    <d v="1996-06-04T00:00:00"/>
    <s v=""/>
    <s v="2nd Q 1996"/>
  </r>
  <r>
    <x v="28"/>
    <x v="28"/>
    <s v="Carlos"/>
    <s v="González"/>
    <s v="González, Carlos"/>
    <s v="González, Carlos"/>
    <x v="0"/>
    <s v="no"/>
    <s v="no"/>
    <s v="LILAS"/>
    <n v="11071"/>
    <x v="32"/>
    <x v="32"/>
    <s v="LILAS_11071_Uncle Bob's Organic Dried Pears"/>
    <s v="11071"/>
    <s v="11071"/>
    <s v="Uncle Bob's Organic Dried Pears"/>
    <n v="30"/>
    <x v="6"/>
    <x v="2"/>
    <n v="427.5"/>
    <x v="1"/>
    <d v="1996-06-04T00:00:00"/>
    <s v=""/>
    <s v="2nd Q 1996"/>
  </r>
  <r>
    <x v="28"/>
    <x v="28"/>
    <s v="Carlos"/>
    <s v="González"/>
    <s v="González, Carlos"/>
    <s v="González, Carlos"/>
    <x v="0"/>
    <s v="no"/>
    <s v="no"/>
    <s v="LILAS"/>
    <n v="11071"/>
    <x v="43"/>
    <x v="43"/>
    <s v="LILAS_11071_Konbu"/>
    <s v="11071"/>
    <s v="11071"/>
    <s v="Konbu"/>
    <n v="6"/>
    <x v="1"/>
    <x v="2"/>
    <n v="57"/>
    <x v="1"/>
    <d v="1996-06-04T00:00:00"/>
    <s v=""/>
    <s v="2nd Q 1996"/>
  </r>
  <r>
    <x v="9"/>
    <x v="9"/>
    <s v="Roland"/>
    <s v="Mendel"/>
    <s v="Mendel, Roland"/>
    <s v="Mendel, Roland"/>
    <x v="0"/>
    <s v="no"/>
    <s v="no"/>
    <s v="ERNSH"/>
    <n v="11072"/>
    <x v="18"/>
    <x v="18"/>
    <s v="ERNSH_11072_Chang"/>
    <s v="11072"/>
    <s v="11072"/>
    <s v="Chang"/>
    <n v="19"/>
    <x v="26"/>
    <x v="0"/>
    <n v="152"/>
    <x v="1"/>
    <d v="1996-06-04T00:00:00"/>
    <s v=""/>
    <s v="2nd Q 1996"/>
  </r>
  <r>
    <x v="9"/>
    <x v="9"/>
    <s v="Roland"/>
    <s v="Mendel"/>
    <s v="Mendel, Roland"/>
    <s v="Mendel, Roland"/>
    <x v="0"/>
    <s v="no"/>
    <s v="no"/>
    <s v="ERNSH"/>
    <n v="11072"/>
    <x v="5"/>
    <x v="5"/>
    <s v="ERNSH_11072_Jack's New England Clam Chowder"/>
    <s v="11072"/>
    <s v="11072"/>
    <s v="Jack's New England Clam Chowder"/>
    <n v="9.65"/>
    <x v="4"/>
    <x v="0"/>
    <n v="386"/>
    <x v="1"/>
    <d v="1996-06-04T00:00:00"/>
    <s v=""/>
    <s v="2nd Q 1996"/>
  </r>
  <r>
    <x v="9"/>
    <x v="9"/>
    <s v="Roland"/>
    <s v="Mendel"/>
    <s v="Mendel, Roland"/>
    <s v="Mendel, Roland"/>
    <x v="0"/>
    <s v="no"/>
    <s v="no"/>
    <s v="ERNSH"/>
    <n v="11072"/>
    <x v="72"/>
    <x v="72"/>
    <s v="ERNSH_11072_Valkoinen suklaa"/>
    <s v="11072"/>
    <s v="11072"/>
    <s v="Valkoinen suklaa"/>
    <n v="16.25"/>
    <x v="54"/>
    <x v="0"/>
    <n v="357.5"/>
    <x v="1"/>
    <d v="1996-06-04T00:00:00"/>
    <s v=""/>
    <s v="2nd Q 1996"/>
  </r>
  <r>
    <x v="9"/>
    <x v="9"/>
    <s v="Roland"/>
    <s v="Mendel"/>
    <s v="Mendel, Roland"/>
    <s v="Mendel, Roland"/>
    <x v="1"/>
    <s v="yes"/>
    <s v="yes"/>
    <s v="ERNSH"/>
    <n v="11072"/>
    <x v="58"/>
    <x v="58"/>
    <s v="ERNSH_11072_Wimmers gute Semmelknödel"/>
    <s v="11072"/>
    <s v="11072"/>
    <s v="Wimmers gute Semmelknödel"/>
    <n v="33.25"/>
    <x v="49"/>
    <x v="0"/>
    <n v="4322.5"/>
    <x v="1"/>
    <d v="1996-06-04T00:00:00"/>
    <s v=""/>
    <s v="2nd Q 1996"/>
  </r>
  <r>
    <x v="43"/>
    <x v="43"/>
    <s v="Guillermo"/>
    <s v="Fernández"/>
    <s v="Fernández, Guillermo"/>
    <s v="Fernández, Guillermo"/>
    <x v="0"/>
    <s v="no"/>
    <s v="no"/>
    <s v="PERIC"/>
    <n v="11073"/>
    <x v="0"/>
    <x v="0"/>
    <s v="PERIC_11073_Queso Cabrales"/>
    <s v="11073"/>
    <s v="11073"/>
    <s v="Queso Cabrales"/>
    <n v="21"/>
    <x v="1"/>
    <x v="0"/>
    <n v="210"/>
    <x v="1"/>
    <d v="1996-06-04T00:00:00"/>
    <s v=""/>
    <s v="2nd Q 1996"/>
  </r>
  <r>
    <x v="43"/>
    <x v="43"/>
    <s v="Guillermo"/>
    <s v="Fernández"/>
    <s v="Fernández, Guillermo"/>
    <s v="Fernández, Guillermo"/>
    <x v="0"/>
    <s v="no"/>
    <s v="no"/>
    <s v="PERIC"/>
    <n v="11073"/>
    <x v="15"/>
    <x v="15"/>
    <s v="PERIC_11073_Guaraná Fantástica"/>
    <s v="11073"/>
    <s v="11073"/>
    <s v="Guaraná Fantástica"/>
    <n v="4.5"/>
    <x v="8"/>
    <x v="0"/>
    <n v="90"/>
    <x v="1"/>
    <d v="1996-06-04T00:00:00"/>
    <s v=""/>
    <s v="2nd Q 1996"/>
  </r>
  <r>
    <x v="51"/>
    <x v="51"/>
    <s v="Jytte"/>
    <s v="Petersen"/>
    <s v="Petersen, Jytte"/>
    <s v="Petersen, Jytte"/>
    <x v="0"/>
    <s v="no"/>
    <s v="no"/>
    <s v="SIMOB"/>
    <n v="11074"/>
    <x v="19"/>
    <x v="19"/>
    <s v="SIMOB_11074_Pavlova"/>
    <s v="11074"/>
    <s v="11074"/>
    <s v="Pavlova"/>
    <n v="17.45"/>
    <x v="31"/>
    <x v="2"/>
    <n v="232.08499999999998"/>
    <x v="1"/>
    <d v="1996-06-05T00:00:00"/>
    <s v=""/>
    <s v="2nd Q 1996"/>
  </r>
  <r>
    <x v="6"/>
    <x v="6"/>
    <s v="Michael"/>
    <s v="Holz"/>
    <s v="Holz, Michael"/>
    <s v="Holz, Michael"/>
    <x v="0"/>
    <s v="no"/>
    <s v="no"/>
    <s v="RICSU"/>
    <n v="11075"/>
    <x v="18"/>
    <x v="18"/>
    <s v="RICSU_11075_Chang"/>
    <s v="11075"/>
    <s v="11075"/>
    <s v="Chang"/>
    <n v="19"/>
    <x v="1"/>
    <x v="1"/>
    <n v="161.5"/>
    <x v="1"/>
    <d v="1996-06-05T00:00:00"/>
    <s v=""/>
    <s v="2nd Q 1996"/>
  </r>
  <r>
    <x v="6"/>
    <x v="6"/>
    <s v="Michael"/>
    <s v="Holz"/>
    <s v="Holz, Michael"/>
    <s v="Holz, Michael"/>
    <x v="0"/>
    <s v="no"/>
    <s v="no"/>
    <s v="RICSU"/>
    <n v="11075"/>
    <x v="54"/>
    <x v="54"/>
    <s v="RICSU_11075_Spegesild"/>
    <s v="11075"/>
    <s v="11075"/>
    <s v="Spegesild"/>
    <n v="12"/>
    <x v="12"/>
    <x v="1"/>
    <n v="306"/>
    <x v="1"/>
    <d v="1996-06-05T00:00:00"/>
    <s v=""/>
    <s v="2nd Q 1996"/>
  </r>
  <r>
    <x v="6"/>
    <x v="6"/>
    <s v="Michael"/>
    <s v="Holz"/>
    <s v="Holz, Michael"/>
    <s v="Holz, Michael"/>
    <x v="0"/>
    <s v="no"/>
    <s v="no"/>
    <s v="RICSU"/>
    <n v="11075"/>
    <x v="38"/>
    <x v="38"/>
    <s v="RICSU_11075_Lakkalikööri"/>
    <s v="11075"/>
    <s v="11075"/>
    <s v="Lakkalikööri"/>
    <n v="18"/>
    <x v="17"/>
    <x v="1"/>
    <n v="30.599999999999998"/>
    <x v="1"/>
    <d v="1996-06-05T00:00:00"/>
    <s v=""/>
    <s v="2nd Q 1996"/>
  </r>
  <r>
    <x v="48"/>
    <x v="48"/>
    <s v="Laurence"/>
    <s v="Lebihan"/>
    <s v="Lebihan, Laurence"/>
    <s v="Lebihan, Laurence"/>
    <x v="0"/>
    <s v="no"/>
    <s v="no"/>
    <s v="BONAP"/>
    <n v="11076"/>
    <x v="63"/>
    <x v="63"/>
    <s v="BONAP_11076_Grandma's Boysenberry Spread"/>
    <s v="11076"/>
    <s v="11076"/>
    <s v="Grandma's Boysenberry Spread"/>
    <n v="25"/>
    <x v="8"/>
    <x v="4"/>
    <n v="375"/>
    <x v="1"/>
    <d v="1996-06-05T00:00:00"/>
    <s v=""/>
    <s v="2nd Q 1996"/>
  </r>
  <r>
    <x v="48"/>
    <x v="48"/>
    <s v="Laurence"/>
    <s v="Lebihan"/>
    <s v="Lebihan, Laurence"/>
    <s v="Lebihan, Laurence"/>
    <x v="0"/>
    <s v="no"/>
    <s v="no"/>
    <s v="BONAP"/>
    <n v="11076"/>
    <x v="3"/>
    <x v="3"/>
    <s v="BONAP_11076_Tofu"/>
    <s v="11076"/>
    <s v="11076"/>
    <s v="Tofu"/>
    <n v="23.25"/>
    <x v="8"/>
    <x v="4"/>
    <n v="348.75"/>
    <x v="1"/>
    <d v="1996-06-05T00:00:00"/>
    <s v=""/>
    <s v="2nd Q 1996"/>
  </r>
  <r>
    <x v="48"/>
    <x v="48"/>
    <s v="Laurence"/>
    <s v="Lebihan"/>
    <s v="Lebihan, Laurence"/>
    <s v="Lebihan, Laurence"/>
    <x v="0"/>
    <s v="no"/>
    <s v="no"/>
    <s v="BONAP"/>
    <n v="11076"/>
    <x v="49"/>
    <x v="49"/>
    <s v="BONAP_11076_Teatime Chocolate Biscuits"/>
    <s v="11076"/>
    <s v="11076"/>
    <s v="Teatime Chocolate Biscuits"/>
    <n v="9.1999999999999993"/>
    <x v="1"/>
    <x v="4"/>
    <n v="69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18"/>
    <x v="18"/>
    <s v="RATTC_11077_Chang"/>
    <s v="11077"/>
    <s v="11077"/>
    <s v="Chang"/>
    <n v="19"/>
    <x v="23"/>
    <x v="3"/>
    <n v="364.8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57"/>
    <x v="57"/>
    <s v="RATTC_11077_Aniseed Syrup"/>
    <s v="11077"/>
    <s v="11077"/>
    <s v="Aniseed Syrup"/>
    <n v="10"/>
    <x v="22"/>
    <x v="0"/>
    <n v="40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62"/>
    <x v="62"/>
    <s v="RATTC_11077_Chef Anton's Cajun Seasoning"/>
    <s v="11077"/>
    <s v="11077"/>
    <s v="Chef Anton's Cajun Seasoning"/>
    <n v="22"/>
    <x v="15"/>
    <x v="0"/>
    <n v="22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63"/>
    <x v="63"/>
    <s v="RATTC_11077_Grandma's Boysenberry Spread"/>
    <s v="11077"/>
    <s v="11077"/>
    <s v="Grandma's Boysenberry Spread"/>
    <n v="25"/>
    <x v="15"/>
    <x v="6"/>
    <n v="24.5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32"/>
    <x v="32"/>
    <s v="RATTC_11077_Uncle Bob's Organic Dried Pears"/>
    <s v="11077"/>
    <s v="11077"/>
    <s v="Uncle Bob's Organic Dried Pears"/>
    <n v="30"/>
    <x v="15"/>
    <x v="2"/>
    <n v="28.5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71"/>
    <x v="71"/>
    <s v="RATTC_11077_Northwoods Cranberry Sauce"/>
    <s v="11077"/>
    <s v="11077"/>
    <s v="Northwoods Cranberry Sauce"/>
    <n v="40"/>
    <x v="17"/>
    <x v="5"/>
    <n v="72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41"/>
    <x v="41"/>
    <s v="RATTC_11077_Ikura"/>
    <s v="11077"/>
    <s v="11077"/>
    <s v="Ikura"/>
    <n v="31"/>
    <x v="15"/>
    <x v="0"/>
    <n v="31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36"/>
    <x v="36"/>
    <s v="RATTC_11077_Queso Manchego La Pastora"/>
    <s v="11077"/>
    <s v="11077"/>
    <s v="Queso Manchego La Pastora"/>
    <n v="38"/>
    <x v="17"/>
    <x v="2"/>
    <n v="72.2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43"/>
    <x v="43"/>
    <s v="RATTC_11077_Konbu"/>
    <s v="11077"/>
    <s v="11077"/>
    <s v="Konbu"/>
    <n v="6"/>
    <x v="22"/>
    <x v="0"/>
    <n v="24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3"/>
    <x v="3"/>
    <s v="RATTC_11077_Tofu"/>
    <s v="11077"/>
    <s v="11077"/>
    <s v="Tofu"/>
    <n v="23.25"/>
    <x v="15"/>
    <x v="7"/>
    <n v="22.552499999999998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19"/>
    <x v="19"/>
    <s v="RATTC_11077_Pavlova"/>
    <s v="11077"/>
    <s v="11077"/>
    <s v="Pavlova"/>
    <n v="17.45"/>
    <x v="17"/>
    <x v="7"/>
    <n v="33.852999999999994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9"/>
    <x v="9"/>
    <s v="RATTC_11077_Sir Rodney's Marmalade"/>
    <s v="11077"/>
    <s v="11077"/>
    <s v="Sir Rodney's Marmalade"/>
    <n v="81"/>
    <x v="15"/>
    <x v="8"/>
    <n v="77.759999999999991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70"/>
    <x v="70"/>
    <s v="RATTC_11077_Tunnbröd"/>
    <s v="11077"/>
    <s v="11077"/>
    <s v="Tunnbröd"/>
    <n v="9"/>
    <x v="17"/>
    <x v="0"/>
    <n v="18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26"/>
    <x v="26"/>
    <s v="RATTC_11077_Mascarpone Fabioli"/>
    <s v="11077"/>
    <s v="11077"/>
    <s v="Mascarpone Fabioli"/>
    <n v="32"/>
    <x v="15"/>
    <x v="0"/>
    <n v="32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13"/>
    <x v="13"/>
    <s v="RATTC_11077_Chartreuse verte"/>
    <s v="11077"/>
    <s v="11077"/>
    <s v="Chartreuse verte"/>
    <n v="18"/>
    <x v="17"/>
    <x v="2"/>
    <n v="34.199999999999996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5"/>
    <x v="5"/>
    <s v="RATTC_11077_Jack's New England Clam Chowder"/>
    <s v="11077"/>
    <s v="11077"/>
    <s v="Jack's New England Clam Chowder"/>
    <n v="9.65"/>
    <x v="28"/>
    <x v="0"/>
    <n v="28.950000000000003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54"/>
    <x v="54"/>
    <s v="RATTC_11077_Spegesild"/>
    <s v="11077"/>
    <s v="11077"/>
    <s v="Spegesild"/>
    <n v="12"/>
    <x v="28"/>
    <x v="6"/>
    <n v="35.28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65"/>
    <x v="65"/>
    <s v="RATTC_11077_Filo Mix"/>
    <s v="11077"/>
    <s v="11077"/>
    <s v="Filo Mix"/>
    <n v="7"/>
    <x v="17"/>
    <x v="0"/>
    <n v="14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16"/>
    <x v="16"/>
    <s v="RATTC_11077_Pâté chinois"/>
    <s v="11077"/>
    <s v="11077"/>
    <s v="Pâté chinois"/>
    <n v="24"/>
    <x v="17"/>
    <x v="0"/>
    <n v="48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11"/>
    <x v="11"/>
    <s v="RATTC_11077_Camembert Pierrot"/>
    <s v="11077"/>
    <s v="11077"/>
    <s v="Camembert Pierrot"/>
    <n v="34"/>
    <x v="17"/>
    <x v="9"/>
    <n v="63.919999999999995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58"/>
    <x v="58"/>
    <s v="RATTC_11077_Wimmers gute Semmelknödel"/>
    <s v="11077"/>
    <s v="11077"/>
    <s v="Wimmers gute Semmelknödel"/>
    <n v="33.25"/>
    <x v="17"/>
    <x v="7"/>
    <n v="64.504999999999995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61"/>
    <x v="61"/>
    <s v="RATTC_11077_Louisiana Hot Spiced Okra"/>
    <s v="11077"/>
    <s v="11077"/>
    <s v="Louisiana Hot Spiced Okra"/>
    <n v="17"/>
    <x v="15"/>
    <x v="0"/>
    <n v="17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47"/>
    <x v="47"/>
    <s v="RATTC_11077_Röd Kaviar"/>
    <s v="11077"/>
    <s v="11077"/>
    <s v="Röd Kaviar"/>
    <n v="15"/>
    <x v="17"/>
    <x v="10"/>
    <n v="29.7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48"/>
    <x v="48"/>
    <s v="RATTC_11077_Rhönbräu Klosterbier"/>
    <s v="11077"/>
    <s v="11077"/>
    <s v="Rhönbräu Klosterbier"/>
    <n v="7.75"/>
    <x v="22"/>
    <x v="0"/>
    <n v="31"/>
    <x v="1"/>
    <d v="1996-06-05T00:00:00"/>
    <s v=""/>
    <s v="2nd Q 1996"/>
  </r>
  <r>
    <x v="13"/>
    <x v="13"/>
    <s v="Paula"/>
    <s v="Wilson"/>
    <s v="Wilson, Paula"/>
    <s v="Wilson, Paula"/>
    <x v="0"/>
    <s v="no"/>
    <s v="no"/>
    <s v="RATTC"/>
    <n v="11077"/>
    <x v="23"/>
    <x v="23"/>
    <s v="RATTC_11077_Original Frankfurter grüne Soße"/>
    <s v="11077"/>
    <s v="11077"/>
    <s v="Original Frankfurter grüne Soße"/>
    <n v="13"/>
    <x v="17"/>
    <x v="0"/>
    <n v="26"/>
    <x v="1"/>
    <d v="1996-06-05T00:00:00"/>
    <s v=""/>
    <s v="2nd Q 1996"/>
  </r>
  <r>
    <x v="15"/>
    <x v="15"/>
    <s v="Frédérique"/>
    <s v="Citeaux"/>
    <s v="Citeaux, Frédérique"/>
    <s v="Citeaux, Frédérique"/>
    <x v="0"/>
    <s v="no"/>
    <s v="no"/>
    <s v="BLONP"/>
    <n v="11079"/>
    <x v="52"/>
    <x v="52"/>
    <s v="BLONP_11079_Chai"/>
    <s v="11079"/>
    <s v="11079"/>
    <s v="Chai"/>
    <n v="18"/>
    <x v="2"/>
    <x v="0"/>
    <n v="90"/>
    <x v="1"/>
    <d v="1999-02-17T00:00:00"/>
    <s v=""/>
    <s v=""/>
  </r>
  <r>
    <x v="15"/>
    <x v="15"/>
    <s v="Frédérique"/>
    <s v="Citeaux"/>
    <s v="Citeaux, Frédérique"/>
    <s v="Citeaux, Frédérique"/>
    <x v="0"/>
    <s v="no"/>
    <s v="no"/>
    <s v="BLONP"/>
    <n v="11079"/>
    <x v="37"/>
    <x v="37"/>
    <s v="BLONP_11079_Boston Crab Meat"/>
    <s v="11079"/>
    <s v="11079"/>
    <s v="Boston Crab Meat"/>
    <n v="18.399999999999999"/>
    <x v="17"/>
    <x v="0"/>
    <n v="36.799999999999997"/>
    <x v="1"/>
    <d v="1999-02-17T00:00:00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735C30-E05C-43A5-A8A4-182015CF17A9}" name="PivotTable1" cacheId="0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7" indent="0" compact="0" compactData="0" multipleFieldFilters="0">
  <location ref="A2:D1779" firstHeaderRow="1" firstDataRow="2" firstDataCol="2"/>
  <pivotFields count="25">
    <pivotField axis="axisRow" compact="0" outline="0" showAll="0">
      <items count="90">
        <item x="85"/>
        <item x="39"/>
        <item x="59"/>
        <item x="55"/>
        <item x="25"/>
        <item x="76"/>
        <item x="15"/>
        <item x="46"/>
        <item x="48"/>
        <item x="66"/>
        <item x="31"/>
        <item x="78"/>
        <item x="10"/>
        <item x="5"/>
        <item x="32"/>
        <item x="72"/>
        <item x="35"/>
        <item x="57"/>
        <item x="41"/>
        <item x="58"/>
        <item x="9"/>
        <item x="52"/>
        <item x="68"/>
        <item x="14"/>
        <item x="86"/>
        <item x="70"/>
        <item x="17"/>
        <item x="47"/>
        <item x="60"/>
        <item x="36"/>
        <item x="71"/>
        <item x="79"/>
        <item x="18"/>
        <item x="2"/>
        <item x="8"/>
        <item x="64"/>
        <item x="34"/>
        <item x="42"/>
        <item x="44"/>
        <item x="88"/>
        <item x="53"/>
        <item x="75"/>
        <item x="74"/>
        <item x="26"/>
        <item x="82"/>
        <item x="28"/>
        <item x="67"/>
        <item x="38"/>
        <item x="22"/>
        <item x="80"/>
        <item x="49"/>
        <item x="24"/>
        <item x="77"/>
        <item x="69"/>
        <item x="37"/>
        <item x="11"/>
        <item x="43"/>
        <item x="54"/>
        <item x="50"/>
        <item x="12"/>
        <item x="62"/>
        <item x="21"/>
        <item x="73"/>
        <item x="13"/>
        <item x="30"/>
        <item x="29"/>
        <item x="6"/>
        <item x="27"/>
        <item x="65"/>
        <item x="45"/>
        <item x="56"/>
        <item x="51"/>
        <item x="87"/>
        <item x="20"/>
        <item x="4"/>
        <item x="40"/>
        <item x="84"/>
        <item x="1"/>
        <item x="23"/>
        <item x="33"/>
        <item x="81"/>
        <item x="61"/>
        <item x="3"/>
        <item x="0"/>
        <item x="16"/>
        <item x="7"/>
        <item x="19"/>
        <item x="83"/>
        <item x="6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78">
        <item x="35"/>
        <item x="57"/>
        <item x="37"/>
        <item x="11"/>
        <item x="59"/>
        <item x="52"/>
        <item x="18"/>
        <item x="13"/>
        <item x="62"/>
        <item x="25"/>
        <item x="74"/>
        <item x="67"/>
        <item x="64"/>
        <item x="65"/>
        <item x="42"/>
        <item x="10"/>
        <item x="50"/>
        <item x="33"/>
        <item x="12"/>
        <item x="63"/>
        <item x="28"/>
        <item x="15"/>
        <item x="60"/>
        <item x="45"/>
        <item x="68"/>
        <item x="7"/>
        <item x="41"/>
        <item x="20"/>
        <item x="40"/>
        <item x="5"/>
        <item x="43"/>
        <item x="38"/>
        <item x="51"/>
        <item x="17"/>
        <item x="6"/>
        <item x="61"/>
        <item x="4"/>
        <item x="26"/>
        <item x="14"/>
        <item x="76"/>
        <item x="2"/>
        <item x="34"/>
        <item x="71"/>
        <item x="66"/>
        <item x="23"/>
        <item x="30"/>
        <item x="16"/>
        <item x="19"/>
        <item x="22"/>
        <item x="0"/>
        <item x="36"/>
        <item x="21"/>
        <item x="8"/>
        <item x="48"/>
        <item x="47"/>
        <item x="73"/>
        <item x="44"/>
        <item x="53"/>
        <item x="24"/>
        <item x="56"/>
        <item x="1"/>
        <item x="9"/>
        <item x="27"/>
        <item x="75"/>
        <item x="54"/>
        <item x="31"/>
        <item x="29"/>
        <item x="49"/>
        <item x="39"/>
        <item x="3"/>
        <item x="55"/>
        <item x="70"/>
        <item x="32"/>
        <item x="72"/>
        <item x="46"/>
        <item x="58"/>
        <item x="69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Col" compact="0" outline="0" showAll="0">
      <items count="3">
        <item x="0"/>
        <item x="1"/>
        <item t="default"/>
      </items>
    </pivotField>
    <pivotField compact="0" numFmtId="164" outline="0" showAll="0"/>
    <pivotField compact="0" outline="0" showAll="0"/>
    <pivotField compact="0" outline="0" showAll="0"/>
  </pivotFields>
  <rowFields count="2">
    <field x="0"/>
    <field x="12"/>
  </rowFields>
  <rowItems count="1776">
    <i>
      <x/>
      <x v="1"/>
    </i>
    <i r="1">
      <x v="7"/>
    </i>
    <i r="1">
      <x v="12"/>
    </i>
    <i r="1">
      <x v="14"/>
    </i>
    <i r="1">
      <x v="19"/>
    </i>
    <i r="1">
      <x v="31"/>
    </i>
    <i r="1">
      <x v="44"/>
    </i>
    <i r="1">
      <x v="51"/>
    </i>
    <i r="1">
      <x v="56"/>
    </i>
    <i r="1">
      <x v="64"/>
    </i>
    <i r="1">
      <x v="74"/>
    </i>
    <i t="default">
      <x/>
    </i>
    <i>
      <x v="1"/>
      <x v="3"/>
    </i>
    <i r="1">
      <x v="22"/>
    </i>
    <i r="1">
      <x v="30"/>
    </i>
    <i r="1">
      <x v="37"/>
    </i>
    <i r="1">
      <x v="40"/>
    </i>
    <i r="1">
      <x v="45"/>
    </i>
    <i r="1">
      <x v="49"/>
    </i>
    <i r="1">
      <x v="60"/>
    </i>
    <i r="1">
      <x v="67"/>
    </i>
    <i r="1">
      <x v="69"/>
    </i>
    <i t="default">
      <x v="1"/>
    </i>
    <i>
      <x v="2"/>
      <x/>
    </i>
    <i r="1">
      <x v="2"/>
    </i>
    <i r="1">
      <x v="6"/>
    </i>
    <i r="1">
      <x v="10"/>
    </i>
    <i r="1">
      <x v="15"/>
    </i>
    <i r="1">
      <x v="24"/>
    </i>
    <i r="1">
      <x v="28"/>
    </i>
    <i r="1">
      <x v="35"/>
    </i>
    <i r="1">
      <x v="48"/>
    </i>
    <i r="1">
      <x v="49"/>
    </i>
    <i r="1">
      <x v="51"/>
    </i>
    <i r="1">
      <x v="52"/>
    </i>
    <i r="1">
      <x v="53"/>
    </i>
    <i r="1">
      <x v="57"/>
    </i>
    <i r="1">
      <x v="60"/>
    </i>
    <i t="default">
      <x v="2"/>
    </i>
    <i>
      <x v="3"/>
      <x v="3"/>
    </i>
    <i r="1">
      <x v="6"/>
    </i>
    <i r="1">
      <x v="10"/>
    </i>
    <i r="1">
      <x v="13"/>
    </i>
    <i r="1">
      <x v="14"/>
    </i>
    <i r="1">
      <x v="17"/>
    </i>
    <i r="1">
      <x v="18"/>
    </i>
    <i r="1">
      <x v="21"/>
    </i>
    <i r="1">
      <x v="25"/>
    </i>
    <i r="1">
      <x v="27"/>
    </i>
    <i r="1">
      <x v="29"/>
    </i>
    <i r="1">
      <x v="30"/>
    </i>
    <i r="1">
      <x v="32"/>
    </i>
    <i r="1">
      <x v="36"/>
    </i>
    <i r="1">
      <x v="45"/>
    </i>
    <i r="1">
      <x v="46"/>
    </i>
    <i r="1">
      <x v="48"/>
    </i>
    <i r="1">
      <x v="52"/>
    </i>
    <i r="1">
      <x v="54"/>
    </i>
    <i r="1">
      <x v="61"/>
    </i>
    <i r="1">
      <x v="64"/>
    </i>
    <i r="1">
      <x v="65"/>
    </i>
    <i r="1">
      <x v="73"/>
    </i>
    <i r="1">
      <x v="76"/>
    </i>
    <i t="default">
      <x v="3"/>
    </i>
    <i>
      <x v="4"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11"/>
    </i>
    <i r="1">
      <x v="13"/>
    </i>
    <i r="1">
      <x v="14"/>
    </i>
    <i r="1">
      <x v="21"/>
    </i>
    <i r="1">
      <x v="23"/>
    </i>
    <i r="1">
      <x v="24"/>
    </i>
    <i r="1">
      <x v="26"/>
    </i>
    <i r="1">
      <x v="28"/>
    </i>
    <i r="1">
      <x v="29"/>
    </i>
    <i r="1">
      <x v="30"/>
    </i>
    <i r="1">
      <x v="31"/>
    </i>
    <i r="1">
      <x v="37"/>
    </i>
    <i r="1">
      <x v="38"/>
    </i>
    <i r="1">
      <x v="41"/>
    </i>
    <i r="1">
      <x v="46"/>
    </i>
    <i r="1">
      <x v="47"/>
    </i>
    <i r="1">
      <x v="48"/>
    </i>
    <i r="1">
      <x v="51"/>
    </i>
    <i r="1">
      <x v="53"/>
    </i>
    <i r="1">
      <x v="54"/>
    </i>
    <i r="1">
      <x v="56"/>
    </i>
    <i r="1">
      <x v="61"/>
    </i>
    <i r="1">
      <x v="65"/>
    </i>
    <i r="1">
      <x v="67"/>
    </i>
    <i r="1">
      <x v="68"/>
    </i>
    <i r="1">
      <x v="69"/>
    </i>
    <i r="1">
      <x v="70"/>
    </i>
    <i r="1">
      <x v="74"/>
    </i>
    <i r="1">
      <x v="76"/>
    </i>
    <i t="default">
      <x v="4"/>
    </i>
    <i>
      <x v="5"/>
      <x v="3"/>
    </i>
    <i r="1">
      <x v="4"/>
    </i>
    <i r="1">
      <x v="7"/>
    </i>
    <i r="1">
      <x v="31"/>
    </i>
    <i r="1">
      <x v="36"/>
    </i>
    <i r="1">
      <x v="49"/>
    </i>
    <i r="1">
      <x v="52"/>
    </i>
    <i r="1">
      <x v="56"/>
    </i>
    <i r="1">
      <x v="62"/>
    </i>
    <i r="1">
      <x v="63"/>
    </i>
    <i r="1">
      <x v="70"/>
    </i>
    <i r="1">
      <x v="76"/>
    </i>
    <i t="default">
      <x v="5"/>
    </i>
    <i>
      <x v="6"/>
      <x/>
    </i>
    <i r="1">
      <x v="2"/>
    </i>
    <i r="1">
      <x v="4"/>
    </i>
    <i r="1">
      <x v="5"/>
    </i>
    <i r="1">
      <x v="7"/>
    </i>
    <i r="1">
      <x v="11"/>
    </i>
    <i r="1">
      <x v="13"/>
    </i>
    <i r="1">
      <x v="17"/>
    </i>
    <i r="1">
      <x v="18"/>
    </i>
    <i r="1">
      <x v="26"/>
    </i>
    <i r="1">
      <x v="29"/>
    </i>
    <i r="1">
      <x v="31"/>
    </i>
    <i r="1">
      <x v="38"/>
    </i>
    <i r="1">
      <x v="40"/>
    </i>
    <i r="1">
      <x v="45"/>
    </i>
    <i r="1">
      <x v="46"/>
    </i>
    <i r="1">
      <x v="49"/>
    </i>
    <i r="1">
      <x v="51"/>
    </i>
    <i r="1">
      <x v="52"/>
    </i>
    <i r="1">
      <x v="53"/>
    </i>
    <i r="1">
      <x v="56"/>
    </i>
    <i r="1">
      <x v="64"/>
    </i>
    <i r="1">
      <x v="66"/>
    </i>
    <i r="1">
      <x v="68"/>
    </i>
    <i r="1">
      <x v="70"/>
    </i>
    <i r="1">
      <x v="75"/>
    </i>
    <i t="default">
      <x v="6"/>
    </i>
    <i>
      <x v="7"/>
      <x/>
    </i>
    <i r="1">
      <x v="8"/>
    </i>
    <i r="1">
      <x v="13"/>
    </i>
    <i r="1">
      <x v="52"/>
    </i>
    <i r="1">
      <x v="53"/>
    </i>
    <i r="1">
      <x v="68"/>
    </i>
    <i t="default">
      <x v="7"/>
    </i>
    <i>
      <x v="8"/>
      <x/>
    </i>
    <i r="1">
      <x v="2"/>
    </i>
    <i r="1">
      <x v="4"/>
    </i>
    <i r="1">
      <x v="7"/>
    </i>
    <i r="1">
      <x v="8"/>
    </i>
    <i r="1">
      <x v="14"/>
    </i>
    <i r="1">
      <x v="17"/>
    </i>
    <i r="1">
      <x v="18"/>
    </i>
    <i r="1">
      <x v="19"/>
    </i>
    <i r="1">
      <x v="22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4"/>
    </i>
    <i r="1">
      <x v="36"/>
    </i>
    <i r="1">
      <x v="40"/>
    </i>
    <i r="1">
      <x v="42"/>
    </i>
    <i r="1">
      <x v="43"/>
    </i>
    <i r="1">
      <x v="47"/>
    </i>
    <i r="1">
      <x v="52"/>
    </i>
    <i r="1">
      <x v="53"/>
    </i>
    <i r="1">
      <x v="60"/>
    </i>
    <i r="1">
      <x v="64"/>
    </i>
    <i r="1">
      <x v="66"/>
    </i>
    <i r="1">
      <x v="67"/>
    </i>
    <i r="1">
      <x v="69"/>
    </i>
    <i r="1">
      <x v="70"/>
    </i>
    <i r="1">
      <x v="71"/>
    </i>
    <i r="1">
      <x v="72"/>
    </i>
    <i r="1">
      <x v="75"/>
    </i>
    <i r="1">
      <x v="76"/>
    </i>
    <i t="default">
      <x v="8"/>
    </i>
    <i>
      <x v="9"/>
      <x/>
    </i>
    <i r="1">
      <x v="1"/>
    </i>
    <i r="1">
      <x v="2"/>
    </i>
    <i r="1">
      <x v="3"/>
    </i>
    <i r="1">
      <x v="5"/>
    </i>
    <i r="1">
      <x v="15"/>
    </i>
    <i r="1">
      <x v="17"/>
    </i>
    <i r="1">
      <x v="19"/>
    </i>
    <i r="1">
      <x v="21"/>
    </i>
    <i r="1">
      <x v="23"/>
    </i>
    <i r="1">
      <x v="26"/>
    </i>
    <i r="1">
      <x v="28"/>
    </i>
    <i r="1">
      <x v="29"/>
    </i>
    <i r="1">
      <x v="36"/>
    </i>
    <i r="1">
      <x v="40"/>
    </i>
    <i r="1">
      <x v="42"/>
    </i>
    <i r="1">
      <x v="43"/>
    </i>
    <i r="1">
      <x v="45"/>
    </i>
    <i r="1">
      <x v="46"/>
    </i>
    <i r="1">
      <x v="49"/>
    </i>
    <i r="1">
      <x v="51"/>
    </i>
    <i r="1">
      <x v="53"/>
    </i>
    <i r="1">
      <x v="59"/>
    </i>
    <i r="1">
      <x v="60"/>
    </i>
    <i r="1">
      <x v="66"/>
    </i>
    <i r="1">
      <x v="72"/>
    </i>
    <i r="1">
      <x v="76"/>
    </i>
    <i t="default">
      <x v="9"/>
    </i>
    <i>
      <x v="10"/>
      <x v="1"/>
    </i>
    <i r="1">
      <x v="2"/>
    </i>
    <i r="1">
      <x v="15"/>
    </i>
    <i r="1">
      <x v="17"/>
    </i>
    <i r="1">
      <x v="25"/>
    </i>
    <i r="1">
      <x v="28"/>
    </i>
    <i r="1">
      <x v="30"/>
    </i>
    <i r="1">
      <x v="36"/>
    </i>
    <i r="1">
      <x v="38"/>
    </i>
    <i r="1">
      <x v="40"/>
    </i>
    <i r="1">
      <x v="45"/>
    </i>
    <i r="1">
      <x v="51"/>
    </i>
    <i r="1">
      <x v="52"/>
    </i>
    <i r="1">
      <x v="62"/>
    </i>
    <i r="1">
      <x v="64"/>
    </i>
    <i r="1">
      <x v="65"/>
    </i>
    <i r="1">
      <x v="66"/>
    </i>
    <i r="1">
      <x v="72"/>
    </i>
    <i r="1">
      <x v="75"/>
    </i>
    <i t="default">
      <x v="10"/>
    </i>
    <i>
      <x v="11"/>
      <x v="15"/>
    </i>
    <i r="1">
      <x v="18"/>
    </i>
    <i r="1">
      <x v="28"/>
    </i>
    <i r="1">
      <x v="29"/>
    </i>
    <i r="1">
      <x v="32"/>
    </i>
    <i r="1">
      <x v="53"/>
    </i>
    <i r="1">
      <x v="54"/>
    </i>
    <i r="1">
      <x v="56"/>
    </i>
    <i r="1">
      <x v="57"/>
    </i>
    <i r="1">
      <x v="59"/>
    </i>
    <i r="1">
      <x v="65"/>
    </i>
    <i t="default">
      <x v="11"/>
    </i>
    <i>
      <x v="12"/>
      <x v="20"/>
    </i>
    <i r="1">
      <x v="62"/>
    </i>
    <i t="default">
      <x v="12"/>
    </i>
    <i>
      <x v="13"/>
      <x v="3"/>
    </i>
    <i r="1">
      <x v="5"/>
    </i>
    <i r="1">
      <x v="6"/>
    </i>
    <i r="1">
      <x v="17"/>
    </i>
    <i r="1">
      <x v="20"/>
    </i>
    <i r="1">
      <x v="21"/>
    </i>
    <i r="1">
      <x v="22"/>
    </i>
    <i r="1">
      <x v="26"/>
    </i>
    <i r="1">
      <x v="30"/>
    </i>
    <i r="1">
      <x v="33"/>
    </i>
    <i r="1">
      <x v="36"/>
    </i>
    <i r="1">
      <x v="46"/>
    </i>
    <i r="1">
      <x v="60"/>
    </i>
    <i r="1">
      <x v="62"/>
    </i>
    <i r="1">
      <x v="66"/>
    </i>
    <i r="1">
      <x v="74"/>
    </i>
    <i r="1">
      <x v="75"/>
    </i>
    <i t="default">
      <x v="13"/>
    </i>
    <i>
      <x v="14"/>
      <x v="9"/>
    </i>
    <i r="1">
      <x v="17"/>
    </i>
    <i r="1">
      <x v="23"/>
    </i>
    <i r="1">
      <x v="38"/>
    </i>
    <i r="1">
      <x v="44"/>
    </i>
    <i r="1">
      <x v="49"/>
    </i>
    <i r="1">
      <x v="63"/>
    </i>
    <i r="1">
      <x v="64"/>
    </i>
    <i r="1">
      <x v="68"/>
    </i>
    <i t="default">
      <x v="14"/>
    </i>
    <i>
      <x v="15"/>
      <x v="6"/>
    </i>
    <i r="1">
      <x v="9"/>
    </i>
    <i r="1">
      <x v="25"/>
    </i>
    <i r="1">
      <x v="30"/>
    </i>
    <i r="1">
      <x v="39"/>
    </i>
    <i r="1">
      <x v="40"/>
    </i>
    <i r="1">
      <x v="71"/>
    </i>
    <i t="default">
      <x v="15"/>
    </i>
    <i>
      <x v="16"/>
      <x v="2"/>
    </i>
    <i r="1">
      <x v="5"/>
    </i>
    <i r="1">
      <x v="6"/>
    </i>
    <i r="1">
      <x v="15"/>
    </i>
    <i r="1">
      <x v="17"/>
    </i>
    <i r="1">
      <x v="18"/>
    </i>
    <i r="1">
      <x v="22"/>
    </i>
    <i r="1">
      <x v="25"/>
    </i>
    <i r="1">
      <x v="28"/>
    </i>
    <i r="1">
      <x v="37"/>
    </i>
    <i r="1">
      <x v="45"/>
    </i>
    <i r="1">
      <x v="46"/>
    </i>
    <i r="1">
      <x v="48"/>
    </i>
    <i r="1">
      <x v="50"/>
    </i>
    <i r="1">
      <x v="53"/>
    </i>
    <i r="1">
      <x v="56"/>
    </i>
    <i r="1">
      <x v="62"/>
    </i>
    <i r="1">
      <x v="63"/>
    </i>
    <i r="1">
      <x v="65"/>
    </i>
    <i r="1">
      <x v="67"/>
    </i>
    <i r="1">
      <x v="71"/>
    </i>
    <i r="1">
      <x v="75"/>
    </i>
    <i t="default">
      <x v="16"/>
    </i>
    <i>
      <x v="17"/>
      <x v="18"/>
    </i>
    <i r="1">
      <x v="24"/>
    </i>
    <i r="1">
      <x v="29"/>
    </i>
    <i r="1">
      <x v="30"/>
    </i>
    <i r="1">
      <x v="31"/>
    </i>
    <i r="1">
      <x v="48"/>
    </i>
    <i r="1">
      <x v="49"/>
    </i>
    <i r="1">
      <x v="51"/>
    </i>
    <i r="1">
      <x v="53"/>
    </i>
    <i t="default">
      <x v="17"/>
    </i>
    <i>
      <x v="18"/>
      <x/>
    </i>
    <i r="1">
      <x v="5"/>
    </i>
    <i r="1">
      <x v="13"/>
    </i>
    <i r="1">
      <x v="22"/>
    </i>
    <i r="1">
      <x v="26"/>
    </i>
    <i r="1">
      <x v="29"/>
    </i>
    <i r="1">
      <x v="57"/>
    </i>
    <i r="1">
      <x v="60"/>
    </i>
    <i r="1">
      <x v="62"/>
    </i>
    <i t="default">
      <x v="18"/>
    </i>
    <i>
      <x v="19"/>
      <x v="3"/>
    </i>
    <i r="1">
      <x v="5"/>
    </i>
    <i r="1">
      <x v="8"/>
    </i>
    <i r="1">
      <x v="9"/>
    </i>
    <i r="1">
      <x v="14"/>
    </i>
    <i r="1">
      <x v="15"/>
    </i>
    <i r="1">
      <x v="22"/>
    </i>
    <i r="1">
      <x v="24"/>
    </i>
    <i r="1">
      <x v="28"/>
    </i>
    <i r="1">
      <x v="34"/>
    </i>
    <i r="1">
      <x v="35"/>
    </i>
    <i r="1">
      <x v="38"/>
    </i>
    <i r="1">
      <x v="40"/>
    </i>
    <i r="1">
      <x v="41"/>
    </i>
    <i r="1">
      <x v="46"/>
    </i>
    <i r="1">
      <x v="49"/>
    </i>
    <i r="1">
      <x v="65"/>
    </i>
    <i r="1">
      <x v="68"/>
    </i>
    <i r="1">
      <x v="72"/>
    </i>
    <i t="default">
      <x v="19"/>
    </i>
    <i>
      <x v="20"/>
      <x/>
    </i>
    <i r="1">
      <x v="1"/>
    </i>
    <i r="1">
      <x v="2"/>
    </i>
    <i r="1">
      <x v="3"/>
    </i>
    <i r="1">
      <x v="4"/>
    </i>
    <i r="1">
      <x v="6"/>
    </i>
    <i r="1">
      <x v="7"/>
    </i>
    <i r="1">
      <x v="9"/>
    </i>
    <i r="1">
      <x v="10"/>
    </i>
    <i r="1">
      <x v="11"/>
    </i>
    <i r="1">
      <x v="14"/>
    </i>
    <i r="1">
      <x v="15"/>
    </i>
    <i r="1">
      <x v="17"/>
    </i>
    <i r="1">
      <x v="18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9"/>
    </i>
    <i r="1">
      <x v="30"/>
    </i>
    <i r="1">
      <x v="33"/>
    </i>
    <i r="1">
      <x v="34"/>
    </i>
    <i r="1">
      <x v="35"/>
    </i>
    <i r="1">
      <x v="36"/>
    </i>
    <i r="1">
      <x v="37"/>
    </i>
    <i r="1">
      <x v="40"/>
    </i>
    <i r="1">
      <x v="41"/>
    </i>
    <i r="1">
      <x v="45"/>
    </i>
    <i r="1">
      <x v="46"/>
    </i>
    <i r="1">
      <x v="47"/>
    </i>
    <i r="1">
      <x v="49"/>
    </i>
    <i r="1">
      <x v="50"/>
    </i>
    <i r="1">
      <x v="51"/>
    </i>
    <i r="1">
      <x v="52"/>
    </i>
    <i r="1">
      <x v="53"/>
    </i>
    <i r="1">
      <x v="55"/>
    </i>
    <i r="1">
      <x v="56"/>
    </i>
    <i r="1">
      <x v="57"/>
    </i>
    <i r="1">
      <x v="58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t="default">
      <x v="20"/>
    </i>
    <i>
      <x v="21"/>
      <x v="2"/>
    </i>
    <i r="1">
      <x v="3"/>
    </i>
    <i r="1">
      <x v="7"/>
    </i>
    <i r="1">
      <x v="13"/>
    </i>
    <i r="1">
      <x v="15"/>
    </i>
    <i r="1">
      <x v="21"/>
    </i>
    <i r="1">
      <x v="29"/>
    </i>
    <i r="1">
      <x v="41"/>
    </i>
    <i r="1">
      <x v="43"/>
    </i>
    <i r="1">
      <x v="46"/>
    </i>
    <i r="1">
      <x v="48"/>
    </i>
    <i r="1">
      <x v="53"/>
    </i>
    <i r="1">
      <x v="57"/>
    </i>
    <i r="1">
      <x v="64"/>
    </i>
    <i r="1">
      <x v="67"/>
    </i>
    <i r="1">
      <x v="70"/>
    </i>
    <i r="1">
      <x v="76"/>
    </i>
    <i t="default">
      <x v="21"/>
    </i>
    <i>
      <x v="22"/>
      <x v="4"/>
    </i>
    <i r="1">
      <x v="20"/>
    </i>
    <i r="1">
      <x v="21"/>
    </i>
    <i r="1">
      <x v="25"/>
    </i>
    <i r="1">
      <x v="36"/>
    </i>
    <i r="1">
      <x v="51"/>
    </i>
    <i r="1">
      <x v="53"/>
    </i>
    <i r="1">
      <x v="59"/>
    </i>
    <i r="1">
      <x v="62"/>
    </i>
    <i r="1">
      <x v="65"/>
    </i>
    <i r="1">
      <x v="66"/>
    </i>
    <i r="1">
      <x v="70"/>
    </i>
    <i r="1">
      <x v="72"/>
    </i>
    <i r="1">
      <x v="74"/>
    </i>
    <i r="1">
      <x v="76"/>
    </i>
    <i t="default">
      <x v="22"/>
    </i>
    <i>
      <x v="23"/>
      <x v="6"/>
    </i>
    <i r="1">
      <x v="7"/>
    </i>
    <i r="1">
      <x v="8"/>
    </i>
    <i r="1">
      <x v="12"/>
    </i>
    <i r="1">
      <x v="14"/>
    </i>
    <i r="1">
      <x v="17"/>
    </i>
    <i r="1">
      <x v="18"/>
    </i>
    <i r="1">
      <x v="23"/>
    </i>
    <i r="1">
      <x v="25"/>
    </i>
    <i r="1">
      <x v="29"/>
    </i>
    <i r="1">
      <x v="31"/>
    </i>
    <i r="1">
      <x v="35"/>
    </i>
    <i r="1">
      <x v="36"/>
    </i>
    <i r="1">
      <x v="40"/>
    </i>
    <i r="1">
      <x v="41"/>
    </i>
    <i r="1">
      <x v="45"/>
    </i>
    <i r="1">
      <x v="46"/>
    </i>
    <i r="1">
      <x v="49"/>
    </i>
    <i r="1">
      <x v="51"/>
    </i>
    <i r="1">
      <x v="53"/>
    </i>
    <i r="1">
      <x v="54"/>
    </i>
    <i r="1">
      <x v="59"/>
    </i>
    <i r="1">
      <x v="63"/>
    </i>
    <i r="1">
      <x v="64"/>
    </i>
    <i r="1">
      <x v="66"/>
    </i>
    <i r="1">
      <x v="68"/>
    </i>
    <i r="1">
      <x v="71"/>
    </i>
    <i r="1">
      <x v="72"/>
    </i>
    <i r="1">
      <x v="74"/>
    </i>
    <i r="1">
      <x v="76"/>
    </i>
    <i t="default">
      <x v="23"/>
    </i>
    <i>
      <x v="24"/>
      <x v="31"/>
    </i>
    <i r="1">
      <x v="34"/>
    </i>
    <i r="1">
      <x v="36"/>
    </i>
    <i r="1">
      <x v="47"/>
    </i>
    <i r="1">
      <x v="66"/>
    </i>
    <i r="1">
      <x v="68"/>
    </i>
    <i t="default">
      <x v="24"/>
    </i>
    <i>
      <x v="25"/>
      <x v="2"/>
    </i>
    <i r="1">
      <x v="3"/>
    </i>
    <i r="1">
      <x v="4"/>
    </i>
    <i r="1">
      <x v="24"/>
    </i>
    <i r="1">
      <x v="33"/>
    </i>
    <i r="1">
      <x v="36"/>
    </i>
    <i r="1">
      <x v="44"/>
    </i>
    <i r="1">
      <x v="55"/>
    </i>
    <i r="1">
      <x v="67"/>
    </i>
    <i r="1">
      <x v="76"/>
    </i>
    <i t="default">
      <x v="25"/>
    </i>
    <i>
      <x v="26"/>
      <x v="2"/>
    </i>
    <i r="1">
      <x v="3"/>
    </i>
    <i r="1">
      <x v="6"/>
    </i>
    <i r="1">
      <x v="12"/>
    </i>
    <i r="1">
      <x v="14"/>
    </i>
    <i r="1">
      <x v="18"/>
    </i>
    <i r="1">
      <x v="20"/>
    </i>
    <i r="1">
      <x v="21"/>
    </i>
    <i r="1">
      <x v="22"/>
    </i>
    <i r="1">
      <x v="24"/>
    </i>
    <i r="1">
      <x v="27"/>
    </i>
    <i r="1">
      <x v="29"/>
    </i>
    <i r="1">
      <x v="31"/>
    </i>
    <i r="1">
      <x v="32"/>
    </i>
    <i r="1">
      <x v="40"/>
    </i>
    <i r="1">
      <x v="41"/>
    </i>
    <i r="1">
      <x v="44"/>
    </i>
    <i r="1">
      <x v="46"/>
    </i>
    <i r="1">
      <x v="47"/>
    </i>
    <i r="1">
      <x v="48"/>
    </i>
    <i r="1">
      <x v="51"/>
    </i>
    <i r="1">
      <x v="53"/>
    </i>
    <i r="1">
      <x v="54"/>
    </i>
    <i r="1">
      <x v="62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5"/>
    </i>
    <i t="default">
      <x v="26"/>
    </i>
    <i>
      <x v="27"/>
      <x v="3"/>
    </i>
    <i r="1">
      <x v="8"/>
    </i>
    <i r="1">
      <x v="10"/>
    </i>
    <i r="1">
      <x v="17"/>
    </i>
    <i r="1">
      <x v="21"/>
    </i>
    <i r="1">
      <x v="23"/>
    </i>
    <i r="1">
      <x v="26"/>
    </i>
    <i r="1">
      <x v="28"/>
    </i>
    <i r="1">
      <x v="31"/>
    </i>
    <i r="1">
      <x v="34"/>
    </i>
    <i r="1">
      <x v="44"/>
    </i>
    <i r="1">
      <x v="47"/>
    </i>
    <i r="1">
      <x v="51"/>
    </i>
    <i r="1">
      <x v="59"/>
    </i>
    <i r="1">
      <x v="65"/>
    </i>
    <i r="1">
      <x v="70"/>
    </i>
    <i t="default">
      <x v="27"/>
    </i>
    <i>
      <x v="28"/>
      <x v="17"/>
    </i>
    <i r="1">
      <x v="26"/>
    </i>
    <i r="1">
      <x v="31"/>
    </i>
    <i r="1">
      <x v="34"/>
    </i>
    <i r="1">
      <x v="43"/>
    </i>
    <i r="1">
      <x v="44"/>
    </i>
    <i r="1">
      <x v="75"/>
    </i>
    <i r="1">
      <x v="76"/>
    </i>
    <i t="default">
      <x v="28"/>
    </i>
    <i>
      <x v="29"/>
      <x/>
    </i>
    <i r="1">
      <x v="2"/>
    </i>
    <i r="1">
      <x v="3"/>
    </i>
    <i r="1">
      <x v="5"/>
    </i>
    <i r="1">
      <x v="6"/>
    </i>
    <i r="1">
      <x v="21"/>
    </i>
    <i r="1">
      <x v="26"/>
    </i>
    <i r="1">
      <x v="27"/>
    </i>
    <i r="1">
      <x v="32"/>
    </i>
    <i r="1">
      <x v="34"/>
    </i>
    <i r="1">
      <x v="36"/>
    </i>
    <i r="1">
      <x v="45"/>
    </i>
    <i r="1">
      <x v="46"/>
    </i>
    <i r="1">
      <x v="59"/>
    </i>
    <i r="1">
      <x v="62"/>
    </i>
    <i r="1">
      <x v="63"/>
    </i>
    <i r="1">
      <x v="66"/>
    </i>
    <i r="1">
      <x v="67"/>
    </i>
    <i r="1">
      <x v="68"/>
    </i>
    <i r="1">
      <x v="73"/>
    </i>
    <i r="1">
      <x v="75"/>
    </i>
    <i t="default">
      <x v="29"/>
    </i>
    <i>
      <x v="30"/>
      <x v="3"/>
    </i>
    <i r="1">
      <x v="6"/>
    </i>
    <i r="1">
      <x v="17"/>
    </i>
    <i r="1">
      <x v="18"/>
    </i>
    <i r="1">
      <x v="19"/>
    </i>
    <i r="1">
      <x v="26"/>
    </i>
    <i r="1">
      <x v="29"/>
    </i>
    <i r="1">
      <x v="31"/>
    </i>
    <i r="1">
      <x v="36"/>
    </i>
    <i r="1">
      <x v="41"/>
    </i>
    <i r="1">
      <x v="42"/>
    </i>
    <i r="1">
      <x v="50"/>
    </i>
    <i r="1">
      <x v="51"/>
    </i>
    <i r="1">
      <x v="53"/>
    </i>
    <i r="1">
      <x v="60"/>
    </i>
    <i r="1">
      <x v="72"/>
    </i>
    <i r="1">
      <x v="76"/>
    </i>
    <i t="default">
      <x v="30"/>
    </i>
    <i>
      <x v="31"/>
      <x v="3"/>
    </i>
    <i r="1">
      <x v="5"/>
    </i>
    <i r="1">
      <x v="11"/>
    </i>
    <i r="1">
      <x v="14"/>
    </i>
    <i r="1">
      <x v="15"/>
    </i>
    <i r="1">
      <x v="17"/>
    </i>
    <i r="1">
      <x v="23"/>
    </i>
    <i r="1">
      <x v="27"/>
    </i>
    <i r="1">
      <x v="40"/>
    </i>
    <i r="1">
      <x v="45"/>
    </i>
    <i r="1">
      <x v="49"/>
    </i>
    <i r="1">
      <x v="51"/>
    </i>
    <i r="1">
      <x v="62"/>
    </i>
    <i r="1">
      <x v="65"/>
    </i>
    <i r="1">
      <x v="66"/>
    </i>
    <i r="1">
      <x v="67"/>
    </i>
    <i r="1">
      <x v="68"/>
    </i>
    <i r="1">
      <x v="69"/>
    </i>
    <i r="1">
      <x v="75"/>
    </i>
    <i r="1">
      <x v="76"/>
    </i>
    <i t="default">
      <x v="31"/>
    </i>
    <i>
      <x v="32"/>
      <x v="26"/>
    </i>
    <i r="1">
      <x v="40"/>
    </i>
    <i r="1">
      <x v="53"/>
    </i>
    <i r="1">
      <x v="68"/>
    </i>
    <i t="default">
      <x v="32"/>
    </i>
    <i>
      <x v="33"/>
      <x/>
    </i>
    <i r="1">
      <x v="4"/>
    </i>
    <i r="1">
      <x v="7"/>
    </i>
    <i r="1">
      <x v="11"/>
    </i>
    <i r="1">
      <x v="13"/>
    </i>
    <i r="1">
      <x v="14"/>
    </i>
    <i r="1">
      <x v="17"/>
    </i>
    <i r="1">
      <x v="18"/>
    </i>
    <i r="1">
      <x v="21"/>
    </i>
    <i r="1">
      <x v="22"/>
    </i>
    <i r="1">
      <x v="26"/>
    </i>
    <i r="1">
      <x v="27"/>
    </i>
    <i r="1">
      <x v="28"/>
    </i>
    <i r="1">
      <x v="29"/>
    </i>
    <i r="1">
      <x v="30"/>
    </i>
    <i r="1">
      <x v="34"/>
    </i>
    <i r="1">
      <x v="36"/>
    </i>
    <i r="1">
      <x v="38"/>
    </i>
    <i r="1">
      <x v="44"/>
    </i>
    <i r="1">
      <x v="49"/>
    </i>
    <i r="1">
      <x v="59"/>
    </i>
    <i r="1">
      <x v="63"/>
    </i>
    <i r="1">
      <x v="67"/>
    </i>
    <i t="default">
      <x v="33"/>
    </i>
    <i>
      <x v="34"/>
      <x v="2"/>
    </i>
    <i r="1">
      <x v="5"/>
    </i>
    <i r="1">
      <x v="6"/>
    </i>
    <i r="1">
      <x v="7"/>
    </i>
    <i r="1">
      <x v="12"/>
    </i>
    <i r="1">
      <x v="14"/>
    </i>
    <i r="1">
      <x v="18"/>
    </i>
    <i r="1">
      <x v="21"/>
    </i>
    <i r="1">
      <x v="22"/>
    </i>
    <i r="1">
      <x v="23"/>
    </i>
    <i r="1">
      <x v="24"/>
    </i>
    <i r="1">
      <x v="29"/>
    </i>
    <i r="1">
      <x v="30"/>
    </i>
    <i r="1">
      <x v="33"/>
    </i>
    <i r="1">
      <x v="36"/>
    </i>
    <i r="1">
      <x v="37"/>
    </i>
    <i r="1">
      <x v="41"/>
    </i>
    <i r="1">
      <x v="43"/>
    </i>
    <i r="1">
      <x v="44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6"/>
    </i>
    <i r="1">
      <x v="58"/>
    </i>
    <i r="1">
      <x v="59"/>
    </i>
    <i r="1">
      <x v="60"/>
    </i>
    <i r="1">
      <x v="64"/>
    </i>
    <i r="1">
      <x v="65"/>
    </i>
    <i r="1">
      <x v="75"/>
    </i>
    <i t="default">
      <x v="34"/>
    </i>
    <i>
      <x v="35"/>
      <x/>
    </i>
    <i r="1">
      <x v="15"/>
    </i>
    <i r="1">
      <x v="30"/>
    </i>
    <i r="1">
      <x v="54"/>
    </i>
    <i r="1">
      <x v="61"/>
    </i>
    <i r="1">
      <x v="66"/>
    </i>
    <i r="1">
      <x v="69"/>
    </i>
    <i r="1">
      <x v="70"/>
    </i>
    <i t="default">
      <x v="35"/>
    </i>
    <i>
      <x v="36"/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2"/>
    </i>
    <i r="1">
      <x v="14"/>
    </i>
    <i r="1">
      <x v="17"/>
    </i>
    <i r="1">
      <x v="18"/>
    </i>
    <i r="1">
      <x v="19"/>
    </i>
    <i r="1">
      <x v="26"/>
    </i>
    <i r="1">
      <x v="27"/>
    </i>
    <i r="1">
      <x v="28"/>
    </i>
    <i r="1">
      <x v="29"/>
    </i>
    <i r="1">
      <x v="31"/>
    </i>
    <i r="1">
      <x v="34"/>
    </i>
    <i r="1">
      <x v="36"/>
    </i>
    <i r="1">
      <x v="37"/>
    </i>
    <i r="1">
      <x v="39"/>
    </i>
    <i r="1">
      <x v="41"/>
    </i>
    <i r="1">
      <x v="44"/>
    </i>
    <i r="1">
      <x v="45"/>
    </i>
    <i r="1">
      <x v="47"/>
    </i>
    <i r="1">
      <x v="48"/>
    </i>
    <i r="1">
      <x v="49"/>
    </i>
    <i r="1">
      <x v="51"/>
    </i>
    <i r="1">
      <x v="53"/>
    </i>
    <i r="1">
      <x v="57"/>
    </i>
    <i r="1">
      <x v="60"/>
    </i>
    <i r="1">
      <x v="66"/>
    </i>
    <i r="1">
      <x v="68"/>
    </i>
    <i r="1">
      <x v="69"/>
    </i>
    <i r="1">
      <x v="73"/>
    </i>
    <i r="1">
      <x v="74"/>
    </i>
    <i t="default">
      <x v="36"/>
    </i>
    <i>
      <x v="37"/>
      <x v="3"/>
    </i>
    <i r="1">
      <x v="6"/>
    </i>
    <i r="1">
      <x v="14"/>
    </i>
    <i r="1">
      <x v="15"/>
    </i>
    <i r="1">
      <x v="17"/>
    </i>
    <i r="1">
      <x v="29"/>
    </i>
    <i r="1">
      <x v="30"/>
    </i>
    <i r="1">
      <x v="31"/>
    </i>
    <i r="1">
      <x v="40"/>
    </i>
    <i r="1">
      <x v="42"/>
    </i>
    <i r="1">
      <x v="45"/>
    </i>
    <i r="1">
      <x v="48"/>
    </i>
    <i r="1">
      <x v="51"/>
    </i>
    <i r="1">
      <x v="57"/>
    </i>
    <i r="1">
      <x v="63"/>
    </i>
    <i r="1">
      <x v="65"/>
    </i>
    <i r="1">
      <x v="66"/>
    </i>
    <i r="1">
      <x v="67"/>
    </i>
    <i r="1">
      <x v="71"/>
    </i>
    <i t="default">
      <x v="37"/>
    </i>
    <i>
      <x v="38"/>
      <x v="1"/>
    </i>
    <i r="1">
      <x v="2"/>
    </i>
    <i r="1">
      <x v="7"/>
    </i>
    <i r="1">
      <x v="11"/>
    </i>
    <i r="1">
      <x v="16"/>
    </i>
    <i r="1">
      <x v="18"/>
    </i>
    <i r="1">
      <x v="19"/>
    </i>
    <i r="1">
      <x v="21"/>
    </i>
    <i r="1">
      <x v="24"/>
    </i>
    <i r="1">
      <x v="27"/>
    </i>
    <i r="1">
      <x v="28"/>
    </i>
    <i r="1">
      <x v="30"/>
    </i>
    <i r="1">
      <x v="31"/>
    </i>
    <i r="1">
      <x v="38"/>
    </i>
    <i r="1">
      <x v="40"/>
    </i>
    <i r="1">
      <x v="41"/>
    </i>
    <i r="1">
      <x v="42"/>
    </i>
    <i r="1">
      <x v="43"/>
    </i>
    <i r="1">
      <x v="45"/>
    </i>
    <i r="1">
      <x v="46"/>
    </i>
    <i r="1">
      <x v="47"/>
    </i>
    <i r="1">
      <x v="49"/>
    </i>
    <i r="1">
      <x v="50"/>
    </i>
    <i r="1">
      <x v="51"/>
    </i>
    <i r="1">
      <x v="62"/>
    </i>
    <i r="1">
      <x v="66"/>
    </i>
    <i r="1">
      <x v="68"/>
    </i>
    <i r="1">
      <x v="69"/>
    </i>
    <i r="1">
      <x v="70"/>
    </i>
    <i t="default">
      <x v="38"/>
    </i>
    <i>
      <x v="39"/>
      <x/>
    </i>
    <i r="1">
      <x v="13"/>
    </i>
    <i r="1">
      <x v="15"/>
    </i>
    <i r="1">
      <x v="24"/>
    </i>
    <i r="1">
      <x v="29"/>
    </i>
    <i r="1">
      <x v="31"/>
    </i>
    <i r="1">
      <x v="45"/>
    </i>
    <i r="1">
      <x v="53"/>
    </i>
    <i r="1">
      <x v="58"/>
    </i>
    <i r="1">
      <x v="61"/>
    </i>
    <i r="1">
      <x v="72"/>
    </i>
    <i t="default">
      <x v="39"/>
    </i>
    <i>
      <x v="40"/>
      <x v="5"/>
    </i>
    <i r="1">
      <x v="6"/>
    </i>
    <i r="1">
      <x v="15"/>
    </i>
    <i r="1">
      <x v="16"/>
    </i>
    <i r="1">
      <x v="21"/>
    </i>
    <i r="1">
      <x v="22"/>
    </i>
    <i r="1">
      <x v="23"/>
    </i>
    <i r="1">
      <x v="27"/>
    </i>
    <i r="1">
      <x v="28"/>
    </i>
    <i r="1">
      <x v="30"/>
    </i>
    <i r="1">
      <x v="31"/>
    </i>
    <i r="1">
      <x v="32"/>
    </i>
    <i r="1">
      <x v="34"/>
    </i>
    <i r="1">
      <x v="35"/>
    </i>
    <i r="1">
      <x v="43"/>
    </i>
    <i r="1">
      <x v="46"/>
    </i>
    <i r="1">
      <x v="47"/>
    </i>
    <i r="1">
      <x v="53"/>
    </i>
    <i r="1">
      <x v="56"/>
    </i>
    <i r="1">
      <x v="57"/>
    </i>
    <i r="1">
      <x v="60"/>
    </i>
    <i r="1">
      <x v="64"/>
    </i>
    <i r="1">
      <x v="66"/>
    </i>
    <i r="1">
      <x v="68"/>
    </i>
    <i r="1">
      <x v="73"/>
    </i>
    <i r="1">
      <x v="75"/>
    </i>
    <i t="default">
      <x v="40"/>
    </i>
    <i>
      <x v="41"/>
      <x v="13"/>
    </i>
    <i r="1">
      <x v="21"/>
    </i>
    <i r="1">
      <x v="29"/>
    </i>
    <i r="1">
      <x v="30"/>
    </i>
    <i r="1">
      <x v="43"/>
    </i>
    <i r="1">
      <x v="44"/>
    </i>
    <i r="1">
      <x v="45"/>
    </i>
    <i r="1">
      <x v="71"/>
    </i>
    <i t="default">
      <x v="41"/>
    </i>
    <i>
      <x v="42"/>
      <x v="2"/>
    </i>
    <i r="1">
      <x v="49"/>
    </i>
    <i t="default">
      <x v="42"/>
    </i>
    <i>
      <x v="43"/>
      <x/>
    </i>
    <i r="1">
      <x v="2"/>
    </i>
    <i r="1">
      <x v="3"/>
    </i>
    <i r="1">
      <x v="5"/>
    </i>
    <i r="1">
      <x v="6"/>
    </i>
    <i r="1">
      <x v="13"/>
    </i>
    <i r="1">
      <x v="15"/>
    </i>
    <i r="1">
      <x v="16"/>
    </i>
    <i r="1">
      <x v="17"/>
    </i>
    <i r="1">
      <x v="18"/>
    </i>
    <i r="1">
      <x v="19"/>
    </i>
    <i r="1">
      <x v="22"/>
    </i>
    <i r="1">
      <x v="23"/>
    </i>
    <i r="1">
      <x v="24"/>
    </i>
    <i r="1">
      <x v="31"/>
    </i>
    <i r="1">
      <x v="32"/>
    </i>
    <i r="1">
      <x v="40"/>
    </i>
    <i r="1">
      <x v="41"/>
    </i>
    <i r="1">
      <x v="42"/>
    </i>
    <i r="1">
      <x v="44"/>
    </i>
    <i r="1">
      <x v="47"/>
    </i>
    <i r="1">
      <x v="49"/>
    </i>
    <i r="1">
      <x v="50"/>
    </i>
    <i r="1">
      <x v="51"/>
    </i>
    <i r="1">
      <x v="53"/>
    </i>
    <i r="1">
      <x v="58"/>
    </i>
    <i r="1">
      <x v="59"/>
    </i>
    <i r="1">
      <x v="61"/>
    </i>
    <i r="1">
      <x v="68"/>
    </i>
    <i r="1">
      <x v="70"/>
    </i>
    <i r="1">
      <x v="75"/>
    </i>
    <i t="default">
      <x v="43"/>
    </i>
    <i>
      <x v="44"/>
      <x v="4"/>
    </i>
    <i r="1">
      <x v="16"/>
    </i>
    <i r="1">
      <x v="17"/>
    </i>
    <i r="1">
      <x v="34"/>
    </i>
    <i r="1">
      <x v="41"/>
    </i>
    <i r="1">
      <x v="44"/>
    </i>
    <i r="1">
      <x v="53"/>
    </i>
    <i r="1">
      <x v="62"/>
    </i>
    <i r="1">
      <x v="63"/>
    </i>
    <i r="1">
      <x v="70"/>
    </i>
    <i t="default">
      <x v="44"/>
    </i>
    <i>
      <x v="45"/>
      <x v="3"/>
    </i>
    <i r="1">
      <x v="7"/>
    </i>
    <i r="1">
      <x v="13"/>
    </i>
    <i r="1">
      <x v="16"/>
    </i>
    <i r="1">
      <x v="22"/>
    </i>
    <i r="1">
      <x v="24"/>
    </i>
    <i r="1">
      <x v="26"/>
    </i>
    <i r="1">
      <x v="30"/>
    </i>
    <i r="1">
      <x v="33"/>
    </i>
    <i r="1">
      <x v="37"/>
    </i>
    <i r="1">
      <x v="38"/>
    </i>
    <i r="1">
      <x v="40"/>
    </i>
    <i r="1">
      <x v="41"/>
    </i>
    <i r="1">
      <x v="44"/>
    </i>
    <i r="1">
      <x v="45"/>
    </i>
    <i r="1">
      <x v="46"/>
    </i>
    <i r="1">
      <x v="47"/>
    </i>
    <i r="1">
      <x v="49"/>
    </i>
    <i r="1">
      <x v="50"/>
    </i>
    <i r="1">
      <x v="51"/>
    </i>
    <i r="1">
      <x v="52"/>
    </i>
    <i r="1">
      <x v="56"/>
    </i>
    <i r="1">
      <x v="62"/>
    </i>
    <i r="1">
      <x v="64"/>
    </i>
    <i r="1">
      <x v="67"/>
    </i>
    <i r="1">
      <x v="70"/>
    </i>
    <i r="1">
      <x v="71"/>
    </i>
    <i r="1">
      <x v="72"/>
    </i>
    <i t="default">
      <x v="45"/>
    </i>
    <i>
      <x v="4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12"/>
    </i>
    <i r="1">
      <x v="18"/>
    </i>
    <i r="1">
      <x v="27"/>
    </i>
    <i r="1">
      <x v="29"/>
    </i>
    <i r="1">
      <x v="34"/>
    </i>
    <i r="1">
      <x v="38"/>
    </i>
    <i r="1">
      <x v="40"/>
    </i>
    <i r="1">
      <x v="43"/>
    </i>
    <i r="1">
      <x v="45"/>
    </i>
    <i r="1">
      <x v="46"/>
    </i>
    <i r="1">
      <x v="47"/>
    </i>
    <i r="1">
      <x v="52"/>
    </i>
    <i r="1">
      <x v="55"/>
    </i>
    <i r="1">
      <x v="56"/>
    </i>
    <i r="1">
      <x v="62"/>
    </i>
    <i r="1">
      <x v="65"/>
    </i>
    <i r="1">
      <x v="67"/>
    </i>
    <i r="1">
      <x v="71"/>
    </i>
    <i r="1">
      <x v="73"/>
    </i>
    <i t="default">
      <x v="46"/>
    </i>
    <i>
      <x v="47"/>
      <x v="4"/>
    </i>
    <i r="1">
      <x v="5"/>
    </i>
    <i r="1">
      <x v="17"/>
    </i>
    <i r="1">
      <x v="21"/>
    </i>
    <i r="1">
      <x v="31"/>
    </i>
    <i r="1">
      <x v="32"/>
    </i>
    <i r="1">
      <x v="36"/>
    </i>
    <i r="1">
      <x v="48"/>
    </i>
    <i r="1">
      <x v="50"/>
    </i>
    <i r="1">
      <x v="51"/>
    </i>
    <i r="1">
      <x v="56"/>
    </i>
    <i r="1">
      <x v="59"/>
    </i>
    <i r="1">
      <x v="66"/>
    </i>
    <i t="default">
      <x v="47"/>
    </i>
    <i>
      <x v="48"/>
      <x v="2"/>
    </i>
    <i r="1">
      <x v="6"/>
    </i>
    <i r="1">
      <x v="7"/>
    </i>
    <i r="1">
      <x v="8"/>
    </i>
    <i r="1">
      <x v="9"/>
    </i>
    <i r="1">
      <x v="21"/>
    </i>
    <i r="1">
      <x v="24"/>
    </i>
    <i r="1">
      <x v="25"/>
    </i>
    <i r="1">
      <x v="27"/>
    </i>
    <i r="1">
      <x v="29"/>
    </i>
    <i r="1">
      <x v="32"/>
    </i>
    <i r="1">
      <x v="35"/>
    </i>
    <i r="1">
      <x v="37"/>
    </i>
    <i r="1">
      <x v="38"/>
    </i>
    <i r="1">
      <x v="40"/>
    </i>
    <i r="1">
      <x v="43"/>
    </i>
    <i r="1">
      <x v="51"/>
    </i>
    <i r="1">
      <x v="59"/>
    </i>
    <i r="1">
      <x v="60"/>
    </i>
    <i t="default">
      <x v="48"/>
    </i>
    <i>
      <x v="49"/>
      <x v="2"/>
    </i>
    <i r="1">
      <x v="17"/>
    </i>
    <i r="1">
      <x v="22"/>
    </i>
    <i r="1">
      <x v="23"/>
    </i>
    <i r="1">
      <x v="24"/>
    </i>
    <i r="1">
      <x v="28"/>
    </i>
    <i r="1">
      <x v="31"/>
    </i>
    <i r="1">
      <x v="40"/>
    </i>
    <i r="1">
      <x v="42"/>
    </i>
    <i r="1">
      <x v="43"/>
    </i>
    <i r="1">
      <x v="46"/>
    </i>
    <i r="1">
      <x v="51"/>
    </i>
    <i r="1">
      <x v="55"/>
    </i>
    <i r="1">
      <x v="56"/>
    </i>
    <i r="1">
      <x v="58"/>
    </i>
    <i r="1">
      <x v="59"/>
    </i>
    <i r="1">
      <x v="62"/>
    </i>
    <i t="default">
      <x v="49"/>
    </i>
    <i>
      <x v="50"/>
      <x/>
    </i>
    <i r="1">
      <x v="3"/>
    </i>
    <i r="1">
      <x v="4"/>
    </i>
    <i r="1">
      <x v="5"/>
    </i>
    <i r="1">
      <x v="8"/>
    </i>
    <i r="1">
      <x v="11"/>
    </i>
    <i r="1">
      <x v="14"/>
    </i>
    <i r="1">
      <x v="17"/>
    </i>
    <i r="1">
      <x v="18"/>
    </i>
    <i r="1">
      <x v="19"/>
    </i>
    <i r="1">
      <x v="21"/>
    </i>
    <i r="1">
      <x v="25"/>
    </i>
    <i r="1">
      <x v="26"/>
    </i>
    <i r="1">
      <x v="33"/>
    </i>
    <i r="1">
      <x v="44"/>
    </i>
    <i r="1">
      <x v="47"/>
    </i>
    <i r="1">
      <x v="49"/>
    </i>
    <i r="1">
      <x v="50"/>
    </i>
    <i r="1">
      <x v="51"/>
    </i>
    <i r="1">
      <x v="59"/>
    </i>
    <i r="1">
      <x v="60"/>
    </i>
    <i r="1">
      <x v="62"/>
    </i>
    <i r="1">
      <x v="63"/>
    </i>
    <i r="1">
      <x v="65"/>
    </i>
    <i r="1">
      <x v="66"/>
    </i>
    <i r="1">
      <x v="75"/>
    </i>
    <i r="1">
      <x v="76"/>
    </i>
    <i t="default">
      <x v="50"/>
    </i>
    <i>
      <x v="51"/>
      <x v="18"/>
    </i>
    <i r="1">
      <x v="30"/>
    </i>
    <i r="1">
      <x v="31"/>
    </i>
    <i r="1">
      <x v="40"/>
    </i>
    <i r="1">
      <x v="47"/>
    </i>
    <i r="1">
      <x v="51"/>
    </i>
    <i r="1">
      <x v="56"/>
    </i>
    <i r="1">
      <x v="66"/>
    </i>
    <i r="1">
      <x v="74"/>
    </i>
    <i r="1">
      <x v="76"/>
    </i>
    <i t="default">
      <x v="51"/>
    </i>
    <i>
      <x v="52"/>
      <x v="5"/>
    </i>
    <i r="1">
      <x v="13"/>
    </i>
    <i r="1">
      <x v="22"/>
    </i>
    <i r="1">
      <x v="45"/>
    </i>
    <i r="1">
      <x v="51"/>
    </i>
    <i t="default">
      <x v="52"/>
    </i>
    <i>
      <x v="53"/>
      <x v="9"/>
    </i>
    <i r="1">
      <x v="30"/>
    </i>
    <i r="1">
      <x v="31"/>
    </i>
    <i r="1">
      <x v="40"/>
    </i>
    <i r="1">
      <x v="44"/>
    </i>
    <i r="1">
      <x v="49"/>
    </i>
    <i r="1">
      <x v="51"/>
    </i>
    <i r="1">
      <x v="61"/>
    </i>
    <i r="1">
      <x v="62"/>
    </i>
    <i r="1">
      <x v="69"/>
    </i>
    <i r="1">
      <x v="72"/>
    </i>
    <i t="default">
      <x v="53"/>
    </i>
    <i>
      <x v="54"/>
      <x/>
    </i>
    <i r="1">
      <x v="4"/>
    </i>
    <i r="1">
      <x v="7"/>
    </i>
    <i r="1">
      <x v="12"/>
    </i>
    <i r="1">
      <x v="13"/>
    </i>
    <i r="1">
      <x v="17"/>
    </i>
    <i r="1">
      <x v="18"/>
    </i>
    <i r="1">
      <x v="23"/>
    </i>
    <i r="1">
      <x v="28"/>
    </i>
    <i r="1">
      <x v="31"/>
    </i>
    <i r="1">
      <x v="34"/>
    </i>
    <i r="1">
      <x v="36"/>
    </i>
    <i r="1">
      <x v="41"/>
    </i>
    <i r="1">
      <x v="47"/>
    </i>
    <i r="1">
      <x v="51"/>
    </i>
    <i r="1">
      <x v="58"/>
    </i>
    <i r="1">
      <x v="60"/>
    </i>
    <i r="1">
      <x v="62"/>
    </i>
    <i r="1">
      <x v="63"/>
    </i>
    <i r="1">
      <x v="68"/>
    </i>
    <i t="default">
      <x v="54"/>
    </i>
    <i>
      <x v="55"/>
      <x v="2"/>
    </i>
    <i r="1">
      <x v="3"/>
    </i>
    <i r="1">
      <x v="6"/>
    </i>
    <i r="1">
      <x v="7"/>
    </i>
    <i r="1">
      <x v="14"/>
    </i>
    <i r="1">
      <x v="18"/>
    </i>
    <i r="1">
      <x v="22"/>
    </i>
    <i r="1">
      <x v="26"/>
    </i>
    <i r="1">
      <x v="29"/>
    </i>
    <i r="1">
      <x v="30"/>
    </i>
    <i r="1">
      <x v="34"/>
    </i>
    <i r="1">
      <x v="36"/>
    </i>
    <i r="1">
      <x v="44"/>
    </i>
    <i r="1">
      <x v="45"/>
    </i>
    <i r="1">
      <x v="47"/>
    </i>
    <i r="1">
      <x v="48"/>
    </i>
    <i r="1">
      <x v="49"/>
    </i>
    <i r="1">
      <x v="52"/>
    </i>
    <i r="1">
      <x v="59"/>
    </i>
    <i r="1">
      <x v="66"/>
    </i>
    <i r="1">
      <x v="69"/>
    </i>
    <i r="1">
      <x v="71"/>
    </i>
    <i r="1">
      <x v="72"/>
    </i>
    <i r="1">
      <x v="76"/>
    </i>
    <i t="default">
      <x v="55"/>
    </i>
    <i>
      <x v="56"/>
      <x v="2"/>
    </i>
    <i r="1">
      <x v="3"/>
    </i>
    <i r="1">
      <x v="5"/>
    </i>
    <i r="1">
      <x v="13"/>
    </i>
    <i r="1">
      <x v="21"/>
    </i>
    <i r="1">
      <x v="32"/>
    </i>
    <i r="1">
      <x v="36"/>
    </i>
    <i r="1">
      <x v="48"/>
    </i>
    <i r="1">
      <x v="49"/>
    </i>
    <i r="1">
      <x v="53"/>
    </i>
    <i r="1">
      <x v="55"/>
    </i>
    <i r="1">
      <x v="56"/>
    </i>
    <i r="1">
      <x v="68"/>
    </i>
    <i r="1">
      <x v="69"/>
    </i>
    <i t="default">
      <x v="56"/>
    </i>
    <i>
      <x v="57"/>
      <x/>
    </i>
    <i r="1">
      <x v="4"/>
    </i>
    <i r="1">
      <x v="11"/>
    </i>
    <i r="1">
      <x v="18"/>
    </i>
    <i r="1">
      <x v="21"/>
    </i>
    <i r="1">
      <x v="22"/>
    </i>
    <i r="1">
      <x v="24"/>
    </i>
    <i r="1">
      <x v="25"/>
    </i>
    <i r="1">
      <x v="28"/>
    </i>
    <i r="1">
      <x v="29"/>
    </i>
    <i r="1">
      <x v="31"/>
    </i>
    <i r="1">
      <x v="34"/>
    </i>
    <i r="1">
      <x v="37"/>
    </i>
    <i r="1">
      <x v="47"/>
    </i>
    <i r="1">
      <x v="49"/>
    </i>
    <i r="1">
      <x v="52"/>
    </i>
    <i r="1">
      <x v="63"/>
    </i>
    <i r="1">
      <x v="69"/>
    </i>
    <i r="1">
      <x v="74"/>
    </i>
    <i r="1">
      <x v="75"/>
    </i>
    <i t="default">
      <x v="57"/>
    </i>
    <i>
      <x v="58"/>
      <x v="5"/>
    </i>
    <i r="1">
      <x v="7"/>
    </i>
    <i r="1">
      <x v="8"/>
    </i>
    <i r="1">
      <x v="17"/>
    </i>
    <i r="1">
      <x v="36"/>
    </i>
    <i r="1">
      <x v="42"/>
    </i>
    <i r="1">
      <x v="60"/>
    </i>
    <i r="1">
      <x v="62"/>
    </i>
    <i r="1">
      <x v="68"/>
    </i>
    <i t="default">
      <x v="58"/>
    </i>
    <i>
      <x v="59"/>
      <x v="7"/>
    </i>
    <i r="1">
      <x v="14"/>
    </i>
    <i r="1">
      <x v="19"/>
    </i>
    <i r="1">
      <x v="23"/>
    </i>
    <i r="1">
      <x v="24"/>
    </i>
    <i r="1">
      <x v="29"/>
    </i>
    <i r="1">
      <x v="30"/>
    </i>
    <i r="1">
      <x v="34"/>
    </i>
    <i r="1">
      <x v="36"/>
    </i>
    <i r="1">
      <x v="44"/>
    </i>
    <i r="1">
      <x v="48"/>
    </i>
    <i r="1">
      <x v="49"/>
    </i>
    <i r="1">
      <x v="62"/>
    </i>
    <i r="1">
      <x v="65"/>
    </i>
    <i r="1">
      <x v="67"/>
    </i>
    <i r="1">
      <x v="69"/>
    </i>
    <i r="1">
      <x v="70"/>
    </i>
    <i r="1">
      <x v="74"/>
    </i>
    <i t="default">
      <x v="59"/>
    </i>
    <i>
      <x v="60"/>
      <x v="2"/>
    </i>
    <i r="1">
      <x v="3"/>
    </i>
    <i r="1">
      <x v="5"/>
    </i>
    <i r="1">
      <x v="8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7"/>
    </i>
    <i r="1">
      <x v="18"/>
    </i>
    <i r="1">
      <x v="21"/>
    </i>
    <i r="1">
      <x v="24"/>
    </i>
    <i r="1">
      <x v="27"/>
    </i>
    <i r="1">
      <x v="28"/>
    </i>
    <i r="1">
      <x v="31"/>
    </i>
    <i r="1">
      <x v="38"/>
    </i>
    <i r="1">
      <x v="40"/>
    </i>
    <i r="1">
      <x v="41"/>
    </i>
    <i r="1">
      <x v="42"/>
    </i>
    <i r="1">
      <x v="44"/>
    </i>
    <i r="1">
      <x v="45"/>
    </i>
    <i r="1">
      <x v="46"/>
    </i>
    <i r="1">
      <x v="49"/>
    </i>
    <i r="1">
      <x v="53"/>
    </i>
    <i r="1">
      <x v="56"/>
    </i>
    <i r="1">
      <x v="61"/>
    </i>
    <i r="1">
      <x v="62"/>
    </i>
    <i r="1">
      <x v="65"/>
    </i>
    <i r="1">
      <x v="67"/>
    </i>
    <i r="1">
      <x v="70"/>
    </i>
    <i r="1">
      <x v="73"/>
    </i>
    <i t="default">
      <x v="60"/>
    </i>
    <i>
      <x v="6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r="1">
      <x v="12"/>
    </i>
    <i r="1">
      <x v="14"/>
    </i>
    <i r="1">
      <x v="15"/>
    </i>
    <i r="1">
      <x v="18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30"/>
    </i>
    <i r="1">
      <x v="31"/>
    </i>
    <i r="1">
      <x v="33"/>
    </i>
    <i r="1">
      <x v="34"/>
    </i>
    <i r="1">
      <x v="36"/>
    </i>
    <i r="1">
      <x v="39"/>
    </i>
    <i r="1">
      <x v="40"/>
    </i>
    <i r="1">
      <x v="42"/>
    </i>
    <i r="1">
      <x v="44"/>
    </i>
    <i r="1">
      <x v="45"/>
    </i>
    <i r="1">
      <x v="46"/>
    </i>
    <i r="1">
      <x v="47"/>
    </i>
    <i r="1">
      <x v="48"/>
    </i>
    <i r="1">
      <x v="51"/>
    </i>
    <i r="1">
      <x v="53"/>
    </i>
    <i r="1">
      <x v="55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5"/>
    </i>
    <i r="1">
      <x v="66"/>
    </i>
    <i r="1">
      <x v="67"/>
    </i>
    <i r="1">
      <x v="68"/>
    </i>
    <i r="1">
      <x v="71"/>
    </i>
    <i r="1">
      <x v="72"/>
    </i>
    <i r="1">
      <x v="75"/>
    </i>
    <i r="1">
      <x v="76"/>
    </i>
    <i t="default">
      <x v="61"/>
    </i>
    <i>
      <x v="62"/>
      <x v="2"/>
    </i>
    <i r="1">
      <x v="11"/>
    </i>
    <i r="1">
      <x v="24"/>
    </i>
    <i r="1">
      <x v="36"/>
    </i>
    <i r="1">
      <x v="37"/>
    </i>
    <i r="1">
      <x v="38"/>
    </i>
    <i r="1">
      <x v="47"/>
    </i>
    <i r="1">
      <x v="52"/>
    </i>
    <i r="1">
      <x v="61"/>
    </i>
    <i r="1">
      <x v="62"/>
    </i>
    <i r="1">
      <x v="63"/>
    </i>
    <i r="1">
      <x v="64"/>
    </i>
    <i t="default">
      <x v="62"/>
    </i>
    <i>
      <x v="63"/>
      <x/>
    </i>
    <i r="1">
      <x v="1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1"/>
    </i>
    <i r="1">
      <x v="12"/>
    </i>
    <i r="1">
      <x v="13"/>
    </i>
    <i r="1">
      <x v="14"/>
    </i>
    <i r="1">
      <x v="17"/>
    </i>
    <i r="1">
      <x v="18"/>
    </i>
    <i r="1">
      <x v="19"/>
    </i>
    <i r="1">
      <x v="21"/>
    </i>
    <i r="1">
      <x v="26"/>
    </i>
    <i r="1">
      <x v="28"/>
    </i>
    <i r="1">
      <x v="29"/>
    </i>
    <i r="1">
      <x v="30"/>
    </i>
    <i r="1">
      <x v="31"/>
    </i>
    <i r="1">
      <x v="34"/>
    </i>
    <i r="1">
      <x v="35"/>
    </i>
    <i r="1">
      <x v="37"/>
    </i>
    <i r="1">
      <x v="40"/>
    </i>
    <i r="1">
      <x v="41"/>
    </i>
    <i r="1">
      <x v="42"/>
    </i>
    <i r="1">
      <x v="43"/>
    </i>
    <i r="1">
      <x v="44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3"/>
    </i>
    <i r="1">
      <x v="54"/>
    </i>
    <i r="1">
      <x v="58"/>
    </i>
    <i r="1">
      <x v="61"/>
    </i>
    <i r="1">
      <x v="64"/>
    </i>
    <i r="1">
      <x v="66"/>
    </i>
    <i r="1">
      <x v="69"/>
    </i>
    <i r="1">
      <x v="71"/>
    </i>
    <i r="1">
      <x v="72"/>
    </i>
    <i r="1">
      <x v="75"/>
    </i>
    <i t="default">
      <x v="63"/>
    </i>
    <i>
      <x v="64"/>
      <x/>
    </i>
    <i r="1">
      <x v="13"/>
    </i>
    <i r="1">
      <x v="15"/>
    </i>
    <i r="1">
      <x v="17"/>
    </i>
    <i r="1">
      <x v="18"/>
    </i>
    <i r="1">
      <x v="21"/>
    </i>
    <i r="1">
      <x v="29"/>
    </i>
    <i r="1">
      <x v="38"/>
    </i>
    <i r="1">
      <x v="40"/>
    </i>
    <i r="1">
      <x v="44"/>
    </i>
    <i r="1">
      <x v="45"/>
    </i>
    <i r="1">
      <x v="48"/>
    </i>
    <i r="1">
      <x v="49"/>
    </i>
    <i r="1">
      <x v="51"/>
    </i>
    <i r="1">
      <x v="56"/>
    </i>
    <i r="1">
      <x v="59"/>
    </i>
    <i r="1">
      <x v="64"/>
    </i>
    <i r="1">
      <x v="66"/>
    </i>
    <i r="1">
      <x v="70"/>
    </i>
    <i r="1">
      <x v="72"/>
    </i>
    <i t="default">
      <x v="64"/>
    </i>
    <i>
      <x v="65"/>
      <x/>
    </i>
    <i r="1">
      <x v="3"/>
    </i>
    <i r="1">
      <x v="4"/>
    </i>
    <i r="1">
      <x v="6"/>
    </i>
    <i r="1">
      <x v="13"/>
    </i>
    <i r="1">
      <x v="14"/>
    </i>
    <i r="1">
      <x v="21"/>
    </i>
    <i r="1">
      <x v="25"/>
    </i>
    <i r="1">
      <x v="27"/>
    </i>
    <i r="1">
      <x v="30"/>
    </i>
    <i r="1">
      <x v="34"/>
    </i>
    <i r="1">
      <x v="38"/>
    </i>
    <i r="1">
      <x v="43"/>
    </i>
    <i r="1">
      <x v="45"/>
    </i>
    <i r="1">
      <x v="47"/>
    </i>
    <i r="1">
      <x v="51"/>
    </i>
    <i r="1">
      <x v="52"/>
    </i>
    <i r="1">
      <x v="57"/>
    </i>
    <i r="1">
      <x v="59"/>
    </i>
    <i r="1">
      <x v="64"/>
    </i>
    <i r="1">
      <x v="67"/>
    </i>
    <i t="default">
      <x v="65"/>
    </i>
    <i>
      <x v="66"/>
      <x v="3"/>
    </i>
    <i r="1">
      <x v="6"/>
    </i>
    <i r="1">
      <x v="12"/>
    </i>
    <i r="1">
      <x v="13"/>
    </i>
    <i r="1">
      <x v="15"/>
    </i>
    <i r="1">
      <x v="18"/>
    </i>
    <i r="1">
      <x v="22"/>
    </i>
    <i r="1">
      <x v="24"/>
    </i>
    <i r="1">
      <x v="27"/>
    </i>
    <i r="1">
      <x v="29"/>
    </i>
    <i r="1">
      <x v="30"/>
    </i>
    <i r="1">
      <x v="31"/>
    </i>
    <i r="1">
      <x v="34"/>
    </i>
    <i r="1">
      <x v="36"/>
    </i>
    <i r="1">
      <x v="40"/>
    </i>
    <i r="1">
      <x v="41"/>
    </i>
    <i r="1">
      <x v="45"/>
    </i>
    <i r="1">
      <x v="47"/>
    </i>
    <i r="1">
      <x v="48"/>
    </i>
    <i r="1">
      <x v="51"/>
    </i>
    <i r="1">
      <x v="52"/>
    </i>
    <i r="1">
      <x v="53"/>
    </i>
    <i r="1">
      <x v="54"/>
    </i>
    <i r="1">
      <x v="64"/>
    </i>
    <i r="1">
      <x v="68"/>
    </i>
    <i r="1">
      <x v="73"/>
    </i>
    <i t="default">
      <x v="66"/>
    </i>
    <i>
      <x v="67"/>
      <x v="3"/>
    </i>
    <i r="1">
      <x v="21"/>
    </i>
    <i r="1">
      <x v="41"/>
    </i>
    <i r="1">
      <x v="48"/>
    </i>
    <i r="1">
      <x v="52"/>
    </i>
    <i r="1">
      <x v="55"/>
    </i>
    <i r="1">
      <x v="59"/>
    </i>
    <i r="1">
      <x v="60"/>
    </i>
    <i r="1">
      <x v="65"/>
    </i>
    <i r="1">
      <x v="67"/>
    </i>
    <i r="1">
      <x v="70"/>
    </i>
    <i r="1">
      <x v="71"/>
    </i>
    <i t="default">
      <x v="67"/>
    </i>
    <i>
      <x v="68"/>
      <x v="4"/>
    </i>
    <i r="1">
      <x v="11"/>
    </i>
    <i r="1">
      <x v="14"/>
    </i>
    <i r="1">
      <x v="21"/>
    </i>
    <i r="1">
      <x v="28"/>
    </i>
    <i r="1">
      <x v="29"/>
    </i>
    <i r="1">
      <x v="41"/>
    </i>
    <i r="1">
      <x v="44"/>
    </i>
    <i r="1">
      <x v="47"/>
    </i>
    <i r="1">
      <x v="48"/>
    </i>
    <i r="1">
      <x v="51"/>
    </i>
    <i r="1">
      <x v="56"/>
    </i>
    <i r="1">
      <x v="65"/>
    </i>
    <i r="1">
      <x v="67"/>
    </i>
    <i r="1">
      <x v="72"/>
    </i>
    <i t="default">
      <x v="68"/>
    </i>
    <i>
      <x v="69"/>
      <x/>
    </i>
    <i r="1">
      <x v="2"/>
    </i>
    <i r="1">
      <x v="3"/>
    </i>
    <i r="1">
      <x v="5"/>
    </i>
    <i r="1">
      <x v="6"/>
    </i>
    <i r="1">
      <x v="9"/>
    </i>
    <i r="1">
      <x v="12"/>
    </i>
    <i r="1">
      <x v="14"/>
    </i>
    <i r="1">
      <x v="15"/>
    </i>
    <i r="1">
      <x v="16"/>
    </i>
    <i r="1">
      <x v="17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9"/>
    </i>
    <i r="1">
      <x v="30"/>
    </i>
    <i r="1">
      <x v="31"/>
    </i>
    <i r="1">
      <x v="36"/>
    </i>
    <i r="1">
      <x v="38"/>
    </i>
    <i r="1">
      <x v="40"/>
    </i>
    <i r="1">
      <x v="43"/>
    </i>
    <i r="1">
      <x v="46"/>
    </i>
    <i r="1">
      <x v="47"/>
    </i>
    <i r="1">
      <x v="48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9"/>
    </i>
    <i r="1">
      <x v="60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4"/>
    </i>
    <i r="1">
      <x v="75"/>
    </i>
    <i r="1">
      <x v="76"/>
    </i>
    <i t="default">
      <x v="69"/>
    </i>
    <i>
      <x v="70"/>
      <x/>
    </i>
    <i r="1">
      <x v="3"/>
    </i>
    <i r="1">
      <x v="5"/>
    </i>
    <i r="1">
      <x v="7"/>
    </i>
    <i r="1">
      <x v="13"/>
    </i>
    <i r="1">
      <x v="18"/>
    </i>
    <i r="1">
      <x v="20"/>
    </i>
    <i r="1">
      <x v="21"/>
    </i>
    <i r="1">
      <x v="26"/>
    </i>
    <i r="1">
      <x v="27"/>
    </i>
    <i r="1">
      <x v="29"/>
    </i>
    <i r="1">
      <x v="36"/>
    </i>
    <i r="1">
      <x v="37"/>
    </i>
    <i r="1">
      <x v="38"/>
    </i>
    <i r="1">
      <x v="47"/>
    </i>
    <i r="1">
      <x v="48"/>
    </i>
    <i r="1">
      <x v="49"/>
    </i>
    <i r="1">
      <x v="55"/>
    </i>
    <i r="1">
      <x v="56"/>
    </i>
    <i r="1">
      <x v="59"/>
    </i>
    <i r="1">
      <x v="61"/>
    </i>
    <i r="1">
      <x v="70"/>
    </i>
    <i r="1">
      <x v="71"/>
    </i>
    <i t="default">
      <x v="70"/>
    </i>
    <i>
      <x v="71"/>
      <x v="11"/>
    </i>
    <i r="1">
      <x v="15"/>
    </i>
    <i r="1">
      <x v="27"/>
    </i>
    <i r="1">
      <x v="36"/>
    </i>
    <i r="1">
      <x v="40"/>
    </i>
    <i r="1">
      <x v="41"/>
    </i>
    <i r="1">
      <x v="44"/>
    </i>
    <i r="1">
      <x v="46"/>
    </i>
    <i r="1">
      <x v="47"/>
    </i>
    <i r="1">
      <x v="51"/>
    </i>
    <i r="1">
      <x v="59"/>
    </i>
    <i r="1">
      <x v="62"/>
    </i>
    <i r="1">
      <x v="63"/>
    </i>
    <i r="1">
      <x v="64"/>
    </i>
    <i r="1">
      <x v="66"/>
    </i>
    <i t="default">
      <x v="71"/>
    </i>
    <i>
      <x v="72"/>
      <x v="4"/>
    </i>
    <i r="1">
      <x v="11"/>
    </i>
    <i r="1">
      <x v="22"/>
    </i>
    <i r="1">
      <x v="47"/>
    </i>
    <i r="1">
      <x v="49"/>
    </i>
    <i r="1">
      <x v="53"/>
    </i>
    <i t="default">
      <x v="72"/>
    </i>
    <i>
      <x v="73"/>
      <x v="3"/>
    </i>
    <i r="1">
      <x v="4"/>
    </i>
    <i r="1">
      <x v="11"/>
    </i>
    <i r="1">
      <x v="15"/>
    </i>
    <i r="1">
      <x v="17"/>
    </i>
    <i r="1">
      <x v="22"/>
    </i>
    <i r="1">
      <x v="24"/>
    </i>
    <i r="1">
      <x v="27"/>
    </i>
    <i r="1">
      <x v="36"/>
    </i>
    <i r="1">
      <x v="41"/>
    </i>
    <i r="1">
      <x v="59"/>
    </i>
    <i r="1">
      <x v="65"/>
    </i>
    <i r="1">
      <x v="67"/>
    </i>
    <i r="1">
      <x v="68"/>
    </i>
    <i r="1">
      <x v="70"/>
    </i>
    <i r="1">
      <x v="72"/>
    </i>
    <i r="1">
      <x v="74"/>
    </i>
    <i t="default">
      <x v="73"/>
    </i>
    <i>
      <x v="74"/>
      <x/>
    </i>
    <i r="1">
      <x v="2"/>
    </i>
    <i r="1">
      <x v="3"/>
    </i>
    <i r="1">
      <x v="5"/>
    </i>
    <i r="1">
      <x v="6"/>
    </i>
    <i r="1">
      <x v="8"/>
    </i>
    <i r="1">
      <x v="12"/>
    </i>
    <i r="1">
      <x v="13"/>
    </i>
    <i r="1">
      <x v="14"/>
    </i>
    <i r="1">
      <x v="15"/>
    </i>
    <i r="1">
      <x v="17"/>
    </i>
    <i r="1">
      <x v="18"/>
    </i>
    <i r="1">
      <x v="21"/>
    </i>
    <i r="1">
      <x v="24"/>
    </i>
    <i r="1">
      <x v="26"/>
    </i>
    <i r="1">
      <x v="28"/>
    </i>
    <i r="1">
      <x v="31"/>
    </i>
    <i r="1">
      <x v="33"/>
    </i>
    <i r="1">
      <x v="35"/>
    </i>
    <i r="1">
      <x v="44"/>
    </i>
    <i r="1">
      <x v="45"/>
    </i>
    <i r="1">
      <x v="46"/>
    </i>
    <i r="1">
      <x v="51"/>
    </i>
    <i r="1">
      <x v="56"/>
    </i>
    <i r="1">
      <x v="58"/>
    </i>
    <i r="1">
      <x v="60"/>
    </i>
    <i r="1">
      <x v="61"/>
    </i>
    <i r="1">
      <x v="62"/>
    </i>
    <i r="1">
      <x v="65"/>
    </i>
    <i r="1">
      <x v="67"/>
    </i>
    <i r="1">
      <x v="70"/>
    </i>
    <i t="default">
      <x v="74"/>
    </i>
    <i>
      <x v="75"/>
      <x v="9"/>
    </i>
    <i r="1">
      <x v="11"/>
    </i>
    <i r="1">
      <x v="27"/>
    </i>
    <i r="1">
      <x v="40"/>
    </i>
    <i r="1">
      <x v="47"/>
    </i>
    <i r="1">
      <x v="57"/>
    </i>
    <i r="1">
      <x v="66"/>
    </i>
    <i t="default">
      <x v="75"/>
    </i>
    <i>
      <x v="76"/>
      <x v="2"/>
    </i>
    <i r="1">
      <x v="5"/>
    </i>
    <i r="1">
      <x v="13"/>
    </i>
    <i r="1">
      <x v="23"/>
    </i>
    <i r="1">
      <x v="26"/>
    </i>
    <i r="1">
      <x v="32"/>
    </i>
    <i r="1">
      <x v="56"/>
    </i>
    <i r="1">
      <x v="68"/>
    </i>
    <i t="default">
      <x v="76"/>
    </i>
    <i>
      <x v="77"/>
      <x v="13"/>
    </i>
    <i r="1">
      <x v="17"/>
    </i>
    <i r="1">
      <x v="18"/>
    </i>
    <i r="1">
      <x v="21"/>
    </i>
    <i r="1">
      <x v="29"/>
    </i>
    <i r="1">
      <x v="36"/>
    </i>
    <i r="1">
      <x v="38"/>
    </i>
    <i r="1">
      <x v="52"/>
    </i>
    <i r="1">
      <x v="57"/>
    </i>
    <i r="1">
      <x v="67"/>
    </i>
    <i r="1">
      <x v="69"/>
    </i>
    <i t="default">
      <x v="77"/>
    </i>
    <i>
      <x v="78"/>
      <x/>
    </i>
    <i r="1">
      <x v="4"/>
    </i>
    <i r="1">
      <x v="5"/>
    </i>
    <i r="1">
      <x v="7"/>
    </i>
    <i r="1">
      <x v="11"/>
    </i>
    <i r="1">
      <x v="14"/>
    </i>
    <i r="1">
      <x v="15"/>
    </i>
    <i r="1">
      <x v="18"/>
    </i>
    <i r="1">
      <x v="21"/>
    </i>
    <i r="1">
      <x v="23"/>
    </i>
    <i r="1">
      <x v="26"/>
    </i>
    <i r="1">
      <x v="28"/>
    </i>
    <i r="1">
      <x v="30"/>
    </i>
    <i r="1">
      <x v="31"/>
    </i>
    <i r="1">
      <x v="38"/>
    </i>
    <i r="1">
      <x v="45"/>
    </i>
    <i r="1">
      <x v="49"/>
    </i>
    <i r="1">
      <x v="51"/>
    </i>
    <i r="1">
      <x v="53"/>
    </i>
    <i r="1">
      <x v="56"/>
    </i>
    <i r="1">
      <x v="59"/>
    </i>
    <i r="1">
      <x v="67"/>
    </i>
    <i r="1">
      <x v="70"/>
    </i>
    <i r="1">
      <x v="74"/>
    </i>
    <i t="default">
      <x v="78"/>
    </i>
    <i>
      <x v="79"/>
      <x v="3"/>
    </i>
    <i r="1">
      <x v="7"/>
    </i>
    <i r="1">
      <x v="8"/>
    </i>
    <i r="1">
      <x v="12"/>
    </i>
    <i r="1">
      <x v="18"/>
    </i>
    <i r="1">
      <x v="19"/>
    </i>
    <i r="1">
      <x v="40"/>
    </i>
    <i r="1">
      <x v="41"/>
    </i>
    <i r="1">
      <x v="46"/>
    </i>
    <i r="1">
      <x v="59"/>
    </i>
    <i r="1">
      <x v="61"/>
    </i>
    <i r="1">
      <x v="66"/>
    </i>
    <i r="1">
      <x v="68"/>
    </i>
    <i t="default">
      <x v="79"/>
    </i>
    <i>
      <x v="80"/>
      <x v="2"/>
    </i>
    <i r="1">
      <x v="7"/>
    </i>
    <i r="1">
      <x v="15"/>
    </i>
    <i r="1">
      <x v="44"/>
    </i>
    <i r="1">
      <x v="45"/>
    </i>
    <i r="1">
      <x v="53"/>
    </i>
    <i r="1">
      <x v="66"/>
    </i>
    <i r="1">
      <x v="75"/>
    </i>
    <i t="default">
      <x v="80"/>
    </i>
    <i>
      <x v="81"/>
      <x v="1"/>
    </i>
    <i r="1">
      <x v="2"/>
    </i>
    <i r="1">
      <x v="13"/>
    </i>
    <i r="1">
      <x v="14"/>
    </i>
    <i r="1">
      <x v="21"/>
    </i>
    <i r="1">
      <x v="26"/>
    </i>
    <i r="1">
      <x v="29"/>
    </i>
    <i r="1">
      <x v="31"/>
    </i>
    <i r="1">
      <x v="34"/>
    </i>
    <i r="1">
      <x v="44"/>
    </i>
    <i r="1">
      <x v="51"/>
    </i>
    <i r="1">
      <x v="55"/>
    </i>
    <i r="1">
      <x v="56"/>
    </i>
    <i r="1">
      <x v="57"/>
    </i>
    <i r="1">
      <x v="59"/>
    </i>
    <i r="1">
      <x v="63"/>
    </i>
    <i r="1">
      <x v="65"/>
    </i>
    <i r="1">
      <x v="66"/>
    </i>
    <i r="1">
      <x v="68"/>
    </i>
    <i r="1">
      <x v="70"/>
    </i>
    <i r="1">
      <x v="72"/>
    </i>
    <i r="1">
      <x v="73"/>
    </i>
    <i r="1">
      <x v="74"/>
    </i>
    <i t="default">
      <x v="81"/>
    </i>
    <i>
      <x v="82"/>
      <x v="6"/>
    </i>
    <i r="1">
      <x v="10"/>
    </i>
    <i r="1">
      <x v="13"/>
    </i>
    <i r="1">
      <x v="15"/>
    </i>
    <i r="1">
      <x v="25"/>
    </i>
    <i r="1">
      <x v="26"/>
    </i>
    <i r="1">
      <x v="28"/>
    </i>
    <i r="1">
      <x v="29"/>
    </i>
    <i r="1">
      <x v="33"/>
    </i>
    <i r="1">
      <x v="34"/>
    </i>
    <i r="1">
      <x v="36"/>
    </i>
    <i r="1">
      <x v="40"/>
    </i>
    <i r="1">
      <x v="43"/>
    </i>
    <i r="1">
      <x v="45"/>
    </i>
    <i r="1">
      <x v="52"/>
    </i>
    <i r="1">
      <x v="59"/>
    </i>
    <i r="1">
      <x v="63"/>
    </i>
    <i r="1">
      <x v="64"/>
    </i>
    <i r="1">
      <x v="65"/>
    </i>
    <i r="1">
      <x v="66"/>
    </i>
    <i r="1">
      <x v="70"/>
    </i>
    <i r="1">
      <x v="72"/>
    </i>
    <i t="default">
      <x v="82"/>
    </i>
    <i>
      <x v="83"/>
      <x v="13"/>
    </i>
    <i r="1">
      <x v="14"/>
    </i>
    <i r="1">
      <x v="17"/>
    </i>
    <i r="1">
      <x v="27"/>
    </i>
    <i r="1">
      <x v="29"/>
    </i>
    <i r="1">
      <x v="30"/>
    </i>
    <i r="1">
      <x v="40"/>
    </i>
    <i r="1">
      <x v="49"/>
    </i>
    <i r="1">
      <x v="60"/>
    </i>
    <i t="default">
      <x v="83"/>
    </i>
    <i>
      <x v="84"/>
      <x v="3"/>
    </i>
    <i r="1">
      <x v="5"/>
    </i>
    <i r="1">
      <x v="7"/>
    </i>
    <i r="1">
      <x v="8"/>
    </i>
    <i r="1">
      <x v="12"/>
    </i>
    <i r="1">
      <x v="14"/>
    </i>
    <i r="1">
      <x v="17"/>
    </i>
    <i r="1">
      <x v="18"/>
    </i>
    <i r="1">
      <x v="22"/>
    </i>
    <i r="1">
      <x v="25"/>
    </i>
    <i r="1">
      <x v="27"/>
    </i>
    <i r="1">
      <x v="28"/>
    </i>
    <i r="1">
      <x v="30"/>
    </i>
    <i r="1">
      <x v="33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5"/>
    </i>
    <i r="1">
      <x v="62"/>
    </i>
    <i r="1">
      <x v="63"/>
    </i>
    <i r="1">
      <x v="65"/>
    </i>
    <i r="1">
      <x v="67"/>
    </i>
    <i r="1">
      <x v="68"/>
    </i>
    <i r="1">
      <x v="69"/>
    </i>
    <i r="1">
      <x v="70"/>
    </i>
    <i t="default">
      <x v="84"/>
    </i>
    <i>
      <x v="85"/>
      <x v="4"/>
    </i>
    <i r="1">
      <x v="5"/>
    </i>
    <i r="1">
      <x v="13"/>
    </i>
    <i r="1">
      <x v="28"/>
    </i>
    <i r="1">
      <x v="30"/>
    </i>
    <i r="1">
      <x v="39"/>
    </i>
    <i r="1">
      <x v="43"/>
    </i>
    <i r="1">
      <x v="44"/>
    </i>
    <i r="1">
      <x v="45"/>
    </i>
    <i r="1">
      <x v="48"/>
    </i>
    <i r="1">
      <x v="51"/>
    </i>
    <i r="1">
      <x v="54"/>
    </i>
    <i r="1">
      <x v="64"/>
    </i>
    <i r="1">
      <x v="67"/>
    </i>
    <i r="1">
      <x v="71"/>
    </i>
    <i r="1">
      <x v="76"/>
    </i>
    <i t="default">
      <x v="85"/>
    </i>
    <i>
      <x v="86"/>
      <x/>
    </i>
    <i r="1">
      <x v="4"/>
    </i>
    <i r="1">
      <x v="6"/>
    </i>
    <i r="1">
      <x v="8"/>
    </i>
    <i r="1">
      <x v="11"/>
    </i>
    <i r="1">
      <x v="12"/>
    </i>
    <i r="1">
      <x v="15"/>
    </i>
    <i r="1">
      <x v="17"/>
    </i>
    <i r="1">
      <x v="22"/>
    </i>
    <i r="1">
      <x v="23"/>
    </i>
    <i r="1">
      <x v="24"/>
    </i>
    <i r="1">
      <x v="27"/>
    </i>
    <i r="1">
      <x v="39"/>
    </i>
    <i r="1">
      <x v="40"/>
    </i>
    <i r="1">
      <x v="42"/>
    </i>
    <i r="1">
      <x v="44"/>
    </i>
    <i r="1">
      <x v="47"/>
    </i>
    <i r="1">
      <x v="48"/>
    </i>
    <i r="1">
      <x v="51"/>
    </i>
    <i r="1">
      <x v="53"/>
    </i>
    <i r="1">
      <x v="54"/>
    </i>
    <i r="1">
      <x v="55"/>
    </i>
    <i r="1">
      <x v="56"/>
    </i>
    <i r="1">
      <x v="57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70"/>
    </i>
    <i r="1">
      <x v="74"/>
    </i>
    <i t="default">
      <x v="86"/>
    </i>
    <i>
      <x v="87"/>
      <x v="2"/>
    </i>
    <i r="1">
      <x v="5"/>
    </i>
    <i r="1">
      <x v="21"/>
    </i>
    <i r="1">
      <x v="28"/>
    </i>
    <i r="1">
      <x v="31"/>
    </i>
    <i r="1">
      <x v="34"/>
    </i>
    <i r="1">
      <x v="38"/>
    </i>
    <i r="1">
      <x v="42"/>
    </i>
    <i r="1">
      <x v="46"/>
    </i>
    <i r="1">
      <x v="47"/>
    </i>
    <i r="1">
      <x v="50"/>
    </i>
    <i r="1">
      <x v="51"/>
    </i>
    <i r="1">
      <x v="56"/>
    </i>
    <i r="1">
      <x v="60"/>
    </i>
    <i r="1">
      <x v="62"/>
    </i>
    <i r="1">
      <x v="63"/>
    </i>
    <i r="1">
      <x v="67"/>
    </i>
    <i t="default">
      <x v="87"/>
    </i>
    <i>
      <x v="88"/>
      <x v="3"/>
    </i>
    <i r="1">
      <x v="5"/>
    </i>
    <i r="1">
      <x v="6"/>
    </i>
    <i r="1">
      <x v="12"/>
    </i>
    <i r="1">
      <x v="18"/>
    </i>
    <i r="1">
      <x v="21"/>
    </i>
    <i r="1">
      <x v="33"/>
    </i>
    <i r="1">
      <x v="36"/>
    </i>
    <i r="1">
      <x v="53"/>
    </i>
    <i r="1">
      <x v="59"/>
    </i>
    <i r="1">
      <x v="63"/>
    </i>
    <i r="1">
      <x v="65"/>
    </i>
    <i r="1">
      <x v="66"/>
    </i>
    <i r="1">
      <x v="70"/>
    </i>
    <i t="default">
      <x v="88"/>
    </i>
    <i t="grand">
      <x/>
    </i>
  </rowItems>
  <colFields count="1">
    <field x="21"/>
  </colFields>
  <colItems count="2">
    <i>
      <x/>
    </i>
    <i>
      <x v="1"/>
    </i>
  </colItems>
  <dataFields count="1">
    <dataField name="Average of Line Item Total" fld="20" subtotal="average" baseField="12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121"/>
  <sheetViews>
    <sheetView topLeftCell="A62" workbookViewId="0">
      <selection activeCell="H76" sqref="H76"/>
    </sheetView>
  </sheetViews>
  <sheetFormatPr defaultRowHeight="12.3" x14ac:dyDescent="0.4"/>
  <cols>
    <col min="1" max="1" width="11" bestFit="1" customWidth="1"/>
    <col min="2" max="2" width="32.1640625" bestFit="1" customWidth="1"/>
    <col min="3" max="3" width="21.83203125" bestFit="1" customWidth="1"/>
    <col min="4" max="4" width="27.44140625" bestFit="1" customWidth="1"/>
    <col min="5" max="5" width="41.5546875" bestFit="1" customWidth="1"/>
    <col min="6" max="6" width="13.27734375" bestFit="1" customWidth="1"/>
    <col min="7" max="7" width="13.5546875" bestFit="1" customWidth="1"/>
    <col min="8" max="9" width="10.71875" bestFit="1" customWidth="1"/>
    <col min="10" max="11" width="16" bestFit="1" customWidth="1"/>
  </cols>
  <sheetData>
    <row r="1" spans="1:16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M1" s="3"/>
    </row>
    <row r="2" spans="1:16" x14ac:dyDescent="0.4">
      <c r="A2" t="s">
        <v>11</v>
      </c>
      <c r="B2" t="s">
        <v>12</v>
      </c>
      <c r="C2" t="s">
        <v>13</v>
      </c>
      <c r="D2" t="s">
        <v>14</v>
      </c>
      <c r="E2" t="s">
        <v>15</v>
      </c>
      <c r="F2" t="s">
        <v>16</v>
      </c>
      <c r="H2">
        <v>12209</v>
      </c>
      <c r="I2" t="s">
        <v>17</v>
      </c>
      <c r="J2" t="s">
        <v>18</v>
      </c>
      <c r="K2" t="s">
        <v>19</v>
      </c>
      <c r="M2" s="5"/>
    </row>
    <row r="3" spans="1:16" x14ac:dyDescent="0.4">
      <c r="A3" t="s">
        <v>20</v>
      </c>
      <c r="B3" t="s">
        <v>21</v>
      </c>
      <c r="C3" t="s">
        <v>22</v>
      </c>
      <c r="D3" t="s">
        <v>23</v>
      </c>
      <c r="E3" t="s">
        <v>24</v>
      </c>
      <c r="F3" t="s">
        <v>25</v>
      </c>
      <c r="H3">
        <v>5021</v>
      </c>
      <c r="I3" t="s">
        <v>26</v>
      </c>
      <c r="J3" t="s">
        <v>27</v>
      </c>
      <c r="K3" t="s">
        <v>28</v>
      </c>
      <c r="M3" s="5"/>
    </row>
    <row r="4" spans="1:16" x14ac:dyDescent="0.4">
      <c r="A4" t="s">
        <v>29</v>
      </c>
      <c r="B4" t="s">
        <v>30</v>
      </c>
      <c r="C4" t="s">
        <v>31</v>
      </c>
      <c r="D4" t="s">
        <v>23</v>
      </c>
      <c r="E4" t="s">
        <v>32</v>
      </c>
      <c r="F4" t="s">
        <v>25</v>
      </c>
      <c r="H4">
        <v>5023</v>
      </c>
      <c r="I4" t="s">
        <v>26</v>
      </c>
      <c r="J4" t="s">
        <v>33</v>
      </c>
      <c r="M4" s="5"/>
    </row>
    <row r="5" spans="1:16" x14ac:dyDescent="0.4">
      <c r="A5" t="s">
        <v>34</v>
      </c>
      <c r="B5" t="s">
        <v>35</v>
      </c>
      <c r="C5" t="s">
        <v>36</v>
      </c>
      <c r="D5" t="s">
        <v>14</v>
      </c>
      <c r="E5" t="s">
        <v>37</v>
      </c>
      <c r="F5" t="s">
        <v>38</v>
      </c>
      <c r="H5" t="s">
        <v>39</v>
      </c>
      <c r="I5" t="s">
        <v>40</v>
      </c>
      <c r="J5" t="s">
        <v>41</v>
      </c>
      <c r="K5" t="s">
        <v>42</v>
      </c>
      <c r="M5" s="5"/>
    </row>
    <row r="6" spans="1:16" x14ac:dyDescent="0.4">
      <c r="A6" t="s">
        <v>43</v>
      </c>
      <c r="B6" t="s">
        <v>44</v>
      </c>
      <c r="C6" t="s">
        <v>45</v>
      </c>
      <c r="D6" t="s">
        <v>46</v>
      </c>
      <c r="E6" t="s">
        <v>47</v>
      </c>
      <c r="F6" t="s">
        <v>48</v>
      </c>
      <c r="H6" t="s">
        <v>49</v>
      </c>
      <c r="I6" t="s">
        <v>50</v>
      </c>
      <c r="J6" t="s">
        <v>51</v>
      </c>
      <c r="K6" t="s">
        <v>52</v>
      </c>
      <c r="M6" s="5"/>
      <c r="P6" s="5"/>
    </row>
    <row r="7" spans="1:16" x14ac:dyDescent="0.4">
      <c r="A7" t="s">
        <v>53</v>
      </c>
      <c r="B7" t="s">
        <v>54</v>
      </c>
      <c r="C7" t="s">
        <v>55</v>
      </c>
      <c r="D7" t="s">
        <v>14</v>
      </c>
      <c r="E7" t="s">
        <v>56</v>
      </c>
      <c r="F7" t="s">
        <v>57</v>
      </c>
      <c r="H7">
        <v>68306</v>
      </c>
      <c r="I7" t="s">
        <v>17</v>
      </c>
      <c r="J7" t="s">
        <v>58</v>
      </c>
      <c r="K7" t="s">
        <v>59</v>
      </c>
      <c r="M7" s="5"/>
    </row>
    <row r="8" spans="1:16" x14ac:dyDescent="0.4">
      <c r="A8" s="3" t="s">
        <v>60</v>
      </c>
      <c r="B8" t="s">
        <v>61</v>
      </c>
      <c r="C8" t="s">
        <v>62</v>
      </c>
      <c r="D8" t="s">
        <v>63</v>
      </c>
      <c r="E8" t="s">
        <v>64</v>
      </c>
      <c r="F8" t="s">
        <v>65</v>
      </c>
      <c r="H8">
        <v>67000</v>
      </c>
      <c r="I8" t="s">
        <v>66</v>
      </c>
      <c r="J8" t="s">
        <v>67</v>
      </c>
      <c r="K8" t="s">
        <v>68</v>
      </c>
      <c r="M8" s="5"/>
    </row>
    <row r="9" spans="1:16" x14ac:dyDescent="0.4">
      <c r="A9" t="s">
        <v>69</v>
      </c>
      <c r="B9" t="s">
        <v>70</v>
      </c>
      <c r="C9" t="s">
        <v>71</v>
      </c>
      <c r="D9" t="s">
        <v>23</v>
      </c>
      <c r="E9" t="s">
        <v>72</v>
      </c>
      <c r="F9" t="s">
        <v>73</v>
      </c>
      <c r="H9">
        <v>28023</v>
      </c>
      <c r="I9" t="s">
        <v>74</v>
      </c>
      <c r="J9" t="s">
        <v>75</v>
      </c>
      <c r="K9" t="s">
        <v>76</v>
      </c>
      <c r="M9" s="5"/>
    </row>
    <row r="10" spans="1:16" x14ac:dyDescent="0.4">
      <c r="A10" t="s">
        <v>77</v>
      </c>
      <c r="B10" t="s">
        <v>78</v>
      </c>
      <c r="C10" t="s">
        <v>79</v>
      </c>
      <c r="D10" t="s">
        <v>23</v>
      </c>
      <c r="E10" t="s">
        <v>80</v>
      </c>
      <c r="F10" t="s">
        <v>81</v>
      </c>
      <c r="H10">
        <v>13008</v>
      </c>
      <c r="I10" t="s">
        <v>66</v>
      </c>
      <c r="J10" t="s">
        <v>82</v>
      </c>
      <c r="K10" t="s">
        <v>83</v>
      </c>
      <c r="M10" s="5"/>
    </row>
    <row r="11" spans="1:16" x14ac:dyDescent="0.4">
      <c r="A11" t="s">
        <v>84</v>
      </c>
      <c r="B11" t="s">
        <v>85</v>
      </c>
      <c r="C11" t="s">
        <v>86</v>
      </c>
      <c r="D11" t="s">
        <v>87</v>
      </c>
      <c r="E11" t="s">
        <v>88</v>
      </c>
      <c r="F11" t="s">
        <v>89</v>
      </c>
      <c r="G11" t="s">
        <v>90</v>
      </c>
      <c r="H11" t="s">
        <v>91</v>
      </c>
      <c r="I11" t="s">
        <v>92</v>
      </c>
      <c r="J11" t="s">
        <v>93</v>
      </c>
      <c r="K11" t="s">
        <v>94</v>
      </c>
      <c r="M11" s="5"/>
    </row>
    <row r="12" spans="1:16" x14ac:dyDescent="0.4">
      <c r="A12" t="s">
        <v>95</v>
      </c>
      <c r="B12" t="s">
        <v>96</v>
      </c>
      <c r="C12" t="s">
        <v>97</v>
      </c>
      <c r="D12" t="s">
        <v>14</v>
      </c>
      <c r="E12" t="s">
        <v>98</v>
      </c>
      <c r="F12" t="s">
        <v>38</v>
      </c>
      <c r="H12" t="s">
        <v>99</v>
      </c>
      <c r="I12" t="s">
        <v>40</v>
      </c>
      <c r="J12" t="s">
        <v>100</v>
      </c>
      <c r="M12" s="5"/>
    </row>
    <row r="13" spans="1:16" x14ac:dyDescent="0.4">
      <c r="A13" t="s">
        <v>101</v>
      </c>
      <c r="B13" t="s">
        <v>102</v>
      </c>
      <c r="C13" t="s">
        <v>103</v>
      </c>
      <c r="D13" t="s">
        <v>104</v>
      </c>
      <c r="E13" t="s">
        <v>105</v>
      </c>
      <c r="F13" t="s">
        <v>106</v>
      </c>
      <c r="H13">
        <v>1010</v>
      </c>
      <c r="I13" t="s">
        <v>107</v>
      </c>
      <c r="J13" t="s">
        <v>108</v>
      </c>
      <c r="K13" t="s">
        <v>109</v>
      </c>
      <c r="M13" s="5"/>
    </row>
    <row r="14" spans="1:16" x14ac:dyDescent="0.4">
      <c r="A14" t="s">
        <v>110</v>
      </c>
      <c r="B14" t="s">
        <v>111</v>
      </c>
      <c r="C14" t="s">
        <v>112</v>
      </c>
      <c r="D14" t="s">
        <v>63</v>
      </c>
      <c r="E14" t="s">
        <v>113</v>
      </c>
      <c r="F14" t="s">
        <v>25</v>
      </c>
      <c r="H14">
        <v>5022</v>
      </c>
      <c r="I14" t="s">
        <v>26</v>
      </c>
      <c r="J14" t="s">
        <v>114</v>
      </c>
      <c r="K14" t="s">
        <v>115</v>
      </c>
      <c r="M14" s="5"/>
    </row>
    <row r="15" spans="1:16" x14ac:dyDescent="0.4">
      <c r="A15" t="s">
        <v>116</v>
      </c>
      <c r="B15" t="s">
        <v>117</v>
      </c>
      <c r="C15" t="s">
        <v>118</v>
      </c>
      <c r="D15" t="s">
        <v>23</v>
      </c>
      <c r="E15" t="s">
        <v>119</v>
      </c>
      <c r="F15" t="s">
        <v>120</v>
      </c>
      <c r="H15">
        <v>3012</v>
      </c>
      <c r="I15" t="s">
        <v>121</v>
      </c>
      <c r="J15" t="s">
        <v>122</v>
      </c>
      <c r="M15" s="5"/>
    </row>
    <row r="16" spans="1:16" x14ac:dyDescent="0.4">
      <c r="A16" t="s">
        <v>123</v>
      </c>
      <c r="B16" t="s">
        <v>124</v>
      </c>
      <c r="C16" t="s">
        <v>125</v>
      </c>
      <c r="D16" t="s">
        <v>126</v>
      </c>
      <c r="E16" t="s">
        <v>127</v>
      </c>
      <c r="F16" t="s">
        <v>128</v>
      </c>
      <c r="G16" t="s">
        <v>129</v>
      </c>
      <c r="H16" t="s">
        <v>130</v>
      </c>
      <c r="I16" t="s">
        <v>131</v>
      </c>
      <c r="J16" t="s">
        <v>132</v>
      </c>
      <c r="M16" s="5"/>
    </row>
    <row r="17" spans="1:13" x14ac:dyDescent="0.4">
      <c r="A17" t="s">
        <v>133</v>
      </c>
      <c r="B17" t="s">
        <v>134</v>
      </c>
      <c r="C17" t="s">
        <v>135</v>
      </c>
      <c r="D17" t="s">
        <v>14</v>
      </c>
      <c r="E17" t="s">
        <v>136</v>
      </c>
      <c r="F17" t="s">
        <v>38</v>
      </c>
      <c r="H17" t="s">
        <v>137</v>
      </c>
      <c r="I17" t="s">
        <v>40</v>
      </c>
      <c r="J17" t="s">
        <v>138</v>
      </c>
      <c r="K17" t="s">
        <v>139</v>
      </c>
      <c r="M17" s="5"/>
    </row>
    <row r="18" spans="1:13" x14ac:dyDescent="0.4">
      <c r="A18" t="s">
        <v>140</v>
      </c>
      <c r="B18" t="s">
        <v>141</v>
      </c>
      <c r="C18" t="s">
        <v>142</v>
      </c>
      <c r="D18" t="s">
        <v>46</v>
      </c>
      <c r="E18" t="s">
        <v>143</v>
      </c>
      <c r="F18" t="s">
        <v>144</v>
      </c>
      <c r="H18">
        <v>52066</v>
      </c>
      <c r="I18" t="s">
        <v>17</v>
      </c>
      <c r="J18" t="s">
        <v>145</v>
      </c>
      <c r="K18" t="s">
        <v>146</v>
      </c>
      <c r="M18" s="5"/>
    </row>
    <row r="19" spans="1:13" x14ac:dyDescent="0.4">
      <c r="A19" t="s">
        <v>147</v>
      </c>
      <c r="B19" t="s">
        <v>148</v>
      </c>
      <c r="C19" t="s">
        <v>149</v>
      </c>
      <c r="D19" t="s">
        <v>23</v>
      </c>
      <c r="E19" t="s">
        <v>150</v>
      </c>
      <c r="F19" t="s">
        <v>151</v>
      </c>
      <c r="H19">
        <v>44000</v>
      </c>
      <c r="I19" t="s">
        <v>66</v>
      </c>
      <c r="J19" t="s">
        <v>152</v>
      </c>
      <c r="K19" t="s">
        <v>153</v>
      </c>
      <c r="M19" s="5"/>
    </row>
    <row r="20" spans="1:13" x14ac:dyDescent="0.4">
      <c r="A20" t="s">
        <v>154</v>
      </c>
      <c r="B20" t="s">
        <v>155</v>
      </c>
      <c r="C20" t="s">
        <v>156</v>
      </c>
      <c r="D20" t="s">
        <v>104</v>
      </c>
      <c r="E20" t="s">
        <v>157</v>
      </c>
      <c r="F20" t="s">
        <v>38</v>
      </c>
      <c r="H20" t="s">
        <v>158</v>
      </c>
      <c r="I20" t="s">
        <v>40</v>
      </c>
      <c r="J20" t="s">
        <v>159</v>
      </c>
      <c r="K20" t="s">
        <v>160</v>
      </c>
      <c r="M20" s="5"/>
    </row>
    <row r="21" spans="1:13" x14ac:dyDescent="0.4">
      <c r="A21" t="s">
        <v>161</v>
      </c>
      <c r="B21" t="s">
        <v>162</v>
      </c>
      <c r="C21" t="s">
        <v>163</v>
      </c>
      <c r="D21" t="s">
        <v>164</v>
      </c>
      <c r="E21" t="s">
        <v>165</v>
      </c>
      <c r="F21" t="s">
        <v>166</v>
      </c>
      <c r="H21">
        <v>8010</v>
      </c>
      <c r="I21" t="s">
        <v>167</v>
      </c>
      <c r="J21" t="s">
        <v>168</v>
      </c>
      <c r="K21" t="s">
        <v>169</v>
      </c>
      <c r="M21" s="5"/>
    </row>
    <row r="22" spans="1:13" x14ac:dyDescent="0.4">
      <c r="A22" t="s">
        <v>170</v>
      </c>
      <c r="B22" t="s">
        <v>171</v>
      </c>
      <c r="C22" t="s">
        <v>172</v>
      </c>
      <c r="D22" t="s">
        <v>173</v>
      </c>
      <c r="E22" t="s">
        <v>174</v>
      </c>
      <c r="F22" t="s">
        <v>128</v>
      </c>
      <c r="G22" t="s">
        <v>129</v>
      </c>
      <c r="H22" t="s">
        <v>175</v>
      </c>
      <c r="I22" t="s">
        <v>131</v>
      </c>
      <c r="J22" t="s">
        <v>176</v>
      </c>
      <c r="M22" s="5"/>
    </row>
    <row r="23" spans="1:13" x14ac:dyDescent="0.4">
      <c r="A23" t="s">
        <v>177</v>
      </c>
      <c r="B23" t="s">
        <v>178</v>
      </c>
      <c r="C23" t="s">
        <v>179</v>
      </c>
      <c r="D23" t="s">
        <v>87</v>
      </c>
      <c r="E23" t="s">
        <v>180</v>
      </c>
      <c r="F23" t="s">
        <v>73</v>
      </c>
      <c r="H23">
        <v>28034</v>
      </c>
      <c r="I23" t="s">
        <v>74</v>
      </c>
      <c r="J23" t="s">
        <v>181</v>
      </c>
      <c r="K23" t="s">
        <v>182</v>
      </c>
      <c r="M23" s="5"/>
    </row>
    <row r="24" spans="1:13" x14ac:dyDescent="0.4">
      <c r="A24" t="s">
        <v>183</v>
      </c>
      <c r="B24" t="s">
        <v>184</v>
      </c>
      <c r="C24" t="s">
        <v>185</v>
      </c>
      <c r="D24" t="s">
        <v>186</v>
      </c>
      <c r="E24" t="s">
        <v>187</v>
      </c>
      <c r="F24" t="s">
        <v>188</v>
      </c>
      <c r="H24">
        <v>59000</v>
      </c>
      <c r="I24" t="s">
        <v>66</v>
      </c>
      <c r="J24" t="s">
        <v>189</v>
      </c>
      <c r="K24" t="s">
        <v>190</v>
      </c>
      <c r="M24" s="5"/>
    </row>
    <row r="25" spans="1:13" x14ac:dyDescent="0.4">
      <c r="A25" t="s">
        <v>191</v>
      </c>
      <c r="B25" t="s">
        <v>192</v>
      </c>
      <c r="C25" t="s">
        <v>193</v>
      </c>
      <c r="D25" t="s">
        <v>23</v>
      </c>
      <c r="E25" t="s">
        <v>194</v>
      </c>
      <c r="F25" t="s">
        <v>195</v>
      </c>
      <c r="H25" t="s">
        <v>196</v>
      </c>
      <c r="I25" t="s">
        <v>50</v>
      </c>
      <c r="J25" t="s">
        <v>197</v>
      </c>
      <c r="M25" s="5"/>
    </row>
    <row r="26" spans="1:13" x14ac:dyDescent="0.4">
      <c r="A26" t="s">
        <v>198</v>
      </c>
      <c r="B26" t="s">
        <v>199</v>
      </c>
      <c r="C26" t="s">
        <v>200</v>
      </c>
      <c r="D26" t="s">
        <v>63</v>
      </c>
      <c r="E26" t="s">
        <v>201</v>
      </c>
      <c r="F26" t="s">
        <v>202</v>
      </c>
      <c r="H26">
        <v>80805</v>
      </c>
      <c r="I26" t="s">
        <v>17</v>
      </c>
      <c r="J26" t="s">
        <v>203</v>
      </c>
      <c r="K26" t="s">
        <v>204</v>
      </c>
      <c r="M26" s="5"/>
    </row>
    <row r="27" spans="1:13" x14ac:dyDescent="0.4">
      <c r="A27" t="s">
        <v>205</v>
      </c>
      <c r="B27" t="s">
        <v>206</v>
      </c>
      <c r="C27" t="s">
        <v>207</v>
      </c>
      <c r="D27" t="s">
        <v>63</v>
      </c>
      <c r="E27" t="s">
        <v>208</v>
      </c>
      <c r="F27" t="s">
        <v>151</v>
      </c>
      <c r="H27">
        <v>44000</v>
      </c>
      <c r="I27" t="s">
        <v>66</v>
      </c>
      <c r="J27" t="s">
        <v>209</v>
      </c>
      <c r="K27" t="s">
        <v>210</v>
      </c>
      <c r="M27" s="5"/>
    </row>
    <row r="28" spans="1:13" x14ac:dyDescent="0.4">
      <c r="A28" t="s">
        <v>211</v>
      </c>
      <c r="B28" t="s">
        <v>212</v>
      </c>
      <c r="C28" t="s">
        <v>213</v>
      </c>
      <c r="D28" t="s">
        <v>14</v>
      </c>
      <c r="E28" t="s">
        <v>214</v>
      </c>
      <c r="F28" t="s">
        <v>215</v>
      </c>
      <c r="H28">
        <v>10100</v>
      </c>
      <c r="I28" t="s">
        <v>216</v>
      </c>
      <c r="J28" t="s">
        <v>217</v>
      </c>
      <c r="K28" t="s">
        <v>218</v>
      </c>
      <c r="M28" s="5"/>
    </row>
    <row r="29" spans="1:13" x14ac:dyDescent="0.4">
      <c r="A29" t="s">
        <v>219</v>
      </c>
      <c r="B29" t="s">
        <v>220</v>
      </c>
      <c r="C29" t="s">
        <v>221</v>
      </c>
      <c r="D29" t="s">
        <v>164</v>
      </c>
      <c r="E29" t="s">
        <v>222</v>
      </c>
      <c r="F29" t="s">
        <v>223</v>
      </c>
      <c r="H29">
        <v>1675</v>
      </c>
      <c r="I29" t="s">
        <v>224</v>
      </c>
      <c r="J29" t="s">
        <v>225</v>
      </c>
      <c r="K29" t="s">
        <v>226</v>
      </c>
      <c r="M29" s="5"/>
    </row>
    <row r="30" spans="1:13" x14ac:dyDescent="0.4">
      <c r="A30" t="s">
        <v>227</v>
      </c>
      <c r="B30" t="s">
        <v>228</v>
      </c>
      <c r="C30" t="s">
        <v>229</v>
      </c>
      <c r="D30" t="s">
        <v>63</v>
      </c>
      <c r="E30" t="s">
        <v>230</v>
      </c>
      <c r="F30" t="s">
        <v>231</v>
      </c>
      <c r="H30">
        <v>8022</v>
      </c>
      <c r="I30" t="s">
        <v>74</v>
      </c>
      <c r="J30" t="s">
        <v>232</v>
      </c>
      <c r="K30" t="s">
        <v>233</v>
      </c>
      <c r="M30" s="5"/>
    </row>
    <row r="31" spans="1:13" x14ac:dyDescent="0.4">
      <c r="A31" t="s">
        <v>234</v>
      </c>
      <c r="B31" t="s">
        <v>235</v>
      </c>
      <c r="C31" t="s">
        <v>236</v>
      </c>
      <c r="D31" t="s">
        <v>164</v>
      </c>
      <c r="E31" t="s">
        <v>237</v>
      </c>
      <c r="F31" t="s">
        <v>238</v>
      </c>
      <c r="H31">
        <v>41101</v>
      </c>
      <c r="I31" t="s">
        <v>74</v>
      </c>
      <c r="J31" t="s">
        <v>239</v>
      </c>
      <c r="M31" s="5"/>
    </row>
    <row r="32" spans="1:13" x14ac:dyDescent="0.4">
      <c r="A32" t="s">
        <v>240</v>
      </c>
      <c r="B32" t="s">
        <v>241</v>
      </c>
      <c r="C32" t="s">
        <v>242</v>
      </c>
      <c r="D32" t="s">
        <v>126</v>
      </c>
      <c r="E32" t="s">
        <v>243</v>
      </c>
      <c r="F32" t="s">
        <v>244</v>
      </c>
      <c r="G32" t="s">
        <v>129</v>
      </c>
      <c r="H32" t="s">
        <v>245</v>
      </c>
      <c r="I32" t="s">
        <v>131</v>
      </c>
      <c r="J32" t="s">
        <v>246</v>
      </c>
      <c r="M32" s="5"/>
    </row>
    <row r="33" spans="1:13" x14ac:dyDescent="0.4">
      <c r="A33" t="s">
        <v>247</v>
      </c>
      <c r="B33" t="s">
        <v>248</v>
      </c>
      <c r="C33" t="s">
        <v>249</v>
      </c>
      <c r="D33" t="s">
        <v>63</v>
      </c>
      <c r="E33" t="s">
        <v>250</v>
      </c>
      <c r="F33" t="s">
        <v>251</v>
      </c>
      <c r="G33" t="s">
        <v>252</v>
      </c>
      <c r="H33">
        <v>97403</v>
      </c>
      <c r="I33" t="s">
        <v>253</v>
      </c>
      <c r="J33" t="s">
        <v>254</v>
      </c>
      <c r="M33" s="5"/>
    </row>
    <row r="34" spans="1:13" x14ac:dyDescent="0.4">
      <c r="A34" t="s">
        <v>255</v>
      </c>
      <c r="B34" t="s">
        <v>256</v>
      </c>
      <c r="C34" t="s">
        <v>257</v>
      </c>
      <c r="D34" t="s">
        <v>23</v>
      </c>
      <c r="E34" t="s">
        <v>258</v>
      </c>
      <c r="F34" t="s">
        <v>259</v>
      </c>
      <c r="G34" t="s">
        <v>260</v>
      </c>
      <c r="H34">
        <v>1081</v>
      </c>
      <c r="I34" t="s">
        <v>261</v>
      </c>
      <c r="J34" t="s">
        <v>262</v>
      </c>
      <c r="K34" t="s">
        <v>263</v>
      </c>
      <c r="M34" s="5"/>
    </row>
    <row r="35" spans="1:13" x14ac:dyDescent="0.4">
      <c r="A35" t="s">
        <v>264</v>
      </c>
      <c r="B35" t="s">
        <v>265</v>
      </c>
      <c r="C35" t="s">
        <v>266</v>
      </c>
      <c r="D35" t="s">
        <v>87</v>
      </c>
      <c r="E35" t="s">
        <v>267</v>
      </c>
      <c r="F35" t="s">
        <v>268</v>
      </c>
      <c r="G35" t="s">
        <v>269</v>
      </c>
      <c r="H35" t="s">
        <v>270</v>
      </c>
      <c r="I35" t="s">
        <v>131</v>
      </c>
      <c r="J35" t="s">
        <v>271</v>
      </c>
      <c r="K35" t="s">
        <v>272</v>
      </c>
      <c r="M35" s="5"/>
    </row>
    <row r="36" spans="1:13" x14ac:dyDescent="0.4">
      <c r="A36" t="s">
        <v>273</v>
      </c>
      <c r="B36" t="s">
        <v>274</v>
      </c>
      <c r="C36" t="s">
        <v>275</v>
      </c>
      <c r="D36" t="s">
        <v>14</v>
      </c>
      <c r="E36" t="s">
        <v>276</v>
      </c>
      <c r="F36" t="s">
        <v>277</v>
      </c>
      <c r="G36" t="s">
        <v>278</v>
      </c>
      <c r="H36">
        <v>5022</v>
      </c>
      <c r="I36" t="s">
        <v>261</v>
      </c>
      <c r="J36" t="s">
        <v>279</v>
      </c>
      <c r="K36" t="s">
        <v>280</v>
      </c>
      <c r="M36" s="5"/>
    </row>
    <row r="37" spans="1:13" x14ac:dyDescent="0.4">
      <c r="A37" t="s">
        <v>281</v>
      </c>
      <c r="B37" t="s">
        <v>282</v>
      </c>
      <c r="C37" t="s">
        <v>283</v>
      </c>
      <c r="D37" t="s">
        <v>14</v>
      </c>
      <c r="E37" t="s">
        <v>284</v>
      </c>
      <c r="F37" t="s">
        <v>285</v>
      </c>
      <c r="G37" t="s">
        <v>252</v>
      </c>
      <c r="H37">
        <v>97827</v>
      </c>
      <c r="I37" t="s">
        <v>253</v>
      </c>
      <c r="J37" t="s">
        <v>286</v>
      </c>
      <c r="K37" t="s">
        <v>287</v>
      </c>
      <c r="M37" s="5"/>
    </row>
    <row r="38" spans="1:13" x14ac:dyDescent="0.4">
      <c r="A38" t="s">
        <v>288</v>
      </c>
      <c r="B38" t="s">
        <v>289</v>
      </c>
      <c r="C38" t="s">
        <v>290</v>
      </c>
      <c r="D38" t="s">
        <v>126</v>
      </c>
      <c r="E38" t="s">
        <v>291</v>
      </c>
      <c r="F38" t="s">
        <v>292</v>
      </c>
      <c r="G38" t="s">
        <v>293</v>
      </c>
      <c r="I38" t="s">
        <v>294</v>
      </c>
      <c r="J38" t="s">
        <v>295</v>
      </c>
      <c r="K38" t="s">
        <v>296</v>
      </c>
      <c r="M38" s="5"/>
    </row>
    <row r="39" spans="1:13" x14ac:dyDescent="0.4">
      <c r="A39" t="s">
        <v>297</v>
      </c>
      <c r="B39" t="s">
        <v>298</v>
      </c>
      <c r="C39" t="s">
        <v>299</v>
      </c>
      <c r="D39" t="s">
        <v>63</v>
      </c>
      <c r="E39" t="s">
        <v>300</v>
      </c>
      <c r="F39" t="s">
        <v>301</v>
      </c>
      <c r="G39" t="s">
        <v>302</v>
      </c>
      <c r="H39" t="s">
        <v>303</v>
      </c>
      <c r="I39" t="s">
        <v>40</v>
      </c>
      <c r="J39" t="s">
        <v>304</v>
      </c>
      <c r="M39" s="5"/>
    </row>
    <row r="40" spans="1:13" x14ac:dyDescent="0.4">
      <c r="A40" t="s">
        <v>305</v>
      </c>
      <c r="B40" t="s">
        <v>306</v>
      </c>
      <c r="C40" t="s">
        <v>307</v>
      </c>
      <c r="D40" t="s">
        <v>126</v>
      </c>
      <c r="E40" t="s">
        <v>308</v>
      </c>
      <c r="F40" t="s">
        <v>309</v>
      </c>
      <c r="H40">
        <v>14776</v>
      </c>
      <c r="I40" t="s">
        <v>17</v>
      </c>
      <c r="J40" t="s">
        <v>310</v>
      </c>
      <c r="M40" s="5"/>
    </row>
    <row r="41" spans="1:13" x14ac:dyDescent="0.4">
      <c r="A41" t="s">
        <v>311</v>
      </c>
      <c r="B41" t="s">
        <v>312</v>
      </c>
      <c r="C41" t="s">
        <v>313</v>
      </c>
      <c r="D41" t="s">
        <v>14</v>
      </c>
      <c r="E41" t="s">
        <v>314</v>
      </c>
      <c r="F41" t="s">
        <v>315</v>
      </c>
      <c r="H41">
        <v>78000</v>
      </c>
      <c r="I41" t="s">
        <v>66</v>
      </c>
      <c r="J41" t="s">
        <v>316</v>
      </c>
      <c r="K41" t="s">
        <v>317</v>
      </c>
      <c r="M41" s="5"/>
    </row>
    <row r="42" spans="1:13" x14ac:dyDescent="0.4">
      <c r="A42" t="s">
        <v>318</v>
      </c>
      <c r="B42" t="s">
        <v>319</v>
      </c>
      <c r="C42" t="s">
        <v>320</v>
      </c>
      <c r="D42" t="s">
        <v>164</v>
      </c>
      <c r="E42" t="s">
        <v>321</v>
      </c>
      <c r="F42" t="s">
        <v>322</v>
      </c>
      <c r="H42">
        <v>31000</v>
      </c>
      <c r="I42" t="s">
        <v>66</v>
      </c>
      <c r="J42" t="s">
        <v>323</v>
      </c>
      <c r="K42" t="s">
        <v>324</v>
      </c>
      <c r="M42" s="5"/>
    </row>
    <row r="43" spans="1:13" x14ac:dyDescent="0.4">
      <c r="A43" t="s">
        <v>325</v>
      </c>
      <c r="B43" t="s">
        <v>326</v>
      </c>
      <c r="C43" t="s">
        <v>327</v>
      </c>
      <c r="D43" t="s">
        <v>173</v>
      </c>
      <c r="E43" t="s">
        <v>328</v>
      </c>
      <c r="F43" t="s">
        <v>329</v>
      </c>
      <c r="G43" t="s">
        <v>90</v>
      </c>
      <c r="H43" t="s">
        <v>330</v>
      </c>
      <c r="I43" t="s">
        <v>92</v>
      </c>
      <c r="J43" t="s">
        <v>331</v>
      </c>
      <c r="K43" t="s">
        <v>332</v>
      </c>
      <c r="M43" s="5"/>
    </row>
    <row r="44" spans="1:13" x14ac:dyDescent="0.4">
      <c r="A44" t="s">
        <v>333</v>
      </c>
      <c r="B44" t="s">
        <v>334</v>
      </c>
      <c r="C44" t="s">
        <v>335</v>
      </c>
      <c r="D44" t="s">
        <v>63</v>
      </c>
      <c r="E44" t="s">
        <v>336</v>
      </c>
      <c r="F44" t="s">
        <v>337</v>
      </c>
      <c r="G44" t="s">
        <v>338</v>
      </c>
      <c r="H44">
        <v>99362</v>
      </c>
      <c r="I44" t="s">
        <v>253</v>
      </c>
      <c r="J44" t="s">
        <v>339</v>
      </c>
      <c r="K44" t="s">
        <v>340</v>
      </c>
      <c r="M44" s="5"/>
    </row>
    <row r="45" spans="1:13" x14ac:dyDescent="0.4">
      <c r="A45" t="s">
        <v>341</v>
      </c>
      <c r="B45" t="s">
        <v>342</v>
      </c>
      <c r="C45" t="s">
        <v>343</v>
      </c>
      <c r="D45" t="s">
        <v>14</v>
      </c>
      <c r="E45" t="s">
        <v>344</v>
      </c>
      <c r="F45" t="s">
        <v>345</v>
      </c>
      <c r="H45">
        <v>60528</v>
      </c>
      <c r="I45" t="s">
        <v>17</v>
      </c>
      <c r="J45" t="s">
        <v>346</v>
      </c>
      <c r="K45" t="s">
        <v>347</v>
      </c>
      <c r="M45" s="5"/>
    </row>
    <row r="46" spans="1:13" x14ac:dyDescent="0.4">
      <c r="A46" t="s">
        <v>348</v>
      </c>
      <c r="B46" t="s">
        <v>349</v>
      </c>
      <c r="C46" t="s">
        <v>350</v>
      </c>
      <c r="D46" t="s">
        <v>23</v>
      </c>
      <c r="E46" t="s">
        <v>351</v>
      </c>
      <c r="F46" t="s">
        <v>352</v>
      </c>
      <c r="G46" t="s">
        <v>353</v>
      </c>
      <c r="H46">
        <v>94117</v>
      </c>
      <c r="I46" t="s">
        <v>253</v>
      </c>
      <c r="J46" t="s">
        <v>354</v>
      </c>
      <c r="M46" s="5"/>
    </row>
    <row r="47" spans="1:13" x14ac:dyDescent="0.4">
      <c r="A47" t="s">
        <v>355</v>
      </c>
      <c r="B47" t="s">
        <v>356</v>
      </c>
      <c r="C47" t="s">
        <v>357</v>
      </c>
      <c r="D47" t="s">
        <v>87</v>
      </c>
      <c r="E47" t="s">
        <v>358</v>
      </c>
      <c r="F47" t="s">
        <v>359</v>
      </c>
      <c r="G47" t="s">
        <v>360</v>
      </c>
      <c r="H47">
        <v>3508</v>
      </c>
      <c r="I47" t="s">
        <v>261</v>
      </c>
      <c r="J47" t="s">
        <v>361</v>
      </c>
      <c r="K47" t="s">
        <v>362</v>
      </c>
      <c r="M47" s="5"/>
    </row>
    <row r="48" spans="1:13" x14ac:dyDescent="0.4">
      <c r="A48" t="s">
        <v>363</v>
      </c>
      <c r="B48" t="s">
        <v>364</v>
      </c>
      <c r="C48" t="s">
        <v>365</v>
      </c>
      <c r="D48" t="s">
        <v>23</v>
      </c>
      <c r="E48" t="s">
        <v>366</v>
      </c>
      <c r="F48" t="s">
        <v>367</v>
      </c>
      <c r="G48" t="s">
        <v>368</v>
      </c>
      <c r="H48">
        <v>4980</v>
      </c>
      <c r="I48" t="s">
        <v>261</v>
      </c>
      <c r="J48" t="s">
        <v>369</v>
      </c>
      <c r="K48" t="s">
        <v>370</v>
      </c>
      <c r="M48" s="5"/>
    </row>
    <row r="49" spans="1:13" x14ac:dyDescent="0.4">
      <c r="A49" t="s">
        <v>371</v>
      </c>
      <c r="B49" t="s">
        <v>372</v>
      </c>
      <c r="C49" t="s">
        <v>373</v>
      </c>
      <c r="D49" t="s">
        <v>164</v>
      </c>
      <c r="E49" t="s">
        <v>374</v>
      </c>
      <c r="F49" t="s">
        <v>375</v>
      </c>
      <c r="G49" t="s">
        <v>252</v>
      </c>
      <c r="H49">
        <v>97219</v>
      </c>
      <c r="I49" t="s">
        <v>253</v>
      </c>
      <c r="J49" t="s">
        <v>376</v>
      </c>
      <c r="K49" t="s">
        <v>377</v>
      </c>
      <c r="M49" s="5"/>
    </row>
    <row r="50" spans="1:13" x14ac:dyDescent="0.4">
      <c r="A50" t="s">
        <v>378</v>
      </c>
      <c r="B50" t="s">
        <v>379</v>
      </c>
      <c r="C50" t="s">
        <v>380</v>
      </c>
      <c r="D50" t="s">
        <v>63</v>
      </c>
      <c r="E50" t="s">
        <v>381</v>
      </c>
      <c r="F50" t="s">
        <v>382</v>
      </c>
      <c r="H50">
        <v>24100</v>
      </c>
      <c r="I50" t="s">
        <v>216</v>
      </c>
      <c r="J50" t="s">
        <v>383</v>
      </c>
      <c r="K50" t="s">
        <v>384</v>
      </c>
      <c r="M50" s="5"/>
    </row>
    <row r="51" spans="1:13" x14ac:dyDescent="0.4">
      <c r="A51" t="s">
        <v>385</v>
      </c>
      <c r="B51" t="s">
        <v>386</v>
      </c>
      <c r="C51" t="s">
        <v>387</v>
      </c>
      <c r="D51" t="s">
        <v>104</v>
      </c>
      <c r="E51" t="s">
        <v>388</v>
      </c>
      <c r="F51" t="s">
        <v>389</v>
      </c>
      <c r="H51" t="s">
        <v>390</v>
      </c>
      <c r="I51" t="s">
        <v>391</v>
      </c>
      <c r="J51" t="s">
        <v>392</v>
      </c>
      <c r="K51" t="s">
        <v>393</v>
      </c>
      <c r="M51" s="5"/>
    </row>
    <row r="52" spans="1:13" x14ac:dyDescent="0.4">
      <c r="A52" t="s">
        <v>394</v>
      </c>
      <c r="B52" t="s">
        <v>395</v>
      </c>
      <c r="C52" t="s">
        <v>396</v>
      </c>
      <c r="D52" t="s">
        <v>173</v>
      </c>
      <c r="E52" t="s">
        <v>397</v>
      </c>
      <c r="F52" t="s">
        <v>398</v>
      </c>
      <c r="G52" t="s">
        <v>399</v>
      </c>
      <c r="H52" t="s">
        <v>400</v>
      </c>
      <c r="I52" t="s">
        <v>92</v>
      </c>
      <c r="J52" t="s">
        <v>401</v>
      </c>
      <c r="K52" t="s">
        <v>402</v>
      </c>
      <c r="M52" s="5"/>
    </row>
    <row r="53" spans="1:13" x14ac:dyDescent="0.4">
      <c r="A53" t="s">
        <v>403</v>
      </c>
      <c r="B53" t="s">
        <v>404</v>
      </c>
      <c r="C53" t="s">
        <v>405</v>
      </c>
      <c r="D53" t="s">
        <v>173</v>
      </c>
      <c r="E53" t="s">
        <v>406</v>
      </c>
      <c r="F53" t="s">
        <v>407</v>
      </c>
      <c r="H53">
        <v>4179</v>
      </c>
      <c r="I53" t="s">
        <v>17</v>
      </c>
      <c r="J53" t="s">
        <v>408</v>
      </c>
      <c r="M53" s="5"/>
    </row>
    <row r="54" spans="1:13" x14ac:dyDescent="0.4">
      <c r="A54" t="s">
        <v>409</v>
      </c>
      <c r="B54" t="s">
        <v>410</v>
      </c>
      <c r="C54" t="s">
        <v>411</v>
      </c>
      <c r="D54" t="s">
        <v>126</v>
      </c>
      <c r="E54" t="s">
        <v>412</v>
      </c>
      <c r="F54" t="s">
        <v>38</v>
      </c>
      <c r="H54" t="s">
        <v>413</v>
      </c>
      <c r="I54" t="s">
        <v>40</v>
      </c>
      <c r="J54" t="s">
        <v>414</v>
      </c>
      <c r="K54" t="s">
        <v>415</v>
      </c>
      <c r="M54" s="5"/>
    </row>
    <row r="55" spans="1:13" x14ac:dyDescent="0.4">
      <c r="A55" t="s">
        <v>416</v>
      </c>
      <c r="B55" t="s">
        <v>417</v>
      </c>
      <c r="C55" t="s">
        <v>418</v>
      </c>
      <c r="D55" t="s">
        <v>104</v>
      </c>
      <c r="E55" t="s">
        <v>419</v>
      </c>
      <c r="F55" t="s">
        <v>106</v>
      </c>
      <c r="H55">
        <v>1010</v>
      </c>
      <c r="I55" t="s">
        <v>107</v>
      </c>
      <c r="J55" t="s">
        <v>420</v>
      </c>
      <c r="K55" t="s">
        <v>421</v>
      </c>
      <c r="M55" s="5"/>
    </row>
    <row r="56" spans="1:13" x14ac:dyDescent="0.4">
      <c r="A56" t="s">
        <v>422</v>
      </c>
      <c r="B56" t="s">
        <v>423</v>
      </c>
      <c r="C56" t="s">
        <v>424</v>
      </c>
      <c r="D56" t="s">
        <v>14</v>
      </c>
      <c r="E56" t="s">
        <v>425</v>
      </c>
      <c r="F56" t="s">
        <v>426</v>
      </c>
      <c r="G56" t="s">
        <v>427</v>
      </c>
      <c r="H56">
        <v>99508</v>
      </c>
      <c r="I56" t="s">
        <v>253</v>
      </c>
      <c r="J56" t="s">
        <v>428</v>
      </c>
      <c r="K56" t="s">
        <v>429</v>
      </c>
      <c r="M56" s="5"/>
    </row>
    <row r="57" spans="1:13" x14ac:dyDescent="0.4">
      <c r="A57" t="s">
        <v>430</v>
      </c>
      <c r="B57" t="s">
        <v>431</v>
      </c>
      <c r="C57" t="s">
        <v>432</v>
      </c>
      <c r="D57" t="s">
        <v>23</v>
      </c>
      <c r="E57" t="s">
        <v>433</v>
      </c>
      <c r="F57" t="s">
        <v>434</v>
      </c>
      <c r="H57">
        <v>50739</v>
      </c>
      <c r="I57" t="s">
        <v>17</v>
      </c>
      <c r="J57" t="s">
        <v>435</v>
      </c>
      <c r="K57" t="s">
        <v>436</v>
      </c>
      <c r="M57" s="5"/>
    </row>
    <row r="58" spans="1:13" x14ac:dyDescent="0.4">
      <c r="A58" t="s">
        <v>437</v>
      </c>
      <c r="B58" t="s">
        <v>438</v>
      </c>
      <c r="C58" t="s">
        <v>439</v>
      </c>
      <c r="D58" t="s">
        <v>23</v>
      </c>
      <c r="E58" t="s">
        <v>440</v>
      </c>
      <c r="F58" t="s">
        <v>441</v>
      </c>
      <c r="H58">
        <v>75012</v>
      </c>
      <c r="I58" t="s">
        <v>66</v>
      </c>
      <c r="J58" t="s">
        <v>442</v>
      </c>
      <c r="K58" t="s">
        <v>443</v>
      </c>
      <c r="M58" s="5"/>
    </row>
    <row r="59" spans="1:13" x14ac:dyDescent="0.4">
      <c r="A59" t="s">
        <v>444</v>
      </c>
      <c r="B59" t="s">
        <v>445</v>
      </c>
      <c r="C59" t="s">
        <v>446</v>
      </c>
      <c r="D59" t="s">
        <v>14</v>
      </c>
      <c r="E59" t="s">
        <v>447</v>
      </c>
      <c r="F59" t="s">
        <v>25</v>
      </c>
      <c r="H59">
        <v>5033</v>
      </c>
      <c r="I59" t="s">
        <v>26</v>
      </c>
      <c r="J59" t="s">
        <v>448</v>
      </c>
      <c r="K59" t="s">
        <v>449</v>
      </c>
      <c r="M59" s="5"/>
    </row>
    <row r="60" spans="1:13" x14ac:dyDescent="0.4">
      <c r="A60" t="s">
        <v>450</v>
      </c>
      <c r="B60" t="s">
        <v>451</v>
      </c>
      <c r="C60" t="s">
        <v>452</v>
      </c>
      <c r="D60" t="s">
        <v>164</v>
      </c>
      <c r="E60" t="s">
        <v>453</v>
      </c>
      <c r="F60" t="s">
        <v>454</v>
      </c>
      <c r="H60">
        <v>5020</v>
      </c>
      <c r="I60" t="s">
        <v>167</v>
      </c>
      <c r="J60" t="s">
        <v>455</v>
      </c>
      <c r="K60" t="s">
        <v>456</v>
      </c>
      <c r="M60" s="5"/>
    </row>
    <row r="61" spans="1:13" x14ac:dyDescent="0.4">
      <c r="A61" t="s">
        <v>457</v>
      </c>
      <c r="B61" t="s">
        <v>458</v>
      </c>
      <c r="C61" t="s">
        <v>459</v>
      </c>
      <c r="D61" t="s">
        <v>14</v>
      </c>
      <c r="E61" t="s">
        <v>460</v>
      </c>
      <c r="F61" t="s">
        <v>223</v>
      </c>
      <c r="H61">
        <v>1756</v>
      </c>
      <c r="I61" t="s">
        <v>224</v>
      </c>
      <c r="J61" t="s">
        <v>461</v>
      </c>
      <c r="M61" s="5"/>
    </row>
    <row r="62" spans="1:13" x14ac:dyDescent="0.4">
      <c r="A62" t="s">
        <v>462</v>
      </c>
      <c r="B62" t="s">
        <v>463</v>
      </c>
      <c r="C62" t="s">
        <v>464</v>
      </c>
      <c r="D62" t="s">
        <v>87</v>
      </c>
      <c r="E62" t="s">
        <v>465</v>
      </c>
      <c r="F62" t="s">
        <v>268</v>
      </c>
      <c r="G62" t="s">
        <v>269</v>
      </c>
      <c r="H62" t="s">
        <v>466</v>
      </c>
      <c r="I62" t="s">
        <v>131</v>
      </c>
      <c r="J62" t="s">
        <v>467</v>
      </c>
      <c r="K62" t="s">
        <v>468</v>
      </c>
      <c r="M62" s="5"/>
    </row>
    <row r="63" spans="1:13" x14ac:dyDescent="0.4">
      <c r="A63" t="s">
        <v>469</v>
      </c>
      <c r="B63" t="s">
        <v>470</v>
      </c>
      <c r="C63" t="s">
        <v>471</v>
      </c>
      <c r="D63" t="s">
        <v>173</v>
      </c>
      <c r="E63" t="s">
        <v>472</v>
      </c>
      <c r="F63" t="s">
        <v>128</v>
      </c>
      <c r="G63" t="s">
        <v>129</v>
      </c>
      <c r="H63" t="s">
        <v>473</v>
      </c>
      <c r="I63" t="s">
        <v>131</v>
      </c>
      <c r="J63" t="s">
        <v>474</v>
      </c>
      <c r="M63" s="5"/>
    </row>
    <row r="64" spans="1:13" x14ac:dyDescent="0.4">
      <c r="A64" t="s">
        <v>475</v>
      </c>
      <c r="B64" t="s">
        <v>476</v>
      </c>
      <c r="C64" t="s">
        <v>477</v>
      </c>
      <c r="D64" t="s">
        <v>87</v>
      </c>
      <c r="E64" t="s">
        <v>478</v>
      </c>
      <c r="F64" t="s">
        <v>479</v>
      </c>
      <c r="H64">
        <v>1307</v>
      </c>
      <c r="I64" t="s">
        <v>17</v>
      </c>
      <c r="J64" t="s">
        <v>480</v>
      </c>
      <c r="M64" s="5"/>
    </row>
    <row r="65" spans="1:13" x14ac:dyDescent="0.4">
      <c r="A65" t="s">
        <v>481</v>
      </c>
      <c r="B65" t="s">
        <v>482</v>
      </c>
      <c r="C65" t="s">
        <v>483</v>
      </c>
      <c r="D65" t="s">
        <v>14</v>
      </c>
      <c r="E65" t="s">
        <v>484</v>
      </c>
      <c r="F65" t="s">
        <v>106</v>
      </c>
      <c r="H65">
        <v>1010</v>
      </c>
      <c r="I65" t="s">
        <v>107</v>
      </c>
      <c r="J65" t="s">
        <v>485</v>
      </c>
      <c r="K65" t="s">
        <v>486</v>
      </c>
      <c r="M65" s="5"/>
    </row>
    <row r="66" spans="1:13" x14ac:dyDescent="0.4">
      <c r="A66" t="s">
        <v>487</v>
      </c>
      <c r="B66" t="s">
        <v>488</v>
      </c>
      <c r="C66" t="s">
        <v>489</v>
      </c>
      <c r="D66" t="s">
        <v>490</v>
      </c>
      <c r="E66" t="s">
        <v>491</v>
      </c>
      <c r="F66" t="s">
        <v>492</v>
      </c>
      <c r="G66" t="s">
        <v>493</v>
      </c>
      <c r="H66">
        <v>87110</v>
      </c>
      <c r="I66" t="s">
        <v>253</v>
      </c>
      <c r="J66" t="s">
        <v>494</v>
      </c>
      <c r="K66" t="s">
        <v>495</v>
      </c>
      <c r="M66" s="5"/>
    </row>
    <row r="67" spans="1:13" x14ac:dyDescent="0.4">
      <c r="A67" t="s">
        <v>496</v>
      </c>
      <c r="B67" t="s">
        <v>497</v>
      </c>
      <c r="C67" t="s">
        <v>498</v>
      </c>
      <c r="D67" t="s">
        <v>126</v>
      </c>
      <c r="E67" t="s">
        <v>499</v>
      </c>
      <c r="F67" t="s">
        <v>500</v>
      </c>
      <c r="H67">
        <v>42100</v>
      </c>
      <c r="I67" t="s">
        <v>216</v>
      </c>
      <c r="J67" t="s">
        <v>501</v>
      </c>
      <c r="K67" t="s">
        <v>502</v>
      </c>
      <c r="M67" s="5"/>
    </row>
    <row r="68" spans="1:13" x14ac:dyDescent="0.4">
      <c r="A68" t="s">
        <v>503</v>
      </c>
      <c r="B68" t="s">
        <v>504</v>
      </c>
      <c r="C68" t="s">
        <v>505</v>
      </c>
      <c r="D68" t="s">
        <v>186</v>
      </c>
      <c r="E68" t="s">
        <v>506</v>
      </c>
      <c r="F68" t="s">
        <v>268</v>
      </c>
      <c r="G68" t="s">
        <v>269</v>
      </c>
      <c r="H68" t="s">
        <v>507</v>
      </c>
      <c r="I68" t="s">
        <v>131</v>
      </c>
      <c r="J68" t="s">
        <v>508</v>
      </c>
      <c r="M68" s="5"/>
    </row>
    <row r="69" spans="1:13" x14ac:dyDescent="0.4">
      <c r="A69" t="s">
        <v>509</v>
      </c>
      <c r="B69" t="s">
        <v>510</v>
      </c>
      <c r="C69" t="s">
        <v>511</v>
      </c>
      <c r="D69" t="s">
        <v>164</v>
      </c>
      <c r="E69" t="s">
        <v>512</v>
      </c>
      <c r="F69" t="s">
        <v>513</v>
      </c>
      <c r="H69">
        <v>1203</v>
      </c>
      <c r="I69" t="s">
        <v>121</v>
      </c>
      <c r="J69" t="s">
        <v>514</v>
      </c>
      <c r="M69" s="5"/>
    </row>
    <row r="70" spans="1:13" x14ac:dyDescent="0.4">
      <c r="A70" t="s">
        <v>515</v>
      </c>
      <c r="B70" t="s">
        <v>516</v>
      </c>
      <c r="C70" t="s">
        <v>517</v>
      </c>
      <c r="D70" t="s">
        <v>87</v>
      </c>
      <c r="E70" t="s">
        <v>518</v>
      </c>
      <c r="F70" t="s">
        <v>73</v>
      </c>
      <c r="H70">
        <v>28001</v>
      </c>
      <c r="I70" t="s">
        <v>74</v>
      </c>
      <c r="J70" t="s">
        <v>519</v>
      </c>
      <c r="K70" t="s">
        <v>520</v>
      </c>
      <c r="M70" s="5"/>
    </row>
    <row r="71" spans="1:13" x14ac:dyDescent="0.4">
      <c r="A71" t="s">
        <v>521</v>
      </c>
      <c r="B71" t="s">
        <v>522</v>
      </c>
      <c r="C71" t="s">
        <v>523</v>
      </c>
      <c r="D71" t="s">
        <v>23</v>
      </c>
      <c r="E71" t="s">
        <v>524</v>
      </c>
      <c r="F71" t="s">
        <v>525</v>
      </c>
      <c r="H71">
        <v>4110</v>
      </c>
      <c r="I71" t="s">
        <v>526</v>
      </c>
      <c r="J71" t="s">
        <v>527</v>
      </c>
      <c r="K71" t="s">
        <v>528</v>
      </c>
      <c r="M71" s="5"/>
    </row>
    <row r="72" spans="1:13" x14ac:dyDescent="0.4">
      <c r="A72" t="s">
        <v>529</v>
      </c>
      <c r="B72" t="s">
        <v>530</v>
      </c>
      <c r="C72" t="s">
        <v>531</v>
      </c>
      <c r="D72" t="s">
        <v>14</v>
      </c>
      <c r="E72" t="s">
        <v>532</v>
      </c>
      <c r="F72" t="s">
        <v>533</v>
      </c>
      <c r="G72" t="s">
        <v>534</v>
      </c>
      <c r="H72">
        <v>83720</v>
      </c>
      <c r="I72" t="s">
        <v>253</v>
      </c>
      <c r="J72" t="s">
        <v>535</v>
      </c>
      <c r="M72" s="5"/>
    </row>
    <row r="73" spans="1:13" x14ac:dyDescent="0.4">
      <c r="A73" t="s">
        <v>536</v>
      </c>
      <c r="B73" t="s">
        <v>537</v>
      </c>
      <c r="C73" t="s">
        <v>538</v>
      </c>
      <c r="D73" t="s">
        <v>164</v>
      </c>
      <c r="E73" t="s">
        <v>539</v>
      </c>
      <c r="F73" t="s">
        <v>38</v>
      </c>
      <c r="H73" t="s">
        <v>540</v>
      </c>
      <c r="I73" t="s">
        <v>40</v>
      </c>
      <c r="J73" t="s">
        <v>541</v>
      </c>
      <c r="K73" t="s">
        <v>542</v>
      </c>
      <c r="M73" s="5"/>
    </row>
    <row r="74" spans="1:13" x14ac:dyDescent="0.4">
      <c r="A74" t="s">
        <v>543</v>
      </c>
      <c r="B74" t="s">
        <v>544</v>
      </c>
      <c r="C74" t="s">
        <v>545</v>
      </c>
      <c r="D74" t="s">
        <v>23</v>
      </c>
      <c r="E74" t="s">
        <v>546</v>
      </c>
      <c r="F74" t="s">
        <v>547</v>
      </c>
      <c r="H74">
        <v>1734</v>
      </c>
      <c r="I74" t="s">
        <v>548</v>
      </c>
      <c r="J74" t="s">
        <v>549</v>
      </c>
      <c r="K74" t="s">
        <v>550</v>
      </c>
      <c r="M74" s="5"/>
    </row>
    <row r="75" spans="1:13" x14ac:dyDescent="0.4">
      <c r="A75" t="s">
        <v>551</v>
      </c>
      <c r="B75" t="s">
        <v>552</v>
      </c>
      <c r="C75" t="s">
        <v>553</v>
      </c>
      <c r="D75" t="s">
        <v>63</v>
      </c>
      <c r="E75" t="s">
        <v>554</v>
      </c>
      <c r="F75" t="s">
        <v>441</v>
      </c>
      <c r="H75">
        <v>75016</v>
      </c>
      <c r="I75" t="s">
        <v>66</v>
      </c>
      <c r="J75" t="s">
        <v>555</v>
      </c>
      <c r="K75" t="s">
        <v>556</v>
      </c>
      <c r="M75" s="5"/>
    </row>
    <row r="76" spans="1:13" x14ac:dyDescent="0.4">
      <c r="A76" t="s">
        <v>557</v>
      </c>
      <c r="B76" t="s">
        <v>558</v>
      </c>
      <c r="C76" t="s">
        <v>559</v>
      </c>
      <c r="D76" t="s">
        <v>164</v>
      </c>
      <c r="E76" t="s">
        <v>560</v>
      </c>
      <c r="F76" t="s">
        <v>561</v>
      </c>
      <c r="G76" t="s">
        <v>562</v>
      </c>
      <c r="H76">
        <v>82520</v>
      </c>
      <c r="I76" t="s">
        <v>253</v>
      </c>
      <c r="J76" t="s">
        <v>563</v>
      </c>
      <c r="K76" t="s">
        <v>564</v>
      </c>
      <c r="M76" s="5"/>
    </row>
    <row r="77" spans="1:13" x14ac:dyDescent="0.4">
      <c r="A77" t="s">
        <v>565</v>
      </c>
      <c r="B77" t="s">
        <v>566</v>
      </c>
      <c r="C77" t="s">
        <v>567</v>
      </c>
      <c r="D77" t="s">
        <v>87</v>
      </c>
      <c r="E77" t="s">
        <v>568</v>
      </c>
      <c r="F77" t="s">
        <v>569</v>
      </c>
      <c r="H77" t="s">
        <v>570</v>
      </c>
      <c r="I77" t="s">
        <v>391</v>
      </c>
      <c r="J77" t="s">
        <v>571</v>
      </c>
      <c r="K77" t="s">
        <v>572</v>
      </c>
      <c r="M77" s="5"/>
    </row>
    <row r="78" spans="1:13" x14ac:dyDescent="0.4">
      <c r="A78" t="s">
        <v>573</v>
      </c>
      <c r="B78" t="s">
        <v>574</v>
      </c>
      <c r="C78" t="s">
        <v>575</v>
      </c>
      <c r="D78" t="s">
        <v>63</v>
      </c>
      <c r="E78" t="s">
        <v>576</v>
      </c>
      <c r="F78" t="s">
        <v>375</v>
      </c>
      <c r="G78" t="s">
        <v>252</v>
      </c>
      <c r="H78">
        <v>97201</v>
      </c>
      <c r="I78" t="s">
        <v>253</v>
      </c>
      <c r="J78" t="s">
        <v>577</v>
      </c>
      <c r="M78" s="5"/>
    </row>
    <row r="79" spans="1:13" x14ac:dyDescent="0.4">
      <c r="A79" t="s">
        <v>578</v>
      </c>
      <c r="B79" t="s">
        <v>579</v>
      </c>
      <c r="C79" t="s">
        <v>580</v>
      </c>
      <c r="D79" t="s">
        <v>173</v>
      </c>
      <c r="E79" t="s">
        <v>581</v>
      </c>
      <c r="F79" t="s">
        <v>582</v>
      </c>
      <c r="G79" t="s">
        <v>583</v>
      </c>
      <c r="H79">
        <v>59801</v>
      </c>
      <c r="I79" t="s">
        <v>253</v>
      </c>
      <c r="J79" t="s">
        <v>584</v>
      </c>
      <c r="K79" t="s">
        <v>585</v>
      </c>
      <c r="M79" s="5"/>
    </row>
    <row r="80" spans="1:13" x14ac:dyDescent="0.4">
      <c r="A80" t="s">
        <v>586</v>
      </c>
      <c r="B80" t="s">
        <v>587</v>
      </c>
      <c r="C80" t="s">
        <v>588</v>
      </c>
      <c r="D80" t="s">
        <v>63</v>
      </c>
      <c r="E80" t="s">
        <v>589</v>
      </c>
      <c r="F80" t="s">
        <v>590</v>
      </c>
      <c r="H80">
        <v>44087</v>
      </c>
      <c r="I80" t="s">
        <v>17</v>
      </c>
      <c r="J80" t="s">
        <v>591</v>
      </c>
      <c r="K80" t="s">
        <v>592</v>
      </c>
      <c r="M80" s="5"/>
    </row>
    <row r="81" spans="1:13" x14ac:dyDescent="0.4">
      <c r="A81" t="s">
        <v>593</v>
      </c>
      <c r="B81" t="s">
        <v>594</v>
      </c>
      <c r="C81" t="s">
        <v>595</v>
      </c>
      <c r="D81" t="s">
        <v>23</v>
      </c>
      <c r="E81" t="s">
        <v>596</v>
      </c>
      <c r="F81" t="s">
        <v>25</v>
      </c>
      <c r="H81">
        <v>5033</v>
      </c>
      <c r="I81" t="s">
        <v>26</v>
      </c>
      <c r="J81" t="s">
        <v>597</v>
      </c>
      <c r="M81" s="5"/>
    </row>
    <row r="82" spans="1:13" x14ac:dyDescent="0.4">
      <c r="A82" t="s">
        <v>598</v>
      </c>
      <c r="B82" t="s">
        <v>599</v>
      </c>
      <c r="C82" t="s">
        <v>600</v>
      </c>
      <c r="D82" t="s">
        <v>14</v>
      </c>
      <c r="E82" t="s">
        <v>601</v>
      </c>
      <c r="F82" t="s">
        <v>128</v>
      </c>
      <c r="G82" t="s">
        <v>129</v>
      </c>
      <c r="H82" t="s">
        <v>602</v>
      </c>
      <c r="I82" t="s">
        <v>131</v>
      </c>
      <c r="J82" t="s">
        <v>603</v>
      </c>
      <c r="K82" t="s">
        <v>604</v>
      </c>
      <c r="M82" s="5"/>
    </row>
    <row r="83" spans="1:13" x14ac:dyDescent="0.4">
      <c r="A83" t="s">
        <v>605</v>
      </c>
      <c r="B83" t="s">
        <v>606</v>
      </c>
      <c r="C83" t="s">
        <v>607</v>
      </c>
      <c r="D83" t="s">
        <v>126</v>
      </c>
      <c r="E83" t="s">
        <v>608</v>
      </c>
      <c r="F83" t="s">
        <v>609</v>
      </c>
      <c r="G83" t="s">
        <v>338</v>
      </c>
      <c r="H83">
        <v>98034</v>
      </c>
      <c r="I83" t="s">
        <v>253</v>
      </c>
      <c r="J83" t="s">
        <v>610</v>
      </c>
      <c r="K83" t="s">
        <v>611</v>
      </c>
      <c r="M83" s="5"/>
    </row>
    <row r="84" spans="1:13" x14ac:dyDescent="0.4">
      <c r="A84" t="s">
        <v>612</v>
      </c>
      <c r="B84" t="s">
        <v>613</v>
      </c>
      <c r="C84" t="s">
        <v>614</v>
      </c>
      <c r="D84" t="s">
        <v>164</v>
      </c>
      <c r="E84" t="s">
        <v>615</v>
      </c>
      <c r="F84" t="s">
        <v>616</v>
      </c>
      <c r="H84">
        <v>8200</v>
      </c>
      <c r="I84" t="s">
        <v>548</v>
      </c>
      <c r="J84" t="s">
        <v>617</v>
      </c>
      <c r="K84" t="s">
        <v>618</v>
      </c>
      <c r="M84" s="5"/>
    </row>
    <row r="85" spans="1:13" x14ac:dyDescent="0.4">
      <c r="A85" t="s">
        <v>619</v>
      </c>
      <c r="B85" t="s">
        <v>620</v>
      </c>
      <c r="C85" t="s">
        <v>621</v>
      </c>
      <c r="D85" t="s">
        <v>104</v>
      </c>
      <c r="E85" t="s">
        <v>622</v>
      </c>
      <c r="F85" t="s">
        <v>623</v>
      </c>
      <c r="H85">
        <v>69004</v>
      </c>
      <c r="I85" t="s">
        <v>66</v>
      </c>
      <c r="J85" t="s">
        <v>624</v>
      </c>
      <c r="K85" t="s">
        <v>625</v>
      </c>
      <c r="M85" s="5"/>
    </row>
    <row r="86" spans="1:13" x14ac:dyDescent="0.4">
      <c r="A86" t="s">
        <v>626</v>
      </c>
      <c r="B86" t="s">
        <v>627</v>
      </c>
      <c r="C86" t="s">
        <v>628</v>
      </c>
      <c r="D86" t="s">
        <v>87</v>
      </c>
      <c r="E86" t="s">
        <v>629</v>
      </c>
      <c r="F86" t="s">
        <v>630</v>
      </c>
      <c r="H86">
        <v>51100</v>
      </c>
      <c r="I86" t="s">
        <v>66</v>
      </c>
      <c r="J86" t="s">
        <v>631</v>
      </c>
      <c r="K86" t="s">
        <v>632</v>
      </c>
      <c r="M86" s="5"/>
    </row>
    <row r="87" spans="1:13" x14ac:dyDescent="0.4">
      <c r="A87" t="s">
        <v>633</v>
      </c>
      <c r="B87" t="s">
        <v>634</v>
      </c>
      <c r="C87" t="s">
        <v>635</v>
      </c>
      <c r="D87" t="s">
        <v>14</v>
      </c>
      <c r="E87" t="s">
        <v>636</v>
      </c>
      <c r="F87" t="s">
        <v>637</v>
      </c>
      <c r="H87">
        <v>70563</v>
      </c>
      <c r="I87" t="s">
        <v>17</v>
      </c>
      <c r="J87" t="s">
        <v>638</v>
      </c>
      <c r="K87" t="s">
        <v>639</v>
      </c>
      <c r="M87" s="5"/>
    </row>
    <row r="88" spans="1:13" x14ac:dyDescent="0.4">
      <c r="A88" t="s">
        <v>640</v>
      </c>
      <c r="B88" t="s">
        <v>641</v>
      </c>
      <c r="C88" t="s">
        <v>642</v>
      </c>
      <c r="D88" t="s">
        <v>87</v>
      </c>
      <c r="E88" t="s">
        <v>643</v>
      </c>
      <c r="F88" t="s">
        <v>644</v>
      </c>
      <c r="H88">
        <v>90110</v>
      </c>
      <c r="I88" t="s">
        <v>645</v>
      </c>
      <c r="J88" t="s">
        <v>646</v>
      </c>
      <c r="K88" t="s">
        <v>646</v>
      </c>
      <c r="M88" s="5"/>
    </row>
    <row r="89" spans="1:13" x14ac:dyDescent="0.4">
      <c r="A89" t="s">
        <v>647</v>
      </c>
      <c r="B89" t="s">
        <v>648</v>
      </c>
      <c r="C89" t="s">
        <v>649</v>
      </c>
      <c r="D89" t="s">
        <v>164</v>
      </c>
      <c r="E89" t="s">
        <v>650</v>
      </c>
      <c r="F89" t="s">
        <v>651</v>
      </c>
      <c r="G89" t="s">
        <v>129</v>
      </c>
      <c r="H89" t="s">
        <v>652</v>
      </c>
      <c r="I89" t="s">
        <v>131</v>
      </c>
      <c r="J89" t="s">
        <v>653</v>
      </c>
      <c r="M89" s="5"/>
    </row>
    <row r="90" spans="1:13" x14ac:dyDescent="0.4">
      <c r="A90" t="s">
        <v>654</v>
      </c>
      <c r="B90" t="s">
        <v>655</v>
      </c>
      <c r="C90" t="s">
        <v>656</v>
      </c>
      <c r="D90" t="s">
        <v>23</v>
      </c>
      <c r="E90" t="s">
        <v>657</v>
      </c>
      <c r="F90" t="s">
        <v>658</v>
      </c>
      <c r="G90" t="s">
        <v>338</v>
      </c>
      <c r="H90">
        <v>98128</v>
      </c>
      <c r="I90" t="s">
        <v>253</v>
      </c>
      <c r="J90" t="s">
        <v>659</v>
      </c>
      <c r="K90" t="s">
        <v>660</v>
      </c>
      <c r="M90" s="5"/>
    </row>
    <row r="91" spans="1:13" x14ac:dyDescent="0.4">
      <c r="A91" t="s">
        <v>661</v>
      </c>
      <c r="B91" t="s">
        <v>662</v>
      </c>
      <c r="C91" t="s">
        <v>663</v>
      </c>
      <c r="D91" t="s">
        <v>664</v>
      </c>
      <c r="E91" t="s">
        <v>665</v>
      </c>
      <c r="F91" t="s">
        <v>666</v>
      </c>
      <c r="H91">
        <v>21240</v>
      </c>
      <c r="I91" t="s">
        <v>645</v>
      </c>
      <c r="J91" t="s">
        <v>667</v>
      </c>
      <c r="K91" t="s">
        <v>667</v>
      </c>
      <c r="M91" s="5"/>
    </row>
    <row r="92" spans="1:13" x14ac:dyDescent="0.4">
      <c r="A92" t="s">
        <v>668</v>
      </c>
      <c r="B92" t="s">
        <v>669</v>
      </c>
      <c r="C92" t="s">
        <v>670</v>
      </c>
      <c r="D92" t="s">
        <v>23</v>
      </c>
      <c r="E92" t="s">
        <v>671</v>
      </c>
      <c r="F92" t="s">
        <v>672</v>
      </c>
      <c r="H92" t="s">
        <v>673</v>
      </c>
      <c r="I92" t="s">
        <v>674</v>
      </c>
      <c r="J92" t="s">
        <v>675</v>
      </c>
      <c r="K92" t="s">
        <v>675</v>
      </c>
      <c r="M92" s="5"/>
    </row>
    <row r="93" spans="1:13" x14ac:dyDescent="0.4">
      <c r="M93" s="5"/>
    </row>
    <row r="94" spans="1:13" x14ac:dyDescent="0.4">
      <c r="M94" s="5"/>
    </row>
    <row r="95" spans="1:13" x14ac:dyDescent="0.4">
      <c r="M95" s="5"/>
    </row>
    <row r="96" spans="1:13" x14ac:dyDescent="0.4">
      <c r="M96" s="5"/>
    </row>
    <row r="97" spans="13:13" x14ac:dyDescent="0.4">
      <c r="M97" s="5"/>
    </row>
    <row r="98" spans="13:13" x14ac:dyDescent="0.4">
      <c r="M98" s="5"/>
    </row>
    <row r="99" spans="13:13" x14ac:dyDescent="0.4">
      <c r="M99" s="5"/>
    </row>
    <row r="100" spans="13:13" x14ac:dyDescent="0.4">
      <c r="M100" s="5"/>
    </row>
    <row r="101" spans="13:13" x14ac:dyDescent="0.4">
      <c r="M101" s="5"/>
    </row>
    <row r="102" spans="13:13" x14ac:dyDescent="0.4">
      <c r="M102" s="5"/>
    </row>
    <row r="103" spans="13:13" x14ac:dyDescent="0.4">
      <c r="M103" s="5"/>
    </row>
    <row r="104" spans="13:13" x14ac:dyDescent="0.4">
      <c r="M104" s="5"/>
    </row>
    <row r="105" spans="13:13" x14ac:dyDescent="0.4">
      <c r="M105" s="5"/>
    </row>
    <row r="106" spans="13:13" x14ac:dyDescent="0.4">
      <c r="M106" s="5"/>
    </row>
    <row r="107" spans="13:13" x14ac:dyDescent="0.4">
      <c r="M107" s="5"/>
    </row>
    <row r="108" spans="13:13" x14ac:dyDescent="0.4">
      <c r="M108" s="5"/>
    </row>
    <row r="109" spans="13:13" x14ac:dyDescent="0.4">
      <c r="M109" s="5"/>
    </row>
    <row r="110" spans="13:13" x14ac:dyDescent="0.4">
      <c r="M110" s="5"/>
    </row>
    <row r="111" spans="13:13" x14ac:dyDescent="0.4">
      <c r="M111" s="5"/>
    </row>
    <row r="112" spans="13:13" x14ac:dyDescent="0.4">
      <c r="M112" s="5"/>
    </row>
    <row r="113" spans="13:13" x14ac:dyDescent="0.4">
      <c r="M113" s="5"/>
    </row>
    <row r="114" spans="13:13" x14ac:dyDescent="0.4">
      <c r="M114" s="5"/>
    </row>
    <row r="115" spans="13:13" x14ac:dyDescent="0.4">
      <c r="M115" s="5"/>
    </row>
    <row r="116" spans="13:13" x14ac:dyDescent="0.4">
      <c r="M116" s="5"/>
    </row>
    <row r="117" spans="13:13" x14ac:dyDescent="0.4">
      <c r="M117" s="5"/>
    </row>
    <row r="118" spans="13:13" x14ac:dyDescent="0.4">
      <c r="M118" s="5"/>
    </row>
    <row r="119" spans="13:13" x14ac:dyDescent="0.4">
      <c r="M119" s="5"/>
    </row>
    <row r="120" spans="13:13" x14ac:dyDescent="0.4">
      <c r="M120" s="5"/>
    </row>
    <row r="121" spans="13:13" x14ac:dyDescent="0.4">
      <c r="M121" s="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2158"/>
  <sheetViews>
    <sheetView workbookViewId="0">
      <selection activeCell="F14" sqref="F14"/>
    </sheetView>
  </sheetViews>
  <sheetFormatPr defaultRowHeight="12.3" x14ac:dyDescent="0.4"/>
  <cols>
    <col min="1" max="1" width="11" bestFit="1" customWidth="1"/>
    <col min="2" max="2" width="7.71875" bestFit="1" customWidth="1"/>
    <col min="3" max="3" width="9.44140625" bestFit="1" customWidth="1"/>
    <col min="4" max="4" width="31.27734375" bestFit="1" customWidth="1"/>
    <col min="5" max="5" width="8.71875" bestFit="1" customWidth="1"/>
    <col min="6" max="6" width="8" bestFit="1" customWidth="1"/>
    <col min="7" max="7" width="8.44140625" bestFit="1" customWidth="1"/>
    <col min="8" max="8" width="9.83203125" bestFit="1" customWidth="1"/>
  </cols>
  <sheetData>
    <row r="1" spans="1:8" x14ac:dyDescent="0.4">
      <c r="A1" s="1" t="s">
        <v>0</v>
      </c>
      <c r="B1" s="1" t="s">
        <v>676</v>
      </c>
      <c r="C1" s="1" t="s">
        <v>677</v>
      </c>
      <c r="D1" s="1" t="s">
        <v>678</v>
      </c>
      <c r="E1" s="1" t="s">
        <v>679</v>
      </c>
      <c r="F1" s="1" t="s">
        <v>680</v>
      </c>
      <c r="G1" s="1" t="s">
        <v>681</v>
      </c>
      <c r="H1" t="s">
        <v>682</v>
      </c>
    </row>
    <row r="2" spans="1:8" x14ac:dyDescent="0.4">
      <c r="A2" s="1" t="s">
        <v>626</v>
      </c>
      <c r="B2" s="1">
        <v>10248</v>
      </c>
      <c r="C2" s="1">
        <v>11</v>
      </c>
      <c r="D2" s="1" t="s">
        <v>683</v>
      </c>
      <c r="E2">
        <v>14</v>
      </c>
      <c r="F2" s="1">
        <v>12</v>
      </c>
      <c r="G2" s="1">
        <v>0</v>
      </c>
      <c r="H2" s="2">
        <v>34550</v>
      </c>
    </row>
    <row r="3" spans="1:8" x14ac:dyDescent="0.4">
      <c r="A3" s="1" t="s">
        <v>626</v>
      </c>
      <c r="B3" s="1">
        <v>10248</v>
      </c>
      <c r="C3" s="1">
        <v>42</v>
      </c>
      <c r="D3" s="1" t="s">
        <v>684</v>
      </c>
      <c r="E3">
        <v>9.8000000000000007</v>
      </c>
      <c r="F3" s="1">
        <v>10</v>
      </c>
      <c r="G3" s="1">
        <v>0</v>
      </c>
      <c r="H3" s="2">
        <v>34550</v>
      </c>
    </row>
    <row r="4" spans="1:8" x14ac:dyDescent="0.4">
      <c r="A4" s="1" t="s">
        <v>626</v>
      </c>
      <c r="B4" s="1">
        <v>10248</v>
      </c>
      <c r="C4" s="1">
        <v>72</v>
      </c>
      <c r="D4" s="1" t="s">
        <v>685</v>
      </c>
      <c r="E4">
        <v>34.799999999999997</v>
      </c>
      <c r="F4" s="1">
        <v>5</v>
      </c>
      <c r="G4" s="1">
        <v>0</v>
      </c>
      <c r="H4" s="2">
        <v>34550</v>
      </c>
    </row>
    <row r="5" spans="1:8" x14ac:dyDescent="0.4">
      <c r="A5" s="1" t="s">
        <v>586</v>
      </c>
      <c r="B5" s="1">
        <v>10249</v>
      </c>
      <c r="C5" s="1">
        <v>14</v>
      </c>
      <c r="D5" s="1" t="s">
        <v>686</v>
      </c>
      <c r="E5">
        <v>18.600000000000001</v>
      </c>
      <c r="F5" s="1">
        <v>9</v>
      </c>
      <c r="G5" s="1">
        <v>0</v>
      </c>
      <c r="H5" s="2">
        <v>34551</v>
      </c>
    </row>
    <row r="6" spans="1:8" x14ac:dyDescent="0.4">
      <c r="A6" s="1" t="s">
        <v>586</v>
      </c>
      <c r="B6" s="1">
        <v>10249</v>
      </c>
      <c r="C6" s="1">
        <v>51</v>
      </c>
      <c r="D6" s="1" t="s">
        <v>687</v>
      </c>
      <c r="E6">
        <v>42.4</v>
      </c>
      <c r="F6" s="1">
        <v>40</v>
      </c>
      <c r="G6" s="1">
        <v>0</v>
      </c>
      <c r="H6" s="2">
        <v>34551</v>
      </c>
    </row>
    <row r="7" spans="1:8" x14ac:dyDescent="0.4">
      <c r="A7" s="1" t="s">
        <v>264</v>
      </c>
      <c r="B7" s="1">
        <v>10250</v>
      </c>
      <c r="C7" s="1">
        <v>41</v>
      </c>
      <c r="D7" s="1" t="s">
        <v>688</v>
      </c>
      <c r="E7">
        <v>7.7</v>
      </c>
      <c r="F7" s="1">
        <v>10</v>
      </c>
      <c r="G7" s="1">
        <v>0</v>
      </c>
      <c r="H7" s="2">
        <v>34554</v>
      </c>
    </row>
    <row r="8" spans="1:8" x14ac:dyDescent="0.4">
      <c r="A8" s="1" t="s">
        <v>264</v>
      </c>
      <c r="B8" s="1">
        <v>10250</v>
      </c>
      <c r="C8" s="1">
        <v>51</v>
      </c>
      <c r="D8" s="1" t="s">
        <v>687</v>
      </c>
      <c r="E8">
        <v>42.4</v>
      </c>
      <c r="F8" s="1">
        <v>35</v>
      </c>
      <c r="G8" s="1">
        <v>0.15</v>
      </c>
      <c r="H8" s="2">
        <v>34554</v>
      </c>
    </row>
    <row r="9" spans="1:8" x14ac:dyDescent="0.4">
      <c r="A9" s="1" t="s">
        <v>264</v>
      </c>
      <c r="B9" s="1">
        <v>10250</v>
      </c>
      <c r="C9" s="1">
        <v>65</v>
      </c>
      <c r="D9" s="1" t="s">
        <v>689</v>
      </c>
      <c r="E9">
        <v>16.8</v>
      </c>
      <c r="F9" s="1">
        <v>15</v>
      </c>
      <c r="G9" s="1">
        <v>0.15</v>
      </c>
      <c r="H9" s="2">
        <v>34554</v>
      </c>
    </row>
    <row r="10" spans="1:8" x14ac:dyDescent="0.4">
      <c r="A10" s="1" t="s">
        <v>619</v>
      </c>
      <c r="B10" s="1">
        <v>10251</v>
      </c>
      <c r="C10" s="1">
        <v>22</v>
      </c>
      <c r="D10" s="1" t="s">
        <v>690</v>
      </c>
      <c r="E10">
        <v>16.8</v>
      </c>
      <c r="F10" s="1">
        <v>6</v>
      </c>
      <c r="G10" s="1">
        <v>0.05</v>
      </c>
      <c r="H10" s="2">
        <v>34554</v>
      </c>
    </row>
    <row r="11" spans="1:8" x14ac:dyDescent="0.4">
      <c r="A11" s="1" t="s">
        <v>619</v>
      </c>
      <c r="B11" s="1">
        <v>10251</v>
      </c>
      <c r="C11" s="1">
        <v>57</v>
      </c>
      <c r="D11" s="1" t="s">
        <v>691</v>
      </c>
      <c r="E11">
        <v>15.6</v>
      </c>
      <c r="F11" s="1">
        <v>15</v>
      </c>
      <c r="G11" s="1">
        <v>0.05</v>
      </c>
      <c r="H11" s="2">
        <v>34554</v>
      </c>
    </row>
    <row r="12" spans="1:8" x14ac:dyDescent="0.4">
      <c r="A12" s="1" t="s">
        <v>619</v>
      </c>
      <c r="B12" s="1">
        <v>10251</v>
      </c>
      <c r="C12" s="1">
        <v>65</v>
      </c>
      <c r="D12" s="1" t="s">
        <v>689</v>
      </c>
      <c r="E12">
        <v>16.8</v>
      </c>
      <c r="F12" s="1">
        <v>20</v>
      </c>
      <c r="G12" s="1">
        <v>0</v>
      </c>
      <c r="H12" s="2">
        <v>34554</v>
      </c>
    </row>
    <row r="13" spans="1:8" x14ac:dyDescent="0.4">
      <c r="A13" s="1" t="s">
        <v>565</v>
      </c>
      <c r="B13" s="1">
        <v>10252</v>
      </c>
      <c r="C13" s="1">
        <v>20</v>
      </c>
      <c r="D13" s="1" t="s">
        <v>692</v>
      </c>
      <c r="E13">
        <v>64.8</v>
      </c>
      <c r="F13" s="1">
        <v>40</v>
      </c>
      <c r="G13" s="1">
        <v>0.05</v>
      </c>
      <c r="H13" s="2">
        <v>34555</v>
      </c>
    </row>
    <row r="14" spans="1:8" x14ac:dyDescent="0.4">
      <c r="A14" s="1" t="s">
        <v>565</v>
      </c>
      <c r="B14" s="1">
        <v>10252</v>
      </c>
      <c r="C14" s="1">
        <v>33</v>
      </c>
      <c r="D14" s="1" t="s">
        <v>693</v>
      </c>
      <c r="E14">
        <v>2</v>
      </c>
      <c r="F14" s="1">
        <v>25</v>
      </c>
      <c r="G14" s="1">
        <v>0.05</v>
      </c>
      <c r="H14" s="2">
        <v>34555</v>
      </c>
    </row>
    <row r="15" spans="1:8" x14ac:dyDescent="0.4">
      <c r="A15" s="1" t="s">
        <v>565</v>
      </c>
      <c r="B15" s="1">
        <v>10252</v>
      </c>
      <c r="C15" s="1">
        <v>60</v>
      </c>
      <c r="D15" s="1" t="s">
        <v>694</v>
      </c>
      <c r="E15">
        <v>27.2</v>
      </c>
      <c r="F15" s="1">
        <v>40</v>
      </c>
      <c r="G15" s="1">
        <v>0</v>
      </c>
      <c r="H15" s="2">
        <v>34555</v>
      </c>
    </row>
    <row r="16" spans="1:8" x14ac:dyDescent="0.4">
      <c r="A16" s="1" t="s">
        <v>264</v>
      </c>
      <c r="B16" s="1">
        <v>10253</v>
      </c>
      <c r="C16" s="1">
        <v>31</v>
      </c>
      <c r="D16" s="1" t="s">
        <v>695</v>
      </c>
      <c r="E16">
        <v>10</v>
      </c>
      <c r="F16" s="1">
        <v>20</v>
      </c>
      <c r="G16" s="1">
        <v>0</v>
      </c>
      <c r="H16" s="2">
        <v>34556</v>
      </c>
    </row>
    <row r="17" spans="1:8" x14ac:dyDescent="0.4">
      <c r="A17" s="1" t="s">
        <v>264</v>
      </c>
      <c r="B17" s="1">
        <v>10253</v>
      </c>
      <c r="C17" s="1">
        <v>39</v>
      </c>
      <c r="D17" s="1" t="s">
        <v>696</v>
      </c>
      <c r="E17">
        <v>14.4</v>
      </c>
      <c r="F17" s="1">
        <v>42</v>
      </c>
      <c r="G17" s="1">
        <v>0</v>
      </c>
      <c r="H17" s="2">
        <v>34556</v>
      </c>
    </row>
    <row r="18" spans="1:8" x14ac:dyDescent="0.4">
      <c r="A18" s="1" t="s">
        <v>264</v>
      </c>
      <c r="B18" s="1">
        <v>10253</v>
      </c>
      <c r="C18" s="1">
        <v>49</v>
      </c>
      <c r="D18" s="1" t="s">
        <v>697</v>
      </c>
      <c r="E18">
        <v>16</v>
      </c>
      <c r="F18" s="1">
        <v>40</v>
      </c>
      <c r="G18" s="1">
        <v>0</v>
      </c>
      <c r="H18" s="2">
        <v>34556</v>
      </c>
    </row>
    <row r="19" spans="1:8" x14ac:dyDescent="0.4">
      <c r="A19" s="1" t="s">
        <v>116</v>
      </c>
      <c r="B19" s="1">
        <v>10254</v>
      </c>
      <c r="C19" s="1">
        <v>24</v>
      </c>
      <c r="D19" s="1" t="s">
        <v>698</v>
      </c>
      <c r="E19">
        <v>3.6</v>
      </c>
      <c r="F19" s="1">
        <v>15</v>
      </c>
      <c r="G19" s="1">
        <v>0.15</v>
      </c>
      <c r="H19" s="2">
        <v>34557</v>
      </c>
    </row>
    <row r="20" spans="1:8" x14ac:dyDescent="0.4">
      <c r="A20" s="1" t="s">
        <v>116</v>
      </c>
      <c r="B20" s="1">
        <v>10254</v>
      </c>
      <c r="C20" s="1">
        <v>55</v>
      </c>
      <c r="D20" s="1" t="s">
        <v>699</v>
      </c>
      <c r="E20">
        <v>19.2</v>
      </c>
      <c r="F20" s="1">
        <v>21</v>
      </c>
      <c r="G20" s="1">
        <v>0.15</v>
      </c>
      <c r="H20" s="2">
        <v>34557</v>
      </c>
    </row>
    <row r="21" spans="1:8" x14ac:dyDescent="0.4">
      <c r="A21" s="1" t="s">
        <v>116</v>
      </c>
      <c r="B21" s="1">
        <v>10254</v>
      </c>
      <c r="C21" s="1">
        <v>74</v>
      </c>
      <c r="D21" s="1" t="s">
        <v>700</v>
      </c>
      <c r="E21">
        <v>8</v>
      </c>
      <c r="F21" s="1">
        <v>21</v>
      </c>
      <c r="G21" s="1">
        <v>0</v>
      </c>
      <c r="H21" s="2">
        <v>34557</v>
      </c>
    </row>
    <row r="22" spans="1:8" x14ac:dyDescent="0.4">
      <c r="A22" s="1" t="s">
        <v>509</v>
      </c>
      <c r="B22" s="1">
        <v>10255</v>
      </c>
      <c r="C22" s="1">
        <v>2</v>
      </c>
      <c r="D22" s="1" t="s">
        <v>701</v>
      </c>
      <c r="E22">
        <v>15.2</v>
      </c>
      <c r="F22" s="1">
        <v>20</v>
      </c>
      <c r="G22" s="1">
        <v>0</v>
      </c>
      <c r="H22" s="2">
        <v>34558</v>
      </c>
    </row>
    <row r="23" spans="1:8" x14ac:dyDescent="0.4">
      <c r="A23" s="1" t="s">
        <v>509</v>
      </c>
      <c r="B23" s="1">
        <v>10255</v>
      </c>
      <c r="C23" s="1">
        <v>16</v>
      </c>
      <c r="D23" s="1" t="s">
        <v>702</v>
      </c>
      <c r="E23">
        <v>13.9</v>
      </c>
      <c r="F23" s="1">
        <v>35</v>
      </c>
      <c r="G23" s="1">
        <v>0</v>
      </c>
      <c r="H23" s="2">
        <v>34558</v>
      </c>
    </row>
    <row r="24" spans="1:8" x14ac:dyDescent="0.4">
      <c r="A24" s="1" t="s">
        <v>509</v>
      </c>
      <c r="B24" s="1">
        <v>10255</v>
      </c>
      <c r="C24" s="1">
        <v>36</v>
      </c>
      <c r="D24" s="1" t="s">
        <v>703</v>
      </c>
      <c r="E24">
        <v>15.2</v>
      </c>
      <c r="F24" s="1">
        <v>25</v>
      </c>
      <c r="G24" s="1">
        <v>0</v>
      </c>
      <c r="H24" s="2">
        <v>34558</v>
      </c>
    </row>
    <row r="25" spans="1:8" x14ac:dyDescent="0.4">
      <c r="A25" s="1" t="s">
        <v>509</v>
      </c>
      <c r="B25" s="1">
        <v>10255</v>
      </c>
      <c r="C25" s="1">
        <v>59</v>
      </c>
      <c r="D25" s="1" t="s">
        <v>704</v>
      </c>
      <c r="E25">
        <v>44</v>
      </c>
      <c r="F25" s="1">
        <v>30</v>
      </c>
      <c r="G25" s="1">
        <v>0</v>
      </c>
      <c r="H25" s="2">
        <v>34558</v>
      </c>
    </row>
    <row r="26" spans="1:8" x14ac:dyDescent="0.4">
      <c r="A26" s="1" t="s">
        <v>647</v>
      </c>
      <c r="B26" s="1">
        <v>10256</v>
      </c>
      <c r="C26" s="1">
        <v>53</v>
      </c>
      <c r="D26" s="1" t="s">
        <v>705</v>
      </c>
      <c r="E26">
        <v>26.2</v>
      </c>
      <c r="F26" s="1">
        <v>15</v>
      </c>
      <c r="G26" s="1">
        <v>0</v>
      </c>
      <c r="H26" s="2">
        <v>34561</v>
      </c>
    </row>
    <row r="27" spans="1:8" x14ac:dyDescent="0.4">
      <c r="A27" s="1" t="s">
        <v>647</v>
      </c>
      <c r="B27" s="1">
        <v>10256</v>
      </c>
      <c r="C27" s="1">
        <v>77</v>
      </c>
      <c r="D27" s="1" t="s">
        <v>706</v>
      </c>
      <c r="E27">
        <v>10.4</v>
      </c>
      <c r="F27" s="1">
        <v>12</v>
      </c>
      <c r="G27" s="1">
        <v>0</v>
      </c>
      <c r="H27" s="2">
        <v>34561</v>
      </c>
    </row>
    <row r="28" spans="1:8" x14ac:dyDescent="0.4">
      <c r="A28" s="1" t="s">
        <v>273</v>
      </c>
      <c r="B28" s="1">
        <v>10257</v>
      </c>
      <c r="C28" s="1">
        <v>27</v>
      </c>
      <c r="D28" s="1" t="s">
        <v>707</v>
      </c>
      <c r="E28">
        <v>35.1</v>
      </c>
      <c r="F28" s="1">
        <v>25</v>
      </c>
      <c r="G28" s="1">
        <v>0</v>
      </c>
      <c r="H28" s="2">
        <v>34562</v>
      </c>
    </row>
    <row r="29" spans="1:8" x14ac:dyDescent="0.4">
      <c r="A29" s="1" t="s">
        <v>273</v>
      </c>
      <c r="B29" s="1">
        <v>10257</v>
      </c>
      <c r="C29" s="1">
        <v>39</v>
      </c>
      <c r="D29" s="1" t="s">
        <v>696</v>
      </c>
      <c r="E29">
        <v>14.4</v>
      </c>
      <c r="F29" s="1">
        <v>6</v>
      </c>
      <c r="G29" s="1">
        <v>0</v>
      </c>
      <c r="H29" s="2">
        <v>34562</v>
      </c>
    </row>
    <row r="30" spans="1:8" x14ac:dyDescent="0.4">
      <c r="A30" s="1" t="s">
        <v>273</v>
      </c>
      <c r="B30" s="1">
        <v>10257</v>
      </c>
      <c r="C30" s="1">
        <v>77</v>
      </c>
      <c r="D30" s="1" t="s">
        <v>706</v>
      </c>
      <c r="E30">
        <v>10.4</v>
      </c>
      <c r="F30" s="1">
        <v>15</v>
      </c>
      <c r="G30" s="1">
        <v>0</v>
      </c>
      <c r="H30" s="2">
        <v>34562</v>
      </c>
    </row>
    <row r="31" spans="1:8" x14ac:dyDescent="0.4">
      <c r="A31" s="1" t="s">
        <v>161</v>
      </c>
      <c r="B31" s="1">
        <v>10258</v>
      </c>
      <c r="C31" s="1">
        <v>2</v>
      </c>
      <c r="D31" s="1" t="s">
        <v>701</v>
      </c>
      <c r="E31">
        <v>15.2</v>
      </c>
      <c r="F31" s="1">
        <v>50</v>
      </c>
      <c r="G31" s="1">
        <v>0.2</v>
      </c>
      <c r="H31" s="2">
        <v>34563</v>
      </c>
    </row>
    <row r="32" spans="1:8" x14ac:dyDescent="0.4">
      <c r="A32" s="1" t="s">
        <v>161</v>
      </c>
      <c r="B32" s="1">
        <v>10258</v>
      </c>
      <c r="C32" s="1">
        <v>5</v>
      </c>
      <c r="D32" s="1" t="s">
        <v>708</v>
      </c>
      <c r="E32">
        <v>17</v>
      </c>
      <c r="F32" s="1">
        <v>65</v>
      </c>
      <c r="G32" s="1">
        <v>0.2</v>
      </c>
      <c r="H32" s="2">
        <v>34563</v>
      </c>
    </row>
    <row r="33" spans="1:8" x14ac:dyDescent="0.4">
      <c r="A33" s="1" t="s">
        <v>161</v>
      </c>
      <c r="B33" s="1">
        <v>10258</v>
      </c>
      <c r="C33" s="1">
        <v>32</v>
      </c>
      <c r="D33" s="1" t="s">
        <v>709</v>
      </c>
      <c r="E33">
        <v>25.6</v>
      </c>
      <c r="F33" s="1">
        <v>6</v>
      </c>
      <c r="G33" s="1">
        <v>0.2</v>
      </c>
      <c r="H33" s="2">
        <v>34563</v>
      </c>
    </row>
    <row r="34" spans="1:8" x14ac:dyDescent="0.4">
      <c r="A34" s="1" t="s">
        <v>110</v>
      </c>
      <c r="B34" s="1">
        <v>10259</v>
      </c>
      <c r="C34" s="1">
        <v>21</v>
      </c>
      <c r="D34" s="1" t="s">
        <v>710</v>
      </c>
      <c r="E34">
        <v>8</v>
      </c>
      <c r="F34" s="1">
        <v>10</v>
      </c>
      <c r="G34" s="1">
        <v>0</v>
      </c>
      <c r="H34" s="2">
        <v>34564</v>
      </c>
    </row>
    <row r="35" spans="1:8" x14ac:dyDescent="0.4">
      <c r="A35" s="1" t="s">
        <v>110</v>
      </c>
      <c r="B35" s="1">
        <v>10259</v>
      </c>
      <c r="C35" s="1">
        <v>37</v>
      </c>
      <c r="D35" s="1" t="s">
        <v>711</v>
      </c>
      <c r="E35">
        <v>20.8</v>
      </c>
      <c r="F35" s="1">
        <v>1</v>
      </c>
      <c r="G35" s="1">
        <v>0</v>
      </c>
      <c r="H35" s="2">
        <v>34564</v>
      </c>
    </row>
    <row r="36" spans="1:8" x14ac:dyDescent="0.4">
      <c r="A36" s="1" t="s">
        <v>430</v>
      </c>
      <c r="B36" s="1">
        <v>10260</v>
      </c>
      <c r="C36" s="1">
        <v>41</v>
      </c>
      <c r="D36" s="1" t="s">
        <v>688</v>
      </c>
      <c r="E36">
        <v>7.7</v>
      </c>
      <c r="F36" s="1">
        <v>16</v>
      </c>
      <c r="G36" s="1">
        <v>0.25</v>
      </c>
      <c r="H36" s="2">
        <v>34565</v>
      </c>
    </row>
    <row r="37" spans="1:8" x14ac:dyDescent="0.4">
      <c r="A37" s="1" t="s">
        <v>430</v>
      </c>
      <c r="B37" s="1">
        <v>10260</v>
      </c>
      <c r="C37" s="1">
        <v>57</v>
      </c>
      <c r="D37" s="1" t="s">
        <v>691</v>
      </c>
      <c r="E37">
        <v>15.6</v>
      </c>
      <c r="F37" s="1">
        <v>50</v>
      </c>
      <c r="G37" s="1">
        <v>0</v>
      </c>
      <c r="H37" s="2">
        <v>34565</v>
      </c>
    </row>
    <row r="38" spans="1:8" x14ac:dyDescent="0.4">
      <c r="A38" s="1" t="s">
        <v>430</v>
      </c>
      <c r="B38" s="1">
        <v>10260</v>
      </c>
      <c r="C38" s="1">
        <v>62</v>
      </c>
      <c r="D38" s="1" t="s">
        <v>712</v>
      </c>
      <c r="E38">
        <v>39.4</v>
      </c>
      <c r="F38" s="1">
        <v>15</v>
      </c>
      <c r="G38" s="1">
        <v>0.25</v>
      </c>
      <c r="H38" s="2">
        <v>34565</v>
      </c>
    </row>
    <row r="39" spans="1:8" x14ac:dyDescent="0.4">
      <c r="A39" s="1" t="s">
        <v>430</v>
      </c>
      <c r="B39" s="1">
        <v>10260</v>
      </c>
      <c r="C39" s="1">
        <v>70</v>
      </c>
      <c r="D39" s="1" t="s">
        <v>713</v>
      </c>
      <c r="E39">
        <v>12</v>
      </c>
      <c r="F39" s="1">
        <v>21</v>
      </c>
      <c r="G39" s="1">
        <v>0.25</v>
      </c>
      <c r="H39" s="2">
        <v>34565</v>
      </c>
    </row>
    <row r="40" spans="1:8" x14ac:dyDescent="0.4">
      <c r="A40" s="1" t="s">
        <v>462</v>
      </c>
      <c r="B40" s="1">
        <v>10261</v>
      </c>
      <c r="C40" s="1">
        <v>21</v>
      </c>
      <c r="D40" s="1" t="s">
        <v>710</v>
      </c>
      <c r="E40">
        <v>8</v>
      </c>
      <c r="F40" s="1">
        <v>20</v>
      </c>
      <c r="G40" s="1">
        <v>0</v>
      </c>
      <c r="H40" s="2">
        <v>34565</v>
      </c>
    </row>
    <row r="41" spans="1:8" x14ac:dyDescent="0.4">
      <c r="A41" s="1" t="s">
        <v>462</v>
      </c>
      <c r="B41" s="1">
        <v>10261</v>
      </c>
      <c r="C41" s="1">
        <v>35</v>
      </c>
      <c r="D41" s="1" t="s">
        <v>714</v>
      </c>
      <c r="E41">
        <v>14.4</v>
      </c>
      <c r="F41" s="1">
        <v>20</v>
      </c>
      <c r="G41" s="1">
        <v>0</v>
      </c>
      <c r="H41" s="2">
        <v>34565</v>
      </c>
    </row>
    <row r="42" spans="1:8" x14ac:dyDescent="0.4">
      <c r="A42" s="1" t="s">
        <v>487</v>
      </c>
      <c r="B42" s="1">
        <v>10262</v>
      </c>
      <c r="C42" s="1">
        <v>5</v>
      </c>
      <c r="D42" s="1" t="s">
        <v>708</v>
      </c>
      <c r="E42">
        <v>17</v>
      </c>
      <c r="F42" s="1">
        <v>12</v>
      </c>
      <c r="G42" s="1">
        <v>0.2</v>
      </c>
      <c r="H42" s="2">
        <v>34568</v>
      </c>
    </row>
    <row r="43" spans="1:8" x14ac:dyDescent="0.4">
      <c r="A43" s="1" t="s">
        <v>487</v>
      </c>
      <c r="B43" s="1">
        <v>10262</v>
      </c>
      <c r="C43" s="1">
        <v>7</v>
      </c>
      <c r="D43" s="1" t="s">
        <v>715</v>
      </c>
      <c r="E43">
        <v>24</v>
      </c>
      <c r="F43" s="1">
        <v>15</v>
      </c>
      <c r="G43" s="1">
        <v>0</v>
      </c>
      <c r="H43" s="2">
        <v>34568</v>
      </c>
    </row>
    <row r="44" spans="1:8" x14ac:dyDescent="0.4">
      <c r="A44" s="1" t="s">
        <v>487</v>
      </c>
      <c r="B44" s="1">
        <v>10262</v>
      </c>
      <c r="C44" s="1">
        <v>56</v>
      </c>
      <c r="D44" s="1" t="s">
        <v>716</v>
      </c>
      <c r="E44">
        <v>30.4</v>
      </c>
      <c r="F44" s="1">
        <v>2</v>
      </c>
      <c r="G44" s="1">
        <v>0</v>
      </c>
      <c r="H44" s="2">
        <v>34568</v>
      </c>
    </row>
    <row r="45" spans="1:8" x14ac:dyDescent="0.4">
      <c r="A45" s="1" t="s">
        <v>161</v>
      </c>
      <c r="B45" s="1">
        <v>10263</v>
      </c>
      <c r="C45" s="1">
        <v>16</v>
      </c>
      <c r="D45" s="1" t="s">
        <v>702</v>
      </c>
      <c r="E45">
        <v>13.9</v>
      </c>
      <c r="F45" s="1">
        <v>60</v>
      </c>
      <c r="G45" s="1">
        <v>0.25</v>
      </c>
      <c r="H45" s="2">
        <v>34569</v>
      </c>
    </row>
    <row r="46" spans="1:8" x14ac:dyDescent="0.4">
      <c r="A46" s="1" t="s">
        <v>161</v>
      </c>
      <c r="B46" s="1">
        <v>10263</v>
      </c>
      <c r="C46" s="1">
        <v>24</v>
      </c>
      <c r="D46" s="1" t="s">
        <v>698</v>
      </c>
      <c r="E46">
        <v>3.6</v>
      </c>
      <c r="F46" s="1">
        <v>28</v>
      </c>
      <c r="G46" s="1">
        <v>0</v>
      </c>
      <c r="H46" s="2">
        <v>34569</v>
      </c>
    </row>
    <row r="47" spans="1:8" x14ac:dyDescent="0.4">
      <c r="A47" s="1" t="s">
        <v>161</v>
      </c>
      <c r="B47" s="1">
        <v>10263</v>
      </c>
      <c r="C47" s="1">
        <v>30</v>
      </c>
      <c r="D47" s="1" t="s">
        <v>717</v>
      </c>
      <c r="E47">
        <v>20.7</v>
      </c>
      <c r="F47" s="1">
        <v>60</v>
      </c>
      <c r="G47" s="1">
        <v>0.25</v>
      </c>
      <c r="H47" s="2">
        <v>34569</v>
      </c>
    </row>
    <row r="48" spans="1:8" x14ac:dyDescent="0.4">
      <c r="A48" s="1" t="s">
        <v>161</v>
      </c>
      <c r="B48" s="1">
        <v>10263</v>
      </c>
      <c r="C48" s="1">
        <v>74</v>
      </c>
      <c r="D48" s="1" t="s">
        <v>700</v>
      </c>
      <c r="E48">
        <v>8</v>
      </c>
      <c r="F48" s="1">
        <v>36</v>
      </c>
      <c r="G48" s="1">
        <v>0.25</v>
      </c>
      <c r="H48" s="2">
        <v>34569</v>
      </c>
    </row>
    <row r="49" spans="1:8" x14ac:dyDescent="0.4">
      <c r="A49" s="1" t="s">
        <v>191</v>
      </c>
      <c r="B49" s="1">
        <v>10264</v>
      </c>
      <c r="C49" s="1">
        <v>2</v>
      </c>
      <c r="D49" s="1" t="s">
        <v>701</v>
      </c>
      <c r="E49">
        <v>15.2</v>
      </c>
      <c r="F49" s="1">
        <v>35</v>
      </c>
      <c r="G49" s="1">
        <v>0</v>
      </c>
      <c r="H49" s="2">
        <v>34570</v>
      </c>
    </row>
    <row r="50" spans="1:8" x14ac:dyDescent="0.4">
      <c r="A50" s="1" t="s">
        <v>191</v>
      </c>
      <c r="B50" s="1">
        <v>10264</v>
      </c>
      <c r="C50" s="1">
        <v>41</v>
      </c>
      <c r="D50" s="1" t="s">
        <v>688</v>
      </c>
      <c r="E50">
        <v>7.7</v>
      </c>
      <c r="F50" s="1">
        <v>25</v>
      </c>
      <c r="G50" s="1">
        <v>0.15</v>
      </c>
      <c r="H50" s="2">
        <v>34570</v>
      </c>
    </row>
    <row r="51" spans="1:8" x14ac:dyDescent="0.4">
      <c r="A51" s="1" t="s">
        <v>60</v>
      </c>
      <c r="B51" s="1">
        <v>10265</v>
      </c>
      <c r="C51" s="1">
        <v>17</v>
      </c>
      <c r="D51" s="1" t="s">
        <v>718</v>
      </c>
      <c r="E51">
        <v>31.2</v>
      </c>
      <c r="F51" s="1">
        <v>30</v>
      </c>
      <c r="G51" s="1">
        <v>0</v>
      </c>
      <c r="H51" s="2">
        <v>34571</v>
      </c>
    </row>
    <row r="52" spans="1:8" x14ac:dyDescent="0.4">
      <c r="A52" s="1" t="s">
        <v>60</v>
      </c>
      <c r="B52" s="1">
        <v>10265</v>
      </c>
      <c r="C52" s="1">
        <v>70</v>
      </c>
      <c r="D52" s="1" t="s">
        <v>713</v>
      </c>
      <c r="E52">
        <v>12</v>
      </c>
      <c r="F52" s="1">
        <v>20</v>
      </c>
      <c r="G52" s="1">
        <v>0</v>
      </c>
      <c r="H52" s="2">
        <v>34571</v>
      </c>
    </row>
    <row r="53" spans="1:8" x14ac:dyDescent="0.4">
      <c r="A53" s="1" t="s">
        <v>640</v>
      </c>
      <c r="B53" s="1">
        <v>10266</v>
      </c>
      <c r="C53" s="1">
        <v>12</v>
      </c>
      <c r="D53" s="1" t="s">
        <v>719</v>
      </c>
      <c r="E53">
        <v>30.4</v>
      </c>
      <c r="F53" s="1">
        <v>12</v>
      </c>
      <c r="G53" s="1">
        <v>0.05</v>
      </c>
      <c r="H53" s="2">
        <v>34572</v>
      </c>
    </row>
    <row r="54" spans="1:8" x14ac:dyDescent="0.4">
      <c r="A54" s="1" t="s">
        <v>198</v>
      </c>
      <c r="B54" s="1">
        <v>10267</v>
      </c>
      <c r="C54" s="1">
        <v>40</v>
      </c>
      <c r="D54" s="1" t="s">
        <v>720</v>
      </c>
      <c r="E54">
        <v>14.7</v>
      </c>
      <c r="F54" s="1">
        <v>50</v>
      </c>
      <c r="G54" s="1">
        <v>0</v>
      </c>
      <c r="H54" s="2">
        <v>34575</v>
      </c>
    </row>
    <row r="55" spans="1:8" x14ac:dyDescent="0.4">
      <c r="A55" s="1" t="s">
        <v>198</v>
      </c>
      <c r="B55" s="1">
        <v>10267</v>
      </c>
      <c r="C55" s="1">
        <v>59</v>
      </c>
      <c r="D55" s="1" t="s">
        <v>704</v>
      </c>
      <c r="E55">
        <v>44</v>
      </c>
      <c r="F55" s="1">
        <v>70</v>
      </c>
      <c r="G55" s="1">
        <v>0.15</v>
      </c>
      <c r="H55" s="2">
        <v>34575</v>
      </c>
    </row>
    <row r="56" spans="1:8" x14ac:dyDescent="0.4">
      <c r="A56" s="1" t="s">
        <v>198</v>
      </c>
      <c r="B56" s="1">
        <v>10267</v>
      </c>
      <c r="C56" s="1">
        <v>76</v>
      </c>
      <c r="D56" s="1" t="s">
        <v>721</v>
      </c>
      <c r="E56">
        <v>14.4</v>
      </c>
      <c r="F56" s="1">
        <v>15</v>
      </c>
      <c r="G56" s="1">
        <v>0.15</v>
      </c>
      <c r="H56" s="2">
        <v>34575</v>
      </c>
    </row>
    <row r="57" spans="1:8" x14ac:dyDescent="0.4">
      <c r="A57" s="1" t="s">
        <v>255</v>
      </c>
      <c r="B57" s="1">
        <v>10268</v>
      </c>
      <c r="C57" s="1">
        <v>29</v>
      </c>
      <c r="D57" s="1" t="s">
        <v>722</v>
      </c>
      <c r="E57">
        <v>99</v>
      </c>
      <c r="F57" s="1">
        <v>10</v>
      </c>
      <c r="G57" s="1">
        <v>0</v>
      </c>
      <c r="H57" s="2">
        <v>34576</v>
      </c>
    </row>
    <row r="58" spans="1:8" x14ac:dyDescent="0.4">
      <c r="A58" s="1" t="s">
        <v>255</v>
      </c>
      <c r="B58" s="1">
        <v>10268</v>
      </c>
      <c r="C58" s="1">
        <v>72</v>
      </c>
      <c r="D58" s="1" t="s">
        <v>685</v>
      </c>
      <c r="E58">
        <v>27.8</v>
      </c>
      <c r="F58" s="1">
        <v>4</v>
      </c>
      <c r="G58" s="1">
        <v>0</v>
      </c>
      <c r="H58" s="2">
        <v>34576</v>
      </c>
    </row>
    <row r="59" spans="1:8" x14ac:dyDescent="0.4">
      <c r="A59" s="1" t="s">
        <v>654</v>
      </c>
      <c r="B59" s="1">
        <v>10269</v>
      </c>
      <c r="C59" s="1">
        <v>33</v>
      </c>
      <c r="D59" s="1" t="s">
        <v>693</v>
      </c>
      <c r="E59">
        <v>2</v>
      </c>
      <c r="F59" s="1">
        <v>60</v>
      </c>
      <c r="G59" s="1">
        <v>0.05</v>
      </c>
      <c r="H59" s="2">
        <v>34577</v>
      </c>
    </row>
    <row r="60" spans="1:8" x14ac:dyDescent="0.4">
      <c r="A60" s="1" t="s">
        <v>654</v>
      </c>
      <c r="B60" s="1">
        <v>10269</v>
      </c>
      <c r="C60" s="1">
        <v>72</v>
      </c>
      <c r="D60" s="1" t="s">
        <v>685</v>
      </c>
      <c r="E60">
        <v>27.8</v>
      </c>
      <c r="F60" s="1">
        <v>20</v>
      </c>
      <c r="G60" s="1">
        <v>0.05</v>
      </c>
      <c r="H60" s="2">
        <v>34577</v>
      </c>
    </row>
    <row r="61" spans="1:8" x14ac:dyDescent="0.4">
      <c r="A61" s="1" t="s">
        <v>640</v>
      </c>
      <c r="B61" s="1">
        <v>10270</v>
      </c>
      <c r="C61" s="1">
        <v>36</v>
      </c>
      <c r="D61" s="1" t="s">
        <v>703</v>
      </c>
      <c r="E61">
        <v>15.2</v>
      </c>
      <c r="F61" s="1">
        <v>30</v>
      </c>
      <c r="G61" s="1">
        <v>0</v>
      </c>
      <c r="H61" s="2">
        <v>34578</v>
      </c>
    </row>
    <row r="62" spans="1:8" x14ac:dyDescent="0.4">
      <c r="A62" s="1" t="s">
        <v>640</v>
      </c>
      <c r="B62" s="1">
        <v>10270</v>
      </c>
      <c r="C62" s="1">
        <v>43</v>
      </c>
      <c r="D62" s="1" t="s">
        <v>723</v>
      </c>
      <c r="E62">
        <v>36.799999999999997</v>
      </c>
      <c r="F62" s="1">
        <v>25</v>
      </c>
      <c r="G62" s="1">
        <v>0</v>
      </c>
      <c r="H62" s="2">
        <v>34578</v>
      </c>
    </row>
    <row r="63" spans="1:8" x14ac:dyDescent="0.4">
      <c r="A63" s="1" t="s">
        <v>557</v>
      </c>
      <c r="B63" s="1">
        <v>10271</v>
      </c>
      <c r="C63" s="1">
        <v>33</v>
      </c>
      <c r="D63" s="1" t="s">
        <v>693</v>
      </c>
      <c r="E63">
        <v>2</v>
      </c>
      <c r="F63" s="1">
        <v>24</v>
      </c>
      <c r="G63" s="1">
        <v>0</v>
      </c>
      <c r="H63" s="2">
        <v>34578</v>
      </c>
    </row>
    <row r="64" spans="1:8" x14ac:dyDescent="0.4">
      <c r="A64" s="1" t="s">
        <v>487</v>
      </c>
      <c r="B64" s="1">
        <v>10272</v>
      </c>
      <c r="C64" s="1">
        <v>20</v>
      </c>
      <c r="D64" s="1" t="s">
        <v>692</v>
      </c>
      <c r="E64">
        <v>64.8</v>
      </c>
      <c r="F64" s="1">
        <v>6</v>
      </c>
      <c r="G64" s="1">
        <v>0</v>
      </c>
      <c r="H64" s="2">
        <v>34579</v>
      </c>
    </row>
    <row r="65" spans="1:8" x14ac:dyDescent="0.4">
      <c r="A65" s="1" t="s">
        <v>487</v>
      </c>
      <c r="B65" s="1">
        <v>10272</v>
      </c>
      <c r="C65" s="1">
        <v>31</v>
      </c>
      <c r="D65" s="1" t="s">
        <v>695</v>
      </c>
      <c r="E65">
        <v>10</v>
      </c>
      <c r="F65" s="1">
        <v>40</v>
      </c>
      <c r="G65" s="1">
        <v>0</v>
      </c>
      <c r="H65" s="2">
        <v>34579</v>
      </c>
    </row>
    <row r="66" spans="1:8" x14ac:dyDescent="0.4">
      <c r="A66" s="1" t="s">
        <v>487</v>
      </c>
      <c r="B66" s="1">
        <v>10272</v>
      </c>
      <c r="C66" s="1">
        <v>72</v>
      </c>
      <c r="D66" s="1" t="s">
        <v>685</v>
      </c>
      <c r="E66">
        <v>27.8</v>
      </c>
      <c r="F66" s="1">
        <v>24</v>
      </c>
      <c r="G66" s="1">
        <v>0</v>
      </c>
      <c r="H66" s="2">
        <v>34579</v>
      </c>
    </row>
    <row r="67" spans="1:8" x14ac:dyDescent="0.4">
      <c r="A67" s="1" t="s">
        <v>475</v>
      </c>
      <c r="B67" s="1">
        <v>10273</v>
      </c>
      <c r="C67" s="1">
        <v>10</v>
      </c>
      <c r="D67" s="1" t="s">
        <v>724</v>
      </c>
      <c r="E67">
        <v>24.8</v>
      </c>
      <c r="F67" s="1">
        <v>24</v>
      </c>
      <c r="G67" s="1">
        <v>0.05</v>
      </c>
      <c r="H67" s="2">
        <v>34582</v>
      </c>
    </row>
    <row r="68" spans="1:8" x14ac:dyDescent="0.4">
      <c r="A68" s="1" t="s">
        <v>475</v>
      </c>
      <c r="B68" s="1">
        <v>10273</v>
      </c>
      <c r="C68" s="1">
        <v>31</v>
      </c>
      <c r="D68" s="1" t="s">
        <v>695</v>
      </c>
      <c r="E68">
        <v>10</v>
      </c>
      <c r="F68" s="1">
        <v>15</v>
      </c>
      <c r="G68" s="1">
        <v>0.05</v>
      </c>
      <c r="H68" s="2">
        <v>34582</v>
      </c>
    </row>
    <row r="69" spans="1:8" x14ac:dyDescent="0.4">
      <c r="A69" s="1" t="s">
        <v>475</v>
      </c>
      <c r="B69" s="1">
        <v>10273</v>
      </c>
      <c r="C69" s="1">
        <v>33</v>
      </c>
      <c r="D69" s="1" t="s">
        <v>693</v>
      </c>
      <c r="E69">
        <v>2</v>
      </c>
      <c r="F69" s="1">
        <v>20</v>
      </c>
      <c r="G69" s="1">
        <v>0</v>
      </c>
      <c r="H69" s="2">
        <v>34582</v>
      </c>
    </row>
    <row r="70" spans="1:8" x14ac:dyDescent="0.4">
      <c r="A70" s="1" t="s">
        <v>475</v>
      </c>
      <c r="B70" s="1">
        <v>10273</v>
      </c>
      <c r="C70" s="1">
        <v>40</v>
      </c>
      <c r="D70" s="1" t="s">
        <v>720</v>
      </c>
      <c r="E70">
        <v>14.7</v>
      </c>
      <c r="F70" s="1">
        <v>60</v>
      </c>
      <c r="G70" s="1">
        <v>0.05</v>
      </c>
      <c r="H70" s="2">
        <v>34582</v>
      </c>
    </row>
    <row r="71" spans="1:8" x14ac:dyDescent="0.4">
      <c r="A71" s="1" t="s">
        <v>475</v>
      </c>
      <c r="B71" s="1">
        <v>10273</v>
      </c>
      <c r="C71" s="1">
        <v>76</v>
      </c>
      <c r="D71" s="1" t="s">
        <v>721</v>
      </c>
      <c r="E71">
        <v>14.4</v>
      </c>
      <c r="F71" s="1">
        <v>33</v>
      </c>
      <c r="G71" s="1">
        <v>0.05</v>
      </c>
      <c r="H71" s="2">
        <v>34582</v>
      </c>
    </row>
    <row r="72" spans="1:8" x14ac:dyDescent="0.4">
      <c r="A72" s="1" t="s">
        <v>626</v>
      </c>
      <c r="B72" s="1">
        <v>10274</v>
      </c>
      <c r="C72" s="1">
        <v>71</v>
      </c>
      <c r="D72" s="1" t="s">
        <v>725</v>
      </c>
      <c r="E72">
        <v>17.2</v>
      </c>
      <c r="F72" s="1">
        <v>20</v>
      </c>
      <c r="G72" s="1">
        <v>0</v>
      </c>
      <c r="H72" s="2">
        <v>34583</v>
      </c>
    </row>
    <row r="73" spans="1:8" x14ac:dyDescent="0.4">
      <c r="A73" s="1" t="s">
        <v>626</v>
      </c>
      <c r="B73" s="1">
        <v>10274</v>
      </c>
      <c r="C73" s="1">
        <v>72</v>
      </c>
      <c r="D73" s="1" t="s">
        <v>685</v>
      </c>
      <c r="E73">
        <v>27.8</v>
      </c>
      <c r="F73" s="1">
        <v>7</v>
      </c>
      <c r="G73" s="1">
        <v>0</v>
      </c>
      <c r="H73" s="2">
        <v>34583</v>
      </c>
    </row>
    <row r="74" spans="1:8" x14ac:dyDescent="0.4">
      <c r="A74" s="1" t="s">
        <v>378</v>
      </c>
      <c r="B74" s="1">
        <v>10275</v>
      </c>
      <c r="C74" s="1">
        <v>24</v>
      </c>
      <c r="D74" s="1" t="s">
        <v>698</v>
      </c>
      <c r="E74">
        <v>3.6</v>
      </c>
      <c r="F74" s="1">
        <v>12</v>
      </c>
      <c r="G74" s="1">
        <v>0.05</v>
      </c>
      <c r="H74" s="2">
        <v>34584</v>
      </c>
    </row>
    <row r="75" spans="1:8" x14ac:dyDescent="0.4">
      <c r="A75" s="1" t="s">
        <v>378</v>
      </c>
      <c r="B75" s="1">
        <v>10275</v>
      </c>
      <c r="C75" s="1">
        <v>59</v>
      </c>
      <c r="D75" s="1" t="s">
        <v>704</v>
      </c>
      <c r="E75">
        <v>44</v>
      </c>
      <c r="F75" s="1">
        <v>6</v>
      </c>
      <c r="G75" s="1">
        <v>0.05</v>
      </c>
      <c r="H75" s="2">
        <v>34584</v>
      </c>
    </row>
    <row r="76" spans="1:8" x14ac:dyDescent="0.4">
      <c r="A76" s="1" t="s">
        <v>593</v>
      </c>
      <c r="B76" s="1">
        <v>10276</v>
      </c>
      <c r="C76" s="1">
        <v>10</v>
      </c>
      <c r="D76" s="1" t="s">
        <v>724</v>
      </c>
      <c r="E76">
        <v>24.8</v>
      </c>
      <c r="F76" s="1">
        <v>15</v>
      </c>
      <c r="G76" s="1">
        <v>0</v>
      </c>
      <c r="H76" s="2">
        <v>34585</v>
      </c>
    </row>
    <row r="77" spans="1:8" x14ac:dyDescent="0.4">
      <c r="A77" s="1" t="s">
        <v>593</v>
      </c>
      <c r="B77" s="1">
        <v>10276</v>
      </c>
      <c r="C77" s="1">
        <v>13</v>
      </c>
      <c r="D77" s="1" t="s">
        <v>726</v>
      </c>
      <c r="E77">
        <v>4.8</v>
      </c>
      <c r="F77" s="1">
        <v>10</v>
      </c>
      <c r="G77" s="1">
        <v>0</v>
      </c>
      <c r="H77" s="2">
        <v>34585</v>
      </c>
    </row>
    <row r="78" spans="1:8" x14ac:dyDescent="0.4">
      <c r="A78" s="1" t="s">
        <v>403</v>
      </c>
      <c r="B78" s="1">
        <v>10277</v>
      </c>
      <c r="C78" s="1">
        <v>28</v>
      </c>
      <c r="D78" s="1" t="s">
        <v>727</v>
      </c>
      <c r="E78">
        <v>36.4</v>
      </c>
      <c r="F78" s="1">
        <v>20</v>
      </c>
      <c r="G78" s="1">
        <v>0</v>
      </c>
      <c r="H78" s="2">
        <v>34586</v>
      </c>
    </row>
    <row r="79" spans="1:8" x14ac:dyDescent="0.4">
      <c r="A79" s="1" t="s">
        <v>403</v>
      </c>
      <c r="B79" s="1">
        <v>10277</v>
      </c>
      <c r="C79" s="1">
        <v>62</v>
      </c>
      <c r="D79" s="1" t="s">
        <v>712</v>
      </c>
      <c r="E79">
        <v>39.4</v>
      </c>
      <c r="F79" s="1">
        <v>12</v>
      </c>
      <c r="G79" s="1">
        <v>0</v>
      </c>
      <c r="H79" s="2">
        <v>34586</v>
      </c>
    </row>
    <row r="80" spans="1:8" x14ac:dyDescent="0.4">
      <c r="A80" s="1" t="s">
        <v>43</v>
      </c>
      <c r="B80" s="1">
        <v>10278</v>
      </c>
      <c r="C80" s="1">
        <v>44</v>
      </c>
      <c r="D80" s="1" t="s">
        <v>728</v>
      </c>
      <c r="E80">
        <v>15.5</v>
      </c>
      <c r="F80" s="1">
        <v>16</v>
      </c>
      <c r="G80" s="1">
        <v>0</v>
      </c>
      <c r="H80" s="2">
        <v>34589</v>
      </c>
    </row>
    <row r="81" spans="1:8" x14ac:dyDescent="0.4">
      <c r="A81" s="1" t="s">
        <v>43</v>
      </c>
      <c r="B81" s="1">
        <v>10278</v>
      </c>
      <c r="C81" s="1">
        <v>59</v>
      </c>
      <c r="D81" s="1" t="s">
        <v>704</v>
      </c>
      <c r="E81">
        <v>44</v>
      </c>
      <c r="F81" s="1">
        <v>15</v>
      </c>
      <c r="G81" s="1">
        <v>0</v>
      </c>
      <c r="H81" s="2">
        <v>34589</v>
      </c>
    </row>
    <row r="82" spans="1:8" x14ac:dyDescent="0.4">
      <c r="A82" s="1" t="s">
        <v>43</v>
      </c>
      <c r="B82" s="1">
        <v>10278</v>
      </c>
      <c r="C82" s="1">
        <v>63</v>
      </c>
      <c r="D82" s="1" t="s">
        <v>729</v>
      </c>
      <c r="E82">
        <v>35.1</v>
      </c>
      <c r="F82" s="1">
        <v>8</v>
      </c>
      <c r="G82" s="1">
        <v>0</v>
      </c>
      <c r="H82" s="2">
        <v>34589</v>
      </c>
    </row>
    <row r="83" spans="1:8" x14ac:dyDescent="0.4">
      <c r="A83" s="1" t="s">
        <v>43</v>
      </c>
      <c r="B83" s="1">
        <v>10278</v>
      </c>
      <c r="C83" s="1">
        <v>73</v>
      </c>
      <c r="D83" s="1" t="s">
        <v>730</v>
      </c>
      <c r="E83">
        <v>12</v>
      </c>
      <c r="F83" s="1">
        <v>25</v>
      </c>
      <c r="G83" s="1">
        <v>0</v>
      </c>
      <c r="H83" s="2">
        <v>34589</v>
      </c>
    </row>
    <row r="84" spans="1:8" x14ac:dyDescent="0.4">
      <c r="A84" s="1" t="s">
        <v>341</v>
      </c>
      <c r="B84" s="1">
        <v>10279</v>
      </c>
      <c r="C84" s="1">
        <v>17</v>
      </c>
      <c r="D84" s="1" t="s">
        <v>718</v>
      </c>
      <c r="E84">
        <v>31.2</v>
      </c>
      <c r="F84" s="1">
        <v>15</v>
      </c>
      <c r="G84" s="1">
        <v>0.25</v>
      </c>
      <c r="H84" s="2">
        <v>34590</v>
      </c>
    </row>
    <row r="85" spans="1:8" x14ac:dyDescent="0.4">
      <c r="A85" s="1" t="s">
        <v>43</v>
      </c>
      <c r="B85" s="1">
        <v>10280</v>
      </c>
      <c r="C85" s="1">
        <v>24</v>
      </c>
      <c r="D85" s="1" t="s">
        <v>698</v>
      </c>
      <c r="E85">
        <v>3.6</v>
      </c>
      <c r="F85" s="1">
        <v>12</v>
      </c>
      <c r="G85" s="1">
        <v>0</v>
      </c>
      <c r="H85" s="2">
        <v>34591</v>
      </c>
    </row>
    <row r="86" spans="1:8" x14ac:dyDescent="0.4">
      <c r="A86" s="1" t="s">
        <v>43</v>
      </c>
      <c r="B86" s="1">
        <v>10280</v>
      </c>
      <c r="C86" s="1">
        <v>55</v>
      </c>
      <c r="D86" s="1" t="s">
        <v>699</v>
      </c>
      <c r="E86">
        <v>19.2</v>
      </c>
      <c r="F86" s="1">
        <v>20</v>
      </c>
      <c r="G86" s="1">
        <v>0</v>
      </c>
      <c r="H86" s="2">
        <v>34591</v>
      </c>
    </row>
    <row r="87" spans="1:8" x14ac:dyDescent="0.4">
      <c r="A87" s="1" t="s">
        <v>43</v>
      </c>
      <c r="B87" s="1">
        <v>10280</v>
      </c>
      <c r="C87" s="1">
        <v>75</v>
      </c>
      <c r="D87" s="1" t="s">
        <v>731</v>
      </c>
      <c r="E87">
        <v>6.2</v>
      </c>
      <c r="F87" s="1">
        <v>30</v>
      </c>
      <c r="G87" s="1">
        <v>0</v>
      </c>
      <c r="H87" s="2">
        <v>34591</v>
      </c>
    </row>
    <row r="88" spans="1:8" x14ac:dyDescent="0.4">
      <c r="A88" s="1" t="s">
        <v>515</v>
      </c>
      <c r="B88" s="1">
        <v>10281</v>
      </c>
      <c r="C88" s="1">
        <v>19</v>
      </c>
      <c r="D88" s="1" t="s">
        <v>732</v>
      </c>
      <c r="E88">
        <v>7.3</v>
      </c>
      <c r="F88" s="1">
        <v>1</v>
      </c>
      <c r="G88" s="1">
        <v>0</v>
      </c>
      <c r="H88" s="2">
        <v>34591</v>
      </c>
    </row>
    <row r="89" spans="1:8" x14ac:dyDescent="0.4">
      <c r="A89" s="1" t="s">
        <v>515</v>
      </c>
      <c r="B89" s="1">
        <v>10281</v>
      </c>
      <c r="C89" s="1">
        <v>24</v>
      </c>
      <c r="D89" s="1" t="s">
        <v>698</v>
      </c>
      <c r="E89">
        <v>3.6</v>
      </c>
      <c r="F89" s="1">
        <v>6</v>
      </c>
      <c r="G89" s="1">
        <v>0</v>
      </c>
      <c r="H89" s="2">
        <v>34591</v>
      </c>
    </row>
    <row r="90" spans="1:8" x14ac:dyDescent="0.4">
      <c r="A90" s="1" t="s">
        <v>515</v>
      </c>
      <c r="B90" s="1">
        <v>10281</v>
      </c>
      <c r="C90" s="1">
        <v>35</v>
      </c>
      <c r="D90" s="1" t="s">
        <v>714</v>
      </c>
      <c r="E90">
        <v>14.4</v>
      </c>
      <c r="F90" s="1">
        <v>4</v>
      </c>
      <c r="G90" s="1">
        <v>0</v>
      </c>
      <c r="H90" s="2">
        <v>34591</v>
      </c>
    </row>
    <row r="91" spans="1:8" x14ac:dyDescent="0.4">
      <c r="A91" s="1" t="s">
        <v>515</v>
      </c>
      <c r="B91" s="1">
        <v>10282</v>
      </c>
      <c r="C91" s="1">
        <v>30</v>
      </c>
      <c r="D91" s="1" t="s">
        <v>717</v>
      </c>
      <c r="E91">
        <v>20.7</v>
      </c>
      <c r="F91" s="1">
        <v>6</v>
      </c>
      <c r="G91" s="1">
        <v>0</v>
      </c>
      <c r="H91" s="2">
        <v>34592</v>
      </c>
    </row>
    <row r="92" spans="1:8" x14ac:dyDescent="0.4">
      <c r="A92" s="1" t="s">
        <v>515</v>
      </c>
      <c r="B92" s="1">
        <v>10282</v>
      </c>
      <c r="C92" s="1">
        <v>57</v>
      </c>
      <c r="D92" s="1" t="s">
        <v>691</v>
      </c>
      <c r="E92">
        <v>15.6</v>
      </c>
      <c r="F92" s="1">
        <v>2</v>
      </c>
      <c r="G92" s="1">
        <v>0</v>
      </c>
      <c r="H92" s="2">
        <v>34592</v>
      </c>
    </row>
    <row r="93" spans="1:8" x14ac:dyDescent="0.4">
      <c r="A93" s="1" t="s">
        <v>355</v>
      </c>
      <c r="B93" s="1">
        <v>10283</v>
      </c>
      <c r="C93" s="1">
        <v>15</v>
      </c>
      <c r="D93" s="1" t="s">
        <v>733</v>
      </c>
      <c r="E93">
        <v>12.4</v>
      </c>
      <c r="F93" s="1">
        <v>20</v>
      </c>
      <c r="G93" s="1">
        <v>0</v>
      </c>
      <c r="H93" s="2">
        <v>34593</v>
      </c>
    </row>
    <row r="94" spans="1:8" x14ac:dyDescent="0.4">
      <c r="A94" s="1" t="s">
        <v>355</v>
      </c>
      <c r="B94" s="1">
        <v>10283</v>
      </c>
      <c r="C94" s="1">
        <v>19</v>
      </c>
      <c r="D94" s="1" t="s">
        <v>732</v>
      </c>
      <c r="E94">
        <v>7.3</v>
      </c>
      <c r="F94" s="1">
        <v>18</v>
      </c>
      <c r="G94" s="1">
        <v>0</v>
      </c>
      <c r="H94" s="2">
        <v>34593</v>
      </c>
    </row>
    <row r="95" spans="1:8" x14ac:dyDescent="0.4">
      <c r="A95" s="1" t="s">
        <v>355</v>
      </c>
      <c r="B95" s="1">
        <v>10283</v>
      </c>
      <c r="C95" s="1">
        <v>60</v>
      </c>
      <c r="D95" s="1" t="s">
        <v>694</v>
      </c>
      <c r="E95">
        <v>27.2</v>
      </c>
      <c r="F95" s="1">
        <v>35</v>
      </c>
      <c r="G95" s="1">
        <v>0</v>
      </c>
      <c r="H95" s="2">
        <v>34593</v>
      </c>
    </row>
    <row r="96" spans="1:8" x14ac:dyDescent="0.4">
      <c r="A96" s="1" t="s">
        <v>355</v>
      </c>
      <c r="B96" s="1">
        <v>10283</v>
      </c>
      <c r="C96" s="1">
        <v>72</v>
      </c>
      <c r="D96" s="1" t="s">
        <v>685</v>
      </c>
      <c r="E96">
        <v>27.8</v>
      </c>
      <c r="F96" s="1">
        <v>3</v>
      </c>
      <c r="G96" s="1">
        <v>0</v>
      </c>
      <c r="H96" s="2">
        <v>34593</v>
      </c>
    </row>
    <row r="97" spans="1:8" x14ac:dyDescent="0.4">
      <c r="A97" s="1" t="s">
        <v>341</v>
      </c>
      <c r="B97" s="1">
        <v>10284</v>
      </c>
      <c r="C97" s="1">
        <v>27</v>
      </c>
      <c r="D97" s="1" t="s">
        <v>707</v>
      </c>
      <c r="E97">
        <v>35.1</v>
      </c>
      <c r="F97" s="1">
        <v>15</v>
      </c>
      <c r="G97" s="1">
        <v>0.25</v>
      </c>
      <c r="H97" s="2">
        <v>34596</v>
      </c>
    </row>
    <row r="98" spans="1:8" x14ac:dyDescent="0.4">
      <c r="A98" s="1" t="s">
        <v>341</v>
      </c>
      <c r="B98" s="1">
        <v>10284</v>
      </c>
      <c r="C98" s="1">
        <v>44</v>
      </c>
      <c r="D98" s="1" t="s">
        <v>728</v>
      </c>
      <c r="E98">
        <v>15.5</v>
      </c>
      <c r="F98" s="1">
        <v>21</v>
      </c>
      <c r="G98" s="1">
        <v>0</v>
      </c>
      <c r="H98" s="2">
        <v>34596</v>
      </c>
    </row>
    <row r="99" spans="1:8" x14ac:dyDescent="0.4">
      <c r="A99" s="1" t="s">
        <v>341</v>
      </c>
      <c r="B99" s="1">
        <v>10284</v>
      </c>
      <c r="C99" s="1">
        <v>60</v>
      </c>
      <c r="D99" s="1" t="s">
        <v>694</v>
      </c>
      <c r="E99">
        <v>27.2</v>
      </c>
      <c r="F99" s="1">
        <v>20</v>
      </c>
      <c r="G99" s="1">
        <v>0.25</v>
      </c>
      <c r="H99" s="2">
        <v>34596</v>
      </c>
    </row>
    <row r="100" spans="1:8" x14ac:dyDescent="0.4">
      <c r="A100" s="1" t="s">
        <v>341</v>
      </c>
      <c r="B100" s="1">
        <v>10284</v>
      </c>
      <c r="C100" s="1">
        <v>67</v>
      </c>
      <c r="D100" s="1" t="s">
        <v>734</v>
      </c>
      <c r="E100">
        <v>11.2</v>
      </c>
      <c r="F100" s="1">
        <v>5</v>
      </c>
      <c r="G100" s="1">
        <v>0.25</v>
      </c>
      <c r="H100" s="2">
        <v>34596</v>
      </c>
    </row>
    <row r="101" spans="1:8" x14ac:dyDescent="0.4">
      <c r="A101" s="1" t="s">
        <v>475</v>
      </c>
      <c r="B101" s="1">
        <v>10285</v>
      </c>
      <c r="C101" s="1">
        <v>1</v>
      </c>
      <c r="D101" s="1" t="s">
        <v>735</v>
      </c>
      <c r="E101">
        <v>14.4</v>
      </c>
      <c r="F101" s="1">
        <v>45</v>
      </c>
      <c r="G101" s="1">
        <v>0.2</v>
      </c>
      <c r="H101" s="2">
        <v>34597</v>
      </c>
    </row>
    <row r="102" spans="1:8" x14ac:dyDescent="0.4">
      <c r="A102" s="1" t="s">
        <v>475</v>
      </c>
      <c r="B102" s="1">
        <v>10285</v>
      </c>
      <c r="C102" s="1">
        <v>40</v>
      </c>
      <c r="D102" s="1" t="s">
        <v>720</v>
      </c>
      <c r="E102">
        <v>14.7</v>
      </c>
      <c r="F102" s="1">
        <v>40</v>
      </c>
      <c r="G102" s="1">
        <v>0.2</v>
      </c>
      <c r="H102" s="2">
        <v>34597</v>
      </c>
    </row>
    <row r="103" spans="1:8" x14ac:dyDescent="0.4">
      <c r="A103" s="1" t="s">
        <v>475</v>
      </c>
      <c r="B103" s="1">
        <v>10285</v>
      </c>
      <c r="C103" s="1">
        <v>53</v>
      </c>
      <c r="D103" s="1" t="s">
        <v>705</v>
      </c>
      <c r="E103">
        <v>26.2</v>
      </c>
      <c r="F103" s="1">
        <v>36</v>
      </c>
      <c r="G103" s="1">
        <v>0.2</v>
      </c>
      <c r="H103" s="2">
        <v>34597</v>
      </c>
    </row>
    <row r="104" spans="1:8" x14ac:dyDescent="0.4">
      <c r="A104" s="1" t="s">
        <v>475</v>
      </c>
      <c r="B104" s="1">
        <v>10286</v>
      </c>
      <c r="C104" s="1">
        <v>35</v>
      </c>
      <c r="D104" s="1" t="s">
        <v>714</v>
      </c>
      <c r="E104">
        <v>14.4</v>
      </c>
      <c r="F104" s="1">
        <v>100</v>
      </c>
      <c r="G104" s="1">
        <v>0</v>
      </c>
      <c r="H104" s="2">
        <v>34598</v>
      </c>
    </row>
    <row r="105" spans="1:8" x14ac:dyDescent="0.4">
      <c r="A105" s="1" t="s">
        <v>475</v>
      </c>
      <c r="B105" s="1">
        <v>10286</v>
      </c>
      <c r="C105" s="1">
        <v>62</v>
      </c>
      <c r="D105" s="1" t="s">
        <v>712</v>
      </c>
      <c r="E105">
        <v>39.4</v>
      </c>
      <c r="F105" s="1">
        <v>40</v>
      </c>
      <c r="G105" s="1">
        <v>0</v>
      </c>
      <c r="H105" s="2">
        <v>34598</v>
      </c>
    </row>
    <row r="106" spans="1:8" x14ac:dyDescent="0.4">
      <c r="A106" s="1" t="s">
        <v>503</v>
      </c>
      <c r="B106" s="1">
        <v>10287</v>
      </c>
      <c r="C106" s="1">
        <v>16</v>
      </c>
      <c r="D106" s="1" t="s">
        <v>702</v>
      </c>
      <c r="E106">
        <v>13.9</v>
      </c>
      <c r="F106" s="1">
        <v>40</v>
      </c>
      <c r="G106" s="1">
        <v>0.15</v>
      </c>
      <c r="H106" s="2">
        <v>34599</v>
      </c>
    </row>
    <row r="107" spans="1:8" x14ac:dyDescent="0.4">
      <c r="A107" s="1" t="s">
        <v>503</v>
      </c>
      <c r="B107" s="1">
        <v>10287</v>
      </c>
      <c r="C107" s="1">
        <v>34</v>
      </c>
      <c r="D107" s="1" t="s">
        <v>736</v>
      </c>
      <c r="E107">
        <v>11.2</v>
      </c>
      <c r="F107" s="1">
        <v>20</v>
      </c>
      <c r="G107" s="1">
        <v>0</v>
      </c>
      <c r="H107" s="2">
        <v>34599</v>
      </c>
    </row>
    <row r="108" spans="1:8" x14ac:dyDescent="0.4">
      <c r="A108" s="1" t="s">
        <v>503</v>
      </c>
      <c r="B108" s="1">
        <v>10287</v>
      </c>
      <c r="C108" s="1">
        <v>46</v>
      </c>
      <c r="D108" s="1" t="s">
        <v>737</v>
      </c>
      <c r="E108">
        <v>9.6</v>
      </c>
      <c r="F108" s="1">
        <v>15</v>
      </c>
      <c r="G108" s="1">
        <v>0.15</v>
      </c>
      <c r="H108" s="2">
        <v>34599</v>
      </c>
    </row>
    <row r="109" spans="1:8" x14ac:dyDescent="0.4">
      <c r="A109" s="1" t="s">
        <v>496</v>
      </c>
      <c r="B109" s="1">
        <v>10288</v>
      </c>
      <c r="C109" s="1">
        <v>54</v>
      </c>
      <c r="D109" s="1" t="s">
        <v>738</v>
      </c>
      <c r="E109">
        <v>5.9</v>
      </c>
      <c r="F109" s="1">
        <v>10</v>
      </c>
      <c r="G109" s="1">
        <v>0.1</v>
      </c>
      <c r="H109" s="2">
        <v>34600</v>
      </c>
    </row>
    <row r="110" spans="1:8" x14ac:dyDescent="0.4">
      <c r="A110" s="1" t="s">
        <v>496</v>
      </c>
      <c r="B110" s="1">
        <v>10288</v>
      </c>
      <c r="C110" s="1">
        <v>68</v>
      </c>
      <c r="D110" s="1" t="s">
        <v>739</v>
      </c>
      <c r="E110">
        <v>10</v>
      </c>
      <c r="F110" s="1">
        <v>3</v>
      </c>
      <c r="G110" s="1">
        <v>0.1</v>
      </c>
      <c r="H110" s="2">
        <v>34600</v>
      </c>
    </row>
    <row r="111" spans="1:8" x14ac:dyDescent="0.4">
      <c r="A111" s="1" t="s">
        <v>95</v>
      </c>
      <c r="B111" s="1">
        <v>10289</v>
      </c>
      <c r="C111" s="1">
        <v>3</v>
      </c>
      <c r="D111" s="1" t="s">
        <v>740</v>
      </c>
      <c r="E111">
        <v>8</v>
      </c>
      <c r="F111" s="1">
        <v>30</v>
      </c>
      <c r="G111" s="1">
        <v>0</v>
      </c>
      <c r="H111" s="2">
        <v>34603</v>
      </c>
    </row>
    <row r="112" spans="1:8" x14ac:dyDescent="0.4">
      <c r="A112" s="1" t="s">
        <v>95</v>
      </c>
      <c r="B112" s="1">
        <v>10289</v>
      </c>
      <c r="C112" s="1">
        <v>64</v>
      </c>
      <c r="D112" s="1" t="s">
        <v>741</v>
      </c>
      <c r="E112">
        <v>26.6</v>
      </c>
      <c r="F112" s="1">
        <v>9</v>
      </c>
      <c r="G112" s="1">
        <v>0</v>
      </c>
      <c r="H112" s="2">
        <v>34603</v>
      </c>
    </row>
    <row r="113" spans="1:8" x14ac:dyDescent="0.4">
      <c r="A113" s="1" t="s">
        <v>123</v>
      </c>
      <c r="B113" s="1">
        <v>10290</v>
      </c>
      <c r="C113" s="1">
        <v>5</v>
      </c>
      <c r="D113" s="1" t="s">
        <v>708</v>
      </c>
      <c r="E113">
        <v>17</v>
      </c>
      <c r="F113" s="1">
        <v>20</v>
      </c>
      <c r="G113" s="1">
        <v>0</v>
      </c>
      <c r="H113" s="2">
        <v>34604</v>
      </c>
    </row>
    <row r="114" spans="1:8" x14ac:dyDescent="0.4">
      <c r="A114" s="1" t="s">
        <v>123</v>
      </c>
      <c r="B114" s="1">
        <v>10290</v>
      </c>
      <c r="C114" s="1">
        <v>29</v>
      </c>
      <c r="D114" s="1" t="s">
        <v>722</v>
      </c>
      <c r="E114">
        <v>99</v>
      </c>
      <c r="F114" s="1">
        <v>15</v>
      </c>
      <c r="G114" s="1">
        <v>0</v>
      </c>
      <c r="H114" s="2">
        <v>34604</v>
      </c>
    </row>
    <row r="115" spans="1:8" x14ac:dyDescent="0.4">
      <c r="A115" s="1" t="s">
        <v>123</v>
      </c>
      <c r="B115" s="1">
        <v>10290</v>
      </c>
      <c r="C115" s="1">
        <v>49</v>
      </c>
      <c r="D115" s="1" t="s">
        <v>697</v>
      </c>
      <c r="E115">
        <v>16</v>
      </c>
      <c r="F115" s="1">
        <v>15</v>
      </c>
      <c r="G115" s="1">
        <v>0</v>
      </c>
      <c r="H115" s="2">
        <v>34604</v>
      </c>
    </row>
    <row r="116" spans="1:8" x14ac:dyDescent="0.4">
      <c r="A116" s="1" t="s">
        <v>123</v>
      </c>
      <c r="B116" s="1">
        <v>10290</v>
      </c>
      <c r="C116" s="1">
        <v>77</v>
      </c>
      <c r="D116" s="1" t="s">
        <v>706</v>
      </c>
      <c r="E116">
        <v>10.4</v>
      </c>
      <c r="F116" s="1">
        <v>10</v>
      </c>
      <c r="G116" s="1">
        <v>0</v>
      </c>
      <c r="H116" s="2">
        <v>34604</v>
      </c>
    </row>
    <row r="117" spans="1:8" x14ac:dyDescent="0.4">
      <c r="A117" s="1" t="s">
        <v>462</v>
      </c>
      <c r="B117" s="1">
        <v>10291</v>
      </c>
      <c r="C117" s="1">
        <v>13</v>
      </c>
      <c r="D117" s="1" t="s">
        <v>726</v>
      </c>
      <c r="E117">
        <v>4.8</v>
      </c>
      <c r="F117" s="1">
        <v>20</v>
      </c>
      <c r="G117" s="1">
        <v>0.1</v>
      </c>
      <c r="H117" s="2">
        <v>34604</v>
      </c>
    </row>
    <row r="118" spans="1:8" x14ac:dyDescent="0.4">
      <c r="A118" s="1" t="s">
        <v>462</v>
      </c>
      <c r="B118" s="1">
        <v>10291</v>
      </c>
      <c r="C118" s="1">
        <v>44</v>
      </c>
      <c r="D118" s="1" t="s">
        <v>728</v>
      </c>
      <c r="E118">
        <v>15.5</v>
      </c>
      <c r="F118" s="1">
        <v>24</v>
      </c>
      <c r="G118" s="1">
        <v>0.1</v>
      </c>
      <c r="H118" s="2">
        <v>34604</v>
      </c>
    </row>
    <row r="119" spans="1:8" x14ac:dyDescent="0.4">
      <c r="A119" s="1" t="s">
        <v>462</v>
      </c>
      <c r="B119" s="1">
        <v>10291</v>
      </c>
      <c r="C119" s="1">
        <v>51</v>
      </c>
      <c r="D119" s="1" t="s">
        <v>687</v>
      </c>
      <c r="E119">
        <v>42.4</v>
      </c>
      <c r="F119" s="1">
        <v>2</v>
      </c>
      <c r="G119" s="1">
        <v>0.1</v>
      </c>
      <c r="H119" s="2">
        <v>34604</v>
      </c>
    </row>
    <row r="120" spans="1:8" x14ac:dyDescent="0.4">
      <c r="A120" s="1" t="s">
        <v>598</v>
      </c>
      <c r="B120" s="1">
        <v>10292</v>
      </c>
      <c r="C120" s="1">
        <v>20</v>
      </c>
      <c r="D120" s="1" t="s">
        <v>692</v>
      </c>
      <c r="E120">
        <v>64.8</v>
      </c>
      <c r="F120" s="1">
        <v>20</v>
      </c>
      <c r="G120" s="1">
        <v>0</v>
      </c>
      <c r="H120" s="2">
        <v>34605</v>
      </c>
    </row>
    <row r="121" spans="1:8" x14ac:dyDescent="0.4">
      <c r="A121" s="1" t="s">
        <v>593</v>
      </c>
      <c r="B121" s="1">
        <v>10293</v>
      </c>
      <c r="C121" s="1">
        <v>18</v>
      </c>
      <c r="D121" s="1" t="s">
        <v>742</v>
      </c>
      <c r="E121">
        <v>50</v>
      </c>
      <c r="F121" s="1">
        <v>12</v>
      </c>
      <c r="G121" s="1">
        <v>0</v>
      </c>
      <c r="H121" s="2">
        <v>34606</v>
      </c>
    </row>
    <row r="122" spans="1:8" x14ac:dyDescent="0.4">
      <c r="A122" s="1" t="s">
        <v>593</v>
      </c>
      <c r="B122" s="1">
        <v>10293</v>
      </c>
      <c r="C122" s="1">
        <v>24</v>
      </c>
      <c r="D122" s="1" t="s">
        <v>698</v>
      </c>
      <c r="E122">
        <v>3.6</v>
      </c>
      <c r="F122" s="1">
        <v>10</v>
      </c>
      <c r="G122" s="1">
        <v>0</v>
      </c>
      <c r="H122" s="2">
        <v>34606</v>
      </c>
    </row>
    <row r="123" spans="1:8" x14ac:dyDescent="0.4">
      <c r="A123" s="1" t="s">
        <v>593</v>
      </c>
      <c r="B123" s="1">
        <v>10293</v>
      </c>
      <c r="C123" s="1">
        <v>63</v>
      </c>
      <c r="D123" s="1" t="s">
        <v>729</v>
      </c>
      <c r="E123">
        <v>35.1</v>
      </c>
      <c r="F123" s="1">
        <v>5</v>
      </c>
      <c r="G123" s="1">
        <v>0</v>
      </c>
      <c r="H123" s="2">
        <v>34606</v>
      </c>
    </row>
    <row r="124" spans="1:8" x14ac:dyDescent="0.4">
      <c r="A124" s="1" t="s">
        <v>593</v>
      </c>
      <c r="B124" s="1">
        <v>10293</v>
      </c>
      <c r="C124" s="1">
        <v>75</v>
      </c>
      <c r="D124" s="1" t="s">
        <v>731</v>
      </c>
      <c r="E124">
        <v>6.2</v>
      </c>
      <c r="F124" s="1">
        <v>6</v>
      </c>
      <c r="G124" s="1">
        <v>0</v>
      </c>
      <c r="H124" s="2">
        <v>34606</v>
      </c>
    </row>
    <row r="125" spans="1:8" x14ac:dyDescent="0.4">
      <c r="A125" s="1" t="s">
        <v>487</v>
      </c>
      <c r="B125" s="1">
        <v>10294</v>
      </c>
      <c r="C125" s="1">
        <v>1</v>
      </c>
      <c r="D125" s="1" t="s">
        <v>735</v>
      </c>
      <c r="E125">
        <v>14.4</v>
      </c>
      <c r="F125" s="1">
        <v>18</v>
      </c>
      <c r="G125" s="1">
        <v>0</v>
      </c>
      <c r="H125" s="2">
        <v>34607</v>
      </c>
    </row>
    <row r="126" spans="1:8" x14ac:dyDescent="0.4">
      <c r="A126" s="1" t="s">
        <v>487</v>
      </c>
      <c r="B126" s="1">
        <v>10294</v>
      </c>
      <c r="C126" s="1">
        <v>17</v>
      </c>
      <c r="D126" s="1" t="s">
        <v>718</v>
      </c>
      <c r="E126">
        <v>31.2</v>
      </c>
      <c r="F126" s="1">
        <v>15</v>
      </c>
      <c r="G126" s="1">
        <v>0</v>
      </c>
      <c r="H126" s="2">
        <v>34607</v>
      </c>
    </row>
    <row r="127" spans="1:8" x14ac:dyDescent="0.4">
      <c r="A127" s="1" t="s">
        <v>487</v>
      </c>
      <c r="B127" s="1">
        <v>10294</v>
      </c>
      <c r="C127" s="1">
        <v>43</v>
      </c>
      <c r="D127" s="1" t="s">
        <v>723</v>
      </c>
      <c r="E127">
        <v>36.799999999999997</v>
      </c>
      <c r="F127" s="1">
        <v>15</v>
      </c>
      <c r="G127" s="1">
        <v>0</v>
      </c>
      <c r="H127" s="2">
        <v>34607</v>
      </c>
    </row>
    <row r="128" spans="1:8" x14ac:dyDescent="0.4">
      <c r="A128" s="1" t="s">
        <v>487</v>
      </c>
      <c r="B128" s="1">
        <v>10294</v>
      </c>
      <c r="C128" s="1">
        <v>60</v>
      </c>
      <c r="D128" s="1" t="s">
        <v>694</v>
      </c>
      <c r="E128">
        <v>27.2</v>
      </c>
      <c r="F128" s="1">
        <v>21</v>
      </c>
      <c r="G128" s="1">
        <v>0</v>
      </c>
      <c r="H128" s="2">
        <v>34607</v>
      </c>
    </row>
    <row r="129" spans="1:8" x14ac:dyDescent="0.4">
      <c r="A129" s="1" t="s">
        <v>487</v>
      </c>
      <c r="B129" s="1">
        <v>10294</v>
      </c>
      <c r="C129" s="1">
        <v>75</v>
      </c>
      <c r="D129" s="1" t="s">
        <v>731</v>
      </c>
      <c r="E129">
        <v>6.2</v>
      </c>
      <c r="F129" s="1">
        <v>6</v>
      </c>
      <c r="G129" s="1">
        <v>0</v>
      </c>
      <c r="H129" s="2">
        <v>34607</v>
      </c>
    </row>
    <row r="130" spans="1:8" x14ac:dyDescent="0.4">
      <c r="A130" s="1" t="s">
        <v>626</v>
      </c>
      <c r="B130" s="1">
        <v>10295</v>
      </c>
      <c r="C130" s="1">
        <v>56</v>
      </c>
      <c r="D130" s="1" t="s">
        <v>716</v>
      </c>
      <c r="E130">
        <v>30.4</v>
      </c>
      <c r="F130" s="1">
        <v>4</v>
      </c>
      <c r="G130" s="1">
        <v>0</v>
      </c>
      <c r="H130" s="2">
        <v>34610</v>
      </c>
    </row>
    <row r="131" spans="1:8" x14ac:dyDescent="0.4">
      <c r="A131" s="1" t="s">
        <v>355</v>
      </c>
      <c r="B131" s="1">
        <v>10296</v>
      </c>
      <c r="C131" s="1">
        <v>11</v>
      </c>
      <c r="D131" s="1" t="s">
        <v>683</v>
      </c>
      <c r="E131">
        <v>16.8</v>
      </c>
      <c r="F131" s="1">
        <v>12</v>
      </c>
      <c r="G131" s="1">
        <v>0</v>
      </c>
      <c r="H131" s="2">
        <v>34611</v>
      </c>
    </row>
    <row r="132" spans="1:8" x14ac:dyDescent="0.4">
      <c r="A132" s="1" t="s">
        <v>355</v>
      </c>
      <c r="B132" s="1">
        <v>10296</v>
      </c>
      <c r="C132" s="1">
        <v>16</v>
      </c>
      <c r="D132" s="1" t="s">
        <v>702</v>
      </c>
      <c r="E132">
        <v>13.9</v>
      </c>
      <c r="F132" s="1">
        <v>30</v>
      </c>
      <c r="G132" s="1">
        <v>0</v>
      </c>
      <c r="H132" s="2">
        <v>34611</v>
      </c>
    </row>
    <row r="133" spans="1:8" x14ac:dyDescent="0.4">
      <c r="A133" s="1" t="s">
        <v>355</v>
      </c>
      <c r="B133" s="1">
        <v>10296</v>
      </c>
      <c r="C133" s="1">
        <v>69</v>
      </c>
      <c r="D133" s="1" t="s">
        <v>743</v>
      </c>
      <c r="E133">
        <v>28.8</v>
      </c>
      <c r="F133" s="1">
        <v>15</v>
      </c>
      <c r="G133" s="1">
        <v>0</v>
      </c>
      <c r="H133" s="2">
        <v>34611</v>
      </c>
    </row>
    <row r="134" spans="1:8" x14ac:dyDescent="0.4">
      <c r="A134" s="1" t="s">
        <v>60</v>
      </c>
      <c r="B134" s="1">
        <v>10297</v>
      </c>
      <c r="C134" s="1">
        <v>39</v>
      </c>
      <c r="D134" s="1" t="s">
        <v>696</v>
      </c>
      <c r="E134">
        <v>14.4</v>
      </c>
      <c r="F134" s="1">
        <v>60</v>
      </c>
      <c r="G134" s="1">
        <v>0</v>
      </c>
      <c r="H134" s="2">
        <v>34612</v>
      </c>
    </row>
    <row r="135" spans="1:8" x14ac:dyDescent="0.4">
      <c r="A135" s="1" t="s">
        <v>60</v>
      </c>
      <c r="B135" s="1">
        <v>10297</v>
      </c>
      <c r="C135" s="1">
        <v>72</v>
      </c>
      <c r="D135" s="1" t="s">
        <v>685</v>
      </c>
      <c r="E135">
        <v>27.8</v>
      </c>
      <c r="F135" s="1">
        <v>20</v>
      </c>
      <c r="G135" s="1">
        <v>0</v>
      </c>
      <c r="H135" s="2">
        <v>34612</v>
      </c>
    </row>
    <row r="136" spans="1:8" x14ac:dyDescent="0.4">
      <c r="A136" s="1" t="s">
        <v>288</v>
      </c>
      <c r="B136" s="1">
        <v>10298</v>
      </c>
      <c r="C136" s="1">
        <v>2</v>
      </c>
      <c r="D136" s="1" t="s">
        <v>701</v>
      </c>
      <c r="E136">
        <v>15.2</v>
      </c>
      <c r="F136" s="1">
        <v>40</v>
      </c>
      <c r="G136" s="1">
        <v>0</v>
      </c>
      <c r="H136" s="2">
        <v>34613</v>
      </c>
    </row>
    <row r="137" spans="1:8" x14ac:dyDescent="0.4">
      <c r="A137" s="1" t="s">
        <v>288</v>
      </c>
      <c r="B137" s="1">
        <v>10298</v>
      </c>
      <c r="C137" s="1">
        <v>36</v>
      </c>
      <c r="D137" s="1" t="s">
        <v>703</v>
      </c>
      <c r="E137">
        <v>15.2</v>
      </c>
      <c r="F137" s="1">
        <v>40</v>
      </c>
      <c r="G137" s="1">
        <v>0.25</v>
      </c>
      <c r="H137" s="2">
        <v>34613</v>
      </c>
    </row>
    <row r="138" spans="1:8" x14ac:dyDescent="0.4">
      <c r="A138" s="1" t="s">
        <v>288</v>
      </c>
      <c r="B138" s="1">
        <v>10298</v>
      </c>
      <c r="C138" s="1">
        <v>59</v>
      </c>
      <c r="D138" s="1" t="s">
        <v>704</v>
      </c>
      <c r="E138">
        <v>44</v>
      </c>
      <c r="F138" s="1">
        <v>30</v>
      </c>
      <c r="G138" s="1">
        <v>0.25</v>
      </c>
      <c r="H138" s="2">
        <v>34613</v>
      </c>
    </row>
    <row r="139" spans="1:8" x14ac:dyDescent="0.4">
      <c r="A139" s="1" t="s">
        <v>288</v>
      </c>
      <c r="B139" s="1">
        <v>10298</v>
      </c>
      <c r="C139" s="1">
        <v>62</v>
      </c>
      <c r="D139" s="1" t="s">
        <v>712</v>
      </c>
      <c r="E139">
        <v>39.4</v>
      </c>
      <c r="F139" s="1">
        <v>15</v>
      </c>
      <c r="G139" s="1">
        <v>0</v>
      </c>
      <c r="H139" s="2">
        <v>34613</v>
      </c>
    </row>
    <row r="140" spans="1:8" x14ac:dyDescent="0.4">
      <c r="A140" s="1" t="s">
        <v>503</v>
      </c>
      <c r="B140" s="1">
        <v>10299</v>
      </c>
      <c r="C140" s="1">
        <v>19</v>
      </c>
      <c r="D140" s="1" t="s">
        <v>732</v>
      </c>
      <c r="E140">
        <v>7.3</v>
      </c>
      <c r="F140" s="1">
        <v>15</v>
      </c>
      <c r="G140" s="1">
        <v>0</v>
      </c>
      <c r="H140" s="2">
        <v>34614</v>
      </c>
    </row>
    <row r="141" spans="1:8" x14ac:dyDescent="0.4">
      <c r="A141" s="1" t="s">
        <v>503</v>
      </c>
      <c r="B141" s="1">
        <v>10299</v>
      </c>
      <c r="C141" s="1">
        <v>70</v>
      </c>
      <c r="D141" s="1" t="s">
        <v>713</v>
      </c>
      <c r="E141">
        <v>12</v>
      </c>
      <c r="F141" s="1">
        <v>20</v>
      </c>
      <c r="G141" s="1">
        <v>0</v>
      </c>
      <c r="H141" s="2">
        <v>34614</v>
      </c>
    </row>
    <row r="142" spans="1:8" x14ac:dyDescent="0.4">
      <c r="A142" s="1" t="s">
        <v>378</v>
      </c>
      <c r="B142" s="1">
        <v>10300</v>
      </c>
      <c r="C142" s="1">
        <v>66</v>
      </c>
      <c r="D142" s="1" t="s">
        <v>744</v>
      </c>
      <c r="E142">
        <v>13.6</v>
      </c>
      <c r="F142" s="1">
        <v>30</v>
      </c>
      <c r="G142" s="1">
        <v>0</v>
      </c>
      <c r="H142" s="2">
        <v>34617</v>
      </c>
    </row>
    <row r="143" spans="1:8" x14ac:dyDescent="0.4">
      <c r="A143" s="1" t="s">
        <v>378</v>
      </c>
      <c r="B143" s="1">
        <v>10300</v>
      </c>
      <c r="C143" s="1">
        <v>68</v>
      </c>
      <c r="D143" s="1" t="s">
        <v>739</v>
      </c>
      <c r="E143">
        <v>10</v>
      </c>
      <c r="F143" s="1">
        <v>20</v>
      </c>
      <c r="G143" s="1">
        <v>0</v>
      </c>
      <c r="H143" s="2">
        <v>34617</v>
      </c>
    </row>
    <row r="144" spans="1:8" x14ac:dyDescent="0.4">
      <c r="A144" s="1" t="s">
        <v>633</v>
      </c>
      <c r="B144" s="1">
        <v>10301</v>
      </c>
      <c r="C144" s="1">
        <v>40</v>
      </c>
      <c r="D144" s="1" t="s">
        <v>720</v>
      </c>
      <c r="E144">
        <v>14.7</v>
      </c>
      <c r="F144" s="1">
        <v>10</v>
      </c>
      <c r="G144" s="1">
        <v>0</v>
      </c>
      <c r="H144" s="2">
        <v>34617</v>
      </c>
    </row>
    <row r="145" spans="1:8" x14ac:dyDescent="0.4">
      <c r="A145" s="1" t="s">
        <v>633</v>
      </c>
      <c r="B145" s="1">
        <v>10301</v>
      </c>
      <c r="C145" s="1">
        <v>56</v>
      </c>
      <c r="D145" s="1" t="s">
        <v>716</v>
      </c>
      <c r="E145">
        <v>30.4</v>
      </c>
      <c r="F145" s="1">
        <v>20</v>
      </c>
      <c r="G145" s="1">
        <v>0</v>
      </c>
      <c r="H145" s="2">
        <v>34617</v>
      </c>
    </row>
    <row r="146" spans="1:8" x14ac:dyDescent="0.4">
      <c r="A146" s="1" t="s">
        <v>565</v>
      </c>
      <c r="B146" s="1">
        <v>10302</v>
      </c>
      <c r="C146" s="1">
        <v>17</v>
      </c>
      <c r="D146" s="1" t="s">
        <v>718</v>
      </c>
      <c r="E146">
        <v>31.2</v>
      </c>
      <c r="F146" s="1">
        <v>40</v>
      </c>
      <c r="G146" s="1">
        <v>0</v>
      </c>
      <c r="H146" s="2">
        <v>34618</v>
      </c>
    </row>
    <row r="147" spans="1:8" x14ac:dyDescent="0.4">
      <c r="A147" s="1" t="s">
        <v>565</v>
      </c>
      <c r="B147" s="1">
        <v>10302</v>
      </c>
      <c r="C147" s="1">
        <v>28</v>
      </c>
      <c r="D147" s="1" t="s">
        <v>727</v>
      </c>
      <c r="E147">
        <v>36.4</v>
      </c>
      <c r="F147" s="1">
        <v>28</v>
      </c>
      <c r="G147" s="1">
        <v>0</v>
      </c>
      <c r="H147" s="2">
        <v>34618</v>
      </c>
    </row>
    <row r="148" spans="1:8" x14ac:dyDescent="0.4">
      <c r="A148" s="1" t="s">
        <v>565</v>
      </c>
      <c r="B148" s="1">
        <v>10302</v>
      </c>
      <c r="C148" s="1">
        <v>43</v>
      </c>
      <c r="D148" s="1" t="s">
        <v>723</v>
      </c>
      <c r="E148">
        <v>36.799999999999997</v>
      </c>
      <c r="F148" s="1">
        <v>12</v>
      </c>
      <c r="G148" s="1">
        <v>0</v>
      </c>
      <c r="H148" s="2">
        <v>34618</v>
      </c>
    </row>
    <row r="149" spans="1:8" x14ac:dyDescent="0.4">
      <c r="A149" s="1" t="s">
        <v>234</v>
      </c>
      <c r="B149" s="1">
        <v>10303</v>
      </c>
      <c r="C149" s="1">
        <v>40</v>
      </c>
      <c r="D149" s="1" t="s">
        <v>720</v>
      </c>
      <c r="E149">
        <v>14.7</v>
      </c>
      <c r="F149" s="1">
        <v>40</v>
      </c>
      <c r="G149" s="1">
        <v>0.1</v>
      </c>
      <c r="H149" s="2">
        <v>34619</v>
      </c>
    </row>
    <row r="150" spans="1:8" x14ac:dyDescent="0.4">
      <c r="A150" s="1" t="s">
        <v>234</v>
      </c>
      <c r="B150" s="1">
        <v>10303</v>
      </c>
      <c r="C150" s="1">
        <v>65</v>
      </c>
      <c r="D150" s="1" t="s">
        <v>689</v>
      </c>
      <c r="E150">
        <v>16.8</v>
      </c>
      <c r="F150" s="1">
        <v>30</v>
      </c>
      <c r="G150" s="1">
        <v>0.1</v>
      </c>
      <c r="H150" s="2">
        <v>34619</v>
      </c>
    </row>
    <row r="151" spans="1:8" x14ac:dyDescent="0.4">
      <c r="A151" s="1" t="s">
        <v>234</v>
      </c>
      <c r="B151" s="1">
        <v>10303</v>
      </c>
      <c r="C151" s="1">
        <v>68</v>
      </c>
      <c r="D151" s="1" t="s">
        <v>739</v>
      </c>
      <c r="E151">
        <v>10</v>
      </c>
      <c r="F151" s="1">
        <v>15</v>
      </c>
      <c r="G151" s="1">
        <v>0.1</v>
      </c>
      <c r="H151" s="2">
        <v>34619</v>
      </c>
    </row>
    <row r="152" spans="1:8" x14ac:dyDescent="0.4">
      <c r="A152" s="1" t="s">
        <v>593</v>
      </c>
      <c r="B152" s="1">
        <v>10304</v>
      </c>
      <c r="C152" s="1">
        <v>49</v>
      </c>
      <c r="D152" s="1" t="s">
        <v>697</v>
      </c>
      <c r="E152">
        <v>16</v>
      </c>
      <c r="F152" s="1">
        <v>30</v>
      </c>
      <c r="G152" s="1">
        <v>0</v>
      </c>
      <c r="H152" s="2">
        <v>34620</v>
      </c>
    </row>
    <row r="153" spans="1:8" x14ac:dyDescent="0.4">
      <c r="A153" s="1" t="s">
        <v>593</v>
      </c>
      <c r="B153" s="1">
        <v>10304</v>
      </c>
      <c r="C153" s="1">
        <v>59</v>
      </c>
      <c r="D153" s="1" t="s">
        <v>704</v>
      </c>
      <c r="E153">
        <v>44</v>
      </c>
      <c r="F153" s="1">
        <v>10</v>
      </c>
      <c r="G153" s="1">
        <v>0</v>
      </c>
      <c r="H153" s="2">
        <v>34620</v>
      </c>
    </row>
    <row r="154" spans="1:8" x14ac:dyDescent="0.4">
      <c r="A154" s="1" t="s">
        <v>593</v>
      </c>
      <c r="B154" s="1">
        <v>10304</v>
      </c>
      <c r="C154" s="1">
        <v>71</v>
      </c>
      <c r="D154" s="1" t="s">
        <v>725</v>
      </c>
      <c r="E154">
        <v>17.2</v>
      </c>
      <c r="F154" s="1">
        <v>2</v>
      </c>
      <c r="G154" s="1">
        <v>0</v>
      </c>
      <c r="H154" s="2">
        <v>34620</v>
      </c>
    </row>
    <row r="155" spans="1:8" x14ac:dyDescent="0.4">
      <c r="A155" s="1" t="s">
        <v>422</v>
      </c>
      <c r="B155" s="1">
        <v>10305</v>
      </c>
      <c r="C155" s="1">
        <v>18</v>
      </c>
      <c r="D155" s="1" t="s">
        <v>742</v>
      </c>
      <c r="E155">
        <v>50</v>
      </c>
      <c r="F155" s="1">
        <v>25</v>
      </c>
      <c r="G155" s="1">
        <v>0.1</v>
      </c>
      <c r="H155" s="2">
        <v>34621</v>
      </c>
    </row>
    <row r="156" spans="1:8" x14ac:dyDescent="0.4">
      <c r="A156" s="1" t="s">
        <v>422</v>
      </c>
      <c r="B156" s="1">
        <v>10305</v>
      </c>
      <c r="C156" s="1">
        <v>29</v>
      </c>
      <c r="D156" s="1" t="s">
        <v>722</v>
      </c>
      <c r="E156">
        <v>99</v>
      </c>
      <c r="F156" s="1">
        <v>25</v>
      </c>
      <c r="G156" s="1">
        <v>0.1</v>
      </c>
      <c r="H156" s="2">
        <v>34621</v>
      </c>
    </row>
    <row r="157" spans="1:8" x14ac:dyDescent="0.4">
      <c r="A157" s="1" t="s">
        <v>422</v>
      </c>
      <c r="B157" s="1">
        <v>10305</v>
      </c>
      <c r="C157" s="1">
        <v>39</v>
      </c>
      <c r="D157" s="1" t="s">
        <v>696</v>
      </c>
      <c r="E157">
        <v>14.4</v>
      </c>
      <c r="F157" s="1">
        <v>30</v>
      </c>
      <c r="G157" s="1">
        <v>0.1</v>
      </c>
      <c r="H157" s="2">
        <v>34621</v>
      </c>
    </row>
    <row r="158" spans="1:8" x14ac:dyDescent="0.4">
      <c r="A158" s="1" t="s">
        <v>515</v>
      </c>
      <c r="B158" s="1">
        <v>10306</v>
      </c>
      <c r="C158" s="1">
        <v>30</v>
      </c>
      <c r="D158" s="1" t="s">
        <v>717</v>
      </c>
      <c r="E158">
        <v>20.7</v>
      </c>
      <c r="F158" s="1">
        <v>10</v>
      </c>
      <c r="G158" s="1">
        <v>0</v>
      </c>
      <c r="H158" s="2">
        <v>34624</v>
      </c>
    </row>
    <row r="159" spans="1:8" x14ac:dyDescent="0.4">
      <c r="A159" s="1" t="s">
        <v>515</v>
      </c>
      <c r="B159" s="1">
        <v>10306</v>
      </c>
      <c r="C159" s="1">
        <v>53</v>
      </c>
      <c r="D159" s="1" t="s">
        <v>705</v>
      </c>
      <c r="E159">
        <v>26.2</v>
      </c>
      <c r="F159" s="1">
        <v>10</v>
      </c>
      <c r="G159" s="1">
        <v>0</v>
      </c>
      <c r="H159" s="2">
        <v>34624</v>
      </c>
    </row>
    <row r="160" spans="1:8" x14ac:dyDescent="0.4">
      <c r="A160" s="1" t="s">
        <v>515</v>
      </c>
      <c r="B160" s="1">
        <v>10306</v>
      </c>
      <c r="C160" s="1">
        <v>54</v>
      </c>
      <c r="D160" s="1" t="s">
        <v>738</v>
      </c>
      <c r="E160">
        <v>5.9</v>
      </c>
      <c r="F160" s="1">
        <v>5</v>
      </c>
      <c r="G160" s="1">
        <v>0</v>
      </c>
      <c r="H160" s="2">
        <v>34624</v>
      </c>
    </row>
    <row r="161" spans="1:8" x14ac:dyDescent="0.4">
      <c r="A161" s="1" t="s">
        <v>371</v>
      </c>
      <c r="B161" s="1">
        <v>10307</v>
      </c>
      <c r="C161" s="1">
        <v>62</v>
      </c>
      <c r="D161" s="1" t="s">
        <v>712</v>
      </c>
      <c r="E161">
        <v>39.4</v>
      </c>
      <c r="F161" s="1">
        <v>10</v>
      </c>
      <c r="G161" s="1">
        <v>0</v>
      </c>
      <c r="H161" s="2">
        <v>34625</v>
      </c>
    </row>
    <row r="162" spans="1:8" x14ac:dyDescent="0.4">
      <c r="A162" s="1" t="s">
        <v>371</v>
      </c>
      <c r="B162" s="1">
        <v>10307</v>
      </c>
      <c r="C162" s="1">
        <v>68</v>
      </c>
      <c r="D162" s="1" t="s">
        <v>739</v>
      </c>
      <c r="E162">
        <v>10</v>
      </c>
      <c r="F162" s="1">
        <v>3</v>
      </c>
      <c r="G162" s="1">
        <v>0</v>
      </c>
      <c r="H162" s="2">
        <v>34625</v>
      </c>
    </row>
    <row r="163" spans="1:8" x14ac:dyDescent="0.4">
      <c r="A163" s="1" t="s">
        <v>20</v>
      </c>
      <c r="B163" s="1">
        <v>10308</v>
      </c>
      <c r="C163" s="1">
        <v>69</v>
      </c>
      <c r="D163" s="1" t="s">
        <v>743</v>
      </c>
      <c r="E163">
        <v>28.8</v>
      </c>
      <c r="F163" s="1">
        <v>1</v>
      </c>
      <c r="G163" s="1">
        <v>0</v>
      </c>
      <c r="H163" s="2">
        <v>34626</v>
      </c>
    </row>
    <row r="164" spans="1:8" x14ac:dyDescent="0.4">
      <c r="A164" s="1" t="s">
        <v>20</v>
      </c>
      <c r="B164" s="1">
        <v>10308</v>
      </c>
      <c r="C164" s="1">
        <v>70</v>
      </c>
      <c r="D164" s="1" t="s">
        <v>713</v>
      </c>
      <c r="E164">
        <v>12</v>
      </c>
      <c r="F164" s="1">
        <v>5</v>
      </c>
      <c r="G164" s="1">
        <v>0</v>
      </c>
      <c r="H164" s="2">
        <v>34626</v>
      </c>
    </row>
    <row r="165" spans="1:8" x14ac:dyDescent="0.4">
      <c r="A165" s="1" t="s">
        <v>288</v>
      </c>
      <c r="B165" s="1">
        <v>10309</v>
      </c>
      <c r="C165" s="1">
        <v>4</v>
      </c>
      <c r="D165" s="1" t="s">
        <v>745</v>
      </c>
      <c r="E165">
        <v>17.600000000000001</v>
      </c>
      <c r="F165" s="1">
        <v>20</v>
      </c>
      <c r="G165" s="1">
        <v>0</v>
      </c>
      <c r="H165" s="2">
        <v>34627</v>
      </c>
    </row>
    <row r="166" spans="1:8" x14ac:dyDescent="0.4">
      <c r="A166" s="1" t="s">
        <v>288</v>
      </c>
      <c r="B166" s="1">
        <v>10309</v>
      </c>
      <c r="C166" s="1">
        <v>6</v>
      </c>
      <c r="D166" s="1" t="s">
        <v>746</v>
      </c>
      <c r="E166">
        <v>20</v>
      </c>
      <c r="F166" s="1">
        <v>30</v>
      </c>
      <c r="G166" s="1">
        <v>0</v>
      </c>
      <c r="H166" s="2">
        <v>34627</v>
      </c>
    </row>
    <row r="167" spans="1:8" x14ac:dyDescent="0.4">
      <c r="A167" s="1" t="s">
        <v>288</v>
      </c>
      <c r="B167" s="1">
        <v>10309</v>
      </c>
      <c r="C167" s="1">
        <v>42</v>
      </c>
      <c r="D167" s="1" t="s">
        <v>684</v>
      </c>
      <c r="E167">
        <v>11.2</v>
      </c>
      <c r="F167" s="1">
        <v>2</v>
      </c>
      <c r="G167" s="1">
        <v>0</v>
      </c>
      <c r="H167" s="2">
        <v>34627</v>
      </c>
    </row>
    <row r="168" spans="1:8" x14ac:dyDescent="0.4">
      <c r="A168" s="1" t="s">
        <v>288</v>
      </c>
      <c r="B168" s="1">
        <v>10309</v>
      </c>
      <c r="C168" s="1">
        <v>43</v>
      </c>
      <c r="D168" s="1" t="s">
        <v>723</v>
      </c>
      <c r="E168">
        <v>36.799999999999997</v>
      </c>
      <c r="F168" s="1">
        <v>20</v>
      </c>
      <c r="G168" s="1">
        <v>0</v>
      </c>
      <c r="H168" s="2">
        <v>34627</v>
      </c>
    </row>
    <row r="169" spans="1:8" x14ac:dyDescent="0.4">
      <c r="A169" s="1" t="s">
        <v>288</v>
      </c>
      <c r="B169" s="1">
        <v>10309</v>
      </c>
      <c r="C169" s="1">
        <v>71</v>
      </c>
      <c r="D169" s="1" t="s">
        <v>725</v>
      </c>
      <c r="E169">
        <v>17.2</v>
      </c>
      <c r="F169" s="1">
        <v>3</v>
      </c>
      <c r="G169" s="1">
        <v>0</v>
      </c>
      <c r="H169" s="2">
        <v>34627</v>
      </c>
    </row>
    <row r="170" spans="1:8" x14ac:dyDescent="0.4">
      <c r="A170" s="1" t="s">
        <v>573</v>
      </c>
      <c r="B170" s="1">
        <v>10310</v>
      </c>
      <c r="C170" s="1">
        <v>16</v>
      </c>
      <c r="D170" s="1" t="s">
        <v>702</v>
      </c>
      <c r="E170">
        <v>13.9</v>
      </c>
      <c r="F170" s="1">
        <v>10</v>
      </c>
      <c r="G170" s="1">
        <v>0</v>
      </c>
      <c r="H170" s="2">
        <v>34628</v>
      </c>
    </row>
    <row r="171" spans="1:8" x14ac:dyDescent="0.4">
      <c r="A171" s="1" t="s">
        <v>573</v>
      </c>
      <c r="B171" s="1">
        <v>10310</v>
      </c>
      <c r="C171" s="1">
        <v>62</v>
      </c>
      <c r="D171" s="1" t="s">
        <v>712</v>
      </c>
      <c r="E171">
        <v>39.4</v>
      </c>
      <c r="F171" s="1">
        <v>5</v>
      </c>
      <c r="G171" s="1">
        <v>0</v>
      </c>
      <c r="H171" s="2">
        <v>34628</v>
      </c>
    </row>
    <row r="172" spans="1:8" x14ac:dyDescent="0.4">
      <c r="A172" s="1" t="s">
        <v>147</v>
      </c>
      <c r="B172" s="1">
        <v>10311</v>
      </c>
      <c r="C172" s="1">
        <v>42</v>
      </c>
      <c r="D172" s="1" t="s">
        <v>684</v>
      </c>
      <c r="E172">
        <v>11.2</v>
      </c>
      <c r="F172" s="1">
        <v>6</v>
      </c>
      <c r="G172" s="1">
        <v>0</v>
      </c>
      <c r="H172" s="2">
        <v>34628</v>
      </c>
    </row>
    <row r="173" spans="1:8" x14ac:dyDescent="0.4">
      <c r="A173" s="1" t="s">
        <v>147</v>
      </c>
      <c r="B173" s="1">
        <v>10311</v>
      </c>
      <c r="C173" s="1">
        <v>69</v>
      </c>
      <c r="D173" s="1" t="s">
        <v>743</v>
      </c>
      <c r="E173">
        <v>28.8</v>
      </c>
      <c r="F173" s="1">
        <v>7</v>
      </c>
      <c r="G173" s="1">
        <v>0</v>
      </c>
      <c r="H173" s="2">
        <v>34628</v>
      </c>
    </row>
    <row r="174" spans="1:8" x14ac:dyDescent="0.4">
      <c r="A174" s="1" t="s">
        <v>633</v>
      </c>
      <c r="B174" s="1">
        <v>10312</v>
      </c>
      <c r="C174" s="1">
        <v>28</v>
      </c>
      <c r="D174" s="1" t="s">
        <v>727</v>
      </c>
      <c r="E174">
        <v>36.4</v>
      </c>
      <c r="F174" s="1">
        <v>4</v>
      </c>
      <c r="G174" s="1">
        <v>0</v>
      </c>
      <c r="H174" s="2">
        <v>34631</v>
      </c>
    </row>
    <row r="175" spans="1:8" x14ac:dyDescent="0.4">
      <c r="A175" s="1" t="s">
        <v>633</v>
      </c>
      <c r="B175" s="1">
        <v>10312</v>
      </c>
      <c r="C175" s="1">
        <v>43</v>
      </c>
      <c r="D175" s="1" t="s">
        <v>723</v>
      </c>
      <c r="E175">
        <v>36.799999999999997</v>
      </c>
      <c r="F175" s="1">
        <v>24</v>
      </c>
      <c r="G175" s="1">
        <v>0</v>
      </c>
      <c r="H175" s="2">
        <v>34631</v>
      </c>
    </row>
    <row r="176" spans="1:8" x14ac:dyDescent="0.4">
      <c r="A176" s="1" t="s">
        <v>633</v>
      </c>
      <c r="B176" s="1">
        <v>10312</v>
      </c>
      <c r="C176" s="1">
        <v>53</v>
      </c>
      <c r="D176" s="1" t="s">
        <v>705</v>
      </c>
      <c r="E176">
        <v>26.2</v>
      </c>
      <c r="F176" s="1">
        <v>20</v>
      </c>
      <c r="G176" s="1">
        <v>0</v>
      </c>
      <c r="H176" s="2">
        <v>34631</v>
      </c>
    </row>
    <row r="177" spans="1:8" x14ac:dyDescent="0.4">
      <c r="A177" s="1" t="s">
        <v>633</v>
      </c>
      <c r="B177" s="1">
        <v>10312</v>
      </c>
      <c r="C177" s="1">
        <v>75</v>
      </c>
      <c r="D177" s="1" t="s">
        <v>731</v>
      </c>
      <c r="E177">
        <v>6.2</v>
      </c>
      <c r="F177" s="1">
        <v>10</v>
      </c>
      <c r="G177" s="1">
        <v>0</v>
      </c>
      <c r="H177" s="2">
        <v>34631</v>
      </c>
    </row>
    <row r="178" spans="1:8" x14ac:dyDescent="0.4">
      <c r="A178" s="1" t="s">
        <v>475</v>
      </c>
      <c r="B178" s="1">
        <v>10313</v>
      </c>
      <c r="C178" s="1">
        <v>36</v>
      </c>
      <c r="D178" s="1" t="s">
        <v>703</v>
      </c>
      <c r="E178">
        <v>15.2</v>
      </c>
      <c r="F178" s="1">
        <v>12</v>
      </c>
      <c r="G178" s="1">
        <v>0</v>
      </c>
      <c r="H178" s="2">
        <v>34632</v>
      </c>
    </row>
    <row r="179" spans="1:8" x14ac:dyDescent="0.4">
      <c r="A179" s="1" t="s">
        <v>487</v>
      </c>
      <c r="B179" s="1">
        <v>10314</v>
      </c>
      <c r="C179" s="1">
        <v>32</v>
      </c>
      <c r="D179" s="1" t="s">
        <v>709</v>
      </c>
      <c r="E179">
        <v>25.6</v>
      </c>
      <c r="F179" s="1">
        <v>40</v>
      </c>
      <c r="G179" s="1">
        <v>0.1</v>
      </c>
      <c r="H179" s="2">
        <v>34633</v>
      </c>
    </row>
    <row r="180" spans="1:8" x14ac:dyDescent="0.4">
      <c r="A180" s="1" t="s">
        <v>487</v>
      </c>
      <c r="B180" s="1">
        <v>10314</v>
      </c>
      <c r="C180" s="1">
        <v>58</v>
      </c>
      <c r="D180" s="1" t="s">
        <v>747</v>
      </c>
      <c r="E180">
        <v>10.6</v>
      </c>
      <c r="F180" s="1">
        <v>30</v>
      </c>
      <c r="G180" s="1">
        <v>0.1</v>
      </c>
      <c r="H180" s="2">
        <v>34633</v>
      </c>
    </row>
    <row r="181" spans="1:8" x14ac:dyDescent="0.4">
      <c r="A181" s="1" t="s">
        <v>487</v>
      </c>
      <c r="B181" s="1">
        <v>10314</v>
      </c>
      <c r="C181" s="1">
        <v>62</v>
      </c>
      <c r="D181" s="1" t="s">
        <v>712</v>
      </c>
      <c r="E181">
        <v>39.4</v>
      </c>
      <c r="F181" s="1">
        <v>25</v>
      </c>
      <c r="G181" s="1">
        <v>0.1</v>
      </c>
      <c r="H181" s="2">
        <v>34633</v>
      </c>
    </row>
    <row r="182" spans="1:8" x14ac:dyDescent="0.4">
      <c r="A182" s="1" t="s">
        <v>297</v>
      </c>
      <c r="B182" s="1">
        <v>10315</v>
      </c>
      <c r="C182" s="1">
        <v>34</v>
      </c>
      <c r="D182" s="1" t="s">
        <v>736</v>
      </c>
      <c r="E182">
        <v>11.2</v>
      </c>
      <c r="F182" s="1">
        <v>14</v>
      </c>
      <c r="G182" s="1">
        <v>0</v>
      </c>
      <c r="H182" s="2">
        <v>34634</v>
      </c>
    </row>
    <row r="183" spans="1:8" x14ac:dyDescent="0.4">
      <c r="A183" s="1" t="s">
        <v>297</v>
      </c>
      <c r="B183" s="1">
        <v>10315</v>
      </c>
      <c r="C183" s="1">
        <v>70</v>
      </c>
      <c r="D183" s="1" t="s">
        <v>713</v>
      </c>
      <c r="E183">
        <v>12</v>
      </c>
      <c r="F183" s="1">
        <v>30</v>
      </c>
      <c r="G183" s="1">
        <v>0</v>
      </c>
      <c r="H183" s="2">
        <v>34634</v>
      </c>
    </row>
    <row r="184" spans="1:8" x14ac:dyDescent="0.4">
      <c r="A184" s="1" t="s">
        <v>487</v>
      </c>
      <c r="B184" s="1">
        <v>10316</v>
      </c>
      <c r="C184" s="1">
        <v>41</v>
      </c>
      <c r="D184" s="1" t="s">
        <v>688</v>
      </c>
      <c r="E184">
        <v>7.7</v>
      </c>
      <c r="F184" s="1">
        <v>10</v>
      </c>
      <c r="G184" s="1">
        <v>0</v>
      </c>
      <c r="H184" s="2">
        <v>34635</v>
      </c>
    </row>
    <row r="185" spans="1:8" x14ac:dyDescent="0.4">
      <c r="A185" s="1" t="s">
        <v>487</v>
      </c>
      <c r="B185" s="1">
        <v>10316</v>
      </c>
      <c r="C185" s="1">
        <v>62</v>
      </c>
      <c r="D185" s="1" t="s">
        <v>712</v>
      </c>
      <c r="E185">
        <v>39.4</v>
      </c>
      <c r="F185" s="1">
        <v>70</v>
      </c>
      <c r="G185" s="1">
        <v>0</v>
      </c>
      <c r="H185" s="2">
        <v>34635</v>
      </c>
    </row>
    <row r="186" spans="1:8" x14ac:dyDescent="0.4">
      <c r="A186" s="1" t="s">
        <v>371</v>
      </c>
      <c r="B186" s="1">
        <v>10317</v>
      </c>
      <c r="C186" s="1">
        <v>1</v>
      </c>
      <c r="D186" s="1" t="s">
        <v>735</v>
      </c>
      <c r="E186">
        <v>14.4</v>
      </c>
      <c r="F186" s="1">
        <v>20</v>
      </c>
      <c r="G186" s="1">
        <v>0</v>
      </c>
      <c r="H186" s="2">
        <v>34638</v>
      </c>
    </row>
    <row r="187" spans="1:8" x14ac:dyDescent="0.4">
      <c r="A187" s="1" t="s">
        <v>297</v>
      </c>
      <c r="B187" s="1">
        <v>10318</v>
      </c>
      <c r="C187" s="1">
        <v>41</v>
      </c>
      <c r="D187" s="1" t="s">
        <v>688</v>
      </c>
      <c r="E187">
        <v>7.7</v>
      </c>
      <c r="F187" s="1">
        <v>20</v>
      </c>
      <c r="G187" s="1">
        <v>0</v>
      </c>
      <c r="H187" s="2">
        <v>34639</v>
      </c>
    </row>
    <row r="188" spans="1:8" x14ac:dyDescent="0.4">
      <c r="A188" s="1" t="s">
        <v>297</v>
      </c>
      <c r="B188" s="1">
        <v>10318</v>
      </c>
      <c r="C188" s="1">
        <v>76</v>
      </c>
      <c r="D188" s="1" t="s">
        <v>721</v>
      </c>
      <c r="E188">
        <v>14.4</v>
      </c>
      <c r="F188" s="1">
        <v>6</v>
      </c>
      <c r="G188" s="1">
        <v>0</v>
      </c>
      <c r="H188" s="2">
        <v>34639</v>
      </c>
    </row>
    <row r="189" spans="1:8" x14ac:dyDescent="0.4">
      <c r="A189" s="1" t="s">
        <v>593</v>
      </c>
      <c r="B189" s="1">
        <v>10319</v>
      </c>
      <c r="C189" s="1">
        <v>17</v>
      </c>
      <c r="D189" s="1" t="s">
        <v>718</v>
      </c>
      <c r="E189">
        <v>31.2</v>
      </c>
      <c r="F189" s="1">
        <v>8</v>
      </c>
      <c r="G189" s="1">
        <v>0</v>
      </c>
      <c r="H189" s="2">
        <v>34640</v>
      </c>
    </row>
    <row r="190" spans="1:8" x14ac:dyDescent="0.4">
      <c r="A190" s="1" t="s">
        <v>593</v>
      </c>
      <c r="B190" s="1">
        <v>10319</v>
      </c>
      <c r="C190" s="1">
        <v>28</v>
      </c>
      <c r="D190" s="1" t="s">
        <v>727</v>
      </c>
      <c r="E190">
        <v>36.4</v>
      </c>
      <c r="F190" s="1">
        <v>14</v>
      </c>
      <c r="G190" s="1">
        <v>0</v>
      </c>
      <c r="H190" s="2">
        <v>34640</v>
      </c>
    </row>
    <row r="191" spans="1:8" x14ac:dyDescent="0.4">
      <c r="A191" s="1" t="s">
        <v>593</v>
      </c>
      <c r="B191" s="1">
        <v>10319</v>
      </c>
      <c r="C191" s="1">
        <v>76</v>
      </c>
      <c r="D191" s="1" t="s">
        <v>721</v>
      </c>
      <c r="E191">
        <v>14.4</v>
      </c>
      <c r="F191" s="1">
        <v>30</v>
      </c>
      <c r="G191" s="1">
        <v>0</v>
      </c>
      <c r="H191" s="2">
        <v>34640</v>
      </c>
    </row>
    <row r="192" spans="1:8" x14ac:dyDescent="0.4">
      <c r="A192" s="1" t="s">
        <v>640</v>
      </c>
      <c r="B192" s="1">
        <v>10320</v>
      </c>
      <c r="C192" s="1">
        <v>71</v>
      </c>
      <c r="D192" s="1" t="s">
        <v>725</v>
      </c>
      <c r="E192">
        <v>17.2</v>
      </c>
      <c r="F192" s="1">
        <v>30</v>
      </c>
      <c r="G192" s="1">
        <v>0</v>
      </c>
      <c r="H192" s="2">
        <v>34641</v>
      </c>
    </row>
    <row r="193" spans="1:8" x14ac:dyDescent="0.4">
      <c r="A193" s="1" t="s">
        <v>297</v>
      </c>
      <c r="B193" s="1">
        <v>10321</v>
      </c>
      <c r="C193" s="1">
        <v>35</v>
      </c>
      <c r="D193" s="1" t="s">
        <v>714</v>
      </c>
      <c r="E193">
        <v>14.4</v>
      </c>
      <c r="F193" s="1">
        <v>10</v>
      </c>
      <c r="G193" s="1">
        <v>0</v>
      </c>
      <c r="H193" s="2">
        <v>34641</v>
      </c>
    </row>
    <row r="194" spans="1:8" x14ac:dyDescent="0.4">
      <c r="A194" s="1" t="s">
        <v>444</v>
      </c>
      <c r="B194" s="1">
        <v>10322</v>
      </c>
      <c r="C194" s="1">
        <v>52</v>
      </c>
      <c r="D194" s="1" t="s">
        <v>748</v>
      </c>
      <c r="E194">
        <v>5.6</v>
      </c>
      <c r="F194" s="1">
        <v>20</v>
      </c>
      <c r="G194" s="1">
        <v>0</v>
      </c>
      <c r="H194" s="2">
        <v>34642</v>
      </c>
    </row>
    <row r="195" spans="1:8" x14ac:dyDescent="0.4">
      <c r="A195" s="1" t="s">
        <v>305</v>
      </c>
      <c r="B195" s="1">
        <v>10323</v>
      </c>
      <c r="C195" s="1">
        <v>15</v>
      </c>
      <c r="D195" s="1" t="s">
        <v>733</v>
      </c>
      <c r="E195">
        <v>12.4</v>
      </c>
      <c r="F195" s="1">
        <v>5</v>
      </c>
      <c r="G195" s="1">
        <v>0</v>
      </c>
      <c r="H195" s="2">
        <v>34645</v>
      </c>
    </row>
    <row r="196" spans="1:8" x14ac:dyDescent="0.4">
      <c r="A196" s="1" t="s">
        <v>305</v>
      </c>
      <c r="B196" s="1">
        <v>10323</v>
      </c>
      <c r="C196" s="1">
        <v>25</v>
      </c>
      <c r="D196" s="1" t="s">
        <v>749</v>
      </c>
      <c r="E196">
        <v>11.2</v>
      </c>
      <c r="F196" s="1">
        <v>4</v>
      </c>
      <c r="G196" s="1">
        <v>0</v>
      </c>
      <c r="H196" s="2">
        <v>34645</v>
      </c>
    </row>
    <row r="197" spans="1:8" x14ac:dyDescent="0.4">
      <c r="A197" s="1" t="s">
        <v>305</v>
      </c>
      <c r="B197" s="1">
        <v>10323</v>
      </c>
      <c r="C197" s="1">
        <v>39</v>
      </c>
      <c r="D197" s="1" t="s">
        <v>696</v>
      </c>
      <c r="E197">
        <v>14.4</v>
      </c>
      <c r="F197" s="1">
        <v>4</v>
      </c>
      <c r="G197" s="1">
        <v>0</v>
      </c>
      <c r="H197" s="2">
        <v>34645</v>
      </c>
    </row>
    <row r="198" spans="1:8" x14ac:dyDescent="0.4">
      <c r="A198" s="1" t="s">
        <v>529</v>
      </c>
      <c r="B198" s="1">
        <v>10324</v>
      </c>
      <c r="C198" s="1">
        <v>16</v>
      </c>
      <c r="D198" s="1" t="s">
        <v>702</v>
      </c>
      <c r="E198">
        <v>13.9</v>
      </c>
      <c r="F198" s="1">
        <v>21</v>
      </c>
      <c r="G198" s="1">
        <v>0.15</v>
      </c>
      <c r="H198" s="2">
        <v>34646</v>
      </c>
    </row>
    <row r="199" spans="1:8" x14ac:dyDescent="0.4">
      <c r="A199" s="1" t="s">
        <v>529</v>
      </c>
      <c r="B199" s="1">
        <v>10324</v>
      </c>
      <c r="C199" s="1">
        <v>35</v>
      </c>
      <c r="D199" s="1" t="s">
        <v>714</v>
      </c>
      <c r="E199">
        <v>14.4</v>
      </c>
      <c r="F199" s="1">
        <v>70</v>
      </c>
      <c r="G199" s="1">
        <v>0.15</v>
      </c>
      <c r="H199" s="2">
        <v>34646</v>
      </c>
    </row>
    <row r="200" spans="1:8" x14ac:dyDescent="0.4">
      <c r="A200" s="1" t="s">
        <v>529</v>
      </c>
      <c r="B200" s="1">
        <v>10324</v>
      </c>
      <c r="C200" s="1">
        <v>46</v>
      </c>
      <c r="D200" s="1" t="s">
        <v>737</v>
      </c>
      <c r="E200">
        <v>9.6</v>
      </c>
      <c r="F200" s="1">
        <v>30</v>
      </c>
      <c r="G200" s="1">
        <v>0</v>
      </c>
      <c r="H200" s="2">
        <v>34646</v>
      </c>
    </row>
    <row r="201" spans="1:8" x14ac:dyDescent="0.4">
      <c r="A201" s="1" t="s">
        <v>529</v>
      </c>
      <c r="B201" s="1">
        <v>10324</v>
      </c>
      <c r="C201" s="1">
        <v>59</v>
      </c>
      <c r="D201" s="1" t="s">
        <v>704</v>
      </c>
      <c r="E201">
        <v>44</v>
      </c>
      <c r="F201" s="1">
        <v>40</v>
      </c>
      <c r="G201" s="1">
        <v>0.15</v>
      </c>
      <c r="H201" s="2">
        <v>34646</v>
      </c>
    </row>
    <row r="202" spans="1:8" x14ac:dyDescent="0.4">
      <c r="A202" s="1" t="s">
        <v>529</v>
      </c>
      <c r="B202" s="1">
        <v>10324</v>
      </c>
      <c r="C202" s="1">
        <v>63</v>
      </c>
      <c r="D202" s="1" t="s">
        <v>729</v>
      </c>
      <c r="E202">
        <v>35.1</v>
      </c>
      <c r="F202" s="1">
        <v>80</v>
      </c>
      <c r="G202" s="1">
        <v>0.15</v>
      </c>
      <c r="H202" s="2">
        <v>34646</v>
      </c>
    </row>
    <row r="203" spans="1:8" x14ac:dyDescent="0.4">
      <c r="A203" s="1" t="s">
        <v>305</v>
      </c>
      <c r="B203" s="1">
        <v>10325</v>
      </c>
      <c r="C203" s="1">
        <v>6</v>
      </c>
      <c r="D203" s="1" t="s">
        <v>746</v>
      </c>
      <c r="E203">
        <v>20</v>
      </c>
      <c r="F203" s="1">
        <v>6</v>
      </c>
      <c r="G203" s="1">
        <v>0</v>
      </c>
      <c r="H203" s="2">
        <v>34647</v>
      </c>
    </row>
    <row r="204" spans="1:8" x14ac:dyDescent="0.4">
      <c r="A204" s="1" t="s">
        <v>305</v>
      </c>
      <c r="B204" s="1">
        <v>10325</v>
      </c>
      <c r="C204" s="1">
        <v>13</v>
      </c>
      <c r="D204" s="1" t="s">
        <v>726</v>
      </c>
      <c r="E204">
        <v>4.8</v>
      </c>
      <c r="F204" s="1">
        <v>12</v>
      </c>
      <c r="G204" s="1">
        <v>0</v>
      </c>
      <c r="H204" s="2">
        <v>34647</v>
      </c>
    </row>
    <row r="205" spans="1:8" x14ac:dyDescent="0.4">
      <c r="A205" s="1" t="s">
        <v>305</v>
      </c>
      <c r="B205" s="1">
        <v>10325</v>
      </c>
      <c r="C205" s="1">
        <v>14</v>
      </c>
      <c r="D205" s="1" t="s">
        <v>686</v>
      </c>
      <c r="E205">
        <v>18.600000000000001</v>
      </c>
      <c r="F205" s="1">
        <v>9</v>
      </c>
      <c r="G205" s="1">
        <v>0</v>
      </c>
      <c r="H205" s="2">
        <v>34647</v>
      </c>
    </row>
    <row r="206" spans="1:8" x14ac:dyDescent="0.4">
      <c r="A206" s="1" t="s">
        <v>305</v>
      </c>
      <c r="B206" s="1">
        <v>10325</v>
      </c>
      <c r="C206" s="1">
        <v>31</v>
      </c>
      <c r="D206" s="1" t="s">
        <v>695</v>
      </c>
      <c r="E206">
        <v>10</v>
      </c>
      <c r="F206" s="1">
        <v>4</v>
      </c>
      <c r="G206" s="1">
        <v>0</v>
      </c>
      <c r="H206" s="2">
        <v>34647</v>
      </c>
    </row>
    <row r="207" spans="1:8" x14ac:dyDescent="0.4">
      <c r="A207" s="1" t="s">
        <v>305</v>
      </c>
      <c r="B207" s="1">
        <v>10325</v>
      </c>
      <c r="C207" s="1">
        <v>72</v>
      </c>
      <c r="D207" s="1" t="s">
        <v>685</v>
      </c>
      <c r="E207">
        <v>27.8</v>
      </c>
      <c r="F207" s="1">
        <v>40</v>
      </c>
      <c r="G207" s="1">
        <v>0</v>
      </c>
      <c r="H207" s="2">
        <v>34647</v>
      </c>
    </row>
    <row r="208" spans="1:8" x14ac:dyDescent="0.4">
      <c r="A208" s="1" t="s">
        <v>69</v>
      </c>
      <c r="B208" s="1">
        <v>10326</v>
      </c>
      <c r="C208" s="1">
        <v>4</v>
      </c>
      <c r="D208" s="1" t="s">
        <v>745</v>
      </c>
      <c r="E208">
        <v>17.600000000000001</v>
      </c>
      <c r="F208" s="1">
        <v>24</v>
      </c>
      <c r="G208" s="1">
        <v>0</v>
      </c>
      <c r="H208" s="2">
        <v>34648</v>
      </c>
    </row>
    <row r="209" spans="1:8" x14ac:dyDescent="0.4">
      <c r="A209" s="1" t="s">
        <v>69</v>
      </c>
      <c r="B209" s="1">
        <v>10326</v>
      </c>
      <c r="C209" s="1">
        <v>57</v>
      </c>
      <c r="D209" s="1" t="s">
        <v>691</v>
      </c>
      <c r="E209">
        <v>15.6</v>
      </c>
      <c r="F209" s="1">
        <v>16</v>
      </c>
      <c r="G209" s="1">
        <v>0</v>
      </c>
      <c r="H209" s="2">
        <v>34648</v>
      </c>
    </row>
    <row r="210" spans="1:8" x14ac:dyDescent="0.4">
      <c r="A210" s="1" t="s">
        <v>69</v>
      </c>
      <c r="B210" s="1">
        <v>10326</v>
      </c>
      <c r="C210" s="1">
        <v>75</v>
      </c>
      <c r="D210" s="1" t="s">
        <v>731</v>
      </c>
      <c r="E210">
        <v>6.2</v>
      </c>
      <c r="F210" s="1">
        <v>50</v>
      </c>
      <c r="G210" s="1">
        <v>0</v>
      </c>
      <c r="H210" s="2">
        <v>34648</v>
      </c>
    </row>
    <row r="211" spans="1:8" x14ac:dyDescent="0.4">
      <c r="A211" s="1" t="s">
        <v>191</v>
      </c>
      <c r="B211" s="1">
        <v>10327</v>
      </c>
      <c r="C211" s="1">
        <v>2</v>
      </c>
      <c r="D211" s="1" t="s">
        <v>701</v>
      </c>
      <c r="E211">
        <v>15.2</v>
      </c>
      <c r="F211" s="1">
        <v>25</v>
      </c>
      <c r="G211" s="1">
        <v>0.2</v>
      </c>
      <c r="H211" s="2">
        <v>34649</v>
      </c>
    </row>
    <row r="212" spans="1:8" x14ac:dyDescent="0.4">
      <c r="A212" s="1" t="s">
        <v>191</v>
      </c>
      <c r="B212" s="1">
        <v>10327</v>
      </c>
      <c r="C212" s="1">
        <v>11</v>
      </c>
      <c r="D212" s="1" t="s">
        <v>683</v>
      </c>
      <c r="E212">
        <v>16.8</v>
      </c>
      <c r="F212" s="1">
        <v>50</v>
      </c>
      <c r="G212" s="1">
        <v>0.2</v>
      </c>
      <c r="H212" s="2">
        <v>34649</v>
      </c>
    </row>
    <row r="213" spans="1:8" x14ac:dyDescent="0.4">
      <c r="A213" s="1" t="s">
        <v>191</v>
      </c>
      <c r="B213" s="1">
        <v>10327</v>
      </c>
      <c r="C213" s="1">
        <v>30</v>
      </c>
      <c r="D213" s="1" t="s">
        <v>717</v>
      </c>
      <c r="E213">
        <v>20.7</v>
      </c>
      <c r="F213" s="1">
        <v>35</v>
      </c>
      <c r="G213" s="1">
        <v>0.2</v>
      </c>
      <c r="H213" s="2">
        <v>34649</v>
      </c>
    </row>
    <row r="214" spans="1:8" x14ac:dyDescent="0.4">
      <c r="A214" s="1" t="s">
        <v>191</v>
      </c>
      <c r="B214" s="1">
        <v>10327</v>
      </c>
      <c r="C214" s="1">
        <v>58</v>
      </c>
      <c r="D214" s="1" t="s">
        <v>747</v>
      </c>
      <c r="E214">
        <v>10.6</v>
      </c>
      <c r="F214" s="1">
        <v>30</v>
      </c>
      <c r="G214" s="1">
        <v>0.2</v>
      </c>
      <c r="H214" s="2">
        <v>34649</v>
      </c>
    </row>
    <row r="215" spans="1:8" x14ac:dyDescent="0.4">
      <c r="A215" s="1" t="s">
        <v>219</v>
      </c>
      <c r="B215" s="1">
        <v>10328</v>
      </c>
      <c r="C215" s="1">
        <v>59</v>
      </c>
      <c r="D215" s="1" t="s">
        <v>704</v>
      </c>
      <c r="E215">
        <v>44</v>
      </c>
      <c r="F215" s="1">
        <v>9</v>
      </c>
      <c r="G215" s="1">
        <v>0</v>
      </c>
      <c r="H215" s="2">
        <v>34652</v>
      </c>
    </row>
    <row r="216" spans="1:8" x14ac:dyDescent="0.4">
      <c r="A216" s="1" t="s">
        <v>219</v>
      </c>
      <c r="B216" s="1">
        <v>10328</v>
      </c>
      <c r="C216" s="1">
        <v>65</v>
      </c>
      <c r="D216" s="1" t="s">
        <v>689</v>
      </c>
      <c r="E216">
        <v>16.8</v>
      </c>
      <c r="F216" s="1">
        <v>40</v>
      </c>
      <c r="G216" s="1">
        <v>0</v>
      </c>
      <c r="H216" s="2">
        <v>34652</v>
      </c>
    </row>
    <row r="217" spans="1:8" x14ac:dyDescent="0.4">
      <c r="A217" s="1" t="s">
        <v>219</v>
      </c>
      <c r="B217" s="1">
        <v>10328</v>
      </c>
      <c r="C217" s="1">
        <v>68</v>
      </c>
      <c r="D217" s="1" t="s">
        <v>739</v>
      </c>
      <c r="E217">
        <v>10</v>
      </c>
      <c r="F217" s="1">
        <v>10</v>
      </c>
      <c r="G217" s="1">
        <v>0</v>
      </c>
      <c r="H217" s="2">
        <v>34652</v>
      </c>
    </row>
    <row r="218" spans="1:8" x14ac:dyDescent="0.4">
      <c r="A218" s="1" t="s">
        <v>557</v>
      </c>
      <c r="B218" s="1">
        <v>10329</v>
      </c>
      <c r="C218" s="1">
        <v>19</v>
      </c>
      <c r="D218" s="1" t="s">
        <v>732</v>
      </c>
      <c r="E218">
        <v>7.3</v>
      </c>
      <c r="F218" s="1">
        <v>10</v>
      </c>
      <c r="G218" s="1">
        <v>0.05</v>
      </c>
      <c r="H218" s="2">
        <v>34653</v>
      </c>
    </row>
    <row r="219" spans="1:8" x14ac:dyDescent="0.4">
      <c r="A219" s="1" t="s">
        <v>557</v>
      </c>
      <c r="B219" s="1">
        <v>10329</v>
      </c>
      <c r="C219" s="1">
        <v>30</v>
      </c>
      <c r="D219" s="1" t="s">
        <v>717</v>
      </c>
      <c r="E219">
        <v>20.7</v>
      </c>
      <c r="F219" s="1">
        <v>8</v>
      </c>
      <c r="G219" s="1">
        <v>0.05</v>
      </c>
      <c r="H219" s="2">
        <v>34653</v>
      </c>
    </row>
    <row r="220" spans="1:8" x14ac:dyDescent="0.4">
      <c r="A220" s="1" t="s">
        <v>557</v>
      </c>
      <c r="B220" s="1">
        <v>10329</v>
      </c>
      <c r="C220" s="1">
        <v>38</v>
      </c>
      <c r="D220" s="1" t="s">
        <v>750</v>
      </c>
      <c r="E220">
        <v>210.8</v>
      </c>
      <c r="F220" s="1">
        <v>20</v>
      </c>
      <c r="G220" s="1">
        <v>0.05</v>
      </c>
      <c r="H220" s="2">
        <v>34653</v>
      </c>
    </row>
    <row r="221" spans="1:8" x14ac:dyDescent="0.4">
      <c r="A221" s="1" t="s">
        <v>557</v>
      </c>
      <c r="B221" s="1">
        <v>10329</v>
      </c>
      <c r="C221" s="1">
        <v>56</v>
      </c>
      <c r="D221" s="1" t="s">
        <v>716</v>
      </c>
      <c r="E221">
        <v>30.4</v>
      </c>
      <c r="F221" s="1">
        <v>12</v>
      </c>
      <c r="G221" s="1">
        <v>0.05</v>
      </c>
      <c r="H221" s="2">
        <v>34653</v>
      </c>
    </row>
    <row r="222" spans="1:8" x14ac:dyDescent="0.4">
      <c r="A222" s="1" t="s">
        <v>355</v>
      </c>
      <c r="B222" s="1">
        <v>10330</v>
      </c>
      <c r="C222" s="1">
        <v>26</v>
      </c>
      <c r="D222" s="1" t="s">
        <v>751</v>
      </c>
      <c r="E222">
        <v>24.9</v>
      </c>
      <c r="F222" s="1">
        <v>50</v>
      </c>
      <c r="G222" s="1">
        <v>0.15</v>
      </c>
      <c r="H222" s="2">
        <v>34654</v>
      </c>
    </row>
    <row r="223" spans="1:8" x14ac:dyDescent="0.4">
      <c r="A223" s="1" t="s">
        <v>355</v>
      </c>
      <c r="B223" s="1">
        <v>10330</v>
      </c>
      <c r="C223" s="1">
        <v>72</v>
      </c>
      <c r="D223" s="1" t="s">
        <v>685</v>
      </c>
      <c r="E223">
        <v>27.8</v>
      </c>
      <c r="F223" s="1">
        <v>25</v>
      </c>
      <c r="G223" s="1">
        <v>0.15</v>
      </c>
      <c r="H223" s="2">
        <v>34654</v>
      </c>
    </row>
    <row r="224" spans="1:8" x14ac:dyDescent="0.4">
      <c r="A224" s="1" t="s">
        <v>77</v>
      </c>
      <c r="B224" s="1">
        <v>10331</v>
      </c>
      <c r="C224" s="1">
        <v>54</v>
      </c>
      <c r="D224" s="1" t="s">
        <v>738</v>
      </c>
      <c r="E224">
        <v>5.9</v>
      </c>
      <c r="F224" s="1">
        <v>15</v>
      </c>
      <c r="G224" s="1">
        <v>0</v>
      </c>
      <c r="H224" s="2">
        <v>34654</v>
      </c>
    </row>
    <row r="225" spans="1:8" x14ac:dyDescent="0.4">
      <c r="A225" s="1" t="s">
        <v>394</v>
      </c>
      <c r="B225" s="1">
        <v>10332</v>
      </c>
      <c r="C225" s="1">
        <v>18</v>
      </c>
      <c r="D225" s="1" t="s">
        <v>742</v>
      </c>
      <c r="E225">
        <v>50</v>
      </c>
      <c r="F225" s="1">
        <v>40</v>
      </c>
      <c r="G225" s="1">
        <v>0.2</v>
      </c>
      <c r="H225" s="2">
        <v>34655</v>
      </c>
    </row>
    <row r="226" spans="1:8" x14ac:dyDescent="0.4">
      <c r="A226" s="1" t="s">
        <v>394</v>
      </c>
      <c r="B226" s="1">
        <v>10332</v>
      </c>
      <c r="C226" s="1">
        <v>42</v>
      </c>
      <c r="D226" s="1" t="s">
        <v>684</v>
      </c>
      <c r="E226">
        <v>11.2</v>
      </c>
      <c r="F226" s="1">
        <v>10</v>
      </c>
      <c r="G226" s="1">
        <v>0.2</v>
      </c>
      <c r="H226" s="2">
        <v>34655</v>
      </c>
    </row>
    <row r="227" spans="1:8" x14ac:dyDescent="0.4">
      <c r="A227" s="1" t="s">
        <v>394</v>
      </c>
      <c r="B227" s="1">
        <v>10332</v>
      </c>
      <c r="C227" s="1">
        <v>47</v>
      </c>
      <c r="D227" s="1" t="s">
        <v>752</v>
      </c>
      <c r="E227">
        <v>7.6</v>
      </c>
      <c r="F227" s="1">
        <v>16</v>
      </c>
      <c r="G227" s="1">
        <v>0.2</v>
      </c>
      <c r="H227" s="2">
        <v>34655</v>
      </c>
    </row>
    <row r="228" spans="1:8" x14ac:dyDescent="0.4">
      <c r="A228" s="1" t="s">
        <v>640</v>
      </c>
      <c r="B228" s="1">
        <v>10333</v>
      </c>
      <c r="C228" s="1">
        <v>14</v>
      </c>
      <c r="D228" s="1" t="s">
        <v>686</v>
      </c>
      <c r="E228">
        <v>18.600000000000001</v>
      </c>
      <c r="F228" s="1">
        <v>10</v>
      </c>
      <c r="G228" s="1">
        <v>0</v>
      </c>
      <c r="H228" s="2">
        <v>34656</v>
      </c>
    </row>
    <row r="229" spans="1:8" x14ac:dyDescent="0.4">
      <c r="A229" s="1" t="s">
        <v>640</v>
      </c>
      <c r="B229" s="1">
        <v>10333</v>
      </c>
      <c r="C229" s="1">
        <v>21</v>
      </c>
      <c r="D229" s="1" t="s">
        <v>710</v>
      </c>
      <c r="E229">
        <v>8</v>
      </c>
      <c r="F229" s="1">
        <v>10</v>
      </c>
      <c r="G229" s="1">
        <v>0.1</v>
      </c>
      <c r="H229" s="2">
        <v>34656</v>
      </c>
    </row>
    <row r="230" spans="1:8" x14ac:dyDescent="0.4">
      <c r="A230" s="1" t="s">
        <v>640</v>
      </c>
      <c r="B230" s="1">
        <v>10333</v>
      </c>
      <c r="C230" s="1">
        <v>71</v>
      </c>
      <c r="D230" s="1" t="s">
        <v>725</v>
      </c>
      <c r="E230">
        <v>17.2</v>
      </c>
      <c r="F230" s="1">
        <v>40</v>
      </c>
      <c r="G230" s="1">
        <v>0.1</v>
      </c>
      <c r="H230" s="2">
        <v>34656</v>
      </c>
    </row>
    <row r="231" spans="1:8" x14ac:dyDescent="0.4">
      <c r="A231" s="1" t="s">
        <v>619</v>
      </c>
      <c r="B231" s="1">
        <v>10334</v>
      </c>
      <c r="C231" s="1">
        <v>52</v>
      </c>
      <c r="D231" s="1" t="s">
        <v>748</v>
      </c>
      <c r="E231">
        <v>5.6</v>
      </c>
      <c r="F231" s="1">
        <v>8</v>
      </c>
      <c r="G231" s="1">
        <v>0</v>
      </c>
      <c r="H231" s="2">
        <v>34659</v>
      </c>
    </row>
    <row r="232" spans="1:8" x14ac:dyDescent="0.4">
      <c r="A232" s="1" t="s">
        <v>619</v>
      </c>
      <c r="B232" s="1">
        <v>10334</v>
      </c>
      <c r="C232" s="1">
        <v>68</v>
      </c>
      <c r="D232" s="1" t="s">
        <v>739</v>
      </c>
      <c r="E232">
        <v>10</v>
      </c>
      <c r="F232" s="1">
        <v>10</v>
      </c>
      <c r="G232" s="1">
        <v>0</v>
      </c>
      <c r="H232" s="2">
        <v>34659</v>
      </c>
    </row>
    <row r="233" spans="1:8" x14ac:dyDescent="0.4">
      <c r="A233" s="1" t="s">
        <v>288</v>
      </c>
      <c r="B233" s="1">
        <v>10335</v>
      </c>
      <c r="C233" s="1">
        <v>2</v>
      </c>
      <c r="D233" s="1" t="s">
        <v>701</v>
      </c>
      <c r="E233">
        <v>15.2</v>
      </c>
      <c r="F233" s="1">
        <v>7</v>
      </c>
      <c r="G233" s="1">
        <v>0.2</v>
      </c>
      <c r="H233" s="2">
        <v>34660</v>
      </c>
    </row>
    <row r="234" spans="1:8" x14ac:dyDescent="0.4">
      <c r="A234" s="1" t="s">
        <v>288</v>
      </c>
      <c r="B234" s="1">
        <v>10335</v>
      </c>
      <c r="C234" s="1">
        <v>31</v>
      </c>
      <c r="D234" s="1" t="s">
        <v>695</v>
      </c>
      <c r="E234">
        <v>10</v>
      </c>
      <c r="F234" s="1">
        <v>25</v>
      </c>
      <c r="G234" s="1">
        <v>0.2</v>
      </c>
      <c r="H234" s="2">
        <v>34660</v>
      </c>
    </row>
    <row r="235" spans="1:8" x14ac:dyDescent="0.4">
      <c r="A235" s="1" t="s">
        <v>288</v>
      </c>
      <c r="B235" s="1">
        <v>10335</v>
      </c>
      <c r="C235" s="1">
        <v>32</v>
      </c>
      <c r="D235" s="1" t="s">
        <v>709</v>
      </c>
      <c r="E235">
        <v>25.6</v>
      </c>
      <c r="F235" s="1">
        <v>6</v>
      </c>
      <c r="G235" s="1">
        <v>0.2</v>
      </c>
      <c r="H235" s="2">
        <v>34660</v>
      </c>
    </row>
    <row r="236" spans="1:8" x14ac:dyDescent="0.4">
      <c r="A236" s="1" t="s">
        <v>288</v>
      </c>
      <c r="B236" s="1">
        <v>10335</v>
      </c>
      <c r="C236" s="1">
        <v>51</v>
      </c>
      <c r="D236" s="1" t="s">
        <v>687</v>
      </c>
      <c r="E236">
        <v>42.4</v>
      </c>
      <c r="F236" s="1">
        <v>48</v>
      </c>
      <c r="G236" s="1">
        <v>0.2</v>
      </c>
      <c r="H236" s="2">
        <v>34660</v>
      </c>
    </row>
    <row r="237" spans="1:8" x14ac:dyDescent="0.4">
      <c r="A237" s="1" t="s">
        <v>457</v>
      </c>
      <c r="B237" s="1">
        <v>10336</v>
      </c>
      <c r="C237" s="1">
        <v>4</v>
      </c>
      <c r="D237" s="1" t="s">
        <v>745</v>
      </c>
      <c r="E237">
        <v>17.600000000000001</v>
      </c>
      <c r="F237" s="1">
        <v>18</v>
      </c>
      <c r="G237" s="1">
        <v>0.1</v>
      </c>
      <c r="H237" s="2">
        <v>34661</v>
      </c>
    </row>
    <row r="238" spans="1:8" x14ac:dyDescent="0.4">
      <c r="A238" s="1" t="s">
        <v>198</v>
      </c>
      <c r="B238" s="1">
        <v>10337</v>
      </c>
      <c r="C238" s="1">
        <v>23</v>
      </c>
      <c r="D238" s="1" t="s">
        <v>753</v>
      </c>
      <c r="E238">
        <v>7.2</v>
      </c>
      <c r="F238" s="1">
        <v>40</v>
      </c>
      <c r="G238" s="1">
        <v>0</v>
      </c>
      <c r="H238" s="2">
        <v>34662</v>
      </c>
    </row>
    <row r="239" spans="1:8" x14ac:dyDescent="0.4">
      <c r="A239" s="1" t="s">
        <v>198</v>
      </c>
      <c r="B239" s="1">
        <v>10337</v>
      </c>
      <c r="C239" s="1">
        <v>26</v>
      </c>
      <c r="D239" s="1" t="s">
        <v>751</v>
      </c>
      <c r="E239">
        <v>24.9</v>
      </c>
      <c r="F239" s="1">
        <v>24</v>
      </c>
      <c r="G239" s="1">
        <v>0</v>
      </c>
      <c r="H239" s="2">
        <v>34662</v>
      </c>
    </row>
    <row r="240" spans="1:8" x14ac:dyDescent="0.4">
      <c r="A240" s="1" t="s">
        <v>198</v>
      </c>
      <c r="B240" s="1">
        <v>10337</v>
      </c>
      <c r="C240" s="1">
        <v>36</v>
      </c>
      <c r="D240" s="1" t="s">
        <v>703</v>
      </c>
      <c r="E240">
        <v>15.2</v>
      </c>
      <c r="F240" s="1">
        <v>20</v>
      </c>
      <c r="G240" s="1">
        <v>0</v>
      </c>
      <c r="H240" s="2">
        <v>34662</v>
      </c>
    </row>
    <row r="241" spans="1:8" x14ac:dyDescent="0.4">
      <c r="A241" s="1" t="s">
        <v>198</v>
      </c>
      <c r="B241" s="1">
        <v>10337</v>
      </c>
      <c r="C241" s="1">
        <v>37</v>
      </c>
      <c r="D241" s="1" t="s">
        <v>711</v>
      </c>
      <c r="E241">
        <v>20.8</v>
      </c>
      <c r="F241" s="1">
        <v>28</v>
      </c>
      <c r="G241" s="1">
        <v>0</v>
      </c>
      <c r="H241" s="2">
        <v>34662</v>
      </c>
    </row>
    <row r="242" spans="1:8" x14ac:dyDescent="0.4">
      <c r="A242" s="1" t="s">
        <v>198</v>
      </c>
      <c r="B242" s="1">
        <v>10337</v>
      </c>
      <c r="C242" s="1">
        <v>72</v>
      </c>
      <c r="D242" s="1" t="s">
        <v>685</v>
      </c>
      <c r="E242">
        <v>27.8</v>
      </c>
      <c r="F242" s="1">
        <v>25</v>
      </c>
      <c r="G242" s="1">
        <v>0</v>
      </c>
      <c r="H242" s="2">
        <v>34662</v>
      </c>
    </row>
    <row r="243" spans="1:8" x14ac:dyDescent="0.4">
      <c r="A243" s="1" t="s">
        <v>422</v>
      </c>
      <c r="B243" s="1">
        <v>10338</v>
      </c>
      <c r="C243" s="1">
        <v>17</v>
      </c>
      <c r="D243" s="1" t="s">
        <v>718</v>
      </c>
      <c r="E243">
        <v>31.2</v>
      </c>
      <c r="F243" s="1">
        <v>20</v>
      </c>
      <c r="G243" s="1">
        <v>0</v>
      </c>
      <c r="H243" s="2">
        <v>34663</v>
      </c>
    </row>
    <row r="244" spans="1:8" x14ac:dyDescent="0.4">
      <c r="A244" s="1" t="s">
        <v>422</v>
      </c>
      <c r="B244" s="1">
        <v>10338</v>
      </c>
      <c r="C244" s="1">
        <v>30</v>
      </c>
      <c r="D244" s="1" t="s">
        <v>717</v>
      </c>
      <c r="E244">
        <v>20.7</v>
      </c>
      <c r="F244" s="1">
        <v>15</v>
      </c>
      <c r="G244" s="1">
        <v>0</v>
      </c>
      <c r="H244" s="2">
        <v>34663</v>
      </c>
    </row>
    <row r="245" spans="1:8" x14ac:dyDescent="0.4">
      <c r="A245" s="1" t="s">
        <v>394</v>
      </c>
      <c r="B245" s="1">
        <v>10339</v>
      </c>
      <c r="C245" s="1">
        <v>4</v>
      </c>
      <c r="D245" s="1" t="s">
        <v>745</v>
      </c>
      <c r="E245">
        <v>17.600000000000001</v>
      </c>
      <c r="F245" s="1">
        <v>10</v>
      </c>
      <c r="G245" s="1">
        <v>0</v>
      </c>
      <c r="H245" s="2">
        <v>34666</v>
      </c>
    </row>
    <row r="246" spans="1:8" x14ac:dyDescent="0.4">
      <c r="A246" s="1" t="s">
        <v>394</v>
      </c>
      <c r="B246" s="1">
        <v>10339</v>
      </c>
      <c r="C246" s="1">
        <v>17</v>
      </c>
      <c r="D246" s="1" t="s">
        <v>718</v>
      </c>
      <c r="E246">
        <v>31.2</v>
      </c>
      <c r="F246" s="1">
        <v>70</v>
      </c>
      <c r="G246" s="1">
        <v>0.05</v>
      </c>
      <c r="H246" s="2">
        <v>34666</v>
      </c>
    </row>
    <row r="247" spans="1:8" x14ac:dyDescent="0.4">
      <c r="A247" s="1" t="s">
        <v>394</v>
      </c>
      <c r="B247" s="1">
        <v>10339</v>
      </c>
      <c r="C247" s="1">
        <v>62</v>
      </c>
      <c r="D247" s="1" t="s">
        <v>712</v>
      </c>
      <c r="E247">
        <v>39.4</v>
      </c>
      <c r="F247" s="1">
        <v>28</v>
      </c>
      <c r="G247" s="1">
        <v>0</v>
      </c>
      <c r="H247" s="2">
        <v>34666</v>
      </c>
    </row>
    <row r="248" spans="1:8" x14ac:dyDescent="0.4">
      <c r="A248" s="1" t="s">
        <v>77</v>
      </c>
      <c r="B248" s="1">
        <v>10340</v>
      </c>
      <c r="C248" s="1">
        <v>18</v>
      </c>
      <c r="D248" s="1" t="s">
        <v>742</v>
      </c>
      <c r="E248">
        <v>50</v>
      </c>
      <c r="F248" s="1">
        <v>20</v>
      </c>
      <c r="G248" s="1">
        <v>0.05</v>
      </c>
      <c r="H248" s="2">
        <v>34667</v>
      </c>
    </row>
    <row r="249" spans="1:8" x14ac:dyDescent="0.4">
      <c r="A249" s="1" t="s">
        <v>77</v>
      </c>
      <c r="B249" s="1">
        <v>10340</v>
      </c>
      <c r="C249" s="1">
        <v>41</v>
      </c>
      <c r="D249" s="1" t="s">
        <v>688</v>
      </c>
      <c r="E249">
        <v>7.7</v>
      </c>
      <c r="F249" s="1">
        <v>12</v>
      </c>
      <c r="G249" s="1">
        <v>0.05</v>
      </c>
      <c r="H249" s="2">
        <v>34667</v>
      </c>
    </row>
    <row r="250" spans="1:8" x14ac:dyDescent="0.4">
      <c r="A250" s="1" t="s">
        <v>77</v>
      </c>
      <c r="B250" s="1">
        <v>10340</v>
      </c>
      <c r="C250" s="1">
        <v>43</v>
      </c>
      <c r="D250" s="1" t="s">
        <v>723</v>
      </c>
      <c r="E250">
        <v>36.799999999999997</v>
      </c>
      <c r="F250" s="1">
        <v>40</v>
      </c>
      <c r="G250" s="1">
        <v>0.05</v>
      </c>
      <c r="H250" s="2">
        <v>34667</v>
      </c>
    </row>
    <row r="251" spans="1:8" x14ac:dyDescent="0.4">
      <c r="A251" s="1" t="s">
        <v>543</v>
      </c>
      <c r="B251" s="1">
        <v>10341</v>
      </c>
      <c r="C251" s="1">
        <v>33</v>
      </c>
      <c r="D251" s="1" t="s">
        <v>693</v>
      </c>
      <c r="E251">
        <v>2</v>
      </c>
      <c r="F251" s="1">
        <v>8</v>
      </c>
      <c r="G251" s="1">
        <v>0</v>
      </c>
      <c r="H251" s="2">
        <v>34667</v>
      </c>
    </row>
    <row r="252" spans="1:8" x14ac:dyDescent="0.4">
      <c r="A252" s="1" t="s">
        <v>543</v>
      </c>
      <c r="B252" s="1">
        <v>10341</v>
      </c>
      <c r="C252" s="1">
        <v>59</v>
      </c>
      <c r="D252" s="1" t="s">
        <v>704</v>
      </c>
      <c r="E252">
        <v>44</v>
      </c>
      <c r="F252" s="1">
        <v>9</v>
      </c>
      <c r="G252" s="1">
        <v>0.15</v>
      </c>
      <c r="H252" s="2">
        <v>34667</v>
      </c>
    </row>
    <row r="253" spans="1:8" x14ac:dyDescent="0.4">
      <c r="A253" s="1" t="s">
        <v>198</v>
      </c>
      <c r="B253" s="1">
        <v>10342</v>
      </c>
      <c r="C253" s="1">
        <v>2</v>
      </c>
      <c r="D253" s="1" t="s">
        <v>701</v>
      </c>
      <c r="E253">
        <v>15.2</v>
      </c>
      <c r="F253" s="1">
        <v>24</v>
      </c>
      <c r="G253" s="1">
        <v>0.2</v>
      </c>
      <c r="H253" s="2">
        <v>34668</v>
      </c>
    </row>
    <row r="254" spans="1:8" x14ac:dyDescent="0.4">
      <c r="A254" s="1" t="s">
        <v>198</v>
      </c>
      <c r="B254" s="1">
        <v>10342</v>
      </c>
      <c r="C254" s="1">
        <v>31</v>
      </c>
      <c r="D254" s="1" t="s">
        <v>695</v>
      </c>
      <c r="E254">
        <v>10</v>
      </c>
      <c r="F254" s="1">
        <v>56</v>
      </c>
      <c r="G254" s="1">
        <v>0.2</v>
      </c>
      <c r="H254" s="2">
        <v>34668</v>
      </c>
    </row>
    <row r="255" spans="1:8" x14ac:dyDescent="0.4">
      <c r="A255" s="1" t="s">
        <v>198</v>
      </c>
      <c r="B255" s="1">
        <v>10342</v>
      </c>
      <c r="C255" s="1">
        <v>36</v>
      </c>
      <c r="D255" s="1" t="s">
        <v>703</v>
      </c>
      <c r="E255">
        <v>15.2</v>
      </c>
      <c r="F255" s="1">
        <v>40</v>
      </c>
      <c r="G255" s="1">
        <v>0.2</v>
      </c>
      <c r="H255" s="2">
        <v>34668</v>
      </c>
    </row>
    <row r="256" spans="1:8" x14ac:dyDescent="0.4">
      <c r="A256" s="1" t="s">
        <v>198</v>
      </c>
      <c r="B256" s="1">
        <v>10342</v>
      </c>
      <c r="C256" s="1">
        <v>55</v>
      </c>
      <c r="D256" s="1" t="s">
        <v>699</v>
      </c>
      <c r="E256">
        <v>19.2</v>
      </c>
      <c r="F256" s="1">
        <v>40</v>
      </c>
      <c r="G256" s="1">
        <v>0.2</v>
      </c>
      <c r="H256" s="2">
        <v>34668</v>
      </c>
    </row>
    <row r="257" spans="1:8" x14ac:dyDescent="0.4">
      <c r="A257" s="1" t="s">
        <v>341</v>
      </c>
      <c r="B257" s="1">
        <v>10343</v>
      </c>
      <c r="C257" s="1">
        <v>64</v>
      </c>
      <c r="D257" s="1" t="s">
        <v>741</v>
      </c>
      <c r="E257">
        <v>26.6</v>
      </c>
      <c r="F257" s="1">
        <v>50</v>
      </c>
      <c r="G257" s="1">
        <v>0</v>
      </c>
      <c r="H257" s="2">
        <v>34669</v>
      </c>
    </row>
    <row r="258" spans="1:8" x14ac:dyDescent="0.4">
      <c r="A258" s="1" t="s">
        <v>341</v>
      </c>
      <c r="B258" s="1">
        <v>10343</v>
      </c>
      <c r="C258" s="1">
        <v>68</v>
      </c>
      <c r="D258" s="1" t="s">
        <v>739</v>
      </c>
      <c r="E258">
        <v>10</v>
      </c>
      <c r="F258" s="1">
        <v>4</v>
      </c>
      <c r="G258" s="1">
        <v>0.05</v>
      </c>
      <c r="H258" s="2">
        <v>34669</v>
      </c>
    </row>
    <row r="259" spans="1:8" x14ac:dyDescent="0.4">
      <c r="A259" s="1" t="s">
        <v>341</v>
      </c>
      <c r="B259" s="1">
        <v>10343</v>
      </c>
      <c r="C259" s="1">
        <v>76</v>
      </c>
      <c r="D259" s="1" t="s">
        <v>721</v>
      </c>
      <c r="E259">
        <v>14.4</v>
      </c>
      <c r="F259" s="1">
        <v>15</v>
      </c>
      <c r="G259" s="1">
        <v>0</v>
      </c>
      <c r="H259" s="2">
        <v>34669</v>
      </c>
    </row>
    <row r="260" spans="1:8" x14ac:dyDescent="0.4">
      <c r="A260" s="1" t="s">
        <v>654</v>
      </c>
      <c r="B260" s="1">
        <v>10344</v>
      </c>
      <c r="C260" s="1">
        <v>4</v>
      </c>
      <c r="D260" s="1" t="s">
        <v>745</v>
      </c>
      <c r="E260">
        <v>17.600000000000001</v>
      </c>
      <c r="F260" s="1">
        <v>35</v>
      </c>
      <c r="G260" s="1">
        <v>0</v>
      </c>
      <c r="H260" s="2">
        <v>34670</v>
      </c>
    </row>
    <row r="261" spans="1:8" x14ac:dyDescent="0.4">
      <c r="A261" s="1" t="s">
        <v>654</v>
      </c>
      <c r="B261" s="1">
        <v>10344</v>
      </c>
      <c r="C261" s="1">
        <v>8</v>
      </c>
      <c r="D261" s="1" t="s">
        <v>754</v>
      </c>
      <c r="E261">
        <v>32</v>
      </c>
      <c r="F261" s="1">
        <v>70</v>
      </c>
      <c r="G261" s="1">
        <v>0.25</v>
      </c>
      <c r="H261" s="2">
        <v>34670</v>
      </c>
    </row>
    <row r="262" spans="1:8" x14ac:dyDescent="0.4">
      <c r="A262" s="1" t="s">
        <v>475</v>
      </c>
      <c r="B262" s="1">
        <v>10345</v>
      </c>
      <c r="C262" s="1">
        <v>8</v>
      </c>
      <c r="D262" s="1" t="s">
        <v>754</v>
      </c>
      <c r="E262">
        <v>32</v>
      </c>
      <c r="F262" s="1">
        <v>70</v>
      </c>
      <c r="G262" s="1">
        <v>0</v>
      </c>
      <c r="H262" s="2">
        <v>34673</v>
      </c>
    </row>
    <row r="263" spans="1:8" x14ac:dyDescent="0.4">
      <c r="A263" s="1" t="s">
        <v>475</v>
      </c>
      <c r="B263" s="1">
        <v>10345</v>
      </c>
      <c r="C263" s="1">
        <v>19</v>
      </c>
      <c r="D263" s="1" t="s">
        <v>732</v>
      </c>
      <c r="E263">
        <v>7.3</v>
      </c>
      <c r="F263" s="1">
        <v>80</v>
      </c>
      <c r="G263" s="1">
        <v>0</v>
      </c>
      <c r="H263" s="2">
        <v>34673</v>
      </c>
    </row>
    <row r="264" spans="1:8" x14ac:dyDescent="0.4">
      <c r="A264" s="1" t="s">
        <v>475</v>
      </c>
      <c r="B264" s="1">
        <v>10345</v>
      </c>
      <c r="C264" s="1">
        <v>42</v>
      </c>
      <c r="D264" s="1" t="s">
        <v>684</v>
      </c>
      <c r="E264">
        <v>11.2</v>
      </c>
      <c r="F264" s="1">
        <v>9</v>
      </c>
      <c r="G264" s="1">
        <v>0</v>
      </c>
      <c r="H264" s="2">
        <v>34673</v>
      </c>
    </row>
    <row r="265" spans="1:8" x14ac:dyDescent="0.4">
      <c r="A265" s="1" t="s">
        <v>487</v>
      </c>
      <c r="B265" s="1">
        <v>10346</v>
      </c>
      <c r="C265" s="1">
        <v>17</v>
      </c>
      <c r="D265" s="1" t="s">
        <v>718</v>
      </c>
      <c r="E265">
        <v>31.2</v>
      </c>
      <c r="F265" s="1">
        <v>36</v>
      </c>
      <c r="G265" s="1">
        <v>0.1</v>
      </c>
      <c r="H265" s="2">
        <v>34674</v>
      </c>
    </row>
    <row r="266" spans="1:8" x14ac:dyDescent="0.4">
      <c r="A266" s="1" t="s">
        <v>487</v>
      </c>
      <c r="B266" s="1">
        <v>10346</v>
      </c>
      <c r="C266" s="1">
        <v>56</v>
      </c>
      <c r="D266" s="1" t="s">
        <v>716</v>
      </c>
      <c r="E266">
        <v>30.4</v>
      </c>
      <c r="F266" s="1">
        <v>20</v>
      </c>
      <c r="G266" s="1">
        <v>0</v>
      </c>
      <c r="H266" s="2">
        <v>34674</v>
      </c>
    </row>
    <row r="267" spans="1:8" x14ac:dyDescent="0.4">
      <c r="A267" s="1" t="s">
        <v>170</v>
      </c>
      <c r="B267" s="1">
        <v>10347</v>
      </c>
      <c r="C267" s="1">
        <v>25</v>
      </c>
      <c r="D267" s="1" t="s">
        <v>749</v>
      </c>
      <c r="E267">
        <v>11.2</v>
      </c>
      <c r="F267" s="1">
        <v>10</v>
      </c>
      <c r="G267" s="1">
        <v>0</v>
      </c>
      <c r="H267" s="2">
        <v>34675</v>
      </c>
    </row>
    <row r="268" spans="1:8" x14ac:dyDescent="0.4">
      <c r="A268" s="1" t="s">
        <v>170</v>
      </c>
      <c r="B268" s="1">
        <v>10347</v>
      </c>
      <c r="C268" s="1">
        <v>39</v>
      </c>
      <c r="D268" s="1" t="s">
        <v>696</v>
      </c>
      <c r="E268">
        <v>14.4</v>
      </c>
      <c r="F268" s="1">
        <v>50</v>
      </c>
      <c r="G268" s="1">
        <v>0.15</v>
      </c>
      <c r="H268" s="2">
        <v>34675</v>
      </c>
    </row>
    <row r="269" spans="1:8" x14ac:dyDescent="0.4">
      <c r="A269" s="1" t="s">
        <v>170</v>
      </c>
      <c r="B269" s="1">
        <v>10347</v>
      </c>
      <c r="C269" s="1">
        <v>40</v>
      </c>
      <c r="D269" s="1" t="s">
        <v>720</v>
      </c>
      <c r="E269">
        <v>14.7</v>
      </c>
      <c r="F269" s="1">
        <v>4</v>
      </c>
      <c r="G269" s="1">
        <v>0</v>
      </c>
      <c r="H269" s="2">
        <v>34675</v>
      </c>
    </row>
    <row r="270" spans="1:8" x14ac:dyDescent="0.4">
      <c r="A270" s="1" t="s">
        <v>170</v>
      </c>
      <c r="B270" s="1">
        <v>10347</v>
      </c>
      <c r="C270" s="1">
        <v>75</v>
      </c>
      <c r="D270" s="1" t="s">
        <v>731</v>
      </c>
      <c r="E270">
        <v>6.2</v>
      </c>
      <c r="F270" s="1">
        <v>6</v>
      </c>
      <c r="G270" s="1">
        <v>0.15</v>
      </c>
      <c r="H270" s="2">
        <v>34675</v>
      </c>
    </row>
    <row r="271" spans="1:8" x14ac:dyDescent="0.4">
      <c r="A271" s="1" t="s">
        <v>633</v>
      </c>
      <c r="B271" s="1">
        <v>10348</v>
      </c>
      <c r="C271" s="1">
        <v>1</v>
      </c>
      <c r="D271" s="1" t="s">
        <v>735</v>
      </c>
      <c r="E271">
        <v>14.4</v>
      </c>
      <c r="F271" s="1">
        <v>15</v>
      </c>
      <c r="G271" s="1">
        <v>0.15</v>
      </c>
      <c r="H271" s="2">
        <v>34676</v>
      </c>
    </row>
    <row r="272" spans="1:8" x14ac:dyDescent="0.4">
      <c r="A272" s="1" t="s">
        <v>633</v>
      </c>
      <c r="B272" s="1">
        <v>10348</v>
      </c>
      <c r="C272" s="1">
        <v>23</v>
      </c>
      <c r="D272" s="1" t="s">
        <v>753</v>
      </c>
      <c r="E272">
        <v>7.2</v>
      </c>
      <c r="F272" s="1">
        <v>25</v>
      </c>
      <c r="G272" s="1">
        <v>0</v>
      </c>
      <c r="H272" s="2">
        <v>34676</v>
      </c>
    </row>
    <row r="273" spans="1:8" x14ac:dyDescent="0.4">
      <c r="A273" s="1" t="s">
        <v>557</v>
      </c>
      <c r="B273" s="1">
        <v>10349</v>
      </c>
      <c r="C273" s="1">
        <v>54</v>
      </c>
      <c r="D273" s="1" t="s">
        <v>738</v>
      </c>
      <c r="E273">
        <v>5.9</v>
      </c>
      <c r="F273" s="1">
        <v>24</v>
      </c>
      <c r="G273" s="1">
        <v>0</v>
      </c>
      <c r="H273" s="2">
        <v>34677</v>
      </c>
    </row>
    <row r="274" spans="1:8" x14ac:dyDescent="0.4">
      <c r="A274" s="1" t="s">
        <v>318</v>
      </c>
      <c r="B274" s="1">
        <v>10350</v>
      </c>
      <c r="C274" s="1">
        <v>50</v>
      </c>
      <c r="D274" s="1" t="s">
        <v>755</v>
      </c>
      <c r="E274">
        <v>13</v>
      </c>
      <c r="F274" s="1">
        <v>15</v>
      </c>
      <c r="G274" s="1">
        <v>0.1</v>
      </c>
      <c r="H274" s="2">
        <v>34680</v>
      </c>
    </row>
    <row r="275" spans="1:8" x14ac:dyDescent="0.4">
      <c r="A275" s="1" t="s">
        <v>318</v>
      </c>
      <c r="B275" s="1">
        <v>10350</v>
      </c>
      <c r="C275" s="1">
        <v>69</v>
      </c>
      <c r="D275" s="1" t="s">
        <v>743</v>
      </c>
      <c r="E275">
        <v>28.8</v>
      </c>
      <c r="F275" s="1">
        <v>18</v>
      </c>
      <c r="G275" s="1">
        <v>0.1</v>
      </c>
      <c r="H275" s="2">
        <v>34680</v>
      </c>
    </row>
    <row r="276" spans="1:8" x14ac:dyDescent="0.4">
      <c r="A276" s="1" t="s">
        <v>161</v>
      </c>
      <c r="B276" s="1">
        <v>10351</v>
      </c>
      <c r="C276" s="1">
        <v>38</v>
      </c>
      <c r="D276" s="1" t="s">
        <v>750</v>
      </c>
      <c r="E276">
        <v>210.8</v>
      </c>
      <c r="F276" s="1">
        <v>20</v>
      </c>
      <c r="G276" s="1">
        <v>0.05</v>
      </c>
      <c r="H276" s="2">
        <v>34680</v>
      </c>
    </row>
    <row r="277" spans="1:8" x14ac:dyDescent="0.4">
      <c r="A277" s="1" t="s">
        <v>161</v>
      </c>
      <c r="B277" s="1">
        <v>10351</v>
      </c>
      <c r="C277" s="1">
        <v>41</v>
      </c>
      <c r="D277" s="1" t="s">
        <v>688</v>
      </c>
      <c r="E277">
        <v>7.7</v>
      </c>
      <c r="F277" s="1">
        <v>13</v>
      </c>
      <c r="G277" s="1">
        <v>0</v>
      </c>
      <c r="H277" s="2">
        <v>34680</v>
      </c>
    </row>
    <row r="278" spans="1:8" x14ac:dyDescent="0.4">
      <c r="A278" s="1" t="s">
        <v>161</v>
      </c>
      <c r="B278" s="1">
        <v>10351</v>
      </c>
      <c r="C278" s="1">
        <v>44</v>
      </c>
      <c r="D278" s="1" t="s">
        <v>728</v>
      </c>
      <c r="E278">
        <v>15.5</v>
      </c>
      <c r="F278" s="1">
        <v>77</v>
      </c>
      <c r="G278" s="1">
        <v>0.05</v>
      </c>
      <c r="H278" s="2">
        <v>34680</v>
      </c>
    </row>
    <row r="279" spans="1:8" x14ac:dyDescent="0.4">
      <c r="A279" s="1" t="s">
        <v>161</v>
      </c>
      <c r="B279" s="1">
        <v>10351</v>
      </c>
      <c r="C279" s="1">
        <v>65</v>
      </c>
      <c r="D279" s="1" t="s">
        <v>689</v>
      </c>
      <c r="E279">
        <v>16.8</v>
      </c>
      <c r="F279" s="1">
        <v>10</v>
      </c>
      <c r="G279" s="1">
        <v>0.05</v>
      </c>
      <c r="H279" s="2">
        <v>34680</v>
      </c>
    </row>
    <row r="280" spans="1:8" x14ac:dyDescent="0.4">
      <c r="A280" s="1" t="s">
        <v>219</v>
      </c>
      <c r="B280" s="1">
        <v>10352</v>
      </c>
      <c r="C280" s="1">
        <v>24</v>
      </c>
      <c r="D280" s="1" t="s">
        <v>698</v>
      </c>
      <c r="E280">
        <v>3.6</v>
      </c>
      <c r="F280" s="1">
        <v>10</v>
      </c>
      <c r="G280" s="1">
        <v>0</v>
      </c>
      <c r="H280" s="2">
        <v>34681</v>
      </c>
    </row>
    <row r="281" spans="1:8" x14ac:dyDescent="0.4">
      <c r="A281" s="1" t="s">
        <v>219</v>
      </c>
      <c r="B281" s="1">
        <v>10352</v>
      </c>
      <c r="C281" s="1">
        <v>54</v>
      </c>
      <c r="D281" s="1" t="s">
        <v>738</v>
      </c>
      <c r="E281">
        <v>5.9</v>
      </c>
      <c r="F281" s="1">
        <v>20</v>
      </c>
      <c r="G281" s="1">
        <v>0.15</v>
      </c>
      <c r="H281" s="2">
        <v>34681</v>
      </c>
    </row>
    <row r="282" spans="1:8" x14ac:dyDescent="0.4">
      <c r="A282" s="1" t="s">
        <v>450</v>
      </c>
      <c r="B282" s="1">
        <v>10353</v>
      </c>
      <c r="C282" s="1">
        <v>11</v>
      </c>
      <c r="D282" s="1" t="s">
        <v>683</v>
      </c>
      <c r="E282">
        <v>16.8</v>
      </c>
      <c r="F282" s="1">
        <v>12</v>
      </c>
      <c r="G282" s="1">
        <v>0.2</v>
      </c>
      <c r="H282" s="2">
        <v>34682</v>
      </c>
    </row>
    <row r="283" spans="1:8" x14ac:dyDescent="0.4">
      <c r="A283" s="1" t="s">
        <v>450</v>
      </c>
      <c r="B283" s="1">
        <v>10353</v>
      </c>
      <c r="C283" s="1">
        <v>38</v>
      </c>
      <c r="D283" s="1" t="s">
        <v>750</v>
      </c>
      <c r="E283">
        <v>210.8</v>
      </c>
      <c r="F283" s="1">
        <v>50</v>
      </c>
      <c r="G283" s="1">
        <v>0.2</v>
      </c>
      <c r="H283" s="2">
        <v>34682</v>
      </c>
    </row>
    <row r="284" spans="1:8" x14ac:dyDescent="0.4">
      <c r="A284" s="1" t="s">
        <v>444</v>
      </c>
      <c r="B284" s="1">
        <v>10354</v>
      </c>
      <c r="C284" s="1">
        <v>1</v>
      </c>
      <c r="D284" s="1" t="s">
        <v>735</v>
      </c>
      <c r="E284">
        <v>14.4</v>
      </c>
      <c r="F284" s="1">
        <v>12</v>
      </c>
      <c r="G284" s="1">
        <v>0</v>
      </c>
      <c r="H284" s="2">
        <v>34683</v>
      </c>
    </row>
    <row r="285" spans="1:8" x14ac:dyDescent="0.4">
      <c r="A285" s="1" t="s">
        <v>444</v>
      </c>
      <c r="B285" s="1">
        <v>10354</v>
      </c>
      <c r="C285" s="1">
        <v>29</v>
      </c>
      <c r="D285" s="1" t="s">
        <v>722</v>
      </c>
      <c r="E285">
        <v>99</v>
      </c>
      <c r="F285" s="1">
        <v>4</v>
      </c>
      <c r="G285" s="1">
        <v>0</v>
      </c>
      <c r="H285" s="2">
        <v>34683</v>
      </c>
    </row>
    <row r="286" spans="1:8" x14ac:dyDescent="0.4">
      <c r="A286" s="1" t="s">
        <v>34</v>
      </c>
      <c r="B286" s="1">
        <v>10355</v>
      </c>
      <c r="C286" s="1">
        <v>24</v>
      </c>
      <c r="D286" s="1" t="s">
        <v>698</v>
      </c>
      <c r="E286">
        <v>3.6</v>
      </c>
      <c r="F286" s="1">
        <v>25</v>
      </c>
      <c r="G286" s="1">
        <v>0</v>
      </c>
      <c r="H286" s="2">
        <v>34684</v>
      </c>
    </row>
    <row r="287" spans="1:8" x14ac:dyDescent="0.4">
      <c r="A287" s="1" t="s">
        <v>34</v>
      </c>
      <c r="B287" s="1">
        <v>10355</v>
      </c>
      <c r="C287" s="1">
        <v>57</v>
      </c>
      <c r="D287" s="1" t="s">
        <v>691</v>
      </c>
      <c r="E287">
        <v>15.6</v>
      </c>
      <c r="F287" s="1">
        <v>25</v>
      </c>
      <c r="G287" s="1">
        <v>0</v>
      </c>
      <c r="H287" s="2">
        <v>34684</v>
      </c>
    </row>
    <row r="288" spans="1:8" x14ac:dyDescent="0.4">
      <c r="A288" s="1" t="s">
        <v>633</v>
      </c>
      <c r="B288" s="1">
        <v>10356</v>
      </c>
      <c r="C288" s="1">
        <v>31</v>
      </c>
      <c r="D288" s="1" t="s">
        <v>695</v>
      </c>
      <c r="E288">
        <v>10</v>
      </c>
      <c r="F288" s="1">
        <v>30</v>
      </c>
      <c r="G288" s="1">
        <v>0</v>
      </c>
      <c r="H288" s="2">
        <v>34687</v>
      </c>
    </row>
    <row r="289" spans="1:8" x14ac:dyDescent="0.4">
      <c r="A289" s="1" t="s">
        <v>633</v>
      </c>
      <c r="B289" s="1">
        <v>10356</v>
      </c>
      <c r="C289" s="1">
        <v>55</v>
      </c>
      <c r="D289" s="1" t="s">
        <v>699</v>
      </c>
      <c r="E289">
        <v>19.2</v>
      </c>
      <c r="F289" s="1">
        <v>12</v>
      </c>
      <c r="G289" s="1">
        <v>0</v>
      </c>
      <c r="H289" s="2">
        <v>34687</v>
      </c>
    </row>
    <row r="290" spans="1:8" x14ac:dyDescent="0.4">
      <c r="A290" s="1" t="s">
        <v>633</v>
      </c>
      <c r="B290" s="1">
        <v>10356</v>
      </c>
      <c r="C290" s="1">
        <v>69</v>
      </c>
      <c r="D290" s="1" t="s">
        <v>743</v>
      </c>
      <c r="E290">
        <v>28.8</v>
      </c>
      <c r="F290" s="1">
        <v>20</v>
      </c>
      <c r="G290" s="1">
        <v>0</v>
      </c>
      <c r="H290" s="2">
        <v>34687</v>
      </c>
    </row>
    <row r="291" spans="1:8" x14ac:dyDescent="0.4">
      <c r="A291" s="1" t="s">
        <v>355</v>
      </c>
      <c r="B291" s="1">
        <v>10357</v>
      </c>
      <c r="C291" s="1">
        <v>10</v>
      </c>
      <c r="D291" s="1" t="s">
        <v>724</v>
      </c>
      <c r="E291">
        <v>24.8</v>
      </c>
      <c r="F291" s="1">
        <v>30</v>
      </c>
      <c r="G291" s="1">
        <v>0.2</v>
      </c>
      <c r="H291" s="2">
        <v>34688</v>
      </c>
    </row>
    <row r="292" spans="1:8" x14ac:dyDescent="0.4">
      <c r="A292" s="1" t="s">
        <v>355</v>
      </c>
      <c r="B292" s="1">
        <v>10357</v>
      </c>
      <c r="C292" s="1">
        <v>26</v>
      </c>
      <c r="D292" s="1" t="s">
        <v>751</v>
      </c>
      <c r="E292">
        <v>24.9</v>
      </c>
      <c r="F292" s="1">
        <v>16</v>
      </c>
      <c r="G292" s="1">
        <v>0</v>
      </c>
      <c r="H292" s="2">
        <v>34688</v>
      </c>
    </row>
    <row r="293" spans="1:8" x14ac:dyDescent="0.4">
      <c r="A293" s="1" t="s">
        <v>355</v>
      </c>
      <c r="B293" s="1">
        <v>10357</v>
      </c>
      <c r="C293" s="1">
        <v>60</v>
      </c>
      <c r="D293" s="1" t="s">
        <v>694</v>
      </c>
      <c r="E293">
        <v>27.2</v>
      </c>
      <c r="F293" s="1">
        <v>8</v>
      </c>
      <c r="G293" s="1">
        <v>0.2</v>
      </c>
      <c r="H293" s="2">
        <v>34688</v>
      </c>
    </row>
    <row r="294" spans="1:8" x14ac:dyDescent="0.4">
      <c r="A294" s="1" t="s">
        <v>318</v>
      </c>
      <c r="B294" s="1">
        <v>10358</v>
      </c>
      <c r="C294" s="1">
        <v>24</v>
      </c>
      <c r="D294" s="1" t="s">
        <v>698</v>
      </c>
      <c r="E294">
        <v>3.6</v>
      </c>
      <c r="F294" s="1">
        <v>10</v>
      </c>
      <c r="G294" s="1">
        <v>0.05</v>
      </c>
      <c r="H294" s="2">
        <v>34689</v>
      </c>
    </row>
    <row r="295" spans="1:8" x14ac:dyDescent="0.4">
      <c r="A295" s="1" t="s">
        <v>318</v>
      </c>
      <c r="B295" s="1">
        <v>10358</v>
      </c>
      <c r="C295" s="1">
        <v>34</v>
      </c>
      <c r="D295" s="1" t="s">
        <v>736</v>
      </c>
      <c r="E295">
        <v>11.2</v>
      </c>
      <c r="F295" s="1">
        <v>10</v>
      </c>
      <c r="G295" s="1">
        <v>0.05</v>
      </c>
      <c r="H295" s="2">
        <v>34689</v>
      </c>
    </row>
    <row r="296" spans="1:8" x14ac:dyDescent="0.4">
      <c r="A296" s="1" t="s">
        <v>318</v>
      </c>
      <c r="B296" s="1">
        <v>10358</v>
      </c>
      <c r="C296" s="1">
        <v>36</v>
      </c>
      <c r="D296" s="1" t="s">
        <v>703</v>
      </c>
      <c r="E296">
        <v>15.2</v>
      </c>
      <c r="F296" s="1">
        <v>20</v>
      </c>
      <c r="G296" s="1">
        <v>0.05</v>
      </c>
      <c r="H296" s="2">
        <v>34689</v>
      </c>
    </row>
    <row r="297" spans="1:8" x14ac:dyDescent="0.4">
      <c r="A297" s="1" t="s">
        <v>536</v>
      </c>
      <c r="B297" s="1">
        <v>10359</v>
      </c>
      <c r="C297" s="1">
        <v>16</v>
      </c>
      <c r="D297" s="1" t="s">
        <v>702</v>
      </c>
      <c r="E297">
        <v>13.9</v>
      </c>
      <c r="F297" s="1">
        <v>56</v>
      </c>
      <c r="G297" s="1">
        <v>0.05</v>
      </c>
      <c r="H297" s="2">
        <v>34690</v>
      </c>
    </row>
    <row r="298" spans="1:8" x14ac:dyDescent="0.4">
      <c r="A298" s="1" t="s">
        <v>536</v>
      </c>
      <c r="B298" s="1">
        <v>10359</v>
      </c>
      <c r="C298" s="1">
        <v>31</v>
      </c>
      <c r="D298" s="1" t="s">
        <v>695</v>
      </c>
      <c r="E298">
        <v>10</v>
      </c>
      <c r="F298" s="1">
        <v>70</v>
      </c>
      <c r="G298" s="1">
        <v>0.05</v>
      </c>
      <c r="H298" s="2">
        <v>34690</v>
      </c>
    </row>
    <row r="299" spans="1:8" x14ac:dyDescent="0.4">
      <c r="A299" s="1" t="s">
        <v>536</v>
      </c>
      <c r="B299" s="1">
        <v>10359</v>
      </c>
      <c r="C299" s="1">
        <v>60</v>
      </c>
      <c r="D299" s="1" t="s">
        <v>694</v>
      </c>
      <c r="E299">
        <v>27.2</v>
      </c>
      <c r="F299" s="1">
        <v>80</v>
      </c>
      <c r="G299" s="1">
        <v>0.05</v>
      </c>
      <c r="H299" s="2">
        <v>34690</v>
      </c>
    </row>
    <row r="300" spans="1:8" x14ac:dyDescent="0.4">
      <c r="A300" s="1" t="s">
        <v>60</v>
      </c>
      <c r="B300" s="1">
        <v>10360</v>
      </c>
      <c r="C300" s="1">
        <v>28</v>
      </c>
      <c r="D300" s="1" t="s">
        <v>727</v>
      </c>
      <c r="E300">
        <v>36.4</v>
      </c>
      <c r="F300" s="1">
        <v>30</v>
      </c>
      <c r="G300" s="1">
        <v>0</v>
      </c>
      <c r="H300" s="2">
        <v>34691</v>
      </c>
    </row>
    <row r="301" spans="1:8" x14ac:dyDescent="0.4">
      <c r="A301" s="1" t="s">
        <v>60</v>
      </c>
      <c r="B301" s="1">
        <v>10360</v>
      </c>
      <c r="C301" s="1">
        <v>29</v>
      </c>
      <c r="D301" s="1" t="s">
        <v>722</v>
      </c>
      <c r="E301">
        <v>99</v>
      </c>
      <c r="F301" s="1">
        <v>35</v>
      </c>
      <c r="G301" s="1">
        <v>0</v>
      </c>
      <c r="H301" s="2">
        <v>34691</v>
      </c>
    </row>
    <row r="302" spans="1:8" x14ac:dyDescent="0.4">
      <c r="A302" s="1" t="s">
        <v>60</v>
      </c>
      <c r="B302" s="1">
        <v>10360</v>
      </c>
      <c r="C302" s="1">
        <v>38</v>
      </c>
      <c r="D302" s="1" t="s">
        <v>750</v>
      </c>
      <c r="E302">
        <v>210.8</v>
      </c>
      <c r="F302" s="1">
        <v>10</v>
      </c>
      <c r="G302" s="1">
        <v>0</v>
      </c>
      <c r="H302" s="2">
        <v>34691</v>
      </c>
    </row>
    <row r="303" spans="1:8" x14ac:dyDescent="0.4">
      <c r="A303" s="1" t="s">
        <v>60</v>
      </c>
      <c r="B303" s="1">
        <v>10360</v>
      </c>
      <c r="C303" s="1">
        <v>49</v>
      </c>
      <c r="D303" s="1" t="s">
        <v>697</v>
      </c>
      <c r="E303">
        <v>16</v>
      </c>
      <c r="F303" s="1">
        <v>35</v>
      </c>
      <c r="G303" s="1">
        <v>0</v>
      </c>
      <c r="H303" s="2">
        <v>34691</v>
      </c>
    </row>
    <row r="304" spans="1:8" x14ac:dyDescent="0.4">
      <c r="A304" s="1" t="s">
        <v>60</v>
      </c>
      <c r="B304" s="1">
        <v>10360</v>
      </c>
      <c r="C304" s="1">
        <v>54</v>
      </c>
      <c r="D304" s="1" t="s">
        <v>738</v>
      </c>
      <c r="E304">
        <v>5.9</v>
      </c>
      <c r="F304" s="1">
        <v>28</v>
      </c>
      <c r="G304" s="1">
        <v>0</v>
      </c>
      <c r="H304" s="2">
        <v>34691</v>
      </c>
    </row>
    <row r="305" spans="1:8" x14ac:dyDescent="0.4">
      <c r="A305" s="1" t="s">
        <v>475</v>
      </c>
      <c r="B305" s="1">
        <v>10361</v>
      </c>
      <c r="C305" s="1">
        <v>39</v>
      </c>
      <c r="D305" s="1" t="s">
        <v>696</v>
      </c>
      <c r="E305">
        <v>14.4</v>
      </c>
      <c r="F305" s="1">
        <v>54</v>
      </c>
      <c r="G305" s="1">
        <v>0.1</v>
      </c>
      <c r="H305" s="2">
        <v>34691</v>
      </c>
    </row>
    <row r="306" spans="1:8" x14ac:dyDescent="0.4">
      <c r="A306" s="1" t="s">
        <v>475</v>
      </c>
      <c r="B306" s="1">
        <v>10361</v>
      </c>
      <c r="C306" s="1">
        <v>60</v>
      </c>
      <c r="D306" s="1" t="s">
        <v>694</v>
      </c>
      <c r="E306">
        <v>27.2</v>
      </c>
      <c r="F306" s="1">
        <v>55</v>
      </c>
      <c r="G306" s="1">
        <v>0.1</v>
      </c>
      <c r="H306" s="2">
        <v>34691</v>
      </c>
    </row>
    <row r="307" spans="1:8" x14ac:dyDescent="0.4">
      <c r="A307" s="1" t="s">
        <v>77</v>
      </c>
      <c r="B307" s="1">
        <v>10362</v>
      </c>
      <c r="C307" s="1">
        <v>25</v>
      </c>
      <c r="D307" s="1" t="s">
        <v>749</v>
      </c>
      <c r="E307">
        <v>11.2</v>
      </c>
      <c r="F307" s="1">
        <v>50</v>
      </c>
      <c r="G307" s="1">
        <v>0</v>
      </c>
      <c r="H307" s="2">
        <v>34694</v>
      </c>
    </row>
    <row r="308" spans="1:8" x14ac:dyDescent="0.4">
      <c r="A308" s="1" t="s">
        <v>77</v>
      </c>
      <c r="B308" s="1">
        <v>10362</v>
      </c>
      <c r="C308" s="1">
        <v>51</v>
      </c>
      <c r="D308" s="1" t="s">
        <v>687</v>
      </c>
      <c r="E308">
        <v>42.4</v>
      </c>
      <c r="F308" s="1">
        <v>20</v>
      </c>
      <c r="G308" s="1">
        <v>0</v>
      </c>
      <c r="H308" s="2">
        <v>34694</v>
      </c>
    </row>
    <row r="309" spans="1:8" x14ac:dyDescent="0.4">
      <c r="A309" s="1" t="s">
        <v>77</v>
      </c>
      <c r="B309" s="1">
        <v>10362</v>
      </c>
      <c r="C309" s="1">
        <v>54</v>
      </c>
      <c r="D309" s="1" t="s">
        <v>738</v>
      </c>
      <c r="E309">
        <v>5.9</v>
      </c>
      <c r="F309" s="1">
        <v>24</v>
      </c>
      <c r="G309" s="1">
        <v>0</v>
      </c>
      <c r="H309" s="2">
        <v>34694</v>
      </c>
    </row>
    <row r="310" spans="1:8" x14ac:dyDescent="0.4">
      <c r="A310" s="1" t="s">
        <v>140</v>
      </c>
      <c r="B310" s="1">
        <v>10363</v>
      </c>
      <c r="C310" s="1">
        <v>31</v>
      </c>
      <c r="D310" s="1" t="s">
        <v>695</v>
      </c>
      <c r="E310">
        <v>10</v>
      </c>
      <c r="F310" s="1">
        <v>20</v>
      </c>
      <c r="G310" s="1">
        <v>0</v>
      </c>
      <c r="H310" s="2">
        <v>34695</v>
      </c>
    </row>
    <row r="311" spans="1:8" x14ac:dyDescent="0.4">
      <c r="A311" s="1" t="s">
        <v>140</v>
      </c>
      <c r="B311" s="1">
        <v>10363</v>
      </c>
      <c r="C311" s="1">
        <v>75</v>
      </c>
      <c r="D311" s="1" t="s">
        <v>731</v>
      </c>
      <c r="E311">
        <v>6.2</v>
      </c>
      <c r="F311" s="1">
        <v>12</v>
      </c>
      <c r="G311" s="1">
        <v>0</v>
      </c>
      <c r="H311" s="2">
        <v>34695</v>
      </c>
    </row>
    <row r="312" spans="1:8" x14ac:dyDescent="0.4">
      <c r="A312" s="1" t="s">
        <v>140</v>
      </c>
      <c r="B312" s="1">
        <v>10363</v>
      </c>
      <c r="C312" s="1">
        <v>76</v>
      </c>
      <c r="D312" s="1" t="s">
        <v>721</v>
      </c>
      <c r="E312">
        <v>14.4</v>
      </c>
      <c r="F312" s="1">
        <v>12</v>
      </c>
      <c r="G312" s="1">
        <v>0</v>
      </c>
      <c r="H312" s="2">
        <v>34695</v>
      </c>
    </row>
    <row r="313" spans="1:8" x14ac:dyDescent="0.4">
      <c r="A313" s="1" t="s">
        <v>154</v>
      </c>
      <c r="B313" s="1">
        <v>10364</v>
      </c>
      <c r="C313" s="1">
        <v>69</v>
      </c>
      <c r="D313" s="1" t="s">
        <v>743</v>
      </c>
      <c r="E313">
        <v>28.8</v>
      </c>
      <c r="F313" s="1">
        <v>30</v>
      </c>
      <c r="G313" s="1">
        <v>0</v>
      </c>
      <c r="H313" s="2">
        <v>34695</v>
      </c>
    </row>
    <row r="314" spans="1:8" x14ac:dyDescent="0.4">
      <c r="A314" s="1" t="s">
        <v>154</v>
      </c>
      <c r="B314" s="1">
        <v>10364</v>
      </c>
      <c r="C314" s="1">
        <v>71</v>
      </c>
      <c r="D314" s="1" t="s">
        <v>725</v>
      </c>
      <c r="E314">
        <v>17.2</v>
      </c>
      <c r="F314" s="1">
        <v>5</v>
      </c>
      <c r="G314" s="1">
        <v>0</v>
      </c>
      <c r="H314" s="2">
        <v>34695</v>
      </c>
    </row>
    <row r="315" spans="1:8" x14ac:dyDescent="0.4">
      <c r="A315" s="1" t="s">
        <v>29</v>
      </c>
      <c r="B315" s="1">
        <v>10365</v>
      </c>
      <c r="C315" s="1">
        <v>11</v>
      </c>
      <c r="D315" s="1" t="s">
        <v>683</v>
      </c>
      <c r="E315">
        <v>16.8</v>
      </c>
      <c r="F315" s="1">
        <v>24</v>
      </c>
      <c r="G315" s="1">
        <v>0</v>
      </c>
      <c r="H315" s="2">
        <v>34696</v>
      </c>
    </row>
    <row r="316" spans="1:8" x14ac:dyDescent="0.4">
      <c r="A316" s="1" t="s">
        <v>227</v>
      </c>
      <c r="B316" s="1">
        <v>10366</v>
      </c>
      <c r="C316" s="1">
        <v>65</v>
      </c>
      <c r="D316" s="1" t="s">
        <v>689</v>
      </c>
      <c r="E316">
        <v>16.8</v>
      </c>
      <c r="F316" s="1">
        <v>5</v>
      </c>
      <c r="G316" s="1">
        <v>0</v>
      </c>
      <c r="H316" s="2">
        <v>34697</v>
      </c>
    </row>
    <row r="317" spans="1:8" x14ac:dyDescent="0.4">
      <c r="A317" s="1" t="s">
        <v>227</v>
      </c>
      <c r="B317" s="1">
        <v>10366</v>
      </c>
      <c r="C317" s="1">
        <v>77</v>
      </c>
      <c r="D317" s="1" t="s">
        <v>706</v>
      </c>
      <c r="E317">
        <v>10.4</v>
      </c>
      <c r="F317" s="1">
        <v>5</v>
      </c>
      <c r="G317" s="1">
        <v>0</v>
      </c>
      <c r="H317" s="2">
        <v>34697</v>
      </c>
    </row>
    <row r="318" spans="1:8" x14ac:dyDescent="0.4">
      <c r="A318" s="1" t="s">
        <v>612</v>
      </c>
      <c r="B318" s="1">
        <v>10367</v>
      </c>
      <c r="C318" s="1">
        <v>34</v>
      </c>
      <c r="D318" s="1" t="s">
        <v>736</v>
      </c>
      <c r="E318">
        <v>11.2</v>
      </c>
      <c r="F318" s="1">
        <v>36</v>
      </c>
      <c r="G318" s="1">
        <v>0</v>
      </c>
      <c r="H318" s="2">
        <v>34697</v>
      </c>
    </row>
    <row r="319" spans="1:8" x14ac:dyDescent="0.4">
      <c r="A319" s="1" t="s">
        <v>612</v>
      </c>
      <c r="B319" s="1">
        <v>10367</v>
      </c>
      <c r="C319" s="1">
        <v>54</v>
      </c>
      <c r="D319" s="1" t="s">
        <v>738</v>
      </c>
      <c r="E319">
        <v>5.9</v>
      </c>
      <c r="F319" s="1">
        <v>18</v>
      </c>
      <c r="G319" s="1">
        <v>0</v>
      </c>
      <c r="H319" s="2">
        <v>34697</v>
      </c>
    </row>
    <row r="320" spans="1:8" x14ac:dyDescent="0.4">
      <c r="A320" s="1" t="s">
        <v>612</v>
      </c>
      <c r="B320" s="1">
        <v>10367</v>
      </c>
      <c r="C320" s="1">
        <v>65</v>
      </c>
      <c r="D320" s="1" t="s">
        <v>689</v>
      </c>
      <c r="E320">
        <v>16.8</v>
      </c>
      <c r="F320" s="1">
        <v>15</v>
      </c>
      <c r="G320" s="1">
        <v>0</v>
      </c>
      <c r="H320" s="2">
        <v>34697</v>
      </c>
    </row>
    <row r="321" spans="1:8" x14ac:dyDescent="0.4">
      <c r="A321" s="1" t="s">
        <v>612</v>
      </c>
      <c r="B321" s="1">
        <v>10367</v>
      </c>
      <c r="C321" s="1">
        <v>77</v>
      </c>
      <c r="D321" s="1" t="s">
        <v>706</v>
      </c>
      <c r="E321">
        <v>10.4</v>
      </c>
      <c r="F321" s="1">
        <v>7</v>
      </c>
      <c r="G321" s="1">
        <v>0</v>
      </c>
      <c r="H321" s="2">
        <v>34697</v>
      </c>
    </row>
    <row r="322" spans="1:8" x14ac:dyDescent="0.4">
      <c r="A322" s="1" t="s">
        <v>161</v>
      </c>
      <c r="B322" s="1">
        <v>10368</v>
      </c>
      <c r="C322" s="1">
        <v>21</v>
      </c>
      <c r="D322" s="1" t="s">
        <v>710</v>
      </c>
      <c r="E322">
        <v>8</v>
      </c>
      <c r="F322" s="1">
        <v>5</v>
      </c>
      <c r="G322" s="1">
        <v>0.1</v>
      </c>
      <c r="H322" s="2">
        <v>34698</v>
      </c>
    </row>
    <row r="323" spans="1:8" x14ac:dyDescent="0.4">
      <c r="A323" s="1" t="s">
        <v>161</v>
      </c>
      <c r="B323" s="1">
        <v>10368</v>
      </c>
      <c r="C323" s="1">
        <v>28</v>
      </c>
      <c r="D323" s="1" t="s">
        <v>727</v>
      </c>
      <c r="E323">
        <v>36.4</v>
      </c>
      <c r="F323" s="1">
        <v>13</v>
      </c>
      <c r="G323" s="1">
        <v>0.1</v>
      </c>
      <c r="H323" s="2">
        <v>34698</v>
      </c>
    </row>
    <row r="324" spans="1:8" x14ac:dyDescent="0.4">
      <c r="A324" s="1" t="s">
        <v>161</v>
      </c>
      <c r="B324" s="1">
        <v>10368</v>
      </c>
      <c r="C324" s="1">
        <v>57</v>
      </c>
      <c r="D324" s="1" t="s">
        <v>691</v>
      </c>
      <c r="E324">
        <v>15.6</v>
      </c>
      <c r="F324" s="1">
        <v>25</v>
      </c>
      <c r="G324" s="1">
        <v>0</v>
      </c>
      <c r="H324" s="2">
        <v>34698</v>
      </c>
    </row>
    <row r="325" spans="1:8" x14ac:dyDescent="0.4">
      <c r="A325" s="1" t="s">
        <v>161</v>
      </c>
      <c r="B325" s="1">
        <v>10368</v>
      </c>
      <c r="C325" s="1">
        <v>64</v>
      </c>
      <c r="D325" s="1" t="s">
        <v>741</v>
      </c>
      <c r="E325">
        <v>26.6</v>
      </c>
      <c r="F325" s="1">
        <v>35</v>
      </c>
      <c r="G325" s="1">
        <v>0.1</v>
      </c>
      <c r="H325" s="2">
        <v>34698</v>
      </c>
    </row>
    <row r="326" spans="1:8" x14ac:dyDescent="0.4">
      <c r="A326" s="1" t="s">
        <v>557</v>
      </c>
      <c r="B326" s="1">
        <v>10369</v>
      </c>
      <c r="C326" s="1">
        <v>29</v>
      </c>
      <c r="D326" s="1" t="s">
        <v>722</v>
      </c>
      <c r="E326">
        <v>99</v>
      </c>
      <c r="F326" s="1">
        <v>20</v>
      </c>
      <c r="G326" s="1">
        <v>0</v>
      </c>
      <c r="H326" s="2">
        <v>34701</v>
      </c>
    </row>
    <row r="327" spans="1:8" x14ac:dyDescent="0.4">
      <c r="A327" s="1" t="s">
        <v>557</v>
      </c>
      <c r="B327" s="1">
        <v>10369</v>
      </c>
      <c r="C327" s="1">
        <v>56</v>
      </c>
      <c r="D327" s="1" t="s">
        <v>716</v>
      </c>
      <c r="E327">
        <v>30.4</v>
      </c>
      <c r="F327" s="1">
        <v>18</v>
      </c>
      <c r="G327" s="1">
        <v>0.25</v>
      </c>
      <c r="H327" s="2">
        <v>34701</v>
      </c>
    </row>
    <row r="328" spans="1:8" x14ac:dyDescent="0.4">
      <c r="A328" s="1" t="s">
        <v>116</v>
      </c>
      <c r="B328" s="1">
        <v>10370</v>
      </c>
      <c r="C328" s="1">
        <v>1</v>
      </c>
      <c r="D328" s="1" t="s">
        <v>735</v>
      </c>
      <c r="E328">
        <v>14.4</v>
      </c>
      <c r="F328" s="1">
        <v>15</v>
      </c>
      <c r="G328" s="1">
        <v>0.15</v>
      </c>
      <c r="H328" s="2">
        <v>34702</v>
      </c>
    </row>
    <row r="329" spans="1:8" x14ac:dyDescent="0.4">
      <c r="A329" s="1" t="s">
        <v>116</v>
      </c>
      <c r="B329" s="1">
        <v>10370</v>
      </c>
      <c r="C329" s="1">
        <v>64</v>
      </c>
      <c r="D329" s="1" t="s">
        <v>741</v>
      </c>
      <c r="E329">
        <v>26.6</v>
      </c>
      <c r="F329" s="1">
        <v>30</v>
      </c>
      <c r="G329" s="1">
        <v>0</v>
      </c>
      <c r="H329" s="2">
        <v>34702</v>
      </c>
    </row>
    <row r="330" spans="1:8" x14ac:dyDescent="0.4">
      <c r="A330" s="1" t="s">
        <v>116</v>
      </c>
      <c r="B330" s="1">
        <v>10370</v>
      </c>
      <c r="C330" s="1">
        <v>74</v>
      </c>
      <c r="D330" s="1" t="s">
        <v>700</v>
      </c>
      <c r="E330">
        <v>8</v>
      </c>
      <c r="F330" s="1">
        <v>20</v>
      </c>
      <c r="G330" s="1">
        <v>0.15</v>
      </c>
      <c r="H330" s="2">
        <v>34702</v>
      </c>
    </row>
    <row r="331" spans="1:8" x14ac:dyDescent="0.4">
      <c r="A331" s="1" t="s">
        <v>318</v>
      </c>
      <c r="B331" s="1">
        <v>10371</v>
      </c>
      <c r="C331" s="1">
        <v>36</v>
      </c>
      <c r="D331" s="1" t="s">
        <v>703</v>
      </c>
      <c r="E331">
        <v>15.2</v>
      </c>
      <c r="F331" s="1">
        <v>6</v>
      </c>
      <c r="G331" s="1">
        <v>0.2</v>
      </c>
      <c r="H331" s="2">
        <v>34702</v>
      </c>
    </row>
    <row r="332" spans="1:8" x14ac:dyDescent="0.4">
      <c r="A332" s="1" t="s">
        <v>469</v>
      </c>
      <c r="B332" s="1">
        <v>10372</v>
      </c>
      <c r="C332" s="1">
        <v>20</v>
      </c>
      <c r="D332" s="1" t="s">
        <v>692</v>
      </c>
      <c r="E332">
        <v>64.8</v>
      </c>
      <c r="F332" s="1">
        <v>12</v>
      </c>
      <c r="G332" s="1">
        <v>0.25</v>
      </c>
      <c r="H332" s="2">
        <v>34703</v>
      </c>
    </row>
    <row r="333" spans="1:8" x14ac:dyDescent="0.4">
      <c r="A333" s="1" t="s">
        <v>469</v>
      </c>
      <c r="B333" s="1">
        <v>10372</v>
      </c>
      <c r="C333" s="1">
        <v>38</v>
      </c>
      <c r="D333" s="1" t="s">
        <v>750</v>
      </c>
      <c r="E333">
        <v>210.8</v>
      </c>
      <c r="F333" s="1">
        <v>40</v>
      </c>
      <c r="G333" s="1">
        <v>0.25</v>
      </c>
      <c r="H333" s="2">
        <v>34703</v>
      </c>
    </row>
    <row r="334" spans="1:8" x14ac:dyDescent="0.4">
      <c r="A334" s="1" t="s">
        <v>469</v>
      </c>
      <c r="B334" s="1">
        <v>10372</v>
      </c>
      <c r="C334" s="1">
        <v>60</v>
      </c>
      <c r="D334" s="1" t="s">
        <v>694</v>
      </c>
      <c r="E334">
        <v>27.2</v>
      </c>
      <c r="F334" s="1">
        <v>70</v>
      </c>
      <c r="G334" s="1">
        <v>0.25</v>
      </c>
      <c r="H334" s="2">
        <v>34703</v>
      </c>
    </row>
    <row r="335" spans="1:8" x14ac:dyDescent="0.4">
      <c r="A335" s="1" t="s">
        <v>469</v>
      </c>
      <c r="B335" s="1">
        <v>10372</v>
      </c>
      <c r="C335" s="1">
        <v>72</v>
      </c>
      <c r="D335" s="1" t="s">
        <v>685</v>
      </c>
      <c r="E335">
        <v>27.8</v>
      </c>
      <c r="F335" s="1">
        <v>42</v>
      </c>
      <c r="G335" s="1">
        <v>0.25</v>
      </c>
      <c r="H335" s="2">
        <v>34703</v>
      </c>
    </row>
    <row r="336" spans="1:8" x14ac:dyDescent="0.4">
      <c r="A336" s="1" t="s">
        <v>288</v>
      </c>
      <c r="B336" s="1">
        <v>10373</v>
      </c>
      <c r="C336" s="1">
        <v>58</v>
      </c>
      <c r="D336" s="1" t="s">
        <v>747</v>
      </c>
      <c r="E336">
        <v>10.6</v>
      </c>
      <c r="F336" s="1">
        <v>80</v>
      </c>
      <c r="G336" s="1">
        <v>0.2</v>
      </c>
      <c r="H336" s="2">
        <v>34704</v>
      </c>
    </row>
    <row r="337" spans="1:8" x14ac:dyDescent="0.4">
      <c r="A337" s="1" t="s">
        <v>288</v>
      </c>
      <c r="B337" s="1">
        <v>10373</v>
      </c>
      <c r="C337" s="1">
        <v>71</v>
      </c>
      <c r="D337" s="1" t="s">
        <v>725</v>
      </c>
      <c r="E337">
        <v>17.2</v>
      </c>
      <c r="F337" s="1">
        <v>50</v>
      </c>
      <c r="G337" s="1">
        <v>0.2</v>
      </c>
      <c r="H337" s="2">
        <v>34704</v>
      </c>
    </row>
    <row r="338" spans="1:8" x14ac:dyDescent="0.4">
      <c r="A338" s="1" t="s">
        <v>668</v>
      </c>
      <c r="B338" s="1">
        <v>10374</v>
      </c>
      <c r="C338" s="1">
        <v>31</v>
      </c>
      <c r="D338" s="1" t="s">
        <v>695</v>
      </c>
      <c r="E338">
        <v>10</v>
      </c>
      <c r="F338" s="1">
        <v>30</v>
      </c>
      <c r="G338" s="1">
        <v>0</v>
      </c>
      <c r="H338" s="2">
        <v>34704</v>
      </c>
    </row>
    <row r="339" spans="1:8" x14ac:dyDescent="0.4">
      <c r="A339" s="1" t="s">
        <v>668</v>
      </c>
      <c r="B339" s="1">
        <v>10374</v>
      </c>
      <c r="C339" s="1">
        <v>58</v>
      </c>
      <c r="D339" s="1" t="s">
        <v>747</v>
      </c>
      <c r="E339">
        <v>10.6</v>
      </c>
      <c r="F339" s="1">
        <v>15</v>
      </c>
      <c r="G339" s="1">
        <v>0</v>
      </c>
      <c r="H339" s="2">
        <v>34704</v>
      </c>
    </row>
    <row r="340" spans="1:8" x14ac:dyDescent="0.4">
      <c r="A340" s="1" t="s">
        <v>281</v>
      </c>
      <c r="B340" s="1">
        <v>10375</v>
      </c>
      <c r="C340" s="1">
        <v>14</v>
      </c>
      <c r="D340" s="1" t="s">
        <v>686</v>
      </c>
      <c r="E340">
        <v>18.600000000000001</v>
      </c>
      <c r="F340" s="1">
        <v>15</v>
      </c>
      <c r="G340" s="1">
        <v>0</v>
      </c>
      <c r="H340" s="2">
        <v>34705</v>
      </c>
    </row>
    <row r="341" spans="1:8" x14ac:dyDescent="0.4">
      <c r="A341" s="1" t="s">
        <v>281</v>
      </c>
      <c r="B341" s="1">
        <v>10375</v>
      </c>
      <c r="C341" s="1">
        <v>54</v>
      </c>
      <c r="D341" s="1" t="s">
        <v>738</v>
      </c>
      <c r="E341">
        <v>5.9</v>
      </c>
      <c r="F341" s="1">
        <v>10</v>
      </c>
      <c r="G341" s="1">
        <v>0</v>
      </c>
      <c r="H341" s="2">
        <v>34705</v>
      </c>
    </row>
    <row r="342" spans="1:8" x14ac:dyDescent="0.4">
      <c r="A342" s="1" t="s">
        <v>394</v>
      </c>
      <c r="B342" s="1">
        <v>10376</v>
      </c>
      <c r="C342" s="1">
        <v>31</v>
      </c>
      <c r="D342" s="1" t="s">
        <v>695</v>
      </c>
      <c r="E342">
        <v>10</v>
      </c>
      <c r="F342" s="1">
        <v>42</v>
      </c>
      <c r="G342" s="1">
        <v>0.05</v>
      </c>
      <c r="H342" s="2">
        <v>34708</v>
      </c>
    </row>
    <row r="343" spans="1:8" x14ac:dyDescent="0.4">
      <c r="A343" s="1" t="s">
        <v>536</v>
      </c>
      <c r="B343" s="1">
        <v>10377</v>
      </c>
      <c r="C343" s="1">
        <v>28</v>
      </c>
      <c r="D343" s="1" t="s">
        <v>727</v>
      </c>
      <c r="E343">
        <v>36.4</v>
      </c>
      <c r="F343" s="1">
        <v>20</v>
      </c>
      <c r="G343" s="1">
        <v>0.15</v>
      </c>
      <c r="H343" s="2">
        <v>34708</v>
      </c>
    </row>
    <row r="344" spans="1:8" x14ac:dyDescent="0.4">
      <c r="A344" s="1" t="s">
        <v>536</v>
      </c>
      <c r="B344" s="1">
        <v>10377</v>
      </c>
      <c r="C344" s="1">
        <v>39</v>
      </c>
      <c r="D344" s="1" t="s">
        <v>696</v>
      </c>
      <c r="E344">
        <v>14.4</v>
      </c>
      <c r="F344" s="1">
        <v>20</v>
      </c>
      <c r="G344" s="1">
        <v>0.15</v>
      </c>
      <c r="H344" s="2">
        <v>34708</v>
      </c>
    </row>
    <row r="345" spans="1:8" x14ac:dyDescent="0.4">
      <c r="A345" s="1" t="s">
        <v>191</v>
      </c>
      <c r="B345" s="1">
        <v>10378</v>
      </c>
      <c r="C345" s="1">
        <v>71</v>
      </c>
      <c r="D345" s="1" t="s">
        <v>725</v>
      </c>
      <c r="E345">
        <v>17.2</v>
      </c>
      <c r="F345" s="1">
        <v>6</v>
      </c>
      <c r="G345" s="1">
        <v>0</v>
      </c>
      <c r="H345" s="2">
        <v>34709</v>
      </c>
    </row>
    <row r="346" spans="1:8" x14ac:dyDescent="0.4">
      <c r="A346" s="1" t="s">
        <v>462</v>
      </c>
      <c r="B346" s="1">
        <v>10379</v>
      </c>
      <c r="C346" s="1">
        <v>41</v>
      </c>
      <c r="D346" s="1" t="s">
        <v>688</v>
      </c>
      <c r="E346">
        <v>7.7</v>
      </c>
      <c r="F346" s="1">
        <v>8</v>
      </c>
      <c r="G346" s="1">
        <v>0.1</v>
      </c>
      <c r="H346" s="2">
        <v>34710</v>
      </c>
    </row>
    <row r="347" spans="1:8" x14ac:dyDescent="0.4">
      <c r="A347" s="1" t="s">
        <v>462</v>
      </c>
      <c r="B347" s="1">
        <v>10379</v>
      </c>
      <c r="C347" s="1">
        <v>63</v>
      </c>
      <c r="D347" s="1" t="s">
        <v>729</v>
      </c>
      <c r="E347">
        <v>35.1</v>
      </c>
      <c r="F347" s="1">
        <v>16</v>
      </c>
      <c r="G347" s="1">
        <v>0.1</v>
      </c>
      <c r="H347" s="2">
        <v>34710</v>
      </c>
    </row>
    <row r="348" spans="1:8" x14ac:dyDescent="0.4">
      <c r="A348" s="1" t="s">
        <v>462</v>
      </c>
      <c r="B348" s="1">
        <v>10379</v>
      </c>
      <c r="C348" s="1">
        <v>65</v>
      </c>
      <c r="D348" s="1" t="s">
        <v>689</v>
      </c>
      <c r="E348">
        <v>16.8</v>
      </c>
      <c r="F348" s="1">
        <v>20</v>
      </c>
      <c r="G348" s="1">
        <v>0.1</v>
      </c>
      <c r="H348" s="2">
        <v>34710</v>
      </c>
    </row>
    <row r="349" spans="1:8" x14ac:dyDescent="0.4">
      <c r="A349" s="1" t="s">
        <v>288</v>
      </c>
      <c r="B349" s="1">
        <v>10380</v>
      </c>
      <c r="C349" s="1">
        <v>30</v>
      </c>
      <c r="D349" s="1" t="s">
        <v>717</v>
      </c>
      <c r="E349">
        <v>20.7</v>
      </c>
      <c r="F349" s="1">
        <v>18</v>
      </c>
      <c r="G349" s="1">
        <v>0.1</v>
      </c>
      <c r="H349" s="2">
        <v>34711</v>
      </c>
    </row>
    <row r="350" spans="1:8" x14ac:dyDescent="0.4">
      <c r="A350" s="1" t="s">
        <v>288</v>
      </c>
      <c r="B350" s="1">
        <v>10380</v>
      </c>
      <c r="C350" s="1">
        <v>53</v>
      </c>
      <c r="D350" s="1" t="s">
        <v>705</v>
      </c>
      <c r="E350">
        <v>26.2</v>
      </c>
      <c r="F350" s="1">
        <v>20</v>
      </c>
      <c r="G350" s="1">
        <v>0.1</v>
      </c>
      <c r="H350" s="2">
        <v>34711</v>
      </c>
    </row>
    <row r="351" spans="1:8" x14ac:dyDescent="0.4">
      <c r="A351" s="1" t="s">
        <v>288</v>
      </c>
      <c r="B351" s="1">
        <v>10380</v>
      </c>
      <c r="C351" s="1">
        <v>60</v>
      </c>
      <c r="D351" s="1" t="s">
        <v>694</v>
      </c>
      <c r="E351">
        <v>27.2</v>
      </c>
      <c r="F351" s="1">
        <v>6</v>
      </c>
      <c r="G351" s="1">
        <v>0.1</v>
      </c>
      <c r="H351" s="2">
        <v>34711</v>
      </c>
    </row>
    <row r="352" spans="1:8" x14ac:dyDescent="0.4">
      <c r="A352" s="1" t="s">
        <v>288</v>
      </c>
      <c r="B352" s="1">
        <v>10380</v>
      </c>
      <c r="C352" s="1">
        <v>70</v>
      </c>
      <c r="D352" s="1" t="s">
        <v>713</v>
      </c>
      <c r="E352">
        <v>12</v>
      </c>
      <c r="F352" s="1">
        <v>30</v>
      </c>
      <c r="G352" s="1">
        <v>0</v>
      </c>
      <c r="H352" s="2">
        <v>34711</v>
      </c>
    </row>
    <row r="353" spans="1:8" x14ac:dyDescent="0.4">
      <c r="A353" s="1" t="s">
        <v>355</v>
      </c>
      <c r="B353" s="1">
        <v>10381</v>
      </c>
      <c r="C353" s="1">
        <v>74</v>
      </c>
      <c r="D353" s="1" t="s">
        <v>700</v>
      </c>
      <c r="E353">
        <v>8</v>
      </c>
      <c r="F353" s="1">
        <v>14</v>
      </c>
      <c r="G353" s="1">
        <v>0</v>
      </c>
      <c r="H353" s="2">
        <v>34711</v>
      </c>
    </row>
    <row r="354" spans="1:8" x14ac:dyDescent="0.4">
      <c r="A354" s="1" t="s">
        <v>161</v>
      </c>
      <c r="B354" s="1">
        <v>10382</v>
      </c>
      <c r="C354" s="1">
        <v>5</v>
      </c>
      <c r="D354" s="1" t="s">
        <v>708</v>
      </c>
      <c r="E354">
        <v>17</v>
      </c>
      <c r="F354" s="1">
        <v>32</v>
      </c>
      <c r="G354" s="1">
        <v>0</v>
      </c>
      <c r="H354" s="2">
        <v>34712</v>
      </c>
    </row>
    <row r="355" spans="1:8" x14ac:dyDescent="0.4">
      <c r="A355" s="1" t="s">
        <v>161</v>
      </c>
      <c r="B355" s="1">
        <v>10382</v>
      </c>
      <c r="C355" s="1">
        <v>18</v>
      </c>
      <c r="D355" s="1" t="s">
        <v>742</v>
      </c>
      <c r="E355">
        <v>50</v>
      </c>
      <c r="F355" s="1">
        <v>9</v>
      </c>
      <c r="G355" s="1">
        <v>0</v>
      </c>
      <c r="H355" s="2">
        <v>34712</v>
      </c>
    </row>
    <row r="356" spans="1:8" x14ac:dyDescent="0.4">
      <c r="A356" s="1" t="s">
        <v>161</v>
      </c>
      <c r="B356" s="1">
        <v>10382</v>
      </c>
      <c r="C356" s="1">
        <v>29</v>
      </c>
      <c r="D356" s="1" t="s">
        <v>722</v>
      </c>
      <c r="E356">
        <v>99</v>
      </c>
      <c r="F356" s="1">
        <v>14</v>
      </c>
      <c r="G356" s="1">
        <v>0</v>
      </c>
      <c r="H356" s="2">
        <v>34712</v>
      </c>
    </row>
    <row r="357" spans="1:8" x14ac:dyDescent="0.4">
      <c r="A357" s="1" t="s">
        <v>161</v>
      </c>
      <c r="B357" s="1">
        <v>10382</v>
      </c>
      <c r="C357" s="1">
        <v>33</v>
      </c>
      <c r="D357" s="1" t="s">
        <v>693</v>
      </c>
      <c r="E357">
        <v>2</v>
      </c>
      <c r="F357" s="1">
        <v>60</v>
      </c>
      <c r="G357" s="1">
        <v>0</v>
      </c>
      <c r="H357" s="2">
        <v>34712</v>
      </c>
    </row>
    <row r="358" spans="1:8" x14ac:dyDescent="0.4">
      <c r="A358" s="1" t="s">
        <v>161</v>
      </c>
      <c r="B358" s="1">
        <v>10382</v>
      </c>
      <c r="C358" s="1">
        <v>74</v>
      </c>
      <c r="D358" s="1" t="s">
        <v>700</v>
      </c>
      <c r="E358">
        <v>8</v>
      </c>
      <c r="F358" s="1">
        <v>50</v>
      </c>
      <c r="G358" s="1">
        <v>0</v>
      </c>
      <c r="H358" s="2">
        <v>34712</v>
      </c>
    </row>
    <row r="359" spans="1:8" x14ac:dyDescent="0.4">
      <c r="A359" s="1" t="s">
        <v>34</v>
      </c>
      <c r="B359" s="1">
        <v>10383</v>
      </c>
      <c r="C359" s="1">
        <v>13</v>
      </c>
      <c r="D359" s="1" t="s">
        <v>726</v>
      </c>
      <c r="E359">
        <v>4.8</v>
      </c>
      <c r="F359" s="1">
        <v>20</v>
      </c>
      <c r="G359" s="1">
        <v>0</v>
      </c>
      <c r="H359" s="2">
        <v>34715</v>
      </c>
    </row>
    <row r="360" spans="1:8" x14ac:dyDescent="0.4">
      <c r="A360" s="1" t="s">
        <v>34</v>
      </c>
      <c r="B360" s="1">
        <v>10383</v>
      </c>
      <c r="C360" s="1">
        <v>50</v>
      </c>
      <c r="D360" s="1" t="s">
        <v>755</v>
      </c>
      <c r="E360">
        <v>13</v>
      </c>
      <c r="F360" s="1">
        <v>15</v>
      </c>
      <c r="G360" s="1">
        <v>0</v>
      </c>
      <c r="H360" s="2">
        <v>34715</v>
      </c>
    </row>
    <row r="361" spans="1:8" x14ac:dyDescent="0.4">
      <c r="A361" s="1" t="s">
        <v>34</v>
      </c>
      <c r="B361" s="1">
        <v>10383</v>
      </c>
      <c r="C361" s="1">
        <v>56</v>
      </c>
      <c r="D361" s="1" t="s">
        <v>716</v>
      </c>
      <c r="E361">
        <v>30.4</v>
      </c>
      <c r="F361" s="1">
        <v>20</v>
      </c>
      <c r="G361" s="1">
        <v>0</v>
      </c>
      <c r="H361" s="2">
        <v>34715</v>
      </c>
    </row>
    <row r="362" spans="1:8" x14ac:dyDescent="0.4">
      <c r="A362" s="1" t="s">
        <v>43</v>
      </c>
      <c r="B362" s="1">
        <v>10384</v>
      </c>
      <c r="C362" s="1">
        <v>20</v>
      </c>
      <c r="D362" s="1" t="s">
        <v>692</v>
      </c>
      <c r="E362">
        <v>64.8</v>
      </c>
      <c r="F362" s="1">
        <v>28</v>
      </c>
      <c r="G362" s="1">
        <v>0</v>
      </c>
      <c r="H362" s="2">
        <v>34715</v>
      </c>
    </row>
    <row r="363" spans="1:8" x14ac:dyDescent="0.4">
      <c r="A363" s="1" t="s">
        <v>43</v>
      </c>
      <c r="B363" s="1">
        <v>10384</v>
      </c>
      <c r="C363" s="1">
        <v>60</v>
      </c>
      <c r="D363" s="1" t="s">
        <v>694</v>
      </c>
      <c r="E363">
        <v>27.2</v>
      </c>
      <c r="F363" s="1">
        <v>15</v>
      </c>
      <c r="G363" s="1">
        <v>0</v>
      </c>
      <c r="H363" s="2">
        <v>34715</v>
      </c>
    </row>
    <row r="364" spans="1:8" x14ac:dyDescent="0.4">
      <c r="A364" s="1" t="s">
        <v>557</v>
      </c>
      <c r="B364" s="1">
        <v>10385</v>
      </c>
      <c r="C364" s="1">
        <v>7</v>
      </c>
      <c r="D364" s="1" t="s">
        <v>715</v>
      </c>
      <c r="E364">
        <v>24</v>
      </c>
      <c r="F364" s="1">
        <v>10</v>
      </c>
      <c r="G364" s="1">
        <v>0.2</v>
      </c>
      <c r="H364" s="2">
        <v>34716</v>
      </c>
    </row>
    <row r="365" spans="1:8" x14ac:dyDescent="0.4">
      <c r="A365" s="1" t="s">
        <v>557</v>
      </c>
      <c r="B365" s="1">
        <v>10385</v>
      </c>
      <c r="C365" s="1">
        <v>60</v>
      </c>
      <c r="D365" s="1" t="s">
        <v>694</v>
      </c>
      <c r="E365">
        <v>27.2</v>
      </c>
      <c r="F365" s="1">
        <v>20</v>
      </c>
      <c r="G365" s="1">
        <v>0.2</v>
      </c>
      <c r="H365" s="2">
        <v>34716</v>
      </c>
    </row>
    <row r="366" spans="1:8" x14ac:dyDescent="0.4">
      <c r="A366" s="1" t="s">
        <v>557</v>
      </c>
      <c r="B366" s="1">
        <v>10385</v>
      </c>
      <c r="C366" s="1">
        <v>68</v>
      </c>
      <c r="D366" s="1" t="s">
        <v>739</v>
      </c>
      <c r="E366">
        <v>10</v>
      </c>
      <c r="F366" s="1">
        <v>8</v>
      </c>
      <c r="G366" s="1">
        <v>0.2</v>
      </c>
      <c r="H366" s="2">
        <v>34716</v>
      </c>
    </row>
    <row r="367" spans="1:8" x14ac:dyDescent="0.4">
      <c r="A367" s="1" t="s">
        <v>170</v>
      </c>
      <c r="B367" s="1">
        <v>10386</v>
      </c>
      <c r="C367" s="1">
        <v>24</v>
      </c>
      <c r="D367" s="1" t="s">
        <v>698</v>
      </c>
      <c r="E367">
        <v>3.6</v>
      </c>
      <c r="F367" s="1">
        <v>15</v>
      </c>
      <c r="G367" s="1">
        <v>0</v>
      </c>
      <c r="H367" s="2">
        <v>34717</v>
      </c>
    </row>
    <row r="368" spans="1:8" x14ac:dyDescent="0.4">
      <c r="A368" s="1" t="s">
        <v>170</v>
      </c>
      <c r="B368" s="1">
        <v>10386</v>
      </c>
      <c r="C368" s="1">
        <v>34</v>
      </c>
      <c r="D368" s="1" t="s">
        <v>736</v>
      </c>
      <c r="E368">
        <v>11.2</v>
      </c>
      <c r="F368" s="1">
        <v>10</v>
      </c>
      <c r="G368" s="1">
        <v>0</v>
      </c>
      <c r="H368" s="2">
        <v>34717</v>
      </c>
    </row>
    <row r="369" spans="1:8" x14ac:dyDescent="0.4">
      <c r="A369" s="1" t="s">
        <v>521</v>
      </c>
      <c r="B369" s="1">
        <v>10387</v>
      </c>
      <c r="C369" s="1">
        <v>24</v>
      </c>
      <c r="D369" s="1" t="s">
        <v>698</v>
      </c>
      <c r="E369">
        <v>3.6</v>
      </c>
      <c r="F369" s="1">
        <v>15</v>
      </c>
      <c r="G369" s="1">
        <v>0</v>
      </c>
      <c r="H369" s="2">
        <v>34717</v>
      </c>
    </row>
    <row r="370" spans="1:8" x14ac:dyDescent="0.4">
      <c r="A370" s="1" t="s">
        <v>521</v>
      </c>
      <c r="B370" s="1">
        <v>10387</v>
      </c>
      <c r="C370" s="1">
        <v>28</v>
      </c>
      <c r="D370" s="1" t="s">
        <v>727</v>
      </c>
      <c r="E370">
        <v>36.4</v>
      </c>
      <c r="F370" s="1">
        <v>6</v>
      </c>
      <c r="G370" s="1">
        <v>0</v>
      </c>
      <c r="H370" s="2">
        <v>34717</v>
      </c>
    </row>
    <row r="371" spans="1:8" x14ac:dyDescent="0.4">
      <c r="A371" s="1" t="s">
        <v>521</v>
      </c>
      <c r="B371" s="1">
        <v>10387</v>
      </c>
      <c r="C371" s="1">
        <v>59</v>
      </c>
      <c r="D371" s="1" t="s">
        <v>704</v>
      </c>
      <c r="E371">
        <v>44</v>
      </c>
      <c r="F371" s="1">
        <v>12</v>
      </c>
      <c r="G371" s="1">
        <v>0</v>
      </c>
      <c r="H371" s="2">
        <v>34717</v>
      </c>
    </row>
    <row r="372" spans="1:8" x14ac:dyDescent="0.4">
      <c r="A372" s="1" t="s">
        <v>521</v>
      </c>
      <c r="B372" s="1">
        <v>10387</v>
      </c>
      <c r="C372" s="1">
        <v>71</v>
      </c>
      <c r="D372" s="1" t="s">
        <v>725</v>
      </c>
      <c r="E372">
        <v>17.2</v>
      </c>
      <c r="F372" s="1">
        <v>15</v>
      </c>
      <c r="G372" s="1">
        <v>0</v>
      </c>
      <c r="H372" s="2">
        <v>34717</v>
      </c>
    </row>
    <row r="373" spans="1:8" x14ac:dyDescent="0.4">
      <c r="A373" s="1" t="s">
        <v>536</v>
      </c>
      <c r="B373" s="1">
        <v>10388</v>
      </c>
      <c r="C373" s="1">
        <v>45</v>
      </c>
      <c r="D373" s="1" t="s">
        <v>756</v>
      </c>
      <c r="E373">
        <v>7.6</v>
      </c>
      <c r="F373" s="1">
        <v>15</v>
      </c>
      <c r="G373" s="1">
        <v>0.2</v>
      </c>
      <c r="H373" s="2">
        <v>34718</v>
      </c>
    </row>
    <row r="374" spans="1:8" x14ac:dyDescent="0.4">
      <c r="A374" s="1" t="s">
        <v>536</v>
      </c>
      <c r="B374" s="1">
        <v>10388</v>
      </c>
      <c r="C374" s="1">
        <v>52</v>
      </c>
      <c r="D374" s="1" t="s">
        <v>748</v>
      </c>
      <c r="E374">
        <v>5.6</v>
      </c>
      <c r="F374" s="1">
        <v>20</v>
      </c>
      <c r="G374" s="1">
        <v>0.2</v>
      </c>
      <c r="H374" s="2">
        <v>34718</v>
      </c>
    </row>
    <row r="375" spans="1:8" x14ac:dyDescent="0.4">
      <c r="A375" s="1" t="s">
        <v>536</v>
      </c>
      <c r="B375" s="1">
        <v>10388</v>
      </c>
      <c r="C375" s="1">
        <v>53</v>
      </c>
      <c r="D375" s="1" t="s">
        <v>705</v>
      </c>
      <c r="E375">
        <v>26.2</v>
      </c>
      <c r="F375" s="1">
        <v>40</v>
      </c>
      <c r="G375" s="1">
        <v>0</v>
      </c>
      <c r="H375" s="2">
        <v>34718</v>
      </c>
    </row>
    <row r="376" spans="1:8" x14ac:dyDescent="0.4">
      <c r="A376" s="1" t="s">
        <v>84</v>
      </c>
      <c r="B376" s="1">
        <v>10389</v>
      </c>
      <c r="C376" s="1">
        <v>10</v>
      </c>
      <c r="D376" s="1" t="s">
        <v>724</v>
      </c>
      <c r="E376">
        <v>24.8</v>
      </c>
      <c r="F376" s="1">
        <v>16</v>
      </c>
      <c r="G376" s="1">
        <v>0</v>
      </c>
      <c r="H376" s="2">
        <v>34719</v>
      </c>
    </row>
    <row r="377" spans="1:8" x14ac:dyDescent="0.4">
      <c r="A377" s="1" t="s">
        <v>84</v>
      </c>
      <c r="B377" s="1">
        <v>10389</v>
      </c>
      <c r="C377" s="1">
        <v>55</v>
      </c>
      <c r="D377" s="1" t="s">
        <v>699</v>
      </c>
      <c r="E377">
        <v>19.2</v>
      </c>
      <c r="F377" s="1">
        <v>15</v>
      </c>
      <c r="G377" s="1">
        <v>0</v>
      </c>
      <c r="H377" s="2">
        <v>34719</v>
      </c>
    </row>
    <row r="378" spans="1:8" x14ac:dyDescent="0.4">
      <c r="A378" s="1" t="s">
        <v>84</v>
      </c>
      <c r="B378" s="1">
        <v>10389</v>
      </c>
      <c r="C378" s="1">
        <v>62</v>
      </c>
      <c r="D378" s="1" t="s">
        <v>712</v>
      </c>
      <c r="E378">
        <v>39.4</v>
      </c>
      <c r="F378" s="1">
        <v>20</v>
      </c>
      <c r="G378" s="1">
        <v>0</v>
      </c>
      <c r="H378" s="2">
        <v>34719</v>
      </c>
    </row>
    <row r="379" spans="1:8" x14ac:dyDescent="0.4">
      <c r="A379" s="1" t="s">
        <v>84</v>
      </c>
      <c r="B379" s="1">
        <v>10389</v>
      </c>
      <c r="C379" s="1">
        <v>70</v>
      </c>
      <c r="D379" s="1" t="s">
        <v>713</v>
      </c>
      <c r="E379">
        <v>12</v>
      </c>
      <c r="F379" s="1">
        <v>30</v>
      </c>
      <c r="G379" s="1">
        <v>0</v>
      </c>
      <c r="H379" s="2">
        <v>34719</v>
      </c>
    </row>
    <row r="380" spans="1:8" x14ac:dyDescent="0.4">
      <c r="A380" s="1" t="s">
        <v>161</v>
      </c>
      <c r="B380" s="1">
        <v>10390</v>
      </c>
      <c r="C380" s="1">
        <v>31</v>
      </c>
      <c r="D380" s="1" t="s">
        <v>695</v>
      </c>
      <c r="E380">
        <v>10</v>
      </c>
      <c r="F380" s="1">
        <v>60</v>
      </c>
      <c r="G380" s="1">
        <v>0.1</v>
      </c>
      <c r="H380" s="2">
        <v>34722</v>
      </c>
    </row>
    <row r="381" spans="1:8" x14ac:dyDescent="0.4">
      <c r="A381" s="1" t="s">
        <v>161</v>
      </c>
      <c r="B381" s="1">
        <v>10390</v>
      </c>
      <c r="C381" s="1">
        <v>35</v>
      </c>
      <c r="D381" s="1" t="s">
        <v>714</v>
      </c>
      <c r="E381">
        <v>14.4</v>
      </c>
      <c r="F381" s="1">
        <v>40</v>
      </c>
      <c r="G381" s="1">
        <v>0.1</v>
      </c>
      <c r="H381" s="2">
        <v>34722</v>
      </c>
    </row>
    <row r="382" spans="1:8" x14ac:dyDescent="0.4">
      <c r="A382" s="1" t="s">
        <v>161</v>
      </c>
      <c r="B382" s="1">
        <v>10390</v>
      </c>
      <c r="C382" s="1">
        <v>46</v>
      </c>
      <c r="D382" s="1" t="s">
        <v>737</v>
      </c>
      <c r="E382">
        <v>9.6</v>
      </c>
      <c r="F382" s="1">
        <v>45</v>
      </c>
      <c r="G382" s="1">
        <v>0</v>
      </c>
      <c r="H382" s="2">
        <v>34722</v>
      </c>
    </row>
    <row r="383" spans="1:8" x14ac:dyDescent="0.4">
      <c r="A383" s="1" t="s">
        <v>161</v>
      </c>
      <c r="B383" s="1">
        <v>10390</v>
      </c>
      <c r="C383" s="1">
        <v>72</v>
      </c>
      <c r="D383" s="1" t="s">
        <v>685</v>
      </c>
      <c r="E383">
        <v>27.8</v>
      </c>
      <c r="F383" s="1">
        <v>24</v>
      </c>
      <c r="G383" s="1">
        <v>0.1</v>
      </c>
      <c r="H383" s="2">
        <v>34722</v>
      </c>
    </row>
    <row r="384" spans="1:8" x14ac:dyDescent="0.4">
      <c r="A384" s="1" t="s">
        <v>140</v>
      </c>
      <c r="B384" s="1">
        <v>10391</v>
      </c>
      <c r="C384" s="1">
        <v>13</v>
      </c>
      <c r="D384" s="1" t="s">
        <v>726</v>
      </c>
      <c r="E384">
        <v>4.8</v>
      </c>
      <c r="F384" s="1">
        <v>18</v>
      </c>
      <c r="G384" s="1">
        <v>0</v>
      </c>
      <c r="H384" s="2">
        <v>34722</v>
      </c>
    </row>
    <row r="385" spans="1:8" x14ac:dyDescent="0.4">
      <c r="A385" s="1" t="s">
        <v>450</v>
      </c>
      <c r="B385" s="1">
        <v>10392</v>
      </c>
      <c r="C385" s="1">
        <v>69</v>
      </c>
      <c r="D385" s="1" t="s">
        <v>743</v>
      </c>
      <c r="E385">
        <v>28.8</v>
      </c>
      <c r="F385" s="1">
        <v>50</v>
      </c>
      <c r="G385" s="1">
        <v>0</v>
      </c>
      <c r="H385" s="2">
        <v>34723</v>
      </c>
    </row>
    <row r="386" spans="1:8" x14ac:dyDescent="0.4">
      <c r="A386" s="1" t="s">
        <v>529</v>
      </c>
      <c r="B386" s="1">
        <v>10393</v>
      </c>
      <c r="C386" s="1">
        <v>2</v>
      </c>
      <c r="D386" s="1" t="s">
        <v>701</v>
      </c>
      <c r="E386">
        <v>15.2</v>
      </c>
      <c r="F386" s="1">
        <v>25</v>
      </c>
      <c r="G386" s="1">
        <v>0.25</v>
      </c>
      <c r="H386" s="2">
        <v>34724</v>
      </c>
    </row>
    <row r="387" spans="1:8" x14ac:dyDescent="0.4">
      <c r="A387" s="1" t="s">
        <v>529</v>
      </c>
      <c r="B387" s="1">
        <v>10393</v>
      </c>
      <c r="C387" s="1">
        <v>14</v>
      </c>
      <c r="D387" s="1" t="s">
        <v>686</v>
      </c>
      <c r="E387">
        <v>18.600000000000001</v>
      </c>
      <c r="F387" s="1">
        <v>42</v>
      </c>
      <c r="G387" s="1">
        <v>0.25</v>
      </c>
      <c r="H387" s="2">
        <v>34724</v>
      </c>
    </row>
    <row r="388" spans="1:8" x14ac:dyDescent="0.4">
      <c r="A388" s="1" t="s">
        <v>529</v>
      </c>
      <c r="B388" s="1">
        <v>10393</v>
      </c>
      <c r="C388" s="1">
        <v>25</v>
      </c>
      <c r="D388" s="1" t="s">
        <v>749</v>
      </c>
      <c r="E388">
        <v>11.2</v>
      </c>
      <c r="F388" s="1">
        <v>7</v>
      </c>
      <c r="G388" s="1">
        <v>0.25</v>
      </c>
      <c r="H388" s="2">
        <v>34724</v>
      </c>
    </row>
    <row r="389" spans="1:8" x14ac:dyDescent="0.4">
      <c r="A389" s="1" t="s">
        <v>529</v>
      </c>
      <c r="B389" s="1">
        <v>10393</v>
      </c>
      <c r="C389" s="1">
        <v>26</v>
      </c>
      <c r="D389" s="1" t="s">
        <v>751</v>
      </c>
      <c r="E389">
        <v>24.9</v>
      </c>
      <c r="F389" s="1">
        <v>70</v>
      </c>
      <c r="G389" s="1">
        <v>0.25</v>
      </c>
      <c r="H389" s="2">
        <v>34724</v>
      </c>
    </row>
    <row r="390" spans="1:8" x14ac:dyDescent="0.4">
      <c r="A390" s="1" t="s">
        <v>529</v>
      </c>
      <c r="B390" s="1">
        <v>10393</v>
      </c>
      <c r="C390" s="1">
        <v>31</v>
      </c>
      <c r="D390" s="1" t="s">
        <v>695</v>
      </c>
      <c r="E390">
        <v>10</v>
      </c>
      <c r="F390" s="1">
        <v>32</v>
      </c>
      <c r="G390" s="1">
        <v>0</v>
      </c>
      <c r="H390" s="2">
        <v>34724</v>
      </c>
    </row>
    <row r="391" spans="1:8" x14ac:dyDescent="0.4">
      <c r="A391" s="1" t="s">
        <v>281</v>
      </c>
      <c r="B391" s="1">
        <v>10394</v>
      </c>
      <c r="C391" s="1">
        <v>13</v>
      </c>
      <c r="D391" s="1" t="s">
        <v>726</v>
      </c>
      <c r="E391">
        <v>4.8</v>
      </c>
      <c r="F391" s="1">
        <v>10</v>
      </c>
      <c r="G391" s="1">
        <v>0</v>
      </c>
      <c r="H391" s="2">
        <v>34724</v>
      </c>
    </row>
    <row r="392" spans="1:8" x14ac:dyDescent="0.4">
      <c r="A392" s="1" t="s">
        <v>281</v>
      </c>
      <c r="B392" s="1">
        <v>10394</v>
      </c>
      <c r="C392" s="1">
        <v>62</v>
      </c>
      <c r="D392" s="1" t="s">
        <v>712</v>
      </c>
      <c r="E392">
        <v>39.4</v>
      </c>
      <c r="F392" s="1">
        <v>10</v>
      </c>
      <c r="G392" s="1">
        <v>0</v>
      </c>
      <c r="H392" s="2">
        <v>34724</v>
      </c>
    </row>
    <row r="393" spans="1:8" x14ac:dyDescent="0.4">
      <c r="A393" s="1" t="s">
        <v>273</v>
      </c>
      <c r="B393" s="1">
        <v>10395</v>
      </c>
      <c r="C393" s="1">
        <v>46</v>
      </c>
      <c r="D393" s="1" t="s">
        <v>737</v>
      </c>
      <c r="E393">
        <v>9.6</v>
      </c>
      <c r="F393" s="1">
        <v>28</v>
      </c>
      <c r="G393" s="1">
        <v>0.1</v>
      </c>
      <c r="H393" s="2">
        <v>34725</v>
      </c>
    </row>
    <row r="394" spans="1:8" x14ac:dyDescent="0.4">
      <c r="A394" s="1" t="s">
        <v>273</v>
      </c>
      <c r="B394" s="1">
        <v>10395</v>
      </c>
      <c r="C394" s="1">
        <v>53</v>
      </c>
      <c r="D394" s="1" t="s">
        <v>705</v>
      </c>
      <c r="E394">
        <v>26.2</v>
      </c>
      <c r="F394" s="1">
        <v>70</v>
      </c>
      <c r="G394" s="1">
        <v>0.1</v>
      </c>
      <c r="H394" s="2">
        <v>34725</v>
      </c>
    </row>
    <row r="395" spans="1:8" x14ac:dyDescent="0.4">
      <c r="A395" s="1" t="s">
        <v>273</v>
      </c>
      <c r="B395" s="1">
        <v>10395</v>
      </c>
      <c r="C395" s="1">
        <v>69</v>
      </c>
      <c r="D395" s="1" t="s">
        <v>743</v>
      </c>
      <c r="E395">
        <v>28.8</v>
      </c>
      <c r="F395" s="1">
        <v>8</v>
      </c>
      <c r="G395" s="1">
        <v>0</v>
      </c>
      <c r="H395" s="2">
        <v>34725</v>
      </c>
    </row>
    <row r="396" spans="1:8" x14ac:dyDescent="0.4">
      <c r="A396" s="1" t="s">
        <v>198</v>
      </c>
      <c r="B396" s="1">
        <v>10396</v>
      </c>
      <c r="C396" s="1">
        <v>23</v>
      </c>
      <c r="D396" s="1" t="s">
        <v>753</v>
      </c>
      <c r="E396">
        <v>7.2</v>
      </c>
      <c r="F396" s="1">
        <v>40</v>
      </c>
      <c r="G396" s="1">
        <v>0</v>
      </c>
      <c r="H396" s="2">
        <v>34726</v>
      </c>
    </row>
    <row r="397" spans="1:8" x14ac:dyDescent="0.4">
      <c r="A397" s="1" t="s">
        <v>198</v>
      </c>
      <c r="B397" s="1">
        <v>10396</v>
      </c>
      <c r="C397" s="1">
        <v>71</v>
      </c>
      <c r="D397" s="1" t="s">
        <v>725</v>
      </c>
      <c r="E397">
        <v>17.2</v>
      </c>
      <c r="F397" s="1">
        <v>60</v>
      </c>
      <c r="G397" s="1">
        <v>0</v>
      </c>
      <c r="H397" s="2">
        <v>34726</v>
      </c>
    </row>
    <row r="398" spans="1:8" x14ac:dyDescent="0.4">
      <c r="A398" s="1" t="s">
        <v>198</v>
      </c>
      <c r="B398" s="1">
        <v>10396</v>
      </c>
      <c r="C398" s="1">
        <v>72</v>
      </c>
      <c r="D398" s="1" t="s">
        <v>685</v>
      </c>
      <c r="E398">
        <v>27.8</v>
      </c>
      <c r="F398" s="1">
        <v>21</v>
      </c>
      <c r="G398" s="1">
        <v>0</v>
      </c>
      <c r="H398" s="2">
        <v>34726</v>
      </c>
    </row>
    <row r="399" spans="1:8" x14ac:dyDescent="0.4">
      <c r="A399" s="1" t="s">
        <v>457</v>
      </c>
      <c r="B399" s="1">
        <v>10397</v>
      </c>
      <c r="C399" s="1">
        <v>21</v>
      </c>
      <c r="D399" s="1" t="s">
        <v>710</v>
      </c>
      <c r="E399">
        <v>8</v>
      </c>
      <c r="F399" s="1">
        <v>10</v>
      </c>
      <c r="G399" s="1">
        <v>0.15</v>
      </c>
      <c r="H399" s="2">
        <v>34726</v>
      </c>
    </row>
    <row r="400" spans="1:8" x14ac:dyDescent="0.4">
      <c r="A400" s="1" t="s">
        <v>457</v>
      </c>
      <c r="B400" s="1">
        <v>10397</v>
      </c>
      <c r="C400" s="1">
        <v>51</v>
      </c>
      <c r="D400" s="1" t="s">
        <v>687</v>
      </c>
      <c r="E400">
        <v>42.4</v>
      </c>
      <c r="F400" s="1">
        <v>18</v>
      </c>
      <c r="G400" s="1">
        <v>0.15</v>
      </c>
      <c r="H400" s="2">
        <v>34726</v>
      </c>
    </row>
    <row r="401" spans="1:8" x14ac:dyDescent="0.4">
      <c r="A401" s="1" t="s">
        <v>529</v>
      </c>
      <c r="B401" s="1">
        <v>10398</v>
      </c>
      <c r="C401" s="1">
        <v>35</v>
      </c>
      <c r="D401" s="1" t="s">
        <v>714</v>
      </c>
      <c r="E401">
        <v>14.4</v>
      </c>
      <c r="F401" s="1">
        <v>30</v>
      </c>
      <c r="G401" s="1">
        <v>0</v>
      </c>
      <c r="H401" s="2">
        <v>34729</v>
      </c>
    </row>
    <row r="402" spans="1:8" x14ac:dyDescent="0.4">
      <c r="A402" s="1" t="s">
        <v>529</v>
      </c>
      <c r="B402" s="1">
        <v>10398</v>
      </c>
      <c r="C402" s="1">
        <v>55</v>
      </c>
      <c r="D402" s="1" t="s">
        <v>699</v>
      </c>
      <c r="E402">
        <v>19.2</v>
      </c>
      <c r="F402" s="1">
        <v>120</v>
      </c>
      <c r="G402" s="1">
        <v>0.1</v>
      </c>
      <c r="H402" s="2">
        <v>34729</v>
      </c>
    </row>
    <row r="403" spans="1:8" x14ac:dyDescent="0.4">
      <c r="A403" s="1" t="s">
        <v>612</v>
      </c>
      <c r="B403" s="1">
        <v>10399</v>
      </c>
      <c r="C403" s="1">
        <v>68</v>
      </c>
      <c r="D403" s="1" t="s">
        <v>739</v>
      </c>
      <c r="E403">
        <v>10</v>
      </c>
      <c r="F403" s="1">
        <v>60</v>
      </c>
      <c r="G403" s="1">
        <v>0</v>
      </c>
      <c r="H403" s="2">
        <v>34730</v>
      </c>
    </row>
    <row r="404" spans="1:8" x14ac:dyDescent="0.4">
      <c r="A404" s="1" t="s">
        <v>612</v>
      </c>
      <c r="B404" s="1">
        <v>10399</v>
      </c>
      <c r="C404" s="1">
        <v>71</v>
      </c>
      <c r="D404" s="1" t="s">
        <v>725</v>
      </c>
      <c r="E404">
        <v>17.2</v>
      </c>
      <c r="F404" s="1">
        <v>30</v>
      </c>
      <c r="G404" s="1">
        <v>0</v>
      </c>
      <c r="H404" s="2">
        <v>34730</v>
      </c>
    </row>
    <row r="405" spans="1:8" x14ac:dyDescent="0.4">
      <c r="A405" s="1" t="s">
        <v>612</v>
      </c>
      <c r="B405" s="1">
        <v>10399</v>
      </c>
      <c r="C405" s="1">
        <v>76</v>
      </c>
      <c r="D405" s="1" t="s">
        <v>721</v>
      </c>
      <c r="E405">
        <v>14.4</v>
      </c>
      <c r="F405" s="1">
        <v>35</v>
      </c>
      <c r="G405" s="1">
        <v>0</v>
      </c>
      <c r="H405" s="2">
        <v>34730</v>
      </c>
    </row>
    <row r="406" spans="1:8" x14ac:dyDescent="0.4">
      <c r="A406" s="1" t="s">
        <v>612</v>
      </c>
      <c r="B406" s="1">
        <v>10399</v>
      </c>
      <c r="C406" s="1">
        <v>77</v>
      </c>
      <c r="D406" s="1" t="s">
        <v>706</v>
      </c>
      <c r="E406">
        <v>10.4</v>
      </c>
      <c r="F406" s="1">
        <v>14</v>
      </c>
      <c r="G406" s="1">
        <v>0</v>
      </c>
      <c r="H406" s="2">
        <v>34730</v>
      </c>
    </row>
    <row r="407" spans="1:8" x14ac:dyDescent="0.4">
      <c r="A407" s="1" t="s">
        <v>154</v>
      </c>
      <c r="B407" s="1">
        <v>10400</v>
      </c>
      <c r="C407" s="1">
        <v>29</v>
      </c>
      <c r="D407" s="1" t="s">
        <v>722</v>
      </c>
      <c r="E407">
        <v>99</v>
      </c>
      <c r="F407" s="1">
        <v>21</v>
      </c>
      <c r="G407" s="1">
        <v>0</v>
      </c>
      <c r="H407" s="2">
        <v>34731</v>
      </c>
    </row>
    <row r="408" spans="1:8" x14ac:dyDescent="0.4">
      <c r="A408" s="1" t="s">
        <v>154</v>
      </c>
      <c r="B408" s="1">
        <v>10400</v>
      </c>
      <c r="C408" s="1">
        <v>35</v>
      </c>
      <c r="D408" s="1" t="s">
        <v>714</v>
      </c>
      <c r="E408">
        <v>14.4</v>
      </c>
      <c r="F408" s="1">
        <v>35</v>
      </c>
      <c r="G408" s="1">
        <v>0</v>
      </c>
      <c r="H408" s="2">
        <v>34731</v>
      </c>
    </row>
    <row r="409" spans="1:8" x14ac:dyDescent="0.4">
      <c r="A409" s="1" t="s">
        <v>154</v>
      </c>
      <c r="B409" s="1">
        <v>10400</v>
      </c>
      <c r="C409" s="1">
        <v>49</v>
      </c>
      <c r="D409" s="1" t="s">
        <v>697</v>
      </c>
      <c r="E409">
        <v>16</v>
      </c>
      <c r="F409" s="1">
        <v>30</v>
      </c>
      <c r="G409" s="1">
        <v>0</v>
      </c>
      <c r="H409" s="2">
        <v>34731</v>
      </c>
    </row>
    <row r="410" spans="1:8" x14ac:dyDescent="0.4">
      <c r="A410" s="1" t="s">
        <v>487</v>
      </c>
      <c r="B410" s="1">
        <v>10401</v>
      </c>
      <c r="C410" s="1">
        <v>30</v>
      </c>
      <c r="D410" s="1" t="s">
        <v>717</v>
      </c>
      <c r="E410">
        <v>20.7</v>
      </c>
      <c r="F410" s="1">
        <v>18</v>
      </c>
      <c r="G410" s="1">
        <v>0</v>
      </c>
      <c r="H410" s="2">
        <v>34731</v>
      </c>
    </row>
    <row r="411" spans="1:8" x14ac:dyDescent="0.4">
      <c r="A411" s="1" t="s">
        <v>487</v>
      </c>
      <c r="B411" s="1">
        <v>10401</v>
      </c>
      <c r="C411" s="1">
        <v>56</v>
      </c>
      <c r="D411" s="1" t="s">
        <v>716</v>
      </c>
      <c r="E411">
        <v>30.4</v>
      </c>
      <c r="F411" s="1">
        <v>70</v>
      </c>
      <c r="G411" s="1">
        <v>0</v>
      </c>
      <c r="H411" s="2">
        <v>34731</v>
      </c>
    </row>
    <row r="412" spans="1:8" x14ac:dyDescent="0.4">
      <c r="A412" s="1" t="s">
        <v>487</v>
      </c>
      <c r="B412" s="1">
        <v>10401</v>
      </c>
      <c r="C412" s="1">
        <v>65</v>
      </c>
      <c r="D412" s="1" t="s">
        <v>689</v>
      </c>
      <c r="E412">
        <v>16.8</v>
      </c>
      <c r="F412" s="1">
        <v>20</v>
      </c>
      <c r="G412" s="1">
        <v>0</v>
      </c>
      <c r="H412" s="2">
        <v>34731</v>
      </c>
    </row>
    <row r="413" spans="1:8" x14ac:dyDescent="0.4">
      <c r="A413" s="1" t="s">
        <v>487</v>
      </c>
      <c r="B413" s="1">
        <v>10401</v>
      </c>
      <c r="C413" s="1">
        <v>71</v>
      </c>
      <c r="D413" s="1" t="s">
        <v>725</v>
      </c>
      <c r="E413">
        <v>17.2</v>
      </c>
      <c r="F413" s="1">
        <v>60</v>
      </c>
      <c r="G413" s="1">
        <v>0</v>
      </c>
      <c r="H413" s="2">
        <v>34731</v>
      </c>
    </row>
    <row r="414" spans="1:8" x14ac:dyDescent="0.4">
      <c r="A414" s="1" t="s">
        <v>161</v>
      </c>
      <c r="B414" s="1">
        <v>10402</v>
      </c>
      <c r="C414" s="1">
        <v>23</v>
      </c>
      <c r="D414" s="1" t="s">
        <v>753</v>
      </c>
      <c r="E414">
        <v>7.2</v>
      </c>
      <c r="F414" s="1">
        <v>60</v>
      </c>
      <c r="G414" s="1">
        <v>0</v>
      </c>
      <c r="H414" s="2">
        <v>34732</v>
      </c>
    </row>
    <row r="415" spans="1:8" x14ac:dyDescent="0.4">
      <c r="A415" s="1" t="s">
        <v>161</v>
      </c>
      <c r="B415" s="1">
        <v>10402</v>
      </c>
      <c r="C415" s="1">
        <v>63</v>
      </c>
      <c r="D415" s="1" t="s">
        <v>729</v>
      </c>
      <c r="E415">
        <v>35.1</v>
      </c>
      <c r="F415" s="1">
        <v>65</v>
      </c>
      <c r="G415" s="1">
        <v>0</v>
      </c>
      <c r="H415" s="2">
        <v>34732</v>
      </c>
    </row>
    <row r="416" spans="1:8" x14ac:dyDescent="0.4">
      <c r="A416" s="1" t="s">
        <v>161</v>
      </c>
      <c r="B416" s="1">
        <v>10403</v>
      </c>
      <c r="C416" s="1">
        <v>16</v>
      </c>
      <c r="D416" s="1" t="s">
        <v>702</v>
      </c>
      <c r="E416">
        <v>13.9</v>
      </c>
      <c r="F416" s="1">
        <v>21</v>
      </c>
      <c r="G416" s="1">
        <v>0.15</v>
      </c>
      <c r="H416" s="2">
        <v>34733</v>
      </c>
    </row>
    <row r="417" spans="1:8" x14ac:dyDescent="0.4">
      <c r="A417" s="1" t="s">
        <v>161</v>
      </c>
      <c r="B417" s="1">
        <v>10403</v>
      </c>
      <c r="C417" s="1">
        <v>48</v>
      </c>
      <c r="D417" s="1" t="s">
        <v>757</v>
      </c>
      <c r="E417">
        <v>10.199999999999999</v>
      </c>
      <c r="F417" s="1">
        <v>70</v>
      </c>
      <c r="G417" s="1">
        <v>0.15</v>
      </c>
      <c r="H417" s="2">
        <v>34733</v>
      </c>
    </row>
    <row r="418" spans="1:8" x14ac:dyDescent="0.4">
      <c r="A418" s="1" t="s">
        <v>378</v>
      </c>
      <c r="B418" s="1">
        <v>10404</v>
      </c>
      <c r="C418" s="1">
        <v>26</v>
      </c>
      <c r="D418" s="1" t="s">
        <v>751</v>
      </c>
      <c r="E418">
        <v>24.9</v>
      </c>
      <c r="F418" s="1">
        <v>30</v>
      </c>
      <c r="G418" s="1">
        <v>0.05</v>
      </c>
      <c r="H418" s="2">
        <v>34733</v>
      </c>
    </row>
    <row r="419" spans="1:8" x14ac:dyDescent="0.4">
      <c r="A419" s="1" t="s">
        <v>378</v>
      </c>
      <c r="B419" s="1">
        <v>10404</v>
      </c>
      <c r="C419" s="1">
        <v>42</v>
      </c>
      <c r="D419" s="1" t="s">
        <v>684</v>
      </c>
      <c r="E419">
        <v>11.2</v>
      </c>
      <c r="F419" s="1">
        <v>40</v>
      </c>
      <c r="G419" s="1">
        <v>0.05</v>
      </c>
      <c r="H419" s="2">
        <v>34733</v>
      </c>
    </row>
    <row r="420" spans="1:8" x14ac:dyDescent="0.4">
      <c r="A420" s="1" t="s">
        <v>378</v>
      </c>
      <c r="B420" s="1">
        <v>10404</v>
      </c>
      <c r="C420" s="1">
        <v>49</v>
      </c>
      <c r="D420" s="1" t="s">
        <v>697</v>
      </c>
      <c r="E420">
        <v>16</v>
      </c>
      <c r="F420" s="1">
        <v>30</v>
      </c>
      <c r="G420" s="1">
        <v>0.05</v>
      </c>
      <c r="H420" s="2">
        <v>34733</v>
      </c>
    </row>
    <row r="421" spans="1:8" x14ac:dyDescent="0.4">
      <c r="A421" s="1" t="s">
        <v>363</v>
      </c>
      <c r="B421" s="1">
        <v>10405</v>
      </c>
      <c r="C421" s="1">
        <v>3</v>
      </c>
      <c r="D421" s="1" t="s">
        <v>740</v>
      </c>
      <c r="E421">
        <v>8</v>
      </c>
      <c r="F421" s="1">
        <v>50</v>
      </c>
      <c r="G421" s="1">
        <v>0</v>
      </c>
      <c r="H421" s="2">
        <v>34736</v>
      </c>
    </row>
    <row r="422" spans="1:8" x14ac:dyDescent="0.4">
      <c r="A422" s="1" t="s">
        <v>469</v>
      </c>
      <c r="B422" s="1">
        <v>10406</v>
      </c>
      <c r="C422" s="1">
        <v>1</v>
      </c>
      <c r="D422" s="1" t="s">
        <v>735</v>
      </c>
      <c r="E422">
        <v>14.4</v>
      </c>
      <c r="F422" s="1">
        <v>10</v>
      </c>
      <c r="G422" s="1">
        <v>0</v>
      </c>
      <c r="H422" s="2">
        <v>34737</v>
      </c>
    </row>
    <row r="423" spans="1:8" x14ac:dyDescent="0.4">
      <c r="A423" s="1" t="s">
        <v>469</v>
      </c>
      <c r="B423" s="1">
        <v>10406</v>
      </c>
      <c r="C423" s="1">
        <v>21</v>
      </c>
      <c r="D423" s="1" t="s">
        <v>710</v>
      </c>
      <c r="E423">
        <v>8</v>
      </c>
      <c r="F423" s="1">
        <v>30</v>
      </c>
      <c r="G423" s="1">
        <v>0.1</v>
      </c>
      <c r="H423" s="2">
        <v>34737</v>
      </c>
    </row>
    <row r="424" spans="1:8" x14ac:dyDescent="0.4">
      <c r="A424" s="1" t="s">
        <v>469</v>
      </c>
      <c r="B424" s="1">
        <v>10406</v>
      </c>
      <c r="C424" s="1">
        <v>28</v>
      </c>
      <c r="D424" s="1" t="s">
        <v>727</v>
      </c>
      <c r="E424">
        <v>36.4</v>
      </c>
      <c r="F424" s="1">
        <v>42</v>
      </c>
      <c r="G424" s="1">
        <v>0.1</v>
      </c>
      <c r="H424" s="2">
        <v>34737</v>
      </c>
    </row>
    <row r="425" spans="1:8" x14ac:dyDescent="0.4">
      <c r="A425" s="1" t="s">
        <v>469</v>
      </c>
      <c r="B425" s="1">
        <v>10406</v>
      </c>
      <c r="C425" s="1">
        <v>36</v>
      </c>
      <c r="D425" s="1" t="s">
        <v>703</v>
      </c>
      <c r="E425">
        <v>15.2</v>
      </c>
      <c r="F425" s="1">
        <v>5</v>
      </c>
      <c r="G425" s="1">
        <v>0.1</v>
      </c>
      <c r="H425" s="2">
        <v>34737</v>
      </c>
    </row>
    <row r="426" spans="1:8" x14ac:dyDescent="0.4">
      <c r="A426" s="1" t="s">
        <v>469</v>
      </c>
      <c r="B426" s="1">
        <v>10406</v>
      </c>
      <c r="C426" s="1">
        <v>40</v>
      </c>
      <c r="D426" s="1" t="s">
        <v>720</v>
      </c>
      <c r="E426">
        <v>14.7</v>
      </c>
      <c r="F426" s="1">
        <v>2</v>
      </c>
      <c r="G426" s="1">
        <v>0.1</v>
      </c>
      <c r="H426" s="2">
        <v>34737</v>
      </c>
    </row>
    <row r="427" spans="1:8" x14ac:dyDescent="0.4">
      <c r="A427" s="1" t="s">
        <v>430</v>
      </c>
      <c r="B427" s="1">
        <v>10407</v>
      </c>
      <c r="C427" s="1">
        <v>11</v>
      </c>
      <c r="D427" s="1" t="s">
        <v>683</v>
      </c>
      <c r="E427">
        <v>16.8</v>
      </c>
      <c r="F427" s="1">
        <v>30</v>
      </c>
      <c r="G427" s="1">
        <v>0</v>
      </c>
      <c r="H427" s="2">
        <v>34737</v>
      </c>
    </row>
    <row r="428" spans="1:8" x14ac:dyDescent="0.4">
      <c r="A428" s="1" t="s">
        <v>430</v>
      </c>
      <c r="B428" s="1">
        <v>10407</v>
      </c>
      <c r="C428" s="1">
        <v>69</v>
      </c>
      <c r="D428" s="1" t="s">
        <v>743</v>
      </c>
      <c r="E428">
        <v>28.8</v>
      </c>
      <c r="F428" s="1">
        <v>15</v>
      </c>
      <c r="G428" s="1">
        <v>0</v>
      </c>
      <c r="H428" s="2">
        <v>34737</v>
      </c>
    </row>
    <row r="429" spans="1:8" x14ac:dyDescent="0.4">
      <c r="A429" s="1" t="s">
        <v>430</v>
      </c>
      <c r="B429" s="1">
        <v>10407</v>
      </c>
      <c r="C429" s="1">
        <v>71</v>
      </c>
      <c r="D429" s="1" t="s">
        <v>725</v>
      </c>
      <c r="E429">
        <v>17.2</v>
      </c>
      <c r="F429" s="1">
        <v>15</v>
      </c>
      <c r="G429" s="1">
        <v>0</v>
      </c>
      <c r="H429" s="2">
        <v>34737</v>
      </c>
    </row>
    <row r="430" spans="1:8" x14ac:dyDescent="0.4">
      <c r="A430" s="1" t="s">
        <v>183</v>
      </c>
      <c r="B430" s="1">
        <v>10408</v>
      </c>
      <c r="C430" s="1">
        <v>37</v>
      </c>
      <c r="D430" s="1" t="s">
        <v>711</v>
      </c>
      <c r="E430">
        <v>20.8</v>
      </c>
      <c r="F430" s="1">
        <v>10</v>
      </c>
      <c r="G430" s="1">
        <v>0</v>
      </c>
      <c r="H430" s="2">
        <v>34738</v>
      </c>
    </row>
    <row r="431" spans="1:8" x14ac:dyDescent="0.4">
      <c r="A431" s="1" t="s">
        <v>183</v>
      </c>
      <c r="B431" s="1">
        <v>10408</v>
      </c>
      <c r="C431" s="1">
        <v>54</v>
      </c>
      <c r="D431" s="1" t="s">
        <v>738</v>
      </c>
      <c r="E431">
        <v>5.9</v>
      </c>
      <c r="F431" s="1">
        <v>6</v>
      </c>
      <c r="G431" s="1">
        <v>0</v>
      </c>
      <c r="H431" s="2">
        <v>34738</v>
      </c>
    </row>
    <row r="432" spans="1:8" x14ac:dyDescent="0.4">
      <c r="A432" s="1" t="s">
        <v>183</v>
      </c>
      <c r="B432" s="1">
        <v>10408</v>
      </c>
      <c r="C432" s="1">
        <v>62</v>
      </c>
      <c r="D432" s="1" t="s">
        <v>712</v>
      </c>
      <c r="E432">
        <v>39.4</v>
      </c>
      <c r="F432" s="1">
        <v>35</v>
      </c>
      <c r="G432" s="1">
        <v>0</v>
      </c>
      <c r="H432" s="2">
        <v>34738</v>
      </c>
    </row>
    <row r="433" spans="1:8" x14ac:dyDescent="0.4">
      <c r="A433" s="1" t="s">
        <v>416</v>
      </c>
      <c r="B433" s="1">
        <v>10409</v>
      </c>
      <c r="C433" s="1">
        <v>14</v>
      </c>
      <c r="D433" s="1" t="s">
        <v>686</v>
      </c>
      <c r="E433">
        <v>18.600000000000001</v>
      </c>
      <c r="F433" s="1">
        <v>12</v>
      </c>
      <c r="G433" s="1">
        <v>0</v>
      </c>
      <c r="H433" s="2">
        <v>34739</v>
      </c>
    </row>
    <row r="434" spans="1:8" x14ac:dyDescent="0.4">
      <c r="A434" s="1" t="s">
        <v>416</v>
      </c>
      <c r="B434" s="1">
        <v>10409</v>
      </c>
      <c r="C434" s="1">
        <v>21</v>
      </c>
      <c r="D434" s="1" t="s">
        <v>710</v>
      </c>
      <c r="E434">
        <v>8</v>
      </c>
      <c r="F434" s="1">
        <v>12</v>
      </c>
      <c r="G434" s="1">
        <v>0</v>
      </c>
      <c r="H434" s="2">
        <v>34739</v>
      </c>
    </row>
    <row r="435" spans="1:8" x14ac:dyDescent="0.4">
      <c r="A435" s="1" t="s">
        <v>84</v>
      </c>
      <c r="B435" s="1">
        <v>10410</v>
      </c>
      <c r="C435" s="1">
        <v>33</v>
      </c>
      <c r="D435" s="1" t="s">
        <v>693</v>
      </c>
      <c r="E435">
        <v>2</v>
      </c>
      <c r="F435" s="1">
        <v>49</v>
      </c>
      <c r="G435" s="1">
        <v>0</v>
      </c>
      <c r="H435" s="2">
        <v>34740</v>
      </c>
    </row>
    <row r="436" spans="1:8" x14ac:dyDescent="0.4">
      <c r="A436" s="1" t="s">
        <v>84</v>
      </c>
      <c r="B436" s="1">
        <v>10410</v>
      </c>
      <c r="C436" s="1">
        <v>59</v>
      </c>
      <c r="D436" s="1" t="s">
        <v>704</v>
      </c>
      <c r="E436">
        <v>44</v>
      </c>
      <c r="F436" s="1">
        <v>16</v>
      </c>
      <c r="G436" s="1">
        <v>0</v>
      </c>
      <c r="H436" s="2">
        <v>34740</v>
      </c>
    </row>
    <row r="437" spans="1:8" x14ac:dyDescent="0.4">
      <c r="A437" s="1" t="s">
        <v>84</v>
      </c>
      <c r="B437" s="1">
        <v>10411</v>
      </c>
      <c r="C437" s="1">
        <v>41</v>
      </c>
      <c r="D437" s="1" t="s">
        <v>688</v>
      </c>
      <c r="E437">
        <v>7.7</v>
      </c>
      <c r="F437" s="1">
        <v>25</v>
      </c>
      <c r="G437" s="1">
        <v>0.2</v>
      </c>
      <c r="H437" s="2">
        <v>34740</v>
      </c>
    </row>
    <row r="438" spans="1:8" x14ac:dyDescent="0.4">
      <c r="A438" s="1" t="s">
        <v>84</v>
      </c>
      <c r="B438" s="1">
        <v>10411</v>
      </c>
      <c r="C438" s="1">
        <v>44</v>
      </c>
      <c r="D438" s="1" t="s">
        <v>728</v>
      </c>
      <c r="E438">
        <v>15.5</v>
      </c>
      <c r="F438" s="1">
        <v>40</v>
      </c>
      <c r="G438" s="1">
        <v>0.2</v>
      </c>
      <c r="H438" s="2">
        <v>34740</v>
      </c>
    </row>
    <row r="439" spans="1:8" x14ac:dyDescent="0.4">
      <c r="A439" s="1" t="s">
        <v>84</v>
      </c>
      <c r="B439" s="1">
        <v>10411</v>
      </c>
      <c r="C439" s="1">
        <v>59</v>
      </c>
      <c r="D439" s="1" t="s">
        <v>704</v>
      </c>
      <c r="E439">
        <v>44</v>
      </c>
      <c r="F439" s="1">
        <v>9</v>
      </c>
      <c r="G439" s="1">
        <v>0.2</v>
      </c>
      <c r="H439" s="2">
        <v>34740</v>
      </c>
    </row>
    <row r="440" spans="1:8" x14ac:dyDescent="0.4">
      <c r="A440" s="1" t="s">
        <v>640</v>
      </c>
      <c r="B440" s="1">
        <v>10412</v>
      </c>
      <c r="C440" s="1">
        <v>14</v>
      </c>
      <c r="D440" s="1" t="s">
        <v>686</v>
      </c>
      <c r="E440">
        <v>18.600000000000001</v>
      </c>
      <c r="F440" s="1">
        <v>20</v>
      </c>
      <c r="G440" s="1">
        <v>0.1</v>
      </c>
      <c r="H440" s="2">
        <v>34743</v>
      </c>
    </row>
    <row r="441" spans="1:8" x14ac:dyDescent="0.4">
      <c r="A441" s="1" t="s">
        <v>318</v>
      </c>
      <c r="B441" s="1">
        <v>10413</v>
      </c>
      <c r="C441" s="1">
        <v>1</v>
      </c>
      <c r="D441" s="1" t="s">
        <v>735</v>
      </c>
      <c r="E441">
        <v>14.4</v>
      </c>
      <c r="F441" s="1">
        <v>24</v>
      </c>
      <c r="G441" s="1">
        <v>0</v>
      </c>
      <c r="H441" s="2">
        <v>34744</v>
      </c>
    </row>
    <row r="442" spans="1:8" x14ac:dyDescent="0.4">
      <c r="A442" s="1" t="s">
        <v>318</v>
      </c>
      <c r="B442" s="1">
        <v>10413</v>
      </c>
      <c r="C442" s="1">
        <v>62</v>
      </c>
      <c r="D442" s="1" t="s">
        <v>712</v>
      </c>
      <c r="E442">
        <v>39.4</v>
      </c>
      <c r="F442" s="1">
        <v>40</v>
      </c>
      <c r="G442" s="1">
        <v>0</v>
      </c>
      <c r="H442" s="2">
        <v>34744</v>
      </c>
    </row>
    <row r="443" spans="1:8" x14ac:dyDescent="0.4">
      <c r="A443" s="1" t="s">
        <v>318</v>
      </c>
      <c r="B443" s="1">
        <v>10413</v>
      </c>
      <c r="C443" s="1">
        <v>76</v>
      </c>
      <c r="D443" s="1" t="s">
        <v>721</v>
      </c>
      <c r="E443">
        <v>14.4</v>
      </c>
      <c r="F443" s="1">
        <v>14</v>
      </c>
      <c r="G443" s="1">
        <v>0</v>
      </c>
      <c r="H443" s="2">
        <v>34744</v>
      </c>
    </row>
    <row r="444" spans="1:8" x14ac:dyDescent="0.4">
      <c r="A444" s="1" t="s">
        <v>170</v>
      </c>
      <c r="B444" s="1">
        <v>10414</v>
      </c>
      <c r="C444" s="1">
        <v>19</v>
      </c>
      <c r="D444" s="1" t="s">
        <v>732</v>
      </c>
      <c r="E444">
        <v>7.3</v>
      </c>
      <c r="F444" s="1">
        <v>18</v>
      </c>
      <c r="G444" s="1">
        <v>0.05</v>
      </c>
      <c r="H444" s="2">
        <v>34744</v>
      </c>
    </row>
    <row r="445" spans="1:8" x14ac:dyDescent="0.4">
      <c r="A445" s="1" t="s">
        <v>170</v>
      </c>
      <c r="B445" s="1">
        <v>10414</v>
      </c>
      <c r="C445" s="1">
        <v>33</v>
      </c>
      <c r="D445" s="1" t="s">
        <v>693</v>
      </c>
      <c r="E445">
        <v>2</v>
      </c>
      <c r="F445" s="1">
        <v>50</v>
      </c>
      <c r="G445" s="1">
        <v>0</v>
      </c>
      <c r="H445" s="2">
        <v>34744</v>
      </c>
    </row>
    <row r="446" spans="1:8" x14ac:dyDescent="0.4">
      <c r="A446" s="1" t="s">
        <v>281</v>
      </c>
      <c r="B446" s="1">
        <v>10415</v>
      </c>
      <c r="C446" s="1">
        <v>17</v>
      </c>
      <c r="D446" s="1" t="s">
        <v>718</v>
      </c>
      <c r="E446">
        <v>31.2</v>
      </c>
      <c r="F446" s="1">
        <v>2</v>
      </c>
      <c r="G446" s="1">
        <v>0</v>
      </c>
      <c r="H446" s="2">
        <v>34745</v>
      </c>
    </row>
    <row r="447" spans="1:8" x14ac:dyDescent="0.4">
      <c r="A447" s="1" t="s">
        <v>281</v>
      </c>
      <c r="B447" s="1">
        <v>10415</v>
      </c>
      <c r="C447" s="1">
        <v>33</v>
      </c>
      <c r="D447" s="1" t="s">
        <v>693</v>
      </c>
      <c r="E447">
        <v>2</v>
      </c>
      <c r="F447" s="1">
        <v>20</v>
      </c>
      <c r="G447" s="1">
        <v>0</v>
      </c>
      <c r="H447" s="2">
        <v>34745</v>
      </c>
    </row>
    <row r="448" spans="1:8" x14ac:dyDescent="0.4">
      <c r="A448" s="1" t="s">
        <v>640</v>
      </c>
      <c r="B448" s="1">
        <v>10416</v>
      </c>
      <c r="C448" s="1">
        <v>19</v>
      </c>
      <c r="D448" s="1" t="s">
        <v>732</v>
      </c>
      <c r="E448">
        <v>7.3</v>
      </c>
      <c r="F448" s="1">
        <v>20</v>
      </c>
      <c r="G448" s="1">
        <v>0</v>
      </c>
      <c r="H448" s="2">
        <v>34746</v>
      </c>
    </row>
    <row r="449" spans="1:8" x14ac:dyDescent="0.4">
      <c r="A449" s="1" t="s">
        <v>640</v>
      </c>
      <c r="B449" s="1">
        <v>10416</v>
      </c>
      <c r="C449" s="1">
        <v>53</v>
      </c>
      <c r="D449" s="1" t="s">
        <v>705</v>
      </c>
      <c r="E449">
        <v>26.2</v>
      </c>
      <c r="F449" s="1">
        <v>10</v>
      </c>
      <c r="G449" s="1">
        <v>0</v>
      </c>
      <c r="H449" s="2">
        <v>34746</v>
      </c>
    </row>
    <row r="450" spans="1:8" x14ac:dyDescent="0.4">
      <c r="A450" s="1" t="s">
        <v>640</v>
      </c>
      <c r="B450" s="1">
        <v>10416</v>
      </c>
      <c r="C450" s="1">
        <v>57</v>
      </c>
      <c r="D450" s="1" t="s">
        <v>691</v>
      </c>
      <c r="E450">
        <v>15.6</v>
      </c>
      <c r="F450" s="1">
        <v>20</v>
      </c>
      <c r="G450" s="1">
        <v>0</v>
      </c>
      <c r="H450" s="2">
        <v>34746</v>
      </c>
    </row>
    <row r="451" spans="1:8" x14ac:dyDescent="0.4">
      <c r="A451" s="1" t="s">
        <v>543</v>
      </c>
      <c r="B451" s="1">
        <v>10417</v>
      </c>
      <c r="C451" s="1">
        <v>38</v>
      </c>
      <c r="D451" s="1" t="s">
        <v>750</v>
      </c>
      <c r="E451">
        <v>210.8</v>
      </c>
      <c r="F451" s="1">
        <v>50</v>
      </c>
      <c r="G451" s="1">
        <v>0</v>
      </c>
      <c r="H451" s="2">
        <v>34746</v>
      </c>
    </row>
    <row r="452" spans="1:8" x14ac:dyDescent="0.4">
      <c r="A452" s="1" t="s">
        <v>543</v>
      </c>
      <c r="B452" s="1">
        <v>10417</v>
      </c>
      <c r="C452" s="1">
        <v>46</v>
      </c>
      <c r="D452" s="1" t="s">
        <v>737</v>
      </c>
      <c r="E452">
        <v>9.6</v>
      </c>
      <c r="F452" s="1">
        <v>2</v>
      </c>
      <c r="G452" s="1">
        <v>0.25</v>
      </c>
      <c r="H452" s="2">
        <v>34746</v>
      </c>
    </row>
    <row r="453" spans="1:8" x14ac:dyDescent="0.4">
      <c r="A453" s="1" t="s">
        <v>543</v>
      </c>
      <c r="B453" s="1">
        <v>10417</v>
      </c>
      <c r="C453" s="1">
        <v>68</v>
      </c>
      <c r="D453" s="1" t="s">
        <v>739</v>
      </c>
      <c r="E453">
        <v>10</v>
      </c>
      <c r="F453" s="1">
        <v>36</v>
      </c>
      <c r="G453" s="1">
        <v>0.25</v>
      </c>
      <c r="H453" s="2">
        <v>34746</v>
      </c>
    </row>
    <row r="454" spans="1:8" x14ac:dyDescent="0.4">
      <c r="A454" s="1" t="s">
        <v>543</v>
      </c>
      <c r="B454" s="1">
        <v>10417</v>
      </c>
      <c r="C454" s="1">
        <v>77</v>
      </c>
      <c r="D454" s="1" t="s">
        <v>706</v>
      </c>
      <c r="E454">
        <v>10.4</v>
      </c>
      <c r="F454" s="1">
        <v>35</v>
      </c>
      <c r="G454" s="1">
        <v>0</v>
      </c>
      <c r="H454" s="2">
        <v>34746</v>
      </c>
    </row>
    <row r="455" spans="1:8" x14ac:dyDescent="0.4">
      <c r="A455" s="1" t="s">
        <v>475</v>
      </c>
      <c r="B455" s="1">
        <v>10418</v>
      </c>
      <c r="C455" s="1">
        <v>2</v>
      </c>
      <c r="D455" s="1" t="s">
        <v>701</v>
      </c>
      <c r="E455">
        <v>15.2</v>
      </c>
      <c r="F455" s="1">
        <v>60</v>
      </c>
      <c r="G455" s="1">
        <v>0</v>
      </c>
      <c r="H455" s="2">
        <v>34747</v>
      </c>
    </row>
    <row r="456" spans="1:8" x14ac:dyDescent="0.4">
      <c r="A456" s="1" t="s">
        <v>475</v>
      </c>
      <c r="B456" s="1">
        <v>10418</v>
      </c>
      <c r="C456" s="1">
        <v>47</v>
      </c>
      <c r="D456" s="1" t="s">
        <v>752</v>
      </c>
      <c r="E456">
        <v>7.6</v>
      </c>
      <c r="F456" s="1">
        <v>55</v>
      </c>
      <c r="G456" s="1">
        <v>0</v>
      </c>
      <c r="H456" s="2">
        <v>34747</v>
      </c>
    </row>
    <row r="457" spans="1:8" x14ac:dyDescent="0.4">
      <c r="A457" s="1" t="s">
        <v>475</v>
      </c>
      <c r="B457" s="1">
        <v>10418</v>
      </c>
      <c r="C457" s="1">
        <v>61</v>
      </c>
      <c r="D457" s="1" t="s">
        <v>758</v>
      </c>
      <c r="E457">
        <v>22.8</v>
      </c>
      <c r="F457" s="1">
        <v>16</v>
      </c>
      <c r="G457" s="1">
        <v>0</v>
      </c>
      <c r="H457" s="2">
        <v>34747</v>
      </c>
    </row>
    <row r="458" spans="1:8" x14ac:dyDescent="0.4">
      <c r="A458" s="1" t="s">
        <v>475</v>
      </c>
      <c r="B458" s="1">
        <v>10418</v>
      </c>
      <c r="C458" s="1">
        <v>74</v>
      </c>
      <c r="D458" s="1" t="s">
        <v>700</v>
      </c>
      <c r="E458">
        <v>8</v>
      </c>
      <c r="F458" s="1">
        <v>15</v>
      </c>
      <c r="G458" s="1">
        <v>0</v>
      </c>
      <c r="H458" s="2">
        <v>34747</v>
      </c>
    </row>
    <row r="459" spans="1:8" x14ac:dyDescent="0.4">
      <c r="A459" s="1" t="s">
        <v>509</v>
      </c>
      <c r="B459" s="1">
        <v>10419</v>
      </c>
      <c r="C459" s="1">
        <v>60</v>
      </c>
      <c r="D459" s="1" t="s">
        <v>694</v>
      </c>
      <c r="E459">
        <v>27.2</v>
      </c>
      <c r="F459" s="1">
        <v>60</v>
      </c>
      <c r="G459" s="1">
        <v>0.05</v>
      </c>
      <c r="H459" s="2">
        <v>34750</v>
      </c>
    </row>
    <row r="460" spans="1:8" x14ac:dyDescent="0.4">
      <c r="A460" s="1" t="s">
        <v>509</v>
      </c>
      <c r="B460" s="1">
        <v>10419</v>
      </c>
      <c r="C460" s="1">
        <v>69</v>
      </c>
      <c r="D460" s="1" t="s">
        <v>743</v>
      </c>
      <c r="E460">
        <v>28.8</v>
      </c>
      <c r="F460" s="1">
        <v>20</v>
      </c>
      <c r="G460" s="1">
        <v>0.05</v>
      </c>
      <c r="H460" s="2">
        <v>34750</v>
      </c>
    </row>
    <row r="461" spans="1:8" x14ac:dyDescent="0.4">
      <c r="A461" s="1" t="s">
        <v>647</v>
      </c>
      <c r="B461" s="1">
        <v>10420</v>
      </c>
      <c r="C461" s="1">
        <v>9</v>
      </c>
      <c r="D461" s="1" t="s">
        <v>759</v>
      </c>
      <c r="E461">
        <v>77.599999999999994</v>
      </c>
      <c r="F461" s="1">
        <v>20</v>
      </c>
      <c r="G461" s="1">
        <v>0.1</v>
      </c>
      <c r="H461" s="2">
        <v>34751</v>
      </c>
    </row>
    <row r="462" spans="1:8" x14ac:dyDescent="0.4">
      <c r="A462" s="1" t="s">
        <v>647</v>
      </c>
      <c r="B462" s="1">
        <v>10420</v>
      </c>
      <c r="C462" s="1">
        <v>13</v>
      </c>
      <c r="D462" s="1" t="s">
        <v>726</v>
      </c>
      <c r="E462">
        <v>4.8</v>
      </c>
      <c r="F462" s="1">
        <v>2</v>
      </c>
      <c r="G462" s="1">
        <v>0.1</v>
      </c>
      <c r="H462" s="2">
        <v>34751</v>
      </c>
    </row>
    <row r="463" spans="1:8" x14ac:dyDescent="0.4">
      <c r="A463" s="1" t="s">
        <v>647</v>
      </c>
      <c r="B463" s="1">
        <v>10420</v>
      </c>
      <c r="C463" s="1">
        <v>70</v>
      </c>
      <c r="D463" s="1" t="s">
        <v>713</v>
      </c>
      <c r="E463">
        <v>12</v>
      </c>
      <c r="F463" s="1">
        <v>8</v>
      </c>
      <c r="G463" s="1">
        <v>0.1</v>
      </c>
      <c r="H463" s="2">
        <v>34751</v>
      </c>
    </row>
    <row r="464" spans="1:8" x14ac:dyDescent="0.4">
      <c r="A464" s="1" t="s">
        <v>647</v>
      </c>
      <c r="B464" s="1">
        <v>10420</v>
      </c>
      <c r="C464" s="1">
        <v>73</v>
      </c>
      <c r="D464" s="1" t="s">
        <v>730</v>
      </c>
      <c r="E464">
        <v>12</v>
      </c>
      <c r="F464" s="1">
        <v>20</v>
      </c>
      <c r="G464" s="1">
        <v>0.1</v>
      </c>
      <c r="H464" s="2">
        <v>34751</v>
      </c>
    </row>
    <row r="465" spans="1:8" x14ac:dyDescent="0.4">
      <c r="A465" s="1" t="s">
        <v>462</v>
      </c>
      <c r="B465" s="1">
        <v>10421</v>
      </c>
      <c r="C465" s="1">
        <v>19</v>
      </c>
      <c r="D465" s="1" t="s">
        <v>732</v>
      </c>
      <c r="E465">
        <v>7.3</v>
      </c>
      <c r="F465" s="1">
        <v>4</v>
      </c>
      <c r="G465" s="1">
        <v>0.15</v>
      </c>
      <c r="H465" s="2">
        <v>34751</v>
      </c>
    </row>
    <row r="466" spans="1:8" x14ac:dyDescent="0.4">
      <c r="A466" s="1" t="s">
        <v>462</v>
      </c>
      <c r="B466" s="1">
        <v>10421</v>
      </c>
      <c r="C466" s="1">
        <v>26</v>
      </c>
      <c r="D466" s="1" t="s">
        <v>751</v>
      </c>
      <c r="E466">
        <v>24.9</v>
      </c>
      <c r="F466" s="1">
        <v>30</v>
      </c>
      <c r="G466" s="1">
        <v>0</v>
      </c>
      <c r="H466" s="2">
        <v>34751</v>
      </c>
    </row>
    <row r="467" spans="1:8" x14ac:dyDescent="0.4">
      <c r="A467" s="1" t="s">
        <v>462</v>
      </c>
      <c r="B467" s="1">
        <v>10421</v>
      </c>
      <c r="C467" s="1">
        <v>53</v>
      </c>
      <c r="D467" s="1" t="s">
        <v>705</v>
      </c>
      <c r="E467">
        <v>26.2</v>
      </c>
      <c r="F467" s="1">
        <v>15</v>
      </c>
      <c r="G467" s="1">
        <v>0.15</v>
      </c>
      <c r="H467" s="2">
        <v>34751</v>
      </c>
    </row>
    <row r="468" spans="1:8" x14ac:dyDescent="0.4">
      <c r="A468" s="1" t="s">
        <v>462</v>
      </c>
      <c r="B468" s="1">
        <v>10421</v>
      </c>
      <c r="C468" s="1">
        <v>77</v>
      </c>
      <c r="D468" s="1" t="s">
        <v>706</v>
      </c>
      <c r="E468">
        <v>10.4</v>
      </c>
      <c r="F468" s="1">
        <v>10</v>
      </c>
      <c r="G468" s="1">
        <v>0.15</v>
      </c>
      <c r="H468" s="2">
        <v>34751</v>
      </c>
    </row>
    <row r="469" spans="1:8" x14ac:dyDescent="0.4">
      <c r="A469" s="1" t="s">
        <v>211</v>
      </c>
      <c r="B469" s="1">
        <v>10422</v>
      </c>
      <c r="C469" s="1">
        <v>26</v>
      </c>
      <c r="D469" s="1" t="s">
        <v>751</v>
      </c>
      <c r="E469">
        <v>24.9</v>
      </c>
      <c r="F469" s="1">
        <v>2</v>
      </c>
      <c r="G469" s="1">
        <v>0</v>
      </c>
      <c r="H469" s="2">
        <v>34752</v>
      </c>
    </row>
    <row r="470" spans="1:8" x14ac:dyDescent="0.4">
      <c r="A470" s="1" t="s">
        <v>240</v>
      </c>
      <c r="B470" s="1">
        <v>10423</v>
      </c>
      <c r="C470" s="1">
        <v>31</v>
      </c>
      <c r="D470" s="1" t="s">
        <v>695</v>
      </c>
      <c r="E470">
        <v>10</v>
      </c>
      <c r="F470" s="1">
        <v>14</v>
      </c>
      <c r="G470" s="1">
        <v>0</v>
      </c>
      <c r="H470" s="2">
        <v>34753</v>
      </c>
    </row>
    <row r="471" spans="1:8" x14ac:dyDescent="0.4">
      <c r="A471" s="1" t="s">
        <v>240</v>
      </c>
      <c r="B471" s="1">
        <v>10423</v>
      </c>
      <c r="C471" s="1">
        <v>59</v>
      </c>
      <c r="D471" s="1" t="s">
        <v>704</v>
      </c>
      <c r="E471">
        <v>44</v>
      </c>
      <c r="F471" s="1">
        <v>20</v>
      </c>
      <c r="G471" s="1">
        <v>0</v>
      </c>
      <c r="H471" s="2">
        <v>34753</v>
      </c>
    </row>
    <row r="472" spans="1:8" x14ac:dyDescent="0.4">
      <c r="A472" s="1" t="s">
        <v>394</v>
      </c>
      <c r="B472" s="1">
        <v>10424</v>
      </c>
      <c r="C472" s="1">
        <v>35</v>
      </c>
      <c r="D472" s="1" t="s">
        <v>714</v>
      </c>
      <c r="E472">
        <v>14.4</v>
      </c>
      <c r="F472" s="1">
        <v>60</v>
      </c>
      <c r="G472" s="1">
        <v>0.2</v>
      </c>
      <c r="H472" s="2">
        <v>34753</v>
      </c>
    </row>
    <row r="473" spans="1:8" x14ac:dyDescent="0.4">
      <c r="A473" s="1" t="s">
        <v>394</v>
      </c>
      <c r="B473" s="1">
        <v>10424</v>
      </c>
      <c r="C473" s="1">
        <v>38</v>
      </c>
      <c r="D473" s="1" t="s">
        <v>750</v>
      </c>
      <c r="E473">
        <v>210.8</v>
      </c>
      <c r="F473" s="1">
        <v>49</v>
      </c>
      <c r="G473" s="1">
        <v>0.2</v>
      </c>
      <c r="H473" s="2">
        <v>34753</v>
      </c>
    </row>
    <row r="474" spans="1:8" x14ac:dyDescent="0.4">
      <c r="A474" s="1" t="s">
        <v>394</v>
      </c>
      <c r="B474" s="1">
        <v>10424</v>
      </c>
      <c r="C474" s="1">
        <v>68</v>
      </c>
      <c r="D474" s="1" t="s">
        <v>739</v>
      </c>
      <c r="E474">
        <v>10</v>
      </c>
      <c r="F474" s="1">
        <v>30</v>
      </c>
      <c r="G474" s="1">
        <v>0.2</v>
      </c>
      <c r="H474" s="2">
        <v>34753</v>
      </c>
    </row>
    <row r="475" spans="1:8" x14ac:dyDescent="0.4">
      <c r="A475" s="1" t="s">
        <v>318</v>
      </c>
      <c r="B475" s="1">
        <v>10425</v>
      </c>
      <c r="C475" s="1">
        <v>55</v>
      </c>
      <c r="D475" s="1" t="s">
        <v>699</v>
      </c>
      <c r="E475">
        <v>19.2</v>
      </c>
      <c r="F475" s="1">
        <v>10</v>
      </c>
      <c r="G475" s="1">
        <v>0.25</v>
      </c>
      <c r="H475" s="2">
        <v>34754</v>
      </c>
    </row>
    <row r="476" spans="1:8" x14ac:dyDescent="0.4">
      <c r="A476" s="1" t="s">
        <v>318</v>
      </c>
      <c r="B476" s="1">
        <v>10425</v>
      </c>
      <c r="C476" s="1">
        <v>76</v>
      </c>
      <c r="D476" s="1" t="s">
        <v>721</v>
      </c>
      <c r="E476">
        <v>14.4</v>
      </c>
      <c r="F476" s="1">
        <v>20</v>
      </c>
      <c r="G476" s="1">
        <v>0.25</v>
      </c>
      <c r="H476" s="2">
        <v>34754</v>
      </c>
    </row>
    <row r="477" spans="1:8" x14ac:dyDescent="0.4">
      <c r="A477" s="1" t="s">
        <v>227</v>
      </c>
      <c r="B477" s="1">
        <v>10426</v>
      </c>
      <c r="C477" s="1">
        <v>56</v>
      </c>
      <c r="D477" s="1" t="s">
        <v>716</v>
      </c>
      <c r="E477">
        <v>30.4</v>
      </c>
      <c r="F477" s="1">
        <v>5</v>
      </c>
      <c r="G477" s="1">
        <v>0</v>
      </c>
      <c r="H477" s="2">
        <v>34757</v>
      </c>
    </row>
    <row r="478" spans="1:8" x14ac:dyDescent="0.4">
      <c r="A478" s="1" t="s">
        <v>227</v>
      </c>
      <c r="B478" s="1">
        <v>10426</v>
      </c>
      <c r="C478" s="1">
        <v>64</v>
      </c>
      <c r="D478" s="1" t="s">
        <v>741</v>
      </c>
      <c r="E478">
        <v>26.6</v>
      </c>
      <c r="F478" s="1">
        <v>7</v>
      </c>
      <c r="G478" s="1">
        <v>0</v>
      </c>
      <c r="H478" s="2">
        <v>34757</v>
      </c>
    </row>
    <row r="479" spans="1:8" x14ac:dyDescent="0.4">
      <c r="A479" s="1" t="s">
        <v>450</v>
      </c>
      <c r="B479" s="1">
        <v>10427</v>
      </c>
      <c r="C479" s="1">
        <v>14</v>
      </c>
      <c r="D479" s="1" t="s">
        <v>686</v>
      </c>
      <c r="E479">
        <v>18.600000000000001</v>
      </c>
      <c r="F479" s="1">
        <v>35</v>
      </c>
      <c r="G479" s="1">
        <v>0</v>
      </c>
      <c r="H479" s="2">
        <v>34757</v>
      </c>
    </row>
    <row r="480" spans="1:8" x14ac:dyDescent="0.4">
      <c r="A480" s="1" t="s">
        <v>496</v>
      </c>
      <c r="B480" s="1">
        <v>10428</v>
      </c>
      <c r="C480" s="1">
        <v>46</v>
      </c>
      <c r="D480" s="1" t="s">
        <v>737</v>
      </c>
      <c r="E480">
        <v>9.6</v>
      </c>
      <c r="F480" s="1">
        <v>20</v>
      </c>
      <c r="G480" s="1">
        <v>0</v>
      </c>
      <c r="H480" s="2">
        <v>34758</v>
      </c>
    </row>
    <row r="481" spans="1:8" x14ac:dyDescent="0.4">
      <c r="A481" s="1" t="s">
        <v>288</v>
      </c>
      <c r="B481" s="1">
        <v>10429</v>
      </c>
      <c r="C481" s="1">
        <v>50</v>
      </c>
      <c r="D481" s="1" t="s">
        <v>755</v>
      </c>
      <c r="E481">
        <v>13</v>
      </c>
      <c r="F481" s="1">
        <v>40</v>
      </c>
      <c r="G481" s="1">
        <v>0</v>
      </c>
      <c r="H481" s="2">
        <v>34759</v>
      </c>
    </row>
    <row r="482" spans="1:8" x14ac:dyDescent="0.4">
      <c r="A482" s="1" t="s">
        <v>288</v>
      </c>
      <c r="B482" s="1">
        <v>10429</v>
      </c>
      <c r="C482" s="1">
        <v>63</v>
      </c>
      <c r="D482" s="1" t="s">
        <v>729</v>
      </c>
      <c r="E482">
        <v>35.1</v>
      </c>
      <c r="F482" s="1">
        <v>35</v>
      </c>
      <c r="G482" s="1">
        <v>0.25</v>
      </c>
      <c r="H482" s="2">
        <v>34759</v>
      </c>
    </row>
    <row r="483" spans="1:8" x14ac:dyDescent="0.4">
      <c r="A483" s="1" t="s">
        <v>161</v>
      </c>
      <c r="B483" s="1">
        <v>10430</v>
      </c>
      <c r="C483" s="1">
        <v>17</v>
      </c>
      <c r="D483" s="1" t="s">
        <v>718</v>
      </c>
      <c r="E483">
        <v>31.2</v>
      </c>
      <c r="F483" s="1">
        <v>45</v>
      </c>
      <c r="G483" s="1">
        <v>0.2</v>
      </c>
      <c r="H483" s="2">
        <v>34760</v>
      </c>
    </row>
    <row r="484" spans="1:8" x14ac:dyDescent="0.4">
      <c r="A484" s="1" t="s">
        <v>161</v>
      </c>
      <c r="B484" s="1">
        <v>10430</v>
      </c>
      <c r="C484" s="1">
        <v>21</v>
      </c>
      <c r="D484" s="1" t="s">
        <v>710</v>
      </c>
      <c r="E484">
        <v>8</v>
      </c>
      <c r="F484" s="1">
        <v>50</v>
      </c>
      <c r="G484" s="1">
        <v>0</v>
      </c>
      <c r="H484" s="2">
        <v>34760</v>
      </c>
    </row>
    <row r="485" spans="1:8" x14ac:dyDescent="0.4">
      <c r="A485" s="1" t="s">
        <v>161</v>
      </c>
      <c r="B485" s="1">
        <v>10430</v>
      </c>
      <c r="C485" s="1">
        <v>56</v>
      </c>
      <c r="D485" s="1" t="s">
        <v>716</v>
      </c>
      <c r="E485">
        <v>30.4</v>
      </c>
      <c r="F485" s="1">
        <v>30</v>
      </c>
      <c r="G485" s="1">
        <v>0</v>
      </c>
      <c r="H485" s="2">
        <v>34760</v>
      </c>
    </row>
    <row r="486" spans="1:8" x14ac:dyDescent="0.4">
      <c r="A486" s="1" t="s">
        <v>161</v>
      </c>
      <c r="B486" s="1">
        <v>10430</v>
      </c>
      <c r="C486" s="1">
        <v>59</v>
      </c>
      <c r="D486" s="1" t="s">
        <v>704</v>
      </c>
      <c r="E486">
        <v>44</v>
      </c>
      <c r="F486" s="1">
        <v>70</v>
      </c>
      <c r="G486" s="1">
        <v>0.2</v>
      </c>
      <c r="H486" s="2">
        <v>34760</v>
      </c>
    </row>
    <row r="487" spans="1:8" x14ac:dyDescent="0.4">
      <c r="A487" s="1" t="s">
        <v>84</v>
      </c>
      <c r="B487" s="1">
        <v>10431</v>
      </c>
      <c r="C487" s="1">
        <v>17</v>
      </c>
      <c r="D487" s="1" t="s">
        <v>718</v>
      </c>
      <c r="E487">
        <v>31.2</v>
      </c>
      <c r="F487" s="1">
        <v>50</v>
      </c>
      <c r="G487" s="1">
        <v>0.25</v>
      </c>
      <c r="H487" s="2">
        <v>34760</v>
      </c>
    </row>
    <row r="488" spans="1:8" x14ac:dyDescent="0.4">
      <c r="A488" s="1" t="s">
        <v>84</v>
      </c>
      <c r="B488" s="1">
        <v>10431</v>
      </c>
      <c r="C488" s="1">
        <v>40</v>
      </c>
      <c r="D488" s="1" t="s">
        <v>720</v>
      </c>
      <c r="E488">
        <v>14.7</v>
      </c>
      <c r="F488" s="1">
        <v>50</v>
      </c>
      <c r="G488" s="1">
        <v>0.25</v>
      </c>
      <c r="H488" s="2">
        <v>34760</v>
      </c>
    </row>
    <row r="489" spans="1:8" x14ac:dyDescent="0.4">
      <c r="A489" s="1" t="s">
        <v>84</v>
      </c>
      <c r="B489" s="1">
        <v>10431</v>
      </c>
      <c r="C489" s="1">
        <v>47</v>
      </c>
      <c r="D489" s="1" t="s">
        <v>752</v>
      </c>
      <c r="E489">
        <v>7.6</v>
      </c>
      <c r="F489" s="1">
        <v>30</v>
      </c>
      <c r="G489" s="1">
        <v>0.25</v>
      </c>
      <c r="H489" s="2">
        <v>34760</v>
      </c>
    </row>
    <row r="490" spans="1:8" x14ac:dyDescent="0.4">
      <c r="A490" s="1" t="s">
        <v>557</v>
      </c>
      <c r="B490" s="1">
        <v>10432</v>
      </c>
      <c r="C490" s="1">
        <v>26</v>
      </c>
      <c r="D490" s="1" t="s">
        <v>751</v>
      </c>
      <c r="E490">
        <v>24.9</v>
      </c>
      <c r="F490" s="1">
        <v>10</v>
      </c>
      <c r="G490" s="1">
        <v>0</v>
      </c>
      <c r="H490" s="2">
        <v>34761</v>
      </c>
    </row>
    <row r="491" spans="1:8" x14ac:dyDescent="0.4">
      <c r="A491" s="1" t="s">
        <v>557</v>
      </c>
      <c r="B491" s="1">
        <v>10432</v>
      </c>
      <c r="C491" s="1">
        <v>54</v>
      </c>
      <c r="D491" s="1" t="s">
        <v>738</v>
      </c>
      <c r="E491">
        <v>5.9</v>
      </c>
      <c r="F491" s="1">
        <v>40</v>
      </c>
      <c r="G491" s="1">
        <v>0</v>
      </c>
      <c r="H491" s="2">
        <v>34761</v>
      </c>
    </row>
    <row r="492" spans="1:8" x14ac:dyDescent="0.4">
      <c r="A492" s="1" t="s">
        <v>457</v>
      </c>
      <c r="B492" s="1">
        <v>10433</v>
      </c>
      <c r="C492" s="1">
        <v>56</v>
      </c>
      <c r="D492" s="1" t="s">
        <v>716</v>
      </c>
      <c r="E492">
        <v>30.4</v>
      </c>
      <c r="F492" s="1">
        <v>28</v>
      </c>
      <c r="G492" s="1">
        <v>0</v>
      </c>
      <c r="H492" s="2">
        <v>34764</v>
      </c>
    </row>
    <row r="493" spans="1:8" x14ac:dyDescent="0.4">
      <c r="A493" s="1" t="s">
        <v>191</v>
      </c>
      <c r="B493" s="1">
        <v>10434</v>
      </c>
      <c r="C493" s="1">
        <v>11</v>
      </c>
      <c r="D493" s="1" t="s">
        <v>683</v>
      </c>
      <c r="E493">
        <v>16.8</v>
      </c>
      <c r="F493" s="1">
        <v>6</v>
      </c>
      <c r="G493" s="1">
        <v>0</v>
      </c>
      <c r="H493" s="2">
        <v>34764</v>
      </c>
    </row>
    <row r="494" spans="1:8" x14ac:dyDescent="0.4">
      <c r="A494" s="1" t="s">
        <v>191</v>
      </c>
      <c r="B494" s="1">
        <v>10434</v>
      </c>
      <c r="C494" s="1">
        <v>76</v>
      </c>
      <c r="D494" s="1" t="s">
        <v>721</v>
      </c>
      <c r="E494">
        <v>14.4</v>
      </c>
      <c r="F494" s="1">
        <v>18</v>
      </c>
      <c r="G494" s="1">
        <v>0.15</v>
      </c>
      <c r="H494" s="2">
        <v>34764</v>
      </c>
    </row>
    <row r="495" spans="1:8" x14ac:dyDescent="0.4">
      <c r="A495" s="1" t="s">
        <v>133</v>
      </c>
      <c r="B495" s="1">
        <v>10435</v>
      </c>
      <c r="C495" s="1">
        <v>2</v>
      </c>
      <c r="D495" s="1" t="s">
        <v>701</v>
      </c>
      <c r="E495">
        <v>15.2</v>
      </c>
      <c r="F495" s="1">
        <v>10</v>
      </c>
      <c r="G495" s="1">
        <v>0</v>
      </c>
      <c r="H495" s="2">
        <v>34765</v>
      </c>
    </row>
    <row r="496" spans="1:8" x14ac:dyDescent="0.4">
      <c r="A496" s="1" t="s">
        <v>133</v>
      </c>
      <c r="B496" s="1">
        <v>10435</v>
      </c>
      <c r="C496" s="1">
        <v>22</v>
      </c>
      <c r="D496" s="1" t="s">
        <v>690</v>
      </c>
      <c r="E496">
        <v>16.8</v>
      </c>
      <c r="F496" s="1">
        <v>12</v>
      </c>
      <c r="G496" s="1">
        <v>0</v>
      </c>
      <c r="H496" s="2">
        <v>34765</v>
      </c>
    </row>
    <row r="497" spans="1:8" x14ac:dyDescent="0.4">
      <c r="A497" s="1" t="s">
        <v>133</v>
      </c>
      <c r="B497" s="1">
        <v>10435</v>
      </c>
      <c r="C497" s="1">
        <v>72</v>
      </c>
      <c r="D497" s="1" t="s">
        <v>685</v>
      </c>
      <c r="E497">
        <v>27.8</v>
      </c>
      <c r="F497" s="1">
        <v>10</v>
      </c>
      <c r="G497" s="1">
        <v>0</v>
      </c>
      <c r="H497" s="2">
        <v>34765</v>
      </c>
    </row>
    <row r="498" spans="1:8" x14ac:dyDescent="0.4">
      <c r="A498" s="1" t="s">
        <v>60</v>
      </c>
      <c r="B498" s="1">
        <v>10436</v>
      </c>
      <c r="C498" s="1">
        <v>46</v>
      </c>
      <c r="D498" s="1" t="s">
        <v>737</v>
      </c>
      <c r="E498">
        <v>9.6</v>
      </c>
      <c r="F498" s="1">
        <v>5</v>
      </c>
      <c r="G498" s="1">
        <v>0</v>
      </c>
      <c r="H498" s="2">
        <v>34766</v>
      </c>
    </row>
    <row r="499" spans="1:8" x14ac:dyDescent="0.4">
      <c r="A499" s="1" t="s">
        <v>60</v>
      </c>
      <c r="B499" s="1">
        <v>10436</v>
      </c>
      <c r="C499" s="1">
        <v>56</v>
      </c>
      <c r="D499" s="1" t="s">
        <v>716</v>
      </c>
      <c r="E499">
        <v>30.4</v>
      </c>
      <c r="F499" s="1">
        <v>40</v>
      </c>
      <c r="G499" s="1">
        <v>0.1</v>
      </c>
      <c r="H499" s="2">
        <v>34766</v>
      </c>
    </row>
    <row r="500" spans="1:8" x14ac:dyDescent="0.4">
      <c r="A500" s="1" t="s">
        <v>60</v>
      </c>
      <c r="B500" s="1">
        <v>10436</v>
      </c>
      <c r="C500" s="1">
        <v>64</v>
      </c>
      <c r="D500" s="1" t="s">
        <v>741</v>
      </c>
      <c r="E500">
        <v>26.6</v>
      </c>
      <c r="F500" s="1">
        <v>30</v>
      </c>
      <c r="G500" s="1">
        <v>0.1</v>
      </c>
      <c r="H500" s="2">
        <v>34766</v>
      </c>
    </row>
    <row r="501" spans="1:8" x14ac:dyDescent="0.4">
      <c r="A501" s="1" t="s">
        <v>60</v>
      </c>
      <c r="B501" s="1">
        <v>10436</v>
      </c>
      <c r="C501" s="1">
        <v>75</v>
      </c>
      <c r="D501" s="1" t="s">
        <v>731</v>
      </c>
      <c r="E501">
        <v>6.2</v>
      </c>
      <c r="F501" s="1">
        <v>24</v>
      </c>
      <c r="G501" s="1">
        <v>0.1</v>
      </c>
      <c r="H501" s="2">
        <v>34766</v>
      </c>
    </row>
    <row r="502" spans="1:8" x14ac:dyDescent="0.4">
      <c r="A502" s="1" t="s">
        <v>640</v>
      </c>
      <c r="B502" s="1">
        <v>10437</v>
      </c>
      <c r="C502" s="1">
        <v>53</v>
      </c>
      <c r="D502" s="1" t="s">
        <v>705</v>
      </c>
      <c r="E502">
        <v>26.2</v>
      </c>
      <c r="F502" s="1">
        <v>15</v>
      </c>
      <c r="G502" s="1">
        <v>0</v>
      </c>
      <c r="H502" s="2">
        <v>34766</v>
      </c>
    </row>
    <row r="503" spans="1:8" x14ac:dyDescent="0.4">
      <c r="A503" s="1" t="s">
        <v>586</v>
      </c>
      <c r="B503" s="1">
        <v>10438</v>
      </c>
      <c r="C503" s="1">
        <v>19</v>
      </c>
      <c r="D503" s="1" t="s">
        <v>732</v>
      </c>
      <c r="E503">
        <v>7.3</v>
      </c>
      <c r="F503" s="1">
        <v>15</v>
      </c>
      <c r="G503" s="1">
        <v>0.2</v>
      </c>
      <c r="H503" s="2">
        <v>34767</v>
      </c>
    </row>
    <row r="504" spans="1:8" x14ac:dyDescent="0.4">
      <c r="A504" s="1" t="s">
        <v>586</v>
      </c>
      <c r="B504" s="1">
        <v>10438</v>
      </c>
      <c r="C504" s="1">
        <v>34</v>
      </c>
      <c r="D504" s="1" t="s">
        <v>736</v>
      </c>
      <c r="E504">
        <v>11.2</v>
      </c>
      <c r="F504" s="1">
        <v>20</v>
      </c>
      <c r="G504" s="1">
        <v>0.2</v>
      </c>
      <c r="H504" s="2">
        <v>34767</v>
      </c>
    </row>
    <row r="505" spans="1:8" x14ac:dyDescent="0.4">
      <c r="A505" s="1" t="s">
        <v>586</v>
      </c>
      <c r="B505" s="1">
        <v>10438</v>
      </c>
      <c r="C505" s="1">
        <v>57</v>
      </c>
      <c r="D505" s="1" t="s">
        <v>691</v>
      </c>
      <c r="E505">
        <v>15.6</v>
      </c>
      <c r="F505" s="1">
        <v>15</v>
      </c>
      <c r="G505" s="1">
        <v>0.2</v>
      </c>
      <c r="H505" s="2">
        <v>34767</v>
      </c>
    </row>
    <row r="506" spans="1:8" x14ac:dyDescent="0.4">
      <c r="A506" s="1" t="s">
        <v>394</v>
      </c>
      <c r="B506" s="1">
        <v>10439</v>
      </c>
      <c r="C506" s="1">
        <v>12</v>
      </c>
      <c r="D506" s="1" t="s">
        <v>719</v>
      </c>
      <c r="E506">
        <v>30.4</v>
      </c>
      <c r="F506" s="1">
        <v>15</v>
      </c>
      <c r="G506" s="1">
        <v>0</v>
      </c>
      <c r="H506" s="2">
        <v>34768</v>
      </c>
    </row>
    <row r="507" spans="1:8" x14ac:dyDescent="0.4">
      <c r="A507" s="1" t="s">
        <v>394</v>
      </c>
      <c r="B507" s="1">
        <v>10439</v>
      </c>
      <c r="C507" s="1">
        <v>16</v>
      </c>
      <c r="D507" s="1" t="s">
        <v>702</v>
      </c>
      <c r="E507">
        <v>13.9</v>
      </c>
      <c r="F507" s="1">
        <v>16</v>
      </c>
      <c r="G507" s="1">
        <v>0</v>
      </c>
      <c r="H507" s="2">
        <v>34768</v>
      </c>
    </row>
    <row r="508" spans="1:8" x14ac:dyDescent="0.4">
      <c r="A508" s="1" t="s">
        <v>394</v>
      </c>
      <c r="B508" s="1">
        <v>10439</v>
      </c>
      <c r="C508" s="1">
        <v>64</v>
      </c>
      <c r="D508" s="1" t="s">
        <v>741</v>
      </c>
      <c r="E508">
        <v>26.6</v>
      </c>
      <c r="F508" s="1">
        <v>6</v>
      </c>
      <c r="G508" s="1">
        <v>0</v>
      </c>
      <c r="H508" s="2">
        <v>34768</v>
      </c>
    </row>
    <row r="509" spans="1:8" x14ac:dyDescent="0.4">
      <c r="A509" s="1" t="s">
        <v>394</v>
      </c>
      <c r="B509" s="1">
        <v>10439</v>
      </c>
      <c r="C509" s="1">
        <v>74</v>
      </c>
      <c r="D509" s="1" t="s">
        <v>700</v>
      </c>
      <c r="E509">
        <v>8</v>
      </c>
      <c r="F509" s="1">
        <v>30</v>
      </c>
      <c r="G509" s="1">
        <v>0</v>
      </c>
      <c r="H509" s="2">
        <v>34768</v>
      </c>
    </row>
    <row r="510" spans="1:8" x14ac:dyDescent="0.4">
      <c r="A510" s="1" t="s">
        <v>529</v>
      </c>
      <c r="B510" s="1">
        <v>10440</v>
      </c>
      <c r="C510" s="1">
        <v>2</v>
      </c>
      <c r="D510" s="1" t="s">
        <v>701</v>
      </c>
      <c r="E510">
        <v>15.2</v>
      </c>
      <c r="F510" s="1">
        <v>45</v>
      </c>
      <c r="G510" s="1">
        <v>0.15</v>
      </c>
      <c r="H510" s="2">
        <v>34771</v>
      </c>
    </row>
    <row r="511" spans="1:8" x14ac:dyDescent="0.4">
      <c r="A511" s="1" t="s">
        <v>529</v>
      </c>
      <c r="B511" s="1">
        <v>10440</v>
      </c>
      <c r="C511" s="1">
        <v>16</v>
      </c>
      <c r="D511" s="1" t="s">
        <v>702</v>
      </c>
      <c r="E511">
        <v>13.9</v>
      </c>
      <c r="F511" s="1">
        <v>49</v>
      </c>
      <c r="G511" s="1">
        <v>0.15</v>
      </c>
      <c r="H511" s="2">
        <v>34771</v>
      </c>
    </row>
    <row r="512" spans="1:8" x14ac:dyDescent="0.4">
      <c r="A512" s="1" t="s">
        <v>529</v>
      </c>
      <c r="B512" s="1">
        <v>10440</v>
      </c>
      <c r="C512" s="1">
        <v>29</v>
      </c>
      <c r="D512" s="1" t="s">
        <v>722</v>
      </c>
      <c r="E512">
        <v>99</v>
      </c>
      <c r="F512" s="1">
        <v>24</v>
      </c>
      <c r="G512" s="1">
        <v>0.15</v>
      </c>
      <c r="H512" s="2">
        <v>34771</v>
      </c>
    </row>
    <row r="513" spans="1:8" x14ac:dyDescent="0.4">
      <c r="A513" s="1" t="s">
        <v>529</v>
      </c>
      <c r="B513" s="1">
        <v>10440</v>
      </c>
      <c r="C513" s="1">
        <v>61</v>
      </c>
      <c r="D513" s="1" t="s">
        <v>758</v>
      </c>
      <c r="E513">
        <v>22.8</v>
      </c>
      <c r="F513" s="1">
        <v>90</v>
      </c>
      <c r="G513" s="1">
        <v>0.15</v>
      </c>
      <c r="H513" s="2">
        <v>34771</v>
      </c>
    </row>
    <row r="514" spans="1:8" x14ac:dyDescent="0.4">
      <c r="A514" s="1" t="s">
        <v>422</v>
      </c>
      <c r="B514" s="1">
        <v>10441</v>
      </c>
      <c r="C514" s="1">
        <v>27</v>
      </c>
      <c r="D514" s="1" t="s">
        <v>707</v>
      </c>
      <c r="E514">
        <v>35.1</v>
      </c>
      <c r="F514" s="1">
        <v>50</v>
      </c>
      <c r="G514" s="1">
        <v>0</v>
      </c>
      <c r="H514" s="2">
        <v>34771</v>
      </c>
    </row>
    <row r="515" spans="1:8" x14ac:dyDescent="0.4">
      <c r="A515" s="1" t="s">
        <v>161</v>
      </c>
      <c r="B515" s="1">
        <v>10442</v>
      </c>
      <c r="C515" s="1">
        <v>11</v>
      </c>
      <c r="D515" s="1" t="s">
        <v>683</v>
      </c>
      <c r="E515">
        <v>16.8</v>
      </c>
      <c r="F515" s="1">
        <v>30</v>
      </c>
      <c r="G515" s="1">
        <v>0</v>
      </c>
      <c r="H515" s="2">
        <v>34772</v>
      </c>
    </row>
    <row r="516" spans="1:8" x14ac:dyDescent="0.4">
      <c r="A516" s="1" t="s">
        <v>161</v>
      </c>
      <c r="B516" s="1">
        <v>10442</v>
      </c>
      <c r="C516" s="1">
        <v>54</v>
      </c>
      <c r="D516" s="1" t="s">
        <v>738</v>
      </c>
      <c r="E516">
        <v>5.9</v>
      </c>
      <c r="F516" s="1">
        <v>80</v>
      </c>
      <c r="G516" s="1">
        <v>0</v>
      </c>
      <c r="H516" s="2">
        <v>34772</v>
      </c>
    </row>
    <row r="517" spans="1:8" x14ac:dyDescent="0.4">
      <c r="A517" s="1" t="s">
        <v>161</v>
      </c>
      <c r="B517" s="1">
        <v>10442</v>
      </c>
      <c r="C517" s="1">
        <v>66</v>
      </c>
      <c r="D517" s="1" t="s">
        <v>744</v>
      </c>
      <c r="E517">
        <v>13.6</v>
      </c>
      <c r="F517" s="1">
        <v>60</v>
      </c>
      <c r="G517" s="1">
        <v>0</v>
      </c>
      <c r="H517" s="2">
        <v>34772</v>
      </c>
    </row>
    <row r="518" spans="1:8" x14ac:dyDescent="0.4">
      <c r="A518" s="1" t="s">
        <v>496</v>
      </c>
      <c r="B518" s="1">
        <v>10443</v>
      </c>
      <c r="C518" s="1">
        <v>11</v>
      </c>
      <c r="D518" s="1" t="s">
        <v>683</v>
      </c>
      <c r="E518">
        <v>16.8</v>
      </c>
      <c r="F518" s="1">
        <v>6</v>
      </c>
      <c r="G518" s="1">
        <v>0.2</v>
      </c>
      <c r="H518" s="2">
        <v>34773</v>
      </c>
    </row>
    <row r="519" spans="1:8" x14ac:dyDescent="0.4">
      <c r="A519" s="1" t="s">
        <v>496</v>
      </c>
      <c r="B519" s="1">
        <v>10443</v>
      </c>
      <c r="C519" s="1">
        <v>28</v>
      </c>
      <c r="D519" s="1" t="s">
        <v>727</v>
      </c>
      <c r="E519">
        <v>36.4</v>
      </c>
      <c r="F519" s="1">
        <v>12</v>
      </c>
      <c r="G519" s="1">
        <v>0</v>
      </c>
      <c r="H519" s="2">
        <v>34773</v>
      </c>
    </row>
    <row r="520" spans="1:8" x14ac:dyDescent="0.4">
      <c r="A520" s="1" t="s">
        <v>43</v>
      </c>
      <c r="B520" s="1">
        <v>10444</v>
      </c>
      <c r="C520" s="1">
        <v>17</v>
      </c>
      <c r="D520" s="1" t="s">
        <v>718</v>
      </c>
      <c r="E520">
        <v>31.2</v>
      </c>
      <c r="F520" s="1">
        <v>10</v>
      </c>
      <c r="G520" s="1">
        <v>0</v>
      </c>
      <c r="H520" s="2">
        <v>34773</v>
      </c>
    </row>
    <row r="521" spans="1:8" x14ac:dyDescent="0.4">
      <c r="A521" s="1" t="s">
        <v>43</v>
      </c>
      <c r="B521" s="1">
        <v>10444</v>
      </c>
      <c r="C521" s="1">
        <v>26</v>
      </c>
      <c r="D521" s="1" t="s">
        <v>751</v>
      </c>
      <c r="E521">
        <v>24.9</v>
      </c>
      <c r="F521" s="1">
        <v>15</v>
      </c>
      <c r="G521" s="1">
        <v>0</v>
      </c>
      <c r="H521" s="2">
        <v>34773</v>
      </c>
    </row>
    <row r="522" spans="1:8" x14ac:dyDescent="0.4">
      <c r="A522" s="1" t="s">
        <v>43</v>
      </c>
      <c r="B522" s="1">
        <v>10444</v>
      </c>
      <c r="C522" s="1">
        <v>35</v>
      </c>
      <c r="D522" s="1" t="s">
        <v>714</v>
      </c>
      <c r="E522">
        <v>14.4</v>
      </c>
      <c r="F522" s="1">
        <v>8</v>
      </c>
      <c r="G522" s="1">
        <v>0</v>
      </c>
      <c r="H522" s="2">
        <v>34773</v>
      </c>
    </row>
    <row r="523" spans="1:8" x14ac:dyDescent="0.4">
      <c r="A523" s="1" t="s">
        <v>43</v>
      </c>
      <c r="B523" s="1">
        <v>10444</v>
      </c>
      <c r="C523" s="1">
        <v>41</v>
      </c>
      <c r="D523" s="1" t="s">
        <v>688</v>
      </c>
      <c r="E523">
        <v>7.7</v>
      </c>
      <c r="F523" s="1">
        <v>30</v>
      </c>
      <c r="G523" s="1">
        <v>0</v>
      </c>
      <c r="H523" s="2">
        <v>34773</v>
      </c>
    </row>
    <row r="524" spans="1:8" x14ac:dyDescent="0.4">
      <c r="A524" s="1" t="s">
        <v>43</v>
      </c>
      <c r="B524" s="1">
        <v>10445</v>
      </c>
      <c r="C524" s="1">
        <v>39</v>
      </c>
      <c r="D524" s="1" t="s">
        <v>696</v>
      </c>
      <c r="E524">
        <v>14.4</v>
      </c>
      <c r="F524" s="1">
        <v>6</v>
      </c>
      <c r="G524" s="1">
        <v>0</v>
      </c>
      <c r="H524" s="2">
        <v>34774</v>
      </c>
    </row>
    <row r="525" spans="1:8" x14ac:dyDescent="0.4">
      <c r="A525" s="1" t="s">
        <v>43</v>
      </c>
      <c r="B525" s="1">
        <v>10445</v>
      </c>
      <c r="C525" s="1">
        <v>54</v>
      </c>
      <c r="D525" s="1" t="s">
        <v>738</v>
      </c>
      <c r="E525">
        <v>5.9</v>
      </c>
      <c r="F525" s="1">
        <v>15</v>
      </c>
      <c r="G525" s="1">
        <v>0</v>
      </c>
      <c r="H525" s="2">
        <v>34774</v>
      </c>
    </row>
    <row r="526" spans="1:8" x14ac:dyDescent="0.4">
      <c r="A526" s="1" t="s">
        <v>586</v>
      </c>
      <c r="B526" s="1">
        <v>10446</v>
      </c>
      <c r="C526" s="1">
        <v>19</v>
      </c>
      <c r="D526" s="1" t="s">
        <v>732</v>
      </c>
      <c r="E526">
        <v>7.3</v>
      </c>
      <c r="F526" s="1">
        <v>12</v>
      </c>
      <c r="G526" s="1">
        <v>0.1</v>
      </c>
      <c r="H526" s="2">
        <v>34775</v>
      </c>
    </row>
    <row r="527" spans="1:8" x14ac:dyDescent="0.4">
      <c r="A527" s="1" t="s">
        <v>586</v>
      </c>
      <c r="B527" s="1">
        <v>10446</v>
      </c>
      <c r="C527" s="1">
        <v>24</v>
      </c>
      <c r="D527" s="1" t="s">
        <v>698</v>
      </c>
      <c r="E527">
        <v>3.6</v>
      </c>
      <c r="F527" s="1">
        <v>20</v>
      </c>
      <c r="G527" s="1">
        <v>0.1</v>
      </c>
      <c r="H527" s="2">
        <v>34775</v>
      </c>
    </row>
    <row r="528" spans="1:8" x14ac:dyDescent="0.4">
      <c r="A528" s="1" t="s">
        <v>586</v>
      </c>
      <c r="B528" s="1">
        <v>10446</v>
      </c>
      <c r="C528" s="1">
        <v>31</v>
      </c>
      <c r="D528" s="1" t="s">
        <v>695</v>
      </c>
      <c r="E528">
        <v>10</v>
      </c>
      <c r="F528" s="1">
        <v>3</v>
      </c>
      <c r="G528" s="1">
        <v>0.1</v>
      </c>
      <c r="H528" s="2">
        <v>34775</v>
      </c>
    </row>
    <row r="529" spans="1:8" x14ac:dyDescent="0.4">
      <c r="A529" s="1" t="s">
        <v>586</v>
      </c>
      <c r="B529" s="1">
        <v>10446</v>
      </c>
      <c r="C529" s="1">
        <v>52</v>
      </c>
      <c r="D529" s="1" t="s">
        <v>748</v>
      </c>
      <c r="E529">
        <v>5.6</v>
      </c>
      <c r="F529" s="1">
        <v>15</v>
      </c>
      <c r="G529" s="1">
        <v>0.1</v>
      </c>
      <c r="H529" s="2">
        <v>34775</v>
      </c>
    </row>
    <row r="530" spans="1:8" x14ac:dyDescent="0.4">
      <c r="A530" s="1" t="s">
        <v>503</v>
      </c>
      <c r="B530" s="1">
        <v>10447</v>
      </c>
      <c r="C530" s="1">
        <v>19</v>
      </c>
      <c r="D530" s="1" t="s">
        <v>732</v>
      </c>
      <c r="E530">
        <v>7.3</v>
      </c>
      <c r="F530" s="1">
        <v>40</v>
      </c>
      <c r="G530" s="1">
        <v>0</v>
      </c>
      <c r="H530" s="2">
        <v>34775</v>
      </c>
    </row>
    <row r="531" spans="1:8" x14ac:dyDescent="0.4">
      <c r="A531" s="1" t="s">
        <v>503</v>
      </c>
      <c r="B531" s="1">
        <v>10447</v>
      </c>
      <c r="C531" s="1">
        <v>65</v>
      </c>
      <c r="D531" s="1" t="s">
        <v>689</v>
      </c>
      <c r="E531">
        <v>16.8</v>
      </c>
      <c r="F531" s="1">
        <v>35</v>
      </c>
      <c r="G531" s="1">
        <v>0</v>
      </c>
      <c r="H531" s="2">
        <v>34775</v>
      </c>
    </row>
    <row r="532" spans="1:8" x14ac:dyDescent="0.4">
      <c r="A532" s="1" t="s">
        <v>503</v>
      </c>
      <c r="B532" s="1">
        <v>10447</v>
      </c>
      <c r="C532" s="1">
        <v>71</v>
      </c>
      <c r="D532" s="1" t="s">
        <v>725</v>
      </c>
      <c r="E532">
        <v>17.2</v>
      </c>
      <c r="F532" s="1">
        <v>2</v>
      </c>
      <c r="G532" s="1">
        <v>0</v>
      </c>
      <c r="H532" s="2">
        <v>34775</v>
      </c>
    </row>
    <row r="533" spans="1:8" x14ac:dyDescent="0.4">
      <c r="A533" s="1" t="s">
        <v>481</v>
      </c>
      <c r="B533" s="1">
        <v>10448</v>
      </c>
      <c r="C533" s="1">
        <v>26</v>
      </c>
      <c r="D533" s="1" t="s">
        <v>751</v>
      </c>
      <c r="E533">
        <v>24.9</v>
      </c>
      <c r="F533" s="1">
        <v>6</v>
      </c>
      <c r="G533" s="1">
        <v>0</v>
      </c>
      <c r="H533" s="2">
        <v>34778</v>
      </c>
    </row>
    <row r="534" spans="1:8" x14ac:dyDescent="0.4">
      <c r="A534" s="1" t="s">
        <v>481</v>
      </c>
      <c r="B534" s="1">
        <v>10448</v>
      </c>
      <c r="C534" s="1">
        <v>40</v>
      </c>
      <c r="D534" s="1" t="s">
        <v>720</v>
      </c>
      <c r="E534">
        <v>14.7</v>
      </c>
      <c r="F534" s="1">
        <v>20</v>
      </c>
      <c r="G534" s="1">
        <v>0</v>
      </c>
      <c r="H534" s="2">
        <v>34778</v>
      </c>
    </row>
    <row r="535" spans="1:8" x14ac:dyDescent="0.4">
      <c r="A535" s="1" t="s">
        <v>60</v>
      </c>
      <c r="B535" s="1">
        <v>10449</v>
      </c>
      <c r="C535" s="1">
        <v>10</v>
      </c>
      <c r="D535" s="1" t="s">
        <v>724</v>
      </c>
      <c r="E535">
        <v>24.8</v>
      </c>
      <c r="F535" s="1">
        <v>14</v>
      </c>
      <c r="G535" s="1">
        <v>0</v>
      </c>
      <c r="H535" s="2">
        <v>34779</v>
      </c>
    </row>
    <row r="536" spans="1:8" x14ac:dyDescent="0.4">
      <c r="A536" s="1" t="s">
        <v>60</v>
      </c>
      <c r="B536" s="1">
        <v>10449</v>
      </c>
      <c r="C536" s="1">
        <v>52</v>
      </c>
      <c r="D536" s="1" t="s">
        <v>748</v>
      </c>
      <c r="E536">
        <v>5.6</v>
      </c>
      <c r="F536" s="1">
        <v>20</v>
      </c>
      <c r="G536" s="1">
        <v>0</v>
      </c>
      <c r="H536" s="2">
        <v>34779</v>
      </c>
    </row>
    <row r="537" spans="1:8" x14ac:dyDescent="0.4">
      <c r="A537" s="1" t="s">
        <v>60</v>
      </c>
      <c r="B537" s="1">
        <v>10449</v>
      </c>
      <c r="C537" s="1">
        <v>62</v>
      </c>
      <c r="D537" s="1" t="s">
        <v>712</v>
      </c>
      <c r="E537">
        <v>39.4</v>
      </c>
      <c r="F537" s="1">
        <v>35</v>
      </c>
      <c r="G537" s="1">
        <v>0</v>
      </c>
      <c r="H537" s="2">
        <v>34779</v>
      </c>
    </row>
    <row r="538" spans="1:8" x14ac:dyDescent="0.4">
      <c r="A538" s="1" t="s">
        <v>619</v>
      </c>
      <c r="B538" s="1">
        <v>10450</v>
      </c>
      <c r="C538" s="1">
        <v>10</v>
      </c>
      <c r="D538" s="1" t="s">
        <v>724</v>
      </c>
      <c r="E538">
        <v>24.8</v>
      </c>
      <c r="F538" s="1">
        <v>20</v>
      </c>
      <c r="G538" s="1">
        <v>0.2</v>
      </c>
      <c r="H538" s="2">
        <v>34780</v>
      </c>
    </row>
    <row r="539" spans="1:8" x14ac:dyDescent="0.4">
      <c r="A539" s="1" t="s">
        <v>619</v>
      </c>
      <c r="B539" s="1">
        <v>10450</v>
      </c>
      <c r="C539" s="1">
        <v>54</v>
      </c>
      <c r="D539" s="1" t="s">
        <v>738</v>
      </c>
      <c r="E539">
        <v>5.9</v>
      </c>
      <c r="F539" s="1">
        <v>6</v>
      </c>
      <c r="G539" s="1">
        <v>0.2</v>
      </c>
      <c r="H539" s="2">
        <v>34780</v>
      </c>
    </row>
    <row r="540" spans="1:8" x14ac:dyDescent="0.4">
      <c r="A540" s="1" t="s">
        <v>475</v>
      </c>
      <c r="B540" s="1">
        <v>10451</v>
      </c>
      <c r="C540" s="1">
        <v>55</v>
      </c>
      <c r="D540" s="1" t="s">
        <v>699</v>
      </c>
      <c r="E540">
        <v>19.2</v>
      </c>
      <c r="F540" s="1">
        <v>120</v>
      </c>
      <c r="G540" s="1">
        <v>0.1</v>
      </c>
      <c r="H540" s="2">
        <v>34780</v>
      </c>
    </row>
    <row r="541" spans="1:8" x14ac:dyDescent="0.4">
      <c r="A541" s="1" t="s">
        <v>475</v>
      </c>
      <c r="B541" s="1">
        <v>10451</v>
      </c>
      <c r="C541" s="1">
        <v>64</v>
      </c>
      <c r="D541" s="1" t="s">
        <v>741</v>
      </c>
      <c r="E541">
        <v>26.6</v>
      </c>
      <c r="F541" s="1">
        <v>35</v>
      </c>
      <c r="G541" s="1">
        <v>0.1</v>
      </c>
      <c r="H541" s="2">
        <v>34780</v>
      </c>
    </row>
    <row r="542" spans="1:8" x14ac:dyDescent="0.4">
      <c r="A542" s="1" t="s">
        <v>475</v>
      </c>
      <c r="B542" s="1">
        <v>10451</v>
      </c>
      <c r="C542" s="1">
        <v>65</v>
      </c>
      <c r="D542" s="1" t="s">
        <v>689</v>
      </c>
      <c r="E542">
        <v>16.8</v>
      </c>
      <c r="F542" s="1">
        <v>28</v>
      </c>
      <c r="G542" s="1">
        <v>0.1</v>
      </c>
      <c r="H542" s="2">
        <v>34780</v>
      </c>
    </row>
    <row r="543" spans="1:8" x14ac:dyDescent="0.4">
      <c r="A543" s="1" t="s">
        <v>475</v>
      </c>
      <c r="B543" s="1">
        <v>10451</v>
      </c>
      <c r="C543" s="1">
        <v>77</v>
      </c>
      <c r="D543" s="1" t="s">
        <v>706</v>
      </c>
      <c r="E543">
        <v>10.4</v>
      </c>
      <c r="F543" s="1">
        <v>55</v>
      </c>
      <c r="G543" s="1">
        <v>0.1</v>
      </c>
      <c r="H543" s="2">
        <v>34780</v>
      </c>
    </row>
    <row r="544" spans="1:8" x14ac:dyDescent="0.4">
      <c r="A544" s="1" t="s">
        <v>529</v>
      </c>
      <c r="B544" s="1">
        <v>10452</v>
      </c>
      <c r="C544" s="1">
        <v>28</v>
      </c>
      <c r="D544" s="1" t="s">
        <v>727</v>
      </c>
      <c r="E544">
        <v>36.4</v>
      </c>
      <c r="F544" s="1">
        <v>15</v>
      </c>
      <c r="G544" s="1">
        <v>0</v>
      </c>
      <c r="H544" s="2">
        <v>34781</v>
      </c>
    </row>
    <row r="545" spans="1:8" x14ac:dyDescent="0.4">
      <c r="A545" s="1" t="s">
        <v>529</v>
      </c>
      <c r="B545" s="1">
        <v>10452</v>
      </c>
      <c r="C545" s="1">
        <v>44</v>
      </c>
      <c r="D545" s="1" t="s">
        <v>728</v>
      </c>
      <c r="E545">
        <v>15.5</v>
      </c>
      <c r="F545" s="1">
        <v>100</v>
      </c>
      <c r="G545" s="1">
        <v>0.05</v>
      </c>
      <c r="H545" s="2">
        <v>34781</v>
      </c>
    </row>
    <row r="546" spans="1:8" x14ac:dyDescent="0.4">
      <c r="A546" s="1" t="s">
        <v>34</v>
      </c>
      <c r="B546" s="1">
        <v>10453</v>
      </c>
      <c r="C546" s="1">
        <v>48</v>
      </c>
      <c r="D546" s="1" t="s">
        <v>757</v>
      </c>
      <c r="E546">
        <v>10.199999999999999</v>
      </c>
      <c r="F546" s="1">
        <v>15</v>
      </c>
      <c r="G546" s="1">
        <v>0.1</v>
      </c>
      <c r="H546" s="2">
        <v>34782</v>
      </c>
    </row>
    <row r="547" spans="1:8" x14ac:dyDescent="0.4">
      <c r="A547" s="1" t="s">
        <v>34</v>
      </c>
      <c r="B547" s="1">
        <v>10453</v>
      </c>
      <c r="C547" s="1">
        <v>70</v>
      </c>
      <c r="D547" s="1" t="s">
        <v>713</v>
      </c>
      <c r="E547">
        <v>12</v>
      </c>
      <c r="F547" s="1">
        <v>25</v>
      </c>
      <c r="G547" s="1">
        <v>0.1</v>
      </c>
      <c r="H547" s="2">
        <v>34782</v>
      </c>
    </row>
    <row r="548" spans="1:8" x14ac:dyDescent="0.4">
      <c r="A548" s="1" t="s">
        <v>318</v>
      </c>
      <c r="B548" s="1">
        <v>10454</v>
      </c>
      <c r="C548" s="1">
        <v>16</v>
      </c>
      <c r="D548" s="1" t="s">
        <v>702</v>
      </c>
      <c r="E548">
        <v>13.9</v>
      </c>
      <c r="F548" s="1">
        <v>20</v>
      </c>
      <c r="G548" s="1">
        <v>0.2</v>
      </c>
      <c r="H548" s="2">
        <v>34782</v>
      </c>
    </row>
    <row r="549" spans="1:8" x14ac:dyDescent="0.4">
      <c r="A549" s="1" t="s">
        <v>318</v>
      </c>
      <c r="B549" s="1">
        <v>10454</v>
      </c>
      <c r="C549" s="1">
        <v>33</v>
      </c>
      <c r="D549" s="1" t="s">
        <v>693</v>
      </c>
      <c r="E549">
        <v>2</v>
      </c>
      <c r="F549" s="1">
        <v>20</v>
      </c>
      <c r="G549" s="1">
        <v>0.2</v>
      </c>
      <c r="H549" s="2">
        <v>34782</v>
      </c>
    </row>
    <row r="550" spans="1:8" x14ac:dyDescent="0.4">
      <c r="A550" s="1" t="s">
        <v>318</v>
      </c>
      <c r="B550" s="1">
        <v>10454</v>
      </c>
      <c r="C550" s="1">
        <v>46</v>
      </c>
      <c r="D550" s="1" t="s">
        <v>737</v>
      </c>
      <c r="E550">
        <v>9.6</v>
      </c>
      <c r="F550" s="1">
        <v>10</v>
      </c>
      <c r="G550" s="1">
        <v>0.2</v>
      </c>
      <c r="H550" s="2">
        <v>34782</v>
      </c>
    </row>
    <row r="551" spans="1:8" x14ac:dyDescent="0.4">
      <c r="A551" s="1" t="s">
        <v>640</v>
      </c>
      <c r="B551" s="1">
        <v>10455</v>
      </c>
      <c r="C551" s="1">
        <v>39</v>
      </c>
      <c r="D551" s="1" t="s">
        <v>696</v>
      </c>
      <c r="E551">
        <v>14.4</v>
      </c>
      <c r="F551" s="1">
        <v>20</v>
      </c>
      <c r="G551" s="1">
        <v>0</v>
      </c>
      <c r="H551" s="2">
        <v>34785</v>
      </c>
    </row>
    <row r="552" spans="1:8" x14ac:dyDescent="0.4">
      <c r="A552" s="1" t="s">
        <v>640</v>
      </c>
      <c r="B552" s="1">
        <v>10455</v>
      </c>
      <c r="C552" s="1">
        <v>53</v>
      </c>
      <c r="D552" s="1" t="s">
        <v>705</v>
      </c>
      <c r="E552">
        <v>26.2</v>
      </c>
      <c r="F552" s="1">
        <v>50</v>
      </c>
      <c r="G552" s="1">
        <v>0</v>
      </c>
      <c r="H552" s="2">
        <v>34785</v>
      </c>
    </row>
    <row r="553" spans="1:8" x14ac:dyDescent="0.4">
      <c r="A553" s="1" t="s">
        <v>640</v>
      </c>
      <c r="B553" s="1">
        <v>10455</v>
      </c>
      <c r="C553" s="1">
        <v>61</v>
      </c>
      <c r="D553" s="1" t="s">
        <v>758</v>
      </c>
      <c r="E553">
        <v>22.8</v>
      </c>
      <c r="F553" s="1">
        <v>25</v>
      </c>
      <c r="G553" s="1">
        <v>0</v>
      </c>
      <c r="H553" s="2">
        <v>34785</v>
      </c>
    </row>
    <row r="554" spans="1:8" x14ac:dyDescent="0.4">
      <c r="A554" s="1" t="s">
        <v>640</v>
      </c>
      <c r="B554" s="1">
        <v>10455</v>
      </c>
      <c r="C554" s="1">
        <v>71</v>
      </c>
      <c r="D554" s="1" t="s">
        <v>725</v>
      </c>
      <c r="E554">
        <v>17.2</v>
      </c>
      <c r="F554" s="1">
        <v>30</v>
      </c>
      <c r="G554" s="1">
        <v>0</v>
      </c>
      <c r="H554" s="2">
        <v>34785</v>
      </c>
    </row>
    <row r="555" spans="1:8" x14ac:dyDescent="0.4">
      <c r="A555" s="1" t="s">
        <v>305</v>
      </c>
      <c r="B555" s="1">
        <v>10456</v>
      </c>
      <c r="C555" s="1">
        <v>21</v>
      </c>
      <c r="D555" s="1" t="s">
        <v>710</v>
      </c>
      <c r="E555">
        <v>8</v>
      </c>
      <c r="F555" s="1">
        <v>40</v>
      </c>
      <c r="G555" s="1">
        <v>0.15</v>
      </c>
      <c r="H555" s="2">
        <v>34786</v>
      </c>
    </row>
    <row r="556" spans="1:8" x14ac:dyDescent="0.4">
      <c r="A556" s="1" t="s">
        <v>305</v>
      </c>
      <c r="B556" s="1">
        <v>10456</v>
      </c>
      <c r="C556" s="1">
        <v>49</v>
      </c>
      <c r="D556" s="1" t="s">
        <v>697</v>
      </c>
      <c r="E556">
        <v>16</v>
      </c>
      <c r="F556" s="1">
        <v>21</v>
      </c>
      <c r="G556" s="1">
        <v>0.15</v>
      </c>
      <c r="H556" s="2">
        <v>34786</v>
      </c>
    </row>
    <row r="557" spans="1:8" x14ac:dyDescent="0.4">
      <c r="A557" s="1" t="s">
        <v>305</v>
      </c>
      <c r="B557" s="1">
        <v>10457</v>
      </c>
      <c r="C557" s="1">
        <v>59</v>
      </c>
      <c r="D557" s="1" t="s">
        <v>704</v>
      </c>
      <c r="E557">
        <v>44</v>
      </c>
      <c r="F557" s="1">
        <v>36</v>
      </c>
      <c r="G557" s="1">
        <v>0</v>
      </c>
      <c r="H557" s="2">
        <v>34786</v>
      </c>
    </row>
    <row r="558" spans="1:8" x14ac:dyDescent="0.4">
      <c r="A558" s="1" t="s">
        <v>565</v>
      </c>
      <c r="B558" s="1">
        <v>10458</v>
      </c>
      <c r="C558" s="1">
        <v>26</v>
      </c>
      <c r="D558" s="1" t="s">
        <v>751</v>
      </c>
      <c r="E558">
        <v>24.9</v>
      </c>
      <c r="F558" s="1">
        <v>30</v>
      </c>
      <c r="G558" s="1">
        <v>0</v>
      </c>
      <c r="H558" s="2">
        <v>34787</v>
      </c>
    </row>
    <row r="559" spans="1:8" x14ac:dyDescent="0.4">
      <c r="A559" s="1" t="s">
        <v>565</v>
      </c>
      <c r="B559" s="1">
        <v>10458</v>
      </c>
      <c r="C559" s="1">
        <v>28</v>
      </c>
      <c r="D559" s="1" t="s">
        <v>727</v>
      </c>
      <c r="E559">
        <v>36.4</v>
      </c>
      <c r="F559" s="1">
        <v>30</v>
      </c>
      <c r="G559" s="1">
        <v>0</v>
      </c>
      <c r="H559" s="2">
        <v>34787</v>
      </c>
    </row>
    <row r="560" spans="1:8" x14ac:dyDescent="0.4">
      <c r="A560" s="1" t="s">
        <v>565</v>
      </c>
      <c r="B560" s="1">
        <v>10458</v>
      </c>
      <c r="C560" s="1">
        <v>43</v>
      </c>
      <c r="D560" s="1" t="s">
        <v>723</v>
      </c>
      <c r="E560">
        <v>36.799999999999997</v>
      </c>
      <c r="F560" s="1">
        <v>20</v>
      </c>
      <c r="G560" s="1">
        <v>0</v>
      </c>
      <c r="H560" s="2">
        <v>34787</v>
      </c>
    </row>
    <row r="561" spans="1:8" x14ac:dyDescent="0.4">
      <c r="A561" s="1" t="s">
        <v>565</v>
      </c>
      <c r="B561" s="1">
        <v>10458</v>
      </c>
      <c r="C561" s="1">
        <v>56</v>
      </c>
      <c r="D561" s="1" t="s">
        <v>716</v>
      </c>
      <c r="E561">
        <v>30.4</v>
      </c>
      <c r="F561" s="1">
        <v>15</v>
      </c>
      <c r="G561" s="1">
        <v>0</v>
      </c>
      <c r="H561" s="2">
        <v>34787</v>
      </c>
    </row>
    <row r="562" spans="1:8" x14ac:dyDescent="0.4">
      <c r="A562" s="1" t="s">
        <v>565</v>
      </c>
      <c r="B562" s="1">
        <v>10458</v>
      </c>
      <c r="C562" s="1">
        <v>71</v>
      </c>
      <c r="D562" s="1" t="s">
        <v>725</v>
      </c>
      <c r="E562">
        <v>17.2</v>
      </c>
      <c r="F562" s="1">
        <v>50</v>
      </c>
      <c r="G562" s="1">
        <v>0</v>
      </c>
      <c r="H562" s="2">
        <v>34787</v>
      </c>
    </row>
    <row r="563" spans="1:8" x14ac:dyDescent="0.4">
      <c r="A563" s="1" t="s">
        <v>619</v>
      </c>
      <c r="B563" s="1">
        <v>10459</v>
      </c>
      <c r="C563" s="1">
        <v>7</v>
      </c>
      <c r="D563" s="1" t="s">
        <v>715</v>
      </c>
      <c r="E563">
        <v>24</v>
      </c>
      <c r="F563" s="1">
        <v>16</v>
      </c>
      <c r="G563" s="1">
        <v>0.05</v>
      </c>
      <c r="H563" s="2">
        <v>34788</v>
      </c>
    </row>
    <row r="564" spans="1:8" x14ac:dyDescent="0.4">
      <c r="A564" s="1" t="s">
        <v>619</v>
      </c>
      <c r="B564" s="1">
        <v>10459</v>
      </c>
      <c r="C564" s="1">
        <v>46</v>
      </c>
      <c r="D564" s="1" t="s">
        <v>737</v>
      </c>
      <c r="E564">
        <v>9.6</v>
      </c>
      <c r="F564" s="1">
        <v>20</v>
      </c>
      <c r="G564" s="1">
        <v>0.05</v>
      </c>
      <c r="H564" s="2">
        <v>34788</v>
      </c>
    </row>
    <row r="565" spans="1:8" x14ac:dyDescent="0.4">
      <c r="A565" s="1" t="s">
        <v>619</v>
      </c>
      <c r="B565" s="1">
        <v>10459</v>
      </c>
      <c r="C565" s="1">
        <v>72</v>
      </c>
      <c r="D565" s="1" t="s">
        <v>685</v>
      </c>
      <c r="E565">
        <v>27.8</v>
      </c>
      <c r="F565" s="1">
        <v>40</v>
      </c>
      <c r="G565" s="1">
        <v>0</v>
      </c>
      <c r="H565" s="2">
        <v>34788</v>
      </c>
    </row>
    <row r="566" spans="1:8" x14ac:dyDescent="0.4">
      <c r="A566" s="1" t="s">
        <v>191</v>
      </c>
      <c r="B566" s="1">
        <v>10460</v>
      </c>
      <c r="C566" s="1">
        <v>68</v>
      </c>
      <c r="D566" s="1" t="s">
        <v>739</v>
      </c>
      <c r="E566">
        <v>10</v>
      </c>
      <c r="F566" s="1">
        <v>21</v>
      </c>
      <c r="G566" s="1">
        <v>0.25</v>
      </c>
      <c r="H566" s="2">
        <v>34789</v>
      </c>
    </row>
    <row r="567" spans="1:8" x14ac:dyDescent="0.4">
      <c r="A567" s="1" t="s">
        <v>191</v>
      </c>
      <c r="B567" s="1">
        <v>10460</v>
      </c>
      <c r="C567" s="1">
        <v>75</v>
      </c>
      <c r="D567" s="1" t="s">
        <v>731</v>
      </c>
      <c r="E567">
        <v>6.2</v>
      </c>
      <c r="F567" s="1">
        <v>4</v>
      </c>
      <c r="G567" s="1">
        <v>0.25</v>
      </c>
      <c r="H567" s="2">
        <v>34789</v>
      </c>
    </row>
    <row r="568" spans="1:8" x14ac:dyDescent="0.4">
      <c r="A568" s="1" t="s">
        <v>355</v>
      </c>
      <c r="B568" s="1">
        <v>10461</v>
      </c>
      <c r="C568" s="1">
        <v>21</v>
      </c>
      <c r="D568" s="1" t="s">
        <v>710</v>
      </c>
      <c r="E568">
        <v>8</v>
      </c>
      <c r="F568" s="1">
        <v>40</v>
      </c>
      <c r="G568" s="1">
        <v>0.25</v>
      </c>
      <c r="H568" s="2">
        <v>34789</v>
      </c>
    </row>
    <row r="569" spans="1:8" x14ac:dyDescent="0.4">
      <c r="A569" s="1" t="s">
        <v>355</v>
      </c>
      <c r="B569" s="1">
        <v>10461</v>
      </c>
      <c r="C569" s="1">
        <v>30</v>
      </c>
      <c r="D569" s="1" t="s">
        <v>717</v>
      </c>
      <c r="E569">
        <v>20.7</v>
      </c>
      <c r="F569" s="1">
        <v>28</v>
      </c>
      <c r="G569" s="1">
        <v>0.25</v>
      </c>
      <c r="H569" s="2">
        <v>34789</v>
      </c>
    </row>
    <row r="570" spans="1:8" x14ac:dyDescent="0.4">
      <c r="A570" s="1" t="s">
        <v>355</v>
      </c>
      <c r="B570" s="1">
        <v>10461</v>
      </c>
      <c r="C570" s="1">
        <v>55</v>
      </c>
      <c r="D570" s="1" t="s">
        <v>699</v>
      </c>
      <c r="E570">
        <v>19.2</v>
      </c>
      <c r="F570" s="1">
        <v>60</v>
      </c>
      <c r="G570" s="1">
        <v>0.25</v>
      </c>
      <c r="H570" s="2">
        <v>34789</v>
      </c>
    </row>
    <row r="571" spans="1:8" x14ac:dyDescent="0.4">
      <c r="A571" s="1" t="s">
        <v>133</v>
      </c>
      <c r="B571" s="1">
        <v>10462</v>
      </c>
      <c r="C571" s="1">
        <v>13</v>
      </c>
      <c r="D571" s="1" t="s">
        <v>726</v>
      </c>
      <c r="E571">
        <v>4.8</v>
      </c>
      <c r="F571" s="1">
        <v>1</v>
      </c>
      <c r="G571" s="1">
        <v>0</v>
      </c>
      <c r="H571" s="2">
        <v>34792</v>
      </c>
    </row>
    <row r="572" spans="1:8" x14ac:dyDescent="0.4">
      <c r="A572" s="1" t="s">
        <v>133</v>
      </c>
      <c r="B572" s="1">
        <v>10462</v>
      </c>
      <c r="C572" s="1">
        <v>23</v>
      </c>
      <c r="D572" s="1" t="s">
        <v>753</v>
      </c>
      <c r="E572">
        <v>7.2</v>
      </c>
      <c r="F572" s="1">
        <v>21</v>
      </c>
      <c r="G572" s="1">
        <v>0</v>
      </c>
      <c r="H572" s="2">
        <v>34792</v>
      </c>
    </row>
    <row r="573" spans="1:8" x14ac:dyDescent="0.4">
      <c r="A573" s="1" t="s">
        <v>565</v>
      </c>
      <c r="B573" s="1">
        <v>10463</v>
      </c>
      <c r="C573" s="1">
        <v>19</v>
      </c>
      <c r="D573" s="1" t="s">
        <v>732</v>
      </c>
      <c r="E573">
        <v>7.3</v>
      </c>
      <c r="F573" s="1">
        <v>21</v>
      </c>
      <c r="G573" s="1">
        <v>0</v>
      </c>
      <c r="H573" s="2">
        <v>34793</v>
      </c>
    </row>
    <row r="574" spans="1:8" x14ac:dyDescent="0.4">
      <c r="A574" s="1" t="s">
        <v>565</v>
      </c>
      <c r="B574" s="1">
        <v>10463</v>
      </c>
      <c r="C574" s="1">
        <v>42</v>
      </c>
      <c r="D574" s="1" t="s">
        <v>684</v>
      </c>
      <c r="E574">
        <v>11.2</v>
      </c>
      <c r="F574" s="1">
        <v>50</v>
      </c>
      <c r="G574" s="1">
        <v>0</v>
      </c>
      <c r="H574" s="2">
        <v>34793</v>
      </c>
    </row>
    <row r="575" spans="1:8" x14ac:dyDescent="0.4">
      <c r="A575" s="1" t="s">
        <v>219</v>
      </c>
      <c r="B575" s="1">
        <v>10464</v>
      </c>
      <c r="C575" s="1">
        <v>4</v>
      </c>
      <c r="D575" s="1" t="s">
        <v>745</v>
      </c>
      <c r="E575">
        <v>17.600000000000001</v>
      </c>
      <c r="F575" s="1">
        <v>16</v>
      </c>
      <c r="G575" s="1">
        <v>0.2</v>
      </c>
      <c r="H575" s="2">
        <v>34793</v>
      </c>
    </row>
    <row r="576" spans="1:8" x14ac:dyDescent="0.4">
      <c r="A576" s="1" t="s">
        <v>219</v>
      </c>
      <c r="B576" s="1">
        <v>10464</v>
      </c>
      <c r="C576" s="1">
        <v>43</v>
      </c>
      <c r="D576" s="1" t="s">
        <v>723</v>
      </c>
      <c r="E576">
        <v>36.799999999999997</v>
      </c>
      <c r="F576" s="1">
        <v>3</v>
      </c>
      <c r="G576" s="1">
        <v>0</v>
      </c>
      <c r="H576" s="2">
        <v>34793</v>
      </c>
    </row>
    <row r="577" spans="1:8" x14ac:dyDescent="0.4">
      <c r="A577" s="1" t="s">
        <v>219</v>
      </c>
      <c r="B577" s="1">
        <v>10464</v>
      </c>
      <c r="C577" s="1">
        <v>56</v>
      </c>
      <c r="D577" s="1" t="s">
        <v>716</v>
      </c>
      <c r="E577">
        <v>30.4</v>
      </c>
      <c r="F577" s="1">
        <v>30</v>
      </c>
      <c r="G577" s="1">
        <v>0.2</v>
      </c>
      <c r="H577" s="2">
        <v>34793</v>
      </c>
    </row>
    <row r="578" spans="1:8" x14ac:dyDescent="0.4">
      <c r="A578" s="1" t="s">
        <v>219</v>
      </c>
      <c r="B578" s="1">
        <v>10464</v>
      </c>
      <c r="C578" s="1">
        <v>60</v>
      </c>
      <c r="D578" s="1" t="s">
        <v>694</v>
      </c>
      <c r="E578">
        <v>27.2</v>
      </c>
      <c r="F578" s="1">
        <v>20</v>
      </c>
      <c r="G578" s="1">
        <v>0</v>
      </c>
      <c r="H578" s="2">
        <v>34793</v>
      </c>
    </row>
    <row r="579" spans="1:8" x14ac:dyDescent="0.4">
      <c r="A579" s="1" t="s">
        <v>612</v>
      </c>
      <c r="B579" s="1">
        <v>10465</v>
      </c>
      <c r="C579" s="1">
        <v>24</v>
      </c>
      <c r="D579" s="1" t="s">
        <v>698</v>
      </c>
      <c r="E579">
        <v>3.6</v>
      </c>
      <c r="F579" s="1">
        <v>25</v>
      </c>
      <c r="G579" s="1">
        <v>0</v>
      </c>
      <c r="H579" s="2">
        <v>34794</v>
      </c>
    </row>
    <row r="580" spans="1:8" x14ac:dyDescent="0.4">
      <c r="A580" s="1" t="s">
        <v>612</v>
      </c>
      <c r="B580" s="1">
        <v>10465</v>
      </c>
      <c r="C580" s="1">
        <v>29</v>
      </c>
      <c r="D580" s="1" t="s">
        <v>722</v>
      </c>
      <c r="E580">
        <v>99</v>
      </c>
      <c r="F580" s="1">
        <v>18</v>
      </c>
      <c r="G580" s="1">
        <v>0.1</v>
      </c>
      <c r="H580" s="2">
        <v>34794</v>
      </c>
    </row>
    <row r="581" spans="1:8" x14ac:dyDescent="0.4">
      <c r="A581" s="1" t="s">
        <v>612</v>
      </c>
      <c r="B581" s="1">
        <v>10465</v>
      </c>
      <c r="C581" s="1">
        <v>40</v>
      </c>
      <c r="D581" s="1" t="s">
        <v>720</v>
      </c>
      <c r="E581">
        <v>14.7</v>
      </c>
      <c r="F581" s="1">
        <v>20</v>
      </c>
      <c r="G581" s="1">
        <v>0</v>
      </c>
      <c r="H581" s="2">
        <v>34794</v>
      </c>
    </row>
    <row r="582" spans="1:8" x14ac:dyDescent="0.4">
      <c r="A582" s="1" t="s">
        <v>612</v>
      </c>
      <c r="B582" s="1">
        <v>10465</v>
      </c>
      <c r="C582" s="1">
        <v>45</v>
      </c>
      <c r="D582" s="1" t="s">
        <v>756</v>
      </c>
      <c r="E582">
        <v>7.6</v>
      </c>
      <c r="F582" s="1">
        <v>30</v>
      </c>
      <c r="G582" s="1">
        <v>0.1</v>
      </c>
      <c r="H582" s="2">
        <v>34794</v>
      </c>
    </row>
    <row r="583" spans="1:8" x14ac:dyDescent="0.4">
      <c r="A583" s="1" t="s">
        <v>612</v>
      </c>
      <c r="B583" s="1">
        <v>10465</v>
      </c>
      <c r="C583" s="1">
        <v>50</v>
      </c>
      <c r="D583" s="1" t="s">
        <v>755</v>
      </c>
      <c r="E583">
        <v>13</v>
      </c>
      <c r="F583" s="1">
        <v>25</v>
      </c>
      <c r="G583" s="1">
        <v>0</v>
      </c>
      <c r="H583" s="2">
        <v>34794</v>
      </c>
    </row>
    <row r="584" spans="1:8" x14ac:dyDescent="0.4">
      <c r="A584" s="1" t="s">
        <v>123</v>
      </c>
      <c r="B584" s="1">
        <v>10466</v>
      </c>
      <c r="C584" s="1">
        <v>11</v>
      </c>
      <c r="D584" s="1" t="s">
        <v>683</v>
      </c>
      <c r="E584">
        <v>16.8</v>
      </c>
      <c r="F584" s="1">
        <v>10</v>
      </c>
      <c r="G584" s="1">
        <v>0</v>
      </c>
      <c r="H584" s="2">
        <v>34795</v>
      </c>
    </row>
    <row r="585" spans="1:8" x14ac:dyDescent="0.4">
      <c r="A585" s="1" t="s">
        <v>123</v>
      </c>
      <c r="B585" s="1">
        <v>10466</v>
      </c>
      <c r="C585" s="1">
        <v>46</v>
      </c>
      <c r="D585" s="1" t="s">
        <v>737</v>
      </c>
      <c r="E585">
        <v>9.6</v>
      </c>
      <c r="F585" s="1">
        <v>5</v>
      </c>
      <c r="G585" s="1">
        <v>0</v>
      </c>
      <c r="H585" s="2">
        <v>34795</v>
      </c>
    </row>
    <row r="586" spans="1:8" x14ac:dyDescent="0.4">
      <c r="A586" s="1" t="s">
        <v>378</v>
      </c>
      <c r="B586" s="1">
        <v>10467</v>
      </c>
      <c r="C586" s="1">
        <v>24</v>
      </c>
      <c r="D586" s="1" t="s">
        <v>698</v>
      </c>
      <c r="E586">
        <v>3.6</v>
      </c>
      <c r="F586" s="1">
        <v>28</v>
      </c>
      <c r="G586" s="1">
        <v>0</v>
      </c>
      <c r="H586" s="2">
        <v>34795</v>
      </c>
    </row>
    <row r="587" spans="1:8" x14ac:dyDescent="0.4">
      <c r="A587" s="1" t="s">
        <v>378</v>
      </c>
      <c r="B587" s="1">
        <v>10467</v>
      </c>
      <c r="C587" s="1">
        <v>25</v>
      </c>
      <c r="D587" s="1" t="s">
        <v>749</v>
      </c>
      <c r="E587">
        <v>11.2</v>
      </c>
      <c r="F587" s="1">
        <v>12</v>
      </c>
      <c r="G587" s="1">
        <v>0</v>
      </c>
      <c r="H587" s="2">
        <v>34795</v>
      </c>
    </row>
    <row r="588" spans="1:8" x14ac:dyDescent="0.4">
      <c r="A588" s="1" t="s">
        <v>305</v>
      </c>
      <c r="B588" s="1">
        <v>10468</v>
      </c>
      <c r="C588" s="1">
        <v>30</v>
      </c>
      <c r="D588" s="1" t="s">
        <v>717</v>
      </c>
      <c r="E588">
        <v>20.7</v>
      </c>
      <c r="F588" s="1">
        <v>8</v>
      </c>
      <c r="G588" s="1">
        <v>0</v>
      </c>
      <c r="H588" s="2">
        <v>34796</v>
      </c>
    </row>
    <row r="589" spans="1:8" x14ac:dyDescent="0.4">
      <c r="A589" s="1" t="s">
        <v>305</v>
      </c>
      <c r="B589" s="1">
        <v>10468</v>
      </c>
      <c r="C589" s="1">
        <v>43</v>
      </c>
      <c r="D589" s="1" t="s">
        <v>723</v>
      </c>
      <c r="E589">
        <v>36.799999999999997</v>
      </c>
      <c r="F589" s="1">
        <v>15</v>
      </c>
      <c r="G589" s="1">
        <v>0</v>
      </c>
      <c r="H589" s="2">
        <v>34796</v>
      </c>
    </row>
    <row r="590" spans="1:8" x14ac:dyDescent="0.4">
      <c r="A590" s="1" t="s">
        <v>654</v>
      </c>
      <c r="B590" s="1">
        <v>10469</v>
      </c>
      <c r="C590" s="1">
        <v>2</v>
      </c>
      <c r="D590" s="1" t="s">
        <v>701</v>
      </c>
      <c r="E590">
        <v>15.2</v>
      </c>
      <c r="F590" s="1">
        <v>40</v>
      </c>
      <c r="G590" s="1">
        <v>0.15</v>
      </c>
      <c r="H590" s="2">
        <v>34799</v>
      </c>
    </row>
    <row r="591" spans="1:8" x14ac:dyDescent="0.4">
      <c r="A591" s="1" t="s">
        <v>654</v>
      </c>
      <c r="B591" s="1">
        <v>10469</v>
      </c>
      <c r="C591" s="1">
        <v>16</v>
      </c>
      <c r="D591" s="1" t="s">
        <v>702</v>
      </c>
      <c r="E591">
        <v>13.9</v>
      </c>
      <c r="F591" s="1">
        <v>35</v>
      </c>
      <c r="G591" s="1">
        <v>0.15</v>
      </c>
      <c r="H591" s="2">
        <v>34799</v>
      </c>
    </row>
    <row r="592" spans="1:8" x14ac:dyDescent="0.4">
      <c r="A592" s="1" t="s">
        <v>654</v>
      </c>
      <c r="B592" s="1">
        <v>10469</v>
      </c>
      <c r="C592" s="1">
        <v>44</v>
      </c>
      <c r="D592" s="1" t="s">
        <v>728</v>
      </c>
      <c r="E592">
        <v>15.5</v>
      </c>
      <c r="F592" s="1">
        <v>2</v>
      </c>
      <c r="G592" s="1">
        <v>0.15</v>
      </c>
      <c r="H592" s="2">
        <v>34799</v>
      </c>
    </row>
    <row r="593" spans="1:8" x14ac:dyDescent="0.4">
      <c r="A593" s="1" t="s">
        <v>77</v>
      </c>
      <c r="B593" s="1">
        <v>10470</v>
      </c>
      <c r="C593" s="1">
        <v>18</v>
      </c>
      <c r="D593" s="1" t="s">
        <v>742</v>
      </c>
      <c r="E593">
        <v>50</v>
      </c>
      <c r="F593" s="1">
        <v>30</v>
      </c>
      <c r="G593" s="1">
        <v>0</v>
      </c>
      <c r="H593" s="2">
        <v>34800</v>
      </c>
    </row>
    <row r="594" spans="1:8" x14ac:dyDescent="0.4">
      <c r="A594" s="1" t="s">
        <v>77</v>
      </c>
      <c r="B594" s="1">
        <v>10470</v>
      </c>
      <c r="C594" s="1">
        <v>23</v>
      </c>
      <c r="D594" s="1" t="s">
        <v>753</v>
      </c>
      <c r="E594">
        <v>7.2</v>
      </c>
      <c r="F594" s="1">
        <v>15</v>
      </c>
      <c r="G594" s="1">
        <v>0</v>
      </c>
      <c r="H594" s="2">
        <v>34800</v>
      </c>
    </row>
    <row r="595" spans="1:8" x14ac:dyDescent="0.4">
      <c r="A595" s="1" t="s">
        <v>77</v>
      </c>
      <c r="B595" s="1">
        <v>10470</v>
      </c>
      <c r="C595" s="1">
        <v>64</v>
      </c>
      <c r="D595" s="1" t="s">
        <v>741</v>
      </c>
      <c r="E595">
        <v>26.6</v>
      </c>
      <c r="F595" s="1">
        <v>8</v>
      </c>
      <c r="G595" s="1">
        <v>0</v>
      </c>
      <c r="H595" s="2">
        <v>34800</v>
      </c>
    </row>
    <row r="596" spans="1:8" x14ac:dyDescent="0.4">
      <c r="A596" s="1" t="s">
        <v>95</v>
      </c>
      <c r="B596" s="1">
        <v>10471</v>
      </c>
      <c r="C596" s="1">
        <v>7</v>
      </c>
      <c r="D596" s="1" t="s">
        <v>715</v>
      </c>
      <c r="E596">
        <v>24</v>
      </c>
      <c r="F596" s="1">
        <v>30</v>
      </c>
      <c r="G596" s="1">
        <v>0</v>
      </c>
      <c r="H596" s="2">
        <v>34800</v>
      </c>
    </row>
    <row r="597" spans="1:8" x14ac:dyDescent="0.4">
      <c r="A597" s="1" t="s">
        <v>95</v>
      </c>
      <c r="B597" s="1">
        <v>10471</v>
      </c>
      <c r="C597" s="1">
        <v>56</v>
      </c>
      <c r="D597" s="1" t="s">
        <v>716</v>
      </c>
      <c r="E597">
        <v>30.4</v>
      </c>
      <c r="F597" s="1">
        <v>20</v>
      </c>
      <c r="G597" s="1">
        <v>0</v>
      </c>
      <c r="H597" s="2">
        <v>34800</v>
      </c>
    </row>
    <row r="598" spans="1:8" x14ac:dyDescent="0.4">
      <c r="A598" s="1" t="s">
        <v>536</v>
      </c>
      <c r="B598" s="1">
        <v>10472</v>
      </c>
      <c r="C598" s="1">
        <v>24</v>
      </c>
      <c r="D598" s="1" t="s">
        <v>698</v>
      </c>
      <c r="E598">
        <v>3.6</v>
      </c>
      <c r="F598" s="1">
        <v>80</v>
      </c>
      <c r="G598" s="1">
        <v>0.05</v>
      </c>
      <c r="H598" s="2">
        <v>34801</v>
      </c>
    </row>
    <row r="599" spans="1:8" x14ac:dyDescent="0.4">
      <c r="A599" s="1" t="s">
        <v>536</v>
      </c>
      <c r="B599" s="1">
        <v>10472</v>
      </c>
      <c r="C599" s="1">
        <v>51</v>
      </c>
      <c r="D599" s="1" t="s">
        <v>687</v>
      </c>
      <c r="E599">
        <v>42.4</v>
      </c>
      <c r="F599" s="1">
        <v>18</v>
      </c>
      <c r="G599" s="1">
        <v>0</v>
      </c>
      <c r="H599" s="2">
        <v>34801</v>
      </c>
    </row>
    <row r="600" spans="1:8" x14ac:dyDescent="0.4">
      <c r="A600" s="1" t="s">
        <v>297</v>
      </c>
      <c r="B600" s="1">
        <v>10473</v>
      </c>
      <c r="C600" s="1">
        <v>33</v>
      </c>
      <c r="D600" s="1" t="s">
        <v>693</v>
      </c>
      <c r="E600">
        <v>2</v>
      </c>
      <c r="F600" s="1">
        <v>12</v>
      </c>
      <c r="G600" s="1">
        <v>0</v>
      </c>
      <c r="H600" s="2">
        <v>34802</v>
      </c>
    </row>
    <row r="601" spans="1:8" x14ac:dyDescent="0.4">
      <c r="A601" s="1" t="s">
        <v>297</v>
      </c>
      <c r="B601" s="1">
        <v>10473</v>
      </c>
      <c r="C601" s="1">
        <v>71</v>
      </c>
      <c r="D601" s="1" t="s">
        <v>725</v>
      </c>
      <c r="E601">
        <v>17.2</v>
      </c>
      <c r="F601" s="1">
        <v>12</v>
      </c>
      <c r="G601" s="1">
        <v>0</v>
      </c>
      <c r="H601" s="2">
        <v>34802</v>
      </c>
    </row>
    <row r="602" spans="1:8" x14ac:dyDescent="0.4">
      <c r="A602" s="1" t="s">
        <v>444</v>
      </c>
      <c r="B602" s="1">
        <v>10474</v>
      </c>
      <c r="C602" s="1">
        <v>14</v>
      </c>
      <c r="D602" s="1" t="s">
        <v>686</v>
      </c>
      <c r="E602">
        <v>18.600000000000001</v>
      </c>
      <c r="F602" s="1">
        <v>12</v>
      </c>
      <c r="G602" s="1">
        <v>0</v>
      </c>
      <c r="H602" s="2">
        <v>34802</v>
      </c>
    </row>
    <row r="603" spans="1:8" x14ac:dyDescent="0.4">
      <c r="A603" s="1" t="s">
        <v>444</v>
      </c>
      <c r="B603" s="1">
        <v>10474</v>
      </c>
      <c r="C603" s="1">
        <v>28</v>
      </c>
      <c r="D603" s="1" t="s">
        <v>727</v>
      </c>
      <c r="E603">
        <v>36.4</v>
      </c>
      <c r="F603" s="1">
        <v>18</v>
      </c>
      <c r="G603" s="1">
        <v>0</v>
      </c>
      <c r="H603" s="2">
        <v>34802</v>
      </c>
    </row>
    <row r="604" spans="1:8" x14ac:dyDescent="0.4">
      <c r="A604" s="1" t="s">
        <v>444</v>
      </c>
      <c r="B604" s="1">
        <v>10474</v>
      </c>
      <c r="C604" s="1">
        <v>40</v>
      </c>
      <c r="D604" s="1" t="s">
        <v>720</v>
      </c>
      <c r="E604">
        <v>14.7</v>
      </c>
      <c r="F604" s="1">
        <v>21</v>
      </c>
      <c r="G604" s="1">
        <v>0</v>
      </c>
      <c r="H604" s="2">
        <v>34802</v>
      </c>
    </row>
    <row r="605" spans="1:8" x14ac:dyDescent="0.4">
      <c r="A605" s="1" t="s">
        <v>444</v>
      </c>
      <c r="B605" s="1">
        <v>10474</v>
      </c>
      <c r="C605" s="1">
        <v>75</v>
      </c>
      <c r="D605" s="1" t="s">
        <v>731</v>
      </c>
      <c r="E605">
        <v>6.2</v>
      </c>
      <c r="F605" s="1">
        <v>10</v>
      </c>
      <c r="G605" s="1">
        <v>0</v>
      </c>
      <c r="H605" s="2">
        <v>34802</v>
      </c>
    </row>
    <row r="606" spans="1:8" x14ac:dyDescent="0.4">
      <c r="A606" s="1" t="s">
        <v>565</v>
      </c>
      <c r="B606" s="1">
        <v>10475</v>
      </c>
      <c r="C606" s="1">
        <v>31</v>
      </c>
      <c r="D606" s="1" t="s">
        <v>695</v>
      </c>
      <c r="E606">
        <v>10</v>
      </c>
      <c r="F606" s="1">
        <v>35</v>
      </c>
      <c r="G606" s="1">
        <v>0.15</v>
      </c>
      <c r="H606" s="2">
        <v>34803</v>
      </c>
    </row>
    <row r="607" spans="1:8" x14ac:dyDescent="0.4">
      <c r="A607" s="1" t="s">
        <v>565</v>
      </c>
      <c r="B607" s="1">
        <v>10475</v>
      </c>
      <c r="C607" s="1">
        <v>66</v>
      </c>
      <c r="D607" s="1" t="s">
        <v>744</v>
      </c>
      <c r="E607">
        <v>13.6</v>
      </c>
      <c r="F607" s="1">
        <v>60</v>
      </c>
      <c r="G607" s="1">
        <v>0.15</v>
      </c>
      <c r="H607" s="2">
        <v>34803</v>
      </c>
    </row>
    <row r="608" spans="1:8" x14ac:dyDescent="0.4">
      <c r="A608" s="1" t="s">
        <v>565</v>
      </c>
      <c r="B608" s="1">
        <v>10475</v>
      </c>
      <c r="C608" s="1">
        <v>76</v>
      </c>
      <c r="D608" s="1" t="s">
        <v>721</v>
      </c>
      <c r="E608">
        <v>14.4</v>
      </c>
      <c r="F608" s="1">
        <v>42</v>
      </c>
      <c r="G608" s="1">
        <v>0.15</v>
      </c>
      <c r="H608" s="2">
        <v>34803</v>
      </c>
    </row>
    <row r="609" spans="1:8" x14ac:dyDescent="0.4">
      <c r="A609" s="1" t="s">
        <v>273</v>
      </c>
      <c r="B609" s="1">
        <v>10476</v>
      </c>
      <c r="C609" s="1">
        <v>55</v>
      </c>
      <c r="D609" s="1" t="s">
        <v>699</v>
      </c>
      <c r="E609">
        <v>19.2</v>
      </c>
      <c r="F609" s="1">
        <v>2</v>
      </c>
      <c r="G609" s="1">
        <v>0.05</v>
      </c>
      <c r="H609" s="2">
        <v>34806</v>
      </c>
    </row>
    <row r="610" spans="1:8" x14ac:dyDescent="0.4">
      <c r="A610" s="1" t="s">
        <v>273</v>
      </c>
      <c r="B610" s="1">
        <v>10476</v>
      </c>
      <c r="C610" s="1">
        <v>70</v>
      </c>
      <c r="D610" s="1" t="s">
        <v>713</v>
      </c>
      <c r="E610">
        <v>12</v>
      </c>
      <c r="F610" s="1">
        <v>12</v>
      </c>
      <c r="G610" s="1">
        <v>0</v>
      </c>
      <c r="H610" s="2">
        <v>34806</v>
      </c>
    </row>
    <row r="611" spans="1:8" x14ac:dyDescent="0.4">
      <c r="A611" s="1" t="s">
        <v>457</v>
      </c>
      <c r="B611" s="1">
        <v>10477</v>
      </c>
      <c r="C611" s="1">
        <v>1</v>
      </c>
      <c r="D611" s="1" t="s">
        <v>735</v>
      </c>
      <c r="E611">
        <v>14.4</v>
      </c>
      <c r="F611" s="1">
        <v>15</v>
      </c>
      <c r="G611" s="1">
        <v>0</v>
      </c>
      <c r="H611" s="2">
        <v>34806</v>
      </c>
    </row>
    <row r="612" spans="1:8" x14ac:dyDescent="0.4">
      <c r="A612" s="1" t="s">
        <v>457</v>
      </c>
      <c r="B612" s="1">
        <v>10477</v>
      </c>
      <c r="C612" s="1">
        <v>21</v>
      </c>
      <c r="D612" s="1" t="s">
        <v>710</v>
      </c>
      <c r="E612">
        <v>8</v>
      </c>
      <c r="F612" s="1">
        <v>21</v>
      </c>
      <c r="G612" s="1">
        <v>0.25</v>
      </c>
      <c r="H612" s="2">
        <v>34806</v>
      </c>
    </row>
    <row r="613" spans="1:8" x14ac:dyDescent="0.4">
      <c r="A613" s="1" t="s">
        <v>457</v>
      </c>
      <c r="B613" s="1">
        <v>10477</v>
      </c>
      <c r="C613" s="1">
        <v>39</v>
      </c>
      <c r="D613" s="1" t="s">
        <v>696</v>
      </c>
      <c r="E613">
        <v>14.4</v>
      </c>
      <c r="F613" s="1">
        <v>20</v>
      </c>
      <c r="G613" s="1">
        <v>0.25</v>
      </c>
      <c r="H613" s="2">
        <v>34806</v>
      </c>
    </row>
    <row r="614" spans="1:8" x14ac:dyDescent="0.4">
      <c r="A614" s="1" t="s">
        <v>619</v>
      </c>
      <c r="B614" s="1">
        <v>10478</v>
      </c>
      <c r="C614" s="1">
        <v>10</v>
      </c>
      <c r="D614" s="1" t="s">
        <v>724</v>
      </c>
      <c r="E614">
        <v>24.8</v>
      </c>
      <c r="F614" s="1">
        <v>20</v>
      </c>
      <c r="G614" s="1">
        <v>0.05</v>
      </c>
      <c r="H614" s="2">
        <v>34807</v>
      </c>
    </row>
    <row r="615" spans="1:8" x14ac:dyDescent="0.4">
      <c r="A615" s="1" t="s">
        <v>487</v>
      </c>
      <c r="B615" s="1">
        <v>10479</v>
      </c>
      <c r="C615" s="1">
        <v>38</v>
      </c>
      <c r="D615" s="1" t="s">
        <v>750</v>
      </c>
      <c r="E615">
        <v>210.8</v>
      </c>
      <c r="F615" s="1">
        <v>30</v>
      </c>
      <c r="G615" s="1">
        <v>0</v>
      </c>
      <c r="H615" s="2">
        <v>34808</v>
      </c>
    </row>
    <row r="616" spans="1:8" x14ac:dyDescent="0.4">
      <c r="A616" s="1" t="s">
        <v>487</v>
      </c>
      <c r="B616" s="1">
        <v>10479</v>
      </c>
      <c r="C616" s="1">
        <v>53</v>
      </c>
      <c r="D616" s="1" t="s">
        <v>705</v>
      </c>
      <c r="E616">
        <v>26.2</v>
      </c>
      <c r="F616" s="1">
        <v>28</v>
      </c>
      <c r="G616" s="1">
        <v>0</v>
      </c>
      <c r="H616" s="2">
        <v>34808</v>
      </c>
    </row>
    <row r="617" spans="1:8" x14ac:dyDescent="0.4">
      <c r="A617" s="1" t="s">
        <v>487</v>
      </c>
      <c r="B617" s="1">
        <v>10479</v>
      </c>
      <c r="C617" s="1">
        <v>59</v>
      </c>
      <c r="D617" s="1" t="s">
        <v>704</v>
      </c>
      <c r="E617">
        <v>44</v>
      </c>
      <c r="F617" s="1">
        <v>60</v>
      </c>
      <c r="G617" s="1">
        <v>0</v>
      </c>
      <c r="H617" s="2">
        <v>34808</v>
      </c>
    </row>
    <row r="618" spans="1:8" x14ac:dyDescent="0.4">
      <c r="A618" s="1" t="s">
        <v>487</v>
      </c>
      <c r="B618" s="1">
        <v>10479</v>
      </c>
      <c r="C618" s="1">
        <v>64</v>
      </c>
      <c r="D618" s="1" t="s">
        <v>741</v>
      </c>
      <c r="E618">
        <v>26.6</v>
      </c>
      <c r="F618" s="1">
        <v>30</v>
      </c>
      <c r="G618" s="1">
        <v>0</v>
      </c>
      <c r="H618" s="2">
        <v>34808</v>
      </c>
    </row>
    <row r="619" spans="1:8" x14ac:dyDescent="0.4">
      <c r="A619" s="1" t="s">
        <v>183</v>
      </c>
      <c r="B619" s="1">
        <v>10480</v>
      </c>
      <c r="C619" s="1">
        <v>47</v>
      </c>
      <c r="D619" s="1" t="s">
        <v>752</v>
      </c>
      <c r="E619">
        <v>7.6</v>
      </c>
      <c r="F619" s="1">
        <v>30</v>
      </c>
      <c r="G619" s="1">
        <v>0</v>
      </c>
      <c r="H619" s="2">
        <v>34809</v>
      </c>
    </row>
    <row r="620" spans="1:8" x14ac:dyDescent="0.4">
      <c r="A620" s="1" t="s">
        <v>183</v>
      </c>
      <c r="B620" s="1">
        <v>10480</v>
      </c>
      <c r="C620" s="1">
        <v>59</v>
      </c>
      <c r="D620" s="1" t="s">
        <v>704</v>
      </c>
      <c r="E620">
        <v>44</v>
      </c>
      <c r="F620" s="1">
        <v>12</v>
      </c>
      <c r="G620" s="1">
        <v>0</v>
      </c>
      <c r="H620" s="2">
        <v>34809</v>
      </c>
    </row>
    <row r="621" spans="1:8" x14ac:dyDescent="0.4">
      <c r="A621" s="1" t="s">
        <v>503</v>
      </c>
      <c r="B621" s="1">
        <v>10481</v>
      </c>
      <c r="C621" s="1">
        <v>49</v>
      </c>
      <c r="D621" s="1" t="s">
        <v>697</v>
      </c>
      <c r="E621">
        <v>16</v>
      </c>
      <c r="F621" s="1">
        <v>24</v>
      </c>
      <c r="G621" s="1">
        <v>0</v>
      </c>
      <c r="H621" s="2">
        <v>34809</v>
      </c>
    </row>
    <row r="622" spans="1:8" x14ac:dyDescent="0.4">
      <c r="A622" s="1" t="s">
        <v>503</v>
      </c>
      <c r="B622" s="1">
        <v>10481</v>
      </c>
      <c r="C622" s="1">
        <v>60</v>
      </c>
      <c r="D622" s="1" t="s">
        <v>694</v>
      </c>
      <c r="E622">
        <v>27.2</v>
      </c>
      <c r="F622" s="1">
        <v>40</v>
      </c>
      <c r="G622" s="1">
        <v>0</v>
      </c>
      <c r="H622" s="2">
        <v>34809</v>
      </c>
    </row>
    <row r="623" spans="1:8" x14ac:dyDescent="0.4">
      <c r="A623" s="1" t="s">
        <v>333</v>
      </c>
      <c r="B623" s="1">
        <v>10482</v>
      </c>
      <c r="C623" s="1">
        <v>40</v>
      </c>
      <c r="D623" s="1" t="s">
        <v>720</v>
      </c>
      <c r="E623">
        <v>14.7</v>
      </c>
      <c r="F623" s="1">
        <v>10</v>
      </c>
      <c r="G623" s="1">
        <v>0</v>
      </c>
      <c r="H623" s="2">
        <v>34810</v>
      </c>
    </row>
    <row r="624" spans="1:8" x14ac:dyDescent="0.4">
      <c r="A624" s="1" t="s">
        <v>654</v>
      </c>
      <c r="B624" s="1">
        <v>10483</v>
      </c>
      <c r="C624" s="1">
        <v>34</v>
      </c>
      <c r="D624" s="1" t="s">
        <v>736</v>
      </c>
      <c r="E624">
        <v>11.2</v>
      </c>
      <c r="F624" s="1">
        <v>35</v>
      </c>
      <c r="G624" s="1">
        <v>0.05</v>
      </c>
      <c r="H624" s="2">
        <v>34813</v>
      </c>
    </row>
    <row r="625" spans="1:8" x14ac:dyDescent="0.4">
      <c r="A625" s="1" t="s">
        <v>654</v>
      </c>
      <c r="B625" s="1">
        <v>10483</v>
      </c>
      <c r="C625" s="1">
        <v>77</v>
      </c>
      <c r="D625" s="1" t="s">
        <v>706</v>
      </c>
      <c r="E625">
        <v>10.4</v>
      </c>
      <c r="F625" s="1">
        <v>30</v>
      </c>
      <c r="G625" s="1">
        <v>0.05</v>
      </c>
      <c r="H625" s="2">
        <v>34813</v>
      </c>
    </row>
    <row r="626" spans="1:8" x14ac:dyDescent="0.4">
      <c r="A626" s="1" t="s">
        <v>95</v>
      </c>
      <c r="B626" s="1">
        <v>10484</v>
      </c>
      <c r="C626" s="1">
        <v>21</v>
      </c>
      <c r="D626" s="1" t="s">
        <v>710</v>
      </c>
      <c r="E626">
        <v>8</v>
      </c>
      <c r="F626" s="1">
        <v>14</v>
      </c>
      <c r="G626" s="1">
        <v>0</v>
      </c>
      <c r="H626" s="2">
        <v>34813</v>
      </c>
    </row>
    <row r="627" spans="1:8" x14ac:dyDescent="0.4">
      <c r="A627" s="1" t="s">
        <v>95</v>
      </c>
      <c r="B627" s="1">
        <v>10484</v>
      </c>
      <c r="C627" s="1">
        <v>40</v>
      </c>
      <c r="D627" s="1" t="s">
        <v>720</v>
      </c>
      <c r="E627">
        <v>14.7</v>
      </c>
      <c r="F627" s="1">
        <v>10</v>
      </c>
      <c r="G627" s="1">
        <v>0</v>
      </c>
      <c r="H627" s="2">
        <v>34813</v>
      </c>
    </row>
    <row r="628" spans="1:8" x14ac:dyDescent="0.4">
      <c r="A628" s="1" t="s">
        <v>95</v>
      </c>
      <c r="B628" s="1">
        <v>10484</v>
      </c>
      <c r="C628" s="1">
        <v>51</v>
      </c>
      <c r="D628" s="1" t="s">
        <v>687</v>
      </c>
      <c r="E628">
        <v>42.4</v>
      </c>
      <c r="F628" s="1">
        <v>3</v>
      </c>
      <c r="G628" s="1">
        <v>0</v>
      </c>
      <c r="H628" s="2">
        <v>34813</v>
      </c>
    </row>
    <row r="629" spans="1:8" x14ac:dyDescent="0.4">
      <c r="A629" s="1" t="s">
        <v>363</v>
      </c>
      <c r="B629" s="1">
        <v>10485</v>
      </c>
      <c r="C629" s="1">
        <v>2</v>
      </c>
      <c r="D629" s="1" t="s">
        <v>701</v>
      </c>
      <c r="E629">
        <v>15.2</v>
      </c>
      <c r="F629" s="1">
        <v>20</v>
      </c>
      <c r="G629" s="1">
        <v>0.1</v>
      </c>
      <c r="H629" s="2">
        <v>34814</v>
      </c>
    </row>
    <row r="630" spans="1:8" x14ac:dyDescent="0.4">
      <c r="A630" s="1" t="s">
        <v>363</v>
      </c>
      <c r="B630" s="1">
        <v>10485</v>
      </c>
      <c r="C630" s="1">
        <v>3</v>
      </c>
      <c r="D630" s="1" t="s">
        <v>740</v>
      </c>
      <c r="E630">
        <v>8</v>
      </c>
      <c r="F630" s="1">
        <v>20</v>
      </c>
      <c r="G630" s="1">
        <v>0.1</v>
      </c>
      <c r="H630" s="2">
        <v>34814</v>
      </c>
    </row>
    <row r="631" spans="1:8" x14ac:dyDescent="0.4">
      <c r="A631" s="1" t="s">
        <v>363</v>
      </c>
      <c r="B631" s="1">
        <v>10485</v>
      </c>
      <c r="C631" s="1">
        <v>55</v>
      </c>
      <c r="D631" s="1" t="s">
        <v>699</v>
      </c>
      <c r="E631">
        <v>19.2</v>
      </c>
      <c r="F631" s="1">
        <v>30</v>
      </c>
      <c r="G631" s="1">
        <v>0.1</v>
      </c>
      <c r="H631" s="2">
        <v>34814</v>
      </c>
    </row>
    <row r="632" spans="1:8" x14ac:dyDescent="0.4">
      <c r="A632" s="1" t="s">
        <v>363</v>
      </c>
      <c r="B632" s="1">
        <v>10485</v>
      </c>
      <c r="C632" s="1">
        <v>70</v>
      </c>
      <c r="D632" s="1" t="s">
        <v>713</v>
      </c>
      <c r="E632">
        <v>12</v>
      </c>
      <c r="F632" s="1">
        <v>60</v>
      </c>
      <c r="G632" s="1">
        <v>0.1</v>
      </c>
      <c r="H632" s="2">
        <v>34814</v>
      </c>
    </row>
    <row r="633" spans="1:8" x14ac:dyDescent="0.4">
      <c r="A633" s="1" t="s">
        <v>273</v>
      </c>
      <c r="B633" s="1">
        <v>10486</v>
      </c>
      <c r="C633" s="1">
        <v>11</v>
      </c>
      <c r="D633" s="1" t="s">
        <v>683</v>
      </c>
      <c r="E633">
        <v>16.8</v>
      </c>
      <c r="F633" s="1">
        <v>5</v>
      </c>
      <c r="G633" s="1">
        <v>0</v>
      </c>
      <c r="H633" s="2">
        <v>34815</v>
      </c>
    </row>
    <row r="634" spans="1:8" x14ac:dyDescent="0.4">
      <c r="A634" s="1" t="s">
        <v>273</v>
      </c>
      <c r="B634" s="1">
        <v>10486</v>
      </c>
      <c r="C634" s="1">
        <v>51</v>
      </c>
      <c r="D634" s="1" t="s">
        <v>687</v>
      </c>
      <c r="E634">
        <v>42.4</v>
      </c>
      <c r="F634" s="1">
        <v>25</v>
      </c>
      <c r="G634" s="1">
        <v>0</v>
      </c>
      <c r="H634" s="2">
        <v>34815</v>
      </c>
    </row>
    <row r="635" spans="1:8" x14ac:dyDescent="0.4">
      <c r="A635" s="1" t="s">
        <v>273</v>
      </c>
      <c r="B635" s="1">
        <v>10486</v>
      </c>
      <c r="C635" s="1">
        <v>74</v>
      </c>
      <c r="D635" s="1" t="s">
        <v>700</v>
      </c>
      <c r="E635">
        <v>8</v>
      </c>
      <c r="F635" s="1">
        <v>16</v>
      </c>
      <c r="G635" s="1">
        <v>0</v>
      </c>
      <c r="H635" s="2">
        <v>34815</v>
      </c>
    </row>
    <row r="636" spans="1:8" x14ac:dyDescent="0.4">
      <c r="A636" s="1" t="s">
        <v>469</v>
      </c>
      <c r="B636" s="1">
        <v>10487</v>
      </c>
      <c r="C636" s="1">
        <v>19</v>
      </c>
      <c r="D636" s="1" t="s">
        <v>732</v>
      </c>
      <c r="E636">
        <v>7.3</v>
      </c>
      <c r="F636" s="1">
        <v>5</v>
      </c>
      <c r="G636" s="1">
        <v>0</v>
      </c>
      <c r="H636" s="2">
        <v>34815</v>
      </c>
    </row>
    <row r="637" spans="1:8" x14ac:dyDescent="0.4">
      <c r="A637" s="1" t="s">
        <v>469</v>
      </c>
      <c r="B637" s="1">
        <v>10487</v>
      </c>
      <c r="C637" s="1">
        <v>26</v>
      </c>
      <c r="D637" s="1" t="s">
        <v>751</v>
      </c>
      <c r="E637">
        <v>24.9</v>
      </c>
      <c r="F637" s="1">
        <v>30</v>
      </c>
      <c r="G637" s="1">
        <v>0</v>
      </c>
      <c r="H637" s="2">
        <v>34815</v>
      </c>
    </row>
    <row r="638" spans="1:8" x14ac:dyDescent="0.4">
      <c r="A638" s="1" t="s">
        <v>469</v>
      </c>
      <c r="B638" s="1">
        <v>10487</v>
      </c>
      <c r="C638" s="1">
        <v>54</v>
      </c>
      <c r="D638" s="1" t="s">
        <v>738</v>
      </c>
      <c r="E638">
        <v>5.9</v>
      </c>
      <c r="F638" s="1">
        <v>24</v>
      </c>
      <c r="G638" s="1">
        <v>0.25</v>
      </c>
      <c r="H638" s="2">
        <v>34815</v>
      </c>
    </row>
    <row r="639" spans="1:8" x14ac:dyDescent="0.4">
      <c r="A639" s="1" t="s">
        <v>198</v>
      </c>
      <c r="B639" s="1">
        <v>10488</v>
      </c>
      <c r="C639" s="1">
        <v>59</v>
      </c>
      <c r="D639" s="1" t="s">
        <v>704</v>
      </c>
      <c r="E639">
        <v>44</v>
      </c>
      <c r="F639" s="1">
        <v>30</v>
      </c>
      <c r="G639" s="1">
        <v>0</v>
      </c>
      <c r="H639" s="2">
        <v>34816</v>
      </c>
    </row>
    <row r="640" spans="1:8" x14ac:dyDescent="0.4">
      <c r="A640" s="1" t="s">
        <v>198</v>
      </c>
      <c r="B640" s="1">
        <v>10488</v>
      </c>
      <c r="C640" s="1">
        <v>73</v>
      </c>
      <c r="D640" s="1" t="s">
        <v>730</v>
      </c>
      <c r="E640">
        <v>12</v>
      </c>
      <c r="F640" s="1">
        <v>20</v>
      </c>
      <c r="G640" s="1">
        <v>0.2</v>
      </c>
      <c r="H640" s="2">
        <v>34816</v>
      </c>
    </row>
    <row r="641" spans="1:8" x14ac:dyDescent="0.4">
      <c r="A641" s="1" t="s">
        <v>450</v>
      </c>
      <c r="B641" s="1">
        <v>10489</v>
      </c>
      <c r="C641" s="1">
        <v>11</v>
      </c>
      <c r="D641" s="1" t="s">
        <v>683</v>
      </c>
      <c r="E641">
        <v>16.8</v>
      </c>
      <c r="F641" s="1">
        <v>15</v>
      </c>
      <c r="G641" s="1">
        <v>0.25</v>
      </c>
      <c r="H641" s="2">
        <v>34817</v>
      </c>
    </row>
    <row r="642" spans="1:8" x14ac:dyDescent="0.4">
      <c r="A642" s="1" t="s">
        <v>450</v>
      </c>
      <c r="B642" s="1">
        <v>10489</v>
      </c>
      <c r="C642" s="1">
        <v>16</v>
      </c>
      <c r="D642" s="1" t="s">
        <v>702</v>
      </c>
      <c r="E642">
        <v>13.9</v>
      </c>
      <c r="F642" s="1">
        <v>18</v>
      </c>
      <c r="G642" s="1">
        <v>0</v>
      </c>
      <c r="H642" s="2">
        <v>34817</v>
      </c>
    </row>
    <row r="643" spans="1:8" x14ac:dyDescent="0.4">
      <c r="A643" s="1" t="s">
        <v>273</v>
      </c>
      <c r="B643" s="1">
        <v>10490</v>
      </c>
      <c r="C643" s="1">
        <v>59</v>
      </c>
      <c r="D643" s="1" t="s">
        <v>704</v>
      </c>
      <c r="E643">
        <v>44</v>
      </c>
      <c r="F643" s="1">
        <v>60</v>
      </c>
      <c r="G643" s="1">
        <v>0</v>
      </c>
      <c r="H643" s="2">
        <v>34820</v>
      </c>
    </row>
    <row r="644" spans="1:8" x14ac:dyDescent="0.4">
      <c r="A644" s="1" t="s">
        <v>273</v>
      </c>
      <c r="B644" s="1">
        <v>10490</v>
      </c>
      <c r="C644" s="1">
        <v>68</v>
      </c>
      <c r="D644" s="1" t="s">
        <v>739</v>
      </c>
      <c r="E644">
        <v>10</v>
      </c>
      <c r="F644" s="1">
        <v>30</v>
      </c>
      <c r="G644" s="1">
        <v>0</v>
      </c>
      <c r="H644" s="2">
        <v>34820</v>
      </c>
    </row>
    <row r="645" spans="1:8" x14ac:dyDescent="0.4">
      <c r="A645" s="1" t="s">
        <v>273</v>
      </c>
      <c r="B645" s="1">
        <v>10490</v>
      </c>
      <c r="C645" s="1">
        <v>75</v>
      </c>
      <c r="D645" s="1" t="s">
        <v>731</v>
      </c>
      <c r="E645">
        <v>6.2</v>
      </c>
      <c r="F645" s="1">
        <v>36</v>
      </c>
      <c r="G645" s="1">
        <v>0</v>
      </c>
      <c r="H645" s="2">
        <v>34820</v>
      </c>
    </row>
    <row r="646" spans="1:8" x14ac:dyDescent="0.4">
      <c r="A646" s="1" t="s">
        <v>219</v>
      </c>
      <c r="B646" s="1">
        <v>10491</v>
      </c>
      <c r="C646" s="1">
        <v>44</v>
      </c>
      <c r="D646" s="1" t="s">
        <v>728</v>
      </c>
      <c r="E646">
        <v>15.5</v>
      </c>
      <c r="F646" s="1">
        <v>15</v>
      </c>
      <c r="G646" s="1">
        <v>0.15</v>
      </c>
      <c r="H646" s="2">
        <v>34820</v>
      </c>
    </row>
    <row r="647" spans="1:8" x14ac:dyDescent="0.4">
      <c r="A647" s="1" t="s">
        <v>219</v>
      </c>
      <c r="B647" s="1">
        <v>10491</v>
      </c>
      <c r="C647" s="1">
        <v>77</v>
      </c>
      <c r="D647" s="1" t="s">
        <v>706</v>
      </c>
      <c r="E647">
        <v>10.4</v>
      </c>
      <c r="F647" s="1">
        <v>7</v>
      </c>
      <c r="G647" s="1">
        <v>0.15</v>
      </c>
      <c r="H647" s="2">
        <v>34820</v>
      </c>
    </row>
    <row r="648" spans="1:8" x14ac:dyDescent="0.4">
      <c r="A648" s="1" t="s">
        <v>84</v>
      </c>
      <c r="B648" s="1">
        <v>10492</v>
      </c>
      <c r="C648" s="1">
        <v>25</v>
      </c>
      <c r="D648" s="1" t="s">
        <v>749</v>
      </c>
      <c r="E648">
        <v>11.2</v>
      </c>
      <c r="F648" s="1">
        <v>60</v>
      </c>
      <c r="G648" s="1">
        <v>0.05</v>
      </c>
      <c r="H648" s="2">
        <v>34821</v>
      </c>
    </row>
    <row r="649" spans="1:8" x14ac:dyDescent="0.4">
      <c r="A649" s="1" t="s">
        <v>84</v>
      </c>
      <c r="B649" s="1">
        <v>10492</v>
      </c>
      <c r="C649" s="1">
        <v>42</v>
      </c>
      <c r="D649" s="1" t="s">
        <v>684</v>
      </c>
      <c r="E649">
        <v>11.2</v>
      </c>
      <c r="F649" s="1">
        <v>20</v>
      </c>
      <c r="G649" s="1">
        <v>0.05</v>
      </c>
      <c r="H649" s="2">
        <v>34821</v>
      </c>
    </row>
    <row r="650" spans="1:8" x14ac:dyDescent="0.4">
      <c r="A650" s="1" t="s">
        <v>318</v>
      </c>
      <c r="B650" s="1">
        <v>10493</v>
      </c>
      <c r="C650" s="1">
        <v>65</v>
      </c>
      <c r="D650" s="1" t="s">
        <v>689</v>
      </c>
      <c r="E650">
        <v>16.8</v>
      </c>
      <c r="F650" s="1">
        <v>15</v>
      </c>
      <c r="G650" s="1">
        <v>0.1</v>
      </c>
      <c r="H650" s="2">
        <v>34822</v>
      </c>
    </row>
    <row r="651" spans="1:8" x14ac:dyDescent="0.4">
      <c r="A651" s="1" t="s">
        <v>318</v>
      </c>
      <c r="B651" s="1">
        <v>10493</v>
      </c>
      <c r="C651" s="1">
        <v>66</v>
      </c>
      <c r="D651" s="1" t="s">
        <v>744</v>
      </c>
      <c r="E651">
        <v>13.6</v>
      </c>
      <c r="F651" s="1">
        <v>10</v>
      </c>
      <c r="G651" s="1">
        <v>0.1</v>
      </c>
      <c r="H651" s="2">
        <v>34822</v>
      </c>
    </row>
    <row r="652" spans="1:8" x14ac:dyDescent="0.4">
      <c r="A652" s="1" t="s">
        <v>318</v>
      </c>
      <c r="B652" s="1">
        <v>10493</v>
      </c>
      <c r="C652" s="1">
        <v>69</v>
      </c>
      <c r="D652" s="1" t="s">
        <v>743</v>
      </c>
      <c r="E652">
        <v>28.8</v>
      </c>
      <c r="F652" s="1">
        <v>10</v>
      </c>
      <c r="G652" s="1">
        <v>0.1</v>
      </c>
      <c r="H652" s="2">
        <v>34822</v>
      </c>
    </row>
    <row r="653" spans="1:8" x14ac:dyDescent="0.4">
      <c r="A653" s="1" t="s">
        <v>123</v>
      </c>
      <c r="B653" s="1">
        <v>10494</v>
      </c>
      <c r="C653" s="1">
        <v>56</v>
      </c>
      <c r="D653" s="1" t="s">
        <v>716</v>
      </c>
      <c r="E653">
        <v>30.4</v>
      </c>
      <c r="F653" s="1">
        <v>30</v>
      </c>
      <c r="G653" s="1">
        <v>0</v>
      </c>
      <c r="H653" s="2">
        <v>34822</v>
      </c>
    </row>
    <row r="654" spans="1:8" x14ac:dyDescent="0.4">
      <c r="A654" s="1" t="s">
        <v>325</v>
      </c>
      <c r="B654" s="1">
        <v>10495</v>
      </c>
      <c r="C654" s="1">
        <v>23</v>
      </c>
      <c r="D654" s="1" t="s">
        <v>753</v>
      </c>
      <c r="E654">
        <v>7.2</v>
      </c>
      <c r="F654" s="1">
        <v>10</v>
      </c>
      <c r="G654" s="1">
        <v>0</v>
      </c>
      <c r="H654" s="2">
        <v>34823</v>
      </c>
    </row>
    <row r="655" spans="1:8" x14ac:dyDescent="0.4">
      <c r="A655" s="1" t="s">
        <v>325</v>
      </c>
      <c r="B655" s="1">
        <v>10495</v>
      </c>
      <c r="C655" s="1">
        <v>41</v>
      </c>
      <c r="D655" s="1" t="s">
        <v>688</v>
      </c>
      <c r="E655">
        <v>7.7</v>
      </c>
      <c r="F655" s="1">
        <v>20</v>
      </c>
      <c r="G655" s="1">
        <v>0</v>
      </c>
      <c r="H655" s="2">
        <v>34823</v>
      </c>
    </row>
    <row r="656" spans="1:8" x14ac:dyDescent="0.4">
      <c r="A656" s="1" t="s">
        <v>325</v>
      </c>
      <c r="B656" s="1">
        <v>10495</v>
      </c>
      <c r="C656" s="1">
        <v>77</v>
      </c>
      <c r="D656" s="1" t="s">
        <v>706</v>
      </c>
      <c r="E656">
        <v>10.4</v>
      </c>
      <c r="F656" s="1">
        <v>5</v>
      </c>
      <c r="G656" s="1">
        <v>0</v>
      </c>
      <c r="H656" s="2">
        <v>34823</v>
      </c>
    </row>
    <row r="657" spans="1:8" x14ac:dyDescent="0.4">
      <c r="A657" s="1" t="s">
        <v>598</v>
      </c>
      <c r="B657" s="1">
        <v>10496</v>
      </c>
      <c r="C657" s="1">
        <v>31</v>
      </c>
      <c r="D657" s="1" t="s">
        <v>695</v>
      </c>
      <c r="E657">
        <v>10</v>
      </c>
      <c r="F657" s="1">
        <v>20</v>
      </c>
      <c r="G657" s="1">
        <v>0.05</v>
      </c>
      <c r="H657" s="2">
        <v>34824</v>
      </c>
    </row>
    <row r="658" spans="1:8" x14ac:dyDescent="0.4">
      <c r="A658" s="1" t="s">
        <v>341</v>
      </c>
      <c r="B658" s="1">
        <v>10497</v>
      </c>
      <c r="C658" s="1">
        <v>56</v>
      </c>
      <c r="D658" s="1" t="s">
        <v>716</v>
      </c>
      <c r="E658">
        <v>30.4</v>
      </c>
      <c r="F658" s="1">
        <v>14</v>
      </c>
      <c r="G658" s="1">
        <v>0</v>
      </c>
      <c r="H658" s="2">
        <v>34824</v>
      </c>
    </row>
    <row r="659" spans="1:8" x14ac:dyDescent="0.4">
      <c r="A659" s="1" t="s">
        <v>341</v>
      </c>
      <c r="B659" s="1">
        <v>10497</v>
      </c>
      <c r="C659" s="1">
        <v>72</v>
      </c>
      <c r="D659" s="1" t="s">
        <v>685</v>
      </c>
      <c r="E659">
        <v>27.8</v>
      </c>
      <c r="F659" s="1">
        <v>25</v>
      </c>
      <c r="G659" s="1">
        <v>0</v>
      </c>
      <c r="H659" s="2">
        <v>34824</v>
      </c>
    </row>
    <row r="660" spans="1:8" x14ac:dyDescent="0.4">
      <c r="A660" s="1" t="s">
        <v>341</v>
      </c>
      <c r="B660" s="1">
        <v>10497</v>
      </c>
      <c r="C660" s="1">
        <v>77</v>
      </c>
      <c r="D660" s="1" t="s">
        <v>706</v>
      </c>
      <c r="E660">
        <v>10.4</v>
      </c>
      <c r="F660" s="1">
        <v>25</v>
      </c>
      <c r="G660" s="1">
        <v>0</v>
      </c>
      <c r="H660" s="2">
        <v>34824</v>
      </c>
    </row>
    <row r="661" spans="1:8" x14ac:dyDescent="0.4">
      <c r="A661" s="1" t="s">
        <v>273</v>
      </c>
      <c r="B661" s="1">
        <v>10498</v>
      </c>
      <c r="C661" s="1">
        <v>24</v>
      </c>
      <c r="D661" s="1" t="s">
        <v>698</v>
      </c>
      <c r="E661">
        <v>4.5</v>
      </c>
      <c r="F661" s="1">
        <v>14</v>
      </c>
      <c r="G661" s="1">
        <v>0</v>
      </c>
      <c r="H661" s="2">
        <v>34827</v>
      </c>
    </row>
    <row r="662" spans="1:8" x14ac:dyDescent="0.4">
      <c r="A662" s="1" t="s">
        <v>273</v>
      </c>
      <c r="B662" s="1">
        <v>10498</v>
      </c>
      <c r="C662" s="1">
        <v>40</v>
      </c>
      <c r="D662" s="1" t="s">
        <v>720</v>
      </c>
      <c r="E662">
        <v>18.399999999999999</v>
      </c>
      <c r="F662" s="1">
        <v>5</v>
      </c>
      <c r="G662" s="1">
        <v>0</v>
      </c>
      <c r="H662" s="2">
        <v>34827</v>
      </c>
    </row>
    <row r="663" spans="1:8" x14ac:dyDescent="0.4">
      <c r="A663" s="1" t="s">
        <v>273</v>
      </c>
      <c r="B663" s="1">
        <v>10498</v>
      </c>
      <c r="C663" s="1">
        <v>42</v>
      </c>
      <c r="D663" s="1" t="s">
        <v>684</v>
      </c>
      <c r="E663">
        <v>14</v>
      </c>
      <c r="F663" s="1">
        <v>30</v>
      </c>
      <c r="G663" s="1">
        <v>0</v>
      </c>
      <c r="H663" s="2">
        <v>34827</v>
      </c>
    </row>
    <row r="664" spans="1:8" x14ac:dyDescent="0.4">
      <c r="A664" s="1" t="s">
        <v>355</v>
      </c>
      <c r="B664" s="1">
        <v>10499</v>
      </c>
      <c r="C664" s="1">
        <v>28</v>
      </c>
      <c r="D664" s="1" t="s">
        <v>727</v>
      </c>
      <c r="E664">
        <v>45.6</v>
      </c>
      <c r="F664" s="1">
        <v>20</v>
      </c>
      <c r="G664" s="1">
        <v>0</v>
      </c>
      <c r="H664" s="2">
        <v>34828</v>
      </c>
    </row>
    <row r="665" spans="1:8" x14ac:dyDescent="0.4">
      <c r="A665" s="1" t="s">
        <v>355</v>
      </c>
      <c r="B665" s="1">
        <v>10499</v>
      </c>
      <c r="C665" s="1">
        <v>49</v>
      </c>
      <c r="D665" s="1" t="s">
        <v>697</v>
      </c>
      <c r="E665">
        <v>20</v>
      </c>
      <c r="F665" s="1">
        <v>25</v>
      </c>
      <c r="G665" s="1">
        <v>0</v>
      </c>
      <c r="H665" s="2">
        <v>34828</v>
      </c>
    </row>
    <row r="666" spans="1:8" x14ac:dyDescent="0.4">
      <c r="A666" s="1" t="s">
        <v>318</v>
      </c>
      <c r="B666" s="1">
        <v>10500</v>
      </c>
      <c r="C666" s="1">
        <v>15</v>
      </c>
      <c r="D666" s="1" t="s">
        <v>733</v>
      </c>
      <c r="E666">
        <v>15.5</v>
      </c>
      <c r="F666" s="1">
        <v>12</v>
      </c>
      <c r="G666" s="1">
        <v>0.05</v>
      </c>
      <c r="H666" s="2">
        <v>34829</v>
      </c>
    </row>
    <row r="667" spans="1:8" x14ac:dyDescent="0.4">
      <c r="A667" s="1" t="s">
        <v>318</v>
      </c>
      <c r="B667" s="1">
        <v>10500</v>
      </c>
      <c r="C667" s="1">
        <v>28</v>
      </c>
      <c r="D667" s="1" t="s">
        <v>727</v>
      </c>
      <c r="E667">
        <v>45.6</v>
      </c>
      <c r="F667" s="1">
        <v>8</v>
      </c>
      <c r="G667" s="1">
        <v>0.05</v>
      </c>
      <c r="H667" s="2">
        <v>34829</v>
      </c>
    </row>
    <row r="668" spans="1:8" x14ac:dyDescent="0.4">
      <c r="A668" s="1" t="s">
        <v>53</v>
      </c>
      <c r="B668" s="1">
        <v>10501</v>
      </c>
      <c r="C668" s="1">
        <v>54</v>
      </c>
      <c r="D668" s="1" t="s">
        <v>738</v>
      </c>
      <c r="E668">
        <v>7.45</v>
      </c>
      <c r="F668" s="1">
        <v>20</v>
      </c>
      <c r="G668" s="1">
        <v>0</v>
      </c>
      <c r="H668" s="2">
        <v>34829</v>
      </c>
    </row>
    <row r="669" spans="1:8" x14ac:dyDescent="0.4">
      <c r="A669" s="1" t="s">
        <v>444</v>
      </c>
      <c r="B669" s="1">
        <v>10502</v>
      </c>
      <c r="C669" s="1">
        <v>45</v>
      </c>
      <c r="D669" s="1" t="s">
        <v>756</v>
      </c>
      <c r="E669">
        <v>9.5</v>
      </c>
      <c r="F669" s="1">
        <v>21</v>
      </c>
      <c r="G669" s="1">
        <v>0</v>
      </c>
      <c r="H669" s="2">
        <v>34830</v>
      </c>
    </row>
    <row r="670" spans="1:8" x14ac:dyDescent="0.4">
      <c r="A670" s="1" t="s">
        <v>444</v>
      </c>
      <c r="B670" s="1">
        <v>10502</v>
      </c>
      <c r="C670" s="1">
        <v>53</v>
      </c>
      <c r="D670" s="1" t="s">
        <v>705</v>
      </c>
      <c r="E670">
        <v>32.799999999999997</v>
      </c>
      <c r="F670" s="1">
        <v>6</v>
      </c>
      <c r="G670" s="1">
        <v>0</v>
      </c>
      <c r="H670" s="2">
        <v>34830</v>
      </c>
    </row>
    <row r="671" spans="1:8" x14ac:dyDescent="0.4">
      <c r="A671" s="1" t="s">
        <v>444</v>
      </c>
      <c r="B671" s="1">
        <v>10502</v>
      </c>
      <c r="C671" s="1">
        <v>67</v>
      </c>
      <c r="D671" s="1" t="s">
        <v>734</v>
      </c>
      <c r="E671">
        <v>14</v>
      </c>
      <c r="F671" s="1">
        <v>30</v>
      </c>
      <c r="G671" s="1">
        <v>0</v>
      </c>
      <c r="H671" s="2">
        <v>34830</v>
      </c>
    </row>
    <row r="672" spans="1:8" x14ac:dyDescent="0.4">
      <c r="A672" s="1" t="s">
        <v>288</v>
      </c>
      <c r="B672" s="1">
        <v>10503</v>
      </c>
      <c r="C672" s="1">
        <v>14</v>
      </c>
      <c r="D672" s="1" t="s">
        <v>686</v>
      </c>
      <c r="E672">
        <v>23.25</v>
      </c>
      <c r="F672" s="1">
        <v>70</v>
      </c>
      <c r="G672" s="1">
        <v>0</v>
      </c>
      <c r="H672" s="2">
        <v>34831</v>
      </c>
    </row>
    <row r="673" spans="1:8" x14ac:dyDescent="0.4">
      <c r="A673" s="1" t="s">
        <v>288</v>
      </c>
      <c r="B673" s="1">
        <v>10503</v>
      </c>
      <c r="C673" s="1">
        <v>65</v>
      </c>
      <c r="D673" s="1" t="s">
        <v>689</v>
      </c>
      <c r="E673">
        <v>21.05</v>
      </c>
      <c r="F673" s="1">
        <v>20</v>
      </c>
      <c r="G673" s="1">
        <v>0</v>
      </c>
      <c r="H673" s="2">
        <v>34831</v>
      </c>
    </row>
    <row r="674" spans="1:8" x14ac:dyDescent="0.4">
      <c r="A674" s="1" t="s">
        <v>654</v>
      </c>
      <c r="B674" s="1">
        <v>10504</v>
      </c>
      <c r="C674" s="1">
        <v>2</v>
      </c>
      <c r="D674" s="1" t="s">
        <v>701</v>
      </c>
      <c r="E674">
        <v>19</v>
      </c>
      <c r="F674" s="1">
        <v>12</v>
      </c>
      <c r="G674" s="1">
        <v>0</v>
      </c>
      <c r="H674" s="2">
        <v>34831</v>
      </c>
    </row>
    <row r="675" spans="1:8" x14ac:dyDescent="0.4">
      <c r="A675" s="1" t="s">
        <v>654</v>
      </c>
      <c r="B675" s="1">
        <v>10504</v>
      </c>
      <c r="C675" s="1">
        <v>21</v>
      </c>
      <c r="D675" s="1" t="s">
        <v>710</v>
      </c>
      <c r="E675">
        <v>10</v>
      </c>
      <c r="F675" s="1">
        <v>12</v>
      </c>
      <c r="G675" s="1">
        <v>0</v>
      </c>
      <c r="H675" s="2">
        <v>34831</v>
      </c>
    </row>
    <row r="676" spans="1:8" x14ac:dyDescent="0.4">
      <c r="A676" s="1" t="s">
        <v>654</v>
      </c>
      <c r="B676" s="1">
        <v>10504</v>
      </c>
      <c r="C676" s="1">
        <v>53</v>
      </c>
      <c r="D676" s="1" t="s">
        <v>705</v>
      </c>
      <c r="E676">
        <v>32.799999999999997</v>
      </c>
      <c r="F676" s="1">
        <v>10</v>
      </c>
      <c r="G676" s="1">
        <v>0</v>
      </c>
      <c r="H676" s="2">
        <v>34831</v>
      </c>
    </row>
    <row r="677" spans="1:8" x14ac:dyDescent="0.4">
      <c r="A677" s="1" t="s">
        <v>654</v>
      </c>
      <c r="B677" s="1">
        <v>10504</v>
      </c>
      <c r="C677" s="1">
        <v>61</v>
      </c>
      <c r="D677" s="1" t="s">
        <v>758</v>
      </c>
      <c r="E677">
        <v>28.5</v>
      </c>
      <c r="F677" s="1">
        <v>25</v>
      </c>
      <c r="G677" s="1">
        <v>0</v>
      </c>
      <c r="H677" s="2">
        <v>34831</v>
      </c>
    </row>
    <row r="678" spans="1:8" x14ac:dyDescent="0.4">
      <c r="A678" s="1" t="s">
        <v>394</v>
      </c>
      <c r="B678" s="1">
        <v>10505</v>
      </c>
      <c r="C678" s="1">
        <v>62</v>
      </c>
      <c r="D678" s="1" t="s">
        <v>712</v>
      </c>
      <c r="E678">
        <v>49.3</v>
      </c>
      <c r="F678" s="1">
        <v>3</v>
      </c>
      <c r="G678" s="1">
        <v>0</v>
      </c>
      <c r="H678" s="2">
        <v>34834</v>
      </c>
    </row>
    <row r="679" spans="1:8" x14ac:dyDescent="0.4">
      <c r="A679" s="1" t="s">
        <v>305</v>
      </c>
      <c r="B679" s="1">
        <v>10506</v>
      </c>
      <c r="C679" s="1">
        <v>25</v>
      </c>
      <c r="D679" s="1" t="s">
        <v>749</v>
      </c>
      <c r="E679">
        <v>14</v>
      </c>
      <c r="F679" s="1">
        <v>18</v>
      </c>
      <c r="G679" s="1">
        <v>0.1</v>
      </c>
      <c r="H679" s="2">
        <v>34835</v>
      </c>
    </row>
    <row r="680" spans="1:8" x14ac:dyDescent="0.4">
      <c r="A680" s="1" t="s">
        <v>305</v>
      </c>
      <c r="B680" s="1">
        <v>10506</v>
      </c>
      <c r="C680" s="1">
        <v>70</v>
      </c>
      <c r="D680" s="1" t="s">
        <v>713</v>
      </c>
      <c r="E680">
        <v>15</v>
      </c>
      <c r="F680" s="1">
        <v>14</v>
      </c>
      <c r="G680" s="1">
        <v>0.1</v>
      </c>
      <c r="H680" s="2">
        <v>34835</v>
      </c>
    </row>
    <row r="681" spans="1:8" x14ac:dyDescent="0.4">
      <c r="A681" s="1" t="s">
        <v>29</v>
      </c>
      <c r="B681" s="1">
        <v>10507</v>
      </c>
      <c r="C681" s="1">
        <v>43</v>
      </c>
      <c r="D681" s="1" t="s">
        <v>723</v>
      </c>
      <c r="E681">
        <v>46</v>
      </c>
      <c r="F681" s="1">
        <v>15</v>
      </c>
      <c r="G681" s="1">
        <v>0.15</v>
      </c>
      <c r="H681" s="2">
        <v>34835</v>
      </c>
    </row>
    <row r="682" spans="1:8" x14ac:dyDescent="0.4">
      <c r="A682" s="1" t="s">
        <v>29</v>
      </c>
      <c r="B682" s="1">
        <v>10507</v>
      </c>
      <c r="C682" s="1">
        <v>48</v>
      </c>
      <c r="D682" s="1" t="s">
        <v>757</v>
      </c>
      <c r="E682">
        <v>12.75</v>
      </c>
      <c r="F682" s="1">
        <v>15</v>
      </c>
      <c r="G682" s="1">
        <v>0.15</v>
      </c>
      <c r="H682" s="2">
        <v>34835</v>
      </c>
    </row>
    <row r="683" spans="1:8" x14ac:dyDescent="0.4">
      <c r="A683" s="1" t="s">
        <v>430</v>
      </c>
      <c r="B683" s="1">
        <v>10508</v>
      </c>
      <c r="C683" s="1">
        <v>13</v>
      </c>
      <c r="D683" s="1" t="s">
        <v>726</v>
      </c>
      <c r="E683">
        <v>6</v>
      </c>
      <c r="F683" s="1">
        <v>10</v>
      </c>
      <c r="G683" s="1">
        <v>0</v>
      </c>
      <c r="H683" s="2">
        <v>34836</v>
      </c>
    </row>
    <row r="684" spans="1:8" x14ac:dyDescent="0.4">
      <c r="A684" s="1" t="s">
        <v>430</v>
      </c>
      <c r="B684" s="1">
        <v>10508</v>
      </c>
      <c r="C684" s="1">
        <v>39</v>
      </c>
      <c r="D684" s="1" t="s">
        <v>696</v>
      </c>
      <c r="E684">
        <v>18</v>
      </c>
      <c r="F684" s="1">
        <v>10</v>
      </c>
      <c r="G684" s="1">
        <v>0</v>
      </c>
      <c r="H684" s="2">
        <v>34836</v>
      </c>
    </row>
    <row r="685" spans="1:8" x14ac:dyDescent="0.4">
      <c r="A685" s="1" t="s">
        <v>53</v>
      </c>
      <c r="B685" s="1">
        <v>10509</v>
      </c>
      <c r="C685" s="1">
        <v>28</v>
      </c>
      <c r="D685" s="1" t="s">
        <v>727</v>
      </c>
      <c r="E685">
        <v>45.6</v>
      </c>
      <c r="F685" s="1">
        <v>3</v>
      </c>
      <c r="G685" s="1">
        <v>0</v>
      </c>
      <c r="H685" s="2">
        <v>34837</v>
      </c>
    </row>
    <row r="686" spans="1:8" x14ac:dyDescent="0.4">
      <c r="A686" s="1" t="s">
        <v>529</v>
      </c>
      <c r="B686" s="1">
        <v>10510</v>
      </c>
      <c r="C686" s="1">
        <v>29</v>
      </c>
      <c r="D686" s="1" t="s">
        <v>722</v>
      </c>
      <c r="E686">
        <v>123.79</v>
      </c>
      <c r="F686" s="1">
        <v>36</v>
      </c>
      <c r="G686" s="1">
        <v>0</v>
      </c>
      <c r="H686" s="2">
        <v>34838</v>
      </c>
    </row>
    <row r="687" spans="1:8" x14ac:dyDescent="0.4">
      <c r="A687" s="1" t="s">
        <v>529</v>
      </c>
      <c r="B687" s="1">
        <v>10510</v>
      </c>
      <c r="C687" s="1">
        <v>75</v>
      </c>
      <c r="D687" s="1" t="s">
        <v>731</v>
      </c>
      <c r="E687">
        <v>7.75</v>
      </c>
      <c r="F687" s="1">
        <v>36</v>
      </c>
      <c r="G687" s="1">
        <v>0.1</v>
      </c>
      <c r="H687" s="2">
        <v>34838</v>
      </c>
    </row>
    <row r="688" spans="1:8" x14ac:dyDescent="0.4">
      <c r="A688" s="1" t="s">
        <v>77</v>
      </c>
      <c r="B688" s="1">
        <v>10511</v>
      </c>
      <c r="C688" s="1">
        <v>4</v>
      </c>
      <c r="D688" s="1" t="s">
        <v>745</v>
      </c>
      <c r="E688">
        <v>22</v>
      </c>
      <c r="F688" s="1">
        <v>50</v>
      </c>
      <c r="G688" s="1">
        <v>0.15</v>
      </c>
      <c r="H688" s="2">
        <v>34838</v>
      </c>
    </row>
    <row r="689" spans="1:8" x14ac:dyDescent="0.4">
      <c r="A689" s="1" t="s">
        <v>77</v>
      </c>
      <c r="B689" s="1">
        <v>10511</v>
      </c>
      <c r="C689" s="1">
        <v>7</v>
      </c>
      <c r="D689" s="1" t="s">
        <v>715</v>
      </c>
      <c r="E689">
        <v>30</v>
      </c>
      <c r="F689" s="1">
        <v>50</v>
      </c>
      <c r="G689" s="1">
        <v>0.15</v>
      </c>
      <c r="H689" s="2">
        <v>34838</v>
      </c>
    </row>
    <row r="690" spans="1:8" x14ac:dyDescent="0.4">
      <c r="A690" s="1" t="s">
        <v>77</v>
      </c>
      <c r="B690" s="1">
        <v>10511</v>
      </c>
      <c r="C690" s="1">
        <v>8</v>
      </c>
      <c r="D690" s="1" t="s">
        <v>754</v>
      </c>
      <c r="E690">
        <v>40</v>
      </c>
      <c r="F690" s="1">
        <v>10</v>
      </c>
      <c r="G690" s="1">
        <v>0.15</v>
      </c>
      <c r="H690" s="2">
        <v>34838</v>
      </c>
    </row>
    <row r="691" spans="1:8" x14ac:dyDescent="0.4">
      <c r="A691" s="1" t="s">
        <v>170</v>
      </c>
      <c r="B691" s="1">
        <v>10512</v>
      </c>
      <c r="C691" s="1">
        <v>24</v>
      </c>
      <c r="D691" s="1" t="s">
        <v>698</v>
      </c>
      <c r="E691">
        <v>4.5</v>
      </c>
      <c r="F691" s="1">
        <v>10</v>
      </c>
      <c r="G691" s="1">
        <v>0.15</v>
      </c>
      <c r="H691" s="2">
        <v>34841</v>
      </c>
    </row>
    <row r="692" spans="1:8" x14ac:dyDescent="0.4">
      <c r="A692" s="1" t="s">
        <v>170</v>
      </c>
      <c r="B692" s="1">
        <v>10512</v>
      </c>
      <c r="C692" s="1">
        <v>46</v>
      </c>
      <c r="D692" s="1" t="s">
        <v>737</v>
      </c>
      <c r="E692">
        <v>12</v>
      </c>
      <c r="F692" s="1">
        <v>9</v>
      </c>
      <c r="G692" s="1">
        <v>0.15</v>
      </c>
      <c r="H692" s="2">
        <v>34841</v>
      </c>
    </row>
    <row r="693" spans="1:8" x14ac:dyDescent="0.4">
      <c r="A693" s="1" t="s">
        <v>170</v>
      </c>
      <c r="B693" s="1">
        <v>10512</v>
      </c>
      <c r="C693" s="1">
        <v>47</v>
      </c>
      <c r="D693" s="1" t="s">
        <v>752</v>
      </c>
      <c r="E693">
        <v>9.5</v>
      </c>
      <c r="F693" s="1">
        <v>6</v>
      </c>
      <c r="G693" s="1">
        <v>0.15</v>
      </c>
      <c r="H693" s="2">
        <v>34841</v>
      </c>
    </row>
    <row r="694" spans="1:8" x14ac:dyDescent="0.4">
      <c r="A694" s="1" t="s">
        <v>170</v>
      </c>
      <c r="B694" s="1">
        <v>10512</v>
      </c>
      <c r="C694" s="1">
        <v>60</v>
      </c>
      <c r="D694" s="1" t="s">
        <v>694</v>
      </c>
      <c r="E694">
        <v>34</v>
      </c>
      <c r="F694" s="1">
        <v>12</v>
      </c>
      <c r="G694" s="1">
        <v>0.15</v>
      </c>
      <c r="H694" s="2">
        <v>34841</v>
      </c>
    </row>
    <row r="695" spans="1:8" x14ac:dyDescent="0.4">
      <c r="A695" s="1" t="s">
        <v>633</v>
      </c>
      <c r="B695" s="1">
        <v>10513</v>
      </c>
      <c r="C695" s="1">
        <v>21</v>
      </c>
      <c r="D695" s="1" t="s">
        <v>710</v>
      </c>
      <c r="E695">
        <v>10</v>
      </c>
      <c r="F695" s="1">
        <v>40</v>
      </c>
      <c r="G695" s="1">
        <v>0.2</v>
      </c>
      <c r="H695" s="2">
        <v>34842</v>
      </c>
    </row>
    <row r="696" spans="1:8" x14ac:dyDescent="0.4">
      <c r="A696" s="1" t="s">
        <v>633</v>
      </c>
      <c r="B696" s="1">
        <v>10513</v>
      </c>
      <c r="C696" s="1">
        <v>32</v>
      </c>
      <c r="D696" s="1" t="s">
        <v>709</v>
      </c>
      <c r="E696">
        <v>32</v>
      </c>
      <c r="F696" s="1">
        <v>50</v>
      </c>
      <c r="G696" s="1">
        <v>0.2</v>
      </c>
      <c r="H696" s="2">
        <v>34842</v>
      </c>
    </row>
    <row r="697" spans="1:8" x14ac:dyDescent="0.4">
      <c r="A697" s="1" t="s">
        <v>633</v>
      </c>
      <c r="B697" s="1">
        <v>10513</v>
      </c>
      <c r="C697" s="1">
        <v>61</v>
      </c>
      <c r="D697" s="1" t="s">
        <v>758</v>
      </c>
      <c r="E697">
        <v>28.5</v>
      </c>
      <c r="F697" s="1">
        <v>15</v>
      </c>
      <c r="G697" s="1">
        <v>0.2</v>
      </c>
      <c r="H697" s="2">
        <v>34842</v>
      </c>
    </row>
    <row r="698" spans="1:8" x14ac:dyDescent="0.4">
      <c r="A698" s="1" t="s">
        <v>161</v>
      </c>
      <c r="B698" s="1">
        <v>10514</v>
      </c>
      <c r="C698" s="1">
        <v>20</v>
      </c>
      <c r="D698" s="1" t="s">
        <v>692</v>
      </c>
      <c r="E698">
        <v>81</v>
      </c>
      <c r="F698" s="1">
        <v>39</v>
      </c>
      <c r="G698" s="1">
        <v>0</v>
      </c>
      <c r="H698" s="2">
        <v>34842</v>
      </c>
    </row>
    <row r="699" spans="1:8" x14ac:dyDescent="0.4">
      <c r="A699" s="1" t="s">
        <v>161</v>
      </c>
      <c r="B699" s="1">
        <v>10514</v>
      </c>
      <c r="C699" s="1">
        <v>28</v>
      </c>
      <c r="D699" s="1" t="s">
        <v>727</v>
      </c>
      <c r="E699">
        <v>45.6</v>
      </c>
      <c r="F699" s="1">
        <v>35</v>
      </c>
      <c r="G699" s="1">
        <v>0</v>
      </c>
      <c r="H699" s="2">
        <v>34842</v>
      </c>
    </row>
    <row r="700" spans="1:8" x14ac:dyDescent="0.4">
      <c r="A700" s="1" t="s">
        <v>161</v>
      </c>
      <c r="B700" s="1">
        <v>10514</v>
      </c>
      <c r="C700" s="1">
        <v>56</v>
      </c>
      <c r="D700" s="1" t="s">
        <v>716</v>
      </c>
      <c r="E700">
        <v>38</v>
      </c>
      <c r="F700" s="1">
        <v>70</v>
      </c>
      <c r="G700" s="1">
        <v>0</v>
      </c>
      <c r="H700" s="2">
        <v>34842</v>
      </c>
    </row>
    <row r="701" spans="1:8" x14ac:dyDescent="0.4">
      <c r="A701" s="1" t="s">
        <v>161</v>
      </c>
      <c r="B701" s="1">
        <v>10514</v>
      </c>
      <c r="C701" s="1">
        <v>65</v>
      </c>
      <c r="D701" s="1" t="s">
        <v>689</v>
      </c>
      <c r="E701">
        <v>21.05</v>
      </c>
      <c r="F701" s="1">
        <v>39</v>
      </c>
      <c r="G701" s="1">
        <v>0</v>
      </c>
      <c r="H701" s="2">
        <v>34842</v>
      </c>
    </row>
    <row r="702" spans="1:8" x14ac:dyDescent="0.4">
      <c r="A702" s="1" t="s">
        <v>161</v>
      </c>
      <c r="B702" s="1">
        <v>10514</v>
      </c>
      <c r="C702" s="1">
        <v>75</v>
      </c>
      <c r="D702" s="1" t="s">
        <v>731</v>
      </c>
      <c r="E702">
        <v>7.75</v>
      </c>
      <c r="F702" s="1">
        <v>50</v>
      </c>
      <c r="G702" s="1">
        <v>0</v>
      </c>
      <c r="H702" s="2">
        <v>34842</v>
      </c>
    </row>
    <row r="703" spans="1:8" x14ac:dyDescent="0.4">
      <c r="A703" s="1" t="s">
        <v>475</v>
      </c>
      <c r="B703" s="1">
        <v>10515</v>
      </c>
      <c r="C703" s="1">
        <v>9</v>
      </c>
      <c r="D703" s="1" t="s">
        <v>759</v>
      </c>
      <c r="E703">
        <v>97</v>
      </c>
      <c r="F703" s="1">
        <v>16</v>
      </c>
      <c r="G703" s="1">
        <v>0.15</v>
      </c>
      <c r="H703" s="2">
        <v>34843</v>
      </c>
    </row>
    <row r="704" spans="1:8" x14ac:dyDescent="0.4">
      <c r="A704" s="1" t="s">
        <v>475</v>
      </c>
      <c r="B704" s="1">
        <v>10515</v>
      </c>
      <c r="C704" s="1">
        <v>16</v>
      </c>
      <c r="D704" s="1" t="s">
        <v>702</v>
      </c>
      <c r="E704">
        <v>17.45</v>
      </c>
      <c r="F704" s="1">
        <v>50</v>
      </c>
      <c r="G704" s="1">
        <v>0</v>
      </c>
      <c r="H704" s="2">
        <v>34843</v>
      </c>
    </row>
    <row r="705" spans="1:8" x14ac:dyDescent="0.4">
      <c r="A705" s="1" t="s">
        <v>475</v>
      </c>
      <c r="B705" s="1">
        <v>10515</v>
      </c>
      <c r="C705" s="1">
        <v>27</v>
      </c>
      <c r="D705" s="1" t="s">
        <v>707</v>
      </c>
      <c r="E705">
        <v>43.9</v>
      </c>
      <c r="F705" s="1">
        <v>120</v>
      </c>
      <c r="G705" s="1">
        <v>0</v>
      </c>
      <c r="H705" s="2">
        <v>34843</v>
      </c>
    </row>
    <row r="706" spans="1:8" x14ac:dyDescent="0.4">
      <c r="A706" s="1" t="s">
        <v>475</v>
      </c>
      <c r="B706" s="1">
        <v>10515</v>
      </c>
      <c r="C706" s="1">
        <v>33</v>
      </c>
      <c r="D706" s="1" t="s">
        <v>693</v>
      </c>
      <c r="E706">
        <v>2.5</v>
      </c>
      <c r="F706" s="1">
        <v>16</v>
      </c>
      <c r="G706" s="1">
        <v>0.15</v>
      </c>
      <c r="H706" s="2">
        <v>34843</v>
      </c>
    </row>
    <row r="707" spans="1:8" x14ac:dyDescent="0.4">
      <c r="A707" s="1" t="s">
        <v>475</v>
      </c>
      <c r="B707" s="1">
        <v>10515</v>
      </c>
      <c r="C707" s="1">
        <v>60</v>
      </c>
      <c r="D707" s="1" t="s">
        <v>694</v>
      </c>
      <c r="E707">
        <v>34</v>
      </c>
      <c r="F707" s="1">
        <v>84</v>
      </c>
      <c r="G707" s="1">
        <v>0.15</v>
      </c>
      <c r="H707" s="2">
        <v>34843</v>
      </c>
    </row>
    <row r="708" spans="1:8" x14ac:dyDescent="0.4">
      <c r="A708" s="1" t="s">
        <v>288</v>
      </c>
      <c r="B708" s="1">
        <v>10516</v>
      </c>
      <c r="C708" s="1">
        <v>18</v>
      </c>
      <c r="D708" s="1" t="s">
        <v>742</v>
      </c>
      <c r="E708">
        <v>62.5</v>
      </c>
      <c r="F708" s="1">
        <v>25</v>
      </c>
      <c r="G708" s="1">
        <v>0.1</v>
      </c>
      <c r="H708" s="2">
        <v>34844</v>
      </c>
    </row>
    <row r="709" spans="1:8" x14ac:dyDescent="0.4">
      <c r="A709" s="1" t="s">
        <v>288</v>
      </c>
      <c r="B709" s="1">
        <v>10516</v>
      </c>
      <c r="C709" s="1">
        <v>41</v>
      </c>
      <c r="D709" s="1" t="s">
        <v>688</v>
      </c>
      <c r="E709">
        <v>9.65</v>
      </c>
      <c r="F709" s="1">
        <v>80</v>
      </c>
      <c r="G709" s="1">
        <v>0.1</v>
      </c>
      <c r="H709" s="2">
        <v>34844</v>
      </c>
    </row>
    <row r="710" spans="1:8" x14ac:dyDescent="0.4">
      <c r="A710" s="1" t="s">
        <v>288</v>
      </c>
      <c r="B710" s="1">
        <v>10516</v>
      </c>
      <c r="C710" s="1">
        <v>42</v>
      </c>
      <c r="D710" s="1" t="s">
        <v>684</v>
      </c>
      <c r="E710">
        <v>14</v>
      </c>
      <c r="F710" s="1">
        <v>20</v>
      </c>
      <c r="G710" s="1">
        <v>0</v>
      </c>
      <c r="H710" s="2">
        <v>34844</v>
      </c>
    </row>
    <row r="711" spans="1:8" x14ac:dyDescent="0.4">
      <c r="A711" s="1" t="s">
        <v>409</v>
      </c>
      <c r="B711" s="1">
        <v>10517</v>
      </c>
      <c r="C711" s="1">
        <v>52</v>
      </c>
      <c r="D711" s="1" t="s">
        <v>748</v>
      </c>
      <c r="E711">
        <v>7</v>
      </c>
      <c r="F711" s="1">
        <v>6</v>
      </c>
      <c r="G711" s="1">
        <v>0</v>
      </c>
      <c r="H711" s="2">
        <v>34844</v>
      </c>
    </row>
    <row r="712" spans="1:8" x14ac:dyDescent="0.4">
      <c r="A712" s="1" t="s">
        <v>409</v>
      </c>
      <c r="B712" s="1">
        <v>10517</v>
      </c>
      <c r="C712" s="1">
        <v>59</v>
      </c>
      <c r="D712" s="1" t="s">
        <v>704</v>
      </c>
      <c r="E712">
        <v>55</v>
      </c>
      <c r="F712" s="1">
        <v>4</v>
      </c>
      <c r="G712" s="1">
        <v>0</v>
      </c>
      <c r="H712" s="2">
        <v>34844</v>
      </c>
    </row>
    <row r="713" spans="1:8" x14ac:dyDescent="0.4">
      <c r="A713" s="1" t="s">
        <v>409</v>
      </c>
      <c r="B713" s="1">
        <v>10517</v>
      </c>
      <c r="C713" s="1">
        <v>70</v>
      </c>
      <c r="D713" s="1" t="s">
        <v>713</v>
      </c>
      <c r="E713">
        <v>15</v>
      </c>
      <c r="F713" s="1">
        <v>6</v>
      </c>
      <c r="G713" s="1">
        <v>0</v>
      </c>
      <c r="H713" s="2">
        <v>34844</v>
      </c>
    </row>
    <row r="714" spans="1:8" x14ac:dyDescent="0.4">
      <c r="A714" s="1" t="s">
        <v>593</v>
      </c>
      <c r="B714" s="1">
        <v>10518</v>
      </c>
      <c r="C714" s="1">
        <v>24</v>
      </c>
      <c r="D714" s="1" t="s">
        <v>698</v>
      </c>
      <c r="E714">
        <v>4.5</v>
      </c>
      <c r="F714" s="1">
        <v>5</v>
      </c>
      <c r="G714" s="1">
        <v>0</v>
      </c>
      <c r="H714" s="2">
        <v>34845</v>
      </c>
    </row>
    <row r="715" spans="1:8" x14ac:dyDescent="0.4">
      <c r="A715" s="1" t="s">
        <v>593</v>
      </c>
      <c r="B715" s="1">
        <v>10518</v>
      </c>
      <c r="C715" s="1">
        <v>38</v>
      </c>
      <c r="D715" s="1" t="s">
        <v>750</v>
      </c>
      <c r="E715">
        <v>263.5</v>
      </c>
      <c r="F715" s="1">
        <v>15</v>
      </c>
      <c r="G715" s="1">
        <v>0</v>
      </c>
      <c r="H715" s="2">
        <v>34845</v>
      </c>
    </row>
    <row r="716" spans="1:8" x14ac:dyDescent="0.4">
      <c r="A716" s="1" t="s">
        <v>593</v>
      </c>
      <c r="B716" s="1">
        <v>10518</v>
      </c>
      <c r="C716" s="1">
        <v>44</v>
      </c>
      <c r="D716" s="1" t="s">
        <v>728</v>
      </c>
      <c r="E716">
        <v>19.45</v>
      </c>
      <c r="F716" s="1">
        <v>9</v>
      </c>
      <c r="G716" s="1">
        <v>0</v>
      </c>
      <c r="H716" s="2">
        <v>34845</v>
      </c>
    </row>
    <row r="717" spans="1:8" x14ac:dyDescent="0.4">
      <c r="A717" s="1" t="s">
        <v>116</v>
      </c>
      <c r="B717" s="1">
        <v>10519</v>
      </c>
      <c r="C717" s="1">
        <v>10</v>
      </c>
      <c r="D717" s="1" t="s">
        <v>724</v>
      </c>
      <c r="E717">
        <v>31</v>
      </c>
      <c r="F717" s="1">
        <v>16</v>
      </c>
      <c r="G717" s="1">
        <v>0.05</v>
      </c>
      <c r="H717" s="2">
        <v>34848</v>
      </c>
    </row>
    <row r="718" spans="1:8" x14ac:dyDescent="0.4">
      <c r="A718" s="1" t="s">
        <v>116</v>
      </c>
      <c r="B718" s="1">
        <v>10519</v>
      </c>
      <c r="C718" s="1">
        <v>56</v>
      </c>
      <c r="D718" s="1" t="s">
        <v>716</v>
      </c>
      <c r="E718">
        <v>38</v>
      </c>
      <c r="F718" s="1">
        <v>40</v>
      </c>
      <c r="G718" s="1">
        <v>0</v>
      </c>
      <c r="H718" s="2">
        <v>34848</v>
      </c>
    </row>
    <row r="719" spans="1:8" x14ac:dyDescent="0.4">
      <c r="A719" s="1" t="s">
        <v>116</v>
      </c>
      <c r="B719" s="1">
        <v>10519</v>
      </c>
      <c r="C719" s="1">
        <v>60</v>
      </c>
      <c r="D719" s="1" t="s">
        <v>694</v>
      </c>
      <c r="E719">
        <v>34</v>
      </c>
      <c r="F719" s="1">
        <v>10</v>
      </c>
      <c r="G719" s="1">
        <v>0.05</v>
      </c>
      <c r="H719" s="2">
        <v>34848</v>
      </c>
    </row>
    <row r="720" spans="1:8" x14ac:dyDescent="0.4">
      <c r="A720" s="1" t="s">
        <v>521</v>
      </c>
      <c r="B720" s="1">
        <v>10520</v>
      </c>
      <c r="C720" s="1">
        <v>24</v>
      </c>
      <c r="D720" s="1" t="s">
        <v>698</v>
      </c>
      <c r="E720">
        <v>4.5</v>
      </c>
      <c r="F720" s="1">
        <v>8</v>
      </c>
      <c r="G720" s="1">
        <v>0</v>
      </c>
      <c r="H720" s="2">
        <v>34849</v>
      </c>
    </row>
    <row r="721" spans="1:8" x14ac:dyDescent="0.4">
      <c r="A721" s="1" t="s">
        <v>521</v>
      </c>
      <c r="B721" s="1">
        <v>10520</v>
      </c>
      <c r="C721" s="1">
        <v>53</v>
      </c>
      <c r="D721" s="1" t="s">
        <v>705</v>
      </c>
      <c r="E721">
        <v>32.799999999999997</v>
      </c>
      <c r="F721" s="1">
        <v>5</v>
      </c>
      <c r="G721" s="1">
        <v>0</v>
      </c>
      <c r="H721" s="2">
        <v>34849</v>
      </c>
    </row>
    <row r="722" spans="1:8" x14ac:dyDescent="0.4">
      <c r="A722" s="1" t="s">
        <v>101</v>
      </c>
      <c r="B722" s="1">
        <v>10521</v>
      </c>
      <c r="C722" s="1">
        <v>35</v>
      </c>
      <c r="D722" s="1" t="s">
        <v>714</v>
      </c>
      <c r="E722">
        <v>18</v>
      </c>
      <c r="F722" s="1">
        <v>3</v>
      </c>
      <c r="G722" s="1">
        <v>0</v>
      </c>
      <c r="H722" s="2">
        <v>34849</v>
      </c>
    </row>
    <row r="723" spans="1:8" x14ac:dyDescent="0.4">
      <c r="A723" s="1" t="s">
        <v>101</v>
      </c>
      <c r="B723" s="1">
        <v>10521</v>
      </c>
      <c r="C723" s="1">
        <v>41</v>
      </c>
      <c r="D723" s="1" t="s">
        <v>688</v>
      </c>
      <c r="E723">
        <v>9.65</v>
      </c>
      <c r="F723" s="1">
        <v>10</v>
      </c>
      <c r="G723" s="1">
        <v>0</v>
      </c>
      <c r="H723" s="2">
        <v>34849</v>
      </c>
    </row>
    <row r="724" spans="1:8" x14ac:dyDescent="0.4">
      <c r="A724" s="1" t="s">
        <v>101</v>
      </c>
      <c r="B724" s="1">
        <v>10521</v>
      </c>
      <c r="C724" s="1">
        <v>68</v>
      </c>
      <c r="D724" s="1" t="s">
        <v>739</v>
      </c>
      <c r="E724">
        <v>12.5</v>
      </c>
      <c r="F724" s="1">
        <v>6</v>
      </c>
      <c r="G724" s="1">
        <v>0</v>
      </c>
      <c r="H724" s="2">
        <v>34849</v>
      </c>
    </row>
    <row r="725" spans="1:8" x14ac:dyDescent="0.4">
      <c r="A725" s="1" t="s">
        <v>341</v>
      </c>
      <c r="B725" s="1">
        <v>10522</v>
      </c>
      <c r="C725" s="1">
        <v>1</v>
      </c>
      <c r="D725" s="1" t="s">
        <v>735</v>
      </c>
      <c r="E725">
        <v>18</v>
      </c>
      <c r="F725" s="1">
        <v>40</v>
      </c>
      <c r="G725" s="1">
        <v>0.2</v>
      </c>
      <c r="H725" s="2">
        <v>34850</v>
      </c>
    </row>
    <row r="726" spans="1:8" x14ac:dyDescent="0.4">
      <c r="A726" s="1" t="s">
        <v>341</v>
      </c>
      <c r="B726" s="1">
        <v>10522</v>
      </c>
      <c r="C726" s="1">
        <v>8</v>
      </c>
      <c r="D726" s="1" t="s">
        <v>754</v>
      </c>
      <c r="E726">
        <v>40</v>
      </c>
      <c r="F726" s="1">
        <v>24</v>
      </c>
      <c r="G726" s="1">
        <v>0</v>
      </c>
      <c r="H726" s="2">
        <v>34850</v>
      </c>
    </row>
    <row r="727" spans="1:8" x14ac:dyDescent="0.4">
      <c r="A727" s="1" t="s">
        <v>341</v>
      </c>
      <c r="B727" s="1">
        <v>10522</v>
      </c>
      <c r="C727" s="1">
        <v>30</v>
      </c>
      <c r="D727" s="1" t="s">
        <v>717</v>
      </c>
      <c r="E727">
        <v>25.89</v>
      </c>
      <c r="F727" s="1">
        <v>20</v>
      </c>
      <c r="G727" s="1">
        <v>0.2</v>
      </c>
      <c r="H727" s="2">
        <v>34850</v>
      </c>
    </row>
    <row r="728" spans="1:8" x14ac:dyDescent="0.4">
      <c r="A728" s="1" t="s">
        <v>341</v>
      </c>
      <c r="B728" s="1">
        <v>10522</v>
      </c>
      <c r="C728" s="1">
        <v>40</v>
      </c>
      <c r="D728" s="1" t="s">
        <v>720</v>
      </c>
      <c r="E728">
        <v>18.399999999999999</v>
      </c>
      <c r="F728" s="1">
        <v>25</v>
      </c>
      <c r="G728" s="1">
        <v>0.2</v>
      </c>
      <c r="H728" s="2">
        <v>34850</v>
      </c>
    </row>
    <row r="729" spans="1:8" x14ac:dyDescent="0.4">
      <c r="A729" s="1" t="s">
        <v>536</v>
      </c>
      <c r="B729" s="1">
        <v>10523</v>
      </c>
      <c r="C729" s="1">
        <v>17</v>
      </c>
      <c r="D729" s="1" t="s">
        <v>718</v>
      </c>
      <c r="E729">
        <v>39</v>
      </c>
      <c r="F729" s="1">
        <v>25</v>
      </c>
      <c r="G729" s="1">
        <v>0.1</v>
      </c>
      <c r="H729" s="2">
        <v>34851</v>
      </c>
    </row>
    <row r="730" spans="1:8" x14ac:dyDescent="0.4">
      <c r="A730" s="1" t="s">
        <v>536</v>
      </c>
      <c r="B730" s="1">
        <v>10523</v>
      </c>
      <c r="C730" s="1">
        <v>20</v>
      </c>
      <c r="D730" s="1" t="s">
        <v>692</v>
      </c>
      <c r="E730">
        <v>81</v>
      </c>
      <c r="F730" s="1">
        <v>15</v>
      </c>
      <c r="G730" s="1">
        <v>0.1</v>
      </c>
      <c r="H730" s="2">
        <v>34851</v>
      </c>
    </row>
    <row r="731" spans="1:8" x14ac:dyDescent="0.4">
      <c r="A731" s="1" t="s">
        <v>536</v>
      </c>
      <c r="B731" s="1">
        <v>10523</v>
      </c>
      <c r="C731" s="1">
        <v>37</v>
      </c>
      <c r="D731" s="1" t="s">
        <v>711</v>
      </c>
      <c r="E731">
        <v>26</v>
      </c>
      <c r="F731" s="1">
        <v>18</v>
      </c>
      <c r="G731" s="1">
        <v>0.1</v>
      </c>
      <c r="H731" s="2">
        <v>34851</v>
      </c>
    </row>
    <row r="732" spans="1:8" x14ac:dyDescent="0.4">
      <c r="A732" s="1" t="s">
        <v>536</v>
      </c>
      <c r="B732" s="1">
        <v>10523</v>
      </c>
      <c r="C732" s="1">
        <v>41</v>
      </c>
      <c r="D732" s="1" t="s">
        <v>688</v>
      </c>
      <c r="E732">
        <v>9.65</v>
      </c>
      <c r="F732" s="1">
        <v>6</v>
      </c>
      <c r="G732" s="1">
        <v>0.1</v>
      </c>
      <c r="H732" s="2">
        <v>34851</v>
      </c>
    </row>
    <row r="733" spans="1:8" x14ac:dyDescent="0.4">
      <c r="A733" s="1" t="s">
        <v>43</v>
      </c>
      <c r="B733" s="1">
        <v>10524</v>
      </c>
      <c r="C733" s="1">
        <v>10</v>
      </c>
      <c r="D733" s="1" t="s">
        <v>724</v>
      </c>
      <c r="E733">
        <v>31</v>
      </c>
      <c r="F733" s="1">
        <v>2</v>
      </c>
      <c r="G733" s="1">
        <v>0</v>
      </c>
      <c r="H733" s="2">
        <v>34851</v>
      </c>
    </row>
    <row r="734" spans="1:8" x14ac:dyDescent="0.4">
      <c r="A734" s="1" t="s">
        <v>43</v>
      </c>
      <c r="B734" s="1">
        <v>10524</v>
      </c>
      <c r="C734" s="1">
        <v>30</v>
      </c>
      <c r="D734" s="1" t="s">
        <v>717</v>
      </c>
      <c r="E734">
        <v>25.89</v>
      </c>
      <c r="F734" s="1">
        <v>10</v>
      </c>
      <c r="G734" s="1">
        <v>0</v>
      </c>
      <c r="H734" s="2">
        <v>34851</v>
      </c>
    </row>
    <row r="735" spans="1:8" x14ac:dyDescent="0.4">
      <c r="A735" s="1" t="s">
        <v>43</v>
      </c>
      <c r="B735" s="1">
        <v>10524</v>
      </c>
      <c r="C735" s="1">
        <v>43</v>
      </c>
      <c r="D735" s="1" t="s">
        <v>723</v>
      </c>
      <c r="E735">
        <v>46</v>
      </c>
      <c r="F735" s="1">
        <v>60</v>
      </c>
      <c r="G735" s="1">
        <v>0</v>
      </c>
      <c r="H735" s="2">
        <v>34851</v>
      </c>
    </row>
    <row r="736" spans="1:8" x14ac:dyDescent="0.4">
      <c r="A736" s="1" t="s">
        <v>43</v>
      </c>
      <c r="B736" s="1">
        <v>10524</v>
      </c>
      <c r="C736" s="1">
        <v>54</v>
      </c>
      <c r="D736" s="1" t="s">
        <v>738</v>
      </c>
      <c r="E736">
        <v>7.45</v>
      </c>
      <c r="F736" s="1">
        <v>15</v>
      </c>
      <c r="G736" s="1">
        <v>0</v>
      </c>
      <c r="H736" s="2">
        <v>34851</v>
      </c>
    </row>
    <row r="737" spans="1:8" x14ac:dyDescent="0.4">
      <c r="A737" s="1" t="s">
        <v>77</v>
      </c>
      <c r="B737" s="1">
        <v>10525</v>
      </c>
      <c r="C737" s="1">
        <v>36</v>
      </c>
      <c r="D737" s="1" t="s">
        <v>703</v>
      </c>
      <c r="E737">
        <v>19</v>
      </c>
      <c r="F737" s="1">
        <v>30</v>
      </c>
      <c r="G737" s="1">
        <v>0</v>
      </c>
      <c r="H737" s="2">
        <v>34852</v>
      </c>
    </row>
    <row r="738" spans="1:8" x14ac:dyDescent="0.4">
      <c r="A738" s="1" t="s">
        <v>77</v>
      </c>
      <c r="B738" s="1">
        <v>10525</v>
      </c>
      <c r="C738" s="1">
        <v>40</v>
      </c>
      <c r="D738" s="1" t="s">
        <v>720</v>
      </c>
      <c r="E738">
        <v>18.399999999999999</v>
      </c>
      <c r="F738" s="1">
        <v>15</v>
      </c>
      <c r="G738" s="1">
        <v>0.1</v>
      </c>
      <c r="H738" s="2">
        <v>34852</v>
      </c>
    </row>
    <row r="739" spans="1:8" x14ac:dyDescent="0.4">
      <c r="A739" s="1" t="s">
        <v>640</v>
      </c>
      <c r="B739" s="1">
        <v>10526</v>
      </c>
      <c r="C739" s="1">
        <v>1</v>
      </c>
      <c r="D739" s="1" t="s">
        <v>735</v>
      </c>
      <c r="E739">
        <v>18</v>
      </c>
      <c r="F739" s="1">
        <v>8</v>
      </c>
      <c r="G739" s="1">
        <v>0.15</v>
      </c>
      <c r="H739" s="2">
        <v>34855</v>
      </c>
    </row>
    <row r="740" spans="1:8" x14ac:dyDescent="0.4">
      <c r="A740" s="1" t="s">
        <v>640</v>
      </c>
      <c r="B740" s="1">
        <v>10526</v>
      </c>
      <c r="C740" s="1">
        <v>13</v>
      </c>
      <c r="D740" s="1" t="s">
        <v>726</v>
      </c>
      <c r="E740">
        <v>6</v>
      </c>
      <c r="F740" s="1">
        <v>10</v>
      </c>
      <c r="G740" s="1">
        <v>0</v>
      </c>
      <c r="H740" s="2">
        <v>34855</v>
      </c>
    </row>
    <row r="741" spans="1:8" x14ac:dyDescent="0.4">
      <c r="A741" s="1" t="s">
        <v>640</v>
      </c>
      <c r="B741" s="1">
        <v>10526</v>
      </c>
      <c r="C741" s="1">
        <v>56</v>
      </c>
      <c r="D741" s="1" t="s">
        <v>716</v>
      </c>
      <c r="E741">
        <v>38</v>
      </c>
      <c r="F741" s="1">
        <v>30</v>
      </c>
      <c r="G741" s="1">
        <v>0.15</v>
      </c>
      <c r="H741" s="2">
        <v>34855</v>
      </c>
    </row>
    <row r="742" spans="1:8" x14ac:dyDescent="0.4">
      <c r="A742" s="1" t="s">
        <v>475</v>
      </c>
      <c r="B742" s="1">
        <v>10527</v>
      </c>
      <c r="C742" s="1">
        <v>4</v>
      </c>
      <c r="D742" s="1" t="s">
        <v>745</v>
      </c>
      <c r="E742">
        <v>22</v>
      </c>
      <c r="F742" s="1">
        <v>50</v>
      </c>
      <c r="G742" s="1">
        <v>0.1</v>
      </c>
      <c r="H742" s="2">
        <v>34855</v>
      </c>
    </row>
    <row r="743" spans="1:8" x14ac:dyDescent="0.4">
      <c r="A743" s="1" t="s">
        <v>475</v>
      </c>
      <c r="B743" s="1">
        <v>10527</v>
      </c>
      <c r="C743" s="1">
        <v>36</v>
      </c>
      <c r="D743" s="1" t="s">
        <v>703</v>
      </c>
      <c r="E743">
        <v>19</v>
      </c>
      <c r="F743" s="1">
        <v>30</v>
      </c>
      <c r="G743" s="1">
        <v>0.1</v>
      </c>
      <c r="H743" s="2">
        <v>34855</v>
      </c>
    </row>
    <row r="744" spans="1:8" x14ac:dyDescent="0.4">
      <c r="A744" s="1" t="s">
        <v>247</v>
      </c>
      <c r="B744" s="1">
        <v>10528</v>
      </c>
      <c r="C744" s="1">
        <v>11</v>
      </c>
      <c r="D744" s="1" t="s">
        <v>683</v>
      </c>
      <c r="E744">
        <v>21</v>
      </c>
      <c r="F744" s="1">
        <v>3</v>
      </c>
      <c r="G744" s="1">
        <v>0</v>
      </c>
      <c r="H744" s="2">
        <v>34856</v>
      </c>
    </row>
    <row r="745" spans="1:8" x14ac:dyDescent="0.4">
      <c r="A745" s="1" t="s">
        <v>247</v>
      </c>
      <c r="B745" s="1">
        <v>10528</v>
      </c>
      <c r="C745" s="1">
        <v>33</v>
      </c>
      <c r="D745" s="1" t="s">
        <v>693</v>
      </c>
      <c r="E745">
        <v>2.5</v>
      </c>
      <c r="F745" s="1">
        <v>8</v>
      </c>
      <c r="G745" s="1">
        <v>0.2</v>
      </c>
      <c r="H745" s="2">
        <v>34856</v>
      </c>
    </row>
    <row r="746" spans="1:8" x14ac:dyDescent="0.4">
      <c r="A746" s="1" t="s">
        <v>247</v>
      </c>
      <c r="B746" s="1">
        <v>10528</v>
      </c>
      <c r="C746" s="1">
        <v>72</v>
      </c>
      <c r="D746" s="1" t="s">
        <v>685</v>
      </c>
      <c r="E746">
        <v>34.799999999999997</v>
      </c>
      <c r="F746" s="1">
        <v>9</v>
      </c>
      <c r="G746" s="1">
        <v>0</v>
      </c>
      <c r="H746" s="2">
        <v>34856</v>
      </c>
    </row>
    <row r="747" spans="1:8" x14ac:dyDescent="0.4">
      <c r="A747" s="1" t="s">
        <v>385</v>
      </c>
      <c r="B747" s="1">
        <v>10529</v>
      </c>
      <c r="C747" s="1">
        <v>55</v>
      </c>
      <c r="D747" s="1" t="s">
        <v>699</v>
      </c>
      <c r="E747">
        <v>24</v>
      </c>
      <c r="F747" s="1">
        <v>14</v>
      </c>
      <c r="G747" s="1">
        <v>0</v>
      </c>
      <c r="H747" s="2">
        <v>34857</v>
      </c>
    </row>
    <row r="748" spans="1:8" x14ac:dyDescent="0.4">
      <c r="A748" s="1" t="s">
        <v>385</v>
      </c>
      <c r="B748" s="1">
        <v>10529</v>
      </c>
      <c r="C748" s="1">
        <v>68</v>
      </c>
      <c r="D748" s="1" t="s">
        <v>739</v>
      </c>
      <c r="E748">
        <v>12.5</v>
      </c>
      <c r="F748" s="1">
        <v>20</v>
      </c>
      <c r="G748" s="1">
        <v>0</v>
      </c>
      <c r="H748" s="2">
        <v>34857</v>
      </c>
    </row>
    <row r="749" spans="1:8" x14ac:dyDescent="0.4">
      <c r="A749" s="1" t="s">
        <v>385</v>
      </c>
      <c r="B749" s="1">
        <v>10529</v>
      </c>
      <c r="C749" s="1">
        <v>69</v>
      </c>
      <c r="D749" s="1" t="s">
        <v>743</v>
      </c>
      <c r="E749">
        <v>36</v>
      </c>
      <c r="F749" s="1">
        <v>10</v>
      </c>
      <c r="G749" s="1">
        <v>0</v>
      </c>
      <c r="H749" s="2">
        <v>34857</v>
      </c>
    </row>
    <row r="750" spans="1:8" x14ac:dyDescent="0.4">
      <c r="A750" s="1" t="s">
        <v>450</v>
      </c>
      <c r="B750" s="1">
        <v>10530</v>
      </c>
      <c r="C750" s="1">
        <v>17</v>
      </c>
      <c r="D750" s="1" t="s">
        <v>718</v>
      </c>
      <c r="E750">
        <v>39</v>
      </c>
      <c r="F750" s="1">
        <v>40</v>
      </c>
      <c r="G750" s="1">
        <v>0</v>
      </c>
      <c r="H750" s="2">
        <v>34858</v>
      </c>
    </row>
    <row r="751" spans="1:8" x14ac:dyDescent="0.4">
      <c r="A751" s="1" t="s">
        <v>450</v>
      </c>
      <c r="B751" s="1">
        <v>10530</v>
      </c>
      <c r="C751" s="1">
        <v>43</v>
      </c>
      <c r="D751" s="1" t="s">
        <v>723</v>
      </c>
      <c r="E751">
        <v>46</v>
      </c>
      <c r="F751" s="1">
        <v>25</v>
      </c>
      <c r="G751" s="1">
        <v>0</v>
      </c>
      <c r="H751" s="2">
        <v>34858</v>
      </c>
    </row>
    <row r="752" spans="1:8" x14ac:dyDescent="0.4">
      <c r="A752" s="1" t="s">
        <v>450</v>
      </c>
      <c r="B752" s="1">
        <v>10530</v>
      </c>
      <c r="C752" s="1">
        <v>61</v>
      </c>
      <c r="D752" s="1" t="s">
        <v>758</v>
      </c>
      <c r="E752">
        <v>28.5</v>
      </c>
      <c r="F752" s="1">
        <v>20</v>
      </c>
      <c r="G752" s="1">
        <v>0</v>
      </c>
      <c r="H752" s="2">
        <v>34858</v>
      </c>
    </row>
    <row r="753" spans="1:8" x14ac:dyDescent="0.4">
      <c r="A753" s="1" t="s">
        <v>450</v>
      </c>
      <c r="B753" s="1">
        <v>10530</v>
      </c>
      <c r="C753" s="1">
        <v>76</v>
      </c>
      <c r="D753" s="1" t="s">
        <v>721</v>
      </c>
      <c r="E753">
        <v>18</v>
      </c>
      <c r="F753" s="1">
        <v>50</v>
      </c>
      <c r="G753" s="1">
        <v>0</v>
      </c>
      <c r="H753" s="2">
        <v>34858</v>
      </c>
    </row>
    <row r="754" spans="1:8" x14ac:dyDescent="0.4">
      <c r="A754" s="1" t="s">
        <v>416</v>
      </c>
      <c r="B754" s="1">
        <v>10531</v>
      </c>
      <c r="C754" s="1">
        <v>59</v>
      </c>
      <c r="D754" s="1" t="s">
        <v>704</v>
      </c>
      <c r="E754">
        <v>55</v>
      </c>
      <c r="F754" s="1">
        <v>2</v>
      </c>
      <c r="G754" s="1">
        <v>0</v>
      </c>
      <c r="H754" s="2">
        <v>34858</v>
      </c>
    </row>
    <row r="755" spans="1:8" x14ac:dyDescent="0.4">
      <c r="A755" s="1" t="s">
        <v>154</v>
      </c>
      <c r="B755" s="1">
        <v>10532</v>
      </c>
      <c r="C755" s="1">
        <v>30</v>
      </c>
      <c r="D755" s="1" t="s">
        <v>717</v>
      </c>
      <c r="E755">
        <v>25.89</v>
      </c>
      <c r="F755" s="1">
        <v>15</v>
      </c>
      <c r="G755" s="1">
        <v>0</v>
      </c>
      <c r="H755" s="2">
        <v>34859</v>
      </c>
    </row>
    <row r="756" spans="1:8" x14ac:dyDescent="0.4">
      <c r="A756" s="1" t="s">
        <v>154</v>
      </c>
      <c r="B756" s="1">
        <v>10532</v>
      </c>
      <c r="C756" s="1">
        <v>66</v>
      </c>
      <c r="D756" s="1" t="s">
        <v>744</v>
      </c>
      <c r="E756">
        <v>17</v>
      </c>
      <c r="F756" s="1">
        <v>24</v>
      </c>
      <c r="G756" s="1">
        <v>0</v>
      </c>
      <c r="H756" s="2">
        <v>34859</v>
      </c>
    </row>
    <row r="757" spans="1:8" x14ac:dyDescent="0.4">
      <c r="A757" s="1" t="s">
        <v>191</v>
      </c>
      <c r="B757" s="1">
        <v>10533</v>
      </c>
      <c r="C757" s="1">
        <v>4</v>
      </c>
      <c r="D757" s="1" t="s">
        <v>745</v>
      </c>
      <c r="E757">
        <v>22</v>
      </c>
      <c r="F757" s="1">
        <v>50</v>
      </c>
      <c r="G757" s="1">
        <v>0.05</v>
      </c>
      <c r="H757" s="2">
        <v>34862</v>
      </c>
    </row>
    <row r="758" spans="1:8" x14ac:dyDescent="0.4">
      <c r="A758" s="1" t="s">
        <v>191</v>
      </c>
      <c r="B758" s="1">
        <v>10533</v>
      </c>
      <c r="C758" s="1">
        <v>72</v>
      </c>
      <c r="D758" s="1" t="s">
        <v>685</v>
      </c>
      <c r="E758">
        <v>34.799999999999997</v>
      </c>
      <c r="F758" s="1">
        <v>24</v>
      </c>
      <c r="G758" s="1">
        <v>0</v>
      </c>
      <c r="H758" s="2">
        <v>34862</v>
      </c>
    </row>
    <row r="759" spans="1:8" x14ac:dyDescent="0.4">
      <c r="A759" s="1" t="s">
        <v>191</v>
      </c>
      <c r="B759" s="1">
        <v>10533</v>
      </c>
      <c r="C759" s="1">
        <v>73</v>
      </c>
      <c r="D759" s="1" t="s">
        <v>730</v>
      </c>
      <c r="E759">
        <v>15</v>
      </c>
      <c r="F759" s="1">
        <v>24</v>
      </c>
      <c r="G759" s="1">
        <v>0.05</v>
      </c>
      <c r="H759" s="2">
        <v>34862</v>
      </c>
    </row>
    <row r="760" spans="1:8" x14ac:dyDescent="0.4">
      <c r="A760" s="1" t="s">
        <v>341</v>
      </c>
      <c r="B760" s="1">
        <v>10534</v>
      </c>
      <c r="C760" s="1">
        <v>30</v>
      </c>
      <c r="D760" s="1" t="s">
        <v>717</v>
      </c>
      <c r="E760">
        <v>25.89</v>
      </c>
      <c r="F760" s="1">
        <v>10</v>
      </c>
      <c r="G760" s="1">
        <v>0</v>
      </c>
      <c r="H760" s="2">
        <v>34862</v>
      </c>
    </row>
    <row r="761" spans="1:8" x14ac:dyDescent="0.4">
      <c r="A761" s="1" t="s">
        <v>341</v>
      </c>
      <c r="B761" s="1">
        <v>10534</v>
      </c>
      <c r="C761" s="1">
        <v>40</v>
      </c>
      <c r="D761" s="1" t="s">
        <v>720</v>
      </c>
      <c r="E761">
        <v>18.399999999999999</v>
      </c>
      <c r="F761" s="1">
        <v>10</v>
      </c>
      <c r="G761" s="1">
        <v>0.2</v>
      </c>
      <c r="H761" s="2">
        <v>34862</v>
      </c>
    </row>
    <row r="762" spans="1:8" x14ac:dyDescent="0.4">
      <c r="A762" s="1" t="s">
        <v>341</v>
      </c>
      <c r="B762" s="1">
        <v>10534</v>
      </c>
      <c r="C762" s="1">
        <v>54</v>
      </c>
      <c r="D762" s="1" t="s">
        <v>738</v>
      </c>
      <c r="E762">
        <v>7.45</v>
      </c>
      <c r="F762" s="1">
        <v>10</v>
      </c>
      <c r="G762" s="1">
        <v>0.2</v>
      </c>
      <c r="H762" s="2">
        <v>34862</v>
      </c>
    </row>
    <row r="763" spans="1:8" x14ac:dyDescent="0.4">
      <c r="A763" s="1" t="s">
        <v>29</v>
      </c>
      <c r="B763" s="1">
        <v>10535</v>
      </c>
      <c r="C763" s="1">
        <v>11</v>
      </c>
      <c r="D763" s="1" t="s">
        <v>683</v>
      </c>
      <c r="E763">
        <v>21</v>
      </c>
      <c r="F763" s="1">
        <v>50</v>
      </c>
      <c r="G763" s="1">
        <v>0.1</v>
      </c>
      <c r="H763" s="2">
        <v>34863</v>
      </c>
    </row>
    <row r="764" spans="1:8" x14ac:dyDescent="0.4">
      <c r="A764" s="1" t="s">
        <v>29</v>
      </c>
      <c r="B764" s="1">
        <v>10535</v>
      </c>
      <c r="C764" s="1">
        <v>40</v>
      </c>
      <c r="D764" s="1" t="s">
        <v>720</v>
      </c>
      <c r="E764">
        <v>18.399999999999999</v>
      </c>
      <c r="F764" s="1">
        <v>10</v>
      </c>
      <c r="G764" s="1">
        <v>0.1</v>
      </c>
      <c r="H764" s="2">
        <v>34863</v>
      </c>
    </row>
    <row r="765" spans="1:8" x14ac:dyDescent="0.4">
      <c r="A765" s="1" t="s">
        <v>29</v>
      </c>
      <c r="B765" s="1">
        <v>10535</v>
      </c>
      <c r="C765" s="1">
        <v>57</v>
      </c>
      <c r="D765" s="1" t="s">
        <v>691</v>
      </c>
      <c r="E765">
        <v>19.5</v>
      </c>
      <c r="F765" s="1">
        <v>5</v>
      </c>
      <c r="G765" s="1">
        <v>0.1</v>
      </c>
      <c r="H765" s="2">
        <v>34863</v>
      </c>
    </row>
    <row r="766" spans="1:8" x14ac:dyDescent="0.4">
      <c r="A766" s="1" t="s">
        <v>29</v>
      </c>
      <c r="B766" s="1">
        <v>10535</v>
      </c>
      <c r="C766" s="1">
        <v>59</v>
      </c>
      <c r="D766" s="1" t="s">
        <v>704</v>
      </c>
      <c r="E766">
        <v>55</v>
      </c>
      <c r="F766" s="1">
        <v>15</v>
      </c>
      <c r="G766" s="1">
        <v>0.1</v>
      </c>
      <c r="H766" s="2">
        <v>34863</v>
      </c>
    </row>
    <row r="767" spans="1:8" x14ac:dyDescent="0.4">
      <c r="A767" s="1" t="s">
        <v>341</v>
      </c>
      <c r="B767" s="1">
        <v>10536</v>
      </c>
      <c r="C767" s="1">
        <v>12</v>
      </c>
      <c r="D767" s="1" t="s">
        <v>719</v>
      </c>
      <c r="E767">
        <v>38</v>
      </c>
      <c r="F767" s="1">
        <v>15</v>
      </c>
      <c r="G767" s="1">
        <v>0.25</v>
      </c>
      <c r="H767" s="2">
        <v>34864</v>
      </c>
    </row>
    <row r="768" spans="1:8" x14ac:dyDescent="0.4">
      <c r="A768" s="1" t="s">
        <v>341</v>
      </c>
      <c r="B768" s="1">
        <v>10536</v>
      </c>
      <c r="C768" s="1">
        <v>31</v>
      </c>
      <c r="D768" s="1" t="s">
        <v>695</v>
      </c>
      <c r="E768">
        <v>12.5</v>
      </c>
      <c r="F768" s="1">
        <v>20</v>
      </c>
      <c r="G768" s="1">
        <v>0</v>
      </c>
      <c r="H768" s="2">
        <v>34864</v>
      </c>
    </row>
    <row r="769" spans="1:8" x14ac:dyDescent="0.4">
      <c r="A769" s="1" t="s">
        <v>341</v>
      </c>
      <c r="B769" s="1">
        <v>10536</v>
      </c>
      <c r="C769" s="1">
        <v>33</v>
      </c>
      <c r="D769" s="1" t="s">
        <v>693</v>
      </c>
      <c r="E769">
        <v>2.5</v>
      </c>
      <c r="F769" s="1">
        <v>30</v>
      </c>
      <c r="G769" s="1">
        <v>0</v>
      </c>
      <c r="H769" s="2">
        <v>34864</v>
      </c>
    </row>
    <row r="770" spans="1:8" x14ac:dyDescent="0.4">
      <c r="A770" s="1" t="s">
        <v>341</v>
      </c>
      <c r="B770" s="1">
        <v>10536</v>
      </c>
      <c r="C770" s="1">
        <v>60</v>
      </c>
      <c r="D770" s="1" t="s">
        <v>694</v>
      </c>
      <c r="E770">
        <v>34</v>
      </c>
      <c r="F770" s="1">
        <v>35</v>
      </c>
      <c r="G770" s="1">
        <v>0.25</v>
      </c>
      <c r="H770" s="2">
        <v>34864</v>
      </c>
    </row>
    <row r="771" spans="1:8" x14ac:dyDescent="0.4">
      <c r="A771" s="1" t="s">
        <v>509</v>
      </c>
      <c r="B771" s="1">
        <v>10537</v>
      </c>
      <c r="C771" s="1">
        <v>31</v>
      </c>
      <c r="D771" s="1" t="s">
        <v>695</v>
      </c>
      <c r="E771">
        <v>12.5</v>
      </c>
      <c r="F771" s="1">
        <v>30</v>
      </c>
      <c r="G771" s="1">
        <v>0</v>
      </c>
      <c r="H771" s="2">
        <v>34864</v>
      </c>
    </row>
    <row r="772" spans="1:8" x14ac:dyDescent="0.4">
      <c r="A772" s="1" t="s">
        <v>509</v>
      </c>
      <c r="B772" s="1">
        <v>10537</v>
      </c>
      <c r="C772" s="1">
        <v>51</v>
      </c>
      <c r="D772" s="1" t="s">
        <v>687</v>
      </c>
      <c r="E772">
        <v>53</v>
      </c>
      <c r="F772" s="1">
        <v>6</v>
      </c>
      <c r="G772" s="1">
        <v>0</v>
      </c>
      <c r="H772" s="2">
        <v>34864</v>
      </c>
    </row>
    <row r="773" spans="1:8" x14ac:dyDescent="0.4">
      <c r="A773" s="1" t="s">
        <v>509</v>
      </c>
      <c r="B773" s="1">
        <v>10537</v>
      </c>
      <c r="C773" s="1">
        <v>58</v>
      </c>
      <c r="D773" s="1" t="s">
        <v>747</v>
      </c>
      <c r="E773">
        <v>13.25</v>
      </c>
      <c r="F773" s="1">
        <v>20</v>
      </c>
      <c r="G773" s="1">
        <v>0</v>
      </c>
      <c r="H773" s="2">
        <v>34864</v>
      </c>
    </row>
    <row r="774" spans="1:8" x14ac:dyDescent="0.4">
      <c r="A774" s="1" t="s">
        <v>509</v>
      </c>
      <c r="B774" s="1">
        <v>10537</v>
      </c>
      <c r="C774" s="1">
        <v>72</v>
      </c>
      <c r="D774" s="1" t="s">
        <v>685</v>
      </c>
      <c r="E774">
        <v>34.799999999999997</v>
      </c>
      <c r="F774" s="1">
        <v>21</v>
      </c>
      <c r="G774" s="1">
        <v>0</v>
      </c>
      <c r="H774" s="2">
        <v>34864</v>
      </c>
    </row>
    <row r="775" spans="1:8" x14ac:dyDescent="0.4">
      <c r="A775" s="1" t="s">
        <v>509</v>
      </c>
      <c r="B775" s="1">
        <v>10537</v>
      </c>
      <c r="C775" s="1">
        <v>73</v>
      </c>
      <c r="D775" s="1" t="s">
        <v>730</v>
      </c>
      <c r="E775">
        <v>15</v>
      </c>
      <c r="F775" s="1">
        <v>9</v>
      </c>
      <c r="G775" s="1">
        <v>0</v>
      </c>
      <c r="H775" s="2">
        <v>34864</v>
      </c>
    </row>
    <row r="776" spans="1:8" x14ac:dyDescent="0.4">
      <c r="A776" s="1" t="s">
        <v>95</v>
      </c>
      <c r="B776" s="1">
        <v>10538</v>
      </c>
      <c r="C776" s="1">
        <v>70</v>
      </c>
      <c r="D776" s="1" t="s">
        <v>713</v>
      </c>
      <c r="E776">
        <v>15</v>
      </c>
      <c r="F776" s="1">
        <v>7</v>
      </c>
      <c r="G776" s="1">
        <v>0</v>
      </c>
      <c r="H776" s="2">
        <v>34865</v>
      </c>
    </row>
    <row r="777" spans="1:8" x14ac:dyDescent="0.4">
      <c r="A777" s="1" t="s">
        <v>95</v>
      </c>
      <c r="B777" s="1">
        <v>10538</v>
      </c>
      <c r="C777" s="1">
        <v>72</v>
      </c>
      <c r="D777" s="1" t="s">
        <v>685</v>
      </c>
      <c r="E777">
        <v>34.799999999999997</v>
      </c>
      <c r="F777" s="1">
        <v>1</v>
      </c>
      <c r="G777" s="1">
        <v>0</v>
      </c>
      <c r="H777" s="2">
        <v>34865</v>
      </c>
    </row>
    <row r="778" spans="1:8" x14ac:dyDescent="0.4">
      <c r="A778" s="1" t="s">
        <v>95</v>
      </c>
      <c r="B778" s="1">
        <v>10539</v>
      </c>
      <c r="C778" s="1">
        <v>13</v>
      </c>
      <c r="D778" s="1" t="s">
        <v>726</v>
      </c>
      <c r="E778">
        <v>6</v>
      </c>
      <c r="F778" s="1">
        <v>8</v>
      </c>
      <c r="G778" s="1">
        <v>0</v>
      </c>
      <c r="H778" s="2">
        <v>34866</v>
      </c>
    </row>
    <row r="779" spans="1:8" x14ac:dyDescent="0.4">
      <c r="A779" s="1" t="s">
        <v>95</v>
      </c>
      <c r="B779" s="1">
        <v>10539</v>
      </c>
      <c r="C779" s="1">
        <v>21</v>
      </c>
      <c r="D779" s="1" t="s">
        <v>710</v>
      </c>
      <c r="E779">
        <v>10</v>
      </c>
      <c r="F779" s="1">
        <v>15</v>
      </c>
      <c r="G779" s="1">
        <v>0</v>
      </c>
      <c r="H779" s="2">
        <v>34866</v>
      </c>
    </row>
    <row r="780" spans="1:8" x14ac:dyDescent="0.4">
      <c r="A780" s="1" t="s">
        <v>95</v>
      </c>
      <c r="B780" s="1">
        <v>10539</v>
      </c>
      <c r="C780" s="1">
        <v>33</v>
      </c>
      <c r="D780" s="1" t="s">
        <v>693</v>
      </c>
      <c r="E780">
        <v>2.5</v>
      </c>
      <c r="F780" s="1">
        <v>15</v>
      </c>
      <c r="G780" s="1">
        <v>0</v>
      </c>
      <c r="H780" s="2">
        <v>34866</v>
      </c>
    </row>
    <row r="781" spans="1:8" x14ac:dyDescent="0.4">
      <c r="A781" s="1" t="s">
        <v>95</v>
      </c>
      <c r="B781" s="1">
        <v>10539</v>
      </c>
      <c r="C781" s="1">
        <v>49</v>
      </c>
      <c r="D781" s="1" t="s">
        <v>697</v>
      </c>
      <c r="E781">
        <v>20</v>
      </c>
      <c r="F781" s="1">
        <v>6</v>
      </c>
      <c r="G781" s="1">
        <v>0</v>
      </c>
      <c r="H781" s="2">
        <v>34866</v>
      </c>
    </row>
    <row r="782" spans="1:8" x14ac:dyDescent="0.4">
      <c r="A782" s="1" t="s">
        <v>475</v>
      </c>
      <c r="B782" s="1">
        <v>10540</v>
      </c>
      <c r="C782" s="1">
        <v>3</v>
      </c>
      <c r="D782" s="1" t="s">
        <v>740</v>
      </c>
      <c r="E782">
        <v>10</v>
      </c>
      <c r="F782" s="1">
        <v>60</v>
      </c>
      <c r="G782" s="1">
        <v>0</v>
      </c>
      <c r="H782" s="2">
        <v>34869</v>
      </c>
    </row>
    <row r="783" spans="1:8" x14ac:dyDescent="0.4">
      <c r="A783" s="1" t="s">
        <v>475</v>
      </c>
      <c r="B783" s="1">
        <v>10540</v>
      </c>
      <c r="C783" s="1">
        <v>26</v>
      </c>
      <c r="D783" s="1" t="s">
        <v>751</v>
      </c>
      <c r="E783">
        <v>31.23</v>
      </c>
      <c r="F783" s="1">
        <v>40</v>
      </c>
      <c r="G783" s="1">
        <v>0</v>
      </c>
      <c r="H783" s="2">
        <v>34869</v>
      </c>
    </row>
    <row r="784" spans="1:8" x14ac:dyDescent="0.4">
      <c r="A784" s="1" t="s">
        <v>475</v>
      </c>
      <c r="B784" s="1">
        <v>10540</v>
      </c>
      <c r="C784" s="1">
        <v>38</v>
      </c>
      <c r="D784" s="1" t="s">
        <v>750</v>
      </c>
      <c r="E784">
        <v>263.5</v>
      </c>
      <c r="F784" s="1">
        <v>30</v>
      </c>
      <c r="G784" s="1">
        <v>0</v>
      </c>
      <c r="H784" s="2">
        <v>34869</v>
      </c>
    </row>
    <row r="785" spans="1:8" x14ac:dyDescent="0.4">
      <c r="A785" s="1" t="s">
        <v>475</v>
      </c>
      <c r="B785" s="1">
        <v>10540</v>
      </c>
      <c r="C785" s="1">
        <v>68</v>
      </c>
      <c r="D785" s="1" t="s">
        <v>739</v>
      </c>
      <c r="E785">
        <v>12.5</v>
      </c>
      <c r="F785" s="1">
        <v>35</v>
      </c>
      <c r="G785" s="1">
        <v>0</v>
      </c>
      <c r="H785" s="2">
        <v>34869</v>
      </c>
    </row>
    <row r="786" spans="1:8" x14ac:dyDescent="0.4">
      <c r="A786" s="1" t="s">
        <v>264</v>
      </c>
      <c r="B786" s="1">
        <v>10541</v>
      </c>
      <c r="C786" s="1">
        <v>24</v>
      </c>
      <c r="D786" s="1" t="s">
        <v>698</v>
      </c>
      <c r="E786">
        <v>4.5</v>
      </c>
      <c r="F786" s="1">
        <v>35</v>
      </c>
      <c r="G786" s="1">
        <v>0.1</v>
      </c>
      <c r="H786" s="2">
        <v>34869</v>
      </c>
    </row>
    <row r="787" spans="1:8" x14ac:dyDescent="0.4">
      <c r="A787" s="1" t="s">
        <v>264</v>
      </c>
      <c r="B787" s="1">
        <v>10541</v>
      </c>
      <c r="C787" s="1">
        <v>38</v>
      </c>
      <c r="D787" s="1" t="s">
        <v>750</v>
      </c>
      <c r="E787">
        <v>263.5</v>
      </c>
      <c r="F787" s="1">
        <v>4</v>
      </c>
      <c r="G787" s="1">
        <v>0.1</v>
      </c>
      <c r="H787" s="2">
        <v>34869</v>
      </c>
    </row>
    <row r="788" spans="1:8" x14ac:dyDescent="0.4">
      <c r="A788" s="1" t="s">
        <v>264</v>
      </c>
      <c r="B788" s="1">
        <v>10541</v>
      </c>
      <c r="C788" s="1">
        <v>65</v>
      </c>
      <c r="D788" s="1" t="s">
        <v>689</v>
      </c>
      <c r="E788">
        <v>21.05</v>
      </c>
      <c r="F788" s="1">
        <v>36</v>
      </c>
      <c r="G788" s="1">
        <v>0.1</v>
      </c>
      <c r="H788" s="2">
        <v>34869</v>
      </c>
    </row>
    <row r="789" spans="1:8" x14ac:dyDescent="0.4">
      <c r="A789" s="1" t="s">
        <v>264</v>
      </c>
      <c r="B789" s="1">
        <v>10541</v>
      </c>
      <c r="C789" s="1">
        <v>71</v>
      </c>
      <c r="D789" s="1" t="s">
        <v>725</v>
      </c>
      <c r="E789">
        <v>21.5</v>
      </c>
      <c r="F789" s="1">
        <v>9</v>
      </c>
      <c r="G789" s="1">
        <v>0.1</v>
      </c>
      <c r="H789" s="2">
        <v>34869</v>
      </c>
    </row>
    <row r="790" spans="1:8" x14ac:dyDescent="0.4">
      <c r="A790" s="1" t="s">
        <v>305</v>
      </c>
      <c r="B790" s="1">
        <v>10542</v>
      </c>
      <c r="C790" s="1">
        <v>11</v>
      </c>
      <c r="D790" s="1" t="s">
        <v>683</v>
      </c>
      <c r="E790">
        <v>21</v>
      </c>
      <c r="F790" s="1">
        <v>15</v>
      </c>
      <c r="G790" s="1">
        <v>0.05</v>
      </c>
      <c r="H790" s="2">
        <v>34870</v>
      </c>
    </row>
    <row r="791" spans="1:8" x14ac:dyDescent="0.4">
      <c r="A791" s="1" t="s">
        <v>305</v>
      </c>
      <c r="B791" s="1">
        <v>10542</v>
      </c>
      <c r="C791" s="1">
        <v>54</v>
      </c>
      <c r="D791" s="1" t="s">
        <v>738</v>
      </c>
      <c r="E791">
        <v>7.45</v>
      </c>
      <c r="F791" s="1">
        <v>24</v>
      </c>
      <c r="G791" s="1">
        <v>0.05</v>
      </c>
      <c r="H791" s="2">
        <v>34870</v>
      </c>
    </row>
    <row r="792" spans="1:8" x14ac:dyDescent="0.4">
      <c r="A792" s="1" t="s">
        <v>355</v>
      </c>
      <c r="B792" s="1">
        <v>10543</v>
      </c>
      <c r="C792" s="1">
        <v>12</v>
      </c>
      <c r="D792" s="1" t="s">
        <v>719</v>
      </c>
      <c r="E792">
        <v>38</v>
      </c>
      <c r="F792" s="1">
        <v>30</v>
      </c>
      <c r="G792" s="1">
        <v>0.15</v>
      </c>
      <c r="H792" s="2">
        <v>34871</v>
      </c>
    </row>
    <row r="793" spans="1:8" x14ac:dyDescent="0.4">
      <c r="A793" s="1" t="s">
        <v>355</v>
      </c>
      <c r="B793" s="1">
        <v>10543</v>
      </c>
      <c r="C793" s="1">
        <v>23</v>
      </c>
      <c r="D793" s="1" t="s">
        <v>753</v>
      </c>
      <c r="E793">
        <v>9</v>
      </c>
      <c r="F793" s="1">
        <v>70</v>
      </c>
      <c r="G793" s="1">
        <v>0.15</v>
      </c>
      <c r="H793" s="2">
        <v>34871</v>
      </c>
    </row>
    <row r="794" spans="1:8" x14ac:dyDescent="0.4">
      <c r="A794" s="1" t="s">
        <v>371</v>
      </c>
      <c r="B794" s="1">
        <v>10544</v>
      </c>
      <c r="C794" s="1">
        <v>28</v>
      </c>
      <c r="D794" s="1" t="s">
        <v>727</v>
      </c>
      <c r="E794">
        <v>45.6</v>
      </c>
      <c r="F794" s="1">
        <v>7</v>
      </c>
      <c r="G794" s="1">
        <v>0</v>
      </c>
      <c r="H794" s="2">
        <v>34871</v>
      </c>
    </row>
    <row r="795" spans="1:8" x14ac:dyDescent="0.4">
      <c r="A795" s="1" t="s">
        <v>371</v>
      </c>
      <c r="B795" s="1">
        <v>10544</v>
      </c>
      <c r="C795" s="1">
        <v>67</v>
      </c>
      <c r="D795" s="1" t="s">
        <v>734</v>
      </c>
      <c r="E795">
        <v>14</v>
      </c>
      <c r="F795" s="1">
        <v>7</v>
      </c>
      <c r="G795" s="1">
        <v>0</v>
      </c>
      <c r="H795" s="2">
        <v>34871</v>
      </c>
    </row>
    <row r="796" spans="1:8" x14ac:dyDescent="0.4">
      <c r="A796" s="1" t="s">
        <v>333</v>
      </c>
      <c r="B796" s="1">
        <v>10545</v>
      </c>
      <c r="C796" s="1">
        <v>11</v>
      </c>
      <c r="D796" s="1" t="s">
        <v>683</v>
      </c>
      <c r="E796">
        <v>21</v>
      </c>
      <c r="F796" s="1">
        <v>10</v>
      </c>
      <c r="G796" s="1">
        <v>0</v>
      </c>
      <c r="H796" s="2">
        <v>34872</v>
      </c>
    </row>
    <row r="797" spans="1:8" x14ac:dyDescent="0.4">
      <c r="A797" s="1" t="s">
        <v>619</v>
      </c>
      <c r="B797" s="1">
        <v>10546</v>
      </c>
      <c r="C797" s="1">
        <v>7</v>
      </c>
      <c r="D797" s="1" t="s">
        <v>715</v>
      </c>
      <c r="E797">
        <v>30</v>
      </c>
      <c r="F797" s="1">
        <v>10</v>
      </c>
      <c r="G797" s="1">
        <v>0</v>
      </c>
      <c r="H797" s="2">
        <v>34873</v>
      </c>
    </row>
    <row r="798" spans="1:8" x14ac:dyDescent="0.4">
      <c r="A798" s="1" t="s">
        <v>619</v>
      </c>
      <c r="B798" s="1">
        <v>10546</v>
      </c>
      <c r="C798" s="1">
        <v>35</v>
      </c>
      <c r="D798" s="1" t="s">
        <v>714</v>
      </c>
      <c r="E798">
        <v>18</v>
      </c>
      <c r="F798" s="1">
        <v>30</v>
      </c>
      <c r="G798" s="1">
        <v>0</v>
      </c>
      <c r="H798" s="2">
        <v>34873</v>
      </c>
    </row>
    <row r="799" spans="1:8" x14ac:dyDescent="0.4">
      <c r="A799" s="1" t="s">
        <v>619</v>
      </c>
      <c r="B799" s="1">
        <v>10546</v>
      </c>
      <c r="C799" s="1">
        <v>62</v>
      </c>
      <c r="D799" s="1" t="s">
        <v>712</v>
      </c>
      <c r="E799">
        <v>49.3</v>
      </c>
      <c r="F799" s="1">
        <v>40</v>
      </c>
      <c r="G799" s="1">
        <v>0</v>
      </c>
      <c r="H799" s="2">
        <v>34873</v>
      </c>
    </row>
    <row r="800" spans="1:8" x14ac:dyDescent="0.4">
      <c r="A800" s="1" t="s">
        <v>536</v>
      </c>
      <c r="B800" s="1">
        <v>10547</v>
      </c>
      <c r="C800" s="1">
        <v>32</v>
      </c>
      <c r="D800" s="1" t="s">
        <v>709</v>
      </c>
      <c r="E800">
        <v>32</v>
      </c>
      <c r="F800" s="1">
        <v>24</v>
      </c>
      <c r="G800" s="1">
        <v>0.15</v>
      </c>
      <c r="H800" s="2">
        <v>34873</v>
      </c>
    </row>
    <row r="801" spans="1:8" x14ac:dyDescent="0.4">
      <c r="A801" s="1" t="s">
        <v>536</v>
      </c>
      <c r="B801" s="1">
        <v>10547</v>
      </c>
      <c r="C801" s="1">
        <v>36</v>
      </c>
      <c r="D801" s="1" t="s">
        <v>703</v>
      </c>
      <c r="E801">
        <v>19</v>
      </c>
      <c r="F801" s="1">
        <v>60</v>
      </c>
      <c r="G801" s="1">
        <v>0</v>
      </c>
      <c r="H801" s="2">
        <v>34873</v>
      </c>
    </row>
    <row r="802" spans="1:8" x14ac:dyDescent="0.4">
      <c r="A802" s="1" t="s">
        <v>586</v>
      </c>
      <c r="B802" s="1">
        <v>10548</v>
      </c>
      <c r="C802" s="1">
        <v>34</v>
      </c>
      <c r="D802" s="1" t="s">
        <v>736</v>
      </c>
      <c r="E802">
        <v>14</v>
      </c>
      <c r="F802" s="1">
        <v>10</v>
      </c>
      <c r="G802" s="1">
        <v>0.25</v>
      </c>
      <c r="H802" s="2">
        <v>34876</v>
      </c>
    </row>
    <row r="803" spans="1:8" x14ac:dyDescent="0.4">
      <c r="A803" s="1" t="s">
        <v>586</v>
      </c>
      <c r="B803" s="1">
        <v>10548</v>
      </c>
      <c r="C803" s="1">
        <v>41</v>
      </c>
      <c r="D803" s="1" t="s">
        <v>688</v>
      </c>
      <c r="E803">
        <v>9.65</v>
      </c>
      <c r="F803" s="1">
        <v>14</v>
      </c>
      <c r="G803" s="1">
        <v>0</v>
      </c>
      <c r="H803" s="2">
        <v>34876</v>
      </c>
    </row>
    <row r="804" spans="1:8" x14ac:dyDescent="0.4">
      <c r="A804" s="1" t="s">
        <v>475</v>
      </c>
      <c r="B804" s="1">
        <v>10549</v>
      </c>
      <c r="C804" s="1">
        <v>31</v>
      </c>
      <c r="D804" s="1" t="s">
        <v>695</v>
      </c>
      <c r="E804">
        <v>12.5</v>
      </c>
      <c r="F804" s="1">
        <v>55</v>
      </c>
      <c r="G804" s="1">
        <v>0.15</v>
      </c>
      <c r="H804" s="2">
        <v>34877</v>
      </c>
    </row>
    <row r="805" spans="1:8" x14ac:dyDescent="0.4">
      <c r="A805" s="1" t="s">
        <v>475</v>
      </c>
      <c r="B805" s="1">
        <v>10549</v>
      </c>
      <c r="C805" s="1">
        <v>45</v>
      </c>
      <c r="D805" s="1" t="s">
        <v>756</v>
      </c>
      <c r="E805">
        <v>9.5</v>
      </c>
      <c r="F805" s="1">
        <v>100</v>
      </c>
      <c r="G805" s="1">
        <v>0.15</v>
      </c>
      <c r="H805" s="2">
        <v>34877</v>
      </c>
    </row>
    <row r="806" spans="1:8" x14ac:dyDescent="0.4">
      <c r="A806" s="1" t="s">
        <v>475</v>
      </c>
      <c r="B806" s="1">
        <v>10549</v>
      </c>
      <c r="C806" s="1">
        <v>51</v>
      </c>
      <c r="D806" s="1" t="s">
        <v>687</v>
      </c>
      <c r="E806">
        <v>53</v>
      </c>
      <c r="F806" s="1">
        <v>48</v>
      </c>
      <c r="G806" s="1">
        <v>0.15</v>
      </c>
      <c r="H806" s="2">
        <v>34877</v>
      </c>
    </row>
    <row r="807" spans="1:8" x14ac:dyDescent="0.4">
      <c r="A807" s="1" t="s">
        <v>234</v>
      </c>
      <c r="B807" s="1">
        <v>10550</v>
      </c>
      <c r="C807" s="1">
        <v>17</v>
      </c>
      <c r="D807" s="1" t="s">
        <v>718</v>
      </c>
      <c r="E807">
        <v>39</v>
      </c>
      <c r="F807" s="1">
        <v>8</v>
      </c>
      <c r="G807" s="1">
        <v>0.1</v>
      </c>
      <c r="H807" s="2">
        <v>34878</v>
      </c>
    </row>
    <row r="808" spans="1:8" x14ac:dyDescent="0.4">
      <c r="A808" s="1" t="s">
        <v>234</v>
      </c>
      <c r="B808" s="1">
        <v>10550</v>
      </c>
      <c r="C808" s="1">
        <v>19</v>
      </c>
      <c r="D808" s="1" t="s">
        <v>732</v>
      </c>
      <c r="E808">
        <v>9.1999999999999993</v>
      </c>
      <c r="F808" s="1">
        <v>10</v>
      </c>
      <c r="G808" s="1">
        <v>0</v>
      </c>
      <c r="H808" s="2">
        <v>34878</v>
      </c>
    </row>
    <row r="809" spans="1:8" x14ac:dyDescent="0.4">
      <c r="A809" s="1" t="s">
        <v>234</v>
      </c>
      <c r="B809" s="1">
        <v>10550</v>
      </c>
      <c r="C809" s="1">
        <v>21</v>
      </c>
      <c r="D809" s="1" t="s">
        <v>710</v>
      </c>
      <c r="E809">
        <v>10</v>
      </c>
      <c r="F809" s="1">
        <v>6</v>
      </c>
      <c r="G809" s="1">
        <v>0.1</v>
      </c>
      <c r="H809" s="2">
        <v>34878</v>
      </c>
    </row>
    <row r="810" spans="1:8" x14ac:dyDescent="0.4">
      <c r="A810" s="1" t="s">
        <v>234</v>
      </c>
      <c r="B810" s="1">
        <v>10550</v>
      </c>
      <c r="C810" s="1">
        <v>61</v>
      </c>
      <c r="D810" s="1" t="s">
        <v>758</v>
      </c>
      <c r="E810">
        <v>28.5</v>
      </c>
      <c r="F810" s="1">
        <v>10</v>
      </c>
      <c r="G810" s="1">
        <v>0.1</v>
      </c>
      <c r="H810" s="2">
        <v>34878</v>
      </c>
    </row>
    <row r="811" spans="1:8" x14ac:dyDescent="0.4">
      <c r="A811" s="1" t="s">
        <v>219</v>
      </c>
      <c r="B811" s="1">
        <v>10551</v>
      </c>
      <c r="C811" s="1">
        <v>16</v>
      </c>
      <c r="D811" s="1" t="s">
        <v>702</v>
      </c>
      <c r="E811">
        <v>17.45</v>
      </c>
      <c r="F811" s="1">
        <v>40</v>
      </c>
      <c r="G811" s="1">
        <v>0.15</v>
      </c>
      <c r="H811" s="2">
        <v>34878</v>
      </c>
    </row>
    <row r="812" spans="1:8" x14ac:dyDescent="0.4">
      <c r="A812" s="1" t="s">
        <v>219</v>
      </c>
      <c r="B812" s="1">
        <v>10551</v>
      </c>
      <c r="C812" s="1">
        <v>35</v>
      </c>
      <c r="D812" s="1" t="s">
        <v>714</v>
      </c>
      <c r="E812">
        <v>18</v>
      </c>
      <c r="F812" s="1">
        <v>20</v>
      </c>
      <c r="G812" s="1">
        <v>0.15</v>
      </c>
      <c r="H812" s="2">
        <v>34878</v>
      </c>
    </row>
    <row r="813" spans="1:8" x14ac:dyDescent="0.4">
      <c r="A813" s="1" t="s">
        <v>219</v>
      </c>
      <c r="B813" s="1">
        <v>10551</v>
      </c>
      <c r="C813" s="1">
        <v>44</v>
      </c>
      <c r="D813" s="1" t="s">
        <v>728</v>
      </c>
      <c r="E813">
        <v>19.45</v>
      </c>
      <c r="F813" s="1">
        <v>40</v>
      </c>
      <c r="G813" s="1">
        <v>0</v>
      </c>
      <c r="H813" s="2">
        <v>34878</v>
      </c>
    </row>
    <row r="814" spans="1:8" x14ac:dyDescent="0.4">
      <c r="A814" s="1" t="s">
        <v>273</v>
      </c>
      <c r="B814" s="1">
        <v>10552</v>
      </c>
      <c r="C814" s="1">
        <v>69</v>
      </c>
      <c r="D814" s="1" t="s">
        <v>743</v>
      </c>
      <c r="E814">
        <v>36</v>
      </c>
      <c r="F814" s="1">
        <v>18</v>
      </c>
      <c r="G814" s="1">
        <v>0</v>
      </c>
      <c r="H814" s="2">
        <v>34879</v>
      </c>
    </row>
    <row r="815" spans="1:8" x14ac:dyDescent="0.4">
      <c r="A815" s="1" t="s">
        <v>273</v>
      </c>
      <c r="B815" s="1">
        <v>10552</v>
      </c>
      <c r="C815" s="1">
        <v>75</v>
      </c>
      <c r="D815" s="1" t="s">
        <v>731</v>
      </c>
      <c r="E815">
        <v>7.75</v>
      </c>
      <c r="F815" s="1">
        <v>30</v>
      </c>
      <c r="G815" s="1">
        <v>0</v>
      </c>
      <c r="H815" s="2">
        <v>34879</v>
      </c>
    </row>
    <row r="816" spans="1:8" x14ac:dyDescent="0.4">
      <c r="A816" s="1" t="s">
        <v>640</v>
      </c>
      <c r="B816" s="1">
        <v>10553</v>
      </c>
      <c r="C816" s="1">
        <v>11</v>
      </c>
      <c r="D816" s="1" t="s">
        <v>683</v>
      </c>
      <c r="E816">
        <v>21</v>
      </c>
      <c r="F816" s="1">
        <v>15</v>
      </c>
      <c r="G816" s="1">
        <v>0</v>
      </c>
      <c r="H816" s="2">
        <v>34880</v>
      </c>
    </row>
    <row r="817" spans="1:8" x14ac:dyDescent="0.4">
      <c r="A817" s="1" t="s">
        <v>640</v>
      </c>
      <c r="B817" s="1">
        <v>10553</v>
      </c>
      <c r="C817" s="1">
        <v>16</v>
      </c>
      <c r="D817" s="1" t="s">
        <v>702</v>
      </c>
      <c r="E817">
        <v>17.45</v>
      </c>
      <c r="F817" s="1">
        <v>14</v>
      </c>
      <c r="G817" s="1">
        <v>0</v>
      </c>
      <c r="H817" s="2">
        <v>34880</v>
      </c>
    </row>
    <row r="818" spans="1:8" x14ac:dyDescent="0.4">
      <c r="A818" s="1" t="s">
        <v>640</v>
      </c>
      <c r="B818" s="1">
        <v>10553</v>
      </c>
      <c r="C818" s="1">
        <v>22</v>
      </c>
      <c r="D818" s="1" t="s">
        <v>690</v>
      </c>
      <c r="E818">
        <v>21</v>
      </c>
      <c r="F818" s="1">
        <v>24</v>
      </c>
      <c r="G818" s="1">
        <v>0</v>
      </c>
      <c r="H818" s="2">
        <v>34880</v>
      </c>
    </row>
    <row r="819" spans="1:8" x14ac:dyDescent="0.4">
      <c r="A819" s="1" t="s">
        <v>640</v>
      </c>
      <c r="B819" s="1">
        <v>10553</v>
      </c>
      <c r="C819" s="1">
        <v>31</v>
      </c>
      <c r="D819" s="1" t="s">
        <v>695</v>
      </c>
      <c r="E819">
        <v>12.5</v>
      </c>
      <c r="F819" s="1">
        <v>30</v>
      </c>
      <c r="G819" s="1">
        <v>0</v>
      </c>
      <c r="H819" s="2">
        <v>34880</v>
      </c>
    </row>
    <row r="820" spans="1:8" x14ac:dyDescent="0.4">
      <c r="A820" s="1" t="s">
        <v>640</v>
      </c>
      <c r="B820" s="1">
        <v>10553</v>
      </c>
      <c r="C820" s="1">
        <v>35</v>
      </c>
      <c r="D820" s="1" t="s">
        <v>714</v>
      </c>
      <c r="E820">
        <v>18</v>
      </c>
      <c r="F820" s="1">
        <v>6</v>
      </c>
      <c r="G820" s="1">
        <v>0</v>
      </c>
      <c r="H820" s="2">
        <v>34880</v>
      </c>
    </row>
    <row r="821" spans="1:8" x14ac:dyDescent="0.4">
      <c r="A821" s="1" t="s">
        <v>430</v>
      </c>
      <c r="B821" s="1">
        <v>10554</v>
      </c>
      <c r="C821" s="1">
        <v>16</v>
      </c>
      <c r="D821" s="1" t="s">
        <v>702</v>
      </c>
      <c r="E821">
        <v>17.45</v>
      </c>
      <c r="F821" s="1">
        <v>30</v>
      </c>
      <c r="G821" s="1">
        <v>0.05</v>
      </c>
      <c r="H821" s="2">
        <v>34880</v>
      </c>
    </row>
    <row r="822" spans="1:8" x14ac:dyDescent="0.4">
      <c r="A822" s="1" t="s">
        <v>430</v>
      </c>
      <c r="B822" s="1">
        <v>10554</v>
      </c>
      <c r="C822" s="1">
        <v>23</v>
      </c>
      <c r="D822" s="1" t="s">
        <v>753</v>
      </c>
      <c r="E822">
        <v>9</v>
      </c>
      <c r="F822" s="1">
        <v>20</v>
      </c>
      <c r="G822" s="1">
        <v>0.05</v>
      </c>
      <c r="H822" s="2">
        <v>34880</v>
      </c>
    </row>
    <row r="823" spans="1:8" x14ac:dyDescent="0.4">
      <c r="A823" s="1" t="s">
        <v>430</v>
      </c>
      <c r="B823" s="1">
        <v>10554</v>
      </c>
      <c r="C823" s="1">
        <v>62</v>
      </c>
      <c r="D823" s="1" t="s">
        <v>712</v>
      </c>
      <c r="E823">
        <v>49.3</v>
      </c>
      <c r="F823" s="1">
        <v>20</v>
      </c>
      <c r="G823" s="1">
        <v>0.05</v>
      </c>
      <c r="H823" s="2">
        <v>34880</v>
      </c>
    </row>
    <row r="824" spans="1:8" x14ac:dyDescent="0.4">
      <c r="A824" s="1" t="s">
        <v>430</v>
      </c>
      <c r="B824" s="1">
        <v>10554</v>
      </c>
      <c r="C824" s="1">
        <v>77</v>
      </c>
      <c r="D824" s="1" t="s">
        <v>706</v>
      </c>
      <c r="E824">
        <v>13</v>
      </c>
      <c r="F824" s="1">
        <v>10</v>
      </c>
      <c r="G824" s="1">
        <v>0.05</v>
      </c>
      <c r="H824" s="2">
        <v>34880</v>
      </c>
    </row>
    <row r="825" spans="1:8" x14ac:dyDescent="0.4">
      <c r="A825" s="1" t="s">
        <v>529</v>
      </c>
      <c r="B825" s="1">
        <v>10555</v>
      </c>
      <c r="C825" s="1">
        <v>14</v>
      </c>
      <c r="D825" s="1" t="s">
        <v>686</v>
      </c>
      <c r="E825">
        <v>23.25</v>
      </c>
      <c r="F825" s="1">
        <v>30</v>
      </c>
      <c r="G825" s="1">
        <v>0.2</v>
      </c>
      <c r="H825" s="2">
        <v>34883</v>
      </c>
    </row>
    <row r="826" spans="1:8" x14ac:dyDescent="0.4">
      <c r="A826" s="1" t="s">
        <v>529</v>
      </c>
      <c r="B826" s="1">
        <v>10555</v>
      </c>
      <c r="C826" s="1">
        <v>19</v>
      </c>
      <c r="D826" s="1" t="s">
        <v>732</v>
      </c>
      <c r="E826">
        <v>9.1999999999999993</v>
      </c>
      <c r="F826" s="1">
        <v>35</v>
      </c>
      <c r="G826" s="1">
        <v>0.2</v>
      </c>
      <c r="H826" s="2">
        <v>34883</v>
      </c>
    </row>
    <row r="827" spans="1:8" x14ac:dyDescent="0.4">
      <c r="A827" s="1" t="s">
        <v>529</v>
      </c>
      <c r="B827" s="1">
        <v>10555</v>
      </c>
      <c r="C827" s="1">
        <v>24</v>
      </c>
      <c r="D827" s="1" t="s">
        <v>698</v>
      </c>
      <c r="E827">
        <v>4.5</v>
      </c>
      <c r="F827" s="1">
        <v>18</v>
      </c>
      <c r="G827" s="1">
        <v>0.2</v>
      </c>
      <c r="H827" s="2">
        <v>34883</v>
      </c>
    </row>
    <row r="828" spans="1:8" x14ac:dyDescent="0.4">
      <c r="A828" s="1" t="s">
        <v>529</v>
      </c>
      <c r="B828" s="1">
        <v>10555</v>
      </c>
      <c r="C828" s="1">
        <v>51</v>
      </c>
      <c r="D828" s="1" t="s">
        <v>687</v>
      </c>
      <c r="E828">
        <v>53</v>
      </c>
      <c r="F828" s="1">
        <v>20</v>
      </c>
      <c r="G828" s="1">
        <v>0.2</v>
      </c>
      <c r="H828" s="2">
        <v>34883</v>
      </c>
    </row>
    <row r="829" spans="1:8" x14ac:dyDescent="0.4">
      <c r="A829" s="1" t="s">
        <v>529</v>
      </c>
      <c r="B829" s="1">
        <v>10555</v>
      </c>
      <c r="C829" s="1">
        <v>56</v>
      </c>
      <c r="D829" s="1" t="s">
        <v>716</v>
      </c>
      <c r="E829">
        <v>38</v>
      </c>
      <c r="F829" s="1">
        <v>40</v>
      </c>
      <c r="G829" s="1">
        <v>0.2</v>
      </c>
      <c r="H829" s="2">
        <v>34883</v>
      </c>
    </row>
    <row r="830" spans="1:8" x14ac:dyDescent="0.4">
      <c r="A830" s="1" t="s">
        <v>543</v>
      </c>
      <c r="B830" s="1">
        <v>10556</v>
      </c>
      <c r="C830" s="1">
        <v>72</v>
      </c>
      <c r="D830" s="1" t="s">
        <v>685</v>
      </c>
      <c r="E830">
        <v>34.799999999999997</v>
      </c>
      <c r="F830" s="1">
        <v>24</v>
      </c>
      <c r="G830" s="1">
        <v>0</v>
      </c>
      <c r="H830" s="2">
        <v>34884</v>
      </c>
    </row>
    <row r="831" spans="1:8" x14ac:dyDescent="0.4">
      <c r="A831" s="1" t="s">
        <v>341</v>
      </c>
      <c r="B831" s="1">
        <v>10557</v>
      </c>
      <c r="C831" s="1">
        <v>64</v>
      </c>
      <c r="D831" s="1" t="s">
        <v>741</v>
      </c>
      <c r="E831">
        <v>33.25</v>
      </c>
      <c r="F831" s="1">
        <v>30</v>
      </c>
      <c r="G831" s="1">
        <v>0</v>
      </c>
      <c r="H831" s="2">
        <v>34884</v>
      </c>
    </row>
    <row r="832" spans="1:8" x14ac:dyDescent="0.4">
      <c r="A832" s="1" t="s">
        <v>341</v>
      </c>
      <c r="B832" s="1">
        <v>10557</v>
      </c>
      <c r="C832" s="1">
        <v>75</v>
      </c>
      <c r="D832" s="1" t="s">
        <v>731</v>
      </c>
      <c r="E832">
        <v>7.75</v>
      </c>
      <c r="F832" s="1">
        <v>20</v>
      </c>
      <c r="G832" s="1">
        <v>0</v>
      </c>
      <c r="H832" s="2">
        <v>34884</v>
      </c>
    </row>
    <row r="833" spans="1:8" x14ac:dyDescent="0.4">
      <c r="A833" s="1" t="s">
        <v>34</v>
      </c>
      <c r="B833" s="1">
        <v>10558</v>
      </c>
      <c r="C833" s="1">
        <v>47</v>
      </c>
      <c r="D833" s="1" t="s">
        <v>752</v>
      </c>
      <c r="E833">
        <v>9.5</v>
      </c>
      <c r="F833" s="1">
        <v>25</v>
      </c>
      <c r="G833" s="1">
        <v>0</v>
      </c>
      <c r="H833" s="2">
        <v>34885</v>
      </c>
    </row>
    <row r="834" spans="1:8" x14ac:dyDescent="0.4">
      <c r="A834" s="1" t="s">
        <v>34</v>
      </c>
      <c r="B834" s="1">
        <v>10558</v>
      </c>
      <c r="C834" s="1">
        <v>51</v>
      </c>
      <c r="D834" s="1" t="s">
        <v>687</v>
      </c>
      <c r="E834">
        <v>53</v>
      </c>
      <c r="F834" s="1">
        <v>20</v>
      </c>
      <c r="G834" s="1">
        <v>0</v>
      </c>
      <c r="H834" s="2">
        <v>34885</v>
      </c>
    </row>
    <row r="835" spans="1:8" x14ac:dyDescent="0.4">
      <c r="A835" s="1" t="s">
        <v>34</v>
      </c>
      <c r="B835" s="1">
        <v>10558</v>
      </c>
      <c r="C835" s="1">
        <v>52</v>
      </c>
      <c r="D835" s="1" t="s">
        <v>748</v>
      </c>
      <c r="E835">
        <v>7</v>
      </c>
      <c r="F835" s="1">
        <v>30</v>
      </c>
      <c r="G835" s="1">
        <v>0</v>
      </c>
      <c r="H835" s="2">
        <v>34885</v>
      </c>
    </row>
    <row r="836" spans="1:8" x14ac:dyDescent="0.4">
      <c r="A836" s="1" t="s">
        <v>34</v>
      </c>
      <c r="B836" s="1">
        <v>10558</v>
      </c>
      <c r="C836" s="1">
        <v>53</v>
      </c>
      <c r="D836" s="1" t="s">
        <v>705</v>
      </c>
      <c r="E836">
        <v>32.799999999999997</v>
      </c>
      <c r="F836" s="1">
        <v>18</v>
      </c>
      <c r="G836" s="1">
        <v>0</v>
      </c>
      <c r="H836" s="2">
        <v>34885</v>
      </c>
    </row>
    <row r="837" spans="1:8" x14ac:dyDescent="0.4">
      <c r="A837" s="1" t="s">
        <v>34</v>
      </c>
      <c r="B837" s="1">
        <v>10558</v>
      </c>
      <c r="C837" s="1">
        <v>73</v>
      </c>
      <c r="D837" s="1" t="s">
        <v>730</v>
      </c>
      <c r="E837">
        <v>15</v>
      </c>
      <c r="F837" s="1">
        <v>3</v>
      </c>
      <c r="G837" s="1">
        <v>0</v>
      </c>
      <c r="H837" s="2">
        <v>34885</v>
      </c>
    </row>
    <row r="838" spans="1:8" x14ac:dyDescent="0.4">
      <c r="A838" s="1" t="s">
        <v>60</v>
      </c>
      <c r="B838" s="1">
        <v>10559</v>
      </c>
      <c r="C838" s="1">
        <v>41</v>
      </c>
      <c r="D838" s="1" t="s">
        <v>688</v>
      </c>
      <c r="E838">
        <v>9.65</v>
      </c>
      <c r="F838" s="1">
        <v>12</v>
      </c>
      <c r="G838" s="1">
        <v>0.05</v>
      </c>
      <c r="H838" s="2">
        <v>34886</v>
      </c>
    </row>
    <row r="839" spans="1:8" x14ac:dyDescent="0.4">
      <c r="A839" s="1" t="s">
        <v>60</v>
      </c>
      <c r="B839" s="1">
        <v>10559</v>
      </c>
      <c r="C839" s="1">
        <v>55</v>
      </c>
      <c r="D839" s="1" t="s">
        <v>699</v>
      </c>
      <c r="E839">
        <v>24</v>
      </c>
      <c r="F839" s="1">
        <v>18</v>
      </c>
      <c r="G839" s="1">
        <v>0.05</v>
      </c>
      <c r="H839" s="2">
        <v>34886</v>
      </c>
    </row>
    <row r="840" spans="1:8" x14ac:dyDescent="0.4">
      <c r="A840" s="1" t="s">
        <v>198</v>
      </c>
      <c r="B840" s="1">
        <v>10560</v>
      </c>
      <c r="C840" s="1">
        <v>30</v>
      </c>
      <c r="D840" s="1" t="s">
        <v>717</v>
      </c>
      <c r="E840">
        <v>25.89</v>
      </c>
      <c r="F840" s="1">
        <v>20</v>
      </c>
      <c r="G840" s="1">
        <v>0</v>
      </c>
      <c r="H840" s="2">
        <v>34887</v>
      </c>
    </row>
    <row r="841" spans="1:8" x14ac:dyDescent="0.4">
      <c r="A841" s="1" t="s">
        <v>198</v>
      </c>
      <c r="B841" s="1">
        <v>10560</v>
      </c>
      <c r="C841" s="1">
        <v>62</v>
      </c>
      <c r="D841" s="1" t="s">
        <v>712</v>
      </c>
      <c r="E841">
        <v>49.3</v>
      </c>
      <c r="F841" s="1">
        <v>15</v>
      </c>
      <c r="G841" s="1">
        <v>0.25</v>
      </c>
      <c r="H841" s="2">
        <v>34887</v>
      </c>
    </row>
    <row r="842" spans="1:8" x14ac:dyDescent="0.4">
      <c r="A842" s="1" t="s">
        <v>191</v>
      </c>
      <c r="B842" s="1">
        <v>10561</v>
      </c>
      <c r="C842" s="1">
        <v>44</v>
      </c>
      <c r="D842" s="1" t="s">
        <v>728</v>
      </c>
      <c r="E842">
        <v>19.45</v>
      </c>
      <c r="F842" s="1">
        <v>10</v>
      </c>
      <c r="G842" s="1">
        <v>0</v>
      </c>
      <c r="H842" s="2">
        <v>34887</v>
      </c>
    </row>
    <row r="843" spans="1:8" x14ac:dyDescent="0.4">
      <c r="A843" s="1" t="s">
        <v>191</v>
      </c>
      <c r="B843" s="1">
        <v>10561</v>
      </c>
      <c r="C843" s="1">
        <v>51</v>
      </c>
      <c r="D843" s="1" t="s">
        <v>687</v>
      </c>
      <c r="E843">
        <v>53</v>
      </c>
      <c r="F843" s="1">
        <v>50</v>
      </c>
      <c r="G843" s="1">
        <v>0</v>
      </c>
      <c r="H843" s="2">
        <v>34887</v>
      </c>
    </row>
    <row r="844" spans="1:8" x14ac:dyDescent="0.4">
      <c r="A844" s="1" t="s">
        <v>496</v>
      </c>
      <c r="B844" s="1">
        <v>10562</v>
      </c>
      <c r="C844" s="1">
        <v>33</v>
      </c>
      <c r="D844" s="1" t="s">
        <v>693</v>
      </c>
      <c r="E844">
        <v>2.5</v>
      </c>
      <c r="F844" s="1">
        <v>20</v>
      </c>
      <c r="G844" s="1">
        <v>0.1</v>
      </c>
      <c r="H844" s="2">
        <v>34890</v>
      </c>
    </row>
    <row r="845" spans="1:8" x14ac:dyDescent="0.4">
      <c r="A845" s="1" t="s">
        <v>496</v>
      </c>
      <c r="B845" s="1">
        <v>10562</v>
      </c>
      <c r="C845" s="1">
        <v>62</v>
      </c>
      <c r="D845" s="1" t="s">
        <v>712</v>
      </c>
      <c r="E845">
        <v>49.3</v>
      </c>
      <c r="F845" s="1">
        <v>10</v>
      </c>
      <c r="G845" s="1">
        <v>0.1</v>
      </c>
      <c r="H845" s="2">
        <v>34890</v>
      </c>
    </row>
    <row r="846" spans="1:8" x14ac:dyDescent="0.4">
      <c r="A846" s="1" t="s">
        <v>503</v>
      </c>
      <c r="B846" s="1">
        <v>10563</v>
      </c>
      <c r="C846" s="1">
        <v>36</v>
      </c>
      <c r="D846" s="1" t="s">
        <v>703</v>
      </c>
      <c r="E846">
        <v>19</v>
      </c>
      <c r="F846" s="1">
        <v>25</v>
      </c>
      <c r="G846" s="1">
        <v>0</v>
      </c>
      <c r="H846" s="2">
        <v>34891</v>
      </c>
    </row>
    <row r="847" spans="1:8" x14ac:dyDescent="0.4">
      <c r="A847" s="1" t="s">
        <v>503</v>
      </c>
      <c r="B847" s="1">
        <v>10563</v>
      </c>
      <c r="C847" s="1">
        <v>52</v>
      </c>
      <c r="D847" s="1" t="s">
        <v>748</v>
      </c>
      <c r="E847">
        <v>7</v>
      </c>
      <c r="F847" s="1">
        <v>70</v>
      </c>
      <c r="G847" s="1">
        <v>0</v>
      </c>
      <c r="H847" s="2">
        <v>34891</v>
      </c>
    </row>
    <row r="848" spans="1:8" x14ac:dyDescent="0.4">
      <c r="A848" s="1" t="s">
        <v>487</v>
      </c>
      <c r="B848" s="1">
        <v>10564</v>
      </c>
      <c r="C848" s="1">
        <v>17</v>
      </c>
      <c r="D848" s="1" t="s">
        <v>718</v>
      </c>
      <c r="E848">
        <v>39</v>
      </c>
      <c r="F848" s="1">
        <v>16</v>
      </c>
      <c r="G848" s="1">
        <v>0.05</v>
      </c>
      <c r="H848" s="2">
        <v>34891</v>
      </c>
    </row>
    <row r="849" spans="1:8" x14ac:dyDescent="0.4">
      <c r="A849" s="1" t="s">
        <v>487</v>
      </c>
      <c r="B849" s="1">
        <v>10564</v>
      </c>
      <c r="C849" s="1">
        <v>31</v>
      </c>
      <c r="D849" s="1" t="s">
        <v>695</v>
      </c>
      <c r="E849">
        <v>12.5</v>
      </c>
      <c r="F849" s="1">
        <v>6</v>
      </c>
      <c r="G849" s="1">
        <v>0.05</v>
      </c>
      <c r="H849" s="2">
        <v>34891</v>
      </c>
    </row>
    <row r="850" spans="1:8" x14ac:dyDescent="0.4">
      <c r="A850" s="1" t="s">
        <v>487</v>
      </c>
      <c r="B850" s="1">
        <v>10564</v>
      </c>
      <c r="C850" s="1">
        <v>55</v>
      </c>
      <c r="D850" s="1" t="s">
        <v>699</v>
      </c>
      <c r="E850">
        <v>24</v>
      </c>
      <c r="F850" s="1">
        <v>25</v>
      </c>
      <c r="G850" s="1">
        <v>0.05</v>
      </c>
      <c r="H850" s="2">
        <v>34891</v>
      </c>
    </row>
    <row r="851" spans="1:8" x14ac:dyDescent="0.4">
      <c r="A851" s="1" t="s">
        <v>394</v>
      </c>
      <c r="B851" s="1">
        <v>10565</v>
      </c>
      <c r="C851" s="1">
        <v>24</v>
      </c>
      <c r="D851" s="1" t="s">
        <v>698</v>
      </c>
      <c r="E851">
        <v>4.5</v>
      </c>
      <c r="F851" s="1">
        <v>25</v>
      </c>
      <c r="G851" s="1">
        <v>0.1</v>
      </c>
      <c r="H851" s="2">
        <v>34892</v>
      </c>
    </row>
    <row r="852" spans="1:8" x14ac:dyDescent="0.4">
      <c r="A852" s="1" t="s">
        <v>394</v>
      </c>
      <c r="B852" s="1">
        <v>10565</v>
      </c>
      <c r="C852" s="1">
        <v>64</v>
      </c>
      <c r="D852" s="1" t="s">
        <v>741</v>
      </c>
      <c r="E852">
        <v>33.25</v>
      </c>
      <c r="F852" s="1">
        <v>18</v>
      </c>
      <c r="G852" s="1">
        <v>0.1</v>
      </c>
      <c r="H852" s="2">
        <v>34892</v>
      </c>
    </row>
    <row r="853" spans="1:8" x14ac:dyDescent="0.4">
      <c r="A853" s="1" t="s">
        <v>60</v>
      </c>
      <c r="B853" s="1">
        <v>10566</v>
      </c>
      <c r="C853" s="1">
        <v>11</v>
      </c>
      <c r="D853" s="1" t="s">
        <v>683</v>
      </c>
      <c r="E853">
        <v>21</v>
      </c>
      <c r="F853" s="1">
        <v>35</v>
      </c>
      <c r="G853" s="1">
        <v>0.15</v>
      </c>
      <c r="H853" s="2">
        <v>34893</v>
      </c>
    </row>
    <row r="854" spans="1:8" x14ac:dyDescent="0.4">
      <c r="A854" s="1" t="s">
        <v>60</v>
      </c>
      <c r="B854" s="1">
        <v>10566</v>
      </c>
      <c r="C854" s="1">
        <v>18</v>
      </c>
      <c r="D854" s="1" t="s">
        <v>742</v>
      </c>
      <c r="E854">
        <v>62.5</v>
      </c>
      <c r="F854" s="1">
        <v>18</v>
      </c>
      <c r="G854" s="1">
        <v>0.15</v>
      </c>
      <c r="H854" s="2">
        <v>34893</v>
      </c>
    </row>
    <row r="855" spans="1:8" x14ac:dyDescent="0.4">
      <c r="A855" s="1" t="s">
        <v>60</v>
      </c>
      <c r="B855" s="1">
        <v>10566</v>
      </c>
      <c r="C855" s="1">
        <v>76</v>
      </c>
      <c r="D855" s="1" t="s">
        <v>721</v>
      </c>
      <c r="E855">
        <v>18</v>
      </c>
      <c r="F855" s="1">
        <v>10</v>
      </c>
      <c r="G855" s="1">
        <v>0</v>
      </c>
      <c r="H855" s="2">
        <v>34893</v>
      </c>
    </row>
    <row r="856" spans="1:8" x14ac:dyDescent="0.4">
      <c r="A856" s="1" t="s">
        <v>288</v>
      </c>
      <c r="B856" s="1">
        <v>10567</v>
      </c>
      <c r="C856" s="1">
        <v>31</v>
      </c>
      <c r="D856" s="1" t="s">
        <v>695</v>
      </c>
      <c r="E856">
        <v>12.5</v>
      </c>
      <c r="F856" s="1">
        <v>60</v>
      </c>
      <c r="G856" s="1">
        <v>0.2</v>
      </c>
      <c r="H856" s="2">
        <v>34893</v>
      </c>
    </row>
    <row r="857" spans="1:8" x14ac:dyDescent="0.4">
      <c r="A857" s="1" t="s">
        <v>288</v>
      </c>
      <c r="B857" s="1">
        <v>10567</v>
      </c>
      <c r="C857" s="1">
        <v>51</v>
      </c>
      <c r="D857" s="1" t="s">
        <v>687</v>
      </c>
      <c r="E857">
        <v>53</v>
      </c>
      <c r="F857" s="1">
        <v>3</v>
      </c>
      <c r="G857" s="1">
        <v>0</v>
      </c>
      <c r="H857" s="2">
        <v>34893</v>
      </c>
    </row>
    <row r="858" spans="1:8" x14ac:dyDescent="0.4">
      <c r="A858" s="1" t="s">
        <v>288</v>
      </c>
      <c r="B858" s="1">
        <v>10567</v>
      </c>
      <c r="C858" s="1">
        <v>59</v>
      </c>
      <c r="D858" s="1" t="s">
        <v>704</v>
      </c>
      <c r="E858">
        <v>55</v>
      </c>
      <c r="F858" s="1">
        <v>40</v>
      </c>
      <c r="G858" s="1">
        <v>0.2</v>
      </c>
      <c r="H858" s="2">
        <v>34893</v>
      </c>
    </row>
    <row r="859" spans="1:8" x14ac:dyDescent="0.4">
      <c r="A859" s="1" t="s">
        <v>227</v>
      </c>
      <c r="B859" s="1">
        <v>10568</v>
      </c>
      <c r="C859" s="1">
        <v>10</v>
      </c>
      <c r="D859" s="1" t="s">
        <v>724</v>
      </c>
      <c r="E859">
        <v>31</v>
      </c>
      <c r="F859" s="1">
        <v>5</v>
      </c>
      <c r="G859" s="1">
        <v>0</v>
      </c>
      <c r="H859" s="2">
        <v>34894</v>
      </c>
    </row>
    <row r="860" spans="1:8" x14ac:dyDescent="0.4">
      <c r="A860" s="1" t="s">
        <v>487</v>
      </c>
      <c r="B860" s="1">
        <v>10569</v>
      </c>
      <c r="C860" s="1">
        <v>31</v>
      </c>
      <c r="D860" s="1" t="s">
        <v>695</v>
      </c>
      <c r="E860">
        <v>12.5</v>
      </c>
      <c r="F860" s="1">
        <v>35</v>
      </c>
      <c r="G860" s="1">
        <v>0.2</v>
      </c>
      <c r="H860" s="2">
        <v>34897</v>
      </c>
    </row>
    <row r="861" spans="1:8" x14ac:dyDescent="0.4">
      <c r="A861" s="1" t="s">
        <v>487</v>
      </c>
      <c r="B861" s="1">
        <v>10569</v>
      </c>
      <c r="C861" s="1">
        <v>76</v>
      </c>
      <c r="D861" s="1" t="s">
        <v>721</v>
      </c>
      <c r="E861">
        <v>18</v>
      </c>
      <c r="F861" s="1">
        <v>30</v>
      </c>
      <c r="G861" s="1">
        <v>0</v>
      </c>
      <c r="H861" s="2">
        <v>34897</v>
      </c>
    </row>
    <row r="862" spans="1:8" x14ac:dyDescent="0.4">
      <c r="A862" s="1" t="s">
        <v>394</v>
      </c>
      <c r="B862" s="1">
        <v>10570</v>
      </c>
      <c r="C862" s="1">
        <v>11</v>
      </c>
      <c r="D862" s="1" t="s">
        <v>683</v>
      </c>
      <c r="E862">
        <v>21</v>
      </c>
      <c r="F862" s="1">
        <v>15</v>
      </c>
      <c r="G862" s="1">
        <v>0.05</v>
      </c>
      <c r="H862" s="2">
        <v>34898</v>
      </c>
    </row>
    <row r="863" spans="1:8" x14ac:dyDescent="0.4">
      <c r="A863" s="1" t="s">
        <v>394</v>
      </c>
      <c r="B863" s="1">
        <v>10570</v>
      </c>
      <c r="C863" s="1">
        <v>56</v>
      </c>
      <c r="D863" s="1" t="s">
        <v>716</v>
      </c>
      <c r="E863">
        <v>38</v>
      </c>
      <c r="F863" s="1">
        <v>60</v>
      </c>
      <c r="G863" s="1">
        <v>0.05</v>
      </c>
      <c r="H863" s="2">
        <v>34898</v>
      </c>
    </row>
    <row r="864" spans="1:8" x14ac:dyDescent="0.4">
      <c r="A864" s="1" t="s">
        <v>161</v>
      </c>
      <c r="B864" s="1">
        <v>10571</v>
      </c>
      <c r="C864" s="1">
        <v>14</v>
      </c>
      <c r="D864" s="1" t="s">
        <v>686</v>
      </c>
      <c r="E864">
        <v>23.25</v>
      </c>
      <c r="F864" s="1">
        <v>11</v>
      </c>
      <c r="G864" s="1">
        <v>0.15</v>
      </c>
      <c r="H864" s="2">
        <v>34898</v>
      </c>
    </row>
    <row r="865" spans="1:8" x14ac:dyDescent="0.4">
      <c r="A865" s="1" t="s">
        <v>161</v>
      </c>
      <c r="B865" s="1">
        <v>10571</v>
      </c>
      <c r="C865" s="1">
        <v>42</v>
      </c>
      <c r="D865" s="1" t="s">
        <v>684</v>
      </c>
      <c r="E865">
        <v>14</v>
      </c>
      <c r="F865" s="1">
        <v>28</v>
      </c>
      <c r="G865" s="1">
        <v>0.15</v>
      </c>
      <c r="H865" s="2">
        <v>34898</v>
      </c>
    </row>
    <row r="866" spans="1:8" x14ac:dyDescent="0.4">
      <c r="A866" s="1" t="s">
        <v>43</v>
      </c>
      <c r="B866" s="1">
        <v>10572</v>
      </c>
      <c r="C866" s="1">
        <v>16</v>
      </c>
      <c r="D866" s="1" t="s">
        <v>702</v>
      </c>
      <c r="E866">
        <v>17.45</v>
      </c>
      <c r="F866" s="1">
        <v>12</v>
      </c>
      <c r="G866" s="1">
        <v>0.1</v>
      </c>
      <c r="H866" s="2">
        <v>34899</v>
      </c>
    </row>
    <row r="867" spans="1:8" x14ac:dyDescent="0.4">
      <c r="A867" s="1" t="s">
        <v>43</v>
      </c>
      <c r="B867" s="1">
        <v>10572</v>
      </c>
      <c r="C867" s="1">
        <v>32</v>
      </c>
      <c r="D867" s="1" t="s">
        <v>709</v>
      </c>
      <c r="E867">
        <v>32</v>
      </c>
      <c r="F867" s="1">
        <v>10</v>
      </c>
      <c r="G867" s="1">
        <v>0.1</v>
      </c>
      <c r="H867" s="2">
        <v>34899</v>
      </c>
    </row>
    <row r="868" spans="1:8" x14ac:dyDescent="0.4">
      <c r="A868" s="1" t="s">
        <v>43</v>
      </c>
      <c r="B868" s="1">
        <v>10572</v>
      </c>
      <c r="C868" s="1">
        <v>40</v>
      </c>
      <c r="D868" s="1" t="s">
        <v>720</v>
      </c>
      <c r="E868">
        <v>18.399999999999999</v>
      </c>
      <c r="F868" s="1">
        <v>50</v>
      </c>
      <c r="G868" s="1">
        <v>0</v>
      </c>
      <c r="H868" s="2">
        <v>34899</v>
      </c>
    </row>
    <row r="869" spans="1:8" x14ac:dyDescent="0.4">
      <c r="A869" s="1" t="s">
        <v>43</v>
      </c>
      <c r="B869" s="1">
        <v>10572</v>
      </c>
      <c r="C869" s="1">
        <v>75</v>
      </c>
      <c r="D869" s="1" t="s">
        <v>731</v>
      </c>
      <c r="E869">
        <v>7.75</v>
      </c>
      <c r="F869" s="1">
        <v>15</v>
      </c>
      <c r="G869" s="1">
        <v>0.1</v>
      </c>
      <c r="H869" s="2">
        <v>34899</v>
      </c>
    </row>
    <row r="870" spans="1:8" x14ac:dyDescent="0.4">
      <c r="A870" s="1" t="s">
        <v>29</v>
      </c>
      <c r="B870" s="1">
        <v>10573</v>
      </c>
      <c r="C870" s="1">
        <v>17</v>
      </c>
      <c r="D870" s="1" t="s">
        <v>718</v>
      </c>
      <c r="E870">
        <v>39</v>
      </c>
      <c r="F870" s="1">
        <v>18</v>
      </c>
      <c r="G870" s="1">
        <v>0</v>
      </c>
      <c r="H870" s="2">
        <v>34900</v>
      </c>
    </row>
    <row r="871" spans="1:8" x14ac:dyDescent="0.4">
      <c r="A871" s="1" t="s">
        <v>29</v>
      </c>
      <c r="B871" s="1">
        <v>10573</v>
      </c>
      <c r="C871" s="1">
        <v>34</v>
      </c>
      <c r="D871" s="1" t="s">
        <v>736</v>
      </c>
      <c r="E871">
        <v>14</v>
      </c>
      <c r="F871" s="1">
        <v>40</v>
      </c>
      <c r="G871" s="1">
        <v>0</v>
      </c>
      <c r="H871" s="2">
        <v>34900</v>
      </c>
    </row>
    <row r="872" spans="1:8" x14ac:dyDescent="0.4">
      <c r="A872" s="1" t="s">
        <v>29</v>
      </c>
      <c r="B872" s="1">
        <v>10573</v>
      </c>
      <c r="C872" s="1">
        <v>53</v>
      </c>
      <c r="D872" s="1" t="s">
        <v>705</v>
      </c>
      <c r="E872">
        <v>32.799999999999997</v>
      </c>
      <c r="F872" s="1">
        <v>25</v>
      </c>
      <c r="G872" s="1">
        <v>0</v>
      </c>
      <c r="H872" s="2">
        <v>34900</v>
      </c>
    </row>
    <row r="873" spans="1:8" x14ac:dyDescent="0.4">
      <c r="A873" s="1" t="s">
        <v>605</v>
      </c>
      <c r="B873" s="1">
        <v>10574</v>
      </c>
      <c r="C873" s="1">
        <v>33</v>
      </c>
      <c r="D873" s="1" t="s">
        <v>693</v>
      </c>
      <c r="E873">
        <v>2.5</v>
      </c>
      <c r="F873" s="1">
        <v>14</v>
      </c>
      <c r="G873" s="1">
        <v>0</v>
      </c>
      <c r="H873" s="2">
        <v>34900</v>
      </c>
    </row>
    <row r="874" spans="1:8" x14ac:dyDescent="0.4">
      <c r="A874" s="1" t="s">
        <v>605</v>
      </c>
      <c r="B874" s="1">
        <v>10574</v>
      </c>
      <c r="C874" s="1">
        <v>40</v>
      </c>
      <c r="D874" s="1" t="s">
        <v>720</v>
      </c>
      <c r="E874">
        <v>18.399999999999999</v>
      </c>
      <c r="F874" s="1">
        <v>2</v>
      </c>
      <c r="G874" s="1">
        <v>0</v>
      </c>
      <c r="H874" s="2">
        <v>34900</v>
      </c>
    </row>
    <row r="875" spans="1:8" x14ac:dyDescent="0.4">
      <c r="A875" s="1" t="s">
        <v>605</v>
      </c>
      <c r="B875" s="1">
        <v>10574</v>
      </c>
      <c r="C875" s="1">
        <v>62</v>
      </c>
      <c r="D875" s="1" t="s">
        <v>712</v>
      </c>
      <c r="E875">
        <v>49.3</v>
      </c>
      <c r="F875" s="1">
        <v>10</v>
      </c>
      <c r="G875" s="1">
        <v>0</v>
      </c>
      <c r="H875" s="2">
        <v>34900</v>
      </c>
    </row>
    <row r="876" spans="1:8" x14ac:dyDescent="0.4">
      <c r="A876" s="1" t="s">
        <v>605</v>
      </c>
      <c r="B876" s="1">
        <v>10574</v>
      </c>
      <c r="C876" s="1">
        <v>64</v>
      </c>
      <c r="D876" s="1" t="s">
        <v>741</v>
      </c>
      <c r="E876">
        <v>33.25</v>
      </c>
      <c r="F876" s="1">
        <v>6</v>
      </c>
      <c r="G876" s="1">
        <v>0</v>
      </c>
      <c r="H876" s="2">
        <v>34900</v>
      </c>
    </row>
    <row r="877" spans="1:8" x14ac:dyDescent="0.4">
      <c r="A877" s="1" t="s">
        <v>403</v>
      </c>
      <c r="B877" s="1">
        <v>10575</v>
      </c>
      <c r="C877" s="1">
        <v>59</v>
      </c>
      <c r="D877" s="1" t="s">
        <v>704</v>
      </c>
      <c r="E877">
        <v>55</v>
      </c>
      <c r="F877" s="1">
        <v>12</v>
      </c>
      <c r="G877" s="1">
        <v>0</v>
      </c>
      <c r="H877" s="2">
        <v>34901</v>
      </c>
    </row>
    <row r="878" spans="1:8" x14ac:dyDescent="0.4">
      <c r="A878" s="1" t="s">
        <v>403</v>
      </c>
      <c r="B878" s="1">
        <v>10575</v>
      </c>
      <c r="C878" s="1">
        <v>63</v>
      </c>
      <c r="D878" s="1" t="s">
        <v>729</v>
      </c>
      <c r="E878">
        <v>43.9</v>
      </c>
      <c r="F878" s="1">
        <v>6</v>
      </c>
      <c r="G878" s="1">
        <v>0</v>
      </c>
      <c r="H878" s="2">
        <v>34901</v>
      </c>
    </row>
    <row r="879" spans="1:8" x14ac:dyDescent="0.4">
      <c r="A879" s="1" t="s">
        <v>403</v>
      </c>
      <c r="B879" s="1">
        <v>10575</v>
      </c>
      <c r="C879" s="1">
        <v>72</v>
      </c>
      <c r="D879" s="1" t="s">
        <v>685</v>
      </c>
      <c r="E879">
        <v>34.799999999999997</v>
      </c>
      <c r="F879" s="1">
        <v>30</v>
      </c>
      <c r="G879" s="1">
        <v>0</v>
      </c>
      <c r="H879" s="2">
        <v>34901</v>
      </c>
    </row>
    <row r="880" spans="1:8" x14ac:dyDescent="0.4">
      <c r="A880" s="1" t="s">
        <v>403</v>
      </c>
      <c r="B880" s="1">
        <v>10575</v>
      </c>
      <c r="C880" s="1">
        <v>76</v>
      </c>
      <c r="D880" s="1" t="s">
        <v>721</v>
      </c>
      <c r="E880">
        <v>18</v>
      </c>
      <c r="F880" s="1">
        <v>10</v>
      </c>
      <c r="G880" s="1">
        <v>0</v>
      </c>
      <c r="H880" s="2">
        <v>34901</v>
      </c>
    </row>
    <row r="881" spans="1:8" x14ac:dyDescent="0.4">
      <c r="A881" s="1" t="s">
        <v>593</v>
      </c>
      <c r="B881" s="1">
        <v>10576</v>
      </c>
      <c r="C881" s="1">
        <v>1</v>
      </c>
      <c r="D881" s="1" t="s">
        <v>735</v>
      </c>
      <c r="E881">
        <v>18</v>
      </c>
      <c r="F881" s="1">
        <v>10</v>
      </c>
      <c r="G881" s="1">
        <v>0</v>
      </c>
      <c r="H881" s="2">
        <v>34904</v>
      </c>
    </row>
    <row r="882" spans="1:8" x14ac:dyDescent="0.4">
      <c r="A882" s="1" t="s">
        <v>593</v>
      </c>
      <c r="B882" s="1">
        <v>10576</v>
      </c>
      <c r="C882" s="1">
        <v>31</v>
      </c>
      <c r="D882" s="1" t="s">
        <v>695</v>
      </c>
      <c r="E882">
        <v>12.5</v>
      </c>
      <c r="F882" s="1">
        <v>20</v>
      </c>
      <c r="G882" s="1">
        <v>0</v>
      </c>
      <c r="H882" s="2">
        <v>34904</v>
      </c>
    </row>
    <row r="883" spans="1:8" x14ac:dyDescent="0.4">
      <c r="A883" s="1" t="s">
        <v>593</v>
      </c>
      <c r="B883" s="1">
        <v>10576</v>
      </c>
      <c r="C883" s="1">
        <v>44</v>
      </c>
      <c r="D883" s="1" t="s">
        <v>728</v>
      </c>
      <c r="E883">
        <v>19.45</v>
      </c>
      <c r="F883" s="1">
        <v>21</v>
      </c>
      <c r="G883" s="1">
        <v>0</v>
      </c>
      <c r="H883" s="2">
        <v>34904</v>
      </c>
    </row>
    <row r="884" spans="1:8" x14ac:dyDescent="0.4">
      <c r="A884" s="1" t="s">
        <v>605</v>
      </c>
      <c r="B884" s="1">
        <v>10577</v>
      </c>
      <c r="C884" s="1">
        <v>39</v>
      </c>
      <c r="D884" s="1" t="s">
        <v>696</v>
      </c>
      <c r="E884">
        <v>18</v>
      </c>
      <c r="F884" s="1">
        <v>10</v>
      </c>
      <c r="G884" s="1">
        <v>0</v>
      </c>
      <c r="H884" s="2">
        <v>34904</v>
      </c>
    </row>
    <row r="885" spans="1:8" x14ac:dyDescent="0.4">
      <c r="A885" s="1" t="s">
        <v>605</v>
      </c>
      <c r="B885" s="1">
        <v>10577</v>
      </c>
      <c r="C885" s="1">
        <v>75</v>
      </c>
      <c r="D885" s="1" t="s">
        <v>731</v>
      </c>
      <c r="E885">
        <v>7.75</v>
      </c>
      <c r="F885" s="1">
        <v>20</v>
      </c>
      <c r="G885" s="1">
        <v>0</v>
      </c>
      <c r="H885" s="2">
        <v>34904</v>
      </c>
    </row>
    <row r="886" spans="1:8" x14ac:dyDescent="0.4">
      <c r="A886" s="1" t="s">
        <v>605</v>
      </c>
      <c r="B886" s="1">
        <v>10577</v>
      </c>
      <c r="C886" s="1">
        <v>77</v>
      </c>
      <c r="D886" s="1" t="s">
        <v>706</v>
      </c>
      <c r="E886">
        <v>13</v>
      </c>
      <c r="F886" s="1">
        <v>18</v>
      </c>
      <c r="G886" s="1">
        <v>0</v>
      </c>
      <c r="H886" s="2">
        <v>34904</v>
      </c>
    </row>
    <row r="887" spans="1:8" x14ac:dyDescent="0.4">
      <c r="A887" s="1" t="s">
        <v>95</v>
      </c>
      <c r="B887" s="1">
        <v>10578</v>
      </c>
      <c r="C887" s="1">
        <v>35</v>
      </c>
      <c r="D887" s="1" t="s">
        <v>714</v>
      </c>
      <c r="E887">
        <v>18</v>
      </c>
      <c r="F887" s="1">
        <v>20</v>
      </c>
      <c r="G887" s="1">
        <v>0</v>
      </c>
      <c r="H887" s="2">
        <v>34905</v>
      </c>
    </row>
    <row r="888" spans="1:8" x14ac:dyDescent="0.4">
      <c r="A888" s="1" t="s">
        <v>95</v>
      </c>
      <c r="B888" s="1">
        <v>10578</v>
      </c>
      <c r="C888" s="1">
        <v>57</v>
      </c>
      <c r="D888" s="1" t="s">
        <v>691</v>
      </c>
      <c r="E888">
        <v>19.5</v>
      </c>
      <c r="F888" s="1">
        <v>6</v>
      </c>
      <c r="G888" s="1">
        <v>0</v>
      </c>
      <c r="H888" s="2">
        <v>34905</v>
      </c>
    </row>
    <row r="889" spans="1:8" x14ac:dyDescent="0.4">
      <c r="A889" s="1" t="s">
        <v>348</v>
      </c>
      <c r="B889" s="1">
        <v>10579</v>
      </c>
      <c r="C889" s="1">
        <v>15</v>
      </c>
      <c r="D889" s="1" t="s">
        <v>733</v>
      </c>
      <c r="E889">
        <v>15.5</v>
      </c>
      <c r="F889" s="1">
        <v>10</v>
      </c>
      <c r="G889" s="1">
        <v>0</v>
      </c>
      <c r="H889" s="2">
        <v>34906</v>
      </c>
    </row>
    <row r="890" spans="1:8" x14ac:dyDescent="0.4">
      <c r="A890" s="1" t="s">
        <v>348</v>
      </c>
      <c r="B890" s="1">
        <v>10579</v>
      </c>
      <c r="C890" s="1">
        <v>75</v>
      </c>
      <c r="D890" s="1" t="s">
        <v>731</v>
      </c>
      <c r="E890">
        <v>7.75</v>
      </c>
      <c r="F890" s="1">
        <v>21</v>
      </c>
      <c r="G890" s="1">
        <v>0</v>
      </c>
      <c r="H890" s="2">
        <v>34906</v>
      </c>
    </row>
    <row r="891" spans="1:8" x14ac:dyDescent="0.4">
      <c r="A891" s="1" t="s">
        <v>430</v>
      </c>
      <c r="B891" s="1">
        <v>10580</v>
      </c>
      <c r="C891" s="1">
        <v>14</v>
      </c>
      <c r="D891" s="1" t="s">
        <v>686</v>
      </c>
      <c r="E891">
        <v>23.25</v>
      </c>
      <c r="F891" s="1">
        <v>15</v>
      </c>
      <c r="G891" s="1">
        <v>0.05</v>
      </c>
      <c r="H891" s="2">
        <v>34907</v>
      </c>
    </row>
    <row r="892" spans="1:8" x14ac:dyDescent="0.4">
      <c r="A892" s="1" t="s">
        <v>430</v>
      </c>
      <c r="B892" s="1">
        <v>10580</v>
      </c>
      <c r="C892" s="1">
        <v>41</v>
      </c>
      <c r="D892" s="1" t="s">
        <v>688</v>
      </c>
      <c r="E892">
        <v>9.65</v>
      </c>
      <c r="F892" s="1">
        <v>9</v>
      </c>
      <c r="G892" s="1">
        <v>0.05</v>
      </c>
      <c r="H892" s="2">
        <v>34907</v>
      </c>
    </row>
    <row r="893" spans="1:8" x14ac:dyDescent="0.4">
      <c r="A893" s="1" t="s">
        <v>430</v>
      </c>
      <c r="B893" s="1">
        <v>10580</v>
      </c>
      <c r="C893" s="1">
        <v>65</v>
      </c>
      <c r="D893" s="1" t="s">
        <v>689</v>
      </c>
      <c r="E893">
        <v>21.05</v>
      </c>
      <c r="F893" s="1">
        <v>30</v>
      </c>
      <c r="G893" s="1">
        <v>0.05</v>
      </c>
      <c r="H893" s="2">
        <v>34907</v>
      </c>
    </row>
    <row r="894" spans="1:8" x14ac:dyDescent="0.4">
      <c r="A894" s="1" t="s">
        <v>170</v>
      </c>
      <c r="B894" s="1">
        <v>10581</v>
      </c>
      <c r="C894" s="1">
        <v>75</v>
      </c>
      <c r="D894" s="1" t="s">
        <v>731</v>
      </c>
      <c r="E894">
        <v>7.75</v>
      </c>
      <c r="F894" s="1">
        <v>50</v>
      </c>
      <c r="G894" s="1">
        <v>0.2</v>
      </c>
      <c r="H894" s="2">
        <v>34907</v>
      </c>
    </row>
    <row r="895" spans="1:8" x14ac:dyDescent="0.4">
      <c r="A895" s="1" t="s">
        <v>53</v>
      </c>
      <c r="B895" s="1">
        <v>10582</v>
      </c>
      <c r="C895" s="1">
        <v>57</v>
      </c>
      <c r="D895" s="1" t="s">
        <v>691</v>
      </c>
      <c r="E895">
        <v>19.5</v>
      </c>
      <c r="F895" s="1">
        <v>4</v>
      </c>
      <c r="G895" s="1">
        <v>0</v>
      </c>
      <c r="H895" s="2">
        <v>34908</v>
      </c>
    </row>
    <row r="896" spans="1:8" x14ac:dyDescent="0.4">
      <c r="A896" s="1" t="s">
        <v>53</v>
      </c>
      <c r="B896" s="1">
        <v>10582</v>
      </c>
      <c r="C896" s="1">
        <v>76</v>
      </c>
      <c r="D896" s="1" t="s">
        <v>721</v>
      </c>
      <c r="E896">
        <v>18</v>
      </c>
      <c r="F896" s="1">
        <v>14</v>
      </c>
      <c r="G896" s="1">
        <v>0</v>
      </c>
      <c r="H896" s="2">
        <v>34908</v>
      </c>
    </row>
    <row r="897" spans="1:8" x14ac:dyDescent="0.4">
      <c r="A897" s="1" t="s">
        <v>640</v>
      </c>
      <c r="B897" s="1">
        <v>10583</v>
      </c>
      <c r="C897" s="1">
        <v>29</v>
      </c>
      <c r="D897" s="1" t="s">
        <v>722</v>
      </c>
      <c r="E897">
        <v>123.79</v>
      </c>
      <c r="F897" s="1">
        <v>10</v>
      </c>
      <c r="G897" s="1">
        <v>0</v>
      </c>
      <c r="H897" s="2">
        <v>34911</v>
      </c>
    </row>
    <row r="898" spans="1:8" x14ac:dyDescent="0.4">
      <c r="A898" s="1" t="s">
        <v>640</v>
      </c>
      <c r="B898" s="1">
        <v>10583</v>
      </c>
      <c r="C898" s="1">
        <v>60</v>
      </c>
      <c r="D898" s="1" t="s">
        <v>694</v>
      </c>
      <c r="E898">
        <v>34</v>
      </c>
      <c r="F898" s="1">
        <v>24</v>
      </c>
      <c r="G898" s="1">
        <v>0.15</v>
      </c>
      <c r="H898" s="2">
        <v>34911</v>
      </c>
    </row>
    <row r="899" spans="1:8" x14ac:dyDescent="0.4">
      <c r="A899" s="1" t="s">
        <v>640</v>
      </c>
      <c r="B899" s="1">
        <v>10583</v>
      </c>
      <c r="C899" s="1">
        <v>69</v>
      </c>
      <c r="D899" s="1" t="s">
        <v>743</v>
      </c>
      <c r="E899">
        <v>36</v>
      </c>
      <c r="F899" s="1">
        <v>10</v>
      </c>
      <c r="G899" s="1">
        <v>0.15</v>
      </c>
      <c r="H899" s="2">
        <v>34911</v>
      </c>
    </row>
    <row r="900" spans="1:8" x14ac:dyDescent="0.4">
      <c r="A900" s="1" t="s">
        <v>60</v>
      </c>
      <c r="B900" s="1">
        <v>10584</v>
      </c>
      <c r="C900" s="1">
        <v>31</v>
      </c>
      <c r="D900" s="1" t="s">
        <v>695</v>
      </c>
      <c r="E900">
        <v>12.5</v>
      </c>
      <c r="F900" s="1">
        <v>50</v>
      </c>
      <c r="G900" s="1">
        <v>0.05</v>
      </c>
      <c r="H900" s="2">
        <v>34911</v>
      </c>
    </row>
    <row r="901" spans="1:8" x14ac:dyDescent="0.4">
      <c r="A901" s="1" t="s">
        <v>647</v>
      </c>
      <c r="B901" s="1">
        <v>10585</v>
      </c>
      <c r="C901" s="1">
        <v>47</v>
      </c>
      <c r="D901" s="1" t="s">
        <v>752</v>
      </c>
      <c r="E901">
        <v>9.5</v>
      </c>
      <c r="F901" s="1">
        <v>15</v>
      </c>
      <c r="G901" s="1">
        <v>0</v>
      </c>
      <c r="H901" s="2">
        <v>34912</v>
      </c>
    </row>
    <row r="902" spans="1:8" x14ac:dyDescent="0.4">
      <c r="A902" s="1" t="s">
        <v>496</v>
      </c>
      <c r="B902" s="1">
        <v>10586</v>
      </c>
      <c r="C902" s="1">
        <v>52</v>
      </c>
      <c r="D902" s="1" t="s">
        <v>748</v>
      </c>
      <c r="E902">
        <v>7</v>
      </c>
      <c r="F902" s="1">
        <v>4</v>
      </c>
      <c r="G902" s="1">
        <v>0.15</v>
      </c>
      <c r="H902" s="2">
        <v>34913</v>
      </c>
    </row>
    <row r="903" spans="1:8" x14ac:dyDescent="0.4">
      <c r="A903" s="1" t="s">
        <v>462</v>
      </c>
      <c r="B903" s="1">
        <v>10587</v>
      </c>
      <c r="C903" s="1">
        <v>26</v>
      </c>
      <c r="D903" s="1" t="s">
        <v>751</v>
      </c>
      <c r="E903">
        <v>31.23</v>
      </c>
      <c r="F903" s="1">
        <v>6</v>
      </c>
      <c r="G903" s="1">
        <v>0</v>
      </c>
      <c r="H903" s="2">
        <v>34913</v>
      </c>
    </row>
    <row r="904" spans="1:8" x14ac:dyDescent="0.4">
      <c r="A904" s="1" t="s">
        <v>462</v>
      </c>
      <c r="B904" s="1">
        <v>10587</v>
      </c>
      <c r="C904" s="1">
        <v>35</v>
      </c>
      <c r="D904" s="1" t="s">
        <v>714</v>
      </c>
      <c r="E904">
        <v>18</v>
      </c>
      <c r="F904" s="1">
        <v>20</v>
      </c>
      <c r="G904" s="1">
        <v>0</v>
      </c>
      <c r="H904" s="2">
        <v>34913</v>
      </c>
    </row>
    <row r="905" spans="1:8" x14ac:dyDescent="0.4">
      <c r="A905" s="1" t="s">
        <v>462</v>
      </c>
      <c r="B905" s="1">
        <v>10587</v>
      </c>
      <c r="C905" s="1">
        <v>77</v>
      </c>
      <c r="D905" s="1" t="s">
        <v>706</v>
      </c>
      <c r="E905">
        <v>13</v>
      </c>
      <c r="F905" s="1">
        <v>20</v>
      </c>
      <c r="G905" s="1">
        <v>0</v>
      </c>
      <c r="H905" s="2">
        <v>34913</v>
      </c>
    </row>
    <row r="906" spans="1:8" x14ac:dyDescent="0.4">
      <c r="A906" s="1" t="s">
        <v>475</v>
      </c>
      <c r="B906" s="1">
        <v>10588</v>
      </c>
      <c r="C906" s="1">
        <v>18</v>
      </c>
      <c r="D906" s="1" t="s">
        <v>742</v>
      </c>
      <c r="E906">
        <v>62.5</v>
      </c>
      <c r="F906" s="1">
        <v>40</v>
      </c>
      <c r="G906" s="1">
        <v>0.2</v>
      </c>
      <c r="H906" s="2">
        <v>34914</v>
      </c>
    </row>
    <row r="907" spans="1:8" x14ac:dyDescent="0.4">
      <c r="A907" s="1" t="s">
        <v>475</v>
      </c>
      <c r="B907" s="1">
        <v>10588</v>
      </c>
      <c r="C907" s="1">
        <v>42</v>
      </c>
      <c r="D907" s="1" t="s">
        <v>684</v>
      </c>
      <c r="E907">
        <v>14</v>
      </c>
      <c r="F907" s="1">
        <v>100</v>
      </c>
      <c r="G907" s="1">
        <v>0.2</v>
      </c>
      <c r="H907" s="2">
        <v>34914</v>
      </c>
    </row>
    <row r="908" spans="1:8" x14ac:dyDescent="0.4">
      <c r="A908" s="1" t="s">
        <v>247</v>
      </c>
      <c r="B908" s="1">
        <v>10589</v>
      </c>
      <c r="C908" s="1">
        <v>35</v>
      </c>
      <c r="D908" s="1" t="s">
        <v>714</v>
      </c>
      <c r="E908">
        <v>18</v>
      </c>
      <c r="F908" s="1">
        <v>4</v>
      </c>
      <c r="G908" s="1">
        <v>0</v>
      </c>
      <c r="H908" s="2">
        <v>34915</v>
      </c>
    </row>
    <row r="909" spans="1:8" x14ac:dyDescent="0.4">
      <c r="A909" s="1" t="s">
        <v>394</v>
      </c>
      <c r="B909" s="1">
        <v>10590</v>
      </c>
      <c r="C909" s="1">
        <v>1</v>
      </c>
      <c r="D909" s="1" t="s">
        <v>735</v>
      </c>
      <c r="E909">
        <v>18</v>
      </c>
      <c r="F909" s="1">
        <v>20</v>
      </c>
      <c r="G909" s="1">
        <v>0</v>
      </c>
      <c r="H909" s="2">
        <v>34918</v>
      </c>
    </row>
    <row r="910" spans="1:8" x14ac:dyDescent="0.4">
      <c r="A910" s="1" t="s">
        <v>394</v>
      </c>
      <c r="B910" s="1">
        <v>10590</v>
      </c>
      <c r="C910" s="1">
        <v>77</v>
      </c>
      <c r="D910" s="1" t="s">
        <v>706</v>
      </c>
      <c r="E910">
        <v>13</v>
      </c>
      <c r="F910" s="1">
        <v>60</v>
      </c>
      <c r="G910" s="1">
        <v>0.05</v>
      </c>
      <c r="H910" s="2">
        <v>34918</v>
      </c>
    </row>
    <row r="911" spans="1:8" x14ac:dyDescent="0.4">
      <c r="A911" s="1" t="s">
        <v>612</v>
      </c>
      <c r="B911" s="1">
        <v>10591</v>
      </c>
      <c r="C911" s="1">
        <v>3</v>
      </c>
      <c r="D911" s="1" t="s">
        <v>740</v>
      </c>
      <c r="E911">
        <v>10</v>
      </c>
      <c r="F911" s="1">
        <v>14</v>
      </c>
      <c r="G911" s="1">
        <v>0</v>
      </c>
      <c r="H911" s="2">
        <v>34918</v>
      </c>
    </row>
    <row r="912" spans="1:8" x14ac:dyDescent="0.4">
      <c r="A912" s="1" t="s">
        <v>612</v>
      </c>
      <c r="B912" s="1">
        <v>10591</v>
      </c>
      <c r="C912" s="1">
        <v>7</v>
      </c>
      <c r="D912" s="1" t="s">
        <v>715</v>
      </c>
      <c r="E912">
        <v>30</v>
      </c>
      <c r="F912" s="1">
        <v>10</v>
      </c>
      <c r="G912" s="1">
        <v>0</v>
      </c>
      <c r="H912" s="2">
        <v>34918</v>
      </c>
    </row>
    <row r="913" spans="1:8" x14ac:dyDescent="0.4">
      <c r="A913" s="1" t="s">
        <v>612</v>
      </c>
      <c r="B913" s="1">
        <v>10591</v>
      </c>
      <c r="C913" s="1">
        <v>54</v>
      </c>
      <c r="D913" s="1" t="s">
        <v>738</v>
      </c>
      <c r="E913">
        <v>7.45</v>
      </c>
      <c r="F913" s="1">
        <v>50</v>
      </c>
      <c r="G913" s="1">
        <v>0</v>
      </c>
      <c r="H913" s="2">
        <v>34918</v>
      </c>
    </row>
    <row r="914" spans="1:8" x14ac:dyDescent="0.4">
      <c r="A914" s="1" t="s">
        <v>341</v>
      </c>
      <c r="B914" s="1">
        <v>10592</v>
      </c>
      <c r="C914" s="1">
        <v>15</v>
      </c>
      <c r="D914" s="1" t="s">
        <v>733</v>
      </c>
      <c r="E914">
        <v>15.5</v>
      </c>
      <c r="F914" s="1">
        <v>25</v>
      </c>
      <c r="G914" s="1">
        <v>0.05</v>
      </c>
      <c r="H914" s="2">
        <v>34919</v>
      </c>
    </row>
    <row r="915" spans="1:8" x14ac:dyDescent="0.4">
      <c r="A915" s="1" t="s">
        <v>341</v>
      </c>
      <c r="B915" s="1">
        <v>10592</v>
      </c>
      <c r="C915" s="1">
        <v>26</v>
      </c>
      <c r="D915" s="1" t="s">
        <v>751</v>
      </c>
      <c r="E915">
        <v>31.23</v>
      </c>
      <c r="F915" s="1">
        <v>5</v>
      </c>
      <c r="G915" s="1">
        <v>0.05</v>
      </c>
      <c r="H915" s="2">
        <v>34919</v>
      </c>
    </row>
    <row r="916" spans="1:8" x14ac:dyDescent="0.4">
      <c r="A916" s="1" t="s">
        <v>341</v>
      </c>
      <c r="B916" s="1">
        <v>10593</v>
      </c>
      <c r="C916" s="1">
        <v>20</v>
      </c>
      <c r="D916" s="1" t="s">
        <v>692</v>
      </c>
      <c r="E916">
        <v>81</v>
      </c>
      <c r="F916" s="1">
        <v>21</v>
      </c>
      <c r="G916" s="1">
        <v>0.2</v>
      </c>
      <c r="H916" s="2">
        <v>34920</v>
      </c>
    </row>
    <row r="917" spans="1:8" x14ac:dyDescent="0.4">
      <c r="A917" s="1" t="s">
        <v>341</v>
      </c>
      <c r="B917" s="1">
        <v>10593</v>
      </c>
      <c r="C917" s="1">
        <v>69</v>
      </c>
      <c r="D917" s="1" t="s">
        <v>743</v>
      </c>
      <c r="E917">
        <v>36</v>
      </c>
      <c r="F917" s="1">
        <v>20</v>
      </c>
      <c r="G917" s="1">
        <v>0.2</v>
      </c>
      <c r="H917" s="2">
        <v>34920</v>
      </c>
    </row>
    <row r="918" spans="1:8" x14ac:dyDescent="0.4">
      <c r="A918" s="1" t="s">
        <v>341</v>
      </c>
      <c r="B918" s="1">
        <v>10593</v>
      </c>
      <c r="C918" s="1">
        <v>76</v>
      </c>
      <c r="D918" s="1" t="s">
        <v>721</v>
      </c>
      <c r="E918">
        <v>18</v>
      </c>
      <c r="F918" s="1">
        <v>4</v>
      </c>
      <c r="G918" s="1">
        <v>0.2</v>
      </c>
      <c r="H918" s="2">
        <v>34920</v>
      </c>
    </row>
    <row r="919" spans="1:8" x14ac:dyDescent="0.4">
      <c r="A919" s="1" t="s">
        <v>422</v>
      </c>
      <c r="B919" s="1">
        <v>10594</v>
      </c>
      <c r="C919" s="1">
        <v>52</v>
      </c>
      <c r="D919" s="1" t="s">
        <v>748</v>
      </c>
      <c r="E919">
        <v>7</v>
      </c>
      <c r="F919" s="1">
        <v>24</v>
      </c>
      <c r="G919" s="1">
        <v>0</v>
      </c>
      <c r="H919" s="2">
        <v>34920</v>
      </c>
    </row>
    <row r="920" spans="1:8" x14ac:dyDescent="0.4">
      <c r="A920" s="1" t="s">
        <v>422</v>
      </c>
      <c r="B920" s="1">
        <v>10594</v>
      </c>
      <c r="C920" s="1">
        <v>58</v>
      </c>
      <c r="D920" s="1" t="s">
        <v>747</v>
      </c>
      <c r="E920">
        <v>13.25</v>
      </c>
      <c r="F920" s="1">
        <v>30</v>
      </c>
      <c r="G920" s="1">
        <v>0</v>
      </c>
      <c r="H920" s="2">
        <v>34920</v>
      </c>
    </row>
    <row r="921" spans="1:8" x14ac:dyDescent="0.4">
      <c r="A921" s="1" t="s">
        <v>161</v>
      </c>
      <c r="B921" s="1">
        <v>10595</v>
      </c>
      <c r="C921" s="1">
        <v>35</v>
      </c>
      <c r="D921" s="1" t="s">
        <v>714</v>
      </c>
      <c r="E921">
        <v>18</v>
      </c>
      <c r="F921" s="1">
        <v>30</v>
      </c>
      <c r="G921" s="1">
        <v>0.25</v>
      </c>
      <c r="H921" s="2">
        <v>34921</v>
      </c>
    </row>
    <row r="922" spans="1:8" x14ac:dyDescent="0.4">
      <c r="A922" s="1" t="s">
        <v>161</v>
      </c>
      <c r="B922" s="1">
        <v>10595</v>
      </c>
      <c r="C922" s="1">
        <v>61</v>
      </c>
      <c r="D922" s="1" t="s">
        <v>758</v>
      </c>
      <c r="E922">
        <v>28.5</v>
      </c>
      <c r="F922" s="1">
        <v>120</v>
      </c>
      <c r="G922" s="1">
        <v>0.25</v>
      </c>
      <c r="H922" s="2">
        <v>34921</v>
      </c>
    </row>
    <row r="923" spans="1:8" x14ac:dyDescent="0.4">
      <c r="A923" s="1" t="s">
        <v>161</v>
      </c>
      <c r="B923" s="1">
        <v>10595</v>
      </c>
      <c r="C923" s="1">
        <v>69</v>
      </c>
      <c r="D923" s="1" t="s">
        <v>743</v>
      </c>
      <c r="E923">
        <v>36</v>
      </c>
      <c r="F923" s="1">
        <v>65</v>
      </c>
      <c r="G923" s="1">
        <v>0.25</v>
      </c>
      <c r="H923" s="2">
        <v>34921</v>
      </c>
    </row>
    <row r="924" spans="1:8" x14ac:dyDescent="0.4">
      <c r="A924" s="1" t="s">
        <v>654</v>
      </c>
      <c r="B924" s="1">
        <v>10596</v>
      </c>
      <c r="C924" s="1">
        <v>56</v>
      </c>
      <c r="D924" s="1" t="s">
        <v>716</v>
      </c>
      <c r="E924">
        <v>38</v>
      </c>
      <c r="F924" s="1">
        <v>5</v>
      </c>
      <c r="G924" s="1">
        <v>0.2</v>
      </c>
      <c r="H924" s="2">
        <v>34922</v>
      </c>
    </row>
    <row r="925" spans="1:8" x14ac:dyDescent="0.4">
      <c r="A925" s="1" t="s">
        <v>654</v>
      </c>
      <c r="B925" s="1">
        <v>10596</v>
      </c>
      <c r="C925" s="1">
        <v>63</v>
      </c>
      <c r="D925" s="1" t="s">
        <v>729</v>
      </c>
      <c r="E925">
        <v>43.9</v>
      </c>
      <c r="F925" s="1">
        <v>24</v>
      </c>
      <c r="G925" s="1">
        <v>0.2</v>
      </c>
      <c r="H925" s="2">
        <v>34922</v>
      </c>
    </row>
    <row r="926" spans="1:8" x14ac:dyDescent="0.4">
      <c r="A926" s="1" t="s">
        <v>654</v>
      </c>
      <c r="B926" s="1">
        <v>10596</v>
      </c>
      <c r="C926" s="1">
        <v>75</v>
      </c>
      <c r="D926" s="1" t="s">
        <v>731</v>
      </c>
      <c r="E926">
        <v>7.75</v>
      </c>
      <c r="F926" s="1">
        <v>30</v>
      </c>
      <c r="G926" s="1">
        <v>0.2</v>
      </c>
      <c r="H926" s="2">
        <v>34922</v>
      </c>
    </row>
    <row r="927" spans="1:8" x14ac:dyDescent="0.4">
      <c r="A927" s="1" t="s">
        <v>450</v>
      </c>
      <c r="B927" s="1">
        <v>10597</v>
      </c>
      <c r="C927" s="1">
        <v>24</v>
      </c>
      <c r="D927" s="1" t="s">
        <v>698</v>
      </c>
      <c r="E927">
        <v>4.5</v>
      </c>
      <c r="F927" s="1">
        <v>35</v>
      </c>
      <c r="G927" s="1">
        <v>0.2</v>
      </c>
      <c r="H927" s="2">
        <v>34922</v>
      </c>
    </row>
    <row r="928" spans="1:8" x14ac:dyDescent="0.4">
      <c r="A928" s="1" t="s">
        <v>450</v>
      </c>
      <c r="B928" s="1">
        <v>10597</v>
      </c>
      <c r="C928" s="1">
        <v>57</v>
      </c>
      <c r="D928" s="1" t="s">
        <v>691</v>
      </c>
      <c r="E928">
        <v>19.5</v>
      </c>
      <c r="F928" s="1">
        <v>20</v>
      </c>
      <c r="G928" s="1">
        <v>0</v>
      </c>
      <c r="H928" s="2">
        <v>34922</v>
      </c>
    </row>
    <row r="929" spans="1:8" x14ac:dyDescent="0.4">
      <c r="A929" s="1" t="s">
        <v>450</v>
      </c>
      <c r="B929" s="1">
        <v>10597</v>
      </c>
      <c r="C929" s="1">
        <v>65</v>
      </c>
      <c r="D929" s="1" t="s">
        <v>689</v>
      </c>
      <c r="E929">
        <v>21.05</v>
      </c>
      <c r="F929" s="1">
        <v>12</v>
      </c>
      <c r="G929" s="1">
        <v>0.2</v>
      </c>
      <c r="H929" s="2">
        <v>34922</v>
      </c>
    </row>
    <row r="930" spans="1:8" x14ac:dyDescent="0.4">
      <c r="A930" s="1" t="s">
        <v>487</v>
      </c>
      <c r="B930" s="1">
        <v>10598</v>
      </c>
      <c r="C930" s="1">
        <v>27</v>
      </c>
      <c r="D930" s="1" t="s">
        <v>707</v>
      </c>
      <c r="E930">
        <v>43.9</v>
      </c>
      <c r="F930" s="1">
        <v>50</v>
      </c>
      <c r="G930" s="1">
        <v>0</v>
      </c>
      <c r="H930" s="2">
        <v>34925</v>
      </c>
    </row>
    <row r="931" spans="1:8" x14ac:dyDescent="0.4">
      <c r="A931" s="1" t="s">
        <v>487</v>
      </c>
      <c r="B931" s="1">
        <v>10598</v>
      </c>
      <c r="C931" s="1">
        <v>71</v>
      </c>
      <c r="D931" s="1" t="s">
        <v>725</v>
      </c>
      <c r="E931">
        <v>21.5</v>
      </c>
      <c r="F931" s="1">
        <v>9</v>
      </c>
      <c r="G931" s="1">
        <v>0</v>
      </c>
      <c r="H931" s="2">
        <v>34925</v>
      </c>
    </row>
    <row r="932" spans="1:8" x14ac:dyDescent="0.4">
      <c r="A932" s="1" t="s">
        <v>95</v>
      </c>
      <c r="B932" s="1">
        <v>10599</v>
      </c>
      <c r="C932" s="1">
        <v>62</v>
      </c>
      <c r="D932" s="1" t="s">
        <v>712</v>
      </c>
      <c r="E932">
        <v>49.3</v>
      </c>
      <c r="F932" s="1">
        <v>10</v>
      </c>
      <c r="G932" s="1">
        <v>0</v>
      </c>
      <c r="H932" s="2">
        <v>34926</v>
      </c>
    </row>
    <row r="933" spans="1:8" x14ac:dyDescent="0.4">
      <c r="A933" s="1" t="s">
        <v>281</v>
      </c>
      <c r="B933" s="1">
        <v>10600</v>
      </c>
      <c r="C933" s="1">
        <v>54</v>
      </c>
      <c r="D933" s="1" t="s">
        <v>738</v>
      </c>
      <c r="E933">
        <v>7.45</v>
      </c>
      <c r="F933" s="1">
        <v>4</v>
      </c>
      <c r="G933" s="1">
        <v>0</v>
      </c>
      <c r="H933" s="2">
        <v>34927</v>
      </c>
    </row>
    <row r="934" spans="1:8" x14ac:dyDescent="0.4">
      <c r="A934" s="1" t="s">
        <v>281</v>
      </c>
      <c r="B934" s="1">
        <v>10600</v>
      </c>
      <c r="C934" s="1">
        <v>73</v>
      </c>
      <c r="D934" s="1" t="s">
        <v>730</v>
      </c>
      <c r="E934">
        <v>15</v>
      </c>
      <c r="F934" s="1">
        <v>30</v>
      </c>
      <c r="G934" s="1">
        <v>0</v>
      </c>
      <c r="H934" s="2">
        <v>34927</v>
      </c>
    </row>
    <row r="935" spans="1:8" x14ac:dyDescent="0.4">
      <c r="A935" s="1" t="s">
        <v>273</v>
      </c>
      <c r="B935" s="1">
        <v>10601</v>
      </c>
      <c r="C935" s="1">
        <v>13</v>
      </c>
      <c r="D935" s="1" t="s">
        <v>726</v>
      </c>
      <c r="E935">
        <v>6</v>
      </c>
      <c r="F935" s="1">
        <v>60</v>
      </c>
      <c r="G935" s="1">
        <v>0</v>
      </c>
      <c r="H935" s="2">
        <v>34927</v>
      </c>
    </row>
    <row r="936" spans="1:8" x14ac:dyDescent="0.4">
      <c r="A936" s="1" t="s">
        <v>273</v>
      </c>
      <c r="B936" s="1">
        <v>10601</v>
      </c>
      <c r="C936" s="1">
        <v>59</v>
      </c>
      <c r="D936" s="1" t="s">
        <v>704</v>
      </c>
      <c r="E936">
        <v>55</v>
      </c>
      <c r="F936" s="1">
        <v>35</v>
      </c>
      <c r="G936" s="1">
        <v>0</v>
      </c>
      <c r="H936" s="2">
        <v>34927</v>
      </c>
    </row>
    <row r="937" spans="1:8" x14ac:dyDescent="0.4">
      <c r="A937" s="1" t="s">
        <v>612</v>
      </c>
      <c r="B937" s="1">
        <v>10602</v>
      </c>
      <c r="C937" s="1">
        <v>77</v>
      </c>
      <c r="D937" s="1" t="s">
        <v>706</v>
      </c>
      <c r="E937">
        <v>13</v>
      </c>
      <c r="F937" s="1">
        <v>5</v>
      </c>
      <c r="G937" s="1">
        <v>0.25</v>
      </c>
      <c r="H937" s="2">
        <v>34928</v>
      </c>
    </row>
    <row r="938" spans="1:8" x14ac:dyDescent="0.4">
      <c r="A938" s="1" t="s">
        <v>529</v>
      </c>
      <c r="B938" s="1">
        <v>10603</v>
      </c>
      <c r="C938" s="1">
        <v>22</v>
      </c>
      <c r="D938" s="1" t="s">
        <v>690</v>
      </c>
      <c r="E938">
        <v>21</v>
      </c>
      <c r="F938" s="1">
        <v>48</v>
      </c>
      <c r="G938" s="1">
        <v>0</v>
      </c>
      <c r="H938" s="2">
        <v>34929</v>
      </c>
    </row>
    <row r="939" spans="1:8" x14ac:dyDescent="0.4">
      <c r="A939" s="1" t="s">
        <v>529</v>
      </c>
      <c r="B939" s="1">
        <v>10603</v>
      </c>
      <c r="C939" s="1">
        <v>49</v>
      </c>
      <c r="D939" s="1" t="s">
        <v>697</v>
      </c>
      <c r="E939">
        <v>20</v>
      </c>
      <c r="F939" s="1">
        <v>25</v>
      </c>
      <c r="G939" s="1">
        <v>0.05</v>
      </c>
      <c r="H939" s="2">
        <v>34929</v>
      </c>
    </row>
    <row r="940" spans="1:8" x14ac:dyDescent="0.4">
      <c r="A940" s="1" t="s">
        <v>219</v>
      </c>
      <c r="B940" s="1">
        <v>10604</v>
      </c>
      <c r="C940" s="1">
        <v>48</v>
      </c>
      <c r="D940" s="1" t="s">
        <v>757</v>
      </c>
      <c r="E940">
        <v>12.75</v>
      </c>
      <c r="F940" s="1">
        <v>6</v>
      </c>
      <c r="G940" s="1">
        <v>0.1</v>
      </c>
      <c r="H940" s="2">
        <v>34929</v>
      </c>
    </row>
    <row r="941" spans="1:8" x14ac:dyDescent="0.4">
      <c r="A941" s="1" t="s">
        <v>219</v>
      </c>
      <c r="B941" s="1">
        <v>10604</v>
      </c>
      <c r="C941" s="1">
        <v>76</v>
      </c>
      <c r="D941" s="1" t="s">
        <v>721</v>
      </c>
      <c r="E941">
        <v>18</v>
      </c>
      <c r="F941" s="1">
        <v>10</v>
      </c>
      <c r="G941" s="1">
        <v>0.1</v>
      </c>
      <c r="H941" s="2">
        <v>34929</v>
      </c>
    </row>
    <row r="942" spans="1:8" x14ac:dyDescent="0.4">
      <c r="A942" s="1" t="s">
        <v>394</v>
      </c>
      <c r="B942" s="1">
        <v>10605</v>
      </c>
      <c r="C942" s="1">
        <v>16</v>
      </c>
      <c r="D942" s="1" t="s">
        <v>702</v>
      </c>
      <c r="E942">
        <v>17.45</v>
      </c>
      <c r="F942" s="1">
        <v>30</v>
      </c>
      <c r="G942" s="1">
        <v>0.05</v>
      </c>
      <c r="H942" s="2">
        <v>34932</v>
      </c>
    </row>
    <row r="943" spans="1:8" x14ac:dyDescent="0.4">
      <c r="A943" s="1" t="s">
        <v>394</v>
      </c>
      <c r="B943" s="1">
        <v>10605</v>
      </c>
      <c r="C943" s="1">
        <v>59</v>
      </c>
      <c r="D943" s="1" t="s">
        <v>704</v>
      </c>
      <c r="E943">
        <v>55</v>
      </c>
      <c r="F943" s="1">
        <v>20</v>
      </c>
      <c r="G943" s="1">
        <v>0.05</v>
      </c>
      <c r="H943" s="2">
        <v>34932</v>
      </c>
    </row>
    <row r="944" spans="1:8" x14ac:dyDescent="0.4">
      <c r="A944" s="1" t="s">
        <v>394</v>
      </c>
      <c r="B944" s="1">
        <v>10605</v>
      </c>
      <c r="C944" s="1">
        <v>60</v>
      </c>
      <c r="D944" s="1" t="s">
        <v>694</v>
      </c>
      <c r="E944">
        <v>34</v>
      </c>
      <c r="F944" s="1">
        <v>70</v>
      </c>
      <c r="G944" s="1">
        <v>0.05</v>
      </c>
      <c r="H944" s="2">
        <v>34932</v>
      </c>
    </row>
    <row r="945" spans="1:8" x14ac:dyDescent="0.4">
      <c r="A945" s="1" t="s">
        <v>394</v>
      </c>
      <c r="B945" s="1">
        <v>10605</v>
      </c>
      <c r="C945" s="1">
        <v>71</v>
      </c>
      <c r="D945" s="1" t="s">
        <v>725</v>
      </c>
      <c r="E945">
        <v>21.5</v>
      </c>
      <c r="F945" s="1">
        <v>15</v>
      </c>
      <c r="G945" s="1">
        <v>0.05</v>
      </c>
      <c r="H945" s="2">
        <v>34932</v>
      </c>
    </row>
    <row r="946" spans="1:8" x14ac:dyDescent="0.4">
      <c r="A946" s="1" t="s">
        <v>598</v>
      </c>
      <c r="B946" s="1">
        <v>10606</v>
      </c>
      <c r="C946" s="1">
        <v>4</v>
      </c>
      <c r="D946" s="1" t="s">
        <v>745</v>
      </c>
      <c r="E946">
        <v>22</v>
      </c>
      <c r="F946" s="1">
        <v>20</v>
      </c>
      <c r="G946" s="1">
        <v>0.2</v>
      </c>
      <c r="H946" s="2">
        <v>34933</v>
      </c>
    </row>
    <row r="947" spans="1:8" x14ac:dyDescent="0.4">
      <c r="A947" s="1" t="s">
        <v>598</v>
      </c>
      <c r="B947" s="1">
        <v>10606</v>
      </c>
      <c r="C947" s="1">
        <v>55</v>
      </c>
      <c r="D947" s="1" t="s">
        <v>699</v>
      </c>
      <c r="E947">
        <v>24</v>
      </c>
      <c r="F947" s="1">
        <v>20</v>
      </c>
      <c r="G947" s="1">
        <v>0.2</v>
      </c>
      <c r="H947" s="2">
        <v>34933</v>
      </c>
    </row>
    <row r="948" spans="1:8" x14ac:dyDescent="0.4">
      <c r="A948" s="1" t="s">
        <v>598</v>
      </c>
      <c r="B948" s="1">
        <v>10606</v>
      </c>
      <c r="C948" s="1">
        <v>62</v>
      </c>
      <c r="D948" s="1" t="s">
        <v>712</v>
      </c>
      <c r="E948">
        <v>49.3</v>
      </c>
      <c r="F948" s="1">
        <v>10</v>
      </c>
      <c r="G948" s="1">
        <v>0.2</v>
      </c>
      <c r="H948" s="2">
        <v>34933</v>
      </c>
    </row>
    <row r="949" spans="1:8" x14ac:dyDescent="0.4">
      <c r="A949" s="1" t="s">
        <v>529</v>
      </c>
      <c r="B949" s="1">
        <v>10607</v>
      </c>
      <c r="C949" s="1">
        <v>7</v>
      </c>
      <c r="D949" s="1" t="s">
        <v>715</v>
      </c>
      <c r="E949">
        <v>30</v>
      </c>
      <c r="F949" s="1">
        <v>45</v>
      </c>
      <c r="G949" s="1">
        <v>0</v>
      </c>
      <c r="H949" s="2">
        <v>34933</v>
      </c>
    </row>
    <row r="950" spans="1:8" x14ac:dyDescent="0.4">
      <c r="A950" s="1" t="s">
        <v>529</v>
      </c>
      <c r="B950" s="1">
        <v>10607</v>
      </c>
      <c r="C950" s="1">
        <v>17</v>
      </c>
      <c r="D950" s="1" t="s">
        <v>718</v>
      </c>
      <c r="E950">
        <v>39</v>
      </c>
      <c r="F950" s="1">
        <v>100</v>
      </c>
      <c r="G950" s="1">
        <v>0</v>
      </c>
      <c r="H950" s="2">
        <v>34933</v>
      </c>
    </row>
    <row r="951" spans="1:8" x14ac:dyDescent="0.4">
      <c r="A951" s="1" t="s">
        <v>529</v>
      </c>
      <c r="B951" s="1">
        <v>10607</v>
      </c>
      <c r="C951" s="1">
        <v>33</v>
      </c>
      <c r="D951" s="1" t="s">
        <v>693</v>
      </c>
      <c r="E951">
        <v>2.5</v>
      </c>
      <c r="F951" s="1">
        <v>14</v>
      </c>
      <c r="G951" s="1">
        <v>0</v>
      </c>
      <c r="H951" s="2">
        <v>34933</v>
      </c>
    </row>
    <row r="952" spans="1:8" x14ac:dyDescent="0.4">
      <c r="A952" s="1" t="s">
        <v>529</v>
      </c>
      <c r="B952" s="1">
        <v>10607</v>
      </c>
      <c r="C952" s="1">
        <v>40</v>
      </c>
      <c r="D952" s="1" t="s">
        <v>720</v>
      </c>
      <c r="E952">
        <v>18.399999999999999</v>
      </c>
      <c r="F952" s="1">
        <v>42</v>
      </c>
      <c r="G952" s="1">
        <v>0</v>
      </c>
      <c r="H952" s="2">
        <v>34933</v>
      </c>
    </row>
    <row r="953" spans="1:8" x14ac:dyDescent="0.4">
      <c r="A953" s="1" t="s">
        <v>529</v>
      </c>
      <c r="B953" s="1">
        <v>10607</v>
      </c>
      <c r="C953" s="1">
        <v>72</v>
      </c>
      <c r="D953" s="1" t="s">
        <v>685</v>
      </c>
      <c r="E953">
        <v>34.799999999999997</v>
      </c>
      <c r="F953" s="1">
        <v>12</v>
      </c>
      <c r="G953" s="1">
        <v>0</v>
      </c>
      <c r="H953" s="2">
        <v>34933</v>
      </c>
    </row>
    <row r="954" spans="1:8" x14ac:dyDescent="0.4">
      <c r="A954" s="1" t="s">
        <v>586</v>
      </c>
      <c r="B954" s="1">
        <v>10608</v>
      </c>
      <c r="C954" s="1">
        <v>56</v>
      </c>
      <c r="D954" s="1" t="s">
        <v>716</v>
      </c>
      <c r="E954">
        <v>38</v>
      </c>
      <c r="F954" s="1">
        <v>28</v>
      </c>
      <c r="G954" s="1">
        <v>0</v>
      </c>
      <c r="H954" s="2">
        <v>34934</v>
      </c>
    </row>
    <row r="955" spans="1:8" x14ac:dyDescent="0.4">
      <c r="A955" s="1" t="s">
        <v>147</v>
      </c>
      <c r="B955" s="1">
        <v>10609</v>
      </c>
      <c r="C955" s="1">
        <v>1</v>
      </c>
      <c r="D955" s="1" t="s">
        <v>735</v>
      </c>
      <c r="E955">
        <v>18</v>
      </c>
      <c r="F955" s="1">
        <v>3</v>
      </c>
      <c r="G955" s="1">
        <v>0</v>
      </c>
      <c r="H955" s="2">
        <v>34935</v>
      </c>
    </row>
    <row r="956" spans="1:8" x14ac:dyDescent="0.4">
      <c r="A956" s="1" t="s">
        <v>147</v>
      </c>
      <c r="B956" s="1">
        <v>10609</v>
      </c>
      <c r="C956" s="1">
        <v>10</v>
      </c>
      <c r="D956" s="1" t="s">
        <v>724</v>
      </c>
      <c r="E956">
        <v>31</v>
      </c>
      <c r="F956" s="1">
        <v>10</v>
      </c>
      <c r="G956" s="1">
        <v>0</v>
      </c>
      <c r="H956" s="2">
        <v>34935</v>
      </c>
    </row>
    <row r="957" spans="1:8" x14ac:dyDescent="0.4">
      <c r="A957" s="1" t="s">
        <v>147</v>
      </c>
      <c r="B957" s="1">
        <v>10609</v>
      </c>
      <c r="C957" s="1">
        <v>21</v>
      </c>
      <c r="D957" s="1" t="s">
        <v>710</v>
      </c>
      <c r="E957">
        <v>10</v>
      </c>
      <c r="F957" s="1">
        <v>6</v>
      </c>
      <c r="G957" s="1">
        <v>0</v>
      </c>
      <c r="H957" s="2">
        <v>34935</v>
      </c>
    </row>
    <row r="958" spans="1:8" x14ac:dyDescent="0.4">
      <c r="A958" s="1" t="s">
        <v>318</v>
      </c>
      <c r="B958" s="1">
        <v>10610</v>
      </c>
      <c r="C958" s="1">
        <v>36</v>
      </c>
      <c r="D958" s="1" t="s">
        <v>703</v>
      </c>
      <c r="E958">
        <v>19</v>
      </c>
      <c r="F958" s="1">
        <v>21</v>
      </c>
      <c r="G958" s="1">
        <v>0.25</v>
      </c>
      <c r="H958" s="2">
        <v>34936</v>
      </c>
    </row>
    <row r="959" spans="1:8" x14ac:dyDescent="0.4">
      <c r="A959" s="1" t="s">
        <v>668</v>
      </c>
      <c r="B959" s="1">
        <v>10611</v>
      </c>
      <c r="C959" s="1">
        <v>1</v>
      </c>
      <c r="D959" s="1" t="s">
        <v>735</v>
      </c>
      <c r="E959">
        <v>18</v>
      </c>
      <c r="F959" s="1">
        <v>6</v>
      </c>
      <c r="G959" s="1">
        <v>0</v>
      </c>
      <c r="H959" s="2">
        <v>34936</v>
      </c>
    </row>
    <row r="960" spans="1:8" x14ac:dyDescent="0.4">
      <c r="A960" s="1" t="s">
        <v>668</v>
      </c>
      <c r="B960" s="1">
        <v>10611</v>
      </c>
      <c r="C960" s="1">
        <v>2</v>
      </c>
      <c r="D960" s="1" t="s">
        <v>701</v>
      </c>
      <c r="E960">
        <v>19</v>
      </c>
      <c r="F960" s="1">
        <v>10</v>
      </c>
      <c r="G960" s="1">
        <v>0</v>
      </c>
      <c r="H960" s="2">
        <v>34936</v>
      </c>
    </row>
    <row r="961" spans="1:8" x14ac:dyDescent="0.4">
      <c r="A961" s="1" t="s">
        <v>668</v>
      </c>
      <c r="B961" s="1">
        <v>10611</v>
      </c>
      <c r="C961" s="1">
        <v>60</v>
      </c>
      <c r="D961" s="1" t="s">
        <v>694</v>
      </c>
      <c r="E961">
        <v>34</v>
      </c>
      <c r="F961" s="1">
        <v>15</v>
      </c>
      <c r="G961" s="1">
        <v>0</v>
      </c>
      <c r="H961" s="2">
        <v>34936</v>
      </c>
    </row>
    <row r="962" spans="1:8" x14ac:dyDescent="0.4">
      <c r="A962" s="1" t="s">
        <v>529</v>
      </c>
      <c r="B962" s="1">
        <v>10612</v>
      </c>
      <c r="C962" s="1">
        <v>10</v>
      </c>
      <c r="D962" s="1" t="s">
        <v>724</v>
      </c>
      <c r="E962">
        <v>31</v>
      </c>
      <c r="F962" s="1">
        <v>70</v>
      </c>
      <c r="G962" s="1">
        <v>0</v>
      </c>
      <c r="H962" s="2">
        <v>34939</v>
      </c>
    </row>
    <row r="963" spans="1:8" x14ac:dyDescent="0.4">
      <c r="A963" s="1" t="s">
        <v>529</v>
      </c>
      <c r="B963" s="1">
        <v>10612</v>
      </c>
      <c r="C963" s="1">
        <v>36</v>
      </c>
      <c r="D963" s="1" t="s">
        <v>703</v>
      </c>
      <c r="E963">
        <v>19</v>
      </c>
      <c r="F963" s="1">
        <v>55</v>
      </c>
      <c r="G963" s="1">
        <v>0</v>
      </c>
      <c r="H963" s="2">
        <v>34939</v>
      </c>
    </row>
    <row r="964" spans="1:8" x14ac:dyDescent="0.4">
      <c r="A964" s="1" t="s">
        <v>529</v>
      </c>
      <c r="B964" s="1">
        <v>10612</v>
      </c>
      <c r="C964" s="1">
        <v>49</v>
      </c>
      <c r="D964" s="1" t="s">
        <v>697</v>
      </c>
      <c r="E964">
        <v>20</v>
      </c>
      <c r="F964" s="1">
        <v>18</v>
      </c>
      <c r="G964" s="1">
        <v>0</v>
      </c>
      <c r="H964" s="2">
        <v>34939</v>
      </c>
    </row>
    <row r="965" spans="1:8" x14ac:dyDescent="0.4">
      <c r="A965" s="1" t="s">
        <v>529</v>
      </c>
      <c r="B965" s="1">
        <v>10612</v>
      </c>
      <c r="C965" s="1">
        <v>60</v>
      </c>
      <c r="D965" s="1" t="s">
        <v>694</v>
      </c>
      <c r="E965">
        <v>34</v>
      </c>
      <c r="F965" s="1">
        <v>40</v>
      </c>
      <c r="G965" s="1">
        <v>0</v>
      </c>
      <c r="H965" s="2">
        <v>34939</v>
      </c>
    </row>
    <row r="966" spans="1:8" x14ac:dyDescent="0.4">
      <c r="A966" s="1" t="s">
        <v>529</v>
      </c>
      <c r="B966" s="1">
        <v>10612</v>
      </c>
      <c r="C966" s="1">
        <v>76</v>
      </c>
      <c r="D966" s="1" t="s">
        <v>721</v>
      </c>
      <c r="E966">
        <v>18</v>
      </c>
      <c r="F966" s="1">
        <v>80</v>
      </c>
      <c r="G966" s="1">
        <v>0</v>
      </c>
      <c r="H966" s="2">
        <v>34939</v>
      </c>
    </row>
    <row r="967" spans="1:8" x14ac:dyDescent="0.4">
      <c r="A967" s="1" t="s">
        <v>273</v>
      </c>
      <c r="B967" s="1">
        <v>10613</v>
      </c>
      <c r="C967" s="1">
        <v>13</v>
      </c>
      <c r="D967" s="1" t="s">
        <v>726</v>
      </c>
      <c r="E967">
        <v>6</v>
      </c>
      <c r="F967" s="1">
        <v>8</v>
      </c>
      <c r="G967" s="1">
        <v>0.1</v>
      </c>
      <c r="H967" s="2">
        <v>34940</v>
      </c>
    </row>
    <row r="968" spans="1:8" x14ac:dyDescent="0.4">
      <c r="A968" s="1" t="s">
        <v>273</v>
      </c>
      <c r="B968" s="1">
        <v>10613</v>
      </c>
      <c r="C968" s="1">
        <v>75</v>
      </c>
      <c r="D968" s="1" t="s">
        <v>731</v>
      </c>
      <c r="E968">
        <v>7.75</v>
      </c>
      <c r="F968" s="1">
        <v>40</v>
      </c>
      <c r="G968" s="1">
        <v>0</v>
      </c>
      <c r="H968" s="2">
        <v>34940</v>
      </c>
    </row>
    <row r="969" spans="1:8" x14ac:dyDescent="0.4">
      <c r="A969" s="1" t="s">
        <v>53</v>
      </c>
      <c r="B969" s="1">
        <v>10614</v>
      </c>
      <c r="C969" s="1">
        <v>11</v>
      </c>
      <c r="D969" s="1" t="s">
        <v>683</v>
      </c>
      <c r="E969">
        <v>21</v>
      </c>
      <c r="F969" s="1">
        <v>14</v>
      </c>
      <c r="G969" s="1">
        <v>0</v>
      </c>
      <c r="H969" s="2">
        <v>34940</v>
      </c>
    </row>
    <row r="970" spans="1:8" x14ac:dyDescent="0.4">
      <c r="A970" s="1" t="s">
        <v>53</v>
      </c>
      <c r="B970" s="1">
        <v>10614</v>
      </c>
      <c r="C970" s="1">
        <v>21</v>
      </c>
      <c r="D970" s="1" t="s">
        <v>710</v>
      </c>
      <c r="E970">
        <v>10</v>
      </c>
      <c r="F970" s="1">
        <v>8</v>
      </c>
      <c r="G970" s="1">
        <v>0</v>
      </c>
      <c r="H970" s="2">
        <v>34940</v>
      </c>
    </row>
    <row r="971" spans="1:8" x14ac:dyDescent="0.4">
      <c r="A971" s="1" t="s">
        <v>53</v>
      </c>
      <c r="B971" s="1">
        <v>10614</v>
      </c>
      <c r="C971" s="1">
        <v>39</v>
      </c>
      <c r="D971" s="1" t="s">
        <v>696</v>
      </c>
      <c r="E971">
        <v>18</v>
      </c>
      <c r="F971" s="1">
        <v>5</v>
      </c>
      <c r="G971" s="1">
        <v>0</v>
      </c>
      <c r="H971" s="2">
        <v>34940</v>
      </c>
    </row>
    <row r="972" spans="1:8" x14ac:dyDescent="0.4">
      <c r="A972" s="1" t="s">
        <v>661</v>
      </c>
      <c r="B972" s="1">
        <v>10615</v>
      </c>
      <c r="C972" s="1">
        <v>55</v>
      </c>
      <c r="D972" s="1" t="s">
        <v>699</v>
      </c>
      <c r="E972">
        <v>24</v>
      </c>
      <c r="F972" s="1">
        <v>5</v>
      </c>
      <c r="G972" s="1">
        <v>0</v>
      </c>
      <c r="H972" s="2">
        <v>34941</v>
      </c>
    </row>
    <row r="973" spans="1:8" x14ac:dyDescent="0.4">
      <c r="A973" s="1" t="s">
        <v>247</v>
      </c>
      <c r="B973" s="1">
        <v>10616</v>
      </c>
      <c r="C973" s="1">
        <v>38</v>
      </c>
      <c r="D973" s="1" t="s">
        <v>750</v>
      </c>
      <c r="E973">
        <v>263.5</v>
      </c>
      <c r="F973" s="1">
        <v>15</v>
      </c>
      <c r="G973" s="1">
        <v>0.05</v>
      </c>
      <c r="H973" s="2">
        <v>34942</v>
      </c>
    </row>
    <row r="974" spans="1:8" x14ac:dyDescent="0.4">
      <c r="A974" s="1" t="s">
        <v>247</v>
      </c>
      <c r="B974" s="1">
        <v>10616</v>
      </c>
      <c r="C974" s="1">
        <v>56</v>
      </c>
      <c r="D974" s="1" t="s">
        <v>716</v>
      </c>
      <c r="E974">
        <v>38</v>
      </c>
      <c r="F974" s="1">
        <v>14</v>
      </c>
      <c r="G974" s="1">
        <v>0</v>
      </c>
      <c r="H974" s="2">
        <v>34942</v>
      </c>
    </row>
    <row r="975" spans="1:8" x14ac:dyDescent="0.4">
      <c r="A975" s="1" t="s">
        <v>247</v>
      </c>
      <c r="B975" s="1">
        <v>10616</v>
      </c>
      <c r="C975" s="1">
        <v>70</v>
      </c>
      <c r="D975" s="1" t="s">
        <v>713</v>
      </c>
      <c r="E975">
        <v>15</v>
      </c>
      <c r="F975" s="1">
        <v>15</v>
      </c>
      <c r="G975" s="1">
        <v>0.05</v>
      </c>
      <c r="H975" s="2">
        <v>34942</v>
      </c>
    </row>
    <row r="976" spans="1:8" x14ac:dyDescent="0.4">
      <c r="A976" s="1" t="s">
        <v>247</v>
      </c>
      <c r="B976" s="1">
        <v>10616</v>
      </c>
      <c r="C976" s="1">
        <v>71</v>
      </c>
      <c r="D976" s="1" t="s">
        <v>725</v>
      </c>
      <c r="E976">
        <v>21.5</v>
      </c>
      <c r="F976" s="1">
        <v>15</v>
      </c>
      <c r="G976" s="1">
        <v>0.05</v>
      </c>
      <c r="H976" s="2">
        <v>34942</v>
      </c>
    </row>
    <row r="977" spans="1:8" x14ac:dyDescent="0.4">
      <c r="A977" s="1" t="s">
        <v>247</v>
      </c>
      <c r="B977" s="1">
        <v>10617</v>
      </c>
      <c r="C977" s="1">
        <v>59</v>
      </c>
      <c r="D977" s="1" t="s">
        <v>704</v>
      </c>
      <c r="E977">
        <v>55</v>
      </c>
      <c r="F977" s="1">
        <v>30</v>
      </c>
      <c r="G977" s="1">
        <v>0.15</v>
      </c>
      <c r="H977" s="2">
        <v>34942</v>
      </c>
    </row>
    <row r="978" spans="1:8" x14ac:dyDescent="0.4">
      <c r="A978" s="1" t="s">
        <v>394</v>
      </c>
      <c r="B978" s="1">
        <v>10618</v>
      </c>
      <c r="C978" s="1">
        <v>6</v>
      </c>
      <c r="D978" s="1" t="s">
        <v>746</v>
      </c>
      <c r="E978">
        <v>25</v>
      </c>
      <c r="F978" s="1">
        <v>70</v>
      </c>
      <c r="G978" s="1">
        <v>0</v>
      </c>
      <c r="H978" s="2">
        <v>34943</v>
      </c>
    </row>
    <row r="979" spans="1:8" x14ac:dyDescent="0.4">
      <c r="A979" s="1" t="s">
        <v>394</v>
      </c>
      <c r="B979" s="1">
        <v>10618</v>
      </c>
      <c r="C979" s="1">
        <v>56</v>
      </c>
      <c r="D979" s="1" t="s">
        <v>716</v>
      </c>
      <c r="E979">
        <v>38</v>
      </c>
      <c r="F979" s="1">
        <v>20</v>
      </c>
      <c r="G979" s="1">
        <v>0</v>
      </c>
      <c r="H979" s="2">
        <v>34943</v>
      </c>
    </row>
    <row r="980" spans="1:8" x14ac:dyDescent="0.4">
      <c r="A980" s="1" t="s">
        <v>394</v>
      </c>
      <c r="B980" s="1">
        <v>10618</v>
      </c>
      <c r="C980" s="1">
        <v>68</v>
      </c>
      <c r="D980" s="1" t="s">
        <v>739</v>
      </c>
      <c r="E980">
        <v>12.5</v>
      </c>
      <c r="F980" s="1">
        <v>15</v>
      </c>
      <c r="G980" s="1">
        <v>0</v>
      </c>
      <c r="H980" s="2">
        <v>34943</v>
      </c>
    </row>
    <row r="981" spans="1:8" x14ac:dyDescent="0.4">
      <c r="A981" s="1" t="s">
        <v>394</v>
      </c>
      <c r="B981" s="1">
        <v>10619</v>
      </c>
      <c r="C981" s="1">
        <v>21</v>
      </c>
      <c r="D981" s="1" t="s">
        <v>710</v>
      </c>
      <c r="E981">
        <v>10</v>
      </c>
      <c r="F981" s="1">
        <v>42</v>
      </c>
      <c r="G981" s="1">
        <v>0</v>
      </c>
      <c r="H981" s="2">
        <v>34946</v>
      </c>
    </row>
    <row r="982" spans="1:8" x14ac:dyDescent="0.4">
      <c r="A982" s="1" t="s">
        <v>394</v>
      </c>
      <c r="B982" s="1">
        <v>10619</v>
      </c>
      <c r="C982" s="1">
        <v>22</v>
      </c>
      <c r="D982" s="1" t="s">
        <v>690</v>
      </c>
      <c r="E982">
        <v>21</v>
      </c>
      <c r="F982" s="1">
        <v>40</v>
      </c>
      <c r="G982" s="1">
        <v>0</v>
      </c>
      <c r="H982" s="2">
        <v>34946</v>
      </c>
    </row>
    <row r="983" spans="1:8" x14ac:dyDescent="0.4">
      <c r="A983" s="1" t="s">
        <v>325</v>
      </c>
      <c r="B983" s="1">
        <v>10620</v>
      </c>
      <c r="C983" s="1">
        <v>24</v>
      </c>
      <c r="D983" s="1" t="s">
        <v>698</v>
      </c>
      <c r="E983">
        <v>4.5</v>
      </c>
      <c r="F983" s="1">
        <v>5</v>
      </c>
      <c r="G983" s="1">
        <v>0</v>
      </c>
      <c r="H983" s="2">
        <v>34947</v>
      </c>
    </row>
    <row r="984" spans="1:8" x14ac:dyDescent="0.4">
      <c r="A984" s="1" t="s">
        <v>325</v>
      </c>
      <c r="B984" s="1">
        <v>10620</v>
      </c>
      <c r="C984" s="1">
        <v>52</v>
      </c>
      <c r="D984" s="1" t="s">
        <v>748</v>
      </c>
      <c r="E984">
        <v>7</v>
      </c>
      <c r="F984" s="1">
        <v>5</v>
      </c>
      <c r="G984" s="1">
        <v>0</v>
      </c>
      <c r="H984" s="2">
        <v>34947</v>
      </c>
    </row>
    <row r="985" spans="1:8" x14ac:dyDescent="0.4">
      <c r="A985" s="1" t="s">
        <v>297</v>
      </c>
      <c r="B985" s="1">
        <v>10621</v>
      </c>
      <c r="C985" s="1">
        <v>19</v>
      </c>
      <c r="D985" s="1" t="s">
        <v>732</v>
      </c>
      <c r="E985">
        <v>9.1999999999999993</v>
      </c>
      <c r="F985" s="1">
        <v>5</v>
      </c>
      <c r="G985" s="1">
        <v>0</v>
      </c>
      <c r="H985" s="2">
        <v>34947</v>
      </c>
    </row>
    <row r="986" spans="1:8" x14ac:dyDescent="0.4">
      <c r="A986" s="1" t="s">
        <v>297</v>
      </c>
      <c r="B986" s="1">
        <v>10621</v>
      </c>
      <c r="C986" s="1">
        <v>23</v>
      </c>
      <c r="D986" s="1" t="s">
        <v>753</v>
      </c>
      <c r="E986">
        <v>9</v>
      </c>
      <c r="F986" s="1">
        <v>10</v>
      </c>
      <c r="G986" s="1">
        <v>0</v>
      </c>
      <c r="H986" s="2">
        <v>34947</v>
      </c>
    </row>
    <row r="987" spans="1:8" x14ac:dyDescent="0.4">
      <c r="A987" s="1" t="s">
        <v>297</v>
      </c>
      <c r="B987" s="1">
        <v>10621</v>
      </c>
      <c r="C987" s="1">
        <v>70</v>
      </c>
      <c r="D987" s="1" t="s">
        <v>713</v>
      </c>
      <c r="E987">
        <v>15</v>
      </c>
      <c r="F987" s="1">
        <v>20</v>
      </c>
      <c r="G987" s="1">
        <v>0</v>
      </c>
      <c r="H987" s="2">
        <v>34947</v>
      </c>
    </row>
    <row r="988" spans="1:8" x14ac:dyDescent="0.4">
      <c r="A988" s="1" t="s">
        <v>297</v>
      </c>
      <c r="B988" s="1">
        <v>10621</v>
      </c>
      <c r="C988" s="1">
        <v>71</v>
      </c>
      <c r="D988" s="1" t="s">
        <v>725</v>
      </c>
      <c r="E988">
        <v>21.5</v>
      </c>
      <c r="F988" s="1">
        <v>15</v>
      </c>
      <c r="G988" s="1">
        <v>0</v>
      </c>
      <c r="H988" s="2">
        <v>34947</v>
      </c>
    </row>
    <row r="989" spans="1:8" x14ac:dyDescent="0.4">
      <c r="A989" s="1" t="s">
        <v>503</v>
      </c>
      <c r="B989" s="1">
        <v>10622</v>
      </c>
      <c r="C989" s="1">
        <v>2</v>
      </c>
      <c r="D989" s="1" t="s">
        <v>701</v>
      </c>
      <c r="E989">
        <v>19</v>
      </c>
      <c r="F989" s="1">
        <v>20</v>
      </c>
      <c r="G989" s="1">
        <v>0</v>
      </c>
      <c r="H989" s="2">
        <v>34948</v>
      </c>
    </row>
    <row r="990" spans="1:8" x14ac:dyDescent="0.4">
      <c r="A990" s="1" t="s">
        <v>503</v>
      </c>
      <c r="B990" s="1">
        <v>10622</v>
      </c>
      <c r="C990" s="1">
        <v>68</v>
      </c>
      <c r="D990" s="1" t="s">
        <v>739</v>
      </c>
      <c r="E990">
        <v>12.5</v>
      </c>
      <c r="F990" s="1">
        <v>18</v>
      </c>
      <c r="G990" s="1">
        <v>0.2</v>
      </c>
      <c r="H990" s="2">
        <v>34948</v>
      </c>
    </row>
    <row r="991" spans="1:8" x14ac:dyDescent="0.4">
      <c r="A991" s="1" t="s">
        <v>198</v>
      </c>
      <c r="B991" s="1">
        <v>10623</v>
      </c>
      <c r="C991" s="1">
        <v>14</v>
      </c>
      <c r="D991" s="1" t="s">
        <v>686</v>
      </c>
      <c r="E991">
        <v>23.25</v>
      </c>
      <c r="F991" s="1">
        <v>21</v>
      </c>
      <c r="G991" s="1">
        <v>0</v>
      </c>
      <c r="H991" s="2">
        <v>34949</v>
      </c>
    </row>
    <row r="992" spans="1:8" x14ac:dyDescent="0.4">
      <c r="A992" s="1" t="s">
        <v>198</v>
      </c>
      <c r="B992" s="1">
        <v>10623</v>
      </c>
      <c r="C992" s="1">
        <v>19</v>
      </c>
      <c r="D992" s="1" t="s">
        <v>732</v>
      </c>
      <c r="E992">
        <v>9.1999999999999993</v>
      </c>
      <c r="F992" s="1">
        <v>15</v>
      </c>
      <c r="G992" s="1">
        <v>0.1</v>
      </c>
      <c r="H992" s="2">
        <v>34949</v>
      </c>
    </row>
    <row r="993" spans="1:8" x14ac:dyDescent="0.4">
      <c r="A993" s="1" t="s">
        <v>198</v>
      </c>
      <c r="B993" s="1">
        <v>10623</v>
      </c>
      <c r="C993" s="1">
        <v>21</v>
      </c>
      <c r="D993" s="1" t="s">
        <v>710</v>
      </c>
      <c r="E993">
        <v>10</v>
      </c>
      <c r="F993" s="1">
        <v>25</v>
      </c>
      <c r="G993" s="1">
        <v>0.1</v>
      </c>
      <c r="H993" s="2">
        <v>34949</v>
      </c>
    </row>
    <row r="994" spans="1:8" x14ac:dyDescent="0.4">
      <c r="A994" s="1" t="s">
        <v>198</v>
      </c>
      <c r="B994" s="1">
        <v>10623</v>
      </c>
      <c r="C994" s="1">
        <v>24</v>
      </c>
      <c r="D994" s="1" t="s">
        <v>698</v>
      </c>
      <c r="E994">
        <v>4.5</v>
      </c>
      <c r="F994" s="1">
        <v>3</v>
      </c>
      <c r="G994" s="1">
        <v>0</v>
      </c>
      <c r="H994" s="2">
        <v>34949</v>
      </c>
    </row>
    <row r="995" spans="1:8" x14ac:dyDescent="0.4">
      <c r="A995" s="1" t="s">
        <v>198</v>
      </c>
      <c r="B995" s="1">
        <v>10623</v>
      </c>
      <c r="C995" s="1">
        <v>35</v>
      </c>
      <c r="D995" s="1" t="s">
        <v>714</v>
      </c>
      <c r="E995">
        <v>18</v>
      </c>
      <c r="F995" s="1">
        <v>30</v>
      </c>
      <c r="G995" s="1">
        <v>0.1</v>
      </c>
      <c r="H995" s="2">
        <v>34949</v>
      </c>
    </row>
    <row r="996" spans="1:8" x14ac:dyDescent="0.4">
      <c r="A996" s="1" t="s">
        <v>578</v>
      </c>
      <c r="B996" s="1">
        <v>10624</v>
      </c>
      <c r="C996" s="1">
        <v>28</v>
      </c>
      <c r="D996" s="1" t="s">
        <v>727</v>
      </c>
      <c r="E996">
        <v>45.6</v>
      </c>
      <c r="F996" s="1">
        <v>10</v>
      </c>
      <c r="G996" s="1">
        <v>0</v>
      </c>
      <c r="H996" s="2">
        <v>34949</v>
      </c>
    </row>
    <row r="997" spans="1:8" x14ac:dyDescent="0.4">
      <c r="A997" s="1" t="s">
        <v>578</v>
      </c>
      <c r="B997" s="1">
        <v>10624</v>
      </c>
      <c r="C997" s="1">
        <v>29</v>
      </c>
      <c r="D997" s="1" t="s">
        <v>722</v>
      </c>
      <c r="E997">
        <v>123.79</v>
      </c>
      <c r="F997" s="1">
        <v>6</v>
      </c>
      <c r="G997" s="1">
        <v>0</v>
      </c>
      <c r="H997" s="2">
        <v>34949</v>
      </c>
    </row>
    <row r="998" spans="1:8" x14ac:dyDescent="0.4">
      <c r="A998" s="1" t="s">
        <v>578</v>
      </c>
      <c r="B998" s="1">
        <v>10624</v>
      </c>
      <c r="C998" s="1">
        <v>44</v>
      </c>
      <c r="D998" s="1" t="s">
        <v>728</v>
      </c>
      <c r="E998">
        <v>19.45</v>
      </c>
      <c r="F998" s="1">
        <v>10</v>
      </c>
      <c r="G998" s="1">
        <v>0</v>
      </c>
      <c r="H998" s="2">
        <v>34949</v>
      </c>
    </row>
    <row r="999" spans="1:8" x14ac:dyDescent="0.4">
      <c r="A999" s="1" t="s">
        <v>20</v>
      </c>
      <c r="B999" s="1">
        <v>10625</v>
      </c>
      <c r="C999" s="1">
        <v>14</v>
      </c>
      <c r="D999" s="1" t="s">
        <v>686</v>
      </c>
      <c r="E999">
        <v>23.25</v>
      </c>
      <c r="F999" s="1">
        <v>3</v>
      </c>
      <c r="G999" s="1">
        <v>0</v>
      </c>
      <c r="H999" s="2">
        <v>34950</v>
      </c>
    </row>
    <row r="1000" spans="1:8" x14ac:dyDescent="0.4">
      <c r="A1000" s="1" t="s">
        <v>20</v>
      </c>
      <c r="B1000" s="1">
        <v>10625</v>
      </c>
      <c r="C1000" s="1">
        <v>42</v>
      </c>
      <c r="D1000" s="1" t="s">
        <v>684</v>
      </c>
      <c r="E1000">
        <v>14</v>
      </c>
      <c r="F1000" s="1">
        <v>5</v>
      </c>
      <c r="G1000" s="1">
        <v>0</v>
      </c>
      <c r="H1000" s="2">
        <v>34950</v>
      </c>
    </row>
    <row r="1001" spans="1:8" x14ac:dyDescent="0.4">
      <c r="A1001" s="1" t="s">
        <v>20</v>
      </c>
      <c r="B1001" s="1">
        <v>10625</v>
      </c>
      <c r="C1001" s="1">
        <v>60</v>
      </c>
      <c r="D1001" s="1" t="s">
        <v>694</v>
      </c>
      <c r="E1001">
        <v>34</v>
      </c>
      <c r="F1001" s="1">
        <v>10</v>
      </c>
      <c r="G1001" s="1">
        <v>0</v>
      </c>
      <c r="H1001" s="2">
        <v>34950</v>
      </c>
    </row>
    <row r="1002" spans="1:8" x14ac:dyDescent="0.4">
      <c r="A1002" s="1" t="s">
        <v>43</v>
      </c>
      <c r="B1002" s="1">
        <v>10626</v>
      </c>
      <c r="C1002" s="1">
        <v>53</v>
      </c>
      <c r="D1002" s="1" t="s">
        <v>705</v>
      </c>
      <c r="E1002">
        <v>32.799999999999997</v>
      </c>
      <c r="F1002" s="1">
        <v>12</v>
      </c>
      <c r="G1002" s="1">
        <v>0</v>
      </c>
      <c r="H1002" s="2">
        <v>34953</v>
      </c>
    </row>
    <row r="1003" spans="1:8" x14ac:dyDescent="0.4">
      <c r="A1003" s="1" t="s">
        <v>43</v>
      </c>
      <c r="B1003" s="1">
        <v>10626</v>
      </c>
      <c r="C1003" s="1">
        <v>60</v>
      </c>
      <c r="D1003" s="1" t="s">
        <v>694</v>
      </c>
      <c r="E1003">
        <v>34</v>
      </c>
      <c r="F1003" s="1">
        <v>20</v>
      </c>
      <c r="G1003" s="1">
        <v>0</v>
      </c>
      <c r="H1003" s="2">
        <v>34953</v>
      </c>
    </row>
    <row r="1004" spans="1:8" x14ac:dyDescent="0.4">
      <c r="A1004" s="1" t="s">
        <v>43</v>
      </c>
      <c r="B1004" s="1">
        <v>10626</v>
      </c>
      <c r="C1004" s="1">
        <v>71</v>
      </c>
      <c r="D1004" s="1" t="s">
        <v>725</v>
      </c>
      <c r="E1004">
        <v>21.5</v>
      </c>
      <c r="F1004" s="1">
        <v>20</v>
      </c>
      <c r="G1004" s="1">
        <v>0</v>
      </c>
      <c r="H1004" s="2">
        <v>34953</v>
      </c>
    </row>
    <row r="1005" spans="1:8" x14ac:dyDescent="0.4">
      <c r="A1005" s="1" t="s">
        <v>529</v>
      </c>
      <c r="B1005" s="1">
        <v>10627</v>
      </c>
      <c r="C1005" s="1">
        <v>62</v>
      </c>
      <c r="D1005" s="1" t="s">
        <v>712</v>
      </c>
      <c r="E1005">
        <v>49.3</v>
      </c>
      <c r="F1005" s="1">
        <v>15</v>
      </c>
      <c r="G1005" s="1">
        <v>0</v>
      </c>
      <c r="H1005" s="2">
        <v>34953</v>
      </c>
    </row>
    <row r="1006" spans="1:8" x14ac:dyDescent="0.4">
      <c r="A1006" s="1" t="s">
        <v>529</v>
      </c>
      <c r="B1006" s="1">
        <v>10627</v>
      </c>
      <c r="C1006" s="1">
        <v>73</v>
      </c>
      <c r="D1006" s="1" t="s">
        <v>730</v>
      </c>
      <c r="E1006">
        <v>15</v>
      </c>
      <c r="F1006" s="1">
        <v>35</v>
      </c>
      <c r="G1006" s="1">
        <v>0.15</v>
      </c>
      <c r="H1006" s="2">
        <v>34953</v>
      </c>
    </row>
    <row r="1007" spans="1:8" x14ac:dyDescent="0.4">
      <c r="A1007" s="1" t="s">
        <v>60</v>
      </c>
      <c r="B1007" s="1">
        <v>10628</v>
      </c>
      <c r="C1007" s="1">
        <v>1</v>
      </c>
      <c r="D1007" s="1" t="s">
        <v>735</v>
      </c>
      <c r="E1007">
        <v>18</v>
      </c>
      <c r="F1007" s="1">
        <v>25</v>
      </c>
      <c r="G1007" s="1">
        <v>0</v>
      </c>
      <c r="H1007" s="2">
        <v>34954</v>
      </c>
    </row>
    <row r="1008" spans="1:8" x14ac:dyDescent="0.4">
      <c r="A1008" s="1" t="s">
        <v>234</v>
      </c>
      <c r="B1008" s="1">
        <v>10629</v>
      </c>
      <c r="C1008" s="1">
        <v>29</v>
      </c>
      <c r="D1008" s="1" t="s">
        <v>722</v>
      </c>
      <c r="E1008">
        <v>123.79</v>
      </c>
      <c r="F1008" s="1">
        <v>20</v>
      </c>
      <c r="G1008" s="1">
        <v>0</v>
      </c>
      <c r="H1008" s="2">
        <v>34954</v>
      </c>
    </row>
    <row r="1009" spans="1:8" x14ac:dyDescent="0.4">
      <c r="A1009" s="1" t="s">
        <v>234</v>
      </c>
      <c r="B1009" s="1">
        <v>10629</v>
      </c>
      <c r="C1009" s="1">
        <v>64</v>
      </c>
      <c r="D1009" s="1" t="s">
        <v>741</v>
      </c>
      <c r="E1009">
        <v>33.25</v>
      </c>
      <c r="F1009" s="1">
        <v>9</v>
      </c>
      <c r="G1009" s="1">
        <v>0</v>
      </c>
      <c r="H1009" s="2">
        <v>34954</v>
      </c>
    </row>
    <row r="1010" spans="1:8" x14ac:dyDescent="0.4">
      <c r="A1010" s="1" t="s">
        <v>305</v>
      </c>
      <c r="B1010" s="1">
        <v>10630</v>
      </c>
      <c r="C1010" s="1">
        <v>55</v>
      </c>
      <c r="D1010" s="1" t="s">
        <v>699</v>
      </c>
      <c r="E1010">
        <v>24</v>
      </c>
      <c r="F1010" s="1">
        <v>12</v>
      </c>
      <c r="G1010" s="1">
        <v>0.05</v>
      </c>
      <c r="H1010" s="2">
        <v>34955</v>
      </c>
    </row>
    <row r="1011" spans="1:8" x14ac:dyDescent="0.4">
      <c r="A1011" s="1" t="s">
        <v>305</v>
      </c>
      <c r="B1011" s="1">
        <v>10630</v>
      </c>
      <c r="C1011" s="1">
        <v>76</v>
      </c>
      <c r="D1011" s="1" t="s">
        <v>721</v>
      </c>
      <c r="E1011">
        <v>18</v>
      </c>
      <c r="F1011" s="1">
        <v>35</v>
      </c>
      <c r="G1011" s="1">
        <v>0</v>
      </c>
      <c r="H1011" s="2">
        <v>34955</v>
      </c>
    </row>
    <row r="1012" spans="1:8" x14ac:dyDescent="0.4">
      <c r="A1012" s="1" t="s">
        <v>318</v>
      </c>
      <c r="B1012" s="1">
        <v>10631</v>
      </c>
      <c r="C1012" s="1">
        <v>75</v>
      </c>
      <c r="D1012" s="1" t="s">
        <v>731</v>
      </c>
      <c r="E1012">
        <v>7.75</v>
      </c>
      <c r="F1012" s="1">
        <v>8</v>
      </c>
      <c r="G1012" s="1">
        <v>0.1</v>
      </c>
      <c r="H1012" s="2">
        <v>34956</v>
      </c>
    </row>
    <row r="1013" spans="1:8" x14ac:dyDescent="0.4">
      <c r="A1013" s="1" t="s">
        <v>633</v>
      </c>
      <c r="B1013" s="1">
        <v>10632</v>
      </c>
      <c r="C1013" s="1">
        <v>2</v>
      </c>
      <c r="D1013" s="1" t="s">
        <v>701</v>
      </c>
      <c r="E1013">
        <v>19</v>
      </c>
      <c r="F1013" s="1">
        <v>30</v>
      </c>
      <c r="G1013" s="1">
        <v>0.05</v>
      </c>
      <c r="H1013" s="2">
        <v>34956</v>
      </c>
    </row>
    <row r="1014" spans="1:8" x14ac:dyDescent="0.4">
      <c r="A1014" s="1" t="s">
        <v>633</v>
      </c>
      <c r="B1014" s="1">
        <v>10632</v>
      </c>
      <c r="C1014" s="1">
        <v>33</v>
      </c>
      <c r="D1014" s="1" t="s">
        <v>693</v>
      </c>
      <c r="E1014">
        <v>2.5</v>
      </c>
      <c r="F1014" s="1">
        <v>20</v>
      </c>
      <c r="G1014" s="1">
        <v>0.05</v>
      </c>
      <c r="H1014" s="2">
        <v>34956</v>
      </c>
    </row>
    <row r="1015" spans="1:8" x14ac:dyDescent="0.4">
      <c r="A1015" s="1" t="s">
        <v>161</v>
      </c>
      <c r="B1015" s="1">
        <v>10633</v>
      </c>
      <c r="C1015" s="1">
        <v>12</v>
      </c>
      <c r="D1015" s="1" t="s">
        <v>719</v>
      </c>
      <c r="E1015">
        <v>38</v>
      </c>
      <c r="F1015" s="1">
        <v>36</v>
      </c>
      <c r="G1015" s="1">
        <v>0.15</v>
      </c>
      <c r="H1015" s="2">
        <v>34957</v>
      </c>
    </row>
    <row r="1016" spans="1:8" x14ac:dyDescent="0.4">
      <c r="A1016" s="1" t="s">
        <v>161</v>
      </c>
      <c r="B1016" s="1">
        <v>10633</v>
      </c>
      <c r="C1016" s="1">
        <v>13</v>
      </c>
      <c r="D1016" s="1" t="s">
        <v>726</v>
      </c>
      <c r="E1016">
        <v>6</v>
      </c>
      <c r="F1016" s="1">
        <v>13</v>
      </c>
      <c r="G1016" s="1">
        <v>0.15</v>
      </c>
      <c r="H1016" s="2">
        <v>34957</v>
      </c>
    </row>
    <row r="1017" spans="1:8" x14ac:dyDescent="0.4">
      <c r="A1017" s="1" t="s">
        <v>161</v>
      </c>
      <c r="B1017" s="1">
        <v>10633</v>
      </c>
      <c r="C1017" s="1">
        <v>26</v>
      </c>
      <c r="D1017" s="1" t="s">
        <v>751</v>
      </c>
      <c r="E1017">
        <v>31.23</v>
      </c>
      <c r="F1017" s="1">
        <v>35</v>
      </c>
      <c r="G1017" s="1">
        <v>0.15</v>
      </c>
      <c r="H1017" s="2">
        <v>34957</v>
      </c>
    </row>
    <row r="1018" spans="1:8" x14ac:dyDescent="0.4">
      <c r="A1018" s="1" t="s">
        <v>161</v>
      </c>
      <c r="B1018" s="1">
        <v>10633</v>
      </c>
      <c r="C1018" s="1">
        <v>62</v>
      </c>
      <c r="D1018" s="1" t="s">
        <v>712</v>
      </c>
      <c r="E1018">
        <v>49.3</v>
      </c>
      <c r="F1018" s="1">
        <v>80</v>
      </c>
      <c r="G1018" s="1">
        <v>0.15</v>
      </c>
      <c r="H1018" s="2">
        <v>34957</v>
      </c>
    </row>
    <row r="1019" spans="1:8" x14ac:dyDescent="0.4">
      <c r="A1019" s="1" t="s">
        <v>183</v>
      </c>
      <c r="B1019" s="1">
        <v>10634</v>
      </c>
      <c r="C1019" s="1">
        <v>7</v>
      </c>
      <c r="D1019" s="1" t="s">
        <v>715</v>
      </c>
      <c r="E1019">
        <v>30</v>
      </c>
      <c r="F1019" s="1">
        <v>35</v>
      </c>
      <c r="G1019" s="1">
        <v>0</v>
      </c>
      <c r="H1019" s="2">
        <v>34957</v>
      </c>
    </row>
    <row r="1020" spans="1:8" x14ac:dyDescent="0.4">
      <c r="A1020" s="1" t="s">
        <v>183</v>
      </c>
      <c r="B1020" s="1">
        <v>10634</v>
      </c>
      <c r="C1020" s="1">
        <v>18</v>
      </c>
      <c r="D1020" s="1" t="s">
        <v>742</v>
      </c>
      <c r="E1020">
        <v>62.5</v>
      </c>
      <c r="F1020" s="1">
        <v>50</v>
      </c>
      <c r="G1020" s="1">
        <v>0</v>
      </c>
      <c r="H1020" s="2">
        <v>34957</v>
      </c>
    </row>
    <row r="1021" spans="1:8" x14ac:dyDescent="0.4">
      <c r="A1021" s="1" t="s">
        <v>183</v>
      </c>
      <c r="B1021" s="1">
        <v>10634</v>
      </c>
      <c r="C1021" s="1">
        <v>51</v>
      </c>
      <c r="D1021" s="1" t="s">
        <v>687</v>
      </c>
      <c r="E1021">
        <v>53</v>
      </c>
      <c r="F1021" s="1">
        <v>15</v>
      </c>
      <c r="G1021" s="1">
        <v>0</v>
      </c>
      <c r="H1021" s="2">
        <v>34957</v>
      </c>
    </row>
    <row r="1022" spans="1:8" x14ac:dyDescent="0.4">
      <c r="A1022" s="1" t="s">
        <v>183</v>
      </c>
      <c r="B1022" s="1">
        <v>10634</v>
      </c>
      <c r="C1022" s="1">
        <v>75</v>
      </c>
      <c r="D1022" s="1" t="s">
        <v>731</v>
      </c>
      <c r="E1022">
        <v>7.75</v>
      </c>
      <c r="F1022" s="1">
        <v>2</v>
      </c>
      <c r="G1022" s="1">
        <v>0</v>
      </c>
      <c r="H1022" s="2">
        <v>34957</v>
      </c>
    </row>
    <row r="1023" spans="1:8" x14ac:dyDescent="0.4">
      <c r="A1023" s="1" t="s">
        <v>378</v>
      </c>
      <c r="B1023" s="1">
        <v>10635</v>
      </c>
      <c r="C1023" s="1">
        <v>4</v>
      </c>
      <c r="D1023" s="1" t="s">
        <v>745</v>
      </c>
      <c r="E1023">
        <v>22</v>
      </c>
      <c r="F1023" s="1">
        <v>10</v>
      </c>
      <c r="G1023" s="1">
        <v>0.1</v>
      </c>
      <c r="H1023" s="2">
        <v>34960</v>
      </c>
    </row>
    <row r="1024" spans="1:8" x14ac:dyDescent="0.4">
      <c r="A1024" s="1" t="s">
        <v>378</v>
      </c>
      <c r="B1024" s="1">
        <v>10635</v>
      </c>
      <c r="C1024" s="1">
        <v>5</v>
      </c>
      <c r="D1024" s="1" t="s">
        <v>708</v>
      </c>
      <c r="E1024">
        <v>21.35</v>
      </c>
      <c r="F1024" s="1">
        <v>15</v>
      </c>
      <c r="G1024" s="1">
        <v>0.1</v>
      </c>
      <c r="H1024" s="2">
        <v>34960</v>
      </c>
    </row>
    <row r="1025" spans="1:8" x14ac:dyDescent="0.4">
      <c r="A1025" s="1" t="s">
        <v>378</v>
      </c>
      <c r="B1025" s="1">
        <v>10635</v>
      </c>
      <c r="C1025" s="1">
        <v>22</v>
      </c>
      <c r="D1025" s="1" t="s">
        <v>690</v>
      </c>
      <c r="E1025">
        <v>21</v>
      </c>
      <c r="F1025" s="1">
        <v>40</v>
      </c>
      <c r="G1025" s="1">
        <v>0</v>
      </c>
      <c r="H1025" s="2">
        <v>34960</v>
      </c>
    </row>
    <row r="1026" spans="1:8" x14ac:dyDescent="0.4">
      <c r="A1026" s="1" t="s">
        <v>640</v>
      </c>
      <c r="B1026" s="1">
        <v>10636</v>
      </c>
      <c r="C1026" s="1">
        <v>4</v>
      </c>
      <c r="D1026" s="1" t="s">
        <v>745</v>
      </c>
      <c r="E1026">
        <v>22</v>
      </c>
      <c r="F1026" s="1">
        <v>25</v>
      </c>
      <c r="G1026" s="1">
        <v>0</v>
      </c>
      <c r="H1026" s="2">
        <v>34961</v>
      </c>
    </row>
    <row r="1027" spans="1:8" x14ac:dyDescent="0.4">
      <c r="A1027" s="1" t="s">
        <v>640</v>
      </c>
      <c r="B1027" s="1">
        <v>10636</v>
      </c>
      <c r="C1027" s="1">
        <v>58</v>
      </c>
      <c r="D1027" s="1" t="s">
        <v>747</v>
      </c>
      <c r="E1027">
        <v>13.25</v>
      </c>
      <c r="F1027" s="1">
        <v>6</v>
      </c>
      <c r="G1027" s="1">
        <v>0</v>
      </c>
      <c r="H1027" s="2">
        <v>34961</v>
      </c>
    </row>
    <row r="1028" spans="1:8" x14ac:dyDescent="0.4">
      <c r="A1028" s="1" t="s">
        <v>469</v>
      </c>
      <c r="B1028" s="1">
        <v>10637</v>
      </c>
      <c r="C1028" s="1">
        <v>11</v>
      </c>
      <c r="D1028" s="1" t="s">
        <v>683</v>
      </c>
      <c r="E1028">
        <v>21</v>
      </c>
      <c r="F1028" s="1">
        <v>10</v>
      </c>
      <c r="G1028" s="1">
        <v>0</v>
      </c>
      <c r="H1028" s="2">
        <v>34961</v>
      </c>
    </row>
    <row r="1029" spans="1:8" x14ac:dyDescent="0.4">
      <c r="A1029" s="1" t="s">
        <v>469</v>
      </c>
      <c r="B1029" s="1">
        <v>10637</v>
      </c>
      <c r="C1029" s="1">
        <v>50</v>
      </c>
      <c r="D1029" s="1" t="s">
        <v>755</v>
      </c>
      <c r="E1029">
        <v>16.25</v>
      </c>
      <c r="F1029" s="1">
        <v>25</v>
      </c>
      <c r="G1029" s="1">
        <v>0.05</v>
      </c>
      <c r="H1029" s="2">
        <v>34961</v>
      </c>
    </row>
    <row r="1030" spans="1:8" x14ac:dyDescent="0.4">
      <c r="A1030" s="1" t="s">
        <v>469</v>
      </c>
      <c r="B1030" s="1">
        <v>10637</v>
      </c>
      <c r="C1030" s="1">
        <v>56</v>
      </c>
      <c r="D1030" s="1" t="s">
        <v>716</v>
      </c>
      <c r="E1030">
        <v>38</v>
      </c>
      <c r="F1030" s="1">
        <v>60</v>
      </c>
      <c r="G1030" s="1">
        <v>0.05</v>
      </c>
      <c r="H1030" s="2">
        <v>34961</v>
      </c>
    </row>
    <row r="1031" spans="1:8" x14ac:dyDescent="0.4">
      <c r="A1031" s="1" t="s">
        <v>363</v>
      </c>
      <c r="B1031" s="1">
        <v>10638</v>
      </c>
      <c r="C1031" s="1">
        <v>45</v>
      </c>
      <c r="D1031" s="1" t="s">
        <v>756</v>
      </c>
      <c r="E1031">
        <v>9.5</v>
      </c>
      <c r="F1031" s="1">
        <v>20</v>
      </c>
      <c r="G1031" s="1">
        <v>0</v>
      </c>
      <c r="H1031" s="2">
        <v>34962</v>
      </c>
    </row>
    <row r="1032" spans="1:8" x14ac:dyDescent="0.4">
      <c r="A1032" s="1" t="s">
        <v>363</v>
      </c>
      <c r="B1032" s="1">
        <v>10638</v>
      </c>
      <c r="C1032" s="1">
        <v>65</v>
      </c>
      <c r="D1032" s="1" t="s">
        <v>689</v>
      </c>
      <c r="E1032">
        <v>21.05</v>
      </c>
      <c r="F1032" s="1">
        <v>21</v>
      </c>
      <c r="G1032" s="1">
        <v>0</v>
      </c>
      <c r="H1032" s="2">
        <v>34962</v>
      </c>
    </row>
    <row r="1033" spans="1:8" x14ac:dyDescent="0.4">
      <c r="A1033" s="1" t="s">
        <v>363</v>
      </c>
      <c r="B1033" s="1">
        <v>10638</v>
      </c>
      <c r="C1033" s="1">
        <v>72</v>
      </c>
      <c r="D1033" s="1" t="s">
        <v>685</v>
      </c>
      <c r="E1033">
        <v>34.799999999999997</v>
      </c>
      <c r="F1033" s="1">
        <v>60</v>
      </c>
      <c r="G1033" s="1">
        <v>0</v>
      </c>
      <c r="H1033" s="2">
        <v>34962</v>
      </c>
    </row>
    <row r="1034" spans="1:8" x14ac:dyDescent="0.4">
      <c r="A1034" s="1" t="s">
        <v>521</v>
      </c>
      <c r="B1034" s="1">
        <v>10639</v>
      </c>
      <c r="C1034" s="1">
        <v>18</v>
      </c>
      <c r="D1034" s="1" t="s">
        <v>742</v>
      </c>
      <c r="E1034">
        <v>62.5</v>
      </c>
      <c r="F1034" s="1">
        <v>8</v>
      </c>
      <c r="G1034" s="1">
        <v>0</v>
      </c>
      <c r="H1034" s="2">
        <v>34962</v>
      </c>
    </row>
    <row r="1035" spans="1:8" x14ac:dyDescent="0.4">
      <c r="A1035" s="1" t="s">
        <v>633</v>
      </c>
      <c r="B1035" s="1">
        <v>10640</v>
      </c>
      <c r="C1035" s="1">
        <v>69</v>
      </c>
      <c r="D1035" s="1" t="s">
        <v>743</v>
      </c>
      <c r="E1035">
        <v>36</v>
      </c>
      <c r="F1035" s="1">
        <v>20</v>
      </c>
      <c r="G1035" s="1">
        <v>0.25</v>
      </c>
      <c r="H1035" s="2">
        <v>34963</v>
      </c>
    </row>
    <row r="1036" spans="1:8" x14ac:dyDescent="0.4">
      <c r="A1036" s="1" t="s">
        <v>633</v>
      </c>
      <c r="B1036" s="1">
        <v>10640</v>
      </c>
      <c r="C1036" s="1">
        <v>70</v>
      </c>
      <c r="D1036" s="1" t="s">
        <v>713</v>
      </c>
      <c r="E1036">
        <v>15</v>
      </c>
      <c r="F1036" s="1">
        <v>15</v>
      </c>
      <c r="G1036" s="1">
        <v>0.25</v>
      </c>
      <c r="H1036" s="2">
        <v>34963</v>
      </c>
    </row>
    <row r="1037" spans="1:8" x14ac:dyDescent="0.4">
      <c r="A1037" s="1" t="s">
        <v>273</v>
      </c>
      <c r="B1037" s="1">
        <v>10641</v>
      </c>
      <c r="C1037" s="1">
        <v>2</v>
      </c>
      <c r="D1037" s="1" t="s">
        <v>701</v>
      </c>
      <c r="E1037">
        <v>19</v>
      </c>
      <c r="F1037" s="1">
        <v>50</v>
      </c>
      <c r="G1037" s="1">
        <v>0</v>
      </c>
      <c r="H1037" s="2">
        <v>34964</v>
      </c>
    </row>
    <row r="1038" spans="1:8" x14ac:dyDescent="0.4">
      <c r="A1038" s="1" t="s">
        <v>273</v>
      </c>
      <c r="B1038" s="1">
        <v>10641</v>
      </c>
      <c r="C1038" s="1">
        <v>40</v>
      </c>
      <c r="D1038" s="1" t="s">
        <v>720</v>
      </c>
      <c r="E1038">
        <v>18.399999999999999</v>
      </c>
      <c r="F1038" s="1">
        <v>60</v>
      </c>
      <c r="G1038" s="1">
        <v>0</v>
      </c>
      <c r="H1038" s="2">
        <v>34964</v>
      </c>
    </row>
    <row r="1039" spans="1:8" x14ac:dyDescent="0.4">
      <c r="A1039" s="1" t="s">
        <v>543</v>
      </c>
      <c r="B1039" s="1">
        <v>10642</v>
      </c>
      <c r="C1039" s="1">
        <v>21</v>
      </c>
      <c r="D1039" s="1" t="s">
        <v>710</v>
      </c>
      <c r="E1039">
        <v>10</v>
      </c>
      <c r="F1039" s="1">
        <v>30</v>
      </c>
      <c r="G1039" s="1">
        <v>0.2</v>
      </c>
      <c r="H1039" s="2">
        <v>34964</v>
      </c>
    </row>
    <row r="1040" spans="1:8" x14ac:dyDescent="0.4">
      <c r="A1040" s="1" t="s">
        <v>543</v>
      </c>
      <c r="B1040" s="1">
        <v>10642</v>
      </c>
      <c r="C1040" s="1">
        <v>61</v>
      </c>
      <c r="D1040" s="1" t="s">
        <v>758</v>
      </c>
      <c r="E1040">
        <v>28.5</v>
      </c>
      <c r="F1040" s="1">
        <v>20</v>
      </c>
      <c r="G1040" s="1">
        <v>0.2</v>
      </c>
      <c r="H1040" s="2">
        <v>34964</v>
      </c>
    </row>
    <row r="1041" spans="1:8" x14ac:dyDescent="0.4">
      <c r="A1041" s="1" t="s">
        <v>11</v>
      </c>
      <c r="B1041" s="1">
        <v>10643</v>
      </c>
      <c r="C1041" s="1">
        <v>28</v>
      </c>
      <c r="D1041" s="1" t="s">
        <v>727</v>
      </c>
      <c r="E1041">
        <v>45.6</v>
      </c>
      <c r="F1041" s="1">
        <v>15</v>
      </c>
      <c r="G1041" s="1">
        <v>0.25</v>
      </c>
      <c r="H1041" s="2">
        <v>34967</v>
      </c>
    </row>
    <row r="1042" spans="1:8" x14ac:dyDescent="0.4">
      <c r="A1042" s="1" t="s">
        <v>11</v>
      </c>
      <c r="B1042" s="1">
        <v>10643</v>
      </c>
      <c r="C1042" s="1">
        <v>39</v>
      </c>
      <c r="D1042" s="1" t="s">
        <v>696</v>
      </c>
      <c r="E1042">
        <v>18</v>
      </c>
      <c r="F1042" s="1">
        <v>21</v>
      </c>
      <c r="G1042" s="1">
        <v>0.25</v>
      </c>
      <c r="H1042" s="2">
        <v>34967</v>
      </c>
    </row>
    <row r="1043" spans="1:8" x14ac:dyDescent="0.4">
      <c r="A1043" s="1" t="s">
        <v>11</v>
      </c>
      <c r="B1043" s="1">
        <v>10643</v>
      </c>
      <c r="C1043" s="1">
        <v>46</v>
      </c>
      <c r="D1043" s="1" t="s">
        <v>737</v>
      </c>
      <c r="E1043">
        <v>12</v>
      </c>
      <c r="F1043" s="1">
        <v>2</v>
      </c>
      <c r="G1043" s="1">
        <v>0.25</v>
      </c>
      <c r="H1043" s="2">
        <v>34967</v>
      </c>
    </row>
    <row r="1044" spans="1:8" x14ac:dyDescent="0.4">
      <c r="A1044" s="1" t="s">
        <v>647</v>
      </c>
      <c r="B1044" s="1">
        <v>10644</v>
      </c>
      <c r="C1044" s="1">
        <v>18</v>
      </c>
      <c r="D1044" s="1" t="s">
        <v>742</v>
      </c>
      <c r="E1044">
        <v>62.5</v>
      </c>
      <c r="F1044" s="1">
        <v>4</v>
      </c>
      <c r="G1044" s="1">
        <v>0.1</v>
      </c>
      <c r="H1044" s="2">
        <v>34967</v>
      </c>
    </row>
    <row r="1045" spans="1:8" x14ac:dyDescent="0.4">
      <c r="A1045" s="1" t="s">
        <v>647</v>
      </c>
      <c r="B1045" s="1">
        <v>10644</v>
      </c>
      <c r="C1045" s="1">
        <v>43</v>
      </c>
      <c r="D1045" s="1" t="s">
        <v>723</v>
      </c>
      <c r="E1045">
        <v>46</v>
      </c>
      <c r="F1045" s="1">
        <v>20</v>
      </c>
      <c r="G1045" s="1">
        <v>0</v>
      </c>
      <c r="H1045" s="2">
        <v>34967</v>
      </c>
    </row>
    <row r="1046" spans="1:8" x14ac:dyDescent="0.4">
      <c r="A1046" s="1" t="s">
        <v>647</v>
      </c>
      <c r="B1046" s="1">
        <v>10644</v>
      </c>
      <c r="C1046" s="1">
        <v>46</v>
      </c>
      <c r="D1046" s="1" t="s">
        <v>737</v>
      </c>
      <c r="E1046">
        <v>12</v>
      </c>
      <c r="F1046" s="1">
        <v>21</v>
      </c>
      <c r="G1046" s="1">
        <v>0.1</v>
      </c>
      <c r="H1046" s="2">
        <v>34967</v>
      </c>
    </row>
    <row r="1047" spans="1:8" x14ac:dyDescent="0.4">
      <c r="A1047" s="1" t="s">
        <v>264</v>
      </c>
      <c r="B1047" s="1">
        <v>10645</v>
      </c>
      <c r="C1047" s="1">
        <v>18</v>
      </c>
      <c r="D1047" s="1" t="s">
        <v>742</v>
      </c>
      <c r="E1047">
        <v>62.5</v>
      </c>
      <c r="F1047" s="1">
        <v>20</v>
      </c>
      <c r="G1047" s="1">
        <v>0</v>
      </c>
      <c r="H1047" s="2">
        <v>34968</v>
      </c>
    </row>
    <row r="1048" spans="1:8" x14ac:dyDescent="0.4">
      <c r="A1048" s="1" t="s">
        <v>264</v>
      </c>
      <c r="B1048" s="1">
        <v>10645</v>
      </c>
      <c r="C1048" s="1">
        <v>36</v>
      </c>
      <c r="D1048" s="1" t="s">
        <v>703</v>
      </c>
      <c r="E1048">
        <v>19</v>
      </c>
      <c r="F1048" s="1">
        <v>15</v>
      </c>
      <c r="G1048" s="1">
        <v>0</v>
      </c>
      <c r="H1048" s="2">
        <v>34968</v>
      </c>
    </row>
    <row r="1049" spans="1:8" x14ac:dyDescent="0.4">
      <c r="A1049" s="1" t="s">
        <v>288</v>
      </c>
      <c r="B1049" s="1">
        <v>10646</v>
      </c>
      <c r="C1049" s="1">
        <v>1</v>
      </c>
      <c r="D1049" s="1" t="s">
        <v>735</v>
      </c>
      <c r="E1049">
        <v>18</v>
      </c>
      <c r="F1049" s="1">
        <v>15</v>
      </c>
      <c r="G1049" s="1">
        <v>0.25</v>
      </c>
      <c r="H1049" s="2">
        <v>34969</v>
      </c>
    </row>
    <row r="1050" spans="1:8" x14ac:dyDescent="0.4">
      <c r="A1050" s="1" t="s">
        <v>288</v>
      </c>
      <c r="B1050" s="1">
        <v>10646</v>
      </c>
      <c r="C1050" s="1">
        <v>10</v>
      </c>
      <c r="D1050" s="1" t="s">
        <v>724</v>
      </c>
      <c r="E1050">
        <v>31</v>
      </c>
      <c r="F1050" s="1">
        <v>18</v>
      </c>
      <c r="G1050" s="1">
        <v>0.25</v>
      </c>
      <c r="H1050" s="2">
        <v>34969</v>
      </c>
    </row>
    <row r="1051" spans="1:8" x14ac:dyDescent="0.4">
      <c r="A1051" s="1" t="s">
        <v>288</v>
      </c>
      <c r="B1051" s="1">
        <v>10646</v>
      </c>
      <c r="C1051" s="1">
        <v>71</v>
      </c>
      <c r="D1051" s="1" t="s">
        <v>725</v>
      </c>
      <c r="E1051">
        <v>21.5</v>
      </c>
      <c r="F1051" s="1">
        <v>30</v>
      </c>
      <c r="G1051" s="1">
        <v>0.25</v>
      </c>
      <c r="H1051" s="2">
        <v>34969</v>
      </c>
    </row>
    <row r="1052" spans="1:8" x14ac:dyDescent="0.4">
      <c r="A1052" s="1" t="s">
        <v>288</v>
      </c>
      <c r="B1052" s="1">
        <v>10646</v>
      </c>
      <c r="C1052" s="1">
        <v>77</v>
      </c>
      <c r="D1052" s="1" t="s">
        <v>706</v>
      </c>
      <c r="E1052">
        <v>13</v>
      </c>
      <c r="F1052" s="1">
        <v>35</v>
      </c>
      <c r="G1052" s="1">
        <v>0.25</v>
      </c>
      <c r="H1052" s="2">
        <v>34969</v>
      </c>
    </row>
    <row r="1053" spans="1:8" x14ac:dyDescent="0.4">
      <c r="A1053" s="1" t="s">
        <v>462</v>
      </c>
      <c r="B1053" s="1">
        <v>10647</v>
      </c>
      <c r="C1053" s="1">
        <v>19</v>
      </c>
      <c r="D1053" s="1" t="s">
        <v>732</v>
      </c>
      <c r="E1053">
        <v>9.1999999999999993</v>
      </c>
      <c r="F1053" s="1">
        <v>30</v>
      </c>
      <c r="G1053" s="1">
        <v>0</v>
      </c>
      <c r="H1053" s="2">
        <v>34969</v>
      </c>
    </row>
    <row r="1054" spans="1:8" x14ac:dyDescent="0.4">
      <c r="A1054" s="1" t="s">
        <v>462</v>
      </c>
      <c r="B1054" s="1">
        <v>10647</v>
      </c>
      <c r="C1054" s="1">
        <v>39</v>
      </c>
      <c r="D1054" s="1" t="s">
        <v>696</v>
      </c>
      <c r="E1054">
        <v>18</v>
      </c>
      <c r="F1054" s="1">
        <v>20</v>
      </c>
      <c r="G1054" s="1">
        <v>0</v>
      </c>
      <c r="H1054" s="2">
        <v>34969</v>
      </c>
    </row>
    <row r="1055" spans="1:8" x14ac:dyDescent="0.4">
      <c r="A1055" s="1" t="s">
        <v>503</v>
      </c>
      <c r="B1055" s="1">
        <v>10648</v>
      </c>
      <c r="C1055" s="1">
        <v>22</v>
      </c>
      <c r="D1055" s="1" t="s">
        <v>690</v>
      </c>
      <c r="E1055">
        <v>21</v>
      </c>
      <c r="F1055" s="1">
        <v>15</v>
      </c>
      <c r="G1055" s="1">
        <v>0</v>
      </c>
      <c r="H1055" s="2">
        <v>34970</v>
      </c>
    </row>
    <row r="1056" spans="1:8" x14ac:dyDescent="0.4">
      <c r="A1056" s="1" t="s">
        <v>503</v>
      </c>
      <c r="B1056" s="1">
        <v>10648</v>
      </c>
      <c r="C1056" s="1">
        <v>24</v>
      </c>
      <c r="D1056" s="1" t="s">
        <v>698</v>
      </c>
      <c r="E1056">
        <v>4.5</v>
      </c>
      <c r="F1056" s="1">
        <v>15</v>
      </c>
      <c r="G1056" s="1">
        <v>0.15</v>
      </c>
      <c r="H1056" s="2">
        <v>34970</v>
      </c>
    </row>
    <row r="1057" spans="1:8" x14ac:dyDescent="0.4">
      <c r="A1057" s="1" t="s">
        <v>385</v>
      </c>
      <c r="B1057" s="1">
        <v>10649</v>
      </c>
      <c r="C1057" s="1">
        <v>28</v>
      </c>
      <c r="D1057" s="1" t="s">
        <v>727</v>
      </c>
      <c r="E1057">
        <v>45.6</v>
      </c>
      <c r="F1057" s="1">
        <v>20</v>
      </c>
      <c r="G1057" s="1">
        <v>0</v>
      </c>
      <c r="H1057" s="2">
        <v>34970</v>
      </c>
    </row>
    <row r="1058" spans="1:8" x14ac:dyDescent="0.4">
      <c r="A1058" s="1" t="s">
        <v>385</v>
      </c>
      <c r="B1058" s="1">
        <v>10649</v>
      </c>
      <c r="C1058" s="1">
        <v>72</v>
      </c>
      <c r="D1058" s="1" t="s">
        <v>685</v>
      </c>
      <c r="E1058">
        <v>34.799999999999997</v>
      </c>
      <c r="F1058" s="1">
        <v>15</v>
      </c>
      <c r="G1058" s="1">
        <v>0</v>
      </c>
      <c r="H1058" s="2">
        <v>34970</v>
      </c>
    </row>
    <row r="1059" spans="1:8" x14ac:dyDescent="0.4">
      <c r="A1059" s="1" t="s">
        <v>170</v>
      </c>
      <c r="B1059" s="1">
        <v>10650</v>
      </c>
      <c r="C1059" s="1">
        <v>30</v>
      </c>
      <c r="D1059" s="1" t="s">
        <v>717</v>
      </c>
      <c r="E1059">
        <v>25.89</v>
      </c>
      <c r="F1059" s="1">
        <v>30</v>
      </c>
      <c r="G1059" s="1">
        <v>0</v>
      </c>
      <c r="H1059" s="2">
        <v>34971</v>
      </c>
    </row>
    <row r="1060" spans="1:8" x14ac:dyDescent="0.4">
      <c r="A1060" s="1" t="s">
        <v>170</v>
      </c>
      <c r="B1060" s="1">
        <v>10650</v>
      </c>
      <c r="C1060" s="1">
        <v>53</v>
      </c>
      <c r="D1060" s="1" t="s">
        <v>705</v>
      </c>
      <c r="E1060">
        <v>32.799999999999997</v>
      </c>
      <c r="F1060" s="1">
        <v>25</v>
      </c>
      <c r="G1060" s="1">
        <v>0.05</v>
      </c>
      <c r="H1060" s="2">
        <v>34971</v>
      </c>
    </row>
    <row r="1061" spans="1:8" x14ac:dyDescent="0.4">
      <c r="A1061" s="1" t="s">
        <v>170</v>
      </c>
      <c r="B1061" s="1">
        <v>10650</v>
      </c>
      <c r="C1061" s="1">
        <v>54</v>
      </c>
      <c r="D1061" s="1" t="s">
        <v>738</v>
      </c>
      <c r="E1061">
        <v>7.45</v>
      </c>
      <c r="F1061" s="1">
        <v>30</v>
      </c>
      <c r="G1061" s="1">
        <v>0</v>
      </c>
      <c r="H1061" s="2">
        <v>34971</v>
      </c>
    </row>
    <row r="1062" spans="1:8" x14ac:dyDescent="0.4">
      <c r="A1062" s="1" t="s">
        <v>633</v>
      </c>
      <c r="B1062" s="1">
        <v>10651</v>
      </c>
      <c r="C1062" s="1">
        <v>19</v>
      </c>
      <c r="D1062" s="1" t="s">
        <v>732</v>
      </c>
      <c r="E1062">
        <v>9.1999999999999993</v>
      </c>
      <c r="F1062" s="1">
        <v>12</v>
      </c>
      <c r="G1062" s="1">
        <v>0.25</v>
      </c>
      <c r="H1062" s="2">
        <v>34974</v>
      </c>
    </row>
    <row r="1063" spans="1:8" x14ac:dyDescent="0.4">
      <c r="A1063" s="1" t="s">
        <v>633</v>
      </c>
      <c r="B1063" s="1">
        <v>10651</v>
      </c>
      <c r="C1063" s="1">
        <v>22</v>
      </c>
      <c r="D1063" s="1" t="s">
        <v>690</v>
      </c>
      <c r="E1063">
        <v>21</v>
      </c>
      <c r="F1063" s="1">
        <v>20</v>
      </c>
      <c r="G1063" s="1">
        <v>0.25</v>
      </c>
      <c r="H1063" s="2">
        <v>34974</v>
      </c>
    </row>
    <row r="1064" spans="1:8" x14ac:dyDescent="0.4">
      <c r="A1064" s="1" t="s">
        <v>240</v>
      </c>
      <c r="B1064" s="1">
        <v>10652</v>
      </c>
      <c r="C1064" s="1">
        <v>30</v>
      </c>
      <c r="D1064" s="1" t="s">
        <v>717</v>
      </c>
      <c r="E1064">
        <v>25.89</v>
      </c>
      <c r="F1064" s="1">
        <v>2</v>
      </c>
      <c r="G1064" s="1">
        <v>0.25</v>
      </c>
      <c r="H1064" s="2">
        <v>34974</v>
      </c>
    </row>
    <row r="1065" spans="1:8" x14ac:dyDescent="0.4">
      <c r="A1065" s="1" t="s">
        <v>240</v>
      </c>
      <c r="B1065" s="1">
        <v>10652</v>
      </c>
      <c r="C1065" s="1">
        <v>42</v>
      </c>
      <c r="D1065" s="1" t="s">
        <v>684</v>
      </c>
      <c r="E1065">
        <v>14</v>
      </c>
      <c r="F1065" s="1">
        <v>20</v>
      </c>
      <c r="G1065" s="1">
        <v>0</v>
      </c>
      <c r="H1065" s="2">
        <v>34974</v>
      </c>
    </row>
    <row r="1066" spans="1:8" x14ac:dyDescent="0.4">
      <c r="A1066" s="1" t="s">
        <v>198</v>
      </c>
      <c r="B1066" s="1">
        <v>10653</v>
      </c>
      <c r="C1066" s="1">
        <v>16</v>
      </c>
      <c r="D1066" s="1" t="s">
        <v>702</v>
      </c>
      <c r="E1066">
        <v>17.45</v>
      </c>
      <c r="F1066" s="1">
        <v>30</v>
      </c>
      <c r="G1066" s="1">
        <v>0.1</v>
      </c>
      <c r="H1066" s="2">
        <v>34975</v>
      </c>
    </row>
    <row r="1067" spans="1:8" x14ac:dyDescent="0.4">
      <c r="A1067" s="1" t="s">
        <v>198</v>
      </c>
      <c r="B1067" s="1">
        <v>10653</v>
      </c>
      <c r="C1067" s="1">
        <v>60</v>
      </c>
      <c r="D1067" s="1" t="s">
        <v>694</v>
      </c>
      <c r="E1067">
        <v>34</v>
      </c>
      <c r="F1067" s="1">
        <v>20</v>
      </c>
      <c r="G1067" s="1">
        <v>0.1</v>
      </c>
      <c r="H1067" s="2">
        <v>34975</v>
      </c>
    </row>
    <row r="1068" spans="1:8" x14ac:dyDescent="0.4">
      <c r="A1068" s="1" t="s">
        <v>43</v>
      </c>
      <c r="B1068" s="1">
        <v>10654</v>
      </c>
      <c r="C1068" s="1">
        <v>4</v>
      </c>
      <c r="D1068" s="1" t="s">
        <v>745</v>
      </c>
      <c r="E1068">
        <v>22</v>
      </c>
      <c r="F1068" s="1">
        <v>12</v>
      </c>
      <c r="G1068" s="1">
        <v>0.1</v>
      </c>
      <c r="H1068" s="2">
        <v>34975</v>
      </c>
    </row>
    <row r="1069" spans="1:8" x14ac:dyDescent="0.4">
      <c r="A1069" s="1" t="s">
        <v>43</v>
      </c>
      <c r="B1069" s="1">
        <v>10654</v>
      </c>
      <c r="C1069" s="1">
        <v>39</v>
      </c>
      <c r="D1069" s="1" t="s">
        <v>696</v>
      </c>
      <c r="E1069">
        <v>18</v>
      </c>
      <c r="F1069" s="1">
        <v>20</v>
      </c>
      <c r="G1069" s="1">
        <v>0.1</v>
      </c>
      <c r="H1069" s="2">
        <v>34975</v>
      </c>
    </row>
    <row r="1070" spans="1:8" x14ac:dyDescent="0.4">
      <c r="A1070" s="1" t="s">
        <v>43</v>
      </c>
      <c r="B1070" s="1">
        <v>10654</v>
      </c>
      <c r="C1070" s="1">
        <v>54</v>
      </c>
      <c r="D1070" s="1" t="s">
        <v>738</v>
      </c>
      <c r="E1070">
        <v>7.45</v>
      </c>
      <c r="F1070" s="1">
        <v>6</v>
      </c>
      <c r="G1070" s="1">
        <v>0.1</v>
      </c>
      <c r="H1070" s="2">
        <v>34975</v>
      </c>
    </row>
    <row r="1071" spans="1:8" x14ac:dyDescent="0.4">
      <c r="A1071" s="1" t="s">
        <v>496</v>
      </c>
      <c r="B1071" s="1">
        <v>10655</v>
      </c>
      <c r="C1071" s="1">
        <v>41</v>
      </c>
      <c r="D1071" s="1" t="s">
        <v>688</v>
      </c>
      <c r="E1071">
        <v>9.65</v>
      </c>
      <c r="F1071" s="1">
        <v>20</v>
      </c>
      <c r="G1071" s="1">
        <v>0.2</v>
      </c>
      <c r="H1071" s="2">
        <v>34976</v>
      </c>
    </row>
    <row r="1072" spans="1:8" x14ac:dyDescent="0.4">
      <c r="A1072" s="1" t="s">
        <v>247</v>
      </c>
      <c r="B1072" s="1">
        <v>10656</v>
      </c>
      <c r="C1072" s="1">
        <v>14</v>
      </c>
      <c r="D1072" s="1" t="s">
        <v>686</v>
      </c>
      <c r="E1072">
        <v>23.25</v>
      </c>
      <c r="F1072" s="1">
        <v>3</v>
      </c>
      <c r="G1072" s="1">
        <v>0.1</v>
      </c>
      <c r="H1072" s="2">
        <v>34977</v>
      </c>
    </row>
    <row r="1073" spans="1:8" x14ac:dyDescent="0.4">
      <c r="A1073" s="1" t="s">
        <v>247</v>
      </c>
      <c r="B1073" s="1">
        <v>10656</v>
      </c>
      <c r="C1073" s="1">
        <v>44</v>
      </c>
      <c r="D1073" s="1" t="s">
        <v>728</v>
      </c>
      <c r="E1073">
        <v>19.45</v>
      </c>
      <c r="F1073" s="1">
        <v>28</v>
      </c>
      <c r="G1073" s="1">
        <v>0.1</v>
      </c>
      <c r="H1073" s="2">
        <v>34977</v>
      </c>
    </row>
    <row r="1074" spans="1:8" x14ac:dyDescent="0.4">
      <c r="A1074" s="1" t="s">
        <v>247</v>
      </c>
      <c r="B1074" s="1">
        <v>10656</v>
      </c>
      <c r="C1074" s="1">
        <v>47</v>
      </c>
      <c r="D1074" s="1" t="s">
        <v>752</v>
      </c>
      <c r="E1074">
        <v>9.5</v>
      </c>
      <c r="F1074" s="1">
        <v>6</v>
      </c>
      <c r="G1074" s="1">
        <v>0.1</v>
      </c>
      <c r="H1074" s="2">
        <v>34977</v>
      </c>
    </row>
    <row r="1075" spans="1:8" x14ac:dyDescent="0.4">
      <c r="A1075" s="1" t="s">
        <v>529</v>
      </c>
      <c r="B1075" s="1">
        <v>10657</v>
      </c>
      <c r="C1075" s="1">
        <v>15</v>
      </c>
      <c r="D1075" s="1" t="s">
        <v>733</v>
      </c>
      <c r="E1075">
        <v>15.5</v>
      </c>
      <c r="F1075" s="1">
        <v>50</v>
      </c>
      <c r="G1075" s="1">
        <v>0</v>
      </c>
      <c r="H1075" s="2">
        <v>34977</v>
      </c>
    </row>
    <row r="1076" spans="1:8" x14ac:dyDescent="0.4">
      <c r="A1076" s="1" t="s">
        <v>529</v>
      </c>
      <c r="B1076" s="1">
        <v>10657</v>
      </c>
      <c r="C1076" s="1">
        <v>41</v>
      </c>
      <c r="D1076" s="1" t="s">
        <v>688</v>
      </c>
      <c r="E1076">
        <v>9.65</v>
      </c>
      <c r="F1076" s="1">
        <v>24</v>
      </c>
      <c r="G1076" s="1">
        <v>0</v>
      </c>
      <c r="H1076" s="2">
        <v>34977</v>
      </c>
    </row>
    <row r="1077" spans="1:8" x14ac:dyDescent="0.4">
      <c r="A1077" s="1" t="s">
        <v>529</v>
      </c>
      <c r="B1077" s="1">
        <v>10657</v>
      </c>
      <c r="C1077" s="1">
        <v>46</v>
      </c>
      <c r="D1077" s="1" t="s">
        <v>737</v>
      </c>
      <c r="E1077">
        <v>12</v>
      </c>
      <c r="F1077" s="1">
        <v>45</v>
      </c>
      <c r="G1077" s="1">
        <v>0</v>
      </c>
      <c r="H1077" s="2">
        <v>34977</v>
      </c>
    </row>
    <row r="1078" spans="1:8" x14ac:dyDescent="0.4">
      <c r="A1078" s="1" t="s">
        <v>529</v>
      </c>
      <c r="B1078" s="1">
        <v>10657</v>
      </c>
      <c r="C1078" s="1">
        <v>47</v>
      </c>
      <c r="D1078" s="1" t="s">
        <v>752</v>
      </c>
      <c r="E1078">
        <v>9.5</v>
      </c>
      <c r="F1078" s="1">
        <v>10</v>
      </c>
      <c r="G1078" s="1">
        <v>0</v>
      </c>
      <c r="H1078" s="2">
        <v>34977</v>
      </c>
    </row>
    <row r="1079" spans="1:8" x14ac:dyDescent="0.4">
      <c r="A1079" s="1" t="s">
        <v>529</v>
      </c>
      <c r="B1079" s="1">
        <v>10657</v>
      </c>
      <c r="C1079" s="1">
        <v>56</v>
      </c>
      <c r="D1079" s="1" t="s">
        <v>716</v>
      </c>
      <c r="E1079">
        <v>38</v>
      </c>
      <c r="F1079" s="1">
        <v>45</v>
      </c>
      <c r="G1079" s="1">
        <v>0</v>
      </c>
      <c r="H1079" s="2">
        <v>34977</v>
      </c>
    </row>
    <row r="1080" spans="1:8" x14ac:dyDescent="0.4">
      <c r="A1080" s="1" t="s">
        <v>529</v>
      </c>
      <c r="B1080" s="1">
        <v>10657</v>
      </c>
      <c r="C1080" s="1">
        <v>60</v>
      </c>
      <c r="D1080" s="1" t="s">
        <v>694</v>
      </c>
      <c r="E1080">
        <v>34</v>
      </c>
      <c r="F1080" s="1">
        <v>30</v>
      </c>
      <c r="G1080" s="1">
        <v>0</v>
      </c>
      <c r="H1080" s="2">
        <v>34977</v>
      </c>
    </row>
    <row r="1081" spans="1:8" x14ac:dyDescent="0.4">
      <c r="A1081" s="1" t="s">
        <v>475</v>
      </c>
      <c r="B1081" s="1">
        <v>10658</v>
      </c>
      <c r="C1081" s="1">
        <v>21</v>
      </c>
      <c r="D1081" s="1" t="s">
        <v>710</v>
      </c>
      <c r="E1081">
        <v>10</v>
      </c>
      <c r="F1081" s="1">
        <v>60</v>
      </c>
      <c r="G1081" s="1">
        <v>0</v>
      </c>
      <c r="H1081" s="2">
        <v>34978</v>
      </c>
    </row>
    <row r="1082" spans="1:8" x14ac:dyDescent="0.4">
      <c r="A1082" s="1" t="s">
        <v>475</v>
      </c>
      <c r="B1082" s="1">
        <v>10658</v>
      </c>
      <c r="C1082" s="1">
        <v>40</v>
      </c>
      <c r="D1082" s="1" t="s">
        <v>720</v>
      </c>
      <c r="E1082">
        <v>18.399999999999999</v>
      </c>
      <c r="F1082" s="1">
        <v>70</v>
      </c>
      <c r="G1082" s="1">
        <v>0.05</v>
      </c>
      <c r="H1082" s="2">
        <v>34978</v>
      </c>
    </row>
    <row r="1083" spans="1:8" x14ac:dyDescent="0.4">
      <c r="A1083" s="1" t="s">
        <v>475</v>
      </c>
      <c r="B1083" s="1">
        <v>10658</v>
      </c>
      <c r="C1083" s="1">
        <v>60</v>
      </c>
      <c r="D1083" s="1" t="s">
        <v>694</v>
      </c>
      <c r="E1083">
        <v>34</v>
      </c>
      <c r="F1083" s="1">
        <v>55</v>
      </c>
      <c r="G1083" s="1">
        <v>0.05</v>
      </c>
      <c r="H1083" s="2">
        <v>34978</v>
      </c>
    </row>
    <row r="1084" spans="1:8" x14ac:dyDescent="0.4">
      <c r="A1084" s="1" t="s">
        <v>475</v>
      </c>
      <c r="B1084" s="1">
        <v>10658</v>
      </c>
      <c r="C1084" s="1">
        <v>77</v>
      </c>
      <c r="D1084" s="1" t="s">
        <v>706</v>
      </c>
      <c r="E1084">
        <v>13</v>
      </c>
      <c r="F1084" s="1">
        <v>70</v>
      </c>
      <c r="G1084" s="1">
        <v>0.05</v>
      </c>
      <c r="H1084" s="2">
        <v>34978</v>
      </c>
    </row>
    <row r="1085" spans="1:8" x14ac:dyDescent="0.4">
      <c r="A1085" s="1" t="s">
        <v>469</v>
      </c>
      <c r="B1085" s="1">
        <v>10659</v>
      </c>
      <c r="C1085" s="1">
        <v>31</v>
      </c>
      <c r="D1085" s="1" t="s">
        <v>695</v>
      </c>
      <c r="E1085">
        <v>12.5</v>
      </c>
      <c r="F1085" s="1">
        <v>20</v>
      </c>
      <c r="G1085" s="1">
        <v>0.05</v>
      </c>
      <c r="H1085" s="2">
        <v>34978</v>
      </c>
    </row>
    <row r="1086" spans="1:8" x14ac:dyDescent="0.4">
      <c r="A1086" s="1" t="s">
        <v>469</v>
      </c>
      <c r="B1086" s="1">
        <v>10659</v>
      </c>
      <c r="C1086" s="1">
        <v>40</v>
      </c>
      <c r="D1086" s="1" t="s">
        <v>720</v>
      </c>
      <c r="E1086">
        <v>18.399999999999999</v>
      </c>
      <c r="F1086" s="1">
        <v>24</v>
      </c>
      <c r="G1086" s="1">
        <v>0.05</v>
      </c>
      <c r="H1086" s="2">
        <v>34978</v>
      </c>
    </row>
    <row r="1087" spans="1:8" x14ac:dyDescent="0.4">
      <c r="A1087" s="1" t="s">
        <v>469</v>
      </c>
      <c r="B1087" s="1">
        <v>10659</v>
      </c>
      <c r="C1087" s="1">
        <v>70</v>
      </c>
      <c r="D1087" s="1" t="s">
        <v>713</v>
      </c>
      <c r="E1087">
        <v>15</v>
      </c>
      <c r="F1087" s="1">
        <v>40</v>
      </c>
      <c r="G1087" s="1">
        <v>0.05</v>
      </c>
      <c r="H1087" s="2">
        <v>34978</v>
      </c>
    </row>
    <row r="1088" spans="1:8" x14ac:dyDescent="0.4">
      <c r="A1088" s="1" t="s">
        <v>281</v>
      </c>
      <c r="B1088" s="1">
        <v>10660</v>
      </c>
      <c r="C1088" s="1">
        <v>20</v>
      </c>
      <c r="D1088" s="1" t="s">
        <v>692</v>
      </c>
      <c r="E1088">
        <v>81</v>
      </c>
      <c r="F1088" s="1">
        <v>21</v>
      </c>
      <c r="G1088" s="1">
        <v>0</v>
      </c>
      <c r="H1088" s="2">
        <v>34981</v>
      </c>
    </row>
    <row r="1089" spans="1:8" x14ac:dyDescent="0.4">
      <c r="A1089" s="1" t="s">
        <v>288</v>
      </c>
      <c r="B1089" s="1">
        <v>10661</v>
      </c>
      <c r="C1089" s="1">
        <v>39</v>
      </c>
      <c r="D1089" s="1" t="s">
        <v>696</v>
      </c>
      <c r="E1089">
        <v>18</v>
      </c>
      <c r="F1089" s="1">
        <v>3</v>
      </c>
      <c r="G1089" s="1">
        <v>0.2</v>
      </c>
      <c r="H1089" s="2">
        <v>34982</v>
      </c>
    </row>
    <row r="1090" spans="1:8" x14ac:dyDescent="0.4">
      <c r="A1090" s="1" t="s">
        <v>288</v>
      </c>
      <c r="B1090" s="1">
        <v>10661</v>
      </c>
      <c r="C1090" s="1">
        <v>58</v>
      </c>
      <c r="D1090" s="1" t="s">
        <v>747</v>
      </c>
      <c r="E1090">
        <v>13.25</v>
      </c>
      <c r="F1090" s="1">
        <v>49</v>
      </c>
      <c r="G1090" s="1">
        <v>0.2</v>
      </c>
      <c r="H1090" s="2">
        <v>34982</v>
      </c>
    </row>
    <row r="1091" spans="1:8" x14ac:dyDescent="0.4">
      <c r="A1091" s="1" t="s">
        <v>371</v>
      </c>
      <c r="B1091" s="1">
        <v>10662</v>
      </c>
      <c r="C1091" s="1">
        <v>68</v>
      </c>
      <c r="D1091" s="1" t="s">
        <v>739</v>
      </c>
      <c r="E1091">
        <v>12.5</v>
      </c>
      <c r="F1091" s="1">
        <v>10</v>
      </c>
      <c r="G1091" s="1">
        <v>0</v>
      </c>
      <c r="H1091" s="2">
        <v>34982</v>
      </c>
    </row>
    <row r="1092" spans="1:8" x14ac:dyDescent="0.4">
      <c r="A1092" s="1" t="s">
        <v>77</v>
      </c>
      <c r="B1092" s="1">
        <v>10663</v>
      </c>
      <c r="C1092" s="1">
        <v>40</v>
      </c>
      <c r="D1092" s="1" t="s">
        <v>720</v>
      </c>
      <c r="E1092">
        <v>18.399999999999999</v>
      </c>
      <c r="F1092" s="1">
        <v>30</v>
      </c>
      <c r="G1092" s="1">
        <v>0.05</v>
      </c>
      <c r="H1092" s="2">
        <v>34983</v>
      </c>
    </row>
    <row r="1093" spans="1:8" x14ac:dyDescent="0.4">
      <c r="A1093" s="1" t="s">
        <v>77</v>
      </c>
      <c r="B1093" s="1">
        <v>10663</v>
      </c>
      <c r="C1093" s="1">
        <v>42</v>
      </c>
      <c r="D1093" s="1" t="s">
        <v>684</v>
      </c>
      <c r="E1093">
        <v>14</v>
      </c>
      <c r="F1093" s="1">
        <v>30</v>
      </c>
      <c r="G1093" s="1">
        <v>0.05</v>
      </c>
      <c r="H1093" s="2">
        <v>34983</v>
      </c>
    </row>
    <row r="1094" spans="1:8" x14ac:dyDescent="0.4">
      <c r="A1094" s="1" t="s">
        <v>77</v>
      </c>
      <c r="B1094" s="1">
        <v>10663</v>
      </c>
      <c r="C1094" s="1">
        <v>51</v>
      </c>
      <c r="D1094" s="1" t="s">
        <v>687</v>
      </c>
      <c r="E1094">
        <v>53</v>
      </c>
      <c r="F1094" s="1">
        <v>20</v>
      </c>
      <c r="G1094" s="1">
        <v>0.05</v>
      </c>
      <c r="H1094" s="2">
        <v>34983</v>
      </c>
    </row>
    <row r="1095" spans="1:8" x14ac:dyDescent="0.4">
      <c r="A1095" s="1" t="s">
        <v>219</v>
      </c>
      <c r="B1095" s="1">
        <v>10664</v>
      </c>
      <c r="C1095" s="1">
        <v>10</v>
      </c>
      <c r="D1095" s="1" t="s">
        <v>724</v>
      </c>
      <c r="E1095">
        <v>31</v>
      </c>
      <c r="F1095" s="1">
        <v>24</v>
      </c>
      <c r="G1095" s="1">
        <v>0.15</v>
      </c>
      <c r="H1095" s="2">
        <v>34983</v>
      </c>
    </row>
    <row r="1096" spans="1:8" x14ac:dyDescent="0.4">
      <c r="A1096" s="1" t="s">
        <v>219</v>
      </c>
      <c r="B1096" s="1">
        <v>10664</v>
      </c>
      <c r="C1096" s="1">
        <v>56</v>
      </c>
      <c r="D1096" s="1" t="s">
        <v>716</v>
      </c>
      <c r="E1096">
        <v>38</v>
      </c>
      <c r="F1096" s="1">
        <v>12</v>
      </c>
      <c r="G1096" s="1">
        <v>0.15</v>
      </c>
      <c r="H1096" s="2">
        <v>34983</v>
      </c>
    </row>
    <row r="1097" spans="1:8" x14ac:dyDescent="0.4">
      <c r="A1097" s="1" t="s">
        <v>219</v>
      </c>
      <c r="B1097" s="1">
        <v>10664</v>
      </c>
      <c r="C1097" s="1">
        <v>65</v>
      </c>
      <c r="D1097" s="1" t="s">
        <v>689</v>
      </c>
      <c r="E1097">
        <v>21.05</v>
      </c>
      <c r="F1097" s="1">
        <v>15</v>
      </c>
      <c r="G1097" s="1">
        <v>0.15</v>
      </c>
      <c r="H1097" s="2">
        <v>34983</v>
      </c>
    </row>
    <row r="1098" spans="1:8" x14ac:dyDescent="0.4">
      <c r="A1098" s="1" t="s">
        <v>371</v>
      </c>
      <c r="B1098" s="1">
        <v>10665</v>
      </c>
      <c r="C1098" s="1">
        <v>51</v>
      </c>
      <c r="D1098" s="1" t="s">
        <v>687</v>
      </c>
      <c r="E1098">
        <v>53</v>
      </c>
      <c r="F1098" s="1">
        <v>20</v>
      </c>
      <c r="G1098" s="1">
        <v>0</v>
      </c>
      <c r="H1098" s="2">
        <v>34984</v>
      </c>
    </row>
    <row r="1099" spans="1:8" x14ac:dyDescent="0.4">
      <c r="A1099" s="1" t="s">
        <v>371</v>
      </c>
      <c r="B1099" s="1">
        <v>10665</v>
      </c>
      <c r="C1099" s="1">
        <v>59</v>
      </c>
      <c r="D1099" s="1" t="s">
        <v>704</v>
      </c>
      <c r="E1099">
        <v>55</v>
      </c>
      <c r="F1099" s="1">
        <v>1</v>
      </c>
      <c r="G1099" s="1">
        <v>0</v>
      </c>
      <c r="H1099" s="2">
        <v>34984</v>
      </c>
    </row>
    <row r="1100" spans="1:8" x14ac:dyDescent="0.4">
      <c r="A1100" s="1" t="s">
        <v>371</v>
      </c>
      <c r="B1100" s="1">
        <v>10665</v>
      </c>
      <c r="C1100" s="1">
        <v>76</v>
      </c>
      <c r="D1100" s="1" t="s">
        <v>721</v>
      </c>
      <c r="E1100">
        <v>18</v>
      </c>
      <c r="F1100" s="1">
        <v>10</v>
      </c>
      <c r="G1100" s="1">
        <v>0</v>
      </c>
      <c r="H1100" s="2">
        <v>34984</v>
      </c>
    </row>
    <row r="1101" spans="1:8" x14ac:dyDescent="0.4">
      <c r="A1101" s="1" t="s">
        <v>509</v>
      </c>
      <c r="B1101" s="1">
        <v>10666</v>
      </c>
      <c r="C1101" s="1">
        <v>29</v>
      </c>
      <c r="D1101" s="1" t="s">
        <v>722</v>
      </c>
      <c r="E1101">
        <v>123.79</v>
      </c>
      <c r="F1101" s="1">
        <v>36</v>
      </c>
      <c r="G1101" s="1">
        <v>0</v>
      </c>
      <c r="H1101" s="2">
        <v>34985</v>
      </c>
    </row>
    <row r="1102" spans="1:8" x14ac:dyDescent="0.4">
      <c r="A1102" s="1" t="s">
        <v>509</v>
      </c>
      <c r="B1102" s="1">
        <v>10666</v>
      </c>
      <c r="C1102" s="1">
        <v>65</v>
      </c>
      <c r="D1102" s="1" t="s">
        <v>689</v>
      </c>
      <c r="E1102">
        <v>21.05</v>
      </c>
      <c r="F1102" s="1">
        <v>10</v>
      </c>
      <c r="G1102" s="1">
        <v>0</v>
      </c>
      <c r="H1102" s="2">
        <v>34985</v>
      </c>
    </row>
    <row r="1103" spans="1:8" x14ac:dyDescent="0.4">
      <c r="A1103" s="1" t="s">
        <v>161</v>
      </c>
      <c r="B1103" s="1">
        <v>10667</v>
      </c>
      <c r="C1103" s="1">
        <v>69</v>
      </c>
      <c r="D1103" s="1" t="s">
        <v>743</v>
      </c>
      <c r="E1103">
        <v>36</v>
      </c>
      <c r="F1103" s="1">
        <v>45</v>
      </c>
      <c r="G1103" s="1">
        <v>0.2</v>
      </c>
      <c r="H1103" s="2">
        <v>34985</v>
      </c>
    </row>
    <row r="1104" spans="1:8" x14ac:dyDescent="0.4">
      <c r="A1104" s="1" t="s">
        <v>161</v>
      </c>
      <c r="B1104" s="1">
        <v>10667</v>
      </c>
      <c r="C1104" s="1">
        <v>71</v>
      </c>
      <c r="D1104" s="1" t="s">
        <v>725</v>
      </c>
      <c r="E1104">
        <v>21.5</v>
      </c>
      <c r="F1104" s="1">
        <v>14</v>
      </c>
      <c r="G1104" s="1">
        <v>0.2</v>
      </c>
      <c r="H1104" s="2">
        <v>34985</v>
      </c>
    </row>
    <row r="1105" spans="1:8" x14ac:dyDescent="0.4">
      <c r="A1105" s="1" t="s">
        <v>633</v>
      </c>
      <c r="B1105" s="1">
        <v>10668</v>
      </c>
      <c r="C1105" s="1">
        <v>31</v>
      </c>
      <c r="D1105" s="1" t="s">
        <v>695</v>
      </c>
      <c r="E1105">
        <v>12.5</v>
      </c>
      <c r="F1105" s="1">
        <v>8</v>
      </c>
      <c r="G1105" s="1">
        <v>0.1</v>
      </c>
      <c r="H1105" s="2">
        <v>34988</v>
      </c>
    </row>
    <row r="1106" spans="1:8" x14ac:dyDescent="0.4">
      <c r="A1106" s="1" t="s">
        <v>633</v>
      </c>
      <c r="B1106" s="1">
        <v>10668</v>
      </c>
      <c r="C1106" s="1">
        <v>55</v>
      </c>
      <c r="D1106" s="1" t="s">
        <v>699</v>
      </c>
      <c r="E1106">
        <v>24</v>
      </c>
      <c r="F1106" s="1">
        <v>4</v>
      </c>
      <c r="G1106" s="1">
        <v>0.1</v>
      </c>
      <c r="H1106" s="2">
        <v>34988</v>
      </c>
    </row>
    <row r="1107" spans="1:8" x14ac:dyDescent="0.4">
      <c r="A1107" s="1" t="s">
        <v>633</v>
      </c>
      <c r="B1107" s="1">
        <v>10668</v>
      </c>
      <c r="C1107" s="1">
        <v>64</v>
      </c>
      <c r="D1107" s="1" t="s">
        <v>741</v>
      </c>
      <c r="E1107">
        <v>33.25</v>
      </c>
      <c r="F1107" s="1">
        <v>15</v>
      </c>
      <c r="G1107" s="1">
        <v>0.1</v>
      </c>
      <c r="H1107" s="2">
        <v>34988</v>
      </c>
    </row>
    <row r="1108" spans="1:8" x14ac:dyDescent="0.4">
      <c r="A1108" s="1" t="s">
        <v>543</v>
      </c>
      <c r="B1108" s="1">
        <v>10669</v>
      </c>
      <c r="C1108" s="1">
        <v>36</v>
      </c>
      <c r="D1108" s="1" t="s">
        <v>703</v>
      </c>
      <c r="E1108">
        <v>19</v>
      </c>
      <c r="F1108" s="1">
        <v>30</v>
      </c>
      <c r="G1108" s="1">
        <v>0</v>
      </c>
      <c r="H1108" s="2">
        <v>34988</v>
      </c>
    </row>
    <row r="1109" spans="1:8" x14ac:dyDescent="0.4">
      <c r="A1109" s="1" t="s">
        <v>198</v>
      </c>
      <c r="B1109" s="1">
        <v>10670</v>
      </c>
      <c r="C1109" s="1">
        <v>23</v>
      </c>
      <c r="D1109" s="1" t="s">
        <v>753</v>
      </c>
      <c r="E1109">
        <v>9</v>
      </c>
      <c r="F1109" s="1">
        <v>32</v>
      </c>
      <c r="G1109" s="1">
        <v>0</v>
      </c>
      <c r="H1109" s="2">
        <v>34989</v>
      </c>
    </row>
    <row r="1110" spans="1:8" x14ac:dyDescent="0.4">
      <c r="A1110" s="1" t="s">
        <v>198</v>
      </c>
      <c r="B1110" s="1">
        <v>10670</v>
      </c>
      <c r="C1110" s="1">
        <v>46</v>
      </c>
      <c r="D1110" s="1" t="s">
        <v>737</v>
      </c>
      <c r="E1110">
        <v>12</v>
      </c>
      <c r="F1110" s="1">
        <v>60</v>
      </c>
      <c r="G1110" s="1">
        <v>0</v>
      </c>
      <c r="H1110" s="2">
        <v>34989</v>
      </c>
    </row>
    <row r="1111" spans="1:8" x14ac:dyDescent="0.4">
      <c r="A1111" s="1" t="s">
        <v>198</v>
      </c>
      <c r="B1111" s="1">
        <v>10670</v>
      </c>
      <c r="C1111" s="1">
        <v>67</v>
      </c>
      <c r="D1111" s="1" t="s">
        <v>734</v>
      </c>
      <c r="E1111">
        <v>14</v>
      </c>
      <c r="F1111" s="1">
        <v>25</v>
      </c>
      <c r="G1111" s="1">
        <v>0</v>
      </c>
      <c r="H1111" s="2">
        <v>34989</v>
      </c>
    </row>
    <row r="1112" spans="1:8" x14ac:dyDescent="0.4">
      <c r="A1112" s="1" t="s">
        <v>198</v>
      </c>
      <c r="B1112" s="1">
        <v>10670</v>
      </c>
      <c r="C1112" s="1">
        <v>73</v>
      </c>
      <c r="D1112" s="1" t="s">
        <v>730</v>
      </c>
      <c r="E1112">
        <v>15</v>
      </c>
      <c r="F1112" s="1">
        <v>50</v>
      </c>
      <c r="G1112" s="1">
        <v>0</v>
      </c>
      <c r="H1112" s="2">
        <v>34989</v>
      </c>
    </row>
    <row r="1113" spans="1:8" x14ac:dyDescent="0.4">
      <c r="A1113" s="1" t="s">
        <v>198</v>
      </c>
      <c r="B1113" s="1">
        <v>10670</v>
      </c>
      <c r="C1113" s="1">
        <v>75</v>
      </c>
      <c r="D1113" s="1" t="s">
        <v>731</v>
      </c>
      <c r="E1113">
        <v>7.75</v>
      </c>
      <c r="F1113" s="1">
        <v>25</v>
      </c>
      <c r="G1113" s="1">
        <v>0</v>
      </c>
      <c r="H1113" s="2">
        <v>34989</v>
      </c>
    </row>
    <row r="1114" spans="1:8" x14ac:dyDescent="0.4">
      <c r="A1114" s="1" t="s">
        <v>205</v>
      </c>
      <c r="B1114" s="1">
        <v>10671</v>
      </c>
      <c r="C1114" s="1">
        <v>16</v>
      </c>
      <c r="D1114" s="1" t="s">
        <v>702</v>
      </c>
      <c r="E1114">
        <v>17.45</v>
      </c>
      <c r="F1114" s="1">
        <v>10</v>
      </c>
      <c r="G1114" s="1">
        <v>0</v>
      </c>
      <c r="H1114" s="2">
        <v>34990</v>
      </c>
    </row>
    <row r="1115" spans="1:8" x14ac:dyDescent="0.4">
      <c r="A1115" s="1" t="s">
        <v>205</v>
      </c>
      <c r="B1115" s="1">
        <v>10671</v>
      </c>
      <c r="C1115" s="1">
        <v>62</v>
      </c>
      <c r="D1115" s="1" t="s">
        <v>712</v>
      </c>
      <c r="E1115">
        <v>49.3</v>
      </c>
      <c r="F1115" s="1">
        <v>10</v>
      </c>
      <c r="G1115" s="1">
        <v>0</v>
      </c>
      <c r="H1115" s="2">
        <v>34990</v>
      </c>
    </row>
    <row r="1116" spans="1:8" x14ac:dyDescent="0.4">
      <c r="A1116" s="1" t="s">
        <v>205</v>
      </c>
      <c r="B1116" s="1">
        <v>10671</v>
      </c>
      <c r="C1116" s="1">
        <v>65</v>
      </c>
      <c r="D1116" s="1" t="s">
        <v>689</v>
      </c>
      <c r="E1116">
        <v>21.05</v>
      </c>
      <c r="F1116" s="1">
        <v>12</v>
      </c>
      <c r="G1116" s="1">
        <v>0</v>
      </c>
      <c r="H1116" s="2">
        <v>34990</v>
      </c>
    </row>
    <row r="1117" spans="1:8" x14ac:dyDescent="0.4">
      <c r="A1117" s="1" t="s">
        <v>43</v>
      </c>
      <c r="B1117" s="1">
        <v>10672</v>
      </c>
      <c r="C1117" s="1">
        <v>38</v>
      </c>
      <c r="D1117" s="1" t="s">
        <v>750</v>
      </c>
      <c r="E1117">
        <v>263.5</v>
      </c>
      <c r="F1117" s="1">
        <v>15</v>
      </c>
      <c r="G1117" s="1">
        <v>0.1</v>
      </c>
      <c r="H1117" s="2">
        <v>34990</v>
      </c>
    </row>
    <row r="1118" spans="1:8" x14ac:dyDescent="0.4">
      <c r="A1118" s="1" t="s">
        <v>43</v>
      </c>
      <c r="B1118" s="1">
        <v>10672</v>
      </c>
      <c r="C1118" s="1">
        <v>71</v>
      </c>
      <c r="D1118" s="1" t="s">
        <v>725</v>
      </c>
      <c r="E1118">
        <v>21.5</v>
      </c>
      <c r="F1118" s="1">
        <v>12</v>
      </c>
      <c r="G1118" s="1">
        <v>0</v>
      </c>
      <c r="H1118" s="2">
        <v>34990</v>
      </c>
    </row>
    <row r="1119" spans="1:8" x14ac:dyDescent="0.4">
      <c r="A1119" s="1" t="s">
        <v>661</v>
      </c>
      <c r="B1119" s="1">
        <v>10673</v>
      </c>
      <c r="C1119" s="1">
        <v>16</v>
      </c>
      <c r="D1119" s="1" t="s">
        <v>702</v>
      </c>
      <c r="E1119">
        <v>17.45</v>
      </c>
      <c r="F1119" s="1">
        <v>3</v>
      </c>
      <c r="G1119" s="1">
        <v>0</v>
      </c>
      <c r="H1119" s="2">
        <v>34991</v>
      </c>
    </row>
    <row r="1120" spans="1:8" x14ac:dyDescent="0.4">
      <c r="A1120" s="1" t="s">
        <v>661</v>
      </c>
      <c r="B1120" s="1">
        <v>10673</v>
      </c>
      <c r="C1120" s="1">
        <v>42</v>
      </c>
      <c r="D1120" s="1" t="s">
        <v>684</v>
      </c>
      <c r="E1120">
        <v>14</v>
      </c>
      <c r="F1120" s="1">
        <v>6</v>
      </c>
      <c r="G1120" s="1">
        <v>0</v>
      </c>
      <c r="H1120" s="2">
        <v>34991</v>
      </c>
    </row>
    <row r="1121" spans="1:8" x14ac:dyDescent="0.4">
      <c r="A1121" s="1" t="s">
        <v>661</v>
      </c>
      <c r="B1121" s="1">
        <v>10673</v>
      </c>
      <c r="C1121" s="1">
        <v>43</v>
      </c>
      <c r="D1121" s="1" t="s">
        <v>723</v>
      </c>
      <c r="E1121">
        <v>46</v>
      </c>
      <c r="F1121" s="1">
        <v>6</v>
      </c>
      <c r="G1121" s="1">
        <v>0</v>
      </c>
      <c r="H1121" s="2">
        <v>34991</v>
      </c>
    </row>
    <row r="1122" spans="1:8" x14ac:dyDescent="0.4">
      <c r="A1122" s="1" t="s">
        <v>297</v>
      </c>
      <c r="B1122" s="1">
        <v>10674</v>
      </c>
      <c r="C1122" s="1">
        <v>23</v>
      </c>
      <c r="D1122" s="1" t="s">
        <v>753</v>
      </c>
      <c r="E1122">
        <v>9</v>
      </c>
      <c r="F1122" s="1">
        <v>5</v>
      </c>
      <c r="G1122" s="1">
        <v>0</v>
      </c>
      <c r="H1122" s="2">
        <v>34991</v>
      </c>
    </row>
    <row r="1123" spans="1:8" x14ac:dyDescent="0.4">
      <c r="A1123" s="1" t="s">
        <v>198</v>
      </c>
      <c r="B1123" s="1">
        <v>10675</v>
      </c>
      <c r="C1123" s="1">
        <v>14</v>
      </c>
      <c r="D1123" s="1" t="s">
        <v>686</v>
      </c>
      <c r="E1123">
        <v>23.25</v>
      </c>
      <c r="F1123" s="1">
        <v>30</v>
      </c>
      <c r="G1123" s="1">
        <v>0</v>
      </c>
      <c r="H1123" s="2">
        <v>34992</v>
      </c>
    </row>
    <row r="1124" spans="1:8" x14ac:dyDescent="0.4">
      <c r="A1124" s="1" t="s">
        <v>198</v>
      </c>
      <c r="B1124" s="1">
        <v>10675</v>
      </c>
      <c r="C1124" s="1">
        <v>53</v>
      </c>
      <c r="D1124" s="1" t="s">
        <v>705</v>
      </c>
      <c r="E1124">
        <v>32.799999999999997</v>
      </c>
      <c r="F1124" s="1">
        <v>10</v>
      </c>
      <c r="G1124" s="1">
        <v>0</v>
      </c>
      <c r="H1124" s="2">
        <v>34992</v>
      </c>
    </row>
    <row r="1125" spans="1:8" x14ac:dyDescent="0.4">
      <c r="A1125" s="1" t="s">
        <v>198</v>
      </c>
      <c r="B1125" s="1">
        <v>10675</v>
      </c>
      <c r="C1125" s="1">
        <v>58</v>
      </c>
      <c r="D1125" s="1" t="s">
        <v>747</v>
      </c>
      <c r="E1125">
        <v>13.25</v>
      </c>
      <c r="F1125" s="1">
        <v>30</v>
      </c>
      <c r="G1125" s="1">
        <v>0</v>
      </c>
      <c r="H1125" s="2">
        <v>34992</v>
      </c>
    </row>
    <row r="1126" spans="1:8" x14ac:dyDescent="0.4">
      <c r="A1126" s="1" t="s">
        <v>593</v>
      </c>
      <c r="B1126" s="1">
        <v>10676</v>
      </c>
      <c r="C1126" s="1">
        <v>10</v>
      </c>
      <c r="D1126" s="1" t="s">
        <v>724</v>
      </c>
      <c r="E1126">
        <v>31</v>
      </c>
      <c r="F1126" s="1">
        <v>2</v>
      </c>
      <c r="G1126" s="1">
        <v>0</v>
      </c>
      <c r="H1126" s="2">
        <v>34995</v>
      </c>
    </row>
    <row r="1127" spans="1:8" x14ac:dyDescent="0.4">
      <c r="A1127" s="1" t="s">
        <v>593</v>
      </c>
      <c r="B1127" s="1">
        <v>10676</v>
      </c>
      <c r="C1127" s="1">
        <v>19</v>
      </c>
      <c r="D1127" s="1" t="s">
        <v>732</v>
      </c>
      <c r="E1127">
        <v>9.1999999999999993</v>
      </c>
      <c r="F1127" s="1">
        <v>7</v>
      </c>
      <c r="G1127" s="1">
        <v>0</v>
      </c>
      <c r="H1127" s="2">
        <v>34995</v>
      </c>
    </row>
    <row r="1128" spans="1:8" x14ac:dyDescent="0.4">
      <c r="A1128" s="1" t="s">
        <v>593</v>
      </c>
      <c r="B1128" s="1">
        <v>10676</v>
      </c>
      <c r="C1128" s="1">
        <v>44</v>
      </c>
      <c r="D1128" s="1" t="s">
        <v>728</v>
      </c>
      <c r="E1128">
        <v>19.45</v>
      </c>
      <c r="F1128" s="1">
        <v>21</v>
      </c>
      <c r="G1128" s="1">
        <v>0</v>
      </c>
      <c r="H1128" s="2">
        <v>34995</v>
      </c>
    </row>
    <row r="1129" spans="1:8" x14ac:dyDescent="0.4">
      <c r="A1129" s="1" t="s">
        <v>29</v>
      </c>
      <c r="B1129" s="1">
        <v>10677</v>
      </c>
      <c r="C1129" s="1">
        <v>26</v>
      </c>
      <c r="D1129" s="1" t="s">
        <v>751</v>
      </c>
      <c r="E1129">
        <v>31.23</v>
      </c>
      <c r="F1129" s="1">
        <v>30</v>
      </c>
      <c r="G1129" s="1">
        <v>0.15</v>
      </c>
      <c r="H1129" s="2">
        <v>34995</v>
      </c>
    </row>
    <row r="1130" spans="1:8" x14ac:dyDescent="0.4">
      <c r="A1130" s="1" t="s">
        <v>29</v>
      </c>
      <c r="B1130" s="1">
        <v>10677</v>
      </c>
      <c r="C1130" s="1">
        <v>33</v>
      </c>
      <c r="D1130" s="1" t="s">
        <v>693</v>
      </c>
      <c r="E1130">
        <v>2.5</v>
      </c>
      <c r="F1130" s="1">
        <v>8</v>
      </c>
      <c r="G1130" s="1">
        <v>0.15</v>
      </c>
      <c r="H1130" s="2">
        <v>34995</v>
      </c>
    </row>
    <row r="1131" spans="1:8" x14ac:dyDescent="0.4">
      <c r="A1131" s="1" t="s">
        <v>529</v>
      </c>
      <c r="B1131" s="1">
        <v>10678</v>
      </c>
      <c r="C1131" s="1">
        <v>12</v>
      </c>
      <c r="D1131" s="1" t="s">
        <v>719</v>
      </c>
      <c r="E1131">
        <v>38</v>
      </c>
      <c r="F1131" s="1">
        <v>100</v>
      </c>
      <c r="G1131" s="1">
        <v>0</v>
      </c>
      <c r="H1131" s="2">
        <v>34996</v>
      </c>
    </row>
    <row r="1132" spans="1:8" x14ac:dyDescent="0.4">
      <c r="A1132" s="1" t="s">
        <v>529</v>
      </c>
      <c r="B1132" s="1">
        <v>10678</v>
      </c>
      <c r="C1132" s="1">
        <v>33</v>
      </c>
      <c r="D1132" s="1" t="s">
        <v>693</v>
      </c>
      <c r="E1132">
        <v>2.5</v>
      </c>
      <c r="F1132" s="1">
        <v>30</v>
      </c>
      <c r="G1132" s="1">
        <v>0</v>
      </c>
      <c r="H1132" s="2">
        <v>34996</v>
      </c>
    </row>
    <row r="1133" spans="1:8" x14ac:dyDescent="0.4">
      <c r="A1133" s="1" t="s">
        <v>529</v>
      </c>
      <c r="B1133" s="1">
        <v>10678</v>
      </c>
      <c r="C1133" s="1">
        <v>41</v>
      </c>
      <c r="D1133" s="1" t="s">
        <v>688</v>
      </c>
      <c r="E1133">
        <v>9.65</v>
      </c>
      <c r="F1133" s="1">
        <v>120</v>
      </c>
      <c r="G1133" s="1">
        <v>0</v>
      </c>
      <c r="H1133" s="2">
        <v>34996</v>
      </c>
    </row>
    <row r="1134" spans="1:8" x14ac:dyDescent="0.4">
      <c r="A1134" s="1" t="s">
        <v>529</v>
      </c>
      <c r="B1134" s="1">
        <v>10678</v>
      </c>
      <c r="C1134" s="1">
        <v>54</v>
      </c>
      <c r="D1134" s="1" t="s">
        <v>738</v>
      </c>
      <c r="E1134">
        <v>7.45</v>
      </c>
      <c r="F1134" s="1">
        <v>30</v>
      </c>
      <c r="G1134" s="1">
        <v>0</v>
      </c>
      <c r="H1134" s="2">
        <v>34996</v>
      </c>
    </row>
    <row r="1135" spans="1:8" x14ac:dyDescent="0.4">
      <c r="A1135" s="1" t="s">
        <v>60</v>
      </c>
      <c r="B1135" s="1">
        <v>10679</v>
      </c>
      <c r="C1135" s="1">
        <v>59</v>
      </c>
      <c r="D1135" s="1" t="s">
        <v>704</v>
      </c>
      <c r="E1135">
        <v>55</v>
      </c>
      <c r="F1135" s="1">
        <v>12</v>
      </c>
      <c r="G1135" s="1">
        <v>0</v>
      </c>
      <c r="H1135" s="2">
        <v>34996</v>
      </c>
    </row>
    <row r="1136" spans="1:8" x14ac:dyDescent="0.4">
      <c r="A1136" s="1" t="s">
        <v>422</v>
      </c>
      <c r="B1136" s="1">
        <v>10680</v>
      </c>
      <c r="C1136" s="1">
        <v>16</v>
      </c>
      <c r="D1136" s="1" t="s">
        <v>702</v>
      </c>
      <c r="E1136">
        <v>17.45</v>
      </c>
      <c r="F1136" s="1">
        <v>50</v>
      </c>
      <c r="G1136" s="1">
        <v>0.25</v>
      </c>
      <c r="H1136" s="2">
        <v>34997</v>
      </c>
    </row>
    <row r="1137" spans="1:8" x14ac:dyDescent="0.4">
      <c r="A1137" s="1" t="s">
        <v>422</v>
      </c>
      <c r="B1137" s="1">
        <v>10680</v>
      </c>
      <c r="C1137" s="1">
        <v>31</v>
      </c>
      <c r="D1137" s="1" t="s">
        <v>695</v>
      </c>
      <c r="E1137">
        <v>12.5</v>
      </c>
      <c r="F1137" s="1">
        <v>20</v>
      </c>
      <c r="G1137" s="1">
        <v>0.25</v>
      </c>
      <c r="H1137" s="2">
        <v>34997</v>
      </c>
    </row>
    <row r="1138" spans="1:8" x14ac:dyDescent="0.4">
      <c r="A1138" s="1" t="s">
        <v>422</v>
      </c>
      <c r="B1138" s="1">
        <v>10680</v>
      </c>
      <c r="C1138" s="1">
        <v>42</v>
      </c>
      <c r="D1138" s="1" t="s">
        <v>684</v>
      </c>
      <c r="E1138">
        <v>14</v>
      </c>
      <c r="F1138" s="1">
        <v>40</v>
      </c>
      <c r="G1138" s="1">
        <v>0.25</v>
      </c>
      <c r="H1138" s="2">
        <v>34997</v>
      </c>
    </row>
    <row r="1139" spans="1:8" x14ac:dyDescent="0.4">
      <c r="A1139" s="1" t="s">
        <v>247</v>
      </c>
      <c r="B1139" s="1">
        <v>10681</v>
      </c>
      <c r="C1139" s="1">
        <v>19</v>
      </c>
      <c r="D1139" s="1" t="s">
        <v>732</v>
      </c>
      <c r="E1139">
        <v>9.1999999999999993</v>
      </c>
      <c r="F1139" s="1">
        <v>30</v>
      </c>
      <c r="G1139" s="1">
        <v>0.1</v>
      </c>
      <c r="H1139" s="2">
        <v>34998</v>
      </c>
    </row>
    <row r="1140" spans="1:8" x14ac:dyDescent="0.4">
      <c r="A1140" s="1" t="s">
        <v>247</v>
      </c>
      <c r="B1140" s="1">
        <v>10681</v>
      </c>
      <c r="C1140" s="1">
        <v>21</v>
      </c>
      <c r="D1140" s="1" t="s">
        <v>710</v>
      </c>
      <c r="E1140">
        <v>10</v>
      </c>
      <c r="F1140" s="1">
        <v>12</v>
      </c>
      <c r="G1140" s="1">
        <v>0.1</v>
      </c>
      <c r="H1140" s="2">
        <v>34998</v>
      </c>
    </row>
    <row r="1141" spans="1:8" x14ac:dyDescent="0.4">
      <c r="A1141" s="1" t="s">
        <v>247</v>
      </c>
      <c r="B1141" s="1">
        <v>10681</v>
      </c>
      <c r="C1141" s="1">
        <v>64</v>
      </c>
      <c r="D1141" s="1" t="s">
        <v>741</v>
      </c>
      <c r="E1141">
        <v>33.25</v>
      </c>
      <c r="F1141" s="1">
        <v>28</v>
      </c>
      <c r="G1141" s="1">
        <v>0</v>
      </c>
      <c r="H1141" s="2">
        <v>34998</v>
      </c>
    </row>
    <row r="1142" spans="1:8" x14ac:dyDescent="0.4">
      <c r="A1142" s="1" t="s">
        <v>29</v>
      </c>
      <c r="B1142" s="1">
        <v>10682</v>
      </c>
      <c r="C1142" s="1">
        <v>33</v>
      </c>
      <c r="D1142" s="1" t="s">
        <v>693</v>
      </c>
      <c r="E1142">
        <v>2.5</v>
      </c>
      <c r="F1142" s="1">
        <v>30</v>
      </c>
      <c r="G1142" s="1">
        <v>0</v>
      </c>
      <c r="H1142" s="2">
        <v>34998</v>
      </c>
    </row>
    <row r="1143" spans="1:8" x14ac:dyDescent="0.4">
      <c r="A1143" s="1" t="s">
        <v>29</v>
      </c>
      <c r="B1143" s="1">
        <v>10682</v>
      </c>
      <c r="C1143" s="1">
        <v>66</v>
      </c>
      <c r="D1143" s="1" t="s">
        <v>744</v>
      </c>
      <c r="E1143">
        <v>17</v>
      </c>
      <c r="F1143" s="1">
        <v>4</v>
      </c>
      <c r="G1143" s="1">
        <v>0</v>
      </c>
      <c r="H1143" s="2">
        <v>34998</v>
      </c>
    </row>
    <row r="1144" spans="1:8" x14ac:dyDescent="0.4">
      <c r="A1144" s="1" t="s">
        <v>29</v>
      </c>
      <c r="B1144" s="1">
        <v>10682</v>
      </c>
      <c r="C1144" s="1">
        <v>75</v>
      </c>
      <c r="D1144" s="1" t="s">
        <v>731</v>
      </c>
      <c r="E1144">
        <v>7.75</v>
      </c>
      <c r="F1144" s="1">
        <v>30</v>
      </c>
      <c r="G1144" s="1">
        <v>0</v>
      </c>
      <c r="H1144" s="2">
        <v>34998</v>
      </c>
    </row>
    <row r="1145" spans="1:8" x14ac:dyDescent="0.4">
      <c r="A1145" s="1" t="s">
        <v>147</v>
      </c>
      <c r="B1145" s="1">
        <v>10683</v>
      </c>
      <c r="C1145" s="1">
        <v>52</v>
      </c>
      <c r="D1145" s="1" t="s">
        <v>748</v>
      </c>
      <c r="E1145">
        <v>7</v>
      </c>
      <c r="F1145" s="1">
        <v>9</v>
      </c>
      <c r="G1145" s="1">
        <v>0</v>
      </c>
      <c r="H1145" s="2">
        <v>34999</v>
      </c>
    </row>
    <row r="1146" spans="1:8" x14ac:dyDescent="0.4">
      <c r="A1146" s="1" t="s">
        <v>430</v>
      </c>
      <c r="B1146" s="1">
        <v>10684</v>
      </c>
      <c r="C1146" s="1">
        <v>40</v>
      </c>
      <c r="D1146" s="1" t="s">
        <v>720</v>
      </c>
      <c r="E1146">
        <v>18.399999999999999</v>
      </c>
      <c r="F1146" s="1">
        <v>20</v>
      </c>
      <c r="G1146" s="1">
        <v>0</v>
      </c>
      <c r="H1146" s="2">
        <v>34999</v>
      </c>
    </row>
    <row r="1147" spans="1:8" x14ac:dyDescent="0.4">
      <c r="A1147" s="1" t="s">
        <v>430</v>
      </c>
      <c r="B1147" s="1">
        <v>10684</v>
      </c>
      <c r="C1147" s="1">
        <v>47</v>
      </c>
      <c r="D1147" s="1" t="s">
        <v>752</v>
      </c>
      <c r="E1147">
        <v>9.5</v>
      </c>
      <c r="F1147" s="1">
        <v>40</v>
      </c>
      <c r="G1147" s="1">
        <v>0</v>
      </c>
      <c r="H1147" s="2">
        <v>34999</v>
      </c>
    </row>
    <row r="1148" spans="1:8" x14ac:dyDescent="0.4">
      <c r="A1148" s="1" t="s">
        <v>430</v>
      </c>
      <c r="B1148" s="1">
        <v>10684</v>
      </c>
      <c r="C1148" s="1">
        <v>60</v>
      </c>
      <c r="D1148" s="1" t="s">
        <v>694</v>
      </c>
      <c r="E1148">
        <v>34</v>
      </c>
      <c r="F1148" s="1">
        <v>30</v>
      </c>
      <c r="G1148" s="1">
        <v>0</v>
      </c>
      <c r="H1148" s="2">
        <v>34999</v>
      </c>
    </row>
    <row r="1149" spans="1:8" x14ac:dyDescent="0.4">
      <c r="A1149" s="1" t="s">
        <v>240</v>
      </c>
      <c r="B1149" s="1">
        <v>10685</v>
      </c>
      <c r="C1149" s="1">
        <v>10</v>
      </c>
      <c r="D1149" s="1" t="s">
        <v>724</v>
      </c>
      <c r="E1149">
        <v>31</v>
      </c>
      <c r="F1149" s="1">
        <v>20</v>
      </c>
      <c r="G1149" s="1">
        <v>0</v>
      </c>
      <c r="H1149" s="2">
        <v>35002</v>
      </c>
    </row>
    <row r="1150" spans="1:8" x14ac:dyDescent="0.4">
      <c r="A1150" s="1" t="s">
        <v>240</v>
      </c>
      <c r="B1150" s="1">
        <v>10685</v>
      </c>
      <c r="C1150" s="1">
        <v>41</v>
      </c>
      <c r="D1150" s="1" t="s">
        <v>688</v>
      </c>
      <c r="E1150">
        <v>9.65</v>
      </c>
      <c r="F1150" s="1">
        <v>4</v>
      </c>
      <c r="G1150" s="1">
        <v>0</v>
      </c>
      <c r="H1150" s="2">
        <v>35002</v>
      </c>
    </row>
    <row r="1151" spans="1:8" x14ac:dyDescent="0.4">
      <c r="A1151" s="1" t="s">
        <v>240</v>
      </c>
      <c r="B1151" s="1">
        <v>10685</v>
      </c>
      <c r="C1151" s="1">
        <v>47</v>
      </c>
      <c r="D1151" s="1" t="s">
        <v>752</v>
      </c>
      <c r="E1151">
        <v>9.5</v>
      </c>
      <c r="F1151" s="1">
        <v>15</v>
      </c>
      <c r="G1151" s="1">
        <v>0</v>
      </c>
      <c r="H1151" s="2">
        <v>35002</v>
      </c>
    </row>
    <row r="1152" spans="1:8" x14ac:dyDescent="0.4">
      <c r="A1152" s="1" t="s">
        <v>450</v>
      </c>
      <c r="B1152" s="1">
        <v>10686</v>
      </c>
      <c r="C1152" s="1">
        <v>17</v>
      </c>
      <c r="D1152" s="1" t="s">
        <v>718</v>
      </c>
      <c r="E1152">
        <v>39</v>
      </c>
      <c r="F1152" s="1">
        <v>30</v>
      </c>
      <c r="G1152" s="1">
        <v>0.2</v>
      </c>
      <c r="H1152" s="2">
        <v>35003</v>
      </c>
    </row>
    <row r="1153" spans="1:8" x14ac:dyDescent="0.4">
      <c r="A1153" s="1" t="s">
        <v>450</v>
      </c>
      <c r="B1153" s="1">
        <v>10686</v>
      </c>
      <c r="C1153" s="1">
        <v>26</v>
      </c>
      <c r="D1153" s="1" t="s">
        <v>751</v>
      </c>
      <c r="E1153">
        <v>31.23</v>
      </c>
      <c r="F1153" s="1">
        <v>15</v>
      </c>
      <c r="G1153" s="1">
        <v>0</v>
      </c>
      <c r="H1153" s="2">
        <v>35003</v>
      </c>
    </row>
    <row r="1154" spans="1:8" x14ac:dyDescent="0.4">
      <c r="A1154" s="1" t="s">
        <v>288</v>
      </c>
      <c r="B1154" s="1">
        <v>10687</v>
      </c>
      <c r="C1154" s="1">
        <v>9</v>
      </c>
      <c r="D1154" s="1" t="s">
        <v>759</v>
      </c>
      <c r="E1154">
        <v>97</v>
      </c>
      <c r="F1154" s="1">
        <v>50</v>
      </c>
      <c r="G1154" s="1">
        <v>0.25</v>
      </c>
      <c r="H1154" s="2">
        <v>35003</v>
      </c>
    </row>
    <row r="1155" spans="1:8" x14ac:dyDescent="0.4">
      <c r="A1155" s="1" t="s">
        <v>288</v>
      </c>
      <c r="B1155" s="1">
        <v>10687</v>
      </c>
      <c r="C1155" s="1">
        <v>29</v>
      </c>
      <c r="D1155" s="1" t="s">
        <v>722</v>
      </c>
      <c r="E1155">
        <v>123.79</v>
      </c>
      <c r="F1155" s="1">
        <v>10</v>
      </c>
      <c r="G1155" s="1">
        <v>0</v>
      </c>
      <c r="H1155" s="2">
        <v>35003</v>
      </c>
    </row>
    <row r="1156" spans="1:8" x14ac:dyDescent="0.4">
      <c r="A1156" s="1" t="s">
        <v>288</v>
      </c>
      <c r="B1156" s="1">
        <v>10687</v>
      </c>
      <c r="C1156" s="1">
        <v>36</v>
      </c>
      <c r="D1156" s="1" t="s">
        <v>703</v>
      </c>
      <c r="E1156">
        <v>19</v>
      </c>
      <c r="F1156" s="1">
        <v>6</v>
      </c>
      <c r="G1156" s="1">
        <v>0.25</v>
      </c>
      <c r="H1156" s="2">
        <v>35003</v>
      </c>
    </row>
    <row r="1157" spans="1:8" x14ac:dyDescent="0.4">
      <c r="A1157" s="1" t="s">
        <v>612</v>
      </c>
      <c r="B1157" s="1">
        <v>10688</v>
      </c>
      <c r="C1157" s="1">
        <v>10</v>
      </c>
      <c r="D1157" s="1" t="s">
        <v>724</v>
      </c>
      <c r="E1157">
        <v>31</v>
      </c>
      <c r="F1157" s="1">
        <v>18</v>
      </c>
      <c r="G1157" s="1">
        <v>0.1</v>
      </c>
      <c r="H1157" s="2">
        <v>35004</v>
      </c>
    </row>
    <row r="1158" spans="1:8" x14ac:dyDescent="0.4">
      <c r="A1158" s="1" t="s">
        <v>612</v>
      </c>
      <c r="B1158" s="1">
        <v>10688</v>
      </c>
      <c r="C1158" s="1">
        <v>28</v>
      </c>
      <c r="D1158" s="1" t="s">
        <v>727</v>
      </c>
      <c r="E1158">
        <v>45.6</v>
      </c>
      <c r="F1158" s="1">
        <v>60</v>
      </c>
      <c r="G1158" s="1">
        <v>0.1</v>
      </c>
      <c r="H1158" s="2">
        <v>35004</v>
      </c>
    </row>
    <row r="1159" spans="1:8" x14ac:dyDescent="0.4">
      <c r="A1159" s="1" t="s">
        <v>612</v>
      </c>
      <c r="B1159" s="1">
        <v>10688</v>
      </c>
      <c r="C1159" s="1">
        <v>34</v>
      </c>
      <c r="D1159" s="1" t="s">
        <v>736</v>
      </c>
      <c r="E1159">
        <v>14</v>
      </c>
      <c r="F1159" s="1">
        <v>14</v>
      </c>
      <c r="G1159" s="1">
        <v>0</v>
      </c>
      <c r="H1159" s="2">
        <v>35004</v>
      </c>
    </row>
    <row r="1160" spans="1:8" x14ac:dyDescent="0.4">
      <c r="A1160" s="1" t="s">
        <v>43</v>
      </c>
      <c r="B1160" s="1">
        <v>10689</v>
      </c>
      <c r="C1160" s="1">
        <v>1</v>
      </c>
      <c r="D1160" s="1" t="s">
        <v>735</v>
      </c>
      <c r="E1160">
        <v>18</v>
      </c>
      <c r="F1160" s="1">
        <v>35</v>
      </c>
      <c r="G1160" s="1">
        <v>0.25</v>
      </c>
      <c r="H1160" s="2">
        <v>35004</v>
      </c>
    </row>
    <row r="1161" spans="1:8" x14ac:dyDescent="0.4">
      <c r="A1161" s="1" t="s">
        <v>264</v>
      </c>
      <c r="B1161" s="1">
        <v>10690</v>
      </c>
      <c r="C1161" s="1">
        <v>56</v>
      </c>
      <c r="D1161" s="1" t="s">
        <v>716</v>
      </c>
      <c r="E1161">
        <v>38</v>
      </c>
      <c r="F1161" s="1">
        <v>20</v>
      </c>
      <c r="G1161" s="1">
        <v>0.25</v>
      </c>
      <c r="H1161" s="2">
        <v>35005</v>
      </c>
    </row>
    <row r="1162" spans="1:8" x14ac:dyDescent="0.4">
      <c r="A1162" s="1" t="s">
        <v>264</v>
      </c>
      <c r="B1162" s="1">
        <v>10690</v>
      </c>
      <c r="C1162" s="1">
        <v>77</v>
      </c>
      <c r="D1162" s="1" t="s">
        <v>706</v>
      </c>
      <c r="E1162">
        <v>13</v>
      </c>
      <c r="F1162" s="1">
        <v>30</v>
      </c>
      <c r="G1162" s="1">
        <v>0.25</v>
      </c>
      <c r="H1162" s="2">
        <v>35005</v>
      </c>
    </row>
    <row r="1163" spans="1:8" x14ac:dyDescent="0.4">
      <c r="A1163" s="1" t="s">
        <v>475</v>
      </c>
      <c r="B1163" s="1">
        <v>10691</v>
      </c>
      <c r="C1163" s="1">
        <v>1</v>
      </c>
      <c r="D1163" s="1" t="s">
        <v>735</v>
      </c>
      <c r="E1163">
        <v>18</v>
      </c>
      <c r="F1163" s="1">
        <v>30</v>
      </c>
      <c r="G1163" s="1">
        <v>0</v>
      </c>
      <c r="H1163" s="2">
        <v>35006</v>
      </c>
    </row>
    <row r="1164" spans="1:8" x14ac:dyDescent="0.4">
      <c r="A1164" s="1" t="s">
        <v>475</v>
      </c>
      <c r="B1164" s="1">
        <v>10691</v>
      </c>
      <c r="C1164" s="1">
        <v>29</v>
      </c>
      <c r="D1164" s="1" t="s">
        <v>722</v>
      </c>
      <c r="E1164">
        <v>123.79</v>
      </c>
      <c r="F1164" s="1">
        <v>40</v>
      </c>
      <c r="G1164" s="1">
        <v>0</v>
      </c>
      <c r="H1164" s="2">
        <v>35006</v>
      </c>
    </row>
    <row r="1165" spans="1:8" x14ac:dyDescent="0.4">
      <c r="A1165" s="1" t="s">
        <v>475</v>
      </c>
      <c r="B1165" s="1">
        <v>10691</v>
      </c>
      <c r="C1165" s="1">
        <v>43</v>
      </c>
      <c r="D1165" s="1" t="s">
        <v>723</v>
      </c>
      <c r="E1165">
        <v>46</v>
      </c>
      <c r="F1165" s="1">
        <v>40</v>
      </c>
      <c r="G1165" s="1">
        <v>0</v>
      </c>
      <c r="H1165" s="2">
        <v>35006</v>
      </c>
    </row>
    <row r="1166" spans="1:8" x14ac:dyDescent="0.4">
      <c r="A1166" s="1" t="s">
        <v>475</v>
      </c>
      <c r="B1166" s="1">
        <v>10691</v>
      </c>
      <c r="C1166" s="1">
        <v>44</v>
      </c>
      <c r="D1166" s="1" t="s">
        <v>728</v>
      </c>
      <c r="E1166">
        <v>19.45</v>
      </c>
      <c r="F1166" s="1">
        <v>24</v>
      </c>
      <c r="G1166" s="1">
        <v>0</v>
      </c>
      <c r="H1166" s="2">
        <v>35006</v>
      </c>
    </row>
    <row r="1167" spans="1:8" x14ac:dyDescent="0.4">
      <c r="A1167" s="1" t="s">
        <v>475</v>
      </c>
      <c r="B1167" s="1">
        <v>10691</v>
      </c>
      <c r="C1167" s="1">
        <v>62</v>
      </c>
      <c r="D1167" s="1" t="s">
        <v>712</v>
      </c>
      <c r="E1167">
        <v>49.3</v>
      </c>
      <c r="F1167" s="1">
        <v>48</v>
      </c>
      <c r="G1167" s="1">
        <v>0</v>
      </c>
      <c r="H1167" s="2">
        <v>35006</v>
      </c>
    </row>
    <row r="1168" spans="1:8" x14ac:dyDescent="0.4">
      <c r="A1168" s="1" t="s">
        <v>11</v>
      </c>
      <c r="B1168" s="1">
        <v>10692</v>
      </c>
      <c r="C1168" s="1">
        <v>63</v>
      </c>
      <c r="D1168" s="1" t="s">
        <v>729</v>
      </c>
      <c r="E1168">
        <v>43.9</v>
      </c>
      <c r="F1168" s="1">
        <v>20</v>
      </c>
      <c r="G1168" s="1">
        <v>0</v>
      </c>
      <c r="H1168" s="2">
        <v>35006</v>
      </c>
    </row>
    <row r="1169" spans="1:8" x14ac:dyDescent="0.4">
      <c r="A1169" s="1" t="s">
        <v>654</v>
      </c>
      <c r="B1169" s="1">
        <v>10693</v>
      </c>
      <c r="C1169" s="1">
        <v>9</v>
      </c>
      <c r="D1169" s="1" t="s">
        <v>759</v>
      </c>
      <c r="E1169">
        <v>97</v>
      </c>
      <c r="F1169" s="1">
        <v>6</v>
      </c>
      <c r="G1169" s="1">
        <v>0</v>
      </c>
      <c r="H1169" s="2">
        <v>35009</v>
      </c>
    </row>
    <row r="1170" spans="1:8" x14ac:dyDescent="0.4">
      <c r="A1170" s="1" t="s">
        <v>654</v>
      </c>
      <c r="B1170" s="1">
        <v>10693</v>
      </c>
      <c r="C1170" s="1">
        <v>54</v>
      </c>
      <c r="D1170" s="1" t="s">
        <v>738</v>
      </c>
      <c r="E1170">
        <v>7.45</v>
      </c>
      <c r="F1170" s="1">
        <v>60</v>
      </c>
      <c r="G1170" s="1">
        <v>0.15</v>
      </c>
      <c r="H1170" s="2">
        <v>35009</v>
      </c>
    </row>
    <row r="1171" spans="1:8" x14ac:dyDescent="0.4">
      <c r="A1171" s="1" t="s">
        <v>654</v>
      </c>
      <c r="B1171" s="1">
        <v>10693</v>
      </c>
      <c r="C1171" s="1">
        <v>69</v>
      </c>
      <c r="D1171" s="1" t="s">
        <v>743</v>
      </c>
      <c r="E1171">
        <v>36</v>
      </c>
      <c r="F1171" s="1">
        <v>30</v>
      </c>
      <c r="G1171" s="1">
        <v>0.15</v>
      </c>
      <c r="H1171" s="2">
        <v>35009</v>
      </c>
    </row>
    <row r="1172" spans="1:8" x14ac:dyDescent="0.4">
      <c r="A1172" s="1" t="s">
        <v>654</v>
      </c>
      <c r="B1172" s="1">
        <v>10693</v>
      </c>
      <c r="C1172" s="1">
        <v>73</v>
      </c>
      <c r="D1172" s="1" t="s">
        <v>730</v>
      </c>
      <c r="E1172">
        <v>15</v>
      </c>
      <c r="F1172" s="1">
        <v>15</v>
      </c>
      <c r="G1172" s="1">
        <v>0.15</v>
      </c>
      <c r="H1172" s="2">
        <v>35009</v>
      </c>
    </row>
    <row r="1173" spans="1:8" x14ac:dyDescent="0.4">
      <c r="A1173" s="1" t="s">
        <v>475</v>
      </c>
      <c r="B1173" s="1">
        <v>10694</v>
      </c>
      <c r="C1173" s="1">
        <v>7</v>
      </c>
      <c r="D1173" s="1" t="s">
        <v>715</v>
      </c>
      <c r="E1173">
        <v>30</v>
      </c>
      <c r="F1173" s="1">
        <v>90</v>
      </c>
      <c r="G1173" s="1">
        <v>0</v>
      </c>
      <c r="H1173" s="2">
        <v>35009</v>
      </c>
    </row>
    <row r="1174" spans="1:8" x14ac:dyDescent="0.4">
      <c r="A1174" s="1" t="s">
        <v>475</v>
      </c>
      <c r="B1174" s="1">
        <v>10694</v>
      </c>
      <c r="C1174" s="1">
        <v>59</v>
      </c>
      <c r="D1174" s="1" t="s">
        <v>704</v>
      </c>
      <c r="E1174">
        <v>55</v>
      </c>
      <c r="F1174" s="1">
        <v>25</v>
      </c>
      <c r="G1174" s="1">
        <v>0</v>
      </c>
      <c r="H1174" s="2">
        <v>35009</v>
      </c>
    </row>
    <row r="1175" spans="1:8" x14ac:dyDescent="0.4">
      <c r="A1175" s="1" t="s">
        <v>475</v>
      </c>
      <c r="B1175" s="1">
        <v>10694</v>
      </c>
      <c r="C1175" s="1">
        <v>70</v>
      </c>
      <c r="D1175" s="1" t="s">
        <v>713</v>
      </c>
      <c r="E1175">
        <v>15</v>
      </c>
      <c r="F1175" s="1">
        <v>50</v>
      </c>
      <c r="G1175" s="1">
        <v>0</v>
      </c>
      <c r="H1175" s="2">
        <v>35009</v>
      </c>
    </row>
    <row r="1176" spans="1:8" x14ac:dyDescent="0.4">
      <c r="A1176" s="1" t="s">
        <v>661</v>
      </c>
      <c r="B1176" s="1">
        <v>10695</v>
      </c>
      <c r="C1176" s="1">
        <v>8</v>
      </c>
      <c r="D1176" s="1" t="s">
        <v>754</v>
      </c>
      <c r="E1176">
        <v>40</v>
      </c>
      <c r="F1176" s="1">
        <v>10</v>
      </c>
      <c r="G1176" s="1">
        <v>0</v>
      </c>
      <c r="H1176" s="2">
        <v>35010</v>
      </c>
    </row>
    <row r="1177" spans="1:8" x14ac:dyDescent="0.4">
      <c r="A1177" s="1" t="s">
        <v>661</v>
      </c>
      <c r="B1177" s="1">
        <v>10695</v>
      </c>
      <c r="C1177" s="1">
        <v>12</v>
      </c>
      <c r="D1177" s="1" t="s">
        <v>719</v>
      </c>
      <c r="E1177">
        <v>38</v>
      </c>
      <c r="F1177" s="1">
        <v>4</v>
      </c>
      <c r="G1177" s="1">
        <v>0</v>
      </c>
      <c r="H1177" s="2">
        <v>35010</v>
      </c>
    </row>
    <row r="1178" spans="1:8" x14ac:dyDescent="0.4">
      <c r="A1178" s="1" t="s">
        <v>661</v>
      </c>
      <c r="B1178" s="1">
        <v>10695</v>
      </c>
      <c r="C1178" s="1">
        <v>24</v>
      </c>
      <c r="D1178" s="1" t="s">
        <v>698</v>
      </c>
      <c r="E1178">
        <v>4.5</v>
      </c>
      <c r="F1178" s="1">
        <v>20</v>
      </c>
      <c r="G1178" s="1">
        <v>0</v>
      </c>
      <c r="H1178" s="2">
        <v>35010</v>
      </c>
    </row>
    <row r="1179" spans="1:8" x14ac:dyDescent="0.4">
      <c r="A1179" s="1" t="s">
        <v>654</v>
      </c>
      <c r="B1179" s="1">
        <v>10696</v>
      </c>
      <c r="C1179" s="1">
        <v>17</v>
      </c>
      <c r="D1179" s="1" t="s">
        <v>718</v>
      </c>
      <c r="E1179">
        <v>39</v>
      </c>
      <c r="F1179" s="1">
        <v>20</v>
      </c>
      <c r="G1179" s="1">
        <v>0</v>
      </c>
      <c r="H1179" s="2">
        <v>35011</v>
      </c>
    </row>
    <row r="1180" spans="1:8" x14ac:dyDescent="0.4">
      <c r="A1180" s="1" t="s">
        <v>654</v>
      </c>
      <c r="B1180" s="1">
        <v>10696</v>
      </c>
      <c r="C1180" s="1">
        <v>46</v>
      </c>
      <c r="D1180" s="1" t="s">
        <v>737</v>
      </c>
      <c r="E1180">
        <v>12</v>
      </c>
      <c r="F1180" s="1">
        <v>18</v>
      </c>
      <c r="G1180" s="1">
        <v>0</v>
      </c>
      <c r="H1180" s="2">
        <v>35011</v>
      </c>
    </row>
    <row r="1181" spans="1:8" x14ac:dyDescent="0.4">
      <c r="A1181" s="1" t="s">
        <v>363</v>
      </c>
      <c r="B1181" s="1">
        <v>10697</v>
      </c>
      <c r="C1181" s="1">
        <v>19</v>
      </c>
      <c r="D1181" s="1" t="s">
        <v>732</v>
      </c>
      <c r="E1181">
        <v>9.1999999999999993</v>
      </c>
      <c r="F1181" s="1">
        <v>7</v>
      </c>
      <c r="G1181" s="1">
        <v>0.25</v>
      </c>
      <c r="H1181" s="2">
        <v>35011</v>
      </c>
    </row>
    <row r="1182" spans="1:8" x14ac:dyDescent="0.4">
      <c r="A1182" s="1" t="s">
        <v>363</v>
      </c>
      <c r="B1182" s="1">
        <v>10697</v>
      </c>
      <c r="C1182" s="1">
        <v>35</v>
      </c>
      <c r="D1182" s="1" t="s">
        <v>714</v>
      </c>
      <c r="E1182">
        <v>18</v>
      </c>
      <c r="F1182" s="1">
        <v>9</v>
      </c>
      <c r="G1182" s="1">
        <v>0.25</v>
      </c>
      <c r="H1182" s="2">
        <v>35011</v>
      </c>
    </row>
    <row r="1183" spans="1:8" x14ac:dyDescent="0.4">
      <c r="A1183" s="1" t="s">
        <v>363</v>
      </c>
      <c r="B1183" s="1">
        <v>10697</v>
      </c>
      <c r="C1183" s="1">
        <v>58</v>
      </c>
      <c r="D1183" s="1" t="s">
        <v>747</v>
      </c>
      <c r="E1183">
        <v>13.25</v>
      </c>
      <c r="F1183" s="1">
        <v>30</v>
      </c>
      <c r="G1183" s="1">
        <v>0.25</v>
      </c>
      <c r="H1183" s="2">
        <v>35011</v>
      </c>
    </row>
    <row r="1184" spans="1:8" x14ac:dyDescent="0.4">
      <c r="A1184" s="1" t="s">
        <v>363</v>
      </c>
      <c r="B1184" s="1">
        <v>10697</v>
      </c>
      <c r="C1184" s="1">
        <v>70</v>
      </c>
      <c r="D1184" s="1" t="s">
        <v>713</v>
      </c>
      <c r="E1184">
        <v>15</v>
      </c>
      <c r="F1184" s="1">
        <v>30</v>
      </c>
      <c r="G1184" s="1">
        <v>0.25</v>
      </c>
      <c r="H1184" s="2">
        <v>35011</v>
      </c>
    </row>
    <row r="1185" spans="1:8" x14ac:dyDescent="0.4">
      <c r="A1185" s="1" t="s">
        <v>161</v>
      </c>
      <c r="B1185" s="1">
        <v>10698</v>
      </c>
      <c r="C1185" s="1">
        <v>11</v>
      </c>
      <c r="D1185" s="1" t="s">
        <v>683</v>
      </c>
      <c r="E1185">
        <v>21</v>
      </c>
      <c r="F1185" s="1">
        <v>15</v>
      </c>
      <c r="G1185" s="1">
        <v>0</v>
      </c>
      <c r="H1185" s="2">
        <v>35012</v>
      </c>
    </row>
    <row r="1186" spans="1:8" x14ac:dyDescent="0.4">
      <c r="A1186" s="1" t="s">
        <v>161</v>
      </c>
      <c r="B1186" s="1">
        <v>10698</v>
      </c>
      <c r="C1186" s="1">
        <v>17</v>
      </c>
      <c r="D1186" s="1" t="s">
        <v>718</v>
      </c>
      <c r="E1186">
        <v>39</v>
      </c>
      <c r="F1186" s="1">
        <v>8</v>
      </c>
      <c r="G1186" s="1">
        <v>0.05</v>
      </c>
      <c r="H1186" s="2">
        <v>35012</v>
      </c>
    </row>
    <row r="1187" spans="1:8" x14ac:dyDescent="0.4">
      <c r="A1187" s="1" t="s">
        <v>161</v>
      </c>
      <c r="B1187" s="1">
        <v>10698</v>
      </c>
      <c r="C1187" s="1">
        <v>29</v>
      </c>
      <c r="D1187" s="1" t="s">
        <v>722</v>
      </c>
      <c r="E1187">
        <v>123.79</v>
      </c>
      <c r="F1187" s="1">
        <v>12</v>
      </c>
      <c r="G1187" s="1">
        <v>0.05</v>
      </c>
      <c r="H1187" s="2">
        <v>35012</v>
      </c>
    </row>
    <row r="1188" spans="1:8" x14ac:dyDescent="0.4">
      <c r="A1188" s="1" t="s">
        <v>161</v>
      </c>
      <c r="B1188" s="1">
        <v>10698</v>
      </c>
      <c r="C1188" s="1">
        <v>65</v>
      </c>
      <c r="D1188" s="1" t="s">
        <v>689</v>
      </c>
      <c r="E1188">
        <v>21.05</v>
      </c>
      <c r="F1188" s="1">
        <v>65</v>
      </c>
      <c r="G1188" s="1">
        <v>0.05</v>
      </c>
      <c r="H1188" s="2">
        <v>35012</v>
      </c>
    </row>
    <row r="1189" spans="1:8" x14ac:dyDescent="0.4">
      <c r="A1189" s="1" t="s">
        <v>161</v>
      </c>
      <c r="B1189" s="1">
        <v>10698</v>
      </c>
      <c r="C1189" s="1">
        <v>70</v>
      </c>
      <c r="D1189" s="1" t="s">
        <v>713</v>
      </c>
      <c r="E1189">
        <v>15</v>
      </c>
      <c r="F1189" s="1">
        <v>8</v>
      </c>
      <c r="G1189" s="1">
        <v>0.05</v>
      </c>
      <c r="H1189" s="2">
        <v>35012</v>
      </c>
    </row>
    <row r="1190" spans="1:8" x14ac:dyDescent="0.4">
      <c r="A1190" s="1" t="s">
        <v>403</v>
      </c>
      <c r="B1190" s="1">
        <v>10699</v>
      </c>
      <c r="C1190" s="1">
        <v>47</v>
      </c>
      <c r="D1190" s="1" t="s">
        <v>752</v>
      </c>
      <c r="E1190">
        <v>9.5</v>
      </c>
      <c r="F1190" s="1">
        <v>12</v>
      </c>
      <c r="G1190" s="1">
        <v>0</v>
      </c>
      <c r="H1190" s="2">
        <v>35012</v>
      </c>
    </row>
    <row r="1191" spans="1:8" x14ac:dyDescent="0.4">
      <c r="A1191" s="1" t="s">
        <v>529</v>
      </c>
      <c r="B1191" s="1">
        <v>10700</v>
      </c>
      <c r="C1191" s="1">
        <v>1</v>
      </c>
      <c r="D1191" s="1" t="s">
        <v>735</v>
      </c>
      <c r="E1191">
        <v>18</v>
      </c>
      <c r="F1191" s="1">
        <v>5</v>
      </c>
      <c r="G1191" s="1">
        <v>0.2</v>
      </c>
      <c r="H1191" s="2">
        <v>35013</v>
      </c>
    </row>
    <row r="1192" spans="1:8" x14ac:dyDescent="0.4">
      <c r="A1192" s="1" t="s">
        <v>529</v>
      </c>
      <c r="B1192" s="1">
        <v>10700</v>
      </c>
      <c r="C1192" s="1">
        <v>34</v>
      </c>
      <c r="D1192" s="1" t="s">
        <v>736</v>
      </c>
      <c r="E1192">
        <v>14</v>
      </c>
      <c r="F1192" s="1">
        <v>12</v>
      </c>
      <c r="G1192" s="1">
        <v>0.2</v>
      </c>
      <c r="H1192" s="2">
        <v>35013</v>
      </c>
    </row>
    <row r="1193" spans="1:8" x14ac:dyDescent="0.4">
      <c r="A1193" s="1" t="s">
        <v>529</v>
      </c>
      <c r="B1193" s="1">
        <v>10700</v>
      </c>
      <c r="C1193" s="1">
        <v>68</v>
      </c>
      <c r="D1193" s="1" t="s">
        <v>739</v>
      </c>
      <c r="E1193">
        <v>12.5</v>
      </c>
      <c r="F1193" s="1">
        <v>40</v>
      </c>
      <c r="G1193" s="1">
        <v>0.2</v>
      </c>
      <c r="H1193" s="2">
        <v>35013</v>
      </c>
    </row>
    <row r="1194" spans="1:8" x14ac:dyDescent="0.4">
      <c r="A1194" s="1" t="s">
        <v>529</v>
      </c>
      <c r="B1194" s="1">
        <v>10700</v>
      </c>
      <c r="C1194" s="1">
        <v>71</v>
      </c>
      <c r="D1194" s="1" t="s">
        <v>725</v>
      </c>
      <c r="E1194">
        <v>21.5</v>
      </c>
      <c r="F1194" s="1">
        <v>60</v>
      </c>
      <c r="G1194" s="1">
        <v>0.2</v>
      </c>
      <c r="H1194" s="2">
        <v>35013</v>
      </c>
    </row>
    <row r="1195" spans="1:8" x14ac:dyDescent="0.4">
      <c r="A1195" s="1" t="s">
        <v>288</v>
      </c>
      <c r="B1195" s="1">
        <v>10701</v>
      </c>
      <c r="C1195" s="1">
        <v>59</v>
      </c>
      <c r="D1195" s="1" t="s">
        <v>704</v>
      </c>
      <c r="E1195">
        <v>55</v>
      </c>
      <c r="F1195" s="1">
        <v>42</v>
      </c>
      <c r="G1195" s="1">
        <v>0.15</v>
      </c>
      <c r="H1195" s="2">
        <v>35016</v>
      </c>
    </row>
    <row r="1196" spans="1:8" x14ac:dyDescent="0.4">
      <c r="A1196" s="1" t="s">
        <v>288</v>
      </c>
      <c r="B1196" s="1">
        <v>10701</v>
      </c>
      <c r="C1196" s="1">
        <v>71</v>
      </c>
      <c r="D1196" s="1" t="s">
        <v>725</v>
      </c>
      <c r="E1196">
        <v>21.5</v>
      </c>
      <c r="F1196" s="1">
        <v>20</v>
      </c>
      <c r="G1196" s="1">
        <v>0.15</v>
      </c>
      <c r="H1196" s="2">
        <v>35016</v>
      </c>
    </row>
    <row r="1197" spans="1:8" x14ac:dyDescent="0.4">
      <c r="A1197" s="1" t="s">
        <v>288</v>
      </c>
      <c r="B1197" s="1">
        <v>10701</v>
      </c>
      <c r="C1197" s="1">
        <v>76</v>
      </c>
      <c r="D1197" s="1" t="s">
        <v>721</v>
      </c>
      <c r="E1197">
        <v>18</v>
      </c>
      <c r="F1197" s="1">
        <v>35</v>
      </c>
      <c r="G1197" s="1">
        <v>0.15</v>
      </c>
      <c r="H1197" s="2">
        <v>35016</v>
      </c>
    </row>
    <row r="1198" spans="1:8" x14ac:dyDescent="0.4">
      <c r="A1198" s="1" t="s">
        <v>11</v>
      </c>
      <c r="B1198" s="1">
        <v>10702</v>
      </c>
      <c r="C1198" s="1">
        <v>3</v>
      </c>
      <c r="D1198" s="1" t="s">
        <v>740</v>
      </c>
      <c r="E1198">
        <v>10</v>
      </c>
      <c r="F1198" s="1">
        <v>6</v>
      </c>
      <c r="G1198" s="1">
        <v>0</v>
      </c>
      <c r="H1198" s="2">
        <v>35016</v>
      </c>
    </row>
    <row r="1199" spans="1:8" x14ac:dyDescent="0.4">
      <c r="A1199" s="1" t="s">
        <v>11</v>
      </c>
      <c r="B1199" s="1">
        <v>10702</v>
      </c>
      <c r="C1199" s="1">
        <v>76</v>
      </c>
      <c r="D1199" s="1" t="s">
        <v>721</v>
      </c>
      <c r="E1199">
        <v>18</v>
      </c>
      <c r="F1199" s="1">
        <v>15</v>
      </c>
      <c r="G1199" s="1">
        <v>0</v>
      </c>
      <c r="H1199" s="2">
        <v>35016</v>
      </c>
    </row>
    <row r="1200" spans="1:8" x14ac:dyDescent="0.4">
      <c r="A1200" s="1" t="s">
        <v>191</v>
      </c>
      <c r="B1200" s="1">
        <v>10703</v>
      </c>
      <c r="C1200" s="1">
        <v>2</v>
      </c>
      <c r="D1200" s="1" t="s">
        <v>701</v>
      </c>
      <c r="E1200">
        <v>19</v>
      </c>
      <c r="F1200" s="1">
        <v>5</v>
      </c>
      <c r="G1200" s="1">
        <v>0</v>
      </c>
      <c r="H1200" s="2">
        <v>35017</v>
      </c>
    </row>
    <row r="1201" spans="1:8" x14ac:dyDescent="0.4">
      <c r="A1201" s="1" t="s">
        <v>191</v>
      </c>
      <c r="B1201" s="1">
        <v>10703</v>
      </c>
      <c r="C1201" s="1">
        <v>59</v>
      </c>
      <c r="D1201" s="1" t="s">
        <v>704</v>
      </c>
      <c r="E1201">
        <v>55</v>
      </c>
      <c r="F1201" s="1">
        <v>35</v>
      </c>
      <c r="G1201" s="1">
        <v>0</v>
      </c>
      <c r="H1201" s="2">
        <v>35017</v>
      </c>
    </row>
    <row r="1202" spans="1:8" x14ac:dyDescent="0.4">
      <c r="A1202" s="1" t="s">
        <v>191</v>
      </c>
      <c r="B1202" s="1">
        <v>10703</v>
      </c>
      <c r="C1202" s="1">
        <v>73</v>
      </c>
      <c r="D1202" s="1" t="s">
        <v>730</v>
      </c>
      <c r="E1202">
        <v>15</v>
      </c>
      <c r="F1202" s="1">
        <v>35</v>
      </c>
      <c r="G1202" s="1">
        <v>0</v>
      </c>
      <c r="H1202" s="2">
        <v>35017</v>
      </c>
    </row>
    <row r="1203" spans="1:8" x14ac:dyDescent="0.4">
      <c r="A1203" s="1" t="s">
        <v>469</v>
      </c>
      <c r="B1203" s="1">
        <v>10704</v>
      </c>
      <c r="C1203" s="1">
        <v>4</v>
      </c>
      <c r="D1203" s="1" t="s">
        <v>745</v>
      </c>
      <c r="E1203">
        <v>22</v>
      </c>
      <c r="F1203" s="1">
        <v>6</v>
      </c>
      <c r="G1203" s="1">
        <v>0</v>
      </c>
      <c r="H1203" s="2">
        <v>35017</v>
      </c>
    </row>
    <row r="1204" spans="1:8" x14ac:dyDescent="0.4">
      <c r="A1204" s="1" t="s">
        <v>469</v>
      </c>
      <c r="B1204" s="1">
        <v>10704</v>
      </c>
      <c r="C1204" s="1">
        <v>24</v>
      </c>
      <c r="D1204" s="1" t="s">
        <v>698</v>
      </c>
      <c r="E1204">
        <v>4.5</v>
      </c>
      <c r="F1204" s="1">
        <v>35</v>
      </c>
      <c r="G1204" s="1">
        <v>0</v>
      </c>
      <c r="H1204" s="2">
        <v>35017</v>
      </c>
    </row>
    <row r="1205" spans="1:8" x14ac:dyDescent="0.4">
      <c r="A1205" s="1" t="s">
        <v>469</v>
      </c>
      <c r="B1205" s="1">
        <v>10704</v>
      </c>
      <c r="C1205" s="1">
        <v>48</v>
      </c>
      <c r="D1205" s="1" t="s">
        <v>757</v>
      </c>
      <c r="E1205">
        <v>12.75</v>
      </c>
      <c r="F1205" s="1">
        <v>24</v>
      </c>
      <c r="G1205" s="1">
        <v>0</v>
      </c>
      <c r="H1205" s="2">
        <v>35017</v>
      </c>
    </row>
    <row r="1206" spans="1:8" x14ac:dyDescent="0.4">
      <c r="A1206" s="1" t="s">
        <v>273</v>
      </c>
      <c r="B1206" s="1">
        <v>10705</v>
      </c>
      <c r="C1206" s="1">
        <v>31</v>
      </c>
      <c r="D1206" s="1" t="s">
        <v>695</v>
      </c>
      <c r="E1206">
        <v>12.5</v>
      </c>
      <c r="F1206" s="1">
        <v>20</v>
      </c>
      <c r="G1206" s="1">
        <v>0</v>
      </c>
      <c r="H1206" s="2">
        <v>35018</v>
      </c>
    </row>
    <row r="1207" spans="1:8" x14ac:dyDescent="0.4">
      <c r="A1207" s="1" t="s">
        <v>273</v>
      </c>
      <c r="B1207" s="1">
        <v>10705</v>
      </c>
      <c r="C1207" s="1">
        <v>32</v>
      </c>
      <c r="D1207" s="1" t="s">
        <v>709</v>
      </c>
      <c r="E1207">
        <v>32</v>
      </c>
      <c r="F1207" s="1">
        <v>4</v>
      </c>
      <c r="G1207" s="1">
        <v>0</v>
      </c>
      <c r="H1207" s="2">
        <v>35018</v>
      </c>
    </row>
    <row r="1208" spans="1:8" x14ac:dyDescent="0.4">
      <c r="A1208" s="1" t="s">
        <v>422</v>
      </c>
      <c r="B1208" s="1">
        <v>10706</v>
      </c>
      <c r="C1208" s="1">
        <v>16</v>
      </c>
      <c r="D1208" s="1" t="s">
        <v>702</v>
      </c>
      <c r="E1208">
        <v>17.45</v>
      </c>
      <c r="F1208" s="1">
        <v>20</v>
      </c>
      <c r="G1208" s="1">
        <v>0</v>
      </c>
      <c r="H1208" s="2">
        <v>35019</v>
      </c>
    </row>
    <row r="1209" spans="1:8" x14ac:dyDescent="0.4">
      <c r="A1209" s="1" t="s">
        <v>422</v>
      </c>
      <c r="B1209" s="1">
        <v>10706</v>
      </c>
      <c r="C1209" s="1">
        <v>43</v>
      </c>
      <c r="D1209" s="1" t="s">
        <v>723</v>
      </c>
      <c r="E1209">
        <v>46</v>
      </c>
      <c r="F1209" s="1">
        <v>24</v>
      </c>
      <c r="G1209" s="1">
        <v>0</v>
      </c>
      <c r="H1209" s="2">
        <v>35019</v>
      </c>
    </row>
    <row r="1210" spans="1:8" x14ac:dyDescent="0.4">
      <c r="A1210" s="1" t="s">
        <v>422</v>
      </c>
      <c r="B1210" s="1">
        <v>10706</v>
      </c>
      <c r="C1210" s="1">
        <v>59</v>
      </c>
      <c r="D1210" s="1" t="s">
        <v>704</v>
      </c>
      <c r="E1210">
        <v>55</v>
      </c>
      <c r="F1210" s="1">
        <v>8</v>
      </c>
      <c r="G1210" s="1">
        <v>0</v>
      </c>
      <c r="H1210" s="2">
        <v>35019</v>
      </c>
    </row>
    <row r="1211" spans="1:8" x14ac:dyDescent="0.4">
      <c r="A1211" s="1" t="s">
        <v>34</v>
      </c>
      <c r="B1211" s="1">
        <v>10707</v>
      </c>
      <c r="C1211" s="1">
        <v>55</v>
      </c>
      <c r="D1211" s="1" t="s">
        <v>699</v>
      </c>
      <c r="E1211">
        <v>24</v>
      </c>
      <c r="F1211" s="1">
        <v>21</v>
      </c>
      <c r="G1211" s="1">
        <v>0</v>
      </c>
      <c r="H1211" s="2">
        <v>35019</v>
      </c>
    </row>
    <row r="1212" spans="1:8" x14ac:dyDescent="0.4">
      <c r="A1212" s="1" t="s">
        <v>34</v>
      </c>
      <c r="B1212" s="1">
        <v>10707</v>
      </c>
      <c r="C1212" s="1">
        <v>57</v>
      </c>
      <c r="D1212" s="1" t="s">
        <v>691</v>
      </c>
      <c r="E1212">
        <v>19.5</v>
      </c>
      <c r="F1212" s="1">
        <v>40</v>
      </c>
      <c r="G1212" s="1">
        <v>0</v>
      </c>
      <c r="H1212" s="2">
        <v>35019</v>
      </c>
    </row>
    <row r="1213" spans="1:8" x14ac:dyDescent="0.4">
      <c r="A1213" s="1" t="s">
        <v>34</v>
      </c>
      <c r="B1213" s="1">
        <v>10707</v>
      </c>
      <c r="C1213" s="1">
        <v>70</v>
      </c>
      <c r="D1213" s="1" t="s">
        <v>713</v>
      </c>
      <c r="E1213">
        <v>15</v>
      </c>
      <c r="F1213" s="1">
        <v>28</v>
      </c>
      <c r="G1213" s="1">
        <v>0.15</v>
      </c>
      <c r="H1213" s="2">
        <v>35019</v>
      </c>
    </row>
    <row r="1214" spans="1:8" x14ac:dyDescent="0.4">
      <c r="A1214" s="1" t="s">
        <v>573</v>
      </c>
      <c r="B1214" s="1">
        <v>10708</v>
      </c>
      <c r="C1214" s="1">
        <v>5</v>
      </c>
      <c r="D1214" s="1" t="s">
        <v>708</v>
      </c>
      <c r="E1214">
        <v>21.35</v>
      </c>
      <c r="F1214" s="1">
        <v>4</v>
      </c>
      <c r="G1214" s="1">
        <v>0</v>
      </c>
      <c r="H1214" s="2">
        <v>35020</v>
      </c>
    </row>
    <row r="1215" spans="1:8" x14ac:dyDescent="0.4">
      <c r="A1215" s="1" t="s">
        <v>573</v>
      </c>
      <c r="B1215" s="1">
        <v>10708</v>
      </c>
      <c r="C1215" s="1">
        <v>36</v>
      </c>
      <c r="D1215" s="1" t="s">
        <v>703</v>
      </c>
      <c r="E1215">
        <v>19</v>
      </c>
      <c r="F1215" s="1">
        <v>5</v>
      </c>
      <c r="G1215" s="1">
        <v>0</v>
      </c>
      <c r="H1215" s="2">
        <v>35020</v>
      </c>
    </row>
    <row r="1216" spans="1:8" x14ac:dyDescent="0.4">
      <c r="A1216" s="1" t="s">
        <v>240</v>
      </c>
      <c r="B1216" s="1">
        <v>10709</v>
      </c>
      <c r="C1216" s="1">
        <v>8</v>
      </c>
      <c r="D1216" s="1" t="s">
        <v>754</v>
      </c>
      <c r="E1216">
        <v>40</v>
      </c>
      <c r="F1216" s="1">
        <v>40</v>
      </c>
      <c r="G1216" s="1">
        <v>0</v>
      </c>
      <c r="H1216" s="2">
        <v>35020</v>
      </c>
    </row>
    <row r="1217" spans="1:8" x14ac:dyDescent="0.4">
      <c r="A1217" s="1" t="s">
        <v>240</v>
      </c>
      <c r="B1217" s="1">
        <v>10709</v>
      </c>
      <c r="C1217" s="1">
        <v>51</v>
      </c>
      <c r="D1217" s="1" t="s">
        <v>687</v>
      </c>
      <c r="E1217">
        <v>53</v>
      </c>
      <c r="F1217" s="1">
        <v>28</v>
      </c>
      <c r="G1217" s="1">
        <v>0</v>
      </c>
      <c r="H1217" s="2">
        <v>35020</v>
      </c>
    </row>
    <row r="1218" spans="1:8" x14ac:dyDescent="0.4">
      <c r="A1218" s="1" t="s">
        <v>240</v>
      </c>
      <c r="B1218" s="1">
        <v>10709</v>
      </c>
      <c r="C1218" s="1">
        <v>60</v>
      </c>
      <c r="D1218" s="1" t="s">
        <v>694</v>
      </c>
      <c r="E1218">
        <v>34</v>
      </c>
      <c r="F1218" s="1">
        <v>10</v>
      </c>
      <c r="G1218" s="1">
        <v>0</v>
      </c>
      <c r="H1218" s="2">
        <v>35020</v>
      </c>
    </row>
    <row r="1219" spans="1:8" x14ac:dyDescent="0.4">
      <c r="A1219" s="1" t="s">
        <v>211</v>
      </c>
      <c r="B1219" s="1">
        <v>10710</v>
      </c>
      <c r="C1219" s="1">
        <v>19</v>
      </c>
      <c r="D1219" s="1" t="s">
        <v>732</v>
      </c>
      <c r="E1219">
        <v>9.1999999999999993</v>
      </c>
      <c r="F1219" s="1">
        <v>5</v>
      </c>
      <c r="G1219" s="1">
        <v>0</v>
      </c>
      <c r="H1219" s="2">
        <v>35023</v>
      </c>
    </row>
    <row r="1220" spans="1:8" x14ac:dyDescent="0.4">
      <c r="A1220" s="1" t="s">
        <v>211</v>
      </c>
      <c r="B1220" s="1">
        <v>10710</v>
      </c>
      <c r="C1220" s="1">
        <v>47</v>
      </c>
      <c r="D1220" s="1" t="s">
        <v>752</v>
      </c>
      <c r="E1220">
        <v>9.5</v>
      </c>
      <c r="F1220" s="1">
        <v>5</v>
      </c>
      <c r="G1220" s="1">
        <v>0</v>
      </c>
      <c r="H1220" s="2">
        <v>35023</v>
      </c>
    </row>
    <row r="1221" spans="1:8" x14ac:dyDescent="0.4">
      <c r="A1221" s="1" t="s">
        <v>529</v>
      </c>
      <c r="B1221" s="1">
        <v>10711</v>
      </c>
      <c r="C1221" s="1">
        <v>19</v>
      </c>
      <c r="D1221" s="1" t="s">
        <v>732</v>
      </c>
      <c r="E1221">
        <v>9.1999999999999993</v>
      </c>
      <c r="F1221" s="1">
        <v>12</v>
      </c>
      <c r="G1221" s="1">
        <v>0</v>
      </c>
      <c r="H1221" s="2">
        <v>35024</v>
      </c>
    </row>
    <row r="1222" spans="1:8" x14ac:dyDescent="0.4">
      <c r="A1222" s="1" t="s">
        <v>529</v>
      </c>
      <c r="B1222" s="1">
        <v>10711</v>
      </c>
      <c r="C1222" s="1">
        <v>41</v>
      </c>
      <c r="D1222" s="1" t="s">
        <v>688</v>
      </c>
      <c r="E1222">
        <v>9.65</v>
      </c>
      <c r="F1222" s="1">
        <v>42</v>
      </c>
      <c r="G1222" s="1">
        <v>0</v>
      </c>
      <c r="H1222" s="2">
        <v>35024</v>
      </c>
    </row>
    <row r="1223" spans="1:8" x14ac:dyDescent="0.4">
      <c r="A1223" s="1" t="s">
        <v>529</v>
      </c>
      <c r="B1223" s="1">
        <v>10711</v>
      </c>
      <c r="C1223" s="1">
        <v>53</v>
      </c>
      <c r="D1223" s="1" t="s">
        <v>705</v>
      </c>
      <c r="E1223">
        <v>32.799999999999997</v>
      </c>
      <c r="F1223" s="1">
        <v>120</v>
      </c>
      <c r="G1223" s="1">
        <v>0</v>
      </c>
      <c r="H1223" s="2">
        <v>35024</v>
      </c>
    </row>
    <row r="1224" spans="1:8" x14ac:dyDescent="0.4">
      <c r="A1224" s="1" t="s">
        <v>288</v>
      </c>
      <c r="B1224" s="1">
        <v>10712</v>
      </c>
      <c r="C1224" s="1">
        <v>53</v>
      </c>
      <c r="D1224" s="1" t="s">
        <v>705</v>
      </c>
      <c r="E1224">
        <v>32.799999999999997</v>
      </c>
      <c r="F1224" s="1">
        <v>3</v>
      </c>
      <c r="G1224" s="1">
        <v>0.05</v>
      </c>
      <c r="H1224" s="2">
        <v>35024</v>
      </c>
    </row>
    <row r="1225" spans="1:8" x14ac:dyDescent="0.4">
      <c r="A1225" s="1" t="s">
        <v>288</v>
      </c>
      <c r="B1225" s="1">
        <v>10712</v>
      </c>
      <c r="C1225" s="1">
        <v>56</v>
      </c>
      <c r="D1225" s="1" t="s">
        <v>716</v>
      </c>
      <c r="E1225">
        <v>38</v>
      </c>
      <c r="F1225" s="1">
        <v>30</v>
      </c>
      <c r="G1225" s="1">
        <v>0</v>
      </c>
      <c r="H1225" s="2">
        <v>35024</v>
      </c>
    </row>
    <row r="1226" spans="1:8" x14ac:dyDescent="0.4">
      <c r="A1226" s="1" t="s">
        <v>529</v>
      </c>
      <c r="B1226" s="1">
        <v>10713</v>
      </c>
      <c r="C1226" s="1">
        <v>10</v>
      </c>
      <c r="D1226" s="1" t="s">
        <v>724</v>
      </c>
      <c r="E1226">
        <v>31</v>
      </c>
      <c r="F1226" s="1">
        <v>18</v>
      </c>
      <c r="G1226" s="1">
        <v>0</v>
      </c>
      <c r="H1226" s="2">
        <v>35025</v>
      </c>
    </row>
    <row r="1227" spans="1:8" x14ac:dyDescent="0.4">
      <c r="A1227" s="1" t="s">
        <v>529</v>
      </c>
      <c r="B1227" s="1">
        <v>10713</v>
      </c>
      <c r="C1227" s="1">
        <v>26</v>
      </c>
      <c r="D1227" s="1" t="s">
        <v>751</v>
      </c>
      <c r="E1227">
        <v>31.23</v>
      </c>
      <c r="F1227" s="1">
        <v>30</v>
      </c>
      <c r="G1227" s="1">
        <v>0</v>
      </c>
      <c r="H1227" s="2">
        <v>35025</v>
      </c>
    </row>
    <row r="1228" spans="1:8" x14ac:dyDescent="0.4">
      <c r="A1228" s="1" t="s">
        <v>529</v>
      </c>
      <c r="B1228" s="1">
        <v>10713</v>
      </c>
      <c r="C1228" s="1">
        <v>45</v>
      </c>
      <c r="D1228" s="1" t="s">
        <v>756</v>
      </c>
      <c r="E1228">
        <v>9.5</v>
      </c>
      <c r="F1228" s="1">
        <v>110</v>
      </c>
      <c r="G1228" s="1">
        <v>0</v>
      </c>
      <c r="H1228" s="2">
        <v>35025</v>
      </c>
    </row>
    <row r="1229" spans="1:8" x14ac:dyDescent="0.4">
      <c r="A1229" s="1" t="s">
        <v>529</v>
      </c>
      <c r="B1229" s="1">
        <v>10713</v>
      </c>
      <c r="C1229" s="1">
        <v>46</v>
      </c>
      <c r="D1229" s="1" t="s">
        <v>737</v>
      </c>
      <c r="E1229">
        <v>12</v>
      </c>
      <c r="F1229" s="1">
        <v>24</v>
      </c>
      <c r="G1229" s="1">
        <v>0</v>
      </c>
      <c r="H1229" s="2">
        <v>35025</v>
      </c>
    </row>
    <row r="1230" spans="1:8" x14ac:dyDescent="0.4">
      <c r="A1230" s="1" t="s">
        <v>529</v>
      </c>
      <c r="B1230" s="1">
        <v>10714</v>
      </c>
      <c r="C1230" s="1">
        <v>2</v>
      </c>
      <c r="D1230" s="1" t="s">
        <v>701</v>
      </c>
      <c r="E1230">
        <v>19</v>
      </c>
      <c r="F1230" s="1">
        <v>30</v>
      </c>
      <c r="G1230" s="1">
        <v>0.25</v>
      </c>
      <c r="H1230" s="2">
        <v>35025</v>
      </c>
    </row>
    <row r="1231" spans="1:8" x14ac:dyDescent="0.4">
      <c r="A1231" s="1" t="s">
        <v>529</v>
      </c>
      <c r="B1231" s="1">
        <v>10714</v>
      </c>
      <c r="C1231" s="1">
        <v>17</v>
      </c>
      <c r="D1231" s="1" t="s">
        <v>718</v>
      </c>
      <c r="E1231">
        <v>39</v>
      </c>
      <c r="F1231" s="1">
        <v>27</v>
      </c>
      <c r="G1231" s="1">
        <v>0.25</v>
      </c>
      <c r="H1231" s="2">
        <v>35025</v>
      </c>
    </row>
    <row r="1232" spans="1:8" x14ac:dyDescent="0.4">
      <c r="A1232" s="1" t="s">
        <v>529</v>
      </c>
      <c r="B1232" s="1">
        <v>10714</v>
      </c>
      <c r="C1232" s="1">
        <v>47</v>
      </c>
      <c r="D1232" s="1" t="s">
        <v>752</v>
      </c>
      <c r="E1232">
        <v>9.5</v>
      </c>
      <c r="F1232" s="1">
        <v>50</v>
      </c>
      <c r="G1232" s="1">
        <v>0.25</v>
      </c>
      <c r="H1232" s="2">
        <v>35025</v>
      </c>
    </row>
    <row r="1233" spans="1:8" x14ac:dyDescent="0.4">
      <c r="A1233" s="1" t="s">
        <v>529</v>
      </c>
      <c r="B1233" s="1">
        <v>10714</v>
      </c>
      <c r="C1233" s="1">
        <v>56</v>
      </c>
      <c r="D1233" s="1" t="s">
        <v>716</v>
      </c>
      <c r="E1233">
        <v>38</v>
      </c>
      <c r="F1233" s="1">
        <v>18</v>
      </c>
      <c r="G1233" s="1">
        <v>0.25</v>
      </c>
      <c r="H1233" s="2">
        <v>35025</v>
      </c>
    </row>
    <row r="1234" spans="1:8" x14ac:dyDescent="0.4">
      <c r="A1234" s="1" t="s">
        <v>529</v>
      </c>
      <c r="B1234" s="1">
        <v>10714</v>
      </c>
      <c r="C1234" s="1">
        <v>58</v>
      </c>
      <c r="D1234" s="1" t="s">
        <v>747</v>
      </c>
      <c r="E1234">
        <v>13.25</v>
      </c>
      <c r="F1234" s="1">
        <v>12</v>
      </c>
      <c r="G1234" s="1">
        <v>0.25</v>
      </c>
      <c r="H1234" s="2">
        <v>35025</v>
      </c>
    </row>
    <row r="1235" spans="1:8" x14ac:dyDescent="0.4">
      <c r="A1235" s="1" t="s">
        <v>77</v>
      </c>
      <c r="B1235" s="1">
        <v>10715</v>
      </c>
      <c r="C1235" s="1">
        <v>10</v>
      </c>
      <c r="D1235" s="1" t="s">
        <v>724</v>
      </c>
      <c r="E1235">
        <v>31</v>
      </c>
      <c r="F1235" s="1">
        <v>21</v>
      </c>
      <c r="G1235" s="1">
        <v>0</v>
      </c>
      <c r="H1235" s="2">
        <v>35026</v>
      </c>
    </row>
    <row r="1236" spans="1:8" x14ac:dyDescent="0.4">
      <c r="A1236" s="1" t="s">
        <v>77</v>
      </c>
      <c r="B1236" s="1">
        <v>10715</v>
      </c>
      <c r="C1236" s="1">
        <v>71</v>
      </c>
      <c r="D1236" s="1" t="s">
        <v>725</v>
      </c>
      <c r="E1236">
        <v>21.5</v>
      </c>
      <c r="F1236" s="1">
        <v>30</v>
      </c>
      <c r="G1236" s="1">
        <v>0</v>
      </c>
      <c r="H1236" s="2">
        <v>35026</v>
      </c>
    </row>
    <row r="1237" spans="1:8" x14ac:dyDescent="0.4">
      <c r="A1237" s="1" t="s">
        <v>481</v>
      </c>
      <c r="B1237" s="1">
        <v>10716</v>
      </c>
      <c r="C1237" s="1">
        <v>21</v>
      </c>
      <c r="D1237" s="1" t="s">
        <v>710</v>
      </c>
      <c r="E1237">
        <v>10</v>
      </c>
      <c r="F1237" s="1">
        <v>5</v>
      </c>
      <c r="G1237" s="1">
        <v>0</v>
      </c>
      <c r="H1237" s="2">
        <v>35027</v>
      </c>
    </row>
    <row r="1238" spans="1:8" x14ac:dyDescent="0.4">
      <c r="A1238" s="1" t="s">
        <v>481</v>
      </c>
      <c r="B1238" s="1">
        <v>10716</v>
      </c>
      <c r="C1238" s="1">
        <v>51</v>
      </c>
      <c r="D1238" s="1" t="s">
        <v>687</v>
      </c>
      <c r="E1238">
        <v>53</v>
      </c>
      <c r="F1238" s="1">
        <v>7</v>
      </c>
      <c r="G1238" s="1">
        <v>0</v>
      </c>
      <c r="H1238" s="2">
        <v>35027</v>
      </c>
    </row>
    <row r="1239" spans="1:8" x14ac:dyDescent="0.4">
      <c r="A1239" s="1" t="s">
        <v>481</v>
      </c>
      <c r="B1239" s="1">
        <v>10716</v>
      </c>
      <c r="C1239" s="1">
        <v>61</v>
      </c>
      <c r="D1239" s="1" t="s">
        <v>758</v>
      </c>
      <c r="E1239">
        <v>28.5</v>
      </c>
      <c r="F1239" s="1">
        <v>10</v>
      </c>
      <c r="G1239" s="1">
        <v>0</v>
      </c>
      <c r="H1239" s="2">
        <v>35027</v>
      </c>
    </row>
    <row r="1240" spans="1:8" x14ac:dyDescent="0.4">
      <c r="A1240" s="1" t="s">
        <v>198</v>
      </c>
      <c r="B1240" s="1">
        <v>10717</v>
      </c>
      <c r="C1240" s="1">
        <v>21</v>
      </c>
      <c r="D1240" s="1" t="s">
        <v>710</v>
      </c>
      <c r="E1240">
        <v>10</v>
      </c>
      <c r="F1240" s="1">
        <v>32</v>
      </c>
      <c r="G1240" s="1">
        <v>0.05</v>
      </c>
      <c r="H1240" s="2">
        <v>35027</v>
      </c>
    </row>
    <row r="1241" spans="1:8" x14ac:dyDescent="0.4">
      <c r="A1241" s="1" t="s">
        <v>198</v>
      </c>
      <c r="B1241" s="1">
        <v>10717</v>
      </c>
      <c r="C1241" s="1">
        <v>54</v>
      </c>
      <c r="D1241" s="1" t="s">
        <v>738</v>
      </c>
      <c r="E1241">
        <v>7.45</v>
      </c>
      <c r="F1241" s="1">
        <v>15</v>
      </c>
      <c r="G1241" s="1">
        <v>0</v>
      </c>
      <c r="H1241" s="2">
        <v>35027</v>
      </c>
    </row>
    <row r="1242" spans="1:8" x14ac:dyDescent="0.4">
      <c r="A1242" s="1" t="s">
        <v>198</v>
      </c>
      <c r="B1242" s="1">
        <v>10717</v>
      </c>
      <c r="C1242" s="1">
        <v>69</v>
      </c>
      <c r="D1242" s="1" t="s">
        <v>743</v>
      </c>
      <c r="E1242">
        <v>36</v>
      </c>
      <c r="F1242" s="1">
        <v>25</v>
      </c>
      <c r="G1242" s="1">
        <v>0.05</v>
      </c>
      <c r="H1242" s="2">
        <v>35027</v>
      </c>
    </row>
    <row r="1243" spans="1:8" x14ac:dyDescent="0.4">
      <c r="A1243" s="1" t="s">
        <v>305</v>
      </c>
      <c r="B1243" s="1">
        <v>10718</v>
      </c>
      <c r="C1243" s="1">
        <v>12</v>
      </c>
      <c r="D1243" s="1" t="s">
        <v>719</v>
      </c>
      <c r="E1243">
        <v>38</v>
      </c>
      <c r="F1243" s="1">
        <v>36</v>
      </c>
      <c r="G1243" s="1">
        <v>0</v>
      </c>
      <c r="H1243" s="2">
        <v>35030</v>
      </c>
    </row>
    <row r="1244" spans="1:8" x14ac:dyDescent="0.4">
      <c r="A1244" s="1" t="s">
        <v>305</v>
      </c>
      <c r="B1244" s="1">
        <v>10718</v>
      </c>
      <c r="C1244" s="1">
        <v>16</v>
      </c>
      <c r="D1244" s="1" t="s">
        <v>702</v>
      </c>
      <c r="E1244">
        <v>17.45</v>
      </c>
      <c r="F1244" s="1">
        <v>20</v>
      </c>
      <c r="G1244" s="1">
        <v>0</v>
      </c>
      <c r="H1244" s="2">
        <v>35030</v>
      </c>
    </row>
    <row r="1245" spans="1:8" x14ac:dyDescent="0.4">
      <c r="A1245" s="1" t="s">
        <v>305</v>
      </c>
      <c r="B1245" s="1">
        <v>10718</v>
      </c>
      <c r="C1245" s="1">
        <v>36</v>
      </c>
      <c r="D1245" s="1" t="s">
        <v>703</v>
      </c>
      <c r="E1245">
        <v>19</v>
      </c>
      <c r="F1245" s="1">
        <v>40</v>
      </c>
      <c r="G1245" s="1">
        <v>0</v>
      </c>
      <c r="H1245" s="2">
        <v>35030</v>
      </c>
    </row>
    <row r="1246" spans="1:8" x14ac:dyDescent="0.4">
      <c r="A1246" s="1" t="s">
        <v>305</v>
      </c>
      <c r="B1246" s="1">
        <v>10718</v>
      </c>
      <c r="C1246" s="1">
        <v>62</v>
      </c>
      <c r="D1246" s="1" t="s">
        <v>712</v>
      </c>
      <c r="E1246">
        <v>49.3</v>
      </c>
      <c r="F1246" s="1">
        <v>20</v>
      </c>
      <c r="G1246" s="1">
        <v>0</v>
      </c>
      <c r="H1246" s="2">
        <v>35030</v>
      </c>
    </row>
    <row r="1247" spans="1:8" x14ac:dyDescent="0.4">
      <c r="A1247" s="1" t="s">
        <v>348</v>
      </c>
      <c r="B1247" s="1">
        <v>10719</v>
      </c>
      <c r="C1247" s="1">
        <v>18</v>
      </c>
      <c r="D1247" s="1" t="s">
        <v>742</v>
      </c>
      <c r="E1247">
        <v>62.5</v>
      </c>
      <c r="F1247" s="1">
        <v>12</v>
      </c>
      <c r="G1247" s="1">
        <v>0.25</v>
      </c>
      <c r="H1247" s="2">
        <v>35030</v>
      </c>
    </row>
    <row r="1248" spans="1:8" x14ac:dyDescent="0.4">
      <c r="A1248" s="1" t="s">
        <v>348</v>
      </c>
      <c r="B1248" s="1">
        <v>10719</v>
      </c>
      <c r="C1248" s="1">
        <v>30</v>
      </c>
      <c r="D1248" s="1" t="s">
        <v>717</v>
      </c>
      <c r="E1248">
        <v>25.89</v>
      </c>
      <c r="F1248" s="1">
        <v>3</v>
      </c>
      <c r="G1248" s="1">
        <v>0.25</v>
      </c>
      <c r="H1248" s="2">
        <v>35030</v>
      </c>
    </row>
    <row r="1249" spans="1:8" x14ac:dyDescent="0.4">
      <c r="A1249" s="1" t="s">
        <v>348</v>
      </c>
      <c r="B1249" s="1">
        <v>10719</v>
      </c>
      <c r="C1249" s="1">
        <v>54</v>
      </c>
      <c r="D1249" s="1" t="s">
        <v>738</v>
      </c>
      <c r="E1249">
        <v>7.45</v>
      </c>
      <c r="F1249" s="1">
        <v>40</v>
      </c>
      <c r="G1249" s="1">
        <v>0.25</v>
      </c>
      <c r="H1249" s="2">
        <v>35030</v>
      </c>
    </row>
    <row r="1250" spans="1:8" x14ac:dyDescent="0.4">
      <c r="A1250" s="1" t="s">
        <v>462</v>
      </c>
      <c r="B1250" s="1">
        <v>10720</v>
      </c>
      <c r="C1250" s="1">
        <v>35</v>
      </c>
      <c r="D1250" s="1" t="s">
        <v>714</v>
      </c>
      <c r="E1250">
        <v>18</v>
      </c>
      <c r="F1250" s="1">
        <v>21</v>
      </c>
      <c r="G1250" s="1">
        <v>0</v>
      </c>
      <c r="H1250" s="2">
        <v>35031</v>
      </c>
    </row>
    <row r="1251" spans="1:8" x14ac:dyDescent="0.4">
      <c r="A1251" s="1" t="s">
        <v>462</v>
      </c>
      <c r="B1251" s="1">
        <v>10720</v>
      </c>
      <c r="C1251" s="1">
        <v>71</v>
      </c>
      <c r="D1251" s="1" t="s">
        <v>725</v>
      </c>
      <c r="E1251">
        <v>21.5</v>
      </c>
      <c r="F1251" s="1">
        <v>8</v>
      </c>
      <c r="G1251" s="1">
        <v>0</v>
      </c>
      <c r="H1251" s="2">
        <v>35031</v>
      </c>
    </row>
    <row r="1252" spans="1:8" x14ac:dyDescent="0.4">
      <c r="A1252" s="1" t="s">
        <v>475</v>
      </c>
      <c r="B1252" s="1">
        <v>10721</v>
      </c>
      <c r="C1252" s="1">
        <v>44</v>
      </c>
      <c r="D1252" s="1" t="s">
        <v>728</v>
      </c>
      <c r="E1252">
        <v>19.45</v>
      </c>
      <c r="F1252" s="1">
        <v>50</v>
      </c>
      <c r="G1252" s="1">
        <v>0.05</v>
      </c>
      <c r="H1252" s="2">
        <v>35032</v>
      </c>
    </row>
    <row r="1253" spans="1:8" x14ac:dyDescent="0.4">
      <c r="A1253" s="1" t="s">
        <v>529</v>
      </c>
      <c r="B1253" s="1">
        <v>10722</v>
      </c>
      <c r="C1253" s="1">
        <v>2</v>
      </c>
      <c r="D1253" s="1" t="s">
        <v>701</v>
      </c>
      <c r="E1253">
        <v>19</v>
      </c>
      <c r="F1253" s="1">
        <v>3</v>
      </c>
      <c r="G1253" s="1">
        <v>0</v>
      </c>
      <c r="H1253" s="2">
        <v>35032</v>
      </c>
    </row>
    <row r="1254" spans="1:8" x14ac:dyDescent="0.4">
      <c r="A1254" s="1" t="s">
        <v>529</v>
      </c>
      <c r="B1254" s="1">
        <v>10722</v>
      </c>
      <c r="C1254" s="1">
        <v>31</v>
      </c>
      <c r="D1254" s="1" t="s">
        <v>695</v>
      </c>
      <c r="E1254">
        <v>12.5</v>
      </c>
      <c r="F1254" s="1">
        <v>50</v>
      </c>
      <c r="G1254" s="1">
        <v>0</v>
      </c>
      <c r="H1254" s="2">
        <v>35032</v>
      </c>
    </row>
    <row r="1255" spans="1:8" x14ac:dyDescent="0.4">
      <c r="A1255" s="1" t="s">
        <v>529</v>
      </c>
      <c r="B1255" s="1">
        <v>10722</v>
      </c>
      <c r="C1255" s="1">
        <v>68</v>
      </c>
      <c r="D1255" s="1" t="s">
        <v>739</v>
      </c>
      <c r="E1255">
        <v>12.5</v>
      </c>
      <c r="F1255" s="1">
        <v>45</v>
      </c>
      <c r="G1255" s="1">
        <v>0</v>
      </c>
      <c r="H1255" s="2">
        <v>35032</v>
      </c>
    </row>
    <row r="1256" spans="1:8" x14ac:dyDescent="0.4">
      <c r="A1256" s="1" t="s">
        <v>529</v>
      </c>
      <c r="B1256" s="1">
        <v>10722</v>
      </c>
      <c r="C1256" s="1">
        <v>75</v>
      </c>
      <c r="D1256" s="1" t="s">
        <v>731</v>
      </c>
      <c r="E1256">
        <v>7.75</v>
      </c>
      <c r="F1256" s="1">
        <v>42</v>
      </c>
      <c r="G1256" s="1">
        <v>0</v>
      </c>
      <c r="H1256" s="2">
        <v>35032</v>
      </c>
    </row>
    <row r="1257" spans="1:8" x14ac:dyDescent="0.4">
      <c r="A1257" s="1" t="s">
        <v>654</v>
      </c>
      <c r="B1257" s="1">
        <v>10723</v>
      </c>
      <c r="C1257" s="1">
        <v>26</v>
      </c>
      <c r="D1257" s="1" t="s">
        <v>751</v>
      </c>
      <c r="E1257">
        <v>31.23</v>
      </c>
      <c r="F1257" s="1">
        <v>15</v>
      </c>
      <c r="G1257" s="1">
        <v>0</v>
      </c>
      <c r="H1257" s="2">
        <v>35033</v>
      </c>
    </row>
    <row r="1258" spans="1:8" x14ac:dyDescent="0.4">
      <c r="A1258" s="1" t="s">
        <v>394</v>
      </c>
      <c r="B1258" s="1">
        <v>10724</v>
      </c>
      <c r="C1258" s="1">
        <v>10</v>
      </c>
      <c r="D1258" s="1" t="s">
        <v>724</v>
      </c>
      <c r="E1258">
        <v>31</v>
      </c>
      <c r="F1258" s="1">
        <v>16</v>
      </c>
      <c r="G1258" s="1">
        <v>0</v>
      </c>
      <c r="H1258" s="2">
        <v>35033</v>
      </c>
    </row>
    <row r="1259" spans="1:8" x14ac:dyDescent="0.4">
      <c r="A1259" s="1" t="s">
        <v>394</v>
      </c>
      <c r="B1259" s="1">
        <v>10724</v>
      </c>
      <c r="C1259" s="1">
        <v>61</v>
      </c>
      <c r="D1259" s="1" t="s">
        <v>758</v>
      </c>
      <c r="E1259">
        <v>28.5</v>
      </c>
      <c r="F1259" s="1">
        <v>5</v>
      </c>
      <c r="G1259" s="1">
        <v>0</v>
      </c>
      <c r="H1259" s="2">
        <v>35033</v>
      </c>
    </row>
    <row r="1260" spans="1:8" x14ac:dyDescent="0.4">
      <c r="A1260" s="1" t="s">
        <v>170</v>
      </c>
      <c r="B1260" s="1">
        <v>10725</v>
      </c>
      <c r="C1260" s="1">
        <v>41</v>
      </c>
      <c r="D1260" s="1" t="s">
        <v>688</v>
      </c>
      <c r="E1260">
        <v>9.65</v>
      </c>
      <c r="F1260" s="1">
        <v>12</v>
      </c>
      <c r="G1260" s="1">
        <v>0</v>
      </c>
      <c r="H1260" s="2">
        <v>35034</v>
      </c>
    </row>
    <row r="1261" spans="1:8" x14ac:dyDescent="0.4">
      <c r="A1261" s="1" t="s">
        <v>170</v>
      </c>
      <c r="B1261" s="1">
        <v>10725</v>
      </c>
      <c r="C1261" s="1">
        <v>52</v>
      </c>
      <c r="D1261" s="1" t="s">
        <v>748</v>
      </c>
      <c r="E1261">
        <v>7</v>
      </c>
      <c r="F1261" s="1">
        <v>4</v>
      </c>
      <c r="G1261" s="1">
        <v>0</v>
      </c>
      <c r="H1261" s="2">
        <v>35034</v>
      </c>
    </row>
    <row r="1262" spans="1:8" x14ac:dyDescent="0.4">
      <c r="A1262" s="1" t="s">
        <v>170</v>
      </c>
      <c r="B1262" s="1">
        <v>10725</v>
      </c>
      <c r="C1262" s="1">
        <v>55</v>
      </c>
      <c r="D1262" s="1" t="s">
        <v>699</v>
      </c>
      <c r="E1262">
        <v>24</v>
      </c>
      <c r="F1262" s="1">
        <v>6</v>
      </c>
      <c r="G1262" s="1">
        <v>0</v>
      </c>
      <c r="H1262" s="2">
        <v>35034</v>
      </c>
    </row>
    <row r="1263" spans="1:8" x14ac:dyDescent="0.4">
      <c r="A1263" s="1" t="s">
        <v>154</v>
      </c>
      <c r="B1263" s="1">
        <v>10726</v>
      </c>
      <c r="C1263" s="1">
        <v>4</v>
      </c>
      <c r="D1263" s="1" t="s">
        <v>745</v>
      </c>
      <c r="E1263">
        <v>22</v>
      </c>
      <c r="F1263" s="1">
        <v>25</v>
      </c>
      <c r="G1263" s="1">
        <v>0</v>
      </c>
      <c r="H1263" s="2">
        <v>35037</v>
      </c>
    </row>
    <row r="1264" spans="1:8" x14ac:dyDescent="0.4">
      <c r="A1264" s="1" t="s">
        <v>154</v>
      </c>
      <c r="B1264" s="1">
        <v>10726</v>
      </c>
      <c r="C1264" s="1">
        <v>11</v>
      </c>
      <c r="D1264" s="1" t="s">
        <v>683</v>
      </c>
      <c r="E1264">
        <v>21</v>
      </c>
      <c r="F1264" s="1">
        <v>5</v>
      </c>
      <c r="G1264" s="1">
        <v>0</v>
      </c>
      <c r="H1264" s="2">
        <v>35037</v>
      </c>
    </row>
    <row r="1265" spans="1:8" x14ac:dyDescent="0.4">
      <c r="A1265" s="1" t="s">
        <v>496</v>
      </c>
      <c r="B1265" s="1">
        <v>10727</v>
      </c>
      <c r="C1265" s="1">
        <v>17</v>
      </c>
      <c r="D1265" s="1" t="s">
        <v>718</v>
      </c>
      <c r="E1265">
        <v>39</v>
      </c>
      <c r="F1265" s="1">
        <v>20</v>
      </c>
      <c r="G1265" s="1">
        <v>0.05</v>
      </c>
      <c r="H1265" s="2">
        <v>35037</v>
      </c>
    </row>
    <row r="1266" spans="1:8" x14ac:dyDescent="0.4">
      <c r="A1266" s="1" t="s">
        <v>496</v>
      </c>
      <c r="B1266" s="1">
        <v>10727</v>
      </c>
      <c r="C1266" s="1">
        <v>56</v>
      </c>
      <c r="D1266" s="1" t="s">
        <v>716</v>
      </c>
      <c r="E1266">
        <v>38</v>
      </c>
      <c r="F1266" s="1">
        <v>10</v>
      </c>
      <c r="G1266" s="1">
        <v>0.05</v>
      </c>
      <c r="H1266" s="2">
        <v>35037</v>
      </c>
    </row>
    <row r="1267" spans="1:8" x14ac:dyDescent="0.4">
      <c r="A1267" s="1" t="s">
        <v>496</v>
      </c>
      <c r="B1267" s="1">
        <v>10727</v>
      </c>
      <c r="C1267" s="1">
        <v>59</v>
      </c>
      <c r="D1267" s="1" t="s">
        <v>704</v>
      </c>
      <c r="E1267">
        <v>55</v>
      </c>
      <c r="F1267" s="1">
        <v>10</v>
      </c>
      <c r="G1267" s="1">
        <v>0.05</v>
      </c>
      <c r="H1267" s="2">
        <v>35037</v>
      </c>
    </row>
    <row r="1268" spans="1:8" x14ac:dyDescent="0.4">
      <c r="A1268" s="1" t="s">
        <v>469</v>
      </c>
      <c r="B1268" s="1">
        <v>10728</v>
      </c>
      <c r="C1268" s="1">
        <v>30</v>
      </c>
      <c r="D1268" s="1" t="s">
        <v>717</v>
      </c>
      <c r="E1268">
        <v>25.89</v>
      </c>
      <c r="F1268" s="1">
        <v>15</v>
      </c>
      <c r="G1268" s="1">
        <v>0</v>
      </c>
      <c r="H1268" s="2">
        <v>35038</v>
      </c>
    </row>
    <row r="1269" spans="1:8" x14ac:dyDescent="0.4">
      <c r="A1269" s="1" t="s">
        <v>469</v>
      </c>
      <c r="B1269" s="1">
        <v>10728</v>
      </c>
      <c r="C1269" s="1">
        <v>40</v>
      </c>
      <c r="D1269" s="1" t="s">
        <v>720</v>
      </c>
      <c r="E1269">
        <v>18.399999999999999</v>
      </c>
      <c r="F1269" s="1">
        <v>6</v>
      </c>
      <c r="G1269" s="1">
        <v>0</v>
      </c>
      <c r="H1269" s="2">
        <v>35038</v>
      </c>
    </row>
    <row r="1270" spans="1:8" x14ac:dyDescent="0.4">
      <c r="A1270" s="1" t="s">
        <v>469</v>
      </c>
      <c r="B1270" s="1">
        <v>10728</v>
      </c>
      <c r="C1270" s="1">
        <v>55</v>
      </c>
      <c r="D1270" s="1" t="s">
        <v>699</v>
      </c>
      <c r="E1270">
        <v>24</v>
      </c>
      <c r="F1270" s="1">
        <v>12</v>
      </c>
      <c r="G1270" s="1">
        <v>0</v>
      </c>
      <c r="H1270" s="2">
        <v>35038</v>
      </c>
    </row>
    <row r="1271" spans="1:8" x14ac:dyDescent="0.4">
      <c r="A1271" s="1" t="s">
        <v>469</v>
      </c>
      <c r="B1271" s="1">
        <v>10728</v>
      </c>
      <c r="C1271" s="1">
        <v>60</v>
      </c>
      <c r="D1271" s="1" t="s">
        <v>694</v>
      </c>
      <c r="E1271">
        <v>34</v>
      </c>
      <c r="F1271" s="1">
        <v>15</v>
      </c>
      <c r="G1271" s="1">
        <v>0</v>
      </c>
      <c r="H1271" s="2">
        <v>35038</v>
      </c>
    </row>
    <row r="1272" spans="1:8" x14ac:dyDescent="0.4">
      <c r="A1272" s="1" t="s">
        <v>363</v>
      </c>
      <c r="B1272" s="1">
        <v>10729</v>
      </c>
      <c r="C1272" s="1">
        <v>1</v>
      </c>
      <c r="D1272" s="1" t="s">
        <v>735</v>
      </c>
      <c r="E1272">
        <v>18</v>
      </c>
      <c r="F1272" s="1">
        <v>50</v>
      </c>
      <c r="G1272" s="1">
        <v>0</v>
      </c>
      <c r="H1272" s="2">
        <v>35038</v>
      </c>
    </row>
    <row r="1273" spans="1:8" x14ac:dyDescent="0.4">
      <c r="A1273" s="1" t="s">
        <v>363</v>
      </c>
      <c r="B1273" s="1">
        <v>10729</v>
      </c>
      <c r="C1273" s="1">
        <v>21</v>
      </c>
      <c r="D1273" s="1" t="s">
        <v>710</v>
      </c>
      <c r="E1273">
        <v>10</v>
      </c>
      <c r="F1273" s="1">
        <v>30</v>
      </c>
      <c r="G1273" s="1">
        <v>0</v>
      </c>
      <c r="H1273" s="2">
        <v>35038</v>
      </c>
    </row>
    <row r="1274" spans="1:8" x14ac:dyDescent="0.4">
      <c r="A1274" s="1" t="s">
        <v>363</v>
      </c>
      <c r="B1274" s="1">
        <v>10729</v>
      </c>
      <c r="C1274" s="1">
        <v>50</v>
      </c>
      <c r="D1274" s="1" t="s">
        <v>755</v>
      </c>
      <c r="E1274">
        <v>16.25</v>
      </c>
      <c r="F1274" s="1">
        <v>40</v>
      </c>
      <c r="G1274" s="1">
        <v>0</v>
      </c>
      <c r="H1274" s="2">
        <v>35038</v>
      </c>
    </row>
    <row r="1275" spans="1:8" x14ac:dyDescent="0.4">
      <c r="A1275" s="1" t="s">
        <v>77</v>
      </c>
      <c r="B1275" s="1">
        <v>10730</v>
      </c>
      <c r="C1275" s="1">
        <v>16</v>
      </c>
      <c r="D1275" s="1" t="s">
        <v>702</v>
      </c>
      <c r="E1275">
        <v>17.45</v>
      </c>
      <c r="F1275" s="1">
        <v>15</v>
      </c>
      <c r="G1275" s="1">
        <v>0.05</v>
      </c>
      <c r="H1275" s="2">
        <v>35039</v>
      </c>
    </row>
    <row r="1276" spans="1:8" x14ac:dyDescent="0.4">
      <c r="A1276" s="1" t="s">
        <v>77</v>
      </c>
      <c r="B1276" s="1">
        <v>10730</v>
      </c>
      <c r="C1276" s="1">
        <v>31</v>
      </c>
      <c r="D1276" s="1" t="s">
        <v>695</v>
      </c>
      <c r="E1276">
        <v>12.5</v>
      </c>
      <c r="F1276" s="1">
        <v>3</v>
      </c>
      <c r="G1276" s="1">
        <v>0.05</v>
      </c>
      <c r="H1276" s="2">
        <v>35039</v>
      </c>
    </row>
    <row r="1277" spans="1:8" x14ac:dyDescent="0.4">
      <c r="A1277" s="1" t="s">
        <v>77</v>
      </c>
      <c r="B1277" s="1">
        <v>10730</v>
      </c>
      <c r="C1277" s="1">
        <v>65</v>
      </c>
      <c r="D1277" s="1" t="s">
        <v>689</v>
      </c>
      <c r="E1277">
        <v>21.05</v>
      </c>
      <c r="F1277" s="1">
        <v>10</v>
      </c>
      <c r="G1277" s="1">
        <v>0.05</v>
      </c>
      <c r="H1277" s="2">
        <v>35039</v>
      </c>
    </row>
    <row r="1278" spans="1:8" x14ac:dyDescent="0.4">
      <c r="A1278" s="1" t="s">
        <v>116</v>
      </c>
      <c r="B1278" s="1">
        <v>10731</v>
      </c>
      <c r="C1278" s="1">
        <v>21</v>
      </c>
      <c r="D1278" s="1" t="s">
        <v>710</v>
      </c>
      <c r="E1278">
        <v>10</v>
      </c>
      <c r="F1278" s="1">
        <v>40</v>
      </c>
      <c r="G1278" s="1">
        <v>0.05</v>
      </c>
      <c r="H1278" s="2">
        <v>35040</v>
      </c>
    </row>
    <row r="1279" spans="1:8" x14ac:dyDescent="0.4">
      <c r="A1279" s="1" t="s">
        <v>116</v>
      </c>
      <c r="B1279" s="1">
        <v>10731</v>
      </c>
      <c r="C1279" s="1">
        <v>51</v>
      </c>
      <c r="D1279" s="1" t="s">
        <v>687</v>
      </c>
      <c r="E1279">
        <v>53</v>
      </c>
      <c r="F1279" s="1">
        <v>30</v>
      </c>
      <c r="G1279" s="1">
        <v>0.05</v>
      </c>
      <c r="H1279" s="2">
        <v>35040</v>
      </c>
    </row>
    <row r="1280" spans="1:8" x14ac:dyDescent="0.4">
      <c r="A1280" s="1" t="s">
        <v>77</v>
      </c>
      <c r="B1280" s="1">
        <v>10732</v>
      </c>
      <c r="C1280" s="1">
        <v>76</v>
      </c>
      <c r="D1280" s="1" t="s">
        <v>721</v>
      </c>
      <c r="E1280">
        <v>18</v>
      </c>
      <c r="F1280" s="1">
        <v>20</v>
      </c>
      <c r="G1280" s="1">
        <v>0</v>
      </c>
      <c r="H1280" s="2">
        <v>35040</v>
      </c>
    </row>
    <row r="1281" spans="1:8" x14ac:dyDescent="0.4">
      <c r="A1281" s="1" t="s">
        <v>43</v>
      </c>
      <c r="B1281" s="1">
        <v>10733</v>
      </c>
      <c r="C1281" s="1">
        <v>14</v>
      </c>
      <c r="D1281" s="1" t="s">
        <v>686</v>
      </c>
      <c r="E1281">
        <v>23.25</v>
      </c>
      <c r="F1281" s="1">
        <v>16</v>
      </c>
      <c r="G1281" s="1">
        <v>0</v>
      </c>
      <c r="H1281" s="2">
        <v>35041</v>
      </c>
    </row>
    <row r="1282" spans="1:8" x14ac:dyDescent="0.4">
      <c r="A1282" s="1" t="s">
        <v>43</v>
      </c>
      <c r="B1282" s="1">
        <v>10733</v>
      </c>
      <c r="C1282" s="1">
        <v>28</v>
      </c>
      <c r="D1282" s="1" t="s">
        <v>727</v>
      </c>
      <c r="E1282">
        <v>45.6</v>
      </c>
      <c r="F1282" s="1">
        <v>20</v>
      </c>
      <c r="G1282" s="1">
        <v>0</v>
      </c>
      <c r="H1282" s="2">
        <v>35041</v>
      </c>
    </row>
    <row r="1283" spans="1:8" x14ac:dyDescent="0.4">
      <c r="A1283" s="1" t="s">
        <v>43</v>
      </c>
      <c r="B1283" s="1">
        <v>10733</v>
      </c>
      <c r="C1283" s="1">
        <v>52</v>
      </c>
      <c r="D1283" s="1" t="s">
        <v>748</v>
      </c>
      <c r="E1283">
        <v>7</v>
      </c>
      <c r="F1283" s="1">
        <v>25</v>
      </c>
      <c r="G1283" s="1">
        <v>0</v>
      </c>
      <c r="H1283" s="2">
        <v>35041</v>
      </c>
    </row>
    <row r="1284" spans="1:8" x14ac:dyDescent="0.4">
      <c r="A1284" s="1" t="s">
        <v>240</v>
      </c>
      <c r="B1284" s="1">
        <v>10734</v>
      </c>
      <c r="C1284" s="1">
        <v>6</v>
      </c>
      <c r="D1284" s="1" t="s">
        <v>746</v>
      </c>
      <c r="E1284">
        <v>25</v>
      </c>
      <c r="F1284" s="1">
        <v>30</v>
      </c>
      <c r="G1284" s="1">
        <v>0</v>
      </c>
      <c r="H1284" s="2">
        <v>35041</v>
      </c>
    </row>
    <row r="1285" spans="1:8" x14ac:dyDescent="0.4">
      <c r="A1285" s="1" t="s">
        <v>240</v>
      </c>
      <c r="B1285" s="1">
        <v>10734</v>
      </c>
      <c r="C1285" s="1">
        <v>30</v>
      </c>
      <c r="D1285" s="1" t="s">
        <v>717</v>
      </c>
      <c r="E1285">
        <v>25.89</v>
      </c>
      <c r="F1285" s="1">
        <v>15</v>
      </c>
      <c r="G1285" s="1">
        <v>0</v>
      </c>
      <c r="H1285" s="2">
        <v>35041</v>
      </c>
    </row>
    <row r="1286" spans="1:8" x14ac:dyDescent="0.4">
      <c r="A1286" s="1" t="s">
        <v>240</v>
      </c>
      <c r="B1286" s="1">
        <v>10734</v>
      </c>
      <c r="C1286" s="1">
        <v>76</v>
      </c>
      <c r="D1286" s="1" t="s">
        <v>721</v>
      </c>
      <c r="E1286">
        <v>18</v>
      </c>
      <c r="F1286" s="1">
        <v>20</v>
      </c>
      <c r="G1286" s="1">
        <v>0</v>
      </c>
      <c r="H1286" s="2">
        <v>35041</v>
      </c>
    </row>
    <row r="1287" spans="1:8" x14ac:dyDescent="0.4">
      <c r="A1287" s="1" t="s">
        <v>348</v>
      </c>
      <c r="B1287" s="1">
        <v>10735</v>
      </c>
      <c r="C1287" s="1">
        <v>61</v>
      </c>
      <c r="D1287" s="1" t="s">
        <v>758</v>
      </c>
      <c r="E1287">
        <v>28.5</v>
      </c>
      <c r="F1287" s="1">
        <v>20</v>
      </c>
      <c r="G1287" s="1">
        <v>0.1</v>
      </c>
      <c r="H1287" s="2">
        <v>35044</v>
      </c>
    </row>
    <row r="1288" spans="1:8" x14ac:dyDescent="0.4">
      <c r="A1288" s="1" t="s">
        <v>348</v>
      </c>
      <c r="B1288" s="1">
        <v>10735</v>
      </c>
      <c r="C1288" s="1">
        <v>77</v>
      </c>
      <c r="D1288" s="1" t="s">
        <v>706</v>
      </c>
      <c r="E1288">
        <v>13</v>
      </c>
      <c r="F1288" s="1">
        <v>2</v>
      </c>
      <c r="G1288" s="1">
        <v>0.1</v>
      </c>
      <c r="H1288" s="2">
        <v>35044</v>
      </c>
    </row>
    <row r="1289" spans="1:8" x14ac:dyDescent="0.4">
      <c r="A1289" s="1" t="s">
        <v>288</v>
      </c>
      <c r="B1289" s="1">
        <v>10736</v>
      </c>
      <c r="C1289" s="1">
        <v>65</v>
      </c>
      <c r="D1289" s="1" t="s">
        <v>689</v>
      </c>
      <c r="E1289">
        <v>21.05</v>
      </c>
      <c r="F1289" s="1">
        <v>40</v>
      </c>
      <c r="G1289" s="1">
        <v>0</v>
      </c>
      <c r="H1289" s="2">
        <v>35045</v>
      </c>
    </row>
    <row r="1290" spans="1:8" x14ac:dyDescent="0.4">
      <c r="A1290" s="1" t="s">
        <v>288</v>
      </c>
      <c r="B1290" s="1">
        <v>10736</v>
      </c>
      <c r="C1290" s="1">
        <v>75</v>
      </c>
      <c r="D1290" s="1" t="s">
        <v>731</v>
      </c>
      <c r="E1290">
        <v>7.75</v>
      </c>
      <c r="F1290" s="1">
        <v>20</v>
      </c>
      <c r="G1290" s="1">
        <v>0</v>
      </c>
      <c r="H1290" s="2">
        <v>35045</v>
      </c>
    </row>
    <row r="1291" spans="1:8" x14ac:dyDescent="0.4">
      <c r="A1291" s="1" t="s">
        <v>626</v>
      </c>
      <c r="B1291" s="1">
        <v>10737</v>
      </c>
      <c r="C1291" s="1">
        <v>13</v>
      </c>
      <c r="D1291" s="1" t="s">
        <v>726</v>
      </c>
      <c r="E1291">
        <v>6</v>
      </c>
      <c r="F1291" s="1">
        <v>4</v>
      </c>
      <c r="G1291" s="1">
        <v>0</v>
      </c>
      <c r="H1291" s="2">
        <v>35045</v>
      </c>
    </row>
    <row r="1292" spans="1:8" x14ac:dyDescent="0.4">
      <c r="A1292" s="1" t="s">
        <v>626</v>
      </c>
      <c r="B1292" s="1">
        <v>10737</v>
      </c>
      <c r="C1292" s="1">
        <v>41</v>
      </c>
      <c r="D1292" s="1" t="s">
        <v>688</v>
      </c>
      <c r="E1292">
        <v>9.65</v>
      </c>
      <c r="F1292" s="1">
        <v>12</v>
      </c>
      <c r="G1292" s="1">
        <v>0</v>
      </c>
      <c r="H1292" s="2">
        <v>35045</v>
      </c>
    </row>
    <row r="1293" spans="1:8" x14ac:dyDescent="0.4">
      <c r="A1293" s="1" t="s">
        <v>551</v>
      </c>
      <c r="B1293" s="1">
        <v>10738</v>
      </c>
      <c r="C1293" s="1">
        <v>16</v>
      </c>
      <c r="D1293" s="1" t="s">
        <v>702</v>
      </c>
      <c r="E1293">
        <v>17.45</v>
      </c>
      <c r="F1293" s="1">
        <v>3</v>
      </c>
      <c r="G1293" s="1">
        <v>0</v>
      </c>
      <c r="H1293" s="2">
        <v>35046</v>
      </c>
    </row>
    <row r="1294" spans="1:8" x14ac:dyDescent="0.4">
      <c r="A1294" s="1" t="s">
        <v>626</v>
      </c>
      <c r="B1294" s="1">
        <v>10739</v>
      </c>
      <c r="C1294" s="1">
        <v>36</v>
      </c>
      <c r="D1294" s="1" t="s">
        <v>703</v>
      </c>
      <c r="E1294">
        <v>19</v>
      </c>
      <c r="F1294" s="1">
        <v>6</v>
      </c>
      <c r="G1294" s="1">
        <v>0</v>
      </c>
      <c r="H1294" s="2">
        <v>35046</v>
      </c>
    </row>
    <row r="1295" spans="1:8" x14ac:dyDescent="0.4">
      <c r="A1295" s="1" t="s">
        <v>626</v>
      </c>
      <c r="B1295" s="1">
        <v>10739</v>
      </c>
      <c r="C1295" s="1">
        <v>52</v>
      </c>
      <c r="D1295" s="1" t="s">
        <v>748</v>
      </c>
      <c r="E1295">
        <v>7</v>
      </c>
      <c r="F1295" s="1">
        <v>18</v>
      </c>
      <c r="G1295" s="1">
        <v>0</v>
      </c>
      <c r="H1295" s="2">
        <v>35046</v>
      </c>
    </row>
    <row r="1296" spans="1:8" x14ac:dyDescent="0.4">
      <c r="A1296" s="1" t="s">
        <v>654</v>
      </c>
      <c r="B1296" s="1">
        <v>10740</v>
      </c>
      <c r="C1296" s="1">
        <v>28</v>
      </c>
      <c r="D1296" s="1" t="s">
        <v>727</v>
      </c>
      <c r="E1296">
        <v>45.6</v>
      </c>
      <c r="F1296" s="1">
        <v>5</v>
      </c>
      <c r="G1296" s="1">
        <v>0.2</v>
      </c>
      <c r="H1296" s="2">
        <v>35047</v>
      </c>
    </row>
    <row r="1297" spans="1:8" x14ac:dyDescent="0.4">
      <c r="A1297" s="1" t="s">
        <v>654</v>
      </c>
      <c r="B1297" s="1">
        <v>10740</v>
      </c>
      <c r="C1297" s="1">
        <v>35</v>
      </c>
      <c r="D1297" s="1" t="s">
        <v>714</v>
      </c>
      <c r="E1297">
        <v>18</v>
      </c>
      <c r="F1297" s="1">
        <v>35</v>
      </c>
      <c r="G1297" s="1">
        <v>0.2</v>
      </c>
      <c r="H1297" s="2">
        <v>35047</v>
      </c>
    </row>
    <row r="1298" spans="1:8" x14ac:dyDescent="0.4">
      <c r="A1298" s="1" t="s">
        <v>654</v>
      </c>
      <c r="B1298" s="1">
        <v>10740</v>
      </c>
      <c r="C1298" s="1">
        <v>45</v>
      </c>
      <c r="D1298" s="1" t="s">
        <v>756</v>
      </c>
      <c r="E1298">
        <v>9.5</v>
      </c>
      <c r="F1298" s="1">
        <v>40</v>
      </c>
      <c r="G1298" s="1">
        <v>0.2</v>
      </c>
      <c r="H1298" s="2">
        <v>35047</v>
      </c>
    </row>
    <row r="1299" spans="1:8" x14ac:dyDescent="0.4">
      <c r="A1299" s="1" t="s">
        <v>654</v>
      </c>
      <c r="B1299" s="1">
        <v>10740</v>
      </c>
      <c r="C1299" s="1">
        <v>56</v>
      </c>
      <c r="D1299" s="1" t="s">
        <v>716</v>
      </c>
      <c r="E1299">
        <v>38</v>
      </c>
      <c r="F1299" s="1">
        <v>14</v>
      </c>
      <c r="G1299" s="1">
        <v>0.2</v>
      </c>
      <c r="H1299" s="2">
        <v>35047</v>
      </c>
    </row>
    <row r="1300" spans="1:8" x14ac:dyDescent="0.4">
      <c r="A1300" s="1" t="s">
        <v>34</v>
      </c>
      <c r="B1300" s="1">
        <v>10741</v>
      </c>
      <c r="C1300" s="1">
        <v>2</v>
      </c>
      <c r="D1300" s="1" t="s">
        <v>701</v>
      </c>
      <c r="E1300">
        <v>19</v>
      </c>
      <c r="F1300" s="1">
        <v>15</v>
      </c>
      <c r="G1300" s="1">
        <v>0.2</v>
      </c>
      <c r="H1300" s="2">
        <v>35048</v>
      </c>
    </row>
    <row r="1301" spans="1:8" x14ac:dyDescent="0.4">
      <c r="A1301" s="1" t="s">
        <v>84</v>
      </c>
      <c r="B1301" s="1">
        <v>10742</v>
      </c>
      <c r="C1301" s="1">
        <v>3</v>
      </c>
      <c r="D1301" s="1" t="s">
        <v>740</v>
      </c>
      <c r="E1301">
        <v>10</v>
      </c>
      <c r="F1301" s="1">
        <v>20</v>
      </c>
      <c r="G1301" s="1">
        <v>0</v>
      </c>
      <c r="H1301" s="2">
        <v>35048</v>
      </c>
    </row>
    <row r="1302" spans="1:8" x14ac:dyDescent="0.4">
      <c r="A1302" s="1" t="s">
        <v>84</v>
      </c>
      <c r="B1302" s="1">
        <v>10742</v>
      </c>
      <c r="C1302" s="1">
        <v>60</v>
      </c>
      <c r="D1302" s="1" t="s">
        <v>694</v>
      </c>
      <c r="E1302">
        <v>34</v>
      </c>
      <c r="F1302" s="1">
        <v>50</v>
      </c>
      <c r="G1302" s="1">
        <v>0</v>
      </c>
      <c r="H1302" s="2">
        <v>35048</v>
      </c>
    </row>
    <row r="1303" spans="1:8" x14ac:dyDescent="0.4">
      <c r="A1303" s="1" t="s">
        <v>84</v>
      </c>
      <c r="B1303" s="1">
        <v>10742</v>
      </c>
      <c r="C1303" s="1">
        <v>72</v>
      </c>
      <c r="D1303" s="1" t="s">
        <v>685</v>
      </c>
      <c r="E1303">
        <v>34.799999999999997</v>
      </c>
      <c r="F1303" s="1">
        <v>35</v>
      </c>
      <c r="G1303" s="1">
        <v>0</v>
      </c>
      <c r="H1303" s="2">
        <v>35048</v>
      </c>
    </row>
    <row r="1304" spans="1:8" x14ac:dyDescent="0.4">
      <c r="A1304" s="1" t="s">
        <v>34</v>
      </c>
      <c r="B1304" s="1">
        <v>10743</v>
      </c>
      <c r="C1304" s="1">
        <v>46</v>
      </c>
      <c r="D1304" s="1" t="s">
        <v>737</v>
      </c>
      <c r="E1304">
        <v>12</v>
      </c>
      <c r="F1304" s="1">
        <v>28</v>
      </c>
      <c r="G1304" s="1">
        <v>0.05</v>
      </c>
      <c r="H1304" s="2">
        <v>35051</v>
      </c>
    </row>
    <row r="1305" spans="1:8" x14ac:dyDescent="0.4">
      <c r="A1305" s="1" t="s">
        <v>612</v>
      </c>
      <c r="B1305" s="1">
        <v>10744</v>
      </c>
      <c r="C1305" s="1">
        <v>40</v>
      </c>
      <c r="D1305" s="1" t="s">
        <v>720</v>
      </c>
      <c r="E1305">
        <v>18.399999999999999</v>
      </c>
      <c r="F1305" s="1">
        <v>50</v>
      </c>
      <c r="G1305" s="1">
        <v>0.2</v>
      </c>
      <c r="H1305" s="2">
        <v>35051</v>
      </c>
    </row>
    <row r="1306" spans="1:8" x14ac:dyDescent="0.4">
      <c r="A1306" s="1" t="s">
        <v>475</v>
      </c>
      <c r="B1306" s="1">
        <v>10745</v>
      </c>
      <c r="C1306" s="1">
        <v>18</v>
      </c>
      <c r="D1306" s="1" t="s">
        <v>742</v>
      </c>
      <c r="E1306">
        <v>62.5</v>
      </c>
      <c r="F1306" s="1">
        <v>24</v>
      </c>
      <c r="G1306" s="1">
        <v>0</v>
      </c>
      <c r="H1306" s="2">
        <v>35052</v>
      </c>
    </row>
    <row r="1307" spans="1:8" x14ac:dyDescent="0.4">
      <c r="A1307" s="1" t="s">
        <v>475</v>
      </c>
      <c r="B1307" s="1">
        <v>10745</v>
      </c>
      <c r="C1307" s="1">
        <v>44</v>
      </c>
      <c r="D1307" s="1" t="s">
        <v>728</v>
      </c>
      <c r="E1307">
        <v>19.45</v>
      </c>
      <c r="F1307" s="1">
        <v>16</v>
      </c>
      <c r="G1307" s="1">
        <v>0</v>
      </c>
      <c r="H1307" s="2">
        <v>35052</v>
      </c>
    </row>
    <row r="1308" spans="1:8" x14ac:dyDescent="0.4">
      <c r="A1308" s="1" t="s">
        <v>475</v>
      </c>
      <c r="B1308" s="1">
        <v>10745</v>
      </c>
      <c r="C1308" s="1">
        <v>59</v>
      </c>
      <c r="D1308" s="1" t="s">
        <v>704</v>
      </c>
      <c r="E1308">
        <v>55</v>
      </c>
      <c r="F1308" s="1">
        <v>45</v>
      </c>
      <c r="G1308" s="1">
        <v>0</v>
      </c>
      <c r="H1308" s="2">
        <v>35052</v>
      </c>
    </row>
    <row r="1309" spans="1:8" x14ac:dyDescent="0.4">
      <c r="A1309" s="1" t="s">
        <v>475</v>
      </c>
      <c r="B1309" s="1">
        <v>10745</v>
      </c>
      <c r="C1309" s="1">
        <v>72</v>
      </c>
      <c r="D1309" s="1" t="s">
        <v>685</v>
      </c>
      <c r="E1309">
        <v>34.799999999999997</v>
      </c>
      <c r="F1309" s="1">
        <v>7</v>
      </c>
      <c r="G1309" s="1">
        <v>0</v>
      </c>
      <c r="H1309" s="2">
        <v>35052</v>
      </c>
    </row>
    <row r="1310" spans="1:8" x14ac:dyDescent="0.4">
      <c r="A1310" s="1" t="s">
        <v>116</v>
      </c>
      <c r="B1310" s="1">
        <v>10746</v>
      </c>
      <c r="C1310" s="1">
        <v>13</v>
      </c>
      <c r="D1310" s="1" t="s">
        <v>726</v>
      </c>
      <c r="E1310">
        <v>6</v>
      </c>
      <c r="F1310" s="1">
        <v>6</v>
      </c>
      <c r="G1310" s="1">
        <v>0</v>
      </c>
      <c r="H1310" s="2">
        <v>35053</v>
      </c>
    </row>
    <row r="1311" spans="1:8" x14ac:dyDescent="0.4">
      <c r="A1311" s="1" t="s">
        <v>116</v>
      </c>
      <c r="B1311" s="1">
        <v>10746</v>
      </c>
      <c r="C1311" s="1">
        <v>42</v>
      </c>
      <c r="D1311" s="1" t="s">
        <v>684</v>
      </c>
      <c r="E1311">
        <v>14</v>
      </c>
      <c r="F1311" s="1">
        <v>28</v>
      </c>
      <c r="G1311" s="1">
        <v>0</v>
      </c>
      <c r="H1311" s="2">
        <v>35053</v>
      </c>
    </row>
    <row r="1312" spans="1:8" x14ac:dyDescent="0.4">
      <c r="A1312" s="1" t="s">
        <v>116</v>
      </c>
      <c r="B1312" s="1">
        <v>10746</v>
      </c>
      <c r="C1312" s="1">
        <v>62</v>
      </c>
      <c r="D1312" s="1" t="s">
        <v>712</v>
      </c>
      <c r="E1312">
        <v>49.3</v>
      </c>
      <c r="F1312" s="1">
        <v>9</v>
      </c>
      <c r="G1312" s="1">
        <v>0</v>
      </c>
      <c r="H1312" s="2">
        <v>35053</v>
      </c>
    </row>
    <row r="1313" spans="1:8" x14ac:dyDescent="0.4">
      <c r="A1313" s="1" t="s">
        <v>116</v>
      </c>
      <c r="B1313" s="1">
        <v>10746</v>
      </c>
      <c r="C1313" s="1">
        <v>69</v>
      </c>
      <c r="D1313" s="1" t="s">
        <v>743</v>
      </c>
      <c r="E1313">
        <v>36</v>
      </c>
      <c r="F1313" s="1">
        <v>40</v>
      </c>
      <c r="G1313" s="1">
        <v>0</v>
      </c>
      <c r="H1313" s="2">
        <v>35053</v>
      </c>
    </row>
    <row r="1314" spans="1:8" x14ac:dyDescent="0.4">
      <c r="A1314" s="1" t="s">
        <v>450</v>
      </c>
      <c r="B1314" s="1">
        <v>10747</v>
      </c>
      <c r="C1314" s="1">
        <v>31</v>
      </c>
      <c r="D1314" s="1" t="s">
        <v>695</v>
      </c>
      <c r="E1314">
        <v>12.5</v>
      </c>
      <c r="F1314" s="1">
        <v>8</v>
      </c>
      <c r="G1314" s="1">
        <v>0</v>
      </c>
      <c r="H1314" s="2">
        <v>35053</v>
      </c>
    </row>
    <row r="1315" spans="1:8" x14ac:dyDescent="0.4">
      <c r="A1315" s="1" t="s">
        <v>450</v>
      </c>
      <c r="B1315" s="1">
        <v>10747</v>
      </c>
      <c r="C1315" s="1">
        <v>41</v>
      </c>
      <c r="D1315" s="1" t="s">
        <v>688</v>
      </c>
      <c r="E1315">
        <v>9.65</v>
      </c>
      <c r="F1315" s="1">
        <v>35</v>
      </c>
      <c r="G1315" s="1">
        <v>0</v>
      </c>
      <c r="H1315" s="2">
        <v>35053</v>
      </c>
    </row>
    <row r="1316" spans="1:8" x14ac:dyDescent="0.4">
      <c r="A1316" s="1" t="s">
        <v>450</v>
      </c>
      <c r="B1316" s="1">
        <v>10747</v>
      </c>
      <c r="C1316" s="1">
        <v>63</v>
      </c>
      <c r="D1316" s="1" t="s">
        <v>729</v>
      </c>
      <c r="E1316">
        <v>43.9</v>
      </c>
      <c r="F1316" s="1">
        <v>9</v>
      </c>
      <c r="G1316" s="1">
        <v>0</v>
      </c>
      <c r="H1316" s="2">
        <v>35053</v>
      </c>
    </row>
    <row r="1317" spans="1:8" x14ac:dyDescent="0.4">
      <c r="A1317" s="1" t="s">
        <v>450</v>
      </c>
      <c r="B1317" s="1">
        <v>10747</v>
      </c>
      <c r="C1317" s="1">
        <v>69</v>
      </c>
      <c r="D1317" s="1" t="s">
        <v>743</v>
      </c>
      <c r="E1317">
        <v>36</v>
      </c>
      <c r="F1317" s="1">
        <v>30</v>
      </c>
      <c r="G1317" s="1">
        <v>0</v>
      </c>
      <c r="H1317" s="2">
        <v>35053</v>
      </c>
    </row>
    <row r="1318" spans="1:8" x14ac:dyDescent="0.4">
      <c r="A1318" s="1" t="s">
        <v>529</v>
      </c>
      <c r="B1318" s="1">
        <v>10748</v>
      </c>
      <c r="C1318" s="1">
        <v>23</v>
      </c>
      <c r="D1318" s="1" t="s">
        <v>753</v>
      </c>
      <c r="E1318">
        <v>9</v>
      </c>
      <c r="F1318" s="1">
        <v>44</v>
      </c>
      <c r="G1318" s="1">
        <v>0</v>
      </c>
      <c r="H1318" s="2">
        <v>35054</v>
      </c>
    </row>
    <row r="1319" spans="1:8" x14ac:dyDescent="0.4">
      <c r="A1319" s="1" t="s">
        <v>529</v>
      </c>
      <c r="B1319" s="1">
        <v>10748</v>
      </c>
      <c r="C1319" s="1">
        <v>40</v>
      </c>
      <c r="D1319" s="1" t="s">
        <v>720</v>
      </c>
      <c r="E1319">
        <v>18.399999999999999</v>
      </c>
      <c r="F1319" s="1">
        <v>40</v>
      </c>
      <c r="G1319" s="1">
        <v>0</v>
      </c>
      <c r="H1319" s="2">
        <v>35054</v>
      </c>
    </row>
    <row r="1320" spans="1:8" x14ac:dyDescent="0.4">
      <c r="A1320" s="1" t="s">
        <v>529</v>
      </c>
      <c r="B1320" s="1">
        <v>10748</v>
      </c>
      <c r="C1320" s="1">
        <v>56</v>
      </c>
      <c r="D1320" s="1" t="s">
        <v>716</v>
      </c>
      <c r="E1320">
        <v>38</v>
      </c>
      <c r="F1320" s="1">
        <v>28</v>
      </c>
      <c r="G1320" s="1">
        <v>0</v>
      </c>
      <c r="H1320" s="2">
        <v>35054</v>
      </c>
    </row>
    <row r="1321" spans="1:8" x14ac:dyDescent="0.4">
      <c r="A1321" s="1" t="s">
        <v>297</v>
      </c>
      <c r="B1321" s="1">
        <v>10749</v>
      </c>
      <c r="C1321" s="1">
        <v>56</v>
      </c>
      <c r="D1321" s="1" t="s">
        <v>716</v>
      </c>
      <c r="E1321">
        <v>38</v>
      </c>
      <c r="F1321" s="1">
        <v>15</v>
      </c>
      <c r="G1321" s="1">
        <v>0</v>
      </c>
      <c r="H1321" s="2">
        <v>35054</v>
      </c>
    </row>
    <row r="1322" spans="1:8" x14ac:dyDescent="0.4">
      <c r="A1322" s="1" t="s">
        <v>297</v>
      </c>
      <c r="B1322" s="1">
        <v>10749</v>
      </c>
      <c r="C1322" s="1">
        <v>59</v>
      </c>
      <c r="D1322" s="1" t="s">
        <v>704</v>
      </c>
      <c r="E1322">
        <v>55</v>
      </c>
      <c r="F1322" s="1">
        <v>6</v>
      </c>
      <c r="G1322" s="1">
        <v>0</v>
      </c>
      <c r="H1322" s="2">
        <v>35054</v>
      </c>
    </row>
    <row r="1323" spans="1:8" x14ac:dyDescent="0.4">
      <c r="A1323" s="1" t="s">
        <v>297</v>
      </c>
      <c r="B1323" s="1">
        <v>10749</v>
      </c>
      <c r="C1323" s="1">
        <v>76</v>
      </c>
      <c r="D1323" s="1" t="s">
        <v>721</v>
      </c>
      <c r="E1323">
        <v>18</v>
      </c>
      <c r="F1323" s="1">
        <v>10</v>
      </c>
      <c r="G1323" s="1">
        <v>0</v>
      </c>
      <c r="H1323" s="2">
        <v>35054</v>
      </c>
    </row>
    <row r="1324" spans="1:8" x14ac:dyDescent="0.4">
      <c r="A1324" s="1" t="s">
        <v>640</v>
      </c>
      <c r="B1324" s="1">
        <v>10750</v>
      </c>
      <c r="C1324" s="1">
        <v>14</v>
      </c>
      <c r="D1324" s="1" t="s">
        <v>686</v>
      </c>
      <c r="E1324">
        <v>23.25</v>
      </c>
      <c r="F1324" s="1">
        <v>5</v>
      </c>
      <c r="G1324" s="1">
        <v>0.15</v>
      </c>
      <c r="H1324" s="2">
        <v>35055</v>
      </c>
    </row>
    <row r="1325" spans="1:8" x14ac:dyDescent="0.4">
      <c r="A1325" s="1" t="s">
        <v>640</v>
      </c>
      <c r="B1325" s="1">
        <v>10750</v>
      </c>
      <c r="C1325" s="1">
        <v>45</v>
      </c>
      <c r="D1325" s="1" t="s">
        <v>756</v>
      </c>
      <c r="E1325">
        <v>9.5</v>
      </c>
      <c r="F1325" s="1">
        <v>40</v>
      </c>
      <c r="G1325" s="1">
        <v>0.15</v>
      </c>
      <c r="H1325" s="2">
        <v>35055</v>
      </c>
    </row>
    <row r="1326" spans="1:8" x14ac:dyDescent="0.4">
      <c r="A1326" s="1" t="s">
        <v>640</v>
      </c>
      <c r="B1326" s="1">
        <v>10750</v>
      </c>
      <c r="C1326" s="1">
        <v>59</v>
      </c>
      <c r="D1326" s="1" t="s">
        <v>704</v>
      </c>
      <c r="E1326">
        <v>55</v>
      </c>
      <c r="F1326" s="1">
        <v>25</v>
      </c>
      <c r="G1326" s="1">
        <v>0.15</v>
      </c>
      <c r="H1326" s="2">
        <v>35055</v>
      </c>
    </row>
    <row r="1327" spans="1:8" x14ac:dyDescent="0.4">
      <c r="A1327" s="1" t="s">
        <v>509</v>
      </c>
      <c r="B1327" s="1">
        <v>10751</v>
      </c>
      <c r="C1327" s="1">
        <v>26</v>
      </c>
      <c r="D1327" s="1" t="s">
        <v>751</v>
      </c>
      <c r="E1327">
        <v>31.23</v>
      </c>
      <c r="F1327" s="1">
        <v>12</v>
      </c>
      <c r="G1327" s="1">
        <v>0.1</v>
      </c>
      <c r="H1327" s="2">
        <v>35058</v>
      </c>
    </row>
    <row r="1328" spans="1:8" x14ac:dyDescent="0.4">
      <c r="A1328" s="1" t="s">
        <v>509</v>
      </c>
      <c r="B1328" s="1">
        <v>10751</v>
      </c>
      <c r="C1328" s="1">
        <v>30</v>
      </c>
      <c r="D1328" s="1" t="s">
        <v>717</v>
      </c>
      <c r="E1328">
        <v>25.89</v>
      </c>
      <c r="F1328" s="1">
        <v>30</v>
      </c>
      <c r="G1328" s="1">
        <v>0</v>
      </c>
      <c r="H1328" s="2">
        <v>35058</v>
      </c>
    </row>
    <row r="1329" spans="1:8" x14ac:dyDescent="0.4">
      <c r="A1329" s="1" t="s">
        <v>509</v>
      </c>
      <c r="B1329" s="1">
        <v>10751</v>
      </c>
      <c r="C1329" s="1">
        <v>50</v>
      </c>
      <c r="D1329" s="1" t="s">
        <v>755</v>
      </c>
      <c r="E1329">
        <v>16.25</v>
      </c>
      <c r="F1329" s="1">
        <v>20</v>
      </c>
      <c r="G1329" s="1">
        <v>0.1</v>
      </c>
      <c r="H1329" s="2">
        <v>35058</v>
      </c>
    </row>
    <row r="1330" spans="1:8" x14ac:dyDescent="0.4">
      <c r="A1330" s="1" t="s">
        <v>509</v>
      </c>
      <c r="B1330" s="1">
        <v>10751</v>
      </c>
      <c r="C1330" s="1">
        <v>73</v>
      </c>
      <c r="D1330" s="1" t="s">
        <v>730</v>
      </c>
      <c r="E1330">
        <v>15</v>
      </c>
      <c r="F1330" s="1">
        <v>15</v>
      </c>
      <c r="G1330" s="1">
        <v>0</v>
      </c>
      <c r="H1330" s="2">
        <v>35058</v>
      </c>
    </row>
    <row r="1331" spans="1:8" x14ac:dyDescent="0.4">
      <c r="A1331" s="1" t="s">
        <v>409</v>
      </c>
      <c r="B1331" s="1">
        <v>10752</v>
      </c>
      <c r="C1331" s="1">
        <v>1</v>
      </c>
      <c r="D1331" s="1" t="s">
        <v>735</v>
      </c>
      <c r="E1331">
        <v>18</v>
      </c>
      <c r="F1331" s="1">
        <v>8</v>
      </c>
      <c r="G1331" s="1">
        <v>0</v>
      </c>
      <c r="H1331" s="2">
        <v>35058</v>
      </c>
    </row>
    <row r="1332" spans="1:8" x14ac:dyDescent="0.4">
      <c r="A1332" s="1" t="s">
        <v>409</v>
      </c>
      <c r="B1332" s="1">
        <v>10752</v>
      </c>
      <c r="C1332" s="1">
        <v>69</v>
      </c>
      <c r="D1332" s="1" t="s">
        <v>743</v>
      </c>
      <c r="E1332">
        <v>36</v>
      </c>
      <c r="F1332" s="1">
        <v>3</v>
      </c>
      <c r="G1332" s="1">
        <v>0</v>
      </c>
      <c r="H1332" s="2">
        <v>35058</v>
      </c>
    </row>
    <row r="1333" spans="1:8" x14ac:dyDescent="0.4">
      <c r="A1333" s="1" t="s">
        <v>211</v>
      </c>
      <c r="B1333" s="1">
        <v>10753</v>
      </c>
      <c r="C1333" s="1">
        <v>45</v>
      </c>
      <c r="D1333" s="1" t="s">
        <v>756</v>
      </c>
      <c r="E1333">
        <v>9.5</v>
      </c>
      <c r="F1333" s="1">
        <v>4</v>
      </c>
      <c r="G1333" s="1">
        <v>0</v>
      </c>
      <c r="H1333" s="2">
        <v>35059</v>
      </c>
    </row>
    <row r="1334" spans="1:8" x14ac:dyDescent="0.4">
      <c r="A1334" s="1" t="s">
        <v>211</v>
      </c>
      <c r="B1334" s="1">
        <v>10753</v>
      </c>
      <c r="C1334" s="1">
        <v>74</v>
      </c>
      <c r="D1334" s="1" t="s">
        <v>700</v>
      </c>
      <c r="E1334">
        <v>10</v>
      </c>
      <c r="F1334" s="1">
        <v>5</v>
      </c>
      <c r="G1334" s="1">
        <v>0</v>
      </c>
      <c r="H1334" s="2">
        <v>35059</v>
      </c>
    </row>
    <row r="1335" spans="1:8" x14ac:dyDescent="0.4">
      <c r="A1335" s="1" t="s">
        <v>378</v>
      </c>
      <c r="B1335" s="1">
        <v>10754</v>
      </c>
      <c r="C1335" s="1">
        <v>40</v>
      </c>
      <c r="D1335" s="1" t="s">
        <v>720</v>
      </c>
      <c r="E1335">
        <v>18.399999999999999</v>
      </c>
      <c r="F1335" s="1">
        <v>3</v>
      </c>
      <c r="G1335" s="1">
        <v>0</v>
      </c>
      <c r="H1335" s="2">
        <v>35059</v>
      </c>
    </row>
    <row r="1336" spans="1:8" x14ac:dyDescent="0.4">
      <c r="A1336" s="1" t="s">
        <v>77</v>
      </c>
      <c r="B1336" s="1">
        <v>10755</v>
      </c>
      <c r="C1336" s="1">
        <v>47</v>
      </c>
      <c r="D1336" s="1" t="s">
        <v>752</v>
      </c>
      <c r="E1336">
        <v>9.5</v>
      </c>
      <c r="F1336" s="1">
        <v>30</v>
      </c>
      <c r="G1336" s="1">
        <v>0.25</v>
      </c>
      <c r="H1336" s="2">
        <v>35060</v>
      </c>
    </row>
    <row r="1337" spans="1:8" x14ac:dyDescent="0.4">
      <c r="A1337" s="1" t="s">
        <v>77</v>
      </c>
      <c r="B1337" s="1">
        <v>10755</v>
      </c>
      <c r="C1337" s="1">
        <v>56</v>
      </c>
      <c r="D1337" s="1" t="s">
        <v>716</v>
      </c>
      <c r="E1337">
        <v>38</v>
      </c>
      <c r="F1337" s="1">
        <v>30</v>
      </c>
      <c r="G1337" s="1">
        <v>0.25</v>
      </c>
      <c r="H1337" s="2">
        <v>35060</v>
      </c>
    </row>
    <row r="1338" spans="1:8" x14ac:dyDescent="0.4">
      <c r="A1338" s="1" t="s">
        <v>77</v>
      </c>
      <c r="B1338" s="1">
        <v>10755</v>
      </c>
      <c r="C1338" s="1">
        <v>57</v>
      </c>
      <c r="D1338" s="1" t="s">
        <v>691</v>
      </c>
      <c r="E1338">
        <v>19.5</v>
      </c>
      <c r="F1338" s="1">
        <v>14</v>
      </c>
      <c r="G1338" s="1">
        <v>0.25</v>
      </c>
      <c r="H1338" s="2">
        <v>35060</v>
      </c>
    </row>
    <row r="1339" spans="1:8" x14ac:dyDescent="0.4">
      <c r="A1339" s="1" t="s">
        <v>77</v>
      </c>
      <c r="B1339" s="1">
        <v>10755</v>
      </c>
      <c r="C1339" s="1">
        <v>69</v>
      </c>
      <c r="D1339" s="1" t="s">
        <v>743</v>
      </c>
      <c r="E1339">
        <v>36</v>
      </c>
      <c r="F1339" s="1">
        <v>25</v>
      </c>
      <c r="G1339" s="1">
        <v>0.25</v>
      </c>
      <c r="H1339" s="2">
        <v>35060</v>
      </c>
    </row>
    <row r="1340" spans="1:8" x14ac:dyDescent="0.4">
      <c r="A1340" s="1" t="s">
        <v>557</v>
      </c>
      <c r="B1340" s="1">
        <v>10756</v>
      </c>
      <c r="C1340" s="1">
        <v>18</v>
      </c>
      <c r="D1340" s="1" t="s">
        <v>742</v>
      </c>
      <c r="E1340">
        <v>62.5</v>
      </c>
      <c r="F1340" s="1">
        <v>21</v>
      </c>
      <c r="G1340" s="1">
        <v>0.2</v>
      </c>
      <c r="H1340" s="2">
        <v>35061</v>
      </c>
    </row>
    <row r="1341" spans="1:8" x14ac:dyDescent="0.4">
      <c r="A1341" s="1" t="s">
        <v>557</v>
      </c>
      <c r="B1341" s="1">
        <v>10756</v>
      </c>
      <c r="C1341" s="1">
        <v>36</v>
      </c>
      <c r="D1341" s="1" t="s">
        <v>703</v>
      </c>
      <c r="E1341">
        <v>19</v>
      </c>
      <c r="F1341" s="1">
        <v>20</v>
      </c>
      <c r="G1341" s="1">
        <v>0.2</v>
      </c>
      <c r="H1341" s="2">
        <v>35061</v>
      </c>
    </row>
    <row r="1342" spans="1:8" x14ac:dyDescent="0.4">
      <c r="A1342" s="1" t="s">
        <v>557</v>
      </c>
      <c r="B1342" s="1">
        <v>10756</v>
      </c>
      <c r="C1342" s="1">
        <v>68</v>
      </c>
      <c r="D1342" s="1" t="s">
        <v>739</v>
      </c>
      <c r="E1342">
        <v>12.5</v>
      </c>
      <c r="F1342" s="1">
        <v>6</v>
      </c>
      <c r="G1342" s="1">
        <v>0.2</v>
      </c>
      <c r="H1342" s="2">
        <v>35061</v>
      </c>
    </row>
    <row r="1343" spans="1:8" x14ac:dyDescent="0.4">
      <c r="A1343" s="1" t="s">
        <v>557</v>
      </c>
      <c r="B1343" s="1">
        <v>10756</v>
      </c>
      <c r="C1343" s="1">
        <v>69</v>
      </c>
      <c r="D1343" s="1" t="s">
        <v>743</v>
      </c>
      <c r="E1343">
        <v>36</v>
      </c>
      <c r="F1343" s="1">
        <v>20</v>
      </c>
      <c r="G1343" s="1">
        <v>0.2</v>
      </c>
      <c r="H1343" s="2">
        <v>35061</v>
      </c>
    </row>
    <row r="1344" spans="1:8" x14ac:dyDescent="0.4">
      <c r="A1344" s="1" t="s">
        <v>529</v>
      </c>
      <c r="B1344" s="1">
        <v>10757</v>
      </c>
      <c r="C1344" s="1">
        <v>34</v>
      </c>
      <c r="D1344" s="1" t="s">
        <v>736</v>
      </c>
      <c r="E1344">
        <v>14</v>
      </c>
      <c r="F1344" s="1">
        <v>30</v>
      </c>
      <c r="G1344" s="1">
        <v>0</v>
      </c>
      <c r="H1344" s="2">
        <v>35061</v>
      </c>
    </row>
    <row r="1345" spans="1:8" x14ac:dyDescent="0.4">
      <c r="A1345" s="1" t="s">
        <v>529</v>
      </c>
      <c r="B1345" s="1">
        <v>10757</v>
      </c>
      <c r="C1345" s="1">
        <v>59</v>
      </c>
      <c r="D1345" s="1" t="s">
        <v>704</v>
      </c>
      <c r="E1345">
        <v>55</v>
      </c>
      <c r="F1345" s="1">
        <v>7</v>
      </c>
      <c r="G1345" s="1">
        <v>0</v>
      </c>
      <c r="H1345" s="2">
        <v>35061</v>
      </c>
    </row>
    <row r="1346" spans="1:8" x14ac:dyDescent="0.4">
      <c r="A1346" s="1" t="s">
        <v>529</v>
      </c>
      <c r="B1346" s="1">
        <v>10757</v>
      </c>
      <c r="C1346" s="1">
        <v>62</v>
      </c>
      <c r="D1346" s="1" t="s">
        <v>712</v>
      </c>
      <c r="E1346">
        <v>49.3</v>
      </c>
      <c r="F1346" s="1">
        <v>30</v>
      </c>
      <c r="G1346" s="1">
        <v>0</v>
      </c>
      <c r="H1346" s="2">
        <v>35061</v>
      </c>
    </row>
    <row r="1347" spans="1:8" x14ac:dyDescent="0.4">
      <c r="A1347" s="1" t="s">
        <v>529</v>
      </c>
      <c r="B1347" s="1">
        <v>10757</v>
      </c>
      <c r="C1347" s="1">
        <v>64</v>
      </c>
      <c r="D1347" s="1" t="s">
        <v>741</v>
      </c>
      <c r="E1347">
        <v>33.25</v>
      </c>
      <c r="F1347" s="1">
        <v>24</v>
      </c>
      <c r="G1347" s="1">
        <v>0</v>
      </c>
      <c r="H1347" s="2">
        <v>35061</v>
      </c>
    </row>
    <row r="1348" spans="1:8" x14ac:dyDescent="0.4">
      <c r="A1348" s="1" t="s">
        <v>509</v>
      </c>
      <c r="B1348" s="1">
        <v>10758</v>
      </c>
      <c r="C1348" s="1">
        <v>26</v>
      </c>
      <c r="D1348" s="1" t="s">
        <v>751</v>
      </c>
      <c r="E1348">
        <v>31.23</v>
      </c>
      <c r="F1348" s="1">
        <v>20</v>
      </c>
      <c r="G1348" s="1">
        <v>0</v>
      </c>
      <c r="H1348" s="2">
        <v>35062</v>
      </c>
    </row>
    <row r="1349" spans="1:8" x14ac:dyDescent="0.4">
      <c r="A1349" s="1" t="s">
        <v>509</v>
      </c>
      <c r="B1349" s="1">
        <v>10758</v>
      </c>
      <c r="C1349" s="1">
        <v>52</v>
      </c>
      <c r="D1349" s="1" t="s">
        <v>748</v>
      </c>
      <c r="E1349">
        <v>7</v>
      </c>
      <c r="F1349" s="1">
        <v>60</v>
      </c>
      <c r="G1349" s="1">
        <v>0</v>
      </c>
      <c r="H1349" s="2">
        <v>35062</v>
      </c>
    </row>
    <row r="1350" spans="1:8" x14ac:dyDescent="0.4">
      <c r="A1350" s="1" t="s">
        <v>509</v>
      </c>
      <c r="B1350" s="1">
        <v>10758</v>
      </c>
      <c r="C1350" s="1">
        <v>70</v>
      </c>
      <c r="D1350" s="1" t="s">
        <v>713</v>
      </c>
      <c r="E1350">
        <v>15</v>
      </c>
      <c r="F1350" s="1">
        <v>40</v>
      </c>
      <c r="G1350" s="1">
        <v>0</v>
      </c>
      <c r="H1350" s="2">
        <v>35062</v>
      </c>
    </row>
    <row r="1351" spans="1:8" x14ac:dyDescent="0.4">
      <c r="A1351" s="1" t="s">
        <v>20</v>
      </c>
      <c r="B1351" s="1">
        <v>10759</v>
      </c>
      <c r="C1351" s="1">
        <v>32</v>
      </c>
      <c r="D1351" s="1" t="s">
        <v>709</v>
      </c>
      <c r="E1351">
        <v>32</v>
      </c>
      <c r="F1351" s="1">
        <v>10</v>
      </c>
      <c r="G1351" s="1">
        <v>0</v>
      </c>
      <c r="H1351" s="2">
        <v>35062</v>
      </c>
    </row>
    <row r="1352" spans="1:8" x14ac:dyDescent="0.4">
      <c r="A1352" s="1" t="s">
        <v>385</v>
      </c>
      <c r="B1352" s="1">
        <v>10760</v>
      </c>
      <c r="C1352" s="1">
        <v>25</v>
      </c>
      <c r="D1352" s="1" t="s">
        <v>749</v>
      </c>
      <c r="E1352">
        <v>14</v>
      </c>
      <c r="F1352" s="1">
        <v>12</v>
      </c>
      <c r="G1352" s="1">
        <v>0.25</v>
      </c>
      <c r="H1352" s="2">
        <v>35065</v>
      </c>
    </row>
    <row r="1353" spans="1:8" x14ac:dyDescent="0.4">
      <c r="A1353" s="1" t="s">
        <v>385</v>
      </c>
      <c r="B1353" s="1">
        <v>10760</v>
      </c>
      <c r="C1353" s="1">
        <v>27</v>
      </c>
      <c r="D1353" s="1" t="s">
        <v>707</v>
      </c>
      <c r="E1353">
        <v>43.9</v>
      </c>
      <c r="F1353" s="1">
        <v>40</v>
      </c>
      <c r="G1353" s="1">
        <v>0</v>
      </c>
      <c r="H1353" s="2">
        <v>35065</v>
      </c>
    </row>
    <row r="1354" spans="1:8" x14ac:dyDescent="0.4">
      <c r="A1354" s="1" t="s">
        <v>385</v>
      </c>
      <c r="B1354" s="1">
        <v>10760</v>
      </c>
      <c r="C1354" s="1">
        <v>43</v>
      </c>
      <c r="D1354" s="1" t="s">
        <v>723</v>
      </c>
      <c r="E1354">
        <v>46</v>
      </c>
      <c r="F1354" s="1">
        <v>30</v>
      </c>
      <c r="G1354" s="1">
        <v>0.25</v>
      </c>
      <c r="H1354" s="2">
        <v>35065</v>
      </c>
    </row>
    <row r="1355" spans="1:8" x14ac:dyDescent="0.4">
      <c r="A1355" s="1" t="s">
        <v>487</v>
      </c>
      <c r="B1355" s="1">
        <v>10761</v>
      </c>
      <c r="C1355" s="1">
        <v>25</v>
      </c>
      <c r="D1355" s="1" t="s">
        <v>749</v>
      </c>
      <c r="E1355">
        <v>14</v>
      </c>
      <c r="F1355" s="1">
        <v>35</v>
      </c>
      <c r="G1355" s="1">
        <v>0.25</v>
      </c>
      <c r="H1355" s="2">
        <v>35066</v>
      </c>
    </row>
    <row r="1356" spans="1:8" x14ac:dyDescent="0.4">
      <c r="A1356" s="1" t="s">
        <v>487</v>
      </c>
      <c r="B1356" s="1">
        <v>10761</v>
      </c>
      <c r="C1356" s="1">
        <v>75</v>
      </c>
      <c r="D1356" s="1" t="s">
        <v>731</v>
      </c>
      <c r="E1356">
        <v>7.75</v>
      </c>
      <c r="F1356" s="1">
        <v>18</v>
      </c>
      <c r="G1356" s="1">
        <v>0</v>
      </c>
      <c r="H1356" s="2">
        <v>35066</v>
      </c>
    </row>
    <row r="1357" spans="1:8" x14ac:dyDescent="0.4">
      <c r="A1357" s="1" t="s">
        <v>191</v>
      </c>
      <c r="B1357" s="1">
        <v>10762</v>
      </c>
      <c r="C1357" s="1">
        <v>39</v>
      </c>
      <c r="D1357" s="1" t="s">
        <v>696</v>
      </c>
      <c r="E1357">
        <v>18</v>
      </c>
      <c r="F1357" s="1">
        <v>16</v>
      </c>
      <c r="G1357" s="1">
        <v>0</v>
      </c>
      <c r="H1357" s="2">
        <v>35066</v>
      </c>
    </row>
    <row r="1358" spans="1:8" x14ac:dyDescent="0.4">
      <c r="A1358" s="1" t="s">
        <v>191</v>
      </c>
      <c r="B1358" s="1">
        <v>10762</v>
      </c>
      <c r="C1358" s="1">
        <v>47</v>
      </c>
      <c r="D1358" s="1" t="s">
        <v>752</v>
      </c>
      <c r="E1358">
        <v>9.5</v>
      </c>
      <c r="F1358" s="1">
        <v>30</v>
      </c>
      <c r="G1358" s="1">
        <v>0</v>
      </c>
      <c r="H1358" s="2">
        <v>35066</v>
      </c>
    </row>
    <row r="1359" spans="1:8" x14ac:dyDescent="0.4">
      <c r="A1359" s="1" t="s">
        <v>191</v>
      </c>
      <c r="B1359" s="1">
        <v>10762</v>
      </c>
      <c r="C1359" s="1">
        <v>51</v>
      </c>
      <c r="D1359" s="1" t="s">
        <v>687</v>
      </c>
      <c r="E1359">
        <v>53</v>
      </c>
      <c r="F1359" s="1">
        <v>28</v>
      </c>
      <c r="G1359" s="1">
        <v>0</v>
      </c>
      <c r="H1359" s="2">
        <v>35066</v>
      </c>
    </row>
    <row r="1360" spans="1:8" x14ac:dyDescent="0.4">
      <c r="A1360" s="1" t="s">
        <v>191</v>
      </c>
      <c r="B1360" s="1">
        <v>10762</v>
      </c>
      <c r="C1360" s="1">
        <v>56</v>
      </c>
      <c r="D1360" s="1" t="s">
        <v>716</v>
      </c>
      <c r="E1360">
        <v>38</v>
      </c>
      <c r="F1360" s="1">
        <v>60</v>
      </c>
      <c r="G1360" s="1">
        <v>0</v>
      </c>
      <c r="H1360" s="2">
        <v>35066</v>
      </c>
    </row>
    <row r="1361" spans="1:8" x14ac:dyDescent="0.4">
      <c r="A1361" s="1" t="s">
        <v>183</v>
      </c>
      <c r="B1361" s="1">
        <v>10763</v>
      </c>
      <c r="C1361" s="1">
        <v>21</v>
      </c>
      <c r="D1361" s="1" t="s">
        <v>710</v>
      </c>
      <c r="E1361">
        <v>10</v>
      </c>
      <c r="F1361" s="1">
        <v>40</v>
      </c>
      <c r="G1361" s="1">
        <v>0</v>
      </c>
      <c r="H1361" s="2">
        <v>35067</v>
      </c>
    </row>
    <row r="1362" spans="1:8" x14ac:dyDescent="0.4">
      <c r="A1362" s="1" t="s">
        <v>183</v>
      </c>
      <c r="B1362" s="1">
        <v>10763</v>
      </c>
      <c r="C1362" s="1">
        <v>22</v>
      </c>
      <c r="D1362" s="1" t="s">
        <v>690</v>
      </c>
      <c r="E1362">
        <v>21</v>
      </c>
      <c r="F1362" s="1">
        <v>6</v>
      </c>
      <c r="G1362" s="1">
        <v>0</v>
      </c>
      <c r="H1362" s="2">
        <v>35067</v>
      </c>
    </row>
    <row r="1363" spans="1:8" x14ac:dyDescent="0.4">
      <c r="A1363" s="1" t="s">
        <v>183</v>
      </c>
      <c r="B1363" s="1">
        <v>10763</v>
      </c>
      <c r="C1363" s="1">
        <v>24</v>
      </c>
      <c r="D1363" s="1" t="s">
        <v>698</v>
      </c>
      <c r="E1363">
        <v>4.5</v>
      </c>
      <c r="F1363" s="1">
        <v>20</v>
      </c>
      <c r="G1363" s="1">
        <v>0</v>
      </c>
      <c r="H1363" s="2">
        <v>35067</v>
      </c>
    </row>
    <row r="1364" spans="1:8" x14ac:dyDescent="0.4">
      <c r="A1364" s="1" t="s">
        <v>161</v>
      </c>
      <c r="B1364" s="1">
        <v>10764</v>
      </c>
      <c r="C1364" s="1">
        <v>3</v>
      </c>
      <c r="D1364" s="1" t="s">
        <v>740</v>
      </c>
      <c r="E1364">
        <v>10</v>
      </c>
      <c r="F1364" s="1">
        <v>20</v>
      </c>
      <c r="G1364" s="1">
        <v>0.1</v>
      </c>
      <c r="H1364" s="2">
        <v>35067</v>
      </c>
    </row>
    <row r="1365" spans="1:8" x14ac:dyDescent="0.4">
      <c r="A1365" s="1" t="s">
        <v>161</v>
      </c>
      <c r="B1365" s="1">
        <v>10764</v>
      </c>
      <c r="C1365" s="1">
        <v>39</v>
      </c>
      <c r="D1365" s="1" t="s">
        <v>696</v>
      </c>
      <c r="E1365">
        <v>18</v>
      </c>
      <c r="F1365" s="1">
        <v>130</v>
      </c>
      <c r="G1365" s="1">
        <v>0.1</v>
      </c>
      <c r="H1365" s="2">
        <v>35067</v>
      </c>
    </row>
    <row r="1366" spans="1:8" x14ac:dyDescent="0.4">
      <c r="A1366" s="1" t="s">
        <v>475</v>
      </c>
      <c r="B1366" s="1">
        <v>10765</v>
      </c>
      <c r="C1366" s="1">
        <v>65</v>
      </c>
      <c r="D1366" s="1" t="s">
        <v>689</v>
      </c>
      <c r="E1366">
        <v>21.05</v>
      </c>
      <c r="F1366" s="1">
        <v>80</v>
      </c>
      <c r="G1366" s="1">
        <v>0.1</v>
      </c>
      <c r="H1366" s="2">
        <v>35068</v>
      </c>
    </row>
    <row r="1367" spans="1:8" x14ac:dyDescent="0.4">
      <c r="A1367" s="1" t="s">
        <v>430</v>
      </c>
      <c r="B1367" s="1">
        <v>10766</v>
      </c>
      <c r="C1367" s="1">
        <v>2</v>
      </c>
      <c r="D1367" s="1" t="s">
        <v>701</v>
      </c>
      <c r="E1367">
        <v>19</v>
      </c>
      <c r="F1367" s="1">
        <v>40</v>
      </c>
      <c r="G1367" s="1">
        <v>0</v>
      </c>
      <c r="H1367" s="2">
        <v>35069</v>
      </c>
    </row>
    <row r="1368" spans="1:8" x14ac:dyDescent="0.4">
      <c r="A1368" s="1" t="s">
        <v>430</v>
      </c>
      <c r="B1368" s="1">
        <v>10766</v>
      </c>
      <c r="C1368" s="1">
        <v>7</v>
      </c>
      <c r="D1368" s="1" t="s">
        <v>715</v>
      </c>
      <c r="E1368">
        <v>30</v>
      </c>
      <c r="F1368" s="1">
        <v>35</v>
      </c>
      <c r="G1368" s="1">
        <v>0</v>
      </c>
      <c r="H1368" s="2">
        <v>35069</v>
      </c>
    </row>
    <row r="1369" spans="1:8" x14ac:dyDescent="0.4">
      <c r="A1369" s="1" t="s">
        <v>430</v>
      </c>
      <c r="B1369" s="1">
        <v>10766</v>
      </c>
      <c r="C1369" s="1">
        <v>68</v>
      </c>
      <c r="D1369" s="1" t="s">
        <v>739</v>
      </c>
      <c r="E1369">
        <v>12.5</v>
      </c>
      <c r="F1369" s="1">
        <v>40</v>
      </c>
      <c r="G1369" s="1">
        <v>0</v>
      </c>
      <c r="H1369" s="2">
        <v>35069</v>
      </c>
    </row>
    <row r="1370" spans="1:8" x14ac:dyDescent="0.4">
      <c r="A1370" s="1" t="s">
        <v>565</v>
      </c>
      <c r="B1370" s="1">
        <v>10767</v>
      </c>
      <c r="C1370" s="1">
        <v>42</v>
      </c>
      <c r="D1370" s="1" t="s">
        <v>684</v>
      </c>
      <c r="E1370">
        <v>14</v>
      </c>
      <c r="F1370" s="1">
        <v>2</v>
      </c>
      <c r="G1370" s="1">
        <v>0</v>
      </c>
      <c r="H1370" s="2">
        <v>35069</v>
      </c>
    </row>
    <row r="1371" spans="1:8" x14ac:dyDescent="0.4">
      <c r="A1371" s="1" t="s">
        <v>34</v>
      </c>
      <c r="B1371" s="1">
        <v>10768</v>
      </c>
      <c r="C1371" s="1">
        <v>22</v>
      </c>
      <c r="D1371" s="1" t="s">
        <v>690</v>
      </c>
      <c r="E1371">
        <v>21</v>
      </c>
      <c r="F1371" s="1">
        <v>4</v>
      </c>
      <c r="G1371" s="1">
        <v>0</v>
      </c>
      <c r="H1371" s="2">
        <v>35072</v>
      </c>
    </row>
    <row r="1372" spans="1:8" x14ac:dyDescent="0.4">
      <c r="A1372" s="1" t="s">
        <v>34</v>
      </c>
      <c r="B1372" s="1">
        <v>10768</v>
      </c>
      <c r="C1372" s="1">
        <v>31</v>
      </c>
      <c r="D1372" s="1" t="s">
        <v>695</v>
      </c>
      <c r="E1372">
        <v>12.5</v>
      </c>
      <c r="F1372" s="1">
        <v>50</v>
      </c>
      <c r="G1372" s="1">
        <v>0</v>
      </c>
      <c r="H1372" s="2">
        <v>35072</v>
      </c>
    </row>
    <row r="1373" spans="1:8" x14ac:dyDescent="0.4">
      <c r="A1373" s="1" t="s">
        <v>34</v>
      </c>
      <c r="B1373" s="1">
        <v>10768</v>
      </c>
      <c r="C1373" s="1">
        <v>60</v>
      </c>
      <c r="D1373" s="1" t="s">
        <v>694</v>
      </c>
      <c r="E1373">
        <v>34</v>
      </c>
      <c r="F1373" s="1">
        <v>15</v>
      </c>
      <c r="G1373" s="1">
        <v>0</v>
      </c>
      <c r="H1373" s="2">
        <v>35072</v>
      </c>
    </row>
    <row r="1374" spans="1:8" x14ac:dyDescent="0.4">
      <c r="A1374" s="1" t="s">
        <v>34</v>
      </c>
      <c r="B1374" s="1">
        <v>10768</v>
      </c>
      <c r="C1374" s="1">
        <v>71</v>
      </c>
      <c r="D1374" s="1" t="s">
        <v>725</v>
      </c>
      <c r="E1374">
        <v>21.5</v>
      </c>
      <c r="F1374" s="1">
        <v>12</v>
      </c>
      <c r="G1374" s="1">
        <v>0</v>
      </c>
      <c r="H1374" s="2">
        <v>35072</v>
      </c>
    </row>
    <row r="1375" spans="1:8" x14ac:dyDescent="0.4">
      <c r="A1375" s="1" t="s">
        <v>612</v>
      </c>
      <c r="B1375" s="1">
        <v>10769</v>
      </c>
      <c r="C1375" s="1">
        <v>41</v>
      </c>
      <c r="D1375" s="1" t="s">
        <v>688</v>
      </c>
      <c r="E1375">
        <v>9.65</v>
      </c>
      <c r="F1375" s="1">
        <v>30</v>
      </c>
      <c r="G1375" s="1">
        <v>0.05</v>
      </c>
      <c r="H1375" s="2">
        <v>35072</v>
      </c>
    </row>
    <row r="1376" spans="1:8" x14ac:dyDescent="0.4">
      <c r="A1376" s="1" t="s">
        <v>612</v>
      </c>
      <c r="B1376" s="1">
        <v>10769</v>
      </c>
      <c r="C1376" s="1">
        <v>52</v>
      </c>
      <c r="D1376" s="1" t="s">
        <v>748</v>
      </c>
      <c r="E1376">
        <v>7</v>
      </c>
      <c r="F1376" s="1">
        <v>15</v>
      </c>
      <c r="G1376" s="1">
        <v>0.05</v>
      </c>
      <c r="H1376" s="2">
        <v>35072</v>
      </c>
    </row>
    <row r="1377" spans="1:8" x14ac:dyDescent="0.4">
      <c r="A1377" s="1" t="s">
        <v>612</v>
      </c>
      <c r="B1377" s="1">
        <v>10769</v>
      </c>
      <c r="C1377" s="1">
        <v>61</v>
      </c>
      <c r="D1377" s="1" t="s">
        <v>758</v>
      </c>
      <c r="E1377">
        <v>28.5</v>
      </c>
      <c r="F1377" s="1">
        <v>20</v>
      </c>
      <c r="G1377" s="1">
        <v>0</v>
      </c>
      <c r="H1377" s="2">
        <v>35072</v>
      </c>
    </row>
    <row r="1378" spans="1:8" x14ac:dyDescent="0.4">
      <c r="A1378" s="1" t="s">
        <v>612</v>
      </c>
      <c r="B1378" s="1">
        <v>10769</v>
      </c>
      <c r="C1378" s="1">
        <v>62</v>
      </c>
      <c r="D1378" s="1" t="s">
        <v>712</v>
      </c>
      <c r="E1378">
        <v>49.3</v>
      </c>
      <c r="F1378" s="1">
        <v>15</v>
      </c>
      <c r="G1378" s="1">
        <v>0</v>
      </c>
      <c r="H1378" s="2">
        <v>35072</v>
      </c>
    </row>
    <row r="1379" spans="1:8" x14ac:dyDescent="0.4">
      <c r="A1379" s="1" t="s">
        <v>264</v>
      </c>
      <c r="B1379" s="1">
        <v>10770</v>
      </c>
      <c r="C1379" s="1">
        <v>11</v>
      </c>
      <c r="D1379" s="1" t="s">
        <v>683</v>
      </c>
      <c r="E1379">
        <v>21</v>
      </c>
      <c r="F1379" s="1">
        <v>15</v>
      </c>
      <c r="G1379" s="1">
        <v>0.25</v>
      </c>
      <c r="H1379" s="2">
        <v>35073</v>
      </c>
    </row>
    <row r="1380" spans="1:8" x14ac:dyDescent="0.4">
      <c r="A1380" s="1" t="s">
        <v>161</v>
      </c>
      <c r="B1380" s="1">
        <v>10771</v>
      </c>
      <c r="C1380" s="1">
        <v>71</v>
      </c>
      <c r="D1380" s="1" t="s">
        <v>725</v>
      </c>
      <c r="E1380">
        <v>21.5</v>
      </c>
      <c r="F1380" s="1">
        <v>16</v>
      </c>
      <c r="G1380" s="1">
        <v>0</v>
      </c>
      <c r="H1380" s="2">
        <v>35074</v>
      </c>
    </row>
    <row r="1381" spans="1:8" x14ac:dyDescent="0.4">
      <c r="A1381" s="1" t="s">
        <v>341</v>
      </c>
      <c r="B1381" s="1">
        <v>10772</v>
      </c>
      <c r="C1381" s="1">
        <v>29</v>
      </c>
      <c r="D1381" s="1" t="s">
        <v>722</v>
      </c>
      <c r="E1381">
        <v>123.79</v>
      </c>
      <c r="F1381" s="1">
        <v>18</v>
      </c>
      <c r="G1381" s="1">
        <v>0</v>
      </c>
      <c r="H1381" s="2">
        <v>35074</v>
      </c>
    </row>
    <row r="1382" spans="1:8" x14ac:dyDescent="0.4">
      <c r="A1382" s="1" t="s">
        <v>341</v>
      </c>
      <c r="B1382" s="1">
        <v>10772</v>
      </c>
      <c r="C1382" s="1">
        <v>59</v>
      </c>
      <c r="D1382" s="1" t="s">
        <v>704</v>
      </c>
      <c r="E1382">
        <v>55</v>
      </c>
      <c r="F1382" s="1">
        <v>25</v>
      </c>
      <c r="G1382" s="1">
        <v>0</v>
      </c>
      <c r="H1382" s="2">
        <v>35074</v>
      </c>
    </row>
    <row r="1383" spans="1:8" x14ac:dyDescent="0.4">
      <c r="A1383" s="1" t="s">
        <v>161</v>
      </c>
      <c r="B1383" s="1">
        <v>10773</v>
      </c>
      <c r="C1383" s="1">
        <v>17</v>
      </c>
      <c r="D1383" s="1" t="s">
        <v>718</v>
      </c>
      <c r="E1383">
        <v>39</v>
      </c>
      <c r="F1383" s="1">
        <v>33</v>
      </c>
      <c r="G1383" s="1">
        <v>0</v>
      </c>
      <c r="H1383" s="2">
        <v>35075</v>
      </c>
    </row>
    <row r="1384" spans="1:8" x14ac:dyDescent="0.4">
      <c r="A1384" s="1" t="s">
        <v>161</v>
      </c>
      <c r="B1384" s="1">
        <v>10773</v>
      </c>
      <c r="C1384" s="1">
        <v>31</v>
      </c>
      <c r="D1384" s="1" t="s">
        <v>695</v>
      </c>
      <c r="E1384">
        <v>12.5</v>
      </c>
      <c r="F1384" s="1">
        <v>70</v>
      </c>
      <c r="G1384" s="1">
        <v>0.2</v>
      </c>
      <c r="H1384" s="2">
        <v>35075</v>
      </c>
    </row>
    <row r="1385" spans="1:8" x14ac:dyDescent="0.4">
      <c r="A1385" s="1" t="s">
        <v>161</v>
      </c>
      <c r="B1385" s="1">
        <v>10773</v>
      </c>
      <c r="C1385" s="1">
        <v>75</v>
      </c>
      <c r="D1385" s="1" t="s">
        <v>731</v>
      </c>
      <c r="E1385">
        <v>7.75</v>
      </c>
      <c r="F1385" s="1">
        <v>7</v>
      </c>
      <c r="G1385" s="1">
        <v>0.2</v>
      </c>
      <c r="H1385" s="2">
        <v>35075</v>
      </c>
    </row>
    <row r="1386" spans="1:8" x14ac:dyDescent="0.4">
      <c r="A1386" s="1" t="s">
        <v>191</v>
      </c>
      <c r="B1386" s="1">
        <v>10774</v>
      </c>
      <c r="C1386" s="1">
        <v>31</v>
      </c>
      <c r="D1386" s="1" t="s">
        <v>695</v>
      </c>
      <c r="E1386">
        <v>12.5</v>
      </c>
      <c r="F1386" s="1">
        <v>2</v>
      </c>
      <c r="G1386" s="1">
        <v>0.25</v>
      </c>
      <c r="H1386" s="2">
        <v>35075</v>
      </c>
    </row>
    <row r="1387" spans="1:8" x14ac:dyDescent="0.4">
      <c r="A1387" s="1" t="s">
        <v>191</v>
      </c>
      <c r="B1387" s="1">
        <v>10774</v>
      </c>
      <c r="C1387" s="1">
        <v>66</v>
      </c>
      <c r="D1387" s="1" t="s">
        <v>744</v>
      </c>
      <c r="E1387">
        <v>17</v>
      </c>
      <c r="F1387" s="1">
        <v>50</v>
      </c>
      <c r="G1387" s="1">
        <v>0</v>
      </c>
      <c r="H1387" s="2">
        <v>35075</v>
      </c>
    </row>
    <row r="1388" spans="1:8" x14ac:dyDescent="0.4">
      <c r="A1388" s="1" t="s">
        <v>578</v>
      </c>
      <c r="B1388" s="1">
        <v>10775</v>
      </c>
      <c r="C1388" s="1">
        <v>10</v>
      </c>
      <c r="D1388" s="1" t="s">
        <v>724</v>
      </c>
      <c r="E1388">
        <v>31</v>
      </c>
      <c r="F1388" s="1">
        <v>6</v>
      </c>
      <c r="G1388" s="1">
        <v>0</v>
      </c>
      <c r="H1388" s="2">
        <v>35076</v>
      </c>
    </row>
    <row r="1389" spans="1:8" x14ac:dyDescent="0.4">
      <c r="A1389" s="1" t="s">
        <v>578</v>
      </c>
      <c r="B1389" s="1">
        <v>10775</v>
      </c>
      <c r="C1389" s="1">
        <v>67</v>
      </c>
      <c r="D1389" s="1" t="s">
        <v>734</v>
      </c>
      <c r="E1389">
        <v>14</v>
      </c>
      <c r="F1389" s="1">
        <v>3</v>
      </c>
      <c r="G1389" s="1">
        <v>0</v>
      </c>
      <c r="H1389" s="2">
        <v>35076</v>
      </c>
    </row>
    <row r="1390" spans="1:8" x14ac:dyDescent="0.4">
      <c r="A1390" s="1" t="s">
        <v>161</v>
      </c>
      <c r="B1390" s="1">
        <v>10776</v>
      </c>
      <c r="C1390" s="1">
        <v>31</v>
      </c>
      <c r="D1390" s="1" t="s">
        <v>695</v>
      </c>
      <c r="E1390">
        <v>12.5</v>
      </c>
      <c r="F1390" s="1">
        <v>16</v>
      </c>
      <c r="G1390" s="1">
        <v>0.05</v>
      </c>
      <c r="H1390" s="2">
        <v>35079</v>
      </c>
    </row>
    <row r="1391" spans="1:8" x14ac:dyDescent="0.4">
      <c r="A1391" s="1" t="s">
        <v>161</v>
      </c>
      <c r="B1391" s="1">
        <v>10776</v>
      </c>
      <c r="C1391" s="1">
        <v>42</v>
      </c>
      <c r="D1391" s="1" t="s">
        <v>684</v>
      </c>
      <c r="E1391">
        <v>14</v>
      </c>
      <c r="F1391" s="1">
        <v>12</v>
      </c>
      <c r="G1391" s="1">
        <v>0.05</v>
      </c>
      <c r="H1391" s="2">
        <v>35079</v>
      </c>
    </row>
    <row r="1392" spans="1:8" x14ac:dyDescent="0.4">
      <c r="A1392" s="1" t="s">
        <v>161</v>
      </c>
      <c r="B1392" s="1">
        <v>10776</v>
      </c>
      <c r="C1392" s="1">
        <v>45</v>
      </c>
      <c r="D1392" s="1" t="s">
        <v>756</v>
      </c>
      <c r="E1392">
        <v>9.5</v>
      </c>
      <c r="F1392" s="1">
        <v>27</v>
      </c>
      <c r="G1392" s="1">
        <v>0.05</v>
      </c>
      <c r="H1392" s="2">
        <v>35079</v>
      </c>
    </row>
    <row r="1393" spans="1:8" x14ac:dyDescent="0.4">
      <c r="A1393" s="1" t="s">
        <v>161</v>
      </c>
      <c r="B1393" s="1">
        <v>10776</v>
      </c>
      <c r="C1393" s="1">
        <v>51</v>
      </c>
      <c r="D1393" s="1" t="s">
        <v>687</v>
      </c>
      <c r="E1393">
        <v>53</v>
      </c>
      <c r="F1393" s="1">
        <v>120</v>
      </c>
      <c r="G1393" s="1">
        <v>0.05</v>
      </c>
      <c r="H1393" s="2">
        <v>35079</v>
      </c>
    </row>
    <row r="1394" spans="1:8" x14ac:dyDescent="0.4">
      <c r="A1394" s="1" t="s">
        <v>240</v>
      </c>
      <c r="B1394" s="1">
        <v>10777</v>
      </c>
      <c r="C1394" s="1">
        <v>42</v>
      </c>
      <c r="D1394" s="1" t="s">
        <v>684</v>
      </c>
      <c r="E1394">
        <v>14</v>
      </c>
      <c r="F1394" s="1">
        <v>20</v>
      </c>
      <c r="G1394" s="1">
        <v>0.2</v>
      </c>
      <c r="H1394" s="2">
        <v>35079</v>
      </c>
    </row>
    <row r="1395" spans="1:8" x14ac:dyDescent="0.4">
      <c r="A1395" s="1" t="s">
        <v>43</v>
      </c>
      <c r="B1395" s="1">
        <v>10778</v>
      </c>
      <c r="C1395" s="1">
        <v>41</v>
      </c>
      <c r="D1395" s="1" t="s">
        <v>688</v>
      </c>
      <c r="E1395">
        <v>9.65</v>
      </c>
      <c r="F1395" s="1">
        <v>10</v>
      </c>
      <c r="G1395" s="1">
        <v>0</v>
      </c>
      <c r="H1395" s="2">
        <v>35080</v>
      </c>
    </row>
    <row r="1396" spans="1:8" x14ac:dyDescent="0.4">
      <c r="A1396" s="1" t="s">
        <v>403</v>
      </c>
      <c r="B1396" s="1">
        <v>10779</v>
      </c>
      <c r="C1396" s="1">
        <v>16</v>
      </c>
      <c r="D1396" s="1" t="s">
        <v>702</v>
      </c>
      <c r="E1396">
        <v>17.45</v>
      </c>
      <c r="F1396" s="1">
        <v>20</v>
      </c>
      <c r="G1396" s="1">
        <v>0</v>
      </c>
      <c r="H1396" s="2">
        <v>35080</v>
      </c>
    </row>
    <row r="1397" spans="1:8" x14ac:dyDescent="0.4">
      <c r="A1397" s="1" t="s">
        <v>403</v>
      </c>
      <c r="B1397" s="1">
        <v>10779</v>
      </c>
      <c r="C1397" s="1">
        <v>62</v>
      </c>
      <c r="D1397" s="1" t="s">
        <v>712</v>
      </c>
      <c r="E1397">
        <v>49.3</v>
      </c>
      <c r="F1397" s="1">
        <v>20</v>
      </c>
      <c r="G1397" s="1">
        <v>0</v>
      </c>
      <c r="H1397" s="2">
        <v>35080</v>
      </c>
    </row>
    <row r="1398" spans="1:8" x14ac:dyDescent="0.4">
      <c r="A1398" s="1" t="s">
        <v>355</v>
      </c>
      <c r="B1398" s="1">
        <v>10780</v>
      </c>
      <c r="C1398" s="1">
        <v>70</v>
      </c>
      <c r="D1398" s="1" t="s">
        <v>713</v>
      </c>
      <c r="E1398">
        <v>15</v>
      </c>
      <c r="F1398" s="1">
        <v>35</v>
      </c>
      <c r="G1398" s="1">
        <v>0</v>
      </c>
      <c r="H1398" s="2">
        <v>35080</v>
      </c>
    </row>
    <row r="1399" spans="1:8" x14ac:dyDescent="0.4">
      <c r="A1399" s="1" t="s">
        <v>355</v>
      </c>
      <c r="B1399" s="1">
        <v>10780</v>
      </c>
      <c r="C1399" s="1">
        <v>77</v>
      </c>
      <c r="D1399" s="1" t="s">
        <v>706</v>
      </c>
      <c r="E1399">
        <v>13</v>
      </c>
      <c r="F1399" s="1">
        <v>15</v>
      </c>
      <c r="G1399" s="1">
        <v>0</v>
      </c>
      <c r="H1399" s="2">
        <v>35080</v>
      </c>
    </row>
    <row r="1400" spans="1:8" x14ac:dyDescent="0.4">
      <c r="A1400" s="1" t="s">
        <v>640</v>
      </c>
      <c r="B1400" s="1">
        <v>10781</v>
      </c>
      <c r="C1400" s="1">
        <v>54</v>
      </c>
      <c r="D1400" s="1" t="s">
        <v>738</v>
      </c>
      <c r="E1400">
        <v>7.45</v>
      </c>
      <c r="F1400" s="1">
        <v>3</v>
      </c>
      <c r="G1400" s="1">
        <v>0.2</v>
      </c>
      <c r="H1400" s="2">
        <v>35081</v>
      </c>
    </row>
    <row r="1401" spans="1:8" x14ac:dyDescent="0.4">
      <c r="A1401" s="1" t="s">
        <v>640</v>
      </c>
      <c r="B1401" s="1">
        <v>10781</v>
      </c>
      <c r="C1401" s="1">
        <v>56</v>
      </c>
      <c r="D1401" s="1" t="s">
        <v>716</v>
      </c>
      <c r="E1401">
        <v>38</v>
      </c>
      <c r="F1401" s="1">
        <v>20</v>
      </c>
      <c r="G1401" s="1">
        <v>0.2</v>
      </c>
      <c r="H1401" s="2">
        <v>35081</v>
      </c>
    </row>
    <row r="1402" spans="1:8" x14ac:dyDescent="0.4">
      <c r="A1402" s="1" t="s">
        <v>640</v>
      </c>
      <c r="B1402" s="1">
        <v>10781</v>
      </c>
      <c r="C1402" s="1">
        <v>74</v>
      </c>
      <c r="D1402" s="1" t="s">
        <v>700</v>
      </c>
      <c r="E1402">
        <v>10</v>
      </c>
      <c r="F1402" s="1">
        <v>35</v>
      </c>
      <c r="G1402" s="1">
        <v>0</v>
      </c>
      <c r="H1402" s="2">
        <v>35081</v>
      </c>
    </row>
    <row r="1403" spans="1:8" x14ac:dyDescent="0.4">
      <c r="A1403" s="1" t="s">
        <v>101</v>
      </c>
      <c r="B1403" s="1">
        <v>10782</v>
      </c>
      <c r="C1403" s="1">
        <v>31</v>
      </c>
      <c r="D1403" s="1" t="s">
        <v>695</v>
      </c>
      <c r="E1403">
        <v>12.5</v>
      </c>
      <c r="F1403" s="1">
        <v>1</v>
      </c>
      <c r="G1403" s="1">
        <v>0</v>
      </c>
      <c r="H1403" s="2">
        <v>35081</v>
      </c>
    </row>
    <row r="1404" spans="1:8" x14ac:dyDescent="0.4">
      <c r="A1404" s="1" t="s">
        <v>264</v>
      </c>
      <c r="B1404" s="1">
        <v>10783</v>
      </c>
      <c r="C1404" s="1">
        <v>31</v>
      </c>
      <c r="D1404" s="1" t="s">
        <v>695</v>
      </c>
      <c r="E1404">
        <v>12.5</v>
      </c>
      <c r="F1404" s="1">
        <v>10</v>
      </c>
      <c r="G1404" s="1">
        <v>0</v>
      </c>
      <c r="H1404" s="2">
        <v>35082</v>
      </c>
    </row>
    <row r="1405" spans="1:8" x14ac:dyDescent="0.4">
      <c r="A1405" s="1" t="s">
        <v>264</v>
      </c>
      <c r="B1405" s="1">
        <v>10783</v>
      </c>
      <c r="C1405" s="1">
        <v>38</v>
      </c>
      <c r="D1405" s="1" t="s">
        <v>750</v>
      </c>
      <c r="E1405">
        <v>263.5</v>
      </c>
      <c r="F1405" s="1">
        <v>5</v>
      </c>
      <c r="G1405" s="1">
        <v>0</v>
      </c>
      <c r="H1405" s="2">
        <v>35082</v>
      </c>
    </row>
    <row r="1406" spans="1:8" x14ac:dyDescent="0.4">
      <c r="A1406" s="1" t="s">
        <v>378</v>
      </c>
      <c r="B1406" s="1">
        <v>10784</v>
      </c>
      <c r="C1406" s="1">
        <v>36</v>
      </c>
      <c r="D1406" s="1" t="s">
        <v>703</v>
      </c>
      <c r="E1406">
        <v>19</v>
      </c>
      <c r="F1406" s="1">
        <v>30</v>
      </c>
      <c r="G1406" s="1">
        <v>0</v>
      </c>
      <c r="H1406" s="2">
        <v>35082</v>
      </c>
    </row>
    <row r="1407" spans="1:8" x14ac:dyDescent="0.4">
      <c r="A1407" s="1" t="s">
        <v>378</v>
      </c>
      <c r="B1407" s="1">
        <v>10784</v>
      </c>
      <c r="C1407" s="1">
        <v>39</v>
      </c>
      <c r="D1407" s="1" t="s">
        <v>696</v>
      </c>
      <c r="E1407">
        <v>18</v>
      </c>
      <c r="F1407" s="1">
        <v>2</v>
      </c>
      <c r="G1407" s="1">
        <v>0.15</v>
      </c>
      <c r="H1407" s="2">
        <v>35082</v>
      </c>
    </row>
    <row r="1408" spans="1:8" x14ac:dyDescent="0.4">
      <c r="A1408" s="1" t="s">
        <v>378</v>
      </c>
      <c r="B1408" s="1">
        <v>10784</v>
      </c>
      <c r="C1408" s="1">
        <v>72</v>
      </c>
      <c r="D1408" s="1" t="s">
        <v>685</v>
      </c>
      <c r="E1408">
        <v>34.799999999999997</v>
      </c>
      <c r="F1408" s="1">
        <v>30</v>
      </c>
      <c r="G1408" s="1">
        <v>0.15</v>
      </c>
      <c r="H1408" s="2">
        <v>35082</v>
      </c>
    </row>
    <row r="1409" spans="1:8" x14ac:dyDescent="0.4">
      <c r="A1409" s="1" t="s">
        <v>255</v>
      </c>
      <c r="B1409" s="1">
        <v>10785</v>
      </c>
      <c r="C1409" s="1">
        <v>10</v>
      </c>
      <c r="D1409" s="1" t="s">
        <v>724</v>
      </c>
      <c r="E1409">
        <v>31</v>
      </c>
      <c r="F1409" s="1">
        <v>10</v>
      </c>
      <c r="G1409" s="1">
        <v>0</v>
      </c>
      <c r="H1409" s="2">
        <v>35082</v>
      </c>
    </row>
    <row r="1410" spans="1:8" x14ac:dyDescent="0.4">
      <c r="A1410" s="1" t="s">
        <v>255</v>
      </c>
      <c r="B1410" s="1">
        <v>10785</v>
      </c>
      <c r="C1410" s="1">
        <v>75</v>
      </c>
      <c r="D1410" s="1" t="s">
        <v>731</v>
      </c>
      <c r="E1410">
        <v>7.75</v>
      </c>
      <c r="F1410" s="1">
        <v>10</v>
      </c>
      <c r="G1410" s="1">
        <v>0</v>
      </c>
      <c r="H1410" s="2">
        <v>35082</v>
      </c>
    </row>
    <row r="1411" spans="1:8" x14ac:dyDescent="0.4">
      <c r="A1411" s="1" t="s">
        <v>469</v>
      </c>
      <c r="B1411" s="1">
        <v>10786</v>
      </c>
      <c r="C1411" s="1">
        <v>8</v>
      </c>
      <c r="D1411" s="1" t="s">
        <v>754</v>
      </c>
      <c r="E1411">
        <v>40</v>
      </c>
      <c r="F1411" s="1">
        <v>30</v>
      </c>
      <c r="G1411" s="1">
        <v>0.2</v>
      </c>
      <c r="H1411" s="2">
        <v>35083</v>
      </c>
    </row>
    <row r="1412" spans="1:8" x14ac:dyDescent="0.4">
      <c r="A1412" s="1" t="s">
        <v>469</v>
      </c>
      <c r="B1412" s="1">
        <v>10786</v>
      </c>
      <c r="C1412" s="1">
        <v>30</v>
      </c>
      <c r="D1412" s="1" t="s">
        <v>717</v>
      </c>
      <c r="E1412">
        <v>25.89</v>
      </c>
      <c r="F1412" s="1">
        <v>15</v>
      </c>
      <c r="G1412" s="1">
        <v>0.2</v>
      </c>
      <c r="H1412" s="2">
        <v>35083</v>
      </c>
    </row>
    <row r="1413" spans="1:8" x14ac:dyDescent="0.4">
      <c r="A1413" s="1" t="s">
        <v>469</v>
      </c>
      <c r="B1413" s="1">
        <v>10786</v>
      </c>
      <c r="C1413" s="1">
        <v>75</v>
      </c>
      <c r="D1413" s="1" t="s">
        <v>731</v>
      </c>
      <c r="E1413">
        <v>7.75</v>
      </c>
      <c r="F1413" s="1">
        <v>42</v>
      </c>
      <c r="G1413" s="1">
        <v>0.2</v>
      </c>
      <c r="H1413" s="2">
        <v>35083</v>
      </c>
    </row>
    <row r="1414" spans="1:8" x14ac:dyDescent="0.4">
      <c r="A1414" s="1" t="s">
        <v>318</v>
      </c>
      <c r="B1414" s="1">
        <v>10787</v>
      </c>
      <c r="C1414" s="1">
        <v>2</v>
      </c>
      <c r="D1414" s="1" t="s">
        <v>701</v>
      </c>
      <c r="E1414">
        <v>19</v>
      </c>
      <c r="F1414" s="1">
        <v>15</v>
      </c>
      <c r="G1414" s="1">
        <v>0.05</v>
      </c>
      <c r="H1414" s="2">
        <v>35083</v>
      </c>
    </row>
    <row r="1415" spans="1:8" x14ac:dyDescent="0.4">
      <c r="A1415" s="1" t="s">
        <v>318</v>
      </c>
      <c r="B1415" s="1">
        <v>10787</v>
      </c>
      <c r="C1415" s="1">
        <v>29</v>
      </c>
      <c r="D1415" s="1" t="s">
        <v>722</v>
      </c>
      <c r="E1415">
        <v>123.79</v>
      </c>
      <c r="F1415" s="1">
        <v>20</v>
      </c>
      <c r="G1415" s="1">
        <v>0.05</v>
      </c>
      <c r="H1415" s="2">
        <v>35083</v>
      </c>
    </row>
    <row r="1416" spans="1:8" x14ac:dyDescent="0.4">
      <c r="A1416" s="1" t="s">
        <v>475</v>
      </c>
      <c r="B1416" s="1">
        <v>10788</v>
      </c>
      <c r="C1416" s="1">
        <v>19</v>
      </c>
      <c r="D1416" s="1" t="s">
        <v>732</v>
      </c>
      <c r="E1416">
        <v>9.1999999999999993</v>
      </c>
      <c r="F1416" s="1">
        <v>50</v>
      </c>
      <c r="G1416" s="1">
        <v>0.05</v>
      </c>
      <c r="H1416" s="2">
        <v>35086</v>
      </c>
    </row>
    <row r="1417" spans="1:8" x14ac:dyDescent="0.4">
      <c r="A1417" s="1" t="s">
        <v>475</v>
      </c>
      <c r="B1417" s="1">
        <v>10788</v>
      </c>
      <c r="C1417" s="1">
        <v>75</v>
      </c>
      <c r="D1417" s="1" t="s">
        <v>731</v>
      </c>
      <c r="E1417">
        <v>7.75</v>
      </c>
      <c r="F1417" s="1">
        <v>40</v>
      </c>
      <c r="G1417" s="1">
        <v>0.05</v>
      </c>
      <c r="H1417" s="2">
        <v>35086</v>
      </c>
    </row>
    <row r="1418" spans="1:8" x14ac:dyDescent="0.4">
      <c r="A1418" s="1" t="s">
        <v>183</v>
      </c>
      <c r="B1418" s="1">
        <v>10789</v>
      </c>
      <c r="C1418" s="1">
        <v>18</v>
      </c>
      <c r="D1418" s="1" t="s">
        <v>742</v>
      </c>
      <c r="E1418">
        <v>62.5</v>
      </c>
      <c r="F1418" s="1">
        <v>30</v>
      </c>
      <c r="G1418" s="1">
        <v>0</v>
      </c>
      <c r="H1418" s="2">
        <v>35086</v>
      </c>
    </row>
    <row r="1419" spans="1:8" x14ac:dyDescent="0.4">
      <c r="A1419" s="1" t="s">
        <v>183</v>
      </c>
      <c r="B1419" s="1">
        <v>10789</v>
      </c>
      <c r="C1419" s="1">
        <v>35</v>
      </c>
      <c r="D1419" s="1" t="s">
        <v>714</v>
      </c>
      <c r="E1419">
        <v>18</v>
      </c>
      <c r="F1419" s="1">
        <v>15</v>
      </c>
      <c r="G1419" s="1">
        <v>0</v>
      </c>
      <c r="H1419" s="2">
        <v>35086</v>
      </c>
    </row>
    <row r="1420" spans="1:8" x14ac:dyDescent="0.4">
      <c r="A1420" s="1" t="s">
        <v>183</v>
      </c>
      <c r="B1420" s="1">
        <v>10789</v>
      </c>
      <c r="C1420" s="1">
        <v>63</v>
      </c>
      <c r="D1420" s="1" t="s">
        <v>729</v>
      </c>
      <c r="E1420">
        <v>43.9</v>
      </c>
      <c r="F1420" s="1">
        <v>30</v>
      </c>
      <c r="G1420" s="1">
        <v>0</v>
      </c>
      <c r="H1420" s="2">
        <v>35086</v>
      </c>
    </row>
    <row r="1421" spans="1:8" x14ac:dyDescent="0.4">
      <c r="A1421" s="1" t="s">
        <v>183</v>
      </c>
      <c r="B1421" s="1">
        <v>10789</v>
      </c>
      <c r="C1421" s="1">
        <v>68</v>
      </c>
      <c r="D1421" s="1" t="s">
        <v>739</v>
      </c>
      <c r="E1421">
        <v>12.5</v>
      </c>
      <c r="F1421" s="1">
        <v>18</v>
      </c>
      <c r="G1421" s="1">
        <v>0</v>
      </c>
      <c r="H1421" s="2">
        <v>35086</v>
      </c>
    </row>
    <row r="1422" spans="1:8" x14ac:dyDescent="0.4">
      <c r="A1422" s="1" t="s">
        <v>240</v>
      </c>
      <c r="B1422" s="1">
        <v>10790</v>
      </c>
      <c r="C1422" s="1">
        <v>7</v>
      </c>
      <c r="D1422" s="1" t="s">
        <v>715</v>
      </c>
      <c r="E1422">
        <v>30</v>
      </c>
      <c r="F1422" s="1">
        <v>3</v>
      </c>
      <c r="G1422" s="1">
        <v>0.15</v>
      </c>
      <c r="H1422" s="2">
        <v>35086</v>
      </c>
    </row>
    <row r="1423" spans="1:8" x14ac:dyDescent="0.4">
      <c r="A1423" s="1" t="s">
        <v>240</v>
      </c>
      <c r="B1423" s="1">
        <v>10790</v>
      </c>
      <c r="C1423" s="1">
        <v>56</v>
      </c>
      <c r="D1423" s="1" t="s">
        <v>716</v>
      </c>
      <c r="E1423">
        <v>38</v>
      </c>
      <c r="F1423" s="1">
        <v>20</v>
      </c>
      <c r="G1423" s="1">
        <v>0.15</v>
      </c>
      <c r="H1423" s="2">
        <v>35086</v>
      </c>
    </row>
    <row r="1424" spans="1:8" x14ac:dyDescent="0.4">
      <c r="A1424" s="1" t="s">
        <v>198</v>
      </c>
      <c r="B1424" s="1">
        <v>10791</v>
      </c>
      <c r="C1424" s="1">
        <v>29</v>
      </c>
      <c r="D1424" s="1" t="s">
        <v>722</v>
      </c>
      <c r="E1424">
        <v>123.79</v>
      </c>
      <c r="F1424" s="1">
        <v>14</v>
      </c>
      <c r="G1424" s="1">
        <v>0.05</v>
      </c>
      <c r="H1424" s="2">
        <v>35087</v>
      </c>
    </row>
    <row r="1425" spans="1:8" x14ac:dyDescent="0.4">
      <c r="A1425" s="1" t="s">
        <v>198</v>
      </c>
      <c r="B1425" s="1">
        <v>10791</v>
      </c>
      <c r="C1425" s="1">
        <v>41</v>
      </c>
      <c r="D1425" s="1" t="s">
        <v>688</v>
      </c>
      <c r="E1425">
        <v>9.65</v>
      </c>
      <c r="F1425" s="1">
        <v>20</v>
      </c>
      <c r="G1425" s="1">
        <v>0.05</v>
      </c>
      <c r="H1425" s="2">
        <v>35087</v>
      </c>
    </row>
    <row r="1426" spans="1:8" x14ac:dyDescent="0.4">
      <c r="A1426" s="1" t="s">
        <v>668</v>
      </c>
      <c r="B1426" s="1">
        <v>10792</v>
      </c>
      <c r="C1426" s="1">
        <v>2</v>
      </c>
      <c r="D1426" s="1" t="s">
        <v>701</v>
      </c>
      <c r="E1426">
        <v>19</v>
      </c>
      <c r="F1426" s="1">
        <v>10</v>
      </c>
      <c r="G1426" s="1">
        <v>0</v>
      </c>
      <c r="H1426" s="2">
        <v>35087</v>
      </c>
    </row>
    <row r="1427" spans="1:8" x14ac:dyDescent="0.4">
      <c r="A1427" s="1" t="s">
        <v>668</v>
      </c>
      <c r="B1427" s="1">
        <v>10792</v>
      </c>
      <c r="C1427" s="1">
        <v>54</v>
      </c>
      <c r="D1427" s="1" t="s">
        <v>738</v>
      </c>
      <c r="E1427">
        <v>7.45</v>
      </c>
      <c r="F1427" s="1">
        <v>3</v>
      </c>
      <c r="G1427" s="1">
        <v>0</v>
      </c>
      <c r="H1427" s="2">
        <v>35087</v>
      </c>
    </row>
    <row r="1428" spans="1:8" x14ac:dyDescent="0.4">
      <c r="A1428" s="1" t="s">
        <v>668</v>
      </c>
      <c r="B1428" s="1">
        <v>10792</v>
      </c>
      <c r="C1428" s="1">
        <v>68</v>
      </c>
      <c r="D1428" s="1" t="s">
        <v>739</v>
      </c>
      <c r="E1428">
        <v>12.5</v>
      </c>
      <c r="F1428" s="1">
        <v>15</v>
      </c>
      <c r="G1428" s="1">
        <v>0</v>
      </c>
      <c r="H1428" s="2">
        <v>35087</v>
      </c>
    </row>
    <row r="1429" spans="1:8" x14ac:dyDescent="0.4">
      <c r="A1429" s="1" t="s">
        <v>34</v>
      </c>
      <c r="B1429" s="1">
        <v>10793</v>
      </c>
      <c r="C1429" s="1">
        <v>41</v>
      </c>
      <c r="D1429" s="1" t="s">
        <v>688</v>
      </c>
      <c r="E1429">
        <v>9.65</v>
      </c>
      <c r="F1429" s="1">
        <v>14</v>
      </c>
      <c r="G1429" s="1">
        <v>0</v>
      </c>
      <c r="H1429" s="2">
        <v>35088</v>
      </c>
    </row>
    <row r="1430" spans="1:8" x14ac:dyDescent="0.4">
      <c r="A1430" s="1" t="s">
        <v>34</v>
      </c>
      <c r="B1430" s="1">
        <v>10793</v>
      </c>
      <c r="C1430" s="1">
        <v>52</v>
      </c>
      <c r="D1430" s="1" t="s">
        <v>748</v>
      </c>
      <c r="E1430">
        <v>7</v>
      </c>
      <c r="F1430" s="1">
        <v>8</v>
      </c>
      <c r="G1430" s="1">
        <v>0</v>
      </c>
      <c r="H1430" s="2">
        <v>35088</v>
      </c>
    </row>
    <row r="1431" spans="1:8" x14ac:dyDescent="0.4">
      <c r="A1431" s="1" t="s">
        <v>462</v>
      </c>
      <c r="B1431" s="1">
        <v>10794</v>
      </c>
      <c r="C1431" s="1">
        <v>14</v>
      </c>
      <c r="D1431" s="1" t="s">
        <v>686</v>
      </c>
      <c r="E1431">
        <v>23.25</v>
      </c>
      <c r="F1431" s="1">
        <v>15</v>
      </c>
      <c r="G1431" s="1">
        <v>0.2</v>
      </c>
      <c r="H1431" s="2">
        <v>35088</v>
      </c>
    </row>
    <row r="1432" spans="1:8" x14ac:dyDescent="0.4">
      <c r="A1432" s="1" t="s">
        <v>462</v>
      </c>
      <c r="B1432" s="1">
        <v>10794</v>
      </c>
      <c r="C1432" s="1">
        <v>54</v>
      </c>
      <c r="D1432" s="1" t="s">
        <v>738</v>
      </c>
      <c r="E1432">
        <v>7.45</v>
      </c>
      <c r="F1432" s="1">
        <v>6</v>
      </c>
      <c r="G1432" s="1">
        <v>0.2</v>
      </c>
      <c r="H1432" s="2">
        <v>35088</v>
      </c>
    </row>
    <row r="1433" spans="1:8" x14ac:dyDescent="0.4">
      <c r="A1433" s="1" t="s">
        <v>161</v>
      </c>
      <c r="B1433" s="1">
        <v>10795</v>
      </c>
      <c r="C1433" s="1">
        <v>16</v>
      </c>
      <c r="D1433" s="1" t="s">
        <v>702</v>
      </c>
      <c r="E1433">
        <v>17.45</v>
      </c>
      <c r="F1433" s="1">
        <v>65</v>
      </c>
      <c r="G1433" s="1">
        <v>0</v>
      </c>
      <c r="H1433" s="2">
        <v>35088</v>
      </c>
    </row>
    <row r="1434" spans="1:8" x14ac:dyDescent="0.4">
      <c r="A1434" s="1" t="s">
        <v>161</v>
      </c>
      <c r="B1434" s="1">
        <v>10795</v>
      </c>
      <c r="C1434" s="1">
        <v>17</v>
      </c>
      <c r="D1434" s="1" t="s">
        <v>718</v>
      </c>
      <c r="E1434">
        <v>39</v>
      </c>
      <c r="F1434" s="1">
        <v>35</v>
      </c>
      <c r="G1434" s="1">
        <v>0.25</v>
      </c>
      <c r="H1434" s="2">
        <v>35088</v>
      </c>
    </row>
    <row r="1435" spans="1:8" x14ac:dyDescent="0.4">
      <c r="A1435" s="1" t="s">
        <v>273</v>
      </c>
      <c r="B1435" s="1">
        <v>10796</v>
      </c>
      <c r="C1435" s="1">
        <v>26</v>
      </c>
      <c r="D1435" s="1" t="s">
        <v>751</v>
      </c>
      <c r="E1435">
        <v>31.23</v>
      </c>
      <c r="F1435" s="1">
        <v>21</v>
      </c>
      <c r="G1435" s="1">
        <v>0.2</v>
      </c>
      <c r="H1435" s="2">
        <v>35089</v>
      </c>
    </row>
    <row r="1436" spans="1:8" x14ac:dyDescent="0.4">
      <c r="A1436" s="1" t="s">
        <v>273</v>
      </c>
      <c r="B1436" s="1">
        <v>10796</v>
      </c>
      <c r="C1436" s="1">
        <v>44</v>
      </c>
      <c r="D1436" s="1" t="s">
        <v>728</v>
      </c>
      <c r="E1436">
        <v>19.45</v>
      </c>
      <c r="F1436" s="1">
        <v>10</v>
      </c>
      <c r="G1436" s="1">
        <v>0</v>
      </c>
      <c r="H1436" s="2">
        <v>35089</v>
      </c>
    </row>
    <row r="1437" spans="1:8" x14ac:dyDescent="0.4">
      <c r="A1437" s="1" t="s">
        <v>273</v>
      </c>
      <c r="B1437" s="1">
        <v>10796</v>
      </c>
      <c r="C1437" s="1">
        <v>64</v>
      </c>
      <c r="D1437" s="1" t="s">
        <v>741</v>
      </c>
      <c r="E1437">
        <v>33.25</v>
      </c>
      <c r="F1437" s="1">
        <v>35</v>
      </c>
      <c r="G1437" s="1">
        <v>0.2</v>
      </c>
      <c r="H1437" s="2">
        <v>35089</v>
      </c>
    </row>
    <row r="1438" spans="1:8" x14ac:dyDescent="0.4">
      <c r="A1438" s="1" t="s">
        <v>273</v>
      </c>
      <c r="B1438" s="1">
        <v>10796</v>
      </c>
      <c r="C1438" s="1">
        <v>69</v>
      </c>
      <c r="D1438" s="1" t="s">
        <v>743</v>
      </c>
      <c r="E1438">
        <v>36</v>
      </c>
      <c r="F1438" s="1">
        <v>24</v>
      </c>
      <c r="G1438" s="1">
        <v>0.2</v>
      </c>
      <c r="H1438" s="2">
        <v>35089</v>
      </c>
    </row>
    <row r="1439" spans="1:8" x14ac:dyDescent="0.4">
      <c r="A1439" s="1" t="s">
        <v>140</v>
      </c>
      <c r="B1439" s="1">
        <v>10797</v>
      </c>
      <c r="C1439" s="1">
        <v>11</v>
      </c>
      <c r="D1439" s="1" t="s">
        <v>683</v>
      </c>
      <c r="E1439">
        <v>21</v>
      </c>
      <c r="F1439" s="1">
        <v>20</v>
      </c>
      <c r="G1439" s="1">
        <v>0</v>
      </c>
      <c r="H1439" s="2">
        <v>35089</v>
      </c>
    </row>
    <row r="1440" spans="1:8" x14ac:dyDescent="0.4">
      <c r="A1440" s="1" t="s">
        <v>297</v>
      </c>
      <c r="B1440" s="1">
        <v>10798</v>
      </c>
      <c r="C1440" s="1">
        <v>62</v>
      </c>
      <c r="D1440" s="1" t="s">
        <v>712</v>
      </c>
      <c r="E1440">
        <v>49.3</v>
      </c>
      <c r="F1440" s="1">
        <v>2</v>
      </c>
      <c r="G1440" s="1">
        <v>0</v>
      </c>
      <c r="H1440" s="2">
        <v>35090</v>
      </c>
    </row>
    <row r="1441" spans="1:8" x14ac:dyDescent="0.4">
      <c r="A1441" s="1" t="s">
        <v>297</v>
      </c>
      <c r="B1441" s="1">
        <v>10798</v>
      </c>
      <c r="C1441" s="1">
        <v>72</v>
      </c>
      <c r="D1441" s="1" t="s">
        <v>685</v>
      </c>
      <c r="E1441">
        <v>34.799999999999997</v>
      </c>
      <c r="F1441" s="1">
        <v>10</v>
      </c>
      <c r="G1441" s="1">
        <v>0</v>
      </c>
      <c r="H1441" s="2">
        <v>35090</v>
      </c>
    </row>
    <row r="1442" spans="1:8" x14ac:dyDescent="0.4">
      <c r="A1442" s="1" t="s">
        <v>305</v>
      </c>
      <c r="B1442" s="1">
        <v>10799</v>
      </c>
      <c r="C1442" s="1">
        <v>13</v>
      </c>
      <c r="D1442" s="1" t="s">
        <v>726</v>
      </c>
      <c r="E1442">
        <v>6</v>
      </c>
      <c r="F1442" s="1">
        <v>20</v>
      </c>
      <c r="G1442" s="1">
        <v>0.15</v>
      </c>
      <c r="H1442" s="2">
        <v>35090</v>
      </c>
    </row>
    <row r="1443" spans="1:8" x14ac:dyDescent="0.4">
      <c r="A1443" s="1" t="s">
        <v>305</v>
      </c>
      <c r="B1443" s="1">
        <v>10799</v>
      </c>
      <c r="C1443" s="1">
        <v>24</v>
      </c>
      <c r="D1443" s="1" t="s">
        <v>698</v>
      </c>
      <c r="E1443">
        <v>4.5</v>
      </c>
      <c r="F1443" s="1">
        <v>20</v>
      </c>
      <c r="G1443" s="1">
        <v>0.15</v>
      </c>
      <c r="H1443" s="2">
        <v>35090</v>
      </c>
    </row>
    <row r="1444" spans="1:8" x14ac:dyDescent="0.4">
      <c r="A1444" s="1" t="s">
        <v>305</v>
      </c>
      <c r="B1444" s="1">
        <v>10799</v>
      </c>
      <c r="C1444" s="1">
        <v>59</v>
      </c>
      <c r="D1444" s="1" t="s">
        <v>704</v>
      </c>
      <c r="E1444">
        <v>55</v>
      </c>
      <c r="F1444" s="1">
        <v>25</v>
      </c>
      <c r="G1444" s="1">
        <v>0</v>
      </c>
      <c r="H1444" s="2">
        <v>35090</v>
      </c>
    </row>
    <row r="1445" spans="1:8" x14ac:dyDescent="0.4">
      <c r="A1445" s="1" t="s">
        <v>536</v>
      </c>
      <c r="B1445" s="1">
        <v>10800</v>
      </c>
      <c r="C1445" s="1">
        <v>11</v>
      </c>
      <c r="D1445" s="1" t="s">
        <v>683</v>
      </c>
      <c r="E1445">
        <v>21</v>
      </c>
      <c r="F1445" s="1">
        <v>50</v>
      </c>
      <c r="G1445" s="1">
        <v>0.1</v>
      </c>
      <c r="H1445" s="2">
        <v>35090</v>
      </c>
    </row>
    <row r="1446" spans="1:8" x14ac:dyDescent="0.4">
      <c r="A1446" s="1" t="s">
        <v>536</v>
      </c>
      <c r="B1446" s="1">
        <v>10800</v>
      </c>
      <c r="C1446" s="1">
        <v>51</v>
      </c>
      <c r="D1446" s="1" t="s">
        <v>687</v>
      </c>
      <c r="E1446">
        <v>53</v>
      </c>
      <c r="F1446" s="1">
        <v>10</v>
      </c>
      <c r="G1446" s="1">
        <v>0.1</v>
      </c>
      <c r="H1446" s="2">
        <v>35090</v>
      </c>
    </row>
    <row r="1447" spans="1:8" x14ac:dyDescent="0.4">
      <c r="A1447" s="1" t="s">
        <v>536</v>
      </c>
      <c r="B1447" s="1">
        <v>10800</v>
      </c>
      <c r="C1447" s="1">
        <v>54</v>
      </c>
      <c r="D1447" s="1" t="s">
        <v>738</v>
      </c>
      <c r="E1447">
        <v>7.45</v>
      </c>
      <c r="F1447" s="1">
        <v>7</v>
      </c>
      <c r="G1447" s="1">
        <v>0.1</v>
      </c>
      <c r="H1447" s="2">
        <v>35090</v>
      </c>
    </row>
    <row r="1448" spans="1:8" x14ac:dyDescent="0.4">
      <c r="A1448" s="1" t="s">
        <v>69</v>
      </c>
      <c r="B1448" s="1">
        <v>10801</v>
      </c>
      <c r="C1448" s="1">
        <v>17</v>
      </c>
      <c r="D1448" s="1" t="s">
        <v>718</v>
      </c>
      <c r="E1448">
        <v>39</v>
      </c>
      <c r="F1448" s="1">
        <v>40</v>
      </c>
      <c r="G1448" s="1">
        <v>0.25</v>
      </c>
      <c r="H1448" s="2">
        <v>35093</v>
      </c>
    </row>
    <row r="1449" spans="1:8" x14ac:dyDescent="0.4">
      <c r="A1449" s="1" t="s">
        <v>69</v>
      </c>
      <c r="B1449" s="1">
        <v>10801</v>
      </c>
      <c r="C1449" s="1">
        <v>29</v>
      </c>
      <c r="D1449" s="1" t="s">
        <v>722</v>
      </c>
      <c r="E1449">
        <v>123.79</v>
      </c>
      <c r="F1449" s="1">
        <v>20</v>
      </c>
      <c r="G1449" s="1">
        <v>0.25</v>
      </c>
      <c r="H1449" s="2">
        <v>35093</v>
      </c>
    </row>
    <row r="1450" spans="1:8" x14ac:dyDescent="0.4">
      <c r="A1450" s="1" t="s">
        <v>543</v>
      </c>
      <c r="B1450" s="1">
        <v>10802</v>
      </c>
      <c r="C1450" s="1">
        <v>30</v>
      </c>
      <c r="D1450" s="1" t="s">
        <v>717</v>
      </c>
      <c r="E1450">
        <v>25.89</v>
      </c>
      <c r="F1450" s="1">
        <v>25</v>
      </c>
      <c r="G1450" s="1">
        <v>0.25</v>
      </c>
      <c r="H1450" s="2">
        <v>35093</v>
      </c>
    </row>
    <row r="1451" spans="1:8" x14ac:dyDescent="0.4">
      <c r="A1451" s="1" t="s">
        <v>543</v>
      </c>
      <c r="B1451" s="1">
        <v>10802</v>
      </c>
      <c r="C1451" s="1">
        <v>51</v>
      </c>
      <c r="D1451" s="1" t="s">
        <v>687</v>
      </c>
      <c r="E1451">
        <v>53</v>
      </c>
      <c r="F1451" s="1">
        <v>30</v>
      </c>
      <c r="G1451" s="1">
        <v>0.25</v>
      </c>
      <c r="H1451" s="2">
        <v>35093</v>
      </c>
    </row>
    <row r="1452" spans="1:8" x14ac:dyDescent="0.4">
      <c r="A1452" s="1" t="s">
        <v>543</v>
      </c>
      <c r="B1452" s="1">
        <v>10802</v>
      </c>
      <c r="C1452" s="1">
        <v>55</v>
      </c>
      <c r="D1452" s="1" t="s">
        <v>699</v>
      </c>
      <c r="E1452">
        <v>24</v>
      </c>
      <c r="F1452" s="1">
        <v>60</v>
      </c>
      <c r="G1452" s="1">
        <v>0.25</v>
      </c>
      <c r="H1452" s="2">
        <v>35093</v>
      </c>
    </row>
    <row r="1453" spans="1:8" x14ac:dyDescent="0.4">
      <c r="A1453" s="1" t="s">
        <v>543</v>
      </c>
      <c r="B1453" s="1">
        <v>10802</v>
      </c>
      <c r="C1453" s="1">
        <v>62</v>
      </c>
      <c r="D1453" s="1" t="s">
        <v>712</v>
      </c>
      <c r="E1453">
        <v>49.3</v>
      </c>
      <c r="F1453" s="1">
        <v>5</v>
      </c>
      <c r="G1453" s="1">
        <v>0.25</v>
      </c>
      <c r="H1453" s="2">
        <v>35093</v>
      </c>
    </row>
    <row r="1454" spans="1:8" x14ac:dyDescent="0.4">
      <c r="A1454" s="1" t="s">
        <v>647</v>
      </c>
      <c r="B1454" s="1">
        <v>10803</v>
      </c>
      <c r="C1454" s="1">
        <v>19</v>
      </c>
      <c r="D1454" s="1" t="s">
        <v>732</v>
      </c>
      <c r="E1454">
        <v>9.1999999999999993</v>
      </c>
      <c r="F1454" s="1">
        <v>24</v>
      </c>
      <c r="G1454" s="1">
        <v>0.05</v>
      </c>
      <c r="H1454" s="2">
        <v>35094</v>
      </c>
    </row>
    <row r="1455" spans="1:8" x14ac:dyDescent="0.4">
      <c r="A1455" s="1" t="s">
        <v>647</v>
      </c>
      <c r="B1455" s="1">
        <v>10803</v>
      </c>
      <c r="C1455" s="1">
        <v>25</v>
      </c>
      <c r="D1455" s="1" t="s">
        <v>749</v>
      </c>
      <c r="E1455">
        <v>14</v>
      </c>
      <c r="F1455" s="1">
        <v>15</v>
      </c>
      <c r="G1455" s="1">
        <v>0.05</v>
      </c>
      <c r="H1455" s="2">
        <v>35094</v>
      </c>
    </row>
    <row r="1456" spans="1:8" x14ac:dyDescent="0.4">
      <c r="A1456" s="1" t="s">
        <v>647</v>
      </c>
      <c r="B1456" s="1">
        <v>10803</v>
      </c>
      <c r="C1456" s="1">
        <v>59</v>
      </c>
      <c r="D1456" s="1" t="s">
        <v>704</v>
      </c>
      <c r="E1456">
        <v>55</v>
      </c>
      <c r="F1456" s="1">
        <v>15</v>
      </c>
      <c r="G1456" s="1">
        <v>0.05</v>
      </c>
      <c r="H1456" s="2">
        <v>35094</v>
      </c>
    </row>
    <row r="1457" spans="1:8" x14ac:dyDescent="0.4">
      <c r="A1457" s="1" t="s">
        <v>536</v>
      </c>
      <c r="B1457" s="1">
        <v>10804</v>
      </c>
      <c r="C1457" s="1">
        <v>10</v>
      </c>
      <c r="D1457" s="1" t="s">
        <v>724</v>
      </c>
      <c r="E1457">
        <v>31</v>
      </c>
      <c r="F1457" s="1">
        <v>36</v>
      </c>
      <c r="G1457" s="1">
        <v>0</v>
      </c>
      <c r="H1457" s="2">
        <v>35094</v>
      </c>
    </row>
    <row r="1458" spans="1:8" x14ac:dyDescent="0.4">
      <c r="A1458" s="1" t="s">
        <v>536</v>
      </c>
      <c r="B1458" s="1">
        <v>10804</v>
      </c>
      <c r="C1458" s="1">
        <v>28</v>
      </c>
      <c r="D1458" s="1" t="s">
        <v>727</v>
      </c>
      <c r="E1458">
        <v>45.6</v>
      </c>
      <c r="F1458" s="1">
        <v>24</v>
      </c>
      <c r="G1458" s="1">
        <v>0</v>
      </c>
      <c r="H1458" s="2">
        <v>35094</v>
      </c>
    </row>
    <row r="1459" spans="1:8" x14ac:dyDescent="0.4">
      <c r="A1459" s="1" t="s">
        <v>536</v>
      </c>
      <c r="B1459" s="1">
        <v>10804</v>
      </c>
      <c r="C1459" s="1">
        <v>49</v>
      </c>
      <c r="D1459" s="1" t="s">
        <v>697</v>
      </c>
      <c r="E1459">
        <v>20</v>
      </c>
      <c r="F1459" s="1">
        <v>4</v>
      </c>
      <c r="G1459" s="1">
        <v>0.15</v>
      </c>
      <c r="H1459" s="2">
        <v>35094</v>
      </c>
    </row>
    <row r="1460" spans="1:8" x14ac:dyDescent="0.4">
      <c r="A1460" s="1" t="s">
        <v>573</v>
      </c>
      <c r="B1460" s="1">
        <v>10805</v>
      </c>
      <c r="C1460" s="1">
        <v>34</v>
      </c>
      <c r="D1460" s="1" t="s">
        <v>736</v>
      </c>
      <c r="E1460">
        <v>14</v>
      </c>
      <c r="F1460" s="1">
        <v>10</v>
      </c>
      <c r="G1460" s="1">
        <v>0</v>
      </c>
      <c r="H1460" s="2">
        <v>35094</v>
      </c>
    </row>
    <row r="1461" spans="1:8" x14ac:dyDescent="0.4">
      <c r="A1461" s="1" t="s">
        <v>573</v>
      </c>
      <c r="B1461" s="1">
        <v>10805</v>
      </c>
      <c r="C1461" s="1">
        <v>38</v>
      </c>
      <c r="D1461" s="1" t="s">
        <v>750</v>
      </c>
      <c r="E1461">
        <v>263.5</v>
      </c>
      <c r="F1461" s="1">
        <v>10</v>
      </c>
      <c r="G1461" s="1">
        <v>0</v>
      </c>
      <c r="H1461" s="2">
        <v>35094</v>
      </c>
    </row>
    <row r="1462" spans="1:8" x14ac:dyDescent="0.4">
      <c r="A1462" s="1" t="s">
        <v>619</v>
      </c>
      <c r="B1462" s="1">
        <v>10806</v>
      </c>
      <c r="C1462" s="1">
        <v>2</v>
      </c>
      <c r="D1462" s="1" t="s">
        <v>701</v>
      </c>
      <c r="E1462">
        <v>19</v>
      </c>
      <c r="F1462" s="1">
        <v>20</v>
      </c>
      <c r="G1462" s="1">
        <v>0.25</v>
      </c>
      <c r="H1462" s="2">
        <v>35095</v>
      </c>
    </row>
    <row r="1463" spans="1:8" x14ac:dyDescent="0.4">
      <c r="A1463" s="1" t="s">
        <v>619</v>
      </c>
      <c r="B1463" s="1">
        <v>10806</v>
      </c>
      <c r="C1463" s="1">
        <v>65</v>
      </c>
      <c r="D1463" s="1" t="s">
        <v>689</v>
      </c>
      <c r="E1463">
        <v>21.05</v>
      </c>
      <c r="F1463" s="1">
        <v>2</v>
      </c>
      <c r="G1463" s="1">
        <v>0</v>
      </c>
      <c r="H1463" s="2">
        <v>35095</v>
      </c>
    </row>
    <row r="1464" spans="1:8" x14ac:dyDescent="0.4">
      <c r="A1464" s="1" t="s">
        <v>619</v>
      </c>
      <c r="B1464" s="1">
        <v>10806</v>
      </c>
      <c r="C1464" s="1">
        <v>74</v>
      </c>
      <c r="D1464" s="1" t="s">
        <v>700</v>
      </c>
      <c r="E1464">
        <v>10</v>
      </c>
      <c r="F1464" s="1">
        <v>15</v>
      </c>
      <c r="G1464" s="1">
        <v>0.25</v>
      </c>
      <c r="H1464" s="2">
        <v>35095</v>
      </c>
    </row>
    <row r="1465" spans="1:8" x14ac:dyDescent="0.4">
      <c r="A1465" s="1" t="s">
        <v>211</v>
      </c>
      <c r="B1465" s="1">
        <v>10807</v>
      </c>
      <c r="C1465" s="1">
        <v>40</v>
      </c>
      <c r="D1465" s="1" t="s">
        <v>720</v>
      </c>
      <c r="E1465">
        <v>18.399999999999999</v>
      </c>
      <c r="F1465" s="1">
        <v>1</v>
      </c>
      <c r="G1465" s="1">
        <v>0</v>
      </c>
      <c r="H1465" s="2">
        <v>35095</v>
      </c>
    </row>
    <row r="1466" spans="1:8" x14ac:dyDescent="0.4">
      <c r="A1466" s="1" t="s">
        <v>422</v>
      </c>
      <c r="B1466" s="1">
        <v>10808</v>
      </c>
      <c r="C1466" s="1">
        <v>56</v>
      </c>
      <c r="D1466" s="1" t="s">
        <v>716</v>
      </c>
      <c r="E1466">
        <v>38</v>
      </c>
      <c r="F1466" s="1">
        <v>20</v>
      </c>
      <c r="G1466" s="1">
        <v>0.15</v>
      </c>
      <c r="H1466" s="2">
        <v>35096</v>
      </c>
    </row>
    <row r="1467" spans="1:8" x14ac:dyDescent="0.4">
      <c r="A1467" s="1" t="s">
        <v>422</v>
      </c>
      <c r="B1467" s="1">
        <v>10808</v>
      </c>
      <c r="C1467" s="1">
        <v>76</v>
      </c>
      <c r="D1467" s="1" t="s">
        <v>721</v>
      </c>
      <c r="E1467">
        <v>18</v>
      </c>
      <c r="F1467" s="1">
        <v>50</v>
      </c>
      <c r="G1467" s="1">
        <v>0.15</v>
      </c>
      <c r="H1467" s="2">
        <v>35096</v>
      </c>
    </row>
    <row r="1468" spans="1:8" x14ac:dyDescent="0.4">
      <c r="A1468" s="1" t="s">
        <v>647</v>
      </c>
      <c r="B1468" s="1">
        <v>10809</v>
      </c>
      <c r="C1468" s="1">
        <v>52</v>
      </c>
      <c r="D1468" s="1" t="s">
        <v>748</v>
      </c>
      <c r="E1468">
        <v>7</v>
      </c>
      <c r="F1468" s="1">
        <v>20</v>
      </c>
      <c r="G1468" s="1">
        <v>0</v>
      </c>
      <c r="H1468" s="2">
        <v>35096</v>
      </c>
    </row>
    <row r="1469" spans="1:8" x14ac:dyDescent="0.4">
      <c r="A1469" s="1" t="s">
        <v>325</v>
      </c>
      <c r="B1469" s="1">
        <v>10810</v>
      </c>
      <c r="C1469" s="1">
        <v>13</v>
      </c>
      <c r="D1469" s="1" t="s">
        <v>726</v>
      </c>
      <c r="E1469">
        <v>6</v>
      </c>
      <c r="F1469" s="1">
        <v>7</v>
      </c>
      <c r="G1469" s="1">
        <v>0</v>
      </c>
      <c r="H1469" s="2">
        <v>35096</v>
      </c>
    </row>
    <row r="1470" spans="1:8" x14ac:dyDescent="0.4">
      <c r="A1470" s="1" t="s">
        <v>325</v>
      </c>
      <c r="B1470" s="1">
        <v>10810</v>
      </c>
      <c r="C1470" s="1">
        <v>25</v>
      </c>
      <c r="D1470" s="1" t="s">
        <v>749</v>
      </c>
      <c r="E1470">
        <v>14</v>
      </c>
      <c r="F1470" s="1">
        <v>5</v>
      </c>
      <c r="G1470" s="1">
        <v>0</v>
      </c>
      <c r="H1470" s="2">
        <v>35096</v>
      </c>
    </row>
    <row r="1471" spans="1:8" x14ac:dyDescent="0.4">
      <c r="A1471" s="1" t="s">
        <v>325</v>
      </c>
      <c r="B1471" s="1">
        <v>10810</v>
      </c>
      <c r="C1471" s="1">
        <v>70</v>
      </c>
      <c r="D1471" s="1" t="s">
        <v>713</v>
      </c>
      <c r="E1471">
        <v>15</v>
      </c>
      <c r="F1471" s="1">
        <v>5</v>
      </c>
      <c r="G1471" s="1">
        <v>0</v>
      </c>
      <c r="H1471" s="2">
        <v>35096</v>
      </c>
    </row>
    <row r="1472" spans="1:8" x14ac:dyDescent="0.4">
      <c r="A1472" s="1" t="s">
        <v>363</v>
      </c>
      <c r="B1472" s="1">
        <v>10811</v>
      </c>
      <c r="C1472" s="1">
        <v>19</v>
      </c>
      <c r="D1472" s="1" t="s">
        <v>732</v>
      </c>
      <c r="E1472">
        <v>9.1999999999999993</v>
      </c>
      <c r="F1472" s="1">
        <v>15</v>
      </c>
      <c r="G1472" s="1">
        <v>0</v>
      </c>
      <c r="H1472" s="2">
        <v>35097</v>
      </c>
    </row>
    <row r="1473" spans="1:8" x14ac:dyDescent="0.4">
      <c r="A1473" s="1" t="s">
        <v>363</v>
      </c>
      <c r="B1473" s="1">
        <v>10811</v>
      </c>
      <c r="C1473" s="1">
        <v>23</v>
      </c>
      <c r="D1473" s="1" t="s">
        <v>753</v>
      </c>
      <c r="E1473">
        <v>9</v>
      </c>
      <c r="F1473" s="1">
        <v>18</v>
      </c>
      <c r="G1473" s="1">
        <v>0</v>
      </c>
      <c r="H1473" s="2">
        <v>35097</v>
      </c>
    </row>
    <row r="1474" spans="1:8" x14ac:dyDescent="0.4">
      <c r="A1474" s="1" t="s">
        <v>363</v>
      </c>
      <c r="B1474" s="1">
        <v>10811</v>
      </c>
      <c r="C1474" s="1">
        <v>40</v>
      </c>
      <c r="D1474" s="1" t="s">
        <v>720</v>
      </c>
      <c r="E1474">
        <v>18.399999999999999</v>
      </c>
      <c r="F1474" s="1">
        <v>30</v>
      </c>
      <c r="G1474" s="1">
        <v>0</v>
      </c>
      <c r="H1474" s="2">
        <v>35097</v>
      </c>
    </row>
    <row r="1475" spans="1:8" x14ac:dyDescent="0.4">
      <c r="A1475" s="1" t="s">
        <v>496</v>
      </c>
      <c r="B1475" s="1">
        <v>10812</v>
      </c>
      <c r="C1475" s="1">
        <v>31</v>
      </c>
      <c r="D1475" s="1" t="s">
        <v>695</v>
      </c>
      <c r="E1475">
        <v>12.5</v>
      </c>
      <c r="F1475" s="1">
        <v>16</v>
      </c>
      <c r="G1475" s="1">
        <v>0.1</v>
      </c>
      <c r="H1475" s="2">
        <v>35097</v>
      </c>
    </row>
    <row r="1476" spans="1:8" x14ac:dyDescent="0.4">
      <c r="A1476" s="1" t="s">
        <v>496</v>
      </c>
      <c r="B1476" s="1">
        <v>10812</v>
      </c>
      <c r="C1476" s="1">
        <v>72</v>
      </c>
      <c r="D1476" s="1" t="s">
        <v>685</v>
      </c>
      <c r="E1476">
        <v>34.799999999999997</v>
      </c>
      <c r="F1476" s="1">
        <v>40</v>
      </c>
      <c r="G1476" s="1">
        <v>0.1</v>
      </c>
      <c r="H1476" s="2">
        <v>35097</v>
      </c>
    </row>
    <row r="1477" spans="1:8" x14ac:dyDescent="0.4">
      <c r="A1477" s="1" t="s">
        <v>496</v>
      </c>
      <c r="B1477" s="1">
        <v>10812</v>
      </c>
      <c r="C1477" s="1">
        <v>77</v>
      </c>
      <c r="D1477" s="1" t="s">
        <v>706</v>
      </c>
      <c r="E1477">
        <v>13</v>
      </c>
      <c r="F1477" s="1">
        <v>20</v>
      </c>
      <c r="G1477" s="1">
        <v>0</v>
      </c>
      <c r="H1477" s="2">
        <v>35097</v>
      </c>
    </row>
    <row r="1478" spans="1:8" x14ac:dyDescent="0.4">
      <c r="A1478" s="1" t="s">
        <v>503</v>
      </c>
      <c r="B1478" s="1">
        <v>10813</v>
      </c>
      <c r="C1478" s="1">
        <v>2</v>
      </c>
      <c r="D1478" s="1" t="s">
        <v>701</v>
      </c>
      <c r="E1478">
        <v>19</v>
      </c>
      <c r="F1478" s="1">
        <v>12</v>
      </c>
      <c r="G1478" s="1">
        <v>0.2</v>
      </c>
      <c r="H1478" s="2">
        <v>35100</v>
      </c>
    </row>
    <row r="1479" spans="1:8" x14ac:dyDescent="0.4">
      <c r="A1479" s="1" t="s">
        <v>503</v>
      </c>
      <c r="B1479" s="1">
        <v>10813</v>
      </c>
      <c r="C1479" s="1">
        <v>46</v>
      </c>
      <c r="D1479" s="1" t="s">
        <v>737</v>
      </c>
      <c r="E1479">
        <v>12</v>
      </c>
      <c r="F1479" s="1">
        <v>35</v>
      </c>
      <c r="G1479" s="1">
        <v>0</v>
      </c>
      <c r="H1479" s="2">
        <v>35100</v>
      </c>
    </row>
    <row r="1480" spans="1:8" x14ac:dyDescent="0.4">
      <c r="A1480" s="1" t="s">
        <v>619</v>
      </c>
      <c r="B1480" s="1">
        <v>10814</v>
      </c>
      <c r="C1480" s="1">
        <v>41</v>
      </c>
      <c r="D1480" s="1" t="s">
        <v>688</v>
      </c>
      <c r="E1480">
        <v>9.65</v>
      </c>
      <c r="F1480" s="1">
        <v>20</v>
      </c>
      <c r="G1480" s="1">
        <v>0</v>
      </c>
      <c r="H1480" s="2">
        <v>35100</v>
      </c>
    </row>
    <row r="1481" spans="1:8" x14ac:dyDescent="0.4">
      <c r="A1481" s="1" t="s">
        <v>619</v>
      </c>
      <c r="B1481" s="1">
        <v>10814</v>
      </c>
      <c r="C1481" s="1">
        <v>43</v>
      </c>
      <c r="D1481" s="1" t="s">
        <v>723</v>
      </c>
      <c r="E1481">
        <v>46</v>
      </c>
      <c r="F1481" s="1">
        <v>20</v>
      </c>
      <c r="G1481" s="1">
        <v>0.15</v>
      </c>
      <c r="H1481" s="2">
        <v>35100</v>
      </c>
    </row>
    <row r="1482" spans="1:8" x14ac:dyDescent="0.4">
      <c r="A1482" s="1" t="s">
        <v>619</v>
      </c>
      <c r="B1482" s="1">
        <v>10814</v>
      </c>
      <c r="C1482" s="1">
        <v>48</v>
      </c>
      <c r="D1482" s="1" t="s">
        <v>757</v>
      </c>
      <c r="E1482">
        <v>12.75</v>
      </c>
      <c r="F1482" s="1">
        <v>8</v>
      </c>
      <c r="G1482" s="1">
        <v>0.15</v>
      </c>
      <c r="H1482" s="2">
        <v>35100</v>
      </c>
    </row>
    <row r="1483" spans="1:8" x14ac:dyDescent="0.4">
      <c r="A1483" s="1" t="s">
        <v>619</v>
      </c>
      <c r="B1483" s="1">
        <v>10814</v>
      </c>
      <c r="C1483" s="1">
        <v>61</v>
      </c>
      <c r="D1483" s="1" t="s">
        <v>758</v>
      </c>
      <c r="E1483">
        <v>28.5</v>
      </c>
      <c r="F1483" s="1">
        <v>30</v>
      </c>
      <c r="G1483" s="1">
        <v>0.15</v>
      </c>
      <c r="H1483" s="2">
        <v>35100</v>
      </c>
    </row>
    <row r="1484" spans="1:8" x14ac:dyDescent="0.4">
      <c r="A1484" s="1" t="s">
        <v>529</v>
      </c>
      <c r="B1484" s="1">
        <v>10815</v>
      </c>
      <c r="C1484" s="1">
        <v>33</v>
      </c>
      <c r="D1484" s="1" t="s">
        <v>693</v>
      </c>
      <c r="E1484">
        <v>2.5</v>
      </c>
      <c r="F1484" s="1">
        <v>16</v>
      </c>
      <c r="G1484" s="1">
        <v>0</v>
      </c>
      <c r="H1484" s="2">
        <v>35100</v>
      </c>
    </row>
    <row r="1485" spans="1:8" x14ac:dyDescent="0.4">
      <c r="A1485" s="1" t="s">
        <v>247</v>
      </c>
      <c r="B1485" s="1">
        <v>10816</v>
      </c>
      <c r="C1485" s="1">
        <v>38</v>
      </c>
      <c r="D1485" s="1" t="s">
        <v>750</v>
      </c>
      <c r="E1485">
        <v>263.5</v>
      </c>
      <c r="F1485" s="1">
        <v>30</v>
      </c>
      <c r="G1485" s="1">
        <v>0.05</v>
      </c>
      <c r="H1485" s="2">
        <v>35101</v>
      </c>
    </row>
    <row r="1486" spans="1:8" x14ac:dyDescent="0.4">
      <c r="A1486" s="1" t="s">
        <v>247</v>
      </c>
      <c r="B1486" s="1">
        <v>10816</v>
      </c>
      <c r="C1486" s="1">
        <v>62</v>
      </c>
      <c r="D1486" s="1" t="s">
        <v>712</v>
      </c>
      <c r="E1486">
        <v>49.3</v>
      </c>
      <c r="F1486" s="1">
        <v>20</v>
      </c>
      <c r="G1486" s="1">
        <v>0.05</v>
      </c>
      <c r="H1486" s="2">
        <v>35101</v>
      </c>
    </row>
    <row r="1487" spans="1:8" x14ac:dyDescent="0.4">
      <c r="A1487" s="1" t="s">
        <v>305</v>
      </c>
      <c r="B1487" s="1">
        <v>10817</v>
      </c>
      <c r="C1487" s="1">
        <v>26</v>
      </c>
      <c r="D1487" s="1" t="s">
        <v>751</v>
      </c>
      <c r="E1487">
        <v>31.23</v>
      </c>
      <c r="F1487" s="1">
        <v>40</v>
      </c>
      <c r="G1487" s="1">
        <v>0.15</v>
      </c>
      <c r="H1487" s="2">
        <v>35101</v>
      </c>
    </row>
    <row r="1488" spans="1:8" x14ac:dyDescent="0.4">
      <c r="A1488" s="1" t="s">
        <v>305</v>
      </c>
      <c r="B1488" s="1">
        <v>10817</v>
      </c>
      <c r="C1488" s="1">
        <v>38</v>
      </c>
      <c r="D1488" s="1" t="s">
        <v>750</v>
      </c>
      <c r="E1488">
        <v>263.5</v>
      </c>
      <c r="F1488" s="1">
        <v>30</v>
      </c>
      <c r="G1488" s="1">
        <v>0</v>
      </c>
      <c r="H1488" s="2">
        <v>35101</v>
      </c>
    </row>
    <row r="1489" spans="1:8" x14ac:dyDescent="0.4">
      <c r="A1489" s="1" t="s">
        <v>305</v>
      </c>
      <c r="B1489" s="1">
        <v>10817</v>
      </c>
      <c r="C1489" s="1">
        <v>40</v>
      </c>
      <c r="D1489" s="1" t="s">
        <v>720</v>
      </c>
      <c r="E1489">
        <v>18.399999999999999</v>
      </c>
      <c r="F1489" s="1">
        <v>60</v>
      </c>
      <c r="G1489" s="1">
        <v>0.15</v>
      </c>
      <c r="H1489" s="2">
        <v>35101</v>
      </c>
    </row>
    <row r="1490" spans="1:8" x14ac:dyDescent="0.4">
      <c r="A1490" s="1" t="s">
        <v>305</v>
      </c>
      <c r="B1490" s="1">
        <v>10817</v>
      </c>
      <c r="C1490" s="1">
        <v>62</v>
      </c>
      <c r="D1490" s="1" t="s">
        <v>712</v>
      </c>
      <c r="E1490">
        <v>49.3</v>
      </c>
      <c r="F1490" s="1">
        <v>25</v>
      </c>
      <c r="G1490" s="1">
        <v>0.15</v>
      </c>
      <c r="H1490" s="2">
        <v>35101</v>
      </c>
    </row>
    <row r="1491" spans="1:8" x14ac:dyDescent="0.4">
      <c r="A1491" s="1" t="s">
        <v>378</v>
      </c>
      <c r="B1491" s="1">
        <v>10818</v>
      </c>
      <c r="C1491" s="1">
        <v>32</v>
      </c>
      <c r="D1491" s="1" t="s">
        <v>709</v>
      </c>
      <c r="E1491">
        <v>32</v>
      </c>
      <c r="F1491" s="1">
        <v>20</v>
      </c>
      <c r="G1491" s="1">
        <v>0</v>
      </c>
      <c r="H1491" s="2">
        <v>35102</v>
      </c>
    </row>
    <row r="1492" spans="1:8" x14ac:dyDescent="0.4">
      <c r="A1492" s="1" t="s">
        <v>378</v>
      </c>
      <c r="B1492" s="1">
        <v>10818</v>
      </c>
      <c r="C1492" s="1">
        <v>41</v>
      </c>
      <c r="D1492" s="1" t="s">
        <v>688</v>
      </c>
      <c r="E1492">
        <v>9.65</v>
      </c>
      <c r="F1492" s="1">
        <v>20</v>
      </c>
      <c r="G1492" s="1">
        <v>0</v>
      </c>
      <c r="H1492" s="2">
        <v>35102</v>
      </c>
    </row>
    <row r="1493" spans="1:8" x14ac:dyDescent="0.4">
      <c r="A1493" s="1" t="s">
        <v>101</v>
      </c>
      <c r="B1493" s="1">
        <v>10819</v>
      </c>
      <c r="C1493" s="1">
        <v>43</v>
      </c>
      <c r="D1493" s="1" t="s">
        <v>723</v>
      </c>
      <c r="E1493">
        <v>46</v>
      </c>
      <c r="F1493" s="1">
        <v>7</v>
      </c>
      <c r="G1493" s="1">
        <v>0</v>
      </c>
      <c r="H1493" s="2">
        <v>35102</v>
      </c>
    </row>
    <row r="1494" spans="1:8" x14ac:dyDescent="0.4">
      <c r="A1494" s="1" t="s">
        <v>101</v>
      </c>
      <c r="B1494" s="1">
        <v>10819</v>
      </c>
      <c r="C1494" s="1">
        <v>75</v>
      </c>
      <c r="D1494" s="1" t="s">
        <v>731</v>
      </c>
      <c r="E1494">
        <v>7.75</v>
      </c>
      <c r="F1494" s="1">
        <v>20</v>
      </c>
      <c r="G1494" s="1">
        <v>0</v>
      </c>
      <c r="H1494" s="2">
        <v>35102</v>
      </c>
    </row>
    <row r="1495" spans="1:8" x14ac:dyDescent="0.4">
      <c r="A1495" s="1" t="s">
        <v>487</v>
      </c>
      <c r="B1495" s="1">
        <v>10820</v>
      </c>
      <c r="C1495" s="1">
        <v>56</v>
      </c>
      <c r="D1495" s="1" t="s">
        <v>716</v>
      </c>
      <c r="E1495">
        <v>38</v>
      </c>
      <c r="F1495" s="1">
        <v>30</v>
      </c>
      <c r="G1495" s="1">
        <v>0</v>
      </c>
      <c r="H1495" s="2">
        <v>35102</v>
      </c>
    </row>
    <row r="1496" spans="1:8" x14ac:dyDescent="0.4">
      <c r="A1496" s="1" t="s">
        <v>557</v>
      </c>
      <c r="B1496" s="1">
        <v>10821</v>
      </c>
      <c r="C1496" s="1">
        <v>35</v>
      </c>
      <c r="D1496" s="1" t="s">
        <v>714</v>
      </c>
      <c r="E1496">
        <v>18</v>
      </c>
      <c r="F1496" s="1">
        <v>20</v>
      </c>
      <c r="G1496" s="1">
        <v>0</v>
      </c>
      <c r="H1496" s="2">
        <v>35103</v>
      </c>
    </row>
    <row r="1497" spans="1:8" x14ac:dyDescent="0.4">
      <c r="A1497" s="1" t="s">
        <v>557</v>
      </c>
      <c r="B1497" s="1">
        <v>10821</v>
      </c>
      <c r="C1497" s="1">
        <v>51</v>
      </c>
      <c r="D1497" s="1" t="s">
        <v>687</v>
      </c>
      <c r="E1497">
        <v>53</v>
      </c>
      <c r="F1497" s="1">
        <v>6</v>
      </c>
      <c r="G1497" s="1">
        <v>0</v>
      </c>
      <c r="H1497" s="2">
        <v>35103</v>
      </c>
    </row>
    <row r="1498" spans="1:8" x14ac:dyDescent="0.4">
      <c r="A1498" s="1" t="s">
        <v>605</v>
      </c>
      <c r="B1498" s="1">
        <v>10822</v>
      </c>
      <c r="C1498" s="1">
        <v>62</v>
      </c>
      <c r="D1498" s="1" t="s">
        <v>712</v>
      </c>
      <c r="E1498">
        <v>49.3</v>
      </c>
      <c r="F1498" s="1">
        <v>3</v>
      </c>
      <c r="G1498" s="1">
        <v>0</v>
      </c>
      <c r="H1498" s="2">
        <v>35103</v>
      </c>
    </row>
    <row r="1499" spans="1:8" x14ac:dyDescent="0.4">
      <c r="A1499" s="1" t="s">
        <v>605</v>
      </c>
      <c r="B1499" s="1">
        <v>10822</v>
      </c>
      <c r="C1499" s="1">
        <v>70</v>
      </c>
      <c r="D1499" s="1" t="s">
        <v>713</v>
      </c>
      <c r="E1499">
        <v>15</v>
      </c>
      <c r="F1499" s="1">
        <v>6</v>
      </c>
      <c r="G1499" s="1">
        <v>0</v>
      </c>
      <c r="H1499" s="2">
        <v>35103</v>
      </c>
    </row>
    <row r="1500" spans="1:8" x14ac:dyDescent="0.4">
      <c r="A1500" s="1" t="s">
        <v>355</v>
      </c>
      <c r="B1500" s="1">
        <v>10823</v>
      </c>
      <c r="C1500" s="1">
        <v>11</v>
      </c>
      <c r="D1500" s="1" t="s">
        <v>683</v>
      </c>
      <c r="E1500">
        <v>21</v>
      </c>
      <c r="F1500" s="1">
        <v>20</v>
      </c>
      <c r="G1500" s="1">
        <v>0.1</v>
      </c>
      <c r="H1500" s="2">
        <v>35104</v>
      </c>
    </row>
    <row r="1501" spans="1:8" x14ac:dyDescent="0.4">
      <c r="A1501" s="1" t="s">
        <v>355</v>
      </c>
      <c r="B1501" s="1">
        <v>10823</v>
      </c>
      <c r="C1501" s="1">
        <v>57</v>
      </c>
      <c r="D1501" s="1" t="s">
        <v>691</v>
      </c>
      <c r="E1501">
        <v>19.5</v>
      </c>
      <c r="F1501" s="1">
        <v>15</v>
      </c>
      <c r="G1501" s="1">
        <v>0</v>
      </c>
      <c r="H1501" s="2">
        <v>35104</v>
      </c>
    </row>
    <row r="1502" spans="1:8" x14ac:dyDescent="0.4">
      <c r="A1502" s="1" t="s">
        <v>355</v>
      </c>
      <c r="B1502" s="1">
        <v>10823</v>
      </c>
      <c r="C1502" s="1">
        <v>59</v>
      </c>
      <c r="D1502" s="1" t="s">
        <v>704</v>
      </c>
      <c r="E1502">
        <v>55</v>
      </c>
      <c r="F1502" s="1">
        <v>40</v>
      </c>
      <c r="G1502" s="1">
        <v>0.1</v>
      </c>
      <c r="H1502" s="2">
        <v>35104</v>
      </c>
    </row>
    <row r="1503" spans="1:8" x14ac:dyDescent="0.4">
      <c r="A1503" s="1" t="s">
        <v>355</v>
      </c>
      <c r="B1503" s="1">
        <v>10823</v>
      </c>
      <c r="C1503" s="1">
        <v>77</v>
      </c>
      <c r="D1503" s="1" t="s">
        <v>706</v>
      </c>
      <c r="E1503">
        <v>13</v>
      </c>
      <c r="F1503" s="1">
        <v>15</v>
      </c>
      <c r="G1503" s="1">
        <v>0.1</v>
      </c>
      <c r="H1503" s="2">
        <v>35104</v>
      </c>
    </row>
    <row r="1504" spans="1:8" x14ac:dyDescent="0.4">
      <c r="A1504" s="1" t="s">
        <v>191</v>
      </c>
      <c r="B1504" s="1">
        <v>10824</v>
      </c>
      <c r="C1504" s="1">
        <v>41</v>
      </c>
      <c r="D1504" s="1" t="s">
        <v>688</v>
      </c>
      <c r="E1504">
        <v>9.65</v>
      </c>
      <c r="F1504" s="1">
        <v>12</v>
      </c>
      <c r="G1504" s="1">
        <v>0</v>
      </c>
      <c r="H1504" s="2">
        <v>35104</v>
      </c>
    </row>
    <row r="1505" spans="1:8" x14ac:dyDescent="0.4">
      <c r="A1505" s="1" t="s">
        <v>191</v>
      </c>
      <c r="B1505" s="1">
        <v>10824</v>
      </c>
      <c r="C1505" s="1">
        <v>70</v>
      </c>
      <c r="D1505" s="1" t="s">
        <v>713</v>
      </c>
      <c r="E1505">
        <v>15</v>
      </c>
      <c r="F1505" s="1">
        <v>9</v>
      </c>
      <c r="G1505" s="1">
        <v>0</v>
      </c>
      <c r="H1505" s="2">
        <v>35104</v>
      </c>
    </row>
    <row r="1506" spans="1:8" x14ac:dyDescent="0.4">
      <c r="A1506" s="1" t="s">
        <v>140</v>
      </c>
      <c r="B1506" s="1">
        <v>10825</v>
      </c>
      <c r="C1506" s="1">
        <v>26</v>
      </c>
      <c r="D1506" s="1" t="s">
        <v>751</v>
      </c>
      <c r="E1506">
        <v>31.23</v>
      </c>
      <c r="F1506" s="1">
        <v>12</v>
      </c>
      <c r="G1506" s="1">
        <v>0</v>
      </c>
      <c r="H1506" s="2">
        <v>35104</v>
      </c>
    </row>
    <row r="1507" spans="1:8" x14ac:dyDescent="0.4">
      <c r="A1507" s="1" t="s">
        <v>140</v>
      </c>
      <c r="B1507" s="1">
        <v>10825</v>
      </c>
      <c r="C1507" s="1">
        <v>53</v>
      </c>
      <c r="D1507" s="1" t="s">
        <v>705</v>
      </c>
      <c r="E1507">
        <v>32.799999999999997</v>
      </c>
      <c r="F1507" s="1">
        <v>20</v>
      </c>
      <c r="G1507" s="1">
        <v>0</v>
      </c>
      <c r="H1507" s="2">
        <v>35104</v>
      </c>
    </row>
    <row r="1508" spans="1:8" x14ac:dyDescent="0.4">
      <c r="A1508" s="1" t="s">
        <v>60</v>
      </c>
      <c r="B1508" s="1">
        <v>10826</v>
      </c>
      <c r="C1508" s="1">
        <v>31</v>
      </c>
      <c r="D1508" s="1" t="s">
        <v>695</v>
      </c>
      <c r="E1508">
        <v>12.5</v>
      </c>
      <c r="F1508" s="1">
        <v>35</v>
      </c>
      <c r="G1508" s="1">
        <v>0</v>
      </c>
      <c r="H1508" s="2">
        <v>35107</v>
      </c>
    </row>
    <row r="1509" spans="1:8" x14ac:dyDescent="0.4">
      <c r="A1509" s="1" t="s">
        <v>60</v>
      </c>
      <c r="B1509" s="1">
        <v>10826</v>
      </c>
      <c r="C1509" s="1">
        <v>57</v>
      </c>
      <c r="D1509" s="1" t="s">
        <v>691</v>
      </c>
      <c r="E1509">
        <v>19.5</v>
      </c>
      <c r="F1509" s="1">
        <v>15</v>
      </c>
      <c r="G1509" s="1">
        <v>0</v>
      </c>
      <c r="H1509" s="2">
        <v>35107</v>
      </c>
    </row>
    <row r="1510" spans="1:8" x14ac:dyDescent="0.4">
      <c r="A1510" s="1" t="s">
        <v>77</v>
      </c>
      <c r="B1510" s="1">
        <v>10827</v>
      </c>
      <c r="C1510" s="1">
        <v>10</v>
      </c>
      <c r="D1510" s="1" t="s">
        <v>724</v>
      </c>
      <c r="E1510">
        <v>31</v>
      </c>
      <c r="F1510" s="1">
        <v>15</v>
      </c>
      <c r="G1510" s="1">
        <v>0</v>
      </c>
      <c r="H1510" s="2">
        <v>35107</v>
      </c>
    </row>
    <row r="1511" spans="1:8" x14ac:dyDescent="0.4">
      <c r="A1511" s="1" t="s">
        <v>77</v>
      </c>
      <c r="B1511" s="1">
        <v>10827</v>
      </c>
      <c r="C1511" s="1">
        <v>39</v>
      </c>
      <c r="D1511" s="1" t="s">
        <v>696</v>
      </c>
      <c r="E1511">
        <v>18</v>
      </c>
      <c r="F1511" s="1">
        <v>21</v>
      </c>
      <c r="G1511" s="1">
        <v>0</v>
      </c>
      <c r="H1511" s="2">
        <v>35107</v>
      </c>
    </row>
    <row r="1512" spans="1:8" x14ac:dyDescent="0.4">
      <c r="A1512" s="1" t="s">
        <v>481</v>
      </c>
      <c r="B1512" s="1">
        <v>10828</v>
      </c>
      <c r="C1512" s="1">
        <v>20</v>
      </c>
      <c r="D1512" s="1" t="s">
        <v>692</v>
      </c>
      <c r="E1512">
        <v>81</v>
      </c>
      <c r="F1512" s="1">
        <v>5</v>
      </c>
      <c r="G1512" s="1">
        <v>0</v>
      </c>
      <c r="H1512" s="2">
        <v>35108</v>
      </c>
    </row>
    <row r="1513" spans="1:8" x14ac:dyDescent="0.4">
      <c r="A1513" s="1" t="s">
        <v>481</v>
      </c>
      <c r="B1513" s="1">
        <v>10828</v>
      </c>
      <c r="C1513" s="1">
        <v>38</v>
      </c>
      <c r="D1513" s="1" t="s">
        <v>750</v>
      </c>
      <c r="E1513">
        <v>263.5</v>
      </c>
      <c r="F1513" s="1">
        <v>2</v>
      </c>
      <c r="G1513" s="1">
        <v>0</v>
      </c>
      <c r="H1513" s="2">
        <v>35108</v>
      </c>
    </row>
    <row r="1514" spans="1:8" x14ac:dyDescent="0.4">
      <c r="A1514" s="1" t="s">
        <v>297</v>
      </c>
      <c r="B1514" s="1">
        <v>10829</v>
      </c>
      <c r="C1514" s="1">
        <v>2</v>
      </c>
      <c r="D1514" s="1" t="s">
        <v>701</v>
      </c>
      <c r="E1514">
        <v>19</v>
      </c>
      <c r="F1514" s="1">
        <v>10</v>
      </c>
      <c r="G1514" s="1">
        <v>0</v>
      </c>
      <c r="H1514" s="2">
        <v>35108</v>
      </c>
    </row>
    <row r="1515" spans="1:8" x14ac:dyDescent="0.4">
      <c r="A1515" s="1" t="s">
        <v>297</v>
      </c>
      <c r="B1515" s="1">
        <v>10829</v>
      </c>
      <c r="C1515" s="1">
        <v>8</v>
      </c>
      <c r="D1515" s="1" t="s">
        <v>754</v>
      </c>
      <c r="E1515">
        <v>40</v>
      </c>
      <c r="F1515" s="1">
        <v>20</v>
      </c>
      <c r="G1515" s="1">
        <v>0</v>
      </c>
      <c r="H1515" s="2">
        <v>35108</v>
      </c>
    </row>
    <row r="1516" spans="1:8" x14ac:dyDescent="0.4">
      <c r="A1516" s="1" t="s">
        <v>297</v>
      </c>
      <c r="B1516" s="1">
        <v>10829</v>
      </c>
      <c r="C1516" s="1">
        <v>13</v>
      </c>
      <c r="D1516" s="1" t="s">
        <v>726</v>
      </c>
      <c r="E1516">
        <v>6</v>
      </c>
      <c r="F1516" s="1">
        <v>10</v>
      </c>
      <c r="G1516" s="1">
        <v>0</v>
      </c>
      <c r="H1516" s="2">
        <v>35108</v>
      </c>
    </row>
    <row r="1517" spans="1:8" x14ac:dyDescent="0.4">
      <c r="A1517" s="1" t="s">
        <v>297</v>
      </c>
      <c r="B1517" s="1">
        <v>10829</v>
      </c>
      <c r="C1517" s="1">
        <v>60</v>
      </c>
      <c r="D1517" s="1" t="s">
        <v>694</v>
      </c>
      <c r="E1517">
        <v>34</v>
      </c>
      <c r="F1517" s="1">
        <v>21</v>
      </c>
      <c r="G1517" s="1">
        <v>0</v>
      </c>
      <c r="H1517" s="2">
        <v>35108</v>
      </c>
    </row>
    <row r="1518" spans="1:8" x14ac:dyDescent="0.4">
      <c r="A1518" s="1" t="s">
        <v>598</v>
      </c>
      <c r="B1518" s="1">
        <v>10830</v>
      </c>
      <c r="C1518" s="1">
        <v>6</v>
      </c>
      <c r="D1518" s="1" t="s">
        <v>746</v>
      </c>
      <c r="E1518">
        <v>25</v>
      </c>
      <c r="F1518" s="1">
        <v>6</v>
      </c>
      <c r="G1518" s="1">
        <v>0</v>
      </c>
      <c r="H1518" s="2">
        <v>35108</v>
      </c>
    </row>
    <row r="1519" spans="1:8" x14ac:dyDescent="0.4">
      <c r="A1519" s="1" t="s">
        <v>598</v>
      </c>
      <c r="B1519" s="1">
        <v>10830</v>
      </c>
      <c r="C1519" s="1">
        <v>39</v>
      </c>
      <c r="D1519" s="1" t="s">
        <v>696</v>
      </c>
      <c r="E1519">
        <v>18</v>
      </c>
      <c r="F1519" s="1">
        <v>28</v>
      </c>
      <c r="G1519" s="1">
        <v>0</v>
      </c>
      <c r="H1519" s="2">
        <v>35108</v>
      </c>
    </row>
    <row r="1520" spans="1:8" x14ac:dyDescent="0.4">
      <c r="A1520" s="1" t="s">
        <v>598</v>
      </c>
      <c r="B1520" s="1">
        <v>10830</v>
      </c>
      <c r="C1520" s="1">
        <v>60</v>
      </c>
      <c r="D1520" s="1" t="s">
        <v>694</v>
      </c>
      <c r="E1520">
        <v>34</v>
      </c>
      <c r="F1520" s="1">
        <v>30</v>
      </c>
      <c r="G1520" s="1">
        <v>0</v>
      </c>
      <c r="H1520" s="2">
        <v>35108</v>
      </c>
    </row>
    <row r="1521" spans="1:8" x14ac:dyDescent="0.4">
      <c r="A1521" s="1" t="s">
        <v>598</v>
      </c>
      <c r="B1521" s="1">
        <v>10830</v>
      </c>
      <c r="C1521" s="1">
        <v>68</v>
      </c>
      <c r="D1521" s="1" t="s">
        <v>739</v>
      </c>
      <c r="E1521">
        <v>12.5</v>
      </c>
      <c r="F1521" s="1">
        <v>24</v>
      </c>
      <c r="G1521" s="1">
        <v>0</v>
      </c>
      <c r="H1521" s="2">
        <v>35108</v>
      </c>
    </row>
    <row r="1522" spans="1:8" x14ac:dyDescent="0.4">
      <c r="A1522" s="1" t="s">
        <v>521</v>
      </c>
      <c r="B1522" s="1">
        <v>10831</v>
      </c>
      <c r="C1522" s="1">
        <v>19</v>
      </c>
      <c r="D1522" s="1" t="s">
        <v>732</v>
      </c>
      <c r="E1522">
        <v>9.1999999999999993</v>
      </c>
      <c r="F1522" s="1">
        <v>2</v>
      </c>
      <c r="G1522" s="1">
        <v>0</v>
      </c>
      <c r="H1522" s="2">
        <v>35109</v>
      </c>
    </row>
    <row r="1523" spans="1:8" x14ac:dyDescent="0.4">
      <c r="A1523" s="1" t="s">
        <v>521</v>
      </c>
      <c r="B1523" s="1">
        <v>10831</v>
      </c>
      <c r="C1523" s="1">
        <v>35</v>
      </c>
      <c r="D1523" s="1" t="s">
        <v>714</v>
      </c>
      <c r="E1523">
        <v>18</v>
      </c>
      <c r="F1523" s="1">
        <v>8</v>
      </c>
      <c r="G1523" s="1">
        <v>0</v>
      </c>
      <c r="H1523" s="2">
        <v>35109</v>
      </c>
    </row>
    <row r="1524" spans="1:8" x14ac:dyDescent="0.4">
      <c r="A1524" s="1" t="s">
        <v>521</v>
      </c>
      <c r="B1524" s="1">
        <v>10831</v>
      </c>
      <c r="C1524" s="1">
        <v>38</v>
      </c>
      <c r="D1524" s="1" t="s">
        <v>750</v>
      </c>
      <c r="E1524">
        <v>263.5</v>
      </c>
      <c r="F1524" s="1">
        <v>8</v>
      </c>
      <c r="G1524" s="1">
        <v>0</v>
      </c>
      <c r="H1524" s="2">
        <v>35109</v>
      </c>
    </row>
    <row r="1525" spans="1:8" x14ac:dyDescent="0.4">
      <c r="A1525" s="1" t="s">
        <v>521</v>
      </c>
      <c r="B1525" s="1">
        <v>10831</v>
      </c>
      <c r="C1525" s="1">
        <v>43</v>
      </c>
      <c r="D1525" s="1" t="s">
        <v>723</v>
      </c>
      <c r="E1525">
        <v>46</v>
      </c>
      <c r="F1525" s="1">
        <v>9</v>
      </c>
      <c r="G1525" s="1">
        <v>0</v>
      </c>
      <c r="H1525" s="2">
        <v>35109</v>
      </c>
    </row>
    <row r="1526" spans="1:8" x14ac:dyDescent="0.4">
      <c r="A1526" s="1" t="s">
        <v>318</v>
      </c>
      <c r="B1526" s="1">
        <v>10832</v>
      </c>
      <c r="C1526" s="1">
        <v>13</v>
      </c>
      <c r="D1526" s="1" t="s">
        <v>726</v>
      </c>
      <c r="E1526">
        <v>6</v>
      </c>
      <c r="F1526" s="1">
        <v>3</v>
      </c>
      <c r="G1526" s="1">
        <v>0.2</v>
      </c>
      <c r="H1526" s="2">
        <v>35109</v>
      </c>
    </row>
    <row r="1527" spans="1:8" x14ac:dyDescent="0.4">
      <c r="A1527" s="1" t="s">
        <v>318</v>
      </c>
      <c r="B1527" s="1">
        <v>10832</v>
      </c>
      <c r="C1527" s="1">
        <v>25</v>
      </c>
      <c r="D1527" s="1" t="s">
        <v>749</v>
      </c>
      <c r="E1527">
        <v>14</v>
      </c>
      <c r="F1527" s="1">
        <v>10</v>
      </c>
      <c r="G1527" s="1">
        <v>0.2</v>
      </c>
      <c r="H1527" s="2">
        <v>35109</v>
      </c>
    </row>
    <row r="1528" spans="1:8" x14ac:dyDescent="0.4">
      <c r="A1528" s="1" t="s">
        <v>318</v>
      </c>
      <c r="B1528" s="1">
        <v>10832</v>
      </c>
      <c r="C1528" s="1">
        <v>44</v>
      </c>
      <c r="D1528" s="1" t="s">
        <v>728</v>
      </c>
      <c r="E1528">
        <v>19.45</v>
      </c>
      <c r="F1528" s="1">
        <v>16</v>
      </c>
      <c r="G1528" s="1">
        <v>0.2</v>
      </c>
      <c r="H1528" s="2">
        <v>35109</v>
      </c>
    </row>
    <row r="1529" spans="1:8" x14ac:dyDescent="0.4">
      <c r="A1529" s="1" t="s">
        <v>318</v>
      </c>
      <c r="B1529" s="1">
        <v>10832</v>
      </c>
      <c r="C1529" s="1">
        <v>64</v>
      </c>
      <c r="D1529" s="1" t="s">
        <v>741</v>
      </c>
      <c r="E1529">
        <v>33.25</v>
      </c>
      <c r="F1529" s="1">
        <v>3</v>
      </c>
      <c r="G1529" s="1">
        <v>0</v>
      </c>
      <c r="H1529" s="2">
        <v>35109</v>
      </c>
    </row>
    <row r="1530" spans="1:8" x14ac:dyDescent="0.4">
      <c r="A1530" s="1" t="s">
        <v>430</v>
      </c>
      <c r="B1530" s="1">
        <v>10833</v>
      </c>
      <c r="C1530" s="1">
        <v>7</v>
      </c>
      <c r="D1530" s="1" t="s">
        <v>715</v>
      </c>
      <c r="E1530">
        <v>30</v>
      </c>
      <c r="F1530" s="1">
        <v>20</v>
      </c>
      <c r="G1530" s="1">
        <v>0.1</v>
      </c>
      <c r="H1530" s="2">
        <v>35110</v>
      </c>
    </row>
    <row r="1531" spans="1:8" x14ac:dyDescent="0.4">
      <c r="A1531" s="1" t="s">
        <v>430</v>
      </c>
      <c r="B1531" s="1">
        <v>10833</v>
      </c>
      <c r="C1531" s="1">
        <v>31</v>
      </c>
      <c r="D1531" s="1" t="s">
        <v>695</v>
      </c>
      <c r="E1531">
        <v>12.5</v>
      </c>
      <c r="F1531" s="1">
        <v>9</v>
      </c>
      <c r="G1531" s="1">
        <v>0.1</v>
      </c>
      <c r="H1531" s="2">
        <v>35110</v>
      </c>
    </row>
    <row r="1532" spans="1:8" x14ac:dyDescent="0.4">
      <c r="A1532" s="1" t="s">
        <v>430</v>
      </c>
      <c r="B1532" s="1">
        <v>10833</v>
      </c>
      <c r="C1532" s="1">
        <v>53</v>
      </c>
      <c r="D1532" s="1" t="s">
        <v>705</v>
      </c>
      <c r="E1532">
        <v>32.799999999999997</v>
      </c>
      <c r="F1532" s="1">
        <v>9</v>
      </c>
      <c r="G1532" s="1">
        <v>0.1</v>
      </c>
      <c r="H1532" s="2">
        <v>35110</v>
      </c>
    </row>
    <row r="1533" spans="1:8" x14ac:dyDescent="0.4">
      <c r="A1533" s="1" t="s">
        <v>598</v>
      </c>
      <c r="B1533" s="1">
        <v>10834</v>
      </c>
      <c r="C1533" s="1">
        <v>29</v>
      </c>
      <c r="D1533" s="1" t="s">
        <v>722</v>
      </c>
      <c r="E1533">
        <v>123.79</v>
      </c>
      <c r="F1533" s="1">
        <v>8</v>
      </c>
      <c r="G1533" s="1">
        <v>0.05</v>
      </c>
      <c r="H1533" s="2">
        <v>35110</v>
      </c>
    </row>
    <row r="1534" spans="1:8" x14ac:dyDescent="0.4">
      <c r="A1534" s="1" t="s">
        <v>598</v>
      </c>
      <c r="B1534" s="1">
        <v>10834</v>
      </c>
      <c r="C1534" s="1">
        <v>30</v>
      </c>
      <c r="D1534" s="1" t="s">
        <v>717</v>
      </c>
      <c r="E1534">
        <v>25.89</v>
      </c>
      <c r="F1534" s="1">
        <v>20</v>
      </c>
      <c r="G1534" s="1">
        <v>0.05</v>
      </c>
      <c r="H1534" s="2">
        <v>35110</v>
      </c>
    </row>
    <row r="1535" spans="1:8" x14ac:dyDescent="0.4">
      <c r="A1535" s="1" t="s">
        <v>11</v>
      </c>
      <c r="B1535" s="1">
        <v>10835</v>
      </c>
      <c r="C1535" s="1">
        <v>59</v>
      </c>
      <c r="D1535" s="1" t="s">
        <v>704</v>
      </c>
      <c r="E1535">
        <v>55</v>
      </c>
      <c r="F1535" s="1">
        <v>15</v>
      </c>
      <c r="G1535" s="1">
        <v>0</v>
      </c>
      <c r="H1535" s="2">
        <v>35110</v>
      </c>
    </row>
    <row r="1536" spans="1:8" x14ac:dyDescent="0.4">
      <c r="A1536" s="1" t="s">
        <v>11</v>
      </c>
      <c r="B1536" s="1">
        <v>10835</v>
      </c>
      <c r="C1536" s="1">
        <v>77</v>
      </c>
      <c r="D1536" s="1" t="s">
        <v>706</v>
      </c>
      <c r="E1536">
        <v>13</v>
      </c>
      <c r="F1536" s="1">
        <v>2</v>
      </c>
      <c r="G1536" s="1">
        <v>0.2</v>
      </c>
      <c r="H1536" s="2">
        <v>35110</v>
      </c>
    </row>
    <row r="1537" spans="1:8" x14ac:dyDescent="0.4">
      <c r="A1537" s="1" t="s">
        <v>161</v>
      </c>
      <c r="B1537" s="1">
        <v>10836</v>
      </c>
      <c r="C1537" s="1">
        <v>22</v>
      </c>
      <c r="D1537" s="1" t="s">
        <v>690</v>
      </c>
      <c r="E1537">
        <v>21</v>
      </c>
      <c r="F1537" s="1">
        <v>52</v>
      </c>
      <c r="G1537" s="1">
        <v>0</v>
      </c>
      <c r="H1537" s="2">
        <v>35111</v>
      </c>
    </row>
    <row r="1538" spans="1:8" x14ac:dyDescent="0.4">
      <c r="A1538" s="1" t="s">
        <v>161</v>
      </c>
      <c r="B1538" s="1">
        <v>10836</v>
      </c>
      <c r="C1538" s="1">
        <v>35</v>
      </c>
      <c r="D1538" s="1" t="s">
        <v>714</v>
      </c>
      <c r="E1538">
        <v>18</v>
      </c>
      <c r="F1538" s="1">
        <v>6</v>
      </c>
      <c r="G1538" s="1">
        <v>0</v>
      </c>
      <c r="H1538" s="2">
        <v>35111</v>
      </c>
    </row>
    <row r="1539" spans="1:8" x14ac:dyDescent="0.4">
      <c r="A1539" s="1" t="s">
        <v>161</v>
      </c>
      <c r="B1539" s="1">
        <v>10836</v>
      </c>
      <c r="C1539" s="1">
        <v>57</v>
      </c>
      <c r="D1539" s="1" t="s">
        <v>691</v>
      </c>
      <c r="E1539">
        <v>19.5</v>
      </c>
      <c r="F1539" s="1">
        <v>24</v>
      </c>
      <c r="G1539" s="1">
        <v>0</v>
      </c>
      <c r="H1539" s="2">
        <v>35111</v>
      </c>
    </row>
    <row r="1540" spans="1:8" x14ac:dyDescent="0.4">
      <c r="A1540" s="1" t="s">
        <v>161</v>
      </c>
      <c r="B1540" s="1">
        <v>10836</v>
      </c>
      <c r="C1540" s="1">
        <v>60</v>
      </c>
      <c r="D1540" s="1" t="s">
        <v>694</v>
      </c>
      <c r="E1540">
        <v>34</v>
      </c>
      <c r="F1540" s="1">
        <v>60</v>
      </c>
      <c r="G1540" s="1">
        <v>0</v>
      </c>
      <c r="H1540" s="2">
        <v>35111</v>
      </c>
    </row>
    <row r="1541" spans="1:8" x14ac:dyDescent="0.4">
      <c r="A1541" s="1" t="s">
        <v>161</v>
      </c>
      <c r="B1541" s="1">
        <v>10836</v>
      </c>
      <c r="C1541" s="1">
        <v>64</v>
      </c>
      <c r="D1541" s="1" t="s">
        <v>741</v>
      </c>
      <c r="E1541">
        <v>33.25</v>
      </c>
      <c r="F1541" s="1">
        <v>30</v>
      </c>
      <c r="G1541" s="1">
        <v>0</v>
      </c>
      <c r="H1541" s="2">
        <v>35111</v>
      </c>
    </row>
    <row r="1542" spans="1:8" x14ac:dyDescent="0.4">
      <c r="A1542" s="1" t="s">
        <v>43</v>
      </c>
      <c r="B1542" s="1">
        <v>10837</v>
      </c>
      <c r="C1542" s="1">
        <v>13</v>
      </c>
      <c r="D1542" s="1" t="s">
        <v>726</v>
      </c>
      <c r="E1542">
        <v>6</v>
      </c>
      <c r="F1542" s="1">
        <v>6</v>
      </c>
      <c r="G1542" s="1">
        <v>0</v>
      </c>
      <c r="H1542" s="2">
        <v>35111</v>
      </c>
    </row>
    <row r="1543" spans="1:8" x14ac:dyDescent="0.4">
      <c r="A1543" s="1" t="s">
        <v>43</v>
      </c>
      <c r="B1543" s="1">
        <v>10837</v>
      </c>
      <c r="C1543" s="1">
        <v>40</v>
      </c>
      <c r="D1543" s="1" t="s">
        <v>720</v>
      </c>
      <c r="E1543">
        <v>18.399999999999999</v>
      </c>
      <c r="F1543" s="1">
        <v>25</v>
      </c>
      <c r="G1543" s="1">
        <v>0</v>
      </c>
      <c r="H1543" s="2">
        <v>35111</v>
      </c>
    </row>
    <row r="1544" spans="1:8" x14ac:dyDescent="0.4">
      <c r="A1544" s="1" t="s">
        <v>43</v>
      </c>
      <c r="B1544" s="1">
        <v>10837</v>
      </c>
      <c r="C1544" s="1">
        <v>47</v>
      </c>
      <c r="D1544" s="1" t="s">
        <v>752</v>
      </c>
      <c r="E1544">
        <v>9.5</v>
      </c>
      <c r="F1544" s="1">
        <v>40</v>
      </c>
      <c r="G1544" s="1">
        <v>0.25</v>
      </c>
      <c r="H1544" s="2">
        <v>35111</v>
      </c>
    </row>
    <row r="1545" spans="1:8" x14ac:dyDescent="0.4">
      <c r="A1545" s="1" t="s">
        <v>43</v>
      </c>
      <c r="B1545" s="1">
        <v>10837</v>
      </c>
      <c r="C1545" s="1">
        <v>76</v>
      </c>
      <c r="D1545" s="1" t="s">
        <v>721</v>
      </c>
      <c r="E1545">
        <v>18</v>
      </c>
      <c r="F1545" s="1">
        <v>21</v>
      </c>
      <c r="G1545" s="1">
        <v>0.25</v>
      </c>
      <c r="H1545" s="2">
        <v>35111</v>
      </c>
    </row>
    <row r="1546" spans="1:8" x14ac:dyDescent="0.4">
      <c r="A1546" s="1" t="s">
        <v>363</v>
      </c>
      <c r="B1546" s="1">
        <v>10838</v>
      </c>
      <c r="C1546" s="1">
        <v>1</v>
      </c>
      <c r="D1546" s="1" t="s">
        <v>735</v>
      </c>
      <c r="E1546">
        <v>18</v>
      </c>
      <c r="F1546" s="1">
        <v>4</v>
      </c>
      <c r="G1546" s="1">
        <v>0.25</v>
      </c>
      <c r="H1546" s="2">
        <v>35114</v>
      </c>
    </row>
    <row r="1547" spans="1:8" x14ac:dyDescent="0.4">
      <c r="A1547" s="1" t="s">
        <v>363</v>
      </c>
      <c r="B1547" s="1">
        <v>10838</v>
      </c>
      <c r="C1547" s="1">
        <v>18</v>
      </c>
      <c r="D1547" s="1" t="s">
        <v>742</v>
      </c>
      <c r="E1547">
        <v>62.5</v>
      </c>
      <c r="F1547" s="1">
        <v>25</v>
      </c>
      <c r="G1547" s="1">
        <v>0.25</v>
      </c>
      <c r="H1547" s="2">
        <v>35114</v>
      </c>
    </row>
    <row r="1548" spans="1:8" x14ac:dyDescent="0.4">
      <c r="A1548" s="1" t="s">
        <v>363</v>
      </c>
      <c r="B1548" s="1">
        <v>10838</v>
      </c>
      <c r="C1548" s="1">
        <v>36</v>
      </c>
      <c r="D1548" s="1" t="s">
        <v>703</v>
      </c>
      <c r="E1548">
        <v>19</v>
      </c>
      <c r="F1548" s="1">
        <v>50</v>
      </c>
      <c r="G1548" s="1">
        <v>0.25</v>
      </c>
      <c r="H1548" s="2">
        <v>35114</v>
      </c>
    </row>
    <row r="1549" spans="1:8" x14ac:dyDescent="0.4">
      <c r="A1549" s="1" t="s">
        <v>598</v>
      </c>
      <c r="B1549" s="1">
        <v>10839</v>
      </c>
      <c r="C1549" s="1">
        <v>58</v>
      </c>
      <c r="D1549" s="1" t="s">
        <v>747</v>
      </c>
      <c r="E1549">
        <v>13.25</v>
      </c>
      <c r="F1549" s="1">
        <v>30</v>
      </c>
      <c r="G1549" s="1">
        <v>0.1</v>
      </c>
      <c r="H1549" s="2">
        <v>35114</v>
      </c>
    </row>
    <row r="1550" spans="1:8" x14ac:dyDescent="0.4">
      <c r="A1550" s="1" t="s">
        <v>598</v>
      </c>
      <c r="B1550" s="1">
        <v>10839</v>
      </c>
      <c r="C1550" s="1">
        <v>72</v>
      </c>
      <c r="D1550" s="1" t="s">
        <v>685</v>
      </c>
      <c r="E1550">
        <v>34.799999999999997</v>
      </c>
      <c r="F1550" s="1">
        <v>15</v>
      </c>
      <c r="G1550" s="1">
        <v>0.1</v>
      </c>
      <c r="H1550" s="2">
        <v>35114</v>
      </c>
    </row>
    <row r="1551" spans="1:8" x14ac:dyDescent="0.4">
      <c r="A1551" s="1" t="s">
        <v>363</v>
      </c>
      <c r="B1551" s="1">
        <v>10840</v>
      </c>
      <c r="C1551" s="1">
        <v>25</v>
      </c>
      <c r="D1551" s="1" t="s">
        <v>749</v>
      </c>
      <c r="E1551">
        <v>14</v>
      </c>
      <c r="F1551" s="1">
        <v>6</v>
      </c>
      <c r="G1551" s="1">
        <v>0.2</v>
      </c>
      <c r="H1551" s="2">
        <v>35114</v>
      </c>
    </row>
    <row r="1552" spans="1:8" x14ac:dyDescent="0.4">
      <c r="A1552" s="1" t="s">
        <v>363</v>
      </c>
      <c r="B1552" s="1">
        <v>10840</v>
      </c>
      <c r="C1552" s="1">
        <v>39</v>
      </c>
      <c r="D1552" s="1" t="s">
        <v>696</v>
      </c>
      <c r="E1552">
        <v>18</v>
      </c>
      <c r="F1552" s="1">
        <v>10</v>
      </c>
      <c r="G1552" s="1">
        <v>0.2</v>
      </c>
      <c r="H1552" s="2">
        <v>35114</v>
      </c>
    </row>
    <row r="1553" spans="1:8" x14ac:dyDescent="0.4">
      <c r="A1553" s="1" t="s">
        <v>565</v>
      </c>
      <c r="B1553" s="1">
        <v>10841</v>
      </c>
      <c r="C1553" s="1">
        <v>10</v>
      </c>
      <c r="D1553" s="1" t="s">
        <v>724</v>
      </c>
      <c r="E1553">
        <v>31</v>
      </c>
      <c r="F1553" s="1">
        <v>16</v>
      </c>
      <c r="G1553" s="1">
        <v>0</v>
      </c>
      <c r="H1553" s="2">
        <v>35115</v>
      </c>
    </row>
    <row r="1554" spans="1:8" x14ac:dyDescent="0.4">
      <c r="A1554" s="1" t="s">
        <v>565</v>
      </c>
      <c r="B1554" s="1">
        <v>10841</v>
      </c>
      <c r="C1554" s="1">
        <v>56</v>
      </c>
      <c r="D1554" s="1" t="s">
        <v>716</v>
      </c>
      <c r="E1554">
        <v>38</v>
      </c>
      <c r="F1554" s="1">
        <v>30</v>
      </c>
      <c r="G1554" s="1">
        <v>0</v>
      </c>
      <c r="H1554" s="2">
        <v>35115</v>
      </c>
    </row>
    <row r="1555" spans="1:8" x14ac:dyDescent="0.4">
      <c r="A1555" s="1" t="s">
        <v>565</v>
      </c>
      <c r="B1555" s="1">
        <v>10841</v>
      </c>
      <c r="C1555" s="1">
        <v>59</v>
      </c>
      <c r="D1555" s="1" t="s">
        <v>704</v>
      </c>
      <c r="E1555">
        <v>55</v>
      </c>
      <c r="F1555" s="1">
        <v>50</v>
      </c>
      <c r="G1555" s="1">
        <v>0</v>
      </c>
      <c r="H1555" s="2">
        <v>35115</v>
      </c>
    </row>
    <row r="1556" spans="1:8" x14ac:dyDescent="0.4">
      <c r="A1556" s="1" t="s">
        <v>565</v>
      </c>
      <c r="B1556" s="1">
        <v>10841</v>
      </c>
      <c r="C1556" s="1">
        <v>77</v>
      </c>
      <c r="D1556" s="1" t="s">
        <v>706</v>
      </c>
      <c r="E1556">
        <v>13</v>
      </c>
      <c r="F1556" s="1">
        <v>15</v>
      </c>
      <c r="G1556" s="1">
        <v>0</v>
      </c>
      <c r="H1556" s="2">
        <v>35115</v>
      </c>
    </row>
    <row r="1557" spans="1:8" x14ac:dyDescent="0.4">
      <c r="A1557" s="1" t="s">
        <v>593</v>
      </c>
      <c r="B1557" s="1">
        <v>10842</v>
      </c>
      <c r="C1557" s="1">
        <v>11</v>
      </c>
      <c r="D1557" s="1" t="s">
        <v>683</v>
      </c>
      <c r="E1557">
        <v>21</v>
      </c>
      <c r="F1557" s="1">
        <v>15</v>
      </c>
      <c r="G1557" s="1">
        <v>0</v>
      </c>
      <c r="H1557" s="2">
        <v>35115</v>
      </c>
    </row>
    <row r="1558" spans="1:8" x14ac:dyDescent="0.4">
      <c r="A1558" s="1" t="s">
        <v>593</v>
      </c>
      <c r="B1558" s="1">
        <v>10842</v>
      </c>
      <c r="C1558" s="1">
        <v>43</v>
      </c>
      <c r="D1558" s="1" t="s">
        <v>723</v>
      </c>
      <c r="E1558">
        <v>46</v>
      </c>
      <c r="F1558" s="1">
        <v>5</v>
      </c>
      <c r="G1558" s="1">
        <v>0</v>
      </c>
      <c r="H1558" s="2">
        <v>35115</v>
      </c>
    </row>
    <row r="1559" spans="1:8" x14ac:dyDescent="0.4">
      <c r="A1559" s="1" t="s">
        <v>593</v>
      </c>
      <c r="B1559" s="1">
        <v>10842</v>
      </c>
      <c r="C1559" s="1">
        <v>68</v>
      </c>
      <c r="D1559" s="1" t="s">
        <v>739</v>
      </c>
      <c r="E1559">
        <v>12.5</v>
      </c>
      <c r="F1559" s="1">
        <v>20</v>
      </c>
      <c r="G1559" s="1">
        <v>0</v>
      </c>
      <c r="H1559" s="2">
        <v>35115</v>
      </c>
    </row>
    <row r="1560" spans="1:8" x14ac:dyDescent="0.4">
      <c r="A1560" s="1" t="s">
        <v>593</v>
      </c>
      <c r="B1560" s="1">
        <v>10842</v>
      </c>
      <c r="C1560" s="1">
        <v>70</v>
      </c>
      <c r="D1560" s="1" t="s">
        <v>713</v>
      </c>
      <c r="E1560">
        <v>15</v>
      </c>
      <c r="F1560" s="1">
        <v>12</v>
      </c>
      <c r="G1560" s="1">
        <v>0</v>
      </c>
      <c r="H1560" s="2">
        <v>35115</v>
      </c>
    </row>
    <row r="1561" spans="1:8" x14ac:dyDescent="0.4">
      <c r="A1561" s="1" t="s">
        <v>619</v>
      </c>
      <c r="B1561" s="1">
        <v>10843</v>
      </c>
      <c r="C1561" s="1">
        <v>51</v>
      </c>
      <c r="D1561" s="1" t="s">
        <v>687</v>
      </c>
      <c r="E1561">
        <v>53</v>
      </c>
      <c r="F1561" s="1">
        <v>4</v>
      </c>
      <c r="G1561" s="1">
        <v>0.25</v>
      </c>
      <c r="H1561" s="2">
        <v>35116</v>
      </c>
    </row>
    <row r="1562" spans="1:8" x14ac:dyDescent="0.4">
      <c r="A1562" s="1" t="s">
        <v>450</v>
      </c>
      <c r="B1562" s="1">
        <v>10844</v>
      </c>
      <c r="C1562" s="1">
        <v>22</v>
      </c>
      <c r="D1562" s="1" t="s">
        <v>690</v>
      </c>
      <c r="E1562">
        <v>21</v>
      </c>
      <c r="F1562" s="1">
        <v>35</v>
      </c>
      <c r="G1562" s="1">
        <v>0</v>
      </c>
      <c r="H1562" s="2">
        <v>35116</v>
      </c>
    </row>
    <row r="1563" spans="1:8" x14ac:dyDescent="0.4">
      <c r="A1563" s="1" t="s">
        <v>475</v>
      </c>
      <c r="B1563" s="1">
        <v>10845</v>
      </c>
      <c r="C1563" s="1">
        <v>23</v>
      </c>
      <c r="D1563" s="1" t="s">
        <v>753</v>
      </c>
      <c r="E1563">
        <v>9</v>
      </c>
      <c r="F1563" s="1">
        <v>70</v>
      </c>
      <c r="G1563" s="1">
        <v>0.1</v>
      </c>
      <c r="H1563" s="2">
        <v>35116</v>
      </c>
    </row>
    <row r="1564" spans="1:8" x14ac:dyDescent="0.4">
      <c r="A1564" s="1" t="s">
        <v>475</v>
      </c>
      <c r="B1564" s="1">
        <v>10845</v>
      </c>
      <c r="C1564" s="1">
        <v>35</v>
      </c>
      <c r="D1564" s="1" t="s">
        <v>714</v>
      </c>
      <c r="E1564">
        <v>18</v>
      </c>
      <c r="F1564" s="1">
        <v>25</v>
      </c>
      <c r="G1564" s="1">
        <v>0.1</v>
      </c>
      <c r="H1564" s="2">
        <v>35116</v>
      </c>
    </row>
    <row r="1565" spans="1:8" x14ac:dyDescent="0.4">
      <c r="A1565" s="1" t="s">
        <v>475</v>
      </c>
      <c r="B1565" s="1">
        <v>10845</v>
      </c>
      <c r="C1565" s="1">
        <v>42</v>
      </c>
      <c r="D1565" s="1" t="s">
        <v>684</v>
      </c>
      <c r="E1565">
        <v>14</v>
      </c>
      <c r="F1565" s="1">
        <v>42</v>
      </c>
      <c r="G1565" s="1">
        <v>0.1</v>
      </c>
      <c r="H1565" s="2">
        <v>35116</v>
      </c>
    </row>
    <row r="1566" spans="1:8" x14ac:dyDescent="0.4">
      <c r="A1566" s="1" t="s">
        <v>475</v>
      </c>
      <c r="B1566" s="1">
        <v>10845</v>
      </c>
      <c r="C1566" s="1">
        <v>58</v>
      </c>
      <c r="D1566" s="1" t="s">
        <v>747</v>
      </c>
      <c r="E1566">
        <v>13.25</v>
      </c>
      <c r="F1566" s="1">
        <v>60</v>
      </c>
      <c r="G1566" s="1">
        <v>0.1</v>
      </c>
      <c r="H1566" s="2">
        <v>35116</v>
      </c>
    </row>
    <row r="1567" spans="1:8" x14ac:dyDescent="0.4">
      <c r="A1567" s="1" t="s">
        <v>475</v>
      </c>
      <c r="B1567" s="1">
        <v>10845</v>
      </c>
      <c r="C1567" s="1">
        <v>64</v>
      </c>
      <c r="D1567" s="1" t="s">
        <v>741</v>
      </c>
      <c r="E1567">
        <v>33.25</v>
      </c>
      <c r="F1567" s="1">
        <v>48</v>
      </c>
      <c r="G1567" s="1">
        <v>0</v>
      </c>
      <c r="H1567" s="2">
        <v>35116</v>
      </c>
    </row>
    <row r="1568" spans="1:8" x14ac:dyDescent="0.4">
      <c r="A1568" s="1" t="s">
        <v>565</v>
      </c>
      <c r="B1568" s="1">
        <v>10846</v>
      </c>
      <c r="C1568" s="1">
        <v>4</v>
      </c>
      <c r="D1568" s="1" t="s">
        <v>745</v>
      </c>
      <c r="E1568">
        <v>22</v>
      </c>
      <c r="F1568" s="1">
        <v>21</v>
      </c>
      <c r="G1568" s="1">
        <v>0</v>
      </c>
      <c r="H1568" s="2">
        <v>35117</v>
      </c>
    </row>
    <row r="1569" spans="1:8" x14ac:dyDescent="0.4">
      <c r="A1569" s="1" t="s">
        <v>565</v>
      </c>
      <c r="B1569" s="1">
        <v>10846</v>
      </c>
      <c r="C1569" s="1">
        <v>70</v>
      </c>
      <c r="D1569" s="1" t="s">
        <v>713</v>
      </c>
      <c r="E1569">
        <v>15</v>
      </c>
      <c r="F1569" s="1">
        <v>30</v>
      </c>
      <c r="G1569" s="1">
        <v>0</v>
      </c>
      <c r="H1569" s="2">
        <v>35117</v>
      </c>
    </row>
    <row r="1570" spans="1:8" x14ac:dyDescent="0.4">
      <c r="A1570" s="1" t="s">
        <v>565</v>
      </c>
      <c r="B1570" s="1">
        <v>10846</v>
      </c>
      <c r="C1570" s="1">
        <v>74</v>
      </c>
      <c r="D1570" s="1" t="s">
        <v>700</v>
      </c>
      <c r="E1570">
        <v>10</v>
      </c>
      <c r="F1570" s="1">
        <v>20</v>
      </c>
      <c r="G1570" s="1">
        <v>0</v>
      </c>
      <c r="H1570" s="2">
        <v>35117</v>
      </c>
    </row>
    <row r="1571" spans="1:8" x14ac:dyDescent="0.4">
      <c r="A1571" s="1" t="s">
        <v>529</v>
      </c>
      <c r="B1571" s="1">
        <v>10847</v>
      </c>
      <c r="C1571" s="1">
        <v>1</v>
      </c>
      <c r="D1571" s="1" t="s">
        <v>735</v>
      </c>
      <c r="E1571">
        <v>18</v>
      </c>
      <c r="F1571" s="1">
        <v>80</v>
      </c>
      <c r="G1571" s="1">
        <v>0.2</v>
      </c>
      <c r="H1571" s="2">
        <v>35117</v>
      </c>
    </row>
    <row r="1572" spans="1:8" x14ac:dyDescent="0.4">
      <c r="A1572" s="1" t="s">
        <v>529</v>
      </c>
      <c r="B1572" s="1">
        <v>10847</v>
      </c>
      <c r="C1572" s="1">
        <v>19</v>
      </c>
      <c r="D1572" s="1" t="s">
        <v>732</v>
      </c>
      <c r="E1572">
        <v>9.1999999999999993</v>
      </c>
      <c r="F1572" s="1">
        <v>12</v>
      </c>
      <c r="G1572" s="1">
        <v>0.2</v>
      </c>
      <c r="H1572" s="2">
        <v>35117</v>
      </c>
    </row>
    <row r="1573" spans="1:8" x14ac:dyDescent="0.4">
      <c r="A1573" s="1" t="s">
        <v>529</v>
      </c>
      <c r="B1573" s="1">
        <v>10847</v>
      </c>
      <c r="C1573" s="1">
        <v>37</v>
      </c>
      <c r="D1573" s="1" t="s">
        <v>711</v>
      </c>
      <c r="E1573">
        <v>26</v>
      </c>
      <c r="F1573" s="1">
        <v>60</v>
      </c>
      <c r="G1573" s="1">
        <v>0.2</v>
      </c>
      <c r="H1573" s="2">
        <v>35117</v>
      </c>
    </row>
    <row r="1574" spans="1:8" x14ac:dyDescent="0.4">
      <c r="A1574" s="1" t="s">
        <v>529</v>
      </c>
      <c r="B1574" s="1">
        <v>10847</v>
      </c>
      <c r="C1574" s="1">
        <v>45</v>
      </c>
      <c r="D1574" s="1" t="s">
        <v>756</v>
      </c>
      <c r="E1574">
        <v>9.5</v>
      </c>
      <c r="F1574" s="1">
        <v>36</v>
      </c>
      <c r="G1574" s="1">
        <v>0.2</v>
      </c>
      <c r="H1574" s="2">
        <v>35117</v>
      </c>
    </row>
    <row r="1575" spans="1:8" x14ac:dyDescent="0.4">
      <c r="A1575" s="1" t="s">
        <v>529</v>
      </c>
      <c r="B1575" s="1">
        <v>10847</v>
      </c>
      <c r="C1575" s="1">
        <v>60</v>
      </c>
      <c r="D1575" s="1" t="s">
        <v>694</v>
      </c>
      <c r="E1575">
        <v>34</v>
      </c>
      <c r="F1575" s="1">
        <v>45</v>
      </c>
      <c r="G1575" s="1">
        <v>0.2</v>
      </c>
      <c r="H1575" s="2">
        <v>35117</v>
      </c>
    </row>
    <row r="1576" spans="1:8" x14ac:dyDescent="0.4">
      <c r="A1576" s="1" t="s">
        <v>529</v>
      </c>
      <c r="B1576" s="1">
        <v>10847</v>
      </c>
      <c r="C1576" s="1">
        <v>71</v>
      </c>
      <c r="D1576" s="1" t="s">
        <v>725</v>
      </c>
      <c r="E1576">
        <v>21.5</v>
      </c>
      <c r="F1576" s="1">
        <v>55</v>
      </c>
      <c r="G1576" s="1">
        <v>0.2</v>
      </c>
      <c r="H1576" s="2">
        <v>35117</v>
      </c>
    </row>
    <row r="1577" spans="1:8" x14ac:dyDescent="0.4">
      <c r="A1577" s="1" t="s">
        <v>133</v>
      </c>
      <c r="B1577" s="1">
        <v>10848</v>
      </c>
      <c r="C1577" s="1">
        <v>5</v>
      </c>
      <c r="D1577" s="1" t="s">
        <v>708</v>
      </c>
      <c r="E1577">
        <v>21.35</v>
      </c>
      <c r="F1577" s="1">
        <v>30</v>
      </c>
      <c r="G1577" s="1">
        <v>0</v>
      </c>
      <c r="H1577" s="2">
        <v>35118</v>
      </c>
    </row>
    <row r="1578" spans="1:8" x14ac:dyDescent="0.4">
      <c r="A1578" s="1" t="s">
        <v>133</v>
      </c>
      <c r="B1578" s="1">
        <v>10848</v>
      </c>
      <c r="C1578" s="1">
        <v>9</v>
      </c>
      <c r="D1578" s="1" t="s">
        <v>759</v>
      </c>
      <c r="E1578">
        <v>97</v>
      </c>
      <c r="F1578" s="1">
        <v>3</v>
      </c>
      <c r="G1578" s="1">
        <v>0</v>
      </c>
      <c r="H1578" s="2">
        <v>35118</v>
      </c>
    </row>
    <row r="1579" spans="1:8" x14ac:dyDescent="0.4">
      <c r="A1579" s="1" t="s">
        <v>305</v>
      </c>
      <c r="B1579" s="1">
        <v>10849</v>
      </c>
      <c r="C1579" s="1">
        <v>3</v>
      </c>
      <c r="D1579" s="1" t="s">
        <v>740</v>
      </c>
      <c r="E1579">
        <v>10</v>
      </c>
      <c r="F1579" s="1">
        <v>49</v>
      </c>
      <c r="G1579" s="1">
        <v>0</v>
      </c>
      <c r="H1579" s="2">
        <v>35118</v>
      </c>
    </row>
    <row r="1580" spans="1:8" x14ac:dyDescent="0.4">
      <c r="A1580" s="1" t="s">
        <v>305</v>
      </c>
      <c r="B1580" s="1">
        <v>10849</v>
      </c>
      <c r="C1580" s="1">
        <v>26</v>
      </c>
      <c r="D1580" s="1" t="s">
        <v>751</v>
      </c>
      <c r="E1580">
        <v>31.23</v>
      </c>
      <c r="F1580" s="1">
        <v>18</v>
      </c>
      <c r="G1580" s="1">
        <v>0.15</v>
      </c>
      <c r="H1580" s="2">
        <v>35118</v>
      </c>
    </row>
    <row r="1581" spans="1:8" x14ac:dyDescent="0.4">
      <c r="A1581" s="1" t="s">
        <v>619</v>
      </c>
      <c r="B1581" s="1">
        <v>10850</v>
      </c>
      <c r="C1581" s="1">
        <v>25</v>
      </c>
      <c r="D1581" s="1" t="s">
        <v>749</v>
      </c>
      <c r="E1581">
        <v>14</v>
      </c>
      <c r="F1581" s="1">
        <v>20</v>
      </c>
      <c r="G1581" s="1">
        <v>0.15</v>
      </c>
      <c r="H1581" s="2">
        <v>35118</v>
      </c>
    </row>
    <row r="1582" spans="1:8" x14ac:dyDescent="0.4">
      <c r="A1582" s="1" t="s">
        <v>619</v>
      </c>
      <c r="B1582" s="1">
        <v>10850</v>
      </c>
      <c r="C1582" s="1">
        <v>33</v>
      </c>
      <c r="D1582" s="1" t="s">
        <v>693</v>
      </c>
      <c r="E1582">
        <v>2.5</v>
      </c>
      <c r="F1582" s="1">
        <v>4</v>
      </c>
      <c r="G1582" s="1">
        <v>0.15</v>
      </c>
      <c r="H1582" s="2">
        <v>35118</v>
      </c>
    </row>
    <row r="1583" spans="1:8" x14ac:dyDescent="0.4">
      <c r="A1583" s="1" t="s">
        <v>619</v>
      </c>
      <c r="B1583" s="1">
        <v>10850</v>
      </c>
      <c r="C1583" s="1">
        <v>70</v>
      </c>
      <c r="D1583" s="1" t="s">
        <v>713</v>
      </c>
      <c r="E1583">
        <v>15</v>
      </c>
      <c r="F1583" s="1">
        <v>30</v>
      </c>
      <c r="G1583" s="1">
        <v>0.15</v>
      </c>
      <c r="H1583" s="2">
        <v>35118</v>
      </c>
    </row>
    <row r="1584" spans="1:8" x14ac:dyDescent="0.4">
      <c r="A1584" s="1" t="s">
        <v>503</v>
      </c>
      <c r="B1584" s="1">
        <v>10851</v>
      </c>
      <c r="C1584" s="1">
        <v>2</v>
      </c>
      <c r="D1584" s="1" t="s">
        <v>701</v>
      </c>
      <c r="E1584">
        <v>19</v>
      </c>
      <c r="F1584" s="1">
        <v>5</v>
      </c>
      <c r="G1584" s="1">
        <v>0.05</v>
      </c>
      <c r="H1584" s="2">
        <v>35121</v>
      </c>
    </row>
    <row r="1585" spans="1:8" x14ac:dyDescent="0.4">
      <c r="A1585" s="1" t="s">
        <v>503</v>
      </c>
      <c r="B1585" s="1">
        <v>10851</v>
      </c>
      <c r="C1585" s="1">
        <v>25</v>
      </c>
      <c r="D1585" s="1" t="s">
        <v>749</v>
      </c>
      <c r="E1585">
        <v>14</v>
      </c>
      <c r="F1585" s="1">
        <v>10</v>
      </c>
      <c r="G1585" s="1">
        <v>0.05</v>
      </c>
      <c r="H1585" s="2">
        <v>35121</v>
      </c>
    </row>
    <row r="1586" spans="1:8" x14ac:dyDescent="0.4">
      <c r="A1586" s="1" t="s">
        <v>503</v>
      </c>
      <c r="B1586" s="1">
        <v>10851</v>
      </c>
      <c r="C1586" s="1">
        <v>57</v>
      </c>
      <c r="D1586" s="1" t="s">
        <v>691</v>
      </c>
      <c r="E1586">
        <v>19.5</v>
      </c>
      <c r="F1586" s="1">
        <v>10</v>
      </c>
      <c r="G1586" s="1">
        <v>0.05</v>
      </c>
      <c r="H1586" s="2">
        <v>35121</v>
      </c>
    </row>
    <row r="1587" spans="1:8" x14ac:dyDescent="0.4">
      <c r="A1587" s="1" t="s">
        <v>503</v>
      </c>
      <c r="B1587" s="1">
        <v>10851</v>
      </c>
      <c r="C1587" s="1">
        <v>59</v>
      </c>
      <c r="D1587" s="1" t="s">
        <v>704</v>
      </c>
      <c r="E1587">
        <v>55</v>
      </c>
      <c r="F1587" s="1">
        <v>42</v>
      </c>
      <c r="G1587" s="1">
        <v>0.05</v>
      </c>
      <c r="H1587" s="2">
        <v>35121</v>
      </c>
    </row>
    <row r="1588" spans="1:8" x14ac:dyDescent="0.4">
      <c r="A1588" s="1" t="s">
        <v>487</v>
      </c>
      <c r="B1588" s="1">
        <v>10852</v>
      </c>
      <c r="C1588" s="1">
        <v>2</v>
      </c>
      <c r="D1588" s="1" t="s">
        <v>701</v>
      </c>
      <c r="E1588">
        <v>19</v>
      </c>
      <c r="F1588" s="1">
        <v>15</v>
      </c>
      <c r="G1588" s="1">
        <v>0</v>
      </c>
      <c r="H1588" s="2">
        <v>35121</v>
      </c>
    </row>
    <row r="1589" spans="1:8" x14ac:dyDescent="0.4">
      <c r="A1589" s="1" t="s">
        <v>487</v>
      </c>
      <c r="B1589" s="1">
        <v>10852</v>
      </c>
      <c r="C1589" s="1">
        <v>17</v>
      </c>
      <c r="D1589" s="1" t="s">
        <v>718</v>
      </c>
      <c r="E1589">
        <v>39</v>
      </c>
      <c r="F1589" s="1">
        <v>6</v>
      </c>
      <c r="G1589" s="1">
        <v>0</v>
      </c>
      <c r="H1589" s="2">
        <v>35121</v>
      </c>
    </row>
    <row r="1590" spans="1:8" x14ac:dyDescent="0.4">
      <c r="A1590" s="1" t="s">
        <v>487</v>
      </c>
      <c r="B1590" s="1">
        <v>10852</v>
      </c>
      <c r="C1590" s="1">
        <v>62</v>
      </c>
      <c r="D1590" s="1" t="s">
        <v>712</v>
      </c>
      <c r="E1590">
        <v>49.3</v>
      </c>
      <c r="F1590" s="1">
        <v>50</v>
      </c>
      <c r="G1590" s="1">
        <v>0</v>
      </c>
      <c r="H1590" s="2">
        <v>35121</v>
      </c>
    </row>
    <row r="1591" spans="1:8" x14ac:dyDescent="0.4">
      <c r="A1591" s="1" t="s">
        <v>53</v>
      </c>
      <c r="B1591" s="1">
        <v>10853</v>
      </c>
      <c r="C1591" s="1">
        <v>18</v>
      </c>
      <c r="D1591" s="1" t="s">
        <v>742</v>
      </c>
      <c r="E1591">
        <v>62.5</v>
      </c>
      <c r="F1591" s="1">
        <v>10</v>
      </c>
      <c r="G1591" s="1">
        <v>0</v>
      </c>
      <c r="H1591" s="2">
        <v>35122</v>
      </c>
    </row>
    <row r="1592" spans="1:8" x14ac:dyDescent="0.4">
      <c r="A1592" s="1" t="s">
        <v>161</v>
      </c>
      <c r="B1592" s="1">
        <v>10854</v>
      </c>
      <c r="C1592" s="1">
        <v>10</v>
      </c>
      <c r="D1592" s="1" t="s">
        <v>724</v>
      </c>
      <c r="E1592">
        <v>31</v>
      </c>
      <c r="F1592" s="1">
        <v>100</v>
      </c>
      <c r="G1592" s="1">
        <v>0.15</v>
      </c>
      <c r="H1592" s="2">
        <v>35122</v>
      </c>
    </row>
    <row r="1593" spans="1:8" x14ac:dyDescent="0.4">
      <c r="A1593" s="1" t="s">
        <v>161</v>
      </c>
      <c r="B1593" s="1">
        <v>10854</v>
      </c>
      <c r="C1593" s="1">
        <v>13</v>
      </c>
      <c r="D1593" s="1" t="s">
        <v>726</v>
      </c>
      <c r="E1593">
        <v>6</v>
      </c>
      <c r="F1593" s="1">
        <v>65</v>
      </c>
      <c r="G1593" s="1">
        <v>0.15</v>
      </c>
      <c r="H1593" s="2">
        <v>35122</v>
      </c>
    </row>
    <row r="1594" spans="1:8" x14ac:dyDescent="0.4">
      <c r="A1594" s="1" t="s">
        <v>422</v>
      </c>
      <c r="B1594" s="1">
        <v>10855</v>
      </c>
      <c r="C1594" s="1">
        <v>16</v>
      </c>
      <c r="D1594" s="1" t="s">
        <v>702</v>
      </c>
      <c r="E1594">
        <v>17.45</v>
      </c>
      <c r="F1594" s="1">
        <v>50</v>
      </c>
      <c r="G1594" s="1">
        <v>0</v>
      </c>
      <c r="H1594" s="2">
        <v>35122</v>
      </c>
    </row>
    <row r="1595" spans="1:8" x14ac:dyDescent="0.4">
      <c r="A1595" s="1" t="s">
        <v>422</v>
      </c>
      <c r="B1595" s="1">
        <v>10855</v>
      </c>
      <c r="C1595" s="1">
        <v>31</v>
      </c>
      <c r="D1595" s="1" t="s">
        <v>695</v>
      </c>
      <c r="E1595">
        <v>12.5</v>
      </c>
      <c r="F1595" s="1">
        <v>14</v>
      </c>
      <c r="G1595" s="1">
        <v>0</v>
      </c>
      <c r="H1595" s="2">
        <v>35122</v>
      </c>
    </row>
    <row r="1596" spans="1:8" x14ac:dyDescent="0.4">
      <c r="A1596" s="1" t="s">
        <v>422</v>
      </c>
      <c r="B1596" s="1">
        <v>10855</v>
      </c>
      <c r="C1596" s="1">
        <v>56</v>
      </c>
      <c r="D1596" s="1" t="s">
        <v>716</v>
      </c>
      <c r="E1596">
        <v>38</v>
      </c>
      <c r="F1596" s="1">
        <v>24</v>
      </c>
      <c r="G1596" s="1">
        <v>0</v>
      </c>
      <c r="H1596" s="2">
        <v>35122</v>
      </c>
    </row>
    <row r="1597" spans="1:8" x14ac:dyDescent="0.4">
      <c r="A1597" s="1" t="s">
        <v>422</v>
      </c>
      <c r="B1597" s="1">
        <v>10855</v>
      </c>
      <c r="C1597" s="1">
        <v>65</v>
      </c>
      <c r="D1597" s="1" t="s">
        <v>689</v>
      </c>
      <c r="E1597">
        <v>21.05</v>
      </c>
      <c r="F1597" s="1">
        <v>15</v>
      </c>
      <c r="G1597" s="1">
        <v>0.15</v>
      </c>
      <c r="H1597" s="2">
        <v>35122</v>
      </c>
    </row>
    <row r="1598" spans="1:8" x14ac:dyDescent="0.4">
      <c r="A1598" s="1" t="s">
        <v>29</v>
      </c>
      <c r="B1598" s="1">
        <v>10856</v>
      </c>
      <c r="C1598" s="1">
        <v>2</v>
      </c>
      <c r="D1598" s="1" t="s">
        <v>701</v>
      </c>
      <c r="E1598">
        <v>19</v>
      </c>
      <c r="F1598" s="1">
        <v>20</v>
      </c>
      <c r="G1598" s="1">
        <v>0</v>
      </c>
      <c r="H1598" s="2">
        <v>35123</v>
      </c>
    </row>
    <row r="1599" spans="1:8" x14ac:dyDescent="0.4">
      <c r="A1599" s="1" t="s">
        <v>29</v>
      </c>
      <c r="B1599" s="1">
        <v>10856</v>
      </c>
      <c r="C1599" s="1">
        <v>42</v>
      </c>
      <c r="D1599" s="1" t="s">
        <v>684</v>
      </c>
      <c r="E1599">
        <v>14</v>
      </c>
      <c r="F1599" s="1">
        <v>20</v>
      </c>
      <c r="G1599" s="1">
        <v>0</v>
      </c>
      <c r="H1599" s="2">
        <v>35123</v>
      </c>
    </row>
    <row r="1600" spans="1:8" x14ac:dyDescent="0.4">
      <c r="A1600" s="1" t="s">
        <v>43</v>
      </c>
      <c r="B1600" s="1">
        <v>10857</v>
      </c>
      <c r="C1600" s="1">
        <v>3</v>
      </c>
      <c r="D1600" s="1" t="s">
        <v>740</v>
      </c>
      <c r="E1600">
        <v>10</v>
      </c>
      <c r="F1600" s="1">
        <v>30</v>
      </c>
      <c r="G1600" s="1">
        <v>0</v>
      </c>
      <c r="H1600" s="2">
        <v>35123</v>
      </c>
    </row>
    <row r="1601" spans="1:8" x14ac:dyDescent="0.4">
      <c r="A1601" s="1" t="s">
        <v>43</v>
      </c>
      <c r="B1601" s="1">
        <v>10857</v>
      </c>
      <c r="C1601" s="1">
        <v>26</v>
      </c>
      <c r="D1601" s="1" t="s">
        <v>751</v>
      </c>
      <c r="E1601">
        <v>31.23</v>
      </c>
      <c r="F1601" s="1">
        <v>35</v>
      </c>
      <c r="G1601" s="1">
        <v>0.25</v>
      </c>
      <c r="H1601" s="2">
        <v>35123</v>
      </c>
    </row>
    <row r="1602" spans="1:8" x14ac:dyDescent="0.4">
      <c r="A1602" s="1" t="s">
        <v>43</v>
      </c>
      <c r="B1602" s="1">
        <v>10857</v>
      </c>
      <c r="C1602" s="1">
        <v>29</v>
      </c>
      <c r="D1602" s="1" t="s">
        <v>722</v>
      </c>
      <c r="E1602">
        <v>123.79</v>
      </c>
      <c r="F1602" s="1">
        <v>10</v>
      </c>
      <c r="G1602" s="1">
        <v>0.25</v>
      </c>
      <c r="H1602" s="2">
        <v>35123</v>
      </c>
    </row>
    <row r="1603" spans="1:8" x14ac:dyDescent="0.4">
      <c r="A1603" s="1" t="s">
        <v>311</v>
      </c>
      <c r="B1603" s="1">
        <v>10858</v>
      </c>
      <c r="C1603" s="1">
        <v>7</v>
      </c>
      <c r="D1603" s="1" t="s">
        <v>715</v>
      </c>
      <c r="E1603">
        <v>30</v>
      </c>
      <c r="F1603" s="1">
        <v>5</v>
      </c>
      <c r="G1603" s="1">
        <v>0</v>
      </c>
      <c r="H1603" s="2">
        <v>35124</v>
      </c>
    </row>
    <row r="1604" spans="1:8" x14ac:dyDescent="0.4">
      <c r="A1604" s="1" t="s">
        <v>311</v>
      </c>
      <c r="B1604" s="1">
        <v>10858</v>
      </c>
      <c r="C1604" s="1">
        <v>27</v>
      </c>
      <c r="D1604" s="1" t="s">
        <v>707</v>
      </c>
      <c r="E1604">
        <v>43.9</v>
      </c>
      <c r="F1604" s="1">
        <v>10</v>
      </c>
      <c r="G1604" s="1">
        <v>0</v>
      </c>
      <c r="H1604" s="2">
        <v>35124</v>
      </c>
    </row>
    <row r="1605" spans="1:8" x14ac:dyDescent="0.4">
      <c r="A1605" s="1" t="s">
        <v>311</v>
      </c>
      <c r="B1605" s="1">
        <v>10858</v>
      </c>
      <c r="C1605" s="1">
        <v>70</v>
      </c>
      <c r="D1605" s="1" t="s">
        <v>713</v>
      </c>
      <c r="E1605">
        <v>15</v>
      </c>
      <c r="F1605" s="1">
        <v>4</v>
      </c>
      <c r="G1605" s="1">
        <v>0</v>
      </c>
      <c r="H1605" s="2">
        <v>35124</v>
      </c>
    </row>
    <row r="1606" spans="1:8" x14ac:dyDescent="0.4">
      <c r="A1606" s="1" t="s">
        <v>198</v>
      </c>
      <c r="B1606" s="1">
        <v>10859</v>
      </c>
      <c r="C1606" s="1">
        <v>24</v>
      </c>
      <c r="D1606" s="1" t="s">
        <v>698</v>
      </c>
      <c r="E1606">
        <v>4.5</v>
      </c>
      <c r="F1606" s="1">
        <v>40</v>
      </c>
      <c r="G1606" s="1">
        <v>0.25</v>
      </c>
      <c r="H1606" s="2">
        <v>35124</v>
      </c>
    </row>
    <row r="1607" spans="1:8" x14ac:dyDescent="0.4">
      <c r="A1607" s="1" t="s">
        <v>198</v>
      </c>
      <c r="B1607" s="1">
        <v>10859</v>
      </c>
      <c r="C1607" s="1">
        <v>54</v>
      </c>
      <c r="D1607" s="1" t="s">
        <v>738</v>
      </c>
      <c r="E1607">
        <v>7.45</v>
      </c>
      <c r="F1607" s="1">
        <v>35</v>
      </c>
      <c r="G1607" s="1">
        <v>0.25</v>
      </c>
      <c r="H1607" s="2">
        <v>35124</v>
      </c>
    </row>
    <row r="1608" spans="1:8" x14ac:dyDescent="0.4">
      <c r="A1608" s="1" t="s">
        <v>198</v>
      </c>
      <c r="B1608" s="1">
        <v>10859</v>
      </c>
      <c r="C1608" s="1">
        <v>64</v>
      </c>
      <c r="D1608" s="1" t="s">
        <v>741</v>
      </c>
      <c r="E1608">
        <v>33.25</v>
      </c>
      <c r="F1608" s="1">
        <v>30</v>
      </c>
      <c r="G1608" s="1">
        <v>0.25</v>
      </c>
      <c r="H1608" s="2">
        <v>35124</v>
      </c>
    </row>
    <row r="1609" spans="1:8" x14ac:dyDescent="0.4">
      <c r="A1609" s="1" t="s">
        <v>205</v>
      </c>
      <c r="B1609" s="1">
        <v>10860</v>
      </c>
      <c r="C1609" s="1">
        <v>51</v>
      </c>
      <c r="D1609" s="1" t="s">
        <v>687</v>
      </c>
      <c r="E1609">
        <v>53</v>
      </c>
      <c r="F1609" s="1">
        <v>3</v>
      </c>
      <c r="G1609" s="1">
        <v>0</v>
      </c>
      <c r="H1609" s="2">
        <v>35124</v>
      </c>
    </row>
    <row r="1610" spans="1:8" x14ac:dyDescent="0.4">
      <c r="A1610" s="1" t="s">
        <v>205</v>
      </c>
      <c r="B1610" s="1">
        <v>10860</v>
      </c>
      <c r="C1610" s="1">
        <v>76</v>
      </c>
      <c r="D1610" s="1" t="s">
        <v>721</v>
      </c>
      <c r="E1610">
        <v>18</v>
      </c>
      <c r="F1610" s="1">
        <v>20</v>
      </c>
      <c r="G1610" s="1">
        <v>0</v>
      </c>
      <c r="H1610" s="2">
        <v>35124</v>
      </c>
    </row>
    <row r="1611" spans="1:8" x14ac:dyDescent="0.4">
      <c r="A1611" s="1" t="s">
        <v>654</v>
      </c>
      <c r="B1611" s="1">
        <v>10861</v>
      </c>
      <c r="C1611" s="1">
        <v>17</v>
      </c>
      <c r="D1611" s="1" t="s">
        <v>718</v>
      </c>
      <c r="E1611">
        <v>39</v>
      </c>
      <c r="F1611" s="1">
        <v>42</v>
      </c>
      <c r="G1611" s="1">
        <v>0</v>
      </c>
      <c r="H1611" s="2">
        <v>35125</v>
      </c>
    </row>
    <row r="1612" spans="1:8" x14ac:dyDescent="0.4">
      <c r="A1612" s="1" t="s">
        <v>654</v>
      </c>
      <c r="B1612" s="1">
        <v>10861</v>
      </c>
      <c r="C1612" s="1">
        <v>18</v>
      </c>
      <c r="D1612" s="1" t="s">
        <v>742</v>
      </c>
      <c r="E1612">
        <v>62.5</v>
      </c>
      <c r="F1612" s="1">
        <v>20</v>
      </c>
      <c r="G1612" s="1">
        <v>0</v>
      </c>
      <c r="H1612" s="2">
        <v>35125</v>
      </c>
    </row>
    <row r="1613" spans="1:8" x14ac:dyDescent="0.4">
      <c r="A1613" s="1" t="s">
        <v>654</v>
      </c>
      <c r="B1613" s="1">
        <v>10861</v>
      </c>
      <c r="C1613" s="1">
        <v>21</v>
      </c>
      <c r="D1613" s="1" t="s">
        <v>710</v>
      </c>
      <c r="E1613">
        <v>10</v>
      </c>
      <c r="F1613" s="1">
        <v>40</v>
      </c>
      <c r="G1613" s="1">
        <v>0</v>
      </c>
      <c r="H1613" s="2">
        <v>35125</v>
      </c>
    </row>
    <row r="1614" spans="1:8" x14ac:dyDescent="0.4">
      <c r="A1614" s="1" t="s">
        <v>654</v>
      </c>
      <c r="B1614" s="1">
        <v>10861</v>
      </c>
      <c r="C1614" s="1">
        <v>33</v>
      </c>
      <c r="D1614" s="1" t="s">
        <v>693</v>
      </c>
      <c r="E1614">
        <v>2.5</v>
      </c>
      <c r="F1614" s="1">
        <v>35</v>
      </c>
      <c r="G1614" s="1">
        <v>0</v>
      </c>
      <c r="H1614" s="2">
        <v>35125</v>
      </c>
    </row>
    <row r="1615" spans="1:8" x14ac:dyDescent="0.4">
      <c r="A1615" s="1" t="s">
        <v>654</v>
      </c>
      <c r="B1615" s="1">
        <v>10861</v>
      </c>
      <c r="C1615" s="1">
        <v>62</v>
      </c>
      <c r="D1615" s="1" t="s">
        <v>712</v>
      </c>
      <c r="E1615">
        <v>49.3</v>
      </c>
      <c r="F1615" s="1">
        <v>3</v>
      </c>
      <c r="G1615" s="1">
        <v>0</v>
      </c>
      <c r="H1615" s="2">
        <v>35125</v>
      </c>
    </row>
    <row r="1616" spans="1:8" x14ac:dyDescent="0.4">
      <c r="A1616" s="1" t="s">
        <v>341</v>
      </c>
      <c r="B1616" s="1">
        <v>10862</v>
      </c>
      <c r="C1616" s="1">
        <v>11</v>
      </c>
      <c r="D1616" s="1" t="s">
        <v>683</v>
      </c>
      <c r="E1616">
        <v>21</v>
      </c>
      <c r="F1616" s="1">
        <v>25</v>
      </c>
      <c r="G1616" s="1">
        <v>0</v>
      </c>
      <c r="H1616" s="2">
        <v>35125</v>
      </c>
    </row>
    <row r="1617" spans="1:8" x14ac:dyDescent="0.4">
      <c r="A1617" s="1" t="s">
        <v>341</v>
      </c>
      <c r="B1617" s="1">
        <v>10862</v>
      </c>
      <c r="C1617" s="1">
        <v>52</v>
      </c>
      <c r="D1617" s="1" t="s">
        <v>748</v>
      </c>
      <c r="E1617">
        <v>7</v>
      </c>
      <c r="F1617" s="1">
        <v>8</v>
      </c>
      <c r="G1617" s="1">
        <v>0</v>
      </c>
      <c r="H1617" s="2">
        <v>35125</v>
      </c>
    </row>
    <row r="1618" spans="1:8" x14ac:dyDescent="0.4">
      <c r="A1618" s="1" t="s">
        <v>273</v>
      </c>
      <c r="B1618" s="1">
        <v>10863</v>
      </c>
      <c r="C1618" s="1">
        <v>1</v>
      </c>
      <c r="D1618" s="1" t="s">
        <v>735</v>
      </c>
      <c r="E1618">
        <v>18</v>
      </c>
      <c r="F1618" s="1">
        <v>20</v>
      </c>
      <c r="G1618" s="1">
        <v>0.15</v>
      </c>
      <c r="H1618" s="2">
        <v>35128</v>
      </c>
    </row>
    <row r="1619" spans="1:8" x14ac:dyDescent="0.4">
      <c r="A1619" s="1" t="s">
        <v>273</v>
      </c>
      <c r="B1619" s="1">
        <v>10863</v>
      </c>
      <c r="C1619" s="1">
        <v>58</v>
      </c>
      <c r="D1619" s="1" t="s">
        <v>747</v>
      </c>
      <c r="E1619">
        <v>13.25</v>
      </c>
      <c r="F1619" s="1">
        <v>12</v>
      </c>
      <c r="G1619" s="1">
        <v>0.15</v>
      </c>
      <c r="H1619" s="2">
        <v>35128</v>
      </c>
    </row>
    <row r="1620" spans="1:8" x14ac:dyDescent="0.4">
      <c r="A1620" s="1" t="s">
        <v>34</v>
      </c>
      <c r="B1620" s="1">
        <v>10864</v>
      </c>
      <c r="C1620" s="1">
        <v>35</v>
      </c>
      <c r="D1620" s="1" t="s">
        <v>714</v>
      </c>
      <c r="E1620">
        <v>18</v>
      </c>
      <c r="F1620" s="1">
        <v>4</v>
      </c>
      <c r="G1620" s="1">
        <v>0</v>
      </c>
      <c r="H1620" s="2">
        <v>35128</v>
      </c>
    </row>
    <row r="1621" spans="1:8" x14ac:dyDescent="0.4">
      <c r="A1621" s="1" t="s">
        <v>34</v>
      </c>
      <c r="B1621" s="1">
        <v>10864</v>
      </c>
      <c r="C1621" s="1">
        <v>67</v>
      </c>
      <c r="D1621" s="1" t="s">
        <v>734</v>
      </c>
      <c r="E1621">
        <v>14</v>
      </c>
      <c r="F1621" s="1">
        <v>15</v>
      </c>
      <c r="G1621" s="1">
        <v>0</v>
      </c>
      <c r="H1621" s="2">
        <v>35128</v>
      </c>
    </row>
    <row r="1622" spans="1:8" x14ac:dyDescent="0.4">
      <c r="A1622" s="1" t="s">
        <v>475</v>
      </c>
      <c r="B1622" s="1">
        <v>10865</v>
      </c>
      <c r="C1622" s="1">
        <v>38</v>
      </c>
      <c r="D1622" s="1" t="s">
        <v>750</v>
      </c>
      <c r="E1622">
        <v>263.5</v>
      </c>
      <c r="F1622" s="1">
        <v>60</v>
      </c>
      <c r="G1622" s="1">
        <v>0.05</v>
      </c>
      <c r="H1622" s="2">
        <v>35128</v>
      </c>
    </row>
    <row r="1623" spans="1:8" x14ac:dyDescent="0.4">
      <c r="A1623" s="1" t="s">
        <v>475</v>
      </c>
      <c r="B1623" s="1">
        <v>10865</v>
      </c>
      <c r="C1623" s="1">
        <v>39</v>
      </c>
      <c r="D1623" s="1" t="s">
        <v>696</v>
      </c>
      <c r="E1623">
        <v>18</v>
      </c>
      <c r="F1623" s="1">
        <v>80</v>
      </c>
      <c r="G1623" s="1">
        <v>0.05</v>
      </c>
      <c r="H1623" s="2">
        <v>35128</v>
      </c>
    </row>
    <row r="1624" spans="1:8" x14ac:dyDescent="0.4">
      <c r="A1624" s="1" t="s">
        <v>43</v>
      </c>
      <c r="B1624" s="1">
        <v>10866</v>
      </c>
      <c r="C1624" s="1">
        <v>2</v>
      </c>
      <c r="D1624" s="1" t="s">
        <v>701</v>
      </c>
      <c r="E1624">
        <v>19</v>
      </c>
      <c r="F1624" s="1">
        <v>21</v>
      </c>
      <c r="G1624" s="1">
        <v>0.25</v>
      </c>
      <c r="H1624" s="2">
        <v>35129</v>
      </c>
    </row>
    <row r="1625" spans="1:8" x14ac:dyDescent="0.4">
      <c r="A1625" s="1" t="s">
        <v>43</v>
      </c>
      <c r="B1625" s="1">
        <v>10866</v>
      </c>
      <c r="C1625" s="1">
        <v>24</v>
      </c>
      <c r="D1625" s="1" t="s">
        <v>698</v>
      </c>
      <c r="E1625">
        <v>4.5</v>
      </c>
      <c r="F1625" s="1">
        <v>6</v>
      </c>
      <c r="G1625" s="1">
        <v>0.25</v>
      </c>
      <c r="H1625" s="2">
        <v>35129</v>
      </c>
    </row>
    <row r="1626" spans="1:8" x14ac:dyDescent="0.4">
      <c r="A1626" s="1" t="s">
        <v>43</v>
      </c>
      <c r="B1626" s="1">
        <v>10866</v>
      </c>
      <c r="C1626" s="1">
        <v>30</v>
      </c>
      <c r="D1626" s="1" t="s">
        <v>717</v>
      </c>
      <c r="E1626">
        <v>25.89</v>
      </c>
      <c r="F1626" s="1">
        <v>40</v>
      </c>
      <c r="G1626" s="1">
        <v>0.25</v>
      </c>
      <c r="H1626" s="2">
        <v>35129</v>
      </c>
    </row>
    <row r="1627" spans="1:8" x14ac:dyDescent="0.4">
      <c r="A1627" s="1" t="s">
        <v>371</v>
      </c>
      <c r="B1627" s="1">
        <v>10867</v>
      </c>
      <c r="C1627" s="1">
        <v>53</v>
      </c>
      <c r="D1627" s="1" t="s">
        <v>705</v>
      </c>
      <c r="E1627">
        <v>32.799999999999997</v>
      </c>
      <c r="F1627" s="1">
        <v>3</v>
      </c>
      <c r="G1627" s="1">
        <v>0</v>
      </c>
      <c r="H1627" s="2">
        <v>35129</v>
      </c>
    </row>
    <row r="1628" spans="1:8" x14ac:dyDescent="0.4">
      <c r="A1628" s="1" t="s">
        <v>469</v>
      </c>
      <c r="B1628" s="1">
        <v>10868</v>
      </c>
      <c r="C1628" s="1">
        <v>26</v>
      </c>
      <c r="D1628" s="1" t="s">
        <v>751</v>
      </c>
      <c r="E1628">
        <v>31.23</v>
      </c>
      <c r="F1628" s="1">
        <v>20</v>
      </c>
      <c r="G1628" s="1">
        <v>0</v>
      </c>
      <c r="H1628" s="2">
        <v>35130</v>
      </c>
    </row>
    <row r="1629" spans="1:8" x14ac:dyDescent="0.4">
      <c r="A1629" s="1" t="s">
        <v>469</v>
      </c>
      <c r="B1629" s="1">
        <v>10868</v>
      </c>
      <c r="C1629" s="1">
        <v>35</v>
      </c>
      <c r="D1629" s="1" t="s">
        <v>714</v>
      </c>
      <c r="E1629">
        <v>18</v>
      </c>
      <c r="F1629" s="1">
        <v>30</v>
      </c>
      <c r="G1629" s="1">
        <v>0</v>
      </c>
      <c r="H1629" s="2">
        <v>35130</v>
      </c>
    </row>
    <row r="1630" spans="1:8" x14ac:dyDescent="0.4">
      <c r="A1630" s="1" t="s">
        <v>469</v>
      </c>
      <c r="B1630" s="1">
        <v>10868</v>
      </c>
      <c r="C1630" s="1">
        <v>49</v>
      </c>
      <c r="D1630" s="1" t="s">
        <v>697</v>
      </c>
      <c r="E1630">
        <v>20</v>
      </c>
      <c r="F1630" s="1">
        <v>42</v>
      </c>
      <c r="G1630" s="1">
        <v>0.1</v>
      </c>
      <c r="H1630" s="2">
        <v>35130</v>
      </c>
    </row>
    <row r="1631" spans="1:8" x14ac:dyDescent="0.4">
      <c r="A1631" s="1" t="s">
        <v>536</v>
      </c>
      <c r="B1631" s="1">
        <v>10869</v>
      </c>
      <c r="C1631" s="1">
        <v>1</v>
      </c>
      <c r="D1631" s="1" t="s">
        <v>735</v>
      </c>
      <c r="E1631">
        <v>18</v>
      </c>
      <c r="F1631" s="1">
        <v>40</v>
      </c>
      <c r="G1631" s="1">
        <v>0</v>
      </c>
      <c r="H1631" s="2">
        <v>35130</v>
      </c>
    </row>
    <row r="1632" spans="1:8" x14ac:dyDescent="0.4">
      <c r="A1632" s="1" t="s">
        <v>536</v>
      </c>
      <c r="B1632" s="1">
        <v>10869</v>
      </c>
      <c r="C1632" s="1">
        <v>11</v>
      </c>
      <c r="D1632" s="1" t="s">
        <v>683</v>
      </c>
      <c r="E1632">
        <v>21</v>
      </c>
      <c r="F1632" s="1">
        <v>10</v>
      </c>
      <c r="G1632" s="1">
        <v>0</v>
      </c>
      <c r="H1632" s="2">
        <v>35130</v>
      </c>
    </row>
    <row r="1633" spans="1:8" x14ac:dyDescent="0.4">
      <c r="A1633" s="1" t="s">
        <v>536</v>
      </c>
      <c r="B1633" s="1">
        <v>10869</v>
      </c>
      <c r="C1633" s="1">
        <v>23</v>
      </c>
      <c r="D1633" s="1" t="s">
        <v>753</v>
      </c>
      <c r="E1633">
        <v>9</v>
      </c>
      <c r="F1633" s="1">
        <v>50</v>
      </c>
      <c r="G1633" s="1">
        <v>0</v>
      </c>
      <c r="H1633" s="2">
        <v>35130</v>
      </c>
    </row>
    <row r="1634" spans="1:8" x14ac:dyDescent="0.4">
      <c r="A1634" s="1" t="s">
        <v>536</v>
      </c>
      <c r="B1634" s="1">
        <v>10869</v>
      </c>
      <c r="C1634" s="1">
        <v>68</v>
      </c>
      <c r="D1634" s="1" t="s">
        <v>739</v>
      </c>
      <c r="E1634">
        <v>12.5</v>
      </c>
      <c r="F1634" s="1">
        <v>20</v>
      </c>
      <c r="G1634" s="1">
        <v>0</v>
      </c>
      <c r="H1634" s="2">
        <v>35130</v>
      </c>
    </row>
    <row r="1635" spans="1:8" x14ac:dyDescent="0.4">
      <c r="A1635" s="1" t="s">
        <v>668</v>
      </c>
      <c r="B1635" s="1">
        <v>10870</v>
      </c>
      <c r="C1635" s="1">
        <v>35</v>
      </c>
      <c r="D1635" s="1" t="s">
        <v>714</v>
      </c>
      <c r="E1635">
        <v>18</v>
      </c>
      <c r="F1635" s="1">
        <v>3</v>
      </c>
      <c r="G1635" s="1">
        <v>0</v>
      </c>
      <c r="H1635" s="2">
        <v>35130</v>
      </c>
    </row>
    <row r="1636" spans="1:8" x14ac:dyDescent="0.4">
      <c r="A1636" s="1" t="s">
        <v>668</v>
      </c>
      <c r="B1636" s="1">
        <v>10870</v>
      </c>
      <c r="C1636" s="1">
        <v>51</v>
      </c>
      <c r="D1636" s="1" t="s">
        <v>687</v>
      </c>
      <c r="E1636">
        <v>53</v>
      </c>
      <c r="F1636" s="1">
        <v>2</v>
      </c>
      <c r="G1636" s="1">
        <v>0</v>
      </c>
      <c r="H1636" s="2">
        <v>35130</v>
      </c>
    </row>
    <row r="1637" spans="1:8" x14ac:dyDescent="0.4">
      <c r="A1637" s="1" t="s">
        <v>77</v>
      </c>
      <c r="B1637" s="1">
        <v>10871</v>
      </c>
      <c r="C1637" s="1">
        <v>6</v>
      </c>
      <c r="D1637" s="1" t="s">
        <v>746</v>
      </c>
      <c r="E1637">
        <v>25</v>
      </c>
      <c r="F1637" s="1">
        <v>50</v>
      </c>
      <c r="G1637" s="1">
        <v>0.05</v>
      </c>
      <c r="H1637" s="2">
        <v>35131</v>
      </c>
    </row>
    <row r="1638" spans="1:8" x14ac:dyDescent="0.4">
      <c r="A1638" s="1" t="s">
        <v>77</v>
      </c>
      <c r="B1638" s="1">
        <v>10871</v>
      </c>
      <c r="C1638" s="1">
        <v>16</v>
      </c>
      <c r="D1638" s="1" t="s">
        <v>702</v>
      </c>
      <c r="E1638">
        <v>17.45</v>
      </c>
      <c r="F1638" s="1">
        <v>12</v>
      </c>
      <c r="G1638" s="1">
        <v>0.05</v>
      </c>
      <c r="H1638" s="2">
        <v>35131</v>
      </c>
    </row>
    <row r="1639" spans="1:8" x14ac:dyDescent="0.4">
      <c r="A1639" s="1" t="s">
        <v>77</v>
      </c>
      <c r="B1639" s="1">
        <v>10871</v>
      </c>
      <c r="C1639" s="1">
        <v>17</v>
      </c>
      <c r="D1639" s="1" t="s">
        <v>718</v>
      </c>
      <c r="E1639">
        <v>39</v>
      </c>
      <c r="F1639" s="1">
        <v>16</v>
      </c>
      <c r="G1639" s="1">
        <v>0.05</v>
      </c>
      <c r="H1639" s="2">
        <v>35131</v>
      </c>
    </row>
    <row r="1640" spans="1:8" x14ac:dyDescent="0.4">
      <c r="A1640" s="1" t="s">
        <v>234</v>
      </c>
      <c r="B1640" s="1">
        <v>10872</v>
      </c>
      <c r="C1640" s="1">
        <v>55</v>
      </c>
      <c r="D1640" s="1" t="s">
        <v>699</v>
      </c>
      <c r="E1640">
        <v>24</v>
      </c>
      <c r="F1640" s="1">
        <v>10</v>
      </c>
      <c r="G1640" s="1">
        <v>0.05</v>
      </c>
      <c r="H1640" s="2">
        <v>35131</v>
      </c>
    </row>
    <row r="1641" spans="1:8" x14ac:dyDescent="0.4">
      <c r="A1641" s="1" t="s">
        <v>234</v>
      </c>
      <c r="B1641" s="1">
        <v>10872</v>
      </c>
      <c r="C1641" s="1">
        <v>62</v>
      </c>
      <c r="D1641" s="1" t="s">
        <v>712</v>
      </c>
      <c r="E1641">
        <v>49.3</v>
      </c>
      <c r="F1641" s="1">
        <v>20</v>
      </c>
      <c r="G1641" s="1">
        <v>0.05</v>
      </c>
      <c r="H1641" s="2">
        <v>35131</v>
      </c>
    </row>
    <row r="1642" spans="1:8" x14ac:dyDescent="0.4">
      <c r="A1642" s="1" t="s">
        <v>234</v>
      </c>
      <c r="B1642" s="1">
        <v>10872</v>
      </c>
      <c r="C1642" s="1">
        <v>64</v>
      </c>
      <c r="D1642" s="1" t="s">
        <v>741</v>
      </c>
      <c r="E1642">
        <v>33.25</v>
      </c>
      <c r="F1642" s="1">
        <v>15</v>
      </c>
      <c r="G1642" s="1">
        <v>0.05</v>
      </c>
      <c r="H1642" s="2">
        <v>35131</v>
      </c>
    </row>
    <row r="1643" spans="1:8" x14ac:dyDescent="0.4">
      <c r="A1643" s="1" t="s">
        <v>234</v>
      </c>
      <c r="B1643" s="1">
        <v>10872</v>
      </c>
      <c r="C1643" s="1">
        <v>65</v>
      </c>
      <c r="D1643" s="1" t="s">
        <v>689</v>
      </c>
      <c r="E1643">
        <v>21.05</v>
      </c>
      <c r="F1643" s="1">
        <v>21</v>
      </c>
      <c r="G1643" s="1">
        <v>0.05</v>
      </c>
      <c r="H1643" s="2">
        <v>35131</v>
      </c>
    </row>
    <row r="1644" spans="1:8" x14ac:dyDescent="0.4">
      <c r="A1644" s="1" t="s">
        <v>661</v>
      </c>
      <c r="B1644" s="1">
        <v>10873</v>
      </c>
      <c r="C1644" s="1">
        <v>21</v>
      </c>
      <c r="D1644" s="1" t="s">
        <v>710</v>
      </c>
      <c r="E1644">
        <v>10</v>
      </c>
      <c r="F1644" s="1">
        <v>20</v>
      </c>
      <c r="G1644" s="1">
        <v>0</v>
      </c>
      <c r="H1644" s="2">
        <v>35132</v>
      </c>
    </row>
    <row r="1645" spans="1:8" x14ac:dyDescent="0.4">
      <c r="A1645" s="1" t="s">
        <v>661</v>
      </c>
      <c r="B1645" s="1">
        <v>10873</v>
      </c>
      <c r="C1645" s="1">
        <v>28</v>
      </c>
      <c r="D1645" s="1" t="s">
        <v>727</v>
      </c>
      <c r="E1645">
        <v>45.6</v>
      </c>
      <c r="F1645" s="1">
        <v>3</v>
      </c>
      <c r="G1645" s="1">
        <v>0</v>
      </c>
      <c r="H1645" s="2">
        <v>35132</v>
      </c>
    </row>
    <row r="1646" spans="1:8" x14ac:dyDescent="0.4">
      <c r="A1646" s="1" t="s">
        <v>234</v>
      </c>
      <c r="B1646" s="1">
        <v>10874</v>
      </c>
      <c r="C1646" s="1">
        <v>10</v>
      </c>
      <c r="D1646" s="1" t="s">
        <v>724</v>
      </c>
      <c r="E1646">
        <v>31</v>
      </c>
      <c r="F1646" s="1">
        <v>10</v>
      </c>
      <c r="G1646" s="1">
        <v>0</v>
      </c>
      <c r="H1646" s="2">
        <v>35132</v>
      </c>
    </row>
    <row r="1647" spans="1:8" x14ac:dyDescent="0.4">
      <c r="A1647" s="1" t="s">
        <v>43</v>
      </c>
      <c r="B1647" s="1">
        <v>10875</v>
      </c>
      <c r="C1647" s="1">
        <v>19</v>
      </c>
      <c r="D1647" s="1" t="s">
        <v>732</v>
      </c>
      <c r="E1647">
        <v>9.1999999999999993</v>
      </c>
      <c r="F1647" s="1">
        <v>25</v>
      </c>
      <c r="G1647" s="1">
        <v>0</v>
      </c>
      <c r="H1647" s="2">
        <v>35132</v>
      </c>
    </row>
    <row r="1648" spans="1:8" x14ac:dyDescent="0.4">
      <c r="A1648" s="1" t="s">
        <v>43</v>
      </c>
      <c r="B1648" s="1">
        <v>10875</v>
      </c>
      <c r="C1648" s="1">
        <v>47</v>
      </c>
      <c r="D1648" s="1" t="s">
        <v>752</v>
      </c>
      <c r="E1648">
        <v>9.5</v>
      </c>
      <c r="F1648" s="1">
        <v>21</v>
      </c>
      <c r="G1648" s="1">
        <v>0.1</v>
      </c>
      <c r="H1648" s="2">
        <v>35132</v>
      </c>
    </row>
    <row r="1649" spans="1:8" x14ac:dyDescent="0.4">
      <c r="A1649" s="1" t="s">
        <v>43</v>
      </c>
      <c r="B1649" s="1">
        <v>10875</v>
      </c>
      <c r="C1649" s="1">
        <v>49</v>
      </c>
      <c r="D1649" s="1" t="s">
        <v>697</v>
      </c>
      <c r="E1649">
        <v>20</v>
      </c>
      <c r="F1649" s="1">
        <v>15</v>
      </c>
      <c r="G1649" s="1">
        <v>0</v>
      </c>
      <c r="H1649" s="2">
        <v>35132</v>
      </c>
    </row>
    <row r="1650" spans="1:8" x14ac:dyDescent="0.4">
      <c r="A1650" s="1" t="s">
        <v>77</v>
      </c>
      <c r="B1650" s="1">
        <v>10876</v>
      </c>
      <c r="C1650" s="1">
        <v>46</v>
      </c>
      <c r="D1650" s="1" t="s">
        <v>737</v>
      </c>
      <c r="E1650">
        <v>12</v>
      </c>
      <c r="F1650" s="1">
        <v>21</v>
      </c>
      <c r="G1650" s="1">
        <v>0</v>
      </c>
      <c r="H1650" s="2">
        <v>35135</v>
      </c>
    </row>
    <row r="1651" spans="1:8" x14ac:dyDescent="0.4">
      <c r="A1651" s="1" t="s">
        <v>77</v>
      </c>
      <c r="B1651" s="1">
        <v>10876</v>
      </c>
      <c r="C1651" s="1">
        <v>64</v>
      </c>
      <c r="D1651" s="1" t="s">
        <v>741</v>
      </c>
      <c r="E1651">
        <v>33.25</v>
      </c>
      <c r="F1651" s="1">
        <v>20</v>
      </c>
      <c r="G1651" s="1">
        <v>0</v>
      </c>
      <c r="H1651" s="2">
        <v>35135</v>
      </c>
    </row>
    <row r="1652" spans="1:8" x14ac:dyDescent="0.4">
      <c r="A1652" s="1" t="s">
        <v>503</v>
      </c>
      <c r="B1652" s="1">
        <v>10877</v>
      </c>
      <c r="C1652" s="1">
        <v>16</v>
      </c>
      <c r="D1652" s="1" t="s">
        <v>702</v>
      </c>
      <c r="E1652">
        <v>17.45</v>
      </c>
      <c r="F1652" s="1">
        <v>30</v>
      </c>
      <c r="G1652" s="1">
        <v>0.25</v>
      </c>
      <c r="H1652" s="2">
        <v>35135</v>
      </c>
    </row>
    <row r="1653" spans="1:8" x14ac:dyDescent="0.4">
      <c r="A1653" s="1" t="s">
        <v>503</v>
      </c>
      <c r="B1653" s="1">
        <v>10877</v>
      </c>
      <c r="C1653" s="1">
        <v>18</v>
      </c>
      <c r="D1653" s="1" t="s">
        <v>742</v>
      </c>
      <c r="E1653">
        <v>62.5</v>
      </c>
      <c r="F1653" s="1">
        <v>25</v>
      </c>
      <c r="G1653" s="1">
        <v>0</v>
      </c>
      <c r="H1653" s="2">
        <v>35135</v>
      </c>
    </row>
    <row r="1654" spans="1:8" x14ac:dyDescent="0.4">
      <c r="A1654" s="1" t="s">
        <v>475</v>
      </c>
      <c r="B1654" s="1">
        <v>10878</v>
      </c>
      <c r="C1654" s="1">
        <v>20</v>
      </c>
      <c r="D1654" s="1" t="s">
        <v>692</v>
      </c>
      <c r="E1654">
        <v>81</v>
      </c>
      <c r="F1654" s="1">
        <v>20</v>
      </c>
      <c r="G1654" s="1">
        <v>0.05</v>
      </c>
      <c r="H1654" s="2">
        <v>35136</v>
      </c>
    </row>
    <row r="1655" spans="1:8" x14ac:dyDescent="0.4">
      <c r="A1655" s="1" t="s">
        <v>661</v>
      </c>
      <c r="B1655" s="1">
        <v>10879</v>
      </c>
      <c r="C1655" s="1">
        <v>40</v>
      </c>
      <c r="D1655" s="1" t="s">
        <v>720</v>
      </c>
      <c r="E1655">
        <v>18.399999999999999</v>
      </c>
      <c r="F1655" s="1">
        <v>12</v>
      </c>
      <c r="G1655" s="1">
        <v>0</v>
      </c>
      <c r="H1655" s="2">
        <v>35136</v>
      </c>
    </row>
    <row r="1656" spans="1:8" x14ac:dyDescent="0.4">
      <c r="A1656" s="1" t="s">
        <v>661</v>
      </c>
      <c r="B1656" s="1">
        <v>10879</v>
      </c>
      <c r="C1656" s="1">
        <v>65</v>
      </c>
      <c r="D1656" s="1" t="s">
        <v>689</v>
      </c>
      <c r="E1656">
        <v>21.05</v>
      </c>
      <c r="F1656" s="1">
        <v>10</v>
      </c>
      <c r="G1656" s="1">
        <v>0</v>
      </c>
      <c r="H1656" s="2">
        <v>35136</v>
      </c>
    </row>
    <row r="1657" spans="1:8" x14ac:dyDescent="0.4">
      <c r="A1657" s="1" t="s">
        <v>661</v>
      </c>
      <c r="B1657" s="1">
        <v>10879</v>
      </c>
      <c r="C1657" s="1">
        <v>76</v>
      </c>
      <c r="D1657" s="1" t="s">
        <v>721</v>
      </c>
      <c r="E1657">
        <v>18</v>
      </c>
      <c r="F1657" s="1">
        <v>10</v>
      </c>
      <c r="G1657" s="1">
        <v>0</v>
      </c>
      <c r="H1657" s="2">
        <v>35136</v>
      </c>
    </row>
    <row r="1658" spans="1:8" x14ac:dyDescent="0.4">
      <c r="A1658" s="1" t="s">
        <v>191</v>
      </c>
      <c r="B1658" s="1">
        <v>10880</v>
      </c>
      <c r="C1658" s="1">
        <v>23</v>
      </c>
      <c r="D1658" s="1" t="s">
        <v>753</v>
      </c>
      <c r="E1658">
        <v>9</v>
      </c>
      <c r="F1658" s="1">
        <v>30</v>
      </c>
      <c r="G1658" s="1">
        <v>0.2</v>
      </c>
      <c r="H1658" s="2">
        <v>35136</v>
      </c>
    </row>
    <row r="1659" spans="1:8" x14ac:dyDescent="0.4">
      <c r="A1659" s="1" t="s">
        <v>191</v>
      </c>
      <c r="B1659" s="1">
        <v>10880</v>
      </c>
      <c r="C1659" s="1">
        <v>61</v>
      </c>
      <c r="D1659" s="1" t="s">
        <v>758</v>
      </c>
      <c r="E1659">
        <v>28.5</v>
      </c>
      <c r="F1659" s="1">
        <v>30</v>
      </c>
      <c r="G1659" s="1">
        <v>0.2</v>
      </c>
      <c r="H1659" s="2">
        <v>35136</v>
      </c>
    </row>
    <row r="1660" spans="1:8" x14ac:dyDescent="0.4">
      <c r="A1660" s="1" t="s">
        <v>191</v>
      </c>
      <c r="B1660" s="1">
        <v>10880</v>
      </c>
      <c r="C1660" s="1">
        <v>70</v>
      </c>
      <c r="D1660" s="1" t="s">
        <v>713</v>
      </c>
      <c r="E1660">
        <v>15</v>
      </c>
      <c r="F1660" s="1">
        <v>50</v>
      </c>
      <c r="G1660" s="1">
        <v>0.2</v>
      </c>
      <c r="H1660" s="2">
        <v>35136</v>
      </c>
    </row>
    <row r="1661" spans="1:8" x14ac:dyDescent="0.4">
      <c r="A1661" s="1" t="s">
        <v>101</v>
      </c>
      <c r="B1661" s="1">
        <v>10881</v>
      </c>
      <c r="C1661" s="1">
        <v>73</v>
      </c>
      <c r="D1661" s="1" t="s">
        <v>730</v>
      </c>
      <c r="E1661">
        <v>15</v>
      </c>
      <c r="F1661" s="1">
        <v>10</v>
      </c>
      <c r="G1661" s="1">
        <v>0</v>
      </c>
      <c r="H1661" s="2">
        <v>35137</v>
      </c>
    </row>
    <row r="1662" spans="1:8" x14ac:dyDescent="0.4">
      <c r="A1662" s="1" t="s">
        <v>529</v>
      </c>
      <c r="B1662" s="1">
        <v>10882</v>
      </c>
      <c r="C1662" s="1">
        <v>42</v>
      </c>
      <c r="D1662" s="1" t="s">
        <v>684</v>
      </c>
      <c r="E1662">
        <v>14</v>
      </c>
      <c r="F1662" s="1">
        <v>25</v>
      </c>
      <c r="G1662" s="1">
        <v>0</v>
      </c>
      <c r="H1662" s="2">
        <v>35137</v>
      </c>
    </row>
    <row r="1663" spans="1:8" x14ac:dyDescent="0.4">
      <c r="A1663" s="1" t="s">
        <v>529</v>
      </c>
      <c r="B1663" s="1">
        <v>10882</v>
      </c>
      <c r="C1663" s="1">
        <v>49</v>
      </c>
      <c r="D1663" s="1" t="s">
        <v>697</v>
      </c>
      <c r="E1663">
        <v>20</v>
      </c>
      <c r="F1663" s="1">
        <v>20</v>
      </c>
      <c r="G1663" s="1">
        <v>0.15</v>
      </c>
      <c r="H1663" s="2">
        <v>35137</v>
      </c>
    </row>
    <row r="1664" spans="1:8" x14ac:dyDescent="0.4">
      <c r="A1664" s="1" t="s">
        <v>529</v>
      </c>
      <c r="B1664" s="1">
        <v>10882</v>
      </c>
      <c r="C1664" s="1">
        <v>54</v>
      </c>
      <c r="D1664" s="1" t="s">
        <v>738</v>
      </c>
      <c r="E1664">
        <v>7.45</v>
      </c>
      <c r="F1664" s="1">
        <v>32</v>
      </c>
      <c r="G1664" s="1">
        <v>0.15</v>
      </c>
      <c r="H1664" s="2">
        <v>35137</v>
      </c>
    </row>
    <row r="1665" spans="1:8" x14ac:dyDescent="0.4">
      <c r="A1665" s="1" t="s">
        <v>371</v>
      </c>
      <c r="B1665" s="1">
        <v>10883</v>
      </c>
      <c r="C1665" s="1">
        <v>24</v>
      </c>
      <c r="D1665" s="1" t="s">
        <v>698</v>
      </c>
      <c r="E1665">
        <v>4.5</v>
      </c>
      <c r="F1665" s="1">
        <v>8</v>
      </c>
      <c r="G1665" s="1">
        <v>0</v>
      </c>
      <c r="H1665" s="2">
        <v>35138</v>
      </c>
    </row>
    <row r="1666" spans="1:8" x14ac:dyDescent="0.4">
      <c r="A1666" s="1" t="s">
        <v>348</v>
      </c>
      <c r="B1666" s="1">
        <v>10884</v>
      </c>
      <c r="C1666" s="1">
        <v>21</v>
      </c>
      <c r="D1666" s="1" t="s">
        <v>710</v>
      </c>
      <c r="E1666">
        <v>10</v>
      </c>
      <c r="F1666" s="1">
        <v>40</v>
      </c>
      <c r="G1666" s="1">
        <v>0.05</v>
      </c>
      <c r="H1666" s="2">
        <v>35138</v>
      </c>
    </row>
    <row r="1667" spans="1:8" x14ac:dyDescent="0.4">
      <c r="A1667" s="1" t="s">
        <v>348</v>
      </c>
      <c r="B1667" s="1">
        <v>10884</v>
      </c>
      <c r="C1667" s="1">
        <v>56</v>
      </c>
      <c r="D1667" s="1" t="s">
        <v>716</v>
      </c>
      <c r="E1667">
        <v>38</v>
      </c>
      <c r="F1667" s="1">
        <v>21</v>
      </c>
      <c r="G1667" s="1">
        <v>0.05</v>
      </c>
      <c r="H1667" s="2">
        <v>35138</v>
      </c>
    </row>
    <row r="1668" spans="1:8" x14ac:dyDescent="0.4">
      <c r="A1668" s="1" t="s">
        <v>348</v>
      </c>
      <c r="B1668" s="1">
        <v>10884</v>
      </c>
      <c r="C1668" s="1">
        <v>65</v>
      </c>
      <c r="D1668" s="1" t="s">
        <v>689</v>
      </c>
      <c r="E1668">
        <v>21.05</v>
      </c>
      <c r="F1668" s="1">
        <v>12</v>
      </c>
      <c r="G1668" s="1">
        <v>0.05</v>
      </c>
      <c r="H1668" s="2">
        <v>35138</v>
      </c>
    </row>
    <row r="1669" spans="1:8" x14ac:dyDescent="0.4">
      <c r="A1669" s="1" t="s">
        <v>565</v>
      </c>
      <c r="B1669" s="1">
        <v>10885</v>
      </c>
      <c r="C1669" s="1">
        <v>2</v>
      </c>
      <c r="D1669" s="1" t="s">
        <v>701</v>
      </c>
      <c r="E1669">
        <v>19</v>
      </c>
      <c r="F1669" s="1">
        <v>20</v>
      </c>
      <c r="G1669" s="1">
        <v>0</v>
      </c>
      <c r="H1669" s="2">
        <v>35138</v>
      </c>
    </row>
    <row r="1670" spans="1:8" x14ac:dyDescent="0.4">
      <c r="A1670" s="1" t="s">
        <v>565</v>
      </c>
      <c r="B1670" s="1">
        <v>10885</v>
      </c>
      <c r="C1670" s="1">
        <v>24</v>
      </c>
      <c r="D1670" s="1" t="s">
        <v>698</v>
      </c>
      <c r="E1670">
        <v>4.5</v>
      </c>
      <c r="F1670" s="1">
        <v>12</v>
      </c>
      <c r="G1670" s="1">
        <v>0</v>
      </c>
      <c r="H1670" s="2">
        <v>35138</v>
      </c>
    </row>
    <row r="1671" spans="1:8" x14ac:dyDescent="0.4">
      <c r="A1671" s="1" t="s">
        <v>565</v>
      </c>
      <c r="B1671" s="1">
        <v>10885</v>
      </c>
      <c r="C1671" s="1">
        <v>70</v>
      </c>
      <c r="D1671" s="1" t="s">
        <v>713</v>
      </c>
      <c r="E1671">
        <v>15</v>
      </c>
      <c r="F1671" s="1">
        <v>30</v>
      </c>
      <c r="G1671" s="1">
        <v>0</v>
      </c>
      <c r="H1671" s="2">
        <v>35138</v>
      </c>
    </row>
    <row r="1672" spans="1:8" x14ac:dyDescent="0.4">
      <c r="A1672" s="1" t="s">
        <v>565</v>
      </c>
      <c r="B1672" s="1">
        <v>10885</v>
      </c>
      <c r="C1672" s="1">
        <v>77</v>
      </c>
      <c r="D1672" s="1" t="s">
        <v>706</v>
      </c>
      <c r="E1672">
        <v>13</v>
      </c>
      <c r="F1672" s="1">
        <v>25</v>
      </c>
      <c r="G1672" s="1">
        <v>0</v>
      </c>
      <c r="H1672" s="2">
        <v>35138</v>
      </c>
    </row>
    <row r="1673" spans="1:8" x14ac:dyDescent="0.4">
      <c r="A1673" s="1" t="s">
        <v>264</v>
      </c>
      <c r="B1673" s="1">
        <v>10886</v>
      </c>
      <c r="C1673" s="1">
        <v>10</v>
      </c>
      <c r="D1673" s="1" t="s">
        <v>724</v>
      </c>
      <c r="E1673">
        <v>31</v>
      </c>
      <c r="F1673" s="1">
        <v>70</v>
      </c>
      <c r="G1673" s="1">
        <v>0</v>
      </c>
      <c r="H1673" s="2">
        <v>35139</v>
      </c>
    </row>
    <row r="1674" spans="1:8" x14ac:dyDescent="0.4">
      <c r="A1674" s="1" t="s">
        <v>264</v>
      </c>
      <c r="B1674" s="1">
        <v>10886</v>
      </c>
      <c r="C1674" s="1">
        <v>31</v>
      </c>
      <c r="D1674" s="1" t="s">
        <v>695</v>
      </c>
      <c r="E1674">
        <v>12.5</v>
      </c>
      <c r="F1674" s="1">
        <v>35</v>
      </c>
      <c r="G1674" s="1">
        <v>0</v>
      </c>
      <c r="H1674" s="2">
        <v>35139</v>
      </c>
    </row>
    <row r="1675" spans="1:8" x14ac:dyDescent="0.4">
      <c r="A1675" s="1" t="s">
        <v>264</v>
      </c>
      <c r="B1675" s="1">
        <v>10886</v>
      </c>
      <c r="C1675" s="1">
        <v>77</v>
      </c>
      <c r="D1675" s="1" t="s">
        <v>706</v>
      </c>
      <c r="E1675">
        <v>13</v>
      </c>
      <c r="F1675" s="1">
        <v>40</v>
      </c>
      <c r="G1675" s="1">
        <v>0</v>
      </c>
      <c r="H1675" s="2">
        <v>35139</v>
      </c>
    </row>
    <row r="1676" spans="1:8" x14ac:dyDescent="0.4">
      <c r="A1676" s="1" t="s">
        <v>227</v>
      </c>
      <c r="B1676" s="1">
        <v>10887</v>
      </c>
      <c r="C1676" s="1">
        <v>25</v>
      </c>
      <c r="D1676" s="1" t="s">
        <v>749</v>
      </c>
      <c r="E1676">
        <v>14</v>
      </c>
      <c r="F1676" s="1">
        <v>5</v>
      </c>
      <c r="G1676" s="1">
        <v>0</v>
      </c>
      <c r="H1676" s="2">
        <v>35139</v>
      </c>
    </row>
    <row r="1677" spans="1:8" x14ac:dyDescent="0.4">
      <c r="A1677" s="1" t="s">
        <v>234</v>
      </c>
      <c r="B1677" s="1">
        <v>10888</v>
      </c>
      <c r="C1677" s="1">
        <v>2</v>
      </c>
      <c r="D1677" s="1" t="s">
        <v>701</v>
      </c>
      <c r="E1677">
        <v>19</v>
      </c>
      <c r="F1677" s="1">
        <v>20</v>
      </c>
      <c r="G1677" s="1">
        <v>0</v>
      </c>
      <c r="H1677" s="2">
        <v>35142</v>
      </c>
    </row>
    <row r="1678" spans="1:8" x14ac:dyDescent="0.4">
      <c r="A1678" s="1" t="s">
        <v>234</v>
      </c>
      <c r="B1678" s="1">
        <v>10888</v>
      </c>
      <c r="C1678" s="1">
        <v>68</v>
      </c>
      <c r="D1678" s="1" t="s">
        <v>739</v>
      </c>
      <c r="E1678">
        <v>12.5</v>
      </c>
      <c r="F1678" s="1">
        <v>18</v>
      </c>
      <c r="G1678" s="1">
        <v>0</v>
      </c>
      <c r="H1678" s="2">
        <v>35142</v>
      </c>
    </row>
    <row r="1679" spans="1:8" x14ac:dyDescent="0.4">
      <c r="A1679" s="1" t="s">
        <v>487</v>
      </c>
      <c r="B1679" s="1">
        <v>10889</v>
      </c>
      <c r="C1679" s="1">
        <v>11</v>
      </c>
      <c r="D1679" s="1" t="s">
        <v>683</v>
      </c>
      <c r="E1679">
        <v>21</v>
      </c>
      <c r="F1679" s="1">
        <v>40</v>
      </c>
      <c r="G1679" s="1">
        <v>0</v>
      </c>
      <c r="H1679" s="2">
        <v>35142</v>
      </c>
    </row>
    <row r="1680" spans="1:8" x14ac:dyDescent="0.4">
      <c r="A1680" s="1" t="s">
        <v>487</v>
      </c>
      <c r="B1680" s="1">
        <v>10889</v>
      </c>
      <c r="C1680" s="1">
        <v>38</v>
      </c>
      <c r="D1680" s="1" t="s">
        <v>750</v>
      </c>
      <c r="E1680">
        <v>263.5</v>
      </c>
      <c r="F1680" s="1">
        <v>40</v>
      </c>
      <c r="G1680" s="1">
        <v>0</v>
      </c>
      <c r="H1680" s="2">
        <v>35142</v>
      </c>
    </row>
    <row r="1681" spans="1:8" x14ac:dyDescent="0.4">
      <c r="A1681" s="1" t="s">
        <v>147</v>
      </c>
      <c r="B1681" s="1">
        <v>10890</v>
      </c>
      <c r="C1681" s="1">
        <v>17</v>
      </c>
      <c r="D1681" s="1" t="s">
        <v>718</v>
      </c>
      <c r="E1681">
        <v>39</v>
      </c>
      <c r="F1681" s="1">
        <v>15</v>
      </c>
      <c r="G1681" s="1">
        <v>0</v>
      </c>
      <c r="H1681" s="2">
        <v>35142</v>
      </c>
    </row>
    <row r="1682" spans="1:8" x14ac:dyDescent="0.4">
      <c r="A1682" s="1" t="s">
        <v>147</v>
      </c>
      <c r="B1682" s="1">
        <v>10890</v>
      </c>
      <c r="C1682" s="1">
        <v>34</v>
      </c>
      <c r="D1682" s="1" t="s">
        <v>736</v>
      </c>
      <c r="E1682">
        <v>14</v>
      </c>
      <c r="F1682" s="1">
        <v>10</v>
      </c>
      <c r="G1682" s="1">
        <v>0</v>
      </c>
      <c r="H1682" s="2">
        <v>35142</v>
      </c>
    </row>
    <row r="1683" spans="1:8" x14ac:dyDescent="0.4">
      <c r="A1683" s="1" t="s">
        <v>147</v>
      </c>
      <c r="B1683" s="1">
        <v>10890</v>
      </c>
      <c r="C1683" s="1">
        <v>41</v>
      </c>
      <c r="D1683" s="1" t="s">
        <v>688</v>
      </c>
      <c r="E1683">
        <v>9.65</v>
      </c>
      <c r="F1683" s="1">
        <v>14</v>
      </c>
      <c r="G1683" s="1">
        <v>0</v>
      </c>
      <c r="H1683" s="2">
        <v>35142</v>
      </c>
    </row>
    <row r="1684" spans="1:8" x14ac:dyDescent="0.4">
      <c r="A1684" s="1" t="s">
        <v>341</v>
      </c>
      <c r="B1684" s="1">
        <v>10891</v>
      </c>
      <c r="C1684" s="1">
        <v>30</v>
      </c>
      <c r="D1684" s="1" t="s">
        <v>717</v>
      </c>
      <c r="E1684">
        <v>25.89</v>
      </c>
      <c r="F1684" s="1">
        <v>15</v>
      </c>
      <c r="G1684" s="1">
        <v>0.05</v>
      </c>
      <c r="H1684" s="2">
        <v>35143</v>
      </c>
    </row>
    <row r="1685" spans="1:8" x14ac:dyDescent="0.4">
      <c r="A1685" s="1" t="s">
        <v>385</v>
      </c>
      <c r="B1685" s="1">
        <v>10892</v>
      </c>
      <c r="C1685" s="1">
        <v>59</v>
      </c>
      <c r="D1685" s="1" t="s">
        <v>704</v>
      </c>
      <c r="E1685">
        <v>55</v>
      </c>
      <c r="F1685" s="1">
        <v>40</v>
      </c>
      <c r="G1685" s="1">
        <v>0.05</v>
      </c>
      <c r="H1685" s="2">
        <v>35143</v>
      </c>
    </row>
    <row r="1686" spans="1:8" x14ac:dyDescent="0.4">
      <c r="A1686" s="1" t="s">
        <v>305</v>
      </c>
      <c r="B1686" s="1">
        <v>10893</v>
      </c>
      <c r="C1686" s="1">
        <v>8</v>
      </c>
      <c r="D1686" s="1" t="s">
        <v>754</v>
      </c>
      <c r="E1686">
        <v>40</v>
      </c>
      <c r="F1686" s="1">
        <v>30</v>
      </c>
      <c r="G1686" s="1">
        <v>0</v>
      </c>
      <c r="H1686" s="2">
        <v>35144</v>
      </c>
    </row>
    <row r="1687" spans="1:8" x14ac:dyDescent="0.4">
      <c r="A1687" s="1" t="s">
        <v>305</v>
      </c>
      <c r="B1687" s="1">
        <v>10893</v>
      </c>
      <c r="C1687" s="1">
        <v>24</v>
      </c>
      <c r="D1687" s="1" t="s">
        <v>698</v>
      </c>
      <c r="E1687">
        <v>4.5</v>
      </c>
      <c r="F1687" s="1">
        <v>10</v>
      </c>
      <c r="G1687" s="1">
        <v>0</v>
      </c>
      <c r="H1687" s="2">
        <v>35144</v>
      </c>
    </row>
    <row r="1688" spans="1:8" x14ac:dyDescent="0.4">
      <c r="A1688" s="1" t="s">
        <v>305</v>
      </c>
      <c r="B1688" s="1">
        <v>10893</v>
      </c>
      <c r="C1688" s="1">
        <v>29</v>
      </c>
      <c r="D1688" s="1" t="s">
        <v>722</v>
      </c>
      <c r="E1688">
        <v>123.79</v>
      </c>
      <c r="F1688" s="1">
        <v>24</v>
      </c>
      <c r="G1688" s="1">
        <v>0</v>
      </c>
      <c r="H1688" s="2">
        <v>35144</v>
      </c>
    </row>
    <row r="1689" spans="1:8" x14ac:dyDescent="0.4">
      <c r="A1689" s="1" t="s">
        <v>305</v>
      </c>
      <c r="B1689" s="1">
        <v>10893</v>
      </c>
      <c r="C1689" s="1">
        <v>30</v>
      </c>
      <c r="D1689" s="1" t="s">
        <v>717</v>
      </c>
      <c r="E1689">
        <v>25.89</v>
      </c>
      <c r="F1689" s="1">
        <v>35</v>
      </c>
      <c r="G1689" s="1">
        <v>0</v>
      </c>
      <c r="H1689" s="2">
        <v>35144</v>
      </c>
    </row>
    <row r="1690" spans="1:8" x14ac:dyDescent="0.4">
      <c r="A1690" s="1" t="s">
        <v>305</v>
      </c>
      <c r="B1690" s="1">
        <v>10893</v>
      </c>
      <c r="C1690" s="1">
        <v>36</v>
      </c>
      <c r="D1690" s="1" t="s">
        <v>703</v>
      </c>
      <c r="E1690">
        <v>19</v>
      </c>
      <c r="F1690" s="1">
        <v>20</v>
      </c>
      <c r="G1690" s="1">
        <v>0</v>
      </c>
      <c r="H1690" s="2">
        <v>35144</v>
      </c>
    </row>
    <row r="1691" spans="1:8" x14ac:dyDescent="0.4">
      <c r="A1691" s="1" t="s">
        <v>529</v>
      </c>
      <c r="B1691" s="1">
        <v>10894</v>
      </c>
      <c r="C1691" s="1">
        <v>13</v>
      </c>
      <c r="D1691" s="1" t="s">
        <v>726</v>
      </c>
      <c r="E1691">
        <v>6</v>
      </c>
      <c r="F1691" s="1">
        <v>28</v>
      </c>
      <c r="G1691" s="1">
        <v>0.05</v>
      </c>
      <c r="H1691" s="2">
        <v>35144</v>
      </c>
    </row>
    <row r="1692" spans="1:8" x14ac:dyDescent="0.4">
      <c r="A1692" s="1" t="s">
        <v>529</v>
      </c>
      <c r="B1692" s="1">
        <v>10894</v>
      </c>
      <c r="C1692" s="1">
        <v>69</v>
      </c>
      <c r="D1692" s="1" t="s">
        <v>743</v>
      </c>
      <c r="E1692">
        <v>36</v>
      </c>
      <c r="F1692" s="1">
        <v>50</v>
      </c>
      <c r="G1692" s="1">
        <v>0.05</v>
      </c>
      <c r="H1692" s="2">
        <v>35144</v>
      </c>
    </row>
    <row r="1693" spans="1:8" x14ac:dyDescent="0.4">
      <c r="A1693" s="1" t="s">
        <v>529</v>
      </c>
      <c r="B1693" s="1">
        <v>10894</v>
      </c>
      <c r="C1693" s="1">
        <v>75</v>
      </c>
      <c r="D1693" s="1" t="s">
        <v>731</v>
      </c>
      <c r="E1693">
        <v>7.75</v>
      </c>
      <c r="F1693" s="1">
        <v>120</v>
      </c>
      <c r="G1693" s="1">
        <v>0.05</v>
      </c>
      <c r="H1693" s="2">
        <v>35144</v>
      </c>
    </row>
    <row r="1694" spans="1:8" x14ac:dyDescent="0.4">
      <c r="A1694" s="1" t="s">
        <v>161</v>
      </c>
      <c r="B1694" s="1">
        <v>10895</v>
      </c>
      <c r="C1694" s="1">
        <v>24</v>
      </c>
      <c r="D1694" s="1" t="s">
        <v>698</v>
      </c>
      <c r="E1694">
        <v>4.5</v>
      </c>
      <c r="F1694" s="1">
        <v>110</v>
      </c>
      <c r="G1694" s="1">
        <v>0</v>
      </c>
      <c r="H1694" s="2">
        <v>35144</v>
      </c>
    </row>
    <row r="1695" spans="1:8" x14ac:dyDescent="0.4">
      <c r="A1695" s="1" t="s">
        <v>161</v>
      </c>
      <c r="B1695" s="1">
        <v>10895</v>
      </c>
      <c r="C1695" s="1">
        <v>39</v>
      </c>
      <c r="D1695" s="1" t="s">
        <v>696</v>
      </c>
      <c r="E1695">
        <v>18</v>
      </c>
      <c r="F1695" s="1">
        <v>45</v>
      </c>
      <c r="G1695" s="1">
        <v>0</v>
      </c>
      <c r="H1695" s="2">
        <v>35144</v>
      </c>
    </row>
    <row r="1696" spans="1:8" x14ac:dyDescent="0.4">
      <c r="A1696" s="1" t="s">
        <v>161</v>
      </c>
      <c r="B1696" s="1">
        <v>10895</v>
      </c>
      <c r="C1696" s="1">
        <v>40</v>
      </c>
      <c r="D1696" s="1" t="s">
        <v>720</v>
      </c>
      <c r="E1696">
        <v>18.399999999999999</v>
      </c>
      <c r="F1696" s="1">
        <v>91</v>
      </c>
      <c r="G1696" s="1">
        <v>0</v>
      </c>
      <c r="H1696" s="2">
        <v>35144</v>
      </c>
    </row>
    <row r="1697" spans="1:8" x14ac:dyDescent="0.4">
      <c r="A1697" s="1" t="s">
        <v>161</v>
      </c>
      <c r="B1697" s="1">
        <v>10895</v>
      </c>
      <c r="C1697" s="1">
        <v>60</v>
      </c>
      <c r="D1697" s="1" t="s">
        <v>694</v>
      </c>
      <c r="E1697">
        <v>34</v>
      </c>
      <c r="F1697" s="1">
        <v>100</v>
      </c>
      <c r="G1697" s="1">
        <v>0</v>
      </c>
      <c r="H1697" s="2">
        <v>35144</v>
      </c>
    </row>
    <row r="1698" spans="1:8" x14ac:dyDescent="0.4">
      <c r="A1698" s="1" t="s">
        <v>385</v>
      </c>
      <c r="B1698" s="1">
        <v>10896</v>
      </c>
      <c r="C1698" s="1">
        <v>45</v>
      </c>
      <c r="D1698" s="1" t="s">
        <v>756</v>
      </c>
      <c r="E1698">
        <v>9.5</v>
      </c>
      <c r="F1698" s="1">
        <v>15</v>
      </c>
      <c r="G1698" s="1">
        <v>0</v>
      </c>
      <c r="H1698" s="2">
        <v>35145</v>
      </c>
    </row>
    <row r="1699" spans="1:8" x14ac:dyDescent="0.4">
      <c r="A1699" s="1" t="s">
        <v>385</v>
      </c>
      <c r="B1699" s="1">
        <v>10896</v>
      </c>
      <c r="C1699" s="1">
        <v>56</v>
      </c>
      <c r="D1699" s="1" t="s">
        <v>716</v>
      </c>
      <c r="E1699">
        <v>38</v>
      </c>
      <c r="F1699" s="1">
        <v>16</v>
      </c>
      <c r="G1699" s="1">
        <v>0</v>
      </c>
      <c r="H1699" s="2">
        <v>35145</v>
      </c>
    </row>
    <row r="1700" spans="1:8" x14ac:dyDescent="0.4">
      <c r="A1700" s="1" t="s">
        <v>288</v>
      </c>
      <c r="B1700" s="1">
        <v>10897</v>
      </c>
      <c r="C1700" s="1">
        <v>29</v>
      </c>
      <c r="D1700" s="1" t="s">
        <v>722</v>
      </c>
      <c r="E1700">
        <v>123.79</v>
      </c>
      <c r="F1700" s="1">
        <v>80</v>
      </c>
      <c r="G1700" s="1">
        <v>0</v>
      </c>
      <c r="H1700" s="2">
        <v>35145</v>
      </c>
    </row>
    <row r="1701" spans="1:8" x14ac:dyDescent="0.4">
      <c r="A1701" s="1" t="s">
        <v>288</v>
      </c>
      <c r="B1701" s="1">
        <v>10897</v>
      </c>
      <c r="C1701" s="1">
        <v>30</v>
      </c>
      <c r="D1701" s="1" t="s">
        <v>717</v>
      </c>
      <c r="E1701">
        <v>25.89</v>
      </c>
      <c r="F1701" s="1">
        <v>36</v>
      </c>
      <c r="G1701" s="1">
        <v>0</v>
      </c>
      <c r="H1701" s="2">
        <v>35145</v>
      </c>
    </row>
    <row r="1702" spans="1:8" x14ac:dyDescent="0.4">
      <c r="A1702" s="1" t="s">
        <v>416</v>
      </c>
      <c r="B1702" s="1">
        <v>10898</v>
      </c>
      <c r="C1702" s="1">
        <v>13</v>
      </c>
      <c r="D1702" s="1" t="s">
        <v>726</v>
      </c>
      <c r="E1702">
        <v>6</v>
      </c>
      <c r="F1702" s="1">
        <v>5</v>
      </c>
      <c r="G1702" s="1">
        <v>0</v>
      </c>
      <c r="H1702" s="2">
        <v>35146</v>
      </c>
    </row>
    <row r="1703" spans="1:8" x14ac:dyDescent="0.4">
      <c r="A1703" s="1" t="s">
        <v>355</v>
      </c>
      <c r="B1703" s="1">
        <v>10899</v>
      </c>
      <c r="C1703" s="1">
        <v>39</v>
      </c>
      <c r="D1703" s="1" t="s">
        <v>696</v>
      </c>
      <c r="E1703">
        <v>18</v>
      </c>
      <c r="F1703" s="1">
        <v>8</v>
      </c>
      <c r="G1703" s="1">
        <v>0.15</v>
      </c>
      <c r="H1703" s="2">
        <v>35146</v>
      </c>
    </row>
    <row r="1704" spans="1:8" x14ac:dyDescent="0.4">
      <c r="A1704" s="1" t="s">
        <v>647</v>
      </c>
      <c r="B1704" s="1">
        <v>10900</v>
      </c>
      <c r="C1704" s="1">
        <v>70</v>
      </c>
      <c r="D1704" s="1" t="s">
        <v>713</v>
      </c>
      <c r="E1704">
        <v>15</v>
      </c>
      <c r="F1704" s="1">
        <v>3</v>
      </c>
      <c r="G1704" s="1">
        <v>0.25</v>
      </c>
      <c r="H1704" s="2">
        <v>35146</v>
      </c>
    </row>
    <row r="1705" spans="1:8" x14ac:dyDescent="0.4">
      <c r="A1705" s="1" t="s">
        <v>273</v>
      </c>
      <c r="B1705" s="1">
        <v>10901</v>
      </c>
      <c r="C1705" s="1">
        <v>41</v>
      </c>
      <c r="D1705" s="1" t="s">
        <v>688</v>
      </c>
      <c r="E1705">
        <v>9.65</v>
      </c>
      <c r="F1705" s="1">
        <v>30</v>
      </c>
      <c r="G1705" s="1">
        <v>0</v>
      </c>
      <c r="H1705" s="2">
        <v>35149</v>
      </c>
    </row>
    <row r="1706" spans="1:8" x14ac:dyDescent="0.4">
      <c r="A1706" s="1" t="s">
        <v>273</v>
      </c>
      <c r="B1706" s="1">
        <v>10901</v>
      </c>
      <c r="C1706" s="1">
        <v>71</v>
      </c>
      <c r="D1706" s="1" t="s">
        <v>725</v>
      </c>
      <c r="E1706">
        <v>21.5</v>
      </c>
      <c r="F1706" s="1">
        <v>30</v>
      </c>
      <c r="G1706" s="1">
        <v>0</v>
      </c>
      <c r="H1706" s="2">
        <v>35149</v>
      </c>
    </row>
    <row r="1707" spans="1:8" x14ac:dyDescent="0.4">
      <c r="A1707" s="1" t="s">
        <v>191</v>
      </c>
      <c r="B1707" s="1">
        <v>10902</v>
      </c>
      <c r="C1707" s="1">
        <v>55</v>
      </c>
      <c r="D1707" s="1" t="s">
        <v>699</v>
      </c>
      <c r="E1707">
        <v>24</v>
      </c>
      <c r="F1707" s="1">
        <v>30</v>
      </c>
      <c r="G1707" s="1">
        <v>0.15</v>
      </c>
      <c r="H1707" s="2">
        <v>35149</v>
      </c>
    </row>
    <row r="1708" spans="1:8" x14ac:dyDescent="0.4">
      <c r="A1708" s="1" t="s">
        <v>191</v>
      </c>
      <c r="B1708" s="1">
        <v>10902</v>
      </c>
      <c r="C1708" s="1">
        <v>62</v>
      </c>
      <c r="D1708" s="1" t="s">
        <v>712</v>
      </c>
      <c r="E1708">
        <v>49.3</v>
      </c>
      <c r="F1708" s="1">
        <v>6</v>
      </c>
      <c r="G1708" s="1">
        <v>0.15</v>
      </c>
      <c r="H1708" s="2">
        <v>35149</v>
      </c>
    </row>
    <row r="1709" spans="1:8" x14ac:dyDescent="0.4">
      <c r="A1709" s="1" t="s">
        <v>264</v>
      </c>
      <c r="B1709" s="1">
        <v>10903</v>
      </c>
      <c r="C1709" s="1">
        <v>13</v>
      </c>
      <c r="D1709" s="1" t="s">
        <v>726</v>
      </c>
      <c r="E1709">
        <v>6</v>
      </c>
      <c r="F1709" s="1">
        <v>40</v>
      </c>
      <c r="G1709" s="1">
        <v>0</v>
      </c>
      <c r="H1709" s="2">
        <v>35150</v>
      </c>
    </row>
    <row r="1710" spans="1:8" x14ac:dyDescent="0.4">
      <c r="A1710" s="1" t="s">
        <v>264</v>
      </c>
      <c r="B1710" s="1">
        <v>10903</v>
      </c>
      <c r="C1710" s="1">
        <v>65</v>
      </c>
      <c r="D1710" s="1" t="s">
        <v>689</v>
      </c>
      <c r="E1710">
        <v>21.05</v>
      </c>
      <c r="F1710" s="1">
        <v>21</v>
      </c>
      <c r="G1710" s="1">
        <v>0</v>
      </c>
      <c r="H1710" s="2">
        <v>35150</v>
      </c>
    </row>
    <row r="1711" spans="1:8" x14ac:dyDescent="0.4">
      <c r="A1711" s="1" t="s">
        <v>264</v>
      </c>
      <c r="B1711" s="1">
        <v>10903</v>
      </c>
      <c r="C1711" s="1">
        <v>68</v>
      </c>
      <c r="D1711" s="1" t="s">
        <v>739</v>
      </c>
      <c r="E1711">
        <v>12.5</v>
      </c>
      <c r="F1711" s="1">
        <v>20</v>
      </c>
      <c r="G1711" s="1">
        <v>0</v>
      </c>
      <c r="H1711" s="2">
        <v>35150</v>
      </c>
    </row>
    <row r="1712" spans="1:8" x14ac:dyDescent="0.4">
      <c r="A1712" s="1" t="s">
        <v>654</v>
      </c>
      <c r="B1712" s="1">
        <v>10904</v>
      </c>
      <c r="C1712" s="1">
        <v>58</v>
      </c>
      <c r="D1712" s="1" t="s">
        <v>747</v>
      </c>
      <c r="E1712">
        <v>13.25</v>
      </c>
      <c r="F1712" s="1">
        <v>15</v>
      </c>
      <c r="G1712" s="1">
        <v>0</v>
      </c>
      <c r="H1712" s="2">
        <v>35150</v>
      </c>
    </row>
    <row r="1713" spans="1:8" x14ac:dyDescent="0.4">
      <c r="A1713" s="1" t="s">
        <v>654</v>
      </c>
      <c r="B1713" s="1">
        <v>10904</v>
      </c>
      <c r="C1713" s="1">
        <v>62</v>
      </c>
      <c r="D1713" s="1" t="s">
        <v>712</v>
      </c>
      <c r="E1713">
        <v>49.3</v>
      </c>
      <c r="F1713" s="1">
        <v>35</v>
      </c>
      <c r="G1713" s="1">
        <v>0</v>
      </c>
      <c r="H1713" s="2">
        <v>35150</v>
      </c>
    </row>
    <row r="1714" spans="1:8" x14ac:dyDescent="0.4">
      <c r="A1714" s="1" t="s">
        <v>647</v>
      </c>
      <c r="B1714" s="1">
        <v>10905</v>
      </c>
      <c r="C1714" s="1">
        <v>1</v>
      </c>
      <c r="D1714" s="1" t="s">
        <v>735</v>
      </c>
      <c r="E1714">
        <v>18</v>
      </c>
      <c r="F1714" s="1">
        <v>20</v>
      </c>
      <c r="G1714" s="1">
        <v>0.05</v>
      </c>
      <c r="H1714" s="2">
        <v>35150</v>
      </c>
    </row>
    <row r="1715" spans="1:8" x14ac:dyDescent="0.4">
      <c r="A1715" s="1" t="s">
        <v>668</v>
      </c>
      <c r="B1715" s="1">
        <v>10906</v>
      </c>
      <c r="C1715" s="1">
        <v>61</v>
      </c>
      <c r="D1715" s="1" t="s">
        <v>758</v>
      </c>
      <c r="E1715">
        <v>28.5</v>
      </c>
      <c r="F1715" s="1">
        <v>15</v>
      </c>
      <c r="G1715" s="1">
        <v>0</v>
      </c>
      <c r="H1715" s="2">
        <v>35151</v>
      </c>
    </row>
    <row r="1716" spans="1:8" x14ac:dyDescent="0.4">
      <c r="A1716" s="1" t="s">
        <v>551</v>
      </c>
      <c r="B1716" s="1">
        <v>10907</v>
      </c>
      <c r="C1716" s="1">
        <v>75</v>
      </c>
      <c r="D1716" s="1" t="s">
        <v>731</v>
      </c>
      <c r="E1716">
        <v>7.75</v>
      </c>
      <c r="F1716" s="1">
        <v>14</v>
      </c>
      <c r="G1716" s="1">
        <v>0</v>
      </c>
      <c r="H1716" s="2">
        <v>35151</v>
      </c>
    </row>
    <row r="1717" spans="1:8" x14ac:dyDescent="0.4">
      <c r="A1717" s="1" t="s">
        <v>496</v>
      </c>
      <c r="B1717" s="1">
        <v>10908</v>
      </c>
      <c r="C1717" s="1">
        <v>7</v>
      </c>
      <c r="D1717" s="1" t="s">
        <v>715</v>
      </c>
      <c r="E1717">
        <v>30</v>
      </c>
      <c r="F1717" s="1">
        <v>20</v>
      </c>
      <c r="G1717" s="1">
        <v>0.05</v>
      </c>
      <c r="H1717" s="2">
        <v>35152</v>
      </c>
    </row>
    <row r="1718" spans="1:8" x14ac:dyDescent="0.4">
      <c r="A1718" s="1" t="s">
        <v>496</v>
      </c>
      <c r="B1718" s="1">
        <v>10908</v>
      </c>
      <c r="C1718" s="1">
        <v>52</v>
      </c>
      <c r="D1718" s="1" t="s">
        <v>748</v>
      </c>
      <c r="E1718">
        <v>7</v>
      </c>
      <c r="F1718" s="1">
        <v>14</v>
      </c>
      <c r="G1718" s="1">
        <v>0.05</v>
      </c>
      <c r="H1718" s="2">
        <v>35152</v>
      </c>
    </row>
    <row r="1719" spans="1:8" x14ac:dyDescent="0.4">
      <c r="A1719" s="1" t="s">
        <v>521</v>
      </c>
      <c r="B1719" s="1">
        <v>10909</v>
      </c>
      <c r="C1719" s="1">
        <v>7</v>
      </c>
      <c r="D1719" s="1" t="s">
        <v>715</v>
      </c>
      <c r="E1719">
        <v>30</v>
      </c>
      <c r="F1719" s="1">
        <v>12</v>
      </c>
      <c r="G1719" s="1">
        <v>0</v>
      </c>
      <c r="H1719" s="2">
        <v>35152</v>
      </c>
    </row>
    <row r="1720" spans="1:8" x14ac:dyDescent="0.4">
      <c r="A1720" s="1" t="s">
        <v>521</v>
      </c>
      <c r="B1720" s="1">
        <v>10909</v>
      </c>
      <c r="C1720" s="1">
        <v>16</v>
      </c>
      <c r="D1720" s="1" t="s">
        <v>702</v>
      </c>
      <c r="E1720">
        <v>17.45</v>
      </c>
      <c r="F1720" s="1">
        <v>15</v>
      </c>
      <c r="G1720" s="1">
        <v>0</v>
      </c>
      <c r="H1720" s="2">
        <v>35152</v>
      </c>
    </row>
    <row r="1721" spans="1:8" x14ac:dyDescent="0.4">
      <c r="A1721" s="1" t="s">
        <v>521</v>
      </c>
      <c r="B1721" s="1">
        <v>10909</v>
      </c>
      <c r="C1721" s="1">
        <v>41</v>
      </c>
      <c r="D1721" s="1" t="s">
        <v>688</v>
      </c>
      <c r="E1721">
        <v>9.65</v>
      </c>
      <c r="F1721" s="1">
        <v>5</v>
      </c>
      <c r="G1721" s="1">
        <v>0</v>
      </c>
      <c r="H1721" s="2">
        <v>35152</v>
      </c>
    </row>
    <row r="1722" spans="1:8" x14ac:dyDescent="0.4">
      <c r="A1722" s="1" t="s">
        <v>661</v>
      </c>
      <c r="B1722" s="1">
        <v>10910</v>
      </c>
      <c r="C1722" s="1">
        <v>19</v>
      </c>
      <c r="D1722" s="1" t="s">
        <v>732</v>
      </c>
      <c r="E1722">
        <v>9.1999999999999993</v>
      </c>
      <c r="F1722" s="1">
        <v>12</v>
      </c>
      <c r="G1722" s="1">
        <v>0</v>
      </c>
      <c r="H1722" s="2">
        <v>35152</v>
      </c>
    </row>
    <row r="1723" spans="1:8" x14ac:dyDescent="0.4">
      <c r="A1723" s="1" t="s">
        <v>661</v>
      </c>
      <c r="B1723" s="1">
        <v>10910</v>
      </c>
      <c r="C1723" s="1">
        <v>49</v>
      </c>
      <c r="D1723" s="1" t="s">
        <v>697</v>
      </c>
      <c r="E1723">
        <v>20</v>
      </c>
      <c r="F1723" s="1">
        <v>10</v>
      </c>
      <c r="G1723" s="1">
        <v>0</v>
      </c>
      <c r="H1723" s="2">
        <v>35152</v>
      </c>
    </row>
    <row r="1724" spans="1:8" x14ac:dyDescent="0.4">
      <c r="A1724" s="1" t="s">
        <v>661</v>
      </c>
      <c r="B1724" s="1">
        <v>10910</v>
      </c>
      <c r="C1724" s="1">
        <v>61</v>
      </c>
      <c r="D1724" s="1" t="s">
        <v>758</v>
      </c>
      <c r="E1724">
        <v>28.5</v>
      </c>
      <c r="F1724" s="1">
        <v>5</v>
      </c>
      <c r="G1724" s="1">
        <v>0</v>
      </c>
      <c r="H1724" s="2">
        <v>35152</v>
      </c>
    </row>
    <row r="1725" spans="1:8" x14ac:dyDescent="0.4">
      <c r="A1725" s="1" t="s">
        <v>234</v>
      </c>
      <c r="B1725" s="1">
        <v>10911</v>
      </c>
      <c r="C1725" s="1">
        <v>1</v>
      </c>
      <c r="D1725" s="1" t="s">
        <v>735</v>
      </c>
      <c r="E1725">
        <v>18</v>
      </c>
      <c r="F1725" s="1">
        <v>10</v>
      </c>
      <c r="G1725" s="1">
        <v>0</v>
      </c>
      <c r="H1725" s="2">
        <v>35152</v>
      </c>
    </row>
    <row r="1726" spans="1:8" x14ac:dyDescent="0.4">
      <c r="A1726" s="1" t="s">
        <v>234</v>
      </c>
      <c r="B1726" s="1">
        <v>10911</v>
      </c>
      <c r="C1726" s="1">
        <v>17</v>
      </c>
      <c r="D1726" s="1" t="s">
        <v>718</v>
      </c>
      <c r="E1726">
        <v>39</v>
      </c>
      <c r="F1726" s="1">
        <v>12</v>
      </c>
      <c r="G1726" s="1">
        <v>0</v>
      </c>
      <c r="H1726" s="2">
        <v>35152</v>
      </c>
    </row>
    <row r="1727" spans="1:8" x14ac:dyDescent="0.4">
      <c r="A1727" s="1" t="s">
        <v>234</v>
      </c>
      <c r="B1727" s="1">
        <v>10911</v>
      </c>
      <c r="C1727" s="1">
        <v>67</v>
      </c>
      <c r="D1727" s="1" t="s">
        <v>734</v>
      </c>
      <c r="E1727">
        <v>14</v>
      </c>
      <c r="F1727" s="1">
        <v>15</v>
      </c>
      <c r="G1727" s="1">
        <v>0</v>
      </c>
      <c r="H1727" s="2">
        <v>35152</v>
      </c>
    </row>
    <row r="1728" spans="1:8" x14ac:dyDescent="0.4">
      <c r="A1728" s="1" t="s">
        <v>288</v>
      </c>
      <c r="B1728" s="1">
        <v>10912</v>
      </c>
      <c r="C1728" s="1">
        <v>11</v>
      </c>
      <c r="D1728" s="1" t="s">
        <v>683</v>
      </c>
      <c r="E1728">
        <v>21</v>
      </c>
      <c r="F1728" s="1">
        <v>40</v>
      </c>
      <c r="G1728" s="1">
        <v>0.25</v>
      </c>
      <c r="H1728" s="2">
        <v>35152</v>
      </c>
    </row>
    <row r="1729" spans="1:8" x14ac:dyDescent="0.4">
      <c r="A1729" s="1" t="s">
        <v>288</v>
      </c>
      <c r="B1729" s="1">
        <v>10912</v>
      </c>
      <c r="C1729" s="1">
        <v>29</v>
      </c>
      <c r="D1729" s="1" t="s">
        <v>722</v>
      </c>
      <c r="E1729">
        <v>123.79</v>
      </c>
      <c r="F1729" s="1">
        <v>60</v>
      </c>
      <c r="G1729" s="1">
        <v>0.25</v>
      </c>
      <c r="H1729" s="2">
        <v>35152</v>
      </c>
    </row>
    <row r="1730" spans="1:8" x14ac:dyDescent="0.4">
      <c r="A1730" s="1" t="s">
        <v>469</v>
      </c>
      <c r="B1730" s="1">
        <v>10913</v>
      </c>
      <c r="C1730" s="1">
        <v>4</v>
      </c>
      <c r="D1730" s="1" t="s">
        <v>745</v>
      </c>
      <c r="E1730">
        <v>22</v>
      </c>
      <c r="F1730" s="1">
        <v>30</v>
      </c>
      <c r="G1730" s="1">
        <v>0.25</v>
      </c>
      <c r="H1730" s="2">
        <v>35152</v>
      </c>
    </row>
    <row r="1731" spans="1:8" x14ac:dyDescent="0.4">
      <c r="A1731" s="1" t="s">
        <v>469</v>
      </c>
      <c r="B1731" s="1">
        <v>10913</v>
      </c>
      <c r="C1731" s="1">
        <v>33</v>
      </c>
      <c r="D1731" s="1" t="s">
        <v>693</v>
      </c>
      <c r="E1731">
        <v>2.5</v>
      </c>
      <c r="F1731" s="1">
        <v>40</v>
      </c>
      <c r="G1731" s="1">
        <v>0.25</v>
      </c>
      <c r="H1731" s="2">
        <v>35152</v>
      </c>
    </row>
    <row r="1732" spans="1:8" x14ac:dyDescent="0.4">
      <c r="A1732" s="1" t="s">
        <v>469</v>
      </c>
      <c r="B1732" s="1">
        <v>10913</v>
      </c>
      <c r="C1732" s="1">
        <v>58</v>
      </c>
      <c r="D1732" s="1" t="s">
        <v>747</v>
      </c>
      <c r="E1732">
        <v>13.25</v>
      </c>
      <c r="F1732" s="1">
        <v>15</v>
      </c>
      <c r="G1732" s="1">
        <v>0</v>
      </c>
      <c r="H1732" s="2">
        <v>35152</v>
      </c>
    </row>
    <row r="1733" spans="1:8" x14ac:dyDescent="0.4">
      <c r="A1733" s="1" t="s">
        <v>469</v>
      </c>
      <c r="B1733" s="1">
        <v>10914</v>
      </c>
      <c r="C1733" s="1">
        <v>71</v>
      </c>
      <c r="D1733" s="1" t="s">
        <v>725</v>
      </c>
      <c r="E1733">
        <v>21.5</v>
      </c>
      <c r="F1733" s="1">
        <v>25</v>
      </c>
      <c r="G1733" s="1">
        <v>0</v>
      </c>
      <c r="H1733" s="2">
        <v>35153</v>
      </c>
    </row>
    <row r="1734" spans="1:8" x14ac:dyDescent="0.4">
      <c r="A1734" s="1" t="s">
        <v>593</v>
      </c>
      <c r="B1734" s="1">
        <v>10915</v>
      </c>
      <c r="C1734" s="1">
        <v>17</v>
      </c>
      <c r="D1734" s="1" t="s">
        <v>718</v>
      </c>
      <c r="E1734">
        <v>39</v>
      </c>
      <c r="F1734" s="1">
        <v>10</v>
      </c>
      <c r="G1734" s="1">
        <v>0</v>
      </c>
      <c r="H1734" s="2">
        <v>35153</v>
      </c>
    </row>
    <row r="1735" spans="1:8" x14ac:dyDescent="0.4">
      <c r="A1735" s="1" t="s">
        <v>593</v>
      </c>
      <c r="B1735" s="1">
        <v>10915</v>
      </c>
      <c r="C1735" s="1">
        <v>33</v>
      </c>
      <c r="D1735" s="1" t="s">
        <v>693</v>
      </c>
      <c r="E1735">
        <v>2.5</v>
      </c>
      <c r="F1735" s="1">
        <v>30</v>
      </c>
      <c r="G1735" s="1">
        <v>0</v>
      </c>
      <c r="H1735" s="2">
        <v>35153</v>
      </c>
    </row>
    <row r="1736" spans="1:8" x14ac:dyDescent="0.4">
      <c r="A1736" s="1" t="s">
        <v>593</v>
      </c>
      <c r="B1736" s="1">
        <v>10915</v>
      </c>
      <c r="C1736" s="1">
        <v>54</v>
      </c>
      <c r="D1736" s="1" t="s">
        <v>738</v>
      </c>
      <c r="E1736">
        <v>7.45</v>
      </c>
      <c r="F1736" s="1">
        <v>10</v>
      </c>
      <c r="G1736" s="1">
        <v>0</v>
      </c>
      <c r="H1736" s="2">
        <v>35153</v>
      </c>
    </row>
    <row r="1737" spans="1:8" x14ac:dyDescent="0.4">
      <c r="A1737" s="1" t="s">
        <v>481</v>
      </c>
      <c r="B1737" s="1">
        <v>10916</v>
      </c>
      <c r="C1737" s="1">
        <v>16</v>
      </c>
      <c r="D1737" s="1" t="s">
        <v>702</v>
      </c>
      <c r="E1737">
        <v>17.45</v>
      </c>
      <c r="F1737" s="1">
        <v>6</v>
      </c>
      <c r="G1737" s="1">
        <v>0</v>
      </c>
      <c r="H1737" s="2">
        <v>35153</v>
      </c>
    </row>
    <row r="1738" spans="1:8" x14ac:dyDescent="0.4">
      <c r="A1738" s="1" t="s">
        <v>481</v>
      </c>
      <c r="B1738" s="1">
        <v>10916</v>
      </c>
      <c r="C1738" s="1">
        <v>32</v>
      </c>
      <c r="D1738" s="1" t="s">
        <v>709</v>
      </c>
      <c r="E1738">
        <v>32</v>
      </c>
      <c r="F1738" s="1">
        <v>6</v>
      </c>
      <c r="G1738" s="1">
        <v>0</v>
      </c>
      <c r="H1738" s="2">
        <v>35153</v>
      </c>
    </row>
    <row r="1739" spans="1:8" x14ac:dyDescent="0.4">
      <c r="A1739" s="1" t="s">
        <v>481</v>
      </c>
      <c r="B1739" s="1">
        <v>10916</v>
      </c>
      <c r="C1739" s="1">
        <v>57</v>
      </c>
      <c r="D1739" s="1" t="s">
        <v>691</v>
      </c>
      <c r="E1739">
        <v>19.5</v>
      </c>
      <c r="F1739" s="1">
        <v>20</v>
      </c>
      <c r="G1739" s="1">
        <v>0</v>
      </c>
      <c r="H1739" s="2">
        <v>35153</v>
      </c>
    </row>
    <row r="1740" spans="1:8" x14ac:dyDescent="0.4">
      <c r="A1740" s="1" t="s">
        <v>515</v>
      </c>
      <c r="B1740" s="1">
        <v>10917</v>
      </c>
      <c r="C1740" s="1">
        <v>30</v>
      </c>
      <c r="D1740" s="1" t="s">
        <v>717</v>
      </c>
      <c r="E1740">
        <v>25.89</v>
      </c>
      <c r="F1740" s="1">
        <v>1</v>
      </c>
      <c r="G1740" s="1">
        <v>0</v>
      </c>
      <c r="H1740" s="2">
        <v>35156</v>
      </c>
    </row>
    <row r="1741" spans="1:8" x14ac:dyDescent="0.4">
      <c r="A1741" s="1" t="s">
        <v>515</v>
      </c>
      <c r="B1741" s="1">
        <v>10917</v>
      </c>
      <c r="C1741" s="1">
        <v>60</v>
      </c>
      <c r="D1741" s="1" t="s">
        <v>694</v>
      </c>
      <c r="E1741">
        <v>34</v>
      </c>
      <c r="F1741" s="1">
        <v>10</v>
      </c>
      <c r="G1741" s="1">
        <v>0</v>
      </c>
      <c r="H1741" s="2">
        <v>35156</v>
      </c>
    </row>
    <row r="1742" spans="1:8" x14ac:dyDescent="0.4">
      <c r="A1742" s="1" t="s">
        <v>84</v>
      </c>
      <c r="B1742" s="1">
        <v>10918</v>
      </c>
      <c r="C1742" s="1">
        <v>1</v>
      </c>
      <c r="D1742" s="1" t="s">
        <v>735</v>
      </c>
      <c r="E1742">
        <v>18</v>
      </c>
      <c r="F1742" s="1">
        <v>60</v>
      </c>
      <c r="G1742" s="1">
        <v>0.25</v>
      </c>
      <c r="H1742" s="2">
        <v>35156</v>
      </c>
    </row>
    <row r="1743" spans="1:8" x14ac:dyDescent="0.4">
      <c r="A1743" s="1" t="s">
        <v>84</v>
      </c>
      <c r="B1743" s="1">
        <v>10918</v>
      </c>
      <c r="C1743" s="1">
        <v>60</v>
      </c>
      <c r="D1743" s="1" t="s">
        <v>694</v>
      </c>
      <c r="E1743">
        <v>34</v>
      </c>
      <c r="F1743" s="1">
        <v>25</v>
      </c>
      <c r="G1743" s="1">
        <v>0.25</v>
      </c>
      <c r="H1743" s="2">
        <v>35156</v>
      </c>
    </row>
    <row r="1744" spans="1:8" x14ac:dyDescent="0.4">
      <c r="A1744" s="1" t="s">
        <v>363</v>
      </c>
      <c r="B1744" s="1">
        <v>10919</v>
      </c>
      <c r="C1744" s="1">
        <v>16</v>
      </c>
      <c r="D1744" s="1" t="s">
        <v>702</v>
      </c>
      <c r="E1744">
        <v>17.45</v>
      </c>
      <c r="F1744" s="1">
        <v>24</v>
      </c>
      <c r="G1744" s="1">
        <v>0</v>
      </c>
      <c r="H1744" s="2">
        <v>35156</v>
      </c>
    </row>
    <row r="1745" spans="1:8" x14ac:dyDescent="0.4">
      <c r="A1745" s="1" t="s">
        <v>363</v>
      </c>
      <c r="B1745" s="1">
        <v>10919</v>
      </c>
      <c r="C1745" s="1">
        <v>25</v>
      </c>
      <c r="D1745" s="1" t="s">
        <v>749</v>
      </c>
      <c r="E1745">
        <v>14</v>
      </c>
      <c r="F1745" s="1">
        <v>24</v>
      </c>
      <c r="G1745" s="1">
        <v>0</v>
      </c>
      <c r="H1745" s="2">
        <v>35156</v>
      </c>
    </row>
    <row r="1746" spans="1:8" x14ac:dyDescent="0.4">
      <c r="A1746" s="1" t="s">
        <v>363</v>
      </c>
      <c r="B1746" s="1">
        <v>10919</v>
      </c>
      <c r="C1746" s="1">
        <v>40</v>
      </c>
      <c r="D1746" s="1" t="s">
        <v>720</v>
      </c>
      <c r="E1746">
        <v>18.399999999999999</v>
      </c>
      <c r="F1746" s="1">
        <v>20</v>
      </c>
      <c r="G1746" s="1">
        <v>0</v>
      </c>
      <c r="H1746" s="2">
        <v>35156</v>
      </c>
    </row>
    <row r="1747" spans="1:8" x14ac:dyDescent="0.4">
      <c r="A1747" s="1" t="s">
        <v>34</v>
      </c>
      <c r="B1747" s="1">
        <v>10920</v>
      </c>
      <c r="C1747" s="1">
        <v>50</v>
      </c>
      <c r="D1747" s="1" t="s">
        <v>755</v>
      </c>
      <c r="E1747">
        <v>16.25</v>
      </c>
      <c r="F1747" s="1">
        <v>24</v>
      </c>
      <c r="G1747" s="1">
        <v>0</v>
      </c>
      <c r="H1747" s="2">
        <v>35157</v>
      </c>
    </row>
    <row r="1748" spans="1:8" x14ac:dyDescent="0.4">
      <c r="A1748" s="1" t="s">
        <v>612</v>
      </c>
      <c r="B1748" s="1">
        <v>10921</v>
      </c>
      <c r="C1748" s="1">
        <v>35</v>
      </c>
      <c r="D1748" s="1" t="s">
        <v>714</v>
      </c>
      <c r="E1748">
        <v>18</v>
      </c>
      <c r="F1748" s="1">
        <v>10</v>
      </c>
      <c r="G1748" s="1">
        <v>0</v>
      </c>
      <c r="H1748" s="2">
        <v>35157</v>
      </c>
    </row>
    <row r="1749" spans="1:8" x14ac:dyDescent="0.4">
      <c r="A1749" s="1" t="s">
        <v>612</v>
      </c>
      <c r="B1749" s="1">
        <v>10921</v>
      </c>
      <c r="C1749" s="1">
        <v>63</v>
      </c>
      <c r="D1749" s="1" t="s">
        <v>729</v>
      </c>
      <c r="E1749">
        <v>43.9</v>
      </c>
      <c r="F1749" s="1">
        <v>40</v>
      </c>
      <c r="G1749" s="1">
        <v>0</v>
      </c>
      <c r="H1749" s="2">
        <v>35157</v>
      </c>
    </row>
    <row r="1750" spans="1:8" x14ac:dyDescent="0.4">
      <c r="A1750" s="1" t="s">
        <v>264</v>
      </c>
      <c r="B1750" s="1">
        <v>10922</v>
      </c>
      <c r="C1750" s="1">
        <v>17</v>
      </c>
      <c r="D1750" s="1" t="s">
        <v>718</v>
      </c>
      <c r="E1750">
        <v>39</v>
      </c>
      <c r="F1750" s="1">
        <v>15</v>
      </c>
      <c r="G1750" s="1">
        <v>0</v>
      </c>
      <c r="H1750" s="2">
        <v>35157</v>
      </c>
    </row>
    <row r="1751" spans="1:8" x14ac:dyDescent="0.4">
      <c r="A1751" s="1" t="s">
        <v>264</v>
      </c>
      <c r="B1751" s="1">
        <v>10922</v>
      </c>
      <c r="C1751" s="1">
        <v>24</v>
      </c>
      <c r="D1751" s="1" t="s">
        <v>698</v>
      </c>
      <c r="E1751">
        <v>4.5</v>
      </c>
      <c r="F1751" s="1">
        <v>35</v>
      </c>
      <c r="G1751" s="1">
        <v>0</v>
      </c>
      <c r="H1751" s="2">
        <v>35157</v>
      </c>
    </row>
    <row r="1752" spans="1:8" x14ac:dyDescent="0.4">
      <c r="A1752" s="1" t="s">
        <v>318</v>
      </c>
      <c r="B1752" s="1">
        <v>10923</v>
      </c>
      <c r="C1752" s="1">
        <v>42</v>
      </c>
      <c r="D1752" s="1" t="s">
        <v>684</v>
      </c>
      <c r="E1752">
        <v>14</v>
      </c>
      <c r="F1752" s="1">
        <v>10</v>
      </c>
      <c r="G1752" s="1">
        <v>0.2</v>
      </c>
      <c r="H1752" s="2">
        <v>35157</v>
      </c>
    </row>
    <row r="1753" spans="1:8" x14ac:dyDescent="0.4">
      <c r="A1753" s="1" t="s">
        <v>318</v>
      </c>
      <c r="B1753" s="1">
        <v>10923</v>
      </c>
      <c r="C1753" s="1">
        <v>43</v>
      </c>
      <c r="D1753" s="1" t="s">
        <v>723</v>
      </c>
      <c r="E1753">
        <v>46</v>
      </c>
      <c r="F1753" s="1">
        <v>10</v>
      </c>
      <c r="G1753" s="1">
        <v>0.2</v>
      </c>
      <c r="H1753" s="2">
        <v>35157</v>
      </c>
    </row>
    <row r="1754" spans="1:8" x14ac:dyDescent="0.4">
      <c r="A1754" s="1" t="s">
        <v>318</v>
      </c>
      <c r="B1754" s="1">
        <v>10923</v>
      </c>
      <c r="C1754" s="1">
        <v>67</v>
      </c>
      <c r="D1754" s="1" t="s">
        <v>734</v>
      </c>
      <c r="E1754">
        <v>14</v>
      </c>
      <c r="F1754" s="1">
        <v>24</v>
      </c>
      <c r="G1754" s="1">
        <v>0.2</v>
      </c>
      <c r="H1754" s="2">
        <v>35157</v>
      </c>
    </row>
    <row r="1755" spans="1:8" x14ac:dyDescent="0.4">
      <c r="A1755" s="1" t="s">
        <v>43</v>
      </c>
      <c r="B1755" s="1">
        <v>10924</v>
      </c>
      <c r="C1755" s="1">
        <v>10</v>
      </c>
      <c r="D1755" s="1" t="s">
        <v>724</v>
      </c>
      <c r="E1755">
        <v>31</v>
      </c>
      <c r="F1755" s="1">
        <v>20</v>
      </c>
      <c r="G1755" s="1">
        <v>0.1</v>
      </c>
      <c r="H1755" s="2">
        <v>35158</v>
      </c>
    </row>
    <row r="1756" spans="1:8" x14ac:dyDescent="0.4">
      <c r="A1756" s="1" t="s">
        <v>43</v>
      </c>
      <c r="B1756" s="1">
        <v>10924</v>
      </c>
      <c r="C1756" s="1">
        <v>28</v>
      </c>
      <c r="D1756" s="1" t="s">
        <v>727</v>
      </c>
      <c r="E1756">
        <v>45.6</v>
      </c>
      <c r="F1756" s="1">
        <v>30</v>
      </c>
      <c r="G1756" s="1">
        <v>0.1</v>
      </c>
      <c r="H1756" s="2">
        <v>35158</v>
      </c>
    </row>
    <row r="1757" spans="1:8" x14ac:dyDescent="0.4">
      <c r="A1757" s="1" t="s">
        <v>43</v>
      </c>
      <c r="B1757" s="1">
        <v>10924</v>
      </c>
      <c r="C1757" s="1">
        <v>75</v>
      </c>
      <c r="D1757" s="1" t="s">
        <v>731</v>
      </c>
      <c r="E1757">
        <v>7.75</v>
      </c>
      <c r="F1757" s="1">
        <v>6</v>
      </c>
      <c r="G1757" s="1">
        <v>0</v>
      </c>
      <c r="H1757" s="2">
        <v>35158</v>
      </c>
    </row>
    <row r="1758" spans="1:8" x14ac:dyDescent="0.4">
      <c r="A1758" s="1" t="s">
        <v>264</v>
      </c>
      <c r="B1758" s="1">
        <v>10925</v>
      </c>
      <c r="C1758" s="1">
        <v>36</v>
      </c>
      <c r="D1758" s="1" t="s">
        <v>703</v>
      </c>
      <c r="E1758">
        <v>19</v>
      </c>
      <c r="F1758" s="1">
        <v>25</v>
      </c>
      <c r="G1758" s="1">
        <v>0.15</v>
      </c>
      <c r="H1758" s="2">
        <v>35158</v>
      </c>
    </row>
    <row r="1759" spans="1:8" x14ac:dyDescent="0.4">
      <c r="A1759" s="1" t="s">
        <v>264</v>
      </c>
      <c r="B1759" s="1">
        <v>10925</v>
      </c>
      <c r="C1759" s="1">
        <v>52</v>
      </c>
      <c r="D1759" s="1" t="s">
        <v>748</v>
      </c>
      <c r="E1759">
        <v>7</v>
      </c>
      <c r="F1759" s="1">
        <v>12</v>
      </c>
      <c r="G1759" s="1">
        <v>0.15</v>
      </c>
      <c r="H1759" s="2">
        <v>35158</v>
      </c>
    </row>
    <row r="1760" spans="1:8" x14ac:dyDescent="0.4">
      <c r="A1760" s="1" t="s">
        <v>20</v>
      </c>
      <c r="B1760" s="1">
        <v>10926</v>
      </c>
      <c r="C1760" s="1">
        <v>11</v>
      </c>
      <c r="D1760" s="1" t="s">
        <v>683</v>
      </c>
      <c r="E1760">
        <v>21</v>
      </c>
      <c r="F1760" s="1">
        <v>2</v>
      </c>
      <c r="G1760" s="1">
        <v>0</v>
      </c>
      <c r="H1760" s="2">
        <v>35158</v>
      </c>
    </row>
    <row r="1761" spans="1:8" x14ac:dyDescent="0.4">
      <c r="A1761" s="1" t="s">
        <v>20</v>
      </c>
      <c r="B1761" s="1">
        <v>10926</v>
      </c>
      <c r="C1761" s="1">
        <v>13</v>
      </c>
      <c r="D1761" s="1" t="s">
        <v>726</v>
      </c>
      <c r="E1761">
        <v>6</v>
      </c>
      <c r="F1761" s="1">
        <v>10</v>
      </c>
      <c r="G1761" s="1">
        <v>0</v>
      </c>
      <c r="H1761" s="2">
        <v>35158</v>
      </c>
    </row>
    <row r="1762" spans="1:8" x14ac:dyDescent="0.4">
      <c r="A1762" s="1" t="s">
        <v>20</v>
      </c>
      <c r="B1762" s="1">
        <v>10926</v>
      </c>
      <c r="C1762" s="1">
        <v>19</v>
      </c>
      <c r="D1762" s="1" t="s">
        <v>732</v>
      </c>
      <c r="E1762">
        <v>9.1999999999999993</v>
      </c>
      <c r="F1762" s="1">
        <v>7</v>
      </c>
      <c r="G1762" s="1">
        <v>0</v>
      </c>
      <c r="H1762" s="2">
        <v>35158</v>
      </c>
    </row>
    <row r="1763" spans="1:8" x14ac:dyDescent="0.4">
      <c r="A1763" s="1" t="s">
        <v>20</v>
      </c>
      <c r="B1763" s="1">
        <v>10926</v>
      </c>
      <c r="C1763" s="1">
        <v>72</v>
      </c>
      <c r="D1763" s="1" t="s">
        <v>685</v>
      </c>
      <c r="E1763">
        <v>34.799999999999997</v>
      </c>
      <c r="F1763" s="1">
        <v>10</v>
      </c>
      <c r="G1763" s="1">
        <v>0</v>
      </c>
      <c r="H1763" s="2">
        <v>35158</v>
      </c>
    </row>
    <row r="1764" spans="1:8" x14ac:dyDescent="0.4">
      <c r="A1764" s="1" t="s">
        <v>311</v>
      </c>
      <c r="B1764" s="1">
        <v>10927</v>
      </c>
      <c r="C1764" s="1">
        <v>20</v>
      </c>
      <c r="D1764" s="1" t="s">
        <v>692</v>
      </c>
      <c r="E1764">
        <v>81</v>
      </c>
      <c r="F1764" s="1">
        <v>5</v>
      </c>
      <c r="G1764" s="1">
        <v>0</v>
      </c>
      <c r="H1764" s="2">
        <v>35159</v>
      </c>
    </row>
    <row r="1765" spans="1:8" x14ac:dyDescent="0.4">
      <c r="A1765" s="1" t="s">
        <v>311</v>
      </c>
      <c r="B1765" s="1">
        <v>10927</v>
      </c>
      <c r="C1765" s="1">
        <v>52</v>
      </c>
      <c r="D1765" s="1" t="s">
        <v>748</v>
      </c>
      <c r="E1765">
        <v>7</v>
      </c>
      <c r="F1765" s="1">
        <v>5</v>
      </c>
      <c r="G1765" s="1">
        <v>0</v>
      </c>
      <c r="H1765" s="2">
        <v>35159</v>
      </c>
    </row>
    <row r="1766" spans="1:8" x14ac:dyDescent="0.4">
      <c r="A1766" s="1" t="s">
        <v>311</v>
      </c>
      <c r="B1766" s="1">
        <v>10927</v>
      </c>
      <c r="C1766" s="1">
        <v>76</v>
      </c>
      <c r="D1766" s="1" t="s">
        <v>721</v>
      </c>
      <c r="E1766">
        <v>18</v>
      </c>
      <c r="F1766" s="1">
        <v>20</v>
      </c>
      <c r="G1766" s="1">
        <v>0</v>
      </c>
      <c r="H1766" s="2">
        <v>35159</v>
      </c>
    </row>
    <row r="1767" spans="1:8" x14ac:dyDescent="0.4">
      <c r="A1767" s="1" t="s">
        <v>227</v>
      </c>
      <c r="B1767" s="1">
        <v>10928</v>
      </c>
      <c r="C1767" s="1">
        <v>47</v>
      </c>
      <c r="D1767" s="1" t="s">
        <v>752</v>
      </c>
      <c r="E1767">
        <v>9.5</v>
      </c>
      <c r="F1767" s="1">
        <v>5</v>
      </c>
      <c r="G1767" s="1">
        <v>0</v>
      </c>
      <c r="H1767" s="2">
        <v>35159</v>
      </c>
    </row>
    <row r="1768" spans="1:8" x14ac:dyDescent="0.4">
      <c r="A1768" s="1" t="s">
        <v>227</v>
      </c>
      <c r="B1768" s="1">
        <v>10928</v>
      </c>
      <c r="C1768" s="1">
        <v>76</v>
      </c>
      <c r="D1768" s="1" t="s">
        <v>721</v>
      </c>
      <c r="E1768">
        <v>18</v>
      </c>
      <c r="F1768" s="1">
        <v>5</v>
      </c>
      <c r="G1768" s="1">
        <v>0</v>
      </c>
      <c r="H1768" s="2">
        <v>35159</v>
      </c>
    </row>
    <row r="1769" spans="1:8" x14ac:dyDescent="0.4">
      <c r="A1769" s="1" t="s">
        <v>198</v>
      </c>
      <c r="B1769" s="1">
        <v>10929</v>
      </c>
      <c r="C1769" s="1">
        <v>21</v>
      </c>
      <c r="D1769" s="1" t="s">
        <v>710</v>
      </c>
      <c r="E1769">
        <v>10</v>
      </c>
      <c r="F1769" s="1">
        <v>60</v>
      </c>
      <c r="G1769" s="1">
        <v>0</v>
      </c>
      <c r="H1769" s="2">
        <v>35159</v>
      </c>
    </row>
    <row r="1770" spans="1:8" x14ac:dyDescent="0.4">
      <c r="A1770" s="1" t="s">
        <v>198</v>
      </c>
      <c r="B1770" s="1">
        <v>10929</v>
      </c>
      <c r="C1770" s="1">
        <v>75</v>
      </c>
      <c r="D1770" s="1" t="s">
        <v>731</v>
      </c>
      <c r="E1770">
        <v>7.75</v>
      </c>
      <c r="F1770" s="1">
        <v>49</v>
      </c>
      <c r="G1770" s="1">
        <v>0</v>
      </c>
      <c r="H1770" s="2">
        <v>35159</v>
      </c>
    </row>
    <row r="1771" spans="1:8" x14ac:dyDescent="0.4">
      <c r="A1771" s="1" t="s">
        <v>198</v>
      </c>
      <c r="B1771" s="1">
        <v>10929</v>
      </c>
      <c r="C1771" s="1">
        <v>77</v>
      </c>
      <c r="D1771" s="1" t="s">
        <v>706</v>
      </c>
      <c r="E1771">
        <v>13</v>
      </c>
      <c r="F1771" s="1">
        <v>15</v>
      </c>
      <c r="G1771" s="1">
        <v>0</v>
      </c>
      <c r="H1771" s="2">
        <v>35159</v>
      </c>
    </row>
    <row r="1772" spans="1:8" x14ac:dyDescent="0.4">
      <c r="A1772" s="1" t="s">
        <v>565</v>
      </c>
      <c r="B1772" s="1">
        <v>10930</v>
      </c>
      <c r="C1772" s="1">
        <v>21</v>
      </c>
      <c r="D1772" s="1" t="s">
        <v>710</v>
      </c>
      <c r="E1772">
        <v>10</v>
      </c>
      <c r="F1772" s="1">
        <v>36</v>
      </c>
      <c r="G1772" s="1">
        <v>0</v>
      </c>
      <c r="H1772" s="2">
        <v>35160</v>
      </c>
    </row>
    <row r="1773" spans="1:8" x14ac:dyDescent="0.4">
      <c r="A1773" s="1" t="s">
        <v>565</v>
      </c>
      <c r="B1773" s="1">
        <v>10930</v>
      </c>
      <c r="C1773" s="1">
        <v>27</v>
      </c>
      <c r="D1773" s="1" t="s">
        <v>707</v>
      </c>
      <c r="E1773">
        <v>43.9</v>
      </c>
      <c r="F1773" s="1">
        <v>25</v>
      </c>
      <c r="G1773" s="1">
        <v>0</v>
      </c>
      <c r="H1773" s="2">
        <v>35160</v>
      </c>
    </row>
    <row r="1774" spans="1:8" x14ac:dyDescent="0.4">
      <c r="A1774" s="1" t="s">
        <v>565</v>
      </c>
      <c r="B1774" s="1">
        <v>10930</v>
      </c>
      <c r="C1774" s="1">
        <v>55</v>
      </c>
      <c r="D1774" s="1" t="s">
        <v>699</v>
      </c>
      <c r="E1774">
        <v>24</v>
      </c>
      <c r="F1774" s="1">
        <v>25</v>
      </c>
      <c r="G1774" s="1">
        <v>0.2</v>
      </c>
      <c r="H1774" s="2">
        <v>35160</v>
      </c>
    </row>
    <row r="1775" spans="1:8" x14ac:dyDescent="0.4">
      <c r="A1775" s="1" t="s">
        <v>565</v>
      </c>
      <c r="B1775" s="1">
        <v>10930</v>
      </c>
      <c r="C1775" s="1">
        <v>58</v>
      </c>
      <c r="D1775" s="1" t="s">
        <v>747</v>
      </c>
      <c r="E1775">
        <v>13.25</v>
      </c>
      <c r="F1775" s="1">
        <v>30</v>
      </c>
      <c r="G1775" s="1">
        <v>0.2</v>
      </c>
      <c r="H1775" s="2">
        <v>35160</v>
      </c>
    </row>
    <row r="1776" spans="1:8" x14ac:dyDescent="0.4">
      <c r="A1776" s="1" t="s">
        <v>509</v>
      </c>
      <c r="B1776" s="1">
        <v>10931</v>
      </c>
      <c r="C1776" s="1">
        <v>13</v>
      </c>
      <c r="D1776" s="1" t="s">
        <v>726</v>
      </c>
      <c r="E1776">
        <v>6</v>
      </c>
      <c r="F1776" s="1">
        <v>42</v>
      </c>
      <c r="G1776" s="1">
        <v>0.15</v>
      </c>
      <c r="H1776" s="2">
        <v>35160</v>
      </c>
    </row>
    <row r="1777" spans="1:8" x14ac:dyDescent="0.4">
      <c r="A1777" s="1" t="s">
        <v>509</v>
      </c>
      <c r="B1777" s="1">
        <v>10931</v>
      </c>
      <c r="C1777" s="1">
        <v>57</v>
      </c>
      <c r="D1777" s="1" t="s">
        <v>691</v>
      </c>
      <c r="E1777">
        <v>19.5</v>
      </c>
      <c r="F1777" s="1">
        <v>30</v>
      </c>
      <c r="G1777" s="1">
        <v>0</v>
      </c>
      <c r="H1777" s="2">
        <v>35160</v>
      </c>
    </row>
    <row r="1778" spans="1:8" x14ac:dyDescent="0.4">
      <c r="A1778" s="1" t="s">
        <v>77</v>
      </c>
      <c r="B1778" s="1">
        <v>10932</v>
      </c>
      <c r="C1778" s="1">
        <v>16</v>
      </c>
      <c r="D1778" s="1" t="s">
        <v>702</v>
      </c>
      <c r="E1778">
        <v>17.45</v>
      </c>
      <c r="F1778" s="1">
        <v>30</v>
      </c>
      <c r="G1778" s="1">
        <v>0.1</v>
      </c>
      <c r="H1778" s="2">
        <v>35160</v>
      </c>
    </row>
    <row r="1779" spans="1:8" x14ac:dyDescent="0.4">
      <c r="A1779" s="1" t="s">
        <v>77</v>
      </c>
      <c r="B1779" s="1">
        <v>10932</v>
      </c>
      <c r="C1779" s="1">
        <v>62</v>
      </c>
      <c r="D1779" s="1" t="s">
        <v>712</v>
      </c>
      <c r="E1779">
        <v>49.3</v>
      </c>
      <c r="F1779" s="1">
        <v>14</v>
      </c>
      <c r="G1779" s="1">
        <v>0.1</v>
      </c>
      <c r="H1779" s="2">
        <v>35160</v>
      </c>
    </row>
    <row r="1780" spans="1:8" x14ac:dyDescent="0.4">
      <c r="A1780" s="1" t="s">
        <v>77</v>
      </c>
      <c r="B1780" s="1">
        <v>10932</v>
      </c>
      <c r="C1780" s="1">
        <v>72</v>
      </c>
      <c r="D1780" s="1" t="s">
        <v>685</v>
      </c>
      <c r="E1780">
        <v>34.799999999999997</v>
      </c>
      <c r="F1780" s="1">
        <v>16</v>
      </c>
      <c r="G1780" s="1">
        <v>0</v>
      </c>
      <c r="H1780" s="2">
        <v>35160</v>
      </c>
    </row>
    <row r="1781" spans="1:8" x14ac:dyDescent="0.4">
      <c r="A1781" s="1" t="s">
        <v>77</v>
      </c>
      <c r="B1781" s="1">
        <v>10932</v>
      </c>
      <c r="C1781" s="1">
        <v>75</v>
      </c>
      <c r="D1781" s="1" t="s">
        <v>731</v>
      </c>
      <c r="E1781">
        <v>7.75</v>
      </c>
      <c r="F1781" s="1">
        <v>20</v>
      </c>
      <c r="G1781" s="1">
        <v>0.1</v>
      </c>
      <c r="H1781" s="2">
        <v>35160</v>
      </c>
    </row>
    <row r="1782" spans="1:8" x14ac:dyDescent="0.4">
      <c r="A1782" s="1" t="s">
        <v>297</v>
      </c>
      <c r="B1782" s="1">
        <v>10933</v>
      </c>
      <c r="C1782" s="1">
        <v>53</v>
      </c>
      <c r="D1782" s="1" t="s">
        <v>705</v>
      </c>
      <c r="E1782">
        <v>32.799999999999997</v>
      </c>
      <c r="F1782" s="1">
        <v>2</v>
      </c>
      <c r="G1782" s="1">
        <v>0</v>
      </c>
      <c r="H1782" s="2">
        <v>35160</v>
      </c>
    </row>
    <row r="1783" spans="1:8" x14ac:dyDescent="0.4">
      <c r="A1783" s="1" t="s">
        <v>297</v>
      </c>
      <c r="B1783" s="1">
        <v>10933</v>
      </c>
      <c r="C1783" s="1">
        <v>61</v>
      </c>
      <c r="D1783" s="1" t="s">
        <v>758</v>
      </c>
      <c r="E1783">
        <v>28.5</v>
      </c>
      <c r="F1783" s="1">
        <v>30</v>
      </c>
      <c r="G1783" s="1">
        <v>0</v>
      </c>
      <c r="H1783" s="2">
        <v>35160</v>
      </c>
    </row>
    <row r="1784" spans="1:8" x14ac:dyDescent="0.4">
      <c r="A1784" s="1" t="s">
        <v>341</v>
      </c>
      <c r="B1784" s="1">
        <v>10934</v>
      </c>
      <c r="C1784" s="1">
        <v>6</v>
      </c>
      <c r="D1784" s="1" t="s">
        <v>746</v>
      </c>
      <c r="E1784">
        <v>25</v>
      </c>
      <c r="F1784" s="1">
        <v>20</v>
      </c>
      <c r="G1784" s="1">
        <v>0</v>
      </c>
      <c r="H1784" s="2">
        <v>35163</v>
      </c>
    </row>
    <row r="1785" spans="1:8" x14ac:dyDescent="0.4">
      <c r="A1785" s="1" t="s">
        <v>647</v>
      </c>
      <c r="B1785" s="1">
        <v>10935</v>
      </c>
      <c r="C1785" s="1">
        <v>1</v>
      </c>
      <c r="D1785" s="1" t="s">
        <v>735</v>
      </c>
      <c r="E1785">
        <v>18</v>
      </c>
      <c r="F1785" s="1">
        <v>21</v>
      </c>
      <c r="G1785" s="1">
        <v>0</v>
      </c>
      <c r="H1785" s="2">
        <v>35163</v>
      </c>
    </row>
    <row r="1786" spans="1:8" x14ac:dyDescent="0.4">
      <c r="A1786" s="1" t="s">
        <v>647</v>
      </c>
      <c r="B1786" s="1">
        <v>10935</v>
      </c>
      <c r="C1786" s="1">
        <v>18</v>
      </c>
      <c r="D1786" s="1" t="s">
        <v>742</v>
      </c>
      <c r="E1786">
        <v>62.5</v>
      </c>
      <c r="F1786" s="1">
        <v>4</v>
      </c>
      <c r="G1786" s="1">
        <v>0.25</v>
      </c>
      <c r="H1786" s="2">
        <v>35163</v>
      </c>
    </row>
    <row r="1787" spans="1:8" x14ac:dyDescent="0.4">
      <c r="A1787" s="1" t="s">
        <v>647</v>
      </c>
      <c r="B1787" s="1">
        <v>10935</v>
      </c>
      <c r="C1787" s="1">
        <v>23</v>
      </c>
      <c r="D1787" s="1" t="s">
        <v>753</v>
      </c>
      <c r="E1787">
        <v>9</v>
      </c>
      <c r="F1787" s="1">
        <v>8</v>
      </c>
      <c r="G1787" s="1">
        <v>0.25</v>
      </c>
      <c r="H1787" s="2">
        <v>35163</v>
      </c>
    </row>
    <row r="1788" spans="1:8" x14ac:dyDescent="0.4">
      <c r="A1788" s="1" t="s">
        <v>247</v>
      </c>
      <c r="B1788" s="1">
        <v>10936</v>
      </c>
      <c r="C1788" s="1">
        <v>36</v>
      </c>
      <c r="D1788" s="1" t="s">
        <v>703</v>
      </c>
      <c r="E1788">
        <v>19</v>
      </c>
      <c r="F1788" s="1">
        <v>30</v>
      </c>
      <c r="G1788" s="1">
        <v>0.2</v>
      </c>
      <c r="H1788" s="2">
        <v>35163</v>
      </c>
    </row>
    <row r="1789" spans="1:8" x14ac:dyDescent="0.4">
      <c r="A1789" s="1" t="s">
        <v>101</v>
      </c>
      <c r="B1789" s="1">
        <v>10937</v>
      </c>
      <c r="C1789" s="1">
        <v>28</v>
      </c>
      <c r="D1789" s="1" t="s">
        <v>727</v>
      </c>
      <c r="E1789">
        <v>45.6</v>
      </c>
      <c r="F1789" s="1">
        <v>8</v>
      </c>
      <c r="G1789" s="1">
        <v>0</v>
      </c>
      <c r="H1789" s="2">
        <v>35164</v>
      </c>
    </row>
    <row r="1790" spans="1:8" x14ac:dyDescent="0.4">
      <c r="A1790" s="1" t="s">
        <v>101</v>
      </c>
      <c r="B1790" s="1">
        <v>10937</v>
      </c>
      <c r="C1790" s="1">
        <v>34</v>
      </c>
      <c r="D1790" s="1" t="s">
        <v>736</v>
      </c>
      <c r="E1790">
        <v>14</v>
      </c>
      <c r="F1790" s="1">
        <v>20</v>
      </c>
      <c r="G1790" s="1">
        <v>0</v>
      </c>
      <c r="H1790" s="2">
        <v>35164</v>
      </c>
    </row>
    <row r="1791" spans="1:8" x14ac:dyDescent="0.4">
      <c r="A1791" s="1" t="s">
        <v>475</v>
      </c>
      <c r="B1791" s="1">
        <v>10938</v>
      </c>
      <c r="C1791" s="1">
        <v>13</v>
      </c>
      <c r="D1791" s="1" t="s">
        <v>726</v>
      </c>
      <c r="E1791">
        <v>6</v>
      </c>
      <c r="F1791" s="1">
        <v>20</v>
      </c>
      <c r="G1791" s="1">
        <v>0.25</v>
      </c>
      <c r="H1791" s="2">
        <v>35164</v>
      </c>
    </row>
    <row r="1792" spans="1:8" x14ac:dyDescent="0.4">
      <c r="A1792" s="1" t="s">
        <v>475</v>
      </c>
      <c r="B1792" s="1">
        <v>10938</v>
      </c>
      <c r="C1792" s="1">
        <v>43</v>
      </c>
      <c r="D1792" s="1" t="s">
        <v>723</v>
      </c>
      <c r="E1792">
        <v>46</v>
      </c>
      <c r="F1792" s="1">
        <v>24</v>
      </c>
      <c r="G1792" s="1">
        <v>0.25</v>
      </c>
      <c r="H1792" s="2">
        <v>35164</v>
      </c>
    </row>
    <row r="1793" spans="1:8" x14ac:dyDescent="0.4">
      <c r="A1793" s="1" t="s">
        <v>475</v>
      </c>
      <c r="B1793" s="1">
        <v>10938</v>
      </c>
      <c r="C1793" s="1">
        <v>60</v>
      </c>
      <c r="D1793" s="1" t="s">
        <v>694</v>
      </c>
      <c r="E1793">
        <v>34</v>
      </c>
      <c r="F1793" s="1">
        <v>49</v>
      </c>
      <c r="G1793" s="1">
        <v>0.25</v>
      </c>
      <c r="H1793" s="2">
        <v>35164</v>
      </c>
    </row>
    <row r="1794" spans="1:8" x14ac:dyDescent="0.4">
      <c r="A1794" s="1" t="s">
        <v>475</v>
      </c>
      <c r="B1794" s="1">
        <v>10938</v>
      </c>
      <c r="C1794" s="1">
        <v>71</v>
      </c>
      <c r="D1794" s="1" t="s">
        <v>725</v>
      </c>
      <c r="E1794">
        <v>21.5</v>
      </c>
      <c r="F1794" s="1">
        <v>35</v>
      </c>
      <c r="G1794" s="1">
        <v>0.25</v>
      </c>
      <c r="H1794" s="2">
        <v>35164</v>
      </c>
    </row>
    <row r="1795" spans="1:8" x14ac:dyDescent="0.4">
      <c r="A1795" s="1" t="s">
        <v>378</v>
      </c>
      <c r="B1795" s="1">
        <v>10939</v>
      </c>
      <c r="C1795" s="1">
        <v>2</v>
      </c>
      <c r="D1795" s="1" t="s">
        <v>701</v>
      </c>
      <c r="E1795">
        <v>19</v>
      </c>
      <c r="F1795" s="1">
        <v>10</v>
      </c>
      <c r="G1795" s="1">
        <v>0.15</v>
      </c>
      <c r="H1795" s="2">
        <v>35164</v>
      </c>
    </row>
    <row r="1796" spans="1:8" x14ac:dyDescent="0.4">
      <c r="A1796" s="1" t="s">
        <v>378</v>
      </c>
      <c r="B1796" s="1">
        <v>10939</v>
      </c>
      <c r="C1796" s="1">
        <v>67</v>
      </c>
      <c r="D1796" s="1" t="s">
        <v>734</v>
      </c>
      <c r="E1796">
        <v>14</v>
      </c>
      <c r="F1796" s="1">
        <v>40</v>
      </c>
      <c r="G1796" s="1">
        <v>0.15</v>
      </c>
      <c r="H1796" s="2">
        <v>35164</v>
      </c>
    </row>
    <row r="1797" spans="1:8" x14ac:dyDescent="0.4">
      <c r="A1797" s="1" t="s">
        <v>77</v>
      </c>
      <c r="B1797" s="1">
        <v>10940</v>
      </c>
      <c r="C1797" s="1">
        <v>7</v>
      </c>
      <c r="D1797" s="1" t="s">
        <v>715</v>
      </c>
      <c r="E1797">
        <v>30</v>
      </c>
      <c r="F1797" s="1">
        <v>8</v>
      </c>
      <c r="G1797" s="1">
        <v>0</v>
      </c>
      <c r="H1797" s="2">
        <v>35165</v>
      </c>
    </row>
    <row r="1798" spans="1:8" x14ac:dyDescent="0.4">
      <c r="A1798" s="1" t="s">
        <v>77</v>
      </c>
      <c r="B1798" s="1">
        <v>10940</v>
      </c>
      <c r="C1798" s="1">
        <v>13</v>
      </c>
      <c r="D1798" s="1" t="s">
        <v>726</v>
      </c>
      <c r="E1798">
        <v>6</v>
      </c>
      <c r="F1798" s="1">
        <v>20</v>
      </c>
      <c r="G1798" s="1">
        <v>0</v>
      </c>
      <c r="H1798" s="2">
        <v>35165</v>
      </c>
    </row>
    <row r="1799" spans="1:8" x14ac:dyDescent="0.4">
      <c r="A1799" s="1" t="s">
        <v>529</v>
      </c>
      <c r="B1799" s="1">
        <v>10941</v>
      </c>
      <c r="C1799" s="1">
        <v>31</v>
      </c>
      <c r="D1799" s="1" t="s">
        <v>695</v>
      </c>
      <c r="E1799">
        <v>12.5</v>
      </c>
      <c r="F1799" s="1">
        <v>44</v>
      </c>
      <c r="G1799" s="1">
        <v>0.25</v>
      </c>
      <c r="H1799" s="2">
        <v>35165</v>
      </c>
    </row>
    <row r="1800" spans="1:8" x14ac:dyDescent="0.4">
      <c r="A1800" s="1" t="s">
        <v>529</v>
      </c>
      <c r="B1800" s="1">
        <v>10941</v>
      </c>
      <c r="C1800" s="1">
        <v>62</v>
      </c>
      <c r="D1800" s="1" t="s">
        <v>712</v>
      </c>
      <c r="E1800">
        <v>49.3</v>
      </c>
      <c r="F1800" s="1">
        <v>30</v>
      </c>
      <c r="G1800" s="1">
        <v>0.25</v>
      </c>
      <c r="H1800" s="2">
        <v>35165</v>
      </c>
    </row>
    <row r="1801" spans="1:8" x14ac:dyDescent="0.4">
      <c r="A1801" s="1" t="s">
        <v>529</v>
      </c>
      <c r="B1801" s="1">
        <v>10941</v>
      </c>
      <c r="C1801" s="1">
        <v>68</v>
      </c>
      <c r="D1801" s="1" t="s">
        <v>739</v>
      </c>
      <c r="E1801">
        <v>12.5</v>
      </c>
      <c r="F1801" s="1">
        <v>80</v>
      </c>
      <c r="G1801" s="1">
        <v>0.25</v>
      </c>
      <c r="H1801" s="2">
        <v>35165</v>
      </c>
    </row>
    <row r="1802" spans="1:8" x14ac:dyDescent="0.4">
      <c r="A1802" s="1" t="s">
        <v>529</v>
      </c>
      <c r="B1802" s="1">
        <v>10941</v>
      </c>
      <c r="C1802" s="1">
        <v>72</v>
      </c>
      <c r="D1802" s="1" t="s">
        <v>685</v>
      </c>
      <c r="E1802">
        <v>34.799999999999997</v>
      </c>
      <c r="F1802" s="1">
        <v>50</v>
      </c>
      <c r="G1802" s="1">
        <v>0</v>
      </c>
      <c r="H1802" s="2">
        <v>35165</v>
      </c>
    </row>
    <row r="1803" spans="1:8" x14ac:dyDescent="0.4">
      <c r="A1803" s="1" t="s">
        <v>496</v>
      </c>
      <c r="B1803" s="1">
        <v>10942</v>
      </c>
      <c r="C1803" s="1">
        <v>49</v>
      </c>
      <c r="D1803" s="1" t="s">
        <v>697</v>
      </c>
      <c r="E1803">
        <v>20</v>
      </c>
      <c r="F1803" s="1">
        <v>28</v>
      </c>
      <c r="G1803" s="1">
        <v>0</v>
      </c>
      <c r="H1803" s="2">
        <v>35165</v>
      </c>
    </row>
    <row r="1804" spans="1:8" x14ac:dyDescent="0.4">
      <c r="A1804" s="1" t="s">
        <v>95</v>
      </c>
      <c r="B1804" s="1">
        <v>10943</v>
      </c>
      <c r="C1804" s="1">
        <v>13</v>
      </c>
      <c r="D1804" s="1" t="s">
        <v>726</v>
      </c>
      <c r="E1804">
        <v>6</v>
      </c>
      <c r="F1804" s="1">
        <v>15</v>
      </c>
      <c r="G1804" s="1">
        <v>0</v>
      </c>
      <c r="H1804" s="2">
        <v>35165</v>
      </c>
    </row>
    <row r="1805" spans="1:8" x14ac:dyDescent="0.4">
      <c r="A1805" s="1" t="s">
        <v>95</v>
      </c>
      <c r="B1805" s="1">
        <v>10943</v>
      </c>
      <c r="C1805" s="1">
        <v>22</v>
      </c>
      <c r="D1805" s="1" t="s">
        <v>690</v>
      </c>
      <c r="E1805">
        <v>21</v>
      </c>
      <c r="F1805" s="1">
        <v>21</v>
      </c>
      <c r="G1805" s="1">
        <v>0</v>
      </c>
      <c r="H1805" s="2">
        <v>35165</v>
      </c>
    </row>
    <row r="1806" spans="1:8" x14ac:dyDescent="0.4">
      <c r="A1806" s="1" t="s">
        <v>95</v>
      </c>
      <c r="B1806" s="1">
        <v>10943</v>
      </c>
      <c r="C1806" s="1">
        <v>46</v>
      </c>
      <c r="D1806" s="1" t="s">
        <v>737</v>
      </c>
      <c r="E1806">
        <v>12</v>
      </c>
      <c r="F1806" s="1">
        <v>15</v>
      </c>
      <c r="G1806" s="1">
        <v>0</v>
      </c>
      <c r="H1806" s="2">
        <v>35165</v>
      </c>
    </row>
    <row r="1807" spans="1:8" x14ac:dyDescent="0.4">
      <c r="A1807" s="1" t="s">
        <v>84</v>
      </c>
      <c r="B1807" s="1">
        <v>10944</v>
      </c>
      <c r="C1807" s="1">
        <v>11</v>
      </c>
      <c r="D1807" s="1" t="s">
        <v>683</v>
      </c>
      <c r="E1807">
        <v>21</v>
      </c>
      <c r="F1807" s="1">
        <v>5</v>
      </c>
      <c r="G1807" s="1">
        <v>0.25</v>
      </c>
      <c r="H1807" s="2">
        <v>35166</v>
      </c>
    </row>
    <row r="1808" spans="1:8" x14ac:dyDescent="0.4">
      <c r="A1808" s="1" t="s">
        <v>84</v>
      </c>
      <c r="B1808" s="1">
        <v>10944</v>
      </c>
      <c r="C1808" s="1">
        <v>44</v>
      </c>
      <c r="D1808" s="1" t="s">
        <v>728</v>
      </c>
      <c r="E1808">
        <v>19.45</v>
      </c>
      <c r="F1808" s="1">
        <v>18</v>
      </c>
      <c r="G1808" s="1">
        <v>0.25</v>
      </c>
      <c r="H1808" s="2">
        <v>35166</v>
      </c>
    </row>
    <row r="1809" spans="1:8" x14ac:dyDescent="0.4">
      <c r="A1809" s="1" t="s">
        <v>84</v>
      </c>
      <c r="B1809" s="1">
        <v>10944</v>
      </c>
      <c r="C1809" s="1">
        <v>56</v>
      </c>
      <c r="D1809" s="1" t="s">
        <v>716</v>
      </c>
      <c r="E1809">
        <v>38</v>
      </c>
      <c r="F1809" s="1">
        <v>18</v>
      </c>
      <c r="G1809" s="1">
        <v>0</v>
      </c>
      <c r="H1809" s="2">
        <v>35166</v>
      </c>
    </row>
    <row r="1810" spans="1:8" x14ac:dyDescent="0.4">
      <c r="A1810" s="1" t="s">
        <v>403</v>
      </c>
      <c r="B1810" s="1">
        <v>10945</v>
      </c>
      <c r="C1810" s="1">
        <v>13</v>
      </c>
      <c r="D1810" s="1" t="s">
        <v>726</v>
      </c>
      <c r="E1810">
        <v>6</v>
      </c>
      <c r="F1810" s="1">
        <v>20</v>
      </c>
      <c r="G1810" s="1">
        <v>0</v>
      </c>
      <c r="H1810" s="2">
        <v>35166</v>
      </c>
    </row>
    <row r="1811" spans="1:8" x14ac:dyDescent="0.4">
      <c r="A1811" s="1" t="s">
        <v>403</v>
      </c>
      <c r="B1811" s="1">
        <v>10945</v>
      </c>
      <c r="C1811" s="1">
        <v>31</v>
      </c>
      <c r="D1811" s="1" t="s">
        <v>695</v>
      </c>
      <c r="E1811">
        <v>12.5</v>
      </c>
      <c r="F1811" s="1">
        <v>10</v>
      </c>
      <c r="G1811" s="1">
        <v>0</v>
      </c>
      <c r="H1811" s="2">
        <v>35166</v>
      </c>
    </row>
    <row r="1812" spans="1:8" x14ac:dyDescent="0.4">
      <c r="A1812" s="1" t="s">
        <v>612</v>
      </c>
      <c r="B1812" s="1">
        <v>10946</v>
      </c>
      <c r="C1812" s="1">
        <v>10</v>
      </c>
      <c r="D1812" s="1" t="s">
        <v>724</v>
      </c>
      <c r="E1812">
        <v>31</v>
      </c>
      <c r="F1812" s="1">
        <v>25</v>
      </c>
      <c r="G1812" s="1">
        <v>0</v>
      </c>
      <c r="H1812" s="2">
        <v>35166</v>
      </c>
    </row>
    <row r="1813" spans="1:8" x14ac:dyDescent="0.4">
      <c r="A1813" s="1" t="s">
        <v>612</v>
      </c>
      <c r="B1813" s="1">
        <v>10946</v>
      </c>
      <c r="C1813" s="1">
        <v>24</v>
      </c>
      <c r="D1813" s="1" t="s">
        <v>698</v>
      </c>
      <c r="E1813">
        <v>4.5</v>
      </c>
      <c r="F1813" s="1">
        <v>25</v>
      </c>
      <c r="G1813" s="1">
        <v>0</v>
      </c>
      <c r="H1813" s="2">
        <v>35166</v>
      </c>
    </row>
    <row r="1814" spans="1:8" x14ac:dyDescent="0.4">
      <c r="A1814" s="1" t="s">
        <v>612</v>
      </c>
      <c r="B1814" s="1">
        <v>10946</v>
      </c>
      <c r="C1814" s="1">
        <v>77</v>
      </c>
      <c r="D1814" s="1" t="s">
        <v>706</v>
      </c>
      <c r="E1814">
        <v>13</v>
      </c>
      <c r="F1814" s="1">
        <v>40</v>
      </c>
      <c r="G1814" s="1">
        <v>0</v>
      </c>
      <c r="H1814" s="2">
        <v>35166</v>
      </c>
    </row>
    <row r="1815" spans="1:8" x14ac:dyDescent="0.4">
      <c r="A1815" s="1" t="s">
        <v>95</v>
      </c>
      <c r="B1815" s="1">
        <v>10947</v>
      </c>
      <c r="C1815" s="1">
        <v>59</v>
      </c>
      <c r="D1815" s="1" t="s">
        <v>704</v>
      </c>
      <c r="E1815">
        <v>55</v>
      </c>
      <c r="F1815" s="1">
        <v>4</v>
      </c>
      <c r="G1815" s="1">
        <v>0</v>
      </c>
      <c r="H1815" s="2">
        <v>35167</v>
      </c>
    </row>
    <row r="1816" spans="1:8" x14ac:dyDescent="0.4">
      <c r="A1816" s="1" t="s">
        <v>234</v>
      </c>
      <c r="B1816" s="1">
        <v>10948</v>
      </c>
      <c r="C1816" s="1">
        <v>50</v>
      </c>
      <c r="D1816" s="1" t="s">
        <v>755</v>
      </c>
      <c r="E1816">
        <v>16.25</v>
      </c>
      <c r="F1816" s="1">
        <v>9</v>
      </c>
      <c r="G1816" s="1">
        <v>0</v>
      </c>
      <c r="H1816" s="2">
        <v>35167</v>
      </c>
    </row>
    <row r="1817" spans="1:8" x14ac:dyDescent="0.4">
      <c r="A1817" s="1" t="s">
        <v>234</v>
      </c>
      <c r="B1817" s="1">
        <v>10948</v>
      </c>
      <c r="C1817" s="1">
        <v>51</v>
      </c>
      <c r="D1817" s="1" t="s">
        <v>687</v>
      </c>
      <c r="E1817">
        <v>53</v>
      </c>
      <c r="F1817" s="1">
        <v>40</v>
      </c>
      <c r="G1817" s="1">
        <v>0</v>
      </c>
      <c r="H1817" s="2">
        <v>35167</v>
      </c>
    </row>
    <row r="1818" spans="1:8" x14ac:dyDescent="0.4">
      <c r="A1818" s="1" t="s">
        <v>234</v>
      </c>
      <c r="B1818" s="1">
        <v>10948</v>
      </c>
      <c r="C1818" s="1">
        <v>55</v>
      </c>
      <c r="D1818" s="1" t="s">
        <v>699</v>
      </c>
      <c r="E1818">
        <v>24</v>
      </c>
      <c r="F1818" s="1">
        <v>4</v>
      </c>
      <c r="G1818" s="1">
        <v>0</v>
      </c>
      <c r="H1818" s="2">
        <v>35167</v>
      </c>
    </row>
    <row r="1819" spans="1:8" x14ac:dyDescent="0.4">
      <c r="A1819" s="1" t="s">
        <v>84</v>
      </c>
      <c r="B1819" s="1">
        <v>10949</v>
      </c>
      <c r="C1819" s="1">
        <v>6</v>
      </c>
      <c r="D1819" s="1" t="s">
        <v>746</v>
      </c>
      <c r="E1819">
        <v>25</v>
      </c>
      <c r="F1819" s="1">
        <v>12</v>
      </c>
      <c r="G1819" s="1">
        <v>0</v>
      </c>
      <c r="H1819" s="2">
        <v>35167</v>
      </c>
    </row>
    <row r="1820" spans="1:8" x14ac:dyDescent="0.4">
      <c r="A1820" s="1" t="s">
        <v>84</v>
      </c>
      <c r="B1820" s="1">
        <v>10949</v>
      </c>
      <c r="C1820" s="1">
        <v>10</v>
      </c>
      <c r="D1820" s="1" t="s">
        <v>724</v>
      </c>
      <c r="E1820">
        <v>31</v>
      </c>
      <c r="F1820" s="1">
        <v>30</v>
      </c>
      <c r="G1820" s="1">
        <v>0</v>
      </c>
      <c r="H1820" s="2">
        <v>35167</v>
      </c>
    </row>
    <row r="1821" spans="1:8" x14ac:dyDescent="0.4">
      <c r="A1821" s="1" t="s">
        <v>84</v>
      </c>
      <c r="B1821" s="1">
        <v>10949</v>
      </c>
      <c r="C1821" s="1">
        <v>17</v>
      </c>
      <c r="D1821" s="1" t="s">
        <v>718</v>
      </c>
      <c r="E1821">
        <v>39</v>
      </c>
      <c r="F1821" s="1">
        <v>6</v>
      </c>
      <c r="G1821" s="1">
        <v>0</v>
      </c>
      <c r="H1821" s="2">
        <v>35167</v>
      </c>
    </row>
    <row r="1822" spans="1:8" x14ac:dyDescent="0.4">
      <c r="A1822" s="1" t="s">
        <v>84</v>
      </c>
      <c r="B1822" s="1">
        <v>10949</v>
      </c>
      <c r="C1822" s="1">
        <v>62</v>
      </c>
      <c r="D1822" s="1" t="s">
        <v>712</v>
      </c>
      <c r="E1822">
        <v>49.3</v>
      </c>
      <c r="F1822" s="1">
        <v>60</v>
      </c>
      <c r="G1822" s="1">
        <v>0</v>
      </c>
      <c r="H1822" s="2">
        <v>35167</v>
      </c>
    </row>
    <row r="1823" spans="1:8" x14ac:dyDescent="0.4">
      <c r="A1823" s="1" t="s">
        <v>378</v>
      </c>
      <c r="B1823" s="1">
        <v>10950</v>
      </c>
      <c r="C1823" s="1">
        <v>4</v>
      </c>
      <c r="D1823" s="1" t="s">
        <v>745</v>
      </c>
      <c r="E1823">
        <v>22</v>
      </c>
      <c r="F1823" s="1">
        <v>5</v>
      </c>
      <c r="G1823" s="1">
        <v>0</v>
      </c>
      <c r="H1823" s="2">
        <v>35170</v>
      </c>
    </row>
    <row r="1824" spans="1:8" x14ac:dyDescent="0.4">
      <c r="A1824" s="1" t="s">
        <v>509</v>
      </c>
      <c r="B1824" s="1">
        <v>10951</v>
      </c>
      <c r="C1824" s="1">
        <v>33</v>
      </c>
      <c r="D1824" s="1" t="s">
        <v>693</v>
      </c>
      <c r="E1824">
        <v>2.5</v>
      </c>
      <c r="F1824" s="1">
        <v>15</v>
      </c>
      <c r="G1824" s="1">
        <v>0.05</v>
      </c>
      <c r="H1824" s="2">
        <v>35170</v>
      </c>
    </row>
    <row r="1825" spans="1:8" x14ac:dyDescent="0.4">
      <c r="A1825" s="1" t="s">
        <v>509</v>
      </c>
      <c r="B1825" s="1">
        <v>10951</v>
      </c>
      <c r="C1825" s="1">
        <v>41</v>
      </c>
      <c r="D1825" s="1" t="s">
        <v>688</v>
      </c>
      <c r="E1825">
        <v>9.65</v>
      </c>
      <c r="F1825" s="1">
        <v>6</v>
      </c>
      <c r="G1825" s="1">
        <v>0.05</v>
      </c>
      <c r="H1825" s="2">
        <v>35170</v>
      </c>
    </row>
    <row r="1826" spans="1:8" x14ac:dyDescent="0.4">
      <c r="A1826" s="1" t="s">
        <v>509</v>
      </c>
      <c r="B1826" s="1">
        <v>10951</v>
      </c>
      <c r="C1826" s="1">
        <v>75</v>
      </c>
      <c r="D1826" s="1" t="s">
        <v>731</v>
      </c>
      <c r="E1826">
        <v>7.75</v>
      </c>
      <c r="F1826" s="1">
        <v>50</v>
      </c>
      <c r="G1826" s="1">
        <v>0.05</v>
      </c>
      <c r="H1826" s="2">
        <v>35170</v>
      </c>
    </row>
    <row r="1827" spans="1:8" x14ac:dyDescent="0.4">
      <c r="A1827" s="1" t="s">
        <v>11</v>
      </c>
      <c r="B1827" s="1">
        <v>10952</v>
      </c>
      <c r="C1827" s="1">
        <v>6</v>
      </c>
      <c r="D1827" s="1" t="s">
        <v>746</v>
      </c>
      <c r="E1827">
        <v>25</v>
      </c>
      <c r="F1827" s="1">
        <v>16</v>
      </c>
      <c r="G1827" s="1">
        <v>0.05</v>
      </c>
      <c r="H1827" s="2">
        <v>35170</v>
      </c>
    </row>
    <row r="1828" spans="1:8" x14ac:dyDescent="0.4">
      <c r="A1828" s="1" t="s">
        <v>11</v>
      </c>
      <c r="B1828" s="1">
        <v>10952</v>
      </c>
      <c r="C1828" s="1">
        <v>28</v>
      </c>
      <c r="D1828" s="1" t="s">
        <v>727</v>
      </c>
      <c r="E1828">
        <v>45.6</v>
      </c>
      <c r="F1828" s="1">
        <v>2</v>
      </c>
      <c r="G1828" s="1">
        <v>0</v>
      </c>
      <c r="H1828" s="2">
        <v>35170</v>
      </c>
    </row>
    <row r="1829" spans="1:8" x14ac:dyDescent="0.4">
      <c r="A1829" s="1" t="s">
        <v>34</v>
      </c>
      <c r="B1829" s="1">
        <v>10953</v>
      </c>
      <c r="C1829" s="1">
        <v>20</v>
      </c>
      <c r="D1829" s="1" t="s">
        <v>692</v>
      </c>
      <c r="E1829">
        <v>81</v>
      </c>
      <c r="F1829" s="1">
        <v>50</v>
      </c>
      <c r="G1829" s="1">
        <v>0.05</v>
      </c>
      <c r="H1829" s="2">
        <v>35170</v>
      </c>
    </row>
    <row r="1830" spans="1:8" x14ac:dyDescent="0.4">
      <c r="A1830" s="1" t="s">
        <v>34</v>
      </c>
      <c r="B1830" s="1">
        <v>10953</v>
      </c>
      <c r="C1830" s="1">
        <v>31</v>
      </c>
      <c r="D1830" s="1" t="s">
        <v>695</v>
      </c>
      <c r="E1830">
        <v>12.5</v>
      </c>
      <c r="F1830" s="1">
        <v>50</v>
      </c>
      <c r="G1830" s="1">
        <v>0.05</v>
      </c>
      <c r="H1830" s="2">
        <v>35170</v>
      </c>
    </row>
    <row r="1831" spans="1:8" x14ac:dyDescent="0.4">
      <c r="A1831" s="1" t="s">
        <v>363</v>
      </c>
      <c r="B1831" s="1">
        <v>10954</v>
      </c>
      <c r="C1831" s="1">
        <v>16</v>
      </c>
      <c r="D1831" s="1" t="s">
        <v>702</v>
      </c>
      <c r="E1831">
        <v>17.45</v>
      </c>
      <c r="F1831" s="1">
        <v>28</v>
      </c>
      <c r="G1831" s="1">
        <v>0.15</v>
      </c>
      <c r="H1831" s="2">
        <v>35171</v>
      </c>
    </row>
    <row r="1832" spans="1:8" x14ac:dyDescent="0.4">
      <c r="A1832" s="1" t="s">
        <v>363</v>
      </c>
      <c r="B1832" s="1">
        <v>10954</v>
      </c>
      <c r="C1832" s="1">
        <v>31</v>
      </c>
      <c r="D1832" s="1" t="s">
        <v>695</v>
      </c>
      <c r="E1832">
        <v>12.5</v>
      </c>
      <c r="F1832" s="1">
        <v>25</v>
      </c>
      <c r="G1832" s="1">
        <v>0.15</v>
      </c>
      <c r="H1832" s="2">
        <v>35171</v>
      </c>
    </row>
    <row r="1833" spans="1:8" x14ac:dyDescent="0.4">
      <c r="A1833" s="1" t="s">
        <v>363</v>
      </c>
      <c r="B1833" s="1">
        <v>10954</v>
      </c>
      <c r="C1833" s="1">
        <v>45</v>
      </c>
      <c r="D1833" s="1" t="s">
        <v>756</v>
      </c>
      <c r="E1833">
        <v>9.5</v>
      </c>
      <c r="F1833" s="1">
        <v>30</v>
      </c>
      <c r="G1833" s="1">
        <v>0</v>
      </c>
      <c r="H1833" s="2">
        <v>35171</v>
      </c>
    </row>
    <row r="1834" spans="1:8" x14ac:dyDescent="0.4">
      <c r="A1834" s="1" t="s">
        <v>363</v>
      </c>
      <c r="B1834" s="1">
        <v>10954</v>
      </c>
      <c r="C1834" s="1">
        <v>60</v>
      </c>
      <c r="D1834" s="1" t="s">
        <v>694</v>
      </c>
      <c r="E1834">
        <v>34</v>
      </c>
      <c r="F1834" s="1">
        <v>24</v>
      </c>
      <c r="G1834" s="1">
        <v>0.15</v>
      </c>
      <c r="H1834" s="2">
        <v>35171</v>
      </c>
    </row>
    <row r="1835" spans="1:8" x14ac:dyDescent="0.4">
      <c r="A1835" s="1" t="s">
        <v>191</v>
      </c>
      <c r="B1835" s="1">
        <v>10955</v>
      </c>
      <c r="C1835" s="1">
        <v>75</v>
      </c>
      <c r="D1835" s="1" t="s">
        <v>731</v>
      </c>
      <c r="E1835">
        <v>7.75</v>
      </c>
      <c r="F1835" s="1">
        <v>12</v>
      </c>
      <c r="G1835" s="1">
        <v>0.2</v>
      </c>
      <c r="H1835" s="2">
        <v>35171</v>
      </c>
    </row>
    <row r="1836" spans="1:8" x14ac:dyDescent="0.4">
      <c r="A1836" s="1" t="s">
        <v>53</v>
      </c>
      <c r="B1836" s="1">
        <v>10956</v>
      </c>
      <c r="C1836" s="1">
        <v>21</v>
      </c>
      <c r="D1836" s="1" t="s">
        <v>710</v>
      </c>
      <c r="E1836">
        <v>10</v>
      </c>
      <c r="F1836" s="1">
        <v>12</v>
      </c>
      <c r="G1836" s="1">
        <v>0</v>
      </c>
      <c r="H1836" s="2">
        <v>35171</v>
      </c>
    </row>
    <row r="1837" spans="1:8" x14ac:dyDescent="0.4">
      <c r="A1837" s="1" t="s">
        <v>53</v>
      </c>
      <c r="B1837" s="1">
        <v>10956</v>
      </c>
      <c r="C1837" s="1">
        <v>47</v>
      </c>
      <c r="D1837" s="1" t="s">
        <v>752</v>
      </c>
      <c r="E1837">
        <v>9.5</v>
      </c>
      <c r="F1837" s="1">
        <v>14</v>
      </c>
      <c r="G1837" s="1">
        <v>0</v>
      </c>
      <c r="H1837" s="2">
        <v>35171</v>
      </c>
    </row>
    <row r="1838" spans="1:8" x14ac:dyDescent="0.4">
      <c r="A1838" s="1" t="s">
        <v>53</v>
      </c>
      <c r="B1838" s="1">
        <v>10956</v>
      </c>
      <c r="C1838" s="1">
        <v>51</v>
      </c>
      <c r="D1838" s="1" t="s">
        <v>687</v>
      </c>
      <c r="E1838">
        <v>53</v>
      </c>
      <c r="F1838" s="1">
        <v>8</v>
      </c>
      <c r="G1838" s="1">
        <v>0</v>
      </c>
      <c r="H1838" s="2">
        <v>35171</v>
      </c>
    </row>
    <row r="1839" spans="1:8" x14ac:dyDescent="0.4">
      <c r="A1839" s="1" t="s">
        <v>273</v>
      </c>
      <c r="B1839" s="1">
        <v>10957</v>
      </c>
      <c r="C1839" s="1">
        <v>30</v>
      </c>
      <c r="D1839" s="1" t="s">
        <v>717</v>
      </c>
      <c r="E1839">
        <v>25.89</v>
      </c>
      <c r="F1839" s="1">
        <v>30</v>
      </c>
      <c r="G1839" s="1">
        <v>0</v>
      </c>
      <c r="H1839" s="2">
        <v>35172</v>
      </c>
    </row>
    <row r="1840" spans="1:8" x14ac:dyDescent="0.4">
      <c r="A1840" s="1" t="s">
        <v>273</v>
      </c>
      <c r="B1840" s="1">
        <v>10957</v>
      </c>
      <c r="C1840" s="1">
        <v>35</v>
      </c>
      <c r="D1840" s="1" t="s">
        <v>714</v>
      </c>
      <c r="E1840">
        <v>18</v>
      </c>
      <c r="F1840" s="1">
        <v>40</v>
      </c>
      <c r="G1840" s="1">
        <v>0</v>
      </c>
      <c r="H1840" s="2">
        <v>35172</v>
      </c>
    </row>
    <row r="1841" spans="1:8" x14ac:dyDescent="0.4">
      <c r="A1841" s="1" t="s">
        <v>273</v>
      </c>
      <c r="B1841" s="1">
        <v>10957</v>
      </c>
      <c r="C1841" s="1">
        <v>64</v>
      </c>
      <c r="D1841" s="1" t="s">
        <v>741</v>
      </c>
      <c r="E1841">
        <v>33.25</v>
      </c>
      <c r="F1841" s="1">
        <v>8</v>
      </c>
      <c r="G1841" s="1">
        <v>0</v>
      </c>
      <c r="H1841" s="2">
        <v>35172</v>
      </c>
    </row>
    <row r="1842" spans="1:8" x14ac:dyDescent="0.4">
      <c r="A1842" s="1" t="s">
        <v>416</v>
      </c>
      <c r="B1842" s="1">
        <v>10958</v>
      </c>
      <c r="C1842" s="1">
        <v>5</v>
      </c>
      <c r="D1842" s="1" t="s">
        <v>708</v>
      </c>
      <c r="E1842">
        <v>21.35</v>
      </c>
      <c r="F1842" s="1">
        <v>20</v>
      </c>
      <c r="G1842" s="1">
        <v>0</v>
      </c>
      <c r="H1842" s="2">
        <v>35172</v>
      </c>
    </row>
    <row r="1843" spans="1:8" x14ac:dyDescent="0.4">
      <c r="A1843" s="1" t="s">
        <v>416</v>
      </c>
      <c r="B1843" s="1">
        <v>10958</v>
      </c>
      <c r="C1843" s="1">
        <v>7</v>
      </c>
      <c r="D1843" s="1" t="s">
        <v>715</v>
      </c>
      <c r="E1843">
        <v>30</v>
      </c>
      <c r="F1843" s="1">
        <v>6</v>
      </c>
      <c r="G1843" s="1">
        <v>0</v>
      </c>
      <c r="H1843" s="2">
        <v>35172</v>
      </c>
    </row>
    <row r="1844" spans="1:8" x14ac:dyDescent="0.4">
      <c r="A1844" s="1" t="s">
        <v>416</v>
      </c>
      <c r="B1844" s="1">
        <v>10958</v>
      </c>
      <c r="C1844" s="1">
        <v>72</v>
      </c>
      <c r="D1844" s="1" t="s">
        <v>685</v>
      </c>
      <c r="E1844">
        <v>34.799999999999997</v>
      </c>
      <c r="F1844" s="1">
        <v>5</v>
      </c>
      <c r="G1844" s="1">
        <v>0</v>
      </c>
      <c r="H1844" s="2">
        <v>35172</v>
      </c>
    </row>
    <row r="1845" spans="1:8" x14ac:dyDescent="0.4">
      <c r="A1845" s="1" t="s">
        <v>240</v>
      </c>
      <c r="B1845" s="1">
        <v>10959</v>
      </c>
      <c r="C1845" s="1">
        <v>75</v>
      </c>
      <c r="D1845" s="1" t="s">
        <v>731</v>
      </c>
      <c r="E1845">
        <v>7.75</v>
      </c>
      <c r="F1845" s="1">
        <v>20</v>
      </c>
      <c r="G1845" s="1">
        <v>0.15</v>
      </c>
      <c r="H1845" s="2">
        <v>35172</v>
      </c>
    </row>
    <row r="1846" spans="1:8" x14ac:dyDescent="0.4">
      <c r="A1846" s="1" t="s">
        <v>273</v>
      </c>
      <c r="B1846" s="1">
        <v>10960</v>
      </c>
      <c r="C1846" s="1">
        <v>24</v>
      </c>
      <c r="D1846" s="1" t="s">
        <v>698</v>
      </c>
      <c r="E1846">
        <v>4.5</v>
      </c>
      <c r="F1846" s="1">
        <v>10</v>
      </c>
      <c r="G1846" s="1">
        <v>0.25</v>
      </c>
      <c r="H1846" s="2">
        <v>35173</v>
      </c>
    </row>
    <row r="1847" spans="1:8" x14ac:dyDescent="0.4">
      <c r="A1847" s="1" t="s">
        <v>273</v>
      </c>
      <c r="B1847" s="1">
        <v>10960</v>
      </c>
      <c r="C1847" s="1">
        <v>41</v>
      </c>
      <c r="D1847" s="1" t="s">
        <v>688</v>
      </c>
      <c r="E1847">
        <v>9.65</v>
      </c>
      <c r="F1847" s="1">
        <v>24</v>
      </c>
      <c r="G1847" s="1">
        <v>0</v>
      </c>
      <c r="H1847" s="2">
        <v>35173</v>
      </c>
    </row>
    <row r="1848" spans="1:8" x14ac:dyDescent="0.4">
      <c r="A1848" s="1" t="s">
        <v>469</v>
      </c>
      <c r="B1848" s="1">
        <v>10961</v>
      </c>
      <c r="C1848" s="1">
        <v>52</v>
      </c>
      <c r="D1848" s="1" t="s">
        <v>748</v>
      </c>
      <c r="E1848">
        <v>7</v>
      </c>
      <c r="F1848" s="1">
        <v>6</v>
      </c>
      <c r="G1848" s="1">
        <v>0.05</v>
      </c>
      <c r="H1848" s="2">
        <v>35173</v>
      </c>
    </row>
    <row r="1849" spans="1:8" x14ac:dyDescent="0.4">
      <c r="A1849" s="1" t="s">
        <v>469</v>
      </c>
      <c r="B1849" s="1">
        <v>10961</v>
      </c>
      <c r="C1849" s="1">
        <v>76</v>
      </c>
      <c r="D1849" s="1" t="s">
        <v>721</v>
      </c>
      <c r="E1849">
        <v>18</v>
      </c>
      <c r="F1849" s="1">
        <v>60</v>
      </c>
      <c r="G1849" s="1">
        <v>0</v>
      </c>
      <c r="H1849" s="2">
        <v>35173</v>
      </c>
    </row>
    <row r="1850" spans="1:8" x14ac:dyDescent="0.4">
      <c r="A1850" s="1" t="s">
        <v>475</v>
      </c>
      <c r="B1850" s="1">
        <v>10962</v>
      </c>
      <c r="C1850" s="1">
        <v>7</v>
      </c>
      <c r="D1850" s="1" t="s">
        <v>715</v>
      </c>
      <c r="E1850">
        <v>30</v>
      </c>
      <c r="F1850" s="1">
        <v>45</v>
      </c>
      <c r="G1850" s="1">
        <v>0</v>
      </c>
      <c r="H1850" s="2">
        <v>35173</v>
      </c>
    </row>
    <row r="1851" spans="1:8" x14ac:dyDescent="0.4">
      <c r="A1851" s="1" t="s">
        <v>475</v>
      </c>
      <c r="B1851" s="1">
        <v>10962</v>
      </c>
      <c r="C1851" s="1">
        <v>13</v>
      </c>
      <c r="D1851" s="1" t="s">
        <v>726</v>
      </c>
      <c r="E1851">
        <v>6</v>
      </c>
      <c r="F1851" s="1">
        <v>77</v>
      </c>
      <c r="G1851" s="1">
        <v>0</v>
      </c>
      <c r="H1851" s="2">
        <v>35173</v>
      </c>
    </row>
    <row r="1852" spans="1:8" x14ac:dyDescent="0.4">
      <c r="A1852" s="1" t="s">
        <v>475</v>
      </c>
      <c r="B1852" s="1">
        <v>10962</v>
      </c>
      <c r="C1852" s="1">
        <v>53</v>
      </c>
      <c r="D1852" s="1" t="s">
        <v>705</v>
      </c>
      <c r="E1852">
        <v>32.799999999999997</v>
      </c>
      <c r="F1852" s="1">
        <v>20</v>
      </c>
      <c r="G1852" s="1">
        <v>0</v>
      </c>
      <c r="H1852" s="2">
        <v>35173</v>
      </c>
    </row>
    <row r="1853" spans="1:8" x14ac:dyDescent="0.4">
      <c r="A1853" s="1" t="s">
        <v>475</v>
      </c>
      <c r="B1853" s="1">
        <v>10962</v>
      </c>
      <c r="C1853" s="1">
        <v>69</v>
      </c>
      <c r="D1853" s="1" t="s">
        <v>743</v>
      </c>
      <c r="E1853">
        <v>36</v>
      </c>
      <c r="F1853" s="1">
        <v>9</v>
      </c>
      <c r="G1853" s="1">
        <v>0</v>
      </c>
      <c r="H1853" s="2">
        <v>35173</v>
      </c>
    </row>
    <row r="1854" spans="1:8" x14ac:dyDescent="0.4">
      <c r="A1854" s="1" t="s">
        <v>475</v>
      </c>
      <c r="B1854" s="1">
        <v>10962</v>
      </c>
      <c r="C1854" s="1">
        <v>76</v>
      </c>
      <c r="D1854" s="1" t="s">
        <v>721</v>
      </c>
      <c r="E1854">
        <v>18</v>
      </c>
      <c r="F1854" s="1">
        <v>44</v>
      </c>
      <c r="G1854" s="1">
        <v>0</v>
      </c>
      <c r="H1854" s="2">
        <v>35173</v>
      </c>
    </row>
    <row r="1855" spans="1:8" x14ac:dyDescent="0.4">
      <c r="A1855" s="1" t="s">
        <v>219</v>
      </c>
      <c r="B1855" s="1">
        <v>10963</v>
      </c>
      <c r="C1855" s="1">
        <v>60</v>
      </c>
      <c r="D1855" s="1" t="s">
        <v>694</v>
      </c>
      <c r="E1855">
        <v>34</v>
      </c>
      <c r="F1855" s="1">
        <v>2</v>
      </c>
      <c r="G1855" s="1">
        <v>0.15</v>
      </c>
      <c r="H1855" s="2">
        <v>35173</v>
      </c>
    </row>
    <row r="1856" spans="1:8" x14ac:dyDescent="0.4">
      <c r="A1856" s="1" t="s">
        <v>551</v>
      </c>
      <c r="B1856" s="1">
        <v>10964</v>
      </c>
      <c r="C1856" s="1">
        <v>18</v>
      </c>
      <c r="D1856" s="1" t="s">
        <v>742</v>
      </c>
      <c r="E1856">
        <v>62.5</v>
      </c>
      <c r="F1856" s="1">
        <v>6</v>
      </c>
      <c r="G1856" s="1">
        <v>0</v>
      </c>
      <c r="H1856" s="2">
        <v>35174</v>
      </c>
    </row>
    <row r="1857" spans="1:8" x14ac:dyDescent="0.4">
      <c r="A1857" s="1" t="s">
        <v>551</v>
      </c>
      <c r="B1857" s="1">
        <v>10964</v>
      </c>
      <c r="C1857" s="1">
        <v>38</v>
      </c>
      <c r="D1857" s="1" t="s">
        <v>750</v>
      </c>
      <c r="E1857">
        <v>263.5</v>
      </c>
      <c r="F1857" s="1">
        <v>5</v>
      </c>
      <c r="G1857" s="1">
        <v>0</v>
      </c>
      <c r="H1857" s="2">
        <v>35174</v>
      </c>
    </row>
    <row r="1858" spans="1:8" x14ac:dyDescent="0.4">
      <c r="A1858" s="1" t="s">
        <v>551</v>
      </c>
      <c r="B1858" s="1">
        <v>10964</v>
      </c>
      <c r="C1858" s="1">
        <v>69</v>
      </c>
      <c r="D1858" s="1" t="s">
        <v>743</v>
      </c>
      <c r="E1858">
        <v>36</v>
      </c>
      <c r="F1858" s="1">
        <v>10</v>
      </c>
      <c r="G1858" s="1">
        <v>0</v>
      </c>
      <c r="H1858" s="2">
        <v>35174</v>
      </c>
    </row>
    <row r="1859" spans="1:8" x14ac:dyDescent="0.4">
      <c r="A1859" s="1" t="s">
        <v>422</v>
      </c>
      <c r="B1859" s="1">
        <v>10965</v>
      </c>
      <c r="C1859" s="1">
        <v>51</v>
      </c>
      <c r="D1859" s="1" t="s">
        <v>687</v>
      </c>
      <c r="E1859">
        <v>53</v>
      </c>
      <c r="F1859" s="1">
        <v>16</v>
      </c>
      <c r="G1859" s="1">
        <v>0</v>
      </c>
      <c r="H1859" s="2">
        <v>35174</v>
      </c>
    </row>
    <row r="1860" spans="1:8" x14ac:dyDescent="0.4">
      <c r="A1860" s="1" t="s">
        <v>116</v>
      </c>
      <c r="B1860" s="1">
        <v>10966</v>
      </c>
      <c r="C1860" s="1">
        <v>37</v>
      </c>
      <c r="D1860" s="1" t="s">
        <v>711</v>
      </c>
      <c r="E1860">
        <v>26</v>
      </c>
      <c r="F1860" s="1">
        <v>8</v>
      </c>
      <c r="G1860" s="1">
        <v>0</v>
      </c>
      <c r="H1860" s="2">
        <v>35174</v>
      </c>
    </row>
    <row r="1861" spans="1:8" x14ac:dyDescent="0.4">
      <c r="A1861" s="1" t="s">
        <v>116</v>
      </c>
      <c r="B1861" s="1">
        <v>10966</v>
      </c>
      <c r="C1861" s="1">
        <v>56</v>
      </c>
      <c r="D1861" s="1" t="s">
        <v>716</v>
      </c>
      <c r="E1861">
        <v>38</v>
      </c>
      <c r="F1861" s="1">
        <v>12</v>
      </c>
      <c r="G1861" s="1">
        <v>0.15</v>
      </c>
      <c r="H1861" s="2">
        <v>35174</v>
      </c>
    </row>
    <row r="1862" spans="1:8" x14ac:dyDescent="0.4">
      <c r="A1862" s="1" t="s">
        <v>116</v>
      </c>
      <c r="B1862" s="1">
        <v>10966</v>
      </c>
      <c r="C1862" s="1">
        <v>62</v>
      </c>
      <c r="D1862" s="1" t="s">
        <v>712</v>
      </c>
      <c r="E1862">
        <v>49.3</v>
      </c>
      <c r="F1862" s="1">
        <v>12</v>
      </c>
      <c r="G1862" s="1">
        <v>0.15</v>
      </c>
      <c r="H1862" s="2">
        <v>35174</v>
      </c>
    </row>
    <row r="1863" spans="1:8" x14ac:dyDescent="0.4">
      <c r="A1863" s="1" t="s">
        <v>586</v>
      </c>
      <c r="B1863" s="1">
        <v>10967</v>
      </c>
      <c r="C1863" s="1">
        <v>19</v>
      </c>
      <c r="D1863" s="1" t="s">
        <v>732</v>
      </c>
      <c r="E1863">
        <v>9.1999999999999993</v>
      </c>
      <c r="F1863" s="1">
        <v>12</v>
      </c>
      <c r="G1863" s="1">
        <v>0</v>
      </c>
      <c r="H1863" s="2">
        <v>35177</v>
      </c>
    </row>
    <row r="1864" spans="1:8" x14ac:dyDescent="0.4">
      <c r="A1864" s="1" t="s">
        <v>586</v>
      </c>
      <c r="B1864" s="1">
        <v>10967</v>
      </c>
      <c r="C1864" s="1">
        <v>49</v>
      </c>
      <c r="D1864" s="1" t="s">
        <v>697</v>
      </c>
      <c r="E1864">
        <v>20</v>
      </c>
      <c r="F1864" s="1">
        <v>40</v>
      </c>
      <c r="G1864" s="1">
        <v>0</v>
      </c>
      <c r="H1864" s="2">
        <v>35177</v>
      </c>
    </row>
    <row r="1865" spans="1:8" x14ac:dyDescent="0.4">
      <c r="A1865" s="1" t="s">
        <v>161</v>
      </c>
      <c r="B1865" s="1">
        <v>10968</v>
      </c>
      <c r="C1865" s="1">
        <v>12</v>
      </c>
      <c r="D1865" s="1" t="s">
        <v>719</v>
      </c>
      <c r="E1865">
        <v>38</v>
      </c>
      <c r="F1865" s="1">
        <v>30</v>
      </c>
      <c r="G1865" s="1">
        <v>0</v>
      </c>
      <c r="H1865" s="2">
        <v>35177</v>
      </c>
    </row>
    <row r="1866" spans="1:8" x14ac:dyDescent="0.4">
      <c r="A1866" s="1" t="s">
        <v>161</v>
      </c>
      <c r="B1866" s="1">
        <v>10968</v>
      </c>
      <c r="C1866" s="1">
        <v>24</v>
      </c>
      <c r="D1866" s="1" t="s">
        <v>698</v>
      </c>
      <c r="E1866">
        <v>4.5</v>
      </c>
      <c r="F1866" s="1">
        <v>30</v>
      </c>
      <c r="G1866" s="1">
        <v>0</v>
      </c>
      <c r="H1866" s="2">
        <v>35177</v>
      </c>
    </row>
    <row r="1867" spans="1:8" x14ac:dyDescent="0.4">
      <c r="A1867" s="1" t="s">
        <v>161</v>
      </c>
      <c r="B1867" s="1">
        <v>10968</v>
      </c>
      <c r="C1867" s="1">
        <v>64</v>
      </c>
      <c r="D1867" s="1" t="s">
        <v>741</v>
      </c>
      <c r="E1867">
        <v>33.25</v>
      </c>
      <c r="F1867" s="1">
        <v>4</v>
      </c>
      <c r="G1867" s="1">
        <v>0</v>
      </c>
      <c r="H1867" s="2">
        <v>35177</v>
      </c>
    </row>
    <row r="1868" spans="1:8" x14ac:dyDescent="0.4">
      <c r="A1868" s="1" t="s">
        <v>123</v>
      </c>
      <c r="B1868" s="1">
        <v>10969</v>
      </c>
      <c r="C1868" s="1">
        <v>46</v>
      </c>
      <c r="D1868" s="1" t="s">
        <v>737</v>
      </c>
      <c r="E1868">
        <v>12</v>
      </c>
      <c r="F1868" s="1">
        <v>9</v>
      </c>
      <c r="G1868" s="1">
        <v>0</v>
      </c>
      <c r="H1868" s="2">
        <v>35177</v>
      </c>
    </row>
    <row r="1869" spans="1:8" x14ac:dyDescent="0.4">
      <c r="A1869" s="1" t="s">
        <v>69</v>
      </c>
      <c r="B1869" s="1">
        <v>10970</v>
      </c>
      <c r="C1869" s="1">
        <v>52</v>
      </c>
      <c r="D1869" s="1" t="s">
        <v>748</v>
      </c>
      <c r="E1869">
        <v>7</v>
      </c>
      <c r="F1869" s="1">
        <v>40</v>
      </c>
      <c r="G1869" s="1">
        <v>0.2</v>
      </c>
      <c r="H1869" s="2">
        <v>35178</v>
      </c>
    </row>
    <row r="1870" spans="1:8" x14ac:dyDescent="0.4">
      <c r="A1870" s="1" t="s">
        <v>205</v>
      </c>
      <c r="B1870" s="1">
        <v>10971</v>
      </c>
      <c r="C1870" s="1">
        <v>29</v>
      </c>
      <c r="D1870" s="1" t="s">
        <v>722</v>
      </c>
      <c r="E1870">
        <v>123.79</v>
      </c>
      <c r="F1870" s="1">
        <v>14</v>
      </c>
      <c r="G1870" s="1">
        <v>0</v>
      </c>
      <c r="H1870" s="2">
        <v>35178</v>
      </c>
    </row>
    <row r="1871" spans="1:8" x14ac:dyDescent="0.4">
      <c r="A1871" s="1" t="s">
        <v>311</v>
      </c>
      <c r="B1871" s="1">
        <v>10972</v>
      </c>
      <c r="C1871" s="1">
        <v>17</v>
      </c>
      <c r="D1871" s="1" t="s">
        <v>718</v>
      </c>
      <c r="E1871">
        <v>39</v>
      </c>
      <c r="F1871" s="1">
        <v>6</v>
      </c>
      <c r="G1871" s="1">
        <v>0</v>
      </c>
      <c r="H1871" s="2">
        <v>35178</v>
      </c>
    </row>
    <row r="1872" spans="1:8" x14ac:dyDescent="0.4">
      <c r="A1872" s="1" t="s">
        <v>311</v>
      </c>
      <c r="B1872" s="1">
        <v>10972</v>
      </c>
      <c r="C1872" s="1">
        <v>33</v>
      </c>
      <c r="D1872" s="1" t="s">
        <v>693</v>
      </c>
      <c r="E1872">
        <v>2.5</v>
      </c>
      <c r="F1872" s="1">
        <v>7</v>
      </c>
      <c r="G1872" s="1">
        <v>0</v>
      </c>
      <c r="H1872" s="2">
        <v>35178</v>
      </c>
    </row>
    <row r="1873" spans="1:8" x14ac:dyDescent="0.4">
      <c r="A1873" s="1" t="s">
        <v>311</v>
      </c>
      <c r="B1873" s="1">
        <v>10973</v>
      </c>
      <c r="C1873" s="1">
        <v>26</v>
      </c>
      <c r="D1873" s="1" t="s">
        <v>751</v>
      </c>
      <c r="E1873">
        <v>31.23</v>
      </c>
      <c r="F1873" s="1">
        <v>5</v>
      </c>
      <c r="G1873" s="1">
        <v>0</v>
      </c>
      <c r="H1873" s="2">
        <v>35178</v>
      </c>
    </row>
    <row r="1874" spans="1:8" x14ac:dyDescent="0.4">
      <c r="A1874" s="1" t="s">
        <v>311</v>
      </c>
      <c r="B1874" s="1">
        <v>10973</v>
      </c>
      <c r="C1874" s="1">
        <v>41</v>
      </c>
      <c r="D1874" s="1" t="s">
        <v>688</v>
      </c>
      <c r="E1874">
        <v>9.65</v>
      </c>
      <c r="F1874" s="1">
        <v>6</v>
      </c>
      <c r="G1874" s="1">
        <v>0</v>
      </c>
      <c r="H1874" s="2">
        <v>35178</v>
      </c>
    </row>
    <row r="1875" spans="1:8" x14ac:dyDescent="0.4">
      <c r="A1875" s="1" t="s">
        <v>311</v>
      </c>
      <c r="B1875" s="1">
        <v>10973</v>
      </c>
      <c r="C1875" s="1">
        <v>75</v>
      </c>
      <c r="D1875" s="1" t="s">
        <v>731</v>
      </c>
      <c r="E1875">
        <v>7.75</v>
      </c>
      <c r="F1875" s="1">
        <v>10</v>
      </c>
      <c r="G1875" s="1">
        <v>0</v>
      </c>
      <c r="H1875" s="2">
        <v>35178</v>
      </c>
    </row>
    <row r="1876" spans="1:8" x14ac:dyDescent="0.4">
      <c r="A1876" s="1" t="s">
        <v>557</v>
      </c>
      <c r="B1876" s="1">
        <v>10974</v>
      </c>
      <c r="C1876" s="1">
        <v>63</v>
      </c>
      <c r="D1876" s="1" t="s">
        <v>729</v>
      </c>
      <c r="E1876">
        <v>43.9</v>
      </c>
      <c r="F1876" s="1">
        <v>10</v>
      </c>
      <c r="G1876" s="1">
        <v>0</v>
      </c>
      <c r="H1876" s="2">
        <v>35179</v>
      </c>
    </row>
    <row r="1877" spans="1:8" x14ac:dyDescent="0.4">
      <c r="A1877" s="1" t="s">
        <v>84</v>
      </c>
      <c r="B1877" s="1">
        <v>10975</v>
      </c>
      <c r="C1877" s="1">
        <v>8</v>
      </c>
      <c r="D1877" s="1" t="s">
        <v>754</v>
      </c>
      <c r="E1877">
        <v>40</v>
      </c>
      <c r="F1877" s="1">
        <v>16</v>
      </c>
      <c r="G1877" s="1">
        <v>0</v>
      </c>
      <c r="H1877" s="2">
        <v>35179</v>
      </c>
    </row>
    <row r="1878" spans="1:8" x14ac:dyDescent="0.4">
      <c r="A1878" s="1" t="s">
        <v>84</v>
      </c>
      <c r="B1878" s="1">
        <v>10975</v>
      </c>
      <c r="C1878" s="1">
        <v>75</v>
      </c>
      <c r="D1878" s="1" t="s">
        <v>731</v>
      </c>
      <c r="E1878">
        <v>7.75</v>
      </c>
      <c r="F1878" s="1">
        <v>10</v>
      </c>
      <c r="G1878" s="1">
        <v>0</v>
      </c>
      <c r="H1878" s="2">
        <v>35179</v>
      </c>
    </row>
    <row r="1879" spans="1:8" x14ac:dyDescent="0.4">
      <c r="A1879" s="1" t="s">
        <v>273</v>
      </c>
      <c r="B1879" s="1">
        <v>10976</v>
      </c>
      <c r="C1879" s="1">
        <v>28</v>
      </c>
      <c r="D1879" s="1" t="s">
        <v>727</v>
      </c>
      <c r="E1879">
        <v>45.6</v>
      </c>
      <c r="F1879" s="1">
        <v>20</v>
      </c>
      <c r="G1879" s="1">
        <v>0</v>
      </c>
      <c r="H1879" s="2">
        <v>35179</v>
      </c>
    </row>
    <row r="1880" spans="1:8" x14ac:dyDescent="0.4">
      <c r="A1880" s="1" t="s">
        <v>191</v>
      </c>
      <c r="B1880" s="1">
        <v>10977</v>
      </c>
      <c r="C1880" s="1">
        <v>39</v>
      </c>
      <c r="D1880" s="1" t="s">
        <v>696</v>
      </c>
      <c r="E1880">
        <v>18</v>
      </c>
      <c r="F1880" s="1">
        <v>30</v>
      </c>
      <c r="G1880" s="1">
        <v>0</v>
      </c>
      <c r="H1880" s="2">
        <v>35180</v>
      </c>
    </row>
    <row r="1881" spans="1:8" x14ac:dyDescent="0.4">
      <c r="A1881" s="1" t="s">
        <v>191</v>
      </c>
      <c r="B1881" s="1">
        <v>10977</v>
      </c>
      <c r="C1881" s="1">
        <v>47</v>
      </c>
      <c r="D1881" s="1" t="s">
        <v>752</v>
      </c>
      <c r="E1881">
        <v>9.5</v>
      </c>
      <c r="F1881" s="1">
        <v>30</v>
      </c>
      <c r="G1881" s="1">
        <v>0</v>
      </c>
      <c r="H1881" s="2">
        <v>35180</v>
      </c>
    </row>
    <row r="1882" spans="1:8" x14ac:dyDescent="0.4">
      <c r="A1882" s="1" t="s">
        <v>191</v>
      </c>
      <c r="B1882" s="1">
        <v>10977</v>
      </c>
      <c r="C1882" s="1">
        <v>51</v>
      </c>
      <c r="D1882" s="1" t="s">
        <v>687</v>
      </c>
      <c r="E1882">
        <v>53</v>
      </c>
      <c r="F1882" s="1">
        <v>10</v>
      </c>
      <c r="G1882" s="1">
        <v>0</v>
      </c>
      <c r="H1882" s="2">
        <v>35180</v>
      </c>
    </row>
    <row r="1883" spans="1:8" x14ac:dyDescent="0.4">
      <c r="A1883" s="1" t="s">
        <v>191</v>
      </c>
      <c r="B1883" s="1">
        <v>10977</v>
      </c>
      <c r="C1883" s="1">
        <v>63</v>
      </c>
      <c r="D1883" s="1" t="s">
        <v>729</v>
      </c>
      <c r="E1883">
        <v>43.9</v>
      </c>
      <c r="F1883" s="1">
        <v>20</v>
      </c>
      <c r="G1883" s="1">
        <v>0</v>
      </c>
      <c r="H1883" s="2">
        <v>35180</v>
      </c>
    </row>
    <row r="1884" spans="1:8" x14ac:dyDescent="0.4">
      <c r="A1884" s="1" t="s">
        <v>385</v>
      </c>
      <c r="B1884" s="1">
        <v>10978</v>
      </c>
      <c r="C1884" s="1">
        <v>8</v>
      </c>
      <c r="D1884" s="1" t="s">
        <v>754</v>
      </c>
      <c r="E1884">
        <v>40</v>
      </c>
      <c r="F1884" s="1">
        <v>20</v>
      </c>
      <c r="G1884" s="1">
        <v>0.15</v>
      </c>
      <c r="H1884" s="2">
        <v>35180</v>
      </c>
    </row>
    <row r="1885" spans="1:8" x14ac:dyDescent="0.4">
      <c r="A1885" s="1" t="s">
        <v>385</v>
      </c>
      <c r="B1885" s="1">
        <v>10978</v>
      </c>
      <c r="C1885" s="1">
        <v>21</v>
      </c>
      <c r="D1885" s="1" t="s">
        <v>710</v>
      </c>
      <c r="E1885">
        <v>10</v>
      </c>
      <c r="F1885" s="1">
        <v>40</v>
      </c>
      <c r="G1885" s="1">
        <v>0.15</v>
      </c>
      <c r="H1885" s="2">
        <v>35180</v>
      </c>
    </row>
    <row r="1886" spans="1:8" x14ac:dyDescent="0.4">
      <c r="A1886" s="1" t="s">
        <v>385</v>
      </c>
      <c r="B1886" s="1">
        <v>10978</v>
      </c>
      <c r="C1886" s="1">
        <v>40</v>
      </c>
      <c r="D1886" s="1" t="s">
        <v>720</v>
      </c>
      <c r="E1886">
        <v>18.399999999999999</v>
      </c>
      <c r="F1886" s="1">
        <v>10</v>
      </c>
      <c r="G1886" s="1">
        <v>0</v>
      </c>
      <c r="H1886" s="2">
        <v>35180</v>
      </c>
    </row>
    <row r="1887" spans="1:8" x14ac:dyDescent="0.4">
      <c r="A1887" s="1" t="s">
        <v>385</v>
      </c>
      <c r="B1887" s="1">
        <v>10978</v>
      </c>
      <c r="C1887" s="1">
        <v>44</v>
      </c>
      <c r="D1887" s="1" t="s">
        <v>728</v>
      </c>
      <c r="E1887">
        <v>19.45</v>
      </c>
      <c r="F1887" s="1">
        <v>6</v>
      </c>
      <c r="G1887" s="1">
        <v>0.15</v>
      </c>
      <c r="H1887" s="2">
        <v>35180</v>
      </c>
    </row>
    <row r="1888" spans="1:8" x14ac:dyDescent="0.4">
      <c r="A1888" s="1" t="s">
        <v>161</v>
      </c>
      <c r="B1888" s="1">
        <v>10979</v>
      </c>
      <c r="C1888" s="1">
        <v>7</v>
      </c>
      <c r="D1888" s="1" t="s">
        <v>715</v>
      </c>
      <c r="E1888">
        <v>30</v>
      </c>
      <c r="F1888" s="1">
        <v>18</v>
      </c>
      <c r="G1888" s="1">
        <v>0</v>
      </c>
      <c r="H1888" s="2">
        <v>35180</v>
      </c>
    </row>
    <row r="1889" spans="1:8" x14ac:dyDescent="0.4">
      <c r="A1889" s="1" t="s">
        <v>161</v>
      </c>
      <c r="B1889" s="1">
        <v>10979</v>
      </c>
      <c r="C1889" s="1">
        <v>12</v>
      </c>
      <c r="D1889" s="1" t="s">
        <v>719</v>
      </c>
      <c r="E1889">
        <v>38</v>
      </c>
      <c r="F1889" s="1">
        <v>20</v>
      </c>
      <c r="G1889" s="1">
        <v>0</v>
      </c>
      <c r="H1889" s="2">
        <v>35180</v>
      </c>
    </row>
    <row r="1890" spans="1:8" x14ac:dyDescent="0.4">
      <c r="A1890" s="1" t="s">
        <v>161</v>
      </c>
      <c r="B1890" s="1">
        <v>10979</v>
      </c>
      <c r="C1890" s="1">
        <v>24</v>
      </c>
      <c r="D1890" s="1" t="s">
        <v>698</v>
      </c>
      <c r="E1890">
        <v>4.5</v>
      </c>
      <c r="F1890" s="1">
        <v>80</v>
      </c>
      <c r="G1890" s="1">
        <v>0</v>
      </c>
      <c r="H1890" s="2">
        <v>35180</v>
      </c>
    </row>
    <row r="1891" spans="1:8" x14ac:dyDescent="0.4">
      <c r="A1891" s="1" t="s">
        <v>161</v>
      </c>
      <c r="B1891" s="1">
        <v>10979</v>
      </c>
      <c r="C1891" s="1">
        <v>27</v>
      </c>
      <c r="D1891" s="1" t="s">
        <v>707</v>
      </c>
      <c r="E1891">
        <v>43.9</v>
      </c>
      <c r="F1891" s="1">
        <v>30</v>
      </c>
      <c r="G1891" s="1">
        <v>0</v>
      </c>
      <c r="H1891" s="2">
        <v>35180</v>
      </c>
    </row>
    <row r="1892" spans="1:8" x14ac:dyDescent="0.4">
      <c r="A1892" s="1" t="s">
        <v>161</v>
      </c>
      <c r="B1892" s="1">
        <v>10979</v>
      </c>
      <c r="C1892" s="1">
        <v>31</v>
      </c>
      <c r="D1892" s="1" t="s">
        <v>695</v>
      </c>
      <c r="E1892">
        <v>12.5</v>
      </c>
      <c r="F1892" s="1">
        <v>24</v>
      </c>
      <c r="G1892" s="1">
        <v>0</v>
      </c>
      <c r="H1892" s="2">
        <v>35180</v>
      </c>
    </row>
    <row r="1893" spans="1:8" x14ac:dyDescent="0.4">
      <c r="A1893" s="1" t="s">
        <v>161</v>
      </c>
      <c r="B1893" s="1">
        <v>10979</v>
      </c>
      <c r="C1893" s="1">
        <v>63</v>
      </c>
      <c r="D1893" s="1" t="s">
        <v>729</v>
      </c>
      <c r="E1893">
        <v>43.9</v>
      </c>
      <c r="F1893" s="1">
        <v>35</v>
      </c>
      <c r="G1893" s="1">
        <v>0</v>
      </c>
      <c r="H1893" s="2">
        <v>35180</v>
      </c>
    </row>
    <row r="1894" spans="1:8" x14ac:dyDescent="0.4">
      <c r="A1894" s="1" t="s">
        <v>191</v>
      </c>
      <c r="B1894" s="1">
        <v>10980</v>
      </c>
      <c r="C1894" s="1">
        <v>75</v>
      </c>
      <c r="D1894" s="1" t="s">
        <v>731</v>
      </c>
      <c r="E1894">
        <v>7.75</v>
      </c>
      <c r="F1894" s="1">
        <v>40</v>
      </c>
      <c r="G1894" s="1">
        <v>0.2</v>
      </c>
      <c r="H1894" s="2">
        <v>35181</v>
      </c>
    </row>
    <row r="1895" spans="1:8" x14ac:dyDescent="0.4">
      <c r="A1895" s="1" t="s">
        <v>264</v>
      </c>
      <c r="B1895" s="1">
        <v>10981</v>
      </c>
      <c r="C1895" s="1">
        <v>38</v>
      </c>
      <c r="D1895" s="1" t="s">
        <v>750</v>
      </c>
      <c r="E1895">
        <v>263.5</v>
      </c>
      <c r="F1895" s="1">
        <v>60</v>
      </c>
      <c r="G1895" s="1">
        <v>0</v>
      </c>
      <c r="H1895" s="2">
        <v>35181</v>
      </c>
    </row>
    <row r="1896" spans="1:8" x14ac:dyDescent="0.4">
      <c r="A1896" s="1" t="s">
        <v>84</v>
      </c>
      <c r="B1896" s="1">
        <v>10982</v>
      </c>
      <c r="C1896" s="1">
        <v>7</v>
      </c>
      <c r="D1896" s="1" t="s">
        <v>715</v>
      </c>
      <c r="E1896">
        <v>30</v>
      </c>
      <c r="F1896" s="1">
        <v>20</v>
      </c>
      <c r="G1896" s="1">
        <v>0</v>
      </c>
      <c r="H1896" s="2">
        <v>35181</v>
      </c>
    </row>
    <row r="1897" spans="1:8" x14ac:dyDescent="0.4">
      <c r="A1897" s="1" t="s">
        <v>84</v>
      </c>
      <c r="B1897" s="1">
        <v>10982</v>
      </c>
      <c r="C1897" s="1">
        <v>43</v>
      </c>
      <c r="D1897" s="1" t="s">
        <v>723</v>
      </c>
      <c r="E1897">
        <v>46</v>
      </c>
      <c r="F1897" s="1">
        <v>9</v>
      </c>
      <c r="G1897" s="1">
        <v>0</v>
      </c>
      <c r="H1897" s="2">
        <v>35181</v>
      </c>
    </row>
    <row r="1898" spans="1:8" x14ac:dyDescent="0.4">
      <c r="A1898" s="1" t="s">
        <v>529</v>
      </c>
      <c r="B1898" s="1">
        <v>10983</v>
      </c>
      <c r="C1898" s="1">
        <v>13</v>
      </c>
      <c r="D1898" s="1" t="s">
        <v>726</v>
      </c>
      <c r="E1898">
        <v>6</v>
      </c>
      <c r="F1898" s="1">
        <v>84</v>
      </c>
      <c r="G1898" s="1">
        <v>0.15</v>
      </c>
      <c r="H1898" s="2">
        <v>35181</v>
      </c>
    </row>
    <row r="1899" spans="1:8" x14ac:dyDescent="0.4">
      <c r="A1899" s="1" t="s">
        <v>529</v>
      </c>
      <c r="B1899" s="1">
        <v>10983</v>
      </c>
      <c r="C1899" s="1">
        <v>57</v>
      </c>
      <c r="D1899" s="1" t="s">
        <v>691</v>
      </c>
      <c r="E1899">
        <v>19.5</v>
      </c>
      <c r="F1899" s="1">
        <v>15</v>
      </c>
      <c r="G1899" s="1">
        <v>0</v>
      </c>
      <c r="H1899" s="2">
        <v>35181</v>
      </c>
    </row>
    <row r="1900" spans="1:8" x14ac:dyDescent="0.4">
      <c r="A1900" s="1" t="s">
        <v>529</v>
      </c>
      <c r="B1900" s="1">
        <v>10984</v>
      </c>
      <c r="C1900" s="1">
        <v>16</v>
      </c>
      <c r="D1900" s="1" t="s">
        <v>702</v>
      </c>
      <c r="E1900">
        <v>17.45</v>
      </c>
      <c r="F1900" s="1">
        <v>55</v>
      </c>
      <c r="G1900" s="1">
        <v>0</v>
      </c>
      <c r="H1900" s="2">
        <v>35184</v>
      </c>
    </row>
    <row r="1901" spans="1:8" x14ac:dyDescent="0.4">
      <c r="A1901" s="1" t="s">
        <v>529</v>
      </c>
      <c r="B1901" s="1">
        <v>10984</v>
      </c>
      <c r="C1901" s="1">
        <v>24</v>
      </c>
      <c r="D1901" s="1" t="s">
        <v>698</v>
      </c>
      <c r="E1901">
        <v>4.5</v>
      </c>
      <c r="F1901" s="1">
        <v>20</v>
      </c>
      <c r="G1901" s="1">
        <v>0</v>
      </c>
      <c r="H1901" s="2">
        <v>35184</v>
      </c>
    </row>
    <row r="1902" spans="1:8" x14ac:dyDescent="0.4">
      <c r="A1902" s="1" t="s">
        <v>529</v>
      </c>
      <c r="B1902" s="1">
        <v>10984</v>
      </c>
      <c r="C1902" s="1">
        <v>36</v>
      </c>
      <c r="D1902" s="1" t="s">
        <v>703</v>
      </c>
      <c r="E1902">
        <v>19</v>
      </c>
      <c r="F1902" s="1">
        <v>40</v>
      </c>
      <c r="G1902" s="1">
        <v>0</v>
      </c>
      <c r="H1902" s="2">
        <v>35184</v>
      </c>
    </row>
    <row r="1903" spans="1:8" x14ac:dyDescent="0.4">
      <c r="A1903" s="1" t="s">
        <v>288</v>
      </c>
      <c r="B1903" s="1">
        <v>10985</v>
      </c>
      <c r="C1903" s="1">
        <v>16</v>
      </c>
      <c r="D1903" s="1" t="s">
        <v>702</v>
      </c>
      <c r="E1903">
        <v>17.45</v>
      </c>
      <c r="F1903" s="1">
        <v>36</v>
      </c>
      <c r="G1903" s="1">
        <v>0.1</v>
      </c>
      <c r="H1903" s="2">
        <v>35184</v>
      </c>
    </row>
    <row r="1904" spans="1:8" x14ac:dyDescent="0.4">
      <c r="A1904" s="1" t="s">
        <v>288</v>
      </c>
      <c r="B1904" s="1">
        <v>10985</v>
      </c>
      <c r="C1904" s="1">
        <v>18</v>
      </c>
      <c r="D1904" s="1" t="s">
        <v>742</v>
      </c>
      <c r="E1904">
        <v>62.5</v>
      </c>
      <c r="F1904" s="1">
        <v>8</v>
      </c>
      <c r="G1904" s="1">
        <v>0.1</v>
      </c>
      <c r="H1904" s="2">
        <v>35184</v>
      </c>
    </row>
    <row r="1905" spans="1:8" x14ac:dyDescent="0.4">
      <c r="A1905" s="1" t="s">
        <v>288</v>
      </c>
      <c r="B1905" s="1">
        <v>10985</v>
      </c>
      <c r="C1905" s="1">
        <v>32</v>
      </c>
      <c r="D1905" s="1" t="s">
        <v>709</v>
      </c>
      <c r="E1905">
        <v>32</v>
      </c>
      <c r="F1905" s="1">
        <v>35</v>
      </c>
      <c r="G1905" s="1">
        <v>0.1</v>
      </c>
      <c r="H1905" s="2">
        <v>35184</v>
      </c>
    </row>
    <row r="1906" spans="1:8" x14ac:dyDescent="0.4">
      <c r="A1906" s="1" t="s">
        <v>416</v>
      </c>
      <c r="B1906" s="1">
        <v>10986</v>
      </c>
      <c r="C1906" s="1">
        <v>11</v>
      </c>
      <c r="D1906" s="1" t="s">
        <v>683</v>
      </c>
      <c r="E1906">
        <v>21</v>
      </c>
      <c r="F1906" s="1">
        <v>30</v>
      </c>
      <c r="G1906" s="1">
        <v>0</v>
      </c>
      <c r="H1906" s="2">
        <v>35184</v>
      </c>
    </row>
    <row r="1907" spans="1:8" x14ac:dyDescent="0.4">
      <c r="A1907" s="1" t="s">
        <v>416</v>
      </c>
      <c r="B1907" s="1">
        <v>10986</v>
      </c>
      <c r="C1907" s="1">
        <v>20</v>
      </c>
      <c r="D1907" s="1" t="s">
        <v>692</v>
      </c>
      <c r="E1907">
        <v>81</v>
      </c>
      <c r="F1907" s="1">
        <v>15</v>
      </c>
      <c r="G1907" s="1">
        <v>0</v>
      </c>
      <c r="H1907" s="2">
        <v>35184</v>
      </c>
    </row>
    <row r="1908" spans="1:8" x14ac:dyDescent="0.4">
      <c r="A1908" s="1" t="s">
        <v>416</v>
      </c>
      <c r="B1908" s="1">
        <v>10986</v>
      </c>
      <c r="C1908" s="1">
        <v>76</v>
      </c>
      <c r="D1908" s="1" t="s">
        <v>721</v>
      </c>
      <c r="E1908">
        <v>18</v>
      </c>
      <c r="F1908" s="1">
        <v>10</v>
      </c>
      <c r="G1908" s="1">
        <v>0</v>
      </c>
      <c r="H1908" s="2">
        <v>35184</v>
      </c>
    </row>
    <row r="1909" spans="1:8" x14ac:dyDescent="0.4">
      <c r="A1909" s="1" t="s">
        <v>416</v>
      </c>
      <c r="B1909" s="1">
        <v>10986</v>
      </c>
      <c r="C1909" s="1">
        <v>77</v>
      </c>
      <c r="D1909" s="1" t="s">
        <v>706</v>
      </c>
      <c r="E1909">
        <v>13</v>
      </c>
      <c r="F1909" s="1">
        <v>15</v>
      </c>
      <c r="G1909" s="1">
        <v>0</v>
      </c>
      <c r="H1909" s="2">
        <v>35184</v>
      </c>
    </row>
    <row r="1910" spans="1:8" x14ac:dyDescent="0.4">
      <c r="A1910" s="1" t="s">
        <v>154</v>
      </c>
      <c r="B1910" s="1">
        <v>10987</v>
      </c>
      <c r="C1910" s="1">
        <v>7</v>
      </c>
      <c r="D1910" s="1" t="s">
        <v>715</v>
      </c>
      <c r="E1910">
        <v>30</v>
      </c>
      <c r="F1910" s="1">
        <v>60</v>
      </c>
      <c r="G1910" s="1">
        <v>0</v>
      </c>
      <c r="H1910" s="2">
        <v>35185</v>
      </c>
    </row>
    <row r="1911" spans="1:8" x14ac:dyDescent="0.4">
      <c r="A1911" s="1" t="s">
        <v>154</v>
      </c>
      <c r="B1911" s="1">
        <v>10987</v>
      </c>
      <c r="C1911" s="1">
        <v>43</v>
      </c>
      <c r="D1911" s="1" t="s">
        <v>723</v>
      </c>
      <c r="E1911">
        <v>46</v>
      </c>
      <c r="F1911" s="1">
        <v>6</v>
      </c>
      <c r="G1911" s="1">
        <v>0</v>
      </c>
      <c r="H1911" s="2">
        <v>35185</v>
      </c>
    </row>
    <row r="1912" spans="1:8" x14ac:dyDescent="0.4">
      <c r="A1912" s="1" t="s">
        <v>154</v>
      </c>
      <c r="B1912" s="1">
        <v>10987</v>
      </c>
      <c r="C1912" s="1">
        <v>72</v>
      </c>
      <c r="D1912" s="1" t="s">
        <v>685</v>
      </c>
      <c r="E1912">
        <v>34.799999999999997</v>
      </c>
      <c r="F1912" s="1">
        <v>20</v>
      </c>
      <c r="G1912" s="1">
        <v>0</v>
      </c>
      <c r="H1912" s="2">
        <v>35185</v>
      </c>
    </row>
    <row r="1913" spans="1:8" x14ac:dyDescent="0.4">
      <c r="A1913" s="1" t="s">
        <v>487</v>
      </c>
      <c r="B1913" s="1">
        <v>10988</v>
      </c>
      <c r="C1913" s="1">
        <v>7</v>
      </c>
      <c r="D1913" s="1" t="s">
        <v>715</v>
      </c>
      <c r="E1913">
        <v>30</v>
      </c>
      <c r="F1913" s="1">
        <v>60</v>
      </c>
      <c r="G1913" s="1">
        <v>0</v>
      </c>
      <c r="H1913" s="2">
        <v>35185</v>
      </c>
    </row>
    <row r="1914" spans="1:8" x14ac:dyDescent="0.4">
      <c r="A1914" s="1" t="s">
        <v>487</v>
      </c>
      <c r="B1914" s="1">
        <v>10988</v>
      </c>
      <c r="C1914" s="1">
        <v>62</v>
      </c>
      <c r="D1914" s="1" t="s">
        <v>712</v>
      </c>
      <c r="E1914">
        <v>49.3</v>
      </c>
      <c r="F1914" s="1">
        <v>40</v>
      </c>
      <c r="G1914" s="1">
        <v>0.1</v>
      </c>
      <c r="H1914" s="2">
        <v>35185</v>
      </c>
    </row>
    <row r="1915" spans="1:8" x14ac:dyDescent="0.4">
      <c r="A1915" s="1" t="s">
        <v>462</v>
      </c>
      <c r="B1915" s="1">
        <v>10989</v>
      </c>
      <c r="C1915" s="1">
        <v>6</v>
      </c>
      <c r="D1915" s="1" t="s">
        <v>746</v>
      </c>
      <c r="E1915">
        <v>25</v>
      </c>
      <c r="F1915" s="1">
        <v>40</v>
      </c>
      <c r="G1915" s="1">
        <v>0</v>
      </c>
      <c r="H1915" s="2">
        <v>35185</v>
      </c>
    </row>
    <row r="1916" spans="1:8" x14ac:dyDescent="0.4">
      <c r="A1916" s="1" t="s">
        <v>462</v>
      </c>
      <c r="B1916" s="1">
        <v>10989</v>
      </c>
      <c r="C1916" s="1">
        <v>11</v>
      </c>
      <c r="D1916" s="1" t="s">
        <v>683</v>
      </c>
      <c r="E1916">
        <v>21</v>
      </c>
      <c r="F1916" s="1">
        <v>15</v>
      </c>
      <c r="G1916" s="1">
        <v>0</v>
      </c>
      <c r="H1916" s="2">
        <v>35185</v>
      </c>
    </row>
    <row r="1917" spans="1:8" x14ac:dyDescent="0.4">
      <c r="A1917" s="1" t="s">
        <v>462</v>
      </c>
      <c r="B1917" s="1">
        <v>10989</v>
      </c>
      <c r="C1917" s="1">
        <v>41</v>
      </c>
      <c r="D1917" s="1" t="s">
        <v>688</v>
      </c>
      <c r="E1917">
        <v>9.65</v>
      </c>
      <c r="F1917" s="1">
        <v>4</v>
      </c>
      <c r="G1917" s="1">
        <v>0</v>
      </c>
      <c r="H1917" s="2">
        <v>35185</v>
      </c>
    </row>
    <row r="1918" spans="1:8" x14ac:dyDescent="0.4">
      <c r="A1918" s="1" t="s">
        <v>161</v>
      </c>
      <c r="B1918" s="1">
        <v>10990</v>
      </c>
      <c r="C1918" s="1">
        <v>21</v>
      </c>
      <c r="D1918" s="1" t="s">
        <v>710</v>
      </c>
      <c r="E1918">
        <v>10</v>
      </c>
      <c r="F1918" s="1">
        <v>65</v>
      </c>
      <c r="G1918" s="1">
        <v>0</v>
      </c>
      <c r="H1918" s="2">
        <v>35186</v>
      </c>
    </row>
    <row r="1919" spans="1:8" x14ac:dyDescent="0.4">
      <c r="A1919" s="1" t="s">
        <v>161</v>
      </c>
      <c r="B1919" s="1">
        <v>10990</v>
      </c>
      <c r="C1919" s="1">
        <v>34</v>
      </c>
      <c r="D1919" s="1" t="s">
        <v>736</v>
      </c>
      <c r="E1919">
        <v>14</v>
      </c>
      <c r="F1919" s="1">
        <v>60</v>
      </c>
      <c r="G1919" s="1">
        <v>0.15</v>
      </c>
      <c r="H1919" s="2">
        <v>35186</v>
      </c>
    </row>
    <row r="1920" spans="1:8" x14ac:dyDescent="0.4">
      <c r="A1920" s="1" t="s">
        <v>161</v>
      </c>
      <c r="B1920" s="1">
        <v>10990</v>
      </c>
      <c r="C1920" s="1">
        <v>55</v>
      </c>
      <c r="D1920" s="1" t="s">
        <v>699</v>
      </c>
      <c r="E1920">
        <v>24</v>
      </c>
      <c r="F1920" s="1">
        <v>65</v>
      </c>
      <c r="G1920" s="1">
        <v>0.15</v>
      </c>
      <c r="H1920" s="2">
        <v>35186</v>
      </c>
    </row>
    <row r="1921" spans="1:8" x14ac:dyDescent="0.4">
      <c r="A1921" s="1" t="s">
        <v>161</v>
      </c>
      <c r="B1921" s="1">
        <v>10990</v>
      </c>
      <c r="C1921" s="1">
        <v>61</v>
      </c>
      <c r="D1921" s="1" t="s">
        <v>758</v>
      </c>
      <c r="E1921">
        <v>28.5</v>
      </c>
      <c r="F1921" s="1">
        <v>66</v>
      </c>
      <c r="G1921" s="1">
        <v>0.15</v>
      </c>
      <c r="H1921" s="2">
        <v>35186</v>
      </c>
    </row>
    <row r="1922" spans="1:8" x14ac:dyDescent="0.4">
      <c r="A1922" s="1" t="s">
        <v>475</v>
      </c>
      <c r="B1922" s="1">
        <v>10991</v>
      </c>
      <c r="C1922" s="1">
        <v>2</v>
      </c>
      <c r="D1922" s="1" t="s">
        <v>701</v>
      </c>
      <c r="E1922">
        <v>19</v>
      </c>
      <c r="F1922" s="1">
        <v>50</v>
      </c>
      <c r="G1922" s="1">
        <v>0.2</v>
      </c>
      <c r="H1922" s="2">
        <v>35186</v>
      </c>
    </row>
    <row r="1923" spans="1:8" x14ac:dyDescent="0.4">
      <c r="A1923" s="1" t="s">
        <v>475</v>
      </c>
      <c r="B1923" s="1">
        <v>10991</v>
      </c>
      <c r="C1923" s="1">
        <v>70</v>
      </c>
      <c r="D1923" s="1" t="s">
        <v>713</v>
      </c>
      <c r="E1923">
        <v>15</v>
      </c>
      <c r="F1923" s="1">
        <v>20</v>
      </c>
      <c r="G1923" s="1">
        <v>0.2</v>
      </c>
      <c r="H1923" s="2">
        <v>35186</v>
      </c>
    </row>
    <row r="1924" spans="1:8" x14ac:dyDescent="0.4">
      <c r="A1924" s="1" t="s">
        <v>475</v>
      </c>
      <c r="B1924" s="1">
        <v>10991</v>
      </c>
      <c r="C1924" s="1">
        <v>76</v>
      </c>
      <c r="D1924" s="1" t="s">
        <v>721</v>
      </c>
      <c r="E1924">
        <v>18</v>
      </c>
      <c r="F1924" s="1">
        <v>90</v>
      </c>
      <c r="G1924" s="1">
        <v>0.2</v>
      </c>
      <c r="H1924" s="2">
        <v>35186</v>
      </c>
    </row>
    <row r="1925" spans="1:8" x14ac:dyDescent="0.4">
      <c r="A1925" s="1" t="s">
        <v>573</v>
      </c>
      <c r="B1925" s="1">
        <v>10992</v>
      </c>
      <c r="C1925" s="1">
        <v>72</v>
      </c>
      <c r="D1925" s="1" t="s">
        <v>685</v>
      </c>
      <c r="E1925">
        <v>34.799999999999997</v>
      </c>
      <c r="F1925" s="1">
        <v>2</v>
      </c>
      <c r="G1925" s="1">
        <v>0</v>
      </c>
      <c r="H1925" s="2">
        <v>35186</v>
      </c>
    </row>
    <row r="1926" spans="1:8" x14ac:dyDescent="0.4">
      <c r="A1926" s="1" t="s">
        <v>191</v>
      </c>
      <c r="B1926" s="1">
        <v>10993</v>
      </c>
      <c r="C1926" s="1">
        <v>29</v>
      </c>
      <c r="D1926" s="1" t="s">
        <v>722</v>
      </c>
      <c r="E1926">
        <v>123.79</v>
      </c>
      <c r="F1926" s="1">
        <v>50</v>
      </c>
      <c r="G1926" s="1">
        <v>0.25</v>
      </c>
      <c r="H1926" s="2">
        <v>35186</v>
      </c>
    </row>
    <row r="1927" spans="1:8" x14ac:dyDescent="0.4">
      <c r="A1927" s="1" t="s">
        <v>191</v>
      </c>
      <c r="B1927" s="1">
        <v>10993</v>
      </c>
      <c r="C1927" s="1">
        <v>41</v>
      </c>
      <c r="D1927" s="1" t="s">
        <v>688</v>
      </c>
      <c r="E1927">
        <v>9.65</v>
      </c>
      <c r="F1927" s="1">
        <v>35</v>
      </c>
      <c r="G1927" s="1">
        <v>0.25</v>
      </c>
      <c r="H1927" s="2">
        <v>35186</v>
      </c>
    </row>
    <row r="1928" spans="1:8" x14ac:dyDescent="0.4">
      <c r="A1928" s="1" t="s">
        <v>612</v>
      </c>
      <c r="B1928" s="1">
        <v>10994</v>
      </c>
      <c r="C1928" s="1">
        <v>59</v>
      </c>
      <c r="D1928" s="1" t="s">
        <v>704</v>
      </c>
      <c r="E1928">
        <v>55</v>
      </c>
      <c r="F1928" s="1">
        <v>18</v>
      </c>
      <c r="G1928" s="1">
        <v>0.05</v>
      </c>
      <c r="H1928" s="2">
        <v>35187</v>
      </c>
    </row>
    <row r="1929" spans="1:8" x14ac:dyDescent="0.4">
      <c r="A1929" s="1" t="s">
        <v>444</v>
      </c>
      <c r="B1929" s="1">
        <v>10995</v>
      </c>
      <c r="C1929" s="1">
        <v>51</v>
      </c>
      <c r="D1929" s="1" t="s">
        <v>687</v>
      </c>
      <c r="E1929">
        <v>53</v>
      </c>
      <c r="F1929" s="1">
        <v>20</v>
      </c>
      <c r="G1929" s="1">
        <v>0</v>
      </c>
      <c r="H1929" s="2">
        <v>35187</v>
      </c>
    </row>
    <row r="1930" spans="1:8" x14ac:dyDescent="0.4">
      <c r="A1930" s="1" t="s">
        <v>444</v>
      </c>
      <c r="B1930" s="1">
        <v>10995</v>
      </c>
      <c r="C1930" s="1">
        <v>60</v>
      </c>
      <c r="D1930" s="1" t="s">
        <v>694</v>
      </c>
      <c r="E1930">
        <v>34</v>
      </c>
      <c r="F1930" s="1">
        <v>4</v>
      </c>
      <c r="G1930" s="1">
        <v>0</v>
      </c>
      <c r="H1930" s="2">
        <v>35187</v>
      </c>
    </row>
    <row r="1931" spans="1:8" x14ac:dyDescent="0.4">
      <c r="A1931" s="1" t="s">
        <v>475</v>
      </c>
      <c r="B1931" s="1">
        <v>10996</v>
      </c>
      <c r="C1931" s="1">
        <v>42</v>
      </c>
      <c r="D1931" s="1" t="s">
        <v>684</v>
      </c>
      <c r="E1931">
        <v>14</v>
      </c>
      <c r="F1931" s="1">
        <v>40</v>
      </c>
      <c r="G1931" s="1">
        <v>0</v>
      </c>
      <c r="H1931" s="2">
        <v>35187</v>
      </c>
    </row>
    <row r="1932" spans="1:8" x14ac:dyDescent="0.4">
      <c r="A1932" s="1" t="s">
        <v>355</v>
      </c>
      <c r="B1932" s="1">
        <v>10997</v>
      </c>
      <c r="C1932" s="1">
        <v>32</v>
      </c>
      <c r="D1932" s="1" t="s">
        <v>709</v>
      </c>
      <c r="E1932">
        <v>32</v>
      </c>
      <c r="F1932" s="1">
        <v>50</v>
      </c>
      <c r="G1932" s="1">
        <v>0</v>
      </c>
      <c r="H1932" s="2">
        <v>35188</v>
      </c>
    </row>
    <row r="1933" spans="1:8" x14ac:dyDescent="0.4">
      <c r="A1933" s="1" t="s">
        <v>355</v>
      </c>
      <c r="B1933" s="1">
        <v>10997</v>
      </c>
      <c r="C1933" s="1">
        <v>46</v>
      </c>
      <c r="D1933" s="1" t="s">
        <v>737</v>
      </c>
      <c r="E1933">
        <v>12</v>
      </c>
      <c r="F1933" s="1">
        <v>20</v>
      </c>
      <c r="G1933" s="1">
        <v>0.25</v>
      </c>
      <c r="H1933" s="2">
        <v>35188</v>
      </c>
    </row>
    <row r="1934" spans="1:8" x14ac:dyDescent="0.4">
      <c r="A1934" s="1" t="s">
        <v>355</v>
      </c>
      <c r="B1934" s="1">
        <v>10997</v>
      </c>
      <c r="C1934" s="1">
        <v>52</v>
      </c>
      <c r="D1934" s="1" t="s">
        <v>748</v>
      </c>
      <c r="E1934">
        <v>7</v>
      </c>
      <c r="F1934" s="1">
        <v>20</v>
      </c>
      <c r="G1934" s="1">
        <v>0.25</v>
      </c>
      <c r="H1934" s="2">
        <v>35188</v>
      </c>
    </row>
    <row r="1935" spans="1:8" x14ac:dyDescent="0.4">
      <c r="A1935" s="1" t="s">
        <v>668</v>
      </c>
      <c r="B1935" s="1">
        <v>10998</v>
      </c>
      <c r="C1935" s="1">
        <v>24</v>
      </c>
      <c r="D1935" s="1" t="s">
        <v>698</v>
      </c>
      <c r="E1935">
        <v>4.5</v>
      </c>
      <c r="F1935" s="1">
        <v>12</v>
      </c>
      <c r="G1935" s="1">
        <v>0</v>
      </c>
      <c r="H1935" s="2">
        <v>35188</v>
      </c>
    </row>
    <row r="1936" spans="1:8" x14ac:dyDescent="0.4">
      <c r="A1936" s="1" t="s">
        <v>668</v>
      </c>
      <c r="B1936" s="1">
        <v>10998</v>
      </c>
      <c r="C1936" s="1">
        <v>61</v>
      </c>
      <c r="D1936" s="1" t="s">
        <v>758</v>
      </c>
      <c r="E1936">
        <v>28.5</v>
      </c>
      <c r="F1936" s="1">
        <v>7</v>
      </c>
      <c r="G1936" s="1">
        <v>0</v>
      </c>
      <c r="H1936" s="2">
        <v>35188</v>
      </c>
    </row>
    <row r="1937" spans="1:8" x14ac:dyDescent="0.4">
      <c r="A1937" s="1" t="s">
        <v>668</v>
      </c>
      <c r="B1937" s="1">
        <v>10998</v>
      </c>
      <c r="C1937" s="1">
        <v>74</v>
      </c>
      <c r="D1937" s="1" t="s">
        <v>700</v>
      </c>
      <c r="E1937">
        <v>10</v>
      </c>
      <c r="F1937" s="1">
        <v>20</v>
      </c>
      <c r="G1937" s="1">
        <v>0</v>
      </c>
      <c r="H1937" s="2">
        <v>35188</v>
      </c>
    </row>
    <row r="1938" spans="1:8" x14ac:dyDescent="0.4">
      <c r="A1938" s="1" t="s">
        <v>668</v>
      </c>
      <c r="B1938" s="1">
        <v>10998</v>
      </c>
      <c r="C1938" s="1">
        <v>75</v>
      </c>
      <c r="D1938" s="1" t="s">
        <v>731</v>
      </c>
      <c r="E1938">
        <v>7.75</v>
      </c>
      <c r="F1938" s="1">
        <v>30</v>
      </c>
      <c r="G1938" s="1">
        <v>0</v>
      </c>
      <c r="H1938" s="2">
        <v>35188</v>
      </c>
    </row>
    <row r="1939" spans="1:8" x14ac:dyDescent="0.4">
      <c r="A1939" s="1" t="s">
        <v>430</v>
      </c>
      <c r="B1939" s="1">
        <v>10999</v>
      </c>
      <c r="C1939" s="1">
        <v>41</v>
      </c>
      <c r="D1939" s="1" t="s">
        <v>688</v>
      </c>
      <c r="E1939">
        <v>9.65</v>
      </c>
      <c r="F1939" s="1">
        <v>20</v>
      </c>
      <c r="G1939" s="1">
        <v>0.05</v>
      </c>
      <c r="H1939" s="2">
        <v>35188</v>
      </c>
    </row>
    <row r="1940" spans="1:8" x14ac:dyDescent="0.4">
      <c r="A1940" s="1" t="s">
        <v>430</v>
      </c>
      <c r="B1940" s="1">
        <v>10999</v>
      </c>
      <c r="C1940" s="1">
        <v>51</v>
      </c>
      <c r="D1940" s="1" t="s">
        <v>687</v>
      </c>
      <c r="E1940">
        <v>53</v>
      </c>
      <c r="F1940" s="1">
        <v>15</v>
      </c>
      <c r="G1940" s="1">
        <v>0.05</v>
      </c>
      <c r="H1940" s="2">
        <v>35188</v>
      </c>
    </row>
    <row r="1941" spans="1:8" x14ac:dyDescent="0.4">
      <c r="A1941" s="1" t="s">
        <v>430</v>
      </c>
      <c r="B1941" s="1">
        <v>10999</v>
      </c>
      <c r="C1941" s="1">
        <v>77</v>
      </c>
      <c r="D1941" s="1" t="s">
        <v>706</v>
      </c>
      <c r="E1941">
        <v>13</v>
      </c>
      <c r="F1941" s="1">
        <v>21</v>
      </c>
      <c r="G1941" s="1">
        <v>0.05</v>
      </c>
      <c r="H1941" s="2">
        <v>35188</v>
      </c>
    </row>
    <row r="1942" spans="1:8" x14ac:dyDescent="0.4">
      <c r="A1942" s="1" t="s">
        <v>487</v>
      </c>
      <c r="B1942" s="1">
        <v>11000</v>
      </c>
      <c r="C1942" s="1">
        <v>4</v>
      </c>
      <c r="D1942" s="1" t="s">
        <v>745</v>
      </c>
      <c r="E1942">
        <v>22</v>
      </c>
      <c r="F1942" s="1">
        <v>25</v>
      </c>
      <c r="G1942" s="1">
        <v>0.25</v>
      </c>
      <c r="H1942" s="2">
        <v>35191</v>
      </c>
    </row>
    <row r="1943" spans="1:8" x14ac:dyDescent="0.4">
      <c r="A1943" s="1" t="s">
        <v>487</v>
      </c>
      <c r="B1943" s="1">
        <v>11000</v>
      </c>
      <c r="C1943" s="1">
        <v>24</v>
      </c>
      <c r="D1943" s="1" t="s">
        <v>698</v>
      </c>
      <c r="E1943">
        <v>4.5</v>
      </c>
      <c r="F1943" s="1">
        <v>30</v>
      </c>
      <c r="G1943" s="1">
        <v>0.25</v>
      </c>
      <c r="H1943" s="2">
        <v>35191</v>
      </c>
    </row>
    <row r="1944" spans="1:8" x14ac:dyDescent="0.4">
      <c r="A1944" s="1" t="s">
        <v>487</v>
      </c>
      <c r="B1944" s="1">
        <v>11000</v>
      </c>
      <c r="C1944" s="1">
        <v>77</v>
      </c>
      <c r="D1944" s="1" t="s">
        <v>706</v>
      </c>
      <c r="E1944">
        <v>13</v>
      </c>
      <c r="F1944" s="1">
        <v>30</v>
      </c>
      <c r="G1944" s="1">
        <v>0</v>
      </c>
      <c r="H1944" s="2">
        <v>35191</v>
      </c>
    </row>
    <row r="1945" spans="1:8" x14ac:dyDescent="0.4">
      <c r="A1945" s="1" t="s">
        <v>191</v>
      </c>
      <c r="B1945" s="1">
        <v>11001</v>
      </c>
      <c r="C1945" s="1">
        <v>7</v>
      </c>
      <c r="D1945" s="1" t="s">
        <v>715</v>
      </c>
      <c r="E1945">
        <v>30</v>
      </c>
      <c r="F1945" s="1">
        <v>60</v>
      </c>
      <c r="G1945" s="1">
        <v>0</v>
      </c>
      <c r="H1945" s="2">
        <v>35191</v>
      </c>
    </row>
    <row r="1946" spans="1:8" x14ac:dyDescent="0.4">
      <c r="A1946" s="1" t="s">
        <v>191</v>
      </c>
      <c r="B1946" s="1">
        <v>11001</v>
      </c>
      <c r="C1946" s="1">
        <v>22</v>
      </c>
      <c r="D1946" s="1" t="s">
        <v>690</v>
      </c>
      <c r="E1946">
        <v>21</v>
      </c>
      <c r="F1946" s="1">
        <v>25</v>
      </c>
      <c r="G1946" s="1">
        <v>0</v>
      </c>
      <c r="H1946" s="2">
        <v>35191</v>
      </c>
    </row>
    <row r="1947" spans="1:8" x14ac:dyDescent="0.4">
      <c r="A1947" s="1" t="s">
        <v>191</v>
      </c>
      <c r="B1947" s="1">
        <v>11001</v>
      </c>
      <c r="C1947" s="1">
        <v>46</v>
      </c>
      <c r="D1947" s="1" t="s">
        <v>737</v>
      </c>
      <c r="E1947">
        <v>12</v>
      </c>
      <c r="F1947" s="1">
        <v>25</v>
      </c>
      <c r="G1947" s="1">
        <v>0</v>
      </c>
      <c r="H1947" s="2">
        <v>35191</v>
      </c>
    </row>
    <row r="1948" spans="1:8" x14ac:dyDescent="0.4">
      <c r="A1948" s="1" t="s">
        <v>191</v>
      </c>
      <c r="B1948" s="1">
        <v>11001</v>
      </c>
      <c r="C1948" s="1">
        <v>55</v>
      </c>
      <c r="D1948" s="1" t="s">
        <v>699</v>
      </c>
      <c r="E1948">
        <v>24</v>
      </c>
      <c r="F1948" s="1">
        <v>6</v>
      </c>
      <c r="G1948" s="1">
        <v>0</v>
      </c>
      <c r="H1948" s="2">
        <v>35191</v>
      </c>
    </row>
    <row r="1949" spans="1:8" x14ac:dyDescent="0.4">
      <c r="A1949" s="1" t="s">
        <v>529</v>
      </c>
      <c r="B1949" s="1">
        <v>11002</v>
      </c>
      <c r="C1949" s="1">
        <v>13</v>
      </c>
      <c r="D1949" s="1" t="s">
        <v>726</v>
      </c>
      <c r="E1949">
        <v>6</v>
      </c>
      <c r="F1949" s="1">
        <v>56</v>
      </c>
      <c r="G1949" s="1">
        <v>0</v>
      </c>
      <c r="H1949" s="2">
        <v>35191</v>
      </c>
    </row>
    <row r="1950" spans="1:8" x14ac:dyDescent="0.4">
      <c r="A1950" s="1" t="s">
        <v>529</v>
      </c>
      <c r="B1950" s="1">
        <v>11002</v>
      </c>
      <c r="C1950" s="1">
        <v>35</v>
      </c>
      <c r="D1950" s="1" t="s">
        <v>714</v>
      </c>
      <c r="E1950">
        <v>18</v>
      </c>
      <c r="F1950" s="1">
        <v>15</v>
      </c>
      <c r="G1950" s="1">
        <v>0.15</v>
      </c>
      <c r="H1950" s="2">
        <v>35191</v>
      </c>
    </row>
    <row r="1951" spans="1:8" x14ac:dyDescent="0.4">
      <c r="A1951" s="1" t="s">
        <v>529</v>
      </c>
      <c r="B1951" s="1">
        <v>11002</v>
      </c>
      <c r="C1951" s="1">
        <v>42</v>
      </c>
      <c r="D1951" s="1" t="s">
        <v>684</v>
      </c>
      <c r="E1951">
        <v>14</v>
      </c>
      <c r="F1951" s="1">
        <v>24</v>
      </c>
      <c r="G1951" s="1">
        <v>0.15</v>
      </c>
      <c r="H1951" s="2">
        <v>35191</v>
      </c>
    </row>
    <row r="1952" spans="1:8" x14ac:dyDescent="0.4">
      <c r="A1952" s="1" t="s">
        <v>529</v>
      </c>
      <c r="B1952" s="1">
        <v>11002</v>
      </c>
      <c r="C1952" s="1">
        <v>55</v>
      </c>
      <c r="D1952" s="1" t="s">
        <v>699</v>
      </c>
      <c r="E1952">
        <v>24</v>
      </c>
      <c r="F1952" s="1">
        <v>40</v>
      </c>
      <c r="G1952" s="1">
        <v>0</v>
      </c>
      <c r="H1952" s="2">
        <v>35191</v>
      </c>
    </row>
    <row r="1953" spans="1:8" x14ac:dyDescent="0.4">
      <c r="A1953" s="1" t="s">
        <v>578</v>
      </c>
      <c r="B1953" s="1">
        <v>11003</v>
      </c>
      <c r="C1953" s="1">
        <v>1</v>
      </c>
      <c r="D1953" s="1" t="s">
        <v>735</v>
      </c>
      <c r="E1953">
        <v>18</v>
      </c>
      <c r="F1953" s="1">
        <v>4</v>
      </c>
      <c r="G1953" s="1">
        <v>0</v>
      </c>
      <c r="H1953" s="2">
        <v>35191</v>
      </c>
    </row>
    <row r="1954" spans="1:8" x14ac:dyDescent="0.4">
      <c r="A1954" s="1" t="s">
        <v>578</v>
      </c>
      <c r="B1954" s="1">
        <v>11003</v>
      </c>
      <c r="C1954" s="1">
        <v>40</v>
      </c>
      <c r="D1954" s="1" t="s">
        <v>720</v>
      </c>
      <c r="E1954">
        <v>18.399999999999999</v>
      </c>
      <c r="F1954" s="1">
        <v>10</v>
      </c>
      <c r="G1954" s="1">
        <v>0</v>
      </c>
      <c r="H1954" s="2">
        <v>35191</v>
      </c>
    </row>
    <row r="1955" spans="1:8" x14ac:dyDescent="0.4">
      <c r="A1955" s="1" t="s">
        <v>578</v>
      </c>
      <c r="B1955" s="1">
        <v>11003</v>
      </c>
      <c r="C1955" s="1">
        <v>52</v>
      </c>
      <c r="D1955" s="1" t="s">
        <v>748</v>
      </c>
      <c r="E1955">
        <v>7</v>
      </c>
      <c r="F1955" s="1">
        <v>10</v>
      </c>
      <c r="G1955" s="1">
        <v>0</v>
      </c>
      <c r="H1955" s="2">
        <v>35191</v>
      </c>
    </row>
    <row r="1956" spans="1:8" x14ac:dyDescent="0.4">
      <c r="A1956" s="1" t="s">
        <v>385</v>
      </c>
      <c r="B1956" s="1">
        <v>11004</v>
      </c>
      <c r="C1956" s="1">
        <v>26</v>
      </c>
      <c r="D1956" s="1" t="s">
        <v>751</v>
      </c>
      <c r="E1956">
        <v>31.23</v>
      </c>
      <c r="F1956" s="1">
        <v>6</v>
      </c>
      <c r="G1956" s="1">
        <v>0</v>
      </c>
      <c r="H1956" s="2">
        <v>35192</v>
      </c>
    </row>
    <row r="1957" spans="1:8" x14ac:dyDescent="0.4">
      <c r="A1957" s="1" t="s">
        <v>385</v>
      </c>
      <c r="B1957" s="1">
        <v>11004</v>
      </c>
      <c r="C1957" s="1">
        <v>76</v>
      </c>
      <c r="D1957" s="1" t="s">
        <v>721</v>
      </c>
      <c r="E1957">
        <v>18</v>
      </c>
      <c r="F1957" s="1">
        <v>6</v>
      </c>
      <c r="G1957" s="1">
        <v>0</v>
      </c>
      <c r="H1957" s="2">
        <v>35192</v>
      </c>
    </row>
    <row r="1958" spans="1:8" x14ac:dyDescent="0.4">
      <c r="A1958" s="1" t="s">
        <v>661</v>
      </c>
      <c r="B1958" s="1">
        <v>11005</v>
      </c>
      <c r="C1958" s="1">
        <v>1</v>
      </c>
      <c r="D1958" s="1" t="s">
        <v>735</v>
      </c>
      <c r="E1958">
        <v>18</v>
      </c>
      <c r="F1958" s="1">
        <v>2</v>
      </c>
      <c r="G1958" s="1">
        <v>0</v>
      </c>
      <c r="H1958" s="2">
        <v>35192</v>
      </c>
    </row>
    <row r="1959" spans="1:8" x14ac:dyDescent="0.4">
      <c r="A1959" s="1" t="s">
        <v>661</v>
      </c>
      <c r="B1959" s="1">
        <v>11005</v>
      </c>
      <c r="C1959" s="1">
        <v>59</v>
      </c>
      <c r="D1959" s="1" t="s">
        <v>704</v>
      </c>
      <c r="E1959">
        <v>55</v>
      </c>
      <c r="F1959" s="1">
        <v>10</v>
      </c>
      <c r="G1959" s="1">
        <v>0</v>
      </c>
      <c r="H1959" s="2">
        <v>35192</v>
      </c>
    </row>
    <row r="1960" spans="1:8" x14ac:dyDescent="0.4">
      <c r="A1960" s="1" t="s">
        <v>247</v>
      </c>
      <c r="B1960" s="1">
        <v>11006</v>
      </c>
      <c r="C1960" s="1">
        <v>1</v>
      </c>
      <c r="D1960" s="1" t="s">
        <v>735</v>
      </c>
      <c r="E1960">
        <v>18</v>
      </c>
      <c r="F1960" s="1">
        <v>8</v>
      </c>
      <c r="G1960" s="1">
        <v>0</v>
      </c>
      <c r="H1960" s="2">
        <v>35192</v>
      </c>
    </row>
    <row r="1961" spans="1:8" x14ac:dyDescent="0.4">
      <c r="A1961" s="1" t="s">
        <v>247</v>
      </c>
      <c r="B1961" s="1">
        <v>11006</v>
      </c>
      <c r="C1961" s="1">
        <v>29</v>
      </c>
      <c r="D1961" s="1" t="s">
        <v>722</v>
      </c>
      <c r="E1961">
        <v>123.79</v>
      </c>
      <c r="F1961" s="1">
        <v>2</v>
      </c>
      <c r="G1961" s="1">
        <v>0.25</v>
      </c>
      <c r="H1961" s="2">
        <v>35192</v>
      </c>
    </row>
    <row r="1962" spans="1:8" x14ac:dyDescent="0.4">
      <c r="A1962" s="1" t="s">
        <v>457</v>
      </c>
      <c r="B1962" s="1">
        <v>11007</v>
      </c>
      <c r="C1962" s="1">
        <v>8</v>
      </c>
      <c r="D1962" s="1" t="s">
        <v>754</v>
      </c>
      <c r="E1962">
        <v>40</v>
      </c>
      <c r="F1962" s="1">
        <v>30</v>
      </c>
      <c r="G1962" s="1">
        <v>0</v>
      </c>
      <c r="H1962" s="2">
        <v>35193</v>
      </c>
    </row>
    <row r="1963" spans="1:8" x14ac:dyDescent="0.4">
      <c r="A1963" s="1" t="s">
        <v>457</v>
      </c>
      <c r="B1963" s="1">
        <v>11007</v>
      </c>
      <c r="C1963" s="1">
        <v>29</v>
      </c>
      <c r="D1963" s="1" t="s">
        <v>722</v>
      </c>
      <c r="E1963">
        <v>123.79</v>
      </c>
      <c r="F1963" s="1">
        <v>10</v>
      </c>
      <c r="G1963" s="1">
        <v>0</v>
      </c>
      <c r="H1963" s="2">
        <v>35193</v>
      </c>
    </row>
    <row r="1964" spans="1:8" x14ac:dyDescent="0.4">
      <c r="A1964" s="1" t="s">
        <v>457</v>
      </c>
      <c r="B1964" s="1">
        <v>11007</v>
      </c>
      <c r="C1964" s="1">
        <v>42</v>
      </c>
      <c r="D1964" s="1" t="s">
        <v>684</v>
      </c>
      <c r="E1964">
        <v>14</v>
      </c>
      <c r="F1964" s="1">
        <v>14</v>
      </c>
      <c r="G1964" s="1">
        <v>0</v>
      </c>
      <c r="H1964" s="2">
        <v>35193</v>
      </c>
    </row>
    <row r="1965" spans="1:8" x14ac:dyDescent="0.4">
      <c r="A1965" s="1" t="s">
        <v>161</v>
      </c>
      <c r="B1965" s="1">
        <v>11008</v>
      </c>
      <c r="C1965" s="1">
        <v>28</v>
      </c>
      <c r="D1965" s="1" t="s">
        <v>727</v>
      </c>
      <c r="E1965">
        <v>45.6</v>
      </c>
      <c r="F1965" s="1">
        <v>70</v>
      </c>
      <c r="G1965" s="1">
        <v>0.05</v>
      </c>
      <c r="H1965" s="2">
        <v>35193</v>
      </c>
    </row>
    <row r="1966" spans="1:8" x14ac:dyDescent="0.4">
      <c r="A1966" s="1" t="s">
        <v>161</v>
      </c>
      <c r="B1966" s="1">
        <v>11008</v>
      </c>
      <c r="C1966" s="1">
        <v>34</v>
      </c>
      <c r="D1966" s="1" t="s">
        <v>736</v>
      </c>
      <c r="E1966">
        <v>14</v>
      </c>
      <c r="F1966" s="1">
        <v>90</v>
      </c>
      <c r="G1966" s="1">
        <v>0.05</v>
      </c>
      <c r="H1966" s="2">
        <v>35193</v>
      </c>
    </row>
    <row r="1967" spans="1:8" x14ac:dyDescent="0.4">
      <c r="A1967" s="1" t="s">
        <v>161</v>
      </c>
      <c r="B1967" s="1">
        <v>11008</v>
      </c>
      <c r="C1967" s="1">
        <v>71</v>
      </c>
      <c r="D1967" s="1" t="s">
        <v>725</v>
      </c>
      <c r="E1967">
        <v>21.5</v>
      </c>
      <c r="F1967" s="1">
        <v>21</v>
      </c>
      <c r="G1967" s="1">
        <v>0</v>
      </c>
      <c r="H1967" s="2">
        <v>35193</v>
      </c>
    </row>
    <row r="1968" spans="1:8" x14ac:dyDescent="0.4">
      <c r="A1968" s="1" t="s">
        <v>234</v>
      </c>
      <c r="B1968" s="1">
        <v>11009</v>
      </c>
      <c r="C1968" s="1">
        <v>24</v>
      </c>
      <c r="D1968" s="1" t="s">
        <v>698</v>
      </c>
      <c r="E1968">
        <v>4.5</v>
      </c>
      <c r="F1968" s="1">
        <v>12</v>
      </c>
      <c r="G1968" s="1">
        <v>0</v>
      </c>
      <c r="H1968" s="2">
        <v>35193</v>
      </c>
    </row>
    <row r="1969" spans="1:8" x14ac:dyDescent="0.4">
      <c r="A1969" s="1" t="s">
        <v>234</v>
      </c>
      <c r="B1969" s="1">
        <v>11009</v>
      </c>
      <c r="C1969" s="1">
        <v>36</v>
      </c>
      <c r="D1969" s="1" t="s">
        <v>703</v>
      </c>
      <c r="E1969">
        <v>19</v>
      </c>
      <c r="F1969" s="1">
        <v>18</v>
      </c>
      <c r="G1969" s="1">
        <v>0.25</v>
      </c>
      <c r="H1969" s="2">
        <v>35193</v>
      </c>
    </row>
    <row r="1970" spans="1:8" x14ac:dyDescent="0.4">
      <c r="A1970" s="1" t="s">
        <v>234</v>
      </c>
      <c r="B1970" s="1">
        <v>11009</v>
      </c>
      <c r="C1970" s="1">
        <v>60</v>
      </c>
      <c r="D1970" s="1" t="s">
        <v>694</v>
      </c>
      <c r="E1970">
        <v>34</v>
      </c>
      <c r="F1970" s="1">
        <v>9</v>
      </c>
      <c r="G1970" s="1">
        <v>0</v>
      </c>
      <c r="H1970" s="2">
        <v>35193</v>
      </c>
    </row>
    <row r="1971" spans="1:8" x14ac:dyDescent="0.4">
      <c r="A1971" s="1" t="s">
        <v>496</v>
      </c>
      <c r="B1971" s="1">
        <v>11010</v>
      </c>
      <c r="C1971" s="1">
        <v>7</v>
      </c>
      <c r="D1971" s="1" t="s">
        <v>715</v>
      </c>
      <c r="E1971">
        <v>30</v>
      </c>
      <c r="F1971" s="1">
        <v>20</v>
      </c>
      <c r="G1971" s="1">
        <v>0</v>
      </c>
      <c r="H1971" s="2">
        <v>35194</v>
      </c>
    </row>
    <row r="1972" spans="1:8" x14ac:dyDescent="0.4">
      <c r="A1972" s="1" t="s">
        <v>496</v>
      </c>
      <c r="B1972" s="1">
        <v>11010</v>
      </c>
      <c r="C1972" s="1">
        <v>24</v>
      </c>
      <c r="D1972" s="1" t="s">
        <v>698</v>
      </c>
      <c r="E1972">
        <v>4.5</v>
      </c>
      <c r="F1972" s="1">
        <v>10</v>
      </c>
      <c r="G1972" s="1">
        <v>0</v>
      </c>
      <c r="H1972" s="2">
        <v>35194</v>
      </c>
    </row>
    <row r="1973" spans="1:8" x14ac:dyDescent="0.4">
      <c r="A1973" s="1" t="s">
        <v>11</v>
      </c>
      <c r="B1973" s="1">
        <v>11011</v>
      </c>
      <c r="C1973" s="1">
        <v>58</v>
      </c>
      <c r="D1973" s="1" t="s">
        <v>747</v>
      </c>
      <c r="E1973">
        <v>13.25</v>
      </c>
      <c r="F1973" s="1">
        <v>40</v>
      </c>
      <c r="G1973" s="1">
        <v>0.05</v>
      </c>
      <c r="H1973" s="2">
        <v>35194</v>
      </c>
    </row>
    <row r="1974" spans="1:8" x14ac:dyDescent="0.4">
      <c r="A1974" s="1" t="s">
        <v>11</v>
      </c>
      <c r="B1974" s="1">
        <v>11011</v>
      </c>
      <c r="C1974" s="1">
        <v>71</v>
      </c>
      <c r="D1974" s="1" t="s">
        <v>725</v>
      </c>
      <c r="E1974">
        <v>21.5</v>
      </c>
      <c r="F1974" s="1">
        <v>20</v>
      </c>
      <c r="G1974" s="1">
        <v>0</v>
      </c>
      <c r="H1974" s="2">
        <v>35194</v>
      </c>
    </row>
    <row r="1975" spans="1:8" x14ac:dyDescent="0.4">
      <c r="A1975" s="1" t="s">
        <v>198</v>
      </c>
      <c r="B1975" s="1">
        <v>11012</v>
      </c>
      <c r="C1975" s="1">
        <v>19</v>
      </c>
      <c r="D1975" s="1" t="s">
        <v>732</v>
      </c>
      <c r="E1975">
        <v>9.1999999999999993</v>
      </c>
      <c r="F1975" s="1">
        <v>50</v>
      </c>
      <c r="G1975" s="1">
        <v>0.05</v>
      </c>
      <c r="H1975" s="2">
        <v>35194</v>
      </c>
    </row>
    <row r="1976" spans="1:8" x14ac:dyDescent="0.4">
      <c r="A1976" s="1" t="s">
        <v>198</v>
      </c>
      <c r="B1976" s="1">
        <v>11012</v>
      </c>
      <c r="C1976" s="1">
        <v>60</v>
      </c>
      <c r="D1976" s="1" t="s">
        <v>694</v>
      </c>
      <c r="E1976">
        <v>34</v>
      </c>
      <c r="F1976" s="1">
        <v>36</v>
      </c>
      <c r="G1976" s="1">
        <v>0.05</v>
      </c>
      <c r="H1976" s="2">
        <v>35194</v>
      </c>
    </row>
    <row r="1977" spans="1:8" x14ac:dyDescent="0.4">
      <c r="A1977" s="1" t="s">
        <v>198</v>
      </c>
      <c r="B1977" s="1">
        <v>11012</v>
      </c>
      <c r="C1977" s="1">
        <v>71</v>
      </c>
      <c r="D1977" s="1" t="s">
        <v>725</v>
      </c>
      <c r="E1977">
        <v>21.5</v>
      </c>
      <c r="F1977" s="1">
        <v>60</v>
      </c>
      <c r="G1977" s="1">
        <v>0.05</v>
      </c>
      <c r="H1977" s="2">
        <v>35194</v>
      </c>
    </row>
    <row r="1978" spans="1:8" x14ac:dyDescent="0.4">
      <c r="A1978" s="1" t="s">
        <v>515</v>
      </c>
      <c r="B1978" s="1">
        <v>11013</v>
      </c>
      <c r="C1978" s="1">
        <v>23</v>
      </c>
      <c r="D1978" s="1" t="s">
        <v>753</v>
      </c>
      <c r="E1978">
        <v>9</v>
      </c>
      <c r="F1978" s="1">
        <v>10</v>
      </c>
      <c r="G1978" s="1">
        <v>0</v>
      </c>
      <c r="H1978" s="2">
        <v>35194</v>
      </c>
    </row>
    <row r="1979" spans="1:8" x14ac:dyDescent="0.4">
      <c r="A1979" s="1" t="s">
        <v>515</v>
      </c>
      <c r="B1979" s="1">
        <v>11013</v>
      </c>
      <c r="C1979" s="1">
        <v>42</v>
      </c>
      <c r="D1979" s="1" t="s">
        <v>684</v>
      </c>
      <c r="E1979">
        <v>14</v>
      </c>
      <c r="F1979" s="1">
        <v>4</v>
      </c>
      <c r="G1979" s="1">
        <v>0</v>
      </c>
      <c r="H1979" s="2">
        <v>35194</v>
      </c>
    </row>
    <row r="1980" spans="1:8" x14ac:dyDescent="0.4">
      <c r="A1980" s="1" t="s">
        <v>515</v>
      </c>
      <c r="B1980" s="1">
        <v>11013</v>
      </c>
      <c r="C1980" s="1">
        <v>45</v>
      </c>
      <c r="D1980" s="1" t="s">
        <v>756</v>
      </c>
      <c r="E1980">
        <v>9.5</v>
      </c>
      <c r="F1980" s="1">
        <v>20</v>
      </c>
      <c r="G1980" s="1">
        <v>0</v>
      </c>
      <c r="H1980" s="2">
        <v>35194</v>
      </c>
    </row>
    <row r="1981" spans="1:8" x14ac:dyDescent="0.4">
      <c r="A1981" s="1" t="s">
        <v>515</v>
      </c>
      <c r="B1981" s="1">
        <v>11013</v>
      </c>
      <c r="C1981" s="1">
        <v>68</v>
      </c>
      <c r="D1981" s="1" t="s">
        <v>739</v>
      </c>
      <c r="E1981">
        <v>12.5</v>
      </c>
      <c r="F1981" s="1">
        <v>2</v>
      </c>
      <c r="G1981" s="1">
        <v>0</v>
      </c>
      <c r="H1981" s="2">
        <v>35194</v>
      </c>
    </row>
    <row r="1982" spans="1:8" x14ac:dyDescent="0.4">
      <c r="A1982" s="1" t="s">
        <v>363</v>
      </c>
      <c r="B1982" s="1">
        <v>11014</v>
      </c>
      <c r="C1982" s="1">
        <v>41</v>
      </c>
      <c r="D1982" s="1" t="s">
        <v>688</v>
      </c>
      <c r="E1982">
        <v>9.65</v>
      </c>
      <c r="F1982" s="1">
        <v>28</v>
      </c>
      <c r="G1982" s="1">
        <v>0.1</v>
      </c>
      <c r="H1982" s="2">
        <v>35195</v>
      </c>
    </row>
    <row r="1983" spans="1:8" x14ac:dyDescent="0.4">
      <c r="A1983" s="1" t="s">
        <v>521</v>
      </c>
      <c r="B1983" s="1">
        <v>11015</v>
      </c>
      <c r="C1983" s="1">
        <v>30</v>
      </c>
      <c r="D1983" s="1" t="s">
        <v>717</v>
      </c>
      <c r="E1983">
        <v>25.89</v>
      </c>
      <c r="F1983" s="1">
        <v>15</v>
      </c>
      <c r="G1983" s="1">
        <v>0</v>
      </c>
      <c r="H1983" s="2">
        <v>35195</v>
      </c>
    </row>
    <row r="1984" spans="1:8" x14ac:dyDescent="0.4">
      <c r="A1984" s="1" t="s">
        <v>521</v>
      </c>
      <c r="B1984" s="1">
        <v>11015</v>
      </c>
      <c r="C1984" s="1">
        <v>77</v>
      </c>
      <c r="D1984" s="1" t="s">
        <v>706</v>
      </c>
      <c r="E1984">
        <v>13</v>
      </c>
      <c r="F1984" s="1">
        <v>18</v>
      </c>
      <c r="G1984" s="1">
        <v>0</v>
      </c>
      <c r="H1984" s="2">
        <v>35195</v>
      </c>
    </row>
    <row r="1985" spans="1:8" x14ac:dyDescent="0.4">
      <c r="A1985" s="1" t="s">
        <v>34</v>
      </c>
      <c r="B1985" s="1">
        <v>11016</v>
      </c>
      <c r="C1985" s="1">
        <v>31</v>
      </c>
      <c r="D1985" s="1" t="s">
        <v>695</v>
      </c>
      <c r="E1985">
        <v>12.5</v>
      </c>
      <c r="F1985" s="1">
        <v>15</v>
      </c>
      <c r="G1985" s="1">
        <v>0</v>
      </c>
      <c r="H1985" s="2">
        <v>35195</v>
      </c>
    </row>
    <row r="1986" spans="1:8" x14ac:dyDescent="0.4">
      <c r="A1986" s="1" t="s">
        <v>34</v>
      </c>
      <c r="B1986" s="1">
        <v>11016</v>
      </c>
      <c r="C1986" s="1">
        <v>36</v>
      </c>
      <c r="D1986" s="1" t="s">
        <v>703</v>
      </c>
      <c r="E1986">
        <v>19</v>
      </c>
      <c r="F1986" s="1">
        <v>16</v>
      </c>
      <c r="G1986" s="1">
        <v>0</v>
      </c>
      <c r="H1986" s="2">
        <v>35195</v>
      </c>
    </row>
    <row r="1987" spans="1:8" x14ac:dyDescent="0.4">
      <c r="A1987" s="1" t="s">
        <v>161</v>
      </c>
      <c r="B1987" s="1">
        <v>11017</v>
      </c>
      <c r="C1987" s="1">
        <v>3</v>
      </c>
      <c r="D1987" s="1" t="s">
        <v>740</v>
      </c>
      <c r="E1987">
        <v>10</v>
      </c>
      <c r="F1987" s="1">
        <v>25</v>
      </c>
      <c r="G1987" s="1">
        <v>0</v>
      </c>
      <c r="H1987" s="2">
        <v>35198</v>
      </c>
    </row>
    <row r="1988" spans="1:8" x14ac:dyDescent="0.4">
      <c r="A1988" s="1" t="s">
        <v>161</v>
      </c>
      <c r="B1988" s="1">
        <v>11017</v>
      </c>
      <c r="C1988" s="1">
        <v>59</v>
      </c>
      <c r="D1988" s="1" t="s">
        <v>704</v>
      </c>
      <c r="E1988">
        <v>55</v>
      </c>
      <c r="F1988" s="1">
        <v>110</v>
      </c>
      <c r="G1988" s="1">
        <v>0</v>
      </c>
      <c r="H1988" s="2">
        <v>35198</v>
      </c>
    </row>
    <row r="1989" spans="1:8" x14ac:dyDescent="0.4">
      <c r="A1989" s="1" t="s">
        <v>161</v>
      </c>
      <c r="B1989" s="1">
        <v>11017</v>
      </c>
      <c r="C1989" s="1">
        <v>70</v>
      </c>
      <c r="D1989" s="1" t="s">
        <v>713</v>
      </c>
      <c r="E1989">
        <v>15</v>
      </c>
      <c r="F1989" s="1">
        <v>30</v>
      </c>
      <c r="G1989" s="1">
        <v>0</v>
      </c>
      <c r="H1989" s="2">
        <v>35198</v>
      </c>
    </row>
    <row r="1990" spans="1:8" x14ac:dyDescent="0.4">
      <c r="A1990" s="1" t="s">
        <v>371</v>
      </c>
      <c r="B1990" s="1">
        <v>11018</v>
      </c>
      <c r="C1990" s="1">
        <v>12</v>
      </c>
      <c r="D1990" s="1" t="s">
        <v>719</v>
      </c>
      <c r="E1990">
        <v>38</v>
      </c>
      <c r="F1990" s="1">
        <v>20</v>
      </c>
      <c r="G1990" s="1">
        <v>0</v>
      </c>
      <c r="H1990" s="2">
        <v>35198</v>
      </c>
    </row>
    <row r="1991" spans="1:8" x14ac:dyDescent="0.4">
      <c r="A1991" s="1" t="s">
        <v>371</v>
      </c>
      <c r="B1991" s="1">
        <v>11018</v>
      </c>
      <c r="C1991" s="1">
        <v>18</v>
      </c>
      <c r="D1991" s="1" t="s">
        <v>742</v>
      </c>
      <c r="E1991">
        <v>62.5</v>
      </c>
      <c r="F1991" s="1">
        <v>10</v>
      </c>
      <c r="G1991" s="1">
        <v>0</v>
      </c>
      <c r="H1991" s="2">
        <v>35198</v>
      </c>
    </row>
    <row r="1992" spans="1:8" x14ac:dyDescent="0.4">
      <c r="A1992" s="1" t="s">
        <v>371</v>
      </c>
      <c r="B1992" s="1">
        <v>11018</v>
      </c>
      <c r="C1992" s="1">
        <v>56</v>
      </c>
      <c r="D1992" s="1" t="s">
        <v>716</v>
      </c>
      <c r="E1992">
        <v>38</v>
      </c>
      <c r="F1992" s="1">
        <v>5</v>
      </c>
      <c r="G1992" s="1">
        <v>0</v>
      </c>
      <c r="H1992" s="2">
        <v>35198</v>
      </c>
    </row>
    <row r="1993" spans="1:8" x14ac:dyDescent="0.4">
      <c r="A1993" s="1" t="s">
        <v>481</v>
      </c>
      <c r="B1993" s="1">
        <v>11019</v>
      </c>
      <c r="C1993" s="1">
        <v>46</v>
      </c>
      <c r="D1993" s="1" t="s">
        <v>737</v>
      </c>
      <c r="E1993">
        <v>12</v>
      </c>
      <c r="F1993" s="1">
        <v>3</v>
      </c>
      <c r="G1993" s="1">
        <v>0</v>
      </c>
      <c r="H1993" s="2">
        <v>35198</v>
      </c>
    </row>
    <row r="1994" spans="1:8" x14ac:dyDescent="0.4">
      <c r="A1994" s="1" t="s">
        <v>481</v>
      </c>
      <c r="B1994" s="1">
        <v>11019</v>
      </c>
      <c r="C1994" s="1">
        <v>49</v>
      </c>
      <c r="D1994" s="1" t="s">
        <v>697</v>
      </c>
      <c r="E1994">
        <v>20</v>
      </c>
      <c r="F1994" s="1">
        <v>2</v>
      </c>
      <c r="G1994" s="1">
        <v>0</v>
      </c>
      <c r="H1994" s="2">
        <v>35198</v>
      </c>
    </row>
    <row r="1995" spans="1:8" x14ac:dyDescent="0.4">
      <c r="A1995" s="1" t="s">
        <v>430</v>
      </c>
      <c r="B1995" s="1">
        <v>11020</v>
      </c>
      <c r="C1995" s="1">
        <v>10</v>
      </c>
      <c r="D1995" s="1" t="s">
        <v>724</v>
      </c>
      <c r="E1995">
        <v>31</v>
      </c>
      <c r="F1995" s="1">
        <v>24</v>
      </c>
      <c r="G1995" s="1">
        <v>0.15</v>
      </c>
      <c r="H1995" s="2">
        <v>35199</v>
      </c>
    </row>
    <row r="1996" spans="1:8" x14ac:dyDescent="0.4">
      <c r="A1996" s="1" t="s">
        <v>475</v>
      </c>
      <c r="B1996" s="1">
        <v>11021</v>
      </c>
      <c r="C1996" s="1">
        <v>2</v>
      </c>
      <c r="D1996" s="1" t="s">
        <v>701</v>
      </c>
      <c r="E1996">
        <v>19</v>
      </c>
      <c r="F1996" s="1">
        <v>11</v>
      </c>
      <c r="G1996" s="1">
        <v>0.25</v>
      </c>
      <c r="H1996" s="2">
        <v>35199</v>
      </c>
    </row>
    <row r="1997" spans="1:8" x14ac:dyDescent="0.4">
      <c r="A1997" s="1" t="s">
        <v>475</v>
      </c>
      <c r="B1997" s="1">
        <v>11021</v>
      </c>
      <c r="C1997" s="1">
        <v>20</v>
      </c>
      <c r="D1997" s="1" t="s">
        <v>692</v>
      </c>
      <c r="E1997">
        <v>81</v>
      </c>
      <c r="F1997" s="1">
        <v>15</v>
      </c>
      <c r="G1997" s="1">
        <v>0</v>
      </c>
      <c r="H1997" s="2">
        <v>35199</v>
      </c>
    </row>
    <row r="1998" spans="1:8" x14ac:dyDescent="0.4">
      <c r="A1998" s="1" t="s">
        <v>475</v>
      </c>
      <c r="B1998" s="1">
        <v>11021</v>
      </c>
      <c r="C1998" s="1">
        <v>26</v>
      </c>
      <c r="D1998" s="1" t="s">
        <v>751</v>
      </c>
      <c r="E1998">
        <v>31.23</v>
      </c>
      <c r="F1998" s="1">
        <v>63</v>
      </c>
      <c r="G1998" s="1">
        <v>0</v>
      </c>
      <c r="H1998" s="2">
        <v>35199</v>
      </c>
    </row>
    <row r="1999" spans="1:8" x14ac:dyDescent="0.4">
      <c r="A1999" s="1" t="s">
        <v>475</v>
      </c>
      <c r="B1999" s="1">
        <v>11021</v>
      </c>
      <c r="C1999" s="1">
        <v>51</v>
      </c>
      <c r="D1999" s="1" t="s">
        <v>687</v>
      </c>
      <c r="E1999">
        <v>53</v>
      </c>
      <c r="F1999" s="1">
        <v>44</v>
      </c>
      <c r="G1999" s="1">
        <v>0.25</v>
      </c>
      <c r="H1999" s="2">
        <v>35199</v>
      </c>
    </row>
    <row r="2000" spans="1:8" x14ac:dyDescent="0.4">
      <c r="A2000" s="1" t="s">
        <v>475</v>
      </c>
      <c r="B2000" s="1">
        <v>11021</v>
      </c>
      <c r="C2000" s="1">
        <v>72</v>
      </c>
      <c r="D2000" s="1" t="s">
        <v>685</v>
      </c>
      <c r="E2000">
        <v>34.799999999999997</v>
      </c>
      <c r="F2000" s="1">
        <v>35</v>
      </c>
      <c r="G2000" s="1">
        <v>0</v>
      </c>
      <c r="H2000" s="2">
        <v>35199</v>
      </c>
    </row>
    <row r="2001" spans="1:8" x14ac:dyDescent="0.4">
      <c r="A2001" s="1" t="s">
        <v>264</v>
      </c>
      <c r="B2001" s="1">
        <v>11022</v>
      </c>
      <c r="C2001" s="1">
        <v>19</v>
      </c>
      <c r="D2001" s="1" t="s">
        <v>732</v>
      </c>
      <c r="E2001">
        <v>9.1999999999999993</v>
      </c>
      <c r="F2001" s="1">
        <v>35</v>
      </c>
      <c r="G2001" s="1">
        <v>0</v>
      </c>
      <c r="H2001" s="2">
        <v>35199</v>
      </c>
    </row>
    <row r="2002" spans="1:8" x14ac:dyDescent="0.4">
      <c r="A2002" s="1" t="s">
        <v>264</v>
      </c>
      <c r="B2002" s="1">
        <v>11022</v>
      </c>
      <c r="C2002" s="1">
        <v>69</v>
      </c>
      <c r="D2002" s="1" t="s">
        <v>743</v>
      </c>
      <c r="E2002">
        <v>36</v>
      </c>
      <c r="F2002" s="1">
        <v>30</v>
      </c>
      <c r="G2002" s="1">
        <v>0</v>
      </c>
      <c r="H2002" s="2">
        <v>35199</v>
      </c>
    </row>
    <row r="2003" spans="1:8" x14ac:dyDescent="0.4">
      <c r="A2003" s="1" t="s">
        <v>95</v>
      </c>
      <c r="B2003" s="1">
        <v>11023</v>
      </c>
      <c r="C2003" s="1">
        <v>7</v>
      </c>
      <c r="D2003" s="1" t="s">
        <v>715</v>
      </c>
      <c r="E2003">
        <v>30</v>
      </c>
      <c r="F2003" s="1">
        <v>4</v>
      </c>
      <c r="G2003" s="1">
        <v>0</v>
      </c>
      <c r="H2003" s="2">
        <v>35199</v>
      </c>
    </row>
    <row r="2004" spans="1:8" x14ac:dyDescent="0.4">
      <c r="A2004" s="1" t="s">
        <v>95</v>
      </c>
      <c r="B2004" s="1">
        <v>11023</v>
      </c>
      <c r="C2004" s="1">
        <v>43</v>
      </c>
      <c r="D2004" s="1" t="s">
        <v>723</v>
      </c>
      <c r="E2004">
        <v>46</v>
      </c>
      <c r="F2004" s="1">
        <v>30</v>
      </c>
      <c r="G2004" s="1">
        <v>0</v>
      </c>
      <c r="H2004" s="2">
        <v>35199</v>
      </c>
    </row>
    <row r="2005" spans="1:8" x14ac:dyDescent="0.4">
      <c r="A2005" s="1" t="s">
        <v>154</v>
      </c>
      <c r="B2005" s="1">
        <v>11024</v>
      </c>
      <c r="C2005" s="1">
        <v>26</v>
      </c>
      <c r="D2005" s="1" t="s">
        <v>751</v>
      </c>
      <c r="E2005">
        <v>31.23</v>
      </c>
      <c r="F2005" s="1">
        <v>12</v>
      </c>
      <c r="G2005" s="1">
        <v>0</v>
      </c>
      <c r="H2005" s="2">
        <v>35200</v>
      </c>
    </row>
    <row r="2006" spans="1:8" x14ac:dyDescent="0.4">
      <c r="A2006" s="1" t="s">
        <v>154</v>
      </c>
      <c r="B2006" s="1">
        <v>11024</v>
      </c>
      <c r="C2006" s="1">
        <v>33</v>
      </c>
      <c r="D2006" s="1" t="s">
        <v>693</v>
      </c>
      <c r="E2006">
        <v>2.5</v>
      </c>
      <c r="F2006" s="1">
        <v>30</v>
      </c>
      <c r="G2006" s="1">
        <v>0</v>
      </c>
      <c r="H2006" s="2">
        <v>35200</v>
      </c>
    </row>
    <row r="2007" spans="1:8" x14ac:dyDescent="0.4">
      <c r="A2007" s="1" t="s">
        <v>154</v>
      </c>
      <c r="B2007" s="1">
        <v>11024</v>
      </c>
      <c r="C2007" s="1">
        <v>65</v>
      </c>
      <c r="D2007" s="1" t="s">
        <v>689</v>
      </c>
      <c r="E2007">
        <v>21.05</v>
      </c>
      <c r="F2007" s="1">
        <v>21</v>
      </c>
      <c r="G2007" s="1">
        <v>0</v>
      </c>
      <c r="H2007" s="2">
        <v>35200</v>
      </c>
    </row>
    <row r="2008" spans="1:8" x14ac:dyDescent="0.4">
      <c r="A2008" s="1" t="s">
        <v>154</v>
      </c>
      <c r="B2008" s="1">
        <v>11024</v>
      </c>
      <c r="C2008" s="1">
        <v>71</v>
      </c>
      <c r="D2008" s="1" t="s">
        <v>725</v>
      </c>
      <c r="E2008">
        <v>21.5</v>
      </c>
      <c r="F2008" s="1">
        <v>50</v>
      </c>
      <c r="G2008" s="1">
        <v>0</v>
      </c>
      <c r="H2008" s="2">
        <v>35200</v>
      </c>
    </row>
    <row r="2009" spans="1:8" x14ac:dyDescent="0.4">
      <c r="A2009" s="1" t="s">
        <v>640</v>
      </c>
      <c r="B2009" s="1">
        <v>11025</v>
      </c>
      <c r="C2009" s="1">
        <v>1</v>
      </c>
      <c r="D2009" s="1" t="s">
        <v>735</v>
      </c>
      <c r="E2009">
        <v>18</v>
      </c>
      <c r="F2009" s="1">
        <v>10</v>
      </c>
      <c r="G2009" s="1">
        <v>0.1</v>
      </c>
      <c r="H2009" s="2">
        <v>35200</v>
      </c>
    </row>
    <row r="2010" spans="1:8" x14ac:dyDescent="0.4">
      <c r="A2010" s="1" t="s">
        <v>640</v>
      </c>
      <c r="B2010" s="1">
        <v>11025</v>
      </c>
      <c r="C2010" s="1">
        <v>13</v>
      </c>
      <c r="D2010" s="1" t="s">
        <v>726</v>
      </c>
      <c r="E2010">
        <v>6</v>
      </c>
      <c r="F2010" s="1">
        <v>20</v>
      </c>
      <c r="G2010" s="1">
        <v>0.1</v>
      </c>
      <c r="H2010" s="2">
        <v>35200</v>
      </c>
    </row>
    <row r="2011" spans="1:8" x14ac:dyDescent="0.4">
      <c r="A2011" s="1" t="s">
        <v>211</v>
      </c>
      <c r="B2011" s="1">
        <v>11026</v>
      </c>
      <c r="C2011" s="1">
        <v>18</v>
      </c>
      <c r="D2011" s="1" t="s">
        <v>742</v>
      </c>
      <c r="E2011">
        <v>62.5</v>
      </c>
      <c r="F2011" s="1">
        <v>8</v>
      </c>
      <c r="G2011" s="1">
        <v>0</v>
      </c>
      <c r="H2011" s="2">
        <v>35200</v>
      </c>
    </row>
    <row r="2012" spans="1:8" x14ac:dyDescent="0.4">
      <c r="A2012" s="1" t="s">
        <v>211</v>
      </c>
      <c r="B2012" s="1">
        <v>11026</v>
      </c>
      <c r="C2012" s="1">
        <v>51</v>
      </c>
      <c r="D2012" s="1" t="s">
        <v>687</v>
      </c>
      <c r="E2012">
        <v>53</v>
      </c>
      <c r="F2012" s="1">
        <v>10</v>
      </c>
      <c r="G2012" s="1">
        <v>0</v>
      </c>
      <c r="H2012" s="2">
        <v>35200</v>
      </c>
    </row>
    <row r="2013" spans="1:8" x14ac:dyDescent="0.4">
      <c r="A2013" s="1" t="s">
        <v>84</v>
      </c>
      <c r="B2013" s="1">
        <v>11027</v>
      </c>
      <c r="C2013" s="1">
        <v>24</v>
      </c>
      <c r="D2013" s="1" t="s">
        <v>698</v>
      </c>
      <c r="E2013">
        <v>4.5</v>
      </c>
      <c r="F2013" s="1">
        <v>30</v>
      </c>
      <c r="G2013" s="1">
        <v>0.25</v>
      </c>
      <c r="H2013" s="2">
        <v>35201</v>
      </c>
    </row>
    <row r="2014" spans="1:8" x14ac:dyDescent="0.4">
      <c r="A2014" s="1" t="s">
        <v>84</v>
      </c>
      <c r="B2014" s="1">
        <v>11027</v>
      </c>
      <c r="C2014" s="1">
        <v>62</v>
      </c>
      <c r="D2014" s="1" t="s">
        <v>712</v>
      </c>
      <c r="E2014">
        <v>49.3</v>
      </c>
      <c r="F2014" s="1">
        <v>21</v>
      </c>
      <c r="G2014" s="1">
        <v>0.25</v>
      </c>
      <c r="H2014" s="2">
        <v>35201</v>
      </c>
    </row>
    <row r="2015" spans="1:8" x14ac:dyDescent="0.4">
      <c r="A2015" s="1" t="s">
        <v>305</v>
      </c>
      <c r="B2015" s="1">
        <v>11028</v>
      </c>
      <c r="C2015" s="1">
        <v>55</v>
      </c>
      <c r="D2015" s="1" t="s">
        <v>699</v>
      </c>
      <c r="E2015">
        <v>24</v>
      </c>
      <c r="F2015" s="1">
        <v>35</v>
      </c>
      <c r="G2015" s="1">
        <v>0</v>
      </c>
      <c r="H2015" s="2">
        <v>35201</v>
      </c>
    </row>
    <row r="2016" spans="1:8" x14ac:dyDescent="0.4">
      <c r="A2016" s="1" t="s">
        <v>305</v>
      </c>
      <c r="B2016" s="1">
        <v>11028</v>
      </c>
      <c r="C2016" s="1">
        <v>59</v>
      </c>
      <c r="D2016" s="1" t="s">
        <v>704</v>
      </c>
      <c r="E2016">
        <v>55</v>
      </c>
      <c r="F2016" s="1">
        <v>24</v>
      </c>
      <c r="G2016" s="1">
        <v>0</v>
      </c>
      <c r="H2016" s="2">
        <v>35201</v>
      </c>
    </row>
    <row r="2017" spans="1:8" x14ac:dyDescent="0.4">
      <c r="A2017" s="1" t="s">
        <v>116</v>
      </c>
      <c r="B2017" s="1">
        <v>11029</v>
      </c>
      <c r="C2017" s="1">
        <v>56</v>
      </c>
      <c r="D2017" s="1" t="s">
        <v>716</v>
      </c>
      <c r="E2017">
        <v>38</v>
      </c>
      <c r="F2017" s="1">
        <v>20</v>
      </c>
      <c r="G2017" s="1">
        <v>0</v>
      </c>
      <c r="H2017" s="2">
        <v>35201</v>
      </c>
    </row>
    <row r="2018" spans="1:8" x14ac:dyDescent="0.4">
      <c r="A2018" s="1" t="s">
        <v>116</v>
      </c>
      <c r="B2018" s="1">
        <v>11029</v>
      </c>
      <c r="C2018" s="1">
        <v>63</v>
      </c>
      <c r="D2018" s="1" t="s">
        <v>729</v>
      </c>
      <c r="E2018">
        <v>43.9</v>
      </c>
      <c r="F2018" s="1">
        <v>12</v>
      </c>
      <c r="G2018" s="1">
        <v>0</v>
      </c>
      <c r="H2018" s="2">
        <v>35201</v>
      </c>
    </row>
    <row r="2019" spans="1:8" x14ac:dyDescent="0.4">
      <c r="A2019" s="1" t="s">
        <v>529</v>
      </c>
      <c r="B2019" s="1">
        <v>11030</v>
      </c>
      <c r="C2019" s="1">
        <v>2</v>
      </c>
      <c r="D2019" s="1" t="s">
        <v>701</v>
      </c>
      <c r="E2019">
        <v>19</v>
      </c>
      <c r="F2019" s="1">
        <v>100</v>
      </c>
      <c r="G2019" s="1">
        <v>0.25</v>
      </c>
      <c r="H2019" s="2">
        <v>35202</v>
      </c>
    </row>
    <row r="2020" spans="1:8" x14ac:dyDescent="0.4">
      <c r="A2020" s="1" t="s">
        <v>529</v>
      </c>
      <c r="B2020" s="1">
        <v>11030</v>
      </c>
      <c r="C2020" s="1">
        <v>5</v>
      </c>
      <c r="D2020" s="1" t="s">
        <v>708</v>
      </c>
      <c r="E2020">
        <v>21.35</v>
      </c>
      <c r="F2020" s="1">
        <v>70</v>
      </c>
      <c r="G2020" s="1">
        <v>0</v>
      </c>
      <c r="H2020" s="2">
        <v>35202</v>
      </c>
    </row>
    <row r="2021" spans="1:8" x14ac:dyDescent="0.4">
      <c r="A2021" s="1" t="s">
        <v>529</v>
      </c>
      <c r="B2021" s="1">
        <v>11030</v>
      </c>
      <c r="C2021" s="1">
        <v>29</v>
      </c>
      <c r="D2021" s="1" t="s">
        <v>722</v>
      </c>
      <c r="E2021">
        <v>123.79</v>
      </c>
      <c r="F2021" s="1">
        <v>60</v>
      </c>
      <c r="G2021" s="1">
        <v>0.25</v>
      </c>
      <c r="H2021" s="2">
        <v>35202</v>
      </c>
    </row>
    <row r="2022" spans="1:8" x14ac:dyDescent="0.4">
      <c r="A2022" s="1" t="s">
        <v>529</v>
      </c>
      <c r="B2022" s="1">
        <v>11030</v>
      </c>
      <c r="C2022" s="1">
        <v>59</v>
      </c>
      <c r="D2022" s="1" t="s">
        <v>704</v>
      </c>
      <c r="E2022">
        <v>55</v>
      </c>
      <c r="F2022" s="1">
        <v>100</v>
      </c>
      <c r="G2022" s="1">
        <v>0.25</v>
      </c>
      <c r="H2022" s="2">
        <v>35202</v>
      </c>
    </row>
    <row r="2023" spans="1:8" x14ac:dyDescent="0.4">
      <c r="A2023" s="1" t="s">
        <v>529</v>
      </c>
      <c r="B2023" s="1">
        <v>11031</v>
      </c>
      <c r="C2023" s="1">
        <v>1</v>
      </c>
      <c r="D2023" s="1" t="s">
        <v>735</v>
      </c>
      <c r="E2023">
        <v>18</v>
      </c>
      <c r="F2023" s="1">
        <v>45</v>
      </c>
      <c r="G2023" s="1">
        <v>0</v>
      </c>
      <c r="H2023" s="2">
        <v>35202</v>
      </c>
    </row>
    <row r="2024" spans="1:8" x14ac:dyDescent="0.4">
      <c r="A2024" s="1" t="s">
        <v>529</v>
      </c>
      <c r="B2024" s="1">
        <v>11031</v>
      </c>
      <c r="C2024" s="1">
        <v>13</v>
      </c>
      <c r="D2024" s="1" t="s">
        <v>726</v>
      </c>
      <c r="E2024">
        <v>6</v>
      </c>
      <c r="F2024" s="1">
        <v>80</v>
      </c>
      <c r="G2024" s="1">
        <v>0</v>
      </c>
      <c r="H2024" s="2">
        <v>35202</v>
      </c>
    </row>
    <row r="2025" spans="1:8" x14ac:dyDescent="0.4">
      <c r="A2025" s="1" t="s">
        <v>529</v>
      </c>
      <c r="B2025" s="1">
        <v>11031</v>
      </c>
      <c r="C2025" s="1">
        <v>24</v>
      </c>
      <c r="D2025" s="1" t="s">
        <v>698</v>
      </c>
      <c r="E2025">
        <v>4.5</v>
      </c>
      <c r="F2025" s="1">
        <v>21</v>
      </c>
      <c r="G2025" s="1">
        <v>0</v>
      </c>
      <c r="H2025" s="2">
        <v>35202</v>
      </c>
    </row>
    <row r="2026" spans="1:8" x14ac:dyDescent="0.4">
      <c r="A2026" s="1" t="s">
        <v>529</v>
      </c>
      <c r="B2026" s="1">
        <v>11031</v>
      </c>
      <c r="C2026" s="1">
        <v>64</v>
      </c>
      <c r="D2026" s="1" t="s">
        <v>741</v>
      </c>
      <c r="E2026">
        <v>33.25</v>
      </c>
      <c r="F2026" s="1">
        <v>20</v>
      </c>
      <c r="G2026" s="1">
        <v>0</v>
      </c>
      <c r="H2026" s="2">
        <v>35202</v>
      </c>
    </row>
    <row r="2027" spans="1:8" x14ac:dyDescent="0.4">
      <c r="A2027" s="1" t="s">
        <v>529</v>
      </c>
      <c r="B2027" s="1">
        <v>11031</v>
      </c>
      <c r="C2027" s="1">
        <v>71</v>
      </c>
      <c r="D2027" s="1" t="s">
        <v>725</v>
      </c>
      <c r="E2027">
        <v>21.5</v>
      </c>
      <c r="F2027" s="1">
        <v>16</v>
      </c>
      <c r="G2027" s="1">
        <v>0</v>
      </c>
      <c r="H2027" s="2">
        <v>35202</v>
      </c>
    </row>
    <row r="2028" spans="1:8" x14ac:dyDescent="0.4">
      <c r="A2028" s="1" t="s">
        <v>654</v>
      </c>
      <c r="B2028" s="1">
        <v>11032</v>
      </c>
      <c r="C2028" s="1">
        <v>36</v>
      </c>
      <c r="D2028" s="1" t="s">
        <v>703</v>
      </c>
      <c r="E2028">
        <v>19</v>
      </c>
      <c r="F2028" s="1">
        <v>35</v>
      </c>
      <c r="G2028" s="1">
        <v>0</v>
      </c>
      <c r="H2028" s="2">
        <v>35202</v>
      </c>
    </row>
    <row r="2029" spans="1:8" x14ac:dyDescent="0.4">
      <c r="A2029" s="1" t="s">
        <v>654</v>
      </c>
      <c r="B2029" s="1">
        <v>11032</v>
      </c>
      <c r="C2029" s="1">
        <v>38</v>
      </c>
      <c r="D2029" s="1" t="s">
        <v>750</v>
      </c>
      <c r="E2029">
        <v>263.5</v>
      </c>
      <c r="F2029" s="1">
        <v>25</v>
      </c>
      <c r="G2029" s="1">
        <v>0</v>
      </c>
      <c r="H2029" s="2">
        <v>35202</v>
      </c>
    </row>
    <row r="2030" spans="1:8" x14ac:dyDescent="0.4">
      <c r="A2030" s="1" t="s">
        <v>654</v>
      </c>
      <c r="B2030" s="1">
        <v>11032</v>
      </c>
      <c r="C2030" s="1">
        <v>59</v>
      </c>
      <c r="D2030" s="1" t="s">
        <v>704</v>
      </c>
      <c r="E2030">
        <v>55</v>
      </c>
      <c r="F2030" s="1">
        <v>30</v>
      </c>
      <c r="G2030" s="1">
        <v>0</v>
      </c>
      <c r="H2030" s="2">
        <v>35202</v>
      </c>
    </row>
    <row r="2031" spans="1:8" x14ac:dyDescent="0.4">
      <c r="A2031" s="1" t="s">
        <v>509</v>
      </c>
      <c r="B2031" s="1">
        <v>11033</v>
      </c>
      <c r="C2031" s="1">
        <v>53</v>
      </c>
      <c r="D2031" s="1" t="s">
        <v>705</v>
      </c>
      <c r="E2031">
        <v>32.799999999999997</v>
      </c>
      <c r="F2031" s="1">
        <v>70</v>
      </c>
      <c r="G2031" s="1">
        <v>0.1</v>
      </c>
      <c r="H2031" s="2">
        <v>35202</v>
      </c>
    </row>
    <row r="2032" spans="1:8" x14ac:dyDescent="0.4">
      <c r="A2032" s="1" t="s">
        <v>509</v>
      </c>
      <c r="B2032" s="1">
        <v>11033</v>
      </c>
      <c r="C2032" s="1">
        <v>69</v>
      </c>
      <c r="D2032" s="1" t="s">
        <v>743</v>
      </c>
      <c r="E2032">
        <v>36</v>
      </c>
      <c r="F2032" s="1">
        <v>36</v>
      </c>
      <c r="G2032" s="1">
        <v>0.1</v>
      </c>
      <c r="H2032" s="2">
        <v>35202</v>
      </c>
    </row>
    <row r="2033" spans="1:8" x14ac:dyDescent="0.4">
      <c r="A2033" s="1" t="s">
        <v>422</v>
      </c>
      <c r="B2033" s="1">
        <v>11034</v>
      </c>
      <c r="C2033" s="1">
        <v>21</v>
      </c>
      <c r="D2033" s="1" t="s">
        <v>710</v>
      </c>
      <c r="E2033">
        <v>10</v>
      </c>
      <c r="F2033" s="1">
        <v>15</v>
      </c>
      <c r="G2033" s="1">
        <v>0.1</v>
      </c>
      <c r="H2033" s="2">
        <v>35205</v>
      </c>
    </row>
    <row r="2034" spans="1:8" x14ac:dyDescent="0.4">
      <c r="A2034" s="1" t="s">
        <v>422</v>
      </c>
      <c r="B2034" s="1">
        <v>11034</v>
      </c>
      <c r="C2034" s="1">
        <v>44</v>
      </c>
      <c r="D2034" s="1" t="s">
        <v>728</v>
      </c>
      <c r="E2034">
        <v>19.45</v>
      </c>
      <c r="F2034" s="1">
        <v>12</v>
      </c>
      <c r="G2034" s="1">
        <v>0</v>
      </c>
      <c r="H2034" s="2">
        <v>35205</v>
      </c>
    </row>
    <row r="2035" spans="1:8" x14ac:dyDescent="0.4">
      <c r="A2035" s="1" t="s">
        <v>422</v>
      </c>
      <c r="B2035" s="1">
        <v>11034</v>
      </c>
      <c r="C2035" s="1">
        <v>61</v>
      </c>
      <c r="D2035" s="1" t="s">
        <v>758</v>
      </c>
      <c r="E2035">
        <v>28.5</v>
      </c>
      <c r="F2035" s="1">
        <v>6</v>
      </c>
      <c r="G2035" s="1">
        <v>0</v>
      </c>
      <c r="H2035" s="2">
        <v>35205</v>
      </c>
    </row>
    <row r="2036" spans="1:8" x14ac:dyDescent="0.4">
      <c r="A2036" s="1" t="s">
        <v>565</v>
      </c>
      <c r="B2036" s="1">
        <v>11035</v>
      </c>
      <c r="C2036" s="1">
        <v>1</v>
      </c>
      <c r="D2036" s="1" t="s">
        <v>735</v>
      </c>
      <c r="E2036">
        <v>18</v>
      </c>
      <c r="F2036" s="1">
        <v>10</v>
      </c>
      <c r="G2036" s="1">
        <v>0</v>
      </c>
      <c r="H2036" s="2">
        <v>35205</v>
      </c>
    </row>
    <row r="2037" spans="1:8" x14ac:dyDescent="0.4">
      <c r="A2037" s="1" t="s">
        <v>565</v>
      </c>
      <c r="B2037" s="1">
        <v>11035</v>
      </c>
      <c r="C2037" s="1">
        <v>35</v>
      </c>
      <c r="D2037" s="1" t="s">
        <v>714</v>
      </c>
      <c r="E2037">
        <v>18</v>
      </c>
      <c r="F2037" s="1">
        <v>60</v>
      </c>
      <c r="G2037" s="1">
        <v>0</v>
      </c>
      <c r="H2037" s="2">
        <v>35205</v>
      </c>
    </row>
    <row r="2038" spans="1:8" x14ac:dyDescent="0.4">
      <c r="A2038" s="1" t="s">
        <v>565</v>
      </c>
      <c r="B2038" s="1">
        <v>11035</v>
      </c>
      <c r="C2038" s="1">
        <v>42</v>
      </c>
      <c r="D2038" s="1" t="s">
        <v>684</v>
      </c>
      <c r="E2038">
        <v>14</v>
      </c>
      <c r="F2038" s="1">
        <v>30</v>
      </c>
      <c r="G2038" s="1">
        <v>0</v>
      </c>
      <c r="H2038" s="2">
        <v>35205</v>
      </c>
    </row>
    <row r="2039" spans="1:8" x14ac:dyDescent="0.4">
      <c r="A2039" s="1" t="s">
        <v>565</v>
      </c>
      <c r="B2039" s="1">
        <v>11035</v>
      </c>
      <c r="C2039" s="1">
        <v>54</v>
      </c>
      <c r="D2039" s="1" t="s">
        <v>738</v>
      </c>
      <c r="E2039">
        <v>7.45</v>
      </c>
      <c r="F2039" s="1">
        <v>10</v>
      </c>
      <c r="G2039" s="1">
        <v>0</v>
      </c>
      <c r="H2039" s="2">
        <v>35205</v>
      </c>
    </row>
    <row r="2040" spans="1:8" x14ac:dyDescent="0.4">
      <c r="A2040" s="1" t="s">
        <v>140</v>
      </c>
      <c r="B2040" s="1">
        <v>11036</v>
      </c>
      <c r="C2040" s="1">
        <v>13</v>
      </c>
      <c r="D2040" s="1" t="s">
        <v>726</v>
      </c>
      <c r="E2040">
        <v>6</v>
      </c>
      <c r="F2040" s="1">
        <v>7</v>
      </c>
      <c r="G2040" s="1">
        <v>0</v>
      </c>
      <c r="H2040" s="2">
        <v>35205</v>
      </c>
    </row>
    <row r="2041" spans="1:8" x14ac:dyDescent="0.4">
      <c r="A2041" s="1" t="s">
        <v>140</v>
      </c>
      <c r="B2041" s="1">
        <v>11036</v>
      </c>
      <c r="C2041" s="1">
        <v>59</v>
      </c>
      <c r="D2041" s="1" t="s">
        <v>704</v>
      </c>
      <c r="E2041">
        <v>55</v>
      </c>
      <c r="F2041" s="1">
        <v>30</v>
      </c>
      <c r="G2041" s="1">
        <v>0</v>
      </c>
      <c r="H2041" s="2">
        <v>35205</v>
      </c>
    </row>
    <row r="2042" spans="1:8" x14ac:dyDescent="0.4">
      <c r="A2042" s="1" t="s">
        <v>234</v>
      </c>
      <c r="B2042" s="1">
        <v>11037</v>
      </c>
      <c r="C2042" s="1">
        <v>70</v>
      </c>
      <c r="D2042" s="1" t="s">
        <v>713</v>
      </c>
      <c r="E2042">
        <v>15</v>
      </c>
      <c r="F2042" s="1">
        <v>4</v>
      </c>
      <c r="G2042" s="1">
        <v>0</v>
      </c>
      <c r="H2042" s="2">
        <v>35206</v>
      </c>
    </row>
    <row r="2043" spans="1:8" x14ac:dyDescent="0.4">
      <c r="A2043" s="1" t="s">
        <v>565</v>
      </c>
      <c r="B2043" s="1">
        <v>11038</v>
      </c>
      <c r="C2043" s="1">
        <v>40</v>
      </c>
      <c r="D2043" s="1" t="s">
        <v>720</v>
      </c>
      <c r="E2043">
        <v>18.399999999999999</v>
      </c>
      <c r="F2043" s="1">
        <v>5</v>
      </c>
      <c r="G2043" s="1">
        <v>0.2</v>
      </c>
      <c r="H2043" s="2">
        <v>35206</v>
      </c>
    </row>
    <row r="2044" spans="1:8" x14ac:dyDescent="0.4">
      <c r="A2044" s="1" t="s">
        <v>565</v>
      </c>
      <c r="B2044" s="1">
        <v>11038</v>
      </c>
      <c r="C2044" s="1">
        <v>52</v>
      </c>
      <c r="D2044" s="1" t="s">
        <v>748</v>
      </c>
      <c r="E2044">
        <v>7</v>
      </c>
      <c r="F2044" s="1">
        <v>2</v>
      </c>
      <c r="G2044" s="1">
        <v>0</v>
      </c>
      <c r="H2044" s="2">
        <v>35206</v>
      </c>
    </row>
    <row r="2045" spans="1:8" x14ac:dyDescent="0.4">
      <c r="A2045" s="1" t="s">
        <v>565</v>
      </c>
      <c r="B2045" s="1">
        <v>11038</v>
      </c>
      <c r="C2045" s="1">
        <v>71</v>
      </c>
      <c r="D2045" s="1" t="s">
        <v>725</v>
      </c>
      <c r="E2045">
        <v>21.5</v>
      </c>
      <c r="F2045" s="1">
        <v>30</v>
      </c>
      <c r="G2045" s="1">
        <v>0</v>
      </c>
      <c r="H2045" s="2">
        <v>35206</v>
      </c>
    </row>
    <row r="2046" spans="1:8" x14ac:dyDescent="0.4">
      <c r="A2046" s="1" t="s">
        <v>363</v>
      </c>
      <c r="B2046" s="1">
        <v>11039</v>
      </c>
      <c r="C2046" s="1">
        <v>28</v>
      </c>
      <c r="D2046" s="1" t="s">
        <v>727</v>
      </c>
      <c r="E2046">
        <v>45.6</v>
      </c>
      <c r="F2046" s="1">
        <v>20</v>
      </c>
      <c r="G2046" s="1">
        <v>0</v>
      </c>
      <c r="H2046" s="2">
        <v>35206</v>
      </c>
    </row>
    <row r="2047" spans="1:8" x14ac:dyDescent="0.4">
      <c r="A2047" s="1" t="s">
        <v>363</v>
      </c>
      <c r="B2047" s="1">
        <v>11039</v>
      </c>
      <c r="C2047" s="1">
        <v>35</v>
      </c>
      <c r="D2047" s="1" t="s">
        <v>714</v>
      </c>
      <c r="E2047">
        <v>18</v>
      </c>
      <c r="F2047" s="1">
        <v>24</v>
      </c>
      <c r="G2047" s="1">
        <v>0</v>
      </c>
      <c r="H2047" s="2">
        <v>35206</v>
      </c>
    </row>
    <row r="2048" spans="1:8" x14ac:dyDescent="0.4">
      <c r="A2048" s="1" t="s">
        <v>363</v>
      </c>
      <c r="B2048" s="1">
        <v>11039</v>
      </c>
      <c r="C2048" s="1">
        <v>49</v>
      </c>
      <c r="D2048" s="1" t="s">
        <v>697</v>
      </c>
      <c r="E2048">
        <v>20</v>
      </c>
      <c r="F2048" s="1">
        <v>60</v>
      </c>
      <c r="G2048" s="1">
        <v>0</v>
      </c>
      <c r="H2048" s="2">
        <v>35206</v>
      </c>
    </row>
    <row r="2049" spans="1:8" x14ac:dyDescent="0.4">
      <c r="A2049" s="1" t="s">
        <v>363</v>
      </c>
      <c r="B2049" s="1">
        <v>11039</v>
      </c>
      <c r="C2049" s="1">
        <v>57</v>
      </c>
      <c r="D2049" s="1" t="s">
        <v>691</v>
      </c>
      <c r="E2049">
        <v>19.5</v>
      </c>
      <c r="F2049" s="1">
        <v>28</v>
      </c>
      <c r="G2049" s="1">
        <v>0</v>
      </c>
      <c r="H2049" s="2">
        <v>35206</v>
      </c>
    </row>
    <row r="2050" spans="1:8" x14ac:dyDescent="0.4">
      <c r="A2050" s="1" t="s">
        <v>247</v>
      </c>
      <c r="B2050" s="1">
        <v>11040</v>
      </c>
      <c r="C2050" s="1">
        <v>21</v>
      </c>
      <c r="D2050" s="1" t="s">
        <v>710</v>
      </c>
      <c r="E2050">
        <v>10</v>
      </c>
      <c r="F2050" s="1">
        <v>20</v>
      </c>
      <c r="G2050" s="1">
        <v>0</v>
      </c>
      <c r="H2050" s="2">
        <v>35207</v>
      </c>
    </row>
    <row r="2051" spans="1:8" x14ac:dyDescent="0.4">
      <c r="A2051" s="1" t="s">
        <v>116</v>
      </c>
      <c r="B2051" s="1">
        <v>11041</v>
      </c>
      <c r="C2051" s="1">
        <v>2</v>
      </c>
      <c r="D2051" s="1" t="s">
        <v>701</v>
      </c>
      <c r="E2051">
        <v>19</v>
      </c>
      <c r="F2051" s="1">
        <v>30</v>
      </c>
      <c r="G2051" s="1">
        <v>0.2</v>
      </c>
      <c r="H2051" s="2">
        <v>35207</v>
      </c>
    </row>
    <row r="2052" spans="1:8" x14ac:dyDescent="0.4">
      <c r="A2052" s="1" t="s">
        <v>116</v>
      </c>
      <c r="B2052" s="1">
        <v>11041</v>
      </c>
      <c r="C2052" s="1">
        <v>63</v>
      </c>
      <c r="D2052" s="1" t="s">
        <v>729</v>
      </c>
      <c r="E2052">
        <v>43.9</v>
      </c>
      <c r="F2052" s="1">
        <v>30</v>
      </c>
      <c r="G2052" s="1">
        <v>0</v>
      </c>
      <c r="H2052" s="2">
        <v>35207</v>
      </c>
    </row>
    <row r="2053" spans="1:8" x14ac:dyDescent="0.4">
      <c r="A2053" s="1" t="s">
        <v>123</v>
      </c>
      <c r="B2053" s="1">
        <v>11042</v>
      </c>
      <c r="C2053" s="1">
        <v>44</v>
      </c>
      <c r="D2053" s="1" t="s">
        <v>728</v>
      </c>
      <c r="E2053">
        <v>19.45</v>
      </c>
      <c r="F2053" s="1">
        <v>15</v>
      </c>
      <c r="G2053" s="1">
        <v>0</v>
      </c>
      <c r="H2053" s="2">
        <v>35207</v>
      </c>
    </row>
    <row r="2054" spans="1:8" x14ac:dyDescent="0.4">
      <c r="A2054" s="1" t="s">
        <v>123</v>
      </c>
      <c r="B2054" s="1">
        <v>11042</v>
      </c>
      <c r="C2054" s="1">
        <v>61</v>
      </c>
      <c r="D2054" s="1" t="s">
        <v>758</v>
      </c>
      <c r="E2054">
        <v>28.5</v>
      </c>
      <c r="F2054" s="1">
        <v>4</v>
      </c>
      <c r="G2054" s="1">
        <v>0</v>
      </c>
      <c r="H2054" s="2">
        <v>35207</v>
      </c>
    </row>
    <row r="2055" spans="1:8" x14ac:dyDescent="0.4">
      <c r="A2055" s="1" t="s">
        <v>551</v>
      </c>
      <c r="B2055" s="1">
        <v>11043</v>
      </c>
      <c r="C2055" s="1">
        <v>11</v>
      </c>
      <c r="D2055" s="1" t="s">
        <v>683</v>
      </c>
      <c r="E2055">
        <v>21</v>
      </c>
      <c r="F2055" s="1">
        <v>10</v>
      </c>
      <c r="G2055" s="1">
        <v>0</v>
      </c>
      <c r="H2055" s="2">
        <v>35207</v>
      </c>
    </row>
    <row r="2056" spans="1:8" x14ac:dyDescent="0.4">
      <c r="A2056" s="1" t="s">
        <v>668</v>
      </c>
      <c r="B2056" s="1">
        <v>11044</v>
      </c>
      <c r="C2056" s="1">
        <v>62</v>
      </c>
      <c r="D2056" s="1" t="s">
        <v>712</v>
      </c>
      <c r="E2056">
        <v>49.3</v>
      </c>
      <c r="F2056" s="1">
        <v>12</v>
      </c>
      <c r="G2056" s="1">
        <v>0</v>
      </c>
      <c r="H2056" s="2">
        <v>35208</v>
      </c>
    </row>
    <row r="2057" spans="1:8" x14ac:dyDescent="0.4">
      <c r="A2057" s="1" t="s">
        <v>84</v>
      </c>
      <c r="B2057" s="1">
        <v>11045</v>
      </c>
      <c r="C2057" s="1">
        <v>33</v>
      </c>
      <c r="D2057" s="1" t="s">
        <v>693</v>
      </c>
      <c r="E2057">
        <v>2.5</v>
      </c>
      <c r="F2057" s="1">
        <v>15</v>
      </c>
      <c r="G2057" s="1">
        <v>0</v>
      </c>
      <c r="H2057" s="2">
        <v>35208</v>
      </c>
    </row>
    <row r="2058" spans="1:8" x14ac:dyDescent="0.4">
      <c r="A2058" s="1" t="s">
        <v>84</v>
      </c>
      <c r="B2058" s="1">
        <v>11045</v>
      </c>
      <c r="C2058" s="1">
        <v>51</v>
      </c>
      <c r="D2058" s="1" t="s">
        <v>687</v>
      </c>
      <c r="E2058">
        <v>53</v>
      </c>
      <c r="F2058" s="1">
        <v>24</v>
      </c>
      <c r="G2058" s="1">
        <v>0</v>
      </c>
      <c r="H2058" s="2">
        <v>35208</v>
      </c>
    </row>
    <row r="2059" spans="1:8" x14ac:dyDescent="0.4">
      <c r="A2059" s="1" t="s">
        <v>633</v>
      </c>
      <c r="B2059" s="1">
        <v>11046</v>
      </c>
      <c r="C2059" s="1">
        <v>12</v>
      </c>
      <c r="D2059" s="1" t="s">
        <v>719</v>
      </c>
      <c r="E2059">
        <v>38</v>
      </c>
      <c r="F2059" s="1">
        <v>20</v>
      </c>
      <c r="G2059" s="1">
        <v>0.05</v>
      </c>
      <c r="H2059" s="2">
        <v>35208</v>
      </c>
    </row>
    <row r="2060" spans="1:8" x14ac:dyDescent="0.4">
      <c r="A2060" s="1" t="s">
        <v>633</v>
      </c>
      <c r="B2060" s="1">
        <v>11046</v>
      </c>
      <c r="C2060" s="1">
        <v>32</v>
      </c>
      <c r="D2060" s="1" t="s">
        <v>709</v>
      </c>
      <c r="E2060">
        <v>32</v>
      </c>
      <c r="F2060" s="1">
        <v>15</v>
      </c>
      <c r="G2060" s="1">
        <v>0.05</v>
      </c>
      <c r="H2060" s="2">
        <v>35208</v>
      </c>
    </row>
    <row r="2061" spans="1:8" x14ac:dyDescent="0.4">
      <c r="A2061" s="1" t="s">
        <v>633</v>
      </c>
      <c r="B2061" s="1">
        <v>11046</v>
      </c>
      <c r="C2061" s="1">
        <v>35</v>
      </c>
      <c r="D2061" s="1" t="s">
        <v>714</v>
      </c>
      <c r="E2061">
        <v>18</v>
      </c>
      <c r="F2061" s="1">
        <v>18</v>
      </c>
      <c r="G2061" s="1">
        <v>0.05</v>
      </c>
      <c r="H2061" s="2">
        <v>35208</v>
      </c>
    </row>
    <row r="2062" spans="1:8" x14ac:dyDescent="0.4">
      <c r="A2062" s="1" t="s">
        <v>154</v>
      </c>
      <c r="B2062" s="1">
        <v>11047</v>
      </c>
      <c r="C2062" s="1">
        <v>1</v>
      </c>
      <c r="D2062" s="1" t="s">
        <v>735</v>
      </c>
      <c r="E2062">
        <v>18</v>
      </c>
      <c r="F2062" s="1">
        <v>25</v>
      </c>
      <c r="G2062" s="1">
        <v>0.25</v>
      </c>
      <c r="H2062" s="2">
        <v>35209</v>
      </c>
    </row>
    <row r="2063" spans="1:8" x14ac:dyDescent="0.4">
      <c r="A2063" s="1" t="s">
        <v>154</v>
      </c>
      <c r="B2063" s="1">
        <v>11047</v>
      </c>
      <c r="C2063" s="1">
        <v>5</v>
      </c>
      <c r="D2063" s="1" t="s">
        <v>708</v>
      </c>
      <c r="E2063">
        <v>21.35</v>
      </c>
      <c r="F2063" s="1">
        <v>30</v>
      </c>
      <c r="G2063" s="1">
        <v>0.25</v>
      </c>
      <c r="H2063" s="2">
        <v>35209</v>
      </c>
    </row>
    <row r="2064" spans="1:8" x14ac:dyDescent="0.4">
      <c r="A2064" s="1" t="s">
        <v>84</v>
      </c>
      <c r="B2064" s="1">
        <v>11048</v>
      </c>
      <c r="C2064" s="1">
        <v>68</v>
      </c>
      <c r="D2064" s="1" t="s">
        <v>739</v>
      </c>
      <c r="E2064">
        <v>12.5</v>
      </c>
      <c r="F2064" s="1">
        <v>42</v>
      </c>
      <c r="G2064" s="1">
        <v>0</v>
      </c>
      <c r="H2064" s="2">
        <v>35209</v>
      </c>
    </row>
    <row r="2065" spans="1:8" x14ac:dyDescent="0.4">
      <c r="A2065" s="1" t="s">
        <v>240</v>
      </c>
      <c r="B2065" s="1">
        <v>11049</v>
      </c>
      <c r="C2065" s="1">
        <v>2</v>
      </c>
      <c r="D2065" s="1" t="s">
        <v>701</v>
      </c>
      <c r="E2065">
        <v>19</v>
      </c>
      <c r="F2065" s="1">
        <v>10</v>
      </c>
      <c r="G2065" s="1">
        <v>0.2</v>
      </c>
      <c r="H2065" s="2">
        <v>35209</v>
      </c>
    </row>
    <row r="2066" spans="1:8" x14ac:dyDescent="0.4">
      <c r="A2066" s="1" t="s">
        <v>240</v>
      </c>
      <c r="B2066" s="1">
        <v>11049</v>
      </c>
      <c r="C2066" s="1">
        <v>12</v>
      </c>
      <c r="D2066" s="1" t="s">
        <v>719</v>
      </c>
      <c r="E2066">
        <v>38</v>
      </c>
      <c r="F2066" s="1">
        <v>4</v>
      </c>
      <c r="G2066" s="1">
        <v>0.2</v>
      </c>
      <c r="H2066" s="2">
        <v>35209</v>
      </c>
    </row>
    <row r="2067" spans="1:8" x14ac:dyDescent="0.4">
      <c r="A2067" s="1" t="s">
        <v>191</v>
      </c>
      <c r="B2067" s="1">
        <v>11050</v>
      </c>
      <c r="C2067" s="1">
        <v>76</v>
      </c>
      <c r="D2067" s="1" t="s">
        <v>721</v>
      </c>
      <c r="E2067">
        <v>18</v>
      </c>
      <c r="F2067" s="1">
        <v>50</v>
      </c>
      <c r="G2067" s="1">
        <v>0.1</v>
      </c>
      <c r="H2067" s="2">
        <v>35212</v>
      </c>
    </row>
    <row r="2068" spans="1:8" x14ac:dyDescent="0.4">
      <c r="A2068" s="1" t="s">
        <v>318</v>
      </c>
      <c r="B2068" s="1">
        <v>11051</v>
      </c>
      <c r="C2068" s="1">
        <v>24</v>
      </c>
      <c r="D2068" s="1" t="s">
        <v>698</v>
      </c>
      <c r="E2068">
        <v>4.5</v>
      </c>
      <c r="F2068" s="1">
        <v>10</v>
      </c>
      <c r="G2068" s="1">
        <v>0.2</v>
      </c>
      <c r="H2068" s="2">
        <v>35212</v>
      </c>
    </row>
    <row r="2069" spans="1:8" x14ac:dyDescent="0.4">
      <c r="A2069" s="1" t="s">
        <v>264</v>
      </c>
      <c r="B2069" s="1">
        <v>11052</v>
      </c>
      <c r="C2069" s="1">
        <v>43</v>
      </c>
      <c r="D2069" s="1" t="s">
        <v>723</v>
      </c>
      <c r="E2069">
        <v>46</v>
      </c>
      <c r="F2069" s="1">
        <v>30</v>
      </c>
      <c r="G2069" s="1">
        <v>0.2</v>
      </c>
      <c r="H2069" s="2">
        <v>35212</v>
      </c>
    </row>
    <row r="2070" spans="1:8" x14ac:dyDescent="0.4">
      <c r="A2070" s="1" t="s">
        <v>264</v>
      </c>
      <c r="B2070" s="1">
        <v>11052</v>
      </c>
      <c r="C2070" s="1">
        <v>61</v>
      </c>
      <c r="D2070" s="1" t="s">
        <v>758</v>
      </c>
      <c r="E2070">
        <v>28.5</v>
      </c>
      <c r="F2070" s="1">
        <v>10</v>
      </c>
      <c r="G2070" s="1">
        <v>0.2</v>
      </c>
      <c r="H2070" s="2">
        <v>35212</v>
      </c>
    </row>
    <row r="2071" spans="1:8" x14ac:dyDescent="0.4">
      <c r="A2071" s="1" t="s">
        <v>450</v>
      </c>
      <c r="B2071" s="1">
        <v>11053</v>
      </c>
      <c r="C2071" s="1">
        <v>18</v>
      </c>
      <c r="D2071" s="1" t="s">
        <v>742</v>
      </c>
      <c r="E2071">
        <v>62.5</v>
      </c>
      <c r="F2071" s="1">
        <v>35</v>
      </c>
      <c r="G2071" s="1">
        <v>0.2</v>
      </c>
      <c r="H2071" s="2">
        <v>35212</v>
      </c>
    </row>
    <row r="2072" spans="1:8" x14ac:dyDescent="0.4">
      <c r="A2072" s="1" t="s">
        <v>450</v>
      </c>
      <c r="B2072" s="1">
        <v>11053</v>
      </c>
      <c r="C2072" s="1">
        <v>32</v>
      </c>
      <c r="D2072" s="1" t="s">
        <v>709</v>
      </c>
      <c r="E2072">
        <v>32</v>
      </c>
      <c r="F2072" s="1">
        <v>20</v>
      </c>
      <c r="G2072" s="1">
        <v>0</v>
      </c>
      <c r="H2072" s="2">
        <v>35212</v>
      </c>
    </row>
    <row r="2073" spans="1:8" x14ac:dyDescent="0.4">
      <c r="A2073" s="1" t="s">
        <v>450</v>
      </c>
      <c r="B2073" s="1">
        <v>11053</v>
      </c>
      <c r="C2073" s="1">
        <v>64</v>
      </c>
      <c r="D2073" s="1" t="s">
        <v>741</v>
      </c>
      <c r="E2073">
        <v>33.25</v>
      </c>
      <c r="F2073" s="1">
        <v>25</v>
      </c>
      <c r="G2073" s="1">
        <v>0.2</v>
      </c>
      <c r="H2073" s="2">
        <v>35212</v>
      </c>
    </row>
    <row r="2074" spans="1:8" x14ac:dyDescent="0.4">
      <c r="A2074" s="1" t="s">
        <v>101</v>
      </c>
      <c r="B2074" s="1">
        <v>11054</v>
      </c>
      <c r="C2074" s="1">
        <v>33</v>
      </c>
      <c r="D2074" s="1" t="s">
        <v>693</v>
      </c>
      <c r="E2074">
        <v>2.5</v>
      </c>
      <c r="F2074" s="1">
        <v>10</v>
      </c>
      <c r="G2074" s="1">
        <v>0</v>
      </c>
      <c r="H2074" s="2">
        <v>35213</v>
      </c>
    </row>
    <row r="2075" spans="1:8" x14ac:dyDescent="0.4">
      <c r="A2075" s="1" t="s">
        <v>101</v>
      </c>
      <c r="B2075" s="1">
        <v>11054</v>
      </c>
      <c r="C2075" s="1">
        <v>67</v>
      </c>
      <c r="D2075" s="1" t="s">
        <v>734</v>
      </c>
      <c r="E2075">
        <v>14</v>
      </c>
      <c r="F2075" s="1">
        <v>20</v>
      </c>
      <c r="G2075" s="1">
        <v>0</v>
      </c>
      <c r="H2075" s="2">
        <v>35213</v>
      </c>
    </row>
    <row r="2076" spans="1:8" x14ac:dyDescent="0.4">
      <c r="A2076" s="1" t="s">
        <v>273</v>
      </c>
      <c r="B2076" s="1">
        <v>11055</v>
      </c>
      <c r="C2076" s="1">
        <v>24</v>
      </c>
      <c r="D2076" s="1" t="s">
        <v>698</v>
      </c>
      <c r="E2076">
        <v>4.5</v>
      </c>
      <c r="F2076" s="1">
        <v>15</v>
      </c>
      <c r="G2076" s="1">
        <v>0</v>
      </c>
      <c r="H2076" s="2">
        <v>35213</v>
      </c>
    </row>
    <row r="2077" spans="1:8" x14ac:dyDescent="0.4">
      <c r="A2077" s="1" t="s">
        <v>273</v>
      </c>
      <c r="B2077" s="1">
        <v>11055</v>
      </c>
      <c r="C2077" s="1">
        <v>25</v>
      </c>
      <c r="D2077" s="1" t="s">
        <v>749</v>
      </c>
      <c r="E2077">
        <v>14</v>
      </c>
      <c r="F2077" s="1">
        <v>15</v>
      </c>
      <c r="G2077" s="1">
        <v>0</v>
      </c>
      <c r="H2077" s="2">
        <v>35213</v>
      </c>
    </row>
    <row r="2078" spans="1:8" x14ac:dyDescent="0.4">
      <c r="A2078" s="1" t="s">
        <v>273</v>
      </c>
      <c r="B2078" s="1">
        <v>11055</v>
      </c>
      <c r="C2078" s="1">
        <v>51</v>
      </c>
      <c r="D2078" s="1" t="s">
        <v>687</v>
      </c>
      <c r="E2078">
        <v>53</v>
      </c>
      <c r="F2078" s="1">
        <v>20</v>
      </c>
      <c r="G2078" s="1">
        <v>0</v>
      </c>
      <c r="H2078" s="2">
        <v>35213</v>
      </c>
    </row>
    <row r="2079" spans="1:8" x14ac:dyDescent="0.4">
      <c r="A2079" s="1" t="s">
        <v>273</v>
      </c>
      <c r="B2079" s="1">
        <v>11055</v>
      </c>
      <c r="C2079" s="1">
        <v>57</v>
      </c>
      <c r="D2079" s="1" t="s">
        <v>691</v>
      </c>
      <c r="E2079">
        <v>19.5</v>
      </c>
      <c r="F2079" s="1">
        <v>20</v>
      </c>
      <c r="G2079" s="1">
        <v>0</v>
      </c>
      <c r="H2079" s="2">
        <v>35213</v>
      </c>
    </row>
    <row r="2080" spans="1:8" x14ac:dyDescent="0.4">
      <c r="A2080" s="1" t="s">
        <v>154</v>
      </c>
      <c r="B2080" s="1">
        <v>11056</v>
      </c>
      <c r="C2080" s="1">
        <v>7</v>
      </c>
      <c r="D2080" s="1" t="s">
        <v>715</v>
      </c>
      <c r="E2080">
        <v>30</v>
      </c>
      <c r="F2080" s="1">
        <v>40</v>
      </c>
      <c r="G2080" s="1">
        <v>0</v>
      </c>
      <c r="H2080" s="2">
        <v>35213</v>
      </c>
    </row>
    <row r="2081" spans="1:8" x14ac:dyDescent="0.4">
      <c r="A2081" s="1" t="s">
        <v>154</v>
      </c>
      <c r="B2081" s="1">
        <v>11056</v>
      </c>
      <c r="C2081" s="1">
        <v>55</v>
      </c>
      <c r="D2081" s="1" t="s">
        <v>699</v>
      </c>
      <c r="E2081">
        <v>24</v>
      </c>
      <c r="F2081" s="1">
        <v>35</v>
      </c>
      <c r="G2081" s="1">
        <v>0</v>
      </c>
      <c r="H2081" s="2">
        <v>35213</v>
      </c>
    </row>
    <row r="2082" spans="1:8" x14ac:dyDescent="0.4">
      <c r="A2082" s="1" t="s">
        <v>154</v>
      </c>
      <c r="B2082" s="1">
        <v>11056</v>
      </c>
      <c r="C2082" s="1">
        <v>60</v>
      </c>
      <c r="D2082" s="1" t="s">
        <v>694</v>
      </c>
      <c r="E2082">
        <v>34</v>
      </c>
      <c r="F2082" s="1">
        <v>50</v>
      </c>
      <c r="G2082" s="1">
        <v>0</v>
      </c>
      <c r="H2082" s="2">
        <v>35213</v>
      </c>
    </row>
    <row r="2083" spans="1:8" x14ac:dyDescent="0.4">
      <c r="A2083" s="1" t="s">
        <v>409</v>
      </c>
      <c r="B2083" s="1">
        <v>11057</v>
      </c>
      <c r="C2083" s="1">
        <v>70</v>
      </c>
      <c r="D2083" s="1" t="s">
        <v>713</v>
      </c>
      <c r="E2083">
        <v>15</v>
      </c>
      <c r="F2083" s="1">
        <v>3</v>
      </c>
      <c r="G2083" s="1">
        <v>0</v>
      </c>
      <c r="H2083" s="2">
        <v>35214</v>
      </c>
    </row>
    <row r="2084" spans="1:8" x14ac:dyDescent="0.4">
      <c r="A2084" s="1" t="s">
        <v>53</v>
      </c>
      <c r="B2084" s="1">
        <v>11058</v>
      </c>
      <c r="C2084" s="1">
        <v>21</v>
      </c>
      <c r="D2084" s="1" t="s">
        <v>710</v>
      </c>
      <c r="E2084">
        <v>10</v>
      </c>
      <c r="F2084" s="1">
        <v>3</v>
      </c>
      <c r="G2084" s="1">
        <v>0</v>
      </c>
      <c r="H2084" s="2">
        <v>35214</v>
      </c>
    </row>
    <row r="2085" spans="1:8" x14ac:dyDescent="0.4">
      <c r="A2085" s="1" t="s">
        <v>53</v>
      </c>
      <c r="B2085" s="1">
        <v>11058</v>
      </c>
      <c r="C2085" s="1">
        <v>60</v>
      </c>
      <c r="D2085" s="1" t="s">
        <v>694</v>
      </c>
      <c r="E2085">
        <v>34</v>
      </c>
      <c r="F2085" s="1">
        <v>21</v>
      </c>
      <c r="G2085" s="1">
        <v>0</v>
      </c>
      <c r="H2085" s="2">
        <v>35214</v>
      </c>
    </row>
    <row r="2086" spans="1:8" x14ac:dyDescent="0.4">
      <c r="A2086" s="1" t="s">
        <v>53</v>
      </c>
      <c r="B2086" s="1">
        <v>11058</v>
      </c>
      <c r="C2086" s="1">
        <v>61</v>
      </c>
      <c r="D2086" s="1" t="s">
        <v>758</v>
      </c>
      <c r="E2086">
        <v>28.5</v>
      </c>
      <c r="F2086" s="1">
        <v>4</v>
      </c>
      <c r="G2086" s="1">
        <v>0</v>
      </c>
      <c r="H2086" s="2">
        <v>35214</v>
      </c>
    </row>
    <row r="2087" spans="1:8" x14ac:dyDescent="0.4">
      <c r="A2087" s="1" t="s">
        <v>503</v>
      </c>
      <c r="B2087" s="1">
        <v>11059</v>
      </c>
      <c r="C2087" s="1">
        <v>13</v>
      </c>
      <c r="D2087" s="1" t="s">
        <v>726</v>
      </c>
      <c r="E2087">
        <v>6</v>
      </c>
      <c r="F2087" s="1">
        <v>30</v>
      </c>
      <c r="G2087" s="1">
        <v>0</v>
      </c>
      <c r="H2087" s="2">
        <v>35214</v>
      </c>
    </row>
    <row r="2088" spans="1:8" x14ac:dyDescent="0.4">
      <c r="A2088" s="1" t="s">
        <v>503</v>
      </c>
      <c r="B2088" s="1">
        <v>11059</v>
      </c>
      <c r="C2088" s="1">
        <v>17</v>
      </c>
      <c r="D2088" s="1" t="s">
        <v>718</v>
      </c>
      <c r="E2088">
        <v>39</v>
      </c>
      <c r="F2088" s="1">
        <v>12</v>
      </c>
      <c r="G2088" s="1">
        <v>0</v>
      </c>
      <c r="H2088" s="2">
        <v>35214</v>
      </c>
    </row>
    <row r="2089" spans="1:8" x14ac:dyDescent="0.4">
      <c r="A2089" s="1" t="s">
        <v>503</v>
      </c>
      <c r="B2089" s="1">
        <v>11059</v>
      </c>
      <c r="C2089" s="1">
        <v>60</v>
      </c>
      <c r="D2089" s="1" t="s">
        <v>694</v>
      </c>
      <c r="E2089">
        <v>34</v>
      </c>
      <c r="F2089" s="1">
        <v>35</v>
      </c>
      <c r="G2089" s="1">
        <v>0</v>
      </c>
      <c r="H2089" s="2">
        <v>35214</v>
      </c>
    </row>
    <row r="2090" spans="1:8" x14ac:dyDescent="0.4">
      <c r="A2090" s="1" t="s">
        <v>211</v>
      </c>
      <c r="B2090" s="1">
        <v>11060</v>
      </c>
      <c r="C2090" s="1">
        <v>60</v>
      </c>
      <c r="D2090" s="1" t="s">
        <v>694</v>
      </c>
      <c r="E2090">
        <v>34</v>
      </c>
      <c r="F2090" s="1">
        <v>4</v>
      </c>
      <c r="G2090" s="1">
        <v>0</v>
      </c>
      <c r="H2090" s="2">
        <v>35215</v>
      </c>
    </row>
    <row r="2091" spans="1:8" x14ac:dyDescent="0.4">
      <c r="A2091" s="1" t="s">
        <v>211</v>
      </c>
      <c r="B2091" s="1">
        <v>11060</v>
      </c>
      <c r="C2091" s="1">
        <v>77</v>
      </c>
      <c r="D2091" s="1" t="s">
        <v>706</v>
      </c>
      <c r="E2091">
        <v>13</v>
      </c>
      <c r="F2091" s="1">
        <v>10</v>
      </c>
      <c r="G2091" s="1">
        <v>0</v>
      </c>
      <c r="H2091" s="2">
        <v>35215</v>
      </c>
    </row>
    <row r="2092" spans="1:8" x14ac:dyDescent="0.4">
      <c r="A2092" s="1" t="s">
        <v>247</v>
      </c>
      <c r="B2092" s="1">
        <v>11061</v>
      </c>
      <c r="C2092" s="1">
        <v>60</v>
      </c>
      <c r="D2092" s="1" t="s">
        <v>694</v>
      </c>
      <c r="E2092">
        <v>34</v>
      </c>
      <c r="F2092" s="1">
        <v>15</v>
      </c>
      <c r="G2092" s="1">
        <v>0</v>
      </c>
      <c r="H2092" s="2">
        <v>35215</v>
      </c>
    </row>
    <row r="2093" spans="1:8" x14ac:dyDescent="0.4">
      <c r="A2093" s="1" t="s">
        <v>496</v>
      </c>
      <c r="B2093" s="1">
        <v>11062</v>
      </c>
      <c r="C2093" s="1">
        <v>53</v>
      </c>
      <c r="D2093" s="1" t="s">
        <v>705</v>
      </c>
      <c r="E2093">
        <v>32.799999999999997</v>
      </c>
      <c r="F2093" s="1">
        <v>10</v>
      </c>
      <c r="G2093" s="1">
        <v>0.2</v>
      </c>
      <c r="H2093" s="2">
        <v>35215</v>
      </c>
    </row>
    <row r="2094" spans="1:8" x14ac:dyDescent="0.4">
      <c r="A2094" s="1" t="s">
        <v>496</v>
      </c>
      <c r="B2094" s="1">
        <v>11062</v>
      </c>
      <c r="C2094" s="1">
        <v>70</v>
      </c>
      <c r="D2094" s="1" t="s">
        <v>713</v>
      </c>
      <c r="E2094">
        <v>15</v>
      </c>
      <c r="F2094" s="1">
        <v>12</v>
      </c>
      <c r="G2094" s="1">
        <v>0.2</v>
      </c>
      <c r="H2094" s="2">
        <v>35215</v>
      </c>
    </row>
    <row r="2095" spans="1:8" x14ac:dyDescent="0.4">
      <c r="A2095" s="1" t="s">
        <v>288</v>
      </c>
      <c r="B2095" s="1">
        <v>11063</v>
      </c>
      <c r="C2095" s="1">
        <v>34</v>
      </c>
      <c r="D2095" s="1" t="s">
        <v>736</v>
      </c>
      <c r="E2095">
        <v>14</v>
      </c>
      <c r="F2095" s="1">
        <v>30</v>
      </c>
      <c r="G2095" s="1">
        <v>0</v>
      </c>
      <c r="H2095" s="2">
        <v>35215</v>
      </c>
    </row>
    <row r="2096" spans="1:8" x14ac:dyDescent="0.4">
      <c r="A2096" s="1" t="s">
        <v>288</v>
      </c>
      <c r="B2096" s="1">
        <v>11063</v>
      </c>
      <c r="C2096" s="1">
        <v>40</v>
      </c>
      <c r="D2096" s="1" t="s">
        <v>720</v>
      </c>
      <c r="E2096">
        <v>18.399999999999999</v>
      </c>
      <c r="F2096" s="1">
        <v>40</v>
      </c>
      <c r="G2096" s="1">
        <v>0.1</v>
      </c>
      <c r="H2096" s="2">
        <v>35215</v>
      </c>
    </row>
    <row r="2097" spans="1:8" x14ac:dyDescent="0.4">
      <c r="A2097" s="1" t="s">
        <v>288</v>
      </c>
      <c r="B2097" s="1">
        <v>11063</v>
      </c>
      <c r="C2097" s="1">
        <v>41</v>
      </c>
      <c r="D2097" s="1" t="s">
        <v>688</v>
      </c>
      <c r="E2097">
        <v>9.65</v>
      </c>
      <c r="F2097" s="1">
        <v>30</v>
      </c>
      <c r="G2097" s="1">
        <v>0.1</v>
      </c>
      <c r="H2097" s="2">
        <v>35215</v>
      </c>
    </row>
    <row r="2098" spans="1:8" x14ac:dyDescent="0.4">
      <c r="A2098" s="1" t="s">
        <v>529</v>
      </c>
      <c r="B2098" s="1">
        <v>11064</v>
      </c>
      <c r="C2098" s="1">
        <v>17</v>
      </c>
      <c r="D2098" s="1" t="s">
        <v>718</v>
      </c>
      <c r="E2098">
        <v>39</v>
      </c>
      <c r="F2098" s="1">
        <v>77</v>
      </c>
      <c r="G2098" s="1">
        <v>0.1</v>
      </c>
      <c r="H2098" s="2">
        <v>35216</v>
      </c>
    </row>
    <row r="2099" spans="1:8" x14ac:dyDescent="0.4">
      <c r="A2099" s="1" t="s">
        <v>529</v>
      </c>
      <c r="B2099" s="1">
        <v>11064</v>
      </c>
      <c r="C2099" s="1">
        <v>41</v>
      </c>
      <c r="D2099" s="1" t="s">
        <v>688</v>
      </c>
      <c r="E2099">
        <v>9.65</v>
      </c>
      <c r="F2099" s="1">
        <v>12</v>
      </c>
      <c r="G2099" s="1">
        <v>0</v>
      </c>
      <c r="H2099" s="2">
        <v>35216</v>
      </c>
    </row>
    <row r="2100" spans="1:8" x14ac:dyDescent="0.4">
      <c r="A2100" s="1" t="s">
        <v>529</v>
      </c>
      <c r="B2100" s="1">
        <v>11064</v>
      </c>
      <c r="C2100" s="1">
        <v>53</v>
      </c>
      <c r="D2100" s="1" t="s">
        <v>705</v>
      </c>
      <c r="E2100">
        <v>32.799999999999997</v>
      </c>
      <c r="F2100" s="1">
        <v>25</v>
      </c>
      <c r="G2100" s="1">
        <v>0.1</v>
      </c>
      <c r="H2100" s="2">
        <v>35216</v>
      </c>
    </row>
    <row r="2101" spans="1:8" x14ac:dyDescent="0.4">
      <c r="A2101" s="1" t="s">
        <v>529</v>
      </c>
      <c r="B2101" s="1">
        <v>11064</v>
      </c>
      <c r="C2101" s="1">
        <v>55</v>
      </c>
      <c r="D2101" s="1" t="s">
        <v>699</v>
      </c>
      <c r="E2101">
        <v>24</v>
      </c>
      <c r="F2101" s="1">
        <v>4</v>
      </c>
      <c r="G2101" s="1">
        <v>0.1</v>
      </c>
      <c r="H2101" s="2">
        <v>35216</v>
      </c>
    </row>
    <row r="2102" spans="1:8" x14ac:dyDescent="0.4">
      <c r="A2102" s="1" t="s">
        <v>529</v>
      </c>
      <c r="B2102" s="1">
        <v>11064</v>
      </c>
      <c r="C2102" s="1">
        <v>68</v>
      </c>
      <c r="D2102" s="1" t="s">
        <v>739</v>
      </c>
      <c r="E2102">
        <v>12.5</v>
      </c>
      <c r="F2102" s="1">
        <v>55</v>
      </c>
      <c r="G2102" s="1">
        <v>0</v>
      </c>
      <c r="H2102" s="2">
        <v>35216</v>
      </c>
    </row>
    <row r="2103" spans="1:8" x14ac:dyDescent="0.4">
      <c r="A2103" s="1" t="s">
        <v>355</v>
      </c>
      <c r="B2103" s="1">
        <v>11065</v>
      </c>
      <c r="C2103" s="1">
        <v>30</v>
      </c>
      <c r="D2103" s="1" t="s">
        <v>717</v>
      </c>
      <c r="E2103">
        <v>25.89</v>
      </c>
      <c r="F2103" s="1">
        <v>4</v>
      </c>
      <c r="G2103" s="1">
        <v>0.25</v>
      </c>
      <c r="H2103" s="2">
        <v>35216</v>
      </c>
    </row>
    <row r="2104" spans="1:8" x14ac:dyDescent="0.4">
      <c r="A2104" s="1" t="s">
        <v>355</v>
      </c>
      <c r="B2104" s="1">
        <v>11065</v>
      </c>
      <c r="C2104" s="1">
        <v>54</v>
      </c>
      <c r="D2104" s="1" t="s">
        <v>738</v>
      </c>
      <c r="E2104">
        <v>7.45</v>
      </c>
      <c r="F2104" s="1">
        <v>20</v>
      </c>
      <c r="G2104" s="1">
        <v>0.25</v>
      </c>
      <c r="H2104" s="2">
        <v>35216</v>
      </c>
    </row>
    <row r="2105" spans="1:8" x14ac:dyDescent="0.4">
      <c r="A2105" s="1" t="s">
        <v>654</v>
      </c>
      <c r="B2105" s="1">
        <v>11066</v>
      </c>
      <c r="C2105" s="1">
        <v>16</v>
      </c>
      <c r="D2105" s="1" t="s">
        <v>702</v>
      </c>
      <c r="E2105">
        <v>17.45</v>
      </c>
      <c r="F2105" s="1">
        <v>3</v>
      </c>
      <c r="G2105" s="1">
        <v>0</v>
      </c>
      <c r="H2105" s="2">
        <v>35216</v>
      </c>
    </row>
    <row r="2106" spans="1:8" x14ac:dyDescent="0.4">
      <c r="A2106" s="1" t="s">
        <v>654</v>
      </c>
      <c r="B2106" s="1">
        <v>11066</v>
      </c>
      <c r="C2106" s="1">
        <v>19</v>
      </c>
      <c r="D2106" s="1" t="s">
        <v>732</v>
      </c>
      <c r="E2106">
        <v>9.1999999999999993</v>
      </c>
      <c r="F2106" s="1">
        <v>42</v>
      </c>
      <c r="G2106" s="1">
        <v>0</v>
      </c>
      <c r="H2106" s="2">
        <v>35216</v>
      </c>
    </row>
    <row r="2107" spans="1:8" x14ac:dyDescent="0.4">
      <c r="A2107" s="1" t="s">
        <v>654</v>
      </c>
      <c r="B2107" s="1">
        <v>11066</v>
      </c>
      <c r="C2107" s="1">
        <v>34</v>
      </c>
      <c r="D2107" s="1" t="s">
        <v>736</v>
      </c>
      <c r="E2107">
        <v>14</v>
      </c>
      <c r="F2107" s="1">
        <v>35</v>
      </c>
      <c r="G2107" s="1">
        <v>0</v>
      </c>
      <c r="H2107" s="2">
        <v>35216</v>
      </c>
    </row>
    <row r="2108" spans="1:8" x14ac:dyDescent="0.4">
      <c r="A2108" s="1" t="s">
        <v>140</v>
      </c>
      <c r="B2108" s="1">
        <v>11067</v>
      </c>
      <c r="C2108" s="1">
        <v>41</v>
      </c>
      <c r="D2108" s="1" t="s">
        <v>688</v>
      </c>
      <c r="E2108">
        <v>9.65</v>
      </c>
      <c r="F2108" s="1">
        <v>9</v>
      </c>
      <c r="G2108" s="1">
        <v>0</v>
      </c>
      <c r="H2108" s="2">
        <v>35219</v>
      </c>
    </row>
    <row r="2109" spans="1:8" x14ac:dyDescent="0.4">
      <c r="A2109" s="1" t="s">
        <v>469</v>
      </c>
      <c r="B2109" s="1">
        <v>11068</v>
      </c>
      <c r="C2109" s="1">
        <v>28</v>
      </c>
      <c r="D2109" s="1" t="s">
        <v>727</v>
      </c>
      <c r="E2109">
        <v>45.6</v>
      </c>
      <c r="F2109" s="1">
        <v>8</v>
      </c>
      <c r="G2109" s="1">
        <v>0.15</v>
      </c>
      <c r="H2109" s="2">
        <v>35219</v>
      </c>
    </row>
    <row r="2110" spans="1:8" x14ac:dyDescent="0.4">
      <c r="A2110" s="1" t="s">
        <v>469</v>
      </c>
      <c r="B2110" s="1">
        <v>11068</v>
      </c>
      <c r="C2110" s="1">
        <v>43</v>
      </c>
      <c r="D2110" s="1" t="s">
        <v>723</v>
      </c>
      <c r="E2110">
        <v>46</v>
      </c>
      <c r="F2110" s="1">
        <v>36</v>
      </c>
      <c r="G2110" s="1">
        <v>0.15</v>
      </c>
      <c r="H2110" s="2">
        <v>35219</v>
      </c>
    </row>
    <row r="2111" spans="1:8" x14ac:dyDescent="0.4">
      <c r="A2111" s="1" t="s">
        <v>469</v>
      </c>
      <c r="B2111" s="1">
        <v>11068</v>
      </c>
      <c r="C2111" s="1">
        <v>77</v>
      </c>
      <c r="D2111" s="1" t="s">
        <v>706</v>
      </c>
      <c r="E2111">
        <v>13</v>
      </c>
      <c r="F2111" s="1">
        <v>28</v>
      </c>
      <c r="G2111" s="1">
        <v>0.15</v>
      </c>
      <c r="H2111" s="2">
        <v>35219</v>
      </c>
    </row>
    <row r="2112" spans="1:8" x14ac:dyDescent="0.4">
      <c r="A2112" s="1" t="s">
        <v>593</v>
      </c>
      <c r="B2112" s="1">
        <v>11069</v>
      </c>
      <c r="C2112" s="1">
        <v>39</v>
      </c>
      <c r="D2112" s="1" t="s">
        <v>696</v>
      </c>
      <c r="E2112">
        <v>18</v>
      </c>
      <c r="F2112" s="1">
        <v>20</v>
      </c>
      <c r="G2112" s="1">
        <v>0</v>
      </c>
      <c r="H2112" s="2">
        <v>35219</v>
      </c>
    </row>
    <row r="2113" spans="1:8" x14ac:dyDescent="0.4">
      <c r="A2113" s="1" t="s">
        <v>341</v>
      </c>
      <c r="B2113" s="1">
        <v>11070</v>
      </c>
      <c r="C2113" s="1">
        <v>1</v>
      </c>
      <c r="D2113" s="1" t="s">
        <v>735</v>
      </c>
      <c r="E2113">
        <v>18</v>
      </c>
      <c r="F2113" s="1">
        <v>40</v>
      </c>
      <c r="G2113" s="1">
        <v>0.15</v>
      </c>
      <c r="H2113" s="2">
        <v>35220</v>
      </c>
    </row>
    <row r="2114" spans="1:8" x14ac:dyDescent="0.4">
      <c r="A2114" s="1" t="s">
        <v>341</v>
      </c>
      <c r="B2114" s="1">
        <v>11070</v>
      </c>
      <c r="C2114" s="1">
        <v>2</v>
      </c>
      <c r="D2114" s="1" t="s">
        <v>701</v>
      </c>
      <c r="E2114">
        <v>19</v>
      </c>
      <c r="F2114" s="1">
        <v>20</v>
      </c>
      <c r="G2114" s="1">
        <v>0.15</v>
      </c>
      <c r="H2114" s="2">
        <v>35220</v>
      </c>
    </row>
    <row r="2115" spans="1:8" x14ac:dyDescent="0.4">
      <c r="A2115" s="1" t="s">
        <v>341</v>
      </c>
      <c r="B2115" s="1">
        <v>11070</v>
      </c>
      <c r="C2115" s="1">
        <v>16</v>
      </c>
      <c r="D2115" s="1" t="s">
        <v>702</v>
      </c>
      <c r="E2115">
        <v>17.45</v>
      </c>
      <c r="F2115" s="1">
        <v>30</v>
      </c>
      <c r="G2115" s="1">
        <v>0.15</v>
      </c>
      <c r="H2115" s="2">
        <v>35220</v>
      </c>
    </row>
    <row r="2116" spans="1:8" x14ac:dyDescent="0.4">
      <c r="A2116" s="1" t="s">
        <v>341</v>
      </c>
      <c r="B2116" s="1">
        <v>11070</v>
      </c>
      <c r="C2116" s="1">
        <v>31</v>
      </c>
      <c r="D2116" s="1" t="s">
        <v>695</v>
      </c>
      <c r="E2116">
        <v>12.5</v>
      </c>
      <c r="F2116" s="1">
        <v>20</v>
      </c>
      <c r="G2116" s="1">
        <v>0</v>
      </c>
      <c r="H2116" s="2">
        <v>35220</v>
      </c>
    </row>
    <row r="2117" spans="1:8" x14ac:dyDescent="0.4">
      <c r="A2117" s="1" t="s">
        <v>355</v>
      </c>
      <c r="B2117" s="1">
        <v>11071</v>
      </c>
      <c r="C2117" s="1">
        <v>7</v>
      </c>
      <c r="D2117" s="1" t="s">
        <v>715</v>
      </c>
      <c r="E2117">
        <v>30</v>
      </c>
      <c r="F2117" s="1">
        <v>15</v>
      </c>
      <c r="G2117" s="1">
        <v>0.05</v>
      </c>
      <c r="H2117" s="2">
        <v>35220</v>
      </c>
    </row>
    <row r="2118" spans="1:8" x14ac:dyDescent="0.4">
      <c r="A2118" s="1" t="s">
        <v>355</v>
      </c>
      <c r="B2118" s="1">
        <v>11071</v>
      </c>
      <c r="C2118" s="1">
        <v>13</v>
      </c>
      <c r="D2118" s="1" t="s">
        <v>726</v>
      </c>
      <c r="E2118">
        <v>6</v>
      </c>
      <c r="F2118" s="1">
        <v>10</v>
      </c>
      <c r="G2118" s="1">
        <v>0.05</v>
      </c>
      <c r="H2118" s="2">
        <v>35220</v>
      </c>
    </row>
    <row r="2119" spans="1:8" x14ac:dyDescent="0.4">
      <c r="A2119" s="1" t="s">
        <v>161</v>
      </c>
      <c r="B2119" s="1">
        <v>11072</v>
      </c>
      <c r="C2119" s="1">
        <v>2</v>
      </c>
      <c r="D2119" s="1" t="s">
        <v>701</v>
      </c>
      <c r="E2119">
        <v>19</v>
      </c>
      <c r="F2119" s="1">
        <v>8</v>
      </c>
      <c r="G2119" s="1">
        <v>0</v>
      </c>
      <c r="H2119" s="2">
        <v>35220</v>
      </c>
    </row>
    <row r="2120" spans="1:8" x14ac:dyDescent="0.4">
      <c r="A2120" s="1" t="s">
        <v>161</v>
      </c>
      <c r="B2120" s="1">
        <v>11072</v>
      </c>
      <c r="C2120" s="1">
        <v>41</v>
      </c>
      <c r="D2120" s="1" t="s">
        <v>688</v>
      </c>
      <c r="E2120">
        <v>9.65</v>
      </c>
      <c r="F2120" s="1">
        <v>40</v>
      </c>
      <c r="G2120" s="1">
        <v>0</v>
      </c>
      <c r="H2120" s="2">
        <v>35220</v>
      </c>
    </row>
    <row r="2121" spans="1:8" x14ac:dyDescent="0.4">
      <c r="A2121" s="1" t="s">
        <v>161</v>
      </c>
      <c r="B2121" s="1">
        <v>11072</v>
      </c>
      <c r="C2121" s="1">
        <v>50</v>
      </c>
      <c r="D2121" s="1" t="s">
        <v>755</v>
      </c>
      <c r="E2121">
        <v>16.25</v>
      </c>
      <c r="F2121" s="1">
        <v>22</v>
      </c>
      <c r="G2121" s="1">
        <v>0</v>
      </c>
      <c r="H2121" s="2">
        <v>35220</v>
      </c>
    </row>
    <row r="2122" spans="1:8" x14ac:dyDescent="0.4">
      <c r="A2122" s="1" t="s">
        <v>161</v>
      </c>
      <c r="B2122" s="1">
        <v>11072</v>
      </c>
      <c r="C2122" s="1">
        <v>64</v>
      </c>
      <c r="D2122" s="1" t="s">
        <v>741</v>
      </c>
      <c r="E2122">
        <v>33.25</v>
      </c>
      <c r="F2122" s="1">
        <v>130</v>
      </c>
      <c r="G2122" s="1">
        <v>0</v>
      </c>
      <c r="H2122" s="2">
        <v>35220</v>
      </c>
    </row>
    <row r="2123" spans="1:8" x14ac:dyDescent="0.4">
      <c r="A2123" s="1" t="s">
        <v>444</v>
      </c>
      <c r="B2123" s="1">
        <v>11073</v>
      </c>
      <c r="C2123" s="1">
        <v>11</v>
      </c>
      <c r="D2123" s="1" t="s">
        <v>683</v>
      </c>
      <c r="E2123">
        <v>21</v>
      </c>
      <c r="F2123" s="1">
        <v>10</v>
      </c>
      <c r="G2123" s="1">
        <v>0</v>
      </c>
      <c r="H2123" s="2">
        <v>35220</v>
      </c>
    </row>
    <row r="2124" spans="1:8" x14ac:dyDescent="0.4">
      <c r="A2124" s="1" t="s">
        <v>444</v>
      </c>
      <c r="B2124" s="1">
        <v>11073</v>
      </c>
      <c r="C2124" s="1">
        <v>24</v>
      </c>
      <c r="D2124" s="1" t="s">
        <v>698</v>
      </c>
      <c r="E2124">
        <v>4.5</v>
      </c>
      <c r="F2124" s="1">
        <v>20</v>
      </c>
      <c r="G2124" s="1">
        <v>0</v>
      </c>
      <c r="H2124" s="2">
        <v>35220</v>
      </c>
    </row>
    <row r="2125" spans="1:8" x14ac:dyDescent="0.4">
      <c r="A2125" s="1" t="s">
        <v>543</v>
      </c>
      <c r="B2125" s="1">
        <v>11074</v>
      </c>
      <c r="C2125" s="1">
        <v>16</v>
      </c>
      <c r="D2125" s="1" t="s">
        <v>702</v>
      </c>
      <c r="E2125">
        <v>17.45</v>
      </c>
      <c r="F2125" s="1">
        <v>14</v>
      </c>
      <c r="G2125" s="1">
        <v>0.05</v>
      </c>
      <c r="H2125" s="2">
        <v>35221</v>
      </c>
    </row>
    <row r="2126" spans="1:8" x14ac:dyDescent="0.4">
      <c r="A2126" s="1" t="s">
        <v>509</v>
      </c>
      <c r="B2126" s="1">
        <v>11075</v>
      </c>
      <c r="C2126" s="1">
        <v>2</v>
      </c>
      <c r="D2126" s="1" t="s">
        <v>701</v>
      </c>
      <c r="E2126">
        <v>19</v>
      </c>
      <c r="F2126" s="1">
        <v>10</v>
      </c>
      <c r="G2126" s="1">
        <v>0.15</v>
      </c>
      <c r="H2126" s="2">
        <v>35221</v>
      </c>
    </row>
    <row r="2127" spans="1:8" x14ac:dyDescent="0.4">
      <c r="A2127" s="1" t="s">
        <v>509</v>
      </c>
      <c r="B2127" s="1">
        <v>11075</v>
      </c>
      <c r="C2127" s="1">
        <v>46</v>
      </c>
      <c r="D2127" s="1" t="s">
        <v>737</v>
      </c>
      <c r="E2127">
        <v>12</v>
      </c>
      <c r="F2127" s="1">
        <v>30</v>
      </c>
      <c r="G2127" s="1">
        <v>0.15</v>
      </c>
      <c r="H2127" s="2">
        <v>35221</v>
      </c>
    </row>
    <row r="2128" spans="1:8" x14ac:dyDescent="0.4">
      <c r="A2128" s="1" t="s">
        <v>509</v>
      </c>
      <c r="B2128" s="1">
        <v>11075</v>
      </c>
      <c r="C2128" s="1">
        <v>76</v>
      </c>
      <c r="D2128" s="1" t="s">
        <v>721</v>
      </c>
      <c r="E2128">
        <v>18</v>
      </c>
      <c r="F2128" s="1">
        <v>2</v>
      </c>
      <c r="G2128" s="1">
        <v>0.15</v>
      </c>
      <c r="H2128" s="2">
        <v>35221</v>
      </c>
    </row>
    <row r="2129" spans="1:8" x14ac:dyDescent="0.4">
      <c r="A2129" s="1" t="s">
        <v>77</v>
      </c>
      <c r="B2129" s="1">
        <v>11076</v>
      </c>
      <c r="C2129" s="1">
        <v>6</v>
      </c>
      <c r="D2129" s="1" t="s">
        <v>746</v>
      </c>
      <c r="E2129">
        <v>25</v>
      </c>
      <c r="F2129" s="1">
        <v>20</v>
      </c>
      <c r="G2129" s="1">
        <v>0.25</v>
      </c>
      <c r="H2129" s="2">
        <v>35221</v>
      </c>
    </row>
    <row r="2130" spans="1:8" x14ac:dyDescent="0.4">
      <c r="A2130" s="1" t="s">
        <v>77</v>
      </c>
      <c r="B2130" s="1">
        <v>11076</v>
      </c>
      <c r="C2130" s="1">
        <v>14</v>
      </c>
      <c r="D2130" s="1" t="s">
        <v>686</v>
      </c>
      <c r="E2130">
        <v>23.25</v>
      </c>
      <c r="F2130" s="1">
        <v>20</v>
      </c>
      <c r="G2130" s="1">
        <v>0.25</v>
      </c>
      <c r="H2130" s="2">
        <v>35221</v>
      </c>
    </row>
    <row r="2131" spans="1:8" x14ac:dyDescent="0.4">
      <c r="A2131" s="1" t="s">
        <v>77</v>
      </c>
      <c r="B2131" s="1">
        <v>11076</v>
      </c>
      <c r="C2131" s="1">
        <v>19</v>
      </c>
      <c r="D2131" s="1" t="s">
        <v>732</v>
      </c>
      <c r="E2131">
        <v>9.1999999999999993</v>
      </c>
      <c r="F2131" s="1">
        <v>10</v>
      </c>
      <c r="G2131" s="1">
        <v>0.25</v>
      </c>
      <c r="H2131" s="2">
        <v>35221</v>
      </c>
    </row>
    <row r="2132" spans="1:8" x14ac:dyDescent="0.4">
      <c r="A2132" s="1" t="s">
        <v>487</v>
      </c>
      <c r="B2132" s="1">
        <v>11077</v>
      </c>
      <c r="C2132" s="1">
        <v>2</v>
      </c>
      <c r="D2132" s="1" t="s">
        <v>701</v>
      </c>
      <c r="E2132">
        <v>19</v>
      </c>
      <c r="F2132" s="1">
        <v>24</v>
      </c>
      <c r="G2132" s="1">
        <v>0.2</v>
      </c>
      <c r="H2132" s="2">
        <v>35221</v>
      </c>
    </row>
    <row r="2133" spans="1:8" x14ac:dyDescent="0.4">
      <c r="A2133" s="1" t="s">
        <v>487</v>
      </c>
      <c r="B2133" s="1">
        <v>11077</v>
      </c>
      <c r="C2133" s="1">
        <v>3</v>
      </c>
      <c r="D2133" s="1" t="s">
        <v>740</v>
      </c>
      <c r="E2133">
        <v>10</v>
      </c>
      <c r="F2133" s="1">
        <v>4</v>
      </c>
      <c r="G2133" s="1">
        <v>0</v>
      </c>
      <c r="H2133" s="2">
        <v>35221</v>
      </c>
    </row>
    <row r="2134" spans="1:8" x14ac:dyDescent="0.4">
      <c r="A2134" s="1" t="s">
        <v>487</v>
      </c>
      <c r="B2134" s="1">
        <v>11077</v>
      </c>
      <c r="C2134" s="1">
        <v>4</v>
      </c>
      <c r="D2134" s="1" t="s">
        <v>745</v>
      </c>
      <c r="E2134">
        <v>22</v>
      </c>
      <c r="F2134" s="1">
        <v>1</v>
      </c>
      <c r="G2134" s="1">
        <v>0</v>
      </c>
      <c r="H2134" s="2">
        <v>35221</v>
      </c>
    </row>
    <row r="2135" spans="1:8" x14ac:dyDescent="0.4">
      <c r="A2135" s="1" t="s">
        <v>487</v>
      </c>
      <c r="B2135" s="1">
        <v>11077</v>
      </c>
      <c r="C2135" s="1">
        <v>6</v>
      </c>
      <c r="D2135" s="1" t="s">
        <v>746</v>
      </c>
      <c r="E2135">
        <v>25</v>
      </c>
      <c r="F2135" s="1">
        <v>1</v>
      </c>
      <c r="G2135" s="1">
        <v>0.02</v>
      </c>
      <c r="H2135" s="2">
        <v>35221</v>
      </c>
    </row>
    <row r="2136" spans="1:8" x14ac:dyDescent="0.4">
      <c r="A2136" s="1" t="s">
        <v>487</v>
      </c>
      <c r="B2136" s="1">
        <v>11077</v>
      </c>
      <c r="C2136" s="1">
        <v>7</v>
      </c>
      <c r="D2136" s="1" t="s">
        <v>715</v>
      </c>
      <c r="E2136">
        <v>30</v>
      </c>
      <c r="F2136" s="1">
        <v>1</v>
      </c>
      <c r="G2136" s="1">
        <v>0.05</v>
      </c>
      <c r="H2136" s="2">
        <v>35221</v>
      </c>
    </row>
    <row r="2137" spans="1:8" x14ac:dyDescent="0.4">
      <c r="A2137" s="1" t="s">
        <v>487</v>
      </c>
      <c r="B2137" s="1">
        <v>11077</v>
      </c>
      <c r="C2137" s="1">
        <v>8</v>
      </c>
      <c r="D2137" s="1" t="s">
        <v>754</v>
      </c>
      <c r="E2137">
        <v>40</v>
      </c>
      <c r="F2137" s="1">
        <v>2</v>
      </c>
      <c r="G2137" s="1">
        <v>0.1</v>
      </c>
      <c r="H2137" s="2">
        <v>35221</v>
      </c>
    </row>
    <row r="2138" spans="1:8" x14ac:dyDescent="0.4">
      <c r="A2138" s="1" t="s">
        <v>487</v>
      </c>
      <c r="B2138" s="1">
        <v>11077</v>
      </c>
      <c r="C2138" s="1">
        <v>10</v>
      </c>
      <c r="D2138" s="1" t="s">
        <v>724</v>
      </c>
      <c r="E2138">
        <v>31</v>
      </c>
      <c r="F2138" s="1">
        <v>1</v>
      </c>
      <c r="G2138" s="1">
        <v>0</v>
      </c>
      <c r="H2138" s="2">
        <v>35221</v>
      </c>
    </row>
    <row r="2139" spans="1:8" x14ac:dyDescent="0.4">
      <c r="A2139" s="1" t="s">
        <v>487</v>
      </c>
      <c r="B2139" s="1">
        <v>11077</v>
      </c>
      <c r="C2139" s="1">
        <v>12</v>
      </c>
      <c r="D2139" s="1" t="s">
        <v>719</v>
      </c>
      <c r="E2139">
        <v>38</v>
      </c>
      <c r="F2139" s="1">
        <v>2</v>
      </c>
      <c r="G2139" s="1">
        <v>0.05</v>
      </c>
      <c r="H2139" s="2">
        <v>35221</v>
      </c>
    </row>
    <row r="2140" spans="1:8" x14ac:dyDescent="0.4">
      <c r="A2140" s="1" t="s">
        <v>487</v>
      </c>
      <c r="B2140" s="1">
        <v>11077</v>
      </c>
      <c r="C2140" s="1">
        <v>13</v>
      </c>
      <c r="D2140" s="1" t="s">
        <v>726</v>
      </c>
      <c r="E2140">
        <v>6</v>
      </c>
      <c r="F2140" s="1">
        <v>4</v>
      </c>
      <c r="G2140" s="1">
        <v>0</v>
      </c>
      <c r="H2140" s="2">
        <v>35221</v>
      </c>
    </row>
    <row r="2141" spans="1:8" x14ac:dyDescent="0.4">
      <c r="A2141" s="1" t="s">
        <v>487</v>
      </c>
      <c r="B2141" s="1">
        <v>11077</v>
      </c>
      <c r="C2141" s="1">
        <v>14</v>
      </c>
      <c r="D2141" s="1" t="s">
        <v>686</v>
      </c>
      <c r="E2141">
        <v>23.25</v>
      </c>
      <c r="F2141" s="1">
        <v>1</v>
      </c>
      <c r="G2141" s="1">
        <v>0.03</v>
      </c>
      <c r="H2141" s="2">
        <v>35221</v>
      </c>
    </row>
    <row r="2142" spans="1:8" x14ac:dyDescent="0.4">
      <c r="A2142" s="1" t="s">
        <v>487</v>
      </c>
      <c r="B2142" s="1">
        <v>11077</v>
      </c>
      <c r="C2142" s="1">
        <v>16</v>
      </c>
      <c r="D2142" s="1" t="s">
        <v>702</v>
      </c>
      <c r="E2142">
        <v>17.45</v>
      </c>
      <c r="F2142" s="1">
        <v>2</v>
      </c>
      <c r="G2142" s="1">
        <v>0.03</v>
      </c>
      <c r="H2142" s="2">
        <v>35221</v>
      </c>
    </row>
    <row r="2143" spans="1:8" x14ac:dyDescent="0.4">
      <c r="A2143" s="1" t="s">
        <v>487</v>
      </c>
      <c r="B2143" s="1">
        <v>11077</v>
      </c>
      <c r="C2143" s="1">
        <v>20</v>
      </c>
      <c r="D2143" s="1" t="s">
        <v>692</v>
      </c>
      <c r="E2143">
        <v>81</v>
      </c>
      <c r="F2143" s="1">
        <v>1</v>
      </c>
      <c r="G2143" s="1">
        <v>0.04</v>
      </c>
      <c r="H2143" s="2">
        <v>35221</v>
      </c>
    </row>
    <row r="2144" spans="1:8" x14ac:dyDescent="0.4">
      <c r="A2144" s="1" t="s">
        <v>487</v>
      </c>
      <c r="B2144" s="1">
        <v>11077</v>
      </c>
      <c r="C2144" s="1">
        <v>23</v>
      </c>
      <c r="D2144" s="1" t="s">
        <v>753</v>
      </c>
      <c r="E2144">
        <v>9</v>
      </c>
      <c r="F2144" s="1">
        <v>2</v>
      </c>
      <c r="G2144" s="1">
        <v>0</v>
      </c>
      <c r="H2144" s="2">
        <v>35221</v>
      </c>
    </row>
    <row r="2145" spans="1:8" x14ac:dyDescent="0.4">
      <c r="A2145" s="1" t="s">
        <v>487</v>
      </c>
      <c r="B2145" s="1">
        <v>11077</v>
      </c>
      <c r="C2145" s="1">
        <v>32</v>
      </c>
      <c r="D2145" s="1" t="s">
        <v>709</v>
      </c>
      <c r="E2145">
        <v>32</v>
      </c>
      <c r="F2145" s="1">
        <v>1</v>
      </c>
      <c r="G2145" s="1">
        <v>0</v>
      </c>
      <c r="H2145" s="2">
        <v>35221</v>
      </c>
    </row>
    <row r="2146" spans="1:8" x14ac:dyDescent="0.4">
      <c r="A2146" s="1" t="s">
        <v>487</v>
      </c>
      <c r="B2146" s="1">
        <v>11077</v>
      </c>
      <c r="C2146" s="1">
        <v>39</v>
      </c>
      <c r="D2146" s="1" t="s">
        <v>696</v>
      </c>
      <c r="E2146">
        <v>18</v>
      </c>
      <c r="F2146" s="1">
        <v>2</v>
      </c>
      <c r="G2146" s="1">
        <v>0.05</v>
      </c>
      <c r="H2146" s="2">
        <v>35221</v>
      </c>
    </row>
    <row r="2147" spans="1:8" x14ac:dyDescent="0.4">
      <c r="A2147" s="1" t="s">
        <v>487</v>
      </c>
      <c r="B2147" s="1">
        <v>11077</v>
      </c>
      <c r="C2147" s="1">
        <v>41</v>
      </c>
      <c r="D2147" s="1" t="s">
        <v>688</v>
      </c>
      <c r="E2147">
        <v>9.65</v>
      </c>
      <c r="F2147" s="1">
        <v>3</v>
      </c>
      <c r="G2147" s="1">
        <v>0</v>
      </c>
      <c r="H2147" s="2">
        <v>35221</v>
      </c>
    </row>
    <row r="2148" spans="1:8" x14ac:dyDescent="0.4">
      <c r="A2148" s="1" t="s">
        <v>487</v>
      </c>
      <c r="B2148" s="1">
        <v>11077</v>
      </c>
      <c r="C2148" s="1">
        <v>46</v>
      </c>
      <c r="D2148" s="1" t="s">
        <v>737</v>
      </c>
      <c r="E2148">
        <v>12</v>
      </c>
      <c r="F2148" s="1">
        <v>3</v>
      </c>
      <c r="G2148" s="1">
        <v>0.02</v>
      </c>
      <c r="H2148" s="2">
        <v>35221</v>
      </c>
    </row>
    <row r="2149" spans="1:8" x14ac:dyDescent="0.4">
      <c r="A2149" s="1" t="s">
        <v>487</v>
      </c>
      <c r="B2149" s="1">
        <v>11077</v>
      </c>
      <c r="C2149" s="1">
        <v>52</v>
      </c>
      <c r="D2149" s="1" t="s">
        <v>748</v>
      </c>
      <c r="E2149">
        <v>7</v>
      </c>
      <c r="F2149" s="1">
        <v>2</v>
      </c>
      <c r="G2149" s="1">
        <v>0</v>
      </c>
      <c r="H2149" s="2">
        <v>35221</v>
      </c>
    </row>
    <row r="2150" spans="1:8" x14ac:dyDescent="0.4">
      <c r="A2150" s="1" t="s">
        <v>487</v>
      </c>
      <c r="B2150" s="1">
        <v>11077</v>
      </c>
      <c r="C2150" s="1">
        <v>55</v>
      </c>
      <c r="D2150" s="1" t="s">
        <v>699</v>
      </c>
      <c r="E2150">
        <v>24</v>
      </c>
      <c r="F2150" s="1">
        <v>2</v>
      </c>
      <c r="G2150" s="1">
        <v>0</v>
      </c>
      <c r="H2150" s="2">
        <v>35221</v>
      </c>
    </row>
    <row r="2151" spans="1:8" x14ac:dyDescent="0.4">
      <c r="A2151" s="1" t="s">
        <v>487</v>
      </c>
      <c r="B2151" s="1">
        <v>11077</v>
      </c>
      <c r="C2151" s="1">
        <v>60</v>
      </c>
      <c r="D2151" s="1" t="s">
        <v>694</v>
      </c>
      <c r="E2151">
        <v>34</v>
      </c>
      <c r="F2151" s="1">
        <v>2</v>
      </c>
      <c r="G2151" s="1">
        <v>0.06</v>
      </c>
      <c r="H2151" s="2">
        <v>35221</v>
      </c>
    </row>
    <row r="2152" spans="1:8" x14ac:dyDescent="0.4">
      <c r="A2152" s="1" t="s">
        <v>487</v>
      </c>
      <c r="B2152" s="1">
        <v>11077</v>
      </c>
      <c r="C2152" s="1">
        <v>64</v>
      </c>
      <c r="D2152" s="1" t="s">
        <v>741</v>
      </c>
      <c r="E2152">
        <v>33.25</v>
      </c>
      <c r="F2152" s="1">
        <v>2</v>
      </c>
      <c r="G2152" s="1">
        <v>0.03</v>
      </c>
      <c r="H2152" s="2">
        <v>35221</v>
      </c>
    </row>
    <row r="2153" spans="1:8" x14ac:dyDescent="0.4">
      <c r="A2153" s="1" t="s">
        <v>487</v>
      </c>
      <c r="B2153" s="1">
        <v>11077</v>
      </c>
      <c r="C2153" s="1">
        <v>66</v>
      </c>
      <c r="D2153" s="1" t="s">
        <v>744</v>
      </c>
      <c r="E2153">
        <v>17</v>
      </c>
      <c r="F2153" s="1">
        <v>1</v>
      </c>
      <c r="G2153" s="1">
        <v>0</v>
      </c>
      <c r="H2153" s="2">
        <v>35221</v>
      </c>
    </row>
    <row r="2154" spans="1:8" x14ac:dyDescent="0.4">
      <c r="A2154" s="1" t="s">
        <v>487</v>
      </c>
      <c r="B2154" s="1">
        <v>11077</v>
      </c>
      <c r="C2154" s="1">
        <v>73</v>
      </c>
      <c r="D2154" s="1" t="s">
        <v>730</v>
      </c>
      <c r="E2154">
        <v>15</v>
      </c>
      <c r="F2154" s="1">
        <v>2</v>
      </c>
      <c r="G2154" s="1">
        <v>0.01</v>
      </c>
      <c r="H2154" s="2">
        <v>35221</v>
      </c>
    </row>
    <row r="2155" spans="1:8" x14ac:dyDescent="0.4">
      <c r="A2155" s="1" t="s">
        <v>487</v>
      </c>
      <c r="B2155" s="1">
        <v>11077</v>
      </c>
      <c r="C2155" s="1">
        <v>75</v>
      </c>
      <c r="D2155" s="1" t="s">
        <v>731</v>
      </c>
      <c r="E2155">
        <v>7.75</v>
      </c>
      <c r="F2155" s="1">
        <v>4</v>
      </c>
      <c r="G2155" s="1">
        <v>0</v>
      </c>
      <c r="H2155" s="2">
        <v>35221</v>
      </c>
    </row>
    <row r="2156" spans="1:8" x14ac:dyDescent="0.4">
      <c r="A2156" s="1" t="s">
        <v>487</v>
      </c>
      <c r="B2156" s="1">
        <v>11077</v>
      </c>
      <c r="C2156" s="1">
        <v>77</v>
      </c>
      <c r="D2156" s="1" t="s">
        <v>706</v>
      </c>
      <c r="E2156">
        <v>13</v>
      </c>
      <c r="F2156" s="1">
        <v>2</v>
      </c>
      <c r="G2156" s="1">
        <v>0</v>
      </c>
      <c r="H2156" s="2">
        <v>35221</v>
      </c>
    </row>
    <row r="2157" spans="1:8" x14ac:dyDescent="0.4">
      <c r="A2157" s="1" t="s">
        <v>60</v>
      </c>
      <c r="B2157" s="1">
        <v>11079</v>
      </c>
      <c r="C2157" s="1">
        <v>1</v>
      </c>
      <c r="D2157" s="1" t="s">
        <v>735</v>
      </c>
      <c r="E2157">
        <v>18</v>
      </c>
      <c r="F2157" s="1">
        <v>5</v>
      </c>
      <c r="G2157" s="1">
        <v>0</v>
      </c>
      <c r="H2157" s="2">
        <v>36208</v>
      </c>
    </row>
    <row r="2158" spans="1:8" x14ac:dyDescent="0.4">
      <c r="A2158" s="1" t="s">
        <v>60</v>
      </c>
      <c r="B2158" s="1">
        <v>11079</v>
      </c>
      <c r="C2158" s="1">
        <v>40</v>
      </c>
      <c r="D2158" s="1" t="s">
        <v>720</v>
      </c>
      <c r="E2158">
        <v>18.399999999999999</v>
      </c>
      <c r="F2158" s="1">
        <v>2</v>
      </c>
      <c r="G2158" s="1">
        <v>0</v>
      </c>
      <c r="H2158" s="2">
        <v>36208</v>
      </c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8"/>
  <sheetViews>
    <sheetView tabSelected="1" zoomScale="79" zoomScaleNormal="130" workbookViewId="0">
      <selection activeCell="L14" sqref="L14"/>
    </sheetView>
  </sheetViews>
  <sheetFormatPr defaultRowHeight="12.3" x14ac:dyDescent="0.4"/>
  <cols>
    <col min="1" max="1" width="7.71875" bestFit="1" customWidth="1"/>
    <col min="2" max="2" width="10.44140625" bestFit="1" customWidth="1"/>
    <col min="3" max="3" width="11" bestFit="1" customWidth="1"/>
    <col min="4" max="4" width="16.1640625" bestFit="1" customWidth="1"/>
    <col min="5" max="5" width="10.1640625" bestFit="1" customWidth="1"/>
    <col min="6" max="6" width="6.83203125" bestFit="1" customWidth="1"/>
    <col min="7" max="7" width="12.27734375" bestFit="1" customWidth="1"/>
    <col min="10" max="10" width="14.0546875" bestFit="1" customWidth="1"/>
    <col min="11" max="11" width="13.83203125" bestFit="1" customWidth="1"/>
    <col min="12" max="12" width="20.83203125" bestFit="1" customWidth="1"/>
    <col min="13" max="13" width="13.71875" bestFit="1" customWidth="1"/>
    <col min="14" max="14" width="20.83203125" bestFit="1" customWidth="1"/>
    <col min="17" max="17" width="10.1640625" bestFit="1" customWidth="1"/>
    <col min="20" max="20" width="5.27734375" bestFit="1" customWidth="1"/>
    <col min="21" max="21" width="12.27734375" bestFit="1" customWidth="1"/>
  </cols>
  <sheetData>
    <row r="1" spans="1:21" x14ac:dyDescent="0.4">
      <c r="A1" t="s">
        <v>676</v>
      </c>
      <c r="B1" t="s">
        <v>682</v>
      </c>
      <c r="C1" t="s">
        <v>0</v>
      </c>
      <c r="D1" s="6" t="s">
        <v>760</v>
      </c>
      <c r="E1" s="3" t="s">
        <v>761</v>
      </c>
      <c r="F1" s="3" t="s">
        <v>762</v>
      </c>
      <c r="G1" t="s">
        <v>763</v>
      </c>
      <c r="H1" t="s">
        <v>764</v>
      </c>
      <c r="J1" s="3" t="s">
        <v>905</v>
      </c>
      <c r="K1" s="3" t="s">
        <v>906</v>
      </c>
      <c r="L1" s="3" t="s">
        <v>909</v>
      </c>
      <c r="T1" t="s">
        <v>761</v>
      </c>
      <c r="U1" t="s">
        <v>763</v>
      </c>
    </row>
    <row r="2" spans="1:21" x14ac:dyDescent="0.4">
      <c r="A2">
        <v>10248</v>
      </c>
      <c r="B2" s="4">
        <v>34550</v>
      </c>
      <c r="C2" t="s">
        <v>626</v>
      </c>
      <c r="D2" s="1" t="s">
        <v>765</v>
      </c>
      <c r="E2">
        <v>35.200000000000003</v>
      </c>
      <c r="F2">
        <v>10</v>
      </c>
      <c r="G2">
        <f>VLOOKUP(E2,$T$1:$U$7,2,TRUE)</f>
        <v>2</v>
      </c>
      <c r="H2">
        <f>SUMIF(OrderDetailsCustomers!$M$2:$M$2158,A2,OrderDetailsCustomers!$W$2:$W$2158)</f>
        <v>13173</v>
      </c>
      <c r="J2">
        <f>VLOOKUP(E2,$T$1:$U$7,2,TRUE)</f>
        <v>2</v>
      </c>
      <c r="K2">
        <f>SUMIF(OrderDetailsCustomers!$M$2:$M$2158,'Order Header'!A2,OrderDetailsCustomers!$W$2:$W$2158)</f>
        <v>13173</v>
      </c>
      <c r="L2" s="11">
        <f>VLOOKUP(E2,$T$1:$U$7,2,TRUE)</f>
        <v>2</v>
      </c>
      <c r="T2">
        <v>0</v>
      </c>
      <c r="U2">
        <v>1</v>
      </c>
    </row>
    <row r="3" spans="1:21" x14ac:dyDescent="0.4">
      <c r="A3">
        <v>10249</v>
      </c>
      <c r="B3" s="4">
        <v>34551</v>
      </c>
      <c r="C3" t="s">
        <v>586</v>
      </c>
      <c r="D3" s="1" t="s">
        <v>766</v>
      </c>
      <c r="E3">
        <v>149.072</v>
      </c>
      <c r="F3">
        <v>20</v>
      </c>
      <c r="G3">
        <f>VLOOKUP(E3,$T$1:$U$7,2,TRUE)</f>
        <v>3</v>
      </c>
      <c r="H3">
        <f>SUMIF(OrderDetailsCustomers!$M$2:$M$2158,A3,OrderDetailsCustomers!$W$2:$W$2158)</f>
        <v>1863.4</v>
      </c>
      <c r="J3">
        <f t="shared" ref="J3:J66" si="0">VLOOKUP(E3,$T$1:$U$7,2,TRUE)</f>
        <v>3</v>
      </c>
      <c r="K3">
        <f>SUMIF(OrderDetailsCustomers!$M$2:$M$2158,'Order Header'!A3,OrderDetailsCustomers!$W$2:$W$2158)</f>
        <v>1863.4</v>
      </c>
      <c r="L3" s="11">
        <f t="shared" ref="L3:L66" si="1">VLOOKUP(E3,$T$1:$U$7,2,TRUE)</f>
        <v>3</v>
      </c>
      <c r="T3">
        <v>10</v>
      </c>
      <c r="U3">
        <v>2</v>
      </c>
    </row>
    <row r="4" spans="1:21" x14ac:dyDescent="0.4">
      <c r="A4">
        <v>10250</v>
      </c>
      <c r="B4" s="4">
        <v>34554</v>
      </c>
      <c r="C4" t="s">
        <v>264</v>
      </c>
      <c r="D4" s="1" t="s">
        <v>767</v>
      </c>
      <c r="E4">
        <v>124.208</v>
      </c>
      <c r="F4">
        <v>20</v>
      </c>
      <c r="G4">
        <f t="shared" ref="G4:G21" si="2">VLOOKUP(E4,$T$1:$U$7,2,TRUE)</f>
        <v>3</v>
      </c>
      <c r="H4">
        <f>SUMIF(OrderDetailsCustomers!$M$2:$M$2158,A4,OrderDetailsCustomers!$W$2:$W$2158)</f>
        <v>1552.6</v>
      </c>
      <c r="J4">
        <f t="shared" si="0"/>
        <v>3</v>
      </c>
      <c r="K4">
        <f>SUMIF(OrderDetailsCustomers!$M$2:$M$2158,'Order Header'!A4,OrderDetailsCustomers!$W$2:$W$2158)</f>
        <v>1552.6</v>
      </c>
      <c r="L4" s="11">
        <f t="shared" si="1"/>
        <v>3</v>
      </c>
      <c r="T4">
        <v>50</v>
      </c>
      <c r="U4">
        <v>3</v>
      </c>
    </row>
    <row r="5" spans="1:21" x14ac:dyDescent="0.4">
      <c r="A5">
        <v>10251</v>
      </c>
      <c r="B5" s="4">
        <v>34554</v>
      </c>
      <c r="C5" t="s">
        <v>619</v>
      </c>
      <c r="D5" s="1" t="s">
        <v>768</v>
      </c>
      <c r="E5">
        <v>52.324799999999996</v>
      </c>
      <c r="F5">
        <v>15</v>
      </c>
      <c r="G5">
        <f t="shared" si="2"/>
        <v>3</v>
      </c>
      <c r="H5">
        <f>SUMIF(OrderDetailsCustomers!$M$2:$M$2158,A5,OrderDetailsCustomers!$W$2:$W$2158)</f>
        <v>654.05999999999995</v>
      </c>
      <c r="J5">
        <f t="shared" si="0"/>
        <v>3</v>
      </c>
      <c r="K5">
        <f>SUMIF(OrderDetailsCustomers!$M$2:$M$2158,'Order Header'!A5,OrderDetailsCustomers!$W$2:$W$2158)</f>
        <v>654.05999999999995</v>
      </c>
      <c r="L5" s="11">
        <f t="shared" si="1"/>
        <v>3</v>
      </c>
      <c r="T5">
        <v>150</v>
      </c>
      <c r="U5">
        <v>4</v>
      </c>
    </row>
    <row r="6" spans="1:21" x14ac:dyDescent="0.4">
      <c r="A6">
        <v>10252</v>
      </c>
      <c r="B6" s="4">
        <v>34555</v>
      </c>
      <c r="C6" t="s">
        <v>565</v>
      </c>
      <c r="D6" s="1" t="s">
        <v>769</v>
      </c>
      <c r="E6">
        <v>287.83199999999999</v>
      </c>
      <c r="F6">
        <v>20</v>
      </c>
      <c r="G6">
        <f t="shared" si="2"/>
        <v>5</v>
      </c>
      <c r="H6">
        <f>SUMIF(OrderDetailsCustomers!$M$2:$M$2158,A6,OrderDetailsCustomers!$W$2:$W$2158)</f>
        <v>3597.9</v>
      </c>
      <c r="J6">
        <f t="shared" si="0"/>
        <v>5</v>
      </c>
      <c r="K6">
        <f>SUMIF(OrderDetailsCustomers!$M$2:$M$2158,'Order Header'!A6,OrderDetailsCustomers!$W$2:$W$2158)</f>
        <v>3597.9</v>
      </c>
      <c r="L6" s="11">
        <f t="shared" si="1"/>
        <v>5</v>
      </c>
      <c r="T6">
        <v>250</v>
      </c>
      <c r="U6">
        <v>5</v>
      </c>
    </row>
    <row r="7" spans="1:21" x14ac:dyDescent="0.4">
      <c r="A7">
        <v>10253</v>
      </c>
      <c r="B7" s="4">
        <v>34556</v>
      </c>
      <c r="C7" t="s">
        <v>264</v>
      </c>
      <c r="D7" s="1" t="s">
        <v>767</v>
      </c>
      <c r="E7">
        <v>115.58400000000002</v>
      </c>
      <c r="F7">
        <v>20</v>
      </c>
      <c r="G7">
        <f t="shared" si="2"/>
        <v>3</v>
      </c>
      <c r="H7">
        <f>SUMIF(OrderDetailsCustomers!$M$2:$M$2158,A7,OrderDetailsCustomers!$W$2:$W$2158)</f>
        <v>1444.8000000000002</v>
      </c>
      <c r="J7">
        <f t="shared" si="0"/>
        <v>3</v>
      </c>
      <c r="K7">
        <f>SUMIF(OrderDetailsCustomers!$M$2:$M$2158,'Order Header'!A7,OrderDetailsCustomers!$W$2:$W$2158)</f>
        <v>1444.8000000000002</v>
      </c>
      <c r="L7" s="11">
        <f t="shared" si="1"/>
        <v>3</v>
      </c>
      <c r="T7">
        <v>1000</v>
      </c>
      <c r="U7">
        <v>6</v>
      </c>
    </row>
    <row r="8" spans="1:21" x14ac:dyDescent="0.4">
      <c r="A8">
        <v>10254</v>
      </c>
      <c r="B8" s="4">
        <v>34557</v>
      </c>
      <c r="C8" t="s">
        <v>116</v>
      </c>
      <c r="D8" s="1" t="s">
        <v>767</v>
      </c>
      <c r="E8">
        <v>44.529599999999995</v>
      </c>
      <c r="F8">
        <v>15</v>
      </c>
      <c r="G8">
        <f t="shared" si="2"/>
        <v>2</v>
      </c>
      <c r="H8">
        <f>SUMIF(OrderDetailsCustomers!$M$2:$M$2158,A8,OrderDetailsCustomers!$W$2:$W$2158)</f>
        <v>556.61999999999989</v>
      </c>
      <c r="J8">
        <f t="shared" si="0"/>
        <v>2</v>
      </c>
      <c r="K8">
        <f>SUMIF(OrderDetailsCustomers!$M$2:$M$2158,'Order Header'!A8,OrderDetailsCustomers!$W$2:$W$2158)</f>
        <v>556.61999999999989</v>
      </c>
      <c r="L8" s="11">
        <f t="shared" si="1"/>
        <v>2</v>
      </c>
    </row>
    <row r="9" spans="1:21" x14ac:dyDescent="0.4">
      <c r="A9">
        <v>10255</v>
      </c>
      <c r="B9" s="4">
        <v>34558</v>
      </c>
      <c r="C9" t="s">
        <v>509</v>
      </c>
      <c r="D9" s="1" t="s">
        <v>770</v>
      </c>
      <c r="E9">
        <v>199.24</v>
      </c>
      <c r="F9">
        <v>20</v>
      </c>
      <c r="G9">
        <f t="shared" si="2"/>
        <v>4</v>
      </c>
      <c r="H9">
        <f>SUMIF(OrderDetailsCustomers!$M$2:$M$2158,A9,OrderDetailsCustomers!$W$2:$W$2158)</f>
        <v>2490.5</v>
      </c>
      <c r="J9">
        <f t="shared" si="0"/>
        <v>4</v>
      </c>
      <c r="K9">
        <f>SUMIF(OrderDetailsCustomers!$M$2:$M$2158,'Order Header'!A9,OrderDetailsCustomers!$W$2:$W$2158)</f>
        <v>2490.5</v>
      </c>
      <c r="L9" s="11">
        <f t="shared" si="1"/>
        <v>4</v>
      </c>
    </row>
    <row r="10" spans="1:21" x14ac:dyDescent="0.4">
      <c r="A10">
        <v>10256</v>
      </c>
      <c r="B10" s="4">
        <v>34561</v>
      </c>
      <c r="C10" t="s">
        <v>647</v>
      </c>
      <c r="D10" s="1" t="s">
        <v>770</v>
      </c>
      <c r="E10">
        <v>41.423999999999999</v>
      </c>
      <c r="F10">
        <v>15</v>
      </c>
      <c r="G10">
        <f t="shared" si="2"/>
        <v>2</v>
      </c>
      <c r="H10">
        <f>SUMIF(OrderDetailsCustomers!$M$2:$M$2158,A10,OrderDetailsCustomers!$W$2:$W$2158)</f>
        <v>517.79999999999995</v>
      </c>
      <c r="J10">
        <f t="shared" si="0"/>
        <v>2</v>
      </c>
      <c r="K10">
        <f>SUMIF(OrderDetailsCustomers!$M$2:$M$2158,'Order Header'!A10,OrderDetailsCustomers!$W$2:$W$2158)</f>
        <v>517.79999999999995</v>
      </c>
      <c r="L10" s="11">
        <f t="shared" si="1"/>
        <v>2</v>
      </c>
    </row>
    <row r="11" spans="1:21" x14ac:dyDescent="0.4">
      <c r="A11">
        <v>10257</v>
      </c>
      <c r="B11" s="4">
        <v>34562</v>
      </c>
      <c r="C11" t="s">
        <v>273</v>
      </c>
      <c r="D11" s="1" t="s">
        <v>771</v>
      </c>
      <c r="E11">
        <v>89.592000000000013</v>
      </c>
      <c r="F11">
        <v>20</v>
      </c>
      <c r="G11">
        <f t="shared" si="2"/>
        <v>3</v>
      </c>
      <c r="H11">
        <f>SUMIF(OrderDetailsCustomers!$M$2:$M$2158,A11,OrderDetailsCustomers!$W$2:$W$2158)</f>
        <v>1119.9000000000001</v>
      </c>
      <c r="J11">
        <f t="shared" si="0"/>
        <v>3</v>
      </c>
      <c r="K11">
        <f>SUMIF(OrderDetailsCustomers!$M$2:$M$2158,'Order Header'!A11,OrderDetailsCustomers!$W$2:$W$2158)</f>
        <v>1119.9000000000001</v>
      </c>
      <c r="L11" s="11">
        <f t="shared" si="1"/>
        <v>3</v>
      </c>
    </row>
    <row r="12" spans="1:21" x14ac:dyDescent="0.4">
      <c r="A12">
        <v>10258</v>
      </c>
      <c r="B12" s="4">
        <v>34563</v>
      </c>
      <c r="C12" t="s">
        <v>161</v>
      </c>
      <c r="D12" s="1" t="s">
        <v>772</v>
      </c>
      <c r="E12">
        <v>129.19040000000001</v>
      </c>
      <c r="F12">
        <v>20</v>
      </c>
      <c r="G12">
        <f t="shared" si="2"/>
        <v>3</v>
      </c>
      <c r="H12">
        <f>SUMIF(OrderDetailsCustomers!$M$2:$M$2158,A12,OrderDetailsCustomers!$W$2:$W$2158)</f>
        <v>1614.88</v>
      </c>
      <c r="J12">
        <f t="shared" si="0"/>
        <v>3</v>
      </c>
      <c r="K12">
        <f>SUMIF(OrderDetailsCustomers!$M$2:$M$2158,'Order Header'!A12,OrderDetailsCustomers!$W$2:$W$2158)</f>
        <v>1614.88</v>
      </c>
      <c r="L12" s="11">
        <f t="shared" si="1"/>
        <v>3</v>
      </c>
    </row>
    <row r="13" spans="1:21" x14ac:dyDescent="0.4">
      <c r="A13">
        <v>10259</v>
      </c>
      <c r="B13" s="4">
        <v>34564</v>
      </c>
      <c r="C13" t="s">
        <v>110</v>
      </c>
      <c r="D13" s="1" t="s">
        <v>773</v>
      </c>
      <c r="E13">
        <v>8.0640000000000001</v>
      </c>
      <c r="F13">
        <v>10</v>
      </c>
      <c r="G13">
        <f t="shared" si="2"/>
        <v>1</v>
      </c>
      <c r="H13">
        <f>SUMIF(OrderDetailsCustomers!$M$2:$M$2158,A13,OrderDetailsCustomers!$W$2:$W$2158)</f>
        <v>100.8</v>
      </c>
      <c r="J13">
        <f t="shared" si="0"/>
        <v>1</v>
      </c>
      <c r="K13">
        <f>SUMIF(OrderDetailsCustomers!$M$2:$M$2158,'Order Header'!A13,OrderDetailsCustomers!$W$2:$W$2158)</f>
        <v>100.8</v>
      </c>
      <c r="L13" s="11">
        <f t="shared" si="1"/>
        <v>1</v>
      </c>
    </row>
    <row r="14" spans="1:21" x14ac:dyDescent="0.4">
      <c r="A14">
        <v>10260</v>
      </c>
      <c r="B14" s="4">
        <v>34565</v>
      </c>
      <c r="C14" t="s">
        <v>430</v>
      </c>
      <c r="D14" s="1" t="s">
        <v>769</v>
      </c>
      <c r="E14">
        <v>120.37200000000001</v>
      </c>
      <c r="F14">
        <v>20</v>
      </c>
      <c r="G14">
        <f t="shared" si="2"/>
        <v>3</v>
      </c>
      <c r="H14">
        <f>SUMIF(OrderDetailsCustomers!$M$2:$M$2158,A14,OrderDetailsCustomers!$W$2:$W$2158)</f>
        <v>1504.65</v>
      </c>
      <c r="J14">
        <f t="shared" si="0"/>
        <v>3</v>
      </c>
      <c r="K14">
        <f>SUMIF(OrderDetailsCustomers!$M$2:$M$2158,'Order Header'!A14,OrderDetailsCustomers!$W$2:$W$2158)</f>
        <v>1504.65</v>
      </c>
      <c r="L14" s="11">
        <f t="shared" si="1"/>
        <v>3</v>
      </c>
    </row>
    <row r="15" spans="1:21" x14ac:dyDescent="0.4">
      <c r="A15">
        <v>10261</v>
      </c>
      <c r="B15" s="4">
        <v>34565</v>
      </c>
      <c r="C15" t="s">
        <v>462</v>
      </c>
      <c r="D15" s="1" t="s">
        <v>774</v>
      </c>
      <c r="E15">
        <v>35.840000000000003</v>
      </c>
      <c r="F15">
        <v>10</v>
      </c>
      <c r="G15">
        <f t="shared" si="2"/>
        <v>2</v>
      </c>
      <c r="H15">
        <f>SUMIF(OrderDetailsCustomers!$M$2:$M$2158,A15,OrderDetailsCustomers!$W$2:$W$2158)</f>
        <v>448</v>
      </c>
      <c r="J15">
        <f t="shared" si="0"/>
        <v>2</v>
      </c>
      <c r="K15">
        <f>SUMIF(OrderDetailsCustomers!$M$2:$M$2158,'Order Header'!A15,OrderDetailsCustomers!$W$2:$W$2158)</f>
        <v>448</v>
      </c>
      <c r="L15" s="11">
        <f t="shared" si="1"/>
        <v>2</v>
      </c>
    </row>
    <row r="16" spans="1:21" x14ac:dyDescent="0.4">
      <c r="A16">
        <v>10262</v>
      </c>
      <c r="B16" s="4">
        <v>34568</v>
      </c>
      <c r="C16" t="s">
        <v>487</v>
      </c>
      <c r="D16" s="1" t="s">
        <v>765</v>
      </c>
      <c r="E16">
        <v>46.72</v>
      </c>
      <c r="F16">
        <v>15</v>
      </c>
      <c r="G16">
        <f t="shared" si="2"/>
        <v>2</v>
      </c>
      <c r="H16">
        <f>SUMIF(OrderDetailsCustomers!$M$2:$M$2158,A16,OrderDetailsCustomers!$W$2:$W$2158)</f>
        <v>584</v>
      </c>
      <c r="J16">
        <f t="shared" si="0"/>
        <v>2</v>
      </c>
      <c r="K16">
        <f>SUMIF(OrderDetailsCustomers!$M$2:$M$2158,'Order Header'!A16,OrderDetailsCustomers!$W$2:$W$2158)</f>
        <v>584</v>
      </c>
      <c r="L16" s="11">
        <f t="shared" si="1"/>
        <v>2</v>
      </c>
    </row>
    <row r="17" spans="1:12" x14ac:dyDescent="0.4">
      <c r="A17">
        <v>10263</v>
      </c>
      <c r="B17" s="4">
        <v>34569</v>
      </c>
      <c r="C17" t="s">
        <v>161</v>
      </c>
      <c r="D17" s="1" t="s">
        <v>772</v>
      </c>
      <c r="E17">
        <v>149.904</v>
      </c>
      <c r="F17">
        <v>20</v>
      </c>
      <c r="G17">
        <f t="shared" si="2"/>
        <v>3</v>
      </c>
      <c r="H17">
        <f>SUMIF(OrderDetailsCustomers!$M$2:$M$2158,A17,OrderDetailsCustomers!$W$2:$W$2158)</f>
        <v>1873.8</v>
      </c>
      <c r="J17">
        <f t="shared" si="0"/>
        <v>3</v>
      </c>
      <c r="K17">
        <f>SUMIF(OrderDetailsCustomers!$M$2:$M$2158,'Order Header'!A17,OrderDetailsCustomers!$W$2:$W$2158)</f>
        <v>1873.8</v>
      </c>
      <c r="L17" s="11">
        <f t="shared" si="1"/>
        <v>3</v>
      </c>
    </row>
    <row r="18" spans="1:12" x14ac:dyDescent="0.4">
      <c r="A18">
        <v>10264</v>
      </c>
      <c r="B18" s="4">
        <v>34570</v>
      </c>
      <c r="C18" t="s">
        <v>191</v>
      </c>
      <c r="D18" s="1" t="s">
        <v>768</v>
      </c>
      <c r="E18">
        <v>55.65</v>
      </c>
      <c r="F18">
        <v>15</v>
      </c>
      <c r="G18">
        <f t="shared" si="2"/>
        <v>3</v>
      </c>
      <c r="H18">
        <f>SUMIF(OrderDetailsCustomers!$M$2:$M$2158,A18,OrderDetailsCustomers!$W$2:$W$2158)</f>
        <v>695.625</v>
      </c>
      <c r="J18">
        <f t="shared" si="0"/>
        <v>3</v>
      </c>
      <c r="K18">
        <f>SUMIF(OrderDetailsCustomers!$M$2:$M$2158,'Order Header'!A18,OrderDetailsCustomers!$W$2:$W$2158)</f>
        <v>695.625</v>
      </c>
      <c r="L18" s="11">
        <f t="shared" si="1"/>
        <v>3</v>
      </c>
    </row>
    <row r="19" spans="1:12" x14ac:dyDescent="0.4">
      <c r="A19">
        <v>10265</v>
      </c>
      <c r="B19" s="4">
        <v>34571</v>
      </c>
      <c r="C19" t="s">
        <v>60</v>
      </c>
      <c r="D19" s="1" t="s">
        <v>775</v>
      </c>
      <c r="E19">
        <v>94.08</v>
      </c>
      <c r="F19">
        <v>20</v>
      </c>
      <c r="G19">
        <f t="shared" si="2"/>
        <v>3</v>
      </c>
      <c r="H19">
        <f>SUMIF(OrderDetailsCustomers!$M$2:$M$2158,A19,OrderDetailsCustomers!$W$2:$W$2158)</f>
        <v>1176</v>
      </c>
      <c r="J19">
        <f t="shared" si="0"/>
        <v>3</v>
      </c>
      <c r="K19">
        <f>SUMIF(OrderDetailsCustomers!$M$2:$M$2158,'Order Header'!A19,OrderDetailsCustomers!$W$2:$W$2158)</f>
        <v>1176</v>
      </c>
      <c r="L19" s="11">
        <f t="shared" si="1"/>
        <v>3</v>
      </c>
    </row>
    <row r="20" spans="1:12" x14ac:dyDescent="0.4">
      <c r="A20">
        <v>10266</v>
      </c>
      <c r="B20" s="4">
        <v>34572</v>
      </c>
      <c r="C20" t="s">
        <v>640</v>
      </c>
      <c r="D20" s="1" t="s">
        <v>775</v>
      </c>
      <c r="E20">
        <v>27.724799999999995</v>
      </c>
      <c r="F20">
        <v>10</v>
      </c>
      <c r="G20">
        <f t="shared" si="2"/>
        <v>2</v>
      </c>
      <c r="H20">
        <f>SUMIF(OrderDetailsCustomers!$M$2:$M$2158,A20,OrderDetailsCustomers!$W$2:$W$2158)</f>
        <v>346.55999999999995</v>
      </c>
      <c r="J20">
        <f t="shared" si="0"/>
        <v>2</v>
      </c>
      <c r="K20">
        <f>SUMIF(OrderDetailsCustomers!$M$2:$M$2158,'Order Header'!A20,OrderDetailsCustomers!$W$2:$W$2158)</f>
        <v>346.55999999999995</v>
      </c>
      <c r="L20" s="11">
        <f t="shared" si="1"/>
        <v>2</v>
      </c>
    </row>
    <row r="21" spans="1:12" x14ac:dyDescent="0.4">
      <c r="A21">
        <v>10267</v>
      </c>
      <c r="B21" s="4">
        <v>34575</v>
      </c>
      <c r="C21" t="s">
        <v>198</v>
      </c>
      <c r="D21" s="1" t="s">
        <v>765</v>
      </c>
      <c r="E21">
        <v>282.928</v>
      </c>
      <c r="F21">
        <v>20</v>
      </c>
      <c r="G21">
        <f t="shared" si="2"/>
        <v>5</v>
      </c>
      <c r="H21">
        <f>SUMIF(OrderDetailsCustomers!$M$2:$M$2158,A21,OrderDetailsCustomers!$W$2:$W$2158)</f>
        <v>3536.6</v>
      </c>
      <c r="J21">
        <f t="shared" si="0"/>
        <v>5</v>
      </c>
      <c r="K21">
        <f>SUMIF(OrderDetailsCustomers!$M$2:$M$2158,'Order Header'!A21,OrderDetailsCustomers!$W$2:$W$2158)</f>
        <v>3536.6</v>
      </c>
      <c r="L21" s="11">
        <f t="shared" si="1"/>
        <v>5</v>
      </c>
    </row>
    <row r="22" spans="1:12" x14ac:dyDescent="0.4">
      <c r="A22">
        <v>10268</v>
      </c>
      <c r="B22" s="4">
        <v>34576</v>
      </c>
      <c r="C22" t="s">
        <v>255</v>
      </c>
      <c r="D22" s="1" t="s">
        <v>773</v>
      </c>
      <c r="E22">
        <v>88.096000000000004</v>
      </c>
      <c r="F22">
        <v>20</v>
      </c>
      <c r="G22">
        <f t="shared" ref="G22:G84" si="3">VLOOKUP(E22,$T$1:$U$7,2,TRUE)</f>
        <v>3</v>
      </c>
      <c r="H22">
        <f>SUMIF(OrderDetailsCustomers!$M$2:$M$2158,A22,OrderDetailsCustomers!$W$2:$W$2158)</f>
        <v>1101.2</v>
      </c>
      <c r="J22">
        <f t="shared" si="0"/>
        <v>3</v>
      </c>
      <c r="K22">
        <f>SUMIF(OrderDetailsCustomers!$M$2:$M$2158,'Order Header'!A22,OrderDetailsCustomers!$W$2:$W$2158)</f>
        <v>1101.2</v>
      </c>
      <c r="L22" s="11">
        <f t="shared" si="1"/>
        <v>3</v>
      </c>
    </row>
    <row r="23" spans="1:12" x14ac:dyDescent="0.4">
      <c r="A23">
        <v>10269</v>
      </c>
      <c r="B23" s="4">
        <v>34577</v>
      </c>
      <c r="C23" t="s">
        <v>654</v>
      </c>
      <c r="D23" s="1" t="s">
        <v>776</v>
      </c>
      <c r="E23">
        <v>51.375999999999998</v>
      </c>
      <c r="F23">
        <v>15</v>
      </c>
      <c r="G23">
        <f t="shared" si="3"/>
        <v>3</v>
      </c>
      <c r="H23">
        <f>SUMIF(OrderDetailsCustomers!$M$2:$M$2158,A23,OrderDetailsCustomers!$W$2:$W$2158)</f>
        <v>642.19999999999993</v>
      </c>
      <c r="J23">
        <f t="shared" si="0"/>
        <v>3</v>
      </c>
      <c r="K23">
        <f>SUMIF(OrderDetailsCustomers!$M$2:$M$2158,'Order Header'!A23,OrderDetailsCustomers!$W$2:$W$2158)</f>
        <v>642.19999999999993</v>
      </c>
      <c r="L23" s="11">
        <f t="shared" si="1"/>
        <v>3</v>
      </c>
    </row>
    <row r="24" spans="1:12" x14ac:dyDescent="0.4">
      <c r="A24">
        <v>10270</v>
      </c>
      <c r="B24" s="4">
        <v>34578</v>
      </c>
      <c r="C24" t="s">
        <v>640</v>
      </c>
      <c r="D24" s="1" t="s">
        <v>775</v>
      </c>
      <c r="E24">
        <v>110.08</v>
      </c>
      <c r="F24">
        <v>20</v>
      </c>
      <c r="G24">
        <f t="shared" si="3"/>
        <v>3</v>
      </c>
      <c r="H24">
        <f>SUMIF(OrderDetailsCustomers!$M$2:$M$2158,A24,OrderDetailsCustomers!$W$2:$W$2158)</f>
        <v>1376</v>
      </c>
      <c r="J24">
        <f t="shared" si="0"/>
        <v>3</v>
      </c>
      <c r="K24">
        <f>SUMIF(OrderDetailsCustomers!$M$2:$M$2158,'Order Header'!A24,OrderDetailsCustomers!$W$2:$W$2158)</f>
        <v>1376</v>
      </c>
      <c r="L24" s="11">
        <f t="shared" si="1"/>
        <v>3</v>
      </c>
    </row>
    <row r="25" spans="1:12" x14ac:dyDescent="0.4">
      <c r="A25">
        <v>10271</v>
      </c>
      <c r="B25" s="4">
        <v>34578</v>
      </c>
      <c r="C25" t="s">
        <v>557</v>
      </c>
      <c r="D25" s="1" t="s">
        <v>771</v>
      </c>
      <c r="E25">
        <v>3.84</v>
      </c>
      <c r="F25">
        <v>10</v>
      </c>
      <c r="G25">
        <f t="shared" si="3"/>
        <v>1</v>
      </c>
      <c r="H25">
        <f>SUMIF(OrderDetailsCustomers!$M$2:$M$2158,A25,OrderDetailsCustomers!$W$2:$W$2158)</f>
        <v>48</v>
      </c>
      <c r="J25">
        <f t="shared" si="0"/>
        <v>1</v>
      </c>
      <c r="K25">
        <f>SUMIF(OrderDetailsCustomers!$M$2:$M$2158,'Order Header'!A25,OrderDetailsCustomers!$W$2:$W$2158)</f>
        <v>48</v>
      </c>
      <c r="L25" s="11">
        <f t="shared" si="1"/>
        <v>1</v>
      </c>
    </row>
    <row r="26" spans="1:12" x14ac:dyDescent="0.4">
      <c r="A26">
        <v>10272</v>
      </c>
      <c r="B26" s="4">
        <v>34579</v>
      </c>
      <c r="C26" t="s">
        <v>487</v>
      </c>
      <c r="D26" s="1" t="s">
        <v>765</v>
      </c>
      <c r="E26">
        <v>116.48</v>
      </c>
      <c r="F26">
        <v>20</v>
      </c>
      <c r="G26">
        <f t="shared" si="3"/>
        <v>3</v>
      </c>
      <c r="H26">
        <f>SUMIF(OrderDetailsCustomers!$M$2:$M$2158,A26,OrderDetailsCustomers!$W$2:$W$2158)</f>
        <v>1456</v>
      </c>
      <c r="J26">
        <f t="shared" si="0"/>
        <v>3</v>
      </c>
      <c r="K26">
        <f>SUMIF(OrderDetailsCustomers!$M$2:$M$2158,'Order Header'!A26,OrderDetailsCustomers!$W$2:$W$2158)</f>
        <v>1456</v>
      </c>
      <c r="L26" s="11">
        <f t="shared" si="1"/>
        <v>3</v>
      </c>
    </row>
    <row r="27" spans="1:12" x14ac:dyDescent="0.4">
      <c r="A27">
        <v>10273</v>
      </c>
      <c r="B27" s="4">
        <v>34582</v>
      </c>
      <c r="C27" t="s">
        <v>475</v>
      </c>
      <c r="D27" s="1" t="s">
        <v>777</v>
      </c>
      <c r="E27">
        <v>162.98240000000001</v>
      </c>
      <c r="F27">
        <v>20</v>
      </c>
      <c r="G27">
        <f t="shared" si="3"/>
        <v>4</v>
      </c>
      <c r="H27">
        <f>SUMIF(OrderDetailsCustomers!$M$2:$M$2158,A27,OrderDetailsCustomers!$W$2:$W$2158)</f>
        <v>2037.2800000000002</v>
      </c>
      <c r="J27">
        <f t="shared" si="0"/>
        <v>4</v>
      </c>
      <c r="K27">
        <f>SUMIF(OrderDetailsCustomers!$M$2:$M$2158,'Order Header'!A27,OrderDetailsCustomers!$W$2:$W$2158)</f>
        <v>2037.2800000000002</v>
      </c>
      <c r="L27" s="11">
        <f t="shared" si="1"/>
        <v>4</v>
      </c>
    </row>
    <row r="28" spans="1:12" x14ac:dyDescent="0.4">
      <c r="A28">
        <v>10274</v>
      </c>
      <c r="B28" s="4">
        <v>34583</v>
      </c>
      <c r="C28" t="s">
        <v>626</v>
      </c>
      <c r="D28" s="1" t="s">
        <v>765</v>
      </c>
      <c r="E28">
        <v>43.088000000000001</v>
      </c>
      <c r="F28">
        <v>15</v>
      </c>
      <c r="G28">
        <f t="shared" si="3"/>
        <v>2</v>
      </c>
      <c r="H28">
        <f>SUMIF(OrderDetailsCustomers!$M$2:$M$2158,A28,OrderDetailsCustomers!$W$2:$W$2158)</f>
        <v>538.6</v>
      </c>
      <c r="J28">
        <f t="shared" si="0"/>
        <v>2</v>
      </c>
      <c r="K28">
        <f>SUMIF(OrderDetailsCustomers!$M$2:$M$2158,'Order Header'!A28,OrderDetailsCustomers!$W$2:$W$2158)</f>
        <v>538.6</v>
      </c>
      <c r="L28" s="11">
        <f t="shared" si="1"/>
        <v>2</v>
      </c>
    </row>
    <row r="29" spans="1:12" x14ac:dyDescent="0.4">
      <c r="A29">
        <v>10275</v>
      </c>
      <c r="B29" s="4">
        <v>34584</v>
      </c>
      <c r="C29" t="s">
        <v>378</v>
      </c>
      <c r="D29" s="1" t="s">
        <v>776</v>
      </c>
      <c r="E29">
        <v>23.347199999999997</v>
      </c>
      <c r="F29">
        <v>10</v>
      </c>
      <c r="G29">
        <f t="shared" si="3"/>
        <v>2</v>
      </c>
      <c r="H29">
        <f>SUMIF(OrderDetailsCustomers!$M$2:$M$2158,A29,OrderDetailsCustomers!$W$2:$W$2158)</f>
        <v>291.83999999999997</v>
      </c>
      <c r="J29">
        <f t="shared" si="0"/>
        <v>2</v>
      </c>
      <c r="K29">
        <f>SUMIF(OrderDetailsCustomers!$M$2:$M$2158,'Order Header'!A29,OrderDetailsCustomers!$W$2:$W$2158)</f>
        <v>291.83999999999997</v>
      </c>
      <c r="L29" s="11">
        <f t="shared" si="1"/>
        <v>2</v>
      </c>
    </row>
    <row r="30" spans="1:12" x14ac:dyDescent="0.4">
      <c r="A30">
        <v>10276</v>
      </c>
      <c r="B30" s="4">
        <v>34585</v>
      </c>
      <c r="C30" t="s">
        <v>593</v>
      </c>
      <c r="D30" s="1" t="s">
        <v>772</v>
      </c>
      <c r="E30">
        <v>33.6</v>
      </c>
      <c r="F30">
        <v>10</v>
      </c>
      <c r="G30">
        <f t="shared" si="3"/>
        <v>2</v>
      </c>
      <c r="H30">
        <f>SUMIF(OrderDetailsCustomers!$M$2:$M$2158,A30,OrderDetailsCustomers!$W$2:$W$2158)</f>
        <v>420</v>
      </c>
      <c r="J30">
        <f t="shared" si="0"/>
        <v>2</v>
      </c>
      <c r="K30">
        <f>SUMIF(OrderDetailsCustomers!$M$2:$M$2158,'Order Header'!A30,OrderDetailsCustomers!$W$2:$W$2158)</f>
        <v>420</v>
      </c>
      <c r="L30" s="11">
        <f t="shared" si="1"/>
        <v>2</v>
      </c>
    </row>
    <row r="31" spans="1:12" x14ac:dyDescent="0.4">
      <c r="A31">
        <v>10277</v>
      </c>
      <c r="B31" s="4">
        <v>34586</v>
      </c>
      <c r="C31" t="s">
        <v>403</v>
      </c>
      <c r="D31" s="1" t="s">
        <v>778</v>
      </c>
      <c r="E31">
        <v>96.063999999999993</v>
      </c>
      <c r="F31">
        <v>20</v>
      </c>
      <c r="G31">
        <f t="shared" si="3"/>
        <v>3</v>
      </c>
      <c r="H31">
        <f>SUMIF(OrderDetailsCustomers!$M$2:$M$2158,A31,OrderDetailsCustomers!$W$2:$W$2158)</f>
        <v>1200.8</v>
      </c>
      <c r="J31">
        <f t="shared" si="0"/>
        <v>3</v>
      </c>
      <c r="K31">
        <f>SUMIF(OrderDetailsCustomers!$M$2:$M$2158,'Order Header'!A31,OrderDetailsCustomers!$W$2:$W$2158)</f>
        <v>1200.8</v>
      </c>
      <c r="L31" s="11">
        <f t="shared" si="1"/>
        <v>3</v>
      </c>
    </row>
    <row r="32" spans="1:12" x14ac:dyDescent="0.4">
      <c r="A32">
        <v>10278</v>
      </c>
      <c r="B32" s="4">
        <v>34589</v>
      </c>
      <c r="C32" t="s">
        <v>43</v>
      </c>
      <c r="D32" s="1" t="s">
        <v>765</v>
      </c>
      <c r="E32">
        <v>119.104</v>
      </c>
      <c r="F32">
        <v>20</v>
      </c>
      <c r="G32">
        <f t="shared" si="3"/>
        <v>3</v>
      </c>
      <c r="H32">
        <f>SUMIF(OrderDetailsCustomers!$M$2:$M$2158,A32,OrderDetailsCustomers!$W$2:$W$2158)</f>
        <v>1488.8</v>
      </c>
      <c r="J32">
        <f t="shared" si="0"/>
        <v>3</v>
      </c>
      <c r="K32">
        <f>SUMIF(OrderDetailsCustomers!$M$2:$M$2158,'Order Header'!A32,OrderDetailsCustomers!$W$2:$W$2158)</f>
        <v>1488.8</v>
      </c>
      <c r="L32" s="11">
        <f t="shared" si="1"/>
        <v>3</v>
      </c>
    </row>
    <row r="33" spans="1:12" x14ac:dyDescent="0.4">
      <c r="A33">
        <v>10279</v>
      </c>
      <c r="B33" s="4">
        <v>34590</v>
      </c>
      <c r="C33" t="s">
        <v>341</v>
      </c>
      <c r="D33" s="1" t="s">
        <v>768</v>
      </c>
      <c r="E33">
        <v>28.080000000000002</v>
      </c>
      <c r="F33">
        <v>10</v>
      </c>
      <c r="G33">
        <f t="shared" si="3"/>
        <v>2</v>
      </c>
      <c r="H33">
        <f>SUMIF(OrderDetailsCustomers!$M$2:$M$2158,A33,OrderDetailsCustomers!$W$2:$W$2158)</f>
        <v>351</v>
      </c>
      <c r="J33">
        <f t="shared" si="0"/>
        <v>2</v>
      </c>
      <c r="K33">
        <f>SUMIF(OrderDetailsCustomers!$M$2:$M$2158,'Order Header'!A33,OrderDetailsCustomers!$W$2:$W$2158)</f>
        <v>351</v>
      </c>
      <c r="L33" s="11">
        <f t="shared" si="1"/>
        <v>2</v>
      </c>
    </row>
    <row r="34" spans="1:12" x14ac:dyDescent="0.4">
      <c r="A34">
        <v>10280</v>
      </c>
      <c r="B34" s="4">
        <v>34591</v>
      </c>
      <c r="C34" t="s">
        <v>43</v>
      </c>
      <c r="D34" s="1" t="s">
        <v>765</v>
      </c>
      <c r="E34">
        <v>49.056000000000004</v>
      </c>
      <c r="F34">
        <v>15</v>
      </c>
      <c r="G34">
        <f t="shared" si="3"/>
        <v>2</v>
      </c>
      <c r="H34">
        <f>SUMIF(OrderDetailsCustomers!$M$2:$M$2158,A34,OrderDetailsCustomers!$W$2:$W$2158)</f>
        <v>613.20000000000005</v>
      </c>
      <c r="J34">
        <f t="shared" si="0"/>
        <v>2</v>
      </c>
      <c r="K34">
        <f>SUMIF(OrderDetailsCustomers!$M$2:$M$2158,'Order Header'!A34,OrderDetailsCustomers!$W$2:$W$2158)</f>
        <v>613.20000000000005</v>
      </c>
      <c r="L34" s="11">
        <f t="shared" si="1"/>
        <v>2</v>
      </c>
    </row>
    <row r="35" spans="1:12" x14ac:dyDescent="0.4">
      <c r="A35">
        <v>10281</v>
      </c>
      <c r="B35" s="4">
        <v>34591</v>
      </c>
      <c r="C35" t="s">
        <v>515</v>
      </c>
      <c r="D35" s="1" t="s">
        <v>776</v>
      </c>
      <c r="E35">
        <v>6.92</v>
      </c>
      <c r="F35">
        <v>10</v>
      </c>
      <c r="G35">
        <f t="shared" si="3"/>
        <v>1</v>
      </c>
      <c r="H35">
        <f>SUMIF(OrderDetailsCustomers!$M$2:$M$2158,A35,OrderDetailsCustomers!$W$2:$W$2158)</f>
        <v>86.5</v>
      </c>
      <c r="J35">
        <f t="shared" si="0"/>
        <v>1</v>
      </c>
      <c r="K35">
        <f>SUMIF(OrderDetailsCustomers!$M$2:$M$2158,'Order Header'!A35,OrderDetailsCustomers!$W$2:$W$2158)</f>
        <v>86.5</v>
      </c>
      <c r="L35" s="11">
        <f t="shared" si="1"/>
        <v>1</v>
      </c>
    </row>
    <row r="36" spans="1:12" x14ac:dyDescent="0.4">
      <c r="A36">
        <v>10282</v>
      </c>
      <c r="B36" s="4">
        <v>34592</v>
      </c>
      <c r="C36" t="s">
        <v>515</v>
      </c>
      <c r="D36" s="1" t="s">
        <v>776</v>
      </c>
      <c r="E36">
        <v>12.431999999999999</v>
      </c>
      <c r="F36">
        <v>10</v>
      </c>
      <c r="G36">
        <f t="shared" si="3"/>
        <v>2</v>
      </c>
      <c r="H36">
        <f>SUMIF(OrderDetailsCustomers!$M$2:$M$2158,A36,OrderDetailsCustomers!$W$2:$W$2158)</f>
        <v>155.39999999999998</v>
      </c>
      <c r="J36">
        <f t="shared" si="0"/>
        <v>2</v>
      </c>
      <c r="K36">
        <f>SUMIF(OrderDetailsCustomers!$M$2:$M$2158,'Order Header'!A36,OrderDetailsCustomers!$W$2:$W$2158)</f>
        <v>155.39999999999998</v>
      </c>
      <c r="L36" s="11">
        <f t="shared" si="1"/>
        <v>2</v>
      </c>
    </row>
    <row r="37" spans="1:12" x14ac:dyDescent="0.4">
      <c r="A37">
        <v>10283</v>
      </c>
      <c r="B37" s="4">
        <v>34593</v>
      </c>
      <c r="C37" t="s">
        <v>355</v>
      </c>
      <c r="D37" s="1" t="s">
        <v>779</v>
      </c>
      <c r="E37">
        <v>113.18400000000001</v>
      </c>
      <c r="F37">
        <v>20</v>
      </c>
      <c r="G37">
        <f t="shared" si="3"/>
        <v>3</v>
      </c>
      <c r="H37">
        <f>SUMIF(OrderDetailsCustomers!$M$2:$M$2158,A37,OrderDetailsCustomers!$W$2:$W$2158)</f>
        <v>1414.8000000000002</v>
      </c>
      <c r="J37">
        <f t="shared" si="0"/>
        <v>3</v>
      </c>
      <c r="K37">
        <f>SUMIF(OrderDetailsCustomers!$M$2:$M$2158,'Order Header'!A37,OrderDetailsCustomers!$W$2:$W$2158)</f>
        <v>1414.8000000000002</v>
      </c>
      <c r="L37" s="11">
        <f t="shared" si="1"/>
        <v>3</v>
      </c>
    </row>
    <row r="38" spans="1:12" x14ac:dyDescent="0.4">
      <c r="A38">
        <v>10284</v>
      </c>
      <c r="B38" s="4">
        <v>34596</v>
      </c>
      <c r="C38" t="s">
        <v>341</v>
      </c>
      <c r="D38" s="1" t="s">
        <v>768</v>
      </c>
      <c r="E38">
        <v>93.63</v>
      </c>
      <c r="F38">
        <v>20</v>
      </c>
      <c r="G38">
        <f t="shared" si="3"/>
        <v>3</v>
      </c>
      <c r="H38">
        <f>SUMIF(OrderDetailsCustomers!$M$2:$M$2158,A38,OrderDetailsCustomers!$W$2:$W$2158)</f>
        <v>1170.375</v>
      </c>
      <c r="J38">
        <f t="shared" si="0"/>
        <v>3</v>
      </c>
      <c r="K38">
        <f>SUMIF(OrderDetailsCustomers!$M$2:$M$2158,'Order Header'!A38,OrderDetailsCustomers!$W$2:$W$2158)</f>
        <v>1170.375</v>
      </c>
      <c r="L38" s="11">
        <f t="shared" si="1"/>
        <v>3</v>
      </c>
    </row>
    <row r="39" spans="1:12" x14ac:dyDescent="0.4">
      <c r="A39">
        <v>10285</v>
      </c>
      <c r="B39" s="4">
        <v>34597</v>
      </c>
      <c r="C39" t="s">
        <v>475</v>
      </c>
      <c r="D39" s="1" t="s">
        <v>777</v>
      </c>
      <c r="E39">
        <v>139.46879999999999</v>
      </c>
      <c r="F39">
        <v>20</v>
      </c>
      <c r="G39">
        <f t="shared" si="3"/>
        <v>3</v>
      </c>
      <c r="H39">
        <f>SUMIF(OrderDetailsCustomers!$M$2:$M$2158,A39,OrderDetailsCustomers!$W$2:$W$2158)</f>
        <v>1743.36</v>
      </c>
      <c r="J39">
        <f t="shared" si="0"/>
        <v>3</v>
      </c>
      <c r="K39">
        <f>SUMIF(OrderDetailsCustomers!$M$2:$M$2158,'Order Header'!A39,OrderDetailsCustomers!$W$2:$W$2158)</f>
        <v>1743.36</v>
      </c>
      <c r="L39" s="11">
        <f t="shared" si="1"/>
        <v>3</v>
      </c>
    </row>
    <row r="40" spans="1:12" x14ac:dyDescent="0.4">
      <c r="A40">
        <v>10286</v>
      </c>
      <c r="B40" s="4">
        <v>34598</v>
      </c>
      <c r="C40" t="s">
        <v>475</v>
      </c>
      <c r="D40" s="1" t="s">
        <v>777</v>
      </c>
      <c r="E40">
        <v>241.28</v>
      </c>
      <c r="F40">
        <v>20</v>
      </c>
      <c r="G40">
        <f t="shared" si="3"/>
        <v>4</v>
      </c>
      <c r="H40">
        <f>SUMIF(OrderDetailsCustomers!$M$2:$M$2158,A40,OrderDetailsCustomers!$W$2:$W$2158)</f>
        <v>3016</v>
      </c>
      <c r="J40">
        <f t="shared" si="0"/>
        <v>4</v>
      </c>
      <c r="K40">
        <f>SUMIF(OrderDetailsCustomers!$M$2:$M$2158,'Order Header'!A40,OrderDetailsCustomers!$W$2:$W$2158)</f>
        <v>3016</v>
      </c>
      <c r="L40" s="11">
        <f t="shared" si="1"/>
        <v>4</v>
      </c>
    </row>
    <row r="41" spans="1:12" x14ac:dyDescent="0.4">
      <c r="A41">
        <v>10287</v>
      </c>
      <c r="B41" s="4">
        <v>34599</v>
      </c>
      <c r="C41" t="s">
        <v>503</v>
      </c>
      <c r="D41" s="1" t="s">
        <v>775</v>
      </c>
      <c r="E41">
        <v>65.52</v>
      </c>
      <c r="F41">
        <v>15</v>
      </c>
      <c r="G41">
        <f t="shared" si="3"/>
        <v>3</v>
      </c>
      <c r="H41">
        <f>SUMIF(OrderDetailsCustomers!$M$2:$M$2158,A41,OrderDetailsCustomers!$W$2:$W$2158)</f>
        <v>818.99999999999989</v>
      </c>
      <c r="J41">
        <f t="shared" si="0"/>
        <v>3</v>
      </c>
      <c r="K41">
        <f>SUMIF(OrderDetailsCustomers!$M$2:$M$2158,'Order Header'!A41,OrderDetailsCustomers!$W$2:$W$2158)</f>
        <v>818.99999999999989</v>
      </c>
      <c r="L41" s="11">
        <f t="shared" si="1"/>
        <v>3</v>
      </c>
    </row>
    <row r="42" spans="1:12" x14ac:dyDescent="0.4">
      <c r="A42">
        <v>10288</v>
      </c>
      <c r="B42" s="4">
        <v>34600</v>
      </c>
      <c r="C42" t="s">
        <v>496</v>
      </c>
      <c r="D42" s="1" t="s">
        <v>779</v>
      </c>
      <c r="E42">
        <v>6.4079999999999995</v>
      </c>
      <c r="F42">
        <v>10</v>
      </c>
      <c r="G42">
        <f t="shared" si="3"/>
        <v>1</v>
      </c>
      <c r="H42">
        <f>SUMIF(OrderDetailsCustomers!$M$2:$M$2158,A42,OrderDetailsCustomers!$W$2:$W$2158)</f>
        <v>80.099999999999994</v>
      </c>
      <c r="J42">
        <f t="shared" si="0"/>
        <v>1</v>
      </c>
      <c r="K42">
        <f>SUMIF(OrderDetailsCustomers!$M$2:$M$2158,'Order Header'!A42,OrderDetailsCustomers!$W$2:$W$2158)</f>
        <v>80.099999999999994</v>
      </c>
      <c r="L42" s="11">
        <f t="shared" si="1"/>
        <v>1</v>
      </c>
    </row>
    <row r="43" spans="1:12" x14ac:dyDescent="0.4">
      <c r="A43">
        <v>10289</v>
      </c>
      <c r="B43" s="4">
        <v>34603</v>
      </c>
      <c r="C43" t="s">
        <v>95</v>
      </c>
      <c r="D43" s="1" t="s">
        <v>780</v>
      </c>
      <c r="E43">
        <v>38.351999999999997</v>
      </c>
      <c r="F43">
        <v>10</v>
      </c>
      <c r="G43">
        <f t="shared" si="3"/>
        <v>2</v>
      </c>
      <c r="H43">
        <f>SUMIF(OrderDetailsCustomers!$M$2:$M$2158,A43,OrderDetailsCustomers!$W$2:$W$2158)</f>
        <v>479.4</v>
      </c>
      <c r="J43">
        <f t="shared" si="0"/>
        <v>2</v>
      </c>
      <c r="K43">
        <f>SUMIF(OrderDetailsCustomers!$M$2:$M$2158,'Order Header'!A43,OrderDetailsCustomers!$W$2:$W$2158)</f>
        <v>479.4</v>
      </c>
      <c r="L43" s="11">
        <f t="shared" si="1"/>
        <v>2</v>
      </c>
    </row>
    <row r="44" spans="1:12" x14ac:dyDescent="0.4">
      <c r="A44">
        <v>10290</v>
      </c>
      <c r="B44" s="4">
        <v>34604</v>
      </c>
      <c r="C44" t="s">
        <v>123</v>
      </c>
      <c r="D44" s="1" t="s">
        <v>771</v>
      </c>
      <c r="E44">
        <v>173.52</v>
      </c>
      <c r="F44">
        <v>20</v>
      </c>
      <c r="G44">
        <f t="shared" si="3"/>
        <v>4</v>
      </c>
      <c r="H44">
        <f>SUMIF(OrderDetailsCustomers!$M$2:$M$2158,A44,OrderDetailsCustomers!$W$2:$W$2158)</f>
        <v>2169</v>
      </c>
      <c r="J44">
        <f t="shared" si="0"/>
        <v>4</v>
      </c>
      <c r="K44">
        <f>SUMIF(OrderDetailsCustomers!$M$2:$M$2158,'Order Header'!A44,OrderDetailsCustomers!$W$2:$W$2158)</f>
        <v>2169</v>
      </c>
      <c r="L44" s="11">
        <f t="shared" si="1"/>
        <v>4</v>
      </c>
    </row>
    <row r="45" spans="1:12" x14ac:dyDescent="0.4">
      <c r="A45">
        <v>10291</v>
      </c>
      <c r="B45" s="4">
        <v>34604</v>
      </c>
      <c r="C45" t="s">
        <v>462</v>
      </c>
      <c r="D45" s="1" t="s">
        <v>774</v>
      </c>
      <c r="E45">
        <v>39.801600000000001</v>
      </c>
      <c r="F45">
        <v>10</v>
      </c>
      <c r="G45">
        <f t="shared" si="3"/>
        <v>2</v>
      </c>
      <c r="H45">
        <f>SUMIF(OrderDetailsCustomers!$M$2:$M$2158,A45,OrderDetailsCustomers!$W$2:$W$2158)</f>
        <v>497.52000000000004</v>
      </c>
      <c r="J45">
        <f t="shared" si="0"/>
        <v>2</v>
      </c>
      <c r="K45">
        <f>SUMIF(OrderDetailsCustomers!$M$2:$M$2158,'Order Header'!A45,OrderDetailsCustomers!$W$2:$W$2158)</f>
        <v>497.52000000000004</v>
      </c>
      <c r="L45" s="11">
        <f t="shared" si="1"/>
        <v>2</v>
      </c>
    </row>
    <row r="46" spans="1:12" x14ac:dyDescent="0.4">
      <c r="A46">
        <v>10292</v>
      </c>
      <c r="B46" s="4">
        <v>34605</v>
      </c>
      <c r="C46" t="s">
        <v>598</v>
      </c>
      <c r="D46" s="1" t="s">
        <v>774</v>
      </c>
      <c r="E46">
        <v>103.68</v>
      </c>
      <c r="F46">
        <v>20</v>
      </c>
      <c r="G46">
        <f t="shared" si="3"/>
        <v>3</v>
      </c>
      <c r="H46">
        <f>SUMIF(OrderDetailsCustomers!$M$2:$M$2158,A46,OrderDetailsCustomers!$W$2:$W$2158)</f>
        <v>1296</v>
      </c>
      <c r="J46">
        <f t="shared" si="0"/>
        <v>3</v>
      </c>
      <c r="K46">
        <f>SUMIF(OrderDetailsCustomers!$M$2:$M$2158,'Order Header'!A46,OrderDetailsCustomers!$W$2:$W$2158)</f>
        <v>1296</v>
      </c>
      <c r="L46" s="11">
        <f t="shared" si="1"/>
        <v>3</v>
      </c>
    </row>
    <row r="47" spans="1:12" x14ac:dyDescent="0.4">
      <c r="A47">
        <v>10293</v>
      </c>
      <c r="B47" s="4">
        <v>34606</v>
      </c>
      <c r="C47" t="s">
        <v>593</v>
      </c>
      <c r="D47" s="1" t="s">
        <v>772</v>
      </c>
      <c r="E47">
        <v>67.896000000000001</v>
      </c>
      <c r="F47">
        <v>15</v>
      </c>
      <c r="G47">
        <f t="shared" si="3"/>
        <v>3</v>
      </c>
      <c r="H47">
        <f>SUMIF(OrderDetailsCustomers!$M$2:$M$2158,A47,OrderDetailsCustomers!$W$2:$W$2158)</f>
        <v>848.7</v>
      </c>
      <c r="J47">
        <f t="shared" si="0"/>
        <v>3</v>
      </c>
      <c r="K47">
        <f>SUMIF(OrderDetailsCustomers!$M$2:$M$2158,'Order Header'!A47,OrderDetailsCustomers!$W$2:$W$2158)</f>
        <v>848.7</v>
      </c>
      <c r="L47" s="11">
        <f t="shared" si="1"/>
        <v>3</v>
      </c>
    </row>
    <row r="48" spans="1:12" x14ac:dyDescent="0.4">
      <c r="A48">
        <v>10294</v>
      </c>
      <c r="B48" s="4">
        <v>34607</v>
      </c>
      <c r="C48" t="s">
        <v>487</v>
      </c>
      <c r="D48" s="1" t="s">
        <v>765</v>
      </c>
      <c r="E48">
        <v>151.00800000000001</v>
      </c>
      <c r="F48">
        <v>20</v>
      </c>
      <c r="G48">
        <f t="shared" si="3"/>
        <v>4</v>
      </c>
      <c r="H48">
        <f>SUMIF(OrderDetailsCustomers!$M$2:$M$2158,A48,OrderDetailsCustomers!$W$2:$W$2158)</f>
        <v>1887.6000000000001</v>
      </c>
      <c r="J48">
        <f t="shared" si="0"/>
        <v>4</v>
      </c>
      <c r="K48">
        <f>SUMIF(OrderDetailsCustomers!$M$2:$M$2158,'Order Header'!A48,OrderDetailsCustomers!$W$2:$W$2158)</f>
        <v>1887.6000000000001</v>
      </c>
      <c r="L48" s="11">
        <f t="shared" si="1"/>
        <v>4</v>
      </c>
    </row>
    <row r="49" spans="1:12" x14ac:dyDescent="0.4">
      <c r="A49">
        <v>10295</v>
      </c>
      <c r="B49" s="4">
        <v>34610</v>
      </c>
      <c r="C49" t="s">
        <v>626</v>
      </c>
      <c r="D49" s="1" t="s">
        <v>765</v>
      </c>
      <c r="E49">
        <v>9.7279999999999998</v>
      </c>
      <c r="F49">
        <v>10</v>
      </c>
      <c r="G49">
        <f t="shared" si="3"/>
        <v>1</v>
      </c>
      <c r="H49">
        <f>SUMIF(OrderDetailsCustomers!$M$2:$M$2158,A49,OrderDetailsCustomers!$W$2:$W$2158)</f>
        <v>121.6</v>
      </c>
      <c r="J49">
        <f t="shared" si="0"/>
        <v>1</v>
      </c>
      <c r="K49">
        <f>SUMIF(OrderDetailsCustomers!$M$2:$M$2158,'Order Header'!A49,OrderDetailsCustomers!$W$2:$W$2158)</f>
        <v>121.6</v>
      </c>
      <c r="L49" s="11">
        <f t="shared" si="1"/>
        <v>1</v>
      </c>
    </row>
    <row r="50" spans="1:12" x14ac:dyDescent="0.4">
      <c r="A50">
        <v>10296</v>
      </c>
      <c r="B50" s="4">
        <v>34611</v>
      </c>
      <c r="C50" t="s">
        <v>355</v>
      </c>
      <c r="D50" s="1" t="s">
        <v>779</v>
      </c>
      <c r="E50">
        <v>84.047999999999988</v>
      </c>
      <c r="F50">
        <v>20</v>
      </c>
      <c r="G50">
        <f t="shared" si="3"/>
        <v>3</v>
      </c>
      <c r="H50">
        <f>SUMIF(OrderDetailsCustomers!$M$2:$M$2158,A50,OrderDetailsCustomers!$W$2:$W$2158)</f>
        <v>1050.5999999999999</v>
      </c>
      <c r="J50">
        <f t="shared" si="0"/>
        <v>3</v>
      </c>
      <c r="K50">
        <f>SUMIF(OrderDetailsCustomers!$M$2:$M$2158,'Order Header'!A50,OrderDetailsCustomers!$W$2:$W$2158)</f>
        <v>1050.5999999999999</v>
      </c>
      <c r="L50" s="11">
        <f t="shared" si="1"/>
        <v>3</v>
      </c>
    </row>
    <row r="51" spans="1:12" x14ac:dyDescent="0.4">
      <c r="A51">
        <v>10297</v>
      </c>
      <c r="B51" s="4">
        <v>34612</v>
      </c>
      <c r="C51" t="s">
        <v>60</v>
      </c>
      <c r="D51" s="1" t="s">
        <v>775</v>
      </c>
      <c r="E51">
        <v>113.60000000000001</v>
      </c>
      <c r="F51">
        <v>20</v>
      </c>
      <c r="G51">
        <f t="shared" si="3"/>
        <v>3</v>
      </c>
      <c r="H51">
        <f>SUMIF(OrderDetailsCustomers!$M$2:$M$2158,A51,OrderDetailsCustomers!$W$2:$W$2158)</f>
        <v>1420</v>
      </c>
      <c r="J51">
        <f t="shared" si="0"/>
        <v>3</v>
      </c>
      <c r="K51">
        <f>SUMIF(OrderDetailsCustomers!$M$2:$M$2158,'Order Header'!A51,OrderDetailsCustomers!$W$2:$W$2158)</f>
        <v>1420</v>
      </c>
      <c r="L51" s="11">
        <f t="shared" si="1"/>
        <v>3</v>
      </c>
    </row>
    <row r="52" spans="1:12" x14ac:dyDescent="0.4">
      <c r="A52">
        <v>10298</v>
      </c>
      <c r="B52" s="4">
        <v>34613</v>
      </c>
      <c r="C52" t="s">
        <v>288</v>
      </c>
      <c r="D52" s="1" t="s">
        <v>781</v>
      </c>
      <c r="E52">
        <v>211.6</v>
      </c>
      <c r="F52">
        <v>20</v>
      </c>
      <c r="G52">
        <f t="shared" si="3"/>
        <v>4</v>
      </c>
      <c r="H52">
        <f>SUMIF(OrderDetailsCustomers!$M$2:$M$2158,A52,OrderDetailsCustomers!$W$2:$W$2158)</f>
        <v>2645</v>
      </c>
      <c r="J52">
        <f t="shared" si="0"/>
        <v>4</v>
      </c>
      <c r="K52">
        <f>SUMIF(OrderDetailsCustomers!$M$2:$M$2158,'Order Header'!A52,OrderDetailsCustomers!$W$2:$W$2158)</f>
        <v>2645</v>
      </c>
      <c r="L52" s="11">
        <f t="shared" si="1"/>
        <v>4</v>
      </c>
    </row>
    <row r="53" spans="1:12" x14ac:dyDescent="0.4">
      <c r="A53">
        <v>10299</v>
      </c>
      <c r="B53" s="4">
        <v>34614</v>
      </c>
      <c r="C53" t="s">
        <v>503</v>
      </c>
      <c r="D53" s="1" t="s">
        <v>775</v>
      </c>
      <c r="E53">
        <v>27.96</v>
      </c>
      <c r="F53">
        <v>10</v>
      </c>
      <c r="G53">
        <f t="shared" si="3"/>
        <v>2</v>
      </c>
      <c r="H53">
        <f>SUMIF(OrderDetailsCustomers!$M$2:$M$2158,A53,OrderDetailsCustomers!$W$2:$W$2158)</f>
        <v>349.5</v>
      </c>
      <c r="J53">
        <f t="shared" si="0"/>
        <v>2</v>
      </c>
      <c r="K53">
        <f>SUMIF(OrderDetailsCustomers!$M$2:$M$2158,'Order Header'!A53,OrderDetailsCustomers!$W$2:$W$2158)</f>
        <v>349.5</v>
      </c>
      <c r="L53" s="11">
        <f t="shared" si="1"/>
        <v>2</v>
      </c>
    </row>
    <row r="54" spans="1:12" x14ac:dyDescent="0.4">
      <c r="A54">
        <v>10300</v>
      </c>
      <c r="B54" s="4">
        <v>34617</v>
      </c>
      <c r="C54" t="s">
        <v>378</v>
      </c>
      <c r="D54" s="1" t="s">
        <v>776</v>
      </c>
      <c r="E54">
        <v>48.64</v>
      </c>
      <c r="F54">
        <v>15</v>
      </c>
      <c r="G54">
        <f t="shared" si="3"/>
        <v>2</v>
      </c>
      <c r="H54">
        <f>SUMIF(OrderDetailsCustomers!$M$2:$M$2158,A54,OrderDetailsCustomers!$W$2:$W$2158)</f>
        <v>608</v>
      </c>
      <c r="J54">
        <f t="shared" si="0"/>
        <v>2</v>
      </c>
      <c r="K54">
        <f>SUMIF(OrderDetailsCustomers!$M$2:$M$2158,'Order Header'!A54,OrderDetailsCustomers!$W$2:$W$2158)</f>
        <v>608</v>
      </c>
      <c r="L54" s="11">
        <f t="shared" si="1"/>
        <v>2</v>
      </c>
    </row>
    <row r="55" spans="1:12" x14ac:dyDescent="0.4">
      <c r="A55">
        <v>10301</v>
      </c>
      <c r="B55" s="4">
        <v>34617</v>
      </c>
      <c r="C55" t="s">
        <v>633</v>
      </c>
      <c r="D55" s="1" t="s">
        <v>779</v>
      </c>
      <c r="E55">
        <v>60.4</v>
      </c>
      <c r="F55">
        <v>15</v>
      </c>
      <c r="G55">
        <f t="shared" si="3"/>
        <v>3</v>
      </c>
      <c r="H55">
        <f>SUMIF(OrderDetailsCustomers!$M$2:$M$2158,A55,OrderDetailsCustomers!$W$2:$W$2158)</f>
        <v>755</v>
      </c>
      <c r="J55">
        <f t="shared" si="0"/>
        <v>3</v>
      </c>
      <c r="K55">
        <f>SUMIF(OrderDetailsCustomers!$M$2:$M$2158,'Order Header'!A55,OrderDetailsCustomers!$W$2:$W$2158)</f>
        <v>755</v>
      </c>
      <c r="L55" s="11">
        <f t="shared" si="1"/>
        <v>3</v>
      </c>
    </row>
    <row r="56" spans="1:12" x14ac:dyDescent="0.4">
      <c r="A56">
        <v>10302</v>
      </c>
      <c r="B56" s="4">
        <v>34618</v>
      </c>
      <c r="C56" t="s">
        <v>565</v>
      </c>
      <c r="D56" s="1" t="s">
        <v>769</v>
      </c>
      <c r="E56">
        <v>216.70399999999998</v>
      </c>
      <c r="F56">
        <v>20</v>
      </c>
      <c r="G56">
        <f t="shared" si="3"/>
        <v>4</v>
      </c>
      <c r="H56">
        <f>SUMIF(OrderDetailsCustomers!$M$2:$M$2158,A56,OrderDetailsCustomers!$W$2:$W$2158)</f>
        <v>2708.7999999999997</v>
      </c>
      <c r="J56">
        <f t="shared" si="0"/>
        <v>4</v>
      </c>
      <c r="K56">
        <f>SUMIF(OrderDetailsCustomers!$M$2:$M$2158,'Order Header'!A56,OrderDetailsCustomers!$W$2:$W$2158)</f>
        <v>2708.7999999999997</v>
      </c>
      <c r="L56" s="11">
        <f t="shared" si="1"/>
        <v>4</v>
      </c>
    </row>
    <row r="57" spans="1:12" x14ac:dyDescent="0.4">
      <c r="A57">
        <v>10303</v>
      </c>
      <c r="B57" s="4">
        <v>34619</v>
      </c>
      <c r="C57" t="s">
        <v>234</v>
      </c>
      <c r="D57" s="1" t="s">
        <v>782</v>
      </c>
      <c r="E57">
        <v>89.424000000000021</v>
      </c>
      <c r="F57">
        <v>20</v>
      </c>
      <c r="G57">
        <f t="shared" si="3"/>
        <v>3</v>
      </c>
      <c r="H57">
        <f>SUMIF(OrderDetailsCustomers!$M$2:$M$2158,A57,OrderDetailsCustomers!$W$2:$W$2158)</f>
        <v>1117.8000000000002</v>
      </c>
      <c r="J57">
        <f t="shared" si="0"/>
        <v>3</v>
      </c>
      <c r="K57">
        <f>SUMIF(OrderDetailsCustomers!$M$2:$M$2158,'Order Header'!A57,OrderDetailsCustomers!$W$2:$W$2158)</f>
        <v>1117.8000000000002</v>
      </c>
      <c r="L57" s="11">
        <f t="shared" si="1"/>
        <v>3</v>
      </c>
    </row>
    <row r="58" spans="1:12" x14ac:dyDescent="0.4">
      <c r="A58">
        <v>10304</v>
      </c>
      <c r="B58" s="4">
        <v>34620</v>
      </c>
      <c r="C58" t="s">
        <v>593</v>
      </c>
      <c r="D58" s="1" t="s">
        <v>772</v>
      </c>
      <c r="E58">
        <v>76.352000000000004</v>
      </c>
      <c r="F58">
        <v>15</v>
      </c>
      <c r="G58">
        <f t="shared" si="3"/>
        <v>3</v>
      </c>
      <c r="H58">
        <f>SUMIF(OrderDetailsCustomers!$M$2:$M$2158,A58,OrderDetailsCustomers!$W$2:$W$2158)</f>
        <v>954.4</v>
      </c>
      <c r="J58">
        <f t="shared" si="0"/>
        <v>3</v>
      </c>
      <c r="K58">
        <f>SUMIF(OrderDetailsCustomers!$M$2:$M$2158,'Order Header'!A58,OrderDetailsCustomers!$W$2:$W$2158)</f>
        <v>954.4</v>
      </c>
      <c r="L58" s="11">
        <f t="shared" si="1"/>
        <v>3</v>
      </c>
    </row>
    <row r="59" spans="1:12" x14ac:dyDescent="0.4">
      <c r="A59">
        <v>10305</v>
      </c>
      <c r="B59" s="4">
        <v>34621</v>
      </c>
      <c r="C59" t="s">
        <v>422</v>
      </c>
      <c r="D59" s="1" t="s">
        <v>771</v>
      </c>
      <c r="E59">
        <v>299.30400000000003</v>
      </c>
      <c r="F59">
        <v>20</v>
      </c>
      <c r="G59">
        <f t="shared" si="3"/>
        <v>5</v>
      </c>
      <c r="H59">
        <f>SUMIF(OrderDetailsCustomers!$M$2:$M$2158,A59,OrderDetailsCustomers!$W$2:$W$2158)</f>
        <v>3741.3</v>
      </c>
      <c r="J59">
        <f t="shared" si="0"/>
        <v>5</v>
      </c>
      <c r="K59">
        <f>SUMIF(OrderDetailsCustomers!$M$2:$M$2158,'Order Header'!A59,OrderDetailsCustomers!$W$2:$W$2158)</f>
        <v>3741.3</v>
      </c>
      <c r="L59" s="11">
        <f t="shared" si="1"/>
        <v>5</v>
      </c>
    </row>
    <row r="60" spans="1:12" x14ac:dyDescent="0.4">
      <c r="A60">
        <v>10306</v>
      </c>
      <c r="B60" s="4">
        <v>34624</v>
      </c>
      <c r="C60" t="s">
        <v>515</v>
      </c>
      <c r="D60" s="1" t="s">
        <v>776</v>
      </c>
      <c r="E60">
        <v>39.880000000000003</v>
      </c>
      <c r="F60">
        <v>10</v>
      </c>
      <c r="G60">
        <f t="shared" si="3"/>
        <v>2</v>
      </c>
      <c r="H60">
        <f>SUMIF(OrderDetailsCustomers!$M$2:$M$2158,A60,OrderDetailsCustomers!$W$2:$W$2158)</f>
        <v>498.5</v>
      </c>
      <c r="J60">
        <f t="shared" si="0"/>
        <v>2</v>
      </c>
      <c r="K60">
        <f>SUMIF(OrderDetailsCustomers!$M$2:$M$2158,'Order Header'!A60,OrderDetailsCustomers!$W$2:$W$2158)</f>
        <v>498.5</v>
      </c>
      <c r="L60" s="11">
        <f t="shared" si="1"/>
        <v>2</v>
      </c>
    </row>
    <row r="61" spans="1:12" x14ac:dyDescent="0.4">
      <c r="A61">
        <v>10307</v>
      </c>
      <c r="B61" s="4">
        <v>34625</v>
      </c>
      <c r="C61" t="s">
        <v>371</v>
      </c>
      <c r="D61" s="1" t="s">
        <v>770</v>
      </c>
      <c r="E61">
        <v>33.92</v>
      </c>
      <c r="F61">
        <v>10</v>
      </c>
      <c r="G61">
        <f t="shared" si="3"/>
        <v>2</v>
      </c>
      <c r="H61">
        <f>SUMIF(OrderDetailsCustomers!$M$2:$M$2158,A61,OrderDetailsCustomers!$W$2:$W$2158)</f>
        <v>424</v>
      </c>
      <c r="J61">
        <f t="shared" si="0"/>
        <v>2</v>
      </c>
      <c r="K61">
        <f>SUMIF(OrderDetailsCustomers!$M$2:$M$2158,'Order Header'!A61,OrderDetailsCustomers!$W$2:$W$2158)</f>
        <v>424</v>
      </c>
      <c r="L61" s="11">
        <f t="shared" si="1"/>
        <v>2</v>
      </c>
    </row>
    <row r="62" spans="1:12" x14ac:dyDescent="0.4">
      <c r="A62">
        <v>10308</v>
      </c>
      <c r="B62" s="4">
        <v>34626</v>
      </c>
      <c r="C62" t="s">
        <v>20</v>
      </c>
      <c r="D62" s="1" t="s">
        <v>783</v>
      </c>
      <c r="E62">
        <v>7.1040000000000001</v>
      </c>
      <c r="F62">
        <v>10</v>
      </c>
      <c r="G62">
        <f t="shared" si="3"/>
        <v>1</v>
      </c>
      <c r="H62">
        <f>SUMIF(OrderDetailsCustomers!$M$2:$M$2158,A62,OrderDetailsCustomers!$W$2:$W$2158)</f>
        <v>88.8</v>
      </c>
      <c r="J62">
        <f t="shared" si="0"/>
        <v>1</v>
      </c>
      <c r="K62">
        <f>SUMIF(OrderDetailsCustomers!$M$2:$M$2158,'Order Header'!A62,OrderDetailsCustomers!$W$2:$W$2158)</f>
        <v>88.8</v>
      </c>
      <c r="L62" s="11">
        <f t="shared" si="1"/>
        <v>1</v>
      </c>
    </row>
    <row r="63" spans="1:12" x14ac:dyDescent="0.4">
      <c r="A63">
        <v>10309</v>
      </c>
      <c r="B63" s="4">
        <v>34627</v>
      </c>
      <c r="C63" t="s">
        <v>288</v>
      </c>
      <c r="D63" s="1" t="s">
        <v>781</v>
      </c>
      <c r="E63">
        <v>140.96</v>
      </c>
      <c r="F63">
        <v>20</v>
      </c>
      <c r="G63">
        <f t="shared" si="3"/>
        <v>3</v>
      </c>
      <c r="H63">
        <f>SUMIF(OrderDetailsCustomers!$M$2:$M$2158,A63,OrderDetailsCustomers!$W$2:$W$2158)</f>
        <v>1762</v>
      </c>
      <c r="J63">
        <f t="shared" si="0"/>
        <v>3</v>
      </c>
      <c r="K63">
        <f>SUMIF(OrderDetailsCustomers!$M$2:$M$2158,'Order Header'!A63,OrderDetailsCustomers!$W$2:$W$2158)</f>
        <v>1762</v>
      </c>
      <c r="L63" s="11">
        <f t="shared" si="1"/>
        <v>3</v>
      </c>
    </row>
    <row r="64" spans="1:12" x14ac:dyDescent="0.4">
      <c r="A64">
        <v>10310</v>
      </c>
      <c r="B64" s="4">
        <v>34628</v>
      </c>
      <c r="C64" t="s">
        <v>573</v>
      </c>
      <c r="D64" s="1" t="s">
        <v>781</v>
      </c>
      <c r="E64">
        <v>26.88</v>
      </c>
      <c r="F64">
        <v>10</v>
      </c>
      <c r="G64">
        <f t="shared" si="3"/>
        <v>2</v>
      </c>
      <c r="H64">
        <f>SUMIF(OrderDetailsCustomers!$M$2:$M$2158,A64,OrderDetailsCustomers!$W$2:$W$2158)</f>
        <v>336</v>
      </c>
      <c r="J64">
        <f t="shared" si="0"/>
        <v>2</v>
      </c>
      <c r="K64">
        <f>SUMIF(OrderDetailsCustomers!$M$2:$M$2158,'Order Header'!A64,OrderDetailsCustomers!$W$2:$W$2158)</f>
        <v>336</v>
      </c>
      <c r="L64" s="11">
        <f t="shared" si="1"/>
        <v>2</v>
      </c>
    </row>
    <row r="65" spans="1:12" x14ac:dyDescent="0.4">
      <c r="A65">
        <v>10311</v>
      </c>
      <c r="B65" s="4">
        <v>34628</v>
      </c>
      <c r="C65" t="s">
        <v>147</v>
      </c>
      <c r="D65" s="1" t="s">
        <v>784</v>
      </c>
      <c r="E65">
        <v>21.503999999999998</v>
      </c>
      <c r="F65">
        <v>10</v>
      </c>
      <c r="G65">
        <f t="shared" si="3"/>
        <v>2</v>
      </c>
      <c r="H65">
        <f>SUMIF(OrderDetailsCustomers!$M$2:$M$2158,A65,OrderDetailsCustomers!$W$2:$W$2158)</f>
        <v>268.79999999999995</v>
      </c>
      <c r="J65">
        <f t="shared" si="0"/>
        <v>2</v>
      </c>
      <c r="K65">
        <f>SUMIF(OrderDetailsCustomers!$M$2:$M$2158,'Order Header'!A65,OrderDetailsCustomers!$W$2:$W$2158)</f>
        <v>268.79999999999995</v>
      </c>
      <c r="L65" s="11">
        <f t="shared" si="1"/>
        <v>2</v>
      </c>
    </row>
    <row r="66" spans="1:12" x14ac:dyDescent="0.4">
      <c r="A66">
        <v>10312</v>
      </c>
      <c r="B66" s="4">
        <v>34631</v>
      </c>
      <c r="C66" t="s">
        <v>633</v>
      </c>
      <c r="D66" s="1" t="s">
        <v>779</v>
      </c>
      <c r="E66">
        <v>129.184</v>
      </c>
      <c r="F66">
        <v>20</v>
      </c>
      <c r="G66">
        <f t="shared" si="3"/>
        <v>3</v>
      </c>
      <c r="H66">
        <f>SUMIF(OrderDetailsCustomers!$M$2:$M$2158,A66,OrderDetailsCustomers!$W$2:$W$2158)</f>
        <v>1614.8</v>
      </c>
      <c r="J66">
        <f t="shared" si="0"/>
        <v>3</v>
      </c>
      <c r="K66">
        <f>SUMIF(OrderDetailsCustomers!$M$2:$M$2158,'Order Header'!A66,OrderDetailsCustomers!$W$2:$W$2158)</f>
        <v>1614.8</v>
      </c>
      <c r="L66" s="11">
        <f t="shared" si="1"/>
        <v>3</v>
      </c>
    </row>
    <row r="67" spans="1:12" x14ac:dyDescent="0.4">
      <c r="A67">
        <v>10313</v>
      </c>
      <c r="B67" s="4">
        <v>34632</v>
      </c>
      <c r="C67" t="s">
        <v>475</v>
      </c>
      <c r="D67" s="1" t="s">
        <v>777</v>
      </c>
      <c r="E67">
        <v>14.591999999999999</v>
      </c>
      <c r="F67">
        <v>10</v>
      </c>
      <c r="G67">
        <f t="shared" si="3"/>
        <v>2</v>
      </c>
      <c r="H67">
        <f>SUMIF(OrderDetailsCustomers!$M$2:$M$2158,A67,OrderDetailsCustomers!$W$2:$W$2158)</f>
        <v>182.39999999999998</v>
      </c>
      <c r="J67">
        <f t="shared" ref="J67:J130" si="4">VLOOKUP(E67,$T$1:$U$7,2,TRUE)</f>
        <v>2</v>
      </c>
      <c r="K67">
        <f>SUMIF(OrderDetailsCustomers!$M$2:$M$2158,'Order Header'!A67,OrderDetailsCustomers!$W$2:$W$2158)</f>
        <v>182.39999999999998</v>
      </c>
      <c r="L67" s="11">
        <f t="shared" ref="L67:L130" si="5">VLOOKUP(E67,$T$1:$U$7,2,TRUE)</f>
        <v>2</v>
      </c>
    </row>
    <row r="68" spans="1:12" x14ac:dyDescent="0.4">
      <c r="A68">
        <v>10314</v>
      </c>
      <c r="B68" s="4">
        <v>34633</v>
      </c>
      <c r="C68" t="s">
        <v>487</v>
      </c>
      <c r="D68" s="1" t="s">
        <v>765</v>
      </c>
      <c r="E68">
        <v>167.54400000000001</v>
      </c>
      <c r="F68">
        <v>20</v>
      </c>
      <c r="G68">
        <f t="shared" si="3"/>
        <v>4</v>
      </c>
      <c r="H68">
        <f>SUMIF(OrderDetailsCustomers!$M$2:$M$2158,A68,OrderDetailsCustomers!$W$2:$W$2158)</f>
        <v>2094.3000000000002</v>
      </c>
      <c r="J68">
        <f t="shared" si="4"/>
        <v>4</v>
      </c>
      <c r="K68">
        <f>SUMIF(OrderDetailsCustomers!$M$2:$M$2158,'Order Header'!A68,OrderDetailsCustomers!$W$2:$W$2158)</f>
        <v>2094.3000000000002</v>
      </c>
      <c r="L68" s="11">
        <f t="shared" si="5"/>
        <v>4</v>
      </c>
    </row>
    <row r="69" spans="1:12" x14ac:dyDescent="0.4">
      <c r="A69">
        <v>10315</v>
      </c>
      <c r="B69" s="4">
        <v>34634</v>
      </c>
      <c r="C69" t="s">
        <v>297</v>
      </c>
      <c r="D69" s="1" t="s">
        <v>784</v>
      </c>
      <c r="E69">
        <v>41.343999999999994</v>
      </c>
      <c r="F69">
        <v>15</v>
      </c>
      <c r="G69">
        <f t="shared" si="3"/>
        <v>2</v>
      </c>
      <c r="H69">
        <f>SUMIF(OrderDetailsCustomers!$M$2:$M$2158,A69,OrderDetailsCustomers!$W$2:$W$2158)</f>
        <v>516.79999999999995</v>
      </c>
      <c r="J69">
        <f t="shared" si="4"/>
        <v>2</v>
      </c>
      <c r="K69">
        <f>SUMIF(OrderDetailsCustomers!$M$2:$M$2158,'Order Header'!A69,OrderDetailsCustomers!$W$2:$W$2158)</f>
        <v>516.79999999999995</v>
      </c>
      <c r="L69" s="11">
        <f t="shared" si="5"/>
        <v>2</v>
      </c>
    </row>
    <row r="70" spans="1:12" x14ac:dyDescent="0.4">
      <c r="A70">
        <v>10316</v>
      </c>
      <c r="B70" s="4">
        <v>34635</v>
      </c>
      <c r="C70" t="s">
        <v>487</v>
      </c>
      <c r="D70" s="1" t="s">
        <v>765</v>
      </c>
      <c r="E70">
        <v>226.8</v>
      </c>
      <c r="F70">
        <v>20</v>
      </c>
      <c r="G70">
        <f t="shared" si="3"/>
        <v>4</v>
      </c>
      <c r="H70">
        <f>SUMIF(OrderDetailsCustomers!$M$2:$M$2158,A70,OrderDetailsCustomers!$W$2:$W$2158)</f>
        <v>2835</v>
      </c>
      <c r="J70">
        <f t="shared" si="4"/>
        <v>4</v>
      </c>
      <c r="K70">
        <f>SUMIF(OrderDetailsCustomers!$M$2:$M$2158,'Order Header'!A70,OrderDetailsCustomers!$W$2:$W$2158)</f>
        <v>2835</v>
      </c>
      <c r="L70" s="11">
        <f t="shared" si="5"/>
        <v>4</v>
      </c>
    </row>
    <row r="71" spans="1:12" x14ac:dyDescent="0.4">
      <c r="A71">
        <v>10317</v>
      </c>
      <c r="B71" s="4">
        <v>34638</v>
      </c>
      <c r="C71" t="s">
        <v>371</v>
      </c>
      <c r="D71" s="1" t="s">
        <v>770</v>
      </c>
      <c r="E71">
        <v>23.04</v>
      </c>
      <c r="F71">
        <v>10</v>
      </c>
      <c r="G71">
        <f t="shared" si="3"/>
        <v>2</v>
      </c>
      <c r="H71">
        <f>SUMIF(OrderDetailsCustomers!$M$2:$M$2158,A71,OrderDetailsCustomers!$W$2:$W$2158)</f>
        <v>288</v>
      </c>
      <c r="J71">
        <f t="shared" si="4"/>
        <v>2</v>
      </c>
      <c r="K71">
        <f>SUMIF(OrderDetailsCustomers!$M$2:$M$2158,'Order Header'!A71,OrderDetailsCustomers!$W$2:$W$2158)</f>
        <v>288</v>
      </c>
      <c r="L71" s="11">
        <f t="shared" si="5"/>
        <v>2</v>
      </c>
    </row>
    <row r="72" spans="1:12" x14ac:dyDescent="0.4">
      <c r="A72">
        <v>10318</v>
      </c>
      <c r="B72" s="4">
        <v>34639</v>
      </c>
      <c r="C72" t="s">
        <v>297</v>
      </c>
      <c r="D72" s="1" t="s">
        <v>784</v>
      </c>
      <c r="E72">
        <v>19.231999999999999</v>
      </c>
      <c r="F72">
        <v>10</v>
      </c>
      <c r="G72">
        <f t="shared" si="3"/>
        <v>2</v>
      </c>
      <c r="H72">
        <f>SUMIF(OrderDetailsCustomers!$M$2:$M$2158,A72,OrderDetailsCustomers!$W$2:$W$2158)</f>
        <v>240.4</v>
      </c>
      <c r="J72">
        <f t="shared" si="4"/>
        <v>2</v>
      </c>
      <c r="K72">
        <f>SUMIF(OrderDetailsCustomers!$M$2:$M$2158,'Order Header'!A72,OrderDetailsCustomers!$W$2:$W$2158)</f>
        <v>240.4</v>
      </c>
      <c r="L72" s="11">
        <f t="shared" si="5"/>
        <v>2</v>
      </c>
    </row>
    <row r="73" spans="1:12" x14ac:dyDescent="0.4">
      <c r="A73">
        <v>10319</v>
      </c>
      <c r="B73" s="4">
        <v>34640</v>
      </c>
      <c r="C73" t="s">
        <v>593</v>
      </c>
      <c r="D73" s="1" t="s">
        <v>772</v>
      </c>
      <c r="E73">
        <v>95.295999999999992</v>
      </c>
      <c r="F73">
        <v>20</v>
      </c>
      <c r="G73">
        <f t="shared" si="3"/>
        <v>3</v>
      </c>
      <c r="H73">
        <f>SUMIF(OrderDetailsCustomers!$M$2:$M$2158,A73,OrderDetailsCustomers!$W$2:$W$2158)</f>
        <v>1191.1999999999998</v>
      </c>
      <c r="J73">
        <f t="shared" si="4"/>
        <v>3</v>
      </c>
      <c r="K73">
        <f>SUMIF(OrderDetailsCustomers!$M$2:$M$2158,'Order Header'!A73,OrderDetailsCustomers!$W$2:$W$2158)</f>
        <v>1191.1999999999998</v>
      </c>
      <c r="L73" s="11">
        <f t="shared" si="5"/>
        <v>3</v>
      </c>
    </row>
    <row r="74" spans="1:12" x14ac:dyDescent="0.4">
      <c r="A74">
        <v>10320</v>
      </c>
      <c r="B74" s="4">
        <v>34641</v>
      </c>
      <c r="C74" t="s">
        <v>640</v>
      </c>
      <c r="D74" s="1" t="s">
        <v>775</v>
      </c>
      <c r="E74">
        <v>41.28</v>
      </c>
      <c r="F74">
        <v>15</v>
      </c>
      <c r="G74">
        <f t="shared" si="3"/>
        <v>2</v>
      </c>
      <c r="H74">
        <f>SUMIF(OrderDetailsCustomers!$M$2:$M$2158,A74,OrderDetailsCustomers!$W$2:$W$2158)</f>
        <v>516</v>
      </c>
      <c r="J74">
        <f t="shared" si="4"/>
        <v>2</v>
      </c>
      <c r="K74">
        <f>SUMIF(OrderDetailsCustomers!$M$2:$M$2158,'Order Header'!A74,OrderDetailsCustomers!$W$2:$W$2158)</f>
        <v>516</v>
      </c>
      <c r="L74" s="11">
        <f t="shared" si="5"/>
        <v>2</v>
      </c>
    </row>
    <row r="75" spans="1:12" x14ac:dyDescent="0.4">
      <c r="A75">
        <v>10321</v>
      </c>
      <c r="B75" s="4">
        <v>34641</v>
      </c>
      <c r="C75" t="s">
        <v>297</v>
      </c>
      <c r="D75" s="1" t="s">
        <v>784</v>
      </c>
      <c r="E75">
        <v>11.52</v>
      </c>
      <c r="F75">
        <v>10</v>
      </c>
      <c r="G75">
        <f t="shared" si="3"/>
        <v>2</v>
      </c>
      <c r="H75">
        <f>SUMIF(OrderDetailsCustomers!$M$2:$M$2158,A75,OrderDetailsCustomers!$W$2:$W$2158)</f>
        <v>144</v>
      </c>
      <c r="J75">
        <f t="shared" si="4"/>
        <v>2</v>
      </c>
      <c r="K75">
        <f>SUMIF(OrderDetailsCustomers!$M$2:$M$2158,'Order Header'!A75,OrderDetailsCustomers!$W$2:$W$2158)</f>
        <v>144</v>
      </c>
      <c r="L75" s="11">
        <f t="shared" si="5"/>
        <v>2</v>
      </c>
    </row>
    <row r="76" spans="1:12" x14ac:dyDescent="0.4">
      <c r="A76">
        <v>10322</v>
      </c>
      <c r="B76" s="4">
        <v>34642</v>
      </c>
      <c r="C76" t="s">
        <v>444</v>
      </c>
      <c r="D76" s="1" t="s">
        <v>784</v>
      </c>
      <c r="E76">
        <v>8.9600000000000009</v>
      </c>
      <c r="F76">
        <v>10</v>
      </c>
      <c r="G76">
        <f t="shared" si="3"/>
        <v>1</v>
      </c>
      <c r="H76">
        <f>SUMIF(OrderDetailsCustomers!$M$2:$M$2158,A76,OrderDetailsCustomers!$W$2:$W$2158)</f>
        <v>112</v>
      </c>
      <c r="J76">
        <f t="shared" si="4"/>
        <v>1</v>
      </c>
      <c r="K76">
        <f>SUMIF(OrderDetailsCustomers!$M$2:$M$2158,'Order Header'!A76,OrderDetailsCustomers!$W$2:$W$2158)</f>
        <v>112</v>
      </c>
      <c r="L76" s="11">
        <f t="shared" si="5"/>
        <v>1</v>
      </c>
    </row>
    <row r="77" spans="1:12" x14ac:dyDescent="0.4">
      <c r="A77">
        <v>10323</v>
      </c>
      <c r="B77" s="4">
        <v>34645</v>
      </c>
      <c r="C77" t="s">
        <v>305</v>
      </c>
      <c r="D77" s="1" t="s">
        <v>766</v>
      </c>
      <c r="E77">
        <v>13.152000000000001</v>
      </c>
      <c r="F77">
        <v>10</v>
      </c>
      <c r="G77">
        <f t="shared" si="3"/>
        <v>2</v>
      </c>
      <c r="H77">
        <f>SUMIF(OrderDetailsCustomers!$M$2:$M$2158,A77,OrderDetailsCustomers!$W$2:$W$2158)</f>
        <v>164.4</v>
      </c>
      <c r="J77">
        <f t="shared" si="4"/>
        <v>2</v>
      </c>
      <c r="K77">
        <f>SUMIF(OrderDetailsCustomers!$M$2:$M$2158,'Order Header'!A77,OrderDetailsCustomers!$W$2:$W$2158)</f>
        <v>164.4</v>
      </c>
      <c r="L77" s="11">
        <f t="shared" si="5"/>
        <v>2</v>
      </c>
    </row>
    <row r="78" spans="1:12" x14ac:dyDescent="0.4">
      <c r="A78">
        <v>10324</v>
      </c>
      <c r="B78" s="4">
        <v>34646</v>
      </c>
      <c r="C78" t="s">
        <v>529</v>
      </c>
      <c r="D78" s="1" t="s">
        <v>780</v>
      </c>
      <c r="E78">
        <v>422.05720000000002</v>
      </c>
      <c r="F78">
        <v>20</v>
      </c>
      <c r="G78">
        <f t="shared" si="3"/>
        <v>5</v>
      </c>
      <c r="H78">
        <f>SUMIF(OrderDetailsCustomers!$M$2:$M$2158,A78,OrderDetailsCustomers!$W$2:$W$2158)</f>
        <v>5275.7150000000001</v>
      </c>
      <c r="J78">
        <f t="shared" si="4"/>
        <v>5</v>
      </c>
      <c r="K78">
        <f>SUMIF(OrderDetailsCustomers!$M$2:$M$2158,'Order Header'!A78,OrderDetailsCustomers!$W$2:$W$2158)</f>
        <v>5275.7150000000001</v>
      </c>
      <c r="L78" s="11">
        <f t="shared" si="5"/>
        <v>5</v>
      </c>
    </row>
    <row r="79" spans="1:12" x14ac:dyDescent="0.4">
      <c r="A79">
        <v>10325</v>
      </c>
      <c r="B79" s="4">
        <v>34647</v>
      </c>
      <c r="C79" t="s">
        <v>305</v>
      </c>
      <c r="D79" s="1" t="s">
        <v>766</v>
      </c>
      <c r="E79">
        <v>119.76</v>
      </c>
      <c r="F79">
        <v>20</v>
      </c>
      <c r="G79">
        <f t="shared" si="3"/>
        <v>3</v>
      </c>
      <c r="H79">
        <f>SUMIF(OrderDetailsCustomers!$M$2:$M$2158,A79,OrderDetailsCustomers!$W$2:$W$2158)</f>
        <v>1497</v>
      </c>
      <c r="J79">
        <f t="shared" si="4"/>
        <v>3</v>
      </c>
      <c r="K79">
        <f>SUMIF(OrderDetailsCustomers!$M$2:$M$2158,'Order Header'!A79,OrderDetailsCustomers!$W$2:$W$2158)</f>
        <v>1497</v>
      </c>
      <c r="L79" s="11">
        <f t="shared" si="5"/>
        <v>3</v>
      </c>
    </row>
    <row r="80" spans="1:12" x14ac:dyDescent="0.4">
      <c r="A80">
        <v>10326</v>
      </c>
      <c r="B80" s="4">
        <v>34648</v>
      </c>
      <c r="C80" t="s">
        <v>69</v>
      </c>
      <c r="D80" s="1" t="s">
        <v>770</v>
      </c>
      <c r="E80">
        <v>78.56</v>
      </c>
      <c r="F80">
        <v>15</v>
      </c>
      <c r="G80">
        <f t="shared" si="3"/>
        <v>3</v>
      </c>
      <c r="H80">
        <f>SUMIF(OrderDetailsCustomers!$M$2:$M$2158,A80,OrderDetailsCustomers!$W$2:$W$2158)</f>
        <v>982</v>
      </c>
      <c r="J80">
        <f t="shared" si="4"/>
        <v>3</v>
      </c>
      <c r="K80">
        <f>SUMIF(OrderDetailsCustomers!$M$2:$M$2158,'Order Header'!A80,OrderDetailsCustomers!$W$2:$W$2158)</f>
        <v>982</v>
      </c>
      <c r="L80" s="11">
        <f t="shared" si="5"/>
        <v>3</v>
      </c>
    </row>
    <row r="81" spans="1:12" x14ac:dyDescent="0.4">
      <c r="A81">
        <v>10327</v>
      </c>
      <c r="B81" s="4">
        <v>34649</v>
      </c>
      <c r="C81" t="s">
        <v>191</v>
      </c>
      <c r="D81" s="1" t="s">
        <v>768</v>
      </c>
      <c r="E81">
        <v>144.80000000000001</v>
      </c>
      <c r="F81">
        <v>20</v>
      </c>
      <c r="G81">
        <f t="shared" si="3"/>
        <v>3</v>
      </c>
      <c r="H81">
        <f>SUMIF(OrderDetailsCustomers!$M$2:$M$2158,A81,OrderDetailsCustomers!$W$2:$W$2158)</f>
        <v>1810</v>
      </c>
      <c r="J81">
        <f t="shared" si="4"/>
        <v>3</v>
      </c>
      <c r="K81">
        <f>SUMIF(OrderDetailsCustomers!$M$2:$M$2158,'Order Header'!A81,OrderDetailsCustomers!$W$2:$W$2158)</f>
        <v>1810</v>
      </c>
      <c r="L81" s="11">
        <f t="shared" si="5"/>
        <v>3</v>
      </c>
    </row>
    <row r="82" spans="1:12" x14ac:dyDescent="0.4">
      <c r="A82">
        <v>10328</v>
      </c>
      <c r="B82" s="4">
        <v>34652</v>
      </c>
      <c r="C82" t="s">
        <v>219</v>
      </c>
      <c r="D82" s="1" t="s">
        <v>770</v>
      </c>
      <c r="E82">
        <v>93.44</v>
      </c>
      <c r="F82">
        <v>20</v>
      </c>
      <c r="G82">
        <f t="shared" si="3"/>
        <v>3</v>
      </c>
      <c r="H82">
        <f>SUMIF(OrderDetailsCustomers!$M$2:$M$2158,A82,OrderDetailsCustomers!$W$2:$W$2158)</f>
        <v>1168</v>
      </c>
      <c r="J82">
        <f t="shared" si="4"/>
        <v>3</v>
      </c>
      <c r="K82">
        <f>SUMIF(OrderDetailsCustomers!$M$2:$M$2158,'Order Header'!A82,OrderDetailsCustomers!$W$2:$W$2158)</f>
        <v>1168</v>
      </c>
      <c r="L82" s="11">
        <f t="shared" si="5"/>
        <v>3</v>
      </c>
    </row>
    <row r="83" spans="1:12" x14ac:dyDescent="0.4">
      <c r="A83">
        <v>10329</v>
      </c>
      <c r="B83" s="4">
        <v>34653</v>
      </c>
      <c r="C83" t="s">
        <v>557</v>
      </c>
      <c r="D83" s="1" t="s">
        <v>771</v>
      </c>
      <c r="E83">
        <v>366.27440000000001</v>
      </c>
      <c r="F83">
        <v>20</v>
      </c>
      <c r="G83">
        <f t="shared" si="3"/>
        <v>5</v>
      </c>
      <c r="H83">
        <f>SUMIF(OrderDetailsCustomers!$M$2:$M$2158,A83,OrderDetailsCustomers!$W$2:$W$2158)</f>
        <v>4578.43</v>
      </c>
      <c r="J83">
        <f t="shared" si="4"/>
        <v>5</v>
      </c>
      <c r="K83">
        <f>SUMIF(OrderDetailsCustomers!$M$2:$M$2158,'Order Header'!A83,OrderDetailsCustomers!$W$2:$W$2158)</f>
        <v>4578.43</v>
      </c>
      <c r="L83" s="11">
        <f t="shared" si="5"/>
        <v>5</v>
      </c>
    </row>
    <row r="84" spans="1:12" x14ac:dyDescent="0.4">
      <c r="A84">
        <v>10330</v>
      </c>
      <c r="B84" s="4">
        <v>34654</v>
      </c>
      <c r="C84" t="s">
        <v>355</v>
      </c>
      <c r="D84" s="1" t="s">
        <v>779</v>
      </c>
      <c r="E84">
        <v>131.92000000000002</v>
      </c>
      <c r="F84">
        <v>20</v>
      </c>
      <c r="G84">
        <f t="shared" si="3"/>
        <v>3</v>
      </c>
      <c r="H84">
        <f>SUMIF(OrderDetailsCustomers!$M$2:$M$2158,A84,OrderDetailsCustomers!$W$2:$W$2158)</f>
        <v>1649</v>
      </c>
      <c r="J84">
        <f t="shared" si="4"/>
        <v>3</v>
      </c>
      <c r="K84">
        <f>SUMIF(OrderDetailsCustomers!$M$2:$M$2158,'Order Header'!A84,OrderDetailsCustomers!$W$2:$W$2158)</f>
        <v>1649</v>
      </c>
      <c r="L84" s="11">
        <f t="shared" si="5"/>
        <v>3</v>
      </c>
    </row>
    <row r="85" spans="1:12" x14ac:dyDescent="0.4">
      <c r="A85">
        <v>10331</v>
      </c>
      <c r="B85" s="4">
        <v>34654</v>
      </c>
      <c r="C85" t="s">
        <v>77</v>
      </c>
      <c r="D85" s="1" t="s">
        <v>776</v>
      </c>
      <c r="E85">
        <v>7.08</v>
      </c>
      <c r="F85">
        <v>10</v>
      </c>
      <c r="G85">
        <f t="shared" ref="G85:G148" si="6">VLOOKUP(E85,$T$1:$U$7,2,TRUE)</f>
        <v>1</v>
      </c>
      <c r="H85">
        <f>SUMIF(OrderDetailsCustomers!$M$2:$M$2158,A85,OrderDetailsCustomers!$W$2:$W$2158)</f>
        <v>88.5</v>
      </c>
      <c r="J85">
        <f t="shared" si="4"/>
        <v>1</v>
      </c>
      <c r="K85">
        <f>SUMIF(OrderDetailsCustomers!$M$2:$M$2158,'Order Header'!A85,OrderDetailsCustomers!$W$2:$W$2158)</f>
        <v>88.5</v>
      </c>
      <c r="L85" s="11">
        <f t="shared" si="5"/>
        <v>1</v>
      </c>
    </row>
    <row r="86" spans="1:12" x14ac:dyDescent="0.4">
      <c r="A86">
        <v>10332</v>
      </c>
      <c r="B86" s="4">
        <v>34655</v>
      </c>
      <c r="C86" t="s">
        <v>394</v>
      </c>
      <c r="D86" s="1" t="s">
        <v>780</v>
      </c>
      <c r="E86">
        <v>142.9504</v>
      </c>
      <c r="F86">
        <v>20</v>
      </c>
      <c r="G86">
        <f t="shared" si="6"/>
        <v>3</v>
      </c>
      <c r="H86">
        <f>SUMIF(OrderDetailsCustomers!$M$2:$M$2158,A86,OrderDetailsCustomers!$W$2:$W$2158)</f>
        <v>1786.8799999999999</v>
      </c>
      <c r="J86">
        <f t="shared" si="4"/>
        <v>3</v>
      </c>
      <c r="K86">
        <f>SUMIF(OrderDetailsCustomers!$M$2:$M$2158,'Order Header'!A86,OrderDetailsCustomers!$W$2:$W$2158)</f>
        <v>1786.8799999999999</v>
      </c>
      <c r="L86" s="11">
        <f t="shared" si="5"/>
        <v>3</v>
      </c>
    </row>
    <row r="87" spans="1:12" x14ac:dyDescent="0.4">
      <c r="A87">
        <v>10333</v>
      </c>
      <c r="B87" s="4">
        <v>34656</v>
      </c>
      <c r="C87" t="s">
        <v>640</v>
      </c>
      <c r="D87" s="1" t="s">
        <v>775</v>
      </c>
      <c r="E87">
        <v>70.176000000000002</v>
      </c>
      <c r="F87">
        <v>15</v>
      </c>
      <c r="G87">
        <f t="shared" si="6"/>
        <v>3</v>
      </c>
      <c r="H87">
        <f>SUMIF(OrderDetailsCustomers!$M$2:$M$2158,A87,OrderDetailsCustomers!$W$2:$W$2158)</f>
        <v>877.2</v>
      </c>
      <c r="J87">
        <f t="shared" si="4"/>
        <v>3</v>
      </c>
      <c r="K87">
        <f>SUMIF(OrderDetailsCustomers!$M$2:$M$2158,'Order Header'!A87,OrderDetailsCustomers!$W$2:$W$2158)</f>
        <v>877.2</v>
      </c>
      <c r="L87" s="11">
        <f t="shared" si="5"/>
        <v>3</v>
      </c>
    </row>
    <row r="88" spans="1:12" x14ac:dyDescent="0.4">
      <c r="A88">
        <v>10334</v>
      </c>
      <c r="B88" s="4">
        <v>34659</v>
      </c>
      <c r="C88" t="s">
        <v>619</v>
      </c>
      <c r="D88" s="1" t="s">
        <v>768</v>
      </c>
      <c r="E88">
        <v>11.584000000000001</v>
      </c>
      <c r="F88">
        <v>10</v>
      </c>
      <c r="G88">
        <f t="shared" si="6"/>
        <v>2</v>
      </c>
      <c r="H88">
        <f>SUMIF(OrderDetailsCustomers!$M$2:$M$2158,A88,OrderDetailsCustomers!$W$2:$W$2158)</f>
        <v>144.80000000000001</v>
      </c>
      <c r="J88">
        <f t="shared" si="4"/>
        <v>2</v>
      </c>
      <c r="K88">
        <f>SUMIF(OrderDetailsCustomers!$M$2:$M$2158,'Order Header'!A88,OrderDetailsCustomers!$W$2:$W$2158)</f>
        <v>144.80000000000001</v>
      </c>
      <c r="L88" s="11">
        <f t="shared" si="5"/>
        <v>2</v>
      </c>
    </row>
    <row r="89" spans="1:12" x14ac:dyDescent="0.4">
      <c r="A89">
        <v>10335</v>
      </c>
      <c r="B89" s="4">
        <v>34660</v>
      </c>
      <c r="C89" t="s">
        <v>288</v>
      </c>
      <c r="D89" s="1" t="s">
        <v>781</v>
      </c>
      <c r="E89">
        <v>162.89279999999999</v>
      </c>
      <c r="F89">
        <v>20</v>
      </c>
      <c r="G89">
        <f t="shared" si="6"/>
        <v>4</v>
      </c>
      <c r="H89">
        <f>SUMIF(OrderDetailsCustomers!$M$2:$M$2158,A89,OrderDetailsCustomers!$W$2:$W$2158)</f>
        <v>2036.1599999999999</v>
      </c>
      <c r="J89">
        <f t="shared" si="4"/>
        <v>4</v>
      </c>
      <c r="K89">
        <f>SUMIF(OrderDetailsCustomers!$M$2:$M$2158,'Order Header'!A89,OrderDetailsCustomers!$W$2:$W$2158)</f>
        <v>2036.1599999999999</v>
      </c>
      <c r="L89" s="11">
        <f t="shared" si="5"/>
        <v>4</v>
      </c>
    </row>
    <row r="90" spans="1:12" x14ac:dyDescent="0.4">
      <c r="A90">
        <v>10336</v>
      </c>
      <c r="B90" s="4">
        <v>34661</v>
      </c>
      <c r="C90" t="s">
        <v>457</v>
      </c>
      <c r="D90" s="1" t="s">
        <v>772</v>
      </c>
      <c r="E90">
        <v>22.8096</v>
      </c>
      <c r="F90">
        <v>10</v>
      </c>
      <c r="G90">
        <f t="shared" si="6"/>
        <v>2</v>
      </c>
      <c r="H90">
        <f>SUMIF(OrderDetailsCustomers!$M$2:$M$2158,A90,OrderDetailsCustomers!$W$2:$W$2158)</f>
        <v>285.12</v>
      </c>
      <c r="J90">
        <f t="shared" si="4"/>
        <v>2</v>
      </c>
      <c r="K90">
        <f>SUMIF(OrderDetailsCustomers!$M$2:$M$2158,'Order Header'!A90,OrderDetailsCustomers!$W$2:$W$2158)</f>
        <v>285.12</v>
      </c>
      <c r="L90" s="11">
        <f t="shared" si="5"/>
        <v>2</v>
      </c>
    </row>
    <row r="91" spans="1:12" x14ac:dyDescent="0.4">
      <c r="A91">
        <v>10337</v>
      </c>
      <c r="B91" s="4">
        <v>34662</v>
      </c>
      <c r="C91" t="s">
        <v>198</v>
      </c>
      <c r="D91" s="1" t="s">
        <v>765</v>
      </c>
      <c r="E91">
        <v>197.36</v>
      </c>
      <c r="F91">
        <v>20</v>
      </c>
      <c r="G91">
        <f t="shared" si="6"/>
        <v>4</v>
      </c>
      <c r="H91">
        <f>SUMIF(OrderDetailsCustomers!$M$2:$M$2158,A91,OrderDetailsCustomers!$W$2:$W$2158)</f>
        <v>2467</v>
      </c>
      <c r="J91">
        <f t="shared" si="4"/>
        <v>4</v>
      </c>
      <c r="K91">
        <f>SUMIF(OrderDetailsCustomers!$M$2:$M$2158,'Order Header'!A91,OrderDetailsCustomers!$W$2:$W$2158)</f>
        <v>2467</v>
      </c>
      <c r="L91" s="11">
        <f t="shared" si="5"/>
        <v>4</v>
      </c>
    </row>
    <row r="92" spans="1:12" x14ac:dyDescent="0.4">
      <c r="A92">
        <v>10338</v>
      </c>
      <c r="B92" s="4">
        <v>34663</v>
      </c>
      <c r="C92" t="s">
        <v>422</v>
      </c>
      <c r="D92" s="1" t="s">
        <v>771</v>
      </c>
      <c r="E92">
        <v>74.760000000000005</v>
      </c>
      <c r="F92">
        <v>15</v>
      </c>
      <c r="G92">
        <f t="shared" si="6"/>
        <v>3</v>
      </c>
      <c r="H92">
        <f>SUMIF(OrderDetailsCustomers!$M$2:$M$2158,A92,OrderDetailsCustomers!$W$2:$W$2158)</f>
        <v>934.5</v>
      </c>
      <c r="J92">
        <f t="shared" si="4"/>
        <v>3</v>
      </c>
      <c r="K92">
        <f>SUMIF(OrderDetailsCustomers!$M$2:$M$2158,'Order Header'!A92,OrderDetailsCustomers!$W$2:$W$2158)</f>
        <v>934.5</v>
      </c>
      <c r="L92" s="11">
        <f t="shared" si="5"/>
        <v>3</v>
      </c>
    </row>
    <row r="93" spans="1:12" x14ac:dyDescent="0.4">
      <c r="A93">
        <v>10339</v>
      </c>
      <c r="B93" s="4">
        <v>34666</v>
      </c>
      <c r="C93" t="s">
        <v>394</v>
      </c>
      <c r="D93" s="1" t="s">
        <v>780</v>
      </c>
      <c r="E93">
        <v>268.32</v>
      </c>
      <c r="F93">
        <v>20</v>
      </c>
      <c r="G93">
        <f t="shared" si="6"/>
        <v>5</v>
      </c>
      <c r="H93">
        <f>SUMIF(OrderDetailsCustomers!$M$2:$M$2158,A93,OrderDetailsCustomers!$W$2:$W$2158)</f>
        <v>3354</v>
      </c>
      <c r="J93">
        <f t="shared" si="4"/>
        <v>5</v>
      </c>
      <c r="K93">
        <f>SUMIF(OrderDetailsCustomers!$M$2:$M$2158,'Order Header'!A93,OrderDetailsCustomers!$W$2:$W$2158)</f>
        <v>3354</v>
      </c>
      <c r="L93" s="11">
        <f t="shared" si="5"/>
        <v>5</v>
      </c>
    </row>
    <row r="94" spans="1:12" x14ac:dyDescent="0.4">
      <c r="A94">
        <v>10340</v>
      </c>
      <c r="B94" s="4">
        <v>34667</v>
      </c>
      <c r="C94" t="s">
        <v>77</v>
      </c>
      <c r="D94" s="1" t="s">
        <v>776</v>
      </c>
      <c r="E94">
        <v>194.89439999999999</v>
      </c>
      <c r="F94">
        <v>20</v>
      </c>
      <c r="G94">
        <f t="shared" si="6"/>
        <v>4</v>
      </c>
      <c r="H94">
        <f>SUMIF(OrderDetailsCustomers!$M$2:$M$2158,A94,OrderDetailsCustomers!$W$2:$W$2158)</f>
        <v>2436.1799999999998</v>
      </c>
      <c r="J94">
        <f t="shared" si="4"/>
        <v>4</v>
      </c>
      <c r="K94">
        <f>SUMIF(OrderDetailsCustomers!$M$2:$M$2158,'Order Header'!A94,OrderDetailsCustomers!$W$2:$W$2158)</f>
        <v>2436.1799999999998</v>
      </c>
      <c r="L94" s="11">
        <f t="shared" si="5"/>
        <v>4</v>
      </c>
    </row>
    <row r="95" spans="1:12" x14ac:dyDescent="0.4">
      <c r="A95">
        <v>10341</v>
      </c>
      <c r="B95" s="4">
        <v>34667</v>
      </c>
      <c r="C95" t="s">
        <v>543</v>
      </c>
      <c r="D95" s="1" t="s">
        <v>773</v>
      </c>
      <c r="E95">
        <v>28.207999999999998</v>
      </c>
      <c r="F95">
        <v>10</v>
      </c>
      <c r="G95">
        <f t="shared" si="6"/>
        <v>2</v>
      </c>
      <c r="H95">
        <f>SUMIF(OrderDetailsCustomers!$M$2:$M$2158,A95,OrderDetailsCustomers!$W$2:$W$2158)</f>
        <v>352.59999999999997</v>
      </c>
      <c r="J95">
        <f t="shared" si="4"/>
        <v>2</v>
      </c>
      <c r="K95">
        <f>SUMIF(OrderDetailsCustomers!$M$2:$M$2158,'Order Header'!A95,OrderDetailsCustomers!$W$2:$W$2158)</f>
        <v>352.59999999999997</v>
      </c>
      <c r="L95" s="11">
        <f t="shared" si="5"/>
        <v>2</v>
      </c>
    </row>
    <row r="96" spans="1:12" x14ac:dyDescent="0.4">
      <c r="A96">
        <v>10342</v>
      </c>
      <c r="B96" s="4">
        <v>34668</v>
      </c>
      <c r="C96" t="s">
        <v>198</v>
      </c>
      <c r="D96" s="1" t="s">
        <v>765</v>
      </c>
      <c r="E96">
        <v>147.25120000000001</v>
      </c>
      <c r="F96">
        <v>20</v>
      </c>
      <c r="G96">
        <f t="shared" si="6"/>
        <v>3</v>
      </c>
      <c r="H96">
        <f>SUMIF(OrderDetailsCustomers!$M$2:$M$2158,A96,OrderDetailsCustomers!$W$2:$W$2158)</f>
        <v>1840.64</v>
      </c>
      <c r="J96">
        <f t="shared" si="4"/>
        <v>3</v>
      </c>
      <c r="K96">
        <f>SUMIF(OrderDetailsCustomers!$M$2:$M$2158,'Order Header'!A96,OrderDetailsCustomers!$W$2:$W$2158)</f>
        <v>1840.64</v>
      </c>
      <c r="L96" s="11">
        <f t="shared" si="5"/>
        <v>3</v>
      </c>
    </row>
    <row r="97" spans="1:12" x14ac:dyDescent="0.4">
      <c r="A97">
        <v>10343</v>
      </c>
      <c r="B97" s="4">
        <v>34669</v>
      </c>
      <c r="C97" t="s">
        <v>341</v>
      </c>
      <c r="D97" s="1" t="s">
        <v>768</v>
      </c>
      <c r="E97">
        <v>126.72</v>
      </c>
      <c r="F97">
        <v>20</v>
      </c>
      <c r="G97">
        <f t="shared" si="6"/>
        <v>3</v>
      </c>
      <c r="H97">
        <f>SUMIF(OrderDetailsCustomers!$M$2:$M$2158,A97,OrderDetailsCustomers!$W$2:$W$2158)</f>
        <v>1584</v>
      </c>
      <c r="J97">
        <f t="shared" si="4"/>
        <v>3</v>
      </c>
      <c r="K97">
        <f>SUMIF(OrderDetailsCustomers!$M$2:$M$2158,'Order Header'!A97,OrderDetailsCustomers!$W$2:$W$2158)</f>
        <v>1584</v>
      </c>
      <c r="L97" s="11">
        <f t="shared" si="5"/>
        <v>3</v>
      </c>
    </row>
    <row r="98" spans="1:12" x14ac:dyDescent="0.4">
      <c r="A98">
        <v>10344</v>
      </c>
      <c r="B98" s="4">
        <v>34670</v>
      </c>
      <c r="C98" t="s">
        <v>654</v>
      </c>
      <c r="D98" s="1" t="s">
        <v>776</v>
      </c>
      <c r="E98">
        <v>183.68</v>
      </c>
      <c r="F98">
        <v>20</v>
      </c>
      <c r="G98">
        <f t="shared" si="6"/>
        <v>4</v>
      </c>
      <c r="H98">
        <f>SUMIF(OrderDetailsCustomers!$M$2:$M$2158,A98,OrderDetailsCustomers!$W$2:$W$2158)</f>
        <v>2296</v>
      </c>
      <c r="J98">
        <f t="shared" si="4"/>
        <v>4</v>
      </c>
      <c r="K98">
        <f>SUMIF(OrderDetailsCustomers!$M$2:$M$2158,'Order Header'!A98,OrderDetailsCustomers!$W$2:$W$2158)</f>
        <v>2296</v>
      </c>
      <c r="L98" s="11">
        <f t="shared" si="5"/>
        <v>4</v>
      </c>
    </row>
    <row r="99" spans="1:12" x14ac:dyDescent="0.4">
      <c r="A99">
        <v>10345</v>
      </c>
      <c r="B99" s="4">
        <v>34673</v>
      </c>
      <c r="C99" t="s">
        <v>475</v>
      </c>
      <c r="D99" s="1" t="s">
        <v>777</v>
      </c>
      <c r="E99">
        <v>233.98400000000001</v>
      </c>
      <c r="F99">
        <v>20</v>
      </c>
      <c r="G99">
        <f t="shared" si="6"/>
        <v>4</v>
      </c>
      <c r="H99">
        <f>SUMIF(OrderDetailsCustomers!$M$2:$M$2158,A99,OrderDetailsCustomers!$W$2:$W$2158)</f>
        <v>2924.8</v>
      </c>
      <c r="J99">
        <f t="shared" si="4"/>
        <v>4</v>
      </c>
      <c r="K99">
        <f>SUMIF(OrderDetailsCustomers!$M$2:$M$2158,'Order Header'!A99,OrderDetailsCustomers!$W$2:$W$2158)</f>
        <v>2924.8</v>
      </c>
      <c r="L99" s="11">
        <f t="shared" si="5"/>
        <v>4</v>
      </c>
    </row>
    <row r="100" spans="1:12" x14ac:dyDescent="0.4">
      <c r="A100">
        <v>10346</v>
      </c>
      <c r="B100" s="4">
        <v>34674</v>
      </c>
      <c r="C100" t="s">
        <v>487</v>
      </c>
      <c r="D100" s="1" t="s">
        <v>765</v>
      </c>
      <c r="E100">
        <v>129.5104</v>
      </c>
      <c r="F100">
        <v>20</v>
      </c>
      <c r="G100">
        <f t="shared" si="6"/>
        <v>3</v>
      </c>
      <c r="H100">
        <f>SUMIF(OrderDetailsCustomers!$M$2:$M$2158,A100,OrderDetailsCustomers!$W$2:$W$2158)</f>
        <v>1618.88</v>
      </c>
      <c r="J100">
        <f t="shared" si="4"/>
        <v>3</v>
      </c>
      <c r="K100">
        <f>SUMIF(OrderDetailsCustomers!$M$2:$M$2158,'Order Header'!A100,OrderDetailsCustomers!$W$2:$W$2158)</f>
        <v>1618.88</v>
      </c>
      <c r="L100" s="11">
        <f t="shared" si="5"/>
        <v>3</v>
      </c>
    </row>
    <row r="101" spans="1:12" x14ac:dyDescent="0.4">
      <c r="A101">
        <v>10347</v>
      </c>
      <c r="B101" s="4">
        <v>34675</v>
      </c>
      <c r="C101" t="s">
        <v>170</v>
      </c>
      <c r="D101" s="1" t="s">
        <v>774</v>
      </c>
      <c r="E101">
        <v>65.153599999999997</v>
      </c>
      <c r="F101">
        <v>15</v>
      </c>
      <c r="G101">
        <f t="shared" si="6"/>
        <v>3</v>
      </c>
      <c r="H101">
        <f>SUMIF(OrderDetailsCustomers!$M$2:$M$2158,A101,OrderDetailsCustomers!$W$2:$W$2158)</f>
        <v>814.42</v>
      </c>
      <c r="J101">
        <f t="shared" si="4"/>
        <v>3</v>
      </c>
      <c r="K101">
        <f>SUMIF(OrderDetailsCustomers!$M$2:$M$2158,'Order Header'!A101,OrderDetailsCustomers!$W$2:$W$2158)</f>
        <v>814.42</v>
      </c>
      <c r="L101" s="11">
        <f t="shared" si="5"/>
        <v>3</v>
      </c>
    </row>
    <row r="102" spans="1:12" x14ac:dyDescent="0.4">
      <c r="A102">
        <v>10348</v>
      </c>
      <c r="B102" s="4">
        <v>34676</v>
      </c>
      <c r="C102" t="s">
        <v>633</v>
      </c>
      <c r="D102" s="1" t="s">
        <v>779</v>
      </c>
      <c r="E102">
        <v>29.088000000000001</v>
      </c>
      <c r="F102">
        <v>10</v>
      </c>
      <c r="G102">
        <f t="shared" si="6"/>
        <v>2</v>
      </c>
      <c r="H102">
        <f>SUMIF(OrderDetailsCustomers!$M$2:$M$2158,A102,OrderDetailsCustomers!$W$2:$W$2158)</f>
        <v>363.6</v>
      </c>
      <c r="J102">
        <f t="shared" si="4"/>
        <v>2</v>
      </c>
      <c r="K102">
        <f>SUMIF(OrderDetailsCustomers!$M$2:$M$2158,'Order Header'!A102,OrderDetailsCustomers!$W$2:$W$2158)</f>
        <v>363.6</v>
      </c>
      <c r="L102" s="11">
        <f t="shared" si="5"/>
        <v>2</v>
      </c>
    </row>
    <row r="103" spans="1:12" x14ac:dyDescent="0.4">
      <c r="A103">
        <v>10349</v>
      </c>
      <c r="B103" s="4">
        <v>34677</v>
      </c>
      <c r="C103" t="s">
        <v>557</v>
      </c>
      <c r="D103" s="1" t="s">
        <v>771</v>
      </c>
      <c r="E103">
        <v>11.328000000000001</v>
      </c>
      <c r="F103">
        <v>10</v>
      </c>
      <c r="G103">
        <f t="shared" si="6"/>
        <v>2</v>
      </c>
      <c r="H103">
        <f>SUMIF(OrderDetailsCustomers!$M$2:$M$2158,A103,OrderDetailsCustomers!$W$2:$W$2158)</f>
        <v>141.60000000000002</v>
      </c>
      <c r="J103">
        <f t="shared" si="4"/>
        <v>2</v>
      </c>
      <c r="K103">
        <f>SUMIF(OrderDetailsCustomers!$M$2:$M$2158,'Order Header'!A103,OrderDetailsCustomers!$W$2:$W$2158)</f>
        <v>141.60000000000002</v>
      </c>
      <c r="L103" s="11">
        <f t="shared" si="5"/>
        <v>2</v>
      </c>
    </row>
    <row r="104" spans="1:12" x14ac:dyDescent="0.4">
      <c r="A104">
        <v>10350</v>
      </c>
      <c r="B104" s="4">
        <v>34680</v>
      </c>
      <c r="C104" t="s">
        <v>318</v>
      </c>
      <c r="D104" s="1" t="s">
        <v>774</v>
      </c>
      <c r="E104">
        <v>51.364799999999995</v>
      </c>
      <c r="F104">
        <v>15</v>
      </c>
      <c r="G104">
        <f t="shared" si="6"/>
        <v>3</v>
      </c>
      <c r="H104">
        <f>SUMIF(OrderDetailsCustomers!$M$2:$M$2158,A104,OrderDetailsCustomers!$W$2:$W$2158)</f>
        <v>642.05999999999995</v>
      </c>
      <c r="J104">
        <f t="shared" si="4"/>
        <v>3</v>
      </c>
      <c r="K104">
        <f>SUMIF(OrderDetailsCustomers!$M$2:$M$2158,'Order Header'!A104,OrderDetailsCustomers!$W$2:$W$2158)</f>
        <v>642.05999999999995</v>
      </c>
      <c r="L104" s="11">
        <f t="shared" si="5"/>
        <v>3</v>
      </c>
    </row>
    <row r="105" spans="1:12" x14ac:dyDescent="0.4">
      <c r="A105">
        <v>10351</v>
      </c>
      <c r="B105" s="4">
        <v>34680</v>
      </c>
      <c r="C105" t="s">
        <v>161</v>
      </c>
      <c r="D105" s="1" t="s">
        <v>772</v>
      </c>
      <c r="E105">
        <v>431.89800000000002</v>
      </c>
      <c r="F105">
        <v>20</v>
      </c>
      <c r="G105">
        <f t="shared" si="6"/>
        <v>5</v>
      </c>
      <c r="H105">
        <f>SUMIF(OrderDetailsCustomers!$M$2:$M$2158,A105,OrderDetailsCustomers!$W$2:$W$2158)</f>
        <v>5398.7250000000004</v>
      </c>
      <c r="J105">
        <f t="shared" si="4"/>
        <v>5</v>
      </c>
      <c r="K105">
        <f>SUMIF(OrderDetailsCustomers!$M$2:$M$2158,'Order Header'!A105,OrderDetailsCustomers!$W$2:$W$2158)</f>
        <v>5398.7250000000004</v>
      </c>
      <c r="L105" s="11">
        <f t="shared" si="5"/>
        <v>5</v>
      </c>
    </row>
    <row r="106" spans="1:12" x14ac:dyDescent="0.4">
      <c r="A106">
        <v>10352</v>
      </c>
      <c r="B106" s="4">
        <v>34681</v>
      </c>
      <c r="C106" t="s">
        <v>219</v>
      </c>
      <c r="D106" s="1" t="s">
        <v>770</v>
      </c>
      <c r="E106">
        <v>10.904000000000002</v>
      </c>
      <c r="F106">
        <v>10</v>
      </c>
      <c r="G106">
        <f t="shared" si="6"/>
        <v>2</v>
      </c>
      <c r="H106">
        <f>SUMIF(OrderDetailsCustomers!$M$2:$M$2158,A106,OrderDetailsCustomers!$W$2:$W$2158)</f>
        <v>136.30000000000001</v>
      </c>
      <c r="J106">
        <f t="shared" si="4"/>
        <v>2</v>
      </c>
      <c r="K106">
        <f>SUMIF(OrderDetailsCustomers!$M$2:$M$2158,'Order Header'!A106,OrderDetailsCustomers!$W$2:$W$2158)</f>
        <v>136.30000000000001</v>
      </c>
      <c r="L106" s="11">
        <f t="shared" si="5"/>
        <v>2</v>
      </c>
    </row>
    <row r="107" spans="1:12" x14ac:dyDescent="0.4">
      <c r="A107">
        <v>10353</v>
      </c>
      <c r="B107" s="4">
        <v>34682</v>
      </c>
      <c r="C107" t="s">
        <v>450</v>
      </c>
      <c r="D107" s="1" t="s">
        <v>766</v>
      </c>
      <c r="E107">
        <v>687.46240000000012</v>
      </c>
      <c r="F107">
        <v>20</v>
      </c>
      <c r="G107">
        <f t="shared" si="6"/>
        <v>5</v>
      </c>
      <c r="H107">
        <f>SUMIF(OrderDetailsCustomers!$M$2:$M$2158,A107,OrderDetailsCustomers!$W$2:$W$2158)</f>
        <v>8593.2800000000007</v>
      </c>
      <c r="J107">
        <f t="shared" si="4"/>
        <v>5</v>
      </c>
      <c r="K107">
        <f>SUMIF(OrderDetailsCustomers!$M$2:$M$2158,'Order Header'!A107,OrderDetailsCustomers!$W$2:$W$2158)</f>
        <v>8593.2800000000007</v>
      </c>
      <c r="L107" s="11">
        <f t="shared" si="5"/>
        <v>5</v>
      </c>
    </row>
    <row r="108" spans="1:12" x14ac:dyDescent="0.4">
      <c r="A108">
        <v>10354</v>
      </c>
      <c r="B108" s="4">
        <v>34683</v>
      </c>
      <c r="C108" t="s">
        <v>444</v>
      </c>
      <c r="D108" s="1" t="s">
        <v>784</v>
      </c>
      <c r="E108">
        <v>45.503999999999998</v>
      </c>
      <c r="F108">
        <v>15</v>
      </c>
      <c r="G108">
        <f t="shared" si="6"/>
        <v>2</v>
      </c>
      <c r="H108">
        <f>SUMIF(OrderDetailsCustomers!$M$2:$M$2158,A108,OrderDetailsCustomers!$W$2:$W$2158)</f>
        <v>568.79999999999995</v>
      </c>
      <c r="J108">
        <f t="shared" si="4"/>
        <v>2</v>
      </c>
      <c r="K108">
        <f>SUMIF(OrderDetailsCustomers!$M$2:$M$2158,'Order Header'!A108,OrderDetailsCustomers!$W$2:$W$2158)</f>
        <v>568.79999999999995</v>
      </c>
      <c r="L108" s="11">
        <f t="shared" si="5"/>
        <v>2</v>
      </c>
    </row>
    <row r="109" spans="1:12" x14ac:dyDescent="0.4">
      <c r="A109">
        <v>10355</v>
      </c>
      <c r="B109" s="4">
        <v>34684</v>
      </c>
      <c r="C109" t="s">
        <v>34</v>
      </c>
      <c r="D109" s="1" t="s">
        <v>768</v>
      </c>
      <c r="E109">
        <v>38.4</v>
      </c>
      <c r="F109">
        <v>10</v>
      </c>
      <c r="G109">
        <f t="shared" si="6"/>
        <v>2</v>
      </c>
      <c r="H109">
        <f>SUMIF(OrderDetailsCustomers!$M$2:$M$2158,A109,OrderDetailsCustomers!$W$2:$W$2158)</f>
        <v>480</v>
      </c>
      <c r="J109">
        <f t="shared" si="4"/>
        <v>2</v>
      </c>
      <c r="K109">
        <f>SUMIF(OrderDetailsCustomers!$M$2:$M$2158,'Order Header'!A109,OrderDetailsCustomers!$W$2:$W$2158)</f>
        <v>480</v>
      </c>
      <c r="L109" s="11">
        <f t="shared" si="5"/>
        <v>2</v>
      </c>
    </row>
    <row r="110" spans="1:12" x14ac:dyDescent="0.4">
      <c r="A110">
        <v>10356</v>
      </c>
      <c r="B110" s="4">
        <v>34687</v>
      </c>
      <c r="C110" t="s">
        <v>633</v>
      </c>
      <c r="D110" s="1" t="s">
        <v>779</v>
      </c>
      <c r="E110">
        <v>88.512000000000015</v>
      </c>
      <c r="F110">
        <v>20</v>
      </c>
      <c r="G110">
        <f t="shared" si="6"/>
        <v>3</v>
      </c>
      <c r="H110">
        <f>SUMIF(OrderDetailsCustomers!$M$2:$M$2158,A110,OrderDetailsCustomers!$W$2:$W$2158)</f>
        <v>1106.4000000000001</v>
      </c>
      <c r="J110">
        <f t="shared" si="4"/>
        <v>3</v>
      </c>
      <c r="K110">
        <f>SUMIF(OrderDetailsCustomers!$M$2:$M$2158,'Order Header'!A110,OrderDetailsCustomers!$W$2:$W$2158)</f>
        <v>1106.4000000000001</v>
      </c>
      <c r="L110" s="11">
        <f t="shared" si="5"/>
        <v>3</v>
      </c>
    </row>
    <row r="111" spans="1:12" x14ac:dyDescent="0.4">
      <c r="A111">
        <v>10357</v>
      </c>
      <c r="B111" s="4">
        <v>34688</v>
      </c>
      <c r="C111" t="s">
        <v>355</v>
      </c>
      <c r="D111" s="1" t="s">
        <v>779</v>
      </c>
      <c r="E111">
        <v>93.414400000000001</v>
      </c>
      <c r="F111">
        <v>20</v>
      </c>
      <c r="G111">
        <f t="shared" si="6"/>
        <v>3</v>
      </c>
      <c r="H111">
        <f>SUMIF(OrderDetailsCustomers!$M$2:$M$2158,A111,OrderDetailsCustomers!$W$2:$W$2158)</f>
        <v>1167.68</v>
      </c>
      <c r="J111">
        <f t="shared" si="4"/>
        <v>3</v>
      </c>
      <c r="K111">
        <f>SUMIF(OrderDetailsCustomers!$M$2:$M$2158,'Order Header'!A111,OrderDetailsCustomers!$W$2:$W$2158)</f>
        <v>1167.68</v>
      </c>
      <c r="L111" s="11">
        <f t="shared" si="5"/>
        <v>3</v>
      </c>
    </row>
    <row r="112" spans="1:12" x14ac:dyDescent="0.4">
      <c r="A112">
        <v>10358</v>
      </c>
      <c r="B112" s="4">
        <v>34689</v>
      </c>
      <c r="C112" t="s">
        <v>318</v>
      </c>
      <c r="D112" s="1" t="s">
        <v>774</v>
      </c>
      <c r="E112">
        <v>34.351999999999997</v>
      </c>
      <c r="F112">
        <v>10</v>
      </c>
      <c r="G112">
        <f t="shared" si="6"/>
        <v>2</v>
      </c>
      <c r="H112">
        <f>SUMIF(OrderDetailsCustomers!$M$2:$M$2158,A112,OrderDetailsCustomers!$W$2:$W$2158)</f>
        <v>429.4</v>
      </c>
      <c r="J112">
        <f t="shared" si="4"/>
        <v>2</v>
      </c>
      <c r="K112">
        <f>SUMIF(OrderDetailsCustomers!$M$2:$M$2158,'Order Header'!A112,OrderDetailsCustomers!$W$2:$W$2158)</f>
        <v>429.4</v>
      </c>
      <c r="L112" s="11">
        <f t="shared" si="5"/>
        <v>2</v>
      </c>
    </row>
    <row r="113" spans="1:12" x14ac:dyDescent="0.4">
      <c r="A113">
        <v>10359</v>
      </c>
      <c r="B113" s="4">
        <v>34690</v>
      </c>
      <c r="C113" t="s">
        <v>536</v>
      </c>
      <c r="D113" s="1" t="s">
        <v>778</v>
      </c>
      <c r="E113">
        <v>277.73439999999999</v>
      </c>
      <c r="F113">
        <v>20</v>
      </c>
      <c r="G113">
        <f t="shared" si="6"/>
        <v>5</v>
      </c>
      <c r="H113">
        <f>SUMIF(OrderDetailsCustomers!$M$2:$M$2158,A113,OrderDetailsCustomers!$W$2:$W$2158)</f>
        <v>3471.68</v>
      </c>
      <c r="J113">
        <f t="shared" si="4"/>
        <v>5</v>
      </c>
      <c r="K113">
        <f>SUMIF(OrderDetailsCustomers!$M$2:$M$2158,'Order Header'!A113,OrderDetailsCustomers!$W$2:$W$2158)</f>
        <v>3471.68</v>
      </c>
      <c r="L113" s="11">
        <f t="shared" si="5"/>
        <v>5</v>
      </c>
    </row>
    <row r="114" spans="1:12" x14ac:dyDescent="0.4">
      <c r="A114">
        <v>10360</v>
      </c>
      <c r="B114" s="4">
        <v>34691</v>
      </c>
      <c r="C114" t="s">
        <v>60</v>
      </c>
      <c r="D114" s="1" t="s">
        <v>775</v>
      </c>
      <c r="E114">
        <v>591.21600000000001</v>
      </c>
      <c r="F114">
        <v>20</v>
      </c>
      <c r="G114">
        <f t="shared" si="6"/>
        <v>5</v>
      </c>
      <c r="H114">
        <f>SUMIF(OrderDetailsCustomers!$M$2:$M$2158,A114,OrderDetailsCustomers!$W$2:$W$2158)</f>
        <v>7390.2</v>
      </c>
      <c r="J114">
        <f t="shared" si="4"/>
        <v>5</v>
      </c>
      <c r="K114">
        <f>SUMIF(OrderDetailsCustomers!$M$2:$M$2158,'Order Header'!A114,OrderDetailsCustomers!$W$2:$W$2158)</f>
        <v>7390.2</v>
      </c>
      <c r="L114" s="11">
        <f t="shared" si="5"/>
        <v>5</v>
      </c>
    </row>
    <row r="115" spans="1:12" x14ac:dyDescent="0.4">
      <c r="A115">
        <v>10361</v>
      </c>
      <c r="B115" s="4">
        <v>34691</v>
      </c>
      <c r="C115" t="s">
        <v>475</v>
      </c>
      <c r="D115" s="1" t="s">
        <v>777</v>
      </c>
      <c r="E115">
        <v>163.69920000000002</v>
      </c>
      <c r="F115">
        <v>20</v>
      </c>
      <c r="G115">
        <f t="shared" si="6"/>
        <v>4</v>
      </c>
      <c r="H115">
        <f>SUMIF(OrderDetailsCustomers!$M$2:$M$2158,A115,OrderDetailsCustomers!$W$2:$W$2158)</f>
        <v>2046.2400000000002</v>
      </c>
      <c r="J115">
        <f t="shared" si="4"/>
        <v>4</v>
      </c>
      <c r="K115">
        <f>SUMIF(OrderDetailsCustomers!$M$2:$M$2158,'Order Header'!A115,OrderDetailsCustomers!$W$2:$W$2158)</f>
        <v>2046.2400000000002</v>
      </c>
      <c r="L115" s="11">
        <f t="shared" si="5"/>
        <v>4</v>
      </c>
    </row>
    <row r="116" spans="1:12" x14ac:dyDescent="0.4">
      <c r="A116">
        <v>10362</v>
      </c>
      <c r="B116" s="4">
        <v>34694</v>
      </c>
      <c r="C116" t="s">
        <v>77</v>
      </c>
      <c r="D116" s="1" t="s">
        <v>776</v>
      </c>
      <c r="E116">
        <v>123.96799999999999</v>
      </c>
      <c r="F116">
        <v>20</v>
      </c>
      <c r="G116">
        <f t="shared" si="6"/>
        <v>3</v>
      </c>
      <c r="H116">
        <f>SUMIF(OrderDetailsCustomers!$M$2:$M$2158,A116,OrderDetailsCustomers!$W$2:$W$2158)</f>
        <v>1549.6</v>
      </c>
      <c r="J116">
        <f t="shared" si="4"/>
        <v>3</v>
      </c>
      <c r="K116">
        <f>SUMIF(OrderDetailsCustomers!$M$2:$M$2158,'Order Header'!A116,OrderDetailsCustomers!$W$2:$W$2158)</f>
        <v>1549.6</v>
      </c>
      <c r="L116" s="11">
        <f t="shared" si="5"/>
        <v>3</v>
      </c>
    </row>
    <row r="117" spans="1:12" x14ac:dyDescent="0.4">
      <c r="A117">
        <v>10363</v>
      </c>
      <c r="B117" s="4">
        <v>34695</v>
      </c>
      <c r="C117" t="s">
        <v>140</v>
      </c>
      <c r="D117" s="1" t="s">
        <v>781</v>
      </c>
      <c r="E117">
        <v>35.776000000000003</v>
      </c>
      <c r="F117">
        <v>10</v>
      </c>
      <c r="G117">
        <f t="shared" si="6"/>
        <v>2</v>
      </c>
      <c r="H117">
        <f>SUMIF(OrderDetailsCustomers!$M$2:$M$2158,A117,OrderDetailsCustomers!$W$2:$W$2158)</f>
        <v>447.2</v>
      </c>
      <c r="J117">
        <f t="shared" si="4"/>
        <v>2</v>
      </c>
      <c r="K117">
        <f>SUMIF(OrderDetailsCustomers!$M$2:$M$2158,'Order Header'!A117,OrderDetailsCustomers!$W$2:$W$2158)</f>
        <v>447.2</v>
      </c>
      <c r="L117" s="11">
        <f t="shared" si="5"/>
        <v>2</v>
      </c>
    </row>
    <row r="118" spans="1:12" x14ac:dyDescent="0.4">
      <c r="A118">
        <v>10364</v>
      </c>
      <c r="B118" s="4">
        <v>34695</v>
      </c>
      <c r="C118" t="s">
        <v>154</v>
      </c>
      <c r="D118" s="1" t="s">
        <v>766</v>
      </c>
      <c r="E118">
        <v>76</v>
      </c>
      <c r="F118">
        <v>15</v>
      </c>
      <c r="G118">
        <f t="shared" si="6"/>
        <v>3</v>
      </c>
      <c r="H118">
        <f>SUMIF(OrderDetailsCustomers!$M$2:$M$2158,A118,OrderDetailsCustomers!$W$2:$W$2158)</f>
        <v>950</v>
      </c>
      <c r="J118">
        <f t="shared" si="4"/>
        <v>3</v>
      </c>
      <c r="K118">
        <f>SUMIF(OrderDetailsCustomers!$M$2:$M$2158,'Order Header'!A118,OrderDetailsCustomers!$W$2:$W$2158)</f>
        <v>950</v>
      </c>
      <c r="L118" s="11">
        <f t="shared" si="5"/>
        <v>3</v>
      </c>
    </row>
    <row r="119" spans="1:12" x14ac:dyDescent="0.4">
      <c r="A119">
        <v>10365</v>
      </c>
      <c r="B119" s="4">
        <v>34696</v>
      </c>
      <c r="C119" t="s">
        <v>29</v>
      </c>
      <c r="D119" s="1" t="s">
        <v>777</v>
      </c>
      <c r="E119">
        <v>32.256000000000007</v>
      </c>
      <c r="F119">
        <v>10</v>
      </c>
      <c r="G119">
        <f t="shared" si="6"/>
        <v>2</v>
      </c>
      <c r="H119">
        <f>SUMIF(OrderDetailsCustomers!$M$2:$M$2158,A119,OrderDetailsCustomers!$W$2:$W$2158)</f>
        <v>403.20000000000005</v>
      </c>
      <c r="J119">
        <f t="shared" si="4"/>
        <v>2</v>
      </c>
      <c r="K119">
        <f>SUMIF(OrderDetailsCustomers!$M$2:$M$2158,'Order Header'!A119,OrderDetailsCustomers!$W$2:$W$2158)</f>
        <v>403.20000000000005</v>
      </c>
      <c r="L119" s="11">
        <f t="shared" si="5"/>
        <v>2</v>
      </c>
    </row>
    <row r="120" spans="1:12" x14ac:dyDescent="0.4">
      <c r="A120">
        <v>10366</v>
      </c>
      <c r="B120" s="4">
        <v>34697</v>
      </c>
      <c r="C120" t="s">
        <v>227</v>
      </c>
      <c r="D120" s="1" t="s">
        <v>776</v>
      </c>
      <c r="E120">
        <v>10.88</v>
      </c>
      <c r="F120">
        <v>10</v>
      </c>
      <c r="G120">
        <f t="shared" si="6"/>
        <v>2</v>
      </c>
      <c r="H120">
        <f>SUMIF(OrderDetailsCustomers!$M$2:$M$2158,A120,OrderDetailsCustomers!$W$2:$W$2158)</f>
        <v>136</v>
      </c>
      <c r="J120">
        <f t="shared" si="4"/>
        <v>2</v>
      </c>
      <c r="K120">
        <f>SUMIF(OrderDetailsCustomers!$M$2:$M$2158,'Order Header'!A120,OrderDetailsCustomers!$W$2:$W$2158)</f>
        <v>136</v>
      </c>
      <c r="L120" s="11">
        <f t="shared" si="5"/>
        <v>2</v>
      </c>
    </row>
    <row r="121" spans="1:12" x14ac:dyDescent="0.4">
      <c r="A121">
        <v>10367</v>
      </c>
      <c r="B121" s="4">
        <v>34697</v>
      </c>
      <c r="C121" t="s">
        <v>612</v>
      </c>
      <c r="D121" s="1" t="s">
        <v>777</v>
      </c>
      <c r="E121">
        <v>66.73599999999999</v>
      </c>
      <c r="F121">
        <v>15</v>
      </c>
      <c r="G121">
        <f t="shared" si="6"/>
        <v>3</v>
      </c>
      <c r="H121">
        <f>SUMIF(OrderDetailsCustomers!$M$2:$M$2158,A121,OrderDetailsCustomers!$W$2:$W$2158)</f>
        <v>834.19999999999993</v>
      </c>
      <c r="J121">
        <f t="shared" si="4"/>
        <v>3</v>
      </c>
      <c r="K121">
        <f>SUMIF(OrderDetailsCustomers!$M$2:$M$2158,'Order Header'!A121,OrderDetailsCustomers!$W$2:$W$2158)</f>
        <v>834.19999999999993</v>
      </c>
      <c r="L121" s="11">
        <f t="shared" si="5"/>
        <v>3</v>
      </c>
    </row>
    <row r="122" spans="1:12" x14ac:dyDescent="0.4">
      <c r="A122">
        <v>10368</v>
      </c>
      <c r="B122" s="4">
        <v>34698</v>
      </c>
      <c r="C122" t="s">
        <v>161</v>
      </c>
      <c r="D122" s="1" t="s">
        <v>772</v>
      </c>
      <c r="E122">
        <v>135.1824</v>
      </c>
      <c r="F122">
        <v>20</v>
      </c>
      <c r="G122">
        <f t="shared" si="6"/>
        <v>3</v>
      </c>
      <c r="H122">
        <f>SUMIF(OrderDetailsCustomers!$M$2:$M$2158,A122,OrderDetailsCustomers!$W$2:$W$2158)</f>
        <v>1689.78</v>
      </c>
      <c r="J122">
        <f t="shared" si="4"/>
        <v>3</v>
      </c>
      <c r="K122">
        <f>SUMIF(OrderDetailsCustomers!$M$2:$M$2158,'Order Header'!A122,OrderDetailsCustomers!$W$2:$W$2158)</f>
        <v>1689.78</v>
      </c>
      <c r="L122" s="11">
        <f t="shared" si="5"/>
        <v>3</v>
      </c>
    </row>
    <row r="123" spans="1:12" x14ac:dyDescent="0.4">
      <c r="A123">
        <v>10369</v>
      </c>
      <c r="B123" s="4">
        <v>34701</v>
      </c>
      <c r="C123" t="s">
        <v>557</v>
      </c>
      <c r="D123" s="1" t="s">
        <v>771</v>
      </c>
      <c r="E123">
        <v>191.232</v>
      </c>
      <c r="F123">
        <v>20</v>
      </c>
      <c r="G123">
        <f t="shared" si="6"/>
        <v>4</v>
      </c>
      <c r="H123">
        <f>SUMIF(OrderDetailsCustomers!$M$2:$M$2158,A123,OrderDetailsCustomers!$W$2:$W$2158)</f>
        <v>2390.4</v>
      </c>
      <c r="J123">
        <f t="shared" si="4"/>
        <v>4</v>
      </c>
      <c r="K123">
        <f>SUMIF(OrderDetailsCustomers!$M$2:$M$2158,'Order Header'!A123,OrderDetailsCustomers!$W$2:$W$2158)</f>
        <v>2390.4</v>
      </c>
      <c r="L123" s="11">
        <f t="shared" si="5"/>
        <v>4</v>
      </c>
    </row>
    <row r="124" spans="1:12" x14ac:dyDescent="0.4">
      <c r="A124">
        <v>10370</v>
      </c>
      <c r="B124" s="4">
        <v>34702</v>
      </c>
      <c r="C124" t="s">
        <v>116</v>
      </c>
      <c r="D124" s="1" t="s">
        <v>767</v>
      </c>
      <c r="E124">
        <v>89.408000000000001</v>
      </c>
      <c r="F124">
        <v>20</v>
      </c>
      <c r="G124">
        <f t="shared" si="6"/>
        <v>3</v>
      </c>
      <c r="H124">
        <f>SUMIF(OrderDetailsCustomers!$M$2:$M$2158,A124,OrderDetailsCustomers!$W$2:$W$2158)</f>
        <v>1117.5999999999999</v>
      </c>
      <c r="J124">
        <f t="shared" si="4"/>
        <v>3</v>
      </c>
      <c r="K124">
        <f>SUMIF(OrderDetailsCustomers!$M$2:$M$2158,'Order Header'!A124,OrderDetailsCustomers!$W$2:$W$2158)</f>
        <v>1117.5999999999999</v>
      </c>
      <c r="L124" s="11">
        <f t="shared" si="5"/>
        <v>3</v>
      </c>
    </row>
    <row r="125" spans="1:12" x14ac:dyDescent="0.4">
      <c r="A125">
        <v>10371</v>
      </c>
      <c r="B125" s="4">
        <v>34702</v>
      </c>
      <c r="C125" t="s">
        <v>318</v>
      </c>
      <c r="D125" s="1" t="s">
        <v>774</v>
      </c>
      <c r="E125">
        <v>5.8367999999999993</v>
      </c>
      <c r="F125">
        <v>10</v>
      </c>
      <c r="G125">
        <f t="shared" si="6"/>
        <v>1</v>
      </c>
      <c r="H125">
        <f>SUMIF(OrderDetailsCustomers!$M$2:$M$2158,A125,OrderDetailsCustomers!$W$2:$W$2158)</f>
        <v>72.959999999999994</v>
      </c>
      <c r="J125">
        <f t="shared" si="4"/>
        <v>1</v>
      </c>
      <c r="K125">
        <f>SUMIF(OrderDetailsCustomers!$M$2:$M$2158,'Order Header'!A125,OrderDetailsCustomers!$W$2:$W$2158)</f>
        <v>72.959999999999994</v>
      </c>
      <c r="L125" s="11">
        <f t="shared" si="5"/>
        <v>1</v>
      </c>
    </row>
    <row r="126" spans="1:12" x14ac:dyDescent="0.4">
      <c r="A126">
        <v>10372</v>
      </c>
      <c r="B126" s="4">
        <v>34703</v>
      </c>
      <c r="C126" t="s">
        <v>469</v>
      </c>
      <c r="D126" s="1" t="s">
        <v>783</v>
      </c>
      <c r="E126">
        <v>736.87200000000018</v>
      </c>
      <c r="F126">
        <v>20</v>
      </c>
      <c r="G126">
        <f t="shared" si="6"/>
        <v>5</v>
      </c>
      <c r="H126">
        <f>SUMIF(OrderDetailsCustomers!$M$2:$M$2158,A126,OrderDetailsCustomers!$W$2:$W$2158)</f>
        <v>9210.9000000000015</v>
      </c>
      <c r="J126">
        <f t="shared" si="4"/>
        <v>5</v>
      </c>
      <c r="K126">
        <f>SUMIF(OrderDetailsCustomers!$M$2:$M$2158,'Order Header'!A126,OrderDetailsCustomers!$W$2:$W$2158)</f>
        <v>9210.9000000000015</v>
      </c>
      <c r="L126" s="11">
        <f t="shared" si="5"/>
        <v>5</v>
      </c>
    </row>
    <row r="127" spans="1:12" x14ac:dyDescent="0.4">
      <c r="A127">
        <v>10373</v>
      </c>
      <c r="B127" s="4">
        <v>34704</v>
      </c>
      <c r="C127" t="s">
        <v>288</v>
      </c>
      <c r="D127" s="1" t="s">
        <v>781</v>
      </c>
      <c r="E127">
        <v>109.31200000000001</v>
      </c>
      <c r="F127">
        <v>20</v>
      </c>
      <c r="G127">
        <f t="shared" si="6"/>
        <v>3</v>
      </c>
      <c r="H127">
        <f>SUMIF(OrderDetailsCustomers!$M$2:$M$2158,A127,OrderDetailsCustomers!$W$2:$W$2158)</f>
        <v>1366.4</v>
      </c>
      <c r="J127">
        <f t="shared" si="4"/>
        <v>3</v>
      </c>
      <c r="K127">
        <f>SUMIF(OrderDetailsCustomers!$M$2:$M$2158,'Order Header'!A127,OrderDetailsCustomers!$W$2:$W$2158)</f>
        <v>1366.4</v>
      </c>
      <c r="L127" s="11">
        <f t="shared" si="5"/>
        <v>3</v>
      </c>
    </row>
    <row r="128" spans="1:12" x14ac:dyDescent="0.4">
      <c r="A128">
        <v>10374</v>
      </c>
      <c r="B128" s="4">
        <v>34704</v>
      </c>
      <c r="C128" t="s">
        <v>668</v>
      </c>
      <c r="D128" s="1" t="s">
        <v>780</v>
      </c>
      <c r="E128">
        <v>36.72</v>
      </c>
      <c r="F128">
        <v>10</v>
      </c>
      <c r="G128">
        <f t="shared" si="6"/>
        <v>2</v>
      </c>
      <c r="H128">
        <f>SUMIF(OrderDetailsCustomers!$M$2:$M$2158,A128,OrderDetailsCustomers!$W$2:$W$2158)</f>
        <v>459</v>
      </c>
      <c r="J128">
        <f t="shared" si="4"/>
        <v>2</v>
      </c>
      <c r="K128">
        <f>SUMIF(OrderDetailsCustomers!$M$2:$M$2158,'Order Header'!A128,OrderDetailsCustomers!$W$2:$W$2158)</f>
        <v>459</v>
      </c>
      <c r="L128" s="11">
        <f t="shared" si="5"/>
        <v>2</v>
      </c>
    </row>
    <row r="129" spans="1:12" x14ac:dyDescent="0.4">
      <c r="A129">
        <v>10375</v>
      </c>
      <c r="B129" s="4">
        <v>34705</v>
      </c>
      <c r="C129" t="s">
        <v>281</v>
      </c>
      <c r="D129" s="1" t="s">
        <v>769</v>
      </c>
      <c r="E129">
        <v>27.04</v>
      </c>
      <c r="F129">
        <v>10</v>
      </c>
      <c r="G129">
        <f t="shared" si="6"/>
        <v>2</v>
      </c>
      <c r="H129">
        <f>SUMIF(OrderDetailsCustomers!$M$2:$M$2158,A129,OrderDetailsCustomers!$W$2:$W$2158)</f>
        <v>338</v>
      </c>
      <c r="J129">
        <f t="shared" si="4"/>
        <v>2</v>
      </c>
      <c r="K129">
        <f>SUMIF(OrderDetailsCustomers!$M$2:$M$2158,'Order Header'!A129,OrderDetailsCustomers!$W$2:$W$2158)</f>
        <v>338</v>
      </c>
      <c r="L129" s="11">
        <f t="shared" si="5"/>
        <v>2</v>
      </c>
    </row>
    <row r="130" spans="1:12" x14ac:dyDescent="0.4">
      <c r="A130">
        <v>10376</v>
      </c>
      <c r="B130" s="4">
        <v>34708</v>
      </c>
      <c r="C130" t="s">
        <v>394</v>
      </c>
      <c r="D130" s="1" t="s">
        <v>780</v>
      </c>
      <c r="E130">
        <v>31.92</v>
      </c>
      <c r="F130">
        <v>10</v>
      </c>
      <c r="G130">
        <f t="shared" si="6"/>
        <v>2</v>
      </c>
      <c r="H130">
        <f>SUMIF(OrderDetailsCustomers!$M$2:$M$2158,A130,OrderDetailsCustomers!$W$2:$W$2158)</f>
        <v>399</v>
      </c>
      <c r="J130">
        <f t="shared" si="4"/>
        <v>2</v>
      </c>
      <c r="K130">
        <f>SUMIF(OrderDetailsCustomers!$M$2:$M$2158,'Order Header'!A130,OrderDetailsCustomers!$W$2:$W$2158)</f>
        <v>399</v>
      </c>
      <c r="L130" s="11">
        <f t="shared" si="5"/>
        <v>2</v>
      </c>
    </row>
    <row r="131" spans="1:12" x14ac:dyDescent="0.4">
      <c r="A131">
        <v>10377</v>
      </c>
      <c r="B131" s="4">
        <v>34708</v>
      </c>
      <c r="C131" t="s">
        <v>536</v>
      </c>
      <c r="D131" s="1" t="s">
        <v>778</v>
      </c>
      <c r="E131">
        <v>69.087999999999994</v>
      </c>
      <c r="F131">
        <v>15</v>
      </c>
      <c r="G131">
        <f t="shared" si="6"/>
        <v>3</v>
      </c>
      <c r="H131">
        <f>SUMIF(OrderDetailsCustomers!$M$2:$M$2158,A131,OrderDetailsCustomers!$W$2:$W$2158)</f>
        <v>863.59999999999991</v>
      </c>
      <c r="J131">
        <f t="shared" ref="J131:J194" si="7">VLOOKUP(E131,$T$1:$U$7,2,TRUE)</f>
        <v>3</v>
      </c>
      <c r="K131">
        <f>SUMIF(OrderDetailsCustomers!$M$2:$M$2158,'Order Header'!A131,OrderDetailsCustomers!$W$2:$W$2158)</f>
        <v>863.59999999999991</v>
      </c>
      <c r="L131" s="11">
        <f t="shared" ref="L131:L194" si="8">VLOOKUP(E131,$T$1:$U$7,2,TRUE)</f>
        <v>3</v>
      </c>
    </row>
    <row r="132" spans="1:12" x14ac:dyDescent="0.4">
      <c r="A132">
        <v>10378</v>
      </c>
      <c r="B132" s="4">
        <v>34709</v>
      </c>
      <c r="C132" t="s">
        <v>191</v>
      </c>
      <c r="D132" s="1" t="s">
        <v>768</v>
      </c>
      <c r="E132">
        <v>8.2559999999999985</v>
      </c>
      <c r="F132">
        <v>10</v>
      </c>
      <c r="G132">
        <f t="shared" si="6"/>
        <v>1</v>
      </c>
      <c r="H132">
        <f>SUMIF(OrderDetailsCustomers!$M$2:$M$2158,A132,OrderDetailsCustomers!$W$2:$W$2158)</f>
        <v>103.19999999999999</v>
      </c>
      <c r="J132">
        <f t="shared" si="7"/>
        <v>1</v>
      </c>
      <c r="K132">
        <f>SUMIF(OrderDetailsCustomers!$M$2:$M$2158,'Order Header'!A132,OrderDetailsCustomers!$W$2:$W$2158)</f>
        <v>103.19999999999999</v>
      </c>
      <c r="L132" s="11">
        <f t="shared" si="8"/>
        <v>1</v>
      </c>
    </row>
    <row r="133" spans="1:12" x14ac:dyDescent="0.4">
      <c r="A133">
        <v>10379</v>
      </c>
      <c r="B133" s="4">
        <v>34710</v>
      </c>
      <c r="C133" t="s">
        <v>462</v>
      </c>
      <c r="D133" s="1" t="s">
        <v>774</v>
      </c>
      <c r="E133">
        <v>69.062400000000011</v>
      </c>
      <c r="F133">
        <v>15</v>
      </c>
      <c r="G133">
        <f t="shared" si="6"/>
        <v>3</v>
      </c>
      <c r="H133">
        <f>SUMIF(OrderDetailsCustomers!$M$2:$M$2158,A133,OrderDetailsCustomers!$W$2:$W$2158)</f>
        <v>863.2800000000002</v>
      </c>
      <c r="J133">
        <f t="shared" si="7"/>
        <v>3</v>
      </c>
      <c r="K133">
        <f>SUMIF(OrderDetailsCustomers!$M$2:$M$2158,'Order Header'!A133,OrderDetailsCustomers!$W$2:$W$2158)</f>
        <v>863.2800000000002</v>
      </c>
      <c r="L133" s="11">
        <f t="shared" si="8"/>
        <v>3</v>
      </c>
    </row>
    <row r="134" spans="1:12" x14ac:dyDescent="0.4">
      <c r="A134">
        <v>10380</v>
      </c>
      <c r="B134" s="4">
        <v>34711</v>
      </c>
      <c r="C134" t="s">
        <v>288</v>
      </c>
      <c r="D134" s="1" t="s">
        <v>781</v>
      </c>
      <c r="E134">
        <v>105.10560000000001</v>
      </c>
      <c r="F134">
        <v>20</v>
      </c>
      <c r="G134">
        <f t="shared" si="6"/>
        <v>3</v>
      </c>
      <c r="H134">
        <f>SUMIF(OrderDetailsCustomers!$M$2:$M$2158,A134,OrderDetailsCustomers!$W$2:$W$2158)</f>
        <v>1313.8200000000002</v>
      </c>
      <c r="J134">
        <f t="shared" si="7"/>
        <v>3</v>
      </c>
      <c r="K134">
        <f>SUMIF(OrderDetailsCustomers!$M$2:$M$2158,'Order Header'!A134,OrderDetailsCustomers!$W$2:$W$2158)</f>
        <v>1313.8200000000002</v>
      </c>
      <c r="L134" s="11">
        <f t="shared" si="8"/>
        <v>3</v>
      </c>
    </row>
    <row r="135" spans="1:12" x14ac:dyDescent="0.4">
      <c r="A135">
        <v>10381</v>
      </c>
      <c r="B135" s="4">
        <v>34711</v>
      </c>
      <c r="C135" t="s">
        <v>355</v>
      </c>
      <c r="D135" s="1" t="s">
        <v>779</v>
      </c>
      <c r="E135">
        <v>8.9600000000000009</v>
      </c>
      <c r="F135">
        <v>10</v>
      </c>
      <c r="G135">
        <f t="shared" si="6"/>
        <v>1</v>
      </c>
      <c r="H135">
        <f>SUMIF(OrderDetailsCustomers!$M$2:$M$2158,A135,OrderDetailsCustomers!$W$2:$W$2158)</f>
        <v>112</v>
      </c>
      <c r="J135">
        <f t="shared" si="7"/>
        <v>1</v>
      </c>
      <c r="K135">
        <f>SUMIF(OrderDetailsCustomers!$M$2:$M$2158,'Order Header'!A135,OrderDetailsCustomers!$W$2:$W$2158)</f>
        <v>112</v>
      </c>
      <c r="L135" s="11">
        <f t="shared" si="8"/>
        <v>1</v>
      </c>
    </row>
    <row r="136" spans="1:12" x14ac:dyDescent="0.4">
      <c r="A136">
        <v>10382</v>
      </c>
      <c r="B136" s="4">
        <v>34712</v>
      </c>
      <c r="C136" t="s">
        <v>161</v>
      </c>
      <c r="D136" s="1" t="s">
        <v>772</v>
      </c>
      <c r="E136">
        <v>232</v>
      </c>
      <c r="F136">
        <v>20</v>
      </c>
      <c r="G136">
        <f t="shared" si="6"/>
        <v>4</v>
      </c>
      <c r="H136">
        <f>SUMIF(OrderDetailsCustomers!$M$2:$M$2158,A136,OrderDetailsCustomers!$W$2:$W$2158)</f>
        <v>2900</v>
      </c>
      <c r="J136">
        <f t="shared" si="7"/>
        <v>4</v>
      </c>
      <c r="K136">
        <f>SUMIF(OrderDetailsCustomers!$M$2:$M$2158,'Order Header'!A136,OrderDetailsCustomers!$W$2:$W$2158)</f>
        <v>2900</v>
      </c>
      <c r="L136" s="11">
        <f t="shared" si="8"/>
        <v>4</v>
      </c>
    </row>
    <row r="137" spans="1:12" x14ac:dyDescent="0.4">
      <c r="A137">
        <v>10383</v>
      </c>
      <c r="B137" s="4">
        <v>34715</v>
      </c>
      <c r="C137" t="s">
        <v>34</v>
      </c>
      <c r="D137" s="1" t="s">
        <v>768</v>
      </c>
      <c r="E137">
        <v>71.92</v>
      </c>
      <c r="F137">
        <v>15</v>
      </c>
      <c r="G137">
        <f t="shared" si="6"/>
        <v>3</v>
      </c>
      <c r="H137">
        <f>SUMIF(OrderDetailsCustomers!$M$2:$M$2158,A137,OrderDetailsCustomers!$W$2:$W$2158)</f>
        <v>899</v>
      </c>
      <c r="J137">
        <f t="shared" si="7"/>
        <v>3</v>
      </c>
      <c r="K137">
        <f>SUMIF(OrderDetailsCustomers!$M$2:$M$2158,'Order Header'!A137,OrderDetailsCustomers!$W$2:$W$2158)</f>
        <v>899</v>
      </c>
      <c r="L137" s="11">
        <f t="shared" si="8"/>
        <v>3</v>
      </c>
    </row>
    <row r="138" spans="1:12" x14ac:dyDescent="0.4">
      <c r="A138">
        <v>10384</v>
      </c>
      <c r="B138" s="4">
        <v>34715</v>
      </c>
      <c r="C138" t="s">
        <v>43</v>
      </c>
      <c r="D138" s="1" t="s">
        <v>765</v>
      </c>
      <c r="E138">
        <v>177.79199999999997</v>
      </c>
      <c r="F138">
        <v>20</v>
      </c>
      <c r="G138">
        <f t="shared" si="6"/>
        <v>4</v>
      </c>
      <c r="H138">
        <f>SUMIF(OrderDetailsCustomers!$M$2:$M$2158,A138,OrderDetailsCustomers!$W$2:$W$2158)</f>
        <v>2222.3999999999996</v>
      </c>
      <c r="J138">
        <f t="shared" si="7"/>
        <v>4</v>
      </c>
      <c r="K138">
        <f>SUMIF(OrderDetailsCustomers!$M$2:$M$2158,'Order Header'!A138,OrderDetailsCustomers!$W$2:$W$2158)</f>
        <v>2222.3999999999996</v>
      </c>
      <c r="L138" s="11">
        <f t="shared" si="8"/>
        <v>4</v>
      </c>
    </row>
    <row r="139" spans="1:12" x14ac:dyDescent="0.4">
      <c r="A139">
        <v>10385</v>
      </c>
      <c r="B139" s="4">
        <v>34716</v>
      </c>
      <c r="C139" t="s">
        <v>557</v>
      </c>
      <c r="D139" s="1" t="s">
        <v>771</v>
      </c>
      <c r="E139">
        <v>55.296000000000006</v>
      </c>
      <c r="F139">
        <v>15</v>
      </c>
      <c r="G139">
        <f t="shared" si="6"/>
        <v>3</v>
      </c>
      <c r="H139">
        <f>SUMIF(OrderDetailsCustomers!$M$2:$M$2158,A139,OrderDetailsCustomers!$W$2:$W$2158)</f>
        <v>691.2</v>
      </c>
      <c r="J139">
        <f t="shared" si="7"/>
        <v>3</v>
      </c>
      <c r="K139">
        <f>SUMIF(OrderDetailsCustomers!$M$2:$M$2158,'Order Header'!A139,OrderDetailsCustomers!$W$2:$W$2158)</f>
        <v>691.2</v>
      </c>
      <c r="L139" s="11">
        <f t="shared" si="8"/>
        <v>3</v>
      </c>
    </row>
    <row r="140" spans="1:12" x14ac:dyDescent="0.4">
      <c r="A140">
        <v>10386</v>
      </c>
      <c r="B140" s="4">
        <v>34717</v>
      </c>
      <c r="C140" t="s">
        <v>170</v>
      </c>
      <c r="D140" s="1" t="s">
        <v>774</v>
      </c>
      <c r="E140">
        <v>13.280000000000001</v>
      </c>
      <c r="F140">
        <v>10</v>
      </c>
      <c r="G140">
        <f t="shared" si="6"/>
        <v>2</v>
      </c>
      <c r="H140">
        <f>SUMIF(OrderDetailsCustomers!$M$2:$M$2158,A140,OrderDetailsCustomers!$W$2:$W$2158)</f>
        <v>166</v>
      </c>
      <c r="J140">
        <f t="shared" si="7"/>
        <v>2</v>
      </c>
      <c r="K140">
        <f>SUMIF(OrderDetailsCustomers!$M$2:$M$2158,'Order Header'!A140,OrderDetailsCustomers!$W$2:$W$2158)</f>
        <v>166</v>
      </c>
      <c r="L140" s="11">
        <f t="shared" si="8"/>
        <v>2</v>
      </c>
    </row>
    <row r="141" spans="1:12" x14ac:dyDescent="0.4">
      <c r="A141">
        <v>10387</v>
      </c>
      <c r="B141" s="4">
        <v>34717</v>
      </c>
      <c r="C141" t="s">
        <v>521</v>
      </c>
      <c r="D141" s="1" t="s">
        <v>782</v>
      </c>
      <c r="E141">
        <v>84.672000000000011</v>
      </c>
      <c r="F141">
        <v>20</v>
      </c>
      <c r="G141">
        <f t="shared" si="6"/>
        <v>3</v>
      </c>
      <c r="H141">
        <f>SUMIF(OrderDetailsCustomers!$M$2:$M$2158,A141,OrderDetailsCustomers!$W$2:$W$2158)</f>
        <v>1058.4000000000001</v>
      </c>
      <c r="J141">
        <f t="shared" si="7"/>
        <v>3</v>
      </c>
      <c r="K141">
        <f>SUMIF(OrderDetailsCustomers!$M$2:$M$2158,'Order Header'!A141,OrderDetailsCustomers!$W$2:$W$2158)</f>
        <v>1058.4000000000001</v>
      </c>
      <c r="L141" s="11">
        <f t="shared" si="8"/>
        <v>3</v>
      </c>
    </row>
    <row r="142" spans="1:12" x14ac:dyDescent="0.4">
      <c r="A142">
        <v>10388</v>
      </c>
      <c r="B142" s="4">
        <v>34718</v>
      </c>
      <c r="C142" t="s">
        <v>536</v>
      </c>
      <c r="D142" s="1" t="s">
        <v>778</v>
      </c>
      <c r="E142">
        <v>98.304000000000002</v>
      </c>
      <c r="F142">
        <v>20</v>
      </c>
      <c r="G142">
        <f t="shared" si="6"/>
        <v>3</v>
      </c>
      <c r="H142">
        <f>SUMIF(OrderDetailsCustomers!$M$2:$M$2158,A142,OrderDetailsCustomers!$W$2:$W$2158)</f>
        <v>1228.8</v>
      </c>
      <c r="J142">
        <f t="shared" si="7"/>
        <v>3</v>
      </c>
      <c r="K142">
        <f>SUMIF(OrderDetailsCustomers!$M$2:$M$2158,'Order Header'!A142,OrderDetailsCustomers!$W$2:$W$2158)</f>
        <v>1228.8</v>
      </c>
      <c r="L142" s="11">
        <f t="shared" si="8"/>
        <v>3</v>
      </c>
    </row>
    <row r="143" spans="1:12" x14ac:dyDescent="0.4">
      <c r="A143">
        <v>10389</v>
      </c>
      <c r="B143" s="4">
        <v>34719</v>
      </c>
      <c r="C143" t="s">
        <v>84</v>
      </c>
      <c r="D143" s="1" t="s">
        <v>782</v>
      </c>
      <c r="E143">
        <v>146.624</v>
      </c>
      <c r="F143">
        <v>20</v>
      </c>
      <c r="G143">
        <f t="shared" si="6"/>
        <v>3</v>
      </c>
      <c r="H143">
        <f>SUMIF(OrderDetailsCustomers!$M$2:$M$2158,A143,OrderDetailsCustomers!$W$2:$W$2158)</f>
        <v>1832.8</v>
      </c>
      <c r="J143">
        <f t="shared" si="7"/>
        <v>3</v>
      </c>
      <c r="K143">
        <f>SUMIF(OrderDetailsCustomers!$M$2:$M$2158,'Order Header'!A143,OrderDetailsCustomers!$W$2:$W$2158)</f>
        <v>1832.8</v>
      </c>
      <c r="L143" s="11">
        <f t="shared" si="8"/>
        <v>3</v>
      </c>
    </row>
    <row r="144" spans="1:12" x14ac:dyDescent="0.4">
      <c r="A144">
        <v>10390</v>
      </c>
      <c r="B144" s="4">
        <v>34722</v>
      </c>
      <c r="C144" t="s">
        <v>161</v>
      </c>
      <c r="D144" s="1" t="s">
        <v>772</v>
      </c>
      <c r="E144">
        <v>167.27040000000002</v>
      </c>
      <c r="F144">
        <v>20</v>
      </c>
      <c r="G144">
        <f t="shared" si="6"/>
        <v>4</v>
      </c>
      <c r="H144">
        <f>SUMIF(OrderDetailsCustomers!$M$2:$M$2158,A144,OrderDetailsCustomers!$W$2:$W$2158)</f>
        <v>2090.88</v>
      </c>
      <c r="J144">
        <f t="shared" si="7"/>
        <v>4</v>
      </c>
      <c r="K144">
        <f>SUMIF(OrderDetailsCustomers!$M$2:$M$2158,'Order Header'!A144,OrderDetailsCustomers!$W$2:$W$2158)</f>
        <v>2090.88</v>
      </c>
      <c r="L144" s="11">
        <f t="shared" si="8"/>
        <v>4</v>
      </c>
    </row>
    <row r="145" spans="1:12" x14ac:dyDescent="0.4">
      <c r="A145">
        <v>10391</v>
      </c>
      <c r="B145" s="4">
        <v>34722</v>
      </c>
      <c r="C145" t="s">
        <v>140</v>
      </c>
      <c r="D145" s="1" t="s">
        <v>781</v>
      </c>
      <c r="E145">
        <v>6.911999999999999</v>
      </c>
      <c r="F145">
        <v>10</v>
      </c>
      <c r="G145">
        <f t="shared" si="6"/>
        <v>1</v>
      </c>
      <c r="H145">
        <f>SUMIF(OrderDetailsCustomers!$M$2:$M$2158,A145,OrderDetailsCustomers!$W$2:$W$2158)</f>
        <v>86.399999999999991</v>
      </c>
      <c r="J145">
        <f t="shared" si="7"/>
        <v>1</v>
      </c>
      <c r="K145">
        <f>SUMIF(OrderDetailsCustomers!$M$2:$M$2158,'Order Header'!A145,OrderDetailsCustomers!$W$2:$W$2158)</f>
        <v>86.399999999999991</v>
      </c>
      <c r="L145" s="11">
        <f t="shared" si="8"/>
        <v>1</v>
      </c>
    </row>
    <row r="146" spans="1:12" x14ac:dyDescent="0.4">
      <c r="A146">
        <v>10392</v>
      </c>
      <c r="B146" s="4">
        <v>34723</v>
      </c>
      <c r="C146" t="s">
        <v>450</v>
      </c>
      <c r="D146" s="1" t="s">
        <v>766</v>
      </c>
      <c r="E146">
        <v>115.2</v>
      </c>
      <c r="F146">
        <v>20</v>
      </c>
      <c r="G146">
        <f t="shared" si="6"/>
        <v>3</v>
      </c>
      <c r="H146">
        <f>SUMIF(OrderDetailsCustomers!$M$2:$M$2158,A146,OrderDetailsCustomers!$W$2:$W$2158)</f>
        <v>1440</v>
      </c>
      <c r="J146">
        <f t="shared" si="7"/>
        <v>3</v>
      </c>
      <c r="K146">
        <f>SUMIF(OrderDetailsCustomers!$M$2:$M$2158,'Order Header'!A146,OrderDetailsCustomers!$W$2:$W$2158)</f>
        <v>1440</v>
      </c>
      <c r="L146" s="11">
        <f t="shared" si="8"/>
        <v>3</v>
      </c>
    </row>
    <row r="147" spans="1:12" x14ac:dyDescent="0.4">
      <c r="A147">
        <v>10393</v>
      </c>
      <c r="B147" s="4">
        <v>34724</v>
      </c>
      <c r="C147" t="s">
        <v>529</v>
      </c>
      <c r="D147" s="1" t="s">
        <v>780</v>
      </c>
      <c r="E147">
        <v>204.55599999999998</v>
      </c>
      <c r="F147">
        <v>20</v>
      </c>
      <c r="G147">
        <f t="shared" si="6"/>
        <v>4</v>
      </c>
      <c r="H147">
        <f>SUMIF(OrderDetailsCustomers!$M$2:$M$2158,A147,OrderDetailsCustomers!$W$2:$W$2158)</f>
        <v>2556.9499999999998</v>
      </c>
      <c r="J147">
        <f t="shared" si="7"/>
        <v>4</v>
      </c>
      <c r="K147">
        <f>SUMIF(OrderDetailsCustomers!$M$2:$M$2158,'Order Header'!A147,OrderDetailsCustomers!$W$2:$W$2158)</f>
        <v>2556.9499999999998</v>
      </c>
      <c r="L147" s="11">
        <f t="shared" si="8"/>
        <v>4</v>
      </c>
    </row>
    <row r="148" spans="1:12" x14ac:dyDescent="0.4">
      <c r="A148">
        <v>10394</v>
      </c>
      <c r="B148" s="4">
        <v>34724</v>
      </c>
      <c r="C148" t="s">
        <v>281</v>
      </c>
      <c r="D148" s="1" t="s">
        <v>769</v>
      </c>
      <c r="E148">
        <v>35.36</v>
      </c>
      <c r="F148">
        <v>10</v>
      </c>
      <c r="G148">
        <f t="shared" si="6"/>
        <v>2</v>
      </c>
      <c r="H148">
        <f>SUMIF(OrderDetailsCustomers!$M$2:$M$2158,A148,OrderDetailsCustomers!$W$2:$W$2158)</f>
        <v>442</v>
      </c>
      <c r="J148">
        <f t="shared" si="7"/>
        <v>2</v>
      </c>
      <c r="K148">
        <f>SUMIF(OrderDetailsCustomers!$M$2:$M$2158,'Order Header'!A148,OrderDetailsCustomers!$W$2:$W$2158)</f>
        <v>442</v>
      </c>
      <c r="L148" s="11">
        <f t="shared" si="8"/>
        <v>2</v>
      </c>
    </row>
    <row r="149" spans="1:12" x14ac:dyDescent="0.4">
      <c r="A149">
        <v>10395</v>
      </c>
      <c r="B149" s="4">
        <v>34725</v>
      </c>
      <c r="C149" t="s">
        <v>273</v>
      </c>
      <c r="D149" s="1" t="s">
        <v>771</v>
      </c>
      <c r="E149">
        <v>169.83360000000002</v>
      </c>
      <c r="F149">
        <v>20</v>
      </c>
      <c r="G149">
        <f t="shared" ref="G149:G212" si="9">VLOOKUP(E149,$T$1:$U$7,2,TRUE)</f>
        <v>4</v>
      </c>
      <c r="H149">
        <f>SUMIF(OrderDetailsCustomers!$M$2:$M$2158,A149,OrderDetailsCustomers!$W$2:$W$2158)</f>
        <v>2122.92</v>
      </c>
      <c r="J149">
        <f t="shared" si="7"/>
        <v>4</v>
      </c>
      <c r="K149">
        <f>SUMIF(OrderDetailsCustomers!$M$2:$M$2158,'Order Header'!A149,OrderDetailsCustomers!$W$2:$W$2158)</f>
        <v>2122.92</v>
      </c>
      <c r="L149" s="11">
        <f t="shared" si="8"/>
        <v>4</v>
      </c>
    </row>
    <row r="150" spans="1:12" x14ac:dyDescent="0.4">
      <c r="A150">
        <v>10396</v>
      </c>
      <c r="B150" s="4">
        <v>34726</v>
      </c>
      <c r="C150" t="s">
        <v>198</v>
      </c>
      <c r="D150" s="1" t="s">
        <v>765</v>
      </c>
      <c r="E150">
        <v>152.30400000000003</v>
      </c>
      <c r="F150">
        <v>20</v>
      </c>
      <c r="G150">
        <f t="shared" si="9"/>
        <v>4</v>
      </c>
      <c r="H150">
        <f>SUMIF(OrderDetailsCustomers!$M$2:$M$2158,A150,OrderDetailsCustomers!$W$2:$W$2158)</f>
        <v>1903.8000000000002</v>
      </c>
      <c r="J150">
        <f t="shared" si="7"/>
        <v>4</v>
      </c>
      <c r="K150">
        <f>SUMIF(OrderDetailsCustomers!$M$2:$M$2158,'Order Header'!A150,OrderDetailsCustomers!$W$2:$W$2158)</f>
        <v>1903.8000000000002</v>
      </c>
      <c r="L150" s="11">
        <f t="shared" si="8"/>
        <v>4</v>
      </c>
    </row>
    <row r="151" spans="1:12" x14ac:dyDescent="0.4">
      <c r="A151">
        <v>10397</v>
      </c>
      <c r="B151" s="4">
        <v>34726</v>
      </c>
      <c r="C151" t="s">
        <v>457</v>
      </c>
      <c r="D151" s="1" t="s">
        <v>772</v>
      </c>
      <c r="E151">
        <v>57.337599999999995</v>
      </c>
      <c r="F151">
        <v>15</v>
      </c>
      <c r="G151">
        <f t="shared" si="9"/>
        <v>3</v>
      </c>
      <c r="H151">
        <f>SUMIF(OrderDetailsCustomers!$M$2:$M$2158,A151,OrderDetailsCustomers!$W$2:$W$2158)</f>
        <v>716.71999999999991</v>
      </c>
      <c r="J151">
        <f t="shared" si="7"/>
        <v>3</v>
      </c>
      <c r="K151">
        <f>SUMIF(OrderDetailsCustomers!$M$2:$M$2158,'Order Header'!A151,OrderDetailsCustomers!$W$2:$W$2158)</f>
        <v>716.71999999999991</v>
      </c>
      <c r="L151" s="11">
        <f t="shared" si="8"/>
        <v>3</v>
      </c>
    </row>
    <row r="152" spans="1:12" x14ac:dyDescent="0.4">
      <c r="A152">
        <v>10398</v>
      </c>
      <c r="B152" s="4">
        <v>34729</v>
      </c>
      <c r="C152" t="s">
        <v>529</v>
      </c>
      <c r="D152" s="1" t="s">
        <v>780</v>
      </c>
      <c r="E152">
        <v>200.44800000000001</v>
      </c>
      <c r="F152">
        <v>20</v>
      </c>
      <c r="G152">
        <f t="shared" si="9"/>
        <v>4</v>
      </c>
      <c r="H152">
        <f>SUMIF(OrderDetailsCustomers!$M$2:$M$2158,A152,OrderDetailsCustomers!$W$2:$W$2158)</f>
        <v>2505.6</v>
      </c>
      <c r="J152">
        <f t="shared" si="7"/>
        <v>4</v>
      </c>
      <c r="K152">
        <f>SUMIF(OrderDetailsCustomers!$M$2:$M$2158,'Order Header'!A152,OrderDetailsCustomers!$W$2:$W$2158)</f>
        <v>2505.6</v>
      </c>
      <c r="L152" s="11">
        <f t="shared" si="8"/>
        <v>4</v>
      </c>
    </row>
    <row r="153" spans="1:12" x14ac:dyDescent="0.4">
      <c r="A153">
        <v>10399</v>
      </c>
      <c r="B153" s="4">
        <v>34730</v>
      </c>
      <c r="C153" t="s">
        <v>612</v>
      </c>
      <c r="D153" s="1" t="s">
        <v>777</v>
      </c>
      <c r="E153">
        <v>141.24799999999999</v>
      </c>
      <c r="F153">
        <v>20</v>
      </c>
      <c r="G153">
        <f t="shared" si="9"/>
        <v>3</v>
      </c>
      <c r="H153">
        <f>SUMIF(OrderDetailsCustomers!$M$2:$M$2158,A153,OrderDetailsCustomers!$W$2:$W$2158)</f>
        <v>1765.6</v>
      </c>
      <c r="J153">
        <f t="shared" si="7"/>
        <v>3</v>
      </c>
      <c r="K153">
        <f>SUMIF(OrderDetailsCustomers!$M$2:$M$2158,'Order Header'!A153,OrderDetailsCustomers!$W$2:$W$2158)</f>
        <v>1765.6</v>
      </c>
      <c r="L153" s="11">
        <f t="shared" si="8"/>
        <v>3</v>
      </c>
    </row>
    <row r="154" spans="1:12" x14ac:dyDescent="0.4">
      <c r="A154">
        <v>10400</v>
      </c>
      <c r="B154" s="4">
        <v>34731</v>
      </c>
      <c r="C154" t="s">
        <v>154</v>
      </c>
      <c r="D154" s="1" t="s">
        <v>766</v>
      </c>
      <c r="E154">
        <v>245.04</v>
      </c>
      <c r="F154">
        <v>20</v>
      </c>
      <c r="G154">
        <f t="shared" si="9"/>
        <v>4</v>
      </c>
      <c r="H154">
        <f>SUMIF(OrderDetailsCustomers!$M$2:$M$2158,A154,OrderDetailsCustomers!$W$2:$W$2158)</f>
        <v>3063</v>
      </c>
      <c r="J154">
        <f t="shared" si="7"/>
        <v>4</v>
      </c>
      <c r="K154">
        <f>SUMIF(OrderDetailsCustomers!$M$2:$M$2158,'Order Header'!A154,OrderDetailsCustomers!$W$2:$W$2158)</f>
        <v>3063</v>
      </c>
      <c r="L154" s="11">
        <f t="shared" si="8"/>
        <v>4</v>
      </c>
    </row>
    <row r="155" spans="1:12" x14ac:dyDescent="0.4">
      <c r="A155">
        <v>10401</v>
      </c>
      <c r="B155" s="4">
        <v>34731</v>
      </c>
      <c r="C155" t="s">
        <v>487</v>
      </c>
      <c r="D155" s="1" t="s">
        <v>765</v>
      </c>
      <c r="E155">
        <v>309.488</v>
      </c>
      <c r="F155">
        <v>20</v>
      </c>
      <c r="G155">
        <f t="shared" si="9"/>
        <v>5</v>
      </c>
      <c r="H155">
        <f>SUMIF(OrderDetailsCustomers!$M$2:$M$2158,A155,OrderDetailsCustomers!$W$2:$W$2158)</f>
        <v>3868.6</v>
      </c>
      <c r="J155">
        <f t="shared" si="7"/>
        <v>5</v>
      </c>
      <c r="K155">
        <f>SUMIF(OrderDetailsCustomers!$M$2:$M$2158,'Order Header'!A155,OrderDetailsCustomers!$W$2:$W$2158)</f>
        <v>3868.6</v>
      </c>
      <c r="L155" s="11">
        <f t="shared" si="8"/>
        <v>5</v>
      </c>
    </row>
    <row r="156" spans="1:12" x14ac:dyDescent="0.4">
      <c r="A156">
        <v>10402</v>
      </c>
      <c r="B156" s="4">
        <v>34732</v>
      </c>
      <c r="C156" t="s">
        <v>161</v>
      </c>
      <c r="D156" s="1" t="s">
        <v>772</v>
      </c>
      <c r="E156">
        <v>217.08</v>
      </c>
      <c r="F156">
        <v>20</v>
      </c>
      <c r="G156">
        <f t="shared" si="9"/>
        <v>4</v>
      </c>
      <c r="H156">
        <f>SUMIF(OrderDetailsCustomers!$M$2:$M$2158,A156,OrderDetailsCustomers!$W$2:$W$2158)</f>
        <v>2713.5</v>
      </c>
      <c r="J156">
        <f t="shared" si="7"/>
        <v>4</v>
      </c>
      <c r="K156">
        <f>SUMIF(OrderDetailsCustomers!$M$2:$M$2158,'Order Header'!A156,OrderDetailsCustomers!$W$2:$W$2158)</f>
        <v>2713.5</v>
      </c>
      <c r="L156" s="11">
        <f t="shared" si="8"/>
        <v>4</v>
      </c>
    </row>
    <row r="157" spans="1:12" x14ac:dyDescent="0.4">
      <c r="A157">
        <v>10403</v>
      </c>
      <c r="B157" s="4">
        <v>34733</v>
      </c>
      <c r="C157" t="s">
        <v>161</v>
      </c>
      <c r="D157" s="1" t="s">
        <v>772</v>
      </c>
      <c r="E157">
        <v>68.401200000000003</v>
      </c>
      <c r="F157">
        <v>15</v>
      </c>
      <c r="G157">
        <f t="shared" si="9"/>
        <v>3</v>
      </c>
      <c r="H157">
        <f>SUMIF(OrderDetailsCustomers!$M$2:$M$2158,A157,OrderDetailsCustomers!$W$2:$W$2158)</f>
        <v>855.01499999999999</v>
      </c>
      <c r="J157">
        <f t="shared" si="7"/>
        <v>3</v>
      </c>
      <c r="K157">
        <f>SUMIF(OrderDetailsCustomers!$M$2:$M$2158,'Order Header'!A157,OrderDetailsCustomers!$W$2:$W$2158)</f>
        <v>855.01499999999999</v>
      </c>
      <c r="L157" s="11">
        <f t="shared" si="8"/>
        <v>3</v>
      </c>
    </row>
    <row r="158" spans="1:12" x14ac:dyDescent="0.4">
      <c r="A158">
        <v>10404</v>
      </c>
      <c r="B158" s="4">
        <v>34733</v>
      </c>
      <c r="C158" t="s">
        <v>378</v>
      </c>
      <c r="D158" s="1" t="s">
        <v>776</v>
      </c>
      <c r="E158">
        <v>127.3</v>
      </c>
      <c r="F158">
        <v>20</v>
      </c>
      <c r="G158">
        <f t="shared" si="9"/>
        <v>3</v>
      </c>
      <c r="H158">
        <f>SUMIF(OrderDetailsCustomers!$M$2:$M$2158,A158,OrderDetailsCustomers!$W$2:$W$2158)</f>
        <v>1591.25</v>
      </c>
      <c r="J158">
        <f t="shared" si="7"/>
        <v>3</v>
      </c>
      <c r="K158">
        <f>SUMIF(OrderDetailsCustomers!$M$2:$M$2158,'Order Header'!A158,OrderDetailsCustomers!$W$2:$W$2158)</f>
        <v>1591.25</v>
      </c>
      <c r="L158" s="11">
        <f t="shared" si="8"/>
        <v>3</v>
      </c>
    </row>
    <row r="159" spans="1:12" x14ac:dyDescent="0.4">
      <c r="A159">
        <v>10405</v>
      </c>
      <c r="B159" s="4">
        <v>34736</v>
      </c>
      <c r="C159" t="s">
        <v>363</v>
      </c>
      <c r="D159" s="1" t="s">
        <v>775</v>
      </c>
      <c r="E159">
        <v>32</v>
      </c>
      <c r="F159">
        <v>10</v>
      </c>
      <c r="G159">
        <f t="shared" si="9"/>
        <v>2</v>
      </c>
      <c r="H159">
        <f>SUMIF(OrderDetailsCustomers!$M$2:$M$2158,A159,OrderDetailsCustomers!$W$2:$W$2158)</f>
        <v>400</v>
      </c>
      <c r="J159">
        <f t="shared" si="7"/>
        <v>2</v>
      </c>
      <c r="K159">
        <f>SUMIF(OrderDetailsCustomers!$M$2:$M$2158,'Order Header'!A159,OrderDetailsCustomers!$W$2:$W$2158)</f>
        <v>400</v>
      </c>
      <c r="L159" s="11">
        <f t="shared" si="8"/>
        <v>2</v>
      </c>
    </row>
    <row r="160" spans="1:12" x14ac:dyDescent="0.4">
      <c r="A160">
        <v>10406</v>
      </c>
      <c r="B160" s="4">
        <v>34737</v>
      </c>
      <c r="C160" t="s">
        <v>469</v>
      </c>
      <c r="D160" s="1" t="s">
        <v>783</v>
      </c>
      <c r="E160">
        <v>146.46240000000003</v>
      </c>
      <c r="F160">
        <v>20</v>
      </c>
      <c r="G160">
        <f t="shared" si="9"/>
        <v>3</v>
      </c>
      <c r="H160">
        <f>SUMIF(OrderDetailsCustomers!$M$2:$M$2158,A160,OrderDetailsCustomers!$W$2:$W$2158)</f>
        <v>1830.7800000000002</v>
      </c>
      <c r="J160">
        <f t="shared" si="7"/>
        <v>3</v>
      </c>
      <c r="K160">
        <f>SUMIF(OrderDetailsCustomers!$M$2:$M$2158,'Order Header'!A160,OrderDetailsCustomers!$W$2:$W$2158)</f>
        <v>1830.7800000000002</v>
      </c>
      <c r="L160" s="11">
        <f t="shared" si="8"/>
        <v>3</v>
      </c>
    </row>
    <row r="161" spans="1:12" x14ac:dyDescent="0.4">
      <c r="A161">
        <v>10407</v>
      </c>
      <c r="B161" s="4">
        <v>34737</v>
      </c>
      <c r="C161" t="s">
        <v>430</v>
      </c>
      <c r="D161" s="1" t="s">
        <v>769</v>
      </c>
      <c r="E161">
        <v>95.52</v>
      </c>
      <c r="F161">
        <v>20</v>
      </c>
      <c r="G161">
        <f t="shared" si="9"/>
        <v>3</v>
      </c>
      <c r="H161">
        <f>SUMIF(OrderDetailsCustomers!$M$2:$M$2158,A161,OrderDetailsCustomers!$W$2:$W$2158)</f>
        <v>1194</v>
      </c>
      <c r="J161">
        <f t="shared" si="7"/>
        <v>3</v>
      </c>
      <c r="K161">
        <f>SUMIF(OrderDetailsCustomers!$M$2:$M$2158,'Order Header'!A161,OrderDetailsCustomers!$W$2:$W$2158)</f>
        <v>1194</v>
      </c>
      <c r="L161" s="11">
        <f t="shared" si="8"/>
        <v>3</v>
      </c>
    </row>
    <row r="162" spans="1:12" x14ac:dyDescent="0.4">
      <c r="A162">
        <v>10408</v>
      </c>
      <c r="B162" s="4">
        <v>34738</v>
      </c>
      <c r="C162" t="s">
        <v>183</v>
      </c>
      <c r="D162" s="1" t="s">
        <v>777</v>
      </c>
      <c r="E162">
        <v>129.792</v>
      </c>
      <c r="F162">
        <v>20</v>
      </c>
      <c r="G162">
        <f t="shared" si="9"/>
        <v>3</v>
      </c>
      <c r="H162">
        <f>SUMIF(OrderDetailsCustomers!$M$2:$M$2158,A162,OrderDetailsCustomers!$W$2:$W$2158)</f>
        <v>1622.4</v>
      </c>
      <c r="J162">
        <f t="shared" si="7"/>
        <v>3</v>
      </c>
      <c r="K162">
        <f>SUMIF(OrderDetailsCustomers!$M$2:$M$2158,'Order Header'!A162,OrderDetailsCustomers!$W$2:$W$2158)</f>
        <v>1622.4</v>
      </c>
      <c r="L162" s="11">
        <f t="shared" si="8"/>
        <v>3</v>
      </c>
    </row>
    <row r="163" spans="1:12" x14ac:dyDescent="0.4">
      <c r="A163">
        <v>10409</v>
      </c>
      <c r="B163" s="4">
        <v>34739</v>
      </c>
      <c r="C163" t="s">
        <v>416</v>
      </c>
      <c r="D163" s="1" t="s">
        <v>767</v>
      </c>
      <c r="E163">
        <v>25.536000000000005</v>
      </c>
      <c r="F163">
        <v>10</v>
      </c>
      <c r="G163">
        <f t="shared" si="9"/>
        <v>2</v>
      </c>
      <c r="H163">
        <f>SUMIF(OrderDetailsCustomers!$M$2:$M$2158,A163,OrderDetailsCustomers!$W$2:$W$2158)</f>
        <v>319.20000000000005</v>
      </c>
      <c r="J163">
        <f t="shared" si="7"/>
        <v>2</v>
      </c>
      <c r="K163">
        <f>SUMIF(OrderDetailsCustomers!$M$2:$M$2158,'Order Header'!A163,OrderDetailsCustomers!$W$2:$W$2158)</f>
        <v>319.20000000000005</v>
      </c>
      <c r="L163" s="11">
        <f t="shared" si="8"/>
        <v>2</v>
      </c>
    </row>
    <row r="164" spans="1:12" x14ac:dyDescent="0.4">
      <c r="A164">
        <v>10410</v>
      </c>
      <c r="B164" s="4">
        <v>34740</v>
      </c>
      <c r="C164" t="s">
        <v>84</v>
      </c>
      <c r="D164" s="1" t="s">
        <v>782</v>
      </c>
      <c r="E164">
        <v>64.16</v>
      </c>
      <c r="F164">
        <v>15</v>
      </c>
      <c r="G164">
        <f t="shared" si="9"/>
        <v>3</v>
      </c>
      <c r="H164">
        <f>SUMIF(OrderDetailsCustomers!$M$2:$M$2158,A164,OrderDetailsCustomers!$W$2:$W$2158)</f>
        <v>802</v>
      </c>
      <c r="J164">
        <f t="shared" si="7"/>
        <v>3</v>
      </c>
      <c r="K164">
        <f>SUMIF(OrderDetailsCustomers!$M$2:$M$2158,'Order Header'!A164,OrderDetailsCustomers!$W$2:$W$2158)</f>
        <v>802</v>
      </c>
      <c r="L164" s="11">
        <f t="shared" si="8"/>
        <v>3</v>
      </c>
    </row>
    <row r="165" spans="1:12" x14ac:dyDescent="0.4">
      <c r="A165">
        <v>10411</v>
      </c>
      <c r="B165" s="4">
        <v>34740</v>
      </c>
      <c r="C165" t="s">
        <v>84</v>
      </c>
      <c r="D165" s="1" t="s">
        <v>782</v>
      </c>
      <c r="E165">
        <v>77.343999999999994</v>
      </c>
      <c r="F165">
        <v>15</v>
      </c>
      <c r="G165">
        <f t="shared" si="9"/>
        <v>3</v>
      </c>
      <c r="H165">
        <f>SUMIF(OrderDetailsCustomers!$M$2:$M$2158,A165,OrderDetailsCustomers!$W$2:$W$2158)</f>
        <v>966.8</v>
      </c>
      <c r="J165">
        <f t="shared" si="7"/>
        <v>3</v>
      </c>
      <c r="K165">
        <f>SUMIF(OrderDetailsCustomers!$M$2:$M$2158,'Order Header'!A165,OrderDetailsCustomers!$W$2:$W$2158)</f>
        <v>966.8</v>
      </c>
      <c r="L165" s="11">
        <f t="shared" si="8"/>
        <v>3</v>
      </c>
    </row>
    <row r="166" spans="1:12" x14ac:dyDescent="0.4">
      <c r="A166">
        <v>10412</v>
      </c>
      <c r="B166" s="4">
        <v>34743</v>
      </c>
      <c r="C166" t="s">
        <v>640</v>
      </c>
      <c r="D166" s="1" t="s">
        <v>775</v>
      </c>
      <c r="E166">
        <v>26.784000000000002</v>
      </c>
      <c r="F166">
        <v>10</v>
      </c>
      <c r="G166">
        <f t="shared" si="9"/>
        <v>2</v>
      </c>
      <c r="H166">
        <f>SUMIF(OrderDetailsCustomers!$M$2:$M$2158,A166,OrderDetailsCustomers!$W$2:$W$2158)</f>
        <v>334.8</v>
      </c>
      <c r="J166">
        <f t="shared" si="7"/>
        <v>2</v>
      </c>
      <c r="K166">
        <f>SUMIF(OrderDetailsCustomers!$M$2:$M$2158,'Order Header'!A166,OrderDetailsCustomers!$W$2:$W$2158)</f>
        <v>334.8</v>
      </c>
      <c r="L166" s="11">
        <f t="shared" si="8"/>
        <v>2</v>
      </c>
    </row>
    <row r="167" spans="1:12" x14ac:dyDescent="0.4">
      <c r="A167">
        <v>10413</v>
      </c>
      <c r="B167" s="4">
        <v>34744</v>
      </c>
      <c r="C167" t="s">
        <v>318</v>
      </c>
      <c r="D167" s="1" t="s">
        <v>774</v>
      </c>
      <c r="E167">
        <v>169.85599999999999</v>
      </c>
      <c r="F167">
        <v>20</v>
      </c>
      <c r="G167">
        <f t="shared" si="9"/>
        <v>4</v>
      </c>
      <c r="H167">
        <f>SUMIF(OrderDetailsCustomers!$M$2:$M$2158,A167,OrderDetailsCustomers!$W$2:$W$2158)</f>
        <v>2123.1999999999998</v>
      </c>
      <c r="J167">
        <f t="shared" si="7"/>
        <v>4</v>
      </c>
      <c r="K167">
        <f>SUMIF(OrderDetailsCustomers!$M$2:$M$2158,'Order Header'!A167,OrderDetailsCustomers!$W$2:$W$2158)</f>
        <v>2123.1999999999998</v>
      </c>
      <c r="L167" s="11">
        <f t="shared" si="8"/>
        <v>4</v>
      </c>
    </row>
    <row r="168" spans="1:12" x14ac:dyDescent="0.4">
      <c r="A168">
        <v>10414</v>
      </c>
      <c r="B168" s="4">
        <v>34744</v>
      </c>
      <c r="C168" t="s">
        <v>170</v>
      </c>
      <c r="D168" s="1" t="s">
        <v>774</v>
      </c>
      <c r="E168">
        <v>17.9864</v>
      </c>
      <c r="F168">
        <v>10</v>
      </c>
      <c r="G168">
        <f t="shared" si="9"/>
        <v>2</v>
      </c>
      <c r="H168">
        <f>SUMIF(OrderDetailsCustomers!$M$2:$M$2158,A168,OrderDetailsCustomers!$W$2:$W$2158)</f>
        <v>224.82999999999998</v>
      </c>
      <c r="J168">
        <f t="shared" si="7"/>
        <v>2</v>
      </c>
      <c r="K168">
        <f>SUMIF(OrderDetailsCustomers!$M$2:$M$2158,'Order Header'!A168,OrderDetailsCustomers!$W$2:$W$2158)</f>
        <v>224.82999999999998</v>
      </c>
      <c r="L168" s="11">
        <f t="shared" si="8"/>
        <v>2</v>
      </c>
    </row>
    <row r="169" spans="1:12" x14ac:dyDescent="0.4">
      <c r="A169">
        <v>10415</v>
      </c>
      <c r="B169" s="4">
        <v>34745</v>
      </c>
      <c r="C169" t="s">
        <v>281</v>
      </c>
      <c r="D169" s="1" t="s">
        <v>769</v>
      </c>
      <c r="E169">
        <v>8.1920000000000002</v>
      </c>
      <c r="F169">
        <v>10</v>
      </c>
      <c r="G169">
        <f t="shared" si="9"/>
        <v>1</v>
      </c>
      <c r="H169">
        <f>SUMIF(OrderDetailsCustomers!$M$2:$M$2158,A169,OrderDetailsCustomers!$W$2:$W$2158)</f>
        <v>102.4</v>
      </c>
      <c r="J169">
        <f t="shared" si="7"/>
        <v>1</v>
      </c>
      <c r="K169">
        <f>SUMIF(OrderDetailsCustomers!$M$2:$M$2158,'Order Header'!A169,OrderDetailsCustomers!$W$2:$W$2158)</f>
        <v>102.4</v>
      </c>
      <c r="L169" s="11">
        <f t="shared" si="8"/>
        <v>1</v>
      </c>
    </row>
    <row r="170" spans="1:12" x14ac:dyDescent="0.4">
      <c r="A170">
        <v>10416</v>
      </c>
      <c r="B170" s="4">
        <v>34746</v>
      </c>
      <c r="C170" t="s">
        <v>640</v>
      </c>
      <c r="D170" s="1" t="s">
        <v>775</v>
      </c>
      <c r="E170">
        <v>57.6</v>
      </c>
      <c r="F170">
        <v>15</v>
      </c>
      <c r="G170">
        <f t="shared" si="9"/>
        <v>3</v>
      </c>
      <c r="H170">
        <f>SUMIF(OrderDetailsCustomers!$M$2:$M$2158,A170,OrderDetailsCustomers!$W$2:$W$2158)</f>
        <v>720</v>
      </c>
      <c r="J170">
        <f t="shared" si="7"/>
        <v>3</v>
      </c>
      <c r="K170">
        <f>SUMIF(OrderDetailsCustomers!$M$2:$M$2158,'Order Header'!A170,OrderDetailsCustomers!$W$2:$W$2158)</f>
        <v>720</v>
      </c>
      <c r="L170" s="11">
        <f t="shared" si="8"/>
        <v>3</v>
      </c>
    </row>
    <row r="171" spans="1:12" x14ac:dyDescent="0.4">
      <c r="A171">
        <v>10417</v>
      </c>
      <c r="B171" s="4">
        <v>34746</v>
      </c>
      <c r="C171" t="s">
        <v>543</v>
      </c>
      <c r="D171" s="1" t="s">
        <v>773</v>
      </c>
      <c r="E171">
        <v>895.072</v>
      </c>
      <c r="F171">
        <v>20</v>
      </c>
      <c r="G171">
        <f t="shared" si="9"/>
        <v>5</v>
      </c>
      <c r="H171">
        <f>SUMIF(OrderDetailsCustomers!$M$2:$M$2158,A171,OrderDetailsCustomers!$W$2:$W$2158)</f>
        <v>11188.4</v>
      </c>
      <c r="J171">
        <f t="shared" si="7"/>
        <v>5</v>
      </c>
      <c r="K171">
        <f>SUMIF(OrderDetailsCustomers!$M$2:$M$2158,'Order Header'!A171,OrderDetailsCustomers!$W$2:$W$2158)</f>
        <v>11188.4</v>
      </c>
      <c r="L171" s="11">
        <f t="shared" si="8"/>
        <v>5</v>
      </c>
    </row>
    <row r="172" spans="1:12" x14ac:dyDescent="0.4">
      <c r="A172">
        <v>10418</v>
      </c>
      <c r="B172" s="4">
        <v>34747</v>
      </c>
      <c r="C172" t="s">
        <v>475</v>
      </c>
      <c r="D172" s="1" t="s">
        <v>777</v>
      </c>
      <c r="E172">
        <v>145.184</v>
      </c>
      <c r="F172">
        <v>20</v>
      </c>
      <c r="G172">
        <f t="shared" si="9"/>
        <v>3</v>
      </c>
      <c r="H172">
        <f>SUMIF(OrderDetailsCustomers!$M$2:$M$2158,A172,OrderDetailsCustomers!$W$2:$W$2158)</f>
        <v>1814.8</v>
      </c>
      <c r="J172">
        <f t="shared" si="7"/>
        <v>3</v>
      </c>
      <c r="K172">
        <f>SUMIF(OrderDetailsCustomers!$M$2:$M$2158,'Order Header'!A172,OrderDetailsCustomers!$W$2:$W$2158)</f>
        <v>1814.8</v>
      </c>
      <c r="L172" s="11">
        <f t="shared" si="8"/>
        <v>3</v>
      </c>
    </row>
    <row r="173" spans="1:12" x14ac:dyDescent="0.4">
      <c r="A173">
        <v>10419</v>
      </c>
      <c r="B173" s="4">
        <v>34750</v>
      </c>
      <c r="C173" t="s">
        <v>509</v>
      </c>
      <c r="D173" s="1" t="s">
        <v>770</v>
      </c>
      <c r="E173">
        <v>167.80799999999999</v>
      </c>
      <c r="F173">
        <v>20</v>
      </c>
      <c r="G173">
        <f t="shared" si="9"/>
        <v>4</v>
      </c>
      <c r="H173">
        <f>SUMIF(OrderDetailsCustomers!$M$2:$M$2158,A173,OrderDetailsCustomers!$W$2:$W$2158)</f>
        <v>2097.6</v>
      </c>
      <c r="J173">
        <f t="shared" si="7"/>
        <v>4</v>
      </c>
      <c r="K173">
        <f>SUMIF(OrderDetailsCustomers!$M$2:$M$2158,'Order Header'!A173,OrderDetailsCustomers!$W$2:$W$2158)</f>
        <v>2097.6</v>
      </c>
      <c r="L173" s="11">
        <f t="shared" si="8"/>
        <v>4</v>
      </c>
    </row>
    <row r="174" spans="1:12" x14ac:dyDescent="0.4">
      <c r="A174">
        <v>10420</v>
      </c>
      <c r="B174" s="4">
        <v>34751</v>
      </c>
      <c r="C174" t="s">
        <v>647</v>
      </c>
      <c r="D174" s="1" t="s">
        <v>770</v>
      </c>
      <c r="E174">
        <v>136.62720000000002</v>
      </c>
      <c r="F174">
        <v>20</v>
      </c>
      <c r="G174">
        <f t="shared" si="9"/>
        <v>3</v>
      </c>
      <c r="H174">
        <f>SUMIF(OrderDetailsCustomers!$M$2:$M$2158,A174,OrderDetailsCustomers!$W$2:$W$2158)</f>
        <v>1707.8400000000001</v>
      </c>
      <c r="J174">
        <f t="shared" si="7"/>
        <v>3</v>
      </c>
      <c r="K174">
        <f>SUMIF(OrderDetailsCustomers!$M$2:$M$2158,'Order Header'!A174,OrderDetailsCustomers!$W$2:$W$2158)</f>
        <v>1707.8400000000001</v>
      </c>
      <c r="L174" s="11">
        <f t="shared" si="8"/>
        <v>3</v>
      </c>
    </row>
    <row r="175" spans="1:12" x14ac:dyDescent="0.4">
      <c r="A175">
        <v>10421</v>
      </c>
      <c r="B175" s="4">
        <v>34751</v>
      </c>
      <c r="C175" t="s">
        <v>462</v>
      </c>
      <c r="D175" s="1" t="s">
        <v>774</v>
      </c>
      <c r="E175">
        <v>95.541600000000017</v>
      </c>
      <c r="F175">
        <v>20</v>
      </c>
      <c r="G175">
        <f t="shared" si="9"/>
        <v>3</v>
      </c>
      <c r="H175">
        <f>SUMIF(OrderDetailsCustomers!$M$2:$M$2158,A175,OrderDetailsCustomers!$W$2:$W$2158)</f>
        <v>1194.2700000000002</v>
      </c>
      <c r="J175">
        <f t="shared" si="7"/>
        <v>3</v>
      </c>
      <c r="K175">
        <f>SUMIF(OrderDetailsCustomers!$M$2:$M$2158,'Order Header'!A175,OrderDetailsCustomers!$W$2:$W$2158)</f>
        <v>1194.2700000000002</v>
      </c>
      <c r="L175" s="11">
        <f t="shared" si="8"/>
        <v>3</v>
      </c>
    </row>
    <row r="176" spans="1:12" x14ac:dyDescent="0.4">
      <c r="A176">
        <v>10422</v>
      </c>
      <c r="B176" s="4">
        <v>34752</v>
      </c>
      <c r="C176" t="s">
        <v>211</v>
      </c>
      <c r="D176" s="1" t="s">
        <v>775</v>
      </c>
      <c r="E176">
        <v>3.984</v>
      </c>
      <c r="F176">
        <v>10</v>
      </c>
      <c r="G176">
        <f t="shared" si="9"/>
        <v>1</v>
      </c>
      <c r="H176">
        <f>SUMIF(OrderDetailsCustomers!$M$2:$M$2158,A176,OrderDetailsCustomers!$W$2:$W$2158)</f>
        <v>49.8</v>
      </c>
      <c r="J176">
        <f t="shared" si="7"/>
        <v>1</v>
      </c>
      <c r="K176">
        <f>SUMIF(OrderDetailsCustomers!$M$2:$M$2158,'Order Header'!A176,OrderDetailsCustomers!$W$2:$W$2158)</f>
        <v>49.8</v>
      </c>
      <c r="L176" s="11">
        <f t="shared" si="8"/>
        <v>1</v>
      </c>
    </row>
    <row r="177" spans="1:12" x14ac:dyDescent="0.4">
      <c r="A177">
        <v>10423</v>
      </c>
      <c r="B177" s="4">
        <v>34753</v>
      </c>
      <c r="C177" t="s">
        <v>240</v>
      </c>
      <c r="D177" s="1" t="s">
        <v>780</v>
      </c>
      <c r="E177">
        <v>81.600000000000009</v>
      </c>
      <c r="F177">
        <v>20</v>
      </c>
      <c r="G177">
        <f t="shared" si="9"/>
        <v>3</v>
      </c>
      <c r="H177">
        <f>SUMIF(OrderDetailsCustomers!$M$2:$M$2158,A177,OrderDetailsCustomers!$W$2:$W$2158)</f>
        <v>1020</v>
      </c>
      <c r="J177">
        <f t="shared" si="7"/>
        <v>3</v>
      </c>
      <c r="K177">
        <f>SUMIF(OrderDetailsCustomers!$M$2:$M$2158,'Order Header'!A177,OrderDetailsCustomers!$W$2:$W$2158)</f>
        <v>1020</v>
      </c>
      <c r="L177" s="11">
        <f t="shared" si="8"/>
        <v>3</v>
      </c>
    </row>
    <row r="178" spans="1:12" x14ac:dyDescent="0.4">
      <c r="A178">
        <v>10424</v>
      </c>
      <c r="B178" s="4">
        <v>34753</v>
      </c>
      <c r="C178" t="s">
        <v>394</v>
      </c>
      <c r="D178" s="1" t="s">
        <v>780</v>
      </c>
      <c r="E178">
        <v>735.5648000000001</v>
      </c>
      <c r="F178">
        <v>20</v>
      </c>
      <c r="G178">
        <f t="shared" si="9"/>
        <v>5</v>
      </c>
      <c r="H178">
        <f>SUMIF(OrderDetailsCustomers!$M$2:$M$2158,A178,OrderDetailsCustomers!$W$2:$W$2158)</f>
        <v>9194.5600000000013</v>
      </c>
      <c r="J178">
        <f t="shared" si="7"/>
        <v>5</v>
      </c>
      <c r="K178">
        <f>SUMIF(OrderDetailsCustomers!$M$2:$M$2158,'Order Header'!A178,OrderDetailsCustomers!$W$2:$W$2158)</f>
        <v>9194.5600000000013</v>
      </c>
      <c r="L178" s="11">
        <f t="shared" si="8"/>
        <v>5</v>
      </c>
    </row>
    <row r="179" spans="1:12" x14ac:dyDescent="0.4">
      <c r="A179">
        <v>10425</v>
      </c>
      <c r="B179" s="4">
        <v>34754</v>
      </c>
      <c r="C179" t="s">
        <v>318</v>
      </c>
      <c r="D179" s="1" t="s">
        <v>774</v>
      </c>
      <c r="E179">
        <v>28.8</v>
      </c>
      <c r="F179">
        <v>10</v>
      </c>
      <c r="G179">
        <f t="shared" si="9"/>
        <v>2</v>
      </c>
      <c r="H179">
        <f>SUMIF(OrderDetailsCustomers!$M$2:$M$2158,A179,OrderDetailsCustomers!$W$2:$W$2158)</f>
        <v>360</v>
      </c>
      <c r="J179">
        <f t="shared" si="7"/>
        <v>2</v>
      </c>
      <c r="K179">
        <f>SUMIF(OrderDetailsCustomers!$M$2:$M$2158,'Order Header'!A179,OrderDetailsCustomers!$W$2:$W$2158)</f>
        <v>360</v>
      </c>
      <c r="L179" s="11">
        <f t="shared" si="8"/>
        <v>2</v>
      </c>
    </row>
    <row r="180" spans="1:12" x14ac:dyDescent="0.4">
      <c r="A180">
        <v>10426</v>
      </c>
      <c r="B180" s="4">
        <v>34757</v>
      </c>
      <c r="C180" t="s">
        <v>227</v>
      </c>
      <c r="D180" s="1" t="s">
        <v>776</v>
      </c>
      <c r="E180">
        <v>27.056000000000004</v>
      </c>
      <c r="F180">
        <v>10</v>
      </c>
      <c r="G180">
        <f t="shared" si="9"/>
        <v>2</v>
      </c>
      <c r="H180">
        <f>SUMIF(OrderDetailsCustomers!$M$2:$M$2158,A180,OrderDetailsCustomers!$W$2:$W$2158)</f>
        <v>338.20000000000005</v>
      </c>
      <c r="J180">
        <f t="shared" si="7"/>
        <v>2</v>
      </c>
      <c r="K180">
        <f>SUMIF(OrderDetailsCustomers!$M$2:$M$2158,'Order Header'!A180,OrderDetailsCustomers!$W$2:$W$2158)</f>
        <v>338.20000000000005</v>
      </c>
      <c r="L180" s="11">
        <f t="shared" si="8"/>
        <v>2</v>
      </c>
    </row>
    <row r="181" spans="1:12" x14ac:dyDescent="0.4">
      <c r="A181">
        <v>10427</v>
      </c>
      <c r="B181" s="4">
        <v>34757</v>
      </c>
      <c r="C181" t="s">
        <v>450</v>
      </c>
      <c r="D181" s="1" t="s">
        <v>766</v>
      </c>
      <c r="E181">
        <v>52.08</v>
      </c>
      <c r="F181">
        <v>15</v>
      </c>
      <c r="G181">
        <f t="shared" si="9"/>
        <v>3</v>
      </c>
      <c r="H181">
        <f>SUMIF(OrderDetailsCustomers!$M$2:$M$2158,A181,OrderDetailsCustomers!$W$2:$W$2158)</f>
        <v>651</v>
      </c>
      <c r="J181">
        <f t="shared" si="7"/>
        <v>3</v>
      </c>
      <c r="K181">
        <f>SUMIF(OrderDetailsCustomers!$M$2:$M$2158,'Order Header'!A181,OrderDetailsCustomers!$W$2:$W$2158)</f>
        <v>651</v>
      </c>
      <c r="L181" s="11">
        <f t="shared" si="8"/>
        <v>3</v>
      </c>
    </row>
    <row r="182" spans="1:12" x14ac:dyDescent="0.4">
      <c r="A182">
        <v>10428</v>
      </c>
      <c r="B182" s="4">
        <v>34758</v>
      </c>
      <c r="C182" t="s">
        <v>496</v>
      </c>
      <c r="D182" s="1" t="s">
        <v>779</v>
      </c>
      <c r="E182">
        <v>15.36</v>
      </c>
      <c r="F182">
        <v>10</v>
      </c>
      <c r="G182">
        <f t="shared" si="9"/>
        <v>2</v>
      </c>
      <c r="H182">
        <f>SUMIF(OrderDetailsCustomers!$M$2:$M$2158,A182,OrderDetailsCustomers!$W$2:$W$2158)</f>
        <v>192</v>
      </c>
      <c r="J182">
        <f t="shared" si="7"/>
        <v>2</v>
      </c>
      <c r="K182">
        <f>SUMIF(OrderDetailsCustomers!$M$2:$M$2158,'Order Header'!A182,OrderDetailsCustomers!$W$2:$W$2158)</f>
        <v>192</v>
      </c>
      <c r="L182" s="11">
        <f t="shared" si="8"/>
        <v>2</v>
      </c>
    </row>
    <row r="183" spans="1:12" x14ac:dyDescent="0.4">
      <c r="A183">
        <v>10429</v>
      </c>
      <c r="B183" s="4">
        <v>34759</v>
      </c>
      <c r="C183" t="s">
        <v>288</v>
      </c>
      <c r="D183" s="1" t="s">
        <v>781</v>
      </c>
      <c r="E183">
        <v>115.31</v>
      </c>
      <c r="F183">
        <v>20</v>
      </c>
      <c r="G183">
        <f t="shared" si="9"/>
        <v>3</v>
      </c>
      <c r="H183">
        <f>SUMIF(OrderDetailsCustomers!$M$2:$M$2158,A183,OrderDetailsCustomers!$W$2:$W$2158)</f>
        <v>1441.375</v>
      </c>
      <c r="J183">
        <f t="shared" si="7"/>
        <v>3</v>
      </c>
      <c r="K183">
        <f>SUMIF(OrderDetailsCustomers!$M$2:$M$2158,'Order Header'!A183,OrderDetailsCustomers!$W$2:$W$2158)</f>
        <v>1441.375</v>
      </c>
      <c r="L183" s="11">
        <f t="shared" si="8"/>
        <v>3</v>
      </c>
    </row>
    <row r="184" spans="1:12" x14ac:dyDescent="0.4">
      <c r="A184">
        <v>10430</v>
      </c>
      <c r="B184" s="4">
        <v>34760</v>
      </c>
      <c r="C184" t="s">
        <v>161</v>
      </c>
      <c r="D184" s="1" t="s">
        <v>772</v>
      </c>
      <c r="E184">
        <v>391.93599999999998</v>
      </c>
      <c r="F184">
        <v>20</v>
      </c>
      <c r="G184">
        <f t="shared" si="9"/>
        <v>5</v>
      </c>
      <c r="H184">
        <f>SUMIF(OrderDetailsCustomers!$M$2:$M$2158,A184,OrderDetailsCustomers!$W$2:$W$2158)</f>
        <v>4899.2</v>
      </c>
      <c r="J184">
        <f t="shared" si="7"/>
        <v>5</v>
      </c>
      <c r="K184">
        <f>SUMIF(OrderDetailsCustomers!$M$2:$M$2158,'Order Header'!A184,OrderDetailsCustomers!$W$2:$W$2158)</f>
        <v>4899.2</v>
      </c>
      <c r="L184" s="11">
        <f t="shared" si="8"/>
        <v>5</v>
      </c>
    </row>
    <row r="185" spans="1:12" x14ac:dyDescent="0.4">
      <c r="A185">
        <v>10431</v>
      </c>
      <c r="B185" s="4">
        <v>34760</v>
      </c>
      <c r="C185" t="s">
        <v>84</v>
      </c>
      <c r="D185" s="1" t="s">
        <v>782</v>
      </c>
      <c r="E185">
        <v>151.38</v>
      </c>
      <c r="F185">
        <v>20</v>
      </c>
      <c r="G185">
        <f t="shared" si="9"/>
        <v>4</v>
      </c>
      <c r="H185">
        <f>SUMIF(OrderDetailsCustomers!$M$2:$M$2158,A185,OrderDetailsCustomers!$W$2:$W$2158)</f>
        <v>1892.25</v>
      </c>
      <c r="J185">
        <f t="shared" si="7"/>
        <v>4</v>
      </c>
      <c r="K185">
        <f>SUMIF(OrderDetailsCustomers!$M$2:$M$2158,'Order Header'!A185,OrderDetailsCustomers!$W$2:$W$2158)</f>
        <v>1892.25</v>
      </c>
      <c r="L185" s="11">
        <f t="shared" si="8"/>
        <v>4</v>
      </c>
    </row>
    <row r="186" spans="1:12" x14ac:dyDescent="0.4">
      <c r="A186">
        <v>10432</v>
      </c>
      <c r="B186" s="4">
        <v>34761</v>
      </c>
      <c r="C186" t="s">
        <v>557</v>
      </c>
      <c r="D186" s="1" t="s">
        <v>771</v>
      </c>
      <c r="E186">
        <v>38.800000000000004</v>
      </c>
      <c r="F186">
        <v>10</v>
      </c>
      <c r="G186">
        <f t="shared" si="9"/>
        <v>2</v>
      </c>
      <c r="H186">
        <f>SUMIF(OrderDetailsCustomers!$M$2:$M$2158,A186,OrderDetailsCustomers!$W$2:$W$2158)</f>
        <v>485</v>
      </c>
      <c r="J186">
        <f t="shared" si="7"/>
        <v>2</v>
      </c>
      <c r="K186">
        <f>SUMIF(OrderDetailsCustomers!$M$2:$M$2158,'Order Header'!A186,OrderDetailsCustomers!$W$2:$W$2158)</f>
        <v>485</v>
      </c>
      <c r="L186" s="11">
        <f t="shared" si="8"/>
        <v>2</v>
      </c>
    </row>
    <row r="187" spans="1:12" x14ac:dyDescent="0.4">
      <c r="A187">
        <v>10433</v>
      </c>
      <c r="B187" s="4">
        <v>34764</v>
      </c>
      <c r="C187" t="s">
        <v>457</v>
      </c>
      <c r="D187" s="1" t="s">
        <v>772</v>
      </c>
      <c r="E187">
        <v>68.095999999999989</v>
      </c>
      <c r="F187">
        <v>15</v>
      </c>
      <c r="G187">
        <f t="shared" si="9"/>
        <v>3</v>
      </c>
      <c r="H187">
        <f>SUMIF(OrderDetailsCustomers!$M$2:$M$2158,A187,OrderDetailsCustomers!$W$2:$W$2158)</f>
        <v>851.19999999999993</v>
      </c>
      <c r="J187">
        <f t="shared" si="7"/>
        <v>3</v>
      </c>
      <c r="K187">
        <f>SUMIF(OrderDetailsCustomers!$M$2:$M$2158,'Order Header'!A187,OrderDetailsCustomers!$W$2:$W$2158)</f>
        <v>851.19999999999993</v>
      </c>
      <c r="L187" s="11">
        <f t="shared" si="8"/>
        <v>3</v>
      </c>
    </row>
    <row r="188" spans="1:12" x14ac:dyDescent="0.4">
      <c r="A188">
        <v>10434</v>
      </c>
      <c r="B188" s="4">
        <v>34764</v>
      </c>
      <c r="C188" t="s">
        <v>191</v>
      </c>
      <c r="D188" s="1" t="s">
        <v>768</v>
      </c>
      <c r="E188">
        <v>25.689600000000002</v>
      </c>
      <c r="F188">
        <v>10</v>
      </c>
      <c r="G188">
        <f t="shared" si="9"/>
        <v>2</v>
      </c>
      <c r="H188">
        <f>SUMIF(OrderDetailsCustomers!$M$2:$M$2158,A188,OrderDetailsCustomers!$W$2:$W$2158)</f>
        <v>321.12</v>
      </c>
      <c r="J188">
        <f t="shared" si="7"/>
        <v>2</v>
      </c>
      <c r="K188">
        <f>SUMIF(OrderDetailsCustomers!$M$2:$M$2158,'Order Header'!A188,OrderDetailsCustomers!$W$2:$W$2158)</f>
        <v>321.12</v>
      </c>
      <c r="L188" s="11">
        <f t="shared" si="8"/>
        <v>2</v>
      </c>
    </row>
    <row r="189" spans="1:12" x14ac:dyDescent="0.4">
      <c r="A189">
        <v>10435</v>
      </c>
      <c r="B189" s="4">
        <v>34765</v>
      </c>
      <c r="C189" t="s">
        <v>133</v>
      </c>
      <c r="D189" s="1" t="s">
        <v>769</v>
      </c>
      <c r="E189">
        <v>50.528000000000006</v>
      </c>
      <c r="F189">
        <v>15</v>
      </c>
      <c r="G189">
        <f t="shared" si="9"/>
        <v>3</v>
      </c>
      <c r="H189">
        <f>SUMIF(OrderDetailsCustomers!$M$2:$M$2158,A189,OrderDetailsCustomers!$W$2:$W$2158)</f>
        <v>631.6</v>
      </c>
      <c r="J189">
        <f t="shared" si="7"/>
        <v>3</v>
      </c>
      <c r="K189">
        <f>SUMIF(OrderDetailsCustomers!$M$2:$M$2158,'Order Header'!A189,OrderDetailsCustomers!$W$2:$W$2158)</f>
        <v>631.6</v>
      </c>
      <c r="L189" s="11">
        <f t="shared" si="8"/>
        <v>3</v>
      </c>
    </row>
    <row r="190" spans="1:12" x14ac:dyDescent="0.4">
      <c r="A190">
        <v>10436</v>
      </c>
      <c r="B190" s="4">
        <v>34766</v>
      </c>
      <c r="C190" t="s">
        <v>60</v>
      </c>
      <c r="D190" s="1" t="s">
        <v>775</v>
      </c>
      <c r="E190">
        <v>159.56160000000003</v>
      </c>
      <c r="F190">
        <v>20</v>
      </c>
      <c r="G190">
        <f t="shared" si="9"/>
        <v>4</v>
      </c>
      <c r="H190">
        <f>SUMIF(OrderDetailsCustomers!$M$2:$M$2158,A190,OrderDetailsCustomers!$W$2:$W$2158)</f>
        <v>1994.5200000000002</v>
      </c>
      <c r="J190">
        <f t="shared" si="7"/>
        <v>4</v>
      </c>
      <c r="K190">
        <f>SUMIF(OrderDetailsCustomers!$M$2:$M$2158,'Order Header'!A190,OrderDetailsCustomers!$W$2:$W$2158)</f>
        <v>1994.5200000000002</v>
      </c>
      <c r="L190" s="11">
        <f t="shared" si="8"/>
        <v>4</v>
      </c>
    </row>
    <row r="191" spans="1:12" x14ac:dyDescent="0.4">
      <c r="A191">
        <v>10437</v>
      </c>
      <c r="B191" s="4">
        <v>34766</v>
      </c>
      <c r="C191" t="s">
        <v>640</v>
      </c>
      <c r="D191" s="1" t="s">
        <v>775</v>
      </c>
      <c r="E191">
        <v>31.44</v>
      </c>
      <c r="F191">
        <v>10</v>
      </c>
      <c r="G191">
        <f t="shared" si="9"/>
        <v>2</v>
      </c>
      <c r="H191">
        <f>SUMIF(OrderDetailsCustomers!$M$2:$M$2158,A191,OrderDetailsCustomers!$W$2:$W$2158)</f>
        <v>393</v>
      </c>
      <c r="J191">
        <f t="shared" si="7"/>
        <v>2</v>
      </c>
      <c r="K191">
        <f>SUMIF(OrderDetailsCustomers!$M$2:$M$2158,'Order Header'!A191,OrderDetailsCustomers!$W$2:$W$2158)</f>
        <v>393</v>
      </c>
      <c r="L191" s="11">
        <f t="shared" si="8"/>
        <v>2</v>
      </c>
    </row>
    <row r="192" spans="1:12" x14ac:dyDescent="0.4">
      <c r="A192">
        <v>10438</v>
      </c>
      <c r="B192" s="4">
        <v>34767</v>
      </c>
      <c r="C192" t="s">
        <v>586</v>
      </c>
      <c r="D192" s="1" t="s">
        <v>766</v>
      </c>
      <c r="E192">
        <v>36.32</v>
      </c>
      <c r="F192">
        <v>10</v>
      </c>
      <c r="G192">
        <f t="shared" si="9"/>
        <v>2</v>
      </c>
      <c r="H192">
        <f>SUMIF(OrderDetailsCustomers!$M$2:$M$2158,A192,OrderDetailsCustomers!$W$2:$W$2158)</f>
        <v>454</v>
      </c>
      <c r="J192">
        <f t="shared" si="7"/>
        <v>2</v>
      </c>
      <c r="K192">
        <f>SUMIF(OrderDetailsCustomers!$M$2:$M$2158,'Order Header'!A192,OrderDetailsCustomers!$W$2:$W$2158)</f>
        <v>454</v>
      </c>
      <c r="L192" s="11">
        <f t="shared" si="8"/>
        <v>2</v>
      </c>
    </row>
    <row r="193" spans="1:12" x14ac:dyDescent="0.4">
      <c r="A193">
        <v>10439</v>
      </c>
      <c r="B193" s="4">
        <v>34768</v>
      </c>
      <c r="C193" t="s">
        <v>394</v>
      </c>
      <c r="D193" s="1" t="s">
        <v>780</v>
      </c>
      <c r="E193">
        <v>86.24</v>
      </c>
      <c r="F193">
        <v>20</v>
      </c>
      <c r="G193">
        <f t="shared" si="9"/>
        <v>3</v>
      </c>
      <c r="H193">
        <f>SUMIF(OrderDetailsCustomers!$M$2:$M$2158,A193,OrderDetailsCustomers!$W$2:$W$2158)</f>
        <v>1078</v>
      </c>
      <c r="J193">
        <f t="shared" si="7"/>
        <v>3</v>
      </c>
      <c r="K193">
        <f>SUMIF(OrderDetailsCustomers!$M$2:$M$2158,'Order Header'!A193,OrderDetailsCustomers!$W$2:$W$2158)</f>
        <v>1078</v>
      </c>
      <c r="L193" s="11">
        <f t="shared" si="8"/>
        <v>3</v>
      </c>
    </row>
    <row r="194" spans="1:12" x14ac:dyDescent="0.4">
      <c r="A194">
        <v>10440</v>
      </c>
      <c r="B194" s="4">
        <v>34771</v>
      </c>
      <c r="C194" t="s">
        <v>529</v>
      </c>
      <c r="D194" s="1" t="s">
        <v>780</v>
      </c>
      <c r="E194">
        <v>393.93080000000003</v>
      </c>
      <c r="F194">
        <v>20</v>
      </c>
      <c r="G194">
        <f t="shared" si="9"/>
        <v>5</v>
      </c>
      <c r="H194">
        <f>SUMIF(OrderDetailsCustomers!$M$2:$M$2158,A194,OrderDetailsCustomers!$W$2:$W$2158)</f>
        <v>4924.1350000000002</v>
      </c>
      <c r="J194">
        <f t="shared" si="7"/>
        <v>5</v>
      </c>
      <c r="K194">
        <f>SUMIF(OrderDetailsCustomers!$M$2:$M$2158,'Order Header'!A194,OrderDetailsCustomers!$W$2:$W$2158)</f>
        <v>4924.1350000000002</v>
      </c>
      <c r="L194" s="11">
        <f t="shared" si="8"/>
        <v>5</v>
      </c>
    </row>
    <row r="195" spans="1:12" x14ac:dyDescent="0.4">
      <c r="A195">
        <v>10441</v>
      </c>
      <c r="B195" s="4">
        <v>34771</v>
      </c>
      <c r="C195" t="s">
        <v>422</v>
      </c>
      <c r="D195" s="1" t="s">
        <v>771</v>
      </c>
      <c r="E195">
        <v>140.4</v>
      </c>
      <c r="F195">
        <v>20</v>
      </c>
      <c r="G195">
        <f t="shared" si="9"/>
        <v>3</v>
      </c>
      <c r="H195">
        <f>SUMIF(OrderDetailsCustomers!$M$2:$M$2158,A195,OrderDetailsCustomers!$W$2:$W$2158)</f>
        <v>1755</v>
      </c>
      <c r="J195">
        <f t="shared" ref="J195:J258" si="10">VLOOKUP(E195,$T$1:$U$7,2,TRUE)</f>
        <v>3</v>
      </c>
      <c r="K195">
        <f>SUMIF(OrderDetailsCustomers!$M$2:$M$2158,'Order Header'!A195,OrderDetailsCustomers!$W$2:$W$2158)</f>
        <v>1755</v>
      </c>
      <c r="L195" s="11">
        <f t="shared" ref="L195:L258" si="11">VLOOKUP(E195,$T$1:$U$7,2,TRUE)</f>
        <v>3</v>
      </c>
    </row>
    <row r="196" spans="1:12" x14ac:dyDescent="0.4">
      <c r="A196">
        <v>10442</v>
      </c>
      <c r="B196" s="4">
        <v>34772</v>
      </c>
      <c r="C196" t="s">
        <v>161</v>
      </c>
      <c r="D196" s="1" t="s">
        <v>772</v>
      </c>
      <c r="E196">
        <v>143.36000000000001</v>
      </c>
      <c r="F196">
        <v>20</v>
      </c>
      <c r="G196">
        <f t="shared" si="9"/>
        <v>3</v>
      </c>
      <c r="H196">
        <f>SUMIF(OrderDetailsCustomers!$M$2:$M$2158,A196,OrderDetailsCustomers!$W$2:$W$2158)</f>
        <v>1792</v>
      </c>
      <c r="J196">
        <f t="shared" si="10"/>
        <v>3</v>
      </c>
      <c r="K196">
        <f>SUMIF(OrderDetailsCustomers!$M$2:$M$2158,'Order Header'!A196,OrderDetailsCustomers!$W$2:$W$2158)</f>
        <v>1792</v>
      </c>
      <c r="L196" s="11">
        <f t="shared" si="11"/>
        <v>3</v>
      </c>
    </row>
    <row r="197" spans="1:12" x14ac:dyDescent="0.4">
      <c r="A197">
        <v>10443</v>
      </c>
      <c r="B197" s="4">
        <v>34773</v>
      </c>
      <c r="C197" t="s">
        <v>496</v>
      </c>
      <c r="D197" s="1" t="s">
        <v>779</v>
      </c>
      <c r="E197">
        <v>41.395199999999996</v>
      </c>
      <c r="F197">
        <v>15</v>
      </c>
      <c r="G197">
        <f t="shared" si="9"/>
        <v>2</v>
      </c>
      <c r="H197">
        <f>SUMIF(OrderDetailsCustomers!$M$2:$M$2158,A197,OrderDetailsCustomers!$W$2:$W$2158)</f>
        <v>517.43999999999994</v>
      </c>
      <c r="J197">
        <f t="shared" si="10"/>
        <v>2</v>
      </c>
      <c r="K197">
        <f>SUMIF(OrderDetailsCustomers!$M$2:$M$2158,'Order Header'!A197,OrderDetailsCustomers!$W$2:$W$2158)</f>
        <v>517.43999999999994</v>
      </c>
      <c r="L197" s="11">
        <f t="shared" si="11"/>
        <v>2</v>
      </c>
    </row>
    <row r="198" spans="1:12" x14ac:dyDescent="0.4">
      <c r="A198">
        <v>10444</v>
      </c>
      <c r="B198" s="4">
        <v>34773</v>
      </c>
      <c r="C198" t="s">
        <v>43</v>
      </c>
      <c r="D198" s="1" t="s">
        <v>765</v>
      </c>
      <c r="E198">
        <v>82.536000000000001</v>
      </c>
      <c r="F198">
        <v>20</v>
      </c>
      <c r="G198">
        <f t="shared" si="9"/>
        <v>3</v>
      </c>
      <c r="H198">
        <f>SUMIF(OrderDetailsCustomers!$M$2:$M$2158,A198,OrderDetailsCustomers!$W$2:$W$2158)</f>
        <v>1031.7</v>
      </c>
      <c r="J198">
        <f t="shared" si="10"/>
        <v>3</v>
      </c>
      <c r="K198">
        <f>SUMIF(OrderDetailsCustomers!$M$2:$M$2158,'Order Header'!A198,OrderDetailsCustomers!$W$2:$W$2158)</f>
        <v>1031.7</v>
      </c>
      <c r="L198" s="11">
        <f t="shared" si="11"/>
        <v>3</v>
      </c>
    </row>
    <row r="199" spans="1:12" x14ac:dyDescent="0.4">
      <c r="A199">
        <v>10445</v>
      </c>
      <c r="B199" s="4">
        <v>34774</v>
      </c>
      <c r="C199" t="s">
        <v>43</v>
      </c>
      <c r="D199" s="1" t="s">
        <v>765</v>
      </c>
      <c r="E199">
        <v>13.992000000000001</v>
      </c>
      <c r="F199">
        <v>10</v>
      </c>
      <c r="G199">
        <f t="shared" si="9"/>
        <v>2</v>
      </c>
      <c r="H199">
        <f>SUMIF(OrderDetailsCustomers!$M$2:$M$2158,A199,OrderDetailsCustomers!$W$2:$W$2158)</f>
        <v>174.9</v>
      </c>
      <c r="J199">
        <f t="shared" si="10"/>
        <v>2</v>
      </c>
      <c r="K199">
        <f>SUMIF(OrderDetailsCustomers!$M$2:$M$2158,'Order Header'!A199,OrderDetailsCustomers!$W$2:$W$2158)</f>
        <v>174.9</v>
      </c>
      <c r="L199" s="11">
        <f t="shared" si="11"/>
        <v>2</v>
      </c>
    </row>
    <row r="200" spans="1:12" x14ac:dyDescent="0.4">
      <c r="A200">
        <v>10446</v>
      </c>
      <c r="B200" s="4">
        <v>34775</v>
      </c>
      <c r="C200" t="s">
        <v>586</v>
      </c>
      <c r="D200" s="1" t="s">
        <v>766</v>
      </c>
      <c r="E200">
        <v>19.699200000000001</v>
      </c>
      <c r="F200">
        <v>10</v>
      </c>
      <c r="G200">
        <f t="shared" si="9"/>
        <v>2</v>
      </c>
      <c r="H200">
        <f>SUMIF(OrderDetailsCustomers!$M$2:$M$2158,A200,OrderDetailsCustomers!$W$2:$W$2158)</f>
        <v>246.24</v>
      </c>
      <c r="J200">
        <f t="shared" si="10"/>
        <v>2</v>
      </c>
      <c r="K200">
        <f>SUMIF(OrderDetailsCustomers!$M$2:$M$2158,'Order Header'!A200,OrderDetailsCustomers!$W$2:$W$2158)</f>
        <v>246.24</v>
      </c>
      <c r="L200" s="11">
        <f t="shared" si="11"/>
        <v>2</v>
      </c>
    </row>
    <row r="201" spans="1:12" x14ac:dyDescent="0.4">
      <c r="A201">
        <v>10447</v>
      </c>
      <c r="B201" s="4">
        <v>34775</v>
      </c>
      <c r="C201" t="s">
        <v>503</v>
      </c>
      <c r="D201" s="1" t="s">
        <v>775</v>
      </c>
      <c r="E201">
        <v>73.152000000000001</v>
      </c>
      <c r="F201">
        <v>15</v>
      </c>
      <c r="G201">
        <f t="shared" si="9"/>
        <v>3</v>
      </c>
      <c r="H201">
        <f>SUMIF(OrderDetailsCustomers!$M$2:$M$2158,A201,OrderDetailsCustomers!$W$2:$W$2158)</f>
        <v>914.4</v>
      </c>
      <c r="J201">
        <f t="shared" si="10"/>
        <v>3</v>
      </c>
      <c r="K201">
        <f>SUMIF(OrderDetailsCustomers!$M$2:$M$2158,'Order Header'!A201,OrderDetailsCustomers!$W$2:$W$2158)</f>
        <v>914.4</v>
      </c>
      <c r="L201" s="11">
        <f t="shared" si="11"/>
        <v>3</v>
      </c>
    </row>
    <row r="202" spans="1:12" x14ac:dyDescent="0.4">
      <c r="A202">
        <v>10448</v>
      </c>
      <c r="B202" s="4">
        <v>34778</v>
      </c>
      <c r="C202" t="s">
        <v>481</v>
      </c>
      <c r="D202" s="1" t="s">
        <v>768</v>
      </c>
      <c r="E202">
        <v>35.472000000000001</v>
      </c>
      <c r="F202">
        <v>10</v>
      </c>
      <c r="G202">
        <f t="shared" si="9"/>
        <v>2</v>
      </c>
      <c r="H202">
        <f>SUMIF(OrderDetailsCustomers!$M$2:$M$2158,A202,OrderDetailsCustomers!$W$2:$W$2158)</f>
        <v>443.4</v>
      </c>
      <c r="J202">
        <f t="shared" si="10"/>
        <v>2</v>
      </c>
      <c r="K202">
        <f>SUMIF(OrderDetailsCustomers!$M$2:$M$2158,'Order Header'!A202,OrderDetailsCustomers!$W$2:$W$2158)</f>
        <v>443.4</v>
      </c>
      <c r="L202" s="11">
        <f t="shared" si="11"/>
        <v>2</v>
      </c>
    </row>
    <row r="203" spans="1:12" x14ac:dyDescent="0.4">
      <c r="A203">
        <v>10449</v>
      </c>
      <c r="B203" s="4">
        <v>34779</v>
      </c>
      <c r="C203" t="s">
        <v>60</v>
      </c>
      <c r="D203" s="1" t="s">
        <v>775</v>
      </c>
      <c r="E203">
        <v>147.05600000000001</v>
      </c>
      <c r="F203">
        <v>20</v>
      </c>
      <c r="G203">
        <f t="shared" si="9"/>
        <v>3</v>
      </c>
      <c r="H203">
        <f>SUMIF(OrderDetailsCustomers!$M$2:$M$2158,A203,OrderDetailsCustomers!$W$2:$W$2158)</f>
        <v>1838.2</v>
      </c>
      <c r="J203">
        <f t="shared" si="10"/>
        <v>3</v>
      </c>
      <c r="K203">
        <f>SUMIF(OrderDetailsCustomers!$M$2:$M$2158,'Order Header'!A203,OrderDetailsCustomers!$W$2:$W$2158)</f>
        <v>1838.2</v>
      </c>
      <c r="L203" s="11">
        <f t="shared" si="11"/>
        <v>3</v>
      </c>
    </row>
    <row r="204" spans="1:12" x14ac:dyDescent="0.4">
      <c r="A204">
        <v>10450</v>
      </c>
      <c r="B204" s="4">
        <v>34780</v>
      </c>
      <c r="C204" t="s">
        <v>619</v>
      </c>
      <c r="D204" s="1" t="s">
        <v>768</v>
      </c>
      <c r="E204">
        <v>34.009599999999999</v>
      </c>
      <c r="F204">
        <v>10</v>
      </c>
      <c r="G204">
        <f t="shared" si="9"/>
        <v>2</v>
      </c>
      <c r="H204">
        <f>SUMIF(OrderDetailsCustomers!$M$2:$M$2158,A204,OrderDetailsCustomers!$W$2:$W$2158)</f>
        <v>425.12</v>
      </c>
      <c r="J204">
        <f t="shared" si="10"/>
        <v>2</v>
      </c>
      <c r="K204">
        <f>SUMIF(OrderDetailsCustomers!$M$2:$M$2158,'Order Header'!A204,OrderDetailsCustomers!$W$2:$W$2158)</f>
        <v>425.12</v>
      </c>
      <c r="L204" s="11">
        <f t="shared" si="11"/>
        <v>2</v>
      </c>
    </row>
    <row r="205" spans="1:12" x14ac:dyDescent="0.4">
      <c r="A205">
        <v>10451</v>
      </c>
      <c r="B205" s="4">
        <v>34780</v>
      </c>
      <c r="C205" t="s">
        <v>475</v>
      </c>
      <c r="D205" s="1" t="s">
        <v>777</v>
      </c>
      <c r="E205">
        <v>307.97280000000001</v>
      </c>
      <c r="F205">
        <v>20</v>
      </c>
      <c r="G205">
        <f t="shared" si="9"/>
        <v>5</v>
      </c>
      <c r="H205">
        <f>SUMIF(OrderDetailsCustomers!$M$2:$M$2158,A205,OrderDetailsCustomers!$W$2:$W$2158)</f>
        <v>3849.6600000000003</v>
      </c>
      <c r="J205">
        <f t="shared" si="10"/>
        <v>5</v>
      </c>
      <c r="K205">
        <f>SUMIF(OrderDetailsCustomers!$M$2:$M$2158,'Order Header'!A205,OrderDetailsCustomers!$W$2:$W$2158)</f>
        <v>3849.6600000000003</v>
      </c>
      <c r="L205" s="11">
        <f t="shared" si="11"/>
        <v>5</v>
      </c>
    </row>
    <row r="206" spans="1:12" x14ac:dyDescent="0.4">
      <c r="A206">
        <v>10452</v>
      </c>
      <c r="B206" s="4">
        <v>34781</v>
      </c>
      <c r="C206" t="s">
        <v>529</v>
      </c>
      <c r="D206" s="1" t="s">
        <v>780</v>
      </c>
      <c r="E206">
        <v>161.47999999999999</v>
      </c>
      <c r="F206">
        <v>20</v>
      </c>
      <c r="G206">
        <f t="shared" si="9"/>
        <v>4</v>
      </c>
      <c r="H206">
        <f>SUMIF(OrderDetailsCustomers!$M$2:$M$2158,A206,OrderDetailsCustomers!$W$2:$W$2158)</f>
        <v>2018.5</v>
      </c>
      <c r="J206">
        <f t="shared" si="10"/>
        <v>4</v>
      </c>
      <c r="K206">
        <f>SUMIF(OrderDetailsCustomers!$M$2:$M$2158,'Order Header'!A206,OrderDetailsCustomers!$W$2:$W$2158)</f>
        <v>2018.5</v>
      </c>
      <c r="L206" s="11">
        <f t="shared" si="11"/>
        <v>4</v>
      </c>
    </row>
    <row r="207" spans="1:12" x14ac:dyDescent="0.4">
      <c r="A207">
        <v>10453</v>
      </c>
      <c r="B207" s="4">
        <v>34782</v>
      </c>
      <c r="C207" t="s">
        <v>34</v>
      </c>
      <c r="D207" s="1" t="s">
        <v>768</v>
      </c>
      <c r="E207">
        <v>32.616000000000007</v>
      </c>
      <c r="F207">
        <v>10</v>
      </c>
      <c r="G207">
        <f t="shared" si="9"/>
        <v>2</v>
      </c>
      <c r="H207">
        <f>SUMIF(OrderDetailsCustomers!$M$2:$M$2158,A207,OrderDetailsCustomers!$W$2:$W$2158)</f>
        <v>407.70000000000005</v>
      </c>
      <c r="J207">
        <f t="shared" si="10"/>
        <v>2</v>
      </c>
      <c r="K207">
        <f>SUMIF(OrderDetailsCustomers!$M$2:$M$2158,'Order Header'!A207,OrderDetailsCustomers!$W$2:$W$2158)</f>
        <v>407.70000000000005</v>
      </c>
      <c r="L207" s="11">
        <f t="shared" si="11"/>
        <v>2</v>
      </c>
    </row>
    <row r="208" spans="1:12" x14ac:dyDescent="0.4">
      <c r="A208">
        <v>10454</v>
      </c>
      <c r="B208" s="4">
        <v>34782</v>
      </c>
      <c r="C208" t="s">
        <v>318</v>
      </c>
      <c r="D208" s="1" t="s">
        <v>774</v>
      </c>
      <c r="E208">
        <v>26.496000000000006</v>
      </c>
      <c r="F208">
        <v>10</v>
      </c>
      <c r="G208">
        <f t="shared" si="9"/>
        <v>2</v>
      </c>
      <c r="H208">
        <f>SUMIF(OrderDetailsCustomers!$M$2:$M$2158,A208,OrderDetailsCustomers!$W$2:$W$2158)</f>
        <v>331.20000000000005</v>
      </c>
      <c r="J208">
        <f t="shared" si="10"/>
        <v>2</v>
      </c>
      <c r="K208">
        <f>SUMIF(OrderDetailsCustomers!$M$2:$M$2158,'Order Header'!A208,OrderDetailsCustomers!$W$2:$W$2158)</f>
        <v>331.20000000000005</v>
      </c>
      <c r="L208" s="11">
        <f t="shared" si="11"/>
        <v>2</v>
      </c>
    </row>
    <row r="209" spans="1:12" x14ac:dyDescent="0.4">
      <c r="A209">
        <v>10455</v>
      </c>
      <c r="B209" s="4">
        <v>34785</v>
      </c>
      <c r="C209" t="s">
        <v>640</v>
      </c>
      <c r="D209" s="1" t="s">
        <v>775</v>
      </c>
      <c r="E209">
        <v>214.72</v>
      </c>
      <c r="F209">
        <v>20</v>
      </c>
      <c r="G209">
        <f t="shared" si="9"/>
        <v>4</v>
      </c>
      <c r="H209">
        <f>SUMIF(OrderDetailsCustomers!$M$2:$M$2158,A209,OrderDetailsCustomers!$W$2:$W$2158)</f>
        <v>2684</v>
      </c>
      <c r="J209">
        <f t="shared" si="10"/>
        <v>4</v>
      </c>
      <c r="K209">
        <f>SUMIF(OrderDetailsCustomers!$M$2:$M$2158,'Order Header'!A209,OrderDetailsCustomers!$W$2:$W$2158)</f>
        <v>2684</v>
      </c>
      <c r="L209" s="11">
        <f t="shared" si="11"/>
        <v>4</v>
      </c>
    </row>
    <row r="210" spans="1:12" x14ac:dyDescent="0.4">
      <c r="A210">
        <v>10456</v>
      </c>
      <c r="B210" s="4">
        <v>34786</v>
      </c>
      <c r="C210" t="s">
        <v>305</v>
      </c>
      <c r="D210" s="1" t="s">
        <v>766</v>
      </c>
      <c r="E210">
        <v>44.607999999999997</v>
      </c>
      <c r="F210">
        <v>15</v>
      </c>
      <c r="G210">
        <f t="shared" si="9"/>
        <v>2</v>
      </c>
      <c r="H210">
        <f>SUMIF(OrderDetailsCustomers!$M$2:$M$2158,A210,OrderDetailsCustomers!$W$2:$W$2158)</f>
        <v>557.59999999999991</v>
      </c>
      <c r="J210">
        <f t="shared" si="10"/>
        <v>2</v>
      </c>
      <c r="K210">
        <f>SUMIF(OrderDetailsCustomers!$M$2:$M$2158,'Order Header'!A210,OrderDetailsCustomers!$W$2:$W$2158)</f>
        <v>557.59999999999991</v>
      </c>
      <c r="L210" s="11">
        <f t="shared" si="11"/>
        <v>2</v>
      </c>
    </row>
    <row r="211" spans="1:12" x14ac:dyDescent="0.4">
      <c r="A211">
        <v>10457</v>
      </c>
      <c r="B211" s="4">
        <v>34786</v>
      </c>
      <c r="C211" t="s">
        <v>305</v>
      </c>
      <c r="D211" s="1" t="s">
        <v>766</v>
      </c>
      <c r="E211">
        <v>126.72</v>
      </c>
      <c r="F211">
        <v>20</v>
      </c>
      <c r="G211">
        <f t="shared" si="9"/>
        <v>3</v>
      </c>
      <c r="H211">
        <f>SUMIF(OrderDetailsCustomers!$M$2:$M$2158,A211,OrderDetailsCustomers!$W$2:$W$2158)</f>
        <v>1584</v>
      </c>
      <c r="J211">
        <f t="shared" si="10"/>
        <v>3</v>
      </c>
      <c r="K211">
        <f>SUMIF(OrderDetailsCustomers!$M$2:$M$2158,'Order Header'!A211,OrderDetailsCustomers!$W$2:$W$2158)</f>
        <v>1584</v>
      </c>
      <c r="L211" s="11">
        <f t="shared" si="11"/>
        <v>3</v>
      </c>
    </row>
    <row r="212" spans="1:12" x14ac:dyDescent="0.4">
      <c r="A212">
        <v>10458</v>
      </c>
      <c r="B212" s="4">
        <v>34787</v>
      </c>
      <c r="C212" t="s">
        <v>565</v>
      </c>
      <c r="D212" s="1" t="s">
        <v>769</v>
      </c>
      <c r="E212">
        <v>311.28000000000003</v>
      </c>
      <c r="F212">
        <v>20</v>
      </c>
      <c r="G212">
        <f t="shared" si="9"/>
        <v>5</v>
      </c>
      <c r="H212">
        <f>SUMIF(OrderDetailsCustomers!$M$2:$M$2158,A212,OrderDetailsCustomers!$W$2:$W$2158)</f>
        <v>3891</v>
      </c>
      <c r="J212">
        <f t="shared" si="10"/>
        <v>5</v>
      </c>
      <c r="K212">
        <f>SUMIF(OrderDetailsCustomers!$M$2:$M$2158,'Order Header'!A212,OrderDetailsCustomers!$W$2:$W$2158)</f>
        <v>3891</v>
      </c>
      <c r="L212" s="11">
        <f t="shared" si="11"/>
        <v>5</v>
      </c>
    </row>
    <row r="213" spans="1:12" x14ac:dyDescent="0.4">
      <c r="A213">
        <v>10459</v>
      </c>
      <c r="B213" s="4">
        <v>34788</v>
      </c>
      <c r="C213" t="s">
        <v>619</v>
      </c>
      <c r="D213" s="1" t="s">
        <v>768</v>
      </c>
      <c r="E213">
        <v>132.73599999999999</v>
      </c>
      <c r="F213">
        <v>20</v>
      </c>
      <c r="G213">
        <f t="shared" ref="G213:G276" si="12">VLOOKUP(E213,$T$1:$U$7,2,TRUE)</f>
        <v>3</v>
      </c>
      <c r="H213">
        <f>SUMIF(OrderDetailsCustomers!$M$2:$M$2158,A213,OrderDetailsCustomers!$W$2:$W$2158)</f>
        <v>1659.1999999999998</v>
      </c>
      <c r="J213">
        <f t="shared" si="10"/>
        <v>3</v>
      </c>
      <c r="K213">
        <f>SUMIF(OrderDetailsCustomers!$M$2:$M$2158,'Order Header'!A213,OrderDetailsCustomers!$W$2:$W$2158)</f>
        <v>1659.1999999999998</v>
      </c>
      <c r="L213" s="11">
        <f t="shared" si="11"/>
        <v>3</v>
      </c>
    </row>
    <row r="214" spans="1:12" x14ac:dyDescent="0.4">
      <c r="A214">
        <v>10460</v>
      </c>
      <c r="B214" s="4">
        <v>34789</v>
      </c>
      <c r="C214" t="s">
        <v>191</v>
      </c>
      <c r="D214" s="1" t="s">
        <v>768</v>
      </c>
      <c r="E214">
        <v>14.087999999999999</v>
      </c>
      <c r="F214">
        <v>10</v>
      </c>
      <c r="G214">
        <f t="shared" si="12"/>
        <v>2</v>
      </c>
      <c r="H214">
        <f>SUMIF(OrderDetailsCustomers!$M$2:$M$2158,A214,OrderDetailsCustomers!$W$2:$W$2158)</f>
        <v>176.1</v>
      </c>
      <c r="J214">
        <f t="shared" si="10"/>
        <v>2</v>
      </c>
      <c r="K214">
        <f>SUMIF(OrderDetailsCustomers!$M$2:$M$2158,'Order Header'!A214,OrderDetailsCustomers!$W$2:$W$2158)</f>
        <v>176.1</v>
      </c>
      <c r="L214" s="11">
        <f t="shared" si="11"/>
        <v>2</v>
      </c>
    </row>
    <row r="215" spans="1:12" x14ac:dyDescent="0.4">
      <c r="A215">
        <v>10461</v>
      </c>
      <c r="B215" s="4">
        <v>34789</v>
      </c>
      <c r="C215" t="s">
        <v>355</v>
      </c>
      <c r="D215" s="1" t="s">
        <v>779</v>
      </c>
      <c r="E215">
        <v>123.096</v>
      </c>
      <c r="F215">
        <v>20</v>
      </c>
      <c r="G215">
        <f t="shared" si="12"/>
        <v>3</v>
      </c>
      <c r="H215">
        <f>SUMIF(OrderDetailsCustomers!$M$2:$M$2158,A215,OrderDetailsCustomers!$W$2:$W$2158)</f>
        <v>1538.7</v>
      </c>
      <c r="J215">
        <f t="shared" si="10"/>
        <v>3</v>
      </c>
      <c r="K215">
        <f>SUMIF(OrderDetailsCustomers!$M$2:$M$2158,'Order Header'!A215,OrderDetailsCustomers!$W$2:$W$2158)</f>
        <v>1538.7</v>
      </c>
      <c r="L215" s="11">
        <f t="shared" si="11"/>
        <v>3</v>
      </c>
    </row>
    <row r="216" spans="1:12" x14ac:dyDescent="0.4">
      <c r="A216">
        <v>10462</v>
      </c>
      <c r="B216" s="4">
        <v>34792</v>
      </c>
      <c r="C216" t="s">
        <v>133</v>
      </c>
      <c r="D216" s="1" t="s">
        <v>769</v>
      </c>
      <c r="E216">
        <v>12.480000000000002</v>
      </c>
      <c r="F216">
        <v>10</v>
      </c>
      <c r="G216">
        <f t="shared" si="12"/>
        <v>2</v>
      </c>
      <c r="H216">
        <f>SUMIF(OrderDetailsCustomers!$M$2:$M$2158,A216,OrderDetailsCustomers!$W$2:$W$2158)</f>
        <v>156.00000000000003</v>
      </c>
      <c r="J216">
        <f t="shared" si="10"/>
        <v>2</v>
      </c>
      <c r="K216">
        <f>SUMIF(OrderDetailsCustomers!$M$2:$M$2158,'Order Header'!A216,OrderDetailsCustomers!$W$2:$W$2158)</f>
        <v>156.00000000000003</v>
      </c>
      <c r="L216" s="11">
        <f t="shared" si="11"/>
        <v>2</v>
      </c>
    </row>
    <row r="217" spans="1:12" x14ac:dyDescent="0.4">
      <c r="A217">
        <v>10463</v>
      </c>
      <c r="B217" s="4">
        <v>34793</v>
      </c>
      <c r="C217" t="s">
        <v>565</v>
      </c>
      <c r="D217" s="1" t="s">
        <v>769</v>
      </c>
      <c r="E217">
        <v>57.064</v>
      </c>
      <c r="F217">
        <v>15</v>
      </c>
      <c r="G217">
        <f t="shared" si="12"/>
        <v>3</v>
      </c>
      <c r="H217">
        <f>SUMIF(OrderDetailsCustomers!$M$2:$M$2158,A217,OrderDetailsCustomers!$W$2:$W$2158)</f>
        <v>713.3</v>
      </c>
      <c r="J217">
        <f t="shared" si="10"/>
        <v>3</v>
      </c>
      <c r="K217">
        <f>SUMIF(OrderDetailsCustomers!$M$2:$M$2158,'Order Header'!A217,OrderDetailsCustomers!$W$2:$W$2158)</f>
        <v>713.3</v>
      </c>
      <c r="L217" s="11">
        <f t="shared" si="11"/>
        <v>3</v>
      </c>
    </row>
    <row r="218" spans="1:12" x14ac:dyDescent="0.4">
      <c r="A218">
        <v>10464</v>
      </c>
      <c r="B218" s="4">
        <v>34793</v>
      </c>
      <c r="C218" t="s">
        <v>219</v>
      </c>
      <c r="D218" s="1" t="s">
        <v>770</v>
      </c>
      <c r="E218">
        <v>128.7424</v>
      </c>
      <c r="F218">
        <v>20</v>
      </c>
      <c r="G218">
        <f t="shared" si="12"/>
        <v>3</v>
      </c>
      <c r="H218">
        <f>SUMIF(OrderDetailsCustomers!$M$2:$M$2158,A218,OrderDetailsCustomers!$W$2:$W$2158)</f>
        <v>1609.28</v>
      </c>
      <c r="J218">
        <f t="shared" si="10"/>
        <v>3</v>
      </c>
      <c r="K218">
        <f>SUMIF(OrderDetailsCustomers!$M$2:$M$2158,'Order Header'!A218,OrderDetailsCustomers!$W$2:$W$2158)</f>
        <v>1609.28</v>
      </c>
      <c r="L218" s="11">
        <f t="shared" si="11"/>
        <v>3</v>
      </c>
    </row>
    <row r="219" spans="1:12" x14ac:dyDescent="0.4">
      <c r="A219">
        <v>10465</v>
      </c>
      <c r="B219" s="4">
        <v>34794</v>
      </c>
      <c r="C219" t="s">
        <v>612</v>
      </c>
      <c r="D219" s="1" t="s">
        <v>777</v>
      </c>
      <c r="E219">
        <v>201.44</v>
      </c>
      <c r="F219">
        <v>20</v>
      </c>
      <c r="G219">
        <f t="shared" si="12"/>
        <v>4</v>
      </c>
      <c r="H219">
        <f>SUMIF(OrderDetailsCustomers!$M$2:$M$2158,A219,OrderDetailsCustomers!$W$2:$W$2158)</f>
        <v>2518</v>
      </c>
      <c r="J219">
        <f t="shared" si="10"/>
        <v>4</v>
      </c>
      <c r="K219">
        <f>SUMIF(OrderDetailsCustomers!$M$2:$M$2158,'Order Header'!A219,OrderDetailsCustomers!$W$2:$W$2158)</f>
        <v>2518</v>
      </c>
      <c r="L219" s="11">
        <f t="shared" si="11"/>
        <v>4</v>
      </c>
    </row>
    <row r="220" spans="1:12" x14ac:dyDescent="0.4">
      <c r="A220">
        <v>10466</v>
      </c>
      <c r="B220" s="4">
        <v>34795</v>
      </c>
      <c r="C220" t="s">
        <v>123</v>
      </c>
      <c r="D220" s="1" t="s">
        <v>771</v>
      </c>
      <c r="E220">
        <v>17.28</v>
      </c>
      <c r="F220">
        <v>10</v>
      </c>
      <c r="G220">
        <f t="shared" si="12"/>
        <v>2</v>
      </c>
      <c r="H220">
        <f>SUMIF(OrderDetailsCustomers!$M$2:$M$2158,A220,OrderDetailsCustomers!$W$2:$W$2158)</f>
        <v>216</v>
      </c>
      <c r="J220">
        <f t="shared" si="10"/>
        <v>2</v>
      </c>
      <c r="K220">
        <f>SUMIF(OrderDetailsCustomers!$M$2:$M$2158,'Order Header'!A220,OrderDetailsCustomers!$W$2:$W$2158)</f>
        <v>216</v>
      </c>
      <c r="L220" s="11">
        <f t="shared" si="11"/>
        <v>2</v>
      </c>
    </row>
    <row r="221" spans="1:12" x14ac:dyDescent="0.4">
      <c r="A221">
        <v>10467</v>
      </c>
      <c r="B221" s="4">
        <v>34795</v>
      </c>
      <c r="C221" t="s">
        <v>378</v>
      </c>
      <c r="D221" s="1" t="s">
        <v>776</v>
      </c>
      <c r="E221">
        <v>18.815999999999999</v>
      </c>
      <c r="F221">
        <v>10</v>
      </c>
      <c r="G221">
        <f t="shared" si="12"/>
        <v>2</v>
      </c>
      <c r="H221">
        <f>SUMIF(OrderDetailsCustomers!$M$2:$M$2158,A221,OrderDetailsCustomers!$W$2:$W$2158)</f>
        <v>235.2</v>
      </c>
      <c r="J221">
        <f t="shared" si="10"/>
        <v>2</v>
      </c>
      <c r="K221">
        <f>SUMIF(OrderDetailsCustomers!$M$2:$M$2158,'Order Header'!A221,OrderDetailsCustomers!$W$2:$W$2158)</f>
        <v>235.2</v>
      </c>
      <c r="L221" s="11">
        <f t="shared" si="11"/>
        <v>2</v>
      </c>
    </row>
    <row r="222" spans="1:12" x14ac:dyDescent="0.4">
      <c r="A222">
        <v>10468</v>
      </c>
      <c r="B222" s="4">
        <v>34796</v>
      </c>
      <c r="C222" t="s">
        <v>305</v>
      </c>
      <c r="D222" s="1" t="s">
        <v>766</v>
      </c>
      <c r="E222">
        <v>57.408000000000001</v>
      </c>
      <c r="F222">
        <v>15</v>
      </c>
      <c r="G222">
        <f t="shared" si="12"/>
        <v>3</v>
      </c>
      <c r="H222">
        <f>SUMIF(OrderDetailsCustomers!$M$2:$M$2158,A222,OrderDetailsCustomers!$W$2:$W$2158)</f>
        <v>717.6</v>
      </c>
      <c r="J222">
        <f t="shared" si="10"/>
        <v>3</v>
      </c>
      <c r="K222">
        <f>SUMIF(OrderDetailsCustomers!$M$2:$M$2158,'Order Header'!A222,OrderDetailsCustomers!$W$2:$W$2158)</f>
        <v>717.6</v>
      </c>
      <c r="L222" s="11">
        <f t="shared" si="11"/>
        <v>3</v>
      </c>
    </row>
    <row r="223" spans="1:12" x14ac:dyDescent="0.4">
      <c r="A223">
        <v>10469</v>
      </c>
      <c r="B223" s="4">
        <v>34799</v>
      </c>
      <c r="C223" t="s">
        <v>654</v>
      </c>
      <c r="D223" s="1" t="s">
        <v>776</v>
      </c>
      <c r="E223">
        <v>76.533999999999992</v>
      </c>
      <c r="F223">
        <v>15</v>
      </c>
      <c r="G223">
        <f t="shared" si="12"/>
        <v>3</v>
      </c>
      <c r="H223">
        <f>SUMIF(OrderDetailsCustomers!$M$2:$M$2158,A223,OrderDetailsCustomers!$W$2:$W$2158)</f>
        <v>956.67499999999995</v>
      </c>
      <c r="J223">
        <f t="shared" si="10"/>
        <v>3</v>
      </c>
      <c r="K223">
        <f>SUMIF(OrderDetailsCustomers!$M$2:$M$2158,'Order Header'!A223,OrderDetailsCustomers!$W$2:$W$2158)</f>
        <v>956.67499999999995</v>
      </c>
      <c r="L223" s="11">
        <f t="shared" si="11"/>
        <v>3</v>
      </c>
    </row>
    <row r="224" spans="1:12" x14ac:dyDescent="0.4">
      <c r="A224">
        <v>10470</v>
      </c>
      <c r="B224" s="4">
        <v>34800</v>
      </c>
      <c r="C224" t="s">
        <v>77</v>
      </c>
      <c r="D224" s="1" t="s">
        <v>776</v>
      </c>
      <c r="E224">
        <v>145.66399999999999</v>
      </c>
      <c r="F224">
        <v>20</v>
      </c>
      <c r="G224">
        <f t="shared" si="12"/>
        <v>3</v>
      </c>
      <c r="H224">
        <f>SUMIF(OrderDetailsCustomers!$M$2:$M$2158,A224,OrderDetailsCustomers!$W$2:$W$2158)</f>
        <v>1820.8</v>
      </c>
      <c r="J224">
        <f t="shared" si="10"/>
        <v>3</v>
      </c>
      <c r="K224">
        <f>SUMIF(OrderDetailsCustomers!$M$2:$M$2158,'Order Header'!A224,OrderDetailsCustomers!$W$2:$W$2158)</f>
        <v>1820.8</v>
      </c>
      <c r="L224" s="11">
        <f t="shared" si="11"/>
        <v>3</v>
      </c>
    </row>
    <row r="225" spans="1:12" x14ac:dyDescent="0.4">
      <c r="A225">
        <v>10471</v>
      </c>
      <c r="B225" s="4">
        <v>34800</v>
      </c>
      <c r="C225" t="s">
        <v>95</v>
      </c>
      <c r="D225" s="1" t="s">
        <v>780</v>
      </c>
      <c r="E225">
        <v>106.24000000000001</v>
      </c>
      <c r="F225">
        <v>20</v>
      </c>
      <c r="G225">
        <f t="shared" si="12"/>
        <v>3</v>
      </c>
      <c r="H225">
        <f>SUMIF(OrderDetailsCustomers!$M$2:$M$2158,A225,OrderDetailsCustomers!$W$2:$W$2158)</f>
        <v>1328</v>
      </c>
      <c r="J225">
        <f t="shared" si="10"/>
        <v>3</v>
      </c>
      <c r="K225">
        <f>SUMIF(OrderDetailsCustomers!$M$2:$M$2158,'Order Header'!A225,OrderDetailsCustomers!$W$2:$W$2158)</f>
        <v>1328</v>
      </c>
      <c r="L225" s="11">
        <f t="shared" si="11"/>
        <v>3</v>
      </c>
    </row>
    <row r="226" spans="1:12" x14ac:dyDescent="0.4">
      <c r="A226">
        <v>10472</v>
      </c>
      <c r="B226" s="4">
        <v>34801</v>
      </c>
      <c r="C226" t="s">
        <v>536</v>
      </c>
      <c r="D226" s="1" t="s">
        <v>778</v>
      </c>
      <c r="E226">
        <v>82.944000000000003</v>
      </c>
      <c r="F226">
        <v>20</v>
      </c>
      <c r="G226">
        <f t="shared" si="12"/>
        <v>3</v>
      </c>
      <c r="H226">
        <f>SUMIF(OrderDetailsCustomers!$M$2:$M$2158,A226,OrderDetailsCustomers!$W$2:$W$2158)</f>
        <v>1036.8</v>
      </c>
      <c r="J226">
        <f t="shared" si="10"/>
        <v>3</v>
      </c>
      <c r="K226">
        <f>SUMIF(OrderDetailsCustomers!$M$2:$M$2158,'Order Header'!A226,OrderDetailsCustomers!$W$2:$W$2158)</f>
        <v>1036.8</v>
      </c>
      <c r="L226" s="11">
        <f t="shared" si="11"/>
        <v>3</v>
      </c>
    </row>
    <row r="227" spans="1:12" x14ac:dyDescent="0.4">
      <c r="A227">
        <v>10473</v>
      </c>
      <c r="B227" s="4">
        <v>34802</v>
      </c>
      <c r="C227" t="s">
        <v>297</v>
      </c>
      <c r="D227" s="1" t="s">
        <v>784</v>
      </c>
      <c r="E227">
        <v>18.431999999999999</v>
      </c>
      <c r="F227">
        <v>10</v>
      </c>
      <c r="G227">
        <f t="shared" si="12"/>
        <v>2</v>
      </c>
      <c r="H227">
        <f>SUMIF(OrderDetailsCustomers!$M$2:$M$2158,A227,OrderDetailsCustomers!$W$2:$W$2158)</f>
        <v>230.39999999999998</v>
      </c>
      <c r="J227">
        <f t="shared" si="10"/>
        <v>2</v>
      </c>
      <c r="K227">
        <f>SUMIF(OrderDetailsCustomers!$M$2:$M$2158,'Order Header'!A227,OrderDetailsCustomers!$W$2:$W$2158)</f>
        <v>230.39999999999998</v>
      </c>
      <c r="L227" s="11">
        <f t="shared" si="11"/>
        <v>2</v>
      </c>
    </row>
    <row r="228" spans="1:12" x14ac:dyDescent="0.4">
      <c r="A228">
        <v>10474</v>
      </c>
      <c r="B228" s="4">
        <v>34802</v>
      </c>
      <c r="C228" t="s">
        <v>444</v>
      </c>
      <c r="D228" s="1" t="s">
        <v>784</v>
      </c>
      <c r="E228">
        <v>99.927999999999997</v>
      </c>
      <c r="F228">
        <v>20</v>
      </c>
      <c r="G228">
        <f t="shared" si="12"/>
        <v>3</v>
      </c>
      <c r="H228">
        <f>SUMIF(OrderDetailsCustomers!$M$2:$M$2158,A228,OrderDetailsCustomers!$W$2:$W$2158)</f>
        <v>1249.0999999999999</v>
      </c>
      <c r="J228">
        <f t="shared" si="10"/>
        <v>3</v>
      </c>
      <c r="K228">
        <f>SUMIF(OrderDetailsCustomers!$M$2:$M$2158,'Order Header'!A228,OrderDetailsCustomers!$W$2:$W$2158)</f>
        <v>1249.0999999999999</v>
      </c>
      <c r="L228" s="11">
        <f t="shared" si="11"/>
        <v>3</v>
      </c>
    </row>
    <row r="229" spans="1:12" x14ac:dyDescent="0.4">
      <c r="A229">
        <v>10475</v>
      </c>
      <c r="B229" s="4">
        <v>34803</v>
      </c>
      <c r="C229" t="s">
        <v>565</v>
      </c>
      <c r="D229" s="1" t="s">
        <v>769</v>
      </c>
      <c r="E229">
        <v>120.4144</v>
      </c>
      <c r="F229">
        <v>20</v>
      </c>
      <c r="G229">
        <f t="shared" si="12"/>
        <v>3</v>
      </c>
      <c r="H229">
        <f>SUMIF(OrderDetailsCustomers!$M$2:$M$2158,A229,OrderDetailsCustomers!$W$2:$W$2158)</f>
        <v>1505.18</v>
      </c>
      <c r="J229">
        <f t="shared" si="10"/>
        <v>3</v>
      </c>
      <c r="K229">
        <f>SUMIF(OrderDetailsCustomers!$M$2:$M$2158,'Order Header'!A229,OrderDetailsCustomers!$W$2:$W$2158)</f>
        <v>1505.18</v>
      </c>
      <c r="L229" s="11">
        <f t="shared" si="11"/>
        <v>3</v>
      </c>
    </row>
    <row r="230" spans="1:12" x14ac:dyDescent="0.4">
      <c r="A230">
        <v>10476</v>
      </c>
      <c r="B230" s="4">
        <v>34806</v>
      </c>
      <c r="C230" t="s">
        <v>273</v>
      </c>
      <c r="D230" s="1" t="s">
        <v>771</v>
      </c>
      <c r="E230">
        <v>14.4384</v>
      </c>
      <c r="F230">
        <v>10</v>
      </c>
      <c r="G230">
        <f t="shared" si="12"/>
        <v>2</v>
      </c>
      <c r="H230">
        <f>SUMIF(OrderDetailsCustomers!$M$2:$M$2158,A230,OrderDetailsCustomers!$W$2:$W$2158)</f>
        <v>180.48</v>
      </c>
      <c r="J230">
        <f t="shared" si="10"/>
        <v>2</v>
      </c>
      <c r="K230">
        <f>SUMIF(OrderDetailsCustomers!$M$2:$M$2158,'Order Header'!A230,OrderDetailsCustomers!$W$2:$W$2158)</f>
        <v>180.48</v>
      </c>
      <c r="L230" s="11">
        <f t="shared" si="11"/>
        <v>2</v>
      </c>
    </row>
    <row r="231" spans="1:12" x14ac:dyDescent="0.4">
      <c r="A231">
        <v>10477</v>
      </c>
      <c r="B231" s="4">
        <v>34806</v>
      </c>
      <c r="C231" t="s">
        <v>457</v>
      </c>
      <c r="D231" s="1" t="s">
        <v>772</v>
      </c>
      <c r="E231">
        <v>44.64</v>
      </c>
      <c r="F231">
        <v>15</v>
      </c>
      <c r="G231">
        <f t="shared" si="12"/>
        <v>2</v>
      </c>
      <c r="H231">
        <f>SUMIF(OrderDetailsCustomers!$M$2:$M$2158,A231,OrderDetailsCustomers!$W$2:$W$2158)</f>
        <v>558</v>
      </c>
      <c r="J231">
        <f t="shared" si="10"/>
        <v>2</v>
      </c>
      <c r="K231">
        <f>SUMIF(OrderDetailsCustomers!$M$2:$M$2158,'Order Header'!A231,OrderDetailsCustomers!$W$2:$W$2158)</f>
        <v>558</v>
      </c>
      <c r="L231" s="11">
        <f t="shared" si="11"/>
        <v>2</v>
      </c>
    </row>
    <row r="232" spans="1:12" x14ac:dyDescent="0.4">
      <c r="A232">
        <v>10478</v>
      </c>
      <c r="B232" s="4">
        <v>34807</v>
      </c>
      <c r="C232" t="s">
        <v>619</v>
      </c>
      <c r="D232" s="1" t="s">
        <v>768</v>
      </c>
      <c r="E232">
        <v>37.695999999999998</v>
      </c>
      <c r="F232">
        <v>10</v>
      </c>
      <c r="G232">
        <f t="shared" si="12"/>
        <v>2</v>
      </c>
      <c r="H232">
        <f>SUMIF(OrderDetailsCustomers!$M$2:$M$2158,A232,OrderDetailsCustomers!$W$2:$W$2158)</f>
        <v>471.2</v>
      </c>
      <c r="J232">
        <f t="shared" si="10"/>
        <v>2</v>
      </c>
      <c r="K232">
        <f>SUMIF(OrderDetailsCustomers!$M$2:$M$2158,'Order Header'!A232,OrderDetailsCustomers!$W$2:$W$2158)</f>
        <v>471.2</v>
      </c>
      <c r="L232" s="11">
        <f t="shared" si="11"/>
        <v>2</v>
      </c>
    </row>
    <row r="233" spans="1:12" x14ac:dyDescent="0.4">
      <c r="A233">
        <v>10479</v>
      </c>
      <c r="B233" s="4">
        <v>34808</v>
      </c>
      <c r="C233" t="s">
        <v>487</v>
      </c>
      <c r="D233" s="1" t="s">
        <v>765</v>
      </c>
      <c r="E233">
        <v>839.64800000000002</v>
      </c>
      <c r="F233">
        <v>20</v>
      </c>
      <c r="G233">
        <f t="shared" si="12"/>
        <v>5</v>
      </c>
      <c r="H233">
        <f>SUMIF(OrderDetailsCustomers!$M$2:$M$2158,A233,OrderDetailsCustomers!$W$2:$W$2158)</f>
        <v>10495.6</v>
      </c>
      <c r="J233">
        <f t="shared" si="10"/>
        <v>5</v>
      </c>
      <c r="K233">
        <f>SUMIF(OrderDetailsCustomers!$M$2:$M$2158,'Order Header'!A233,OrderDetailsCustomers!$W$2:$W$2158)</f>
        <v>10495.6</v>
      </c>
      <c r="L233" s="11">
        <f t="shared" si="11"/>
        <v>5</v>
      </c>
    </row>
    <row r="234" spans="1:12" x14ac:dyDescent="0.4">
      <c r="A234">
        <v>10480</v>
      </c>
      <c r="B234" s="4">
        <v>34809</v>
      </c>
      <c r="C234" t="s">
        <v>183</v>
      </c>
      <c r="D234" s="1" t="s">
        <v>777</v>
      </c>
      <c r="E234">
        <v>60.480000000000004</v>
      </c>
      <c r="F234">
        <v>15</v>
      </c>
      <c r="G234">
        <f t="shared" si="12"/>
        <v>3</v>
      </c>
      <c r="H234">
        <f>SUMIF(OrderDetailsCustomers!$M$2:$M$2158,A234,OrderDetailsCustomers!$W$2:$W$2158)</f>
        <v>756</v>
      </c>
      <c r="J234">
        <f t="shared" si="10"/>
        <v>3</v>
      </c>
      <c r="K234">
        <f>SUMIF(OrderDetailsCustomers!$M$2:$M$2158,'Order Header'!A234,OrderDetailsCustomers!$W$2:$W$2158)</f>
        <v>756</v>
      </c>
      <c r="L234" s="11">
        <f t="shared" si="11"/>
        <v>3</v>
      </c>
    </row>
    <row r="235" spans="1:12" x14ac:dyDescent="0.4">
      <c r="A235">
        <v>10481</v>
      </c>
      <c r="B235" s="4">
        <v>34809</v>
      </c>
      <c r="C235" t="s">
        <v>503</v>
      </c>
      <c r="D235" s="1" t="s">
        <v>775</v>
      </c>
      <c r="E235">
        <v>117.76</v>
      </c>
      <c r="F235">
        <v>20</v>
      </c>
      <c r="G235">
        <f t="shared" si="12"/>
        <v>3</v>
      </c>
      <c r="H235">
        <f>SUMIF(OrderDetailsCustomers!$M$2:$M$2158,A235,OrderDetailsCustomers!$W$2:$W$2158)</f>
        <v>1472</v>
      </c>
      <c r="J235">
        <f t="shared" si="10"/>
        <v>3</v>
      </c>
      <c r="K235">
        <f>SUMIF(OrderDetailsCustomers!$M$2:$M$2158,'Order Header'!A235,OrderDetailsCustomers!$W$2:$W$2158)</f>
        <v>1472</v>
      </c>
      <c r="L235" s="11">
        <f t="shared" si="11"/>
        <v>3</v>
      </c>
    </row>
    <row r="236" spans="1:12" x14ac:dyDescent="0.4">
      <c r="A236">
        <v>10482</v>
      </c>
      <c r="B236" s="4">
        <v>34810</v>
      </c>
      <c r="C236" t="s">
        <v>333</v>
      </c>
      <c r="D236" s="1" t="s">
        <v>777</v>
      </c>
      <c r="E236">
        <v>11.76</v>
      </c>
      <c r="F236">
        <v>10</v>
      </c>
      <c r="G236">
        <f t="shared" si="12"/>
        <v>2</v>
      </c>
      <c r="H236">
        <f>SUMIF(OrderDetailsCustomers!$M$2:$M$2158,A236,OrderDetailsCustomers!$W$2:$W$2158)</f>
        <v>147</v>
      </c>
      <c r="J236">
        <f t="shared" si="10"/>
        <v>2</v>
      </c>
      <c r="K236">
        <f>SUMIF(OrderDetailsCustomers!$M$2:$M$2158,'Order Header'!A236,OrderDetailsCustomers!$W$2:$W$2158)</f>
        <v>147</v>
      </c>
      <c r="L236" s="11">
        <f t="shared" si="11"/>
        <v>2</v>
      </c>
    </row>
    <row r="237" spans="1:12" x14ac:dyDescent="0.4">
      <c r="A237">
        <v>10483</v>
      </c>
      <c r="B237" s="4">
        <v>34813</v>
      </c>
      <c r="C237" t="s">
        <v>654</v>
      </c>
      <c r="D237" s="1" t="s">
        <v>776</v>
      </c>
      <c r="E237">
        <v>53.503999999999998</v>
      </c>
      <c r="F237">
        <v>15</v>
      </c>
      <c r="G237">
        <f t="shared" si="12"/>
        <v>3</v>
      </c>
      <c r="H237">
        <f>SUMIF(OrderDetailsCustomers!$M$2:$M$2158,A237,OrderDetailsCustomers!$W$2:$W$2158)</f>
        <v>668.8</v>
      </c>
      <c r="J237">
        <f t="shared" si="10"/>
        <v>3</v>
      </c>
      <c r="K237">
        <f>SUMIF(OrderDetailsCustomers!$M$2:$M$2158,'Order Header'!A237,OrderDetailsCustomers!$W$2:$W$2158)</f>
        <v>668.8</v>
      </c>
      <c r="L237" s="11">
        <f t="shared" si="11"/>
        <v>3</v>
      </c>
    </row>
    <row r="238" spans="1:12" x14ac:dyDescent="0.4">
      <c r="A238">
        <v>10484</v>
      </c>
      <c r="B238" s="4">
        <v>34813</v>
      </c>
      <c r="C238" t="s">
        <v>95</v>
      </c>
      <c r="D238" s="1" t="s">
        <v>780</v>
      </c>
      <c r="E238">
        <v>30.896000000000001</v>
      </c>
      <c r="F238">
        <v>10</v>
      </c>
      <c r="G238">
        <f t="shared" si="12"/>
        <v>2</v>
      </c>
      <c r="H238">
        <f>SUMIF(OrderDetailsCustomers!$M$2:$M$2158,A238,OrderDetailsCustomers!$W$2:$W$2158)</f>
        <v>386.2</v>
      </c>
      <c r="J238">
        <f t="shared" si="10"/>
        <v>2</v>
      </c>
      <c r="K238">
        <f>SUMIF(OrderDetailsCustomers!$M$2:$M$2158,'Order Header'!A238,OrderDetailsCustomers!$W$2:$W$2158)</f>
        <v>386.2</v>
      </c>
      <c r="L238" s="11">
        <f t="shared" si="11"/>
        <v>2</v>
      </c>
    </row>
    <row r="239" spans="1:12" x14ac:dyDescent="0.4">
      <c r="A239">
        <v>10485</v>
      </c>
      <c r="B239" s="4">
        <v>34814</v>
      </c>
      <c r="C239" t="s">
        <v>363</v>
      </c>
      <c r="D239" s="1" t="s">
        <v>775</v>
      </c>
      <c r="E239">
        <v>126.72</v>
      </c>
      <c r="F239">
        <v>20</v>
      </c>
      <c r="G239">
        <f t="shared" si="12"/>
        <v>3</v>
      </c>
      <c r="H239">
        <f>SUMIF(OrderDetailsCustomers!$M$2:$M$2158,A239,OrderDetailsCustomers!$W$2:$W$2158)</f>
        <v>1584</v>
      </c>
      <c r="J239">
        <f t="shared" si="10"/>
        <v>3</v>
      </c>
      <c r="K239">
        <f>SUMIF(OrderDetailsCustomers!$M$2:$M$2158,'Order Header'!A239,OrderDetailsCustomers!$W$2:$W$2158)</f>
        <v>1584</v>
      </c>
      <c r="L239" s="11">
        <f t="shared" si="11"/>
        <v>3</v>
      </c>
    </row>
    <row r="240" spans="1:12" x14ac:dyDescent="0.4">
      <c r="A240">
        <v>10486</v>
      </c>
      <c r="B240" s="4">
        <v>34815</v>
      </c>
      <c r="C240" t="s">
        <v>273</v>
      </c>
      <c r="D240" s="1" t="s">
        <v>771</v>
      </c>
      <c r="E240">
        <v>101.76</v>
      </c>
      <c r="F240">
        <v>20</v>
      </c>
      <c r="G240">
        <f t="shared" si="12"/>
        <v>3</v>
      </c>
      <c r="H240">
        <f>SUMIF(OrderDetailsCustomers!$M$2:$M$2158,A240,OrderDetailsCustomers!$W$2:$W$2158)</f>
        <v>1272</v>
      </c>
      <c r="J240">
        <f t="shared" si="10"/>
        <v>3</v>
      </c>
      <c r="K240">
        <f>SUMIF(OrderDetailsCustomers!$M$2:$M$2158,'Order Header'!A240,OrderDetailsCustomers!$W$2:$W$2158)</f>
        <v>1272</v>
      </c>
      <c r="L240" s="11">
        <f t="shared" si="11"/>
        <v>3</v>
      </c>
    </row>
    <row r="241" spans="1:12" x14ac:dyDescent="0.4">
      <c r="A241">
        <v>10487</v>
      </c>
      <c r="B241" s="4">
        <v>34815</v>
      </c>
      <c r="C241" t="s">
        <v>469</v>
      </c>
      <c r="D241" s="1" t="s">
        <v>783</v>
      </c>
      <c r="E241">
        <v>71.176000000000002</v>
      </c>
      <c r="F241">
        <v>15</v>
      </c>
      <c r="G241">
        <f t="shared" si="12"/>
        <v>3</v>
      </c>
      <c r="H241">
        <f>SUMIF(OrderDetailsCustomers!$M$2:$M$2158,A241,OrderDetailsCustomers!$W$2:$W$2158)</f>
        <v>889.7</v>
      </c>
      <c r="J241">
        <f t="shared" si="10"/>
        <v>3</v>
      </c>
      <c r="K241">
        <f>SUMIF(OrderDetailsCustomers!$M$2:$M$2158,'Order Header'!A241,OrderDetailsCustomers!$W$2:$W$2158)</f>
        <v>889.7</v>
      </c>
      <c r="L241" s="11">
        <f t="shared" si="11"/>
        <v>3</v>
      </c>
    </row>
    <row r="242" spans="1:12" x14ac:dyDescent="0.4">
      <c r="A242">
        <v>10488</v>
      </c>
      <c r="B242" s="4">
        <v>34816</v>
      </c>
      <c r="C242" t="s">
        <v>198</v>
      </c>
      <c r="D242" s="1" t="s">
        <v>765</v>
      </c>
      <c r="E242">
        <v>120.96000000000001</v>
      </c>
      <c r="F242">
        <v>20</v>
      </c>
      <c r="G242">
        <f t="shared" si="12"/>
        <v>3</v>
      </c>
      <c r="H242">
        <f>SUMIF(OrderDetailsCustomers!$M$2:$M$2158,A242,OrderDetailsCustomers!$W$2:$W$2158)</f>
        <v>1512</v>
      </c>
      <c r="J242">
        <f t="shared" si="10"/>
        <v>3</v>
      </c>
      <c r="K242">
        <f>SUMIF(OrderDetailsCustomers!$M$2:$M$2158,'Order Header'!A242,OrderDetailsCustomers!$W$2:$W$2158)</f>
        <v>1512</v>
      </c>
      <c r="L242" s="11">
        <f t="shared" si="11"/>
        <v>3</v>
      </c>
    </row>
    <row r="243" spans="1:12" x14ac:dyDescent="0.4">
      <c r="A243">
        <v>10489</v>
      </c>
      <c r="B243" s="4">
        <v>34817</v>
      </c>
      <c r="C243" t="s">
        <v>450</v>
      </c>
      <c r="D243" s="1" t="s">
        <v>766</v>
      </c>
      <c r="E243">
        <v>35.136000000000003</v>
      </c>
      <c r="F243">
        <v>10</v>
      </c>
      <c r="G243">
        <f t="shared" si="12"/>
        <v>2</v>
      </c>
      <c r="H243">
        <f>SUMIF(OrderDetailsCustomers!$M$2:$M$2158,A243,OrderDetailsCustomers!$W$2:$W$2158)</f>
        <v>439.20000000000005</v>
      </c>
      <c r="J243">
        <f t="shared" si="10"/>
        <v>2</v>
      </c>
      <c r="K243">
        <f>SUMIF(OrderDetailsCustomers!$M$2:$M$2158,'Order Header'!A243,OrderDetailsCustomers!$W$2:$W$2158)</f>
        <v>439.20000000000005</v>
      </c>
      <c r="L243" s="11">
        <f t="shared" si="11"/>
        <v>2</v>
      </c>
    </row>
    <row r="244" spans="1:12" x14ac:dyDescent="0.4">
      <c r="A244">
        <v>10490</v>
      </c>
      <c r="B244" s="4">
        <v>34820</v>
      </c>
      <c r="C244" t="s">
        <v>273</v>
      </c>
      <c r="D244" s="1" t="s">
        <v>771</v>
      </c>
      <c r="E244">
        <v>253.05599999999998</v>
      </c>
      <c r="F244">
        <v>20</v>
      </c>
      <c r="G244">
        <f t="shared" si="12"/>
        <v>5</v>
      </c>
      <c r="H244">
        <f>SUMIF(OrderDetailsCustomers!$M$2:$M$2158,A244,OrderDetailsCustomers!$W$2:$W$2158)</f>
        <v>3163.2</v>
      </c>
      <c r="J244">
        <f t="shared" si="10"/>
        <v>5</v>
      </c>
      <c r="K244">
        <f>SUMIF(OrderDetailsCustomers!$M$2:$M$2158,'Order Header'!A244,OrderDetailsCustomers!$W$2:$W$2158)</f>
        <v>3163.2</v>
      </c>
      <c r="L244" s="11">
        <f t="shared" si="11"/>
        <v>5</v>
      </c>
    </row>
    <row r="245" spans="1:12" x14ac:dyDescent="0.4">
      <c r="A245">
        <v>10491</v>
      </c>
      <c r="B245" s="4">
        <v>34820</v>
      </c>
      <c r="C245" t="s">
        <v>219</v>
      </c>
      <c r="D245" s="1" t="s">
        <v>770</v>
      </c>
      <c r="E245">
        <v>20.760400000000001</v>
      </c>
      <c r="F245">
        <v>10</v>
      </c>
      <c r="G245">
        <f t="shared" si="12"/>
        <v>2</v>
      </c>
      <c r="H245">
        <f>SUMIF(OrderDetailsCustomers!$M$2:$M$2158,A245,OrderDetailsCustomers!$W$2:$W$2158)</f>
        <v>259.505</v>
      </c>
      <c r="J245">
        <f t="shared" si="10"/>
        <v>2</v>
      </c>
      <c r="K245">
        <f>SUMIF(OrderDetailsCustomers!$M$2:$M$2158,'Order Header'!A245,OrderDetailsCustomers!$W$2:$W$2158)</f>
        <v>259.505</v>
      </c>
      <c r="L245" s="11">
        <f t="shared" si="11"/>
        <v>2</v>
      </c>
    </row>
    <row r="246" spans="1:12" x14ac:dyDescent="0.4">
      <c r="A246">
        <v>10492</v>
      </c>
      <c r="B246" s="4">
        <v>34821</v>
      </c>
      <c r="C246" t="s">
        <v>84</v>
      </c>
      <c r="D246" s="1" t="s">
        <v>782</v>
      </c>
      <c r="E246">
        <v>68.095999999999989</v>
      </c>
      <c r="F246">
        <v>15</v>
      </c>
      <c r="G246">
        <f t="shared" si="12"/>
        <v>3</v>
      </c>
      <c r="H246">
        <f>SUMIF(OrderDetailsCustomers!$M$2:$M$2158,A246,OrderDetailsCustomers!$W$2:$W$2158)</f>
        <v>851.19999999999993</v>
      </c>
      <c r="J246">
        <f t="shared" si="10"/>
        <v>3</v>
      </c>
      <c r="K246">
        <f>SUMIF(OrderDetailsCustomers!$M$2:$M$2158,'Order Header'!A246,OrderDetailsCustomers!$W$2:$W$2158)</f>
        <v>851.19999999999993</v>
      </c>
      <c r="L246" s="11">
        <f t="shared" si="11"/>
        <v>3</v>
      </c>
    </row>
    <row r="247" spans="1:12" x14ac:dyDescent="0.4">
      <c r="A247">
        <v>10493</v>
      </c>
      <c r="B247" s="4">
        <v>34822</v>
      </c>
      <c r="C247" t="s">
        <v>318</v>
      </c>
      <c r="D247" s="1" t="s">
        <v>774</v>
      </c>
      <c r="E247">
        <v>48.672000000000011</v>
      </c>
      <c r="F247">
        <v>15</v>
      </c>
      <c r="G247">
        <f t="shared" si="12"/>
        <v>2</v>
      </c>
      <c r="H247">
        <f>SUMIF(OrderDetailsCustomers!$M$2:$M$2158,A247,OrderDetailsCustomers!$W$2:$W$2158)</f>
        <v>608.40000000000009</v>
      </c>
      <c r="J247">
        <f t="shared" si="10"/>
        <v>2</v>
      </c>
      <c r="K247">
        <f>SUMIF(OrderDetailsCustomers!$M$2:$M$2158,'Order Header'!A247,OrderDetailsCustomers!$W$2:$W$2158)</f>
        <v>608.40000000000009</v>
      </c>
      <c r="L247" s="11">
        <f t="shared" si="11"/>
        <v>2</v>
      </c>
    </row>
    <row r="248" spans="1:12" x14ac:dyDescent="0.4">
      <c r="A248">
        <v>10494</v>
      </c>
      <c r="B248" s="4">
        <v>34822</v>
      </c>
      <c r="C248" t="s">
        <v>123</v>
      </c>
      <c r="D248" s="1" t="s">
        <v>771</v>
      </c>
      <c r="E248">
        <v>72.960000000000008</v>
      </c>
      <c r="F248">
        <v>15</v>
      </c>
      <c r="G248">
        <f t="shared" si="12"/>
        <v>3</v>
      </c>
      <c r="H248">
        <f>SUMIF(OrderDetailsCustomers!$M$2:$M$2158,A248,OrderDetailsCustomers!$W$2:$W$2158)</f>
        <v>912</v>
      </c>
      <c r="J248">
        <f t="shared" si="10"/>
        <v>3</v>
      </c>
      <c r="K248">
        <f>SUMIF(OrderDetailsCustomers!$M$2:$M$2158,'Order Header'!A248,OrderDetailsCustomers!$W$2:$W$2158)</f>
        <v>912</v>
      </c>
      <c r="L248" s="11">
        <f t="shared" si="11"/>
        <v>3</v>
      </c>
    </row>
    <row r="249" spans="1:12" x14ac:dyDescent="0.4">
      <c r="A249">
        <v>10495</v>
      </c>
      <c r="B249" s="4">
        <v>34823</v>
      </c>
      <c r="C249" t="s">
        <v>325</v>
      </c>
      <c r="D249" s="1" t="s">
        <v>783</v>
      </c>
      <c r="E249">
        <v>22.240000000000002</v>
      </c>
      <c r="F249">
        <v>10</v>
      </c>
      <c r="G249">
        <f t="shared" si="12"/>
        <v>2</v>
      </c>
      <c r="H249">
        <f>SUMIF(OrderDetailsCustomers!$M$2:$M$2158,A249,OrderDetailsCustomers!$W$2:$W$2158)</f>
        <v>278</v>
      </c>
      <c r="J249">
        <f t="shared" si="10"/>
        <v>2</v>
      </c>
      <c r="K249">
        <f>SUMIF(OrderDetailsCustomers!$M$2:$M$2158,'Order Header'!A249,OrderDetailsCustomers!$W$2:$W$2158)</f>
        <v>278</v>
      </c>
      <c r="L249" s="11">
        <f t="shared" si="11"/>
        <v>2</v>
      </c>
    </row>
    <row r="250" spans="1:12" x14ac:dyDescent="0.4">
      <c r="A250">
        <v>10496</v>
      </c>
      <c r="B250" s="4">
        <v>34824</v>
      </c>
      <c r="C250" t="s">
        <v>598</v>
      </c>
      <c r="D250" s="1" t="s">
        <v>774</v>
      </c>
      <c r="E250">
        <v>15.200000000000001</v>
      </c>
      <c r="F250">
        <v>10</v>
      </c>
      <c r="G250">
        <f t="shared" si="12"/>
        <v>2</v>
      </c>
      <c r="H250">
        <f>SUMIF(OrderDetailsCustomers!$M$2:$M$2158,A250,OrderDetailsCustomers!$W$2:$W$2158)</f>
        <v>190</v>
      </c>
      <c r="J250">
        <f t="shared" si="10"/>
        <v>2</v>
      </c>
      <c r="K250">
        <f>SUMIF(OrderDetailsCustomers!$M$2:$M$2158,'Order Header'!A250,OrderDetailsCustomers!$W$2:$W$2158)</f>
        <v>190</v>
      </c>
      <c r="L250" s="11">
        <f t="shared" si="11"/>
        <v>2</v>
      </c>
    </row>
    <row r="251" spans="1:12" x14ac:dyDescent="0.4">
      <c r="A251">
        <v>10497</v>
      </c>
      <c r="B251" s="4">
        <v>34824</v>
      </c>
      <c r="C251" t="s">
        <v>341</v>
      </c>
      <c r="D251" s="1" t="s">
        <v>768</v>
      </c>
      <c r="E251">
        <v>110.44799999999999</v>
      </c>
      <c r="F251">
        <v>20</v>
      </c>
      <c r="G251">
        <f t="shared" si="12"/>
        <v>3</v>
      </c>
      <c r="H251">
        <f>SUMIF(OrderDetailsCustomers!$M$2:$M$2158,A251,OrderDetailsCustomers!$W$2:$W$2158)</f>
        <v>1380.6</v>
      </c>
      <c r="J251">
        <f t="shared" si="10"/>
        <v>3</v>
      </c>
      <c r="K251">
        <f>SUMIF(OrderDetailsCustomers!$M$2:$M$2158,'Order Header'!A251,OrderDetailsCustomers!$W$2:$W$2158)</f>
        <v>1380.6</v>
      </c>
      <c r="L251" s="11">
        <f t="shared" si="11"/>
        <v>3</v>
      </c>
    </row>
    <row r="252" spans="1:12" x14ac:dyDescent="0.4">
      <c r="A252">
        <v>10498</v>
      </c>
      <c r="B252" s="4">
        <v>34827</v>
      </c>
      <c r="C252" t="s">
        <v>273</v>
      </c>
      <c r="D252" s="1" t="s">
        <v>771</v>
      </c>
      <c r="E252">
        <v>46</v>
      </c>
      <c r="F252">
        <v>15</v>
      </c>
      <c r="G252">
        <f t="shared" si="12"/>
        <v>2</v>
      </c>
      <c r="H252">
        <f>SUMIF(OrderDetailsCustomers!$M$2:$M$2158,A252,OrderDetailsCustomers!$W$2:$W$2158)</f>
        <v>575</v>
      </c>
      <c r="J252">
        <f t="shared" si="10"/>
        <v>2</v>
      </c>
      <c r="K252">
        <f>SUMIF(OrderDetailsCustomers!$M$2:$M$2158,'Order Header'!A252,OrderDetailsCustomers!$W$2:$W$2158)</f>
        <v>575</v>
      </c>
      <c r="L252" s="11">
        <f t="shared" si="11"/>
        <v>2</v>
      </c>
    </row>
    <row r="253" spans="1:12" x14ac:dyDescent="0.4">
      <c r="A253">
        <v>10499</v>
      </c>
      <c r="B253" s="4">
        <v>34828</v>
      </c>
      <c r="C253" t="s">
        <v>355</v>
      </c>
      <c r="D253" s="1" t="s">
        <v>779</v>
      </c>
      <c r="E253">
        <v>112.96000000000001</v>
      </c>
      <c r="F253">
        <v>20</v>
      </c>
      <c r="G253">
        <f t="shared" si="12"/>
        <v>3</v>
      </c>
      <c r="H253">
        <f>SUMIF(OrderDetailsCustomers!$M$2:$M$2158,A253,OrderDetailsCustomers!$W$2:$W$2158)</f>
        <v>1412</v>
      </c>
      <c r="J253">
        <f t="shared" si="10"/>
        <v>3</v>
      </c>
      <c r="K253">
        <f>SUMIF(OrderDetailsCustomers!$M$2:$M$2158,'Order Header'!A253,OrderDetailsCustomers!$W$2:$W$2158)</f>
        <v>1412</v>
      </c>
      <c r="L253" s="11">
        <f t="shared" si="11"/>
        <v>3</v>
      </c>
    </row>
    <row r="254" spans="1:12" x14ac:dyDescent="0.4">
      <c r="A254">
        <v>10500</v>
      </c>
      <c r="B254" s="4">
        <v>34829</v>
      </c>
      <c r="C254" t="s">
        <v>318</v>
      </c>
      <c r="D254" s="1" t="s">
        <v>774</v>
      </c>
      <c r="E254">
        <v>41.860799999999998</v>
      </c>
      <c r="F254">
        <v>15</v>
      </c>
      <c r="G254">
        <f t="shared" si="12"/>
        <v>2</v>
      </c>
      <c r="H254">
        <f>SUMIF(OrderDetailsCustomers!$M$2:$M$2158,A254,OrderDetailsCustomers!$W$2:$W$2158)</f>
        <v>523.26</v>
      </c>
      <c r="J254">
        <f t="shared" si="10"/>
        <v>2</v>
      </c>
      <c r="K254">
        <f>SUMIF(OrderDetailsCustomers!$M$2:$M$2158,'Order Header'!A254,OrderDetailsCustomers!$W$2:$W$2158)</f>
        <v>523.26</v>
      </c>
      <c r="L254" s="11">
        <f t="shared" si="11"/>
        <v>2</v>
      </c>
    </row>
    <row r="255" spans="1:12" x14ac:dyDescent="0.4">
      <c r="A255">
        <v>10501</v>
      </c>
      <c r="B255" s="4">
        <v>34829</v>
      </c>
      <c r="C255" t="s">
        <v>53</v>
      </c>
      <c r="D255" s="1" t="s">
        <v>779</v>
      </c>
      <c r="E255">
        <v>11.92</v>
      </c>
      <c r="F255">
        <v>10</v>
      </c>
      <c r="G255">
        <f t="shared" si="12"/>
        <v>2</v>
      </c>
      <c r="H255">
        <f>SUMIF(OrderDetailsCustomers!$M$2:$M$2158,A255,OrderDetailsCustomers!$W$2:$W$2158)</f>
        <v>149</v>
      </c>
      <c r="J255">
        <f t="shared" si="10"/>
        <v>2</v>
      </c>
      <c r="K255">
        <f>SUMIF(OrderDetailsCustomers!$M$2:$M$2158,'Order Header'!A255,OrderDetailsCustomers!$W$2:$W$2158)</f>
        <v>149</v>
      </c>
      <c r="L255" s="11">
        <f t="shared" si="11"/>
        <v>2</v>
      </c>
    </row>
    <row r="256" spans="1:12" x14ac:dyDescent="0.4">
      <c r="A256">
        <v>10502</v>
      </c>
      <c r="B256" s="4">
        <v>34830</v>
      </c>
      <c r="C256" t="s">
        <v>444</v>
      </c>
      <c r="D256" s="1" t="s">
        <v>784</v>
      </c>
      <c r="E256">
        <v>65.304000000000002</v>
      </c>
      <c r="F256">
        <v>15</v>
      </c>
      <c r="G256">
        <f t="shared" si="12"/>
        <v>3</v>
      </c>
      <c r="H256">
        <f>SUMIF(OrderDetailsCustomers!$M$2:$M$2158,A256,OrderDetailsCustomers!$W$2:$W$2158)</f>
        <v>816.3</v>
      </c>
      <c r="J256">
        <f t="shared" si="10"/>
        <v>3</v>
      </c>
      <c r="K256">
        <f>SUMIF(OrderDetailsCustomers!$M$2:$M$2158,'Order Header'!A256,OrderDetailsCustomers!$W$2:$W$2158)</f>
        <v>816.3</v>
      </c>
      <c r="L256" s="11">
        <f t="shared" si="11"/>
        <v>3</v>
      </c>
    </row>
    <row r="257" spans="1:12" x14ac:dyDescent="0.4">
      <c r="A257">
        <v>10503</v>
      </c>
      <c r="B257" s="4">
        <v>34831</v>
      </c>
      <c r="C257" t="s">
        <v>288</v>
      </c>
      <c r="D257" s="1" t="s">
        <v>781</v>
      </c>
      <c r="E257">
        <v>163.88</v>
      </c>
      <c r="F257">
        <v>20</v>
      </c>
      <c r="G257">
        <f t="shared" si="12"/>
        <v>4</v>
      </c>
      <c r="H257">
        <f>SUMIF(OrderDetailsCustomers!$M$2:$M$2158,A257,OrderDetailsCustomers!$W$2:$W$2158)</f>
        <v>2048.5</v>
      </c>
      <c r="J257">
        <f t="shared" si="10"/>
        <v>4</v>
      </c>
      <c r="K257">
        <f>SUMIF(OrderDetailsCustomers!$M$2:$M$2158,'Order Header'!A257,OrderDetailsCustomers!$W$2:$W$2158)</f>
        <v>2048.5</v>
      </c>
      <c r="L257" s="11">
        <f t="shared" si="11"/>
        <v>4</v>
      </c>
    </row>
    <row r="258" spans="1:12" x14ac:dyDescent="0.4">
      <c r="A258">
        <v>10504</v>
      </c>
      <c r="B258" s="4">
        <v>34831</v>
      </c>
      <c r="C258" t="s">
        <v>654</v>
      </c>
      <c r="D258" s="1" t="s">
        <v>776</v>
      </c>
      <c r="E258">
        <v>111.08</v>
      </c>
      <c r="F258">
        <v>20</v>
      </c>
      <c r="G258">
        <f t="shared" si="12"/>
        <v>3</v>
      </c>
      <c r="H258">
        <f>SUMIF(OrderDetailsCustomers!$M$2:$M$2158,A258,OrderDetailsCustomers!$W$2:$W$2158)</f>
        <v>1388.5</v>
      </c>
      <c r="J258">
        <f t="shared" si="10"/>
        <v>3</v>
      </c>
      <c r="K258">
        <f>SUMIF(OrderDetailsCustomers!$M$2:$M$2158,'Order Header'!A258,OrderDetailsCustomers!$W$2:$W$2158)</f>
        <v>1388.5</v>
      </c>
      <c r="L258" s="11">
        <f t="shared" si="11"/>
        <v>3</v>
      </c>
    </row>
    <row r="259" spans="1:12" x14ac:dyDescent="0.4">
      <c r="A259">
        <v>10505</v>
      </c>
      <c r="B259" s="4">
        <v>34834</v>
      </c>
      <c r="C259" t="s">
        <v>394</v>
      </c>
      <c r="D259" s="1" t="s">
        <v>780</v>
      </c>
      <c r="E259">
        <v>11.831999999999999</v>
      </c>
      <c r="F259">
        <v>10</v>
      </c>
      <c r="G259">
        <f t="shared" si="12"/>
        <v>2</v>
      </c>
      <c r="H259">
        <f>SUMIF(OrderDetailsCustomers!$M$2:$M$2158,A259,OrderDetailsCustomers!$W$2:$W$2158)</f>
        <v>147.89999999999998</v>
      </c>
      <c r="J259">
        <f t="shared" ref="J259:J322" si="13">VLOOKUP(E259,$T$1:$U$7,2,TRUE)</f>
        <v>2</v>
      </c>
      <c r="K259">
        <f>SUMIF(OrderDetailsCustomers!$M$2:$M$2158,'Order Header'!A259,OrderDetailsCustomers!$W$2:$W$2158)</f>
        <v>147.89999999999998</v>
      </c>
      <c r="L259" s="11">
        <f t="shared" ref="L259:L322" si="14">VLOOKUP(E259,$T$1:$U$7,2,TRUE)</f>
        <v>2</v>
      </c>
    </row>
    <row r="260" spans="1:12" x14ac:dyDescent="0.4">
      <c r="A260">
        <v>10506</v>
      </c>
      <c r="B260" s="4">
        <v>34835</v>
      </c>
      <c r="C260" t="s">
        <v>305</v>
      </c>
      <c r="D260" s="1" t="s">
        <v>766</v>
      </c>
      <c r="E260">
        <v>33.264000000000003</v>
      </c>
      <c r="F260">
        <v>10</v>
      </c>
      <c r="G260">
        <f t="shared" si="12"/>
        <v>2</v>
      </c>
      <c r="H260">
        <f>SUMIF(OrderDetailsCustomers!$M$2:$M$2158,A260,OrderDetailsCustomers!$W$2:$W$2158)</f>
        <v>415.8</v>
      </c>
      <c r="J260">
        <f t="shared" si="13"/>
        <v>2</v>
      </c>
      <c r="K260">
        <f>SUMIF(OrderDetailsCustomers!$M$2:$M$2158,'Order Header'!A260,OrderDetailsCustomers!$W$2:$W$2158)</f>
        <v>415.8</v>
      </c>
      <c r="L260" s="11">
        <f t="shared" si="14"/>
        <v>2</v>
      </c>
    </row>
    <row r="261" spans="1:12" x14ac:dyDescent="0.4">
      <c r="A261">
        <v>10507</v>
      </c>
      <c r="B261" s="4">
        <v>34835</v>
      </c>
      <c r="C261" t="s">
        <v>29</v>
      </c>
      <c r="D261" s="1" t="s">
        <v>777</v>
      </c>
      <c r="E261">
        <v>59.925000000000004</v>
      </c>
      <c r="F261">
        <v>15</v>
      </c>
      <c r="G261">
        <f t="shared" si="12"/>
        <v>3</v>
      </c>
      <c r="H261">
        <f>SUMIF(OrderDetailsCustomers!$M$2:$M$2158,A261,OrderDetailsCustomers!$W$2:$W$2158)</f>
        <v>749.0625</v>
      </c>
      <c r="J261">
        <f t="shared" si="13"/>
        <v>3</v>
      </c>
      <c r="K261">
        <f>SUMIF(OrderDetailsCustomers!$M$2:$M$2158,'Order Header'!A261,OrderDetailsCustomers!$W$2:$W$2158)</f>
        <v>749.0625</v>
      </c>
      <c r="L261" s="11">
        <f t="shared" si="14"/>
        <v>3</v>
      </c>
    </row>
    <row r="262" spans="1:12" x14ac:dyDescent="0.4">
      <c r="A262">
        <v>10508</v>
      </c>
      <c r="B262" s="4">
        <v>34836</v>
      </c>
      <c r="C262" t="s">
        <v>430</v>
      </c>
      <c r="D262" s="1" t="s">
        <v>769</v>
      </c>
      <c r="E262">
        <v>19.2</v>
      </c>
      <c r="F262">
        <v>10</v>
      </c>
      <c r="G262">
        <f t="shared" si="12"/>
        <v>2</v>
      </c>
      <c r="H262">
        <f>SUMIF(OrderDetailsCustomers!$M$2:$M$2158,A262,OrderDetailsCustomers!$W$2:$W$2158)</f>
        <v>240</v>
      </c>
      <c r="J262">
        <f t="shared" si="13"/>
        <v>2</v>
      </c>
      <c r="K262">
        <f>SUMIF(OrderDetailsCustomers!$M$2:$M$2158,'Order Header'!A262,OrderDetailsCustomers!$W$2:$W$2158)</f>
        <v>240</v>
      </c>
      <c r="L262" s="11">
        <f t="shared" si="14"/>
        <v>2</v>
      </c>
    </row>
    <row r="263" spans="1:12" x14ac:dyDescent="0.4">
      <c r="A263">
        <v>10509</v>
      </c>
      <c r="B263" s="4">
        <v>34837</v>
      </c>
      <c r="C263" t="s">
        <v>53</v>
      </c>
      <c r="D263" s="1" t="s">
        <v>779</v>
      </c>
      <c r="E263">
        <v>10.944000000000001</v>
      </c>
      <c r="F263">
        <v>10</v>
      </c>
      <c r="G263">
        <f t="shared" si="12"/>
        <v>2</v>
      </c>
      <c r="H263">
        <f>SUMIF(OrderDetailsCustomers!$M$2:$M$2158,A263,OrderDetailsCustomers!$W$2:$W$2158)</f>
        <v>136.80000000000001</v>
      </c>
      <c r="J263">
        <f t="shared" si="13"/>
        <v>2</v>
      </c>
      <c r="K263">
        <f>SUMIF(OrderDetailsCustomers!$M$2:$M$2158,'Order Header'!A263,OrderDetailsCustomers!$W$2:$W$2158)</f>
        <v>136.80000000000001</v>
      </c>
      <c r="L263" s="11">
        <f t="shared" si="14"/>
        <v>2</v>
      </c>
    </row>
    <row r="264" spans="1:12" x14ac:dyDescent="0.4">
      <c r="A264">
        <v>10510</v>
      </c>
      <c r="B264" s="4">
        <v>34838</v>
      </c>
      <c r="C264" t="s">
        <v>529</v>
      </c>
      <c r="D264" s="1" t="s">
        <v>780</v>
      </c>
      <c r="E264">
        <v>376.60320000000007</v>
      </c>
      <c r="F264">
        <v>20</v>
      </c>
      <c r="G264">
        <f t="shared" si="12"/>
        <v>5</v>
      </c>
      <c r="H264">
        <f>SUMIF(OrderDetailsCustomers!$M$2:$M$2158,A264,OrderDetailsCustomers!$W$2:$W$2158)</f>
        <v>4707.5400000000009</v>
      </c>
      <c r="J264">
        <f t="shared" si="13"/>
        <v>5</v>
      </c>
      <c r="K264">
        <f>SUMIF(OrderDetailsCustomers!$M$2:$M$2158,'Order Header'!A264,OrderDetailsCustomers!$W$2:$W$2158)</f>
        <v>4707.5400000000009</v>
      </c>
      <c r="L264" s="11">
        <f t="shared" si="14"/>
        <v>5</v>
      </c>
    </row>
    <row r="265" spans="1:12" x14ac:dyDescent="0.4">
      <c r="A265">
        <v>10511</v>
      </c>
      <c r="B265" s="4">
        <v>34838</v>
      </c>
      <c r="C265" t="s">
        <v>77</v>
      </c>
      <c r="D265" s="1" t="s">
        <v>776</v>
      </c>
      <c r="E265">
        <v>204</v>
      </c>
      <c r="F265">
        <v>20</v>
      </c>
      <c r="G265">
        <f t="shared" si="12"/>
        <v>4</v>
      </c>
      <c r="H265">
        <f>SUMIF(OrderDetailsCustomers!$M$2:$M$2158,A265,OrderDetailsCustomers!$W$2:$W$2158)</f>
        <v>2550</v>
      </c>
      <c r="J265">
        <f t="shared" si="13"/>
        <v>4</v>
      </c>
      <c r="K265">
        <f>SUMIF(OrderDetailsCustomers!$M$2:$M$2158,'Order Header'!A265,OrderDetailsCustomers!$W$2:$W$2158)</f>
        <v>2550</v>
      </c>
      <c r="L265" s="11">
        <f t="shared" si="14"/>
        <v>4</v>
      </c>
    </row>
    <row r="266" spans="1:12" x14ac:dyDescent="0.4">
      <c r="A266">
        <v>10512</v>
      </c>
      <c r="B266" s="4">
        <v>34841</v>
      </c>
      <c r="C266" t="s">
        <v>170</v>
      </c>
      <c r="D266" s="1" t="s">
        <v>774</v>
      </c>
      <c r="E266">
        <v>42.023999999999994</v>
      </c>
      <c r="F266">
        <v>15</v>
      </c>
      <c r="G266">
        <f t="shared" si="12"/>
        <v>2</v>
      </c>
      <c r="H266">
        <f>SUMIF(OrderDetailsCustomers!$M$2:$M$2158,A266,OrderDetailsCustomers!$W$2:$W$2158)</f>
        <v>525.29999999999995</v>
      </c>
      <c r="J266">
        <f t="shared" si="13"/>
        <v>2</v>
      </c>
      <c r="K266">
        <f>SUMIF(OrderDetailsCustomers!$M$2:$M$2158,'Order Header'!A266,OrderDetailsCustomers!$W$2:$W$2158)</f>
        <v>525.29999999999995</v>
      </c>
      <c r="L266" s="11">
        <f t="shared" si="14"/>
        <v>2</v>
      </c>
    </row>
    <row r="267" spans="1:12" x14ac:dyDescent="0.4">
      <c r="A267">
        <v>10513</v>
      </c>
      <c r="B267" s="4">
        <v>34842</v>
      </c>
      <c r="C267" t="s">
        <v>633</v>
      </c>
      <c r="D267" s="1" t="s">
        <v>779</v>
      </c>
      <c r="E267">
        <v>155.36000000000001</v>
      </c>
      <c r="F267">
        <v>20</v>
      </c>
      <c r="G267">
        <f t="shared" si="12"/>
        <v>4</v>
      </c>
      <c r="H267">
        <f>SUMIF(OrderDetailsCustomers!$M$2:$M$2158,A267,OrderDetailsCustomers!$W$2:$W$2158)</f>
        <v>1942</v>
      </c>
      <c r="J267">
        <f t="shared" si="13"/>
        <v>4</v>
      </c>
      <c r="K267">
        <f>SUMIF(OrderDetailsCustomers!$M$2:$M$2158,'Order Header'!A267,OrderDetailsCustomers!$W$2:$W$2158)</f>
        <v>1942</v>
      </c>
      <c r="L267" s="11">
        <f t="shared" si="14"/>
        <v>4</v>
      </c>
    </row>
    <row r="268" spans="1:12" x14ac:dyDescent="0.4">
      <c r="A268">
        <v>10514</v>
      </c>
      <c r="B268" s="4">
        <v>34842</v>
      </c>
      <c r="C268" t="s">
        <v>161</v>
      </c>
      <c r="D268" s="1" t="s">
        <v>772</v>
      </c>
      <c r="E268">
        <v>689.87600000000009</v>
      </c>
      <c r="F268">
        <v>20</v>
      </c>
      <c r="G268">
        <f t="shared" si="12"/>
        <v>5</v>
      </c>
      <c r="H268">
        <f>SUMIF(OrderDetailsCustomers!$M$2:$M$2158,A268,OrderDetailsCustomers!$W$2:$W$2158)</f>
        <v>8623.4500000000007</v>
      </c>
      <c r="J268">
        <f t="shared" si="13"/>
        <v>5</v>
      </c>
      <c r="K268">
        <f>SUMIF(OrderDetailsCustomers!$M$2:$M$2158,'Order Header'!A268,OrderDetailsCustomers!$W$2:$W$2158)</f>
        <v>8623.4500000000007</v>
      </c>
      <c r="L268" s="11">
        <f t="shared" si="14"/>
        <v>5</v>
      </c>
    </row>
    <row r="269" spans="1:12" x14ac:dyDescent="0.4">
      <c r="A269">
        <v>10515</v>
      </c>
      <c r="B269" s="4">
        <v>34843</v>
      </c>
      <c r="C269" t="s">
        <v>475</v>
      </c>
      <c r="D269" s="1" t="s">
        <v>777</v>
      </c>
      <c r="E269">
        <v>793.70399999999995</v>
      </c>
      <c r="F269">
        <v>20</v>
      </c>
      <c r="G269">
        <f t="shared" si="12"/>
        <v>5</v>
      </c>
      <c r="H269">
        <f>SUMIF(OrderDetailsCustomers!$M$2:$M$2158,A269,OrderDetailsCustomers!$W$2:$W$2158)</f>
        <v>9921.2999999999993</v>
      </c>
      <c r="J269">
        <f t="shared" si="13"/>
        <v>5</v>
      </c>
      <c r="K269">
        <f>SUMIF(OrderDetailsCustomers!$M$2:$M$2158,'Order Header'!A269,OrderDetailsCustomers!$W$2:$W$2158)</f>
        <v>9921.2999999999993</v>
      </c>
      <c r="L269" s="11">
        <f t="shared" si="14"/>
        <v>5</v>
      </c>
    </row>
    <row r="270" spans="1:12" x14ac:dyDescent="0.4">
      <c r="A270">
        <v>10516</v>
      </c>
      <c r="B270" s="4">
        <v>34844</v>
      </c>
      <c r="C270" t="s">
        <v>288</v>
      </c>
      <c r="D270" s="1" t="s">
        <v>781</v>
      </c>
      <c r="E270">
        <v>190.48400000000001</v>
      </c>
      <c r="F270">
        <v>20</v>
      </c>
      <c r="G270">
        <f t="shared" si="12"/>
        <v>4</v>
      </c>
      <c r="H270">
        <f>SUMIF(OrderDetailsCustomers!$M$2:$M$2158,A270,OrderDetailsCustomers!$W$2:$W$2158)</f>
        <v>2381.0500000000002</v>
      </c>
      <c r="J270">
        <f t="shared" si="13"/>
        <v>4</v>
      </c>
      <c r="K270">
        <f>SUMIF(OrderDetailsCustomers!$M$2:$M$2158,'Order Header'!A270,OrderDetailsCustomers!$W$2:$W$2158)</f>
        <v>2381.0500000000002</v>
      </c>
      <c r="L270" s="11">
        <f t="shared" si="14"/>
        <v>4</v>
      </c>
    </row>
    <row r="271" spans="1:12" x14ac:dyDescent="0.4">
      <c r="A271">
        <v>10517</v>
      </c>
      <c r="B271" s="4">
        <v>34844</v>
      </c>
      <c r="C271" t="s">
        <v>409</v>
      </c>
      <c r="D271" s="1" t="s">
        <v>773</v>
      </c>
      <c r="E271">
        <v>28.16</v>
      </c>
      <c r="F271">
        <v>10</v>
      </c>
      <c r="G271">
        <f t="shared" si="12"/>
        <v>2</v>
      </c>
      <c r="H271">
        <f>SUMIF(OrderDetailsCustomers!$M$2:$M$2158,A271,OrderDetailsCustomers!$W$2:$W$2158)</f>
        <v>352</v>
      </c>
      <c r="J271">
        <f t="shared" si="13"/>
        <v>2</v>
      </c>
      <c r="K271">
        <f>SUMIF(OrderDetailsCustomers!$M$2:$M$2158,'Order Header'!A271,OrderDetailsCustomers!$W$2:$W$2158)</f>
        <v>352</v>
      </c>
      <c r="L271" s="11">
        <f t="shared" si="14"/>
        <v>2</v>
      </c>
    </row>
    <row r="272" spans="1:12" x14ac:dyDescent="0.4">
      <c r="A272">
        <v>10518</v>
      </c>
      <c r="B272" s="4">
        <v>34845</v>
      </c>
      <c r="C272" t="s">
        <v>593</v>
      </c>
      <c r="D272" s="1" t="s">
        <v>772</v>
      </c>
      <c r="E272">
        <v>332.00400000000002</v>
      </c>
      <c r="F272">
        <v>20</v>
      </c>
      <c r="G272">
        <f t="shared" si="12"/>
        <v>5</v>
      </c>
      <c r="H272">
        <f>SUMIF(OrderDetailsCustomers!$M$2:$M$2158,A272,OrderDetailsCustomers!$W$2:$W$2158)</f>
        <v>4150.05</v>
      </c>
      <c r="J272">
        <f t="shared" si="13"/>
        <v>5</v>
      </c>
      <c r="K272">
        <f>SUMIF(OrderDetailsCustomers!$M$2:$M$2158,'Order Header'!A272,OrderDetailsCustomers!$W$2:$W$2158)</f>
        <v>4150.05</v>
      </c>
      <c r="L272" s="11">
        <f t="shared" si="14"/>
        <v>5</v>
      </c>
    </row>
    <row r="273" spans="1:12" x14ac:dyDescent="0.4">
      <c r="A273">
        <v>10519</v>
      </c>
      <c r="B273" s="4">
        <v>34848</v>
      </c>
      <c r="C273" t="s">
        <v>116</v>
      </c>
      <c r="D273" s="1" t="s">
        <v>767</v>
      </c>
      <c r="E273">
        <v>185.136</v>
      </c>
      <c r="F273">
        <v>20</v>
      </c>
      <c r="G273">
        <f t="shared" si="12"/>
        <v>4</v>
      </c>
      <c r="H273">
        <f>SUMIF(OrderDetailsCustomers!$M$2:$M$2158,A273,OrderDetailsCustomers!$W$2:$W$2158)</f>
        <v>2314.1999999999998</v>
      </c>
      <c r="J273">
        <f t="shared" si="13"/>
        <v>4</v>
      </c>
      <c r="K273">
        <f>SUMIF(OrderDetailsCustomers!$M$2:$M$2158,'Order Header'!A273,OrderDetailsCustomers!$W$2:$W$2158)</f>
        <v>2314.1999999999998</v>
      </c>
      <c r="L273" s="11">
        <f t="shared" si="14"/>
        <v>4</v>
      </c>
    </row>
    <row r="274" spans="1:12" x14ac:dyDescent="0.4">
      <c r="A274">
        <v>10520</v>
      </c>
      <c r="B274" s="4">
        <v>34849</v>
      </c>
      <c r="C274" t="s">
        <v>521</v>
      </c>
      <c r="D274" s="1" t="s">
        <v>782</v>
      </c>
      <c r="E274">
        <v>16</v>
      </c>
      <c r="F274">
        <v>10</v>
      </c>
      <c r="G274">
        <f t="shared" si="12"/>
        <v>2</v>
      </c>
      <c r="H274">
        <f>SUMIF(OrderDetailsCustomers!$M$2:$M$2158,A274,OrderDetailsCustomers!$W$2:$W$2158)</f>
        <v>200</v>
      </c>
      <c r="J274">
        <f t="shared" si="13"/>
        <v>2</v>
      </c>
      <c r="K274">
        <f>SUMIF(OrderDetailsCustomers!$M$2:$M$2158,'Order Header'!A274,OrderDetailsCustomers!$W$2:$W$2158)</f>
        <v>200</v>
      </c>
      <c r="L274" s="11">
        <f t="shared" si="14"/>
        <v>2</v>
      </c>
    </row>
    <row r="275" spans="1:12" x14ac:dyDescent="0.4">
      <c r="A275">
        <v>10521</v>
      </c>
      <c r="B275" s="4">
        <v>34849</v>
      </c>
      <c r="C275" t="s">
        <v>101</v>
      </c>
      <c r="D275" s="1" t="s">
        <v>778</v>
      </c>
      <c r="E275">
        <v>18.04</v>
      </c>
      <c r="F275">
        <v>10</v>
      </c>
      <c r="G275">
        <f t="shared" si="12"/>
        <v>2</v>
      </c>
      <c r="H275">
        <f>SUMIF(OrderDetailsCustomers!$M$2:$M$2158,A275,OrderDetailsCustomers!$W$2:$W$2158)</f>
        <v>225.5</v>
      </c>
      <c r="J275">
        <f t="shared" si="13"/>
        <v>2</v>
      </c>
      <c r="K275">
        <f>SUMIF(OrderDetailsCustomers!$M$2:$M$2158,'Order Header'!A275,OrderDetailsCustomers!$W$2:$W$2158)</f>
        <v>225.5</v>
      </c>
      <c r="L275" s="11">
        <f t="shared" si="14"/>
        <v>2</v>
      </c>
    </row>
    <row r="276" spans="1:12" x14ac:dyDescent="0.4">
      <c r="A276">
        <v>10522</v>
      </c>
      <c r="B276" s="4">
        <v>34850</v>
      </c>
      <c r="C276" t="s">
        <v>341</v>
      </c>
      <c r="D276" s="1" t="s">
        <v>768</v>
      </c>
      <c r="E276">
        <v>185.45919999999998</v>
      </c>
      <c r="F276">
        <v>20</v>
      </c>
      <c r="G276">
        <f t="shared" si="12"/>
        <v>4</v>
      </c>
      <c r="H276">
        <f>SUMIF(OrderDetailsCustomers!$M$2:$M$2158,A276,OrderDetailsCustomers!$W$2:$W$2158)</f>
        <v>2318.2399999999998</v>
      </c>
      <c r="J276">
        <f t="shared" si="13"/>
        <v>4</v>
      </c>
      <c r="K276">
        <f>SUMIF(OrderDetailsCustomers!$M$2:$M$2158,'Order Header'!A276,OrderDetailsCustomers!$W$2:$W$2158)</f>
        <v>2318.2399999999998</v>
      </c>
      <c r="L276" s="11">
        <f t="shared" si="14"/>
        <v>4</v>
      </c>
    </row>
    <row r="277" spans="1:12" x14ac:dyDescent="0.4">
      <c r="A277">
        <v>10523</v>
      </c>
      <c r="B277" s="4">
        <v>34851</v>
      </c>
      <c r="C277" t="s">
        <v>536</v>
      </c>
      <c r="D277" s="1" t="s">
        <v>778</v>
      </c>
      <c r="E277">
        <v>195.54480000000001</v>
      </c>
      <c r="F277">
        <v>20</v>
      </c>
      <c r="G277">
        <f t="shared" ref="G277:G340" si="15">VLOOKUP(E277,$T$1:$U$7,2,TRUE)</f>
        <v>4</v>
      </c>
      <c r="H277">
        <f>SUMIF(OrderDetailsCustomers!$M$2:$M$2158,A277,OrderDetailsCustomers!$W$2:$W$2158)</f>
        <v>2444.31</v>
      </c>
      <c r="J277">
        <f t="shared" si="13"/>
        <v>4</v>
      </c>
      <c r="K277">
        <f>SUMIF(OrderDetailsCustomers!$M$2:$M$2158,'Order Header'!A277,OrderDetailsCustomers!$W$2:$W$2158)</f>
        <v>2444.31</v>
      </c>
      <c r="L277" s="11">
        <f t="shared" si="14"/>
        <v>4</v>
      </c>
    </row>
    <row r="278" spans="1:12" x14ac:dyDescent="0.4">
      <c r="A278">
        <v>10524</v>
      </c>
      <c r="B278" s="4">
        <v>34851</v>
      </c>
      <c r="C278" t="s">
        <v>43</v>
      </c>
      <c r="D278" s="1" t="s">
        <v>765</v>
      </c>
      <c r="E278">
        <v>255.41200000000001</v>
      </c>
      <c r="F278">
        <v>20</v>
      </c>
      <c r="G278">
        <f t="shared" si="15"/>
        <v>5</v>
      </c>
      <c r="H278">
        <f>SUMIF(OrderDetailsCustomers!$M$2:$M$2158,A278,OrderDetailsCustomers!$W$2:$W$2158)</f>
        <v>3192.65</v>
      </c>
      <c r="J278">
        <f t="shared" si="13"/>
        <v>5</v>
      </c>
      <c r="K278">
        <f>SUMIF(OrderDetailsCustomers!$M$2:$M$2158,'Order Header'!A278,OrderDetailsCustomers!$W$2:$W$2158)</f>
        <v>3192.65</v>
      </c>
      <c r="L278" s="11">
        <f t="shared" si="14"/>
        <v>5</v>
      </c>
    </row>
    <row r="279" spans="1:12" x14ac:dyDescent="0.4">
      <c r="A279">
        <v>10525</v>
      </c>
      <c r="B279" s="4">
        <v>34852</v>
      </c>
      <c r="C279" t="s">
        <v>77</v>
      </c>
      <c r="D279" s="1" t="s">
        <v>776</v>
      </c>
      <c r="E279">
        <v>65.471999999999994</v>
      </c>
      <c r="F279">
        <v>15</v>
      </c>
      <c r="G279">
        <f t="shared" si="15"/>
        <v>3</v>
      </c>
      <c r="H279">
        <f>SUMIF(OrderDetailsCustomers!$M$2:$M$2158,A279,OrderDetailsCustomers!$W$2:$W$2158)</f>
        <v>818.4</v>
      </c>
      <c r="J279">
        <f t="shared" si="13"/>
        <v>3</v>
      </c>
      <c r="K279">
        <f>SUMIF(OrderDetailsCustomers!$M$2:$M$2158,'Order Header'!A279,OrderDetailsCustomers!$W$2:$W$2158)</f>
        <v>818.4</v>
      </c>
      <c r="L279" s="11">
        <f t="shared" si="14"/>
        <v>3</v>
      </c>
    </row>
    <row r="280" spans="1:12" x14ac:dyDescent="0.4">
      <c r="A280">
        <v>10526</v>
      </c>
      <c r="B280" s="4">
        <v>34855</v>
      </c>
      <c r="C280" t="s">
        <v>640</v>
      </c>
      <c r="D280" s="1" t="s">
        <v>775</v>
      </c>
      <c r="E280">
        <v>92.112000000000009</v>
      </c>
      <c r="F280">
        <v>20</v>
      </c>
      <c r="G280">
        <f t="shared" si="15"/>
        <v>3</v>
      </c>
      <c r="H280">
        <f>SUMIF(OrderDetailsCustomers!$M$2:$M$2158,A280,OrderDetailsCustomers!$W$2:$W$2158)</f>
        <v>1151.4000000000001</v>
      </c>
      <c r="J280">
        <f t="shared" si="13"/>
        <v>3</v>
      </c>
      <c r="K280">
        <f>SUMIF(OrderDetailsCustomers!$M$2:$M$2158,'Order Header'!A280,OrderDetailsCustomers!$W$2:$W$2158)</f>
        <v>1151.4000000000001</v>
      </c>
      <c r="L280" s="11">
        <f t="shared" si="14"/>
        <v>3</v>
      </c>
    </row>
    <row r="281" spans="1:12" x14ac:dyDescent="0.4">
      <c r="A281">
        <v>10527</v>
      </c>
      <c r="B281" s="4">
        <v>34855</v>
      </c>
      <c r="C281" t="s">
        <v>475</v>
      </c>
      <c r="D281" s="1" t="s">
        <v>777</v>
      </c>
      <c r="E281">
        <v>120.24000000000001</v>
      </c>
      <c r="F281">
        <v>20</v>
      </c>
      <c r="G281">
        <f t="shared" si="15"/>
        <v>3</v>
      </c>
      <c r="H281">
        <f>SUMIF(OrderDetailsCustomers!$M$2:$M$2158,A281,OrderDetailsCustomers!$W$2:$W$2158)</f>
        <v>1503</v>
      </c>
      <c r="J281">
        <f t="shared" si="13"/>
        <v>3</v>
      </c>
      <c r="K281">
        <f>SUMIF(OrderDetailsCustomers!$M$2:$M$2158,'Order Header'!A281,OrderDetailsCustomers!$W$2:$W$2158)</f>
        <v>1503</v>
      </c>
      <c r="L281" s="11">
        <f t="shared" si="14"/>
        <v>3</v>
      </c>
    </row>
    <row r="282" spans="1:12" x14ac:dyDescent="0.4">
      <c r="A282">
        <v>10528</v>
      </c>
      <c r="B282" s="4">
        <v>34856</v>
      </c>
      <c r="C282" t="s">
        <v>247</v>
      </c>
      <c r="D282" s="1" t="s">
        <v>778</v>
      </c>
      <c r="E282">
        <v>31.376000000000001</v>
      </c>
      <c r="F282">
        <v>10</v>
      </c>
      <c r="G282">
        <f t="shared" si="15"/>
        <v>2</v>
      </c>
      <c r="H282">
        <f>SUMIF(OrderDetailsCustomers!$M$2:$M$2158,A282,OrderDetailsCustomers!$W$2:$W$2158)</f>
        <v>392.2</v>
      </c>
      <c r="J282">
        <f t="shared" si="13"/>
        <v>2</v>
      </c>
      <c r="K282">
        <f>SUMIF(OrderDetailsCustomers!$M$2:$M$2158,'Order Header'!A282,OrderDetailsCustomers!$W$2:$W$2158)</f>
        <v>392.2</v>
      </c>
      <c r="L282" s="11">
        <f t="shared" si="14"/>
        <v>2</v>
      </c>
    </row>
    <row r="283" spans="1:12" x14ac:dyDescent="0.4">
      <c r="A283">
        <v>10529</v>
      </c>
      <c r="B283" s="4">
        <v>34857</v>
      </c>
      <c r="C283" t="s">
        <v>385</v>
      </c>
      <c r="D283" s="1" t="s">
        <v>782</v>
      </c>
      <c r="E283">
        <v>75.680000000000007</v>
      </c>
      <c r="F283">
        <v>15</v>
      </c>
      <c r="G283">
        <f t="shared" si="15"/>
        <v>3</v>
      </c>
      <c r="H283">
        <f>SUMIF(OrderDetailsCustomers!$M$2:$M$2158,A283,OrderDetailsCustomers!$W$2:$W$2158)</f>
        <v>946</v>
      </c>
      <c r="J283">
        <f t="shared" si="13"/>
        <v>3</v>
      </c>
      <c r="K283">
        <f>SUMIF(OrderDetailsCustomers!$M$2:$M$2158,'Order Header'!A283,OrderDetailsCustomers!$W$2:$W$2158)</f>
        <v>946</v>
      </c>
      <c r="L283" s="11">
        <f t="shared" si="14"/>
        <v>3</v>
      </c>
    </row>
    <row r="284" spans="1:12" x14ac:dyDescent="0.4">
      <c r="A284">
        <v>10530</v>
      </c>
      <c r="B284" s="4">
        <v>34858</v>
      </c>
      <c r="C284" t="s">
        <v>450</v>
      </c>
      <c r="D284" s="1" t="s">
        <v>766</v>
      </c>
      <c r="E284">
        <v>334.40000000000003</v>
      </c>
      <c r="F284">
        <v>20</v>
      </c>
      <c r="G284">
        <f t="shared" si="15"/>
        <v>5</v>
      </c>
      <c r="H284">
        <f>SUMIF(OrderDetailsCustomers!$M$2:$M$2158,A284,OrderDetailsCustomers!$W$2:$W$2158)</f>
        <v>4180</v>
      </c>
      <c r="J284">
        <f t="shared" si="13"/>
        <v>5</v>
      </c>
      <c r="K284">
        <f>SUMIF(OrderDetailsCustomers!$M$2:$M$2158,'Order Header'!A284,OrderDetailsCustomers!$W$2:$W$2158)</f>
        <v>4180</v>
      </c>
      <c r="L284" s="11">
        <f t="shared" si="14"/>
        <v>5</v>
      </c>
    </row>
    <row r="285" spans="1:12" x14ac:dyDescent="0.4">
      <c r="A285">
        <v>10531</v>
      </c>
      <c r="B285" s="4">
        <v>34858</v>
      </c>
      <c r="C285" t="s">
        <v>416</v>
      </c>
      <c r="D285" s="1" t="s">
        <v>767</v>
      </c>
      <c r="E285">
        <v>8.8000000000000007</v>
      </c>
      <c r="F285">
        <v>10</v>
      </c>
      <c r="G285">
        <f t="shared" si="15"/>
        <v>1</v>
      </c>
      <c r="H285">
        <f>SUMIF(OrderDetailsCustomers!$M$2:$M$2158,A285,OrderDetailsCustomers!$W$2:$W$2158)</f>
        <v>110</v>
      </c>
      <c r="J285">
        <f t="shared" si="13"/>
        <v>1</v>
      </c>
      <c r="K285">
        <f>SUMIF(OrderDetailsCustomers!$M$2:$M$2158,'Order Header'!A285,OrderDetailsCustomers!$W$2:$W$2158)</f>
        <v>110</v>
      </c>
      <c r="L285" s="11">
        <f t="shared" si="14"/>
        <v>1</v>
      </c>
    </row>
    <row r="286" spans="1:12" x14ac:dyDescent="0.4">
      <c r="A286">
        <v>10532</v>
      </c>
      <c r="B286" s="4">
        <v>34859</v>
      </c>
      <c r="C286" t="s">
        <v>154</v>
      </c>
      <c r="D286" s="1" t="s">
        <v>766</v>
      </c>
      <c r="E286">
        <v>63.708000000000006</v>
      </c>
      <c r="F286">
        <v>15</v>
      </c>
      <c r="G286">
        <f t="shared" si="15"/>
        <v>3</v>
      </c>
      <c r="H286">
        <f>SUMIF(OrderDetailsCustomers!$M$2:$M$2158,A286,OrderDetailsCustomers!$W$2:$W$2158)</f>
        <v>796.35</v>
      </c>
      <c r="J286">
        <f t="shared" si="13"/>
        <v>3</v>
      </c>
      <c r="K286">
        <f>SUMIF(OrderDetailsCustomers!$M$2:$M$2158,'Order Header'!A286,OrderDetailsCustomers!$W$2:$W$2158)</f>
        <v>796.35</v>
      </c>
      <c r="L286" s="11">
        <f t="shared" si="14"/>
        <v>3</v>
      </c>
    </row>
    <row r="287" spans="1:12" x14ac:dyDescent="0.4">
      <c r="A287">
        <v>10533</v>
      </c>
      <c r="B287" s="4">
        <v>34862</v>
      </c>
      <c r="C287" t="s">
        <v>191</v>
      </c>
      <c r="D287" s="1" t="s">
        <v>768</v>
      </c>
      <c r="E287">
        <v>177.77599999999998</v>
      </c>
      <c r="F287">
        <v>20</v>
      </c>
      <c r="G287">
        <f t="shared" si="15"/>
        <v>4</v>
      </c>
      <c r="H287">
        <f>SUMIF(OrderDetailsCustomers!$M$2:$M$2158,A287,OrderDetailsCustomers!$W$2:$W$2158)</f>
        <v>2222.1999999999998</v>
      </c>
      <c r="J287">
        <f t="shared" si="13"/>
        <v>4</v>
      </c>
      <c r="K287">
        <f>SUMIF(OrderDetailsCustomers!$M$2:$M$2158,'Order Header'!A287,OrderDetailsCustomers!$W$2:$W$2158)</f>
        <v>2222.1999999999998</v>
      </c>
      <c r="L287" s="11">
        <f t="shared" si="14"/>
        <v>4</v>
      </c>
    </row>
    <row r="288" spans="1:12" x14ac:dyDescent="0.4">
      <c r="A288">
        <v>10534</v>
      </c>
      <c r="B288" s="4">
        <v>34862</v>
      </c>
      <c r="C288" t="s">
        <v>341</v>
      </c>
      <c r="D288" s="1" t="s">
        <v>768</v>
      </c>
      <c r="E288">
        <v>37.256000000000007</v>
      </c>
      <c r="F288">
        <v>10</v>
      </c>
      <c r="G288">
        <f t="shared" si="15"/>
        <v>2</v>
      </c>
      <c r="H288">
        <f>SUMIF(OrderDetailsCustomers!$M$2:$M$2158,A288,OrderDetailsCustomers!$W$2:$W$2158)</f>
        <v>465.70000000000005</v>
      </c>
      <c r="J288">
        <f t="shared" si="13"/>
        <v>2</v>
      </c>
      <c r="K288">
        <f>SUMIF(OrderDetailsCustomers!$M$2:$M$2158,'Order Header'!A288,OrderDetailsCustomers!$W$2:$W$2158)</f>
        <v>465.70000000000005</v>
      </c>
      <c r="L288" s="11">
        <f t="shared" si="14"/>
        <v>2</v>
      </c>
    </row>
    <row r="289" spans="1:12" x14ac:dyDescent="0.4">
      <c r="A289">
        <v>10535</v>
      </c>
      <c r="B289" s="4">
        <v>34863</v>
      </c>
      <c r="C289" t="s">
        <v>29</v>
      </c>
      <c r="D289" s="1" t="s">
        <v>777</v>
      </c>
      <c r="E289">
        <v>155.268</v>
      </c>
      <c r="F289">
        <v>20</v>
      </c>
      <c r="G289">
        <f t="shared" si="15"/>
        <v>4</v>
      </c>
      <c r="H289">
        <f>SUMIF(OrderDetailsCustomers!$M$2:$M$2158,A289,OrderDetailsCustomers!$W$2:$W$2158)</f>
        <v>1940.85</v>
      </c>
      <c r="J289">
        <f t="shared" si="13"/>
        <v>4</v>
      </c>
      <c r="K289">
        <f>SUMIF(OrderDetailsCustomers!$M$2:$M$2158,'Order Header'!A289,OrderDetailsCustomers!$W$2:$W$2158)</f>
        <v>1940.85</v>
      </c>
      <c r="L289" s="11">
        <f t="shared" si="14"/>
        <v>4</v>
      </c>
    </row>
    <row r="290" spans="1:12" x14ac:dyDescent="0.4">
      <c r="A290">
        <v>10536</v>
      </c>
      <c r="B290" s="4">
        <v>34864</v>
      </c>
      <c r="C290" t="s">
        <v>341</v>
      </c>
      <c r="D290" s="1" t="s">
        <v>768</v>
      </c>
      <c r="E290">
        <v>131.6</v>
      </c>
      <c r="F290">
        <v>20</v>
      </c>
      <c r="G290">
        <f t="shared" si="15"/>
        <v>3</v>
      </c>
      <c r="H290">
        <f>SUMIF(OrderDetailsCustomers!$M$2:$M$2158,A290,OrderDetailsCustomers!$W$2:$W$2158)</f>
        <v>1645</v>
      </c>
      <c r="J290">
        <f t="shared" si="13"/>
        <v>3</v>
      </c>
      <c r="K290">
        <f>SUMIF(OrderDetailsCustomers!$M$2:$M$2158,'Order Header'!A290,OrderDetailsCustomers!$W$2:$W$2158)</f>
        <v>1645</v>
      </c>
      <c r="L290" s="11">
        <f t="shared" si="14"/>
        <v>3</v>
      </c>
    </row>
    <row r="291" spans="1:12" x14ac:dyDescent="0.4">
      <c r="A291">
        <v>10537</v>
      </c>
      <c r="B291" s="4">
        <v>34864</v>
      </c>
      <c r="C291" t="s">
        <v>509</v>
      </c>
      <c r="D291" s="1" t="s">
        <v>770</v>
      </c>
      <c r="E291">
        <v>145.904</v>
      </c>
      <c r="F291">
        <v>20</v>
      </c>
      <c r="G291">
        <f t="shared" si="15"/>
        <v>3</v>
      </c>
      <c r="H291">
        <f>SUMIF(OrderDetailsCustomers!$M$2:$M$2158,A291,OrderDetailsCustomers!$W$2:$W$2158)</f>
        <v>1823.8</v>
      </c>
      <c r="J291">
        <f t="shared" si="13"/>
        <v>3</v>
      </c>
      <c r="K291">
        <f>SUMIF(OrderDetailsCustomers!$M$2:$M$2158,'Order Header'!A291,OrderDetailsCustomers!$W$2:$W$2158)</f>
        <v>1823.8</v>
      </c>
      <c r="L291" s="11">
        <f t="shared" si="14"/>
        <v>3</v>
      </c>
    </row>
    <row r="292" spans="1:12" x14ac:dyDescent="0.4">
      <c r="A292">
        <v>10538</v>
      </c>
      <c r="B292" s="4">
        <v>34865</v>
      </c>
      <c r="C292" t="s">
        <v>95</v>
      </c>
      <c r="D292" s="1" t="s">
        <v>780</v>
      </c>
      <c r="E292">
        <v>11.184000000000001</v>
      </c>
      <c r="F292">
        <v>10</v>
      </c>
      <c r="G292">
        <f t="shared" si="15"/>
        <v>2</v>
      </c>
      <c r="H292">
        <f>SUMIF(OrderDetailsCustomers!$M$2:$M$2158,A292,OrderDetailsCustomers!$W$2:$W$2158)</f>
        <v>139.80000000000001</v>
      </c>
      <c r="J292">
        <f t="shared" si="13"/>
        <v>2</v>
      </c>
      <c r="K292">
        <f>SUMIF(OrderDetailsCustomers!$M$2:$M$2158,'Order Header'!A292,OrderDetailsCustomers!$W$2:$W$2158)</f>
        <v>139.80000000000001</v>
      </c>
      <c r="L292" s="11">
        <f t="shared" si="14"/>
        <v>2</v>
      </c>
    </row>
    <row r="293" spans="1:12" x14ac:dyDescent="0.4">
      <c r="A293">
        <v>10539</v>
      </c>
      <c r="B293" s="4">
        <v>34866</v>
      </c>
      <c r="C293" t="s">
        <v>95</v>
      </c>
      <c r="D293" s="1" t="s">
        <v>780</v>
      </c>
      <c r="E293">
        <v>28.44</v>
      </c>
      <c r="F293">
        <v>10</v>
      </c>
      <c r="G293">
        <f t="shared" si="15"/>
        <v>2</v>
      </c>
      <c r="H293">
        <f>SUMIF(OrderDetailsCustomers!$M$2:$M$2158,A293,OrderDetailsCustomers!$W$2:$W$2158)</f>
        <v>355.5</v>
      </c>
      <c r="J293">
        <f t="shared" si="13"/>
        <v>2</v>
      </c>
      <c r="K293">
        <f>SUMIF(OrderDetailsCustomers!$M$2:$M$2158,'Order Header'!A293,OrderDetailsCustomers!$W$2:$W$2158)</f>
        <v>355.5</v>
      </c>
      <c r="L293" s="11">
        <f t="shared" si="14"/>
        <v>2</v>
      </c>
    </row>
    <row r="294" spans="1:12" x14ac:dyDescent="0.4">
      <c r="A294">
        <v>10540</v>
      </c>
      <c r="B294" s="4">
        <v>34869</v>
      </c>
      <c r="C294" t="s">
        <v>475</v>
      </c>
      <c r="D294" s="1" t="s">
        <v>777</v>
      </c>
      <c r="E294">
        <v>815.33600000000013</v>
      </c>
      <c r="F294">
        <v>20</v>
      </c>
      <c r="G294">
        <f t="shared" si="15"/>
        <v>5</v>
      </c>
      <c r="H294">
        <f>SUMIF(OrderDetailsCustomers!$M$2:$M$2158,A294,OrderDetailsCustomers!$W$2:$W$2158)</f>
        <v>10191.700000000001</v>
      </c>
      <c r="J294">
        <f t="shared" si="13"/>
        <v>5</v>
      </c>
      <c r="K294">
        <f>SUMIF(OrderDetailsCustomers!$M$2:$M$2158,'Order Header'!A294,OrderDetailsCustomers!$W$2:$W$2158)</f>
        <v>10191.700000000001</v>
      </c>
      <c r="L294" s="11">
        <f t="shared" si="14"/>
        <v>5</v>
      </c>
    </row>
    <row r="295" spans="1:12" x14ac:dyDescent="0.4">
      <c r="A295">
        <v>10541</v>
      </c>
      <c r="B295" s="4">
        <v>34869</v>
      </c>
      <c r="C295" t="s">
        <v>264</v>
      </c>
      <c r="D295" s="1" t="s">
        <v>767</v>
      </c>
      <c r="E295">
        <v>155.7216</v>
      </c>
      <c r="F295">
        <v>20</v>
      </c>
      <c r="G295">
        <f t="shared" si="15"/>
        <v>4</v>
      </c>
      <c r="H295">
        <f>SUMIF(OrderDetailsCustomers!$M$2:$M$2158,A295,OrderDetailsCustomers!$W$2:$W$2158)</f>
        <v>1946.52</v>
      </c>
      <c r="J295">
        <f t="shared" si="13"/>
        <v>4</v>
      </c>
      <c r="K295">
        <f>SUMIF(OrderDetailsCustomers!$M$2:$M$2158,'Order Header'!A295,OrderDetailsCustomers!$W$2:$W$2158)</f>
        <v>1946.52</v>
      </c>
      <c r="L295" s="11">
        <f t="shared" si="14"/>
        <v>4</v>
      </c>
    </row>
    <row r="296" spans="1:12" x14ac:dyDescent="0.4">
      <c r="A296">
        <v>10542</v>
      </c>
      <c r="B296" s="4">
        <v>34870</v>
      </c>
      <c r="C296" t="s">
        <v>305</v>
      </c>
      <c r="D296" s="1" t="s">
        <v>766</v>
      </c>
      <c r="E296">
        <v>37.528800000000004</v>
      </c>
      <c r="F296">
        <v>10</v>
      </c>
      <c r="G296">
        <f t="shared" si="15"/>
        <v>2</v>
      </c>
      <c r="H296">
        <f>SUMIF(OrderDetailsCustomers!$M$2:$M$2158,A296,OrderDetailsCustomers!$W$2:$W$2158)</f>
        <v>469.11</v>
      </c>
      <c r="J296">
        <f t="shared" si="13"/>
        <v>2</v>
      </c>
      <c r="K296">
        <f>SUMIF(OrderDetailsCustomers!$M$2:$M$2158,'Order Header'!A296,OrderDetailsCustomers!$W$2:$W$2158)</f>
        <v>469.11</v>
      </c>
      <c r="L296" s="11">
        <f t="shared" si="14"/>
        <v>2</v>
      </c>
    </row>
    <row r="297" spans="1:12" x14ac:dyDescent="0.4">
      <c r="A297">
        <v>10543</v>
      </c>
      <c r="B297" s="4">
        <v>34871</v>
      </c>
      <c r="C297" t="s">
        <v>355</v>
      </c>
      <c r="D297" s="1" t="s">
        <v>779</v>
      </c>
      <c r="E297">
        <v>120.36</v>
      </c>
      <c r="F297">
        <v>20</v>
      </c>
      <c r="G297">
        <f t="shared" si="15"/>
        <v>3</v>
      </c>
      <c r="H297">
        <f>SUMIF(OrderDetailsCustomers!$M$2:$M$2158,A297,OrderDetailsCustomers!$W$2:$W$2158)</f>
        <v>1504.5</v>
      </c>
      <c r="J297">
        <f t="shared" si="13"/>
        <v>3</v>
      </c>
      <c r="K297">
        <f>SUMIF(OrderDetailsCustomers!$M$2:$M$2158,'Order Header'!A297,OrderDetailsCustomers!$W$2:$W$2158)</f>
        <v>1504.5</v>
      </c>
      <c r="L297" s="11">
        <f t="shared" si="14"/>
        <v>3</v>
      </c>
    </row>
    <row r="298" spans="1:12" x14ac:dyDescent="0.4">
      <c r="A298">
        <v>10544</v>
      </c>
      <c r="B298" s="4">
        <v>34871</v>
      </c>
      <c r="C298" t="s">
        <v>371</v>
      </c>
      <c r="D298" s="1" t="s">
        <v>770</v>
      </c>
      <c r="E298">
        <v>33.375999999999998</v>
      </c>
      <c r="F298">
        <v>10</v>
      </c>
      <c r="G298">
        <f t="shared" si="15"/>
        <v>2</v>
      </c>
      <c r="H298">
        <f>SUMIF(OrderDetailsCustomers!$M$2:$M$2158,A298,OrderDetailsCustomers!$W$2:$W$2158)</f>
        <v>417.2</v>
      </c>
      <c r="J298">
        <f t="shared" si="13"/>
        <v>2</v>
      </c>
      <c r="K298">
        <f>SUMIF(OrderDetailsCustomers!$M$2:$M$2158,'Order Header'!A298,OrderDetailsCustomers!$W$2:$W$2158)</f>
        <v>417.2</v>
      </c>
      <c r="L298" s="11">
        <f t="shared" si="14"/>
        <v>2</v>
      </c>
    </row>
    <row r="299" spans="1:12" x14ac:dyDescent="0.4">
      <c r="A299">
        <v>10545</v>
      </c>
      <c r="B299" s="4">
        <v>34872</v>
      </c>
      <c r="C299" t="s">
        <v>333</v>
      </c>
      <c r="D299" s="1" t="s">
        <v>777</v>
      </c>
      <c r="E299">
        <v>16.8</v>
      </c>
      <c r="F299">
        <v>10</v>
      </c>
      <c r="G299">
        <f t="shared" si="15"/>
        <v>2</v>
      </c>
      <c r="H299">
        <f>SUMIF(OrderDetailsCustomers!$M$2:$M$2158,A299,OrderDetailsCustomers!$W$2:$W$2158)</f>
        <v>210</v>
      </c>
      <c r="J299">
        <f t="shared" si="13"/>
        <v>2</v>
      </c>
      <c r="K299">
        <f>SUMIF(OrderDetailsCustomers!$M$2:$M$2158,'Order Header'!A299,OrderDetailsCustomers!$W$2:$W$2158)</f>
        <v>210</v>
      </c>
      <c r="L299" s="11">
        <f t="shared" si="14"/>
        <v>2</v>
      </c>
    </row>
    <row r="300" spans="1:12" x14ac:dyDescent="0.4">
      <c r="A300">
        <v>10546</v>
      </c>
      <c r="B300" s="4">
        <v>34873</v>
      </c>
      <c r="C300" t="s">
        <v>619</v>
      </c>
      <c r="D300" s="1" t="s">
        <v>768</v>
      </c>
      <c r="E300">
        <v>224.96</v>
      </c>
      <c r="F300">
        <v>20</v>
      </c>
      <c r="G300">
        <f t="shared" si="15"/>
        <v>4</v>
      </c>
      <c r="H300">
        <f>SUMIF(OrderDetailsCustomers!$M$2:$M$2158,A300,OrderDetailsCustomers!$W$2:$W$2158)</f>
        <v>2812</v>
      </c>
      <c r="J300">
        <f t="shared" si="13"/>
        <v>4</v>
      </c>
      <c r="K300">
        <f>SUMIF(OrderDetailsCustomers!$M$2:$M$2158,'Order Header'!A300,OrderDetailsCustomers!$W$2:$W$2158)</f>
        <v>2812</v>
      </c>
      <c r="L300" s="11">
        <f t="shared" si="14"/>
        <v>4</v>
      </c>
    </row>
    <row r="301" spans="1:12" x14ac:dyDescent="0.4">
      <c r="A301">
        <v>10547</v>
      </c>
      <c r="B301" s="4">
        <v>34873</v>
      </c>
      <c r="C301" t="s">
        <v>536</v>
      </c>
      <c r="D301" s="1" t="s">
        <v>778</v>
      </c>
      <c r="E301">
        <v>143.42400000000001</v>
      </c>
      <c r="F301">
        <v>20</v>
      </c>
      <c r="G301">
        <f t="shared" si="15"/>
        <v>3</v>
      </c>
      <c r="H301">
        <f>SUMIF(OrderDetailsCustomers!$M$2:$M$2158,A301,OrderDetailsCustomers!$W$2:$W$2158)</f>
        <v>1792.8</v>
      </c>
      <c r="J301">
        <f t="shared" si="13"/>
        <v>3</v>
      </c>
      <c r="K301">
        <f>SUMIF(OrderDetailsCustomers!$M$2:$M$2158,'Order Header'!A301,OrderDetailsCustomers!$W$2:$W$2158)</f>
        <v>1792.8</v>
      </c>
      <c r="L301" s="11">
        <f t="shared" si="14"/>
        <v>3</v>
      </c>
    </row>
    <row r="302" spans="1:12" x14ac:dyDescent="0.4">
      <c r="A302">
        <v>10548</v>
      </c>
      <c r="B302" s="4">
        <v>34876</v>
      </c>
      <c r="C302" t="s">
        <v>586</v>
      </c>
      <c r="D302" s="1" t="s">
        <v>766</v>
      </c>
      <c r="E302">
        <v>19.207999999999998</v>
      </c>
      <c r="F302">
        <v>10</v>
      </c>
      <c r="G302">
        <f t="shared" si="15"/>
        <v>2</v>
      </c>
      <c r="H302">
        <f>SUMIF(OrderDetailsCustomers!$M$2:$M$2158,A302,OrderDetailsCustomers!$W$2:$W$2158)</f>
        <v>240.1</v>
      </c>
      <c r="J302">
        <f t="shared" si="13"/>
        <v>2</v>
      </c>
      <c r="K302">
        <f>SUMIF(OrderDetailsCustomers!$M$2:$M$2158,'Order Header'!A302,OrderDetailsCustomers!$W$2:$W$2158)</f>
        <v>240.1</v>
      </c>
      <c r="L302" s="11">
        <f t="shared" si="14"/>
        <v>2</v>
      </c>
    </row>
    <row r="303" spans="1:12" x14ac:dyDescent="0.4">
      <c r="A303">
        <v>10549</v>
      </c>
      <c r="B303" s="4">
        <v>34877</v>
      </c>
      <c r="C303" t="s">
        <v>475</v>
      </c>
      <c r="D303" s="1" t="s">
        <v>777</v>
      </c>
      <c r="E303">
        <v>284.34200000000004</v>
      </c>
      <c r="F303">
        <v>20</v>
      </c>
      <c r="G303">
        <f t="shared" si="15"/>
        <v>5</v>
      </c>
      <c r="H303">
        <f>SUMIF(OrderDetailsCustomers!$M$2:$M$2158,A303,OrderDetailsCustomers!$W$2:$W$2158)</f>
        <v>3554.2750000000001</v>
      </c>
      <c r="J303">
        <f t="shared" si="13"/>
        <v>5</v>
      </c>
      <c r="K303">
        <f>SUMIF(OrderDetailsCustomers!$M$2:$M$2158,'Order Header'!A303,OrderDetailsCustomers!$W$2:$W$2158)</f>
        <v>3554.2750000000001</v>
      </c>
      <c r="L303" s="11">
        <f t="shared" si="14"/>
        <v>5</v>
      </c>
    </row>
    <row r="304" spans="1:12" x14ac:dyDescent="0.4">
      <c r="A304">
        <v>10550</v>
      </c>
      <c r="B304" s="4">
        <v>34878</v>
      </c>
      <c r="C304" t="s">
        <v>234</v>
      </c>
      <c r="D304" s="1" t="s">
        <v>782</v>
      </c>
      <c r="E304">
        <v>54.663999999999994</v>
      </c>
      <c r="F304">
        <v>15</v>
      </c>
      <c r="G304">
        <f t="shared" si="15"/>
        <v>3</v>
      </c>
      <c r="H304">
        <f>SUMIF(OrderDetailsCustomers!$M$2:$M$2158,A304,OrderDetailsCustomers!$W$2:$W$2158)</f>
        <v>683.3</v>
      </c>
      <c r="J304">
        <f t="shared" si="13"/>
        <v>3</v>
      </c>
      <c r="K304">
        <f>SUMIF(OrderDetailsCustomers!$M$2:$M$2158,'Order Header'!A304,OrderDetailsCustomers!$W$2:$W$2158)</f>
        <v>683.3</v>
      </c>
      <c r="L304" s="11">
        <f t="shared" si="14"/>
        <v>3</v>
      </c>
    </row>
    <row r="305" spans="1:12" x14ac:dyDescent="0.4">
      <c r="A305">
        <v>10551</v>
      </c>
      <c r="B305" s="4">
        <v>34878</v>
      </c>
      <c r="C305" t="s">
        <v>219</v>
      </c>
      <c r="D305" s="1" t="s">
        <v>770</v>
      </c>
      <c r="E305">
        <v>134.184</v>
      </c>
      <c r="F305">
        <v>20</v>
      </c>
      <c r="G305">
        <f t="shared" si="15"/>
        <v>3</v>
      </c>
      <c r="H305">
        <f>SUMIF(OrderDetailsCustomers!$M$2:$M$2158,A305,OrderDetailsCustomers!$W$2:$W$2158)</f>
        <v>1677.3</v>
      </c>
      <c r="J305">
        <f t="shared" si="13"/>
        <v>3</v>
      </c>
      <c r="K305">
        <f>SUMIF(OrderDetailsCustomers!$M$2:$M$2158,'Order Header'!A305,OrderDetailsCustomers!$W$2:$W$2158)</f>
        <v>1677.3</v>
      </c>
      <c r="L305" s="11">
        <f t="shared" si="14"/>
        <v>3</v>
      </c>
    </row>
    <row r="306" spans="1:12" x14ac:dyDescent="0.4">
      <c r="A306">
        <v>10552</v>
      </c>
      <c r="B306" s="4">
        <v>34879</v>
      </c>
      <c r="C306" t="s">
        <v>273</v>
      </c>
      <c r="D306" s="1" t="s">
        <v>771</v>
      </c>
      <c r="E306">
        <v>70.44</v>
      </c>
      <c r="F306">
        <v>15</v>
      </c>
      <c r="G306">
        <f t="shared" si="15"/>
        <v>3</v>
      </c>
      <c r="H306">
        <f>SUMIF(OrderDetailsCustomers!$M$2:$M$2158,A306,OrderDetailsCustomers!$W$2:$W$2158)</f>
        <v>880.5</v>
      </c>
      <c r="J306">
        <f t="shared" si="13"/>
        <v>3</v>
      </c>
      <c r="K306">
        <f>SUMIF(OrderDetailsCustomers!$M$2:$M$2158,'Order Header'!A306,OrderDetailsCustomers!$W$2:$W$2158)</f>
        <v>880.5</v>
      </c>
      <c r="L306" s="11">
        <f t="shared" si="14"/>
        <v>3</v>
      </c>
    </row>
    <row r="307" spans="1:12" x14ac:dyDescent="0.4">
      <c r="A307">
        <v>10553</v>
      </c>
      <c r="B307" s="4">
        <v>34880</v>
      </c>
      <c r="C307" t="s">
        <v>640</v>
      </c>
      <c r="D307" s="1" t="s">
        <v>775</v>
      </c>
      <c r="E307">
        <v>123.70399999999999</v>
      </c>
      <c r="F307">
        <v>20</v>
      </c>
      <c r="G307">
        <f t="shared" si="15"/>
        <v>3</v>
      </c>
      <c r="H307">
        <f>SUMIF(OrderDetailsCustomers!$M$2:$M$2158,A307,OrderDetailsCustomers!$W$2:$W$2158)</f>
        <v>1546.3</v>
      </c>
      <c r="J307">
        <f t="shared" si="13"/>
        <v>3</v>
      </c>
      <c r="K307">
        <f>SUMIF(OrderDetailsCustomers!$M$2:$M$2158,'Order Header'!A307,OrderDetailsCustomers!$W$2:$W$2158)</f>
        <v>1546.3</v>
      </c>
      <c r="L307" s="11">
        <f t="shared" si="14"/>
        <v>3</v>
      </c>
    </row>
    <row r="308" spans="1:12" x14ac:dyDescent="0.4">
      <c r="A308">
        <v>10554</v>
      </c>
      <c r="B308" s="4">
        <v>34880</v>
      </c>
      <c r="C308" t="s">
        <v>430</v>
      </c>
      <c r="D308" s="1" t="s">
        <v>769</v>
      </c>
      <c r="E308">
        <v>138.28200000000001</v>
      </c>
      <c r="F308">
        <v>20</v>
      </c>
      <c r="G308">
        <f t="shared" si="15"/>
        <v>3</v>
      </c>
      <c r="H308">
        <f>SUMIF(OrderDetailsCustomers!$M$2:$M$2158,A308,OrderDetailsCustomers!$W$2:$W$2158)</f>
        <v>1728.5250000000001</v>
      </c>
      <c r="J308">
        <f t="shared" si="13"/>
        <v>3</v>
      </c>
      <c r="K308">
        <f>SUMIF(OrderDetailsCustomers!$M$2:$M$2158,'Order Header'!A308,OrderDetailsCustomers!$W$2:$W$2158)</f>
        <v>1728.5250000000001</v>
      </c>
      <c r="L308" s="11">
        <f t="shared" si="14"/>
        <v>3</v>
      </c>
    </row>
    <row r="309" spans="1:12" x14ac:dyDescent="0.4">
      <c r="A309">
        <v>10555</v>
      </c>
      <c r="B309" s="4">
        <v>34883</v>
      </c>
      <c r="C309" t="s">
        <v>529</v>
      </c>
      <c r="D309" s="1" t="s">
        <v>780</v>
      </c>
      <c r="E309">
        <v>235.55200000000002</v>
      </c>
      <c r="F309">
        <v>20</v>
      </c>
      <c r="G309">
        <f t="shared" si="15"/>
        <v>4</v>
      </c>
      <c r="H309">
        <f>SUMIF(OrderDetailsCustomers!$M$2:$M$2158,A309,OrderDetailsCustomers!$W$2:$W$2158)</f>
        <v>2944.4</v>
      </c>
      <c r="J309">
        <f t="shared" si="13"/>
        <v>4</v>
      </c>
      <c r="K309">
        <f>SUMIF(OrderDetailsCustomers!$M$2:$M$2158,'Order Header'!A309,OrderDetailsCustomers!$W$2:$W$2158)</f>
        <v>2944.4</v>
      </c>
      <c r="L309" s="11">
        <f t="shared" si="14"/>
        <v>4</v>
      </c>
    </row>
    <row r="310" spans="1:12" x14ac:dyDescent="0.4">
      <c r="A310">
        <v>10556</v>
      </c>
      <c r="B310" s="4">
        <v>34884</v>
      </c>
      <c r="C310" t="s">
        <v>543</v>
      </c>
      <c r="D310" s="1" t="s">
        <v>773</v>
      </c>
      <c r="E310">
        <v>66.816000000000003</v>
      </c>
      <c r="F310">
        <v>15</v>
      </c>
      <c r="G310">
        <f t="shared" si="15"/>
        <v>3</v>
      </c>
      <c r="H310">
        <f>SUMIF(OrderDetailsCustomers!$M$2:$M$2158,A310,OrderDetailsCustomers!$W$2:$W$2158)</f>
        <v>835.19999999999993</v>
      </c>
      <c r="J310">
        <f t="shared" si="13"/>
        <v>3</v>
      </c>
      <c r="K310">
        <f>SUMIF(OrderDetailsCustomers!$M$2:$M$2158,'Order Header'!A310,OrderDetailsCustomers!$W$2:$W$2158)</f>
        <v>835.19999999999993</v>
      </c>
      <c r="L310" s="11">
        <f t="shared" si="14"/>
        <v>3</v>
      </c>
    </row>
    <row r="311" spans="1:12" x14ac:dyDescent="0.4">
      <c r="A311">
        <v>10557</v>
      </c>
      <c r="B311" s="4">
        <v>34884</v>
      </c>
      <c r="C311" t="s">
        <v>341</v>
      </c>
      <c r="D311" s="1" t="s">
        <v>768</v>
      </c>
      <c r="E311">
        <v>92.2</v>
      </c>
      <c r="F311">
        <v>20</v>
      </c>
      <c r="G311">
        <f t="shared" si="15"/>
        <v>3</v>
      </c>
      <c r="H311">
        <f>SUMIF(OrderDetailsCustomers!$M$2:$M$2158,A311,OrderDetailsCustomers!$W$2:$W$2158)</f>
        <v>1152.5</v>
      </c>
      <c r="J311">
        <f t="shared" si="13"/>
        <v>3</v>
      </c>
      <c r="K311">
        <f>SUMIF(OrderDetailsCustomers!$M$2:$M$2158,'Order Header'!A311,OrderDetailsCustomers!$W$2:$W$2158)</f>
        <v>1152.5</v>
      </c>
      <c r="L311" s="11">
        <f t="shared" si="14"/>
        <v>3</v>
      </c>
    </row>
    <row r="312" spans="1:12" x14ac:dyDescent="0.4">
      <c r="A312">
        <v>10558</v>
      </c>
      <c r="B312" s="4">
        <v>34885</v>
      </c>
      <c r="C312" t="s">
        <v>34</v>
      </c>
      <c r="D312" s="1" t="s">
        <v>768</v>
      </c>
      <c r="E312">
        <v>171.43200000000002</v>
      </c>
      <c r="F312">
        <v>20</v>
      </c>
      <c r="G312">
        <f t="shared" si="15"/>
        <v>4</v>
      </c>
      <c r="H312">
        <f>SUMIF(OrderDetailsCustomers!$M$2:$M$2158,A312,OrderDetailsCustomers!$W$2:$W$2158)</f>
        <v>2142.9</v>
      </c>
      <c r="J312">
        <f t="shared" si="13"/>
        <v>4</v>
      </c>
      <c r="K312">
        <f>SUMIF(OrderDetailsCustomers!$M$2:$M$2158,'Order Header'!A312,OrderDetailsCustomers!$W$2:$W$2158)</f>
        <v>2142.9</v>
      </c>
      <c r="L312" s="11">
        <f t="shared" si="14"/>
        <v>4</v>
      </c>
    </row>
    <row r="313" spans="1:12" x14ac:dyDescent="0.4">
      <c r="A313">
        <v>10559</v>
      </c>
      <c r="B313" s="4">
        <v>34886</v>
      </c>
      <c r="C313" t="s">
        <v>60</v>
      </c>
      <c r="D313" s="1" t="s">
        <v>775</v>
      </c>
      <c r="E313">
        <v>41.632799999999996</v>
      </c>
      <c r="F313">
        <v>15</v>
      </c>
      <c r="G313">
        <f t="shared" si="15"/>
        <v>2</v>
      </c>
      <c r="H313">
        <f>SUMIF(OrderDetailsCustomers!$M$2:$M$2158,A313,OrderDetailsCustomers!$W$2:$W$2158)</f>
        <v>520.41</v>
      </c>
      <c r="J313">
        <f t="shared" si="13"/>
        <v>2</v>
      </c>
      <c r="K313">
        <f>SUMIF(OrderDetailsCustomers!$M$2:$M$2158,'Order Header'!A313,OrderDetailsCustomers!$W$2:$W$2158)</f>
        <v>520.41</v>
      </c>
      <c r="L313" s="11">
        <f t="shared" si="14"/>
        <v>2</v>
      </c>
    </row>
    <row r="314" spans="1:12" x14ac:dyDescent="0.4">
      <c r="A314">
        <v>10560</v>
      </c>
      <c r="B314" s="4">
        <v>34887</v>
      </c>
      <c r="C314" t="s">
        <v>198</v>
      </c>
      <c r="D314" s="1" t="s">
        <v>765</v>
      </c>
      <c r="E314">
        <v>85.793999999999997</v>
      </c>
      <c r="F314">
        <v>20</v>
      </c>
      <c r="G314">
        <f t="shared" si="15"/>
        <v>3</v>
      </c>
      <c r="H314">
        <f>SUMIF(OrderDetailsCustomers!$M$2:$M$2158,A314,OrderDetailsCustomers!$W$2:$W$2158)</f>
        <v>1072.425</v>
      </c>
      <c r="J314">
        <f t="shared" si="13"/>
        <v>3</v>
      </c>
      <c r="K314">
        <f>SUMIF(OrderDetailsCustomers!$M$2:$M$2158,'Order Header'!A314,OrderDetailsCustomers!$W$2:$W$2158)</f>
        <v>1072.425</v>
      </c>
      <c r="L314" s="11">
        <f t="shared" si="14"/>
        <v>3</v>
      </c>
    </row>
    <row r="315" spans="1:12" x14ac:dyDescent="0.4">
      <c r="A315">
        <v>10561</v>
      </c>
      <c r="B315" s="4">
        <v>34887</v>
      </c>
      <c r="C315" t="s">
        <v>191</v>
      </c>
      <c r="D315" s="1" t="s">
        <v>768</v>
      </c>
      <c r="E315">
        <v>227.56</v>
      </c>
      <c r="F315">
        <v>20</v>
      </c>
      <c r="G315">
        <f t="shared" si="15"/>
        <v>4</v>
      </c>
      <c r="H315">
        <f>SUMIF(OrderDetailsCustomers!$M$2:$M$2158,A315,OrderDetailsCustomers!$W$2:$W$2158)</f>
        <v>2844.5</v>
      </c>
      <c r="J315">
        <f t="shared" si="13"/>
        <v>4</v>
      </c>
      <c r="K315">
        <f>SUMIF(OrderDetailsCustomers!$M$2:$M$2158,'Order Header'!A315,OrderDetailsCustomers!$W$2:$W$2158)</f>
        <v>2844.5</v>
      </c>
      <c r="L315" s="11">
        <f t="shared" si="14"/>
        <v>4</v>
      </c>
    </row>
    <row r="316" spans="1:12" x14ac:dyDescent="0.4">
      <c r="A316">
        <v>10562</v>
      </c>
      <c r="B316" s="4">
        <v>34890</v>
      </c>
      <c r="C316" t="s">
        <v>496</v>
      </c>
      <c r="D316" s="1" t="s">
        <v>779</v>
      </c>
      <c r="E316">
        <v>39.095999999999997</v>
      </c>
      <c r="F316">
        <v>10</v>
      </c>
      <c r="G316">
        <f t="shared" si="15"/>
        <v>2</v>
      </c>
      <c r="H316">
        <f>SUMIF(OrderDetailsCustomers!$M$2:$M$2158,A316,OrderDetailsCustomers!$W$2:$W$2158)</f>
        <v>488.7</v>
      </c>
      <c r="J316">
        <f t="shared" si="13"/>
        <v>2</v>
      </c>
      <c r="K316">
        <f>SUMIF(OrderDetailsCustomers!$M$2:$M$2158,'Order Header'!A316,OrderDetailsCustomers!$W$2:$W$2158)</f>
        <v>488.7</v>
      </c>
      <c r="L316" s="11">
        <f t="shared" si="14"/>
        <v>2</v>
      </c>
    </row>
    <row r="317" spans="1:12" x14ac:dyDescent="0.4">
      <c r="A317">
        <v>10563</v>
      </c>
      <c r="B317" s="4">
        <v>34891</v>
      </c>
      <c r="C317" t="s">
        <v>503</v>
      </c>
      <c r="D317" s="1" t="s">
        <v>775</v>
      </c>
      <c r="E317">
        <v>77.2</v>
      </c>
      <c r="F317">
        <v>15</v>
      </c>
      <c r="G317">
        <f t="shared" si="15"/>
        <v>3</v>
      </c>
      <c r="H317">
        <f>SUMIF(OrderDetailsCustomers!$M$2:$M$2158,A317,OrderDetailsCustomers!$W$2:$W$2158)</f>
        <v>965</v>
      </c>
      <c r="J317">
        <f t="shared" si="13"/>
        <v>3</v>
      </c>
      <c r="K317">
        <f>SUMIF(OrderDetailsCustomers!$M$2:$M$2158,'Order Header'!A317,OrderDetailsCustomers!$W$2:$W$2158)</f>
        <v>965</v>
      </c>
      <c r="L317" s="11">
        <f t="shared" si="14"/>
        <v>3</v>
      </c>
    </row>
    <row r="318" spans="1:12" x14ac:dyDescent="0.4">
      <c r="A318">
        <v>10564</v>
      </c>
      <c r="B318" s="4">
        <v>34891</v>
      </c>
      <c r="C318" t="s">
        <v>487</v>
      </c>
      <c r="D318" s="1" t="s">
        <v>765</v>
      </c>
      <c r="E318">
        <v>98.724000000000004</v>
      </c>
      <c r="F318">
        <v>20</v>
      </c>
      <c r="G318">
        <f t="shared" si="15"/>
        <v>3</v>
      </c>
      <c r="H318">
        <f>SUMIF(OrderDetailsCustomers!$M$2:$M$2158,A318,OrderDetailsCustomers!$W$2:$W$2158)</f>
        <v>1234.05</v>
      </c>
      <c r="J318">
        <f t="shared" si="13"/>
        <v>3</v>
      </c>
      <c r="K318">
        <f>SUMIF(OrderDetailsCustomers!$M$2:$M$2158,'Order Header'!A318,OrderDetailsCustomers!$W$2:$W$2158)</f>
        <v>1234.05</v>
      </c>
      <c r="L318" s="11">
        <f t="shared" si="14"/>
        <v>3</v>
      </c>
    </row>
    <row r="319" spans="1:12" x14ac:dyDescent="0.4">
      <c r="A319">
        <v>10565</v>
      </c>
      <c r="B319" s="4">
        <v>34892</v>
      </c>
      <c r="C319" t="s">
        <v>394</v>
      </c>
      <c r="D319" s="1" t="s">
        <v>780</v>
      </c>
      <c r="E319">
        <v>51.192</v>
      </c>
      <c r="F319">
        <v>15</v>
      </c>
      <c r="G319">
        <f t="shared" si="15"/>
        <v>3</v>
      </c>
      <c r="H319">
        <f>SUMIF(OrderDetailsCustomers!$M$2:$M$2158,A319,OrderDetailsCustomers!$W$2:$W$2158)</f>
        <v>639.9</v>
      </c>
      <c r="J319">
        <f t="shared" si="13"/>
        <v>3</v>
      </c>
      <c r="K319">
        <f>SUMIF(OrderDetailsCustomers!$M$2:$M$2158,'Order Header'!A319,OrderDetailsCustomers!$W$2:$W$2158)</f>
        <v>639.9</v>
      </c>
      <c r="L319" s="11">
        <f t="shared" si="14"/>
        <v>3</v>
      </c>
    </row>
    <row r="320" spans="1:12" x14ac:dyDescent="0.4">
      <c r="A320">
        <v>10566</v>
      </c>
      <c r="B320" s="4">
        <v>34893</v>
      </c>
      <c r="C320" t="s">
        <v>60</v>
      </c>
      <c r="D320" s="1" t="s">
        <v>775</v>
      </c>
      <c r="E320">
        <v>140.88</v>
      </c>
      <c r="F320">
        <v>20</v>
      </c>
      <c r="G320">
        <f t="shared" si="15"/>
        <v>3</v>
      </c>
      <c r="H320">
        <f>SUMIF(OrderDetailsCustomers!$M$2:$M$2158,A320,OrderDetailsCustomers!$W$2:$W$2158)</f>
        <v>1761</v>
      </c>
      <c r="J320">
        <f t="shared" si="13"/>
        <v>3</v>
      </c>
      <c r="K320">
        <f>SUMIF(OrderDetailsCustomers!$M$2:$M$2158,'Order Header'!A320,OrderDetailsCustomers!$W$2:$W$2158)</f>
        <v>1761</v>
      </c>
      <c r="L320" s="11">
        <f t="shared" si="14"/>
        <v>3</v>
      </c>
    </row>
    <row r="321" spans="1:12" x14ac:dyDescent="0.4">
      <c r="A321">
        <v>10567</v>
      </c>
      <c r="B321" s="4">
        <v>34893</v>
      </c>
      <c r="C321" t="s">
        <v>288</v>
      </c>
      <c r="D321" s="1" t="s">
        <v>781</v>
      </c>
      <c r="E321">
        <v>201.52</v>
      </c>
      <c r="F321">
        <v>20</v>
      </c>
      <c r="G321">
        <f t="shared" si="15"/>
        <v>4</v>
      </c>
      <c r="H321">
        <f>SUMIF(OrderDetailsCustomers!$M$2:$M$2158,A321,OrderDetailsCustomers!$W$2:$W$2158)</f>
        <v>2519</v>
      </c>
      <c r="J321">
        <f t="shared" si="13"/>
        <v>4</v>
      </c>
      <c r="K321">
        <f>SUMIF(OrderDetailsCustomers!$M$2:$M$2158,'Order Header'!A321,OrderDetailsCustomers!$W$2:$W$2158)</f>
        <v>2519</v>
      </c>
      <c r="L321" s="11">
        <f t="shared" si="14"/>
        <v>4</v>
      </c>
    </row>
    <row r="322" spans="1:12" x14ac:dyDescent="0.4">
      <c r="A322">
        <v>10568</v>
      </c>
      <c r="B322" s="4">
        <v>34894</v>
      </c>
      <c r="C322" t="s">
        <v>227</v>
      </c>
      <c r="D322" s="1" t="s">
        <v>776</v>
      </c>
      <c r="E322">
        <v>12.4</v>
      </c>
      <c r="F322">
        <v>10</v>
      </c>
      <c r="G322">
        <f t="shared" si="15"/>
        <v>2</v>
      </c>
      <c r="H322">
        <f>SUMIF(OrderDetailsCustomers!$M$2:$M$2158,A322,OrderDetailsCustomers!$W$2:$W$2158)</f>
        <v>155</v>
      </c>
      <c r="J322">
        <f t="shared" si="13"/>
        <v>2</v>
      </c>
      <c r="K322">
        <f>SUMIF(OrderDetailsCustomers!$M$2:$M$2158,'Order Header'!A322,OrderDetailsCustomers!$W$2:$W$2158)</f>
        <v>155</v>
      </c>
      <c r="L322" s="11">
        <f t="shared" si="14"/>
        <v>2</v>
      </c>
    </row>
    <row r="323" spans="1:12" x14ac:dyDescent="0.4">
      <c r="A323">
        <v>10569</v>
      </c>
      <c r="B323" s="4">
        <v>34897</v>
      </c>
      <c r="C323" t="s">
        <v>487</v>
      </c>
      <c r="D323" s="1" t="s">
        <v>765</v>
      </c>
      <c r="E323">
        <v>71.2</v>
      </c>
      <c r="F323">
        <v>15</v>
      </c>
      <c r="G323">
        <f t="shared" si="15"/>
        <v>3</v>
      </c>
      <c r="H323">
        <f>SUMIF(OrderDetailsCustomers!$M$2:$M$2158,A323,OrderDetailsCustomers!$W$2:$W$2158)</f>
        <v>890</v>
      </c>
      <c r="J323">
        <f t="shared" ref="J323:J386" si="16">VLOOKUP(E323,$T$1:$U$7,2,TRUE)</f>
        <v>3</v>
      </c>
      <c r="K323">
        <f>SUMIF(OrderDetailsCustomers!$M$2:$M$2158,'Order Header'!A323,OrderDetailsCustomers!$W$2:$W$2158)</f>
        <v>890</v>
      </c>
      <c r="L323" s="11">
        <f t="shared" ref="L323:L386" si="17">VLOOKUP(E323,$T$1:$U$7,2,TRUE)</f>
        <v>3</v>
      </c>
    </row>
    <row r="324" spans="1:12" x14ac:dyDescent="0.4">
      <c r="A324">
        <v>10570</v>
      </c>
      <c r="B324" s="4">
        <v>34898</v>
      </c>
      <c r="C324" t="s">
        <v>394</v>
      </c>
      <c r="D324" s="1" t="s">
        <v>780</v>
      </c>
      <c r="E324">
        <v>197.22</v>
      </c>
      <c r="F324">
        <v>20</v>
      </c>
      <c r="G324">
        <f t="shared" si="15"/>
        <v>4</v>
      </c>
      <c r="H324">
        <f>SUMIF(OrderDetailsCustomers!$M$2:$M$2158,A324,OrderDetailsCustomers!$W$2:$W$2158)</f>
        <v>2465.25</v>
      </c>
      <c r="J324">
        <f t="shared" si="16"/>
        <v>4</v>
      </c>
      <c r="K324">
        <f>SUMIF(OrderDetailsCustomers!$M$2:$M$2158,'Order Header'!A324,OrderDetailsCustomers!$W$2:$W$2158)</f>
        <v>2465.25</v>
      </c>
      <c r="L324" s="11">
        <f t="shared" si="17"/>
        <v>4</v>
      </c>
    </row>
    <row r="325" spans="1:12" x14ac:dyDescent="0.4">
      <c r="A325">
        <v>10571</v>
      </c>
      <c r="B325" s="4">
        <v>34898</v>
      </c>
      <c r="C325" t="s">
        <v>161</v>
      </c>
      <c r="D325" s="1" t="s">
        <v>772</v>
      </c>
      <c r="E325">
        <v>44.046999999999997</v>
      </c>
      <c r="F325">
        <v>15</v>
      </c>
      <c r="G325">
        <f t="shared" si="15"/>
        <v>2</v>
      </c>
      <c r="H325">
        <f>SUMIF(OrderDetailsCustomers!$M$2:$M$2158,A325,OrderDetailsCustomers!$W$2:$W$2158)</f>
        <v>550.58749999999998</v>
      </c>
      <c r="J325">
        <f t="shared" si="16"/>
        <v>2</v>
      </c>
      <c r="K325">
        <f>SUMIF(OrderDetailsCustomers!$M$2:$M$2158,'Order Header'!A325,OrderDetailsCustomers!$W$2:$W$2158)</f>
        <v>550.58749999999998</v>
      </c>
      <c r="L325" s="11">
        <f t="shared" si="17"/>
        <v>2</v>
      </c>
    </row>
    <row r="326" spans="1:12" x14ac:dyDescent="0.4">
      <c r="A326">
        <v>10572</v>
      </c>
      <c r="B326" s="4">
        <v>34899</v>
      </c>
      <c r="C326" t="s">
        <v>43</v>
      </c>
      <c r="D326" s="1" t="s">
        <v>765</v>
      </c>
      <c r="E326">
        <v>120.08679999999998</v>
      </c>
      <c r="F326">
        <v>20</v>
      </c>
      <c r="G326">
        <f t="shared" si="15"/>
        <v>3</v>
      </c>
      <c r="H326">
        <f>SUMIF(OrderDetailsCustomers!$M$2:$M$2158,A326,OrderDetailsCustomers!$W$2:$W$2158)</f>
        <v>1501.0849999999998</v>
      </c>
      <c r="J326">
        <f t="shared" si="16"/>
        <v>3</v>
      </c>
      <c r="K326">
        <f>SUMIF(OrderDetailsCustomers!$M$2:$M$2158,'Order Header'!A326,OrderDetailsCustomers!$W$2:$W$2158)</f>
        <v>1501.0849999999998</v>
      </c>
      <c r="L326" s="11">
        <f t="shared" si="17"/>
        <v>3</v>
      </c>
    </row>
    <row r="327" spans="1:12" x14ac:dyDescent="0.4">
      <c r="A327">
        <v>10573</v>
      </c>
      <c r="B327" s="4">
        <v>34900</v>
      </c>
      <c r="C327" t="s">
        <v>29</v>
      </c>
      <c r="D327" s="1" t="s">
        <v>777</v>
      </c>
      <c r="E327">
        <v>166.56</v>
      </c>
      <c r="F327">
        <v>20</v>
      </c>
      <c r="G327">
        <f t="shared" si="15"/>
        <v>4</v>
      </c>
      <c r="H327">
        <f>SUMIF(OrderDetailsCustomers!$M$2:$M$2158,A327,OrderDetailsCustomers!$W$2:$W$2158)</f>
        <v>2082</v>
      </c>
      <c r="J327">
        <f t="shared" si="16"/>
        <v>4</v>
      </c>
      <c r="K327">
        <f>SUMIF(OrderDetailsCustomers!$M$2:$M$2158,'Order Header'!A327,OrderDetailsCustomers!$W$2:$W$2158)</f>
        <v>2082</v>
      </c>
      <c r="L327" s="11">
        <f t="shared" si="17"/>
        <v>4</v>
      </c>
    </row>
    <row r="328" spans="1:12" x14ac:dyDescent="0.4">
      <c r="A328">
        <v>10574</v>
      </c>
      <c r="B328" s="4">
        <v>34900</v>
      </c>
      <c r="C328" t="s">
        <v>605</v>
      </c>
      <c r="D328" s="1" t="s">
        <v>783</v>
      </c>
      <c r="E328">
        <v>61.143999999999998</v>
      </c>
      <c r="F328">
        <v>15</v>
      </c>
      <c r="G328">
        <f t="shared" si="15"/>
        <v>3</v>
      </c>
      <c r="H328">
        <f>SUMIF(OrderDetailsCustomers!$M$2:$M$2158,A328,OrderDetailsCustomers!$W$2:$W$2158)</f>
        <v>764.3</v>
      </c>
      <c r="J328">
        <f t="shared" si="16"/>
        <v>3</v>
      </c>
      <c r="K328">
        <f>SUMIF(OrderDetailsCustomers!$M$2:$M$2158,'Order Header'!A328,OrderDetailsCustomers!$W$2:$W$2158)</f>
        <v>764.3</v>
      </c>
      <c r="L328" s="11">
        <f t="shared" si="17"/>
        <v>3</v>
      </c>
    </row>
    <row r="329" spans="1:12" x14ac:dyDescent="0.4">
      <c r="A329">
        <v>10575</v>
      </c>
      <c r="B329" s="4">
        <v>34901</v>
      </c>
      <c r="C329" t="s">
        <v>403</v>
      </c>
      <c r="D329" s="1" t="s">
        <v>778</v>
      </c>
      <c r="E329">
        <v>171.792</v>
      </c>
      <c r="F329">
        <v>20</v>
      </c>
      <c r="G329">
        <f t="shared" si="15"/>
        <v>4</v>
      </c>
      <c r="H329">
        <f>SUMIF(OrderDetailsCustomers!$M$2:$M$2158,A329,OrderDetailsCustomers!$W$2:$W$2158)</f>
        <v>2147.4</v>
      </c>
      <c r="J329">
        <f t="shared" si="16"/>
        <v>4</v>
      </c>
      <c r="K329">
        <f>SUMIF(OrderDetailsCustomers!$M$2:$M$2158,'Order Header'!A329,OrderDetailsCustomers!$W$2:$W$2158)</f>
        <v>2147.4</v>
      </c>
      <c r="L329" s="11">
        <f t="shared" si="17"/>
        <v>4</v>
      </c>
    </row>
    <row r="330" spans="1:12" x14ac:dyDescent="0.4">
      <c r="A330">
        <v>10576</v>
      </c>
      <c r="B330" s="4">
        <v>34904</v>
      </c>
      <c r="C330" t="s">
        <v>593</v>
      </c>
      <c r="D330" s="1" t="s">
        <v>772</v>
      </c>
      <c r="E330">
        <v>67.076000000000008</v>
      </c>
      <c r="F330">
        <v>15</v>
      </c>
      <c r="G330">
        <f t="shared" si="15"/>
        <v>3</v>
      </c>
      <c r="H330">
        <f>SUMIF(OrderDetailsCustomers!$M$2:$M$2158,A330,OrderDetailsCustomers!$W$2:$W$2158)</f>
        <v>838.45</v>
      </c>
      <c r="J330">
        <f t="shared" si="16"/>
        <v>3</v>
      </c>
      <c r="K330">
        <f>SUMIF(OrderDetailsCustomers!$M$2:$M$2158,'Order Header'!A330,OrderDetailsCustomers!$W$2:$W$2158)</f>
        <v>838.45</v>
      </c>
      <c r="L330" s="11">
        <f t="shared" si="17"/>
        <v>3</v>
      </c>
    </row>
    <row r="331" spans="1:12" x14ac:dyDescent="0.4">
      <c r="A331">
        <v>10577</v>
      </c>
      <c r="B331" s="4">
        <v>34904</v>
      </c>
      <c r="C331" t="s">
        <v>605</v>
      </c>
      <c r="D331" s="1" t="s">
        <v>783</v>
      </c>
      <c r="E331">
        <v>45.52</v>
      </c>
      <c r="F331">
        <v>15</v>
      </c>
      <c r="G331">
        <f t="shared" si="15"/>
        <v>2</v>
      </c>
      <c r="H331">
        <f>SUMIF(OrderDetailsCustomers!$M$2:$M$2158,A331,OrderDetailsCustomers!$W$2:$W$2158)</f>
        <v>569</v>
      </c>
      <c r="J331">
        <f t="shared" si="16"/>
        <v>2</v>
      </c>
      <c r="K331">
        <f>SUMIF(OrderDetailsCustomers!$M$2:$M$2158,'Order Header'!A331,OrderDetailsCustomers!$W$2:$W$2158)</f>
        <v>569</v>
      </c>
      <c r="L331" s="11">
        <f t="shared" si="17"/>
        <v>2</v>
      </c>
    </row>
    <row r="332" spans="1:12" x14ac:dyDescent="0.4">
      <c r="A332">
        <v>10578</v>
      </c>
      <c r="B332" s="4">
        <v>34905</v>
      </c>
      <c r="C332" t="s">
        <v>95</v>
      </c>
      <c r="D332" s="1" t="s">
        <v>780</v>
      </c>
      <c r="E332">
        <v>38.160000000000004</v>
      </c>
      <c r="F332">
        <v>10</v>
      </c>
      <c r="G332">
        <f t="shared" si="15"/>
        <v>2</v>
      </c>
      <c r="H332">
        <f>SUMIF(OrderDetailsCustomers!$M$2:$M$2158,A332,OrderDetailsCustomers!$W$2:$W$2158)</f>
        <v>477</v>
      </c>
      <c r="J332">
        <f t="shared" si="16"/>
        <v>2</v>
      </c>
      <c r="K332">
        <f>SUMIF(OrderDetailsCustomers!$M$2:$M$2158,'Order Header'!A332,OrderDetailsCustomers!$W$2:$W$2158)</f>
        <v>477</v>
      </c>
      <c r="L332" s="11">
        <f t="shared" si="17"/>
        <v>2</v>
      </c>
    </row>
    <row r="333" spans="1:12" x14ac:dyDescent="0.4">
      <c r="A333">
        <v>10579</v>
      </c>
      <c r="B333" s="4">
        <v>34906</v>
      </c>
      <c r="C333" t="s">
        <v>348</v>
      </c>
      <c r="D333" s="1" t="s">
        <v>765</v>
      </c>
      <c r="E333">
        <v>25.42</v>
      </c>
      <c r="F333">
        <v>10</v>
      </c>
      <c r="G333">
        <f t="shared" si="15"/>
        <v>2</v>
      </c>
      <c r="H333">
        <f>SUMIF(OrderDetailsCustomers!$M$2:$M$2158,A333,OrderDetailsCustomers!$W$2:$W$2158)</f>
        <v>317.75</v>
      </c>
      <c r="J333">
        <f t="shared" si="16"/>
        <v>2</v>
      </c>
      <c r="K333">
        <f>SUMIF(OrderDetailsCustomers!$M$2:$M$2158,'Order Header'!A333,OrderDetailsCustomers!$W$2:$W$2158)</f>
        <v>317.75</v>
      </c>
      <c r="L333" s="11">
        <f t="shared" si="17"/>
        <v>2</v>
      </c>
    </row>
    <row r="334" spans="1:12" x14ac:dyDescent="0.4">
      <c r="A334">
        <v>10580</v>
      </c>
      <c r="B334" s="4">
        <v>34907</v>
      </c>
      <c r="C334" t="s">
        <v>430</v>
      </c>
      <c r="D334" s="1" t="s">
        <v>769</v>
      </c>
      <c r="E334">
        <v>81.099599999999995</v>
      </c>
      <c r="F334">
        <v>20</v>
      </c>
      <c r="G334">
        <f t="shared" si="15"/>
        <v>3</v>
      </c>
      <c r="H334">
        <f>SUMIF(OrderDetailsCustomers!$M$2:$M$2158,A334,OrderDetailsCustomers!$W$2:$W$2158)</f>
        <v>1013.7449999999999</v>
      </c>
      <c r="J334">
        <f t="shared" si="16"/>
        <v>3</v>
      </c>
      <c r="K334">
        <f>SUMIF(OrderDetailsCustomers!$M$2:$M$2158,'Order Header'!A334,OrderDetailsCustomers!$W$2:$W$2158)</f>
        <v>1013.7449999999999</v>
      </c>
      <c r="L334" s="11">
        <f t="shared" si="17"/>
        <v>3</v>
      </c>
    </row>
    <row r="335" spans="1:12" x14ac:dyDescent="0.4">
      <c r="A335">
        <v>10581</v>
      </c>
      <c r="B335" s="4">
        <v>34907</v>
      </c>
      <c r="C335" t="s">
        <v>170</v>
      </c>
      <c r="D335" s="1" t="s">
        <v>774</v>
      </c>
      <c r="E335">
        <v>24.8</v>
      </c>
      <c r="F335">
        <v>10</v>
      </c>
      <c r="G335">
        <f t="shared" si="15"/>
        <v>2</v>
      </c>
      <c r="H335">
        <f>SUMIF(OrderDetailsCustomers!$M$2:$M$2158,A335,OrderDetailsCustomers!$W$2:$W$2158)</f>
        <v>310</v>
      </c>
      <c r="J335">
        <f t="shared" si="16"/>
        <v>2</v>
      </c>
      <c r="K335">
        <f>SUMIF(OrderDetailsCustomers!$M$2:$M$2158,'Order Header'!A335,OrderDetailsCustomers!$W$2:$W$2158)</f>
        <v>310</v>
      </c>
      <c r="L335" s="11">
        <f t="shared" si="17"/>
        <v>2</v>
      </c>
    </row>
    <row r="336" spans="1:12" x14ac:dyDescent="0.4">
      <c r="A336">
        <v>10582</v>
      </c>
      <c r="B336" s="4">
        <v>34908</v>
      </c>
      <c r="C336" t="s">
        <v>53</v>
      </c>
      <c r="D336" s="1" t="s">
        <v>779</v>
      </c>
      <c r="E336">
        <v>26.400000000000002</v>
      </c>
      <c r="F336">
        <v>10</v>
      </c>
      <c r="G336">
        <f t="shared" si="15"/>
        <v>2</v>
      </c>
      <c r="H336">
        <f>SUMIF(OrderDetailsCustomers!$M$2:$M$2158,A336,OrderDetailsCustomers!$W$2:$W$2158)</f>
        <v>330</v>
      </c>
      <c r="J336">
        <f t="shared" si="16"/>
        <v>2</v>
      </c>
      <c r="K336">
        <f>SUMIF(OrderDetailsCustomers!$M$2:$M$2158,'Order Header'!A336,OrderDetailsCustomers!$W$2:$W$2158)</f>
        <v>330</v>
      </c>
      <c r="L336" s="11">
        <f t="shared" si="17"/>
        <v>2</v>
      </c>
    </row>
    <row r="337" spans="1:12" x14ac:dyDescent="0.4">
      <c r="A337">
        <v>10583</v>
      </c>
      <c r="B337" s="4">
        <v>34911</v>
      </c>
      <c r="C337" t="s">
        <v>640</v>
      </c>
      <c r="D337" s="1" t="s">
        <v>775</v>
      </c>
      <c r="E337">
        <v>179</v>
      </c>
      <c r="F337">
        <v>20</v>
      </c>
      <c r="G337">
        <f t="shared" si="15"/>
        <v>4</v>
      </c>
      <c r="H337">
        <f>SUMIF(OrderDetailsCustomers!$M$2:$M$2158,A337,OrderDetailsCustomers!$W$2:$W$2158)</f>
        <v>2237.5</v>
      </c>
      <c r="J337">
        <f t="shared" si="16"/>
        <v>4</v>
      </c>
      <c r="K337">
        <f>SUMIF(OrderDetailsCustomers!$M$2:$M$2158,'Order Header'!A337,OrderDetailsCustomers!$W$2:$W$2158)</f>
        <v>2237.5</v>
      </c>
      <c r="L337" s="11">
        <f t="shared" si="17"/>
        <v>4</v>
      </c>
    </row>
    <row r="338" spans="1:12" x14ac:dyDescent="0.4">
      <c r="A338">
        <v>10584</v>
      </c>
      <c r="B338" s="4">
        <v>34911</v>
      </c>
      <c r="C338" t="s">
        <v>60</v>
      </c>
      <c r="D338" s="1" t="s">
        <v>775</v>
      </c>
      <c r="E338">
        <v>47.5</v>
      </c>
      <c r="F338">
        <v>15</v>
      </c>
      <c r="G338">
        <f t="shared" si="15"/>
        <v>2</v>
      </c>
      <c r="H338">
        <f>SUMIF(OrderDetailsCustomers!$M$2:$M$2158,A338,OrderDetailsCustomers!$W$2:$W$2158)</f>
        <v>593.75</v>
      </c>
      <c r="J338">
        <f t="shared" si="16"/>
        <v>2</v>
      </c>
      <c r="K338">
        <f>SUMIF(OrderDetailsCustomers!$M$2:$M$2158,'Order Header'!A338,OrderDetailsCustomers!$W$2:$W$2158)</f>
        <v>593.75</v>
      </c>
      <c r="L338" s="11">
        <f t="shared" si="17"/>
        <v>2</v>
      </c>
    </row>
    <row r="339" spans="1:12" x14ac:dyDescent="0.4">
      <c r="A339">
        <v>10585</v>
      </c>
      <c r="B339" s="4">
        <v>34912</v>
      </c>
      <c r="C339" t="s">
        <v>647</v>
      </c>
      <c r="D339" s="1" t="s">
        <v>770</v>
      </c>
      <c r="E339">
        <v>11.4</v>
      </c>
      <c r="F339">
        <v>10</v>
      </c>
      <c r="G339">
        <f t="shared" si="15"/>
        <v>2</v>
      </c>
      <c r="H339">
        <f>SUMIF(OrderDetailsCustomers!$M$2:$M$2158,A339,OrderDetailsCustomers!$W$2:$W$2158)</f>
        <v>142.5</v>
      </c>
      <c r="J339">
        <f t="shared" si="16"/>
        <v>2</v>
      </c>
      <c r="K339">
        <f>SUMIF(OrderDetailsCustomers!$M$2:$M$2158,'Order Header'!A339,OrderDetailsCustomers!$W$2:$W$2158)</f>
        <v>142.5</v>
      </c>
      <c r="L339" s="11">
        <f t="shared" si="17"/>
        <v>2</v>
      </c>
    </row>
    <row r="340" spans="1:12" x14ac:dyDescent="0.4">
      <c r="A340">
        <v>10586</v>
      </c>
      <c r="B340" s="4">
        <v>34913</v>
      </c>
      <c r="C340" t="s">
        <v>496</v>
      </c>
      <c r="D340" s="1" t="s">
        <v>779</v>
      </c>
      <c r="E340">
        <v>1.9040000000000001</v>
      </c>
      <c r="F340">
        <v>10</v>
      </c>
      <c r="G340">
        <f t="shared" si="15"/>
        <v>1</v>
      </c>
      <c r="H340">
        <f>SUMIF(OrderDetailsCustomers!$M$2:$M$2158,A340,OrderDetailsCustomers!$W$2:$W$2158)</f>
        <v>23.8</v>
      </c>
      <c r="J340">
        <f t="shared" si="16"/>
        <v>1</v>
      </c>
      <c r="K340">
        <f>SUMIF(OrderDetailsCustomers!$M$2:$M$2158,'Order Header'!A340,OrderDetailsCustomers!$W$2:$W$2158)</f>
        <v>23.8</v>
      </c>
      <c r="L340" s="11">
        <f t="shared" si="17"/>
        <v>1</v>
      </c>
    </row>
    <row r="341" spans="1:12" x14ac:dyDescent="0.4">
      <c r="A341">
        <v>10587</v>
      </c>
      <c r="B341" s="4">
        <v>34913</v>
      </c>
      <c r="C341" t="s">
        <v>462</v>
      </c>
      <c r="D341" s="1" t="s">
        <v>774</v>
      </c>
      <c r="E341">
        <v>64.590400000000002</v>
      </c>
      <c r="F341">
        <v>15</v>
      </c>
      <c r="G341">
        <f t="shared" ref="G341:G404" si="18">VLOOKUP(E341,$T$1:$U$7,2,TRUE)</f>
        <v>3</v>
      </c>
      <c r="H341">
        <f>SUMIF(OrderDetailsCustomers!$M$2:$M$2158,A341,OrderDetailsCustomers!$W$2:$W$2158)</f>
        <v>807.38</v>
      </c>
      <c r="J341">
        <f t="shared" si="16"/>
        <v>3</v>
      </c>
      <c r="K341">
        <f>SUMIF(OrderDetailsCustomers!$M$2:$M$2158,'Order Header'!A341,OrderDetailsCustomers!$W$2:$W$2158)</f>
        <v>807.38</v>
      </c>
      <c r="L341" s="11">
        <f t="shared" si="17"/>
        <v>3</v>
      </c>
    </row>
    <row r="342" spans="1:12" x14ac:dyDescent="0.4">
      <c r="A342">
        <v>10588</v>
      </c>
      <c r="B342" s="4">
        <v>34914</v>
      </c>
      <c r="C342" t="s">
        <v>475</v>
      </c>
      <c r="D342" s="1" t="s">
        <v>777</v>
      </c>
      <c r="E342">
        <v>249.6</v>
      </c>
      <c r="F342">
        <v>20</v>
      </c>
      <c r="G342">
        <f t="shared" si="18"/>
        <v>4</v>
      </c>
      <c r="H342">
        <f>SUMIF(OrderDetailsCustomers!$M$2:$M$2158,A342,OrderDetailsCustomers!$W$2:$W$2158)</f>
        <v>3120</v>
      </c>
      <c r="J342">
        <f t="shared" si="16"/>
        <v>4</v>
      </c>
      <c r="K342">
        <f>SUMIF(OrderDetailsCustomers!$M$2:$M$2158,'Order Header'!A342,OrderDetailsCustomers!$W$2:$W$2158)</f>
        <v>3120</v>
      </c>
      <c r="L342" s="11">
        <f t="shared" si="17"/>
        <v>4</v>
      </c>
    </row>
    <row r="343" spans="1:12" x14ac:dyDescent="0.4">
      <c r="A343">
        <v>10589</v>
      </c>
      <c r="B343" s="4">
        <v>34915</v>
      </c>
      <c r="C343" t="s">
        <v>247</v>
      </c>
      <c r="D343" s="1" t="s">
        <v>778</v>
      </c>
      <c r="E343">
        <v>5.76</v>
      </c>
      <c r="F343">
        <v>10</v>
      </c>
      <c r="G343">
        <f t="shared" si="18"/>
        <v>1</v>
      </c>
      <c r="H343">
        <f>SUMIF(OrderDetailsCustomers!$M$2:$M$2158,A343,OrderDetailsCustomers!$W$2:$W$2158)</f>
        <v>72</v>
      </c>
      <c r="J343">
        <f t="shared" si="16"/>
        <v>1</v>
      </c>
      <c r="K343">
        <f>SUMIF(OrderDetailsCustomers!$M$2:$M$2158,'Order Header'!A343,OrderDetailsCustomers!$W$2:$W$2158)</f>
        <v>72</v>
      </c>
      <c r="L343" s="11">
        <f t="shared" si="17"/>
        <v>1</v>
      </c>
    </row>
    <row r="344" spans="1:12" x14ac:dyDescent="0.4">
      <c r="A344">
        <v>10590</v>
      </c>
      <c r="B344" s="4">
        <v>34918</v>
      </c>
      <c r="C344" t="s">
        <v>394</v>
      </c>
      <c r="D344" s="1" t="s">
        <v>780</v>
      </c>
      <c r="E344">
        <v>88.08</v>
      </c>
      <c r="F344">
        <v>20</v>
      </c>
      <c r="G344">
        <f t="shared" si="18"/>
        <v>3</v>
      </c>
      <c r="H344">
        <f>SUMIF(OrderDetailsCustomers!$M$2:$M$2158,A344,OrderDetailsCustomers!$W$2:$W$2158)</f>
        <v>1101</v>
      </c>
      <c r="J344">
        <f t="shared" si="16"/>
        <v>3</v>
      </c>
      <c r="K344">
        <f>SUMIF(OrderDetailsCustomers!$M$2:$M$2158,'Order Header'!A344,OrderDetailsCustomers!$W$2:$W$2158)</f>
        <v>1101</v>
      </c>
      <c r="L344" s="11">
        <f t="shared" si="17"/>
        <v>3</v>
      </c>
    </row>
    <row r="345" spans="1:12" x14ac:dyDescent="0.4">
      <c r="A345">
        <v>10591</v>
      </c>
      <c r="B345" s="4">
        <v>34918</v>
      </c>
      <c r="C345" t="s">
        <v>612</v>
      </c>
      <c r="D345" s="1" t="s">
        <v>777</v>
      </c>
      <c r="E345">
        <v>65</v>
      </c>
      <c r="F345">
        <v>15</v>
      </c>
      <c r="G345">
        <f t="shared" si="18"/>
        <v>3</v>
      </c>
      <c r="H345">
        <f>SUMIF(OrderDetailsCustomers!$M$2:$M$2158,A345,OrderDetailsCustomers!$W$2:$W$2158)</f>
        <v>812.5</v>
      </c>
      <c r="J345">
        <f t="shared" si="16"/>
        <v>3</v>
      </c>
      <c r="K345">
        <f>SUMIF(OrderDetailsCustomers!$M$2:$M$2158,'Order Header'!A345,OrderDetailsCustomers!$W$2:$W$2158)</f>
        <v>812.5</v>
      </c>
      <c r="L345" s="11">
        <f t="shared" si="17"/>
        <v>3</v>
      </c>
    </row>
    <row r="346" spans="1:12" x14ac:dyDescent="0.4">
      <c r="A346">
        <v>10592</v>
      </c>
      <c r="B346" s="4">
        <v>34919</v>
      </c>
      <c r="C346" t="s">
        <v>341</v>
      </c>
      <c r="D346" s="1" t="s">
        <v>768</v>
      </c>
      <c r="E346">
        <v>41.317399999999999</v>
      </c>
      <c r="F346">
        <v>15</v>
      </c>
      <c r="G346">
        <f t="shared" si="18"/>
        <v>2</v>
      </c>
      <c r="H346">
        <f>SUMIF(OrderDetailsCustomers!$M$2:$M$2158,A346,OrderDetailsCustomers!$W$2:$W$2158)</f>
        <v>516.46749999999997</v>
      </c>
      <c r="J346">
        <f t="shared" si="16"/>
        <v>2</v>
      </c>
      <c r="K346">
        <f>SUMIF(OrderDetailsCustomers!$M$2:$M$2158,'Order Header'!A346,OrderDetailsCustomers!$W$2:$W$2158)</f>
        <v>516.46749999999997</v>
      </c>
      <c r="L346" s="11">
        <f t="shared" si="17"/>
        <v>2</v>
      </c>
    </row>
    <row r="347" spans="1:12" x14ac:dyDescent="0.4">
      <c r="A347">
        <v>10593</v>
      </c>
      <c r="B347" s="4">
        <v>34920</v>
      </c>
      <c r="C347" t="s">
        <v>341</v>
      </c>
      <c r="D347" s="1" t="s">
        <v>768</v>
      </c>
      <c r="E347">
        <v>159.55200000000002</v>
      </c>
      <c r="F347">
        <v>20</v>
      </c>
      <c r="G347">
        <f t="shared" si="18"/>
        <v>4</v>
      </c>
      <c r="H347">
        <f>SUMIF(OrderDetailsCustomers!$M$2:$M$2158,A347,OrderDetailsCustomers!$W$2:$W$2158)</f>
        <v>1994.4</v>
      </c>
      <c r="J347">
        <f t="shared" si="16"/>
        <v>4</v>
      </c>
      <c r="K347">
        <f>SUMIF(OrderDetailsCustomers!$M$2:$M$2158,'Order Header'!A347,OrderDetailsCustomers!$W$2:$W$2158)</f>
        <v>1994.4</v>
      </c>
      <c r="L347" s="11">
        <f t="shared" si="17"/>
        <v>4</v>
      </c>
    </row>
    <row r="348" spans="1:12" x14ac:dyDescent="0.4">
      <c r="A348">
        <v>10594</v>
      </c>
      <c r="B348" s="4">
        <v>34920</v>
      </c>
      <c r="C348" t="s">
        <v>422</v>
      </c>
      <c r="D348" s="1" t="s">
        <v>771</v>
      </c>
      <c r="E348">
        <v>45.24</v>
      </c>
      <c r="F348">
        <v>15</v>
      </c>
      <c r="G348">
        <f t="shared" si="18"/>
        <v>2</v>
      </c>
      <c r="H348">
        <f>SUMIF(OrderDetailsCustomers!$M$2:$M$2158,A348,OrderDetailsCustomers!$W$2:$W$2158)</f>
        <v>565.5</v>
      </c>
      <c r="J348">
        <f t="shared" si="16"/>
        <v>2</v>
      </c>
      <c r="K348">
        <f>SUMIF(OrderDetailsCustomers!$M$2:$M$2158,'Order Header'!A348,OrderDetailsCustomers!$W$2:$W$2158)</f>
        <v>565.5</v>
      </c>
      <c r="L348" s="11">
        <f t="shared" si="17"/>
        <v>2</v>
      </c>
    </row>
    <row r="349" spans="1:12" x14ac:dyDescent="0.4">
      <c r="A349">
        <v>10595</v>
      </c>
      <c r="B349" s="4">
        <v>34921</v>
      </c>
      <c r="C349" t="s">
        <v>161</v>
      </c>
      <c r="D349" s="1" t="s">
        <v>772</v>
      </c>
      <c r="E349">
        <v>378</v>
      </c>
      <c r="F349">
        <v>20</v>
      </c>
      <c r="G349">
        <f t="shared" si="18"/>
        <v>5</v>
      </c>
      <c r="H349">
        <f>SUMIF(OrderDetailsCustomers!$M$2:$M$2158,A349,OrderDetailsCustomers!$W$2:$W$2158)</f>
        <v>4725</v>
      </c>
      <c r="J349">
        <f t="shared" si="16"/>
        <v>5</v>
      </c>
      <c r="K349">
        <f>SUMIF(OrderDetailsCustomers!$M$2:$M$2158,'Order Header'!A349,OrderDetailsCustomers!$W$2:$W$2158)</f>
        <v>4725</v>
      </c>
      <c r="L349" s="11">
        <f t="shared" si="17"/>
        <v>5</v>
      </c>
    </row>
    <row r="350" spans="1:12" x14ac:dyDescent="0.4">
      <c r="A350">
        <v>10596</v>
      </c>
      <c r="B350" s="4">
        <v>34922</v>
      </c>
      <c r="C350" t="s">
        <v>654</v>
      </c>
      <c r="D350" s="1" t="s">
        <v>776</v>
      </c>
      <c r="E350">
        <v>94.470400000000012</v>
      </c>
      <c r="F350">
        <v>20</v>
      </c>
      <c r="G350">
        <f t="shared" si="18"/>
        <v>3</v>
      </c>
      <c r="H350">
        <f>SUMIF(OrderDetailsCustomers!$M$2:$M$2158,A350,OrderDetailsCustomers!$W$2:$W$2158)</f>
        <v>1180.8800000000001</v>
      </c>
      <c r="J350">
        <f t="shared" si="16"/>
        <v>3</v>
      </c>
      <c r="K350">
        <f>SUMIF(OrderDetailsCustomers!$M$2:$M$2158,'Order Header'!A350,OrderDetailsCustomers!$W$2:$W$2158)</f>
        <v>1180.8800000000001</v>
      </c>
      <c r="L350" s="11">
        <f t="shared" si="17"/>
        <v>3</v>
      </c>
    </row>
    <row r="351" spans="1:12" x14ac:dyDescent="0.4">
      <c r="A351">
        <v>10597</v>
      </c>
      <c r="B351" s="4">
        <v>34922</v>
      </c>
      <c r="C351" t="s">
        <v>450</v>
      </c>
      <c r="D351" s="1" t="s">
        <v>766</v>
      </c>
      <c r="E351">
        <v>57.446400000000004</v>
      </c>
      <c r="F351">
        <v>15</v>
      </c>
      <c r="G351">
        <f t="shared" si="18"/>
        <v>3</v>
      </c>
      <c r="H351">
        <f>SUMIF(OrderDetailsCustomers!$M$2:$M$2158,A351,OrderDetailsCustomers!$W$2:$W$2158)</f>
        <v>718.08</v>
      </c>
      <c r="J351">
        <f t="shared" si="16"/>
        <v>3</v>
      </c>
      <c r="K351">
        <f>SUMIF(OrderDetailsCustomers!$M$2:$M$2158,'Order Header'!A351,OrderDetailsCustomers!$W$2:$W$2158)</f>
        <v>718.08</v>
      </c>
      <c r="L351" s="11">
        <f t="shared" si="17"/>
        <v>3</v>
      </c>
    </row>
    <row r="352" spans="1:12" x14ac:dyDescent="0.4">
      <c r="A352">
        <v>10598</v>
      </c>
      <c r="B352" s="4">
        <v>34925</v>
      </c>
      <c r="C352" t="s">
        <v>487</v>
      </c>
      <c r="D352" s="1" t="s">
        <v>765</v>
      </c>
      <c r="E352">
        <v>191.08</v>
      </c>
      <c r="F352">
        <v>20</v>
      </c>
      <c r="G352">
        <f t="shared" si="18"/>
        <v>4</v>
      </c>
      <c r="H352">
        <f>SUMIF(OrderDetailsCustomers!$M$2:$M$2158,A352,OrderDetailsCustomers!$W$2:$W$2158)</f>
        <v>2388.5</v>
      </c>
      <c r="J352">
        <f t="shared" si="16"/>
        <v>4</v>
      </c>
      <c r="K352">
        <f>SUMIF(OrderDetailsCustomers!$M$2:$M$2158,'Order Header'!A352,OrderDetailsCustomers!$W$2:$W$2158)</f>
        <v>2388.5</v>
      </c>
      <c r="L352" s="11">
        <f t="shared" si="17"/>
        <v>4</v>
      </c>
    </row>
    <row r="353" spans="1:12" x14ac:dyDescent="0.4">
      <c r="A353">
        <v>10599</v>
      </c>
      <c r="B353" s="4">
        <v>34926</v>
      </c>
      <c r="C353" t="s">
        <v>95</v>
      </c>
      <c r="D353" s="1" t="s">
        <v>780</v>
      </c>
      <c r="E353">
        <v>39.44</v>
      </c>
      <c r="F353">
        <v>10</v>
      </c>
      <c r="G353">
        <f t="shared" si="18"/>
        <v>2</v>
      </c>
      <c r="H353">
        <f>SUMIF(OrderDetailsCustomers!$M$2:$M$2158,A353,OrderDetailsCustomers!$W$2:$W$2158)</f>
        <v>493</v>
      </c>
      <c r="J353">
        <f t="shared" si="16"/>
        <v>2</v>
      </c>
      <c r="K353">
        <f>SUMIF(OrderDetailsCustomers!$M$2:$M$2158,'Order Header'!A353,OrderDetailsCustomers!$W$2:$W$2158)</f>
        <v>493</v>
      </c>
      <c r="L353" s="11">
        <f t="shared" si="17"/>
        <v>2</v>
      </c>
    </row>
    <row r="354" spans="1:12" x14ac:dyDescent="0.4">
      <c r="A354">
        <v>10600</v>
      </c>
      <c r="B354" s="4">
        <v>34927</v>
      </c>
      <c r="C354" t="s">
        <v>281</v>
      </c>
      <c r="D354" s="1" t="s">
        <v>769</v>
      </c>
      <c r="E354">
        <v>38.384</v>
      </c>
      <c r="F354">
        <v>10</v>
      </c>
      <c r="G354">
        <f t="shared" si="18"/>
        <v>2</v>
      </c>
      <c r="H354">
        <f>SUMIF(OrderDetailsCustomers!$M$2:$M$2158,A354,OrderDetailsCustomers!$W$2:$W$2158)</f>
        <v>479.8</v>
      </c>
      <c r="J354">
        <f t="shared" si="16"/>
        <v>2</v>
      </c>
      <c r="K354">
        <f>SUMIF(OrderDetailsCustomers!$M$2:$M$2158,'Order Header'!A354,OrderDetailsCustomers!$W$2:$W$2158)</f>
        <v>479.8</v>
      </c>
      <c r="L354" s="11">
        <f t="shared" si="17"/>
        <v>2</v>
      </c>
    </row>
    <row r="355" spans="1:12" x14ac:dyDescent="0.4">
      <c r="A355">
        <v>10601</v>
      </c>
      <c r="B355" s="4">
        <v>34927</v>
      </c>
      <c r="C355" t="s">
        <v>273</v>
      </c>
      <c r="D355" s="1" t="s">
        <v>771</v>
      </c>
      <c r="E355">
        <v>182.8</v>
      </c>
      <c r="F355">
        <v>20</v>
      </c>
      <c r="G355">
        <f t="shared" si="18"/>
        <v>4</v>
      </c>
      <c r="H355">
        <f>SUMIF(OrderDetailsCustomers!$M$2:$M$2158,A355,OrderDetailsCustomers!$W$2:$W$2158)</f>
        <v>2285</v>
      </c>
      <c r="J355">
        <f t="shared" si="16"/>
        <v>4</v>
      </c>
      <c r="K355">
        <f>SUMIF(OrderDetailsCustomers!$M$2:$M$2158,'Order Header'!A355,OrderDetailsCustomers!$W$2:$W$2158)</f>
        <v>2285</v>
      </c>
      <c r="L355" s="11">
        <f t="shared" si="17"/>
        <v>4</v>
      </c>
    </row>
    <row r="356" spans="1:12" x14ac:dyDescent="0.4">
      <c r="A356">
        <v>10602</v>
      </c>
      <c r="B356" s="4">
        <v>34928</v>
      </c>
      <c r="C356" t="s">
        <v>612</v>
      </c>
      <c r="D356" s="1" t="s">
        <v>777</v>
      </c>
      <c r="E356">
        <v>3.9</v>
      </c>
      <c r="F356">
        <v>10</v>
      </c>
      <c r="G356">
        <f t="shared" si="18"/>
        <v>1</v>
      </c>
      <c r="H356">
        <f>SUMIF(OrderDetailsCustomers!$M$2:$M$2158,A356,OrderDetailsCustomers!$W$2:$W$2158)</f>
        <v>48.75</v>
      </c>
      <c r="J356">
        <f t="shared" si="16"/>
        <v>1</v>
      </c>
      <c r="K356">
        <f>SUMIF(OrderDetailsCustomers!$M$2:$M$2158,'Order Header'!A356,OrderDetailsCustomers!$W$2:$W$2158)</f>
        <v>48.75</v>
      </c>
      <c r="L356" s="11">
        <f t="shared" si="17"/>
        <v>1</v>
      </c>
    </row>
    <row r="357" spans="1:12" x14ac:dyDescent="0.4">
      <c r="A357">
        <v>10603</v>
      </c>
      <c r="B357" s="4">
        <v>34929</v>
      </c>
      <c r="C357" t="s">
        <v>529</v>
      </c>
      <c r="D357" s="1" t="s">
        <v>780</v>
      </c>
      <c r="E357">
        <v>118.64</v>
      </c>
      <c r="F357">
        <v>20</v>
      </c>
      <c r="G357">
        <f t="shared" si="18"/>
        <v>3</v>
      </c>
      <c r="H357">
        <f>SUMIF(OrderDetailsCustomers!$M$2:$M$2158,A357,OrderDetailsCustomers!$W$2:$W$2158)</f>
        <v>1483</v>
      </c>
      <c r="J357">
        <f t="shared" si="16"/>
        <v>3</v>
      </c>
      <c r="K357">
        <f>SUMIF(OrderDetailsCustomers!$M$2:$M$2158,'Order Header'!A357,OrderDetailsCustomers!$W$2:$W$2158)</f>
        <v>1483</v>
      </c>
      <c r="L357" s="11">
        <f t="shared" si="17"/>
        <v>3</v>
      </c>
    </row>
    <row r="358" spans="1:12" x14ac:dyDescent="0.4">
      <c r="A358">
        <v>10604</v>
      </c>
      <c r="B358" s="4">
        <v>34929</v>
      </c>
      <c r="C358" t="s">
        <v>219</v>
      </c>
      <c r="D358" s="1" t="s">
        <v>770</v>
      </c>
      <c r="E358">
        <v>18.468000000000004</v>
      </c>
      <c r="F358">
        <v>10</v>
      </c>
      <c r="G358">
        <f t="shared" si="18"/>
        <v>2</v>
      </c>
      <c r="H358">
        <f>SUMIF(OrderDetailsCustomers!$M$2:$M$2158,A358,OrderDetailsCustomers!$W$2:$W$2158)</f>
        <v>230.85000000000002</v>
      </c>
      <c r="J358">
        <f t="shared" si="16"/>
        <v>2</v>
      </c>
      <c r="K358">
        <f>SUMIF(OrderDetailsCustomers!$M$2:$M$2158,'Order Header'!A358,OrderDetailsCustomers!$W$2:$W$2158)</f>
        <v>230.85000000000002</v>
      </c>
      <c r="L358" s="11">
        <f t="shared" si="17"/>
        <v>2</v>
      </c>
    </row>
    <row r="359" spans="1:12" x14ac:dyDescent="0.4">
      <c r="A359">
        <v>10605</v>
      </c>
      <c r="B359" s="4">
        <v>34932</v>
      </c>
      <c r="C359" t="s">
        <v>394</v>
      </c>
      <c r="D359" s="1" t="s">
        <v>780</v>
      </c>
      <c r="E359">
        <v>328.77600000000001</v>
      </c>
      <c r="F359">
        <v>20</v>
      </c>
      <c r="G359">
        <f t="shared" si="18"/>
        <v>5</v>
      </c>
      <c r="H359">
        <f>SUMIF(OrderDetailsCustomers!$M$2:$M$2158,A359,OrderDetailsCustomers!$W$2:$W$2158)</f>
        <v>4109.7</v>
      </c>
      <c r="J359">
        <f t="shared" si="16"/>
        <v>5</v>
      </c>
      <c r="K359">
        <f>SUMIF(OrderDetailsCustomers!$M$2:$M$2158,'Order Header'!A359,OrderDetailsCustomers!$W$2:$W$2158)</f>
        <v>4109.7</v>
      </c>
      <c r="L359" s="11">
        <f t="shared" si="17"/>
        <v>5</v>
      </c>
    </row>
    <row r="360" spans="1:12" x14ac:dyDescent="0.4">
      <c r="A360">
        <v>10606</v>
      </c>
      <c r="B360" s="4">
        <v>34933</v>
      </c>
      <c r="C360" t="s">
        <v>598</v>
      </c>
      <c r="D360" s="1" t="s">
        <v>774</v>
      </c>
      <c r="E360">
        <v>90.432000000000002</v>
      </c>
      <c r="F360">
        <v>20</v>
      </c>
      <c r="G360">
        <f t="shared" si="18"/>
        <v>3</v>
      </c>
      <c r="H360">
        <f>SUMIF(OrderDetailsCustomers!$M$2:$M$2158,A360,OrderDetailsCustomers!$W$2:$W$2158)</f>
        <v>1130.4000000000001</v>
      </c>
      <c r="J360">
        <f t="shared" si="16"/>
        <v>3</v>
      </c>
      <c r="K360">
        <f>SUMIF(OrderDetailsCustomers!$M$2:$M$2158,'Order Header'!A360,OrderDetailsCustomers!$W$2:$W$2158)</f>
        <v>1130.4000000000001</v>
      </c>
      <c r="L360" s="11">
        <f t="shared" si="17"/>
        <v>3</v>
      </c>
    </row>
    <row r="361" spans="1:12" x14ac:dyDescent="0.4">
      <c r="A361">
        <v>10607</v>
      </c>
      <c r="B361" s="4">
        <v>34933</v>
      </c>
      <c r="C361" t="s">
        <v>529</v>
      </c>
      <c r="D361" s="1" t="s">
        <v>780</v>
      </c>
      <c r="E361">
        <v>518.03200000000004</v>
      </c>
      <c r="F361">
        <v>20</v>
      </c>
      <c r="G361">
        <f t="shared" si="18"/>
        <v>5</v>
      </c>
      <c r="H361">
        <f>SUMIF(OrderDetailsCustomers!$M$2:$M$2158,A361,OrderDetailsCustomers!$W$2:$W$2158)</f>
        <v>6475.4000000000005</v>
      </c>
      <c r="J361">
        <f t="shared" si="16"/>
        <v>5</v>
      </c>
      <c r="K361">
        <f>SUMIF(OrderDetailsCustomers!$M$2:$M$2158,'Order Header'!A361,OrderDetailsCustomers!$W$2:$W$2158)</f>
        <v>6475.4000000000005</v>
      </c>
      <c r="L361" s="11">
        <f t="shared" si="17"/>
        <v>5</v>
      </c>
    </row>
    <row r="362" spans="1:12" x14ac:dyDescent="0.4">
      <c r="A362">
        <v>10608</v>
      </c>
      <c r="B362" s="4">
        <v>34934</v>
      </c>
      <c r="C362" t="s">
        <v>586</v>
      </c>
      <c r="D362" s="1" t="s">
        <v>766</v>
      </c>
      <c r="E362">
        <v>85.12</v>
      </c>
      <c r="F362">
        <v>20</v>
      </c>
      <c r="G362">
        <f t="shared" si="18"/>
        <v>3</v>
      </c>
      <c r="H362">
        <f>SUMIF(OrderDetailsCustomers!$M$2:$M$2158,A362,OrderDetailsCustomers!$W$2:$W$2158)</f>
        <v>1064</v>
      </c>
      <c r="J362">
        <f t="shared" si="16"/>
        <v>3</v>
      </c>
      <c r="K362">
        <f>SUMIF(OrderDetailsCustomers!$M$2:$M$2158,'Order Header'!A362,OrderDetailsCustomers!$W$2:$W$2158)</f>
        <v>1064</v>
      </c>
      <c r="L362" s="11">
        <f t="shared" si="17"/>
        <v>3</v>
      </c>
    </row>
    <row r="363" spans="1:12" x14ac:dyDescent="0.4">
      <c r="A363">
        <v>10609</v>
      </c>
      <c r="B363" s="4">
        <v>34935</v>
      </c>
      <c r="C363" t="s">
        <v>147</v>
      </c>
      <c r="D363" s="1" t="s">
        <v>784</v>
      </c>
      <c r="E363">
        <v>33.92</v>
      </c>
      <c r="F363">
        <v>10</v>
      </c>
      <c r="G363">
        <f t="shared" si="18"/>
        <v>2</v>
      </c>
      <c r="H363">
        <f>SUMIF(OrderDetailsCustomers!$M$2:$M$2158,A363,OrderDetailsCustomers!$W$2:$W$2158)</f>
        <v>424</v>
      </c>
      <c r="J363">
        <f t="shared" si="16"/>
        <v>2</v>
      </c>
      <c r="K363">
        <f>SUMIF(OrderDetailsCustomers!$M$2:$M$2158,'Order Header'!A363,OrderDetailsCustomers!$W$2:$W$2158)</f>
        <v>424</v>
      </c>
      <c r="L363" s="11">
        <f t="shared" si="17"/>
        <v>2</v>
      </c>
    </row>
    <row r="364" spans="1:12" x14ac:dyDescent="0.4">
      <c r="A364">
        <v>10610</v>
      </c>
      <c r="B364" s="4">
        <v>34936</v>
      </c>
      <c r="C364" t="s">
        <v>318</v>
      </c>
      <c r="D364" s="1" t="s">
        <v>774</v>
      </c>
      <c r="E364">
        <v>23.94</v>
      </c>
      <c r="F364">
        <v>10</v>
      </c>
      <c r="G364">
        <f t="shared" si="18"/>
        <v>2</v>
      </c>
      <c r="H364">
        <f>SUMIF(OrderDetailsCustomers!$M$2:$M$2158,A364,OrderDetailsCustomers!$W$2:$W$2158)</f>
        <v>299.25</v>
      </c>
      <c r="J364">
        <f t="shared" si="16"/>
        <v>2</v>
      </c>
      <c r="K364">
        <f>SUMIF(OrderDetailsCustomers!$M$2:$M$2158,'Order Header'!A364,OrderDetailsCustomers!$W$2:$W$2158)</f>
        <v>299.25</v>
      </c>
      <c r="L364" s="11">
        <f t="shared" si="17"/>
        <v>2</v>
      </c>
    </row>
    <row r="365" spans="1:12" x14ac:dyDescent="0.4">
      <c r="A365">
        <v>10611</v>
      </c>
      <c r="B365" s="4">
        <v>34936</v>
      </c>
      <c r="C365" t="s">
        <v>668</v>
      </c>
      <c r="D365" s="1" t="s">
        <v>780</v>
      </c>
      <c r="E365">
        <v>64.64</v>
      </c>
      <c r="F365">
        <v>15</v>
      </c>
      <c r="G365">
        <f t="shared" si="18"/>
        <v>3</v>
      </c>
      <c r="H365">
        <f>SUMIF(OrderDetailsCustomers!$M$2:$M$2158,A365,OrderDetailsCustomers!$W$2:$W$2158)</f>
        <v>808</v>
      </c>
      <c r="J365">
        <f t="shared" si="16"/>
        <v>3</v>
      </c>
      <c r="K365">
        <f>SUMIF(OrderDetailsCustomers!$M$2:$M$2158,'Order Header'!A365,OrderDetailsCustomers!$W$2:$W$2158)</f>
        <v>808</v>
      </c>
      <c r="L365" s="11">
        <f t="shared" si="17"/>
        <v>3</v>
      </c>
    </row>
    <row r="366" spans="1:12" x14ac:dyDescent="0.4">
      <c r="A366">
        <v>10612</v>
      </c>
      <c r="B366" s="4">
        <v>34939</v>
      </c>
      <c r="C366" t="s">
        <v>529</v>
      </c>
      <c r="D366" s="1" t="s">
        <v>780</v>
      </c>
      <c r="E366">
        <v>510</v>
      </c>
      <c r="F366">
        <v>20</v>
      </c>
      <c r="G366">
        <f t="shared" si="18"/>
        <v>5</v>
      </c>
      <c r="H366">
        <f>SUMIF(OrderDetailsCustomers!$M$2:$M$2158,A366,OrderDetailsCustomers!$W$2:$W$2158)</f>
        <v>6375</v>
      </c>
      <c r="J366">
        <f t="shared" si="16"/>
        <v>5</v>
      </c>
      <c r="K366">
        <f>SUMIF(OrderDetailsCustomers!$M$2:$M$2158,'Order Header'!A366,OrderDetailsCustomers!$W$2:$W$2158)</f>
        <v>6375</v>
      </c>
      <c r="L366" s="11">
        <f t="shared" si="17"/>
        <v>5</v>
      </c>
    </row>
    <row r="367" spans="1:12" x14ac:dyDescent="0.4">
      <c r="A367">
        <v>10613</v>
      </c>
      <c r="B367" s="4">
        <v>34940</v>
      </c>
      <c r="C367" t="s">
        <v>273</v>
      </c>
      <c r="D367" s="1" t="s">
        <v>771</v>
      </c>
      <c r="E367">
        <v>28.256</v>
      </c>
      <c r="F367">
        <v>10</v>
      </c>
      <c r="G367">
        <f t="shared" si="18"/>
        <v>2</v>
      </c>
      <c r="H367">
        <f>SUMIF(OrderDetailsCustomers!$M$2:$M$2158,A367,OrderDetailsCustomers!$W$2:$W$2158)</f>
        <v>353.2</v>
      </c>
      <c r="J367">
        <f t="shared" si="16"/>
        <v>2</v>
      </c>
      <c r="K367">
        <f>SUMIF(OrderDetailsCustomers!$M$2:$M$2158,'Order Header'!A367,OrderDetailsCustomers!$W$2:$W$2158)</f>
        <v>353.2</v>
      </c>
      <c r="L367" s="11">
        <f t="shared" si="17"/>
        <v>2</v>
      </c>
    </row>
    <row r="368" spans="1:12" x14ac:dyDescent="0.4">
      <c r="A368">
        <v>10614</v>
      </c>
      <c r="B368" s="4">
        <v>34940</v>
      </c>
      <c r="C368" t="s">
        <v>53</v>
      </c>
      <c r="D368" s="1" t="s">
        <v>779</v>
      </c>
      <c r="E368">
        <v>37.119999999999997</v>
      </c>
      <c r="F368">
        <v>10</v>
      </c>
      <c r="G368">
        <f t="shared" si="18"/>
        <v>2</v>
      </c>
      <c r="H368">
        <f>SUMIF(OrderDetailsCustomers!$M$2:$M$2158,A368,OrderDetailsCustomers!$W$2:$W$2158)</f>
        <v>464</v>
      </c>
      <c r="J368">
        <f t="shared" si="16"/>
        <v>2</v>
      </c>
      <c r="K368">
        <f>SUMIF(OrderDetailsCustomers!$M$2:$M$2158,'Order Header'!A368,OrderDetailsCustomers!$W$2:$W$2158)</f>
        <v>464</v>
      </c>
      <c r="L368" s="11">
        <f t="shared" si="17"/>
        <v>2</v>
      </c>
    </row>
    <row r="369" spans="1:12" x14ac:dyDescent="0.4">
      <c r="A369">
        <v>10615</v>
      </c>
      <c r="B369" s="4">
        <v>34941</v>
      </c>
      <c r="C369" t="s">
        <v>661</v>
      </c>
      <c r="D369" s="1" t="s">
        <v>782</v>
      </c>
      <c r="E369">
        <v>9.6</v>
      </c>
      <c r="F369">
        <v>10</v>
      </c>
      <c r="G369">
        <f t="shared" si="18"/>
        <v>1</v>
      </c>
      <c r="H369">
        <f>SUMIF(OrderDetailsCustomers!$M$2:$M$2158,A369,OrderDetailsCustomers!$W$2:$W$2158)</f>
        <v>120</v>
      </c>
      <c r="J369">
        <f t="shared" si="16"/>
        <v>1</v>
      </c>
      <c r="K369">
        <f>SUMIF(OrderDetailsCustomers!$M$2:$M$2158,'Order Header'!A369,OrderDetailsCustomers!$W$2:$W$2158)</f>
        <v>120</v>
      </c>
      <c r="L369" s="11">
        <f t="shared" si="17"/>
        <v>1</v>
      </c>
    </row>
    <row r="370" spans="1:12" x14ac:dyDescent="0.4">
      <c r="A370">
        <v>10616</v>
      </c>
      <c r="B370" s="4">
        <v>34942</v>
      </c>
      <c r="C370" t="s">
        <v>247</v>
      </c>
      <c r="D370" s="1" t="s">
        <v>778</v>
      </c>
      <c r="E370">
        <v>384.56</v>
      </c>
      <c r="F370">
        <v>20</v>
      </c>
      <c r="G370">
        <f t="shared" si="18"/>
        <v>5</v>
      </c>
      <c r="H370">
        <f>SUMIF(OrderDetailsCustomers!$M$2:$M$2158,A370,OrderDetailsCustomers!$W$2:$W$2158)</f>
        <v>4807</v>
      </c>
      <c r="J370">
        <f t="shared" si="16"/>
        <v>5</v>
      </c>
      <c r="K370">
        <f>SUMIF(OrderDetailsCustomers!$M$2:$M$2158,'Order Header'!A370,OrderDetailsCustomers!$W$2:$W$2158)</f>
        <v>4807</v>
      </c>
      <c r="L370" s="11">
        <f t="shared" si="17"/>
        <v>5</v>
      </c>
    </row>
    <row r="371" spans="1:12" x14ac:dyDescent="0.4">
      <c r="A371">
        <v>10617</v>
      </c>
      <c r="B371" s="4">
        <v>34942</v>
      </c>
      <c r="C371" t="s">
        <v>247</v>
      </c>
      <c r="D371" s="1" t="s">
        <v>778</v>
      </c>
      <c r="E371">
        <v>112.2</v>
      </c>
      <c r="F371">
        <v>20</v>
      </c>
      <c r="G371">
        <f t="shared" si="18"/>
        <v>3</v>
      </c>
      <c r="H371">
        <f>SUMIF(OrderDetailsCustomers!$M$2:$M$2158,A371,OrderDetailsCustomers!$W$2:$W$2158)</f>
        <v>1402.5</v>
      </c>
      <c r="J371">
        <f t="shared" si="16"/>
        <v>3</v>
      </c>
      <c r="K371">
        <f>SUMIF(OrderDetailsCustomers!$M$2:$M$2158,'Order Header'!A371,OrderDetailsCustomers!$W$2:$W$2158)</f>
        <v>1402.5</v>
      </c>
      <c r="L371" s="11">
        <f t="shared" si="17"/>
        <v>3</v>
      </c>
    </row>
    <row r="372" spans="1:12" x14ac:dyDescent="0.4">
      <c r="A372">
        <v>10618</v>
      </c>
      <c r="B372" s="4">
        <v>34943</v>
      </c>
      <c r="C372" t="s">
        <v>394</v>
      </c>
      <c r="D372" s="1" t="s">
        <v>780</v>
      </c>
      <c r="E372">
        <v>215.8</v>
      </c>
      <c r="F372">
        <v>20</v>
      </c>
      <c r="G372">
        <f t="shared" si="18"/>
        <v>4</v>
      </c>
      <c r="H372">
        <f>SUMIF(OrderDetailsCustomers!$M$2:$M$2158,A372,OrderDetailsCustomers!$W$2:$W$2158)</f>
        <v>2697.5</v>
      </c>
      <c r="J372">
        <f t="shared" si="16"/>
        <v>4</v>
      </c>
      <c r="K372">
        <f>SUMIF(OrderDetailsCustomers!$M$2:$M$2158,'Order Header'!A372,OrderDetailsCustomers!$W$2:$W$2158)</f>
        <v>2697.5</v>
      </c>
      <c r="L372" s="11">
        <f t="shared" si="17"/>
        <v>4</v>
      </c>
    </row>
    <row r="373" spans="1:12" x14ac:dyDescent="0.4">
      <c r="A373">
        <v>10619</v>
      </c>
      <c r="B373" s="4">
        <v>34946</v>
      </c>
      <c r="C373" t="s">
        <v>394</v>
      </c>
      <c r="D373" s="1" t="s">
        <v>780</v>
      </c>
      <c r="E373">
        <v>100.8</v>
      </c>
      <c r="F373">
        <v>20</v>
      </c>
      <c r="G373">
        <f t="shared" si="18"/>
        <v>3</v>
      </c>
      <c r="H373">
        <f>SUMIF(OrderDetailsCustomers!$M$2:$M$2158,A373,OrderDetailsCustomers!$W$2:$W$2158)</f>
        <v>1260</v>
      </c>
      <c r="J373">
        <f t="shared" si="16"/>
        <v>3</v>
      </c>
      <c r="K373">
        <f>SUMIF(OrderDetailsCustomers!$M$2:$M$2158,'Order Header'!A373,OrderDetailsCustomers!$W$2:$W$2158)</f>
        <v>1260</v>
      </c>
      <c r="L373" s="11">
        <f t="shared" si="17"/>
        <v>3</v>
      </c>
    </row>
    <row r="374" spans="1:12" x14ac:dyDescent="0.4">
      <c r="A374">
        <v>10620</v>
      </c>
      <c r="B374" s="4">
        <v>34947</v>
      </c>
      <c r="C374" t="s">
        <v>325</v>
      </c>
      <c r="D374" s="1" t="s">
        <v>783</v>
      </c>
      <c r="E374">
        <v>4.6000000000000005</v>
      </c>
      <c r="F374">
        <v>10</v>
      </c>
      <c r="G374">
        <f t="shared" si="18"/>
        <v>1</v>
      </c>
      <c r="H374">
        <f>SUMIF(OrderDetailsCustomers!$M$2:$M$2158,A374,OrderDetailsCustomers!$W$2:$W$2158)</f>
        <v>57.5</v>
      </c>
      <c r="J374">
        <f t="shared" si="16"/>
        <v>1</v>
      </c>
      <c r="K374">
        <f>SUMIF(OrderDetailsCustomers!$M$2:$M$2158,'Order Header'!A374,OrderDetailsCustomers!$W$2:$W$2158)</f>
        <v>57.5</v>
      </c>
      <c r="L374" s="11">
        <f t="shared" si="17"/>
        <v>1</v>
      </c>
    </row>
    <row r="375" spans="1:12" x14ac:dyDescent="0.4">
      <c r="A375">
        <v>10621</v>
      </c>
      <c r="B375" s="4">
        <v>34947</v>
      </c>
      <c r="C375" t="s">
        <v>297</v>
      </c>
      <c r="D375" s="1" t="s">
        <v>784</v>
      </c>
      <c r="E375">
        <v>60.68</v>
      </c>
      <c r="F375">
        <v>15</v>
      </c>
      <c r="G375">
        <f t="shared" si="18"/>
        <v>3</v>
      </c>
      <c r="H375">
        <f>SUMIF(OrderDetailsCustomers!$M$2:$M$2158,A375,OrderDetailsCustomers!$W$2:$W$2158)</f>
        <v>758.5</v>
      </c>
      <c r="J375">
        <f t="shared" si="16"/>
        <v>3</v>
      </c>
      <c r="K375">
        <f>SUMIF(OrderDetailsCustomers!$M$2:$M$2158,'Order Header'!A375,OrderDetailsCustomers!$W$2:$W$2158)</f>
        <v>758.5</v>
      </c>
      <c r="L375" s="11">
        <f t="shared" si="17"/>
        <v>3</v>
      </c>
    </row>
    <row r="376" spans="1:12" x14ac:dyDescent="0.4">
      <c r="A376">
        <v>10622</v>
      </c>
      <c r="B376" s="4">
        <v>34948</v>
      </c>
      <c r="C376" t="s">
        <v>503</v>
      </c>
      <c r="D376" s="1" t="s">
        <v>775</v>
      </c>
      <c r="E376">
        <v>44.800000000000004</v>
      </c>
      <c r="F376">
        <v>15</v>
      </c>
      <c r="G376">
        <f t="shared" si="18"/>
        <v>2</v>
      </c>
      <c r="H376">
        <f>SUMIF(OrderDetailsCustomers!$M$2:$M$2158,A376,OrderDetailsCustomers!$W$2:$W$2158)</f>
        <v>560</v>
      </c>
      <c r="J376">
        <f t="shared" si="16"/>
        <v>2</v>
      </c>
      <c r="K376">
        <f>SUMIF(OrderDetailsCustomers!$M$2:$M$2158,'Order Header'!A376,OrderDetailsCustomers!$W$2:$W$2158)</f>
        <v>560</v>
      </c>
      <c r="L376" s="11">
        <f t="shared" si="17"/>
        <v>2</v>
      </c>
    </row>
    <row r="377" spans="1:12" x14ac:dyDescent="0.4">
      <c r="A377">
        <v>10623</v>
      </c>
      <c r="B377" s="4">
        <v>34949</v>
      </c>
      <c r="C377" t="s">
        <v>198</v>
      </c>
      <c r="D377" s="1" t="s">
        <v>765</v>
      </c>
      <c r="E377">
        <v>106.956</v>
      </c>
      <c r="F377">
        <v>20</v>
      </c>
      <c r="G377">
        <f t="shared" si="18"/>
        <v>3</v>
      </c>
      <c r="H377">
        <f>SUMIF(OrderDetailsCustomers!$M$2:$M$2158,A377,OrderDetailsCustomers!$W$2:$W$2158)</f>
        <v>1336.95</v>
      </c>
      <c r="J377">
        <f t="shared" si="16"/>
        <v>3</v>
      </c>
      <c r="K377">
        <f>SUMIF(OrderDetailsCustomers!$M$2:$M$2158,'Order Header'!A377,OrderDetailsCustomers!$W$2:$W$2158)</f>
        <v>1336.95</v>
      </c>
      <c r="L377" s="11">
        <f t="shared" si="17"/>
        <v>3</v>
      </c>
    </row>
    <row r="378" spans="1:12" x14ac:dyDescent="0.4">
      <c r="A378">
        <v>10624</v>
      </c>
      <c r="B378" s="4">
        <v>34949</v>
      </c>
      <c r="C378" t="s">
        <v>578</v>
      </c>
      <c r="D378" s="1" t="s">
        <v>784</v>
      </c>
      <c r="E378">
        <v>111.45920000000001</v>
      </c>
      <c r="F378">
        <v>20</v>
      </c>
      <c r="G378">
        <f t="shared" si="18"/>
        <v>3</v>
      </c>
      <c r="H378">
        <f>SUMIF(OrderDetailsCustomers!$M$2:$M$2158,A378,OrderDetailsCustomers!$W$2:$W$2158)</f>
        <v>1393.24</v>
      </c>
      <c r="J378">
        <f t="shared" si="16"/>
        <v>3</v>
      </c>
      <c r="K378">
        <f>SUMIF(OrderDetailsCustomers!$M$2:$M$2158,'Order Header'!A378,OrderDetailsCustomers!$W$2:$W$2158)</f>
        <v>1393.24</v>
      </c>
      <c r="L378" s="11">
        <f t="shared" si="17"/>
        <v>3</v>
      </c>
    </row>
    <row r="379" spans="1:12" x14ac:dyDescent="0.4">
      <c r="A379">
        <v>10625</v>
      </c>
      <c r="B379" s="4">
        <v>34950</v>
      </c>
      <c r="C379" t="s">
        <v>20</v>
      </c>
      <c r="D379" s="1" t="s">
        <v>783</v>
      </c>
      <c r="E379">
        <v>38.380000000000003</v>
      </c>
      <c r="F379">
        <v>10</v>
      </c>
      <c r="G379">
        <f t="shared" si="18"/>
        <v>2</v>
      </c>
      <c r="H379">
        <f>SUMIF(OrderDetailsCustomers!$M$2:$M$2158,A379,OrderDetailsCustomers!$W$2:$W$2158)</f>
        <v>479.75</v>
      </c>
      <c r="J379">
        <f t="shared" si="16"/>
        <v>2</v>
      </c>
      <c r="K379">
        <f>SUMIF(OrderDetailsCustomers!$M$2:$M$2158,'Order Header'!A379,OrderDetailsCustomers!$W$2:$W$2158)</f>
        <v>479.75</v>
      </c>
      <c r="L379" s="11">
        <f t="shared" si="17"/>
        <v>2</v>
      </c>
    </row>
    <row r="380" spans="1:12" x14ac:dyDescent="0.4">
      <c r="A380">
        <v>10626</v>
      </c>
      <c r="B380" s="4">
        <v>34953</v>
      </c>
      <c r="C380" t="s">
        <v>43</v>
      </c>
      <c r="D380" s="1" t="s">
        <v>765</v>
      </c>
      <c r="E380">
        <v>120.288</v>
      </c>
      <c r="F380">
        <v>20</v>
      </c>
      <c r="G380">
        <f t="shared" si="18"/>
        <v>3</v>
      </c>
      <c r="H380">
        <f>SUMIF(OrderDetailsCustomers!$M$2:$M$2158,A380,OrderDetailsCustomers!$W$2:$W$2158)</f>
        <v>1503.6</v>
      </c>
      <c r="J380">
        <f t="shared" si="16"/>
        <v>3</v>
      </c>
      <c r="K380">
        <f>SUMIF(OrderDetailsCustomers!$M$2:$M$2158,'Order Header'!A380,OrderDetailsCustomers!$W$2:$W$2158)</f>
        <v>1503.6</v>
      </c>
      <c r="L380" s="11">
        <f t="shared" si="17"/>
        <v>3</v>
      </c>
    </row>
    <row r="381" spans="1:12" x14ac:dyDescent="0.4">
      <c r="A381">
        <v>10627</v>
      </c>
      <c r="B381" s="4">
        <v>34953</v>
      </c>
      <c r="C381" t="s">
        <v>529</v>
      </c>
      <c r="D381" s="1" t="s">
        <v>780</v>
      </c>
      <c r="E381">
        <v>94.86</v>
      </c>
      <c r="F381">
        <v>20</v>
      </c>
      <c r="G381">
        <f t="shared" si="18"/>
        <v>3</v>
      </c>
      <c r="H381">
        <f>SUMIF(OrderDetailsCustomers!$M$2:$M$2158,A381,OrderDetailsCustomers!$W$2:$W$2158)</f>
        <v>1185.75</v>
      </c>
      <c r="J381">
        <f t="shared" si="16"/>
        <v>3</v>
      </c>
      <c r="K381">
        <f>SUMIF(OrderDetailsCustomers!$M$2:$M$2158,'Order Header'!A381,OrderDetailsCustomers!$W$2:$W$2158)</f>
        <v>1185.75</v>
      </c>
      <c r="L381" s="11">
        <f t="shared" si="17"/>
        <v>3</v>
      </c>
    </row>
    <row r="382" spans="1:12" x14ac:dyDescent="0.4">
      <c r="A382">
        <v>10628</v>
      </c>
      <c r="B382" s="4">
        <v>34954</v>
      </c>
      <c r="C382" t="s">
        <v>60</v>
      </c>
      <c r="D382" s="1" t="s">
        <v>775</v>
      </c>
      <c r="E382">
        <v>36</v>
      </c>
      <c r="F382">
        <v>10</v>
      </c>
      <c r="G382">
        <f t="shared" si="18"/>
        <v>2</v>
      </c>
      <c r="H382">
        <f>SUMIF(OrderDetailsCustomers!$M$2:$M$2158,A382,OrderDetailsCustomers!$W$2:$W$2158)</f>
        <v>450</v>
      </c>
      <c r="J382">
        <f t="shared" si="16"/>
        <v>2</v>
      </c>
      <c r="K382">
        <f>SUMIF(OrderDetailsCustomers!$M$2:$M$2158,'Order Header'!A382,OrderDetailsCustomers!$W$2:$W$2158)</f>
        <v>450</v>
      </c>
      <c r="L382" s="11">
        <f t="shared" si="17"/>
        <v>2</v>
      </c>
    </row>
    <row r="383" spans="1:12" x14ac:dyDescent="0.4">
      <c r="A383">
        <v>10629</v>
      </c>
      <c r="B383" s="4">
        <v>34954</v>
      </c>
      <c r="C383" t="s">
        <v>234</v>
      </c>
      <c r="D383" s="1" t="s">
        <v>782</v>
      </c>
      <c r="E383">
        <v>222.00400000000002</v>
      </c>
      <c r="F383">
        <v>20</v>
      </c>
      <c r="G383">
        <f t="shared" si="18"/>
        <v>4</v>
      </c>
      <c r="H383">
        <f>SUMIF(OrderDetailsCustomers!$M$2:$M$2158,A383,OrderDetailsCustomers!$W$2:$W$2158)</f>
        <v>2775.05</v>
      </c>
      <c r="J383">
        <f t="shared" si="16"/>
        <v>4</v>
      </c>
      <c r="K383">
        <f>SUMIF(OrderDetailsCustomers!$M$2:$M$2158,'Order Header'!A383,OrderDetailsCustomers!$W$2:$W$2158)</f>
        <v>2775.05</v>
      </c>
      <c r="L383" s="11">
        <f t="shared" si="17"/>
        <v>4</v>
      </c>
    </row>
    <row r="384" spans="1:12" x14ac:dyDescent="0.4">
      <c r="A384">
        <v>10630</v>
      </c>
      <c r="B384" s="4">
        <v>34955</v>
      </c>
      <c r="C384" t="s">
        <v>305</v>
      </c>
      <c r="D384" s="1" t="s">
        <v>766</v>
      </c>
      <c r="E384">
        <v>72.287999999999997</v>
      </c>
      <c r="F384">
        <v>15</v>
      </c>
      <c r="G384">
        <f t="shared" si="18"/>
        <v>3</v>
      </c>
      <c r="H384">
        <f>SUMIF(OrderDetailsCustomers!$M$2:$M$2158,A384,OrderDetailsCustomers!$W$2:$W$2158)</f>
        <v>903.59999999999991</v>
      </c>
      <c r="J384">
        <f t="shared" si="16"/>
        <v>3</v>
      </c>
      <c r="K384">
        <f>SUMIF(OrderDetailsCustomers!$M$2:$M$2158,'Order Header'!A384,OrderDetailsCustomers!$W$2:$W$2158)</f>
        <v>903.59999999999991</v>
      </c>
      <c r="L384" s="11">
        <f t="shared" si="17"/>
        <v>3</v>
      </c>
    </row>
    <row r="385" spans="1:12" x14ac:dyDescent="0.4">
      <c r="A385">
        <v>10631</v>
      </c>
      <c r="B385" s="4">
        <v>34956</v>
      </c>
      <c r="C385" t="s">
        <v>318</v>
      </c>
      <c r="D385" s="1" t="s">
        <v>774</v>
      </c>
      <c r="E385">
        <v>4.4640000000000004</v>
      </c>
      <c r="F385">
        <v>10</v>
      </c>
      <c r="G385">
        <f t="shared" si="18"/>
        <v>1</v>
      </c>
      <c r="H385">
        <f>SUMIF(OrderDetailsCustomers!$M$2:$M$2158,A385,OrderDetailsCustomers!$W$2:$W$2158)</f>
        <v>55.800000000000004</v>
      </c>
      <c r="J385">
        <f t="shared" si="16"/>
        <v>1</v>
      </c>
      <c r="K385">
        <f>SUMIF(OrderDetailsCustomers!$M$2:$M$2158,'Order Header'!A385,OrderDetailsCustomers!$W$2:$W$2158)</f>
        <v>55.800000000000004</v>
      </c>
      <c r="L385" s="11">
        <f t="shared" si="17"/>
        <v>1</v>
      </c>
    </row>
    <row r="386" spans="1:12" x14ac:dyDescent="0.4">
      <c r="A386">
        <v>10632</v>
      </c>
      <c r="B386" s="4">
        <v>34956</v>
      </c>
      <c r="C386" t="s">
        <v>633</v>
      </c>
      <c r="D386" s="1" t="s">
        <v>779</v>
      </c>
      <c r="E386">
        <v>47.12</v>
      </c>
      <c r="F386">
        <v>15</v>
      </c>
      <c r="G386">
        <f t="shared" si="18"/>
        <v>2</v>
      </c>
      <c r="H386">
        <f>SUMIF(OrderDetailsCustomers!$M$2:$M$2158,A386,OrderDetailsCustomers!$W$2:$W$2158)</f>
        <v>589</v>
      </c>
      <c r="J386">
        <f t="shared" si="16"/>
        <v>2</v>
      </c>
      <c r="K386">
        <f>SUMIF(OrderDetailsCustomers!$M$2:$M$2158,'Order Header'!A386,OrderDetailsCustomers!$W$2:$W$2158)</f>
        <v>589</v>
      </c>
      <c r="L386" s="11">
        <f t="shared" si="17"/>
        <v>2</v>
      </c>
    </row>
    <row r="387" spans="1:12" x14ac:dyDescent="0.4">
      <c r="A387">
        <v>10633</v>
      </c>
      <c r="B387" s="4">
        <v>34957</v>
      </c>
      <c r="C387" t="s">
        <v>161</v>
      </c>
      <c r="D387" s="1" t="s">
        <v>772</v>
      </c>
      <c r="E387">
        <v>440.84740000000005</v>
      </c>
      <c r="F387">
        <v>20</v>
      </c>
      <c r="G387">
        <f t="shared" si="18"/>
        <v>5</v>
      </c>
      <c r="H387">
        <f>SUMIF(OrderDetailsCustomers!$M$2:$M$2158,A387,OrderDetailsCustomers!$W$2:$W$2158)</f>
        <v>5510.5925000000007</v>
      </c>
      <c r="J387">
        <f t="shared" ref="J387:J450" si="19">VLOOKUP(E387,$T$1:$U$7,2,TRUE)</f>
        <v>5</v>
      </c>
      <c r="K387">
        <f>SUMIF(OrderDetailsCustomers!$M$2:$M$2158,'Order Header'!A387,OrderDetailsCustomers!$W$2:$W$2158)</f>
        <v>5510.5925000000007</v>
      </c>
      <c r="L387" s="11">
        <f t="shared" ref="L387:L450" si="20">VLOOKUP(E387,$T$1:$U$7,2,TRUE)</f>
        <v>5</v>
      </c>
    </row>
    <row r="388" spans="1:12" x14ac:dyDescent="0.4">
      <c r="A388">
        <v>10634</v>
      </c>
      <c r="B388" s="4">
        <v>34957</v>
      </c>
      <c r="C388" t="s">
        <v>183</v>
      </c>
      <c r="D388" s="1" t="s">
        <v>777</v>
      </c>
      <c r="E388">
        <v>398.84000000000003</v>
      </c>
      <c r="F388">
        <v>20</v>
      </c>
      <c r="G388">
        <f t="shared" si="18"/>
        <v>5</v>
      </c>
      <c r="H388">
        <f>SUMIF(OrderDetailsCustomers!$M$2:$M$2158,A388,OrderDetailsCustomers!$W$2:$W$2158)</f>
        <v>4985.5</v>
      </c>
      <c r="J388">
        <f t="shared" si="19"/>
        <v>5</v>
      </c>
      <c r="K388">
        <f>SUMIF(OrderDetailsCustomers!$M$2:$M$2158,'Order Header'!A388,OrderDetailsCustomers!$W$2:$W$2158)</f>
        <v>4985.5</v>
      </c>
      <c r="L388" s="11">
        <f t="shared" si="20"/>
        <v>5</v>
      </c>
    </row>
    <row r="389" spans="1:12" x14ac:dyDescent="0.4">
      <c r="A389">
        <v>10635</v>
      </c>
      <c r="B389" s="4">
        <v>34960</v>
      </c>
      <c r="C389" t="s">
        <v>378</v>
      </c>
      <c r="D389" s="1" t="s">
        <v>776</v>
      </c>
      <c r="E389">
        <v>106.098</v>
      </c>
      <c r="F389">
        <v>20</v>
      </c>
      <c r="G389">
        <f t="shared" si="18"/>
        <v>3</v>
      </c>
      <c r="H389">
        <f>SUMIF(OrderDetailsCustomers!$M$2:$M$2158,A389,OrderDetailsCustomers!$W$2:$W$2158)</f>
        <v>1326.2249999999999</v>
      </c>
      <c r="J389">
        <f t="shared" si="19"/>
        <v>3</v>
      </c>
      <c r="K389">
        <f>SUMIF(OrderDetailsCustomers!$M$2:$M$2158,'Order Header'!A389,OrderDetailsCustomers!$W$2:$W$2158)</f>
        <v>1326.2249999999999</v>
      </c>
      <c r="L389" s="11">
        <f t="shared" si="20"/>
        <v>3</v>
      </c>
    </row>
    <row r="390" spans="1:12" x14ac:dyDescent="0.4">
      <c r="A390">
        <v>10636</v>
      </c>
      <c r="B390" s="4">
        <v>34961</v>
      </c>
      <c r="C390" t="s">
        <v>640</v>
      </c>
      <c r="D390" s="1" t="s">
        <v>775</v>
      </c>
      <c r="E390">
        <v>50.36</v>
      </c>
      <c r="F390">
        <v>15</v>
      </c>
      <c r="G390">
        <f t="shared" si="18"/>
        <v>3</v>
      </c>
      <c r="H390">
        <f>SUMIF(OrderDetailsCustomers!$M$2:$M$2158,A390,OrderDetailsCustomers!$W$2:$W$2158)</f>
        <v>629.5</v>
      </c>
      <c r="J390">
        <f t="shared" si="19"/>
        <v>3</v>
      </c>
      <c r="K390">
        <f>SUMIF(OrderDetailsCustomers!$M$2:$M$2158,'Order Header'!A390,OrderDetailsCustomers!$W$2:$W$2158)</f>
        <v>629.5</v>
      </c>
      <c r="L390" s="11">
        <f t="shared" si="20"/>
        <v>3</v>
      </c>
    </row>
    <row r="391" spans="1:12" x14ac:dyDescent="0.4">
      <c r="A391">
        <v>10637</v>
      </c>
      <c r="B391" s="4">
        <v>34961</v>
      </c>
      <c r="C391" t="s">
        <v>469</v>
      </c>
      <c r="D391" s="1" t="s">
        <v>783</v>
      </c>
      <c r="E391">
        <v>220.95500000000001</v>
      </c>
      <c r="F391">
        <v>20</v>
      </c>
      <c r="G391">
        <f t="shared" si="18"/>
        <v>4</v>
      </c>
      <c r="H391">
        <f>SUMIF(OrderDetailsCustomers!$M$2:$M$2158,A391,OrderDetailsCustomers!$W$2:$W$2158)</f>
        <v>2761.9375</v>
      </c>
      <c r="J391">
        <f t="shared" si="19"/>
        <v>4</v>
      </c>
      <c r="K391">
        <f>SUMIF(OrderDetailsCustomers!$M$2:$M$2158,'Order Header'!A391,OrderDetailsCustomers!$W$2:$W$2158)</f>
        <v>2761.9375</v>
      </c>
      <c r="L391" s="11">
        <f t="shared" si="20"/>
        <v>4</v>
      </c>
    </row>
    <row r="392" spans="1:12" x14ac:dyDescent="0.4">
      <c r="A392">
        <v>10638</v>
      </c>
      <c r="B392" s="4">
        <v>34962</v>
      </c>
      <c r="C392" t="s">
        <v>363</v>
      </c>
      <c r="D392" s="1" t="s">
        <v>775</v>
      </c>
      <c r="E392">
        <v>217.60400000000001</v>
      </c>
      <c r="F392">
        <v>20</v>
      </c>
      <c r="G392">
        <f t="shared" si="18"/>
        <v>4</v>
      </c>
      <c r="H392">
        <f>SUMIF(OrderDetailsCustomers!$M$2:$M$2158,A392,OrderDetailsCustomers!$W$2:$W$2158)</f>
        <v>2720.05</v>
      </c>
      <c r="J392">
        <f t="shared" si="19"/>
        <v>4</v>
      </c>
      <c r="K392">
        <f>SUMIF(OrderDetailsCustomers!$M$2:$M$2158,'Order Header'!A392,OrderDetailsCustomers!$W$2:$W$2158)</f>
        <v>2720.05</v>
      </c>
      <c r="L392" s="11">
        <f t="shared" si="20"/>
        <v>4</v>
      </c>
    </row>
    <row r="393" spans="1:12" x14ac:dyDescent="0.4">
      <c r="A393">
        <v>10639</v>
      </c>
      <c r="B393" s="4">
        <v>34962</v>
      </c>
      <c r="C393" t="s">
        <v>521</v>
      </c>
      <c r="D393" s="1" t="s">
        <v>782</v>
      </c>
      <c r="E393">
        <v>40</v>
      </c>
      <c r="F393">
        <v>10</v>
      </c>
      <c r="G393">
        <f t="shared" si="18"/>
        <v>2</v>
      </c>
      <c r="H393">
        <f>SUMIF(OrderDetailsCustomers!$M$2:$M$2158,A393,OrderDetailsCustomers!$W$2:$W$2158)</f>
        <v>500</v>
      </c>
      <c r="J393">
        <f t="shared" si="19"/>
        <v>2</v>
      </c>
      <c r="K393">
        <f>SUMIF(OrderDetailsCustomers!$M$2:$M$2158,'Order Header'!A393,OrderDetailsCustomers!$W$2:$W$2158)</f>
        <v>500</v>
      </c>
      <c r="L393" s="11">
        <f t="shared" si="20"/>
        <v>2</v>
      </c>
    </row>
    <row r="394" spans="1:12" x14ac:dyDescent="0.4">
      <c r="A394">
        <v>10640</v>
      </c>
      <c r="B394" s="4">
        <v>34963</v>
      </c>
      <c r="C394" t="s">
        <v>633</v>
      </c>
      <c r="D394" s="1" t="s">
        <v>779</v>
      </c>
      <c r="E394">
        <v>56.7</v>
      </c>
      <c r="F394">
        <v>15</v>
      </c>
      <c r="G394">
        <f t="shared" si="18"/>
        <v>3</v>
      </c>
      <c r="H394">
        <f>SUMIF(OrderDetailsCustomers!$M$2:$M$2158,A394,OrderDetailsCustomers!$W$2:$W$2158)</f>
        <v>708.75</v>
      </c>
      <c r="J394">
        <f t="shared" si="19"/>
        <v>3</v>
      </c>
      <c r="K394">
        <f>SUMIF(OrderDetailsCustomers!$M$2:$M$2158,'Order Header'!A394,OrderDetailsCustomers!$W$2:$W$2158)</f>
        <v>708.75</v>
      </c>
      <c r="L394" s="11">
        <f t="shared" si="20"/>
        <v>3</v>
      </c>
    </row>
    <row r="395" spans="1:12" x14ac:dyDescent="0.4">
      <c r="A395">
        <v>10641</v>
      </c>
      <c r="B395" s="4">
        <v>34964</v>
      </c>
      <c r="C395" t="s">
        <v>273</v>
      </c>
      <c r="D395" s="1" t="s">
        <v>771</v>
      </c>
      <c r="E395">
        <v>164.32</v>
      </c>
      <c r="F395">
        <v>20</v>
      </c>
      <c r="G395">
        <f t="shared" si="18"/>
        <v>4</v>
      </c>
      <c r="H395">
        <f>SUMIF(OrderDetailsCustomers!$M$2:$M$2158,A395,OrderDetailsCustomers!$W$2:$W$2158)</f>
        <v>2054</v>
      </c>
      <c r="J395">
        <f t="shared" si="19"/>
        <v>4</v>
      </c>
      <c r="K395">
        <f>SUMIF(OrderDetailsCustomers!$M$2:$M$2158,'Order Header'!A395,OrderDetailsCustomers!$W$2:$W$2158)</f>
        <v>2054</v>
      </c>
      <c r="L395" s="11">
        <f t="shared" si="20"/>
        <v>4</v>
      </c>
    </row>
    <row r="396" spans="1:12" x14ac:dyDescent="0.4">
      <c r="A396">
        <v>10642</v>
      </c>
      <c r="B396" s="4">
        <v>34964</v>
      </c>
      <c r="C396" t="s">
        <v>543</v>
      </c>
      <c r="D396" s="1" t="s">
        <v>773</v>
      </c>
      <c r="E396">
        <v>55.68</v>
      </c>
      <c r="F396">
        <v>15</v>
      </c>
      <c r="G396">
        <f t="shared" si="18"/>
        <v>3</v>
      </c>
      <c r="H396">
        <f>SUMIF(OrderDetailsCustomers!$M$2:$M$2158,A396,OrderDetailsCustomers!$W$2:$W$2158)</f>
        <v>696</v>
      </c>
      <c r="J396">
        <f t="shared" si="19"/>
        <v>3</v>
      </c>
      <c r="K396">
        <f>SUMIF(OrderDetailsCustomers!$M$2:$M$2158,'Order Header'!A396,OrderDetailsCustomers!$W$2:$W$2158)</f>
        <v>696</v>
      </c>
      <c r="L396" s="11">
        <f t="shared" si="20"/>
        <v>3</v>
      </c>
    </row>
    <row r="397" spans="1:12" x14ac:dyDescent="0.4">
      <c r="A397">
        <v>10643</v>
      </c>
      <c r="B397" s="4">
        <v>34967</v>
      </c>
      <c r="C397" t="s">
        <v>11</v>
      </c>
      <c r="D397" s="1" t="s">
        <v>774</v>
      </c>
      <c r="E397">
        <v>65.16</v>
      </c>
      <c r="F397">
        <v>15</v>
      </c>
      <c r="G397">
        <f t="shared" si="18"/>
        <v>3</v>
      </c>
      <c r="H397">
        <f>SUMIF(OrderDetailsCustomers!$M$2:$M$2158,A397,OrderDetailsCustomers!$W$2:$W$2158)</f>
        <v>814.5</v>
      </c>
      <c r="J397">
        <f t="shared" si="19"/>
        <v>3</v>
      </c>
      <c r="K397">
        <f>SUMIF(OrderDetailsCustomers!$M$2:$M$2158,'Order Header'!A397,OrderDetailsCustomers!$W$2:$W$2158)</f>
        <v>814.5</v>
      </c>
      <c r="L397" s="11">
        <f t="shared" si="20"/>
        <v>3</v>
      </c>
    </row>
    <row r="398" spans="1:12" x14ac:dyDescent="0.4">
      <c r="A398">
        <v>10644</v>
      </c>
      <c r="B398" s="4">
        <v>34967</v>
      </c>
      <c r="C398" t="s">
        <v>647</v>
      </c>
      <c r="D398" s="1" t="s">
        <v>770</v>
      </c>
      <c r="E398">
        <v>109.744</v>
      </c>
      <c r="F398">
        <v>20</v>
      </c>
      <c r="G398">
        <f t="shared" si="18"/>
        <v>3</v>
      </c>
      <c r="H398">
        <f>SUMIF(OrderDetailsCustomers!$M$2:$M$2158,A398,OrderDetailsCustomers!$W$2:$W$2158)</f>
        <v>1371.8</v>
      </c>
      <c r="J398">
        <f t="shared" si="19"/>
        <v>3</v>
      </c>
      <c r="K398">
        <f>SUMIF(OrderDetailsCustomers!$M$2:$M$2158,'Order Header'!A398,OrderDetailsCustomers!$W$2:$W$2158)</f>
        <v>1371.8</v>
      </c>
      <c r="L398" s="11">
        <f t="shared" si="20"/>
        <v>3</v>
      </c>
    </row>
    <row r="399" spans="1:12" x14ac:dyDescent="0.4">
      <c r="A399">
        <v>10645</v>
      </c>
      <c r="B399" s="4">
        <v>34968</v>
      </c>
      <c r="C399" t="s">
        <v>264</v>
      </c>
      <c r="D399" s="1" t="s">
        <v>767</v>
      </c>
      <c r="E399">
        <v>122.8</v>
      </c>
      <c r="F399">
        <v>20</v>
      </c>
      <c r="G399">
        <f t="shared" si="18"/>
        <v>3</v>
      </c>
      <c r="H399">
        <f>SUMIF(OrderDetailsCustomers!$M$2:$M$2158,A399,OrderDetailsCustomers!$W$2:$W$2158)</f>
        <v>1535</v>
      </c>
      <c r="J399">
        <f t="shared" si="19"/>
        <v>3</v>
      </c>
      <c r="K399">
        <f>SUMIF(OrderDetailsCustomers!$M$2:$M$2158,'Order Header'!A399,OrderDetailsCustomers!$W$2:$W$2158)</f>
        <v>1535</v>
      </c>
      <c r="L399" s="11">
        <f t="shared" si="20"/>
        <v>3</v>
      </c>
    </row>
    <row r="400" spans="1:12" x14ac:dyDescent="0.4">
      <c r="A400">
        <v>10646</v>
      </c>
      <c r="B400" s="4">
        <v>34969</v>
      </c>
      <c r="C400" t="s">
        <v>288</v>
      </c>
      <c r="D400" s="1" t="s">
        <v>781</v>
      </c>
      <c r="E400">
        <v>115.68</v>
      </c>
      <c r="F400">
        <v>20</v>
      </c>
      <c r="G400">
        <f t="shared" si="18"/>
        <v>3</v>
      </c>
      <c r="H400">
        <f>SUMIF(OrderDetailsCustomers!$M$2:$M$2158,A400,OrderDetailsCustomers!$W$2:$W$2158)</f>
        <v>1446</v>
      </c>
      <c r="J400">
        <f t="shared" si="19"/>
        <v>3</v>
      </c>
      <c r="K400">
        <f>SUMIF(OrderDetailsCustomers!$M$2:$M$2158,'Order Header'!A400,OrderDetailsCustomers!$W$2:$W$2158)</f>
        <v>1446</v>
      </c>
      <c r="L400" s="11">
        <f t="shared" si="20"/>
        <v>3</v>
      </c>
    </row>
    <row r="401" spans="1:12" x14ac:dyDescent="0.4">
      <c r="A401">
        <v>10647</v>
      </c>
      <c r="B401" s="4">
        <v>34969</v>
      </c>
      <c r="C401" t="s">
        <v>462</v>
      </c>
      <c r="D401" s="1" t="s">
        <v>774</v>
      </c>
      <c r="E401">
        <v>50.88</v>
      </c>
      <c r="F401">
        <v>15</v>
      </c>
      <c r="G401">
        <f t="shared" si="18"/>
        <v>3</v>
      </c>
      <c r="H401">
        <f>SUMIF(OrderDetailsCustomers!$M$2:$M$2158,A401,OrderDetailsCustomers!$W$2:$W$2158)</f>
        <v>636</v>
      </c>
      <c r="J401">
        <f t="shared" si="19"/>
        <v>3</v>
      </c>
      <c r="K401">
        <f>SUMIF(OrderDetailsCustomers!$M$2:$M$2158,'Order Header'!A401,OrderDetailsCustomers!$W$2:$W$2158)</f>
        <v>636</v>
      </c>
      <c r="L401" s="11">
        <f t="shared" si="20"/>
        <v>3</v>
      </c>
    </row>
    <row r="402" spans="1:12" x14ac:dyDescent="0.4">
      <c r="A402">
        <v>10648</v>
      </c>
      <c r="B402" s="4">
        <v>34970</v>
      </c>
      <c r="C402" t="s">
        <v>503</v>
      </c>
      <c r="D402" s="1" t="s">
        <v>775</v>
      </c>
      <c r="E402">
        <v>29.79</v>
      </c>
      <c r="F402">
        <v>10</v>
      </c>
      <c r="G402">
        <f t="shared" si="18"/>
        <v>2</v>
      </c>
      <c r="H402">
        <f>SUMIF(OrderDetailsCustomers!$M$2:$M$2158,A402,OrderDetailsCustomers!$W$2:$W$2158)</f>
        <v>372.375</v>
      </c>
      <c r="J402">
        <f t="shared" si="19"/>
        <v>2</v>
      </c>
      <c r="K402">
        <f>SUMIF(OrderDetailsCustomers!$M$2:$M$2158,'Order Header'!A402,OrderDetailsCustomers!$W$2:$W$2158)</f>
        <v>372.375</v>
      </c>
      <c r="L402" s="11">
        <f t="shared" si="20"/>
        <v>2</v>
      </c>
    </row>
    <row r="403" spans="1:12" x14ac:dyDescent="0.4">
      <c r="A403">
        <v>10649</v>
      </c>
      <c r="B403" s="4">
        <v>34970</v>
      </c>
      <c r="C403" t="s">
        <v>385</v>
      </c>
      <c r="D403" s="1" t="s">
        <v>782</v>
      </c>
      <c r="E403">
        <v>114.72</v>
      </c>
      <c r="F403">
        <v>20</v>
      </c>
      <c r="G403">
        <f t="shared" si="18"/>
        <v>3</v>
      </c>
      <c r="H403">
        <f>SUMIF(OrderDetailsCustomers!$M$2:$M$2158,A403,OrderDetailsCustomers!$W$2:$W$2158)</f>
        <v>1434</v>
      </c>
      <c r="J403">
        <f t="shared" si="19"/>
        <v>3</v>
      </c>
      <c r="K403">
        <f>SUMIF(OrderDetailsCustomers!$M$2:$M$2158,'Order Header'!A403,OrderDetailsCustomers!$W$2:$W$2158)</f>
        <v>1434</v>
      </c>
      <c r="L403" s="11">
        <f t="shared" si="20"/>
        <v>3</v>
      </c>
    </row>
    <row r="404" spans="1:12" x14ac:dyDescent="0.4">
      <c r="A404">
        <v>10650</v>
      </c>
      <c r="B404" s="4">
        <v>34971</v>
      </c>
      <c r="C404" t="s">
        <v>170</v>
      </c>
      <c r="D404" s="1" t="s">
        <v>774</v>
      </c>
      <c r="E404">
        <v>142.33599999999998</v>
      </c>
      <c r="F404">
        <v>20</v>
      </c>
      <c r="G404">
        <f t="shared" si="18"/>
        <v>3</v>
      </c>
      <c r="H404">
        <f>SUMIF(OrderDetailsCustomers!$M$2:$M$2158,A404,OrderDetailsCustomers!$W$2:$W$2158)</f>
        <v>1779.1999999999998</v>
      </c>
      <c r="J404">
        <f t="shared" si="19"/>
        <v>3</v>
      </c>
      <c r="K404">
        <f>SUMIF(OrderDetailsCustomers!$M$2:$M$2158,'Order Header'!A404,OrderDetailsCustomers!$W$2:$W$2158)</f>
        <v>1779.1999999999998</v>
      </c>
      <c r="L404" s="11">
        <f t="shared" si="20"/>
        <v>3</v>
      </c>
    </row>
    <row r="405" spans="1:12" x14ac:dyDescent="0.4">
      <c r="A405">
        <v>10651</v>
      </c>
      <c r="B405" s="4">
        <v>34974</v>
      </c>
      <c r="C405" t="s">
        <v>633</v>
      </c>
      <c r="D405" s="1" t="s">
        <v>779</v>
      </c>
      <c r="E405">
        <v>31.824000000000002</v>
      </c>
      <c r="F405">
        <v>10</v>
      </c>
      <c r="G405">
        <f t="shared" ref="G405:G468" si="21">VLOOKUP(E405,$T$1:$U$7,2,TRUE)</f>
        <v>2</v>
      </c>
      <c r="H405">
        <f>SUMIF(OrderDetailsCustomers!$M$2:$M$2158,A405,OrderDetailsCustomers!$W$2:$W$2158)</f>
        <v>397.8</v>
      </c>
      <c r="J405">
        <f t="shared" si="19"/>
        <v>2</v>
      </c>
      <c r="K405">
        <f>SUMIF(OrderDetailsCustomers!$M$2:$M$2158,'Order Header'!A405,OrderDetailsCustomers!$W$2:$W$2158)</f>
        <v>397.8</v>
      </c>
      <c r="L405" s="11">
        <f t="shared" si="20"/>
        <v>2</v>
      </c>
    </row>
    <row r="406" spans="1:12" x14ac:dyDescent="0.4">
      <c r="A406">
        <v>10652</v>
      </c>
      <c r="B406" s="4">
        <v>34974</v>
      </c>
      <c r="C406" t="s">
        <v>240</v>
      </c>
      <c r="D406" s="1" t="s">
        <v>780</v>
      </c>
      <c r="E406">
        <v>25.506799999999998</v>
      </c>
      <c r="F406">
        <v>10</v>
      </c>
      <c r="G406">
        <f t="shared" si="21"/>
        <v>2</v>
      </c>
      <c r="H406">
        <f>SUMIF(OrderDetailsCustomers!$M$2:$M$2158,A406,OrderDetailsCustomers!$W$2:$W$2158)</f>
        <v>318.83499999999998</v>
      </c>
      <c r="J406">
        <f t="shared" si="19"/>
        <v>2</v>
      </c>
      <c r="K406">
        <f>SUMIF(OrderDetailsCustomers!$M$2:$M$2158,'Order Header'!A406,OrderDetailsCustomers!$W$2:$W$2158)</f>
        <v>318.83499999999998</v>
      </c>
      <c r="L406" s="11">
        <f t="shared" si="20"/>
        <v>2</v>
      </c>
    </row>
    <row r="407" spans="1:12" x14ac:dyDescent="0.4">
      <c r="A407">
        <v>10653</v>
      </c>
      <c r="B407" s="4">
        <v>34975</v>
      </c>
      <c r="C407" t="s">
        <v>198</v>
      </c>
      <c r="D407" s="1" t="s">
        <v>765</v>
      </c>
      <c r="E407">
        <v>86.652000000000015</v>
      </c>
      <c r="F407">
        <v>20</v>
      </c>
      <c r="G407">
        <f t="shared" si="21"/>
        <v>3</v>
      </c>
      <c r="H407">
        <f>SUMIF(OrderDetailsCustomers!$M$2:$M$2158,A407,OrderDetailsCustomers!$W$2:$W$2158)</f>
        <v>1083.1500000000001</v>
      </c>
      <c r="J407">
        <f t="shared" si="19"/>
        <v>3</v>
      </c>
      <c r="K407">
        <f>SUMIF(OrderDetailsCustomers!$M$2:$M$2158,'Order Header'!A407,OrderDetailsCustomers!$W$2:$W$2158)</f>
        <v>1083.1500000000001</v>
      </c>
      <c r="L407" s="11">
        <f t="shared" si="20"/>
        <v>3</v>
      </c>
    </row>
    <row r="408" spans="1:12" x14ac:dyDescent="0.4">
      <c r="A408">
        <v>10654</v>
      </c>
      <c r="B408" s="4">
        <v>34975</v>
      </c>
      <c r="C408" t="s">
        <v>43</v>
      </c>
      <c r="D408" s="1" t="s">
        <v>765</v>
      </c>
      <c r="E408">
        <v>48.146400000000007</v>
      </c>
      <c r="F408">
        <v>15</v>
      </c>
      <c r="G408">
        <f t="shared" si="21"/>
        <v>2</v>
      </c>
      <c r="H408">
        <f>SUMIF(OrderDetailsCustomers!$M$2:$M$2158,A408,OrderDetailsCustomers!$W$2:$W$2158)</f>
        <v>601.83000000000004</v>
      </c>
      <c r="J408">
        <f t="shared" si="19"/>
        <v>2</v>
      </c>
      <c r="K408">
        <f>SUMIF(OrderDetailsCustomers!$M$2:$M$2158,'Order Header'!A408,OrderDetailsCustomers!$W$2:$W$2158)</f>
        <v>601.83000000000004</v>
      </c>
      <c r="L408" s="11">
        <f t="shared" si="20"/>
        <v>2</v>
      </c>
    </row>
    <row r="409" spans="1:12" x14ac:dyDescent="0.4">
      <c r="A409">
        <v>10655</v>
      </c>
      <c r="B409" s="4">
        <v>34976</v>
      </c>
      <c r="C409" t="s">
        <v>496</v>
      </c>
      <c r="D409" s="1" t="s">
        <v>779</v>
      </c>
      <c r="E409">
        <v>12.352</v>
      </c>
      <c r="F409">
        <v>10</v>
      </c>
      <c r="G409">
        <f t="shared" si="21"/>
        <v>2</v>
      </c>
      <c r="H409">
        <f>SUMIF(OrderDetailsCustomers!$M$2:$M$2158,A409,OrderDetailsCustomers!$W$2:$W$2158)</f>
        <v>154.4</v>
      </c>
      <c r="J409">
        <f t="shared" si="19"/>
        <v>2</v>
      </c>
      <c r="K409">
        <f>SUMIF(OrderDetailsCustomers!$M$2:$M$2158,'Order Header'!A409,OrderDetailsCustomers!$W$2:$W$2158)</f>
        <v>154.4</v>
      </c>
      <c r="L409" s="11">
        <f t="shared" si="20"/>
        <v>2</v>
      </c>
    </row>
    <row r="410" spans="1:12" x14ac:dyDescent="0.4">
      <c r="A410">
        <v>10656</v>
      </c>
      <c r="B410" s="4">
        <v>34977</v>
      </c>
      <c r="C410" t="s">
        <v>247</v>
      </c>
      <c r="D410" s="1" t="s">
        <v>778</v>
      </c>
      <c r="E410">
        <v>48.337200000000003</v>
      </c>
      <c r="F410">
        <v>15</v>
      </c>
      <c r="G410">
        <f t="shared" si="21"/>
        <v>2</v>
      </c>
      <c r="H410">
        <f>SUMIF(OrderDetailsCustomers!$M$2:$M$2158,A410,OrderDetailsCustomers!$W$2:$W$2158)</f>
        <v>604.21500000000003</v>
      </c>
      <c r="J410">
        <f t="shared" si="19"/>
        <v>2</v>
      </c>
      <c r="K410">
        <f>SUMIF(OrderDetailsCustomers!$M$2:$M$2158,'Order Header'!A410,OrderDetailsCustomers!$W$2:$W$2158)</f>
        <v>604.21500000000003</v>
      </c>
      <c r="L410" s="11">
        <f t="shared" si="20"/>
        <v>2</v>
      </c>
    </row>
    <row r="411" spans="1:12" x14ac:dyDescent="0.4">
      <c r="A411">
        <v>10657</v>
      </c>
      <c r="B411" s="4">
        <v>34977</v>
      </c>
      <c r="C411" t="s">
        <v>529</v>
      </c>
      <c r="D411" s="1" t="s">
        <v>780</v>
      </c>
      <c r="E411">
        <v>349.72800000000001</v>
      </c>
      <c r="F411">
        <v>20</v>
      </c>
      <c r="G411">
        <f t="shared" si="21"/>
        <v>5</v>
      </c>
      <c r="H411">
        <f>SUMIF(OrderDetailsCustomers!$M$2:$M$2158,A411,OrderDetailsCustomers!$W$2:$W$2158)</f>
        <v>4371.6000000000004</v>
      </c>
      <c r="J411">
        <f t="shared" si="19"/>
        <v>5</v>
      </c>
      <c r="K411">
        <f>SUMIF(OrderDetailsCustomers!$M$2:$M$2158,'Order Header'!A411,OrderDetailsCustomers!$W$2:$W$2158)</f>
        <v>4371.6000000000004</v>
      </c>
      <c r="L411" s="11">
        <f t="shared" si="20"/>
        <v>5</v>
      </c>
    </row>
    <row r="412" spans="1:12" x14ac:dyDescent="0.4">
      <c r="A412">
        <v>10658</v>
      </c>
      <c r="B412" s="4">
        <v>34978</v>
      </c>
      <c r="C412" t="s">
        <v>475</v>
      </c>
      <c r="D412" s="1" t="s">
        <v>777</v>
      </c>
      <c r="E412">
        <v>357.16800000000006</v>
      </c>
      <c r="F412">
        <v>20</v>
      </c>
      <c r="G412">
        <f t="shared" si="21"/>
        <v>5</v>
      </c>
      <c r="H412">
        <f>SUMIF(OrderDetailsCustomers!$M$2:$M$2158,A412,OrderDetailsCustomers!$W$2:$W$2158)</f>
        <v>4464.6000000000004</v>
      </c>
      <c r="J412">
        <f t="shared" si="19"/>
        <v>5</v>
      </c>
      <c r="K412">
        <f>SUMIF(OrderDetailsCustomers!$M$2:$M$2158,'Order Header'!A412,OrderDetailsCustomers!$W$2:$W$2158)</f>
        <v>4464.6000000000004</v>
      </c>
      <c r="L412" s="11">
        <f t="shared" si="20"/>
        <v>5</v>
      </c>
    </row>
    <row r="413" spans="1:12" x14ac:dyDescent="0.4">
      <c r="A413">
        <v>10659</v>
      </c>
      <c r="B413" s="4">
        <v>34978</v>
      </c>
      <c r="C413" t="s">
        <v>469</v>
      </c>
      <c r="D413" s="1" t="s">
        <v>783</v>
      </c>
      <c r="E413">
        <v>98.161600000000007</v>
      </c>
      <c r="F413">
        <v>20</v>
      </c>
      <c r="G413">
        <f t="shared" si="21"/>
        <v>3</v>
      </c>
      <c r="H413">
        <f>SUMIF(OrderDetailsCustomers!$M$2:$M$2158,A413,OrderDetailsCustomers!$W$2:$W$2158)</f>
        <v>1227.02</v>
      </c>
      <c r="J413">
        <f t="shared" si="19"/>
        <v>3</v>
      </c>
      <c r="K413">
        <f>SUMIF(OrderDetailsCustomers!$M$2:$M$2158,'Order Header'!A413,OrderDetailsCustomers!$W$2:$W$2158)</f>
        <v>1227.02</v>
      </c>
      <c r="L413" s="11">
        <f t="shared" si="20"/>
        <v>3</v>
      </c>
    </row>
    <row r="414" spans="1:12" x14ac:dyDescent="0.4">
      <c r="A414">
        <v>10660</v>
      </c>
      <c r="B414" s="4">
        <v>34981</v>
      </c>
      <c r="C414" t="s">
        <v>281</v>
      </c>
      <c r="D414" s="1" t="s">
        <v>769</v>
      </c>
      <c r="E414">
        <v>136.08000000000001</v>
      </c>
      <c r="F414">
        <v>20</v>
      </c>
      <c r="G414">
        <f t="shared" si="21"/>
        <v>3</v>
      </c>
      <c r="H414">
        <f>SUMIF(OrderDetailsCustomers!$M$2:$M$2158,A414,OrderDetailsCustomers!$W$2:$W$2158)</f>
        <v>1701</v>
      </c>
      <c r="J414">
        <f t="shared" si="19"/>
        <v>3</v>
      </c>
      <c r="K414">
        <f>SUMIF(OrderDetailsCustomers!$M$2:$M$2158,'Order Header'!A414,OrderDetailsCustomers!$W$2:$W$2158)</f>
        <v>1701</v>
      </c>
      <c r="L414" s="11">
        <f t="shared" si="20"/>
        <v>3</v>
      </c>
    </row>
    <row r="415" spans="1:12" x14ac:dyDescent="0.4">
      <c r="A415">
        <v>10661</v>
      </c>
      <c r="B415" s="4">
        <v>34982</v>
      </c>
      <c r="C415" t="s">
        <v>288</v>
      </c>
      <c r="D415" s="1" t="s">
        <v>781</v>
      </c>
      <c r="E415">
        <v>45.008000000000003</v>
      </c>
      <c r="F415">
        <v>15</v>
      </c>
      <c r="G415">
        <f t="shared" si="21"/>
        <v>2</v>
      </c>
      <c r="H415">
        <f>SUMIF(OrderDetailsCustomers!$M$2:$M$2158,A415,OrderDetailsCustomers!$W$2:$W$2158)</f>
        <v>562.6</v>
      </c>
      <c r="J415">
        <f t="shared" si="19"/>
        <v>2</v>
      </c>
      <c r="K415">
        <f>SUMIF(OrderDetailsCustomers!$M$2:$M$2158,'Order Header'!A415,OrderDetailsCustomers!$W$2:$W$2158)</f>
        <v>562.6</v>
      </c>
      <c r="L415" s="11">
        <f t="shared" si="20"/>
        <v>2</v>
      </c>
    </row>
    <row r="416" spans="1:12" x14ac:dyDescent="0.4">
      <c r="A416">
        <v>10662</v>
      </c>
      <c r="B416" s="4">
        <v>34982</v>
      </c>
      <c r="C416" t="s">
        <v>371</v>
      </c>
      <c r="D416" s="1" t="s">
        <v>770</v>
      </c>
      <c r="E416">
        <v>10</v>
      </c>
      <c r="F416">
        <v>10</v>
      </c>
      <c r="G416">
        <f t="shared" si="21"/>
        <v>2</v>
      </c>
      <c r="H416">
        <f>SUMIF(OrderDetailsCustomers!$M$2:$M$2158,A416,OrderDetailsCustomers!$W$2:$W$2158)</f>
        <v>125</v>
      </c>
      <c r="J416">
        <f t="shared" si="19"/>
        <v>2</v>
      </c>
      <c r="K416">
        <f>SUMIF(OrderDetailsCustomers!$M$2:$M$2158,'Order Header'!A416,OrderDetailsCustomers!$W$2:$W$2158)</f>
        <v>125</v>
      </c>
      <c r="L416" s="11">
        <f t="shared" si="20"/>
        <v>2</v>
      </c>
    </row>
    <row r="417" spans="1:12" x14ac:dyDescent="0.4">
      <c r="A417">
        <v>10663</v>
      </c>
      <c r="B417" s="4">
        <v>34983</v>
      </c>
      <c r="C417" t="s">
        <v>77</v>
      </c>
      <c r="D417" s="1" t="s">
        <v>776</v>
      </c>
      <c r="E417">
        <v>154.43200000000002</v>
      </c>
      <c r="F417">
        <v>20</v>
      </c>
      <c r="G417">
        <f t="shared" si="21"/>
        <v>4</v>
      </c>
      <c r="H417">
        <f>SUMIF(OrderDetailsCustomers!$M$2:$M$2158,A417,OrderDetailsCustomers!$W$2:$W$2158)</f>
        <v>1930.4</v>
      </c>
      <c r="J417">
        <f t="shared" si="19"/>
        <v>4</v>
      </c>
      <c r="K417">
        <f>SUMIF(OrderDetailsCustomers!$M$2:$M$2158,'Order Header'!A417,OrderDetailsCustomers!$W$2:$W$2158)</f>
        <v>1930.4</v>
      </c>
      <c r="L417" s="11">
        <f t="shared" si="20"/>
        <v>4</v>
      </c>
    </row>
    <row r="418" spans="1:12" x14ac:dyDescent="0.4">
      <c r="A418">
        <v>10664</v>
      </c>
      <c r="B418" s="4">
        <v>34983</v>
      </c>
      <c r="C418" t="s">
        <v>219</v>
      </c>
      <c r="D418" s="1" t="s">
        <v>770</v>
      </c>
      <c r="E418">
        <v>103.07100000000001</v>
      </c>
      <c r="F418">
        <v>20</v>
      </c>
      <c r="G418">
        <f t="shared" si="21"/>
        <v>3</v>
      </c>
      <c r="H418">
        <f>SUMIF(OrderDetailsCustomers!$M$2:$M$2158,A418,OrderDetailsCustomers!$W$2:$W$2158)</f>
        <v>1288.3875</v>
      </c>
      <c r="J418">
        <f t="shared" si="19"/>
        <v>3</v>
      </c>
      <c r="K418">
        <f>SUMIF(OrderDetailsCustomers!$M$2:$M$2158,'Order Header'!A418,OrderDetailsCustomers!$W$2:$W$2158)</f>
        <v>1288.3875</v>
      </c>
      <c r="L418" s="11">
        <f t="shared" si="20"/>
        <v>3</v>
      </c>
    </row>
    <row r="419" spans="1:12" x14ac:dyDescent="0.4">
      <c r="A419">
        <v>10665</v>
      </c>
      <c r="B419" s="4">
        <v>34984</v>
      </c>
      <c r="C419" t="s">
        <v>371</v>
      </c>
      <c r="D419" s="1" t="s">
        <v>770</v>
      </c>
      <c r="E419">
        <v>103.60000000000001</v>
      </c>
      <c r="F419">
        <v>20</v>
      </c>
      <c r="G419">
        <f t="shared" si="21"/>
        <v>3</v>
      </c>
      <c r="H419">
        <f>SUMIF(OrderDetailsCustomers!$M$2:$M$2158,A419,OrderDetailsCustomers!$W$2:$W$2158)</f>
        <v>1295</v>
      </c>
      <c r="J419">
        <f t="shared" si="19"/>
        <v>3</v>
      </c>
      <c r="K419">
        <f>SUMIF(OrderDetailsCustomers!$M$2:$M$2158,'Order Header'!A419,OrderDetailsCustomers!$W$2:$W$2158)</f>
        <v>1295</v>
      </c>
      <c r="L419" s="11">
        <f t="shared" si="20"/>
        <v>3</v>
      </c>
    </row>
    <row r="420" spans="1:12" x14ac:dyDescent="0.4">
      <c r="A420">
        <v>10666</v>
      </c>
      <c r="B420" s="4">
        <v>34985</v>
      </c>
      <c r="C420" t="s">
        <v>509</v>
      </c>
      <c r="D420" s="1" t="s">
        <v>770</v>
      </c>
      <c r="E420">
        <v>373.35520000000002</v>
      </c>
      <c r="F420">
        <v>20</v>
      </c>
      <c r="G420">
        <f t="shared" si="21"/>
        <v>5</v>
      </c>
      <c r="H420">
        <f>SUMIF(OrderDetailsCustomers!$M$2:$M$2158,A420,OrderDetailsCustomers!$W$2:$W$2158)</f>
        <v>4666.9400000000005</v>
      </c>
      <c r="J420">
        <f t="shared" si="19"/>
        <v>5</v>
      </c>
      <c r="K420">
        <f>SUMIF(OrderDetailsCustomers!$M$2:$M$2158,'Order Header'!A420,OrderDetailsCustomers!$W$2:$W$2158)</f>
        <v>4666.9400000000005</v>
      </c>
      <c r="L420" s="11">
        <f t="shared" si="20"/>
        <v>5</v>
      </c>
    </row>
    <row r="421" spans="1:12" x14ac:dyDescent="0.4">
      <c r="A421">
        <v>10667</v>
      </c>
      <c r="B421" s="4">
        <v>34985</v>
      </c>
      <c r="C421" t="s">
        <v>161</v>
      </c>
      <c r="D421" s="1" t="s">
        <v>772</v>
      </c>
      <c r="E421">
        <v>122.944</v>
      </c>
      <c r="F421">
        <v>20</v>
      </c>
      <c r="G421">
        <f t="shared" si="21"/>
        <v>3</v>
      </c>
      <c r="H421">
        <f>SUMIF(OrderDetailsCustomers!$M$2:$M$2158,A421,OrderDetailsCustomers!$W$2:$W$2158)</f>
        <v>1536.8</v>
      </c>
      <c r="J421">
        <f t="shared" si="19"/>
        <v>3</v>
      </c>
      <c r="K421">
        <f>SUMIF(OrderDetailsCustomers!$M$2:$M$2158,'Order Header'!A421,OrderDetailsCustomers!$W$2:$W$2158)</f>
        <v>1536.8</v>
      </c>
      <c r="L421" s="11">
        <f t="shared" si="20"/>
        <v>3</v>
      </c>
    </row>
    <row r="422" spans="1:12" x14ac:dyDescent="0.4">
      <c r="A422">
        <v>10668</v>
      </c>
      <c r="B422" s="4">
        <v>34988</v>
      </c>
      <c r="C422" t="s">
        <v>633</v>
      </c>
      <c r="D422" s="1" t="s">
        <v>779</v>
      </c>
      <c r="E422">
        <v>50.021999999999998</v>
      </c>
      <c r="F422">
        <v>15</v>
      </c>
      <c r="G422">
        <f t="shared" si="21"/>
        <v>3</v>
      </c>
      <c r="H422">
        <f>SUMIF(OrderDetailsCustomers!$M$2:$M$2158,A422,OrderDetailsCustomers!$W$2:$W$2158)</f>
        <v>625.27499999999998</v>
      </c>
      <c r="J422">
        <f t="shared" si="19"/>
        <v>3</v>
      </c>
      <c r="K422">
        <f>SUMIF(OrderDetailsCustomers!$M$2:$M$2158,'Order Header'!A422,OrderDetailsCustomers!$W$2:$W$2158)</f>
        <v>625.27499999999998</v>
      </c>
      <c r="L422" s="11">
        <f t="shared" si="20"/>
        <v>3</v>
      </c>
    </row>
    <row r="423" spans="1:12" x14ac:dyDescent="0.4">
      <c r="A423">
        <v>10669</v>
      </c>
      <c r="B423" s="4">
        <v>34988</v>
      </c>
      <c r="C423" t="s">
        <v>543</v>
      </c>
      <c r="D423" s="1" t="s">
        <v>773</v>
      </c>
      <c r="E423">
        <v>45.6</v>
      </c>
      <c r="F423">
        <v>15</v>
      </c>
      <c r="G423">
        <f t="shared" si="21"/>
        <v>2</v>
      </c>
      <c r="H423">
        <f>SUMIF(OrderDetailsCustomers!$M$2:$M$2158,A423,OrderDetailsCustomers!$W$2:$W$2158)</f>
        <v>570</v>
      </c>
      <c r="J423">
        <f t="shared" si="19"/>
        <v>2</v>
      </c>
      <c r="K423">
        <f>SUMIF(OrderDetailsCustomers!$M$2:$M$2158,'Order Header'!A423,OrderDetailsCustomers!$W$2:$W$2158)</f>
        <v>570</v>
      </c>
      <c r="L423" s="11">
        <f t="shared" si="20"/>
        <v>2</v>
      </c>
    </row>
    <row r="424" spans="1:12" x14ac:dyDescent="0.4">
      <c r="A424">
        <v>10670</v>
      </c>
      <c r="B424" s="4">
        <v>34989</v>
      </c>
      <c r="C424" t="s">
        <v>198</v>
      </c>
      <c r="D424" s="1" t="s">
        <v>765</v>
      </c>
      <c r="E424">
        <v>184.14000000000001</v>
      </c>
      <c r="F424">
        <v>20</v>
      </c>
      <c r="G424">
        <f t="shared" si="21"/>
        <v>4</v>
      </c>
      <c r="H424">
        <f>SUMIF(OrderDetailsCustomers!$M$2:$M$2158,A424,OrderDetailsCustomers!$W$2:$W$2158)</f>
        <v>2301.75</v>
      </c>
      <c r="J424">
        <f t="shared" si="19"/>
        <v>4</v>
      </c>
      <c r="K424">
        <f>SUMIF(OrderDetailsCustomers!$M$2:$M$2158,'Order Header'!A424,OrderDetailsCustomers!$W$2:$W$2158)</f>
        <v>2301.75</v>
      </c>
      <c r="L424" s="11">
        <f t="shared" si="20"/>
        <v>4</v>
      </c>
    </row>
    <row r="425" spans="1:12" x14ac:dyDescent="0.4">
      <c r="A425">
        <v>10671</v>
      </c>
      <c r="B425" s="4">
        <v>34990</v>
      </c>
      <c r="C425" t="s">
        <v>205</v>
      </c>
      <c r="D425" s="1" t="s">
        <v>779</v>
      </c>
      <c r="E425">
        <v>73.608000000000004</v>
      </c>
      <c r="F425">
        <v>15</v>
      </c>
      <c r="G425">
        <f t="shared" si="21"/>
        <v>3</v>
      </c>
      <c r="H425">
        <f>SUMIF(OrderDetailsCustomers!$M$2:$M$2158,A425,OrderDetailsCustomers!$W$2:$W$2158)</f>
        <v>920.1</v>
      </c>
      <c r="J425">
        <f t="shared" si="19"/>
        <v>3</v>
      </c>
      <c r="K425">
        <f>SUMIF(OrderDetailsCustomers!$M$2:$M$2158,'Order Header'!A425,OrderDetailsCustomers!$W$2:$W$2158)</f>
        <v>920.1</v>
      </c>
      <c r="L425" s="11">
        <f t="shared" si="20"/>
        <v>3</v>
      </c>
    </row>
    <row r="426" spans="1:12" x14ac:dyDescent="0.4">
      <c r="A426">
        <v>10672</v>
      </c>
      <c r="B426" s="4">
        <v>34990</v>
      </c>
      <c r="C426" t="s">
        <v>43</v>
      </c>
      <c r="D426" s="1" t="s">
        <v>765</v>
      </c>
      <c r="E426">
        <v>305.22000000000003</v>
      </c>
      <c r="F426">
        <v>20</v>
      </c>
      <c r="G426">
        <f t="shared" si="21"/>
        <v>5</v>
      </c>
      <c r="H426">
        <f>SUMIF(OrderDetailsCustomers!$M$2:$M$2158,A426,OrderDetailsCustomers!$W$2:$W$2158)</f>
        <v>3815.25</v>
      </c>
      <c r="J426">
        <f t="shared" si="19"/>
        <v>5</v>
      </c>
      <c r="K426">
        <f>SUMIF(OrderDetailsCustomers!$M$2:$M$2158,'Order Header'!A426,OrderDetailsCustomers!$W$2:$W$2158)</f>
        <v>3815.25</v>
      </c>
      <c r="L426" s="11">
        <f t="shared" si="20"/>
        <v>5</v>
      </c>
    </row>
    <row r="427" spans="1:12" x14ac:dyDescent="0.4">
      <c r="A427">
        <v>10673</v>
      </c>
      <c r="B427" s="4">
        <v>34991</v>
      </c>
      <c r="C427" t="s">
        <v>661</v>
      </c>
      <c r="D427" s="1" t="s">
        <v>782</v>
      </c>
      <c r="E427">
        <v>32.988</v>
      </c>
      <c r="F427">
        <v>10</v>
      </c>
      <c r="G427">
        <f t="shared" si="21"/>
        <v>2</v>
      </c>
      <c r="H427">
        <f>SUMIF(OrderDetailsCustomers!$M$2:$M$2158,A427,OrderDetailsCustomers!$W$2:$W$2158)</f>
        <v>412.35</v>
      </c>
      <c r="J427">
        <f t="shared" si="19"/>
        <v>2</v>
      </c>
      <c r="K427">
        <f>SUMIF(OrderDetailsCustomers!$M$2:$M$2158,'Order Header'!A427,OrderDetailsCustomers!$W$2:$W$2158)</f>
        <v>412.35</v>
      </c>
      <c r="L427" s="11">
        <f t="shared" si="20"/>
        <v>2</v>
      </c>
    </row>
    <row r="428" spans="1:12" x14ac:dyDescent="0.4">
      <c r="A428">
        <v>10674</v>
      </c>
      <c r="B428" s="4">
        <v>34991</v>
      </c>
      <c r="C428" t="s">
        <v>297</v>
      </c>
      <c r="D428" s="1" t="s">
        <v>784</v>
      </c>
      <c r="E428">
        <v>3.6</v>
      </c>
      <c r="F428">
        <v>10</v>
      </c>
      <c r="G428">
        <f t="shared" si="21"/>
        <v>1</v>
      </c>
      <c r="H428">
        <f>SUMIF(OrderDetailsCustomers!$M$2:$M$2158,A428,OrderDetailsCustomers!$W$2:$W$2158)</f>
        <v>45</v>
      </c>
      <c r="J428">
        <f t="shared" si="19"/>
        <v>1</v>
      </c>
      <c r="K428">
        <f>SUMIF(OrderDetailsCustomers!$M$2:$M$2158,'Order Header'!A428,OrderDetailsCustomers!$W$2:$W$2158)</f>
        <v>45</v>
      </c>
      <c r="L428" s="11">
        <f t="shared" si="20"/>
        <v>1</v>
      </c>
    </row>
    <row r="429" spans="1:12" x14ac:dyDescent="0.4">
      <c r="A429">
        <v>10675</v>
      </c>
      <c r="B429" s="4">
        <v>34992</v>
      </c>
      <c r="C429" t="s">
        <v>198</v>
      </c>
      <c r="D429" s="1" t="s">
        <v>765</v>
      </c>
      <c r="E429">
        <v>113.84</v>
      </c>
      <c r="F429">
        <v>20</v>
      </c>
      <c r="G429">
        <f t="shared" si="21"/>
        <v>3</v>
      </c>
      <c r="H429">
        <f>SUMIF(OrderDetailsCustomers!$M$2:$M$2158,A429,OrderDetailsCustomers!$W$2:$W$2158)</f>
        <v>1423</v>
      </c>
      <c r="J429">
        <f t="shared" si="19"/>
        <v>3</v>
      </c>
      <c r="K429">
        <f>SUMIF(OrderDetailsCustomers!$M$2:$M$2158,'Order Header'!A429,OrderDetailsCustomers!$W$2:$W$2158)</f>
        <v>1423</v>
      </c>
      <c r="L429" s="11">
        <f t="shared" si="20"/>
        <v>3</v>
      </c>
    </row>
    <row r="430" spans="1:12" x14ac:dyDescent="0.4">
      <c r="A430">
        <v>10676</v>
      </c>
      <c r="B430" s="4">
        <v>34995</v>
      </c>
      <c r="C430" t="s">
        <v>593</v>
      </c>
      <c r="D430" s="1" t="s">
        <v>772</v>
      </c>
      <c r="E430">
        <v>42.788000000000004</v>
      </c>
      <c r="F430">
        <v>15</v>
      </c>
      <c r="G430">
        <f t="shared" si="21"/>
        <v>2</v>
      </c>
      <c r="H430">
        <f>SUMIF(OrderDetailsCustomers!$M$2:$M$2158,A430,OrderDetailsCustomers!$W$2:$W$2158)</f>
        <v>534.85</v>
      </c>
      <c r="J430">
        <f t="shared" si="19"/>
        <v>2</v>
      </c>
      <c r="K430">
        <f>SUMIF(OrderDetailsCustomers!$M$2:$M$2158,'Order Header'!A430,OrderDetailsCustomers!$W$2:$W$2158)</f>
        <v>534.85</v>
      </c>
      <c r="L430" s="11">
        <f t="shared" si="20"/>
        <v>2</v>
      </c>
    </row>
    <row r="431" spans="1:12" x14ac:dyDescent="0.4">
      <c r="A431">
        <v>10677</v>
      </c>
      <c r="B431" s="4">
        <v>34995</v>
      </c>
      <c r="C431" t="s">
        <v>29</v>
      </c>
      <c r="D431" s="1" t="s">
        <v>777</v>
      </c>
      <c r="E431">
        <v>65.069199999999995</v>
      </c>
      <c r="F431">
        <v>15</v>
      </c>
      <c r="G431">
        <f t="shared" si="21"/>
        <v>3</v>
      </c>
      <c r="H431">
        <f>SUMIF(OrderDetailsCustomers!$M$2:$M$2158,A431,OrderDetailsCustomers!$W$2:$W$2158)</f>
        <v>813.36500000000001</v>
      </c>
      <c r="J431">
        <f t="shared" si="19"/>
        <v>3</v>
      </c>
      <c r="K431">
        <f>SUMIF(OrderDetailsCustomers!$M$2:$M$2158,'Order Header'!A431,OrderDetailsCustomers!$W$2:$W$2158)</f>
        <v>813.36500000000001</v>
      </c>
      <c r="L431" s="11">
        <f t="shared" si="20"/>
        <v>3</v>
      </c>
    </row>
    <row r="432" spans="1:12" x14ac:dyDescent="0.4">
      <c r="A432">
        <v>10678</v>
      </c>
      <c r="B432" s="4">
        <v>34996</v>
      </c>
      <c r="C432" t="s">
        <v>529</v>
      </c>
      <c r="D432" s="1" t="s">
        <v>780</v>
      </c>
      <c r="E432">
        <v>420.52</v>
      </c>
      <c r="F432">
        <v>20</v>
      </c>
      <c r="G432">
        <f t="shared" si="21"/>
        <v>5</v>
      </c>
      <c r="H432">
        <f>SUMIF(OrderDetailsCustomers!$M$2:$M$2158,A432,OrderDetailsCustomers!$W$2:$W$2158)</f>
        <v>5256.5</v>
      </c>
      <c r="J432">
        <f t="shared" si="19"/>
        <v>5</v>
      </c>
      <c r="K432">
        <f>SUMIF(OrderDetailsCustomers!$M$2:$M$2158,'Order Header'!A432,OrderDetailsCustomers!$W$2:$W$2158)</f>
        <v>5256.5</v>
      </c>
      <c r="L432" s="11">
        <f t="shared" si="20"/>
        <v>5</v>
      </c>
    </row>
    <row r="433" spans="1:12" x14ac:dyDescent="0.4">
      <c r="A433">
        <v>10679</v>
      </c>
      <c r="B433" s="4">
        <v>34996</v>
      </c>
      <c r="C433" t="s">
        <v>60</v>
      </c>
      <c r="D433" s="1" t="s">
        <v>775</v>
      </c>
      <c r="E433">
        <v>52.800000000000004</v>
      </c>
      <c r="F433">
        <v>15</v>
      </c>
      <c r="G433">
        <f t="shared" si="21"/>
        <v>3</v>
      </c>
      <c r="H433">
        <f>SUMIF(OrderDetailsCustomers!$M$2:$M$2158,A433,OrderDetailsCustomers!$W$2:$W$2158)</f>
        <v>660</v>
      </c>
      <c r="J433">
        <f t="shared" si="19"/>
        <v>3</v>
      </c>
      <c r="K433">
        <f>SUMIF(OrderDetailsCustomers!$M$2:$M$2158,'Order Header'!A433,OrderDetailsCustomers!$W$2:$W$2158)</f>
        <v>660</v>
      </c>
      <c r="L433" s="11">
        <f t="shared" si="20"/>
        <v>3</v>
      </c>
    </row>
    <row r="434" spans="1:12" x14ac:dyDescent="0.4">
      <c r="A434">
        <v>10680</v>
      </c>
      <c r="B434" s="4">
        <v>34997</v>
      </c>
      <c r="C434" t="s">
        <v>422</v>
      </c>
      <c r="D434" s="1" t="s">
        <v>771</v>
      </c>
      <c r="E434">
        <v>100.95</v>
      </c>
      <c r="F434">
        <v>20</v>
      </c>
      <c r="G434">
        <f t="shared" si="21"/>
        <v>3</v>
      </c>
      <c r="H434">
        <f>SUMIF(OrderDetailsCustomers!$M$2:$M$2158,A434,OrderDetailsCustomers!$W$2:$W$2158)</f>
        <v>1261.875</v>
      </c>
      <c r="J434">
        <f t="shared" si="19"/>
        <v>3</v>
      </c>
      <c r="K434">
        <f>SUMIF(OrderDetailsCustomers!$M$2:$M$2158,'Order Header'!A434,OrderDetailsCustomers!$W$2:$W$2158)</f>
        <v>1261.875</v>
      </c>
      <c r="L434" s="11">
        <f t="shared" si="20"/>
        <v>3</v>
      </c>
    </row>
    <row r="435" spans="1:12" x14ac:dyDescent="0.4">
      <c r="A435">
        <v>10681</v>
      </c>
      <c r="B435" s="4">
        <v>34998</v>
      </c>
      <c r="C435" t="s">
        <v>247</v>
      </c>
      <c r="D435" s="1" t="s">
        <v>778</v>
      </c>
      <c r="E435">
        <v>102.992</v>
      </c>
      <c r="F435">
        <v>20</v>
      </c>
      <c r="G435">
        <f t="shared" si="21"/>
        <v>3</v>
      </c>
      <c r="H435">
        <f>SUMIF(OrderDetailsCustomers!$M$2:$M$2158,A435,OrderDetailsCustomers!$W$2:$W$2158)</f>
        <v>1287.4000000000001</v>
      </c>
      <c r="J435">
        <f t="shared" si="19"/>
        <v>3</v>
      </c>
      <c r="K435">
        <f>SUMIF(OrderDetailsCustomers!$M$2:$M$2158,'Order Header'!A435,OrderDetailsCustomers!$W$2:$W$2158)</f>
        <v>1287.4000000000001</v>
      </c>
      <c r="L435" s="11">
        <f t="shared" si="20"/>
        <v>3</v>
      </c>
    </row>
    <row r="436" spans="1:12" x14ac:dyDescent="0.4">
      <c r="A436">
        <v>10682</v>
      </c>
      <c r="B436" s="4">
        <v>34998</v>
      </c>
      <c r="C436" t="s">
        <v>29</v>
      </c>
      <c r="D436" s="1" t="s">
        <v>777</v>
      </c>
      <c r="E436">
        <v>30.04</v>
      </c>
      <c r="F436">
        <v>10</v>
      </c>
      <c r="G436">
        <f t="shared" si="21"/>
        <v>2</v>
      </c>
      <c r="H436">
        <f>SUMIF(OrderDetailsCustomers!$M$2:$M$2158,A436,OrderDetailsCustomers!$W$2:$W$2158)</f>
        <v>375.5</v>
      </c>
      <c r="J436">
        <f t="shared" si="19"/>
        <v>2</v>
      </c>
      <c r="K436">
        <f>SUMIF(OrderDetailsCustomers!$M$2:$M$2158,'Order Header'!A436,OrderDetailsCustomers!$W$2:$W$2158)</f>
        <v>375.5</v>
      </c>
      <c r="L436" s="11">
        <f t="shared" si="20"/>
        <v>2</v>
      </c>
    </row>
    <row r="437" spans="1:12" x14ac:dyDescent="0.4">
      <c r="A437">
        <v>10683</v>
      </c>
      <c r="B437" s="4">
        <v>34999</v>
      </c>
      <c r="C437" t="s">
        <v>147</v>
      </c>
      <c r="D437" s="1" t="s">
        <v>784</v>
      </c>
      <c r="E437">
        <v>5.04</v>
      </c>
      <c r="F437">
        <v>10</v>
      </c>
      <c r="G437">
        <f t="shared" si="21"/>
        <v>1</v>
      </c>
      <c r="H437">
        <f>SUMIF(OrderDetailsCustomers!$M$2:$M$2158,A437,OrderDetailsCustomers!$W$2:$W$2158)</f>
        <v>63</v>
      </c>
      <c r="J437">
        <f t="shared" si="19"/>
        <v>1</v>
      </c>
      <c r="K437">
        <f>SUMIF(OrderDetailsCustomers!$M$2:$M$2158,'Order Header'!A437,OrderDetailsCustomers!$W$2:$W$2158)</f>
        <v>63</v>
      </c>
      <c r="L437" s="11">
        <f t="shared" si="20"/>
        <v>1</v>
      </c>
    </row>
    <row r="438" spans="1:12" x14ac:dyDescent="0.4">
      <c r="A438">
        <v>10684</v>
      </c>
      <c r="B438" s="4">
        <v>34999</v>
      </c>
      <c r="C438" t="s">
        <v>430</v>
      </c>
      <c r="D438" s="1" t="s">
        <v>769</v>
      </c>
      <c r="E438">
        <v>141.44</v>
      </c>
      <c r="F438">
        <v>20</v>
      </c>
      <c r="G438">
        <f t="shared" si="21"/>
        <v>3</v>
      </c>
      <c r="H438">
        <f>SUMIF(OrderDetailsCustomers!$M$2:$M$2158,A438,OrderDetailsCustomers!$W$2:$W$2158)</f>
        <v>1768</v>
      </c>
      <c r="J438">
        <f t="shared" si="19"/>
        <v>3</v>
      </c>
      <c r="K438">
        <f>SUMIF(OrderDetailsCustomers!$M$2:$M$2158,'Order Header'!A438,OrderDetailsCustomers!$W$2:$W$2158)</f>
        <v>1768</v>
      </c>
      <c r="L438" s="11">
        <f t="shared" si="20"/>
        <v>3</v>
      </c>
    </row>
    <row r="439" spans="1:12" x14ac:dyDescent="0.4">
      <c r="A439">
        <v>10685</v>
      </c>
      <c r="B439" s="4">
        <v>35002</v>
      </c>
      <c r="C439" t="s">
        <v>240</v>
      </c>
      <c r="D439" s="1" t="s">
        <v>780</v>
      </c>
      <c r="E439">
        <v>64.088000000000008</v>
      </c>
      <c r="F439">
        <v>15</v>
      </c>
      <c r="G439">
        <f t="shared" si="21"/>
        <v>3</v>
      </c>
      <c r="H439">
        <f>SUMIF(OrderDetailsCustomers!$M$2:$M$2158,A439,OrderDetailsCustomers!$W$2:$W$2158)</f>
        <v>801.1</v>
      </c>
      <c r="J439">
        <f t="shared" si="19"/>
        <v>3</v>
      </c>
      <c r="K439">
        <f>SUMIF(OrderDetailsCustomers!$M$2:$M$2158,'Order Header'!A439,OrderDetailsCustomers!$W$2:$W$2158)</f>
        <v>801.1</v>
      </c>
      <c r="L439" s="11">
        <f t="shared" si="20"/>
        <v>3</v>
      </c>
    </row>
    <row r="440" spans="1:12" x14ac:dyDescent="0.4">
      <c r="A440">
        <v>10686</v>
      </c>
      <c r="B440" s="4">
        <v>35003</v>
      </c>
      <c r="C440" t="s">
        <v>450</v>
      </c>
      <c r="D440" s="1" t="s">
        <v>766</v>
      </c>
      <c r="E440">
        <v>112.35600000000001</v>
      </c>
      <c r="F440">
        <v>20</v>
      </c>
      <c r="G440">
        <f t="shared" si="21"/>
        <v>3</v>
      </c>
      <c r="H440">
        <f>SUMIF(OrderDetailsCustomers!$M$2:$M$2158,A440,OrderDetailsCustomers!$W$2:$W$2158)</f>
        <v>1404.45</v>
      </c>
      <c r="J440">
        <f t="shared" si="19"/>
        <v>3</v>
      </c>
      <c r="K440">
        <f>SUMIF(OrderDetailsCustomers!$M$2:$M$2158,'Order Header'!A440,OrderDetailsCustomers!$W$2:$W$2158)</f>
        <v>1404.45</v>
      </c>
      <c r="L440" s="11">
        <f t="shared" si="20"/>
        <v>3</v>
      </c>
    </row>
    <row r="441" spans="1:12" x14ac:dyDescent="0.4">
      <c r="A441">
        <v>10687</v>
      </c>
      <c r="B441" s="4">
        <v>35003</v>
      </c>
      <c r="C441" t="s">
        <v>288</v>
      </c>
      <c r="D441" s="1" t="s">
        <v>781</v>
      </c>
      <c r="E441">
        <v>396.87199999999996</v>
      </c>
      <c r="F441">
        <v>20</v>
      </c>
      <c r="G441">
        <f t="shared" si="21"/>
        <v>5</v>
      </c>
      <c r="H441">
        <f>SUMIF(OrderDetailsCustomers!$M$2:$M$2158,A441,OrderDetailsCustomers!$W$2:$W$2158)</f>
        <v>4960.8999999999996</v>
      </c>
      <c r="J441">
        <f t="shared" si="19"/>
        <v>5</v>
      </c>
      <c r="K441">
        <f>SUMIF(OrderDetailsCustomers!$M$2:$M$2158,'Order Header'!A441,OrderDetailsCustomers!$W$2:$W$2158)</f>
        <v>4960.8999999999996</v>
      </c>
      <c r="L441" s="11">
        <f t="shared" si="20"/>
        <v>5</v>
      </c>
    </row>
    <row r="442" spans="1:12" x14ac:dyDescent="0.4">
      <c r="A442">
        <v>10688</v>
      </c>
      <c r="B442" s="4">
        <v>35004</v>
      </c>
      <c r="C442" t="s">
        <v>612</v>
      </c>
      <c r="D442" s="1" t="s">
        <v>777</v>
      </c>
      <c r="E442">
        <v>252.84799999999998</v>
      </c>
      <c r="F442">
        <v>20</v>
      </c>
      <c r="G442">
        <f t="shared" si="21"/>
        <v>5</v>
      </c>
      <c r="H442">
        <f>SUMIF(OrderDetailsCustomers!$M$2:$M$2158,A442,OrderDetailsCustomers!$W$2:$W$2158)</f>
        <v>3160.6</v>
      </c>
      <c r="J442">
        <f t="shared" si="19"/>
        <v>5</v>
      </c>
      <c r="K442">
        <f>SUMIF(OrderDetailsCustomers!$M$2:$M$2158,'Order Header'!A442,OrderDetailsCustomers!$W$2:$W$2158)</f>
        <v>3160.6</v>
      </c>
      <c r="L442" s="11">
        <f t="shared" si="20"/>
        <v>5</v>
      </c>
    </row>
    <row r="443" spans="1:12" x14ac:dyDescent="0.4">
      <c r="A443">
        <v>10689</v>
      </c>
      <c r="B443" s="4">
        <v>35004</v>
      </c>
      <c r="C443" t="s">
        <v>43</v>
      </c>
      <c r="D443" s="1" t="s">
        <v>765</v>
      </c>
      <c r="E443">
        <v>37.800000000000004</v>
      </c>
      <c r="F443">
        <v>10</v>
      </c>
      <c r="G443">
        <f t="shared" si="21"/>
        <v>2</v>
      </c>
      <c r="H443">
        <f>SUMIF(OrderDetailsCustomers!$M$2:$M$2158,A443,OrderDetailsCustomers!$W$2:$W$2158)</f>
        <v>472.5</v>
      </c>
      <c r="J443">
        <f t="shared" si="19"/>
        <v>2</v>
      </c>
      <c r="K443">
        <f>SUMIF(OrderDetailsCustomers!$M$2:$M$2158,'Order Header'!A443,OrderDetailsCustomers!$W$2:$W$2158)</f>
        <v>472.5</v>
      </c>
      <c r="L443" s="11">
        <f t="shared" si="20"/>
        <v>2</v>
      </c>
    </row>
    <row r="444" spans="1:12" x14ac:dyDescent="0.4">
      <c r="A444">
        <v>10690</v>
      </c>
      <c r="B444" s="4">
        <v>35005</v>
      </c>
      <c r="C444" t="s">
        <v>264</v>
      </c>
      <c r="D444" s="1" t="s">
        <v>767</v>
      </c>
      <c r="E444">
        <v>69</v>
      </c>
      <c r="F444">
        <v>15</v>
      </c>
      <c r="G444">
        <f t="shared" si="21"/>
        <v>3</v>
      </c>
      <c r="H444">
        <f>SUMIF(OrderDetailsCustomers!$M$2:$M$2158,A444,OrderDetailsCustomers!$W$2:$W$2158)</f>
        <v>862.5</v>
      </c>
      <c r="J444">
        <f t="shared" si="19"/>
        <v>3</v>
      </c>
      <c r="K444">
        <f>SUMIF(OrderDetailsCustomers!$M$2:$M$2158,'Order Header'!A444,OrderDetailsCustomers!$W$2:$W$2158)</f>
        <v>862.5</v>
      </c>
      <c r="L444" s="11">
        <f t="shared" si="20"/>
        <v>3</v>
      </c>
    </row>
    <row r="445" spans="1:12" x14ac:dyDescent="0.4">
      <c r="A445">
        <v>10691</v>
      </c>
      <c r="B445" s="4">
        <v>35006</v>
      </c>
      <c r="C445" t="s">
        <v>475</v>
      </c>
      <c r="D445" s="1" t="s">
        <v>777</v>
      </c>
      <c r="E445">
        <v>813.18399999999997</v>
      </c>
      <c r="F445">
        <v>20</v>
      </c>
      <c r="G445">
        <f t="shared" si="21"/>
        <v>5</v>
      </c>
      <c r="H445">
        <f>SUMIF(OrderDetailsCustomers!$M$2:$M$2158,A445,OrderDetailsCustomers!$W$2:$W$2158)</f>
        <v>10164.799999999999</v>
      </c>
      <c r="J445">
        <f t="shared" si="19"/>
        <v>5</v>
      </c>
      <c r="K445">
        <f>SUMIF(OrderDetailsCustomers!$M$2:$M$2158,'Order Header'!A445,OrderDetailsCustomers!$W$2:$W$2158)</f>
        <v>10164.799999999999</v>
      </c>
      <c r="L445" s="11">
        <f t="shared" si="20"/>
        <v>5</v>
      </c>
    </row>
    <row r="446" spans="1:12" x14ac:dyDescent="0.4">
      <c r="A446">
        <v>10692</v>
      </c>
      <c r="B446" s="4">
        <v>35006</v>
      </c>
      <c r="C446" t="s">
        <v>11</v>
      </c>
      <c r="D446" s="1" t="s">
        <v>774</v>
      </c>
      <c r="E446">
        <v>70.239999999999995</v>
      </c>
      <c r="F446">
        <v>15</v>
      </c>
      <c r="G446">
        <f t="shared" si="21"/>
        <v>3</v>
      </c>
      <c r="H446">
        <f>SUMIF(OrderDetailsCustomers!$M$2:$M$2158,A446,OrderDetailsCustomers!$W$2:$W$2158)</f>
        <v>878</v>
      </c>
      <c r="J446">
        <f t="shared" si="19"/>
        <v>3</v>
      </c>
      <c r="K446">
        <f>SUMIF(OrderDetailsCustomers!$M$2:$M$2158,'Order Header'!A446,OrderDetailsCustomers!$W$2:$W$2158)</f>
        <v>878</v>
      </c>
      <c r="L446" s="11">
        <f t="shared" si="20"/>
        <v>3</v>
      </c>
    </row>
    <row r="447" spans="1:12" x14ac:dyDescent="0.4">
      <c r="A447">
        <v>10693</v>
      </c>
      <c r="B447" s="4">
        <v>35009</v>
      </c>
      <c r="C447" t="s">
        <v>654</v>
      </c>
      <c r="D447" s="1" t="s">
        <v>776</v>
      </c>
      <c r="E447">
        <v>165.696</v>
      </c>
      <c r="F447">
        <v>20</v>
      </c>
      <c r="G447">
        <f t="shared" si="21"/>
        <v>4</v>
      </c>
      <c r="H447">
        <f>SUMIF(OrderDetailsCustomers!$M$2:$M$2158,A447,OrderDetailsCustomers!$W$2:$W$2158)</f>
        <v>2071.1999999999998</v>
      </c>
      <c r="J447">
        <f t="shared" si="19"/>
        <v>4</v>
      </c>
      <c r="K447">
        <f>SUMIF(OrderDetailsCustomers!$M$2:$M$2158,'Order Header'!A447,OrderDetailsCustomers!$W$2:$W$2158)</f>
        <v>2071.1999999999998</v>
      </c>
      <c r="L447" s="11">
        <f t="shared" si="20"/>
        <v>4</v>
      </c>
    </row>
    <row r="448" spans="1:12" x14ac:dyDescent="0.4">
      <c r="A448">
        <v>10694</v>
      </c>
      <c r="B448" s="4">
        <v>35009</v>
      </c>
      <c r="C448" t="s">
        <v>475</v>
      </c>
      <c r="D448" s="1" t="s">
        <v>777</v>
      </c>
      <c r="E448">
        <v>386</v>
      </c>
      <c r="F448">
        <v>20</v>
      </c>
      <c r="G448">
        <f t="shared" si="21"/>
        <v>5</v>
      </c>
      <c r="H448">
        <f>SUMIF(OrderDetailsCustomers!$M$2:$M$2158,A448,OrderDetailsCustomers!$W$2:$W$2158)</f>
        <v>4825</v>
      </c>
      <c r="J448">
        <f t="shared" si="19"/>
        <v>5</v>
      </c>
      <c r="K448">
        <f>SUMIF(OrderDetailsCustomers!$M$2:$M$2158,'Order Header'!A448,OrderDetailsCustomers!$W$2:$W$2158)</f>
        <v>4825</v>
      </c>
      <c r="L448" s="11">
        <f t="shared" si="20"/>
        <v>5</v>
      </c>
    </row>
    <row r="449" spans="1:12" x14ac:dyDescent="0.4">
      <c r="A449">
        <v>10695</v>
      </c>
      <c r="B449" s="4">
        <v>35010</v>
      </c>
      <c r="C449" t="s">
        <v>661</v>
      </c>
      <c r="D449" s="1" t="s">
        <v>782</v>
      </c>
      <c r="E449">
        <v>51.36</v>
      </c>
      <c r="F449">
        <v>15</v>
      </c>
      <c r="G449">
        <f t="shared" si="21"/>
        <v>3</v>
      </c>
      <c r="H449">
        <f>SUMIF(OrderDetailsCustomers!$M$2:$M$2158,A449,OrderDetailsCustomers!$W$2:$W$2158)</f>
        <v>642</v>
      </c>
      <c r="J449">
        <f t="shared" si="19"/>
        <v>3</v>
      </c>
      <c r="K449">
        <f>SUMIF(OrderDetailsCustomers!$M$2:$M$2158,'Order Header'!A449,OrderDetailsCustomers!$W$2:$W$2158)</f>
        <v>642</v>
      </c>
      <c r="L449" s="11">
        <f t="shared" si="20"/>
        <v>3</v>
      </c>
    </row>
    <row r="450" spans="1:12" x14ac:dyDescent="0.4">
      <c r="A450">
        <v>10696</v>
      </c>
      <c r="B450" s="4">
        <v>35011</v>
      </c>
      <c r="C450" t="s">
        <v>654</v>
      </c>
      <c r="D450" s="1" t="s">
        <v>776</v>
      </c>
      <c r="E450">
        <v>79.680000000000007</v>
      </c>
      <c r="F450">
        <v>15</v>
      </c>
      <c r="G450">
        <f t="shared" si="21"/>
        <v>3</v>
      </c>
      <c r="H450">
        <f>SUMIF(OrderDetailsCustomers!$M$2:$M$2158,A450,OrderDetailsCustomers!$W$2:$W$2158)</f>
        <v>996</v>
      </c>
      <c r="J450">
        <f t="shared" si="19"/>
        <v>3</v>
      </c>
      <c r="K450">
        <f>SUMIF(OrderDetailsCustomers!$M$2:$M$2158,'Order Header'!A450,OrderDetailsCustomers!$W$2:$W$2158)</f>
        <v>996</v>
      </c>
      <c r="L450" s="11">
        <f t="shared" si="20"/>
        <v>3</v>
      </c>
    </row>
    <row r="451" spans="1:12" x14ac:dyDescent="0.4">
      <c r="A451">
        <v>10697</v>
      </c>
      <c r="B451" s="4">
        <v>35011</v>
      </c>
      <c r="C451" t="s">
        <v>363</v>
      </c>
      <c r="D451" s="1" t="s">
        <v>775</v>
      </c>
      <c r="E451">
        <v>64.433999999999997</v>
      </c>
      <c r="F451">
        <v>15</v>
      </c>
      <c r="G451">
        <f t="shared" si="21"/>
        <v>3</v>
      </c>
      <c r="H451">
        <f>SUMIF(OrderDetailsCustomers!$M$2:$M$2158,A451,OrderDetailsCustomers!$W$2:$W$2158)</f>
        <v>805.42499999999995</v>
      </c>
      <c r="J451">
        <f t="shared" ref="J451:J514" si="22">VLOOKUP(E451,$T$1:$U$7,2,TRUE)</f>
        <v>3</v>
      </c>
      <c r="K451">
        <f>SUMIF(OrderDetailsCustomers!$M$2:$M$2158,'Order Header'!A451,OrderDetailsCustomers!$W$2:$W$2158)</f>
        <v>805.42499999999995</v>
      </c>
      <c r="L451" s="11">
        <f t="shared" ref="L451:L514" si="23">VLOOKUP(E451,$T$1:$U$7,2,TRUE)</f>
        <v>3</v>
      </c>
    </row>
    <row r="452" spans="1:12" x14ac:dyDescent="0.4">
      <c r="A452">
        <v>10698</v>
      </c>
      <c r="B452" s="4">
        <v>35012</v>
      </c>
      <c r="C452" t="s">
        <v>161</v>
      </c>
      <c r="D452" s="1" t="s">
        <v>772</v>
      </c>
      <c r="E452">
        <v>274.91547999999995</v>
      </c>
      <c r="F452">
        <v>20</v>
      </c>
      <c r="G452">
        <f t="shared" si="21"/>
        <v>5</v>
      </c>
      <c r="H452">
        <f>SUMIF(OrderDetailsCustomers!$M$2:$M$2158,A452,OrderDetailsCustomers!$W$2:$W$2158)</f>
        <v>3436.4434999999994</v>
      </c>
      <c r="J452">
        <f t="shared" si="22"/>
        <v>5</v>
      </c>
      <c r="K452">
        <f>SUMIF(OrderDetailsCustomers!$M$2:$M$2158,'Order Header'!A452,OrderDetailsCustomers!$W$2:$W$2158)</f>
        <v>3436.4434999999994</v>
      </c>
      <c r="L452" s="11">
        <f t="shared" si="23"/>
        <v>5</v>
      </c>
    </row>
    <row r="453" spans="1:12" x14ac:dyDescent="0.4">
      <c r="A453">
        <v>10699</v>
      </c>
      <c r="B453" s="4">
        <v>35012</v>
      </c>
      <c r="C453" t="s">
        <v>403</v>
      </c>
      <c r="D453" s="1" t="s">
        <v>778</v>
      </c>
      <c r="E453">
        <v>9.120000000000001</v>
      </c>
      <c r="F453">
        <v>10</v>
      </c>
      <c r="G453">
        <f t="shared" si="21"/>
        <v>1</v>
      </c>
      <c r="H453">
        <f>SUMIF(OrderDetailsCustomers!$M$2:$M$2158,A453,OrderDetailsCustomers!$W$2:$W$2158)</f>
        <v>114</v>
      </c>
      <c r="J453">
        <f t="shared" si="22"/>
        <v>1</v>
      </c>
      <c r="K453">
        <f>SUMIF(OrderDetailsCustomers!$M$2:$M$2158,'Order Header'!A453,OrderDetailsCustomers!$W$2:$W$2158)</f>
        <v>114</v>
      </c>
      <c r="L453" s="11">
        <f t="shared" si="23"/>
        <v>1</v>
      </c>
    </row>
    <row r="454" spans="1:12" x14ac:dyDescent="0.4">
      <c r="A454">
        <v>10700</v>
      </c>
      <c r="B454" s="4">
        <v>35013</v>
      </c>
      <c r="C454" t="s">
        <v>529</v>
      </c>
      <c r="D454" s="1" t="s">
        <v>780</v>
      </c>
      <c r="E454">
        <v>131.072</v>
      </c>
      <c r="F454">
        <v>20</v>
      </c>
      <c r="G454">
        <f t="shared" si="21"/>
        <v>3</v>
      </c>
      <c r="H454">
        <f>SUMIF(OrderDetailsCustomers!$M$2:$M$2158,A454,OrderDetailsCustomers!$W$2:$W$2158)</f>
        <v>1638.4</v>
      </c>
      <c r="J454">
        <f t="shared" si="22"/>
        <v>3</v>
      </c>
      <c r="K454">
        <f>SUMIF(OrderDetailsCustomers!$M$2:$M$2158,'Order Header'!A454,OrderDetailsCustomers!$W$2:$W$2158)</f>
        <v>1638.4</v>
      </c>
      <c r="L454" s="11">
        <f t="shared" si="23"/>
        <v>3</v>
      </c>
    </row>
    <row r="455" spans="1:12" x14ac:dyDescent="0.4">
      <c r="A455">
        <v>10701</v>
      </c>
      <c r="B455" s="4">
        <v>35016</v>
      </c>
      <c r="C455" t="s">
        <v>288</v>
      </c>
      <c r="D455" s="1" t="s">
        <v>781</v>
      </c>
      <c r="E455">
        <v>229.16</v>
      </c>
      <c r="F455">
        <v>20</v>
      </c>
      <c r="G455">
        <f t="shared" si="21"/>
        <v>4</v>
      </c>
      <c r="H455">
        <f>SUMIF(OrderDetailsCustomers!$M$2:$M$2158,A455,OrderDetailsCustomers!$W$2:$W$2158)</f>
        <v>2864.5</v>
      </c>
      <c r="J455">
        <f t="shared" si="22"/>
        <v>4</v>
      </c>
      <c r="K455">
        <f>SUMIF(OrderDetailsCustomers!$M$2:$M$2158,'Order Header'!A455,OrderDetailsCustomers!$W$2:$W$2158)</f>
        <v>2864.5</v>
      </c>
      <c r="L455" s="11">
        <f t="shared" si="23"/>
        <v>4</v>
      </c>
    </row>
    <row r="456" spans="1:12" x14ac:dyDescent="0.4">
      <c r="A456">
        <v>10702</v>
      </c>
      <c r="B456" s="4">
        <v>35016</v>
      </c>
      <c r="C456" t="s">
        <v>11</v>
      </c>
      <c r="D456" s="1" t="s">
        <v>774</v>
      </c>
      <c r="E456">
        <v>26.400000000000002</v>
      </c>
      <c r="F456">
        <v>10</v>
      </c>
      <c r="G456">
        <f t="shared" si="21"/>
        <v>2</v>
      </c>
      <c r="H456">
        <f>SUMIF(OrderDetailsCustomers!$M$2:$M$2158,A456,OrderDetailsCustomers!$W$2:$W$2158)</f>
        <v>330</v>
      </c>
      <c r="J456">
        <f t="shared" si="22"/>
        <v>2</v>
      </c>
      <c r="K456">
        <f>SUMIF(OrderDetailsCustomers!$M$2:$M$2158,'Order Header'!A456,OrderDetailsCustomers!$W$2:$W$2158)</f>
        <v>330</v>
      </c>
      <c r="L456" s="11">
        <f t="shared" si="23"/>
        <v>2</v>
      </c>
    </row>
    <row r="457" spans="1:12" x14ac:dyDescent="0.4">
      <c r="A457">
        <v>10703</v>
      </c>
      <c r="B457" s="4">
        <v>35017</v>
      </c>
      <c r="C457" t="s">
        <v>191</v>
      </c>
      <c r="D457" s="1" t="s">
        <v>768</v>
      </c>
      <c r="E457">
        <v>203.6</v>
      </c>
      <c r="F457">
        <v>20</v>
      </c>
      <c r="G457">
        <f t="shared" si="21"/>
        <v>4</v>
      </c>
      <c r="H457">
        <f>SUMIF(OrderDetailsCustomers!$M$2:$M$2158,A457,OrderDetailsCustomers!$W$2:$W$2158)</f>
        <v>2545</v>
      </c>
      <c r="J457">
        <f t="shared" si="22"/>
        <v>4</v>
      </c>
      <c r="K457">
        <f>SUMIF(OrderDetailsCustomers!$M$2:$M$2158,'Order Header'!A457,OrderDetailsCustomers!$W$2:$W$2158)</f>
        <v>2545</v>
      </c>
      <c r="L457" s="11">
        <f t="shared" si="23"/>
        <v>4</v>
      </c>
    </row>
    <row r="458" spans="1:12" x14ac:dyDescent="0.4">
      <c r="A458">
        <v>10704</v>
      </c>
      <c r="B458" s="4">
        <v>35017</v>
      </c>
      <c r="C458" t="s">
        <v>469</v>
      </c>
      <c r="D458" s="1" t="s">
        <v>783</v>
      </c>
      <c r="E458">
        <v>47.64</v>
      </c>
      <c r="F458">
        <v>15</v>
      </c>
      <c r="G458">
        <f t="shared" si="21"/>
        <v>2</v>
      </c>
      <c r="H458">
        <f>SUMIF(OrderDetailsCustomers!$M$2:$M$2158,A458,OrderDetailsCustomers!$W$2:$W$2158)</f>
        <v>595.5</v>
      </c>
      <c r="J458">
        <f t="shared" si="22"/>
        <v>2</v>
      </c>
      <c r="K458">
        <f>SUMIF(OrderDetailsCustomers!$M$2:$M$2158,'Order Header'!A458,OrderDetailsCustomers!$W$2:$W$2158)</f>
        <v>595.5</v>
      </c>
      <c r="L458" s="11">
        <f t="shared" si="23"/>
        <v>2</v>
      </c>
    </row>
    <row r="459" spans="1:12" x14ac:dyDescent="0.4">
      <c r="A459">
        <v>10705</v>
      </c>
      <c r="B459" s="4">
        <v>35018</v>
      </c>
      <c r="C459" t="s">
        <v>273</v>
      </c>
      <c r="D459" s="1" t="s">
        <v>771</v>
      </c>
      <c r="E459">
        <v>30.240000000000002</v>
      </c>
      <c r="F459">
        <v>10</v>
      </c>
      <c r="G459">
        <f t="shared" si="21"/>
        <v>2</v>
      </c>
      <c r="H459">
        <f>SUMIF(OrderDetailsCustomers!$M$2:$M$2158,A459,OrderDetailsCustomers!$W$2:$W$2158)</f>
        <v>378</v>
      </c>
      <c r="J459">
        <f t="shared" si="22"/>
        <v>2</v>
      </c>
      <c r="K459">
        <f>SUMIF(OrderDetailsCustomers!$M$2:$M$2158,'Order Header'!A459,OrderDetailsCustomers!$W$2:$W$2158)</f>
        <v>378</v>
      </c>
      <c r="L459" s="11">
        <f t="shared" si="23"/>
        <v>2</v>
      </c>
    </row>
    <row r="460" spans="1:12" x14ac:dyDescent="0.4">
      <c r="A460">
        <v>10706</v>
      </c>
      <c r="B460" s="4">
        <v>35019</v>
      </c>
      <c r="C460" t="s">
        <v>422</v>
      </c>
      <c r="D460" s="1" t="s">
        <v>771</v>
      </c>
      <c r="E460">
        <v>151.44</v>
      </c>
      <c r="F460">
        <v>20</v>
      </c>
      <c r="G460">
        <f t="shared" si="21"/>
        <v>4</v>
      </c>
      <c r="H460">
        <f>SUMIF(OrderDetailsCustomers!$M$2:$M$2158,A460,OrderDetailsCustomers!$W$2:$W$2158)</f>
        <v>1893</v>
      </c>
      <c r="J460">
        <f t="shared" si="22"/>
        <v>4</v>
      </c>
      <c r="K460">
        <f>SUMIF(OrderDetailsCustomers!$M$2:$M$2158,'Order Header'!A460,OrderDetailsCustomers!$W$2:$W$2158)</f>
        <v>1893</v>
      </c>
      <c r="L460" s="11">
        <f t="shared" si="23"/>
        <v>4</v>
      </c>
    </row>
    <row r="461" spans="1:12" x14ac:dyDescent="0.4">
      <c r="A461">
        <v>10707</v>
      </c>
      <c r="B461" s="4">
        <v>35019</v>
      </c>
      <c r="C461" t="s">
        <v>34</v>
      </c>
      <c r="D461" s="1" t="s">
        <v>768</v>
      </c>
      <c r="E461">
        <v>131.28</v>
      </c>
      <c r="F461">
        <v>20</v>
      </c>
      <c r="G461">
        <f t="shared" si="21"/>
        <v>3</v>
      </c>
      <c r="H461">
        <f>SUMIF(OrderDetailsCustomers!$M$2:$M$2158,A461,OrderDetailsCustomers!$W$2:$W$2158)</f>
        <v>1641</v>
      </c>
      <c r="J461">
        <f t="shared" si="22"/>
        <v>3</v>
      </c>
      <c r="K461">
        <f>SUMIF(OrderDetailsCustomers!$M$2:$M$2158,'Order Header'!A461,OrderDetailsCustomers!$W$2:$W$2158)</f>
        <v>1641</v>
      </c>
      <c r="L461" s="11">
        <f t="shared" si="23"/>
        <v>3</v>
      </c>
    </row>
    <row r="462" spans="1:12" x14ac:dyDescent="0.4">
      <c r="A462">
        <v>10708</v>
      </c>
      <c r="B462" s="4">
        <v>35020</v>
      </c>
      <c r="C462" t="s">
        <v>573</v>
      </c>
      <c r="D462" s="1" t="s">
        <v>781</v>
      </c>
      <c r="E462">
        <v>14.432</v>
      </c>
      <c r="F462">
        <v>10</v>
      </c>
      <c r="G462">
        <f t="shared" si="21"/>
        <v>2</v>
      </c>
      <c r="H462">
        <f>SUMIF(OrderDetailsCustomers!$M$2:$M$2158,A462,OrderDetailsCustomers!$W$2:$W$2158)</f>
        <v>180.4</v>
      </c>
      <c r="J462">
        <f t="shared" si="22"/>
        <v>2</v>
      </c>
      <c r="K462">
        <f>SUMIF(OrderDetailsCustomers!$M$2:$M$2158,'Order Header'!A462,OrderDetailsCustomers!$W$2:$W$2158)</f>
        <v>180.4</v>
      </c>
      <c r="L462" s="11">
        <f t="shared" si="23"/>
        <v>2</v>
      </c>
    </row>
    <row r="463" spans="1:12" x14ac:dyDescent="0.4">
      <c r="A463">
        <v>10709</v>
      </c>
      <c r="B463" s="4">
        <v>35020</v>
      </c>
      <c r="C463" t="s">
        <v>240</v>
      </c>
      <c r="D463" s="1" t="s">
        <v>780</v>
      </c>
      <c r="E463">
        <v>273.92</v>
      </c>
      <c r="F463">
        <v>20</v>
      </c>
      <c r="G463">
        <f t="shared" si="21"/>
        <v>5</v>
      </c>
      <c r="H463">
        <f>SUMIF(OrderDetailsCustomers!$M$2:$M$2158,A463,OrderDetailsCustomers!$W$2:$W$2158)</f>
        <v>3424</v>
      </c>
      <c r="J463">
        <f t="shared" si="22"/>
        <v>5</v>
      </c>
      <c r="K463">
        <f>SUMIF(OrderDetailsCustomers!$M$2:$M$2158,'Order Header'!A463,OrderDetailsCustomers!$W$2:$W$2158)</f>
        <v>3424</v>
      </c>
      <c r="L463" s="11">
        <f t="shared" si="23"/>
        <v>5</v>
      </c>
    </row>
    <row r="464" spans="1:12" x14ac:dyDescent="0.4">
      <c r="A464">
        <v>10710</v>
      </c>
      <c r="B464" s="4">
        <v>35023</v>
      </c>
      <c r="C464" t="s">
        <v>211</v>
      </c>
      <c r="D464" s="1" t="s">
        <v>775</v>
      </c>
      <c r="E464">
        <v>7.48</v>
      </c>
      <c r="F464">
        <v>10</v>
      </c>
      <c r="G464">
        <f t="shared" si="21"/>
        <v>1</v>
      </c>
      <c r="H464">
        <f>SUMIF(OrderDetailsCustomers!$M$2:$M$2158,A464,OrderDetailsCustomers!$W$2:$W$2158)</f>
        <v>93.5</v>
      </c>
      <c r="J464">
        <f t="shared" si="22"/>
        <v>1</v>
      </c>
      <c r="K464">
        <f>SUMIF(OrderDetailsCustomers!$M$2:$M$2158,'Order Header'!A464,OrderDetailsCustomers!$W$2:$W$2158)</f>
        <v>93.5</v>
      </c>
      <c r="L464" s="11">
        <f t="shared" si="23"/>
        <v>1</v>
      </c>
    </row>
    <row r="465" spans="1:12" x14ac:dyDescent="0.4">
      <c r="A465">
        <v>10711</v>
      </c>
      <c r="B465" s="4">
        <v>35024</v>
      </c>
      <c r="C465" t="s">
        <v>529</v>
      </c>
      <c r="D465" s="1" t="s">
        <v>780</v>
      </c>
      <c r="E465">
        <v>356.13599999999997</v>
      </c>
      <c r="F465">
        <v>20</v>
      </c>
      <c r="G465">
        <f t="shared" si="21"/>
        <v>5</v>
      </c>
      <c r="H465">
        <f>SUMIF(OrderDetailsCustomers!$M$2:$M$2158,A465,OrderDetailsCustomers!$W$2:$W$2158)</f>
        <v>4451.7</v>
      </c>
      <c r="J465">
        <f t="shared" si="22"/>
        <v>5</v>
      </c>
      <c r="K465">
        <f>SUMIF(OrderDetailsCustomers!$M$2:$M$2158,'Order Header'!A465,OrderDetailsCustomers!$W$2:$W$2158)</f>
        <v>4451.7</v>
      </c>
      <c r="L465" s="11">
        <f t="shared" si="23"/>
        <v>5</v>
      </c>
    </row>
    <row r="466" spans="1:12" x14ac:dyDescent="0.4">
      <c r="A466">
        <v>10712</v>
      </c>
      <c r="B466" s="4">
        <v>35024</v>
      </c>
      <c r="C466" t="s">
        <v>288</v>
      </c>
      <c r="D466" s="1" t="s">
        <v>781</v>
      </c>
      <c r="E466">
        <v>98.678400000000011</v>
      </c>
      <c r="F466">
        <v>20</v>
      </c>
      <c r="G466">
        <f t="shared" si="21"/>
        <v>3</v>
      </c>
      <c r="H466">
        <f>SUMIF(OrderDetailsCustomers!$M$2:$M$2158,A466,OrderDetailsCustomers!$W$2:$W$2158)</f>
        <v>1233.48</v>
      </c>
      <c r="J466">
        <f t="shared" si="22"/>
        <v>3</v>
      </c>
      <c r="K466">
        <f>SUMIF(OrderDetailsCustomers!$M$2:$M$2158,'Order Header'!A466,OrderDetailsCustomers!$W$2:$W$2158)</f>
        <v>1233.48</v>
      </c>
      <c r="L466" s="11">
        <f t="shared" si="23"/>
        <v>3</v>
      </c>
    </row>
    <row r="467" spans="1:12" x14ac:dyDescent="0.4">
      <c r="A467">
        <v>10713</v>
      </c>
      <c r="B467" s="4">
        <v>35025</v>
      </c>
      <c r="C467" t="s">
        <v>529</v>
      </c>
      <c r="D467" s="1" t="s">
        <v>780</v>
      </c>
      <c r="E467">
        <v>226.232</v>
      </c>
      <c r="F467">
        <v>20</v>
      </c>
      <c r="G467">
        <f t="shared" si="21"/>
        <v>4</v>
      </c>
      <c r="H467">
        <f>SUMIF(OrderDetailsCustomers!$M$2:$M$2158,A467,OrderDetailsCustomers!$W$2:$W$2158)</f>
        <v>2827.9</v>
      </c>
      <c r="J467">
        <f t="shared" si="22"/>
        <v>4</v>
      </c>
      <c r="K467">
        <f>SUMIF(OrderDetailsCustomers!$M$2:$M$2158,'Order Header'!A467,OrderDetailsCustomers!$W$2:$W$2158)</f>
        <v>2827.9</v>
      </c>
      <c r="L467" s="11">
        <f t="shared" si="23"/>
        <v>4</v>
      </c>
    </row>
    <row r="468" spans="1:12" x14ac:dyDescent="0.4">
      <c r="A468">
        <v>10714</v>
      </c>
      <c r="B468" s="4">
        <v>35025</v>
      </c>
      <c r="C468" t="s">
        <v>529</v>
      </c>
      <c r="D468" s="1" t="s">
        <v>780</v>
      </c>
      <c r="E468">
        <v>176.46</v>
      </c>
      <c r="F468">
        <v>20</v>
      </c>
      <c r="G468">
        <f t="shared" si="21"/>
        <v>4</v>
      </c>
      <c r="H468">
        <f>SUMIF(OrderDetailsCustomers!$M$2:$M$2158,A468,OrderDetailsCustomers!$W$2:$W$2158)</f>
        <v>2205.75</v>
      </c>
      <c r="J468">
        <f t="shared" si="22"/>
        <v>4</v>
      </c>
      <c r="K468">
        <f>SUMIF(OrderDetailsCustomers!$M$2:$M$2158,'Order Header'!A468,OrderDetailsCustomers!$W$2:$W$2158)</f>
        <v>2205.75</v>
      </c>
      <c r="L468" s="11">
        <f t="shared" si="23"/>
        <v>4</v>
      </c>
    </row>
    <row r="469" spans="1:12" x14ac:dyDescent="0.4">
      <c r="A469">
        <v>10715</v>
      </c>
      <c r="B469" s="4">
        <v>35026</v>
      </c>
      <c r="C469" t="s">
        <v>77</v>
      </c>
      <c r="D469" s="1" t="s">
        <v>776</v>
      </c>
      <c r="E469">
        <v>103.68</v>
      </c>
      <c r="F469">
        <v>20</v>
      </c>
      <c r="G469">
        <f t="shared" ref="G469:G532" si="24">VLOOKUP(E469,$T$1:$U$7,2,TRUE)</f>
        <v>3</v>
      </c>
      <c r="H469">
        <f>SUMIF(OrderDetailsCustomers!$M$2:$M$2158,A469,OrderDetailsCustomers!$W$2:$W$2158)</f>
        <v>1296</v>
      </c>
      <c r="J469">
        <f t="shared" si="22"/>
        <v>3</v>
      </c>
      <c r="K469">
        <f>SUMIF(OrderDetailsCustomers!$M$2:$M$2158,'Order Header'!A469,OrderDetailsCustomers!$W$2:$W$2158)</f>
        <v>1296</v>
      </c>
      <c r="L469" s="11">
        <f t="shared" si="23"/>
        <v>3</v>
      </c>
    </row>
    <row r="470" spans="1:12" x14ac:dyDescent="0.4">
      <c r="A470">
        <v>10716</v>
      </c>
      <c r="B470" s="4">
        <v>35027</v>
      </c>
      <c r="C470" t="s">
        <v>481</v>
      </c>
      <c r="D470" s="1" t="s">
        <v>768</v>
      </c>
      <c r="E470">
        <v>56.480000000000004</v>
      </c>
      <c r="F470">
        <v>15</v>
      </c>
      <c r="G470">
        <f t="shared" si="24"/>
        <v>3</v>
      </c>
      <c r="H470">
        <f>SUMIF(OrderDetailsCustomers!$M$2:$M$2158,A470,OrderDetailsCustomers!$W$2:$W$2158)</f>
        <v>706</v>
      </c>
      <c r="J470">
        <f t="shared" si="22"/>
        <v>3</v>
      </c>
      <c r="K470">
        <f>SUMIF(OrderDetailsCustomers!$M$2:$M$2158,'Order Header'!A470,OrderDetailsCustomers!$W$2:$W$2158)</f>
        <v>706</v>
      </c>
      <c r="L470" s="11">
        <f t="shared" si="23"/>
        <v>3</v>
      </c>
    </row>
    <row r="471" spans="1:12" x14ac:dyDescent="0.4">
      <c r="A471">
        <v>10717</v>
      </c>
      <c r="B471" s="4">
        <v>35027</v>
      </c>
      <c r="C471" t="s">
        <v>198</v>
      </c>
      <c r="D471" s="1" t="s">
        <v>765</v>
      </c>
      <c r="E471">
        <v>101.66</v>
      </c>
      <c r="F471">
        <v>20</v>
      </c>
      <c r="G471">
        <f t="shared" si="24"/>
        <v>3</v>
      </c>
      <c r="H471">
        <f>SUMIF(OrderDetailsCustomers!$M$2:$M$2158,A471,OrderDetailsCustomers!$W$2:$W$2158)</f>
        <v>1270.75</v>
      </c>
      <c r="J471">
        <f t="shared" si="22"/>
        <v>3</v>
      </c>
      <c r="K471">
        <f>SUMIF(OrderDetailsCustomers!$M$2:$M$2158,'Order Header'!A471,OrderDetailsCustomers!$W$2:$W$2158)</f>
        <v>1270.75</v>
      </c>
      <c r="L471" s="11">
        <f t="shared" si="23"/>
        <v>3</v>
      </c>
    </row>
    <row r="472" spans="1:12" x14ac:dyDescent="0.4">
      <c r="A472">
        <v>10718</v>
      </c>
      <c r="B472" s="4">
        <v>35030</v>
      </c>
      <c r="C472" t="s">
        <v>305</v>
      </c>
      <c r="D472" s="1" t="s">
        <v>766</v>
      </c>
      <c r="E472">
        <v>277.04000000000002</v>
      </c>
      <c r="F472">
        <v>20</v>
      </c>
      <c r="G472">
        <f t="shared" si="24"/>
        <v>5</v>
      </c>
      <c r="H472">
        <f>SUMIF(OrderDetailsCustomers!$M$2:$M$2158,A472,OrderDetailsCustomers!$W$2:$W$2158)</f>
        <v>3463</v>
      </c>
      <c r="J472">
        <f t="shared" si="22"/>
        <v>5</v>
      </c>
      <c r="K472">
        <f>SUMIF(OrderDetailsCustomers!$M$2:$M$2158,'Order Header'!A472,OrderDetailsCustomers!$W$2:$W$2158)</f>
        <v>3463</v>
      </c>
      <c r="L472" s="11">
        <f t="shared" si="23"/>
        <v>5</v>
      </c>
    </row>
    <row r="473" spans="1:12" x14ac:dyDescent="0.4">
      <c r="A473">
        <v>10719</v>
      </c>
      <c r="B473" s="4">
        <v>35030</v>
      </c>
      <c r="C473" t="s">
        <v>348</v>
      </c>
      <c r="D473" s="1" t="s">
        <v>765</v>
      </c>
      <c r="E473">
        <v>67.540199999999999</v>
      </c>
      <c r="F473">
        <v>15</v>
      </c>
      <c r="G473">
        <f t="shared" si="24"/>
        <v>3</v>
      </c>
      <c r="H473">
        <f>SUMIF(OrderDetailsCustomers!$M$2:$M$2158,A473,OrderDetailsCustomers!$W$2:$W$2158)</f>
        <v>844.25250000000005</v>
      </c>
      <c r="J473">
        <f t="shared" si="22"/>
        <v>3</v>
      </c>
      <c r="K473">
        <f>SUMIF(OrderDetailsCustomers!$M$2:$M$2158,'Order Header'!A473,OrderDetailsCustomers!$W$2:$W$2158)</f>
        <v>844.25250000000005</v>
      </c>
      <c r="L473" s="11">
        <f t="shared" si="23"/>
        <v>3</v>
      </c>
    </row>
    <row r="474" spans="1:12" x14ac:dyDescent="0.4">
      <c r="A474">
        <v>10720</v>
      </c>
      <c r="B474" s="4">
        <v>35031</v>
      </c>
      <c r="C474" t="s">
        <v>462</v>
      </c>
      <c r="D474" s="1" t="s">
        <v>774</v>
      </c>
      <c r="E474">
        <v>44</v>
      </c>
      <c r="F474">
        <v>15</v>
      </c>
      <c r="G474">
        <f t="shared" si="24"/>
        <v>2</v>
      </c>
      <c r="H474">
        <f>SUMIF(OrderDetailsCustomers!$M$2:$M$2158,A474,OrderDetailsCustomers!$W$2:$W$2158)</f>
        <v>550</v>
      </c>
      <c r="J474">
        <f t="shared" si="22"/>
        <v>2</v>
      </c>
      <c r="K474">
        <f>SUMIF(OrderDetailsCustomers!$M$2:$M$2158,'Order Header'!A474,OrderDetailsCustomers!$W$2:$W$2158)</f>
        <v>550</v>
      </c>
      <c r="L474" s="11">
        <f t="shared" si="23"/>
        <v>2</v>
      </c>
    </row>
    <row r="475" spans="1:12" x14ac:dyDescent="0.4">
      <c r="A475">
        <v>10721</v>
      </c>
      <c r="B475" s="4">
        <v>35032</v>
      </c>
      <c r="C475" t="s">
        <v>475</v>
      </c>
      <c r="D475" s="1" t="s">
        <v>777</v>
      </c>
      <c r="E475">
        <v>73.91</v>
      </c>
      <c r="F475">
        <v>15</v>
      </c>
      <c r="G475">
        <f t="shared" si="24"/>
        <v>3</v>
      </c>
      <c r="H475">
        <f>SUMIF(OrderDetailsCustomers!$M$2:$M$2158,A475,OrderDetailsCustomers!$W$2:$W$2158)</f>
        <v>923.875</v>
      </c>
      <c r="J475">
        <f t="shared" si="22"/>
        <v>3</v>
      </c>
      <c r="K475">
        <f>SUMIF(OrderDetailsCustomers!$M$2:$M$2158,'Order Header'!A475,OrderDetailsCustomers!$W$2:$W$2158)</f>
        <v>923.875</v>
      </c>
      <c r="L475" s="11">
        <f t="shared" si="23"/>
        <v>3</v>
      </c>
    </row>
    <row r="476" spans="1:12" x14ac:dyDescent="0.4">
      <c r="A476">
        <v>10722</v>
      </c>
      <c r="B476" s="4">
        <v>35032</v>
      </c>
      <c r="C476" t="s">
        <v>529</v>
      </c>
      <c r="D476" s="1" t="s">
        <v>780</v>
      </c>
      <c r="E476">
        <v>125.60000000000001</v>
      </c>
      <c r="F476">
        <v>20</v>
      </c>
      <c r="G476">
        <f t="shared" si="24"/>
        <v>3</v>
      </c>
      <c r="H476">
        <f>SUMIF(OrderDetailsCustomers!$M$2:$M$2158,A476,OrderDetailsCustomers!$W$2:$W$2158)</f>
        <v>1570</v>
      </c>
      <c r="J476">
        <f t="shared" si="22"/>
        <v>3</v>
      </c>
      <c r="K476">
        <f>SUMIF(OrderDetailsCustomers!$M$2:$M$2158,'Order Header'!A476,OrderDetailsCustomers!$W$2:$W$2158)</f>
        <v>1570</v>
      </c>
      <c r="L476" s="11">
        <f t="shared" si="23"/>
        <v>3</v>
      </c>
    </row>
    <row r="477" spans="1:12" x14ac:dyDescent="0.4">
      <c r="A477">
        <v>10723</v>
      </c>
      <c r="B477" s="4">
        <v>35033</v>
      </c>
      <c r="C477" t="s">
        <v>654</v>
      </c>
      <c r="D477" s="1" t="s">
        <v>776</v>
      </c>
      <c r="E477">
        <v>37.475999999999999</v>
      </c>
      <c r="F477">
        <v>10</v>
      </c>
      <c r="G477">
        <f t="shared" si="24"/>
        <v>2</v>
      </c>
      <c r="H477">
        <f>SUMIF(OrderDetailsCustomers!$M$2:$M$2158,A477,OrderDetailsCustomers!$W$2:$W$2158)</f>
        <v>468.45</v>
      </c>
      <c r="J477">
        <f t="shared" si="22"/>
        <v>2</v>
      </c>
      <c r="K477">
        <f>SUMIF(OrderDetailsCustomers!$M$2:$M$2158,'Order Header'!A477,OrderDetailsCustomers!$W$2:$W$2158)</f>
        <v>468.45</v>
      </c>
      <c r="L477" s="11">
        <f t="shared" si="23"/>
        <v>2</v>
      </c>
    </row>
    <row r="478" spans="1:12" x14ac:dyDescent="0.4">
      <c r="A478">
        <v>10724</v>
      </c>
      <c r="B478" s="4">
        <v>35033</v>
      </c>
      <c r="C478" t="s">
        <v>394</v>
      </c>
      <c r="D478" s="1" t="s">
        <v>780</v>
      </c>
      <c r="E478">
        <v>51.08</v>
      </c>
      <c r="F478">
        <v>15</v>
      </c>
      <c r="G478">
        <f t="shared" si="24"/>
        <v>3</v>
      </c>
      <c r="H478">
        <f>SUMIF(OrderDetailsCustomers!$M$2:$M$2158,A478,OrderDetailsCustomers!$W$2:$W$2158)</f>
        <v>638.5</v>
      </c>
      <c r="J478">
        <f t="shared" si="22"/>
        <v>3</v>
      </c>
      <c r="K478">
        <f>SUMIF(OrderDetailsCustomers!$M$2:$M$2158,'Order Header'!A478,OrderDetailsCustomers!$W$2:$W$2158)</f>
        <v>638.5</v>
      </c>
      <c r="L478" s="11">
        <f t="shared" si="23"/>
        <v>3</v>
      </c>
    </row>
    <row r="479" spans="1:12" x14ac:dyDescent="0.4">
      <c r="A479">
        <v>10725</v>
      </c>
      <c r="B479" s="4">
        <v>35034</v>
      </c>
      <c r="C479" t="s">
        <v>170</v>
      </c>
      <c r="D479" s="1" t="s">
        <v>774</v>
      </c>
      <c r="E479">
        <v>23.024000000000001</v>
      </c>
      <c r="F479">
        <v>10</v>
      </c>
      <c r="G479">
        <f t="shared" si="24"/>
        <v>2</v>
      </c>
      <c r="H479">
        <f>SUMIF(OrderDetailsCustomers!$M$2:$M$2158,A479,OrderDetailsCustomers!$W$2:$W$2158)</f>
        <v>287.8</v>
      </c>
      <c r="J479">
        <f t="shared" si="22"/>
        <v>2</v>
      </c>
      <c r="K479">
        <f>SUMIF(OrderDetailsCustomers!$M$2:$M$2158,'Order Header'!A479,OrderDetailsCustomers!$W$2:$W$2158)</f>
        <v>287.8</v>
      </c>
      <c r="L479" s="11">
        <f t="shared" si="23"/>
        <v>2</v>
      </c>
    </row>
    <row r="480" spans="1:12" x14ac:dyDescent="0.4">
      <c r="A480">
        <v>10726</v>
      </c>
      <c r="B480" s="4">
        <v>35037</v>
      </c>
      <c r="C480" t="s">
        <v>154</v>
      </c>
      <c r="D480" s="1" t="s">
        <v>766</v>
      </c>
      <c r="E480">
        <v>52.4</v>
      </c>
      <c r="F480">
        <v>15</v>
      </c>
      <c r="G480">
        <f t="shared" si="24"/>
        <v>3</v>
      </c>
      <c r="H480">
        <f>SUMIF(OrderDetailsCustomers!$M$2:$M$2158,A480,OrderDetailsCustomers!$W$2:$W$2158)</f>
        <v>655</v>
      </c>
      <c r="J480">
        <f t="shared" si="22"/>
        <v>3</v>
      </c>
      <c r="K480">
        <f>SUMIF(OrderDetailsCustomers!$M$2:$M$2158,'Order Header'!A480,OrderDetailsCustomers!$W$2:$W$2158)</f>
        <v>655</v>
      </c>
      <c r="L480" s="11">
        <f t="shared" si="23"/>
        <v>3</v>
      </c>
    </row>
    <row r="481" spans="1:12" x14ac:dyDescent="0.4">
      <c r="A481">
        <v>10727</v>
      </c>
      <c r="B481" s="4">
        <v>35037</v>
      </c>
      <c r="C481" t="s">
        <v>496</v>
      </c>
      <c r="D481" s="1" t="s">
        <v>779</v>
      </c>
      <c r="E481">
        <v>129.96</v>
      </c>
      <c r="F481">
        <v>20</v>
      </c>
      <c r="G481">
        <f t="shared" si="24"/>
        <v>3</v>
      </c>
      <c r="H481">
        <f>SUMIF(OrderDetailsCustomers!$M$2:$M$2158,A481,OrderDetailsCustomers!$W$2:$W$2158)</f>
        <v>1624.5</v>
      </c>
      <c r="J481">
        <f t="shared" si="22"/>
        <v>3</v>
      </c>
      <c r="K481">
        <f>SUMIF(OrderDetailsCustomers!$M$2:$M$2158,'Order Header'!A481,OrderDetailsCustomers!$W$2:$W$2158)</f>
        <v>1624.5</v>
      </c>
      <c r="L481" s="11">
        <f t="shared" si="23"/>
        <v>3</v>
      </c>
    </row>
    <row r="482" spans="1:12" x14ac:dyDescent="0.4">
      <c r="A482">
        <v>10728</v>
      </c>
      <c r="B482" s="4">
        <v>35038</v>
      </c>
      <c r="C482" t="s">
        <v>469</v>
      </c>
      <c r="D482" s="1" t="s">
        <v>783</v>
      </c>
      <c r="E482">
        <v>103.74000000000001</v>
      </c>
      <c r="F482">
        <v>20</v>
      </c>
      <c r="G482">
        <f t="shared" si="24"/>
        <v>3</v>
      </c>
      <c r="H482">
        <f>SUMIF(OrderDetailsCustomers!$M$2:$M$2158,A482,OrderDetailsCustomers!$W$2:$W$2158)</f>
        <v>1296.75</v>
      </c>
      <c r="J482">
        <f t="shared" si="22"/>
        <v>3</v>
      </c>
      <c r="K482">
        <f>SUMIF(OrderDetailsCustomers!$M$2:$M$2158,'Order Header'!A482,OrderDetailsCustomers!$W$2:$W$2158)</f>
        <v>1296.75</v>
      </c>
      <c r="L482" s="11">
        <f t="shared" si="23"/>
        <v>3</v>
      </c>
    </row>
    <row r="483" spans="1:12" x14ac:dyDescent="0.4">
      <c r="A483">
        <v>10729</v>
      </c>
      <c r="B483" s="4">
        <v>35038</v>
      </c>
      <c r="C483" t="s">
        <v>363</v>
      </c>
      <c r="D483" s="1" t="s">
        <v>775</v>
      </c>
      <c r="E483">
        <v>148</v>
      </c>
      <c r="F483">
        <v>20</v>
      </c>
      <c r="G483">
        <f t="shared" si="24"/>
        <v>3</v>
      </c>
      <c r="H483">
        <f>SUMIF(OrderDetailsCustomers!$M$2:$M$2158,A483,OrderDetailsCustomers!$W$2:$W$2158)</f>
        <v>1850</v>
      </c>
      <c r="J483">
        <f t="shared" si="22"/>
        <v>3</v>
      </c>
      <c r="K483">
        <f>SUMIF(OrderDetailsCustomers!$M$2:$M$2158,'Order Header'!A483,OrderDetailsCustomers!$W$2:$W$2158)</f>
        <v>1850</v>
      </c>
      <c r="L483" s="11">
        <f t="shared" si="23"/>
        <v>3</v>
      </c>
    </row>
    <row r="484" spans="1:12" x14ac:dyDescent="0.4">
      <c r="A484">
        <v>10730</v>
      </c>
      <c r="B484" s="4">
        <v>35039</v>
      </c>
      <c r="C484" t="s">
        <v>77</v>
      </c>
      <c r="D484" s="1" t="s">
        <v>776</v>
      </c>
      <c r="E484">
        <v>38.741000000000007</v>
      </c>
      <c r="F484">
        <v>10</v>
      </c>
      <c r="G484">
        <f t="shared" si="24"/>
        <v>2</v>
      </c>
      <c r="H484">
        <f>SUMIF(OrderDetailsCustomers!$M$2:$M$2158,A484,OrderDetailsCustomers!$W$2:$W$2158)</f>
        <v>484.26250000000005</v>
      </c>
      <c r="J484">
        <f t="shared" si="22"/>
        <v>2</v>
      </c>
      <c r="K484">
        <f>SUMIF(OrderDetailsCustomers!$M$2:$M$2158,'Order Header'!A484,OrderDetailsCustomers!$W$2:$W$2158)</f>
        <v>484.26250000000005</v>
      </c>
      <c r="L484" s="11">
        <f t="shared" si="23"/>
        <v>2</v>
      </c>
    </row>
    <row r="485" spans="1:12" x14ac:dyDescent="0.4">
      <c r="A485">
        <v>10731</v>
      </c>
      <c r="B485" s="4">
        <v>35040</v>
      </c>
      <c r="C485" t="s">
        <v>116</v>
      </c>
      <c r="D485" s="1" t="s">
        <v>767</v>
      </c>
      <c r="E485">
        <v>151.24</v>
      </c>
      <c r="F485">
        <v>20</v>
      </c>
      <c r="G485">
        <f t="shared" si="24"/>
        <v>4</v>
      </c>
      <c r="H485">
        <f>SUMIF(OrderDetailsCustomers!$M$2:$M$2158,A485,OrderDetailsCustomers!$W$2:$W$2158)</f>
        <v>1890.5</v>
      </c>
      <c r="J485">
        <f t="shared" si="22"/>
        <v>4</v>
      </c>
      <c r="K485">
        <f>SUMIF(OrderDetailsCustomers!$M$2:$M$2158,'Order Header'!A485,OrderDetailsCustomers!$W$2:$W$2158)</f>
        <v>1890.5</v>
      </c>
      <c r="L485" s="11">
        <f t="shared" si="23"/>
        <v>4</v>
      </c>
    </row>
    <row r="486" spans="1:12" x14ac:dyDescent="0.4">
      <c r="A486">
        <v>10732</v>
      </c>
      <c r="B486" s="4">
        <v>35040</v>
      </c>
      <c r="C486" t="s">
        <v>77</v>
      </c>
      <c r="D486" s="1" t="s">
        <v>776</v>
      </c>
      <c r="E486">
        <v>28.8</v>
      </c>
      <c r="F486">
        <v>10</v>
      </c>
      <c r="G486">
        <f t="shared" si="24"/>
        <v>2</v>
      </c>
      <c r="H486">
        <f>SUMIF(OrderDetailsCustomers!$M$2:$M$2158,A486,OrderDetailsCustomers!$W$2:$W$2158)</f>
        <v>360</v>
      </c>
      <c r="J486">
        <f t="shared" si="22"/>
        <v>2</v>
      </c>
      <c r="K486">
        <f>SUMIF(OrderDetailsCustomers!$M$2:$M$2158,'Order Header'!A486,OrderDetailsCustomers!$W$2:$W$2158)</f>
        <v>360</v>
      </c>
      <c r="L486" s="11">
        <f t="shared" si="23"/>
        <v>2</v>
      </c>
    </row>
    <row r="487" spans="1:12" x14ac:dyDescent="0.4">
      <c r="A487">
        <v>10733</v>
      </c>
      <c r="B487" s="4">
        <v>35041</v>
      </c>
      <c r="C487" t="s">
        <v>43</v>
      </c>
      <c r="D487" s="1" t="s">
        <v>765</v>
      </c>
      <c r="E487">
        <v>116.72</v>
      </c>
      <c r="F487">
        <v>20</v>
      </c>
      <c r="G487">
        <f t="shared" si="24"/>
        <v>3</v>
      </c>
      <c r="H487">
        <f>SUMIF(OrderDetailsCustomers!$M$2:$M$2158,A487,OrderDetailsCustomers!$W$2:$W$2158)</f>
        <v>1459</v>
      </c>
      <c r="J487">
        <f t="shared" si="22"/>
        <v>3</v>
      </c>
      <c r="K487">
        <f>SUMIF(OrderDetailsCustomers!$M$2:$M$2158,'Order Header'!A487,OrderDetailsCustomers!$W$2:$W$2158)</f>
        <v>1459</v>
      </c>
      <c r="L487" s="11">
        <f t="shared" si="23"/>
        <v>3</v>
      </c>
    </row>
    <row r="488" spans="1:12" x14ac:dyDescent="0.4">
      <c r="A488">
        <v>10734</v>
      </c>
      <c r="B488" s="4">
        <v>35041</v>
      </c>
      <c r="C488" t="s">
        <v>240</v>
      </c>
      <c r="D488" s="1" t="s">
        <v>780</v>
      </c>
      <c r="E488">
        <v>119.86799999999999</v>
      </c>
      <c r="F488">
        <v>20</v>
      </c>
      <c r="G488">
        <f t="shared" si="24"/>
        <v>3</v>
      </c>
      <c r="H488">
        <f>SUMIF(OrderDetailsCustomers!$M$2:$M$2158,A488,OrderDetailsCustomers!$W$2:$W$2158)</f>
        <v>1498.35</v>
      </c>
      <c r="J488">
        <f t="shared" si="22"/>
        <v>3</v>
      </c>
      <c r="K488">
        <f>SUMIF(OrderDetailsCustomers!$M$2:$M$2158,'Order Header'!A488,OrderDetailsCustomers!$W$2:$W$2158)</f>
        <v>1498.35</v>
      </c>
      <c r="L488" s="11">
        <f t="shared" si="23"/>
        <v>3</v>
      </c>
    </row>
    <row r="489" spans="1:12" x14ac:dyDescent="0.4">
      <c r="A489">
        <v>10735</v>
      </c>
      <c r="B489" s="4">
        <v>35044</v>
      </c>
      <c r="C489" t="s">
        <v>348</v>
      </c>
      <c r="D489" s="1" t="s">
        <v>765</v>
      </c>
      <c r="E489">
        <v>42.911999999999999</v>
      </c>
      <c r="F489">
        <v>15</v>
      </c>
      <c r="G489">
        <f t="shared" si="24"/>
        <v>2</v>
      </c>
      <c r="H489">
        <f>SUMIF(OrderDetailsCustomers!$M$2:$M$2158,A489,OrderDetailsCustomers!$W$2:$W$2158)</f>
        <v>536.4</v>
      </c>
      <c r="J489">
        <f t="shared" si="22"/>
        <v>2</v>
      </c>
      <c r="K489">
        <f>SUMIF(OrderDetailsCustomers!$M$2:$M$2158,'Order Header'!A489,OrderDetailsCustomers!$W$2:$W$2158)</f>
        <v>536.4</v>
      </c>
      <c r="L489" s="11">
        <f t="shared" si="23"/>
        <v>2</v>
      </c>
    </row>
    <row r="490" spans="1:12" x14ac:dyDescent="0.4">
      <c r="A490">
        <v>10736</v>
      </c>
      <c r="B490" s="4">
        <v>35045</v>
      </c>
      <c r="C490" t="s">
        <v>288</v>
      </c>
      <c r="D490" s="1" t="s">
        <v>781</v>
      </c>
      <c r="E490">
        <v>79.760000000000005</v>
      </c>
      <c r="F490">
        <v>15</v>
      </c>
      <c r="G490">
        <f t="shared" si="24"/>
        <v>3</v>
      </c>
      <c r="H490">
        <f>SUMIF(OrderDetailsCustomers!$M$2:$M$2158,A490,OrderDetailsCustomers!$W$2:$W$2158)</f>
        <v>997</v>
      </c>
      <c r="J490">
        <f t="shared" si="22"/>
        <v>3</v>
      </c>
      <c r="K490">
        <f>SUMIF(OrderDetailsCustomers!$M$2:$M$2158,'Order Header'!A490,OrderDetailsCustomers!$W$2:$W$2158)</f>
        <v>997</v>
      </c>
      <c r="L490" s="11">
        <f t="shared" si="23"/>
        <v>3</v>
      </c>
    </row>
    <row r="491" spans="1:12" x14ac:dyDescent="0.4">
      <c r="A491">
        <v>10737</v>
      </c>
      <c r="B491" s="4">
        <v>35045</v>
      </c>
      <c r="C491" t="s">
        <v>626</v>
      </c>
      <c r="D491" s="1" t="s">
        <v>765</v>
      </c>
      <c r="E491">
        <v>11.184000000000001</v>
      </c>
      <c r="F491">
        <v>10</v>
      </c>
      <c r="G491">
        <f t="shared" si="24"/>
        <v>2</v>
      </c>
      <c r="H491">
        <f>SUMIF(OrderDetailsCustomers!$M$2:$M$2158,A491,OrderDetailsCustomers!$W$2:$W$2158)</f>
        <v>139.80000000000001</v>
      </c>
      <c r="J491">
        <f t="shared" si="22"/>
        <v>2</v>
      </c>
      <c r="K491">
        <f>SUMIF(OrderDetailsCustomers!$M$2:$M$2158,'Order Header'!A491,OrderDetailsCustomers!$W$2:$W$2158)</f>
        <v>139.80000000000001</v>
      </c>
      <c r="L491" s="11">
        <f t="shared" si="23"/>
        <v>2</v>
      </c>
    </row>
    <row r="492" spans="1:12" x14ac:dyDescent="0.4">
      <c r="A492">
        <v>10738</v>
      </c>
      <c r="B492" s="4">
        <v>35046</v>
      </c>
      <c r="C492" t="s">
        <v>551</v>
      </c>
      <c r="D492" s="1" t="s">
        <v>767</v>
      </c>
      <c r="E492">
        <v>4.1879999999999997</v>
      </c>
      <c r="F492">
        <v>10</v>
      </c>
      <c r="G492">
        <f t="shared" si="24"/>
        <v>1</v>
      </c>
      <c r="H492">
        <f>SUMIF(OrderDetailsCustomers!$M$2:$M$2158,A492,OrderDetailsCustomers!$W$2:$W$2158)</f>
        <v>52.349999999999994</v>
      </c>
      <c r="J492">
        <f t="shared" si="22"/>
        <v>1</v>
      </c>
      <c r="K492">
        <f>SUMIF(OrderDetailsCustomers!$M$2:$M$2158,'Order Header'!A492,OrderDetailsCustomers!$W$2:$W$2158)</f>
        <v>52.349999999999994</v>
      </c>
      <c r="L492" s="11">
        <f t="shared" si="23"/>
        <v>1</v>
      </c>
    </row>
    <row r="493" spans="1:12" x14ac:dyDescent="0.4">
      <c r="A493">
        <v>10739</v>
      </c>
      <c r="B493" s="4">
        <v>35046</v>
      </c>
      <c r="C493" t="s">
        <v>626</v>
      </c>
      <c r="D493" s="1" t="s">
        <v>765</v>
      </c>
      <c r="E493">
        <v>19.2</v>
      </c>
      <c r="F493">
        <v>10</v>
      </c>
      <c r="G493">
        <f t="shared" si="24"/>
        <v>2</v>
      </c>
      <c r="H493">
        <f>SUMIF(OrderDetailsCustomers!$M$2:$M$2158,A493,OrderDetailsCustomers!$W$2:$W$2158)</f>
        <v>240</v>
      </c>
      <c r="J493">
        <f t="shared" si="22"/>
        <v>2</v>
      </c>
      <c r="K493">
        <f>SUMIF(OrderDetailsCustomers!$M$2:$M$2158,'Order Header'!A493,OrderDetailsCustomers!$W$2:$W$2158)</f>
        <v>240</v>
      </c>
      <c r="L493" s="11">
        <f t="shared" si="23"/>
        <v>2</v>
      </c>
    </row>
    <row r="494" spans="1:12" x14ac:dyDescent="0.4">
      <c r="A494">
        <v>10740</v>
      </c>
      <c r="B494" s="4">
        <v>35047</v>
      </c>
      <c r="C494" t="s">
        <v>654</v>
      </c>
      <c r="D494" s="1" t="s">
        <v>776</v>
      </c>
      <c r="E494">
        <v>113.28</v>
      </c>
      <c r="F494">
        <v>20</v>
      </c>
      <c r="G494">
        <f t="shared" si="24"/>
        <v>3</v>
      </c>
      <c r="H494">
        <f>SUMIF(OrderDetailsCustomers!$M$2:$M$2158,A494,OrderDetailsCustomers!$W$2:$W$2158)</f>
        <v>1416</v>
      </c>
      <c r="J494">
        <f t="shared" si="22"/>
        <v>3</v>
      </c>
      <c r="K494">
        <f>SUMIF(OrderDetailsCustomers!$M$2:$M$2158,'Order Header'!A494,OrderDetailsCustomers!$W$2:$W$2158)</f>
        <v>1416</v>
      </c>
      <c r="L494" s="11">
        <f t="shared" si="23"/>
        <v>3</v>
      </c>
    </row>
    <row r="495" spans="1:12" x14ac:dyDescent="0.4">
      <c r="A495">
        <v>10741</v>
      </c>
      <c r="B495" s="4">
        <v>35048</v>
      </c>
      <c r="C495" t="s">
        <v>34</v>
      </c>
      <c r="D495" s="1" t="s">
        <v>768</v>
      </c>
      <c r="E495">
        <v>18.240000000000002</v>
      </c>
      <c r="F495">
        <v>10</v>
      </c>
      <c r="G495">
        <f t="shared" si="24"/>
        <v>2</v>
      </c>
      <c r="H495">
        <f>SUMIF(OrderDetailsCustomers!$M$2:$M$2158,A495,OrderDetailsCustomers!$W$2:$W$2158)</f>
        <v>228</v>
      </c>
      <c r="J495">
        <f t="shared" si="22"/>
        <v>2</v>
      </c>
      <c r="K495">
        <f>SUMIF(OrderDetailsCustomers!$M$2:$M$2158,'Order Header'!A495,OrderDetailsCustomers!$W$2:$W$2158)</f>
        <v>228</v>
      </c>
      <c r="L495" s="11">
        <f t="shared" si="23"/>
        <v>2</v>
      </c>
    </row>
    <row r="496" spans="1:12" x14ac:dyDescent="0.4">
      <c r="A496">
        <v>10742</v>
      </c>
      <c r="B496" s="4">
        <v>35048</v>
      </c>
      <c r="C496" t="s">
        <v>84</v>
      </c>
      <c r="D496" s="1" t="s">
        <v>782</v>
      </c>
      <c r="E496">
        <v>249.44</v>
      </c>
      <c r="F496">
        <v>20</v>
      </c>
      <c r="G496">
        <f t="shared" si="24"/>
        <v>4</v>
      </c>
      <c r="H496">
        <f>SUMIF(OrderDetailsCustomers!$M$2:$M$2158,A496,OrderDetailsCustomers!$W$2:$W$2158)</f>
        <v>3118</v>
      </c>
      <c r="J496">
        <f t="shared" si="22"/>
        <v>4</v>
      </c>
      <c r="K496">
        <f>SUMIF(OrderDetailsCustomers!$M$2:$M$2158,'Order Header'!A496,OrderDetailsCustomers!$W$2:$W$2158)</f>
        <v>3118</v>
      </c>
      <c r="L496" s="11">
        <f t="shared" si="23"/>
        <v>4</v>
      </c>
    </row>
    <row r="497" spans="1:12" x14ac:dyDescent="0.4">
      <c r="A497">
        <v>10743</v>
      </c>
      <c r="B497" s="4">
        <v>35051</v>
      </c>
      <c r="C497" t="s">
        <v>34</v>
      </c>
      <c r="D497" s="1" t="s">
        <v>768</v>
      </c>
      <c r="E497">
        <v>25.536000000000001</v>
      </c>
      <c r="F497">
        <v>10</v>
      </c>
      <c r="G497">
        <f t="shared" si="24"/>
        <v>2</v>
      </c>
      <c r="H497">
        <f>SUMIF(OrderDetailsCustomers!$M$2:$M$2158,A497,OrderDetailsCustomers!$W$2:$W$2158)</f>
        <v>319.2</v>
      </c>
      <c r="J497">
        <f t="shared" si="22"/>
        <v>2</v>
      </c>
      <c r="K497">
        <f>SUMIF(OrderDetailsCustomers!$M$2:$M$2158,'Order Header'!A497,OrderDetailsCustomers!$W$2:$W$2158)</f>
        <v>319.2</v>
      </c>
      <c r="L497" s="11">
        <f t="shared" si="23"/>
        <v>2</v>
      </c>
    </row>
    <row r="498" spans="1:12" x14ac:dyDescent="0.4">
      <c r="A498">
        <v>10744</v>
      </c>
      <c r="B498" s="4">
        <v>35051</v>
      </c>
      <c r="C498" t="s">
        <v>612</v>
      </c>
      <c r="D498" s="1" t="s">
        <v>777</v>
      </c>
      <c r="E498">
        <v>58.88</v>
      </c>
      <c r="F498">
        <v>15</v>
      </c>
      <c r="G498">
        <f t="shared" si="24"/>
        <v>3</v>
      </c>
      <c r="H498">
        <f>SUMIF(OrderDetailsCustomers!$M$2:$M$2158,A498,OrderDetailsCustomers!$W$2:$W$2158)</f>
        <v>736</v>
      </c>
      <c r="J498">
        <f t="shared" si="22"/>
        <v>3</v>
      </c>
      <c r="K498">
        <f>SUMIF(OrderDetailsCustomers!$M$2:$M$2158,'Order Header'!A498,OrderDetailsCustomers!$W$2:$W$2158)</f>
        <v>736</v>
      </c>
      <c r="L498" s="11">
        <f t="shared" si="23"/>
        <v>3</v>
      </c>
    </row>
    <row r="499" spans="1:12" x14ac:dyDescent="0.4">
      <c r="A499">
        <v>10745</v>
      </c>
      <c r="B499" s="4">
        <v>35052</v>
      </c>
      <c r="C499" t="s">
        <v>475</v>
      </c>
      <c r="D499" s="1" t="s">
        <v>777</v>
      </c>
      <c r="E499">
        <v>362.38400000000001</v>
      </c>
      <c r="F499">
        <v>20</v>
      </c>
      <c r="G499">
        <f t="shared" si="24"/>
        <v>5</v>
      </c>
      <c r="H499">
        <f>SUMIF(OrderDetailsCustomers!$M$2:$M$2158,A499,OrderDetailsCustomers!$W$2:$W$2158)</f>
        <v>4529.8</v>
      </c>
      <c r="J499">
        <f t="shared" si="22"/>
        <v>5</v>
      </c>
      <c r="K499">
        <f>SUMIF(OrderDetailsCustomers!$M$2:$M$2158,'Order Header'!A499,OrderDetailsCustomers!$W$2:$W$2158)</f>
        <v>4529.8</v>
      </c>
      <c r="L499" s="11">
        <f t="shared" si="23"/>
        <v>5</v>
      </c>
    </row>
    <row r="500" spans="1:12" x14ac:dyDescent="0.4">
      <c r="A500">
        <v>10746</v>
      </c>
      <c r="B500" s="4">
        <v>35053</v>
      </c>
      <c r="C500" t="s">
        <v>116</v>
      </c>
      <c r="D500" s="1" t="s">
        <v>767</v>
      </c>
      <c r="E500">
        <v>184.93599999999998</v>
      </c>
      <c r="F500">
        <v>20</v>
      </c>
      <c r="G500">
        <f t="shared" si="24"/>
        <v>4</v>
      </c>
      <c r="H500">
        <f>SUMIF(OrderDetailsCustomers!$M$2:$M$2158,A500,OrderDetailsCustomers!$W$2:$W$2158)</f>
        <v>2311.6999999999998</v>
      </c>
      <c r="J500">
        <f t="shared" si="22"/>
        <v>4</v>
      </c>
      <c r="K500">
        <f>SUMIF(OrderDetailsCustomers!$M$2:$M$2158,'Order Header'!A500,OrderDetailsCustomers!$W$2:$W$2158)</f>
        <v>2311.6999999999998</v>
      </c>
      <c r="L500" s="11">
        <f t="shared" si="23"/>
        <v>4</v>
      </c>
    </row>
    <row r="501" spans="1:12" x14ac:dyDescent="0.4">
      <c r="A501">
        <v>10747</v>
      </c>
      <c r="B501" s="4">
        <v>35053</v>
      </c>
      <c r="C501" t="s">
        <v>450</v>
      </c>
      <c r="D501" s="1" t="s">
        <v>766</v>
      </c>
      <c r="E501">
        <v>153.02799999999999</v>
      </c>
      <c r="F501">
        <v>20</v>
      </c>
      <c r="G501">
        <f t="shared" si="24"/>
        <v>4</v>
      </c>
      <c r="H501">
        <f>SUMIF(OrderDetailsCustomers!$M$2:$M$2158,A501,OrderDetailsCustomers!$W$2:$W$2158)</f>
        <v>1912.85</v>
      </c>
      <c r="J501">
        <f t="shared" si="22"/>
        <v>4</v>
      </c>
      <c r="K501">
        <f>SUMIF(OrderDetailsCustomers!$M$2:$M$2158,'Order Header'!A501,OrderDetailsCustomers!$W$2:$W$2158)</f>
        <v>1912.85</v>
      </c>
      <c r="L501" s="11">
        <f t="shared" si="23"/>
        <v>4</v>
      </c>
    </row>
    <row r="502" spans="1:12" x14ac:dyDescent="0.4">
      <c r="A502">
        <v>10748</v>
      </c>
      <c r="B502" s="4">
        <v>35054</v>
      </c>
      <c r="C502" t="s">
        <v>529</v>
      </c>
      <c r="D502" s="1" t="s">
        <v>780</v>
      </c>
      <c r="E502">
        <v>175.68</v>
      </c>
      <c r="F502">
        <v>20</v>
      </c>
      <c r="G502">
        <f t="shared" si="24"/>
        <v>4</v>
      </c>
      <c r="H502">
        <f>SUMIF(OrderDetailsCustomers!$M$2:$M$2158,A502,OrderDetailsCustomers!$W$2:$W$2158)</f>
        <v>2196</v>
      </c>
      <c r="J502">
        <f t="shared" si="22"/>
        <v>4</v>
      </c>
      <c r="K502">
        <f>SUMIF(OrderDetailsCustomers!$M$2:$M$2158,'Order Header'!A502,OrderDetailsCustomers!$W$2:$W$2158)</f>
        <v>2196</v>
      </c>
      <c r="L502" s="11">
        <f t="shared" si="23"/>
        <v>4</v>
      </c>
    </row>
    <row r="503" spans="1:12" x14ac:dyDescent="0.4">
      <c r="A503">
        <v>10749</v>
      </c>
      <c r="B503" s="4">
        <v>35054</v>
      </c>
      <c r="C503" t="s">
        <v>297</v>
      </c>
      <c r="D503" s="1" t="s">
        <v>784</v>
      </c>
      <c r="E503">
        <v>86.4</v>
      </c>
      <c r="F503">
        <v>20</v>
      </c>
      <c r="G503">
        <f t="shared" si="24"/>
        <v>3</v>
      </c>
      <c r="H503">
        <f>SUMIF(OrderDetailsCustomers!$M$2:$M$2158,A503,OrderDetailsCustomers!$W$2:$W$2158)</f>
        <v>1080</v>
      </c>
      <c r="J503">
        <f t="shared" si="22"/>
        <v>3</v>
      </c>
      <c r="K503">
        <f>SUMIF(OrderDetailsCustomers!$M$2:$M$2158,'Order Header'!A503,OrderDetailsCustomers!$W$2:$W$2158)</f>
        <v>1080</v>
      </c>
      <c r="L503" s="11">
        <f t="shared" si="23"/>
        <v>3</v>
      </c>
    </row>
    <row r="504" spans="1:12" x14ac:dyDescent="0.4">
      <c r="A504">
        <v>10750</v>
      </c>
      <c r="B504" s="4">
        <v>35055</v>
      </c>
      <c r="C504" t="s">
        <v>640</v>
      </c>
      <c r="D504" s="1" t="s">
        <v>775</v>
      </c>
      <c r="E504">
        <v>127.245</v>
      </c>
      <c r="F504">
        <v>20</v>
      </c>
      <c r="G504">
        <f t="shared" si="24"/>
        <v>3</v>
      </c>
      <c r="H504">
        <f>SUMIF(OrderDetailsCustomers!$M$2:$M$2158,A504,OrderDetailsCustomers!$W$2:$W$2158)</f>
        <v>1590.5625</v>
      </c>
      <c r="J504">
        <f t="shared" si="22"/>
        <v>3</v>
      </c>
      <c r="K504">
        <f>SUMIF(OrderDetailsCustomers!$M$2:$M$2158,'Order Header'!A504,OrderDetailsCustomers!$W$2:$W$2158)</f>
        <v>1590.5625</v>
      </c>
      <c r="L504" s="11">
        <f t="shared" si="23"/>
        <v>3</v>
      </c>
    </row>
    <row r="505" spans="1:12" x14ac:dyDescent="0.4">
      <c r="A505">
        <v>10751</v>
      </c>
      <c r="B505" s="4">
        <v>35058</v>
      </c>
      <c r="C505" t="s">
        <v>509</v>
      </c>
      <c r="D505" s="1" t="s">
        <v>770</v>
      </c>
      <c r="E505">
        <v>130.51872</v>
      </c>
      <c r="F505">
        <v>20</v>
      </c>
      <c r="G505">
        <f t="shared" si="24"/>
        <v>3</v>
      </c>
      <c r="H505">
        <f>SUMIF(OrderDetailsCustomers!$M$2:$M$2158,A505,OrderDetailsCustomers!$W$2:$W$2158)</f>
        <v>1631.4839999999999</v>
      </c>
      <c r="J505">
        <f t="shared" si="22"/>
        <v>3</v>
      </c>
      <c r="K505">
        <f>SUMIF(OrderDetailsCustomers!$M$2:$M$2158,'Order Header'!A505,OrderDetailsCustomers!$W$2:$W$2158)</f>
        <v>1631.4839999999999</v>
      </c>
      <c r="L505" s="11">
        <f t="shared" si="23"/>
        <v>3</v>
      </c>
    </row>
    <row r="506" spans="1:12" x14ac:dyDescent="0.4">
      <c r="A506">
        <v>10752</v>
      </c>
      <c r="B506" s="4">
        <v>35058</v>
      </c>
      <c r="C506" t="s">
        <v>409</v>
      </c>
      <c r="D506" s="1" t="s">
        <v>773</v>
      </c>
      <c r="E506">
        <v>20.16</v>
      </c>
      <c r="F506">
        <v>10</v>
      </c>
      <c r="G506">
        <f t="shared" si="24"/>
        <v>2</v>
      </c>
      <c r="H506">
        <f>SUMIF(OrderDetailsCustomers!$M$2:$M$2158,A506,OrderDetailsCustomers!$W$2:$W$2158)</f>
        <v>252</v>
      </c>
      <c r="J506">
        <f t="shared" si="22"/>
        <v>2</v>
      </c>
      <c r="K506">
        <f>SUMIF(OrderDetailsCustomers!$M$2:$M$2158,'Order Header'!A506,OrderDetailsCustomers!$W$2:$W$2158)</f>
        <v>252</v>
      </c>
      <c r="L506" s="11">
        <f t="shared" si="23"/>
        <v>2</v>
      </c>
    </row>
    <row r="507" spans="1:12" x14ac:dyDescent="0.4">
      <c r="A507">
        <v>10753</v>
      </c>
      <c r="B507" s="4">
        <v>35059</v>
      </c>
      <c r="C507" t="s">
        <v>211</v>
      </c>
      <c r="D507" s="1" t="s">
        <v>775</v>
      </c>
      <c r="E507">
        <v>7.04</v>
      </c>
      <c r="F507">
        <v>10</v>
      </c>
      <c r="G507">
        <f t="shared" si="24"/>
        <v>1</v>
      </c>
      <c r="H507">
        <f>SUMIF(OrderDetailsCustomers!$M$2:$M$2158,A507,OrderDetailsCustomers!$W$2:$W$2158)</f>
        <v>88</v>
      </c>
      <c r="J507">
        <f t="shared" si="22"/>
        <v>1</v>
      </c>
      <c r="K507">
        <f>SUMIF(OrderDetailsCustomers!$M$2:$M$2158,'Order Header'!A507,OrderDetailsCustomers!$W$2:$W$2158)</f>
        <v>88</v>
      </c>
      <c r="L507" s="11">
        <f t="shared" si="23"/>
        <v>1</v>
      </c>
    </row>
    <row r="508" spans="1:12" x14ac:dyDescent="0.4">
      <c r="A508">
        <v>10754</v>
      </c>
      <c r="B508" s="4">
        <v>35059</v>
      </c>
      <c r="C508" t="s">
        <v>378</v>
      </c>
      <c r="D508" s="1" t="s">
        <v>776</v>
      </c>
      <c r="E508">
        <v>4.4159999999999995</v>
      </c>
      <c r="F508">
        <v>10</v>
      </c>
      <c r="G508">
        <f t="shared" si="24"/>
        <v>1</v>
      </c>
      <c r="H508">
        <f>SUMIF(OrderDetailsCustomers!$M$2:$M$2158,A508,OrderDetailsCustomers!$W$2:$W$2158)</f>
        <v>55.199999999999996</v>
      </c>
      <c r="J508">
        <f t="shared" si="22"/>
        <v>1</v>
      </c>
      <c r="K508">
        <f>SUMIF(OrderDetailsCustomers!$M$2:$M$2158,'Order Header'!A508,OrderDetailsCustomers!$W$2:$W$2158)</f>
        <v>55.199999999999996</v>
      </c>
      <c r="L508" s="11">
        <f t="shared" si="23"/>
        <v>1</v>
      </c>
    </row>
    <row r="509" spans="1:12" x14ac:dyDescent="0.4">
      <c r="A509">
        <v>10755</v>
      </c>
      <c r="B509" s="4">
        <v>35060</v>
      </c>
      <c r="C509" t="s">
        <v>77</v>
      </c>
      <c r="D509" s="1" t="s">
        <v>776</v>
      </c>
      <c r="E509">
        <v>155.88</v>
      </c>
      <c r="F509">
        <v>20</v>
      </c>
      <c r="G509">
        <f t="shared" si="24"/>
        <v>4</v>
      </c>
      <c r="H509">
        <f>SUMIF(OrderDetailsCustomers!$M$2:$M$2158,A509,OrderDetailsCustomers!$W$2:$W$2158)</f>
        <v>1948.5</v>
      </c>
      <c r="J509">
        <f t="shared" si="22"/>
        <v>4</v>
      </c>
      <c r="K509">
        <f>SUMIF(OrderDetailsCustomers!$M$2:$M$2158,'Order Header'!A509,OrderDetailsCustomers!$W$2:$W$2158)</f>
        <v>1948.5</v>
      </c>
      <c r="L509" s="11">
        <f t="shared" si="23"/>
        <v>4</v>
      </c>
    </row>
    <row r="510" spans="1:12" x14ac:dyDescent="0.4">
      <c r="A510">
        <v>10756</v>
      </c>
      <c r="B510" s="4">
        <v>35061</v>
      </c>
      <c r="C510" t="s">
        <v>557</v>
      </c>
      <c r="D510" s="1" t="s">
        <v>771</v>
      </c>
      <c r="E510">
        <v>159.20000000000002</v>
      </c>
      <c r="F510">
        <v>20</v>
      </c>
      <c r="G510">
        <f t="shared" si="24"/>
        <v>4</v>
      </c>
      <c r="H510">
        <f>SUMIF(OrderDetailsCustomers!$M$2:$M$2158,A510,OrderDetailsCustomers!$W$2:$W$2158)</f>
        <v>1990</v>
      </c>
      <c r="J510">
        <f t="shared" si="22"/>
        <v>4</v>
      </c>
      <c r="K510">
        <f>SUMIF(OrderDetailsCustomers!$M$2:$M$2158,'Order Header'!A510,OrderDetailsCustomers!$W$2:$W$2158)</f>
        <v>1990</v>
      </c>
      <c r="L510" s="11">
        <f t="shared" si="23"/>
        <v>4</v>
      </c>
    </row>
    <row r="511" spans="1:12" x14ac:dyDescent="0.4">
      <c r="A511">
        <v>10757</v>
      </c>
      <c r="B511" s="4">
        <v>35061</v>
      </c>
      <c r="C511" t="s">
        <v>529</v>
      </c>
      <c r="D511" s="1" t="s">
        <v>780</v>
      </c>
      <c r="E511">
        <v>246.56</v>
      </c>
      <c r="F511">
        <v>20</v>
      </c>
      <c r="G511">
        <f t="shared" si="24"/>
        <v>4</v>
      </c>
      <c r="H511">
        <f>SUMIF(OrderDetailsCustomers!$M$2:$M$2158,A511,OrderDetailsCustomers!$W$2:$W$2158)</f>
        <v>3082</v>
      </c>
      <c r="J511">
        <f t="shared" si="22"/>
        <v>4</v>
      </c>
      <c r="K511">
        <f>SUMIF(OrderDetailsCustomers!$M$2:$M$2158,'Order Header'!A511,OrderDetailsCustomers!$W$2:$W$2158)</f>
        <v>3082</v>
      </c>
      <c r="L511" s="11">
        <f t="shared" si="23"/>
        <v>4</v>
      </c>
    </row>
    <row r="512" spans="1:12" x14ac:dyDescent="0.4">
      <c r="A512">
        <v>10758</v>
      </c>
      <c r="B512" s="4">
        <v>35062</v>
      </c>
      <c r="C512" t="s">
        <v>509</v>
      </c>
      <c r="D512" s="1" t="s">
        <v>770</v>
      </c>
      <c r="E512">
        <v>131.56799999999998</v>
      </c>
      <c r="F512">
        <v>20</v>
      </c>
      <c r="G512">
        <f t="shared" si="24"/>
        <v>3</v>
      </c>
      <c r="H512">
        <f>SUMIF(OrderDetailsCustomers!$M$2:$M$2158,A512,OrderDetailsCustomers!$W$2:$W$2158)</f>
        <v>1644.6</v>
      </c>
      <c r="J512">
        <f t="shared" si="22"/>
        <v>3</v>
      </c>
      <c r="K512">
        <f>SUMIF(OrderDetailsCustomers!$M$2:$M$2158,'Order Header'!A512,OrderDetailsCustomers!$W$2:$W$2158)</f>
        <v>1644.6</v>
      </c>
      <c r="L512" s="11">
        <f t="shared" si="23"/>
        <v>3</v>
      </c>
    </row>
    <row r="513" spans="1:12" x14ac:dyDescent="0.4">
      <c r="A513">
        <v>10759</v>
      </c>
      <c r="B513" s="4">
        <v>35062</v>
      </c>
      <c r="C513" t="s">
        <v>20</v>
      </c>
      <c r="D513" s="1" t="s">
        <v>783</v>
      </c>
      <c r="E513">
        <v>25.6</v>
      </c>
      <c r="F513">
        <v>10</v>
      </c>
      <c r="G513">
        <f t="shared" si="24"/>
        <v>2</v>
      </c>
      <c r="H513">
        <f>SUMIF(OrderDetailsCustomers!$M$2:$M$2158,A513,OrderDetailsCustomers!$W$2:$W$2158)</f>
        <v>320</v>
      </c>
      <c r="J513">
        <f t="shared" si="22"/>
        <v>2</v>
      </c>
      <c r="K513">
        <f>SUMIF(OrderDetailsCustomers!$M$2:$M$2158,'Order Header'!A513,OrderDetailsCustomers!$W$2:$W$2158)</f>
        <v>320</v>
      </c>
      <c r="L513" s="11">
        <f t="shared" si="23"/>
        <v>2</v>
      </c>
    </row>
    <row r="514" spans="1:12" x14ac:dyDescent="0.4">
      <c r="A514">
        <v>10760</v>
      </c>
      <c r="B514" s="4">
        <v>35065</v>
      </c>
      <c r="C514" t="s">
        <v>385</v>
      </c>
      <c r="D514" s="1" t="s">
        <v>782</v>
      </c>
      <c r="E514">
        <v>233.36</v>
      </c>
      <c r="F514">
        <v>20</v>
      </c>
      <c r="G514">
        <f t="shared" si="24"/>
        <v>4</v>
      </c>
      <c r="H514">
        <f>SUMIF(OrderDetailsCustomers!$M$2:$M$2158,A514,OrderDetailsCustomers!$W$2:$W$2158)</f>
        <v>2917</v>
      </c>
      <c r="J514">
        <f t="shared" si="22"/>
        <v>4</v>
      </c>
      <c r="K514">
        <f>SUMIF(OrderDetailsCustomers!$M$2:$M$2158,'Order Header'!A514,OrderDetailsCustomers!$W$2:$W$2158)</f>
        <v>2917</v>
      </c>
      <c r="L514" s="11">
        <f t="shared" si="23"/>
        <v>4</v>
      </c>
    </row>
    <row r="515" spans="1:12" x14ac:dyDescent="0.4">
      <c r="A515">
        <v>10761</v>
      </c>
      <c r="B515" s="4">
        <v>35066</v>
      </c>
      <c r="C515" t="s">
        <v>487</v>
      </c>
      <c r="D515" s="1" t="s">
        <v>765</v>
      </c>
      <c r="E515">
        <v>40.56</v>
      </c>
      <c r="F515">
        <v>15</v>
      </c>
      <c r="G515">
        <f t="shared" si="24"/>
        <v>2</v>
      </c>
      <c r="H515">
        <f>SUMIF(OrderDetailsCustomers!$M$2:$M$2158,A515,OrderDetailsCustomers!$W$2:$W$2158)</f>
        <v>507</v>
      </c>
      <c r="J515">
        <f t="shared" ref="J515:J578" si="25">VLOOKUP(E515,$T$1:$U$7,2,TRUE)</f>
        <v>2</v>
      </c>
      <c r="K515">
        <f>SUMIF(OrderDetailsCustomers!$M$2:$M$2158,'Order Header'!A515,OrderDetailsCustomers!$W$2:$W$2158)</f>
        <v>507</v>
      </c>
      <c r="L515" s="11">
        <f t="shared" ref="L515:L578" si="26">VLOOKUP(E515,$T$1:$U$7,2,TRUE)</f>
        <v>2</v>
      </c>
    </row>
    <row r="516" spans="1:12" x14ac:dyDescent="0.4">
      <c r="A516">
        <v>10762</v>
      </c>
      <c r="B516" s="4">
        <v>35066</v>
      </c>
      <c r="C516" t="s">
        <v>191</v>
      </c>
      <c r="D516" s="1" t="s">
        <v>768</v>
      </c>
      <c r="E516">
        <v>346.96</v>
      </c>
      <c r="F516">
        <v>20</v>
      </c>
      <c r="G516">
        <f t="shared" si="24"/>
        <v>5</v>
      </c>
      <c r="H516">
        <f>SUMIF(OrderDetailsCustomers!$M$2:$M$2158,A516,OrderDetailsCustomers!$W$2:$W$2158)</f>
        <v>4337</v>
      </c>
      <c r="J516">
        <f t="shared" si="25"/>
        <v>5</v>
      </c>
      <c r="K516">
        <f>SUMIF(OrderDetailsCustomers!$M$2:$M$2158,'Order Header'!A516,OrderDetailsCustomers!$W$2:$W$2158)</f>
        <v>4337</v>
      </c>
      <c r="L516" s="11">
        <f t="shared" si="26"/>
        <v>5</v>
      </c>
    </row>
    <row r="517" spans="1:12" x14ac:dyDescent="0.4">
      <c r="A517">
        <v>10763</v>
      </c>
      <c r="B517" s="4">
        <v>35067</v>
      </c>
      <c r="C517" t="s">
        <v>183</v>
      </c>
      <c r="D517" s="1" t="s">
        <v>777</v>
      </c>
      <c r="E517">
        <v>49.28</v>
      </c>
      <c r="F517">
        <v>15</v>
      </c>
      <c r="G517">
        <f t="shared" si="24"/>
        <v>2</v>
      </c>
      <c r="H517">
        <f>SUMIF(OrderDetailsCustomers!$M$2:$M$2158,A517,OrderDetailsCustomers!$W$2:$W$2158)</f>
        <v>616</v>
      </c>
      <c r="J517">
        <f t="shared" si="25"/>
        <v>2</v>
      </c>
      <c r="K517">
        <f>SUMIF(OrderDetailsCustomers!$M$2:$M$2158,'Order Header'!A517,OrderDetailsCustomers!$W$2:$W$2158)</f>
        <v>616</v>
      </c>
      <c r="L517" s="11">
        <f t="shared" si="26"/>
        <v>2</v>
      </c>
    </row>
    <row r="518" spans="1:12" x14ac:dyDescent="0.4">
      <c r="A518">
        <v>10764</v>
      </c>
      <c r="B518" s="4">
        <v>35067</v>
      </c>
      <c r="C518" t="s">
        <v>161</v>
      </c>
      <c r="D518" s="1" t="s">
        <v>772</v>
      </c>
      <c r="E518">
        <v>182.88</v>
      </c>
      <c r="F518">
        <v>20</v>
      </c>
      <c r="G518">
        <f t="shared" si="24"/>
        <v>4</v>
      </c>
      <c r="H518">
        <f>SUMIF(OrderDetailsCustomers!$M$2:$M$2158,A518,OrderDetailsCustomers!$W$2:$W$2158)</f>
        <v>2286</v>
      </c>
      <c r="J518">
        <f t="shared" si="25"/>
        <v>4</v>
      </c>
      <c r="K518">
        <f>SUMIF(OrderDetailsCustomers!$M$2:$M$2158,'Order Header'!A518,OrderDetailsCustomers!$W$2:$W$2158)</f>
        <v>2286</v>
      </c>
      <c r="L518" s="11">
        <f t="shared" si="26"/>
        <v>4</v>
      </c>
    </row>
    <row r="519" spans="1:12" x14ac:dyDescent="0.4">
      <c r="A519">
        <v>10765</v>
      </c>
      <c r="B519" s="4">
        <v>35068</v>
      </c>
      <c r="C519" t="s">
        <v>475</v>
      </c>
      <c r="D519" s="1" t="s">
        <v>777</v>
      </c>
      <c r="E519">
        <v>121.24800000000002</v>
      </c>
      <c r="F519">
        <v>20</v>
      </c>
      <c r="G519">
        <f t="shared" si="24"/>
        <v>3</v>
      </c>
      <c r="H519">
        <f>SUMIF(OrderDetailsCustomers!$M$2:$M$2158,A519,OrderDetailsCustomers!$W$2:$W$2158)</f>
        <v>1515.6000000000001</v>
      </c>
      <c r="J519">
        <f t="shared" si="25"/>
        <v>3</v>
      </c>
      <c r="K519">
        <f>SUMIF(OrderDetailsCustomers!$M$2:$M$2158,'Order Header'!A519,OrderDetailsCustomers!$W$2:$W$2158)</f>
        <v>1515.6000000000001</v>
      </c>
      <c r="L519" s="11">
        <f t="shared" si="26"/>
        <v>3</v>
      </c>
    </row>
    <row r="520" spans="1:12" x14ac:dyDescent="0.4">
      <c r="A520">
        <v>10766</v>
      </c>
      <c r="B520" s="4">
        <v>35069</v>
      </c>
      <c r="C520" t="s">
        <v>430</v>
      </c>
      <c r="D520" s="1" t="s">
        <v>769</v>
      </c>
      <c r="E520">
        <v>184.8</v>
      </c>
      <c r="F520">
        <v>20</v>
      </c>
      <c r="G520">
        <f t="shared" si="24"/>
        <v>4</v>
      </c>
      <c r="H520">
        <f>SUMIF(OrderDetailsCustomers!$M$2:$M$2158,A520,OrderDetailsCustomers!$W$2:$W$2158)</f>
        <v>2310</v>
      </c>
      <c r="J520">
        <f t="shared" si="25"/>
        <v>4</v>
      </c>
      <c r="K520">
        <f>SUMIF(OrderDetailsCustomers!$M$2:$M$2158,'Order Header'!A520,OrderDetailsCustomers!$W$2:$W$2158)</f>
        <v>2310</v>
      </c>
      <c r="L520" s="11">
        <f t="shared" si="26"/>
        <v>4</v>
      </c>
    </row>
    <row r="521" spans="1:12" x14ac:dyDescent="0.4">
      <c r="A521">
        <v>10767</v>
      </c>
      <c r="B521" s="4">
        <v>35069</v>
      </c>
      <c r="C521" t="s">
        <v>565</v>
      </c>
      <c r="D521" s="1" t="s">
        <v>769</v>
      </c>
      <c r="E521">
        <v>2.2400000000000002</v>
      </c>
      <c r="F521">
        <v>10</v>
      </c>
      <c r="G521">
        <f t="shared" si="24"/>
        <v>1</v>
      </c>
      <c r="H521">
        <f>SUMIF(OrderDetailsCustomers!$M$2:$M$2158,A521,OrderDetailsCustomers!$W$2:$W$2158)</f>
        <v>28</v>
      </c>
      <c r="J521">
        <f t="shared" si="25"/>
        <v>1</v>
      </c>
      <c r="K521">
        <f>SUMIF(OrderDetailsCustomers!$M$2:$M$2158,'Order Header'!A521,OrderDetailsCustomers!$W$2:$W$2158)</f>
        <v>28</v>
      </c>
      <c r="L521" s="11">
        <f t="shared" si="26"/>
        <v>1</v>
      </c>
    </row>
    <row r="522" spans="1:12" x14ac:dyDescent="0.4">
      <c r="A522">
        <v>10768</v>
      </c>
      <c r="B522" s="4">
        <v>35072</v>
      </c>
      <c r="C522" t="s">
        <v>34</v>
      </c>
      <c r="D522" s="1" t="s">
        <v>768</v>
      </c>
      <c r="E522">
        <v>118.16</v>
      </c>
      <c r="F522">
        <v>20</v>
      </c>
      <c r="G522">
        <f t="shared" si="24"/>
        <v>3</v>
      </c>
      <c r="H522">
        <f>SUMIF(OrderDetailsCustomers!$M$2:$M$2158,A522,OrderDetailsCustomers!$W$2:$W$2158)</f>
        <v>1477</v>
      </c>
      <c r="J522">
        <f t="shared" si="25"/>
        <v>3</v>
      </c>
      <c r="K522">
        <f>SUMIF(OrderDetailsCustomers!$M$2:$M$2158,'Order Header'!A522,OrderDetailsCustomers!$W$2:$W$2158)</f>
        <v>1477</v>
      </c>
      <c r="L522" s="11">
        <f t="shared" si="26"/>
        <v>3</v>
      </c>
    </row>
    <row r="523" spans="1:12" x14ac:dyDescent="0.4">
      <c r="A523">
        <v>10769</v>
      </c>
      <c r="B523" s="4">
        <v>35072</v>
      </c>
      <c r="C523" t="s">
        <v>612</v>
      </c>
      <c r="D523" s="1" t="s">
        <v>777</v>
      </c>
      <c r="E523">
        <v>134.74200000000002</v>
      </c>
      <c r="F523">
        <v>20</v>
      </c>
      <c r="G523">
        <f t="shared" si="24"/>
        <v>3</v>
      </c>
      <c r="H523">
        <f>SUMIF(OrderDetailsCustomers!$M$2:$M$2158,A523,OrderDetailsCustomers!$W$2:$W$2158)</f>
        <v>1684.2750000000001</v>
      </c>
      <c r="J523">
        <f t="shared" si="25"/>
        <v>3</v>
      </c>
      <c r="K523">
        <f>SUMIF(OrderDetailsCustomers!$M$2:$M$2158,'Order Header'!A523,OrderDetailsCustomers!$W$2:$W$2158)</f>
        <v>1684.2750000000001</v>
      </c>
      <c r="L523" s="11">
        <f t="shared" si="26"/>
        <v>3</v>
      </c>
    </row>
    <row r="524" spans="1:12" x14ac:dyDescent="0.4">
      <c r="A524">
        <v>10770</v>
      </c>
      <c r="B524" s="4">
        <v>35073</v>
      </c>
      <c r="C524" t="s">
        <v>264</v>
      </c>
      <c r="D524" s="1" t="s">
        <v>767</v>
      </c>
      <c r="E524">
        <v>18.900000000000002</v>
      </c>
      <c r="F524">
        <v>10</v>
      </c>
      <c r="G524">
        <f t="shared" si="24"/>
        <v>2</v>
      </c>
      <c r="H524">
        <f>SUMIF(OrderDetailsCustomers!$M$2:$M$2158,A524,OrderDetailsCustomers!$W$2:$W$2158)</f>
        <v>236.25</v>
      </c>
      <c r="J524">
        <f t="shared" si="25"/>
        <v>2</v>
      </c>
      <c r="K524">
        <f>SUMIF(OrderDetailsCustomers!$M$2:$M$2158,'Order Header'!A524,OrderDetailsCustomers!$W$2:$W$2158)</f>
        <v>236.25</v>
      </c>
      <c r="L524" s="11">
        <f t="shared" si="26"/>
        <v>2</v>
      </c>
    </row>
    <row r="525" spans="1:12" x14ac:dyDescent="0.4">
      <c r="A525">
        <v>10771</v>
      </c>
      <c r="B525" s="4">
        <v>35074</v>
      </c>
      <c r="C525" t="s">
        <v>161</v>
      </c>
      <c r="D525" s="1" t="s">
        <v>772</v>
      </c>
      <c r="E525">
        <v>27.52</v>
      </c>
      <c r="F525">
        <v>10</v>
      </c>
      <c r="G525">
        <f t="shared" si="24"/>
        <v>2</v>
      </c>
      <c r="H525">
        <f>SUMIF(OrderDetailsCustomers!$M$2:$M$2158,A525,OrderDetailsCustomers!$W$2:$W$2158)</f>
        <v>344</v>
      </c>
      <c r="J525">
        <f t="shared" si="25"/>
        <v>2</v>
      </c>
      <c r="K525">
        <f>SUMIF(OrderDetailsCustomers!$M$2:$M$2158,'Order Header'!A525,OrderDetailsCustomers!$W$2:$W$2158)</f>
        <v>344</v>
      </c>
      <c r="L525" s="11">
        <f t="shared" si="26"/>
        <v>2</v>
      </c>
    </row>
    <row r="526" spans="1:12" x14ac:dyDescent="0.4">
      <c r="A526">
        <v>10772</v>
      </c>
      <c r="B526" s="4">
        <v>35074</v>
      </c>
      <c r="C526" t="s">
        <v>341</v>
      </c>
      <c r="D526" s="1" t="s">
        <v>768</v>
      </c>
      <c r="E526">
        <v>288.25760000000002</v>
      </c>
      <c r="F526">
        <v>20</v>
      </c>
      <c r="G526">
        <f t="shared" si="24"/>
        <v>5</v>
      </c>
      <c r="H526">
        <f>SUMIF(OrderDetailsCustomers!$M$2:$M$2158,A526,OrderDetailsCustomers!$W$2:$W$2158)</f>
        <v>3603.2200000000003</v>
      </c>
      <c r="J526">
        <f t="shared" si="25"/>
        <v>5</v>
      </c>
      <c r="K526">
        <f>SUMIF(OrderDetailsCustomers!$M$2:$M$2158,'Order Header'!A526,OrderDetailsCustomers!$W$2:$W$2158)</f>
        <v>3603.2200000000003</v>
      </c>
      <c r="L526" s="11">
        <f t="shared" si="26"/>
        <v>5</v>
      </c>
    </row>
    <row r="527" spans="1:12" x14ac:dyDescent="0.4">
      <c r="A527">
        <v>10773</v>
      </c>
      <c r="B527" s="4">
        <v>35075</v>
      </c>
      <c r="C527" t="s">
        <v>161</v>
      </c>
      <c r="D527" s="1" t="s">
        <v>772</v>
      </c>
      <c r="E527">
        <v>162.43200000000002</v>
      </c>
      <c r="F527">
        <v>20</v>
      </c>
      <c r="G527">
        <f t="shared" si="24"/>
        <v>4</v>
      </c>
      <c r="H527">
        <f>SUMIF(OrderDetailsCustomers!$M$2:$M$2158,A527,OrderDetailsCustomers!$W$2:$W$2158)</f>
        <v>2030.4</v>
      </c>
      <c r="J527">
        <f t="shared" si="25"/>
        <v>4</v>
      </c>
      <c r="K527">
        <f>SUMIF(OrderDetailsCustomers!$M$2:$M$2158,'Order Header'!A527,OrderDetailsCustomers!$W$2:$W$2158)</f>
        <v>2030.4</v>
      </c>
      <c r="L527" s="11">
        <f t="shared" si="26"/>
        <v>4</v>
      </c>
    </row>
    <row r="528" spans="1:12" x14ac:dyDescent="0.4">
      <c r="A528">
        <v>10774</v>
      </c>
      <c r="B528" s="4">
        <v>35075</v>
      </c>
      <c r="C528" t="s">
        <v>191</v>
      </c>
      <c r="D528" s="1" t="s">
        <v>768</v>
      </c>
      <c r="E528">
        <v>69.5</v>
      </c>
      <c r="F528">
        <v>15</v>
      </c>
      <c r="G528">
        <f t="shared" si="24"/>
        <v>3</v>
      </c>
      <c r="H528">
        <f>SUMIF(OrderDetailsCustomers!$M$2:$M$2158,A528,OrderDetailsCustomers!$W$2:$W$2158)</f>
        <v>868.75</v>
      </c>
      <c r="J528">
        <f t="shared" si="25"/>
        <v>3</v>
      </c>
      <c r="K528">
        <f>SUMIF(OrderDetailsCustomers!$M$2:$M$2158,'Order Header'!A528,OrderDetailsCustomers!$W$2:$W$2158)</f>
        <v>868.75</v>
      </c>
      <c r="L528" s="11">
        <f t="shared" si="26"/>
        <v>3</v>
      </c>
    </row>
    <row r="529" spans="1:12" x14ac:dyDescent="0.4">
      <c r="A529">
        <v>10775</v>
      </c>
      <c r="B529" s="4">
        <v>35076</v>
      </c>
      <c r="C529" t="s">
        <v>578</v>
      </c>
      <c r="D529" s="1" t="s">
        <v>784</v>
      </c>
      <c r="E529">
        <v>18.240000000000002</v>
      </c>
      <c r="F529">
        <v>10</v>
      </c>
      <c r="G529">
        <f t="shared" si="24"/>
        <v>2</v>
      </c>
      <c r="H529">
        <f>SUMIF(OrderDetailsCustomers!$M$2:$M$2158,A529,OrderDetailsCustomers!$W$2:$W$2158)</f>
        <v>228</v>
      </c>
      <c r="J529">
        <f t="shared" si="25"/>
        <v>2</v>
      </c>
      <c r="K529">
        <f>SUMIF(OrderDetailsCustomers!$M$2:$M$2158,'Order Header'!A529,OrderDetailsCustomers!$W$2:$W$2158)</f>
        <v>228</v>
      </c>
      <c r="L529" s="11">
        <f t="shared" si="26"/>
        <v>2</v>
      </c>
    </row>
    <row r="530" spans="1:12" x14ac:dyDescent="0.4">
      <c r="A530">
        <v>10776</v>
      </c>
      <c r="B530" s="4">
        <v>35079</v>
      </c>
      <c r="C530" t="s">
        <v>161</v>
      </c>
      <c r="D530" s="1" t="s">
        <v>772</v>
      </c>
      <c r="E530">
        <v>530.822</v>
      </c>
      <c r="F530">
        <v>20</v>
      </c>
      <c r="G530">
        <f t="shared" si="24"/>
        <v>5</v>
      </c>
      <c r="H530">
        <f>SUMIF(OrderDetailsCustomers!$M$2:$M$2158,A530,OrderDetailsCustomers!$W$2:$W$2158)</f>
        <v>6635.2749999999996</v>
      </c>
      <c r="J530">
        <f t="shared" si="25"/>
        <v>5</v>
      </c>
      <c r="K530">
        <f>SUMIF(OrderDetailsCustomers!$M$2:$M$2158,'Order Header'!A530,OrderDetailsCustomers!$W$2:$W$2158)</f>
        <v>6635.2749999999996</v>
      </c>
      <c r="L530" s="11">
        <f t="shared" si="26"/>
        <v>5</v>
      </c>
    </row>
    <row r="531" spans="1:12" x14ac:dyDescent="0.4">
      <c r="A531">
        <v>10777</v>
      </c>
      <c r="B531" s="4">
        <v>35079</v>
      </c>
      <c r="C531" t="s">
        <v>240</v>
      </c>
      <c r="D531" s="1" t="s">
        <v>780</v>
      </c>
      <c r="E531">
        <v>17.920000000000002</v>
      </c>
      <c r="F531">
        <v>10</v>
      </c>
      <c r="G531">
        <f t="shared" si="24"/>
        <v>2</v>
      </c>
      <c r="H531">
        <f>SUMIF(OrderDetailsCustomers!$M$2:$M$2158,A531,OrderDetailsCustomers!$W$2:$W$2158)</f>
        <v>224</v>
      </c>
      <c r="J531">
        <f t="shared" si="25"/>
        <v>2</v>
      </c>
      <c r="K531">
        <f>SUMIF(OrderDetailsCustomers!$M$2:$M$2158,'Order Header'!A531,OrderDetailsCustomers!$W$2:$W$2158)</f>
        <v>224</v>
      </c>
      <c r="L531" s="11">
        <f t="shared" si="26"/>
        <v>2</v>
      </c>
    </row>
    <row r="532" spans="1:12" x14ac:dyDescent="0.4">
      <c r="A532">
        <v>10778</v>
      </c>
      <c r="B532" s="4">
        <v>35080</v>
      </c>
      <c r="C532" t="s">
        <v>43</v>
      </c>
      <c r="D532" s="1" t="s">
        <v>765</v>
      </c>
      <c r="E532">
        <v>7.72</v>
      </c>
      <c r="F532">
        <v>10</v>
      </c>
      <c r="G532">
        <f t="shared" si="24"/>
        <v>1</v>
      </c>
      <c r="H532">
        <f>SUMIF(OrderDetailsCustomers!$M$2:$M$2158,A532,OrderDetailsCustomers!$W$2:$W$2158)</f>
        <v>96.5</v>
      </c>
      <c r="J532">
        <f t="shared" si="25"/>
        <v>1</v>
      </c>
      <c r="K532">
        <f>SUMIF(OrderDetailsCustomers!$M$2:$M$2158,'Order Header'!A532,OrderDetailsCustomers!$W$2:$W$2158)</f>
        <v>96.5</v>
      </c>
      <c r="L532" s="11">
        <f t="shared" si="26"/>
        <v>1</v>
      </c>
    </row>
    <row r="533" spans="1:12" x14ac:dyDescent="0.4">
      <c r="A533">
        <v>10779</v>
      </c>
      <c r="B533" s="4">
        <v>35080</v>
      </c>
      <c r="C533" t="s">
        <v>403</v>
      </c>
      <c r="D533" s="1" t="s">
        <v>778</v>
      </c>
      <c r="E533">
        <v>106.8</v>
      </c>
      <c r="F533">
        <v>20</v>
      </c>
      <c r="G533">
        <f t="shared" ref="G533:G596" si="27">VLOOKUP(E533,$T$1:$U$7,2,TRUE)</f>
        <v>3</v>
      </c>
      <c r="H533">
        <f>SUMIF(OrderDetailsCustomers!$M$2:$M$2158,A533,OrderDetailsCustomers!$W$2:$W$2158)</f>
        <v>1335</v>
      </c>
      <c r="J533">
        <f t="shared" si="25"/>
        <v>3</v>
      </c>
      <c r="K533">
        <f>SUMIF(OrderDetailsCustomers!$M$2:$M$2158,'Order Header'!A533,OrderDetailsCustomers!$W$2:$W$2158)</f>
        <v>1335</v>
      </c>
      <c r="L533" s="11">
        <f t="shared" si="26"/>
        <v>3</v>
      </c>
    </row>
    <row r="534" spans="1:12" x14ac:dyDescent="0.4">
      <c r="A534">
        <v>10780</v>
      </c>
      <c r="B534" s="4">
        <v>35080</v>
      </c>
      <c r="C534" t="s">
        <v>355</v>
      </c>
      <c r="D534" s="1" t="s">
        <v>779</v>
      </c>
      <c r="E534">
        <v>57.6</v>
      </c>
      <c r="F534">
        <v>15</v>
      </c>
      <c r="G534">
        <f t="shared" si="27"/>
        <v>3</v>
      </c>
      <c r="H534">
        <f>SUMIF(OrderDetailsCustomers!$M$2:$M$2158,A534,OrderDetailsCustomers!$W$2:$W$2158)</f>
        <v>720</v>
      </c>
      <c r="J534">
        <f t="shared" si="25"/>
        <v>3</v>
      </c>
      <c r="K534">
        <f>SUMIF(OrderDetailsCustomers!$M$2:$M$2158,'Order Header'!A534,OrderDetailsCustomers!$W$2:$W$2158)</f>
        <v>720</v>
      </c>
      <c r="L534" s="11">
        <f t="shared" si="26"/>
        <v>3</v>
      </c>
    </row>
    <row r="535" spans="1:12" x14ac:dyDescent="0.4">
      <c r="A535">
        <v>10781</v>
      </c>
      <c r="B535" s="4">
        <v>35081</v>
      </c>
      <c r="C535" t="s">
        <v>640</v>
      </c>
      <c r="D535" s="1" t="s">
        <v>775</v>
      </c>
      <c r="E535">
        <v>78.070400000000006</v>
      </c>
      <c r="F535">
        <v>15</v>
      </c>
      <c r="G535">
        <f t="shared" si="27"/>
        <v>3</v>
      </c>
      <c r="H535">
        <f>SUMIF(OrderDetailsCustomers!$M$2:$M$2158,A535,OrderDetailsCustomers!$W$2:$W$2158)</f>
        <v>975.88</v>
      </c>
      <c r="J535">
        <f t="shared" si="25"/>
        <v>3</v>
      </c>
      <c r="K535">
        <f>SUMIF(OrderDetailsCustomers!$M$2:$M$2158,'Order Header'!A535,OrderDetailsCustomers!$W$2:$W$2158)</f>
        <v>975.88</v>
      </c>
      <c r="L535" s="11">
        <f t="shared" si="26"/>
        <v>3</v>
      </c>
    </row>
    <row r="536" spans="1:12" x14ac:dyDescent="0.4">
      <c r="A536">
        <v>10782</v>
      </c>
      <c r="B536" s="4">
        <v>35081</v>
      </c>
      <c r="C536" t="s">
        <v>101</v>
      </c>
      <c r="D536" s="1" t="s">
        <v>778</v>
      </c>
      <c r="E536">
        <v>1</v>
      </c>
      <c r="F536">
        <v>10</v>
      </c>
      <c r="G536">
        <f t="shared" si="27"/>
        <v>1</v>
      </c>
      <c r="H536">
        <f>SUMIF(OrderDetailsCustomers!$M$2:$M$2158,A536,OrderDetailsCustomers!$W$2:$W$2158)</f>
        <v>12.5</v>
      </c>
      <c r="J536">
        <f t="shared" si="25"/>
        <v>1</v>
      </c>
      <c r="K536">
        <f>SUMIF(OrderDetailsCustomers!$M$2:$M$2158,'Order Header'!A536,OrderDetailsCustomers!$W$2:$W$2158)</f>
        <v>12.5</v>
      </c>
      <c r="L536" s="11">
        <f t="shared" si="26"/>
        <v>1</v>
      </c>
    </row>
    <row r="537" spans="1:12" x14ac:dyDescent="0.4">
      <c r="A537">
        <v>10783</v>
      </c>
      <c r="B537" s="4">
        <v>35082</v>
      </c>
      <c r="C537" t="s">
        <v>264</v>
      </c>
      <c r="D537" s="1" t="s">
        <v>767</v>
      </c>
      <c r="E537">
        <v>115.4</v>
      </c>
      <c r="F537">
        <v>20</v>
      </c>
      <c r="G537">
        <f t="shared" si="27"/>
        <v>3</v>
      </c>
      <c r="H537">
        <f>SUMIF(OrderDetailsCustomers!$M$2:$M$2158,A537,OrderDetailsCustomers!$W$2:$W$2158)</f>
        <v>1442.5</v>
      </c>
      <c r="J537">
        <f t="shared" si="25"/>
        <v>3</v>
      </c>
      <c r="K537">
        <f>SUMIF(OrderDetailsCustomers!$M$2:$M$2158,'Order Header'!A537,OrderDetailsCustomers!$W$2:$W$2158)</f>
        <v>1442.5</v>
      </c>
      <c r="L537" s="11">
        <f t="shared" si="26"/>
        <v>3</v>
      </c>
    </row>
    <row r="538" spans="1:12" x14ac:dyDescent="0.4">
      <c r="A538">
        <v>10784</v>
      </c>
      <c r="B538" s="4">
        <v>35082</v>
      </c>
      <c r="C538" t="s">
        <v>378</v>
      </c>
      <c r="D538" s="1" t="s">
        <v>776</v>
      </c>
      <c r="E538">
        <v>119.04</v>
      </c>
      <c r="F538">
        <v>20</v>
      </c>
      <c r="G538">
        <f t="shared" si="27"/>
        <v>3</v>
      </c>
      <c r="H538">
        <f>SUMIF(OrderDetailsCustomers!$M$2:$M$2158,A538,OrderDetailsCustomers!$W$2:$W$2158)</f>
        <v>1488</v>
      </c>
      <c r="J538">
        <f t="shared" si="25"/>
        <v>3</v>
      </c>
      <c r="K538">
        <f>SUMIF(OrderDetailsCustomers!$M$2:$M$2158,'Order Header'!A538,OrderDetailsCustomers!$W$2:$W$2158)</f>
        <v>1488</v>
      </c>
      <c r="L538" s="11">
        <f t="shared" si="26"/>
        <v>3</v>
      </c>
    </row>
    <row r="539" spans="1:12" x14ac:dyDescent="0.4">
      <c r="A539">
        <v>10785</v>
      </c>
      <c r="B539" s="4">
        <v>35082</v>
      </c>
      <c r="C539" t="s">
        <v>255</v>
      </c>
      <c r="D539" s="1" t="s">
        <v>773</v>
      </c>
      <c r="E539">
        <v>31</v>
      </c>
      <c r="F539">
        <v>10</v>
      </c>
      <c r="G539">
        <f t="shared" si="27"/>
        <v>2</v>
      </c>
      <c r="H539">
        <f>SUMIF(OrderDetailsCustomers!$M$2:$M$2158,A539,OrderDetailsCustomers!$W$2:$W$2158)</f>
        <v>387.5</v>
      </c>
      <c r="J539">
        <f t="shared" si="25"/>
        <v>2</v>
      </c>
      <c r="K539">
        <f>SUMIF(OrderDetailsCustomers!$M$2:$M$2158,'Order Header'!A539,OrderDetailsCustomers!$W$2:$W$2158)</f>
        <v>387.5</v>
      </c>
      <c r="L539" s="11">
        <f t="shared" si="26"/>
        <v>2</v>
      </c>
    </row>
    <row r="540" spans="1:12" x14ac:dyDescent="0.4">
      <c r="A540">
        <v>10786</v>
      </c>
      <c r="B540" s="4">
        <v>35083</v>
      </c>
      <c r="C540" t="s">
        <v>469</v>
      </c>
      <c r="D540" s="1" t="s">
        <v>783</v>
      </c>
      <c r="E540">
        <v>122.48640000000002</v>
      </c>
      <c r="F540">
        <v>20</v>
      </c>
      <c r="G540">
        <f t="shared" si="27"/>
        <v>3</v>
      </c>
      <c r="H540">
        <f>SUMIF(OrderDetailsCustomers!$M$2:$M$2158,A540,OrderDetailsCustomers!$W$2:$W$2158)</f>
        <v>1531.0800000000002</v>
      </c>
      <c r="J540">
        <f t="shared" si="25"/>
        <v>3</v>
      </c>
      <c r="K540">
        <f>SUMIF(OrderDetailsCustomers!$M$2:$M$2158,'Order Header'!A540,OrderDetailsCustomers!$W$2:$W$2158)</f>
        <v>1531.0800000000002</v>
      </c>
      <c r="L540" s="11">
        <f t="shared" si="26"/>
        <v>3</v>
      </c>
    </row>
    <row r="541" spans="1:12" x14ac:dyDescent="0.4">
      <c r="A541">
        <v>10787</v>
      </c>
      <c r="B541" s="4">
        <v>35083</v>
      </c>
      <c r="C541" t="s">
        <v>318</v>
      </c>
      <c r="D541" s="1" t="s">
        <v>774</v>
      </c>
      <c r="E541">
        <v>209.82080000000002</v>
      </c>
      <c r="F541">
        <v>20</v>
      </c>
      <c r="G541">
        <f t="shared" si="27"/>
        <v>4</v>
      </c>
      <c r="H541">
        <f>SUMIF(OrderDetailsCustomers!$M$2:$M$2158,A541,OrderDetailsCustomers!$W$2:$W$2158)</f>
        <v>2622.76</v>
      </c>
      <c r="J541">
        <f t="shared" si="25"/>
        <v>4</v>
      </c>
      <c r="K541">
        <f>SUMIF(OrderDetailsCustomers!$M$2:$M$2158,'Order Header'!A541,OrderDetailsCustomers!$W$2:$W$2158)</f>
        <v>2622.76</v>
      </c>
      <c r="L541" s="11">
        <f t="shared" si="26"/>
        <v>4</v>
      </c>
    </row>
    <row r="542" spans="1:12" x14ac:dyDescent="0.4">
      <c r="A542">
        <v>10788</v>
      </c>
      <c r="B542" s="4">
        <v>35086</v>
      </c>
      <c r="C542" t="s">
        <v>475</v>
      </c>
      <c r="D542" s="1" t="s">
        <v>777</v>
      </c>
      <c r="E542">
        <v>58.52</v>
      </c>
      <c r="F542">
        <v>15</v>
      </c>
      <c r="G542">
        <f t="shared" si="27"/>
        <v>3</v>
      </c>
      <c r="H542">
        <f>SUMIF(OrderDetailsCustomers!$M$2:$M$2158,A542,OrderDetailsCustomers!$W$2:$W$2158)</f>
        <v>731.5</v>
      </c>
      <c r="J542">
        <f t="shared" si="25"/>
        <v>3</v>
      </c>
      <c r="K542">
        <f>SUMIF(OrderDetailsCustomers!$M$2:$M$2158,'Order Header'!A542,OrderDetailsCustomers!$W$2:$W$2158)</f>
        <v>731.5</v>
      </c>
      <c r="L542" s="11">
        <f t="shared" si="26"/>
        <v>3</v>
      </c>
    </row>
    <row r="543" spans="1:12" x14ac:dyDescent="0.4">
      <c r="A543">
        <v>10789</v>
      </c>
      <c r="B543" s="4">
        <v>35086</v>
      </c>
      <c r="C543" t="s">
        <v>183</v>
      </c>
      <c r="D543" s="1" t="s">
        <v>777</v>
      </c>
      <c r="E543">
        <v>294.95999999999998</v>
      </c>
      <c r="F543">
        <v>20</v>
      </c>
      <c r="G543">
        <f t="shared" si="27"/>
        <v>5</v>
      </c>
      <c r="H543">
        <f>SUMIF(OrderDetailsCustomers!$M$2:$M$2158,A543,OrderDetailsCustomers!$W$2:$W$2158)</f>
        <v>3687</v>
      </c>
      <c r="J543">
        <f t="shared" si="25"/>
        <v>5</v>
      </c>
      <c r="K543">
        <f>SUMIF(OrderDetailsCustomers!$M$2:$M$2158,'Order Header'!A543,OrderDetailsCustomers!$W$2:$W$2158)</f>
        <v>3687</v>
      </c>
      <c r="L543" s="11">
        <f t="shared" si="26"/>
        <v>5</v>
      </c>
    </row>
    <row r="544" spans="1:12" x14ac:dyDescent="0.4">
      <c r="A544">
        <v>10790</v>
      </c>
      <c r="B544" s="4">
        <v>35086</v>
      </c>
      <c r="C544" t="s">
        <v>240</v>
      </c>
      <c r="D544" s="1" t="s">
        <v>780</v>
      </c>
      <c r="E544">
        <v>57.800000000000004</v>
      </c>
      <c r="F544">
        <v>15</v>
      </c>
      <c r="G544">
        <f t="shared" si="27"/>
        <v>3</v>
      </c>
      <c r="H544">
        <f>SUMIF(OrderDetailsCustomers!$M$2:$M$2158,A544,OrderDetailsCustomers!$W$2:$W$2158)</f>
        <v>722.5</v>
      </c>
      <c r="J544">
        <f t="shared" si="25"/>
        <v>3</v>
      </c>
      <c r="K544">
        <f>SUMIF(OrderDetailsCustomers!$M$2:$M$2158,'Order Header'!A544,OrderDetailsCustomers!$W$2:$W$2158)</f>
        <v>722.5</v>
      </c>
      <c r="L544" s="11">
        <f t="shared" si="26"/>
        <v>3</v>
      </c>
    </row>
    <row r="545" spans="1:12" x14ac:dyDescent="0.4">
      <c r="A545">
        <v>10791</v>
      </c>
      <c r="B545" s="4">
        <v>35087</v>
      </c>
      <c r="C545" t="s">
        <v>198</v>
      </c>
      <c r="D545" s="1" t="s">
        <v>765</v>
      </c>
      <c r="E545">
        <v>146.38056</v>
      </c>
      <c r="F545">
        <v>20</v>
      </c>
      <c r="G545">
        <f t="shared" si="27"/>
        <v>3</v>
      </c>
      <c r="H545">
        <f>SUMIF(OrderDetailsCustomers!$M$2:$M$2158,A545,OrderDetailsCustomers!$W$2:$W$2158)</f>
        <v>1829.7570000000001</v>
      </c>
      <c r="J545">
        <f t="shared" si="25"/>
        <v>3</v>
      </c>
      <c r="K545">
        <f>SUMIF(OrderDetailsCustomers!$M$2:$M$2158,'Order Header'!A545,OrderDetailsCustomers!$W$2:$W$2158)</f>
        <v>1829.7570000000001</v>
      </c>
      <c r="L545" s="11">
        <f t="shared" si="26"/>
        <v>3</v>
      </c>
    </row>
    <row r="546" spans="1:12" x14ac:dyDescent="0.4">
      <c r="A546">
        <v>10792</v>
      </c>
      <c r="B546" s="4">
        <v>35087</v>
      </c>
      <c r="C546" t="s">
        <v>668</v>
      </c>
      <c r="D546" s="1" t="s">
        <v>780</v>
      </c>
      <c r="E546">
        <v>31.988000000000003</v>
      </c>
      <c r="F546">
        <v>10</v>
      </c>
      <c r="G546">
        <f t="shared" si="27"/>
        <v>2</v>
      </c>
      <c r="H546">
        <f>SUMIF(OrderDetailsCustomers!$M$2:$M$2158,A546,OrderDetailsCustomers!$W$2:$W$2158)</f>
        <v>399.85</v>
      </c>
      <c r="J546">
        <f t="shared" si="25"/>
        <v>2</v>
      </c>
      <c r="K546">
        <f>SUMIF(OrderDetailsCustomers!$M$2:$M$2158,'Order Header'!A546,OrderDetailsCustomers!$W$2:$W$2158)</f>
        <v>399.85</v>
      </c>
      <c r="L546" s="11">
        <f t="shared" si="26"/>
        <v>2</v>
      </c>
    </row>
    <row r="547" spans="1:12" x14ac:dyDescent="0.4">
      <c r="A547">
        <v>10793</v>
      </c>
      <c r="B547" s="4">
        <v>35088</v>
      </c>
      <c r="C547" t="s">
        <v>34</v>
      </c>
      <c r="D547" s="1" t="s">
        <v>768</v>
      </c>
      <c r="E547">
        <v>15.288</v>
      </c>
      <c r="F547">
        <v>10</v>
      </c>
      <c r="G547">
        <f t="shared" si="27"/>
        <v>2</v>
      </c>
      <c r="H547">
        <f>SUMIF(OrderDetailsCustomers!$M$2:$M$2158,A547,OrderDetailsCustomers!$W$2:$W$2158)</f>
        <v>191.1</v>
      </c>
      <c r="J547">
        <f t="shared" si="25"/>
        <v>2</v>
      </c>
      <c r="K547">
        <f>SUMIF(OrderDetailsCustomers!$M$2:$M$2158,'Order Header'!A547,OrderDetailsCustomers!$W$2:$W$2158)</f>
        <v>191.1</v>
      </c>
      <c r="L547" s="11">
        <f t="shared" si="26"/>
        <v>2</v>
      </c>
    </row>
    <row r="548" spans="1:12" x14ac:dyDescent="0.4">
      <c r="A548">
        <v>10794</v>
      </c>
      <c r="B548" s="4">
        <v>35088</v>
      </c>
      <c r="C548" t="s">
        <v>462</v>
      </c>
      <c r="D548" s="1" t="s">
        <v>774</v>
      </c>
      <c r="E548">
        <v>25.180800000000001</v>
      </c>
      <c r="F548">
        <v>10</v>
      </c>
      <c r="G548">
        <f t="shared" si="27"/>
        <v>2</v>
      </c>
      <c r="H548">
        <f>SUMIF(OrderDetailsCustomers!$M$2:$M$2158,A548,OrderDetailsCustomers!$W$2:$W$2158)</f>
        <v>314.76</v>
      </c>
      <c r="J548">
        <f t="shared" si="25"/>
        <v>2</v>
      </c>
      <c r="K548">
        <f>SUMIF(OrderDetailsCustomers!$M$2:$M$2158,'Order Header'!A548,OrderDetailsCustomers!$W$2:$W$2158)</f>
        <v>314.76</v>
      </c>
      <c r="L548" s="11">
        <f t="shared" si="26"/>
        <v>2</v>
      </c>
    </row>
    <row r="549" spans="1:12" x14ac:dyDescent="0.4">
      <c r="A549">
        <v>10795</v>
      </c>
      <c r="B549" s="4">
        <v>35088</v>
      </c>
      <c r="C549" t="s">
        <v>161</v>
      </c>
      <c r="D549" s="1" t="s">
        <v>772</v>
      </c>
      <c r="E549">
        <v>172.64000000000001</v>
      </c>
      <c r="F549">
        <v>20</v>
      </c>
      <c r="G549">
        <f t="shared" si="27"/>
        <v>4</v>
      </c>
      <c r="H549">
        <f>SUMIF(OrderDetailsCustomers!$M$2:$M$2158,A549,OrderDetailsCustomers!$W$2:$W$2158)</f>
        <v>2158</v>
      </c>
      <c r="J549">
        <f t="shared" si="25"/>
        <v>4</v>
      </c>
      <c r="K549">
        <f>SUMIF(OrderDetailsCustomers!$M$2:$M$2158,'Order Header'!A549,OrderDetailsCustomers!$W$2:$W$2158)</f>
        <v>2158</v>
      </c>
      <c r="L549" s="11">
        <f t="shared" si="26"/>
        <v>4</v>
      </c>
    </row>
    <row r="550" spans="1:12" x14ac:dyDescent="0.4">
      <c r="A550">
        <v>10796</v>
      </c>
      <c r="B550" s="4">
        <v>35089</v>
      </c>
      <c r="C550" t="s">
        <v>273</v>
      </c>
      <c r="D550" s="1" t="s">
        <v>771</v>
      </c>
      <c r="E550">
        <v>187.30912000000004</v>
      </c>
      <c r="F550">
        <v>20</v>
      </c>
      <c r="G550">
        <f t="shared" si="27"/>
        <v>4</v>
      </c>
      <c r="H550">
        <f>SUMIF(OrderDetailsCustomers!$M$2:$M$2158,A550,OrderDetailsCustomers!$W$2:$W$2158)</f>
        <v>2341.3640000000005</v>
      </c>
      <c r="J550">
        <f t="shared" si="25"/>
        <v>4</v>
      </c>
      <c r="K550">
        <f>SUMIF(OrderDetailsCustomers!$M$2:$M$2158,'Order Header'!A550,OrderDetailsCustomers!$W$2:$W$2158)</f>
        <v>2341.3640000000005</v>
      </c>
      <c r="L550" s="11">
        <f t="shared" si="26"/>
        <v>4</v>
      </c>
    </row>
    <row r="551" spans="1:12" x14ac:dyDescent="0.4">
      <c r="A551">
        <v>10797</v>
      </c>
      <c r="B551" s="4">
        <v>35089</v>
      </c>
      <c r="C551" t="s">
        <v>140</v>
      </c>
      <c r="D551" s="1" t="s">
        <v>781</v>
      </c>
      <c r="E551">
        <v>33.6</v>
      </c>
      <c r="F551">
        <v>10</v>
      </c>
      <c r="G551">
        <f t="shared" si="27"/>
        <v>2</v>
      </c>
      <c r="H551">
        <f>SUMIF(OrderDetailsCustomers!$M$2:$M$2158,A551,OrderDetailsCustomers!$W$2:$W$2158)</f>
        <v>420</v>
      </c>
      <c r="J551">
        <f t="shared" si="25"/>
        <v>2</v>
      </c>
      <c r="K551">
        <f>SUMIF(OrderDetailsCustomers!$M$2:$M$2158,'Order Header'!A551,OrderDetailsCustomers!$W$2:$W$2158)</f>
        <v>420</v>
      </c>
      <c r="L551" s="11">
        <f t="shared" si="26"/>
        <v>2</v>
      </c>
    </row>
    <row r="552" spans="1:12" x14ac:dyDescent="0.4">
      <c r="A552">
        <v>10798</v>
      </c>
      <c r="B552" s="4">
        <v>35090</v>
      </c>
      <c r="C552" t="s">
        <v>297</v>
      </c>
      <c r="D552" s="1" t="s">
        <v>784</v>
      </c>
      <c r="E552">
        <v>35.728000000000002</v>
      </c>
      <c r="F552">
        <v>10</v>
      </c>
      <c r="G552">
        <f t="shared" si="27"/>
        <v>2</v>
      </c>
      <c r="H552">
        <f>SUMIF(OrderDetailsCustomers!$M$2:$M$2158,A552,OrderDetailsCustomers!$W$2:$W$2158)</f>
        <v>446.6</v>
      </c>
      <c r="J552">
        <f t="shared" si="25"/>
        <v>2</v>
      </c>
      <c r="K552">
        <f>SUMIF(OrderDetailsCustomers!$M$2:$M$2158,'Order Header'!A552,OrderDetailsCustomers!$W$2:$W$2158)</f>
        <v>446.6</v>
      </c>
      <c r="L552" s="11">
        <f t="shared" si="26"/>
        <v>2</v>
      </c>
    </row>
    <row r="553" spans="1:12" x14ac:dyDescent="0.4">
      <c r="A553">
        <v>10799</v>
      </c>
      <c r="B553" s="4">
        <v>35090</v>
      </c>
      <c r="C553" t="s">
        <v>305</v>
      </c>
      <c r="D553" s="1" t="s">
        <v>766</v>
      </c>
      <c r="E553">
        <v>124.28</v>
      </c>
      <c r="F553">
        <v>20</v>
      </c>
      <c r="G553">
        <f t="shared" si="27"/>
        <v>3</v>
      </c>
      <c r="H553">
        <f>SUMIF(OrderDetailsCustomers!$M$2:$M$2158,A553,OrderDetailsCustomers!$W$2:$W$2158)</f>
        <v>1553.5</v>
      </c>
      <c r="J553">
        <f t="shared" si="25"/>
        <v>3</v>
      </c>
      <c r="K553">
        <f>SUMIF(OrderDetailsCustomers!$M$2:$M$2158,'Order Header'!A553,OrderDetailsCustomers!$W$2:$W$2158)</f>
        <v>1553.5</v>
      </c>
      <c r="L553" s="11">
        <f t="shared" si="26"/>
        <v>3</v>
      </c>
    </row>
    <row r="554" spans="1:12" x14ac:dyDescent="0.4">
      <c r="A554">
        <v>10800</v>
      </c>
      <c r="B554" s="4">
        <v>35090</v>
      </c>
      <c r="C554" t="s">
        <v>536</v>
      </c>
      <c r="D554" s="1" t="s">
        <v>778</v>
      </c>
      <c r="E554">
        <v>117.51479999999999</v>
      </c>
      <c r="F554">
        <v>20</v>
      </c>
      <c r="G554">
        <f t="shared" si="27"/>
        <v>3</v>
      </c>
      <c r="H554">
        <f>SUMIF(OrderDetailsCustomers!$M$2:$M$2158,A554,OrderDetailsCustomers!$W$2:$W$2158)</f>
        <v>1468.9349999999999</v>
      </c>
      <c r="J554">
        <f t="shared" si="25"/>
        <v>3</v>
      </c>
      <c r="K554">
        <f>SUMIF(OrderDetailsCustomers!$M$2:$M$2158,'Order Header'!A554,OrderDetailsCustomers!$W$2:$W$2158)</f>
        <v>1468.9349999999999</v>
      </c>
      <c r="L554" s="11">
        <f t="shared" si="26"/>
        <v>3</v>
      </c>
    </row>
    <row r="555" spans="1:12" x14ac:dyDescent="0.4">
      <c r="A555">
        <v>10801</v>
      </c>
      <c r="B555" s="4">
        <v>35093</v>
      </c>
      <c r="C555" t="s">
        <v>69</v>
      </c>
      <c r="D555" s="1" t="s">
        <v>770</v>
      </c>
      <c r="E555">
        <v>242.14800000000002</v>
      </c>
      <c r="F555">
        <v>20</v>
      </c>
      <c r="G555">
        <f t="shared" si="27"/>
        <v>4</v>
      </c>
      <c r="H555">
        <f>SUMIF(OrderDetailsCustomers!$M$2:$M$2158,A555,OrderDetailsCustomers!$W$2:$W$2158)</f>
        <v>3026.8500000000004</v>
      </c>
      <c r="J555">
        <f t="shared" si="25"/>
        <v>4</v>
      </c>
      <c r="K555">
        <f>SUMIF(OrderDetailsCustomers!$M$2:$M$2158,'Order Header'!A555,OrderDetailsCustomers!$W$2:$W$2158)</f>
        <v>3026.8500000000004</v>
      </c>
      <c r="L555" s="11">
        <f t="shared" si="26"/>
        <v>4</v>
      </c>
    </row>
    <row r="556" spans="1:12" x14ac:dyDescent="0.4">
      <c r="A556">
        <v>10802</v>
      </c>
      <c r="B556" s="4">
        <v>35093</v>
      </c>
      <c r="C556" t="s">
        <v>543</v>
      </c>
      <c r="D556" s="1" t="s">
        <v>773</v>
      </c>
      <c r="E556">
        <v>235.42500000000001</v>
      </c>
      <c r="F556">
        <v>20</v>
      </c>
      <c r="G556">
        <f t="shared" si="27"/>
        <v>4</v>
      </c>
      <c r="H556">
        <f>SUMIF(OrderDetailsCustomers!$M$2:$M$2158,A556,OrderDetailsCustomers!$W$2:$W$2158)</f>
        <v>2942.8125</v>
      </c>
      <c r="J556">
        <f t="shared" si="25"/>
        <v>4</v>
      </c>
      <c r="K556">
        <f>SUMIF(OrderDetailsCustomers!$M$2:$M$2158,'Order Header'!A556,OrderDetailsCustomers!$W$2:$W$2158)</f>
        <v>2942.8125</v>
      </c>
      <c r="L556" s="11">
        <f t="shared" si="26"/>
        <v>4</v>
      </c>
    </row>
    <row r="557" spans="1:12" x14ac:dyDescent="0.4">
      <c r="A557">
        <v>10803</v>
      </c>
      <c r="B557" s="4">
        <v>35094</v>
      </c>
      <c r="C557" t="s">
        <v>647</v>
      </c>
      <c r="D557" s="1" t="s">
        <v>770</v>
      </c>
      <c r="E557">
        <v>95.440799999999996</v>
      </c>
      <c r="F557">
        <v>20</v>
      </c>
      <c r="G557">
        <f t="shared" si="27"/>
        <v>3</v>
      </c>
      <c r="H557">
        <f>SUMIF(OrderDetailsCustomers!$M$2:$M$2158,A557,OrderDetailsCustomers!$W$2:$W$2158)</f>
        <v>1193.01</v>
      </c>
      <c r="J557">
        <f t="shared" si="25"/>
        <v>3</v>
      </c>
      <c r="K557">
        <f>SUMIF(OrderDetailsCustomers!$M$2:$M$2158,'Order Header'!A557,OrderDetailsCustomers!$W$2:$W$2158)</f>
        <v>1193.01</v>
      </c>
      <c r="L557" s="11">
        <f t="shared" si="26"/>
        <v>3</v>
      </c>
    </row>
    <row r="558" spans="1:12" x14ac:dyDescent="0.4">
      <c r="A558">
        <v>10804</v>
      </c>
      <c r="B558" s="4">
        <v>35094</v>
      </c>
      <c r="C558" t="s">
        <v>536</v>
      </c>
      <c r="D558" s="1" t="s">
        <v>778</v>
      </c>
      <c r="E558">
        <v>182.27200000000002</v>
      </c>
      <c r="F558">
        <v>20</v>
      </c>
      <c r="G558">
        <f t="shared" si="27"/>
        <v>4</v>
      </c>
      <c r="H558">
        <f>SUMIF(OrderDetailsCustomers!$M$2:$M$2158,A558,OrderDetailsCustomers!$W$2:$W$2158)</f>
        <v>2278.4</v>
      </c>
      <c r="J558">
        <f t="shared" si="25"/>
        <v>4</v>
      </c>
      <c r="K558">
        <f>SUMIF(OrderDetailsCustomers!$M$2:$M$2158,'Order Header'!A558,OrderDetailsCustomers!$W$2:$W$2158)</f>
        <v>2278.4</v>
      </c>
      <c r="L558" s="11">
        <f t="shared" si="26"/>
        <v>4</v>
      </c>
    </row>
    <row r="559" spans="1:12" x14ac:dyDescent="0.4">
      <c r="A559">
        <v>10805</v>
      </c>
      <c r="B559" s="4">
        <v>35094</v>
      </c>
      <c r="C559" t="s">
        <v>573</v>
      </c>
      <c r="D559" s="1" t="s">
        <v>781</v>
      </c>
      <c r="E559">
        <v>222</v>
      </c>
      <c r="F559">
        <v>20</v>
      </c>
      <c r="G559">
        <f t="shared" si="27"/>
        <v>4</v>
      </c>
      <c r="H559">
        <f>SUMIF(OrderDetailsCustomers!$M$2:$M$2158,A559,OrderDetailsCustomers!$W$2:$W$2158)</f>
        <v>2775</v>
      </c>
      <c r="J559">
        <f t="shared" si="25"/>
        <v>4</v>
      </c>
      <c r="K559">
        <f>SUMIF(OrderDetailsCustomers!$M$2:$M$2158,'Order Header'!A559,OrderDetailsCustomers!$W$2:$W$2158)</f>
        <v>2775</v>
      </c>
      <c r="L559" s="11">
        <f t="shared" si="26"/>
        <v>4</v>
      </c>
    </row>
    <row r="560" spans="1:12" x14ac:dyDescent="0.4">
      <c r="A560">
        <v>10806</v>
      </c>
      <c r="B560" s="4">
        <v>35095</v>
      </c>
      <c r="C560" t="s">
        <v>619</v>
      </c>
      <c r="D560" s="1" t="s">
        <v>768</v>
      </c>
      <c r="E560">
        <v>35.167999999999999</v>
      </c>
      <c r="F560">
        <v>10</v>
      </c>
      <c r="G560">
        <f t="shared" si="27"/>
        <v>2</v>
      </c>
      <c r="H560">
        <f>SUMIF(OrderDetailsCustomers!$M$2:$M$2158,A560,OrderDetailsCustomers!$W$2:$W$2158)</f>
        <v>439.6</v>
      </c>
      <c r="J560">
        <f t="shared" si="25"/>
        <v>2</v>
      </c>
      <c r="K560">
        <f>SUMIF(OrderDetailsCustomers!$M$2:$M$2158,'Order Header'!A560,OrderDetailsCustomers!$W$2:$W$2158)</f>
        <v>439.6</v>
      </c>
      <c r="L560" s="11">
        <f t="shared" si="26"/>
        <v>2</v>
      </c>
    </row>
    <row r="561" spans="1:12" x14ac:dyDescent="0.4">
      <c r="A561">
        <v>10807</v>
      </c>
      <c r="B561" s="4">
        <v>35095</v>
      </c>
      <c r="C561" t="s">
        <v>211</v>
      </c>
      <c r="D561" s="1" t="s">
        <v>775</v>
      </c>
      <c r="E561">
        <v>1.472</v>
      </c>
      <c r="F561">
        <v>10</v>
      </c>
      <c r="G561">
        <f t="shared" si="27"/>
        <v>1</v>
      </c>
      <c r="H561">
        <f>SUMIF(OrderDetailsCustomers!$M$2:$M$2158,A561,OrderDetailsCustomers!$W$2:$W$2158)</f>
        <v>18.399999999999999</v>
      </c>
      <c r="J561">
        <f t="shared" si="25"/>
        <v>1</v>
      </c>
      <c r="K561">
        <f>SUMIF(OrderDetailsCustomers!$M$2:$M$2158,'Order Header'!A561,OrderDetailsCustomers!$W$2:$W$2158)</f>
        <v>18.399999999999999</v>
      </c>
      <c r="L561" s="11">
        <f t="shared" si="26"/>
        <v>1</v>
      </c>
    </row>
    <row r="562" spans="1:12" x14ac:dyDescent="0.4">
      <c r="A562">
        <v>10808</v>
      </c>
      <c r="B562" s="4">
        <v>35096</v>
      </c>
      <c r="C562" t="s">
        <v>422</v>
      </c>
      <c r="D562" s="1" t="s">
        <v>771</v>
      </c>
      <c r="E562">
        <v>112.88</v>
      </c>
      <c r="F562">
        <v>20</v>
      </c>
      <c r="G562">
        <f t="shared" si="27"/>
        <v>3</v>
      </c>
      <c r="H562">
        <f>SUMIF(OrderDetailsCustomers!$M$2:$M$2158,A562,OrderDetailsCustomers!$W$2:$W$2158)</f>
        <v>1411</v>
      </c>
      <c r="J562">
        <f t="shared" si="25"/>
        <v>3</v>
      </c>
      <c r="K562">
        <f>SUMIF(OrderDetailsCustomers!$M$2:$M$2158,'Order Header'!A562,OrderDetailsCustomers!$W$2:$W$2158)</f>
        <v>1411</v>
      </c>
      <c r="L562" s="11">
        <f t="shared" si="26"/>
        <v>3</v>
      </c>
    </row>
    <row r="563" spans="1:12" x14ac:dyDescent="0.4">
      <c r="A563">
        <v>10809</v>
      </c>
      <c r="B563" s="4">
        <v>35096</v>
      </c>
      <c r="C563" t="s">
        <v>647</v>
      </c>
      <c r="D563" s="1" t="s">
        <v>770</v>
      </c>
      <c r="E563">
        <v>11.200000000000001</v>
      </c>
      <c r="F563">
        <v>10</v>
      </c>
      <c r="G563">
        <f t="shared" si="27"/>
        <v>2</v>
      </c>
      <c r="H563">
        <f>SUMIF(OrderDetailsCustomers!$M$2:$M$2158,A563,OrderDetailsCustomers!$W$2:$W$2158)</f>
        <v>140</v>
      </c>
      <c r="J563">
        <f t="shared" si="25"/>
        <v>2</v>
      </c>
      <c r="K563">
        <f>SUMIF(OrderDetailsCustomers!$M$2:$M$2158,'Order Header'!A563,OrderDetailsCustomers!$W$2:$W$2158)</f>
        <v>140</v>
      </c>
      <c r="L563" s="11">
        <f t="shared" si="26"/>
        <v>2</v>
      </c>
    </row>
    <row r="564" spans="1:12" x14ac:dyDescent="0.4">
      <c r="A564">
        <v>10810</v>
      </c>
      <c r="B564" s="4">
        <v>35096</v>
      </c>
      <c r="C564" t="s">
        <v>325</v>
      </c>
      <c r="D564" s="1" t="s">
        <v>783</v>
      </c>
      <c r="E564">
        <v>14.96</v>
      </c>
      <c r="F564">
        <v>10</v>
      </c>
      <c r="G564">
        <f t="shared" si="27"/>
        <v>2</v>
      </c>
      <c r="H564">
        <f>SUMIF(OrderDetailsCustomers!$M$2:$M$2158,A564,OrderDetailsCustomers!$W$2:$W$2158)</f>
        <v>187</v>
      </c>
      <c r="J564">
        <f t="shared" si="25"/>
        <v>2</v>
      </c>
      <c r="K564">
        <f>SUMIF(OrderDetailsCustomers!$M$2:$M$2158,'Order Header'!A564,OrderDetailsCustomers!$W$2:$W$2158)</f>
        <v>187</v>
      </c>
      <c r="L564" s="11">
        <f t="shared" si="26"/>
        <v>2</v>
      </c>
    </row>
    <row r="565" spans="1:12" x14ac:dyDescent="0.4">
      <c r="A565">
        <v>10811</v>
      </c>
      <c r="B565" s="4">
        <v>35097</v>
      </c>
      <c r="C565" t="s">
        <v>363</v>
      </c>
      <c r="D565" s="1" t="s">
        <v>775</v>
      </c>
      <c r="E565">
        <v>68.16</v>
      </c>
      <c r="F565">
        <v>15</v>
      </c>
      <c r="G565">
        <f t="shared" si="27"/>
        <v>3</v>
      </c>
      <c r="H565">
        <f>SUMIF(OrderDetailsCustomers!$M$2:$M$2158,A565,OrderDetailsCustomers!$W$2:$W$2158)</f>
        <v>852</v>
      </c>
      <c r="J565">
        <f t="shared" si="25"/>
        <v>3</v>
      </c>
      <c r="K565">
        <f>SUMIF(OrderDetailsCustomers!$M$2:$M$2158,'Order Header'!A565,OrderDetailsCustomers!$W$2:$W$2158)</f>
        <v>852</v>
      </c>
      <c r="L565" s="11">
        <f t="shared" si="26"/>
        <v>3</v>
      </c>
    </row>
    <row r="566" spans="1:12" x14ac:dyDescent="0.4">
      <c r="A566">
        <v>10812</v>
      </c>
      <c r="B566" s="4">
        <v>35097</v>
      </c>
      <c r="C566" t="s">
        <v>496</v>
      </c>
      <c r="D566" s="1" t="s">
        <v>779</v>
      </c>
      <c r="E566">
        <v>135.42400000000001</v>
      </c>
      <c r="F566">
        <v>20</v>
      </c>
      <c r="G566">
        <f t="shared" si="27"/>
        <v>3</v>
      </c>
      <c r="H566">
        <f>SUMIF(OrderDetailsCustomers!$M$2:$M$2158,A566,OrderDetailsCustomers!$W$2:$W$2158)</f>
        <v>1692.8</v>
      </c>
      <c r="J566">
        <f t="shared" si="25"/>
        <v>3</v>
      </c>
      <c r="K566">
        <f>SUMIF(OrderDetailsCustomers!$M$2:$M$2158,'Order Header'!A566,OrderDetailsCustomers!$W$2:$W$2158)</f>
        <v>1692.8</v>
      </c>
      <c r="L566" s="11">
        <f t="shared" si="26"/>
        <v>3</v>
      </c>
    </row>
    <row r="567" spans="1:12" x14ac:dyDescent="0.4">
      <c r="A567">
        <v>10813</v>
      </c>
      <c r="B567" s="4">
        <v>35100</v>
      </c>
      <c r="C567" t="s">
        <v>503</v>
      </c>
      <c r="D567" s="1" t="s">
        <v>775</v>
      </c>
      <c r="E567">
        <v>48.192</v>
      </c>
      <c r="F567">
        <v>15</v>
      </c>
      <c r="G567">
        <f t="shared" si="27"/>
        <v>2</v>
      </c>
      <c r="H567">
        <f>SUMIF(OrderDetailsCustomers!$M$2:$M$2158,A567,OrderDetailsCustomers!$W$2:$W$2158)</f>
        <v>602.4</v>
      </c>
      <c r="J567">
        <f t="shared" si="25"/>
        <v>2</v>
      </c>
      <c r="K567">
        <f>SUMIF(OrderDetailsCustomers!$M$2:$M$2158,'Order Header'!A567,OrderDetailsCustomers!$W$2:$W$2158)</f>
        <v>602.4</v>
      </c>
      <c r="L567" s="11">
        <f t="shared" si="26"/>
        <v>2</v>
      </c>
    </row>
    <row r="568" spans="1:12" x14ac:dyDescent="0.4">
      <c r="A568">
        <v>10814</v>
      </c>
      <c r="B568" s="4">
        <v>35100</v>
      </c>
      <c r="C568" t="s">
        <v>619</v>
      </c>
      <c r="D568" s="1" t="s">
        <v>768</v>
      </c>
      <c r="E568">
        <v>143.07599999999999</v>
      </c>
      <c r="F568">
        <v>20</v>
      </c>
      <c r="G568">
        <f t="shared" si="27"/>
        <v>3</v>
      </c>
      <c r="H568">
        <f>SUMIF(OrderDetailsCustomers!$M$2:$M$2158,A568,OrderDetailsCustomers!$W$2:$W$2158)</f>
        <v>1788.45</v>
      </c>
      <c r="J568">
        <f t="shared" si="25"/>
        <v>3</v>
      </c>
      <c r="K568">
        <f>SUMIF(OrderDetailsCustomers!$M$2:$M$2158,'Order Header'!A568,OrderDetailsCustomers!$W$2:$W$2158)</f>
        <v>1788.45</v>
      </c>
      <c r="L568" s="11">
        <f t="shared" si="26"/>
        <v>3</v>
      </c>
    </row>
    <row r="569" spans="1:12" x14ac:dyDescent="0.4">
      <c r="A569">
        <v>10815</v>
      </c>
      <c r="B569" s="4">
        <v>35100</v>
      </c>
      <c r="C569" t="s">
        <v>529</v>
      </c>
      <c r="D569" s="1" t="s">
        <v>780</v>
      </c>
      <c r="E569">
        <v>3.2</v>
      </c>
      <c r="F569">
        <v>10</v>
      </c>
      <c r="G569">
        <f t="shared" si="27"/>
        <v>1</v>
      </c>
      <c r="H569">
        <f>SUMIF(OrderDetailsCustomers!$M$2:$M$2158,A569,OrderDetailsCustomers!$W$2:$W$2158)</f>
        <v>40</v>
      </c>
      <c r="J569">
        <f t="shared" si="25"/>
        <v>1</v>
      </c>
      <c r="K569">
        <f>SUMIF(OrderDetailsCustomers!$M$2:$M$2158,'Order Header'!A569,OrderDetailsCustomers!$W$2:$W$2158)</f>
        <v>40</v>
      </c>
      <c r="L569" s="11">
        <f t="shared" si="26"/>
        <v>1</v>
      </c>
    </row>
    <row r="570" spans="1:12" x14ac:dyDescent="0.4">
      <c r="A570">
        <v>10816</v>
      </c>
      <c r="B570" s="4">
        <v>35101</v>
      </c>
      <c r="C570" t="s">
        <v>247</v>
      </c>
      <c r="D570" s="1" t="s">
        <v>778</v>
      </c>
      <c r="E570">
        <v>675.71600000000012</v>
      </c>
      <c r="F570">
        <v>20</v>
      </c>
      <c r="G570">
        <f t="shared" si="27"/>
        <v>5</v>
      </c>
      <c r="H570">
        <f>SUMIF(OrderDetailsCustomers!$M$2:$M$2158,A570,OrderDetailsCustomers!$W$2:$W$2158)</f>
        <v>8446.4500000000007</v>
      </c>
      <c r="J570">
        <f t="shared" si="25"/>
        <v>5</v>
      </c>
      <c r="K570">
        <f>SUMIF(OrderDetailsCustomers!$M$2:$M$2158,'Order Header'!A570,OrderDetailsCustomers!$W$2:$W$2158)</f>
        <v>8446.4500000000007</v>
      </c>
      <c r="L570" s="11">
        <f t="shared" si="26"/>
        <v>5</v>
      </c>
    </row>
    <row r="571" spans="1:12" x14ac:dyDescent="0.4">
      <c r="A571">
        <v>10817</v>
      </c>
      <c r="B571" s="4">
        <v>35101</v>
      </c>
      <c r="C571" t="s">
        <v>305</v>
      </c>
      <c r="D571" s="1" t="s">
        <v>766</v>
      </c>
      <c r="E571">
        <v>876.22759999999994</v>
      </c>
      <c r="F571">
        <v>20</v>
      </c>
      <c r="G571">
        <f t="shared" si="27"/>
        <v>5</v>
      </c>
      <c r="H571">
        <f>SUMIF(OrderDetailsCustomers!$M$2:$M$2158,A571,OrderDetailsCustomers!$W$2:$W$2158)</f>
        <v>10952.844999999999</v>
      </c>
      <c r="J571">
        <f t="shared" si="25"/>
        <v>5</v>
      </c>
      <c r="K571">
        <f>SUMIF(OrderDetailsCustomers!$M$2:$M$2158,'Order Header'!A571,OrderDetailsCustomers!$W$2:$W$2158)</f>
        <v>10952.844999999999</v>
      </c>
      <c r="L571" s="11">
        <f t="shared" si="26"/>
        <v>5</v>
      </c>
    </row>
    <row r="572" spans="1:12" x14ac:dyDescent="0.4">
      <c r="A572">
        <v>10818</v>
      </c>
      <c r="B572" s="4">
        <v>35102</v>
      </c>
      <c r="C572" t="s">
        <v>378</v>
      </c>
      <c r="D572" s="1" t="s">
        <v>776</v>
      </c>
      <c r="E572">
        <v>66.64</v>
      </c>
      <c r="F572">
        <v>15</v>
      </c>
      <c r="G572">
        <f t="shared" si="27"/>
        <v>3</v>
      </c>
      <c r="H572">
        <f>SUMIF(OrderDetailsCustomers!$M$2:$M$2158,A572,OrderDetailsCustomers!$W$2:$W$2158)</f>
        <v>833</v>
      </c>
      <c r="J572">
        <f t="shared" si="25"/>
        <v>3</v>
      </c>
      <c r="K572">
        <f>SUMIF(OrderDetailsCustomers!$M$2:$M$2158,'Order Header'!A572,OrderDetailsCustomers!$W$2:$W$2158)</f>
        <v>833</v>
      </c>
      <c r="L572" s="11">
        <f t="shared" si="26"/>
        <v>3</v>
      </c>
    </row>
    <row r="573" spans="1:12" x14ac:dyDescent="0.4">
      <c r="A573">
        <v>10819</v>
      </c>
      <c r="B573" s="4">
        <v>35102</v>
      </c>
      <c r="C573" t="s">
        <v>101</v>
      </c>
      <c r="D573" s="1" t="s">
        <v>778</v>
      </c>
      <c r="E573">
        <v>38.160000000000004</v>
      </c>
      <c r="F573">
        <v>10</v>
      </c>
      <c r="G573">
        <f t="shared" si="27"/>
        <v>2</v>
      </c>
      <c r="H573">
        <f>SUMIF(OrderDetailsCustomers!$M$2:$M$2158,A573,OrderDetailsCustomers!$W$2:$W$2158)</f>
        <v>477</v>
      </c>
      <c r="J573">
        <f t="shared" si="25"/>
        <v>2</v>
      </c>
      <c r="K573">
        <f>SUMIF(OrderDetailsCustomers!$M$2:$M$2158,'Order Header'!A573,OrderDetailsCustomers!$W$2:$W$2158)</f>
        <v>477</v>
      </c>
      <c r="L573" s="11">
        <f t="shared" si="26"/>
        <v>2</v>
      </c>
    </row>
    <row r="574" spans="1:12" x14ac:dyDescent="0.4">
      <c r="A574">
        <v>10820</v>
      </c>
      <c r="B574" s="4">
        <v>35102</v>
      </c>
      <c r="C574" t="s">
        <v>487</v>
      </c>
      <c r="D574" s="1" t="s">
        <v>765</v>
      </c>
      <c r="E574">
        <v>91.2</v>
      </c>
      <c r="F574">
        <v>20</v>
      </c>
      <c r="G574">
        <f t="shared" si="27"/>
        <v>3</v>
      </c>
      <c r="H574">
        <f>SUMIF(OrderDetailsCustomers!$M$2:$M$2158,A574,OrderDetailsCustomers!$W$2:$W$2158)</f>
        <v>1140</v>
      </c>
      <c r="J574">
        <f t="shared" si="25"/>
        <v>3</v>
      </c>
      <c r="K574">
        <f>SUMIF(OrderDetailsCustomers!$M$2:$M$2158,'Order Header'!A574,OrderDetailsCustomers!$W$2:$W$2158)</f>
        <v>1140</v>
      </c>
      <c r="L574" s="11">
        <f t="shared" si="26"/>
        <v>3</v>
      </c>
    </row>
    <row r="575" spans="1:12" x14ac:dyDescent="0.4">
      <c r="A575">
        <v>10821</v>
      </c>
      <c r="B575" s="4">
        <v>35103</v>
      </c>
      <c r="C575" t="s">
        <v>557</v>
      </c>
      <c r="D575" s="1" t="s">
        <v>771</v>
      </c>
      <c r="E575">
        <v>54.24</v>
      </c>
      <c r="F575">
        <v>15</v>
      </c>
      <c r="G575">
        <f t="shared" si="27"/>
        <v>3</v>
      </c>
      <c r="H575">
        <f>SUMIF(OrderDetailsCustomers!$M$2:$M$2158,A575,OrderDetailsCustomers!$W$2:$W$2158)</f>
        <v>678</v>
      </c>
      <c r="J575">
        <f t="shared" si="25"/>
        <v>3</v>
      </c>
      <c r="K575">
        <f>SUMIF(OrderDetailsCustomers!$M$2:$M$2158,'Order Header'!A575,OrderDetailsCustomers!$W$2:$W$2158)</f>
        <v>678</v>
      </c>
      <c r="L575" s="11">
        <f t="shared" si="26"/>
        <v>3</v>
      </c>
    </row>
    <row r="576" spans="1:12" x14ac:dyDescent="0.4">
      <c r="A576">
        <v>10822</v>
      </c>
      <c r="B576" s="4">
        <v>35103</v>
      </c>
      <c r="C576" t="s">
        <v>605</v>
      </c>
      <c r="D576" s="1" t="s">
        <v>783</v>
      </c>
      <c r="E576">
        <v>19.032</v>
      </c>
      <c r="F576">
        <v>10</v>
      </c>
      <c r="G576">
        <f t="shared" si="27"/>
        <v>2</v>
      </c>
      <c r="H576">
        <f>SUMIF(OrderDetailsCustomers!$M$2:$M$2158,A576,OrderDetailsCustomers!$W$2:$W$2158)</f>
        <v>237.89999999999998</v>
      </c>
      <c r="J576">
        <f t="shared" si="25"/>
        <v>2</v>
      </c>
      <c r="K576">
        <f>SUMIF(OrderDetailsCustomers!$M$2:$M$2158,'Order Header'!A576,OrderDetailsCustomers!$W$2:$W$2158)</f>
        <v>237.89999999999998</v>
      </c>
      <c r="L576" s="11">
        <f t="shared" si="26"/>
        <v>2</v>
      </c>
    </row>
    <row r="577" spans="1:12" x14ac:dyDescent="0.4">
      <c r="A577">
        <v>10823</v>
      </c>
      <c r="B577" s="4">
        <v>35104</v>
      </c>
      <c r="C577" t="s">
        <v>355</v>
      </c>
      <c r="D577" s="1" t="s">
        <v>779</v>
      </c>
      <c r="E577">
        <v>226.08</v>
      </c>
      <c r="F577">
        <v>20</v>
      </c>
      <c r="G577">
        <f t="shared" si="27"/>
        <v>4</v>
      </c>
      <c r="H577">
        <f>SUMIF(OrderDetailsCustomers!$M$2:$M$2158,A577,OrderDetailsCustomers!$W$2:$W$2158)</f>
        <v>2826</v>
      </c>
      <c r="J577">
        <f t="shared" si="25"/>
        <v>4</v>
      </c>
      <c r="K577">
        <f>SUMIF(OrderDetailsCustomers!$M$2:$M$2158,'Order Header'!A577,OrderDetailsCustomers!$W$2:$W$2158)</f>
        <v>2826</v>
      </c>
      <c r="L577" s="11">
        <f t="shared" si="26"/>
        <v>4</v>
      </c>
    </row>
    <row r="578" spans="1:12" x14ac:dyDescent="0.4">
      <c r="A578">
        <v>10824</v>
      </c>
      <c r="B578" s="4">
        <v>35104</v>
      </c>
      <c r="C578" t="s">
        <v>191</v>
      </c>
      <c r="D578" s="1" t="s">
        <v>768</v>
      </c>
      <c r="E578">
        <v>20.064</v>
      </c>
      <c r="F578">
        <v>10</v>
      </c>
      <c r="G578">
        <f t="shared" si="27"/>
        <v>2</v>
      </c>
      <c r="H578">
        <f>SUMIF(OrderDetailsCustomers!$M$2:$M$2158,A578,OrderDetailsCustomers!$W$2:$W$2158)</f>
        <v>250.8</v>
      </c>
      <c r="J578">
        <f t="shared" si="25"/>
        <v>2</v>
      </c>
      <c r="K578">
        <f>SUMIF(OrderDetailsCustomers!$M$2:$M$2158,'Order Header'!A578,OrderDetailsCustomers!$W$2:$W$2158)</f>
        <v>250.8</v>
      </c>
      <c r="L578" s="11">
        <f t="shared" si="26"/>
        <v>2</v>
      </c>
    </row>
    <row r="579" spans="1:12" x14ac:dyDescent="0.4">
      <c r="A579">
        <v>10825</v>
      </c>
      <c r="B579" s="4">
        <v>35104</v>
      </c>
      <c r="C579" t="s">
        <v>140</v>
      </c>
      <c r="D579" s="1" t="s">
        <v>781</v>
      </c>
      <c r="E579">
        <v>82.460800000000006</v>
      </c>
      <c r="F579">
        <v>20</v>
      </c>
      <c r="G579">
        <f t="shared" si="27"/>
        <v>3</v>
      </c>
      <c r="H579">
        <f>SUMIF(OrderDetailsCustomers!$M$2:$M$2158,A579,OrderDetailsCustomers!$W$2:$W$2158)</f>
        <v>1030.76</v>
      </c>
      <c r="J579">
        <f t="shared" ref="J579:J642" si="28">VLOOKUP(E579,$T$1:$U$7,2,TRUE)</f>
        <v>3</v>
      </c>
      <c r="K579">
        <f>SUMIF(OrderDetailsCustomers!$M$2:$M$2158,'Order Header'!A579,OrderDetailsCustomers!$W$2:$W$2158)</f>
        <v>1030.76</v>
      </c>
      <c r="L579" s="11">
        <f t="shared" ref="L579:L642" si="29">VLOOKUP(E579,$T$1:$U$7,2,TRUE)</f>
        <v>3</v>
      </c>
    </row>
    <row r="580" spans="1:12" x14ac:dyDescent="0.4">
      <c r="A580">
        <v>10826</v>
      </c>
      <c r="B580" s="4">
        <v>35107</v>
      </c>
      <c r="C580" t="s">
        <v>60</v>
      </c>
      <c r="D580" s="1" t="s">
        <v>775</v>
      </c>
      <c r="E580">
        <v>58.4</v>
      </c>
      <c r="F580">
        <v>15</v>
      </c>
      <c r="G580">
        <f t="shared" si="27"/>
        <v>3</v>
      </c>
      <c r="H580">
        <f>SUMIF(OrderDetailsCustomers!$M$2:$M$2158,A580,OrderDetailsCustomers!$W$2:$W$2158)</f>
        <v>730</v>
      </c>
      <c r="J580">
        <f t="shared" si="28"/>
        <v>3</v>
      </c>
      <c r="K580">
        <f>SUMIF(OrderDetailsCustomers!$M$2:$M$2158,'Order Header'!A580,OrderDetailsCustomers!$W$2:$W$2158)</f>
        <v>730</v>
      </c>
      <c r="L580" s="11">
        <f t="shared" si="29"/>
        <v>3</v>
      </c>
    </row>
    <row r="581" spans="1:12" x14ac:dyDescent="0.4">
      <c r="A581">
        <v>10827</v>
      </c>
      <c r="B581" s="4">
        <v>35107</v>
      </c>
      <c r="C581" t="s">
        <v>77</v>
      </c>
      <c r="D581" s="1" t="s">
        <v>776</v>
      </c>
      <c r="E581">
        <v>67.44</v>
      </c>
      <c r="F581">
        <v>15</v>
      </c>
      <c r="G581">
        <f t="shared" si="27"/>
        <v>3</v>
      </c>
      <c r="H581">
        <f>SUMIF(OrderDetailsCustomers!$M$2:$M$2158,A581,OrderDetailsCustomers!$W$2:$W$2158)</f>
        <v>843</v>
      </c>
      <c r="J581">
        <f t="shared" si="28"/>
        <v>3</v>
      </c>
      <c r="K581">
        <f>SUMIF(OrderDetailsCustomers!$M$2:$M$2158,'Order Header'!A581,OrderDetailsCustomers!$W$2:$W$2158)</f>
        <v>843</v>
      </c>
      <c r="L581" s="11">
        <f t="shared" si="29"/>
        <v>3</v>
      </c>
    </row>
    <row r="582" spans="1:12" x14ac:dyDescent="0.4">
      <c r="A582">
        <v>10828</v>
      </c>
      <c r="B582" s="4">
        <v>35108</v>
      </c>
      <c r="C582" t="s">
        <v>481</v>
      </c>
      <c r="D582" s="1" t="s">
        <v>768</v>
      </c>
      <c r="E582">
        <v>74.56</v>
      </c>
      <c r="F582">
        <v>15</v>
      </c>
      <c r="G582">
        <f t="shared" si="27"/>
        <v>3</v>
      </c>
      <c r="H582">
        <f>SUMIF(OrderDetailsCustomers!$M$2:$M$2158,A582,OrderDetailsCustomers!$W$2:$W$2158)</f>
        <v>932</v>
      </c>
      <c r="J582">
        <f t="shared" si="28"/>
        <v>3</v>
      </c>
      <c r="K582">
        <f>SUMIF(OrderDetailsCustomers!$M$2:$M$2158,'Order Header'!A582,OrderDetailsCustomers!$W$2:$W$2158)</f>
        <v>932</v>
      </c>
      <c r="L582" s="11">
        <f t="shared" si="29"/>
        <v>3</v>
      </c>
    </row>
    <row r="583" spans="1:12" x14ac:dyDescent="0.4">
      <c r="A583">
        <v>10829</v>
      </c>
      <c r="B583" s="4">
        <v>35108</v>
      </c>
      <c r="C583" t="s">
        <v>297</v>
      </c>
      <c r="D583" s="1" t="s">
        <v>784</v>
      </c>
      <c r="E583">
        <v>141.12</v>
      </c>
      <c r="F583">
        <v>20</v>
      </c>
      <c r="G583">
        <f t="shared" si="27"/>
        <v>3</v>
      </c>
      <c r="H583">
        <f>SUMIF(OrderDetailsCustomers!$M$2:$M$2158,A583,OrderDetailsCustomers!$W$2:$W$2158)</f>
        <v>1764</v>
      </c>
      <c r="J583">
        <f t="shared" si="28"/>
        <v>3</v>
      </c>
      <c r="K583">
        <f>SUMIF(OrderDetailsCustomers!$M$2:$M$2158,'Order Header'!A583,OrderDetailsCustomers!$W$2:$W$2158)</f>
        <v>1764</v>
      </c>
      <c r="L583" s="11">
        <f t="shared" si="29"/>
        <v>3</v>
      </c>
    </row>
    <row r="584" spans="1:12" x14ac:dyDescent="0.4">
      <c r="A584">
        <v>10830</v>
      </c>
      <c r="B584" s="4">
        <v>35108</v>
      </c>
      <c r="C584" t="s">
        <v>598</v>
      </c>
      <c r="D584" s="1" t="s">
        <v>774</v>
      </c>
      <c r="E584">
        <v>157.92000000000002</v>
      </c>
      <c r="F584">
        <v>20</v>
      </c>
      <c r="G584">
        <f t="shared" si="27"/>
        <v>4</v>
      </c>
      <c r="H584">
        <f>SUMIF(OrderDetailsCustomers!$M$2:$M$2158,A584,OrderDetailsCustomers!$W$2:$W$2158)</f>
        <v>1974</v>
      </c>
      <c r="J584">
        <f t="shared" si="28"/>
        <v>4</v>
      </c>
      <c r="K584">
        <f>SUMIF(OrderDetailsCustomers!$M$2:$M$2158,'Order Header'!A584,OrderDetailsCustomers!$W$2:$W$2158)</f>
        <v>1974</v>
      </c>
      <c r="L584" s="11">
        <f t="shared" si="29"/>
        <v>4</v>
      </c>
    </row>
    <row r="585" spans="1:12" x14ac:dyDescent="0.4">
      <c r="A585">
        <v>10831</v>
      </c>
      <c r="B585" s="4">
        <v>35109</v>
      </c>
      <c r="C585" t="s">
        <v>521</v>
      </c>
      <c r="D585" s="1" t="s">
        <v>782</v>
      </c>
      <c r="E585">
        <v>214.75200000000001</v>
      </c>
      <c r="F585">
        <v>20</v>
      </c>
      <c r="G585">
        <f t="shared" si="27"/>
        <v>4</v>
      </c>
      <c r="H585">
        <f>SUMIF(OrderDetailsCustomers!$M$2:$M$2158,A585,OrderDetailsCustomers!$W$2:$W$2158)</f>
        <v>2684.4</v>
      </c>
      <c r="J585">
        <f t="shared" si="28"/>
        <v>4</v>
      </c>
      <c r="K585">
        <f>SUMIF(OrderDetailsCustomers!$M$2:$M$2158,'Order Header'!A585,OrderDetailsCustomers!$W$2:$W$2158)</f>
        <v>2684.4</v>
      </c>
      <c r="L585" s="11">
        <f t="shared" si="29"/>
        <v>4</v>
      </c>
    </row>
    <row r="586" spans="1:12" x14ac:dyDescent="0.4">
      <c r="A586">
        <v>10832</v>
      </c>
      <c r="B586" s="4">
        <v>35109</v>
      </c>
      <c r="C586" t="s">
        <v>318</v>
      </c>
      <c r="D586" s="1" t="s">
        <v>774</v>
      </c>
      <c r="E586">
        <v>38.008800000000001</v>
      </c>
      <c r="F586">
        <v>10</v>
      </c>
      <c r="G586">
        <f t="shared" si="27"/>
        <v>2</v>
      </c>
      <c r="H586">
        <f>SUMIF(OrderDetailsCustomers!$M$2:$M$2158,A586,OrderDetailsCustomers!$W$2:$W$2158)</f>
        <v>475.11</v>
      </c>
      <c r="J586">
        <f t="shared" si="28"/>
        <v>2</v>
      </c>
      <c r="K586">
        <f>SUMIF(OrderDetailsCustomers!$M$2:$M$2158,'Order Header'!A586,OrderDetailsCustomers!$W$2:$W$2158)</f>
        <v>475.11</v>
      </c>
      <c r="L586" s="11">
        <f t="shared" si="29"/>
        <v>2</v>
      </c>
    </row>
    <row r="587" spans="1:12" x14ac:dyDescent="0.4">
      <c r="A587">
        <v>10833</v>
      </c>
      <c r="B587" s="4">
        <v>35110</v>
      </c>
      <c r="C587" t="s">
        <v>430</v>
      </c>
      <c r="D587" s="1" t="s">
        <v>769</v>
      </c>
      <c r="E587">
        <v>72.554400000000001</v>
      </c>
      <c r="F587">
        <v>15</v>
      </c>
      <c r="G587">
        <f t="shared" si="27"/>
        <v>3</v>
      </c>
      <c r="H587">
        <f>SUMIF(OrderDetailsCustomers!$M$2:$M$2158,A587,OrderDetailsCustomers!$W$2:$W$2158)</f>
        <v>906.93000000000006</v>
      </c>
      <c r="J587">
        <f t="shared" si="28"/>
        <v>3</v>
      </c>
      <c r="K587">
        <f>SUMIF(OrderDetailsCustomers!$M$2:$M$2158,'Order Header'!A587,OrderDetailsCustomers!$W$2:$W$2158)</f>
        <v>906.93000000000006</v>
      </c>
      <c r="L587" s="11">
        <f t="shared" si="29"/>
        <v>3</v>
      </c>
    </row>
    <row r="588" spans="1:12" x14ac:dyDescent="0.4">
      <c r="A588">
        <v>10834</v>
      </c>
      <c r="B588" s="4">
        <v>35110</v>
      </c>
      <c r="C588" t="s">
        <v>598</v>
      </c>
      <c r="D588" s="1" t="s">
        <v>774</v>
      </c>
      <c r="E588">
        <v>114.61712</v>
      </c>
      <c r="F588">
        <v>20</v>
      </c>
      <c r="G588">
        <f t="shared" si="27"/>
        <v>3</v>
      </c>
      <c r="H588">
        <f>SUMIF(OrderDetailsCustomers!$M$2:$M$2158,A588,OrderDetailsCustomers!$W$2:$W$2158)</f>
        <v>1432.7139999999999</v>
      </c>
      <c r="J588">
        <f t="shared" si="28"/>
        <v>3</v>
      </c>
      <c r="K588">
        <f>SUMIF(OrderDetailsCustomers!$M$2:$M$2158,'Order Header'!A588,OrderDetailsCustomers!$W$2:$W$2158)</f>
        <v>1432.7139999999999</v>
      </c>
      <c r="L588" s="11">
        <f t="shared" si="29"/>
        <v>3</v>
      </c>
    </row>
    <row r="589" spans="1:12" x14ac:dyDescent="0.4">
      <c r="A589">
        <v>10835</v>
      </c>
      <c r="B589" s="4">
        <v>35110</v>
      </c>
      <c r="C589" t="s">
        <v>11</v>
      </c>
      <c r="D589" s="1" t="s">
        <v>774</v>
      </c>
      <c r="E589">
        <v>67.664000000000001</v>
      </c>
      <c r="F589">
        <v>15</v>
      </c>
      <c r="G589">
        <f t="shared" si="27"/>
        <v>3</v>
      </c>
      <c r="H589">
        <f>SUMIF(OrderDetailsCustomers!$M$2:$M$2158,A589,OrderDetailsCustomers!$W$2:$W$2158)</f>
        <v>845.8</v>
      </c>
      <c r="J589">
        <f t="shared" si="28"/>
        <v>3</v>
      </c>
      <c r="K589">
        <f>SUMIF(OrderDetailsCustomers!$M$2:$M$2158,'Order Header'!A589,OrderDetailsCustomers!$W$2:$W$2158)</f>
        <v>845.8</v>
      </c>
      <c r="L589" s="11">
        <f t="shared" si="29"/>
        <v>3</v>
      </c>
    </row>
    <row r="590" spans="1:12" x14ac:dyDescent="0.4">
      <c r="A590">
        <v>10836</v>
      </c>
      <c r="B590" s="4">
        <v>35111</v>
      </c>
      <c r="C590" t="s">
        <v>161</v>
      </c>
      <c r="D590" s="1" t="s">
        <v>772</v>
      </c>
      <c r="E590">
        <v>376.44</v>
      </c>
      <c r="F590">
        <v>20</v>
      </c>
      <c r="G590">
        <f t="shared" si="27"/>
        <v>5</v>
      </c>
      <c r="H590">
        <f>SUMIF(OrderDetailsCustomers!$M$2:$M$2158,A590,OrderDetailsCustomers!$W$2:$W$2158)</f>
        <v>4705.5</v>
      </c>
      <c r="J590">
        <f t="shared" si="28"/>
        <v>5</v>
      </c>
      <c r="K590">
        <f>SUMIF(OrderDetailsCustomers!$M$2:$M$2158,'Order Header'!A590,OrderDetailsCustomers!$W$2:$W$2158)</f>
        <v>4705.5</v>
      </c>
      <c r="L590" s="11">
        <f t="shared" si="29"/>
        <v>5</v>
      </c>
    </row>
    <row r="591" spans="1:12" x14ac:dyDescent="0.4">
      <c r="A591">
        <v>10837</v>
      </c>
      <c r="B591" s="4">
        <v>35111</v>
      </c>
      <c r="C591" t="s">
        <v>43</v>
      </c>
      <c r="D591" s="1" t="s">
        <v>765</v>
      </c>
      <c r="E591">
        <v>85.16</v>
      </c>
      <c r="F591">
        <v>20</v>
      </c>
      <c r="G591">
        <f t="shared" si="27"/>
        <v>3</v>
      </c>
      <c r="H591">
        <f>SUMIF(OrderDetailsCustomers!$M$2:$M$2158,A591,OrderDetailsCustomers!$W$2:$W$2158)</f>
        <v>1064.5</v>
      </c>
      <c r="J591">
        <f t="shared" si="28"/>
        <v>3</v>
      </c>
      <c r="K591">
        <f>SUMIF(OrderDetailsCustomers!$M$2:$M$2158,'Order Header'!A591,OrderDetailsCustomers!$W$2:$W$2158)</f>
        <v>1064.5</v>
      </c>
      <c r="L591" s="11">
        <f t="shared" si="29"/>
        <v>3</v>
      </c>
    </row>
    <row r="592" spans="1:12" x14ac:dyDescent="0.4">
      <c r="A592">
        <v>10838</v>
      </c>
      <c r="B592" s="4">
        <v>35114</v>
      </c>
      <c r="C592" t="s">
        <v>363</v>
      </c>
      <c r="D592" s="1" t="s">
        <v>775</v>
      </c>
      <c r="E592">
        <v>155.07</v>
      </c>
      <c r="F592">
        <v>20</v>
      </c>
      <c r="G592">
        <f t="shared" si="27"/>
        <v>4</v>
      </c>
      <c r="H592">
        <f>SUMIF(OrderDetailsCustomers!$M$2:$M$2158,A592,OrderDetailsCustomers!$W$2:$W$2158)</f>
        <v>1938.375</v>
      </c>
      <c r="J592">
        <f t="shared" si="28"/>
        <v>4</v>
      </c>
      <c r="K592">
        <f>SUMIF(OrderDetailsCustomers!$M$2:$M$2158,'Order Header'!A592,OrderDetailsCustomers!$W$2:$W$2158)</f>
        <v>1938.375</v>
      </c>
      <c r="L592" s="11">
        <f t="shared" si="29"/>
        <v>4</v>
      </c>
    </row>
    <row r="593" spans="1:12" x14ac:dyDescent="0.4">
      <c r="A593">
        <v>10839</v>
      </c>
      <c r="B593" s="4">
        <v>35114</v>
      </c>
      <c r="C593" t="s">
        <v>598</v>
      </c>
      <c r="D593" s="1" t="s">
        <v>774</v>
      </c>
      <c r="E593">
        <v>66.203999999999994</v>
      </c>
      <c r="F593">
        <v>15</v>
      </c>
      <c r="G593">
        <f t="shared" si="27"/>
        <v>3</v>
      </c>
      <c r="H593">
        <f>SUMIF(OrderDetailsCustomers!$M$2:$M$2158,A593,OrderDetailsCustomers!$W$2:$W$2158)</f>
        <v>827.55</v>
      </c>
      <c r="J593">
        <f t="shared" si="28"/>
        <v>3</v>
      </c>
      <c r="K593">
        <f>SUMIF(OrderDetailsCustomers!$M$2:$M$2158,'Order Header'!A593,OrderDetailsCustomers!$W$2:$W$2158)</f>
        <v>827.55</v>
      </c>
      <c r="L593" s="11">
        <f t="shared" si="29"/>
        <v>3</v>
      </c>
    </row>
    <row r="594" spans="1:12" x14ac:dyDescent="0.4">
      <c r="A594">
        <v>10840</v>
      </c>
      <c r="B594" s="4">
        <v>35114</v>
      </c>
      <c r="C594" t="s">
        <v>363</v>
      </c>
      <c r="D594" s="1" t="s">
        <v>775</v>
      </c>
      <c r="E594">
        <v>16.896000000000001</v>
      </c>
      <c r="F594">
        <v>10</v>
      </c>
      <c r="G594">
        <f t="shared" si="27"/>
        <v>2</v>
      </c>
      <c r="H594">
        <f>SUMIF(OrderDetailsCustomers!$M$2:$M$2158,A594,OrderDetailsCustomers!$W$2:$W$2158)</f>
        <v>211.2</v>
      </c>
      <c r="J594">
        <f t="shared" si="28"/>
        <v>2</v>
      </c>
      <c r="K594">
        <f>SUMIF(OrderDetailsCustomers!$M$2:$M$2158,'Order Header'!A594,OrderDetailsCustomers!$W$2:$W$2158)</f>
        <v>211.2</v>
      </c>
      <c r="L594" s="11">
        <f t="shared" si="29"/>
        <v>2</v>
      </c>
    </row>
    <row r="595" spans="1:12" x14ac:dyDescent="0.4">
      <c r="A595">
        <v>10841</v>
      </c>
      <c r="B595" s="4">
        <v>35115</v>
      </c>
      <c r="C595" t="s">
        <v>565</v>
      </c>
      <c r="D595" s="1" t="s">
        <v>769</v>
      </c>
      <c r="E595">
        <v>366.48</v>
      </c>
      <c r="F595">
        <v>20</v>
      </c>
      <c r="G595">
        <f t="shared" si="27"/>
        <v>5</v>
      </c>
      <c r="H595">
        <f>SUMIF(OrderDetailsCustomers!$M$2:$M$2158,A595,OrderDetailsCustomers!$W$2:$W$2158)</f>
        <v>4581</v>
      </c>
      <c r="J595">
        <f t="shared" si="28"/>
        <v>5</v>
      </c>
      <c r="K595">
        <f>SUMIF(OrderDetailsCustomers!$M$2:$M$2158,'Order Header'!A595,OrderDetailsCustomers!$W$2:$W$2158)</f>
        <v>4581</v>
      </c>
      <c r="L595" s="11">
        <f t="shared" si="29"/>
        <v>5</v>
      </c>
    </row>
    <row r="596" spans="1:12" x14ac:dyDescent="0.4">
      <c r="A596">
        <v>10842</v>
      </c>
      <c r="B596" s="4">
        <v>35115</v>
      </c>
      <c r="C596" t="s">
        <v>593</v>
      </c>
      <c r="D596" s="1" t="s">
        <v>772</v>
      </c>
      <c r="E596">
        <v>78</v>
      </c>
      <c r="F596">
        <v>15</v>
      </c>
      <c r="G596">
        <f t="shared" si="27"/>
        <v>3</v>
      </c>
      <c r="H596">
        <f>SUMIF(OrderDetailsCustomers!$M$2:$M$2158,A596,OrderDetailsCustomers!$W$2:$W$2158)</f>
        <v>975</v>
      </c>
      <c r="J596">
        <f t="shared" si="28"/>
        <v>3</v>
      </c>
      <c r="K596">
        <f>SUMIF(OrderDetailsCustomers!$M$2:$M$2158,'Order Header'!A596,OrderDetailsCustomers!$W$2:$W$2158)</f>
        <v>975</v>
      </c>
      <c r="L596" s="11">
        <f t="shared" si="29"/>
        <v>3</v>
      </c>
    </row>
    <row r="597" spans="1:12" x14ac:dyDescent="0.4">
      <c r="A597">
        <v>10843</v>
      </c>
      <c r="B597" s="4">
        <v>35116</v>
      </c>
      <c r="C597" t="s">
        <v>619</v>
      </c>
      <c r="D597" s="1" t="s">
        <v>768</v>
      </c>
      <c r="E597">
        <v>12.72</v>
      </c>
      <c r="F597">
        <v>10</v>
      </c>
      <c r="G597">
        <f t="shared" ref="G597:G660" si="30">VLOOKUP(E597,$T$1:$U$7,2,TRUE)</f>
        <v>2</v>
      </c>
      <c r="H597">
        <f>SUMIF(OrderDetailsCustomers!$M$2:$M$2158,A597,OrderDetailsCustomers!$W$2:$W$2158)</f>
        <v>159</v>
      </c>
      <c r="J597">
        <f t="shared" si="28"/>
        <v>2</v>
      </c>
      <c r="K597">
        <f>SUMIF(OrderDetailsCustomers!$M$2:$M$2158,'Order Header'!A597,OrderDetailsCustomers!$W$2:$W$2158)</f>
        <v>159</v>
      </c>
      <c r="L597" s="11">
        <f t="shared" si="29"/>
        <v>2</v>
      </c>
    </row>
    <row r="598" spans="1:12" x14ac:dyDescent="0.4">
      <c r="A598">
        <v>10844</v>
      </c>
      <c r="B598" s="4">
        <v>35116</v>
      </c>
      <c r="C598" t="s">
        <v>450</v>
      </c>
      <c r="D598" s="1" t="s">
        <v>766</v>
      </c>
      <c r="E598">
        <v>58.800000000000004</v>
      </c>
      <c r="F598">
        <v>15</v>
      </c>
      <c r="G598">
        <f t="shared" si="30"/>
        <v>3</v>
      </c>
      <c r="H598">
        <f>SUMIF(OrderDetailsCustomers!$M$2:$M$2158,A598,OrderDetailsCustomers!$W$2:$W$2158)</f>
        <v>735</v>
      </c>
      <c r="J598">
        <f t="shared" si="28"/>
        <v>3</v>
      </c>
      <c r="K598">
        <f>SUMIF(OrderDetailsCustomers!$M$2:$M$2158,'Order Header'!A598,OrderDetailsCustomers!$W$2:$W$2158)</f>
        <v>735</v>
      </c>
      <c r="L598" s="11">
        <f t="shared" si="29"/>
        <v>3</v>
      </c>
    </row>
    <row r="599" spans="1:12" x14ac:dyDescent="0.4">
      <c r="A599">
        <v>10845</v>
      </c>
      <c r="B599" s="4">
        <v>35116</v>
      </c>
      <c r="C599" t="s">
        <v>475</v>
      </c>
      <c r="D599" s="1" t="s">
        <v>777</v>
      </c>
      <c r="E599">
        <v>305.01600000000002</v>
      </c>
      <c r="F599">
        <v>20</v>
      </c>
      <c r="G599">
        <f t="shared" si="30"/>
        <v>5</v>
      </c>
      <c r="H599">
        <f>SUMIF(OrderDetailsCustomers!$M$2:$M$2158,A599,OrderDetailsCustomers!$W$2:$W$2158)</f>
        <v>3812.7</v>
      </c>
      <c r="J599">
        <f t="shared" si="28"/>
        <v>5</v>
      </c>
      <c r="K599">
        <f>SUMIF(OrderDetailsCustomers!$M$2:$M$2158,'Order Header'!A599,OrderDetailsCustomers!$W$2:$W$2158)</f>
        <v>3812.7</v>
      </c>
      <c r="L599" s="11">
        <f t="shared" si="29"/>
        <v>5</v>
      </c>
    </row>
    <row r="600" spans="1:12" x14ac:dyDescent="0.4">
      <c r="A600">
        <v>10846</v>
      </c>
      <c r="B600" s="4">
        <v>35117</v>
      </c>
      <c r="C600" t="s">
        <v>565</v>
      </c>
      <c r="D600" s="1" t="s">
        <v>769</v>
      </c>
      <c r="E600">
        <v>88.960000000000008</v>
      </c>
      <c r="F600">
        <v>20</v>
      </c>
      <c r="G600">
        <f t="shared" si="30"/>
        <v>3</v>
      </c>
      <c r="H600">
        <f>SUMIF(OrderDetailsCustomers!$M$2:$M$2158,A600,OrderDetailsCustomers!$W$2:$W$2158)</f>
        <v>1112</v>
      </c>
      <c r="J600">
        <f t="shared" si="28"/>
        <v>3</v>
      </c>
      <c r="K600">
        <f>SUMIF(OrderDetailsCustomers!$M$2:$M$2158,'Order Header'!A600,OrderDetailsCustomers!$W$2:$W$2158)</f>
        <v>1112</v>
      </c>
      <c r="L600" s="11">
        <f t="shared" si="29"/>
        <v>3</v>
      </c>
    </row>
    <row r="601" spans="1:12" x14ac:dyDescent="0.4">
      <c r="A601">
        <v>10847</v>
      </c>
      <c r="B601" s="4">
        <v>35117</v>
      </c>
      <c r="C601" t="s">
        <v>529</v>
      </c>
      <c r="D601" s="1" t="s">
        <v>780</v>
      </c>
      <c r="E601">
        <v>394.55360000000002</v>
      </c>
      <c r="F601">
        <v>20</v>
      </c>
      <c r="G601">
        <f t="shared" si="30"/>
        <v>5</v>
      </c>
      <c r="H601">
        <f>SUMIF(OrderDetailsCustomers!$M$2:$M$2158,A601,OrderDetailsCustomers!$W$2:$W$2158)</f>
        <v>4931.92</v>
      </c>
      <c r="J601">
        <f t="shared" si="28"/>
        <v>5</v>
      </c>
      <c r="K601">
        <f>SUMIF(OrderDetailsCustomers!$M$2:$M$2158,'Order Header'!A601,OrderDetailsCustomers!$W$2:$W$2158)</f>
        <v>4931.92</v>
      </c>
      <c r="L601" s="11">
        <f t="shared" si="29"/>
        <v>5</v>
      </c>
    </row>
    <row r="602" spans="1:12" x14ac:dyDescent="0.4">
      <c r="A602">
        <v>10848</v>
      </c>
      <c r="B602" s="4">
        <v>35118</v>
      </c>
      <c r="C602" t="s">
        <v>133</v>
      </c>
      <c r="D602" s="1" t="s">
        <v>769</v>
      </c>
      <c r="E602">
        <v>74.52</v>
      </c>
      <c r="F602">
        <v>15</v>
      </c>
      <c r="G602">
        <f t="shared" si="30"/>
        <v>3</v>
      </c>
      <c r="H602">
        <f>SUMIF(OrderDetailsCustomers!$M$2:$M$2158,A602,OrderDetailsCustomers!$W$2:$W$2158)</f>
        <v>931.5</v>
      </c>
      <c r="J602">
        <f t="shared" si="28"/>
        <v>3</v>
      </c>
      <c r="K602">
        <f>SUMIF(OrderDetailsCustomers!$M$2:$M$2158,'Order Header'!A602,OrderDetailsCustomers!$W$2:$W$2158)</f>
        <v>931.5</v>
      </c>
      <c r="L602" s="11">
        <f t="shared" si="29"/>
        <v>3</v>
      </c>
    </row>
    <row r="603" spans="1:12" x14ac:dyDescent="0.4">
      <c r="A603">
        <v>10849</v>
      </c>
      <c r="B603" s="4">
        <v>35118</v>
      </c>
      <c r="C603" t="s">
        <v>305</v>
      </c>
      <c r="D603" s="1" t="s">
        <v>766</v>
      </c>
      <c r="E603">
        <v>77.425519999999992</v>
      </c>
      <c r="F603">
        <v>15</v>
      </c>
      <c r="G603">
        <f t="shared" si="30"/>
        <v>3</v>
      </c>
      <c r="H603">
        <f>SUMIF(OrderDetailsCustomers!$M$2:$M$2158,A603,OrderDetailsCustomers!$W$2:$W$2158)</f>
        <v>967.81899999999996</v>
      </c>
      <c r="J603">
        <f t="shared" si="28"/>
        <v>3</v>
      </c>
      <c r="K603">
        <f>SUMIF(OrderDetailsCustomers!$M$2:$M$2158,'Order Header'!A603,OrderDetailsCustomers!$W$2:$W$2158)</f>
        <v>967.81899999999996</v>
      </c>
      <c r="L603" s="11">
        <f t="shared" si="29"/>
        <v>3</v>
      </c>
    </row>
    <row r="604" spans="1:12" x14ac:dyDescent="0.4">
      <c r="A604">
        <v>10850</v>
      </c>
      <c r="B604" s="4">
        <v>35118</v>
      </c>
      <c r="C604" t="s">
        <v>619</v>
      </c>
      <c r="D604" s="1" t="s">
        <v>768</v>
      </c>
      <c r="E604">
        <v>50.32</v>
      </c>
      <c r="F604">
        <v>15</v>
      </c>
      <c r="G604">
        <f t="shared" si="30"/>
        <v>3</v>
      </c>
      <c r="H604">
        <f>SUMIF(OrderDetailsCustomers!$M$2:$M$2158,A604,OrderDetailsCustomers!$W$2:$W$2158)</f>
        <v>629</v>
      </c>
      <c r="J604">
        <f t="shared" si="28"/>
        <v>3</v>
      </c>
      <c r="K604">
        <f>SUMIF(OrderDetailsCustomers!$M$2:$M$2158,'Order Header'!A604,OrderDetailsCustomers!$W$2:$W$2158)</f>
        <v>629</v>
      </c>
      <c r="L604" s="11">
        <f t="shared" si="29"/>
        <v>3</v>
      </c>
    </row>
    <row r="605" spans="1:12" x14ac:dyDescent="0.4">
      <c r="A605">
        <v>10851</v>
      </c>
      <c r="B605" s="4">
        <v>35121</v>
      </c>
      <c r="C605" t="s">
        <v>503</v>
      </c>
      <c r="D605" s="1" t="s">
        <v>775</v>
      </c>
      <c r="E605">
        <v>208.24</v>
      </c>
      <c r="F605">
        <v>20</v>
      </c>
      <c r="G605">
        <f t="shared" si="30"/>
        <v>4</v>
      </c>
      <c r="H605">
        <f>SUMIF(OrderDetailsCustomers!$M$2:$M$2158,A605,OrderDetailsCustomers!$W$2:$W$2158)</f>
        <v>2603</v>
      </c>
      <c r="J605">
        <f t="shared" si="28"/>
        <v>4</v>
      </c>
      <c r="K605">
        <f>SUMIF(OrderDetailsCustomers!$M$2:$M$2158,'Order Header'!A605,OrderDetailsCustomers!$W$2:$W$2158)</f>
        <v>2603</v>
      </c>
      <c r="L605" s="11">
        <f t="shared" si="29"/>
        <v>4</v>
      </c>
    </row>
    <row r="606" spans="1:12" x14ac:dyDescent="0.4">
      <c r="A606">
        <v>10852</v>
      </c>
      <c r="B606" s="4">
        <v>35121</v>
      </c>
      <c r="C606" t="s">
        <v>487</v>
      </c>
      <c r="D606" s="1" t="s">
        <v>765</v>
      </c>
      <c r="E606">
        <v>238.72</v>
      </c>
      <c r="F606">
        <v>20</v>
      </c>
      <c r="G606">
        <f t="shared" si="30"/>
        <v>4</v>
      </c>
      <c r="H606">
        <f>SUMIF(OrderDetailsCustomers!$M$2:$M$2158,A606,OrderDetailsCustomers!$W$2:$W$2158)</f>
        <v>2984</v>
      </c>
      <c r="J606">
        <f t="shared" si="28"/>
        <v>4</v>
      </c>
      <c r="K606">
        <f>SUMIF(OrderDetailsCustomers!$M$2:$M$2158,'Order Header'!A606,OrderDetailsCustomers!$W$2:$W$2158)</f>
        <v>2984</v>
      </c>
      <c r="L606" s="11">
        <f t="shared" si="29"/>
        <v>4</v>
      </c>
    </row>
    <row r="607" spans="1:12" x14ac:dyDescent="0.4">
      <c r="A607">
        <v>10853</v>
      </c>
      <c r="B607" s="4">
        <v>35122</v>
      </c>
      <c r="C607" t="s">
        <v>53</v>
      </c>
      <c r="D607" s="1" t="s">
        <v>779</v>
      </c>
      <c r="E607">
        <v>50</v>
      </c>
      <c r="F607">
        <v>15</v>
      </c>
      <c r="G607">
        <f t="shared" si="30"/>
        <v>3</v>
      </c>
      <c r="H607">
        <f>SUMIF(OrderDetailsCustomers!$M$2:$M$2158,A607,OrderDetailsCustomers!$W$2:$W$2158)</f>
        <v>625</v>
      </c>
      <c r="J607">
        <f t="shared" si="28"/>
        <v>3</v>
      </c>
      <c r="K607">
        <f>SUMIF(OrderDetailsCustomers!$M$2:$M$2158,'Order Header'!A607,OrderDetailsCustomers!$W$2:$W$2158)</f>
        <v>625</v>
      </c>
      <c r="L607" s="11">
        <f t="shared" si="29"/>
        <v>3</v>
      </c>
    </row>
    <row r="608" spans="1:12" x14ac:dyDescent="0.4">
      <c r="A608">
        <v>10854</v>
      </c>
      <c r="B608" s="4">
        <v>35122</v>
      </c>
      <c r="C608" t="s">
        <v>161</v>
      </c>
      <c r="D608" s="1" t="s">
        <v>772</v>
      </c>
      <c r="E608">
        <v>237.32</v>
      </c>
      <c r="F608">
        <v>20</v>
      </c>
      <c r="G608">
        <f t="shared" si="30"/>
        <v>4</v>
      </c>
      <c r="H608">
        <f>SUMIF(OrderDetailsCustomers!$M$2:$M$2158,A608,OrderDetailsCustomers!$W$2:$W$2158)</f>
        <v>2966.5</v>
      </c>
      <c r="J608">
        <f t="shared" si="28"/>
        <v>4</v>
      </c>
      <c r="K608">
        <f>SUMIF(OrderDetailsCustomers!$M$2:$M$2158,'Order Header'!A608,OrderDetailsCustomers!$W$2:$W$2158)</f>
        <v>2966.5</v>
      </c>
      <c r="L608" s="11">
        <f t="shared" si="29"/>
        <v>4</v>
      </c>
    </row>
    <row r="609" spans="1:12" x14ac:dyDescent="0.4">
      <c r="A609">
        <v>10855</v>
      </c>
      <c r="B609" s="4">
        <v>35122</v>
      </c>
      <c r="C609" t="s">
        <v>422</v>
      </c>
      <c r="D609" s="1" t="s">
        <v>771</v>
      </c>
      <c r="E609">
        <v>178.23099999999999</v>
      </c>
      <c r="F609">
        <v>20</v>
      </c>
      <c r="G609">
        <f t="shared" si="30"/>
        <v>4</v>
      </c>
      <c r="H609">
        <f>SUMIF(OrderDetailsCustomers!$M$2:$M$2158,A609,OrderDetailsCustomers!$W$2:$W$2158)</f>
        <v>2227.8874999999998</v>
      </c>
      <c r="J609">
        <f t="shared" si="28"/>
        <v>4</v>
      </c>
      <c r="K609">
        <f>SUMIF(OrderDetailsCustomers!$M$2:$M$2158,'Order Header'!A609,OrderDetailsCustomers!$W$2:$W$2158)</f>
        <v>2227.8874999999998</v>
      </c>
      <c r="L609" s="11">
        <f t="shared" si="29"/>
        <v>4</v>
      </c>
    </row>
    <row r="610" spans="1:12" x14ac:dyDescent="0.4">
      <c r="A610">
        <v>10856</v>
      </c>
      <c r="B610" s="4">
        <v>35123</v>
      </c>
      <c r="C610" t="s">
        <v>29</v>
      </c>
      <c r="D610" s="1" t="s">
        <v>777</v>
      </c>
      <c r="E610">
        <v>52.800000000000004</v>
      </c>
      <c r="F610">
        <v>15</v>
      </c>
      <c r="G610">
        <f t="shared" si="30"/>
        <v>3</v>
      </c>
      <c r="H610">
        <f>SUMIF(OrderDetailsCustomers!$M$2:$M$2158,A610,OrderDetailsCustomers!$W$2:$W$2158)</f>
        <v>660</v>
      </c>
      <c r="J610">
        <f t="shared" si="28"/>
        <v>3</v>
      </c>
      <c r="K610">
        <f>SUMIF(OrderDetailsCustomers!$M$2:$M$2158,'Order Header'!A610,OrderDetailsCustomers!$W$2:$W$2158)</f>
        <v>660</v>
      </c>
      <c r="L610" s="11">
        <f t="shared" si="29"/>
        <v>3</v>
      </c>
    </row>
    <row r="611" spans="1:12" x14ac:dyDescent="0.4">
      <c r="A611">
        <v>10857</v>
      </c>
      <c r="B611" s="4">
        <v>35123</v>
      </c>
      <c r="C611" t="s">
        <v>43</v>
      </c>
      <c r="D611" s="1" t="s">
        <v>765</v>
      </c>
      <c r="E611">
        <v>163.857</v>
      </c>
      <c r="F611">
        <v>20</v>
      </c>
      <c r="G611">
        <f t="shared" si="30"/>
        <v>4</v>
      </c>
      <c r="H611">
        <f>SUMIF(OrderDetailsCustomers!$M$2:$M$2158,A611,OrderDetailsCustomers!$W$2:$W$2158)</f>
        <v>2048.2125000000001</v>
      </c>
      <c r="J611">
        <f t="shared" si="28"/>
        <v>4</v>
      </c>
      <c r="K611">
        <f>SUMIF(OrderDetailsCustomers!$M$2:$M$2158,'Order Header'!A611,OrderDetailsCustomers!$W$2:$W$2158)</f>
        <v>2048.2125000000001</v>
      </c>
      <c r="L611" s="11">
        <f t="shared" si="29"/>
        <v>4</v>
      </c>
    </row>
    <row r="612" spans="1:12" x14ac:dyDescent="0.4">
      <c r="A612">
        <v>10858</v>
      </c>
      <c r="B612" s="4">
        <v>35124</v>
      </c>
      <c r="C612" t="s">
        <v>311</v>
      </c>
      <c r="D612" s="1" t="s">
        <v>772</v>
      </c>
      <c r="E612">
        <v>51.92</v>
      </c>
      <c r="F612">
        <v>15</v>
      </c>
      <c r="G612">
        <f t="shared" si="30"/>
        <v>3</v>
      </c>
      <c r="H612">
        <f>SUMIF(OrderDetailsCustomers!$M$2:$M$2158,A612,OrderDetailsCustomers!$W$2:$W$2158)</f>
        <v>649</v>
      </c>
      <c r="J612">
        <f t="shared" si="28"/>
        <v>3</v>
      </c>
      <c r="K612">
        <f>SUMIF(OrderDetailsCustomers!$M$2:$M$2158,'Order Header'!A612,OrderDetailsCustomers!$W$2:$W$2158)</f>
        <v>649</v>
      </c>
      <c r="L612" s="11">
        <f t="shared" si="29"/>
        <v>3</v>
      </c>
    </row>
    <row r="613" spans="1:12" x14ac:dyDescent="0.4">
      <c r="A613">
        <v>10859</v>
      </c>
      <c r="B613" s="4">
        <v>35124</v>
      </c>
      <c r="C613" t="s">
        <v>198</v>
      </c>
      <c r="D613" s="1" t="s">
        <v>765</v>
      </c>
      <c r="E613">
        <v>86.295000000000002</v>
      </c>
      <c r="F613">
        <v>20</v>
      </c>
      <c r="G613">
        <f t="shared" si="30"/>
        <v>3</v>
      </c>
      <c r="H613">
        <f>SUMIF(OrderDetailsCustomers!$M$2:$M$2158,A613,OrderDetailsCustomers!$W$2:$W$2158)</f>
        <v>1078.6875</v>
      </c>
      <c r="J613">
        <f t="shared" si="28"/>
        <v>3</v>
      </c>
      <c r="K613">
        <f>SUMIF(OrderDetailsCustomers!$M$2:$M$2158,'Order Header'!A613,OrderDetailsCustomers!$W$2:$W$2158)</f>
        <v>1078.6875</v>
      </c>
      <c r="L613" s="11">
        <f t="shared" si="29"/>
        <v>3</v>
      </c>
    </row>
    <row r="614" spans="1:12" x14ac:dyDescent="0.4">
      <c r="A614">
        <v>10860</v>
      </c>
      <c r="B614" s="4">
        <v>35124</v>
      </c>
      <c r="C614" t="s">
        <v>205</v>
      </c>
      <c r="D614" s="1" t="s">
        <v>779</v>
      </c>
      <c r="E614">
        <v>41.52</v>
      </c>
      <c r="F614">
        <v>15</v>
      </c>
      <c r="G614">
        <f t="shared" si="30"/>
        <v>2</v>
      </c>
      <c r="H614">
        <f>SUMIF(OrderDetailsCustomers!$M$2:$M$2158,A614,OrderDetailsCustomers!$W$2:$W$2158)</f>
        <v>519</v>
      </c>
      <c r="J614">
        <f t="shared" si="28"/>
        <v>2</v>
      </c>
      <c r="K614">
        <f>SUMIF(OrderDetailsCustomers!$M$2:$M$2158,'Order Header'!A614,OrderDetailsCustomers!$W$2:$W$2158)</f>
        <v>519</v>
      </c>
      <c r="L614" s="11">
        <f t="shared" si="29"/>
        <v>2</v>
      </c>
    </row>
    <row r="615" spans="1:12" x14ac:dyDescent="0.4">
      <c r="A615">
        <v>10861</v>
      </c>
      <c r="B615" s="4">
        <v>35125</v>
      </c>
      <c r="C615" t="s">
        <v>654</v>
      </c>
      <c r="D615" s="1" t="s">
        <v>776</v>
      </c>
      <c r="E615">
        <v>281.87200000000001</v>
      </c>
      <c r="F615">
        <v>20</v>
      </c>
      <c r="G615">
        <f t="shared" si="30"/>
        <v>5</v>
      </c>
      <c r="H615">
        <f>SUMIF(OrderDetailsCustomers!$M$2:$M$2158,A615,OrderDetailsCustomers!$W$2:$W$2158)</f>
        <v>3523.4</v>
      </c>
      <c r="J615">
        <f t="shared" si="28"/>
        <v>5</v>
      </c>
      <c r="K615">
        <f>SUMIF(OrderDetailsCustomers!$M$2:$M$2158,'Order Header'!A615,OrderDetailsCustomers!$W$2:$W$2158)</f>
        <v>3523.4</v>
      </c>
      <c r="L615" s="11">
        <f t="shared" si="29"/>
        <v>5</v>
      </c>
    </row>
    <row r="616" spans="1:12" x14ac:dyDescent="0.4">
      <c r="A616">
        <v>10862</v>
      </c>
      <c r="B616" s="4">
        <v>35125</v>
      </c>
      <c r="C616" t="s">
        <v>341</v>
      </c>
      <c r="D616" s="1" t="s">
        <v>768</v>
      </c>
      <c r="E616">
        <v>46.480000000000004</v>
      </c>
      <c r="F616">
        <v>15</v>
      </c>
      <c r="G616">
        <f t="shared" si="30"/>
        <v>2</v>
      </c>
      <c r="H616">
        <f>SUMIF(OrderDetailsCustomers!$M$2:$M$2158,A616,OrderDetailsCustomers!$W$2:$W$2158)</f>
        <v>581</v>
      </c>
      <c r="J616">
        <f t="shared" si="28"/>
        <v>2</v>
      </c>
      <c r="K616">
        <f>SUMIF(OrderDetailsCustomers!$M$2:$M$2158,'Order Header'!A616,OrderDetailsCustomers!$W$2:$W$2158)</f>
        <v>581</v>
      </c>
      <c r="L616" s="11">
        <f t="shared" si="29"/>
        <v>2</v>
      </c>
    </row>
    <row r="617" spans="1:12" x14ac:dyDescent="0.4">
      <c r="A617">
        <v>10863</v>
      </c>
      <c r="B617" s="4">
        <v>35128</v>
      </c>
      <c r="C617" t="s">
        <v>273</v>
      </c>
      <c r="D617" s="1" t="s">
        <v>771</v>
      </c>
      <c r="E617">
        <v>35.292000000000002</v>
      </c>
      <c r="F617">
        <v>10</v>
      </c>
      <c r="G617">
        <f t="shared" si="30"/>
        <v>2</v>
      </c>
      <c r="H617">
        <f>SUMIF(OrderDetailsCustomers!$M$2:$M$2158,A617,OrderDetailsCustomers!$W$2:$W$2158)</f>
        <v>441.15</v>
      </c>
      <c r="J617">
        <f t="shared" si="28"/>
        <v>2</v>
      </c>
      <c r="K617">
        <f>SUMIF(OrderDetailsCustomers!$M$2:$M$2158,'Order Header'!A617,OrderDetailsCustomers!$W$2:$W$2158)</f>
        <v>441.15</v>
      </c>
      <c r="L617" s="11">
        <f t="shared" si="29"/>
        <v>2</v>
      </c>
    </row>
    <row r="618" spans="1:12" x14ac:dyDescent="0.4">
      <c r="A618">
        <v>10864</v>
      </c>
      <c r="B618" s="4">
        <v>35128</v>
      </c>
      <c r="C618" t="s">
        <v>34</v>
      </c>
      <c r="D618" s="1" t="s">
        <v>768</v>
      </c>
      <c r="E618">
        <v>22.56</v>
      </c>
      <c r="F618">
        <v>10</v>
      </c>
      <c r="G618">
        <f t="shared" si="30"/>
        <v>2</v>
      </c>
      <c r="H618">
        <f>SUMIF(OrderDetailsCustomers!$M$2:$M$2158,A618,OrderDetailsCustomers!$W$2:$W$2158)</f>
        <v>282</v>
      </c>
      <c r="J618">
        <f t="shared" si="28"/>
        <v>2</v>
      </c>
      <c r="K618">
        <f>SUMIF(OrderDetailsCustomers!$M$2:$M$2158,'Order Header'!A618,OrderDetailsCustomers!$W$2:$W$2158)</f>
        <v>282</v>
      </c>
      <c r="L618" s="11">
        <f t="shared" si="29"/>
        <v>2</v>
      </c>
    </row>
    <row r="619" spans="1:12" x14ac:dyDescent="0.4">
      <c r="A619">
        <v>10865</v>
      </c>
      <c r="B619" s="4">
        <v>35128</v>
      </c>
      <c r="C619" t="s">
        <v>475</v>
      </c>
      <c r="D619" s="1" t="s">
        <v>777</v>
      </c>
      <c r="E619">
        <v>1311</v>
      </c>
      <c r="F619">
        <v>20</v>
      </c>
      <c r="G619">
        <f t="shared" si="30"/>
        <v>6</v>
      </c>
      <c r="H619">
        <f>SUMIF(OrderDetailsCustomers!$M$2:$M$2158,A619,OrderDetailsCustomers!$W$2:$W$2158)</f>
        <v>16387.5</v>
      </c>
      <c r="J619">
        <f t="shared" si="28"/>
        <v>6</v>
      </c>
      <c r="K619">
        <f>SUMIF(OrderDetailsCustomers!$M$2:$M$2158,'Order Header'!A619,OrderDetailsCustomers!$W$2:$W$2158)</f>
        <v>16387.5</v>
      </c>
      <c r="L619" s="11">
        <f t="shared" si="29"/>
        <v>6</v>
      </c>
    </row>
    <row r="620" spans="1:12" x14ac:dyDescent="0.4">
      <c r="A620">
        <v>10866</v>
      </c>
      <c r="B620" s="4">
        <v>35129</v>
      </c>
      <c r="C620" t="s">
        <v>43</v>
      </c>
      <c r="D620" s="1" t="s">
        <v>765</v>
      </c>
      <c r="E620">
        <v>87.695999999999984</v>
      </c>
      <c r="F620">
        <v>20</v>
      </c>
      <c r="G620">
        <f t="shared" si="30"/>
        <v>3</v>
      </c>
      <c r="H620">
        <f>SUMIF(OrderDetailsCustomers!$M$2:$M$2158,A620,OrderDetailsCustomers!$W$2:$W$2158)</f>
        <v>1096.1999999999998</v>
      </c>
      <c r="J620">
        <f t="shared" si="28"/>
        <v>3</v>
      </c>
      <c r="K620">
        <f>SUMIF(OrderDetailsCustomers!$M$2:$M$2158,'Order Header'!A620,OrderDetailsCustomers!$W$2:$W$2158)</f>
        <v>1096.1999999999998</v>
      </c>
      <c r="L620" s="11">
        <f t="shared" si="29"/>
        <v>3</v>
      </c>
    </row>
    <row r="621" spans="1:12" x14ac:dyDescent="0.4">
      <c r="A621">
        <v>10867</v>
      </c>
      <c r="B621" s="4">
        <v>35129</v>
      </c>
      <c r="C621" t="s">
        <v>371</v>
      </c>
      <c r="D621" s="1" t="s">
        <v>770</v>
      </c>
      <c r="E621">
        <v>7.8719999999999999</v>
      </c>
      <c r="F621">
        <v>10</v>
      </c>
      <c r="G621">
        <f t="shared" si="30"/>
        <v>1</v>
      </c>
      <c r="H621">
        <f>SUMIF(OrderDetailsCustomers!$M$2:$M$2158,A621,OrderDetailsCustomers!$W$2:$W$2158)</f>
        <v>98.399999999999991</v>
      </c>
      <c r="J621">
        <f t="shared" si="28"/>
        <v>1</v>
      </c>
      <c r="K621">
        <f>SUMIF(OrderDetailsCustomers!$M$2:$M$2158,'Order Header'!A621,OrderDetailsCustomers!$W$2:$W$2158)</f>
        <v>98.399999999999991</v>
      </c>
      <c r="L621" s="11">
        <f t="shared" si="29"/>
        <v>1</v>
      </c>
    </row>
    <row r="622" spans="1:12" x14ac:dyDescent="0.4">
      <c r="A622">
        <v>10868</v>
      </c>
      <c r="B622" s="4">
        <v>35130</v>
      </c>
      <c r="C622" t="s">
        <v>469</v>
      </c>
      <c r="D622" s="1" t="s">
        <v>783</v>
      </c>
      <c r="E622">
        <v>153.648</v>
      </c>
      <c r="F622">
        <v>20</v>
      </c>
      <c r="G622">
        <f t="shared" si="30"/>
        <v>4</v>
      </c>
      <c r="H622">
        <f>SUMIF(OrderDetailsCustomers!$M$2:$M$2158,A622,OrderDetailsCustomers!$W$2:$W$2158)</f>
        <v>1920.6</v>
      </c>
      <c r="J622">
        <f t="shared" si="28"/>
        <v>4</v>
      </c>
      <c r="K622">
        <f>SUMIF(OrderDetailsCustomers!$M$2:$M$2158,'Order Header'!A622,OrderDetailsCustomers!$W$2:$W$2158)</f>
        <v>1920.6</v>
      </c>
      <c r="L622" s="11">
        <f t="shared" si="29"/>
        <v>4</v>
      </c>
    </row>
    <row r="623" spans="1:12" x14ac:dyDescent="0.4">
      <c r="A623">
        <v>10869</v>
      </c>
      <c r="B623" s="4">
        <v>35130</v>
      </c>
      <c r="C623" t="s">
        <v>536</v>
      </c>
      <c r="D623" s="1" t="s">
        <v>778</v>
      </c>
      <c r="E623">
        <v>130.4</v>
      </c>
      <c r="F623">
        <v>20</v>
      </c>
      <c r="G623">
        <f t="shared" si="30"/>
        <v>3</v>
      </c>
      <c r="H623">
        <f>SUMIF(OrderDetailsCustomers!$M$2:$M$2158,A623,OrderDetailsCustomers!$W$2:$W$2158)</f>
        <v>1630</v>
      </c>
      <c r="J623">
        <f t="shared" si="28"/>
        <v>3</v>
      </c>
      <c r="K623">
        <f>SUMIF(OrderDetailsCustomers!$M$2:$M$2158,'Order Header'!A623,OrderDetailsCustomers!$W$2:$W$2158)</f>
        <v>1630</v>
      </c>
      <c r="L623" s="11">
        <f t="shared" si="29"/>
        <v>3</v>
      </c>
    </row>
    <row r="624" spans="1:12" x14ac:dyDescent="0.4">
      <c r="A624">
        <v>10870</v>
      </c>
      <c r="B624" s="4">
        <v>35130</v>
      </c>
      <c r="C624" t="s">
        <v>668</v>
      </c>
      <c r="D624" s="1" t="s">
        <v>780</v>
      </c>
      <c r="E624">
        <v>12.8</v>
      </c>
      <c r="F624">
        <v>10</v>
      </c>
      <c r="G624">
        <f t="shared" si="30"/>
        <v>2</v>
      </c>
      <c r="H624">
        <f>SUMIF(OrderDetailsCustomers!$M$2:$M$2158,A624,OrderDetailsCustomers!$W$2:$W$2158)</f>
        <v>160</v>
      </c>
      <c r="J624">
        <f t="shared" si="28"/>
        <v>2</v>
      </c>
      <c r="K624">
        <f>SUMIF(OrderDetailsCustomers!$M$2:$M$2158,'Order Header'!A624,OrderDetailsCustomers!$W$2:$W$2158)</f>
        <v>160</v>
      </c>
      <c r="L624" s="11">
        <f t="shared" si="29"/>
        <v>2</v>
      </c>
    </row>
    <row r="625" spans="1:12" x14ac:dyDescent="0.4">
      <c r="A625">
        <v>10871</v>
      </c>
      <c r="B625" s="4">
        <v>35131</v>
      </c>
      <c r="C625" t="s">
        <v>77</v>
      </c>
      <c r="D625" s="1" t="s">
        <v>776</v>
      </c>
      <c r="E625">
        <v>158.33840000000001</v>
      </c>
      <c r="F625">
        <v>20</v>
      </c>
      <c r="G625">
        <f t="shared" si="30"/>
        <v>4</v>
      </c>
      <c r="H625">
        <f>SUMIF(OrderDetailsCustomers!$M$2:$M$2158,A625,OrderDetailsCustomers!$W$2:$W$2158)</f>
        <v>1979.23</v>
      </c>
      <c r="J625">
        <f t="shared" si="28"/>
        <v>4</v>
      </c>
      <c r="K625">
        <f>SUMIF(OrderDetailsCustomers!$M$2:$M$2158,'Order Header'!A625,OrderDetailsCustomers!$W$2:$W$2158)</f>
        <v>1979.23</v>
      </c>
      <c r="L625" s="11">
        <f t="shared" si="29"/>
        <v>4</v>
      </c>
    </row>
    <row r="626" spans="1:12" x14ac:dyDescent="0.4">
      <c r="A626">
        <v>10872</v>
      </c>
      <c r="B626" s="4">
        <v>35131</v>
      </c>
      <c r="C626" t="s">
        <v>234</v>
      </c>
      <c r="D626" s="1" t="s">
        <v>782</v>
      </c>
      <c r="E626">
        <v>164.67680000000001</v>
      </c>
      <c r="F626">
        <v>20</v>
      </c>
      <c r="G626">
        <f t="shared" si="30"/>
        <v>4</v>
      </c>
      <c r="H626">
        <f>SUMIF(OrderDetailsCustomers!$M$2:$M$2158,A626,OrderDetailsCustomers!$W$2:$W$2158)</f>
        <v>2058.46</v>
      </c>
      <c r="J626">
        <f t="shared" si="28"/>
        <v>4</v>
      </c>
      <c r="K626">
        <f>SUMIF(OrderDetailsCustomers!$M$2:$M$2158,'Order Header'!A626,OrderDetailsCustomers!$W$2:$W$2158)</f>
        <v>2058.46</v>
      </c>
      <c r="L626" s="11">
        <f t="shared" si="29"/>
        <v>4</v>
      </c>
    </row>
    <row r="627" spans="1:12" x14ac:dyDescent="0.4">
      <c r="A627">
        <v>10873</v>
      </c>
      <c r="B627" s="4">
        <v>35132</v>
      </c>
      <c r="C627" t="s">
        <v>661</v>
      </c>
      <c r="D627" s="1" t="s">
        <v>782</v>
      </c>
      <c r="E627">
        <v>26.944000000000003</v>
      </c>
      <c r="F627">
        <v>10</v>
      </c>
      <c r="G627">
        <f t="shared" si="30"/>
        <v>2</v>
      </c>
      <c r="H627">
        <f>SUMIF(OrderDetailsCustomers!$M$2:$M$2158,A627,OrderDetailsCustomers!$W$2:$W$2158)</f>
        <v>336.8</v>
      </c>
      <c r="J627">
        <f t="shared" si="28"/>
        <v>2</v>
      </c>
      <c r="K627">
        <f>SUMIF(OrderDetailsCustomers!$M$2:$M$2158,'Order Header'!A627,OrderDetailsCustomers!$W$2:$W$2158)</f>
        <v>336.8</v>
      </c>
      <c r="L627" s="11">
        <f t="shared" si="29"/>
        <v>2</v>
      </c>
    </row>
    <row r="628" spans="1:12" x14ac:dyDescent="0.4">
      <c r="A628">
        <v>10874</v>
      </c>
      <c r="B628" s="4">
        <v>35132</v>
      </c>
      <c r="C628" t="s">
        <v>234</v>
      </c>
      <c r="D628" s="1" t="s">
        <v>782</v>
      </c>
      <c r="E628">
        <v>24.8</v>
      </c>
      <c r="F628">
        <v>10</v>
      </c>
      <c r="G628">
        <f t="shared" si="30"/>
        <v>2</v>
      </c>
      <c r="H628">
        <f>SUMIF(OrderDetailsCustomers!$M$2:$M$2158,A628,OrderDetailsCustomers!$W$2:$W$2158)</f>
        <v>310</v>
      </c>
      <c r="J628">
        <f t="shared" si="28"/>
        <v>2</v>
      </c>
      <c r="K628">
        <f>SUMIF(OrderDetailsCustomers!$M$2:$M$2158,'Order Header'!A628,OrderDetailsCustomers!$W$2:$W$2158)</f>
        <v>310</v>
      </c>
      <c r="L628" s="11">
        <f t="shared" si="29"/>
        <v>2</v>
      </c>
    </row>
    <row r="629" spans="1:12" x14ac:dyDescent="0.4">
      <c r="A629">
        <v>10875</v>
      </c>
      <c r="B629" s="4">
        <v>35132</v>
      </c>
      <c r="C629" t="s">
        <v>43</v>
      </c>
      <c r="D629" s="1" t="s">
        <v>765</v>
      </c>
      <c r="E629">
        <v>56.763999999999996</v>
      </c>
      <c r="F629">
        <v>15</v>
      </c>
      <c r="G629">
        <f t="shared" si="30"/>
        <v>3</v>
      </c>
      <c r="H629">
        <f>SUMIF(OrderDetailsCustomers!$M$2:$M$2158,A629,OrderDetailsCustomers!$W$2:$W$2158)</f>
        <v>709.55</v>
      </c>
      <c r="J629">
        <f t="shared" si="28"/>
        <v>3</v>
      </c>
      <c r="K629">
        <f>SUMIF(OrderDetailsCustomers!$M$2:$M$2158,'Order Header'!A629,OrderDetailsCustomers!$W$2:$W$2158)</f>
        <v>709.55</v>
      </c>
      <c r="L629" s="11">
        <f t="shared" si="29"/>
        <v>3</v>
      </c>
    </row>
    <row r="630" spans="1:12" x14ac:dyDescent="0.4">
      <c r="A630">
        <v>10876</v>
      </c>
      <c r="B630" s="4">
        <v>35135</v>
      </c>
      <c r="C630" t="s">
        <v>77</v>
      </c>
      <c r="D630" s="1" t="s">
        <v>776</v>
      </c>
      <c r="E630">
        <v>73.36</v>
      </c>
      <c r="F630">
        <v>15</v>
      </c>
      <c r="G630">
        <f t="shared" si="30"/>
        <v>3</v>
      </c>
      <c r="H630">
        <f>SUMIF(OrderDetailsCustomers!$M$2:$M$2158,A630,OrderDetailsCustomers!$W$2:$W$2158)</f>
        <v>917</v>
      </c>
      <c r="J630">
        <f t="shared" si="28"/>
        <v>3</v>
      </c>
      <c r="K630">
        <f>SUMIF(OrderDetailsCustomers!$M$2:$M$2158,'Order Header'!A630,OrderDetailsCustomers!$W$2:$W$2158)</f>
        <v>917</v>
      </c>
      <c r="L630" s="11">
        <f t="shared" si="29"/>
        <v>3</v>
      </c>
    </row>
    <row r="631" spans="1:12" x14ac:dyDescent="0.4">
      <c r="A631">
        <v>10877</v>
      </c>
      <c r="B631" s="4">
        <v>35135</v>
      </c>
      <c r="C631" t="s">
        <v>503</v>
      </c>
      <c r="D631" s="1" t="s">
        <v>775</v>
      </c>
      <c r="E631">
        <v>156.41</v>
      </c>
      <c r="F631">
        <v>20</v>
      </c>
      <c r="G631">
        <f t="shared" si="30"/>
        <v>4</v>
      </c>
      <c r="H631">
        <f>SUMIF(OrderDetailsCustomers!$M$2:$M$2158,A631,OrderDetailsCustomers!$W$2:$W$2158)</f>
        <v>1955.125</v>
      </c>
      <c r="J631">
        <f t="shared" si="28"/>
        <v>4</v>
      </c>
      <c r="K631">
        <f>SUMIF(OrderDetailsCustomers!$M$2:$M$2158,'Order Header'!A631,OrderDetailsCustomers!$W$2:$W$2158)</f>
        <v>1955.125</v>
      </c>
      <c r="L631" s="11">
        <f t="shared" si="29"/>
        <v>4</v>
      </c>
    </row>
    <row r="632" spans="1:12" x14ac:dyDescent="0.4">
      <c r="A632">
        <v>10878</v>
      </c>
      <c r="B632" s="4">
        <v>35136</v>
      </c>
      <c r="C632" t="s">
        <v>475</v>
      </c>
      <c r="D632" s="1" t="s">
        <v>777</v>
      </c>
      <c r="E632">
        <v>123.12</v>
      </c>
      <c r="F632">
        <v>20</v>
      </c>
      <c r="G632">
        <f t="shared" si="30"/>
        <v>3</v>
      </c>
      <c r="H632">
        <f>SUMIF(OrderDetailsCustomers!$M$2:$M$2158,A632,OrderDetailsCustomers!$W$2:$W$2158)</f>
        <v>1539</v>
      </c>
      <c r="J632">
        <f t="shared" si="28"/>
        <v>3</v>
      </c>
      <c r="K632">
        <f>SUMIF(OrderDetailsCustomers!$M$2:$M$2158,'Order Header'!A632,OrderDetailsCustomers!$W$2:$W$2158)</f>
        <v>1539</v>
      </c>
      <c r="L632" s="11">
        <f t="shared" si="29"/>
        <v>3</v>
      </c>
    </row>
    <row r="633" spans="1:12" x14ac:dyDescent="0.4">
      <c r="A633">
        <v>10879</v>
      </c>
      <c r="B633" s="4">
        <v>35136</v>
      </c>
      <c r="C633" t="s">
        <v>661</v>
      </c>
      <c r="D633" s="1" t="s">
        <v>782</v>
      </c>
      <c r="E633">
        <v>48.903999999999996</v>
      </c>
      <c r="F633">
        <v>15</v>
      </c>
      <c r="G633">
        <f t="shared" si="30"/>
        <v>2</v>
      </c>
      <c r="H633">
        <f>SUMIF(OrderDetailsCustomers!$M$2:$M$2158,A633,OrderDetailsCustomers!$W$2:$W$2158)</f>
        <v>611.29999999999995</v>
      </c>
      <c r="J633">
        <f t="shared" si="28"/>
        <v>2</v>
      </c>
      <c r="K633">
        <f>SUMIF(OrderDetailsCustomers!$M$2:$M$2158,'Order Header'!A633,OrderDetailsCustomers!$W$2:$W$2158)</f>
        <v>611.29999999999995</v>
      </c>
      <c r="L633" s="11">
        <f t="shared" si="29"/>
        <v>2</v>
      </c>
    </row>
    <row r="634" spans="1:12" x14ac:dyDescent="0.4">
      <c r="A634">
        <v>10880</v>
      </c>
      <c r="B634" s="4">
        <v>35136</v>
      </c>
      <c r="C634" t="s">
        <v>191</v>
      </c>
      <c r="D634" s="1" t="s">
        <v>768</v>
      </c>
      <c r="E634">
        <v>120</v>
      </c>
      <c r="F634">
        <v>20</v>
      </c>
      <c r="G634">
        <f t="shared" si="30"/>
        <v>3</v>
      </c>
      <c r="H634">
        <f>SUMIF(OrderDetailsCustomers!$M$2:$M$2158,A634,OrderDetailsCustomers!$W$2:$W$2158)</f>
        <v>1500</v>
      </c>
      <c r="J634">
        <f t="shared" si="28"/>
        <v>3</v>
      </c>
      <c r="K634">
        <f>SUMIF(OrderDetailsCustomers!$M$2:$M$2158,'Order Header'!A634,OrderDetailsCustomers!$W$2:$W$2158)</f>
        <v>1500</v>
      </c>
      <c r="L634" s="11">
        <f t="shared" si="29"/>
        <v>3</v>
      </c>
    </row>
    <row r="635" spans="1:12" x14ac:dyDescent="0.4">
      <c r="A635">
        <v>10881</v>
      </c>
      <c r="B635" s="4">
        <v>35137</v>
      </c>
      <c r="C635" t="s">
        <v>101</v>
      </c>
      <c r="D635" s="1" t="s">
        <v>778</v>
      </c>
      <c r="E635">
        <v>12</v>
      </c>
      <c r="F635">
        <v>10</v>
      </c>
      <c r="G635">
        <f t="shared" si="30"/>
        <v>2</v>
      </c>
      <c r="H635">
        <f>SUMIF(OrderDetailsCustomers!$M$2:$M$2158,A635,OrderDetailsCustomers!$W$2:$W$2158)</f>
        <v>150</v>
      </c>
      <c r="J635">
        <f t="shared" si="28"/>
        <v>2</v>
      </c>
      <c r="K635">
        <f>SUMIF(OrderDetailsCustomers!$M$2:$M$2158,'Order Header'!A635,OrderDetailsCustomers!$W$2:$W$2158)</f>
        <v>150</v>
      </c>
      <c r="L635" s="11">
        <f t="shared" si="29"/>
        <v>2</v>
      </c>
    </row>
    <row r="636" spans="1:12" x14ac:dyDescent="0.4">
      <c r="A636">
        <v>10882</v>
      </c>
      <c r="B636" s="4">
        <v>35137</v>
      </c>
      <c r="C636" t="s">
        <v>529</v>
      </c>
      <c r="D636" s="1" t="s">
        <v>780</v>
      </c>
      <c r="E636">
        <v>71.411199999999994</v>
      </c>
      <c r="F636">
        <v>15</v>
      </c>
      <c r="G636">
        <f t="shared" si="30"/>
        <v>3</v>
      </c>
      <c r="H636">
        <f>SUMIF(OrderDetailsCustomers!$M$2:$M$2158,A636,OrderDetailsCustomers!$W$2:$W$2158)</f>
        <v>892.64</v>
      </c>
      <c r="J636">
        <f t="shared" si="28"/>
        <v>3</v>
      </c>
      <c r="K636">
        <f>SUMIF(OrderDetailsCustomers!$M$2:$M$2158,'Order Header'!A636,OrderDetailsCustomers!$W$2:$W$2158)</f>
        <v>892.64</v>
      </c>
      <c r="L636" s="11">
        <f t="shared" si="29"/>
        <v>3</v>
      </c>
    </row>
    <row r="637" spans="1:12" x14ac:dyDescent="0.4">
      <c r="A637">
        <v>10883</v>
      </c>
      <c r="B637" s="4">
        <v>35138</v>
      </c>
      <c r="C637" t="s">
        <v>371</v>
      </c>
      <c r="D637" s="1" t="s">
        <v>770</v>
      </c>
      <c r="E637">
        <v>2.88</v>
      </c>
      <c r="F637">
        <v>10</v>
      </c>
      <c r="G637">
        <f t="shared" si="30"/>
        <v>1</v>
      </c>
      <c r="H637">
        <f>SUMIF(OrderDetailsCustomers!$M$2:$M$2158,A637,OrderDetailsCustomers!$W$2:$W$2158)</f>
        <v>36</v>
      </c>
      <c r="J637">
        <f t="shared" si="28"/>
        <v>1</v>
      </c>
      <c r="K637">
        <f>SUMIF(OrderDetailsCustomers!$M$2:$M$2158,'Order Header'!A637,OrderDetailsCustomers!$W$2:$W$2158)</f>
        <v>36</v>
      </c>
      <c r="L637" s="11">
        <f t="shared" si="29"/>
        <v>1</v>
      </c>
    </row>
    <row r="638" spans="1:12" x14ac:dyDescent="0.4">
      <c r="A638">
        <v>10884</v>
      </c>
      <c r="B638" s="4">
        <v>35138</v>
      </c>
      <c r="C638" t="s">
        <v>348</v>
      </c>
      <c r="D638" s="1" t="s">
        <v>765</v>
      </c>
      <c r="E638">
        <v>110.2456</v>
      </c>
      <c r="F638">
        <v>20</v>
      </c>
      <c r="G638">
        <f t="shared" si="30"/>
        <v>3</v>
      </c>
      <c r="H638">
        <f>SUMIF(OrderDetailsCustomers!$M$2:$M$2158,A638,OrderDetailsCustomers!$W$2:$W$2158)</f>
        <v>1378.07</v>
      </c>
      <c r="J638">
        <f t="shared" si="28"/>
        <v>3</v>
      </c>
      <c r="K638">
        <f>SUMIF(OrderDetailsCustomers!$M$2:$M$2158,'Order Header'!A638,OrderDetailsCustomers!$W$2:$W$2158)</f>
        <v>1378.07</v>
      </c>
      <c r="L638" s="11">
        <f t="shared" si="29"/>
        <v>3</v>
      </c>
    </row>
    <row r="639" spans="1:12" x14ac:dyDescent="0.4">
      <c r="A639">
        <v>10885</v>
      </c>
      <c r="B639" s="4">
        <v>35138</v>
      </c>
      <c r="C639" t="s">
        <v>565</v>
      </c>
      <c r="D639" s="1" t="s">
        <v>769</v>
      </c>
      <c r="E639">
        <v>96.72</v>
      </c>
      <c r="F639">
        <v>20</v>
      </c>
      <c r="G639">
        <f t="shared" si="30"/>
        <v>3</v>
      </c>
      <c r="H639">
        <f>SUMIF(OrderDetailsCustomers!$M$2:$M$2158,A639,OrderDetailsCustomers!$W$2:$W$2158)</f>
        <v>1209</v>
      </c>
      <c r="J639">
        <f t="shared" si="28"/>
        <v>3</v>
      </c>
      <c r="K639">
        <f>SUMIF(OrderDetailsCustomers!$M$2:$M$2158,'Order Header'!A639,OrderDetailsCustomers!$W$2:$W$2158)</f>
        <v>1209</v>
      </c>
      <c r="L639" s="11">
        <f t="shared" si="29"/>
        <v>3</v>
      </c>
    </row>
    <row r="640" spans="1:12" x14ac:dyDescent="0.4">
      <c r="A640">
        <v>10886</v>
      </c>
      <c r="B640" s="4">
        <v>35139</v>
      </c>
      <c r="C640" t="s">
        <v>264</v>
      </c>
      <c r="D640" s="1" t="s">
        <v>767</v>
      </c>
      <c r="E640">
        <v>250.20000000000002</v>
      </c>
      <c r="F640">
        <v>20</v>
      </c>
      <c r="G640">
        <f t="shared" si="30"/>
        <v>5</v>
      </c>
      <c r="H640">
        <f>SUMIF(OrderDetailsCustomers!$M$2:$M$2158,A640,OrderDetailsCustomers!$W$2:$W$2158)</f>
        <v>3127.5</v>
      </c>
      <c r="J640">
        <f t="shared" si="28"/>
        <v>5</v>
      </c>
      <c r="K640">
        <f>SUMIF(OrderDetailsCustomers!$M$2:$M$2158,'Order Header'!A640,OrderDetailsCustomers!$W$2:$W$2158)</f>
        <v>3127.5</v>
      </c>
      <c r="L640" s="11">
        <f t="shared" si="29"/>
        <v>5</v>
      </c>
    </row>
    <row r="641" spans="1:12" x14ac:dyDescent="0.4">
      <c r="A641">
        <v>10887</v>
      </c>
      <c r="B641" s="4">
        <v>35139</v>
      </c>
      <c r="C641" t="s">
        <v>227</v>
      </c>
      <c r="D641" s="1" t="s">
        <v>776</v>
      </c>
      <c r="E641">
        <v>5.6000000000000005</v>
      </c>
      <c r="F641">
        <v>10</v>
      </c>
      <c r="G641">
        <f t="shared" si="30"/>
        <v>1</v>
      </c>
      <c r="H641">
        <f>SUMIF(OrderDetailsCustomers!$M$2:$M$2158,A641,OrderDetailsCustomers!$W$2:$W$2158)</f>
        <v>70</v>
      </c>
      <c r="J641">
        <f t="shared" si="28"/>
        <v>1</v>
      </c>
      <c r="K641">
        <f>SUMIF(OrderDetailsCustomers!$M$2:$M$2158,'Order Header'!A641,OrderDetailsCustomers!$W$2:$W$2158)</f>
        <v>70</v>
      </c>
      <c r="L641" s="11">
        <f t="shared" si="29"/>
        <v>1</v>
      </c>
    </row>
    <row r="642" spans="1:12" x14ac:dyDescent="0.4">
      <c r="A642">
        <v>10888</v>
      </c>
      <c r="B642" s="4">
        <v>35142</v>
      </c>
      <c r="C642" t="s">
        <v>234</v>
      </c>
      <c r="D642" s="1" t="s">
        <v>782</v>
      </c>
      <c r="E642">
        <v>48.4</v>
      </c>
      <c r="F642">
        <v>15</v>
      </c>
      <c r="G642">
        <f t="shared" si="30"/>
        <v>2</v>
      </c>
      <c r="H642">
        <f>SUMIF(OrderDetailsCustomers!$M$2:$M$2158,A642,OrderDetailsCustomers!$W$2:$W$2158)</f>
        <v>605</v>
      </c>
      <c r="J642">
        <f t="shared" si="28"/>
        <v>2</v>
      </c>
      <c r="K642">
        <f>SUMIF(OrderDetailsCustomers!$M$2:$M$2158,'Order Header'!A642,OrderDetailsCustomers!$W$2:$W$2158)</f>
        <v>605</v>
      </c>
      <c r="L642" s="11">
        <f t="shared" si="29"/>
        <v>2</v>
      </c>
    </row>
    <row r="643" spans="1:12" x14ac:dyDescent="0.4">
      <c r="A643">
        <v>10889</v>
      </c>
      <c r="B643" s="4">
        <v>35142</v>
      </c>
      <c r="C643" t="s">
        <v>487</v>
      </c>
      <c r="D643" s="1" t="s">
        <v>765</v>
      </c>
      <c r="E643">
        <v>910.4</v>
      </c>
      <c r="F643">
        <v>20</v>
      </c>
      <c r="G643">
        <f t="shared" si="30"/>
        <v>5</v>
      </c>
      <c r="H643">
        <f>SUMIF(OrderDetailsCustomers!$M$2:$M$2158,A643,OrderDetailsCustomers!$W$2:$W$2158)</f>
        <v>11380</v>
      </c>
      <c r="J643">
        <f t="shared" ref="J643:J706" si="31">VLOOKUP(E643,$T$1:$U$7,2,TRUE)</f>
        <v>5</v>
      </c>
      <c r="K643">
        <f>SUMIF(OrderDetailsCustomers!$M$2:$M$2158,'Order Header'!A643,OrderDetailsCustomers!$W$2:$W$2158)</f>
        <v>11380</v>
      </c>
      <c r="L643" s="11">
        <f t="shared" ref="L643:L706" si="32">VLOOKUP(E643,$T$1:$U$7,2,TRUE)</f>
        <v>5</v>
      </c>
    </row>
    <row r="644" spans="1:12" x14ac:dyDescent="0.4">
      <c r="A644">
        <v>10890</v>
      </c>
      <c r="B644" s="4">
        <v>35142</v>
      </c>
      <c r="C644" t="s">
        <v>147</v>
      </c>
      <c r="D644" s="1" t="s">
        <v>784</v>
      </c>
      <c r="E644">
        <v>68.808000000000007</v>
      </c>
      <c r="F644">
        <v>15</v>
      </c>
      <c r="G644">
        <f t="shared" si="30"/>
        <v>3</v>
      </c>
      <c r="H644">
        <f>SUMIF(OrderDetailsCustomers!$M$2:$M$2158,A644,OrderDetailsCustomers!$W$2:$W$2158)</f>
        <v>860.1</v>
      </c>
      <c r="J644">
        <f t="shared" si="31"/>
        <v>3</v>
      </c>
      <c r="K644">
        <f>SUMIF(OrderDetailsCustomers!$M$2:$M$2158,'Order Header'!A644,OrderDetailsCustomers!$W$2:$W$2158)</f>
        <v>860.1</v>
      </c>
      <c r="L644" s="11">
        <f t="shared" si="32"/>
        <v>3</v>
      </c>
    </row>
    <row r="645" spans="1:12" x14ac:dyDescent="0.4">
      <c r="A645">
        <v>10891</v>
      </c>
      <c r="B645" s="4">
        <v>35143</v>
      </c>
      <c r="C645" t="s">
        <v>341</v>
      </c>
      <c r="D645" s="1" t="s">
        <v>768</v>
      </c>
      <c r="E645">
        <v>29.514600000000002</v>
      </c>
      <c r="F645">
        <v>10</v>
      </c>
      <c r="G645">
        <f t="shared" si="30"/>
        <v>2</v>
      </c>
      <c r="H645">
        <f>SUMIF(OrderDetailsCustomers!$M$2:$M$2158,A645,OrderDetailsCustomers!$W$2:$W$2158)</f>
        <v>368.9325</v>
      </c>
      <c r="J645">
        <f t="shared" si="31"/>
        <v>2</v>
      </c>
      <c r="K645">
        <f>SUMIF(OrderDetailsCustomers!$M$2:$M$2158,'Order Header'!A645,OrderDetailsCustomers!$W$2:$W$2158)</f>
        <v>368.9325</v>
      </c>
      <c r="L645" s="11">
        <f t="shared" si="32"/>
        <v>2</v>
      </c>
    </row>
    <row r="646" spans="1:12" x14ac:dyDescent="0.4">
      <c r="A646">
        <v>10892</v>
      </c>
      <c r="B646" s="4">
        <v>35143</v>
      </c>
      <c r="C646" t="s">
        <v>385</v>
      </c>
      <c r="D646" s="1" t="s">
        <v>782</v>
      </c>
      <c r="E646">
        <v>167.20000000000002</v>
      </c>
      <c r="F646">
        <v>20</v>
      </c>
      <c r="G646">
        <f t="shared" si="30"/>
        <v>4</v>
      </c>
      <c r="H646">
        <f>SUMIF(OrderDetailsCustomers!$M$2:$M$2158,A646,OrderDetailsCustomers!$W$2:$W$2158)</f>
        <v>2090</v>
      </c>
      <c r="J646">
        <f t="shared" si="31"/>
        <v>4</v>
      </c>
      <c r="K646">
        <f>SUMIF(OrderDetailsCustomers!$M$2:$M$2158,'Order Header'!A646,OrderDetailsCustomers!$W$2:$W$2158)</f>
        <v>2090</v>
      </c>
      <c r="L646" s="11">
        <f t="shared" si="32"/>
        <v>4</v>
      </c>
    </row>
    <row r="647" spans="1:12" x14ac:dyDescent="0.4">
      <c r="A647">
        <v>10893</v>
      </c>
      <c r="B647" s="4">
        <v>35144</v>
      </c>
      <c r="C647" t="s">
        <v>305</v>
      </c>
      <c r="D647" s="1" t="s">
        <v>766</v>
      </c>
      <c r="E647">
        <v>440.16879999999998</v>
      </c>
      <c r="F647">
        <v>20</v>
      </c>
      <c r="G647">
        <f t="shared" si="30"/>
        <v>5</v>
      </c>
      <c r="H647">
        <f>SUMIF(OrderDetailsCustomers!$M$2:$M$2158,A647,OrderDetailsCustomers!$W$2:$W$2158)</f>
        <v>5502.11</v>
      </c>
      <c r="J647">
        <f t="shared" si="31"/>
        <v>5</v>
      </c>
      <c r="K647">
        <f>SUMIF(OrderDetailsCustomers!$M$2:$M$2158,'Order Header'!A647,OrderDetailsCustomers!$W$2:$W$2158)</f>
        <v>5502.11</v>
      </c>
      <c r="L647" s="11">
        <f t="shared" si="32"/>
        <v>5</v>
      </c>
    </row>
    <row r="648" spans="1:12" x14ac:dyDescent="0.4">
      <c r="A648">
        <v>10894</v>
      </c>
      <c r="B648" s="4">
        <v>35144</v>
      </c>
      <c r="C648" t="s">
        <v>529</v>
      </c>
      <c r="D648" s="1" t="s">
        <v>780</v>
      </c>
      <c r="E648">
        <v>220.24799999999999</v>
      </c>
      <c r="F648">
        <v>20</v>
      </c>
      <c r="G648">
        <f t="shared" si="30"/>
        <v>4</v>
      </c>
      <c r="H648">
        <f>SUMIF(OrderDetailsCustomers!$M$2:$M$2158,A648,OrderDetailsCustomers!$W$2:$W$2158)</f>
        <v>2753.1</v>
      </c>
      <c r="J648">
        <f t="shared" si="31"/>
        <v>4</v>
      </c>
      <c r="K648">
        <f>SUMIF(OrderDetailsCustomers!$M$2:$M$2158,'Order Header'!A648,OrderDetailsCustomers!$W$2:$W$2158)</f>
        <v>2753.1</v>
      </c>
      <c r="L648" s="11">
        <f t="shared" si="32"/>
        <v>4</v>
      </c>
    </row>
    <row r="649" spans="1:12" x14ac:dyDescent="0.4">
      <c r="A649">
        <v>10895</v>
      </c>
      <c r="B649" s="4">
        <v>35144</v>
      </c>
      <c r="C649" t="s">
        <v>161</v>
      </c>
      <c r="D649" s="1" t="s">
        <v>772</v>
      </c>
      <c r="E649">
        <v>510.35199999999998</v>
      </c>
      <c r="F649">
        <v>20</v>
      </c>
      <c r="G649">
        <f t="shared" si="30"/>
        <v>5</v>
      </c>
      <c r="H649">
        <f>SUMIF(OrderDetailsCustomers!$M$2:$M$2158,A649,OrderDetailsCustomers!$W$2:$W$2158)</f>
        <v>6379.4</v>
      </c>
      <c r="J649">
        <f t="shared" si="31"/>
        <v>5</v>
      </c>
      <c r="K649">
        <f>SUMIF(OrderDetailsCustomers!$M$2:$M$2158,'Order Header'!A649,OrderDetailsCustomers!$W$2:$W$2158)</f>
        <v>6379.4</v>
      </c>
      <c r="L649" s="11">
        <f t="shared" si="32"/>
        <v>5</v>
      </c>
    </row>
    <row r="650" spans="1:12" x14ac:dyDescent="0.4">
      <c r="A650">
        <v>10896</v>
      </c>
      <c r="B650" s="4">
        <v>35145</v>
      </c>
      <c r="C650" t="s">
        <v>385</v>
      </c>
      <c r="D650" s="1" t="s">
        <v>782</v>
      </c>
      <c r="E650">
        <v>60.04</v>
      </c>
      <c r="F650">
        <v>15</v>
      </c>
      <c r="G650">
        <f t="shared" si="30"/>
        <v>3</v>
      </c>
      <c r="H650">
        <f>SUMIF(OrderDetailsCustomers!$M$2:$M$2158,A650,OrderDetailsCustomers!$W$2:$W$2158)</f>
        <v>750.5</v>
      </c>
      <c r="J650">
        <f t="shared" si="31"/>
        <v>3</v>
      </c>
      <c r="K650">
        <f>SUMIF(OrderDetailsCustomers!$M$2:$M$2158,'Order Header'!A650,OrderDetailsCustomers!$W$2:$W$2158)</f>
        <v>750.5</v>
      </c>
      <c r="L650" s="11">
        <f t="shared" si="32"/>
        <v>3</v>
      </c>
    </row>
    <row r="651" spans="1:12" x14ac:dyDescent="0.4">
      <c r="A651">
        <v>10897</v>
      </c>
      <c r="B651" s="4">
        <v>35145</v>
      </c>
      <c r="C651" t="s">
        <v>288</v>
      </c>
      <c r="D651" s="1" t="s">
        <v>781</v>
      </c>
      <c r="E651">
        <v>866.81920000000014</v>
      </c>
      <c r="F651">
        <v>20</v>
      </c>
      <c r="G651">
        <f t="shared" si="30"/>
        <v>5</v>
      </c>
      <c r="H651">
        <f>SUMIF(OrderDetailsCustomers!$M$2:$M$2158,A651,OrderDetailsCustomers!$W$2:$W$2158)</f>
        <v>10835.240000000002</v>
      </c>
      <c r="J651">
        <f t="shared" si="31"/>
        <v>5</v>
      </c>
      <c r="K651">
        <f>SUMIF(OrderDetailsCustomers!$M$2:$M$2158,'Order Header'!A651,OrderDetailsCustomers!$W$2:$W$2158)</f>
        <v>10835.240000000002</v>
      </c>
      <c r="L651" s="11">
        <f t="shared" si="32"/>
        <v>5</v>
      </c>
    </row>
    <row r="652" spans="1:12" x14ac:dyDescent="0.4">
      <c r="A652">
        <v>10898</v>
      </c>
      <c r="B652" s="4">
        <v>35146</v>
      </c>
      <c r="C652" t="s">
        <v>416</v>
      </c>
      <c r="D652" s="1" t="s">
        <v>767</v>
      </c>
      <c r="E652">
        <v>2.4</v>
      </c>
      <c r="F652">
        <v>10</v>
      </c>
      <c r="G652">
        <f t="shared" si="30"/>
        <v>1</v>
      </c>
      <c r="H652">
        <f>SUMIF(OrderDetailsCustomers!$M$2:$M$2158,A652,OrderDetailsCustomers!$W$2:$W$2158)</f>
        <v>30</v>
      </c>
      <c r="J652">
        <f t="shared" si="31"/>
        <v>1</v>
      </c>
      <c r="K652">
        <f>SUMIF(OrderDetailsCustomers!$M$2:$M$2158,'Order Header'!A652,OrderDetailsCustomers!$W$2:$W$2158)</f>
        <v>30</v>
      </c>
      <c r="L652" s="11">
        <f t="shared" si="32"/>
        <v>1</v>
      </c>
    </row>
    <row r="653" spans="1:12" x14ac:dyDescent="0.4">
      <c r="A653">
        <v>10899</v>
      </c>
      <c r="B653" s="4">
        <v>35146</v>
      </c>
      <c r="C653" t="s">
        <v>355</v>
      </c>
      <c r="D653" s="1" t="s">
        <v>779</v>
      </c>
      <c r="E653">
        <v>9.7919999999999998</v>
      </c>
      <c r="F653">
        <v>10</v>
      </c>
      <c r="G653">
        <f t="shared" si="30"/>
        <v>1</v>
      </c>
      <c r="H653">
        <f>SUMIF(OrderDetailsCustomers!$M$2:$M$2158,A653,OrderDetailsCustomers!$W$2:$W$2158)</f>
        <v>122.39999999999999</v>
      </c>
      <c r="J653">
        <f t="shared" si="31"/>
        <v>1</v>
      </c>
      <c r="K653">
        <f>SUMIF(OrderDetailsCustomers!$M$2:$M$2158,'Order Header'!A653,OrderDetailsCustomers!$W$2:$W$2158)</f>
        <v>122.39999999999999</v>
      </c>
      <c r="L653" s="11">
        <f t="shared" si="32"/>
        <v>1</v>
      </c>
    </row>
    <row r="654" spans="1:12" x14ac:dyDescent="0.4">
      <c r="A654">
        <v>10900</v>
      </c>
      <c r="B654" s="4">
        <v>35146</v>
      </c>
      <c r="C654" t="s">
        <v>647</v>
      </c>
      <c r="D654" s="1" t="s">
        <v>770</v>
      </c>
      <c r="E654">
        <v>2.7</v>
      </c>
      <c r="F654">
        <v>10</v>
      </c>
      <c r="G654">
        <f t="shared" si="30"/>
        <v>1</v>
      </c>
      <c r="H654">
        <f>SUMIF(OrderDetailsCustomers!$M$2:$M$2158,A654,OrderDetailsCustomers!$W$2:$W$2158)</f>
        <v>33.75</v>
      </c>
      <c r="J654">
        <f t="shared" si="31"/>
        <v>1</v>
      </c>
      <c r="K654">
        <f>SUMIF(OrderDetailsCustomers!$M$2:$M$2158,'Order Header'!A654,OrderDetailsCustomers!$W$2:$W$2158)</f>
        <v>33.75</v>
      </c>
      <c r="L654" s="11">
        <f t="shared" si="32"/>
        <v>1</v>
      </c>
    </row>
    <row r="655" spans="1:12" x14ac:dyDescent="0.4">
      <c r="A655">
        <v>10901</v>
      </c>
      <c r="B655" s="4">
        <v>35149</v>
      </c>
      <c r="C655" t="s">
        <v>273</v>
      </c>
      <c r="D655" s="1" t="s">
        <v>771</v>
      </c>
      <c r="E655">
        <v>74.760000000000005</v>
      </c>
      <c r="F655">
        <v>15</v>
      </c>
      <c r="G655">
        <f t="shared" si="30"/>
        <v>3</v>
      </c>
      <c r="H655">
        <f>SUMIF(OrderDetailsCustomers!$M$2:$M$2158,A655,OrderDetailsCustomers!$W$2:$W$2158)</f>
        <v>934.5</v>
      </c>
      <c r="J655">
        <f t="shared" si="31"/>
        <v>3</v>
      </c>
      <c r="K655">
        <f>SUMIF(OrderDetailsCustomers!$M$2:$M$2158,'Order Header'!A655,OrderDetailsCustomers!$W$2:$W$2158)</f>
        <v>934.5</v>
      </c>
      <c r="L655" s="11">
        <f t="shared" si="32"/>
        <v>3</v>
      </c>
    </row>
    <row r="656" spans="1:12" x14ac:dyDescent="0.4">
      <c r="A656">
        <v>10902</v>
      </c>
      <c r="B656" s="4">
        <v>35149</v>
      </c>
      <c r="C656" t="s">
        <v>191</v>
      </c>
      <c r="D656" s="1" t="s">
        <v>768</v>
      </c>
      <c r="E656">
        <v>69.074399999999997</v>
      </c>
      <c r="F656">
        <v>15</v>
      </c>
      <c r="G656">
        <f t="shared" si="30"/>
        <v>3</v>
      </c>
      <c r="H656">
        <f>SUMIF(OrderDetailsCustomers!$M$2:$M$2158,A656,OrderDetailsCustomers!$W$2:$W$2158)</f>
        <v>863.43</v>
      </c>
      <c r="J656">
        <f t="shared" si="31"/>
        <v>3</v>
      </c>
      <c r="K656">
        <f>SUMIF(OrderDetailsCustomers!$M$2:$M$2158,'Order Header'!A656,OrderDetailsCustomers!$W$2:$W$2158)</f>
        <v>863.43</v>
      </c>
      <c r="L656" s="11">
        <f t="shared" si="32"/>
        <v>3</v>
      </c>
    </row>
    <row r="657" spans="1:12" x14ac:dyDescent="0.4">
      <c r="A657">
        <v>10903</v>
      </c>
      <c r="B657" s="4">
        <v>35150</v>
      </c>
      <c r="C657" t="s">
        <v>264</v>
      </c>
      <c r="D657" s="1" t="s">
        <v>767</v>
      </c>
      <c r="E657">
        <v>74.563999999999993</v>
      </c>
      <c r="F657">
        <v>15</v>
      </c>
      <c r="G657">
        <f t="shared" si="30"/>
        <v>3</v>
      </c>
      <c r="H657">
        <f>SUMIF(OrderDetailsCustomers!$M$2:$M$2158,A657,OrderDetailsCustomers!$W$2:$W$2158)</f>
        <v>932.05</v>
      </c>
      <c r="J657">
        <f t="shared" si="31"/>
        <v>3</v>
      </c>
      <c r="K657">
        <f>SUMIF(OrderDetailsCustomers!$M$2:$M$2158,'Order Header'!A657,OrderDetailsCustomers!$W$2:$W$2158)</f>
        <v>932.05</v>
      </c>
      <c r="L657" s="11">
        <f t="shared" si="32"/>
        <v>3</v>
      </c>
    </row>
    <row r="658" spans="1:12" x14ac:dyDescent="0.4">
      <c r="A658">
        <v>10904</v>
      </c>
      <c r="B658" s="4">
        <v>35150</v>
      </c>
      <c r="C658" t="s">
        <v>654</v>
      </c>
      <c r="D658" s="1" t="s">
        <v>776</v>
      </c>
      <c r="E658">
        <v>153.94</v>
      </c>
      <c r="F658">
        <v>20</v>
      </c>
      <c r="G658">
        <f t="shared" si="30"/>
        <v>4</v>
      </c>
      <c r="H658">
        <f>SUMIF(OrderDetailsCustomers!$M$2:$M$2158,A658,OrderDetailsCustomers!$W$2:$W$2158)</f>
        <v>1924.25</v>
      </c>
      <c r="J658">
        <f t="shared" si="31"/>
        <v>4</v>
      </c>
      <c r="K658">
        <f>SUMIF(OrderDetailsCustomers!$M$2:$M$2158,'Order Header'!A658,OrderDetailsCustomers!$W$2:$W$2158)</f>
        <v>1924.25</v>
      </c>
      <c r="L658" s="11">
        <f t="shared" si="32"/>
        <v>4</v>
      </c>
    </row>
    <row r="659" spans="1:12" x14ac:dyDescent="0.4">
      <c r="A659">
        <v>10905</v>
      </c>
      <c r="B659" s="4">
        <v>35150</v>
      </c>
      <c r="C659" t="s">
        <v>647</v>
      </c>
      <c r="D659" s="1" t="s">
        <v>770</v>
      </c>
      <c r="E659">
        <v>27.36</v>
      </c>
      <c r="F659">
        <v>10</v>
      </c>
      <c r="G659">
        <f t="shared" si="30"/>
        <v>2</v>
      </c>
      <c r="H659">
        <f>SUMIF(OrderDetailsCustomers!$M$2:$M$2158,A659,OrderDetailsCustomers!$W$2:$W$2158)</f>
        <v>342</v>
      </c>
      <c r="J659">
        <f t="shared" si="31"/>
        <v>2</v>
      </c>
      <c r="K659">
        <f>SUMIF(OrderDetailsCustomers!$M$2:$M$2158,'Order Header'!A659,OrderDetailsCustomers!$W$2:$W$2158)</f>
        <v>342</v>
      </c>
      <c r="L659" s="11">
        <f t="shared" si="32"/>
        <v>2</v>
      </c>
    </row>
    <row r="660" spans="1:12" x14ac:dyDescent="0.4">
      <c r="A660">
        <v>10906</v>
      </c>
      <c r="B660" s="4">
        <v>35151</v>
      </c>
      <c r="C660" t="s">
        <v>668</v>
      </c>
      <c r="D660" s="1" t="s">
        <v>780</v>
      </c>
      <c r="E660">
        <v>34.200000000000003</v>
      </c>
      <c r="F660">
        <v>10</v>
      </c>
      <c r="G660">
        <f t="shared" si="30"/>
        <v>2</v>
      </c>
      <c r="H660">
        <f>SUMIF(OrderDetailsCustomers!$M$2:$M$2158,A660,OrderDetailsCustomers!$W$2:$W$2158)</f>
        <v>427.5</v>
      </c>
      <c r="J660">
        <f t="shared" si="31"/>
        <v>2</v>
      </c>
      <c r="K660">
        <f>SUMIF(OrderDetailsCustomers!$M$2:$M$2158,'Order Header'!A660,OrderDetailsCustomers!$W$2:$W$2158)</f>
        <v>427.5</v>
      </c>
      <c r="L660" s="11">
        <f t="shared" si="32"/>
        <v>2</v>
      </c>
    </row>
    <row r="661" spans="1:12" x14ac:dyDescent="0.4">
      <c r="A661">
        <v>10907</v>
      </c>
      <c r="B661" s="4">
        <v>35151</v>
      </c>
      <c r="C661" t="s">
        <v>551</v>
      </c>
      <c r="D661" s="1" t="s">
        <v>767</v>
      </c>
      <c r="E661">
        <v>8.68</v>
      </c>
      <c r="F661">
        <v>10</v>
      </c>
      <c r="G661">
        <f t="shared" ref="G661:G724" si="33">VLOOKUP(E661,$T$1:$U$7,2,TRUE)</f>
        <v>1</v>
      </c>
      <c r="H661">
        <f>SUMIF(OrderDetailsCustomers!$M$2:$M$2158,A661,OrderDetailsCustomers!$W$2:$W$2158)</f>
        <v>108.5</v>
      </c>
      <c r="J661">
        <f t="shared" si="31"/>
        <v>1</v>
      </c>
      <c r="K661">
        <f>SUMIF(OrderDetailsCustomers!$M$2:$M$2158,'Order Header'!A661,OrderDetailsCustomers!$W$2:$W$2158)</f>
        <v>108.5</v>
      </c>
      <c r="L661" s="11">
        <f t="shared" si="32"/>
        <v>1</v>
      </c>
    </row>
    <row r="662" spans="1:12" x14ac:dyDescent="0.4">
      <c r="A662">
        <v>10908</v>
      </c>
      <c r="B662" s="4">
        <v>35152</v>
      </c>
      <c r="C662" t="s">
        <v>496</v>
      </c>
      <c r="D662" s="1" t="s">
        <v>779</v>
      </c>
      <c r="E662">
        <v>53.048000000000002</v>
      </c>
      <c r="F662">
        <v>15</v>
      </c>
      <c r="G662">
        <f t="shared" si="33"/>
        <v>3</v>
      </c>
      <c r="H662">
        <f>SUMIF(OrderDetailsCustomers!$M$2:$M$2158,A662,OrderDetailsCustomers!$W$2:$W$2158)</f>
        <v>663.1</v>
      </c>
      <c r="J662">
        <f t="shared" si="31"/>
        <v>3</v>
      </c>
      <c r="K662">
        <f>SUMIF(OrderDetailsCustomers!$M$2:$M$2158,'Order Header'!A662,OrderDetailsCustomers!$W$2:$W$2158)</f>
        <v>663.1</v>
      </c>
      <c r="L662" s="11">
        <f t="shared" si="32"/>
        <v>3</v>
      </c>
    </row>
    <row r="663" spans="1:12" x14ac:dyDescent="0.4">
      <c r="A663">
        <v>10909</v>
      </c>
      <c r="B663" s="4">
        <v>35152</v>
      </c>
      <c r="C663" t="s">
        <v>521</v>
      </c>
      <c r="D663" s="1" t="s">
        <v>782</v>
      </c>
      <c r="E663">
        <v>53.6</v>
      </c>
      <c r="F663">
        <v>15</v>
      </c>
      <c r="G663">
        <f t="shared" si="33"/>
        <v>3</v>
      </c>
      <c r="H663">
        <f>SUMIF(OrderDetailsCustomers!$M$2:$M$2158,A663,OrderDetailsCustomers!$W$2:$W$2158)</f>
        <v>670</v>
      </c>
      <c r="J663">
        <f t="shared" si="31"/>
        <v>3</v>
      </c>
      <c r="K663">
        <f>SUMIF(OrderDetailsCustomers!$M$2:$M$2158,'Order Header'!A663,OrderDetailsCustomers!$W$2:$W$2158)</f>
        <v>670</v>
      </c>
      <c r="L663" s="11">
        <f t="shared" si="32"/>
        <v>3</v>
      </c>
    </row>
    <row r="664" spans="1:12" x14ac:dyDescent="0.4">
      <c r="A664">
        <v>10910</v>
      </c>
      <c r="B664" s="4">
        <v>35152</v>
      </c>
      <c r="C664" t="s">
        <v>661</v>
      </c>
      <c r="D664" s="1" t="s">
        <v>782</v>
      </c>
      <c r="E664">
        <v>36.231999999999999</v>
      </c>
      <c r="F664">
        <v>10</v>
      </c>
      <c r="G664">
        <f t="shared" si="33"/>
        <v>2</v>
      </c>
      <c r="H664">
        <f>SUMIF(OrderDetailsCustomers!$M$2:$M$2158,A664,OrderDetailsCustomers!$W$2:$W$2158)</f>
        <v>452.9</v>
      </c>
      <c r="J664">
        <f t="shared" si="31"/>
        <v>2</v>
      </c>
      <c r="K664">
        <f>SUMIF(OrderDetailsCustomers!$M$2:$M$2158,'Order Header'!A664,OrderDetailsCustomers!$W$2:$W$2158)</f>
        <v>452.9</v>
      </c>
      <c r="L664" s="11">
        <f t="shared" si="32"/>
        <v>2</v>
      </c>
    </row>
    <row r="665" spans="1:12" x14ac:dyDescent="0.4">
      <c r="A665">
        <v>10911</v>
      </c>
      <c r="B665" s="4">
        <v>35152</v>
      </c>
      <c r="C665" t="s">
        <v>234</v>
      </c>
      <c r="D665" s="1" t="s">
        <v>782</v>
      </c>
      <c r="E665">
        <v>68.64</v>
      </c>
      <c r="F665">
        <v>15</v>
      </c>
      <c r="G665">
        <f t="shared" si="33"/>
        <v>3</v>
      </c>
      <c r="H665">
        <f>SUMIF(OrderDetailsCustomers!$M$2:$M$2158,A665,OrderDetailsCustomers!$W$2:$W$2158)</f>
        <v>858</v>
      </c>
      <c r="J665">
        <f t="shared" si="31"/>
        <v>3</v>
      </c>
      <c r="K665">
        <f>SUMIF(OrderDetailsCustomers!$M$2:$M$2158,'Order Header'!A665,OrderDetailsCustomers!$W$2:$W$2158)</f>
        <v>858</v>
      </c>
      <c r="L665" s="11">
        <f t="shared" si="32"/>
        <v>3</v>
      </c>
    </row>
    <row r="666" spans="1:12" x14ac:dyDescent="0.4">
      <c r="A666">
        <v>10912</v>
      </c>
      <c r="B666" s="4">
        <v>35152</v>
      </c>
      <c r="C666" t="s">
        <v>288</v>
      </c>
      <c r="D666" s="1" t="s">
        <v>781</v>
      </c>
      <c r="E666">
        <v>496.04400000000004</v>
      </c>
      <c r="F666">
        <v>20</v>
      </c>
      <c r="G666">
        <f t="shared" si="33"/>
        <v>5</v>
      </c>
      <c r="H666">
        <f>SUMIF(OrderDetailsCustomers!$M$2:$M$2158,A666,OrderDetailsCustomers!$W$2:$W$2158)</f>
        <v>6200.55</v>
      </c>
      <c r="J666">
        <f t="shared" si="31"/>
        <v>5</v>
      </c>
      <c r="K666">
        <f>SUMIF(OrderDetailsCustomers!$M$2:$M$2158,'Order Header'!A666,OrderDetailsCustomers!$W$2:$W$2158)</f>
        <v>6200.55</v>
      </c>
      <c r="L666" s="11">
        <f t="shared" si="32"/>
        <v>5</v>
      </c>
    </row>
    <row r="667" spans="1:12" x14ac:dyDescent="0.4">
      <c r="A667">
        <v>10913</v>
      </c>
      <c r="B667" s="4">
        <v>35152</v>
      </c>
      <c r="C667" t="s">
        <v>469</v>
      </c>
      <c r="D667" s="1" t="s">
        <v>783</v>
      </c>
      <c r="E667">
        <v>61.5</v>
      </c>
      <c r="F667">
        <v>15</v>
      </c>
      <c r="G667">
        <f t="shared" si="33"/>
        <v>3</v>
      </c>
      <c r="H667">
        <f>SUMIF(OrderDetailsCustomers!$M$2:$M$2158,A667,OrderDetailsCustomers!$W$2:$W$2158)</f>
        <v>768.75</v>
      </c>
      <c r="J667">
        <f t="shared" si="31"/>
        <v>3</v>
      </c>
      <c r="K667">
        <f>SUMIF(OrderDetailsCustomers!$M$2:$M$2158,'Order Header'!A667,OrderDetailsCustomers!$W$2:$W$2158)</f>
        <v>768.75</v>
      </c>
      <c r="L667" s="11">
        <f t="shared" si="32"/>
        <v>3</v>
      </c>
    </row>
    <row r="668" spans="1:12" x14ac:dyDescent="0.4">
      <c r="A668">
        <v>10914</v>
      </c>
      <c r="B668" s="4">
        <v>35153</v>
      </c>
      <c r="C668" t="s">
        <v>469</v>
      </c>
      <c r="D668" s="1" t="s">
        <v>783</v>
      </c>
      <c r="E668">
        <v>43</v>
      </c>
      <c r="F668">
        <v>15</v>
      </c>
      <c r="G668">
        <f t="shared" si="33"/>
        <v>2</v>
      </c>
      <c r="H668">
        <f>SUMIF(OrderDetailsCustomers!$M$2:$M$2158,A668,OrderDetailsCustomers!$W$2:$W$2158)</f>
        <v>537.5</v>
      </c>
      <c r="J668">
        <f t="shared" si="31"/>
        <v>2</v>
      </c>
      <c r="K668">
        <f>SUMIF(OrderDetailsCustomers!$M$2:$M$2158,'Order Header'!A668,OrderDetailsCustomers!$W$2:$W$2158)</f>
        <v>537.5</v>
      </c>
      <c r="L668" s="11">
        <f t="shared" si="32"/>
        <v>2</v>
      </c>
    </row>
    <row r="669" spans="1:12" x14ac:dyDescent="0.4">
      <c r="A669">
        <v>10915</v>
      </c>
      <c r="B669" s="4">
        <v>35153</v>
      </c>
      <c r="C669" t="s">
        <v>593</v>
      </c>
      <c r="D669" s="1" t="s">
        <v>772</v>
      </c>
      <c r="E669">
        <v>43.160000000000004</v>
      </c>
      <c r="F669">
        <v>15</v>
      </c>
      <c r="G669">
        <f t="shared" si="33"/>
        <v>2</v>
      </c>
      <c r="H669">
        <f>SUMIF(OrderDetailsCustomers!$M$2:$M$2158,A669,OrderDetailsCustomers!$W$2:$W$2158)</f>
        <v>539.5</v>
      </c>
      <c r="J669">
        <f t="shared" si="31"/>
        <v>2</v>
      </c>
      <c r="K669">
        <f>SUMIF(OrderDetailsCustomers!$M$2:$M$2158,'Order Header'!A669,OrderDetailsCustomers!$W$2:$W$2158)</f>
        <v>539.5</v>
      </c>
      <c r="L669" s="11">
        <f t="shared" si="32"/>
        <v>2</v>
      </c>
    </row>
    <row r="670" spans="1:12" x14ac:dyDescent="0.4">
      <c r="A670">
        <v>10916</v>
      </c>
      <c r="B670" s="4">
        <v>35153</v>
      </c>
      <c r="C670" t="s">
        <v>481</v>
      </c>
      <c r="D670" s="1" t="s">
        <v>768</v>
      </c>
      <c r="E670">
        <v>54.936000000000007</v>
      </c>
      <c r="F670">
        <v>15</v>
      </c>
      <c r="G670">
        <f t="shared" si="33"/>
        <v>3</v>
      </c>
      <c r="H670">
        <f>SUMIF(OrderDetailsCustomers!$M$2:$M$2158,A670,OrderDetailsCustomers!$W$2:$W$2158)</f>
        <v>686.7</v>
      </c>
      <c r="J670">
        <f t="shared" si="31"/>
        <v>3</v>
      </c>
      <c r="K670">
        <f>SUMIF(OrderDetailsCustomers!$M$2:$M$2158,'Order Header'!A670,OrderDetailsCustomers!$W$2:$W$2158)</f>
        <v>686.7</v>
      </c>
      <c r="L670" s="11">
        <f t="shared" si="32"/>
        <v>3</v>
      </c>
    </row>
    <row r="671" spans="1:12" x14ac:dyDescent="0.4">
      <c r="A671">
        <v>10917</v>
      </c>
      <c r="B671" s="4">
        <v>35156</v>
      </c>
      <c r="C671" t="s">
        <v>515</v>
      </c>
      <c r="D671" s="1" t="s">
        <v>776</v>
      </c>
      <c r="E671">
        <v>29.2712</v>
      </c>
      <c r="F671">
        <v>10</v>
      </c>
      <c r="G671">
        <f t="shared" si="33"/>
        <v>2</v>
      </c>
      <c r="H671">
        <f>SUMIF(OrderDetailsCustomers!$M$2:$M$2158,A671,OrderDetailsCustomers!$W$2:$W$2158)</f>
        <v>365.89</v>
      </c>
      <c r="J671">
        <f t="shared" si="31"/>
        <v>2</v>
      </c>
      <c r="K671">
        <f>SUMIF(OrderDetailsCustomers!$M$2:$M$2158,'Order Header'!A671,OrderDetailsCustomers!$W$2:$W$2158)</f>
        <v>365.89</v>
      </c>
      <c r="L671" s="11">
        <f t="shared" si="32"/>
        <v>2</v>
      </c>
    </row>
    <row r="672" spans="1:12" x14ac:dyDescent="0.4">
      <c r="A672">
        <v>10918</v>
      </c>
      <c r="B672" s="4">
        <v>35156</v>
      </c>
      <c r="C672" t="s">
        <v>84</v>
      </c>
      <c r="D672" s="1" t="s">
        <v>782</v>
      </c>
      <c r="E672">
        <v>115.8</v>
      </c>
      <c r="F672">
        <v>20</v>
      </c>
      <c r="G672">
        <f t="shared" si="33"/>
        <v>3</v>
      </c>
      <c r="H672">
        <f>SUMIF(OrderDetailsCustomers!$M$2:$M$2158,A672,OrderDetailsCustomers!$W$2:$W$2158)</f>
        <v>1447.5</v>
      </c>
      <c r="J672">
        <f t="shared" si="31"/>
        <v>3</v>
      </c>
      <c r="K672">
        <f>SUMIF(OrderDetailsCustomers!$M$2:$M$2158,'Order Header'!A672,OrderDetailsCustomers!$W$2:$W$2158)</f>
        <v>1447.5</v>
      </c>
      <c r="L672" s="11">
        <f t="shared" si="32"/>
        <v>3</v>
      </c>
    </row>
    <row r="673" spans="1:12" x14ac:dyDescent="0.4">
      <c r="A673">
        <v>10919</v>
      </c>
      <c r="B673" s="4">
        <v>35156</v>
      </c>
      <c r="C673" t="s">
        <v>363</v>
      </c>
      <c r="D673" s="1" t="s">
        <v>775</v>
      </c>
      <c r="E673">
        <v>89.823999999999998</v>
      </c>
      <c r="F673">
        <v>20</v>
      </c>
      <c r="G673">
        <f t="shared" si="33"/>
        <v>3</v>
      </c>
      <c r="H673">
        <f>SUMIF(OrderDetailsCustomers!$M$2:$M$2158,A673,OrderDetailsCustomers!$W$2:$W$2158)</f>
        <v>1122.8</v>
      </c>
      <c r="J673">
        <f t="shared" si="31"/>
        <v>3</v>
      </c>
      <c r="K673">
        <f>SUMIF(OrderDetailsCustomers!$M$2:$M$2158,'Order Header'!A673,OrderDetailsCustomers!$W$2:$W$2158)</f>
        <v>1122.8</v>
      </c>
      <c r="L673" s="11">
        <f t="shared" si="32"/>
        <v>3</v>
      </c>
    </row>
    <row r="674" spans="1:12" x14ac:dyDescent="0.4">
      <c r="A674">
        <v>10920</v>
      </c>
      <c r="B674" s="4">
        <v>35157</v>
      </c>
      <c r="C674" t="s">
        <v>34</v>
      </c>
      <c r="D674" s="1" t="s">
        <v>768</v>
      </c>
      <c r="E674">
        <v>31.2</v>
      </c>
      <c r="F674">
        <v>10</v>
      </c>
      <c r="G674">
        <f t="shared" si="33"/>
        <v>2</v>
      </c>
      <c r="H674">
        <f>SUMIF(OrderDetailsCustomers!$M$2:$M$2158,A674,OrderDetailsCustomers!$W$2:$W$2158)</f>
        <v>390</v>
      </c>
      <c r="J674">
        <f t="shared" si="31"/>
        <v>2</v>
      </c>
      <c r="K674">
        <f>SUMIF(OrderDetailsCustomers!$M$2:$M$2158,'Order Header'!A674,OrderDetailsCustomers!$W$2:$W$2158)</f>
        <v>390</v>
      </c>
      <c r="L674" s="11">
        <f t="shared" si="32"/>
        <v>2</v>
      </c>
    </row>
    <row r="675" spans="1:12" x14ac:dyDescent="0.4">
      <c r="A675">
        <v>10921</v>
      </c>
      <c r="B675" s="4">
        <v>35157</v>
      </c>
      <c r="C675" t="s">
        <v>612</v>
      </c>
      <c r="D675" s="1" t="s">
        <v>777</v>
      </c>
      <c r="E675">
        <v>154.88</v>
      </c>
      <c r="F675">
        <v>20</v>
      </c>
      <c r="G675">
        <f t="shared" si="33"/>
        <v>4</v>
      </c>
      <c r="H675">
        <f>SUMIF(OrderDetailsCustomers!$M$2:$M$2158,A675,OrderDetailsCustomers!$W$2:$W$2158)</f>
        <v>1936</v>
      </c>
      <c r="J675">
        <f t="shared" si="31"/>
        <v>4</v>
      </c>
      <c r="K675">
        <f>SUMIF(OrderDetailsCustomers!$M$2:$M$2158,'Order Header'!A675,OrderDetailsCustomers!$W$2:$W$2158)</f>
        <v>1936</v>
      </c>
      <c r="L675" s="11">
        <f t="shared" si="32"/>
        <v>4</v>
      </c>
    </row>
    <row r="676" spans="1:12" x14ac:dyDescent="0.4">
      <c r="A676">
        <v>10922</v>
      </c>
      <c r="B676" s="4">
        <v>35157</v>
      </c>
      <c r="C676" t="s">
        <v>264</v>
      </c>
      <c r="D676" s="1" t="s">
        <v>767</v>
      </c>
      <c r="E676">
        <v>59.4</v>
      </c>
      <c r="F676">
        <v>15</v>
      </c>
      <c r="G676">
        <f t="shared" si="33"/>
        <v>3</v>
      </c>
      <c r="H676">
        <f>SUMIF(OrderDetailsCustomers!$M$2:$M$2158,A676,OrderDetailsCustomers!$W$2:$W$2158)</f>
        <v>742.5</v>
      </c>
      <c r="J676">
        <f t="shared" si="31"/>
        <v>3</v>
      </c>
      <c r="K676">
        <f>SUMIF(OrderDetailsCustomers!$M$2:$M$2158,'Order Header'!A676,OrderDetailsCustomers!$W$2:$W$2158)</f>
        <v>742.5</v>
      </c>
      <c r="L676" s="11">
        <f t="shared" si="32"/>
        <v>3</v>
      </c>
    </row>
    <row r="677" spans="1:12" x14ac:dyDescent="0.4">
      <c r="A677">
        <v>10923</v>
      </c>
      <c r="B677" s="4">
        <v>35157</v>
      </c>
      <c r="C677" t="s">
        <v>318</v>
      </c>
      <c r="D677" s="1" t="s">
        <v>774</v>
      </c>
      <c r="E677">
        <v>59.903999999999996</v>
      </c>
      <c r="F677">
        <v>15</v>
      </c>
      <c r="G677">
        <f t="shared" si="33"/>
        <v>3</v>
      </c>
      <c r="H677">
        <f>SUMIF(OrderDetailsCustomers!$M$2:$M$2158,A677,OrderDetailsCustomers!$W$2:$W$2158)</f>
        <v>748.8</v>
      </c>
      <c r="J677">
        <f t="shared" si="31"/>
        <v>3</v>
      </c>
      <c r="K677">
        <f>SUMIF(OrderDetailsCustomers!$M$2:$M$2158,'Order Header'!A677,OrderDetailsCustomers!$W$2:$W$2158)</f>
        <v>748.8</v>
      </c>
      <c r="L677" s="11">
        <f t="shared" si="32"/>
        <v>3</v>
      </c>
    </row>
    <row r="678" spans="1:12" x14ac:dyDescent="0.4">
      <c r="A678">
        <v>10924</v>
      </c>
      <c r="B678" s="4">
        <v>35158</v>
      </c>
      <c r="C678" t="s">
        <v>43</v>
      </c>
      <c r="D678" s="1" t="s">
        <v>765</v>
      </c>
      <c r="E678">
        <v>146.85599999999999</v>
      </c>
      <c r="F678">
        <v>20</v>
      </c>
      <c r="G678">
        <f t="shared" si="33"/>
        <v>3</v>
      </c>
      <c r="H678">
        <f>SUMIF(OrderDetailsCustomers!$M$2:$M$2158,A678,OrderDetailsCustomers!$W$2:$W$2158)</f>
        <v>1835.7</v>
      </c>
      <c r="J678">
        <f t="shared" si="31"/>
        <v>3</v>
      </c>
      <c r="K678">
        <f>SUMIF(OrderDetailsCustomers!$M$2:$M$2158,'Order Header'!A678,OrderDetailsCustomers!$W$2:$W$2158)</f>
        <v>1835.7</v>
      </c>
      <c r="L678" s="11">
        <f t="shared" si="32"/>
        <v>3</v>
      </c>
    </row>
    <row r="679" spans="1:12" x14ac:dyDescent="0.4">
      <c r="A679">
        <v>10925</v>
      </c>
      <c r="B679" s="4">
        <v>35158</v>
      </c>
      <c r="C679" t="s">
        <v>264</v>
      </c>
      <c r="D679" s="1" t="s">
        <v>767</v>
      </c>
      <c r="E679">
        <v>38.012</v>
      </c>
      <c r="F679">
        <v>10</v>
      </c>
      <c r="G679">
        <f t="shared" si="33"/>
        <v>2</v>
      </c>
      <c r="H679">
        <f>SUMIF(OrderDetailsCustomers!$M$2:$M$2158,A679,OrderDetailsCustomers!$W$2:$W$2158)</f>
        <v>475.15</v>
      </c>
      <c r="J679">
        <f t="shared" si="31"/>
        <v>2</v>
      </c>
      <c r="K679">
        <f>SUMIF(OrderDetailsCustomers!$M$2:$M$2158,'Order Header'!A679,OrderDetailsCustomers!$W$2:$W$2158)</f>
        <v>475.15</v>
      </c>
      <c r="L679" s="11">
        <f t="shared" si="32"/>
        <v>2</v>
      </c>
    </row>
    <row r="680" spans="1:12" x14ac:dyDescent="0.4">
      <c r="A680">
        <v>10926</v>
      </c>
      <c r="B680" s="4">
        <v>35158</v>
      </c>
      <c r="C680" t="s">
        <v>20</v>
      </c>
      <c r="D680" s="1" t="s">
        <v>783</v>
      </c>
      <c r="E680">
        <v>41.152000000000001</v>
      </c>
      <c r="F680">
        <v>15</v>
      </c>
      <c r="G680">
        <f t="shared" si="33"/>
        <v>2</v>
      </c>
      <c r="H680">
        <f>SUMIF(OrderDetailsCustomers!$M$2:$M$2158,A680,OrderDetailsCustomers!$W$2:$W$2158)</f>
        <v>514.4</v>
      </c>
      <c r="J680">
        <f t="shared" si="31"/>
        <v>2</v>
      </c>
      <c r="K680">
        <f>SUMIF(OrderDetailsCustomers!$M$2:$M$2158,'Order Header'!A680,OrderDetailsCustomers!$W$2:$W$2158)</f>
        <v>514.4</v>
      </c>
      <c r="L680" s="11">
        <f t="shared" si="32"/>
        <v>2</v>
      </c>
    </row>
    <row r="681" spans="1:12" x14ac:dyDescent="0.4">
      <c r="A681">
        <v>10927</v>
      </c>
      <c r="B681" s="4">
        <v>35159</v>
      </c>
      <c r="C681" t="s">
        <v>311</v>
      </c>
      <c r="D681" s="1" t="s">
        <v>772</v>
      </c>
      <c r="E681">
        <v>64</v>
      </c>
      <c r="F681">
        <v>15</v>
      </c>
      <c r="G681">
        <f t="shared" si="33"/>
        <v>3</v>
      </c>
      <c r="H681">
        <f>SUMIF(OrderDetailsCustomers!$M$2:$M$2158,A681,OrderDetailsCustomers!$W$2:$W$2158)</f>
        <v>800</v>
      </c>
      <c r="J681">
        <f t="shared" si="31"/>
        <v>3</v>
      </c>
      <c r="K681">
        <f>SUMIF(OrderDetailsCustomers!$M$2:$M$2158,'Order Header'!A681,OrderDetailsCustomers!$W$2:$W$2158)</f>
        <v>800</v>
      </c>
      <c r="L681" s="11">
        <f t="shared" si="32"/>
        <v>3</v>
      </c>
    </row>
    <row r="682" spans="1:12" x14ac:dyDescent="0.4">
      <c r="A682">
        <v>10928</v>
      </c>
      <c r="B682" s="4">
        <v>35159</v>
      </c>
      <c r="C682" t="s">
        <v>227</v>
      </c>
      <c r="D682" s="1" t="s">
        <v>776</v>
      </c>
      <c r="E682">
        <v>11</v>
      </c>
      <c r="F682">
        <v>10</v>
      </c>
      <c r="G682">
        <f t="shared" si="33"/>
        <v>2</v>
      </c>
      <c r="H682">
        <f>SUMIF(OrderDetailsCustomers!$M$2:$M$2158,A682,OrderDetailsCustomers!$W$2:$W$2158)</f>
        <v>137.5</v>
      </c>
      <c r="J682">
        <f t="shared" si="31"/>
        <v>2</v>
      </c>
      <c r="K682">
        <f>SUMIF(OrderDetailsCustomers!$M$2:$M$2158,'Order Header'!A682,OrderDetailsCustomers!$W$2:$W$2158)</f>
        <v>137.5</v>
      </c>
      <c r="L682" s="11">
        <f t="shared" si="32"/>
        <v>2</v>
      </c>
    </row>
    <row r="683" spans="1:12" x14ac:dyDescent="0.4">
      <c r="A683">
        <v>10929</v>
      </c>
      <c r="B683" s="4">
        <v>35159</v>
      </c>
      <c r="C683" t="s">
        <v>198</v>
      </c>
      <c r="D683" s="1" t="s">
        <v>765</v>
      </c>
      <c r="E683">
        <v>93.98</v>
      </c>
      <c r="F683">
        <v>20</v>
      </c>
      <c r="G683">
        <f t="shared" si="33"/>
        <v>3</v>
      </c>
      <c r="H683">
        <f>SUMIF(OrderDetailsCustomers!$M$2:$M$2158,A683,OrderDetailsCustomers!$W$2:$W$2158)</f>
        <v>1174.75</v>
      </c>
      <c r="J683">
        <f t="shared" si="31"/>
        <v>3</v>
      </c>
      <c r="K683">
        <f>SUMIF(OrderDetailsCustomers!$M$2:$M$2158,'Order Header'!A683,OrderDetailsCustomers!$W$2:$W$2158)</f>
        <v>1174.75</v>
      </c>
      <c r="L683" s="11">
        <f t="shared" si="32"/>
        <v>3</v>
      </c>
    </row>
    <row r="684" spans="1:12" x14ac:dyDescent="0.4">
      <c r="A684">
        <v>10930</v>
      </c>
      <c r="B684" s="4">
        <v>35160</v>
      </c>
      <c r="C684" t="s">
        <v>565</v>
      </c>
      <c r="D684" s="1" t="s">
        <v>769</v>
      </c>
      <c r="E684">
        <v>180.44</v>
      </c>
      <c r="F684">
        <v>20</v>
      </c>
      <c r="G684">
        <f t="shared" si="33"/>
        <v>4</v>
      </c>
      <c r="H684">
        <f>SUMIF(OrderDetailsCustomers!$M$2:$M$2158,A684,OrderDetailsCustomers!$W$2:$W$2158)</f>
        <v>2255.5</v>
      </c>
      <c r="J684">
        <f t="shared" si="31"/>
        <v>4</v>
      </c>
      <c r="K684">
        <f>SUMIF(OrderDetailsCustomers!$M$2:$M$2158,'Order Header'!A684,OrderDetailsCustomers!$W$2:$W$2158)</f>
        <v>2255.5</v>
      </c>
      <c r="L684" s="11">
        <f t="shared" si="32"/>
        <v>4</v>
      </c>
    </row>
    <row r="685" spans="1:12" x14ac:dyDescent="0.4">
      <c r="A685">
        <v>10931</v>
      </c>
      <c r="B685" s="4">
        <v>35160</v>
      </c>
      <c r="C685" t="s">
        <v>509</v>
      </c>
      <c r="D685" s="1" t="s">
        <v>770</v>
      </c>
      <c r="E685">
        <v>63.936000000000007</v>
      </c>
      <c r="F685">
        <v>15</v>
      </c>
      <c r="G685">
        <f t="shared" si="33"/>
        <v>3</v>
      </c>
      <c r="H685">
        <f>SUMIF(OrderDetailsCustomers!$M$2:$M$2158,A685,OrderDetailsCustomers!$W$2:$W$2158)</f>
        <v>799.2</v>
      </c>
      <c r="J685">
        <f t="shared" si="31"/>
        <v>3</v>
      </c>
      <c r="K685">
        <f>SUMIF(OrderDetailsCustomers!$M$2:$M$2158,'Order Header'!A685,OrderDetailsCustomers!$W$2:$W$2158)</f>
        <v>799.2</v>
      </c>
      <c r="L685" s="11">
        <f t="shared" si="32"/>
        <v>3</v>
      </c>
    </row>
    <row r="686" spans="1:12" x14ac:dyDescent="0.4">
      <c r="A686">
        <v>10932</v>
      </c>
      <c r="B686" s="4">
        <v>35160</v>
      </c>
      <c r="C686" t="s">
        <v>77</v>
      </c>
      <c r="D686" s="1" t="s">
        <v>776</v>
      </c>
      <c r="E686">
        <v>143.09039999999999</v>
      </c>
      <c r="F686">
        <v>20</v>
      </c>
      <c r="G686">
        <f t="shared" si="33"/>
        <v>3</v>
      </c>
      <c r="H686">
        <f>SUMIF(OrderDetailsCustomers!$M$2:$M$2158,A686,OrderDetailsCustomers!$W$2:$W$2158)</f>
        <v>1788.6299999999999</v>
      </c>
      <c r="J686">
        <f t="shared" si="31"/>
        <v>3</v>
      </c>
      <c r="K686">
        <f>SUMIF(OrderDetailsCustomers!$M$2:$M$2158,'Order Header'!A686,OrderDetailsCustomers!$W$2:$W$2158)</f>
        <v>1788.6299999999999</v>
      </c>
      <c r="L686" s="11">
        <f t="shared" si="32"/>
        <v>3</v>
      </c>
    </row>
    <row r="687" spans="1:12" x14ac:dyDescent="0.4">
      <c r="A687">
        <v>10933</v>
      </c>
      <c r="B687" s="4">
        <v>35160</v>
      </c>
      <c r="C687" t="s">
        <v>297</v>
      </c>
      <c r="D687" s="1" t="s">
        <v>784</v>
      </c>
      <c r="E687">
        <v>73.64800000000001</v>
      </c>
      <c r="F687">
        <v>15</v>
      </c>
      <c r="G687">
        <f t="shared" si="33"/>
        <v>3</v>
      </c>
      <c r="H687">
        <f>SUMIF(OrderDetailsCustomers!$M$2:$M$2158,A687,OrderDetailsCustomers!$W$2:$W$2158)</f>
        <v>920.6</v>
      </c>
      <c r="J687">
        <f t="shared" si="31"/>
        <v>3</v>
      </c>
      <c r="K687">
        <f>SUMIF(OrderDetailsCustomers!$M$2:$M$2158,'Order Header'!A687,OrderDetailsCustomers!$W$2:$W$2158)</f>
        <v>920.6</v>
      </c>
      <c r="L687" s="11">
        <f t="shared" si="32"/>
        <v>3</v>
      </c>
    </row>
    <row r="688" spans="1:12" x14ac:dyDescent="0.4">
      <c r="A688">
        <v>10934</v>
      </c>
      <c r="B688" s="4">
        <v>35163</v>
      </c>
      <c r="C688" t="s">
        <v>341</v>
      </c>
      <c r="D688" s="1" t="s">
        <v>768</v>
      </c>
      <c r="E688">
        <v>40</v>
      </c>
      <c r="F688">
        <v>10</v>
      </c>
      <c r="G688">
        <f t="shared" si="33"/>
        <v>2</v>
      </c>
      <c r="H688">
        <f>SUMIF(OrderDetailsCustomers!$M$2:$M$2158,A688,OrderDetailsCustomers!$W$2:$W$2158)</f>
        <v>500</v>
      </c>
      <c r="J688">
        <f t="shared" si="31"/>
        <v>2</v>
      </c>
      <c r="K688">
        <f>SUMIF(OrderDetailsCustomers!$M$2:$M$2158,'Order Header'!A688,OrderDetailsCustomers!$W$2:$W$2158)</f>
        <v>500</v>
      </c>
      <c r="L688" s="11">
        <f t="shared" si="32"/>
        <v>2</v>
      </c>
    </row>
    <row r="689" spans="1:12" x14ac:dyDescent="0.4">
      <c r="A689">
        <v>10935</v>
      </c>
      <c r="B689" s="4">
        <v>35163</v>
      </c>
      <c r="C689" t="s">
        <v>647</v>
      </c>
      <c r="D689" s="1" t="s">
        <v>770</v>
      </c>
      <c r="E689">
        <v>49.56</v>
      </c>
      <c r="F689">
        <v>15</v>
      </c>
      <c r="G689">
        <f t="shared" si="33"/>
        <v>2</v>
      </c>
      <c r="H689">
        <f>SUMIF(OrderDetailsCustomers!$M$2:$M$2158,A689,OrderDetailsCustomers!$W$2:$W$2158)</f>
        <v>619.5</v>
      </c>
      <c r="J689">
        <f t="shared" si="31"/>
        <v>2</v>
      </c>
      <c r="K689">
        <f>SUMIF(OrderDetailsCustomers!$M$2:$M$2158,'Order Header'!A689,OrderDetailsCustomers!$W$2:$W$2158)</f>
        <v>619.5</v>
      </c>
      <c r="L689" s="11">
        <f t="shared" si="32"/>
        <v>2</v>
      </c>
    </row>
    <row r="690" spans="1:12" x14ac:dyDescent="0.4">
      <c r="A690">
        <v>10936</v>
      </c>
      <c r="B690" s="4">
        <v>35163</v>
      </c>
      <c r="C690" t="s">
        <v>247</v>
      </c>
      <c r="D690" s="1" t="s">
        <v>778</v>
      </c>
      <c r="E690">
        <v>36.480000000000004</v>
      </c>
      <c r="F690">
        <v>10</v>
      </c>
      <c r="G690">
        <f t="shared" si="33"/>
        <v>2</v>
      </c>
      <c r="H690">
        <f>SUMIF(OrderDetailsCustomers!$M$2:$M$2158,A690,OrderDetailsCustomers!$W$2:$W$2158)</f>
        <v>456</v>
      </c>
      <c r="J690">
        <f t="shared" si="31"/>
        <v>2</v>
      </c>
      <c r="K690">
        <f>SUMIF(OrderDetailsCustomers!$M$2:$M$2158,'Order Header'!A690,OrderDetailsCustomers!$W$2:$W$2158)</f>
        <v>456</v>
      </c>
      <c r="L690" s="11">
        <f t="shared" si="32"/>
        <v>2</v>
      </c>
    </row>
    <row r="691" spans="1:12" x14ac:dyDescent="0.4">
      <c r="A691">
        <v>10937</v>
      </c>
      <c r="B691" s="4">
        <v>35164</v>
      </c>
      <c r="C691" t="s">
        <v>101</v>
      </c>
      <c r="D691" s="1" t="s">
        <v>778</v>
      </c>
      <c r="E691">
        <v>51.583999999999996</v>
      </c>
      <c r="F691">
        <v>15</v>
      </c>
      <c r="G691">
        <f t="shared" si="33"/>
        <v>3</v>
      </c>
      <c r="H691">
        <f>SUMIF(OrderDetailsCustomers!$M$2:$M$2158,A691,OrderDetailsCustomers!$W$2:$W$2158)</f>
        <v>644.79999999999995</v>
      </c>
      <c r="J691">
        <f t="shared" si="31"/>
        <v>3</v>
      </c>
      <c r="K691">
        <f>SUMIF(OrderDetailsCustomers!$M$2:$M$2158,'Order Header'!A691,OrderDetailsCustomers!$W$2:$W$2158)</f>
        <v>644.79999999999995</v>
      </c>
      <c r="L691" s="11">
        <f t="shared" si="32"/>
        <v>3</v>
      </c>
    </row>
    <row r="692" spans="1:12" x14ac:dyDescent="0.4">
      <c r="A692">
        <v>10938</v>
      </c>
      <c r="B692" s="4">
        <v>35164</v>
      </c>
      <c r="C692" t="s">
        <v>475</v>
      </c>
      <c r="D692" s="1" t="s">
        <v>777</v>
      </c>
      <c r="E692">
        <v>218.55</v>
      </c>
      <c r="F692">
        <v>20</v>
      </c>
      <c r="G692">
        <f t="shared" si="33"/>
        <v>4</v>
      </c>
      <c r="H692">
        <f>SUMIF(OrderDetailsCustomers!$M$2:$M$2158,A692,OrderDetailsCustomers!$W$2:$W$2158)</f>
        <v>2731.875</v>
      </c>
      <c r="J692">
        <f t="shared" si="31"/>
        <v>4</v>
      </c>
      <c r="K692">
        <f>SUMIF(OrderDetailsCustomers!$M$2:$M$2158,'Order Header'!A692,OrderDetailsCustomers!$W$2:$W$2158)</f>
        <v>2731.875</v>
      </c>
      <c r="L692" s="11">
        <f t="shared" si="32"/>
        <v>4</v>
      </c>
    </row>
    <row r="693" spans="1:12" x14ac:dyDescent="0.4">
      <c r="A693">
        <v>10939</v>
      </c>
      <c r="B693" s="4">
        <v>35164</v>
      </c>
      <c r="C693" t="s">
        <v>378</v>
      </c>
      <c r="D693" s="1" t="s">
        <v>776</v>
      </c>
      <c r="E693">
        <v>51</v>
      </c>
      <c r="F693">
        <v>15</v>
      </c>
      <c r="G693">
        <f t="shared" si="33"/>
        <v>3</v>
      </c>
      <c r="H693">
        <f>SUMIF(OrderDetailsCustomers!$M$2:$M$2158,A693,OrderDetailsCustomers!$W$2:$W$2158)</f>
        <v>637.5</v>
      </c>
      <c r="J693">
        <f t="shared" si="31"/>
        <v>3</v>
      </c>
      <c r="K693">
        <f>SUMIF(OrderDetailsCustomers!$M$2:$M$2158,'Order Header'!A693,OrderDetailsCustomers!$W$2:$W$2158)</f>
        <v>637.5</v>
      </c>
      <c r="L693" s="11">
        <f t="shared" si="32"/>
        <v>3</v>
      </c>
    </row>
    <row r="694" spans="1:12" x14ac:dyDescent="0.4">
      <c r="A694">
        <v>10940</v>
      </c>
      <c r="B694" s="4">
        <v>35165</v>
      </c>
      <c r="C694" t="s">
        <v>77</v>
      </c>
      <c r="D694" s="1" t="s">
        <v>776</v>
      </c>
      <c r="E694">
        <v>28.8</v>
      </c>
      <c r="F694">
        <v>10</v>
      </c>
      <c r="G694">
        <f t="shared" si="33"/>
        <v>2</v>
      </c>
      <c r="H694">
        <f>SUMIF(OrderDetailsCustomers!$M$2:$M$2158,A694,OrderDetailsCustomers!$W$2:$W$2158)</f>
        <v>360</v>
      </c>
      <c r="J694">
        <f t="shared" si="31"/>
        <v>2</v>
      </c>
      <c r="K694">
        <f>SUMIF(OrderDetailsCustomers!$M$2:$M$2158,'Order Header'!A694,OrderDetailsCustomers!$W$2:$W$2158)</f>
        <v>360</v>
      </c>
      <c r="L694" s="11">
        <f t="shared" si="32"/>
        <v>2</v>
      </c>
    </row>
    <row r="695" spans="1:12" x14ac:dyDescent="0.4">
      <c r="A695">
        <v>10941</v>
      </c>
      <c r="B695" s="4">
        <v>35165</v>
      </c>
      <c r="C695" t="s">
        <v>529</v>
      </c>
      <c r="D695" s="1" t="s">
        <v>780</v>
      </c>
      <c r="E695">
        <v>320.94</v>
      </c>
      <c r="F695">
        <v>20</v>
      </c>
      <c r="G695">
        <f t="shared" si="33"/>
        <v>5</v>
      </c>
      <c r="H695">
        <f>SUMIF(OrderDetailsCustomers!$M$2:$M$2158,A695,OrderDetailsCustomers!$W$2:$W$2158)</f>
        <v>4011.75</v>
      </c>
      <c r="J695">
        <f t="shared" si="31"/>
        <v>5</v>
      </c>
      <c r="K695">
        <f>SUMIF(OrderDetailsCustomers!$M$2:$M$2158,'Order Header'!A695,OrderDetailsCustomers!$W$2:$W$2158)</f>
        <v>4011.75</v>
      </c>
      <c r="L695" s="11">
        <f t="shared" si="32"/>
        <v>5</v>
      </c>
    </row>
    <row r="696" spans="1:12" x14ac:dyDescent="0.4">
      <c r="A696">
        <v>10942</v>
      </c>
      <c r="B696" s="4">
        <v>35165</v>
      </c>
      <c r="C696" t="s">
        <v>496</v>
      </c>
      <c r="D696" s="1" t="s">
        <v>779</v>
      </c>
      <c r="E696">
        <v>44.800000000000004</v>
      </c>
      <c r="F696">
        <v>15</v>
      </c>
      <c r="G696">
        <f t="shared" si="33"/>
        <v>2</v>
      </c>
      <c r="H696">
        <f>SUMIF(OrderDetailsCustomers!$M$2:$M$2158,A696,OrderDetailsCustomers!$W$2:$W$2158)</f>
        <v>560</v>
      </c>
      <c r="J696">
        <f t="shared" si="31"/>
        <v>2</v>
      </c>
      <c r="K696">
        <f>SUMIF(OrderDetailsCustomers!$M$2:$M$2158,'Order Header'!A696,OrderDetailsCustomers!$W$2:$W$2158)</f>
        <v>560</v>
      </c>
      <c r="L696" s="11">
        <f t="shared" si="32"/>
        <v>2</v>
      </c>
    </row>
    <row r="697" spans="1:12" x14ac:dyDescent="0.4">
      <c r="A697">
        <v>10943</v>
      </c>
      <c r="B697" s="4">
        <v>35165</v>
      </c>
      <c r="C697" t="s">
        <v>95</v>
      </c>
      <c r="D697" s="1" t="s">
        <v>780</v>
      </c>
      <c r="E697">
        <v>56.88</v>
      </c>
      <c r="F697">
        <v>15</v>
      </c>
      <c r="G697">
        <f t="shared" si="33"/>
        <v>3</v>
      </c>
      <c r="H697">
        <f>SUMIF(OrderDetailsCustomers!$M$2:$M$2158,A697,OrderDetailsCustomers!$W$2:$W$2158)</f>
        <v>711</v>
      </c>
      <c r="J697">
        <f t="shared" si="31"/>
        <v>3</v>
      </c>
      <c r="K697">
        <f>SUMIF(OrderDetailsCustomers!$M$2:$M$2158,'Order Header'!A697,OrderDetailsCustomers!$W$2:$W$2158)</f>
        <v>711</v>
      </c>
      <c r="L697" s="11">
        <f t="shared" si="32"/>
        <v>3</v>
      </c>
    </row>
    <row r="698" spans="1:12" x14ac:dyDescent="0.4">
      <c r="A698">
        <v>10944</v>
      </c>
      <c r="B698" s="4">
        <v>35166</v>
      </c>
      <c r="C698" t="s">
        <v>84</v>
      </c>
      <c r="D698" s="1" t="s">
        <v>782</v>
      </c>
      <c r="E698">
        <v>82.02600000000001</v>
      </c>
      <c r="F698">
        <v>20</v>
      </c>
      <c r="G698">
        <f t="shared" si="33"/>
        <v>3</v>
      </c>
      <c r="H698">
        <f>SUMIF(OrderDetailsCustomers!$M$2:$M$2158,A698,OrderDetailsCustomers!$W$2:$W$2158)</f>
        <v>1025.325</v>
      </c>
      <c r="J698">
        <f t="shared" si="31"/>
        <v>3</v>
      </c>
      <c r="K698">
        <f>SUMIF(OrderDetailsCustomers!$M$2:$M$2158,'Order Header'!A698,OrderDetailsCustomers!$W$2:$W$2158)</f>
        <v>1025.325</v>
      </c>
      <c r="L698" s="11">
        <f t="shared" si="32"/>
        <v>3</v>
      </c>
    </row>
    <row r="699" spans="1:12" x14ac:dyDescent="0.4">
      <c r="A699">
        <v>10945</v>
      </c>
      <c r="B699" s="4">
        <v>35166</v>
      </c>
      <c r="C699" t="s">
        <v>403</v>
      </c>
      <c r="D699" s="1" t="s">
        <v>778</v>
      </c>
      <c r="E699">
        <v>19.600000000000001</v>
      </c>
      <c r="F699">
        <v>10</v>
      </c>
      <c r="G699">
        <f t="shared" si="33"/>
        <v>2</v>
      </c>
      <c r="H699">
        <f>SUMIF(OrderDetailsCustomers!$M$2:$M$2158,A699,OrderDetailsCustomers!$W$2:$W$2158)</f>
        <v>245</v>
      </c>
      <c r="J699">
        <f t="shared" si="31"/>
        <v>2</v>
      </c>
      <c r="K699">
        <f>SUMIF(OrderDetailsCustomers!$M$2:$M$2158,'Order Header'!A699,OrderDetailsCustomers!$W$2:$W$2158)</f>
        <v>245</v>
      </c>
      <c r="L699" s="11">
        <f t="shared" si="32"/>
        <v>2</v>
      </c>
    </row>
    <row r="700" spans="1:12" x14ac:dyDescent="0.4">
      <c r="A700">
        <v>10946</v>
      </c>
      <c r="B700" s="4">
        <v>35166</v>
      </c>
      <c r="C700" t="s">
        <v>612</v>
      </c>
      <c r="D700" s="1" t="s">
        <v>777</v>
      </c>
      <c r="E700">
        <v>112.60000000000001</v>
      </c>
      <c r="F700">
        <v>20</v>
      </c>
      <c r="G700">
        <f t="shared" si="33"/>
        <v>3</v>
      </c>
      <c r="H700">
        <f>SUMIF(OrderDetailsCustomers!$M$2:$M$2158,A700,OrderDetailsCustomers!$W$2:$W$2158)</f>
        <v>1407.5</v>
      </c>
      <c r="J700">
        <f t="shared" si="31"/>
        <v>3</v>
      </c>
      <c r="K700">
        <f>SUMIF(OrderDetailsCustomers!$M$2:$M$2158,'Order Header'!A700,OrderDetailsCustomers!$W$2:$W$2158)</f>
        <v>1407.5</v>
      </c>
      <c r="L700" s="11">
        <f t="shared" si="32"/>
        <v>3</v>
      </c>
    </row>
    <row r="701" spans="1:12" x14ac:dyDescent="0.4">
      <c r="A701">
        <v>10947</v>
      </c>
      <c r="B701" s="4">
        <v>35167</v>
      </c>
      <c r="C701" t="s">
        <v>95</v>
      </c>
      <c r="D701" s="1" t="s">
        <v>780</v>
      </c>
      <c r="E701">
        <v>17.600000000000001</v>
      </c>
      <c r="F701">
        <v>10</v>
      </c>
      <c r="G701">
        <f t="shared" si="33"/>
        <v>2</v>
      </c>
      <c r="H701">
        <f>SUMIF(OrderDetailsCustomers!$M$2:$M$2158,A701,OrderDetailsCustomers!$W$2:$W$2158)</f>
        <v>220</v>
      </c>
      <c r="J701">
        <f t="shared" si="31"/>
        <v>2</v>
      </c>
      <c r="K701">
        <f>SUMIF(OrderDetailsCustomers!$M$2:$M$2158,'Order Header'!A701,OrderDetailsCustomers!$W$2:$W$2158)</f>
        <v>220</v>
      </c>
      <c r="L701" s="11">
        <f t="shared" si="32"/>
        <v>2</v>
      </c>
    </row>
    <row r="702" spans="1:12" x14ac:dyDescent="0.4">
      <c r="A702">
        <v>10948</v>
      </c>
      <c r="B702" s="4">
        <v>35167</v>
      </c>
      <c r="C702" t="s">
        <v>234</v>
      </c>
      <c r="D702" s="1" t="s">
        <v>782</v>
      </c>
      <c r="E702">
        <v>188.98</v>
      </c>
      <c r="F702">
        <v>20</v>
      </c>
      <c r="G702">
        <f t="shared" si="33"/>
        <v>4</v>
      </c>
      <c r="H702">
        <f>SUMIF(OrderDetailsCustomers!$M$2:$M$2158,A702,OrderDetailsCustomers!$W$2:$W$2158)</f>
        <v>2362.25</v>
      </c>
      <c r="J702">
        <f t="shared" si="31"/>
        <v>4</v>
      </c>
      <c r="K702">
        <f>SUMIF(OrderDetailsCustomers!$M$2:$M$2158,'Order Header'!A702,OrderDetailsCustomers!$W$2:$W$2158)</f>
        <v>2362.25</v>
      </c>
      <c r="L702" s="11">
        <f t="shared" si="32"/>
        <v>4</v>
      </c>
    </row>
    <row r="703" spans="1:12" x14ac:dyDescent="0.4">
      <c r="A703">
        <v>10949</v>
      </c>
      <c r="B703" s="4">
        <v>35167</v>
      </c>
      <c r="C703" t="s">
        <v>84</v>
      </c>
      <c r="D703" s="1" t="s">
        <v>782</v>
      </c>
      <c r="E703">
        <v>353.76</v>
      </c>
      <c r="F703">
        <v>20</v>
      </c>
      <c r="G703">
        <f t="shared" si="33"/>
        <v>5</v>
      </c>
      <c r="H703">
        <f>SUMIF(OrderDetailsCustomers!$M$2:$M$2158,A703,OrderDetailsCustomers!$W$2:$W$2158)</f>
        <v>4422</v>
      </c>
      <c r="J703">
        <f t="shared" si="31"/>
        <v>5</v>
      </c>
      <c r="K703">
        <f>SUMIF(OrderDetailsCustomers!$M$2:$M$2158,'Order Header'!A703,OrderDetailsCustomers!$W$2:$W$2158)</f>
        <v>4422</v>
      </c>
      <c r="L703" s="11">
        <f t="shared" si="32"/>
        <v>5</v>
      </c>
    </row>
    <row r="704" spans="1:12" x14ac:dyDescent="0.4">
      <c r="A704">
        <v>10950</v>
      </c>
      <c r="B704" s="4">
        <v>35170</v>
      </c>
      <c r="C704" t="s">
        <v>378</v>
      </c>
      <c r="D704" s="1" t="s">
        <v>776</v>
      </c>
      <c r="E704">
        <v>8.8000000000000007</v>
      </c>
      <c r="F704">
        <v>10</v>
      </c>
      <c r="G704">
        <f t="shared" si="33"/>
        <v>1</v>
      </c>
      <c r="H704">
        <f>SUMIF(OrderDetailsCustomers!$M$2:$M$2158,A704,OrderDetailsCustomers!$W$2:$W$2158)</f>
        <v>110</v>
      </c>
      <c r="J704">
        <f t="shared" si="31"/>
        <v>1</v>
      </c>
      <c r="K704">
        <f>SUMIF(OrderDetailsCustomers!$M$2:$M$2158,'Order Header'!A704,OrderDetailsCustomers!$W$2:$W$2158)</f>
        <v>110</v>
      </c>
      <c r="L704" s="11">
        <f t="shared" si="32"/>
        <v>1</v>
      </c>
    </row>
    <row r="705" spans="1:12" x14ac:dyDescent="0.4">
      <c r="A705">
        <v>10951</v>
      </c>
      <c r="B705" s="4">
        <v>35170</v>
      </c>
      <c r="C705" t="s">
        <v>509</v>
      </c>
      <c r="D705" s="1" t="s">
        <v>770</v>
      </c>
      <c r="E705">
        <v>36.700400000000002</v>
      </c>
      <c r="F705">
        <v>10</v>
      </c>
      <c r="G705">
        <f t="shared" si="33"/>
        <v>2</v>
      </c>
      <c r="H705">
        <f>SUMIF(OrderDetailsCustomers!$M$2:$M$2158,A705,OrderDetailsCustomers!$W$2:$W$2158)</f>
        <v>458.755</v>
      </c>
      <c r="J705">
        <f t="shared" si="31"/>
        <v>2</v>
      </c>
      <c r="K705">
        <f>SUMIF(OrderDetailsCustomers!$M$2:$M$2158,'Order Header'!A705,OrderDetailsCustomers!$W$2:$W$2158)</f>
        <v>458.755</v>
      </c>
      <c r="L705" s="11">
        <f t="shared" si="32"/>
        <v>2</v>
      </c>
    </row>
    <row r="706" spans="1:12" x14ac:dyDescent="0.4">
      <c r="A706">
        <v>10952</v>
      </c>
      <c r="B706" s="4">
        <v>35170</v>
      </c>
      <c r="C706" t="s">
        <v>11</v>
      </c>
      <c r="D706" s="1" t="s">
        <v>774</v>
      </c>
      <c r="E706">
        <v>37.695999999999998</v>
      </c>
      <c r="F706">
        <v>10</v>
      </c>
      <c r="G706">
        <f t="shared" si="33"/>
        <v>2</v>
      </c>
      <c r="H706">
        <f>SUMIF(OrderDetailsCustomers!$M$2:$M$2158,A706,OrderDetailsCustomers!$W$2:$W$2158)</f>
        <v>471.2</v>
      </c>
      <c r="J706">
        <f t="shared" si="31"/>
        <v>2</v>
      </c>
      <c r="K706">
        <f>SUMIF(OrderDetailsCustomers!$M$2:$M$2158,'Order Header'!A706,OrderDetailsCustomers!$W$2:$W$2158)</f>
        <v>471.2</v>
      </c>
      <c r="L706" s="11">
        <f t="shared" si="32"/>
        <v>2</v>
      </c>
    </row>
    <row r="707" spans="1:12" x14ac:dyDescent="0.4">
      <c r="A707">
        <v>10953</v>
      </c>
      <c r="B707" s="4">
        <v>35170</v>
      </c>
      <c r="C707" t="s">
        <v>34</v>
      </c>
      <c r="D707" s="1" t="s">
        <v>768</v>
      </c>
      <c r="E707">
        <v>355.3</v>
      </c>
      <c r="F707">
        <v>20</v>
      </c>
      <c r="G707">
        <f t="shared" si="33"/>
        <v>5</v>
      </c>
      <c r="H707">
        <f>SUMIF(OrderDetailsCustomers!$M$2:$M$2158,A707,OrderDetailsCustomers!$W$2:$W$2158)</f>
        <v>4441.25</v>
      </c>
      <c r="J707">
        <f t="shared" ref="J707:J770" si="34">VLOOKUP(E707,$T$1:$U$7,2,TRUE)</f>
        <v>5</v>
      </c>
      <c r="K707">
        <f>SUMIF(OrderDetailsCustomers!$M$2:$M$2158,'Order Header'!A707,OrderDetailsCustomers!$W$2:$W$2158)</f>
        <v>4441.25</v>
      </c>
      <c r="L707" s="11">
        <f t="shared" ref="L707:L770" si="35">VLOOKUP(E707,$T$1:$U$7,2,TRUE)</f>
        <v>5</v>
      </c>
    </row>
    <row r="708" spans="1:12" x14ac:dyDescent="0.4">
      <c r="A708">
        <v>10954</v>
      </c>
      <c r="B708" s="4">
        <v>35171</v>
      </c>
      <c r="C708" t="s">
        <v>363</v>
      </c>
      <c r="D708" s="1" t="s">
        <v>775</v>
      </c>
      <c r="E708">
        <v>132.7628</v>
      </c>
      <c r="F708">
        <v>20</v>
      </c>
      <c r="G708">
        <f t="shared" si="33"/>
        <v>3</v>
      </c>
      <c r="H708">
        <f>SUMIF(OrderDetailsCustomers!$M$2:$M$2158,A708,OrderDetailsCustomers!$W$2:$W$2158)</f>
        <v>1659.5349999999999</v>
      </c>
      <c r="J708">
        <f t="shared" si="34"/>
        <v>3</v>
      </c>
      <c r="K708">
        <f>SUMIF(OrderDetailsCustomers!$M$2:$M$2158,'Order Header'!A708,OrderDetailsCustomers!$W$2:$W$2158)</f>
        <v>1659.5349999999999</v>
      </c>
      <c r="L708" s="11">
        <f t="shared" si="35"/>
        <v>3</v>
      </c>
    </row>
    <row r="709" spans="1:12" x14ac:dyDescent="0.4">
      <c r="A709">
        <v>10955</v>
      </c>
      <c r="B709" s="4">
        <v>35171</v>
      </c>
      <c r="C709" t="s">
        <v>191</v>
      </c>
      <c r="D709" s="1" t="s">
        <v>768</v>
      </c>
      <c r="E709">
        <v>5.9520000000000008</v>
      </c>
      <c r="F709">
        <v>10</v>
      </c>
      <c r="G709">
        <f t="shared" si="33"/>
        <v>1</v>
      </c>
      <c r="H709">
        <f>SUMIF(OrderDetailsCustomers!$M$2:$M$2158,A709,OrderDetailsCustomers!$W$2:$W$2158)</f>
        <v>74.400000000000006</v>
      </c>
      <c r="J709">
        <f t="shared" si="34"/>
        <v>1</v>
      </c>
      <c r="K709">
        <f>SUMIF(OrderDetailsCustomers!$M$2:$M$2158,'Order Header'!A709,OrderDetailsCustomers!$W$2:$W$2158)</f>
        <v>74.400000000000006</v>
      </c>
      <c r="L709" s="11">
        <f t="shared" si="35"/>
        <v>1</v>
      </c>
    </row>
    <row r="710" spans="1:12" x14ac:dyDescent="0.4">
      <c r="A710">
        <v>10956</v>
      </c>
      <c r="B710" s="4">
        <v>35171</v>
      </c>
      <c r="C710" t="s">
        <v>53</v>
      </c>
      <c r="D710" s="1" t="s">
        <v>779</v>
      </c>
      <c r="E710">
        <v>54.160000000000004</v>
      </c>
      <c r="F710">
        <v>15</v>
      </c>
      <c r="G710">
        <f t="shared" si="33"/>
        <v>3</v>
      </c>
      <c r="H710">
        <f>SUMIF(OrderDetailsCustomers!$M$2:$M$2158,A710,OrderDetailsCustomers!$W$2:$W$2158)</f>
        <v>677</v>
      </c>
      <c r="J710">
        <f t="shared" si="34"/>
        <v>3</v>
      </c>
      <c r="K710">
        <f>SUMIF(OrderDetailsCustomers!$M$2:$M$2158,'Order Header'!A710,OrderDetailsCustomers!$W$2:$W$2158)</f>
        <v>677</v>
      </c>
      <c r="L710" s="11">
        <f t="shared" si="35"/>
        <v>3</v>
      </c>
    </row>
    <row r="711" spans="1:12" x14ac:dyDescent="0.4">
      <c r="A711">
        <v>10957</v>
      </c>
      <c r="B711" s="4">
        <v>35172</v>
      </c>
      <c r="C711" t="s">
        <v>273</v>
      </c>
      <c r="D711" s="1" t="s">
        <v>771</v>
      </c>
      <c r="E711">
        <v>141.01600000000002</v>
      </c>
      <c r="F711">
        <v>20</v>
      </c>
      <c r="G711">
        <f t="shared" si="33"/>
        <v>3</v>
      </c>
      <c r="H711">
        <f>SUMIF(OrderDetailsCustomers!$M$2:$M$2158,A711,OrderDetailsCustomers!$W$2:$W$2158)</f>
        <v>1762.7</v>
      </c>
      <c r="J711">
        <f t="shared" si="34"/>
        <v>3</v>
      </c>
      <c r="K711">
        <f>SUMIF(OrderDetailsCustomers!$M$2:$M$2158,'Order Header'!A711,OrderDetailsCustomers!$W$2:$W$2158)</f>
        <v>1762.7</v>
      </c>
      <c r="L711" s="11">
        <f t="shared" si="35"/>
        <v>3</v>
      </c>
    </row>
    <row r="712" spans="1:12" x14ac:dyDescent="0.4">
      <c r="A712">
        <v>10958</v>
      </c>
      <c r="B712" s="4">
        <v>35172</v>
      </c>
      <c r="C712" t="s">
        <v>416</v>
      </c>
      <c r="D712" s="1" t="s">
        <v>767</v>
      </c>
      <c r="E712">
        <v>62.480000000000004</v>
      </c>
      <c r="F712">
        <v>15</v>
      </c>
      <c r="G712">
        <f t="shared" si="33"/>
        <v>3</v>
      </c>
      <c r="H712">
        <f>SUMIF(OrderDetailsCustomers!$M$2:$M$2158,A712,OrderDetailsCustomers!$W$2:$W$2158)</f>
        <v>781</v>
      </c>
      <c r="J712">
        <f t="shared" si="34"/>
        <v>3</v>
      </c>
      <c r="K712">
        <f>SUMIF(OrderDetailsCustomers!$M$2:$M$2158,'Order Header'!A712,OrderDetailsCustomers!$W$2:$W$2158)</f>
        <v>781</v>
      </c>
      <c r="L712" s="11">
        <f t="shared" si="35"/>
        <v>3</v>
      </c>
    </row>
    <row r="713" spans="1:12" x14ac:dyDescent="0.4">
      <c r="A713">
        <v>10959</v>
      </c>
      <c r="B713" s="4">
        <v>35172</v>
      </c>
      <c r="C713" t="s">
        <v>240</v>
      </c>
      <c r="D713" s="1" t="s">
        <v>780</v>
      </c>
      <c r="E713">
        <v>10.540000000000001</v>
      </c>
      <c r="F713">
        <v>10</v>
      </c>
      <c r="G713">
        <f t="shared" si="33"/>
        <v>2</v>
      </c>
      <c r="H713">
        <f>SUMIF(OrderDetailsCustomers!$M$2:$M$2158,A713,OrderDetailsCustomers!$W$2:$W$2158)</f>
        <v>131.75</v>
      </c>
      <c r="J713">
        <f t="shared" si="34"/>
        <v>2</v>
      </c>
      <c r="K713">
        <f>SUMIF(OrderDetailsCustomers!$M$2:$M$2158,'Order Header'!A713,OrderDetailsCustomers!$W$2:$W$2158)</f>
        <v>131.75</v>
      </c>
      <c r="L713" s="11">
        <f t="shared" si="35"/>
        <v>2</v>
      </c>
    </row>
    <row r="714" spans="1:12" x14ac:dyDescent="0.4">
      <c r="A714">
        <v>10960</v>
      </c>
      <c r="B714" s="4">
        <v>35173</v>
      </c>
      <c r="C714" t="s">
        <v>273</v>
      </c>
      <c r="D714" s="1" t="s">
        <v>771</v>
      </c>
      <c r="E714">
        <v>21.228000000000002</v>
      </c>
      <c r="F714">
        <v>10</v>
      </c>
      <c r="G714">
        <f t="shared" si="33"/>
        <v>2</v>
      </c>
      <c r="H714">
        <f>SUMIF(OrderDetailsCustomers!$M$2:$M$2158,A714,OrderDetailsCustomers!$W$2:$W$2158)</f>
        <v>265.35000000000002</v>
      </c>
      <c r="J714">
        <f t="shared" si="34"/>
        <v>2</v>
      </c>
      <c r="K714">
        <f>SUMIF(OrderDetailsCustomers!$M$2:$M$2158,'Order Header'!A714,OrderDetailsCustomers!$W$2:$W$2158)</f>
        <v>265.35000000000002</v>
      </c>
      <c r="L714" s="11">
        <f t="shared" si="35"/>
        <v>2</v>
      </c>
    </row>
    <row r="715" spans="1:12" x14ac:dyDescent="0.4">
      <c r="A715">
        <v>10961</v>
      </c>
      <c r="B715" s="4">
        <v>35173</v>
      </c>
      <c r="C715" t="s">
        <v>469</v>
      </c>
      <c r="D715" s="1" t="s">
        <v>783</v>
      </c>
      <c r="E715">
        <v>89.592000000000013</v>
      </c>
      <c r="F715">
        <v>20</v>
      </c>
      <c r="G715">
        <f t="shared" si="33"/>
        <v>3</v>
      </c>
      <c r="H715">
        <f>SUMIF(OrderDetailsCustomers!$M$2:$M$2158,A715,OrderDetailsCustomers!$W$2:$W$2158)</f>
        <v>1119.9000000000001</v>
      </c>
      <c r="J715">
        <f t="shared" si="34"/>
        <v>3</v>
      </c>
      <c r="K715">
        <f>SUMIF(OrderDetailsCustomers!$M$2:$M$2158,'Order Header'!A715,OrderDetailsCustomers!$W$2:$W$2158)</f>
        <v>1119.9000000000001</v>
      </c>
      <c r="L715" s="11">
        <f t="shared" si="35"/>
        <v>3</v>
      </c>
    </row>
    <row r="716" spans="1:12" x14ac:dyDescent="0.4">
      <c r="A716">
        <v>10962</v>
      </c>
      <c r="B716" s="4">
        <v>35173</v>
      </c>
      <c r="C716" t="s">
        <v>475</v>
      </c>
      <c r="D716" s="1" t="s">
        <v>777</v>
      </c>
      <c r="E716">
        <v>286.72000000000003</v>
      </c>
      <c r="F716">
        <v>20</v>
      </c>
      <c r="G716">
        <f t="shared" si="33"/>
        <v>5</v>
      </c>
      <c r="H716">
        <f>SUMIF(OrderDetailsCustomers!$M$2:$M$2158,A716,OrderDetailsCustomers!$W$2:$W$2158)</f>
        <v>3584</v>
      </c>
      <c r="J716">
        <f t="shared" si="34"/>
        <v>5</v>
      </c>
      <c r="K716">
        <f>SUMIF(OrderDetailsCustomers!$M$2:$M$2158,'Order Header'!A716,OrderDetailsCustomers!$W$2:$W$2158)</f>
        <v>3584</v>
      </c>
      <c r="L716" s="11">
        <f t="shared" si="35"/>
        <v>5</v>
      </c>
    </row>
    <row r="717" spans="1:12" x14ac:dyDescent="0.4">
      <c r="A717">
        <v>10963</v>
      </c>
      <c r="B717" s="4">
        <v>35173</v>
      </c>
      <c r="C717" t="s">
        <v>219</v>
      </c>
      <c r="D717" s="1" t="s">
        <v>770</v>
      </c>
      <c r="E717">
        <v>4.6239999999999997</v>
      </c>
      <c r="F717">
        <v>10</v>
      </c>
      <c r="G717">
        <f t="shared" si="33"/>
        <v>1</v>
      </c>
      <c r="H717">
        <f>SUMIF(OrderDetailsCustomers!$M$2:$M$2158,A717,OrderDetailsCustomers!$W$2:$W$2158)</f>
        <v>57.8</v>
      </c>
      <c r="J717">
        <f t="shared" si="34"/>
        <v>1</v>
      </c>
      <c r="K717">
        <f>SUMIF(OrderDetailsCustomers!$M$2:$M$2158,'Order Header'!A717,OrderDetailsCustomers!$W$2:$W$2158)</f>
        <v>57.8</v>
      </c>
      <c r="L717" s="11">
        <f t="shared" si="35"/>
        <v>1</v>
      </c>
    </row>
    <row r="718" spans="1:12" x14ac:dyDescent="0.4">
      <c r="A718">
        <v>10964</v>
      </c>
      <c r="B718" s="4">
        <v>35174</v>
      </c>
      <c r="C718" t="s">
        <v>551</v>
      </c>
      <c r="D718" s="1" t="s">
        <v>767</v>
      </c>
      <c r="E718">
        <v>164.20000000000002</v>
      </c>
      <c r="F718">
        <v>20</v>
      </c>
      <c r="G718">
        <f t="shared" si="33"/>
        <v>4</v>
      </c>
      <c r="H718">
        <f>SUMIF(OrderDetailsCustomers!$M$2:$M$2158,A718,OrderDetailsCustomers!$W$2:$W$2158)</f>
        <v>2052.5</v>
      </c>
      <c r="J718">
        <f t="shared" si="34"/>
        <v>4</v>
      </c>
      <c r="K718">
        <f>SUMIF(OrderDetailsCustomers!$M$2:$M$2158,'Order Header'!A718,OrderDetailsCustomers!$W$2:$W$2158)</f>
        <v>2052.5</v>
      </c>
      <c r="L718" s="11">
        <f t="shared" si="35"/>
        <v>4</v>
      </c>
    </row>
    <row r="719" spans="1:12" x14ac:dyDescent="0.4">
      <c r="A719">
        <v>10965</v>
      </c>
      <c r="B719" s="4">
        <v>35174</v>
      </c>
      <c r="C719" t="s">
        <v>422</v>
      </c>
      <c r="D719" s="1" t="s">
        <v>771</v>
      </c>
      <c r="E719">
        <v>67.84</v>
      </c>
      <c r="F719">
        <v>15</v>
      </c>
      <c r="G719">
        <f t="shared" si="33"/>
        <v>3</v>
      </c>
      <c r="H719">
        <f>SUMIF(OrderDetailsCustomers!$M$2:$M$2158,A719,OrderDetailsCustomers!$W$2:$W$2158)</f>
        <v>848</v>
      </c>
      <c r="J719">
        <f t="shared" si="34"/>
        <v>3</v>
      </c>
      <c r="K719">
        <f>SUMIF(OrderDetailsCustomers!$M$2:$M$2158,'Order Header'!A719,OrderDetailsCustomers!$W$2:$W$2158)</f>
        <v>848</v>
      </c>
      <c r="L719" s="11">
        <f t="shared" si="35"/>
        <v>3</v>
      </c>
    </row>
    <row r="720" spans="1:12" x14ac:dyDescent="0.4">
      <c r="A720">
        <v>10966</v>
      </c>
      <c r="B720" s="4">
        <v>35174</v>
      </c>
      <c r="C720" t="s">
        <v>116</v>
      </c>
      <c r="D720" s="1" t="s">
        <v>767</v>
      </c>
      <c r="E720">
        <v>87.876799999999989</v>
      </c>
      <c r="F720">
        <v>20</v>
      </c>
      <c r="G720">
        <f t="shared" si="33"/>
        <v>3</v>
      </c>
      <c r="H720">
        <f>SUMIF(OrderDetailsCustomers!$M$2:$M$2158,A720,OrderDetailsCustomers!$W$2:$W$2158)</f>
        <v>1098.4599999999998</v>
      </c>
      <c r="J720">
        <f t="shared" si="34"/>
        <v>3</v>
      </c>
      <c r="K720">
        <f>SUMIF(OrderDetailsCustomers!$M$2:$M$2158,'Order Header'!A720,OrderDetailsCustomers!$W$2:$W$2158)</f>
        <v>1098.4599999999998</v>
      </c>
      <c r="L720" s="11">
        <f t="shared" si="35"/>
        <v>3</v>
      </c>
    </row>
    <row r="721" spans="1:12" x14ac:dyDescent="0.4">
      <c r="A721">
        <v>10967</v>
      </c>
      <c r="B721" s="4">
        <v>35177</v>
      </c>
      <c r="C721" t="s">
        <v>586</v>
      </c>
      <c r="D721" s="1" t="s">
        <v>766</v>
      </c>
      <c r="E721">
        <v>72.831999999999994</v>
      </c>
      <c r="F721">
        <v>15</v>
      </c>
      <c r="G721">
        <f t="shared" si="33"/>
        <v>3</v>
      </c>
      <c r="H721">
        <f>SUMIF(OrderDetailsCustomers!$M$2:$M$2158,A721,OrderDetailsCustomers!$W$2:$W$2158)</f>
        <v>910.4</v>
      </c>
      <c r="J721">
        <f t="shared" si="34"/>
        <v>3</v>
      </c>
      <c r="K721">
        <f>SUMIF(OrderDetailsCustomers!$M$2:$M$2158,'Order Header'!A721,OrderDetailsCustomers!$W$2:$W$2158)</f>
        <v>910.4</v>
      </c>
      <c r="L721" s="11">
        <f t="shared" si="35"/>
        <v>3</v>
      </c>
    </row>
    <row r="722" spans="1:12" x14ac:dyDescent="0.4">
      <c r="A722">
        <v>10968</v>
      </c>
      <c r="B722" s="4">
        <v>35177</v>
      </c>
      <c r="C722" t="s">
        <v>161</v>
      </c>
      <c r="D722" s="1" t="s">
        <v>772</v>
      </c>
      <c r="E722">
        <v>112.64</v>
      </c>
      <c r="F722">
        <v>20</v>
      </c>
      <c r="G722">
        <f t="shared" si="33"/>
        <v>3</v>
      </c>
      <c r="H722">
        <f>SUMIF(OrderDetailsCustomers!$M$2:$M$2158,A722,OrderDetailsCustomers!$W$2:$W$2158)</f>
        <v>1408</v>
      </c>
      <c r="J722">
        <f t="shared" si="34"/>
        <v>3</v>
      </c>
      <c r="K722">
        <f>SUMIF(OrderDetailsCustomers!$M$2:$M$2158,'Order Header'!A722,OrderDetailsCustomers!$W$2:$W$2158)</f>
        <v>1408</v>
      </c>
      <c r="L722" s="11">
        <f t="shared" si="35"/>
        <v>3</v>
      </c>
    </row>
    <row r="723" spans="1:12" x14ac:dyDescent="0.4">
      <c r="A723">
        <v>10969</v>
      </c>
      <c r="B723" s="4">
        <v>35177</v>
      </c>
      <c r="C723" t="s">
        <v>123</v>
      </c>
      <c r="D723" s="1" t="s">
        <v>771</v>
      </c>
      <c r="E723">
        <v>8.64</v>
      </c>
      <c r="F723">
        <v>10</v>
      </c>
      <c r="G723">
        <f t="shared" si="33"/>
        <v>1</v>
      </c>
      <c r="H723">
        <f>SUMIF(OrderDetailsCustomers!$M$2:$M$2158,A723,OrderDetailsCustomers!$W$2:$W$2158)</f>
        <v>108</v>
      </c>
      <c r="J723">
        <f t="shared" si="34"/>
        <v>1</v>
      </c>
      <c r="K723">
        <f>SUMIF(OrderDetailsCustomers!$M$2:$M$2158,'Order Header'!A723,OrderDetailsCustomers!$W$2:$W$2158)</f>
        <v>108</v>
      </c>
      <c r="L723" s="11">
        <f t="shared" si="35"/>
        <v>1</v>
      </c>
    </row>
    <row r="724" spans="1:12" x14ac:dyDescent="0.4">
      <c r="A724">
        <v>10970</v>
      </c>
      <c r="B724" s="4">
        <v>35178</v>
      </c>
      <c r="C724" t="s">
        <v>69</v>
      </c>
      <c r="D724" s="1" t="s">
        <v>770</v>
      </c>
      <c r="E724">
        <v>17.920000000000002</v>
      </c>
      <c r="F724">
        <v>10</v>
      </c>
      <c r="G724">
        <f t="shared" si="33"/>
        <v>2</v>
      </c>
      <c r="H724">
        <f>SUMIF(OrderDetailsCustomers!$M$2:$M$2158,A724,OrderDetailsCustomers!$W$2:$W$2158)</f>
        <v>224</v>
      </c>
      <c r="J724">
        <f t="shared" si="34"/>
        <v>2</v>
      </c>
      <c r="K724">
        <f>SUMIF(OrderDetailsCustomers!$M$2:$M$2158,'Order Header'!A724,OrderDetailsCustomers!$W$2:$W$2158)</f>
        <v>224</v>
      </c>
      <c r="L724" s="11">
        <f t="shared" si="35"/>
        <v>2</v>
      </c>
    </row>
    <row r="725" spans="1:12" x14ac:dyDescent="0.4">
      <c r="A725">
        <v>10971</v>
      </c>
      <c r="B725" s="4">
        <v>35178</v>
      </c>
      <c r="C725" t="s">
        <v>205</v>
      </c>
      <c r="D725" s="1" t="s">
        <v>779</v>
      </c>
      <c r="E725">
        <v>138.6448</v>
      </c>
      <c r="F725">
        <v>20</v>
      </c>
      <c r="G725">
        <f t="shared" ref="G725:G788" si="36">VLOOKUP(E725,$T$1:$U$7,2,TRUE)</f>
        <v>3</v>
      </c>
      <c r="H725">
        <f>SUMIF(OrderDetailsCustomers!$M$2:$M$2158,A725,OrderDetailsCustomers!$W$2:$W$2158)</f>
        <v>1733.0600000000002</v>
      </c>
      <c r="J725">
        <f t="shared" si="34"/>
        <v>3</v>
      </c>
      <c r="K725">
        <f>SUMIF(OrderDetailsCustomers!$M$2:$M$2158,'Order Header'!A725,OrderDetailsCustomers!$W$2:$W$2158)</f>
        <v>1733.0600000000002</v>
      </c>
      <c r="L725" s="11">
        <f t="shared" si="35"/>
        <v>3</v>
      </c>
    </row>
    <row r="726" spans="1:12" x14ac:dyDescent="0.4">
      <c r="A726">
        <v>10972</v>
      </c>
      <c r="B726" s="4">
        <v>35178</v>
      </c>
      <c r="C726" t="s">
        <v>311</v>
      </c>
      <c r="D726" s="1" t="s">
        <v>772</v>
      </c>
      <c r="E726">
        <v>20.12</v>
      </c>
      <c r="F726">
        <v>10</v>
      </c>
      <c r="G726">
        <f t="shared" si="36"/>
        <v>2</v>
      </c>
      <c r="H726">
        <f>SUMIF(OrderDetailsCustomers!$M$2:$M$2158,A726,OrderDetailsCustomers!$W$2:$W$2158)</f>
        <v>251.5</v>
      </c>
      <c r="J726">
        <f t="shared" si="34"/>
        <v>2</v>
      </c>
      <c r="K726">
        <f>SUMIF(OrderDetailsCustomers!$M$2:$M$2158,'Order Header'!A726,OrderDetailsCustomers!$W$2:$W$2158)</f>
        <v>251.5</v>
      </c>
      <c r="L726" s="11">
        <f t="shared" si="35"/>
        <v>2</v>
      </c>
    </row>
    <row r="727" spans="1:12" x14ac:dyDescent="0.4">
      <c r="A727">
        <v>10973</v>
      </c>
      <c r="B727" s="4">
        <v>35178</v>
      </c>
      <c r="C727" t="s">
        <v>311</v>
      </c>
      <c r="D727" s="1" t="s">
        <v>772</v>
      </c>
      <c r="E727">
        <v>23.324000000000002</v>
      </c>
      <c r="F727">
        <v>10</v>
      </c>
      <c r="G727">
        <f t="shared" si="36"/>
        <v>2</v>
      </c>
      <c r="H727">
        <f>SUMIF(OrderDetailsCustomers!$M$2:$M$2158,A727,OrderDetailsCustomers!$W$2:$W$2158)</f>
        <v>291.55</v>
      </c>
      <c r="J727">
        <f t="shared" si="34"/>
        <v>2</v>
      </c>
      <c r="K727">
        <f>SUMIF(OrderDetailsCustomers!$M$2:$M$2158,'Order Header'!A727,OrderDetailsCustomers!$W$2:$W$2158)</f>
        <v>291.55</v>
      </c>
      <c r="L727" s="11">
        <f t="shared" si="35"/>
        <v>2</v>
      </c>
    </row>
    <row r="728" spans="1:12" x14ac:dyDescent="0.4">
      <c r="A728">
        <v>10974</v>
      </c>
      <c r="B728" s="4">
        <v>35179</v>
      </c>
      <c r="C728" t="s">
        <v>557</v>
      </c>
      <c r="D728" s="1" t="s">
        <v>771</v>
      </c>
      <c r="E728">
        <v>35.119999999999997</v>
      </c>
      <c r="F728">
        <v>10</v>
      </c>
      <c r="G728">
        <f t="shared" si="36"/>
        <v>2</v>
      </c>
      <c r="H728">
        <f>SUMIF(OrderDetailsCustomers!$M$2:$M$2158,A728,OrderDetailsCustomers!$W$2:$W$2158)</f>
        <v>439</v>
      </c>
      <c r="J728">
        <f t="shared" si="34"/>
        <v>2</v>
      </c>
      <c r="K728">
        <f>SUMIF(OrderDetailsCustomers!$M$2:$M$2158,'Order Header'!A728,OrderDetailsCustomers!$W$2:$W$2158)</f>
        <v>439</v>
      </c>
      <c r="L728" s="11">
        <f t="shared" si="35"/>
        <v>2</v>
      </c>
    </row>
    <row r="729" spans="1:12" x14ac:dyDescent="0.4">
      <c r="A729">
        <v>10975</v>
      </c>
      <c r="B729" s="4">
        <v>35179</v>
      </c>
      <c r="C729" t="s">
        <v>84</v>
      </c>
      <c r="D729" s="1" t="s">
        <v>782</v>
      </c>
      <c r="E729">
        <v>57.4</v>
      </c>
      <c r="F729">
        <v>15</v>
      </c>
      <c r="G729">
        <f t="shared" si="36"/>
        <v>3</v>
      </c>
      <c r="H729">
        <f>SUMIF(OrderDetailsCustomers!$M$2:$M$2158,A729,OrderDetailsCustomers!$W$2:$W$2158)</f>
        <v>717.5</v>
      </c>
      <c r="J729">
        <f t="shared" si="34"/>
        <v>3</v>
      </c>
      <c r="K729">
        <f>SUMIF(OrderDetailsCustomers!$M$2:$M$2158,'Order Header'!A729,OrderDetailsCustomers!$W$2:$W$2158)</f>
        <v>717.5</v>
      </c>
      <c r="L729" s="11">
        <f t="shared" si="35"/>
        <v>3</v>
      </c>
    </row>
    <row r="730" spans="1:12" x14ac:dyDescent="0.4">
      <c r="A730">
        <v>10976</v>
      </c>
      <c r="B730" s="4">
        <v>35179</v>
      </c>
      <c r="C730" t="s">
        <v>273</v>
      </c>
      <c r="D730" s="1" t="s">
        <v>771</v>
      </c>
      <c r="E730">
        <v>72.960000000000008</v>
      </c>
      <c r="F730">
        <v>15</v>
      </c>
      <c r="G730">
        <f t="shared" si="36"/>
        <v>3</v>
      </c>
      <c r="H730">
        <f>SUMIF(OrderDetailsCustomers!$M$2:$M$2158,A730,OrderDetailsCustomers!$W$2:$W$2158)</f>
        <v>912</v>
      </c>
      <c r="J730">
        <f t="shared" si="34"/>
        <v>3</v>
      </c>
      <c r="K730">
        <f>SUMIF(OrderDetailsCustomers!$M$2:$M$2158,'Order Header'!A730,OrderDetailsCustomers!$W$2:$W$2158)</f>
        <v>912</v>
      </c>
      <c r="L730" s="11">
        <f t="shared" si="35"/>
        <v>3</v>
      </c>
    </row>
    <row r="731" spans="1:12" x14ac:dyDescent="0.4">
      <c r="A731">
        <v>10977</v>
      </c>
      <c r="B731" s="4">
        <v>35180</v>
      </c>
      <c r="C731" t="s">
        <v>191</v>
      </c>
      <c r="D731" s="1" t="s">
        <v>768</v>
      </c>
      <c r="E731">
        <v>178.64000000000001</v>
      </c>
      <c r="F731">
        <v>20</v>
      </c>
      <c r="G731">
        <f t="shared" si="36"/>
        <v>4</v>
      </c>
      <c r="H731">
        <f>SUMIF(OrderDetailsCustomers!$M$2:$M$2158,A731,OrderDetailsCustomers!$W$2:$W$2158)</f>
        <v>2233</v>
      </c>
      <c r="J731">
        <f t="shared" si="34"/>
        <v>4</v>
      </c>
      <c r="K731">
        <f>SUMIF(OrderDetailsCustomers!$M$2:$M$2158,'Order Header'!A731,OrderDetailsCustomers!$W$2:$W$2158)</f>
        <v>2233</v>
      </c>
      <c r="L731" s="11">
        <f t="shared" si="35"/>
        <v>4</v>
      </c>
    </row>
    <row r="732" spans="1:12" x14ac:dyDescent="0.4">
      <c r="A732">
        <v>10978</v>
      </c>
      <c r="B732" s="4">
        <v>35180</v>
      </c>
      <c r="C732" t="s">
        <v>385</v>
      </c>
      <c r="D732" s="1" t="s">
        <v>782</v>
      </c>
      <c r="E732">
        <v>104.2556</v>
      </c>
      <c r="F732">
        <v>20</v>
      </c>
      <c r="G732">
        <f t="shared" si="36"/>
        <v>3</v>
      </c>
      <c r="H732">
        <f>SUMIF(OrderDetailsCustomers!$M$2:$M$2158,A732,OrderDetailsCustomers!$W$2:$W$2158)</f>
        <v>1303.1949999999999</v>
      </c>
      <c r="J732">
        <f t="shared" si="34"/>
        <v>3</v>
      </c>
      <c r="K732">
        <f>SUMIF(OrderDetailsCustomers!$M$2:$M$2158,'Order Header'!A732,OrderDetailsCustomers!$W$2:$W$2158)</f>
        <v>1303.1949999999999</v>
      </c>
      <c r="L732" s="11">
        <f t="shared" si="35"/>
        <v>3</v>
      </c>
    </row>
    <row r="733" spans="1:12" x14ac:dyDescent="0.4">
      <c r="A733">
        <v>10979</v>
      </c>
      <c r="B733" s="4">
        <v>35180</v>
      </c>
      <c r="C733" t="s">
        <v>161</v>
      </c>
      <c r="D733" s="1" t="s">
        <v>772</v>
      </c>
      <c r="E733">
        <v>385.08</v>
      </c>
      <c r="F733">
        <v>20</v>
      </c>
      <c r="G733">
        <f t="shared" si="36"/>
        <v>5</v>
      </c>
      <c r="H733">
        <f>SUMIF(OrderDetailsCustomers!$M$2:$M$2158,A733,OrderDetailsCustomers!$W$2:$W$2158)</f>
        <v>4813.5</v>
      </c>
      <c r="J733">
        <f t="shared" si="34"/>
        <v>5</v>
      </c>
      <c r="K733">
        <f>SUMIF(OrderDetailsCustomers!$M$2:$M$2158,'Order Header'!A733,OrderDetailsCustomers!$W$2:$W$2158)</f>
        <v>4813.5</v>
      </c>
      <c r="L733" s="11">
        <f t="shared" si="35"/>
        <v>5</v>
      </c>
    </row>
    <row r="734" spans="1:12" x14ac:dyDescent="0.4">
      <c r="A734">
        <v>10980</v>
      </c>
      <c r="B734" s="4">
        <v>35181</v>
      </c>
      <c r="C734" t="s">
        <v>191</v>
      </c>
      <c r="D734" s="1" t="s">
        <v>768</v>
      </c>
      <c r="E734">
        <v>19.84</v>
      </c>
      <c r="F734">
        <v>10</v>
      </c>
      <c r="G734">
        <f t="shared" si="36"/>
        <v>2</v>
      </c>
      <c r="H734">
        <f>SUMIF(OrderDetailsCustomers!$M$2:$M$2158,A734,OrderDetailsCustomers!$W$2:$W$2158)</f>
        <v>248</v>
      </c>
      <c r="J734">
        <f t="shared" si="34"/>
        <v>2</v>
      </c>
      <c r="K734">
        <f>SUMIF(OrderDetailsCustomers!$M$2:$M$2158,'Order Header'!A734,OrderDetailsCustomers!$W$2:$W$2158)</f>
        <v>248</v>
      </c>
      <c r="L734" s="11">
        <f t="shared" si="35"/>
        <v>2</v>
      </c>
    </row>
    <row r="735" spans="1:12" x14ac:dyDescent="0.4">
      <c r="A735">
        <v>10981</v>
      </c>
      <c r="B735" s="4">
        <v>35181</v>
      </c>
      <c r="C735" t="s">
        <v>264</v>
      </c>
      <c r="D735" s="1" t="s">
        <v>767</v>
      </c>
      <c r="E735">
        <v>1264.8</v>
      </c>
      <c r="F735">
        <v>20</v>
      </c>
      <c r="G735">
        <f t="shared" si="36"/>
        <v>6</v>
      </c>
      <c r="H735">
        <f>SUMIF(OrderDetailsCustomers!$M$2:$M$2158,A735,OrderDetailsCustomers!$W$2:$W$2158)</f>
        <v>15810</v>
      </c>
      <c r="J735">
        <f t="shared" si="34"/>
        <v>6</v>
      </c>
      <c r="K735">
        <f>SUMIF(OrderDetailsCustomers!$M$2:$M$2158,'Order Header'!A735,OrderDetailsCustomers!$W$2:$W$2158)</f>
        <v>15810</v>
      </c>
      <c r="L735" s="11">
        <f t="shared" si="35"/>
        <v>6</v>
      </c>
    </row>
    <row r="736" spans="1:12" x14ac:dyDescent="0.4">
      <c r="A736">
        <v>10982</v>
      </c>
      <c r="B736" s="4">
        <v>35181</v>
      </c>
      <c r="C736" t="s">
        <v>84</v>
      </c>
      <c r="D736" s="1" t="s">
        <v>782</v>
      </c>
      <c r="E736">
        <v>81.12</v>
      </c>
      <c r="F736">
        <v>20</v>
      </c>
      <c r="G736">
        <f t="shared" si="36"/>
        <v>3</v>
      </c>
      <c r="H736">
        <f>SUMIF(OrderDetailsCustomers!$M$2:$M$2158,A736,OrderDetailsCustomers!$W$2:$W$2158)</f>
        <v>1014</v>
      </c>
      <c r="J736">
        <f t="shared" si="34"/>
        <v>3</v>
      </c>
      <c r="K736">
        <f>SUMIF(OrderDetailsCustomers!$M$2:$M$2158,'Order Header'!A736,OrderDetailsCustomers!$W$2:$W$2158)</f>
        <v>1014</v>
      </c>
      <c r="L736" s="11">
        <f t="shared" si="35"/>
        <v>3</v>
      </c>
    </row>
    <row r="737" spans="1:12" x14ac:dyDescent="0.4">
      <c r="A737">
        <v>10983</v>
      </c>
      <c r="B737" s="4">
        <v>35181</v>
      </c>
      <c r="C737" t="s">
        <v>529</v>
      </c>
      <c r="D737" s="1" t="s">
        <v>780</v>
      </c>
      <c r="E737">
        <v>57.671999999999997</v>
      </c>
      <c r="F737">
        <v>15</v>
      </c>
      <c r="G737">
        <f t="shared" si="36"/>
        <v>3</v>
      </c>
      <c r="H737">
        <f>SUMIF(OrderDetailsCustomers!$M$2:$M$2158,A737,OrderDetailsCustomers!$W$2:$W$2158)</f>
        <v>720.9</v>
      </c>
      <c r="J737">
        <f t="shared" si="34"/>
        <v>3</v>
      </c>
      <c r="K737">
        <f>SUMIF(OrderDetailsCustomers!$M$2:$M$2158,'Order Header'!A737,OrderDetailsCustomers!$W$2:$W$2158)</f>
        <v>720.9</v>
      </c>
      <c r="L737" s="11">
        <f t="shared" si="35"/>
        <v>3</v>
      </c>
    </row>
    <row r="738" spans="1:12" x14ac:dyDescent="0.4">
      <c r="A738">
        <v>10984</v>
      </c>
      <c r="B738" s="4">
        <v>35184</v>
      </c>
      <c r="C738" t="s">
        <v>529</v>
      </c>
      <c r="D738" s="1" t="s">
        <v>780</v>
      </c>
      <c r="E738">
        <v>144.78</v>
      </c>
      <c r="F738">
        <v>20</v>
      </c>
      <c r="G738">
        <f t="shared" si="36"/>
        <v>3</v>
      </c>
      <c r="H738">
        <f>SUMIF(OrderDetailsCustomers!$M$2:$M$2158,A738,OrderDetailsCustomers!$W$2:$W$2158)</f>
        <v>1809.75</v>
      </c>
      <c r="J738">
        <f t="shared" si="34"/>
        <v>3</v>
      </c>
      <c r="K738">
        <f>SUMIF(OrderDetailsCustomers!$M$2:$M$2158,'Order Header'!A738,OrderDetailsCustomers!$W$2:$W$2158)</f>
        <v>1809.75</v>
      </c>
      <c r="L738" s="11">
        <f t="shared" si="35"/>
        <v>3</v>
      </c>
    </row>
    <row r="739" spans="1:12" x14ac:dyDescent="0.4">
      <c r="A739">
        <v>10985</v>
      </c>
      <c r="B739" s="4">
        <v>35184</v>
      </c>
      <c r="C739" t="s">
        <v>288</v>
      </c>
      <c r="D739" s="1" t="s">
        <v>781</v>
      </c>
      <c r="E739">
        <v>161.87040000000002</v>
      </c>
      <c r="F739">
        <v>20</v>
      </c>
      <c r="G739">
        <f t="shared" si="36"/>
        <v>4</v>
      </c>
      <c r="H739">
        <f>SUMIF(OrderDetailsCustomers!$M$2:$M$2158,A739,OrderDetailsCustomers!$W$2:$W$2158)</f>
        <v>2023.38</v>
      </c>
      <c r="J739">
        <f t="shared" si="34"/>
        <v>4</v>
      </c>
      <c r="K739">
        <f>SUMIF(OrderDetailsCustomers!$M$2:$M$2158,'Order Header'!A739,OrderDetailsCustomers!$W$2:$W$2158)</f>
        <v>2023.38</v>
      </c>
      <c r="L739" s="11">
        <f t="shared" si="35"/>
        <v>4</v>
      </c>
    </row>
    <row r="740" spans="1:12" x14ac:dyDescent="0.4">
      <c r="A740">
        <v>10986</v>
      </c>
      <c r="B740" s="4">
        <v>35184</v>
      </c>
      <c r="C740" t="s">
        <v>416</v>
      </c>
      <c r="D740" s="1" t="s">
        <v>767</v>
      </c>
      <c r="E740">
        <v>177.6</v>
      </c>
      <c r="F740">
        <v>20</v>
      </c>
      <c r="G740">
        <f t="shared" si="36"/>
        <v>4</v>
      </c>
      <c r="H740">
        <f>SUMIF(OrderDetailsCustomers!$M$2:$M$2158,A740,OrderDetailsCustomers!$W$2:$W$2158)</f>
        <v>2220</v>
      </c>
      <c r="J740">
        <f t="shared" si="34"/>
        <v>4</v>
      </c>
      <c r="K740">
        <f>SUMIF(OrderDetailsCustomers!$M$2:$M$2158,'Order Header'!A740,OrderDetailsCustomers!$W$2:$W$2158)</f>
        <v>2220</v>
      </c>
      <c r="L740" s="11">
        <f t="shared" si="35"/>
        <v>4</v>
      </c>
    </row>
    <row r="741" spans="1:12" x14ac:dyDescent="0.4">
      <c r="A741">
        <v>10987</v>
      </c>
      <c r="B741" s="4">
        <v>35185</v>
      </c>
      <c r="C741" t="s">
        <v>154</v>
      </c>
      <c r="D741" s="1" t="s">
        <v>766</v>
      </c>
      <c r="E741">
        <v>221.76</v>
      </c>
      <c r="F741">
        <v>20</v>
      </c>
      <c r="G741">
        <f t="shared" si="36"/>
        <v>4</v>
      </c>
      <c r="H741">
        <f>SUMIF(OrderDetailsCustomers!$M$2:$M$2158,A741,OrderDetailsCustomers!$W$2:$W$2158)</f>
        <v>2772</v>
      </c>
      <c r="J741">
        <f t="shared" si="34"/>
        <v>4</v>
      </c>
      <c r="K741">
        <f>SUMIF(OrderDetailsCustomers!$M$2:$M$2158,'Order Header'!A741,OrderDetailsCustomers!$W$2:$W$2158)</f>
        <v>2772</v>
      </c>
      <c r="L741" s="11">
        <f t="shared" si="35"/>
        <v>4</v>
      </c>
    </row>
    <row r="742" spans="1:12" x14ac:dyDescent="0.4">
      <c r="A742">
        <v>10988</v>
      </c>
      <c r="B742" s="4">
        <v>35185</v>
      </c>
      <c r="C742" t="s">
        <v>487</v>
      </c>
      <c r="D742" s="1" t="s">
        <v>765</v>
      </c>
      <c r="E742">
        <v>285.98400000000004</v>
      </c>
      <c r="F742">
        <v>20</v>
      </c>
      <c r="G742">
        <f t="shared" si="36"/>
        <v>5</v>
      </c>
      <c r="H742">
        <f>SUMIF(OrderDetailsCustomers!$M$2:$M$2158,A742,OrderDetailsCustomers!$W$2:$W$2158)</f>
        <v>3574.8</v>
      </c>
      <c r="J742">
        <f t="shared" si="34"/>
        <v>5</v>
      </c>
      <c r="K742">
        <f>SUMIF(OrderDetailsCustomers!$M$2:$M$2158,'Order Header'!A742,OrderDetailsCustomers!$W$2:$W$2158)</f>
        <v>3574.8</v>
      </c>
      <c r="L742" s="11">
        <f t="shared" si="35"/>
        <v>5</v>
      </c>
    </row>
    <row r="743" spans="1:12" x14ac:dyDescent="0.4">
      <c r="A743">
        <v>10989</v>
      </c>
      <c r="B743" s="4">
        <v>35185</v>
      </c>
      <c r="C743" t="s">
        <v>462</v>
      </c>
      <c r="D743" s="1" t="s">
        <v>774</v>
      </c>
      <c r="E743">
        <v>108.288</v>
      </c>
      <c r="F743">
        <v>20</v>
      </c>
      <c r="G743">
        <f t="shared" si="36"/>
        <v>3</v>
      </c>
      <c r="H743">
        <f>SUMIF(OrderDetailsCustomers!$M$2:$M$2158,A743,OrderDetailsCustomers!$W$2:$W$2158)</f>
        <v>1353.6</v>
      </c>
      <c r="J743">
        <f t="shared" si="34"/>
        <v>3</v>
      </c>
      <c r="K743">
        <f>SUMIF(OrderDetailsCustomers!$M$2:$M$2158,'Order Header'!A743,OrderDetailsCustomers!$W$2:$W$2158)</f>
        <v>1353.6</v>
      </c>
      <c r="L743" s="11">
        <f t="shared" si="35"/>
        <v>3</v>
      </c>
    </row>
    <row r="744" spans="1:12" x14ac:dyDescent="0.4">
      <c r="A744">
        <v>10990</v>
      </c>
      <c r="B744" s="4">
        <v>35186</v>
      </c>
      <c r="C744" t="s">
        <v>161</v>
      </c>
      <c r="D744" s="1" t="s">
        <v>772</v>
      </c>
      <c r="E744">
        <v>343.10800000000006</v>
      </c>
      <c r="F744">
        <v>20</v>
      </c>
      <c r="G744">
        <f t="shared" si="36"/>
        <v>5</v>
      </c>
      <c r="H744">
        <f>SUMIF(OrderDetailsCustomers!$M$2:$M$2158,A744,OrderDetailsCustomers!$W$2:$W$2158)</f>
        <v>4288.8500000000004</v>
      </c>
      <c r="J744">
        <f t="shared" si="34"/>
        <v>5</v>
      </c>
      <c r="K744">
        <f>SUMIF(OrderDetailsCustomers!$M$2:$M$2158,'Order Header'!A744,OrderDetailsCustomers!$W$2:$W$2158)</f>
        <v>4288.8500000000004</v>
      </c>
      <c r="L744" s="11">
        <f t="shared" si="35"/>
        <v>5</v>
      </c>
    </row>
    <row r="745" spans="1:12" x14ac:dyDescent="0.4">
      <c r="A745">
        <v>10991</v>
      </c>
      <c r="B745" s="4">
        <v>35186</v>
      </c>
      <c r="C745" t="s">
        <v>475</v>
      </c>
      <c r="D745" s="1" t="s">
        <v>777</v>
      </c>
      <c r="E745">
        <v>183.68</v>
      </c>
      <c r="F745">
        <v>20</v>
      </c>
      <c r="G745">
        <f t="shared" si="36"/>
        <v>4</v>
      </c>
      <c r="H745">
        <f>SUMIF(OrderDetailsCustomers!$M$2:$M$2158,A745,OrderDetailsCustomers!$W$2:$W$2158)</f>
        <v>2296</v>
      </c>
      <c r="J745">
        <f t="shared" si="34"/>
        <v>4</v>
      </c>
      <c r="K745">
        <f>SUMIF(OrderDetailsCustomers!$M$2:$M$2158,'Order Header'!A745,OrderDetailsCustomers!$W$2:$W$2158)</f>
        <v>2296</v>
      </c>
      <c r="L745" s="11">
        <f t="shared" si="35"/>
        <v>4</v>
      </c>
    </row>
    <row r="746" spans="1:12" x14ac:dyDescent="0.4">
      <c r="A746">
        <v>10992</v>
      </c>
      <c r="B746" s="4">
        <v>35186</v>
      </c>
      <c r="C746" t="s">
        <v>573</v>
      </c>
      <c r="D746" s="1" t="s">
        <v>781</v>
      </c>
      <c r="E746">
        <v>5.5679999999999996</v>
      </c>
      <c r="F746">
        <v>10</v>
      </c>
      <c r="G746">
        <f t="shared" si="36"/>
        <v>1</v>
      </c>
      <c r="H746">
        <f>SUMIF(OrderDetailsCustomers!$M$2:$M$2158,A746,OrderDetailsCustomers!$W$2:$W$2158)</f>
        <v>69.599999999999994</v>
      </c>
      <c r="J746">
        <f t="shared" si="34"/>
        <v>1</v>
      </c>
      <c r="K746">
        <f>SUMIF(OrderDetailsCustomers!$M$2:$M$2158,'Order Header'!A746,OrderDetailsCustomers!$W$2:$W$2158)</f>
        <v>69.599999999999994</v>
      </c>
      <c r="L746" s="11">
        <f t="shared" si="35"/>
        <v>1</v>
      </c>
    </row>
    <row r="747" spans="1:12" x14ac:dyDescent="0.4">
      <c r="A747">
        <v>10993</v>
      </c>
      <c r="B747" s="4">
        <v>35186</v>
      </c>
      <c r="C747" t="s">
        <v>191</v>
      </c>
      <c r="D747" s="1" t="s">
        <v>768</v>
      </c>
      <c r="E747">
        <v>391.63499999999999</v>
      </c>
      <c r="F747">
        <v>20</v>
      </c>
      <c r="G747">
        <f t="shared" si="36"/>
        <v>5</v>
      </c>
      <c r="H747">
        <f>SUMIF(OrderDetailsCustomers!$M$2:$M$2158,A747,OrderDetailsCustomers!$W$2:$W$2158)</f>
        <v>4895.4375</v>
      </c>
      <c r="J747">
        <f t="shared" si="34"/>
        <v>5</v>
      </c>
      <c r="K747">
        <f>SUMIF(OrderDetailsCustomers!$M$2:$M$2158,'Order Header'!A747,OrderDetailsCustomers!$W$2:$W$2158)</f>
        <v>4895.4375</v>
      </c>
      <c r="L747" s="11">
        <f t="shared" si="35"/>
        <v>5</v>
      </c>
    </row>
    <row r="748" spans="1:12" x14ac:dyDescent="0.4">
      <c r="A748">
        <v>10994</v>
      </c>
      <c r="B748" s="4">
        <v>35187</v>
      </c>
      <c r="C748" t="s">
        <v>612</v>
      </c>
      <c r="D748" s="1" t="s">
        <v>777</v>
      </c>
      <c r="E748">
        <v>75.239999999999995</v>
      </c>
      <c r="F748">
        <v>15</v>
      </c>
      <c r="G748">
        <f t="shared" si="36"/>
        <v>3</v>
      </c>
      <c r="H748">
        <f>SUMIF(OrderDetailsCustomers!$M$2:$M$2158,A748,OrderDetailsCustomers!$W$2:$W$2158)</f>
        <v>940.5</v>
      </c>
      <c r="J748">
        <f t="shared" si="34"/>
        <v>3</v>
      </c>
      <c r="K748">
        <f>SUMIF(OrderDetailsCustomers!$M$2:$M$2158,'Order Header'!A748,OrderDetailsCustomers!$W$2:$W$2158)</f>
        <v>940.5</v>
      </c>
      <c r="L748" s="11">
        <f t="shared" si="35"/>
        <v>3</v>
      </c>
    </row>
    <row r="749" spans="1:12" x14ac:dyDescent="0.4">
      <c r="A749">
        <v>10995</v>
      </c>
      <c r="B749" s="4">
        <v>35187</v>
      </c>
      <c r="C749" t="s">
        <v>444</v>
      </c>
      <c r="D749" s="1" t="s">
        <v>784</v>
      </c>
      <c r="E749">
        <v>95.68</v>
      </c>
      <c r="F749">
        <v>20</v>
      </c>
      <c r="G749">
        <f t="shared" si="36"/>
        <v>3</v>
      </c>
      <c r="H749">
        <f>SUMIF(OrderDetailsCustomers!$M$2:$M$2158,A749,OrderDetailsCustomers!$W$2:$W$2158)</f>
        <v>1196</v>
      </c>
      <c r="J749">
        <f t="shared" si="34"/>
        <v>3</v>
      </c>
      <c r="K749">
        <f>SUMIF(OrderDetailsCustomers!$M$2:$M$2158,'Order Header'!A749,OrderDetailsCustomers!$W$2:$W$2158)</f>
        <v>1196</v>
      </c>
      <c r="L749" s="11">
        <f t="shared" si="35"/>
        <v>3</v>
      </c>
    </row>
    <row r="750" spans="1:12" x14ac:dyDescent="0.4">
      <c r="A750">
        <v>10996</v>
      </c>
      <c r="B750" s="4">
        <v>35187</v>
      </c>
      <c r="C750" t="s">
        <v>475</v>
      </c>
      <c r="D750" s="1" t="s">
        <v>777</v>
      </c>
      <c r="E750">
        <v>44.800000000000004</v>
      </c>
      <c r="F750">
        <v>15</v>
      </c>
      <c r="G750">
        <f t="shared" si="36"/>
        <v>2</v>
      </c>
      <c r="H750">
        <f>SUMIF(OrderDetailsCustomers!$M$2:$M$2158,A750,OrderDetailsCustomers!$W$2:$W$2158)</f>
        <v>560</v>
      </c>
      <c r="J750">
        <f t="shared" si="34"/>
        <v>2</v>
      </c>
      <c r="K750">
        <f>SUMIF(OrderDetailsCustomers!$M$2:$M$2158,'Order Header'!A750,OrderDetailsCustomers!$W$2:$W$2158)</f>
        <v>560</v>
      </c>
      <c r="L750" s="11">
        <f t="shared" si="35"/>
        <v>2</v>
      </c>
    </row>
    <row r="751" spans="1:12" x14ac:dyDescent="0.4">
      <c r="A751">
        <v>10997</v>
      </c>
      <c r="B751" s="4">
        <v>35188</v>
      </c>
      <c r="C751" t="s">
        <v>355</v>
      </c>
      <c r="D751" s="1" t="s">
        <v>779</v>
      </c>
      <c r="E751">
        <v>150.80000000000001</v>
      </c>
      <c r="F751">
        <v>20</v>
      </c>
      <c r="G751">
        <f t="shared" si="36"/>
        <v>4</v>
      </c>
      <c r="H751">
        <f>SUMIF(OrderDetailsCustomers!$M$2:$M$2158,A751,OrderDetailsCustomers!$W$2:$W$2158)</f>
        <v>1885</v>
      </c>
      <c r="J751">
        <f t="shared" si="34"/>
        <v>4</v>
      </c>
      <c r="K751">
        <f>SUMIF(OrderDetailsCustomers!$M$2:$M$2158,'Order Header'!A751,OrderDetailsCustomers!$W$2:$W$2158)</f>
        <v>1885</v>
      </c>
      <c r="L751" s="11">
        <f t="shared" si="35"/>
        <v>4</v>
      </c>
    </row>
    <row r="752" spans="1:12" x14ac:dyDescent="0.4">
      <c r="A752">
        <v>10998</v>
      </c>
      <c r="B752" s="4">
        <v>35188</v>
      </c>
      <c r="C752" t="s">
        <v>668</v>
      </c>
      <c r="D752" s="1" t="s">
        <v>780</v>
      </c>
      <c r="E752">
        <v>54.88</v>
      </c>
      <c r="F752">
        <v>15</v>
      </c>
      <c r="G752">
        <f t="shared" si="36"/>
        <v>3</v>
      </c>
      <c r="H752">
        <f>SUMIF(OrderDetailsCustomers!$M$2:$M$2158,A752,OrderDetailsCustomers!$W$2:$W$2158)</f>
        <v>686</v>
      </c>
      <c r="J752">
        <f t="shared" si="34"/>
        <v>3</v>
      </c>
      <c r="K752">
        <f>SUMIF(OrderDetailsCustomers!$M$2:$M$2158,'Order Header'!A752,OrderDetailsCustomers!$W$2:$W$2158)</f>
        <v>686</v>
      </c>
      <c r="L752" s="11">
        <f t="shared" si="35"/>
        <v>3</v>
      </c>
    </row>
    <row r="753" spans="1:12" x14ac:dyDescent="0.4">
      <c r="A753">
        <v>10999</v>
      </c>
      <c r="B753" s="4">
        <v>35188</v>
      </c>
      <c r="C753" t="s">
        <v>430</v>
      </c>
      <c r="D753" s="1" t="s">
        <v>769</v>
      </c>
      <c r="E753">
        <v>95.836000000000013</v>
      </c>
      <c r="F753">
        <v>20</v>
      </c>
      <c r="G753">
        <f t="shared" si="36"/>
        <v>3</v>
      </c>
      <c r="H753">
        <f>SUMIF(OrderDetailsCustomers!$M$2:$M$2158,A753,OrderDetailsCustomers!$W$2:$W$2158)</f>
        <v>1197.95</v>
      </c>
      <c r="J753">
        <f t="shared" si="34"/>
        <v>3</v>
      </c>
      <c r="K753">
        <f>SUMIF(OrderDetailsCustomers!$M$2:$M$2158,'Order Header'!A753,OrderDetailsCustomers!$W$2:$W$2158)</f>
        <v>1197.95</v>
      </c>
      <c r="L753" s="11">
        <f t="shared" si="35"/>
        <v>3</v>
      </c>
    </row>
    <row r="754" spans="1:12" x14ac:dyDescent="0.4">
      <c r="A754">
        <v>11000</v>
      </c>
      <c r="B754" s="4">
        <v>35191</v>
      </c>
      <c r="C754" t="s">
        <v>487</v>
      </c>
      <c r="D754" s="1" t="s">
        <v>765</v>
      </c>
      <c r="E754">
        <v>72.3</v>
      </c>
      <c r="F754">
        <v>15</v>
      </c>
      <c r="G754">
        <f t="shared" si="36"/>
        <v>3</v>
      </c>
      <c r="H754">
        <f>SUMIF(OrderDetailsCustomers!$M$2:$M$2158,A754,OrderDetailsCustomers!$W$2:$W$2158)</f>
        <v>903.75</v>
      </c>
      <c r="J754">
        <f t="shared" si="34"/>
        <v>3</v>
      </c>
      <c r="K754">
        <f>SUMIF(OrderDetailsCustomers!$M$2:$M$2158,'Order Header'!A754,OrderDetailsCustomers!$W$2:$W$2158)</f>
        <v>903.75</v>
      </c>
      <c r="L754" s="11">
        <f t="shared" si="35"/>
        <v>3</v>
      </c>
    </row>
    <row r="755" spans="1:12" x14ac:dyDescent="0.4">
      <c r="A755">
        <v>11001</v>
      </c>
      <c r="B755" s="4">
        <v>35191</v>
      </c>
      <c r="C755" t="s">
        <v>191</v>
      </c>
      <c r="D755" s="1" t="s">
        <v>768</v>
      </c>
      <c r="E755">
        <v>221.52</v>
      </c>
      <c r="F755">
        <v>20</v>
      </c>
      <c r="G755">
        <f t="shared" si="36"/>
        <v>4</v>
      </c>
      <c r="H755">
        <f>SUMIF(OrderDetailsCustomers!$M$2:$M$2158,A755,OrderDetailsCustomers!$W$2:$W$2158)</f>
        <v>2769</v>
      </c>
      <c r="J755">
        <f t="shared" si="34"/>
        <v>4</v>
      </c>
      <c r="K755">
        <f>SUMIF(OrderDetailsCustomers!$M$2:$M$2158,'Order Header'!A755,OrderDetailsCustomers!$W$2:$W$2158)</f>
        <v>2769</v>
      </c>
      <c r="L755" s="11">
        <f t="shared" si="35"/>
        <v>4</v>
      </c>
    </row>
    <row r="756" spans="1:12" x14ac:dyDescent="0.4">
      <c r="A756">
        <v>11002</v>
      </c>
      <c r="B756" s="4">
        <v>35191</v>
      </c>
      <c r="C756" t="s">
        <v>529</v>
      </c>
      <c r="D756" s="1" t="s">
        <v>780</v>
      </c>
      <c r="E756">
        <v>144.88800000000001</v>
      </c>
      <c r="F756">
        <v>20</v>
      </c>
      <c r="G756">
        <f t="shared" si="36"/>
        <v>3</v>
      </c>
      <c r="H756">
        <f>SUMIF(OrderDetailsCustomers!$M$2:$M$2158,A756,OrderDetailsCustomers!$W$2:$W$2158)</f>
        <v>1811.1</v>
      </c>
      <c r="J756">
        <f t="shared" si="34"/>
        <v>3</v>
      </c>
      <c r="K756">
        <f>SUMIF(OrderDetailsCustomers!$M$2:$M$2158,'Order Header'!A756,OrderDetailsCustomers!$W$2:$W$2158)</f>
        <v>1811.1</v>
      </c>
      <c r="L756" s="11">
        <f t="shared" si="35"/>
        <v>3</v>
      </c>
    </row>
    <row r="757" spans="1:12" x14ac:dyDescent="0.4">
      <c r="A757">
        <v>11003</v>
      </c>
      <c r="B757" s="4">
        <v>35191</v>
      </c>
      <c r="C757" t="s">
        <v>578</v>
      </c>
      <c r="D757" s="1" t="s">
        <v>784</v>
      </c>
      <c r="E757">
        <v>26.080000000000002</v>
      </c>
      <c r="F757">
        <v>10</v>
      </c>
      <c r="G757">
        <f t="shared" si="36"/>
        <v>2</v>
      </c>
      <c r="H757">
        <f>SUMIF(OrderDetailsCustomers!$M$2:$M$2158,A757,OrderDetailsCustomers!$W$2:$W$2158)</f>
        <v>326</v>
      </c>
      <c r="J757">
        <f t="shared" si="34"/>
        <v>2</v>
      </c>
      <c r="K757">
        <f>SUMIF(OrderDetailsCustomers!$M$2:$M$2158,'Order Header'!A757,OrderDetailsCustomers!$W$2:$W$2158)</f>
        <v>326</v>
      </c>
      <c r="L757" s="11">
        <f t="shared" si="35"/>
        <v>2</v>
      </c>
    </row>
    <row r="758" spans="1:12" x14ac:dyDescent="0.4">
      <c r="A758">
        <v>11004</v>
      </c>
      <c r="B758" s="4">
        <v>35192</v>
      </c>
      <c r="C758" t="s">
        <v>385</v>
      </c>
      <c r="D758" s="1" t="s">
        <v>782</v>
      </c>
      <c r="E758">
        <v>23.630400000000002</v>
      </c>
      <c r="F758">
        <v>10</v>
      </c>
      <c r="G758">
        <f t="shared" si="36"/>
        <v>2</v>
      </c>
      <c r="H758">
        <f>SUMIF(OrderDetailsCustomers!$M$2:$M$2158,A758,OrderDetailsCustomers!$W$2:$W$2158)</f>
        <v>295.38</v>
      </c>
      <c r="J758">
        <f t="shared" si="34"/>
        <v>2</v>
      </c>
      <c r="K758">
        <f>SUMIF(OrderDetailsCustomers!$M$2:$M$2158,'Order Header'!A758,OrderDetailsCustomers!$W$2:$W$2158)</f>
        <v>295.38</v>
      </c>
      <c r="L758" s="11">
        <f t="shared" si="35"/>
        <v>2</v>
      </c>
    </row>
    <row r="759" spans="1:12" x14ac:dyDescent="0.4">
      <c r="A759">
        <v>11005</v>
      </c>
      <c r="B759" s="4">
        <v>35192</v>
      </c>
      <c r="C759" t="s">
        <v>661</v>
      </c>
      <c r="D759" s="1" t="s">
        <v>782</v>
      </c>
      <c r="E759">
        <v>46.88</v>
      </c>
      <c r="F759">
        <v>15</v>
      </c>
      <c r="G759">
        <f t="shared" si="36"/>
        <v>2</v>
      </c>
      <c r="H759">
        <f>SUMIF(OrderDetailsCustomers!$M$2:$M$2158,A759,OrderDetailsCustomers!$W$2:$W$2158)</f>
        <v>586</v>
      </c>
      <c r="J759">
        <f t="shared" si="34"/>
        <v>2</v>
      </c>
      <c r="K759">
        <f>SUMIF(OrderDetailsCustomers!$M$2:$M$2158,'Order Header'!A759,OrderDetailsCustomers!$W$2:$W$2158)</f>
        <v>586</v>
      </c>
      <c r="L759" s="11">
        <f t="shared" si="35"/>
        <v>2</v>
      </c>
    </row>
    <row r="760" spans="1:12" x14ac:dyDescent="0.4">
      <c r="A760">
        <v>11006</v>
      </c>
      <c r="B760" s="4">
        <v>35192</v>
      </c>
      <c r="C760" t="s">
        <v>247</v>
      </c>
      <c r="D760" s="1" t="s">
        <v>778</v>
      </c>
      <c r="E760">
        <v>26.3748</v>
      </c>
      <c r="F760">
        <v>10</v>
      </c>
      <c r="G760">
        <f t="shared" si="36"/>
        <v>2</v>
      </c>
      <c r="H760">
        <f>SUMIF(OrderDetailsCustomers!$M$2:$M$2158,A760,OrderDetailsCustomers!$W$2:$W$2158)</f>
        <v>329.685</v>
      </c>
      <c r="J760">
        <f t="shared" si="34"/>
        <v>2</v>
      </c>
      <c r="K760">
        <f>SUMIF(OrderDetailsCustomers!$M$2:$M$2158,'Order Header'!A760,OrderDetailsCustomers!$W$2:$W$2158)</f>
        <v>329.685</v>
      </c>
      <c r="L760" s="11">
        <f t="shared" si="35"/>
        <v>2</v>
      </c>
    </row>
    <row r="761" spans="1:12" x14ac:dyDescent="0.4">
      <c r="A761">
        <v>11007</v>
      </c>
      <c r="B761" s="4">
        <v>35193</v>
      </c>
      <c r="C761" t="s">
        <v>457</v>
      </c>
      <c r="D761" s="1" t="s">
        <v>772</v>
      </c>
      <c r="E761">
        <v>210.71200000000002</v>
      </c>
      <c r="F761">
        <v>20</v>
      </c>
      <c r="G761">
        <f t="shared" si="36"/>
        <v>4</v>
      </c>
      <c r="H761">
        <f>SUMIF(OrderDetailsCustomers!$M$2:$M$2158,A761,OrderDetailsCustomers!$W$2:$W$2158)</f>
        <v>2633.9</v>
      </c>
      <c r="J761">
        <f t="shared" si="34"/>
        <v>4</v>
      </c>
      <c r="K761">
        <f>SUMIF(OrderDetailsCustomers!$M$2:$M$2158,'Order Header'!A761,OrderDetailsCustomers!$W$2:$W$2158)</f>
        <v>2633.9</v>
      </c>
      <c r="L761" s="11">
        <f t="shared" si="35"/>
        <v>4</v>
      </c>
    </row>
    <row r="762" spans="1:12" x14ac:dyDescent="0.4">
      <c r="A762">
        <v>11008</v>
      </c>
      <c r="B762" s="4">
        <v>35193</v>
      </c>
      <c r="C762" t="s">
        <v>161</v>
      </c>
      <c r="D762" s="1" t="s">
        <v>772</v>
      </c>
      <c r="E762">
        <v>374.47199999999998</v>
      </c>
      <c r="F762">
        <v>20</v>
      </c>
      <c r="G762">
        <f t="shared" si="36"/>
        <v>5</v>
      </c>
      <c r="H762">
        <f>SUMIF(OrderDetailsCustomers!$M$2:$M$2158,A762,OrderDetailsCustomers!$W$2:$W$2158)</f>
        <v>4680.8999999999996</v>
      </c>
      <c r="J762">
        <f t="shared" si="34"/>
        <v>5</v>
      </c>
      <c r="K762">
        <f>SUMIF(OrderDetailsCustomers!$M$2:$M$2158,'Order Header'!A762,OrderDetailsCustomers!$W$2:$W$2158)</f>
        <v>4680.8999999999996</v>
      </c>
      <c r="L762" s="11">
        <f t="shared" si="35"/>
        <v>5</v>
      </c>
    </row>
    <row r="763" spans="1:12" x14ac:dyDescent="0.4">
      <c r="A763">
        <v>11009</v>
      </c>
      <c r="B763" s="4">
        <v>35193</v>
      </c>
      <c r="C763" t="s">
        <v>234</v>
      </c>
      <c r="D763" s="1" t="s">
        <v>782</v>
      </c>
      <c r="E763">
        <v>49.32</v>
      </c>
      <c r="F763">
        <v>15</v>
      </c>
      <c r="G763">
        <f t="shared" si="36"/>
        <v>2</v>
      </c>
      <c r="H763">
        <f>SUMIF(OrderDetailsCustomers!$M$2:$M$2158,A763,OrderDetailsCustomers!$W$2:$W$2158)</f>
        <v>616.5</v>
      </c>
      <c r="J763">
        <f t="shared" si="34"/>
        <v>2</v>
      </c>
      <c r="K763">
        <f>SUMIF(OrderDetailsCustomers!$M$2:$M$2158,'Order Header'!A763,OrderDetailsCustomers!$W$2:$W$2158)</f>
        <v>616.5</v>
      </c>
      <c r="L763" s="11">
        <f t="shared" si="35"/>
        <v>2</v>
      </c>
    </row>
    <row r="764" spans="1:12" x14ac:dyDescent="0.4">
      <c r="A764">
        <v>11010</v>
      </c>
      <c r="B764" s="4">
        <v>35194</v>
      </c>
      <c r="C764" t="s">
        <v>496</v>
      </c>
      <c r="D764" s="1" t="s">
        <v>779</v>
      </c>
      <c r="E764">
        <v>51.6</v>
      </c>
      <c r="F764">
        <v>15</v>
      </c>
      <c r="G764">
        <f t="shared" si="36"/>
        <v>3</v>
      </c>
      <c r="H764">
        <f>SUMIF(OrderDetailsCustomers!$M$2:$M$2158,A764,OrderDetailsCustomers!$W$2:$W$2158)</f>
        <v>645</v>
      </c>
      <c r="J764">
        <f t="shared" si="34"/>
        <v>3</v>
      </c>
      <c r="K764">
        <f>SUMIF(OrderDetailsCustomers!$M$2:$M$2158,'Order Header'!A764,OrderDetailsCustomers!$W$2:$W$2158)</f>
        <v>645</v>
      </c>
      <c r="L764" s="11">
        <f t="shared" si="35"/>
        <v>3</v>
      </c>
    </row>
    <row r="765" spans="1:12" x14ac:dyDescent="0.4">
      <c r="A765">
        <v>11011</v>
      </c>
      <c r="B765" s="4">
        <v>35194</v>
      </c>
      <c r="C765" t="s">
        <v>11</v>
      </c>
      <c r="D765" s="1" t="s">
        <v>774</v>
      </c>
      <c r="E765">
        <v>74.680000000000007</v>
      </c>
      <c r="F765">
        <v>15</v>
      </c>
      <c r="G765">
        <f t="shared" si="36"/>
        <v>3</v>
      </c>
      <c r="H765">
        <f>SUMIF(OrderDetailsCustomers!$M$2:$M$2158,A765,OrderDetailsCustomers!$W$2:$W$2158)</f>
        <v>933.5</v>
      </c>
      <c r="J765">
        <f t="shared" si="34"/>
        <v>3</v>
      </c>
      <c r="K765">
        <f>SUMIF(OrderDetailsCustomers!$M$2:$M$2158,'Order Header'!A765,OrderDetailsCustomers!$W$2:$W$2158)</f>
        <v>933.5</v>
      </c>
      <c r="L765" s="11">
        <f t="shared" si="35"/>
        <v>3</v>
      </c>
    </row>
    <row r="766" spans="1:12" x14ac:dyDescent="0.4">
      <c r="A766">
        <v>11012</v>
      </c>
      <c r="B766" s="4">
        <v>35194</v>
      </c>
      <c r="C766" t="s">
        <v>198</v>
      </c>
      <c r="D766" s="1" t="s">
        <v>765</v>
      </c>
      <c r="E766">
        <v>226.02400000000003</v>
      </c>
      <c r="F766">
        <v>20</v>
      </c>
      <c r="G766">
        <f t="shared" si="36"/>
        <v>4</v>
      </c>
      <c r="H766">
        <f>SUMIF(OrderDetailsCustomers!$M$2:$M$2158,A766,OrderDetailsCustomers!$W$2:$W$2158)</f>
        <v>2825.3</v>
      </c>
      <c r="J766">
        <f t="shared" si="34"/>
        <v>4</v>
      </c>
      <c r="K766">
        <f>SUMIF(OrderDetailsCustomers!$M$2:$M$2158,'Order Header'!A766,OrderDetailsCustomers!$W$2:$W$2158)</f>
        <v>2825.3</v>
      </c>
      <c r="L766" s="11">
        <f t="shared" si="35"/>
        <v>4</v>
      </c>
    </row>
    <row r="767" spans="1:12" x14ac:dyDescent="0.4">
      <c r="A767">
        <v>11013</v>
      </c>
      <c r="B767" s="4">
        <v>35194</v>
      </c>
      <c r="C767" t="s">
        <v>515</v>
      </c>
      <c r="D767" s="1" t="s">
        <v>776</v>
      </c>
      <c r="E767">
        <v>28.88</v>
      </c>
      <c r="F767">
        <v>10</v>
      </c>
      <c r="G767">
        <f t="shared" si="36"/>
        <v>2</v>
      </c>
      <c r="H767">
        <f>SUMIF(OrderDetailsCustomers!$M$2:$M$2158,A767,OrderDetailsCustomers!$W$2:$W$2158)</f>
        <v>361</v>
      </c>
      <c r="J767">
        <f t="shared" si="34"/>
        <v>2</v>
      </c>
      <c r="K767">
        <f>SUMIF(OrderDetailsCustomers!$M$2:$M$2158,'Order Header'!A767,OrderDetailsCustomers!$W$2:$W$2158)</f>
        <v>361</v>
      </c>
      <c r="L767" s="11">
        <f t="shared" si="35"/>
        <v>2</v>
      </c>
    </row>
    <row r="768" spans="1:12" x14ac:dyDescent="0.4">
      <c r="A768">
        <v>11014</v>
      </c>
      <c r="B768" s="4">
        <v>35195</v>
      </c>
      <c r="C768" t="s">
        <v>363</v>
      </c>
      <c r="D768" s="1" t="s">
        <v>775</v>
      </c>
      <c r="E768">
        <v>19.4544</v>
      </c>
      <c r="F768">
        <v>10</v>
      </c>
      <c r="G768">
        <f t="shared" si="36"/>
        <v>2</v>
      </c>
      <c r="H768">
        <f>SUMIF(OrderDetailsCustomers!$M$2:$M$2158,A768,OrderDetailsCustomers!$W$2:$W$2158)</f>
        <v>243.18</v>
      </c>
      <c r="J768">
        <f t="shared" si="34"/>
        <v>2</v>
      </c>
      <c r="K768">
        <f>SUMIF(OrderDetailsCustomers!$M$2:$M$2158,'Order Header'!A768,OrderDetailsCustomers!$W$2:$W$2158)</f>
        <v>243.18</v>
      </c>
      <c r="L768" s="11">
        <f t="shared" si="35"/>
        <v>2</v>
      </c>
    </row>
    <row r="769" spans="1:12" x14ac:dyDescent="0.4">
      <c r="A769">
        <v>11015</v>
      </c>
      <c r="B769" s="4">
        <v>35195</v>
      </c>
      <c r="C769" t="s">
        <v>521</v>
      </c>
      <c r="D769" s="1" t="s">
        <v>782</v>
      </c>
      <c r="E769">
        <v>49.788000000000004</v>
      </c>
      <c r="F769">
        <v>15</v>
      </c>
      <c r="G769">
        <f t="shared" si="36"/>
        <v>2</v>
      </c>
      <c r="H769">
        <f>SUMIF(OrderDetailsCustomers!$M$2:$M$2158,A769,OrderDetailsCustomers!$W$2:$W$2158)</f>
        <v>622.35</v>
      </c>
      <c r="J769">
        <f t="shared" si="34"/>
        <v>2</v>
      </c>
      <c r="K769">
        <f>SUMIF(OrderDetailsCustomers!$M$2:$M$2158,'Order Header'!A769,OrderDetailsCustomers!$W$2:$W$2158)</f>
        <v>622.35</v>
      </c>
      <c r="L769" s="11">
        <f t="shared" si="35"/>
        <v>2</v>
      </c>
    </row>
    <row r="770" spans="1:12" x14ac:dyDescent="0.4">
      <c r="A770">
        <v>11016</v>
      </c>
      <c r="B770" s="4">
        <v>35195</v>
      </c>
      <c r="C770" t="s">
        <v>34</v>
      </c>
      <c r="D770" s="1" t="s">
        <v>768</v>
      </c>
      <c r="E770">
        <v>39.32</v>
      </c>
      <c r="F770">
        <v>10</v>
      </c>
      <c r="G770">
        <f t="shared" si="36"/>
        <v>2</v>
      </c>
      <c r="H770">
        <f>SUMIF(OrderDetailsCustomers!$M$2:$M$2158,A770,OrderDetailsCustomers!$W$2:$W$2158)</f>
        <v>491.5</v>
      </c>
      <c r="J770">
        <f t="shared" si="34"/>
        <v>2</v>
      </c>
      <c r="K770">
        <f>SUMIF(OrderDetailsCustomers!$M$2:$M$2158,'Order Header'!A770,OrderDetailsCustomers!$W$2:$W$2158)</f>
        <v>491.5</v>
      </c>
      <c r="L770" s="11">
        <f t="shared" si="35"/>
        <v>2</v>
      </c>
    </row>
    <row r="771" spans="1:12" x14ac:dyDescent="0.4">
      <c r="A771">
        <v>11017</v>
      </c>
      <c r="B771" s="4">
        <v>35198</v>
      </c>
      <c r="C771" t="s">
        <v>161</v>
      </c>
      <c r="D771" s="1" t="s">
        <v>772</v>
      </c>
      <c r="E771">
        <v>540</v>
      </c>
      <c r="F771">
        <v>20</v>
      </c>
      <c r="G771">
        <f t="shared" si="36"/>
        <v>5</v>
      </c>
      <c r="H771">
        <f>SUMIF(OrderDetailsCustomers!$M$2:$M$2158,A771,OrderDetailsCustomers!$W$2:$W$2158)</f>
        <v>6750</v>
      </c>
      <c r="J771">
        <f t="shared" ref="J771:J832" si="37">VLOOKUP(E771,$T$1:$U$7,2,TRUE)</f>
        <v>5</v>
      </c>
      <c r="K771">
        <f>SUMIF(OrderDetailsCustomers!$M$2:$M$2158,'Order Header'!A771,OrderDetailsCustomers!$W$2:$W$2158)</f>
        <v>6750</v>
      </c>
      <c r="L771" s="11">
        <f t="shared" ref="L771:L832" si="38">VLOOKUP(E771,$T$1:$U$7,2,TRUE)</f>
        <v>5</v>
      </c>
    </row>
    <row r="772" spans="1:12" x14ac:dyDescent="0.4">
      <c r="A772">
        <v>11018</v>
      </c>
      <c r="B772" s="4">
        <v>35198</v>
      </c>
      <c r="C772" t="s">
        <v>371</v>
      </c>
      <c r="D772" s="1" t="s">
        <v>770</v>
      </c>
      <c r="E772">
        <v>126</v>
      </c>
      <c r="F772">
        <v>20</v>
      </c>
      <c r="G772">
        <f t="shared" si="36"/>
        <v>3</v>
      </c>
      <c r="H772">
        <f>SUMIF(OrderDetailsCustomers!$M$2:$M$2158,A772,OrderDetailsCustomers!$W$2:$W$2158)</f>
        <v>1575</v>
      </c>
      <c r="J772">
        <f t="shared" si="37"/>
        <v>3</v>
      </c>
      <c r="K772">
        <f>SUMIF(OrderDetailsCustomers!$M$2:$M$2158,'Order Header'!A772,OrderDetailsCustomers!$W$2:$W$2158)</f>
        <v>1575</v>
      </c>
      <c r="L772" s="11">
        <f t="shared" si="38"/>
        <v>3</v>
      </c>
    </row>
    <row r="773" spans="1:12" x14ac:dyDescent="0.4">
      <c r="A773">
        <v>11019</v>
      </c>
      <c r="B773" s="4">
        <v>35198</v>
      </c>
      <c r="C773" t="s">
        <v>481</v>
      </c>
      <c r="D773" s="1" t="s">
        <v>768</v>
      </c>
      <c r="E773">
        <v>6.08</v>
      </c>
      <c r="F773">
        <v>10</v>
      </c>
      <c r="G773">
        <f t="shared" si="36"/>
        <v>1</v>
      </c>
      <c r="H773">
        <f>SUMIF(OrderDetailsCustomers!$M$2:$M$2158,A773,OrderDetailsCustomers!$W$2:$W$2158)</f>
        <v>76</v>
      </c>
      <c r="J773">
        <f t="shared" si="37"/>
        <v>1</v>
      </c>
      <c r="K773">
        <f>SUMIF(OrderDetailsCustomers!$M$2:$M$2158,'Order Header'!A773,OrderDetailsCustomers!$W$2:$W$2158)</f>
        <v>76</v>
      </c>
      <c r="L773" s="11">
        <f t="shared" si="38"/>
        <v>1</v>
      </c>
    </row>
    <row r="774" spans="1:12" x14ac:dyDescent="0.4">
      <c r="A774">
        <v>11020</v>
      </c>
      <c r="B774" s="4">
        <v>35199</v>
      </c>
      <c r="C774" t="s">
        <v>430</v>
      </c>
      <c r="D774" s="1" t="s">
        <v>769</v>
      </c>
      <c r="E774">
        <v>50.591999999999999</v>
      </c>
      <c r="F774">
        <v>15</v>
      </c>
      <c r="G774">
        <f t="shared" si="36"/>
        <v>3</v>
      </c>
      <c r="H774">
        <f>SUMIF(OrderDetailsCustomers!$M$2:$M$2158,A774,OrderDetailsCustomers!$W$2:$W$2158)</f>
        <v>632.4</v>
      </c>
      <c r="J774">
        <f t="shared" si="37"/>
        <v>3</v>
      </c>
      <c r="K774">
        <f>SUMIF(OrderDetailsCustomers!$M$2:$M$2158,'Order Header'!A774,OrderDetailsCustomers!$W$2:$W$2158)</f>
        <v>632.4</v>
      </c>
      <c r="L774" s="11">
        <f t="shared" si="38"/>
        <v>3</v>
      </c>
    </row>
    <row r="775" spans="1:12" x14ac:dyDescent="0.4">
      <c r="A775">
        <v>11021</v>
      </c>
      <c r="B775" s="4">
        <v>35199</v>
      </c>
      <c r="C775" t="s">
        <v>475</v>
      </c>
      <c r="D775" s="1" t="s">
        <v>777</v>
      </c>
      <c r="E775">
        <v>504.49919999999997</v>
      </c>
      <c r="F775">
        <v>20</v>
      </c>
      <c r="G775">
        <f t="shared" si="36"/>
        <v>5</v>
      </c>
      <c r="H775">
        <f>SUMIF(OrderDetailsCustomers!$M$2:$M$2158,A775,OrderDetailsCustomers!$W$2:$W$2158)</f>
        <v>6306.24</v>
      </c>
      <c r="J775">
        <f t="shared" si="37"/>
        <v>5</v>
      </c>
      <c r="K775">
        <f>SUMIF(OrderDetailsCustomers!$M$2:$M$2158,'Order Header'!A775,OrderDetailsCustomers!$W$2:$W$2158)</f>
        <v>6306.24</v>
      </c>
      <c r="L775" s="11">
        <f t="shared" si="38"/>
        <v>5</v>
      </c>
    </row>
    <row r="776" spans="1:12" x14ac:dyDescent="0.4">
      <c r="A776">
        <v>11022</v>
      </c>
      <c r="B776" s="4">
        <v>35199</v>
      </c>
      <c r="C776" t="s">
        <v>264</v>
      </c>
      <c r="D776" s="1" t="s">
        <v>767</v>
      </c>
      <c r="E776">
        <v>112.16</v>
      </c>
      <c r="F776">
        <v>20</v>
      </c>
      <c r="G776">
        <f t="shared" si="36"/>
        <v>3</v>
      </c>
      <c r="H776">
        <f>SUMIF(OrderDetailsCustomers!$M$2:$M$2158,A776,OrderDetailsCustomers!$W$2:$W$2158)</f>
        <v>1402</v>
      </c>
      <c r="J776">
        <f t="shared" si="37"/>
        <v>3</v>
      </c>
      <c r="K776">
        <f>SUMIF(OrderDetailsCustomers!$M$2:$M$2158,'Order Header'!A776,OrderDetailsCustomers!$W$2:$W$2158)</f>
        <v>1402</v>
      </c>
      <c r="L776" s="11">
        <f t="shared" si="38"/>
        <v>3</v>
      </c>
    </row>
    <row r="777" spans="1:12" x14ac:dyDescent="0.4">
      <c r="A777">
        <v>11023</v>
      </c>
      <c r="B777" s="4">
        <v>35199</v>
      </c>
      <c r="C777" t="s">
        <v>95</v>
      </c>
      <c r="D777" s="1" t="s">
        <v>780</v>
      </c>
      <c r="E777">
        <v>120</v>
      </c>
      <c r="F777">
        <v>20</v>
      </c>
      <c r="G777">
        <f t="shared" si="36"/>
        <v>3</v>
      </c>
      <c r="H777">
        <f>SUMIF(OrderDetailsCustomers!$M$2:$M$2158,A777,OrderDetailsCustomers!$W$2:$W$2158)</f>
        <v>1500</v>
      </c>
      <c r="J777">
        <f t="shared" si="37"/>
        <v>3</v>
      </c>
      <c r="K777">
        <f>SUMIF(OrderDetailsCustomers!$M$2:$M$2158,'Order Header'!A777,OrderDetailsCustomers!$W$2:$W$2158)</f>
        <v>1500</v>
      </c>
      <c r="L777" s="11">
        <f t="shared" si="38"/>
        <v>3</v>
      </c>
    </row>
    <row r="778" spans="1:12" x14ac:dyDescent="0.4">
      <c r="A778">
        <v>11024</v>
      </c>
      <c r="B778" s="4">
        <v>35200</v>
      </c>
      <c r="C778" t="s">
        <v>154</v>
      </c>
      <c r="D778" s="1" t="s">
        <v>766</v>
      </c>
      <c r="E778">
        <v>157.34479999999999</v>
      </c>
      <c r="F778">
        <v>20</v>
      </c>
      <c r="G778">
        <f t="shared" si="36"/>
        <v>4</v>
      </c>
      <c r="H778">
        <f>SUMIF(OrderDetailsCustomers!$M$2:$M$2158,A778,OrderDetailsCustomers!$W$2:$W$2158)</f>
        <v>1966.81</v>
      </c>
      <c r="J778">
        <f t="shared" si="37"/>
        <v>4</v>
      </c>
      <c r="K778">
        <f>SUMIF(OrderDetailsCustomers!$M$2:$M$2158,'Order Header'!A778,OrderDetailsCustomers!$W$2:$W$2158)</f>
        <v>1966.81</v>
      </c>
      <c r="L778" s="11">
        <f t="shared" si="38"/>
        <v>4</v>
      </c>
    </row>
    <row r="779" spans="1:12" x14ac:dyDescent="0.4">
      <c r="A779">
        <v>11025</v>
      </c>
      <c r="B779" s="4">
        <v>35200</v>
      </c>
      <c r="C779" t="s">
        <v>640</v>
      </c>
      <c r="D779" s="1" t="s">
        <v>775</v>
      </c>
      <c r="E779">
        <v>21.6</v>
      </c>
      <c r="F779">
        <v>10</v>
      </c>
      <c r="G779">
        <f t="shared" si="36"/>
        <v>2</v>
      </c>
      <c r="H779">
        <f>SUMIF(OrderDetailsCustomers!$M$2:$M$2158,A779,OrderDetailsCustomers!$W$2:$W$2158)</f>
        <v>270</v>
      </c>
      <c r="J779">
        <f t="shared" si="37"/>
        <v>2</v>
      </c>
      <c r="K779">
        <f>SUMIF(OrderDetailsCustomers!$M$2:$M$2158,'Order Header'!A779,OrderDetailsCustomers!$W$2:$W$2158)</f>
        <v>270</v>
      </c>
      <c r="L779" s="11">
        <f t="shared" si="38"/>
        <v>2</v>
      </c>
    </row>
    <row r="780" spans="1:12" x14ac:dyDescent="0.4">
      <c r="A780">
        <v>11026</v>
      </c>
      <c r="B780" s="4">
        <v>35200</v>
      </c>
      <c r="C780" t="s">
        <v>211</v>
      </c>
      <c r="D780" s="1" t="s">
        <v>775</v>
      </c>
      <c r="E780">
        <v>82.4</v>
      </c>
      <c r="F780">
        <v>20</v>
      </c>
      <c r="G780">
        <f t="shared" si="36"/>
        <v>3</v>
      </c>
      <c r="H780">
        <f>SUMIF(OrderDetailsCustomers!$M$2:$M$2158,A780,OrderDetailsCustomers!$W$2:$W$2158)</f>
        <v>1030</v>
      </c>
      <c r="J780">
        <f t="shared" si="37"/>
        <v>3</v>
      </c>
      <c r="K780">
        <f>SUMIF(OrderDetailsCustomers!$M$2:$M$2158,'Order Header'!A780,OrderDetailsCustomers!$W$2:$W$2158)</f>
        <v>1030</v>
      </c>
      <c r="L780" s="11">
        <f t="shared" si="38"/>
        <v>3</v>
      </c>
    </row>
    <row r="781" spans="1:12" x14ac:dyDescent="0.4">
      <c r="A781">
        <v>11027</v>
      </c>
      <c r="B781" s="4">
        <v>35201</v>
      </c>
      <c r="C781" t="s">
        <v>84</v>
      </c>
      <c r="D781" s="1" t="s">
        <v>782</v>
      </c>
      <c r="E781">
        <v>70.217999999999989</v>
      </c>
      <c r="F781">
        <v>15</v>
      </c>
      <c r="G781">
        <f t="shared" si="36"/>
        <v>3</v>
      </c>
      <c r="H781">
        <f>SUMIF(OrderDetailsCustomers!$M$2:$M$2158,A781,OrderDetailsCustomers!$W$2:$W$2158)</f>
        <v>877.72499999999991</v>
      </c>
      <c r="J781">
        <f t="shared" si="37"/>
        <v>3</v>
      </c>
      <c r="K781">
        <f>SUMIF(OrderDetailsCustomers!$M$2:$M$2158,'Order Header'!A781,OrderDetailsCustomers!$W$2:$W$2158)</f>
        <v>877.72499999999991</v>
      </c>
      <c r="L781" s="11">
        <f t="shared" si="38"/>
        <v>3</v>
      </c>
    </row>
    <row r="782" spans="1:12" x14ac:dyDescent="0.4">
      <c r="A782">
        <v>11028</v>
      </c>
      <c r="B782" s="4">
        <v>35201</v>
      </c>
      <c r="C782" t="s">
        <v>305</v>
      </c>
      <c r="D782" s="1" t="s">
        <v>766</v>
      </c>
      <c r="E782">
        <v>172.8</v>
      </c>
      <c r="F782">
        <v>20</v>
      </c>
      <c r="G782">
        <f t="shared" si="36"/>
        <v>4</v>
      </c>
      <c r="H782">
        <f>SUMIF(OrderDetailsCustomers!$M$2:$M$2158,A782,OrderDetailsCustomers!$W$2:$W$2158)</f>
        <v>2160</v>
      </c>
      <c r="J782">
        <f t="shared" si="37"/>
        <v>4</v>
      </c>
      <c r="K782">
        <f>SUMIF(OrderDetailsCustomers!$M$2:$M$2158,'Order Header'!A782,OrderDetailsCustomers!$W$2:$W$2158)</f>
        <v>2160</v>
      </c>
      <c r="L782" s="11">
        <f t="shared" si="38"/>
        <v>4</v>
      </c>
    </row>
    <row r="783" spans="1:12" x14ac:dyDescent="0.4">
      <c r="A783">
        <v>11029</v>
      </c>
      <c r="B783" s="4">
        <v>35201</v>
      </c>
      <c r="C783" t="s">
        <v>116</v>
      </c>
      <c r="D783" s="1" t="s">
        <v>767</v>
      </c>
      <c r="E783">
        <v>102.944</v>
      </c>
      <c r="F783">
        <v>20</v>
      </c>
      <c r="G783">
        <f t="shared" si="36"/>
        <v>3</v>
      </c>
      <c r="H783">
        <f>SUMIF(OrderDetailsCustomers!$M$2:$M$2158,A783,OrderDetailsCustomers!$W$2:$W$2158)</f>
        <v>1286.8</v>
      </c>
      <c r="J783">
        <f t="shared" si="37"/>
        <v>3</v>
      </c>
      <c r="K783">
        <f>SUMIF(OrderDetailsCustomers!$M$2:$M$2158,'Order Header'!A783,OrderDetailsCustomers!$W$2:$W$2158)</f>
        <v>1286.8</v>
      </c>
      <c r="L783" s="11">
        <f t="shared" si="38"/>
        <v>3</v>
      </c>
    </row>
    <row r="784" spans="1:12" x14ac:dyDescent="0.4">
      <c r="A784">
        <v>11030</v>
      </c>
      <c r="B784" s="4">
        <v>35202</v>
      </c>
      <c r="C784" t="s">
        <v>529</v>
      </c>
      <c r="D784" s="1" t="s">
        <v>780</v>
      </c>
      <c r="E784">
        <v>1009.204</v>
      </c>
      <c r="F784">
        <v>20</v>
      </c>
      <c r="G784">
        <f t="shared" si="36"/>
        <v>6</v>
      </c>
      <c r="H784">
        <f>SUMIF(OrderDetailsCustomers!$M$2:$M$2158,A784,OrderDetailsCustomers!$W$2:$W$2158)</f>
        <v>12615.05</v>
      </c>
      <c r="J784">
        <f t="shared" si="37"/>
        <v>6</v>
      </c>
      <c r="K784">
        <f>SUMIF(OrderDetailsCustomers!$M$2:$M$2158,'Order Header'!A784,OrderDetailsCustomers!$W$2:$W$2158)</f>
        <v>12615.05</v>
      </c>
      <c r="L784" s="11">
        <f t="shared" si="38"/>
        <v>6</v>
      </c>
    </row>
    <row r="785" spans="1:12" x14ac:dyDescent="0.4">
      <c r="A785">
        <v>11031</v>
      </c>
      <c r="B785" s="4">
        <v>35202</v>
      </c>
      <c r="C785" t="s">
        <v>529</v>
      </c>
      <c r="D785" s="1" t="s">
        <v>780</v>
      </c>
      <c r="E785">
        <v>191.48000000000002</v>
      </c>
      <c r="F785">
        <v>20</v>
      </c>
      <c r="G785">
        <f t="shared" si="36"/>
        <v>4</v>
      </c>
      <c r="H785">
        <f>SUMIF(OrderDetailsCustomers!$M$2:$M$2158,A785,OrderDetailsCustomers!$W$2:$W$2158)</f>
        <v>2393.5</v>
      </c>
      <c r="J785">
        <f t="shared" si="37"/>
        <v>4</v>
      </c>
      <c r="K785">
        <f>SUMIF(OrderDetailsCustomers!$M$2:$M$2158,'Order Header'!A785,OrderDetailsCustomers!$W$2:$W$2158)</f>
        <v>2393.5</v>
      </c>
      <c r="L785" s="11">
        <f t="shared" si="38"/>
        <v>4</v>
      </c>
    </row>
    <row r="786" spans="1:12" x14ac:dyDescent="0.4">
      <c r="A786">
        <v>11032</v>
      </c>
      <c r="B786" s="4">
        <v>35202</v>
      </c>
      <c r="C786" t="s">
        <v>654</v>
      </c>
      <c r="D786" s="1" t="s">
        <v>776</v>
      </c>
      <c r="E786">
        <v>712.2</v>
      </c>
      <c r="F786">
        <v>20</v>
      </c>
      <c r="G786">
        <f t="shared" si="36"/>
        <v>5</v>
      </c>
      <c r="H786">
        <f>SUMIF(OrderDetailsCustomers!$M$2:$M$2158,A786,OrderDetailsCustomers!$W$2:$W$2158)</f>
        <v>8902.5</v>
      </c>
      <c r="J786">
        <f t="shared" si="37"/>
        <v>5</v>
      </c>
      <c r="K786">
        <f>SUMIF(OrderDetailsCustomers!$M$2:$M$2158,'Order Header'!A786,OrderDetailsCustomers!$W$2:$W$2158)</f>
        <v>8902.5</v>
      </c>
      <c r="L786" s="11">
        <f t="shared" si="38"/>
        <v>5</v>
      </c>
    </row>
    <row r="787" spans="1:12" x14ac:dyDescent="0.4">
      <c r="A787">
        <v>11033</v>
      </c>
      <c r="B787" s="4">
        <v>35202</v>
      </c>
      <c r="C787" t="s">
        <v>509</v>
      </c>
      <c r="D787" s="1" t="s">
        <v>770</v>
      </c>
      <c r="E787">
        <v>258.62400000000002</v>
      </c>
      <c r="F787">
        <v>20</v>
      </c>
      <c r="G787">
        <f t="shared" si="36"/>
        <v>5</v>
      </c>
      <c r="H787">
        <f>SUMIF(OrderDetailsCustomers!$M$2:$M$2158,A787,OrderDetailsCustomers!$W$2:$W$2158)</f>
        <v>3232.8</v>
      </c>
      <c r="J787">
        <f t="shared" si="37"/>
        <v>5</v>
      </c>
      <c r="K787">
        <f>SUMIF(OrderDetailsCustomers!$M$2:$M$2158,'Order Header'!A787,OrderDetailsCustomers!$W$2:$W$2158)</f>
        <v>3232.8</v>
      </c>
      <c r="L787" s="11">
        <f t="shared" si="38"/>
        <v>5</v>
      </c>
    </row>
    <row r="788" spans="1:12" x14ac:dyDescent="0.4">
      <c r="A788">
        <v>11034</v>
      </c>
      <c r="B788" s="4">
        <v>35205</v>
      </c>
      <c r="C788" t="s">
        <v>422</v>
      </c>
      <c r="D788" s="1" t="s">
        <v>771</v>
      </c>
      <c r="E788">
        <v>43.152000000000001</v>
      </c>
      <c r="F788">
        <v>15</v>
      </c>
      <c r="G788">
        <f t="shared" si="36"/>
        <v>2</v>
      </c>
      <c r="H788">
        <f>SUMIF(OrderDetailsCustomers!$M$2:$M$2158,A788,OrderDetailsCustomers!$W$2:$W$2158)</f>
        <v>539.4</v>
      </c>
      <c r="J788">
        <f t="shared" si="37"/>
        <v>2</v>
      </c>
      <c r="K788">
        <f>SUMIF(OrderDetailsCustomers!$M$2:$M$2158,'Order Header'!A788,OrderDetailsCustomers!$W$2:$W$2158)</f>
        <v>539.4</v>
      </c>
      <c r="L788" s="11">
        <f t="shared" si="38"/>
        <v>2</v>
      </c>
    </row>
    <row r="789" spans="1:12" x14ac:dyDescent="0.4">
      <c r="A789">
        <v>11035</v>
      </c>
      <c r="B789" s="4">
        <v>35205</v>
      </c>
      <c r="C789" t="s">
        <v>565</v>
      </c>
      <c r="D789" s="1" t="s">
        <v>769</v>
      </c>
      <c r="E789">
        <v>140.36000000000001</v>
      </c>
      <c r="F789">
        <v>20</v>
      </c>
      <c r="G789">
        <f t="shared" ref="G789:G832" si="39">VLOOKUP(E789,$T$1:$U$7,2,TRUE)</f>
        <v>3</v>
      </c>
      <c r="H789">
        <f>SUMIF(OrderDetailsCustomers!$M$2:$M$2158,A789,OrderDetailsCustomers!$W$2:$W$2158)</f>
        <v>1754.5</v>
      </c>
      <c r="J789">
        <f t="shared" si="37"/>
        <v>3</v>
      </c>
      <c r="K789">
        <f>SUMIF(OrderDetailsCustomers!$M$2:$M$2158,'Order Header'!A789,OrderDetailsCustomers!$W$2:$W$2158)</f>
        <v>1754.5</v>
      </c>
      <c r="L789" s="11">
        <f t="shared" si="38"/>
        <v>3</v>
      </c>
    </row>
    <row r="790" spans="1:12" x14ac:dyDescent="0.4">
      <c r="A790">
        <v>11036</v>
      </c>
      <c r="B790" s="4">
        <v>35205</v>
      </c>
      <c r="C790" t="s">
        <v>140</v>
      </c>
      <c r="D790" s="1" t="s">
        <v>781</v>
      </c>
      <c r="E790">
        <v>135.36000000000001</v>
      </c>
      <c r="F790">
        <v>20</v>
      </c>
      <c r="G790">
        <f t="shared" si="39"/>
        <v>3</v>
      </c>
      <c r="H790">
        <f>SUMIF(OrderDetailsCustomers!$M$2:$M$2158,A790,OrderDetailsCustomers!$W$2:$W$2158)</f>
        <v>1692</v>
      </c>
      <c r="J790">
        <f t="shared" si="37"/>
        <v>3</v>
      </c>
      <c r="K790">
        <f>SUMIF(OrderDetailsCustomers!$M$2:$M$2158,'Order Header'!A790,OrderDetailsCustomers!$W$2:$W$2158)</f>
        <v>1692</v>
      </c>
      <c r="L790" s="11">
        <f t="shared" si="38"/>
        <v>3</v>
      </c>
    </row>
    <row r="791" spans="1:12" x14ac:dyDescent="0.4">
      <c r="A791">
        <v>11037</v>
      </c>
      <c r="B791" s="4">
        <v>35206</v>
      </c>
      <c r="C791" t="s">
        <v>234</v>
      </c>
      <c r="D791" s="1" t="s">
        <v>782</v>
      </c>
      <c r="E791">
        <v>4.8</v>
      </c>
      <c r="F791">
        <v>10</v>
      </c>
      <c r="G791">
        <f t="shared" si="39"/>
        <v>1</v>
      </c>
      <c r="H791">
        <f>SUMIF(OrderDetailsCustomers!$M$2:$M$2158,A791,OrderDetailsCustomers!$W$2:$W$2158)</f>
        <v>60</v>
      </c>
      <c r="J791">
        <f t="shared" si="37"/>
        <v>1</v>
      </c>
      <c r="K791">
        <f>SUMIF(OrderDetailsCustomers!$M$2:$M$2158,'Order Header'!A791,OrderDetailsCustomers!$W$2:$W$2158)</f>
        <v>60</v>
      </c>
      <c r="L791" s="11">
        <f t="shared" si="38"/>
        <v>1</v>
      </c>
    </row>
    <row r="792" spans="1:12" x14ac:dyDescent="0.4">
      <c r="A792">
        <v>11038</v>
      </c>
      <c r="B792" s="4">
        <v>35206</v>
      </c>
      <c r="C792" t="s">
        <v>565</v>
      </c>
      <c r="D792" s="1" t="s">
        <v>769</v>
      </c>
      <c r="E792">
        <v>58.608000000000004</v>
      </c>
      <c r="F792">
        <v>15</v>
      </c>
      <c r="G792">
        <f t="shared" si="39"/>
        <v>3</v>
      </c>
      <c r="H792">
        <f>SUMIF(OrderDetailsCustomers!$M$2:$M$2158,A792,OrderDetailsCustomers!$W$2:$W$2158)</f>
        <v>732.6</v>
      </c>
      <c r="J792">
        <f t="shared" si="37"/>
        <v>3</v>
      </c>
      <c r="K792">
        <f>SUMIF(OrderDetailsCustomers!$M$2:$M$2158,'Order Header'!A792,OrderDetailsCustomers!$W$2:$W$2158)</f>
        <v>732.6</v>
      </c>
      <c r="L792" s="11">
        <f t="shared" si="38"/>
        <v>3</v>
      </c>
    </row>
    <row r="793" spans="1:12" x14ac:dyDescent="0.4">
      <c r="A793">
        <v>11039</v>
      </c>
      <c r="B793" s="4">
        <v>35206</v>
      </c>
      <c r="C793" t="s">
        <v>363</v>
      </c>
      <c r="D793" s="1" t="s">
        <v>775</v>
      </c>
      <c r="E793">
        <v>247.20000000000002</v>
      </c>
      <c r="F793">
        <v>20</v>
      </c>
      <c r="G793">
        <f t="shared" si="39"/>
        <v>4</v>
      </c>
      <c r="H793">
        <f>SUMIF(OrderDetailsCustomers!$M$2:$M$2158,A793,OrderDetailsCustomers!$W$2:$W$2158)</f>
        <v>3090</v>
      </c>
      <c r="J793">
        <f t="shared" si="37"/>
        <v>4</v>
      </c>
      <c r="K793">
        <f>SUMIF(OrderDetailsCustomers!$M$2:$M$2158,'Order Header'!A793,OrderDetailsCustomers!$W$2:$W$2158)</f>
        <v>3090</v>
      </c>
      <c r="L793" s="11">
        <f t="shared" si="38"/>
        <v>4</v>
      </c>
    </row>
    <row r="794" spans="1:12" x14ac:dyDescent="0.4">
      <c r="A794">
        <v>11040</v>
      </c>
      <c r="B794" s="4">
        <v>35207</v>
      </c>
      <c r="C794" t="s">
        <v>247</v>
      </c>
      <c r="D794" s="1" t="s">
        <v>778</v>
      </c>
      <c r="E794">
        <v>16</v>
      </c>
      <c r="F794">
        <v>10</v>
      </c>
      <c r="G794">
        <f t="shared" si="39"/>
        <v>2</v>
      </c>
      <c r="H794">
        <f>SUMIF(OrderDetailsCustomers!$M$2:$M$2158,A794,OrderDetailsCustomers!$W$2:$W$2158)</f>
        <v>200</v>
      </c>
      <c r="J794">
        <f t="shared" si="37"/>
        <v>2</v>
      </c>
      <c r="K794">
        <f>SUMIF(OrderDetailsCustomers!$M$2:$M$2158,'Order Header'!A794,OrderDetailsCustomers!$W$2:$W$2158)</f>
        <v>200</v>
      </c>
      <c r="L794" s="11">
        <f t="shared" si="38"/>
        <v>2</v>
      </c>
    </row>
    <row r="795" spans="1:12" x14ac:dyDescent="0.4">
      <c r="A795">
        <v>11041</v>
      </c>
      <c r="B795" s="4">
        <v>35207</v>
      </c>
      <c r="C795" t="s">
        <v>116</v>
      </c>
      <c r="D795" s="1" t="s">
        <v>767</v>
      </c>
      <c r="E795">
        <v>141.84</v>
      </c>
      <c r="F795">
        <v>20</v>
      </c>
      <c r="G795">
        <f t="shared" si="39"/>
        <v>3</v>
      </c>
      <c r="H795">
        <f>SUMIF(OrderDetailsCustomers!$M$2:$M$2158,A795,OrderDetailsCustomers!$W$2:$W$2158)</f>
        <v>1773</v>
      </c>
      <c r="J795">
        <f t="shared" si="37"/>
        <v>3</v>
      </c>
      <c r="K795">
        <f>SUMIF(OrderDetailsCustomers!$M$2:$M$2158,'Order Header'!A795,OrderDetailsCustomers!$W$2:$W$2158)</f>
        <v>1773</v>
      </c>
      <c r="L795" s="11">
        <f t="shared" si="38"/>
        <v>3</v>
      </c>
    </row>
    <row r="796" spans="1:12" x14ac:dyDescent="0.4">
      <c r="A796">
        <v>11042</v>
      </c>
      <c r="B796" s="4">
        <v>35207</v>
      </c>
      <c r="C796" t="s">
        <v>123</v>
      </c>
      <c r="D796" s="1" t="s">
        <v>771</v>
      </c>
      <c r="E796">
        <v>32.46</v>
      </c>
      <c r="F796">
        <v>10</v>
      </c>
      <c r="G796">
        <f t="shared" si="39"/>
        <v>2</v>
      </c>
      <c r="H796">
        <f>SUMIF(OrderDetailsCustomers!$M$2:$M$2158,A796,OrderDetailsCustomers!$W$2:$W$2158)</f>
        <v>405.75</v>
      </c>
      <c r="J796">
        <f t="shared" si="37"/>
        <v>2</v>
      </c>
      <c r="K796">
        <f>SUMIF(OrderDetailsCustomers!$M$2:$M$2158,'Order Header'!A796,OrderDetailsCustomers!$W$2:$W$2158)</f>
        <v>405.75</v>
      </c>
      <c r="L796" s="11">
        <f t="shared" si="38"/>
        <v>2</v>
      </c>
    </row>
    <row r="797" spans="1:12" x14ac:dyDescent="0.4">
      <c r="A797">
        <v>11043</v>
      </c>
      <c r="B797" s="4">
        <v>35207</v>
      </c>
      <c r="C797" t="s">
        <v>551</v>
      </c>
      <c r="D797" s="1" t="s">
        <v>767</v>
      </c>
      <c r="E797">
        <v>16.8</v>
      </c>
      <c r="F797">
        <v>10</v>
      </c>
      <c r="G797">
        <f t="shared" si="39"/>
        <v>2</v>
      </c>
      <c r="H797">
        <f>SUMIF(OrderDetailsCustomers!$M$2:$M$2158,A797,OrderDetailsCustomers!$W$2:$W$2158)</f>
        <v>210</v>
      </c>
      <c r="J797">
        <f t="shared" si="37"/>
        <v>2</v>
      </c>
      <c r="K797">
        <f>SUMIF(OrderDetailsCustomers!$M$2:$M$2158,'Order Header'!A797,OrderDetailsCustomers!$W$2:$W$2158)</f>
        <v>210</v>
      </c>
      <c r="L797" s="11">
        <f t="shared" si="38"/>
        <v>2</v>
      </c>
    </row>
    <row r="798" spans="1:12" x14ac:dyDescent="0.4">
      <c r="A798">
        <v>11044</v>
      </c>
      <c r="B798" s="4">
        <v>35208</v>
      </c>
      <c r="C798" t="s">
        <v>668</v>
      </c>
      <c r="D798" s="1" t="s">
        <v>780</v>
      </c>
      <c r="E798">
        <v>47.327999999999996</v>
      </c>
      <c r="F798">
        <v>15</v>
      </c>
      <c r="G798">
        <f t="shared" si="39"/>
        <v>2</v>
      </c>
      <c r="H798">
        <f>SUMIF(OrderDetailsCustomers!$M$2:$M$2158,A798,OrderDetailsCustomers!$W$2:$W$2158)</f>
        <v>591.59999999999991</v>
      </c>
      <c r="J798">
        <f t="shared" si="37"/>
        <v>2</v>
      </c>
      <c r="K798">
        <f>SUMIF(OrderDetailsCustomers!$M$2:$M$2158,'Order Header'!A798,OrderDetailsCustomers!$W$2:$W$2158)</f>
        <v>591.59999999999991</v>
      </c>
      <c r="L798" s="11">
        <f t="shared" si="38"/>
        <v>2</v>
      </c>
    </row>
    <row r="799" spans="1:12" x14ac:dyDescent="0.4">
      <c r="A799">
        <v>11045</v>
      </c>
      <c r="B799" s="4">
        <v>35208</v>
      </c>
      <c r="C799" t="s">
        <v>84</v>
      </c>
      <c r="D799" s="1" t="s">
        <v>782</v>
      </c>
      <c r="E799">
        <v>104.76</v>
      </c>
      <c r="F799">
        <v>20</v>
      </c>
      <c r="G799">
        <f t="shared" si="39"/>
        <v>3</v>
      </c>
      <c r="H799">
        <f>SUMIF(OrderDetailsCustomers!$M$2:$M$2158,A799,OrderDetailsCustomers!$W$2:$W$2158)</f>
        <v>1309.5</v>
      </c>
      <c r="J799">
        <f t="shared" si="37"/>
        <v>3</v>
      </c>
      <c r="K799">
        <f>SUMIF(OrderDetailsCustomers!$M$2:$M$2158,'Order Header'!A799,OrderDetailsCustomers!$W$2:$W$2158)</f>
        <v>1309.5</v>
      </c>
      <c r="L799" s="11">
        <f t="shared" si="38"/>
        <v>3</v>
      </c>
    </row>
    <row r="800" spans="1:12" x14ac:dyDescent="0.4">
      <c r="A800">
        <v>11046</v>
      </c>
      <c r="B800" s="4">
        <v>35208</v>
      </c>
      <c r="C800" t="s">
        <v>633</v>
      </c>
      <c r="D800" s="1" t="s">
        <v>779</v>
      </c>
      <c r="E800">
        <v>118.864</v>
      </c>
      <c r="F800">
        <v>20</v>
      </c>
      <c r="G800">
        <f t="shared" si="39"/>
        <v>3</v>
      </c>
      <c r="H800">
        <f>SUMIF(OrderDetailsCustomers!$M$2:$M$2158,A800,OrderDetailsCustomers!$W$2:$W$2158)</f>
        <v>1485.8</v>
      </c>
      <c r="J800">
        <f t="shared" si="37"/>
        <v>3</v>
      </c>
      <c r="K800">
        <f>SUMIF(OrderDetailsCustomers!$M$2:$M$2158,'Order Header'!A800,OrderDetailsCustomers!$W$2:$W$2158)</f>
        <v>1485.8</v>
      </c>
      <c r="L800" s="11">
        <f t="shared" si="38"/>
        <v>3</v>
      </c>
    </row>
    <row r="801" spans="1:12" x14ac:dyDescent="0.4">
      <c r="A801">
        <v>11047</v>
      </c>
      <c r="B801" s="4">
        <v>35209</v>
      </c>
      <c r="C801" t="s">
        <v>154</v>
      </c>
      <c r="D801" s="1" t="s">
        <v>766</v>
      </c>
      <c r="E801">
        <v>65.430000000000007</v>
      </c>
      <c r="F801">
        <v>15</v>
      </c>
      <c r="G801">
        <f t="shared" si="39"/>
        <v>3</v>
      </c>
      <c r="H801">
        <f>SUMIF(OrderDetailsCustomers!$M$2:$M$2158,A801,OrderDetailsCustomers!$W$2:$W$2158)</f>
        <v>817.875</v>
      </c>
      <c r="J801">
        <f t="shared" si="37"/>
        <v>3</v>
      </c>
      <c r="K801">
        <f>SUMIF(OrderDetailsCustomers!$M$2:$M$2158,'Order Header'!A801,OrderDetailsCustomers!$W$2:$W$2158)</f>
        <v>817.875</v>
      </c>
      <c r="L801" s="11">
        <f t="shared" si="38"/>
        <v>3</v>
      </c>
    </row>
    <row r="802" spans="1:12" x14ac:dyDescent="0.4">
      <c r="A802">
        <v>11048</v>
      </c>
      <c r="B802" s="4">
        <v>35209</v>
      </c>
      <c r="C802" t="s">
        <v>84</v>
      </c>
      <c r="D802" s="1" t="s">
        <v>782</v>
      </c>
      <c r="E802">
        <v>42</v>
      </c>
      <c r="F802">
        <v>15</v>
      </c>
      <c r="G802">
        <f t="shared" si="39"/>
        <v>2</v>
      </c>
      <c r="H802">
        <f>SUMIF(OrderDetailsCustomers!$M$2:$M$2158,A802,OrderDetailsCustomers!$W$2:$W$2158)</f>
        <v>525</v>
      </c>
      <c r="J802">
        <f t="shared" si="37"/>
        <v>2</v>
      </c>
      <c r="K802">
        <f>SUMIF(OrderDetailsCustomers!$M$2:$M$2158,'Order Header'!A802,OrderDetailsCustomers!$W$2:$W$2158)</f>
        <v>525</v>
      </c>
      <c r="L802" s="11">
        <f t="shared" si="38"/>
        <v>2</v>
      </c>
    </row>
    <row r="803" spans="1:12" x14ac:dyDescent="0.4">
      <c r="A803">
        <v>11049</v>
      </c>
      <c r="B803" s="4">
        <v>35209</v>
      </c>
      <c r="C803" t="s">
        <v>240</v>
      </c>
      <c r="D803" s="1" t="s">
        <v>780</v>
      </c>
      <c r="E803">
        <v>21.888000000000002</v>
      </c>
      <c r="F803">
        <v>10</v>
      </c>
      <c r="G803">
        <f t="shared" si="39"/>
        <v>2</v>
      </c>
      <c r="H803">
        <f>SUMIF(OrderDetailsCustomers!$M$2:$M$2158,A803,OrderDetailsCustomers!$W$2:$W$2158)</f>
        <v>273.60000000000002</v>
      </c>
      <c r="J803">
        <f t="shared" si="37"/>
        <v>2</v>
      </c>
      <c r="K803">
        <f>SUMIF(OrderDetailsCustomers!$M$2:$M$2158,'Order Header'!A803,OrderDetailsCustomers!$W$2:$W$2158)</f>
        <v>273.60000000000002</v>
      </c>
      <c r="L803" s="11">
        <f t="shared" si="38"/>
        <v>2</v>
      </c>
    </row>
    <row r="804" spans="1:12" x14ac:dyDescent="0.4">
      <c r="A804">
        <v>11050</v>
      </c>
      <c r="B804" s="4">
        <v>35212</v>
      </c>
      <c r="C804" t="s">
        <v>191</v>
      </c>
      <c r="D804" s="1" t="s">
        <v>768</v>
      </c>
      <c r="E804">
        <v>64.8</v>
      </c>
      <c r="F804">
        <v>15</v>
      </c>
      <c r="G804">
        <f t="shared" si="39"/>
        <v>3</v>
      </c>
      <c r="H804">
        <f>SUMIF(OrderDetailsCustomers!$M$2:$M$2158,A804,OrderDetailsCustomers!$W$2:$W$2158)</f>
        <v>810</v>
      </c>
      <c r="J804">
        <f t="shared" si="37"/>
        <v>3</v>
      </c>
      <c r="K804">
        <f>SUMIF(OrderDetailsCustomers!$M$2:$M$2158,'Order Header'!A804,OrderDetailsCustomers!$W$2:$W$2158)</f>
        <v>810</v>
      </c>
      <c r="L804" s="11">
        <f t="shared" si="38"/>
        <v>3</v>
      </c>
    </row>
    <row r="805" spans="1:12" x14ac:dyDescent="0.4">
      <c r="A805">
        <v>11051</v>
      </c>
      <c r="B805" s="4">
        <v>35212</v>
      </c>
      <c r="C805" t="s">
        <v>318</v>
      </c>
      <c r="D805" s="1" t="s">
        <v>774</v>
      </c>
      <c r="E805">
        <v>2.88</v>
      </c>
      <c r="F805">
        <v>10</v>
      </c>
      <c r="G805">
        <f t="shared" si="39"/>
        <v>1</v>
      </c>
      <c r="H805">
        <f>SUMIF(OrderDetailsCustomers!$M$2:$M$2158,A805,OrderDetailsCustomers!$W$2:$W$2158)</f>
        <v>36</v>
      </c>
      <c r="J805">
        <f t="shared" si="37"/>
        <v>1</v>
      </c>
      <c r="K805">
        <f>SUMIF(OrderDetailsCustomers!$M$2:$M$2158,'Order Header'!A805,OrderDetailsCustomers!$W$2:$W$2158)</f>
        <v>36</v>
      </c>
      <c r="L805" s="11">
        <f t="shared" si="38"/>
        <v>1</v>
      </c>
    </row>
    <row r="806" spans="1:12" x14ac:dyDescent="0.4">
      <c r="A806">
        <v>11052</v>
      </c>
      <c r="B806" s="4">
        <v>35212</v>
      </c>
      <c r="C806" t="s">
        <v>264</v>
      </c>
      <c r="D806" s="1" t="s">
        <v>767</v>
      </c>
      <c r="E806">
        <v>106.56</v>
      </c>
      <c r="F806">
        <v>20</v>
      </c>
      <c r="G806">
        <f t="shared" si="39"/>
        <v>3</v>
      </c>
      <c r="H806">
        <f>SUMIF(OrderDetailsCustomers!$M$2:$M$2158,A806,OrderDetailsCustomers!$W$2:$W$2158)</f>
        <v>1332</v>
      </c>
      <c r="J806">
        <f t="shared" si="37"/>
        <v>3</v>
      </c>
      <c r="K806">
        <f>SUMIF(OrderDetailsCustomers!$M$2:$M$2158,'Order Header'!A806,OrderDetailsCustomers!$W$2:$W$2158)</f>
        <v>1332</v>
      </c>
      <c r="L806" s="11">
        <f t="shared" si="38"/>
        <v>3</v>
      </c>
    </row>
    <row r="807" spans="1:12" x14ac:dyDescent="0.4">
      <c r="A807">
        <v>11053</v>
      </c>
      <c r="B807" s="4">
        <v>35212</v>
      </c>
      <c r="C807" t="s">
        <v>450</v>
      </c>
      <c r="D807" s="1" t="s">
        <v>766</v>
      </c>
      <c r="E807">
        <v>244.4</v>
      </c>
      <c r="F807">
        <v>20</v>
      </c>
      <c r="G807">
        <f t="shared" si="39"/>
        <v>4</v>
      </c>
      <c r="H807">
        <f>SUMIF(OrderDetailsCustomers!$M$2:$M$2158,A807,OrderDetailsCustomers!$W$2:$W$2158)</f>
        <v>3055</v>
      </c>
      <c r="J807">
        <f t="shared" si="37"/>
        <v>4</v>
      </c>
      <c r="K807">
        <f>SUMIF(OrderDetailsCustomers!$M$2:$M$2158,'Order Header'!A807,OrderDetailsCustomers!$W$2:$W$2158)</f>
        <v>3055</v>
      </c>
      <c r="L807" s="11">
        <f t="shared" si="38"/>
        <v>4</v>
      </c>
    </row>
    <row r="808" spans="1:12" x14ac:dyDescent="0.4">
      <c r="A808">
        <v>11054</v>
      </c>
      <c r="B808" s="4">
        <v>35213</v>
      </c>
      <c r="C808" t="s">
        <v>101</v>
      </c>
      <c r="D808" s="1" t="s">
        <v>778</v>
      </c>
      <c r="E808">
        <v>24.400000000000002</v>
      </c>
      <c r="F808">
        <v>10</v>
      </c>
      <c r="G808">
        <f t="shared" si="39"/>
        <v>2</v>
      </c>
      <c r="H808">
        <f>SUMIF(OrderDetailsCustomers!$M$2:$M$2158,A808,OrderDetailsCustomers!$W$2:$W$2158)</f>
        <v>305</v>
      </c>
      <c r="J808">
        <f t="shared" si="37"/>
        <v>2</v>
      </c>
      <c r="K808">
        <f>SUMIF(OrderDetailsCustomers!$M$2:$M$2158,'Order Header'!A808,OrderDetailsCustomers!$W$2:$W$2158)</f>
        <v>305</v>
      </c>
      <c r="L808" s="11">
        <f t="shared" si="38"/>
        <v>2</v>
      </c>
    </row>
    <row r="809" spans="1:12" x14ac:dyDescent="0.4">
      <c r="A809">
        <v>11055</v>
      </c>
      <c r="B809" s="4">
        <v>35213</v>
      </c>
      <c r="C809" t="s">
        <v>273</v>
      </c>
      <c r="D809" s="1" t="s">
        <v>771</v>
      </c>
      <c r="E809">
        <v>138.20000000000002</v>
      </c>
      <c r="F809">
        <v>20</v>
      </c>
      <c r="G809">
        <f t="shared" si="39"/>
        <v>3</v>
      </c>
      <c r="H809">
        <f>SUMIF(OrderDetailsCustomers!$M$2:$M$2158,A809,OrderDetailsCustomers!$W$2:$W$2158)</f>
        <v>1727.5</v>
      </c>
      <c r="J809">
        <f t="shared" si="37"/>
        <v>3</v>
      </c>
      <c r="K809">
        <f>SUMIF(OrderDetailsCustomers!$M$2:$M$2158,'Order Header'!A809,OrderDetailsCustomers!$W$2:$W$2158)</f>
        <v>1727.5</v>
      </c>
      <c r="L809" s="11">
        <f t="shared" si="38"/>
        <v>3</v>
      </c>
    </row>
    <row r="810" spans="1:12" x14ac:dyDescent="0.4">
      <c r="A810">
        <v>11056</v>
      </c>
      <c r="B810" s="4">
        <v>35213</v>
      </c>
      <c r="C810" t="s">
        <v>154</v>
      </c>
      <c r="D810" s="1" t="s">
        <v>766</v>
      </c>
      <c r="E810">
        <v>299.2</v>
      </c>
      <c r="F810">
        <v>20</v>
      </c>
      <c r="G810">
        <f t="shared" si="39"/>
        <v>5</v>
      </c>
      <c r="H810">
        <f>SUMIF(OrderDetailsCustomers!$M$2:$M$2158,A810,OrderDetailsCustomers!$W$2:$W$2158)</f>
        <v>3740</v>
      </c>
      <c r="J810">
        <f t="shared" si="37"/>
        <v>5</v>
      </c>
      <c r="K810">
        <f>SUMIF(OrderDetailsCustomers!$M$2:$M$2158,'Order Header'!A810,OrderDetailsCustomers!$W$2:$W$2158)</f>
        <v>3740</v>
      </c>
      <c r="L810" s="11">
        <f t="shared" si="38"/>
        <v>5</v>
      </c>
    </row>
    <row r="811" spans="1:12" x14ac:dyDescent="0.4">
      <c r="A811">
        <v>11057</v>
      </c>
      <c r="B811" s="4">
        <v>35214</v>
      </c>
      <c r="C811" t="s">
        <v>409</v>
      </c>
      <c r="D811" s="1" t="s">
        <v>773</v>
      </c>
      <c r="E811">
        <v>3.6</v>
      </c>
      <c r="F811">
        <v>10</v>
      </c>
      <c r="G811">
        <f t="shared" si="39"/>
        <v>1</v>
      </c>
      <c r="H811">
        <f>SUMIF(OrderDetailsCustomers!$M$2:$M$2158,A811,OrderDetailsCustomers!$W$2:$W$2158)</f>
        <v>45</v>
      </c>
      <c r="J811">
        <f t="shared" si="37"/>
        <v>1</v>
      </c>
      <c r="K811">
        <f>SUMIF(OrderDetailsCustomers!$M$2:$M$2158,'Order Header'!A811,OrderDetailsCustomers!$W$2:$W$2158)</f>
        <v>45</v>
      </c>
      <c r="L811" s="11">
        <f t="shared" si="38"/>
        <v>1</v>
      </c>
    </row>
    <row r="812" spans="1:12" x14ac:dyDescent="0.4">
      <c r="A812">
        <v>11058</v>
      </c>
      <c r="B812" s="4">
        <v>35214</v>
      </c>
      <c r="C812" t="s">
        <v>53</v>
      </c>
      <c r="D812" s="1" t="s">
        <v>779</v>
      </c>
      <c r="E812">
        <v>68.64</v>
      </c>
      <c r="F812">
        <v>15</v>
      </c>
      <c r="G812">
        <f t="shared" si="39"/>
        <v>3</v>
      </c>
      <c r="H812">
        <f>SUMIF(OrderDetailsCustomers!$M$2:$M$2158,A812,OrderDetailsCustomers!$W$2:$W$2158)</f>
        <v>858</v>
      </c>
      <c r="J812">
        <f t="shared" si="37"/>
        <v>3</v>
      </c>
      <c r="K812">
        <f>SUMIF(OrderDetailsCustomers!$M$2:$M$2158,'Order Header'!A812,OrderDetailsCustomers!$W$2:$W$2158)</f>
        <v>858</v>
      </c>
      <c r="L812" s="11">
        <f t="shared" si="38"/>
        <v>3</v>
      </c>
    </row>
    <row r="813" spans="1:12" x14ac:dyDescent="0.4">
      <c r="A813">
        <v>11059</v>
      </c>
      <c r="B813" s="4">
        <v>35214</v>
      </c>
      <c r="C813" t="s">
        <v>503</v>
      </c>
      <c r="D813" s="1" t="s">
        <v>775</v>
      </c>
      <c r="E813">
        <v>147.04</v>
      </c>
      <c r="F813">
        <v>20</v>
      </c>
      <c r="G813">
        <f t="shared" si="39"/>
        <v>3</v>
      </c>
      <c r="H813">
        <f>SUMIF(OrderDetailsCustomers!$M$2:$M$2158,A813,OrderDetailsCustomers!$W$2:$W$2158)</f>
        <v>1838</v>
      </c>
      <c r="J813">
        <f t="shared" si="37"/>
        <v>3</v>
      </c>
      <c r="K813">
        <f>SUMIF(OrderDetailsCustomers!$M$2:$M$2158,'Order Header'!A813,OrderDetailsCustomers!$W$2:$W$2158)</f>
        <v>1838</v>
      </c>
      <c r="L813" s="11">
        <f t="shared" si="38"/>
        <v>3</v>
      </c>
    </row>
    <row r="814" spans="1:12" x14ac:dyDescent="0.4">
      <c r="A814">
        <v>11060</v>
      </c>
      <c r="B814" s="4">
        <v>35215</v>
      </c>
      <c r="C814" t="s">
        <v>211</v>
      </c>
      <c r="D814" s="1" t="s">
        <v>775</v>
      </c>
      <c r="E814">
        <v>21.28</v>
      </c>
      <c r="F814">
        <v>10</v>
      </c>
      <c r="G814">
        <f t="shared" si="39"/>
        <v>2</v>
      </c>
      <c r="H814">
        <f>SUMIF(OrderDetailsCustomers!$M$2:$M$2158,A814,OrderDetailsCustomers!$W$2:$W$2158)</f>
        <v>266</v>
      </c>
      <c r="J814">
        <f t="shared" si="37"/>
        <v>2</v>
      </c>
      <c r="K814">
        <f>SUMIF(OrderDetailsCustomers!$M$2:$M$2158,'Order Header'!A814,OrderDetailsCustomers!$W$2:$W$2158)</f>
        <v>266</v>
      </c>
      <c r="L814" s="11">
        <f t="shared" si="38"/>
        <v>2</v>
      </c>
    </row>
    <row r="815" spans="1:12" x14ac:dyDescent="0.4">
      <c r="A815">
        <v>11061</v>
      </c>
      <c r="B815" s="4">
        <v>35215</v>
      </c>
      <c r="C815" t="s">
        <v>247</v>
      </c>
      <c r="D815" s="1" t="s">
        <v>778</v>
      </c>
      <c r="E815">
        <v>40.800000000000004</v>
      </c>
      <c r="F815">
        <v>15</v>
      </c>
      <c r="G815">
        <f t="shared" si="39"/>
        <v>2</v>
      </c>
      <c r="H815">
        <f>SUMIF(OrderDetailsCustomers!$M$2:$M$2158,A815,OrderDetailsCustomers!$W$2:$W$2158)</f>
        <v>510</v>
      </c>
      <c r="J815">
        <f t="shared" si="37"/>
        <v>2</v>
      </c>
      <c r="K815">
        <f>SUMIF(OrderDetailsCustomers!$M$2:$M$2158,'Order Header'!A815,OrderDetailsCustomers!$W$2:$W$2158)</f>
        <v>510</v>
      </c>
      <c r="L815" s="11">
        <f t="shared" si="38"/>
        <v>2</v>
      </c>
    </row>
    <row r="816" spans="1:12" x14ac:dyDescent="0.4">
      <c r="A816">
        <v>11062</v>
      </c>
      <c r="B816" s="4">
        <v>35215</v>
      </c>
      <c r="C816" t="s">
        <v>496</v>
      </c>
      <c r="D816" s="1" t="s">
        <v>779</v>
      </c>
      <c r="E816">
        <v>32.512</v>
      </c>
      <c r="F816">
        <v>10</v>
      </c>
      <c r="G816">
        <f t="shared" si="39"/>
        <v>2</v>
      </c>
      <c r="H816">
        <f>SUMIF(OrderDetailsCustomers!$M$2:$M$2158,A816,OrderDetailsCustomers!$W$2:$W$2158)</f>
        <v>406.40000000000003</v>
      </c>
      <c r="J816">
        <f t="shared" si="37"/>
        <v>2</v>
      </c>
      <c r="K816">
        <f>SUMIF(OrderDetailsCustomers!$M$2:$M$2158,'Order Header'!A816,OrderDetailsCustomers!$W$2:$W$2158)</f>
        <v>406.40000000000003</v>
      </c>
      <c r="L816" s="11">
        <f t="shared" si="38"/>
        <v>2</v>
      </c>
    </row>
    <row r="817" spans="1:12" x14ac:dyDescent="0.4">
      <c r="A817">
        <v>11063</v>
      </c>
      <c r="B817" s="4">
        <v>35215</v>
      </c>
      <c r="C817" t="s">
        <v>288</v>
      </c>
      <c r="D817" s="1" t="s">
        <v>781</v>
      </c>
      <c r="E817">
        <v>107.43600000000001</v>
      </c>
      <c r="F817">
        <v>20</v>
      </c>
      <c r="G817">
        <f t="shared" si="39"/>
        <v>3</v>
      </c>
      <c r="H817">
        <f>SUMIF(OrderDetailsCustomers!$M$2:$M$2158,A817,OrderDetailsCustomers!$W$2:$W$2158)</f>
        <v>1342.95</v>
      </c>
      <c r="J817">
        <f t="shared" si="37"/>
        <v>3</v>
      </c>
      <c r="K817">
        <f>SUMIF(OrderDetailsCustomers!$M$2:$M$2158,'Order Header'!A817,OrderDetailsCustomers!$W$2:$W$2158)</f>
        <v>1342.95</v>
      </c>
      <c r="L817" s="11">
        <f t="shared" si="38"/>
        <v>3</v>
      </c>
    </row>
    <row r="818" spans="1:12" x14ac:dyDescent="0.4">
      <c r="A818">
        <v>11064</v>
      </c>
      <c r="B818" s="4">
        <v>35216</v>
      </c>
      <c r="C818" t="s">
        <v>529</v>
      </c>
      <c r="D818" s="1" t="s">
        <v>780</v>
      </c>
      <c r="E818">
        <v>346.43200000000007</v>
      </c>
      <c r="F818">
        <v>20</v>
      </c>
      <c r="G818">
        <f t="shared" si="39"/>
        <v>5</v>
      </c>
      <c r="H818">
        <f>SUMIF(OrderDetailsCustomers!$M$2:$M$2158,A818,OrderDetailsCustomers!$W$2:$W$2158)</f>
        <v>4330.4000000000005</v>
      </c>
      <c r="J818">
        <f t="shared" si="37"/>
        <v>5</v>
      </c>
      <c r="K818">
        <f>SUMIF(OrderDetailsCustomers!$M$2:$M$2158,'Order Header'!A818,OrderDetailsCustomers!$W$2:$W$2158)</f>
        <v>4330.4000000000005</v>
      </c>
      <c r="L818" s="11">
        <f t="shared" si="38"/>
        <v>5</v>
      </c>
    </row>
    <row r="819" spans="1:12" x14ac:dyDescent="0.4">
      <c r="A819">
        <v>11065</v>
      </c>
      <c r="B819" s="4">
        <v>35216</v>
      </c>
      <c r="C819" t="s">
        <v>355</v>
      </c>
      <c r="D819" s="1" t="s">
        <v>779</v>
      </c>
      <c r="E819">
        <v>15.153600000000001</v>
      </c>
      <c r="F819">
        <v>10</v>
      </c>
      <c r="G819">
        <f t="shared" si="39"/>
        <v>2</v>
      </c>
      <c r="H819">
        <f>SUMIF(OrderDetailsCustomers!$M$2:$M$2158,A819,OrderDetailsCustomers!$W$2:$W$2158)</f>
        <v>189.42000000000002</v>
      </c>
      <c r="J819">
        <f t="shared" si="37"/>
        <v>2</v>
      </c>
      <c r="K819">
        <f>SUMIF(OrderDetailsCustomers!$M$2:$M$2158,'Order Header'!A819,OrderDetailsCustomers!$W$2:$W$2158)</f>
        <v>189.42000000000002</v>
      </c>
      <c r="L819" s="11">
        <f t="shared" si="38"/>
        <v>2</v>
      </c>
    </row>
    <row r="820" spans="1:12" x14ac:dyDescent="0.4">
      <c r="A820">
        <v>11066</v>
      </c>
      <c r="B820" s="4">
        <v>35216</v>
      </c>
      <c r="C820" t="s">
        <v>654</v>
      </c>
      <c r="D820" s="1" t="s">
        <v>776</v>
      </c>
      <c r="E820">
        <v>74.3</v>
      </c>
      <c r="F820">
        <v>15</v>
      </c>
      <c r="G820">
        <f t="shared" si="39"/>
        <v>3</v>
      </c>
      <c r="H820">
        <f>SUMIF(OrderDetailsCustomers!$M$2:$M$2158,A820,OrderDetailsCustomers!$W$2:$W$2158)</f>
        <v>928.75</v>
      </c>
      <c r="J820">
        <f t="shared" si="37"/>
        <v>3</v>
      </c>
      <c r="K820">
        <f>SUMIF(OrderDetailsCustomers!$M$2:$M$2158,'Order Header'!A820,OrderDetailsCustomers!$W$2:$W$2158)</f>
        <v>928.75</v>
      </c>
      <c r="L820" s="11">
        <f t="shared" si="38"/>
        <v>3</v>
      </c>
    </row>
    <row r="821" spans="1:12" x14ac:dyDescent="0.4">
      <c r="A821">
        <v>11067</v>
      </c>
      <c r="B821" s="4">
        <v>35219</v>
      </c>
      <c r="C821" t="s">
        <v>140</v>
      </c>
      <c r="D821" s="1" t="s">
        <v>781</v>
      </c>
      <c r="E821">
        <v>6.9480000000000004</v>
      </c>
      <c r="F821">
        <v>10</v>
      </c>
      <c r="G821">
        <f t="shared" si="39"/>
        <v>1</v>
      </c>
      <c r="H821">
        <f>SUMIF(OrderDetailsCustomers!$M$2:$M$2158,A821,OrderDetailsCustomers!$W$2:$W$2158)</f>
        <v>86.850000000000009</v>
      </c>
      <c r="J821">
        <f t="shared" si="37"/>
        <v>1</v>
      </c>
      <c r="K821">
        <f>SUMIF(OrderDetailsCustomers!$M$2:$M$2158,'Order Header'!A821,OrderDetailsCustomers!$W$2:$W$2158)</f>
        <v>86.850000000000009</v>
      </c>
      <c r="L821" s="11">
        <f t="shared" si="38"/>
        <v>1</v>
      </c>
    </row>
    <row r="822" spans="1:12" x14ac:dyDescent="0.4">
      <c r="A822">
        <v>11068</v>
      </c>
      <c r="B822" s="4">
        <v>35219</v>
      </c>
      <c r="C822" t="s">
        <v>469</v>
      </c>
      <c r="D822" s="1" t="s">
        <v>783</v>
      </c>
      <c r="E822">
        <v>162.16640000000001</v>
      </c>
      <c r="F822">
        <v>20</v>
      </c>
      <c r="G822">
        <f t="shared" si="39"/>
        <v>4</v>
      </c>
      <c r="H822">
        <f>SUMIF(OrderDetailsCustomers!$M$2:$M$2158,A822,OrderDetailsCustomers!$W$2:$W$2158)</f>
        <v>2027.08</v>
      </c>
      <c r="J822">
        <f t="shared" si="37"/>
        <v>4</v>
      </c>
      <c r="K822">
        <f>SUMIF(OrderDetailsCustomers!$M$2:$M$2158,'Order Header'!A822,OrderDetailsCustomers!$W$2:$W$2158)</f>
        <v>2027.08</v>
      </c>
      <c r="L822" s="11">
        <f t="shared" si="38"/>
        <v>4</v>
      </c>
    </row>
    <row r="823" spans="1:12" x14ac:dyDescent="0.4">
      <c r="A823">
        <v>11069</v>
      </c>
      <c r="B823" s="4">
        <v>35219</v>
      </c>
      <c r="C823" t="s">
        <v>593</v>
      </c>
      <c r="D823" s="1" t="s">
        <v>772</v>
      </c>
      <c r="E823">
        <v>28.8</v>
      </c>
      <c r="F823">
        <v>10</v>
      </c>
      <c r="G823">
        <f t="shared" si="39"/>
        <v>2</v>
      </c>
      <c r="H823">
        <f>SUMIF(OrderDetailsCustomers!$M$2:$M$2158,A823,OrderDetailsCustomers!$W$2:$W$2158)</f>
        <v>360</v>
      </c>
      <c r="J823">
        <f t="shared" si="37"/>
        <v>2</v>
      </c>
      <c r="K823">
        <f>SUMIF(OrderDetailsCustomers!$M$2:$M$2158,'Order Header'!A823,OrderDetailsCustomers!$W$2:$W$2158)</f>
        <v>360</v>
      </c>
      <c r="L823" s="11">
        <f t="shared" si="38"/>
        <v>2</v>
      </c>
    </row>
    <row r="824" spans="1:12" x14ac:dyDescent="0.4">
      <c r="A824">
        <v>11070</v>
      </c>
      <c r="B824" s="4">
        <v>35220</v>
      </c>
      <c r="C824" t="s">
        <v>341</v>
      </c>
      <c r="D824" s="1" t="s">
        <v>768</v>
      </c>
      <c r="E824">
        <v>130.398</v>
      </c>
      <c r="F824">
        <v>20</v>
      </c>
      <c r="G824">
        <f t="shared" si="39"/>
        <v>3</v>
      </c>
      <c r="H824">
        <f>SUMIF(OrderDetailsCustomers!$M$2:$M$2158,A824,OrderDetailsCustomers!$W$2:$W$2158)</f>
        <v>1629.9749999999999</v>
      </c>
      <c r="J824">
        <f t="shared" si="37"/>
        <v>3</v>
      </c>
      <c r="K824">
        <f>SUMIF(OrderDetailsCustomers!$M$2:$M$2158,'Order Header'!A824,OrderDetailsCustomers!$W$2:$W$2158)</f>
        <v>1629.9749999999999</v>
      </c>
      <c r="L824" s="11">
        <f t="shared" si="38"/>
        <v>3</v>
      </c>
    </row>
    <row r="825" spans="1:12" x14ac:dyDescent="0.4">
      <c r="A825">
        <v>11071</v>
      </c>
      <c r="B825" s="4">
        <v>35220</v>
      </c>
      <c r="C825" t="s">
        <v>355</v>
      </c>
      <c r="D825" s="1" t="s">
        <v>779</v>
      </c>
      <c r="E825">
        <v>38.76</v>
      </c>
      <c r="F825">
        <v>10</v>
      </c>
      <c r="G825">
        <f t="shared" si="39"/>
        <v>2</v>
      </c>
      <c r="H825">
        <f>SUMIF(OrderDetailsCustomers!$M$2:$M$2158,A825,OrderDetailsCustomers!$W$2:$W$2158)</f>
        <v>484.5</v>
      </c>
      <c r="J825">
        <f t="shared" si="37"/>
        <v>2</v>
      </c>
      <c r="K825">
        <f>SUMIF(OrderDetailsCustomers!$M$2:$M$2158,'Order Header'!A825,OrderDetailsCustomers!$W$2:$W$2158)</f>
        <v>484.5</v>
      </c>
      <c r="L825" s="11">
        <f t="shared" si="38"/>
        <v>2</v>
      </c>
    </row>
    <row r="826" spans="1:12" x14ac:dyDescent="0.4">
      <c r="A826">
        <v>11072</v>
      </c>
      <c r="B826" s="4">
        <v>35220</v>
      </c>
      <c r="C826" t="s">
        <v>161</v>
      </c>
      <c r="D826" s="1" t="s">
        <v>772</v>
      </c>
      <c r="E826">
        <v>417.44</v>
      </c>
      <c r="F826">
        <v>20</v>
      </c>
      <c r="G826">
        <f t="shared" si="39"/>
        <v>5</v>
      </c>
      <c r="H826">
        <f>SUMIF(OrderDetailsCustomers!$M$2:$M$2158,A826,OrderDetailsCustomers!$W$2:$W$2158)</f>
        <v>5218</v>
      </c>
      <c r="J826">
        <f t="shared" si="37"/>
        <v>5</v>
      </c>
      <c r="K826">
        <f>SUMIF(OrderDetailsCustomers!$M$2:$M$2158,'Order Header'!A826,OrderDetailsCustomers!$W$2:$W$2158)</f>
        <v>5218</v>
      </c>
      <c r="L826" s="11">
        <f t="shared" si="38"/>
        <v>5</v>
      </c>
    </row>
    <row r="827" spans="1:12" x14ac:dyDescent="0.4">
      <c r="A827">
        <v>11073</v>
      </c>
      <c r="B827" s="4">
        <v>35220</v>
      </c>
      <c r="C827" t="s">
        <v>444</v>
      </c>
      <c r="D827" s="1" t="s">
        <v>784</v>
      </c>
      <c r="E827">
        <v>24</v>
      </c>
      <c r="F827">
        <v>10</v>
      </c>
      <c r="G827">
        <f t="shared" si="39"/>
        <v>2</v>
      </c>
      <c r="H827">
        <f>SUMIF(OrderDetailsCustomers!$M$2:$M$2158,A827,OrderDetailsCustomers!$W$2:$W$2158)</f>
        <v>300</v>
      </c>
      <c r="J827">
        <f t="shared" si="37"/>
        <v>2</v>
      </c>
      <c r="K827">
        <f>SUMIF(OrderDetailsCustomers!$M$2:$M$2158,'Order Header'!A827,OrderDetailsCustomers!$W$2:$W$2158)</f>
        <v>300</v>
      </c>
      <c r="L827" s="11">
        <f t="shared" si="38"/>
        <v>2</v>
      </c>
    </row>
    <row r="828" spans="1:12" x14ac:dyDescent="0.4">
      <c r="A828">
        <v>11074</v>
      </c>
      <c r="B828" s="4">
        <v>35221</v>
      </c>
      <c r="C828" t="s">
        <v>543</v>
      </c>
      <c r="D828" s="1" t="s">
        <v>773</v>
      </c>
      <c r="E828">
        <v>18.566799999999997</v>
      </c>
      <c r="F828">
        <v>10</v>
      </c>
      <c r="G828">
        <f t="shared" si="39"/>
        <v>2</v>
      </c>
      <c r="H828">
        <f>SUMIF(OrderDetailsCustomers!$M$2:$M$2158,A828,OrderDetailsCustomers!$W$2:$W$2158)</f>
        <v>232.08499999999998</v>
      </c>
      <c r="J828">
        <f t="shared" si="37"/>
        <v>2</v>
      </c>
      <c r="K828">
        <f>SUMIF(OrderDetailsCustomers!$M$2:$M$2158,'Order Header'!A828,OrderDetailsCustomers!$W$2:$W$2158)</f>
        <v>232.08499999999998</v>
      </c>
      <c r="L828" s="11">
        <f t="shared" si="38"/>
        <v>2</v>
      </c>
    </row>
    <row r="829" spans="1:12" x14ac:dyDescent="0.4">
      <c r="A829">
        <v>11075</v>
      </c>
      <c r="B829" s="4">
        <v>35221</v>
      </c>
      <c r="C829" t="s">
        <v>509</v>
      </c>
      <c r="D829" s="1" t="s">
        <v>770</v>
      </c>
      <c r="E829">
        <v>39.848000000000006</v>
      </c>
      <c r="F829">
        <v>10</v>
      </c>
      <c r="G829">
        <f t="shared" si="39"/>
        <v>2</v>
      </c>
      <c r="H829">
        <f>SUMIF(OrderDetailsCustomers!$M$2:$M$2158,A829,OrderDetailsCustomers!$W$2:$W$2158)</f>
        <v>498.1</v>
      </c>
      <c r="J829">
        <f t="shared" si="37"/>
        <v>2</v>
      </c>
      <c r="K829">
        <f>SUMIF(OrderDetailsCustomers!$M$2:$M$2158,'Order Header'!A829,OrderDetailsCustomers!$W$2:$W$2158)</f>
        <v>498.1</v>
      </c>
      <c r="L829" s="11">
        <f t="shared" si="38"/>
        <v>2</v>
      </c>
    </row>
    <row r="830" spans="1:12" x14ac:dyDescent="0.4">
      <c r="A830">
        <v>11076</v>
      </c>
      <c r="B830" s="4">
        <v>35221</v>
      </c>
      <c r="C830" t="s">
        <v>77</v>
      </c>
      <c r="D830" s="1" t="s">
        <v>776</v>
      </c>
      <c r="E830">
        <v>63.42</v>
      </c>
      <c r="F830">
        <v>15</v>
      </c>
      <c r="G830">
        <f t="shared" si="39"/>
        <v>3</v>
      </c>
      <c r="H830">
        <f>SUMIF(OrderDetailsCustomers!$M$2:$M$2158,A830,OrderDetailsCustomers!$W$2:$W$2158)</f>
        <v>792.75</v>
      </c>
      <c r="J830">
        <f t="shared" si="37"/>
        <v>3</v>
      </c>
      <c r="K830">
        <f>SUMIF(OrderDetailsCustomers!$M$2:$M$2158,'Order Header'!A830,OrderDetailsCustomers!$W$2:$W$2158)</f>
        <v>792.75</v>
      </c>
      <c r="L830" s="11">
        <f t="shared" si="38"/>
        <v>3</v>
      </c>
    </row>
    <row r="831" spans="1:12" x14ac:dyDescent="0.4">
      <c r="A831">
        <v>11077</v>
      </c>
      <c r="B831" s="4">
        <v>35221</v>
      </c>
      <c r="C831" t="s">
        <v>487</v>
      </c>
      <c r="D831" s="1" t="s">
        <v>765</v>
      </c>
      <c r="E831">
        <v>100.45764000000001</v>
      </c>
      <c r="F831">
        <v>20</v>
      </c>
      <c r="G831">
        <f t="shared" si="39"/>
        <v>3</v>
      </c>
      <c r="H831">
        <f>SUMIF(OrderDetailsCustomers!$M$2:$M$2158,A831,OrderDetailsCustomers!$W$2:$W$2158)</f>
        <v>1255.7205000000001</v>
      </c>
      <c r="J831">
        <f t="shared" si="37"/>
        <v>3</v>
      </c>
      <c r="K831">
        <f>SUMIF(OrderDetailsCustomers!$M$2:$M$2158,'Order Header'!A831,OrderDetailsCustomers!$W$2:$W$2158)</f>
        <v>1255.7205000000001</v>
      </c>
      <c r="L831" s="11">
        <f t="shared" si="38"/>
        <v>3</v>
      </c>
    </row>
    <row r="832" spans="1:12" x14ac:dyDescent="0.4">
      <c r="A832">
        <v>11079</v>
      </c>
      <c r="B832" s="4">
        <v>36208</v>
      </c>
      <c r="C832" t="s">
        <v>60</v>
      </c>
      <c r="D832" s="1" t="s">
        <v>775</v>
      </c>
      <c r="E832">
        <v>10.144</v>
      </c>
      <c r="F832">
        <v>10</v>
      </c>
      <c r="G832">
        <f t="shared" si="39"/>
        <v>2</v>
      </c>
      <c r="H832">
        <f>SUMIF(OrderDetailsCustomers!$M$2:$M$2158,A832,OrderDetailsCustomers!$W$2:$W$2158)</f>
        <v>126.8</v>
      </c>
      <c r="J832">
        <f t="shared" si="37"/>
        <v>2</v>
      </c>
      <c r="K832">
        <f>SUMIF(OrderDetailsCustomers!$M$2:$M$2158,'Order Header'!A832,OrderDetailsCustomers!$W$2:$W$2158)</f>
        <v>126.8</v>
      </c>
      <c r="L832" s="11">
        <f t="shared" si="38"/>
        <v>2</v>
      </c>
    </row>
    <row r="833" spans="1:8" x14ac:dyDescent="0.4">
      <c r="A833" s="1"/>
      <c r="B833" s="1"/>
      <c r="C833" s="1"/>
      <c r="D833" s="1"/>
      <c r="F833" s="1"/>
      <c r="G833" s="1"/>
      <c r="H833" s="2"/>
    </row>
    <row r="834" spans="1:8" x14ac:dyDescent="0.4">
      <c r="A834" s="1"/>
      <c r="B834" s="1"/>
      <c r="C834" s="1"/>
      <c r="D834" s="1"/>
      <c r="F834" s="1"/>
      <c r="G834" s="1"/>
      <c r="H834" s="2"/>
    </row>
    <row r="835" spans="1:8" x14ac:dyDescent="0.4">
      <c r="A835" s="1"/>
      <c r="B835" s="1"/>
      <c r="C835" s="1"/>
      <c r="D835" s="1"/>
      <c r="F835" s="1"/>
      <c r="G835" s="1"/>
      <c r="H835" s="2"/>
    </row>
    <row r="836" spans="1:8" x14ac:dyDescent="0.4">
      <c r="A836" s="1"/>
      <c r="B836" s="1"/>
      <c r="C836" s="1"/>
      <c r="D836" s="1"/>
      <c r="F836" s="1"/>
      <c r="G836" s="1"/>
      <c r="H836" s="2"/>
    </row>
    <row r="837" spans="1:8" x14ac:dyDescent="0.4">
      <c r="A837" s="1"/>
      <c r="B837" s="1"/>
      <c r="C837" s="1"/>
      <c r="D837" s="1"/>
      <c r="F837" s="1"/>
      <c r="G837" s="1"/>
      <c r="H837" s="2"/>
    </row>
    <row r="838" spans="1:8" x14ac:dyDescent="0.4">
      <c r="A838" s="1"/>
      <c r="B838" s="1"/>
      <c r="C838" s="1"/>
      <c r="D838" s="1"/>
      <c r="F838" s="1"/>
      <c r="G838" s="1"/>
      <c r="H838" s="2"/>
    </row>
    <row r="839" spans="1:8" x14ac:dyDescent="0.4">
      <c r="A839" s="1"/>
      <c r="B839" s="1"/>
      <c r="C839" s="1"/>
      <c r="D839" s="1"/>
      <c r="F839" s="1"/>
      <c r="G839" s="1"/>
      <c r="H839" s="2"/>
    </row>
    <row r="840" spans="1:8" x14ac:dyDescent="0.4">
      <c r="A840" s="1"/>
      <c r="B840" s="1"/>
      <c r="C840" s="1"/>
      <c r="D840" s="1"/>
      <c r="F840" s="1"/>
      <c r="G840" s="1"/>
      <c r="H840" s="2"/>
    </row>
    <row r="841" spans="1:8" x14ac:dyDescent="0.4">
      <c r="A841" s="1"/>
      <c r="B841" s="1"/>
      <c r="C841" s="1"/>
      <c r="D841" s="1"/>
      <c r="F841" s="1"/>
      <c r="G841" s="1"/>
      <c r="H841" s="2"/>
    </row>
    <row r="842" spans="1:8" x14ac:dyDescent="0.4">
      <c r="A842" s="1"/>
      <c r="B842" s="1"/>
      <c r="C842" s="1"/>
      <c r="D842" s="1"/>
      <c r="F842" s="1"/>
      <c r="G842" s="1"/>
      <c r="H842" s="2"/>
    </row>
    <row r="843" spans="1:8" x14ac:dyDescent="0.4">
      <c r="A843" s="1"/>
      <c r="B843" s="1"/>
      <c r="C843" s="1"/>
      <c r="D843" s="1"/>
      <c r="F843" s="1"/>
      <c r="G843" s="1"/>
      <c r="H843" s="2"/>
    </row>
    <row r="844" spans="1:8" x14ac:dyDescent="0.4">
      <c r="A844" s="1"/>
      <c r="B844" s="1"/>
      <c r="C844" s="1"/>
      <c r="D844" s="1"/>
      <c r="F844" s="1"/>
      <c r="G844" s="1"/>
      <c r="H844" s="2"/>
    </row>
    <row r="845" spans="1:8" x14ac:dyDescent="0.4">
      <c r="A845" s="1"/>
      <c r="B845" s="1"/>
      <c r="C845" s="1"/>
      <c r="D845" s="1"/>
      <c r="F845" s="1"/>
      <c r="G845" s="1"/>
      <c r="H845" s="2"/>
    </row>
    <row r="846" spans="1:8" x14ac:dyDescent="0.4">
      <c r="A846" s="1"/>
      <c r="B846" s="1"/>
      <c r="C846" s="1"/>
      <c r="D846" s="1"/>
      <c r="F846" s="1"/>
      <c r="G846" s="1"/>
      <c r="H846" s="2"/>
    </row>
    <row r="847" spans="1:8" x14ac:dyDescent="0.4">
      <c r="A847" s="1"/>
      <c r="B847" s="1"/>
      <c r="C847" s="1"/>
      <c r="D847" s="1"/>
      <c r="F847" s="1"/>
      <c r="G847" s="1"/>
      <c r="H847" s="2"/>
    </row>
    <row r="848" spans="1:8" x14ac:dyDescent="0.4">
      <c r="A848" s="1"/>
      <c r="B848" s="1"/>
      <c r="C848" s="1"/>
      <c r="D848" s="1"/>
      <c r="F848" s="1"/>
      <c r="G848" s="1"/>
      <c r="H848" s="2"/>
    </row>
    <row r="849" spans="1:8" x14ac:dyDescent="0.4">
      <c r="A849" s="1"/>
      <c r="B849" s="1"/>
      <c r="C849" s="1"/>
      <c r="D849" s="1"/>
      <c r="F849" s="1"/>
      <c r="G849" s="1"/>
      <c r="H849" s="2"/>
    </row>
    <row r="850" spans="1:8" x14ac:dyDescent="0.4">
      <c r="A850" s="1"/>
      <c r="B850" s="1"/>
      <c r="C850" s="1"/>
      <c r="D850" s="1"/>
      <c r="F850" s="1"/>
      <c r="G850" s="1"/>
      <c r="H850" s="2"/>
    </row>
    <row r="851" spans="1:8" x14ac:dyDescent="0.4">
      <c r="A851" s="1"/>
      <c r="B851" s="1"/>
      <c r="C851" s="1"/>
      <c r="D851" s="1"/>
      <c r="F851" s="1"/>
      <c r="G851" s="1"/>
      <c r="H851" s="2"/>
    </row>
    <row r="852" spans="1:8" x14ac:dyDescent="0.4">
      <c r="A852" s="1"/>
      <c r="B852" s="1"/>
      <c r="C852" s="1"/>
      <c r="D852" s="1"/>
      <c r="F852" s="1"/>
      <c r="G852" s="1"/>
      <c r="H852" s="2"/>
    </row>
    <row r="853" spans="1:8" x14ac:dyDescent="0.4">
      <c r="A853" s="1"/>
      <c r="B853" s="1"/>
      <c r="C853" s="1"/>
      <c r="D853" s="1"/>
      <c r="F853" s="1"/>
      <c r="G853" s="1"/>
      <c r="H853" s="2"/>
    </row>
    <row r="854" spans="1:8" x14ac:dyDescent="0.4">
      <c r="A854" s="1"/>
      <c r="B854" s="1"/>
      <c r="C854" s="1"/>
      <c r="D854" s="1"/>
      <c r="F854" s="1"/>
      <c r="G854" s="1"/>
      <c r="H854" s="2"/>
    </row>
    <row r="855" spans="1:8" x14ac:dyDescent="0.4">
      <c r="A855" s="1"/>
      <c r="B855" s="1"/>
      <c r="C855" s="1"/>
      <c r="D855" s="1"/>
      <c r="F855" s="1"/>
      <c r="G855" s="1"/>
      <c r="H855" s="2"/>
    </row>
    <row r="856" spans="1:8" x14ac:dyDescent="0.4">
      <c r="A856" s="1"/>
      <c r="B856" s="1"/>
      <c r="C856" s="1"/>
      <c r="D856" s="1"/>
      <c r="F856" s="1"/>
      <c r="G856" s="1"/>
      <c r="H856" s="2"/>
    </row>
    <row r="857" spans="1:8" x14ac:dyDescent="0.4">
      <c r="A857" s="1"/>
      <c r="B857" s="1"/>
      <c r="C857" s="1"/>
      <c r="D857" s="1"/>
      <c r="F857" s="1"/>
      <c r="G857" s="1"/>
      <c r="H857" s="2"/>
    </row>
    <row r="858" spans="1:8" x14ac:dyDescent="0.4">
      <c r="A858" s="1"/>
      <c r="B858" s="1"/>
      <c r="C858" s="1"/>
      <c r="D858" s="1"/>
      <c r="F858" s="1"/>
      <c r="G858" s="1"/>
      <c r="H858" s="2"/>
    </row>
    <row r="859" spans="1:8" x14ac:dyDescent="0.4">
      <c r="A859" s="1"/>
      <c r="B859" s="1"/>
      <c r="C859" s="1"/>
      <c r="D859" s="1"/>
      <c r="F859" s="1"/>
      <c r="G859" s="1"/>
      <c r="H859" s="2"/>
    </row>
    <row r="860" spans="1:8" x14ac:dyDescent="0.4">
      <c r="A860" s="1"/>
      <c r="B860" s="1"/>
      <c r="C860" s="1"/>
      <c r="D860" s="1"/>
      <c r="F860" s="1"/>
      <c r="G860" s="1"/>
      <c r="H860" s="2"/>
    </row>
    <row r="861" spans="1:8" x14ac:dyDescent="0.4">
      <c r="A861" s="1"/>
      <c r="B861" s="1"/>
      <c r="C861" s="1"/>
      <c r="D861" s="1"/>
      <c r="F861" s="1"/>
      <c r="G861" s="1"/>
      <c r="H861" s="2"/>
    </row>
    <row r="862" spans="1:8" x14ac:dyDescent="0.4">
      <c r="A862" s="1"/>
      <c r="B862" s="1"/>
      <c r="C862" s="1"/>
      <c r="D862" s="1"/>
      <c r="F862" s="1"/>
      <c r="G862" s="1"/>
      <c r="H862" s="2"/>
    </row>
    <row r="863" spans="1:8" x14ac:dyDescent="0.4">
      <c r="A863" s="1"/>
      <c r="B863" s="1"/>
      <c r="C863" s="1"/>
      <c r="D863" s="1"/>
      <c r="F863" s="1"/>
      <c r="G863" s="1"/>
      <c r="H863" s="2"/>
    </row>
    <row r="864" spans="1:8" x14ac:dyDescent="0.4">
      <c r="A864" s="1"/>
      <c r="B864" s="1"/>
      <c r="C864" s="1"/>
      <c r="D864" s="1"/>
      <c r="F864" s="1"/>
      <c r="G864" s="1"/>
      <c r="H864" s="2"/>
    </row>
    <row r="865" spans="1:8" x14ac:dyDescent="0.4">
      <c r="A865" s="1"/>
      <c r="B865" s="1"/>
      <c r="C865" s="1"/>
      <c r="D865" s="1"/>
      <c r="F865" s="1"/>
      <c r="G865" s="1"/>
      <c r="H865" s="2"/>
    </row>
    <row r="866" spans="1:8" x14ac:dyDescent="0.4">
      <c r="A866" s="1"/>
      <c r="B866" s="1"/>
      <c r="C866" s="1"/>
      <c r="D866" s="1"/>
      <c r="F866" s="1"/>
      <c r="G866" s="1"/>
      <c r="H866" s="2"/>
    </row>
    <row r="867" spans="1:8" x14ac:dyDescent="0.4">
      <c r="A867" s="1"/>
      <c r="B867" s="1"/>
      <c r="C867" s="1"/>
      <c r="D867" s="1"/>
      <c r="F867" s="1"/>
      <c r="G867" s="1"/>
      <c r="H867" s="2"/>
    </row>
    <row r="868" spans="1:8" x14ac:dyDescent="0.4">
      <c r="A868" s="1"/>
      <c r="B868" s="1"/>
      <c r="C868" s="1"/>
      <c r="D868" s="1"/>
      <c r="F868" s="1"/>
      <c r="G868" s="1"/>
      <c r="H868" s="2"/>
    </row>
    <row r="869" spans="1:8" x14ac:dyDescent="0.4">
      <c r="A869" s="1"/>
      <c r="B869" s="1"/>
      <c r="C869" s="1"/>
      <c r="D869" s="1"/>
      <c r="F869" s="1"/>
      <c r="G869" s="1"/>
      <c r="H869" s="2"/>
    </row>
    <row r="870" spans="1:8" x14ac:dyDescent="0.4">
      <c r="A870" s="1"/>
      <c r="B870" s="1"/>
      <c r="C870" s="1"/>
      <c r="D870" s="1"/>
      <c r="F870" s="1"/>
      <c r="G870" s="1"/>
      <c r="H870" s="2"/>
    </row>
    <row r="871" spans="1:8" x14ac:dyDescent="0.4">
      <c r="A871" s="1"/>
      <c r="B871" s="1"/>
      <c r="C871" s="1"/>
      <c r="D871" s="1"/>
      <c r="F871" s="1"/>
      <c r="G871" s="1"/>
      <c r="H871" s="2"/>
    </row>
    <row r="872" spans="1:8" x14ac:dyDescent="0.4">
      <c r="A872" s="1"/>
      <c r="B872" s="1"/>
      <c r="C872" s="1"/>
      <c r="D872" s="1"/>
      <c r="F872" s="1"/>
      <c r="G872" s="1"/>
      <c r="H872" s="2"/>
    </row>
    <row r="873" spans="1:8" x14ac:dyDescent="0.4">
      <c r="A873" s="1"/>
      <c r="B873" s="1"/>
      <c r="C873" s="1"/>
      <c r="D873" s="1"/>
      <c r="F873" s="1"/>
      <c r="G873" s="1"/>
      <c r="H873" s="2"/>
    </row>
    <row r="874" spans="1:8" x14ac:dyDescent="0.4">
      <c r="A874" s="1"/>
      <c r="B874" s="1"/>
      <c r="C874" s="1"/>
      <c r="D874" s="1"/>
      <c r="F874" s="1"/>
      <c r="G874" s="1"/>
      <c r="H874" s="2"/>
    </row>
    <row r="875" spans="1:8" x14ac:dyDescent="0.4">
      <c r="A875" s="1"/>
      <c r="B875" s="1"/>
      <c r="C875" s="1"/>
      <c r="D875" s="1"/>
      <c r="F875" s="1"/>
      <c r="G875" s="1"/>
      <c r="H875" s="2"/>
    </row>
    <row r="876" spans="1:8" x14ac:dyDescent="0.4">
      <c r="A876" s="1"/>
      <c r="B876" s="1"/>
      <c r="C876" s="1"/>
      <c r="D876" s="1"/>
      <c r="F876" s="1"/>
      <c r="G876" s="1"/>
      <c r="H876" s="2"/>
    </row>
    <row r="877" spans="1:8" x14ac:dyDescent="0.4">
      <c r="A877" s="1"/>
      <c r="B877" s="1"/>
      <c r="C877" s="1"/>
      <c r="D877" s="1"/>
      <c r="F877" s="1"/>
      <c r="G877" s="1"/>
      <c r="H877" s="2"/>
    </row>
    <row r="878" spans="1:8" x14ac:dyDescent="0.4">
      <c r="A878" s="1"/>
      <c r="B878" s="1"/>
      <c r="C878" s="1"/>
      <c r="D878" s="1"/>
      <c r="F878" s="1"/>
      <c r="G878" s="1"/>
      <c r="H878" s="2"/>
    </row>
    <row r="879" spans="1:8" x14ac:dyDescent="0.4">
      <c r="A879" s="1"/>
      <c r="B879" s="1"/>
      <c r="C879" s="1"/>
      <c r="D879" s="1"/>
      <c r="F879" s="1"/>
      <c r="G879" s="1"/>
      <c r="H879" s="2"/>
    </row>
    <row r="880" spans="1:8" x14ac:dyDescent="0.4">
      <c r="A880" s="1"/>
      <c r="B880" s="1"/>
      <c r="C880" s="1"/>
      <c r="D880" s="1"/>
      <c r="F880" s="1"/>
      <c r="G880" s="1"/>
      <c r="H880" s="2"/>
    </row>
    <row r="881" spans="1:8" x14ac:dyDescent="0.4">
      <c r="A881" s="1"/>
      <c r="B881" s="1"/>
      <c r="C881" s="1"/>
      <c r="D881" s="1"/>
      <c r="F881" s="1"/>
      <c r="G881" s="1"/>
      <c r="H881" s="2"/>
    </row>
    <row r="882" spans="1:8" x14ac:dyDescent="0.4">
      <c r="A882" s="1"/>
      <c r="B882" s="1"/>
      <c r="C882" s="1"/>
      <c r="D882" s="1"/>
      <c r="F882" s="1"/>
      <c r="G882" s="1"/>
      <c r="H882" s="2"/>
    </row>
    <row r="883" spans="1:8" x14ac:dyDescent="0.4">
      <c r="A883" s="1"/>
      <c r="B883" s="1"/>
      <c r="C883" s="1"/>
      <c r="D883" s="1"/>
      <c r="F883" s="1"/>
      <c r="G883" s="1"/>
      <c r="H883" s="2"/>
    </row>
    <row r="884" spans="1:8" x14ac:dyDescent="0.4">
      <c r="A884" s="1"/>
      <c r="B884" s="1"/>
      <c r="C884" s="1"/>
      <c r="D884" s="1"/>
      <c r="F884" s="1"/>
      <c r="G884" s="1"/>
      <c r="H884" s="2"/>
    </row>
    <row r="885" spans="1:8" x14ac:dyDescent="0.4">
      <c r="A885" s="1"/>
      <c r="B885" s="1"/>
      <c r="C885" s="1"/>
      <c r="D885" s="1"/>
      <c r="F885" s="1"/>
      <c r="G885" s="1"/>
      <c r="H885" s="2"/>
    </row>
    <row r="886" spans="1:8" x14ac:dyDescent="0.4">
      <c r="A886" s="1"/>
      <c r="B886" s="1"/>
      <c r="C886" s="1"/>
      <c r="D886" s="1"/>
      <c r="F886" s="1"/>
      <c r="G886" s="1"/>
      <c r="H886" s="2"/>
    </row>
    <row r="887" spans="1:8" x14ac:dyDescent="0.4">
      <c r="A887" s="1"/>
      <c r="B887" s="1"/>
      <c r="C887" s="1"/>
      <c r="D887" s="1"/>
      <c r="F887" s="1"/>
      <c r="G887" s="1"/>
      <c r="H887" s="2"/>
    </row>
    <row r="888" spans="1:8" x14ac:dyDescent="0.4">
      <c r="A888" s="1"/>
      <c r="B888" s="1"/>
      <c r="C888" s="1"/>
      <c r="D888" s="1"/>
      <c r="F888" s="1"/>
      <c r="G888" s="1"/>
      <c r="H888" s="2"/>
    </row>
    <row r="889" spans="1:8" x14ac:dyDescent="0.4">
      <c r="A889" s="1"/>
      <c r="B889" s="1"/>
      <c r="C889" s="1"/>
      <c r="D889" s="1"/>
      <c r="F889" s="1"/>
      <c r="G889" s="1"/>
      <c r="H889" s="2"/>
    </row>
    <row r="890" spans="1:8" x14ac:dyDescent="0.4">
      <c r="A890" s="1"/>
      <c r="B890" s="1"/>
      <c r="C890" s="1"/>
      <c r="D890" s="1"/>
      <c r="F890" s="1"/>
      <c r="G890" s="1"/>
      <c r="H890" s="2"/>
    </row>
    <row r="891" spans="1:8" x14ac:dyDescent="0.4">
      <c r="A891" s="1"/>
      <c r="B891" s="1"/>
      <c r="C891" s="1"/>
      <c r="D891" s="1"/>
      <c r="F891" s="1"/>
      <c r="G891" s="1"/>
      <c r="H891" s="2"/>
    </row>
    <row r="892" spans="1:8" x14ac:dyDescent="0.4">
      <c r="A892" s="1"/>
      <c r="B892" s="1"/>
      <c r="C892" s="1"/>
      <c r="D892" s="1"/>
      <c r="F892" s="1"/>
      <c r="G892" s="1"/>
      <c r="H892" s="2"/>
    </row>
    <row r="893" spans="1:8" x14ac:dyDescent="0.4">
      <c r="A893" s="1"/>
      <c r="B893" s="1"/>
      <c r="C893" s="1"/>
      <c r="D893" s="1"/>
      <c r="F893" s="1"/>
      <c r="G893" s="1"/>
      <c r="H893" s="2"/>
    </row>
    <row r="894" spans="1:8" x14ac:dyDescent="0.4">
      <c r="A894" s="1"/>
      <c r="B894" s="1"/>
      <c r="C894" s="1"/>
      <c r="D894" s="1"/>
      <c r="F894" s="1"/>
      <c r="G894" s="1"/>
      <c r="H894" s="2"/>
    </row>
    <row r="895" spans="1:8" x14ac:dyDescent="0.4">
      <c r="A895" s="1"/>
      <c r="B895" s="1"/>
      <c r="C895" s="1"/>
      <c r="D895" s="1"/>
      <c r="F895" s="1"/>
      <c r="G895" s="1"/>
      <c r="H895" s="2"/>
    </row>
    <row r="896" spans="1:8" x14ac:dyDescent="0.4">
      <c r="A896" s="1"/>
      <c r="B896" s="1"/>
      <c r="C896" s="1"/>
      <c r="D896" s="1"/>
      <c r="F896" s="1"/>
      <c r="G896" s="1"/>
      <c r="H896" s="2"/>
    </row>
    <row r="897" spans="1:8" x14ac:dyDescent="0.4">
      <c r="A897" s="1"/>
      <c r="B897" s="1"/>
      <c r="C897" s="1"/>
      <c r="D897" s="1"/>
      <c r="F897" s="1"/>
      <c r="G897" s="1"/>
      <c r="H897" s="2"/>
    </row>
    <row r="898" spans="1:8" x14ac:dyDescent="0.4">
      <c r="A898" s="1"/>
      <c r="B898" s="1"/>
      <c r="C898" s="1"/>
      <c r="D898" s="1"/>
      <c r="F898" s="1"/>
      <c r="G898" s="1"/>
      <c r="H898" s="2"/>
    </row>
    <row r="899" spans="1:8" x14ac:dyDescent="0.4">
      <c r="A899" s="1"/>
      <c r="B899" s="1"/>
      <c r="C899" s="1"/>
      <c r="D899" s="1"/>
      <c r="F899" s="1"/>
      <c r="G899" s="1"/>
      <c r="H899" s="2"/>
    </row>
    <row r="900" spans="1:8" x14ac:dyDescent="0.4">
      <c r="A900" s="1"/>
      <c r="B900" s="1"/>
      <c r="C900" s="1"/>
      <c r="D900" s="1"/>
      <c r="F900" s="1"/>
      <c r="G900" s="1"/>
      <c r="H900" s="2"/>
    </row>
    <row r="901" spans="1:8" x14ac:dyDescent="0.4">
      <c r="A901" s="1"/>
      <c r="B901" s="1"/>
      <c r="C901" s="1"/>
      <c r="D901" s="1"/>
      <c r="F901" s="1"/>
      <c r="G901" s="1"/>
      <c r="H901" s="2"/>
    </row>
    <row r="902" spans="1:8" x14ac:dyDescent="0.4">
      <c r="A902" s="1"/>
      <c r="B902" s="1"/>
      <c r="C902" s="1"/>
      <c r="D902" s="1"/>
      <c r="F902" s="1"/>
      <c r="G902" s="1"/>
      <c r="H902" s="2"/>
    </row>
    <row r="903" spans="1:8" x14ac:dyDescent="0.4">
      <c r="A903" s="1"/>
      <c r="B903" s="1"/>
      <c r="C903" s="1"/>
      <c r="D903" s="1"/>
      <c r="F903" s="1"/>
      <c r="G903" s="1"/>
      <c r="H903" s="2"/>
    </row>
    <row r="904" spans="1:8" x14ac:dyDescent="0.4">
      <c r="A904" s="1"/>
      <c r="B904" s="1"/>
      <c r="C904" s="1"/>
      <c r="D904" s="1"/>
      <c r="F904" s="1"/>
      <c r="G904" s="1"/>
      <c r="H904" s="2"/>
    </row>
    <row r="905" spans="1:8" x14ac:dyDescent="0.4">
      <c r="A905" s="1"/>
      <c r="B905" s="1"/>
      <c r="C905" s="1"/>
      <c r="D905" s="1"/>
      <c r="F905" s="1"/>
      <c r="G905" s="1"/>
      <c r="H905" s="2"/>
    </row>
    <row r="906" spans="1:8" x14ac:dyDescent="0.4">
      <c r="A906" s="1"/>
      <c r="B906" s="1"/>
      <c r="C906" s="1"/>
      <c r="D906" s="1"/>
      <c r="F906" s="1"/>
      <c r="G906" s="1"/>
      <c r="H906" s="2"/>
    </row>
    <row r="907" spans="1:8" x14ac:dyDescent="0.4">
      <c r="A907" s="1"/>
      <c r="B907" s="1"/>
      <c r="C907" s="1"/>
      <c r="D907" s="1"/>
      <c r="F907" s="1"/>
      <c r="G907" s="1"/>
      <c r="H907" s="2"/>
    </row>
    <row r="908" spans="1:8" x14ac:dyDescent="0.4">
      <c r="A908" s="1"/>
      <c r="B908" s="1"/>
      <c r="C908" s="1"/>
      <c r="D908" s="1"/>
      <c r="F908" s="1"/>
      <c r="G908" s="1"/>
      <c r="H908" s="2"/>
    </row>
    <row r="909" spans="1:8" x14ac:dyDescent="0.4">
      <c r="A909" s="1"/>
      <c r="B909" s="1"/>
      <c r="C909" s="1"/>
      <c r="D909" s="1"/>
      <c r="F909" s="1"/>
      <c r="G909" s="1"/>
      <c r="H909" s="2"/>
    </row>
    <row r="910" spans="1:8" x14ac:dyDescent="0.4">
      <c r="A910" s="1"/>
      <c r="B910" s="1"/>
      <c r="C910" s="1"/>
      <c r="D910" s="1"/>
      <c r="F910" s="1"/>
      <c r="G910" s="1"/>
      <c r="H910" s="2"/>
    </row>
    <row r="911" spans="1:8" x14ac:dyDescent="0.4">
      <c r="A911" s="1"/>
      <c r="B911" s="1"/>
      <c r="C911" s="1"/>
      <c r="D911" s="1"/>
      <c r="F911" s="1"/>
      <c r="G911" s="1"/>
      <c r="H911" s="2"/>
    </row>
    <row r="912" spans="1:8" x14ac:dyDescent="0.4">
      <c r="A912" s="1"/>
      <c r="B912" s="1"/>
      <c r="C912" s="1"/>
      <c r="D912" s="1"/>
      <c r="F912" s="1"/>
      <c r="G912" s="1"/>
      <c r="H912" s="2"/>
    </row>
    <row r="913" spans="1:8" x14ac:dyDescent="0.4">
      <c r="A913" s="1"/>
      <c r="B913" s="1"/>
      <c r="C913" s="1"/>
      <c r="D913" s="1"/>
      <c r="F913" s="1"/>
      <c r="G913" s="1"/>
      <c r="H913" s="2"/>
    </row>
    <row r="914" spans="1:8" x14ac:dyDescent="0.4">
      <c r="A914" s="1"/>
      <c r="B914" s="1"/>
      <c r="C914" s="1"/>
      <c r="D914" s="1"/>
      <c r="F914" s="1"/>
      <c r="G914" s="1"/>
      <c r="H914" s="2"/>
    </row>
    <row r="915" spans="1:8" x14ac:dyDescent="0.4">
      <c r="A915" s="1"/>
      <c r="B915" s="1"/>
      <c r="C915" s="1"/>
      <c r="D915" s="1"/>
      <c r="F915" s="1"/>
      <c r="G915" s="1"/>
      <c r="H915" s="2"/>
    </row>
    <row r="916" spans="1:8" x14ac:dyDescent="0.4">
      <c r="A916" s="1"/>
      <c r="B916" s="1"/>
      <c r="C916" s="1"/>
      <c r="D916" s="1"/>
      <c r="F916" s="1"/>
      <c r="G916" s="1"/>
      <c r="H916" s="2"/>
    </row>
    <row r="917" spans="1:8" x14ac:dyDescent="0.4">
      <c r="A917" s="1"/>
      <c r="B917" s="1"/>
      <c r="C917" s="1"/>
      <c r="D917" s="1"/>
      <c r="F917" s="1"/>
      <c r="G917" s="1"/>
      <c r="H917" s="2"/>
    </row>
    <row r="918" spans="1:8" x14ac:dyDescent="0.4">
      <c r="A918" s="1"/>
      <c r="B918" s="1"/>
      <c r="C918" s="1"/>
      <c r="D918" s="1"/>
      <c r="F918" s="1"/>
      <c r="G918" s="1"/>
      <c r="H918" s="2"/>
    </row>
    <row r="919" spans="1:8" x14ac:dyDescent="0.4">
      <c r="A919" s="1"/>
      <c r="B919" s="1"/>
      <c r="C919" s="1"/>
      <c r="D919" s="1"/>
      <c r="F919" s="1"/>
      <c r="G919" s="1"/>
      <c r="H919" s="2"/>
    </row>
    <row r="920" spans="1:8" x14ac:dyDescent="0.4">
      <c r="A920" s="1"/>
      <c r="B920" s="1"/>
      <c r="C920" s="1"/>
      <c r="D920" s="1"/>
      <c r="F920" s="1"/>
      <c r="G920" s="1"/>
      <c r="H920" s="2"/>
    </row>
    <row r="921" spans="1:8" x14ac:dyDescent="0.4">
      <c r="A921" s="1"/>
      <c r="B921" s="1"/>
      <c r="C921" s="1"/>
      <c r="D921" s="1"/>
      <c r="F921" s="1"/>
      <c r="G921" s="1"/>
      <c r="H921" s="2"/>
    </row>
    <row r="922" spans="1:8" x14ac:dyDescent="0.4">
      <c r="A922" s="1"/>
      <c r="B922" s="1"/>
      <c r="C922" s="1"/>
      <c r="D922" s="1"/>
      <c r="F922" s="1"/>
      <c r="G922" s="1"/>
      <c r="H922" s="2"/>
    </row>
    <row r="923" spans="1:8" x14ac:dyDescent="0.4">
      <c r="A923" s="1"/>
      <c r="B923" s="1"/>
      <c r="C923" s="1"/>
      <c r="D923" s="1"/>
      <c r="F923" s="1"/>
      <c r="G923" s="1"/>
      <c r="H923" s="2"/>
    </row>
    <row r="924" spans="1:8" x14ac:dyDescent="0.4">
      <c r="A924" s="1"/>
      <c r="B924" s="1"/>
      <c r="C924" s="1"/>
      <c r="D924" s="1"/>
      <c r="F924" s="1"/>
      <c r="G924" s="1"/>
      <c r="H924" s="2"/>
    </row>
    <row r="925" spans="1:8" x14ac:dyDescent="0.4">
      <c r="A925" s="1"/>
      <c r="B925" s="1"/>
      <c r="C925" s="1"/>
      <c r="D925" s="1"/>
      <c r="F925" s="1"/>
      <c r="G925" s="1"/>
      <c r="H925" s="2"/>
    </row>
    <row r="926" spans="1:8" x14ac:dyDescent="0.4">
      <c r="A926" s="1"/>
      <c r="B926" s="1"/>
      <c r="C926" s="1"/>
      <c r="D926" s="1"/>
      <c r="F926" s="1"/>
      <c r="G926" s="1"/>
      <c r="H926" s="2"/>
    </row>
    <row r="927" spans="1:8" x14ac:dyDescent="0.4">
      <c r="A927" s="1"/>
      <c r="B927" s="1"/>
      <c r="C927" s="1"/>
      <c r="D927" s="1"/>
      <c r="F927" s="1"/>
      <c r="G927" s="1"/>
      <c r="H927" s="2"/>
    </row>
    <row r="928" spans="1:8" x14ac:dyDescent="0.4">
      <c r="A928" s="1"/>
      <c r="B928" s="1"/>
      <c r="C928" s="1"/>
      <c r="D928" s="1"/>
      <c r="F928" s="1"/>
      <c r="G928" s="1"/>
      <c r="H928" s="2"/>
    </row>
    <row r="929" spans="1:8" x14ac:dyDescent="0.4">
      <c r="A929" s="1"/>
      <c r="B929" s="1"/>
      <c r="C929" s="1"/>
      <c r="D929" s="1"/>
      <c r="F929" s="1"/>
      <c r="G929" s="1"/>
      <c r="H929" s="2"/>
    </row>
    <row r="930" spans="1:8" x14ac:dyDescent="0.4">
      <c r="A930" s="1"/>
      <c r="B930" s="1"/>
      <c r="C930" s="1"/>
      <c r="D930" s="1"/>
      <c r="F930" s="1"/>
      <c r="G930" s="1"/>
      <c r="H930" s="2"/>
    </row>
    <row r="931" spans="1:8" x14ac:dyDescent="0.4">
      <c r="A931" s="1"/>
      <c r="B931" s="1"/>
      <c r="C931" s="1"/>
      <c r="D931" s="1"/>
      <c r="F931" s="1"/>
      <c r="G931" s="1"/>
      <c r="H931" s="2"/>
    </row>
    <row r="932" spans="1:8" x14ac:dyDescent="0.4">
      <c r="A932" s="1"/>
      <c r="B932" s="1"/>
      <c r="C932" s="1"/>
      <c r="D932" s="1"/>
      <c r="F932" s="1"/>
      <c r="G932" s="1"/>
      <c r="H932" s="2"/>
    </row>
    <row r="933" spans="1:8" x14ac:dyDescent="0.4">
      <c r="A933" s="1"/>
      <c r="B933" s="1"/>
      <c r="C933" s="1"/>
      <c r="D933" s="1"/>
      <c r="F933" s="1"/>
      <c r="G933" s="1"/>
      <c r="H933" s="2"/>
    </row>
    <row r="934" spans="1:8" x14ac:dyDescent="0.4">
      <c r="A934" s="1"/>
      <c r="B934" s="1"/>
      <c r="C934" s="1"/>
      <c r="D934" s="1"/>
      <c r="F934" s="1"/>
      <c r="G934" s="1"/>
      <c r="H934" s="2"/>
    </row>
    <row r="935" spans="1:8" x14ac:dyDescent="0.4">
      <c r="A935" s="1"/>
      <c r="B935" s="1"/>
      <c r="C935" s="1"/>
      <c r="D935" s="1"/>
      <c r="F935" s="1"/>
      <c r="G935" s="1"/>
      <c r="H935" s="2"/>
    </row>
    <row r="936" spans="1:8" x14ac:dyDescent="0.4">
      <c r="A936" s="1"/>
      <c r="B936" s="1"/>
      <c r="C936" s="1"/>
      <c r="D936" s="1"/>
      <c r="F936" s="1"/>
      <c r="G936" s="1"/>
      <c r="H936" s="2"/>
    </row>
    <row r="937" spans="1:8" x14ac:dyDescent="0.4">
      <c r="A937" s="1"/>
      <c r="B937" s="1"/>
      <c r="C937" s="1"/>
      <c r="D937" s="1"/>
      <c r="F937" s="1"/>
      <c r="G937" s="1"/>
      <c r="H937" s="2"/>
    </row>
    <row r="938" spans="1:8" x14ac:dyDescent="0.4">
      <c r="A938" s="1"/>
      <c r="B938" s="1"/>
      <c r="C938" s="1"/>
      <c r="D938" s="1"/>
      <c r="F938" s="1"/>
      <c r="G938" s="1"/>
      <c r="H938" s="2"/>
    </row>
    <row r="939" spans="1:8" x14ac:dyDescent="0.4">
      <c r="A939" s="1"/>
      <c r="B939" s="1"/>
      <c r="C939" s="1"/>
      <c r="D939" s="1"/>
      <c r="F939" s="1"/>
      <c r="G939" s="1"/>
      <c r="H939" s="2"/>
    </row>
    <row r="940" spans="1:8" x14ac:dyDescent="0.4">
      <c r="A940" s="1"/>
      <c r="B940" s="1"/>
      <c r="C940" s="1"/>
      <c r="D940" s="1"/>
      <c r="F940" s="1"/>
      <c r="G940" s="1"/>
      <c r="H940" s="2"/>
    </row>
    <row r="941" spans="1:8" x14ac:dyDescent="0.4">
      <c r="A941" s="1"/>
      <c r="B941" s="1"/>
      <c r="C941" s="1"/>
      <c r="D941" s="1"/>
      <c r="F941" s="1"/>
      <c r="G941" s="1"/>
      <c r="H941" s="2"/>
    </row>
    <row r="942" spans="1:8" x14ac:dyDescent="0.4">
      <c r="A942" s="1"/>
      <c r="B942" s="1"/>
      <c r="C942" s="1"/>
      <c r="D942" s="1"/>
      <c r="F942" s="1"/>
      <c r="G942" s="1"/>
      <c r="H942" s="2"/>
    </row>
    <row r="943" spans="1:8" x14ac:dyDescent="0.4">
      <c r="A943" s="1"/>
      <c r="B943" s="1"/>
      <c r="C943" s="1"/>
      <c r="D943" s="1"/>
      <c r="F943" s="1"/>
      <c r="G943" s="1"/>
      <c r="H943" s="2"/>
    </row>
    <row r="944" spans="1:8" x14ac:dyDescent="0.4">
      <c r="A944" s="1"/>
      <c r="B944" s="1"/>
      <c r="C944" s="1"/>
      <c r="D944" s="1"/>
      <c r="F944" s="1"/>
      <c r="G944" s="1"/>
      <c r="H944" s="2"/>
    </row>
    <row r="945" spans="1:8" x14ac:dyDescent="0.4">
      <c r="A945" s="1"/>
      <c r="B945" s="1"/>
      <c r="C945" s="1"/>
      <c r="D945" s="1"/>
      <c r="F945" s="1"/>
      <c r="G945" s="1"/>
      <c r="H945" s="2"/>
    </row>
    <row r="946" spans="1:8" x14ac:dyDescent="0.4">
      <c r="A946" s="1"/>
      <c r="B946" s="1"/>
      <c r="C946" s="1"/>
      <c r="D946" s="1"/>
      <c r="F946" s="1"/>
      <c r="G946" s="1"/>
      <c r="H946" s="2"/>
    </row>
    <row r="947" spans="1:8" x14ac:dyDescent="0.4">
      <c r="A947" s="1"/>
      <c r="B947" s="1"/>
      <c r="C947" s="1"/>
      <c r="D947" s="1"/>
      <c r="F947" s="1"/>
      <c r="G947" s="1"/>
      <c r="H947" s="2"/>
    </row>
    <row r="948" spans="1:8" x14ac:dyDescent="0.4">
      <c r="A948" s="1"/>
      <c r="B948" s="1"/>
      <c r="C948" s="1"/>
      <c r="D948" s="1"/>
      <c r="F948" s="1"/>
      <c r="G948" s="1"/>
      <c r="H948" s="2"/>
    </row>
    <row r="949" spans="1:8" x14ac:dyDescent="0.4">
      <c r="A949" s="1"/>
      <c r="B949" s="1"/>
      <c r="C949" s="1"/>
      <c r="D949" s="1"/>
      <c r="F949" s="1"/>
      <c r="G949" s="1"/>
      <c r="H949" s="2"/>
    </row>
    <row r="950" spans="1:8" x14ac:dyDescent="0.4">
      <c r="A950" s="1"/>
      <c r="B950" s="1"/>
      <c r="C950" s="1"/>
      <c r="D950" s="1"/>
      <c r="F950" s="1"/>
      <c r="G950" s="1"/>
      <c r="H950" s="2"/>
    </row>
    <row r="951" spans="1:8" x14ac:dyDescent="0.4">
      <c r="A951" s="1"/>
      <c r="B951" s="1"/>
      <c r="C951" s="1"/>
      <c r="D951" s="1"/>
      <c r="F951" s="1"/>
      <c r="G951" s="1"/>
      <c r="H951" s="2"/>
    </row>
    <row r="952" spans="1:8" x14ac:dyDescent="0.4">
      <c r="A952" s="1"/>
      <c r="B952" s="1"/>
      <c r="C952" s="1"/>
      <c r="D952" s="1"/>
      <c r="F952" s="1"/>
      <c r="G952" s="1"/>
      <c r="H952" s="2"/>
    </row>
    <row r="953" spans="1:8" x14ac:dyDescent="0.4">
      <c r="A953" s="1"/>
      <c r="B953" s="1"/>
      <c r="C953" s="1"/>
      <c r="D953" s="1"/>
      <c r="F953" s="1"/>
      <c r="G953" s="1"/>
      <c r="H953" s="2"/>
    </row>
    <row r="954" spans="1:8" x14ac:dyDescent="0.4">
      <c r="A954" s="1"/>
      <c r="B954" s="1"/>
      <c r="C954" s="1"/>
      <c r="D954" s="1"/>
      <c r="F954" s="1"/>
      <c r="G954" s="1"/>
      <c r="H954" s="2"/>
    </row>
    <row r="955" spans="1:8" x14ac:dyDescent="0.4">
      <c r="A955" s="1"/>
      <c r="B955" s="1"/>
      <c r="C955" s="1"/>
      <c r="D955" s="1"/>
      <c r="F955" s="1"/>
      <c r="G955" s="1"/>
      <c r="H955" s="2"/>
    </row>
    <row r="956" spans="1:8" x14ac:dyDescent="0.4">
      <c r="A956" s="1"/>
      <c r="B956" s="1"/>
      <c r="C956" s="1"/>
      <c r="D956" s="1"/>
      <c r="F956" s="1"/>
      <c r="G956" s="1"/>
      <c r="H956" s="2"/>
    </row>
    <row r="957" spans="1:8" x14ac:dyDescent="0.4">
      <c r="A957" s="1"/>
      <c r="B957" s="1"/>
      <c r="C957" s="1"/>
      <c r="D957" s="1"/>
      <c r="F957" s="1"/>
      <c r="G957" s="1"/>
      <c r="H957" s="2"/>
    </row>
    <row r="958" spans="1:8" x14ac:dyDescent="0.4">
      <c r="A958" s="1"/>
      <c r="B958" s="1"/>
      <c r="C958" s="1"/>
      <c r="D958" s="1"/>
      <c r="F958" s="1"/>
      <c r="G958" s="1"/>
      <c r="H958" s="2"/>
    </row>
    <row r="959" spans="1:8" x14ac:dyDescent="0.4">
      <c r="A959" s="1"/>
      <c r="B959" s="1"/>
      <c r="C959" s="1"/>
      <c r="D959" s="1"/>
      <c r="F959" s="1"/>
      <c r="G959" s="1"/>
      <c r="H959" s="2"/>
    </row>
    <row r="960" spans="1:8" x14ac:dyDescent="0.4">
      <c r="A960" s="1"/>
      <c r="B960" s="1"/>
      <c r="C960" s="1"/>
      <c r="D960" s="1"/>
      <c r="F960" s="1"/>
      <c r="G960" s="1"/>
      <c r="H960" s="2"/>
    </row>
    <row r="961" spans="1:8" x14ac:dyDescent="0.4">
      <c r="A961" s="1"/>
      <c r="B961" s="1"/>
      <c r="C961" s="1"/>
      <c r="D961" s="1"/>
      <c r="F961" s="1"/>
      <c r="G961" s="1"/>
      <c r="H961" s="2"/>
    </row>
    <row r="962" spans="1:8" x14ac:dyDescent="0.4">
      <c r="A962" s="1"/>
      <c r="B962" s="1"/>
      <c r="C962" s="1"/>
      <c r="D962" s="1"/>
      <c r="F962" s="1"/>
      <c r="G962" s="1"/>
      <c r="H962" s="2"/>
    </row>
    <row r="963" spans="1:8" x14ac:dyDescent="0.4">
      <c r="A963" s="1"/>
      <c r="B963" s="1"/>
      <c r="C963" s="1"/>
      <c r="D963" s="1"/>
      <c r="F963" s="1"/>
      <c r="G963" s="1"/>
      <c r="H963" s="2"/>
    </row>
    <row r="964" spans="1:8" x14ac:dyDescent="0.4">
      <c r="A964" s="1"/>
      <c r="B964" s="1"/>
      <c r="C964" s="1"/>
      <c r="D964" s="1"/>
      <c r="F964" s="1"/>
      <c r="G964" s="1"/>
      <c r="H964" s="2"/>
    </row>
    <row r="965" spans="1:8" x14ac:dyDescent="0.4">
      <c r="A965" s="1"/>
      <c r="B965" s="1"/>
      <c r="C965" s="1"/>
      <c r="D965" s="1"/>
      <c r="F965" s="1"/>
      <c r="G965" s="1"/>
      <c r="H965" s="2"/>
    </row>
    <row r="966" spans="1:8" x14ac:dyDescent="0.4">
      <c r="A966" s="1"/>
      <c r="B966" s="1"/>
      <c r="C966" s="1"/>
      <c r="D966" s="1"/>
      <c r="F966" s="1"/>
      <c r="G966" s="1"/>
      <c r="H966" s="2"/>
    </row>
    <row r="967" spans="1:8" x14ac:dyDescent="0.4">
      <c r="A967" s="1"/>
      <c r="B967" s="1"/>
      <c r="C967" s="1"/>
      <c r="D967" s="1"/>
      <c r="F967" s="1"/>
      <c r="G967" s="1"/>
      <c r="H967" s="2"/>
    </row>
    <row r="968" spans="1:8" x14ac:dyDescent="0.4">
      <c r="A968" s="1"/>
      <c r="B968" s="1"/>
      <c r="C968" s="1"/>
      <c r="D968" s="1"/>
      <c r="F968" s="1"/>
      <c r="G968" s="1"/>
      <c r="H968" s="2"/>
    </row>
    <row r="969" spans="1:8" x14ac:dyDescent="0.4">
      <c r="A969" s="1"/>
      <c r="B969" s="1"/>
      <c r="C969" s="1"/>
      <c r="D969" s="1"/>
      <c r="F969" s="1"/>
      <c r="G969" s="1"/>
      <c r="H969" s="2"/>
    </row>
    <row r="970" spans="1:8" x14ac:dyDescent="0.4">
      <c r="A970" s="1"/>
      <c r="B970" s="1"/>
      <c r="C970" s="1"/>
      <c r="D970" s="1"/>
      <c r="F970" s="1"/>
      <c r="G970" s="1"/>
      <c r="H970" s="2"/>
    </row>
    <row r="971" spans="1:8" x14ac:dyDescent="0.4">
      <c r="A971" s="1"/>
      <c r="B971" s="1"/>
      <c r="C971" s="1"/>
      <c r="D971" s="1"/>
      <c r="F971" s="1"/>
      <c r="G971" s="1"/>
      <c r="H971" s="2"/>
    </row>
    <row r="972" spans="1:8" x14ac:dyDescent="0.4">
      <c r="A972" s="1"/>
      <c r="B972" s="1"/>
      <c r="C972" s="1"/>
      <c r="D972" s="1"/>
      <c r="F972" s="1"/>
      <c r="G972" s="1"/>
      <c r="H972" s="2"/>
    </row>
    <row r="973" spans="1:8" x14ac:dyDescent="0.4">
      <c r="A973" s="1"/>
      <c r="B973" s="1"/>
      <c r="C973" s="1"/>
      <c r="D973" s="1"/>
      <c r="F973" s="1"/>
      <c r="G973" s="1"/>
      <c r="H973" s="2"/>
    </row>
    <row r="974" spans="1:8" x14ac:dyDescent="0.4">
      <c r="A974" s="1"/>
      <c r="B974" s="1"/>
      <c r="C974" s="1"/>
      <c r="D974" s="1"/>
      <c r="F974" s="1"/>
      <c r="G974" s="1"/>
      <c r="H974" s="2"/>
    </row>
    <row r="975" spans="1:8" x14ac:dyDescent="0.4">
      <c r="A975" s="1"/>
      <c r="B975" s="1"/>
      <c r="C975" s="1"/>
      <c r="D975" s="1"/>
      <c r="F975" s="1"/>
      <c r="G975" s="1"/>
      <c r="H975" s="2"/>
    </row>
    <row r="976" spans="1:8" x14ac:dyDescent="0.4">
      <c r="A976" s="1"/>
      <c r="B976" s="1"/>
      <c r="C976" s="1"/>
      <c r="D976" s="1"/>
      <c r="F976" s="1"/>
      <c r="G976" s="1"/>
      <c r="H976" s="2"/>
    </row>
    <row r="977" spans="1:8" x14ac:dyDescent="0.4">
      <c r="A977" s="1"/>
      <c r="B977" s="1"/>
      <c r="C977" s="1"/>
      <c r="D977" s="1"/>
      <c r="F977" s="1"/>
      <c r="G977" s="1"/>
      <c r="H977" s="2"/>
    </row>
    <row r="978" spans="1:8" x14ac:dyDescent="0.4">
      <c r="A978" s="1"/>
      <c r="B978" s="1"/>
      <c r="C978" s="1"/>
      <c r="D978" s="1"/>
      <c r="F978" s="1"/>
      <c r="G978" s="1"/>
      <c r="H978" s="2"/>
    </row>
    <row r="979" spans="1:8" x14ac:dyDescent="0.4">
      <c r="A979" s="1"/>
      <c r="B979" s="1"/>
      <c r="C979" s="1"/>
      <c r="D979" s="1"/>
      <c r="F979" s="1"/>
      <c r="G979" s="1"/>
      <c r="H979" s="2"/>
    </row>
    <row r="980" spans="1:8" x14ac:dyDescent="0.4">
      <c r="A980" s="1"/>
      <c r="B980" s="1"/>
      <c r="C980" s="1"/>
      <c r="D980" s="1"/>
      <c r="F980" s="1"/>
      <c r="G980" s="1"/>
      <c r="H980" s="2"/>
    </row>
    <row r="981" spans="1:8" x14ac:dyDescent="0.4">
      <c r="A981" s="1"/>
      <c r="B981" s="1"/>
      <c r="C981" s="1"/>
      <c r="D981" s="1"/>
      <c r="F981" s="1"/>
      <c r="G981" s="1"/>
      <c r="H981" s="2"/>
    </row>
    <row r="982" spans="1:8" x14ac:dyDescent="0.4">
      <c r="A982" s="1"/>
      <c r="B982" s="1"/>
      <c r="C982" s="1"/>
      <c r="D982" s="1"/>
      <c r="F982" s="1"/>
      <c r="G982" s="1"/>
      <c r="H982" s="2"/>
    </row>
    <row r="983" spans="1:8" x14ac:dyDescent="0.4">
      <c r="A983" s="1"/>
      <c r="B983" s="1"/>
      <c r="C983" s="1"/>
      <c r="D983" s="1"/>
      <c r="F983" s="1"/>
      <c r="G983" s="1"/>
      <c r="H983" s="2"/>
    </row>
    <row r="984" spans="1:8" x14ac:dyDescent="0.4">
      <c r="A984" s="1"/>
      <c r="B984" s="1"/>
      <c r="C984" s="1"/>
      <c r="D984" s="1"/>
      <c r="F984" s="1"/>
      <c r="G984" s="1"/>
      <c r="H984" s="2"/>
    </row>
    <row r="985" spans="1:8" x14ac:dyDescent="0.4">
      <c r="A985" s="1"/>
      <c r="B985" s="1"/>
      <c r="C985" s="1"/>
      <c r="D985" s="1"/>
      <c r="F985" s="1"/>
      <c r="G985" s="1"/>
      <c r="H985" s="2"/>
    </row>
    <row r="986" spans="1:8" x14ac:dyDescent="0.4">
      <c r="A986" s="1"/>
      <c r="B986" s="1"/>
      <c r="C986" s="1"/>
      <c r="D986" s="1"/>
      <c r="F986" s="1"/>
      <c r="G986" s="1"/>
      <c r="H986" s="2"/>
    </row>
    <row r="987" spans="1:8" x14ac:dyDescent="0.4">
      <c r="A987" s="1"/>
      <c r="B987" s="1"/>
      <c r="C987" s="1"/>
      <c r="D987" s="1"/>
      <c r="F987" s="1"/>
      <c r="G987" s="1"/>
      <c r="H987" s="2"/>
    </row>
    <row r="988" spans="1:8" x14ac:dyDescent="0.4">
      <c r="A988" s="1"/>
      <c r="B988" s="1"/>
      <c r="C988" s="1"/>
      <c r="D988" s="1"/>
      <c r="F988" s="1"/>
      <c r="G988" s="1"/>
      <c r="H988" s="2"/>
    </row>
    <row r="989" spans="1:8" x14ac:dyDescent="0.4">
      <c r="A989" s="1"/>
      <c r="B989" s="1"/>
      <c r="C989" s="1"/>
      <c r="D989" s="1"/>
      <c r="F989" s="1"/>
      <c r="G989" s="1"/>
      <c r="H989" s="2"/>
    </row>
    <row r="990" spans="1:8" x14ac:dyDescent="0.4">
      <c r="A990" s="1"/>
      <c r="B990" s="1"/>
      <c r="C990" s="1"/>
      <c r="D990" s="1"/>
      <c r="F990" s="1"/>
      <c r="G990" s="1"/>
      <c r="H990" s="2"/>
    </row>
    <row r="991" spans="1:8" x14ac:dyDescent="0.4">
      <c r="A991" s="1"/>
      <c r="B991" s="1"/>
      <c r="C991" s="1"/>
      <c r="D991" s="1"/>
      <c r="F991" s="1"/>
      <c r="G991" s="1"/>
      <c r="H991" s="2"/>
    </row>
    <row r="992" spans="1:8" x14ac:dyDescent="0.4">
      <c r="A992" s="1"/>
      <c r="B992" s="1"/>
      <c r="C992" s="1"/>
      <c r="D992" s="1"/>
      <c r="F992" s="1"/>
      <c r="G992" s="1"/>
      <c r="H992" s="2"/>
    </row>
    <row r="993" spans="1:8" x14ac:dyDescent="0.4">
      <c r="A993" s="1"/>
      <c r="B993" s="1"/>
      <c r="C993" s="1"/>
      <c r="D993" s="1"/>
      <c r="F993" s="1"/>
      <c r="G993" s="1"/>
      <c r="H993" s="2"/>
    </row>
    <row r="994" spans="1:8" x14ac:dyDescent="0.4">
      <c r="A994" s="1"/>
      <c r="B994" s="1"/>
      <c r="C994" s="1"/>
      <c r="D994" s="1"/>
      <c r="F994" s="1"/>
      <c r="G994" s="1"/>
      <c r="H994" s="2"/>
    </row>
    <row r="995" spans="1:8" x14ac:dyDescent="0.4">
      <c r="A995" s="1"/>
      <c r="B995" s="1"/>
      <c r="C995" s="1"/>
      <c r="D995" s="1"/>
      <c r="F995" s="1"/>
      <c r="G995" s="1"/>
      <c r="H995" s="2"/>
    </row>
    <row r="996" spans="1:8" x14ac:dyDescent="0.4">
      <c r="A996" s="1"/>
      <c r="B996" s="1"/>
      <c r="C996" s="1"/>
      <c r="D996" s="1"/>
      <c r="F996" s="1"/>
      <c r="G996" s="1"/>
      <c r="H996" s="2"/>
    </row>
    <row r="997" spans="1:8" x14ac:dyDescent="0.4">
      <c r="A997" s="1"/>
      <c r="B997" s="1"/>
      <c r="C997" s="1"/>
      <c r="D997" s="1"/>
      <c r="F997" s="1"/>
      <c r="G997" s="1"/>
      <c r="H997" s="2"/>
    </row>
    <row r="998" spans="1:8" x14ac:dyDescent="0.4">
      <c r="A998" s="1"/>
      <c r="B998" s="1"/>
      <c r="C998" s="1"/>
      <c r="D998" s="1"/>
      <c r="F998" s="1"/>
      <c r="G998" s="1"/>
      <c r="H998" s="2"/>
    </row>
    <row r="999" spans="1:8" x14ac:dyDescent="0.4">
      <c r="A999" s="1"/>
      <c r="B999" s="1"/>
      <c r="C999" s="1"/>
      <c r="D999" s="1"/>
      <c r="F999" s="1"/>
      <c r="G999" s="1"/>
      <c r="H999" s="2"/>
    </row>
    <row r="1000" spans="1:8" x14ac:dyDescent="0.4">
      <c r="A1000" s="1"/>
      <c r="B1000" s="1"/>
      <c r="C1000" s="1"/>
      <c r="D1000" s="1"/>
      <c r="F1000" s="1"/>
      <c r="G1000" s="1"/>
      <c r="H1000" s="2"/>
    </row>
    <row r="1001" spans="1:8" x14ac:dyDescent="0.4">
      <c r="A1001" s="1"/>
      <c r="B1001" s="1"/>
      <c r="C1001" s="1"/>
      <c r="D1001" s="1"/>
      <c r="F1001" s="1"/>
      <c r="G1001" s="1"/>
      <c r="H1001" s="2"/>
    </row>
    <row r="1002" spans="1:8" x14ac:dyDescent="0.4">
      <c r="A1002" s="1"/>
      <c r="B1002" s="1"/>
      <c r="C1002" s="1"/>
      <c r="D1002" s="1"/>
      <c r="F1002" s="1"/>
      <c r="G1002" s="1"/>
      <c r="H1002" s="2"/>
    </row>
    <row r="1003" spans="1:8" x14ac:dyDescent="0.4">
      <c r="A1003" s="1"/>
      <c r="B1003" s="1"/>
      <c r="C1003" s="1"/>
      <c r="D1003" s="1"/>
      <c r="F1003" s="1"/>
      <c r="G1003" s="1"/>
      <c r="H1003" s="2"/>
    </row>
    <row r="1004" spans="1:8" x14ac:dyDescent="0.4">
      <c r="A1004" s="1"/>
      <c r="B1004" s="1"/>
      <c r="C1004" s="1"/>
      <c r="D1004" s="1"/>
      <c r="F1004" s="1"/>
      <c r="G1004" s="1"/>
      <c r="H1004" s="2"/>
    </row>
    <row r="1005" spans="1:8" x14ac:dyDescent="0.4">
      <c r="A1005" s="1"/>
      <c r="B1005" s="1"/>
      <c r="C1005" s="1"/>
      <c r="D1005" s="1"/>
      <c r="F1005" s="1"/>
      <c r="G1005" s="1"/>
      <c r="H1005" s="2"/>
    </row>
    <row r="1006" spans="1:8" x14ac:dyDescent="0.4">
      <c r="A1006" s="1"/>
      <c r="B1006" s="1"/>
      <c r="C1006" s="1"/>
      <c r="D1006" s="1"/>
      <c r="F1006" s="1"/>
      <c r="G1006" s="1"/>
      <c r="H1006" s="2"/>
    </row>
    <row r="1007" spans="1:8" x14ac:dyDescent="0.4">
      <c r="A1007" s="1"/>
      <c r="B1007" s="1"/>
      <c r="C1007" s="1"/>
      <c r="D1007" s="1"/>
      <c r="F1007" s="1"/>
      <c r="G1007" s="1"/>
      <c r="H1007" s="2"/>
    </row>
    <row r="1008" spans="1:8" x14ac:dyDescent="0.4">
      <c r="A1008" s="1"/>
      <c r="B1008" s="1"/>
      <c r="C1008" s="1"/>
      <c r="D1008" s="1"/>
      <c r="F1008" s="1"/>
      <c r="G1008" s="1"/>
      <c r="H1008" s="2"/>
    </row>
    <row r="1009" spans="1:8" x14ac:dyDescent="0.4">
      <c r="A1009" s="1"/>
      <c r="B1009" s="1"/>
      <c r="C1009" s="1"/>
      <c r="D1009" s="1"/>
      <c r="F1009" s="1"/>
      <c r="G1009" s="1"/>
      <c r="H1009" s="2"/>
    </row>
    <row r="1010" spans="1:8" x14ac:dyDescent="0.4">
      <c r="A1010" s="1"/>
      <c r="B1010" s="1"/>
      <c r="C1010" s="1"/>
      <c r="D1010" s="1"/>
      <c r="F1010" s="1"/>
      <c r="G1010" s="1"/>
      <c r="H1010" s="2"/>
    </row>
    <row r="1011" spans="1:8" x14ac:dyDescent="0.4">
      <c r="A1011" s="1"/>
      <c r="B1011" s="1"/>
      <c r="C1011" s="1"/>
      <c r="D1011" s="1"/>
      <c r="F1011" s="1"/>
      <c r="G1011" s="1"/>
      <c r="H1011" s="2"/>
    </row>
    <row r="1012" spans="1:8" x14ac:dyDescent="0.4">
      <c r="A1012" s="1"/>
      <c r="B1012" s="1"/>
      <c r="C1012" s="1"/>
      <c r="D1012" s="1"/>
      <c r="F1012" s="1"/>
      <c r="G1012" s="1"/>
      <c r="H1012" s="2"/>
    </row>
    <row r="1013" spans="1:8" x14ac:dyDescent="0.4">
      <c r="A1013" s="1"/>
      <c r="B1013" s="1"/>
      <c r="C1013" s="1"/>
      <c r="D1013" s="1"/>
      <c r="F1013" s="1"/>
      <c r="G1013" s="1"/>
      <c r="H1013" s="2"/>
    </row>
    <row r="1014" spans="1:8" x14ac:dyDescent="0.4">
      <c r="A1014" s="1"/>
      <c r="B1014" s="1"/>
      <c r="C1014" s="1"/>
      <c r="D1014" s="1"/>
      <c r="F1014" s="1"/>
      <c r="G1014" s="1"/>
      <c r="H1014" s="2"/>
    </row>
    <row r="1015" spans="1:8" x14ac:dyDescent="0.4">
      <c r="A1015" s="1"/>
      <c r="B1015" s="1"/>
      <c r="C1015" s="1"/>
      <c r="D1015" s="1"/>
      <c r="F1015" s="1"/>
      <c r="G1015" s="1"/>
      <c r="H1015" s="2"/>
    </row>
    <row r="1016" spans="1:8" x14ac:dyDescent="0.4">
      <c r="A1016" s="1"/>
      <c r="B1016" s="1"/>
      <c r="C1016" s="1"/>
      <c r="D1016" s="1"/>
      <c r="F1016" s="1"/>
      <c r="G1016" s="1"/>
      <c r="H1016" s="2"/>
    </row>
    <row r="1017" spans="1:8" x14ac:dyDescent="0.4">
      <c r="A1017" s="1"/>
      <c r="B1017" s="1"/>
      <c r="C1017" s="1"/>
      <c r="D1017" s="1"/>
      <c r="F1017" s="1"/>
      <c r="G1017" s="1"/>
      <c r="H1017" s="2"/>
    </row>
    <row r="1018" spans="1:8" x14ac:dyDescent="0.4">
      <c r="A1018" s="1"/>
      <c r="B1018" s="1"/>
      <c r="C1018" s="1"/>
      <c r="D1018" s="1"/>
      <c r="F1018" s="1"/>
      <c r="G1018" s="1"/>
      <c r="H1018" s="2"/>
    </row>
    <row r="1019" spans="1:8" x14ac:dyDescent="0.4">
      <c r="A1019" s="1"/>
      <c r="B1019" s="1"/>
      <c r="C1019" s="1"/>
      <c r="D1019" s="1"/>
      <c r="F1019" s="1"/>
      <c r="G1019" s="1"/>
      <c r="H1019" s="2"/>
    </row>
    <row r="1020" spans="1:8" x14ac:dyDescent="0.4">
      <c r="A1020" s="1"/>
      <c r="B1020" s="1"/>
      <c r="C1020" s="1"/>
      <c r="D1020" s="1"/>
      <c r="F1020" s="1"/>
      <c r="G1020" s="1"/>
      <c r="H1020" s="2"/>
    </row>
    <row r="1021" spans="1:8" x14ac:dyDescent="0.4">
      <c r="A1021" s="1"/>
      <c r="B1021" s="1"/>
      <c r="C1021" s="1"/>
      <c r="D1021" s="1"/>
      <c r="F1021" s="1"/>
      <c r="G1021" s="1"/>
      <c r="H1021" s="2"/>
    </row>
    <row r="1022" spans="1:8" x14ac:dyDescent="0.4">
      <c r="A1022" s="1"/>
      <c r="B1022" s="1"/>
      <c r="C1022" s="1"/>
      <c r="D1022" s="1"/>
      <c r="F1022" s="1"/>
      <c r="G1022" s="1"/>
      <c r="H1022" s="2"/>
    </row>
    <row r="1023" spans="1:8" x14ac:dyDescent="0.4">
      <c r="A1023" s="1"/>
      <c r="B1023" s="1"/>
      <c r="C1023" s="1"/>
      <c r="D1023" s="1"/>
      <c r="F1023" s="1"/>
      <c r="G1023" s="1"/>
      <c r="H1023" s="2"/>
    </row>
    <row r="1024" spans="1:8" x14ac:dyDescent="0.4">
      <c r="A1024" s="1"/>
      <c r="B1024" s="1"/>
      <c r="C1024" s="1"/>
      <c r="D1024" s="1"/>
      <c r="F1024" s="1"/>
      <c r="G1024" s="1"/>
      <c r="H1024" s="2"/>
    </row>
    <row r="1025" spans="1:8" x14ac:dyDescent="0.4">
      <c r="A1025" s="1"/>
      <c r="B1025" s="1"/>
      <c r="C1025" s="1"/>
      <c r="D1025" s="1"/>
      <c r="F1025" s="1"/>
      <c r="G1025" s="1"/>
      <c r="H1025" s="2"/>
    </row>
    <row r="1026" spans="1:8" x14ac:dyDescent="0.4">
      <c r="A1026" s="1"/>
      <c r="B1026" s="1"/>
      <c r="C1026" s="1"/>
      <c r="D1026" s="1"/>
      <c r="F1026" s="1"/>
      <c r="G1026" s="1"/>
      <c r="H1026" s="2"/>
    </row>
    <row r="1027" spans="1:8" x14ac:dyDescent="0.4">
      <c r="A1027" s="1"/>
      <c r="B1027" s="1"/>
      <c r="C1027" s="1"/>
      <c r="D1027" s="1"/>
      <c r="F1027" s="1"/>
      <c r="G1027" s="1"/>
      <c r="H1027" s="2"/>
    </row>
    <row r="1028" spans="1:8" x14ac:dyDescent="0.4">
      <c r="A1028" s="1"/>
      <c r="B1028" s="1"/>
      <c r="C1028" s="1"/>
      <c r="D1028" s="1"/>
      <c r="F1028" s="1"/>
      <c r="G1028" s="1"/>
      <c r="H1028" s="2"/>
    </row>
    <row r="1029" spans="1:8" x14ac:dyDescent="0.4">
      <c r="A1029" s="1"/>
      <c r="B1029" s="1"/>
      <c r="C1029" s="1"/>
      <c r="D1029" s="1"/>
      <c r="F1029" s="1"/>
      <c r="G1029" s="1"/>
      <c r="H1029" s="2"/>
    </row>
    <row r="1030" spans="1:8" x14ac:dyDescent="0.4">
      <c r="A1030" s="1"/>
      <c r="B1030" s="1"/>
      <c r="C1030" s="1"/>
      <c r="D1030" s="1"/>
      <c r="F1030" s="1"/>
      <c r="G1030" s="1"/>
      <c r="H1030" s="2"/>
    </row>
    <row r="1031" spans="1:8" x14ac:dyDescent="0.4">
      <c r="A1031" s="1"/>
      <c r="B1031" s="1"/>
      <c r="C1031" s="1"/>
      <c r="D1031" s="1"/>
      <c r="F1031" s="1"/>
      <c r="G1031" s="1"/>
      <c r="H1031" s="2"/>
    </row>
    <row r="1032" spans="1:8" x14ac:dyDescent="0.4">
      <c r="A1032" s="1"/>
      <c r="B1032" s="1"/>
      <c r="C1032" s="1"/>
      <c r="D1032" s="1"/>
      <c r="F1032" s="1"/>
      <c r="G1032" s="1"/>
      <c r="H1032" s="2"/>
    </row>
    <row r="1033" spans="1:8" x14ac:dyDescent="0.4">
      <c r="A1033" s="1"/>
      <c r="B1033" s="1"/>
      <c r="C1033" s="1"/>
      <c r="D1033" s="1"/>
      <c r="F1033" s="1"/>
      <c r="G1033" s="1"/>
      <c r="H1033" s="2"/>
    </row>
    <row r="1034" spans="1:8" x14ac:dyDescent="0.4">
      <c r="A1034" s="1"/>
      <c r="B1034" s="1"/>
      <c r="C1034" s="1"/>
      <c r="D1034" s="1"/>
      <c r="F1034" s="1"/>
      <c r="G1034" s="1"/>
      <c r="H1034" s="2"/>
    </row>
    <row r="1035" spans="1:8" x14ac:dyDescent="0.4">
      <c r="A1035" s="1"/>
      <c r="B1035" s="1"/>
      <c r="C1035" s="1"/>
      <c r="D1035" s="1"/>
      <c r="F1035" s="1"/>
      <c r="G1035" s="1"/>
      <c r="H1035" s="2"/>
    </row>
    <row r="1036" spans="1:8" x14ac:dyDescent="0.4">
      <c r="A1036" s="1"/>
      <c r="B1036" s="1"/>
      <c r="C1036" s="1"/>
      <c r="D1036" s="1"/>
      <c r="F1036" s="1"/>
      <c r="G1036" s="1"/>
      <c r="H1036" s="2"/>
    </row>
    <row r="1037" spans="1:8" x14ac:dyDescent="0.4">
      <c r="A1037" s="1"/>
      <c r="B1037" s="1"/>
      <c r="C1037" s="1"/>
      <c r="D1037" s="1"/>
      <c r="F1037" s="1"/>
      <c r="G1037" s="1"/>
      <c r="H1037" s="2"/>
    </row>
    <row r="1038" spans="1:8" x14ac:dyDescent="0.4">
      <c r="A1038" s="1"/>
      <c r="B1038" s="1"/>
      <c r="C1038" s="1"/>
      <c r="D1038" s="1"/>
      <c r="F1038" s="1"/>
      <c r="G1038" s="1"/>
      <c r="H1038" s="2"/>
    </row>
    <row r="1039" spans="1:8" x14ac:dyDescent="0.4">
      <c r="A1039" s="1"/>
      <c r="B1039" s="1"/>
      <c r="C1039" s="1"/>
      <c r="D1039" s="1"/>
      <c r="F1039" s="1"/>
      <c r="G1039" s="1"/>
      <c r="H1039" s="2"/>
    </row>
    <row r="1040" spans="1:8" x14ac:dyDescent="0.4">
      <c r="A1040" s="1"/>
      <c r="B1040" s="1"/>
      <c r="C1040" s="1"/>
      <c r="D1040" s="1"/>
      <c r="F1040" s="1"/>
      <c r="G1040" s="1"/>
      <c r="H1040" s="2"/>
    </row>
    <row r="1041" spans="1:8" x14ac:dyDescent="0.4">
      <c r="A1041" s="1"/>
      <c r="B1041" s="1"/>
      <c r="C1041" s="1"/>
      <c r="D1041" s="1"/>
      <c r="F1041" s="1"/>
      <c r="G1041" s="1"/>
      <c r="H1041" s="2"/>
    </row>
    <row r="1042" spans="1:8" x14ac:dyDescent="0.4">
      <c r="A1042" s="1"/>
      <c r="B1042" s="1"/>
      <c r="C1042" s="1"/>
      <c r="D1042" s="1"/>
      <c r="F1042" s="1"/>
      <c r="G1042" s="1"/>
      <c r="H1042" s="2"/>
    </row>
    <row r="1043" spans="1:8" x14ac:dyDescent="0.4">
      <c r="A1043" s="1"/>
      <c r="B1043" s="1"/>
      <c r="C1043" s="1"/>
      <c r="D1043" s="1"/>
      <c r="F1043" s="1"/>
      <c r="G1043" s="1"/>
      <c r="H1043" s="2"/>
    </row>
    <row r="1044" spans="1:8" x14ac:dyDescent="0.4">
      <c r="A1044" s="1"/>
      <c r="B1044" s="1"/>
      <c r="C1044" s="1"/>
      <c r="D1044" s="1"/>
      <c r="F1044" s="1"/>
      <c r="G1044" s="1"/>
      <c r="H1044" s="2"/>
    </row>
    <row r="1045" spans="1:8" x14ac:dyDescent="0.4">
      <c r="A1045" s="1"/>
      <c r="B1045" s="1"/>
      <c r="C1045" s="1"/>
      <c r="D1045" s="1"/>
      <c r="F1045" s="1"/>
      <c r="G1045" s="1"/>
      <c r="H1045" s="2"/>
    </row>
    <row r="1046" spans="1:8" x14ac:dyDescent="0.4">
      <c r="A1046" s="1"/>
      <c r="B1046" s="1"/>
      <c r="C1046" s="1"/>
      <c r="D1046" s="1"/>
      <c r="F1046" s="1"/>
      <c r="G1046" s="1"/>
      <c r="H1046" s="2"/>
    </row>
    <row r="1047" spans="1:8" x14ac:dyDescent="0.4">
      <c r="A1047" s="1"/>
      <c r="B1047" s="1"/>
      <c r="C1047" s="1"/>
      <c r="D1047" s="1"/>
      <c r="F1047" s="1"/>
      <c r="G1047" s="1"/>
      <c r="H1047" s="2"/>
    </row>
    <row r="1048" spans="1:8" x14ac:dyDescent="0.4">
      <c r="A1048" s="1"/>
      <c r="B1048" s="1"/>
      <c r="C1048" s="1"/>
      <c r="D1048" s="1"/>
      <c r="F1048" s="1"/>
      <c r="G1048" s="1"/>
      <c r="H1048" s="2"/>
    </row>
    <row r="1049" spans="1:8" x14ac:dyDescent="0.4">
      <c r="A1049" s="1"/>
      <c r="B1049" s="1"/>
      <c r="C1049" s="1"/>
      <c r="D1049" s="1"/>
      <c r="F1049" s="1"/>
      <c r="G1049" s="1"/>
      <c r="H1049" s="2"/>
    </row>
    <row r="1050" spans="1:8" x14ac:dyDescent="0.4">
      <c r="A1050" s="1"/>
      <c r="B1050" s="1"/>
      <c r="C1050" s="1"/>
      <c r="D1050" s="1"/>
      <c r="F1050" s="1"/>
      <c r="G1050" s="1"/>
      <c r="H1050" s="2"/>
    </row>
    <row r="1051" spans="1:8" x14ac:dyDescent="0.4">
      <c r="A1051" s="1"/>
      <c r="B1051" s="1"/>
      <c r="C1051" s="1"/>
      <c r="D1051" s="1"/>
      <c r="F1051" s="1"/>
      <c r="G1051" s="1"/>
      <c r="H1051" s="2"/>
    </row>
    <row r="1052" spans="1:8" x14ac:dyDescent="0.4">
      <c r="A1052" s="1"/>
      <c r="B1052" s="1"/>
      <c r="C1052" s="1"/>
      <c r="D1052" s="1"/>
      <c r="F1052" s="1"/>
      <c r="G1052" s="1"/>
      <c r="H1052" s="2"/>
    </row>
    <row r="1053" spans="1:8" x14ac:dyDescent="0.4">
      <c r="A1053" s="1"/>
      <c r="B1053" s="1"/>
      <c r="C1053" s="1"/>
      <c r="D1053" s="1"/>
      <c r="F1053" s="1"/>
      <c r="G1053" s="1"/>
      <c r="H1053" s="2"/>
    </row>
    <row r="1054" spans="1:8" x14ac:dyDescent="0.4">
      <c r="A1054" s="1"/>
      <c r="B1054" s="1"/>
      <c r="C1054" s="1"/>
      <c r="D1054" s="1"/>
      <c r="F1054" s="1"/>
      <c r="G1054" s="1"/>
      <c r="H1054" s="2"/>
    </row>
    <row r="1055" spans="1:8" x14ac:dyDescent="0.4">
      <c r="A1055" s="1"/>
      <c r="B1055" s="1"/>
      <c r="C1055" s="1"/>
      <c r="D1055" s="1"/>
      <c r="F1055" s="1"/>
      <c r="G1055" s="1"/>
      <c r="H1055" s="2"/>
    </row>
    <row r="1056" spans="1:8" x14ac:dyDescent="0.4">
      <c r="A1056" s="1"/>
      <c r="B1056" s="1"/>
      <c r="C1056" s="1"/>
      <c r="D1056" s="1"/>
      <c r="F1056" s="1"/>
      <c r="G1056" s="1"/>
      <c r="H1056" s="2"/>
    </row>
    <row r="1057" spans="1:8" x14ac:dyDescent="0.4">
      <c r="A1057" s="1"/>
      <c r="B1057" s="1"/>
      <c r="C1057" s="1"/>
      <c r="D1057" s="1"/>
      <c r="F1057" s="1"/>
      <c r="G1057" s="1"/>
      <c r="H1057" s="2"/>
    </row>
    <row r="1058" spans="1:8" x14ac:dyDescent="0.4">
      <c r="A1058" s="1"/>
      <c r="B1058" s="1"/>
      <c r="C1058" s="1"/>
      <c r="D1058" s="1"/>
      <c r="F1058" s="1"/>
      <c r="G1058" s="1"/>
      <c r="H1058" s="2"/>
    </row>
    <row r="1059" spans="1:8" x14ac:dyDescent="0.4">
      <c r="A1059" s="1"/>
      <c r="B1059" s="1"/>
      <c r="C1059" s="1"/>
      <c r="D1059" s="1"/>
      <c r="F1059" s="1"/>
      <c r="G1059" s="1"/>
      <c r="H1059" s="2"/>
    </row>
    <row r="1060" spans="1:8" x14ac:dyDescent="0.4">
      <c r="A1060" s="1"/>
      <c r="B1060" s="1"/>
      <c r="C1060" s="1"/>
      <c r="D1060" s="1"/>
      <c r="F1060" s="1"/>
      <c r="G1060" s="1"/>
      <c r="H1060" s="2"/>
    </row>
    <row r="1061" spans="1:8" x14ac:dyDescent="0.4">
      <c r="A1061" s="1"/>
      <c r="B1061" s="1"/>
      <c r="C1061" s="1"/>
      <c r="D1061" s="1"/>
      <c r="F1061" s="1"/>
      <c r="G1061" s="1"/>
      <c r="H1061" s="2"/>
    </row>
    <row r="1062" spans="1:8" x14ac:dyDescent="0.4">
      <c r="A1062" s="1"/>
      <c r="B1062" s="1"/>
      <c r="C1062" s="1"/>
      <c r="D1062" s="1"/>
      <c r="F1062" s="1"/>
      <c r="G1062" s="1"/>
      <c r="H1062" s="2"/>
    </row>
    <row r="1063" spans="1:8" x14ac:dyDescent="0.4">
      <c r="A1063" s="1"/>
      <c r="B1063" s="1"/>
      <c r="C1063" s="1"/>
      <c r="D1063" s="1"/>
      <c r="F1063" s="1"/>
      <c r="G1063" s="1"/>
      <c r="H1063" s="2"/>
    </row>
    <row r="1064" spans="1:8" x14ac:dyDescent="0.4">
      <c r="A1064" s="1"/>
      <c r="B1064" s="1"/>
      <c r="C1064" s="1"/>
      <c r="D1064" s="1"/>
      <c r="F1064" s="1"/>
      <c r="G1064" s="1"/>
      <c r="H1064" s="2"/>
    </row>
    <row r="1065" spans="1:8" x14ac:dyDescent="0.4">
      <c r="A1065" s="1"/>
      <c r="B1065" s="1"/>
      <c r="C1065" s="1"/>
      <c r="D1065" s="1"/>
      <c r="F1065" s="1"/>
      <c r="G1065" s="1"/>
      <c r="H1065" s="2"/>
    </row>
    <row r="1066" spans="1:8" x14ac:dyDescent="0.4">
      <c r="A1066" s="1"/>
      <c r="B1066" s="1"/>
      <c r="C1066" s="1"/>
      <c r="D1066" s="1"/>
      <c r="F1066" s="1"/>
      <c r="G1066" s="1"/>
      <c r="H1066" s="2"/>
    </row>
    <row r="1067" spans="1:8" x14ac:dyDescent="0.4">
      <c r="A1067" s="1"/>
      <c r="B1067" s="1"/>
      <c r="C1067" s="1"/>
      <c r="D1067" s="1"/>
      <c r="F1067" s="1"/>
      <c r="G1067" s="1"/>
      <c r="H1067" s="2"/>
    </row>
    <row r="1068" spans="1:8" x14ac:dyDescent="0.4">
      <c r="A1068" s="1"/>
      <c r="B1068" s="1"/>
      <c r="C1068" s="1"/>
      <c r="D1068" s="1"/>
      <c r="F1068" s="1"/>
      <c r="G1068" s="1"/>
      <c r="H1068" s="2"/>
    </row>
    <row r="1069" spans="1:8" x14ac:dyDescent="0.4">
      <c r="A1069" s="1"/>
      <c r="B1069" s="1"/>
      <c r="C1069" s="1"/>
      <c r="D1069" s="1"/>
      <c r="F1069" s="1"/>
      <c r="G1069" s="1"/>
      <c r="H1069" s="2"/>
    </row>
    <row r="1070" spans="1:8" x14ac:dyDescent="0.4">
      <c r="A1070" s="1"/>
      <c r="B1070" s="1"/>
      <c r="C1070" s="1"/>
      <c r="D1070" s="1"/>
      <c r="F1070" s="1"/>
      <c r="G1070" s="1"/>
      <c r="H1070" s="2"/>
    </row>
    <row r="1071" spans="1:8" x14ac:dyDescent="0.4">
      <c r="A1071" s="1"/>
      <c r="B1071" s="1"/>
      <c r="C1071" s="1"/>
      <c r="D1071" s="1"/>
      <c r="F1071" s="1"/>
      <c r="G1071" s="1"/>
      <c r="H1071" s="2"/>
    </row>
    <row r="1072" spans="1:8" x14ac:dyDescent="0.4">
      <c r="A1072" s="1"/>
      <c r="B1072" s="1"/>
      <c r="C1072" s="1"/>
      <c r="D1072" s="1"/>
      <c r="F1072" s="1"/>
      <c r="G1072" s="1"/>
      <c r="H1072" s="2"/>
    </row>
    <row r="1073" spans="1:8" x14ac:dyDescent="0.4">
      <c r="A1073" s="1"/>
      <c r="B1073" s="1"/>
      <c r="C1073" s="1"/>
      <c r="D1073" s="1"/>
      <c r="F1073" s="1"/>
      <c r="G1073" s="1"/>
      <c r="H1073" s="2"/>
    </row>
    <row r="1074" spans="1:8" x14ac:dyDescent="0.4">
      <c r="A1074" s="1"/>
      <c r="B1074" s="1"/>
      <c r="C1074" s="1"/>
      <c r="D1074" s="1"/>
      <c r="F1074" s="1"/>
      <c r="G1074" s="1"/>
      <c r="H1074" s="2"/>
    </row>
    <row r="1075" spans="1:8" x14ac:dyDescent="0.4">
      <c r="A1075" s="1"/>
      <c r="B1075" s="1"/>
      <c r="C1075" s="1"/>
      <c r="D1075" s="1"/>
      <c r="F1075" s="1"/>
      <c r="G1075" s="1"/>
      <c r="H1075" s="2"/>
    </row>
    <row r="1076" spans="1:8" x14ac:dyDescent="0.4">
      <c r="A1076" s="1"/>
      <c r="B1076" s="1"/>
      <c r="C1076" s="1"/>
      <c r="D1076" s="1"/>
      <c r="F1076" s="1"/>
      <c r="G1076" s="1"/>
      <c r="H1076" s="2"/>
    </row>
    <row r="1077" spans="1:8" x14ac:dyDescent="0.4">
      <c r="A1077" s="1"/>
      <c r="B1077" s="1"/>
      <c r="C1077" s="1"/>
      <c r="D1077" s="1"/>
      <c r="F1077" s="1"/>
      <c r="G1077" s="1"/>
      <c r="H1077" s="2"/>
    </row>
    <row r="1078" spans="1:8" x14ac:dyDescent="0.4">
      <c r="A1078" s="1"/>
      <c r="B1078" s="1"/>
      <c r="C1078" s="1"/>
      <c r="D1078" s="1"/>
      <c r="F1078" s="1"/>
      <c r="G1078" s="1"/>
      <c r="H1078" s="2"/>
    </row>
    <row r="1079" spans="1:8" x14ac:dyDescent="0.4">
      <c r="A1079" s="1"/>
      <c r="B1079" s="1"/>
      <c r="C1079" s="1"/>
      <c r="D1079" s="1"/>
      <c r="F1079" s="1"/>
      <c r="G1079" s="1"/>
      <c r="H1079" s="2"/>
    </row>
    <row r="1080" spans="1:8" x14ac:dyDescent="0.4">
      <c r="A1080" s="1"/>
      <c r="B1080" s="1"/>
      <c r="C1080" s="1"/>
      <c r="D1080" s="1"/>
      <c r="F1080" s="1"/>
      <c r="G1080" s="1"/>
      <c r="H1080" s="2"/>
    </row>
    <row r="1081" spans="1:8" x14ac:dyDescent="0.4">
      <c r="A1081" s="1"/>
      <c r="B1081" s="1"/>
      <c r="C1081" s="1"/>
      <c r="D1081" s="1"/>
      <c r="F1081" s="1"/>
      <c r="G1081" s="1"/>
      <c r="H1081" s="2"/>
    </row>
    <row r="1082" spans="1:8" x14ac:dyDescent="0.4">
      <c r="A1082" s="1"/>
      <c r="B1082" s="1"/>
      <c r="C1082" s="1"/>
      <c r="D1082" s="1"/>
      <c r="F1082" s="1"/>
      <c r="G1082" s="1"/>
      <c r="H1082" s="2"/>
    </row>
    <row r="1083" spans="1:8" x14ac:dyDescent="0.4">
      <c r="A1083" s="1"/>
      <c r="B1083" s="1"/>
      <c r="C1083" s="1"/>
      <c r="D1083" s="1"/>
      <c r="F1083" s="1"/>
      <c r="G1083" s="1"/>
      <c r="H1083" s="2"/>
    </row>
    <row r="1084" spans="1:8" x14ac:dyDescent="0.4">
      <c r="A1084" s="1"/>
      <c r="B1084" s="1"/>
      <c r="C1084" s="1"/>
      <c r="D1084" s="1"/>
      <c r="F1084" s="1"/>
      <c r="G1084" s="1"/>
      <c r="H1084" s="2"/>
    </row>
    <row r="1085" spans="1:8" x14ac:dyDescent="0.4">
      <c r="A1085" s="1"/>
      <c r="B1085" s="1"/>
      <c r="C1085" s="1"/>
      <c r="D1085" s="1"/>
      <c r="F1085" s="1"/>
      <c r="G1085" s="1"/>
      <c r="H1085" s="2"/>
    </row>
    <row r="1086" spans="1:8" x14ac:dyDescent="0.4">
      <c r="A1086" s="1"/>
      <c r="B1086" s="1"/>
      <c r="C1086" s="1"/>
      <c r="D1086" s="1"/>
      <c r="F1086" s="1"/>
      <c r="G1086" s="1"/>
      <c r="H1086" s="2"/>
    </row>
    <row r="1087" spans="1:8" x14ac:dyDescent="0.4">
      <c r="A1087" s="1"/>
      <c r="B1087" s="1"/>
      <c r="C1087" s="1"/>
      <c r="D1087" s="1"/>
      <c r="F1087" s="1"/>
      <c r="G1087" s="1"/>
      <c r="H1087" s="2"/>
    </row>
    <row r="1088" spans="1:8" x14ac:dyDescent="0.4">
      <c r="A1088" s="1"/>
      <c r="B1088" s="1"/>
      <c r="C1088" s="1"/>
      <c r="D1088" s="1"/>
      <c r="F1088" s="1"/>
      <c r="G1088" s="1"/>
      <c r="H1088" s="2"/>
    </row>
    <row r="1089" spans="1:8" x14ac:dyDescent="0.4">
      <c r="A1089" s="1"/>
      <c r="B1089" s="1"/>
      <c r="C1089" s="1"/>
      <c r="D1089" s="1"/>
      <c r="F1089" s="1"/>
      <c r="G1089" s="1"/>
      <c r="H1089" s="2"/>
    </row>
    <row r="1090" spans="1:8" x14ac:dyDescent="0.4">
      <c r="A1090" s="1"/>
      <c r="B1090" s="1"/>
      <c r="C1090" s="1"/>
      <c r="D1090" s="1"/>
      <c r="F1090" s="1"/>
      <c r="G1090" s="1"/>
      <c r="H1090" s="2"/>
    </row>
    <row r="1091" spans="1:8" x14ac:dyDescent="0.4">
      <c r="A1091" s="1"/>
      <c r="B1091" s="1"/>
      <c r="C1091" s="1"/>
      <c r="D1091" s="1"/>
      <c r="F1091" s="1"/>
      <c r="G1091" s="1"/>
      <c r="H1091" s="2"/>
    </row>
    <row r="1092" spans="1:8" x14ac:dyDescent="0.4">
      <c r="A1092" s="1"/>
      <c r="B1092" s="1"/>
      <c r="C1092" s="1"/>
      <c r="D1092" s="1"/>
      <c r="F1092" s="1"/>
      <c r="G1092" s="1"/>
      <c r="H1092" s="2"/>
    </row>
    <row r="1093" spans="1:8" x14ac:dyDescent="0.4">
      <c r="A1093" s="1"/>
      <c r="B1093" s="1"/>
      <c r="C1093" s="1"/>
      <c r="D1093" s="1"/>
      <c r="F1093" s="1"/>
      <c r="G1093" s="1"/>
      <c r="H1093" s="2"/>
    </row>
    <row r="1094" spans="1:8" x14ac:dyDescent="0.4">
      <c r="A1094" s="1"/>
      <c r="B1094" s="1"/>
      <c r="C1094" s="1"/>
      <c r="D1094" s="1"/>
      <c r="F1094" s="1"/>
      <c r="G1094" s="1"/>
      <c r="H1094" s="2"/>
    </row>
    <row r="1095" spans="1:8" x14ac:dyDescent="0.4">
      <c r="A1095" s="1"/>
      <c r="B1095" s="1"/>
      <c r="C1095" s="1"/>
      <c r="D1095" s="1"/>
      <c r="F1095" s="1"/>
      <c r="G1095" s="1"/>
      <c r="H1095" s="2"/>
    </row>
    <row r="1096" spans="1:8" x14ac:dyDescent="0.4">
      <c r="A1096" s="1"/>
      <c r="B1096" s="1"/>
      <c r="C1096" s="1"/>
      <c r="D1096" s="1"/>
      <c r="F1096" s="1"/>
      <c r="G1096" s="1"/>
      <c r="H1096" s="2"/>
    </row>
    <row r="1097" spans="1:8" x14ac:dyDescent="0.4">
      <c r="A1097" s="1"/>
      <c r="B1097" s="1"/>
      <c r="C1097" s="1"/>
      <c r="D1097" s="1"/>
      <c r="F1097" s="1"/>
      <c r="G1097" s="1"/>
      <c r="H1097" s="2"/>
    </row>
    <row r="1098" spans="1:8" x14ac:dyDescent="0.4">
      <c r="A1098" s="1"/>
      <c r="B1098" s="1"/>
      <c r="C1098" s="1"/>
      <c r="D1098" s="1"/>
      <c r="F1098" s="1"/>
      <c r="G1098" s="1"/>
      <c r="H1098" s="2"/>
    </row>
    <row r="1099" spans="1:8" x14ac:dyDescent="0.4">
      <c r="A1099" s="1"/>
      <c r="B1099" s="1"/>
      <c r="C1099" s="1"/>
      <c r="D1099" s="1"/>
      <c r="F1099" s="1"/>
      <c r="G1099" s="1"/>
      <c r="H1099" s="2"/>
    </row>
    <row r="1100" spans="1:8" x14ac:dyDescent="0.4">
      <c r="A1100" s="1"/>
      <c r="B1100" s="1"/>
      <c r="C1100" s="1"/>
      <c r="D1100" s="1"/>
      <c r="F1100" s="1"/>
      <c r="G1100" s="1"/>
      <c r="H1100" s="2"/>
    </row>
    <row r="1101" spans="1:8" x14ac:dyDescent="0.4">
      <c r="A1101" s="1"/>
      <c r="B1101" s="1"/>
      <c r="C1101" s="1"/>
      <c r="D1101" s="1"/>
      <c r="F1101" s="1"/>
      <c r="G1101" s="1"/>
      <c r="H1101" s="2"/>
    </row>
    <row r="1102" spans="1:8" x14ac:dyDescent="0.4">
      <c r="A1102" s="1"/>
      <c r="B1102" s="1"/>
      <c r="C1102" s="1"/>
      <c r="D1102" s="1"/>
      <c r="F1102" s="1"/>
      <c r="G1102" s="1"/>
      <c r="H1102" s="2"/>
    </row>
    <row r="1103" spans="1:8" x14ac:dyDescent="0.4">
      <c r="A1103" s="1"/>
      <c r="B1103" s="1"/>
      <c r="C1103" s="1"/>
      <c r="D1103" s="1"/>
      <c r="F1103" s="1"/>
      <c r="G1103" s="1"/>
      <c r="H1103" s="2"/>
    </row>
    <row r="1104" spans="1:8" x14ac:dyDescent="0.4">
      <c r="A1104" s="1"/>
      <c r="B1104" s="1"/>
      <c r="C1104" s="1"/>
      <c r="D1104" s="1"/>
      <c r="F1104" s="1"/>
      <c r="G1104" s="1"/>
      <c r="H1104" s="2"/>
    </row>
    <row r="1105" spans="1:8" x14ac:dyDescent="0.4">
      <c r="A1105" s="1"/>
      <c r="B1105" s="1"/>
      <c r="C1105" s="1"/>
      <c r="D1105" s="1"/>
      <c r="F1105" s="1"/>
      <c r="G1105" s="1"/>
      <c r="H1105" s="2"/>
    </row>
    <row r="1106" spans="1:8" x14ac:dyDescent="0.4">
      <c r="A1106" s="1"/>
      <c r="B1106" s="1"/>
      <c r="C1106" s="1"/>
      <c r="D1106" s="1"/>
      <c r="F1106" s="1"/>
      <c r="G1106" s="1"/>
      <c r="H1106" s="2"/>
    </row>
    <row r="1107" spans="1:8" x14ac:dyDescent="0.4">
      <c r="A1107" s="1"/>
      <c r="B1107" s="1"/>
      <c r="C1107" s="1"/>
      <c r="D1107" s="1"/>
      <c r="F1107" s="1"/>
      <c r="G1107" s="1"/>
      <c r="H1107" s="2"/>
    </row>
    <row r="1108" spans="1:8" x14ac:dyDescent="0.4">
      <c r="A1108" s="1"/>
      <c r="B1108" s="1"/>
      <c r="C1108" s="1"/>
      <c r="D1108" s="1"/>
      <c r="F1108" s="1"/>
      <c r="G1108" s="1"/>
      <c r="H1108" s="2"/>
    </row>
    <row r="1109" spans="1:8" x14ac:dyDescent="0.4">
      <c r="A1109" s="1"/>
      <c r="B1109" s="1"/>
      <c r="C1109" s="1"/>
      <c r="D1109" s="1"/>
      <c r="F1109" s="1"/>
      <c r="G1109" s="1"/>
      <c r="H1109" s="2"/>
    </row>
    <row r="1110" spans="1:8" x14ac:dyDescent="0.4">
      <c r="A1110" s="1"/>
      <c r="B1110" s="1"/>
      <c r="C1110" s="1"/>
      <c r="D1110" s="1"/>
      <c r="F1110" s="1"/>
      <c r="G1110" s="1"/>
      <c r="H1110" s="2"/>
    </row>
    <row r="1111" spans="1:8" x14ac:dyDescent="0.4">
      <c r="A1111" s="1"/>
      <c r="B1111" s="1"/>
      <c r="C1111" s="1"/>
      <c r="D1111" s="1"/>
      <c r="F1111" s="1"/>
      <c r="G1111" s="1"/>
      <c r="H1111" s="2"/>
    </row>
    <row r="1112" spans="1:8" x14ac:dyDescent="0.4">
      <c r="A1112" s="1"/>
      <c r="B1112" s="1"/>
      <c r="C1112" s="1"/>
      <c r="D1112" s="1"/>
      <c r="F1112" s="1"/>
      <c r="G1112" s="1"/>
      <c r="H1112" s="2"/>
    </row>
    <row r="1113" spans="1:8" x14ac:dyDescent="0.4">
      <c r="A1113" s="1"/>
      <c r="B1113" s="1"/>
      <c r="C1113" s="1"/>
      <c r="D1113" s="1"/>
      <c r="F1113" s="1"/>
      <c r="G1113" s="1"/>
      <c r="H1113" s="2"/>
    </row>
    <row r="1114" spans="1:8" x14ac:dyDescent="0.4">
      <c r="A1114" s="1"/>
      <c r="B1114" s="1"/>
      <c r="C1114" s="1"/>
      <c r="D1114" s="1"/>
      <c r="F1114" s="1"/>
      <c r="G1114" s="1"/>
      <c r="H1114" s="2"/>
    </row>
    <row r="1115" spans="1:8" x14ac:dyDescent="0.4">
      <c r="A1115" s="1"/>
      <c r="B1115" s="1"/>
      <c r="C1115" s="1"/>
      <c r="D1115" s="1"/>
      <c r="F1115" s="1"/>
      <c r="G1115" s="1"/>
      <c r="H1115" s="2"/>
    </row>
    <row r="1116" spans="1:8" x14ac:dyDescent="0.4">
      <c r="A1116" s="1"/>
      <c r="B1116" s="1"/>
      <c r="C1116" s="1"/>
      <c r="D1116" s="1"/>
      <c r="F1116" s="1"/>
      <c r="G1116" s="1"/>
      <c r="H1116" s="2"/>
    </row>
    <row r="1117" spans="1:8" x14ac:dyDescent="0.4">
      <c r="A1117" s="1"/>
      <c r="B1117" s="1"/>
      <c r="C1117" s="1"/>
      <c r="D1117" s="1"/>
      <c r="F1117" s="1"/>
      <c r="G1117" s="1"/>
      <c r="H1117" s="2"/>
    </row>
    <row r="1118" spans="1:8" x14ac:dyDescent="0.4">
      <c r="A1118" s="1"/>
      <c r="B1118" s="1"/>
      <c r="C1118" s="1"/>
      <c r="D1118" s="1"/>
      <c r="F1118" s="1"/>
      <c r="G1118" s="1"/>
      <c r="H1118" s="2"/>
    </row>
    <row r="1119" spans="1:8" x14ac:dyDescent="0.4">
      <c r="A1119" s="1"/>
      <c r="B1119" s="1"/>
      <c r="C1119" s="1"/>
      <c r="D1119" s="1"/>
      <c r="F1119" s="1"/>
      <c r="G1119" s="1"/>
      <c r="H1119" s="2"/>
    </row>
    <row r="1120" spans="1:8" x14ac:dyDescent="0.4">
      <c r="A1120" s="1"/>
      <c r="B1120" s="1"/>
      <c r="C1120" s="1"/>
      <c r="D1120" s="1"/>
      <c r="F1120" s="1"/>
      <c r="G1120" s="1"/>
      <c r="H1120" s="2"/>
    </row>
    <row r="1121" spans="1:8" x14ac:dyDescent="0.4">
      <c r="A1121" s="1"/>
      <c r="B1121" s="1"/>
      <c r="C1121" s="1"/>
      <c r="D1121" s="1"/>
      <c r="F1121" s="1"/>
      <c r="G1121" s="1"/>
      <c r="H1121" s="2"/>
    </row>
    <row r="1122" spans="1:8" x14ac:dyDescent="0.4">
      <c r="A1122" s="1"/>
      <c r="B1122" s="1"/>
      <c r="C1122" s="1"/>
      <c r="D1122" s="1"/>
      <c r="F1122" s="1"/>
      <c r="G1122" s="1"/>
      <c r="H1122" s="2"/>
    </row>
    <row r="1123" spans="1:8" x14ac:dyDescent="0.4">
      <c r="A1123" s="1"/>
      <c r="B1123" s="1"/>
      <c r="C1123" s="1"/>
      <c r="D1123" s="1"/>
      <c r="F1123" s="1"/>
      <c r="G1123" s="1"/>
      <c r="H1123" s="2"/>
    </row>
    <row r="1124" spans="1:8" x14ac:dyDescent="0.4">
      <c r="A1124" s="1"/>
      <c r="B1124" s="1"/>
      <c r="C1124" s="1"/>
      <c r="D1124" s="1"/>
      <c r="F1124" s="1"/>
      <c r="G1124" s="1"/>
      <c r="H1124" s="2"/>
    </row>
    <row r="1125" spans="1:8" x14ac:dyDescent="0.4">
      <c r="A1125" s="1"/>
      <c r="B1125" s="1"/>
      <c r="C1125" s="1"/>
      <c r="D1125" s="1"/>
      <c r="F1125" s="1"/>
      <c r="G1125" s="1"/>
      <c r="H1125" s="2"/>
    </row>
    <row r="1126" spans="1:8" x14ac:dyDescent="0.4">
      <c r="A1126" s="1"/>
      <c r="B1126" s="1"/>
      <c r="C1126" s="1"/>
      <c r="D1126" s="1"/>
      <c r="F1126" s="1"/>
      <c r="G1126" s="1"/>
      <c r="H1126" s="2"/>
    </row>
    <row r="1127" spans="1:8" x14ac:dyDescent="0.4">
      <c r="A1127" s="1"/>
      <c r="B1127" s="1"/>
      <c r="C1127" s="1"/>
      <c r="D1127" s="1"/>
      <c r="F1127" s="1"/>
      <c r="G1127" s="1"/>
      <c r="H1127" s="2"/>
    </row>
    <row r="1128" spans="1:8" x14ac:dyDescent="0.4">
      <c r="A1128" s="1"/>
      <c r="B1128" s="1"/>
      <c r="C1128" s="1"/>
      <c r="D1128" s="1"/>
      <c r="F1128" s="1"/>
      <c r="G1128" s="1"/>
      <c r="H1128" s="2"/>
    </row>
    <row r="1129" spans="1:8" x14ac:dyDescent="0.4">
      <c r="A1129" s="1"/>
      <c r="B1129" s="1"/>
      <c r="C1129" s="1"/>
      <c r="D1129" s="1"/>
      <c r="F1129" s="1"/>
      <c r="G1129" s="1"/>
      <c r="H1129" s="2"/>
    </row>
    <row r="1130" spans="1:8" x14ac:dyDescent="0.4">
      <c r="A1130" s="1"/>
      <c r="B1130" s="1"/>
      <c r="C1130" s="1"/>
      <c r="D1130" s="1"/>
      <c r="F1130" s="1"/>
      <c r="G1130" s="1"/>
      <c r="H1130" s="2"/>
    </row>
    <row r="1131" spans="1:8" x14ac:dyDescent="0.4">
      <c r="A1131" s="1"/>
      <c r="B1131" s="1"/>
      <c r="C1131" s="1"/>
      <c r="D1131" s="1"/>
      <c r="F1131" s="1"/>
      <c r="G1131" s="1"/>
      <c r="H1131" s="2"/>
    </row>
    <row r="1132" spans="1:8" x14ac:dyDescent="0.4">
      <c r="A1132" s="1"/>
      <c r="B1132" s="1"/>
      <c r="C1132" s="1"/>
      <c r="D1132" s="1"/>
      <c r="F1132" s="1"/>
      <c r="G1132" s="1"/>
      <c r="H1132" s="2"/>
    </row>
    <row r="1133" spans="1:8" x14ac:dyDescent="0.4">
      <c r="A1133" s="1"/>
      <c r="B1133" s="1"/>
      <c r="C1133" s="1"/>
      <c r="D1133" s="1"/>
      <c r="F1133" s="1"/>
      <c r="G1133" s="1"/>
      <c r="H1133" s="2"/>
    </row>
    <row r="1134" spans="1:8" x14ac:dyDescent="0.4">
      <c r="A1134" s="1"/>
      <c r="B1134" s="1"/>
      <c r="C1134" s="1"/>
      <c r="D1134" s="1"/>
      <c r="F1134" s="1"/>
      <c r="G1134" s="1"/>
      <c r="H1134" s="2"/>
    </row>
    <row r="1135" spans="1:8" x14ac:dyDescent="0.4">
      <c r="A1135" s="1"/>
      <c r="B1135" s="1"/>
      <c r="C1135" s="1"/>
      <c r="D1135" s="1"/>
      <c r="F1135" s="1"/>
      <c r="G1135" s="1"/>
      <c r="H1135" s="2"/>
    </row>
    <row r="1136" spans="1:8" x14ac:dyDescent="0.4">
      <c r="A1136" s="1"/>
      <c r="B1136" s="1"/>
      <c r="C1136" s="1"/>
      <c r="D1136" s="1"/>
      <c r="F1136" s="1"/>
      <c r="G1136" s="1"/>
      <c r="H1136" s="2"/>
    </row>
    <row r="1137" spans="1:8" x14ac:dyDescent="0.4">
      <c r="A1137" s="1"/>
      <c r="B1137" s="1"/>
      <c r="C1137" s="1"/>
      <c r="D1137" s="1"/>
      <c r="F1137" s="1"/>
      <c r="G1137" s="1"/>
      <c r="H1137" s="2"/>
    </row>
    <row r="1138" spans="1:8" x14ac:dyDescent="0.4">
      <c r="A1138" s="1"/>
      <c r="B1138" s="1"/>
      <c r="C1138" s="1"/>
      <c r="D1138" s="1"/>
      <c r="F1138" s="1"/>
      <c r="G1138" s="1"/>
      <c r="H1138" s="2"/>
    </row>
    <row r="1139" spans="1:8" x14ac:dyDescent="0.4">
      <c r="A1139" s="1"/>
      <c r="B1139" s="1"/>
      <c r="C1139" s="1"/>
      <c r="D1139" s="1"/>
      <c r="F1139" s="1"/>
      <c r="G1139" s="1"/>
      <c r="H1139" s="2"/>
    </row>
    <row r="1140" spans="1:8" x14ac:dyDescent="0.4">
      <c r="A1140" s="1"/>
      <c r="B1140" s="1"/>
      <c r="C1140" s="1"/>
      <c r="D1140" s="1"/>
      <c r="F1140" s="1"/>
      <c r="G1140" s="1"/>
      <c r="H1140" s="2"/>
    </row>
    <row r="1141" spans="1:8" x14ac:dyDescent="0.4">
      <c r="A1141" s="1"/>
      <c r="B1141" s="1"/>
      <c r="C1141" s="1"/>
      <c r="D1141" s="1"/>
      <c r="F1141" s="1"/>
      <c r="G1141" s="1"/>
      <c r="H1141" s="2"/>
    </row>
    <row r="1142" spans="1:8" x14ac:dyDescent="0.4">
      <c r="A1142" s="1"/>
      <c r="B1142" s="1"/>
      <c r="C1142" s="1"/>
      <c r="D1142" s="1"/>
      <c r="F1142" s="1"/>
      <c r="G1142" s="1"/>
      <c r="H1142" s="2"/>
    </row>
    <row r="1143" spans="1:8" x14ac:dyDescent="0.4">
      <c r="A1143" s="1"/>
      <c r="B1143" s="1"/>
      <c r="C1143" s="1"/>
      <c r="D1143" s="1"/>
      <c r="F1143" s="1"/>
      <c r="G1143" s="1"/>
      <c r="H1143" s="2"/>
    </row>
    <row r="1144" spans="1:8" x14ac:dyDescent="0.4">
      <c r="A1144" s="1"/>
      <c r="B1144" s="1"/>
      <c r="C1144" s="1"/>
      <c r="D1144" s="1"/>
      <c r="F1144" s="1"/>
      <c r="G1144" s="1"/>
      <c r="H1144" s="2"/>
    </row>
    <row r="1145" spans="1:8" x14ac:dyDescent="0.4">
      <c r="A1145" s="1"/>
      <c r="B1145" s="1"/>
      <c r="C1145" s="1"/>
      <c r="D1145" s="1"/>
      <c r="F1145" s="1"/>
      <c r="G1145" s="1"/>
      <c r="H1145" s="2"/>
    </row>
    <row r="1146" spans="1:8" x14ac:dyDescent="0.4">
      <c r="A1146" s="1"/>
      <c r="B1146" s="1"/>
      <c r="C1146" s="1"/>
      <c r="D1146" s="1"/>
      <c r="F1146" s="1"/>
      <c r="G1146" s="1"/>
      <c r="H1146" s="2"/>
    </row>
    <row r="1147" spans="1:8" x14ac:dyDescent="0.4">
      <c r="A1147" s="1"/>
      <c r="B1147" s="1"/>
      <c r="C1147" s="1"/>
      <c r="D1147" s="1"/>
      <c r="F1147" s="1"/>
      <c r="G1147" s="1"/>
      <c r="H1147" s="2"/>
    </row>
    <row r="1148" spans="1:8" x14ac:dyDescent="0.4">
      <c r="A1148" s="1"/>
      <c r="B1148" s="1"/>
      <c r="C1148" s="1"/>
      <c r="D1148" s="1"/>
      <c r="F1148" s="1"/>
      <c r="G1148" s="1"/>
      <c r="H1148" s="2"/>
    </row>
    <row r="1149" spans="1:8" x14ac:dyDescent="0.4">
      <c r="A1149" s="1"/>
      <c r="B1149" s="1"/>
      <c r="C1149" s="1"/>
      <c r="D1149" s="1"/>
      <c r="F1149" s="1"/>
      <c r="G1149" s="1"/>
      <c r="H1149" s="2"/>
    </row>
    <row r="1150" spans="1:8" x14ac:dyDescent="0.4">
      <c r="A1150" s="1"/>
      <c r="B1150" s="1"/>
      <c r="C1150" s="1"/>
      <c r="D1150" s="1"/>
      <c r="F1150" s="1"/>
      <c r="G1150" s="1"/>
      <c r="H1150" s="2"/>
    </row>
    <row r="1151" spans="1:8" x14ac:dyDescent="0.4">
      <c r="A1151" s="1"/>
      <c r="B1151" s="1"/>
      <c r="C1151" s="1"/>
      <c r="D1151" s="1"/>
      <c r="F1151" s="1"/>
      <c r="G1151" s="1"/>
      <c r="H1151" s="2"/>
    </row>
    <row r="1152" spans="1:8" x14ac:dyDescent="0.4">
      <c r="A1152" s="1"/>
      <c r="B1152" s="1"/>
      <c r="C1152" s="1"/>
      <c r="D1152" s="1"/>
      <c r="F1152" s="1"/>
      <c r="G1152" s="1"/>
      <c r="H1152" s="2"/>
    </row>
    <row r="1153" spans="1:8" x14ac:dyDescent="0.4">
      <c r="A1153" s="1"/>
      <c r="B1153" s="1"/>
      <c r="C1153" s="1"/>
      <c r="D1153" s="1"/>
      <c r="F1153" s="1"/>
      <c r="G1153" s="1"/>
      <c r="H1153" s="2"/>
    </row>
    <row r="1154" spans="1:8" x14ac:dyDescent="0.4">
      <c r="A1154" s="1"/>
      <c r="B1154" s="1"/>
      <c r="C1154" s="1"/>
      <c r="D1154" s="1"/>
      <c r="F1154" s="1"/>
      <c r="G1154" s="1"/>
      <c r="H1154" s="2"/>
    </row>
    <row r="1155" spans="1:8" x14ac:dyDescent="0.4">
      <c r="A1155" s="1"/>
      <c r="B1155" s="1"/>
      <c r="C1155" s="1"/>
      <c r="D1155" s="1"/>
      <c r="F1155" s="1"/>
      <c r="G1155" s="1"/>
      <c r="H1155" s="2"/>
    </row>
    <row r="1156" spans="1:8" x14ac:dyDescent="0.4">
      <c r="A1156" s="1"/>
      <c r="B1156" s="1"/>
      <c r="C1156" s="1"/>
      <c r="D1156" s="1"/>
      <c r="F1156" s="1"/>
      <c r="G1156" s="1"/>
      <c r="H1156" s="2"/>
    </row>
    <row r="1157" spans="1:8" x14ac:dyDescent="0.4">
      <c r="A1157" s="1"/>
      <c r="B1157" s="1"/>
      <c r="C1157" s="1"/>
      <c r="D1157" s="1"/>
      <c r="F1157" s="1"/>
      <c r="G1157" s="1"/>
      <c r="H1157" s="2"/>
    </row>
    <row r="1158" spans="1:8" x14ac:dyDescent="0.4">
      <c r="A1158" s="1"/>
      <c r="B1158" s="1"/>
      <c r="C1158" s="1"/>
      <c r="D1158" s="1"/>
      <c r="F1158" s="1"/>
      <c r="G1158" s="1"/>
      <c r="H1158" s="2"/>
    </row>
    <row r="1159" spans="1:8" x14ac:dyDescent="0.4">
      <c r="A1159" s="1"/>
      <c r="B1159" s="1"/>
      <c r="C1159" s="1"/>
      <c r="D1159" s="1"/>
      <c r="F1159" s="1"/>
      <c r="G1159" s="1"/>
      <c r="H1159" s="2"/>
    </row>
    <row r="1160" spans="1:8" x14ac:dyDescent="0.4">
      <c r="A1160" s="1"/>
      <c r="B1160" s="1"/>
      <c r="C1160" s="1"/>
      <c r="D1160" s="1"/>
      <c r="F1160" s="1"/>
      <c r="G1160" s="1"/>
      <c r="H1160" s="2"/>
    </row>
    <row r="1161" spans="1:8" x14ac:dyDescent="0.4">
      <c r="A1161" s="1"/>
      <c r="B1161" s="1"/>
      <c r="C1161" s="1"/>
      <c r="D1161" s="1"/>
      <c r="F1161" s="1"/>
      <c r="G1161" s="1"/>
      <c r="H1161" s="2"/>
    </row>
    <row r="1162" spans="1:8" x14ac:dyDescent="0.4">
      <c r="A1162" s="1"/>
      <c r="B1162" s="1"/>
      <c r="C1162" s="1"/>
      <c r="D1162" s="1"/>
      <c r="F1162" s="1"/>
      <c r="G1162" s="1"/>
      <c r="H1162" s="2"/>
    </row>
    <row r="1163" spans="1:8" x14ac:dyDescent="0.4">
      <c r="A1163" s="1"/>
      <c r="B1163" s="1"/>
      <c r="C1163" s="1"/>
      <c r="D1163" s="1"/>
      <c r="F1163" s="1"/>
      <c r="G1163" s="1"/>
      <c r="H1163" s="2"/>
    </row>
    <row r="1164" spans="1:8" x14ac:dyDescent="0.4">
      <c r="A1164" s="1"/>
      <c r="B1164" s="1"/>
      <c r="C1164" s="1"/>
      <c r="D1164" s="1"/>
      <c r="F1164" s="1"/>
      <c r="G1164" s="1"/>
      <c r="H1164" s="2"/>
    </row>
    <row r="1165" spans="1:8" x14ac:dyDescent="0.4">
      <c r="A1165" s="1"/>
      <c r="B1165" s="1"/>
      <c r="C1165" s="1"/>
      <c r="D1165" s="1"/>
      <c r="F1165" s="1"/>
      <c r="G1165" s="1"/>
      <c r="H1165" s="2"/>
    </row>
    <row r="1166" spans="1:8" x14ac:dyDescent="0.4">
      <c r="A1166" s="1"/>
      <c r="B1166" s="1"/>
      <c r="C1166" s="1"/>
      <c r="D1166" s="1"/>
      <c r="F1166" s="1"/>
      <c r="G1166" s="1"/>
      <c r="H1166" s="2"/>
    </row>
    <row r="1167" spans="1:8" x14ac:dyDescent="0.4">
      <c r="A1167" s="1"/>
      <c r="B1167" s="1"/>
      <c r="C1167" s="1"/>
      <c r="D1167" s="1"/>
      <c r="F1167" s="1"/>
      <c r="G1167" s="1"/>
      <c r="H1167" s="2"/>
    </row>
    <row r="1168" spans="1:8" x14ac:dyDescent="0.4">
      <c r="A1168" s="1"/>
      <c r="B1168" s="1"/>
      <c r="C1168" s="1"/>
      <c r="D1168" s="1"/>
      <c r="F1168" s="1"/>
      <c r="G1168" s="1"/>
      <c r="H1168" s="2"/>
    </row>
    <row r="1169" spans="1:8" x14ac:dyDescent="0.4">
      <c r="A1169" s="1"/>
      <c r="B1169" s="1"/>
      <c r="C1169" s="1"/>
      <c r="D1169" s="1"/>
      <c r="F1169" s="1"/>
      <c r="G1169" s="1"/>
      <c r="H1169" s="2"/>
    </row>
    <row r="1170" spans="1:8" x14ac:dyDescent="0.4">
      <c r="A1170" s="1"/>
      <c r="B1170" s="1"/>
      <c r="C1170" s="1"/>
      <c r="D1170" s="1"/>
      <c r="F1170" s="1"/>
      <c r="G1170" s="1"/>
      <c r="H1170" s="2"/>
    </row>
    <row r="1171" spans="1:8" x14ac:dyDescent="0.4">
      <c r="A1171" s="1"/>
      <c r="B1171" s="1"/>
      <c r="C1171" s="1"/>
      <c r="D1171" s="1"/>
      <c r="F1171" s="1"/>
      <c r="G1171" s="1"/>
      <c r="H1171" s="2"/>
    </row>
    <row r="1172" spans="1:8" x14ac:dyDescent="0.4">
      <c r="A1172" s="1"/>
      <c r="B1172" s="1"/>
      <c r="C1172" s="1"/>
      <c r="D1172" s="1"/>
      <c r="F1172" s="1"/>
      <c r="G1172" s="1"/>
      <c r="H1172" s="2"/>
    </row>
    <row r="1173" spans="1:8" x14ac:dyDescent="0.4">
      <c r="A1173" s="1"/>
      <c r="B1173" s="1"/>
      <c r="C1173" s="1"/>
      <c r="D1173" s="1"/>
      <c r="F1173" s="1"/>
      <c r="G1173" s="1"/>
      <c r="H1173" s="2"/>
    </row>
    <row r="1174" spans="1:8" x14ac:dyDescent="0.4">
      <c r="A1174" s="1"/>
      <c r="B1174" s="1"/>
      <c r="C1174" s="1"/>
      <c r="D1174" s="1"/>
      <c r="F1174" s="1"/>
      <c r="G1174" s="1"/>
      <c r="H1174" s="2"/>
    </row>
    <row r="1175" spans="1:8" x14ac:dyDescent="0.4">
      <c r="A1175" s="1"/>
      <c r="B1175" s="1"/>
      <c r="C1175" s="1"/>
      <c r="D1175" s="1"/>
      <c r="F1175" s="1"/>
      <c r="G1175" s="1"/>
      <c r="H1175" s="2"/>
    </row>
    <row r="1176" spans="1:8" x14ac:dyDescent="0.4">
      <c r="A1176" s="1"/>
      <c r="B1176" s="1"/>
      <c r="C1176" s="1"/>
      <c r="D1176" s="1"/>
      <c r="F1176" s="1"/>
      <c r="G1176" s="1"/>
      <c r="H1176" s="2"/>
    </row>
    <row r="1177" spans="1:8" x14ac:dyDescent="0.4">
      <c r="A1177" s="1"/>
      <c r="B1177" s="1"/>
      <c r="C1177" s="1"/>
      <c r="D1177" s="1"/>
      <c r="F1177" s="1"/>
      <c r="G1177" s="1"/>
      <c r="H1177" s="2"/>
    </row>
    <row r="1178" spans="1:8" x14ac:dyDescent="0.4">
      <c r="A1178" s="1"/>
      <c r="B1178" s="1"/>
      <c r="C1178" s="1"/>
      <c r="D1178" s="1"/>
      <c r="F1178" s="1"/>
      <c r="G1178" s="1"/>
      <c r="H1178" s="2"/>
    </row>
    <row r="1179" spans="1:8" x14ac:dyDescent="0.4">
      <c r="A1179" s="1"/>
      <c r="B1179" s="1"/>
      <c r="C1179" s="1"/>
      <c r="D1179" s="1"/>
      <c r="F1179" s="1"/>
      <c r="G1179" s="1"/>
      <c r="H1179" s="2"/>
    </row>
    <row r="1180" spans="1:8" x14ac:dyDescent="0.4">
      <c r="A1180" s="1"/>
      <c r="B1180" s="1"/>
      <c r="C1180" s="1"/>
      <c r="D1180" s="1"/>
      <c r="F1180" s="1"/>
      <c r="G1180" s="1"/>
      <c r="H1180" s="2"/>
    </row>
    <row r="1181" spans="1:8" x14ac:dyDescent="0.4">
      <c r="A1181" s="1"/>
      <c r="B1181" s="1"/>
      <c r="C1181" s="1"/>
      <c r="D1181" s="1"/>
      <c r="F1181" s="1"/>
      <c r="G1181" s="1"/>
      <c r="H1181" s="2"/>
    </row>
    <row r="1182" spans="1:8" x14ac:dyDescent="0.4">
      <c r="A1182" s="1"/>
      <c r="B1182" s="1"/>
      <c r="C1182" s="1"/>
      <c r="D1182" s="1"/>
      <c r="F1182" s="1"/>
      <c r="G1182" s="1"/>
      <c r="H1182" s="2"/>
    </row>
    <row r="1183" spans="1:8" x14ac:dyDescent="0.4">
      <c r="A1183" s="1"/>
      <c r="B1183" s="1"/>
      <c r="C1183" s="1"/>
      <c r="D1183" s="1"/>
      <c r="F1183" s="1"/>
      <c r="G1183" s="1"/>
      <c r="H1183" s="2"/>
    </row>
    <row r="1184" spans="1:8" x14ac:dyDescent="0.4">
      <c r="A1184" s="1"/>
      <c r="B1184" s="1"/>
      <c r="C1184" s="1"/>
      <c r="D1184" s="1"/>
      <c r="F1184" s="1"/>
      <c r="G1184" s="1"/>
      <c r="H1184" s="2"/>
    </row>
    <row r="1185" spans="1:8" x14ac:dyDescent="0.4">
      <c r="A1185" s="1"/>
      <c r="B1185" s="1"/>
      <c r="C1185" s="1"/>
      <c r="D1185" s="1"/>
      <c r="F1185" s="1"/>
      <c r="G1185" s="1"/>
      <c r="H1185" s="2"/>
    </row>
    <row r="1186" spans="1:8" x14ac:dyDescent="0.4">
      <c r="A1186" s="1"/>
      <c r="B1186" s="1"/>
      <c r="C1186" s="1"/>
      <c r="D1186" s="1"/>
      <c r="F1186" s="1"/>
      <c r="G1186" s="1"/>
      <c r="H1186" s="2"/>
    </row>
    <row r="1187" spans="1:8" x14ac:dyDescent="0.4">
      <c r="A1187" s="1"/>
      <c r="B1187" s="1"/>
      <c r="C1187" s="1"/>
      <c r="D1187" s="1"/>
      <c r="F1187" s="1"/>
      <c r="G1187" s="1"/>
      <c r="H1187" s="2"/>
    </row>
    <row r="1188" spans="1:8" x14ac:dyDescent="0.4">
      <c r="A1188" s="1"/>
      <c r="B1188" s="1"/>
      <c r="C1188" s="1"/>
      <c r="D1188" s="1"/>
      <c r="F1188" s="1"/>
      <c r="G1188" s="1"/>
      <c r="H1188" s="2"/>
    </row>
    <row r="1189" spans="1:8" x14ac:dyDescent="0.4">
      <c r="A1189" s="1"/>
      <c r="B1189" s="1"/>
      <c r="C1189" s="1"/>
      <c r="D1189" s="1"/>
      <c r="F1189" s="1"/>
      <c r="G1189" s="1"/>
      <c r="H1189" s="2"/>
    </row>
    <row r="1190" spans="1:8" x14ac:dyDescent="0.4">
      <c r="A1190" s="1"/>
      <c r="B1190" s="1"/>
      <c r="C1190" s="1"/>
      <c r="D1190" s="1"/>
      <c r="F1190" s="1"/>
      <c r="G1190" s="1"/>
      <c r="H1190" s="2"/>
    </row>
    <row r="1191" spans="1:8" x14ac:dyDescent="0.4">
      <c r="A1191" s="1"/>
      <c r="B1191" s="1"/>
      <c r="C1191" s="1"/>
      <c r="D1191" s="1"/>
      <c r="F1191" s="1"/>
      <c r="G1191" s="1"/>
      <c r="H1191" s="2"/>
    </row>
    <row r="1192" spans="1:8" x14ac:dyDescent="0.4">
      <c r="A1192" s="1"/>
      <c r="B1192" s="1"/>
      <c r="C1192" s="1"/>
      <c r="D1192" s="1"/>
      <c r="F1192" s="1"/>
      <c r="G1192" s="1"/>
      <c r="H1192" s="2"/>
    </row>
    <row r="1193" spans="1:8" x14ac:dyDescent="0.4">
      <c r="A1193" s="1"/>
      <c r="B1193" s="1"/>
      <c r="C1193" s="1"/>
      <c r="D1193" s="1"/>
      <c r="F1193" s="1"/>
      <c r="G1193" s="1"/>
      <c r="H1193" s="2"/>
    </row>
    <row r="1194" spans="1:8" x14ac:dyDescent="0.4">
      <c r="A1194" s="1"/>
      <c r="B1194" s="1"/>
      <c r="C1194" s="1"/>
      <c r="D1194" s="1"/>
      <c r="F1194" s="1"/>
      <c r="G1194" s="1"/>
      <c r="H1194" s="2"/>
    </row>
    <row r="1195" spans="1:8" x14ac:dyDescent="0.4">
      <c r="A1195" s="1"/>
      <c r="B1195" s="1"/>
      <c r="C1195" s="1"/>
      <c r="D1195" s="1"/>
      <c r="F1195" s="1"/>
      <c r="G1195" s="1"/>
      <c r="H1195" s="2"/>
    </row>
    <row r="1196" spans="1:8" x14ac:dyDescent="0.4">
      <c r="A1196" s="1"/>
      <c r="B1196" s="1"/>
      <c r="C1196" s="1"/>
      <c r="D1196" s="1"/>
      <c r="F1196" s="1"/>
      <c r="G1196" s="1"/>
      <c r="H1196" s="2"/>
    </row>
    <row r="1197" spans="1:8" x14ac:dyDescent="0.4">
      <c r="A1197" s="1"/>
      <c r="B1197" s="1"/>
      <c r="C1197" s="1"/>
      <c r="D1197" s="1"/>
      <c r="F1197" s="1"/>
      <c r="G1197" s="1"/>
      <c r="H1197" s="2"/>
    </row>
    <row r="1198" spans="1:8" x14ac:dyDescent="0.4">
      <c r="A1198" s="1"/>
      <c r="B1198" s="1"/>
      <c r="C1198" s="1"/>
      <c r="D1198" s="1"/>
      <c r="F1198" s="1"/>
      <c r="G1198" s="1"/>
      <c r="H1198" s="2"/>
    </row>
    <row r="1199" spans="1:8" x14ac:dyDescent="0.4">
      <c r="A1199" s="1"/>
      <c r="B1199" s="1"/>
      <c r="C1199" s="1"/>
      <c r="D1199" s="1"/>
      <c r="F1199" s="1"/>
      <c r="G1199" s="1"/>
      <c r="H1199" s="2"/>
    </row>
    <row r="1200" spans="1:8" x14ac:dyDescent="0.4">
      <c r="A1200" s="1"/>
      <c r="B1200" s="1"/>
      <c r="C1200" s="1"/>
      <c r="D1200" s="1"/>
      <c r="F1200" s="1"/>
      <c r="G1200" s="1"/>
      <c r="H1200" s="2"/>
    </row>
    <row r="1201" spans="1:8" x14ac:dyDescent="0.4">
      <c r="A1201" s="1"/>
      <c r="B1201" s="1"/>
      <c r="C1201" s="1"/>
      <c r="D1201" s="1"/>
      <c r="F1201" s="1"/>
      <c r="G1201" s="1"/>
      <c r="H1201" s="2"/>
    </row>
    <row r="1202" spans="1:8" x14ac:dyDescent="0.4">
      <c r="A1202" s="1"/>
      <c r="B1202" s="1"/>
      <c r="C1202" s="1"/>
      <c r="D1202" s="1"/>
      <c r="F1202" s="1"/>
      <c r="G1202" s="1"/>
      <c r="H1202" s="2"/>
    </row>
    <row r="1203" spans="1:8" x14ac:dyDescent="0.4">
      <c r="A1203" s="1"/>
      <c r="B1203" s="1"/>
      <c r="C1203" s="1"/>
      <c r="D1203" s="1"/>
      <c r="F1203" s="1"/>
      <c r="G1203" s="1"/>
      <c r="H1203" s="2"/>
    </row>
    <row r="1204" spans="1:8" x14ac:dyDescent="0.4">
      <c r="A1204" s="1"/>
      <c r="B1204" s="1"/>
      <c r="C1204" s="1"/>
      <c r="D1204" s="1"/>
      <c r="F1204" s="1"/>
      <c r="G1204" s="1"/>
      <c r="H1204" s="2"/>
    </row>
    <row r="1205" spans="1:8" x14ac:dyDescent="0.4">
      <c r="A1205" s="1"/>
      <c r="B1205" s="1"/>
      <c r="C1205" s="1"/>
      <c r="D1205" s="1"/>
      <c r="F1205" s="1"/>
      <c r="G1205" s="1"/>
      <c r="H1205" s="2"/>
    </row>
    <row r="1206" spans="1:8" x14ac:dyDescent="0.4">
      <c r="A1206" s="1"/>
      <c r="B1206" s="1"/>
      <c r="C1206" s="1"/>
      <c r="D1206" s="1"/>
      <c r="F1206" s="1"/>
      <c r="G1206" s="1"/>
      <c r="H1206" s="2"/>
    </row>
    <row r="1207" spans="1:8" x14ac:dyDescent="0.4">
      <c r="A1207" s="1"/>
      <c r="B1207" s="1"/>
      <c r="C1207" s="1"/>
      <c r="D1207" s="1"/>
      <c r="F1207" s="1"/>
      <c r="G1207" s="1"/>
      <c r="H1207" s="2"/>
    </row>
    <row r="1208" spans="1:8" x14ac:dyDescent="0.4">
      <c r="A1208" s="1"/>
      <c r="B1208" s="1"/>
      <c r="C1208" s="1"/>
      <c r="D1208" s="1"/>
      <c r="F1208" s="1"/>
      <c r="G1208" s="1"/>
      <c r="H1208" s="2"/>
    </row>
    <row r="1209" spans="1:8" x14ac:dyDescent="0.4">
      <c r="A1209" s="1"/>
      <c r="B1209" s="1"/>
      <c r="C1209" s="1"/>
      <c r="D1209" s="1"/>
      <c r="F1209" s="1"/>
      <c r="G1209" s="1"/>
      <c r="H1209" s="2"/>
    </row>
    <row r="1210" spans="1:8" x14ac:dyDescent="0.4">
      <c r="A1210" s="1"/>
      <c r="B1210" s="1"/>
      <c r="C1210" s="1"/>
      <c r="D1210" s="1"/>
      <c r="F1210" s="1"/>
      <c r="G1210" s="1"/>
      <c r="H1210" s="2"/>
    </row>
    <row r="1211" spans="1:8" x14ac:dyDescent="0.4">
      <c r="A1211" s="1"/>
      <c r="B1211" s="1"/>
      <c r="C1211" s="1"/>
      <c r="D1211" s="1"/>
      <c r="F1211" s="1"/>
      <c r="G1211" s="1"/>
      <c r="H1211" s="2"/>
    </row>
    <row r="1212" spans="1:8" x14ac:dyDescent="0.4">
      <c r="A1212" s="1"/>
      <c r="B1212" s="1"/>
      <c r="C1212" s="1"/>
      <c r="D1212" s="1"/>
      <c r="F1212" s="1"/>
      <c r="G1212" s="1"/>
      <c r="H1212" s="2"/>
    </row>
    <row r="1213" spans="1:8" x14ac:dyDescent="0.4">
      <c r="A1213" s="1"/>
      <c r="B1213" s="1"/>
      <c r="C1213" s="1"/>
      <c r="D1213" s="1"/>
      <c r="F1213" s="1"/>
      <c r="G1213" s="1"/>
      <c r="H1213" s="2"/>
    </row>
    <row r="1214" spans="1:8" x14ac:dyDescent="0.4">
      <c r="A1214" s="1"/>
      <c r="B1214" s="1"/>
      <c r="C1214" s="1"/>
      <c r="D1214" s="1"/>
      <c r="F1214" s="1"/>
      <c r="G1214" s="1"/>
      <c r="H1214" s="2"/>
    </row>
    <row r="1215" spans="1:8" x14ac:dyDescent="0.4">
      <c r="A1215" s="1"/>
      <c r="B1215" s="1"/>
      <c r="C1215" s="1"/>
      <c r="D1215" s="1"/>
      <c r="F1215" s="1"/>
      <c r="G1215" s="1"/>
      <c r="H1215" s="2"/>
    </row>
    <row r="1216" spans="1:8" x14ac:dyDescent="0.4">
      <c r="A1216" s="1"/>
      <c r="B1216" s="1"/>
      <c r="C1216" s="1"/>
      <c r="D1216" s="1"/>
      <c r="F1216" s="1"/>
      <c r="G1216" s="1"/>
      <c r="H1216" s="2"/>
    </row>
    <row r="1217" spans="1:8" x14ac:dyDescent="0.4">
      <c r="A1217" s="1"/>
      <c r="B1217" s="1"/>
      <c r="C1217" s="1"/>
      <c r="D1217" s="1"/>
      <c r="F1217" s="1"/>
      <c r="G1217" s="1"/>
      <c r="H1217" s="2"/>
    </row>
    <row r="1218" spans="1:8" x14ac:dyDescent="0.4">
      <c r="A1218" s="1"/>
      <c r="B1218" s="1"/>
      <c r="C1218" s="1"/>
      <c r="D1218" s="1"/>
      <c r="F1218" s="1"/>
      <c r="G1218" s="1"/>
      <c r="H1218" s="2"/>
    </row>
    <row r="1219" spans="1:8" x14ac:dyDescent="0.4">
      <c r="A1219" s="1"/>
      <c r="B1219" s="1"/>
      <c r="C1219" s="1"/>
      <c r="D1219" s="1"/>
      <c r="F1219" s="1"/>
      <c r="G1219" s="1"/>
      <c r="H1219" s="2"/>
    </row>
    <row r="1220" spans="1:8" x14ac:dyDescent="0.4">
      <c r="A1220" s="1"/>
      <c r="B1220" s="1"/>
      <c r="C1220" s="1"/>
      <c r="D1220" s="1"/>
      <c r="F1220" s="1"/>
      <c r="G1220" s="1"/>
      <c r="H1220" s="2"/>
    </row>
    <row r="1221" spans="1:8" x14ac:dyDescent="0.4">
      <c r="A1221" s="1"/>
      <c r="B1221" s="1"/>
      <c r="C1221" s="1"/>
      <c r="D1221" s="1"/>
      <c r="F1221" s="1"/>
      <c r="G1221" s="1"/>
      <c r="H1221" s="2"/>
    </row>
    <row r="1222" spans="1:8" x14ac:dyDescent="0.4">
      <c r="A1222" s="1"/>
      <c r="B1222" s="1"/>
      <c r="C1222" s="1"/>
      <c r="D1222" s="1"/>
      <c r="F1222" s="1"/>
      <c r="G1222" s="1"/>
      <c r="H1222" s="2"/>
    </row>
    <row r="1223" spans="1:8" x14ac:dyDescent="0.4">
      <c r="A1223" s="1"/>
      <c r="B1223" s="1"/>
      <c r="C1223" s="1"/>
      <c r="D1223" s="1"/>
      <c r="F1223" s="1"/>
      <c r="G1223" s="1"/>
      <c r="H1223" s="2"/>
    </row>
    <row r="1224" spans="1:8" x14ac:dyDescent="0.4">
      <c r="A1224" s="1"/>
      <c r="B1224" s="1"/>
      <c r="C1224" s="1"/>
      <c r="D1224" s="1"/>
      <c r="F1224" s="1"/>
      <c r="G1224" s="1"/>
      <c r="H1224" s="2"/>
    </row>
    <row r="1225" spans="1:8" x14ac:dyDescent="0.4">
      <c r="A1225" s="1"/>
      <c r="B1225" s="1"/>
      <c r="C1225" s="1"/>
      <c r="D1225" s="1"/>
      <c r="F1225" s="1"/>
      <c r="G1225" s="1"/>
      <c r="H1225" s="2"/>
    </row>
    <row r="1226" spans="1:8" x14ac:dyDescent="0.4">
      <c r="A1226" s="1"/>
      <c r="B1226" s="1"/>
      <c r="C1226" s="1"/>
      <c r="D1226" s="1"/>
      <c r="F1226" s="1"/>
      <c r="G1226" s="1"/>
      <c r="H1226" s="2"/>
    </row>
    <row r="1227" spans="1:8" x14ac:dyDescent="0.4">
      <c r="A1227" s="1"/>
      <c r="B1227" s="1"/>
      <c r="C1227" s="1"/>
      <c r="D1227" s="1"/>
      <c r="F1227" s="1"/>
      <c r="G1227" s="1"/>
      <c r="H1227" s="2"/>
    </row>
    <row r="1228" spans="1:8" x14ac:dyDescent="0.4">
      <c r="A1228" s="1"/>
      <c r="B1228" s="1"/>
      <c r="C1228" s="1"/>
      <c r="D1228" s="1"/>
      <c r="F1228" s="1"/>
      <c r="G1228" s="1"/>
      <c r="H1228" s="2"/>
    </row>
    <row r="1229" spans="1:8" x14ac:dyDescent="0.4">
      <c r="A1229" s="1"/>
      <c r="B1229" s="1"/>
      <c r="C1229" s="1"/>
      <c r="D1229" s="1"/>
      <c r="F1229" s="1"/>
      <c r="G1229" s="1"/>
      <c r="H1229" s="2"/>
    </row>
    <row r="1230" spans="1:8" x14ac:dyDescent="0.4">
      <c r="A1230" s="1"/>
      <c r="B1230" s="1"/>
      <c r="C1230" s="1"/>
      <c r="D1230" s="1"/>
      <c r="F1230" s="1"/>
      <c r="G1230" s="1"/>
      <c r="H1230" s="2"/>
    </row>
    <row r="1231" spans="1:8" x14ac:dyDescent="0.4">
      <c r="A1231" s="1"/>
      <c r="B1231" s="1"/>
      <c r="C1231" s="1"/>
      <c r="D1231" s="1"/>
      <c r="F1231" s="1"/>
      <c r="G1231" s="1"/>
      <c r="H1231" s="2"/>
    </row>
    <row r="1232" spans="1:8" x14ac:dyDescent="0.4">
      <c r="A1232" s="1"/>
      <c r="B1232" s="1"/>
      <c r="C1232" s="1"/>
      <c r="D1232" s="1"/>
      <c r="F1232" s="1"/>
      <c r="G1232" s="1"/>
      <c r="H1232" s="2"/>
    </row>
    <row r="1233" spans="1:8" x14ac:dyDescent="0.4">
      <c r="A1233" s="1"/>
      <c r="B1233" s="1"/>
      <c r="C1233" s="1"/>
      <c r="D1233" s="1"/>
      <c r="F1233" s="1"/>
      <c r="G1233" s="1"/>
      <c r="H1233" s="2"/>
    </row>
    <row r="1234" spans="1:8" x14ac:dyDescent="0.4">
      <c r="A1234" s="1"/>
      <c r="B1234" s="1"/>
      <c r="C1234" s="1"/>
      <c r="D1234" s="1"/>
      <c r="F1234" s="1"/>
      <c r="G1234" s="1"/>
      <c r="H1234" s="2"/>
    </row>
    <row r="1235" spans="1:8" x14ac:dyDescent="0.4">
      <c r="A1235" s="1"/>
      <c r="B1235" s="1"/>
      <c r="C1235" s="1"/>
      <c r="D1235" s="1"/>
      <c r="F1235" s="1"/>
      <c r="G1235" s="1"/>
      <c r="H1235" s="2"/>
    </row>
    <row r="1236" spans="1:8" x14ac:dyDescent="0.4">
      <c r="A1236" s="1"/>
      <c r="B1236" s="1"/>
      <c r="C1236" s="1"/>
      <c r="D1236" s="1"/>
      <c r="F1236" s="1"/>
      <c r="G1236" s="1"/>
      <c r="H1236" s="2"/>
    </row>
    <row r="1237" spans="1:8" x14ac:dyDescent="0.4">
      <c r="A1237" s="1"/>
      <c r="B1237" s="1"/>
      <c r="C1237" s="1"/>
      <c r="D1237" s="1"/>
      <c r="F1237" s="1"/>
      <c r="G1237" s="1"/>
      <c r="H1237" s="2"/>
    </row>
    <row r="1238" spans="1:8" x14ac:dyDescent="0.4">
      <c r="A1238" s="1"/>
      <c r="B1238" s="1"/>
      <c r="C1238" s="1"/>
      <c r="D1238" s="1"/>
      <c r="F1238" s="1"/>
      <c r="G1238" s="1"/>
      <c r="H1238" s="2"/>
    </row>
    <row r="1239" spans="1:8" x14ac:dyDescent="0.4">
      <c r="A1239" s="1"/>
      <c r="B1239" s="1"/>
      <c r="C1239" s="1"/>
      <c r="D1239" s="1"/>
      <c r="F1239" s="1"/>
      <c r="G1239" s="1"/>
      <c r="H1239" s="2"/>
    </row>
    <row r="1240" spans="1:8" x14ac:dyDescent="0.4">
      <c r="A1240" s="1"/>
      <c r="B1240" s="1"/>
      <c r="C1240" s="1"/>
      <c r="D1240" s="1"/>
      <c r="F1240" s="1"/>
      <c r="G1240" s="1"/>
      <c r="H1240" s="2"/>
    </row>
    <row r="1241" spans="1:8" x14ac:dyDescent="0.4">
      <c r="A1241" s="1"/>
      <c r="B1241" s="1"/>
      <c r="C1241" s="1"/>
      <c r="D1241" s="1"/>
      <c r="F1241" s="1"/>
      <c r="G1241" s="1"/>
      <c r="H1241" s="2"/>
    </row>
    <row r="1242" spans="1:8" x14ac:dyDescent="0.4">
      <c r="A1242" s="1"/>
      <c r="B1242" s="1"/>
      <c r="C1242" s="1"/>
      <c r="D1242" s="1"/>
      <c r="F1242" s="1"/>
      <c r="G1242" s="1"/>
      <c r="H1242" s="2"/>
    </row>
    <row r="1243" spans="1:8" x14ac:dyDescent="0.4">
      <c r="A1243" s="1"/>
      <c r="B1243" s="1"/>
      <c r="C1243" s="1"/>
      <c r="D1243" s="1"/>
      <c r="F1243" s="1"/>
      <c r="G1243" s="1"/>
      <c r="H1243" s="2"/>
    </row>
    <row r="1244" spans="1:8" x14ac:dyDescent="0.4">
      <c r="A1244" s="1"/>
      <c r="B1244" s="1"/>
      <c r="C1244" s="1"/>
      <c r="D1244" s="1"/>
      <c r="F1244" s="1"/>
      <c r="G1244" s="1"/>
      <c r="H1244" s="2"/>
    </row>
    <row r="1245" spans="1:8" x14ac:dyDescent="0.4">
      <c r="A1245" s="1"/>
      <c r="B1245" s="1"/>
      <c r="C1245" s="1"/>
      <c r="D1245" s="1"/>
      <c r="F1245" s="1"/>
      <c r="G1245" s="1"/>
      <c r="H1245" s="2"/>
    </row>
    <row r="1246" spans="1:8" x14ac:dyDescent="0.4">
      <c r="A1246" s="1"/>
      <c r="B1246" s="1"/>
      <c r="C1246" s="1"/>
      <c r="D1246" s="1"/>
      <c r="F1246" s="1"/>
      <c r="G1246" s="1"/>
      <c r="H1246" s="2"/>
    </row>
    <row r="1247" spans="1:8" x14ac:dyDescent="0.4">
      <c r="A1247" s="1"/>
      <c r="B1247" s="1"/>
      <c r="C1247" s="1"/>
      <c r="D1247" s="1"/>
      <c r="F1247" s="1"/>
      <c r="G1247" s="1"/>
      <c r="H1247" s="2"/>
    </row>
    <row r="1248" spans="1:8" x14ac:dyDescent="0.4">
      <c r="A1248" s="1"/>
      <c r="B1248" s="1"/>
      <c r="C1248" s="1"/>
      <c r="D1248" s="1"/>
      <c r="F1248" s="1"/>
      <c r="G1248" s="1"/>
      <c r="H1248" s="2"/>
    </row>
    <row r="1249" spans="1:8" x14ac:dyDescent="0.4">
      <c r="A1249" s="1"/>
      <c r="B1249" s="1"/>
      <c r="C1249" s="1"/>
      <c r="D1249" s="1"/>
      <c r="F1249" s="1"/>
      <c r="G1249" s="1"/>
      <c r="H1249" s="2"/>
    </row>
    <row r="1250" spans="1:8" x14ac:dyDescent="0.4">
      <c r="A1250" s="1"/>
      <c r="B1250" s="1"/>
      <c r="C1250" s="1"/>
      <c r="D1250" s="1"/>
      <c r="F1250" s="1"/>
      <c r="G1250" s="1"/>
      <c r="H1250" s="2"/>
    </row>
    <row r="1251" spans="1:8" x14ac:dyDescent="0.4">
      <c r="A1251" s="1"/>
      <c r="B1251" s="1"/>
      <c r="C1251" s="1"/>
      <c r="D1251" s="1"/>
      <c r="F1251" s="1"/>
      <c r="G1251" s="1"/>
      <c r="H1251" s="2"/>
    </row>
    <row r="1252" spans="1:8" x14ac:dyDescent="0.4">
      <c r="A1252" s="1"/>
      <c r="B1252" s="1"/>
      <c r="C1252" s="1"/>
      <c r="D1252" s="1"/>
      <c r="F1252" s="1"/>
      <c r="G1252" s="1"/>
      <c r="H1252" s="2"/>
    </row>
    <row r="1253" spans="1:8" x14ac:dyDescent="0.4">
      <c r="A1253" s="1"/>
      <c r="B1253" s="1"/>
      <c r="C1253" s="1"/>
      <c r="D1253" s="1"/>
      <c r="F1253" s="1"/>
      <c r="G1253" s="1"/>
      <c r="H1253" s="2"/>
    </row>
    <row r="1254" spans="1:8" x14ac:dyDescent="0.4">
      <c r="A1254" s="1"/>
      <c r="B1254" s="1"/>
      <c r="C1254" s="1"/>
      <c r="D1254" s="1"/>
      <c r="F1254" s="1"/>
      <c r="G1254" s="1"/>
      <c r="H1254" s="2"/>
    </row>
    <row r="1255" spans="1:8" x14ac:dyDescent="0.4">
      <c r="A1255" s="1"/>
      <c r="B1255" s="1"/>
      <c r="C1255" s="1"/>
      <c r="D1255" s="1"/>
      <c r="F1255" s="1"/>
      <c r="G1255" s="1"/>
      <c r="H1255" s="2"/>
    </row>
    <row r="1256" spans="1:8" x14ac:dyDescent="0.4">
      <c r="A1256" s="1"/>
      <c r="B1256" s="1"/>
      <c r="C1256" s="1"/>
      <c r="D1256" s="1"/>
      <c r="F1256" s="1"/>
      <c r="G1256" s="1"/>
      <c r="H1256" s="2"/>
    </row>
    <row r="1257" spans="1:8" x14ac:dyDescent="0.4">
      <c r="A1257" s="1"/>
      <c r="B1257" s="1"/>
      <c r="C1257" s="1"/>
      <c r="D1257" s="1"/>
      <c r="F1257" s="1"/>
      <c r="G1257" s="1"/>
      <c r="H1257" s="2"/>
    </row>
    <row r="1258" spans="1:8" x14ac:dyDescent="0.4">
      <c r="A1258" s="1"/>
      <c r="B1258" s="1"/>
      <c r="C1258" s="1"/>
      <c r="D1258" s="1"/>
      <c r="F1258" s="1"/>
      <c r="G1258" s="1"/>
      <c r="H1258" s="2"/>
    </row>
    <row r="1259" spans="1:8" x14ac:dyDescent="0.4">
      <c r="A1259" s="1"/>
      <c r="B1259" s="1"/>
      <c r="C1259" s="1"/>
      <c r="D1259" s="1"/>
      <c r="F1259" s="1"/>
      <c r="G1259" s="1"/>
      <c r="H1259" s="2"/>
    </row>
    <row r="1260" spans="1:8" x14ac:dyDescent="0.4">
      <c r="A1260" s="1"/>
      <c r="B1260" s="1"/>
      <c r="C1260" s="1"/>
      <c r="D1260" s="1"/>
      <c r="F1260" s="1"/>
      <c r="G1260" s="1"/>
      <c r="H1260" s="2"/>
    </row>
    <row r="1261" spans="1:8" x14ac:dyDescent="0.4">
      <c r="A1261" s="1"/>
      <c r="B1261" s="1"/>
      <c r="C1261" s="1"/>
      <c r="D1261" s="1"/>
      <c r="F1261" s="1"/>
      <c r="G1261" s="1"/>
      <c r="H1261" s="2"/>
    </row>
    <row r="1262" spans="1:8" x14ac:dyDescent="0.4">
      <c r="A1262" s="1"/>
      <c r="B1262" s="1"/>
      <c r="C1262" s="1"/>
      <c r="D1262" s="1"/>
      <c r="F1262" s="1"/>
      <c r="G1262" s="1"/>
      <c r="H1262" s="2"/>
    </row>
    <row r="1263" spans="1:8" x14ac:dyDescent="0.4">
      <c r="A1263" s="1"/>
      <c r="B1263" s="1"/>
      <c r="C1263" s="1"/>
      <c r="D1263" s="1"/>
      <c r="F1263" s="1"/>
      <c r="G1263" s="1"/>
      <c r="H1263" s="2"/>
    </row>
    <row r="1264" spans="1:8" x14ac:dyDescent="0.4">
      <c r="A1264" s="1"/>
      <c r="B1264" s="1"/>
      <c r="C1264" s="1"/>
      <c r="D1264" s="1"/>
      <c r="F1264" s="1"/>
      <c r="G1264" s="1"/>
      <c r="H1264" s="2"/>
    </row>
    <row r="1265" spans="1:8" x14ac:dyDescent="0.4">
      <c r="A1265" s="1"/>
      <c r="B1265" s="1"/>
      <c r="C1265" s="1"/>
      <c r="D1265" s="1"/>
      <c r="F1265" s="1"/>
      <c r="G1265" s="1"/>
      <c r="H1265" s="2"/>
    </row>
    <row r="1266" spans="1:8" x14ac:dyDescent="0.4">
      <c r="A1266" s="1"/>
      <c r="B1266" s="1"/>
      <c r="C1266" s="1"/>
      <c r="D1266" s="1"/>
      <c r="F1266" s="1"/>
      <c r="G1266" s="1"/>
      <c r="H1266" s="2"/>
    </row>
    <row r="1267" spans="1:8" x14ac:dyDescent="0.4">
      <c r="A1267" s="1"/>
      <c r="B1267" s="1"/>
      <c r="C1267" s="1"/>
      <c r="D1267" s="1"/>
      <c r="F1267" s="1"/>
      <c r="G1267" s="1"/>
      <c r="H1267" s="2"/>
    </row>
    <row r="1268" spans="1:8" x14ac:dyDescent="0.4">
      <c r="A1268" s="1"/>
      <c r="B1268" s="1"/>
      <c r="C1268" s="1"/>
      <c r="D1268" s="1"/>
      <c r="F1268" s="1"/>
      <c r="G1268" s="1"/>
      <c r="H1268" s="2"/>
    </row>
    <row r="1269" spans="1:8" x14ac:dyDescent="0.4">
      <c r="A1269" s="1"/>
      <c r="B1269" s="1"/>
      <c r="C1269" s="1"/>
      <c r="D1269" s="1"/>
      <c r="F1269" s="1"/>
      <c r="G1269" s="1"/>
      <c r="H1269" s="2"/>
    </row>
    <row r="1270" spans="1:8" x14ac:dyDescent="0.4">
      <c r="A1270" s="1"/>
      <c r="B1270" s="1"/>
      <c r="C1270" s="1"/>
      <c r="D1270" s="1"/>
      <c r="F1270" s="1"/>
      <c r="G1270" s="1"/>
      <c r="H1270" s="2"/>
    </row>
    <row r="1271" spans="1:8" x14ac:dyDescent="0.4">
      <c r="A1271" s="1"/>
      <c r="B1271" s="1"/>
      <c r="C1271" s="1"/>
      <c r="D1271" s="1"/>
      <c r="F1271" s="1"/>
      <c r="G1271" s="1"/>
      <c r="H1271" s="2"/>
    </row>
    <row r="1272" spans="1:8" x14ac:dyDescent="0.4">
      <c r="A1272" s="1"/>
      <c r="B1272" s="1"/>
      <c r="C1272" s="1"/>
      <c r="D1272" s="1"/>
      <c r="F1272" s="1"/>
      <c r="G1272" s="1"/>
      <c r="H1272" s="2"/>
    </row>
    <row r="1273" spans="1:8" x14ac:dyDescent="0.4">
      <c r="A1273" s="1"/>
      <c r="B1273" s="1"/>
      <c r="C1273" s="1"/>
      <c r="D1273" s="1"/>
      <c r="F1273" s="1"/>
      <c r="G1273" s="1"/>
      <c r="H1273" s="2"/>
    </row>
    <row r="1274" spans="1:8" x14ac:dyDescent="0.4">
      <c r="A1274" s="1"/>
      <c r="B1274" s="1"/>
      <c r="C1274" s="1"/>
      <c r="D1274" s="1"/>
      <c r="F1274" s="1"/>
      <c r="G1274" s="1"/>
      <c r="H1274" s="2"/>
    </row>
    <row r="1275" spans="1:8" x14ac:dyDescent="0.4">
      <c r="A1275" s="1"/>
      <c r="B1275" s="1"/>
      <c r="C1275" s="1"/>
      <c r="D1275" s="1"/>
      <c r="F1275" s="1"/>
      <c r="G1275" s="1"/>
      <c r="H1275" s="2"/>
    </row>
    <row r="1276" spans="1:8" x14ac:dyDescent="0.4">
      <c r="A1276" s="1"/>
      <c r="B1276" s="1"/>
      <c r="C1276" s="1"/>
      <c r="D1276" s="1"/>
      <c r="F1276" s="1"/>
      <c r="G1276" s="1"/>
      <c r="H1276" s="2"/>
    </row>
    <row r="1277" spans="1:8" x14ac:dyDescent="0.4">
      <c r="A1277" s="1"/>
      <c r="B1277" s="1"/>
      <c r="C1277" s="1"/>
      <c r="D1277" s="1"/>
      <c r="F1277" s="1"/>
      <c r="G1277" s="1"/>
      <c r="H1277" s="2"/>
    </row>
    <row r="1278" spans="1:8" x14ac:dyDescent="0.4">
      <c r="A1278" s="1"/>
      <c r="B1278" s="1"/>
      <c r="C1278" s="1"/>
      <c r="D1278" s="1"/>
      <c r="F1278" s="1"/>
      <c r="G1278" s="1"/>
      <c r="H1278" s="2"/>
    </row>
    <row r="1279" spans="1:8" x14ac:dyDescent="0.4">
      <c r="A1279" s="1"/>
      <c r="B1279" s="1"/>
      <c r="C1279" s="1"/>
      <c r="D1279" s="1"/>
      <c r="F1279" s="1"/>
      <c r="G1279" s="1"/>
      <c r="H1279" s="2"/>
    </row>
    <row r="1280" spans="1:8" x14ac:dyDescent="0.4">
      <c r="A1280" s="1"/>
      <c r="B1280" s="1"/>
      <c r="C1280" s="1"/>
      <c r="D1280" s="1"/>
      <c r="F1280" s="1"/>
      <c r="G1280" s="1"/>
      <c r="H1280" s="2"/>
    </row>
    <row r="1281" spans="1:8" x14ac:dyDescent="0.4">
      <c r="A1281" s="1"/>
      <c r="B1281" s="1"/>
      <c r="C1281" s="1"/>
      <c r="D1281" s="1"/>
      <c r="F1281" s="1"/>
      <c r="G1281" s="1"/>
      <c r="H1281" s="2"/>
    </row>
    <row r="1282" spans="1:8" x14ac:dyDescent="0.4">
      <c r="A1282" s="1"/>
      <c r="B1282" s="1"/>
      <c r="C1282" s="1"/>
      <c r="D1282" s="1"/>
      <c r="F1282" s="1"/>
      <c r="G1282" s="1"/>
      <c r="H1282" s="2"/>
    </row>
    <row r="1283" spans="1:8" x14ac:dyDescent="0.4">
      <c r="A1283" s="1"/>
      <c r="B1283" s="1"/>
      <c r="C1283" s="1"/>
      <c r="D1283" s="1"/>
      <c r="F1283" s="1"/>
      <c r="G1283" s="1"/>
      <c r="H1283" s="2"/>
    </row>
    <row r="1284" spans="1:8" x14ac:dyDescent="0.4">
      <c r="A1284" s="1"/>
      <c r="B1284" s="1"/>
      <c r="C1284" s="1"/>
      <c r="D1284" s="1"/>
      <c r="F1284" s="1"/>
      <c r="G1284" s="1"/>
      <c r="H1284" s="2"/>
    </row>
    <row r="1285" spans="1:8" x14ac:dyDescent="0.4">
      <c r="A1285" s="1"/>
      <c r="B1285" s="1"/>
      <c r="C1285" s="1"/>
      <c r="D1285" s="1"/>
      <c r="F1285" s="1"/>
      <c r="G1285" s="1"/>
      <c r="H1285" s="2"/>
    </row>
    <row r="1286" spans="1:8" x14ac:dyDescent="0.4">
      <c r="A1286" s="1"/>
      <c r="B1286" s="1"/>
      <c r="C1286" s="1"/>
      <c r="D1286" s="1"/>
      <c r="F1286" s="1"/>
      <c r="G1286" s="1"/>
      <c r="H1286" s="2"/>
    </row>
    <row r="1287" spans="1:8" x14ac:dyDescent="0.4">
      <c r="A1287" s="1"/>
      <c r="B1287" s="1"/>
      <c r="C1287" s="1"/>
      <c r="D1287" s="1"/>
      <c r="F1287" s="1"/>
      <c r="G1287" s="1"/>
      <c r="H1287" s="2"/>
    </row>
    <row r="1288" spans="1:8" x14ac:dyDescent="0.4">
      <c r="A1288" s="1"/>
      <c r="B1288" s="1"/>
      <c r="C1288" s="1"/>
      <c r="D1288" s="1"/>
      <c r="F1288" s="1"/>
      <c r="G1288" s="1"/>
      <c r="H1288" s="2"/>
    </row>
    <row r="1289" spans="1:8" x14ac:dyDescent="0.4">
      <c r="A1289" s="1"/>
      <c r="B1289" s="1"/>
      <c r="C1289" s="1"/>
      <c r="D1289" s="1"/>
      <c r="F1289" s="1"/>
      <c r="G1289" s="1"/>
      <c r="H1289" s="2"/>
    </row>
    <row r="1290" spans="1:8" x14ac:dyDescent="0.4">
      <c r="A1290" s="1"/>
      <c r="B1290" s="1"/>
      <c r="C1290" s="1"/>
      <c r="D1290" s="1"/>
      <c r="F1290" s="1"/>
      <c r="G1290" s="1"/>
      <c r="H1290" s="2"/>
    </row>
    <row r="1291" spans="1:8" x14ac:dyDescent="0.4">
      <c r="A1291" s="1"/>
      <c r="B1291" s="1"/>
      <c r="C1291" s="1"/>
      <c r="D1291" s="1"/>
      <c r="F1291" s="1"/>
      <c r="G1291" s="1"/>
      <c r="H1291" s="2"/>
    </row>
    <row r="1292" spans="1:8" x14ac:dyDescent="0.4">
      <c r="A1292" s="1"/>
      <c r="B1292" s="1"/>
      <c r="C1292" s="1"/>
      <c r="D1292" s="1"/>
      <c r="F1292" s="1"/>
      <c r="G1292" s="1"/>
      <c r="H1292" s="2"/>
    </row>
    <row r="1293" spans="1:8" x14ac:dyDescent="0.4">
      <c r="A1293" s="1"/>
      <c r="B1293" s="1"/>
      <c r="C1293" s="1"/>
      <c r="D1293" s="1"/>
      <c r="F1293" s="1"/>
      <c r="G1293" s="1"/>
      <c r="H1293" s="2"/>
    </row>
    <row r="1294" spans="1:8" x14ac:dyDescent="0.4">
      <c r="A1294" s="1"/>
      <c r="B1294" s="1"/>
      <c r="C1294" s="1"/>
      <c r="D1294" s="1"/>
      <c r="F1294" s="1"/>
      <c r="G1294" s="1"/>
      <c r="H1294" s="2"/>
    </row>
    <row r="1295" spans="1:8" x14ac:dyDescent="0.4">
      <c r="A1295" s="1"/>
      <c r="B1295" s="1"/>
      <c r="C1295" s="1"/>
      <c r="D1295" s="1"/>
      <c r="F1295" s="1"/>
      <c r="G1295" s="1"/>
      <c r="H1295" s="2"/>
    </row>
    <row r="1296" spans="1:8" x14ac:dyDescent="0.4">
      <c r="A1296" s="1"/>
      <c r="B1296" s="1"/>
      <c r="C1296" s="1"/>
      <c r="D1296" s="1"/>
      <c r="F1296" s="1"/>
      <c r="G1296" s="1"/>
      <c r="H1296" s="2"/>
    </row>
    <row r="1297" spans="1:8" x14ac:dyDescent="0.4">
      <c r="A1297" s="1"/>
      <c r="B1297" s="1"/>
      <c r="C1297" s="1"/>
      <c r="D1297" s="1"/>
      <c r="F1297" s="1"/>
      <c r="G1297" s="1"/>
      <c r="H1297" s="2"/>
    </row>
    <row r="1298" spans="1:8" x14ac:dyDescent="0.4">
      <c r="A1298" s="1"/>
      <c r="B1298" s="1"/>
      <c r="C1298" s="1"/>
      <c r="D1298" s="1"/>
      <c r="F1298" s="1"/>
      <c r="G1298" s="1"/>
      <c r="H1298" s="2"/>
    </row>
    <row r="1299" spans="1:8" x14ac:dyDescent="0.4">
      <c r="A1299" s="1"/>
      <c r="B1299" s="1"/>
      <c r="C1299" s="1"/>
      <c r="D1299" s="1"/>
      <c r="F1299" s="1"/>
      <c r="G1299" s="1"/>
      <c r="H1299" s="2"/>
    </row>
    <row r="1300" spans="1:8" x14ac:dyDescent="0.4">
      <c r="A1300" s="1"/>
      <c r="B1300" s="1"/>
      <c r="C1300" s="1"/>
      <c r="D1300" s="1"/>
      <c r="F1300" s="1"/>
      <c r="G1300" s="1"/>
      <c r="H1300" s="2"/>
    </row>
    <row r="1301" spans="1:8" x14ac:dyDescent="0.4">
      <c r="A1301" s="1"/>
      <c r="B1301" s="1"/>
      <c r="C1301" s="1"/>
      <c r="D1301" s="1"/>
      <c r="F1301" s="1"/>
      <c r="G1301" s="1"/>
      <c r="H1301" s="2"/>
    </row>
    <row r="1302" spans="1:8" x14ac:dyDescent="0.4">
      <c r="A1302" s="1"/>
      <c r="B1302" s="1"/>
      <c r="C1302" s="1"/>
      <c r="D1302" s="1"/>
      <c r="F1302" s="1"/>
      <c r="G1302" s="1"/>
      <c r="H1302" s="2"/>
    </row>
    <row r="1303" spans="1:8" x14ac:dyDescent="0.4">
      <c r="A1303" s="1"/>
      <c r="B1303" s="1"/>
      <c r="C1303" s="1"/>
      <c r="D1303" s="1"/>
      <c r="F1303" s="1"/>
      <c r="G1303" s="1"/>
      <c r="H1303" s="2"/>
    </row>
    <row r="1304" spans="1:8" x14ac:dyDescent="0.4">
      <c r="A1304" s="1"/>
      <c r="B1304" s="1"/>
      <c r="C1304" s="1"/>
      <c r="D1304" s="1"/>
      <c r="F1304" s="1"/>
      <c r="G1304" s="1"/>
      <c r="H1304" s="2"/>
    </row>
    <row r="1305" spans="1:8" x14ac:dyDescent="0.4">
      <c r="A1305" s="1"/>
      <c r="B1305" s="1"/>
      <c r="C1305" s="1"/>
      <c r="D1305" s="1"/>
      <c r="F1305" s="1"/>
      <c r="G1305" s="1"/>
      <c r="H1305" s="2"/>
    </row>
    <row r="1306" spans="1:8" x14ac:dyDescent="0.4">
      <c r="A1306" s="1"/>
      <c r="B1306" s="1"/>
      <c r="C1306" s="1"/>
      <c r="D1306" s="1"/>
      <c r="F1306" s="1"/>
      <c r="G1306" s="1"/>
      <c r="H1306" s="2"/>
    </row>
    <row r="1307" spans="1:8" x14ac:dyDescent="0.4">
      <c r="A1307" s="1"/>
      <c r="B1307" s="1"/>
      <c r="C1307" s="1"/>
      <c r="D1307" s="1"/>
      <c r="F1307" s="1"/>
      <c r="G1307" s="1"/>
      <c r="H1307" s="2"/>
    </row>
    <row r="1308" spans="1:8" x14ac:dyDescent="0.4">
      <c r="A1308" s="1"/>
      <c r="B1308" s="1"/>
      <c r="C1308" s="1"/>
      <c r="D1308" s="1"/>
      <c r="F1308" s="1"/>
      <c r="G1308" s="1"/>
      <c r="H1308" s="2"/>
    </row>
    <row r="1309" spans="1:8" x14ac:dyDescent="0.4">
      <c r="A1309" s="1"/>
      <c r="B1309" s="1"/>
      <c r="C1309" s="1"/>
      <c r="D1309" s="1"/>
      <c r="F1309" s="1"/>
      <c r="G1309" s="1"/>
      <c r="H1309" s="2"/>
    </row>
    <row r="1310" spans="1:8" x14ac:dyDescent="0.4">
      <c r="A1310" s="1"/>
      <c r="B1310" s="1"/>
      <c r="C1310" s="1"/>
      <c r="D1310" s="1"/>
      <c r="F1310" s="1"/>
      <c r="G1310" s="1"/>
      <c r="H1310" s="2"/>
    </row>
    <row r="1311" spans="1:8" x14ac:dyDescent="0.4">
      <c r="A1311" s="1"/>
      <c r="B1311" s="1"/>
      <c r="C1311" s="1"/>
      <c r="D1311" s="1"/>
      <c r="F1311" s="1"/>
      <c r="G1311" s="1"/>
      <c r="H1311" s="2"/>
    </row>
    <row r="1312" spans="1:8" x14ac:dyDescent="0.4">
      <c r="A1312" s="1"/>
      <c r="B1312" s="1"/>
      <c r="C1312" s="1"/>
      <c r="D1312" s="1"/>
      <c r="F1312" s="1"/>
      <c r="G1312" s="1"/>
      <c r="H1312" s="2"/>
    </row>
    <row r="1313" spans="1:8" x14ac:dyDescent="0.4">
      <c r="A1313" s="1"/>
      <c r="B1313" s="1"/>
      <c r="C1313" s="1"/>
      <c r="D1313" s="1"/>
      <c r="F1313" s="1"/>
      <c r="G1313" s="1"/>
      <c r="H1313" s="2"/>
    </row>
    <row r="1314" spans="1:8" x14ac:dyDescent="0.4">
      <c r="A1314" s="1"/>
      <c r="B1314" s="1"/>
      <c r="C1314" s="1"/>
      <c r="D1314" s="1"/>
      <c r="F1314" s="1"/>
      <c r="G1314" s="1"/>
      <c r="H1314" s="2"/>
    </row>
    <row r="1315" spans="1:8" x14ac:dyDescent="0.4">
      <c r="A1315" s="1"/>
      <c r="B1315" s="1"/>
      <c r="C1315" s="1"/>
      <c r="D1315" s="1"/>
      <c r="F1315" s="1"/>
      <c r="G1315" s="1"/>
      <c r="H1315" s="2"/>
    </row>
    <row r="1316" spans="1:8" x14ac:dyDescent="0.4">
      <c r="A1316" s="1"/>
      <c r="B1316" s="1"/>
      <c r="C1316" s="1"/>
      <c r="D1316" s="1"/>
      <c r="F1316" s="1"/>
      <c r="G1316" s="1"/>
      <c r="H1316" s="2"/>
    </row>
    <row r="1317" spans="1:8" x14ac:dyDescent="0.4">
      <c r="A1317" s="1"/>
      <c r="B1317" s="1"/>
      <c r="C1317" s="1"/>
      <c r="D1317" s="1"/>
      <c r="F1317" s="1"/>
      <c r="G1317" s="1"/>
      <c r="H1317" s="2"/>
    </row>
    <row r="1318" spans="1:8" x14ac:dyDescent="0.4">
      <c r="A1318" s="1"/>
      <c r="B1318" s="1"/>
      <c r="C1318" s="1"/>
      <c r="D1318" s="1"/>
      <c r="F1318" s="1"/>
      <c r="G1318" s="1"/>
      <c r="H1318" s="2"/>
    </row>
    <row r="1319" spans="1:8" x14ac:dyDescent="0.4">
      <c r="A1319" s="1"/>
      <c r="B1319" s="1"/>
      <c r="C1319" s="1"/>
      <c r="D1319" s="1"/>
      <c r="F1319" s="1"/>
      <c r="G1319" s="1"/>
      <c r="H1319" s="2"/>
    </row>
    <row r="1320" spans="1:8" x14ac:dyDescent="0.4">
      <c r="A1320" s="1"/>
      <c r="B1320" s="1"/>
      <c r="C1320" s="1"/>
      <c r="D1320" s="1"/>
      <c r="F1320" s="1"/>
      <c r="G1320" s="1"/>
      <c r="H1320" s="2"/>
    </row>
    <row r="1321" spans="1:8" x14ac:dyDescent="0.4">
      <c r="A1321" s="1"/>
      <c r="B1321" s="1"/>
      <c r="C1321" s="1"/>
      <c r="D1321" s="1"/>
      <c r="F1321" s="1"/>
      <c r="G1321" s="1"/>
      <c r="H1321" s="2"/>
    </row>
    <row r="1322" spans="1:8" x14ac:dyDescent="0.4">
      <c r="A1322" s="1"/>
      <c r="B1322" s="1"/>
      <c r="C1322" s="1"/>
      <c r="D1322" s="1"/>
      <c r="F1322" s="1"/>
      <c r="G1322" s="1"/>
      <c r="H1322" s="2"/>
    </row>
    <row r="1323" spans="1:8" x14ac:dyDescent="0.4">
      <c r="A1323" s="1"/>
      <c r="B1323" s="1"/>
      <c r="C1323" s="1"/>
      <c r="D1323" s="1"/>
      <c r="F1323" s="1"/>
      <c r="G1323" s="1"/>
      <c r="H1323" s="2"/>
    </row>
    <row r="1324" spans="1:8" x14ac:dyDescent="0.4">
      <c r="A1324" s="1"/>
      <c r="B1324" s="1"/>
      <c r="C1324" s="1"/>
      <c r="D1324" s="1"/>
      <c r="F1324" s="1"/>
      <c r="G1324" s="1"/>
      <c r="H1324" s="2"/>
    </row>
    <row r="1325" spans="1:8" x14ac:dyDescent="0.4">
      <c r="A1325" s="1"/>
      <c r="B1325" s="1"/>
      <c r="C1325" s="1"/>
      <c r="D1325" s="1"/>
      <c r="F1325" s="1"/>
      <c r="G1325" s="1"/>
      <c r="H1325" s="2"/>
    </row>
    <row r="1326" spans="1:8" x14ac:dyDescent="0.4">
      <c r="A1326" s="1"/>
      <c r="B1326" s="1"/>
      <c r="C1326" s="1"/>
      <c r="D1326" s="1"/>
      <c r="F1326" s="1"/>
      <c r="G1326" s="1"/>
      <c r="H1326" s="2"/>
    </row>
    <row r="1327" spans="1:8" x14ac:dyDescent="0.4">
      <c r="A1327" s="1"/>
      <c r="B1327" s="1"/>
      <c r="C1327" s="1"/>
      <c r="D1327" s="1"/>
      <c r="F1327" s="1"/>
      <c r="G1327" s="1"/>
      <c r="H1327" s="2"/>
    </row>
    <row r="1328" spans="1:8" x14ac:dyDescent="0.4">
      <c r="A1328" s="1"/>
      <c r="B1328" s="1"/>
      <c r="C1328" s="1"/>
      <c r="D1328" s="1"/>
      <c r="F1328" s="1"/>
      <c r="G1328" s="1"/>
      <c r="H1328" s="2"/>
    </row>
    <row r="1329" spans="1:8" x14ac:dyDescent="0.4">
      <c r="A1329" s="1"/>
      <c r="B1329" s="1"/>
      <c r="C1329" s="1"/>
      <c r="D1329" s="1"/>
      <c r="F1329" s="1"/>
      <c r="G1329" s="1"/>
      <c r="H1329" s="2"/>
    </row>
    <row r="1330" spans="1:8" x14ac:dyDescent="0.4">
      <c r="A1330" s="1"/>
      <c r="B1330" s="1"/>
      <c r="C1330" s="1"/>
      <c r="D1330" s="1"/>
      <c r="F1330" s="1"/>
      <c r="G1330" s="1"/>
      <c r="H1330" s="2"/>
    </row>
    <row r="1331" spans="1:8" x14ac:dyDescent="0.4">
      <c r="A1331" s="1"/>
      <c r="B1331" s="1"/>
      <c r="C1331" s="1"/>
      <c r="D1331" s="1"/>
      <c r="F1331" s="1"/>
      <c r="G1331" s="1"/>
      <c r="H1331" s="2"/>
    </row>
    <row r="1332" spans="1:8" x14ac:dyDescent="0.4">
      <c r="A1332" s="1"/>
      <c r="B1332" s="1"/>
      <c r="C1332" s="1"/>
      <c r="D1332" s="1"/>
      <c r="F1332" s="1"/>
      <c r="G1332" s="1"/>
      <c r="H1332" s="2"/>
    </row>
    <row r="1333" spans="1:8" x14ac:dyDescent="0.4">
      <c r="A1333" s="1"/>
      <c r="B1333" s="1"/>
      <c r="C1333" s="1"/>
      <c r="D1333" s="1"/>
      <c r="F1333" s="1"/>
      <c r="G1333" s="1"/>
      <c r="H1333" s="2"/>
    </row>
    <row r="1334" spans="1:8" x14ac:dyDescent="0.4">
      <c r="A1334" s="1"/>
      <c r="B1334" s="1"/>
      <c r="C1334" s="1"/>
      <c r="D1334" s="1"/>
      <c r="F1334" s="1"/>
      <c r="G1334" s="1"/>
      <c r="H1334" s="2"/>
    </row>
    <row r="1335" spans="1:8" x14ac:dyDescent="0.4">
      <c r="A1335" s="1"/>
      <c r="B1335" s="1"/>
      <c r="C1335" s="1"/>
      <c r="D1335" s="1"/>
      <c r="F1335" s="1"/>
      <c r="G1335" s="1"/>
      <c r="H1335" s="2"/>
    </row>
    <row r="1336" spans="1:8" x14ac:dyDescent="0.4">
      <c r="A1336" s="1"/>
      <c r="B1336" s="1"/>
      <c r="C1336" s="1"/>
      <c r="D1336" s="1"/>
      <c r="F1336" s="1"/>
      <c r="G1336" s="1"/>
      <c r="H1336" s="2"/>
    </row>
    <row r="1337" spans="1:8" x14ac:dyDescent="0.4">
      <c r="A1337" s="1"/>
      <c r="B1337" s="1"/>
      <c r="C1337" s="1"/>
      <c r="D1337" s="1"/>
      <c r="F1337" s="1"/>
      <c r="G1337" s="1"/>
      <c r="H1337" s="2"/>
    </row>
    <row r="1338" spans="1:8" x14ac:dyDescent="0.4">
      <c r="A1338" s="1"/>
      <c r="B1338" s="1"/>
      <c r="C1338" s="1"/>
      <c r="D1338" s="1"/>
      <c r="F1338" s="1"/>
      <c r="G1338" s="1"/>
      <c r="H1338" s="2"/>
    </row>
    <row r="1339" spans="1:8" x14ac:dyDescent="0.4">
      <c r="A1339" s="1"/>
      <c r="B1339" s="1"/>
      <c r="C1339" s="1"/>
      <c r="D1339" s="1"/>
      <c r="F1339" s="1"/>
      <c r="G1339" s="1"/>
      <c r="H1339" s="2"/>
    </row>
    <row r="1340" spans="1:8" x14ac:dyDescent="0.4">
      <c r="A1340" s="1"/>
      <c r="B1340" s="1"/>
      <c r="C1340" s="1"/>
      <c r="D1340" s="1"/>
      <c r="F1340" s="1"/>
      <c r="G1340" s="1"/>
      <c r="H1340" s="2"/>
    </row>
    <row r="1341" spans="1:8" x14ac:dyDescent="0.4">
      <c r="A1341" s="1"/>
      <c r="B1341" s="1"/>
      <c r="C1341" s="1"/>
      <c r="D1341" s="1"/>
      <c r="F1341" s="1"/>
      <c r="G1341" s="1"/>
      <c r="H1341" s="2"/>
    </row>
    <row r="1342" spans="1:8" x14ac:dyDescent="0.4">
      <c r="A1342" s="1"/>
      <c r="B1342" s="1"/>
      <c r="C1342" s="1"/>
      <c r="D1342" s="1"/>
      <c r="F1342" s="1"/>
      <c r="G1342" s="1"/>
      <c r="H1342" s="2"/>
    </row>
    <row r="1343" spans="1:8" x14ac:dyDescent="0.4">
      <c r="A1343" s="1"/>
      <c r="B1343" s="1"/>
      <c r="C1343" s="1"/>
      <c r="D1343" s="1"/>
      <c r="F1343" s="1"/>
      <c r="G1343" s="1"/>
      <c r="H1343" s="2"/>
    </row>
    <row r="1344" spans="1:8" x14ac:dyDescent="0.4">
      <c r="A1344" s="1"/>
      <c r="B1344" s="1"/>
      <c r="C1344" s="1"/>
      <c r="D1344" s="1"/>
      <c r="F1344" s="1"/>
      <c r="G1344" s="1"/>
      <c r="H1344" s="2"/>
    </row>
    <row r="1345" spans="1:8" x14ac:dyDescent="0.4">
      <c r="A1345" s="1"/>
      <c r="B1345" s="1"/>
      <c r="C1345" s="1"/>
      <c r="D1345" s="1"/>
      <c r="F1345" s="1"/>
      <c r="G1345" s="1"/>
      <c r="H1345" s="2"/>
    </row>
    <row r="1346" spans="1:8" x14ac:dyDescent="0.4">
      <c r="A1346" s="1"/>
      <c r="B1346" s="1"/>
      <c r="C1346" s="1"/>
      <c r="D1346" s="1"/>
      <c r="F1346" s="1"/>
      <c r="G1346" s="1"/>
      <c r="H1346" s="2"/>
    </row>
    <row r="1347" spans="1:8" x14ac:dyDescent="0.4">
      <c r="A1347" s="1"/>
      <c r="B1347" s="1"/>
      <c r="C1347" s="1"/>
      <c r="D1347" s="1"/>
      <c r="F1347" s="1"/>
      <c r="G1347" s="1"/>
      <c r="H1347" s="2"/>
    </row>
    <row r="1348" spans="1:8" x14ac:dyDescent="0.4">
      <c r="A1348" s="1"/>
      <c r="B1348" s="1"/>
      <c r="C1348" s="1"/>
      <c r="D1348" s="1"/>
      <c r="F1348" s="1"/>
      <c r="G1348" s="1"/>
      <c r="H1348" s="2"/>
    </row>
    <row r="1349" spans="1:8" x14ac:dyDescent="0.4">
      <c r="A1349" s="1"/>
      <c r="B1349" s="1"/>
      <c r="C1349" s="1"/>
      <c r="D1349" s="1"/>
      <c r="F1349" s="1"/>
      <c r="G1349" s="1"/>
      <c r="H1349" s="2"/>
    </row>
    <row r="1350" spans="1:8" x14ac:dyDescent="0.4">
      <c r="A1350" s="1"/>
      <c r="B1350" s="1"/>
      <c r="C1350" s="1"/>
      <c r="D1350" s="1"/>
      <c r="F1350" s="1"/>
      <c r="G1350" s="1"/>
      <c r="H1350" s="2"/>
    </row>
    <row r="1351" spans="1:8" x14ac:dyDescent="0.4">
      <c r="A1351" s="1"/>
      <c r="B1351" s="1"/>
      <c r="C1351" s="1"/>
      <c r="D1351" s="1"/>
      <c r="F1351" s="1"/>
      <c r="G1351" s="1"/>
      <c r="H1351" s="2"/>
    </row>
    <row r="1352" spans="1:8" x14ac:dyDescent="0.4">
      <c r="A1352" s="1"/>
      <c r="B1352" s="1"/>
      <c r="C1352" s="1"/>
      <c r="D1352" s="1"/>
      <c r="F1352" s="1"/>
      <c r="G1352" s="1"/>
      <c r="H1352" s="2"/>
    </row>
    <row r="1353" spans="1:8" x14ac:dyDescent="0.4">
      <c r="A1353" s="1"/>
      <c r="B1353" s="1"/>
      <c r="C1353" s="1"/>
      <c r="D1353" s="1"/>
      <c r="F1353" s="1"/>
      <c r="G1353" s="1"/>
      <c r="H1353" s="2"/>
    </row>
    <row r="1354" spans="1:8" x14ac:dyDescent="0.4">
      <c r="A1354" s="1"/>
      <c r="B1354" s="1"/>
      <c r="C1354" s="1"/>
      <c r="D1354" s="1"/>
      <c r="F1354" s="1"/>
      <c r="G1354" s="1"/>
      <c r="H1354" s="2"/>
    </row>
    <row r="1355" spans="1:8" x14ac:dyDescent="0.4">
      <c r="A1355" s="1"/>
      <c r="B1355" s="1"/>
      <c r="C1355" s="1"/>
      <c r="D1355" s="1"/>
      <c r="F1355" s="1"/>
      <c r="G1355" s="1"/>
      <c r="H1355" s="2"/>
    </row>
    <row r="1356" spans="1:8" x14ac:dyDescent="0.4">
      <c r="A1356" s="1"/>
      <c r="B1356" s="1"/>
      <c r="C1356" s="1"/>
      <c r="D1356" s="1"/>
      <c r="F1356" s="1"/>
      <c r="G1356" s="1"/>
      <c r="H1356" s="2"/>
    </row>
    <row r="1357" spans="1:8" x14ac:dyDescent="0.4">
      <c r="A1357" s="1"/>
      <c r="B1357" s="1"/>
      <c r="C1357" s="1"/>
      <c r="D1357" s="1"/>
      <c r="F1357" s="1"/>
      <c r="G1357" s="1"/>
      <c r="H1357" s="2"/>
    </row>
    <row r="1358" spans="1:8" x14ac:dyDescent="0.4">
      <c r="A1358" s="1"/>
      <c r="B1358" s="1"/>
      <c r="C1358" s="1"/>
      <c r="D1358" s="1"/>
      <c r="F1358" s="1"/>
      <c r="G1358" s="1"/>
      <c r="H1358" s="2"/>
    </row>
    <row r="1359" spans="1:8" x14ac:dyDescent="0.4">
      <c r="A1359" s="1"/>
      <c r="B1359" s="1"/>
      <c r="C1359" s="1"/>
      <c r="D1359" s="1"/>
      <c r="F1359" s="1"/>
      <c r="G1359" s="1"/>
      <c r="H1359" s="2"/>
    </row>
    <row r="1360" spans="1:8" x14ac:dyDescent="0.4">
      <c r="A1360" s="1"/>
      <c r="B1360" s="1"/>
      <c r="C1360" s="1"/>
      <c r="D1360" s="1"/>
      <c r="F1360" s="1"/>
      <c r="G1360" s="1"/>
      <c r="H1360" s="2"/>
    </row>
    <row r="1361" spans="1:8" x14ac:dyDescent="0.4">
      <c r="A1361" s="1"/>
      <c r="B1361" s="1"/>
      <c r="C1361" s="1"/>
      <c r="D1361" s="1"/>
      <c r="F1361" s="1"/>
      <c r="G1361" s="1"/>
      <c r="H1361" s="2"/>
    </row>
    <row r="1362" spans="1:8" x14ac:dyDescent="0.4">
      <c r="A1362" s="1"/>
      <c r="B1362" s="1"/>
      <c r="C1362" s="1"/>
      <c r="D1362" s="1"/>
      <c r="F1362" s="1"/>
      <c r="G1362" s="1"/>
      <c r="H1362" s="2"/>
    </row>
    <row r="1363" spans="1:8" x14ac:dyDescent="0.4">
      <c r="A1363" s="1"/>
      <c r="B1363" s="1"/>
      <c r="C1363" s="1"/>
      <c r="D1363" s="1"/>
      <c r="F1363" s="1"/>
      <c r="G1363" s="1"/>
      <c r="H1363" s="2"/>
    </row>
    <row r="1364" spans="1:8" x14ac:dyDescent="0.4">
      <c r="A1364" s="1"/>
      <c r="B1364" s="1"/>
      <c r="C1364" s="1"/>
      <c r="D1364" s="1"/>
      <c r="F1364" s="1"/>
      <c r="G1364" s="1"/>
      <c r="H1364" s="2"/>
    </row>
    <row r="1365" spans="1:8" x14ac:dyDescent="0.4">
      <c r="A1365" s="1"/>
      <c r="B1365" s="1"/>
      <c r="C1365" s="1"/>
      <c r="D1365" s="1"/>
      <c r="F1365" s="1"/>
      <c r="G1365" s="1"/>
      <c r="H1365" s="2"/>
    </row>
    <row r="1366" spans="1:8" x14ac:dyDescent="0.4">
      <c r="A1366" s="1"/>
      <c r="B1366" s="1"/>
      <c r="C1366" s="1"/>
      <c r="D1366" s="1"/>
      <c r="F1366" s="1"/>
      <c r="G1366" s="1"/>
      <c r="H1366" s="2"/>
    </row>
    <row r="1367" spans="1:8" x14ac:dyDescent="0.4">
      <c r="A1367" s="1"/>
      <c r="B1367" s="1"/>
      <c r="C1367" s="1"/>
      <c r="D1367" s="1"/>
      <c r="F1367" s="1"/>
      <c r="G1367" s="1"/>
      <c r="H1367" s="2"/>
    </row>
    <row r="1368" spans="1:8" x14ac:dyDescent="0.4">
      <c r="A1368" s="1"/>
      <c r="B1368" s="1"/>
      <c r="C1368" s="1"/>
      <c r="D1368" s="1"/>
      <c r="F1368" s="1"/>
      <c r="G1368" s="1"/>
      <c r="H1368" s="2"/>
    </row>
    <row r="1369" spans="1:8" x14ac:dyDescent="0.4">
      <c r="A1369" s="1"/>
      <c r="B1369" s="1"/>
      <c r="C1369" s="1"/>
      <c r="D1369" s="1"/>
      <c r="F1369" s="1"/>
      <c r="G1369" s="1"/>
      <c r="H1369" s="2"/>
    </row>
    <row r="1370" spans="1:8" x14ac:dyDescent="0.4">
      <c r="A1370" s="1"/>
      <c r="B1370" s="1"/>
      <c r="C1370" s="1"/>
      <c r="D1370" s="1"/>
      <c r="F1370" s="1"/>
      <c r="G1370" s="1"/>
      <c r="H1370" s="2"/>
    </row>
    <row r="1371" spans="1:8" x14ac:dyDescent="0.4">
      <c r="A1371" s="1"/>
      <c r="B1371" s="1"/>
      <c r="C1371" s="1"/>
      <c r="D1371" s="1"/>
      <c r="F1371" s="1"/>
      <c r="G1371" s="1"/>
      <c r="H1371" s="2"/>
    </row>
    <row r="1372" spans="1:8" x14ac:dyDescent="0.4">
      <c r="A1372" s="1"/>
      <c r="B1372" s="1"/>
      <c r="C1372" s="1"/>
      <c r="D1372" s="1"/>
      <c r="F1372" s="1"/>
      <c r="G1372" s="1"/>
      <c r="H1372" s="2"/>
    </row>
    <row r="1373" spans="1:8" x14ac:dyDescent="0.4">
      <c r="A1373" s="1"/>
      <c r="B1373" s="1"/>
      <c r="C1373" s="1"/>
      <c r="D1373" s="1"/>
      <c r="F1373" s="1"/>
      <c r="G1373" s="1"/>
      <c r="H1373" s="2"/>
    </row>
    <row r="1374" spans="1:8" x14ac:dyDescent="0.4">
      <c r="A1374" s="1"/>
      <c r="B1374" s="1"/>
      <c r="C1374" s="1"/>
      <c r="D1374" s="1"/>
      <c r="F1374" s="1"/>
      <c r="G1374" s="1"/>
      <c r="H1374" s="2"/>
    </row>
    <row r="1375" spans="1:8" x14ac:dyDescent="0.4">
      <c r="A1375" s="1"/>
      <c r="B1375" s="1"/>
      <c r="C1375" s="1"/>
      <c r="D1375" s="1"/>
      <c r="F1375" s="1"/>
      <c r="G1375" s="1"/>
      <c r="H1375" s="2"/>
    </row>
    <row r="1376" spans="1:8" x14ac:dyDescent="0.4">
      <c r="A1376" s="1"/>
      <c r="B1376" s="1"/>
      <c r="C1376" s="1"/>
      <c r="D1376" s="1"/>
      <c r="F1376" s="1"/>
      <c r="G1376" s="1"/>
      <c r="H1376" s="2"/>
    </row>
    <row r="1377" spans="1:8" x14ac:dyDescent="0.4">
      <c r="A1377" s="1"/>
      <c r="B1377" s="1"/>
      <c r="C1377" s="1"/>
      <c r="D1377" s="1"/>
      <c r="F1377" s="1"/>
      <c r="G1377" s="1"/>
      <c r="H1377" s="2"/>
    </row>
    <row r="1378" spans="1:8" x14ac:dyDescent="0.4">
      <c r="A1378" s="1"/>
      <c r="B1378" s="1"/>
      <c r="C1378" s="1"/>
      <c r="D1378" s="1"/>
      <c r="F1378" s="1"/>
      <c r="G1378" s="1"/>
      <c r="H1378" s="2"/>
    </row>
    <row r="1379" spans="1:8" x14ac:dyDescent="0.4">
      <c r="A1379" s="1"/>
      <c r="B1379" s="1"/>
      <c r="C1379" s="1"/>
      <c r="D1379" s="1"/>
      <c r="F1379" s="1"/>
      <c r="G1379" s="1"/>
      <c r="H1379" s="2"/>
    </row>
    <row r="1380" spans="1:8" x14ac:dyDescent="0.4">
      <c r="A1380" s="1"/>
      <c r="B1380" s="1"/>
      <c r="C1380" s="1"/>
      <c r="D1380" s="1"/>
      <c r="F1380" s="1"/>
      <c r="G1380" s="1"/>
      <c r="H1380" s="2"/>
    </row>
    <row r="1381" spans="1:8" x14ac:dyDescent="0.4">
      <c r="A1381" s="1"/>
      <c r="B1381" s="1"/>
      <c r="C1381" s="1"/>
      <c r="D1381" s="1"/>
      <c r="F1381" s="1"/>
      <c r="G1381" s="1"/>
      <c r="H1381" s="2"/>
    </row>
    <row r="1382" spans="1:8" x14ac:dyDescent="0.4">
      <c r="A1382" s="1"/>
      <c r="B1382" s="1"/>
      <c r="C1382" s="1"/>
      <c r="D1382" s="1"/>
      <c r="F1382" s="1"/>
      <c r="G1382" s="1"/>
      <c r="H1382" s="2"/>
    </row>
    <row r="1383" spans="1:8" x14ac:dyDescent="0.4">
      <c r="A1383" s="1"/>
      <c r="B1383" s="1"/>
      <c r="C1383" s="1"/>
      <c r="D1383" s="1"/>
      <c r="F1383" s="1"/>
      <c r="G1383" s="1"/>
      <c r="H1383" s="2"/>
    </row>
    <row r="1384" spans="1:8" x14ac:dyDescent="0.4">
      <c r="A1384" s="1"/>
      <c r="B1384" s="1"/>
      <c r="C1384" s="1"/>
      <c r="D1384" s="1"/>
      <c r="F1384" s="1"/>
      <c r="G1384" s="1"/>
      <c r="H1384" s="2"/>
    </row>
    <row r="1385" spans="1:8" x14ac:dyDescent="0.4">
      <c r="A1385" s="1"/>
      <c r="B1385" s="1"/>
      <c r="C1385" s="1"/>
      <c r="D1385" s="1"/>
      <c r="F1385" s="1"/>
      <c r="G1385" s="1"/>
      <c r="H1385" s="2"/>
    </row>
    <row r="1386" spans="1:8" x14ac:dyDescent="0.4">
      <c r="A1386" s="1"/>
      <c r="B1386" s="1"/>
      <c r="C1386" s="1"/>
      <c r="D1386" s="1"/>
      <c r="F1386" s="1"/>
      <c r="G1386" s="1"/>
      <c r="H1386" s="2"/>
    </row>
    <row r="1387" spans="1:8" x14ac:dyDescent="0.4">
      <c r="A1387" s="1"/>
      <c r="B1387" s="1"/>
      <c r="C1387" s="1"/>
      <c r="D1387" s="1"/>
      <c r="F1387" s="1"/>
      <c r="G1387" s="1"/>
      <c r="H1387" s="2"/>
    </row>
    <row r="1388" spans="1:8" x14ac:dyDescent="0.4">
      <c r="A1388" s="1"/>
      <c r="B1388" s="1"/>
      <c r="C1388" s="1"/>
      <c r="D1388" s="1"/>
      <c r="F1388" s="1"/>
      <c r="G1388" s="1"/>
      <c r="H1388" s="2"/>
    </row>
    <row r="1389" spans="1:8" x14ac:dyDescent="0.4">
      <c r="A1389" s="1"/>
      <c r="B1389" s="1"/>
      <c r="C1389" s="1"/>
      <c r="D1389" s="1"/>
      <c r="F1389" s="1"/>
      <c r="G1389" s="1"/>
      <c r="H1389" s="2"/>
    </row>
    <row r="1390" spans="1:8" x14ac:dyDescent="0.4">
      <c r="A1390" s="1"/>
      <c r="B1390" s="1"/>
      <c r="C1390" s="1"/>
      <c r="D1390" s="1"/>
      <c r="F1390" s="1"/>
      <c r="G1390" s="1"/>
      <c r="H1390" s="2"/>
    </row>
    <row r="1391" spans="1:8" x14ac:dyDescent="0.4">
      <c r="A1391" s="1"/>
      <c r="B1391" s="1"/>
      <c r="C1391" s="1"/>
      <c r="D1391" s="1"/>
      <c r="F1391" s="1"/>
      <c r="G1391" s="1"/>
      <c r="H1391" s="2"/>
    </row>
    <row r="1392" spans="1:8" x14ac:dyDescent="0.4">
      <c r="A1392" s="1"/>
      <c r="B1392" s="1"/>
      <c r="C1392" s="1"/>
      <c r="D1392" s="1"/>
      <c r="F1392" s="1"/>
      <c r="G1392" s="1"/>
      <c r="H1392" s="2"/>
    </row>
    <row r="1393" spans="1:8" x14ac:dyDescent="0.4">
      <c r="A1393" s="1"/>
      <c r="B1393" s="1"/>
      <c r="C1393" s="1"/>
      <c r="D1393" s="1"/>
      <c r="F1393" s="1"/>
      <c r="G1393" s="1"/>
      <c r="H1393" s="2"/>
    </row>
    <row r="1394" spans="1:8" x14ac:dyDescent="0.4">
      <c r="A1394" s="1"/>
      <c r="B1394" s="1"/>
      <c r="C1394" s="1"/>
      <c r="D1394" s="1"/>
      <c r="F1394" s="1"/>
      <c r="G1394" s="1"/>
      <c r="H1394" s="2"/>
    </row>
    <row r="1395" spans="1:8" x14ac:dyDescent="0.4">
      <c r="A1395" s="1"/>
      <c r="B1395" s="1"/>
      <c r="C1395" s="1"/>
      <c r="D1395" s="1"/>
      <c r="F1395" s="1"/>
      <c r="G1395" s="1"/>
      <c r="H1395" s="2"/>
    </row>
    <row r="1396" spans="1:8" x14ac:dyDescent="0.4">
      <c r="A1396" s="1"/>
      <c r="B1396" s="1"/>
      <c r="C1396" s="1"/>
      <c r="D1396" s="1"/>
      <c r="F1396" s="1"/>
      <c r="G1396" s="1"/>
      <c r="H1396" s="2"/>
    </row>
    <row r="1397" spans="1:8" x14ac:dyDescent="0.4">
      <c r="A1397" s="1"/>
      <c r="B1397" s="1"/>
      <c r="C1397" s="1"/>
      <c r="D1397" s="1"/>
      <c r="F1397" s="1"/>
      <c r="G1397" s="1"/>
      <c r="H1397" s="2"/>
    </row>
    <row r="1398" spans="1:8" x14ac:dyDescent="0.4">
      <c r="A1398" s="1"/>
      <c r="B1398" s="1"/>
      <c r="C1398" s="1"/>
      <c r="D1398" s="1"/>
      <c r="F1398" s="1"/>
      <c r="G1398" s="1"/>
      <c r="H1398" s="2"/>
    </row>
    <row r="1399" spans="1:8" x14ac:dyDescent="0.4">
      <c r="A1399" s="1"/>
      <c r="B1399" s="1"/>
      <c r="C1399" s="1"/>
      <c r="D1399" s="1"/>
      <c r="F1399" s="1"/>
      <c r="G1399" s="1"/>
      <c r="H1399" s="2"/>
    </row>
    <row r="1400" spans="1:8" x14ac:dyDescent="0.4">
      <c r="A1400" s="1"/>
      <c r="B1400" s="1"/>
      <c r="C1400" s="1"/>
      <c r="D1400" s="1"/>
      <c r="F1400" s="1"/>
      <c r="G1400" s="1"/>
      <c r="H1400" s="2"/>
    </row>
    <row r="1401" spans="1:8" x14ac:dyDescent="0.4">
      <c r="A1401" s="1"/>
      <c r="B1401" s="1"/>
      <c r="C1401" s="1"/>
      <c r="D1401" s="1"/>
      <c r="F1401" s="1"/>
      <c r="G1401" s="1"/>
      <c r="H1401" s="2"/>
    </row>
    <row r="1402" spans="1:8" x14ac:dyDescent="0.4">
      <c r="A1402" s="1"/>
      <c r="B1402" s="1"/>
      <c r="C1402" s="1"/>
      <c r="D1402" s="1"/>
      <c r="F1402" s="1"/>
      <c r="G1402" s="1"/>
      <c r="H1402" s="2"/>
    </row>
    <row r="1403" spans="1:8" x14ac:dyDescent="0.4">
      <c r="A1403" s="1"/>
      <c r="B1403" s="1"/>
      <c r="C1403" s="1"/>
      <c r="D1403" s="1"/>
      <c r="F1403" s="1"/>
      <c r="G1403" s="1"/>
      <c r="H1403" s="2"/>
    </row>
    <row r="1404" spans="1:8" x14ac:dyDescent="0.4">
      <c r="A1404" s="1"/>
      <c r="B1404" s="1"/>
      <c r="C1404" s="1"/>
      <c r="D1404" s="1"/>
      <c r="F1404" s="1"/>
      <c r="G1404" s="1"/>
      <c r="H1404" s="2"/>
    </row>
    <row r="1405" spans="1:8" x14ac:dyDescent="0.4">
      <c r="A1405" s="1"/>
      <c r="B1405" s="1"/>
      <c r="C1405" s="1"/>
      <c r="D1405" s="1"/>
      <c r="F1405" s="1"/>
      <c r="G1405" s="1"/>
      <c r="H1405" s="2"/>
    </row>
    <row r="1406" spans="1:8" x14ac:dyDescent="0.4">
      <c r="A1406" s="1"/>
      <c r="B1406" s="1"/>
      <c r="C1406" s="1"/>
      <c r="D1406" s="1"/>
      <c r="F1406" s="1"/>
      <c r="G1406" s="1"/>
      <c r="H1406" s="2"/>
    </row>
    <row r="1407" spans="1:8" x14ac:dyDescent="0.4">
      <c r="A1407" s="1"/>
      <c r="B1407" s="1"/>
      <c r="C1407" s="1"/>
      <c r="D1407" s="1"/>
      <c r="F1407" s="1"/>
      <c r="G1407" s="1"/>
      <c r="H1407" s="2"/>
    </row>
    <row r="1408" spans="1:8" x14ac:dyDescent="0.4">
      <c r="A1408" s="1"/>
      <c r="B1408" s="1"/>
      <c r="C1408" s="1"/>
      <c r="D1408" s="1"/>
      <c r="F1408" s="1"/>
      <c r="G1408" s="1"/>
      <c r="H1408" s="2"/>
    </row>
    <row r="1409" spans="1:8" x14ac:dyDescent="0.4">
      <c r="A1409" s="1"/>
      <c r="B1409" s="1"/>
      <c r="C1409" s="1"/>
      <c r="D1409" s="1"/>
      <c r="F1409" s="1"/>
      <c r="G1409" s="1"/>
      <c r="H1409" s="2"/>
    </row>
    <row r="1410" spans="1:8" x14ac:dyDescent="0.4">
      <c r="A1410" s="1"/>
      <c r="B1410" s="1"/>
      <c r="C1410" s="1"/>
      <c r="D1410" s="1"/>
      <c r="F1410" s="1"/>
      <c r="G1410" s="1"/>
      <c r="H1410" s="2"/>
    </row>
    <row r="1411" spans="1:8" x14ac:dyDescent="0.4">
      <c r="A1411" s="1"/>
      <c r="B1411" s="1"/>
      <c r="C1411" s="1"/>
      <c r="D1411" s="1"/>
      <c r="F1411" s="1"/>
      <c r="G1411" s="1"/>
      <c r="H1411" s="2"/>
    </row>
    <row r="1412" spans="1:8" x14ac:dyDescent="0.4">
      <c r="A1412" s="1"/>
      <c r="B1412" s="1"/>
      <c r="C1412" s="1"/>
      <c r="D1412" s="1"/>
      <c r="F1412" s="1"/>
      <c r="G1412" s="1"/>
      <c r="H1412" s="2"/>
    </row>
    <row r="1413" spans="1:8" x14ac:dyDescent="0.4">
      <c r="A1413" s="1"/>
      <c r="B1413" s="1"/>
      <c r="C1413" s="1"/>
      <c r="D1413" s="1"/>
      <c r="F1413" s="1"/>
      <c r="G1413" s="1"/>
      <c r="H1413" s="2"/>
    </row>
    <row r="1414" spans="1:8" x14ac:dyDescent="0.4">
      <c r="A1414" s="1"/>
      <c r="B1414" s="1"/>
      <c r="C1414" s="1"/>
      <c r="D1414" s="1"/>
      <c r="F1414" s="1"/>
      <c r="G1414" s="1"/>
      <c r="H1414" s="2"/>
    </row>
    <row r="1415" spans="1:8" x14ac:dyDescent="0.4">
      <c r="A1415" s="1"/>
      <c r="B1415" s="1"/>
      <c r="C1415" s="1"/>
      <c r="D1415" s="1"/>
      <c r="F1415" s="1"/>
      <c r="G1415" s="1"/>
      <c r="H1415" s="2"/>
    </row>
    <row r="1416" spans="1:8" x14ac:dyDescent="0.4">
      <c r="A1416" s="1"/>
      <c r="B1416" s="1"/>
      <c r="C1416" s="1"/>
      <c r="D1416" s="1"/>
      <c r="F1416" s="1"/>
      <c r="G1416" s="1"/>
      <c r="H1416" s="2"/>
    </row>
    <row r="1417" spans="1:8" x14ac:dyDescent="0.4">
      <c r="A1417" s="1"/>
      <c r="B1417" s="1"/>
      <c r="C1417" s="1"/>
      <c r="D1417" s="1"/>
      <c r="F1417" s="1"/>
      <c r="G1417" s="1"/>
      <c r="H1417" s="2"/>
    </row>
    <row r="1418" spans="1:8" x14ac:dyDescent="0.4">
      <c r="A1418" s="1"/>
      <c r="B1418" s="1"/>
      <c r="C1418" s="1"/>
      <c r="D1418" s="1"/>
      <c r="F1418" s="1"/>
      <c r="G1418" s="1"/>
      <c r="H1418" s="2"/>
    </row>
    <row r="1419" spans="1:8" x14ac:dyDescent="0.4">
      <c r="A1419" s="1"/>
      <c r="B1419" s="1"/>
      <c r="C1419" s="1"/>
      <c r="D1419" s="1"/>
      <c r="F1419" s="1"/>
      <c r="G1419" s="1"/>
      <c r="H1419" s="2"/>
    </row>
    <row r="1420" spans="1:8" x14ac:dyDescent="0.4">
      <c r="A1420" s="1"/>
      <c r="B1420" s="1"/>
      <c r="C1420" s="1"/>
      <c r="D1420" s="1"/>
      <c r="F1420" s="1"/>
      <c r="G1420" s="1"/>
      <c r="H1420" s="2"/>
    </row>
    <row r="1421" spans="1:8" x14ac:dyDescent="0.4">
      <c r="A1421" s="1"/>
      <c r="B1421" s="1"/>
      <c r="C1421" s="1"/>
      <c r="D1421" s="1"/>
      <c r="F1421" s="1"/>
      <c r="G1421" s="1"/>
      <c r="H1421" s="2"/>
    </row>
    <row r="1422" spans="1:8" x14ac:dyDescent="0.4">
      <c r="A1422" s="1"/>
      <c r="B1422" s="1"/>
      <c r="C1422" s="1"/>
      <c r="D1422" s="1"/>
      <c r="F1422" s="1"/>
      <c r="G1422" s="1"/>
      <c r="H1422" s="2"/>
    </row>
    <row r="1423" spans="1:8" x14ac:dyDescent="0.4">
      <c r="A1423" s="1"/>
      <c r="B1423" s="1"/>
      <c r="C1423" s="1"/>
      <c r="D1423" s="1"/>
      <c r="F1423" s="1"/>
      <c r="G1423" s="1"/>
      <c r="H1423" s="2"/>
    </row>
    <row r="1424" spans="1:8" x14ac:dyDescent="0.4">
      <c r="A1424" s="1"/>
      <c r="B1424" s="1"/>
      <c r="C1424" s="1"/>
      <c r="D1424" s="1"/>
      <c r="F1424" s="1"/>
      <c r="G1424" s="1"/>
      <c r="H1424" s="2"/>
    </row>
    <row r="1425" spans="1:8" x14ac:dyDescent="0.4">
      <c r="A1425" s="1"/>
      <c r="B1425" s="1"/>
      <c r="C1425" s="1"/>
      <c r="D1425" s="1"/>
      <c r="F1425" s="1"/>
      <c r="G1425" s="1"/>
      <c r="H1425" s="2"/>
    </row>
    <row r="1426" spans="1:8" x14ac:dyDescent="0.4">
      <c r="A1426" s="1"/>
      <c r="B1426" s="1"/>
      <c r="C1426" s="1"/>
      <c r="D1426" s="1"/>
      <c r="F1426" s="1"/>
      <c r="G1426" s="1"/>
      <c r="H1426" s="2"/>
    </row>
    <row r="1427" spans="1:8" x14ac:dyDescent="0.4">
      <c r="A1427" s="1"/>
      <c r="B1427" s="1"/>
      <c r="C1427" s="1"/>
      <c r="D1427" s="1"/>
      <c r="F1427" s="1"/>
      <c r="G1427" s="1"/>
      <c r="H1427" s="2"/>
    </row>
    <row r="1428" spans="1:8" x14ac:dyDescent="0.4">
      <c r="A1428" s="1"/>
      <c r="B1428" s="1"/>
      <c r="C1428" s="1"/>
      <c r="D1428" s="1"/>
      <c r="F1428" s="1"/>
      <c r="G1428" s="1"/>
      <c r="H1428" s="2"/>
    </row>
    <row r="1429" spans="1:8" x14ac:dyDescent="0.4">
      <c r="A1429" s="1"/>
      <c r="B1429" s="1"/>
      <c r="C1429" s="1"/>
      <c r="D1429" s="1"/>
      <c r="F1429" s="1"/>
      <c r="G1429" s="1"/>
      <c r="H1429" s="2"/>
    </row>
    <row r="1430" spans="1:8" x14ac:dyDescent="0.4">
      <c r="A1430" s="1"/>
      <c r="B1430" s="1"/>
      <c r="C1430" s="1"/>
      <c r="D1430" s="1"/>
      <c r="F1430" s="1"/>
      <c r="G1430" s="1"/>
      <c r="H1430" s="2"/>
    </row>
    <row r="1431" spans="1:8" x14ac:dyDescent="0.4">
      <c r="A1431" s="1"/>
      <c r="B1431" s="1"/>
      <c r="C1431" s="1"/>
      <c r="D1431" s="1"/>
      <c r="F1431" s="1"/>
      <c r="G1431" s="1"/>
      <c r="H1431" s="2"/>
    </row>
    <row r="1432" spans="1:8" x14ac:dyDescent="0.4">
      <c r="A1432" s="1"/>
      <c r="B1432" s="1"/>
      <c r="C1432" s="1"/>
      <c r="D1432" s="1"/>
      <c r="F1432" s="1"/>
      <c r="G1432" s="1"/>
      <c r="H1432" s="2"/>
    </row>
    <row r="1433" spans="1:8" x14ac:dyDescent="0.4">
      <c r="A1433" s="1"/>
      <c r="B1433" s="1"/>
      <c r="C1433" s="1"/>
      <c r="D1433" s="1"/>
      <c r="F1433" s="1"/>
      <c r="G1433" s="1"/>
      <c r="H1433" s="2"/>
    </row>
    <row r="1434" spans="1:8" x14ac:dyDescent="0.4">
      <c r="A1434" s="1"/>
      <c r="B1434" s="1"/>
      <c r="C1434" s="1"/>
      <c r="D1434" s="1"/>
      <c r="F1434" s="1"/>
      <c r="G1434" s="1"/>
      <c r="H1434" s="2"/>
    </row>
    <row r="1435" spans="1:8" x14ac:dyDescent="0.4">
      <c r="A1435" s="1"/>
      <c r="B1435" s="1"/>
      <c r="C1435" s="1"/>
      <c r="D1435" s="1"/>
      <c r="F1435" s="1"/>
      <c r="G1435" s="1"/>
      <c r="H1435" s="2"/>
    </row>
    <row r="1436" spans="1:8" x14ac:dyDescent="0.4">
      <c r="A1436" s="1"/>
      <c r="B1436" s="1"/>
      <c r="C1436" s="1"/>
      <c r="D1436" s="1"/>
      <c r="F1436" s="1"/>
      <c r="G1436" s="1"/>
      <c r="H1436" s="2"/>
    </row>
    <row r="1437" spans="1:8" x14ac:dyDescent="0.4">
      <c r="A1437" s="1"/>
      <c r="B1437" s="1"/>
      <c r="C1437" s="1"/>
      <c r="D1437" s="1"/>
      <c r="F1437" s="1"/>
      <c r="G1437" s="1"/>
      <c r="H1437" s="2"/>
    </row>
    <row r="1438" spans="1:8" x14ac:dyDescent="0.4">
      <c r="A1438" s="1"/>
      <c r="B1438" s="1"/>
      <c r="C1438" s="1"/>
      <c r="D1438" s="1"/>
      <c r="F1438" s="1"/>
      <c r="G1438" s="1"/>
      <c r="H1438" s="2"/>
    </row>
    <row r="1439" spans="1:8" x14ac:dyDescent="0.4">
      <c r="A1439" s="1"/>
      <c r="B1439" s="1"/>
      <c r="C1439" s="1"/>
      <c r="D1439" s="1"/>
      <c r="F1439" s="1"/>
      <c r="G1439" s="1"/>
      <c r="H1439" s="2"/>
    </row>
    <row r="1440" spans="1:8" x14ac:dyDescent="0.4">
      <c r="A1440" s="1"/>
      <c r="B1440" s="1"/>
      <c r="C1440" s="1"/>
      <c r="D1440" s="1"/>
      <c r="F1440" s="1"/>
      <c r="G1440" s="1"/>
      <c r="H1440" s="2"/>
    </row>
    <row r="1441" spans="1:8" x14ac:dyDescent="0.4">
      <c r="A1441" s="1"/>
      <c r="B1441" s="1"/>
      <c r="C1441" s="1"/>
      <c r="D1441" s="1"/>
      <c r="F1441" s="1"/>
      <c r="G1441" s="1"/>
      <c r="H1441" s="2"/>
    </row>
    <row r="1442" spans="1:8" x14ac:dyDescent="0.4">
      <c r="A1442" s="1"/>
      <c r="B1442" s="1"/>
      <c r="C1442" s="1"/>
      <c r="D1442" s="1"/>
      <c r="F1442" s="1"/>
      <c r="G1442" s="1"/>
      <c r="H1442" s="2"/>
    </row>
    <row r="1443" spans="1:8" x14ac:dyDescent="0.4">
      <c r="A1443" s="1"/>
      <c r="B1443" s="1"/>
      <c r="C1443" s="1"/>
      <c r="D1443" s="1"/>
      <c r="F1443" s="1"/>
      <c r="G1443" s="1"/>
      <c r="H1443" s="2"/>
    </row>
    <row r="1444" spans="1:8" x14ac:dyDescent="0.4">
      <c r="A1444" s="1"/>
      <c r="B1444" s="1"/>
      <c r="C1444" s="1"/>
      <c r="D1444" s="1"/>
      <c r="F1444" s="1"/>
      <c r="G1444" s="1"/>
      <c r="H1444" s="2"/>
    </row>
    <row r="1445" spans="1:8" x14ac:dyDescent="0.4">
      <c r="A1445" s="1"/>
      <c r="B1445" s="1"/>
      <c r="C1445" s="1"/>
      <c r="D1445" s="1"/>
      <c r="F1445" s="1"/>
      <c r="G1445" s="1"/>
      <c r="H1445" s="2"/>
    </row>
    <row r="1446" spans="1:8" x14ac:dyDescent="0.4">
      <c r="A1446" s="1"/>
      <c r="B1446" s="1"/>
      <c r="C1446" s="1"/>
      <c r="D1446" s="1"/>
      <c r="F1446" s="1"/>
      <c r="G1446" s="1"/>
      <c r="H1446" s="2"/>
    </row>
    <row r="1447" spans="1:8" x14ac:dyDescent="0.4">
      <c r="A1447" s="1"/>
      <c r="B1447" s="1"/>
      <c r="C1447" s="1"/>
      <c r="D1447" s="1"/>
      <c r="F1447" s="1"/>
      <c r="G1447" s="1"/>
      <c r="H1447" s="2"/>
    </row>
    <row r="1448" spans="1:8" x14ac:dyDescent="0.4">
      <c r="A1448" s="1"/>
      <c r="B1448" s="1"/>
      <c r="C1448" s="1"/>
      <c r="D1448" s="1"/>
      <c r="F1448" s="1"/>
      <c r="G1448" s="1"/>
      <c r="H1448" s="2"/>
    </row>
    <row r="1449" spans="1:8" x14ac:dyDescent="0.4">
      <c r="A1449" s="1"/>
      <c r="B1449" s="1"/>
      <c r="C1449" s="1"/>
      <c r="D1449" s="1"/>
      <c r="F1449" s="1"/>
      <c r="G1449" s="1"/>
      <c r="H1449" s="2"/>
    </row>
    <row r="1450" spans="1:8" x14ac:dyDescent="0.4">
      <c r="A1450" s="1"/>
      <c r="B1450" s="1"/>
      <c r="C1450" s="1"/>
      <c r="D1450" s="1"/>
      <c r="F1450" s="1"/>
      <c r="G1450" s="1"/>
      <c r="H1450" s="2"/>
    </row>
    <row r="1451" spans="1:8" x14ac:dyDescent="0.4">
      <c r="A1451" s="1"/>
      <c r="B1451" s="1"/>
      <c r="C1451" s="1"/>
      <c r="D1451" s="1"/>
      <c r="F1451" s="1"/>
      <c r="G1451" s="1"/>
      <c r="H1451" s="2"/>
    </row>
    <row r="1452" spans="1:8" x14ac:dyDescent="0.4">
      <c r="A1452" s="1"/>
      <c r="B1452" s="1"/>
      <c r="C1452" s="1"/>
      <c r="D1452" s="1"/>
      <c r="F1452" s="1"/>
      <c r="G1452" s="1"/>
      <c r="H1452" s="2"/>
    </row>
    <row r="1453" spans="1:8" x14ac:dyDescent="0.4">
      <c r="A1453" s="1"/>
      <c r="B1453" s="1"/>
      <c r="C1453" s="1"/>
      <c r="D1453" s="1"/>
      <c r="F1453" s="1"/>
      <c r="G1453" s="1"/>
      <c r="H1453" s="2"/>
    </row>
    <row r="1454" spans="1:8" x14ac:dyDescent="0.4">
      <c r="A1454" s="1"/>
      <c r="B1454" s="1"/>
      <c r="C1454" s="1"/>
      <c r="D1454" s="1"/>
      <c r="F1454" s="1"/>
      <c r="G1454" s="1"/>
      <c r="H1454" s="2"/>
    </row>
    <row r="1455" spans="1:8" x14ac:dyDescent="0.4">
      <c r="A1455" s="1"/>
      <c r="B1455" s="1"/>
      <c r="C1455" s="1"/>
      <c r="D1455" s="1"/>
      <c r="F1455" s="1"/>
      <c r="G1455" s="1"/>
      <c r="H1455" s="2"/>
    </row>
    <row r="1456" spans="1:8" x14ac:dyDescent="0.4">
      <c r="A1456" s="1"/>
      <c r="B1456" s="1"/>
      <c r="C1456" s="1"/>
      <c r="D1456" s="1"/>
      <c r="F1456" s="1"/>
      <c r="G1456" s="1"/>
      <c r="H1456" s="2"/>
    </row>
    <row r="1457" spans="1:8" x14ac:dyDescent="0.4">
      <c r="A1457" s="1"/>
      <c r="B1457" s="1"/>
      <c r="C1457" s="1"/>
      <c r="D1457" s="1"/>
      <c r="F1457" s="1"/>
      <c r="G1457" s="1"/>
      <c r="H1457" s="2"/>
    </row>
    <row r="1458" spans="1:8" x14ac:dyDescent="0.4">
      <c r="A1458" s="1"/>
      <c r="B1458" s="1"/>
      <c r="C1458" s="1"/>
      <c r="D1458" s="1"/>
      <c r="F1458" s="1"/>
      <c r="G1458" s="1"/>
      <c r="H1458" s="2"/>
    </row>
    <row r="1459" spans="1:8" x14ac:dyDescent="0.4">
      <c r="A1459" s="1"/>
      <c r="B1459" s="1"/>
      <c r="C1459" s="1"/>
      <c r="D1459" s="1"/>
      <c r="F1459" s="1"/>
      <c r="G1459" s="1"/>
      <c r="H1459" s="2"/>
    </row>
    <row r="1460" spans="1:8" x14ac:dyDescent="0.4">
      <c r="A1460" s="1"/>
      <c r="B1460" s="1"/>
      <c r="C1460" s="1"/>
      <c r="D1460" s="1"/>
      <c r="F1460" s="1"/>
      <c r="G1460" s="1"/>
      <c r="H1460" s="2"/>
    </row>
    <row r="1461" spans="1:8" x14ac:dyDescent="0.4">
      <c r="A1461" s="1"/>
      <c r="B1461" s="1"/>
      <c r="C1461" s="1"/>
      <c r="D1461" s="1"/>
      <c r="F1461" s="1"/>
      <c r="G1461" s="1"/>
      <c r="H1461" s="2"/>
    </row>
    <row r="1462" spans="1:8" x14ac:dyDescent="0.4">
      <c r="A1462" s="1"/>
      <c r="B1462" s="1"/>
      <c r="C1462" s="1"/>
      <c r="D1462" s="1"/>
      <c r="F1462" s="1"/>
      <c r="G1462" s="1"/>
      <c r="H1462" s="2"/>
    </row>
    <row r="1463" spans="1:8" x14ac:dyDescent="0.4">
      <c r="A1463" s="1"/>
      <c r="B1463" s="1"/>
      <c r="C1463" s="1"/>
      <c r="D1463" s="1"/>
      <c r="F1463" s="1"/>
      <c r="G1463" s="1"/>
      <c r="H1463" s="2"/>
    </row>
    <row r="1464" spans="1:8" x14ac:dyDescent="0.4">
      <c r="A1464" s="1"/>
      <c r="B1464" s="1"/>
      <c r="C1464" s="1"/>
      <c r="D1464" s="1"/>
      <c r="F1464" s="1"/>
      <c r="G1464" s="1"/>
      <c r="H1464" s="2"/>
    </row>
    <row r="1465" spans="1:8" x14ac:dyDescent="0.4">
      <c r="A1465" s="1"/>
      <c r="B1465" s="1"/>
      <c r="C1465" s="1"/>
      <c r="D1465" s="1"/>
      <c r="F1465" s="1"/>
      <c r="G1465" s="1"/>
      <c r="H1465" s="2"/>
    </row>
    <row r="1466" spans="1:8" x14ac:dyDescent="0.4">
      <c r="A1466" s="1"/>
      <c r="B1466" s="1"/>
      <c r="C1466" s="1"/>
      <c r="D1466" s="1"/>
      <c r="F1466" s="1"/>
      <c r="G1466" s="1"/>
      <c r="H1466" s="2"/>
    </row>
    <row r="1467" spans="1:8" x14ac:dyDescent="0.4">
      <c r="A1467" s="1"/>
      <c r="B1467" s="1"/>
      <c r="C1467" s="1"/>
      <c r="D1467" s="1"/>
      <c r="F1467" s="1"/>
      <c r="G1467" s="1"/>
      <c r="H1467" s="2"/>
    </row>
    <row r="1468" spans="1:8" x14ac:dyDescent="0.4">
      <c r="A1468" s="1"/>
      <c r="B1468" s="1"/>
      <c r="C1468" s="1"/>
      <c r="D1468" s="1"/>
      <c r="F1468" s="1"/>
      <c r="G1468" s="1"/>
      <c r="H1468" s="2"/>
    </row>
    <row r="1469" spans="1:8" x14ac:dyDescent="0.4">
      <c r="A1469" s="1"/>
      <c r="B1469" s="1"/>
      <c r="C1469" s="1"/>
      <c r="D1469" s="1"/>
      <c r="F1469" s="1"/>
      <c r="G1469" s="1"/>
      <c r="H1469" s="2"/>
    </row>
    <row r="1470" spans="1:8" x14ac:dyDescent="0.4">
      <c r="A1470" s="1"/>
      <c r="B1470" s="1"/>
      <c r="C1470" s="1"/>
      <c r="D1470" s="1"/>
      <c r="F1470" s="1"/>
      <c r="G1470" s="1"/>
      <c r="H1470" s="2"/>
    </row>
    <row r="1471" spans="1:8" x14ac:dyDescent="0.4">
      <c r="A1471" s="1"/>
      <c r="B1471" s="1"/>
      <c r="C1471" s="1"/>
      <c r="D1471" s="1"/>
      <c r="F1471" s="1"/>
      <c r="G1471" s="1"/>
      <c r="H1471" s="2"/>
    </row>
    <row r="1472" spans="1:8" x14ac:dyDescent="0.4">
      <c r="A1472" s="1"/>
      <c r="B1472" s="1"/>
      <c r="C1472" s="1"/>
      <c r="D1472" s="1"/>
      <c r="F1472" s="1"/>
      <c r="G1472" s="1"/>
      <c r="H1472" s="2"/>
    </row>
    <row r="1473" spans="1:8" x14ac:dyDescent="0.4">
      <c r="A1473" s="1"/>
      <c r="B1473" s="1"/>
      <c r="C1473" s="1"/>
      <c r="D1473" s="1"/>
      <c r="F1473" s="1"/>
      <c r="G1473" s="1"/>
      <c r="H1473" s="2"/>
    </row>
    <row r="1474" spans="1:8" x14ac:dyDescent="0.4">
      <c r="A1474" s="1"/>
      <c r="B1474" s="1"/>
      <c r="C1474" s="1"/>
      <c r="D1474" s="1"/>
      <c r="F1474" s="1"/>
      <c r="G1474" s="1"/>
      <c r="H1474" s="2"/>
    </row>
    <row r="1475" spans="1:8" x14ac:dyDescent="0.4">
      <c r="A1475" s="1"/>
      <c r="B1475" s="1"/>
      <c r="C1475" s="1"/>
      <c r="D1475" s="1"/>
      <c r="F1475" s="1"/>
      <c r="G1475" s="1"/>
      <c r="H1475" s="2"/>
    </row>
    <row r="1476" spans="1:8" x14ac:dyDescent="0.4">
      <c r="A1476" s="1"/>
      <c r="B1476" s="1"/>
      <c r="C1476" s="1"/>
      <c r="D1476" s="1"/>
      <c r="F1476" s="1"/>
      <c r="G1476" s="1"/>
      <c r="H1476" s="2"/>
    </row>
    <row r="1477" spans="1:8" x14ac:dyDescent="0.4">
      <c r="A1477" s="1"/>
      <c r="B1477" s="1"/>
      <c r="C1477" s="1"/>
      <c r="D1477" s="1"/>
      <c r="F1477" s="1"/>
      <c r="G1477" s="1"/>
      <c r="H1477" s="2"/>
    </row>
    <row r="1478" spans="1:8" x14ac:dyDescent="0.4">
      <c r="A1478" s="1"/>
      <c r="B1478" s="1"/>
      <c r="C1478" s="1"/>
      <c r="D1478" s="1"/>
      <c r="F1478" s="1"/>
      <c r="G1478" s="1"/>
      <c r="H1478" s="2"/>
    </row>
    <row r="1479" spans="1:8" x14ac:dyDescent="0.4">
      <c r="A1479" s="1"/>
      <c r="B1479" s="1"/>
      <c r="C1479" s="1"/>
      <c r="D1479" s="1"/>
      <c r="F1479" s="1"/>
      <c r="G1479" s="1"/>
      <c r="H1479" s="2"/>
    </row>
    <row r="1480" spans="1:8" x14ac:dyDescent="0.4">
      <c r="A1480" s="1"/>
      <c r="B1480" s="1"/>
      <c r="C1480" s="1"/>
      <c r="D1480" s="1"/>
      <c r="F1480" s="1"/>
      <c r="G1480" s="1"/>
      <c r="H1480" s="2"/>
    </row>
    <row r="1481" spans="1:8" x14ac:dyDescent="0.4">
      <c r="A1481" s="1"/>
      <c r="B1481" s="1"/>
      <c r="C1481" s="1"/>
      <c r="D1481" s="1"/>
      <c r="F1481" s="1"/>
      <c r="G1481" s="1"/>
      <c r="H1481" s="2"/>
    </row>
    <row r="1482" spans="1:8" x14ac:dyDescent="0.4">
      <c r="A1482" s="1"/>
      <c r="B1482" s="1"/>
      <c r="C1482" s="1"/>
      <c r="D1482" s="1"/>
      <c r="F1482" s="1"/>
      <c r="G1482" s="1"/>
      <c r="H1482" s="2"/>
    </row>
    <row r="1483" spans="1:8" x14ac:dyDescent="0.4">
      <c r="A1483" s="1"/>
      <c r="B1483" s="1"/>
      <c r="C1483" s="1"/>
      <c r="D1483" s="1"/>
      <c r="F1483" s="1"/>
      <c r="G1483" s="1"/>
      <c r="H1483" s="2"/>
    </row>
    <row r="1484" spans="1:8" x14ac:dyDescent="0.4">
      <c r="A1484" s="1"/>
      <c r="B1484" s="1"/>
      <c r="C1484" s="1"/>
      <c r="D1484" s="1"/>
      <c r="F1484" s="1"/>
      <c r="G1484" s="1"/>
      <c r="H1484" s="2"/>
    </row>
    <row r="1485" spans="1:8" x14ac:dyDescent="0.4">
      <c r="A1485" s="1"/>
      <c r="B1485" s="1"/>
      <c r="C1485" s="1"/>
      <c r="D1485" s="1"/>
      <c r="F1485" s="1"/>
      <c r="G1485" s="1"/>
      <c r="H1485" s="2"/>
    </row>
    <row r="1486" spans="1:8" x14ac:dyDescent="0.4">
      <c r="A1486" s="1"/>
      <c r="B1486" s="1"/>
      <c r="C1486" s="1"/>
      <c r="D1486" s="1"/>
      <c r="F1486" s="1"/>
      <c r="G1486" s="1"/>
      <c r="H1486" s="2"/>
    </row>
    <row r="1487" spans="1:8" x14ac:dyDescent="0.4">
      <c r="A1487" s="1"/>
      <c r="B1487" s="1"/>
      <c r="C1487" s="1"/>
      <c r="D1487" s="1"/>
      <c r="F1487" s="1"/>
      <c r="G1487" s="1"/>
      <c r="H1487" s="2"/>
    </row>
    <row r="1488" spans="1:8" x14ac:dyDescent="0.4">
      <c r="A1488" s="1"/>
      <c r="B1488" s="1"/>
      <c r="C1488" s="1"/>
      <c r="D1488" s="1"/>
      <c r="F1488" s="1"/>
      <c r="G1488" s="1"/>
      <c r="H1488" s="2"/>
    </row>
    <row r="1489" spans="1:8" x14ac:dyDescent="0.4">
      <c r="A1489" s="1"/>
      <c r="B1489" s="1"/>
      <c r="C1489" s="1"/>
      <c r="D1489" s="1"/>
      <c r="F1489" s="1"/>
      <c r="G1489" s="1"/>
      <c r="H1489" s="2"/>
    </row>
    <row r="1490" spans="1:8" x14ac:dyDescent="0.4">
      <c r="A1490" s="1"/>
      <c r="B1490" s="1"/>
      <c r="C1490" s="1"/>
      <c r="D1490" s="1"/>
      <c r="F1490" s="1"/>
      <c r="G1490" s="1"/>
      <c r="H1490" s="2"/>
    </row>
    <row r="1491" spans="1:8" x14ac:dyDescent="0.4">
      <c r="A1491" s="1"/>
      <c r="B1491" s="1"/>
      <c r="C1491" s="1"/>
      <c r="D1491" s="1"/>
      <c r="F1491" s="1"/>
      <c r="G1491" s="1"/>
      <c r="H1491" s="2"/>
    </row>
    <row r="1492" spans="1:8" x14ac:dyDescent="0.4">
      <c r="A1492" s="1"/>
      <c r="B1492" s="1"/>
      <c r="C1492" s="1"/>
      <c r="D1492" s="1"/>
      <c r="F1492" s="1"/>
      <c r="G1492" s="1"/>
      <c r="H1492" s="2"/>
    </row>
    <row r="1493" spans="1:8" x14ac:dyDescent="0.4">
      <c r="A1493" s="1"/>
      <c r="B1493" s="1"/>
      <c r="C1493" s="1"/>
      <c r="D1493" s="1"/>
      <c r="F1493" s="1"/>
      <c r="G1493" s="1"/>
      <c r="H1493" s="2"/>
    </row>
    <row r="1494" spans="1:8" x14ac:dyDescent="0.4">
      <c r="A1494" s="1"/>
      <c r="B1494" s="1"/>
      <c r="C1494" s="1"/>
      <c r="D1494" s="1"/>
      <c r="F1494" s="1"/>
      <c r="G1494" s="1"/>
      <c r="H1494" s="2"/>
    </row>
    <row r="1495" spans="1:8" x14ac:dyDescent="0.4">
      <c r="A1495" s="1"/>
      <c r="B1495" s="1"/>
      <c r="C1495" s="1"/>
      <c r="D1495" s="1"/>
      <c r="F1495" s="1"/>
      <c r="G1495" s="1"/>
      <c r="H1495" s="2"/>
    </row>
    <row r="1496" spans="1:8" x14ac:dyDescent="0.4">
      <c r="A1496" s="1"/>
      <c r="B1496" s="1"/>
      <c r="C1496" s="1"/>
      <c r="D1496" s="1"/>
      <c r="F1496" s="1"/>
      <c r="G1496" s="1"/>
      <c r="H1496" s="2"/>
    </row>
    <row r="1497" spans="1:8" x14ac:dyDescent="0.4">
      <c r="A1497" s="1"/>
      <c r="B1497" s="1"/>
      <c r="C1497" s="1"/>
      <c r="D1497" s="1"/>
      <c r="F1497" s="1"/>
      <c r="G1497" s="1"/>
      <c r="H1497" s="2"/>
    </row>
    <row r="1498" spans="1:8" x14ac:dyDescent="0.4">
      <c r="A1498" s="1"/>
      <c r="B1498" s="1"/>
      <c r="C1498" s="1"/>
      <c r="D1498" s="1"/>
      <c r="F1498" s="1"/>
      <c r="G1498" s="1"/>
      <c r="H1498" s="2"/>
    </row>
    <row r="1499" spans="1:8" x14ac:dyDescent="0.4">
      <c r="A1499" s="1"/>
      <c r="B1499" s="1"/>
      <c r="C1499" s="1"/>
      <c r="D1499" s="1"/>
      <c r="F1499" s="1"/>
      <c r="G1499" s="1"/>
      <c r="H1499" s="2"/>
    </row>
    <row r="1500" spans="1:8" x14ac:dyDescent="0.4">
      <c r="A1500" s="1"/>
      <c r="B1500" s="1"/>
      <c r="C1500" s="1"/>
      <c r="D1500" s="1"/>
      <c r="F1500" s="1"/>
      <c r="G1500" s="1"/>
      <c r="H1500" s="2"/>
    </row>
    <row r="1501" spans="1:8" x14ac:dyDescent="0.4">
      <c r="A1501" s="1"/>
      <c r="B1501" s="1"/>
      <c r="C1501" s="1"/>
      <c r="D1501" s="1"/>
      <c r="F1501" s="1"/>
      <c r="G1501" s="1"/>
      <c r="H1501" s="2"/>
    </row>
    <row r="1502" spans="1:8" x14ac:dyDescent="0.4">
      <c r="A1502" s="1"/>
      <c r="B1502" s="1"/>
      <c r="C1502" s="1"/>
      <c r="D1502" s="1"/>
      <c r="F1502" s="1"/>
      <c r="G1502" s="1"/>
      <c r="H1502" s="2"/>
    </row>
    <row r="1503" spans="1:8" x14ac:dyDescent="0.4">
      <c r="A1503" s="1"/>
      <c r="B1503" s="1"/>
      <c r="C1503" s="1"/>
      <c r="D1503" s="1"/>
      <c r="F1503" s="1"/>
      <c r="G1503" s="1"/>
      <c r="H1503" s="2"/>
    </row>
    <row r="1504" spans="1:8" x14ac:dyDescent="0.4">
      <c r="A1504" s="1"/>
      <c r="B1504" s="1"/>
      <c r="C1504" s="1"/>
      <c r="D1504" s="1"/>
      <c r="F1504" s="1"/>
      <c r="G1504" s="1"/>
      <c r="H1504" s="2"/>
    </row>
    <row r="1505" spans="1:8" x14ac:dyDescent="0.4">
      <c r="A1505" s="1"/>
      <c r="B1505" s="1"/>
      <c r="C1505" s="1"/>
      <c r="D1505" s="1"/>
      <c r="F1505" s="1"/>
      <c r="G1505" s="1"/>
      <c r="H1505" s="2"/>
    </row>
    <row r="1506" spans="1:8" x14ac:dyDescent="0.4">
      <c r="A1506" s="1"/>
      <c r="B1506" s="1"/>
      <c r="C1506" s="1"/>
      <c r="D1506" s="1"/>
      <c r="F1506" s="1"/>
      <c r="G1506" s="1"/>
      <c r="H1506" s="2"/>
    </row>
    <row r="1507" spans="1:8" x14ac:dyDescent="0.4">
      <c r="A1507" s="1"/>
      <c r="B1507" s="1"/>
      <c r="C1507" s="1"/>
      <c r="D1507" s="1"/>
      <c r="F1507" s="1"/>
      <c r="G1507" s="1"/>
      <c r="H1507" s="2"/>
    </row>
    <row r="1508" spans="1:8" x14ac:dyDescent="0.4">
      <c r="A1508" s="1"/>
      <c r="B1508" s="1"/>
      <c r="C1508" s="1"/>
      <c r="D1508" s="1"/>
      <c r="F1508" s="1"/>
      <c r="G1508" s="1"/>
      <c r="H1508" s="2"/>
    </row>
    <row r="1509" spans="1:8" x14ac:dyDescent="0.4">
      <c r="A1509" s="1"/>
      <c r="B1509" s="1"/>
      <c r="C1509" s="1"/>
      <c r="D1509" s="1"/>
      <c r="F1509" s="1"/>
      <c r="G1509" s="1"/>
      <c r="H1509" s="2"/>
    </row>
    <row r="1510" spans="1:8" x14ac:dyDescent="0.4">
      <c r="A1510" s="1"/>
      <c r="B1510" s="1"/>
      <c r="C1510" s="1"/>
      <c r="D1510" s="1"/>
      <c r="F1510" s="1"/>
      <c r="G1510" s="1"/>
      <c r="H1510" s="2"/>
    </row>
    <row r="1511" spans="1:8" x14ac:dyDescent="0.4">
      <c r="A1511" s="1"/>
      <c r="B1511" s="1"/>
      <c r="C1511" s="1"/>
      <c r="D1511" s="1"/>
      <c r="F1511" s="1"/>
      <c r="G1511" s="1"/>
      <c r="H1511" s="2"/>
    </row>
    <row r="1512" spans="1:8" x14ac:dyDescent="0.4">
      <c r="A1512" s="1"/>
      <c r="B1512" s="1"/>
      <c r="C1512" s="1"/>
      <c r="D1512" s="1"/>
      <c r="F1512" s="1"/>
      <c r="G1512" s="1"/>
      <c r="H1512" s="2"/>
    </row>
    <row r="1513" spans="1:8" x14ac:dyDescent="0.4">
      <c r="A1513" s="1"/>
      <c r="B1513" s="1"/>
      <c r="C1513" s="1"/>
      <c r="D1513" s="1"/>
      <c r="F1513" s="1"/>
      <c r="G1513" s="1"/>
      <c r="H1513" s="2"/>
    </row>
    <row r="1514" spans="1:8" x14ac:dyDescent="0.4">
      <c r="A1514" s="1"/>
      <c r="B1514" s="1"/>
      <c r="C1514" s="1"/>
      <c r="D1514" s="1"/>
      <c r="F1514" s="1"/>
      <c r="G1514" s="1"/>
      <c r="H1514" s="2"/>
    </row>
    <row r="1515" spans="1:8" x14ac:dyDescent="0.4">
      <c r="A1515" s="1"/>
      <c r="B1515" s="1"/>
      <c r="C1515" s="1"/>
      <c r="D1515" s="1"/>
      <c r="F1515" s="1"/>
      <c r="G1515" s="1"/>
      <c r="H1515" s="2"/>
    </row>
    <row r="1516" spans="1:8" x14ac:dyDescent="0.4">
      <c r="A1516" s="1"/>
      <c r="B1516" s="1"/>
      <c r="C1516" s="1"/>
      <c r="D1516" s="1"/>
      <c r="F1516" s="1"/>
      <c r="G1516" s="1"/>
      <c r="H1516" s="2"/>
    </row>
    <row r="1517" spans="1:8" x14ac:dyDescent="0.4">
      <c r="A1517" s="1"/>
      <c r="B1517" s="1"/>
      <c r="C1517" s="1"/>
      <c r="D1517" s="1"/>
      <c r="F1517" s="1"/>
      <c r="G1517" s="1"/>
      <c r="H1517" s="2"/>
    </row>
    <row r="1518" spans="1:8" x14ac:dyDescent="0.4">
      <c r="A1518" s="1"/>
      <c r="B1518" s="1"/>
      <c r="C1518" s="1"/>
      <c r="D1518" s="1"/>
      <c r="F1518" s="1"/>
      <c r="G1518" s="1"/>
      <c r="H1518" s="2"/>
    </row>
    <row r="1519" spans="1:8" x14ac:dyDescent="0.4">
      <c r="A1519" s="1"/>
      <c r="B1519" s="1"/>
      <c r="C1519" s="1"/>
      <c r="D1519" s="1"/>
      <c r="F1519" s="1"/>
      <c r="G1519" s="1"/>
      <c r="H1519" s="2"/>
    </row>
    <row r="1520" spans="1:8" x14ac:dyDescent="0.4">
      <c r="A1520" s="1"/>
      <c r="B1520" s="1"/>
      <c r="C1520" s="1"/>
      <c r="D1520" s="1"/>
      <c r="F1520" s="1"/>
      <c r="G1520" s="1"/>
      <c r="H1520" s="2"/>
    </row>
    <row r="1521" spans="1:8" x14ac:dyDescent="0.4">
      <c r="A1521" s="1"/>
      <c r="B1521" s="1"/>
      <c r="C1521" s="1"/>
      <c r="D1521" s="1"/>
      <c r="F1521" s="1"/>
      <c r="G1521" s="1"/>
      <c r="H1521" s="2"/>
    </row>
    <row r="1522" spans="1:8" x14ac:dyDescent="0.4">
      <c r="A1522" s="1"/>
      <c r="B1522" s="1"/>
      <c r="C1522" s="1"/>
      <c r="D1522" s="1"/>
      <c r="F1522" s="1"/>
      <c r="G1522" s="1"/>
      <c r="H1522" s="2"/>
    </row>
    <row r="1523" spans="1:8" x14ac:dyDescent="0.4">
      <c r="A1523" s="1"/>
      <c r="B1523" s="1"/>
      <c r="C1523" s="1"/>
      <c r="D1523" s="1"/>
      <c r="F1523" s="1"/>
      <c r="G1523" s="1"/>
      <c r="H1523" s="2"/>
    </row>
    <row r="1524" spans="1:8" x14ac:dyDescent="0.4">
      <c r="A1524" s="1"/>
      <c r="B1524" s="1"/>
      <c r="C1524" s="1"/>
      <c r="D1524" s="1"/>
      <c r="F1524" s="1"/>
      <c r="G1524" s="1"/>
      <c r="H1524" s="2"/>
    </row>
    <row r="1525" spans="1:8" x14ac:dyDescent="0.4">
      <c r="A1525" s="1"/>
      <c r="B1525" s="1"/>
      <c r="C1525" s="1"/>
      <c r="D1525" s="1"/>
      <c r="F1525" s="1"/>
      <c r="G1525" s="1"/>
      <c r="H1525" s="2"/>
    </row>
    <row r="1526" spans="1:8" x14ac:dyDescent="0.4">
      <c r="A1526" s="1"/>
      <c r="B1526" s="1"/>
      <c r="C1526" s="1"/>
      <c r="D1526" s="1"/>
      <c r="F1526" s="1"/>
      <c r="G1526" s="1"/>
      <c r="H1526" s="2"/>
    </row>
    <row r="1527" spans="1:8" x14ac:dyDescent="0.4">
      <c r="A1527" s="1"/>
      <c r="B1527" s="1"/>
      <c r="C1527" s="1"/>
      <c r="D1527" s="1"/>
      <c r="F1527" s="1"/>
      <c r="G1527" s="1"/>
      <c r="H1527" s="2"/>
    </row>
    <row r="1528" spans="1:8" x14ac:dyDescent="0.4">
      <c r="A1528" s="1"/>
      <c r="B1528" s="1"/>
      <c r="C1528" s="1"/>
      <c r="D1528" s="1"/>
      <c r="F1528" s="1"/>
      <c r="G1528" s="1"/>
      <c r="H1528" s="2"/>
    </row>
    <row r="1529" spans="1:8" x14ac:dyDescent="0.4">
      <c r="A1529" s="1"/>
      <c r="B1529" s="1"/>
      <c r="C1529" s="1"/>
      <c r="D1529" s="1"/>
      <c r="F1529" s="1"/>
      <c r="G1529" s="1"/>
      <c r="H1529" s="2"/>
    </row>
    <row r="1530" spans="1:8" x14ac:dyDescent="0.4">
      <c r="A1530" s="1"/>
      <c r="B1530" s="1"/>
      <c r="C1530" s="1"/>
      <c r="D1530" s="1"/>
      <c r="F1530" s="1"/>
      <c r="G1530" s="1"/>
      <c r="H1530" s="2"/>
    </row>
    <row r="1531" spans="1:8" x14ac:dyDescent="0.4">
      <c r="A1531" s="1"/>
      <c r="B1531" s="1"/>
      <c r="C1531" s="1"/>
      <c r="D1531" s="1"/>
      <c r="F1531" s="1"/>
      <c r="G1531" s="1"/>
      <c r="H1531" s="2"/>
    </row>
    <row r="1532" spans="1:8" x14ac:dyDescent="0.4">
      <c r="A1532" s="1"/>
      <c r="B1532" s="1"/>
      <c r="C1532" s="1"/>
      <c r="D1532" s="1"/>
      <c r="F1532" s="1"/>
      <c r="G1532" s="1"/>
      <c r="H1532" s="2"/>
    </row>
    <row r="1533" spans="1:8" x14ac:dyDescent="0.4">
      <c r="A1533" s="1"/>
      <c r="B1533" s="1"/>
      <c r="C1533" s="1"/>
      <c r="D1533" s="1"/>
      <c r="F1533" s="1"/>
      <c r="G1533" s="1"/>
      <c r="H1533" s="2"/>
    </row>
    <row r="1534" spans="1:8" x14ac:dyDescent="0.4">
      <c r="A1534" s="1"/>
      <c r="B1534" s="1"/>
      <c r="C1534" s="1"/>
      <c r="D1534" s="1"/>
      <c r="F1534" s="1"/>
      <c r="G1534" s="1"/>
      <c r="H1534" s="2"/>
    </row>
    <row r="1535" spans="1:8" x14ac:dyDescent="0.4">
      <c r="A1535" s="1"/>
      <c r="B1535" s="1"/>
      <c r="C1535" s="1"/>
      <c r="D1535" s="1"/>
      <c r="F1535" s="1"/>
      <c r="G1535" s="1"/>
      <c r="H1535" s="2"/>
    </row>
    <row r="1536" spans="1:8" x14ac:dyDescent="0.4">
      <c r="A1536" s="1"/>
      <c r="B1536" s="1"/>
      <c r="C1536" s="1"/>
      <c r="D1536" s="1"/>
      <c r="F1536" s="1"/>
      <c r="G1536" s="1"/>
      <c r="H1536" s="2"/>
    </row>
    <row r="1537" spans="1:8" x14ac:dyDescent="0.4">
      <c r="A1537" s="1"/>
      <c r="B1537" s="1"/>
      <c r="C1537" s="1"/>
      <c r="D1537" s="1"/>
      <c r="F1537" s="1"/>
      <c r="G1537" s="1"/>
      <c r="H1537" s="2"/>
    </row>
    <row r="1538" spans="1:8" x14ac:dyDescent="0.4">
      <c r="A1538" s="1"/>
      <c r="B1538" s="1"/>
      <c r="C1538" s="1"/>
      <c r="D1538" s="1"/>
      <c r="F1538" s="1"/>
      <c r="G1538" s="1"/>
      <c r="H1538" s="2"/>
    </row>
    <row r="1539" spans="1:8" x14ac:dyDescent="0.4">
      <c r="A1539" s="1"/>
      <c r="B1539" s="1"/>
      <c r="C1539" s="1"/>
      <c r="D1539" s="1"/>
      <c r="F1539" s="1"/>
      <c r="G1539" s="1"/>
      <c r="H1539" s="2"/>
    </row>
    <row r="1540" spans="1:8" x14ac:dyDescent="0.4">
      <c r="A1540" s="1"/>
      <c r="B1540" s="1"/>
      <c r="C1540" s="1"/>
      <c r="D1540" s="1"/>
      <c r="F1540" s="1"/>
      <c r="G1540" s="1"/>
      <c r="H1540" s="2"/>
    </row>
    <row r="1541" spans="1:8" x14ac:dyDescent="0.4">
      <c r="A1541" s="1"/>
      <c r="B1541" s="1"/>
      <c r="C1541" s="1"/>
      <c r="D1541" s="1"/>
      <c r="F1541" s="1"/>
      <c r="G1541" s="1"/>
      <c r="H1541" s="2"/>
    </row>
    <row r="1542" spans="1:8" x14ac:dyDescent="0.4">
      <c r="A1542" s="1"/>
      <c r="B1542" s="1"/>
      <c r="C1542" s="1"/>
      <c r="D1542" s="1"/>
      <c r="F1542" s="1"/>
      <c r="G1542" s="1"/>
      <c r="H1542" s="2"/>
    </row>
    <row r="1543" spans="1:8" x14ac:dyDescent="0.4">
      <c r="A1543" s="1"/>
      <c r="B1543" s="1"/>
      <c r="C1543" s="1"/>
      <c r="D1543" s="1"/>
      <c r="F1543" s="1"/>
      <c r="G1543" s="1"/>
      <c r="H1543" s="2"/>
    </row>
    <row r="1544" spans="1:8" x14ac:dyDescent="0.4">
      <c r="A1544" s="1"/>
      <c r="B1544" s="1"/>
      <c r="C1544" s="1"/>
      <c r="D1544" s="1"/>
      <c r="F1544" s="1"/>
      <c r="G1544" s="1"/>
      <c r="H1544" s="2"/>
    </row>
    <row r="1545" spans="1:8" x14ac:dyDescent="0.4">
      <c r="A1545" s="1"/>
      <c r="B1545" s="1"/>
      <c r="C1545" s="1"/>
      <c r="D1545" s="1"/>
      <c r="F1545" s="1"/>
      <c r="G1545" s="1"/>
      <c r="H1545" s="2"/>
    </row>
    <row r="1546" spans="1:8" x14ac:dyDescent="0.4">
      <c r="A1546" s="1"/>
      <c r="B1546" s="1"/>
      <c r="C1546" s="1"/>
      <c r="D1546" s="1"/>
      <c r="F1546" s="1"/>
      <c r="G1546" s="1"/>
      <c r="H1546" s="2"/>
    </row>
    <row r="1547" spans="1:8" x14ac:dyDescent="0.4">
      <c r="A1547" s="1"/>
      <c r="B1547" s="1"/>
      <c r="C1547" s="1"/>
      <c r="D1547" s="1"/>
      <c r="F1547" s="1"/>
      <c r="G1547" s="1"/>
      <c r="H1547" s="2"/>
    </row>
    <row r="1548" spans="1:8" x14ac:dyDescent="0.4">
      <c r="A1548" s="1"/>
      <c r="B1548" s="1"/>
      <c r="C1548" s="1"/>
      <c r="D1548" s="1"/>
      <c r="F1548" s="1"/>
      <c r="G1548" s="1"/>
      <c r="H1548" s="2"/>
    </row>
    <row r="1549" spans="1:8" x14ac:dyDescent="0.4">
      <c r="A1549" s="1"/>
      <c r="B1549" s="1"/>
      <c r="C1549" s="1"/>
      <c r="D1549" s="1"/>
      <c r="F1549" s="1"/>
      <c r="G1549" s="1"/>
      <c r="H1549" s="2"/>
    </row>
    <row r="1550" spans="1:8" x14ac:dyDescent="0.4">
      <c r="A1550" s="1"/>
      <c r="B1550" s="1"/>
      <c r="C1550" s="1"/>
      <c r="D1550" s="1"/>
      <c r="F1550" s="1"/>
      <c r="G1550" s="1"/>
      <c r="H1550" s="2"/>
    </row>
    <row r="1551" spans="1:8" x14ac:dyDescent="0.4">
      <c r="A1551" s="1"/>
      <c r="B1551" s="1"/>
      <c r="C1551" s="1"/>
      <c r="D1551" s="1"/>
      <c r="F1551" s="1"/>
      <c r="G1551" s="1"/>
      <c r="H1551" s="2"/>
    </row>
    <row r="1552" spans="1:8" x14ac:dyDescent="0.4">
      <c r="A1552" s="1"/>
      <c r="B1552" s="1"/>
      <c r="C1552" s="1"/>
      <c r="D1552" s="1"/>
      <c r="F1552" s="1"/>
      <c r="G1552" s="1"/>
      <c r="H1552" s="2"/>
    </row>
    <row r="1553" spans="1:8" x14ac:dyDescent="0.4">
      <c r="A1553" s="1"/>
      <c r="B1553" s="1"/>
      <c r="C1553" s="1"/>
      <c r="D1553" s="1"/>
      <c r="F1553" s="1"/>
      <c r="G1553" s="1"/>
      <c r="H1553" s="2"/>
    </row>
    <row r="1554" spans="1:8" x14ac:dyDescent="0.4">
      <c r="A1554" s="1"/>
      <c r="B1554" s="1"/>
      <c r="C1554" s="1"/>
      <c r="D1554" s="1"/>
      <c r="F1554" s="1"/>
      <c r="G1554" s="1"/>
      <c r="H1554" s="2"/>
    </row>
    <row r="1555" spans="1:8" x14ac:dyDescent="0.4">
      <c r="A1555" s="1"/>
      <c r="B1555" s="1"/>
      <c r="C1555" s="1"/>
      <c r="D1555" s="1"/>
      <c r="F1555" s="1"/>
      <c r="G1555" s="1"/>
      <c r="H1555" s="2"/>
    </row>
    <row r="1556" spans="1:8" x14ac:dyDescent="0.4">
      <c r="A1556" s="1"/>
      <c r="B1556" s="1"/>
      <c r="C1556" s="1"/>
      <c r="D1556" s="1"/>
      <c r="F1556" s="1"/>
      <c r="G1556" s="1"/>
      <c r="H1556" s="2"/>
    </row>
    <row r="1557" spans="1:8" x14ac:dyDescent="0.4">
      <c r="A1557" s="1"/>
      <c r="B1557" s="1"/>
      <c r="C1557" s="1"/>
      <c r="D1557" s="1"/>
      <c r="F1557" s="1"/>
      <c r="G1557" s="1"/>
      <c r="H1557" s="2"/>
    </row>
    <row r="1558" spans="1:8" x14ac:dyDescent="0.4">
      <c r="A1558" s="1"/>
      <c r="B1558" s="1"/>
      <c r="C1558" s="1"/>
      <c r="D1558" s="1"/>
      <c r="F1558" s="1"/>
      <c r="G1558" s="1"/>
      <c r="H1558" s="2"/>
    </row>
    <row r="1559" spans="1:8" x14ac:dyDescent="0.4">
      <c r="A1559" s="1"/>
      <c r="B1559" s="1"/>
      <c r="C1559" s="1"/>
      <c r="D1559" s="1"/>
      <c r="F1559" s="1"/>
      <c r="G1559" s="1"/>
      <c r="H1559" s="2"/>
    </row>
    <row r="1560" spans="1:8" x14ac:dyDescent="0.4">
      <c r="A1560" s="1"/>
      <c r="B1560" s="1"/>
      <c r="C1560" s="1"/>
      <c r="D1560" s="1"/>
      <c r="F1560" s="1"/>
      <c r="G1560" s="1"/>
      <c r="H1560" s="2"/>
    </row>
    <row r="1561" spans="1:8" x14ac:dyDescent="0.4">
      <c r="A1561" s="1"/>
      <c r="B1561" s="1"/>
      <c r="C1561" s="1"/>
      <c r="D1561" s="1"/>
      <c r="F1561" s="1"/>
      <c r="G1561" s="1"/>
      <c r="H1561" s="2"/>
    </row>
    <row r="1562" spans="1:8" x14ac:dyDescent="0.4">
      <c r="A1562" s="1"/>
      <c r="B1562" s="1"/>
      <c r="C1562" s="1"/>
      <c r="D1562" s="1"/>
      <c r="F1562" s="1"/>
      <c r="G1562" s="1"/>
      <c r="H1562" s="2"/>
    </row>
    <row r="1563" spans="1:8" x14ac:dyDescent="0.4">
      <c r="A1563" s="1"/>
      <c r="B1563" s="1"/>
      <c r="C1563" s="1"/>
      <c r="D1563" s="1"/>
      <c r="F1563" s="1"/>
      <c r="G1563" s="1"/>
      <c r="H1563" s="2"/>
    </row>
    <row r="1564" spans="1:8" x14ac:dyDescent="0.4">
      <c r="A1564" s="1"/>
      <c r="B1564" s="1"/>
      <c r="C1564" s="1"/>
      <c r="D1564" s="1"/>
      <c r="F1564" s="1"/>
      <c r="G1564" s="1"/>
      <c r="H1564" s="2"/>
    </row>
    <row r="1565" spans="1:8" x14ac:dyDescent="0.4">
      <c r="A1565" s="1"/>
      <c r="B1565" s="1"/>
      <c r="C1565" s="1"/>
      <c r="D1565" s="1"/>
      <c r="F1565" s="1"/>
      <c r="G1565" s="1"/>
      <c r="H1565" s="2"/>
    </row>
    <row r="1566" spans="1:8" x14ac:dyDescent="0.4">
      <c r="A1566" s="1"/>
      <c r="B1566" s="1"/>
      <c r="C1566" s="1"/>
      <c r="D1566" s="1"/>
      <c r="F1566" s="1"/>
      <c r="G1566" s="1"/>
      <c r="H1566" s="2"/>
    </row>
    <row r="1567" spans="1:8" x14ac:dyDescent="0.4">
      <c r="A1567" s="1"/>
      <c r="B1567" s="1"/>
      <c r="C1567" s="1"/>
      <c r="D1567" s="1"/>
      <c r="F1567" s="1"/>
      <c r="G1567" s="1"/>
      <c r="H1567" s="2"/>
    </row>
    <row r="1568" spans="1:8" x14ac:dyDescent="0.4">
      <c r="A1568" s="1"/>
      <c r="B1568" s="1"/>
      <c r="C1568" s="1"/>
      <c r="D1568" s="1"/>
      <c r="F1568" s="1"/>
      <c r="G1568" s="1"/>
      <c r="H1568" s="2"/>
    </row>
    <row r="1569" spans="1:8" x14ac:dyDescent="0.4">
      <c r="A1569" s="1"/>
      <c r="B1569" s="1"/>
      <c r="C1569" s="1"/>
      <c r="D1569" s="1"/>
      <c r="F1569" s="1"/>
      <c r="G1569" s="1"/>
      <c r="H1569" s="2"/>
    </row>
    <row r="1570" spans="1:8" x14ac:dyDescent="0.4">
      <c r="A1570" s="1"/>
      <c r="B1570" s="1"/>
      <c r="C1570" s="1"/>
      <c r="D1570" s="1"/>
      <c r="F1570" s="1"/>
      <c r="G1570" s="1"/>
      <c r="H1570" s="2"/>
    </row>
    <row r="1571" spans="1:8" x14ac:dyDescent="0.4">
      <c r="A1571" s="1"/>
      <c r="B1571" s="1"/>
      <c r="C1571" s="1"/>
      <c r="D1571" s="1"/>
      <c r="F1571" s="1"/>
      <c r="G1571" s="1"/>
      <c r="H1571" s="2"/>
    </row>
    <row r="1572" spans="1:8" x14ac:dyDescent="0.4">
      <c r="A1572" s="1"/>
      <c r="B1572" s="1"/>
      <c r="C1572" s="1"/>
      <c r="D1572" s="1"/>
      <c r="F1572" s="1"/>
      <c r="G1572" s="1"/>
      <c r="H1572" s="2"/>
    </row>
    <row r="1573" spans="1:8" x14ac:dyDescent="0.4">
      <c r="A1573" s="1"/>
      <c r="B1573" s="1"/>
      <c r="C1573" s="1"/>
      <c r="D1573" s="1"/>
      <c r="F1573" s="1"/>
      <c r="G1573" s="1"/>
      <c r="H1573" s="2"/>
    </row>
    <row r="1574" spans="1:8" x14ac:dyDescent="0.4">
      <c r="A1574" s="1"/>
      <c r="B1574" s="1"/>
      <c r="C1574" s="1"/>
      <c r="D1574" s="1"/>
      <c r="F1574" s="1"/>
      <c r="G1574" s="1"/>
      <c r="H1574" s="2"/>
    </row>
    <row r="1575" spans="1:8" x14ac:dyDescent="0.4">
      <c r="A1575" s="1"/>
      <c r="B1575" s="1"/>
      <c r="C1575" s="1"/>
      <c r="D1575" s="1"/>
      <c r="F1575" s="1"/>
      <c r="G1575" s="1"/>
      <c r="H1575" s="2"/>
    </row>
    <row r="1576" spans="1:8" x14ac:dyDescent="0.4">
      <c r="A1576" s="1"/>
      <c r="B1576" s="1"/>
      <c r="C1576" s="1"/>
      <c r="D1576" s="1"/>
      <c r="F1576" s="1"/>
      <c r="G1576" s="1"/>
      <c r="H1576" s="2"/>
    </row>
    <row r="1577" spans="1:8" x14ac:dyDescent="0.4">
      <c r="A1577" s="1"/>
      <c r="B1577" s="1"/>
      <c r="C1577" s="1"/>
      <c r="D1577" s="1"/>
      <c r="F1577" s="1"/>
      <c r="G1577" s="1"/>
      <c r="H1577" s="2"/>
    </row>
    <row r="1578" spans="1:8" x14ac:dyDescent="0.4">
      <c r="A1578" s="1"/>
      <c r="B1578" s="1"/>
      <c r="C1578" s="1"/>
      <c r="D1578" s="1"/>
      <c r="F1578" s="1"/>
      <c r="G1578" s="1"/>
      <c r="H1578" s="2"/>
    </row>
    <row r="1579" spans="1:8" x14ac:dyDescent="0.4">
      <c r="A1579" s="1"/>
      <c r="B1579" s="1"/>
      <c r="C1579" s="1"/>
      <c r="D1579" s="1"/>
      <c r="F1579" s="1"/>
      <c r="G1579" s="1"/>
      <c r="H1579" s="2"/>
    </row>
    <row r="1580" spans="1:8" x14ac:dyDescent="0.4">
      <c r="A1580" s="1"/>
      <c r="B1580" s="1"/>
      <c r="C1580" s="1"/>
      <c r="D1580" s="1"/>
      <c r="F1580" s="1"/>
      <c r="G1580" s="1"/>
      <c r="H1580" s="2"/>
    </row>
    <row r="1581" spans="1:8" x14ac:dyDescent="0.4">
      <c r="A1581" s="1"/>
      <c r="B1581" s="1"/>
      <c r="C1581" s="1"/>
      <c r="D1581" s="1"/>
      <c r="F1581" s="1"/>
      <c r="G1581" s="1"/>
      <c r="H1581" s="2"/>
    </row>
    <row r="1582" spans="1:8" x14ac:dyDescent="0.4">
      <c r="A1582" s="1"/>
      <c r="B1582" s="1"/>
      <c r="C1582" s="1"/>
      <c r="D1582" s="1"/>
      <c r="F1582" s="1"/>
      <c r="G1582" s="1"/>
      <c r="H1582" s="2"/>
    </row>
    <row r="1583" spans="1:8" x14ac:dyDescent="0.4">
      <c r="A1583" s="1"/>
      <c r="B1583" s="1"/>
      <c r="C1583" s="1"/>
      <c r="D1583" s="1"/>
      <c r="F1583" s="1"/>
      <c r="G1583" s="1"/>
      <c r="H1583" s="2"/>
    </row>
    <row r="1584" spans="1:8" x14ac:dyDescent="0.4">
      <c r="A1584" s="1"/>
      <c r="B1584" s="1"/>
      <c r="C1584" s="1"/>
      <c r="D1584" s="1"/>
      <c r="F1584" s="1"/>
      <c r="G1584" s="1"/>
      <c r="H1584" s="2"/>
    </row>
    <row r="1585" spans="1:8" x14ac:dyDescent="0.4">
      <c r="A1585" s="1"/>
      <c r="B1585" s="1"/>
      <c r="C1585" s="1"/>
      <c r="D1585" s="1"/>
      <c r="F1585" s="1"/>
      <c r="G1585" s="1"/>
      <c r="H1585" s="2"/>
    </row>
    <row r="1586" spans="1:8" x14ac:dyDescent="0.4">
      <c r="A1586" s="1"/>
      <c r="B1586" s="1"/>
      <c r="C1586" s="1"/>
      <c r="D1586" s="1"/>
      <c r="F1586" s="1"/>
      <c r="G1586" s="1"/>
      <c r="H1586" s="2"/>
    </row>
    <row r="1587" spans="1:8" x14ac:dyDescent="0.4">
      <c r="A1587" s="1"/>
      <c r="B1587" s="1"/>
      <c r="C1587" s="1"/>
      <c r="D1587" s="1"/>
      <c r="F1587" s="1"/>
      <c r="G1587" s="1"/>
      <c r="H1587" s="2"/>
    </row>
    <row r="1588" spans="1:8" x14ac:dyDescent="0.4">
      <c r="A1588" s="1"/>
      <c r="B1588" s="1"/>
      <c r="C1588" s="1"/>
      <c r="D1588" s="1"/>
      <c r="F1588" s="1"/>
      <c r="G1588" s="1"/>
      <c r="H1588" s="2"/>
    </row>
    <row r="1589" spans="1:8" x14ac:dyDescent="0.4">
      <c r="A1589" s="1"/>
      <c r="B1589" s="1"/>
      <c r="C1589" s="1"/>
      <c r="D1589" s="1"/>
      <c r="F1589" s="1"/>
      <c r="G1589" s="1"/>
      <c r="H1589" s="2"/>
    </row>
    <row r="1590" spans="1:8" x14ac:dyDescent="0.4">
      <c r="A1590" s="1"/>
      <c r="B1590" s="1"/>
      <c r="C1590" s="1"/>
      <c r="D1590" s="1"/>
      <c r="F1590" s="1"/>
      <c r="G1590" s="1"/>
      <c r="H1590" s="2"/>
    </row>
    <row r="1591" spans="1:8" x14ac:dyDescent="0.4">
      <c r="A1591" s="1"/>
      <c r="B1591" s="1"/>
      <c r="C1591" s="1"/>
      <c r="D1591" s="1"/>
      <c r="F1591" s="1"/>
      <c r="G1591" s="1"/>
      <c r="H1591" s="2"/>
    </row>
    <row r="1592" spans="1:8" x14ac:dyDescent="0.4">
      <c r="A1592" s="1"/>
      <c r="B1592" s="1"/>
      <c r="C1592" s="1"/>
      <c r="D1592" s="1"/>
      <c r="F1592" s="1"/>
      <c r="G1592" s="1"/>
      <c r="H1592" s="2"/>
    </row>
    <row r="1593" spans="1:8" x14ac:dyDescent="0.4">
      <c r="A1593" s="1"/>
      <c r="B1593" s="1"/>
      <c r="C1593" s="1"/>
      <c r="D1593" s="1"/>
      <c r="F1593" s="1"/>
      <c r="G1593" s="1"/>
      <c r="H1593" s="2"/>
    </row>
    <row r="1594" spans="1:8" x14ac:dyDescent="0.4">
      <c r="A1594" s="1"/>
      <c r="B1594" s="1"/>
      <c r="C1594" s="1"/>
      <c r="D1594" s="1"/>
      <c r="F1594" s="1"/>
      <c r="G1594" s="1"/>
      <c r="H1594" s="2"/>
    </row>
    <row r="1595" spans="1:8" x14ac:dyDescent="0.4">
      <c r="A1595" s="1"/>
      <c r="B1595" s="1"/>
      <c r="C1595" s="1"/>
      <c r="D1595" s="1"/>
      <c r="F1595" s="1"/>
      <c r="G1595" s="1"/>
      <c r="H1595" s="2"/>
    </row>
    <row r="1596" spans="1:8" x14ac:dyDescent="0.4">
      <c r="A1596" s="1"/>
      <c r="B1596" s="1"/>
      <c r="C1596" s="1"/>
      <c r="D1596" s="1"/>
      <c r="F1596" s="1"/>
      <c r="G1596" s="1"/>
      <c r="H1596" s="2"/>
    </row>
    <row r="1597" spans="1:8" x14ac:dyDescent="0.4">
      <c r="A1597" s="1"/>
      <c r="B1597" s="1"/>
      <c r="C1597" s="1"/>
      <c r="D1597" s="1"/>
      <c r="F1597" s="1"/>
      <c r="G1597" s="1"/>
      <c r="H1597" s="2"/>
    </row>
    <row r="1598" spans="1:8" x14ac:dyDescent="0.4">
      <c r="A1598" s="1"/>
      <c r="B1598" s="1"/>
      <c r="C1598" s="1"/>
      <c r="D1598" s="1"/>
      <c r="F1598" s="1"/>
      <c r="G1598" s="1"/>
      <c r="H1598" s="2"/>
    </row>
    <row r="1599" spans="1:8" x14ac:dyDescent="0.4">
      <c r="A1599" s="1"/>
      <c r="B1599" s="1"/>
      <c r="C1599" s="1"/>
      <c r="D1599" s="1"/>
      <c r="F1599" s="1"/>
      <c r="G1599" s="1"/>
      <c r="H1599" s="2"/>
    </row>
    <row r="1600" spans="1:8" x14ac:dyDescent="0.4">
      <c r="A1600" s="1"/>
      <c r="B1600" s="1"/>
      <c r="C1600" s="1"/>
      <c r="D1600" s="1"/>
      <c r="F1600" s="1"/>
      <c r="G1600" s="1"/>
      <c r="H1600" s="2"/>
    </row>
    <row r="1601" spans="1:8" x14ac:dyDescent="0.4">
      <c r="A1601" s="1"/>
      <c r="B1601" s="1"/>
      <c r="C1601" s="1"/>
      <c r="D1601" s="1"/>
      <c r="F1601" s="1"/>
      <c r="G1601" s="1"/>
      <c r="H1601" s="2"/>
    </row>
    <row r="1602" spans="1:8" x14ac:dyDescent="0.4">
      <c r="A1602" s="1"/>
      <c r="B1602" s="1"/>
      <c r="C1602" s="1"/>
      <c r="D1602" s="1"/>
      <c r="F1602" s="1"/>
      <c r="G1602" s="1"/>
      <c r="H1602" s="2"/>
    </row>
    <row r="1603" spans="1:8" x14ac:dyDescent="0.4">
      <c r="A1603" s="1"/>
      <c r="B1603" s="1"/>
      <c r="C1603" s="1"/>
      <c r="D1603" s="1"/>
      <c r="F1603" s="1"/>
      <c r="G1603" s="1"/>
      <c r="H1603" s="2"/>
    </row>
    <row r="1604" spans="1:8" x14ac:dyDescent="0.4">
      <c r="A1604" s="1"/>
      <c r="B1604" s="1"/>
      <c r="C1604" s="1"/>
      <c r="D1604" s="1"/>
      <c r="F1604" s="1"/>
      <c r="G1604" s="1"/>
      <c r="H1604" s="2"/>
    </row>
    <row r="1605" spans="1:8" x14ac:dyDescent="0.4">
      <c r="A1605" s="1"/>
      <c r="B1605" s="1"/>
      <c r="C1605" s="1"/>
      <c r="D1605" s="1"/>
      <c r="F1605" s="1"/>
      <c r="G1605" s="1"/>
      <c r="H1605" s="2"/>
    </row>
    <row r="1606" spans="1:8" x14ac:dyDescent="0.4">
      <c r="A1606" s="1"/>
      <c r="B1606" s="1"/>
      <c r="C1606" s="1"/>
      <c r="D1606" s="1"/>
      <c r="F1606" s="1"/>
      <c r="G1606" s="1"/>
      <c r="H1606" s="2"/>
    </row>
    <row r="1607" spans="1:8" x14ac:dyDescent="0.4">
      <c r="A1607" s="1"/>
      <c r="B1607" s="1"/>
      <c r="C1607" s="1"/>
      <c r="D1607" s="1"/>
      <c r="F1607" s="1"/>
      <c r="G1607" s="1"/>
      <c r="H1607" s="2"/>
    </row>
    <row r="1608" spans="1:8" x14ac:dyDescent="0.4">
      <c r="A1608" s="1"/>
      <c r="B1608" s="1"/>
      <c r="C1608" s="1"/>
      <c r="D1608" s="1"/>
      <c r="F1608" s="1"/>
      <c r="G1608" s="1"/>
      <c r="H1608" s="2"/>
    </row>
    <row r="1609" spans="1:8" x14ac:dyDescent="0.4">
      <c r="A1609" s="1"/>
      <c r="B1609" s="1"/>
      <c r="C1609" s="1"/>
      <c r="D1609" s="1"/>
      <c r="F1609" s="1"/>
      <c r="G1609" s="1"/>
      <c r="H1609" s="2"/>
    </row>
    <row r="1610" spans="1:8" x14ac:dyDescent="0.4">
      <c r="A1610" s="1"/>
      <c r="B1610" s="1"/>
      <c r="C1610" s="1"/>
      <c r="D1610" s="1"/>
      <c r="F1610" s="1"/>
      <c r="G1610" s="1"/>
      <c r="H1610" s="2"/>
    </row>
    <row r="1611" spans="1:8" x14ac:dyDescent="0.4">
      <c r="A1611" s="1"/>
      <c r="B1611" s="1"/>
      <c r="C1611" s="1"/>
      <c r="D1611" s="1"/>
      <c r="F1611" s="1"/>
      <c r="G1611" s="1"/>
      <c r="H1611" s="2"/>
    </row>
    <row r="1612" spans="1:8" x14ac:dyDescent="0.4">
      <c r="A1612" s="1"/>
      <c r="B1612" s="1"/>
      <c r="C1612" s="1"/>
      <c r="D1612" s="1"/>
      <c r="F1612" s="1"/>
      <c r="G1612" s="1"/>
      <c r="H1612" s="2"/>
    </row>
    <row r="1613" spans="1:8" x14ac:dyDescent="0.4">
      <c r="A1613" s="1"/>
      <c r="B1613" s="1"/>
      <c r="C1613" s="1"/>
      <c r="D1613" s="1"/>
      <c r="F1613" s="1"/>
      <c r="G1613" s="1"/>
      <c r="H1613" s="2"/>
    </row>
    <row r="1614" spans="1:8" x14ac:dyDescent="0.4">
      <c r="A1614" s="1"/>
      <c r="B1614" s="1"/>
      <c r="C1614" s="1"/>
      <c r="D1614" s="1"/>
      <c r="F1614" s="1"/>
      <c r="G1614" s="1"/>
      <c r="H1614" s="2"/>
    </row>
    <row r="1615" spans="1:8" x14ac:dyDescent="0.4">
      <c r="A1615" s="1"/>
      <c r="B1615" s="1"/>
      <c r="C1615" s="1"/>
      <c r="D1615" s="1"/>
      <c r="F1615" s="1"/>
      <c r="G1615" s="1"/>
      <c r="H1615" s="2"/>
    </row>
    <row r="1616" spans="1:8" x14ac:dyDescent="0.4">
      <c r="A1616" s="1"/>
      <c r="B1616" s="1"/>
      <c r="C1616" s="1"/>
      <c r="D1616" s="1"/>
      <c r="F1616" s="1"/>
      <c r="G1616" s="1"/>
      <c r="H1616" s="2"/>
    </row>
    <row r="1617" spans="1:8" x14ac:dyDescent="0.4">
      <c r="A1617" s="1"/>
      <c r="B1617" s="1"/>
      <c r="C1617" s="1"/>
      <c r="D1617" s="1"/>
      <c r="F1617" s="1"/>
      <c r="G1617" s="1"/>
      <c r="H1617" s="2"/>
    </row>
    <row r="1618" spans="1:8" x14ac:dyDescent="0.4">
      <c r="A1618" s="1"/>
      <c r="B1618" s="1"/>
      <c r="C1618" s="1"/>
      <c r="D1618" s="1"/>
      <c r="F1618" s="1"/>
      <c r="G1618" s="1"/>
      <c r="H1618" s="2"/>
    </row>
    <row r="1619" spans="1:8" x14ac:dyDescent="0.4">
      <c r="A1619" s="1"/>
      <c r="B1619" s="1"/>
      <c r="C1619" s="1"/>
      <c r="D1619" s="1"/>
      <c r="F1619" s="1"/>
      <c r="G1619" s="1"/>
      <c r="H1619" s="2"/>
    </row>
    <row r="1620" spans="1:8" x14ac:dyDescent="0.4">
      <c r="A1620" s="1"/>
      <c r="B1620" s="1"/>
      <c r="C1620" s="1"/>
      <c r="D1620" s="1"/>
      <c r="F1620" s="1"/>
      <c r="G1620" s="1"/>
      <c r="H1620" s="2"/>
    </row>
    <row r="1621" spans="1:8" x14ac:dyDescent="0.4">
      <c r="A1621" s="1"/>
      <c r="B1621" s="1"/>
      <c r="C1621" s="1"/>
      <c r="D1621" s="1"/>
      <c r="F1621" s="1"/>
      <c r="G1621" s="1"/>
      <c r="H1621" s="2"/>
    </row>
    <row r="1622" spans="1:8" x14ac:dyDescent="0.4">
      <c r="A1622" s="1"/>
      <c r="B1622" s="1"/>
      <c r="C1622" s="1"/>
      <c r="D1622" s="1"/>
      <c r="F1622" s="1"/>
      <c r="G1622" s="1"/>
      <c r="H1622" s="2"/>
    </row>
    <row r="1623" spans="1:8" x14ac:dyDescent="0.4">
      <c r="A1623" s="1"/>
      <c r="B1623" s="1"/>
      <c r="C1623" s="1"/>
      <c r="D1623" s="1"/>
      <c r="F1623" s="1"/>
      <c r="G1623" s="1"/>
      <c r="H1623" s="2"/>
    </row>
    <row r="1624" spans="1:8" x14ac:dyDescent="0.4">
      <c r="A1624" s="1"/>
      <c r="B1624" s="1"/>
      <c r="C1624" s="1"/>
      <c r="D1624" s="1"/>
      <c r="F1624" s="1"/>
      <c r="G1624" s="1"/>
      <c r="H1624" s="2"/>
    </row>
    <row r="1625" spans="1:8" x14ac:dyDescent="0.4">
      <c r="A1625" s="1"/>
      <c r="B1625" s="1"/>
      <c r="C1625" s="1"/>
      <c r="D1625" s="1"/>
      <c r="F1625" s="1"/>
      <c r="G1625" s="1"/>
      <c r="H1625" s="2"/>
    </row>
    <row r="1626" spans="1:8" x14ac:dyDescent="0.4">
      <c r="A1626" s="1"/>
      <c r="B1626" s="1"/>
      <c r="C1626" s="1"/>
      <c r="D1626" s="1"/>
      <c r="F1626" s="1"/>
      <c r="G1626" s="1"/>
      <c r="H1626" s="2"/>
    </row>
    <row r="1627" spans="1:8" x14ac:dyDescent="0.4">
      <c r="A1627" s="1"/>
      <c r="B1627" s="1"/>
      <c r="C1627" s="1"/>
      <c r="D1627" s="1"/>
      <c r="F1627" s="1"/>
      <c r="G1627" s="1"/>
      <c r="H1627" s="2"/>
    </row>
    <row r="1628" spans="1:8" x14ac:dyDescent="0.4">
      <c r="A1628" s="1"/>
      <c r="B1628" s="1"/>
      <c r="C1628" s="1"/>
      <c r="D1628" s="1"/>
      <c r="F1628" s="1"/>
      <c r="G1628" s="1"/>
      <c r="H1628" s="2"/>
    </row>
    <row r="1629" spans="1:8" x14ac:dyDescent="0.4">
      <c r="A1629" s="1"/>
      <c r="B1629" s="1"/>
      <c r="C1629" s="1"/>
      <c r="D1629" s="1"/>
      <c r="F1629" s="1"/>
      <c r="G1629" s="1"/>
      <c r="H1629" s="2"/>
    </row>
    <row r="1630" spans="1:8" x14ac:dyDescent="0.4">
      <c r="A1630" s="1"/>
      <c r="B1630" s="1"/>
      <c r="C1630" s="1"/>
      <c r="D1630" s="1"/>
      <c r="F1630" s="1"/>
      <c r="G1630" s="1"/>
      <c r="H1630" s="2"/>
    </row>
    <row r="1631" spans="1:8" x14ac:dyDescent="0.4">
      <c r="A1631" s="1"/>
      <c r="B1631" s="1"/>
      <c r="C1631" s="1"/>
      <c r="D1631" s="1"/>
      <c r="F1631" s="1"/>
      <c r="G1631" s="1"/>
      <c r="H1631" s="2"/>
    </row>
    <row r="1632" spans="1:8" x14ac:dyDescent="0.4">
      <c r="A1632" s="1"/>
      <c r="B1632" s="1"/>
      <c r="C1632" s="1"/>
      <c r="D1632" s="1"/>
      <c r="F1632" s="1"/>
      <c r="G1632" s="1"/>
      <c r="H1632" s="2"/>
    </row>
    <row r="1633" spans="1:8" x14ac:dyDescent="0.4">
      <c r="A1633" s="1"/>
      <c r="B1633" s="1"/>
      <c r="C1633" s="1"/>
      <c r="D1633" s="1"/>
      <c r="F1633" s="1"/>
      <c r="G1633" s="1"/>
      <c r="H1633" s="2"/>
    </row>
    <row r="1634" spans="1:8" x14ac:dyDescent="0.4">
      <c r="A1634" s="1"/>
      <c r="B1634" s="1"/>
      <c r="C1634" s="1"/>
      <c r="D1634" s="1"/>
      <c r="F1634" s="1"/>
      <c r="G1634" s="1"/>
      <c r="H1634" s="2"/>
    </row>
    <row r="1635" spans="1:8" x14ac:dyDescent="0.4">
      <c r="A1635" s="1"/>
      <c r="B1635" s="1"/>
      <c r="C1635" s="1"/>
      <c r="D1635" s="1"/>
      <c r="F1635" s="1"/>
      <c r="G1635" s="1"/>
      <c r="H1635" s="2"/>
    </row>
    <row r="1636" spans="1:8" x14ac:dyDescent="0.4">
      <c r="A1636" s="1"/>
      <c r="B1636" s="1"/>
      <c r="C1636" s="1"/>
      <c r="D1636" s="1"/>
      <c r="F1636" s="1"/>
      <c r="G1636" s="1"/>
      <c r="H1636" s="2"/>
    </row>
    <row r="1637" spans="1:8" x14ac:dyDescent="0.4">
      <c r="A1637" s="1"/>
      <c r="B1637" s="1"/>
      <c r="C1637" s="1"/>
      <c r="D1637" s="1"/>
      <c r="F1637" s="1"/>
      <c r="G1637" s="1"/>
      <c r="H1637" s="2"/>
    </row>
    <row r="1638" spans="1:8" x14ac:dyDescent="0.4">
      <c r="A1638" s="1"/>
      <c r="B1638" s="1"/>
      <c r="C1638" s="1"/>
      <c r="D1638" s="1"/>
      <c r="F1638" s="1"/>
      <c r="G1638" s="1"/>
      <c r="H1638" s="2"/>
    </row>
    <row r="1639" spans="1:8" x14ac:dyDescent="0.4">
      <c r="A1639" s="1"/>
      <c r="B1639" s="1"/>
      <c r="C1639" s="1"/>
      <c r="D1639" s="1"/>
      <c r="F1639" s="1"/>
      <c r="G1639" s="1"/>
      <c r="H1639" s="2"/>
    </row>
    <row r="1640" spans="1:8" x14ac:dyDescent="0.4">
      <c r="A1640" s="1"/>
      <c r="B1640" s="1"/>
      <c r="C1640" s="1"/>
      <c r="D1640" s="1"/>
      <c r="F1640" s="1"/>
      <c r="G1640" s="1"/>
      <c r="H1640" s="2"/>
    </row>
    <row r="1641" spans="1:8" x14ac:dyDescent="0.4">
      <c r="A1641" s="1"/>
      <c r="B1641" s="1"/>
      <c r="C1641" s="1"/>
      <c r="D1641" s="1"/>
      <c r="F1641" s="1"/>
      <c r="G1641" s="1"/>
      <c r="H1641" s="2"/>
    </row>
    <row r="1642" spans="1:8" x14ac:dyDescent="0.4">
      <c r="A1642" s="1"/>
      <c r="B1642" s="1"/>
      <c r="C1642" s="1"/>
      <c r="D1642" s="1"/>
      <c r="F1642" s="1"/>
      <c r="G1642" s="1"/>
      <c r="H1642" s="2"/>
    </row>
    <row r="1643" spans="1:8" x14ac:dyDescent="0.4">
      <c r="A1643" s="1"/>
      <c r="B1643" s="1"/>
      <c r="C1643" s="1"/>
      <c r="D1643" s="1"/>
      <c r="F1643" s="1"/>
      <c r="G1643" s="1"/>
      <c r="H1643" s="2"/>
    </row>
    <row r="1644" spans="1:8" x14ac:dyDescent="0.4">
      <c r="A1644" s="1"/>
      <c r="B1644" s="1"/>
      <c r="C1644" s="1"/>
      <c r="D1644" s="1"/>
      <c r="F1644" s="1"/>
      <c r="G1644" s="1"/>
      <c r="H1644" s="2"/>
    </row>
    <row r="1645" spans="1:8" x14ac:dyDescent="0.4">
      <c r="A1645" s="1"/>
      <c r="B1645" s="1"/>
      <c r="C1645" s="1"/>
      <c r="D1645" s="1"/>
      <c r="F1645" s="1"/>
      <c r="G1645" s="1"/>
      <c r="H1645" s="2"/>
    </row>
    <row r="1646" spans="1:8" x14ac:dyDescent="0.4">
      <c r="A1646" s="1"/>
      <c r="B1646" s="1"/>
      <c r="C1646" s="1"/>
      <c r="D1646" s="1"/>
      <c r="F1646" s="1"/>
      <c r="G1646" s="1"/>
      <c r="H1646" s="2"/>
    </row>
    <row r="1647" spans="1:8" x14ac:dyDescent="0.4">
      <c r="A1647" s="1"/>
      <c r="B1647" s="1"/>
      <c r="C1647" s="1"/>
      <c r="D1647" s="1"/>
      <c r="F1647" s="1"/>
      <c r="G1647" s="1"/>
      <c r="H1647" s="2"/>
    </row>
    <row r="1648" spans="1:8" x14ac:dyDescent="0.4">
      <c r="A1648" s="1"/>
      <c r="B1648" s="1"/>
      <c r="C1648" s="1"/>
      <c r="D1648" s="1"/>
      <c r="F1648" s="1"/>
      <c r="G1648" s="1"/>
      <c r="H1648" s="2"/>
    </row>
    <row r="1649" spans="1:8" x14ac:dyDescent="0.4">
      <c r="A1649" s="1"/>
      <c r="B1649" s="1"/>
      <c r="C1649" s="1"/>
      <c r="D1649" s="1"/>
      <c r="F1649" s="1"/>
      <c r="G1649" s="1"/>
      <c r="H1649" s="2"/>
    </row>
    <row r="1650" spans="1:8" x14ac:dyDescent="0.4">
      <c r="A1650" s="1"/>
      <c r="B1650" s="1"/>
      <c r="C1650" s="1"/>
      <c r="D1650" s="1"/>
      <c r="F1650" s="1"/>
      <c r="G1650" s="1"/>
      <c r="H1650" s="2"/>
    </row>
    <row r="1651" spans="1:8" x14ac:dyDescent="0.4">
      <c r="A1651" s="1"/>
      <c r="B1651" s="1"/>
      <c r="C1651" s="1"/>
      <c r="D1651" s="1"/>
      <c r="F1651" s="1"/>
      <c r="G1651" s="1"/>
      <c r="H1651" s="2"/>
    </row>
    <row r="1652" spans="1:8" x14ac:dyDescent="0.4">
      <c r="A1652" s="1"/>
      <c r="B1652" s="1"/>
      <c r="C1652" s="1"/>
      <c r="D1652" s="1"/>
      <c r="F1652" s="1"/>
      <c r="G1652" s="1"/>
      <c r="H1652" s="2"/>
    </row>
    <row r="1653" spans="1:8" x14ac:dyDescent="0.4">
      <c r="A1653" s="1"/>
      <c r="B1653" s="1"/>
      <c r="C1653" s="1"/>
      <c r="D1653" s="1"/>
      <c r="F1653" s="1"/>
      <c r="G1653" s="1"/>
      <c r="H1653" s="2"/>
    </row>
    <row r="1654" spans="1:8" x14ac:dyDescent="0.4">
      <c r="A1654" s="1"/>
      <c r="B1654" s="1"/>
      <c r="C1654" s="1"/>
      <c r="D1654" s="1"/>
      <c r="F1654" s="1"/>
      <c r="G1654" s="1"/>
      <c r="H1654" s="2"/>
    </row>
    <row r="1655" spans="1:8" x14ac:dyDescent="0.4">
      <c r="A1655" s="1"/>
      <c r="B1655" s="1"/>
      <c r="C1655" s="1"/>
      <c r="D1655" s="1"/>
      <c r="F1655" s="1"/>
      <c r="G1655" s="1"/>
      <c r="H1655" s="2"/>
    </row>
    <row r="1656" spans="1:8" x14ac:dyDescent="0.4">
      <c r="A1656" s="1"/>
      <c r="B1656" s="1"/>
      <c r="C1656" s="1"/>
      <c r="D1656" s="1"/>
      <c r="F1656" s="1"/>
      <c r="G1656" s="1"/>
      <c r="H1656" s="2"/>
    </row>
    <row r="1657" spans="1:8" x14ac:dyDescent="0.4">
      <c r="A1657" s="1"/>
      <c r="B1657" s="1"/>
      <c r="C1657" s="1"/>
      <c r="D1657" s="1"/>
      <c r="F1657" s="1"/>
      <c r="G1657" s="1"/>
      <c r="H1657" s="2"/>
    </row>
    <row r="1658" spans="1:8" x14ac:dyDescent="0.4">
      <c r="A1658" s="1"/>
      <c r="B1658" s="1"/>
      <c r="C1658" s="1"/>
      <c r="D1658" s="1"/>
      <c r="F1658" s="1"/>
      <c r="G1658" s="1"/>
      <c r="H1658" s="2"/>
    </row>
    <row r="1659" spans="1:8" x14ac:dyDescent="0.4">
      <c r="A1659" s="1"/>
      <c r="B1659" s="1"/>
      <c r="C1659" s="1"/>
      <c r="D1659" s="1"/>
      <c r="F1659" s="1"/>
      <c r="G1659" s="1"/>
      <c r="H1659" s="2"/>
    </row>
    <row r="1660" spans="1:8" x14ac:dyDescent="0.4">
      <c r="A1660" s="1"/>
      <c r="B1660" s="1"/>
      <c r="C1660" s="1"/>
      <c r="D1660" s="1"/>
      <c r="F1660" s="1"/>
      <c r="G1660" s="1"/>
      <c r="H1660" s="2"/>
    </row>
    <row r="1661" spans="1:8" x14ac:dyDescent="0.4">
      <c r="A1661" s="1"/>
      <c r="B1661" s="1"/>
      <c r="C1661" s="1"/>
      <c r="D1661" s="1"/>
      <c r="F1661" s="1"/>
      <c r="G1661" s="1"/>
      <c r="H1661" s="2"/>
    </row>
    <row r="1662" spans="1:8" x14ac:dyDescent="0.4">
      <c r="A1662" s="1"/>
      <c r="B1662" s="1"/>
      <c r="C1662" s="1"/>
      <c r="D1662" s="1"/>
      <c r="F1662" s="1"/>
      <c r="G1662" s="1"/>
      <c r="H1662" s="2"/>
    </row>
    <row r="1663" spans="1:8" x14ac:dyDescent="0.4">
      <c r="A1663" s="1"/>
      <c r="B1663" s="1"/>
      <c r="C1663" s="1"/>
      <c r="D1663" s="1"/>
      <c r="F1663" s="1"/>
      <c r="G1663" s="1"/>
      <c r="H1663" s="2"/>
    </row>
    <row r="1664" spans="1:8" x14ac:dyDescent="0.4">
      <c r="A1664" s="1"/>
      <c r="B1664" s="1"/>
      <c r="C1664" s="1"/>
      <c r="D1664" s="1"/>
      <c r="F1664" s="1"/>
      <c r="G1664" s="1"/>
      <c r="H1664" s="2"/>
    </row>
    <row r="1665" spans="1:8" x14ac:dyDescent="0.4">
      <c r="A1665" s="1"/>
      <c r="B1665" s="1"/>
      <c r="C1665" s="1"/>
      <c r="D1665" s="1"/>
      <c r="F1665" s="1"/>
      <c r="G1665" s="1"/>
      <c r="H1665" s="2"/>
    </row>
    <row r="1666" spans="1:8" x14ac:dyDescent="0.4">
      <c r="A1666" s="1"/>
      <c r="B1666" s="1"/>
      <c r="C1666" s="1"/>
      <c r="D1666" s="1"/>
      <c r="F1666" s="1"/>
      <c r="G1666" s="1"/>
      <c r="H1666" s="2"/>
    </row>
    <row r="1667" spans="1:8" x14ac:dyDescent="0.4">
      <c r="A1667" s="1"/>
      <c r="B1667" s="1"/>
      <c r="C1667" s="1"/>
      <c r="D1667" s="1"/>
      <c r="F1667" s="1"/>
      <c r="G1667" s="1"/>
      <c r="H1667" s="2"/>
    </row>
    <row r="1668" spans="1:8" x14ac:dyDescent="0.4">
      <c r="A1668" s="1"/>
      <c r="B1668" s="1"/>
      <c r="C1668" s="1"/>
      <c r="D1668" s="1"/>
      <c r="F1668" s="1"/>
      <c r="G1668" s="1"/>
      <c r="H1668" s="2"/>
    </row>
    <row r="1669" spans="1:8" x14ac:dyDescent="0.4">
      <c r="A1669" s="1"/>
      <c r="B1669" s="1"/>
      <c r="C1669" s="1"/>
      <c r="D1669" s="1"/>
      <c r="F1669" s="1"/>
      <c r="G1669" s="1"/>
      <c r="H1669" s="2"/>
    </row>
    <row r="1670" spans="1:8" x14ac:dyDescent="0.4">
      <c r="A1670" s="1"/>
      <c r="B1670" s="1"/>
      <c r="C1670" s="1"/>
      <c r="D1670" s="1"/>
      <c r="F1670" s="1"/>
      <c r="G1670" s="1"/>
      <c r="H1670" s="2"/>
    </row>
    <row r="1671" spans="1:8" x14ac:dyDescent="0.4">
      <c r="A1671" s="1"/>
      <c r="B1671" s="1"/>
      <c r="C1671" s="1"/>
      <c r="D1671" s="1"/>
      <c r="F1671" s="1"/>
      <c r="G1671" s="1"/>
      <c r="H1671" s="2"/>
    </row>
    <row r="1672" spans="1:8" x14ac:dyDescent="0.4">
      <c r="A1672" s="1"/>
      <c r="B1672" s="1"/>
      <c r="C1672" s="1"/>
      <c r="D1672" s="1"/>
      <c r="F1672" s="1"/>
      <c r="G1672" s="1"/>
      <c r="H1672" s="2"/>
    </row>
    <row r="1673" spans="1:8" x14ac:dyDescent="0.4">
      <c r="A1673" s="1"/>
      <c r="B1673" s="1"/>
      <c r="C1673" s="1"/>
      <c r="D1673" s="1"/>
      <c r="F1673" s="1"/>
      <c r="G1673" s="1"/>
      <c r="H1673" s="2"/>
    </row>
    <row r="1674" spans="1:8" x14ac:dyDescent="0.4">
      <c r="A1674" s="1"/>
      <c r="B1674" s="1"/>
      <c r="C1674" s="1"/>
      <c r="D1674" s="1"/>
      <c r="F1674" s="1"/>
      <c r="G1674" s="1"/>
      <c r="H1674" s="2"/>
    </row>
    <row r="1675" spans="1:8" x14ac:dyDescent="0.4">
      <c r="A1675" s="1"/>
      <c r="B1675" s="1"/>
      <c r="C1675" s="1"/>
      <c r="D1675" s="1"/>
      <c r="F1675" s="1"/>
      <c r="G1675" s="1"/>
      <c r="H1675" s="2"/>
    </row>
    <row r="1676" spans="1:8" x14ac:dyDescent="0.4">
      <c r="A1676" s="1"/>
      <c r="B1676" s="1"/>
      <c r="C1676" s="1"/>
      <c r="D1676" s="1"/>
      <c r="F1676" s="1"/>
      <c r="G1676" s="1"/>
      <c r="H1676" s="2"/>
    </row>
    <row r="1677" spans="1:8" x14ac:dyDescent="0.4">
      <c r="A1677" s="1"/>
      <c r="B1677" s="1"/>
      <c r="C1677" s="1"/>
      <c r="D1677" s="1"/>
      <c r="F1677" s="1"/>
      <c r="G1677" s="1"/>
      <c r="H1677" s="2"/>
    </row>
    <row r="1678" spans="1:8" x14ac:dyDescent="0.4">
      <c r="A1678" s="1"/>
      <c r="B1678" s="1"/>
      <c r="C1678" s="1"/>
      <c r="D1678" s="1"/>
      <c r="F1678" s="1"/>
      <c r="G1678" s="1"/>
      <c r="H1678" s="2"/>
    </row>
    <row r="1679" spans="1:8" x14ac:dyDescent="0.4">
      <c r="A1679" s="1"/>
      <c r="B1679" s="1"/>
      <c r="C1679" s="1"/>
      <c r="D1679" s="1"/>
      <c r="F1679" s="1"/>
      <c r="G1679" s="1"/>
      <c r="H1679" s="2"/>
    </row>
    <row r="1680" spans="1:8" x14ac:dyDescent="0.4">
      <c r="A1680" s="1"/>
      <c r="B1680" s="1"/>
      <c r="C1680" s="1"/>
      <c r="D1680" s="1"/>
      <c r="F1680" s="1"/>
      <c r="G1680" s="1"/>
      <c r="H1680" s="2"/>
    </row>
    <row r="1681" spans="1:8" x14ac:dyDescent="0.4">
      <c r="A1681" s="1"/>
      <c r="B1681" s="1"/>
      <c r="C1681" s="1"/>
      <c r="D1681" s="1"/>
      <c r="F1681" s="1"/>
      <c r="G1681" s="1"/>
      <c r="H1681" s="2"/>
    </row>
    <row r="1682" spans="1:8" x14ac:dyDescent="0.4">
      <c r="A1682" s="1"/>
      <c r="B1682" s="1"/>
      <c r="C1682" s="1"/>
      <c r="D1682" s="1"/>
      <c r="F1682" s="1"/>
      <c r="G1682" s="1"/>
      <c r="H1682" s="2"/>
    </row>
    <row r="1683" spans="1:8" x14ac:dyDescent="0.4">
      <c r="A1683" s="1"/>
      <c r="B1683" s="1"/>
      <c r="C1683" s="1"/>
      <c r="D1683" s="1"/>
      <c r="F1683" s="1"/>
      <c r="G1683" s="1"/>
      <c r="H1683" s="2"/>
    </row>
    <row r="1684" spans="1:8" x14ac:dyDescent="0.4">
      <c r="A1684" s="1"/>
      <c r="B1684" s="1"/>
      <c r="C1684" s="1"/>
      <c r="D1684" s="1"/>
      <c r="F1684" s="1"/>
      <c r="G1684" s="1"/>
      <c r="H1684" s="2"/>
    </row>
    <row r="1685" spans="1:8" x14ac:dyDescent="0.4">
      <c r="A1685" s="1"/>
      <c r="B1685" s="1"/>
      <c r="C1685" s="1"/>
      <c r="D1685" s="1"/>
      <c r="F1685" s="1"/>
      <c r="G1685" s="1"/>
      <c r="H1685" s="2"/>
    </row>
    <row r="1686" spans="1:8" x14ac:dyDescent="0.4">
      <c r="A1686" s="1"/>
      <c r="B1686" s="1"/>
      <c r="C1686" s="1"/>
      <c r="D1686" s="1"/>
      <c r="F1686" s="1"/>
      <c r="G1686" s="1"/>
      <c r="H1686" s="2"/>
    </row>
    <row r="1687" spans="1:8" x14ac:dyDescent="0.4">
      <c r="A1687" s="1"/>
      <c r="B1687" s="1"/>
      <c r="C1687" s="1"/>
      <c r="D1687" s="1"/>
      <c r="F1687" s="1"/>
      <c r="G1687" s="1"/>
      <c r="H1687" s="2"/>
    </row>
    <row r="1688" spans="1:8" x14ac:dyDescent="0.4">
      <c r="A1688" s="1"/>
      <c r="B1688" s="1"/>
      <c r="C1688" s="1"/>
      <c r="D1688" s="1"/>
      <c r="F1688" s="1"/>
      <c r="G1688" s="1"/>
      <c r="H1688" s="2"/>
    </row>
    <row r="1689" spans="1:8" x14ac:dyDescent="0.4">
      <c r="A1689" s="1"/>
      <c r="B1689" s="1"/>
      <c r="C1689" s="1"/>
      <c r="D1689" s="1"/>
      <c r="F1689" s="1"/>
      <c r="G1689" s="1"/>
      <c r="H1689" s="2"/>
    </row>
    <row r="1690" spans="1:8" x14ac:dyDescent="0.4">
      <c r="A1690" s="1"/>
      <c r="B1690" s="1"/>
      <c r="C1690" s="1"/>
      <c r="D1690" s="1"/>
      <c r="F1690" s="1"/>
      <c r="G1690" s="1"/>
      <c r="H1690" s="2"/>
    </row>
    <row r="1691" spans="1:8" x14ac:dyDescent="0.4">
      <c r="A1691" s="1"/>
      <c r="B1691" s="1"/>
      <c r="C1691" s="1"/>
      <c r="D1691" s="1"/>
      <c r="F1691" s="1"/>
      <c r="G1691" s="1"/>
      <c r="H1691" s="2"/>
    </row>
    <row r="1692" spans="1:8" x14ac:dyDescent="0.4">
      <c r="A1692" s="1"/>
      <c r="B1692" s="1"/>
      <c r="C1692" s="1"/>
      <c r="D1692" s="1"/>
      <c r="F1692" s="1"/>
      <c r="G1692" s="1"/>
      <c r="H1692" s="2"/>
    </row>
    <row r="1693" spans="1:8" x14ac:dyDescent="0.4">
      <c r="A1693" s="1"/>
      <c r="B1693" s="1"/>
      <c r="C1693" s="1"/>
      <c r="D1693" s="1"/>
      <c r="F1693" s="1"/>
      <c r="G1693" s="1"/>
      <c r="H1693" s="2"/>
    </row>
    <row r="1694" spans="1:8" x14ac:dyDescent="0.4">
      <c r="A1694" s="1"/>
      <c r="B1694" s="1"/>
      <c r="C1694" s="1"/>
      <c r="D1694" s="1"/>
      <c r="F1694" s="1"/>
      <c r="G1694" s="1"/>
      <c r="H1694" s="2"/>
    </row>
    <row r="1695" spans="1:8" x14ac:dyDescent="0.4">
      <c r="A1695" s="1"/>
      <c r="B1695" s="1"/>
      <c r="C1695" s="1"/>
      <c r="D1695" s="1"/>
      <c r="F1695" s="1"/>
      <c r="G1695" s="1"/>
      <c r="H1695" s="2"/>
    </row>
    <row r="1696" spans="1:8" x14ac:dyDescent="0.4">
      <c r="A1696" s="1"/>
      <c r="B1696" s="1"/>
      <c r="C1696" s="1"/>
      <c r="D1696" s="1"/>
      <c r="F1696" s="1"/>
      <c r="G1696" s="1"/>
      <c r="H1696" s="2"/>
    </row>
    <row r="1697" spans="1:8" x14ac:dyDescent="0.4">
      <c r="A1697" s="1"/>
      <c r="B1697" s="1"/>
      <c r="C1697" s="1"/>
      <c r="D1697" s="1"/>
      <c r="F1697" s="1"/>
      <c r="G1697" s="1"/>
      <c r="H1697" s="2"/>
    </row>
    <row r="1698" spans="1:8" x14ac:dyDescent="0.4">
      <c r="A1698" s="1"/>
      <c r="B1698" s="1"/>
      <c r="C1698" s="1"/>
      <c r="D1698" s="1"/>
      <c r="F1698" s="1"/>
      <c r="G1698" s="1"/>
      <c r="H1698" s="2"/>
    </row>
    <row r="1699" spans="1:8" x14ac:dyDescent="0.4">
      <c r="A1699" s="1"/>
      <c r="B1699" s="1"/>
      <c r="C1699" s="1"/>
      <c r="D1699" s="1"/>
      <c r="F1699" s="1"/>
      <c r="G1699" s="1"/>
      <c r="H1699" s="2"/>
    </row>
    <row r="1700" spans="1:8" x14ac:dyDescent="0.4">
      <c r="A1700" s="1"/>
      <c r="B1700" s="1"/>
      <c r="C1700" s="1"/>
      <c r="D1700" s="1"/>
      <c r="F1700" s="1"/>
      <c r="G1700" s="1"/>
      <c r="H1700" s="2"/>
    </row>
    <row r="1701" spans="1:8" x14ac:dyDescent="0.4">
      <c r="A1701" s="1"/>
      <c r="B1701" s="1"/>
      <c r="C1701" s="1"/>
      <c r="D1701" s="1"/>
      <c r="F1701" s="1"/>
      <c r="G1701" s="1"/>
      <c r="H1701" s="2"/>
    </row>
    <row r="1702" spans="1:8" x14ac:dyDescent="0.4">
      <c r="A1702" s="1"/>
      <c r="B1702" s="1"/>
      <c r="C1702" s="1"/>
      <c r="D1702" s="1"/>
      <c r="F1702" s="1"/>
      <c r="G1702" s="1"/>
      <c r="H1702" s="2"/>
    </row>
    <row r="1703" spans="1:8" x14ac:dyDescent="0.4">
      <c r="A1703" s="1"/>
      <c r="B1703" s="1"/>
      <c r="C1703" s="1"/>
      <c r="D1703" s="1"/>
      <c r="F1703" s="1"/>
      <c r="G1703" s="1"/>
      <c r="H1703" s="2"/>
    </row>
    <row r="1704" spans="1:8" x14ac:dyDescent="0.4">
      <c r="A1704" s="1"/>
      <c r="B1704" s="1"/>
      <c r="C1704" s="1"/>
      <c r="D1704" s="1"/>
      <c r="F1704" s="1"/>
      <c r="G1704" s="1"/>
      <c r="H1704" s="2"/>
    </row>
    <row r="1705" spans="1:8" x14ac:dyDescent="0.4">
      <c r="A1705" s="1"/>
      <c r="B1705" s="1"/>
      <c r="C1705" s="1"/>
      <c r="D1705" s="1"/>
      <c r="F1705" s="1"/>
      <c r="G1705" s="1"/>
      <c r="H1705" s="2"/>
    </row>
    <row r="1706" spans="1:8" x14ac:dyDescent="0.4">
      <c r="A1706" s="1"/>
      <c r="B1706" s="1"/>
      <c r="C1706" s="1"/>
      <c r="D1706" s="1"/>
      <c r="F1706" s="1"/>
      <c r="G1706" s="1"/>
      <c r="H1706" s="2"/>
    </row>
    <row r="1707" spans="1:8" x14ac:dyDescent="0.4">
      <c r="A1707" s="1"/>
      <c r="B1707" s="1"/>
      <c r="C1707" s="1"/>
      <c r="D1707" s="1"/>
      <c r="F1707" s="1"/>
      <c r="G1707" s="1"/>
      <c r="H1707" s="2"/>
    </row>
    <row r="1708" spans="1:8" x14ac:dyDescent="0.4">
      <c r="A1708" s="1"/>
      <c r="B1708" s="1"/>
      <c r="C1708" s="1"/>
      <c r="D1708" s="1"/>
      <c r="F1708" s="1"/>
      <c r="G1708" s="1"/>
      <c r="H1708" s="2"/>
    </row>
    <row r="1709" spans="1:8" x14ac:dyDescent="0.4">
      <c r="A1709" s="1"/>
      <c r="B1709" s="1"/>
      <c r="C1709" s="1"/>
      <c r="D1709" s="1"/>
      <c r="F1709" s="1"/>
      <c r="G1709" s="1"/>
      <c r="H1709" s="2"/>
    </row>
    <row r="1710" spans="1:8" x14ac:dyDescent="0.4">
      <c r="A1710" s="1"/>
      <c r="B1710" s="1"/>
      <c r="C1710" s="1"/>
      <c r="D1710" s="1"/>
      <c r="F1710" s="1"/>
      <c r="G1710" s="1"/>
      <c r="H1710" s="2"/>
    </row>
    <row r="1711" spans="1:8" x14ac:dyDescent="0.4">
      <c r="A1711" s="1"/>
      <c r="B1711" s="1"/>
      <c r="C1711" s="1"/>
      <c r="D1711" s="1"/>
      <c r="F1711" s="1"/>
      <c r="G1711" s="1"/>
      <c r="H1711" s="2"/>
    </row>
    <row r="1712" spans="1:8" x14ac:dyDescent="0.4">
      <c r="A1712" s="1"/>
      <c r="B1712" s="1"/>
      <c r="C1712" s="1"/>
      <c r="D1712" s="1"/>
      <c r="F1712" s="1"/>
      <c r="G1712" s="1"/>
      <c r="H1712" s="2"/>
    </row>
    <row r="1713" spans="1:8" x14ac:dyDescent="0.4">
      <c r="A1713" s="1"/>
      <c r="B1713" s="1"/>
      <c r="C1713" s="1"/>
      <c r="D1713" s="1"/>
      <c r="F1713" s="1"/>
      <c r="G1713" s="1"/>
      <c r="H1713" s="2"/>
    </row>
    <row r="1714" spans="1:8" x14ac:dyDescent="0.4">
      <c r="A1714" s="1"/>
      <c r="B1714" s="1"/>
      <c r="C1714" s="1"/>
      <c r="D1714" s="1"/>
      <c r="F1714" s="1"/>
      <c r="G1714" s="1"/>
      <c r="H1714" s="2"/>
    </row>
    <row r="1715" spans="1:8" x14ac:dyDescent="0.4">
      <c r="A1715" s="1"/>
      <c r="B1715" s="1"/>
      <c r="C1715" s="1"/>
      <c r="D1715" s="1"/>
      <c r="F1715" s="1"/>
      <c r="G1715" s="1"/>
      <c r="H1715" s="2"/>
    </row>
    <row r="1716" spans="1:8" x14ac:dyDescent="0.4">
      <c r="A1716" s="1"/>
      <c r="B1716" s="1"/>
      <c r="C1716" s="1"/>
      <c r="D1716" s="1"/>
      <c r="F1716" s="1"/>
      <c r="G1716" s="1"/>
      <c r="H1716" s="2"/>
    </row>
    <row r="1717" spans="1:8" x14ac:dyDescent="0.4">
      <c r="A1717" s="1"/>
      <c r="B1717" s="1"/>
      <c r="C1717" s="1"/>
      <c r="D1717" s="1"/>
      <c r="F1717" s="1"/>
      <c r="G1717" s="1"/>
      <c r="H1717" s="2"/>
    </row>
    <row r="1718" spans="1:8" x14ac:dyDescent="0.4">
      <c r="A1718" s="1"/>
      <c r="B1718" s="1"/>
      <c r="C1718" s="1"/>
      <c r="D1718" s="1"/>
      <c r="F1718" s="1"/>
      <c r="G1718" s="1"/>
      <c r="H1718" s="2"/>
    </row>
    <row r="1719" spans="1:8" x14ac:dyDescent="0.4">
      <c r="A1719" s="1"/>
      <c r="B1719" s="1"/>
      <c r="C1719" s="1"/>
      <c r="D1719" s="1"/>
      <c r="F1719" s="1"/>
      <c r="G1719" s="1"/>
      <c r="H1719" s="2"/>
    </row>
    <row r="1720" spans="1:8" x14ac:dyDescent="0.4">
      <c r="A1720" s="1"/>
      <c r="B1720" s="1"/>
      <c r="C1720" s="1"/>
      <c r="D1720" s="1"/>
      <c r="F1720" s="1"/>
      <c r="G1720" s="1"/>
      <c r="H1720" s="2"/>
    </row>
    <row r="1721" spans="1:8" x14ac:dyDescent="0.4">
      <c r="A1721" s="1"/>
      <c r="B1721" s="1"/>
      <c r="C1721" s="1"/>
      <c r="D1721" s="1"/>
      <c r="F1721" s="1"/>
      <c r="G1721" s="1"/>
      <c r="H1721" s="2"/>
    </row>
    <row r="1722" spans="1:8" x14ac:dyDescent="0.4">
      <c r="A1722" s="1"/>
      <c r="B1722" s="1"/>
      <c r="C1722" s="1"/>
      <c r="D1722" s="1"/>
      <c r="F1722" s="1"/>
      <c r="G1722" s="1"/>
      <c r="H1722" s="2"/>
    </row>
    <row r="1723" spans="1:8" x14ac:dyDescent="0.4">
      <c r="A1723" s="1"/>
      <c r="B1723" s="1"/>
      <c r="C1723" s="1"/>
      <c r="D1723" s="1"/>
      <c r="F1723" s="1"/>
      <c r="G1723" s="1"/>
      <c r="H1723" s="2"/>
    </row>
    <row r="1724" spans="1:8" x14ac:dyDescent="0.4">
      <c r="A1724" s="1"/>
      <c r="B1724" s="1"/>
      <c r="C1724" s="1"/>
      <c r="D1724" s="1"/>
      <c r="F1724" s="1"/>
      <c r="G1724" s="1"/>
      <c r="H1724" s="2"/>
    </row>
    <row r="1725" spans="1:8" x14ac:dyDescent="0.4">
      <c r="A1725" s="1"/>
      <c r="B1725" s="1"/>
      <c r="C1725" s="1"/>
      <c r="D1725" s="1"/>
      <c r="F1725" s="1"/>
      <c r="G1725" s="1"/>
      <c r="H1725" s="2"/>
    </row>
    <row r="1726" spans="1:8" x14ac:dyDescent="0.4">
      <c r="A1726" s="1"/>
      <c r="B1726" s="1"/>
      <c r="C1726" s="1"/>
      <c r="D1726" s="1"/>
      <c r="F1726" s="1"/>
      <c r="G1726" s="1"/>
      <c r="H1726" s="2"/>
    </row>
    <row r="1727" spans="1:8" x14ac:dyDescent="0.4">
      <c r="A1727" s="1"/>
      <c r="B1727" s="1"/>
      <c r="C1727" s="1"/>
      <c r="D1727" s="1"/>
      <c r="F1727" s="1"/>
      <c r="G1727" s="1"/>
      <c r="H1727" s="2"/>
    </row>
    <row r="1728" spans="1:8" x14ac:dyDescent="0.4">
      <c r="A1728" s="1"/>
      <c r="B1728" s="1"/>
      <c r="C1728" s="1"/>
      <c r="D1728" s="1"/>
      <c r="F1728" s="1"/>
      <c r="G1728" s="1"/>
      <c r="H1728" s="2"/>
    </row>
    <row r="1729" spans="1:8" x14ac:dyDescent="0.4">
      <c r="A1729" s="1"/>
      <c r="B1729" s="1"/>
      <c r="C1729" s="1"/>
      <c r="D1729" s="1"/>
      <c r="F1729" s="1"/>
      <c r="G1729" s="1"/>
      <c r="H1729" s="2"/>
    </row>
    <row r="1730" spans="1:8" x14ac:dyDescent="0.4">
      <c r="A1730" s="1"/>
      <c r="B1730" s="1"/>
      <c r="C1730" s="1"/>
      <c r="D1730" s="1"/>
      <c r="F1730" s="1"/>
      <c r="G1730" s="1"/>
      <c r="H1730" s="2"/>
    </row>
    <row r="1731" spans="1:8" x14ac:dyDescent="0.4">
      <c r="A1731" s="1"/>
      <c r="B1731" s="1"/>
      <c r="C1731" s="1"/>
      <c r="D1731" s="1"/>
      <c r="F1731" s="1"/>
      <c r="G1731" s="1"/>
      <c r="H1731" s="2"/>
    </row>
    <row r="1732" spans="1:8" x14ac:dyDescent="0.4">
      <c r="A1732" s="1"/>
      <c r="B1732" s="1"/>
      <c r="C1732" s="1"/>
      <c r="D1732" s="1"/>
      <c r="F1732" s="1"/>
      <c r="G1732" s="1"/>
      <c r="H1732" s="2"/>
    </row>
    <row r="1733" spans="1:8" x14ac:dyDescent="0.4">
      <c r="A1733" s="1"/>
      <c r="B1733" s="1"/>
      <c r="C1733" s="1"/>
      <c r="D1733" s="1"/>
      <c r="F1733" s="1"/>
      <c r="G1733" s="1"/>
      <c r="H1733" s="2"/>
    </row>
    <row r="1734" spans="1:8" x14ac:dyDescent="0.4">
      <c r="A1734" s="1"/>
      <c r="B1734" s="1"/>
      <c r="C1734" s="1"/>
      <c r="D1734" s="1"/>
      <c r="F1734" s="1"/>
      <c r="G1734" s="1"/>
      <c r="H1734" s="2"/>
    </row>
    <row r="1735" spans="1:8" x14ac:dyDescent="0.4">
      <c r="A1735" s="1"/>
      <c r="B1735" s="1"/>
      <c r="C1735" s="1"/>
      <c r="D1735" s="1"/>
      <c r="F1735" s="1"/>
      <c r="G1735" s="1"/>
      <c r="H1735" s="2"/>
    </row>
    <row r="1736" spans="1:8" x14ac:dyDescent="0.4">
      <c r="A1736" s="1"/>
      <c r="B1736" s="1"/>
      <c r="C1736" s="1"/>
      <c r="D1736" s="1"/>
      <c r="F1736" s="1"/>
      <c r="G1736" s="1"/>
      <c r="H1736" s="2"/>
    </row>
    <row r="1737" spans="1:8" x14ac:dyDescent="0.4">
      <c r="A1737" s="1"/>
      <c r="B1737" s="1"/>
      <c r="C1737" s="1"/>
      <c r="D1737" s="1"/>
      <c r="F1737" s="1"/>
      <c r="G1737" s="1"/>
      <c r="H1737" s="2"/>
    </row>
    <row r="1738" spans="1:8" x14ac:dyDescent="0.4">
      <c r="A1738" s="1"/>
      <c r="B1738" s="1"/>
      <c r="C1738" s="1"/>
      <c r="D1738" s="1"/>
      <c r="F1738" s="1"/>
      <c r="G1738" s="1"/>
      <c r="H1738" s="2"/>
    </row>
    <row r="1739" spans="1:8" x14ac:dyDescent="0.4">
      <c r="A1739" s="1"/>
      <c r="B1739" s="1"/>
      <c r="C1739" s="1"/>
      <c r="D1739" s="1"/>
      <c r="F1739" s="1"/>
      <c r="G1739" s="1"/>
      <c r="H1739" s="2"/>
    </row>
    <row r="1740" spans="1:8" x14ac:dyDescent="0.4">
      <c r="A1740" s="1"/>
      <c r="B1740" s="1"/>
      <c r="C1740" s="1"/>
      <c r="D1740" s="1"/>
      <c r="F1740" s="1"/>
      <c r="G1740" s="1"/>
      <c r="H1740" s="2"/>
    </row>
    <row r="1741" spans="1:8" x14ac:dyDescent="0.4">
      <c r="A1741" s="1"/>
      <c r="B1741" s="1"/>
      <c r="C1741" s="1"/>
      <c r="D1741" s="1"/>
      <c r="F1741" s="1"/>
      <c r="G1741" s="1"/>
      <c r="H1741" s="2"/>
    </row>
    <row r="1742" spans="1:8" x14ac:dyDescent="0.4">
      <c r="A1742" s="1"/>
      <c r="B1742" s="1"/>
      <c r="C1742" s="1"/>
      <c r="D1742" s="1"/>
      <c r="F1742" s="1"/>
      <c r="G1742" s="1"/>
      <c r="H1742" s="2"/>
    </row>
    <row r="1743" spans="1:8" x14ac:dyDescent="0.4">
      <c r="A1743" s="1"/>
      <c r="B1743" s="1"/>
      <c r="C1743" s="1"/>
      <c r="D1743" s="1"/>
      <c r="F1743" s="1"/>
      <c r="G1743" s="1"/>
      <c r="H1743" s="2"/>
    </row>
    <row r="1744" spans="1:8" x14ac:dyDescent="0.4">
      <c r="A1744" s="1"/>
      <c r="B1744" s="1"/>
      <c r="C1744" s="1"/>
      <c r="D1744" s="1"/>
      <c r="F1744" s="1"/>
      <c r="G1744" s="1"/>
      <c r="H1744" s="2"/>
    </row>
    <row r="1745" spans="1:8" x14ac:dyDescent="0.4">
      <c r="A1745" s="1"/>
      <c r="B1745" s="1"/>
      <c r="C1745" s="1"/>
      <c r="D1745" s="1"/>
      <c r="F1745" s="1"/>
      <c r="G1745" s="1"/>
      <c r="H1745" s="2"/>
    </row>
    <row r="1746" spans="1:8" x14ac:dyDescent="0.4">
      <c r="A1746" s="1"/>
      <c r="B1746" s="1"/>
      <c r="C1746" s="1"/>
      <c r="D1746" s="1"/>
      <c r="F1746" s="1"/>
      <c r="G1746" s="1"/>
      <c r="H1746" s="2"/>
    </row>
    <row r="1747" spans="1:8" x14ac:dyDescent="0.4">
      <c r="A1747" s="1"/>
      <c r="B1747" s="1"/>
      <c r="C1747" s="1"/>
      <c r="D1747" s="1"/>
      <c r="F1747" s="1"/>
      <c r="G1747" s="1"/>
      <c r="H1747" s="2"/>
    </row>
    <row r="1748" spans="1:8" x14ac:dyDescent="0.4">
      <c r="A1748" s="1"/>
      <c r="B1748" s="1"/>
      <c r="C1748" s="1"/>
      <c r="D1748" s="1"/>
      <c r="F1748" s="1"/>
      <c r="G1748" s="1"/>
      <c r="H1748" s="2"/>
    </row>
    <row r="1749" spans="1:8" x14ac:dyDescent="0.4">
      <c r="A1749" s="1"/>
      <c r="B1749" s="1"/>
      <c r="C1749" s="1"/>
      <c r="D1749" s="1"/>
      <c r="F1749" s="1"/>
      <c r="G1749" s="1"/>
      <c r="H1749" s="2"/>
    </row>
    <row r="1750" spans="1:8" x14ac:dyDescent="0.4">
      <c r="A1750" s="1"/>
      <c r="B1750" s="1"/>
      <c r="C1750" s="1"/>
      <c r="D1750" s="1"/>
      <c r="F1750" s="1"/>
      <c r="G1750" s="1"/>
      <c r="H1750" s="2"/>
    </row>
    <row r="1751" spans="1:8" x14ac:dyDescent="0.4">
      <c r="A1751" s="1"/>
      <c r="B1751" s="1"/>
      <c r="C1751" s="1"/>
      <c r="D1751" s="1"/>
      <c r="F1751" s="1"/>
      <c r="G1751" s="1"/>
      <c r="H1751" s="2"/>
    </row>
    <row r="1752" spans="1:8" x14ac:dyDescent="0.4">
      <c r="A1752" s="1"/>
      <c r="B1752" s="1"/>
      <c r="C1752" s="1"/>
      <c r="D1752" s="1"/>
      <c r="F1752" s="1"/>
      <c r="G1752" s="1"/>
      <c r="H1752" s="2"/>
    </row>
    <row r="1753" spans="1:8" x14ac:dyDescent="0.4">
      <c r="A1753" s="1"/>
      <c r="B1753" s="1"/>
      <c r="C1753" s="1"/>
      <c r="D1753" s="1"/>
      <c r="F1753" s="1"/>
      <c r="G1753" s="1"/>
      <c r="H1753" s="2"/>
    </row>
    <row r="1754" spans="1:8" x14ac:dyDescent="0.4">
      <c r="A1754" s="1"/>
      <c r="B1754" s="1"/>
      <c r="C1754" s="1"/>
      <c r="D1754" s="1"/>
      <c r="F1754" s="1"/>
      <c r="G1754" s="1"/>
      <c r="H1754" s="2"/>
    </row>
    <row r="1755" spans="1:8" x14ac:dyDescent="0.4">
      <c r="A1755" s="1"/>
      <c r="B1755" s="1"/>
      <c r="C1755" s="1"/>
      <c r="D1755" s="1"/>
      <c r="F1755" s="1"/>
      <c r="G1755" s="1"/>
      <c r="H1755" s="2"/>
    </row>
    <row r="1756" spans="1:8" x14ac:dyDescent="0.4">
      <c r="A1756" s="1"/>
      <c r="B1756" s="1"/>
      <c r="C1756" s="1"/>
      <c r="D1756" s="1"/>
      <c r="F1756" s="1"/>
      <c r="G1756" s="1"/>
      <c r="H1756" s="2"/>
    </row>
    <row r="1757" spans="1:8" x14ac:dyDescent="0.4">
      <c r="A1757" s="1"/>
      <c r="B1757" s="1"/>
      <c r="C1757" s="1"/>
      <c r="D1757" s="1"/>
      <c r="F1757" s="1"/>
      <c r="G1757" s="1"/>
      <c r="H1757" s="2"/>
    </row>
    <row r="1758" spans="1:8" x14ac:dyDescent="0.4">
      <c r="A1758" s="1"/>
      <c r="B1758" s="1"/>
      <c r="C1758" s="1"/>
      <c r="D1758" s="1"/>
      <c r="F1758" s="1"/>
      <c r="G1758" s="1"/>
      <c r="H1758" s="2"/>
    </row>
    <row r="1759" spans="1:8" x14ac:dyDescent="0.4">
      <c r="A1759" s="1"/>
      <c r="B1759" s="1"/>
      <c r="C1759" s="1"/>
      <c r="D1759" s="1"/>
      <c r="F1759" s="1"/>
      <c r="G1759" s="1"/>
      <c r="H1759" s="2"/>
    </row>
    <row r="1760" spans="1:8" x14ac:dyDescent="0.4">
      <c r="A1760" s="1"/>
      <c r="B1760" s="1"/>
      <c r="C1760" s="1"/>
      <c r="D1760" s="1"/>
      <c r="F1760" s="1"/>
      <c r="G1760" s="1"/>
      <c r="H1760" s="2"/>
    </row>
    <row r="1761" spans="1:8" x14ac:dyDescent="0.4">
      <c r="A1761" s="1"/>
      <c r="B1761" s="1"/>
      <c r="C1761" s="1"/>
      <c r="D1761" s="1"/>
      <c r="F1761" s="1"/>
      <c r="G1761" s="1"/>
      <c r="H1761" s="2"/>
    </row>
    <row r="1762" spans="1:8" x14ac:dyDescent="0.4">
      <c r="A1762" s="1"/>
      <c r="B1762" s="1"/>
      <c r="C1762" s="1"/>
      <c r="D1762" s="1"/>
      <c r="F1762" s="1"/>
      <c r="G1762" s="1"/>
      <c r="H1762" s="2"/>
    </row>
    <row r="1763" spans="1:8" x14ac:dyDescent="0.4">
      <c r="A1763" s="1"/>
      <c r="B1763" s="1"/>
      <c r="C1763" s="1"/>
      <c r="D1763" s="1"/>
      <c r="F1763" s="1"/>
      <c r="G1763" s="1"/>
      <c r="H1763" s="2"/>
    </row>
    <row r="1764" spans="1:8" x14ac:dyDescent="0.4">
      <c r="A1764" s="1"/>
      <c r="B1764" s="1"/>
      <c r="C1764" s="1"/>
      <c r="D1764" s="1"/>
      <c r="F1764" s="1"/>
      <c r="G1764" s="1"/>
      <c r="H1764" s="2"/>
    </row>
    <row r="1765" spans="1:8" x14ac:dyDescent="0.4">
      <c r="A1765" s="1"/>
      <c r="B1765" s="1"/>
      <c r="C1765" s="1"/>
      <c r="D1765" s="1"/>
      <c r="F1765" s="1"/>
      <c r="G1765" s="1"/>
      <c r="H1765" s="2"/>
    </row>
    <row r="1766" spans="1:8" x14ac:dyDescent="0.4">
      <c r="A1766" s="1"/>
      <c r="B1766" s="1"/>
      <c r="C1766" s="1"/>
      <c r="D1766" s="1"/>
      <c r="F1766" s="1"/>
      <c r="G1766" s="1"/>
      <c r="H1766" s="2"/>
    </row>
    <row r="1767" spans="1:8" x14ac:dyDescent="0.4">
      <c r="A1767" s="1"/>
      <c r="B1767" s="1"/>
      <c r="C1767" s="1"/>
      <c r="D1767" s="1"/>
      <c r="F1767" s="1"/>
      <c r="G1767" s="1"/>
      <c r="H1767" s="2"/>
    </row>
    <row r="1768" spans="1:8" x14ac:dyDescent="0.4">
      <c r="A1768" s="1"/>
      <c r="B1768" s="1"/>
      <c r="C1768" s="1"/>
      <c r="D1768" s="1"/>
      <c r="F1768" s="1"/>
      <c r="G1768" s="1"/>
      <c r="H1768" s="2"/>
    </row>
    <row r="1769" spans="1:8" x14ac:dyDescent="0.4">
      <c r="A1769" s="1"/>
      <c r="B1769" s="1"/>
      <c r="C1769" s="1"/>
      <c r="D1769" s="1"/>
      <c r="F1769" s="1"/>
      <c r="G1769" s="1"/>
      <c r="H1769" s="2"/>
    </row>
    <row r="1770" spans="1:8" x14ac:dyDescent="0.4">
      <c r="A1770" s="1"/>
      <c r="B1770" s="1"/>
      <c r="C1770" s="1"/>
      <c r="D1770" s="1"/>
      <c r="F1770" s="1"/>
      <c r="G1770" s="1"/>
      <c r="H1770" s="2"/>
    </row>
    <row r="1771" spans="1:8" x14ac:dyDescent="0.4">
      <c r="A1771" s="1"/>
      <c r="B1771" s="1"/>
      <c r="C1771" s="1"/>
      <c r="D1771" s="1"/>
      <c r="F1771" s="1"/>
      <c r="G1771" s="1"/>
      <c r="H1771" s="2"/>
    </row>
    <row r="1772" spans="1:8" x14ac:dyDescent="0.4">
      <c r="A1772" s="1"/>
      <c r="B1772" s="1"/>
      <c r="C1772" s="1"/>
      <c r="D1772" s="1"/>
      <c r="F1772" s="1"/>
      <c r="G1772" s="1"/>
      <c r="H1772" s="2"/>
    </row>
    <row r="1773" spans="1:8" x14ac:dyDescent="0.4">
      <c r="A1773" s="1"/>
      <c r="B1773" s="1"/>
      <c r="C1773" s="1"/>
      <c r="D1773" s="1"/>
      <c r="F1773" s="1"/>
      <c r="G1773" s="1"/>
      <c r="H1773" s="2"/>
    </row>
    <row r="1774" spans="1:8" x14ac:dyDescent="0.4">
      <c r="A1774" s="1"/>
      <c r="B1774" s="1"/>
      <c r="C1774" s="1"/>
      <c r="D1774" s="1"/>
      <c r="F1774" s="1"/>
      <c r="G1774" s="1"/>
      <c r="H1774" s="2"/>
    </row>
    <row r="1775" spans="1:8" x14ac:dyDescent="0.4">
      <c r="A1775" s="1"/>
      <c r="B1775" s="1"/>
      <c r="C1775" s="1"/>
      <c r="D1775" s="1"/>
      <c r="F1775" s="1"/>
      <c r="G1775" s="1"/>
      <c r="H1775" s="2"/>
    </row>
    <row r="1776" spans="1:8" x14ac:dyDescent="0.4">
      <c r="A1776" s="1"/>
      <c r="B1776" s="1"/>
      <c r="C1776" s="1"/>
      <c r="D1776" s="1"/>
      <c r="F1776" s="1"/>
      <c r="G1776" s="1"/>
      <c r="H1776" s="2"/>
    </row>
    <row r="1777" spans="1:8" x14ac:dyDescent="0.4">
      <c r="A1777" s="1"/>
      <c r="B1777" s="1"/>
      <c r="C1777" s="1"/>
      <c r="D1777" s="1"/>
      <c r="F1777" s="1"/>
      <c r="G1777" s="1"/>
      <c r="H1777" s="2"/>
    </row>
    <row r="1778" spans="1:8" x14ac:dyDescent="0.4">
      <c r="A1778" s="1"/>
      <c r="B1778" s="1"/>
      <c r="C1778" s="1"/>
      <c r="D1778" s="1"/>
      <c r="F1778" s="1"/>
      <c r="G1778" s="1"/>
      <c r="H1778" s="2"/>
    </row>
    <row r="1779" spans="1:8" x14ac:dyDescent="0.4">
      <c r="A1779" s="1"/>
      <c r="B1779" s="1"/>
      <c r="C1779" s="1"/>
      <c r="D1779" s="1"/>
      <c r="F1779" s="1"/>
      <c r="G1779" s="1"/>
      <c r="H1779" s="2"/>
    </row>
    <row r="1780" spans="1:8" x14ac:dyDescent="0.4">
      <c r="A1780" s="1"/>
      <c r="B1780" s="1"/>
      <c r="C1780" s="1"/>
      <c r="D1780" s="1"/>
      <c r="F1780" s="1"/>
      <c r="G1780" s="1"/>
      <c r="H1780" s="2"/>
    </row>
    <row r="1781" spans="1:8" x14ac:dyDescent="0.4">
      <c r="A1781" s="1"/>
      <c r="B1781" s="1"/>
      <c r="C1781" s="1"/>
      <c r="D1781" s="1"/>
      <c r="F1781" s="1"/>
      <c r="G1781" s="1"/>
      <c r="H1781" s="2"/>
    </row>
    <row r="1782" spans="1:8" x14ac:dyDescent="0.4">
      <c r="A1782" s="1"/>
      <c r="B1782" s="1"/>
      <c r="C1782" s="1"/>
      <c r="D1782" s="1"/>
      <c r="F1782" s="1"/>
      <c r="G1782" s="1"/>
      <c r="H1782" s="2"/>
    </row>
    <row r="1783" spans="1:8" x14ac:dyDescent="0.4">
      <c r="A1783" s="1"/>
      <c r="B1783" s="1"/>
      <c r="C1783" s="1"/>
      <c r="D1783" s="1"/>
      <c r="F1783" s="1"/>
      <c r="G1783" s="1"/>
      <c r="H1783" s="2"/>
    </row>
    <row r="1784" spans="1:8" x14ac:dyDescent="0.4">
      <c r="A1784" s="1"/>
      <c r="B1784" s="1"/>
      <c r="C1784" s="1"/>
      <c r="D1784" s="1"/>
      <c r="F1784" s="1"/>
      <c r="G1784" s="1"/>
      <c r="H1784" s="2"/>
    </row>
    <row r="1785" spans="1:8" x14ac:dyDescent="0.4">
      <c r="A1785" s="1"/>
      <c r="B1785" s="1"/>
      <c r="C1785" s="1"/>
      <c r="D1785" s="1"/>
      <c r="F1785" s="1"/>
      <c r="G1785" s="1"/>
      <c r="H1785" s="2"/>
    </row>
    <row r="1786" spans="1:8" x14ac:dyDescent="0.4">
      <c r="A1786" s="1"/>
      <c r="B1786" s="1"/>
      <c r="C1786" s="1"/>
      <c r="D1786" s="1"/>
      <c r="F1786" s="1"/>
      <c r="G1786" s="1"/>
      <c r="H1786" s="2"/>
    </row>
    <row r="1787" spans="1:8" x14ac:dyDescent="0.4">
      <c r="A1787" s="1"/>
      <c r="B1787" s="1"/>
      <c r="C1787" s="1"/>
      <c r="D1787" s="1"/>
      <c r="F1787" s="1"/>
      <c r="G1787" s="1"/>
      <c r="H1787" s="2"/>
    </row>
    <row r="1788" spans="1:8" x14ac:dyDescent="0.4">
      <c r="A1788" s="1"/>
      <c r="B1788" s="1"/>
      <c r="C1788" s="1"/>
      <c r="D1788" s="1"/>
      <c r="F1788" s="1"/>
      <c r="G1788" s="1"/>
      <c r="H1788" s="2"/>
    </row>
    <row r="1789" spans="1:8" x14ac:dyDescent="0.4">
      <c r="A1789" s="1"/>
      <c r="B1789" s="1"/>
      <c r="C1789" s="1"/>
      <c r="D1789" s="1"/>
      <c r="F1789" s="1"/>
      <c r="G1789" s="1"/>
      <c r="H1789" s="2"/>
    </row>
    <row r="1790" spans="1:8" x14ac:dyDescent="0.4">
      <c r="A1790" s="1"/>
      <c r="B1790" s="1"/>
      <c r="C1790" s="1"/>
      <c r="D1790" s="1"/>
      <c r="F1790" s="1"/>
      <c r="G1790" s="1"/>
      <c r="H1790" s="2"/>
    </row>
    <row r="1791" spans="1:8" x14ac:dyDescent="0.4">
      <c r="A1791" s="1"/>
      <c r="B1791" s="1"/>
      <c r="C1791" s="1"/>
      <c r="D1791" s="1"/>
      <c r="F1791" s="1"/>
      <c r="G1791" s="1"/>
      <c r="H1791" s="2"/>
    </row>
    <row r="1792" spans="1:8" x14ac:dyDescent="0.4">
      <c r="A1792" s="1"/>
      <c r="B1792" s="1"/>
      <c r="C1792" s="1"/>
      <c r="D1792" s="1"/>
      <c r="F1792" s="1"/>
      <c r="G1792" s="1"/>
      <c r="H1792" s="2"/>
    </row>
    <row r="1793" spans="1:8" x14ac:dyDescent="0.4">
      <c r="A1793" s="1"/>
      <c r="B1793" s="1"/>
      <c r="C1793" s="1"/>
      <c r="D1793" s="1"/>
      <c r="F1793" s="1"/>
      <c r="G1793" s="1"/>
      <c r="H1793" s="2"/>
    </row>
    <row r="1794" spans="1:8" x14ac:dyDescent="0.4">
      <c r="A1794" s="1"/>
      <c r="B1794" s="1"/>
      <c r="C1794" s="1"/>
      <c r="D1794" s="1"/>
      <c r="F1794" s="1"/>
      <c r="G1794" s="1"/>
      <c r="H1794" s="2"/>
    </row>
    <row r="1795" spans="1:8" x14ac:dyDescent="0.4">
      <c r="A1795" s="1"/>
      <c r="B1795" s="1"/>
      <c r="C1795" s="1"/>
      <c r="D1795" s="1"/>
      <c r="F1795" s="1"/>
      <c r="G1795" s="1"/>
      <c r="H1795" s="2"/>
    </row>
    <row r="1796" spans="1:8" x14ac:dyDescent="0.4">
      <c r="A1796" s="1"/>
      <c r="B1796" s="1"/>
      <c r="C1796" s="1"/>
      <c r="D1796" s="1"/>
      <c r="F1796" s="1"/>
      <c r="G1796" s="1"/>
      <c r="H1796" s="2"/>
    </row>
    <row r="1797" spans="1:8" x14ac:dyDescent="0.4">
      <c r="A1797" s="1"/>
      <c r="B1797" s="1"/>
      <c r="C1797" s="1"/>
      <c r="D1797" s="1"/>
      <c r="F1797" s="1"/>
      <c r="G1797" s="1"/>
      <c r="H1797" s="2"/>
    </row>
    <row r="1798" spans="1:8" x14ac:dyDescent="0.4">
      <c r="A1798" s="1"/>
      <c r="B1798" s="1"/>
      <c r="C1798" s="1"/>
      <c r="D1798" s="1"/>
      <c r="F1798" s="1"/>
      <c r="G1798" s="1"/>
      <c r="H1798" s="2"/>
    </row>
    <row r="1799" spans="1:8" x14ac:dyDescent="0.4">
      <c r="A1799" s="1"/>
      <c r="B1799" s="1"/>
      <c r="C1799" s="1"/>
      <c r="D1799" s="1"/>
      <c r="F1799" s="1"/>
      <c r="G1799" s="1"/>
      <c r="H1799" s="2"/>
    </row>
    <row r="1800" spans="1:8" x14ac:dyDescent="0.4">
      <c r="A1800" s="1"/>
      <c r="B1800" s="1"/>
      <c r="C1800" s="1"/>
      <c r="D1800" s="1"/>
      <c r="F1800" s="1"/>
      <c r="G1800" s="1"/>
      <c r="H1800" s="2"/>
    </row>
    <row r="1801" spans="1:8" x14ac:dyDescent="0.4">
      <c r="A1801" s="1"/>
      <c r="B1801" s="1"/>
      <c r="C1801" s="1"/>
      <c r="D1801" s="1"/>
      <c r="F1801" s="1"/>
      <c r="G1801" s="1"/>
      <c r="H1801" s="2"/>
    </row>
    <row r="1802" spans="1:8" x14ac:dyDescent="0.4">
      <c r="A1802" s="1"/>
      <c r="B1802" s="1"/>
      <c r="C1802" s="1"/>
      <c r="D1802" s="1"/>
      <c r="F1802" s="1"/>
      <c r="G1802" s="1"/>
      <c r="H1802" s="2"/>
    </row>
    <row r="1803" spans="1:8" x14ac:dyDescent="0.4">
      <c r="A1803" s="1"/>
      <c r="B1803" s="1"/>
      <c r="C1803" s="1"/>
      <c r="D1803" s="1"/>
      <c r="F1803" s="1"/>
      <c r="G1803" s="1"/>
      <c r="H1803" s="2"/>
    </row>
    <row r="1804" spans="1:8" x14ac:dyDescent="0.4">
      <c r="A1804" s="1"/>
      <c r="B1804" s="1"/>
      <c r="C1804" s="1"/>
      <c r="D1804" s="1"/>
      <c r="F1804" s="1"/>
      <c r="G1804" s="1"/>
      <c r="H1804" s="2"/>
    </row>
    <row r="1805" spans="1:8" x14ac:dyDescent="0.4">
      <c r="A1805" s="1"/>
      <c r="B1805" s="1"/>
      <c r="C1805" s="1"/>
      <c r="D1805" s="1"/>
      <c r="F1805" s="1"/>
      <c r="G1805" s="1"/>
      <c r="H1805" s="2"/>
    </row>
    <row r="1806" spans="1:8" x14ac:dyDescent="0.4">
      <c r="A1806" s="1"/>
      <c r="B1806" s="1"/>
      <c r="C1806" s="1"/>
      <c r="D1806" s="1"/>
      <c r="F1806" s="1"/>
      <c r="G1806" s="1"/>
      <c r="H1806" s="2"/>
    </row>
    <row r="1807" spans="1:8" x14ac:dyDescent="0.4">
      <c r="A1807" s="1"/>
      <c r="B1807" s="1"/>
      <c r="C1807" s="1"/>
      <c r="D1807" s="1"/>
      <c r="F1807" s="1"/>
      <c r="G1807" s="1"/>
      <c r="H1807" s="2"/>
    </row>
    <row r="1808" spans="1:8" x14ac:dyDescent="0.4">
      <c r="A1808" s="1"/>
      <c r="B1808" s="1"/>
      <c r="C1808" s="1"/>
      <c r="D1808" s="1"/>
      <c r="F1808" s="1"/>
      <c r="G1808" s="1"/>
      <c r="H1808" s="2"/>
    </row>
    <row r="1809" spans="1:8" x14ac:dyDescent="0.4">
      <c r="A1809" s="1"/>
      <c r="B1809" s="1"/>
      <c r="C1809" s="1"/>
      <c r="D1809" s="1"/>
      <c r="F1809" s="1"/>
      <c r="G1809" s="1"/>
      <c r="H1809" s="2"/>
    </row>
    <row r="1810" spans="1:8" x14ac:dyDescent="0.4">
      <c r="A1810" s="1"/>
      <c r="B1810" s="1"/>
      <c r="C1810" s="1"/>
      <c r="D1810" s="1"/>
      <c r="F1810" s="1"/>
      <c r="G1810" s="1"/>
      <c r="H1810" s="2"/>
    </row>
    <row r="1811" spans="1:8" x14ac:dyDescent="0.4">
      <c r="A1811" s="1"/>
      <c r="B1811" s="1"/>
      <c r="C1811" s="1"/>
      <c r="D1811" s="1"/>
      <c r="F1811" s="1"/>
      <c r="G1811" s="1"/>
      <c r="H1811" s="2"/>
    </row>
    <row r="1812" spans="1:8" x14ac:dyDescent="0.4">
      <c r="A1812" s="1"/>
      <c r="B1812" s="1"/>
      <c r="C1812" s="1"/>
      <c r="D1812" s="1"/>
      <c r="F1812" s="1"/>
      <c r="G1812" s="1"/>
      <c r="H1812" s="2"/>
    </row>
    <row r="1813" spans="1:8" x14ac:dyDescent="0.4">
      <c r="A1813" s="1"/>
      <c r="B1813" s="1"/>
      <c r="C1813" s="1"/>
      <c r="D1813" s="1"/>
      <c r="F1813" s="1"/>
      <c r="G1813" s="1"/>
      <c r="H1813" s="2"/>
    </row>
    <row r="1814" spans="1:8" x14ac:dyDescent="0.4">
      <c r="A1814" s="1"/>
      <c r="B1814" s="1"/>
      <c r="C1814" s="1"/>
      <c r="D1814" s="1"/>
      <c r="F1814" s="1"/>
      <c r="G1814" s="1"/>
      <c r="H1814" s="2"/>
    </row>
    <row r="1815" spans="1:8" x14ac:dyDescent="0.4">
      <c r="A1815" s="1"/>
      <c r="B1815" s="1"/>
      <c r="C1815" s="1"/>
      <c r="D1815" s="1"/>
      <c r="F1815" s="1"/>
      <c r="G1815" s="1"/>
      <c r="H1815" s="2"/>
    </row>
    <row r="1816" spans="1:8" x14ac:dyDescent="0.4">
      <c r="A1816" s="1"/>
      <c r="B1816" s="1"/>
      <c r="C1816" s="1"/>
      <c r="D1816" s="1"/>
      <c r="F1816" s="1"/>
      <c r="G1816" s="1"/>
      <c r="H1816" s="2"/>
    </row>
    <row r="1817" spans="1:8" x14ac:dyDescent="0.4">
      <c r="A1817" s="1"/>
      <c r="B1817" s="1"/>
      <c r="C1817" s="1"/>
      <c r="D1817" s="1"/>
      <c r="F1817" s="1"/>
      <c r="G1817" s="1"/>
      <c r="H1817" s="2"/>
    </row>
    <row r="1818" spans="1:8" x14ac:dyDescent="0.4">
      <c r="A1818" s="1"/>
      <c r="B1818" s="1"/>
      <c r="C1818" s="1"/>
      <c r="D1818" s="1"/>
      <c r="F1818" s="1"/>
      <c r="G1818" s="1"/>
      <c r="H1818" s="2"/>
    </row>
    <row r="1819" spans="1:8" x14ac:dyDescent="0.4">
      <c r="A1819" s="1"/>
      <c r="B1819" s="1"/>
      <c r="C1819" s="1"/>
      <c r="D1819" s="1"/>
      <c r="F1819" s="1"/>
      <c r="G1819" s="1"/>
      <c r="H1819" s="2"/>
    </row>
    <row r="1820" spans="1:8" x14ac:dyDescent="0.4">
      <c r="A1820" s="1"/>
      <c r="B1820" s="1"/>
      <c r="C1820" s="1"/>
      <c r="D1820" s="1"/>
      <c r="F1820" s="1"/>
      <c r="G1820" s="1"/>
      <c r="H1820" s="2"/>
    </row>
    <row r="1821" spans="1:8" x14ac:dyDescent="0.4">
      <c r="A1821" s="1"/>
      <c r="B1821" s="1"/>
      <c r="C1821" s="1"/>
      <c r="D1821" s="1"/>
      <c r="F1821" s="1"/>
      <c r="G1821" s="1"/>
      <c r="H1821" s="2"/>
    </row>
    <row r="1822" spans="1:8" x14ac:dyDescent="0.4">
      <c r="A1822" s="1"/>
      <c r="B1822" s="1"/>
      <c r="C1822" s="1"/>
      <c r="D1822" s="1"/>
      <c r="F1822" s="1"/>
      <c r="G1822" s="1"/>
      <c r="H1822" s="2"/>
    </row>
    <row r="1823" spans="1:8" x14ac:dyDescent="0.4">
      <c r="A1823" s="1"/>
      <c r="B1823" s="1"/>
      <c r="C1823" s="1"/>
      <c r="D1823" s="1"/>
      <c r="F1823" s="1"/>
      <c r="G1823" s="1"/>
      <c r="H1823" s="2"/>
    </row>
    <row r="1824" spans="1:8" x14ac:dyDescent="0.4">
      <c r="A1824" s="1"/>
      <c r="B1824" s="1"/>
      <c r="C1824" s="1"/>
      <c r="D1824" s="1"/>
      <c r="F1824" s="1"/>
      <c r="G1824" s="1"/>
      <c r="H1824" s="2"/>
    </row>
    <row r="1825" spans="1:8" x14ac:dyDescent="0.4">
      <c r="A1825" s="1"/>
      <c r="B1825" s="1"/>
      <c r="C1825" s="1"/>
      <c r="D1825" s="1"/>
      <c r="F1825" s="1"/>
      <c r="G1825" s="1"/>
      <c r="H1825" s="2"/>
    </row>
    <row r="1826" spans="1:8" x14ac:dyDescent="0.4">
      <c r="A1826" s="1"/>
      <c r="B1826" s="1"/>
      <c r="C1826" s="1"/>
      <c r="D1826" s="1"/>
      <c r="F1826" s="1"/>
      <c r="G1826" s="1"/>
      <c r="H1826" s="2"/>
    </row>
    <row r="1827" spans="1:8" x14ac:dyDescent="0.4">
      <c r="A1827" s="1"/>
      <c r="B1827" s="1"/>
      <c r="C1827" s="1"/>
      <c r="D1827" s="1"/>
      <c r="F1827" s="1"/>
      <c r="G1827" s="1"/>
      <c r="H1827" s="2"/>
    </row>
    <row r="1828" spans="1:8" x14ac:dyDescent="0.4">
      <c r="A1828" s="1"/>
      <c r="B1828" s="1"/>
      <c r="C1828" s="1"/>
      <c r="D1828" s="1"/>
      <c r="F1828" s="1"/>
      <c r="G1828" s="1"/>
      <c r="H1828" s="2"/>
    </row>
    <row r="1829" spans="1:8" x14ac:dyDescent="0.4">
      <c r="A1829" s="1"/>
      <c r="B1829" s="1"/>
      <c r="C1829" s="1"/>
      <c r="D1829" s="1"/>
      <c r="F1829" s="1"/>
      <c r="G1829" s="1"/>
      <c r="H1829" s="2"/>
    </row>
    <row r="1830" spans="1:8" x14ac:dyDescent="0.4">
      <c r="A1830" s="1"/>
      <c r="B1830" s="1"/>
      <c r="C1830" s="1"/>
      <c r="D1830" s="1"/>
      <c r="F1830" s="1"/>
      <c r="G1830" s="1"/>
      <c r="H1830" s="2"/>
    </row>
    <row r="1831" spans="1:8" x14ac:dyDescent="0.4">
      <c r="A1831" s="1"/>
      <c r="B1831" s="1"/>
      <c r="C1831" s="1"/>
      <c r="D1831" s="1"/>
      <c r="F1831" s="1"/>
      <c r="G1831" s="1"/>
      <c r="H1831" s="2"/>
    </row>
    <row r="1832" spans="1:8" x14ac:dyDescent="0.4">
      <c r="A1832" s="1"/>
      <c r="B1832" s="1"/>
      <c r="C1832" s="1"/>
      <c r="D1832" s="1"/>
      <c r="F1832" s="1"/>
      <c r="G1832" s="1"/>
      <c r="H1832" s="2"/>
    </row>
    <row r="1833" spans="1:8" x14ac:dyDescent="0.4">
      <c r="A1833" s="1"/>
      <c r="B1833" s="1"/>
      <c r="C1833" s="1"/>
      <c r="D1833" s="1"/>
      <c r="F1833" s="1"/>
      <c r="G1833" s="1"/>
      <c r="H1833" s="2"/>
    </row>
    <row r="1834" spans="1:8" x14ac:dyDescent="0.4">
      <c r="A1834" s="1"/>
      <c r="B1834" s="1"/>
      <c r="C1834" s="1"/>
      <c r="D1834" s="1"/>
      <c r="F1834" s="1"/>
      <c r="G1834" s="1"/>
      <c r="H1834" s="2"/>
    </row>
    <row r="1835" spans="1:8" x14ac:dyDescent="0.4">
      <c r="A1835" s="1"/>
      <c r="B1835" s="1"/>
      <c r="C1835" s="1"/>
      <c r="D1835" s="1"/>
      <c r="F1835" s="1"/>
      <c r="G1835" s="1"/>
      <c r="H1835" s="2"/>
    </row>
    <row r="1836" spans="1:8" x14ac:dyDescent="0.4">
      <c r="A1836" s="1"/>
      <c r="B1836" s="1"/>
      <c r="C1836" s="1"/>
      <c r="D1836" s="1"/>
      <c r="F1836" s="1"/>
      <c r="G1836" s="1"/>
      <c r="H1836" s="2"/>
    </row>
    <row r="1837" spans="1:8" x14ac:dyDescent="0.4">
      <c r="A1837" s="1"/>
      <c r="B1837" s="1"/>
      <c r="C1837" s="1"/>
      <c r="D1837" s="1"/>
      <c r="F1837" s="1"/>
      <c r="G1837" s="1"/>
      <c r="H1837" s="2"/>
    </row>
    <row r="1838" spans="1:8" x14ac:dyDescent="0.4">
      <c r="A1838" s="1"/>
      <c r="B1838" s="1"/>
      <c r="C1838" s="1"/>
      <c r="D1838" s="1"/>
      <c r="F1838" s="1"/>
      <c r="G1838" s="1"/>
      <c r="H1838" s="2"/>
    </row>
    <row r="1839" spans="1:8" x14ac:dyDescent="0.4">
      <c r="A1839" s="1"/>
      <c r="B1839" s="1"/>
      <c r="C1839" s="1"/>
      <c r="D1839" s="1"/>
      <c r="F1839" s="1"/>
      <c r="G1839" s="1"/>
      <c r="H1839" s="2"/>
    </row>
    <row r="1840" spans="1:8" x14ac:dyDescent="0.4">
      <c r="A1840" s="1"/>
      <c r="B1840" s="1"/>
      <c r="C1840" s="1"/>
      <c r="D1840" s="1"/>
      <c r="F1840" s="1"/>
      <c r="G1840" s="1"/>
      <c r="H1840" s="2"/>
    </row>
    <row r="1841" spans="1:8" x14ac:dyDescent="0.4">
      <c r="A1841" s="1"/>
      <c r="B1841" s="1"/>
      <c r="C1841" s="1"/>
      <c r="D1841" s="1"/>
      <c r="F1841" s="1"/>
      <c r="G1841" s="1"/>
      <c r="H1841" s="2"/>
    </row>
    <row r="1842" spans="1:8" x14ac:dyDescent="0.4">
      <c r="A1842" s="1"/>
      <c r="B1842" s="1"/>
      <c r="C1842" s="1"/>
      <c r="D1842" s="1"/>
      <c r="F1842" s="1"/>
      <c r="G1842" s="1"/>
      <c r="H1842" s="2"/>
    </row>
    <row r="1843" spans="1:8" x14ac:dyDescent="0.4">
      <c r="A1843" s="1"/>
      <c r="B1843" s="1"/>
      <c r="C1843" s="1"/>
      <c r="D1843" s="1"/>
      <c r="F1843" s="1"/>
      <c r="G1843" s="1"/>
      <c r="H1843" s="2"/>
    </row>
    <row r="1844" spans="1:8" x14ac:dyDescent="0.4">
      <c r="A1844" s="1"/>
      <c r="B1844" s="1"/>
      <c r="C1844" s="1"/>
      <c r="D1844" s="1"/>
      <c r="F1844" s="1"/>
      <c r="G1844" s="1"/>
      <c r="H1844" s="2"/>
    </row>
    <row r="1845" spans="1:8" x14ac:dyDescent="0.4">
      <c r="A1845" s="1"/>
      <c r="B1845" s="1"/>
      <c r="C1845" s="1"/>
      <c r="D1845" s="1"/>
      <c r="F1845" s="1"/>
      <c r="G1845" s="1"/>
      <c r="H1845" s="2"/>
    </row>
    <row r="1846" spans="1:8" x14ac:dyDescent="0.4">
      <c r="A1846" s="1"/>
      <c r="B1846" s="1"/>
      <c r="C1846" s="1"/>
      <c r="D1846" s="1"/>
      <c r="F1846" s="1"/>
      <c r="G1846" s="1"/>
      <c r="H1846" s="2"/>
    </row>
    <row r="1847" spans="1:8" x14ac:dyDescent="0.4">
      <c r="A1847" s="1"/>
      <c r="B1847" s="1"/>
      <c r="C1847" s="1"/>
      <c r="D1847" s="1"/>
      <c r="F1847" s="1"/>
      <c r="G1847" s="1"/>
      <c r="H1847" s="2"/>
    </row>
    <row r="1848" spans="1:8" x14ac:dyDescent="0.4">
      <c r="A1848" s="1"/>
      <c r="B1848" s="1"/>
      <c r="C1848" s="1"/>
      <c r="D1848" s="1"/>
      <c r="F1848" s="1"/>
      <c r="G1848" s="1"/>
      <c r="H1848" s="2"/>
    </row>
    <row r="1849" spans="1:8" x14ac:dyDescent="0.4">
      <c r="A1849" s="1"/>
      <c r="B1849" s="1"/>
      <c r="C1849" s="1"/>
      <c r="D1849" s="1"/>
      <c r="F1849" s="1"/>
      <c r="G1849" s="1"/>
      <c r="H1849" s="2"/>
    </row>
    <row r="1850" spans="1:8" x14ac:dyDescent="0.4">
      <c r="A1850" s="1"/>
      <c r="B1850" s="1"/>
      <c r="C1850" s="1"/>
      <c r="D1850" s="1"/>
      <c r="F1850" s="1"/>
      <c r="G1850" s="1"/>
      <c r="H1850" s="2"/>
    </row>
    <row r="1851" spans="1:8" x14ac:dyDescent="0.4">
      <c r="A1851" s="1"/>
      <c r="B1851" s="1"/>
      <c r="C1851" s="1"/>
      <c r="D1851" s="1"/>
      <c r="F1851" s="1"/>
      <c r="G1851" s="1"/>
      <c r="H1851" s="2"/>
    </row>
    <row r="1852" spans="1:8" x14ac:dyDescent="0.4">
      <c r="A1852" s="1"/>
      <c r="B1852" s="1"/>
      <c r="C1852" s="1"/>
      <c r="D1852" s="1"/>
      <c r="F1852" s="1"/>
      <c r="G1852" s="1"/>
      <c r="H1852" s="2"/>
    </row>
    <row r="1853" spans="1:8" x14ac:dyDescent="0.4">
      <c r="A1853" s="1"/>
      <c r="B1853" s="1"/>
      <c r="C1853" s="1"/>
      <c r="D1853" s="1"/>
      <c r="F1853" s="1"/>
      <c r="G1853" s="1"/>
      <c r="H1853" s="2"/>
    </row>
    <row r="1854" spans="1:8" x14ac:dyDescent="0.4">
      <c r="A1854" s="1"/>
      <c r="B1854" s="1"/>
      <c r="C1854" s="1"/>
      <c r="D1854" s="1"/>
      <c r="F1854" s="1"/>
      <c r="G1854" s="1"/>
      <c r="H1854" s="2"/>
    </row>
    <row r="1855" spans="1:8" x14ac:dyDescent="0.4">
      <c r="A1855" s="1"/>
      <c r="B1855" s="1"/>
      <c r="C1855" s="1"/>
      <c r="D1855" s="1"/>
      <c r="F1855" s="1"/>
      <c r="G1855" s="1"/>
      <c r="H1855" s="2"/>
    </row>
    <row r="1856" spans="1:8" x14ac:dyDescent="0.4">
      <c r="A1856" s="1"/>
      <c r="B1856" s="1"/>
      <c r="C1856" s="1"/>
      <c r="D1856" s="1"/>
      <c r="F1856" s="1"/>
      <c r="G1856" s="1"/>
      <c r="H1856" s="2"/>
    </row>
    <row r="1857" spans="1:8" x14ac:dyDescent="0.4">
      <c r="A1857" s="1"/>
      <c r="B1857" s="1"/>
      <c r="C1857" s="1"/>
      <c r="D1857" s="1"/>
      <c r="F1857" s="1"/>
      <c r="G1857" s="1"/>
      <c r="H1857" s="2"/>
    </row>
    <row r="1858" spans="1:8" x14ac:dyDescent="0.4">
      <c r="A1858" s="1"/>
      <c r="B1858" s="1"/>
      <c r="C1858" s="1"/>
      <c r="D1858" s="1"/>
      <c r="F1858" s="1"/>
      <c r="G1858" s="1"/>
      <c r="H1858" s="2"/>
    </row>
    <row r="1859" spans="1:8" x14ac:dyDescent="0.4">
      <c r="A1859" s="1"/>
      <c r="B1859" s="1"/>
      <c r="C1859" s="1"/>
      <c r="D1859" s="1"/>
      <c r="F1859" s="1"/>
      <c r="G1859" s="1"/>
      <c r="H1859" s="2"/>
    </row>
    <row r="1860" spans="1:8" x14ac:dyDescent="0.4">
      <c r="A1860" s="1"/>
      <c r="B1860" s="1"/>
      <c r="C1860" s="1"/>
      <c r="D1860" s="1"/>
      <c r="F1860" s="1"/>
      <c r="G1860" s="1"/>
      <c r="H1860" s="2"/>
    </row>
    <row r="1861" spans="1:8" x14ac:dyDescent="0.4">
      <c r="A1861" s="1"/>
      <c r="B1861" s="1"/>
      <c r="C1861" s="1"/>
      <c r="D1861" s="1"/>
      <c r="F1861" s="1"/>
      <c r="G1861" s="1"/>
      <c r="H1861" s="2"/>
    </row>
    <row r="1862" spans="1:8" x14ac:dyDescent="0.4">
      <c r="A1862" s="1"/>
      <c r="B1862" s="1"/>
      <c r="C1862" s="1"/>
      <c r="D1862" s="1"/>
      <c r="F1862" s="1"/>
      <c r="G1862" s="1"/>
      <c r="H1862" s="2"/>
    </row>
    <row r="1863" spans="1:8" x14ac:dyDescent="0.4">
      <c r="A1863" s="1"/>
      <c r="B1863" s="1"/>
      <c r="C1863" s="1"/>
      <c r="D1863" s="1"/>
      <c r="F1863" s="1"/>
      <c r="G1863" s="1"/>
      <c r="H1863" s="2"/>
    </row>
    <row r="1864" spans="1:8" x14ac:dyDescent="0.4">
      <c r="A1864" s="1"/>
      <c r="B1864" s="1"/>
      <c r="C1864" s="1"/>
      <c r="D1864" s="1"/>
      <c r="F1864" s="1"/>
      <c r="G1864" s="1"/>
      <c r="H1864" s="2"/>
    </row>
    <row r="1865" spans="1:8" x14ac:dyDescent="0.4">
      <c r="A1865" s="1"/>
      <c r="B1865" s="1"/>
      <c r="C1865" s="1"/>
      <c r="D1865" s="1"/>
      <c r="F1865" s="1"/>
      <c r="G1865" s="1"/>
      <c r="H1865" s="2"/>
    </row>
    <row r="1866" spans="1:8" x14ac:dyDescent="0.4">
      <c r="A1866" s="1"/>
      <c r="B1866" s="1"/>
      <c r="C1866" s="1"/>
      <c r="D1866" s="1"/>
      <c r="F1866" s="1"/>
      <c r="G1866" s="1"/>
      <c r="H1866" s="2"/>
    </row>
    <row r="1867" spans="1:8" x14ac:dyDescent="0.4">
      <c r="A1867" s="1"/>
      <c r="B1867" s="1"/>
      <c r="C1867" s="1"/>
      <c r="D1867" s="1"/>
      <c r="F1867" s="1"/>
      <c r="G1867" s="1"/>
      <c r="H1867" s="2"/>
    </row>
    <row r="1868" spans="1:8" x14ac:dyDescent="0.4">
      <c r="A1868" s="1"/>
      <c r="B1868" s="1"/>
      <c r="C1868" s="1"/>
      <c r="D1868" s="1"/>
      <c r="F1868" s="1"/>
      <c r="G1868" s="1"/>
      <c r="H1868" s="2"/>
    </row>
    <row r="1869" spans="1:8" x14ac:dyDescent="0.4">
      <c r="A1869" s="1"/>
      <c r="B1869" s="1"/>
      <c r="C1869" s="1"/>
      <c r="D1869" s="1"/>
      <c r="F1869" s="1"/>
      <c r="G1869" s="1"/>
      <c r="H1869" s="2"/>
    </row>
    <row r="1870" spans="1:8" x14ac:dyDescent="0.4">
      <c r="A1870" s="1"/>
      <c r="B1870" s="1"/>
      <c r="C1870" s="1"/>
      <c r="D1870" s="1"/>
      <c r="F1870" s="1"/>
      <c r="G1870" s="1"/>
      <c r="H1870" s="2"/>
    </row>
    <row r="1871" spans="1:8" x14ac:dyDescent="0.4">
      <c r="A1871" s="1"/>
      <c r="B1871" s="1"/>
      <c r="C1871" s="1"/>
      <c r="D1871" s="1"/>
      <c r="F1871" s="1"/>
      <c r="G1871" s="1"/>
      <c r="H1871" s="2"/>
    </row>
    <row r="1872" spans="1:8" x14ac:dyDescent="0.4">
      <c r="A1872" s="1"/>
      <c r="B1872" s="1"/>
      <c r="C1872" s="1"/>
      <c r="D1872" s="1"/>
      <c r="F1872" s="1"/>
      <c r="G1872" s="1"/>
      <c r="H1872" s="2"/>
    </row>
    <row r="1873" spans="1:8" x14ac:dyDescent="0.4">
      <c r="A1873" s="1"/>
      <c r="B1873" s="1"/>
      <c r="C1873" s="1"/>
      <c r="D1873" s="1"/>
      <c r="F1873" s="1"/>
      <c r="G1873" s="1"/>
      <c r="H1873" s="2"/>
    </row>
    <row r="1874" spans="1:8" x14ac:dyDescent="0.4">
      <c r="A1874" s="1"/>
      <c r="B1874" s="1"/>
      <c r="C1874" s="1"/>
      <c r="D1874" s="1"/>
      <c r="F1874" s="1"/>
      <c r="G1874" s="1"/>
      <c r="H1874" s="2"/>
    </row>
    <row r="1875" spans="1:8" x14ac:dyDescent="0.4">
      <c r="A1875" s="1"/>
      <c r="B1875" s="1"/>
      <c r="C1875" s="1"/>
      <c r="D1875" s="1"/>
      <c r="F1875" s="1"/>
      <c r="G1875" s="1"/>
      <c r="H1875" s="2"/>
    </row>
    <row r="1876" spans="1:8" x14ac:dyDescent="0.4">
      <c r="A1876" s="1"/>
      <c r="B1876" s="1"/>
      <c r="C1876" s="1"/>
      <c r="D1876" s="1"/>
      <c r="F1876" s="1"/>
      <c r="G1876" s="1"/>
      <c r="H1876" s="2"/>
    </row>
    <row r="1877" spans="1:8" x14ac:dyDescent="0.4">
      <c r="A1877" s="1"/>
      <c r="B1877" s="1"/>
      <c r="C1877" s="1"/>
      <c r="D1877" s="1"/>
      <c r="F1877" s="1"/>
      <c r="G1877" s="1"/>
      <c r="H1877" s="2"/>
    </row>
    <row r="1878" spans="1:8" x14ac:dyDescent="0.4">
      <c r="A1878" s="1"/>
      <c r="B1878" s="1"/>
      <c r="C1878" s="1"/>
      <c r="D1878" s="1"/>
      <c r="F1878" s="1"/>
      <c r="G1878" s="1"/>
      <c r="H1878" s="2"/>
    </row>
    <row r="1879" spans="1:8" x14ac:dyDescent="0.4">
      <c r="A1879" s="1"/>
      <c r="B1879" s="1"/>
      <c r="C1879" s="1"/>
      <c r="D1879" s="1"/>
      <c r="F1879" s="1"/>
      <c r="G1879" s="1"/>
      <c r="H1879" s="2"/>
    </row>
    <row r="1880" spans="1:8" x14ac:dyDescent="0.4">
      <c r="A1880" s="1"/>
      <c r="B1880" s="1"/>
      <c r="C1880" s="1"/>
      <c r="D1880" s="1"/>
      <c r="F1880" s="1"/>
      <c r="G1880" s="1"/>
      <c r="H1880" s="2"/>
    </row>
    <row r="1881" spans="1:8" x14ac:dyDescent="0.4">
      <c r="A1881" s="1"/>
      <c r="B1881" s="1"/>
      <c r="C1881" s="1"/>
      <c r="D1881" s="1"/>
      <c r="F1881" s="1"/>
      <c r="G1881" s="1"/>
      <c r="H1881" s="2"/>
    </row>
    <row r="1882" spans="1:8" x14ac:dyDescent="0.4">
      <c r="A1882" s="1"/>
      <c r="B1882" s="1"/>
      <c r="C1882" s="1"/>
      <c r="D1882" s="1"/>
      <c r="F1882" s="1"/>
      <c r="G1882" s="1"/>
      <c r="H1882" s="2"/>
    </row>
    <row r="1883" spans="1:8" x14ac:dyDescent="0.4">
      <c r="A1883" s="1"/>
      <c r="B1883" s="1"/>
      <c r="C1883" s="1"/>
      <c r="D1883" s="1"/>
      <c r="F1883" s="1"/>
      <c r="G1883" s="1"/>
      <c r="H1883" s="2"/>
    </row>
    <row r="1884" spans="1:8" x14ac:dyDescent="0.4">
      <c r="A1884" s="1"/>
      <c r="B1884" s="1"/>
      <c r="C1884" s="1"/>
      <c r="D1884" s="1"/>
      <c r="F1884" s="1"/>
      <c r="G1884" s="1"/>
      <c r="H1884" s="2"/>
    </row>
    <row r="1885" spans="1:8" x14ac:dyDescent="0.4">
      <c r="A1885" s="1"/>
      <c r="B1885" s="1"/>
      <c r="C1885" s="1"/>
      <c r="D1885" s="1"/>
      <c r="F1885" s="1"/>
      <c r="G1885" s="1"/>
      <c r="H1885" s="2"/>
    </row>
    <row r="1886" spans="1:8" x14ac:dyDescent="0.4">
      <c r="A1886" s="1"/>
      <c r="B1886" s="1"/>
      <c r="C1886" s="1"/>
      <c r="D1886" s="1"/>
      <c r="F1886" s="1"/>
      <c r="G1886" s="1"/>
      <c r="H1886" s="2"/>
    </row>
    <row r="1887" spans="1:8" x14ac:dyDescent="0.4">
      <c r="A1887" s="1"/>
      <c r="B1887" s="1"/>
      <c r="C1887" s="1"/>
      <c r="D1887" s="1"/>
      <c r="F1887" s="1"/>
      <c r="G1887" s="1"/>
      <c r="H1887" s="2"/>
    </row>
    <row r="1888" spans="1:8" x14ac:dyDescent="0.4">
      <c r="A1888" s="1"/>
      <c r="B1888" s="1"/>
      <c r="C1888" s="1"/>
      <c r="D1888" s="1"/>
      <c r="F1888" s="1"/>
      <c r="G1888" s="1"/>
      <c r="H1888" s="2"/>
    </row>
    <row r="1889" spans="1:8" x14ac:dyDescent="0.4">
      <c r="A1889" s="1"/>
      <c r="B1889" s="1"/>
      <c r="C1889" s="1"/>
      <c r="D1889" s="1"/>
      <c r="F1889" s="1"/>
      <c r="G1889" s="1"/>
      <c r="H1889" s="2"/>
    </row>
    <row r="1890" spans="1:8" x14ac:dyDescent="0.4">
      <c r="A1890" s="1"/>
      <c r="B1890" s="1"/>
      <c r="C1890" s="1"/>
      <c r="D1890" s="1"/>
      <c r="F1890" s="1"/>
      <c r="G1890" s="1"/>
      <c r="H1890" s="2"/>
    </row>
    <row r="1891" spans="1:8" x14ac:dyDescent="0.4">
      <c r="A1891" s="1"/>
      <c r="B1891" s="1"/>
      <c r="C1891" s="1"/>
      <c r="D1891" s="1"/>
      <c r="F1891" s="1"/>
      <c r="G1891" s="1"/>
      <c r="H1891" s="2"/>
    </row>
    <row r="1892" spans="1:8" x14ac:dyDescent="0.4">
      <c r="A1892" s="1"/>
      <c r="B1892" s="1"/>
      <c r="C1892" s="1"/>
      <c r="D1892" s="1"/>
      <c r="F1892" s="1"/>
      <c r="G1892" s="1"/>
      <c r="H1892" s="2"/>
    </row>
    <row r="1893" spans="1:8" x14ac:dyDescent="0.4">
      <c r="A1893" s="1"/>
      <c r="B1893" s="1"/>
      <c r="C1893" s="1"/>
      <c r="D1893" s="1"/>
      <c r="F1893" s="1"/>
      <c r="G1893" s="1"/>
      <c r="H1893" s="2"/>
    </row>
    <row r="1894" spans="1:8" x14ac:dyDescent="0.4">
      <c r="A1894" s="1"/>
      <c r="B1894" s="1"/>
      <c r="C1894" s="1"/>
      <c r="D1894" s="1"/>
      <c r="F1894" s="1"/>
      <c r="G1894" s="1"/>
      <c r="H1894" s="2"/>
    </row>
    <row r="1895" spans="1:8" x14ac:dyDescent="0.4">
      <c r="A1895" s="1"/>
      <c r="B1895" s="1"/>
      <c r="C1895" s="1"/>
      <c r="D1895" s="1"/>
      <c r="F1895" s="1"/>
      <c r="G1895" s="1"/>
      <c r="H1895" s="2"/>
    </row>
    <row r="1896" spans="1:8" x14ac:dyDescent="0.4">
      <c r="A1896" s="1"/>
      <c r="B1896" s="1"/>
      <c r="C1896" s="1"/>
      <c r="D1896" s="1"/>
      <c r="F1896" s="1"/>
      <c r="G1896" s="1"/>
      <c r="H1896" s="2"/>
    </row>
    <row r="1897" spans="1:8" x14ac:dyDescent="0.4">
      <c r="A1897" s="1"/>
      <c r="B1897" s="1"/>
      <c r="C1897" s="1"/>
      <c r="D1897" s="1"/>
      <c r="F1897" s="1"/>
      <c r="G1897" s="1"/>
      <c r="H1897" s="2"/>
    </row>
    <row r="1898" spans="1:8" x14ac:dyDescent="0.4">
      <c r="A1898" s="1"/>
      <c r="B1898" s="1"/>
      <c r="C1898" s="1"/>
      <c r="D1898" s="1"/>
      <c r="F1898" s="1"/>
      <c r="G1898" s="1"/>
      <c r="H1898" s="2"/>
    </row>
    <row r="1899" spans="1:8" x14ac:dyDescent="0.4">
      <c r="A1899" s="1"/>
      <c r="B1899" s="1"/>
      <c r="C1899" s="1"/>
      <c r="D1899" s="1"/>
      <c r="F1899" s="1"/>
      <c r="G1899" s="1"/>
      <c r="H1899" s="2"/>
    </row>
    <row r="1900" spans="1:8" x14ac:dyDescent="0.4">
      <c r="A1900" s="1"/>
      <c r="B1900" s="1"/>
      <c r="C1900" s="1"/>
      <c r="D1900" s="1"/>
      <c r="F1900" s="1"/>
      <c r="G1900" s="1"/>
      <c r="H1900" s="2"/>
    </row>
    <row r="1901" spans="1:8" x14ac:dyDescent="0.4">
      <c r="A1901" s="1"/>
      <c r="B1901" s="1"/>
      <c r="C1901" s="1"/>
      <c r="D1901" s="1"/>
      <c r="F1901" s="1"/>
      <c r="G1901" s="1"/>
      <c r="H1901" s="2"/>
    </row>
    <row r="1902" spans="1:8" x14ac:dyDescent="0.4">
      <c r="A1902" s="1"/>
      <c r="B1902" s="1"/>
      <c r="C1902" s="1"/>
      <c r="D1902" s="1"/>
      <c r="F1902" s="1"/>
      <c r="G1902" s="1"/>
      <c r="H1902" s="2"/>
    </row>
    <row r="1903" spans="1:8" x14ac:dyDescent="0.4">
      <c r="A1903" s="1"/>
      <c r="B1903" s="1"/>
      <c r="C1903" s="1"/>
      <c r="D1903" s="1"/>
      <c r="F1903" s="1"/>
      <c r="G1903" s="1"/>
      <c r="H1903" s="2"/>
    </row>
    <row r="1904" spans="1:8" x14ac:dyDescent="0.4">
      <c r="A1904" s="1"/>
      <c r="B1904" s="1"/>
      <c r="C1904" s="1"/>
      <c r="D1904" s="1"/>
      <c r="F1904" s="1"/>
      <c r="G1904" s="1"/>
      <c r="H1904" s="2"/>
    </row>
    <row r="1905" spans="1:8" x14ac:dyDescent="0.4">
      <c r="A1905" s="1"/>
      <c r="B1905" s="1"/>
      <c r="C1905" s="1"/>
      <c r="D1905" s="1"/>
      <c r="F1905" s="1"/>
      <c r="G1905" s="1"/>
      <c r="H1905" s="2"/>
    </row>
    <row r="1906" spans="1:8" x14ac:dyDescent="0.4">
      <c r="A1906" s="1"/>
      <c r="B1906" s="1"/>
      <c r="C1906" s="1"/>
      <c r="D1906" s="1"/>
      <c r="F1906" s="1"/>
      <c r="G1906" s="1"/>
      <c r="H1906" s="2"/>
    </row>
    <row r="1907" spans="1:8" x14ac:dyDescent="0.4">
      <c r="A1907" s="1"/>
      <c r="B1907" s="1"/>
      <c r="C1907" s="1"/>
      <c r="D1907" s="1"/>
      <c r="F1907" s="1"/>
      <c r="G1907" s="1"/>
      <c r="H1907" s="2"/>
    </row>
    <row r="1908" spans="1:8" x14ac:dyDescent="0.4">
      <c r="A1908" s="1"/>
      <c r="B1908" s="1"/>
      <c r="C1908" s="1"/>
      <c r="D1908" s="1"/>
      <c r="F1908" s="1"/>
      <c r="G1908" s="1"/>
      <c r="H1908" s="2"/>
    </row>
    <row r="1909" spans="1:8" x14ac:dyDescent="0.4">
      <c r="A1909" s="1"/>
      <c r="B1909" s="1"/>
      <c r="C1909" s="1"/>
      <c r="D1909" s="1"/>
      <c r="F1909" s="1"/>
      <c r="G1909" s="1"/>
      <c r="H1909" s="2"/>
    </row>
    <row r="1910" spans="1:8" x14ac:dyDescent="0.4">
      <c r="A1910" s="1"/>
      <c r="B1910" s="1"/>
      <c r="C1910" s="1"/>
      <c r="D1910" s="1"/>
      <c r="F1910" s="1"/>
      <c r="G1910" s="1"/>
      <c r="H1910" s="2"/>
    </row>
    <row r="1911" spans="1:8" x14ac:dyDescent="0.4">
      <c r="A1911" s="1"/>
      <c r="B1911" s="1"/>
      <c r="C1911" s="1"/>
      <c r="D1911" s="1"/>
      <c r="F1911" s="1"/>
      <c r="G1911" s="1"/>
      <c r="H1911" s="2"/>
    </row>
    <row r="1912" spans="1:8" x14ac:dyDescent="0.4">
      <c r="A1912" s="1"/>
      <c r="B1912" s="1"/>
      <c r="C1912" s="1"/>
      <c r="D1912" s="1"/>
      <c r="F1912" s="1"/>
      <c r="G1912" s="1"/>
      <c r="H1912" s="2"/>
    </row>
    <row r="1913" spans="1:8" x14ac:dyDescent="0.4">
      <c r="A1913" s="1"/>
      <c r="B1913" s="1"/>
      <c r="C1913" s="1"/>
      <c r="D1913" s="1"/>
      <c r="F1913" s="1"/>
      <c r="G1913" s="1"/>
      <c r="H1913" s="2"/>
    </row>
    <row r="1914" spans="1:8" x14ac:dyDescent="0.4">
      <c r="A1914" s="1"/>
      <c r="B1914" s="1"/>
      <c r="C1914" s="1"/>
      <c r="D1914" s="1"/>
      <c r="F1914" s="1"/>
      <c r="G1914" s="1"/>
      <c r="H1914" s="2"/>
    </row>
    <row r="1915" spans="1:8" x14ac:dyDescent="0.4">
      <c r="A1915" s="1"/>
      <c r="B1915" s="1"/>
      <c r="C1915" s="1"/>
      <c r="D1915" s="1"/>
      <c r="F1915" s="1"/>
      <c r="G1915" s="1"/>
      <c r="H1915" s="2"/>
    </row>
    <row r="1916" spans="1:8" x14ac:dyDescent="0.4">
      <c r="A1916" s="1"/>
      <c r="B1916" s="1"/>
      <c r="C1916" s="1"/>
      <c r="D1916" s="1"/>
      <c r="F1916" s="1"/>
      <c r="G1916" s="1"/>
      <c r="H1916" s="2"/>
    </row>
    <row r="1917" spans="1:8" x14ac:dyDescent="0.4">
      <c r="A1917" s="1"/>
      <c r="B1917" s="1"/>
      <c r="C1917" s="1"/>
      <c r="D1917" s="1"/>
      <c r="F1917" s="1"/>
      <c r="G1917" s="1"/>
      <c r="H1917" s="2"/>
    </row>
    <row r="1918" spans="1:8" x14ac:dyDescent="0.4">
      <c r="A1918" s="1"/>
      <c r="B1918" s="1"/>
      <c r="C1918" s="1"/>
      <c r="D1918" s="1"/>
      <c r="F1918" s="1"/>
      <c r="G1918" s="1"/>
      <c r="H1918" s="2"/>
    </row>
    <row r="1919" spans="1:8" x14ac:dyDescent="0.4">
      <c r="A1919" s="1"/>
      <c r="B1919" s="1"/>
      <c r="C1919" s="1"/>
      <c r="D1919" s="1"/>
      <c r="F1919" s="1"/>
      <c r="G1919" s="1"/>
      <c r="H1919" s="2"/>
    </row>
    <row r="1920" spans="1:8" x14ac:dyDescent="0.4">
      <c r="A1920" s="1"/>
      <c r="B1920" s="1"/>
      <c r="C1920" s="1"/>
      <c r="D1920" s="1"/>
      <c r="F1920" s="1"/>
      <c r="G1920" s="1"/>
      <c r="H1920" s="2"/>
    </row>
    <row r="1921" spans="1:8" x14ac:dyDescent="0.4">
      <c r="A1921" s="1"/>
      <c r="B1921" s="1"/>
      <c r="C1921" s="1"/>
      <c r="D1921" s="1"/>
      <c r="F1921" s="1"/>
      <c r="G1921" s="1"/>
      <c r="H1921" s="2"/>
    </row>
    <row r="1922" spans="1:8" x14ac:dyDescent="0.4">
      <c r="A1922" s="1"/>
      <c r="B1922" s="1"/>
      <c r="C1922" s="1"/>
      <c r="D1922" s="1"/>
      <c r="F1922" s="1"/>
      <c r="G1922" s="1"/>
      <c r="H1922" s="2"/>
    </row>
    <row r="1923" spans="1:8" x14ac:dyDescent="0.4">
      <c r="A1923" s="1"/>
      <c r="B1923" s="1"/>
      <c r="C1923" s="1"/>
      <c r="D1923" s="1"/>
      <c r="F1923" s="1"/>
      <c r="G1923" s="1"/>
      <c r="H1923" s="2"/>
    </row>
    <row r="1924" spans="1:8" x14ac:dyDescent="0.4">
      <c r="A1924" s="1"/>
      <c r="B1924" s="1"/>
      <c r="C1924" s="1"/>
      <c r="D1924" s="1"/>
      <c r="F1924" s="1"/>
      <c r="G1924" s="1"/>
      <c r="H1924" s="2"/>
    </row>
    <row r="1925" spans="1:8" x14ac:dyDescent="0.4">
      <c r="A1925" s="1"/>
      <c r="B1925" s="1"/>
      <c r="C1925" s="1"/>
      <c r="D1925" s="1"/>
      <c r="F1925" s="1"/>
      <c r="G1925" s="1"/>
      <c r="H1925" s="2"/>
    </row>
    <row r="1926" spans="1:8" x14ac:dyDescent="0.4">
      <c r="A1926" s="1"/>
      <c r="B1926" s="1"/>
      <c r="C1926" s="1"/>
      <c r="D1926" s="1"/>
      <c r="F1926" s="1"/>
      <c r="G1926" s="1"/>
      <c r="H1926" s="2"/>
    </row>
    <row r="1927" spans="1:8" x14ac:dyDescent="0.4">
      <c r="A1927" s="1"/>
      <c r="B1927" s="1"/>
      <c r="C1927" s="1"/>
      <c r="D1927" s="1"/>
      <c r="F1927" s="1"/>
      <c r="G1927" s="1"/>
      <c r="H1927" s="2"/>
    </row>
    <row r="1928" spans="1:8" x14ac:dyDescent="0.4">
      <c r="A1928" s="1"/>
      <c r="B1928" s="1"/>
      <c r="C1928" s="1"/>
      <c r="D1928" s="1"/>
      <c r="F1928" s="1"/>
      <c r="G1928" s="1"/>
      <c r="H1928" s="2"/>
    </row>
    <row r="1929" spans="1:8" x14ac:dyDescent="0.4">
      <c r="A1929" s="1"/>
      <c r="B1929" s="1"/>
      <c r="C1929" s="1"/>
      <c r="D1929" s="1"/>
      <c r="F1929" s="1"/>
      <c r="G1929" s="1"/>
      <c r="H1929" s="2"/>
    </row>
    <row r="1930" spans="1:8" x14ac:dyDescent="0.4">
      <c r="A1930" s="1"/>
      <c r="B1930" s="1"/>
      <c r="C1930" s="1"/>
      <c r="D1930" s="1"/>
      <c r="F1930" s="1"/>
      <c r="G1930" s="1"/>
      <c r="H1930" s="2"/>
    </row>
    <row r="1931" spans="1:8" x14ac:dyDescent="0.4">
      <c r="A1931" s="1"/>
      <c r="B1931" s="1"/>
      <c r="C1931" s="1"/>
      <c r="D1931" s="1"/>
      <c r="F1931" s="1"/>
      <c r="G1931" s="1"/>
      <c r="H1931" s="2"/>
    </row>
    <row r="1932" spans="1:8" x14ac:dyDescent="0.4">
      <c r="A1932" s="1"/>
      <c r="B1932" s="1"/>
      <c r="C1932" s="1"/>
      <c r="D1932" s="1"/>
      <c r="F1932" s="1"/>
      <c r="G1932" s="1"/>
      <c r="H1932" s="2"/>
    </row>
    <row r="1933" spans="1:8" x14ac:dyDescent="0.4">
      <c r="A1933" s="1"/>
      <c r="B1933" s="1"/>
      <c r="C1933" s="1"/>
      <c r="D1933" s="1"/>
      <c r="F1933" s="1"/>
      <c r="G1933" s="1"/>
      <c r="H1933" s="2"/>
    </row>
    <row r="1934" spans="1:8" x14ac:dyDescent="0.4">
      <c r="A1934" s="1"/>
      <c r="B1934" s="1"/>
      <c r="C1934" s="1"/>
      <c r="D1934" s="1"/>
      <c r="F1934" s="1"/>
      <c r="G1934" s="1"/>
      <c r="H1934" s="2"/>
    </row>
    <row r="1935" spans="1:8" x14ac:dyDescent="0.4">
      <c r="A1935" s="1"/>
      <c r="B1935" s="1"/>
      <c r="C1935" s="1"/>
      <c r="D1935" s="1"/>
      <c r="F1935" s="1"/>
      <c r="G1935" s="1"/>
      <c r="H1935" s="2"/>
    </row>
    <row r="1936" spans="1:8" x14ac:dyDescent="0.4">
      <c r="A1936" s="1"/>
      <c r="B1936" s="1"/>
      <c r="C1936" s="1"/>
      <c r="D1936" s="1"/>
      <c r="F1936" s="1"/>
      <c r="G1936" s="1"/>
      <c r="H1936" s="2"/>
    </row>
    <row r="1937" spans="1:8" x14ac:dyDescent="0.4">
      <c r="A1937" s="1"/>
      <c r="B1937" s="1"/>
      <c r="C1937" s="1"/>
      <c r="D1937" s="1"/>
      <c r="F1937" s="1"/>
      <c r="G1937" s="1"/>
      <c r="H1937" s="2"/>
    </row>
    <row r="1938" spans="1:8" x14ac:dyDescent="0.4">
      <c r="A1938" s="1"/>
      <c r="B1938" s="1"/>
      <c r="C1938" s="1"/>
      <c r="D1938" s="1"/>
      <c r="F1938" s="1"/>
      <c r="G1938" s="1"/>
      <c r="H1938" s="2"/>
    </row>
    <row r="1939" spans="1:8" x14ac:dyDescent="0.4">
      <c r="A1939" s="1"/>
      <c r="B1939" s="1"/>
      <c r="C1939" s="1"/>
      <c r="D1939" s="1"/>
      <c r="F1939" s="1"/>
      <c r="G1939" s="1"/>
      <c r="H1939" s="2"/>
    </row>
    <row r="1940" spans="1:8" x14ac:dyDescent="0.4">
      <c r="A1940" s="1"/>
      <c r="B1940" s="1"/>
      <c r="C1940" s="1"/>
      <c r="D1940" s="1"/>
      <c r="F1940" s="1"/>
      <c r="G1940" s="1"/>
      <c r="H1940" s="2"/>
    </row>
    <row r="1941" spans="1:8" x14ac:dyDescent="0.4">
      <c r="A1941" s="1"/>
      <c r="B1941" s="1"/>
      <c r="C1941" s="1"/>
      <c r="D1941" s="1"/>
      <c r="F1941" s="1"/>
      <c r="G1941" s="1"/>
      <c r="H1941" s="2"/>
    </row>
    <row r="1942" spans="1:8" x14ac:dyDescent="0.4">
      <c r="A1942" s="1"/>
      <c r="B1942" s="1"/>
      <c r="C1942" s="1"/>
      <c r="D1942" s="1"/>
      <c r="F1942" s="1"/>
      <c r="G1942" s="1"/>
      <c r="H1942" s="2"/>
    </row>
    <row r="1943" spans="1:8" x14ac:dyDescent="0.4">
      <c r="A1943" s="1"/>
      <c r="B1943" s="1"/>
      <c r="C1943" s="1"/>
      <c r="D1943" s="1"/>
      <c r="F1943" s="1"/>
      <c r="G1943" s="1"/>
      <c r="H1943" s="2"/>
    </row>
    <row r="1944" spans="1:8" x14ac:dyDescent="0.4">
      <c r="A1944" s="1"/>
      <c r="B1944" s="1"/>
      <c r="C1944" s="1"/>
      <c r="D1944" s="1"/>
      <c r="F1944" s="1"/>
      <c r="G1944" s="1"/>
      <c r="H1944" s="2"/>
    </row>
    <row r="1945" spans="1:8" x14ac:dyDescent="0.4">
      <c r="A1945" s="1"/>
      <c r="B1945" s="1"/>
      <c r="C1945" s="1"/>
      <c r="D1945" s="1"/>
      <c r="F1945" s="1"/>
      <c r="G1945" s="1"/>
      <c r="H1945" s="2"/>
    </row>
    <row r="1946" spans="1:8" x14ac:dyDescent="0.4">
      <c r="A1946" s="1"/>
      <c r="B1946" s="1"/>
      <c r="C1946" s="1"/>
      <c r="D1946" s="1"/>
      <c r="F1946" s="1"/>
      <c r="G1946" s="1"/>
      <c r="H1946" s="2"/>
    </row>
    <row r="1947" spans="1:8" x14ac:dyDescent="0.4">
      <c r="A1947" s="1"/>
      <c r="B1947" s="1"/>
      <c r="C1947" s="1"/>
      <c r="D1947" s="1"/>
      <c r="F1947" s="1"/>
      <c r="G1947" s="1"/>
      <c r="H1947" s="2"/>
    </row>
    <row r="1948" spans="1:8" x14ac:dyDescent="0.4">
      <c r="A1948" s="1"/>
      <c r="B1948" s="1"/>
      <c r="C1948" s="1"/>
      <c r="D1948" s="1"/>
      <c r="F1948" s="1"/>
      <c r="G1948" s="1"/>
      <c r="H1948" s="2"/>
    </row>
    <row r="1949" spans="1:8" x14ac:dyDescent="0.4">
      <c r="A1949" s="1"/>
      <c r="B1949" s="1"/>
      <c r="C1949" s="1"/>
      <c r="D1949" s="1"/>
      <c r="F1949" s="1"/>
      <c r="G1949" s="1"/>
      <c r="H1949" s="2"/>
    </row>
    <row r="1950" spans="1:8" x14ac:dyDescent="0.4">
      <c r="A1950" s="1"/>
      <c r="B1950" s="1"/>
      <c r="C1950" s="1"/>
      <c r="D1950" s="1"/>
      <c r="F1950" s="1"/>
      <c r="G1950" s="1"/>
      <c r="H1950" s="2"/>
    </row>
    <row r="1951" spans="1:8" x14ac:dyDescent="0.4">
      <c r="A1951" s="1"/>
      <c r="B1951" s="1"/>
      <c r="C1951" s="1"/>
      <c r="D1951" s="1"/>
      <c r="F1951" s="1"/>
      <c r="G1951" s="1"/>
      <c r="H1951" s="2"/>
    </row>
    <row r="1952" spans="1:8" x14ac:dyDescent="0.4">
      <c r="A1952" s="1"/>
      <c r="B1952" s="1"/>
      <c r="C1952" s="1"/>
      <c r="D1952" s="1"/>
      <c r="F1952" s="1"/>
      <c r="G1952" s="1"/>
      <c r="H1952" s="2"/>
    </row>
    <row r="1953" spans="1:8" x14ac:dyDescent="0.4">
      <c r="A1953" s="1"/>
      <c r="B1953" s="1"/>
      <c r="C1953" s="1"/>
      <c r="D1953" s="1"/>
      <c r="F1953" s="1"/>
      <c r="G1953" s="1"/>
      <c r="H1953" s="2"/>
    </row>
    <row r="1954" spans="1:8" x14ac:dyDescent="0.4">
      <c r="A1954" s="1"/>
      <c r="B1954" s="1"/>
      <c r="C1954" s="1"/>
      <c r="D1954" s="1"/>
      <c r="F1954" s="1"/>
      <c r="G1954" s="1"/>
      <c r="H1954" s="2"/>
    </row>
    <row r="1955" spans="1:8" x14ac:dyDescent="0.4">
      <c r="A1955" s="1"/>
      <c r="B1955" s="1"/>
      <c r="C1955" s="1"/>
      <c r="D1955" s="1"/>
      <c r="F1955" s="1"/>
      <c r="G1955" s="1"/>
      <c r="H1955" s="2"/>
    </row>
    <row r="1956" spans="1:8" x14ac:dyDescent="0.4">
      <c r="A1956" s="1"/>
      <c r="B1956" s="1"/>
      <c r="C1956" s="1"/>
      <c r="D1956" s="1"/>
      <c r="F1956" s="1"/>
      <c r="G1956" s="1"/>
      <c r="H1956" s="2"/>
    </row>
    <row r="1957" spans="1:8" x14ac:dyDescent="0.4">
      <c r="A1957" s="1"/>
      <c r="B1957" s="1"/>
      <c r="C1957" s="1"/>
      <c r="D1957" s="1"/>
      <c r="F1957" s="1"/>
      <c r="G1957" s="1"/>
      <c r="H1957" s="2"/>
    </row>
    <row r="1958" spans="1:8" x14ac:dyDescent="0.4">
      <c r="A1958" s="1"/>
      <c r="B1958" s="1"/>
      <c r="C1958" s="1"/>
      <c r="D1958" s="1"/>
      <c r="F1958" s="1"/>
      <c r="G1958" s="1"/>
      <c r="H1958" s="2"/>
    </row>
    <row r="1959" spans="1:8" x14ac:dyDescent="0.4">
      <c r="A1959" s="1"/>
      <c r="B1959" s="1"/>
      <c r="C1959" s="1"/>
      <c r="D1959" s="1"/>
      <c r="F1959" s="1"/>
      <c r="G1959" s="1"/>
      <c r="H1959" s="2"/>
    </row>
    <row r="1960" spans="1:8" x14ac:dyDescent="0.4">
      <c r="A1960" s="1"/>
      <c r="B1960" s="1"/>
      <c r="C1960" s="1"/>
      <c r="D1960" s="1"/>
      <c r="F1960" s="1"/>
      <c r="G1960" s="1"/>
      <c r="H1960" s="2"/>
    </row>
    <row r="1961" spans="1:8" x14ac:dyDescent="0.4">
      <c r="A1961" s="1"/>
      <c r="B1961" s="1"/>
      <c r="C1961" s="1"/>
      <c r="D1961" s="1"/>
      <c r="F1961" s="1"/>
      <c r="G1961" s="1"/>
      <c r="H1961" s="2"/>
    </row>
    <row r="1962" spans="1:8" x14ac:dyDescent="0.4">
      <c r="A1962" s="1"/>
      <c r="B1962" s="1"/>
      <c r="C1962" s="1"/>
      <c r="D1962" s="1"/>
      <c r="F1962" s="1"/>
      <c r="G1962" s="1"/>
      <c r="H1962" s="2"/>
    </row>
    <row r="1963" spans="1:8" x14ac:dyDescent="0.4">
      <c r="A1963" s="1"/>
      <c r="B1963" s="1"/>
      <c r="C1963" s="1"/>
      <c r="D1963" s="1"/>
      <c r="F1963" s="1"/>
      <c r="G1963" s="1"/>
      <c r="H1963" s="2"/>
    </row>
    <row r="1964" spans="1:8" x14ac:dyDescent="0.4">
      <c r="A1964" s="1"/>
      <c r="B1964" s="1"/>
      <c r="C1964" s="1"/>
      <c r="D1964" s="1"/>
      <c r="F1964" s="1"/>
      <c r="G1964" s="1"/>
      <c r="H1964" s="2"/>
    </row>
    <row r="1965" spans="1:8" x14ac:dyDescent="0.4">
      <c r="A1965" s="1"/>
      <c r="B1965" s="1"/>
      <c r="C1965" s="1"/>
      <c r="D1965" s="1"/>
      <c r="F1965" s="1"/>
      <c r="G1965" s="1"/>
      <c r="H1965" s="2"/>
    </row>
    <row r="1966" spans="1:8" x14ac:dyDescent="0.4">
      <c r="A1966" s="1"/>
      <c r="B1966" s="1"/>
      <c r="C1966" s="1"/>
      <c r="D1966" s="1"/>
      <c r="F1966" s="1"/>
      <c r="G1966" s="1"/>
      <c r="H1966" s="2"/>
    </row>
    <row r="1967" spans="1:8" x14ac:dyDescent="0.4">
      <c r="A1967" s="1"/>
      <c r="B1967" s="1"/>
      <c r="C1967" s="1"/>
      <c r="D1967" s="1"/>
      <c r="F1967" s="1"/>
      <c r="G1967" s="1"/>
      <c r="H1967" s="2"/>
    </row>
    <row r="1968" spans="1:8" x14ac:dyDescent="0.4">
      <c r="A1968" s="1"/>
      <c r="B1968" s="1"/>
      <c r="C1968" s="1"/>
      <c r="D1968" s="1"/>
      <c r="F1968" s="1"/>
      <c r="G1968" s="1"/>
      <c r="H1968" s="2"/>
    </row>
    <row r="1969" spans="1:8" x14ac:dyDescent="0.4">
      <c r="A1969" s="1"/>
      <c r="B1969" s="1"/>
      <c r="C1969" s="1"/>
      <c r="D1969" s="1"/>
      <c r="F1969" s="1"/>
      <c r="G1969" s="1"/>
      <c r="H1969" s="2"/>
    </row>
    <row r="1970" spans="1:8" x14ac:dyDescent="0.4">
      <c r="A1970" s="1"/>
      <c r="B1970" s="1"/>
      <c r="C1970" s="1"/>
      <c r="D1970" s="1"/>
      <c r="F1970" s="1"/>
      <c r="G1970" s="1"/>
      <c r="H1970" s="2"/>
    </row>
    <row r="1971" spans="1:8" x14ac:dyDescent="0.4">
      <c r="A1971" s="1"/>
      <c r="B1971" s="1"/>
      <c r="C1971" s="1"/>
      <c r="D1971" s="1"/>
      <c r="F1971" s="1"/>
      <c r="G1971" s="1"/>
      <c r="H1971" s="2"/>
    </row>
    <row r="1972" spans="1:8" x14ac:dyDescent="0.4">
      <c r="A1972" s="1"/>
      <c r="B1972" s="1"/>
      <c r="C1972" s="1"/>
      <c r="D1972" s="1"/>
      <c r="F1972" s="1"/>
      <c r="G1972" s="1"/>
      <c r="H1972" s="2"/>
    </row>
    <row r="1973" spans="1:8" x14ac:dyDescent="0.4">
      <c r="A1973" s="1"/>
      <c r="B1973" s="1"/>
      <c r="C1973" s="1"/>
      <c r="D1973" s="1"/>
      <c r="F1973" s="1"/>
      <c r="G1973" s="1"/>
      <c r="H1973" s="2"/>
    </row>
    <row r="1974" spans="1:8" x14ac:dyDescent="0.4">
      <c r="A1974" s="1"/>
      <c r="B1974" s="1"/>
      <c r="C1974" s="1"/>
      <c r="D1974" s="1"/>
      <c r="F1974" s="1"/>
      <c r="G1974" s="1"/>
      <c r="H1974" s="2"/>
    </row>
    <row r="1975" spans="1:8" x14ac:dyDescent="0.4">
      <c r="A1975" s="1"/>
      <c r="B1975" s="1"/>
      <c r="C1975" s="1"/>
      <c r="D1975" s="1"/>
      <c r="F1975" s="1"/>
      <c r="G1975" s="1"/>
      <c r="H1975" s="2"/>
    </row>
    <row r="1976" spans="1:8" x14ac:dyDescent="0.4">
      <c r="A1976" s="1"/>
      <c r="B1976" s="1"/>
      <c r="C1976" s="1"/>
      <c r="D1976" s="1"/>
      <c r="F1976" s="1"/>
      <c r="G1976" s="1"/>
      <c r="H1976" s="2"/>
    </row>
    <row r="1977" spans="1:8" x14ac:dyDescent="0.4">
      <c r="A1977" s="1"/>
      <c r="B1977" s="1"/>
      <c r="C1977" s="1"/>
      <c r="D1977" s="1"/>
      <c r="F1977" s="1"/>
      <c r="G1977" s="1"/>
      <c r="H1977" s="2"/>
    </row>
    <row r="1978" spans="1:8" x14ac:dyDescent="0.4">
      <c r="A1978" s="1"/>
      <c r="B1978" s="1"/>
      <c r="C1978" s="1"/>
      <c r="D1978" s="1"/>
      <c r="F1978" s="1"/>
      <c r="G1978" s="1"/>
      <c r="H1978" s="2"/>
    </row>
    <row r="1979" spans="1:8" x14ac:dyDescent="0.4">
      <c r="A1979" s="1"/>
      <c r="B1979" s="1"/>
      <c r="C1979" s="1"/>
      <c r="D1979" s="1"/>
      <c r="F1979" s="1"/>
      <c r="G1979" s="1"/>
      <c r="H1979" s="2"/>
    </row>
    <row r="1980" spans="1:8" x14ac:dyDescent="0.4">
      <c r="A1980" s="1"/>
      <c r="B1980" s="1"/>
      <c r="C1980" s="1"/>
      <c r="D1980" s="1"/>
      <c r="F1980" s="1"/>
      <c r="G1980" s="1"/>
      <c r="H1980" s="2"/>
    </row>
    <row r="1981" spans="1:8" x14ac:dyDescent="0.4">
      <c r="A1981" s="1"/>
      <c r="B1981" s="1"/>
      <c r="C1981" s="1"/>
      <c r="D1981" s="1"/>
      <c r="F1981" s="1"/>
      <c r="G1981" s="1"/>
      <c r="H1981" s="2"/>
    </row>
    <row r="1982" spans="1:8" x14ac:dyDescent="0.4">
      <c r="A1982" s="1"/>
      <c r="B1982" s="1"/>
      <c r="C1982" s="1"/>
      <c r="D1982" s="1"/>
      <c r="F1982" s="1"/>
      <c r="G1982" s="1"/>
      <c r="H1982" s="2"/>
    </row>
    <row r="1983" spans="1:8" x14ac:dyDescent="0.4">
      <c r="A1983" s="1"/>
      <c r="B1983" s="1"/>
      <c r="C1983" s="1"/>
      <c r="D1983" s="1"/>
      <c r="F1983" s="1"/>
      <c r="G1983" s="1"/>
      <c r="H1983" s="2"/>
    </row>
    <row r="1984" spans="1:8" x14ac:dyDescent="0.4">
      <c r="A1984" s="1"/>
      <c r="B1984" s="1"/>
      <c r="C1984" s="1"/>
      <c r="D1984" s="1"/>
      <c r="F1984" s="1"/>
      <c r="G1984" s="1"/>
      <c r="H1984" s="2"/>
    </row>
    <row r="1985" spans="1:8" x14ac:dyDescent="0.4">
      <c r="A1985" s="1"/>
      <c r="B1985" s="1"/>
      <c r="C1985" s="1"/>
      <c r="D1985" s="1"/>
      <c r="F1985" s="1"/>
      <c r="G1985" s="1"/>
      <c r="H1985" s="2"/>
    </row>
    <row r="1986" spans="1:8" x14ac:dyDescent="0.4">
      <c r="A1986" s="1"/>
      <c r="B1986" s="1"/>
      <c r="C1986" s="1"/>
      <c r="D1986" s="1"/>
      <c r="F1986" s="1"/>
      <c r="G1986" s="1"/>
      <c r="H1986" s="2"/>
    </row>
    <row r="1987" spans="1:8" x14ac:dyDescent="0.4">
      <c r="A1987" s="1"/>
      <c r="B1987" s="1"/>
      <c r="C1987" s="1"/>
      <c r="D1987" s="1"/>
      <c r="F1987" s="1"/>
      <c r="G1987" s="1"/>
      <c r="H1987" s="2"/>
    </row>
    <row r="1988" spans="1:8" x14ac:dyDescent="0.4">
      <c r="A1988" s="1"/>
      <c r="B1988" s="1"/>
      <c r="C1988" s="1"/>
      <c r="D1988" s="1"/>
      <c r="F1988" s="1"/>
      <c r="G1988" s="1"/>
      <c r="H1988" s="2"/>
    </row>
    <row r="1989" spans="1:8" x14ac:dyDescent="0.4">
      <c r="A1989" s="1"/>
      <c r="B1989" s="1"/>
      <c r="C1989" s="1"/>
      <c r="D1989" s="1"/>
      <c r="F1989" s="1"/>
      <c r="G1989" s="1"/>
      <c r="H1989" s="2"/>
    </row>
    <row r="1990" spans="1:8" x14ac:dyDescent="0.4">
      <c r="A1990" s="1"/>
      <c r="B1990" s="1"/>
      <c r="C1990" s="1"/>
      <c r="D1990" s="1"/>
      <c r="F1990" s="1"/>
      <c r="G1990" s="1"/>
      <c r="H1990" s="2"/>
    </row>
    <row r="1991" spans="1:8" x14ac:dyDescent="0.4">
      <c r="A1991" s="1"/>
      <c r="B1991" s="1"/>
      <c r="C1991" s="1"/>
      <c r="D1991" s="1"/>
      <c r="F1991" s="1"/>
      <c r="G1991" s="1"/>
      <c r="H1991" s="2"/>
    </row>
    <row r="1992" spans="1:8" x14ac:dyDescent="0.4">
      <c r="A1992" s="1"/>
      <c r="B1992" s="1"/>
      <c r="C1992" s="1"/>
      <c r="D1992" s="1"/>
      <c r="F1992" s="1"/>
      <c r="G1992" s="1"/>
      <c r="H1992" s="2"/>
    </row>
    <row r="1993" spans="1:8" x14ac:dyDescent="0.4">
      <c r="A1993" s="1"/>
      <c r="B1993" s="1"/>
      <c r="C1993" s="1"/>
      <c r="D1993" s="1"/>
      <c r="F1993" s="1"/>
      <c r="G1993" s="1"/>
      <c r="H1993" s="2"/>
    </row>
    <row r="1994" spans="1:8" x14ac:dyDescent="0.4">
      <c r="A1994" s="1"/>
      <c r="B1994" s="1"/>
      <c r="C1994" s="1"/>
      <c r="D1994" s="1"/>
      <c r="F1994" s="1"/>
      <c r="G1994" s="1"/>
      <c r="H1994" s="2"/>
    </row>
    <row r="1995" spans="1:8" x14ac:dyDescent="0.4">
      <c r="A1995" s="1"/>
      <c r="B1995" s="1"/>
      <c r="C1995" s="1"/>
      <c r="D1995" s="1"/>
      <c r="F1995" s="1"/>
      <c r="G1995" s="1"/>
      <c r="H1995" s="2"/>
    </row>
    <row r="1996" spans="1:8" x14ac:dyDescent="0.4">
      <c r="A1996" s="1"/>
      <c r="B1996" s="1"/>
      <c r="C1996" s="1"/>
      <c r="D1996" s="1"/>
      <c r="F1996" s="1"/>
      <c r="G1996" s="1"/>
      <c r="H1996" s="2"/>
    </row>
    <row r="1997" spans="1:8" x14ac:dyDescent="0.4">
      <c r="A1997" s="1"/>
      <c r="B1997" s="1"/>
      <c r="C1997" s="1"/>
      <c r="D1997" s="1"/>
      <c r="F1997" s="1"/>
      <c r="G1997" s="1"/>
      <c r="H1997" s="2"/>
    </row>
    <row r="1998" spans="1:8" x14ac:dyDescent="0.4">
      <c r="A1998" s="1"/>
      <c r="B1998" s="1"/>
      <c r="C1998" s="1"/>
      <c r="D1998" s="1"/>
      <c r="F1998" s="1"/>
      <c r="G1998" s="1"/>
      <c r="H1998" s="2"/>
    </row>
    <row r="1999" spans="1:8" x14ac:dyDescent="0.4">
      <c r="A1999" s="1"/>
      <c r="B1999" s="1"/>
      <c r="C1999" s="1"/>
      <c r="D1999" s="1"/>
      <c r="F1999" s="1"/>
      <c r="G1999" s="1"/>
      <c r="H1999" s="2"/>
    </row>
    <row r="2000" spans="1:8" x14ac:dyDescent="0.4">
      <c r="A2000" s="1"/>
      <c r="B2000" s="1"/>
      <c r="C2000" s="1"/>
      <c r="D2000" s="1"/>
      <c r="F2000" s="1"/>
      <c r="G2000" s="1"/>
      <c r="H2000" s="2"/>
    </row>
    <row r="2001" spans="1:8" x14ac:dyDescent="0.4">
      <c r="A2001" s="1"/>
      <c r="B2001" s="1"/>
      <c r="C2001" s="1"/>
      <c r="D2001" s="1"/>
      <c r="F2001" s="1"/>
      <c r="G2001" s="1"/>
      <c r="H2001" s="2"/>
    </row>
    <row r="2002" spans="1:8" x14ac:dyDescent="0.4">
      <c r="A2002" s="1"/>
      <c r="B2002" s="1"/>
      <c r="C2002" s="1"/>
      <c r="D2002" s="1"/>
      <c r="F2002" s="1"/>
      <c r="G2002" s="1"/>
      <c r="H2002" s="2"/>
    </row>
    <row r="2003" spans="1:8" x14ac:dyDescent="0.4">
      <c r="A2003" s="1"/>
      <c r="B2003" s="1"/>
      <c r="C2003" s="1"/>
      <c r="D2003" s="1"/>
      <c r="F2003" s="1"/>
      <c r="G2003" s="1"/>
      <c r="H2003" s="2"/>
    </row>
    <row r="2004" spans="1:8" x14ac:dyDescent="0.4">
      <c r="A2004" s="1"/>
      <c r="B2004" s="1"/>
      <c r="C2004" s="1"/>
      <c r="D2004" s="1"/>
      <c r="F2004" s="1"/>
      <c r="G2004" s="1"/>
      <c r="H2004" s="2"/>
    </row>
    <row r="2005" spans="1:8" x14ac:dyDescent="0.4">
      <c r="A2005" s="1"/>
      <c r="B2005" s="1"/>
      <c r="C2005" s="1"/>
      <c r="D2005" s="1"/>
      <c r="F2005" s="1"/>
      <c r="G2005" s="1"/>
      <c r="H2005" s="2"/>
    </row>
    <row r="2006" spans="1:8" x14ac:dyDescent="0.4">
      <c r="A2006" s="1"/>
      <c r="B2006" s="1"/>
      <c r="C2006" s="1"/>
      <c r="D2006" s="1"/>
      <c r="F2006" s="1"/>
      <c r="G2006" s="1"/>
      <c r="H2006" s="2"/>
    </row>
    <row r="2007" spans="1:8" x14ac:dyDescent="0.4">
      <c r="A2007" s="1"/>
      <c r="B2007" s="1"/>
      <c r="C2007" s="1"/>
      <c r="D2007" s="1"/>
      <c r="F2007" s="1"/>
      <c r="G2007" s="1"/>
      <c r="H2007" s="2"/>
    </row>
    <row r="2008" spans="1:8" x14ac:dyDescent="0.4">
      <c r="A2008" s="1"/>
      <c r="B2008" s="1"/>
      <c r="C2008" s="1"/>
      <c r="D2008" s="1"/>
      <c r="F2008" s="1"/>
      <c r="G2008" s="1"/>
      <c r="H2008" s="2"/>
    </row>
    <row r="2009" spans="1:8" x14ac:dyDescent="0.4">
      <c r="A2009" s="1"/>
      <c r="B2009" s="1"/>
      <c r="C2009" s="1"/>
      <c r="D2009" s="1"/>
      <c r="F2009" s="1"/>
      <c r="G2009" s="1"/>
      <c r="H2009" s="2"/>
    </row>
    <row r="2010" spans="1:8" x14ac:dyDescent="0.4">
      <c r="A2010" s="1"/>
      <c r="B2010" s="1"/>
      <c r="C2010" s="1"/>
      <c r="D2010" s="1"/>
      <c r="F2010" s="1"/>
      <c r="G2010" s="1"/>
      <c r="H2010" s="2"/>
    </row>
    <row r="2011" spans="1:8" x14ac:dyDescent="0.4">
      <c r="A2011" s="1"/>
      <c r="B2011" s="1"/>
      <c r="C2011" s="1"/>
      <c r="D2011" s="1"/>
      <c r="F2011" s="1"/>
      <c r="G2011" s="1"/>
      <c r="H2011" s="2"/>
    </row>
    <row r="2012" spans="1:8" x14ac:dyDescent="0.4">
      <c r="A2012" s="1"/>
      <c r="B2012" s="1"/>
      <c r="C2012" s="1"/>
      <c r="D2012" s="1"/>
      <c r="F2012" s="1"/>
      <c r="G2012" s="1"/>
      <c r="H2012" s="2"/>
    </row>
    <row r="2013" spans="1:8" x14ac:dyDescent="0.4">
      <c r="A2013" s="1"/>
      <c r="B2013" s="1"/>
      <c r="C2013" s="1"/>
      <c r="D2013" s="1"/>
      <c r="F2013" s="1"/>
      <c r="G2013" s="1"/>
      <c r="H2013" s="2"/>
    </row>
    <row r="2014" spans="1:8" x14ac:dyDescent="0.4">
      <c r="A2014" s="1"/>
      <c r="B2014" s="1"/>
      <c r="C2014" s="1"/>
      <c r="D2014" s="1"/>
      <c r="F2014" s="1"/>
      <c r="G2014" s="1"/>
      <c r="H2014" s="2"/>
    </row>
    <row r="2015" spans="1:8" x14ac:dyDescent="0.4">
      <c r="A2015" s="1"/>
      <c r="B2015" s="1"/>
      <c r="C2015" s="1"/>
      <c r="D2015" s="1"/>
      <c r="F2015" s="1"/>
      <c r="G2015" s="1"/>
      <c r="H2015" s="2"/>
    </row>
    <row r="2016" spans="1:8" x14ac:dyDescent="0.4">
      <c r="A2016" s="1"/>
      <c r="B2016" s="1"/>
      <c r="C2016" s="1"/>
      <c r="D2016" s="1"/>
      <c r="F2016" s="1"/>
      <c r="G2016" s="1"/>
      <c r="H2016" s="2"/>
    </row>
    <row r="2017" spans="1:8" x14ac:dyDescent="0.4">
      <c r="A2017" s="1"/>
      <c r="B2017" s="1"/>
      <c r="C2017" s="1"/>
      <c r="D2017" s="1"/>
      <c r="F2017" s="1"/>
      <c r="G2017" s="1"/>
      <c r="H2017" s="2"/>
    </row>
    <row r="2018" spans="1:8" x14ac:dyDescent="0.4">
      <c r="A2018" s="1"/>
      <c r="B2018" s="1"/>
      <c r="C2018" s="1"/>
      <c r="D2018" s="1"/>
      <c r="F2018" s="1"/>
      <c r="G2018" s="1"/>
      <c r="H2018" s="2"/>
    </row>
    <row r="2019" spans="1:8" x14ac:dyDescent="0.4">
      <c r="A2019" s="1"/>
      <c r="B2019" s="1"/>
      <c r="C2019" s="1"/>
      <c r="D2019" s="1"/>
      <c r="F2019" s="1"/>
      <c r="G2019" s="1"/>
      <c r="H2019" s="2"/>
    </row>
    <row r="2020" spans="1:8" x14ac:dyDescent="0.4">
      <c r="A2020" s="1"/>
      <c r="B2020" s="1"/>
      <c r="C2020" s="1"/>
      <c r="D2020" s="1"/>
      <c r="F2020" s="1"/>
      <c r="G2020" s="1"/>
      <c r="H2020" s="2"/>
    </row>
    <row r="2021" spans="1:8" x14ac:dyDescent="0.4">
      <c r="A2021" s="1"/>
      <c r="B2021" s="1"/>
      <c r="C2021" s="1"/>
      <c r="D2021" s="1"/>
      <c r="F2021" s="1"/>
      <c r="G2021" s="1"/>
      <c r="H2021" s="2"/>
    </row>
    <row r="2022" spans="1:8" x14ac:dyDescent="0.4">
      <c r="A2022" s="1"/>
      <c r="B2022" s="1"/>
      <c r="C2022" s="1"/>
      <c r="D2022" s="1"/>
      <c r="F2022" s="1"/>
      <c r="G2022" s="1"/>
      <c r="H2022" s="2"/>
    </row>
    <row r="2023" spans="1:8" x14ac:dyDescent="0.4">
      <c r="A2023" s="1"/>
      <c r="B2023" s="1"/>
      <c r="C2023" s="1"/>
      <c r="D2023" s="1"/>
      <c r="F2023" s="1"/>
      <c r="G2023" s="1"/>
      <c r="H2023" s="2"/>
    </row>
    <row r="2024" spans="1:8" x14ac:dyDescent="0.4">
      <c r="A2024" s="1"/>
      <c r="B2024" s="1"/>
      <c r="C2024" s="1"/>
      <c r="D2024" s="1"/>
      <c r="F2024" s="1"/>
      <c r="G2024" s="1"/>
      <c r="H2024" s="2"/>
    </row>
    <row r="2025" spans="1:8" x14ac:dyDescent="0.4">
      <c r="A2025" s="1"/>
      <c r="B2025" s="1"/>
      <c r="C2025" s="1"/>
      <c r="D2025" s="1"/>
      <c r="F2025" s="1"/>
      <c r="G2025" s="1"/>
      <c r="H2025" s="2"/>
    </row>
    <row r="2026" spans="1:8" x14ac:dyDescent="0.4">
      <c r="A2026" s="1"/>
      <c r="B2026" s="1"/>
      <c r="C2026" s="1"/>
      <c r="D2026" s="1"/>
      <c r="F2026" s="1"/>
      <c r="G2026" s="1"/>
      <c r="H2026" s="2"/>
    </row>
    <row r="2027" spans="1:8" x14ac:dyDescent="0.4">
      <c r="A2027" s="1"/>
      <c r="B2027" s="1"/>
      <c r="C2027" s="1"/>
      <c r="D2027" s="1"/>
      <c r="F2027" s="1"/>
      <c r="G2027" s="1"/>
      <c r="H2027" s="2"/>
    </row>
    <row r="2028" spans="1:8" x14ac:dyDescent="0.4">
      <c r="A2028" s="1"/>
      <c r="B2028" s="1"/>
      <c r="C2028" s="1"/>
      <c r="D2028" s="1"/>
      <c r="F2028" s="1"/>
      <c r="G2028" s="1"/>
      <c r="H2028" s="2"/>
    </row>
    <row r="2029" spans="1:8" x14ac:dyDescent="0.4">
      <c r="A2029" s="1"/>
      <c r="B2029" s="1"/>
      <c r="C2029" s="1"/>
      <c r="D2029" s="1"/>
      <c r="F2029" s="1"/>
      <c r="G2029" s="1"/>
      <c r="H2029" s="2"/>
    </row>
    <row r="2030" spans="1:8" x14ac:dyDescent="0.4">
      <c r="A2030" s="1"/>
      <c r="B2030" s="1"/>
      <c r="C2030" s="1"/>
      <c r="D2030" s="1"/>
      <c r="F2030" s="1"/>
      <c r="G2030" s="1"/>
      <c r="H2030" s="2"/>
    </row>
    <row r="2031" spans="1:8" x14ac:dyDescent="0.4">
      <c r="A2031" s="1"/>
      <c r="B2031" s="1"/>
      <c r="C2031" s="1"/>
      <c r="D2031" s="1"/>
      <c r="F2031" s="1"/>
      <c r="G2031" s="1"/>
      <c r="H2031" s="2"/>
    </row>
    <row r="2032" spans="1:8" x14ac:dyDescent="0.4">
      <c r="A2032" s="1"/>
      <c r="B2032" s="1"/>
      <c r="C2032" s="1"/>
      <c r="D2032" s="1"/>
      <c r="F2032" s="1"/>
      <c r="G2032" s="1"/>
      <c r="H2032" s="2"/>
    </row>
    <row r="2033" spans="1:8" x14ac:dyDescent="0.4">
      <c r="A2033" s="1"/>
      <c r="B2033" s="1"/>
      <c r="C2033" s="1"/>
      <c r="D2033" s="1"/>
      <c r="F2033" s="1"/>
      <c r="G2033" s="1"/>
      <c r="H2033" s="2"/>
    </row>
    <row r="2034" spans="1:8" x14ac:dyDescent="0.4">
      <c r="A2034" s="1"/>
      <c r="B2034" s="1"/>
      <c r="C2034" s="1"/>
      <c r="D2034" s="1"/>
      <c r="F2034" s="1"/>
      <c r="G2034" s="1"/>
      <c r="H2034" s="2"/>
    </row>
    <row r="2035" spans="1:8" x14ac:dyDescent="0.4">
      <c r="A2035" s="1"/>
      <c r="B2035" s="1"/>
      <c r="C2035" s="1"/>
      <c r="D2035" s="1"/>
      <c r="F2035" s="1"/>
      <c r="G2035" s="1"/>
      <c r="H2035" s="2"/>
    </row>
    <row r="2036" spans="1:8" x14ac:dyDescent="0.4">
      <c r="A2036" s="1"/>
      <c r="B2036" s="1"/>
      <c r="C2036" s="1"/>
      <c r="D2036" s="1"/>
      <c r="F2036" s="1"/>
      <c r="G2036" s="1"/>
      <c r="H2036" s="2"/>
    </row>
    <row r="2037" spans="1:8" x14ac:dyDescent="0.4">
      <c r="A2037" s="1"/>
      <c r="B2037" s="1"/>
      <c r="C2037" s="1"/>
      <c r="D2037" s="1"/>
      <c r="F2037" s="1"/>
      <c r="G2037" s="1"/>
      <c r="H2037" s="2"/>
    </row>
    <row r="2038" spans="1:8" x14ac:dyDescent="0.4">
      <c r="A2038" s="1"/>
      <c r="B2038" s="1"/>
      <c r="C2038" s="1"/>
      <c r="D2038" s="1"/>
      <c r="F2038" s="1"/>
      <c r="G2038" s="1"/>
      <c r="H2038" s="2"/>
    </row>
    <row r="2039" spans="1:8" x14ac:dyDescent="0.4">
      <c r="A2039" s="1"/>
      <c r="B2039" s="1"/>
      <c r="C2039" s="1"/>
      <c r="D2039" s="1"/>
      <c r="F2039" s="1"/>
      <c r="G2039" s="1"/>
      <c r="H2039" s="2"/>
    </row>
    <row r="2040" spans="1:8" x14ac:dyDescent="0.4">
      <c r="A2040" s="1"/>
      <c r="B2040" s="1"/>
      <c r="C2040" s="1"/>
      <c r="D2040" s="1"/>
      <c r="F2040" s="1"/>
      <c r="G2040" s="1"/>
      <c r="H2040" s="2"/>
    </row>
    <row r="2041" spans="1:8" x14ac:dyDescent="0.4">
      <c r="A2041" s="1"/>
      <c r="B2041" s="1"/>
      <c r="C2041" s="1"/>
      <c r="D2041" s="1"/>
      <c r="F2041" s="1"/>
      <c r="G2041" s="1"/>
      <c r="H2041" s="2"/>
    </row>
    <row r="2042" spans="1:8" x14ac:dyDescent="0.4">
      <c r="A2042" s="1"/>
      <c r="B2042" s="1"/>
      <c r="C2042" s="1"/>
      <c r="D2042" s="1"/>
      <c r="F2042" s="1"/>
      <c r="G2042" s="1"/>
      <c r="H2042" s="2"/>
    </row>
    <row r="2043" spans="1:8" x14ac:dyDescent="0.4">
      <c r="A2043" s="1"/>
      <c r="B2043" s="1"/>
      <c r="C2043" s="1"/>
      <c r="D2043" s="1"/>
      <c r="F2043" s="1"/>
      <c r="G2043" s="1"/>
      <c r="H2043" s="2"/>
    </row>
    <row r="2044" spans="1:8" x14ac:dyDescent="0.4">
      <c r="A2044" s="1"/>
      <c r="B2044" s="1"/>
      <c r="C2044" s="1"/>
      <c r="D2044" s="1"/>
      <c r="F2044" s="1"/>
      <c r="G2044" s="1"/>
      <c r="H2044" s="2"/>
    </row>
    <row r="2045" spans="1:8" x14ac:dyDescent="0.4">
      <c r="A2045" s="1"/>
      <c r="B2045" s="1"/>
      <c r="C2045" s="1"/>
      <c r="D2045" s="1"/>
      <c r="F2045" s="1"/>
      <c r="G2045" s="1"/>
      <c r="H2045" s="2"/>
    </row>
    <row r="2046" spans="1:8" x14ac:dyDescent="0.4">
      <c r="A2046" s="1"/>
      <c r="B2046" s="1"/>
      <c r="C2046" s="1"/>
      <c r="D2046" s="1"/>
      <c r="F2046" s="1"/>
      <c r="G2046" s="1"/>
      <c r="H2046" s="2"/>
    </row>
    <row r="2047" spans="1:8" x14ac:dyDescent="0.4">
      <c r="A2047" s="1"/>
      <c r="B2047" s="1"/>
      <c r="C2047" s="1"/>
      <c r="D2047" s="1"/>
      <c r="F2047" s="1"/>
      <c r="G2047" s="1"/>
      <c r="H2047" s="2"/>
    </row>
    <row r="2048" spans="1:8" x14ac:dyDescent="0.4">
      <c r="A2048" s="1"/>
      <c r="B2048" s="1"/>
      <c r="C2048" s="1"/>
      <c r="D2048" s="1"/>
      <c r="F2048" s="1"/>
      <c r="G2048" s="1"/>
      <c r="H2048" s="2"/>
    </row>
    <row r="2049" spans="1:8" x14ac:dyDescent="0.4">
      <c r="A2049" s="1"/>
      <c r="B2049" s="1"/>
      <c r="C2049" s="1"/>
      <c r="D2049" s="1"/>
      <c r="F2049" s="1"/>
      <c r="G2049" s="1"/>
      <c r="H2049" s="2"/>
    </row>
    <row r="2050" spans="1:8" x14ac:dyDescent="0.4">
      <c r="A2050" s="1"/>
      <c r="B2050" s="1"/>
      <c r="C2050" s="1"/>
      <c r="D2050" s="1"/>
      <c r="F2050" s="1"/>
      <c r="G2050" s="1"/>
      <c r="H2050" s="2"/>
    </row>
    <row r="2051" spans="1:8" x14ac:dyDescent="0.4">
      <c r="A2051" s="1"/>
      <c r="B2051" s="1"/>
      <c r="C2051" s="1"/>
      <c r="D2051" s="1"/>
      <c r="F2051" s="1"/>
      <c r="G2051" s="1"/>
      <c r="H2051" s="2"/>
    </row>
    <row r="2052" spans="1:8" x14ac:dyDescent="0.4">
      <c r="A2052" s="1"/>
      <c r="B2052" s="1"/>
      <c r="C2052" s="1"/>
      <c r="D2052" s="1"/>
      <c r="F2052" s="1"/>
      <c r="G2052" s="1"/>
      <c r="H2052" s="2"/>
    </row>
    <row r="2053" spans="1:8" x14ac:dyDescent="0.4">
      <c r="A2053" s="1"/>
      <c r="B2053" s="1"/>
      <c r="C2053" s="1"/>
      <c r="D2053" s="1"/>
      <c r="F2053" s="1"/>
      <c r="G2053" s="1"/>
      <c r="H2053" s="2"/>
    </row>
    <row r="2054" spans="1:8" x14ac:dyDescent="0.4">
      <c r="A2054" s="1"/>
      <c r="B2054" s="1"/>
      <c r="C2054" s="1"/>
      <c r="D2054" s="1"/>
      <c r="F2054" s="1"/>
      <c r="G2054" s="1"/>
      <c r="H2054" s="2"/>
    </row>
    <row r="2055" spans="1:8" x14ac:dyDescent="0.4">
      <c r="A2055" s="1"/>
      <c r="B2055" s="1"/>
      <c r="C2055" s="1"/>
      <c r="D2055" s="1"/>
      <c r="F2055" s="1"/>
      <c r="G2055" s="1"/>
      <c r="H2055" s="2"/>
    </row>
    <row r="2056" spans="1:8" x14ac:dyDescent="0.4">
      <c r="A2056" s="1"/>
      <c r="B2056" s="1"/>
      <c r="C2056" s="1"/>
      <c r="D2056" s="1"/>
      <c r="F2056" s="1"/>
      <c r="G2056" s="1"/>
      <c r="H2056" s="2"/>
    </row>
    <row r="2057" spans="1:8" x14ac:dyDescent="0.4">
      <c r="A2057" s="1"/>
      <c r="B2057" s="1"/>
      <c r="C2057" s="1"/>
      <c r="D2057" s="1"/>
      <c r="F2057" s="1"/>
      <c r="G2057" s="1"/>
      <c r="H2057" s="2"/>
    </row>
    <row r="2058" spans="1:8" x14ac:dyDescent="0.4">
      <c r="A2058" s="1"/>
      <c r="B2058" s="1"/>
      <c r="C2058" s="1"/>
      <c r="D2058" s="1"/>
      <c r="F2058" s="1"/>
      <c r="G2058" s="1"/>
      <c r="H2058" s="2"/>
    </row>
    <row r="2059" spans="1:8" x14ac:dyDescent="0.4">
      <c r="A2059" s="1"/>
      <c r="B2059" s="1"/>
      <c r="C2059" s="1"/>
      <c r="D2059" s="1"/>
      <c r="F2059" s="1"/>
      <c r="G2059" s="1"/>
      <c r="H2059" s="2"/>
    </row>
    <row r="2060" spans="1:8" x14ac:dyDescent="0.4">
      <c r="A2060" s="1"/>
      <c r="B2060" s="1"/>
      <c r="C2060" s="1"/>
      <c r="D2060" s="1"/>
      <c r="F2060" s="1"/>
      <c r="G2060" s="1"/>
      <c r="H2060" s="2"/>
    </row>
    <row r="2061" spans="1:8" x14ac:dyDescent="0.4">
      <c r="A2061" s="1"/>
      <c r="B2061" s="1"/>
      <c r="C2061" s="1"/>
      <c r="D2061" s="1"/>
      <c r="F2061" s="1"/>
      <c r="G2061" s="1"/>
      <c r="H2061" s="2"/>
    </row>
    <row r="2062" spans="1:8" x14ac:dyDescent="0.4">
      <c r="A2062" s="1"/>
      <c r="B2062" s="1"/>
      <c r="C2062" s="1"/>
      <c r="D2062" s="1"/>
      <c r="F2062" s="1"/>
      <c r="G2062" s="1"/>
      <c r="H2062" s="2"/>
    </row>
    <row r="2063" spans="1:8" x14ac:dyDescent="0.4">
      <c r="A2063" s="1"/>
      <c r="B2063" s="1"/>
      <c r="C2063" s="1"/>
      <c r="D2063" s="1"/>
      <c r="F2063" s="1"/>
      <c r="G2063" s="1"/>
      <c r="H2063" s="2"/>
    </row>
    <row r="2064" spans="1:8" x14ac:dyDescent="0.4">
      <c r="A2064" s="1"/>
      <c r="B2064" s="1"/>
      <c r="C2064" s="1"/>
      <c r="D2064" s="1"/>
      <c r="F2064" s="1"/>
      <c r="G2064" s="1"/>
      <c r="H2064" s="2"/>
    </row>
    <row r="2065" spans="1:8" x14ac:dyDescent="0.4">
      <c r="A2065" s="1"/>
      <c r="B2065" s="1"/>
      <c r="C2065" s="1"/>
      <c r="D2065" s="1"/>
      <c r="F2065" s="1"/>
      <c r="G2065" s="1"/>
      <c r="H2065" s="2"/>
    </row>
    <row r="2066" spans="1:8" x14ac:dyDescent="0.4">
      <c r="A2066" s="1"/>
      <c r="B2066" s="1"/>
      <c r="C2066" s="1"/>
      <c r="D2066" s="1"/>
      <c r="F2066" s="1"/>
      <c r="G2066" s="1"/>
      <c r="H2066" s="2"/>
    </row>
    <row r="2067" spans="1:8" x14ac:dyDescent="0.4">
      <c r="A2067" s="1"/>
      <c r="B2067" s="1"/>
      <c r="C2067" s="1"/>
      <c r="D2067" s="1"/>
      <c r="F2067" s="1"/>
      <c r="G2067" s="1"/>
      <c r="H2067" s="2"/>
    </row>
    <row r="2068" spans="1:8" x14ac:dyDescent="0.4">
      <c r="A2068" s="1"/>
      <c r="B2068" s="1"/>
      <c r="C2068" s="1"/>
      <c r="D2068" s="1"/>
      <c r="F2068" s="1"/>
      <c r="G2068" s="1"/>
      <c r="H2068" s="2"/>
    </row>
    <row r="2069" spans="1:8" x14ac:dyDescent="0.4">
      <c r="A2069" s="1"/>
      <c r="B2069" s="1"/>
      <c r="C2069" s="1"/>
      <c r="D2069" s="1"/>
      <c r="F2069" s="1"/>
      <c r="G2069" s="1"/>
      <c r="H2069" s="2"/>
    </row>
    <row r="2070" spans="1:8" x14ac:dyDescent="0.4">
      <c r="A2070" s="1"/>
      <c r="B2070" s="1"/>
      <c r="C2070" s="1"/>
      <c r="D2070" s="1"/>
      <c r="F2070" s="1"/>
      <c r="G2070" s="1"/>
      <c r="H2070" s="2"/>
    </row>
    <row r="2071" spans="1:8" x14ac:dyDescent="0.4">
      <c r="A2071" s="1"/>
      <c r="B2071" s="1"/>
      <c r="C2071" s="1"/>
      <c r="D2071" s="1"/>
      <c r="F2071" s="1"/>
      <c r="G2071" s="1"/>
      <c r="H2071" s="2"/>
    </row>
    <row r="2072" spans="1:8" x14ac:dyDescent="0.4">
      <c r="A2072" s="1"/>
      <c r="B2072" s="1"/>
      <c r="C2072" s="1"/>
      <c r="D2072" s="1"/>
      <c r="F2072" s="1"/>
      <c r="G2072" s="1"/>
      <c r="H2072" s="2"/>
    </row>
    <row r="2073" spans="1:8" x14ac:dyDescent="0.4">
      <c r="A2073" s="1"/>
      <c r="B2073" s="1"/>
      <c r="C2073" s="1"/>
      <c r="D2073" s="1"/>
      <c r="F2073" s="1"/>
      <c r="G2073" s="1"/>
      <c r="H2073" s="2"/>
    </row>
    <row r="2074" spans="1:8" x14ac:dyDescent="0.4">
      <c r="A2074" s="1"/>
      <c r="B2074" s="1"/>
      <c r="C2074" s="1"/>
      <c r="D2074" s="1"/>
      <c r="F2074" s="1"/>
      <c r="G2074" s="1"/>
      <c r="H2074" s="2"/>
    </row>
    <row r="2075" spans="1:8" x14ac:dyDescent="0.4">
      <c r="A2075" s="1"/>
      <c r="B2075" s="1"/>
      <c r="C2075" s="1"/>
      <c r="D2075" s="1"/>
      <c r="F2075" s="1"/>
      <c r="G2075" s="1"/>
      <c r="H2075" s="2"/>
    </row>
    <row r="2076" spans="1:8" x14ac:dyDescent="0.4">
      <c r="A2076" s="1"/>
      <c r="B2076" s="1"/>
      <c r="C2076" s="1"/>
      <c r="D2076" s="1"/>
      <c r="F2076" s="1"/>
      <c r="G2076" s="1"/>
      <c r="H2076" s="2"/>
    </row>
    <row r="2077" spans="1:8" x14ac:dyDescent="0.4">
      <c r="A2077" s="1"/>
      <c r="B2077" s="1"/>
      <c r="C2077" s="1"/>
      <c r="D2077" s="1"/>
      <c r="F2077" s="1"/>
      <c r="G2077" s="1"/>
      <c r="H2077" s="2"/>
    </row>
    <row r="2078" spans="1:8" x14ac:dyDescent="0.4">
      <c r="A2078" s="1"/>
      <c r="B2078" s="1"/>
      <c r="C2078" s="1"/>
      <c r="D2078" s="1"/>
      <c r="F2078" s="1"/>
      <c r="G2078" s="1"/>
      <c r="H2078" s="2"/>
    </row>
    <row r="2079" spans="1:8" x14ac:dyDescent="0.4">
      <c r="A2079" s="1"/>
      <c r="B2079" s="1"/>
      <c r="C2079" s="1"/>
      <c r="D2079" s="1"/>
      <c r="F2079" s="1"/>
      <c r="G2079" s="1"/>
      <c r="H2079" s="2"/>
    </row>
    <row r="2080" spans="1:8" x14ac:dyDescent="0.4">
      <c r="A2080" s="1"/>
      <c r="B2080" s="1"/>
      <c r="C2080" s="1"/>
      <c r="D2080" s="1"/>
      <c r="F2080" s="1"/>
      <c r="G2080" s="1"/>
      <c r="H2080" s="2"/>
    </row>
    <row r="2081" spans="1:8" x14ac:dyDescent="0.4">
      <c r="A2081" s="1"/>
      <c r="B2081" s="1"/>
      <c r="C2081" s="1"/>
      <c r="D2081" s="1"/>
      <c r="F2081" s="1"/>
      <c r="G2081" s="1"/>
      <c r="H2081" s="2"/>
    </row>
    <row r="2082" spans="1:8" x14ac:dyDescent="0.4">
      <c r="A2082" s="1"/>
      <c r="B2082" s="1"/>
      <c r="C2082" s="1"/>
      <c r="D2082" s="1"/>
      <c r="F2082" s="1"/>
      <c r="G2082" s="1"/>
      <c r="H2082" s="2"/>
    </row>
    <row r="2083" spans="1:8" x14ac:dyDescent="0.4">
      <c r="A2083" s="1"/>
      <c r="B2083" s="1"/>
      <c r="C2083" s="1"/>
      <c r="D2083" s="1"/>
      <c r="F2083" s="1"/>
      <c r="G2083" s="1"/>
      <c r="H2083" s="2"/>
    </row>
    <row r="2084" spans="1:8" x14ac:dyDescent="0.4">
      <c r="A2084" s="1"/>
      <c r="B2084" s="1"/>
      <c r="C2084" s="1"/>
      <c r="D2084" s="1"/>
      <c r="F2084" s="1"/>
      <c r="G2084" s="1"/>
      <c r="H2084" s="2"/>
    </row>
    <row r="2085" spans="1:8" x14ac:dyDescent="0.4">
      <c r="A2085" s="1"/>
      <c r="B2085" s="1"/>
      <c r="C2085" s="1"/>
      <c r="D2085" s="1"/>
      <c r="F2085" s="1"/>
      <c r="G2085" s="1"/>
      <c r="H2085" s="2"/>
    </row>
    <row r="2086" spans="1:8" x14ac:dyDescent="0.4">
      <c r="A2086" s="1"/>
      <c r="B2086" s="1"/>
      <c r="C2086" s="1"/>
      <c r="D2086" s="1"/>
      <c r="F2086" s="1"/>
      <c r="G2086" s="1"/>
      <c r="H2086" s="2"/>
    </row>
    <row r="2087" spans="1:8" x14ac:dyDescent="0.4">
      <c r="A2087" s="1"/>
      <c r="B2087" s="1"/>
      <c r="C2087" s="1"/>
      <c r="D2087" s="1"/>
      <c r="F2087" s="1"/>
      <c r="G2087" s="1"/>
      <c r="H2087" s="2"/>
    </row>
    <row r="2088" spans="1:8" x14ac:dyDescent="0.4">
      <c r="A2088" s="1"/>
      <c r="B2088" s="1"/>
      <c r="C2088" s="1"/>
      <c r="D2088" s="1"/>
      <c r="F2088" s="1"/>
      <c r="G2088" s="1"/>
      <c r="H2088" s="2"/>
    </row>
    <row r="2089" spans="1:8" x14ac:dyDescent="0.4">
      <c r="A2089" s="1"/>
      <c r="B2089" s="1"/>
      <c r="C2089" s="1"/>
      <c r="D2089" s="1"/>
      <c r="F2089" s="1"/>
      <c r="G2089" s="1"/>
      <c r="H2089" s="2"/>
    </row>
    <row r="2090" spans="1:8" x14ac:dyDescent="0.4">
      <c r="A2090" s="1"/>
      <c r="B2090" s="1"/>
      <c r="C2090" s="1"/>
      <c r="D2090" s="1"/>
      <c r="F2090" s="1"/>
      <c r="G2090" s="1"/>
      <c r="H2090" s="2"/>
    </row>
    <row r="2091" spans="1:8" x14ac:dyDescent="0.4">
      <c r="A2091" s="1"/>
      <c r="B2091" s="1"/>
      <c r="C2091" s="1"/>
      <c r="D2091" s="1"/>
      <c r="F2091" s="1"/>
      <c r="G2091" s="1"/>
      <c r="H2091" s="2"/>
    </row>
    <row r="2092" spans="1:8" x14ac:dyDescent="0.4">
      <c r="A2092" s="1"/>
      <c r="B2092" s="1"/>
      <c r="C2092" s="1"/>
      <c r="D2092" s="1"/>
      <c r="F2092" s="1"/>
      <c r="G2092" s="1"/>
      <c r="H2092" s="2"/>
    </row>
    <row r="2093" spans="1:8" x14ac:dyDescent="0.4">
      <c r="A2093" s="1"/>
      <c r="B2093" s="1"/>
      <c r="C2093" s="1"/>
      <c r="D2093" s="1"/>
      <c r="F2093" s="1"/>
      <c r="G2093" s="1"/>
      <c r="H2093" s="2"/>
    </row>
    <row r="2094" spans="1:8" x14ac:dyDescent="0.4">
      <c r="A2094" s="1"/>
      <c r="B2094" s="1"/>
      <c r="C2094" s="1"/>
      <c r="D2094" s="1"/>
      <c r="F2094" s="1"/>
      <c r="G2094" s="1"/>
      <c r="H2094" s="2"/>
    </row>
    <row r="2095" spans="1:8" x14ac:dyDescent="0.4">
      <c r="A2095" s="1"/>
      <c r="B2095" s="1"/>
      <c r="C2095" s="1"/>
      <c r="D2095" s="1"/>
      <c r="F2095" s="1"/>
      <c r="G2095" s="1"/>
      <c r="H2095" s="2"/>
    </row>
    <row r="2096" spans="1:8" x14ac:dyDescent="0.4">
      <c r="A2096" s="1"/>
      <c r="B2096" s="1"/>
      <c r="C2096" s="1"/>
      <c r="D2096" s="1"/>
      <c r="F2096" s="1"/>
      <c r="G2096" s="1"/>
      <c r="H2096" s="2"/>
    </row>
    <row r="2097" spans="1:8" x14ac:dyDescent="0.4">
      <c r="A2097" s="1"/>
      <c r="B2097" s="1"/>
      <c r="C2097" s="1"/>
      <c r="D2097" s="1"/>
      <c r="F2097" s="1"/>
      <c r="G2097" s="1"/>
      <c r="H2097" s="2"/>
    </row>
    <row r="2098" spans="1:8" x14ac:dyDescent="0.4">
      <c r="A2098" s="1"/>
      <c r="B2098" s="1"/>
      <c r="C2098" s="1"/>
      <c r="D2098" s="1"/>
      <c r="F2098" s="1"/>
      <c r="G2098" s="1"/>
      <c r="H2098" s="2"/>
    </row>
    <row r="2099" spans="1:8" x14ac:dyDescent="0.4">
      <c r="A2099" s="1"/>
      <c r="B2099" s="1"/>
      <c r="C2099" s="1"/>
      <c r="D2099" s="1"/>
      <c r="F2099" s="1"/>
      <c r="G2099" s="1"/>
      <c r="H2099" s="2"/>
    </row>
    <row r="2100" spans="1:8" x14ac:dyDescent="0.4">
      <c r="A2100" s="1"/>
      <c r="B2100" s="1"/>
      <c r="C2100" s="1"/>
      <c r="D2100" s="1"/>
      <c r="F2100" s="1"/>
      <c r="G2100" s="1"/>
      <c r="H2100" s="2"/>
    </row>
    <row r="2101" spans="1:8" x14ac:dyDescent="0.4">
      <c r="A2101" s="1"/>
      <c r="B2101" s="1"/>
      <c r="C2101" s="1"/>
      <c r="D2101" s="1"/>
      <c r="F2101" s="1"/>
      <c r="G2101" s="1"/>
      <c r="H2101" s="2"/>
    </row>
    <row r="2102" spans="1:8" x14ac:dyDescent="0.4">
      <c r="A2102" s="1"/>
      <c r="B2102" s="1"/>
      <c r="C2102" s="1"/>
      <c r="D2102" s="1"/>
      <c r="F2102" s="1"/>
      <c r="G2102" s="1"/>
      <c r="H2102" s="2"/>
    </row>
    <row r="2103" spans="1:8" x14ac:dyDescent="0.4">
      <c r="A2103" s="1"/>
      <c r="B2103" s="1"/>
      <c r="C2103" s="1"/>
      <c r="D2103" s="1"/>
      <c r="F2103" s="1"/>
      <c r="G2103" s="1"/>
      <c r="H2103" s="2"/>
    </row>
    <row r="2104" spans="1:8" x14ac:dyDescent="0.4">
      <c r="A2104" s="1"/>
      <c r="B2104" s="1"/>
      <c r="C2104" s="1"/>
      <c r="D2104" s="1"/>
      <c r="F2104" s="1"/>
      <c r="G2104" s="1"/>
      <c r="H2104" s="2"/>
    </row>
    <row r="2105" spans="1:8" x14ac:dyDescent="0.4">
      <c r="A2105" s="1"/>
      <c r="B2105" s="1"/>
      <c r="C2105" s="1"/>
      <c r="D2105" s="1"/>
      <c r="F2105" s="1"/>
      <c r="G2105" s="1"/>
      <c r="H2105" s="2"/>
    </row>
    <row r="2106" spans="1:8" x14ac:dyDescent="0.4">
      <c r="A2106" s="1"/>
      <c r="B2106" s="1"/>
      <c r="C2106" s="1"/>
      <c r="D2106" s="1"/>
      <c r="F2106" s="1"/>
      <c r="G2106" s="1"/>
      <c r="H2106" s="2"/>
    </row>
    <row r="2107" spans="1:8" x14ac:dyDescent="0.4">
      <c r="A2107" s="1"/>
      <c r="B2107" s="1"/>
      <c r="C2107" s="1"/>
      <c r="D2107" s="1"/>
      <c r="F2107" s="1"/>
      <c r="G2107" s="1"/>
      <c r="H2107" s="2"/>
    </row>
    <row r="2108" spans="1:8" x14ac:dyDescent="0.4">
      <c r="A2108" s="1"/>
      <c r="B2108" s="1"/>
      <c r="C2108" s="1"/>
      <c r="D2108" s="1"/>
      <c r="F2108" s="1"/>
      <c r="G2108" s="1"/>
      <c r="H2108" s="2"/>
    </row>
    <row r="2109" spans="1:8" x14ac:dyDescent="0.4">
      <c r="A2109" s="1"/>
      <c r="B2109" s="1"/>
      <c r="C2109" s="1"/>
      <c r="D2109" s="1"/>
      <c r="F2109" s="1"/>
      <c r="G2109" s="1"/>
      <c r="H2109" s="2"/>
    </row>
    <row r="2110" spans="1:8" x14ac:dyDescent="0.4">
      <c r="A2110" s="1"/>
      <c r="B2110" s="1"/>
      <c r="C2110" s="1"/>
      <c r="D2110" s="1"/>
      <c r="F2110" s="1"/>
      <c r="G2110" s="1"/>
      <c r="H2110" s="2"/>
    </row>
    <row r="2111" spans="1:8" x14ac:dyDescent="0.4">
      <c r="A2111" s="1"/>
      <c r="B2111" s="1"/>
      <c r="C2111" s="1"/>
      <c r="D2111" s="1"/>
      <c r="F2111" s="1"/>
      <c r="G2111" s="1"/>
      <c r="H2111" s="2"/>
    </row>
    <row r="2112" spans="1:8" x14ac:dyDescent="0.4">
      <c r="A2112" s="1"/>
      <c r="B2112" s="1"/>
      <c r="C2112" s="1"/>
      <c r="D2112" s="1"/>
      <c r="F2112" s="1"/>
      <c r="G2112" s="1"/>
      <c r="H2112" s="2"/>
    </row>
    <row r="2113" spans="1:8" x14ac:dyDescent="0.4">
      <c r="A2113" s="1"/>
      <c r="B2113" s="1"/>
      <c r="C2113" s="1"/>
      <c r="D2113" s="1"/>
      <c r="F2113" s="1"/>
      <c r="G2113" s="1"/>
      <c r="H2113" s="2"/>
    </row>
    <row r="2114" spans="1:8" x14ac:dyDescent="0.4">
      <c r="A2114" s="1"/>
      <c r="B2114" s="1"/>
      <c r="C2114" s="1"/>
      <c r="D2114" s="1"/>
      <c r="F2114" s="1"/>
      <c r="G2114" s="1"/>
      <c r="H2114" s="2"/>
    </row>
    <row r="2115" spans="1:8" x14ac:dyDescent="0.4">
      <c r="A2115" s="1"/>
      <c r="B2115" s="1"/>
      <c r="C2115" s="1"/>
      <c r="D2115" s="1"/>
      <c r="F2115" s="1"/>
      <c r="G2115" s="1"/>
      <c r="H2115" s="2"/>
    </row>
    <row r="2116" spans="1:8" x14ac:dyDescent="0.4">
      <c r="A2116" s="1"/>
      <c r="B2116" s="1"/>
      <c r="C2116" s="1"/>
      <c r="D2116" s="1"/>
      <c r="F2116" s="1"/>
      <c r="G2116" s="1"/>
      <c r="H2116" s="2"/>
    </row>
    <row r="2117" spans="1:8" x14ac:dyDescent="0.4">
      <c r="A2117" s="1"/>
      <c r="B2117" s="1"/>
      <c r="C2117" s="1"/>
      <c r="D2117" s="1"/>
      <c r="F2117" s="1"/>
      <c r="G2117" s="1"/>
      <c r="H2117" s="2"/>
    </row>
    <row r="2118" spans="1:8" x14ac:dyDescent="0.4">
      <c r="A2118" s="1"/>
      <c r="B2118" s="1"/>
      <c r="C2118" s="1"/>
      <c r="D2118" s="1"/>
      <c r="F2118" s="1"/>
      <c r="G2118" s="1"/>
      <c r="H2118" s="2"/>
    </row>
    <row r="2119" spans="1:8" x14ac:dyDescent="0.4">
      <c r="A2119" s="1"/>
      <c r="B2119" s="1"/>
      <c r="C2119" s="1"/>
      <c r="D2119" s="1"/>
      <c r="F2119" s="1"/>
      <c r="G2119" s="1"/>
      <c r="H2119" s="2"/>
    </row>
    <row r="2120" spans="1:8" x14ac:dyDescent="0.4">
      <c r="A2120" s="1"/>
      <c r="B2120" s="1"/>
      <c r="C2120" s="1"/>
      <c r="D2120" s="1"/>
      <c r="F2120" s="1"/>
      <c r="G2120" s="1"/>
      <c r="H2120" s="2"/>
    </row>
    <row r="2121" spans="1:8" x14ac:dyDescent="0.4">
      <c r="A2121" s="1"/>
      <c r="B2121" s="1"/>
      <c r="C2121" s="1"/>
      <c r="D2121" s="1"/>
      <c r="F2121" s="1"/>
      <c r="G2121" s="1"/>
      <c r="H2121" s="2"/>
    </row>
    <row r="2122" spans="1:8" x14ac:dyDescent="0.4">
      <c r="A2122" s="1"/>
      <c r="B2122" s="1"/>
      <c r="C2122" s="1"/>
      <c r="D2122" s="1"/>
      <c r="F2122" s="1"/>
      <c r="G2122" s="1"/>
      <c r="H2122" s="2"/>
    </row>
    <row r="2123" spans="1:8" x14ac:dyDescent="0.4">
      <c r="A2123" s="1"/>
      <c r="B2123" s="1"/>
      <c r="C2123" s="1"/>
      <c r="D2123" s="1"/>
      <c r="F2123" s="1"/>
      <c r="G2123" s="1"/>
      <c r="H2123" s="2"/>
    </row>
    <row r="2124" spans="1:8" x14ac:dyDescent="0.4">
      <c r="A2124" s="1"/>
      <c r="B2124" s="1"/>
      <c r="C2124" s="1"/>
      <c r="D2124" s="1"/>
      <c r="F2124" s="1"/>
      <c r="G2124" s="1"/>
      <c r="H2124" s="2"/>
    </row>
    <row r="2125" spans="1:8" x14ac:dyDescent="0.4">
      <c r="A2125" s="1"/>
      <c r="B2125" s="1"/>
      <c r="C2125" s="1"/>
      <c r="D2125" s="1"/>
      <c r="F2125" s="1"/>
      <c r="G2125" s="1"/>
      <c r="H2125" s="2"/>
    </row>
    <row r="2126" spans="1:8" x14ac:dyDescent="0.4">
      <c r="A2126" s="1"/>
      <c r="B2126" s="1"/>
      <c r="C2126" s="1"/>
      <c r="D2126" s="1"/>
      <c r="F2126" s="1"/>
      <c r="G2126" s="1"/>
      <c r="H2126" s="2"/>
    </row>
    <row r="2127" spans="1:8" x14ac:dyDescent="0.4">
      <c r="A2127" s="1"/>
      <c r="B2127" s="1"/>
      <c r="C2127" s="1"/>
      <c r="D2127" s="1"/>
      <c r="F2127" s="1"/>
      <c r="G2127" s="1"/>
      <c r="H2127" s="2"/>
    </row>
    <row r="2128" spans="1:8" x14ac:dyDescent="0.4">
      <c r="A2128" s="1"/>
      <c r="B2128" s="1"/>
      <c r="C2128" s="1"/>
      <c r="D2128" s="1"/>
      <c r="F2128" s="1"/>
      <c r="G2128" s="1"/>
      <c r="H2128" s="2"/>
    </row>
    <row r="2129" spans="1:8" x14ac:dyDescent="0.4">
      <c r="A2129" s="1"/>
      <c r="B2129" s="1"/>
      <c r="C2129" s="1"/>
      <c r="D2129" s="1"/>
      <c r="F2129" s="1"/>
      <c r="G2129" s="1"/>
      <c r="H2129" s="2"/>
    </row>
    <row r="2130" spans="1:8" x14ac:dyDescent="0.4">
      <c r="A2130" s="1"/>
      <c r="B2130" s="1"/>
      <c r="C2130" s="1"/>
      <c r="D2130" s="1"/>
      <c r="F2130" s="1"/>
      <c r="G2130" s="1"/>
      <c r="H2130" s="2"/>
    </row>
    <row r="2131" spans="1:8" x14ac:dyDescent="0.4">
      <c r="A2131" s="1"/>
      <c r="B2131" s="1"/>
      <c r="C2131" s="1"/>
      <c r="D2131" s="1"/>
      <c r="F2131" s="1"/>
      <c r="G2131" s="1"/>
      <c r="H2131" s="2"/>
    </row>
    <row r="2132" spans="1:8" x14ac:dyDescent="0.4">
      <c r="A2132" s="1"/>
      <c r="B2132" s="1"/>
      <c r="C2132" s="1"/>
      <c r="D2132" s="1"/>
      <c r="F2132" s="1"/>
      <c r="G2132" s="1"/>
      <c r="H2132" s="2"/>
    </row>
    <row r="2133" spans="1:8" x14ac:dyDescent="0.4">
      <c r="A2133" s="1"/>
      <c r="B2133" s="1"/>
      <c r="C2133" s="1"/>
      <c r="D2133" s="1"/>
      <c r="F2133" s="1"/>
      <c r="G2133" s="1"/>
      <c r="H2133" s="2"/>
    </row>
    <row r="2134" spans="1:8" x14ac:dyDescent="0.4">
      <c r="A2134" s="1"/>
      <c r="B2134" s="1"/>
      <c r="C2134" s="1"/>
      <c r="D2134" s="1"/>
      <c r="F2134" s="1"/>
      <c r="G2134" s="1"/>
      <c r="H2134" s="2"/>
    </row>
    <row r="2135" spans="1:8" x14ac:dyDescent="0.4">
      <c r="A2135" s="1"/>
      <c r="B2135" s="1"/>
      <c r="C2135" s="1"/>
      <c r="D2135" s="1"/>
      <c r="F2135" s="1"/>
      <c r="G2135" s="1"/>
      <c r="H2135" s="2"/>
    </row>
    <row r="2136" spans="1:8" x14ac:dyDescent="0.4">
      <c r="A2136" s="1"/>
      <c r="B2136" s="1"/>
      <c r="C2136" s="1"/>
      <c r="D2136" s="1"/>
      <c r="F2136" s="1"/>
      <c r="G2136" s="1"/>
      <c r="H2136" s="2"/>
    </row>
    <row r="2137" spans="1:8" x14ac:dyDescent="0.4">
      <c r="A2137" s="1"/>
      <c r="B2137" s="1"/>
      <c r="C2137" s="1"/>
      <c r="D2137" s="1"/>
      <c r="F2137" s="1"/>
      <c r="G2137" s="1"/>
      <c r="H2137" s="2"/>
    </row>
    <row r="2138" spans="1:8" x14ac:dyDescent="0.4">
      <c r="A2138" s="1"/>
      <c r="B2138" s="1"/>
      <c r="C2138" s="1"/>
      <c r="D2138" s="1"/>
      <c r="F2138" s="1"/>
      <c r="G2138" s="1"/>
      <c r="H2138" s="2"/>
    </row>
    <row r="2139" spans="1:8" x14ac:dyDescent="0.4">
      <c r="A2139" s="1"/>
      <c r="B2139" s="1"/>
      <c r="C2139" s="1"/>
      <c r="D2139" s="1"/>
      <c r="F2139" s="1"/>
      <c r="G2139" s="1"/>
      <c r="H2139" s="2"/>
    </row>
    <row r="2140" spans="1:8" x14ac:dyDescent="0.4">
      <c r="A2140" s="1"/>
      <c r="B2140" s="1"/>
      <c r="C2140" s="1"/>
      <c r="D2140" s="1"/>
      <c r="F2140" s="1"/>
      <c r="G2140" s="1"/>
      <c r="H2140" s="2"/>
    </row>
    <row r="2141" spans="1:8" x14ac:dyDescent="0.4">
      <c r="A2141" s="1"/>
      <c r="B2141" s="1"/>
      <c r="C2141" s="1"/>
      <c r="D2141" s="1"/>
      <c r="F2141" s="1"/>
      <c r="G2141" s="1"/>
      <c r="H2141" s="2"/>
    </row>
    <row r="2142" spans="1:8" x14ac:dyDescent="0.4">
      <c r="A2142" s="1"/>
      <c r="B2142" s="1"/>
      <c r="C2142" s="1"/>
      <c r="D2142" s="1"/>
      <c r="F2142" s="1"/>
      <c r="G2142" s="1"/>
      <c r="H2142" s="2"/>
    </row>
    <row r="2143" spans="1:8" x14ac:dyDescent="0.4">
      <c r="A2143" s="1"/>
      <c r="B2143" s="1"/>
      <c r="C2143" s="1"/>
      <c r="D2143" s="1"/>
      <c r="F2143" s="1"/>
      <c r="G2143" s="1"/>
      <c r="H2143" s="2"/>
    </row>
    <row r="2144" spans="1:8" x14ac:dyDescent="0.4">
      <c r="A2144" s="1"/>
      <c r="B2144" s="1"/>
      <c r="C2144" s="1"/>
      <c r="D2144" s="1"/>
      <c r="F2144" s="1"/>
      <c r="G2144" s="1"/>
      <c r="H2144" s="2"/>
    </row>
    <row r="2145" spans="1:8" x14ac:dyDescent="0.4">
      <c r="A2145" s="1"/>
      <c r="B2145" s="1"/>
      <c r="C2145" s="1"/>
      <c r="D2145" s="1"/>
      <c r="F2145" s="1"/>
      <c r="G2145" s="1"/>
      <c r="H2145" s="2"/>
    </row>
    <row r="2146" spans="1:8" x14ac:dyDescent="0.4">
      <c r="A2146" s="1"/>
      <c r="B2146" s="1"/>
      <c r="C2146" s="1"/>
      <c r="D2146" s="1"/>
      <c r="F2146" s="1"/>
      <c r="G2146" s="1"/>
      <c r="H2146" s="2"/>
    </row>
    <row r="2147" spans="1:8" x14ac:dyDescent="0.4">
      <c r="A2147" s="1"/>
      <c r="B2147" s="1"/>
      <c r="C2147" s="1"/>
      <c r="D2147" s="1"/>
      <c r="F2147" s="1"/>
      <c r="G2147" s="1"/>
      <c r="H2147" s="2"/>
    </row>
    <row r="2148" spans="1:8" x14ac:dyDescent="0.4">
      <c r="A2148" s="1"/>
      <c r="B2148" s="1"/>
      <c r="C2148" s="1"/>
      <c r="D2148" s="1"/>
      <c r="F2148" s="1"/>
      <c r="G2148" s="1"/>
      <c r="H2148" s="2"/>
    </row>
    <row r="2149" spans="1:8" x14ac:dyDescent="0.4">
      <c r="A2149" s="1"/>
      <c r="B2149" s="1"/>
      <c r="C2149" s="1"/>
      <c r="D2149" s="1"/>
      <c r="F2149" s="1"/>
      <c r="G2149" s="1"/>
      <c r="H2149" s="2"/>
    </row>
    <row r="2150" spans="1:8" x14ac:dyDescent="0.4">
      <c r="A2150" s="1"/>
      <c r="B2150" s="1"/>
      <c r="C2150" s="1"/>
      <c r="D2150" s="1"/>
      <c r="F2150" s="1"/>
      <c r="G2150" s="1"/>
      <c r="H2150" s="2"/>
    </row>
    <row r="2151" spans="1:8" x14ac:dyDescent="0.4">
      <c r="A2151" s="1"/>
      <c r="B2151" s="1"/>
      <c r="C2151" s="1"/>
      <c r="D2151" s="1"/>
      <c r="F2151" s="1"/>
      <c r="G2151" s="1"/>
      <c r="H2151" s="2"/>
    </row>
    <row r="2152" spans="1:8" x14ac:dyDescent="0.4">
      <c r="A2152" s="1"/>
      <c r="B2152" s="1"/>
      <c r="C2152" s="1"/>
      <c r="D2152" s="1"/>
      <c r="F2152" s="1"/>
      <c r="G2152" s="1"/>
      <c r="H2152" s="2"/>
    </row>
    <row r="2153" spans="1:8" x14ac:dyDescent="0.4">
      <c r="A2153" s="1"/>
      <c r="B2153" s="1"/>
      <c r="C2153" s="1"/>
      <c r="D2153" s="1"/>
      <c r="F2153" s="1"/>
      <c r="G2153" s="1"/>
      <c r="H2153" s="2"/>
    </row>
    <row r="2154" spans="1:8" x14ac:dyDescent="0.4">
      <c r="A2154" s="1"/>
      <c r="B2154" s="1"/>
      <c r="C2154" s="1"/>
      <c r="D2154" s="1"/>
      <c r="F2154" s="1"/>
      <c r="G2154" s="1"/>
      <c r="H2154" s="2"/>
    </row>
    <row r="2155" spans="1:8" x14ac:dyDescent="0.4">
      <c r="A2155" s="1"/>
      <c r="B2155" s="1"/>
      <c r="C2155" s="1"/>
      <c r="D2155" s="1"/>
      <c r="F2155" s="1"/>
      <c r="G2155" s="1"/>
      <c r="H2155" s="2"/>
    </row>
    <row r="2156" spans="1:8" x14ac:dyDescent="0.4">
      <c r="A2156" s="1"/>
      <c r="B2156" s="1"/>
      <c r="C2156" s="1"/>
      <c r="D2156" s="1"/>
      <c r="F2156" s="1"/>
      <c r="G2156" s="1"/>
      <c r="H2156" s="2"/>
    </row>
    <row r="2157" spans="1:8" x14ac:dyDescent="0.4">
      <c r="A2157" s="1"/>
      <c r="B2157" s="1"/>
      <c r="C2157" s="1"/>
      <c r="D2157" s="1"/>
      <c r="F2157" s="1"/>
      <c r="G2157" s="1"/>
      <c r="H2157" s="2"/>
    </row>
    <row r="2158" spans="1:8" x14ac:dyDescent="0.4">
      <c r="A2158" s="1"/>
      <c r="B2158" s="1"/>
      <c r="C2158" s="1"/>
      <c r="D2158" s="1"/>
      <c r="F2158" s="1"/>
      <c r="G2158" s="1"/>
      <c r="H2158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AD24D-E89C-4571-9DE4-B0A4F6DA00E8}">
  <sheetPr codeName="Sheet4"/>
  <dimension ref="A1:AB2169"/>
  <sheetViews>
    <sheetView topLeftCell="I1" zoomScale="71" workbookViewId="0">
      <selection activeCell="Q13" sqref="Q13"/>
    </sheetView>
  </sheetViews>
  <sheetFormatPr defaultRowHeight="12.3" x14ac:dyDescent="0.4"/>
  <cols>
    <col min="1" max="1" width="31.71875" bestFit="1" customWidth="1"/>
    <col min="2" max="2" width="17.5546875" bestFit="1" customWidth="1"/>
    <col min="3" max="11" width="17.5546875" customWidth="1"/>
    <col min="12" max="12" width="11" bestFit="1" customWidth="1"/>
    <col min="13" max="13" width="7.71875" bestFit="1" customWidth="1"/>
    <col min="14" max="14" width="9.44140625" bestFit="1" customWidth="1"/>
    <col min="15" max="15" width="31.27734375" bestFit="1" customWidth="1"/>
    <col min="16" max="16" width="31.27734375" customWidth="1"/>
    <col min="17" max="17" width="9.5546875" bestFit="1" customWidth="1"/>
    <col min="18" max="18" width="25.1640625" bestFit="1" customWidth="1"/>
    <col min="19" max="19" width="23.27734375" bestFit="1" customWidth="1"/>
    <col min="20" max="20" width="8.71875" bestFit="1" customWidth="1"/>
    <col min="21" max="21" width="8" bestFit="1" customWidth="1"/>
    <col min="22" max="22" width="8.44140625" bestFit="1" customWidth="1"/>
    <col min="23" max="23" width="14.44140625" bestFit="1" customWidth="1"/>
    <col min="24" max="24" width="14.44140625" customWidth="1"/>
    <col min="25" max="25" width="9.83203125" bestFit="1" customWidth="1"/>
  </cols>
  <sheetData>
    <row r="1" spans="1:28" s="7" customFormat="1" x14ac:dyDescent="0.4">
      <c r="A1" s="7" t="s">
        <v>785</v>
      </c>
      <c r="B1" s="7" t="s">
        <v>786</v>
      </c>
      <c r="C1" s="7" t="s">
        <v>787</v>
      </c>
      <c r="D1" s="7" t="s">
        <v>788</v>
      </c>
      <c r="E1" s="7" t="s">
        <v>789</v>
      </c>
      <c r="F1" s="7" t="s">
        <v>790</v>
      </c>
      <c r="G1" s="7" t="s">
        <v>907</v>
      </c>
      <c r="H1" s="7" t="s">
        <v>908</v>
      </c>
      <c r="I1" s="7" t="s">
        <v>791</v>
      </c>
      <c r="J1" s="7" t="s">
        <v>792</v>
      </c>
      <c r="K1" s="7" t="s">
        <v>793</v>
      </c>
      <c r="L1" s="7" t="s">
        <v>0</v>
      </c>
      <c r="M1" s="7" t="s">
        <v>676</v>
      </c>
      <c r="N1" s="7" t="s">
        <v>677</v>
      </c>
      <c r="O1" s="7" t="s">
        <v>678</v>
      </c>
      <c r="P1" s="7" t="s">
        <v>794</v>
      </c>
      <c r="Q1" s="7" t="s">
        <v>795</v>
      </c>
      <c r="R1" s="7" t="s">
        <v>796</v>
      </c>
      <c r="S1" s="7" t="s">
        <v>797</v>
      </c>
      <c r="T1" s="7" t="s">
        <v>679</v>
      </c>
      <c r="U1" s="7" t="s">
        <v>680</v>
      </c>
      <c r="V1" s="7" t="s">
        <v>681</v>
      </c>
      <c r="W1" s="7" t="s">
        <v>798</v>
      </c>
      <c r="X1" s="7" t="s">
        <v>799</v>
      </c>
      <c r="Y1" s="7" t="s">
        <v>682</v>
      </c>
      <c r="Z1" s="7" t="s">
        <v>800</v>
      </c>
      <c r="AA1" s="7" t="s">
        <v>801</v>
      </c>
    </row>
    <row r="2" spans="1:28" ht="14.4" x14ac:dyDescent="0.55000000000000004">
      <c r="A2" t="str">
        <f>VLOOKUP(L2,Customers!$A$2:$B$92,2,FALSE)</f>
        <v>Vins et alcools Chevalier</v>
      </c>
      <c r="B2" t="str">
        <f>VLOOKUP(L2,Customers!$A$2:$C$92,3,TRUE)</f>
        <v>Paul Henriot</v>
      </c>
      <c r="C2" t="str">
        <f>LEFT(B2,FIND(" ",B2)-1)</f>
        <v>Paul</v>
      </c>
      <c r="D2" s="8" t="str">
        <f>RIGHT(B2,LEN(B2)-FIND(" ",B2))</f>
        <v>Henriot</v>
      </c>
      <c r="E2" s="8" t="str">
        <f>_xlfn.CONCAT(D2,", ",C2)</f>
        <v>Henriot, Paul</v>
      </c>
      <c r="F2" s="8" t="str">
        <f>D2&amp;", "&amp;C2</f>
        <v>Henriot, Paul</v>
      </c>
      <c r="G2" s="8" t="str">
        <f>IF(OR(W2&gt;$W$2166,W2&lt;$W$2167),"outlier","not an outlier")</f>
        <v>outlier</v>
      </c>
      <c r="H2" s="8" t="str">
        <f>IF(OR(W2&gt;$W$2166,W2&lt;$W$2167),"outlier",IF(OR(W2&gt;$W$2168,W2&lt;$W$2169),"moderate","Not"))</f>
        <v>outlier</v>
      </c>
      <c r="I2" s="8" t="str">
        <f>IF(OR(W2&gt;$W$2166,W2&lt;$W$2167),"yes","no")</f>
        <v>yes</v>
      </c>
      <c r="J2" s="10" t="str">
        <f>IF(AND(W2&lt;=$W$2166,W2&gt;=$W$2167),"no","yes")</f>
        <v>yes</v>
      </c>
      <c r="K2" s="10" t="str">
        <f>IF(OR(W2&gt;$W$2166,W2&lt;$W$2167),"yes",IF(OR(W2&gt;$W$2168,W2&lt;$W$2169),"moderate","no"))</f>
        <v>yes</v>
      </c>
      <c r="L2" t="s">
        <v>626</v>
      </c>
      <c r="M2">
        <v>10248</v>
      </c>
      <c r="N2">
        <v>11</v>
      </c>
      <c r="O2" t="s">
        <v>683</v>
      </c>
      <c r="P2" t="str">
        <f>L2&amp;"_"&amp;M2&amp;"_"&amp;O2</f>
        <v>VINET_10248_Queso Cabrales</v>
      </c>
      <c r="Q2" t="str">
        <f>LEFT(RIGHT(P2,LEN(P2)-FIND("_",P2)), FIND("_",P2)-1)</f>
        <v>10248</v>
      </c>
      <c r="R2" t="str">
        <f>MID(P2,FIND("_",P2)+1,FIND("_",P2,FIND("_",P2))-1)</f>
        <v>10248</v>
      </c>
      <c r="S2" t="str">
        <f>MID(P2,FIND("_",P2,FIND("_",P2)+1)+1,LEN(P2))</f>
        <v>Queso Cabrales</v>
      </c>
      <c r="T2">
        <v>14</v>
      </c>
      <c r="U2">
        <v>12</v>
      </c>
      <c r="V2">
        <v>0</v>
      </c>
      <c r="W2">
        <v>9999</v>
      </c>
      <c r="X2" t="str">
        <f>IF(YEAR(Y2)&gt;=1996,"yes","No")</f>
        <v>No</v>
      </c>
      <c r="Y2" s="2">
        <v>34550</v>
      </c>
      <c r="Z2" t="str">
        <f>IF(Y2&gt;=DATE(1996,1,1), IF(Y2&lt;DATE(1996,4,1),"1st Q 1996",""),"")</f>
        <v/>
      </c>
      <c r="AA2" t="str">
        <f>IF(Y2&lt;DATE(1996,1,1),"", IF(Y2&lt;DATE(1996,4,1),"1st Q 1996",IF(Y2&lt;DATE(1996,7,1),"2nd Q 1996","")))</f>
        <v/>
      </c>
      <c r="AB2" t="str" cm="1">
        <f t="array" ref="AB2">_xlfn.IFS(Y2&lt;DATE(1996,1,1),"",Y2&lt;DATE(1996,4,1),"Q1",Y2&lt;DATE(1996,7,1),"Q2",Y2&gt;=DATE(1996,7,1),"")</f>
        <v/>
      </c>
    </row>
    <row r="3" spans="1:28" ht="14.4" x14ac:dyDescent="0.55000000000000004">
      <c r="A3" t="str">
        <f>VLOOKUP(L3,Customers!$A$2:$B$92,2,FALSE)</f>
        <v>Vins et alcools Chevalier</v>
      </c>
      <c r="B3" t="str">
        <f>VLOOKUP(L3,Customers!$A$2:$C$92,3,TRUE)</f>
        <v>Paul Henriot</v>
      </c>
      <c r="C3" t="str">
        <f t="shared" ref="C3:C66" si="0">LEFT(B3,FIND(" ",B3)-1)</f>
        <v>Paul</v>
      </c>
      <c r="D3" s="8" t="str">
        <f t="shared" ref="D3:D66" si="1">RIGHT(B3,LEN(B3)-FIND(" ",B3))</f>
        <v>Henriot</v>
      </c>
      <c r="E3" s="8" t="str">
        <f t="shared" ref="E3:E66" si="2">_xlfn.CONCAT(D3,", ",C3)</f>
        <v>Henriot, Paul</v>
      </c>
      <c r="F3" s="8" t="str">
        <f t="shared" ref="F3:F66" si="3">D3&amp;", "&amp;C3</f>
        <v>Henriot, Paul</v>
      </c>
      <c r="G3" s="8" t="str">
        <f t="shared" ref="G3:G66" si="4">IF(OR(W3&gt;$W$2166,W3&lt;$W$2167),"outlier","not an outlier")</f>
        <v>not an outlier</v>
      </c>
      <c r="H3" s="8" t="str">
        <f t="shared" ref="H3:H66" si="5">IF(OR(W3&gt;$W$2166,W3&lt;$W$2167),"outlier",IF(OR(W3&gt;$W$2168,W3&lt;$W$2169),"moderate","Not"))</f>
        <v>moderate</v>
      </c>
      <c r="I3" s="8" t="str">
        <f>IF(OR(W3&gt;$W$2166,W3&lt;$W$2167),"yes","no")</f>
        <v>no</v>
      </c>
      <c r="J3" s="10" t="str">
        <f t="shared" ref="J3:J66" si="6">IF(AND(W3&lt;=$W$2166,W3&gt;=$W$2167),"no","yes")</f>
        <v>no</v>
      </c>
      <c r="K3" s="10" t="str">
        <f t="shared" ref="K3:K66" si="7">IF(OR(W3&gt;$W$2166,W3&lt;$W$2167),"yes",IF(OR(W3&gt;$W$2168,W3&lt;$W$2169),"moderate","no"))</f>
        <v>moderate</v>
      </c>
      <c r="L3" t="s">
        <v>626</v>
      </c>
      <c r="M3">
        <v>10248</v>
      </c>
      <c r="N3">
        <v>42</v>
      </c>
      <c r="O3" t="s">
        <v>684</v>
      </c>
      <c r="P3" t="str">
        <f t="shared" ref="P3:P66" si="8">L3&amp;"_"&amp;M3&amp;"_"&amp;O3</f>
        <v>VINET_10248_Singaporean Hokkien Fried Mee</v>
      </c>
      <c r="Q3" t="str">
        <f t="shared" ref="Q3:Q66" si="9">LEFT(RIGHT(P3,LEN(P3)-FIND("_",P3)), FIND("_",P3)-1)</f>
        <v>10248</v>
      </c>
      <c r="R3" t="str">
        <f t="shared" ref="R3:R66" si="10">MID(P3,FIND("_",P3)+1,FIND("_",P3,FIND("_",P3))-1)</f>
        <v>10248</v>
      </c>
      <c r="S3" t="str">
        <f t="shared" ref="S3:S66" si="11">MID(P3,FIND("_",P3,FIND("_",P3)+1)+1,LEN(P3))</f>
        <v>Singaporean Hokkien Fried Mee</v>
      </c>
      <c r="T3">
        <v>9.8000000000000007</v>
      </c>
      <c r="U3">
        <v>10</v>
      </c>
      <c r="V3">
        <v>0</v>
      </c>
      <c r="W3">
        <v>3000</v>
      </c>
      <c r="X3" t="str">
        <f t="shared" ref="X3:X66" si="12">IF(YEAR(Y3)&gt;=1996,"yes","No")</f>
        <v>No</v>
      </c>
      <c r="Y3" s="2">
        <v>34550</v>
      </c>
      <c r="Z3" t="str">
        <f t="shared" ref="Z3:Z64" si="13">IF(Y3&gt;=DATE(1996,1,1), IF(Y3&lt;DATE(1996,4,1),"1st Q 1996",""),"")</f>
        <v/>
      </c>
      <c r="AA3" t="str">
        <f t="shared" ref="AA3:AA66" si="14">IF(Y3&lt;DATE(1996,1,1),"", IF(Y3&lt;DATE(1996,4,1),"1st Q 1996",IF(Y3&lt;DATE(1996,7,1),"2nd Q 1996","")))</f>
        <v/>
      </c>
      <c r="AB3" t="str" cm="1">
        <f t="array" ref="AB3">_xlfn.IFS(Y3&lt;DATE(1996,1,1),"",Y3&lt;DATE(1996,4,1),"Q1",Y3&lt;DATE(1996,7,1),"Q2",Y3&gt;=DATE(1996,7,1),"")</f>
        <v/>
      </c>
    </row>
    <row r="4" spans="1:28" ht="14.4" x14ac:dyDescent="0.55000000000000004">
      <c r="A4" t="str">
        <f>VLOOKUP(L4,Customers!$A$2:$B$92,2,FALSE)</f>
        <v>Vins et alcools Chevalier</v>
      </c>
      <c r="B4" t="str">
        <f>VLOOKUP(L4,Customers!$A$2:$C$92,3,TRUE)</f>
        <v>Paul Henriot</v>
      </c>
      <c r="C4" t="str">
        <f t="shared" si="0"/>
        <v>Paul</v>
      </c>
      <c r="D4" s="8" t="str">
        <f t="shared" si="1"/>
        <v>Henriot</v>
      </c>
      <c r="E4" s="8" t="str">
        <f t="shared" si="2"/>
        <v>Henriot, Paul</v>
      </c>
      <c r="F4" s="8" t="str">
        <f t="shared" si="3"/>
        <v>Henriot, Paul</v>
      </c>
      <c r="G4" s="8" t="str">
        <f t="shared" si="4"/>
        <v>not an outlier</v>
      </c>
      <c r="H4" s="8" t="str">
        <f t="shared" si="5"/>
        <v>Not</v>
      </c>
      <c r="I4" s="8" t="str">
        <f t="shared" ref="I4:I67" si="15">IF(OR(W4&gt;$W$2166,W4&lt;$W$2167),"yes","no")</f>
        <v>no</v>
      </c>
      <c r="J4" s="10" t="str">
        <f t="shared" si="6"/>
        <v>no</v>
      </c>
      <c r="K4" s="10" t="str">
        <f t="shared" si="7"/>
        <v>no</v>
      </c>
      <c r="L4" t="s">
        <v>626</v>
      </c>
      <c r="M4">
        <v>10248</v>
      </c>
      <c r="N4">
        <v>72</v>
      </c>
      <c r="O4" t="s">
        <v>685</v>
      </c>
      <c r="P4" t="str">
        <f t="shared" si="8"/>
        <v>VINET_10248_Mozzarella di Giovanni</v>
      </c>
      <c r="Q4" t="str">
        <f t="shared" si="9"/>
        <v>10248</v>
      </c>
      <c r="R4" t="str">
        <f t="shared" si="10"/>
        <v>10248</v>
      </c>
      <c r="S4" t="str">
        <f t="shared" si="11"/>
        <v>Mozzarella di Giovanni</v>
      </c>
      <c r="T4">
        <v>34.799999999999997</v>
      </c>
      <c r="U4">
        <v>5</v>
      </c>
      <c r="V4">
        <v>0</v>
      </c>
      <c r="W4">
        <f t="shared" ref="W4:W66" si="16">T4*U4*(1-V4)</f>
        <v>174</v>
      </c>
      <c r="X4" t="str">
        <f t="shared" si="12"/>
        <v>No</v>
      </c>
      <c r="Y4" s="2">
        <v>34550</v>
      </c>
      <c r="Z4" t="str">
        <f t="shared" si="13"/>
        <v/>
      </c>
      <c r="AA4" t="str">
        <f t="shared" si="14"/>
        <v/>
      </c>
      <c r="AB4" t="str" cm="1">
        <f t="array" ref="AB4">_xlfn.IFS(Y4&lt;DATE(1996,1,1),"",Y4&lt;DATE(1996,4,1),"Q1",Y4&lt;DATE(1996,7,1),"Q2",Y4&gt;=DATE(1996,7,1),"")</f>
        <v/>
      </c>
    </row>
    <row r="5" spans="1:28" ht="14.4" x14ac:dyDescent="0.55000000000000004">
      <c r="A5" t="str">
        <f>VLOOKUP(L5,Customers!$A$2:$B$92,2,FALSE)</f>
        <v>Toms Spezialitäten</v>
      </c>
      <c r="B5" t="str">
        <f>VLOOKUP(L5,Customers!$A$2:$C$92,3,TRUE)</f>
        <v>Karin Josephs</v>
      </c>
      <c r="C5" t="str">
        <f t="shared" si="0"/>
        <v>Karin</v>
      </c>
      <c r="D5" t="str">
        <f t="shared" si="1"/>
        <v>Josephs</v>
      </c>
      <c r="E5" t="str">
        <f t="shared" si="2"/>
        <v>Josephs, Karin</v>
      </c>
      <c r="F5" s="8" t="str">
        <f t="shared" si="3"/>
        <v>Josephs, Karin</v>
      </c>
      <c r="G5" s="8" t="str">
        <f t="shared" si="4"/>
        <v>not an outlier</v>
      </c>
      <c r="H5" s="8" t="str">
        <f t="shared" si="5"/>
        <v>Not</v>
      </c>
      <c r="I5" s="8" t="str">
        <f t="shared" si="15"/>
        <v>no</v>
      </c>
      <c r="J5" s="10" t="str">
        <f t="shared" si="6"/>
        <v>no</v>
      </c>
      <c r="K5" s="10" t="str">
        <f t="shared" si="7"/>
        <v>no</v>
      </c>
      <c r="L5" t="s">
        <v>586</v>
      </c>
      <c r="M5">
        <v>10249</v>
      </c>
      <c r="N5">
        <v>14</v>
      </c>
      <c r="O5" t="s">
        <v>686</v>
      </c>
      <c r="P5" t="str">
        <f t="shared" si="8"/>
        <v>TOMSP_10249_Tofu</v>
      </c>
      <c r="Q5" t="str">
        <f t="shared" si="9"/>
        <v>10249</v>
      </c>
      <c r="R5" t="str">
        <f t="shared" si="10"/>
        <v>10249</v>
      </c>
      <c r="S5" t="str">
        <f t="shared" si="11"/>
        <v>Tofu</v>
      </c>
      <c r="T5">
        <v>18.600000000000001</v>
      </c>
      <c r="U5">
        <v>9</v>
      </c>
      <c r="V5">
        <v>0</v>
      </c>
      <c r="W5">
        <f t="shared" si="16"/>
        <v>167.4</v>
      </c>
      <c r="X5" t="str">
        <f t="shared" si="12"/>
        <v>No</v>
      </c>
      <c r="Y5" s="2">
        <v>34551</v>
      </c>
      <c r="Z5" t="str">
        <f t="shared" si="13"/>
        <v/>
      </c>
      <c r="AA5" t="str">
        <f t="shared" si="14"/>
        <v/>
      </c>
      <c r="AB5" t="str" cm="1">
        <f t="array" ref="AB5">_xlfn.IFS(Y5&lt;DATE(1996,1,1),"",Y5&lt;DATE(1996,4,1),"Q1",Y5&lt;DATE(1996,7,1),"Q2",Y5&gt;=DATE(1996,7,1),"")</f>
        <v/>
      </c>
    </row>
    <row r="6" spans="1:28" ht="14.4" x14ac:dyDescent="0.55000000000000004">
      <c r="A6" t="str">
        <f>VLOOKUP(L6,Customers!$A$2:$B$92,2,FALSE)</f>
        <v>Toms Spezialitäten</v>
      </c>
      <c r="B6" t="str">
        <f>VLOOKUP(L6,Customers!$A$2:$C$92,3,TRUE)</f>
        <v>Karin Josephs</v>
      </c>
      <c r="C6" t="str">
        <f t="shared" si="0"/>
        <v>Karin</v>
      </c>
      <c r="D6" t="str">
        <f t="shared" si="1"/>
        <v>Josephs</v>
      </c>
      <c r="E6" t="str">
        <f t="shared" si="2"/>
        <v>Josephs, Karin</v>
      </c>
      <c r="F6" s="8" t="str">
        <f t="shared" si="3"/>
        <v>Josephs, Karin</v>
      </c>
      <c r="G6" s="8" t="str">
        <f t="shared" si="4"/>
        <v>not an outlier</v>
      </c>
      <c r="H6" s="8" t="str">
        <f t="shared" si="5"/>
        <v>Not</v>
      </c>
      <c r="I6" s="8" t="str">
        <f t="shared" si="15"/>
        <v>no</v>
      </c>
      <c r="J6" s="10" t="str">
        <f t="shared" si="6"/>
        <v>no</v>
      </c>
      <c r="K6" s="10" t="str">
        <f t="shared" si="7"/>
        <v>no</v>
      </c>
      <c r="L6" t="s">
        <v>586</v>
      </c>
      <c r="M6">
        <v>10249</v>
      </c>
      <c r="N6">
        <v>51</v>
      </c>
      <c r="O6" t="s">
        <v>687</v>
      </c>
      <c r="P6" t="str">
        <f t="shared" si="8"/>
        <v>TOMSP_10249_Manjimup Dried Apples</v>
      </c>
      <c r="Q6" t="str">
        <f t="shared" si="9"/>
        <v>10249</v>
      </c>
      <c r="R6" t="str">
        <f t="shared" si="10"/>
        <v>10249</v>
      </c>
      <c r="S6" t="str">
        <f t="shared" si="11"/>
        <v>Manjimup Dried Apples</v>
      </c>
      <c r="T6">
        <v>42.4</v>
      </c>
      <c r="U6">
        <v>40</v>
      </c>
      <c r="V6">
        <v>0</v>
      </c>
      <c r="W6">
        <f t="shared" si="16"/>
        <v>1696</v>
      </c>
      <c r="X6" t="str">
        <f t="shared" si="12"/>
        <v>No</v>
      </c>
      <c r="Y6" s="2">
        <v>34551</v>
      </c>
      <c r="Z6" t="str">
        <f t="shared" si="13"/>
        <v/>
      </c>
      <c r="AA6" t="str">
        <f t="shared" si="14"/>
        <v/>
      </c>
      <c r="AB6" t="str" cm="1">
        <f t="array" ref="AB6">_xlfn.IFS(Y6&lt;DATE(1996,1,1),"",Y6&lt;DATE(1996,4,1),"Q1",Y6&lt;DATE(1996,7,1),"Q2",Y6&gt;=DATE(1996,7,1),"")</f>
        <v/>
      </c>
    </row>
    <row r="7" spans="1:28" ht="14.4" x14ac:dyDescent="0.55000000000000004">
      <c r="A7" t="str">
        <f>VLOOKUP(L7,Customers!$A$2:$B$92,2,FALSE)</f>
        <v>Hanari Carnes</v>
      </c>
      <c r="B7" t="str">
        <f>VLOOKUP(L7,Customers!$A$2:$C$92,3,TRUE)</f>
        <v>Mario Pontes</v>
      </c>
      <c r="C7" t="str">
        <f t="shared" si="0"/>
        <v>Mario</v>
      </c>
      <c r="D7" t="str">
        <f t="shared" si="1"/>
        <v>Pontes</v>
      </c>
      <c r="E7" t="str">
        <f t="shared" si="2"/>
        <v>Pontes, Mario</v>
      </c>
      <c r="F7" s="8" t="str">
        <f t="shared" si="3"/>
        <v>Pontes, Mario</v>
      </c>
      <c r="G7" s="8" t="str">
        <f t="shared" si="4"/>
        <v>not an outlier</v>
      </c>
      <c r="H7" s="8" t="str">
        <f t="shared" si="5"/>
        <v>Not</v>
      </c>
      <c r="I7" s="8" t="str">
        <f t="shared" si="15"/>
        <v>no</v>
      </c>
      <c r="J7" s="10" t="str">
        <f t="shared" si="6"/>
        <v>no</v>
      </c>
      <c r="K7" s="10" t="str">
        <f t="shared" si="7"/>
        <v>no</v>
      </c>
      <c r="L7" t="s">
        <v>264</v>
      </c>
      <c r="M7">
        <v>10250</v>
      </c>
      <c r="N7">
        <v>41</v>
      </c>
      <c r="O7" t="s">
        <v>688</v>
      </c>
      <c r="P7" t="str">
        <f t="shared" si="8"/>
        <v>HANAR_10250_Jack's New England Clam Chowder</v>
      </c>
      <c r="Q7" t="str">
        <f t="shared" si="9"/>
        <v>10250</v>
      </c>
      <c r="R7" t="str">
        <f t="shared" si="10"/>
        <v>10250</v>
      </c>
      <c r="S7" t="str">
        <f t="shared" si="11"/>
        <v>Jack's New England Clam Chowder</v>
      </c>
      <c r="T7">
        <v>7.7</v>
      </c>
      <c r="U7">
        <v>10</v>
      </c>
      <c r="V7">
        <v>0</v>
      </c>
      <c r="W7">
        <f t="shared" si="16"/>
        <v>77</v>
      </c>
      <c r="X7" t="str">
        <f t="shared" si="12"/>
        <v>No</v>
      </c>
      <c r="Y7" s="2">
        <v>34554</v>
      </c>
      <c r="Z7" t="str">
        <f t="shared" si="13"/>
        <v/>
      </c>
      <c r="AA7" t="str">
        <f t="shared" si="14"/>
        <v/>
      </c>
      <c r="AB7" t="str" cm="1">
        <f t="array" ref="AB7">_xlfn.IFS(Y7&lt;DATE(1996,1,1),"",Y7&lt;DATE(1996,4,1),"Q1",Y7&lt;DATE(1996,7,1),"Q2",Y7&gt;=DATE(1996,7,1),"")</f>
        <v/>
      </c>
    </row>
    <row r="8" spans="1:28" ht="14.4" x14ac:dyDescent="0.55000000000000004">
      <c r="A8" t="str">
        <f>VLOOKUP(L8,Customers!$A$2:$B$92,2,FALSE)</f>
        <v>Hanari Carnes</v>
      </c>
      <c r="B8" t="str">
        <f>VLOOKUP(L8,Customers!$A$2:$C$92,3,TRUE)</f>
        <v>Mario Pontes</v>
      </c>
      <c r="C8" t="str">
        <f t="shared" si="0"/>
        <v>Mario</v>
      </c>
      <c r="D8" t="str">
        <f t="shared" si="1"/>
        <v>Pontes</v>
      </c>
      <c r="E8" t="str">
        <f t="shared" si="2"/>
        <v>Pontes, Mario</v>
      </c>
      <c r="F8" s="8" t="str">
        <f t="shared" si="3"/>
        <v>Pontes, Mario</v>
      </c>
      <c r="G8" s="8" t="str">
        <f t="shared" si="4"/>
        <v>not an outlier</v>
      </c>
      <c r="H8" s="8" t="str">
        <f t="shared" si="5"/>
        <v>Not</v>
      </c>
      <c r="I8" s="8" t="str">
        <f t="shared" si="15"/>
        <v>no</v>
      </c>
      <c r="J8" s="10" t="str">
        <f t="shared" si="6"/>
        <v>no</v>
      </c>
      <c r="K8" s="10" t="str">
        <f t="shared" si="7"/>
        <v>no</v>
      </c>
      <c r="L8" t="s">
        <v>264</v>
      </c>
      <c r="M8">
        <v>10250</v>
      </c>
      <c r="N8">
        <v>51</v>
      </c>
      <c r="O8" t="s">
        <v>687</v>
      </c>
      <c r="P8" t="str">
        <f t="shared" si="8"/>
        <v>HANAR_10250_Manjimup Dried Apples</v>
      </c>
      <c r="Q8" t="str">
        <f t="shared" si="9"/>
        <v>10250</v>
      </c>
      <c r="R8" t="str">
        <f t="shared" si="10"/>
        <v>10250</v>
      </c>
      <c r="S8" t="str">
        <f t="shared" si="11"/>
        <v>Manjimup Dried Apples</v>
      </c>
      <c r="T8">
        <v>42.4</v>
      </c>
      <c r="U8">
        <v>35</v>
      </c>
      <c r="V8">
        <v>0.15</v>
      </c>
      <c r="W8">
        <f t="shared" si="16"/>
        <v>1261.3999999999999</v>
      </c>
      <c r="X8" t="str">
        <f t="shared" si="12"/>
        <v>No</v>
      </c>
      <c r="Y8" s="2">
        <v>34554</v>
      </c>
      <c r="Z8" t="str">
        <f t="shared" si="13"/>
        <v/>
      </c>
      <c r="AA8" t="str">
        <f t="shared" si="14"/>
        <v/>
      </c>
      <c r="AB8" t="str" cm="1">
        <f t="array" ref="AB8">_xlfn.IFS(Y8&lt;DATE(1996,1,1),"",Y8&lt;DATE(1996,4,1),"Q1",Y8&lt;DATE(1996,7,1),"Q2",Y8&gt;=DATE(1996,7,1),"")</f>
        <v/>
      </c>
    </row>
    <row r="9" spans="1:28" ht="14.4" x14ac:dyDescent="0.55000000000000004">
      <c r="A9" t="str">
        <f>VLOOKUP(L9,Customers!$A$2:$B$92,2,FALSE)</f>
        <v>Hanari Carnes</v>
      </c>
      <c r="B9" t="str">
        <f>VLOOKUP(L9,Customers!$A$2:$C$92,3,TRUE)</f>
        <v>Mario Pontes</v>
      </c>
      <c r="C9" t="str">
        <f t="shared" si="0"/>
        <v>Mario</v>
      </c>
      <c r="D9" t="str">
        <f t="shared" si="1"/>
        <v>Pontes</v>
      </c>
      <c r="E9" t="str">
        <f t="shared" si="2"/>
        <v>Pontes, Mario</v>
      </c>
      <c r="F9" s="8" t="str">
        <f t="shared" si="3"/>
        <v>Pontes, Mario</v>
      </c>
      <c r="G9" s="8" t="str">
        <f t="shared" si="4"/>
        <v>not an outlier</v>
      </c>
      <c r="H9" s="8" t="str">
        <f t="shared" si="5"/>
        <v>Not</v>
      </c>
      <c r="I9" s="8" t="str">
        <f t="shared" si="15"/>
        <v>no</v>
      </c>
      <c r="J9" s="10" t="str">
        <f t="shared" si="6"/>
        <v>no</v>
      </c>
      <c r="K9" s="10" t="str">
        <f t="shared" si="7"/>
        <v>no</v>
      </c>
      <c r="L9" t="s">
        <v>264</v>
      </c>
      <c r="M9">
        <v>10250</v>
      </c>
      <c r="N9">
        <v>65</v>
      </c>
      <c r="O9" t="s">
        <v>689</v>
      </c>
      <c r="P9" t="str">
        <f t="shared" si="8"/>
        <v>HANAR_10250_Louisiana Fiery Hot Pepper Sauce</v>
      </c>
      <c r="Q9" t="str">
        <f t="shared" si="9"/>
        <v>10250</v>
      </c>
      <c r="R9" t="str">
        <f t="shared" si="10"/>
        <v>10250</v>
      </c>
      <c r="S9" t="str">
        <f t="shared" si="11"/>
        <v>Louisiana Fiery Hot Pepper Sauce</v>
      </c>
      <c r="T9">
        <v>16.8</v>
      </c>
      <c r="U9">
        <v>15</v>
      </c>
      <c r="V9">
        <v>0.15</v>
      </c>
      <c r="W9">
        <f t="shared" si="16"/>
        <v>214.2</v>
      </c>
      <c r="X9" t="str">
        <f t="shared" si="12"/>
        <v>No</v>
      </c>
      <c r="Y9" s="2">
        <v>34554</v>
      </c>
      <c r="Z9" t="str">
        <f t="shared" si="13"/>
        <v/>
      </c>
      <c r="AA9" t="str">
        <f t="shared" si="14"/>
        <v/>
      </c>
      <c r="AB9" t="str" cm="1">
        <f t="array" ref="AB9">_xlfn.IFS(Y9&lt;DATE(1996,1,1),"",Y9&lt;DATE(1996,4,1),"Q1",Y9&lt;DATE(1996,7,1),"Q2",Y9&gt;=DATE(1996,7,1),"")</f>
        <v/>
      </c>
    </row>
    <row r="10" spans="1:28" ht="14.4" x14ac:dyDescent="0.55000000000000004">
      <c r="A10" t="str">
        <f>VLOOKUP(L10,Customers!$A$2:$B$92,2,FALSE)</f>
        <v>Victuailles en stock</v>
      </c>
      <c r="B10" t="str">
        <f>VLOOKUP(L10,Customers!$A$2:$C$92,3,TRUE)</f>
        <v>Mary Saveley</v>
      </c>
      <c r="C10" t="str">
        <f t="shared" si="0"/>
        <v>Mary</v>
      </c>
      <c r="D10" t="str">
        <f t="shared" si="1"/>
        <v>Saveley</v>
      </c>
      <c r="E10" t="str">
        <f t="shared" si="2"/>
        <v>Saveley, Mary</v>
      </c>
      <c r="F10" s="8" t="str">
        <f t="shared" si="3"/>
        <v>Saveley, Mary</v>
      </c>
      <c r="G10" s="8" t="str">
        <f t="shared" si="4"/>
        <v>not an outlier</v>
      </c>
      <c r="H10" s="8" t="str">
        <f t="shared" si="5"/>
        <v>Not</v>
      </c>
      <c r="I10" s="8" t="str">
        <f t="shared" si="15"/>
        <v>no</v>
      </c>
      <c r="J10" s="10" t="str">
        <f t="shared" si="6"/>
        <v>no</v>
      </c>
      <c r="K10" s="10" t="str">
        <f t="shared" si="7"/>
        <v>no</v>
      </c>
      <c r="L10" t="s">
        <v>619</v>
      </c>
      <c r="M10">
        <v>10251</v>
      </c>
      <c r="N10">
        <v>22</v>
      </c>
      <c r="O10" t="s">
        <v>690</v>
      </c>
      <c r="P10" t="str">
        <f t="shared" si="8"/>
        <v>VICTE_10251_Gustaf's Knäckebröd</v>
      </c>
      <c r="Q10" t="str">
        <f t="shared" si="9"/>
        <v>10251</v>
      </c>
      <c r="R10" t="str">
        <f t="shared" si="10"/>
        <v>10251</v>
      </c>
      <c r="S10" t="str">
        <f t="shared" si="11"/>
        <v>Gustaf's Knäckebröd</v>
      </c>
      <c r="T10">
        <v>16.8</v>
      </c>
      <c r="U10">
        <v>6</v>
      </c>
      <c r="V10">
        <v>0.05</v>
      </c>
      <c r="W10">
        <f t="shared" si="16"/>
        <v>95.76</v>
      </c>
      <c r="X10" t="str">
        <f t="shared" si="12"/>
        <v>No</v>
      </c>
      <c r="Y10" s="2">
        <v>34554</v>
      </c>
      <c r="Z10" t="str">
        <f t="shared" si="13"/>
        <v/>
      </c>
      <c r="AA10" t="str">
        <f t="shared" si="14"/>
        <v/>
      </c>
      <c r="AB10" t="str" cm="1">
        <f t="array" ref="AB10">_xlfn.IFS(Y10&lt;DATE(1996,1,1),"",Y10&lt;DATE(1996,4,1),"Q1",Y10&lt;DATE(1996,7,1),"Q2",Y10&gt;=DATE(1996,7,1),"")</f>
        <v/>
      </c>
    </row>
    <row r="11" spans="1:28" ht="14.4" x14ac:dyDescent="0.55000000000000004">
      <c r="A11" t="str">
        <f>VLOOKUP(L11,Customers!$A$2:$B$92,2,FALSE)</f>
        <v>Victuailles en stock</v>
      </c>
      <c r="B11" t="str">
        <f>VLOOKUP(L11,Customers!$A$2:$C$92,3,TRUE)</f>
        <v>Mary Saveley</v>
      </c>
      <c r="C11" t="str">
        <f t="shared" si="0"/>
        <v>Mary</v>
      </c>
      <c r="D11" t="str">
        <f t="shared" si="1"/>
        <v>Saveley</v>
      </c>
      <c r="E11" t="str">
        <f t="shared" si="2"/>
        <v>Saveley, Mary</v>
      </c>
      <c r="F11" s="8" t="str">
        <f t="shared" si="3"/>
        <v>Saveley, Mary</v>
      </c>
      <c r="G11" s="8" t="str">
        <f t="shared" si="4"/>
        <v>not an outlier</v>
      </c>
      <c r="H11" s="8" t="str">
        <f t="shared" si="5"/>
        <v>Not</v>
      </c>
      <c r="I11" s="8" t="str">
        <f t="shared" si="15"/>
        <v>no</v>
      </c>
      <c r="J11" s="10" t="str">
        <f t="shared" si="6"/>
        <v>no</v>
      </c>
      <c r="K11" s="10" t="str">
        <f t="shared" si="7"/>
        <v>no</v>
      </c>
      <c r="L11" t="s">
        <v>619</v>
      </c>
      <c r="M11">
        <v>10251</v>
      </c>
      <c r="N11">
        <v>57</v>
      </c>
      <c r="O11" t="s">
        <v>691</v>
      </c>
      <c r="P11" t="str">
        <f t="shared" si="8"/>
        <v>VICTE_10251_Ravioli Angelo</v>
      </c>
      <c r="Q11" t="str">
        <f t="shared" si="9"/>
        <v>10251</v>
      </c>
      <c r="R11" t="str">
        <f t="shared" si="10"/>
        <v>10251</v>
      </c>
      <c r="S11" t="str">
        <f t="shared" si="11"/>
        <v>Ravioli Angelo</v>
      </c>
      <c r="T11">
        <v>15.6</v>
      </c>
      <c r="U11">
        <v>15</v>
      </c>
      <c r="V11">
        <v>0.05</v>
      </c>
      <c r="W11">
        <f t="shared" si="16"/>
        <v>222.29999999999998</v>
      </c>
      <c r="X11" t="str">
        <f t="shared" si="12"/>
        <v>No</v>
      </c>
      <c r="Y11" s="2">
        <v>34554</v>
      </c>
      <c r="Z11" t="str">
        <f t="shared" si="13"/>
        <v/>
      </c>
      <c r="AA11" t="str">
        <f t="shared" si="14"/>
        <v/>
      </c>
      <c r="AB11" t="str" cm="1">
        <f t="array" ref="AB11">_xlfn.IFS(Y11&lt;DATE(1996,1,1),"",Y11&lt;DATE(1996,4,1),"Q1",Y11&lt;DATE(1996,7,1),"Q2",Y11&gt;=DATE(1996,7,1),"")</f>
        <v/>
      </c>
    </row>
    <row r="12" spans="1:28" ht="14.4" x14ac:dyDescent="0.55000000000000004">
      <c r="A12" t="str">
        <f>VLOOKUP(L12,Customers!$A$2:$B$92,2,FALSE)</f>
        <v>Victuailles en stock</v>
      </c>
      <c r="B12" t="str">
        <f>VLOOKUP(L12,Customers!$A$2:$C$92,3,TRUE)</f>
        <v>Mary Saveley</v>
      </c>
      <c r="C12" t="str">
        <f t="shared" si="0"/>
        <v>Mary</v>
      </c>
      <c r="D12" t="str">
        <f t="shared" si="1"/>
        <v>Saveley</v>
      </c>
      <c r="E12" t="str">
        <f t="shared" si="2"/>
        <v>Saveley, Mary</v>
      </c>
      <c r="F12" s="8" t="str">
        <f t="shared" si="3"/>
        <v>Saveley, Mary</v>
      </c>
      <c r="G12" s="8" t="str">
        <f t="shared" si="4"/>
        <v>not an outlier</v>
      </c>
      <c r="H12" s="8" t="str">
        <f t="shared" si="5"/>
        <v>Not</v>
      </c>
      <c r="I12" s="8" t="str">
        <f t="shared" si="15"/>
        <v>no</v>
      </c>
      <c r="J12" s="10" t="str">
        <f t="shared" si="6"/>
        <v>no</v>
      </c>
      <c r="K12" s="10" t="str">
        <f t="shared" si="7"/>
        <v>no</v>
      </c>
      <c r="L12" t="s">
        <v>619</v>
      </c>
      <c r="M12">
        <v>10251</v>
      </c>
      <c r="N12">
        <v>65</v>
      </c>
      <c r="O12" t="s">
        <v>689</v>
      </c>
      <c r="P12" t="str">
        <f t="shared" si="8"/>
        <v>VICTE_10251_Louisiana Fiery Hot Pepper Sauce</v>
      </c>
      <c r="Q12" t="str">
        <f t="shared" si="9"/>
        <v>10251</v>
      </c>
      <c r="R12" t="str">
        <f t="shared" si="10"/>
        <v>10251</v>
      </c>
      <c r="S12" t="str">
        <f t="shared" si="11"/>
        <v>Louisiana Fiery Hot Pepper Sauce</v>
      </c>
      <c r="T12">
        <v>16.8</v>
      </c>
      <c r="U12">
        <v>20</v>
      </c>
      <c r="V12">
        <v>0</v>
      </c>
      <c r="W12">
        <f t="shared" si="16"/>
        <v>336</v>
      </c>
      <c r="X12" t="str">
        <f t="shared" si="12"/>
        <v>No</v>
      </c>
      <c r="Y12" s="2">
        <v>34554</v>
      </c>
      <c r="Z12" t="str">
        <f t="shared" si="13"/>
        <v/>
      </c>
      <c r="AA12" t="str">
        <f t="shared" si="14"/>
        <v/>
      </c>
      <c r="AB12" t="str" cm="1">
        <f t="array" ref="AB12">_xlfn.IFS(Y12&lt;DATE(1996,1,1),"",Y12&lt;DATE(1996,4,1),"Q1",Y12&lt;DATE(1996,7,1),"Q2",Y12&gt;=DATE(1996,7,1),"")</f>
        <v/>
      </c>
    </row>
    <row r="13" spans="1:28" ht="14.4" x14ac:dyDescent="0.55000000000000004">
      <c r="A13" t="str">
        <f>VLOOKUP(L13,Customers!$A$2:$B$92,2,FALSE)</f>
        <v>Suprêmes délices</v>
      </c>
      <c r="B13" t="str">
        <f>VLOOKUP(L13,Customers!$A$2:$C$92,3,TRUE)</f>
        <v>Pascale Cartrain</v>
      </c>
      <c r="C13" t="str">
        <f t="shared" si="0"/>
        <v>Pascale</v>
      </c>
      <c r="D13" t="str">
        <f t="shared" si="1"/>
        <v>Cartrain</v>
      </c>
      <c r="E13" t="str">
        <f t="shared" si="2"/>
        <v>Cartrain, Pascale</v>
      </c>
      <c r="F13" s="8" t="str">
        <f t="shared" si="3"/>
        <v>Cartrain, Pascale</v>
      </c>
      <c r="G13" s="8" t="str">
        <f t="shared" si="4"/>
        <v>not an outlier</v>
      </c>
      <c r="H13" s="8" t="str">
        <f t="shared" si="5"/>
        <v>Not</v>
      </c>
      <c r="I13" s="8" t="str">
        <f t="shared" si="15"/>
        <v>no</v>
      </c>
      <c r="J13" s="10" t="str">
        <f t="shared" si="6"/>
        <v>no</v>
      </c>
      <c r="K13" s="10" t="str">
        <f t="shared" si="7"/>
        <v>no</v>
      </c>
      <c r="L13" t="s">
        <v>565</v>
      </c>
      <c r="M13">
        <v>10252</v>
      </c>
      <c r="N13">
        <v>20</v>
      </c>
      <c r="O13" t="s">
        <v>692</v>
      </c>
      <c r="P13" t="str">
        <f t="shared" si="8"/>
        <v>SUPRD_10252_Sir Rodney's Marmalade</v>
      </c>
      <c r="Q13" t="str">
        <f t="shared" si="9"/>
        <v>10252</v>
      </c>
      <c r="R13" t="str">
        <f t="shared" si="10"/>
        <v>10252</v>
      </c>
      <c r="S13" t="str">
        <f t="shared" si="11"/>
        <v>Sir Rodney's Marmalade</v>
      </c>
      <c r="T13">
        <v>64.8</v>
      </c>
      <c r="U13">
        <v>40</v>
      </c>
      <c r="V13">
        <v>0.05</v>
      </c>
      <c r="W13">
        <f t="shared" si="16"/>
        <v>2462.4</v>
      </c>
      <c r="X13" t="str">
        <f t="shared" si="12"/>
        <v>No</v>
      </c>
      <c r="Y13" s="2">
        <v>34555</v>
      </c>
      <c r="Z13" t="str">
        <f t="shared" si="13"/>
        <v/>
      </c>
      <c r="AA13" t="str">
        <f t="shared" si="14"/>
        <v/>
      </c>
      <c r="AB13" t="str" cm="1">
        <f t="array" ref="AB13">_xlfn.IFS(Y13&lt;DATE(1996,1,1),"",Y13&lt;DATE(1996,4,1),"Q1",Y13&lt;DATE(1996,7,1),"Q2",Y13&gt;=DATE(1996,7,1),"")</f>
        <v/>
      </c>
    </row>
    <row r="14" spans="1:28" ht="14.4" x14ac:dyDescent="0.55000000000000004">
      <c r="A14" t="str">
        <f>VLOOKUP(L14,Customers!$A$2:$B$92,2,FALSE)</f>
        <v>Suprêmes délices</v>
      </c>
      <c r="B14" t="str">
        <f>VLOOKUP(L14,Customers!$A$2:$C$92,3,TRUE)</f>
        <v>Pascale Cartrain</v>
      </c>
      <c r="C14" t="str">
        <f t="shared" si="0"/>
        <v>Pascale</v>
      </c>
      <c r="D14" t="str">
        <f t="shared" si="1"/>
        <v>Cartrain</v>
      </c>
      <c r="E14" t="str">
        <f t="shared" si="2"/>
        <v>Cartrain, Pascale</v>
      </c>
      <c r="F14" s="8" t="str">
        <f t="shared" si="3"/>
        <v>Cartrain, Pascale</v>
      </c>
      <c r="G14" s="8" t="str">
        <f t="shared" si="4"/>
        <v>not an outlier</v>
      </c>
      <c r="H14" s="8" t="str">
        <f t="shared" si="5"/>
        <v>Not</v>
      </c>
      <c r="I14" s="8" t="str">
        <f t="shared" si="15"/>
        <v>no</v>
      </c>
      <c r="J14" s="10" t="str">
        <f t="shared" si="6"/>
        <v>no</v>
      </c>
      <c r="K14" s="10" t="str">
        <f t="shared" si="7"/>
        <v>no</v>
      </c>
      <c r="L14" t="s">
        <v>565</v>
      </c>
      <c r="M14">
        <v>10252</v>
      </c>
      <c r="N14">
        <v>33</v>
      </c>
      <c r="O14" t="s">
        <v>693</v>
      </c>
      <c r="P14" t="str">
        <f t="shared" si="8"/>
        <v>SUPRD_10252_Geitost</v>
      </c>
      <c r="Q14" t="str">
        <f t="shared" si="9"/>
        <v>10252</v>
      </c>
      <c r="R14" t="str">
        <f t="shared" si="10"/>
        <v>10252</v>
      </c>
      <c r="S14" t="str">
        <f t="shared" si="11"/>
        <v>Geitost</v>
      </c>
      <c r="T14">
        <v>2</v>
      </c>
      <c r="U14">
        <v>25</v>
      </c>
      <c r="V14">
        <v>0.05</v>
      </c>
      <c r="W14">
        <f t="shared" si="16"/>
        <v>47.5</v>
      </c>
      <c r="X14" t="str">
        <f t="shared" si="12"/>
        <v>No</v>
      </c>
      <c r="Y14" s="2">
        <v>34555</v>
      </c>
      <c r="Z14" t="str">
        <f t="shared" si="13"/>
        <v/>
      </c>
      <c r="AA14" t="str">
        <f t="shared" si="14"/>
        <v/>
      </c>
      <c r="AB14" t="str" cm="1">
        <f t="array" ref="AB14">_xlfn.IFS(Y14&lt;DATE(1996,1,1),"",Y14&lt;DATE(1996,4,1),"Q1",Y14&lt;DATE(1996,7,1),"Q2",Y14&gt;=DATE(1996,7,1),"")</f>
        <v/>
      </c>
    </row>
    <row r="15" spans="1:28" ht="14.4" x14ac:dyDescent="0.55000000000000004">
      <c r="A15" t="str">
        <f>VLOOKUP(L15,Customers!$A$2:$B$92,2,FALSE)</f>
        <v>Suprêmes délices</v>
      </c>
      <c r="B15" t="str">
        <f>VLOOKUP(L15,Customers!$A$2:$C$92,3,TRUE)</f>
        <v>Pascale Cartrain</v>
      </c>
      <c r="C15" t="str">
        <f t="shared" si="0"/>
        <v>Pascale</v>
      </c>
      <c r="D15" t="str">
        <f t="shared" si="1"/>
        <v>Cartrain</v>
      </c>
      <c r="E15" t="str">
        <f t="shared" si="2"/>
        <v>Cartrain, Pascale</v>
      </c>
      <c r="F15" s="8" t="str">
        <f t="shared" si="3"/>
        <v>Cartrain, Pascale</v>
      </c>
      <c r="G15" s="8" t="str">
        <f t="shared" si="4"/>
        <v>not an outlier</v>
      </c>
      <c r="H15" s="8" t="str">
        <f t="shared" si="5"/>
        <v>Not</v>
      </c>
      <c r="I15" s="8" t="str">
        <f t="shared" si="15"/>
        <v>no</v>
      </c>
      <c r="J15" s="10" t="str">
        <f t="shared" si="6"/>
        <v>no</v>
      </c>
      <c r="K15" s="10" t="str">
        <f t="shared" si="7"/>
        <v>no</v>
      </c>
      <c r="L15" t="s">
        <v>565</v>
      </c>
      <c r="M15">
        <v>10252</v>
      </c>
      <c r="N15">
        <v>60</v>
      </c>
      <c r="O15" t="s">
        <v>694</v>
      </c>
      <c r="P15" t="str">
        <f t="shared" si="8"/>
        <v>SUPRD_10252_Camembert Pierrot</v>
      </c>
      <c r="Q15" t="str">
        <f t="shared" si="9"/>
        <v>10252</v>
      </c>
      <c r="R15" t="str">
        <f t="shared" si="10"/>
        <v>10252</v>
      </c>
      <c r="S15" t="str">
        <f t="shared" si="11"/>
        <v>Camembert Pierrot</v>
      </c>
      <c r="T15">
        <v>27.2</v>
      </c>
      <c r="U15">
        <v>40</v>
      </c>
      <c r="V15">
        <v>0</v>
      </c>
      <c r="W15">
        <f t="shared" si="16"/>
        <v>1088</v>
      </c>
      <c r="X15" t="str">
        <f t="shared" si="12"/>
        <v>No</v>
      </c>
      <c r="Y15" s="2">
        <v>34555</v>
      </c>
      <c r="Z15" t="str">
        <f t="shared" si="13"/>
        <v/>
      </c>
      <c r="AA15" t="str">
        <f t="shared" si="14"/>
        <v/>
      </c>
      <c r="AB15" t="str" cm="1">
        <f t="array" ref="AB15">_xlfn.IFS(Y15&lt;DATE(1996,1,1),"",Y15&lt;DATE(1996,4,1),"Q1",Y15&lt;DATE(1996,7,1),"Q2",Y15&gt;=DATE(1996,7,1),"")</f>
        <v/>
      </c>
    </row>
    <row r="16" spans="1:28" ht="14.4" x14ac:dyDescent="0.55000000000000004">
      <c r="A16" t="str">
        <f>VLOOKUP(L16,Customers!$A$2:$B$92,2,FALSE)</f>
        <v>Hanari Carnes</v>
      </c>
      <c r="B16" t="str">
        <f>VLOOKUP(L16,Customers!$A$2:$C$92,3,TRUE)</f>
        <v>Mario Pontes</v>
      </c>
      <c r="C16" t="str">
        <f t="shared" si="0"/>
        <v>Mario</v>
      </c>
      <c r="D16" t="str">
        <f t="shared" si="1"/>
        <v>Pontes</v>
      </c>
      <c r="E16" t="str">
        <f t="shared" si="2"/>
        <v>Pontes, Mario</v>
      </c>
      <c r="F16" s="8" t="str">
        <f t="shared" si="3"/>
        <v>Pontes, Mario</v>
      </c>
      <c r="G16" s="8" t="str">
        <f t="shared" si="4"/>
        <v>not an outlier</v>
      </c>
      <c r="H16" s="8" t="str">
        <f t="shared" si="5"/>
        <v>Not</v>
      </c>
      <c r="I16" s="8" t="str">
        <f t="shared" si="15"/>
        <v>no</v>
      </c>
      <c r="J16" s="10" t="str">
        <f t="shared" si="6"/>
        <v>no</v>
      </c>
      <c r="K16" s="10" t="str">
        <f t="shared" si="7"/>
        <v>no</v>
      </c>
      <c r="L16" t="s">
        <v>264</v>
      </c>
      <c r="M16">
        <v>10253</v>
      </c>
      <c r="N16">
        <v>31</v>
      </c>
      <c r="O16" t="s">
        <v>695</v>
      </c>
      <c r="P16" t="str">
        <f t="shared" si="8"/>
        <v>HANAR_10253_Gorgonzola Telino</v>
      </c>
      <c r="Q16" t="str">
        <f t="shared" si="9"/>
        <v>10253</v>
      </c>
      <c r="R16" t="str">
        <f t="shared" si="10"/>
        <v>10253</v>
      </c>
      <c r="S16" t="str">
        <f t="shared" si="11"/>
        <v>Gorgonzola Telino</v>
      </c>
      <c r="T16">
        <v>10</v>
      </c>
      <c r="U16">
        <v>20</v>
      </c>
      <c r="V16">
        <v>0</v>
      </c>
      <c r="W16">
        <f t="shared" si="16"/>
        <v>200</v>
      </c>
      <c r="X16" t="str">
        <f t="shared" si="12"/>
        <v>No</v>
      </c>
      <c r="Y16" s="2">
        <v>34556</v>
      </c>
      <c r="Z16" t="str">
        <f t="shared" si="13"/>
        <v/>
      </c>
      <c r="AA16" t="str">
        <f t="shared" si="14"/>
        <v/>
      </c>
      <c r="AB16" t="str" cm="1">
        <f t="array" ref="AB16">_xlfn.IFS(Y16&lt;DATE(1996,1,1),"",Y16&lt;DATE(1996,4,1),"Q1",Y16&lt;DATE(1996,7,1),"Q2",Y16&gt;=DATE(1996,7,1),"")</f>
        <v/>
      </c>
    </row>
    <row r="17" spans="1:28" ht="14.4" x14ac:dyDescent="0.55000000000000004">
      <c r="A17" t="str">
        <f>VLOOKUP(L17,Customers!$A$2:$B$92,2,FALSE)</f>
        <v>Hanari Carnes</v>
      </c>
      <c r="B17" t="str">
        <f>VLOOKUP(L17,Customers!$A$2:$C$92,3,TRUE)</f>
        <v>Mario Pontes</v>
      </c>
      <c r="C17" t="str">
        <f t="shared" si="0"/>
        <v>Mario</v>
      </c>
      <c r="D17" t="str">
        <f t="shared" si="1"/>
        <v>Pontes</v>
      </c>
      <c r="E17" t="str">
        <f t="shared" si="2"/>
        <v>Pontes, Mario</v>
      </c>
      <c r="F17" s="8" t="str">
        <f t="shared" si="3"/>
        <v>Pontes, Mario</v>
      </c>
      <c r="G17" s="8" t="str">
        <f t="shared" si="4"/>
        <v>not an outlier</v>
      </c>
      <c r="H17" s="8" t="str">
        <f t="shared" si="5"/>
        <v>Not</v>
      </c>
      <c r="I17" s="8" t="str">
        <f t="shared" si="15"/>
        <v>no</v>
      </c>
      <c r="J17" s="10" t="str">
        <f t="shared" si="6"/>
        <v>no</v>
      </c>
      <c r="K17" s="10" t="str">
        <f t="shared" si="7"/>
        <v>no</v>
      </c>
      <c r="L17" t="s">
        <v>264</v>
      </c>
      <c r="M17">
        <v>10253</v>
      </c>
      <c r="N17">
        <v>39</v>
      </c>
      <c r="O17" t="s">
        <v>696</v>
      </c>
      <c r="P17" t="str">
        <f t="shared" si="8"/>
        <v>HANAR_10253_Chartreuse verte</v>
      </c>
      <c r="Q17" t="str">
        <f t="shared" si="9"/>
        <v>10253</v>
      </c>
      <c r="R17" t="str">
        <f t="shared" si="10"/>
        <v>10253</v>
      </c>
      <c r="S17" t="str">
        <f t="shared" si="11"/>
        <v>Chartreuse verte</v>
      </c>
      <c r="T17">
        <v>14.4</v>
      </c>
      <c r="U17">
        <v>42</v>
      </c>
      <c r="V17">
        <v>0</v>
      </c>
      <c r="W17">
        <f t="shared" si="16"/>
        <v>604.80000000000007</v>
      </c>
      <c r="X17" t="str">
        <f t="shared" si="12"/>
        <v>No</v>
      </c>
      <c r="Y17" s="2">
        <v>34556</v>
      </c>
      <c r="Z17" t="str">
        <f t="shared" si="13"/>
        <v/>
      </c>
      <c r="AA17" t="str">
        <f t="shared" si="14"/>
        <v/>
      </c>
      <c r="AB17" t="str" cm="1">
        <f t="array" ref="AB17">_xlfn.IFS(Y17&lt;DATE(1996,1,1),"",Y17&lt;DATE(1996,4,1),"Q1",Y17&lt;DATE(1996,7,1),"Q2",Y17&gt;=DATE(1996,7,1),"")</f>
        <v/>
      </c>
    </row>
    <row r="18" spans="1:28" ht="14.4" x14ac:dyDescent="0.55000000000000004">
      <c r="A18" t="str">
        <f>VLOOKUP(L18,Customers!$A$2:$B$92,2,FALSE)</f>
        <v>Hanari Carnes</v>
      </c>
      <c r="B18" t="str">
        <f>VLOOKUP(L18,Customers!$A$2:$C$92,3,TRUE)</f>
        <v>Mario Pontes</v>
      </c>
      <c r="C18" t="str">
        <f t="shared" si="0"/>
        <v>Mario</v>
      </c>
      <c r="D18" t="str">
        <f t="shared" si="1"/>
        <v>Pontes</v>
      </c>
      <c r="E18" t="str">
        <f t="shared" si="2"/>
        <v>Pontes, Mario</v>
      </c>
      <c r="F18" s="8" t="str">
        <f t="shared" si="3"/>
        <v>Pontes, Mario</v>
      </c>
      <c r="G18" s="8" t="str">
        <f t="shared" si="4"/>
        <v>not an outlier</v>
      </c>
      <c r="H18" s="8" t="str">
        <f t="shared" si="5"/>
        <v>Not</v>
      </c>
      <c r="I18" s="8" t="str">
        <f t="shared" si="15"/>
        <v>no</v>
      </c>
      <c r="J18" s="10" t="str">
        <f t="shared" si="6"/>
        <v>no</v>
      </c>
      <c r="K18" s="10" t="str">
        <f t="shared" si="7"/>
        <v>no</v>
      </c>
      <c r="L18" t="s">
        <v>264</v>
      </c>
      <c r="M18">
        <v>10253</v>
      </c>
      <c r="N18">
        <v>49</v>
      </c>
      <c r="O18" t="s">
        <v>697</v>
      </c>
      <c r="P18" t="str">
        <f t="shared" si="8"/>
        <v>HANAR_10253_Maxilaku</v>
      </c>
      <c r="Q18" t="str">
        <f t="shared" si="9"/>
        <v>10253</v>
      </c>
      <c r="R18" t="str">
        <f t="shared" si="10"/>
        <v>10253</v>
      </c>
      <c r="S18" t="str">
        <f t="shared" si="11"/>
        <v>Maxilaku</v>
      </c>
      <c r="T18">
        <v>16</v>
      </c>
      <c r="U18">
        <v>40</v>
      </c>
      <c r="V18">
        <v>0</v>
      </c>
      <c r="W18">
        <f t="shared" si="16"/>
        <v>640</v>
      </c>
      <c r="X18" t="str">
        <f t="shared" si="12"/>
        <v>No</v>
      </c>
      <c r="Y18" s="2">
        <v>34556</v>
      </c>
      <c r="Z18" t="str">
        <f t="shared" si="13"/>
        <v/>
      </c>
      <c r="AA18" t="str">
        <f t="shared" si="14"/>
        <v/>
      </c>
      <c r="AB18" t="str" cm="1">
        <f t="array" ref="AB18">_xlfn.IFS(Y18&lt;DATE(1996,1,1),"",Y18&lt;DATE(1996,4,1),"Q1",Y18&lt;DATE(1996,7,1),"Q2",Y18&gt;=DATE(1996,7,1),"")</f>
        <v/>
      </c>
    </row>
    <row r="19" spans="1:28" ht="14.4" x14ac:dyDescent="0.55000000000000004">
      <c r="A19" t="str">
        <f>VLOOKUP(L19,Customers!$A$2:$B$92,2,FALSE)</f>
        <v>Chop-suey Chinese</v>
      </c>
      <c r="B19" t="str">
        <f>VLOOKUP(L19,Customers!$A$2:$C$92,3,TRUE)</f>
        <v>Yang Wang</v>
      </c>
      <c r="C19" t="str">
        <f t="shared" si="0"/>
        <v>Yang</v>
      </c>
      <c r="D19" t="str">
        <f t="shared" si="1"/>
        <v>Wang</v>
      </c>
      <c r="E19" t="str">
        <f t="shared" si="2"/>
        <v>Wang, Yang</v>
      </c>
      <c r="F19" s="8" t="str">
        <f t="shared" si="3"/>
        <v>Wang, Yang</v>
      </c>
      <c r="G19" s="8" t="str">
        <f t="shared" si="4"/>
        <v>not an outlier</v>
      </c>
      <c r="H19" s="8" t="str">
        <f t="shared" si="5"/>
        <v>Not</v>
      </c>
      <c r="I19" s="8" t="str">
        <f t="shared" si="15"/>
        <v>no</v>
      </c>
      <c r="J19" s="10" t="str">
        <f t="shared" si="6"/>
        <v>no</v>
      </c>
      <c r="K19" s="10" t="str">
        <f t="shared" si="7"/>
        <v>no</v>
      </c>
      <c r="L19" t="s">
        <v>116</v>
      </c>
      <c r="M19">
        <v>10254</v>
      </c>
      <c r="N19">
        <v>24</v>
      </c>
      <c r="O19" t="s">
        <v>698</v>
      </c>
      <c r="P19" t="str">
        <f t="shared" si="8"/>
        <v>CHOPS_10254_Guaraná Fantástica</v>
      </c>
      <c r="Q19" t="str">
        <f t="shared" si="9"/>
        <v>10254</v>
      </c>
      <c r="R19" t="str">
        <f t="shared" si="10"/>
        <v>10254</v>
      </c>
      <c r="S19" t="str">
        <f t="shared" si="11"/>
        <v>Guaraná Fantástica</v>
      </c>
      <c r="T19">
        <v>3.6</v>
      </c>
      <c r="U19">
        <v>15</v>
      </c>
      <c r="V19">
        <v>0.15</v>
      </c>
      <c r="W19">
        <f t="shared" si="16"/>
        <v>45.9</v>
      </c>
      <c r="X19" t="str">
        <f t="shared" si="12"/>
        <v>No</v>
      </c>
      <c r="Y19" s="2">
        <v>34557</v>
      </c>
      <c r="Z19" t="str">
        <f t="shared" si="13"/>
        <v/>
      </c>
      <c r="AA19" t="str">
        <f t="shared" si="14"/>
        <v/>
      </c>
      <c r="AB19" t="str" cm="1">
        <f t="array" ref="AB19">_xlfn.IFS(Y19&lt;DATE(1996,1,1),"",Y19&lt;DATE(1996,4,1),"Q1",Y19&lt;DATE(1996,7,1),"Q2",Y19&gt;=DATE(1996,7,1),"")</f>
        <v/>
      </c>
    </row>
    <row r="20" spans="1:28" ht="14.4" x14ac:dyDescent="0.55000000000000004">
      <c r="A20" t="str">
        <f>VLOOKUP(L20,Customers!$A$2:$B$92,2,FALSE)</f>
        <v>Chop-suey Chinese</v>
      </c>
      <c r="B20" t="str">
        <f>VLOOKUP(L20,Customers!$A$2:$C$92,3,TRUE)</f>
        <v>Yang Wang</v>
      </c>
      <c r="C20" t="str">
        <f t="shared" si="0"/>
        <v>Yang</v>
      </c>
      <c r="D20" t="str">
        <f t="shared" si="1"/>
        <v>Wang</v>
      </c>
      <c r="E20" t="str">
        <f t="shared" si="2"/>
        <v>Wang, Yang</v>
      </c>
      <c r="F20" s="8" t="str">
        <f t="shared" si="3"/>
        <v>Wang, Yang</v>
      </c>
      <c r="G20" s="8" t="str">
        <f t="shared" si="4"/>
        <v>not an outlier</v>
      </c>
      <c r="H20" s="8" t="str">
        <f t="shared" si="5"/>
        <v>Not</v>
      </c>
      <c r="I20" s="8" t="str">
        <f t="shared" si="15"/>
        <v>no</v>
      </c>
      <c r="J20" s="10" t="str">
        <f t="shared" si="6"/>
        <v>no</v>
      </c>
      <c r="K20" s="10" t="str">
        <f t="shared" si="7"/>
        <v>no</v>
      </c>
      <c r="L20" t="s">
        <v>116</v>
      </c>
      <c r="M20">
        <v>10254</v>
      </c>
      <c r="N20">
        <v>55</v>
      </c>
      <c r="O20" t="s">
        <v>699</v>
      </c>
      <c r="P20" t="str">
        <f t="shared" si="8"/>
        <v>CHOPS_10254_Pâté chinois</v>
      </c>
      <c r="Q20" t="str">
        <f t="shared" si="9"/>
        <v>10254</v>
      </c>
      <c r="R20" t="str">
        <f t="shared" si="10"/>
        <v>10254</v>
      </c>
      <c r="S20" t="str">
        <f t="shared" si="11"/>
        <v>Pâté chinois</v>
      </c>
      <c r="T20">
        <v>19.2</v>
      </c>
      <c r="U20">
        <v>21</v>
      </c>
      <c r="V20">
        <v>0.15</v>
      </c>
      <c r="W20">
        <f t="shared" si="16"/>
        <v>342.71999999999997</v>
      </c>
      <c r="X20" t="str">
        <f t="shared" si="12"/>
        <v>No</v>
      </c>
      <c r="Y20" s="2">
        <v>34557</v>
      </c>
      <c r="Z20" t="str">
        <f t="shared" si="13"/>
        <v/>
      </c>
      <c r="AA20" t="str">
        <f t="shared" si="14"/>
        <v/>
      </c>
      <c r="AB20" t="str" cm="1">
        <f t="array" ref="AB20">_xlfn.IFS(Y20&lt;DATE(1996,1,1),"",Y20&lt;DATE(1996,4,1),"Q1",Y20&lt;DATE(1996,7,1),"Q2",Y20&gt;=DATE(1996,7,1),"")</f>
        <v/>
      </c>
    </row>
    <row r="21" spans="1:28" ht="14.4" x14ac:dyDescent="0.55000000000000004">
      <c r="A21" t="str">
        <f>VLOOKUP(L21,Customers!$A$2:$B$92,2,FALSE)</f>
        <v>Chop-suey Chinese</v>
      </c>
      <c r="B21" t="str">
        <f>VLOOKUP(L21,Customers!$A$2:$C$92,3,TRUE)</f>
        <v>Yang Wang</v>
      </c>
      <c r="C21" t="str">
        <f t="shared" si="0"/>
        <v>Yang</v>
      </c>
      <c r="D21" t="str">
        <f t="shared" si="1"/>
        <v>Wang</v>
      </c>
      <c r="E21" t="str">
        <f t="shared" si="2"/>
        <v>Wang, Yang</v>
      </c>
      <c r="F21" s="8" t="str">
        <f t="shared" si="3"/>
        <v>Wang, Yang</v>
      </c>
      <c r="G21" s="8" t="str">
        <f t="shared" si="4"/>
        <v>not an outlier</v>
      </c>
      <c r="H21" s="8" t="str">
        <f t="shared" si="5"/>
        <v>Not</v>
      </c>
      <c r="I21" s="8" t="str">
        <f t="shared" si="15"/>
        <v>no</v>
      </c>
      <c r="J21" s="10" t="str">
        <f t="shared" si="6"/>
        <v>no</v>
      </c>
      <c r="K21" s="10" t="str">
        <f t="shared" si="7"/>
        <v>no</v>
      </c>
      <c r="L21" t="s">
        <v>116</v>
      </c>
      <c r="M21">
        <v>10254</v>
      </c>
      <c r="N21">
        <v>74</v>
      </c>
      <c r="O21" t="s">
        <v>700</v>
      </c>
      <c r="P21" t="str">
        <f t="shared" si="8"/>
        <v>CHOPS_10254_Longlife Tofu</v>
      </c>
      <c r="Q21" t="str">
        <f t="shared" si="9"/>
        <v>10254</v>
      </c>
      <c r="R21" t="str">
        <f t="shared" si="10"/>
        <v>10254</v>
      </c>
      <c r="S21" t="str">
        <f t="shared" si="11"/>
        <v>Longlife Tofu</v>
      </c>
      <c r="T21">
        <v>8</v>
      </c>
      <c r="U21">
        <v>21</v>
      </c>
      <c r="V21">
        <v>0</v>
      </c>
      <c r="W21">
        <f t="shared" si="16"/>
        <v>168</v>
      </c>
      <c r="X21" t="str">
        <f t="shared" si="12"/>
        <v>No</v>
      </c>
      <c r="Y21" s="2">
        <v>34557</v>
      </c>
      <c r="Z21" t="str">
        <f t="shared" si="13"/>
        <v/>
      </c>
      <c r="AA21" t="str">
        <f t="shared" si="14"/>
        <v/>
      </c>
      <c r="AB21" t="str" cm="1">
        <f t="array" ref="AB21">_xlfn.IFS(Y21&lt;DATE(1996,1,1),"",Y21&lt;DATE(1996,4,1),"Q1",Y21&lt;DATE(1996,7,1),"Q2",Y21&gt;=DATE(1996,7,1),"")</f>
        <v/>
      </c>
    </row>
    <row r="22" spans="1:28" ht="14.4" x14ac:dyDescent="0.55000000000000004">
      <c r="A22" t="str">
        <f>VLOOKUP(L22,Customers!$A$2:$B$92,2,FALSE)</f>
        <v>Richter Supermarkt</v>
      </c>
      <c r="B22" t="str">
        <f>VLOOKUP(L22,Customers!$A$2:$C$92,3,TRUE)</f>
        <v>Michael Holz</v>
      </c>
      <c r="C22" t="str">
        <f t="shared" si="0"/>
        <v>Michael</v>
      </c>
      <c r="D22" t="str">
        <f t="shared" si="1"/>
        <v>Holz</v>
      </c>
      <c r="E22" t="str">
        <f t="shared" si="2"/>
        <v>Holz, Michael</v>
      </c>
      <c r="F22" s="8" t="str">
        <f t="shared" si="3"/>
        <v>Holz, Michael</v>
      </c>
      <c r="G22" s="8" t="str">
        <f t="shared" si="4"/>
        <v>not an outlier</v>
      </c>
      <c r="H22" s="8" t="str">
        <f t="shared" si="5"/>
        <v>Not</v>
      </c>
      <c r="I22" s="8" t="str">
        <f t="shared" si="15"/>
        <v>no</v>
      </c>
      <c r="J22" s="10" t="str">
        <f t="shared" si="6"/>
        <v>no</v>
      </c>
      <c r="K22" s="10" t="str">
        <f t="shared" si="7"/>
        <v>no</v>
      </c>
      <c r="L22" t="s">
        <v>509</v>
      </c>
      <c r="M22">
        <v>10255</v>
      </c>
      <c r="N22">
        <v>2</v>
      </c>
      <c r="O22" t="s">
        <v>701</v>
      </c>
      <c r="P22" t="str">
        <f t="shared" si="8"/>
        <v>RICSU_10255_Chang</v>
      </c>
      <c r="Q22" t="str">
        <f t="shared" si="9"/>
        <v>10255</v>
      </c>
      <c r="R22" t="str">
        <f t="shared" si="10"/>
        <v>10255</v>
      </c>
      <c r="S22" t="str">
        <f t="shared" si="11"/>
        <v>Chang</v>
      </c>
      <c r="T22">
        <v>15.2</v>
      </c>
      <c r="U22">
        <v>20</v>
      </c>
      <c r="V22">
        <v>0</v>
      </c>
      <c r="W22">
        <f t="shared" si="16"/>
        <v>304</v>
      </c>
      <c r="X22" t="str">
        <f t="shared" si="12"/>
        <v>No</v>
      </c>
      <c r="Y22" s="2">
        <v>34558</v>
      </c>
      <c r="Z22" t="str">
        <f t="shared" si="13"/>
        <v/>
      </c>
      <c r="AA22" t="str">
        <f t="shared" si="14"/>
        <v/>
      </c>
      <c r="AB22" t="str" cm="1">
        <f t="array" ref="AB22">_xlfn.IFS(Y22&lt;DATE(1996,1,1),"",Y22&lt;DATE(1996,4,1),"Q1",Y22&lt;DATE(1996,7,1),"Q2",Y22&gt;=DATE(1996,7,1),"")</f>
        <v/>
      </c>
    </row>
    <row r="23" spans="1:28" ht="14.4" x14ac:dyDescent="0.55000000000000004">
      <c r="A23" t="str">
        <f>VLOOKUP(L23,Customers!$A$2:$B$92,2,FALSE)</f>
        <v>Richter Supermarkt</v>
      </c>
      <c r="B23" t="str">
        <f>VLOOKUP(L23,Customers!$A$2:$C$92,3,TRUE)</f>
        <v>Michael Holz</v>
      </c>
      <c r="C23" t="str">
        <f t="shared" si="0"/>
        <v>Michael</v>
      </c>
      <c r="D23" t="str">
        <f t="shared" si="1"/>
        <v>Holz</v>
      </c>
      <c r="E23" t="str">
        <f t="shared" si="2"/>
        <v>Holz, Michael</v>
      </c>
      <c r="F23" s="8" t="str">
        <f t="shared" si="3"/>
        <v>Holz, Michael</v>
      </c>
      <c r="G23" s="8" t="str">
        <f t="shared" si="4"/>
        <v>not an outlier</v>
      </c>
      <c r="H23" s="8" t="str">
        <f t="shared" si="5"/>
        <v>Not</v>
      </c>
      <c r="I23" s="8" t="str">
        <f t="shared" si="15"/>
        <v>no</v>
      </c>
      <c r="J23" s="10" t="str">
        <f t="shared" si="6"/>
        <v>no</v>
      </c>
      <c r="K23" s="10" t="str">
        <f t="shared" si="7"/>
        <v>no</v>
      </c>
      <c r="L23" t="s">
        <v>509</v>
      </c>
      <c r="M23">
        <v>10255</v>
      </c>
      <c r="N23">
        <v>16</v>
      </c>
      <c r="O23" t="s">
        <v>702</v>
      </c>
      <c r="P23" t="str">
        <f t="shared" si="8"/>
        <v>RICSU_10255_Pavlova</v>
      </c>
      <c r="Q23" t="str">
        <f t="shared" si="9"/>
        <v>10255</v>
      </c>
      <c r="R23" t="str">
        <f t="shared" si="10"/>
        <v>10255</v>
      </c>
      <c r="S23" t="str">
        <f t="shared" si="11"/>
        <v>Pavlova</v>
      </c>
      <c r="T23">
        <v>13.9</v>
      </c>
      <c r="U23">
        <v>35</v>
      </c>
      <c r="V23">
        <v>0</v>
      </c>
      <c r="W23">
        <f t="shared" si="16"/>
        <v>486.5</v>
      </c>
      <c r="X23" t="str">
        <f t="shared" si="12"/>
        <v>No</v>
      </c>
      <c r="Y23" s="2">
        <v>34558</v>
      </c>
      <c r="Z23" t="str">
        <f t="shared" si="13"/>
        <v/>
      </c>
      <c r="AA23" t="str">
        <f t="shared" si="14"/>
        <v/>
      </c>
      <c r="AB23" t="str" cm="1">
        <f t="array" ref="AB23">_xlfn.IFS(Y23&lt;DATE(1996,1,1),"",Y23&lt;DATE(1996,4,1),"Q1",Y23&lt;DATE(1996,7,1),"Q2",Y23&gt;=DATE(1996,7,1),"")</f>
        <v/>
      </c>
    </row>
    <row r="24" spans="1:28" ht="14.4" x14ac:dyDescent="0.55000000000000004">
      <c r="A24" t="str">
        <f>VLOOKUP(L24,Customers!$A$2:$B$92,2,FALSE)</f>
        <v>Richter Supermarkt</v>
      </c>
      <c r="B24" t="str">
        <f>VLOOKUP(L24,Customers!$A$2:$C$92,3,TRUE)</f>
        <v>Michael Holz</v>
      </c>
      <c r="C24" t="str">
        <f t="shared" si="0"/>
        <v>Michael</v>
      </c>
      <c r="D24" s="8" t="str">
        <f t="shared" si="1"/>
        <v>Holz</v>
      </c>
      <c r="E24" s="8" t="str">
        <f t="shared" si="2"/>
        <v>Holz, Michael</v>
      </c>
      <c r="F24" s="8" t="str">
        <f t="shared" si="3"/>
        <v>Holz, Michael</v>
      </c>
      <c r="G24" s="8" t="str">
        <f t="shared" si="4"/>
        <v>not an outlier</v>
      </c>
      <c r="H24" s="8" t="str">
        <f t="shared" si="5"/>
        <v>Not</v>
      </c>
      <c r="I24" s="8" t="str">
        <f t="shared" si="15"/>
        <v>no</v>
      </c>
      <c r="J24" s="10" t="str">
        <f t="shared" si="6"/>
        <v>no</v>
      </c>
      <c r="K24" s="10" t="str">
        <f t="shared" si="7"/>
        <v>no</v>
      </c>
      <c r="L24" t="s">
        <v>509</v>
      </c>
      <c r="M24">
        <v>10255</v>
      </c>
      <c r="N24">
        <v>36</v>
      </c>
      <c r="O24" t="s">
        <v>703</v>
      </c>
      <c r="P24" t="str">
        <f t="shared" si="8"/>
        <v>RICSU_10255_Inlagd Sill</v>
      </c>
      <c r="Q24" t="str">
        <f t="shared" si="9"/>
        <v>10255</v>
      </c>
      <c r="R24" t="str">
        <f t="shared" si="10"/>
        <v>10255</v>
      </c>
      <c r="S24" t="str">
        <f t="shared" si="11"/>
        <v>Inlagd Sill</v>
      </c>
      <c r="T24">
        <v>15.2</v>
      </c>
      <c r="U24">
        <v>25</v>
      </c>
      <c r="V24">
        <v>0</v>
      </c>
      <c r="W24">
        <f t="shared" si="16"/>
        <v>380</v>
      </c>
      <c r="X24" t="str">
        <f t="shared" si="12"/>
        <v>No</v>
      </c>
      <c r="Y24" s="2">
        <v>34558</v>
      </c>
      <c r="Z24" t="str">
        <f t="shared" si="13"/>
        <v/>
      </c>
      <c r="AA24" t="str">
        <f t="shared" si="14"/>
        <v/>
      </c>
      <c r="AB24" t="str" cm="1">
        <f t="array" ref="AB24">_xlfn.IFS(Y24&lt;DATE(1996,1,1),"",Y24&lt;DATE(1996,4,1),"Q1",Y24&lt;DATE(1996,7,1),"Q2",Y24&gt;=DATE(1996,7,1),"")</f>
        <v/>
      </c>
    </row>
    <row r="25" spans="1:28" ht="14.4" x14ac:dyDescent="0.55000000000000004">
      <c r="A25" t="str">
        <f>VLOOKUP(L25,Customers!$A$2:$B$92,2,FALSE)</f>
        <v>Richter Supermarkt</v>
      </c>
      <c r="B25" t="str">
        <f>VLOOKUP(L25,Customers!$A$2:$C$92,3,TRUE)</f>
        <v>Michael Holz</v>
      </c>
      <c r="C25" t="str">
        <f t="shared" si="0"/>
        <v>Michael</v>
      </c>
      <c r="D25" s="8" t="str">
        <f t="shared" si="1"/>
        <v>Holz</v>
      </c>
      <c r="E25" s="8" t="str">
        <f t="shared" si="2"/>
        <v>Holz, Michael</v>
      </c>
      <c r="F25" s="8" t="str">
        <f t="shared" si="3"/>
        <v>Holz, Michael</v>
      </c>
      <c r="G25" s="8" t="str">
        <f t="shared" si="4"/>
        <v>not an outlier</v>
      </c>
      <c r="H25" s="8" t="str">
        <f t="shared" si="5"/>
        <v>Not</v>
      </c>
      <c r="I25" s="8" t="str">
        <f t="shared" si="15"/>
        <v>no</v>
      </c>
      <c r="J25" s="10" t="str">
        <f t="shared" si="6"/>
        <v>no</v>
      </c>
      <c r="K25" s="10" t="str">
        <f t="shared" si="7"/>
        <v>no</v>
      </c>
      <c r="L25" t="s">
        <v>509</v>
      </c>
      <c r="M25">
        <v>10255</v>
      </c>
      <c r="N25">
        <v>59</v>
      </c>
      <c r="O25" t="s">
        <v>704</v>
      </c>
      <c r="P25" t="str">
        <f t="shared" si="8"/>
        <v>RICSU_10255_Raclette Courdavault</v>
      </c>
      <c r="Q25" t="str">
        <f t="shared" si="9"/>
        <v>10255</v>
      </c>
      <c r="R25" t="str">
        <f t="shared" si="10"/>
        <v>10255</v>
      </c>
      <c r="S25" t="str">
        <f t="shared" si="11"/>
        <v>Raclette Courdavault</v>
      </c>
      <c r="T25">
        <v>44</v>
      </c>
      <c r="U25">
        <v>30</v>
      </c>
      <c r="V25">
        <v>0</v>
      </c>
      <c r="W25">
        <f t="shared" si="16"/>
        <v>1320</v>
      </c>
      <c r="X25" t="str">
        <f t="shared" si="12"/>
        <v>No</v>
      </c>
      <c r="Y25" s="2">
        <v>34558</v>
      </c>
      <c r="Z25" t="str">
        <f t="shared" si="13"/>
        <v/>
      </c>
      <c r="AA25" t="str">
        <f t="shared" si="14"/>
        <v/>
      </c>
      <c r="AB25" t="str" cm="1">
        <f t="array" ref="AB25">_xlfn.IFS(Y25&lt;DATE(1996,1,1),"",Y25&lt;DATE(1996,4,1),"Q1",Y25&lt;DATE(1996,7,1),"Q2",Y25&gt;=DATE(1996,7,1),"")</f>
        <v/>
      </c>
    </row>
    <row r="26" spans="1:28" ht="14.4" x14ac:dyDescent="0.55000000000000004">
      <c r="A26" t="str">
        <f>VLOOKUP(L26,Customers!$A$2:$B$92,2,FALSE)</f>
        <v>Wellington Importadora</v>
      </c>
      <c r="B26" t="str">
        <f>VLOOKUP(L26,Customers!$A$2:$C$92,3,TRUE)</f>
        <v>Paula Parente</v>
      </c>
      <c r="C26" t="str">
        <f t="shared" si="0"/>
        <v>Paula</v>
      </c>
      <c r="D26" s="8" t="str">
        <f t="shared" si="1"/>
        <v>Parente</v>
      </c>
      <c r="E26" s="8" t="str">
        <f t="shared" si="2"/>
        <v>Parente, Paula</v>
      </c>
      <c r="F26" s="8" t="str">
        <f t="shared" si="3"/>
        <v>Parente, Paula</v>
      </c>
      <c r="G26" s="8" t="str">
        <f t="shared" si="4"/>
        <v>not an outlier</v>
      </c>
      <c r="H26" s="8" t="str">
        <f t="shared" si="5"/>
        <v>Not</v>
      </c>
      <c r="I26" s="8" t="str">
        <f t="shared" si="15"/>
        <v>no</v>
      </c>
      <c r="J26" s="10" t="str">
        <f t="shared" si="6"/>
        <v>no</v>
      </c>
      <c r="K26" s="10" t="str">
        <f t="shared" si="7"/>
        <v>no</v>
      </c>
      <c r="L26" t="s">
        <v>647</v>
      </c>
      <c r="M26">
        <v>10256</v>
      </c>
      <c r="N26">
        <v>53</v>
      </c>
      <c r="O26" t="s">
        <v>705</v>
      </c>
      <c r="P26" t="str">
        <f t="shared" si="8"/>
        <v>WELLI_10256_Perth Pasties</v>
      </c>
      <c r="Q26" t="str">
        <f t="shared" si="9"/>
        <v>10256</v>
      </c>
      <c r="R26" t="str">
        <f t="shared" si="10"/>
        <v>10256</v>
      </c>
      <c r="S26" t="str">
        <f t="shared" si="11"/>
        <v>Perth Pasties</v>
      </c>
      <c r="T26">
        <v>26.2</v>
      </c>
      <c r="U26">
        <v>15</v>
      </c>
      <c r="V26">
        <v>0</v>
      </c>
      <c r="W26">
        <f t="shared" si="16"/>
        <v>393</v>
      </c>
      <c r="X26" t="str">
        <f t="shared" si="12"/>
        <v>No</v>
      </c>
      <c r="Y26" s="2">
        <v>34561</v>
      </c>
      <c r="Z26" t="str">
        <f t="shared" si="13"/>
        <v/>
      </c>
      <c r="AA26" t="str">
        <f t="shared" si="14"/>
        <v/>
      </c>
      <c r="AB26" t="str" cm="1">
        <f t="array" ref="AB26">_xlfn.IFS(Y26&lt;DATE(1996,1,1),"",Y26&lt;DATE(1996,4,1),"Q1",Y26&lt;DATE(1996,7,1),"Q2",Y26&gt;=DATE(1996,7,1),"")</f>
        <v/>
      </c>
    </row>
    <row r="27" spans="1:28" ht="14.4" x14ac:dyDescent="0.55000000000000004">
      <c r="A27" t="str">
        <f>VLOOKUP(L27,Customers!$A$2:$B$92,2,FALSE)</f>
        <v>Wellington Importadora</v>
      </c>
      <c r="B27" t="str">
        <f>VLOOKUP(L27,Customers!$A$2:$C$92,3,TRUE)</f>
        <v>Paula Parente</v>
      </c>
      <c r="C27" t="str">
        <f t="shared" si="0"/>
        <v>Paula</v>
      </c>
      <c r="D27" s="8" t="str">
        <f t="shared" si="1"/>
        <v>Parente</v>
      </c>
      <c r="E27" s="8" t="str">
        <f t="shared" si="2"/>
        <v>Parente, Paula</v>
      </c>
      <c r="F27" s="8" t="str">
        <f t="shared" si="3"/>
        <v>Parente, Paula</v>
      </c>
      <c r="G27" s="8" t="str">
        <f t="shared" si="4"/>
        <v>not an outlier</v>
      </c>
      <c r="H27" s="8" t="str">
        <f t="shared" si="5"/>
        <v>Not</v>
      </c>
      <c r="I27" s="8" t="str">
        <f t="shared" si="15"/>
        <v>no</v>
      </c>
      <c r="J27" s="10" t="str">
        <f t="shared" si="6"/>
        <v>no</v>
      </c>
      <c r="K27" s="10" t="str">
        <f t="shared" si="7"/>
        <v>no</v>
      </c>
      <c r="L27" t="s">
        <v>647</v>
      </c>
      <c r="M27">
        <v>10256</v>
      </c>
      <c r="N27">
        <v>77</v>
      </c>
      <c r="O27" t="s">
        <v>706</v>
      </c>
      <c r="P27" t="str">
        <f t="shared" si="8"/>
        <v>WELLI_10256_Original Frankfurter grüne Soße</v>
      </c>
      <c r="Q27" t="str">
        <f t="shared" si="9"/>
        <v>10256</v>
      </c>
      <c r="R27" t="str">
        <f t="shared" si="10"/>
        <v>10256</v>
      </c>
      <c r="S27" t="str">
        <f t="shared" si="11"/>
        <v>Original Frankfurter grüne Soße</v>
      </c>
      <c r="T27">
        <v>10.4</v>
      </c>
      <c r="U27">
        <v>12</v>
      </c>
      <c r="V27">
        <v>0</v>
      </c>
      <c r="W27">
        <f t="shared" si="16"/>
        <v>124.80000000000001</v>
      </c>
      <c r="X27" t="str">
        <f t="shared" si="12"/>
        <v>No</v>
      </c>
      <c r="Y27" s="2">
        <v>34561</v>
      </c>
      <c r="Z27" t="str">
        <f t="shared" si="13"/>
        <v/>
      </c>
      <c r="AA27" t="str">
        <f t="shared" si="14"/>
        <v/>
      </c>
      <c r="AB27" t="str" cm="1">
        <f t="array" ref="AB27">_xlfn.IFS(Y27&lt;DATE(1996,1,1),"",Y27&lt;DATE(1996,4,1),"Q1",Y27&lt;DATE(1996,7,1),"Q2",Y27&gt;=DATE(1996,7,1),"")</f>
        <v/>
      </c>
    </row>
    <row r="28" spans="1:28" ht="14.4" x14ac:dyDescent="0.55000000000000004">
      <c r="A28" t="str">
        <f>VLOOKUP(L28,Customers!$A$2:$B$92,2,FALSE)</f>
        <v>HILARIÓN-Abastos</v>
      </c>
      <c r="B28" t="str">
        <f>VLOOKUP(L28,Customers!$A$2:$C$92,3,TRUE)</f>
        <v>Carlos Hernández</v>
      </c>
      <c r="C28" t="str">
        <f t="shared" si="0"/>
        <v>Carlos</v>
      </c>
      <c r="D28" s="8" t="str">
        <f t="shared" si="1"/>
        <v>Hernández</v>
      </c>
      <c r="E28" s="8" t="str">
        <f t="shared" si="2"/>
        <v>Hernández, Carlos</v>
      </c>
      <c r="F28" s="8" t="str">
        <f t="shared" si="3"/>
        <v>Hernández, Carlos</v>
      </c>
      <c r="G28" s="8" t="str">
        <f t="shared" si="4"/>
        <v>not an outlier</v>
      </c>
      <c r="H28" s="8" t="str">
        <f t="shared" si="5"/>
        <v>Not</v>
      </c>
      <c r="I28" s="8" t="str">
        <f t="shared" si="15"/>
        <v>no</v>
      </c>
      <c r="J28" s="10" t="str">
        <f t="shared" si="6"/>
        <v>no</v>
      </c>
      <c r="K28" s="10" t="str">
        <f t="shared" si="7"/>
        <v>no</v>
      </c>
      <c r="L28" t="s">
        <v>273</v>
      </c>
      <c r="M28">
        <v>10257</v>
      </c>
      <c r="N28">
        <v>27</v>
      </c>
      <c r="O28" t="s">
        <v>707</v>
      </c>
      <c r="P28" t="str">
        <f t="shared" si="8"/>
        <v>HILAA_10257_Schoggi Schokolade</v>
      </c>
      <c r="Q28" t="str">
        <f t="shared" si="9"/>
        <v>10257</v>
      </c>
      <c r="R28" t="str">
        <f t="shared" si="10"/>
        <v>10257</v>
      </c>
      <c r="S28" t="str">
        <f t="shared" si="11"/>
        <v>Schoggi Schokolade</v>
      </c>
      <c r="T28">
        <v>35.1</v>
      </c>
      <c r="U28">
        <v>25</v>
      </c>
      <c r="V28">
        <v>0</v>
      </c>
      <c r="W28">
        <f t="shared" si="16"/>
        <v>877.5</v>
      </c>
      <c r="X28" t="str">
        <f t="shared" si="12"/>
        <v>No</v>
      </c>
      <c r="Y28" s="2">
        <v>34562</v>
      </c>
      <c r="Z28" t="str">
        <f t="shared" si="13"/>
        <v/>
      </c>
      <c r="AA28" t="str">
        <f t="shared" si="14"/>
        <v/>
      </c>
      <c r="AB28" t="str" cm="1">
        <f t="array" ref="AB28">_xlfn.IFS(Y28&lt;DATE(1996,1,1),"",Y28&lt;DATE(1996,4,1),"Q1",Y28&lt;DATE(1996,7,1),"Q2",Y28&gt;=DATE(1996,7,1),"")</f>
        <v/>
      </c>
    </row>
    <row r="29" spans="1:28" ht="14.4" x14ac:dyDescent="0.55000000000000004">
      <c r="A29" t="str">
        <f>VLOOKUP(L29,Customers!$A$2:$B$92,2,FALSE)</f>
        <v>HILARIÓN-Abastos</v>
      </c>
      <c r="B29" t="str">
        <f>VLOOKUP(L29,Customers!$A$2:$C$92,3,TRUE)</f>
        <v>Carlos Hernández</v>
      </c>
      <c r="C29" t="str">
        <f t="shared" si="0"/>
        <v>Carlos</v>
      </c>
      <c r="D29" s="8" t="str">
        <f t="shared" si="1"/>
        <v>Hernández</v>
      </c>
      <c r="E29" s="8" t="str">
        <f t="shared" si="2"/>
        <v>Hernández, Carlos</v>
      </c>
      <c r="F29" s="8" t="str">
        <f t="shared" si="3"/>
        <v>Hernández, Carlos</v>
      </c>
      <c r="G29" s="8" t="str">
        <f t="shared" si="4"/>
        <v>not an outlier</v>
      </c>
      <c r="H29" s="8" t="str">
        <f t="shared" si="5"/>
        <v>Not</v>
      </c>
      <c r="I29" s="8" t="str">
        <f t="shared" si="15"/>
        <v>no</v>
      </c>
      <c r="J29" s="10" t="str">
        <f t="shared" si="6"/>
        <v>no</v>
      </c>
      <c r="K29" s="10" t="str">
        <f t="shared" si="7"/>
        <v>no</v>
      </c>
      <c r="L29" t="s">
        <v>273</v>
      </c>
      <c r="M29">
        <v>10257</v>
      </c>
      <c r="N29">
        <v>39</v>
      </c>
      <c r="O29" t="s">
        <v>696</v>
      </c>
      <c r="P29" t="str">
        <f t="shared" si="8"/>
        <v>HILAA_10257_Chartreuse verte</v>
      </c>
      <c r="Q29" t="str">
        <f t="shared" si="9"/>
        <v>10257</v>
      </c>
      <c r="R29" t="str">
        <f t="shared" si="10"/>
        <v>10257</v>
      </c>
      <c r="S29" t="str">
        <f t="shared" si="11"/>
        <v>Chartreuse verte</v>
      </c>
      <c r="T29">
        <v>14.4</v>
      </c>
      <c r="U29">
        <v>6</v>
      </c>
      <c r="V29">
        <v>0</v>
      </c>
      <c r="W29">
        <f t="shared" si="16"/>
        <v>86.4</v>
      </c>
      <c r="X29" t="str">
        <f t="shared" si="12"/>
        <v>No</v>
      </c>
      <c r="Y29" s="2">
        <v>34562</v>
      </c>
      <c r="Z29" t="str">
        <f t="shared" si="13"/>
        <v/>
      </c>
      <c r="AA29" t="str">
        <f t="shared" si="14"/>
        <v/>
      </c>
      <c r="AB29" t="str" cm="1">
        <f t="array" ref="AB29">_xlfn.IFS(Y29&lt;DATE(1996,1,1),"",Y29&lt;DATE(1996,4,1),"Q1",Y29&lt;DATE(1996,7,1),"Q2",Y29&gt;=DATE(1996,7,1),"")</f>
        <v/>
      </c>
    </row>
    <row r="30" spans="1:28" ht="14.4" x14ac:dyDescent="0.55000000000000004">
      <c r="A30" t="str">
        <f>VLOOKUP(L30,Customers!$A$2:$B$92,2,FALSE)</f>
        <v>HILARIÓN-Abastos</v>
      </c>
      <c r="B30" t="str">
        <f>VLOOKUP(L30,Customers!$A$2:$C$92,3,TRUE)</f>
        <v>Carlos Hernández</v>
      </c>
      <c r="C30" t="str">
        <f t="shared" si="0"/>
        <v>Carlos</v>
      </c>
      <c r="D30" s="8" t="str">
        <f t="shared" si="1"/>
        <v>Hernández</v>
      </c>
      <c r="E30" s="8" t="str">
        <f t="shared" si="2"/>
        <v>Hernández, Carlos</v>
      </c>
      <c r="F30" s="8" t="str">
        <f t="shared" si="3"/>
        <v>Hernández, Carlos</v>
      </c>
      <c r="G30" s="8" t="str">
        <f t="shared" si="4"/>
        <v>not an outlier</v>
      </c>
      <c r="H30" s="8" t="str">
        <f t="shared" si="5"/>
        <v>Not</v>
      </c>
      <c r="I30" s="8" t="str">
        <f t="shared" si="15"/>
        <v>no</v>
      </c>
      <c r="J30" s="10" t="str">
        <f t="shared" si="6"/>
        <v>no</v>
      </c>
      <c r="K30" s="10" t="str">
        <f t="shared" si="7"/>
        <v>no</v>
      </c>
      <c r="L30" t="s">
        <v>273</v>
      </c>
      <c r="M30">
        <v>10257</v>
      </c>
      <c r="N30">
        <v>77</v>
      </c>
      <c r="O30" t="s">
        <v>706</v>
      </c>
      <c r="P30" t="str">
        <f t="shared" si="8"/>
        <v>HILAA_10257_Original Frankfurter grüne Soße</v>
      </c>
      <c r="Q30" t="str">
        <f t="shared" si="9"/>
        <v>10257</v>
      </c>
      <c r="R30" t="str">
        <f t="shared" si="10"/>
        <v>10257</v>
      </c>
      <c r="S30" t="str">
        <f t="shared" si="11"/>
        <v>Original Frankfurter grüne Soße</v>
      </c>
      <c r="T30">
        <v>10.4</v>
      </c>
      <c r="U30">
        <v>15</v>
      </c>
      <c r="V30">
        <v>0</v>
      </c>
      <c r="W30">
        <f t="shared" si="16"/>
        <v>156</v>
      </c>
      <c r="X30" t="str">
        <f t="shared" si="12"/>
        <v>No</v>
      </c>
      <c r="Y30" s="2">
        <v>34562</v>
      </c>
      <c r="Z30" t="str">
        <f t="shared" si="13"/>
        <v/>
      </c>
      <c r="AA30" t="str">
        <f t="shared" si="14"/>
        <v/>
      </c>
      <c r="AB30" t="str" cm="1">
        <f t="array" ref="AB30">_xlfn.IFS(Y30&lt;DATE(1996,1,1),"",Y30&lt;DATE(1996,4,1),"Q1",Y30&lt;DATE(1996,7,1),"Q2",Y30&gt;=DATE(1996,7,1),"")</f>
        <v/>
      </c>
    </row>
    <row r="31" spans="1:28" ht="14.4" x14ac:dyDescent="0.55000000000000004">
      <c r="A31" t="str">
        <f>VLOOKUP(L31,Customers!$A$2:$B$92,2,FALSE)</f>
        <v>Ernst Handel</v>
      </c>
      <c r="B31" t="str">
        <f>VLOOKUP(L31,Customers!$A$2:$C$92,3,TRUE)</f>
        <v>Roland Mendel</v>
      </c>
      <c r="C31" t="str">
        <f t="shared" si="0"/>
        <v>Roland</v>
      </c>
      <c r="D31" s="8" t="str">
        <f t="shared" si="1"/>
        <v>Mendel</v>
      </c>
      <c r="E31" s="8" t="str">
        <f t="shared" si="2"/>
        <v>Mendel, Roland</v>
      </c>
      <c r="F31" s="8" t="str">
        <f t="shared" si="3"/>
        <v>Mendel, Roland</v>
      </c>
      <c r="G31" s="8" t="str">
        <f t="shared" si="4"/>
        <v>not an outlier</v>
      </c>
      <c r="H31" s="8" t="str">
        <f t="shared" si="5"/>
        <v>Not</v>
      </c>
      <c r="I31" s="8" t="str">
        <f t="shared" si="15"/>
        <v>no</v>
      </c>
      <c r="J31" s="10" t="str">
        <f t="shared" si="6"/>
        <v>no</v>
      </c>
      <c r="K31" s="10" t="str">
        <f t="shared" si="7"/>
        <v>no</v>
      </c>
      <c r="L31" t="s">
        <v>161</v>
      </c>
      <c r="M31">
        <v>10258</v>
      </c>
      <c r="N31">
        <v>2</v>
      </c>
      <c r="O31" t="s">
        <v>701</v>
      </c>
      <c r="P31" t="str">
        <f t="shared" si="8"/>
        <v>ERNSH_10258_Chang</v>
      </c>
      <c r="Q31" t="str">
        <f t="shared" si="9"/>
        <v>10258</v>
      </c>
      <c r="R31" t="str">
        <f t="shared" si="10"/>
        <v>10258</v>
      </c>
      <c r="S31" t="str">
        <f t="shared" si="11"/>
        <v>Chang</v>
      </c>
      <c r="T31">
        <v>15.2</v>
      </c>
      <c r="U31">
        <v>50</v>
      </c>
      <c r="V31">
        <v>0.2</v>
      </c>
      <c r="W31">
        <f t="shared" si="16"/>
        <v>608</v>
      </c>
      <c r="X31" t="str">
        <f t="shared" si="12"/>
        <v>No</v>
      </c>
      <c r="Y31" s="2">
        <v>34563</v>
      </c>
      <c r="Z31" t="str">
        <f t="shared" si="13"/>
        <v/>
      </c>
      <c r="AA31" t="str">
        <f t="shared" si="14"/>
        <v/>
      </c>
      <c r="AB31" t="str" cm="1">
        <f t="array" ref="AB31">_xlfn.IFS(Y31&lt;DATE(1996,1,1),"",Y31&lt;DATE(1996,4,1),"Q1",Y31&lt;DATE(1996,7,1),"Q2",Y31&gt;=DATE(1996,7,1),"")</f>
        <v/>
      </c>
    </row>
    <row r="32" spans="1:28" ht="14.4" x14ac:dyDescent="0.55000000000000004">
      <c r="A32" t="str">
        <f>VLOOKUP(L32,Customers!$A$2:$B$92,2,FALSE)</f>
        <v>Ernst Handel</v>
      </c>
      <c r="B32" t="str">
        <f>VLOOKUP(L32,Customers!$A$2:$C$92,3,TRUE)</f>
        <v>Roland Mendel</v>
      </c>
      <c r="C32" t="str">
        <f t="shared" si="0"/>
        <v>Roland</v>
      </c>
      <c r="D32" s="8" t="str">
        <f t="shared" si="1"/>
        <v>Mendel</v>
      </c>
      <c r="E32" s="8" t="str">
        <f t="shared" si="2"/>
        <v>Mendel, Roland</v>
      </c>
      <c r="F32" s="8" t="str">
        <f t="shared" si="3"/>
        <v>Mendel, Roland</v>
      </c>
      <c r="G32" s="8" t="str">
        <f t="shared" si="4"/>
        <v>not an outlier</v>
      </c>
      <c r="H32" s="8" t="str">
        <f t="shared" si="5"/>
        <v>Not</v>
      </c>
      <c r="I32" s="8" t="str">
        <f t="shared" si="15"/>
        <v>no</v>
      </c>
      <c r="J32" s="10" t="str">
        <f t="shared" si="6"/>
        <v>no</v>
      </c>
      <c r="K32" s="10" t="str">
        <f t="shared" si="7"/>
        <v>no</v>
      </c>
      <c r="L32" t="s">
        <v>161</v>
      </c>
      <c r="M32">
        <v>10258</v>
      </c>
      <c r="N32">
        <v>5</v>
      </c>
      <c r="O32" t="s">
        <v>708</v>
      </c>
      <c r="P32" t="str">
        <f t="shared" si="8"/>
        <v>ERNSH_10258_Chef Anton's Gumbo Mix</v>
      </c>
      <c r="Q32" t="str">
        <f t="shared" si="9"/>
        <v>10258</v>
      </c>
      <c r="R32" t="str">
        <f t="shared" si="10"/>
        <v>10258</v>
      </c>
      <c r="S32" t="str">
        <f t="shared" si="11"/>
        <v>Chef Anton's Gumbo Mix</v>
      </c>
      <c r="T32">
        <v>17</v>
      </c>
      <c r="U32">
        <v>65</v>
      </c>
      <c r="V32">
        <v>0.2</v>
      </c>
      <c r="W32">
        <f t="shared" si="16"/>
        <v>884</v>
      </c>
      <c r="X32" t="str">
        <f t="shared" si="12"/>
        <v>No</v>
      </c>
      <c r="Y32" s="2">
        <v>34563</v>
      </c>
      <c r="Z32" t="str">
        <f t="shared" si="13"/>
        <v/>
      </c>
      <c r="AA32" t="str">
        <f t="shared" si="14"/>
        <v/>
      </c>
      <c r="AB32" t="str" cm="1">
        <f t="array" ref="AB32">_xlfn.IFS(Y32&lt;DATE(1996,1,1),"",Y32&lt;DATE(1996,4,1),"Q1",Y32&lt;DATE(1996,7,1),"Q2",Y32&gt;=DATE(1996,7,1),"")</f>
        <v/>
      </c>
    </row>
    <row r="33" spans="1:28" ht="14.4" x14ac:dyDescent="0.55000000000000004">
      <c r="A33" t="str">
        <f>VLOOKUP(L33,Customers!$A$2:$B$92,2,FALSE)</f>
        <v>Ernst Handel</v>
      </c>
      <c r="B33" t="str">
        <f>VLOOKUP(L33,Customers!$A$2:$C$92,3,TRUE)</f>
        <v>Roland Mendel</v>
      </c>
      <c r="C33" t="str">
        <f t="shared" si="0"/>
        <v>Roland</v>
      </c>
      <c r="D33" s="8" t="str">
        <f t="shared" si="1"/>
        <v>Mendel</v>
      </c>
      <c r="E33" s="8" t="str">
        <f t="shared" si="2"/>
        <v>Mendel, Roland</v>
      </c>
      <c r="F33" s="8" t="str">
        <f t="shared" si="3"/>
        <v>Mendel, Roland</v>
      </c>
      <c r="G33" s="8" t="str">
        <f t="shared" si="4"/>
        <v>not an outlier</v>
      </c>
      <c r="H33" s="8" t="str">
        <f t="shared" si="5"/>
        <v>Not</v>
      </c>
      <c r="I33" s="8" t="str">
        <f t="shared" si="15"/>
        <v>no</v>
      </c>
      <c r="J33" s="10" t="str">
        <f t="shared" si="6"/>
        <v>no</v>
      </c>
      <c r="K33" s="10" t="str">
        <f t="shared" si="7"/>
        <v>no</v>
      </c>
      <c r="L33" t="s">
        <v>161</v>
      </c>
      <c r="M33">
        <v>10258</v>
      </c>
      <c r="N33">
        <v>32</v>
      </c>
      <c r="O33" t="s">
        <v>709</v>
      </c>
      <c r="P33" t="str">
        <f t="shared" si="8"/>
        <v>ERNSH_10258_Mascarpone Fabioli</v>
      </c>
      <c r="Q33" t="str">
        <f t="shared" si="9"/>
        <v>10258</v>
      </c>
      <c r="R33" t="str">
        <f t="shared" si="10"/>
        <v>10258</v>
      </c>
      <c r="S33" t="str">
        <f t="shared" si="11"/>
        <v>Mascarpone Fabioli</v>
      </c>
      <c r="T33">
        <v>25.6</v>
      </c>
      <c r="U33">
        <v>6</v>
      </c>
      <c r="V33">
        <v>0.2</v>
      </c>
      <c r="W33">
        <f t="shared" si="16"/>
        <v>122.88000000000002</v>
      </c>
      <c r="X33" t="str">
        <f t="shared" si="12"/>
        <v>No</v>
      </c>
      <c r="Y33" s="2">
        <v>34563</v>
      </c>
      <c r="Z33" t="str">
        <f t="shared" si="13"/>
        <v/>
      </c>
      <c r="AA33" t="str">
        <f t="shared" si="14"/>
        <v/>
      </c>
      <c r="AB33" t="str" cm="1">
        <f t="array" ref="AB33">_xlfn.IFS(Y33&lt;DATE(1996,1,1),"",Y33&lt;DATE(1996,4,1),"Q1",Y33&lt;DATE(1996,7,1),"Q2",Y33&gt;=DATE(1996,7,1),"")</f>
        <v/>
      </c>
    </row>
    <row r="34" spans="1:28" ht="14.4" x14ac:dyDescent="0.55000000000000004">
      <c r="A34" t="str">
        <f>VLOOKUP(L34,Customers!$A$2:$B$92,2,FALSE)</f>
        <v>Centro comercial Moctezuma</v>
      </c>
      <c r="B34" t="str">
        <f>VLOOKUP(L34,Customers!$A$2:$C$92,3,TRUE)</f>
        <v>Francisco Chang</v>
      </c>
      <c r="C34" t="str">
        <f t="shared" si="0"/>
        <v>Francisco</v>
      </c>
      <c r="D34" s="8" t="str">
        <f t="shared" si="1"/>
        <v>Chang</v>
      </c>
      <c r="E34" s="8" t="str">
        <f t="shared" si="2"/>
        <v>Chang, Francisco</v>
      </c>
      <c r="F34" s="8" t="str">
        <f t="shared" si="3"/>
        <v>Chang, Francisco</v>
      </c>
      <c r="G34" s="8" t="str">
        <f t="shared" si="4"/>
        <v>not an outlier</v>
      </c>
      <c r="H34" s="8" t="str">
        <f t="shared" si="5"/>
        <v>Not</v>
      </c>
      <c r="I34" s="8" t="str">
        <f t="shared" si="15"/>
        <v>no</v>
      </c>
      <c r="J34" s="10" t="str">
        <f t="shared" si="6"/>
        <v>no</v>
      </c>
      <c r="K34" s="10" t="str">
        <f t="shared" si="7"/>
        <v>no</v>
      </c>
      <c r="L34" t="s">
        <v>110</v>
      </c>
      <c r="M34">
        <v>10259</v>
      </c>
      <c r="N34">
        <v>21</v>
      </c>
      <c r="O34" t="s">
        <v>710</v>
      </c>
      <c r="P34" t="str">
        <f t="shared" si="8"/>
        <v>CENTC_10259_Sir Rodney's Scones</v>
      </c>
      <c r="Q34" t="str">
        <f t="shared" si="9"/>
        <v>10259</v>
      </c>
      <c r="R34" t="str">
        <f t="shared" si="10"/>
        <v>10259</v>
      </c>
      <c r="S34" t="str">
        <f t="shared" si="11"/>
        <v>Sir Rodney's Scones</v>
      </c>
      <c r="T34">
        <v>8</v>
      </c>
      <c r="U34">
        <v>10</v>
      </c>
      <c r="V34">
        <v>0</v>
      </c>
      <c r="W34">
        <f t="shared" si="16"/>
        <v>80</v>
      </c>
      <c r="X34" t="str">
        <f t="shared" si="12"/>
        <v>No</v>
      </c>
      <c r="Y34" s="2">
        <v>34564</v>
      </c>
      <c r="Z34" t="str">
        <f t="shared" si="13"/>
        <v/>
      </c>
      <c r="AA34" t="str">
        <f t="shared" si="14"/>
        <v/>
      </c>
      <c r="AB34" t="str" cm="1">
        <f t="array" ref="AB34">_xlfn.IFS(Y34&lt;DATE(1996,1,1),"",Y34&lt;DATE(1996,4,1),"Q1",Y34&lt;DATE(1996,7,1),"Q2",Y34&gt;=DATE(1996,7,1),"")</f>
        <v/>
      </c>
    </row>
    <row r="35" spans="1:28" ht="14.4" x14ac:dyDescent="0.55000000000000004">
      <c r="A35" t="str">
        <f>VLOOKUP(L35,Customers!$A$2:$B$92,2,FALSE)</f>
        <v>Centro comercial Moctezuma</v>
      </c>
      <c r="B35" t="str">
        <f>VLOOKUP(L35,Customers!$A$2:$C$92,3,TRUE)</f>
        <v>Francisco Chang</v>
      </c>
      <c r="C35" t="str">
        <f t="shared" si="0"/>
        <v>Francisco</v>
      </c>
      <c r="D35" s="8" t="str">
        <f t="shared" si="1"/>
        <v>Chang</v>
      </c>
      <c r="E35" s="8" t="str">
        <f t="shared" si="2"/>
        <v>Chang, Francisco</v>
      </c>
      <c r="F35" s="8" t="str">
        <f t="shared" si="3"/>
        <v>Chang, Francisco</v>
      </c>
      <c r="G35" s="8" t="str">
        <f t="shared" si="4"/>
        <v>not an outlier</v>
      </c>
      <c r="H35" s="8" t="str">
        <f t="shared" si="5"/>
        <v>Not</v>
      </c>
      <c r="I35" s="8" t="str">
        <f t="shared" si="15"/>
        <v>no</v>
      </c>
      <c r="J35" s="10" t="str">
        <f t="shared" si="6"/>
        <v>no</v>
      </c>
      <c r="K35" s="10" t="str">
        <f t="shared" si="7"/>
        <v>no</v>
      </c>
      <c r="L35" t="s">
        <v>110</v>
      </c>
      <c r="M35">
        <v>10259</v>
      </c>
      <c r="N35">
        <v>37</v>
      </c>
      <c r="O35" t="s">
        <v>711</v>
      </c>
      <c r="P35" t="str">
        <f t="shared" si="8"/>
        <v>CENTC_10259_Gravad lax</v>
      </c>
      <c r="Q35" t="str">
        <f t="shared" si="9"/>
        <v>10259</v>
      </c>
      <c r="R35" t="str">
        <f t="shared" si="10"/>
        <v>10259</v>
      </c>
      <c r="S35" t="str">
        <f t="shared" si="11"/>
        <v>Gravad lax</v>
      </c>
      <c r="T35">
        <v>20.8</v>
      </c>
      <c r="U35">
        <v>1</v>
      </c>
      <c r="V35">
        <v>0</v>
      </c>
      <c r="W35">
        <f t="shared" si="16"/>
        <v>20.8</v>
      </c>
      <c r="X35" t="str">
        <f t="shared" si="12"/>
        <v>No</v>
      </c>
      <c r="Y35" s="2">
        <v>34564</v>
      </c>
      <c r="Z35" t="str">
        <f t="shared" si="13"/>
        <v/>
      </c>
      <c r="AA35" t="str">
        <f t="shared" si="14"/>
        <v/>
      </c>
      <c r="AB35" t="str" cm="1">
        <f t="array" ref="AB35">_xlfn.IFS(Y35&lt;DATE(1996,1,1),"",Y35&lt;DATE(1996,4,1),"Q1",Y35&lt;DATE(1996,7,1),"Q2",Y35&gt;=DATE(1996,7,1),"")</f>
        <v/>
      </c>
    </row>
    <row r="36" spans="1:28" ht="14.4" x14ac:dyDescent="0.55000000000000004">
      <c r="A36" t="str">
        <f>VLOOKUP(L36,Customers!$A$2:$B$92,2,FALSE)</f>
        <v>Ottilies Käseladen</v>
      </c>
      <c r="B36" t="str">
        <f>VLOOKUP(L36,Customers!$A$2:$C$92,3,TRUE)</f>
        <v>Henriette Pfalzheim</v>
      </c>
      <c r="C36" t="str">
        <f t="shared" si="0"/>
        <v>Henriette</v>
      </c>
      <c r="D36" s="8" t="str">
        <f t="shared" si="1"/>
        <v>Pfalzheim</v>
      </c>
      <c r="E36" s="8" t="str">
        <f t="shared" si="2"/>
        <v>Pfalzheim, Henriette</v>
      </c>
      <c r="F36" s="8" t="str">
        <f t="shared" si="3"/>
        <v>Pfalzheim, Henriette</v>
      </c>
      <c r="G36" s="8" t="str">
        <f t="shared" si="4"/>
        <v>not an outlier</v>
      </c>
      <c r="H36" s="8" t="str">
        <f t="shared" si="5"/>
        <v>Not</v>
      </c>
      <c r="I36" s="8" t="str">
        <f t="shared" si="15"/>
        <v>no</v>
      </c>
      <c r="J36" s="10" t="str">
        <f t="shared" si="6"/>
        <v>no</v>
      </c>
      <c r="K36" s="10" t="str">
        <f t="shared" si="7"/>
        <v>no</v>
      </c>
      <c r="L36" t="s">
        <v>430</v>
      </c>
      <c r="M36">
        <v>10260</v>
      </c>
      <c r="N36">
        <v>41</v>
      </c>
      <c r="O36" t="s">
        <v>688</v>
      </c>
      <c r="P36" t="str">
        <f t="shared" si="8"/>
        <v>OTTIK_10260_Jack's New England Clam Chowder</v>
      </c>
      <c r="Q36" t="str">
        <f t="shared" si="9"/>
        <v>10260</v>
      </c>
      <c r="R36" t="str">
        <f t="shared" si="10"/>
        <v>10260</v>
      </c>
      <c r="S36" t="str">
        <f t="shared" si="11"/>
        <v>Jack's New England Clam Chowder</v>
      </c>
      <c r="T36">
        <v>7.7</v>
      </c>
      <c r="U36">
        <v>16</v>
      </c>
      <c r="V36">
        <v>0.25</v>
      </c>
      <c r="W36">
        <f t="shared" si="16"/>
        <v>92.4</v>
      </c>
      <c r="X36" t="str">
        <f t="shared" si="12"/>
        <v>No</v>
      </c>
      <c r="Y36" s="2">
        <v>34565</v>
      </c>
      <c r="Z36" t="str">
        <f t="shared" si="13"/>
        <v/>
      </c>
      <c r="AA36" t="str">
        <f t="shared" si="14"/>
        <v/>
      </c>
      <c r="AB36" t="str" cm="1">
        <f t="array" ref="AB36">_xlfn.IFS(Y36&lt;DATE(1996,1,1),"",Y36&lt;DATE(1996,4,1),"Q1",Y36&lt;DATE(1996,7,1),"Q2",Y36&gt;=DATE(1996,7,1),"")</f>
        <v/>
      </c>
    </row>
    <row r="37" spans="1:28" ht="14.4" x14ac:dyDescent="0.55000000000000004">
      <c r="A37" t="str">
        <f>VLOOKUP(L37,Customers!$A$2:$B$92,2,FALSE)</f>
        <v>Ottilies Käseladen</v>
      </c>
      <c r="B37" t="str">
        <f>VLOOKUP(L37,Customers!$A$2:$C$92,3,TRUE)</f>
        <v>Henriette Pfalzheim</v>
      </c>
      <c r="C37" t="str">
        <f t="shared" si="0"/>
        <v>Henriette</v>
      </c>
      <c r="D37" s="8" t="str">
        <f t="shared" si="1"/>
        <v>Pfalzheim</v>
      </c>
      <c r="E37" s="8" t="str">
        <f t="shared" si="2"/>
        <v>Pfalzheim, Henriette</v>
      </c>
      <c r="F37" s="8" t="str">
        <f t="shared" si="3"/>
        <v>Pfalzheim, Henriette</v>
      </c>
      <c r="G37" s="8" t="str">
        <f t="shared" si="4"/>
        <v>not an outlier</v>
      </c>
      <c r="H37" s="8" t="str">
        <f t="shared" si="5"/>
        <v>Not</v>
      </c>
      <c r="I37" s="8" t="str">
        <f t="shared" si="15"/>
        <v>no</v>
      </c>
      <c r="J37" s="10" t="str">
        <f t="shared" si="6"/>
        <v>no</v>
      </c>
      <c r="K37" s="10" t="str">
        <f t="shared" si="7"/>
        <v>no</v>
      </c>
      <c r="L37" t="s">
        <v>430</v>
      </c>
      <c r="M37">
        <v>10260</v>
      </c>
      <c r="N37">
        <v>57</v>
      </c>
      <c r="O37" t="s">
        <v>691</v>
      </c>
      <c r="P37" t="str">
        <f t="shared" si="8"/>
        <v>OTTIK_10260_Ravioli Angelo</v>
      </c>
      <c r="Q37" t="str">
        <f t="shared" si="9"/>
        <v>10260</v>
      </c>
      <c r="R37" t="str">
        <f t="shared" si="10"/>
        <v>10260</v>
      </c>
      <c r="S37" t="str">
        <f t="shared" si="11"/>
        <v>Ravioli Angelo</v>
      </c>
      <c r="T37">
        <v>15.6</v>
      </c>
      <c r="U37">
        <v>50</v>
      </c>
      <c r="V37">
        <v>0</v>
      </c>
      <c r="W37">
        <f t="shared" si="16"/>
        <v>780</v>
      </c>
      <c r="X37" t="str">
        <f t="shared" si="12"/>
        <v>No</v>
      </c>
      <c r="Y37" s="2">
        <v>34565</v>
      </c>
      <c r="Z37" t="str">
        <f t="shared" si="13"/>
        <v/>
      </c>
      <c r="AA37" t="str">
        <f t="shared" si="14"/>
        <v/>
      </c>
      <c r="AB37" t="str" cm="1">
        <f t="array" ref="AB37">_xlfn.IFS(Y37&lt;DATE(1996,1,1),"",Y37&lt;DATE(1996,4,1),"Q1",Y37&lt;DATE(1996,7,1),"Q2",Y37&gt;=DATE(1996,7,1),"")</f>
        <v/>
      </c>
    </row>
    <row r="38" spans="1:28" ht="14.4" x14ac:dyDescent="0.55000000000000004">
      <c r="A38" t="str">
        <f>VLOOKUP(L38,Customers!$A$2:$B$92,2,FALSE)</f>
        <v>Ottilies Käseladen</v>
      </c>
      <c r="B38" t="str">
        <f>VLOOKUP(L38,Customers!$A$2:$C$92,3,TRUE)</f>
        <v>Henriette Pfalzheim</v>
      </c>
      <c r="C38" t="str">
        <f t="shared" si="0"/>
        <v>Henriette</v>
      </c>
      <c r="D38" s="8" t="str">
        <f t="shared" si="1"/>
        <v>Pfalzheim</v>
      </c>
      <c r="E38" s="8" t="str">
        <f t="shared" si="2"/>
        <v>Pfalzheim, Henriette</v>
      </c>
      <c r="F38" s="8" t="str">
        <f t="shared" si="3"/>
        <v>Pfalzheim, Henriette</v>
      </c>
      <c r="G38" s="8" t="str">
        <f t="shared" si="4"/>
        <v>not an outlier</v>
      </c>
      <c r="H38" s="8" t="str">
        <f t="shared" si="5"/>
        <v>Not</v>
      </c>
      <c r="I38" s="8" t="str">
        <f t="shared" si="15"/>
        <v>no</v>
      </c>
      <c r="J38" s="10" t="str">
        <f t="shared" si="6"/>
        <v>no</v>
      </c>
      <c r="K38" s="10" t="str">
        <f t="shared" si="7"/>
        <v>no</v>
      </c>
      <c r="L38" t="s">
        <v>430</v>
      </c>
      <c r="M38">
        <v>10260</v>
      </c>
      <c r="N38">
        <v>62</v>
      </c>
      <c r="O38" t="s">
        <v>712</v>
      </c>
      <c r="P38" t="str">
        <f t="shared" si="8"/>
        <v>OTTIK_10260_Tarte au sucre</v>
      </c>
      <c r="Q38" t="str">
        <f t="shared" si="9"/>
        <v>10260</v>
      </c>
      <c r="R38" t="str">
        <f t="shared" si="10"/>
        <v>10260</v>
      </c>
      <c r="S38" t="str">
        <f t="shared" si="11"/>
        <v>Tarte au sucre</v>
      </c>
      <c r="T38">
        <v>39.4</v>
      </c>
      <c r="U38">
        <v>15</v>
      </c>
      <c r="V38">
        <v>0.25</v>
      </c>
      <c r="W38">
        <f t="shared" si="16"/>
        <v>443.25</v>
      </c>
      <c r="X38" t="str">
        <f t="shared" si="12"/>
        <v>No</v>
      </c>
      <c r="Y38" s="2">
        <v>34565</v>
      </c>
      <c r="Z38" t="str">
        <f t="shared" si="13"/>
        <v/>
      </c>
      <c r="AA38" t="str">
        <f t="shared" si="14"/>
        <v/>
      </c>
      <c r="AB38" t="str" cm="1">
        <f t="array" ref="AB38">_xlfn.IFS(Y38&lt;DATE(1996,1,1),"",Y38&lt;DATE(1996,4,1),"Q1",Y38&lt;DATE(1996,7,1),"Q2",Y38&gt;=DATE(1996,7,1),"")</f>
        <v/>
      </c>
    </row>
    <row r="39" spans="1:28" ht="14.4" x14ac:dyDescent="0.55000000000000004">
      <c r="A39" t="str">
        <f>VLOOKUP(L39,Customers!$A$2:$B$92,2,FALSE)</f>
        <v>Ottilies Käseladen</v>
      </c>
      <c r="B39" t="str">
        <f>VLOOKUP(L39,Customers!$A$2:$C$92,3,TRUE)</f>
        <v>Henriette Pfalzheim</v>
      </c>
      <c r="C39" t="str">
        <f t="shared" si="0"/>
        <v>Henriette</v>
      </c>
      <c r="D39" s="8" t="str">
        <f t="shared" si="1"/>
        <v>Pfalzheim</v>
      </c>
      <c r="E39" s="8" t="str">
        <f t="shared" si="2"/>
        <v>Pfalzheim, Henriette</v>
      </c>
      <c r="F39" s="8" t="str">
        <f t="shared" si="3"/>
        <v>Pfalzheim, Henriette</v>
      </c>
      <c r="G39" s="8" t="str">
        <f t="shared" si="4"/>
        <v>not an outlier</v>
      </c>
      <c r="H39" s="8" t="str">
        <f t="shared" si="5"/>
        <v>Not</v>
      </c>
      <c r="I39" s="8" t="str">
        <f t="shared" si="15"/>
        <v>no</v>
      </c>
      <c r="J39" s="10" t="str">
        <f t="shared" si="6"/>
        <v>no</v>
      </c>
      <c r="K39" s="10" t="str">
        <f t="shared" si="7"/>
        <v>no</v>
      </c>
      <c r="L39" t="s">
        <v>430</v>
      </c>
      <c r="M39">
        <v>10260</v>
      </c>
      <c r="N39">
        <v>70</v>
      </c>
      <c r="O39" t="s">
        <v>713</v>
      </c>
      <c r="P39" t="str">
        <f t="shared" si="8"/>
        <v>OTTIK_10260_Outback Lager</v>
      </c>
      <c r="Q39" t="str">
        <f t="shared" si="9"/>
        <v>10260</v>
      </c>
      <c r="R39" t="str">
        <f t="shared" si="10"/>
        <v>10260</v>
      </c>
      <c r="S39" t="str">
        <f t="shared" si="11"/>
        <v>Outback Lager</v>
      </c>
      <c r="T39">
        <v>12</v>
      </c>
      <c r="U39">
        <v>21</v>
      </c>
      <c r="V39">
        <v>0.25</v>
      </c>
      <c r="W39">
        <f t="shared" si="16"/>
        <v>189</v>
      </c>
      <c r="X39" t="str">
        <f t="shared" si="12"/>
        <v>No</v>
      </c>
      <c r="Y39" s="2">
        <v>34565</v>
      </c>
      <c r="Z39" t="str">
        <f t="shared" si="13"/>
        <v/>
      </c>
      <c r="AA39" t="str">
        <f t="shared" si="14"/>
        <v/>
      </c>
      <c r="AB39" t="str" cm="1">
        <f t="array" ref="AB39">_xlfn.IFS(Y39&lt;DATE(1996,1,1),"",Y39&lt;DATE(1996,4,1),"Q1",Y39&lt;DATE(1996,7,1),"Q2",Y39&gt;=DATE(1996,7,1),"")</f>
        <v/>
      </c>
    </row>
    <row r="40" spans="1:28" ht="14.4" x14ac:dyDescent="0.55000000000000004">
      <c r="A40" t="str">
        <f>VLOOKUP(L40,Customers!$A$2:$B$92,2,FALSE)</f>
        <v>Que Delícia</v>
      </c>
      <c r="B40" t="str">
        <f>VLOOKUP(L40,Customers!$A$2:$C$92,3,TRUE)</f>
        <v>Bernardo Batista</v>
      </c>
      <c r="C40" t="str">
        <f t="shared" si="0"/>
        <v>Bernardo</v>
      </c>
      <c r="D40" s="8" t="str">
        <f t="shared" si="1"/>
        <v>Batista</v>
      </c>
      <c r="E40" s="8" t="str">
        <f t="shared" si="2"/>
        <v>Batista, Bernardo</v>
      </c>
      <c r="F40" s="8" t="str">
        <f t="shared" si="3"/>
        <v>Batista, Bernardo</v>
      </c>
      <c r="G40" s="8" t="str">
        <f t="shared" si="4"/>
        <v>not an outlier</v>
      </c>
      <c r="H40" s="8" t="str">
        <f t="shared" si="5"/>
        <v>Not</v>
      </c>
      <c r="I40" s="8" t="str">
        <f t="shared" si="15"/>
        <v>no</v>
      </c>
      <c r="J40" s="10" t="str">
        <f t="shared" si="6"/>
        <v>no</v>
      </c>
      <c r="K40" s="10" t="str">
        <f t="shared" si="7"/>
        <v>no</v>
      </c>
      <c r="L40" t="s">
        <v>462</v>
      </c>
      <c r="M40">
        <v>10261</v>
      </c>
      <c r="N40">
        <v>21</v>
      </c>
      <c r="O40" t="s">
        <v>710</v>
      </c>
      <c r="P40" t="str">
        <f t="shared" si="8"/>
        <v>QUEDE_10261_Sir Rodney's Scones</v>
      </c>
      <c r="Q40" t="str">
        <f t="shared" si="9"/>
        <v>10261</v>
      </c>
      <c r="R40" t="str">
        <f t="shared" si="10"/>
        <v>10261</v>
      </c>
      <c r="S40" t="str">
        <f t="shared" si="11"/>
        <v>Sir Rodney's Scones</v>
      </c>
      <c r="T40">
        <v>8</v>
      </c>
      <c r="U40">
        <v>20</v>
      </c>
      <c r="V40">
        <v>0</v>
      </c>
      <c r="W40">
        <f t="shared" si="16"/>
        <v>160</v>
      </c>
      <c r="X40" t="str">
        <f t="shared" si="12"/>
        <v>No</v>
      </c>
      <c r="Y40" s="2">
        <v>34565</v>
      </c>
      <c r="Z40" t="str">
        <f t="shared" si="13"/>
        <v/>
      </c>
      <c r="AA40" t="str">
        <f t="shared" si="14"/>
        <v/>
      </c>
      <c r="AB40" t="str" cm="1">
        <f t="array" ref="AB40">_xlfn.IFS(Y40&lt;DATE(1996,1,1),"",Y40&lt;DATE(1996,4,1),"Q1",Y40&lt;DATE(1996,7,1),"Q2",Y40&gt;=DATE(1996,7,1),"")</f>
        <v/>
      </c>
    </row>
    <row r="41" spans="1:28" ht="14.4" x14ac:dyDescent="0.55000000000000004">
      <c r="A41" t="str">
        <f>VLOOKUP(L41,Customers!$A$2:$B$92,2,FALSE)</f>
        <v>Que Delícia</v>
      </c>
      <c r="B41" t="str">
        <f>VLOOKUP(L41,Customers!$A$2:$C$92,3,TRUE)</f>
        <v>Bernardo Batista</v>
      </c>
      <c r="C41" t="str">
        <f t="shared" si="0"/>
        <v>Bernardo</v>
      </c>
      <c r="D41" s="8" t="str">
        <f t="shared" si="1"/>
        <v>Batista</v>
      </c>
      <c r="E41" s="8" t="str">
        <f t="shared" si="2"/>
        <v>Batista, Bernardo</v>
      </c>
      <c r="F41" s="8" t="str">
        <f t="shared" si="3"/>
        <v>Batista, Bernardo</v>
      </c>
      <c r="G41" s="8" t="str">
        <f t="shared" si="4"/>
        <v>not an outlier</v>
      </c>
      <c r="H41" s="8" t="str">
        <f t="shared" si="5"/>
        <v>Not</v>
      </c>
      <c r="I41" s="8" t="str">
        <f t="shared" si="15"/>
        <v>no</v>
      </c>
      <c r="J41" s="10" t="str">
        <f t="shared" si="6"/>
        <v>no</v>
      </c>
      <c r="K41" s="10" t="str">
        <f t="shared" si="7"/>
        <v>no</v>
      </c>
      <c r="L41" t="s">
        <v>462</v>
      </c>
      <c r="M41">
        <v>10261</v>
      </c>
      <c r="N41">
        <v>35</v>
      </c>
      <c r="O41" t="s">
        <v>714</v>
      </c>
      <c r="P41" t="str">
        <f t="shared" si="8"/>
        <v>QUEDE_10261_Steeleye Stout</v>
      </c>
      <c r="Q41" t="str">
        <f t="shared" si="9"/>
        <v>10261</v>
      </c>
      <c r="R41" t="str">
        <f t="shared" si="10"/>
        <v>10261</v>
      </c>
      <c r="S41" t="str">
        <f t="shared" si="11"/>
        <v>Steeleye Stout</v>
      </c>
      <c r="T41">
        <v>14.4</v>
      </c>
      <c r="U41">
        <v>20</v>
      </c>
      <c r="V41">
        <v>0</v>
      </c>
      <c r="W41">
        <f t="shared" si="16"/>
        <v>288</v>
      </c>
      <c r="X41" t="str">
        <f t="shared" si="12"/>
        <v>No</v>
      </c>
      <c r="Y41" s="2">
        <v>34565</v>
      </c>
      <c r="Z41" t="str">
        <f t="shared" si="13"/>
        <v/>
      </c>
      <c r="AA41" t="str">
        <f t="shared" si="14"/>
        <v/>
      </c>
      <c r="AB41" t="str" cm="1">
        <f t="array" ref="AB41">_xlfn.IFS(Y41&lt;DATE(1996,1,1),"",Y41&lt;DATE(1996,4,1),"Q1",Y41&lt;DATE(1996,7,1),"Q2",Y41&gt;=DATE(1996,7,1),"")</f>
        <v/>
      </c>
    </row>
    <row r="42" spans="1:28" ht="14.4" x14ac:dyDescent="0.55000000000000004">
      <c r="A42" t="str">
        <f>VLOOKUP(L42,Customers!$A$2:$B$92,2,FALSE)</f>
        <v>Rattlesnake Canyon Grocery</v>
      </c>
      <c r="B42" t="str">
        <f>VLOOKUP(L42,Customers!$A$2:$C$92,3,TRUE)</f>
        <v>Paula Wilson</v>
      </c>
      <c r="C42" t="str">
        <f t="shared" si="0"/>
        <v>Paula</v>
      </c>
      <c r="D42" s="8" t="str">
        <f t="shared" si="1"/>
        <v>Wilson</v>
      </c>
      <c r="E42" s="8" t="str">
        <f t="shared" si="2"/>
        <v>Wilson, Paula</v>
      </c>
      <c r="F42" s="8" t="str">
        <f t="shared" si="3"/>
        <v>Wilson, Paula</v>
      </c>
      <c r="G42" s="8" t="str">
        <f t="shared" si="4"/>
        <v>not an outlier</v>
      </c>
      <c r="H42" s="8" t="str">
        <f t="shared" si="5"/>
        <v>Not</v>
      </c>
      <c r="I42" s="8" t="str">
        <f t="shared" si="15"/>
        <v>no</v>
      </c>
      <c r="J42" s="10" t="str">
        <f t="shared" si="6"/>
        <v>no</v>
      </c>
      <c r="K42" s="10" t="str">
        <f t="shared" si="7"/>
        <v>no</v>
      </c>
      <c r="L42" t="s">
        <v>487</v>
      </c>
      <c r="M42">
        <v>10262</v>
      </c>
      <c r="N42">
        <v>5</v>
      </c>
      <c r="O42" t="s">
        <v>708</v>
      </c>
      <c r="P42" t="str">
        <f t="shared" si="8"/>
        <v>RATTC_10262_Chef Anton's Gumbo Mix</v>
      </c>
      <c r="Q42" t="str">
        <f t="shared" si="9"/>
        <v>10262</v>
      </c>
      <c r="R42" t="str">
        <f t="shared" si="10"/>
        <v>10262</v>
      </c>
      <c r="S42" t="str">
        <f t="shared" si="11"/>
        <v>Chef Anton's Gumbo Mix</v>
      </c>
      <c r="T42">
        <v>17</v>
      </c>
      <c r="U42">
        <v>12</v>
      </c>
      <c r="V42">
        <v>0.2</v>
      </c>
      <c r="W42">
        <f t="shared" si="16"/>
        <v>163.20000000000002</v>
      </c>
      <c r="X42" t="str">
        <f t="shared" si="12"/>
        <v>No</v>
      </c>
      <c r="Y42" s="2">
        <v>34568</v>
      </c>
      <c r="Z42" t="str">
        <f t="shared" si="13"/>
        <v/>
      </c>
      <c r="AA42" t="str">
        <f t="shared" si="14"/>
        <v/>
      </c>
      <c r="AB42" t="str" cm="1">
        <f t="array" ref="AB42">_xlfn.IFS(Y42&lt;DATE(1996,1,1),"",Y42&lt;DATE(1996,4,1),"Q1",Y42&lt;DATE(1996,7,1),"Q2",Y42&gt;=DATE(1996,7,1),"")</f>
        <v/>
      </c>
    </row>
    <row r="43" spans="1:28" ht="14.4" x14ac:dyDescent="0.55000000000000004">
      <c r="A43" t="str">
        <f>VLOOKUP(L43,Customers!$A$2:$B$92,2,FALSE)</f>
        <v>Rattlesnake Canyon Grocery</v>
      </c>
      <c r="B43" t="str">
        <f>VLOOKUP(L43,Customers!$A$2:$C$92,3,TRUE)</f>
        <v>Paula Wilson</v>
      </c>
      <c r="C43" t="str">
        <f t="shared" si="0"/>
        <v>Paula</v>
      </c>
      <c r="D43" s="8" t="str">
        <f t="shared" si="1"/>
        <v>Wilson</v>
      </c>
      <c r="E43" s="8" t="str">
        <f t="shared" si="2"/>
        <v>Wilson, Paula</v>
      </c>
      <c r="F43" s="8" t="str">
        <f t="shared" si="3"/>
        <v>Wilson, Paula</v>
      </c>
      <c r="G43" s="8" t="str">
        <f t="shared" si="4"/>
        <v>not an outlier</v>
      </c>
      <c r="H43" s="8" t="str">
        <f t="shared" si="5"/>
        <v>Not</v>
      </c>
      <c r="I43" s="8" t="str">
        <f t="shared" si="15"/>
        <v>no</v>
      </c>
      <c r="J43" s="10" t="str">
        <f t="shared" si="6"/>
        <v>no</v>
      </c>
      <c r="K43" s="10" t="str">
        <f t="shared" si="7"/>
        <v>no</v>
      </c>
      <c r="L43" t="s">
        <v>487</v>
      </c>
      <c r="M43">
        <v>10262</v>
      </c>
      <c r="N43">
        <v>7</v>
      </c>
      <c r="O43" t="s">
        <v>715</v>
      </c>
      <c r="P43" t="str">
        <f t="shared" si="8"/>
        <v>RATTC_10262_Uncle Bob's Organic Dried Pears</v>
      </c>
      <c r="Q43" t="str">
        <f t="shared" si="9"/>
        <v>10262</v>
      </c>
      <c r="R43" t="str">
        <f t="shared" si="10"/>
        <v>10262</v>
      </c>
      <c r="S43" t="str">
        <f t="shared" si="11"/>
        <v>Uncle Bob's Organic Dried Pears</v>
      </c>
      <c r="T43">
        <v>24</v>
      </c>
      <c r="U43">
        <v>15</v>
      </c>
      <c r="V43">
        <v>0</v>
      </c>
      <c r="W43">
        <f t="shared" si="16"/>
        <v>360</v>
      </c>
      <c r="X43" t="str">
        <f t="shared" si="12"/>
        <v>No</v>
      </c>
      <c r="Y43" s="2">
        <v>34568</v>
      </c>
      <c r="Z43" t="str">
        <f t="shared" si="13"/>
        <v/>
      </c>
      <c r="AA43" t="str">
        <f t="shared" si="14"/>
        <v/>
      </c>
      <c r="AB43" t="str" cm="1">
        <f t="array" ref="AB43">_xlfn.IFS(Y43&lt;DATE(1996,1,1),"",Y43&lt;DATE(1996,4,1),"Q1",Y43&lt;DATE(1996,7,1),"Q2",Y43&gt;=DATE(1996,7,1),"")</f>
        <v/>
      </c>
    </row>
    <row r="44" spans="1:28" ht="14.4" x14ac:dyDescent="0.55000000000000004">
      <c r="A44" t="str">
        <f>VLOOKUP(L44,Customers!$A$2:$B$92,2,FALSE)</f>
        <v>Rattlesnake Canyon Grocery</v>
      </c>
      <c r="B44" t="str">
        <f>VLOOKUP(L44,Customers!$A$2:$C$92,3,TRUE)</f>
        <v>Paula Wilson</v>
      </c>
      <c r="C44" t="str">
        <f t="shared" si="0"/>
        <v>Paula</v>
      </c>
      <c r="D44" s="8" t="str">
        <f t="shared" si="1"/>
        <v>Wilson</v>
      </c>
      <c r="E44" s="8" t="str">
        <f t="shared" si="2"/>
        <v>Wilson, Paula</v>
      </c>
      <c r="F44" s="8" t="str">
        <f t="shared" si="3"/>
        <v>Wilson, Paula</v>
      </c>
      <c r="G44" s="8" t="str">
        <f t="shared" si="4"/>
        <v>not an outlier</v>
      </c>
      <c r="H44" s="8" t="str">
        <f t="shared" si="5"/>
        <v>Not</v>
      </c>
      <c r="I44" s="8" t="str">
        <f t="shared" si="15"/>
        <v>no</v>
      </c>
      <c r="J44" s="10" t="str">
        <f t="shared" si="6"/>
        <v>no</v>
      </c>
      <c r="K44" s="10" t="str">
        <f t="shared" si="7"/>
        <v>no</v>
      </c>
      <c r="L44" t="s">
        <v>487</v>
      </c>
      <c r="M44">
        <v>10262</v>
      </c>
      <c r="N44">
        <v>56</v>
      </c>
      <c r="O44" t="s">
        <v>716</v>
      </c>
      <c r="P44" t="str">
        <f t="shared" si="8"/>
        <v>RATTC_10262_Gnocchi di nonna Alice</v>
      </c>
      <c r="Q44" t="str">
        <f t="shared" si="9"/>
        <v>10262</v>
      </c>
      <c r="R44" t="str">
        <f t="shared" si="10"/>
        <v>10262</v>
      </c>
      <c r="S44" t="str">
        <f t="shared" si="11"/>
        <v>Gnocchi di nonna Alice</v>
      </c>
      <c r="T44">
        <v>30.4</v>
      </c>
      <c r="U44">
        <v>2</v>
      </c>
      <c r="V44">
        <v>0</v>
      </c>
      <c r="W44">
        <f t="shared" si="16"/>
        <v>60.8</v>
      </c>
      <c r="X44" t="str">
        <f t="shared" si="12"/>
        <v>No</v>
      </c>
      <c r="Y44" s="2">
        <v>34568</v>
      </c>
      <c r="Z44" t="str">
        <f t="shared" si="13"/>
        <v/>
      </c>
      <c r="AA44" t="str">
        <f t="shared" si="14"/>
        <v/>
      </c>
      <c r="AB44" t="str" cm="1">
        <f t="array" ref="AB44">_xlfn.IFS(Y44&lt;DATE(1996,1,1),"",Y44&lt;DATE(1996,4,1),"Q1",Y44&lt;DATE(1996,7,1),"Q2",Y44&gt;=DATE(1996,7,1),"")</f>
        <v/>
      </c>
    </row>
    <row r="45" spans="1:28" ht="14.4" x14ac:dyDescent="0.55000000000000004">
      <c r="A45" t="str">
        <f>VLOOKUP(L45,Customers!$A$2:$B$92,2,FALSE)</f>
        <v>Ernst Handel</v>
      </c>
      <c r="B45" t="str">
        <f>VLOOKUP(L45,Customers!$A$2:$C$92,3,TRUE)</f>
        <v>Roland Mendel</v>
      </c>
      <c r="C45" t="str">
        <f t="shared" si="0"/>
        <v>Roland</v>
      </c>
      <c r="D45" s="8" t="str">
        <f t="shared" si="1"/>
        <v>Mendel</v>
      </c>
      <c r="E45" s="8" t="str">
        <f t="shared" si="2"/>
        <v>Mendel, Roland</v>
      </c>
      <c r="F45" s="8" t="str">
        <f t="shared" si="3"/>
        <v>Mendel, Roland</v>
      </c>
      <c r="G45" s="8" t="str">
        <f t="shared" si="4"/>
        <v>not an outlier</v>
      </c>
      <c r="H45" s="8" t="str">
        <f t="shared" si="5"/>
        <v>Not</v>
      </c>
      <c r="I45" s="8" t="str">
        <f t="shared" si="15"/>
        <v>no</v>
      </c>
      <c r="J45" s="10" t="str">
        <f t="shared" si="6"/>
        <v>no</v>
      </c>
      <c r="K45" s="10" t="str">
        <f t="shared" si="7"/>
        <v>no</v>
      </c>
      <c r="L45" t="s">
        <v>161</v>
      </c>
      <c r="M45">
        <v>10263</v>
      </c>
      <c r="N45">
        <v>16</v>
      </c>
      <c r="O45" t="s">
        <v>702</v>
      </c>
      <c r="P45" t="str">
        <f t="shared" si="8"/>
        <v>ERNSH_10263_Pavlova</v>
      </c>
      <c r="Q45" t="str">
        <f t="shared" si="9"/>
        <v>10263</v>
      </c>
      <c r="R45" t="str">
        <f t="shared" si="10"/>
        <v>10263</v>
      </c>
      <c r="S45" t="str">
        <f t="shared" si="11"/>
        <v>Pavlova</v>
      </c>
      <c r="T45">
        <v>13.9</v>
      </c>
      <c r="U45">
        <v>60</v>
      </c>
      <c r="V45">
        <v>0.25</v>
      </c>
      <c r="W45">
        <f t="shared" si="16"/>
        <v>625.5</v>
      </c>
      <c r="X45" t="str">
        <f t="shared" si="12"/>
        <v>No</v>
      </c>
      <c r="Y45" s="2">
        <v>34569</v>
      </c>
      <c r="Z45" t="str">
        <f t="shared" si="13"/>
        <v/>
      </c>
      <c r="AA45" t="str">
        <f t="shared" si="14"/>
        <v/>
      </c>
      <c r="AB45" t="str" cm="1">
        <f t="array" ref="AB45">_xlfn.IFS(Y45&lt;DATE(1996,1,1),"",Y45&lt;DATE(1996,4,1),"Q1",Y45&lt;DATE(1996,7,1),"Q2",Y45&gt;=DATE(1996,7,1),"")</f>
        <v/>
      </c>
    </row>
    <row r="46" spans="1:28" ht="14.4" x14ac:dyDescent="0.55000000000000004">
      <c r="A46" t="str">
        <f>VLOOKUP(L46,Customers!$A$2:$B$92,2,FALSE)</f>
        <v>Ernst Handel</v>
      </c>
      <c r="B46" t="str">
        <f>VLOOKUP(L46,Customers!$A$2:$C$92,3,TRUE)</f>
        <v>Roland Mendel</v>
      </c>
      <c r="C46" t="str">
        <f t="shared" si="0"/>
        <v>Roland</v>
      </c>
      <c r="D46" s="8" t="str">
        <f t="shared" si="1"/>
        <v>Mendel</v>
      </c>
      <c r="E46" s="8" t="str">
        <f t="shared" si="2"/>
        <v>Mendel, Roland</v>
      </c>
      <c r="F46" s="8" t="str">
        <f t="shared" si="3"/>
        <v>Mendel, Roland</v>
      </c>
      <c r="G46" s="8" t="str">
        <f t="shared" si="4"/>
        <v>not an outlier</v>
      </c>
      <c r="H46" s="8" t="str">
        <f t="shared" si="5"/>
        <v>Not</v>
      </c>
      <c r="I46" s="8" t="str">
        <f t="shared" si="15"/>
        <v>no</v>
      </c>
      <c r="J46" s="10" t="str">
        <f t="shared" si="6"/>
        <v>no</v>
      </c>
      <c r="K46" s="10" t="str">
        <f t="shared" si="7"/>
        <v>no</v>
      </c>
      <c r="L46" t="s">
        <v>161</v>
      </c>
      <c r="M46">
        <v>10263</v>
      </c>
      <c r="N46">
        <v>24</v>
      </c>
      <c r="O46" t="s">
        <v>698</v>
      </c>
      <c r="P46" t="str">
        <f t="shared" si="8"/>
        <v>ERNSH_10263_Guaraná Fantástica</v>
      </c>
      <c r="Q46" t="str">
        <f t="shared" si="9"/>
        <v>10263</v>
      </c>
      <c r="R46" t="str">
        <f t="shared" si="10"/>
        <v>10263</v>
      </c>
      <c r="S46" t="str">
        <f t="shared" si="11"/>
        <v>Guaraná Fantástica</v>
      </c>
      <c r="T46">
        <v>3.6</v>
      </c>
      <c r="U46">
        <v>28</v>
      </c>
      <c r="V46">
        <v>0</v>
      </c>
      <c r="W46">
        <f t="shared" si="16"/>
        <v>100.8</v>
      </c>
      <c r="X46" t="str">
        <f t="shared" si="12"/>
        <v>No</v>
      </c>
      <c r="Y46" s="2">
        <v>34569</v>
      </c>
      <c r="Z46" t="str">
        <f t="shared" si="13"/>
        <v/>
      </c>
      <c r="AA46" t="str">
        <f t="shared" si="14"/>
        <v/>
      </c>
      <c r="AB46" t="str" cm="1">
        <f t="array" ref="AB46">_xlfn.IFS(Y46&lt;DATE(1996,1,1),"",Y46&lt;DATE(1996,4,1),"Q1",Y46&lt;DATE(1996,7,1),"Q2",Y46&gt;=DATE(1996,7,1),"")</f>
        <v/>
      </c>
    </row>
    <row r="47" spans="1:28" ht="14.4" x14ac:dyDescent="0.55000000000000004">
      <c r="A47" t="str">
        <f>VLOOKUP(L47,Customers!$A$2:$B$92,2,FALSE)</f>
        <v>Ernst Handel</v>
      </c>
      <c r="B47" t="str">
        <f>VLOOKUP(L47,Customers!$A$2:$C$92,3,TRUE)</f>
        <v>Roland Mendel</v>
      </c>
      <c r="C47" t="str">
        <f t="shared" si="0"/>
        <v>Roland</v>
      </c>
      <c r="D47" s="8" t="str">
        <f t="shared" si="1"/>
        <v>Mendel</v>
      </c>
      <c r="E47" s="8" t="str">
        <f t="shared" si="2"/>
        <v>Mendel, Roland</v>
      </c>
      <c r="F47" s="8" t="str">
        <f t="shared" si="3"/>
        <v>Mendel, Roland</v>
      </c>
      <c r="G47" s="8" t="str">
        <f t="shared" si="4"/>
        <v>not an outlier</v>
      </c>
      <c r="H47" s="8" t="str">
        <f t="shared" si="5"/>
        <v>Not</v>
      </c>
      <c r="I47" s="8" t="str">
        <f t="shared" si="15"/>
        <v>no</v>
      </c>
      <c r="J47" s="10" t="str">
        <f t="shared" si="6"/>
        <v>no</v>
      </c>
      <c r="K47" s="10" t="str">
        <f t="shared" si="7"/>
        <v>no</v>
      </c>
      <c r="L47" t="s">
        <v>161</v>
      </c>
      <c r="M47">
        <v>10263</v>
      </c>
      <c r="N47">
        <v>30</v>
      </c>
      <c r="O47" t="s">
        <v>717</v>
      </c>
      <c r="P47" t="str">
        <f t="shared" si="8"/>
        <v>ERNSH_10263_Nord-Ost Matjeshering</v>
      </c>
      <c r="Q47" t="str">
        <f t="shared" si="9"/>
        <v>10263</v>
      </c>
      <c r="R47" t="str">
        <f t="shared" si="10"/>
        <v>10263</v>
      </c>
      <c r="S47" t="str">
        <f t="shared" si="11"/>
        <v>Nord-Ost Matjeshering</v>
      </c>
      <c r="T47">
        <v>20.7</v>
      </c>
      <c r="U47">
        <v>60</v>
      </c>
      <c r="V47">
        <v>0.25</v>
      </c>
      <c r="W47">
        <f t="shared" si="16"/>
        <v>931.5</v>
      </c>
      <c r="X47" t="str">
        <f t="shared" si="12"/>
        <v>No</v>
      </c>
      <c r="Y47" s="2">
        <v>34569</v>
      </c>
      <c r="Z47" t="str">
        <f t="shared" si="13"/>
        <v/>
      </c>
      <c r="AA47" t="str">
        <f t="shared" si="14"/>
        <v/>
      </c>
      <c r="AB47" t="str" cm="1">
        <f t="array" ref="AB47">_xlfn.IFS(Y47&lt;DATE(1996,1,1),"",Y47&lt;DATE(1996,4,1),"Q1",Y47&lt;DATE(1996,7,1),"Q2",Y47&gt;=DATE(1996,7,1),"")</f>
        <v/>
      </c>
    </row>
    <row r="48" spans="1:28" ht="14.4" x14ac:dyDescent="0.55000000000000004">
      <c r="A48" t="str">
        <f>VLOOKUP(L48,Customers!$A$2:$B$92,2,FALSE)</f>
        <v>Ernst Handel</v>
      </c>
      <c r="B48" t="str">
        <f>VLOOKUP(L48,Customers!$A$2:$C$92,3,TRUE)</f>
        <v>Roland Mendel</v>
      </c>
      <c r="C48" t="str">
        <f t="shared" si="0"/>
        <v>Roland</v>
      </c>
      <c r="D48" s="8" t="str">
        <f t="shared" si="1"/>
        <v>Mendel</v>
      </c>
      <c r="E48" s="8" t="str">
        <f t="shared" si="2"/>
        <v>Mendel, Roland</v>
      </c>
      <c r="F48" s="8" t="str">
        <f t="shared" si="3"/>
        <v>Mendel, Roland</v>
      </c>
      <c r="G48" s="8" t="str">
        <f t="shared" si="4"/>
        <v>not an outlier</v>
      </c>
      <c r="H48" s="8" t="str">
        <f t="shared" si="5"/>
        <v>Not</v>
      </c>
      <c r="I48" s="8" t="str">
        <f t="shared" si="15"/>
        <v>no</v>
      </c>
      <c r="J48" s="10" t="str">
        <f t="shared" si="6"/>
        <v>no</v>
      </c>
      <c r="K48" s="10" t="str">
        <f t="shared" si="7"/>
        <v>no</v>
      </c>
      <c r="L48" t="s">
        <v>161</v>
      </c>
      <c r="M48">
        <v>10263</v>
      </c>
      <c r="N48">
        <v>74</v>
      </c>
      <c r="O48" t="s">
        <v>700</v>
      </c>
      <c r="P48" t="str">
        <f t="shared" si="8"/>
        <v>ERNSH_10263_Longlife Tofu</v>
      </c>
      <c r="Q48" t="str">
        <f t="shared" si="9"/>
        <v>10263</v>
      </c>
      <c r="R48" t="str">
        <f t="shared" si="10"/>
        <v>10263</v>
      </c>
      <c r="S48" t="str">
        <f t="shared" si="11"/>
        <v>Longlife Tofu</v>
      </c>
      <c r="T48">
        <v>8</v>
      </c>
      <c r="U48">
        <v>36</v>
      </c>
      <c r="V48">
        <v>0.25</v>
      </c>
      <c r="W48">
        <f t="shared" si="16"/>
        <v>216</v>
      </c>
      <c r="X48" t="str">
        <f t="shared" si="12"/>
        <v>No</v>
      </c>
      <c r="Y48" s="2">
        <v>34569</v>
      </c>
      <c r="Z48" t="str">
        <f t="shared" si="13"/>
        <v/>
      </c>
      <c r="AA48" t="str">
        <f t="shared" si="14"/>
        <v/>
      </c>
      <c r="AB48" t="str" cm="1">
        <f t="array" ref="AB48">_xlfn.IFS(Y48&lt;DATE(1996,1,1),"",Y48&lt;DATE(1996,4,1),"Q1",Y48&lt;DATE(1996,7,1),"Q2",Y48&gt;=DATE(1996,7,1),"")</f>
        <v/>
      </c>
    </row>
    <row r="49" spans="1:28" ht="14.4" x14ac:dyDescent="0.55000000000000004">
      <c r="A49" t="str">
        <f>VLOOKUP(L49,Customers!$A$2:$B$92,2,FALSE)</f>
        <v>Folk och fä HB</v>
      </c>
      <c r="B49" t="str">
        <f>VLOOKUP(L49,Customers!$A$2:$C$92,3,TRUE)</f>
        <v>Maria Larsson</v>
      </c>
      <c r="C49" t="str">
        <f t="shared" si="0"/>
        <v>Maria</v>
      </c>
      <c r="D49" s="8" t="str">
        <f t="shared" si="1"/>
        <v>Larsson</v>
      </c>
      <c r="E49" s="8" t="str">
        <f t="shared" si="2"/>
        <v>Larsson, Maria</v>
      </c>
      <c r="F49" s="8" t="str">
        <f t="shared" si="3"/>
        <v>Larsson, Maria</v>
      </c>
      <c r="G49" s="8" t="str">
        <f t="shared" si="4"/>
        <v>not an outlier</v>
      </c>
      <c r="H49" s="8" t="str">
        <f t="shared" si="5"/>
        <v>Not</v>
      </c>
      <c r="I49" s="8" t="str">
        <f t="shared" si="15"/>
        <v>no</v>
      </c>
      <c r="J49" s="10" t="str">
        <f t="shared" si="6"/>
        <v>no</v>
      </c>
      <c r="K49" s="10" t="str">
        <f t="shared" si="7"/>
        <v>no</v>
      </c>
      <c r="L49" t="s">
        <v>191</v>
      </c>
      <c r="M49">
        <v>10264</v>
      </c>
      <c r="N49">
        <v>2</v>
      </c>
      <c r="O49" t="s">
        <v>701</v>
      </c>
      <c r="P49" t="str">
        <f t="shared" si="8"/>
        <v>FOLKO_10264_Chang</v>
      </c>
      <c r="Q49" t="str">
        <f t="shared" si="9"/>
        <v>10264</v>
      </c>
      <c r="R49" t="str">
        <f t="shared" si="10"/>
        <v>10264</v>
      </c>
      <c r="S49" t="str">
        <f t="shared" si="11"/>
        <v>Chang</v>
      </c>
      <c r="T49">
        <v>15.2</v>
      </c>
      <c r="U49">
        <v>35</v>
      </c>
      <c r="V49">
        <v>0</v>
      </c>
      <c r="W49">
        <f t="shared" si="16"/>
        <v>532</v>
      </c>
      <c r="X49" t="str">
        <f t="shared" si="12"/>
        <v>No</v>
      </c>
      <c r="Y49" s="2">
        <v>34570</v>
      </c>
      <c r="Z49" t="str">
        <f t="shared" si="13"/>
        <v/>
      </c>
      <c r="AA49" t="str">
        <f t="shared" si="14"/>
        <v/>
      </c>
      <c r="AB49" t="str" cm="1">
        <f t="array" ref="AB49">_xlfn.IFS(Y49&lt;DATE(1996,1,1),"",Y49&lt;DATE(1996,4,1),"Q1",Y49&lt;DATE(1996,7,1),"Q2",Y49&gt;=DATE(1996,7,1),"")</f>
        <v/>
      </c>
    </row>
    <row r="50" spans="1:28" ht="14.4" x14ac:dyDescent="0.55000000000000004">
      <c r="A50" t="str">
        <f>VLOOKUP(L50,Customers!$A$2:$B$92,2,FALSE)</f>
        <v>Folk och fä HB</v>
      </c>
      <c r="B50" t="str">
        <f>VLOOKUP(L50,Customers!$A$2:$C$92,3,TRUE)</f>
        <v>Maria Larsson</v>
      </c>
      <c r="C50" t="str">
        <f t="shared" si="0"/>
        <v>Maria</v>
      </c>
      <c r="D50" s="8" t="str">
        <f t="shared" si="1"/>
        <v>Larsson</v>
      </c>
      <c r="E50" s="8" t="str">
        <f t="shared" si="2"/>
        <v>Larsson, Maria</v>
      </c>
      <c r="F50" s="8" t="str">
        <f t="shared" si="3"/>
        <v>Larsson, Maria</v>
      </c>
      <c r="G50" s="8" t="str">
        <f t="shared" si="4"/>
        <v>not an outlier</v>
      </c>
      <c r="H50" s="8" t="str">
        <f t="shared" si="5"/>
        <v>Not</v>
      </c>
      <c r="I50" s="8" t="str">
        <f t="shared" si="15"/>
        <v>no</v>
      </c>
      <c r="J50" s="10" t="str">
        <f t="shared" si="6"/>
        <v>no</v>
      </c>
      <c r="K50" s="10" t="str">
        <f t="shared" si="7"/>
        <v>no</v>
      </c>
      <c r="L50" t="s">
        <v>191</v>
      </c>
      <c r="M50">
        <v>10264</v>
      </c>
      <c r="N50">
        <v>41</v>
      </c>
      <c r="O50" t="s">
        <v>688</v>
      </c>
      <c r="P50" t="str">
        <f t="shared" si="8"/>
        <v>FOLKO_10264_Jack's New England Clam Chowder</v>
      </c>
      <c r="Q50" t="str">
        <f t="shared" si="9"/>
        <v>10264</v>
      </c>
      <c r="R50" t="str">
        <f t="shared" si="10"/>
        <v>10264</v>
      </c>
      <c r="S50" t="str">
        <f t="shared" si="11"/>
        <v>Jack's New England Clam Chowder</v>
      </c>
      <c r="T50">
        <v>7.7</v>
      </c>
      <c r="U50">
        <v>25</v>
      </c>
      <c r="V50">
        <v>0.15</v>
      </c>
      <c r="W50">
        <f t="shared" si="16"/>
        <v>163.625</v>
      </c>
      <c r="X50" t="str">
        <f t="shared" si="12"/>
        <v>No</v>
      </c>
      <c r="Y50" s="2">
        <v>34570</v>
      </c>
      <c r="Z50" t="str">
        <f t="shared" si="13"/>
        <v/>
      </c>
      <c r="AA50" t="str">
        <f t="shared" si="14"/>
        <v/>
      </c>
      <c r="AB50" t="str" cm="1">
        <f t="array" ref="AB50">_xlfn.IFS(Y50&lt;DATE(1996,1,1),"",Y50&lt;DATE(1996,4,1),"Q1",Y50&lt;DATE(1996,7,1),"Q2",Y50&gt;=DATE(1996,7,1),"")</f>
        <v/>
      </c>
    </row>
    <row r="51" spans="1:28" ht="14.4" x14ac:dyDescent="0.55000000000000004">
      <c r="A51" t="str">
        <f>VLOOKUP(L51,Customers!$A$2:$B$92,2,FALSE)</f>
        <v>Blondel père et fils</v>
      </c>
      <c r="B51" t="str">
        <f>VLOOKUP(L51,Customers!$A$2:$C$92,3,TRUE)</f>
        <v>Frédérique Citeaux</v>
      </c>
      <c r="C51" t="str">
        <f t="shared" si="0"/>
        <v>Frédérique</v>
      </c>
      <c r="D51" s="8" t="str">
        <f t="shared" si="1"/>
        <v>Citeaux</v>
      </c>
      <c r="E51" s="8" t="str">
        <f t="shared" si="2"/>
        <v>Citeaux, Frédérique</v>
      </c>
      <c r="F51" s="8" t="str">
        <f t="shared" si="3"/>
        <v>Citeaux, Frédérique</v>
      </c>
      <c r="G51" s="8" t="str">
        <f t="shared" si="4"/>
        <v>not an outlier</v>
      </c>
      <c r="H51" s="8" t="str">
        <f t="shared" si="5"/>
        <v>Not</v>
      </c>
      <c r="I51" s="8" t="str">
        <f t="shared" si="15"/>
        <v>no</v>
      </c>
      <c r="J51" s="10" t="str">
        <f t="shared" si="6"/>
        <v>no</v>
      </c>
      <c r="K51" s="10" t="str">
        <f t="shared" si="7"/>
        <v>no</v>
      </c>
      <c r="L51" t="s">
        <v>60</v>
      </c>
      <c r="M51">
        <v>10265</v>
      </c>
      <c r="N51">
        <v>17</v>
      </c>
      <c r="O51" t="s">
        <v>718</v>
      </c>
      <c r="P51" t="str">
        <f t="shared" si="8"/>
        <v>BLONP_10265_Alice Mutton</v>
      </c>
      <c r="Q51" t="str">
        <f t="shared" si="9"/>
        <v>10265</v>
      </c>
      <c r="R51" t="str">
        <f t="shared" si="10"/>
        <v>10265</v>
      </c>
      <c r="S51" t="str">
        <f t="shared" si="11"/>
        <v>Alice Mutton</v>
      </c>
      <c r="T51">
        <v>31.2</v>
      </c>
      <c r="U51">
        <v>30</v>
      </c>
      <c r="V51">
        <v>0</v>
      </c>
      <c r="W51">
        <f t="shared" si="16"/>
        <v>936</v>
      </c>
      <c r="X51" t="str">
        <f t="shared" si="12"/>
        <v>No</v>
      </c>
      <c r="Y51" s="2">
        <v>34571</v>
      </c>
      <c r="Z51" t="str">
        <f t="shared" si="13"/>
        <v/>
      </c>
      <c r="AA51" t="str">
        <f t="shared" si="14"/>
        <v/>
      </c>
      <c r="AB51" t="str" cm="1">
        <f t="array" ref="AB51">_xlfn.IFS(Y51&lt;DATE(1996,1,1),"",Y51&lt;DATE(1996,4,1),"Q1",Y51&lt;DATE(1996,7,1),"Q2",Y51&gt;=DATE(1996,7,1),"")</f>
        <v/>
      </c>
    </row>
    <row r="52" spans="1:28" ht="14.4" x14ac:dyDescent="0.55000000000000004">
      <c r="A52" t="str">
        <f>VLOOKUP(L52,Customers!$A$2:$B$92,2,FALSE)</f>
        <v>Blondel père et fils</v>
      </c>
      <c r="B52" t="str">
        <f>VLOOKUP(L52,Customers!$A$2:$C$92,3,TRUE)</f>
        <v>Frédérique Citeaux</v>
      </c>
      <c r="C52" t="str">
        <f t="shared" si="0"/>
        <v>Frédérique</v>
      </c>
      <c r="D52" s="8" t="str">
        <f t="shared" si="1"/>
        <v>Citeaux</v>
      </c>
      <c r="E52" s="8" t="str">
        <f t="shared" si="2"/>
        <v>Citeaux, Frédérique</v>
      </c>
      <c r="F52" s="8" t="str">
        <f t="shared" si="3"/>
        <v>Citeaux, Frédérique</v>
      </c>
      <c r="G52" s="8" t="str">
        <f t="shared" si="4"/>
        <v>not an outlier</v>
      </c>
      <c r="H52" s="8" t="str">
        <f t="shared" si="5"/>
        <v>Not</v>
      </c>
      <c r="I52" s="8" t="str">
        <f t="shared" si="15"/>
        <v>no</v>
      </c>
      <c r="J52" s="10" t="str">
        <f t="shared" si="6"/>
        <v>no</v>
      </c>
      <c r="K52" s="10" t="str">
        <f t="shared" si="7"/>
        <v>no</v>
      </c>
      <c r="L52" t="s">
        <v>60</v>
      </c>
      <c r="M52">
        <v>10265</v>
      </c>
      <c r="N52">
        <v>70</v>
      </c>
      <c r="O52" t="s">
        <v>713</v>
      </c>
      <c r="P52" t="str">
        <f t="shared" si="8"/>
        <v>BLONP_10265_Outback Lager</v>
      </c>
      <c r="Q52" t="str">
        <f t="shared" si="9"/>
        <v>10265</v>
      </c>
      <c r="R52" t="str">
        <f t="shared" si="10"/>
        <v>10265</v>
      </c>
      <c r="S52" t="str">
        <f t="shared" si="11"/>
        <v>Outback Lager</v>
      </c>
      <c r="T52">
        <v>12</v>
      </c>
      <c r="U52">
        <v>20</v>
      </c>
      <c r="V52">
        <v>0</v>
      </c>
      <c r="W52">
        <f t="shared" si="16"/>
        <v>240</v>
      </c>
      <c r="X52" t="str">
        <f t="shared" si="12"/>
        <v>No</v>
      </c>
      <c r="Y52" s="2">
        <v>34571</v>
      </c>
      <c r="Z52" t="str">
        <f t="shared" si="13"/>
        <v/>
      </c>
      <c r="AA52" t="str">
        <f t="shared" si="14"/>
        <v/>
      </c>
      <c r="AB52" t="str" cm="1">
        <f t="array" ref="AB52">_xlfn.IFS(Y52&lt;DATE(1996,1,1),"",Y52&lt;DATE(1996,4,1),"Q1",Y52&lt;DATE(1996,7,1),"Q2",Y52&gt;=DATE(1996,7,1),"")</f>
        <v/>
      </c>
    </row>
    <row r="53" spans="1:28" ht="14.4" x14ac:dyDescent="0.55000000000000004">
      <c r="A53" t="str">
        <f>VLOOKUP(L53,Customers!$A$2:$B$92,2,FALSE)</f>
        <v>Wartian Herkku</v>
      </c>
      <c r="B53" t="str">
        <f>VLOOKUP(L53,Customers!$A$2:$C$92,3,TRUE)</f>
        <v>Pirkko Koskitalo</v>
      </c>
      <c r="C53" t="str">
        <f t="shared" si="0"/>
        <v>Pirkko</v>
      </c>
      <c r="D53" s="8" t="str">
        <f t="shared" si="1"/>
        <v>Koskitalo</v>
      </c>
      <c r="E53" s="8" t="str">
        <f t="shared" si="2"/>
        <v>Koskitalo, Pirkko</v>
      </c>
      <c r="F53" s="8" t="str">
        <f t="shared" si="3"/>
        <v>Koskitalo, Pirkko</v>
      </c>
      <c r="G53" s="8" t="str">
        <f t="shared" si="4"/>
        <v>not an outlier</v>
      </c>
      <c r="H53" s="8" t="str">
        <f t="shared" si="5"/>
        <v>Not</v>
      </c>
      <c r="I53" s="8" t="str">
        <f t="shared" si="15"/>
        <v>no</v>
      </c>
      <c r="J53" s="10" t="str">
        <f t="shared" si="6"/>
        <v>no</v>
      </c>
      <c r="K53" s="10" t="str">
        <f t="shared" si="7"/>
        <v>no</v>
      </c>
      <c r="L53" t="s">
        <v>640</v>
      </c>
      <c r="M53">
        <v>10266</v>
      </c>
      <c r="N53">
        <v>12</v>
      </c>
      <c r="O53" t="s">
        <v>719</v>
      </c>
      <c r="P53" t="str">
        <f t="shared" si="8"/>
        <v>WARTH_10266_Queso Manchego La Pastora</v>
      </c>
      <c r="Q53" t="str">
        <f t="shared" si="9"/>
        <v>10266</v>
      </c>
      <c r="R53" t="str">
        <f t="shared" si="10"/>
        <v>10266</v>
      </c>
      <c r="S53" t="str">
        <f t="shared" si="11"/>
        <v>Queso Manchego La Pastora</v>
      </c>
      <c r="T53">
        <v>30.4</v>
      </c>
      <c r="U53">
        <v>12</v>
      </c>
      <c r="V53">
        <v>0.05</v>
      </c>
      <c r="W53">
        <f t="shared" si="16"/>
        <v>346.55999999999995</v>
      </c>
      <c r="X53" t="str">
        <f t="shared" si="12"/>
        <v>No</v>
      </c>
      <c r="Y53" s="2">
        <v>34572</v>
      </c>
      <c r="Z53" t="str">
        <f t="shared" si="13"/>
        <v/>
      </c>
      <c r="AA53" t="str">
        <f t="shared" si="14"/>
        <v/>
      </c>
      <c r="AB53" t="str" cm="1">
        <f t="array" ref="AB53">_xlfn.IFS(Y53&lt;DATE(1996,1,1),"",Y53&lt;DATE(1996,4,1),"Q1",Y53&lt;DATE(1996,7,1),"Q2",Y53&gt;=DATE(1996,7,1),"")</f>
        <v/>
      </c>
    </row>
    <row r="54" spans="1:28" ht="14.4" x14ac:dyDescent="0.55000000000000004">
      <c r="A54" t="str">
        <f>VLOOKUP(L54,Customers!$A$2:$B$92,2,FALSE)</f>
        <v>Frankenversand</v>
      </c>
      <c r="B54" t="str">
        <f>VLOOKUP(L54,Customers!$A$2:$C$92,3,TRUE)</f>
        <v>Peter Franken</v>
      </c>
      <c r="C54" t="str">
        <f t="shared" si="0"/>
        <v>Peter</v>
      </c>
      <c r="D54" s="8" t="str">
        <f t="shared" si="1"/>
        <v>Franken</v>
      </c>
      <c r="E54" s="8" t="str">
        <f t="shared" si="2"/>
        <v>Franken, Peter</v>
      </c>
      <c r="F54" s="8" t="str">
        <f t="shared" si="3"/>
        <v>Franken, Peter</v>
      </c>
      <c r="G54" s="8" t="str">
        <f t="shared" si="4"/>
        <v>not an outlier</v>
      </c>
      <c r="H54" s="8" t="str">
        <f t="shared" si="5"/>
        <v>Not</v>
      </c>
      <c r="I54" s="8" t="str">
        <f t="shared" si="15"/>
        <v>no</v>
      </c>
      <c r="J54" s="10" t="str">
        <f t="shared" si="6"/>
        <v>no</v>
      </c>
      <c r="K54" s="10" t="str">
        <f t="shared" si="7"/>
        <v>no</v>
      </c>
      <c r="L54" t="s">
        <v>198</v>
      </c>
      <c r="M54">
        <v>10267</v>
      </c>
      <c r="N54">
        <v>40</v>
      </c>
      <c r="O54" t="s">
        <v>720</v>
      </c>
      <c r="P54" t="str">
        <f t="shared" si="8"/>
        <v>FRANK_10267_Boston Crab Meat</v>
      </c>
      <c r="Q54" t="str">
        <f t="shared" si="9"/>
        <v>10267</v>
      </c>
      <c r="R54" t="str">
        <f t="shared" si="10"/>
        <v>10267</v>
      </c>
      <c r="S54" t="str">
        <f t="shared" si="11"/>
        <v>Boston Crab Meat</v>
      </c>
      <c r="T54">
        <v>14.7</v>
      </c>
      <c r="U54">
        <v>50</v>
      </c>
      <c r="V54">
        <v>0</v>
      </c>
      <c r="W54">
        <f t="shared" si="16"/>
        <v>735</v>
      </c>
      <c r="X54" t="str">
        <f t="shared" si="12"/>
        <v>No</v>
      </c>
      <c r="Y54" s="2">
        <v>34575</v>
      </c>
      <c r="Z54" t="str">
        <f t="shared" si="13"/>
        <v/>
      </c>
      <c r="AA54" t="str">
        <f t="shared" si="14"/>
        <v/>
      </c>
      <c r="AB54" t="str" cm="1">
        <f t="array" ref="AB54">_xlfn.IFS(Y54&lt;DATE(1996,1,1),"",Y54&lt;DATE(1996,4,1),"Q1",Y54&lt;DATE(1996,7,1),"Q2",Y54&gt;=DATE(1996,7,1),"")</f>
        <v/>
      </c>
    </row>
    <row r="55" spans="1:28" ht="14.4" x14ac:dyDescent="0.55000000000000004">
      <c r="A55" t="str">
        <f>VLOOKUP(L55,Customers!$A$2:$B$92,2,FALSE)</f>
        <v>Frankenversand</v>
      </c>
      <c r="B55" t="str">
        <f>VLOOKUP(L55,Customers!$A$2:$C$92,3,TRUE)</f>
        <v>Peter Franken</v>
      </c>
      <c r="C55" t="str">
        <f t="shared" si="0"/>
        <v>Peter</v>
      </c>
      <c r="D55" s="8" t="str">
        <f t="shared" si="1"/>
        <v>Franken</v>
      </c>
      <c r="E55" s="8" t="str">
        <f t="shared" si="2"/>
        <v>Franken, Peter</v>
      </c>
      <c r="F55" s="8" t="str">
        <f t="shared" si="3"/>
        <v>Franken, Peter</v>
      </c>
      <c r="G55" s="8" t="str">
        <f t="shared" si="4"/>
        <v>not an outlier</v>
      </c>
      <c r="H55" s="8" t="str">
        <f t="shared" si="5"/>
        <v>moderate</v>
      </c>
      <c r="I55" s="8" t="str">
        <f t="shared" si="15"/>
        <v>no</v>
      </c>
      <c r="J55" s="10" t="str">
        <f t="shared" si="6"/>
        <v>no</v>
      </c>
      <c r="K55" s="10" t="str">
        <f t="shared" si="7"/>
        <v>moderate</v>
      </c>
      <c r="L55" t="s">
        <v>198</v>
      </c>
      <c r="M55">
        <v>10267</v>
      </c>
      <c r="N55">
        <v>59</v>
      </c>
      <c r="O55" t="s">
        <v>704</v>
      </c>
      <c r="P55" t="str">
        <f t="shared" si="8"/>
        <v>FRANK_10267_Raclette Courdavault</v>
      </c>
      <c r="Q55" t="str">
        <f t="shared" si="9"/>
        <v>10267</v>
      </c>
      <c r="R55" t="str">
        <f t="shared" si="10"/>
        <v>10267</v>
      </c>
      <c r="S55" t="str">
        <f t="shared" si="11"/>
        <v>Raclette Courdavault</v>
      </c>
      <c r="T55">
        <v>44</v>
      </c>
      <c r="U55">
        <v>70</v>
      </c>
      <c r="V55">
        <v>0.15</v>
      </c>
      <c r="W55">
        <f t="shared" si="16"/>
        <v>2618</v>
      </c>
      <c r="X55" t="str">
        <f t="shared" si="12"/>
        <v>No</v>
      </c>
      <c r="Y55" s="2">
        <v>34575</v>
      </c>
      <c r="Z55" t="str">
        <f t="shared" si="13"/>
        <v/>
      </c>
      <c r="AA55" t="str">
        <f t="shared" si="14"/>
        <v/>
      </c>
      <c r="AB55" t="str" cm="1">
        <f t="array" ref="AB55">_xlfn.IFS(Y55&lt;DATE(1996,1,1),"",Y55&lt;DATE(1996,4,1),"Q1",Y55&lt;DATE(1996,7,1),"Q2",Y55&gt;=DATE(1996,7,1),"")</f>
        <v/>
      </c>
    </row>
    <row r="56" spans="1:28" ht="14.4" x14ac:dyDescent="0.55000000000000004">
      <c r="A56" t="str">
        <f>VLOOKUP(L56,Customers!$A$2:$B$92,2,FALSE)</f>
        <v>Frankenversand</v>
      </c>
      <c r="B56" t="str">
        <f>VLOOKUP(L56,Customers!$A$2:$C$92,3,TRUE)</f>
        <v>Peter Franken</v>
      </c>
      <c r="C56" t="str">
        <f t="shared" si="0"/>
        <v>Peter</v>
      </c>
      <c r="D56" s="8" t="str">
        <f t="shared" si="1"/>
        <v>Franken</v>
      </c>
      <c r="E56" s="8" t="str">
        <f t="shared" si="2"/>
        <v>Franken, Peter</v>
      </c>
      <c r="F56" s="8" t="str">
        <f t="shared" si="3"/>
        <v>Franken, Peter</v>
      </c>
      <c r="G56" s="8" t="str">
        <f t="shared" si="4"/>
        <v>not an outlier</v>
      </c>
      <c r="H56" s="8" t="str">
        <f t="shared" si="5"/>
        <v>Not</v>
      </c>
      <c r="I56" s="8" t="str">
        <f t="shared" si="15"/>
        <v>no</v>
      </c>
      <c r="J56" s="10" t="str">
        <f t="shared" si="6"/>
        <v>no</v>
      </c>
      <c r="K56" s="10" t="str">
        <f t="shared" si="7"/>
        <v>no</v>
      </c>
      <c r="L56" t="s">
        <v>198</v>
      </c>
      <c r="M56">
        <v>10267</v>
      </c>
      <c r="N56">
        <v>76</v>
      </c>
      <c r="O56" t="s">
        <v>721</v>
      </c>
      <c r="P56" t="str">
        <f t="shared" si="8"/>
        <v>FRANK_10267_Lakkalikööri</v>
      </c>
      <c r="Q56" t="str">
        <f t="shared" si="9"/>
        <v>10267</v>
      </c>
      <c r="R56" t="str">
        <f t="shared" si="10"/>
        <v>10267</v>
      </c>
      <c r="S56" t="str">
        <f t="shared" si="11"/>
        <v>Lakkalikööri</v>
      </c>
      <c r="T56">
        <v>14.4</v>
      </c>
      <c r="U56">
        <v>15</v>
      </c>
      <c r="V56">
        <v>0.15</v>
      </c>
      <c r="W56">
        <f t="shared" si="16"/>
        <v>183.6</v>
      </c>
      <c r="X56" t="str">
        <f t="shared" si="12"/>
        <v>No</v>
      </c>
      <c r="Y56" s="2">
        <v>34575</v>
      </c>
      <c r="Z56" t="str">
        <f t="shared" si="13"/>
        <v/>
      </c>
      <c r="AA56" t="str">
        <f t="shared" si="14"/>
        <v/>
      </c>
      <c r="AB56" t="str" cm="1">
        <f t="array" ref="AB56">_xlfn.IFS(Y56&lt;DATE(1996,1,1),"",Y56&lt;DATE(1996,4,1),"Q1",Y56&lt;DATE(1996,7,1),"Q2",Y56&gt;=DATE(1996,7,1),"")</f>
        <v/>
      </c>
    </row>
    <row r="57" spans="1:28" ht="14.4" x14ac:dyDescent="0.55000000000000004">
      <c r="A57" t="str">
        <f>VLOOKUP(L57,Customers!$A$2:$B$92,2,FALSE)</f>
        <v>GROSELLA-Restaurante</v>
      </c>
      <c r="B57" t="str">
        <f>VLOOKUP(L57,Customers!$A$2:$C$92,3,TRUE)</f>
        <v>Manuel Pereira</v>
      </c>
      <c r="C57" t="str">
        <f t="shared" si="0"/>
        <v>Manuel</v>
      </c>
      <c r="D57" s="8" t="str">
        <f t="shared" si="1"/>
        <v>Pereira</v>
      </c>
      <c r="E57" s="8" t="str">
        <f t="shared" si="2"/>
        <v>Pereira, Manuel</v>
      </c>
      <c r="F57" s="8" t="str">
        <f t="shared" si="3"/>
        <v>Pereira, Manuel</v>
      </c>
      <c r="G57" s="8" t="str">
        <f t="shared" si="4"/>
        <v>not an outlier</v>
      </c>
      <c r="H57" s="8" t="str">
        <f t="shared" si="5"/>
        <v>Not</v>
      </c>
      <c r="I57" s="8" t="str">
        <f t="shared" si="15"/>
        <v>no</v>
      </c>
      <c r="J57" s="10" t="str">
        <f t="shared" si="6"/>
        <v>no</v>
      </c>
      <c r="K57" s="10" t="str">
        <f t="shared" si="7"/>
        <v>no</v>
      </c>
      <c r="L57" t="s">
        <v>255</v>
      </c>
      <c r="M57">
        <v>10268</v>
      </c>
      <c r="N57">
        <v>29</v>
      </c>
      <c r="O57" t="s">
        <v>722</v>
      </c>
      <c r="P57" t="str">
        <f t="shared" si="8"/>
        <v>GROSR_10268_Thüringer Rostbratwurst</v>
      </c>
      <c r="Q57" t="str">
        <f t="shared" si="9"/>
        <v>10268</v>
      </c>
      <c r="R57" t="str">
        <f t="shared" si="10"/>
        <v>10268</v>
      </c>
      <c r="S57" t="str">
        <f t="shared" si="11"/>
        <v>Thüringer Rostbratwurst</v>
      </c>
      <c r="T57">
        <v>99</v>
      </c>
      <c r="U57">
        <v>10</v>
      </c>
      <c r="V57">
        <v>0</v>
      </c>
      <c r="W57">
        <f t="shared" si="16"/>
        <v>990</v>
      </c>
      <c r="X57" t="str">
        <f t="shared" si="12"/>
        <v>No</v>
      </c>
      <c r="Y57" s="2">
        <v>34576</v>
      </c>
      <c r="Z57" t="str">
        <f t="shared" si="13"/>
        <v/>
      </c>
      <c r="AA57" t="str">
        <f t="shared" si="14"/>
        <v/>
      </c>
      <c r="AB57" t="str" cm="1">
        <f t="array" ref="AB57">_xlfn.IFS(Y57&lt;DATE(1996,1,1),"",Y57&lt;DATE(1996,4,1),"Q1",Y57&lt;DATE(1996,7,1),"Q2",Y57&gt;=DATE(1996,7,1),"")</f>
        <v/>
      </c>
    </row>
    <row r="58" spans="1:28" ht="14.4" x14ac:dyDescent="0.55000000000000004">
      <c r="A58" t="str">
        <f>VLOOKUP(L58,Customers!$A$2:$B$92,2,FALSE)</f>
        <v>GROSELLA-Restaurante</v>
      </c>
      <c r="B58" t="str">
        <f>VLOOKUP(L58,Customers!$A$2:$C$92,3,TRUE)</f>
        <v>Manuel Pereira</v>
      </c>
      <c r="C58" t="str">
        <f t="shared" si="0"/>
        <v>Manuel</v>
      </c>
      <c r="D58" s="8" t="str">
        <f t="shared" si="1"/>
        <v>Pereira</v>
      </c>
      <c r="E58" s="8" t="str">
        <f t="shared" si="2"/>
        <v>Pereira, Manuel</v>
      </c>
      <c r="F58" s="8" t="str">
        <f t="shared" si="3"/>
        <v>Pereira, Manuel</v>
      </c>
      <c r="G58" s="8" t="str">
        <f t="shared" si="4"/>
        <v>not an outlier</v>
      </c>
      <c r="H58" s="8" t="str">
        <f t="shared" si="5"/>
        <v>Not</v>
      </c>
      <c r="I58" s="8" t="str">
        <f t="shared" si="15"/>
        <v>no</v>
      </c>
      <c r="J58" s="10" t="str">
        <f t="shared" si="6"/>
        <v>no</v>
      </c>
      <c r="K58" s="10" t="str">
        <f t="shared" si="7"/>
        <v>no</v>
      </c>
      <c r="L58" t="s">
        <v>255</v>
      </c>
      <c r="M58">
        <v>10268</v>
      </c>
      <c r="N58">
        <v>72</v>
      </c>
      <c r="O58" t="s">
        <v>685</v>
      </c>
      <c r="P58" t="str">
        <f t="shared" si="8"/>
        <v>GROSR_10268_Mozzarella di Giovanni</v>
      </c>
      <c r="Q58" t="str">
        <f t="shared" si="9"/>
        <v>10268</v>
      </c>
      <c r="R58" t="str">
        <f t="shared" si="10"/>
        <v>10268</v>
      </c>
      <c r="S58" t="str">
        <f t="shared" si="11"/>
        <v>Mozzarella di Giovanni</v>
      </c>
      <c r="T58">
        <v>27.8</v>
      </c>
      <c r="U58">
        <v>4</v>
      </c>
      <c r="V58">
        <v>0</v>
      </c>
      <c r="W58">
        <f t="shared" si="16"/>
        <v>111.2</v>
      </c>
      <c r="X58" t="str">
        <f t="shared" si="12"/>
        <v>No</v>
      </c>
      <c r="Y58" s="2">
        <v>34576</v>
      </c>
      <c r="Z58" t="str">
        <f t="shared" si="13"/>
        <v/>
      </c>
      <c r="AA58" t="str">
        <f t="shared" si="14"/>
        <v/>
      </c>
      <c r="AB58" t="str" cm="1">
        <f t="array" ref="AB58">_xlfn.IFS(Y58&lt;DATE(1996,1,1),"",Y58&lt;DATE(1996,4,1),"Q1",Y58&lt;DATE(1996,7,1),"Q2",Y58&gt;=DATE(1996,7,1),"")</f>
        <v/>
      </c>
    </row>
    <row r="59" spans="1:28" ht="14.4" x14ac:dyDescent="0.55000000000000004">
      <c r="A59" t="str">
        <f>VLOOKUP(L59,Customers!$A$2:$B$92,2,FALSE)</f>
        <v>White Clover Markets</v>
      </c>
      <c r="B59" t="str">
        <f>VLOOKUP(L59,Customers!$A$2:$C$92,3,TRUE)</f>
        <v>Karl Jablonski</v>
      </c>
      <c r="C59" t="str">
        <f t="shared" si="0"/>
        <v>Karl</v>
      </c>
      <c r="D59" s="8" t="str">
        <f t="shared" si="1"/>
        <v>Jablonski</v>
      </c>
      <c r="E59" s="8" t="str">
        <f t="shared" si="2"/>
        <v>Jablonski, Karl</v>
      </c>
      <c r="F59" s="8" t="str">
        <f t="shared" si="3"/>
        <v>Jablonski, Karl</v>
      </c>
      <c r="G59" s="8" t="str">
        <f t="shared" si="4"/>
        <v>not an outlier</v>
      </c>
      <c r="H59" s="8" t="str">
        <f t="shared" si="5"/>
        <v>Not</v>
      </c>
      <c r="I59" s="8" t="str">
        <f t="shared" si="15"/>
        <v>no</v>
      </c>
      <c r="J59" s="10" t="str">
        <f t="shared" si="6"/>
        <v>no</v>
      </c>
      <c r="K59" s="10" t="str">
        <f t="shared" si="7"/>
        <v>no</v>
      </c>
      <c r="L59" t="s">
        <v>654</v>
      </c>
      <c r="M59">
        <v>10269</v>
      </c>
      <c r="N59">
        <v>33</v>
      </c>
      <c r="O59" t="s">
        <v>693</v>
      </c>
      <c r="P59" t="str">
        <f t="shared" si="8"/>
        <v>WHITC_10269_Geitost</v>
      </c>
      <c r="Q59" t="str">
        <f t="shared" si="9"/>
        <v>10269</v>
      </c>
      <c r="R59" t="str">
        <f t="shared" si="10"/>
        <v>10269</v>
      </c>
      <c r="S59" t="str">
        <f t="shared" si="11"/>
        <v>Geitost</v>
      </c>
      <c r="T59">
        <v>2</v>
      </c>
      <c r="U59">
        <v>60</v>
      </c>
      <c r="V59">
        <v>0.05</v>
      </c>
      <c r="W59">
        <f t="shared" si="16"/>
        <v>114</v>
      </c>
      <c r="X59" t="str">
        <f t="shared" si="12"/>
        <v>No</v>
      </c>
      <c r="Y59" s="2">
        <v>34577</v>
      </c>
      <c r="Z59" t="str">
        <f t="shared" si="13"/>
        <v/>
      </c>
      <c r="AA59" t="str">
        <f t="shared" si="14"/>
        <v/>
      </c>
      <c r="AB59" t="str" cm="1">
        <f t="array" ref="AB59">_xlfn.IFS(Y59&lt;DATE(1996,1,1),"",Y59&lt;DATE(1996,4,1),"Q1",Y59&lt;DATE(1996,7,1),"Q2",Y59&gt;=DATE(1996,7,1),"")</f>
        <v/>
      </c>
    </row>
    <row r="60" spans="1:28" ht="14.4" x14ac:dyDescent="0.55000000000000004">
      <c r="A60" t="str">
        <f>VLOOKUP(L60,Customers!$A$2:$B$92,2,FALSE)</f>
        <v>White Clover Markets</v>
      </c>
      <c r="B60" t="str">
        <f>VLOOKUP(L60,Customers!$A$2:$C$92,3,TRUE)</f>
        <v>Karl Jablonski</v>
      </c>
      <c r="C60" t="str">
        <f t="shared" si="0"/>
        <v>Karl</v>
      </c>
      <c r="D60" s="8" t="str">
        <f t="shared" si="1"/>
        <v>Jablonski</v>
      </c>
      <c r="E60" s="8" t="str">
        <f t="shared" si="2"/>
        <v>Jablonski, Karl</v>
      </c>
      <c r="F60" s="8" t="str">
        <f t="shared" si="3"/>
        <v>Jablonski, Karl</v>
      </c>
      <c r="G60" s="8" t="str">
        <f t="shared" si="4"/>
        <v>not an outlier</v>
      </c>
      <c r="H60" s="8" t="str">
        <f t="shared" si="5"/>
        <v>Not</v>
      </c>
      <c r="I60" s="8" t="str">
        <f t="shared" si="15"/>
        <v>no</v>
      </c>
      <c r="J60" s="10" t="str">
        <f t="shared" si="6"/>
        <v>no</v>
      </c>
      <c r="K60" s="10" t="str">
        <f t="shared" si="7"/>
        <v>no</v>
      </c>
      <c r="L60" t="s">
        <v>654</v>
      </c>
      <c r="M60">
        <v>10269</v>
      </c>
      <c r="N60">
        <v>72</v>
      </c>
      <c r="O60" t="s">
        <v>685</v>
      </c>
      <c r="P60" t="str">
        <f t="shared" si="8"/>
        <v>WHITC_10269_Mozzarella di Giovanni</v>
      </c>
      <c r="Q60" t="str">
        <f t="shared" si="9"/>
        <v>10269</v>
      </c>
      <c r="R60" t="str">
        <f t="shared" si="10"/>
        <v>10269</v>
      </c>
      <c r="S60" t="str">
        <f t="shared" si="11"/>
        <v>Mozzarella di Giovanni</v>
      </c>
      <c r="T60">
        <v>27.8</v>
      </c>
      <c r="U60">
        <v>20</v>
      </c>
      <c r="V60">
        <v>0.05</v>
      </c>
      <c r="W60">
        <f t="shared" si="16"/>
        <v>528.19999999999993</v>
      </c>
      <c r="X60" t="str">
        <f t="shared" si="12"/>
        <v>No</v>
      </c>
      <c r="Y60" s="2">
        <v>34577</v>
      </c>
      <c r="Z60" t="str">
        <f t="shared" si="13"/>
        <v/>
      </c>
      <c r="AA60" t="str">
        <f t="shared" si="14"/>
        <v/>
      </c>
      <c r="AB60" t="str" cm="1">
        <f t="array" ref="AB60">_xlfn.IFS(Y60&lt;DATE(1996,1,1),"",Y60&lt;DATE(1996,4,1),"Q1",Y60&lt;DATE(1996,7,1),"Q2",Y60&gt;=DATE(1996,7,1),"")</f>
        <v/>
      </c>
    </row>
    <row r="61" spans="1:28" ht="14.4" x14ac:dyDescent="0.55000000000000004">
      <c r="A61" t="str">
        <f>VLOOKUP(L61,Customers!$A$2:$B$92,2,FALSE)</f>
        <v>Wartian Herkku</v>
      </c>
      <c r="B61" t="str">
        <f>VLOOKUP(L61,Customers!$A$2:$C$92,3,TRUE)</f>
        <v>Pirkko Koskitalo</v>
      </c>
      <c r="C61" t="str">
        <f t="shared" si="0"/>
        <v>Pirkko</v>
      </c>
      <c r="D61" s="8" t="str">
        <f t="shared" si="1"/>
        <v>Koskitalo</v>
      </c>
      <c r="E61" s="8" t="str">
        <f t="shared" si="2"/>
        <v>Koskitalo, Pirkko</v>
      </c>
      <c r="F61" s="8" t="str">
        <f t="shared" si="3"/>
        <v>Koskitalo, Pirkko</v>
      </c>
      <c r="G61" s="8" t="str">
        <f t="shared" si="4"/>
        <v>not an outlier</v>
      </c>
      <c r="H61" s="8" t="str">
        <f t="shared" si="5"/>
        <v>Not</v>
      </c>
      <c r="I61" s="8" t="str">
        <f t="shared" si="15"/>
        <v>no</v>
      </c>
      <c r="J61" s="10" t="str">
        <f t="shared" si="6"/>
        <v>no</v>
      </c>
      <c r="K61" s="10" t="str">
        <f t="shared" si="7"/>
        <v>no</v>
      </c>
      <c r="L61" t="s">
        <v>640</v>
      </c>
      <c r="M61">
        <v>10270</v>
      </c>
      <c r="N61">
        <v>36</v>
      </c>
      <c r="O61" t="s">
        <v>703</v>
      </c>
      <c r="P61" t="str">
        <f t="shared" si="8"/>
        <v>WARTH_10270_Inlagd Sill</v>
      </c>
      <c r="Q61" t="str">
        <f t="shared" si="9"/>
        <v>10270</v>
      </c>
      <c r="R61" t="str">
        <f t="shared" si="10"/>
        <v>10270</v>
      </c>
      <c r="S61" t="str">
        <f t="shared" si="11"/>
        <v>Inlagd Sill</v>
      </c>
      <c r="T61">
        <v>15.2</v>
      </c>
      <c r="U61">
        <v>30</v>
      </c>
      <c r="V61">
        <v>0</v>
      </c>
      <c r="W61">
        <f t="shared" si="16"/>
        <v>456</v>
      </c>
      <c r="X61" t="str">
        <f t="shared" si="12"/>
        <v>No</v>
      </c>
      <c r="Y61" s="2">
        <v>34578</v>
      </c>
      <c r="Z61" t="str">
        <f t="shared" si="13"/>
        <v/>
      </c>
      <c r="AA61" t="str">
        <f t="shared" si="14"/>
        <v/>
      </c>
      <c r="AB61" t="str" cm="1">
        <f t="array" ref="AB61">_xlfn.IFS(Y61&lt;DATE(1996,1,1),"",Y61&lt;DATE(1996,4,1),"Q1",Y61&lt;DATE(1996,7,1),"Q2",Y61&gt;=DATE(1996,7,1),"")</f>
        <v/>
      </c>
    </row>
    <row r="62" spans="1:28" ht="14.4" x14ac:dyDescent="0.55000000000000004">
      <c r="A62" t="str">
        <f>VLOOKUP(L62,Customers!$A$2:$B$92,2,FALSE)</f>
        <v>Wartian Herkku</v>
      </c>
      <c r="B62" t="str">
        <f>VLOOKUP(L62,Customers!$A$2:$C$92,3,TRUE)</f>
        <v>Pirkko Koskitalo</v>
      </c>
      <c r="C62" t="str">
        <f t="shared" si="0"/>
        <v>Pirkko</v>
      </c>
      <c r="D62" s="8" t="str">
        <f t="shared" si="1"/>
        <v>Koskitalo</v>
      </c>
      <c r="E62" s="8" t="str">
        <f t="shared" si="2"/>
        <v>Koskitalo, Pirkko</v>
      </c>
      <c r="F62" s="8" t="str">
        <f t="shared" si="3"/>
        <v>Koskitalo, Pirkko</v>
      </c>
      <c r="G62" s="8" t="str">
        <f t="shared" si="4"/>
        <v>not an outlier</v>
      </c>
      <c r="H62" s="8" t="str">
        <f t="shared" si="5"/>
        <v>Not</v>
      </c>
      <c r="I62" s="8" t="str">
        <f t="shared" si="15"/>
        <v>no</v>
      </c>
      <c r="J62" s="10" t="str">
        <f t="shared" si="6"/>
        <v>no</v>
      </c>
      <c r="K62" s="10" t="str">
        <f t="shared" si="7"/>
        <v>no</v>
      </c>
      <c r="L62" t="s">
        <v>640</v>
      </c>
      <c r="M62">
        <v>10270</v>
      </c>
      <c r="N62">
        <v>43</v>
      </c>
      <c r="O62" t="s">
        <v>723</v>
      </c>
      <c r="P62" t="str">
        <f t="shared" si="8"/>
        <v>WARTH_10270_Ipoh Coffee</v>
      </c>
      <c r="Q62" t="str">
        <f t="shared" si="9"/>
        <v>10270</v>
      </c>
      <c r="R62" t="str">
        <f t="shared" si="10"/>
        <v>10270</v>
      </c>
      <c r="S62" t="str">
        <f t="shared" si="11"/>
        <v>Ipoh Coffee</v>
      </c>
      <c r="T62">
        <v>36.799999999999997</v>
      </c>
      <c r="U62">
        <v>25</v>
      </c>
      <c r="V62">
        <v>0</v>
      </c>
      <c r="W62">
        <f t="shared" si="16"/>
        <v>919.99999999999989</v>
      </c>
      <c r="X62" t="str">
        <f t="shared" si="12"/>
        <v>No</v>
      </c>
      <c r="Y62" s="2">
        <v>34578</v>
      </c>
      <c r="Z62" t="str">
        <f t="shared" si="13"/>
        <v/>
      </c>
      <c r="AA62" t="str">
        <f t="shared" si="14"/>
        <v/>
      </c>
      <c r="AB62" t="str" cm="1">
        <f t="array" ref="AB62">_xlfn.IFS(Y62&lt;DATE(1996,1,1),"",Y62&lt;DATE(1996,4,1),"Q1",Y62&lt;DATE(1996,7,1),"Q2",Y62&gt;=DATE(1996,7,1),"")</f>
        <v/>
      </c>
    </row>
    <row r="63" spans="1:28" ht="14.4" x14ac:dyDescent="0.55000000000000004">
      <c r="A63" t="str">
        <f>VLOOKUP(L63,Customers!$A$2:$B$92,2,FALSE)</f>
        <v>Split Rail Beer &amp; Ale</v>
      </c>
      <c r="B63" t="str">
        <f>VLOOKUP(L63,Customers!$A$2:$C$92,3,TRUE)</f>
        <v>Art Braunschweiger</v>
      </c>
      <c r="C63" t="str">
        <f t="shared" si="0"/>
        <v>Art</v>
      </c>
      <c r="D63" s="8" t="str">
        <f t="shared" si="1"/>
        <v>Braunschweiger</v>
      </c>
      <c r="E63" s="8" t="str">
        <f t="shared" si="2"/>
        <v>Braunschweiger, Art</v>
      </c>
      <c r="F63" s="8" t="str">
        <f t="shared" si="3"/>
        <v>Braunschweiger, Art</v>
      </c>
      <c r="G63" s="8" t="str">
        <f t="shared" si="4"/>
        <v>not an outlier</v>
      </c>
      <c r="H63" s="8" t="str">
        <f t="shared" si="5"/>
        <v>Not</v>
      </c>
      <c r="I63" s="8" t="str">
        <f t="shared" si="15"/>
        <v>no</v>
      </c>
      <c r="J63" s="10" t="str">
        <f t="shared" si="6"/>
        <v>no</v>
      </c>
      <c r="K63" s="10" t="str">
        <f t="shared" si="7"/>
        <v>no</v>
      </c>
      <c r="L63" t="s">
        <v>557</v>
      </c>
      <c r="M63">
        <v>10271</v>
      </c>
      <c r="N63">
        <v>33</v>
      </c>
      <c r="O63" t="s">
        <v>693</v>
      </c>
      <c r="P63" t="str">
        <f t="shared" si="8"/>
        <v>SPLIR_10271_Geitost</v>
      </c>
      <c r="Q63" t="str">
        <f t="shared" si="9"/>
        <v>10271</v>
      </c>
      <c r="R63" t="str">
        <f t="shared" si="10"/>
        <v>10271</v>
      </c>
      <c r="S63" t="str">
        <f t="shared" si="11"/>
        <v>Geitost</v>
      </c>
      <c r="T63">
        <v>2</v>
      </c>
      <c r="U63">
        <v>24</v>
      </c>
      <c r="V63">
        <v>0</v>
      </c>
      <c r="W63">
        <f t="shared" si="16"/>
        <v>48</v>
      </c>
      <c r="X63" t="str">
        <f t="shared" si="12"/>
        <v>No</v>
      </c>
      <c r="Y63" s="2">
        <v>34578</v>
      </c>
      <c r="Z63" t="str">
        <f t="shared" si="13"/>
        <v/>
      </c>
      <c r="AA63" t="str">
        <f t="shared" si="14"/>
        <v/>
      </c>
      <c r="AB63" t="str" cm="1">
        <f t="array" ref="AB63">_xlfn.IFS(Y63&lt;DATE(1996,1,1),"",Y63&lt;DATE(1996,4,1),"Q1",Y63&lt;DATE(1996,7,1),"Q2",Y63&gt;=DATE(1996,7,1),"")</f>
        <v/>
      </c>
    </row>
    <row r="64" spans="1:28" ht="14.4" x14ac:dyDescent="0.55000000000000004">
      <c r="A64" t="str">
        <f>VLOOKUP(L64,Customers!$A$2:$B$92,2,FALSE)</f>
        <v>Rattlesnake Canyon Grocery</v>
      </c>
      <c r="B64" t="str">
        <f>VLOOKUP(L64,Customers!$A$2:$C$92,3,TRUE)</f>
        <v>Paula Wilson</v>
      </c>
      <c r="C64" t="str">
        <f t="shared" si="0"/>
        <v>Paula</v>
      </c>
      <c r="D64" s="8" t="str">
        <f t="shared" si="1"/>
        <v>Wilson</v>
      </c>
      <c r="E64" s="8" t="str">
        <f t="shared" si="2"/>
        <v>Wilson, Paula</v>
      </c>
      <c r="F64" s="8" t="str">
        <f t="shared" si="3"/>
        <v>Wilson, Paula</v>
      </c>
      <c r="G64" s="8" t="str">
        <f t="shared" si="4"/>
        <v>not an outlier</v>
      </c>
      <c r="H64" s="8" t="str">
        <f t="shared" si="5"/>
        <v>Not</v>
      </c>
      <c r="I64" s="8" t="str">
        <f t="shared" si="15"/>
        <v>no</v>
      </c>
      <c r="J64" s="10" t="str">
        <f t="shared" si="6"/>
        <v>no</v>
      </c>
      <c r="K64" s="10" t="str">
        <f t="shared" si="7"/>
        <v>no</v>
      </c>
      <c r="L64" t="s">
        <v>487</v>
      </c>
      <c r="M64">
        <v>10272</v>
      </c>
      <c r="N64">
        <v>20</v>
      </c>
      <c r="O64" t="s">
        <v>692</v>
      </c>
      <c r="P64" t="str">
        <f t="shared" si="8"/>
        <v>RATTC_10272_Sir Rodney's Marmalade</v>
      </c>
      <c r="Q64" t="str">
        <f t="shared" si="9"/>
        <v>10272</v>
      </c>
      <c r="R64" t="str">
        <f t="shared" si="10"/>
        <v>10272</v>
      </c>
      <c r="S64" t="str">
        <f t="shared" si="11"/>
        <v>Sir Rodney's Marmalade</v>
      </c>
      <c r="T64">
        <v>64.8</v>
      </c>
      <c r="U64">
        <v>6</v>
      </c>
      <c r="V64">
        <v>0</v>
      </c>
      <c r="W64">
        <f t="shared" si="16"/>
        <v>388.79999999999995</v>
      </c>
      <c r="X64" t="str">
        <f t="shared" si="12"/>
        <v>No</v>
      </c>
      <c r="Y64" s="2">
        <v>34579</v>
      </c>
      <c r="Z64" t="str">
        <f t="shared" si="13"/>
        <v/>
      </c>
      <c r="AA64" t="str">
        <f t="shared" si="14"/>
        <v/>
      </c>
      <c r="AB64" t="str" cm="1">
        <f t="array" ref="AB64">_xlfn.IFS(Y64&lt;DATE(1996,1,1),"",Y64&lt;DATE(1996,4,1),"Q1",Y64&lt;DATE(1996,7,1),"Q2",Y64&gt;=DATE(1996,7,1),"")</f>
        <v/>
      </c>
    </row>
    <row r="65" spans="1:28" ht="14.4" x14ac:dyDescent="0.55000000000000004">
      <c r="A65" t="str">
        <f>VLOOKUP(L65,Customers!$A$2:$B$92,2,FALSE)</f>
        <v>Rattlesnake Canyon Grocery</v>
      </c>
      <c r="B65" t="str">
        <f>VLOOKUP(L65,Customers!$A$2:$C$92,3,TRUE)</f>
        <v>Paula Wilson</v>
      </c>
      <c r="C65" t="str">
        <f t="shared" si="0"/>
        <v>Paula</v>
      </c>
      <c r="D65" s="8" t="str">
        <f t="shared" si="1"/>
        <v>Wilson</v>
      </c>
      <c r="E65" s="8" t="str">
        <f t="shared" si="2"/>
        <v>Wilson, Paula</v>
      </c>
      <c r="F65" s="8" t="str">
        <f t="shared" si="3"/>
        <v>Wilson, Paula</v>
      </c>
      <c r="G65" s="8" t="str">
        <f t="shared" si="4"/>
        <v>not an outlier</v>
      </c>
      <c r="H65" s="8" t="str">
        <f t="shared" si="5"/>
        <v>Not</v>
      </c>
      <c r="I65" s="8" t="str">
        <f t="shared" si="15"/>
        <v>no</v>
      </c>
      <c r="J65" s="10" t="str">
        <f t="shared" si="6"/>
        <v>no</v>
      </c>
      <c r="K65" s="10" t="str">
        <f t="shared" si="7"/>
        <v>no</v>
      </c>
      <c r="L65" t="s">
        <v>487</v>
      </c>
      <c r="M65">
        <v>10272</v>
      </c>
      <c r="N65">
        <v>31</v>
      </c>
      <c r="O65" t="s">
        <v>695</v>
      </c>
      <c r="P65" t="str">
        <f t="shared" si="8"/>
        <v>RATTC_10272_Gorgonzola Telino</v>
      </c>
      <c r="Q65" t="str">
        <f t="shared" si="9"/>
        <v>10272</v>
      </c>
      <c r="R65" t="str">
        <f t="shared" si="10"/>
        <v>10272</v>
      </c>
      <c r="S65" t="str">
        <f t="shared" si="11"/>
        <v>Gorgonzola Telino</v>
      </c>
      <c r="T65">
        <v>10</v>
      </c>
      <c r="U65">
        <v>40</v>
      </c>
      <c r="V65">
        <v>0</v>
      </c>
      <c r="W65">
        <f t="shared" si="16"/>
        <v>400</v>
      </c>
      <c r="X65" t="str">
        <f t="shared" si="12"/>
        <v>No</v>
      </c>
      <c r="Y65" s="2">
        <v>34579</v>
      </c>
      <c r="Z65" t="str">
        <f t="shared" ref="Z65:Z128" si="17">IF(Y65&gt;=DATE(1996,1,1), IF(Y65&lt;DATE(1996,4,1),"1st Q 1996",""),"")</f>
        <v/>
      </c>
      <c r="AA65" t="str">
        <f t="shared" si="14"/>
        <v/>
      </c>
      <c r="AB65" t="str" cm="1">
        <f t="array" ref="AB65">_xlfn.IFS(Y65&lt;DATE(1996,1,1),"",Y65&lt;DATE(1996,4,1),"Q1",Y65&lt;DATE(1996,7,1),"Q2",Y65&gt;=DATE(1996,7,1),"")</f>
        <v/>
      </c>
    </row>
    <row r="66" spans="1:28" ht="14.4" x14ac:dyDescent="0.55000000000000004">
      <c r="A66" t="str">
        <f>VLOOKUP(L66,Customers!$A$2:$B$92,2,FALSE)</f>
        <v>Rattlesnake Canyon Grocery</v>
      </c>
      <c r="B66" t="str">
        <f>VLOOKUP(L66,Customers!$A$2:$C$92,3,TRUE)</f>
        <v>Paula Wilson</v>
      </c>
      <c r="C66" t="str">
        <f t="shared" si="0"/>
        <v>Paula</v>
      </c>
      <c r="D66" s="8" t="str">
        <f t="shared" si="1"/>
        <v>Wilson</v>
      </c>
      <c r="E66" s="8" t="str">
        <f t="shared" si="2"/>
        <v>Wilson, Paula</v>
      </c>
      <c r="F66" s="8" t="str">
        <f t="shared" si="3"/>
        <v>Wilson, Paula</v>
      </c>
      <c r="G66" s="8" t="str">
        <f t="shared" si="4"/>
        <v>not an outlier</v>
      </c>
      <c r="H66" s="8" t="str">
        <f t="shared" si="5"/>
        <v>Not</v>
      </c>
      <c r="I66" s="8" t="str">
        <f t="shared" si="15"/>
        <v>no</v>
      </c>
      <c r="J66" s="10" t="str">
        <f t="shared" si="6"/>
        <v>no</v>
      </c>
      <c r="K66" s="10" t="str">
        <f t="shared" si="7"/>
        <v>no</v>
      </c>
      <c r="L66" t="s">
        <v>487</v>
      </c>
      <c r="M66">
        <v>10272</v>
      </c>
      <c r="N66">
        <v>72</v>
      </c>
      <c r="O66" t="s">
        <v>685</v>
      </c>
      <c r="P66" t="str">
        <f t="shared" si="8"/>
        <v>RATTC_10272_Mozzarella di Giovanni</v>
      </c>
      <c r="Q66" t="str">
        <f t="shared" si="9"/>
        <v>10272</v>
      </c>
      <c r="R66" t="str">
        <f t="shared" si="10"/>
        <v>10272</v>
      </c>
      <c r="S66" t="str">
        <f t="shared" si="11"/>
        <v>Mozzarella di Giovanni</v>
      </c>
      <c r="T66">
        <v>27.8</v>
      </c>
      <c r="U66">
        <v>24</v>
      </c>
      <c r="V66">
        <v>0</v>
      </c>
      <c r="W66">
        <f t="shared" si="16"/>
        <v>667.2</v>
      </c>
      <c r="X66" t="str">
        <f t="shared" si="12"/>
        <v>No</v>
      </c>
      <c r="Y66" s="2">
        <v>34579</v>
      </c>
      <c r="Z66" t="str">
        <f t="shared" si="17"/>
        <v/>
      </c>
      <c r="AA66" t="str">
        <f t="shared" si="14"/>
        <v/>
      </c>
      <c r="AB66" t="str" cm="1">
        <f t="array" ref="AB66">_xlfn.IFS(Y66&lt;DATE(1996,1,1),"",Y66&lt;DATE(1996,4,1),"Q1",Y66&lt;DATE(1996,7,1),"Q2",Y66&gt;=DATE(1996,7,1),"")</f>
        <v/>
      </c>
    </row>
    <row r="67" spans="1:28" ht="14.4" x14ac:dyDescent="0.55000000000000004">
      <c r="A67" t="str">
        <f>VLOOKUP(L67,Customers!$A$2:$B$92,2,FALSE)</f>
        <v>QUICK-Stop</v>
      </c>
      <c r="B67" t="str">
        <f>VLOOKUP(L67,Customers!$A$2:$C$92,3,TRUE)</f>
        <v>Horst Kloss</v>
      </c>
      <c r="C67" t="str">
        <f t="shared" ref="C67:C130" si="18">LEFT(B67,FIND(" ",B67)-1)</f>
        <v>Horst</v>
      </c>
      <c r="D67" s="8" t="str">
        <f t="shared" ref="D67:D130" si="19">RIGHT(B67,LEN(B67)-FIND(" ",B67))</f>
        <v>Kloss</v>
      </c>
      <c r="E67" s="8" t="str">
        <f t="shared" ref="E67:E130" si="20">_xlfn.CONCAT(D67,", ",C67)</f>
        <v>Kloss, Horst</v>
      </c>
      <c r="F67" s="8" t="str">
        <f t="shared" ref="F67:F130" si="21">D67&amp;", "&amp;C67</f>
        <v>Kloss, Horst</v>
      </c>
      <c r="G67" s="8" t="str">
        <f t="shared" ref="G67:G130" si="22">IF(OR(W67&gt;$W$2166,W67&lt;$W$2167),"outlier","not an outlier")</f>
        <v>not an outlier</v>
      </c>
      <c r="H67" s="8" t="str">
        <f t="shared" ref="H67:H130" si="23">IF(OR(W67&gt;$W$2166,W67&lt;$W$2167),"outlier",IF(OR(W67&gt;$W$2168,W67&lt;$W$2169),"moderate","Not"))</f>
        <v>Not</v>
      </c>
      <c r="I67" s="8" t="str">
        <f t="shared" si="15"/>
        <v>no</v>
      </c>
      <c r="J67" s="10" t="str">
        <f t="shared" ref="J67:J130" si="24">IF(AND(W67&lt;=$W$2166,W67&gt;=$W$2167),"no","yes")</f>
        <v>no</v>
      </c>
      <c r="K67" s="10" t="str">
        <f t="shared" ref="K67:K130" si="25">IF(OR(W67&gt;$W$2166,W67&lt;$W$2167),"yes",IF(OR(W67&gt;$W$2168,W67&lt;$W$2169),"moderate","no"))</f>
        <v>no</v>
      </c>
      <c r="L67" t="s">
        <v>475</v>
      </c>
      <c r="M67">
        <v>10273</v>
      </c>
      <c r="N67">
        <v>10</v>
      </c>
      <c r="O67" t="s">
        <v>724</v>
      </c>
      <c r="P67" t="str">
        <f t="shared" ref="P67:P130" si="26">L67&amp;"_"&amp;M67&amp;"_"&amp;O67</f>
        <v>QUICK_10273_Ikura</v>
      </c>
      <c r="Q67" t="str">
        <f t="shared" ref="Q67:Q130" si="27">LEFT(RIGHT(P67,LEN(P67)-FIND("_",P67)), FIND("_",P67)-1)</f>
        <v>10273</v>
      </c>
      <c r="R67" t="str">
        <f t="shared" ref="R67:R130" si="28">MID(P67,FIND("_",P67)+1,FIND("_",P67,FIND("_",P67))-1)</f>
        <v>10273</v>
      </c>
      <c r="S67" t="str">
        <f t="shared" ref="S67:S130" si="29">MID(P67,FIND("_",P67,FIND("_",P67)+1)+1,LEN(P67))</f>
        <v>Ikura</v>
      </c>
      <c r="T67">
        <v>24.8</v>
      </c>
      <c r="U67">
        <v>24</v>
      </c>
      <c r="V67">
        <v>0.05</v>
      </c>
      <c r="W67">
        <f t="shared" ref="W67:W130" si="30">T67*U67*(1-V67)</f>
        <v>565.44000000000005</v>
      </c>
      <c r="X67" t="str">
        <f t="shared" ref="X67:X130" si="31">IF(YEAR(Y67)&gt;=1996,"yes","No")</f>
        <v>No</v>
      </c>
      <c r="Y67" s="2">
        <v>34582</v>
      </c>
      <c r="Z67" t="str">
        <f t="shared" si="17"/>
        <v/>
      </c>
      <c r="AA67" t="str">
        <f t="shared" ref="AA67:AA130" si="32">IF(Y67&lt;DATE(1996,1,1),"", IF(Y67&lt;DATE(1996,4,1),"1st Q 1996",IF(Y67&lt;DATE(1996,7,1),"2nd Q 1996","")))</f>
        <v/>
      </c>
      <c r="AB67" t="str" cm="1">
        <f t="array" ref="AB67">_xlfn.IFS(Y67&lt;DATE(1996,1,1),"",Y67&lt;DATE(1996,4,1),"Q1",Y67&lt;DATE(1996,7,1),"Q2",Y67&gt;=DATE(1996,7,1),"")</f>
        <v/>
      </c>
    </row>
    <row r="68" spans="1:28" ht="14.4" x14ac:dyDescent="0.55000000000000004">
      <c r="A68" t="str">
        <f>VLOOKUP(L68,Customers!$A$2:$B$92,2,FALSE)</f>
        <v>QUICK-Stop</v>
      </c>
      <c r="B68" t="str">
        <f>VLOOKUP(L68,Customers!$A$2:$C$92,3,TRUE)</f>
        <v>Horst Kloss</v>
      </c>
      <c r="C68" t="str">
        <f t="shared" si="18"/>
        <v>Horst</v>
      </c>
      <c r="D68" s="8" t="str">
        <f t="shared" si="19"/>
        <v>Kloss</v>
      </c>
      <c r="E68" s="8" t="str">
        <f t="shared" si="20"/>
        <v>Kloss, Horst</v>
      </c>
      <c r="F68" s="8" t="str">
        <f t="shared" si="21"/>
        <v>Kloss, Horst</v>
      </c>
      <c r="G68" s="8" t="str">
        <f t="shared" si="22"/>
        <v>not an outlier</v>
      </c>
      <c r="H68" s="8" t="str">
        <f t="shared" si="23"/>
        <v>Not</v>
      </c>
      <c r="I68" s="8" t="str">
        <f t="shared" ref="I68:I131" si="33">IF(OR(W68&gt;$W$2166,W68&lt;$W$2167),"yes","no")</f>
        <v>no</v>
      </c>
      <c r="J68" s="10" t="str">
        <f t="shared" si="24"/>
        <v>no</v>
      </c>
      <c r="K68" s="10" t="str">
        <f t="shared" si="25"/>
        <v>no</v>
      </c>
      <c r="L68" t="s">
        <v>475</v>
      </c>
      <c r="M68">
        <v>10273</v>
      </c>
      <c r="N68">
        <v>31</v>
      </c>
      <c r="O68" t="s">
        <v>695</v>
      </c>
      <c r="P68" t="str">
        <f t="shared" si="26"/>
        <v>QUICK_10273_Gorgonzola Telino</v>
      </c>
      <c r="Q68" t="str">
        <f t="shared" si="27"/>
        <v>10273</v>
      </c>
      <c r="R68" t="str">
        <f t="shared" si="28"/>
        <v>10273</v>
      </c>
      <c r="S68" t="str">
        <f t="shared" si="29"/>
        <v>Gorgonzola Telino</v>
      </c>
      <c r="T68">
        <v>10</v>
      </c>
      <c r="U68">
        <v>15</v>
      </c>
      <c r="V68">
        <v>0.05</v>
      </c>
      <c r="W68">
        <f t="shared" si="30"/>
        <v>142.5</v>
      </c>
      <c r="X68" t="str">
        <f t="shared" si="31"/>
        <v>No</v>
      </c>
      <c r="Y68" s="2">
        <v>34582</v>
      </c>
      <c r="Z68" t="str">
        <f t="shared" si="17"/>
        <v/>
      </c>
      <c r="AA68" t="str">
        <f t="shared" si="32"/>
        <v/>
      </c>
      <c r="AB68" t="str" cm="1">
        <f t="array" ref="AB68">_xlfn.IFS(Y68&lt;DATE(1996,1,1),"",Y68&lt;DATE(1996,4,1),"Q1",Y68&lt;DATE(1996,7,1),"Q2",Y68&gt;=DATE(1996,7,1),"")</f>
        <v/>
      </c>
    </row>
    <row r="69" spans="1:28" ht="14.4" x14ac:dyDescent="0.55000000000000004">
      <c r="A69" t="str">
        <f>VLOOKUP(L69,Customers!$A$2:$B$92,2,FALSE)</f>
        <v>QUICK-Stop</v>
      </c>
      <c r="B69" t="str">
        <f>VLOOKUP(L69,Customers!$A$2:$C$92,3,TRUE)</f>
        <v>Horst Kloss</v>
      </c>
      <c r="C69" t="str">
        <f t="shared" si="18"/>
        <v>Horst</v>
      </c>
      <c r="D69" s="8" t="str">
        <f t="shared" si="19"/>
        <v>Kloss</v>
      </c>
      <c r="E69" s="8" t="str">
        <f t="shared" si="20"/>
        <v>Kloss, Horst</v>
      </c>
      <c r="F69" s="8" t="str">
        <f t="shared" si="21"/>
        <v>Kloss, Horst</v>
      </c>
      <c r="G69" s="8" t="str">
        <f t="shared" si="22"/>
        <v>not an outlier</v>
      </c>
      <c r="H69" s="8" t="str">
        <f t="shared" si="23"/>
        <v>Not</v>
      </c>
      <c r="I69" s="8" t="str">
        <f t="shared" si="33"/>
        <v>no</v>
      </c>
      <c r="J69" s="10" t="str">
        <f t="shared" si="24"/>
        <v>no</v>
      </c>
      <c r="K69" s="10" t="str">
        <f t="shared" si="25"/>
        <v>no</v>
      </c>
      <c r="L69" t="s">
        <v>475</v>
      </c>
      <c r="M69">
        <v>10273</v>
      </c>
      <c r="N69">
        <v>33</v>
      </c>
      <c r="O69" t="s">
        <v>693</v>
      </c>
      <c r="P69" t="str">
        <f t="shared" si="26"/>
        <v>QUICK_10273_Geitost</v>
      </c>
      <c r="Q69" t="str">
        <f t="shared" si="27"/>
        <v>10273</v>
      </c>
      <c r="R69" t="str">
        <f t="shared" si="28"/>
        <v>10273</v>
      </c>
      <c r="S69" t="str">
        <f t="shared" si="29"/>
        <v>Geitost</v>
      </c>
      <c r="T69">
        <v>2</v>
      </c>
      <c r="U69">
        <v>20</v>
      </c>
      <c r="V69">
        <v>0</v>
      </c>
      <c r="W69">
        <f t="shared" si="30"/>
        <v>40</v>
      </c>
      <c r="X69" t="str">
        <f t="shared" si="31"/>
        <v>No</v>
      </c>
      <c r="Y69" s="2">
        <v>34582</v>
      </c>
      <c r="Z69" t="str">
        <f t="shared" si="17"/>
        <v/>
      </c>
      <c r="AA69" t="str">
        <f t="shared" si="32"/>
        <v/>
      </c>
      <c r="AB69" t="str" cm="1">
        <f t="array" ref="AB69">_xlfn.IFS(Y69&lt;DATE(1996,1,1),"",Y69&lt;DATE(1996,4,1),"Q1",Y69&lt;DATE(1996,7,1),"Q2",Y69&gt;=DATE(1996,7,1),"")</f>
        <v/>
      </c>
    </row>
    <row r="70" spans="1:28" ht="14.4" x14ac:dyDescent="0.55000000000000004">
      <c r="A70" t="str">
        <f>VLOOKUP(L70,Customers!$A$2:$B$92,2,FALSE)</f>
        <v>QUICK-Stop</v>
      </c>
      <c r="B70" t="str">
        <f>VLOOKUP(L70,Customers!$A$2:$C$92,3,TRUE)</f>
        <v>Horst Kloss</v>
      </c>
      <c r="C70" t="str">
        <f t="shared" si="18"/>
        <v>Horst</v>
      </c>
      <c r="D70" s="8" t="str">
        <f t="shared" si="19"/>
        <v>Kloss</v>
      </c>
      <c r="E70" s="8" t="str">
        <f t="shared" si="20"/>
        <v>Kloss, Horst</v>
      </c>
      <c r="F70" s="8" t="str">
        <f t="shared" si="21"/>
        <v>Kloss, Horst</v>
      </c>
      <c r="G70" s="8" t="str">
        <f t="shared" si="22"/>
        <v>not an outlier</v>
      </c>
      <c r="H70" s="8" t="str">
        <f t="shared" si="23"/>
        <v>Not</v>
      </c>
      <c r="I70" s="8" t="str">
        <f t="shared" si="33"/>
        <v>no</v>
      </c>
      <c r="J70" s="10" t="str">
        <f t="shared" si="24"/>
        <v>no</v>
      </c>
      <c r="K70" s="10" t="str">
        <f t="shared" si="25"/>
        <v>no</v>
      </c>
      <c r="L70" t="s">
        <v>475</v>
      </c>
      <c r="M70">
        <v>10273</v>
      </c>
      <c r="N70">
        <v>40</v>
      </c>
      <c r="O70" t="s">
        <v>720</v>
      </c>
      <c r="P70" t="str">
        <f t="shared" si="26"/>
        <v>QUICK_10273_Boston Crab Meat</v>
      </c>
      <c r="Q70" t="str">
        <f t="shared" si="27"/>
        <v>10273</v>
      </c>
      <c r="R70" t="str">
        <f t="shared" si="28"/>
        <v>10273</v>
      </c>
      <c r="S70" t="str">
        <f t="shared" si="29"/>
        <v>Boston Crab Meat</v>
      </c>
      <c r="T70">
        <v>14.7</v>
      </c>
      <c r="U70">
        <v>60</v>
      </c>
      <c r="V70">
        <v>0.05</v>
      </c>
      <c r="W70">
        <f t="shared" si="30"/>
        <v>837.9</v>
      </c>
      <c r="X70" t="str">
        <f t="shared" si="31"/>
        <v>No</v>
      </c>
      <c r="Y70" s="2">
        <v>34582</v>
      </c>
      <c r="Z70" t="str">
        <f t="shared" si="17"/>
        <v/>
      </c>
      <c r="AA70" t="str">
        <f t="shared" si="32"/>
        <v/>
      </c>
      <c r="AB70" t="str" cm="1">
        <f t="array" ref="AB70">_xlfn.IFS(Y70&lt;DATE(1996,1,1),"",Y70&lt;DATE(1996,4,1),"Q1",Y70&lt;DATE(1996,7,1),"Q2",Y70&gt;=DATE(1996,7,1),"")</f>
        <v/>
      </c>
    </row>
    <row r="71" spans="1:28" ht="14.4" x14ac:dyDescent="0.55000000000000004">
      <c r="A71" t="str">
        <f>VLOOKUP(L71,Customers!$A$2:$B$92,2,FALSE)</f>
        <v>QUICK-Stop</v>
      </c>
      <c r="B71" t="str">
        <f>VLOOKUP(L71,Customers!$A$2:$C$92,3,TRUE)</f>
        <v>Horst Kloss</v>
      </c>
      <c r="C71" t="str">
        <f t="shared" si="18"/>
        <v>Horst</v>
      </c>
      <c r="D71" s="8" t="str">
        <f t="shared" si="19"/>
        <v>Kloss</v>
      </c>
      <c r="E71" s="8" t="str">
        <f t="shared" si="20"/>
        <v>Kloss, Horst</v>
      </c>
      <c r="F71" s="8" t="str">
        <f t="shared" si="21"/>
        <v>Kloss, Horst</v>
      </c>
      <c r="G71" s="8" t="str">
        <f t="shared" si="22"/>
        <v>not an outlier</v>
      </c>
      <c r="H71" s="8" t="str">
        <f t="shared" si="23"/>
        <v>Not</v>
      </c>
      <c r="I71" s="8" t="str">
        <f t="shared" si="33"/>
        <v>no</v>
      </c>
      <c r="J71" s="10" t="str">
        <f t="shared" si="24"/>
        <v>no</v>
      </c>
      <c r="K71" s="10" t="str">
        <f t="shared" si="25"/>
        <v>no</v>
      </c>
      <c r="L71" t="s">
        <v>475</v>
      </c>
      <c r="M71">
        <v>10273</v>
      </c>
      <c r="N71">
        <v>76</v>
      </c>
      <c r="O71" t="s">
        <v>721</v>
      </c>
      <c r="P71" t="str">
        <f t="shared" si="26"/>
        <v>QUICK_10273_Lakkalikööri</v>
      </c>
      <c r="Q71" t="str">
        <f t="shared" si="27"/>
        <v>10273</v>
      </c>
      <c r="R71" t="str">
        <f t="shared" si="28"/>
        <v>10273</v>
      </c>
      <c r="S71" t="str">
        <f t="shared" si="29"/>
        <v>Lakkalikööri</v>
      </c>
      <c r="T71">
        <v>14.4</v>
      </c>
      <c r="U71">
        <v>33</v>
      </c>
      <c r="V71">
        <v>0.05</v>
      </c>
      <c r="W71">
        <f t="shared" si="30"/>
        <v>451.43999999999994</v>
      </c>
      <c r="X71" t="str">
        <f t="shared" si="31"/>
        <v>No</v>
      </c>
      <c r="Y71" s="2">
        <v>34582</v>
      </c>
      <c r="Z71" t="str">
        <f t="shared" si="17"/>
        <v/>
      </c>
      <c r="AA71" t="str">
        <f t="shared" si="32"/>
        <v/>
      </c>
      <c r="AB71" t="str" cm="1">
        <f t="array" ref="AB71">_xlfn.IFS(Y71&lt;DATE(1996,1,1),"",Y71&lt;DATE(1996,4,1),"Q1",Y71&lt;DATE(1996,7,1),"Q2",Y71&gt;=DATE(1996,7,1),"")</f>
        <v/>
      </c>
    </row>
    <row r="72" spans="1:28" ht="14.4" x14ac:dyDescent="0.55000000000000004">
      <c r="A72" t="str">
        <f>VLOOKUP(L72,Customers!$A$2:$B$92,2,FALSE)</f>
        <v>Vins et alcools Chevalier</v>
      </c>
      <c r="B72" t="str">
        <f>VLOOKUP(L72,Customers!$A$2:$C$92,3,TRUE)</f>
        <v>Paul Henriot</v>
      </c>
      <c r="C72" t="str">
        <f t="shared" si="18"/>
        <v>Paul</v>
      </c>
      <c r="D72" s="8" t="str">
        <f t="shared" si="19"/>
        <v>Henriot</v>
      </c>
      <c r="E72" s="8" t="str">
        <f t="shared" si="20"/>
        <v>Henriot, Paul</v>
      </c>
      <c r="F72" s="8" t="str">
        <f t="shared" si="21"/>
        <v>Henriot, Paul</v>
      </c>
      <c r="G72" s="8" t="str">
        <f t="shared" si="22"/>
        <v>not an outlier</v>
      </c>
      <c r="H72" s="8" t="str">
        <f t="shared" si="23"/>
        <v>Not</v>
      </c>
      <c r="I72" s="8" t="str">
        <f t="shared" si="33"/>
        <v>no</v>
      </c>
      <c r="J72" s="10" t="str">
        <f t="shared" si="24"/>
        <v>no</v>
      </c>
      <c r="K72" s="10" t="str">
        <f t="shared" si="25"/>
        <v>no</v>
      </c>
      <c r="L72" t="s">
        <v>626</v>
      </c>
      <c r="M72">
        <v>10274</v>
      </c>
      <c r="N72">
        <v>71</v>
      </c>
      <c r="O72" t="s">
        <v>725</v>
      </c>
      <c r="P72" t="str">
        <f t="shared" si="26"/>
        <v>VINET_10274_Fløtemysost</v>
      </c>
      <c r="Q72" t="str">
        <f t="shared" si="27"/>
        <v>10274</v>
      </c>
      <c r="R72" t="str">
        <f t="shared" si="28"/>
        <v>10274</v>
      </c>
      <c r="S72" t="str">
        <f t="shared" si="29"/>
        <v>Fløtemysost</v>
      </c>
      <c r="T72">
        <v>17.2</v>
      </c>
      <c r="U72">
        <v>20</v>
      </c>
      <c r="V72">
        <v>0</v>
      </c>
      <c r="W72">
        <f t="shared" si="30"/>
        <v>344</v>
      </c>
      <c r="X72" t="str">
        <f t="shared" si="31"/>
        <v>No</v>
      </c>
      <c r="Y72" s="2">
        <v>34583</v>
      </c>
      <c r="Z72" t="str">
        <f t="shared" si="17"/>
        <v/>
      </c>
      <c r="AA72" t="str">
        <f t="shared" si="32"/>
        <v/>
      </c>
      <c r="AB72" t="str" cm="1">
        <f t="array" ref="AB72">_xlfn.IFS(Y72&lt;DATE(1996,1,1),"",Y72&lt;DATE(1996,4,1),"Q1",Y72&lt;DATE(1996,7,1),"Q2",Y72&gt;=DATE(1996,7,1),"")</f>
        <v/>
      </c>
    </row>
    <row r="73" spans="1:28" ht="14.4" x14ac:dyDescent="0.55000000000000004">
      <c r="A73" t="str">
        <f>VLOOKUP(L73,Customers!$A$2:$B$92,2,FALSE)</f>
        <v>Vins et alcools Chevalier</v>
      </c>
      <c r="B73" t="str">
        <f>VLOOKUP(L73,Customers!$A$2:$C$92,3,TRUE)</f>
        <v>Paul Henriot</v>
      </c>
      <c r="C73" t="str">
        <f t="shared" si="18"/>
        <v>Paul</v>
      </c>
      <c r="D73" s="8" t="str">
        <f t="shared" si="19"/>
        <v>Henriot</v>
      </c>
      <c r="E73" s="8" t="str">
        <f t="shared" si="20"/>
        <v>Henriot, Paul</v>
      </c>
      <c r="F73" s="8" t="str">
        <f t="shared" si="21"/>
        <v>Henriot, Paul</v>
      </c>
      <c r="G73" s="8" t="str">
        <f t="shared" si="22"/>
        <v>not an outlier</v>
      </c>
      <c r="H73" s="8" t="str">
        <f t="shared" si="23"/>
        <v>Not</v>
      </c>
      <c r="I73" s="8" t="str">
        <f t="shared" si="33"/>
        <v>no</v>
      </c>
      <c r="J73" s="10" t="str">
        <f t="shared" si="24"/>
        <v>no</v>
      </c>
      <c r="K73" s="10" t="str">
        <f t="shared" si="25"/>
        <v>no</v>
      </c>
      <c r="L73" t="s">
        <v>626</v>
      </c>
      <c r="M73">
        <v>10274</v>
      </c>
      <c r="N73">
        <v>72</v>
      </c>
      <c r="O73" t="s">
        <v>685</v>
      </c>
      <c r="P73" t="str">
        <f t="shared" si="26"/>
        <v>VINET_10274_Mozzarella di Giovanni</v>
      </c>
      <c r="Q73" t="str">
        <f t="shared" si="27"/>
        <v>10274</v>
      </c>
      <c r="R73" t="str">
        <f t="shared" si="28"/>
        <v>10274</v>
      </c>
      <c r="S73" t="str">
        <f t="shared" si="29"/>
        <v>Mozzarella di Giovanni</v>
      </c>
      <c r="T73">
        <v>27.8</v>
      </c>
      <c r="U73">
        <v>7</v>
      </c>
      <c r="V73">
        <v>0</v>
      </c>
      <c r="W73">
        <f t="shared" si="30"/>
        <v>194.6</v>
      </c>
      <c r="X73" t="str">
        <f t="shared" si="31"/>
        <v>No</v>
      </c>
      <c r="Y73" s="2">
        <v>34583</v>
      </c>
      <c r="Z73" t="str">
        <f t="shared" si="17"/>
        <v/>
      </c>
      <c r="AA73" t="str">
        <f t="shared" si="32"/>
        <v/>
      </c>
      <c r="AB73" t="str" cm="1">
        <f t="array" ref="AB73">_xlfn.IFS(Y73&lt;DATE(1996,1,1),"",Y73&lt;DATE(1996,4,1),"Q1",Y73&lt;DATE(1996,7,1),"Q2",Y73&gt;=DATE(1996,7,1),"")</f>
        <v/>
      </c>
    </row>
    <row r="74" spans="1:28" ht="14.4" x14ac:dyDescent="0.55000000000000004">
      <c r="A74" t="str">
        <f>VLOOKUP(L74,Customers!$A$2:$B$92,2,FALSE)</f>
        <v>Magazzini Alimentari Riuniti</v>
      </c>
      <c r="B74" t="str">
        <f>VLOOKUP(L74,Customers!$A$2:$C$92,3,TRUE)</f>
        <v>Giovanni Rovelli</v>
      </c>
      <c r="C74" t="str">
        <f t="shared" si="18"/>
        <v>Giovanni</v>
      </c>
      <c r="D74" s="8" t="str">
        <f t="shared" si="19"/>
        <v>Rovelli</v>
      </c>
      <c r="E74" s="8" t="str">
        <f t="shared" si="20"/>
        <v>Rovelli, Giovanni</v>
      </c>
      <c r="F74" s="8" t="str">
        <f t="shared" si="21"/>
        <v>Rovelli, Giovanni</v>
      </c>
      <c r="G74" s="8" t="str">
        <f t="shared" si="22"/>
        <v>not an outlier</v>
      </c>
      <c r="H74" s="8" t="str">
        <f t="shared" si="23"/>
        <v>Not</v>
      </c>
      <c r="I74" s="8" t="str">
        <f t="shared" si="33"/>
        <v>no</v>
      </c>
      <c r="J74" s="10" t="str">
        <f t="shared" si="24"/>
        <v>no</v>
      </c>
      <c r="K74" s="10" t="str">
        <f t="shared" si="25"/>
        <v>no</v>
      </c>
      <c r="L74" t="s">
        <v>378</v>
      </c>
      <c r="M74">
        <v>10275</v>
      </c>
      <c r="N74">
        <v>24</v>
      </c>
      <c r="O74" t="s">
        <v>698</v>
      </c>
      <c r="P74" t="str">
        <f t="shared" si="26"/>
        <v>MAGAA_10275_Guaraná Fantástica</v>
      </c>
      <c r="Q74" t="str">
        <f t="shared" si="27"/>
        <v>10275</v>
      </c>
      <c r="R74" t="str">
        <f t="shared" si="28"/>
        <v>10275</v>
      </c>
      <c r="S74" t="str">
        <f t="shared" si="29"/>
        <v>Guaraná Fantástica</v>
      </c>
      <c r="T74">
        <v>3.6</v>
      </c>
      <c r="U74">
        <v>12</v>
      </c>
      <c r="V74">
        <v>0.05</v>
      </c>
      <c r="W74">
        <f t="shared" si="30"/>
        <v>41.04</v>
      </c>
      <c r="X74" t="str">
        <f t="shared" si="31"/>
        <v>No</v>
      </c>
      <c r="Y74" s="2">
        <v>34584</v>
      </c>
      <c r="Z74" t="str">
        <f t="shared" si="17"/>
        <v/>
      </c>
      <c r="AA74" t="str">
        <f t="shared" si="32"/>
        <v/>
      </c>
      <c r="AB74" t="str" cm="1">
        <f t="array" ref="AB74">_xlfn.IFS(Y74&lt;DATE(1996,1,1),"",Y74&lt;DATE(1996,4,1),"Q1",Y74&lt;DATE(1996,7,1),"Q2",Y74&gt;=DATE(1996,7,1),"")</f>
        <v/>
      </c>
    </row>
    <row r="75" spans="1:28" ht="14.4" x14ac:dyDescent="0.55000000000000004">
      <c r="A75" t="str">
        <f>VLOOKUP(L75,Customers!$A$2:$B$92,2,FALSE)</f>
        <v>Magazzini Alimentari Riuniti</v>
      </c>
      <c r="B75" t="str">
        <f>VLOOKUP(L75,Customers!$A$2:$C$92,3,TRUE)</f>
        <v>Giovanni Rovelli</v>
      </c>
      <c r="C75" t="str">
        <f t="shared" si="18"/>
        <v>Giovanni</v>
      </c>
      <c r="D75" s="8" t="str">
        <f t="shared" si="19"/>
        <v>Rovelli</v>
      </c>
      <c r="E75" s="8" t="str">
        <f t="shared" si="20"/>
        <v>Rovelli, Giovanni</v>
      </c>
      <c r="F75" s="8" t="str">
        <f t="shared" si="21"/>
        <v>Rovelli, Giovanni</v>
      </c>
      <c r="G75" s="8" t="str">
        <f t="shared" si="22"/>
        <v>not an outlier</v>
      </c>
      <c r="H75" s="8" t="str">
        <f t="shared" si="23"/>
        <v>Not</v>
      </c>
      <c r="I75" s="8" t="str">
        <f t="shared" si="33"/>
        <v>no</v>
      </c>
      <c r="J75" s="10" t="str">
        <f t="shared" si="24"/>
        <v>no</v>
      </c>
      <c r="K75" s="10" t="str">
        <f t="shared" si="25"/>
        <v>no</v>
      </c>
      <c r="L75" t="s">
        <v>378</v>
      </c>
      <c r="M75">
        <v>10275</v>
      </c>
      <c r="N75">
        <v>59</v>
      </c>
      <c r="O75" t="s">
        <v>704</v>
      </c>
      <c r="P75" t="str">
        <f t="shared" si="26"/>
        <v>MAGAA_10275_Raclette Courdavault</v>
      </c>
      <c r="Q75" t="str">
        <f t="shared" si="27"/>
        <v>10275</v>
      </c>
      <c r="R75" t="str">
        <f t="shared" si="28"/>
        <v>10275</v>
      </c>
      <c r="S75" t="str">
        <f t="shared" si="29"/>
        <v>Raclette Courdavault</v>
      </c>
      <c r="T75">
        <v>44</v>
      </c>
      <c r="U75">
        <v>6</v>
      </c>
      <c r="V75">
        <v>0.05</v>
      </c>
      <c r="W75">
        <f t="shared" si="30"/>
        <v>250.79999999999998</v>
      </c>
      <c r="X75" t="str">
        <f t="shared" si="31"/>
        <v>No</v>
      </c>
      <c r="Y75" s="2">
        <v>34584</v>
      </c>
      <c r="Z75" t="str">
        <f t="shared" si="17"/>
        <v/>
      </c>
      <c r="AA75" t="str">
        <f t="shared" si="32"/>
        <v/>
      </c>
      <c r="AB75" t="str" cm="1">
        <f t="array" ref="AB75">_xlfn.IFS(Y75&lt;DATE(1996,1,1),"",Y75&lt;DATE(1996,4,1),"Q1",Y75&lt;DATE(1996,7,1),"Q2",Y75&gt;=DATE(1996,7,1),"")</f>
        <v/>
      </c>
    </row>
    <row r="76" spans="1:28" ht="14.4" x14ac:dyDescent="0.55000000000000004">
      <c r="A76" t="str">
        <f>VLOOKUP(L76,Customers!$A$2:$B$92,2,FALSE)</f>
        <v>Tortuga Restaurante</v>
      </c>
      <c r="B76" t="str">
        <f>VLOOKUP(L76,Customers!$A$2:$C$92,3,TRUE)</f>
        <v>Miguel Angel Paolino</v>
      </c>
      <c r="C76" t="str">
        <f t="shared" si="18"/>
        <v>Miguel</v>
      </c>
      <c r="D76" s="8" t="str">
        <f t="shared" si="19"/>
        <v>Angel Paolino</v>
      </c>
      <c r="E76" s="8" t="str">
        <f t="shared" si="20"/>
        <v>Angel Paolino, Miguel</v>
      </c>
      <c r="F76" s="8" t="str">
        <f t="shared" si="21"/>
        <v>Angel Paolino, Miguel</v>
      </c>
      <c r="G76" s="8" t="str">
        <f t="shared" si="22"/>
        <v>not an outlier</v>
      </c>
      <c r="H76" s="8" t="str">
        <f t="shared" si="23"/>
        <v>Not</v>
      </c>
      <c r="I76" s="8" t="str">
        <f t="shared" si="33"/>
        <v>no</v>
      </c>
      <c r="J76" s="10" t="str">
        <f t="shared" si="24"/>
        <v>no</v>
      </c>
      <c r="K76" s="10" t="str">
        <f t="shared" si="25"/>
        <v>no</v>
      </c>
      <c r="L76" t="s">
        <v>593</v>
      </c>
      <c r="M76">
        <v>10276</v>
      </c>
      <c r="N76">
        <v>10</v>
      </c>
      <c r="O76" t="s">
        <v>724</v>
      </c>
      <c r="P76" t="str">
        <f t="shared" si="26"/>
        <v>TORTU_10276_Ikura</v>
      </c>
      <c r="Q76" t="str">
        <f t="shared" si="27"/>
        <v>10276</v>
      </c>
      <c r="R76" t="str">
        <f t="shared" si="28"/>
        <v>10276</v>
      </c>
      <c r="S76" t="str">
        <f t="shared" si="29"/>
        <v>Ikura</v>
      </c>
      <c r="T76">
        <v>24.8</v>
      </c>
      <c r="U76">
        <v>15</v>
      </c>
      <c r="V76">
        <v>0</v>
      </c>
      <c r="W76">
        <f t="shared" si="30"/>
        <v>372</v>
      </c>
      <c r="X76" t="str">
        <f t="shared" si="31"/>
        <v>No</v>
      </c>
      <c r="Y76" s="2">
        <v>34585</v>
      </c>
      <c r="Z76" t="str">
        <f t="shared" si="17"/>
        <v/>
      </c>
      <c r="AA76" t="str">
        <f t="shared" si="32"/>
        <v/>
      </c>
      <c r="AB76" t="str" cm="1">
        <f t="array" ref="AB76">_xlfn.IFS(Y76&lt;DATE(1996,1,1),"",Y76&lt;DATE(1996,4,1),"Q1",Y76&lt;DATE(1996,7,1),"Q2",Y76&gt;=DATE(1996,7,1),"")</f>
        <v/>
      </c>
    </row>
    <row r="77" spans="1:28" ht="14.4" x14ac:dyDescent="0.55000000000000004">
      <c r="A77" t="str">
        <f>VLOOKUP(L77,Customers!$A$2:$B$92,2,FALSE)</f>
        <v>Tortuga Restaurante</v>
      </c>
      <c r="B77" t="str">
        <f>VLOOKUP(L77,Customers!$A$2:$C$92,3,TRUE)</f>
        <v>Miguel Angel Paolino</v>
      </c>
      <c r="C77" t="str">
        <f t="shared" si="18"/>
        <v>Miguel</v>
      </c>
      <c r="D77" s="8" t="str">
        <f t="shared" si="19"/>
        <v>Angel Paolino</v>
      </c>
      <c r="E77" s="8" t="str">
        <f t="shared" si="20"/>
        <v>Angel Paolino, Miguel</v>
      </c>
      <c r="F77" s="8" t="str">
        <f t="shared" si="21"/>
        <v>Angel Paolino, Miguel</v>
      </c>
      <c r="G77" s="8" t="str">
        <f t="shared" si="22"/>
        <v>not an outlier</v>
      </c>
      <c r="H77" s="8" t="str">
        <f t="shared" si="23"/>
        <v>Not</v>
      </c>
      <c r="I77" s="8" t="str">
        <f t="shared" si="33"/>
        <v>no</v>
      </c>
      <c r="J77" s="10" t="str">
        <f t="shared" si="24"/>
        <v>no</v>
      </c>
      <c r="K77" s="10" t="str">
        <f t="shared" si="25"/>
        <v>no</v>
      </c>
      <c r="L77" t="s">
        <v>593</v>
      </c>
      <c r="M77">
        <v>10276</v>
      </c>
      <c r="N77">
        <v>13</v>
      </c>
      <c r="O77" t="s">
        <v>726</v>
      </c>
      <c r="P77" t="str">
        <f t="shared" si="26"/>
        <v>TORTU_10276_Konbu</v>
      </c>
      <c r="Q77" t="str">
        <f t="shared" si="27"/>
        <v>10276</v>
      </c>
      <c r="R77" t="str">
        <f t="shared" si="28"/>
        <v>10276</v>
      </c>
      <c r="S77" t="str">
        <f t="shared" si="29"/>
        <v>Konbu</v>
      </c>
      <c r="T77">
        <v>4.8</v>
      </c>
      <c r="U77">
        <v>10</v>
      </c>
      <c r="V77">
        <v>0</v>
      </c>
      <c r="W77">
        <f t="shared" si="30"/>
        <v>48</v>
      </c>
      <c r="X77" t="str">
        <f t="shared" si="31"/>
        <v>No</v>
      </c>
      <c r="Y77" s="2">
        <v>34585</v>
      </c>
      <c r="Z77" t="str">
        <f t="shared" si="17"/>
        <v/>
      </c>
      <c r="AA77" t="str">
        <f t="shared" si="32"/>
        <v/>
      </c>
      <c r="AB77" t="str" cm="1">
        <f t="array" ref="AB77">_xlfn.IFS(Y77&lt;DATE(1996,1,1),"",Y77&lt;DATE(1996,4,1),"Q1",Y77&lt;DATE(1996,7,1),"Q2",Y77&gt;=DATE(1996,7,1),"")</f>
        <v/>
      </c>
    </row>
    <row r="78" spans="1:28" ht="14.4" x14ac:dyDescent="0.55000000000000004">
      <c r="A78" t="str">
        <f>VLOOKUP(L78,Customers!$A$2:$B$92,2,FALSE)</f>
        <v>Morgenstern Gesundkost</v>
      </c>
      <c r="B78" t="str">
        <f>VLOOKUP(L78,Customers!$A$2:$C$92,3,TRUE)</f>
        <v>Alexander Feuer</v>
      </c>
      <c r="C78" t="str">
        <f t="shared" si="18"/>
        <v>Alexander</v>
      </c>
      <c r="D78" s="8" t="str">
        <f t="shared" si="19"/>
        <v>Feuer</v>
      </c>
      <c r="E78" s="8" t="str">
        <f t="shared" si="20"/>
        <v>Feuer, Alexander</v>
      </c>
      <c r="F78" s="8" t="str">
        <f t="shared" si="21"/>
        <v>Feuer, Alexander</v>
      </c>
      <c r="G78" s="8" t="str">
        <f t="shared" si="22"/>
        <v>not an outlier</v>
      </c>
      <c r="H78" s="8" t="str">
        <f t="shared" si="23"/>
        <v>Not</v>
      </c>
      <c r="I78" s="8" t="str">
        <f t="shared" si="33"/>
        <v>no</v>
      </c>
      <c r="J78" s="10" t="str">
        <f t="shared" si="24"/>
        <v>no</v>
      </c>
      <c r="K78" s="10" t="str">
        <f t="shared" si="25"/>
        <v>no</v>
      </c>
      <c r="L78" t="s">
        <v>403</v>
      </c>
      <c r="M78">
        <v>10277</v>
      </c>
      <c r="N78">
        <v>28</v>
      </c>
      <c r="O78" t="s">
        <v>727</v>
      </c>
      <c r="P78" t="str">
        <f t="shared" si="26"/>
        <v>MORGK_10277_Rössle Sauerkraut</v>
      </c>
      <c r="Q78" t="str">
        <f t="shared" si="27"/>
        <v>10277</v>
      </c>
      <c r="R78" t="str">
        <f t="shared" si="28"/>
        <v>10277</v>
      </c>
      <c r="S78" t="str">
        <f t="shared" si="29"/>
        <v>Rössle Sauerkraut</v>
      </c>
      <c r="T78">
        <v>36.4</v>
      </c>
      <c r="U78">
        <v>20</v>
      </c>
      <c r="V78">
        <v>0</v>
      </c>
      <c r="W78">
        <f t="shared" si="30"/>
        <v>728</v>
      </c>
      <c r="X78" t="str">
        <f t="shared" si="31"/>
        <v>No</v>
      </c>
      <c r="Y78" s="2">
        <v>34586</v>
      </c>
      <c r="Z78" t="str">
        <f t="shared" si="17"/>
        <v/>
      </c>
      <c r="AA78" t="str">
        <f t="shared" si="32"/>
        <v/>
      </c>
      <c r="AB78" t="str" cm="1">
        <f t="array" ref="AB78">_xlfn.IFS(Y78&lt;DATE(1996,1,1),"",Y78&lt;DATE(1996,4,1),"Q1",Y78&lt;DATE(1996,7,1),"Q2",Y78&gt;=DATE(1996,7,1),"")</f>
        <v/>
      </c>
    </row>
    <row r="79" spans="1:28" ht="14.4" x14ac:dyDescent="0.55000000000000004">
      <c r="A79" t="str">
        <f>VLOOKUP(L79,Customers!$A$2:$B$92,2,FALSE)</f>
        <v>Morgenstern Gesundkost</v>
      </c>
      <c r="B79" t="str">
        <f>VLOOKUP(L79,Customers!$A$2:$C$92,3,TRUE)</f>
        <v>Alexander Feuer</v>
      </c>
      <c r="C79" t="str">
        <f t="shared" si="18"/>
        <v>Alexander</v>
      </c>
      <c r="D79" s="8" t="str">
        <f t="shared" si="19"/>
        <v>Feuer</v>
      </c>
      <c r="E79" s="8" t="str">
        <f t="shared" si="20"/>
        <v>Feuer, Alexander</v>
      </c>
      <c r="F79" s="8" t="str">
        <f t="shared" si="21"/>
        <v>Feuer, Alexander</v>
      </c>
      <c r="G79" s="8" t="str">
        <f t="shared" si="22"/>
        <v>not an outlier</v>
      </c>
      <c r="H79" s="8" t="str">
        <f t="shared" si="23"/>
        <v>Not</v>
      </c>
      <c r="I79" s="8" t="str">
        <f t="shared" si="33"/>
        <v>no</v>
      </c>
      <c r="J79" s="10" t="str">
        <f t="shared" si="24"/>
        <v>no</v>
      </c>
      <c r="K79" s="10" t="str">
        <f t="shared" si="25"/>
        <v>no</v>
      </c>
      <c r="L79" t="s">
        <v>403</v>
      </c>
      <c r="M79">
        <v>10277</v>
      </c>
      <c r="N79">
        <v>62</v>
      </c>
      <c r="O79" t="s">
        <v>712</v>
      </c>
      <c r="P79" t="str">
        <f t="shared" si="26"/>
        <v>MORGK_10277_Tarte au sucre</v>
      </c>
      <c r="Q79" t="str">
        <f t="shared" si="27"/>
        <v>10277</v>
      </c>
      <c r="R79" t="str">
        <f t="shared" si="28"/>
        <v>10277</v>
      </c>
      <c r="S79" t="str">
        <f t="shared" si="29"/>
        <v>Tarte au sucre</v>
      </c>
      <c r="T79">
        <v>39.4</v>
      </c>
      <c r="U79">
        <v>12</v>
      </c>
      <c r="V79">
        <v>0</v>
      </c>
      <c r="W79">
        <f t="shared" si="30"/>
        <v>472.79999999999995</v>
      </c>
      <c r="X79" t="str">
        <f t="shared" si="31"/>
        <v>No</v>
      </c>
      <c r="Y79" s="2">
        <v>34586</v>
      </c>
      <c r="Z79" t="str">
        <f t="shared" si="17"/>
        <v/>
      </c>
      <c r="AA79" t="str">
        <f t="shared" si="32"/>
        <v/>
      </c>
      <c r="AB79" t="str" cm="1">
        <f t="array" ref="AB79">_xlfn.IFS(Y79&lt;DATE(1996,1,1),"",Y79&lt;DATE(1996,4,1),"Q1",Y79&lt;DATE(1996,7,1),"Q2",Y79&gt;=DATE(1996,7,1),"")</f>
        <v/>
      </c>
    </row>
    <row r="80" spans="1:28" ht="14.4" x14ac:dyDescent="0.55000000000000004">
      <c r="A80" t="str">
        <f>VLOOKUP(L80,Customers!$A$2:$B$92,2,FALSE)</f>
        <v>Berglunds snabbköp</v>
      </c>
      <c r="B80" t="str">
        <f>VLOOKUP(L80,Customers!$A$2:$C$92,3,TRUE)</f>
        <v>Christina Berglund</v>
      </c>
      <c r="C80" t="str">
        <f t="shared" si="18"/>
        <v>Christina</v>
      </c>
      <c r="D80" s="8" t="str">
        <f t="shared" si="19"/>
        <v>Berglund</v>
      </c>
      <c r="E80" s="8" t="str">
        <f t="shared" si="20"/>
        <v>Berglund, Christina</v>
      </c>
      <c r="F80" s="8" t="str">
        <f t="shared" si="21"/>
        <v>Berglund, Christina</v>
      </c>
      <c r="G80" s="8" t="str">
        <f t="shared" si="22"/>
        <v>not an outlier</v>
      </c>
      <c r="H80" s="8" t="str">
        <f t="shared" si="23"/>
        <v>Not</v>
      </c>
      <c r="I80" s="8" t="str">
        <f t="shared" si="33"/>
        <v>no</v>
      </c>
      <c r="J80" s="10" t="str">
        <f t="shared" si="24"/>
        <v>no</v>
      </c>
      <c r="K80" s="10" t="str">
        <f t="shared" si="25"/>
        <v>no</v>
      </c>
      <c r="L80" t="s">
        <v>43</v>
      </c>
      <c r="M80">
        <v>10278</v>
      </c>
      <c r="N80">
        <v>44</v>
      </c>
      <c r="O80" t="s">
        <v>728</v>
      </c>
      <c r="P80" t="str">
        <f t="shared" si="26"/>
        <v>BERGS_10278_Gula Malacca</v>
      </c>
      <c r="Q80" t="str">
        <f t="shared" si="27"/>
        <v>10278</v>
      </c>
      <c r="R80" t="str">
        <f t="shared" si="28"/>
        <v>10278</v>
      </c>
      <c r="S80" t="str">
        <f t="shared" si="29"/>
        <v>Gula Malacca</v>
      </c>
      <c r="T80">
        <v>15.5</v>
      </c>
      <c r="U80">
        <v>16</v>
      </c>
      <c r="V80">
        <v>0</v>
      </c>
      <c r="W80">
        <f t="shared" si="30"/>
        <v>248</v>
      </c>
      <c r="X80" t="str">
        <f t="shared" si="31"/>
        <v>No</v>
      </c>
      <c r="Y80" s="2">
        <v>34589</v>
      </c>
      <c r="Z80" t="str">
        <f t="shared" si="17"/>
        <v/>
      </c>
      <c r="AA80" t="str">
        <f t="shared" si="32"/>
        <v/>
      </c>
      <c r="AB80" t="str" cm="1">
        <f t="array" ref="AB80">_xlfn.IFS(Y80&lt;DATE(1996,1,1),"",Y80&lt;DATE(1996,4,1),"Q1",Y80&lt;DATE(1996,7,1),"Q2",Y80&gt;=DATE(1996,7,1),"")</f>
        <v/>
      </c>
    </row>
    <row r="81" spans="1:28" ht="14.4" x14ac:dyDescent="0.55000000000000004">
      <c r="A81" t="str">
        <f>VLOOKUP(L81,Customers!$A$2:$B$92,2,FALSE)</f>
        <v>Berglunds snabbköp</v>
      </c>
      <c r="B81" t="str">
        <f>VLOOKUP(L81,Customers!$A$2:$C$92,3,TRUE)</f>
        <v>Christina Berglund</v>
      </c>
      <c r="C81" t="str">
        <f t="shared" si="18"/>
        <v>Christina</v>
      </c>
      <c r="D81" s="8" t="str">
        <f t="shared" si="19"/>
        <v>Berglund</v>
      </c>
      <c r="E81" s="8" t="str">
        <f t="shared" si="20"/>
        <v>Berglund, Christina</v>
      </c>
      <c r="F81" s="8" t="str">
        <f t="shared" si="21"/>
        <v>Berglund, Christina</v>
      </c>
      <c r="G81" s="8" t="str">
        <f t="shared" si="22"/>
        <v>not an outlier</v>
      </c>
      <c r="H81" s="8" t="str">
        <f t="shared" si="23"/>
        <v>Not</v>
      </c>
      <c r="I81" s="8" t="str">
        <f t="shared" si="33"/>
        <v>no</v>
      </c>
      <c r="J81" s="10" t="str">
        <f t="shared" si="24"/>
        <v>no</v>
      </c>
      <c r="K81" s="10" t="str">
        <f t="shared" si="25"/>
        <v>no</v>
      </c>
      <c r="L81" t="s">
        <v>43</v>
      </c>
      <c r="M81">
        <v>10278</v>
      </c>
      <c r="N81">
        <v>59</v>
      </c>
      <c r="O81" t="s">
        <v>704</v>
      </c>
      <c r="P81" t="str">
        <f t="shared" si="26"/>
        <v>BERGS_10278_Raclette Courdavault</v>
      </c>
      <c r="Q81" t="str">
        <f t="shared" si="27"/>
        <v>10278</v>
      </c>
      <c r="R81" t="str">
        <f t="shared" si="28"/>
        <v>10278</v>
      </c>
      <c r="S81" t="str">
        <f t="shared" si="29"/>
        <v>Raclette Courdavault</v>
      </c>
      <c r="T81">
        <v>44</v>
      </c>
      <c r="U81">
        <v>15</v>
      </c>
      <c r="V81">
        <v>0</v>
      </c>
      <c r="W81">
        <f t="shared" si="30"/>
        <v>660</v>
      </c>
      <c r="X81" t="str">
        <f t="shared" si="31"/>
        <v>No</v>
      </c>
      <c r="Y81" s="2">
        <v>34589</v>
      </c>
      <c r="Z81" t="str">
        <f t="shared" si="17"/>
        <v/>
      </c>
      <c r="AA81" t="str">
        <f t="shared" si="32"/>
        <v/>
      </c>
      <c r="AB81" t="str" cm="1">
        <f t="array" ref="AB81">_xlfn.IFS(Y81&lt;DATE(1996,1,1),"",Y81&lt;DATE(1996,4,1),"Q1",Y81&lt;DATE(1996,7,1),"Q2",Y81&gt;=DATE(1996,7,1),"")</f>
        <v/>
      </c>
    </row>
    <row r="82" spans="1:28" ht="14.4" x14ac:dyDescent="0.55000000000000004">
      <c r="A82" t="str">
        <f>VLOOKUP(L82,Customers!$A$2:$B$92,2,FALSE)</f>
        <v>Berglunds snabbköp</v>
      </c>
      <c r="B82" t="str">
        <f>VLOOKUP(L82,Customers!$A$2:$C$92,3,TRUE)</f>
        <v>Christina Berglund</v>
      </c>
      <c r="C82" t="str">
        <f t="shared" si="18"/>
        <v>Christina</v>
      </c>
      <c r="D82" s="8" t="str">
        <f t="shared" si="19"/>
        <v>Berglund</v>
      </c>
      <c r="E82" s="8" t="str">
        <f t="shared" si="20"/>
        <v>Berglund, Christina</v>
      </c>
      <c r="F82" s="8" t="str">
        <f t="shared" si="21"/>
        <v>Berglund, Christina</v>
      </c>
      <c r="G82" s="8" t="str">
        <f t="shared" si="22"/>
        <v>not an outlier</v>
      </c>
      <c r="H82" s="8" t="str">
        <f t="shared" si="23"/>
        <v>Not</v>
      </c>
      <c r="I82" s="8" t="str">
        <f t="shared" si="33"/>
        <v>no</v>
      </c>
      <c r="J82" s="10" t="str">
        <f t="shared" si="24"/>
        <v>no</v>
      </c>
      <c r="K82" s="10" t="str">
        <f t="shared" si="25"/>
        <v>no</v>
      </c>
      <c r="L82" t="s">
        <v>43</v>
      </c>
      <c r="M82">
        <v>10278</v>
      </c>
      <c r="N82">
        <v>63</v>
      </c>
      <c r="O82" t="s">
        <v>729</v>
      </c>
      <c r="P82" t="str">
        <f t="shared" si="26"/>
        <v>BERGS_10278_Vegie-spread</v>
      </c>
      <c r="Q82" t="str">
        <f t="shared" si="27"/>
        <v>10278</v>
      </c>
      <c r="R82" t="str">
        <f t="shared" si="28"/>
        <v>10278</v>
      </c>
      <c r="S82" t="str">
        <f t="shared" si="29"/>
        <v>Vegie-spread</v>
      </c>
      <c r="T82">
        <v>35.1</v>
      </c>
      <c r="U82">
        <v>8</v>
      </c>
      <c r="V82">
        <v>0</v>
      </c>
      <c r="W82">
        <f t="shared" si="30"/>
        <v>280.8</v>
      </c>
      <c r="X82" t="str">
        <f t="shared" si="31"/>
        <v>No</v>
      </c>
      <c r="Y82" s="2">
        <v>34589</v>
      </c>
      <c r="Z82" t="str">
        <f t="shared" si="17"/>
        <v/>
      </c>
      <c r="AA82" t="str">
        <f t="shared" si="32"/>
        <v/>
      </c>
      <c r="AB82" t="str" cm="1">
        <f t="array" ref="AB82">_xlfn.IFS(Y82&lt;DATE(1996,1,1),"",Y82&lt;DATE(1996,4,1),"Q1",Y82&lt;DATE(1996,7,1),"Q2",Y82&gt;=DATE(1996,7,1),"")</f>
        <v/>
      </c>
    </row>
    <row r="83" spans="1:28" ht="14.4" x14ac:dyDescent="0.55000000000000004">
      <c r="A83" t="str">
        <f>VLOOKUP(L83,Customers!$A$2:$B$92,2,FALSE)</f>
        <v>Berglunds snabbköp</v>
      </c>
      <c r="B83" t="str">
        <f>VLOOKUP(L83,Customers!$A$2:$C$92,3,TRUE)</f>
        <v>Christina Berglund</v>
      </c>
      <c r="C83" t="str">
        <f t="shared" si="18"/>
        <v>Christina</v>
      </c>
      <c r="D83" s="8" t="str">
        <f t="shared" si="19"/>
        <v>Berglund</v>
      </c>
      <c r="E83" s="8" t="str">
        <f t="shared" si="20"/>
        <v>Berglund, Christina</v>
      </c>
      <c r="F83" s="8" t="str">
        <f t="shared" si="21"/>
        <v>Berglund, Christina</v>
      </c>
      <c r="G83" s="8" t="str">
        <f t="shared" si="22"/>
        <v>not an outlier</v>
      </c>
      <c r="H83" s="8" t="str">
        <f t="shared" si="23"/>
        <v>Not</v>
      </c>
      <c r="I83" s="8" t="str">
        <f t="shared" si="33"/>
        <v>no</v>
      </c>
      <c r="J83" s="10" t="str">
        <f t="shared" si="24"/>
        <v>no</v>
      </c>
      <c r="K83" s="10" t="str">
        <f t="shared" si="25"/>
        <v>no</v>
      </c>
      <c r="L83" t="s">
        <v>43</v>
      </c>
      <c r="M83">
        <v>10278</v>
      </c>
      <c r="N83">
        <v>73</v>
      </c>
      <c r="O83" t="s">
        <v>730</v>
      </c>
      <c r="P83" t="str">
        <f t="shared" si="26"/>
        <v>BERGS_10278_Röd Kaviar</v>
      </c>
      <c r="Q83" t="str">
        <f t="shared" si="27"/>
        <v>10278</v>
      </c>
      <c r="R83" t="str">
        <f t="shared" si="28"/>
        <v>10278</v>
      </c>
      <c r="S83" t="str">
        <f t="shared" si="29"/>
        <v>Röd Kaviar</v>
      </c>
      <c r="T83">
        <v>12</v>
      </c>
      <c r="U83">
        <v>25</v>
      </c>
      <c r="V83">
        <v>0</v>
      </c>
      <c r="W83">
        <f t="shared" si="30"/>
        <v>300</v>
      </c>
      <c r="X83" t="str">
        <f t="shared" si="31"/>
        <v>No</v>
      </c>
      <c r="Y83" s="2">
        <v>34589</v>
      </c>
      <c r="Z83" t="str">
        <f t="shared" si="17"/>
        <v/>
      </c>
      <c r="AA83" t="str">
        <f t="shared" si="32"/>
        <v/>
      </c>
      <c r="AB83" t="str" cm="1">
        <f t="array" ref="AB83">_xlfn.IFS(Y83&lt;DATE(1996,1,1),"",Y83&lt;DATE(1996,4,1),"Q1",Y83&lt;DATE(1996,7,1),"Q2",Y83&gt;=DATE(1996,7,1),"")</f>
        <v/>
      </c>
    </row>
    <row r="84" spans="1:28" ht="14.4" x14ac:dyDescent="0.55000000000000004">
      <c r="A84" t="str">
        <f>VLOOKUP(L84,Customers!$A$2:$B$92,2,FALSE)</f>
        <v>Lehmanns Marktstand</v>
      </c>
      <c r="B84" t="str">
        <f>VLOOKUP(L84,Customers!$A$2:$C$92,3,TRUE)</f>
        <v>Renate Messner</v>
      </c>
      <c r="C84" t="str">
        <f t="shared" si="18"/>
        <v>Renate</v>
      </c>
      <c r="D84" s="8" t="str">
        <f t="shared" si="19"/>
        <v>Messner</v>
      </c>
      <c r="E84" s="8" t="str">
        <f t="shared" si="20"/>
        <v>Messner, Renate</v>
      </c>
      <c r="F84" s="8" t="str">
        <f t="shared" si="21"/>
        <v>Messner, Renate</v>
      </c>
      <c r="G84" s="8" t="str">
        <f t="shared" si="22"/>
        <v>not an outlier</v>
      </c>
      <c r="H84" s="8" t="str">
        <f t="shared" si="23"/>
        <v>Not</v>
      </c>
      <c r="I84" s="8" t="str">
        <f t="shared" si="33"/>
        <v>no</v>
      </c>
      <c r="J84" s="10" t="str">
        <f t="shared" si="24"/>
        <v>no</v>
      </c>
      <c r="K84" s="10" t="str">
        <f t="shared" si="25"/>
        <v>no</v>
      </c>
      <c r="L84" t="s">
        <v>341</v>
      </c>
      <c r="M84">
        <v>10279</v>
      </c>
      <c r="N84">
        <v>17</v>
      </c>
      <c r="O84" t="s">
        <v>718</v>
      </c>
      <c r="P84" t="str">
        <f t="shared" si="26"/>
        <v>LEHMS_10279_Alice Mutton</v>
      </c>
      <c r="Q84" t="str">
        <f t="shared" si="27"/>
        <v>10279</v>
      </c>
      <c r="R84" t="str">
        <f t="shared" si="28"/>
        <v>10279</v>
      </c>
      <c r="S84" t="str">
        <f t="shared" si="29"/>
        <v>Alice Mutton</v>
      </c>
      <c r="T84">
        <v>31.2</v>
      </c>
      <c r="U84">
        <v>15</v>
      </c>
      <c r="V84">
        <v>0.25</v>
      </c>
      <c r="W84">
        <f t="shared" si="30"/>
        <v>351</v>
      </c>
      <c r="X84" t="str">
        <f t="shared" si="31"/>
        <v>No</v>
      </c>
      <c r="Y84" s="2">
        <v>34590</v>
      </c>
      <c r="Z84" t="str">
        <f t="shared" si="17"/>
        <v/>
      </c>
      <c r="AA84" t="str">
        <f t="shared" si="32"/>
        <v/>
      </c>
      <c r="AB84" t="str" cm="1">
        <f t="array" ref="AB84">_xlfn.IFS(Y84&lt;DATE(1996,1,1),"",Y84&lt;DATE(1996,4,1),"Q1",Y84&lt;DATE(1996,7,1),"Q2",Y84&gt;=DATE(1996,7,1),"")</f>
        <v/>
      </c>
    </row>
    <row r="85" spans="1:28" ht="14.4" x14ac:dyDescent="0.55000000000000004">
      <c r="A85" t="str">
        <f>VLOOKUP(L85,Customers!$A$2:$B$92,2,FALSE)</f>
        <v>Berglunds snabbköp</v>
      </c>
      <c r="B85" t="str">
        <f>VLOOKUP(L85,Customers!$A$2:$C$92,3,TRUE)</f>
        <v>Christina Berglund</v>
      </c>
      <c r="C85" t="str">
        <f t="shared" si="18"/>
        <v>Christina</v>
      </c>
      <c r="D85" s="8" t="str">
        <f t="shared" si="19"/>
        <v>Berglund</v>
      </c>
      <c r="E85" s="8" t="str">
        <f t="shared" si="20"/>
        <v>Berglund, Christina</v>
      </c>
      <c r="F85" s="8" t="str">
        <f t="shared" si="21"/>
        <v>Berglund, Christina</v>
      </c>
      <c r="G85" s="8" t="str">
        <f t="shared" si="22"/>
        <v>not an outlier</v>
      </c>
      <c r="H85" s="8" t="str">
        <f t="shared" si="23"/>
        <v>Not</v>
      </c>
      <c r="I85" s="8" t="str">
        <f t="shared" si="33"/>
        <v>no</v>
      </c>
      <c r="J85" s="10" t="str">
        <f t="shared" si="24"/>
        <v>no</v>
      </c>
      <c r="K85" s="10" t="str">
        <f t="shared" si="25"/>
        <v>no</v>
      </c>
      <c r="L85" t="s">
        <v>43</v>
      </c>
      <c r="M85">
        <v>10280</v>
      </c>
      <c r="N85">
        <v>24</v>
      </c>
      <c r="O85" t="s">
        <v>698</v>
      </c>
      <c r="P85" t="str">
        <f t="shared" si="26"/>
        <v>BERGS_10280_Guaraná Fantástica</v>
      </c>
      <c r="Q85" t="str">
        <f t="shared" si="27"/>
        <v>10280</v>
      </c>
      <c r="R85" t="str">
        <f t="shared" si="28"/>
        <v>10280</v>
      </c>
      <c r="S85" t="str">
        <f t="shared" si="29"/>
        <v>Guaraná Fantástica</v>
      </c>
      <c r="T85">
        <v>3.6</v>
      </c>
      <c r="U85">
        <v>12</v>
      </c>
      <c r="V85">
        <v>0</v>
      </c>
      <c r="W85">
        <f t="shared" si="30"/>
        <v>43.2</v>
      </c>
      <c r="X85" t="str">
        <f t="shared" si="31"/>
        <v>No</v>
      </c>
      <c r="Y85" s="2">
        <v>34591</v>
      </c>
      <c r="Z85" t="str">
        <f t="shared" si="17"/>
        <v/>
      </c>
      <c r="AA85" t="str">
        <f t="shared" si="32"/>
        <v/>
      </c>
      <c r="AB85" t="str" cm="1">
        <f t="array" ref="AB85">_xlfn.IFS(Y85&lt;DATE(1996,1,1),"",Y85&lt;DATE(1996,4,1),"Q1",Y85&lt;DATE(1996,7,1),"Q2",Y85&gt;=DATE(1996,7,1),"")</f>
        <v/>
      </c>
    </row>
    <row r="86" spans="1:28" ht="14.4" x14ac:dyDescent="0.55000000000000004">
      <c r="A86" t="str">
        <f>VLOOKUP(L86,Customers!$A$2:$B$92,2,FALSE)</f>
        <v>Berglunds snabbköp</v>
      </c>
      <c r="B86" t="str">
        <f>VLOOKUP(L86,Customers!$A$2:$C$92,3,TRUE)</f>
        <v>Christina Berglund</v>
      </c>
      <c r="C86" t="str">
        <f t="shared" si="18"/>
        <v>Christina</v>
      </c>
      <c r="D86" s="8" t="str">
        <f t="shared" si="19"/>
        <v>Berglund</v>
      </c>
      <c r="E86" s="8" t="str">
        <f t="shared" si="20"/>
        <v>Berglund, Christina</v>
      </c>
      <c r="F86" s="8" t="str">
        <f t="shared" si="21"/>
        <v>Berglund, Christina</v>
      </c>
      <c r="G86" s="8" t="str">
        <f t="shared" si="22"/>
        <v>not an outlier</v>
      </c>
      <c r="H86" s="8" t="str">
        <f t="shared" si="23"/>
        <v>Not</v>
      </c>
      <c r="I86" s="8" t="str">
        <f t="shared" si="33"/>
        <v>no</v>
      </c>
      <c r="J86" s="10" t="str">
        <f t="shared" si="24"/>
        <v>no</v>
      </c>
      <c r="K86" s="10" t="str">
        <f t="shared" si="25"/>
        <v>no</v>
      </c>
      <c r="L86" t="s">
        <v>43</v>
      </c>
      <c r="M86">
        <v>10280</v>
      </c>
      <c r="N86">
        <v>55</v>
      </c>
      <c r="O86" t="s">
        <v>699</v>
      </c>
      <c r="P86" t="str">
        <f t="shared" si="26"/>
        <v>BERGS_10280_Pâté chinois</v>
      </c>
      <c r="Q86" t="str">
        <f t="shared" si="27"/>
        <v>10280</v>
      </c>
      <c r="R86" t="str">
        <f t="shared" si="28"/>
        <v>10280</v>
      </c>
      <c r="S86" t="str">
        <f t="shared" si="29"/>
        <v>Pâté chinois</v>
      </c>
      <c r="T86">
        <v>19.2</v>
      </c>
      <c r="U86">
        <v>20</v>
      </c>
      <c r="V86">
        <v>0</v>
      </c>
      <c r="W86">
        <f t="shared" si="30"/>
        <v>384</v>
      </c>
      <c r="X86" t="str">
        <f t="shared" si="31"/>
        <v>No</v>
      </c>
      <c r="Y86" s="2">
        <v>34591</v>
      </c>
      <c r="Z86" t="str">
        <f t="shared" si="17"/>
        <v/>
      </c>
      <c r="AA86" t="str">
        <f t="shared" si="32"/>
        <v/>
      </c>
      <c r="AB86" t="str" cm="1">
        <f t="array" ref="AB86">_xlfn.IFS(Y86&lt;DATE(1996,1,1),"",Y86&lt;DATE(1996,4,1),"Q1",Y86&lt;DATE(1996,7,1),"Q2",Y86&gt;=DATE(1996,7,1),"")</f>
        <v/>
      </c>
    </row>
    <row r="87" spans="1:28" ht="14.4" x14ac:dyDescent="0.55000000000000004">
      <c r="A87" t="str">
        <f>VLOOKUP(L87,Customers!$A$2:$B$92,2,FALSE)</f>
        <v>Berglunds snabbköp</v>
      </c>
      <c r="B87" t="str">
        <f>VLOOKUP(L87,Customers!$A$2:$C$92,3,TRUE)</f>
        <v>Christina Berglund</v>
      </c>
      <c r="C87" t="str">
        <f t="shared" si="18"/>
        <v>Christina</v>
      </c>
      <c r="D87" s="8" t="str">
        <f t="shared" si="19"/>
        <v>Berglund</v>
      </c>
      <c r="E87" s="8" t="str">
        <f t="shared" si="20"/>
        <v>Berglund, Christina</v>
      </c>
      <c r="F87" s="8" t="str">
        <f t="shared" si="21"/>
        <v>Berglund, Christina</v>
      </c>
      <c r="G87" s="8" t="str">
        <f t="shared" si="22"/>
        <v>not an outlier</v>
      </c>
      <c r="H87" s="8" t="str">
        <f t="shared" si="23"/>
        <v>Not</v>
      </c>
      <c r="I87" s="8" t="str">
        <f t="shared" si="33"/>
        <v>no</v>
      </c>
      <c r="J87" s="10" t="str">
        <f t="shared" si="24"/>
        <v>no</v>
      </c>
      <c r="K87" s="10" t="str">
        <f t="shared" si="25"/>
        <v>no</v>
      </c>
      <c r="L87" t="s">
        <v>43</v>
      </c>
      <c r="M87">
        <v>10280</v>
      </c>
      <c r="N87">
        <v>75</v>
      </c>
      <c r="O87" t="s">
        <v>731</v>
      </c>
      <c r="P87" t="str">
        <f t="shared" si="26"/>
        <v>BERGS_10280_Rhönbräu Klosterbier</v>
      </c>
      <c r="Q87" t="str">
        <f t="shared" si="27"/>
        <v>10280</v>
      </c>
      <c r="R87" t="str">
        <f t="shared" si="28"/>
        <v>10280</v>
      </c>
      <c r="S87" t="str">
        <f t="shared" si="29"/>
        <v>Rhönbräu Klosterbier</v>
      </c>
      <c r="T87">
        <v>6.2</v>
      </c>
      <c r="U87">
        <v>30</v>
      </c>
      <c r="V87">
        <v>0</v>
      </c>
      <c r="W87">
        <f t="shared" si="30"/>
        <v>186</v>
      </c>
      <c r="X87" t="str">
        <f t="shared" si="31"/>
        <v>No</v>
      </c>
      <c r="Y87" s="2">
        <v>34591</v>
      </c>
      <c r="Z87" t="str">
        <f t="shared" si="17"/>
        <v/>
      </c>
      <c r="AA87" t="str">
        <f t="shared" si="32"/>
        <v/>
      </c>
      <c r="AB87" t="str" cm="1">
        <f t="array" ref="AB87">_xlfn.IFS(Y87&lt;DATE(1996,1,1),"",Y87&lt;DATE(1996,4,1),"Q1",Y87&lt;DATE(1996,7,1),"Q2",Y87&gt;=DATE(1996,7,1),"")</f>
        <v/>
      </c>
    </row>
    <row r="88" spans="1:28" ht="14.4" x14ac:dyDescent="0.55000000000000004">
      <c r="A88" t="str">
        <f>VLOOKUP(L88,Customers!$A$2:$B$92,2,FALSE)</f>
        <v>Romero y tomillo</v>
      </c>
      <c r="B88" t="str">
        <f>VLOOKUP(L88,Customers!$A$2:$C$92,3,TRUE)</f>
        <v>Alejandra Camino</v>
      </c>
      <c r="C88" t="str">
        <f t="shared" si="18"/>
        <v>Alejandra</v>
      </c>
      <c r="D88" s="8" t="str">
        <f t="shared" si="19"/>
        <v>Camino</v>
      </c>
      <c r="E88" s="8" t="str">
        <f t="shared" si="20"/>
        <v>Camino, Alejandra</v>
      </c>
      <c r="F88" s="8" t="str">
        <f t="shared" si="21"/>
        <v>Camino, Alejandra</v>
      </c>
      <c r="G88" s="8" t="str">
        <f t="shared" si="22"/>
        <v>not an outlier</v>
      </c>
      <c r="H88" s="8" t="str">
        <f t="shared" si="23"/>
        <v>Not</v>
      </c>
      <c r="I88" s="8" t="str">
        <f t="shared" si="33"/>
        <v>no</v>
      </c>
      <c r="J88" s="10" t="str">
        <f t="shared" si="24"/>
        <v>no</v>
      </c>
      <c r="K88" s="10" t="str">
        <f t="shared" si="25"/>
        <v>no</v>
      </c>
      <c r="L88" t="s">
        <v>515</v>
      </c>
      <c r="M88">
        <v>10281</v>
      </c>
      <c r="N88">
        <v>19</v>
      </c>
      <c r="O88" t="s">
        <v>732</v>
      </c>
      <c r="P88" t="str">
        <f t="shared" si="26"/>
        <v>ROMEY_10281_Teatime Chocolate Biscuits</v>
      </c>
      <c r="Q88" t="str">
        <f t="shared" si="27"/>
        <v>10281</v>
      </c>
      <c r="R88" t="str">
        <f t="shared" si="28"/>
        <v>10281</v>
      </c>
      <c r="S88" t="str">
        <f t="shared" si="29"/>
        <v>Teatime Chocolate Biscuits</v>
      </c>
      <c r="T88">
        <v>7.3</v>
      </c>
      <c r="U88">
        <v>1</v>
      </c>
      <c r="V88">
        <v>0</v>
      </c>
      <c r="W88">
        <f t="shared" si="30"/>
        <v>7.3</v>
      </c>
      <c r="X88" t="str">
        <f t="shared" si="31"/>
        <v>No</v>
      </c>
      <c r="Y88" s="2">
        <v>34591</v>
      </c>
      <c r="Z88" t="str">
        <f t="shared" si="17"/>
        <v/>
      </c>
      <c r="AA88" t="str">
        <f t="shared" si="32"/>
        <v/>
      </c>
      <c r="AB88" t="str" cm="1">
        <f t="array" ref="AB88">_xlfn.IFS(Y88&lt;DATE(1996,1,1),"",Y88&lt;DATE(1996,4,1),"Q1",Y88&lt;DATE(1996,7,1),"Q2",Y88&gt;=DATE(1996,7,1),"")</f>
        <v/>
      </c>
    </row>
    <row r="89" spans="1:28" ht="14.4" x14ac:dyDescent="0.55000000000000004">
      <c r="A89" t="str">
        <f>VLOOKUP(L89,Customers!$A$2:$B$92,2,FALSE)</f>
        <v>Romero y tomillo</v>
      </c>
      <c r="B89" t="str">
        <f>VLOOKUP(L89,Customers!$A$2:$C$92,3,TRUE)</f>
        <v>Alejandra Camino</v>
      </c>
      <c r="C89" t="str">
        <f t="shared" si="18"/>
        <v>Alejandra</v>
      </c>
      <c r="D89" s="8" t="str">
        <f t="shared" si="19"/>
        <v>Camino</v>
      </c>
      <c r="E89" s="8" t="str">
        <f t="shared" si="20"/>
        <v>Camino, Alejandra</v>
      </c>
      <c r="F89" s="8" t="str">
        <f t="shared" si="21"/>
        <v>Camino, Alejandra</v>
      </c>
      <c r="G89" s="8" t="str">
        <f t="shared" si="22"/>
        <v>not an outlier</v>
      </c>
      <c r="H89" s="8" t="str">
        <f t="shared" si="23"/>
        <v>Not</v>
      </c>
      <c r="I89" s="8" t="str">
        <f t="shared" si="33"/>
        <v>no</v>
      </c>
      <c r="J89" s="10" t="str">
        <f t="shared" si="24"/>
        <v>no</v>
      </c>
      <c r="K89" s="10" t="str">
        <f t="shared" si="25"/>
        <v>no</v>
      </c>
      <c r="L89" t="s">
        <v>515</v>
      </c>
      <c r="M89">
        <v>10281</v>
      </c>
      <c r="N89">
        <v>24</v>
      </c>
      <c r="O89" t="s">
        <v>698</v>
      </c>
      <c r="P89" t="str">
        <f t="shared" si="26"/>
        <v>ROMEY_10281_Guaraná Fantástica</v>
      </c>
      <c r="Q89" t="str">
        <f t="shared" si="27"/>
        <v>10281</v>
      </c>
      <c r="R89" t="str">
        <f t="shared" si="28"/>
        <v>10281</v>
      </c>
      <c r="S89" t="str">
        <f t="shared" si="29"/>
        <v>Guaraná Fantástica</v>
      </c>
      <c r="T89">
        <v>3.6</v>
      </c>
      <c r="U89">
        <v>6</v>
      </c>
      <c r="V89">
        <v>0</v>
      </c>
      <c r="W89">
        <f t="shared" si="30"/>
        <v>21.6</v>
      </c>
      <c r="X89" t="str">
        <f t="shared" si="31"/>
        <v>No</v>
      </c>
      <c r="Y89" s="2">
        <v>34591</v>
      </c>
      <c r="Z89" t="str">
        <f t="shared" si="17"/>
        <v/>
      </c>
      <c r="AA89" t="str">
        <f t="shared" si="32"/>
        <v/>
      </c>
      <c r="AB89" t="str" cm="1">
        <f t="array" ref="AB89">_xlfn.IFS(Y89&lt;DATE(1996,1,1),"",Y89&lt;DATE(1996,4,1),"Q1",Y89&lt;DATE(1996,7,1),"Q2",Y89&gt;=DATE(1996,7,1),"")</f>
        <v/>
      </c>
    </row>
    <row r="90" spans="1:28" ht="14.4" x14ac:dyDescent="0.55000000000000004">
      <c r="A90" t="str">
        <f>VLOOKUP(L90,Customers!$A$2:$B$92,2,FALSE)</f>
        <v>Romero y tomillo</v>
      </c>
      <c r="B90" t="str">
        <f>VLOOKUP(L90,Customers!$A$2:$C$92,3,TRUE)</f>
        <v>Alejandra Camino</v>
      </c>
      <c r="C90" t="str">
        <f t="shared" si="18"/>
        <v>Alejandra</v>
      </c>
      <c r="D90" s="8" t="str">
        <f t="shared" si="19"/>
        <v>Camino</v>
      </c>
      <c r="E90" s="8" t="str">
        <f t="shared" si="20"/>
        <v>Camino, Alejandra</v>
      </c>
      <c r="F90" s="8" t="str">
        <f t="shared" si="21"/>
        <v>Camino, Alejandra</v>
      </c>
      <c r="G90" s="8" t="str">
        <f t="shared" si="22"/>
        <v>not an outlier</v>
      </c>
      <c r="H90" s="8" t="str">
        <f t="shared" si="23"/>
        <v>Not</v>
      </c>
      <c r="I90" s="8" t="str">
        <f t="shared" si="33"/>
        <v>no</v>
      </c>
      <c r="J90" s="10" t="str">
        <f t="shared" si="24"/>
        <v>no</v>
      </c>
      <c r="K90" s="10" t="str">
        <f t="shared" si="25"/>
        <v>no</v>
      </c>
      <c r="L90" t="s">
        <v>515</v>
      </c>
      <c r="M90">
        <v>10281</v>
      </c>
      <c r="N90">
        <v>35</v>
      </c>
      <c r="O90" t="s">
        <v>714</v>
      </c>
      <c r="P90" t="str">
        <f t="shared" si="26"/>
        <v>ROMEY_10281_Steeleye Stout</v>
      </c>
      <c r="Q90" t="str">
        <f t="shared" si="27"/>
        <v>10281</v>
      </c>
      <c r="R90" t="str">
        <f t="shared" si="28"/>
        <v>10281</v>
      </c>
      <c r="S90" t="str">
        <f t="shared" si="29"/>
        <v>Steeleye Stout</v>
      </c>
      <c r="T90">
        <v>14.4</v>
      </c>
      <c r="U90">
        <v>4</v>
      </c>
      <c r="V90">
        <v>0</v>
      </c>
      <c r="W90">
        <f t="shared" si="30"/>
        <v>57.6</v>
      </c>
      <c r="X90" t="str">
        <f t="shared" si="31"/>
        <v>No</v>
      </c>
      <c r="Y90" s="2">
        <v>34591</v>
      </c>
      <c r="Z90" t="str">
        <f t="shared" si="17"/>
        <v/>
      </c>
      <c r="AA90" t="str">
        <f t="shared" si="32"/>
        <v/>
      </c>
      <c r="AB90" t="str" cm="1">
        <f t="array" ref="AB90">_xlfn.IFS(Y90&lt;DATE(1996,1,1),"",Y90&lt;DATE(1996,4,1),"Q1",Y90&lt;DATE(1996,7,1),"Q2",Y90&gt;=DATE(1996,7,1),"")</f>
        <v/>
      </c>
    </row>
    <row r="91" spans="1:28" ht="14.4" x14ac:dyDescent="0.55000000000000004">
      <c r="A91" t="str">
        <f>VLOOKUP(L91,Customers!$A$2:$B$92,2,FALSE)</f>
        <v>Romero y tomillo</v>
      </c>
      <c r="B91" t="str">
        <f>VLOOKUP(L91,Customers!$A$2:$C$92,3,TRUE)</f>
        <v>Alejandra Camino</v>
      </c>
      <c r="C91" t="str">
        <f t="shared" si="18"/>
        <v>Alejandra</v>
      </c>
      <c r="D91" s="8" t="str">
        <f t="shared" si="19"/>
        <v>Camino</v>
      </c>
      <c r="E91" s="8" t="str">
        <f t="shared" si="20"/>
        <v>Camino, Alejandra</v>
      </c>
      <c r="F91" s="8" t="str">
        <f t="shared" si="21"/>
        <v>Camino, Alejandra</v>
      </c>
      <c r="G91" s="8" t="str">
        <f t="shared" si="22"/>
        <v>not an outlier</v>
      </c>
      <c r="H91" s="8" t="str">
        <f t="shared" si="23"/>
        <v>Not</v>
      </c>
      <c r="I91" s="8" t="str">
        <f t="shared" si="33"/>
        <v>no</v>
      </c>
      <c r="J91" s="10" t="str">
        <f t="shared" si="24"/>
        <v>no</v>
      </c>
      <c r="K91" s="10" t="str">
        <f t="shared" si="25"/>
        <v>no</v>
      </c>
      <c r="L91" t="s">
        <v>515</v>
      </c>
      <c r="M91">
        <v>10282</v>
      </c>
      <c r="N91">
        <v>30</v>
      </c>
      <c r="O91" t="s">
        <v>717</v>
      </c>
      <c r="P91" t="str">
        <f t="shared" si="26"/>
        <v>ROMEY_10282_Nord-Ost Matjeshering</v>
      </c>
      <c r="Q91" t="str">
        <f t="shared" si="27"/>
        <v>10282</v>
      </c>
      <c r="R91" t="str">
        <f t="shared" si="28"/>
        <v>10282</v>
      </c>
      <c r="S91" t="str">
        <f t="shared" si="29"/>
        <v>Nord-Ost Matjeshering</v>
      </c>
      <c r="T91">
        <v>20.7</v>
      </c>
      <c r="U91">
        <v>6</v>
      </c>
      <c r="V91">
        <v>0</v>
      </c>
      <c r="W91">
        <f t="shared" si="30"/>
        <v>124.19999999999999</v>
      </c>
      <c r="X91" t="str">
        <f t="shared" si="31"/>
        <v>No</v>
      </c>
      <c r="Y91" s="2">
        <v>34592</v>
      </c>
      <c r="Z91" t="str">
        <f t="shared" si="17"/>
        <v/>
      </c>
      <c r="AA91" t="str">
        <f t="shared" si="32"/>
        <v/>
      </c>
      <c r="AB91" t="str" cm="1">
        <f t="array" ref="AB91">_xlfn.IFS(Y91&lt;DATE(1996,1,1),"",Y91&lt;DATE(1996,4,1),"Q1",Y91&lt;DATE(1996,7,1),"Q2",Y91&gt;=DATE(1996,7,1),"")</f>
        <v/>
      </c>
    </row>
    <row r="92" spans="1:28" ht="14.4" x14ac:dyDescent="0.55000000000000004">
      <c r="A92" t="str">
        <f>VLOOKUP(L92,Customers!$A$2:$B$92,2,FALSE)</f>
        <v>Romero y tomillo</v>
      </c>
      <c r="B92" t="str">
        <f>VLOOKUP(L92,Customers!$A$2:$C$92,3,TRUE)</f>
        <v>Alejandra Camino</v>
      </c>
      <c r="C92" t="str">
        <f t="shared" si="18"/>
        <v>Alejandra</v>
      </c>
      <c r="D92" s="8" t="str">
        <f t="shared" si="19"/>
        <v>Camino</v>
      </c>
      <c r="E92" s="8" t="str">
        <f t="shared" si="20"/>
        <v>Camino, Alejandra</v>
      </c>
      <c r="F92" s="8" t="str">
        <f t="shared" si="21"/>
        <v>Camino, Alejandra</v>
      </c>
      <c r="G92" s="8" t="str">
        <f t="shared" si="22"/>
        <v>not an outlier</v>
      </c>
      <c r="H92" s="8" t="str">
        <f t="shared" si="23"/>
        <v>Not</v>
      </c>
      <c r="I92" s="8" t="str">
        <f t="shared" si="33"/>
        <v>no</v>
      </c>
      <c r="J92" s="10" t="str">
        <f t="shared" si="24"/>
        <v>no</v>
      </c>
      <c r="K92" s="10" t="str">
        <f t="shared" si="25"/>
        <v>no</v>
      </c>
      <c r="L92" t="s">
        <v>515</v>
      </c>
      <c r="M92">
        <v>10282</v>
      </c>
      <c r="N92">
        <v>57</v>
      </c>
      <c r="O92" t="s">
        <v>691</v>
      </c>
      <c r="P92" t="str">
        <f t="shared" si="26"/>
        <v>ROMEY_10282_Ravioli Angelo</v>
      </c>
      <c r="Q92" t="str">
        <f t="shared" si="27"/>
        <v>10282</v>
      </c>
      <c r="R92" t="str">
        <f t="shared" si="28"/>
        <v>10282</v>
      </c>
      <c r="S92" t="str">
        <f t="shared" si="29"/>
        <v>Ravioli Angelo</v>
      </c>
      <c r="T92">
        <v>15.6</v>
      </c>
      <c r="U92">
        <v>2</v>
      </c>
      <c r="V92">
        <v>0</v>
      </c>
      <c r="W92">
        <f t="shared" si="30"/>
        <v>31.2</v>
      </c>
      <c r="X92" t="str">
        <f t="shared" si="31"/>
        <v>No</v>
      </c>
      <c r="Y92" s="2">
        <v>34592</v>
      </c>
      <c r="Z92" t="str">
        <f t="shared" si="17"/>
        <v/>
      </c>
      <c r="AA92" t="str">
        <f t="shared" si="32"/>
        <v/>
      </c>
      <c r="AB92" t="str" cm="1">
        <f t="array" ref="AB92">_xlfn.IFS(Y92&lt;DATE(1996,1,1),"",Y92&lt;DATE(1996,4,1),"Q1",Y92&lt;DATE(1996,7,1),"Q2",Y92&gt;=DATE(1996,7,1),"")</f>
        <v/>
      </c>
    </row>
    <row r="93" spans="1:28" ht="14.4" x14ac:dyDescent="0.55000000000000004">
      <c r="A93" t="str">
        <f>VLOOKUP(L93,Customers!$A$2:$B$92,2,FALSE)</f>
        <v>LILA-Supermercado</v>
      </c>
      <c r="B93" t="str">
        <f>VLOOKUP(L93,Customers!$A$2:$C$92,3,TRUE)</f>
        <v>Carlos González</v>
      </c>
      <c r="C93" t="str">
        <f t="shared" si="18"/>
        <v>Carlos</v>
      </c>
      <c r="D93" s="8" t="str">
        <f t="shared" si="19"/>
        <v>González</v>
      </c>
      <c r="E93" s="8" t="str">
        <f t="shared" si="20"/>
        <v>González, Carlos</v>
      </c>
      <c r="F93" s="8" t="str">
        <f t="shared" si="21"/>
        <v>González, Carlos</v>
      </c>
      <c r="G93" s="8" t="str">
        <f t="shared" si="22"/>
        <v>not an outlier</v>
      </c>
      <c r="H93" s="8" t="str">
        <f t="shared" si="23"/>
        <v>Not</v>
      </c>
      <c r="I93" s="8" t="str">
        <f t="shared" si="33"/>
        <v>no</v>
      </c>
      <c r="J93" s="10" t="str">
        <f t="shared" si="24"/>
        <v>no</v>
      </c>
      <c r="K93" s="10" t="str">
        <f t="shared" si="25"/>
        <v>no</v>
      </c>
      <c r="L93" t="s">
        <v>355</v>
      </c>
      <c r="M93">
        <v>10283</v>
      </c>
      <c r="N93">
        <v>15</v>
      </c>
      <c r="O93" t="s">
        <v>733</v>
      </c>
      <c r="P93" t="str">
        <f t="shared" si="26"/>
        <v>LILAS_10283_Genen Shouyu</v>
      </c>
      <c r="Q93" t="str">
        <f t="shared" si="27"/>
        <v>10283</v>
      </c>
      <c r="R93" t="str">
        <f t="shared" si="28"/>
        <v>10283</v>
      </c>
      <c r="S93" t="str">
        <f t="shared" si="29"/>
        <v>Genen Shouyu</v>
      </c>
      <c r="T93">
        <v>12.4</v>
      </c>
      <c r="U93">
        <v>20</v>
      </c>
      <c r="V93">
        <v>0</v>
      </c>
      <c r="W93">
        <f t="shared" si="30"/>
        <v>248</v>
      </c>
      <c r="X93" t="str">
        <f t="shared" si="31"/>
        <v>No</v>
      </c>
      <c r="Y93" s="2">
        <v>34593</v>
      </c>
      <c r="Z93" t="str">
        <f t="shared" si="17"/>
        <v/>
      </c>
      <c r="AA93" t="str">
        <f t="shared" si="32"/>
        <v/>
      </c>
      <c r="AB93" t="str" cm="1">
        <f t="array" ref="AB93">_xlfn.IFS(Y93&lt;DATE(1996,1,1),"",Y93&lt;DATE(1996,4,1),"Q1",Y93&lt;DATE(1996,7,1),"Q2",Y93&gt;=DATE(1996,7,1),"")</f>
        <v/>
      </c>
    </row>
    <row r="94" spans="1:28" ht="14.4" x14ac:dyDescent="0.55000000000000004">
      <c r="A94" t="str">
        <f>VLOOKUP(L94,Customers!$A$2:$B$92,2,FALSE)</f>
        <v>LILA-Supermercado</v>
      </c>
      <c r="B94" t="str">
        <f>VLOOKUP(L94,Customers!$A$2:$C$92,3,TRUE)</f>
        <v>Carlos González</v>
      </c>
      <c r="C94" t="str">
        <f t="shared" si="18"/>
        <v>Carlos</v>
      </c>
      <c r="D94" s="8" t="str">
        <f t="shared" si="19"/>
        <v>González</v>
      </c>
      <c r="E94" s="8" t="str">
        <f t="shared" si="20"/>
        <v>González, Carlos</v>
      </c>
      <c r="F94" s="8" t="str">
        <f t="shared" si="21"/>
        <v>González, Carlos</v>
      </c>
      <c r="G94" s="8" t="str">
        <f t="shared" si="22"/>
        <v>not an outlier</v>
      </c>
      <c r="H94" s="8" t="str">
        <f t="shared" si="23"/>
        <v>Not</v>
      </c>
      <c r="I94" s="8" t="str">
        <f t="shared" si="33"/>
        <v>no</v>
      </c>
      <c r="J94" s="10" t="str">
        <f t="shared" si="24"/>
        <v>no</v>
      </c>
      <c r="K94" s="10" t="str">
        <f t="shared" si="25"/>
        <v>no</v>
      </c>
      <c r="L94" t="s">
        <v>355</v>
      </c>
      <c r="M94">
        <v>10283</v>
      </c>
      <c r="N94">
        <v>19</v>
      </c>
      <c r="O94" t="s">
        <v>732</v>
      </c>
      <c r="P94" t="str">
        <f t="shared" si="26"/>
        <v>LILAS_10283_Teatime Chocolate Biscuits</v>
      </c>
      <c r="Q94" t="str">
        <f t="shared" si="27"/>
        <v>10283</v>
      </c>
      <c r="R94" t="str">
        <f t="shared" si="28"/>
        <v>10283</v>
      </c>
      <c r="S94" t="str">
        <f t="shared" si="29"/>
        <v>Teatime Chocolate Biscuits</v>
      </c>
      <c r="T94">
        <v>7.3</v>
      </c>
      <c r="U94">
        <v>18</v>
      </c>
      <c r="V94">
        <v>0</v>
      </c>
      <c r="W94">
        <f t="shared" si="30"/>
        <v>131.4</v>
      </c>
      <c r="X94" t="str">
        <f t="shared" si="31"/>
        <v>No</v>
      </c>
      <c r="Y94" s="2">
        <v>34593</v>
      </c>
      <c r="Z94" t="str">
        <f t="shared" si="17"/>
        <v/>
      </c>
      <c r="AA94" t="str">
        <f t="shared" si="32"/>
        <v/>
      </c>
      <c r="AB94" t="str" cm="1">
        <f t="array" ref="AB94">_xlfn.IFS(Y94&lt;DATE(1996,1,1),"",Y94&lt;DATE(1996,4,1),"Q1",Y94&lt;DATE(1996,7,1),"Q2",Y94&gt;=DATE(1996,7,1),"")</f>
        <v/>
      </c>
    </row>
    <row r="95" spans="1:28" ht="14.4" x14ac:dyDescent="0.55000000000000004">
      <c r="A95" t="str">
        <f>VLOOKUP(L95,Customers!$A$2:$B$92,2,FALSE)</f>
        <v>LILA-Supermercado</v>
      </c>
      <c r="B95" t="str">
        <f>VLOOKUP(L95,Customers!$A$2:$C$92,3,TRUE)</f>
        <v>Carlos González</v>
      </c>
      <c r="C95" t="str">
        <f t="shared" si="18"/>
        <v>Carlos</v>
      </c>
      <c r="D95" s="8" t="str">
        <f t="shared" si="19"/>
        <v>González</v>
      </c>
      <c r="E95" s="8" t="str">
        <f t="shared" si="20"/>
        <v>González, Carlos</v>
      </c>
      <c r="F95" s="8" t="str">
        <f t="shared" si="21"/>
        <v>González, Carlos</v>
      </c>
      <c r="G95" s="8" t="str">
        <f t="shared" si="22"/>
        <v>not an outlier</v>
      </c>
      <c r="H95" s="8" t="str">
        <f t="shared" si="23"/>
        <v>Not</v>
      </c>
      <c r="I95" s="8" t="str">
        <f t="shared" si="33"/>
        <v>no</v>
      </c>
      <c r="J95" s="10" t="str">
        <f t="shared" si="24"/>
        <v>no</v>
      </c>
      <c r="K95" s="10" t="str">
        <f t="shared" si="25"/>
        <v>no</v>
      </c>
      <c r="L95" t="s">
        <v>355</v>
      </c>
      <c r="M95">
        <v>10283</v>
      </c>
      <c r="N95">
        <v>60</v>
      </c>
      <c r="O95" t="s">
        <v>694</v>
      </c>
      <c r="P95" t="str">
        <f t="shared" si="26"/>
        <v>LILAS_10283_Camembert Pierrot</v>
      </c>
      <c r="Q95" t="str">
        <f t="shared" si="27"/>
        <v>10283</v>
      </c>
      <c r="R95" t="str">
        <f t="shared" si="28"/>
        <v>10283</v>
      </c>
      <c r="S95" t="str">
        <f t="shared" si="29"/>
        <v>Camembert Pierrot</v>
      </c>
      <c r="T95">
        <v>27.2</v>
      </c>
      <c r="U95">
        <v>35</v>
      </c>
      <c r="V95">
        <v>0</v>
      </c>
      <c r="W95">
        <f t="shared" si="30"/>
        <v>952</v>
      </c>
      <c r="X95" t="str">
        <f t="shared" si="31"/>
        <v>No</v>
      </c>
      <c r="Y95" s="2">
        <v>34593</v>
      </c>
      <c r="Z95" t="str">
        <f t="shared" si="17"/>
        <v/>
      </c>
      <c r="AA95" t="str">
        <f t="shared" si="32"/>
        <v/>
      </c>
      <c r="AB95" t="str" cm="1">
        <f t="array" ref="AB95">_xlfn.IFS(Y95&lt;DATE(1996,1,1),"",Y95&lt;DATE(1996,4,1),"Q1",Y95&lt;DATE(1996,7,1),"Q2",Y95&gt;=DATE(1996,7,1),"")</f>
        <v/>
      </c>
    </row>
    <row r="96" spans="1:28" ht="14.4" x14ac:dyDescent="0.55000000000000004">
      <c r="A96" t="str">
        <f>VLOOKUP(L96,Customers!$A$2:$B$92,2,FALSE)</f>
        <v>LILA-Supermercado</v>
      </c>
      <c r="B96" t="str">
        <f>VLOOKUP(L96,Customers!$A$2:$C$92,3,TRUE)</f>
        <v>Carlos González</v>
      </c>
      <c r="C96" t="str">
        <f t="shared" si="18"/>
        <v>Carlos</v>
      </c>
      <c r="D96" s="8" t="str">
        <f t="shared" si="19"/>
        <v>González</v>
      </c>
      <c r="E96" s="8" t="str">
        <f t="shared" si="20"/>
        <v>González, Carlos</v>
      </c>
      <c r="F96" s="8" t="str">
        <f t="shared" si="21"/>
        <v>González, Carlos</v>
      </c>
      <c r="G96" s="8" t="str">
        <f t="shared" si="22"/>
        <v>not an outlier</v>
      </c>
      <c r="H96" s="8" t="str">
        <f t="shared" si="23"/>
        <v>Not</v>
      </c>
      <c r="I96" s="8" t="str">
        <f t="shared" si="33"/>
        <v>no</v>
      </c>
      <c r="J96" s="10" t="str">
        <f t="shared" si="24"/>
        <v>no</v>
      </c>
      <c r="K96" s="10" t="str">
        <f t="shared" si="25"/>
        <v>no</v>
      </c>
      <c r="L96" t="s">
        <v>355</v>
      </c>
      <c r="M96">
        <v>10283</v>
      </c>
      <c r="N96">
        <v>72</v>
      </c>
      <c r="O96" t="s">
        <v>685</v>
      </c>
      <c r="P96" t="str">
        <f t="shared" si="26"/>
        <v>LILAS_10283_Mozzarella di Giovanni</v>
      </c>
      <c r="Q96" t="str">
        <f t="shared" si="27"/>
        <v>10283</v>
      </c>
      <c r="R96" t="str">
        <f t="shared" si="28"/>
        <v>10283</v>
      </c>
      <c r="S96" t="str">
        <f t="shared" si="29"/>
        <v>Mozzarella di Giovanni</v>
      </c>
      <c r="T96">
        <v>27.8</v>
      </c>
      <c r="U96">
        <v>3</v>
      </c>
      <c r="V96">
        <v>0</v>
      </c>
      <c r="W96">
        <f t="shared" si="30"/>
        <v>83.4</v>
      </c>
      <c r="X96" t="str">
        <f t="shared" si="31"/>
        <v>No</v>
      </c>
      <c r="Y96" s="2">
        <v>34593</v>
      </c>
      <c r="Z96" t="str">
        <f t="shared" si="17"/>
        <v/>
      </c>
      <c r="AA96" t="str">
        <f t="shared" si="32"/>
        <v/>
      </c>
      <c r="AB96" t="str" cm="1">
        <f t="array" ref="AB96">_xlfn.IFS(Y96&lt;DATE(1996,1,1),"",Y96&lt;DATE(1996,4,1),"Q1",Y96&lt;DATE(1996,7,1),"Q2",Y96&gt;=DATE(1996,7,1),"")</f>
        <v/>
      </c>
    </row>
    <row r="97" spans="1:28" ht="14.4" x14ac:dyDescent="0.55000000000000004">
      <c r="A97" t="str">
        <f>VLOOKUP(L97,Customers!$A$2:$B$92,2,FALSE)</f>
        <v>Lehmanns Marktstand</v>
      </c>
      <c r="B97" t="str">
        <f>VLOOKUP(L97,Customers!$A$2:$C$92,3,TRUE)</f>
        <v>Renate Messner</v>
      </c>
      <c r="C97" t="str">
        <f t="shared" si="18"/>
        <v>Renate</v>
      </c>
      <c r="D97" s="8" t="str">
        <f t="shared" si="19"/>
        <v>Messner</v>
      </c>
      <c r="E97" s="8" t="str">
        <f t="shared" si="20"/>
        <v>Messner, Renate</v>
      </c>
      <c r="F97" s="8" t="str">
        <f t="shared" si="21"/>
        <v>Messner, Renate</v>
      </c>
      <c r="G97" s="8" t="str">
        <f t="shared" si="22"/>
        <v>not an outlier</v>
      </c>
      <c r="H97" s="8" t="str">
        <f t="shared" si="23"/>
        <v>Not</v>
      </c>
      <c r="I97" s="8" t="str">
        <f t="shared" si="33"/>
        <v>no</v>
      </c>
      <c r="J97" s="10" t="str">
        <f t="shared" si="24"/>
        <v>no</v>
      </c>
      <c r="K97" s="10" t="str">
        <f t="shared" si="25"/>
        <v>no</v>
      </c>
      <c r="L97" t="s">
        <v>341</v>
      </c>
      <c r="M97">
        <v>10284</v>
      </c>
      <c r="N97">
        <v>27</v>
      </c>
      <c r="O97" t="s">
        <v>707</v>
      </c>
      <c r="P97" t="str">
        <f t="shared" si="26"/>
        <v>LEHMS_10284_Schoggi Schokolade</v>
      </c>
      <c r="Q97" t="str">
        <f t="shared" si="27"/>
        <v>10284</v>
      </c>
      <c r="R97" t="str">
        <f t="shared" si="28"/>
        <v>10284</v>
      </c>
      <c r="S97" t="str">
        <f t="shared" si="29"/>
        <v>Schoggi Schokolade</v>
      </c>
      <c r="T97">
        <v>35.1</v>
      </c>
      <c r="U97">
        <v>15</v>
      </c>
      <c r="V97">
        <v>0.25</v>
      </c>
      <c r="W97">
        <f t="shared" si="30"/>
        <v>394.875</v>
      </c>
      <c r="X97" t="str">
        <f t="shared" si="31"/>
        <v>No</v>
      </c>
      <c r="Y97" s="2">
        <v>34596</v>
      </c>
      <c r="Z97" t="str">
        <f t="shared" si="17"/>
        <v/>
      </c>
      <c r="AA97" t="str">
        <f t="shared" si="32"/>
        <v/>
      </c>
      <c r="AB97" t="str" cm="1">
        <f t="array" ref="AB97">_xlfn.IFS(Y97&lt;DATE(1996,1,1),"",Y97&lt;DATE(1996,4,1),"Q1",Y97&lt;DATE(1996,7,1),"Q2",Y97&gt;=DATE(1996,7,1),"")</f>
        <v/>
      </c>
    </row>
    <row r="98" spans="1:28" ht="14.4" x14ac:dyDescent="0.55000000000000004">
      <c r="A98" t="str">
        <f>VLOOKUP(L98,Customers!$A$2:$B$92,2,FALSE)</f>
        <v>Lehmanns Marktstand</v>
      </c>
      <c r="B98" t="str">
        <f>VLOOKUP(L98,Customers!$A$2:$C$92,3,TRUE)</f>
        <v>Renate Messner</v>
      </c>
      <c r="C98" t="str">
        <f t="shared" si="18"/>
        <v>Renate</v>
      </c>
      <c r="D98" s="8" t="str">
        <f t="shared" si="19"/>
        <v>Messner</v>
      </c>
      <c r="E98" s="8" t="str">
        <f t="shared" si="20"/>
        <v>Messner, Renate</v>
      </c>
      <c r="F98" s="8" t="str">
        <f t="shared" si="21"/>
        <v>Messner, Renate</v>
      </c>
      <c r="G98" s="8" t="str">
        <f t="shared" si="22"/>
        <v>not an outlier</v>
      </c>
      <c r="H98" s="8" t="str">
        <f t="shared" si="23"/>
        <v>Not</v>
      </c>
      <c r="I98" s="8" t="str">
        <f t="shared" si="33"/>
        <v>no</v>
      </c>
      <c r="J98" s="10" t="str">
        <f t="shared" si="24"/>
        <v>no</v>
      </c>
      <c r="K98" s="10" t="str">
        <f t="shared" si="25"/>
        <v>no</v>
      </c>
      <c r="L98" t="s">
        <v>341</v>
      </c>
      <c r="M98">
        <v>10284</v>
      </c>
      <c r="N98">
        <v>44</v>
      </c>
      <c r="O98" t="s">
        <v>728</v>
      </c>
      <c r="P98" t="str">
        <f t="shared" si="26"/>
        <v>LEHMS_10284_Gula Malacca</v>
      </c>
      <c r="Q98" t="str">
        <f t="shared" si="27"/>
        <v>10284</v>
      </c>
      <c r="R98" t="str">
        <f t="shared" si="28"/>
        <v>10284</v>
      </c>
      <c r="S98" t="str">
        <f t="shared" si="29"/>
        <v>Gula Malacca</v>
      </c>
      <c r="T98">
        <v>15.5</v>
      </c>
      <c r="U98">
        <v>21</v>
      </c>
      <c r="V98">
        <v>0</v>
      </c>
      <c r="W98">
        <f t="shared" si="30"/>
        <v>325.5</v>
      </c>
      <c r="X98" t="str">
        <f t="shared" si="31"/>
        <v>No</v>
      </c>
      <c r="Y98" s="2">
        <v>34596</v>
      </c>
      <c r="Z98" t="str">
        <f t="shared" si="17"/>
        <v/>
      </c>
      <c r="AA98" t="str">
        <f t="shared" si="32"/>
        <v/>
      </c>
      <c r="AB98" t="str" cm="1">
        <f t="array" ref="AB98">_xlfn.IFS(Y98&lt;DATE(1996,1,1),"",Y98&lt;DATE(1996,4,1),"Q1",Y98&lt;DATE(1996,7,1),"Q2",Y98&gt;=DATE(1996,7,1),"")</f>
        <v/>
      </c>
    </row>
    <row r="99" spans="1:28" ht="14.4" x14ac:dyDescent="0.55000000000000004">
      <c r="A99" t="str">
        <f>VLOOKUP(L99,Customers!$A$2:$B$92,2,FALSE)</f>
        <v>Lehmanns Marktstand</v>
      </c>
      <c r="B99" t="str">
        <f>VLOOKUP(L99,Customers!$A$2:$C$92,3,TRUE)</f>
        <v>Renate Messner</v>
      </c>
      <c r="C99" t="str">
        <f t="shared" si="18"/>
        <v>Renate</v>
      </c>
      <c r="D99" s="8" t="str">
        <f t="shared" si="19"/>
        <v>Messner</v>
      </c>
      <c r="E99" s="8" t="str">
        <f t="shared" si="20"/>
        <v>Messner, Renate</v>
      </c>
      <c r="F99" s="8" t="str">
        <f t="shared" si="21"/>
        <v>Messner, Renate</v>
      </c>
      <c r="G99" s="8" t="str">
        <f t="shared" si="22"/>
        <v>not an outlier</v>
      </c>
      <c r="H99" s="8" t="str">
        <f t="shared" si="23"/>
        <v>Not</v>
      </c>
      <c r="I99" s="8" t="str">
        <f t="shared" si="33"/>
        <v>no</v>
      </c>
      <c r="J99" s="10" t="str">
        <f t="shared" si="24"/>
        <v>no</v>
      </c>
      <c r="K99" s="10" t="str">
        <f t="shared" si="25"/>
        <v>no</v>
      </c>
      <c r="L99" t="s">
        <v>341</v>
      </c>
      <c r="M99">
        <v>10284</v>
      </c>
      <c r="N99">
        <v>60</v>
      </c>
      <c r="O99" t="s">
        <v>694</v>
      </c>
      <c r="P99" t="str">
        <f t="shared" si="26"/>
        <v>LEHMS_10284_Camembert Pierrot</v>
      </c>
      <c r="Q99" t="str">
        <f t="shared" si="27"/>
        <v>10284</v>
      </c>
      <c r="R99" t="str">
        <f t="shared" si="28"/>
        <v>10284</v>
      </c>
      <c r="S99" t="str">
        <f t="shared" si="29"/>
        <v>Camembert Pierrot</v>
      </c>
      <c r="T99">
        <v>27.2</v>
      </c>
      <c r="U99">
        <v>20</v>
      </c>
      <c r="V99">
        <v>0.25</v>
      </c>
      <c r="W99">
        <f t="shared" si="30"/>
        <v>408</v>
      </c>
      <c r="X99" t="str">
        <f t="shared" si="31"/>
        <v>No</v>
      </c>
      <c r="Y99" s="2">
        <v>34596</v>
      </c>
      <c r="Z99" t="str">
        <f t="shared" si="17"/>
        <v/>
      </c>
      <c r="AA99" t="str">
        <f t="shared" si="32"/>
        <v/>
      </c>
      <c r="AB99" t="str" cm="1">
        <f t="array" ref="AB99">_xlfn.IFS(Y99&lt;DATE(1996,1,1),"",Y99&lt;DATE(1996,4,1),"Q1",Y99&lt;DATE(1996,7,1),"Q2",Y99&gt;=DATE(1996,7,1),"")</f>
        <v/>
      </c>
    </row>
    <row r="100" spans="1:28" ht="14.4" x14ac:dyDescent="0.55000000000000004">
      <c r="A100" t="str">
        <f>VLOOKUP(L100,Customers!$A$2:$B$92,2,FALSE)</f>
        <v>Lehmanns Marktstand</v>
      </c>
      <c r="B100" t="str">
        <f>VLOOKUP(L100,Customers!$A$2:$C$92,3,TRUE)</f>
        <v>Renate Messner</v>
      </c>
      <c r="C100" t="str">
        <f t="shared" si="18"/>
        <v>Renate</v>
      </c>
      <c r="D100" s="8" t="str">
        <f t="shared" si="19"/>
        <v>Messner</v>
      </c>
      <c r="E100" s="8" t="str">
        <f t="shared" si="20"/>
        <v>Messner, Renate</v>
      </c>
      <c r="F100" s="8" t="str">
        <f t="shared" si="21"/>
        <v>Messner, Renate</v>
      </c>
      <c r="G100" s="8" t="str">
        <f t="shared" si="22"/>
        <v>not an outlier</v>
      </c>
      <c r="H100" s="8" t="str">
        <f t="shared" si="23"/>
        <v>Not</v>
      </c>
      <c r="I100" s="8" t="str">
        <f t="shared" si="33"/>
        <v>no</v>
      </c>
      <c r="J100" s="10" t="str">
        <f t="shared" si="24"/>
        <v>no</v>
      </c>
      <c r="K100" s="10" t="str">
        <f t="shared" si="25"/>
        <v>no</v>
      </c>
      <c r="L100" t="s">
        <v>341</v>
      </c>
      <c r="M100">
        <v>10284</v>
      </c>
      <c r="N100">
        <v>67</v>
      </c>
      <c r="O100" t="s">
        <v>734</v>
      </c>
      <c r="P100" t="str">
        <f t="shared" si="26"/>
        <v>LEHMS_10284_Laughing Lumberjack Lager</v>
      </c>
      <c r="Q100" t="str">
        <f t="shared" si="27"/>
        <v>10284</v>
      </c>
      <c r="R100" t="str">
        <f t="shared" si="28"/>
        <v>10284</v>
      </c>
      <c r="S100" t="str">
        <f t="shared" si="29"/>
        <v>Laughing Lumberjack Lager</v>
      </c>
      <c r="T100">
        <v>11.2</v>
      </c>
      <c r="U100">
        <v>5</v>
      </c>
      <c r="V100">
        <v>0.25</v>
      </c>
      <c r="W100">
        <f t="shared" si="30"/>
        <v>42</v>
      </c>
      <c r="X100" t="str">
        <f t="shared" si="31"/>
        <v>No</v>
      </c>
      <c r="Y100" s="2">
        <v>34596</v>
      </c>
      <c r="Z100" t="str">
        <f t="shared" si="17"/>
        <v/>
      </c>
      <c r="AA100" t="str">
        <f t="shared" si="32"/>
        <v/>
      </c>
      <c r="AB100" t="str" cm="1">
        <f t="array" ref="AB100">_xlfn.IFS(Y100&lt;DATE(1996,1,1),"",Y100&lt;DATE(1996,4,1),"Q1",Y100&lt;DATE(1996,7,1),"Q2",Y100&gt;=DATE(1996,7,1),"")</f>
        <v/>
      </c>
    </row>
    <row r="101" spans="1:28" ht="14.4" x14ac:dyDescent="0.55000000000000004">
      <c r="A101" t="str">
        <f>VLOOKUP(L101,Customers!$A$2:$B$92,2,FALSE)</f>
        <v>QUICK-Stop</v>
      </c>
      <c r="B101" t="str">
        <f>VLOOKUP(L101,Customers!$A$2:$C$92,3,TRUE)</f>
        <v>Horst Kloss</v>
      </c>
      <c r="C101" t="str">
        <f t="shared" si="18"/>
        <v>Horst</v>
      </c>
      <c r="D101" s="8" t="str">
        <f t="shared" si="19"/>
        <v>Kloss</v>
      </c>
      <c r="E101" s="8" t="str">
        <f t="shared" si="20"/>
        <v>Kloss, Horst</v>
      </c>
      <c r="F101" s="8" t="str">
        <f t="shared" si="21"/>
        <v>Kloss, Horst</v>
      </c>
      <c r="G101" s="8" t="str">
        <f t="shared" si="22"/>
        <v>not an outlier</v>
      </c>
      <c r="H101" s="8" t="str">
        <f t="shared" si="23"/>
        <v>Not</v>
      </c>
      <c r="I101" s="8" t="str">
        <f t="shared" si="33"/>
        <v>no</v>
      </c>
      <c r="J101" s="10" t="str">
        <f t="shared" si="24"/>
        <v>no</v>
      </c>
      <c r="K101" s="10" t="str">
        <f t="shared" si="25"/>
        <v>no</v>
      </c>
      <c r="L101" t="s">
        <v>475</v>
      </c>
      <c r="M101">
        <v>10285</v>
      </c>
      <c r="N101">
        <v>1</v>
      </c>
      <c r="O101" t="s">
        <v>735</v>
      </c>
      <c r="P101" t="str">
        <f t="shared" si="26"/>
        <v>QUICK_10285_Chai</v>
      </c>
      <c r="Q101" t="str">
        <f t="shared" si="27"/>
        <v>10285</v>
      </c>
      <c r="R101" t="str">
        <f t="shared" si="28"/>
        <v>10285</v>
      </c>
      <c r="S101" t="str">
        <f t="shared" si="29"/>
        <v>Chai</v>
      </c>
      <c r="T101">
        <v>14.4</v>
      </c>
      <c r="U101">
        <v>45</v>
      </c>
      <c r="V101">
        <v>0.2</v>
      </c>
      <c r="W101">
        <f t="shared" si="30"/>
        <v>518.4</v>
      </c>
      <c r="X101" t="str">
        <f t="shared" si="31"/>
        <v>No</v>
      </c>
      <c r="Y101" s="2">
        <v>34597</v>
      </c>
      <c r="Z101" t="str">
        <f t="shared" si="17"/>
        <v/>
      </c>
      <c r="AA101" t="str">
        <f t="shared" si="32"/>
        <v/>
      </c>
      <c r="AB101" t="str" cm="1">
        <f t="array" ref="AB101">_xlfn.IFS(Y101&lt;DATE(1996,1,1),"",Y101&lt;DATE(1996,4,1),"Q1",Y101&lt;DATE(1996,7,1),"Q2",Y101&gt;=DATE(1996,7,1),"")</f>
        <v/>
      </c>
    </row>
    <row r="102" spans="1:28" ht="14.4" x14ac:dyDescent="0.55000000000000004">
      <c r="A102" t="str">
        <f>VLOOKUP(L102,Customers!$A$2:$B$92,2,FALSE)</f>
        <v>QUICK-Stop</v>
      </c>
      <c r="B102" t="str">
        <f>VLOOKUP(L102,Customers!$A$2:$C$92,3,TRUE)</f>
        <v>Horst Kloss</v>
      </c>
      <c r="C102" t="str">
        <f t="shared" si="18"/>
        <v>Horst</v>
      </c>
      <c r="D102" s="8" t="str">
        <f t="shared" si="19"/>
        <v>Kloss</v>
      </c>
      <c r="E102" s="8" t="str">
        <f t="shared" si="20"/>
        <v>Kloss, Horst</v>
      </c>
      <c r="F102" s="8" t="str">
        <f t="shared" si="21"/>
        <v>Kloss, Horst</v>
      </c>
      <c r="G102" s="8" t="str">
        <f t="shared" si="22"/>
        <v>not an outlier</v>
      </c>
      <c r="H102" s="8" t="str">
        <f t="shared" si="23"/>
        <v>Not</v>
      </c>
      <c r="I102" s="8" t="str">
        <f t="shared" si="33"/>
        <v>no</v>
      </c>
      <c r="J102" s="10" t="str">
        <f t="shared" si="24"/>
        <v>no</v>
      </c>
      <c r="K102" s="10" t="str">
        <f t="shared" si="25"/>
        <v>no</v>
      </c>
      <c r="L102" t="s">
        <v>475</v>
      </c>
      <c r="M102">
        <v>10285</v>
      </c>
      <c r="N102">
        <v>40</v>
      </c>
      <c r="O102" t="s">
        <v>720</v>
      </c>
      <c r="P102" t="str">
        <f t="shared" si="26"/>
        <v>QUICK_10285_Boston Crab Meat</v>
      </c>
      <c r="Q102" t="str">
        <f t="shared" si="27"/>
        <v>10285</v>
      </c>
      <c r="R102" t="str">
        <f t="shared" si="28"/>
        <v>10285</v>
      </c>
      <c r="S102" t="str">
        <f t="shared" si="29"/>
        <v>Boston Crab Meat</v>
      </c>
      <c r="T102">
        <v>14.7</v>
      </c>
      <c r="U102">
        <v>40</v>
      </c>
      <c r="V102">
        <v>0.2</v>
      </c>
      <c r="W102">
        <f t="shared" si="30"/>
        <v>470.40000000000003</v>
      </c>
      <c r="X102" t="str">
        <f t="shared" si="31"/>
        <v>No</v>
      </c>
      <c r="Y102" s="2">
        <v>34597</v>
      </c>
      <c r="Z102" t="str">
        <f t="shared" si="17"/>
        <v/>
      </c>
      <c r="AA102" t="str">
        <f t="shared" si="32"/>
        <v/>
      </c>
      <c r="AB102" t="str" cm="1">
        <f t="array" ref="AB102">_xlfn.IFS(Y102&lt;DATE(1996,1,1),"",Y102&lt;DATE(1996,4,1),"Q1",Y102&lt;DATE(1996,7,1),"Q2",Y102&gt;=DATE(1996,7,1),"")</f>
        <v/>
      </c>
    </row>
    <row r="103" spans="1:28" ht="14.4" x14ac:dyDescent="0.55000000000000004">
      <c r="A103" t="str">
        <f>VLOOKUP(L103,Customers!$A$2:$B$92,2,FALSE)</f>
        <v>QUICK-Stop</v>
      </c>
      <c r="B103" t="str">
        <f>VLOOKUP(L103,Customers!$A$2:$C$92,3,TRUE)</f>
        <v>Horst Kloss</v>
      </c>
      <c r="C103" t="str">
        <f t="shared" si="18"/>
        <v>Horst</v>
      </c>
      <c r="D103" s="8" t="str">
        <f t="shared" si="19"/>
        <v>Kloss</v>
      </c>
      <c r="E103" s="8" t="str">
        <f t="shared" si="20"/>
        <v>Kloss, Horst</v>
      </c>
      <c r="F103" s="8" t="str">
        <f t="shared" si="21"/>
        <v>Kloss, Horst</v>
      </c>
      <c r="G103" s="8" t="str">
        <f t="shared" si="22"/>
        <v>not an outlier</v>
      </c>
      <c r="H103" s="8" t="str">
        <f t="shared" si="23"/>
        <v>Not</v>
      </c>
      <c r="I103" s="8" t="str">
        <f t="shared" si="33"/>
        <v>no</v>
      </c>
      <c r="J103" s="10" t="str">
        <f t="shared" si="24"/>
        <v>no</v>
      </c>
      <c r="K103" s="10" t="str">
        <f t="shared" si="25"/>
        <v>no</v>
      </c>
      <c r="L103" t="s">
        <v>475</v>
      </c>
      <c r="M103">
        <v>10285</v>
      </c>
      <c r="N103">
        <v>53</v>
      </c>
      <c r="O103" t="s">
        <v>705</v>
      </c>
      <c r="P103" t="str">
        <f t="shared" si="26"/>
        <v>QUICK_10285_Perth Pasties</v>
      </c>
      <c r="Q103" t="str">
        <f t="shared" si="27"/>
        <v>10285</v>
      </c>
      <c r="R103" t="str">
        <f t="shared" si="28"/>
        <v>10285</v>
      </c>
      <c r="S103" t="str">
        <f t="shared" si="29"/>
        <v>Perth Pasties</v>
      </c>
      <c r="T103">
        <v>26.2</v>
      </c>
      <c r="U103">
        <v>36</v>
      </c>
      <c r="V103">
        <v>0.2</v>
      </c>
      <c r="W103">
        <f t="shared" si="30"/>
        <v>754.56</v>
      </c>
      <c r="X103" t="str">
        <f t="shared" si="31"/>
        <v>No</v>
      </c>
      <c r="Y103" s="2">
        <v>34597</v>
      </c>
      <c r="Z103" t="str">
        <f t="shared" si="17"/>
        <v/>
      </c>
      <c r="AA103" t="str">
        <f t="shared" si="32"/>
        <v/>
      </c>
      <c r="AB103" t="str" cm="1">
        <f t="array" ref="AB103">_xlfn.IFS(Y103&lt;DATE(1996,1,1),"",Y103&lt;DATE(1996,4,1),"Q1",Y103&lt;DATE(1996,7,1),"Q2",Y103&gt;=DATE(1996,7,1),"")</f>
        <v/>
      </c>
    </row>
    <row r="104" spans="1:28" ht="14.4" x14ac:dyDescent="0.55000000000000004">
      <c r="A104" t="str">
        <f>VLOOKUP(L104,Customers!$A$2:$B$92,2,FALSE)</f>
        <v>QUICK-Stop</v>
      </c>
      <c r="B104" t="str">
        <f>VLOOKUP(L104,Customers!$A$2:$C$92,3,TRUE)</f>
        <v>Horst Kloss</v>
      </c>
      <c r="C104" t="str">
        <f t="shared" si="18"/>
        <v>Horst</v>
      </c>
      <c r="D104" s="8" t="str">
        <f t="shared" si="19"/>
        <v>Kloss</v>
      </c>
      <c r="E104" s="8" t="str">
        <f t="shared" si="20"/>
        <v>Kloss, Horst</v>
      </c>
      <c r="F104" s="8" t="str">
        <f t="shared" si="21"/>
        <v>Kloss, Horst</v>
      </c>
      <c r="G104" s="8" t="str">
        <f t="shared" si="22"/>
        <v>not an outlier</v>
      </c>
      <c r="H104" s="8" t="str">
        <f t="shared" si="23"/>
        <v>Not</v>
      </c>
      <c r="I104" s="8" t="str">
        <f t="shared" si="33"/>
        <v>no</v>
      </c>
      <c r="J104" s="10" t="str">
        <f t="shared" si="24"/>
        <v>no</v>
      </c>
      <c r="K104" s="10" t="str">
        <f t="shared" si="25"/>
        <v>no</v>
      </c>
      <c r="L104" t="s">
        <v>475</v>
      </c>
      <c r="M104">
        <v>10286</v>
      </c>
      <c r="N104">
        <v>35</v>
      </c>
      <c r="O104" t="s">
        <v>714</v>
      </c>
      <c r="P104" t="str">
        <f t="shared" si="26"/>
        <v>QUICK_10286_Steeleye Stout</v>
      </c>
      <c r="Q104" t="str">
        <f t="shared" si="27"/>
        <v>10286</v>
      </c>
      <c r="R104" t="str">
        <f t="shared" si="28"/>
        <v>10286</v>
      </c>
      <c r="S104" t="str">
        <f t="shared" si="29"/>
        <v>Steeleye Stout</v>
      </c>
      <c r="T104">
        <v>14.4</v>
      </c>
      <c r="U104">
        <v>100</v>
      </c>
      <c r="V104">
        <v>0</v>
      </c>
      <c r="W104">
        <f t="shared" si="30"/>
        <v>1440</v>
      </c>
      <c r="X104" t="str">
        <f t="shared" si="31"/>
        <v>No</v>
      </c>
      <c r="Y104" s="2">
        <v>34598</v>
      </c>
      <c r="Z104" t="str">
        <f t="shared" si="17"/>
        <v/>
      </c>
      <c r="AA104" t="str">
        <f t="shared" si="32"/>
        <v/>
      </c>
      <c r="AB104" t="str" cm="1">
        <f t="array" ref="AB104">_xlfn.IFS(Y104&lt;DATE(1996,1,1),"",Y104&lt;DATE(1996,4,1),"Q1",Y104&lt;DATE(1996,7,1),"Q2",Y104&gt;=DATE(1996,7,1),"")</f>
        <v/>
      </c>
    </row>
    <row r="105" spans="1:28" ht="14.4" x14ac:dyDescent="0.55000000000000004">
      <c r="A105" t="str">
        <f>VLOOKUP(L105,Customers!$A$2:$B$92,2,FALSE)</f>
        <v>QUICK-Stop</v>
      </c>
      <c r="B105" t="str">
        <f>VLOOKUP(L105,Customers!$A$2:$C$92,3,TRUE)</f>
        <v>Horst Kloss</v>
      </c>
      <c r="C105" t="str">
        <f t="shared" si="18"/>
        <v>Horst</v>
      </c>
      <c r="D105" s="8" t="str">
        <f t="shared" si="19"/>
        <v>Kloss</v>
      </c>
      <c r="E105" s="8" t="str">
        <f t="shared" si="20"/>
        <v>Kloss, Horst</v>
      </c>
      <c r="F105" s="8" t="str">
        <f t="shared" si="21"/>
        <v>Kloss, Horst</v>
      </c>
      <c r="G105" s="8" t="str">
        <f t="shared" si="22"/>
        <v>not an outlier</v>
      </c>
      <c r="H105" s="8" t="str">
        <f t="shared" si="23"/>
        <v>Not</v>
      </c>
      <c r="I105" s="8" t="str">
        <f t="shared" si="33"/>
        <v>no</v>
      </c>
      <c r="J105" s="10" t="str">
        <f t="shared" si="24"/>
        <v>no</v>
      </c>
      <c r="K105" s="10" t="str">
        <f t="shared" si="25"/>
        <v>no</v>
      </c>
      <c r="L105" t="s">
        <v>475</v>
      </c>
      <c r="M105">
        <v>10286</v>
      </c>
      <c r="N105">
        <v>62</v>
      </c>
      <c r="O105" t="s">
        <v>712</v>
      </c>
      <c r="P105" t="str">
        <f t="shared" si="26"/>
        <v>QUICK_10286_Tarte au sucre</v>
      </c>
      <c r="Q105" t="str">
        <f t="shared" si="27"/>
        <v>10286</v>
      </c>
      <c r="R105" t="str">
        <f t="shared" si="28"/>
        <v>10286</v>
      </c>
      <c r="S105" t="str">
        <f t="shared" si="29"/>
        <v>Tarte au sucre</v>
      </c>
      <c r="T105">
        <v>39.4</v>
      </c>
      <c r="U105">
        <v>40</v>
      </c>
      <c r="V105">
        <v>0</v>
      </c>
      <c r="W105">
        <f t="shared" si="30"/>
        <v>1576</v>
      </c>
      <c r="X105" t="str">
        <f t="shared" si="31"/>
        <v>No</v>
      </c>
      <c r="Y105" s="2">
        <v>34598</v>
      </c>
      <c r="Z105" t="str">
        <f t="shared" si="17"/>
        <v/>
      </c>
      <c r="AA105" t="str">
        <f t="shared" si="32"/>
        <v/>
      </c>
      <c r="AB105" t="str" cm="1">
        <f t="array" ref="AB105">_xlfn.IFS(Y105&lt;DATE(1996,1,1),"",Y105&lt;DATE(1996,4,1),"Q1",Y105&lt;DATE(1996,7,1),"Q2",Y105&gt;=DATE(1996,7,1),"")</f>
        <v/>
      </c>
    </row>
    <row r="106" spans="1:28" ht="14.4" x14ac:dyDescent="0.55000000000000004">
      <c r="A106" t="str">
        <f>VLOOKUP(L106,Customers!$A$2:$B$92,2,FALSE)</f>
        <v>Ricardo Adocicados</v>
      </c>
      <c r="B106" t="str">
        <f>VLOOKUP(L106,Customers!$A$2:$C$92,3,TRUE)</f>
        <v>Janete Limeira</v>
      </c>
      <c r="C106" t="str">
        <f t="shared" si="18"/>
        <v>Janete</v>
      </c>
      <c r="D106" s="8" t="str">
        <f t="shared" si="19"/>
        <v>Limeira</v>
      </c>
      <c r="E106" s="8" t="str">
        <f t="shared" si="20"/>
        <v>Limeira, Janete</v>
      </c>
      <c r="F106" s="8" t="str">
        <f t="shared" si="21"/>
        <v>Limeira, Janete</v>
      </c>
      <c r="G106" s="8" t="str">
        <f t="shared" si="22"/>
        <v>not an outlier</v>
      </c>
      <c r="H106" s="8" t="str">
        <f t="shared" si="23"/>
        <v>Not</v>
      </c>
      <c r="I106" s="8" t="str">
        <f t="shared" si="33"/>
        <v>no</v>
      </c>
      <c r="J106" s="10" t="str">
        <f t="shared" si="24"/>
        <v>no</v>
      </c>
      <c r="K106" s="10" t="str">
        <f t="shared" si="25"/>
        <v>no</v>
      </c>
      <c r="L106" t="s">
        <v>503</v>
      </c>
      <c r="M106">
        <v>10287</v>
      </c>
      <c r="N106">
        <v>16</v>
      </c>
      <c r="O106" t="s">
        <v>702</v>
      </c>
      <c r="P106" t="str">
        <f t="shared" si="26"/>
        <v>RICAR_10287_Pavlova</v>
      </c>
      <c r="Q106" t="str">
        <f t="shared" si="27"/>
        <v>10287</v>
      </c>
      <c r="R106" t="str">
        <f t="shared" si="28"/>
        <v>10287</v>
      </c>
      <c r="S106" t="str">
        <f t="shared" si="29"/>
        <v>Pavlova</v>
      </c>
      <c r="T106">
        <v>13.9</v>
      </c>
      <c r="U106">
        <v>40</v>
      </c>
      <c r="V106">
        <v>0.15</v>
      </c>
      <c r="W106">
        <f t="shared" si="30"/>
        <v>472.59999999999997</v>
      </c>
      <c r="X106" t="str">
        <f t="shared" si="31"/>
        <v>No</v>
      </c>
      <c r="Y106" s="2">
        <v>34599</v>
      </c>
      <c r="Z106" t="str">
        <f t="shared" si="17"/>
        <v/>
      </c>
      <c r="AA106" t="str">
        <f t="shared" si="32"/>
        <v/>
      </c>
      <c r="AB106" t="str" cm="1">
        <f t="array" ref="AB106">_xlfn.IFS(Y106&lt;DATE(1996,1,1),"",Y106&lt;DATE(1996,4,1),"Q1",Y106&lt;DATE(1996,7,1),"Q2",Y106&gt;=DATE(1996,7,1),"")</f>
        <v/>
      </c>
    </row>
    <row r="107" spans="1:28" ht="14.4" x14ac:dyDescent="0.55000000000000004">
      <c r="A107" t="str">
        <f>VLOOKUP(L107,Customers!$A$2:$B$92,2,FALSE)</f>
        <v>Ricardo Adocicados</v>
      </c>
      <c r="B107" t="str">
        <f>VLOOKUP(L107,Customers!$A$2:$C$92,3,TRUE)</f>
        <v>Janete Limeira</v>
      </c>
      <c r="C107" t="str">
        <f t="shared" si="18"/>
        <v>Janete</v>
      </c>
      <c r="D107" s="8" t="str">
        <f t="shared" si="19"/>
        <v>Limeira</v>
      </c>
      <c r="E107" s="8" t="str">
        <f t="shared" si="20"/>
        <v>Limeira, Janete</v>
      </c>
      <c r="F107" s="8" t="str">
        <f t="shared" si="21"/>
        <v>Limeira, Janete</v>
      </c>
      <c r="G107" s="8" t="str">
        <f t="shared" si="22"/>
        <v>not an outlier</v>
      </c>
      <c r="H107" s="8" t="str">
        <f t="shared" si="23"/>
        <v>Not</v>
      </c>
      <c r="I107" s="8" t="str">
        <f t="shared" si="33"/>
        <v>no</v>
      </c>
      <c r="J107" s="10" t="str">
        <f t="shared" si="24"/>
        <v>no</v>
      </c>
      <c r="K107" s="10" t="str">
        <f t="shared" si="25"/>
        <v>no</v>
      </c>
      <c r="L107" t="s">
        <v>503</v>
      </c>
      <c r="M107">
        <v>10287</v>
      </c>
      <c r="N107">
        <v>34</v>
      </c>
      <c r="O107" t="s">
        <v>736</v>
      </c>
      <c r="P107" t="str">
        <f t="shared" si="26"/>
        <v>RICAR_10287_Sasquatch Ale</v>
      </c>
      <c r="Q107" t="str">
        <f t="shared" si="27"/>
        <v>10287</v>
      </c>
      <c r="R107" t="str">
        <f t="shared" si="28"/>
        <v>10287</v>
      </c>
      <c r="S107" t="str">
        <f t="shared" si="29"/>
        <v>Sasquatch Ale</v>
      </c>
      <c r="T107">
        <v>11.2</v>
      </c>
      <c r="U107">
        <v>20</v>
      </c>
      <c r="V107">
        <v>0</v>
      </c>
      <c r="W107">
        <f t="shared" si="30"/>
        <v>224</v>
      </c>
      <c r="X107" t="str">
        <f t="shared" si="31"/>
        <v>No</v>
      </c>
      <c r="Y107" s="2">
        <v>34599</v>
      </c>
      <c r="Z107" t="str">
        <f t="shared" si="17"/>
        <v/>
      </c>
      <c r="AA107" t="str">
        <f t="shared" si="32"/>
        <v/>
      </c>
      <c r="AB107" t="str" cm="1">
        <f t="array" ref="AB107">_xlfn.IFS(Y107&lt;DATE(1996,1,1),"",Y107&lt;DATE(1996,4,1),"Q1",Y107&lt;DATE(1996,7,1),"Q2",Y107&gt;=DATE(1996,7,1),"")</f>
        <v/>
      </c>
    </row>
    <row r="108" spans="1:28" ht="14.4" x14ac:dyDescent="0.55000000000000004">
      <c r="A108" t="str">
        <f>VLOOKUP(L108,Customers!$A$2:$B$92,2,FALSE)</f>
        <v>Ricardo Adocicados</v>
      </c>
      <c r="B108" t="str">
        <f>VLOOKUP(L108,Customers!$A$2:$C$92,3,TRUE)</f>
        <v>Janete Limeira</v>
      </c>
      <c r="C108" t="str">
        <f t="shared" si="18"/>
        <v>Janete</v>
      </c>
      <c r="D108" s="8" t="str">
        <f t="shared" si="19"/>
        <v>Limeira</v>
      </c>
      <c r="E108" s="8" t="str">
        <f t="shared" si="20"/>
        <v>Limeira, Janete</v>
      </c>
      <c r="F108" s="8" t="str">
        <f t="shared" si="21"/>
        <v>Limeira, Janete</v>
      </c>
      <c r="G108" s="8" t="str">
        <f t="shared" si="22"/>
        <v>not an outlier</v>
      </c>
      <c r="H108" s="8" t="str">
        <f t="shared" si="23"/>
        <v>Not</v>
      </c>
      <c r="I108" s="8" t="str">
        <f t="shared" si="33"/>
        <v>no</v>
      </c>
      <c r="J108" s="10" t="str">
        <f t="shared" si="24"/>
        <v>no</v>
      </c>
      <c r="K108" s="10" t="str">
        <f t="shared" si="25"/>
        <v>no</v>
      </c>
      <c r="L108" t="s">
        <v>503</v>
      </c>
      <c r="M108">
        <v>10287</v>
      </c>
      <c r="N108">
        <v>46</v>
      </c>
      <c r="O108" t="s">
        <v>737</v>
      </c>
      <c r="P108" t="str">
        <f t="shared" si="26"/>
        <v>RICAR_10287_Spegesild</v>
      </c>
      <c r="Q108" t="str">
        <f t="shared" si="27"/>
        <v>10287</v>
      </c>
      <c r="R108" t="str">
        <f t="shared" si="28"/>
        <v>10287</v>
      </c>
      <c r="S108" t="str">
        <f t="shared" si="29"/>
        <v>Spegesild</v>
      </c>
      <c r="T108">
        <v>9.6</v>
      </c>
      <c r="U108">
        <v>15</v>
      </c>
      <c r="V108">
        <v>0.15</v>
      </c>
      <c r="W108">
        <f t="shared" si="30"/>
        <v>122.39999999999999</v>
      </c>
      <c r="X108" t="str">
        <f t="shared" si="31"/>
        <v>No</v>
      </c>
      <c r="Y108" s="2">
        <v>34599</v>
      </c>
      <c r="Z108" t="str">
        <f t="shared" si="17"/>
        <v/>
      </c>
      <c r="AA108" t="str">
        <f t="shared" si="32"/>
        <v/>
      </c>
      <c r="AB108" t="str" cm="1">
        <f t="array" ref="AB108">_xlfn.IFS(Y108&lt;DATE(1996,1,1),"",Y108&lt;DATE(1996,4,1),"Q1",Y108&lt;DATE(1996,7,1),"Q2",Y108&gt;=DATE(1996,7,1),"")</f>
        <v/>
      </c>
    </row>
    <row r="109" spans="1:28" ht="14.4" x14ac:dyDescent="0.55000000000000004">
      <c r="A109" t="str">
        <f>VLOOKUP(L109,Customers!$A$2:$B$92,2,FALSE)</f>
        <v>Reggiani Caseifici</v>
      </c>
      <c r="B109" t="str">
        <f>VLOOKUP(L109,Customers!$A$2:$C$92,3,TRUE)</f>
        <v>Maurizio Moroni</v>
      </c>
      <c r="C109" t="str">
        <f t="shared" si="18"/>
        <v>Maurizio</v>
      </c>
      <c r="D109" s="8" t="str">
        <f t="shared" si="19"/>
        <v>Moroni</v>
      </c>
      <c r="E109" s="8" t="str">
        <f t="shared" si="20"/>
        <v>Moroni, Maurizio</v>
      </c>
      <c r="F109" s="8" t="str">
        <f t="shared" si="21"/>
        <v>Moroni, Maurizio</v>
      </c>
      <c r="G109" s="8" t="str">
        <f t="shared" si="22"/>
        <v>not an outlier</v>
      </c>
      <c r="H109" s="8" t="str">
        <f t="shared" si="23"/>
        <v>Not</v>
      </c>
      <c r="I109" s="8" t="str">
        <f t="shared" si="33"/>
        <v>no</v>
      </c>
      <c r="J109" s="10" t="str">
        <f t="shared" si="24"/>
        <v>no</v>
      </c>
      <c r="K109" s="10" t="str">
        <f t="shared" si="25"/>
        <v>no</v>
      </c>
      <c r="L109" t="s">
        <v>496</v>
      </c>
      <c r="M109">
        <v>10288</v>
      </c>
      <c r="N109">
        <v>54</v>
      </c>
      <c r="O109" t="s">
        <v>738</v>
      </c>
      <c r="P109" t="str">
        <f t="shared" si="26"/>
        <v>REGGC_10288_Tourtière</v>
      </c>
      <c r="Q109" t="str">
        <f t="shared" si="27"/>
        <v>10288</v>
      </c>
      <c r="R109" t="str">
        <f t="shared" si="28"/>
        <v>10288</v>
      </c>
      <c r="S109" t="str">
        <f t="shared" si="29"/>
        <v>Tourtière</v>
      </c>
      <c r="T109">
        <v>5.9</v>
      </c>
      <c r="U109">
        <v>10</v>
      </c>
      <c r="V109">
        <v>0.1</v>
      </c>
      <c r="W109">
        <f t="shared" si="30"/>
        <v>53.1</v>
      </c>
      <c r="X109" t="str">
        <f t="shared" si="31"/>
        <v>No</v>
      </c>
      <c r="Y109" s="2">
        <v>34600</v>
      </c>
      <c r="Z109" t="str">
        <f t="shared" si="17"/>
        <v/>
      </c>
      <c r="AA109" t="str">
        <f t="shared" si="32"/>
        <v/>
      </c>
      <c r="AB109" t="str" cm="1">
        <f t="array" ref="AB109">_xlfn.IFS(Y109&lt;DATE(1996,1,1),"",Y109&lt;DATE(1996,4,1),"Q1",Y109&lt;DATE(1996,7,1),"Q2",Y109&gt;=DATE(1996,7,1),"")</f>
        <v/>
      </c>
    </row>
    <row r="110" spans="1:28" ht="14.4" x14ac:dyDescent="0.55000000000000004">
      <c r="A110" t="str">
        <f>VLOOKUP(L110,Customers!$A$2:$B$92,2,FALSE)</f>
        <v>Reggiani Caseifici</v>
      </c>
      <c r="B110" t="str">
        <f>VLOOKUP(L110,Customers!$A$2:$C$92,3,TRUE)</f>
        <v>Maurizio Moroni</v>
      </c>
      <c r="C110" t="str">
        <f t="shared" si="18"/>
        <v>Maurizio</v>
      </c>
      <c r="D110" s="8" t="str">
        <f t="shared" si="19"/>
        <v>Moroni</v>
      </c>
      <c r="E110" s="8" t="str">
        <f t="shared" si="20"/>
        <v>Moroni, Maurizio</v>
      </c>
      <c r="F110" s="8" t="str">
        <f t="shared" si="21"/>
        <v>Moroni, Maurizio</v>
      </c>
      <c r="G110" s="8" t="str">
        <f t="shared" si="22"/>
        <v>not an outlier</v>
      </c>
      <c r="H110" s="8" t="str">
        <f t="shared" si="23"/>
        <v>Not</v>
      </c>
      <c r="I110" s="8" t="str">
        <f t="shared" si="33"/>
        <v>no</v>
      </c>
      <c r="J110" s="10" t="str">
        <f t="shared" si="24"/>
        <v>no</v>
      </c>
      <c r="K110" s="10" t="str">
        <f t="shared" si="25"/>
        <v>no</v>
      </c>
      <c r="L110" t="s">
        <v>496</v>
      </c>
      <c r="M110">
        <v>10288</v>
      </c>
      <c r="N110">
        <v>68</v>
      </c>
      <c r="O110" t="s">
        <v>739</v>
      </c>
      <c r="P110" t="str">
        <f t="shared" si="26"/>
        <v>REGGC_10288_Scottish Longbreads</v>
      </c>
      <c r="Q110" t="str">
        <f t="shared" si="27"/>
        <v>10288</v>
      </c>
      <c r="R110" t="str">
        <f t="shared" si="28"/>
        <v>10288</v>
      </c>
      <c r="S110" t="str">
        <f t="shared" si="29"/>
        <v>Scottish Longbreads</v>
      </c>
      <c r="T110">
        <v>10</v>
      </c>
      <c r="U110">
        <v>3</v>
      </c>
      <c r="V110">
        <v>0.1</v>
      </c>
      <c r="W110">
        <f t="shared" si="30"/>
        <v>27</v>
      </c>
      <c r="X110" t="str">
        <f t="shared" si="31"/>
        <v>No</v>
      </c>
      <c r="Y110" s="2">
        <v>34600</v>
      </c>
      <c r="Z110" t="str">
        <f t="shared" si="17"/>
        <v/>
      </c>
      <c r="AA110" t="str">
        <f t="shared" si="32"/>
        <v/>
      </c>
      <c r="AB110" t="str" cm="1">
        <f t="array" ref="AB110">_xlfn.IFS(Y110&lt;DATE(1996,1,1),"",Y110&lt;DATE(1996,4,1),"Q1",Y110&lt;DATE(1996,7,1),"Q2",Y110&gt;=DATE(1996,7,1),"")</f>
        <v/>
      </c>
    </row>
    <row r="111" spans="1:28" ht="14.4" x14ac:dyDescent="0.55000000000000004">
      <c r="A111" t="str">
        <f>VLOOKUP(L111,Customers!$A$2:$B$92,2,FALSE)</f>
        <v>B's Beverages</v>
      </c>
      <c r="B111" t="str">
        <f>VLOOKUP(L111,Customers!$A$2:$C$92,3,TRUE)</f>
        <v>Victoria Ashworth</v>
      </c>
      <c r="C111" t="str">
        <f t="shared" si="18"/>
        <v>Victoria</v>
      </c>
      <c r="D111" s="8" t="str">
        <f t="shared" si="19"/>
        <v>Ashworth</v>
      </c>
      <c r="E111" s="8" t="str">
        <f t="shared" si="20"/>
        <v>Ashworth, Victoria</v>
      </c>
      <c r="F111" s="8" t="str">
        <f t="shared" si="21"/>
        <v>Ashworth, Victoria</v>
      </c>
      <c r="G111" s="8" t="str">
        <f t="shared" si="22"/>
        <v>not an outlier</v>
      </c>
      <c r="H111" s="8" t="str">
        <f t="shared" si="23"/>
        <v>Not</v>
      </c>
      <c r="I111" s="8" t="str">
        <f t="shared" si="33"/>
        <v>no</v>
      </c>
      <c r="J111" s="10" t="str">
        <f t="shared" si="24"/>
        <v>no</v>
      </c>
      <c r="K111" s="10" t="str">
        <f t="shared" si="25"/>
        <v>no</v>
      </c>
      <c r="L111" t="s">
        <v>95</v>
      </c>
      <c r="M111">
        <v>10289</v>
      </c>
      <c r="N111">
        <v>3</v>
      </c>
      <c r="O111" t="s">
        <v>740</v>
      </c>
      <c r="P111" t="str">
        <f t="shared" si="26"/>
        <v>BSBEV_10289_Aniseed Syrup</v>
      </c>
      <c r="Q111" t="str">
        <f t="shared" si="27"/>
        <v>10289</v>
      </c>
      <c r="R111" t="str">
        <f t="shared" si="28"/>
        <v>10289</v>
      </c>
      <c r="S111" t="str">
        <f t="shared" si="29"/>
        <v>Aniseed Syrup</v>
      </c>
      <c r="T111">
        <v>8</v>
      </c>
      <c r="U111">
        <v>30</v>
      </c>
      <c r="V111">
        <v>0</v>
      </c>
      <c r="W111">
        <f t="shared" si="30"/>
        <v>240</v>
      </c>
      <c r="X111" t="str">
        <f t="shared" si="31"/>
        <v>No</v>
      </c>
      <c r="Y111" s="2">
        <v>34603</v>
      </c>
      <c r="Z111" t="str">
        <f t="shared" si="17"/>
        <v/>
      </c>
      <c r="AA111" t="str">
        <f t="shared" si="32"/>
        <v/>
      </c>
      <c r="AB111" t="str" cm="1">
        <f t="array" ref="AB111">_xlfn.IFS(Y111&lt;DATE(1996,1,1),"",Y111&lt;DATE(1996,4,1),"Q1",Y111&lt;DATE(1996,7,1),"Q2",Y111&gt;=DATE(1996,7,1),"")</f>
        <v/>
      </c>
    </row>
    <row r="112" spans="1:28" ht="14.4" x14ac:dyDescent="0.55000000000000004">
      <c r="A112" t="str">
        <f>VLOOKUP(L112,Customers!$A$2:$B$92,2,FALSE)</f>
        <v>B's Beverages</v>
      </c>
      <c r="B112" t="str">
        <f>VLOOKUP(L112,Customers!$A$2:$C$92,3,TRUE)</f>
        <v>Victoria Ashworth</v>
      </c>
      <c r="C112" t="str">
        <f t="shared" si="18"/>
        <v>Victoria</v>
      </c>
      <c r="D112" s="8" t="str">
        <f t="shared" si="19"/>
        <v>Ashworth</v>
      </c>
      <c r="E112" s="8" t="str">
        <f t="shared" si="20"/>
        <v>Ashworth, Victoria</v>
      </c>
      <c r="F112" s="8" t="str">
        <f t="shared" si="21"/>
        <v>Ashworth, Victoria</v>
      </c>
      <c r="G112" s="8" t="str">
        <f t="shared" si="22"/>
        <v>not an outlier</v>
      </c>
      <c r="H112" s="8" t="str">
        <f t="shared" si="23"/>
        <v>Not</v>
      </c>
      <c r="I112" s="8" t="str">
        <f t="shared" si="33"/>
        <v>no</v>
      </c>
      <c r="J112" s="10" t="str">
        <f t="shared" si="24"/>
        <v>no</v>
      </c>
      <c r="K112" s="10" t="str">
        <f t="shared" si="25"/>
        <v>no</v>
      </c>
      <c r="L112" t="s">
        <v>95</v>
      </c>
      <c r="M112">
        <v>10289</v>
      </c>
      <c r="N112">
        <v>64</v>
      </c>
      <c r="O112" t="s">
        <v>741</v>
      </c>
      <c r="P112" t="str">
        <f t="shared" si="26"/>
        <v>BSBEV_10289_Wimmers gute Semmelknödel</v>
      </c>
      <c r="Q112" t="str">
        <f t="shared" si="27"/>
        <v>10289</v>
      </c>
      <c r="R112" t="str">
        <f t="shared" si="28"/>
        <v>10289</v>
      </c>
      <c r="S112" t="str">
        <f t="shared" si="29"/>
        <v>Wimmers gute Semmelknödel</v>
      </c>
      <c r="T112">
        <v>26.6</v>
      </c>
      <c r="U112">
        <v>9</v>
      </c>
      <c r="V112">
        <v>0</v>
      </c>
      <c r="W112">
        <f t="shared" si="30"/>
        <v>239.4</v>
      </c>
      <c r="X112" t="str">
        <f t="shared" si="31"/>
        <v>No</v>
      </c>
      <c r="Y112" s="2">
        <v>34603</v>
      </c>
      <c r="Z112" t="str">
        <f t="shared" si="17"/>
        <v/>
      </c>
      <c r="AA112" t="str">
        <f t="shared" si="32"/>
        <v/>
      </c>
      <c r="AB112" t="str" cm="1">
        <f t="array" ref="AB112">_xlfn.IFS(Y112&lt;DATE(1996,1,1),"",Y112&lt;DATE(1996,4,1),"Q1",Y112&lt;DATE(1996,7,1),"Q2",Y112&gt;=DATE(1996,7,1),"")</f>
        <v/>
      </c>
    </row>
    <row r="113" spans="1:28" ht="14.4" x14ac:dyDescent="0.55000000000000004">
      <c r="A113" t="str">
        <f>VLOOKUP(L113,Customers!$A$2:$B$92,2,FALSE)</f>
        <v>Comércio Mineiro</v>
      </c>
      <c r="B113" t="str">
        <f>VLOOKUP(L113,Customers!$A$2:$C$92,3,TRUE)</f>
        <v>Pedro Afonso</v>
      </c>
      <c r="C113" t="str">
        <f t="shared" si="18"/>
        <v>Pedro</v>
      </c>
      <c r="D113" s="8" t="str">
        <f t="shared" si="19"/>
        <v>Afonso</v>
      </c>
      <c r="E113" s="8" t="str">
        <f t="shared" si="20"/>
        <v>Afonso, Pedro</v>
      </c>
      <c r="F113" s="8" t="str">
        <f t="shared" si="21"/>
        <v>Afonso, Pedro</v>
      </c>
      <c r="G113" s="8" t="str">
        <f t="shared" si="22"/>
        <v>not an outlier</v>
      </c>
      <c r="H113" s="8" t="str">
        <f t="shared" si="23"/>
        <v>Not</v>
      </c>
      <c r="I113" s="8" t="str">
        <f t="shared" si="33"/>
        <v>no</v>
      </c>
      <c r="J113" s="10" t="str">
        <f t="shared" si="24"/>
        <v>no</v>
      </c>
      <c r="K113" s="10" t="str">
        <f t="shared" si="25"/>
        <v>no</v>
      </c>
      <c r="L113" t="s">
        <v>123</v>
      </c>
      <c r="M113">
        <v>10290</v>
      </c>
      <c r="N113">
        <v>5</v>
      </c>
      <c r="O113" t="s">
        <v>708</v>
      </c>
      <c r="P113" t="str">
        <f t="shared" si="26"/>
        <v>COMMI_10290_Chef Anton's Gumbo Mix</v>
      </c>
      <c r="Q113" t="str">
        <f t="shared" si="27"/>
        <v>10290</v>
      </c>
      <c r="R113" t="str">
        <f t="shared" si="28"/>
        <v>10290</v>
      </c>
      <c r="S113" t="str">
        <f t="shared" si="29"/>
        <v>Chef Anton's Gumbo Mix</v>
      </c>
      <c r="T113">
        <v>17</v>
      </c>
      <c r="U113">
        <v>20</v>
      </c>
      <c r="V113">
        <v>0</v>
      </c>
      <c r="W113">
        <f t="shared" si="30"/>
        <v>340</v>
      </c>
      <c r="X113" t="str">
        <f t="shared" si="31"/>
        <v>No</v>
      </c>
      <c r="Y113" s="2">
        <v>34604</v>
      </c>
      <c r="Z113" t="str">
        <f t="shared" si="17"/>
        <v/>
      </c>
      <c r="AA113" t="str">
        <f t="shared" si="32"/>
        <v/>
      </c>
      <c r="AB113" t="str" cm="1">
        <f t="array" ref="AB113">_xlfn.IFS(Y113&lt;DATE(1996,1,1),"",Y113&lt;DATE(1996,4,1),"Q1",Y113&lt;DATE(1996,7,1),"Q2",Y113&gt;=DATE(1996,7,1),"")</f>
        <v/>
      </c>
    </row>
    <row r="114" spans="1:28" ht="14.4" x14ac:dyDescent="0.55000000000000004">
      <c r="A114" t="str">
        <f>VLOOKUP(L114,Customers!$A$2:$B$92,2,FALSE)</f>
        <v>Comércio Mineiro</v>
      </c>
      <c r="B114" t="str">
        <f>VLOOKUP(L114,Customers!$A$2:$C$92,3,TRUE)</f>
        <v>Pedro Afonso</v>
      </c>
      <c r="C114" t="str">
        <f t="shared" si="18"/>
        <v>Pedro</v>
      </c>
      <c r="D114" s="8" t="str">
        <f t="shared" si="19"/>
        <v>Afonso</v>
      </c>
      <c r="E114" s="8" t="str">
        <f t="shared" si="20"/>
        <v>Afonso, Pedro</v>
      </c>
      <c r="F114" s="8" t="str">
        <f t="shared" si="21"/>
        <v>Afonso, Pedro</v>
      </c>
      <c r="G114" s="8" t="str">
        <f t="shared" si="22"/>
        <v>not an outlier</v>
      </c>
      <c r="H114" s="8" t="str">
        <f t="shared" si="23"/>
        <v>Not</v>
      </c>
      <c r="I114" s="8" t="str">
        <f t="shared" si="33"/>
        <v>no</v>
      </c>
      <c r="J114" s="10" t="str">
        <f t="shared" si="24"/>
        <v>no</v>
      </c>
      <c r="K114" s="10" t="str">
        <f t="shared" si="25"/>
        <v>no</v>
      </c>
      <c r="L114" t="s">
        <v>123</v>
      </c>
      <c r="M114">
        <v>10290</v>
      </c>
      <c r="N114">
        <v>29</v>
      </c>
      <c r="O114" t="s">
        <v>722</v>
      </c>
      <c r="P114" t="str">
        <f t="shared" si="26"/>
        <v>COMMI_10290_Thüringer Rostbratwurst</v>
      </c>
      <c r="Q114" t="str">
        <f t="shared" si="27"/>
        <v>10290</v>
      </c>
      <c r="R114" t="str">
        <f t="shared" si="28"/>
        <v>10290</v>
      </c>
      <c r="S114" t="str">
        <f t="shared" si="29"/>
        <v>Thüringer Rostbratwurst</v>
      </c>
      <c r="T114">
        <v>99</v>
      </c>
      <c r="U114">
        <v>15</v>
      </c>
      <c r="V114">
        <v>0</v>
      </c>
      <c r="W114">
        <f t="shared" si="30"/>
        <v>1485</v>
      </c>
      <c r="X114" t="str">
        <f t="shared" si="31"/>
        <v>No</v>
      </c>
      <c r="Y114" s="2">
        <v>34604</v>
      </c>
      <c r="Z114" t="str">
        <f t="shared" si="17"/>
        <v/>
      </c>
      <c r="AA114" t="str">
        <f t="shared" si="32"/>
        <v/>
      </c>
      <c r="AB114" t="str" cm="1">
        <f t="array" ref="AB114">_xlfn.IFS(Y114&lt;DATE(1996,1,1),"",Y114&lt;DATE(1996,4,1),"Q1",Y114&lt;DATE(1996,7,1),"Q2",Y114&gt;=DATE(1996,7,1),"")</f>
        <v/>
      </c>
    </row>
    <row r="115" spans="1:28" ht="14.4" x14ac:dyDescent="0.55000000000000004">
      <c r="A115" t="str">
        <f>VLOOKUP(L115,Customers!$A$2:$B$92,2,FALSE)</f>
        <v>Comércio Mineiro</v>
      </c>
      <c r="B115" t="str">
        <f>VLOOKUP(L115,Customers!$A$2:$C$92,3,TRUE)</f>
        <v>Pedro Afonso</v>
      </c>
      <c r="C115" t="str">
        <f t="shared" si="18"/>
        <v>Pedro</v>
      </c>
      <c r="D115" s="8" t="str">
        <f t="shared" si="19"/>
        <v>Afonso</v>
      </c>
      <c r="E115" s="8" t="str">
        <f t="shared" si="20"/>
        <v>Afonso, Pedro</v>
      </c>
      <c r="F115" s="8" t="str">
        <f t="shared" si="21"/>
        <v>Afonso, Pedro</v>
      </c>
      <c r="G115" s="8" t="str">
        <f t="shared" si="22"/>
        <v>not an outlier</v>
      </c>
      <c r="H115" s="8" t="str">
        <f t="shared" si="23"/>
        <v>Not</v>
      </c>
      <c r="I115" s="8" t="str">
        <f t="shared" si="33"/>
        <v>no</v>
      </c>
      <c r="J115" s="10" t="str">
        <f t="shared" si="24"/>
        <v>no</v>
      </c>
      <c r="K115" s="10" t="str">
        <f t="shared" si="25"/>
        <v>no</v>
      </c>
      <c r="L115" t="s">
        <v>123</v>
      </c>
      <c r="M115">
        <v>10290</v>
      </c>
      <c r="N115">
        <v>49</v>
      </c>
      <c r="O115" t="s">
        <v>697</v>
      </c>
      <c r="P115" t="str">
        <f t="shared" si="26"/>
        <v>COMMI_10290_Maxilaku</v>
      </c>
      <c r="Q115" t="str">
        <f t="shared" si="27"/>
        <v>10290</v>
      </c>
      <c r="R115" t="str">
        <f t="shared" si="28"/>
        <v>10290</v>
      </c>
      <c r="S115" t="str">
        <f t="shared" si="29"/>
        <v>Maxilaku</v>
      </c>
      <c r="T115">
        <v>16</v>
      </c>
      <c r="U115">
        <v>15</v>
      </c>
      <c r="V115">
        <v>0</v>
      </c>
      <c r="W115">
        <f t="shared" si="30"/>
        <v>240</v>
      </c>
      <c r="X115" t="str">
        <f t="shared" si="31"/>
        <v>No</v>
      </c>
      <c r="Y115" s="2">
        <v>34604</v>
      </c>
      <c r="Z115" t="str">
        <f t="shared" si="17"/>
        <v/>
      </c>
      <c r="AA115" t="str">
        <f t="shared" si="32"/>
        <v/>
      </c>
      <c r="AB115" t="str" cm="1">
        <f t="array" ref="AB115">_xlfn.IFS(Y115&lt;DATE(1996,1,1),"",Y115&lt;DATE(1996,4,1),"Q1",Y115&lt;DATE(1996,7,1),"Q2",Y115&gt;=DATE(1996,7,1),"")</f>
        <v/>
      </c>
    </row>
    <row r="116" spans="1:28" ht="14.4" x14ac:dyDescent="0.55000000000000004">
      <c r="A116" t="str">
        <f>VLOOKUP(L116,Customers!$A$2:$B$92,2,FALSE)</f>
        <v>Comércio Mineiro</v>
      </c>
      <c r="B116" t="str">
        <f>VLOOKUP(L116,Customers!$A$2:$C$92,3,TRUE)</f>
        <v>Pedro Afonso</v>
      </c>
      <c r="C116" t="str">
        <f t="shared" si="18"/>
        <v>Pedro</v>
      </c>
      <c r="D116" s="8" t="str">
        <f t="shared" si="19"/>
        <v>Afonso</v>
      </c>
      <c r="E116" s="8" t="str">
        <f t="shared" si="20"/>
        <v>Afonso, Pedro</v>
      </c>
      <c r="F116" s="8" t="str">
        <f t="shared" si="21"/>
        <v>Afonso, Pedro</v>
      </c>
      <c r="G116" s="8" t="str">
        <f t="shared" si="22"/>
        <v>not an outlier</v>
      </c>
      <c r="H116" s="8" t="str">
        <f t="shared" si="23"/>
        <v>Not</v>
      </c>
      <c r="I116" s="8" t="str">
        <f t="shared" si="33"/>
        <v>no</v>
      </c>
      <c r="J116" s="10" t="str">
        <f t="shared" si="24"/>
        <v>no</v>
      </c>
      <c r="K116" s="10" t="str">
        <f t="shared" si="25"/>
        <v>no</v>
      </c>
      <c r="L116" t="s">
        <v>123</v>
      </c>
      <c r="M116">
        <v>10290</v>
      </c>
      <c r="N116">
        <v>77</v>
      </c>
      <c r="O116" t="s">
        <v>706</v>
      </c>
      <c r="P116" t="str">
        <f t="shared" si="26"/>
        <v>COMMI_10290_Original Frankfurter grüne Soße</v>
      </c>
      <c r="Q116" t="str">
        <f t="shared" si="27"/>
        <v>10290</v>
      </c>
      <c r="R116" t="str">
        <f t="shared" si="28"/>
        <v>10290</v>
      </c>
      <c r="S116" t="str">
        <f t="shared" si="29"/>
        <v>Original Frankfurter grüne Soße</v>
      </c>
      <c r="T116">
        <v>10.4</v>
      </c>
      <c r="U116">
        <v>10</v>
      </c>
      <c r="V116">
        <v>0</v>
      </c>
      <c r="W116">
        <f t="shared" si="30"/>
        <v>104</v>
      </c>
      <c r="X116" t="str">
        <f t="shared" si="31"/>
        <v>No</v>
      </c>
      <c r="Y116" s="2">
        <v>34604</v>
      </c>
      <c r="Z116" t="str">
        <f t="shared" si="17"/>
        <v/>
      </c>
      <c r="AA116" t="str">
        <f t="shared" si="32"/>
        <v/>
      </c>
      <c r="AB116" t="str" cm="1">
        <f t="array" ref="AB116">_xlfn.IFS(Y116&lt;DATE(1996,1,1),"",Y116&lt;DATE(1996,4,1),"Q1",Y116&lt;DATE(1996,7,1),"Q2",Y116&gt;=DATE(1996,7,1),"")</f>
        <v/>
      </c>
    </row>
    <row r="117" spans="1:28" ht="14.4" x14ac:dyDescent="0.55000000000000004">
      <c r="A117" t="str">
        <f>VLOOKUP(L117,Customers!$A$2:$B$92,2,FALSE)</f>
        <v>Que Delícia</v>
      </c>
      <c r="B117" t="str">
        <f>VLOOKUP(L117,Customers!$A$2:$C$92,3,TRUE)</f>
        <v>Bernardo Batista</v>
      </c>
      <c r="C117" t="str">
        <f t="shared" si="18"/>
        <v>Bernardo</v>
      </c>
      <c r="D117" s="8" t="str">
        <f t="shared" si="19"/>
        <v>Batista</v>
      </c>
      <c r="E117" s="8" t="str">
        <f t="shared" si="20"/>
        <v>Batista, Bernardo</v>
      </c>
      <c r="F117" s="8" t="str">
        <f t="shared" si="21"/>
        <v>Batista, Bernardo</v>
      </c>
      <c r="G117" s="8" t="str">
        <f t="shared" si="22"/>
        <v>not an outlier</v>
      </c>
      <c r="H117" s="8" t="str">
        <f t="shared" si="23"/>
        <v>Not</v>
      </c>
      <c r="I117" s="8" t="str">
        <f t="shared" si="33"/>
        <v>no</v>
      </c>
      <c r="J117" s="10" t="str">
        <f t="shared" si="24"/>
        <v>no</v>
      </c>
      <c r="K117" s="10" t="str">
        <f t="shared" si="25"/>
        <v>no</v>
      </c>
      <c r="L117" t="s">
        <v>462</v>
      </c>
      <c r="M117">
        <v>10291</v>
      </c>
      <c r="N117">
        <v>13</v>
      </c>
      <c r="O117" t="s">
        <v>726</v>
      </c>
      <c r="P117" t="str">
        <f t="shared" si="26"/>
        <v>QUEDE_10291_Konbu</v>
      </c>
      <c r="Q117" t="str">
        <f t="shared" si="27"/>
        <v>10291</v>
      </c>
      <c r="R117" t="str">
        <f t="shared" si="28"/>
        <v>10291</v>
      </c>
      <c r="S117" t="str">
        <f t="shared" si="29"/>
        <v>Konbu</v>
      </c>
      <c r="T117">
        <v>4.8</v>
      </c>
      <c r="U117">
        <v>20</v>
      </c>
      <c r="V117">
        <v>0.1</v>
      </c>
      <c r="W117">
        <f t="shared" si="30"/>
        <v>86.4</v>
      </c>
      <c r="X117" t="str">
        <f t="shared" si="31"/>
        <v>No</v>
      </c>
      <c r="Y117" s="2">
        <v>34604</v>
      </c>
      <c r="Z117" t="str">
        <f t="shared" si="17"/>
        <v/>
      </c>
      <c r="AA117" t="str">
        <f t="shared" si="32"/>
        <v/>
      </c>
      <c r="AB117" t="str" cm="1">
        <f t="array" ref="AB117">_xlfn.IFS(Y117&lt;DATE(1996,1,1),"",Y117&lt;DATE(1996,4,1),"Q1",Y117&lt;DATE(1996,7,1),"Q2",Y117&gt;=DATE(1996,7,1),"")</f>
        <v/>
      </c>
    </row>
    <row r="118" spans="1:28" ht="14.4" x14ac:dyDescent="0.55000000000000004">
      <c r="A118" t="str">
        <f>VLOOKUP(L118,Customers!$A$2:$B$92,2,FALSE)</f>
        <v>Que Delícia</v>
      </c>
      <c r="B118" t="str">
        <f>VLOOKUP(L118,Customers!$A$2:$C$92,3,TRUE)</f>
        <v>Bernardo Batista</v>
      </c>
      <c r="C118" t="str">
        <f t="shared" si="18"/>
        <v>Bernardo</v>
      </c>
      <c r="D118" s="8" t="str">
        <f t="shared" si="19"/>
        <v>Batista</v>
      </c>
      <c r="E118" s="8" t="str">
        <f t="shared" si="20"/>
        <v>Batista, Bernardo</v>
      </c>
      <c r="F118" s="8" t="str">
        <f t="shared" si="21"/>
        <v>Batista, Bernardo</v>
      </c>
      <c r="G118" s="8" t="str">
        <f t="shared" si="22"/>
        <v>not an outlier</v>
      </c>
      <c r="H118" s="8" t="str">
        <f t="shared" si="23"/>
        <v>Not</v>
      </c>
      <c r="I118" s="8" t="str">
        <f t="shared" si="33"/>
        <v>no</v>
      </c>
      <c r="J118" s="10" t="str">
        <f t="shared" si="24"/>
        <v>no</v>
      </c>
      <c r="K118" s="10" t="str">
        <f t="shared" si="25"/>
        <v>no</v>
      </c>
      <c r="L118" t="s">
        <v>462</v>
      </c>
      <c r="M118">
        <v>10291</v>
      </c>
      <c r="N118">
        <v>44</v>
      </c>
      <c r="O118" t="s">
        <v>728</v>
      </c>
      <c r="P118" t="str">
        <f t="shared" si="26"/>
        <v>QUEDE_10291_Gula Malacca</v>
      </c>
      <c r="Q118" t="str">
        <f t="shared" si="27"/>
        <v>10291</v>
      </c>
      <c r="R118" t="str">
        <f t="shared" si="28"/>
        <v>10291</v>
      </c>
      <c r="S118" t="str">
        <f t="shared" si="29"/>
        <v>Gula Malacca</v>
      </c>
      <c r="T118">
        <v>15.5</v>
      </c>
      <c r="U118">
        <v>24</v>
      </c>
      <c r="V118">
        <v>0.1</v>
      </c>
      <c r="W118">
        <f t="shared" si="30"/>
        <v>334.8</v>
      </c>
      <c r="X118" t="str">
        <f t="shared" si="31"/>
        <v>No</v>
      </c>
      <c r="Y118" s="2">
        <v>34604</v>
      </c>
      <c r="Z118" t="str">
        <f t="shared" si="17"/>
        <v/>
      </c>
      <c r="AA118" t="str">
        <f t="shared" si="32"/>
        <v/>
      </c>
      <c r="AB118" t="str" cm="1">
        <f t="array" ref="AB118">_xlfn.IFS(Y118&lt;DATE(1996,1,1),"",Y118&lt;DATE(1996,4,1),"Q1",Y118&lt;DATE(1996,7,1),"Q2",Y118&gt;=DATE(1996,7,1),"")</f>
        <v/>
      </c>
    </row>
    <row r="119" spans="1:28" ht="14.4" x14ac:dyDescent="0.55000000000000004">
      <c r="A119" t="str">
        <f>VLOOKUP(L119,Customers!$A$2:$B$92,2,FALSE)</f>
        <v>Que Delícia</v>
      </c>
      <c r="B119" t="str">
        <f>VLOOKUP(L119,Customers!$A$2:$C$92,3,TRUE)</f>
        <v>Bernardo Batista</v>
      </c>
      <c r="C119" t="str">
        <f t="shared" si="18"/>
        <v>Bernardo</v>
      </c>
      <c r="D119" s="8" t="str">
        <f t="shared" si="19"/>
        <v>Batista</v>
      </c>
      <c r="E119" s="8" t="str">
        <f t="shared" si="20"/>
        <v>Batista, Bernardo</v>
      </c>
      <c r="F119" s="8" t="str">
        <f t="shared" si="21"/>
        <v>Batista, Bernardo</v>
      </c>
      <c r="G119" s="8" t="str">
        <f t="shared" si="22"/>
        <v>not an outlier</v>
      </c>
      <c r="H119" s="8" t="str">
        <f t="shared" si="23"/>
        <v>Not</v>
      </c>
      <c r="I119" s="8" t="str">
        <f t="shared" si="33"/>
        <v>no</v>
      </c>
      <c r="J119" s="10" t="str">
        <f t="shared" si="24"/>
        <v>no</v>
      </c>
      <c r="K119" s="10" t="str">
        <f t="shared" si="25"/>
        <v>no</v>
      </c>
      <c r="L119" t="s">
        <v>462</v>
      </c>
      <c r="M119">
        <v>10291</v>
      </c>
      <c r="N119">
        <v>51</v>
      </c>
      <c r="O119" t="s">
        <v>687</v>
      </c>
      <c r="P119" t="str">
        <f t="shared" si="26"/>
        <v>QUEDE_10291_Manjimup Dried Apples</v>
      </c>
      <c r="Q119" t="str">
        <f t="shared" si="27"/>
        <v>10291</v>
      </c>
      <c r="R119" t="str">
        <f t="shared" si="28"/>
        <v>10291</v>
      </c>
      <c r="S119" t="str">
        <f t="shared" si="29"/>
        <v>Manjimup Dried Apples</v>
      </c>
      <c r="T119">
        <v>42.4</v>
      </c>
      <c r="U119">
        <v>2</v>
      </c>
      <c r="V119">
        <v>0.1</v>
      </c>
      <c r="W119">
        <f t="shared" si="30"/>
        <v>76.319999999999993</v>
      </c>
      <c r="X119" t="str">
        <f t="shared" si="31"/>
        <v>No</v>
      </c>
      <c r="Y119" s="2">
        <v>34604</v>
      </c>
      <c r="Z119" t="str">
        <f t="shared" si="17"/>
        <v/>
      </c>
      <c r="AA119" t="str">
        <f t="shared" si="32"/>
        <v/>
      </c>
      <c r="AB119" t="str" cm="1">
        <f t="array" ref="AB119">_xlfn.IFS(Y119&lt;DATE(1996,1,1),"",Y119&lt;DATE(1996,4,1),"Q1",Y119&lt;DATE(1996,7,1),"Q2",Y119&gt;=DATE(1996,7,1),"")</f>
        <v/>
      </c>
    </row>
    <row r="120" spans="1:28" ht="14.4" x14ac:dyDescent="0.55000000000000004">
      <c r="A120" t="str">
        <f>VLOOKUP(L120,Customers!$A$2:$B$92,2,FALSE)</f>
        <v>Tradição Hipermercados</v>
      </c>
      <c r="B120" t="str">
        <f>VLOOKUP(L120,Customers!$A$2:$C$92,3,TRUE)</f>
        <v>Anabela Domingues</v>
      </c>
      <c r="C120" t="str">
        <f t="shared" si="18"/>
        <v>Anabela</v>
      </c>
      <c r="D120" s="8" t="str">
        <f t="shared" si="19"/>
        <v>Domingues</v>
      </c>
      <c r="E120" s="8" t="str">
        <f t="shared" si="20"/>
        <v>Domingues, Anabela</v>
      </c>
      <c r="F120" s="8" t="str">
        <f t="shared" si="21"/>
        <v>Domingues, Anabela</v>
      </c>
      <c r="G120" s="8" t="str">
        <f t="shared" si="22"/>
        <v>not an outlier</v>
      </c>
      <c r="H120" s="8" t="str">
        <f t="shared" si="23"/>
        <v>Not</v>
      </c>
      <c r="I120" s="8" t="str">
        <f t="shared" si="33"/>
        <v>no</v>
      </c>
      <c r="J120" s="10" t="str">
        <f t="shared" si="24"/>
        <v>no</v>
      </c>
      <c r="K120" s="10" t="str">
        <f t="shared" si="25"/>
        <v>no</v>
      </c>
      <c r="L120" t="s">
        <v>598</v>
      </c>
      <c r="M120">
        <v>10292</v>
      </c>
      <c r="N120">
        <v>20</v>
      </c>
      <c r="O120" t="s">
        <v>692</v>
      </c>
      <c r="P120" t="str">
        <f t="shared" si="26"/>
        <v>TRADH_10292_Sir Rodney's Marmalade</v>
      </c>
      <c r="Q120" t="str">
        <f t="shared" si="27"/>
        <v>10292</v>
      </c>
      <c r="R120" t="str">
        <f t="shared" si="28"/>
        <v>10292</v>
      </c>
      <c r="S120" t="str">
        <f t="shared" si="29"/>
        <v>Sir Rodney's Marmalade</v>
      </c>
      <c r="T120">
        <v>64.8</v>
      </c>
      <c r="U120">
        <v>20</v>
      </c>
      <c r="V120">
        <v>0</v>
      </c>
      <c r="W120">
        <f t="shared" si="30"/>
        <v>1296</v>
      </c>
      <c r="X120" t="str">
        <f t="shared" si="31"/>
        <v>No</v>
      </c>
      <c r="Y120" s="2">
        <v>34605</v>
      </c>
      <c r="Z120" t="str">
        <f t="shared" si="17"/>
        <v/>
      </c>
      <c r="AA120" t="str">
        <f t="shared" si="32"/>
        <v/>
      </c>
      <c r="AB120" t="str" cm="1">
        <f t="array" ref="AB120">_xlfn.IFS(Y120&lt;DATE(1996,1,1),"",Y120&lt;DATE(1996,4,1),"Q1",Y120&lt;DATE(1996,7,1),"Q2",Y120&gt;=DATE(1996,7,1),"")</f>
        <v/>
      </c>
    </row>
    <row r="121" spans="1:28" ht="14.4" x14ac:dyDescent="0.55000000000000004">
      <c r="A121" t="str">
        <f>VLOOKUP(L121,Customers!$A$2:$B$92,2,FALSE)</f>
        <v>Tortuga Restaurante</v>
      </c>
      <c r="B121" t="str">
        <f>VLOOKUP(L121,Customers!$A$2:$C$92,3,TRUE)</f>
        <v>Miguel Angel Paolino</v>
      </c>
      <c r="C121" t="str">
        <f t="shared" si="18"/>
        <v>Miguel</v>
      </c>
      <c r="D121" s="8" t="str">
        <f t="shared" si="19"/>
        <v>Angel Paolino</v>
      </c>
      <c r="E121" s="8" t="str">
        <f t="shared" si="20"/>
        <v>Angel Paolino, Miguel</v>
      </c>
      <c r="F121" s="8" t="str">
        <f t="shared" si="21"/>
        <v>Angel Paolino, Miguel</v>
      </c>
      <c r="G121" s="8" t="str">
        <f t="shared" si="22"/>
        <v>not an outlier</v>
      </c>
      <c r="H121" s="8" t="str">
        <f t="shared" si="23"/>
        <v>Not</v>
      </c>
      <c r="I121" s="8" t="str">
        <f t="shared" si="33"/>
        <v>no</v>
      </c>
      <c r="J121" s="10" t="str">
        <f t="shared" si="24"/>
        <v>no</v>
      </c>
      <c r="K121" s="10" t="str">
        <f t="shared" si="25"/>
        <v>no</v>
      </c>
      <c r="L121" t="s">
        <v>593</v>
      </c>
      <c r="M121">
        <v>10293</v>
      </c>
      <c r="N121">
        <v>18</v>
      </c>
      <c r="O121" t="s">
        <v>742</v>
      </c>
      <c r="P121" t="str">
        <f t="shared" si="26"/>
        <v>TORTU_10293_Carnarvon Tigers</v>
      </c>
      <c r="Q121" t="str">
        <f t="shared" si="27"/>
        <v>10293</v>
      </c>
      <c r="R121" t="str">
        <f t="shared" si="28"/>
        <v>10293</v>
      </c>
      <c r="S121" t="str">
        <f t="shared" si="29"/>
        <v>Carnarvon Tigers</v>
      </c>
      <c r="T121">
        <v>50</v>
      </c>
      <c r="U121">
        <v>12</v>
      </c>
      <c r="V121">
        <v>0</v>
      </c>
      <c r="W121">
        <f t="shared" si="30"/>
        <v>600</v>
      </c>
      <c r="X121" t="str">
        <f t="shared" si="31"/>
        <v>No</v>
      </c>
      <c r="Y121" s="2">
        <v>34606</v>
      </c>
      <c r="Z121" t="str">
        <f t="shared" si="17"/>
        <v/>
      </c>
      <c r="AA121" t="str">
        <f t="shared" si="32"/>
        <v/>
      </c>
      <c r="AB121" t="str" cm="1">
        <f t="array" ref="AB121">_xlfn.IFS(Y121&lt;DATE(1996,1,1),"",Y121&lt;DATE(1996,4,1),"Q1",Y121&lt;DATE(1996,7,1),"Q2",Y121&gt;=DATE(1996,7,1),"")</f>
        <v/>
      </c>
    </row>
    <row r="122" spans="1:28" ht="14.4" x14ac:dyDescent="0.55000000000000004">
      <c r="A122" t="str">
        <f>VLOOKUP(L122,Customers!$A$2:$B$92,2,FALSE)</f>
        <v>Tortuga Restaurante</v>
      </c>
      <c r="B122" t="str">
        <f>VLOOKUP(L122,Customers!$A$2:$C$92,3,TRUE)</f>
        <v>Miguel Angel Paolino</v>
      </c>
      <c r="C122" t="str">
        <f t="shared" si="18"/>
        <v>Miguel</v>
      </c>
      <c r="D122" s="8" t="str">
        <f t="shared" si="19"/>
        <v>Angel Paolino</v>
      </c>
      <c r="E122" s="8" t="str">
        <f t="shared" si="20"/>
        <v>Angel Paolino, Miguel</v>
      </c>
      <c r="F122" s="8" t="str">
        <f t="shared" si="21"/>
        <v>Angel Paolino, Miguel</v>
      </c>
      <c r="G122" s="8" t="str">
        <f t="shared" si="22"/>
        <v>not an outlier</v>
      </c>
      <c r="H122" s="8" t="str">
        <f t="shared" si="23"/>
        <v>Not</v>
      </c>
      <c r="I122" s="8" t="str">
        <f t="shared" si="33"/>
        <v>no</v>
      </c>
      <c r="J122" s="10" t="str">
        <f t="shared" si="24"/>
        <v>no</v>
      </c>
      <c r="K122" s="10" t="str">
        <f t="shared" si="25"/>
        <v>no</v>
      </c>
      <c r="L122" t="s">
        <v>593</v>
      </c>
      <c r="M122">
        <v>10293</v>
      </c>
      <c r="N122">
        <v>24</v>
      </c>
      <c r="O122" t="s">
        <v>698</v>
      </c>
      <c r="P122" t="str">
        <f t="shared" si="26"/>
        <v>TORTU_10293_Guaraná Fantástica</v>
      </c>
      <c r="Q122" t="str">
        <f t="shared" si="27"/>
        <v>10293</v>
      </c>
      <c r="R122" t="str">
        <f t="shared" si="28"/>
        <v>10293</v>
      </c>
      <c r="S122" t="str">
        <f t="shared" si="29"/>
        <v>Guaraná Fantástica</v>
      </c>
      <c r="T122">
        <v>3.6</v>
      </c>
      <c r="U122">
        <v>10</v>
      </c>
      <c r="V122">
        <v>0</v>
      </c>
      <c r="W122">
        <f t="shared" si="30"/>
        <v>36</v>
      </c>
      <c r="X122" t="str">
        <f t="shared" si="31"/>
        <v>No</v>
      </c>
      <c r="Y122" s="2">
        <v>34606</v>
      </c>
      <c r="Z122" t="str">
        <f t="shared" si="17"/>
        <v/>
      </c>
      <c r="AA122" t="str">
        <f t="shared" si="32"/>
        <v/>
      </c>
      <c r="AB122" t="str" cm="1">
        <f t="array" ref="AB122">_xlfn.IFS(Y122&lt;DATE(1996,1,1),"",Y122&lt;DATE(1996,4,1),"Q1",Y122&lt;DATE(1996,7,1),"Q2",Y122&gt;=DATE(1996,7,1),"")</f>
        <v/>
      </c>
    </row>
    <row r="123" spans="1:28" ht="14.4" x14ac:dyDescent="0.55000000000000004">
      <c r="A123" t="str">
        <f>VLOOKUP(L123,Customers!$A$2:$B$92,2,FALSE)</f>
        <v>Tortuga Restaurante</v>
      </c>
      <c r="B123" t="str">
        <f>VLOOKUP(L123,Customers!$A$2:$C$92,3,TRUE)</f>
        <v>Miguel Angel Paolino</v>
      </c>
      <c r="C123" t="str">
        <f t="shared" si="18"/>
        <v>Miguel</v>
      </c>
      <c r="D123" s="8" t="str">
        <f t="shared" si="19"/>
        <v>Angel Paolino</v>
      </c>
      <c r="E123" s="8" t="str">
        <f t="shared" si="20"/>
        <v>Angel Paolino, Miguel</v>
      </c>
      <c r="F123" s="8" t="str">
        <f t="shared" si="21"/>
        <v>Angel Paolino, Miguel</v>
      </c>
      <c r="G123" s="8" t="str">
        <f t="shared" si="22"/>
        <v>not an outlier</v>
      </c>
      <c r="H123" s="8" t="str">
        <f t="shared" si="23"/>
        <v>Not</v>
      </c>
      <c r="I123" s="8" t="str">
        <f t="shared" si="33"/>
        <v>no</v>
      </c>
      <c r="J123" s="10" t="str">
        <f t="shared" si="24"/>
        <v>no</v>
      </c>
      <c r="K123" s="10" t="str">
        <f t="shared" si="25"/>
        <v>no</v>
      </c>
      <c r="L123" t="s">
        <v>593</v>
      </c>
      <c r="M123">
        <v>10293</v>
      </c>
      <c r="N123">
        <v>63</v>
      </c>
      <c r="O123" t="s">
        <v>729</v>
      </c>
      <c r="P123" t="str">
        <f t="shared" si="26"/>
        <v>TORTU_10293_Vegie-spread</v>
      </c>
      <c r="Q123" t="str">
        <f t="shared" si="27"/>
        <v>10293</v>
      </c>
      <c r="R123" t="str">
        <f t="shared" si="28"/>
        <v>10293</v>
      </c>
      <c r="S123" t="str">
        <f t="shared" si="29"/>
        <v>Vegie-spread</v>
      </c>
      <c r="T123">
        <v>35.1</v>
      </c>
      <c r="U123">
        <v>5</v>
      </c>
      <c r="V123">
        <v>0</v>
      </c>
      <c r="W123">
        <f t="shared" si="30"/>
        <v>175.5</v>
      </c>
      <c r="X123" t="str">
        <f t="shared" si="31"/>
        <v>No</v>
      </c>
      <c r="Y123" s="2">
        <v>34606</v>
      </c>
      <c r="Z123" t="str">
        <f t="shared" si="17"/>
        <v/>
      </c>
      <c r="AA123" t="str">
        <f t="shared" si="32"/>
        <v/>
      </c>
      <c r="AB123" t="str" cm="1">
        <f t="array" ref="AB123">_xlfn.IFS(Y123&lt;DATE(1996,1,1),"",Y123&lt;DATE(1996,4,1),"Q1",Y123&lt;DATE(1996,7,1),"Q2",Y123&gt;=DATE(1996,7,1),"")</f>
        <v/>
      </c>
    </row>
    <row r="124" spans="1:28" ht="14.4" x14ac:dyDescent="0.55000000000000004">
      <c r="A124" t="str">
        <f>VLOOKUP(L124,Customers!$A$2:$B$92,2,FALSE)</f>
        <v>Tortuga Restaurante</v>
      </c>
      <c r="B124" t="str">
        <f>VLOOKUP(L124,Customers!$A$2:$C$92,3,TRUE)</f>
        <v>Miguel Angel Paolino</v>
      </c>
      <c r="C124" t="str">
        <f t="shared" si="18"/>
        <v>Miguel</v>
      </c>
      <c r="D124" s="8" t="str">
        <f t="shared" si="19"/>
        <v>Angel Paolino</v>
      </c>
      <c r="E124" s="8" t="str">
        <f t="shared" si="20"/>
        <v>Angel Paolino, Miguel</v>
      </c>
      <c r="F124" s="8" t="str">
        <f t="shared" si="21"/>
        <v>Angel Paolino, Miguel</v>
      </c>
      <c r="G124" s="8" t="str">
        <f t="shared" si="22"/>
        <v>not an outlier</v>
      </c>
      <c r="H124" s="8" t="str">
        <f t="shared" si="23"/>
        <v>Not</v>
      </c>
      <c r="I124" s="8" t="str">
        <f t="shared" si="33"/>
        <v>no</v>
      </c>
      <c r="J124" s="10" t="str">
        <f t="shared" si="24"/>
        <v>no</v>
      </c>
      <c r="K124" s="10" t="str">
        <f t="shared" si="25"/>
        <v>no</v>
      </c>
      <c r="L124" t="s">
        <v>593</v>
      </c>
      <c r="M124">
        <v>10293</v>
      </c>
      <c r="N124">
        <v>75</v>
      </c>
      <c r="O124" t="s">
        <v>731</v>
      </c>
      <c r="P124" t="str">
        <f t="shared" si="26"/>
        <v>TORTU_10293_Rhönbräu Klosterbier</v>
      </c>
      <c r="Q124" t="str">
        <f t="shared" si="27"/>
        <v>10293</v>
      </c>
      <c r="R124" t="str">
        <f t="shared" si="28"/>
        <v>10293</v>
      </c>
      <c r="S124" t="str">
        <f t="shared" si="29"/>
        <v>Rhönbräu Klosterbier</v>
      </c>
      <c r="T124">
        <v>6.2</v>
      </c>
      <c r="U124">
        <v>6</v>
      </c>
      <c r="V124">
        <v>0</v>
      </c>
      <c r="W124">
        <f t="shared" si="30"/>
        <v>37.200000000000003</v>
      </c>
      <c r="X124" t="str">
        <f t="shared" si="31"/>
        <v>No</v>
      </c>
      <c r="Y124" s="2">
        <v>34606</v>
      </c>
      <c r="Z124" t="str">
        <f t="shared" si="17"/>
        <v/>
      </c>
      <c r="AA124" t="str">
        <f t="shared" si="32"/>
        <v/>
      </c>
      <c r="AB124" t="str" cm="1">
        <f t="array" ref="AB124">_xlfn.IFS(Y124&lt;DATE(1996,1,1),"",Y124&lt;DATE(1996,4,1),"Q1",Y124&lt;DATE(1996,7,1),"Q2",Y124&gt;=DATE(1996,7,1),"")</f>
        <v/>
      </c>
    </row>
    <row r="125" spans="1:28" ht="14.4" x14ac:dyDescent="0.55000000000000004">
      <c r="A125" t="str">
        <f>VLOOKUP(L125,Customers!$A$2:$B$92,2,FALSE)</f>
        <v>Rattlesnake Canyon Grocery</v>
      </c>
      <c r="B125" t="str">
        <f>VLOOKUP(L125,Customers!$A$2:$C$92,3,TRUE)</f>
        <v>Paula Wilson</v>
      </c>
      <c r="C125" t="str">
        <f t="shared" si="18"/>
        <v>Paula</v>
      </c>
      <c r="D125" s="8" t="str">
        <f t="shared" si="19"/>
        <v>Wilson</v>
      </c>
      <c r="E125" s="8" t="str">
        <f t="shared" si="20"/>
        <v>Wilson, Paula</v>
      </c>
      <c r="F125" s="8" t="str">
        <f t="shared" si="21"/>
        <v>Wilson, Paula</v>
      </c>
      <c r="G125" s="8" t="str">
        <f t="shared" si="22"/>
        <v>not an outlier</v>
      </c>
      <c r="H125" s="8" t="str">
        <f t="shared" si="23"/>
        <v>Not</v>
      </c>
      <c r="I125" s="8" t="str">
        <f t="shared" si="33"/>
        <v>no</v>
      </c>
      <c r="J125" s="10" t="str">
        <f t="shared" si="24"/>
        <v>no</v>
      </c>
      <c r="K125" s="10" t="str">
        <f t="shared" si="25"/>
        <v>no</v>
      </c>
      <c r="L125" t="s">
        <v>487</v>
      </c>
      <c r="M125">
        <v>10294</v>
      </c>
      <c r="N125">
        <v>1</v>
      </c>
      <c r="O125" t="s">
        <v>735</v>
      </c>
      <c r="P125" t="str">
        <f t="shared" si="26"/>
        <v>RATTC_10294_Chai</v>
      </c>
      <c r="Q125" t="str">
        <f t="shared" si="27"/>
        <v>10294</v>
      </c>
      <c r="R125" t="str">
        <f t="shared" si="28"/>
        <v>10294</v>
      </c>
      <c r="S125" t="str">
        <f t="shared" si="29"/>
        <v>Chai</v>
      </c>
      <c r="T125">
        <v>14.4</v>
      </c>
      <c r="U125">
        <v>18</v>
      </c>
      <c r="V125">
        <v>0</v>
      </c>
      <c r="W125">
        <f t="shared" si="30"/>
        <v>259.2</v>
      </c>
      <c r="X125" t="str">
        <f t="shared" si="31"/>
        <v>No</v>
      </c>
      <c r="Y125" s="2">
        <v>34607</v>
      </c>
      <c r="Z125" t="str">
        <f t="shared" si="17"/>
        <v/>
      </c>
      <c r="AA125" t="str">
        <f t="shared" si="32"/>
        <v/>
      </c>
      <c r="AB125" t="str" cm="1">
        <f t="array" ref="AB125">_xlfn.IFS(Y125&lt;DATE(1996,1,1),"",Y125&lt;DATE(1996,4,1),"Q1",Y125&lt;DATE(1996,7,1),"Q2",Y125&gt;=DATE(1996,7,1),"")</f>
        <v/>
      </c>
    </row>
    <row r="126" spans="1:28" ht="14.4" x14ac:dyDescent="0.55000000000000004">
      <c r="A126" t="str">
        <f>VLOOKUP(L126,Customers!$A$2:$B$92,2,FALSE)</f>
        <v>Rattlesnake Canyon Grocery</v>
      </c>
      <c r="B126" t="str">
        <f>VLOOKUP(L126,Customers!$A$2:$C$92,3,TRUE)</f>
        <v>Paula Wilson</v>
      </c>
      <c r="C126" t="str">
        <f t="shared" si="18"/>
        <v>Paula</v>
      </c>
      <c r="D126" s="8" t="str">
        <f t="shared" si="19"/>
        <v>Wilson</v>
      </c>
      <c r="E126" s="8" t="str">
        <f t="shared" si="20"/>
        <v>Wilson, Paula</v>
      </c>
      <c r="F126" s="8" t="str">
        <f t="shared" si="21"/>
        <v>Wilson, Paula</v>
      </c>
      <c r="G126" s="8" t="str">
        <f t="shared" si="22"/>
        <v>not an outlier</v>
      </c>
      <c r="H126" s="8" t="str">
        <f t="shared" si="23"/>
        <v>Not</v>
      </c>
      <c r="I126" s="8" t="str">
        <f t="shared" si="33"/>
        <v>no</v>
      </c>
      <c r="J126" s="10" t="str">
        <f t="shared" si="24"/>
        <v>no</v>
      </c>
      <c r="K126" s="10" t="str">
        <f t="shared" si="25"/>
        <v>no</v>
      </c>
      <c r="L126" t="s">
        <v>487</v>
      </c>
      <c r="M126">
        <v>10294</v>
      </c>
      <c r="N126">
        <v>17</v>
      </c>
      <c r="O126" t="s">
        <v>718</v>
      </c>
      <c r="P126" t="str">
        <f t="shared" si="26"/>
        <v>RATTC_10294_Alice Mutton</v>
      </c>
      <c r="Q126" t="str">
        <f t="shared" si="27"/>
        <v>10294</v>
      </c>
      <c r="R126" t="str">
        <f t="shared" si="28"/>
        <v>10294</v>
      </c>
      <c r="S126" t="str">
        <f t="shared" si="29"/>
        <v>Alice Mutton</v>
      </c>
      <c r="T126">
        <v>31.2</v>
      </c>
      <c r="U126">
        <v>15</v>
      </c>
      <c r="V126">
        <v>0</v>
      </c>
      <c r="W126">
        <f t="shared" si="30"/>
        <v>468</v>
      </c>
      <c r="X126" t="str">
        <f t="shared" si="31"/>
        <v>No</v>
      </c>
      <c r="Y126" s="2">
        <v>34607</v>
      </c>
      <c r="Z126" t="str">
        <f t="shared" si="17"/>
        <v/>
      </c>
      <c r="AA126" t="str">
        <f t="shared" si="32"/>
        <v/>
      </c>
      <c r="AB126" t="str" cm="1">
        <f t="array" ref="AB126">_xlfn.IFS(Y126&lt;DATE(1996,1,1),"",Y126&lt;DATE(1996,4,1),"Q1",Y126&lt;DATE(1996,7,1),"Q2",Y126&gt;=DATE(1996,7,1),"")</f>
        <v/>
      </c>
    </row>
    <row r="127" spans="1:28" ht="14.4" x14ac:dyDescent="0.55000000000000004">
      <c r="A127" t="str">
        <f>VLOOKUP(L127,Customers!$A$2:$B$92,2,FALSE)</f>
        <v>Rattlesnake Canyon Grocery</v>
      </c>
      <c r="B127" t="str">
        <f>VLOOKUP(L127,Customers!$A$2:$C$92,3,TRUE)</f>
        <v>Paula Wilson</v>
      </c>
      <c r="C127" t="str">
        <f t="shared" si="18"/>
        <v>Paula</v>
      </c>
      <c r="D127" s="8" t="str">
        <f t="shared" si="19"/>
        <v>Wilson</v>
      </c>
      <c r="E127" s="8" t="str">
        <f t="shared" si="20"/>
        <v>Wilson, Paula</v>
      </c>
      <c r="F127" s="8" t="str">
        <f t="shared" si="21"/>
        <v>Wilson, Paula</v>
      </c>
      <c r="G127" s="8" t="str">
        <f t="shared" si="22"/>
        <v>not an outlier</v>
      </c>
      <c r="H127" s="8" t="str">
        <f t="shared" si="23"/>
        <v>Not</v>
      </c>
      <c r="I127" s="8" t="str">
        <f t="shared" si="33"/>
        <v>no</v>
      </c>
      <c r="J127" s="10" t="str">
        <f t="shared" si="24"/>
        <v>no</v>
      </c>
      <c r="K127" s="10" t="str">
        <f t="shared" si="25"/>
        <v>no</v>
      </c>
      <c r="L127" t="s">
        <v>487</v>
      </c>
      <c r="M127">
        <v>10294</v>
      </c>
      <c r="N127">
        <v>43</v>
      </c>
      <c r="O127" t="s">
        <v>723</v>
      </c>
      <c r="P127" t="str">
        <f t="shared" si="26"/>
        <v>RATTC_10294_Ipoh Coffee</v>
      </c>
      <c r="Q127" t="str">
        <f t="shared" si="27"/>
        <v>10294</v>
      </c>
      <c r="R127" t="str">
        <f t="shared" si="28"/>
        <v>10294</v>
      </c>
      <c r="S127" t="str">
        <f t="shared" si="29"/>
        <v>Ipoh Coffee</v>
      </c>
      <c r="T127">
        <v>36.799999999999997</v>
      </c>
      <c r="U127">
        <v>15</v>
      </c>
      <c r="V127">
        <v>0</v>
      </c>
      <c r="W127">
        <f t="shared" si="30"/>
        <v>552</v>
      </c>
      <c r="X127" t="str">
        <f t="shared" si="31"/>
        <v>No</v>
      </c>
      <c r="Y127" s="2">
        <v>34607</v>
      </c>
      <c r="Z127" t="str">
        <f t="shared" si="17"/>
        <v/>
      </c>
      <c r="AA127" t="str">
        <f t="shared" si="32"/>
        <v/>
      </c>
      <c r="AB127" t="str" cm="1">
        <f t="array" ref="AB127">_xlfn.IFS(Y127&lt;DATE(1996,1,1),"",Y127&lt;DATE(1996,4,1),"Q1",Y127&lt;DATE(1996,7,1),"Q2",Y127&gt;=DATE(1996,7,1),"")</f>
        <v/>
      </c>
    </row>
    <row r="128" spans="1:28" ht="14.4" x14ac:dyDescent="0.55000000000000004">
      <c r="A128" t="str">
        <f>VLOOKUP(L128,Customers!$A$2:$B$92,2,FALSE)</f>
        <v>Rattlesnake Canyon Grocery</v>
      </c>
      <c r="B128" t="str">
        <f>VLOOKUP(L128,Customers!$A$2:$C$92,3,TRUE)</f>
        <v>Paula Wilson</v>
      </c>
      <c r="C128" t="str">
        <f t="shared" si="18"/>
        <v>Paula</v>
      </c>
      <c r="D128" s="8" t="str">
        <f t="shared" si="19"/>
        <v>Wilson</v>
      </c>
      <c r="E128" s="8" t="str">
        <f t="shared" si="20"/>
        <v>Wilson, Paula</v>
      </c>
      <c r="F128" s="8" t="str">
        <f t="shared" si="21"/>
        <v>Wilson, Paula</v>
      </c>
      <c r="G128" s="8" t="str">
        <f t="shared" si="22"/>
        <v>not an outlier</v>
      </c>
      <c r="H128" s="8" t="str">
        <f t="shared" si="23"/>
        <v>Not</v>
      </c>
      <c r="I128" s="8" t="str">
        <f t="shared" si="33"/>
        <v>no</v>
      </c>
      <c r="J128" s="10" t="str">
        <f t="shared" si="24"/>
        <v>no</v>
      </c>
      <c r="K128" s="10" t="str">
        <f t="shared" si="25"/>
        <v>no</v>
      </c>
      <c r="L128" t="s">
        <v>487</v>
      </c>
      <c r="M128">
        <v>10294</v>
      </c>
      <c r="N128">
        <v>60</v>
      </c>
      <c r="O128" t="s">
        <v>694</v>
      </c>
      <c r="P128" t="str">
        <f t="shared" si="26"/>
        <v>RATTC_10294_Camembert Pierrot</v>
      </c>
      <c r="Q128" t="str">
        <f t="shared" si="27"/>
        <v>10294</v>
      </c>
      <c r="R128" t="str">
        <f t="shared" si="28"/>
        <v>10294</v>
      </c>
      <c r="S128" t="str">
        <f t="shared" si="29"/>
        <v>Camembert Pierrot</v>
      </c>
      <c r="T128">
        <v>27.2</v>
      </c>
      <c r="U128">
        <v>21</v>
      </c>
      <c r="V128">
        <v>0</v>
      </c>
      <c r="W128">
        <f t="shared" si="30"/>
        <v>571.19999999999993</v>
      </c>
      <c r="X128" t="str">
        <f t="shared" si="31"/>
        <v>No</v>
      </c>
      <c r="Y128" s="2">
        <v>34607</v>
      </c>
      <c r="Z128" t="str">
        <f t="shared" si="17"/>
        <v/>
      </c>
      <c r="AA128" t="str">
        <f t="shared" si="32"/>
        <v/>
      </c>
      <c r="AB128" t="str" cm="1">
        <f t="array" ref="AB128">_xlfn.IFS(Y128&lt;DATE(1996,1,1),"",Y128&lt;DATE(1996,4,1),"Q1",Y128&lt;DATE(1996,7,1),"Q2",Y128&gt;=DATE(1996,7,1),"")</f>
        <v/>
      </c>
    </row>
    <row r="129" spans="1:28" ht="14.4" x14ac:dyDescent="0.55000000000000004">
      <c r="A129" t="str">
        <f>VLOOKUP(L129,Customers!$A$2:$B$92,2,FALSE)</f>
        <v>Rattlesnake Canyon Grocery</v>
      </c>
      <c r="B129" t="str">
        <f>VLOOKUP(L129,Customers!$A$2:$C$92,3,TRUE)</f>
        <v>Paula Wilson</v>
      </c>
      <c r="C129" t="str">
        <f t="shared" si="18"/>
        <v>Paula</v>
      </c>
      <c r="D129" s="8" t="str">
        <f t="shared" si="19"/>
        <v>Wilson</v>
      </c>
      <c r="E129" s="8" t="str">
        <f t="shared" si="20"/>
        <v>Wilson, Paula</v>
      </c>
      <c r="F129" s="8" t="str">
        <f t="shared" si="21"/>
        <v>Wilson, Paula</v>
      </c>
      <c r="G129" s="8" t="str">
        <f t="shared" si="22"/>
        <v>not an outlier</v>
      </c>
      <c r="H129" s="8" t="str">
        <f t="shared" si="23"/>
        <v>Not</v>
      </c>
      <c r="I129" s="8" t="str">
        <f t="shared" si="33"/>
        <v>no</v>
      </c>
      <c r="J129" s="10" t="str">
        <f t="shared" si="24"/>
        <v>no</v>
      </c>
      <c r="K129" s="10" t="str">
        <f t="shared" si="25"/>
        <v>no</v>
      </c>
      <c r="L129" t="s">
        <v>487</v>
      </c>
      <c r="M129">
        <v>10294</v>
      </c>
      <c r="N129">
        <v>75</v>
      </c>
      <c r="O129" t="s">
        <v>731</v>
      </c>
      <c r="P129" t="str">
        <f t="shared" si="26"/>
        <v>RATTC_10294_Rhönbräu Klosterbier</v>
      </c>
      <c r="Q129" t="str">
        <f t="shared" si="27"/>
        <v>10294</v>
      </c>
      <c r="R129" t="str">
        <f t="shared" si="28"/>
        <v>10294</v>
      </c>
      <c r="S129" t="str">
        <f t="shared" si="29"/>
        <v>Rhönbräu Klosterbier</v>
      </c>
      <c r="T129">
        <v>6.2</v>
      </c>
      <c r="U129">
        <v>6</v>
      </c>
      <c r="V129">
        <v>0</v>
      </c>
      <c r="W129">
        <f t="shared" si="30"/>
        <v>37.200000000000003</v>
      </c>
      <c r="X129" t="str">
        <f t="shared" si="31"/>
        <v>No</v>
      </c>
      <c r="Y129" s="2">
        <v>34607</v>
      </c>
      <c r="Z129" t="str">
        <f t="shared" ref="Z129:Z192" si="34">IF(Y129&gt;=DATE(1996,1,1), IF(Y129&lt;DATE(1996,4,1),"1st Q 1996",""),"")</f>
        <v/>
      </c>
      <c r="AA129" t="str">
        <f t="shared" si="32"/>
        <v/>
      </c>
      <c r="AB129" t="str" cm="1">
        <f t="array" ref="AB129">_xlfn.IFS(Y129&lt;DATE(1996,1,1),"",Y129&lt;DATE(1996,4,1),"Q1",Y129&lt;DATE(1996,7,1),"Q2",Y129&gt;=DATE(1996,7,1),"")</f>
        <v/>
      </c>
    </row>
    <row r="130" spans="1:28" ht="14.4" x14ac:dyDescent="0.55000000000000004">
      <c r="A130" t="str">
        <f>VLOOKUP(L130,Customers!$A$2:$B$92,2,FALSE)</f>
        <v>Vins et alcools Chevalier</v>
      </c>
      <c r="B130" t="str">
        <f>VLOOKUP(L130,Customers!$A$2:$C$92,3,TRUE)</f>
        <v>Paul Henriot</v>
      </c>
      <c r="C130" t="str">
        <f t="shared" si="18"/>
        <v>Paul</v>
      </c>
      <c r="D130" s="8" t="str">
        <f t="shared" si="19"/>
        <v>Henriot</v>
      </c>
      <c r="E130" s="8" t="str">
        <f t="shared" si="20"/>
        <v>Henriot, Paul</v>
      </c>
      <c r="F130" s="8" t="str">
        <f t="shared" si="21"/>
        <v>Henriot, Paul</v>
      </c>
      <c r="G130" s="8" t="str">
        <f t="shared" si="22"/>
        <v>not an outlier</v>
      </c>
      <c r="H130" s="8" t="str">
        <f t="shared" si="23"/>
        <v>Not</v>
      </c>
      <c r="I130" s="8" t="str">
        <f t="shared" si="33"/>
        <v>no</v>
      </c>
      <c r="J130" s="10" t="str">
        <f t="shared" si="24"/>
        <v>no</v>
      </c>
      <c r="K130" s="10" t="str">
        <f t="shared" si="25"/>
        <v>no</v>
      </c>
      <c r="L130" t="s">
        <v>626</v>
      </c>
      <c r="M130">
        <v>10295</v>
      </c>
      <c r="N130">
        <v>56</v>
      </c>
      <c r="O130" t="s">
        <v>716</v>
      </c>
      <c r="P130" t="str">
        <f t="shared" si="26"/>
        <v>VINET_10295_Gnocchi di nonna Alice</v>
      </c>
      <c r="Q130" t="str">
        <f t="shared" si="27"/>
        <v>10295</v>
      </c>
      <c r="R130" t="str">
        <f t="shared" si="28"/>
        <v>10295</v>
      </c>
      <c r="S130" t="str">
        <f t="shared" si="29"/>
        <v>Gnocchi di nonna Alice</v>
      </c>
      <c r="T130">
        <v>30.4</v>
      </c>
      <c r="U130">
        <v>4</v>
      </c>
      <c r="V130">
        <v>0</v>
      </c>
      <c r="W130">
        <f t="shared" si="30"/>
        <v>121.6</v>
      </c>
      <c r="X130" t="str">
        <f t="shared" si="31"/>
        <v>No</v>
      </c>
      <c r="Y130" s="2">
        <v>34610</v>
      </c>
      <c r="Z130" t="str">
        <f t="shared" si="34"/>
        <v/>
      </c>
      <c r="AA130" t="str">
        <f t="shared" si="32"/>
        <v/>
      </c>
      <c r="AB130" t="str" cm="1">
        <f t="array" ref="AB130">_xlfn.IFS(Y130&lt;DATE(1996,1,1),"",Y130&lt;DATE(1996,4,1),"Q1",Y130&lt;DATE(1996,7,1),"Q2",Y130&gt;=DATE(1996,7,1),"")</f>
        <v/>
      </c>
    </row>
    <row r="131" spans="1:28" ht="14.4" x14ac:dyDescent="0.55000000000000004">
      <c r="A131" t="str">
        <f>VLOOKUP(L131,Customers!$A$2:$B$92,2,FALSE)</f>
        <v>LILA-Supermercado</v>
      </c>
      <c r="B131" t="str">
        <f>VLOOKUP(L131,Customers!$A$2:$C$92,3,TRUE)</f>
        <v>Carlos González</v>
      </c>
      <c r="C131" t="str">
        <f t="shared" ref="C131:C194" si="35">LEFT(B131,FIND(" ",B131)-1)</f>
        <v>Carlos</v>
      </c>
      <c r="D131" s="8" t="str">
        <f t="shared" ref="D131:D194" si="36">RIGHT(B131,LEN(B131)-FIND(" ",B131))</f>
        <v>González</v>
      </c>
      <c r="E131" s="8" t="str">
        <f t="shared" ref="E131:E194" si="37">_xlfn.CONCAT(D131,", ",C131)</f>
        <v>González, Carlos</v>
      </c>
      <c r="F131" s="8" t="str">
        <f t="shared" ref="F131:F194" si="38">D131&amp;", "&amp;C131</f>
        <v>González, Carlos</v>
      </c>
      <c r="G131" s="8" t="str">
        <f t="shared" ref="G131:G194" si="39">IF(OR(W131&gt;$W$2166,W131&lt;$W$2167),"outlier","not an outlier")</f>
        <v>not an outlier</v>
      </c>
      <c r="H131" s="8" t="str">
        <f t="shared" ref="H131:H194" si="40">IF(OR(W131&gt;$W$2166,W131&lt;$W$2167),"outlier",IF(OR(W131&gt;$W$2168,W131&lt;$W$2169),"moderate","Not"))</f>
        <v>Not</v>
      </c>
      <c r="I131" s="8" t="str">
        <f t="shared" si="33"/>
        <v>no</v>
      </c>
      <c r="J131" s="10" t="str">
        <f t="shared" ref="J131:J194" si="41">IF(AND(W131&lt;=$W$2166,W131&gt;=$W$2167),"no","yes")</f>
        <v>no</v>
      </c>
      <c r="K131" s="10" t="str">
        <f t="shared" ref="K131:K194" si="42">IF(OR(W131&gt;$W$2166,W131&lt;$W$2167),"yes",IF(OR(W131&gt;$W$2168,W131&lt;$W$2169),"moderate","no"))</f>
        <v>no</v>
      </c>
      <c r="L131" t="s">
        <v>355</v>
      </c>
      <c r="M131">
        <v>10296</v>
      </c>
      <c r="N131">
        <v>11</v>
      </c>
      <c r="O131" t="s">
        <v>683</v>
      </c>
      <c r="P131" t="str">
        <f t="shared" ref="P131:P194" si="43">L131&amp;"_"&amp;M131&amp;"_"&amp;O131</f>
        <v>LILAS_10296_Queso Cabrales</v>
      </c>
      <c r="Q131" t="str">
        <f t="shared" ref="Q131:Q194" si="44">LEFT(RIGHT(P131,LEN(P131)-FIND("_",P131)), FIND("_",P131)-1)</f>
        <v>10296</v>
      </c>
      <c r="R131" t="str">
        <f t="shared" ref="R131:R194" si="45">MID(P131,FIND("_",P131)+1,FIND("_",P131,FIND("_",P131))-1)</f>
        <v>10296</v>
      </c>
      <c r="S131" t="str">
        <f t="shared" ref="S131:S194" si="46">MID(P131,FIND("_",P131,FIND("_",P131)+1)+1,LEN(P131))</f>
        <v>Queso Cabrales</v>
      </c>
      <c r="T131">
        <v>16.8</v>
      </c>
      <c r="U131">
        <v>12</v>
      </c>
      <c r="V131">
        <v>0</v>
      </c>
      <c r="W131">
        <f t="shared" ref="W131:W194" si="47">T131*U131*(1-V131)</f>
        <v>201.60000000000002</v>
      </c>
      <c r="X131" t="str">
        <f t="shared" ref="X131:X194" si="48">IF(YEAR(Y131)&gt;=1996,"yes","No")</f>
        <v>No</v>
      </c>
      <c r="Y131" s="2">
        <v>34611</v>
      </c>
      <c r="Z131" t="str">
        <f t="shared" si="34"/>
        <v/>
      </c>
      <c r="AA131" t="str">
        <f t="shared" ref="AA131:AA194" si="49">IF(Y131&lt;DATE(1996,1,1),"", IF(Y131&lt;DATE(1996,4,1),"1st Q 1996",IF(Y131&lt;DATE(1996,7,1),"2nd Q 1996","")))</f>
        <v/>
      </c>
      <c r="AB131" t="str" cm="1">
        <f t="array" ref="AB131">_xlfn.IFS(Y131&lt;DATE(1996,1,1),"",Y131&lt;DATE(1996,4,1),"Q1",Y131&lt;DATE(1996,7,1),"Q2",Y131&gt;=DATE(1996,7,1),"")</f>
        <v/>
      </c>
    </row>
    <row r="132" spans="1:28" ht="14.4" x14ac:dyDescent="0.55000000000000004">
      <c r="A132" t="str">
        <f>VLOOKUP(L132,Customers!$A$2:$B$92,2,FALSE)</f>
        <v>LILA-Supermercado</v>
      </c>
      <c r="B132" t="str">
        <f>VLOOKUP(L132,Customers!$A$2:$C$92,3,TRUE)</f>
        <v>Carlos González</v>
      </c>
      <c r="C132" t="str">
        <f t="shared" si="35"/>
        <v>Carlos</v>
      </c>
      <c r="D132" s="8" t="str">
        <f t="shared" si="36"/>
        <v>González</v>
      </c>
      <c r="E132" s="8" t="str">
        <f t="shared" si="37"/>
        <v>González, Carlos</v>
      </c>
      <c r="F132" s="8" t="str">
        <f t="shared" si="38"/>
        <v>González, Carlos</v>
      </c>
      <c r="G132" s="8" t="str">
        <f t="shared" si="39"/>
        <v>not an outlier</v>
      </c>
      <c r="H132" s="8" t="str">
        <f t="shared" si="40"/>
        <v>Not</v>
      </c>
      <c r="I132" s="8" t="str">
        <f t="shared" ref="I132:I195" si="50">IF(OR(W132&gt;$W$2166,W132&lt;$W$2167),"yes","no")</f>
        <v>no</v>
      </c>
      <c r="J132" s="10" t="str">
        <f t="shared" si="41"/>
        <v>no</v>
      </c>
      <c r="K132" s="10" t="str">
        <f t="shared" si="42"/>
        <v>no</v>
      </c>
      <c r="L132" t="s">
        <v>355</v>
      </c>
      <c r="M132">
        <v>10296</v>
      </c>
      <c r="N132">
        <v>16</v>
      </c>
      <c r="O132" t="s">
        <v>702</v>
      </c>
      <c r="P132" t="str">
        <f t="shared" si="43"/>
        <v>LILAS_10296_Pavlova</v>
      </c>
      <c r="Q132" t="str">
        <f t="shared" si="44"/>
        <v>10296</v>
      </c>
      <c r="R132" t="str">
        <f t="shared" si="45"/>
        <v>10296</v>
      </c>
      <c r="S132" t="str">
        <f t="shared" si="46"/>
        <v>Pavlova</v>
      </c>
      <c r="T132">
        <v>13.9</v>
      </c>
      <c r="U132">
        <v>30</v>
      </c>
      <c r="V132">
        <v>0</v>
      </c>
      <c r="W132">
        <f t="shared" si="47"/>
        <v>417</v>
      </c>
      <c r="X132" t="str">
        <f t="shared" si="48"/>
        <v>No</v>
      </c>
      <c r="Y132" s="2">
        <v>34611</v>
      </c>
      <c r="Z132" t="str">
        <f t="shared" si="34"/>
        <v/>
      </c>
      <c r="AA132" t="str">
        <f t="shared" si="49"/>
        <v/>
      </c>
      <c r="AB132" t="str" cm="1">
        <f t="array" ref="AB132">_xlfn.IFS(Y132&lt;DATE(1996,1,1),"",Y132&lt;DATE(1996,4,1),"Q1",Y132&lt;DATE(1996,7,1),"Q2",Y132&gt;=DATE(1996,7,1),"")</f>
        <v/>
      </c>
    </row>
    <row r="133" spans="1:28" ht="14.4" x14ac:dyDescent="0.55000000000000004">
      <c r="A133" t="str">
        <f>VLOOKUP(L133,Customers!$A$2:$B$92,2,FALSE)</f>
        <v>LILA-Supermercado</v>
      </c>
      <c r="B133" t="str">
        <f>VLOOKUP(L133,Customers!$A$2:$C$92,3,TRUE)</f>
        <v>Carlos González</v>
      </c>
      <c r="C133" t="str">
        <f t="shared" si="35"/>
        <v>Carlos</v>
      </c>
      <c r="D133" s="8" t="str">
        <f t="shared" si="36"/>
        <v>González</v>
      </c>
      <c r="E133" s="8" t="str">
        <f t="shared" si="37"/>
        <v>González, Carlos</v>
      </c>
      <c r="F133" s="8" t="str">
        <f t="shared" si="38"/>
        <v>González, Carlos</v>
      </c>
      <c r="G133" s="8" t="str">
        <f t="shared" si="39"/>
        <v>not an outlier</v>
      </c>
      <c r="H133" s="8" t="str">
        <f t="shared" si="40"/>
        <v>Not</v>
      </c>
      <c r="I133" s="8" t="str">
        <f t="shared" si="50"/>
        <v>no</v>
      </c>
      <c r="J133" s="10" t="str">
        <f t="shared" si="41"/>
        <v>no</v>
      </c>
      <c r="K133" s="10" t="str">
        <f t="shared" si="42"/>
        <v>no</v>
      </c>
      <c r="L133" t="s">
        <v>355</v>
      </c>
      <c r="M133">
        <v>10296</v>
      </c>
      <c r="N133">
        <v>69</v>
      </c>
      <c r="O133" t="s">
        <v>743</v>
      </c>
      <c r="P133" t="str">
        <f t="shared" si="43"/>
        <v>LILAS_10296_Gudbrandsdalsost</v>
      </c>
      <c r="Q133" t="str">
        <f t="shared" si="44"/>
        <v>10296</v>
      </c>
      <c r="R133" t="str">
        <f t="shared" si="45"/>
        <v>10296</v>
      </c>
      <c r="S133" t="str">
        <f t="shared" si="46"/>
        <v>Gudbrandsdalsost</v>
      </c>
      <c r="T133">
        <v>28.8</v>
      </c>
      <c r="U133">
        <v>15</v>
      </c>
      <c r="V133">
        <v>0</v>
      </c>
      <c r="W133">
        <f t="shared" si="47"/>
        <v>432</v>
      </c>
      <c r="X133" t="str">
        <f t="shared" si="48"/>
        <v>No</v>
      </c>
      <c r="Y133" s="2">
        <v>34611</v>
      </c>
      <c r="Z133" t="str">
        <f t="shared" si="34"/>
        <v/>
      </c>
      <c r="AA133" t="str">
        <f t="shared" si="49"/>
        <v/>
      </c>
      <c r="AB133" t="str" cm="1">
        <f t="array" ref="AB133">_xlfn.IFS(Y133&lt;DATE(1996,1,1),"",Y133&lt;DATE(1996,4,1),"Q1",Y133&lt;DATE(1996,7,1),"Q2",Y133&gt;=DATE(1996,7,1),"")</f>
        <v/>
      </c>
    </row>
    <row r="134" spans="1:28" ht="14.4" x14ac:dyDescent="0.55000000000000004">
      <c r="A134" t="str">
        <f>VLOOKUP(L134,Customers!$A$2:$B$92,2,FALSE)</f>
        <v>Blondel père et fils</v>
      </c>
      <c r="B134" t="str">
        <f>VLOOKUP(L134,Customers!$A$2:$C$92,3,TRUE)</f>
        <v>Frédérique Citeaux</v>
      </c>
      <c r="C134" t="str">
        <f t="shared" si="35"/>
        <v>Frédérique</v>
      </c>
      <c r="D134" s="8" t="str">
        <f t="shared" si="36"/>
        <v>Citeaux</v>
      </c>
      <c r="E134" s="8" t="str">
        <f t="shared" si="37"/>
        <v>Citeaux, Frédérique</v>
      </c>
      <c r="F134" s="8" t="str">
        <f t="shared" si="38"/>
        <v>Citeaux, Frédérique</v>
      </c>
      <c r="G134" s="8" t="str">
        <f t="shared" si="39"/>
        <v>not an outlier</v>
      </c>
      <c r="H134" s="8" t="str">
        <f t="shared" si="40"/>
        <v>Not</v>
      </c>
      <c r="I134" s="8" t="str">
        <f t="shared" si="50"/>
        <v>no</v>
      </c>
      <c r="J134" s="10" t="str">
        <f t="shared" si="41"/>
        <v>no</v>
      </c>
      <c r="K134" s="10" t="str">
        <f t="shared" si="42"/>
        <v>no</v>
      </c>
      <c r="L134" t="s">
        <v>60</v>
      </c>
      <c r="M134">
        <v>10297</v>
      </c>
      <c r="N134">
        <v>39</v>
      </c>
      <c r="O134" t="s">
        <v>696</v>
      </c>
      <c r="P134" t="str">
        <f t="shared" si="43"/>
        <v>BLONP_10297_Chartreuse verte</v>
      </c>
      <c r="Q134" t="str">
        <f t="shared" si="44"/>
        <v>10297</v>
      </c>
      <c r="R134" t="str">
        <f t="shared" si="45"/>
        <v>10297</v>
      </c>
      <c r="S134" t="str">
        <f t="shared" si="46"/>
        <v>Chartreuse verte</v>
      </c>
      <c r="T134">
        <v>14.4</v>
      </c>
      <c r="U134">
        <v>60</v>
      </c>
      <c r="V134">
        <v>0</v>
      </c>
      <c r="W134">
        <f t="shared" si="47"/>
        <v>864</v>
      </c>
      <c r="X134" t="str">
        <f t="shared" si="48"/>
        <v>No</v>
      </c>
      <c r="Y134" s="2">
        <v>34612</v>
      </c>
      <c r="Z134" t="str">
        <f t="shared" si="34"/>
        <v/>
      </c>
      <c r="AA134" t="str">
        <f t="shared" si="49"/>
        <v/>
      </c>
      <c r="AB134" t="str" cm="1">
        <f t="array" ref="AB134">_xlfn.IFS(Y134&lt;DATE(1996,1,1),"",Y134&lt;DATE(1996,4,1),"Q1",Y134&lt;DATE(1996,7,1),"Q2",Y134&gt;=DATE(1996,7,1),"")</f>
        <v/>
      </c>
    </row>
    <row r="135" spans="1:28" ht="14.4" x14ac:dyDescent="0.55000000000000004">
      <c r="A135" t="str">
        <f>VLOOKUP(L135,Customers!$A$2:$B$92,2,FALSE)</f>
        <v>Blondel père et fils</v>
      </c>
      <c r="B135" t="str">
        <f>VLOOKUP(L135,Customers!$A$2:$C$92,3,TRUE)</f>
        <v>Frédérique Citeaux</v>
      </c>
      <c r="C135" t="str">
        <f t="shared" si="35"/>
        <v>Frédérique</v>
      </c>
      <c r="D135" s="8" t="str">
        <f t="shared" si="36"/>
        <v>Citeaux</v>
      </c>
      <c r="E135" s="8" t="str">
        <f t="shared" si="37"/>
        <v>Citeaux, Frédérique</v>
      </c>
      <c r="F135" s="8" t="str">
        <f t="shared" si="38"/>
        <v>Citeaux, Frédérique</v>
      </c>
      <c r="G135" s="8" t="str">
        <f t="shared" si="39"/>
        <v>not an outlier</v>
      </c>
      <c r="H135" s="8" t="str">
        <f t="shared" si="40"/>
        <v>Not</v>
      </c>
      <c r="I135" s="8" t="str">
        <f t="shared" si="50"/>
        <v>no</v>
      </c>
      <c r="J135" s="10" t="str">
        <f t="shared" si="41"/>
        <v>no</v>
      </c>
      <c r="K135" s="10" t="str">
        <f t="shared" si="42"/>
        <v>no</v>
      </c>
      <c r="L135" t="s">
        <v>60</v>
      </c>
      <c r="M135">
        <v>10297</v>
      </c>
      <c r="N135">
        <v>72</v>
      </c>
      <c r="O135" t="s">
        <v>685</v>
      </c>
      <c r="P135" t="str">
        <f t="shared" si="43"/>
        <v>BLONP_10297_Mozzarella di Giovanni</v>
      </c>
      <c r="Q135" t="str">
        <f t="shared" si="44"/>
        <v>10297</v>
      </c>
      <c r="R135" t="str">
        <f t="shared" si="45"/>
        <v>10297</v>
      </c>
      <c r="S135" t="str">
        <f t="shared" si="46"/>
        <v>Mozzarella di Giovanni</v>
      </c>
      <c r="T135">
        <v>27.8</v>
      </c>
      <c r="U135">
        <v>20</v>
      </c>
      <c r="V135">
        <v>0</v>
      </c>
      <c r="W135">
        <f t="shared" si="47"/>
        <v>556</v>
      </c>
      <c r="X135" t="str">
        <f t="shared" si="48"/>
        <v>No</v>
      </c>
      <c r="Y135" s="2">
        <v>34612</v>
      </c>
      <c r="Z135" t="str">
        <f t="shared" si="34"/>
        <v/>
      </c>
      <c r="AA135" t="str">
        <f t="shared" si="49"/>
        <v/>
      </c>
      <c r="AB135" t="str" cm="1">
        <f t="array" ref="AB135">_xlfn.IFS(Y135&lt;DATE(1996,1,1),"",Y135&lt;DATE(1996,4,1),"Q1",Y135&lt;DATE(1996,7,1),"Q2",Y135&gt;=DATE(1996,7,1),"")</f>
        <v/>
      </c>
    </row>
    <row r="136" spans="1:28" ht="14.4" x14ac:dyDescent="0.55000000000000004">
      <c r="A136" t="str">
        <f>VLOOKUP(L136,Customers!$A$2:$B$92,2,FALSE)</f>
        <v>Hungry Owl All-Night Grocers</v>
      </c>
      <c r="B136" t="str">
        <f>VLOOKUP(L136,Customers!$A$2:$C$92,3,TRUE)</f>
        <v>Patricia McKenna</v>
      </c>
      <c r="C136" t="str">
        <f t="shared" si="35"/>
        <v>Patricia</v>
      </c>
      <c r="D136" s="8" t="str">
        <f t="shared" si="36"/>
        <v>McKenna</v>
      </c>
      <c r="E136" s="8" t="str">
        <f t="shared" si="37"/>
        <v>McKenna, Patricia</v>
      </c>
      <c r="F136" s="8" t="str">
        <f t="shared" si="38"/>
        <v>McKenna, Patricia</v>
      </c>
      <c r="G136" s="8" t="str">
        <f t="shared" si="39"/>
        <v>not an outlier</v>
      </c>
      <c r="H136" s="8" t="str">
        <f t="shared" si="40"/>
        <v>Not</v>
      </c>
      <c r="I136" s="8" t="str">
        <f t="shared" si="50"/>
        <v>no</v>
      </c>
      <c r="J136" s="10" t="str">
        <f t="shared" si="41"/>
        <v>no</v>
      </c>
      <c r="K136" s="10" t="str">
        <f t="shared" si="42"/>
        <v>no</v>
      </c>
      <c r="L136" t="s">
        <v>288</v>
      </c>
      <c r="M136">
        <v>10298</v>
      </c>
      <c r="N136">
        <v>2</v>
      </c>
      <c r="O136" t="s">
        <v>701</v>
      </c>
      <c r="P136" t="str">
        <f t="shared" si="43"/>
        <v>HUNGO_10298_Chang</v>
      </c>
      <c r="Q136" t="str">
        <f t="shared" si="44"/>
        <v>10298</v>
      </c>
      <c r="R136" t="str">
        <f t="shared" si="45"/>
        <v>10298</v>
      </c>
      <c r="S136" t="str">
        <f t="shared" si="46"/>
        <v>Chang</v>
      </c>
      <c r="T136">
        <v>15.2</v>
      </c>
      <c r="U136">
        <v>40</v>
      </c>
      <c r="V136">
        <v>0</v>
      </c>
      <c r="W136">
        <f t="shared" si="47"/>
        <v>608</v>
      </c>
      <c r="X136" t="str">
        <f t="shared" si="48"/>
        <v>No</v>
      </c>
      <c r="Y136" s="2">
        <v>34613</v>
      </c>
      <c r="Z136" t="str">
        <f t="shared" si="34"/>
        <v/>
      </c>
      <c r="AA136" t="str">
        <f t="shared" si="49"/>
        <v/>
      </c>
      <c r="AB136" t="str" cm="1">
        <f t="array" ref="AB136">_xlfn.IFS(Y136&lt;DATE(1996,1,1),"",Y136&lt;DATE(1996,4,1),"Q1",Y136&lt;DATE(1996,7,1),"Q2",Y136&gt;=DATE(1996,7,1),"")</f>
        <v/>
      </c>
    </row>
    <row r="137" spans="1:28" ht="14.4" x14ac:dyDescent="0.55000000000000004">
      <c r="A137" t="str">
        <f>VLOOKUP(L137,Customers!$A$2:$B$92,2,FALSE)</f>
        <v>Hungry Owl All-Night Grocers</v>
      </c>
      <c r="B137" t="str">
        <f>VLOOKUP(L137,Customers!$A$2:$C$92,3,TRUE)</f>
        <v>Patricia McKenna</v>
      </c>
      <c r="C137" t="str">
        <f t="shared" si="35"/>
        <v>Patricia</v>
      </c>
      <c r="D137" s="8" t="str">
        <f t="shared" si="36"/>
        <v>McKenna</v>
      </c>
      <c r="E137" s="8" t="str">
        <f t="shared" si="37"/>
        <v>McKenna, Patricia</v>
      </c>
      <c r="F137" s="8" t="str">
        <f t="shared" si="38"/>
        <v>McKenna, Patricia</v>
      </c>
      <c r="G137" s="8" t="str">
        <f t="shared" si="39"/>
        <v>not an outlier</v>
      </c>
      <c r="H137" s="8" t="str">
        <f t="shared" si="40"/>
        <v>Not</v>
      </c>
      <c r="I137" s="8" t="str">
        <f t="shared" si="50"/>
        <v>no</v>
      </c>
      <c r="J137" s="10" t="str">
        <f t="shared" si="41"/>
        <v>no</v>
      </c>
      <c r="K137" s="10" t="str">
        <f t="shared" si="42"/>
        <v>no</v>
      </c>
      <c r="L137" t="s">
        <v>288</v>
      </c>
      <c r="M137">
        <v>10298</v>
      </c>
      <c r="N137">
        <v>36</v>
      </c>
      <c r="O137" t="s">
        <v>703</v>
      </c>
      <c r="P137" t="str">
        <f t="shared" si="43"/>
        <v>HUNGO_10298_Inlagd Sill</v>
      </c>
      <c r="Q137" t="str">
        <f t="shared" si="44"/>
        <v>10298</v>
      </c>
      <c r="R137" t="str">
        <f t="shared" si="45"/>
        <v>10298</v>
      </c>
      <c r="S137" t="str">
        <f t="shared" si="46"/>
        <v>Inlagd Sill</v>
      </c>
      <c r="T137">
        <v>15.2</v>
      </c>
      <c r="U137">
        <v>40</v>
      </c>
      <c r="V137">
        <v>0.25</v>
      </c>
      <c r="W137">
        <f t="shared" si="47"/>
        <v>456</v>
      </c>
      <c r="X137" t="str">
        <f t="shared" si="48"/>
        <v>No</v>
      </c>
      <c r="Y137" s="2">
        <v>34613</v>
      </c>
      <c r="Z137" t="str">
        <f t="shared" si="34"/>
        <v/>
      </c>
      <c r="AA137" t="str">
        <f t="shared" si="49"/>
        <v/>
      </c>
      <c r="AB137" t="str" cm="1">
        <f t="array" ref="AB137">_xlfn.IFS(Y137&lt;DATE(1996,1,1),"",Y137&lt;DATE(1996,4,1),"Q1",Y137&lt;DATE(1996,7,1),"Q2",Y137&gt;=DATE(1996,7,1),"")</f>
        <v/>
      </c>
    </row>
    <row r="138" spans="1:28" ht="14.4" x14ac:dyDescent="0.55000000000000004">
      <c r="A138" t="str">
        <f>VLOOKUP(L138,Customers!$A$2:$B$92,2,FALSE)</f>
        <v>Hungry Owl All-Night Grocers</v>
      </c>
      <c r="B138" t="str">
        <f>VLOOKUP(L138,Customers!$A$2:$C$92,3,TRUE)</f>
        <v>Patricia McKenna</v>
      </c>
      <c r="C138" t="str">
        <f t="shared" si="35"/>
        <v>Patricia</v>
      </c>
      <c r="D138" s="8" t="str">
        <f t="shared" si="36"/>
        <v>McKenna</v>
      </c>
      <c r="E138" s="8" t="str">
        <f t="shared" si="37"/>
        <v>McKenna, Patricia</v>
      </c>
      <c r="F138" s="8" t="str">
        <f t="shared" si="38"/>
        <v>McKenna, Patricia</v>
      </c>
      <c r="G138" s="8" t="str">
        <f t="shared" si="39"/>
        <v>not an outlier</v>
      </c>
      <c r="H138" s="8" t="str">
        <f t="shared" si="40"/>
        <v>Not</v>
      </c>
      <c r="I138" s="8" t="str">
        <f t="shared" si="50"/>
        <v>no</v>
      </c>
      <c r="J138" s="10" t="str">
        <f t="shared" si="41"/>
        <v>no</v>
      </c>
      <c r="K138" s="10" t="str">
        <f t="shared" si="42"/>
        <v>no</v>
      </c>
      <c r="L138" t="s">
        <v>288</v>
      </c>
      <c r="M138">
        <v>10298</v>
      </c>
      <c r="N138">
        <v>59</v>
      </c>
      <c r="O138" t="s">
        <v>704</v>
      </c>
      <c r="P138" t="str">
        <f t="shared" si="43"/>
        <v>HUNGO_10298_Raclette Courdavault</v>
      </c>
      <c r="Q138" t="str">
        <f t="shared" si="44"/>
        <v>10298</v>
      </c>
      <c r="R138" t="str">
        <f t="shared" si="45"/>
        <v>10298</v>
      </c>
      <c r="S138" t="str">
        <f t="shared" si="46"/>
        <v>Raclette Courdavault</v>
      </c>
      <c r="T138">
        <v>44</v>
      </c>
      <c r="U138">
        <v>30</v>
      </c>
      <c r="V138">
        <v>0.25</v>
      </c>
      <c r="W138">
        <f t="shared" si="47"/>
        <v>990</v>
      </c>
      <c r="X138" t="str">
        <f t="shared" si="48"/>
        <v>No</v>
      </c>
      <c r="Y138" s="2">
        <v>34613</v>
      </c>
      <c r="Z138" t="str">
        <f t="shared" si="34"/>
        <v/>
      </c>
      <c r="AA138" t="str">
        <f t="shared" si="49"/>
        <v/>
      </c>
      <c r="AB138" t="str" cm="1">
        <f t="array" ref="AB138">_xlfn.IFS(Y138&lt;DATE(1996,1,1),"",Y138&lt;DATE(1996,4,1),"Q1",Y138&lt;DATE(1996,7,1),"Q2",Y138&gt;=DATE(1996,7,1),"")</f>
        <v/>
      </c>
    </row>
    <row r="139" spans="1:28" ht="14.4" x14ac:dyDescent="0.55000000000000004">
      <c r="A139" t="str">
        <f>VLOOKUP(L139,Customers!$A$2:$B$92,2,FALSE)</f>
        <v>Hungry Owl All-Night Grocers</v>
      </c>
      <c r="B139" t="str">
        <f>VLOOKUP(L139,Customers!$A$2:$C$92,3,TRUE)</f>
        <v>Patricia McKenna</v>
      </c>
      <c r="C139" t="str">
        <f t="shared" si="35"/>
        <v>Patricia</v>
      </c>
      <c r="D139" s="8" t="str">
        <f t="shared" si="36"/>
        <v>McKenna</v>
      </c>
      <c r="E139" s="8" t="str">
        <f t="shared" si="37"/>
        <v>McKenna, Patricia</v>
      </c>
      <c r="F139" s="8" t="str">
        <f t="shared" si="38"/>
        <v>McKenna, Patricia</v>
      </c>
      <c r="G139" s="8" t="str">
        <f t="shared" si="39"/>
        <v>not an outlier</v>
      </c>
      <c r="H139" s="8" t="str">
        <f t="shared" si="40"/>
        <v>Not</v>
      </c>
      <c r="I139" s="8" t="str">
        <f t="shared" si="50"/>
        <v>no</v>
      </c>
      <c r="J139" s="10" t="str">
        <f t="shared" si="41"/>
        <v>no</v>
      </c>
      <c r="K139" s="10" t="str">
        <f t="shared" si="42"/>
        <v>no</v>
      </c>
      <c r="L139" t="s">
        <v>288</v>
      </c>
      <c r="M139">
        <v>10298</v>
      </c>
      <c r="N139">
        <v>62</v>
      </c>
      <c r="O139" t="s">
        <v>712</v>
      </c>
      <c r="P139" t="str">
        <f t="shared" si="43"/>
        <v>HUNGO_10298_Tarte au sucre</v>
      </c>
      <c r="Q139" t="str">
        <f t="shared" si="44"/>
        <v>10298</v>
      </c>
      <c r="R139" t="str">
        <f t="shared" si="45"/>
        <v>10298</v>
      </c>
      <c r="S139" t="str">
        <f t="shared" si="46"/>
        <v>Tarte au sucre</v>
      </c>
      <c r="T139">
        <v>39.4</v>
      </c>
      <c r="U139">
        <v>15</v>
      </c>
      <c r="V139">
        <v>0</v>
      </c>
      <c r="W139">
        <f t="shared" si="47"/>
        <v>591</v>
      </c>
      <c r="X139" t="str">
        <f t="shared" si="48"/>
        <v>No</v>
      </c>
      <c r="Y139" s="2">
        <v>34613</v>
      </c>
      <c r="Z139" t="str">
        <f t="shared" si="34"/>
        <v/>
      </c>
      <c r="AA139" t="str">
        <f t="shared" si="49"/>
        <v/>
      </c>
      <c r="AB139" t="str" cm="1">
        <f t="array" ref="AB139">_xlfn.IFS(Y139&lt;DATE(1996,1,1),"",Y139&lt;DATE(1996,4,1),"Q1",Y139&lt;DATE(1996,7,1),"Q2",Y139&gt;=DATE(1996,7,1),"")</f>
        <v/>
      </c>
    </row>
    <row r="140" spans="1:28" ht="14.4" x14ac:dyDescent="0.55000000000000004">
      <c r="A140" t="str">
        <f>VLOOKUP(L140,Customers!$A$2:$B$92,2,FALSE)</f>
        <v>Ricardo Adocicados</v>
      </c>
      <c r="B140" t="str">
        <f>VLOOKUP(L140,Customers!$A$2:$C$92,3,TRUE)</f>
        <v>Janete Limeira</v>
      </c>
      <c r="C140" t="str">
        <f t="shared" si="35"/>
        <v>Janete</v>
      </c>
      <c r="D140" s="8" t="str">
        <f t="shared" si="36"/>
        <v>Limeira</v>
      </c>
      <c r="E140" s="8" t="str">
        <f t="shared" si="37"/>
        <v>Limeira, Janete</v>
      </c>
      <c r="F140" s="8" t="str">
        <f t="shared" si="38"/>
        <v>Limeira, Janete</v>
      </c>
      <c r="G140" s="8" t="str">
        <f t="shared" si="39"/>
        <v>not an outlier</v>
      </c>
      <c r="H140" s="8" t="str">
        <f t="shared" si="40"/>
        <v>Not</v>
      </c>
      <c r="I140" s="8" t="str">
        <f t="shared" si="50"/>
        <v>no</v>
      </c>
      <c r="J140" s="10" t="str">
        <f t="shared" si="41"/>
        <v>no</v>
      </c>
      <c r="K140" s="10" t="str">
        <f t="shared" si="42"/>
        <v>no</v>
      </c>
      <c r="L140" t="s">
        <v>503</v>
      </c>
      <c r="M140">
        <v>10299</v>
      </c>
      <c r="N140">
        <v>19</v>
      </c>
      <c r="O140" t="s">
        <v>732</v>
      </c>
      <c r="P140" t="str">
        <f t="shared" si="43"/>
        <v>RICAR_10299_Teatime Chocolate Biscuits</v>
      </c>
      <c r="Q140" t="str">
        <f t="shared" si="44"/>
        <v>10299</v>
      </c>
      <c r="R140" t="str">
        <f t="shared" si="45"/>
        <v>10299</v>
      </c>
      <c r="S140" t="str">
        <f t="shared" si="46"/>
        <v>Teatime Chocolate Biscuits</v>
      </c>
      <c r="T140">
        <v>7.3</v>
      </c>
      <c r="U140">
        <v>15</v>
      </c>
      <c r="V140">
        <v>0</v>
      </c>
      <c r="W140">
        <f t="shared" si="47"/>
        <v>109.5</v>
      </c>
      <c r="X140" t="str">
        <f t="shared" si="48"/>
        <v>No</v>
      </c>
      <c r="Y140" s="2">
        <v>34614</v>
      </c>
      <c r="Z140" t="str">
        <f t="shared" si="34"/>
        <v/>
      </c>
      <c r="AA140" t="str">
        <f t="shared" si="49"/>
        <v/>
      </c>
      <c r="AB140" t="str" cm="1">
        <f t="array" ref="AB140">_xlfn.IFS(Y140&lt;DATE(1996,1,1),"",Y140&lt;DATE(1996,4,1),"Q1",Y140&lt;DATE(1996,7,1),"Q2",Y140&gt;=DATE(1996,7,1),"")</f>
        <v/>
      </c>
    </row>
    <row r="141" spans="1:28" ht="14.4" x14ac:dyDescent="0.55000000000000004">
      <c r="A141" t="str">
        <f>VLOOKUP(L141,Customers!$A$2:$B$92,2,FALSE)</f>
        <v>Ricardo Adocicados</v>
      </c>
      <c r="B141" t="str">
        <f>VLOOKUP(L141,Customers!$A$2:$C$92,3,TRUE)</f>
        <v>Janete Limeira</v>
      </c>
      <c r="C141" t="str">
        <f t="shared" si="35"/>
        <v>Janete</v>
      </c>
      <c r="D141" s="8" t="str">
        <f t="shared" si="36"/>
        <v>Limeira</v>
      </c>
      <c r="E141" s="8" t="str">
        <f t="shared" si="37"/>
        <v>Limeira, Janete</v>
      </c>
      <c r="F141" s="8" t="str">
        <f t="shared" si="38"/>
        <v>Limeira, Janete</v>
      </c>
      <c r="G141" s="8" t="str">
        <f t="shared" si="39"/>
        <v>not an outlier</v>
      </c>
      <c r="H141" s="8" t="str">
        <f t="shared" si="40"/>
        <v>Not</v>
      </c>
      <c r="I141" s="8" t="str">
        <f t="shared" si="50"/>
        <v>no</v>
      </c>
      <c r="J141" s="10" t="str">
        <f t="shared" si="41"/>
        <v>no</v>
      </c>
      <c r="K141" s="10" t="str">
        <f t="shared" si="42"/>
        <v>no</v>
      </c>
      <c r="L141" t="s">
        <v>503</v>
      </c>
      <c r="M141">
        <v>10299</v>
      </c>
      <c r="N141">
        <v>70</v>
      </c>
      <c r="O141" t="s">
        <v>713</v>
      </c>
      <c r="P141" t="str">
        <f t="shared" si="43"/>
        <v>RICAR_10299_Outback Lager</v>
      </c>
      <c r="Q141" t="str">
        <f t="shared" si="44"/>
        <v>10299</v>
      </c>
      <c r="R141" t="str">
        <f t="shared" si="45"/>
        <v>10299</v>
      </c>
      <c r="S141" t="str">
        <f t="shared" si="46"/>
        <v>Outback Lager</v>
      </c>
      <c r="T141">
        <v>12</v>
      </c>
      <c r="U141">
        <v>20</v>
      </c>
      <c r="V141">
        <v>0</v>
      </c>
      <c r="W141">
        <f t="shared" si="47"/>
        <v>240</v>
      </c>
      <c r="X141" t="str">
        <f t="shared" si="48"/>
        <v>No</v>
      </c>
      <c r="Y141" s="2">
        <v>34614</v>
      </c>
      <c r="Z141" t="str">
        <f t="shared" si="34"/>
        <v/>
      </c>
      <c r="AA141" t="str">
        <f t="shared" si="49"/>
        <v/>
      </c>
      <c r="AB141" t="str" cm="1">
        <f t="array" ref="AB141">_xlfn.IFS(Y141&lt;DATE(1996,1,1),"",Y141&lt;DATE(1996,4,1),"Q1",Y141&lt;DATE(1996,7,1),"Q2",Y141&gt;=DATE(1996,7,1),"")</f>
        <v/>
      </c>
    </row>
    <row r="142" spans="1:28" ht="14.4" x14ac:dyDescent="0.55000000000000004">
      <c r="A142" t="str">
        <f>VLOOKUP(L142,Customers!$A$2:$B$92,2,FALSE)</f>
        <v>Magazzini Alimentari Riuniti</v>
      </c>
      <c r="B142" t="str">
        <f>VLOOKUP(L142,Customers!$A$2:$C$92,3,TRUE)</f>
        <v>Giovanni Rovelli</v>
      </c>
      <c r="C142" t="str">
        <f t="shared" si="35"/>
        <v>Giovanni</v>
      </c>
      <c r="D142" s="8" t="str">
        <f t="shared" si="36"/>
        <v>Rovelli</v>
      </c>
      <c r="E142" s="8" t="str">
        <f t="shared" si="37"/>
        <v>Rovelli, Giovanni</v>
      </c>
      <c r="F142" s="8" t="str">
        <f t="shared" si="38"/>
        <v>Rovelli, Giovanni</v>
      </c>
      <c r="G142" s="8" t="str">
        <f t="shared" si="39"/>
        <v>not an outlier</v>
      </c>
      <c r="H142" s="8" t="str">
        <f t="shared" si="40"/>
        <v>Not</v>
      </c>
      <c r="I142" s="8" t="str">
        <f t="shared" si="50"/>
        <v>no</v>
      </c>
      <c r="J142" s="10" t="str">
        <f t="shared" si="41"/>
        <v>no</v>
      </c>
      <c r="K142" s="10" t="str">
        <f t="shared" si="42"/>
        <v>no</v>
      </c>
      <c r="L142" t="s">
        <v>378</v>
      </c>
      <c r="M142">
        <v>10300</v>
      </c>
      <c r="N142">
        <v>66</v>
      </c>
      <c r="O142" t="s">
        <v>744</v>
      </c>
      <c r="P142" t="str">
        <f t="shared" si="43"/>
        <v>MAGAA_10300_Louisiana Hot Spiced Okra</v>
      </c>
      <c r="Q142" t="str">
        <f t="shared" si="44"/>
        <v>10300</v>
      </c>
      <c r="R142" t="str">
        <f t="shared" si="45"/>
        <v>10300</v>
      </c>
      <c r="S142" t="str">
        <f t="shared" si="46"/>
        <v>Louisiana Hot Spiced Okra</v>
      </c>
      <c r="T142">
        <v>13.6</v>
      </c>
      <c r="U142">
        <v>30</v>
      </c>
      <c r="V142">
        <v>0</v>
      </c>
      <c r="W142">
        <f t="shared" si="47"/>
        <v>408</v>
      </c>
      <c r="X142" t="str">
        <f t="shared" si="48"/>
        <v>No</v>
      </c>
      <c r="Y142" s="2">
        <v>34617</v>
      </c>
      <c r="Z142" t="str">
        <f t="shared" si="34"/>
        <v/>
      </c>
      <c r="AA142" t="str">
        <f t="shared" si="49"/>
        <v/>
      </c>
      <c r="AB142" t="str" cm="1">
        <f t="array" ref="AB142">_xlfn.IFS(Y142&lt;DATE(1996,1,1),"",Y142&lt;DATE(1996,4,1),"Q1",Y142&lt;DATE(1996,7,1),"Q2",Y142&gt;=DATE(1996,7,1),"")</f>
        <v/>
      </c>
    </row>
    <row r="143" spans="1:28" ht="14.4" x14ac:dyDescent="0.55000000000000004">
      <c r="A143" t="str">
        <f>VLOOKUP(L143,Customers!$A$2:$B$92,2,FALSE)</f>
        <v>Magazzini Alimentari Riuniti</v>
      </c>
      <c r="B143" t="str">
        <f>VLOOKUP(L143,Customers!$A$2:$C$92,3,TRUE)</f>
        <v>Giovanni Rovelli</v>
      </c>
      <c r="C143" t="str">
        <f t="shared" si="35"/>
        <v>Giovanni</v>
      </c>
      <c r="D143" s="8" t="str">
        <f t="shared" si="36"/>
        <v>Rovelli</v>
      </c>
      <c r="E143" s="8" t="str">
        <f t="shared" si="37"/>
        <v>Rovelli, Giovanni</v>
      </c>
      <c r="F143" s="8" t="str">
        <f t="shared" si="38"/>
        <v>Rovelli, Giovanni</v>
      </c>
      <c r="G143" s="8" t="str">
        <f t="shared" si="39"/>
        <v>not an outlier</v>
      </c>
      <c r="H143" s="8" t="str">
        <f t="shared" si="40"/>
        <v>Not</v>
      </c>
      <c r="I143" s="8" t="str">
        <f t="shared" si="50"/>
        <v>no</v>
      </c>
      <c r="J143" s="10" t="str">
        <f t="shared" si="41"/>
        <v>no</v>
      </c>
      <c r="K143" s="10" t="str">
        <f t="shared" si="42"/>
        <v>no</v>
      </c>
      <c r="L143" t="s">
        <v>378</v>
      </c>
      <c r="M143">
        <v>10300</v>
      </c>
      <c r="N143">
        <v>68</v>
      </c>
      <c r="O143" t="s">
        <v>739</v>
      </c>
      <c r="P143" t="str">
        <f t="shared" si="43"/>
        <v>MAGAA_10300_Scottish Longbreads</v>
      </c>
      <c r="Q143" t="str">
        <f t="shared" si="44"/>
        <v>10300</v>
      </c>
      <c r="R143" t="str">
        <f t="shared" si="45"/>
        <v>10300</v>
      </c>
      <c r="S143" t="str">
        <f t="shared" si="46"/>
        <v>Scottish Longbreads</v>
      </c>
      <c r="T143">
        <v>10</v>
      </c>
      <c r="U143">
        <v>20</v>
      </c>
      <c r="V143">
        <v>0</v>
      </c>
      <c r="W143">
        <f t="shared" si="47"/>
        <v>200</v>
      </c>
      <c r="X143" t="str">
        <f t="shared" si="48"/>
        <v>No</v>
      </c>
      <c r="Y143" s="2">
        <v>34617</v>
      </c>
      <c r="Z143" t="str">
        <f t="shared" si="34"/>
        <v/>
      </c>
      <c r="AA143" t="str">
        <f t="shared" si="49"/>
        <v/>
      </c>
      <c r="AB143" t="str" cm="1">
        <f t="array" ref="AB143">_xlfn.IFS(Y143&lt;DATE(1996,1,1),"",Y143&lt;DATE(1996,4,1),"Q1",Y143&lt;DATE(1996,7,1),"Q2",Y143&gt;=DATE(1996,7,1),"")</f>
        <v/>
      </c>
    </row>
    <row r="144" spans="1:28" ht="14.4" x14ac:dyDescent="0.55000000000000004">
      <c r="A144" t="str">
        <f>VLOOKUP(L144,Customers!$A$2:$B$92,2,FALSE)</f>
        <v>Die Wandernde Kuh</v>
      </c>
      <c r="B144" t="str">
        <f>VLOOKUP(L144,Customers!$A$2:$C$92,3,TRUE)</f>
        <v>Rita Müller</v>
      </c>
      <c r="C144" t="str">
        <f t="shared" si="35"/>
        <v>Rita</v>
      </c>
      <c r="D144" s="8" t="str">
        <f t="shared" si="36"/>
        <v>Müller</v>
      </c>
      <c r="E144" s="8" t="str">
        <f t="shared" si="37"/>
        <v>Müller, Rita</v>
      </c>
      <c r="F144" s="8" t="str">
        <f t="shared" si="38"/>
        <v>Müller, Rita</v>
      </c>
      <c r="G144" s="8" t="str">
        <f t="shared" si="39"/>
        <v>not an outlier</v>
      </c>
      <c r="H144" s="8" t="str">
        <f t="shared" si="40"/>
        <v>Not</v>
      </c>
      <c r="I144" s="8" t="str">
        <f t="shared" si="50"/>
        <v>no</v>
      </c>
      <c r="J144" s="10" t="str">
        <f t="shared" si="41"/>
        <v>no</v>
      </c>
      <c r="K144" s="10" t="str">
        <f t="shared" si="42"/>
        <v>no</v>
      </c>
      <c r="L144" t="s">
        <v>633</v>
      </c>
      <c r="M144">
        <v>10301</v>
      </c>
      <c r="N144">
        <v>40</v>
      </c>
      <c r="O144" t="s">
        <v>720</v>
      </c>
      <c r="P144" t="str">
        <f t="shared" si="43"/>
        <v>WANDK_10301_Boston Crab Meat</v>
      </c>
      <c r="Q144" t="str">
        <f t="shared" si="44"/>
        <v>10301</v>
      </c>
      <c r="R144" t="str">
        <f t="shared" si="45"/>
        <v>10301</v>
      </c>
      <c r="S144" t="str">
        <f t="shared" si="46"/>
        <v>Boston Crab Meat</v>
      </c>
      <c r="T144">
        <v>14.7</v>
      </c>
      <c r="U144">
        <v>10</v>
      </c>
      <c r="V144">
        <v>0</v>
      </c>
      <c r="W144">
        <f t="shared" si="47"/>
        <v>147</v>
      </c>
      <c r="X144" t="str">
        <f t="shared" si="48"/>
        <v>No</v>
      </c>
      <c r="Y144" s="2">
        <v>34617</v>
      </c>
      <c r="Z144" t="str">
        <f t="shared" si="34"/>
        <v/>
      </c>
      <c r="AA144" t="str">
        <f t="shared" si="49"/>
        <v/>
      </c>
      <c r="AB144" t="str" cm="1">
        <f t="array" ref="AB144">_xlfn.IFS(Y144&lt;DATE(1996,1,1),"",Y144&lt;DATE(1996,4,1),"Q1",Y144&lt;DATE(1996,7,1),"Q2",Y144&gt;=DATE(1996,7,1),"")</f>
        <v/>
      </c>
    </row>
    <row r="145" spans="1:28" ht="14.4" x14ac:dyDescent="0.55000000000000004">
      <c r="A145" t="str">
        <f>VLOOKUP(L145,Customers!$A$2:$B$92,2,FALSE)</f>
        <v>Die Wandernde Kuh</v>
      </c>
      <c r="B145" t="str">
        <f>VLOOKUP(L145,Customers!$A$2:$C$92,3,TRUE)</f>
        <v>Rita Müller</v>
      </c>
      <c r="C145" t="str">
        <f t="shared" si="35"/>
        <v>Rita</v>
      </c>
      <c r="D145" s="8" t="str">
        <f t="shared" si="36"/>
        <v>Müller</v>
      </c>
      <c r="E145" s="8" t="str">
        <f t="shared" si="37"/>
        <v>Müller, Rita</v>
      </c>
      <c r="F145" s="8" t="str">
        <f t="shared" si="38"/>
        <v>Müller, Rita</v>
      </c>
      <c r="G145" s="8" t="str">
        <f t="shared" si="39"/>
        <v>not an outlier</v>
      </c>
      <c r="H145" s="8" t="str">
        <f t="shared" si="40"/>
        <v>Not</v>
      </c>
      <c r="I145" s="8" t="str">
        <f t="shared" si="50"/>
        <v>no</v>
      </c>
      <c r="J145" s="10" t="str">
        <f t="shared" si="41"/>
        <v>no</v>
      </c>
      <c r="K145" s="10" t="str">
        <f t="shared" si="42"/>
        <v>no</v>
      </c>
      <c r="L145" t="s">
        <v>633</v>
      </c>
      <c r="M145">
        <v>10301</v>
      </c>
      <c r="N145">
        <v>56</v>
      </c>
      <c r="O145" t="s">
        <v>716</v>
      </c>
      <c r="P145" t="str">
        <f t="shared" si="43"/>
        <v>WANDK_10301_Gnocchi di nonna Alice</v>
      </c>
      <c r="Q145" t="str">
        <f t="shared" si="44"/>
        <v>10301</v>
      </c>
      <c r="R145" t="str">
        <f t="shared" si="45"/>
        <v>10301</v>
      </c>
      <c r="S145" t="str">
        <f t="shared" si="46"/>
        <v>Gnocchi di nonna Alice</v>
      </c>
      <c r="T145">
        <v>30.4</v>
      </c>
      <c r="U145">
        <v>20</v>
      </c>
      <c r="V145">
        <v>0</v>
      </c>
      <c r="W145">
        <f t="shared" si="47"/>
        <v>608</v>
      </c>
      <c r="X145" t="str">
        <f t="shared" si="48"/>
        <v>No</v>
      </c>
      <c r="Y145" s="2">
        <v>34617</v>
      </c>
      <c r="Z145" t="str">
        <f t="shared" si="34"/>
        <v/>
      </c>
      <c r="AA145" t="str">
        <f t="shared" si="49"/>
        <v/>
      </c>
      <c r="AB145" t="str" cm="1">
        <f t="array" ref="AB145">_xlfn.IFS(Y145&lt;DATE(1996,1,1),"",Y145&lt;DATE(1996,4,1),"Q1",Y145&lt;DATE(1996,7,1),"Q2",Y145&gt;=DATE(1996,7,1),"")</f>
        <v/>
      </c>
    </row>
    <row r="146" spans="1:28" ht="14.4" x14ac:dyDescent="0.55000000000000004">
      <c r="A146" t="str">
        <f>VLOOKUP(L146,Customers!$A$2:$B$92,2,FALSE)</f>
        <v>Suprêmes délices</v>
      </c>
      <c r="B146" t="str">
        <f>VLOOKUP(L146,Customers!$A$2:$C$92,3,TRUE)</f>
        <v>Pascale Cartrain</v>
      </c>
      <c r="C146" t="str">
        <f t="shared" si="35"/>
        <v>Pascale</v>
      </c>
      <c r="D146" s="8" t="str">
        <f t="shared" si="36"/>
        <v>Cartrain</v>
      </c>
      <c r="E146" s="8" t="str">
        <f t="shared" si="37"/>
        <v>Cartrain, Pascale</v>
      </c>
      <c r="F146" s="8" t="str">
        <f t="shared" si="38"/>
        <v>Cartrain, Pascale</v>
      </c>
      <c r="G146" s="8" t="str">
        <f t="shared" si="39"/>
        <v>not an outlier</v>
      </c>
      <c r="H146" s="8" t="str">
        <f t="shared" si="40"/>
        <v>Not</v>
      </c>
      <c r="I146" s="8" t="str">
        <f t="shared" si="50"/>
        <v>no</v>
      </c>
      <c r="J146" s="10" t="str">
        <f t="shared" si="41"/>
        <v>no</v>
      </c>
      <c r="K146" s="10" t="str">
        <f t="shared" si="42"/>
        <v>no</v>
      </c>
      <c r="L146" t="s">
        <v>565</v>
      </c>
      <c r="M146">
        <v>10302</v>
      </c>
      <c r="N146">
        <v>17</v>
      </c>
      <c r="O146" t="s">
        <v>718</v>
      </c>
      <c r="P146" t="str">
        <f t="shared" si="43"/>
        <v>SUPRD_10302_Alice Mutton</v>
      </c>
      <c r="Q146" t="str">
        <f t="shared" si="44"/>
        <v>10302</v>
      </c>
      <c r="R146" t="str">
        <f t="shared" si="45"/>
        <v>10302</v>
      </c>
      <c r="S146" t="str">
        <f t="shared" si="46"/>
        <v>Alice Mutton</v>
      </c>
      <c r="T146">
        <v>31.2</v>
      </c>
      <c r="U146">
        <v>40</v>
      </c>
      <c r="V146">
        <v>0</v>
      </c>
      <c r="W146">
        <f t="shared" si="47"/>
        <v>1248</v>
      </c>
      <c r="X146" t="str">
        <f t="shared" si="48"/>
        <v>No</v>
      </c>
      <c r="Y146" s="2">
        <v>34618</v>
      </c>
      <c r="Z146" t="str">
        <f t="shared" si="34"/>
        <v/>
      </c>
      <c r="AA146" t="str">
        <f t="shared" si="49"/>
        <v/>
      </c>
      <c r="AB146" t="str" cm="1">
        <f t="array" ref="AB146">_xlfn.IFS(Y146&lt;DATE(1996,1,1),"",Y146&lt;DATE(1996,4,1),"Q1",Y146&lt;DATE(1996,7,1),"Q2",Y146&gt;=DATE(1996,7,1),"")</f>
        <v/>
      </c>
    </row>
    <row r="147" spans="1:28" ht="14.4" x14ac:dyDescent="0.55000000000000004">
      <c r="A147" t="str">
        <f>VLOOKUP(L147,Customers!$A$2:$B$92,2,FALSE)</f>
        <v>Suprêmes délices</v>
      </c>
      <c r="B147" t="str">
        <f>VLOOKUP(L147,Customers!$A$2:$C$92,3,TRUE)</f>
        <v>Pascale Cartrain</v>
      </c>
      <c r="C147" t="str">
        <f t="shared" si="35"/>
        <v>Pascale</v>
      </c>
      <c r="D147" s="8" t="str">
        <f t="shared" si="36"/>
        <v>Cartrain</v>
      </c>
      <c r="E147" s="8" t="str">
        <f t="shared" si="37"/>
        <v>Cartrain, Pascale</v>
      </c>
      <c r="F147" s="8" t="str">
        <f t="shared" si="38"/>
        <v>Cartrain, Pascale</v>
      </c>
      <c r="G147" s="8" t="str">
        <f t="shared" si="39"/>
        <v>not an outlier</v>
      </c>
      <c r="H147" s="8" t="str">
        <f t="shared" si="40"/>
        <v>Not</v>
      </c>
      <c r="I147" s="8" t="str">
        <f t="shared" si="50"/>
        <v>no</v>
      </c>
      <c r="J147" s="10" t="str">
        <f t="shared" si="41"/>
        <v>no</v>
      </c>
      <c r="K147" s="10" t="str">
        <f t="shared" si="42"/>
        <v>no</v>
      </c>
      <c r="L147" t="s">
        <v>565</v>
      </c>
      <c r="M147">
        <v>10302</v>
      </c>
      <c r="N147">
        <v>28</v>
      </c>
      <c r="O147" t="s">
        <v>727</v>
      </c>
      <c r="P147" t="str">
        <f t="shared" si="43"/>
        <v>SUPRD_10302_Rössle Sauerkraut</v>
      </c>
      <c r="Q147" t="str">
        <f t="shared" si="44"/>
        <v>10302</v>
      </c>
      <c r="R147" t="str">
        <f t="shared" si="45"/>
        <v>10302</v>
      </c>
      <c r="S147" t="str">
        <f t="shared" si="46"/>
        <v>Rössle Sauerkraut</v>
      </c>
      <c r="T147">
        <v>36.4</v>
      </c>
      <c r="U147">
        <v>28</v>
      </c>
      <c r="V147">
        <v>0</v>
      </c>
      <c r="W147">
        <f t="shared" si="47"/>
        <v>1019.1999999999999</v>
      </c>
      <c r="X147" t="str">
        <f t="shared" si="48"/>
        <v>No</v>
      </c>
      <c r="Y147" s="2">
        <v>34618</v>
      </c>
      <c r="Z147" t="str">
        <f t="shared" si="34"/>
        <v/>
      </c>
      <c r="AA147" t="str">
        <f t="shared" si="49"/>
        <v/>
      </c>
      <c r="AB147" t="str" cm="1">
        <f t="array" ref="AB147">_xlfn.IFS(Y147&lt;DATE(1996,1,1),"",Y147&lt;DATE(1996,4,1),"Q1",Y147&lt;DATE(1996,7,1),"Q2",Y147&gt;=DATE(1996,7,1),"")</f>
        <v/>
      </c>
    </row>
    <row r="148" spans="1:28" ht="14.4" x14ac:dyDescent="0.55000000000000004">
      <c r="A148" t="str">
        <f>VLOOKUP(L148,Customers!$A$2:$B$92,2,FALSE)</f>
        <v>Suprêmes délices</v>
      </c>
      <c r="B148" t="str">
        <f>VLOOKUP(L148,Customers!$A$2:$C$92,3,TRUE)</f>
        <v>Pascale Cartrain</v>
      </c>
      <c r="C148" t="str">
        <f t="shared" si="35"/>
        <v>Pascale</v>
      </c>
      <c r="D148" s="8" t="str">
        <f t="shared" si="36"/>
        <v>Cartrain</v>
      </c>
      <c r="E148" s="8" t="str">
        <f t="shared" si="37"/>
        <v>Cartrain, Pascale</v>
      </c>
      <c r="F148" s="8" t="str">
        <f t="shared" si="38"/>
        <v>Cartrain, Pascale</v>
      </c>
      <c r="G148" s="8" t="str">
        <f t="shared" si="39"/>
        <v>not an outlier</v>
      </c>
      <c r="H148" s="8" t="str">
        <f t="shared" si="40"/>
        <v>Not</v>
      </c>
      <c r="I148" s="8" t="str">
        <f t="shared" si="50"/>
        <v>no</v>
      </c>
      <c r="J148" s="10" t="str">
        <f t="shared" si="41"/>
        <v>no</v>
      </c>
      <c r="K148" s="10" t="str">
        <f t="shared" si="42"/>
        <v>no</v>
      </c>
      <c r="L148" t="s">
        <v>565</v>
      </c>
      <c r="M148">
        <v>10302</v>
      </c>
      <c r="N148">
        <v>43</v>
      </c>
      <c r="O148" t="s">
        <v>723</v>
      </c>
      <c r="P148" t="str">
        <f t="shared" si="43"/>
        <v>SUPRD_10302_Ipoh Coffee</v>
      </c>
      <c r="Q148" t="str">
        <f t="shared" si="44"/>
        <v>10302</v>
      </c>
      <c r="R148" t="str">
        <f t="shared" si="45"/>
        <v>10302</v>
      </c>
      <c r="S148" t="str">
        <f t="shared" si="46"/>
        <v>Ipoh Coffee</v>
      </c>
      <c r="T148">
        <v>36.799999999999997</v>
      </c>
      <c r="U148">
        <v>12</v>
      </c>
      <c r="V148">
        <v>0</v>
      </c>
      <c r="W148">
        <f t="shared" si="47"/>
        <v>441.59999999999997</v>
      </c>
      <c r="X148" t="str">
        <f t="shared" si="48"/>
        <v>No</v>
      </c>
      <c r="Y148" s="2">
        <v>34618</v>
      </c>
      <c r="Z148" t="str">
        <f t="shared" si="34"/>
        <v/>
      </c>
      <c r="AA148" t="str">
        <f t="shared" si="49"/>
        <v/>
      </c>
      <c r="AB148" t="str" cm="1">
        <f t="array" ref="AB148">_xlfn.IFS(Y148&lt;DATE(1996,1,1),"",Y148&lt;DATE(1996,4,1),"Q1",Y148&lt;DATE(1996,7,1),"Q2",Y148&gt;=DATE(1996,7,1),"")</f>
        <v/>
      </c>
    </row>
    <row r="149" spans="1:28" ht="14.4" x14ac:dyDescent="0.55000000000000004">
      <c r="A149" t="str">
        <f>VLOOKUP(L149,Customers!$A$2:$B$92,2,FALSE)</f>
        <v>Godos Cocina Típica</v>
      </c>
      <c r="B149" t="str">
        <f>VLOOKUP(L149,Customers!$A$2:$C$92,3,TRUE)</f>
        <v>José Pedro Freyre</v>
      </c>
      <c r="C149" t="str">
        <f t="shared" si="35"/>
        <v>José</v>
      </c>
      <c r="D149" s="8" t="str">
        <f t="shared" si="36"/>
        <v>Pedro Freyre</v>
      </c>
      <c r="E149" s="8" t="str">
        <f t="shared" si="37"/>
        <v>Pedro Freyre, José</v>
      </c>
      <c r="F149" s="8" t="str">
        <f t="shared" si="38"/>
        <v>Pedro Freyre, José</v>
      </c>
      <c r="G149" s="8" t="str">
        <f t="shared" si="39"/>
        <v>not an outlier</v>
      </c>
      <c r="H149" s="8" t="str">
        <f t="shared" si="40"/>
        <v>Not</v>
      </c>
      <c r="I149" s="8" t="str">
        <f t="shared" si="50"/>
        <v>no</v>
      </c>
      <c r="J149" s="10" t="str">
        <f t="shared" si="41"/>
        <v>no</v>
      </c>
      <c r="K149" s="10" t="str">
        <f t="shared" si="42"/>
        <v>no</v>
      </c>
      <c r="L149" t="s">
        <v>234</v>
      </c>
      <c r="M149">
        <v>10303</v>
      </c>
      <c r="N149">
        <v>40</v>
      </c>
      <c r="O149" t="s">
        <v>720</v>
      </c>
      <c r="P149" t="str">
        <f t="shared" si="43"/>
        <v>GODOS_10303_Boston Crab Meat</v>
      </c>
      <c r="Q149" t="str">
        <f t="shared" si="44"/>
        <v>10303</v>
      </c>
      <c r="R149" t="str">
        <f t="shared" si="45"/>
        <v>10303</v>
      </c>
      <c r="S149" t="str">
        <f t="shared" si="46"/>
        <v>Boston Crab Meat</v>
      </c>
      <c r="T149">
        <v>14.7</v>
      </c>
      <c r="U149">
        <v>40</v>
      </c>
      <c r="V149">
        <v>0.1</v>
      </c>
      <c r="W149">
        <f t="shared" si="47"/>
        <v>529.20000000000005</v>
      </c>
      <c r="X149" t="str">
        <f t="shared" si="48"/>
        <v>No</v>
      </c>
      <c r="Y149" s="2">
        <v>34619</v>
      </c>
      <c r="Z149" t="str">
        <f t="shared" si="34"/>
        <v/>
      </c>
      <c r="AA149" t="str">
        <f t="shared" si="49"/>
        <v/>
      </c>
      <c r="AB149" t="str" cm="1">
        <f t="array" ref="AB149">_xlfn.IFS(Y149&lt;DATE(1996,1,1),"",Y149&lt;DATE(1996,4,1),"Q1",Y149&lt;DATE(1996,7,1),"Q2",Y149&gt;=DATE(1996,7,1),"")</f>
        <v/>
      </c>
    </row>
    <row r="150" spans="1:28" ht="14.4" x14ac:dyDescent="0.55000000000000004">
      <c r="A150" t="str">
        <f>VLOOKUP(L150,Customers!$A$2:$B$92,2,FALSE)</f>
        <v>Godos Cocina Típica</v>
      </c>
      <c r="B150" t="str">
        <f>VLOOKUP(L150,Customers!$A$2:$C$92,3,TRUE)</f>
        <v>José Pedro Freyre</v>
      </c>
      <c r="C150" t="str">
        <f t="shared" si="35"/>
        <v>José</v>
      </c>
      <c r="D150" s="8" t="str">
        <f t="shared" si="36"/>
        <v>Pedro Freyre</v>
      </c>
      <c r="E150" s="8" t="str">
        <f t="shared" si="37"/>
        <v>Pedro Freyre, José</v>
      </c>
      <c r="F150" s="8" t="str">
        <f t="shared" si="38"/>
        <v>Pedro Freyre, José</v>
      </c>
      <c r="G150" s="8" t="str">
        <f t="shared" si="39"/>
        <v>not an outlier</v>
      </c>
      <c r="H150" s="8" t="str">
        <f t="shared" si="40"/>
        <v>Not</v>
      </c>
      <c r="I150" s="8" t="str">
        <f t="shared" si="50"/>
        <v>no</v>
      </c>
      <c r="J150" s="10" t="str">
        <f t="shared" si="41"/>
        <v>no</v>
      </c>
      <c r="K150" s="10" t="str">
        <f t="shared" si="42"/>
        <v>no</v>
      </c>
      <c r="L150" t="s">
        <v>234</v>
      </c>
      <c r="M150">
        <v>10303</v>
      </c>
      <c r="N150">
        <v>65</v>
      </c>
      <c r="O150" t="s">
        <v>689</v>
      </c>
      <c r="P150" t="str">
        <f t="shared" si="43"/>
        <v>GODOS_10303_Louisiana Fiery Hot Pepper Sauce</v>
      </c>
      <c r="Q150" t="str">
        <f t="shared" si="44"/>
        <v>10303</v>
      </c>
      <c r="R150" t="str">
        <f t="shared" si="45"/>
        <v>10303</v>
      </c>
      <c r="S150" t="str">
        <f t="shared" si="46"/>
        <v>Louisiana Fiery Hot Pepper Sauce</v>
      </c>
      <c r="T150">
        <v>16.8</v>
      </c>
      <c r="U150">
        <v>30</v>
      </c>
      <c r="V150">
        <v>0.1</v>
      </c>
      <c r="W150">
        <f t="shared" si="47"/>
        <v>453.6</v>
      </c>
      <c r="X150" t="str">
        <f t="shared" si="48"/>
        <v>No</v>
      </c>
      <c r="Y150" s="2">
        <v>34619</v>
      </c>
      <c r="Z150" t="str">
        <f t="shared" si="34"/>
        <v/>
      </c>
      <c r="AA150" t="str">
        <f t="shared" si="49"/>
        <v/>
      </c>
      <c r="AB150" t="str" cm="1">
        <f t="array" ref="AB150">_xlfn.IFS(Y150&lt;DATE(1996,1,1),"",Y150&lt;DATE(1996,4,1),"Q1",Y150&lt;DATE(1996,7,1),"Q2",Y150&gt;=DATE(1996,7,1),"")</f>
        <v/>
      </c>
    </row>
    <row r="151" spans="1:28" ht="14.4" x14ac:dyDescent="0.55000000000000004">
      <c r="A151" t="str">
        <f>VLOOKUP(L151,Customers!$A$2:$B$92,2,FALSE)</f>
        <v>Godos Cocina Típica</v>
      </c>
      <c r="B151" t="str">
        <f>VLOOKUP(L151,Customers!$A$2:$C$92,3,TRUE)</f>
        <v>José Pedro Freyre</v>
      </c>
      <c r="C151" t="str">
        <f t="shared" si="35"/>
        <v>José</v>
      </c>
      <c r="D151" s="8" t="str">
        <f t="shared" si="36"/>
        <v>Pedro Freyre</v>
      </c>
      <c r="E151" s="8" t="str">
        <f t="shared" si="37"/>
        <v>Pedro Freyre, José</v>
      </c>
      <c r="F151" s="8" t="str">
        <f t="shared" si="38"/>
        <v>Pedro Freyre, José</v>
      </c>
      <c r="G151" s="8" t="str">
        <f t="shared" si="39"/>
        <v>not an outlier</v>
      </c>
      <c r="H151" s="8" t="str">
        <f t="shared" si="40"/>
        <v>Not</v>
      </c>
      <c r="I151" s="8" t="str">
        <f t="shared" si="50"/>
        <v>no</v>
      </c>
      <c r="J151" s="10" t="str">
        <f t="shared" si="41"/>
        <v>no</v>
      </c>
      <c r="K151" s="10" t="str">
        <f t="shared" si="42"/>
        <v>no</v>
      </c>
      <c r="L151" t="s">
        <v>234</v>
      </c>
      <c r="M151">
        <v>10303</v>
      </c>
      <c r="N151">
        <v>68</v>
      </c>
      <c r="O151" t="s">
        <v>739</v>
      </c>
      <c r="P151" t="str">
        <f t="shared" si="43"/>
        <v>GODOS_10303_Scottish Longbreads</v>
      </c>
      <c r="Q151" t="str">
        <f t="shared" si="44"/>
        <v>10303</v>
      </c>
      <c r="R151" t="str">
        <f t="shared" si="45"/>
        <v>10303</v>
      </c>
      <c r="S151" t="str">
        <f t="shared" si="46"/>
        <v>Scottish Longbreads</v>
      </c>
      <c r="T151">
        <v>10</v>
      </c>
      <c r="U151">
        <v>15</v>
      </c>
      <c r="V151">
        <v>0.1</v>
      </c>
      <c r="W151">
        <f t="shared" si="47"/>
        <v>135</v>
      </c>
      <c r="X151" t="str">
        <f t="shared" si="48"/>
        <v>No</v>
      </c>
      <c r="Y151" s="2">
        <v>34619</v>
      </c>
      <c r="Z151" t="str">
        <f t="shared" si="34"/>
        <v/>
      </c>
      <c r="AA151" t="str">
        <f t="shared" si="49"/>
        <v/>
      </c>
      <c r="AB151" t="str" cm="1">
        <f t="array" ref="AB151">_xlfn.IFS(Y151&lt;DATE(1996,1,1),"",Y151&lt;DATE(1996,4,1),"Q1",Y151&lt;DATE(1996,7,1),"Q2",Y151&gt;=DATE(1996,7,1),"")</f>
        <v/>
      </c>
    </row>
    <row r="152" spans="1:28" ht="14.4" x14ac:dyDescent="0.55000000000000004">
      <c r="A152" t="str">
        <f>VLOOKUP(L152,Customers!$A$2:$B$92,2,FALSE)</f>
        <v>Tortuga Restaurante</v>
      </c>
      <c r="B152" t="str">
        <f>VLOOKUP(L152,Customers!$A$2:$C$92,3,TRUE)</f>
        <v>Miguel Angel Paolino</v>
      </c>
      <c r="C152" t="str">
        <f t="shared" si="35"/>
        <v>Miguel</v>
      </c>
      <c r="D152" s="8" t="str">
        <f t="shared" si="36"/>
        <v>Angel Paolino</v>
      </c>
      <c r="E152" s="8" t="str">
        <f t="shared" si="37"/>
        <v>Angel Paolino, Miguel</v>
      </c>
      <c r="F152" s="8" t="str">
        <f t="shared" si="38"/>
        <v>Angel Paolino, Miguel</v>
      </c>
      <c r="G152" s="8" t="str">
        <f t="shared" si="39"/>
        <v>not an outlier</v>
      </c>
      <c r="H152" s="8" t="str">
        <f t="shared" si="40"/>
        <v>Not</v>
      </c>
      <c r="I152" s="8" t="str">
        <f t="shared" si="50"/>
        <v>no</v>
      </c>
      <c r="J152" s="10" t="str">
        <f t="shared" si="41"/>
        <v>no</v>
      </c>
      <c r="K152" s="10" t="str">
        <f t="shared" si="42"/>
        <v>no</v>
      </c>
      <c r="L152" t="s">
        <v>593</v>
      </c>
      <c r="M152">
        <v>10304</v>
      </c>
      <c r="N152">
        <v>49</v>
      </c>
      <c r="O152" t="s">
        <v>697</v>
      </c>
      <c r="P152" t="str">
        <f t="shared" si="43"/>
        <v>TORTU_10304_Maxilaku</v>
      </c>
      <c r="Q152" t="str">
        <f t="shared" si="44"/>
        <v>10304</v>
      </c>
      <c r="R152" t="str">
        <f t="shared" si="45"/>
        <v>10304</v>
      </c>
      <c r="S152" t="str">
        <f t="shared" si="46"/>
        <v>Maxilaku</v>
      </c>
      <c r="T152">
        <v>16</v>
      </c>
      <c r="U152">
        <v>30</v>
      </c>
      <c r="V152">
        <v>0</v>
      </c>
      <c r="W152">
        <f t="shared" si="47"/>
        <v>480</v>
      </c>
      <c r="X152" t="str">
        <f t="shared" si="48"/>
        <v>No</v>
      </c>
      <c r="Y152" s="2">
        <v>34620</v>
      </c>
      <c r="Z152" t="str">
        <f t="shared" si="34"/>
        <v/>
      </c>
      <c r="AA152" t="str">
        <f t="shared" si="49"/>
        <v/>
      </c>
      <c r="AB152" t="str" cm="1">
        <f t="array" ref="AB152">_xlfn.IFS(Y152&lt;DATE(1996,1,1),"",Y152&lt;DATE(1996,4,1),"Q1",Y152&lt;DATE(1996,7,1),"Q2",Y152&gt;=DATE(1996,7,1),"")</f>
        <v/>
      </c>
    </row>
    <row r="153" spans="1:28" ht="14.4" x14ac:dyDescent="0.55000000000000004">
      <c r="A153" t="str">
        <f>VLOOKUP(L153,Customers!$A$2:$B$92,2,FALSE)</f>
        <v>Tortuga Restaurante</v>
      </c>
      <c r="B153" t="str">
        <f>VLOOKUP(L153,Customers!$A$2:$C$92,3,TRUE)</f>
        <v>Miguel Angel Paolino</v>
      </c>
      <c r="C153" t="str">
        <f t="shared" si="35"/>
        <v>Miguel</v>
      </c>
      <c r="D153" s="8" t="str">
        <f t="shared" si="36"/>
        <v>Angel Paolino</v>
      </c>
      <c r="E153" s="8" t="str">
        <f t="shared" si="37"/>
        <v>Angel Paolino, Miguel</v>
      </c>
      <c r="F153" s="8" t="str">
        <f t="shared" si="38"/>
        <v>Angel Paolino, Miguel</v>
      </c>
      <c r="G153" s="8" t="str">
        <f t="shared" si="39"/>
        <v>not an outlier</v>
      </c>
      <c r="H153" s="8" t="str">
        <f t="shared" si="40"/>
        <v>Not</v>
      </c>
      <c r="I153" s="8" t="str">
        <f t="shared" si="50"/>
        <v>no</v>
      </c>
      <c r="J153" s="10" t="str">
        <f t="shared" si="41"/>
        <v>no</v>
      </c>
      <c r="K153" s="10" t="str">
        <f t="shared" si="42"/>
        <v>no</v>
      </c>
      <c r="L153" t="s">
        <v>593</v>
      </c>
      <c r="M153">
        <v>10304</v>
      </c>
      <c r="N153">
        <v>59</v>
      </c>
      <c r="O153" t="s">
        <v>704</v>
      </c>
      <c r="P153" t="str">
        <f t="shared" si="43"/>
        <v>TORTU_10304_Raclette Courdavault</v>
      </c>
      <c r="Q153" t="str">
        <f t="shared" si="44"/>
        <v>10304</v>
      </c>
      <c r="R153" t="str">
        <f t="shared" si="45"/>
        <v>10304</v>
      </c>
      <c r="S153" t="str">
        <f t="shared" si="46"/>
        <v>Raclette Courdavault</v>
      </c>
      <c r="T153">
        <v>44</v>
      </c>
      <c r="U153">
        <v>10</v>
      </c>
      <c r="V153">
        <v>0</v>
      </c>
      <c r="W153">
        <f t="shared" si="47"/>
        <v>440</v>
      </c>
      <c r="X153" t="str">
        <f t="shared" si="48"/>
        <v>No</v>
      </c>
      <c r="Y153" s="2">
        <v>34620</v>
      </c>
      <c r="Z153" t="str">
        <f t="shared" si="34"/>
        <v/>
      </c>
      <c r="AA153" t="str">
        <f t="shared" si="49"/>
        <v/>
      </c>
      <c r="AB153" t="str" cm="1">
        <f t="array" ref="AB153">_xlfn.IFS(Y153&lt;DATE(1996,1,1),"",Y153&lt;DATE(1996,4,1),"Q1",Y153&lt;DATE(1996,7,1),"Q2",Y153&gt;=DATE(1996,7,1),"")</f>
        <v/>
      </c>
    </row>
    <row r="154" spans="1:28" ht="14.4" x14ac:dyDescent="0.55000000000000004">
      <c r="A154" t="str">
        <f>VLOOKUP(L154,Customers!$A$2:$B$92,2,FALSE)</f>
        <v>Tortuga Restaurante</v>
      </c>
      <c r="B154" t="str">
        <f>VLOOKUP(L154,Customers!$A$2:$C$92,3,TRUE)</f>
        <v>Miguel Angel Paolino</v>
      </c>
      <c r="C154" t="str">
        <f t="shared" si="35"/>
        <v>Miguel</v>
      </c>
      <c r="D154" s="8" t="str">
        <f t="shared" si="36"/>
        <v>Angel Paolino</v>
      </c>
      <c r="E154" s="8" t="str">
        <f t="shared" si="37"/>
        <v>Angel Paolino, Miguel</v>
      </c>
      <c r="F154" s="8" t="str">
        <f t="shared" si="38"/>
        <v>Angel Paolino, Miguel</v>
      </c>
      <c r="G154" s="8" t="str">
        <f t="shared" si="39"/>
        <v>not an outlier</v>
      </c>
      <c r="H154" s="8" t="str">
        <f t="shared" si="40"/>
        <v>Not</v>
      </c>
      <c r="I154" s="8" t="str">
        <f t="shared" si="50"/>
        <v>no</v>
      </c>
      <c r="J154" s="10" t="str">
        <f t="shared" si="41"/>
        <v>no</v>
      </c>
      <c r="K154" s="10" t="str">
        <f t="shared" si="42"/>
        <v>no</v>
      </c>
      <c r="L154" t="s">
        <v>593</v>
      </c>
      <c r="M154">
        <v>10304</v>
      </c>
      <c r="N154">
        <v>71</v>
      </c>
      <c r="O154" t="s">
        <v>725</v>
      </c>
      <c r="P154" t="str">
        <f t="shared" si="43"/>
        <v>TORTU_10304_Fløtemysost</v>
      </c>
      <c r="Q154" t="str">
        <f t="shared" si="44"/>
        <v>10304</v>
      </c>
      <c r="R154" t="str">
        <f t="shared" si="45"/>
        <v>10304</v>
      </c>
      <c r="S154" t="str">
        <f t="shared" si="46"/>
        <v>Fløtemysost</v>
      </c>
      <c r="T154">
        <v>17.2</v>
      </c>
      <c r="U154">
        <v>2</v>
      </c>
      <c r="V154">
        <v>0</v>
      </c>
      <c r="W154">
        <f t="shared" si="47"/>
        <v>34.4</v>
      </c>
      <c r="X154" t="str">
        <f t="shared" si="48"/>
        <v>No</v>
      </c>
      <c r="Y154" s="2">
        <v>34620</v>
      </c>
      <c r="Z154" t="str">
        <f t="shared" si="34"/>
        <v/>
      </c>
      <c r="AA154" t="str">
        <f t="shared" si="49"/>
        <v/>
      </c>
      <c r="AB154" t="str" cm="1">
        <f t="array" ref="AB154">_xlfn.IFS(Y154&lt;DATE(1996,1,1),"",Y154&lt;DATE(1996,4,1),"Q1",Y154&lt;DATE(1996,7,1),"Q2",Y154&gt;=DATE(1996,7,1),"")</f>
        <v/>
      </c>
    </row>
    <row r="155" spans="1:28" ht="14.4" x14ac:dyDescent="0.55000000000000004">
      <c r="A155" t="str">
        <f>VLOOKUP(L155,Customers!$A$2:$B$92,2,FALSE)</f>
        <v>Old World Delicatessen</v>
      </c>
      <c r="B155" t="str">
        <f>VLOOKUP(L155,Customers!$A$2:$C$92,3,TRUE)</f>
        <v>Rene Phillips</v>
      </c>
      <c r="C155" t="str">
        <f t="shared" si="35"/>
        <v>Rene</v>
      </c>
      <c r="D155" s="8" t="str">
        <f t="shared" si="36"/>
        <v>Phillips</v>
      </c>
      <c r="E155" s="8" t="str">
        <f t="shared" si="37"/>
        <v>Phillips, Rene</v>
      </c>
      <c r="F155" s="8" t="str">
        <f t="shared" si="38"/>
        <v>Phillips, Rene</v>
      </c>
      <c r="G155" s="8" t="str">
        <f t="shared" si="39"/>
        <v>not an outlier</v>
      </c>
      <c r="H155" s="8" t="str">
        <f t="shared" si="40"/>
        <v>Not</v>
      </c>
      <c r="I155" s="8" t="str">
        <f t="shared" si="50"/>
        <v>no</v>
      </c>
      <c r="J155" s="10" t="str">
        <f t="shared" si="41"/>
        <v>no</v>
      </c>
      <c r="K155" s="10" t="str">
        <f t="shared" si="42"/>
        <v>no</v>
      </c>
      <c r="L155" t="s">
        <v>422</v>
      </c>
      <c r="M155">
        <v>10305</v>
      </c>
      <c r="N155">
        <v>18</v>
      </c>
      <c r="O155" t="s">
        <v>742</v>
      </c>
      <c r="P155" t="str">
        <f t="shared" si="43"/>
        <v>OLDWO_10305_Carnarvon Tigers</v>
      </c>
      <c r="Q155" t="str">
        <f t="shared" si="44"/>
        <v>10305</v>
      </c>
      <c r="R155" t="str">
        <f t="shared" si="45"/>
        <v>10305</v>
      </c>
      <c r="S155" t="str">
        <f t="shared" si="46"/>
        <v>Carnarvon Tigers</v>
      </c>
      <c r="T155">
        <v>50</v>
      </c>
      <c r="U155">
        <v>25</v>
      </c>
      <c r="V155">
        <v>0.1</v>
      </c>
      <c r="W155">
        <f t="shared" si="47"/>
        <v>1125</v>
      </c>
      <c r="X155" t="str">
        <f t="shared" si="48"/>
        <v>No</v>
      </c>
      <c r="Y155" s="2">
        <v>34621</v>
      </c>
      <c r="Z155" t="str">
        <f t="shared" si="34"/>
        <v/>
      </c>
      <c r="AA155" t="str">
        <f t="shared" si="49"/>
        <v/>
      </c>
      <c r="AB155" t="str" cm="1">
        <f t="array" ref="AB155">_xlfn.IFS(Y155&lt;DATE(1996,1,1),"",Y155&lt;DATE(1996,4,1),"Q1",Y155&lt;DATE(1996,7,1),"Q2",Y155&gt;=DATE(1996,7,1),"")</f>
        <v/>
      </c>
    </row>
    <row r="156" spans="1:28" ht="14.4" x14ac:dyDescent="0.55000000000000004">
      <c r="A156" t="str">
        <f>VLOOKUP(L156,Customers!$A$2:$B$92,2,FALSE)</f>
        <v>Old World Delicatessen</v>
      </c>
      <c r="B156" t="str">
        <f>VLOOKUP(L156,Customers!$A$2:$C$92,3,TRUE)</f>
        <v>Rene Phillips</v>
      </c>
      <c r="C156" t="str">
        <f t="shared" si="35"/>
        <v>Rene</v>
      </c>
      <c r="D156" s="8" t="str">
        <f t="shared" si="36"/>
        <v>Phillips</v>
      </c>
      <c r="E156" s="8" t="str">
        <f t="shared" si="37"/>
        <v>Phillips, Rene</v>
      </c>
      <c r="F156" s="8" t="str">
        <f t="shared" si="38"/>
        <v>Phillips, Rene</v>
      </c>
      <c r="G156" s="8" t="str">
        <f t="shared" si="39"/>
        <v>not an outlier</v>
      </c>
      <c r="H156" s="8" t="str">
        <f t="shared" si="40"/>
        <v>Not</v>
      </c>
      <c r="I156" s="8" t="str">
        <f t="shared" si="50"/>
        <v>no</v>
      </c>
      <c r="J156" s="10" t="str">
        <f t="shared" si="41"/>
        <v>no</v>
      </c>
      <c r="K156" s="10" t="str">
        <f t="shared" si="42"/>
        <v>no</v>
      </c>
      <c r="L156" t="s">
        <v>422</v>
      </c>
      <c r="M156">
        <v>10305</v>
      </c>
      <c r="N156">
        <v>29</v>
      </c>
      <c r="O156" t="s">
        <v>722</v>
      </c>
      <c r="P156" t="str">
        <f t="shared" si="43"/>
        <v>OLDWO_10305_Thüringer Rostbratwurst</v>
      </c>
      <c r="Q156" t="str">
        <f t="shared" si="44"/>
        <v>10305</v>
      </c>
      <c r="R156" t="str">
        <f t="shared" si="45"/>
        <v>10305</v>
      </c>
      <c r="S156" t="str">
        <f t="shared" si="46"/>
        <v>Thüringer Rostbratwurst</v>
      </c>
      <c r="T156">
        <v>99</v>
      </c>
      <c r="U156">
        <v>25</v>
      </c>
      <c r="V156">
        <v>0.1</v>
      </c>
      <c r="W156">
        <f t="shared" si="47"/>
        <v>2227.5</v>
      </c>
      <c r="X156" t="str">
        <f t="shared" si="48"/>
        <v>No</v>
      </c>
      <c r="Y156" s="2">
        <v>34621</v>
      </c>
      <c r="Z156" t="str">
        <f t="shared" si="34"/>
        <v/>
      </c>
      <c r="AA156" t="str">
        <f t="shared" si="49"/>
        <v/>
      </c>
      <c r="AB156" t="str" cm="1">
        <f t="array" ref="AB156">_xlfn.IFS(Y156&lt;DATE(1996,1,1),"",Y156&lt;DATE(1996,4,1),"Q1",Y156&lt;DATE(1996,7,1),"Q2",Y156&gt;=DATE(1996,7,1),"")</f>
        <v/>
      </c>
    </row>
    <row r="157" spans="1:28" ht="14.4" x14ac:dyDescent="0.55000000000000004">
      <c r="A157" t="str">
        <f>VLOOKUP(L157,Customers!$A$2:$B$92,2,FALSE)</f>
        <v>Old World Delicatessen</v>
      </c>
      <c r="B157" t="str">
        <f>VLOOKUP(L157,Customers!$A$2:$C$92,3,TRUE)</f>
        <v>Rene Phillips</v>
      </c>
      <c r="C157" t="str">
        <f t="shared" si="35"/>
        <v>Rene</v>
      </c>
      <c r="D157" s="8" t="str">
        <f t="shared" si="36"/>
        <v>Phillips</v>
      </c>
      <c r="E157" s="8" t="str">
        <f t="shared" si="37"/>
        <v>Phillips, Rene</v>
      </c>
      <c r="F157" s="8" t="str">
        <f t="shared" si="38"/>
        <v>Phillips, Rene</v>
      </c>
      <c r="G157" s="8" t="str">
        <f t="shared" si="39"/>
        <v>not an outlier</v>
      </c>
      <c r="H157" s="8" t="str">
        <f t="shared" si="40"/>
        <v>Not</v>
      </c>
      <c r="I157" s="8" t="str">
        <f t="shared" si="50"/>
        <v>no</v>
      </c>
      <c r="J157" s="10" t="str">
        <f t="shared" si="41"/>
        <v>no</v>
      </c>
      <c r="K157" s="10" t="str">
        <f t="shared" si="42"/>
        <v>no</v>
      </c>
      <c r="L157" t="s">
        <v>422</v>
      </c>
      <c r="M157">
        <v>10305</v>
      </c>
      <c r="N157">
        <v>39</v>
      </c>
      <c r="O157" t="s">
        <v>696</v>
      </c>
      <c r="P157" t="str">
        <f t="shared" si="43"/>
        <v>OLDWO_10305_Chartreuse verte</v>
      </c>
      <c r="Q157" t="str">
        <f t="shared" si="44"/>
        <v>10305</v>
      </c>
      <c r="R157" t="str">
        <f t="shared" si="45"/>
        <v>10305</v>
      </c>
      <c r="S157" t="str">
        <f t="shared" si="46"/>
        <v>Chartreuse verte</v>
      </c>
      <c r="T157">
        <v>14.4</v>
      </c>
      <c r="U157">
        <v>30</v>
      </c>
      <c r="V157">
        <v>0.1</v>
      </c>
      <c r="W157">
        <f t="shared" si="47"/>
        <v>388.8</v>
      </c>
      <c r="X157" t="str">
        <f t="shared" si="48"/>
        <v>No</v>
      </c>
      <c r="Y157" s="2">
        <v>34621</v>
      </c>
      <c r="Z157" t="str">
        <f t="shared" si="34"/>
        <v/>
      </c>
      <c r="AA157" t="str">
        <f t="shared" si="49"/>
        <v/>
      </c>
      <c r="AB157" t="str" cm="1">
        <f t="array" ref="AB157">_xlfn.IFS(Y157&lt;DATE(1996,1,1),"",Y157&lt;DATE(1996,4,1),"Q1",Y157&lt;DATE(1996,7,1),"Q2",Y157&gt;=DATE(1996,7,1),"")</f>
        <v/>
      </c>
    </row>
    <row r="158" spans="1:28" ht="14.4" x14ac:dyDescent="0.55000000000000004">
      <c r="A158" t="str">
        <f>VLOOKUP(L158,Customers!$A$2:$B$92,2,FALSE)</f>
        <v>Romero y tomillo</v>
      </c>
      <c r="B158" t="str">
        <f>VLOOKUP(L158,Customers!$A$2:$C$92,3,TRUE)</f>
        <v>Alejandra Camino</v>
      </c>
      <c r="C158" t="str">
        <f t="shared" si="35"/>
        <v>Alejandra</v>
      </c>
      <c r="D158" s="8" t="str">
        <f t="shared" si="36"/>
        <v>Camino</v>
      </c>
      <c r="E158" s="8" t="str">
        <f t="shared" si="37"/>
        <v>Camino, Alejandra</v>
      </c>
      <c r="F158" s="8" t="str">
        <f t="shared" si="38"/>
        <v>Camino, Alejandra</v>
      </c>
      <c r="G158" s="8" t="str">
        <f t="shared" si="39"/>
        <v>not an outlier</v>
      </c>
      <c r="H158" s="8" t="str">
        <f t="shared" si="40"/>
        <v>Not</v>
      </c>
      <c r="I158" s="8" t="str">
        <f t="shared" si="50"/>
        <v>no</v>
      </c>
      <c r="J158" s="10" t="str">
        <f t="shared" si="41"/>
        <v>no</v>
      </c>
      <c r="K158" s="10" t="str">
        <f t="shared" si="42"/>
        <v>no</v>
      </c>
      <c r="L158" t="s">
        <v>515</v>
      </c>
      <c r="M158">
        <v>10306</v>
      </c>
      <c r="N158">
        <v>30</v>
      </c>
      <c r="O158" t="s">
        <v>717</v>
      </c>
      <c r="P158" t="str">
        <f t="shared" si="43"/>
        <v>ROMEY_10306_Nord-Ost Matjeshering</v>
      </c>
      <c r="Q158" t="str">
        <f t="shared" si="44"/>
        <v>10306</v>
      </c>
      <c r="R158" t="str">
        <f t="shared" si="45"/>
        <v>10306</v>
      </c>
      <c r="S158" t="str">
        <f t="shared" si="46"/>
        <v>Nord-Ost Matjeshering</v>
      </c>
      <c r="T158">
        <v>20.7</v>
      </c>
      <c r="U158">
        <v>10</v>
      </c>
      <c r="V158">
        <v>0</v>
      </c>
      <c r="W158">
        <f t="shared" si="47"/>
        <v>207</v>
      </c>
      <c r="X158" t="str">
        <f t="shared" si="48"/>
        <v>No</v>
      </c>
      <c r="Y158" s="2">
        <v>34624</v>
      </c>
      <c r="Z158" t="str">
        <f t="shared" si="34"/>
        <v/>
      </c>
      <c r="AA158" t="str">
        <f t="shared" si="49"/>
        <v/>
      </c>
      <c r="AB158" t="str" cm="1">
        <f t="array" ref="AB158">_xlfn.IFS(Y158&lt;DATE(1996,1,1),"",Y158&lt;DATE(1996,4,1),"Q1",Y158&lt;DATE(1996,7,1),"Q2",Y158&gt;=DATE(1996,7,1),"")</f>
        <v/>
      </c>
    </row>
    <row r="159" spans="1:28" ht="14.4" x14ac:dyDescent="0.55000000000000004">
      <c r="A159" t="str">
        <f>VLOOKUP(L159,Customers!$A$2:$B$92,2,FALSE)</f>
        <v>Romero y tomillo</v>
      </c>
      <c r="B159" t="str">
        <f>VLOOKUP(L159,Customers!$A$2:$C$92,3,TRUE)</f>
        <v>Alejandra Camino</v>
      </c>
      <c r="C159" t="str">
        <f t="shared" si="35"/>
        <v>Alejandra</v>
      </c>
      <c r="D159" s="8" t="str">
        <f t="shared" si="36"/>
        <v>Camino</v>
      </c>
      <c r="E159" s="8" t="str">
        <f t="shared" si="37"/>
        <v>Camino, Alejandra</v>
      </c>
      <c r="F159" s="8" t="str">
        <f t="shared" si="38"/>
        <v>Camino, Alejandra</v>
      </c>
      <c r="G159" s="8" t="str">
        <f t="shared" si="39"/>
        <v>not an outlier</v>
      </c>
      <c r="H159" s="8" t="str">
        <f t="shared" si="40"/>
        <v>Not</v>
      </c>
      <c r="I159" s="8" t="str">
        <f t="shared" si="50"/>
        <v>no</v>
      </c>
      <c r="J159" s="10" t="str">
        <f t="shared" si="41"/>
        <v>no</v>
      </c>
      <c r="K159" s="10" t="str">
        <f t="shared" si="42"/>
        <v>no</v>
      </c>
      <c r="L159" t="s">
        <v>515</v>
      </c>
      <c r="M159">
        <v>10306</v>
      </c>
      <c r="N159">
        <v>53</v>
      </c>
      <c r="O159" t="s">
        <v>705</v>
      </c>
      <c r="P159" t="str">
        <f t="shared" si="43"/>
        <v>ROMEY_10306_Perth Pasties</v>
      </c>
      <c r="Q159" t="str">
        <f t="shared" si="44"/>
        <v>10306</v>
      </c>
      <c r="R159" t="str">
        <f t="shared" si="45"/>
        <v>10306</v>
      </c>
      <c r="S159" t="str">
        <f t="shared" si="46"/>
        <v>Perth Pasties</v>
      </c>
      <c r="T159">
        <v>26.2</v>
      </c>
      <c r="U159">
        <v>10</v>
      </c>
      <c r="V159">
        <v>0</v>
      </c>
      <c r="W159">
        <f t="shared" si="47"/>
        <v>262</v>
      </c>
      <c r="X159" t="str">
        <f t="shared" si="48"/>
        <v>No</v>
      </c>
      <c r="Y159" s="2">
        <v>34624</v>
      </c>
      <c r="Z159" t="str">
        <f t="shared" si="34"/>
        <v/>
      </c>
      <c r="AA159" t="str">
        <f t="shared" si="49"/>
        <v/>
      </c>
      <c r="AB159" t="str" cm="1">
        <f t="array" ref="AB159">_xlfn.IFS(Y159&lt;DATE(1996,1,1),"",Y159&lt;DATE(1996,4,1),"Q1",Y159&lt;DATE(1996,7,1),"Q2",Y159&gt;=DATE(1996,7,1),"")</f>
        <v/>
      </c>
    </row>
    <row r="160" spans="1:28" ht="14.4" x14ac:dyDescent="0.55000000000000004">
      <c r="A160" t="str">
        <f>VLOOKUP(L160,Customers!$A$2:$B$92,2,FALSE)</f>
        <v>Romero y tomillo</v>
      </c>
      <c r="B160" t="str">
        <f>VLOOKUP(L160,Customers!$A$2:$C$92,3,TRUE)</f>
        <v>Alejandra Camino</v>
      </c>
      <c r="C160" t="str">
        <f t="shared" si="35"/>
        <v>Alejandra</v>
      </c>
      <c r="D160" s="8" t="str">
        <f t="shared" si="36"/>
        <v>Camino</v>
      </c>
      <c r="E160" s="8" t="str">
        <f t="shared" si="37"/>
        <v>Camino, Alejandra</v>
      </c>
      <c r="F160" s="8" t="str">
        <f t="shared" si="38"/>
        <v>Camino, Alejandra</v>
      </c>
      <c r="G160" s="8" t="str">
        <f t="shared" si="39"/>
        <v>not an outlier</v>
      </c>
      <c r="H160" s="8" t="str">
        <f t="shared" si="40"/>
        <v>Not</v>
      </c>
      <c r="I160" s="8" t="str">
        <f t="shared" si="50"/>
        <v>no</v>
      </c>
      <c r="J160" s="10" t="str">
        <f t="shared" si="41"/>
        <v>no</v>
      </c>
      <c r="K160" s="10" t="str">
        <f t="shared" si="42"/>
        <v>no</v>
      </c>
      <c r="L160" t="s">
        <v>515</v>
      </c>
      <c r="M160">
        <v>10306</v>
      </c>
      <c r="N160">
        <v>54</v>
      </c>
      <c r="O160" t="s">
        <v>738</v>
      </c>
      <c r="P160" t="str">
        <f t="shared" si="43"/>
        <v>ROMEY_10306_Tourtière</v>
      </c>
      <c r="Q160" t="str">
        <f t="shared" si="44"/>
        <v>10306</v>
      </c>
      <c r="R160" t="str">
        <f t="shared" si="45"/>
        <v>10306</v>
      </c>
      <c r="S160" t="str">
        <f t="shared" si="46"/>
        <v>Tourtière</v>
      </c>
      <c r="T160">
        <v>5.9</v>
      </c>
      <c r="U160">
        <v>5</v>
      </c>
      <c r="V160">
        <v>0</v>
      </c>
      <c r="W160">
        <f t="shared" si="47"/>
        <v>29.5</v>
      </c>
      <c r="X160" t="str">
        <f t="shared" si="48"/>
        <v>No</v>
      </c>
      <c r="Y160" s="2">
        <v>34624</v>
      </c>
      <c r="Z160" t="str">
        <f t="shared" si="34"/>
        <v/>
      </c>
      <c r="AA160" t="str">
        <f t="shared" si="49"/>
        <v/>
      </c>
      <c r="AB160" t="str" cm="1">
        <f t="array" ref="AB160">_xlfn.IFS(Y160&lt;DATE(1996,1,1),"",Y160&lt;DATE(1996,4,1),"Q1",Y160&lt;DATE(1996,7,1),"Q2",Y160&gt;=DATE(1996,7,1),"")</f>
        <v/>
      </c>
    </row>
    <row r="161" spans="1:28" ht="14.4" x14ac:dyDescent="0.55000000000000004">
      <c r="A161" t="str">
        <f>VLOOKUP(L161,Customers!$A$2:$B$92,2,FALSE)</f>
        <v>Lonesome Pine Restaurant</v>
      </c>
      <c r="B161" t="str">
        <f>VLOOKUP(L161,Customers!$A$2:$C$92,3,TRUE)</f>
        <v>Fran Wilson</v>
      </c>
      <c r="C161" t="str">
        <f t="shared" si="35"/>
        <v>Fran</v>
      </c>
      <c r="D161" s="8" t="str">
        <f t="shared" si="36"/>
        <v>Wilson</v>
      </c>
      <c r="E161" s="8" t="str">
        <f t="shared" si="37"/>
        <v>Wilson, Fran</v>
      </c>
      <c r="F161" s="8" t="str">
        <f t="shared" si="38"/>
        <v>Wilson, Fran</v>
      </c>
      <c r="G161" s="8" t="str">
        <f t="shared" si="39"/>
        <v>not an outlier</v>
      </c>
      <c r="H161" s="8" t="str">
        <f t="shared" si="40"/>
        <v>Not</v>
      </c>
      <c r="I161" s="8" t="str">
        <f t="shared" si="50"/>
        <v>no</v>
      </c>
      <c r="J161" s="10" t="str">
        <f t="shared" si="41"/>
        <v>no</v>
      </c>
      <c r="K161" s="10" t="str">
        <f t="shared" si="42"/>
        <v>no</v>
      </c>
      <c r="L161" t="s">
        <v>371</v>
      </c>
      <c r="M161">
        <v>10307</v>
      </c>
      <c r="N161">
        <v>62</v>
      </c>
      <c r="O161" t="s">
        <v>712</v>
      </c>
      <c r="P161" t="str">
        <f t="shared" si="43"/>
        <v>LONEP_10307_Tarte au sucre</v>
      </c>
      <c r="Q161" t="str">
        <f t="shared" si="44"/>
        <v>10307</v>
      </c>
      <c r="R161" t="str">
        <f t="shared" si="45"/>
        <v>10307</v>
      </c>
      <c r="S161" t="str">
        <f t="shared" si="46"/>
        <v>Tarte au sucre</v>
      </c>
      <c r="T161">
        <v>39.4</v>
      </c>
      <c r="U161">
        <v>10</v>
      </c>
      <c r="V161">
        <v>0</v>
      </c>
      <c r="W161">
        <f t="shared" si="47"/>
        <v>394</v>
      </c>
      <c r="X161" t="str">
        <f t="shared" si="48"/>
        <v>No</v>
      </c>
      <c r="Y161" s="2">
        <v>34625</v>
      </c>
      <c r="Z161" t="str">
        <f t="shared" si="34"/>
        <v/>
      </c>
      <c r="AA161" t="str">
        <f t="shared" si="49"/>
        <v/>
      </c>
      <c r="AB161" t="str" cm="1">
        <f t="array" ref="AB161">_xlfn.IFS(Y161&lt;DATE(1996,1,1),"",Y161&lt;DATE(1996,4,1),"Q1",Y161&lt;DATE(1996,7,1),"Q2",Y161&gt;=DATE(1996,7,1),"")</f>
        <v/>
      </c>
    </row>
    <row r="162" spans="1:28" ht="14.4" x14ac:dyDescent="0.55000000000000004">
      <c r="A162" t="str">
        <f>VLOOKUP(L162,Customers!$A$2:$B$92,2,FALSE)</f>
        <v>Lonesome Pine Restaurant</v>
      </c>
      <c r="B162" t="str">
        <f>VLOOKUP(L162,Customers!$A$2:$C$92,3,TRUE)</f>
        <v>Fran Wilson</v>
      </c>
      <c r="C162" t="str">
        <f t="shared" si="35"/>
        <v>Fran</v>
      </c>
      <c r="D162" s="8" t="str">
        <f t="shared" si="36"/>
        <v>Wilson</v>
      </c>
      <c r="E162" s="8" t="str">
        <f t="shared" si="37"/>
        <v>Wilson, Fran</v>
      </c>
      <c r="F162" s="8" t="str">
        <f t="shared" si="38"/>
        <v>Wilson, Fran</v>
      </c>
      <c r="G162" s="8" t="str">
        <f t="shared" si="39"/>
        <v>not an outlier</v>
      </c>
      <c r="H162" s="8" t="str">
        <f t="shared" si="40"/>
        <v>Not</v>
      </c>
      <c r="I162" s="8" t="str">
        <f t="shared" si="50"/>
        <v>no</v>
      </c>
      <c r="J162" s="10" t="str">
        <f t="shared" si="41"/>
        <v>no</v>
      </c>
      <c r="K162" s="10" t="str">
        <f t="shared" si="42"/>
        <v>no</v>
      </c>
      <c r="L162" t="s">
        <v>371</v>
      </c>
      <c r="M162">
        <v>10307</v>
      </c>
      <c r="N162">
        <v>68</v>
      </c>
      <c r="O162" t="s">
        <v>739</v>
      </c>
      <c r="P162" t="str">
        <f t="shared" si="43"/>
        <v>LONEP_10307_Scottish Longbreads</v>
      </c>
      <c r="Q162" t="str">
        <f t="shared" si="44"/>
        <v>10307</v>
      </c>
      <c r="R162" t="str">
        <f t="shared" si="45"/>
        <v>10307</v>
      </c>
      <c r="S162" t="str">
        <f t="shared" si="46"/>
        <v>Scottish Longbreads</v>
      </c>
      <c r="T162">
        <v>10</v>
      </c>
      <c r="U162">
        <v>3</v>
      </c>
      <c r="V162">
        <v>0</v>
      </c>
      <c r="W162">
        <f t="shared" si="47"/>
        <v>30</v>
      </c>
      <c r="X162" t="str">
        <f t="shared" si="48"/>
        <v>No</v>
      </c>
      <c r="Y162" s="2">
        <v>34625</v>
      </c>
      <c r="Z162" t="str">
        <f t="shared" si="34"/>
        <v/>
      </c>
      <c r="AA162" t="str">
        <f t="shared" si="49"/>
        <v/>
      </c>
      <c r="AB162" t="str" cm="1">
        <f t="array" ref="AB162">_xlfn.IFS(Y162&lt;DATE(1996,1,1),"",Y162&lt;DATE(1996,4,1),"Q1",Y162&lt;DATE(1996,7,1),"Q2",Y162&gt;=DATE(1996,7,1),"")</f>
        <v/>
      </c>
    </row>
    <row r="163" spans="1:28" ht="14.4" x14ac:dyDescent="0.55000000000000004">
      <c r="A163" t="str">
        <f>VLOOKUP(L163,Customers!$A$2:$B$92,2,FALSE)</f>
        <v>Ana Trujillo Emparedados y helados</v>
      </c>
      <c r="B163" t="str">
        <f>VLOOKUP(L163,Customers!$A$2:$C$92,3,TRUE)</f>
        <v>Ana Trujillo</v>
      </c>
      <c r="C163" t="str">
        <f t="shared" si="35"/>
        <v>Ana</v>
      </c>
      <c r="D163" s="8" t="str">
        <f t="shared" si="36"/>
        <v>Trujillo</v>
      </c>
      <c r="E163" s="8" t="str">
        <f t="shared" si="37"/>
        <v>Trujillo, Ana</v>
      </c>
      <c r="F163" s="8" t="str">
        <f t="shared" si="38"/>
        <v>Trujillo, Ana</v>
      </c>
      <c r="G163" s="8" t="str">
        <f t="shared" si="39"/>
        <v>not an outlier</v>
      </c>
      <c r="H163" s="8" t="str">
        <f t="shared" si="40"/>
        <v>Not</v>
      </c>
      <c r="I163" s="8" t="str">
        <f t="shared" si="50"/>
        <v>no</v>
      </c>
      <c r="J163" s="10" t="str">
        <f t="shared" si="41"/>
        <v>no</v>
      </c>
      <c r="K163" s="10" t="str">
        <f t="shared" si="42"/>
        <v>no</v>
      </c>
      <c r="L163" t="s">
        <v>20</v>
      </c>
      <c r="M163">
        <v>10308</v>
      </c>
      <c r="N163">
        <v>69</v>
      </c>
      <c r="O163" t="s">
        <v>743</v>
      </c>
      <c r="P163" t="str">
        <f t="shared" si="43"/>
        <v>ANATR_10308_Gudbrandsdalsost</v>
      </c>
      <c r="Q163" t="str">
        <f t="shared" si="44"/>
        <v>10308</v>
      </c>
      <c r="R163" t="str">
        <f t="shared" si="45"/>
        <v>10308</v>
      </c>
      <c r="S163" t="str">
        <f t="shared" si="46"/>
        <v>Gudbrandsdalsost</v>
      </c>
      <c r="T163">
        <v>28.8</v>
      </c>
      <c r="U163">
        <v>1</v>
      </c>
      <c r="V163">
        <v>0</v>
      </c>
      <c r="W163">
        <f t="shared" si="47"/>
        <v>28.8</v>
      </c>
      <c r="X163" t="str">
        <f t="shared" si="48"/>
        <v>No</v>
      </c>
      <c r="Y163" s="2">
        <v>34626</v>
      </c>
      <c r="Z163" t="str">
        <f t="shared" si="34"/>
        <v/>
      </c>
      <c r="AA163" t="str">
        <f t="shared" si="49"/>
        <v/>
      </c>
      <c r="AB163" t="str" cm="1">
        <f t="array" ref="AB163">_xlfn.IFS(Y163&lt;DATE(1996,1,1),"",Y163&lt;DATE(1996,4,1),"Q1",Y163&lt;DATE(1996,7,1),"Q2",Y163&gt;=DATE(1996,7,1),"")</f>
        <v/>
      </c>
    </row>
    <row r="164" spans="1:28" ht="14.4" x14ac:dyDescent="0.55000000000000004">
      <c r="A164" t="str">
        <f>VLOOKUP(L164,Customers!$A$2:$B$92,2,FALSE)</f>
        <v>Ana Trujillo Emparedados y helados</v>
      </c>
      <c r="B164" t="str">
        <f>VLOOKUP(L164,Customers!$A$2:$C$92,3,TRUE)</f>
        <v>Ana Trujillo</v>
      </c>
      <c r="C164" t="str">
        <f t="shared" si="35"/>
        <v>Ana</v>
      </c>
      <c r="D164" s="8" t="str">
        <f t="shared" si="36"/>
        <v>Trujillo</v>
      </c>
      <c r="E164" s="8" t="str">
        <f t="shared" si="37"/>
        <v>Trujillo, Ana</v>
      </c>
      <c r="F164" s="8" t="str">
        <f t="shared" si="38"/>
        <v>Trujillo, Ana</v>
      </c>
      <c r="G164" s="8" t="str">
        <f t="shared" si="39"/>
        <v>not an outlier</v>
      </c>
      <c r="H164" s="8" t="str">
        <f t="shared" si="40"/>
        <v>Not</v>
      </c>
      <c r="I164" s="8" t="str">
        <f t="shared" si="50"/>
        <v>no</v>
      </c>
      <c r="J164" s="10" t="str">
        <f t="shared" si="41"/>
        <v>no</v>
      </c>
      <c r="K164" s="10" t="str">
        <f t="shared" si="42"/>
        <v>no</v>
      </c>
      <c r="L164" t="s">
        <v>20</v>
      </c>
      <c r="M164">
        <v>10308</v>
      </c>
      <c r="N164">
        <v>70</v>
      </c>
      <c r="O164" t="s">
        <v>713</v>
      </c>
      <c r="P164" t="str">
        <f t="shared" si="43"/>
        <v>ANATR_10308_Outback Lager</v>
      </c>
      <c r="Q164" t="str">
        <f t="shared" si="44"/>
        <v>10308</v>
      </c>
      <c r="R164" t="str">
        <f t="shared" si="45"/>
        <v>10308</v>
      </c>
      <c r="S164" t="str">
        <f t="shared" si="46"/>
        <v>Outback Lager</v>
      </c>
      <c r="T164">
        <v>12</v>
      </c>
      <c r="U164">
        <v>5</v>
      </c>
      <c r="V164">
        <v>0</v>
      </c>
      <c r="W164">
        <f t="shared" si="47"/>
        <v>60</v>
      </c>
      <c r="X164" t="str">
        <f t="shared" si="48"/>
        <v>No</v>
      </c>
      <c r="Y164" s="2">
        <v>34626</v>
      </c>
      <c r="Z164" t="str">
        <f t="shared" si="34"/>
        <v/>
      </c>
      <c r="AA164" t="str">
        <f t="shared" si="49"/>
        <v/>
      </c>
      <c r="AB164" t="str" cm="1">
        <f t="array" ref="AB164">_xlfn.IFS(Y164&lt;DATE(1996,1,1),"",Y164&lt;DATE(1996,4,1),"Q1",Y164&lt;DATE(1996,7,1),"Q2",Y164&gt;=DATE(1996,7,1),"")</f>
        <v/>
      </c>
    </row>
    <row r="165" spans="1:28" ht="14.4" x14ac:dyDescent="0.55000000000000004">
      <c r="A165" t="str">
        <f>VLOOKUP(L165,Customers!$A$2:$B$92,2,FALSE)</f>
        <v>Hungry Owl All-Night Grocers</v>
      </c>
      <c r="B165" t="str">
        <f>VLOOKUP(L165,Customers!$A$2:$C$92,3,TRUE)</f>
        <v>Patricia McKenna</v>
      </c>
      <c r="C165" t="str">
        <f t="shared" si="35"/>
        <v>Patricia</v>
      </c>
      <c r="D165" s="8" t="str">
        <f t="shared" si="36"/>
        <v>McKenna</v>
      </c>
      <c r="E165" s="8" t="str">
        <f t="shared" si="37"/>
        <v>McKenna, Patricia</v>
      </c>
      <c r="F165" s="8" t="str">
        <f t="shared" si="38"/>
        <v>McKenna, Patricia</v>
      </c>
      <c r="G165" s="8" t="str">
        <f t="shared" si="39"/>
        <v>not an outlier</v>
      </c>
      <c r="H165" s="8" t="str">
        <f t="shared" si="40"/>
        <v>Not</v>
      </c>
      <c r="I165" s="8" t="str">
        <f t="shared" si="50"/>
        <v>no</v>
      </c>
      <c r="J165" s="10" t="str">
        <f t="shared" si="41"/>
        <v>no</v>
      </c>
      <c r="K165" s="10" t="str">
        <f t="shared" si="42"/>
        <v>no</v>
      </c>
      <c r="L165" t="s">
        <v>288</v>
      </c>
      <c r="M165">
        <v>10309</v>
      </c>
      <c r="N165">
        <v>4</v>
      </c>
      <c r="O165" t="s">
        <v>745</v>
      </c>
      <c r="P165" t="str">
        <f t="shared" si="43"/>
        <v>HUNGO_10309_Chef Anton's Cajun Seasoning</v>
      </c>
      <c r="Q165" t="str">
        <f t="shared" si="44"/>
        <v>10309</v>
      </c>
      <c r="R165" t="str">
        <f t="shared" si="45"/>
        <v>10309</v>
      </c>
      <c r="S165" t="str">
        <f t="shared" si="46"/>
        <v>Chef Anton's Cajun Seasoning</v>
      </c>
      <c r="T165">
        <v>17.600000000000001</v>
      </c>
      <c r="U165">
        <v>20</v>
      </c>
      <c r="V165">
        <v>0</v>
      </c>
      <c r="W165">
        <f t="shared" si="47"/>
        <v>352</v>
      </c>
      <c r="X165" t="str">
        <f t="shared" si="48"/>
        <v>No</v>
      </c>
      <c r="Y165" s="2">
        <v>34627</v>
      </c>
      <c r="Z165" t="str">
        <f t="shared" si="34"/>
        <v/>
      </c>
      <c r="AA165" t="str">
        <f t="shared" si="49"/>
        <v/>
      </c>
      <c r="AB165" t="str" cm="1">
        <f t="array" ref="AB165">_xlfn.IFS(Y165&lt;DATE(1996,1,1),"",Y165&lt;DATE(1996,4,1),"Q1",Y165&lt;DATE(1996,7,1),"Q2",Y165&gt;=DATE(1996,7,1),"")</f>
        <v/>
      </c>
    </row>
    <row r="166" spans="1:28" ht="14.4" x14ac:dyDescent="0.55000000000000004">
      <c r="A166" t="str">
        <f>VLOOKUP(L166,Customers!$A$2:$B$92,2,FALSE)</f>
        <v>Hungry Owl All-Night Grocers</v>
      </c>
      <c r="B166" t="str">
        <f>VLOOKUP(L166,Customers!$A$2:$C$92,3,TRUE)</f>
        <v>Patricia McKenna</v>
      </c>
      <c r="C166" t="str">
        <f t="shared" si="35"/>
        <v>Patricia</v>
      </c>
      <c r="D166" s="8" t="str">
        <f t="shared" si="36"/>
        <v>McKenna</v>
      </c>
      <c r="E166" s="8" t="str">
        <f t="shared" si="37"/>
        <v>McKenna, Patricia</v>
      </c>
      <c r="F166" s="8" t="str">
        <f t="shared" si="38"/>
        <v>McKenna, Patricia</v>
      </c>
      <c r="G166" s="8" t="str">
        <f t="shared" si="39"/>
        <v>not an outlier</v>
      </c>
      <c r="H166" s="8" t="str">
        <f t="shared" si="40"/>
        <v>Not</v>
      </c>
      <c r="I166" s="8" t="str">
        <f t="shared" si="50"/>
        <v>no</v>
      </c>
      <c r="J166" s="10" t="str">
        <f t="shared" si="41"/>
        <v>no</v>
      </c>
      <c r="K166" s="10" t="str">
        <f t="shared" si="42"/>
        <v>no</v>
      </c>
      <c r="L166" t="s">
        <v>288</v>
      </c>
      <c r="M166">
        <v>10309</v>
      </c>
      <c r="N166">
        <v>6</v>
      </c>
      <c r="O166" t="s">
        <v>746</v>
      </c>
      <c r="P166" t="str">
        <f t="shared" si="43"/>
        <v>HUNGO_10309_Grandma's Boysenberry Spread</v>
      </c>
      <c r="Q166" t="str">
        <f t="shared" si="44"/>
        <v>10309</v>
      </c>
      <c r="R166" t="str">
        <f t="shared" si="45"/>
        <v>10309</v>
      </c>
      <c r="S166" t="str">
        <f t="shared" si="46"/>
        <v>Grandma's Boysenberry Spread</v>
      </c>
      <c r="T166">
        <v>20</v>
      </c>
      <c r="U166">
        <v>30</v>
      </c>
      <c r="V166">
        <v>0</v>
      </c>
      <c r="W166">
        <f t="shared" si="47"/>
        <v>600</v>
      </c>
      <c r="X166" t="str">
        <f t="shared" si="48"/>
        <v>No</v>
      </c>
      <c r="Y166" s="2">
        <v>34627</v>
      </c>
      <c r="Z166" t="str">
        <f t="shared" si="34"/>
        <v/>
      </c>
      <c r="AA166" t="str">
        <f t="shared" si="49"/>
        <v/>
      </c>
      <c r="AB166" t="str" cm="1">
        <f t="array" ref="AB166">_xlfn.IFS(Y166&lt;DATE(1996,1,1),"",Y166&lt;DATE(1996,4,1),"Q1",Y166&lt;DATE(1996,7,1),"Q2",Y166&gt;=DATE(1996,7,1),"")</f>
        <v/>
      </c>
    </row>
    <row r="167" spans="1:28" ht="14.4" x14ac:dyDescent="0.55000000000000004">
      <c r="A167" t="str">
        <f>VLOOKUP(L167,Customers!$A$2:$B$92,2,FALSE)</f>
        <v>Hungry Owl All-Night Grocers</v>
      </c>
      <c r="B167" t="str">
        <f>VLOOKUP(L167,Customers!$A$2:$C$92,3,TRUE)</f>
        <v>Patricia McKenna</v>
      </c>
      <c r="C167" t="str">
        <f t="shared" si="35"/>
        <v>Patricia</v>
      </c>
      <c r="D167" s="8" t="str">
        <f t="shared" si="36"/>
        <v>McKenna</v>
      </c>
      <c r="E167" s="8" t="str">
        <f t="shared" si="37"/>
        <v>McKenna, Patricia</v>
      </c>
      <c r="F167" s="8" t="str">
        <f t="shared" si="38"/>
        <v>McKenna, Patricia</v>
      </c>
      <c r="G167" s="8" t="str">
        <f t="shared" si="39"/>
        <v>not an outlier</v>
      </c>
      <c r="H167" s="8" t="str">
        <f t="shared" si="40"/>
        <v>Not</v>
      </c>
      <c r="I167" s="8" t="str">
        <f t="shared" si="50"/>
        <v>no</v>
      </c>
      <c r="J167" s="10" t="str">
        <f t="shared" si="41"/>
        <v>no</v>
      </c>
      <c r="K167" s="10" t="str">
        <f t="shared" si="42"/>
        <v>no</v>
      </c>
      <c r="L167" t="s">
        <v>288</v>
      </c>
      <c r="M167">
        <v>10309</v>
      </c>
      <c r="N167">
        <v>42</v>
      </c>
      <c r="O167" t="s">
        <v>684</v>
      </c>
      <c r="P167" t="str">
        <f t="shared" si="43"/>
        <v>HUNGO_10309_Singaporean Hokkien Fried Mee</v>
      </c>
      <c r="Q167" t="str">
        <f t="shared" si="44"/>
        <v>10309</v>
      </c>
      <c r="R167" t="str">
        <f t="shared" si="45"/>
        <v>10309</v>
      </c>
      <c r="S167" t="str">
        <f t="shared" si="46"/>
        <v>Singaporean Hokkien Fried Mee</v>
      </c>
      <c r="T167">
        <v>11.2</v>
      </c>
      <c r="U167">
        <v>2</v>
      </c>
      <c r="V167">
        <v>0</v>
      </c>
      <c r="W167">
        <f t="shared" si="47"/>
        <v>22.4</v>
      </c>
      <c r="X167" t="str">
        <f t="shared" si="48"/>
        <v>No</v>
      </c>
      <c r="Y167" s="2">
        <v>34627</v>
      </c>
      <c r="Z167" t="str">
        <f t="shared" si="34"/>
        <v/>
      </c>
      <c r="AA167" t="str">
        <f t="shared" si="49"/>
        <v/>
      </c>
      <c r="AB167" t="str" cm="1">
        <f t="array" ref="AB167">_xlfn.IFS(Y167&lt;DATE(1996,1,1),"",Y167&lt;DATE(1996,4,1),"Q1",Y167&lt;DATE(1996,7,1),"Q2",Y167&gt;=DATE(1996,7,1),"")</f>
        <v/>
      </c>
    </row>
    <row r="168" spans="1:28" ht="14.4" x14ac:dyDescent="0.55000000000000004">
      <c r="A168" t="str">
        <f>VLOOKUP(L168,Customers!$A$2:$B$92,2,FALSE)</f>
        <v>Hungry Owl All-Night Grocers</v>
      </c>
      <c r="B168" t="str">
        <f>VLOOKUP(L168,Customers!$A$2:$C$92,3,TRUE)</f>
        <v>Patricia McKenna</v>
      </c>
      <c r="C168" t="str">
        <f t="shared" si="35"/>
        <v>Patricia</v>
      </c>
      <c r="D168" s="8" t="str">
        <f t="shared" si="36"/>
        <v>McKenna</v>
      </c>
      <c r="E168" s="8" t="str">
        <f t="shared" si="37"/>
        <v>McKenna, Patricia</v>
      </c>
      <c r="F168" s="8" t="str">
        <f t="shared" si="38"/>
        <v>McKenna, Patricia</v>
      </c>
      <c r="G168" s="8" t="str">
        <f t="shared" si="39"/>
        <v>not an outlier</v>
      </c>
      <c r="H168" s="8" t="str">
        <f t="shared" si="40"/>
        <v>Not</v>
      </c>
      <c r="I168" s="8" t="str">
        <f t="shared" si="50"/>
        <v>no</v>
      </c>
      <c r="J168" s="10" t="str">
        <f t="shared" si="41"/>
        <v>no</v>
      </c>
      <c r="K168" s="10" t="str">
        <f t="shared" si="42"/>
        <v>no</v>
      </c>
      <c r="L168" t="s">
        <v>288</v>
      </c>
      <c r="M168">
        <v>10309</v>
      </c>
      <c r="N168">
        <v>43</v>
      </c>
      <c r="O168" t="s">
        <v>723</v>
      </c>
      <c r="P168" t="str">
        <f t="shared" si="43"/>
        <v>HUNGO_10309_Ipoh Coffee</v>
      </c>
      <c r="Q168" t="str">
        <f t="shared" si="44"/>
        <v>10309</v>
      </c>
      <c r="R168" t="str">
        <f t="shared" si="45"/>
        <v>10309</v>
      </c>
      <c r="S168" t="str">
        <f t="shared" si="46"/>
        <v>Ipoh Coffee</v>
      </c>
      <c r="T168">
        <v>36.799999999999997</v>
      </c>
      <c r="U168">
        <v>20</v>
      </c>
      <c r="V168">
        <v>0</v>
      </c>
      <c r="W168">
        <f t="shared" si="47"/>
        <v>736</v>
      </c>
      <c r="X168" t="str">
        <f t="shared" si="48"/>
        <v>No</v>
      </c>
      <c r="Y168" s="2">
        <v>34627</v>
      </c>
      <c r="Z168" t="str">
        <f t="shared" si="34"/>
        <v/>
      </c>
      <c r="AA168" t="str">
        <f t="shared" si="49"/>
        <v/>
      </c>
      <c r="AB168" t="str" cm="1">
        <f t="array" ref="AB168">_xlfn.IFS(Y168&lt;DATE(1996,1,1),"",Y168&lt;DATE(1996,4,1),"Q1",Y168&lt;DATE(1996,7,1),"Q2",Y168&gt;=DATE(1996,7,1),"")</f>
        <v/>
      </c>
    </row>
    <row r="169" spans="1:28" ht="14.4" x14ac:dyDescent="0.55000000000000004">
      <c r="A169" t="str">
        <f>VLOOKUP(L169,Customers!$A$2:$B$92,2,FALSE)</f>
        <v>Hungry Owl All-Night Grocers</v>
      </c>
      <c r="B169" t="str">
        <f>VLOOKUP(L169,Customers!$A$2:$C$92,3,TRUE)</f>
        <v>Patricia McKenna</v>
      </c>
      <c r="C169" t="str">
        <f t="shared" si="35"/>
        <v>Patricia</v>
      </c>
      <c r="D169" s="8" t="str">
        <f t="shared" si="36"/>
        <v>McKenna</v>
      </c>
      <c r="E169" s="8" t="str">
        <f t="shared" si="37"/>
        <v>McKenna, Patricia</v>
      </c>
      <c r="F169" s="8" t="str">
        <f t="shared" si="38"/>
        <v>McKenna, Patricia</v>
      </c>
      <c r="G169" s="8" t="str">
        <f t="shared" si="39"/>
        <v>not an outlier</v>
      </c>
      <c r="H169" s="8" t="str">
        <f t="shared" si="40"/>
        <v>Not</v>
      </c>
      <c r="I169" s="8" t="str">
        <f t="shared" si="50"/>
        <v>no</v>
      </c>
      <c r="J169" s="10" t="str">
        <f t="shared" si="41"/>
        <v>no</v>
      </c>
      <c r="K169" s="10" t="str">
        <f t="shared" si="42"/>
        <v>no</v>
      </c>
      <c r="L169" t="s">
        <v>288</v>
      </c>
      <c r="M169">
        <v>10309</v>
      </c>
      <c r="N169">
        <v>71</v>
      </c>
      <c r="O169" t="s">
        <v>725</v>
      </c>
      <c r="P169" t="str">
        <f t="shared" si="43"/>
        <v>HUNGO_10309_Fløtemysost</v>
      </c>
      <c r="Q169" t="str">
        <f t="shared" si="44"/>
        <v>10309</v>
      </c>
      <c r="R169" t="str">
        <f t="shared" si="45"/>
        <v>10309</v>
      </c>
      <c r="S169" t="str">
        <f t="shared" si="46"/>
        <v>Fløtemysost</v>
      </c>
      <c r="T169">
        <v>17.2</v>
      </c>
      <c r="U169">
        <v>3</v>
      </c>
      <c r="V169">
        <v>0</v>
      </c>
      <c r="W169">
        <f t="shared" si="47"/>
        <v>51.599999999999994</v>
      </c>
      <c r="X169" t="str">
        <f t="shared" si="48"/>
        <v>No</v>
      </c>
      <c r="Y169" s="2">
        <v>34627</v>
      </c>
      <c r="Z169" t="str">
        <f t="shared" si="34"/>
        <v/>
      </c>
      <c r="AA169" t="str">
        <f t="shared" si="49"/>
        <v/>
      </c>
      <c r="AB169" t="str" cm="1">
        <f t="array" ref="AB169">_xlfn.IFS(Y169&lt;DATE(1996,1,1),"",Y169&lt;DATE(1996,4,1),"Q1",Y169&lt;DATE(1996,7,1),"Q2",Y169&gt;=DATE(1996,7,1),"")</f>
        <v/>
      </c>
    </row>
    <row r="170" spans="1:28" ht="14.4" x14ac:dyDescent="0.55000000000000004">
      <c r="A170" t="str">
        <f>VLOOKUP(L170,Customers!$A$2:$B$92,2,FALSE)</f>
        <v>The Big Cheese</v>
      </c>
      <c r="B170" t="str">
        <f>VLOOKUP(L170,Customers!$A$2:$C$92,3,TRUE)</f>
        <v>Liz Nixon</v>
      </c>
      <c r="C170" t="str">
        <f t="shared" si="35"/>
        <v>Liz</v>
      </c>
      <c r="D170" s="8" t="str">
        <f t="shared" si="36"/>
        <v>Nixon</v>
      </c>
      <c r="E170" s="8" t="str">
        <f t="shared" si="37"/>
        <v>Nixon, Liz</v>
      </c>
      <c r="F170" s="8" t="str">
        <f t="shared" si="38"/>
        <v>Nixon, Liz</v>
      </c>
      <c r="G170" s="8" t="str">
        <f t="shared" si="39"/>
        <v>not an outlier</v>
      </c>
      <c r="H170" s="8" t="str">
        <f t="shared" si="40"/>
        <v>Not</v>
      </c>
      <c r="I170" s="8" t="str">
        <f t="shared" si="50"/>
        <v>no</v>
      </c>
      <c r="J170" s="10" t="str">
        <f t="shared" si="41"/>
        <v>no</v>
      </c>
      <c r="K170" s="10" t="str">
        <f t="shared" si="42"/>
        <v>no</v>
      </c>
      <c r="L170" t="s">
        <v>573</v>
      </c>
      <c r="M170">
        <v>10310</v>
      </c>
      <c r="N170">
        <v>16</v>
      </c>
      <c r="O170" t="s">
        <v>702</v>
      </c>
      <c r="P170" t="str">
        <f t="shared" si="43"/>
        <v>THEBI_10310_Pavlova</v>
      </c>
      <c r="Q170" t="str">
        <f t="shared" si="44"/>
        <v>10310</v>
      </c>
      <c r="R170" t="str">
        <f t="shared" si="45"/>
        <v>10310</v>
      </c>
      <c r="S170" t="str">
        <f t="shared" si="46"/>
        <v>Pavlova</v>
      </c>
      <c r="T170">
        <v>13.9</v>
      </c>
      <c r="U170">
        <v>10</v>
      </c>
      <c r="V170">
        <v>0</v>
      </c>
      <c r="W170">
        <f t="shared" si="47"/>
        <v>139</v>
      </c>
      <c r="X170" t="str">
        <f t="shared" si="48"/>
        <v>No</v>
      </c>
      <c r="Y170" s="2">
        <v>34628</v>
      </c>
      <c r="Z170" t="str">
        <f t="shared" si="34"/>
        <v/>
      </c>
      <c r="AA170" t="str">
        <f t="shared" si="49"/>
        <v/>
      </c>
      <c r="AB170" t="str" cm="1">
        <f t="array" ref="AB170">_xlfn.IFS(Y170&lt;DATE(1996,1,1),"",Y170&lt;DATE(1996,4,1),"Q1",Y170&lt;DATE(1996,7,1),"Q2",Y170&gt;=DATE(1996,7,1),"")</f>
        <v/>
      </c>
    </row>
    <row r="171" spans="1:28" ht="14.4" x14ac:dyDescent="0.55000000000000004">
      <c r="A171" t="str">
        <f>VLOOKUP(L171,Customers!$A$2:$B$92,2,FALSE)</f>
        <v>The Big Cheese</v>
      </c>
      <c r="B171" t="str">
        <f>VLOOKUP(L171,Customers!$A$2:$C$92,3,TRUE)</f>
        <v>Liz Nixon</v>
      </c>
      <c r="C171" t="str">
        <f t="shared" si="35"/>
        <v>Liz</v>
      </c>
      <c r="D171" s="8" t="str">
        <f t="shared" si="36"/>
        <v>Nixon</v>
      </c>
      <c r="E171" s="8" t="str">
        <f t="shared" si="37"/>
        <v>Nixon, Liz</v>
      </c>
      <c r="F171" s="8" t="str">
        <f t="shared" si="38"/>
        <v>Nixon, Liz</v>
      </c>
      <c r="G171" s="8" t="str">
        <f t="shared" si="39"/>
        <v>not an outlier</v>
      </c>
      <c r="H171" s="8" t="str">
        <f t="shared" si="40"/>
        <v>Not</v>
      </c>
      <c r="I171" s="8" t="str">
        <f t="shared" si="50"/>
        <v>no</v>
      </c>
      <c r="J171" s="10" t="str">
        <f t="shared" si="41"/>
        <v>no</v>
      </c>
      <c r="K171" s="10" t="str">
        <f t="shared" si="42"/>
        <v>no</v>
      </c>
      <c r="L171" t="s">
        <v>573</v>
      </c>
      <c r="M171">
        <v>10310</v>
      </c>
      <c r="N171">
        <v>62</v>
      </c>
      <c r="O171" t="s">
        <v>712</v>
      </c>
      <c r="P171" t="str">
        <f t="shared" si="43"/>
        <v>THEBI_10310_Tarte au sucre</v>
      </c>
      <c r="Q171" t="str">
        <f t="shared" si="44"/>
        <v>10310</v>
      </c>
      <c r="R171" t="str">
        <f t="shared" si="45"/>
        <v>10310</v>
      </c>
      <c r="S171" t="str">
        <f t="shared" si="46"/>
        <v>Tarte au sucre</v>
      </c>
      <c r="T171">
        <v>39.4</v>
      </c>
      <c r="U171">
        <v>5</v>
      </c>
      <c r="V171">
        <v>0</v>
      </c>
      <c r="W171">
        <f t="shared" si="47"/>
        <v>197</v>
      </c>
      <c r="X171" t="str">
        <f t="shared" si="48"/>
        <v>No</v>
      </c>
      <c r="Y171" s="2">
        <v>34628</v>
      </c>
      <c r="Z171" t="str">
        <f t="shared" si="34"/>
        <v/>
      </c>
      <c r="AA171" t="str">
        <f t="shared" si="49"/>
        <v/>
      </c>
      <c r="AB171" t="str" cm="1">
        <f t="array" ref="AB171">_xlfn.IFS(Y171&lt;DATE(1996,1,1),"",Y171&lt;DATE(1996,4,1),"Q1",Y171&lt;DATE(1996,7,1),"Q2",Y171&gt;=DATE(1996,7,1),"")</f>
        <v/>
      </c>
    </row>
    <row r="172" spans="1:28" ht="14.4" x14ac:dyDescent="0.55000000000000004">
      <c r="A172" t="str">
        <f>VLOOKUP(L172,Customers!$A$2:$B$92,2,FALSE)</f>
        <v>Du monde entier</v>
      </c>
      <c r="B172" t="str">
        <f>VLOOKUP(L172,Customers!$A$2:$C$92,3,TRUE)</f>
        <v>Janine Labrune</v>
      </c>
      <c r="C172" t="str">
        <f t="shared" si="35"/>
        <v>Janine</v>
      </c>
      <c r="D172" s="8" t="str">
        <f t="shared" si="36"/>
        <v>Labrune</v>
      </c>
      <c r="E172" s="8" t="str">
        <f t="shared" si="37"/>
        <v>Labrune, Janine</v>
      </c>
      <c r="F172" s="8" t="str">
        <f t="shared" si="38"/>
        <v>Labrune, Janine</v>
      </c>
      <c r="G172" s="8" t="str">
        <f t="shared" si="39"/>
        <v>not an outlier</v>
      </c>
      <c r="H172" s="8" t="str">
        <f t="shared" si="40"/>
        <v>Not</v>
      </c>
      <c r="I172" s="8" t="str">
        <f t="shared" si="50"/>
        <v>no</v>
      </c>
      <c r="J172" s="10" t="str">
        <f t="shared" si="41"/>
        <v>no</v>
      </c>
      <c r="K172" s="10" t="str">
        <f t="shared" si="42"/>
        <v>no</v>
      </c>
      <c r="L172" t="s">
        <v>147</v>
      </c>
      <c r="M172">
        <v>10311</v>
      </c>
      <c r="N172">
        <v>42</v>
      </c>
      <c r="O172" t="s">
        <v>684</v>
      </c>
      <c r="P172" t="str">
        <f t="shared" si="43"/>
        <v>DUMON_10311_Singaporean Hokkien Fried Mee</v>
      </c>
      <c r="Q172" t="str">
        <f t="shared" si="44"/>
        <v>10311</v>
      </c>
      <c r="R172" t="str">
        <f t="shared" si="45"/>
        <v>10311</v>
      </c>
      <c r="S172" t="str">
        <f t="shared" si="46"/>
        <v>Singaporean Hokkien Fried Mee</v>
      </c>
      <c r="T172">
        <v>11.2</v>
      </c>
      <c r="U172">
        <v>6</v>
      </c>
      <c r="V172">
        <v>0</v>
      </c>
      <c r="W172">
        <f t="shared" si="47"/>
        <v>67.199999999999989</v>
      </c>
      <c r="X172" t="str">
        <f t="shared" si="48"/>
        <v>No</v>
      </c>
      <c r="Y172" s="2">
        <v>34628</v>
      </c>
      <c r="Z172" t="str">
        <f t="shared" si="34"/>
        <v/>
      </c>
      <c r="AA172" t="str">
        <f t="shared" si="49"/>
        <v/>
      </c>
      <c r="AB172" t="str" cm="1">
        <f t="array" ref="AB172">_xlfn.IFS(Y172&lt;DATE(1996,1,1),"",Y172&lt;DATE(1996,4,1),"Q1",Y172&lt;DATE(1996,7,1),"Q2",Y172&gt;=DATE(1996,7,1),"")</f>
        <v/>
      </c>
    </row>
    <row r="173" spans="1:28" ht="14.4" x14ac:dyDescent="0.55000000000000004">
      <c r="A173" t="str">
        <f>VLOOKUP(L173,Customers!$A$2:$B$92,2,FALSE)</f>
        <v>Du monde entier</v>
      </c>
      <c r="B173" t="str">
        <f>VLOOKUP(L173,Customers!$A$2:$C$92,3,TRUE)</f>
        <v>Janine Labrune</v>
      </c>
      <c r="C173" t="str">
        <f t="shared" si="35"/>
        <v>Janine</v>
      </c>
      <c r="D173" s="8" t="str">
        <f t="shared" si="36"/>
        <v>Labrune</v>
      </c>
      <c r="E173" s="8" t="str">
        <f t="shared" si="37"/>
        <v>Labrune, Janine</v>
      </c>
      <c r="F173" s="8" t="str">
        <f t="shared" si="38"/>
        <v>Labrune, Janine</v>
      </c>
      <c r="G173" s="8" t="str">
        <f t="shared" si="39"/>
        <v>not an outlier</v>
      </c>
      <c r="H173" s="8" t="str">
        <f t="shared" si="40"/>
        <v>Not</v>
      </c>
      <c r="I173" s="8" t="str">
        <f t="shared" si="50"/>
        <v>no</v>
      </c>
      <c r="J173" s="10" t="str">
        <f t="shared" si="41"/>
        <v>no</v>
      </c>
      <c r="K173" s="10" t="str">
        <f t="shared" si="42"/>
        <v>no</v>
      </c>
      <c r="L173" t="s">
        <v>147</v>
      </c>
      <c r="M173">
        <v>10311</v>
      </c>
      <c r="N173">
        <v>69</v>
      </c>
      <c r="O173" t="s">
        <v>743</v>
      </c>
      <c r="P173" t="str">
        <f t="shared" si="43"/>
        <v>DUMON_10311_Gudbrandsdalsost</v>
      </c>
      <c r="Q173" t="str">
        <f t="shared" si="44"/>
        <v>10311</v>
      </c>
      <c r="R173" t="str">
        <f t="shared" si="45"/>
        <v>10311</v>
      </c>
      <c r="S173" t="str">
        <f t="shared" si="46"/>
        <v>Gudbrandsdalsost</v>
      </c>
      <c r="T173">
        <v>28.8</v>
      </c>
      <c r="U173">
        <v>7</v>
      </c>
      <c r="V173">
        <v>0</v>
      </c>
      <c r="W173">
        <f t="shared" si="47"/>
        <v>201.6</v>
      </c>
      <c r="X173" t="str">
        <f t="shared" si="48"/>
        <v>No</v>
      </c>
      <c r="Y173" s="2">
        <v>34628</v>
      </c>
      <c r="Z173" t="str">
        <f t="shared" si="34"/>
        <v/>
      </c>
      <c r="AA173" t="str">
        <f t="shared" si="49"/>
        <v/>
      </c>
      <c r="AB173" t="str" cm="1">
        <f t="array" ref="AB173">_xlfn.IFS(Y173&lt;DATE(1996,1,1),"",Y173&lt;DATE(1996,4,1),"Q1",Y173&lt;DATE(1996,7,1),"Q2",Y173&gt;=DATE(1996,7,1),"")</f>
        <v/>
      </c>
    </row>
    <row r="174" spans="1:28" ht="14.4" x14ac:dyDescent="0.55000000000000004">
      <c r="A174" t="str">
        <f>VLOOKUP(L174,Customers!$A$2:$B$92,2,FALSE)</f>
        <v>Die Wandernde Kuh</v>
      </c>
      <c r="B174" t="str">
        <f>VLOOKUP(L174,Customers!$A$2:$C$92,3,TRUE)</f>
        <v>Rita Müller</v>
      </c>
      <c r="C174" t="str">
        <f t="shared" si="35"/>
        <v>Rita</v>
      </c>
      <c r="D174" s="8" t="str">
        <f t="shared" si="36"/>
        <v>Müller</v>
      </c>
      <c r="E174" s="8" t="str">
        <f t="shared" si="37"/>
        <v>Müller, Rita</v>
      </c>
      <c r="F174" s="8" t="str">
        <f t="shared" si="38"/>
        <v>Müller, Rita</v>
      </c>
      <c r="G174" s="8" t="str">
        <f t="shared" si="39"/>
        <v>not an outlier</v>
      </c>
      <c r="H174" s="8" t="str">
        <f t="shared" si="40"/>
        <v>Not</v>
      </c>
      <c r="I174" s="8" t="str">
        <f t="shared" si="50"/>
        <v>no</v>
      </c>
      <c r="J174" s="10" t="str">
        <f t="shared" si="41"/>
        <v>no</v>
      </c>
      <c r="K174" s="10" t="str">
        <f t="shared" si="42"/>
        <v>no</v>
      </c>
      <c r="L174" t="s">
        <v>633</v>
      </c>
      <c r="M174">
        <v>10312</v>
      </c>
      <c r="N174">
        <v>28</v>
      </c>
      <c r="O174" t="s">
        <v>727</v>
      </c>
      <c r="P174" t="str">
        <f t="shared" si="43"/>
        <v>WANDK_10312_Rössle Sauerkraut</v>
      </c>
      <c r="Q174" t="str">
        <f t="shared" si="44"/>
        <v>10312</v>
      </c>
      <c r="R174" t="str">
        <f t="shared" si="45"/>
        <v>10312</v>
      </c>
      <c r="S174" t="str">
        <f t="shared" si="46"/>
        <v>Rössle Sauerkraut</v>
      </c>
      <c r="T174">
        <v>36.4</v>
      </c>
      <c r="U174">
        <v>4</v>
      </c>
      <c r="V174">
        <v>0</v>
      </c>
      <c r="W174">
        <f t="shared" si="47"/>
        <v>145.6</v>
      </c>
      <c r="X174" t="str">
        <f t="shared" si="48"/>
        <v>No</v>
      </c>
      <c r="Y174" s="2">
        <v>34631</v>
      </c>
      <c r="Z174" t="str">
        <f t="shared" si="34"/>
        <v/>
      </c>
      <c r="AA174" t="str">
        <f t="shared" si="49"/>
        <v/>
      </c>
      <c r="AB174" t="str" cm="1">
        <f t="array" ref="AB174">_xlfn.IFS(Y174&lt;DATE(1996,1,1),"",Y174&lt;DATE(1996,4,1),"Q1",Y174&lt;DATE(1996,7,1),"Q2",Y174&gt;=DATE(1996,7,1),"")</f>
        <v/>
      </c>
    </row>
    <row r="175" spans="1:28" ht="14.4" x14ac:dyDescent="0.55000000000000004">
      <c r="A175" t="str">
        <f>VLOOKUP(L175,Customers!$A$2:$B$92,2,FALSE)</f>
        <v>Die Wandernde Kuh</v>
      </c>
      <c r="B175" t="str">
        <f>VLOOKUP(L175,Customers!$A$2:$C$92,3,TRUE)</f>
        <v>Rita Müller</v>
      </c>
      <c r="C175" t="str">
        <f t="shared" si="35"/>
        <v>Rita</v>
      </c>
      <c r="D175" s="8" t="str">
        <f t="shared" si="36"/>
        <v>Müller</v>
      </c>
      <c r="E175" s="8" t="str">
        <f t="shared" si="37"/>
        <v>Müller, Rita</v>
      </c>
      <c r="F175" s="8" t="str">
        <f t="shared" si="38"/>
        <v>Müller, Rita</v>
      </c>
      <c r="G175" s="8" t="str">
        <f t="shared" si="39"/>
        <v>not an outlier</v>
      </c>
      <c r="H175" s="8" t="str">
        <f t="shared" si="40"/>
        <v>Not</v>
      </c>
      <c r="I175" s="8" t="str">
        <f t="shared" si="50"/>
        <v>no</v>
      </c>
      <c r="J175" s="10" t="str">
        <f t="shared" si="41"/>
        <v>no</v>
      </c>
      <c r="K175" s="10" t="str">
        <f t="shared" si="42"/>
        <v>no</v>
      </c>
      <c r="L175" t="s">
        <v>633</v>
      </c>
      <c r="M175">
        <v>10312</v>
      </c>
      <c r="N175">
        <v>43</v>
      </c>
      <c r="O175" t="s">
        <v>723</v>
      </c>
      <c r="P175" t="str">
        <f t="shared" si="43"/>
        <v>WANDK_10312_Ipoh Coffee</v>
      </c>
      <c r="Q175" t="str">
        <f t="shared" si="44"/>
        <v>10312</v>
      </c>
      <c r="R175" t="str">
        <f t="shared" si="45"/>
        <v>10312</v>
      </c>
      <c r="S175" t="str">
        <f t="shared" si="46"/>
        <v>Ipoh Coffee</v>
      </c>
      <c r="T175">
        <v>36.799999999999997</v>
      </c>
      <c r="U175">
        <v>24</v>
      </c>
      <c r="V175">
        <v>0</v>
      </c>
      <c r="W175">
        <f t="shared" si="47"/>
        <v>883.19999999999993</v>
      </c>
      <c r="X175" t="str">
        <f t="shared" si="48"/>
        <v>No</v>
      </c>
      <c r="Y175" s="2">
        <v>34631</v>
      </c>
      <c r="Z175" t="str">
        <f t="shared" si="34"/>
        <v/>
      </c>
      <c r="AA175" t="str">
        <f t="shared" si="49"/>
        <v/>
      </c>
      <c r="AB175" t="str" cm="1">
        <f t="array" ref="AB175">_xlfn.IFS(Y175&lt;DATE(1996,1,1),"",Y175&lt;DATE(1996,4,1),"Q1",Y175&lt;DATE(1996,7,1),"Q2",Y175&gt;=DATE(1996,7,1),"")</f>
        <v/>
      </c>
    </row>
    <row r="176" spans="1:28" ht="14.4" x14ac:dyDescent="0.55000000000000004">
      <c r="A176" t="str">
        <f>VLOOKUP(L176,Customers!$A$2:$B$92,2,FALSE)</f>
        <v>Die Wandernde Kuh</v>
      </c>
      <c r="B176" t="str">
        <f>VLOOKUP(L176,Customers!$A$2:$C$92,3,TRUE)</f>
        <v>Rita Müller</v>
      </c>
      <c r="C176" t="str">
        <f t="shared" si="35"/>
        <v>Rita</v>
      </c>
      <c r="D176" s="8" t="str">
        <f t="shared" si="36"/>
        <v>Müller</v>
      </c>
      <c r="E176" s="8" t="str">
        <f t="shared" si="37"/>
        <v>Müller, Rita</v>
      </c>
      <c r="F176" s="8" t="str">
        <f t="shared" si="38"/>
        <v>Müller, Rita</v>
      </c>
      <c r="G176" s="8" t="str">
        <f t="shared" si="39"/>
        <v>not an outlier</v>
      </c>
      <c r="H176" s="8" t="str">
        <f t="shared" si="40"/>
        <v>Not</v>
      </c>
      <c r="I176" s="8" t="str">
        <f t="shared" si="50"/>
        <v>no</v>
      </c>
      <c r="J176" s="10" t="str">
        <f t="shared" si="41"/>
        <v>no</v>
      </c>
      <c r="K176" s="10" t="str">
        <f t="shared" si="42"/>
        <v>no</v>
      </c>
      <c r="L176" t="s">
        <v>633</v>
      </c>
      <c r="M176">
        <v>10312</v>
      </c>
      <c r="N176">
        <v>53</v>
      </c>
      <c r="O176" t="s">
        <v>705</v>
      </c>
      <c r="P176" t="str">
        <f t="shared" si="43"/>
        <v>WANDK_10312_Perth Pasties</v>
      </c>
      <c r="Q176" t="str">
        <f t="shared" si="44"/>
        <v>10312</v>
      </c>
      <c r="R176" t="str">
        <f t="shared" si="45"/>
        <v>10312</v>
      </c>
      <c r="S176" t="str">
        <f t="shared" si="46"/>
        <v>Perth Pasties</v>
      </c>
      <c r="T176">
        <v>26.2</v>
      </c>
      <c r="U176">
        <v>20</v>
      </c>
      <c r="V176">
        <v>0</v>
      </c>
      <c r="W176">
        <f t="shared" si="47"/>
        <v>524</v>
      </c>
      <c r="X176" t="str">
        <f t="shared" si="48"/>
        <v>No</v>
      </c>
      <c r="Y176" s="2">
        <v>34631</v>
      </c>
      <c r="Z176" t="str">
        <f t="shared" si="34"/>
        <v/>
      </c>
      <c r="AA176" t="str">
        <f t="shared" si="49"/>
        <v/>
      </c>
      <c r="AB176" t="str" cm="1">
        <f t="array" ref="AB176">_xlfn.IFS(Y176&lt;DATE(1996,1,1),"",Y176&lt;DATE(1996,4,1),"Q1",Y176&lt;DATE(1996,7,1),"Q2",Y176&gt;=DATE(1996,7,1),"")</f>
        <v/>
      </c>
    </row>
    <row r="177" spans="1:28" ht="14.4" x14ac:dyDescent="0.55000000000000004">
      <c r="A177" t="str">
        <f>VLOOKUP(L177,Customers!$A$2:$B$92,2,FALSE)</f>
        <v>Die Wandernde Kuh</v>
      </c>
      <c r="B177" t="str">
        <f>VLOOKUP(L177,Customers!$A$2:$C$92,3,TRUE)</f>
        <v>Rita Müller</v>
      </c>
      <c r="C177" t="str">
        <f t="shared" si="35"/>
        <v>Rita</v>
      </c>
      <c r="D177" s="8" t="str">
        <f t="shared" si="36"/>
        <v>Müller</v>
      </c>
      <c r="E177" s="8" t="str">
        <f t="shared" si="37"/>
        <v>Müller, Rita</v>
      </c>
      <c r="F177" s="8" t="str">
        <f t="shared" si="38"/>
        <v>Müller, Rita</v>
      </c>
      <c r="G177" s="8" t="str">
        <f t="shared" si="39"/>
        <v>not an outlier</v>
      </c>
      <c r="H177" s="8" t="str">
        <f t="shared" si="40"/>
        <v>Not</v>
      </c>
      <c r="I177" s="8" t="str">
        <f t="shared" si="50"/>
        <v>no</v>
      </c>
      <c r="J177" s="10" t="str">
        <f t="shared" si="41"/>
        <v>no</v>
      </c>
      <c r="K177" s="10" t="str">
        <f t="shared" si="42"/>
        <v>no</v>
      </c>
      <c r="L177" t="s">
        <v>633</v>
      </c>
      <c r="M177">
        <v>10312</v>
      </c>
      <c r="N177">
        <v>75</v>
      </c>
      <c r="O177" t="s">
        <v>731</v>
      </c>
      <c r="P177" t="str">
        <f t="shared" si="43"/>
        <v>WANDK_10312_Rhönbräu Klosterbier</v>
      </c>
      <c r="Q177" t="str">
        <f t="shared" si="44"/>
        <v>10312</v>
      </c>
      <c r="R177" t="str">
        <f t="shared" si="45"/>
        <v>10312</v>
      </c>
      <c r="S177" t="str">
        <f t="shared" si="46"/>
        <v>Rhönbräu Klosterbier</v>
      </c>
      <c r="T177">
        <v>6.2</v>
      </c>
      <c r="U177">
        <v>10</v>
      </c>
      <c r="V177">
        <v>0</v>
      </c>
      <c r="W177">
        <f t="shared" si="47"/>
        <v>62</v>
      </c>
      <c r="X177" t="str">
        <f t="shared" si="48"/>
        <v>No</v>
      </c>
      <c r="Y177" s="2">
        <v>34631</v>
      </c>
      <c r="Z177" t="str">
        <f t="shared" si="34"/>
        <v/>
      </c>
      <c r="AA177" t="str">
        <f t="shared" si="49"/>
        <v/>
      </c>
      <c r="AB177" t="str" cm="1">
        <f t="array" ref="AB177">_xlfn.IFS(Y177&lt;DATE(1996,1,1),"",Y177&lt;DATE(1996,4,1),"Q1",Y177&lt;DATE(1996,7,1),"Q2",Y177&gt;=DATE(1996,7,1),"")</f>
        <v/>
      </c>
    </row>
    <row r="178" spans="1:28" ht="14.4" x14ac:dyDescent="0.55000000000000004">
      <c r="A178" t="str">
        <f>VLOOKUP(L178,Customers!$A$2:$B$92,2,FALSE)</f>
        <v>QUICK-Stop</v>
      </c>
      <c r="B178" t="str">
        <f>VLOOKUP(L178,Customers!$A$2:$C$92,3,TRUE)</f>
        <v>Horst Kloss</v>
      </c>
      <c r="C178" t="str">
        <f t="shared" si="35"/>
        <v>Horst</v>
      </c>
      <c r="D178" s="8" t="str">
        <f t="shared" si="36"/>
        <v>Kloss</v>
      </c>
      <c r="E178" s="8" t="str">
        <f t="shared" si="37"/>
        <v>Kloss, Horst</v>
      </c>
      <c r="F178" s="8" t="str">
        <f t="shared" si="38"/>
        <v>Kloss, Horst</v>
      </c>
      <c r="G178" s="8" t="str">
        <f t="shared" si="39"/>
        <v>not an outlier</v>
      </c>
      <c r="H178" s="8" t="str">
        <f t="shared" si="40"/>
        <v>Not</v>
      </c>
      <c r="I178" s="8" t="str">
        <f t="shared" si="50"/>
        <v>no</v>
      </c>
      <c r="J178" s="10" t="str">
        <f t="shared" si="41"/>
        <v>no</v>
      </c>
      <c r="K178" s="10" t="str">
        <f t="shared" si="42"/>
        <v>no</v>
      </c>
      <c r="L178" t="s">
        <v>475</v>
      </c>
      <c r="M178">
        <v>10313</v>
      </c>
      <c r="N178">
        <v>36</v>
      </c>
      <c r="O178" t="s">
        <v>703</v>
      </c>
      <c r="P178" t="str">
        <f t="shared" si="43"/>
        <v>QUICK_10313_Inlagd Sill</v>
      </c>
      <c r="Q178" t="str">
        <f t="shared" si="44"/>
        <v>10313</v>
      </c>
      <c r="R178" t="str">
        <f t="shared" si="45"/>
        <v>10313</v>
      </c>
      <c r="S178" t="str">
        <f t="shared" si="46"/>
        <v>Inlagd Sill</v>
      </c>
      <c r="T178">
        <v>15.2</v>
      </c>
      <c r="U178">
        <v>12</v>
      </c>
      <c r="V178">
        <v>0</v>
      </c>
      <c r="W178">
        <f t="shared" si="47"/>
        <v>182.39999999999998</v>
      </c>
      <c r="X178" t="str">
        <f t="shared" si="48"/>
        <v>No</v>
      </c>
      <c r="Y178" s="2">
        <v>34632</v>
      </c>
      <c r="Z178" t="str">
        <f t="shared" si="34"/>
        <v/>
      </c>
      <c r="AA178" t="str">
        <f t="shared" si="49"/>
        <v/>
      </c>
      <c r="AB178" t="str" cm="1">
        <f t="array" ref="AB178">_xlfn.IFS(Y178&lt;DATE(1996,1,1),"",Y178&lt;DATE(1996,4,1),"Q1",Y178&lt;DATE(1996,7,1),"Q2",Y178&gt;=DATE(1996,7,1),"")</f>
        <v/>
      </c>
    </row>
    <row r="179" spans="1:28" ht="14.4" x14ac:dyDescent="0.55000000000000004">
      <c r="A179" t="str">
        <f>VLOOKUP(L179,Customers!$A$2:$B$92,2,FALSE)</f>
        <v>Rattlesnake Canyon Grocery</v>
      </c>
      <c r="B179" t="str">
        <f>VLOOKUP(L179,Customers!$A$2:$C$92,3,TRUE)</f>
        <v>Paula Wilson</v>
      </c>
      <c r="C179" t="str">
        <f t="shared" si="35"/>
        <v>Paula</v>
      </c>
      <c r="D179" s="8" t="str">
        <f t="shared" si="36"/>
        <v>Wilson</v>
      </c>
      <c r="E179" s="8" t="str">
        <f t="shared" si="37"/>
        <v>Wilson, Paula</v>
      </c>
      <c r="F179" s="8" t="str">
        <f t="shared" si="38"/>
        <v>Wilson, Paula</v>
      </c>
      <c r="G179" s="8" t="str">
        <f t="shared" si="39"/>
        <v>not an outlier</v>
      </c>
      <c r="H179" s="8" t="str">
        <f t="shared" si="40"/>
        <v>Not</v>
      </c>
      <c r="I179" s="8" t="str">
        <f t="shared" si="50"/>
        <v>no</v>
      </c>
      <c r="J179" s="10" t="str">
        <f t="shared" si="41"/>
        <v>no</v>
      </c>
      <c r="K179" s="10" t="str">
        <f t="shared" si="42"/>
        <v>no</v>
      </c>
      <c r="L179" t="s">
        <v>487</v>
      </c>
      <c r="M179">
        <v>10314</v>
      </c>
      <c r="N179">
        <v>32</v>
      </c>
      <c r="O179" t="s">
        <v>709</v>
      </c>
      <c r="P179" t="str">
        <f t="shared" si="43"/>
        <v>RATTC_10314_Mascarpone Fabioli</v>
      </c>
      <c r="Q179" t="str">
        <f t="shared" si="44"/>
        <v>10314</v>
      </c>
      <c r="R179" t="str">
        <f t="shared" si="45"/>
        <v>10314</v>
      </c>
      <c r="S179" t="str">
        <f t="shared" si="46"/>
        <v>Mascarpone Fabioli</v>
      </c>
      <c r="T179">
        <v>25.6</v>
      </c>
      <c r="U179">
        <v>40</v>
      </c>
      <c r="V179">
        <v>0.1</v>
      </c>
      <c r="W179">
        <f t="shared" si="47"/>
        <v>921.6</v>
      </c>
      <c r="X179" t="str">
        <f t="shared" si="48"/>
        <v>No</v>
      </c>
      <c r="Y179" s="2">
        <v>34633</v>
      </c>
      <c r="Z179" t="str">
        <f t="shared" si="34"/>
        <v/>
      </c>
      <c r="AA179" t="str">
        <f t="shared" si="49"/>
        <v/>
      </c>
      <c r="AB179" t="str" cm="1">
        <f t="array" ref="AB179">_xlfn.IFS(Y179&lt;DATE(1996,1,1),"",Y179&lt;DATE(1996,4,1),"Q1",Y179&lt;DATE(1996,7,1),"Q2",Y179&gt;=DATE(1996,7,1),"")</f>
        <v/>
      </c>
    </row>
    <row r="180" spans="1:28" ht="14.4" x14ac:dyDescent="0.55000000000000004">
      <c r="A180" t="str">
        <f>VLOOKUP(L180,Customers!$A$2:$B$92,2,FALSE)</f>
        <v>Rattlesnake Canyon Grocery</v>
      </c>
      <c r="B180" t="str">
        <f>VLOOKUP(L180,Customers!$A$2:$C$92,3,TRUE)</f>
        <v>Paula Wilson</v>
      </c>
      <c r="C180" t="str">
        <f t="shared" si="35"/>
        <v>Paula</v>
      </c>
      <c r="D180" s="8" t="str">
        <f t="shared" si="36"/>
        <v>Wilson</v>
      </c>
      <c r="E180" s="8" t="str">
        <f t="shared" si="37"/>
        <v>Wilson, Paula</v>
      </c>
      <c r="F180" s="8" t="str">
        <f t="shared" si="38"/>
        <v>Wilson, Paula</v>
      </c>
      <c r="G180" s="8" t="str">
        <f t="shared" si="39"/>
        <v>not an outlier</v>
      </c>
      <c r="H180" s="8" t="str">
        <f t="shared" si="40"/>
        <v>Not</v>
      </c>
      <c r="I180" s="8" t="str">
        <f t="shared" si="50"/>
        <v>no</v>
      </c>
      <c r="J180" s="10" t="str">
        <f t="shared" si="41"/>
        <v>no</v>
      </c>
      <c r="K180" s="10" t="str">
        <f t="shared" si="42"/>
        <v>no</v>
      </c>
      <c r="L180" t="s">
        <v>487</v>
      </c>
      <c r="M180">
        <v>10314</v>
      </c>
      <c r="N180">
        <v>58</v>
      </c>
      <c r="O180" t="s">
        <v>747</v>
      </c>
      <c r="P180" t="str">
        <f t="shared" si="43"/>
        <v>RATTC_10314_Escargots de Bourgogne</v>
      </c>
      <c r="Q180" t="str">
        <f t="shared" si="44"/>
        <v>10314</v>
      </c>
      <c r="R180" t="str">
        <f t="shared" si="45"/>
        <v>10314</v>
      </c>
      <c r="S180" t="str">
        <f t="shared" si="46"/>
        <v>Escargots de Bourgogne</v>
      </c>
      <c r="T180">
        <v>10.6</v>
      </c>
      <c r="U180">
        <v>30</v>
      </c>
      <c r="V180">
        <v>0.1</v>
      </c>
      <c r="W180">
        <f t="shared" si="47"/>
        <v>286.2</v>
      </c>
      <c r="X180" t="str">
        <f t="shared" si="48"/>
        <v>No</v>
      </c>
      <c r="Y180" s="2">
        <v>34633</v>
      </c>
      <c r="Z180" t="str">
        <f t="shared" si="34"/>
        <v/>
      </c>
      <c r="AA180" t="str">
        <f t="shared" si="49"/>
        <v/>
      </c>
      <c r="AB180" t="str" cm="1">
        <f t="array" ref="AB180">_xlfn.IFS(Y180&lt;DATE(1996,1,1),"",Y180&lt;DATE(1996,4,1),"Q1",Y180&lt;DATE(1996,7,1),"Q2",Y180&gt;=DATE(1996,7,1),"")</f>
        <v/>
      </c>
    </row>
    <row r="181" spans="1:28" ht="14.4" x14ac:dyDescent="0.55000000000000004">
      <c r="A181" t="str">
        <f>VLOOKUP(L181,Customers!$A$2:$B$92,2,FALSE)</f>
        <v>Rattlesnake Canyon Grocery</v>
      </c>
      <c r="B181" t="str">
        <f>VLOOKUP(L181,Customers!$A$2:$C$92,3,TRUE)</f>
        <v>Paula Wilson</v>
      </c>
      <c r="C181" t="str">
        <f t="shared" si="35"/>
        <v>Paula</v>
      </c>
      <c r="D181" s="8" t="str">
        <f t="shared" si="36"/>
        <v>Wilson</v>
      </c>
      <c r="E181" s="8" t="str">
        <f t="shared" si="37"/>
        <v>Wilson, Paula</v>
      </c>
      <c r="F181" s="8" t="str">
        <f t="shared" si="38"/>
        <v>Wilson, Paula</v>
      </c>
      <c r="G181" s="8" t="str">
        <f t="shared" si="39"/>
        <v>not an outlier</v>
      </c>
      <c r="H181" s="8" t="str">
        <f t="shared" si="40"/>
        <v>Not</v>
      </c>
      <c r="I181" s="8" t="str">
        <f t="shared" si="50"/>
        <v>no</v>
      </c>
      <c r="J181" s="10" t="str">
        <f t="shared" si="41"/>
        <v>no</v>
      </c>
      <c r="K181" s="10" t="str">
        <f t="shared" si="42"/>
        <v>no</v>
      </c>
      <c r="L181" t="s">
        <v>487</v>
      </c>
      <c r="M181">
        <v>10314</v>
      </c>
      <c r="N181">
        <v>62</v>
      </c>
      <c r="O181" t="s">
        <v>712</v>
      </c>
      <c r="P181" t="str">
        <f t="shared" si="43"/>
        <v>RATTC_10314_Tarte au sucre</v>
      </c>
      <c r="Q181" t="str">
        <f t="shared" si="44"/>
        <v>10314</v>
      </c>
      <c r="R181" t="str">
        <f t="shared" si="45"/>
        <v>10314</v>
      </c>
      <c r="S181" t="str">
        <f t="shared" si="46"/>
        <v>Tarte au sucre</v>
      </c>
      <c r="T181">
        <v>39.4</v>
      </c>
      <c r="U181">
        <v>25</v>
      </c>
      <c r="V181">
        <v>0.1</v>
      </c>
      <c r="W181">
        <f t="shared" si="47"/>
        <v>886.5</v>
      </c>
      <c r="X181" t="str">
        <f t="shared" si="48"/>
        <v>No</v>
      </c>
      <c r="Y181" s="2">
        <v>34633</v>
      </c>
      <c r="Z181" t="str">
        <f t="shared" si="34"/>
        <v/>
      </c>
      <c r="AA181" t="str">
        <f t="shared" si="49"/>
        <v/>
      </c>
      <c r="AB181" t="str" cm="1">
        <f t="array" ref="AB181">_xlfn.IFS(Y181&lt;DATE(1996,1,1),"",Y181&lt;DATE(1996,4,1),"Q1",Y181&lt;DATE(1996,7,1),"Q2",Y181&gt;=DATE(1996,7,1),"")</f>
        <v/>
      </c>
    </row>
    <row r="182" spans="1:28" ht="14.4" x14ac:dyDescent="0.55000000000000004">
      <c r="A182" t="str">
        <f>VLOOKUP(L182,Customers!$A$2:$B$92,2,FALSE)</f>
        <v>Island Trading</v>
      </c>
      <c r="B182" t="str">
        <f>VLOOKUP(L182,Customers!$A$2:$C$92,3,TRUE)</f>
        <v>Helen Bennett</v>
      </c>
      <c r="C182" t="str">
        <f t="shared" si="35"/>
        <v>Helen</v>
      </c>
      <c r="D182" s="8" t="str">
        <f t="shared" si="36"/>
        <v>Bennett</v>
      </c>
      <c r="E182" s="8" t="str">
        <f t="shared" si="37"/>
        <v>Bennett, Helen</v>
      </c>
      <c r="F182" s="8" t="str">
        <f t="shared" si="38"/>
        <v>Bennett, Helen</v>
      </c>
      <c r="G182" s="8" t="str">
        <f t="shared" si="39"/>
        <v>not an outlier</v>
      </c>
      <c r="H182" s="8" t="str">
        <f t="shared" si="40"/>
        <v>Not</v>
      </c>
      <c r="I182" s="8" t="str">
        <f t="shared" si="50"/>
        <v>no</v>
      </c>
      <c r="J182" s="10" t="str">
        <f t="shared" si="41"/>
        <v>no</v>
      </c>
      <c r="K182" s="10" t="str">
        <f t="shared" si="42"/>
        <v>no</v>
      </c>
      <c r="L182" t="s">
        <v>297</v>
      </c>
      <c r="M182">
        <v>10315</v>
      </c>
      <c r="N182">
        <v>34</v>
      </c>
      <c r="O182" t="s">
        <v>736</v>
      </c>
      <c r="P182" t="str">
        <f t="shared" si="43"/>
        <v>ISLAT_10315_Sasquatch Ale</v>
      </c>
      <c r="Q182" t="str">
        <f t="shared" si="44"/>
        <v>10315</v>
      </c>
      <c r="R182" t="str">
        <f t="shared" si="45"/>
        <v>10315</v>
      </c>
      <c r="S182" t="str">
        <f t="shared" si="46"/>
        <v>Sasquatch Ale</v>
      </c>
      <c r="T182">
        <v>11.2</v>
      </c>
      <c r="U182">
        <v>14</v>
      </c>
      <c r="V182">
        <v>0</v>
      </c>
      <c r="W182">
        <f t="shared" si="47"/>
        <v>156.79999999999998</v>
      </c>
      <c r="X182" t="str">
        <f t="shared" si="48"/>
        <v>No</v>
      </c>
      <c r="Y182" s="2">
        <v>34634</v>
      </c>
      <c r="Z182" t="str">
        <f t="shared" si="34"/>
        <v/>
      </c>
      <c r="AA182" t="str">
        <f t="shared" si="49"/>
        <v/>
      </c>
      <c r="AB182" t="str" cm="1">
        <f t="array" ref="AB182">_xlfn.IFS(Y182&lt;DATE(1996,1,1),"",Y182&lt;DATE(1996,4,1),"Q1",Y182&lt;DATE(1996,7,1),"Q2",Y182&gt;=DATE(1996,7,1),"")</f>
        <v/>
      </c>
    </row>
    <row r="183" spans="1:28" ht="14.4" x14ac:dyDescent="0.55000000000000004">
      <c r="A183" t="str">
        <f>VLOOKUP(L183,Customers!$A$2:$B$92,2,FALSE)</f>
        <v>Island Trading</v>
      </c>
      <c r="B183" t="str">
        <f>VLOOKUP(L183,Customers!$A$2:$C$92,3,TRUE)</f>
        <v>Helen Bennett</v>
      </c>
      <c r="C183" t="str">
        <f t="shared" si="35"/>
        <v>Helen</v>
      </c>
      <c r="D183" s="8" t="str">
        <f t="shared" si="36"/>
        <v>Bennett</v>
      </c>
      <c r="E183" s="8" t="str">
        <f t="shared" si="37"/>
        <v>Bennett, Helen</v>
      </c>
      <c r="F183" s="8" t="str">
        <f t="shared" si="38"/>
        <v>Bennett, Helen</v>
      </c>
      <c r="G183" s="8" t="str">
        <f t="shared" si="39"/>
        <v>not an outlier</v>
      </c>
      <c r="H183" s="8" t="str">
        <f t="shared" si="40"/>
        <v>Not</v>
      </c>
      <c r="I183" s="8" t="str">
        <f t="shared" si="50"/>
        <v>no</v>
      </c>
      <c r="J183" s="10" t="str">
        <f t="shared" si="41"/>
        <v>no</v>
      </c>
      <c r="K183" s="10" t="str">
        <f t="shared" si="42"/>
        <v>no</v>
      </c>
      <c r="L183" t="s">
        <v>297</v>
      </c>
      <c r="M183">
        <v>10315</v>
      </c>
      <c r="N183">
        <v>70</v>
      </c>
      <c r="O183" t="s">
        <v>713</v>
      </c>
      <c r="P183" t="str">
        <f t="shared" si="43"/>
        <v>ISLAT_10315_Outback Lager</v>
      </c>
      <c r="Q183" t="str">
        <f t="shared" si="44"/>
        <v>10315</v>
      </c>
      <c r="R183" t="str">
        <f t="shared" si="45"/>
        <v>10315</v>
      </c>
      <c r="S183" t="str">
        <f t="shared" si="46"/>
        <v>Outback Lager</v>
      </c>
      <c r="T183">
        <v>12</v>
      </c>
      <c r="U183">
        <v>30</v>
      </c>
      <c r="V183">
        <v>0</v>
      </c>
      <c r="W183">
        <f t="shared" si="47"/>
        <v>360</v>
      </c>
      <c r="X183" t="str">
        <f t="shared" si="48"/>
        <v>No</v>
      </c>
      <c r="Y183" s="2">
        <v>34634</v>
      </c>
      <c r="Z183" t="str">
        <f t="shared" si="34"/>
        <v/>
      </c>
      <c r="AA183" t="str">
        <f t="shared" si="49"/>
        <v/>
      </c>
      <c r="AB183" t="str" cm="1">
        <f t="array" ref="AB183">_xlfn.IFS(Y183&lt;DATE(1996,1,1),"",Y183&lt;DATE(1996,4,1),"Q1",Y183&lt;DATE(1996,7,1),"Q2",Y183&gt;=DATE(1996,7,1),"")</f>
        <v/>
      </c>
    </row>
    <row r="184" spans="1:28" ht="14.4" x14ac:dyDescent="0.55000000000000004">
      <c r="A184" t="str">
        <f>VLOOKUP(L184,Customers!$A$2:$B$92,2,FALSE)</f>
        <v>Rattlesnake Canyon Grocery</v>
      </c>
      <c r="B184" t="str">
        <f>VLOOKUP(L184,Customers!$A$2:$C$92,3,TRUE)</f>
        <v>Paula Wilson</v>
      </c>
      <c r="C184" t="str">
        <f t="shared" si="35"/>
        <v>Paula</v>
      </c>
      <c r="D184" s="8" t="str">
        <f t="shared" si="36"/>
        <v>Wilson</v>
      </c>
      <c r="E184" s="8" t="str">
        <f t="shared" si="37"/>
        <v>Wilson, Paula</v>
      </c>
      <c r="F184" s="8" t="str">
        <f t="shared" si="38"/>
        <v>Wilson, Paula</v>
      </c>
      <c r="G184" s="8" t="str">
        <f t="shared" si="39"/>
        <v>not an outlier</v>
      </c>
      <c r="H184" s="8" t="str">
        <f t="shared" si="40"/>
        <v>Not</v>
      </c>
      <c r="I184" s="8" t="str">
        <f t="shared" si="50"/>
        <v>no</v>
      </c>
      <c r="J184" s="10" t="str">
        <f t="shared" si="41"/>
        <v>no</v>
      </c>
      <c r="K184" s="10" t="str">
        <f t="shared" si="42"/>
        <v>no</v>
      </c>
      <c r="L184" t="s">
        <v>487</v>
      </c>
      <c r="M184">
        <v>10316</v>
      </c>
      <c r="N184">
        <v>41</v>
      </c>
      <c r="O184" t="s">
        <v>688</v>
      </c>
      <c r="P184" t="str">
        <f t="shared" si="43"/>
        <v>RATTC_10316_Jack's New England Clam Chowder</v>
      </c>
      <c r="Q184" t="str">
        <f t="shared" si="44"/>
        <v>10316</v>
      </c>
      <c r="R184" t="str">
        <f t="shared" si="45"/>
        <v>10316</v>
      </c>
      <c r="S184" t="str">
        <f t="shared" si="46"/>
        <v>Jack's New England Clam Chowder</v>
      </c>
      <c r="T184">
        <v>7.7</v>
      </c>
      <c r="U184">
        <v>10</v>
      </c>
      <c r="V184">
        <v>0</v>
      </c>
      <c r="W184">
        <f t="shared" si="47"/>
        <v>77</v>
      </c>
      <c r="X184" t="str">
        <f t="shared" si="48"/>
        <v>No</v>
      </c>
      <c r="Y184" s="2">
        <v>34635</v>
      </c>
      <c r="Z184" t="str">
        <f t="shared" si="34"/>
        <v/>
      </c>
      <c r="AA184" t="str">
        <f t="shared" si="49"/>
        <v/>
      </c>
      <c r="AB184" t="str" cm="1">
        <f t="array" ref="AB184">_xlfn.IFS(Y184&lt;DATE(1996,1,1),"",Y184&lt;DATE(1996,4,1),"Q1",Y184&lt;DATE(1996,7,1),"Q2",Y184&gt;=DATE(1996,7,1),"")</f>
        <v/>
      </c>
    </row>
    <row r="185" spans="1:28" ht="14.4" x14ac:dyDescent="0.55000000000000004">
      <c r="A185" t="str">
        <f>VLOOKUP(L185,Customers!$A$2:$B$92,2,FALSE)</f>
        <v>Rattlesnake Canyon Grocery</v>
      </c>
      <c r="B185" t="str">
        <f>VLOOKUP(L185,Customers!$A$2:$C$92,3,TRUE)</f>
        <v>Paula Wilson</v>
      </c>
      <c r="C185" t="str">
        <f t="shared" si="35"/>
        <v>Paula</v>
      </c>
      <c r="D185" s="8" t="str">
        <f t="shared" si="36"/>
        <v>Wilson</v>
      </c>
      <c r="E185" s="8" t="str">
        <f t="shared" si="37"/>
        <v>Wilson, Paula</v>
      </c>
      <c r="F185" s="8" t="str">
        <f t="shared" si="38"/>
        <v>Wilson, Paula</v>
      </c>
      <c r="G185" s="8" t="str">
        <f t="shared" si="39"/>
        <v>not an outlier</v>
      </c>
      <c r="H185" s="8" t="str">
        <f t="shared" si="40"/>
        <v>moderate</v>
      </c>
      <c r="I185" s="8" t="str">
        <f t="shared" si="50"/>
        <v>no</v>
      </c>
      <c r="J185" s="10" t="str">
        <f t="shared" si="41"/>
        <v>no</v>
      </c>
      <c r="K185" s="10" t="str">
        <f t="shared" si="42"/>
        <v>moderate</v>
      </c>
      <c r="L185" t="s">
        <v>487</v>
      </c>
      <c r="M185">
        <v>10316</v>
      </c>
      <c r="N185">
        <v>62</v>
      </c>
      <c r="O185" t="s">
        <v>712</v>
      </c>
      <c r="P185" t="str">
        <f t="shared" si="43"/>
        <v>RATTC_10316_Tarte au sucre</v>
      </c>
      <c r="Q185" t="str">
        <f t="shared" si="44"/>
        <v>10316</v>
      </c>
      <c r="R185" t="str">
        <f t="shared" si="45"/>
        <v>10316</v>
      </c>
      <c r="S185" t="str">
        <f t="shared" si="46"/>
        <v>Tarte au sucre</v>
      </c>
      <c r="T185">
        <v>39.4</v>
      </c>
      <c r="U185">
        <v>70</v>
      </c>
      <c r="V185">
        <v>0</v>
      </c>
      <c r="W185">
        <f t="shared" si="47"/>
        <v>2758</v>
      </c>
      <c r="X185" t="str">
        <f t="shared" si="48"/>
        <v>No</v>
      </c>
      <c r="Y185" s="2">
        <v>34635</v>
      </c>
      <c r="Z185" t="str">
        <f t="shared" si="34"/>
        <v/>
      </c>
      <c r="AA185" t="str">
        <f t="shared" si="49"/>
        <v/>
      </c>
      <c r="AB185" t="str" cm="1">
        <f t="array" ref="AB185">_xlfn.IFS(Y185&lt;DATE(1996,1,1),"",Y185&lt;DATE(1996,4,1),"Q1",Y185&lt;DATE(1996,7,1),"Q2",Y185&gt;=DATE(1996,7,1),"")</f>
        <v/>
      </c>
    </row>
    <row r="186" spans="1:28" ht="14.4" x14ac:dyDescent="0.55000000000000004">
      <c r="A186" t="str">
        <f>VLOOKUP(L186,Customers!$A$2:$B$92,2,FALSE)</f>
        <v>Lonesome Pine Restaurant</v>
      </c>
      <c r="B186" t="str">
        <f>VLOOKUP(L186,Customers!$A$2:$C$92,3,TRUE)</f>
        <v>Fran Wilson</v>
      </c>
      <c r="C186" t="str">
        <f t="shared" si="35"/>
        <v>Fran</v>
      </c>
      <c r="D186" s="8" t="str">
        <f t="shared" si="36"/>
        <v>Wilson</v>
      </c>
      <c r="E186" s="8" t="str">
        <f t="shared" si="37"/>
        <v>Wilson, Fran</v>
      </c>
      <c r="F186" s="8" t="str">
        <f t="shared" si="38"/>
        <v>Wilson, Fran</v>
      </c>
      <c r="G186" s="8" t="str">
        <f t="shared" si="39"/>
        <v>not an outlier</v>
      </c>
      <c r="H186" s="8" t="str">
        <f t="shared" si="40"/>
        <v>Not</v>
      </c>
      <c r="I186" s="8" t="str">
        <f t="shared" si="50"/>
        <v>no</v>
      </c>
      <c r="J186" s="10" t="str">
        <f t="shared" si="41"/>
        <v>no</v>
      </c>
      <c r="K186" s="10" t="str">
        <f t="shared" si="42"/>
        <v>no</v>
      </c>
      <c r="L186" t="s">
        <v>371</v>
      </c>
      <c r="M186">
        <v>10317</v>
      </c>
      <c r="N186">
        <v>1</v>
      </c>
      <c r="O186" t="s">
        <v>735</v>
      </c>
      <c r="P186" t="str">
        <f t="shared" si="43"/>
        <v>LONEP_10317_Chai</v>
      </c>
      <c r="Q186" t="str">
        <f t="shared" si="44"/>
        <v>10317</v>
      </c>
      <c r="R186" t="str">
        <f t="shared" si="45"/>
        <v>10317</v>
      </c>
      <c r="S186" t="str">
        <f t="shared" si="46"/>
        <v>Chai</v>
      </c>
      <c r="T186">
        <v>14.4</v>
      </c>
      <c r="U186">
        <v>20</v>
      </c>
      <c r="V186">
        <v>0</v>
      </c>
      <c r="W186">
        <f t="shared" si="47"/>
        <v>288</v>
      </c>
      <c r="X186" t="str">
        <f t="shared" si="48"/>
        <v>No</v>
      </c>
      <c r="Y186" s="2">
        <v>34638</v>
      </c>
      <c r="Z186" t="str">
        <f t="shared" si="34"/>
        <v/>
      </c>
      <c r="AA186" t="str">
        <f t="shared" si="49"/>
        <v/>
      </c>
      <c r="AB186" t="str" cm="1">
        <f t="array" ref="AB186">_xlfn.IFS(Y186&lt;DATE(1996,1,1),"",Y186&lt;DATE(1996,4,1),"Q1",Y186&lt;DATE(1996,7,1),"Q2",Y186&gt;=DATE(1996,7,1),"")</f>
        <v/>
      </c>
    </row>
    <row r="187" spans="1:28" ht="14.4" x14ac:dyDescent="0.55000000000000004">
      <c r="A187" t="str">
        <f>VLOOKUP(L187,Customers!$A$2:$B$92,2,FALSE)</f>
        <v>Island Trading</v>
      </c>
      <c r="B187" t="str">
        <f>VLOOKUP(L187,Customers!$A$2:$C$92,3,TRUE)</f>
        <v>Helen Bennett</v>
      </c>
      <c r="C187" t="str">
        <f t="shared" si="35"/>
        <v>Helen</v>
      </c>
      <c r="D187" s="8" t="str">
        <f t="shared" si="36"/>
        <v>Bennett</v>
      </c>
      <c r="E187" s="8" t="str">
        <f t="shared" si="37"/>
        <v>Bennett, Helen</v>
      </c>
      <c r="F187" s="8" t="str">
        <f t="shared" si="38"/>
        <v>Bennett, Helen</v>
      </c>
      <c r="G187" s="8" t="str">
        <f t="shared" si="39"/>
        <v>not an outlier</v>
      </c>
      <c r="H187" s="8" t="str">
        <f t="shared" si="40"/>
        <v>Not</v>
      </c>
      <c r="I187" s="8" t="str">
        <f t="shared" si="50"/>
        <v>no</v>
      </c>
      <c r="J187" s="10" t="str">
        <f t="shared" si="41"/>
        <v>no</v>
      </c>
      <c r="K187" s="10" t="str">
        <f t="shared" si="42"/>
        <v>no</v>
      </c>
      <c r="L187" t="s">
        <v>297</v>
      </c>
      <c r="M187">
        <v>10318</v>
      </c>
      <c r="N187">
        <v>41</v>
      </c>
      <c r="O187" t="s">
        <v>688</v>
      </c>
      <c r="P187" t="str">
        <f t="shared" si="43"/>
        <v>ISLAT_10318_Jack's New England Clam Chowder</v>
      </c>
      <c r="Q187" t="str">
        <f t="shared" si="44"/>
        <v>10318</v>
      </c>
      <c r="R187" t="str">
        <f t="shared" si="45"/>
        <v>10318</v>
      </c>
      <c r="S187" t="str">
        <f t="shared" si="46"/>
        <v>Jack's New England Clam Chowder</v>
      </c>
      <c r="T187">
        <v>7.7</v>
      </c>
      <c r="U187">
        <v>20</v>
      </c>
      <c r="V187">
        <v>0</v>
      </c>
      <c r="W187">
        <f t="shared" si="47"/>
        <v>154</v>
      </c>
      <c r="X187" t="str">
        <f t="shared" si="48"/>
        <v>No</v>
      </c>
      <c r="Y187" s="2">
        <v>34639</v>
      </c>
      <c r="Z187" t="str">
        <f t="shared" si="34"/>
        <v/>
      </c>
      <c r="AA187" t="str">
        <f t="shared" si="49"/>
        <v/>
      </c>
      <c r="AB187" t="str" cm="1">
        <f t="array" ref="AB187">_xlfn.IFS(Y187&lt;DATE(1996,1,1),"",Y187&lt;DATE(1996,4,1),"Q1",Y187&lt;DATE(1996,7,1),"Q2",Y187&gt;=DATE(1996,7,1),"")</f>
        <v/>
      </c>
    </row>
    <row r="188" spans="1:28" ht="14.4" x14ac:dyDescent="0.55000000000000004">
      <c r="A188" t="str">
        <f>VLOOKUP(L188,Customers!$A$2:$B$92,2,FALSE)</f>
        <v>Island Trading</v>
      </c>
      <c r="B188" t="str">
        <f>VLOOKUP(L188,Customers!$A$2:$C$92,3,TRUE)</f>
        <v>Helen Bennett</v>
      </c>
      <c r="C188" t="str">
        <f t="shared" si="35"/>
        <v>Helen</v>
      </c>
      <c r="D188" s="8" t="str">
        <f t="shared" si="36"/>
        <v>Bennett</v>
      </c>
      <c r="E188" s="8" t="str">
        <f t="shared" si="37"/>
        <v>Bennett, Helen</v>
      </c>
      <c r="F188" s="8" t="str">
        <f t="shared" si="38"/>
        <v>Bennett, Helen</v>
      </c>
      <c r="G188" s="8" t="str">
        <f t="shared" si="39"/>
        <v>not an outlier</v>
      </c>
      <c r="H188" s="8" t="str">
        <f t="shared" si="40"/>
        <v>Not</v>
      </c>
      <c r="I188" s="8" t="str">
        <f t="shared" si="50"/>
        <v>no</v>
      </c>
      <c r="J188" s="10" t="str">
        <f t="shared" si="41"/>
        <v>no</v>
      </c>
      <c r="K188" s="10" t="str">
        <f t="shared" si="42"/>
        <v>no</v>
      </c>
      <c r="L188" t="s">
        <v>297</v>
      </c>
      <c r="M188">
        <v>10318</v>
      </c>
      <c r="N188">
        <v>76</v>
      </c>
      <c r="O188" t="s">
        <v>721</v>
      </c>
      <c r="P188" t="str">
        <f t="shared" si="43"/>
        <v>ISLAT_10318_Lakkalikööri</v>
      </c>
      <c r="Q188" t="str">
        <f t="shared" si="44"/>
        <v>10318</v>
      </c>
      <c r="R188" t="str">
        <f t="shared" si="45"/>
        <v>10318</v>
      </c>
      <c r="S188" t="str">
        <f t="shared" si="46"/>
        <v>Lakkalikööri</v>
      </c>
      <c r="T188">
        <v>14.4</v>
      </c>
      <c r="U188">
        <v>6</v>
      </c>
      <c r="V188">
        <v>0</v>
      </c>
      <c r="W188">
        <f t="shared" si="47"/>
        <v>86.4</v>
      </c>
      <c r="X188" t="str">
        <f t="shared" si="48"/>
        <v>No</v>
      </c>
      <c r="Y188" s="2">
        <v>34639</v>
      </c>
      <c r="Z188" t="str">
        <f t="shared" si="34"/>
        <v/>
      </c>
      <c r="AA188" t="str">
        <f t="shared" si="49"/>
        <v/>
      </c>
      <c r="AB188" t="str" cm="1">
        <f t="array" ref="AB188">_xlfn.IFS(Y188&lt;DATE(1996,1,1),"",Y188&lt;DATE(1996,4,1),"Q1",Y188&lt;DATE(1996,7,1),"Q2",Y188&gt;=DATE(1996,7,1),"")</f>
        <v/>
      </c>
    </row>
    <row r="189" spans="1:28" ht="14.4" x14ac:dyDescent="0.55000000000000004">
      <c r="A189" t="str">
        <f>VLOOKUP(L189,Customers!$A$2:$B$92,2,FALSE)</f>
        <v>Tortuga Restaurante</v>
      </c>
      <c r="B189" t="str">
        <f>VLOOKUP(L189,Customers!$A$2:$C$92,3,TRUE)</f>
        <v>Miguel Angel Paolino</v>
      </c>
      <c r="C189" t="str">
        <f t="shared" si="35"/>
        <v>Miguel</v>
      </c>
      <c r="D189" s="8" t="str">
        <f t="shared" si="36"/>
        <v>Angel Paolino</v>
      </c>
      <c r="E189" s="8" t="str">
        <f t="shared" si="37"/>
        <v>Angel Paolino, Miguel</v>
      </c>
      <c r="F189" s="8" t="str">
        <f t="shared" si="38"/>
        <v>Angel Paolino, Miguel</v>
      </c>
      <c r="G189" s="8" t="str">
        <f t="shared" si="39"/>
        <v>not an outlier</v>
      </c>
      <c r="H189" s="8" t="str">
        <f t="shared" si="40"/>
        <v>Not</v>
      </c>
      <c r="I189" s="8" t="str">
        <f t="shared" si="50"/>
        <v>no</v>
      </c>
      <c r="J189" s="10" t="str">
        <f t="shared" si="41"/>
        <v>no</v>
      </c>
      <c r="K189" s="10" t="str">
        <f t="shared" si="42"/>
        <v>no</v>
      </c>
      <c r="L189" t="s">
        <v>593</v>
      </c>
      <c r="M189">
        <v>10319</v>
      </c>
      <c r="N189">
        <v>17</v>
      </c>
      <c r="O189" t="s">
        <v>718</v>
      </c>
      <c r="P189" t="str">
        <f t="shared" si="43"/>
        <v>TORTU_10319_Alice Mutton</v>
      </c>
      <c r="Q189" t="str">
        <f t="shared" si="44"/>
        <v>10319</v>
      </c>
      <c r="R189" t="str">
        <f t="shared" si="45"/>
        <v>10319</v>
      </c>
      <c r="S189" t="str">
        <f t="shared" si="46"/>
        <v>Alice Mutton</v>
      </c>
      <c r="T189">
        <v>31.2</v>
      </c>
      <c r="U189">
        <v>8</v>
      </c>
      <c r="V189">
        <v>0</v>
      </c>
      <c r="W189">
        <f t="shared" si="47"/>
        <v>249.6</v>
      </c>
      <c r="X189" t="str">
        <f t="shared" si="48"/>
        <v>No</v>
      </c>
      <c r="Y189" s="2">
        <v>34640</v>
      </c>
      <c r="Z189" t="str">
        <f t="shared" si="34"/>
        <v/>
      </c>
      <c r="AA189" t="str">
        <f t="shared" si="49"/>
        <v/>
      </c>
      <c r="AB189" t="str" cm="1">
        <f t="array" ref="AB189">_xlfn.IFS(Y189&lt;DATE(1996,1,1),"",Y189&lt;DATE(1996,4,1),"Q1",Y189&lt;DATE(1996,7,1),"Q2",Y189&gt;=DATE(1996,7,1),"")</f>
        <v/>
      </c>
    </row>
    <row r="190" spans="1:28" ht="14.4" x14ac:dyDescent="0.55000000000000004">
      <c r="A190" t="str">
        <f>VLOOKUP(L190,Customers!$A$2:$B$92,2,FALSE)</f>
        <v>Tortuga Restaurante</v>
      </c>
      <c r="B190" t="str">
        <f>VLOOKUP(L190,Customers!$A$2:$C$92,3,TRUE)</f>
        <v>Miguel Angel Paolino</v>
      </c>
      <c r="C190" t="str">
        <f t="shared" si="35"/>
        <v>Miguel</v>
      </c>
      <c r="D190" s="8" t="str">
        <f t="shared" si="36"/>
        <v>Angel Paolino</v>
      </c>
      <c r="E190" s="8" t="str">
        <f t="shared" si="37"/>
        <v>Angel Paolino, Miguel</v>
      </c>
      <c r="F190" s="8" t="str">
        <f t="shared" si="38"/>
        <v>Angel Paolino, Miguel</v>
      </c>
      <c r="G190" s="8" t="str">
        <f t="shared" si="39"/>
        <v>not an outlier</v>
      </c>
      <c r="H190" s="8" t="str">
        <f t="shared" si="40"/>
        <v>Not</v>
      </c>
      <c r="I190" s="8" t="str">
        <f t="shared" si="50"/>
        <v>no</v>
      </c>
      <c r="J190" s="10" t="str">
        <f t="shared" si="41"/>
        <v>no</v>
      </c>
      <c r="K190" s="10" t="str">
        <f t="shared" si="42"/>
        <v>no</v>
      </c>
      <c r="L190" t="s">
        <v>593</v>
      </c>
      <c r="M190">
        <v>10319</v>
      </c>
      <c r="N190">
        <v>28</v>
      </c>
      <c r="O190" t="s">
        <v>727</v>
      </c>
      <c r="P190" t="str">
        <f t="shared" si="43"/>
        <v>TORTU_10319_Rössle Sauerkraut</v>
      </c>
      <c r="Q190" t="str">
        <f t="shared" si="44"/>
        <v>10319</v>
      </c>
      <c r="R190" t="str">
        <f t="shared" si="45"/>
        <v>10319</v>
      </c>
      <c r="S190" t="str">
        <f t="shared" si="46"/>
        <v>Rössle Sauerkraut</v>
      </c>
      <c r="T190">
        <v>36.4</v>
      </c>
      <c r="U190">
        <v>14</v>
      </c>
      <c r="V190">
        <v>0</v>
      </c>
      <c r="W190">
        <f t="shared" si="47"/>
        <v>509.59999999999997</v>
      </c>
      <c r="X190" t="str">
        <f t="shared" si="48"/>
        <v>No</v>
      </c>
      <c r="Y190" s="2">
        <v>34640</v>
      </c>
      <c r="Z190" t="str">
        <f t="shared" si="34"/>
        <v/>
      </c>
      <c r="AA190" t="str">
        <f t="shared" si="49"/>
        <v/>
      </c>
      <c r="AB190" t="str" cm="1">
        <f t="array" ref="AB190">_xlfn.IFS(Y190&lt;DATE(1996,1,1),"",Y190&lt;DATE(1996,4,1),"Q1",Y190&lt;DATE(1996,7,1),"Q2",Y190&gt;=DATE(1996,7,1),"")</f>
        <v/>
      </c>
    </row>
    <row r="191" spans="1:28" ht="14.4" x14ac:dyDescent="0.55000000000000004">
      <c r="A191" t="str">
        <f>VLOOKUP(L191,Customers!$A$2:$B$92,2,FALSE)</f>
        <v>Tortuga Restaurante</v>
      </c>
      <c r="B191" t="str">
        <f>VLOOKUP(L191,Customers!$A$2:$C$92,3,TRUE)</f>
        <v>Miguel Angel Paolino</v>
      </c>
      <c r="C191" t="str">
        <f t="shared" si="35"/>
        <v>Miguel</v>
      </c>
      <c r="D191" s="8" t="str">
        <f t="shared" si="36"/>
        <v>Angel Paolino</v>
      </c>
      <c r="E191" s="8" t="str">
        <f t="shared" si="37"/>
        <v>Angel Paolino, Miguel</v>
      </c>
      <c r="F191" s="8" t="str">
        <f t="shared" si="38"/>
        <v>Angel Paolino, Miguel</v>
      </c>
      <c r="G191" s="8" t="str">
        <f t="shared" si="39"/>
        <v>not an outlier</v>
      </c>
      <c r="H191" s="8" t="str">
        <f t="shared" si="40"/>
        <v>Not</v>
      </c>
      <c r="I191" s="8" t="str">
        <f t="shared" si="50"/>
        <v>no</v>
      </c>
      <c r="J191" s="10" t="str">
        <f t="shared" si="41"/>
        <v>no</v>
      </c>
      <c r="K191" s="10" t="str">
        <f t="shared" si="42"/>
        <v>no</v>
      </c>
      <c r="L191" t="s">
        <v>593</v>
      </c>
      <c r="M191">
        <v>10319</v>
      </c>
      <c r="N191">
        <v>76</v>
      </c>
      <c r="O191" t="s">
        <v>721</v>
      </c>
      <c r="P191" t="str">
        <f t="shared" si="43"/>
        <v>TORTU_10319_Lakkalikööri</v>
      </c>
      <c r="Q191" t="str">
        <f t="shared" si="44"/>
        <v>10319</v>
      </c>
      <c r="R191" t="str">
        <f t="shared" si="45"/>
        <v>10319</v>
      </c>
      <c r="S191" t="str">
        <f t="shared" si="46"/>
        <v>Lakkalikööri</v>
      </c>
      <c r="T191">
        <v>14.4</v>
      </c>
      <c r="U191">
        <v>30</v>
      </c>
      <c r="V191">
        <v>0</v>
      </c>
      <c r="W191">
        <f t="shared" si="47"/>
        <v>432</v>
      </c>
      <c r="X191" t="str">
        <f t="shared" si="48"/>
        <v>No</v>
      </c>
      <c r="Y191" s="2">
        <v>34640</v>
      </c>
      <c r="Z191" t="str">
        <f t="shared" si="34"/>
        <v/>
      </c>
      <c r="AA191" t="str">
        <f t="shared" si="49"/>
        <v/>
      </c>
      <c r="AB191" t="str" cm="1">
        <f t="array" ref="AB191">_xlfn.IFS(Y191&lt;DATE(1996,1,1),"",Y191&lt;DATE(1996,4,1),"Q1",Y191&lt;DATE(1996,7,1),"Q2",Y191&gt;=DATE(1996,7,1),"")</f>
        <v/>
      </c>
    </row>
    <row r="192" spans="1:28" ht="14.4" x14ac:dyDescent="0.55000000000000004">
      <c r="A192" t="str">
        <f>VLOOKUP(L192,Customers!$A$2:$B$92,2,FALSE)</f>
        <v>Wartian Herkku</v>
      </c>
      <c r="B192" t="str">
        <f>VLOOKUP(L192,Customers!$A$2:$C$92,3,TRUE)</f>
        <v>Pirkko Koskitalo</v>
      </c>
      <c r="C192" t="str">
        <f t="shared" si="35"/>
        <v>Pirkko</v>
      </c>
      <c r="D192" s="8" t="str">
        <f t="shared" si="36"/>
        <v>Koskitalo</v>
      </c>
      <c r="E192" s="8" t="str">
        <f t="shared" si="37"/>
        <v>Koskitalo, Pirkko</v>
      </c>
      <c r="F192" s="8" t="str">
        <f t="shared" si="38"/>
        <v>Koskitalo, Pirkko</v>
      </c>
      <c r="G192" s="8" t="str">
        <f t="shared" si="39"/>
        <v>not an outlier</v>
      </c>
      <c r="H192" s="8" t="str">
        <f t="shared" si="40"/>
        <v>Not</v>
      </c>
      <c r="I192" s="8" t="str">
        <f t="shared" si="50"/>
        <v>no</v>
      </c>
      <c r="J192" s="10" t="str">
        <f t="shared" si="41"/>
        <v>no</v>
      </c>
      <c r="K192" s="10" t="str">
        <f t="shared" si="42"/>
        <v>no</v>
      </c>
      <c r="L192" t="s">
        <v>640</v>
      </c>
      <c r="M192">
        <v>10320</v>
      </c>
      <c r="N192">
        <v>71</v>
      </c>
      <c r="O192" t="s">
        <v>725</v>
      </c>
      <c r="P192" t="str">
        <f t="shared" si="43"/>
        <v>WARTH_10320_Fløtemysost</v>
      </c>
      <c r="Q192" t="str">
        <f t="shared" si="44"/>
        <v>10320</v>
      </c>
      <c r="R192" t="str">
        <f t="shared" si="45"/>
        <v>10320</v>
      </c>
      <c r="S192" t="str">
        <f t="shared" si="46"/>
        <v>Fløtemysost</v>
      </c>
      <c r="T192">
        <v>17.2</v>
      </c>
      <c r="U192">
        <v>30</v>
      </c>
      <c r="V192">
        <v>0</v>
      </c>
      <c r="W192">
        <f t="shared" si="47"/>
        <v>516</v>
      </c>
      <c r="X192" t="str">
        <f t="shared" si="48"/>
        <v>No</v>
      </c>
      <c r="Y192" s="2">
        <v>34641</v>
      </c>
      <c r="Z192" t="str">
        <f t="shared" si="34"/>
        <v/>
      </c>
      <c r="AA192" t="str">
        <f t="shared" si="49"/>
        <v/>
      </c>
      <c r="AB192" t="str" cm="1">
        <f t="array" ref="AB192">_xlfn.IFS(Y192&lt;DATE(1996,1,1),"",Y192&lt;DATE(1996,4,1),"Q1",Y192&lt;DATE(1996,7,1),"Q2",Y192&gt;=DATE(1996,7,1),"")</f>
        <v/>
      </c>
    </row>
    <row r="193" spans="1:28" ht="14.4" x14ac:dyDescent="0.55000000000000004">
      <c r="A193" t="str">
        <f>VLOOKUP(L193,Customers!$A$2:$B$92,2,FALSE)</f>
        <v>Island Trading</v>
      </c>
      <c r="B193" t="str">
        <f>VLOOKUP(L193,Customers!$A$2:$C$92,3,TRUE)</f>
        <v>Helen Bennett</v>
      </c>
      <c r="C193" t="str">
        <f t="shared" si="35"/>
        <v>Helen</v>
      </c>
      <c r="D193" s="8" t="str">
        <f t="shared" si="36"/>
        <v>Bennett</v>
      </c>
      <c r="E193" s="8" t="str">
        <f t="shared" si="37"/>
        <v>Bennett, Helen</v>
      </c>
      <c r="F193" s="8" t="str">
        <f t="shared" si="38"/>
        <v>Bennett, Helen</v>
      </c>
      <c r="G193" s="8" t="str">
        <f t="shared" si="39"/>
        <v>not an outlier</v>
      </c>
      <c r="H193" s="8" t="str">
        <f t="shared" si="40"/>
        <v>Not</v>
      </c>
      <c r="I193" s="8" t="str">
        <f t="shared" si="50"/>
        <v>no</v>
      </c>
      <c r="J193" s="10" t="str">
        <f t="shared" si="41"/>
        <v>no</v>
      </c>
      <c r="K193" s="10" t="str">
        <f t="shared" si="42"/>
        <v>no</v>
      </c>
      <c r="L193" t="s">
        <v>297</v>
      </c>
      <c r="M193">
        <v>10321</v>
      </c>
      <c r="N193">
        <v>35</v>
      </c>
      <c r="O193" t="s">
        <v>714</v>
      </c>
      <c r="P193" t="str">
        <f t="shared" si="43"/>
        <v>ISLAT_10321_Steeleye Stout</v>
      </c>
      <c r="Q193" t="str">
        <f t="shared" si="44"/>
        <v>10321</v>
      </c>
      <c r="R193" t="str">
        <f t="shared" si="45"/>
        <v>10321</v>
      </c>
      <c r="S193" t="str">
        <f t="shared" si="46"/>
        <v>Steeleye Stout</v>
      </c>
      <c r="T193">
        <v>14.4</v>
      </c>
      <c r="U193">
        <v>10</v>
      </c>
      <c r="V193">
        <v>0</v>
      </c>
      <c r="W193">
        <f t="shared" si="47"/>
        <v>144</v>
      </c>
      <c r="X193" t="str">
        <f t="shared" si="48"/>
        <v>No</v>
      </c>
      <c r="Y193" s="2">
        <v>34641</v>
      </c>
      <c r="Z193" t="str">
        <f t="shared" ref="Z193:Z256" si="51">IF(Y193&gt;=DATE(1996,1,1), IF(Y193&lt;DATE(1996,4,1),"1st Q 1996",""),"")</f>
        <v/>
      </c>
      <c r="AA193" t="str">
        <f t="shared" si="49"/>
        <v/>
      </c>
      <c r="AB193" t="str" cm="1">
        <f t="array" ref="AB193">_xlfn.IFS(Y193&lt;DATE(1996,1,1),"",Y193&lt;DATE(1996,4,1),"Q1",Y193&lt;DATE(1996,7,1),"Q2",Y193&gt;=DATE(1996,7,1),"")</f>
        <v/>
      </c>
    </row>
    <row r="194" spans="1:28" ht="14.4" x14ac:dyDescent="0.55000000000000004">
      <c r="A194" t="str">
        <f>VLOOKUP(L194,Customers!$A$2:$B$92,2,FALSE)</f>
        <v>Pericles Comidas clásicas</v>
      </c>
      <c r="B194" t="str">
        <f>VLOOKUP(L194,Customers!$A$2:$C$92,3,TRUE)</f>
        <v>Guillermo Fernández</v>
      </c>
      <c r="C194" t="str">
        <f t="shared" si="35"/>
        <v>Guillermo</v>
      </c>
      <c r="D194" s="8" t="str">
        <f t="shared" si="36"/>
        <v>Fernández</v>
      </c>
      <c r="E194" s="8" t="str">
        <f t="shared" si="37"/>
        <v>Fernández, Guillermo</v>
      </c>
      <c r="F194" s="8" t="str">
        <f t="shared" si="38"/>
        <v>Fernández, Guillermo</v>
      </c>
      <c r="G194" s="8" t="str">
        <f t="shared" si="39"/>
        <v>not an outlier</v>
      </c>
      <c r="H194" s="8" t="str">
        <f t="shared" si="40"/>
        <v>Not</v>
      </c>
      <c r="I194" s="8" t="str">
        <f t="shared" si="50"/>
        <v>no</v>
      </c>
      <c r="J194" s="10" t="str">
        <f t="shared" si="41"/>
        <v>no</v>
      </c>
      <c r="K194" s="10" t="str">
        <f t="shared" si="42"/>
        <v>no</v>
      </c>
      <c r="L194" t="s">
        <v>444</v>
      </c>
      <c r="M194">
        <v>10322</v>
      </c>
      <c r="N194">
        <v>52</v>
      </c>
      <c r="O194" t="s">
        <v>748</v>
      </c>
      <c r="P194" t="str">
        <f t="shared" si="43"/>
        <v>PERIC_10322_Filo Mix</v>
      </c>
      <c r="Q194" t="str">
        <f t="shared" si="44"/>
        <v>10322</v>
      </c>
      <c r="R194" t="str">
        <f t="shared" si="45"/>
        <v>10322</v>
      </c>
      <c r="S194" t="str">
        <f t="shared" si="46"/>
        <v>Filo Mix</v>
      </c>
      <c r="T194">
        <v>5.6</v>
      </c>
      <c r="U194">
        <v>20</v>
      </c>
      <c r="V194">
        <v>0</v>
      </c>
      <c r="W194">
        <f t="shared" si="47"/>
        <v>112</v>
      </c>
      <c r="X194" t="str">
        <f t="shared" si="48"/>
        <v>No</v>
      </c>
      <c r="Y194" s="2">
        <v>34642</v>
      </c>
      <c r="Z194" t="str">
        <f t="shared" si="51"/>
        <v/>
      </c>
      <c r="AA194" t="str">
        <f t="shared" si="49"/>
        <v/>
      </c>
      <c r="AB194" t="str" cm="1">
        <f t="array" ref="AB194">_xlfn.IFS(Y194&lt;DATE(1996,1,1),"",Y194&lt;DATE(1996,4,1),"Q1",Y194&lt;DATE(1996,7,1),"Q2",Y194&gt;=DATE(1996,7,1),"")</f>
        <v/>
      </c>
    </row>
    <row r="195" spans="1:28" ht="14.4" x14ac:dyDescent="0.55000000000000004">
      <c r="A195" t="str">
        <f>VLOOKUP(L195,Customers!$A$2:$B$92,2,FALSE)</f>
        <v>Königlich Essen</v>
      </c>
      <c r="B195" t="str">
        <f>VLOOKUP(L195,Customers!$A$2:$C$92,3,TRUE)</f>
        <v>Philip Cramer</v>
      </c>
      <c r="C195" t="str">
        <f t="shared" ref="C195:C258" si="52">LEFT(B195,FIND(" ",B195)-1)</f>
        <v>Philip</v>
      </c>
      <c r="D195" s="8" t="str">
        <f t="shared" ref="D195:D258" si="53">RIGHT(B195,LEN(B195)-FIND(" ",B195))</f>
        <v>Cramer</v>
      </c>
      <c r="E195" s="8" t="str">
        <f t="shared" ref="E195:E258" si="54">_xlfn.CONCAT(D195,", ",C195)</f>
        <v>Cramer, Philip</v>
      </c>
      <c r="F195" s="8" t="str">
        <f t="shared" ref="F195:F258" si="55">D195&amp;", "&amp;C195</f>
        <v>Cramer, Philip</v>
      </c>
      <c r="G195" s="8" t="str">
        <f t="shared" ref="G195:G258" si="56">IF(OR(W195&gt;$W$2166,W195&lt;$W$2167),"outlier","not an outlier")</f>
        <v>not an outlier</v>
      </c>
      <c r="H195" s="8" t="str">
        <f t="shared" ref="H195:H258" si="57">IF(OR(W195&gt;$W$2166,W195&lt;$W$2167),"outlier",IF(OR(W195&gt;$W$2168,W195&lt;$W$2169),"moderate","Not"))</f>
        <v>Not</v>
      </c>
      <c r="I195" s="8" t="str">
        <f t="shared" si="50"/>
        <v>no</v>
      </c>
      <c r="J195" s="10" t="str">
        <f t="shared" ref="J195:J258" si="58">IF(AND(W195&lt;=$W$2166,W195&gt;=$W$2167),"no","yes")</f>
        <v>no</v>
      </c>
      <c r="K195" s="10" t="str">
        <f t="shared" ref="K195:K258" si="59">IF(OR(W195&gt;$W$2166,W195&lt;$W$2167),"yes",IF(OR(W195&gt;$W$2168,W195&lt;$W$2169),"moderate","no"))</f>
        <v>no</v>
      </c>
      <c r="L195" t="s">
        <v>305</v>
      </c>
      <c r="M195">
        <v>10323</v>
      </c>
      <c r="N195">
        <v>15</v>
      </c>
      <c r="O195" t="s">
        <v>733</v>
      </c>
      <c r="P195" t="str">
        <f t="shared" ref="P195:P258" si="60">L195&amp;"_"&amp;M195&amp;"_"&amp;O195</f>
        <v>KOENE_10323_Genen Shouyu</v>
      </c>
      <c r="Q195" t="str">
        <f t="shared" ref="Q195:Q258" si="61">LEFT(RIGHT(P195,LEN(P195)-FIND("_",P195)), FIND("_",P195)-1)</f>
        <v>10323</v>
      </c>
      <c r="R195" t="str">
        <f t="shared" ref="R195:R258" si="62">MID(P195,FIND("_",P195)+1,FIND("_",P195,FIND("_",P195))-1)</f>
        <v>10323</v>
      </c>
      <c r="S195" t="str">
        <f t="shared" ref="S195:S258" si="63">MID(P195,FIND("_",P195,FIND("_",P195)+1)+1,LEN(P195))</f>
        <v>Genen Shouyu</v>
      </c>
      <c r="T195">
        <v>12.4</v>
      </c>
      <c r="U195">
        <v>5</v>
      </c>
      <c r="V195">
        <v>0</v>
      </c>
      <c r="W195">
        <f t="shared" ref="W195:W258" si="64">T195*U195*(1-V195)</f>
        <v>62</v>
      </c>
      <c r="X195" t="str">
        <f t="shared" ref="X195:X258" si="65">IF(YEAR(Y195)&gt;=1996,"yes","No")</f>
        <v>No</v>
      </c>
      <c r="Y195" s="2">
        <v>34645</v>
      </c>
      <c r="Z195" t="str">
        <f t="shared" si="51"/>
        <v/>
      </c>
      <c r="AA195" t="str">
        <f t="shared" ref="AA195:AA258" si="66">IF(Y195&lt;DATE(1996,1,1),"", IF(Y195&lt;DATE(1996,4,1),"1st Q 1996",IF(Y195&lt;DATE(1996,7,1),"2nd Q 1996","")))</f>
        <v/>
      </c>
      <c r="AB195" t="str" cm="1">
        <f t="array" ref="AB195">_xlfn.IFS(Y195&lt;DATE(1996,1,1),"",Y195&lt;DATE(1996,4,1),"Q1",Y195&lt;DATE(1996,7,1),"Q2",Y195&gt;=DATE(1996,7,1),"")</f>
        <v/>
      </c>
    </row>
    <row r="196" spans="1:28" ht="14.4" x14ac:dyDescent="0.55000000000000004">
      <c r="A196" t="str">
        <f>VLOOKUP(L196,Customers!$A$2:$B$92,2,FALSE)</f>
        <v>Königlich Essen</v>
      </c>
      <c r="B196" t="str">
        <f>VLOOKUP(L196,Customers!$A$2:$C$92,3,TRUE)</f>
        <v>Philip Cramer</v>
      </c>
      <c r="C196" t="str">
        <f t="shared" si="52"/>
        <v>Philip</v>
      </c>
      <c r="D196" s="8" t="str">
        <f t="shared" si="53"/>
        <v>Cramer</v>
      </c>
      <c r="E196" s="8" t="str">
        <f t="shared" si="54"/>
        <v>Cramer, Philip</v>
      </c>
      <c r="F196" s="8" t="str">
        <f t="shared" si="55"/>
        <v>Cramer, Philip</v>
      </c>
      <c r="G196" s="8" t="str">
        <f t="shared" si="56"/>
        <v>not an outlier</v>
      </c>
      <c r="H196" s="8" t="str">
        <f t="shared" si="57"/>
        <v>Not</v>
      </c>
      <c r="I196" s="8" t="str">
        <f t="shared" ref="I196:I259" si="67">IF(OR(W196&gt;$W$2166,W196&lt;$W$2167),"yes","no")</f>
        <v>no</v>
      </c>
      <c r="J196" s="10" t="str">
        <f t="shared" si="58"/>
        <v>no</v>
      </c>
      <c r="K196" s="10" t="str">
        <f t="shared" si="59"/>
        <v>no</v>
      </c>
      <c r="L196" t="s">
        <v>305</v>
      </c>
      <c r="M196">
        <v>10323</v>
      </c>
      <c r="N196">
        <v>25</v>
      </c>
      <c r="O196" t="s">
        <v>749</v>
      </c>
      <c r="P196" t="str">
        <f t="shared" si="60"/>
        <v>KOENE_10323_NuNuCa Nuß-Nougat-Creme</v>
      </c>
      <c r="Q196" t="str">
        <f t="shared" si="61"/>
        <v>10323</v>
      </c>
      <c r="R196" t="str">
        <f t="shared" si="62"/>
        <v>10323</v>
      </c>
      <c r="S196" t="str">
        <f t="shared" si="63"/>
        <v>NuNuCa Nuß-Nougat-Creme</v>
      </c>
      <c r="T196">
        <v>11.2</v>
      </c>
      <c r="U196">
        <v>4</v>
      </c>
      <c r="V196">
        <v>0</v>
      </c>
      <c r="W196">
        <f t="shared" si="64"/>
        <v>44.8</v>
      </c>
      <c r="X196" t="str">
        <f t="shared" si="65"/>
        <v>No</v>
      </c>
      <c r="Y196" s="2">
        <v>34645</v>
      </c>
      <c r="Z196" t="str">
        <f t="shared" si="51"/>
        <v/>
      </c>
      <c r="AA196" t="str">
        <f t="shared" si="66"/>
        <v/>
      </c>
      <c r="AB196" t="str" cm="1">
        <f t="array" ref="AB196">_xlfn.IFS(Y196&lt;DATE(1996,1,1),"",Y196&lt;DATE(1996,4,1),"Q1",Y196&lt;DATE(1996,7,1),"Q2",Y196&gt;=DATE(1996,7,1),"")</f>
        <v/>
      </c>
    </row>
    <row r="197" spans="1:28" ht="14.4" x14ac:dyDescent="0.55000000000000004">
      <c r="A197" t="str">
        <f>VLOOKUP(L197,Customers!$A$2:$B$92,2,FALSE)</f>
        <v>Königlich Essen</v>
      </c>
      <c r="B197" t="str">
        <f>VLOOKUP(L197,Customers!$A$2:$C$92,3,TRUE)</f>
        <v>Philip Cramer</v>
      </c>
      <c r="C197" t="str">
        <f t="shared" si="52"/>
        <v>Philip</v>
      </c>
      <c r="D197" s="8" t="str">
        <f t="shared" si="53"/>
        <v>Cramer</v>
      </c>
      <c r="E197" s="8" t="str">
        <f t="shared" si="54"/>
        <v>Cramer, Philip</v>
      </c>
      <c r="F197" s="8" t="str">
        <f t="shared" si="55"/>
        <v>Cramer, Philip</v>
      </c>
      <c r="G197" s="8" t="str">
        <f t="shared" si="56"/>
        <v>not an outlier</v>
      </c>
      <c r="H197" s="8" t="str">
        <f t="shared" si="57"/>
        <v>Not</v>
      </c>
      <c r="I197" s="8" t="str">
        <f t="shared" si="67"/>
        <v>no</v>
      </c>
      <c r="J197" s="10" t="str">
        <f t="shared" si="58"/>
        <v>no</v>
      </c>
      <c r="K197" s="10" t="str">
        <f t="shared" si="59"/>
        <v>no</v>
      </c>
      <c r="L197" t="s">
        <v>305</v>
      </c>
      <c r="M197">
        <v>10323</v>
      </c>
      <c r="N197">
        <v>39</v>
      </c>
      <c r="O197" t="s">
        <v>696</v>
      </c>
      <c r="P197" t="str">
        <f t="shared" si="60"/>
        <v>KOENE_10323_Chartreuse verte</v>
      </c>
      <c r="Q197" t="str">
        <f t="shared" si="61"/>
        <v>10323</v>
      </c>
      <c r="R197" t="str">
        <f t="shared" si="62"/>
        <v>10323</v>
      </c>
      <c r="S197" t="str">
        <f t="shared" si="63"/>
        <v>Chartreuse verte</v>
      </c>
      <c r="T197">
        <v>14.4</v>
      </c>
      <c r="U197">
        <v>4</v>
      </c>
      <c r="V197">
        <v>0</v>
      </c>
      <c r="W197">
        <f t="shared" si="64"/>
        <v>57.6</v>
      </c>
      <c r="X197" t="str">
        <f t="shared" si="65"/>
        <v>No</v>
      </c>
      <c r="Y197" s="2">
        <v>34645</v>
      </c>
      <c r="Z197" t="str">
        <f t="shared" si="51"/>
        <v/>
      </c>
      <c r="AA197" t="str">
        <f t="shared" si="66"/>
        <v/>
      </c>
      <c r="AB197" t="str" cm="1">
        <f t="array" ref="AB197">_xlfn.IFS(Y197&lt;DATE(1996,1,1),"",Y197&lt;DATE(1996,4,1),"Q1",Y197&lt;DATE(1996,7,1),"Q2",Y197&gt;=DATE(1996,7,1),"")</f>
        <v/>
      </c>
    </row>
    <row r="198" spans="1:28" ht="14.4" x14ac:dyDescent="0.55000000000000004">
      <c r="A198" t="str">
        <f>VLOOKUP(L198,Customers!$A$2:$B$92,2,FALSE)</f>
        <v>Save-a-lot Markets</v>
      </c>
      <c r="B198" t="str">
        <f>VLOOKUP(L198,Customers!$A$2:$C$92,3,TRUE)</f>
        <v>Jose Pavarotti</v>
      </c>
      <c r="C198" t="str">
        <f t="shared" si="52"/>
        <v>Jose</v>
      </c>
      <c r="D198" s="8" t="str">
        <f t="shared" si="53"/>
        <v>Pavarotti</v>
      </c>
      <c r="E198" s="8" t="str">
        <f t="shared" si="54"/>
        <v>Pavarotti, Jose</v>
      </c>
      <c r="F198" s="8" t="str">
        <f t="shared" si="55"/>
        <v>Pavarotti, Jose</v>
      </c>
      <c r="G198" s="8" t="str">
        <f t="shared" si="56"/>
        <v>not an outlier</v>
      </c>
      <c r="H198" s="8" t="str">
        <f t="shared" si="57"/>
        <v>Not</v>
      </c>
      <c r="I198" s="8" t="str">
        <f t="shared" si="67"/>
        <v>no</v>
      </c>
      <c r="J198" s="10" t="str">
        <f t="shared" si="58"/>
        <v>no</v>
      </c>
      <c r="K198" s="10" t="str">
        <f t="shared" si="59"/>
        <v>no</v>
      </c>
      <c r="L198" t="s">
        <v>529</v>
      </c>
      <c r="M198">
        <v>10324</v>
      </c>
      <c r="N198">
        <v>16</v>
      </c>
      <c r="O198" t="s">
        <v>702</v>
      </c>
      <c r="P198" t="str">
        <f t="shared" si="60"/>
        <v>SAVEA_10324_Pavlova</v>
      </c>
      <c r="Q198" t="str">
        <f t="shared" si="61"/>
        <v>10324</v>
      </c>
      <c r="R198" t="str">
        <f t="shared" si="62"/>
        <v>10324</v>
      </c>
      <c r="S198" t="str">
        <f t="shared" si="63"/>
        <v>Pavlova</v>
      </c>
      <c r="T198">
        <v>13.9</v>
      </c>
      <c r="U198">
        <v>21</v>
      </c>
      <c r="V198">
        <v>0.15</v>
      </c>
      <c r="W198">
        <f t="shared" si="64"/>
        <v>248.11500000000001</v>
      </c>
      <c r="X198" t="str">
        <f t="shared" si="65"/>
        <v>No</v>
      </c>
      <c r="Y198" s="2">
        <v>34646</v>
      </c>
      <c r="Z198" t="str">
        <f t="shared" si="51"/>
        <v/>
      </c>
      <c r="AA198" t="str">
        <f t="shared" si="66"/>
        <v/>
      </c>
      <c r="AB198" t="str" cm="1">
        <f t="array" ref="AB198">_xlfn.IFS(Y198&lt;DATE(1996,1,1),"",Y198&lt;DATE(1996,4,1),"Q1",Y198&lt;DATE(1996,7,1),"Q2",Y198&gt;=DATE(1996,7,1),"")</f>
        <v/>
      </c>
    </row>
    <row r="199" spans="1:28" ht="14.4" x14ac:dyDescent="0.55000000000000004">
      <c r="A199" t="str">
        <f>VLOOKUP(L199,Customers!$A$2:$B$92,2,FALSE)</f>
        <v>Save-a-lot Markets</v>
      </c>
      <c r="B199" t="str">
        <f>VLOOKUP(L199,Customers!$A$2:$C$92,3,TRUE)</f>
        <v>Jose Pavarotti</v>
      </c>
      <c r="C199" t="str">
        <f t="shared" si="52"/>
        <v>Jose</v>
      </c>
      <c r="D199" s="8" t="str">
        <f t="shared" si="53"/>
        <v>Pavarotti</v>
      </c>
      <c r="E199" s="8" t="str">
        <f t="shared" si="54"/>
        <v>Pavarotti, Jose</v>
      </c>
      <c r="F199" s="8" t="str">
        <f t="shared" si="55"/>
        <v>Pavarotti, Jose</v>
      </c>
      <c r="G199" s="8" t="str">
        <f t="shared" si="56"/>
        <v>not an outlier</v>
      </c>
      <c r="H199" s="8" t="str">
        <f t="shared" si="57"/>
        <v>Not</v>
      </c>
      <c r="I199" s="8" t="str">
        <f t="shared" si="67"/>
        <v>no</v>
      </c>
      <c r="J199" s="10" t="str">
        <f t="shared" si="58"/>
        <v>no</v>
      </c>
      <c r="K199" s="10" t="str">
        <f t="shared" si="59"/>
        <v>no</v>
      </c>
      <c r="L199" t="s">
        <v>529</v>
      </c>
      <c r="M199">
        <v>10324</v>
      </c>
      <c r="N199">
        <v>35</v>
      </c>
      <c r="O199" t="s">
        <v>714</v>
      </c>
      <c r="P199" t="str">
        <f t="shared" si="60"/>
        <v>SAVEA_10324_Steeleye Stout</v>
      </c>
      <c r="Q199" t="str">
        <f t="shared" si="61"/>
        <v>10324</v>
      </c>
      <c r="R199" t="str">
        <f t="shared" si="62"/>
        <v>10324</v>
      </c>
      <c r="S199" t="str">
        <f t="shared" si="63"/>
        <v>Steeleye Stout</v>
      </c>
      <c r="T199">
        <v>14.4</v>
      </c>
      <c r="U199">
        <v>70</v>
      </c>
      <c r="V199">
        <v>0.15</v>
      </c>
      <c r="W199">
        <f t="shared" si="64"/>
        <v>856.8</v>
      </c>
      <c r="X199" t="str">
        <f t="shared" si="65"/>
        <v>No</v>
      </c>
      <c r="Y199" s="2">
        <v>34646</v>
      </c>
      <c r="Z199" t="str">
        <f t="shared" si="51"/>
        <v/>
      </c>
      <c r="AA199" t="str">
        <f t="shared" si="66"/>
        <v/>
      </c>
      <c r="AB199" t="str" cm="1">
        <f t="array" ref="AB199">_xlfn.IFS(Y199&lt;DATE(1996,1,1),"",Y199&lt;DATE(1996,4,1),"Q1",Y199&lt;DATE(1996,7,1),"Q2",Y199&gt;=DATE(1996,7,1),"")</f>
        <v/>
      </c>
    </row>
    <row r="200" spans="1:28" ht="14.4" x14ac:dyDescent="0.55000000000000004">
      <c r="A200" t="str">
        <f>VLOOKUP(L200,Customers!$A$2:$B$92,2,FALSE)</f>
        <v>Save-a-lot Markets</v>
      </c>
      <c r="B200" t="str">
        <f>VLOOKUP(L200,Customers!$A$2:$C$92,3,TRUE)</f>
        <v>Jose Pavarotti</v>
      </c>
      <c r="C200" t="str">
        <f t="shared" si="52"/>
        <v>Jose</v>
      </c>
      <c r="D200" s="8" t="str">
        <f t="shared" si="53"/>
        <v>Pavarotti</v>
      </c>
      <c r="E200" s="8" t="str">
        <f t="shared" si="54"/>
        <v>Pavarotti, Jose</v>
      </c>
      <c r="F200" s="8" t="str">
        <f t="shared" si="55"/>
        <v>Pavarotti, Jose</v>
      </c>
      <c r="G200" s="8" t="str">
        <f t="shared" si="56"/>
        <v>not an outlier</v>
      </c>
      <c r="H200" s="8" t="str">
        <f t="shared" si="57"/>
        <v>Not</v>
      </c>
      <c r="I200" s="8" t="str">
        <f t="shared" si="67"/>
        <v>no</v>
      </c>
      <c r="J200" s="10" t="str">
        <f t="shared" si="58"/>
        <v>no</v>
      </c>
      <c r="K200" s="10" t="str">
        <f t="shared" si="59"/>
        <v>no</v>
      </c>
      <c r="L200" t="s">
        <v>529</v>
      </c>
      <c r="M200">
        <v>10324</v>
      </c>
      <c r="N200">
        <v>46</v>
      </c>
      <c r="O200" t="s">
        <v>737</v>
      </c>
      <c r="P200" t="str">
        <f t="shared" si="60"/>
        <v>SAVEA_10324_Spegesild</v>
      </c>
      <c r="Q200" t="str">
        <f t="shared" si="61"/>
        <v>10324</v>
      </c>
      <c r="R200" t="str">
        <f t="shared" si="62"/>
        <v>10324</v>
      </c>
      <c r="S200" t="str">
        <f t="shared" si="63"/>
        <v>Spegesild</v>
      </c>
      <c r="T200">
        <v>9.6</v>
      </c>
      <c r="U200">
        <v>30</v>
      </c>
      <c r="V200">
        <v>0</v>
      </c>
      <c r="W200">
        <f t="shared" si="64"/>
        <v>288</v>
      </c>
      <c r="X200" t="str">
        <f t="shared" si="65"/>
        <v>No</v>
      </c>
      <c r="Y200" s="2">
        <v>34646</v>
      </c>
      <c r="Z200" t="str">
        <f t="shared" si="51"/>
        <v/>
      </c>
      <c r="AA200" t="str">
        <f t="shared" si="66"/>
        <v/>
      </c>
      <c r="AB200" t="str" cm="1">
        <f t="array" ref="AB200">_xlfn.IFS(Y200&lt;DATE(1996,1,1),"",Y200&lt;DATE(1996,4,1),"Q1",Y200&lt;DATE(1996,7,1),"Q2",Y200&gt;=DATE(1996,7,1),"")</f>
        <v/>
      </c>
    </row>
    <row r="201" spans="1:28" ht="14.4" x14ac:dyDescent="0.55000000000000004">
      <c r="A201" t="str">
        <f>VLOOKUP(L201,Customers!$A$2:$B$92,2,FALSE)</f>
        <v>Save-a-lot Markets</v>
      </c>
      <c r="B201" t="str">
        <f>VLOOKUP(L201,Customers!$A$2:$C$92,3,TRUE)</f>
        <v>Jose Pavarotti</v>
      </c>
      <c r="C201" t="str">
        <f t="shared" si="52"/>
        <v>Jose</v>
      </c>
      <c r="D201" s="8" t="str">
        <f t="shared" si="53"/>
        <v>Pavarotti</v>
      </c>
      <c r="E201" s="8" t="str">
        <f t="shared" si="54"/>
        <v>Pavarotti, Jose</v>
      </c>
      <c r="F201" s="8" t="str">
        <f t="shared" si="55"/>
        <v>Pavarotti, Jose</v>
      </c>
      <c r="G201" s="8" t="str">
        <f t="shared" si="56"/>
        <v>not an outlier</v>
      </c>
      <c r="H201" s="8" t="str">
        <f t="shared" si="57"/>
        <v>Not</v>
      </c>
      <c r="I201" s="8" t="str">
        <f t="shared" si="67"/>
        <v>no</v>
      </c>
      <c r="J201" s="10" t="str">
        <f t="shared" si="58"/>
        <v>no</v>
      </c>
      <c r="K201" s="10" t="str">
        <f t="shared" si="59"/>
        <v>no</v>
      </c>
      <c r="L201" t="s">
        <v>529</v>
      </c>
      <c r="M201">
        <v>10324</v>
      </c>
      <c r="N201">
        <v>59</v>
      </c>
      <c r="O201" t="s">
        <v>704</v>
      </c>
      <c r="P201" t="str">
        <f t="shared" si="60"/>
        <v>SAVEA_10324_Raclette Courdavault</v>
      </c>
      <c r="Q201" t="str">
        <f t="shared" si="61"/>
        <v>10324</v>
      </c>
      <c r="R201" t="str">
        <f t="shared" si="62"/>
        <v>10324</v>
      </c>
      <c r="S201" t="str">
        <f t="shared" si="63"/>
        <v>Raclette Courdavault</v>
      </c>
      <c r="T201">
        <v>44</v>
      </c>
      <c r="U201">
        <v>40</v>
      </c>
      <c r="V201">
        <v>0.15</v>
      </c>
      <c r="W201">
        <f t="shared" si="64"/>
        <v>1496</v>
      </c>
      <c r="X201" t="str">
        <f t="shared" si="65"/>
        <v>No</v>
      </c>
      <c r="Y201" s="2">
        <v>34646</v>
      </c>
      <c r="Z201" t="str">
        <f t="shared" si="51"/>
        <v/>
      </c>
      <c r="AA201" t="str">
        <f t="shared" si="66"/>
        <v/>
      </c>
      <c r="AB201" t="str" cm="1">
        <f t="array" ref="AB201">_xlfn.IFS(Y201&lt;DATE(1996,1,1),"",Y201&lt;DATE(1996,4,1),"Q1",Y201&lt;DATE(1996,7,1),"Q2",Y201&gt;=DATE(1996,7,1),"")</f>
        <v/>
      </c>
    </row>
    <row r="202" spans="1:28" ht="14.4" x14ac:dyDescent="0.55000000000000004">
      <c r="A202" t="str">
        <f>VLOOKUP(L202,Customers!$A$2:$B$92,2,FALSE)</f>
        <v>Save-a-lot Markets</v>
      </c>
      <c r="B202" t="str">
        <f>VLOOKUP(L202,Customers!$A$2:$C$92,3,TRUE)</f>
        <v>Jose Pavarotti</v>
      </c>
      <c r="C202" t="str">
        <f t="shared" si="52"/>
        <v>Jose</v>
      </c>
      <c r="D202" s="8" t="str">
        <f t="shared" si="53"/>
        <v>Pavarotti</v>
      </c>
      <c r="E202" s="8" t="str">
        <f t="shared" si="54"/>
        <v>Pavarotti, Jose</v>
      </c>
      <c r="F202" s="8" t="str">
        <f t="shared" si="55"/>
        <v>Pavarotti, Jose</v>
      </c>
      <c r="G202" s="8" t="str">
        <f t="shared" si="56"/>
        <v>not an outlier</v>
      </c>
      <c r="H202" s="8" t="str">
        <f t="shared" si="57"/>
        <v>Not</v>
      </c>
      <c r="I202" s="8" t="str">
        <f t="shared" si="67"/>
        <v>no</v>
      </c>
      <c r="J202" s="10" t="str">
        <f t="shared" si="58"/>
        <v>no</v>
      </c>
      <c r="K202" s="10" t="str">
        <f t="shared" si="59"/>
        <v>no</v>
      </c>
      <c r="L202" t="s">
        <v>529</v>
      </c>
      <c r="M202">
        <v>10324</v>
      </c>
      <c r="N202">
        <v>63</v>
      </c>
      <c r="O202" t="s">
        <v>729</v>
      </c>
      <c r="P202" t="str">
        <f t="shared" si="60"/>
        <v>SAVEA_10324_Vegie-spread</v>
      </c>
      <c r="Q202" t="str">
        <f t="shared" si="61"/>
        <v>10324</v>
      </c>
      <c r="R202" t="str">
        <f t="shared" si="62"/>
        <v>10324</v>
      </c>
      <c r="S202" t="str">
        <f t="shared" si="63"/>
        <v>Vegie-spread</v>
      </c>
      <c r="T202">
        <v>35.1</v>
      </c>
      <c r="U202">
        <v>80</v>
      </c>
      <c r="V202">
        <v>0.15</v>
      </c>
      <c r="W202">
        <f t="shared" si="64"/>
        <v>2386.7999999999997</v>
      </c>
      <c r="X202" t="str">
        <f t="shared" si="65"/>
        <v>No</v>
      </c>
      <c r="Y202" s="2">
        <v>34646</v>
      </c>
      <c r="Z202" t="str">
        <f t="shared" si="51"/>
        <v/>
      </c>
      <c r="AA202" t="str">
        <f t="shared" si="66"/>
        <v/>
      </c>
      <c r="AB202" t="str" cm="1">
        <f t="array" ref="AB202">_xlfn.IFS(Y202&lt;DATE(1996,1,1),"",Y202&lt;DATE(1996,4,1),"Q1",Y202&lt;DATE(1996,7,1),"Q2",Y202&gt;=DATE(1996,7,1),"")</f>
        <v/>
      </c>
    </row>
    <row r="203" spans="1:28" ht="14.4" x14ac:dyDescent="0.55000000000000004">
      <c r="A203" t="str">
        <f>VLOOKUP(L203,Customers!$A$2:$B$92,2,FALSE)</f>
        <v>Königlich Essen</v>
      </c>
      <c r="B203" t="str">
        <f>VLOOKUP(L203,Customers!$A$2:$C$92,3,TRUE)</f>
        <v>Philip Cramer</v>
      </c>
      <c r="C203" t="str">
        <f t="shared" si="52"/>
        <v>Philip</v>
      </c>
      <c r="D203" s="8" t="str">
        <f t="shared" si="53"/>
        <v>Cramer</v>
      </c>
      <c r="E203" s="8" t="str">
        <f t="shared" si="54"/>
        <v>Cramer, Philip</v>
      </c>
      <c r="F203" s="8" t="str">
        <f t="shared" si="55"/>
        <v>Cramer, Philip</v>
      </c>
      <c r="G203" s="8" t="str">
        <f t="shared" si="56"/>
        <v>not an outlier</v>
      </c>
      <c r="H203" s="8" t="str">
        <f t="shared" si="57"/>
        <v>Not</v>
      </c>
      <c r="I203" s="8" t="str">
        <f t="shared" si="67"/>
        <v>no</v>
      </c>
      <c r="J203" s="10" t="str">
        <f t="shared" si="58"/>
        <v>no</v>
      </c>
      <c r="K203" s="10" t="str">
        <f t="shared" si="59"/>
        <v>no</v>
      </c>
      <c r="L203" t="s">
        <v>305</v>
      </c>
      <c r="M203">
        <v>10325</v>
      </c>
      <c r="N203">
        <v>6</v>
      </c>
      <c r="O203" t="s">
        <v>746</v>
      </c>
      <c r="P203" t="str">
        <f t="shared" si="60"/>
        <v>KOENE_10325_Grandma's Boysenberry Spread</v>
      </c>
      <c r="Q203" t="str">
        <f t="shared" si="61"/>
        <v>10325</v>
      </c>
      <c r="R203" t="str">
        <f t="shared" si="62"/>
        <v>10325</v>
      </c>
      <c r="S203" t="str">
        <f t="shared" si="63"/>
        <v>Grandma's Boysenberry Spread</v>
      </c>
      <c r="T203">
        <v>20</v>
      </c>
      <c r="U203">
        <v>6</v>
      </c>
      <c r="V203">
        <v>0</v>
      </c>
      <c r="W203">
        <f t="shared" si="64"/>
        <v>120</v>
      </c>
      <c r="X203" t="str">
        <f t="shared" si="65"/>
        <v>No</v>
      </c>
      <c r="Y203" s="2">
        <v>34647</v>
      </c>
      <c r="Z203" t="str">
        <f t="shared" si="51"/>
        <v/>
      </c>
      <c r="AA203" t="str">
        <f t="shared" si="66"/>
        <v/>
      </c>
      <c r="AB203" t="str" cm="1">
        <f t="array" ref="AB203">_xlfn.IFS(Y203&lt;DATE(1996,1,1),"",Y203&lt;DATE(1996,4,1),"Q1",Y203&lt;DATE(1996,7,1),"Q2",Y203&gt;=DATE(1996,7,1),"")</f>
        <v/>
      </c>
    </row>
    <row r="204" spans="1:28" ht="14.4" x14ac:dyDescent="0.55000000000000004">
      <c r="A204" t="str">
        <f>VLOOKUP(L204,Customers!$A$2:$B$92,2,FALSE)</f>
        <v>Königlich Essen</v>
      </c>
      <c r="B204" t="str">
        <f>VLOOKUP(L204,Customers!$A$2:$C$92,3,TRUE)</f>
        <v>Philip Cramer</v>
      </c>
      <c r="C204" t="str">
        <f t="shared" si="52"/>
        <v>Philip</v>
      </c>
      <c r="D204" s="8" t="str">
        <f t="shared" si="53"/>
        <v>Cramer</v>
      </c>
      <c r="E204" s="8" t="str">
        <f t="shared" si="54"/>
        <v>Cramer, Philip</v>
      </c>
      <c r="F204" s="8" t="str">
        <f t="shared" si="55"/>
        <v>Cramer, Philip</v>
      </c>
      <c r="G204" s="8" t="str">
        <f t="shared" si="56"/>
        <v>not an outlier</v>
      </c>
      <c r="H204" s="8" t="str">
        <f t="shared" si="57"/>
        <v>Not</v>
      </c>
      <c r="I204" s="8" t="str">
        <f t="shared" si="67"/>
        <v>no</v>
      </c>
      <c r="J204" s="10" t="str">
        <f t="shared" si="58"/>
        <v>no</v>
      </c>
      <c r="K204" s="10" t="str">
        <f t="shared" si="59"/>
        <v>no</v>
      </c>
      <c r="L204" t="s">
        <v>305</v>
      </c>
      <c r="M204">
        <v>10325</v>
      </c>
      <c r="N204">
        <v>13</v>
      </c>
      <c r="O204" t="s">
        <v>726</v>
      </c>
      <c r="P204" t="str">
        <f t="shared" si="60"/>
        <v>KOENE_10325_Konbu</v>
      </c>
      <c r="Q204" t="str">
        <f t="shared" si="61"/>
        <v>10325</v>
      </c>
      <c r="R204" t="str">
        <f t="shared" si="62"/>
        <v>10325</v>
      </c>
      <c r="S204" t="str">
        <f t="shared" si="63"/>
        <v>Konbu</v>
      </c>
      <c r="T204">
        <v>4.8</v>
      </c>
      <c r="U204">
        <v>12</v>
      </c>
      <c r="V204">
        <v>0</v>
      </c>
      <c r="W204">
        <f t="shared" si="64"/>
        <v>57.599999999999994</v>
      </c>
      <c r="X204" t="str">
        <f t="shared" si="65"/>
        <v>No</v>
      </c>
      <c r="Y204" s="2">
        <v>34647</v>
      </c>
      <c r="Z204" t="str">
        <f t="shared" si="51"/>
        <v/>
      </c>
      <c r="AA204" t="str">
        <f t="shared" si="66"/>
        <v/>
      </c>
      <c r="AB204" t="str" cm="1">
        <f t="array" ref="AB204">_xlfn.IFS(Y204&lt;DATE(1996,1,1),"",Y204&lt;DATE(1996,4,1),"Q1",Y204&lt;DATE(1996,7,1),"Q2",Y204&gt;=DATE(1996,7,1),"")</f>
        <v/>
      </c>
    </row>
    <row r="205" spans="1:28" ht="14.4" x14ac:dyDescent="0.55000000000000004">
      <c r="A205" t="str">
        <f>VLOOKUP(L205,Customers!$A$2:$B$92,2,FALSE)</f>
        <v>Königlich Essen</v>
      </c>
      <c r="B205" t="str">
        <f>VLOOKUP(L205,Customers!$A$2:$C$92,3,TRUE)</f>
        <v>Philip Cramer</v>
      </c>
      <c r="C205" t="str">
        <f t="shared" si="52"/>
        <v>Philip</v>
      </c>
      <c r="D205" s="8" t="str">
        <f t="shared" si="53"/>
        <v>Cramer</v>
      </c>
      <c r="E205" s="8" t="str">
        <f t="shared" si="54"/>
        <v>Cramer, Philip</v>
      </c>
      <c r="F205" s="8" t="str">
        <f t="shared" si="55"/>
        <v>Cramer, Philip</v>
      </c>
      <c r="G205" s="8" t="str">
        <f t="shared" si="56"/>
        <v>not an outlier</v>
      </c>
      <c r="H205" s="8" t="str">
        <f t="shared" si="57"/>
        <v>Not</v>
      </c>
      <c r="I205" s="8" t="str">
        <f t="shared" si="67"/>
        <v>no</v>
      </c>
      <c r="J205" s="10" t="str">
        <f t="shared" si="58"/>
        <v>no</v>
      </c>
      <c r="K205" s="10" t="str">
        <f t="shared" si="59"/>
        <v>no</v>
      </c>
      <c r="L205" t="s">
        <v>305</v>
      </c>
      <c r="M205">
        <v>10325</v>
      </c>
      <c r="N205">
        <v>14</v>
      </c>
      <c r="O205" t="s">
        <v>686</v>
      </c>
      <c r="P205" t="str">
        <f t="shared" si="60"/>
        <v>KOENE_10325_Tofu</v>
      </c>
      <c r="Q205" t="str">
        <f t="shared" si="61"/>
        <v>10325</v>
      </c>
      <c r="R205" t="str">
        <f t="shared" si="62"/>
        <v>10325</v>
      </c>
      <c r="S205" t="str">
        <f t="shared" si="63"/>
        <v>Tofu</v>
      </c>
      <c r="T205">
        <v>18.600000000000001</v>
      </c>
      <c r="U205">
        <v>9</v>
      </c>
      <c r="V205">
        <v>0</v>
      </c>
      <c r="W205">
        <f t="shared" si="64"/>
        <v>167.4</v>
      </c>
      <c r="X205" t="str">
        <f t="shared" si="65"/>
        <v>No</v>
      </c>
      <c r="Y205" s="2">
        <v>34647</v>
      </c>
      <c r="Z205" t="str">
        <f t="shared" si="51"/>
        <v/>
      </c>
      <c r="AA205" t="str">
        <f t="shared" si="66"/>
        <v/>
      </c>
      <c r="AB205" t="str" cm="1">
        <f t="array" ref="AB205">_xlfn.IFS(Y205&lt;DATE(1996,1,1),"",Y205&lt;DATE(1996,4,1),"Q1",Y205&lt;DATE(1996,7,1),"Q2",Y205&gt;=DATE(1996,7,1),"")</f>
        <v/>
      </c>
    </row>
    <row r="206" spans="1:28" ht="14.4" x14ac:dyDescent="0.55000000000000004">
      <c r="A206" t="str">
        <f>VLOOKUP(L206,Customers!$A$2:$B$92,2,FALSE)</f>
        <v>Königlich Essen</v>
      </c>
      <c r="B206" t="str">
        <f>VLOOKUP(L206,Customers!$A$2:$C$92,3,TRUE)</f>
        <v>Philip Cramer</v>
      </c>
      <c r="C206" t="str">
        <f t="shared" si="52"/>
        <v>Philip</v>
      </c>
      <c r="D206" s="8" t="str">
        <f t="shared" si="53"/>
        <v>Cramer</v>
      </c>
      <c r="E206" s="8" t="str">
        <f t="shared" si="54"/>
        <v>Cramer, Philip</v>
      </c>
      <c r="F206" s="8" t="str">
        <f t="shared" si="55"/>
        <v>Cramer, Philip</v>
      </c>
      <c r="G206" s="8" t="str">
        <f t="shared" si="56"/>
        <v>not an outlier</v>
      </c>
      <c r="H206" s="8" t="str">
        <f t="shared" si="57"/>
        <v>Not</v>
      </c>
      <c r="I206" s="8" t="str">
        <f t="shared" si="67"/>
        <v>no</v>
      </c>
      <c r="J206" s="10" t="str">
        <f t="shared" si="58"/>
        <v>no</v>
      </c>
      <c r="K206" s="10" t="str">
        <f t="shared" si="59"/>
        <v>no</v>
      </c>
      <c r="L206" t="s">
        <v>305</v>
      </c>
      <c r="M206">
        <v>10325</v>
      </c>
      <c r="N206">
        <v>31</v>
      </c>
      <c r="O206" t="s">
        <v>695</v>
      </c>
      <c r="P206" t="str">
        <f t="shared" si="60"/>
        <v>KOENE_10325_Gorgonzola Telino</v>
      </c>
      <c r="Q206" t="str">
        <f t="shared" si="61"/>
        <v>10325</v>
      </c>
      <c r="R206" t="str">
        <f t="shared" si="62"/>
        <v>10325</v>
      </c>
      <c r="S206" t="str">
        <f t="shared" si="63"/>
        <v>Gorgonzola Telino</v>
      </c>
      <c r="T206">
        <v>10</v>
      </c>
      <c r="U206">
        <v>4</v>
      </c>
      <c r="V206">
        <v>0</v>
      </c>
      <c r="W206">
        <f t="shared" si="64"/>
        <v>40</v>
      </c>
      <c r="X206" t="str">
        <f t="shared" si="65"/>
        <v>No</v>
      </c>
      <c r="Y206" s="2">
        <v>34647</v>
      </c>
      <c r="Z206" t="str">
        <f t="shared" si="51"/>
        <v/>
      </c>
      <c r="AA206" t="str">
        <f t="shared" si="66"/>
        <v/>
      </c>
      <c r="AB206" t="str" cm="1">
        <f t="array" ref="AB206">_xlfn.IFS(Y206&lt;DATE(1996,1,1),"",Y206&lt;DATE(1996,4,1),"Q1",Y206&lt;DATE(1996,7,1),"Q2",Y206&gt;=DATE(1996,7,1),"")</f>
        <v/>
      </c>
    </row>
    <row r="207" spans="1:28" ht="14.4" x14ac:dyDescent="0.55000000000000004">
      <c r="A207" t="str">
        <f>VLOOKUP(L207,Customers!$A$2:$B$92,2,FALSE)</f>
        <v>Königlich Essen</v>
      </c>
      <c r="B207" t="str">
        <f>VLOOKUP(L207,Customers!$A$2:$C$92,3,TRUE)</f>
        <v>Philip Cramer</v>
      </c>
      <c r="C207" t="str">
        <f t="shared" si="52"/>
        <v>Philip</v>
      </c>
      <c r="D207" s="8" t="str">
        <f t="shared" si="53"/>
        <v>Cramer</v>
      </c>
      <c r="E207" s="8" t="str">
        <f t="shared" si="54"/>
        <v>Cramer, Philip</v>
      </c>
      <c r="F207" s="8" t="str">
        <f t="shared" si="55"/>
        <v>Cramer, Philip</v>
      </c>
      <c r="G207" s="8" t="str">
        <f t="shared" si="56"/>
        <v>not an outlier</v>
      </c>
      <c r="H207" s="8" t="str">
        <f t="shared" si="57"/>
        <v>Not</v>
      </c>
      <c r="I207" s="8" t="str">
        <f t="shared" si="67"/>
        <v>no</v>
      </c>
      <c r="J207" s="10" t="str">
        <f t="shared" si="58"/>
        <v>no</v>
      </c>
      <c r="K207" s="10" t="str">
        <f t="shared" si="59"/>
        <v>no</v>
      </c>
      <c r="L207" t="s">
        <v>305</v>
      </c>
      <c r="M207">
        <v>10325</v>
      </c>
      <c r="N207">
        <v>72</v>
      </c>
      <c r="O207" t="s">
        <v>685</v>
      </c>
      <c r="P207" t="str">
        <f t="shared" si="60"/>
        <v>KOENE_10325_Mozzarella di Giovanni</v>
      </c>
      <c r="Q207" t="str">
        <f t="shared" si="61"/>
        <v>10325</v>
      </c>
      <c r="R207" t="str">
        <f t="shared" si="62"/>
        <v>10325</v>
      </c>
      <c r="S207" t="str">
        <f t="shared" si="63"/>
        <v>Mozzarella di Giovanni</v>
      </c>
      <c r="T207">
        <v>27.8</v>
      </c>
      <c r="U207">
        <v>40</v>
      </c>
      <c r="V207">
        <v>0</v>
      </c>
      <c r="W207">
        <f t="shared" si="64"/>
        <v>1112</v>
      </c>
      <c r="X207" t="str">
        <f t="shared" si="65"/>
        <v>No</v>
      </c>
      <c r="Y207" s="2">
        <v>34647</v>
      </c>
      <c r="Z207" t="str">
        <f t="shared" si="51"/>
        <v/>
      </c>
      <c r="AA207" t="str">
        <f t="shared" si="66"/>
        <v/>
      </c>
      <c r="AB207" t="str" cm="1">
        <f t="array" ref="AB207">_xlfn.IFS(Y207&lt;DATE(1996,1,1),"",Y207&lt;DATE(1996,4,1),"Q1",Y207&lt;DATE(1996,7,1),"Q2",Y207&gt;=DATE(1996,7,1),"")</f>
        <v/>
      </c>
    </row>
    <row r="208" spans="1:28" ht="14.4" x14ac:dyDescent="0.55000000000000004">
      <c r="A208" t="str">
        <f>VLOOKUP(L208,Customers!$A$2:$B$92,2,FALSE)</f>
        <v>Bólido Comidas preparadas</v>
      </c>
      <c r="B208" t="str">
        <f>VLOOKUP(L208,Customers!$A$2:$C$92,3,TRUE)</f>
        <v>Martín Sommer</v>
      </c>
      <c r="C208" t="str">
        <f t="shared" si="52"/>
        <v>Martín</v>
      </c>
      <c r="D208" s="8" t="str">
        <f t="shared" si="53"/>
        <v>Sommer</v>
      </c>
      <c r="E208" s="8" t="str">
        <f t="shared" si="54"/>
        <v>Sommer, Martín</v>
      </c>
      <c r="F208" s="8" t="str">
        <f t="shared" si="55"/>
        <v>Sommer, Martín</v>
      </c>
      <c r="G208" s="8" t="str">
        <f t="shared" si="56"/>
        <v>not an outlier</v>
      </c>
      <c r="H208" s="8" t="str">
        <f t="shared" si="57"/>
        <v>Not</v>
      </c>
      <c r="I208" s="8" t="str">
        <f t="shared" si="67"/>
        <v>no</v>
      </c>
      <c r="J208" s="10" t="str">
        <f t="shared" si="58"/>
        <v>no</v>
      </c>
      <c r="K208" s="10" t="str">
        <f t="shared" si="59"/>
        <v>no</v>
      </c>
      <c r="L208" t="s">
        <v>69</v>
      </c>
      <c r="M208">
        <v>10326</v>
      </c>
      <c r="N208">
        <v>4</v>
      </c>
      <c r="O208" t="s">
        <v>745</v>
      </c>
      <c r="P208" t="str">
        <f t="shared" si="60"/>
        <v>BOLID_10326_Chef Anton's Cajun Seasoning</v>
      </c>
      <c r="Q208" t="str">
        <f t="shared" si="61"/>
        <v>10326</v>
      </c>
      <c r="R208" t="str">
        <f t="shared" si="62"/>
        <v>10326</v>
      </c>
      <c r="S208" t="str">
        <f t="shared" si="63"/>
        <v>Chef Anton's Cajun Seasoning</v>
      </c>
      <c r="T208">
        <v>17.600000000000001</v>
      </c>
      <c r="U208">
        <v>24</v>
      </c>
      <c r="V208">
        <v>0</v>
      </c>
      <c r="W208">
        <f t="shared" si="64"/>
        <v>422.40000000000003</v>
      </c>
      <c r="X208" t="str">
        <f t="shared" si="65"/>
        <v>No</v>
      </c>
      <c r="Y208" s="2">
        <v>34648</v>
      </c>
      <c r="Z208" t="str">
        <f t="shared" si="51"/>
        <v/>
      </c>
      <c r="AA208" t="str">
        <f t="shared" si="66"/>
        <v/>
      </c>
      <c r="AB208" t="str" cm="1">
        <f t="array" ref="AB208">_xlfn.IFS(Y208&lt;DATE(1996,1,1),"",Y208&lt;DATE(1996,4,1),"Q1",Y208&lt;DATE(1996,7,1),"Q2",Y208&gt;=DATE(1996,7,1),"")</f>
        <v/>
      </c>
    </row>
    <row r="209" spans="1:28" ht="14.4" x14ac:dyDescent="0.55000000000000004">
      <c r="A209" t="str">
        <f>VLOOKUP(L209,Customers!$A$2:$B$92,2,FALSE)</f>
        <v>Bólido Comidas preparadas</v>
      </c>
      <c r="B209" t="str">
        <f>VLOOKUP(L209,Customers!$A$2:$C$92,3,TRUE)</f>
        <v>Martín Sommer</v>
      </c>
      <c r="C209" t="str">
        <f t="shared" si="52"/>
        <v>Martín</v>
      </c>
      <c r="D209" s="8" t="str">
        <f t="shared" si="53"/>
        <v>Sommer</v>
      </c>
      <c r="E209" s="8" t="str">
        <f t="shared" si="54"/>
        <v>Sommer, Martín</v>
      </c>
      <c r="F209" s="8" t="str">
        <f t="shared" si="55"/>
        <v>Sommer, Martín</v>
      </c>
      <c r="G209" s="8" t="str">
        <f t="shared" si="56"/>
        <v>not an outlier</v>
      </c>
      <c r="H209" s="8" t="str">
        <f t="shared" si="57"/>
        <v>Not</v>
      </c>
      <c r="I209" s="8" t="str">
        <f t="shared" si="67"/>
        <v>no</v>
      </c>
      <c r="J209" s="10" t="str">
        <f t="shared" si="58"/>
        <v>no</v>
      </c>
      <c r="K209" s="10" t="str">
        <f t="shared" si="59"/>
        <v>no</v>
      </c>
      <c r="L209" t="s">
        <v>69</v>
      </c>
      <c r="M209">
        <v>10326</v>
      </c>
      <c r="N209">
        <v>57</v>
      </c>
      <c r="O209" t="s">
        <v>691</v>
      </c>
      <c r="P209" t="str">
        <f t="shared" si="60"/>
        <v>BOLID_10326_Ravioli Angelo</v>
      </c>
      <c r="Q209" t="str">
        <f t="shared" si="61"/>
        <v>10326</v>
      </c>
      <c r="R209" t="str">
        <f t="shared" si="62"/>
        <v>10326</v>
      </c>
      <c r="S209" t="str">
        <f t="shared" si="63"/>
        <v>Ravioli Angelo</v>
      </c>
      <c r="T209">
        <v>15.6</v>
      </c>
      <c r="U209">
        <v>16</v>
      </c>
      <c r="V209">
        <v>0</v>
      </c>
      <c r="W209">
        <f t="shared" si="64"/>
        <v>249.6</v>
      </c>
      <c r="X209" t="str">
        <f t="shared" si="65"/>
        <v>No</v>
      </c>
      <c r="Y209" s="2">
        <v>34648</v>
      </c>
      <c r="Z209" t="str">
        <f t="shared" si="51"/>
        <v/>
      </c>
      <c r="AA209" t="str">
        <f t="shared" si="66"/>
        <v/>
      </c>
      <c r="AB209" t="str" cm="1">
        <f t="array" ref="AB209">_xlfn.IFS(Y209&lt;DATE(1996,1,1),"",Y209&lt;DATE(1996,4,1),"Q1",Y209&lt;DATE(1996,7,1),"Q2",Y209&gt;=DATE(1996,7,1),"")</f>
        <v/>
      </c>
    </row>
    <row r="210" spans="1:28" ht="14.4" x14ac:dyDescent="0.55000000000000004">
      <c r="A210" t="str">
        <f>VLOOKUP(L210,Customers!$A$2:$B$92,2,FALSE)</f>
        <v>Bólido Comidas preparadas</v>
      </c>
      <c r="B210" t="str">
        <f>VLOOKUP(L210,Customers!$A$2:$C$92,3,TRUE)</f>
        <v>Martín Sommer</v>
      </c>
      <c r="C210" t="str">
        <f t="shared" si="52"/>
        <v>Martín</v>
      </c>
      <c r="D210" s="8" t="str">
        <f t="shared" si="53"/>
        <v>Sommer</v>
      </c>
      <c r="E210" s="8" t="str">
        <f t="shared" si="54"/>
        <v>Sommer, Martín</v>
      </c>
      <c r="F210" s="8" t="str">
        <f t="shared" si="55"/>
        <v>Sommer, Martín</v>
      </c>
      <c r="G210" s="8" t="str">
        <f t="shared" si="56"/>
        <v>not an outlier</v>
      </c>
      <c r="H210" s="8" t="str">
        <f t="shared" si="57"/>
        <v>Not</v>
      </c>
      <c r="I210" s="8" t="str">
        <f t="shared" si="67"/>
        <v>no</v>
      </c>
      <c r="J210" s="10" t="str">
        <f t="shared" si="58"/>
        <v>no</v>
      </c>
      <c r="K210" s="10" t="str">
        <f t="shared" si="59"/>
        <v>no</v>
      </c>
      <c r="L210" t="s">
        <v>69</v>
      </c>
      <c r="M210">
        <v>10326</v>
      </c>
      <c r="N210">
        <v>75</v>
      </c>
      <c r="O210" t="s">
        <v>731</v>
      </c>
      <c r="P210" t="str">
        <f t="shared" si="60"/>
        <v>BOLID_10326_Rhönbräu Klosterbier</v>
      </c>
      <c r="Q210" t="str">
        <f t="shared" si="61"/>
        <v>10326</v>
      </c>
      <c r="R210" t="str">
        <f t="shared" si="62"/>
        <v>10326</v>
      </c>
      <c r="S210" t="str">
        <f t="shared" si="63"/>
        <v>Rhönbräu Klosterbier</v>
      </c>
      <c r="T210">
        <v>6.2</v>
      </c>
      <c r="U210">
        <v>50</v>
      </c>
      <c r="V210">
        <v>0</v>
      </c>
      <c r="W210">
        <f t="shared" si="64"/>
        <v>310</v>
      </c>
      <c r="X210" t="str">
        <f t="shared" si="65"/>
        <v>No</v>
      </c>
      <c r="Y210" s="2">
        <v>34648</v>
      </c>
      <c r="Z210" t="str">
        <f t="shared" si="51"/>
        <v/>
      </c>
      <c r="AA210" t="str">
        <f t="shared" si="66"/>
        <v/>
      </c>
      <c r="AB210" t="str" cm="1">
        <f t="array" ref="AB210">_xlfn.IFS(Y210&lt;DATE(1996,1,1),"",Y210&lt;DATE(1996,4,1),"Q1",Y210&lt;DATE(1996,7,1),"Q2",Y210&gt;=DATE(1996,7,1),"")</f>
        <v/>
      </c>
    </row>
    <row r="211" spans="1:28" ht="14.4" x14ac:dyDescent="0.55000000000000004">
      <c r="A211" t="str">
        <f>VLOOKUP(L211,Customers!$A$2:$B$92,2,FALSE)</f>
        <v>Folk och fä HB</v>
      </c>
      <c r="B211" t="str">
        <f>VLOOKUP(L211,Customers!$A$2:$C$92,3,TRUE)</f>
        <v>Maria Larsson</v>
      </c>
      <c r="C211" t="str">
        <f t="shared" si="52"/>
        <v>Maria</v>
      </c>
      <c r="D211" s="8" t="str">
        <f t="shared" si="53"/>
        <v>Larsson</v>
      </c>
      <c r="E211" s="8" t="str">
        <f t="shared" si="54"/>
        <v>Larsson, Maria</v>
      </c>
      <c r="F211" s="8" t="str">
        <f t="shared" si="55"/>
        <v>Larsson, Maria</v>
      </c>
      <c r="G211" s="8" t="str">
        <f t="shared" si="56"/>
        <v>not an outlier</v>
      </c>
      <c r="H211" s="8" t="str">
        <f t="shared" si="57"/>
        <v>Not</v>
      </c>
      <c r="I211" s="8" t="str">
        <f t="shared" si="67"/>
        <v>no</v>
      </c>
      <c r="J211" s="10" t="str">
        <f t="shared" si="58"/>
        <v>no</v>
      </c>
      <c r="K211" s="10" t="str">
        <f t="shared" si="59"/>
        <v>no</v>
      </c>
      <c r="L211" t="s">
        <v>191</v>
      </c>
      <c r="M211">
        <v>10327</v>
      </c>
      <c r="N211">
        <v>2</v>
      </c>
      <c r="O211" t="s">
        <v>701</v>
      </c>
      <c r="P211" t="str">
        <f t="shared" si="60"/>
        <v>FOLKO_10327_Chang</v>
      </c>
      <c r="Q211" t="str">
        <f t="shared" si="61"/>
        <v>10327</v>
      </c>
      <c r="R211" t="str">
        <f t="shared" si="62"/>
        <v>10327</v>
      </c>
      <c r="S211" t="str">
        <f t="shared" si="63"/>
        <v>Chang</v>
      </c>
      <c r="T211">
        <v>15.2</v>
      </c>
      <c r="U211">
        <v>25</v>
      </c>
      <c r="V211">
        <v>0.2</v>
      </c>
      <c r="W211">
        <f t="shared" si="64"/>
        <v>304</v>
      </c>
      <c r="X211" t="str">
        <f t="shared" si="65"/>
        <v>No</v>
      </c>
      <c r="Y211" s="2">
        <v>34649</v>
      </c>
      <c r="Z211" t="str">
        <f t="shared" si="51"/>
        <v/>
      </c>
      <c r="AA211" t="str">
        <f t="shared" si="66"/>
        <v/>
      </c>
      <c r="AB211" t="str" cm="1">
        <f t="array" ref="AB211">_xlfn.IFS(Y211&lt;DATE(1996,1,1),"",Y211&lt;DATE(1996,4,1),"Q1",Y211&lt;DATE(1996,7,1),"Q2",Y211&gt;=DATE(1996,7,1),"")</f>
        <v/>
      </c>
    </row>
    <row r="212" spans="1:28" ht="14.4" x14ac:dyDescent="0.55000000000000004">
      <c r="A212" t="str">
        <f>VLOOKUP(L212,Customers!$A$2:$B$92,2,FALSE)</f>
        <v>Folk och fä HB</v>
      </c>
      <c r="B212" t="str">
        <f>VLOOKUP(L212,Customers!$A$2:$C$92,3,TRUE)</f>
        <v>Maria Larsson</v>
      </c>
      <c r="C212" t="str">
        <f t="shared" si="52"/>
        <v>Maria</v>
      </c>
      <c r="D212" s="8" t="str">
        <f t="shared" si="53"/>
        <v>Larsson</v>
      </c>
      <c r="E212" s="8" t="str">
        <f t="shared" si="54"/>
        <v>Larsson, Maria</v>
      </c>
      <c r="F212" s="8" t="str">
        <f t="shared" si="55"/>
        <v>Larsson, Maria</v>
      </c>
      <c r="G212" s="8" t="str">
        <f t="shared" si="56"/>
        <v>not an outlier</v>
      </c>
      <c r="H212" s="8" t="str">
        <f t="shared" si="57"/>
        <v>Not</v>
      </c>
      <c r="I212" s="8" t="str">
        <f t="shared" si="67"/>
        <v>no</v>
      </c>
      <c r="J212" s="10" t="str">
        <f t="shared" si="58"/>
        <v>no</v>
      </c>
      <c r="K212" s="10" t="str">
        <f t="shared" si="59"/>
        <v>no</v>
      </c>
      <c r="L212" t="s">
        <v>191</v>
      </c>
      <c r="M212">
        <v>10327</v>
      </c>
      <c r="N212">
        <v>11</v>
      </c>
      <c r="O212" t="s">
        <v>683</v>
      </c>
      <c r="P212" t="str">
        <f t="shared" si="60"/>
        <v>FOLKO_10327_Queso Cabrales</v>
      </c>
      <c r="Q212" t="str">
        <f t="shared" si="61"/>
        <v>10327</v>
      </c>
      <c r="R212" t="str">
        <f t="shared" si="62"/>
        <v>10327</v>
      </c>
      <c r="S212" t="str">
        <f t="shared" si="63"/>
        <v>Queso Cabrales</v>
      </c>
      <c r="T212">
        <v>16.8</v>
      </c>
      <c r="U212">
        <v>50</v>
      </c>
      <c r="V212">
        <v>0.2</v>
      </c>
      <c r="W212">
        <f t="shared" si="64"/>
        <v>672</v>
      </c>
      <c r="X212" t="str">
        <f t="shared" si="65"/>
        <v>No</v>
      </c>
      <c r="Y212" s="2">
        <v>34649</v>
      </c>
      <c r="Z212" t="str">
        <f t="shared" si="51"/>
        <v/>
      </c>
      <c r="AA212" t="str">
        <f t="shared" si="66"/>
        <v/>
      </c>
      <c r="AB212" t="str" cm="1">
        <f t="array" ref="AB212">_xlfn.IFS(Y212&lt;DATE(1996,1,1),"",Y212&lt;DATE(1996,4,1),"Q1",Y212&lt;DATE(1996,7,1),"Q2",Y212&gt;=DATE(1996,7,1),"")</f>
        <v/>
      </c>
    </row>
    <row r="213" spans="1:28" ht="14.4" x14ac:dyDescent="0.55000000000000004">
      <c r="A213" t="str">
        <f>VLOOKUP(L213,Customers!$A$2:$B$92,2,FALSE)</f>
        <v>Folk och fä HB</v>
      </c>
      <c r="B213" t="str">
        <f>VLOOKUP(L213,Customers!$A$2:$C$92,3,TRUE)</f>
        <v>Maria Larsson</v>
      </c>
      <c r="C213" t="str">
        <f t="shared" si="52"/>
        <v>Maria</v>
      </c>
      <c r="D213" s="8" t="str">
        <f t="shared" si="53"/>
        <v>Larsson</v>
      </c>
      <c r="E213" s="8" t="str">
        <f t="shared" si="54"/>
        <v>Larsson, Maria</v>
      </c>
      <c r="F213" s="8" t="str">
        <f t="shared" si="55"/>
        <v>Larsson, Maria</v>
      </c>
      <c r="G213" s="8" t="str">
        <f t="shared" si="56"/>
        <v>not an outlier</v>
      </c>
      <c r="H213" s="8" t="str">
        <f t="shared" si="57"/>
        <v>Not</v>
      </c>
      <c r="I213" s="8" t="str">
        <f t="shared" si="67"/>
        <v>no</v>
      </c>
      <c r="J213" s="10" t="str">
        <f t="shared" si="58"/>
        <v>no</v>
      </c>
      <c r="K213" s="10" t="str">
        <f t="shared" si="59"/>
        <v>no</v>
      </c>
      <c r="L213" t="s">
        <v>191</v>
      </c>
      <c r="M213">
        <v>10327</v>
      </c>
      <c r="N213">
        <v>30</v>
      </c>
      <c r="O213" t="s">
        <v>717</v>
      </c>
      <c r="P213" t="str">
        <f t="shared" si="60"/>
        <v>FOLKO_10327_Nord-Ost Matjeshering</v>
      </c>
      <c r="Q213" t="str">
        <f t="shared" si="61"/>
        <v>10327</v>
      </c>
      <c r="R213" t="str">
        <f t="shared" si="62"/>
        <v>10327</v>
      </c>
      <c r="S213" t="str">
        <f t="shared" si="63"/>
        <v>Nord-Ost Matjeshering</v>
      </c>
      <c r="T213">
        <v>20.7</v>
      </c>
      <c r="U213">
        <v>35</v>
      </c>
      <c r="V213">
        <v>0.2</v>
      </c>
      <c r="W213">
        <f t="shared" si="64"/>
        <v>579.6</v>
      </c>
      <c r="X213" t="str">
        <f t="shared" si="65"/>
        <v>No</v>
      </c>
      <c r="Y213" s="2">
        <v>34649</v>
      </c>
      <c r="Z213" t="str">
        <f t="shared" si="51"/>
        <v/>
      </c>
      <c r="AA213" t="str">
        <f t="shared" si="66"/>
        <v/>
      </c>
      <c r="AB213" t="str" cm="1">
        <f t="array" ref="AB213">_xlfn.IFS(Y213&lt;DATE(1996,1,1),"",Y213&lt;DATE(1996,4,1),"Q1",Y213&lt;DATE(1996,7,1),"Q2",Y213&gt;=DATE(1996,7,1),"")</f>
        <v/>
      </c>
    </row>
    <row r="214" spans="1:28" ht="14.4" x14ac:dyDescent="0.55000000000000004">
      <c r="A214" t="str">
        <f>VLOOKUP(L214,Customers!$A$2:$B$92,2,FALSE)</f>
        <v>Folk och fä HB</v>
      </c>
      <c r="B214" t="str">
        <f>VLOOKUP(L214,Customers!$A$2:$C$92,3,TRUE)</f>
        <v>Maria Larsson</v>
      </c>
      <c r="C214" t="str">
        <f t="shared" si="52"/>
        <v>Maria</v>
      </c>
      <c r="D214" s="8" t="str">
        <f t="shared" si="53"/>
        <v>Larsson</v>
      </c>
      <c r="E214" s="8" t="str">
        <f t="shared" si="54"/>
        <v>Larsson, Maria</v>
      </c>
      <c r="F214" s="8" t="str">
        <f t="shared" si="55"/>
        <v>Larsson, Maria</v>
      </c>
      <c r="G214" s="8" t="str">
        <f t="shared" si="56"/>
        <v>not an outlier</v>
      </c>
      <c r="H214" s="8" t="str">
        <f t="shared" si="57"/>
        <v>Not</v>
      </c>
      <c r="I214" s="8" t="str">
        <f t="shared" si="67"/>
        <v>no</v>
      </c>
      <c r="J214" s="10" t="str">
        <f t="shared" si="58"/>
        <v>no</v>
      </c>
      <c r="K214" s="10" t="str">
        <f t="shared" si="59"/>
        <v>no</v>
      </c>
      <c r="L214" t="s">
        <v>191</v>
      </c>
      <c r="M214">
        <v>10327</v>
      </c>
      <c r="N214">
        <v>58</v>
      </c>
      <c r="O214" t="s">
        <v>747</v>
      </c>
      <c r="P214" t="str">
        <f t="shared" si="60"/>
        <v>FOLKO_10327_Escargots de Bourgogne</v>
      </c>
      <c r="Q214" t="str">
        <f t="shared" si="61"/>
        <v>10327</v>
      </c>
      <c r="R214" t="str">
        <f t="shared" si="62"/>
        <v>10327</v>
      </c>
      <c r="S214" t="str">
        <f t="shared" si="63"/>
        <v>Escargots de Bourgogne</v>
      </c>
      <c r="T214">
        <v>10.6</v>
      </c>
      <c r="U214">
        <v>30</v>
      </c>
      <c r="V214">
        <v>0.2</v>
      </c>
      <c r="W214">
        <f t="shared" si="64"/>
        <v>254.4</v>
      </c>
      <c r="X214" t="str">
        <f t="shared" si="65"/>
        <v>No</v>
      </c>
      <c r="Y214" s="2">
        <v>34649</v>
      </c>
      <c r="Z214" t="str">
        <f t="shared" si="51"/>
        <v/>
      </c>
      <c r="AA214" t="str">
        <f t="shared" si="66"/>
        <v/>
      </c>
      <c r="AB214" t="str" cm="1">
        <f t="array" ref="AB214">_xlfn.IFS(Y214&lt;DATE(1996,1,1),"",Y214&lt;DATE(1996,4,1),"Q1",Y214&lt;DATE(1996,7,1),"Q2",Y214&gt;=DATE(1996,7,1),"")</f>
        <v/>
      </c>
    </row>
    <row r="215" spans="1:28" ht="14.4" x14ac:dyDescent="0.55000000000000004">
      <c r="A215" t="str">
        <f>VLOOKUP(L215,Customers!$A$2:$B$92,2,FALSE)</f>
        <v>Furia Bacalhau e Frutos do Mar</v>
      </c>
      <c r="B215" t="str">
        <f>VLOOKUP(L215,Customers!$A$2:$C$92,3,TRUE)</f>
        <v>Lino Rodriguez</v>
      </c>
      <c r="C215" t="str">
        <f t="shared" si="52"/>
        <v>Lino</v>
      </c>
      <c r="D215" s="8" t="str">
        <f t="shared" si="53"/>
        <v>Rodriguez</v>
      </c>
      <c r="E215" s="8" t="str">
        <f t="shared" si="54"/>
        <v>Rodriguez, Lino</v>
      </c>
      <c r="F215" s="8" t="str">
        <f t="shared" si="55"/>
        <v>Rodriguez, Lino</v>
      </c>
      <c r="G215" s="8" t="str">
        <f t="shared" si="56"/>
        <v>not an outlier</v>
      </c>
      <c r="H215" s="8" t="str">
        <f t="shared" si="57"/>
        <v>Not</v>
      </c>
      <c r="I215" s="8" t="str">
        <f t="shared" si="67"/>
        <v>no</v>
      </c>
      <c r="J215" s="10" t="str">
        <f t="shared" si="58"/>
        <v>no</v>
      </c>
      <c r="K215" s="10" t="str">
        <f t="shared" si="59"/>
        <v>no</v>
      </c>
      <c r="L215" t="s">
        <v>219</v>
      </c>
      <c r="M215">
        <v>10328</v>
      </c>
      <c r="N215">
        <v>59</v>
      </c>
      <c r="O215" t="s">
        <v>704</v>
      </c>
      <c r="P215" t="str">
        <f t="shared" si="60"/>
        <v>FURIB_10328_Raclette Courdavault</v>
      </c>
      <c r="Q215" t="str">
        <f t="shared" si="61"/>
        <v>10328</v>
      </c>
      <c r="R215" t="str">
        <f t="shared" si="62"/>
        <v>10328</v>
      </c>
      <c r="S215" t="str">
        <f t="shared" si="63"/>
        <v>Raclette Courdavault</v>
      </c>
      <c r="T215">
        <v>44</v>
      </c>
      <c r="U215">
        <v>9</v>
      </c>
      <c r="V215">
        <v>0</v>
      </c>
      <c r="W215">
        <f t="shared" si="64"/>
        <v>396</v>
      </c>
      <c r="X215" t="str">
        <f t="shared" si="65"/>
        <v>No</v>
      </c>
      <c r="Y215" s="2">
        <v>34652</v>
      </c>
      <c r="Z215" t="str">
        <f t="shared" si="51"/>
        <v/>
      </c>
      <c r="AA215" t="str">
        <f t="shared" si="66"/>
        <v/>
      </c>
      <c r="AB215" t="str" cm="1">
        <f t="array" ref="AB215">_xlfn.IFS(Y215&lt;DATE(1996,1,1),"",Y215&lt;DATE(1996,4,1),"Q1",Y215&lt;DATE(1996,7,1),"Q2",Y215&gt;=DATE(1996,7,1),"")</f>
        <v/>
      </c>
    </row>
    <row r="216" spans="1:28" ht="14.4" x14ac:dyDescent="0.55000000000000004">
      <c r="A216" t="str">
        <f>VLOOKUP(L216,Customers!$A$2:$B$92,2,FALSE)</f>
        <v>Furia Bacalhau e Frutos do Mar</v>
      </c>
      <c r="B216" t="str">
        <f>VLOOKUP(L216,Customers!$A$2:$C$92,3,TRUE)</f>
        <v>Lino Rodriguez</v>
      </c>
      <c r="C216" t="str">
        <f t="shared" si="52"/>
        <v>Lino</v>
      </c>
      <c r="D216" s="8" t="str">
        <f t="shared" si="53"/>
        <v>Rodriguez</v>
      </c>
      <c r="E216" s="8" t="str">
        <f t="shared" si="54"/>
        <v>Rodriguez, Lino</v>
      </c>
      <c r="F216" s="8" t="str">
        <f t="shared" si="55"/>
        <v>Rodriguez, Lino</v>
      </c>
      <c r="G216" s="8" t="str">
        <f t="shared" si="56"/>
        <v>not an outlier</v>
      </c>
      <c r="H216" s="8" t="str">
        <f t="shared" si="57"/>
        <v>Not</v>
      </c>
      <c r="I216" s="8" t="str">
        <f t="shared" si="67"/>
        <v>no</v>
      </c>
      <c r="J216" s="10" t="str">
        <f t="shared" si="58"/>
        <v>no</v>
      </c>
      <c r="K216" s="10" t="str">
        <f t="shared" si="59"/>
        <v>no</v>
      </c>
      <c r="L216" t="s">
        <v>219</v>
      </c>
      <c r="M216">
        <v>10328</v>
      </c>
      <c r="N216">
        <v>65</v>
      </c>
      <c r="O216" t="s">
        <v>689</v>
      </c>
      <c r="P216" t="str">
        <f t="shared" si="60"/>
        <v>FURIB_10328_Louisiana Fiery Hot Pepper Sauce</v>
      </c>
      <c r="Q216" t="str">
        <f t="shared" si="61"/>
        <v>10328</v>
      </c>
      <c r="R216" t="str">
        <f t="shared" si="62"/>
        <v>10328</v>
      </c>
      <c r="S216" t="str">
        <f t="shared" si="63"/>
        <v>Louisiana Fiery Hot Pepper Sauce</v>
      </c>
      <c r="T216">
        <v>16.8</v>
      </c>
      <c r="U216">
        <v>40</v>
      </c>
      <c r="V216">
        <v>0</v>
      </c>
      <c r="W216">
        <f t="shared" si="64"/>
        <v>672</v>
      </c>
      <c r="X216" t="str">
        <f t="shared" si="65"/>
        <v>No</v>
      </c>
      <c r="Y216" s="2">
        <v>34652</v>
      </c>
      <c r="Z216" t="str">
        <f t="shared" si="51"/>
        <v/>
      </c>
      <c r="AA216" t="str">
        <f t="shared" si="66"/>
        <v/>
      </c>
      <c r="AB216" t="str" cm="1">
        <f t="array" ref="AB216">_xlfn.IFS(Y216&lt;DATE(1996,1,1),"",Y216&lt;DATE(1996,4,1),"Q1",Y216&lt;DATE(1996,7,1),"Q2",Y216&gt;=DATE(1996,7,1),"")</f>
        <v/>
      </c>
    </row>
    <row r="217" spans="1:28" ht="14.4" x14ac:dyDescent="0.55000000000000004">
      <c r="A217" t="str">
        <f>VLOOKUP(L217,Customers!$A$2:$B$92,2,FALSE)</f>
        <v>Furia Bacalhau e Frutos do Mar</v>
      </c>
      <c r="B217" t="str">
        <f>VLOOKUP(L217,Customers!$A$2:$C$92,3,TRUE)</f>
        <v>Lino Rodriguez</v>
      </c>
      <c r="C217" t="str">
        <f t="shared" si="52"/>
        <v>Lino</v>
      </c>
      <c r="D217" s="8" t="str">
        <f t="shared" si="53"/>
        <v>Rodriguez</v>
      </c>
      <c r="E217" s="8" t="str">
        <f t="shared" si="54"/>
        <v>Rodriguez, Lino</v>
      </c>
      <c r="F217" s="8" t="str">
        <f t="shared" si="55"/>
        <v>Rodriguez, Lino</v>
      </c>
      <c r="G217" s="8" t="str">
        <f t="shared" si="56"/>
        <v>not an outlier</v>
      </c>
      <c r="H217" s="8" t="str">
        <f t="shared" si="57"/>
        <v>Not</v>
      </c>
      <c r="I217" s="8" t="str">
        <f t="shared" si="67"/>
        <v>no</v>
      </c>
      <c r="J217" s="10" t="str">
        <f t="shared" si="58"/>
        <v>no</v>
      </c>
      <c r="K217" s="10" t="str">
        <f t="shared" si="59"/>
        <v>no</v>
      </c>
      <c r="L217" t="s">
        <v>219</v>
      </c>
      <c r="M217">
        <v>10328</v>
      </c>
      <c r="N217">
        <v>68</v>
      </c>
      <c r="O217" t="s">
        <v>739</v>
      </c>
      <c r="P217" t="str">
        <f t="shared" si="60"/>
        <v>FURIB_10328_Scottish Longbreads</v>
      </c>
      <c r="Q217" t="str">
        <f t="shared" si="61"/>
        <v>10328</v>
      </c>
      <c r="R217" t="str">
        <f t="shared" si="62"/>
        <v>10328</v>
      </c>
      <c r="S217" t="str">
        <f t="shared" si="63"/>
        <v>Scottish Longbreads</v>
      </c>
      <c r="T217">
        <v>10</v>
      </c>
      <c r="U217">
        <v>10</v>
      </c>
      <c r="V217">
        <v>0</v>
      </c>
      <c r="W217">
        <f t="shared" si="64"/>
        <v>100</v>
      </c>
      <c r="X217" t="str">
        <f t="shared" si="65"/>
        <v>No</v>
      </c>
      <c r="Y217" s="2">
        <v>34652</v>
      </c>
      <c r="Z217" t="str">
        <f t="shared" si="51"/>
        <v/>
      </c>
      <c r="AA217" t="str">
        <f t="shared" si="66"/>
        <v/>
      </c>
      <c r="AB217" t="str" cm="1">
        <f t="array" ref="AB217">_xlfn.IFS(Y217&lt;DATE(1996,1,1),"",Y217&lt;DATE(1996,4,1),"Q1",Y217&lt;DATE(1996,7,1),"Q2",Y217&gt;=DATE(1996,7,1),"")</f>
        <v/>
      </c>
    </row>
    <row r="218" spans="1:28" ht="14.4" x14ac:dyDescent="0.55000000000000004">
      <c r="A218" t="str">
        <f>VLOOKUP(L218,Customers!$A$2:$B$92,2,FALSE)</f>
        <v>Split Rail Beer &amp; Ale</v>
      </c>
      <c r="B218" t="str">
        <f>VLOOKUP(L218,Customers!$A$2:$C$92,3,TRUE)</f>
        <v>Art Braunschweiger</v>
      </c>
      <c r="C218" t="str">
        <f t="shared" si="52"/>
        <v>Art</v>
      </c>
      <c r="D218" s="8" t="str">
        <f t="shared" si="53"/>
        <v>Braunschweiger</v>
      </c>
      <c r="E218" s="8" t="str">
        <f t="shared" si="54"/>
        <v>Braunschweiger, Art</v>
      </c>
      <c r="F218" s="8" t="str">
        <f t="shared" si="55"/>
        <v>Braunschweiger, Art</v>
      </c>
      <c r="G218" s="8" t="str">
        <f t="shared" si="56"/>
        <v>not an outlier</v>
      </c>
      <c r="H218" s="8" t="str">
        <f t="shared" si="57"/>
        <v>Not</v>
      </c>
      <c r="I218" s="8" t="str">
        <f t="shared" si="67"/>
        <v>no</v>
      </c>
      <c r="J218" s="10" t="str">
        <f t="shared" si="58"/>
        <v>no</v>
      </c>
      <c r="K218" s="10" t="str">
        <f t="shared" si="59"/>
        <v>no</v>
      </c>
      <c r="L218" t="s">
        <v>557</v>
      </c>
      <c r="M218">
        <v>10329</v>
      </c>
      <c r="N218">
        <v>19</v>
      </c>
      <c r="O218" t="s">
        <v>732</v>
      </c>
      <c r="P218" t="str">
        <f t="shared" si="60"/>
        <v>SPLIR_10329_Teatime Chocolate Biscuits</v>
      </c>
      <c r="Q218" t="str">
        <f t="shared" si="61"/>
        <v>10329</v>
      </c>
      <c r="R218" t="str">
        <f t="shared" si="62"/>
        <v>10329</v>
      </c>
      <c r="S218" t="str">
        <f t="shared" si="63"/>
        <v>Teatime Chocolate Biscuits</v>
      </c>
      <c r="T218">
        <v>7.3</v>
      </c>
      <c r="U218">
        <v>10</v>
      </c>
      <c r="V218">
        <v>0.05</v>
      </c>
      <c r="W218">
        <f t="shared" si="64"/>
        <v>69.349999999999994</v>
      </c>
      <c r="X218" t="str">
        <f t="shared" si="65"/>
        <v>No</v>
      </c>
      <c r="Y218" s="2">
        <v>34653</v>
      </c>
      <c r="Z218" t="str">
        <f t="shared" si="51"/>
        <v/>
      </c>
      <c r="AA218" t="str">
        <f t="shared" si="66"/>
        <v/>
      </c>
      <c r="AB218" t="str" cm="1">
        <f t="array" ref="AB218">_xlfn.IFS(Y218&lt;DATE(1996,1,1),"",Y218&lt;DATE(1996,4,1),"Q1",Y218&lt;DATE(1996,7,1),"Q2",Y218&gt;=DATE(1996,7,1),"")</f>
        <v/>
      </c>
    </row>
    <row r="219" spans="1:28" ht="14.4" x14ac:dyDescent="0.55000000000000004">
      <c r="A219" t="str">
        <f>VLOOKUP(L219,Customers!$A$2:$B$92,2,FALSE)</f>
        <v>Split Rail Beer &amp; Ale</v>
      </c>
      <c r="B219" t="str">
        <f>VLOOKUP(L219,Customers!$A$2:$C$92,3,TRUE)</f>
        <v>Art Braunschweiger</v>
      </c>
      <c r="C219" t="str">
        <f t="shared" si="52"/>
        <v>Art</v>
      </c>
      <c r="D219" s="8" t="str">
        <f t="shared" si="53"/>
        <v>Braunschweiger</v>
      </c>
      <c r="E219" s="8" t="str">
        <f t="shared" si="54"/>
        <v>Braunschweiger, Art</v>
      </c>
      <c r="F219" s="8" t="str">
        <f t="shared" si="55"/>
        <v>Braunschweiger, Art</v>
      </c>
      <c r="G219" s="8" t="str">
        <f t="shared" si="56"/>
        <v>not an outlier</v>
      </c>
      <c r="H219" s="8" t="str">
        <f t="shared" si="57"/>
        <v>Not</v>
      </c>
      <c r="I219" s="8" t="str">
        <f t="shared" si="67"/>
        <v>no</v>
      </c>
      <c r="J219" s="10" t="str">
        <f t="shared" si="58"/>
        <v>no</v>
      </c>
      <c r="K219" s="10" t="str">
        <f t="shared" si="59"/>
        <v>no</v>
      </c>
      <c r="L219" t="s">
        <v>557</v>
      </c>
      <c r="M219">
        <v>10329</v>
      </c>
      <c r="N219">
        <v>30</v>
      </c>
      <c r="O219" t="s">
        <v>717</v>
      </c>
      <c r="P219" t="str">
        <f t="shared" si="60"/>
        <v>SPLIR_10329_Nord-Ost Matjeshering</v>
      </c>
      <c r="Q219" t="str">
        <f t="shared" si="61"/>
        <v>10329</v>
      </c>
      <c r="R219" t="str">
        <f t="shared" si="62"/>
        <v>10329</v>
      </c>
      <c r="S219" t="str">
        <f t="shared" si="63"/>
        <v>Nord-Ost Matjeshering</v>
      </c>
      <c r="T219">
        <v>20.7</v>
      </c>
      <c r="U219">
        <v>8</v>
      </c>
      <c r="V219">
        <v>0.05</v>
      </c>
      <c r="W219">
        <f t="shared" si="64"/>
        <v>157.32</v>
      </c>
      <c r="X219" t="str">
        <f t="shared" si="65"/>
        <v>No</v>
      </c>
      <c r="Y219" s="2">
        <v>34653</v>
      </c>
      <c r="Z219" t="str">
        <f t="shared" si="51"/>
        <v/>
      </c>
      <c r="AA219" t="str">
        <f t="shared" si="66"/>
        <v/>
      </c>
      <c r="AB219" t="str" cm="1">
        <f t="array" ref="AB219">_xlfn.IFS(Y219&lt;DATE(1996,1,1),"",Y219&lt;DATE(1996,4,1),"Q1",Y219&lt;DATE(1996,7,1),"Q2",Y219&gt;=DATE(1996,7,1),"")</f>
        <v/>
      </c>
    </row>
    <row r="220" spans="1:28" ht="14.4" x14ac:dyDescent="0.55000000000000004">
      <c r="A220" t="str">
        <f>VLOOKUP(L220,Customers!$A$2:$B$92,2,FALSE)</f>
        <v>Split Rail Beer &amp; Ale</v>
      </c>
      <c r="B220" t="str">
        <f>VLOOKUP(L220,Customers!$A$2:$C$92,3,TRUE)</f>
        <v>Art Braunschweiger</v>
      </c>
      <c r="C220" t="str">
        <f t="shared" si="52"/>
        <v>Art</v>
      </c>
      <c r="D220" s="8" t="str">
        <f t="shared" si="53"/>
        <v>Braunschweiger</v>
      </c>
      <c r="E220" s="8" t="str">
        <f t="shared" si="54"/>
        <v>Braunschweiger, Art</v>
      </c>
      <c r="F220" s="8" t="str">
        <f t="shared" si="55"/>
        <v>Braunschweiger, Art</v>
      </c>
      <c r="G220" s="8" t="str">
        <f t="shared" si="56"/>
        <v>outlier</v>
      </c>
      <c r="H220" s="8" t="str">
        <f t="shared" si="57"/>
        <v>outlier</v>
      </c>
      <c r="I220" s="8" t="str">
        <f t="shared" si="67"/>
        <v>yes</v>
      </c>
      <c r="J220" s="10" t="str">
        <f t="shared" si="58"/>
        <v>yes</v>
      </c>
      <c r="K220" s="10" t="str">
        <f t="shared" si="59"/>
        <v>yes</v>
      </c>
      <c r="L220" t="s">
        <v>557</v>
      </c>
      <c r="M220">
        <v>10329</v>
      </c>
      <c r="N220">
        <v>38</v>
      </c>
      <c r="O220" t="s">
        <v>750</v>
      </c>
      <c r="P220" t="str">
        <f t="shared" si="60"/>
        <v>SPLIR_10329_Côte de Blaye</v>
      </c>
      <c r="Q220" t="str">
        <f t="shared" si="61"/>
        <v>10329</v>
      </c>
      <c r="R220" t="str">
        <f t="shared" si="62"/>
        <v>10329</v>
      </c>
      <c r="S220" t="str">
        <f t="shared" si="63"/>
        <v>Côte de Blaye</v>
      </c>
      <c r="T220">
        <v>210.8</v>
      </c>
      <c r="U220">
        <v>20</v>
      </c>
      <c r="V220">
        <v>0.05</v>
      </c>
      <c r="W220">
        <f t="shared" si="64"/>
        <v>4005.2</v>
      </c>
      <c r="X220" t="str">
        <f t="shared" si="65"/>
        <v>No</v>
      </c>
      <c r="Y220" s="2">
        <v>34653</v>
      </c>
      <c r="Z220" t="str">
        <f t="shared" si="51"/>
        <v/>
      </c>
      <c r="AA220" t="str">
        <f t="shared" si="66"/>
        <v/>
      </c>
      <c r="AB220" t="str" cm="1">
        <f t="array" ref="AB220">_xlfn.IFS(Y220&lt;DATE(1996,1,1),"",Y220&lt;DATE(1996,4,1),"Q1",Y220&lt;DATE(1996,7,1),"Q2",Y220&gt;=DATE(1996,7,1),"")</f>
        <v/>
      </c>
    </row>
    <row r="221" spans="1:28" ht="14.4" x14ac:dyDescent="0.55000000000000004">
      <c r="A221" t="str">
        <f>VLOOKUP(L221,Customers!$A$2:$B$92,2,FALSE)</f>
        <v>Split Rail Beer &amp; Ale</v>
      </c>
      <c r="B221" t="str">
        <f>VLOOKUP(L221,Customers!$A$2:$C$92,3,TRUE)</f>
        <v>Art Braunschweiger</v>
      </c>
      <c r="C221" t="str">
        <f t="shared" si="52"/>
        <v>Art</v>
      </c>
      <c r="D221" s="8" t="str">
        <f t="shared" si="53"/>
        <v>Braunschweiger</v>
      </c>
      <c r="E221" s="8" t="str">
        <f t="shared" si="54"/>
        <v>Braunschweiger, Art</v>
      </c>
      <c r="F221" s="8" t="str">
        <f t="shared" si="55"/>
        <v>Braunschweiger, Art</v>
      </c>
      <c r="G221" s="8" t="str">
        <f t="shared" si="56"/>
        <v>not an outlier</v>
      </c>
      <c r="H221" s="8" t="str">
        <f t="shared" si="57"/>
        <v>Not</v>
      </c>
      <c r="I221" s="8" t="str">
        <f t="shared" si="67"/>
        <v>no</v>
      </c>
      <c r="J221" s="10" t="str">
        <f t="shared" si="58"/>
        <v>no</v>
      </c>
      <c r="K221" s="10" t="str">
        <f t="shared" si="59"/>
        <v>no</v>
      </c>
      <c r="L221" t="s">
        <v>557</v>
      </c>
      <c r="M221">
        <v>10329</v>
      </c>
      <c r="N221">
        <v>56</v>
      </c>
      <c r="O221" t="s">
        <v>716</v>
      </c>
      <c r="P221" t="str">
        <f t="shared" si="60"/>
        <v>SPLIR_10329_Gnocchi di nonna Alice</v>
      </c>
      <c r="Q221" t="str">
        <f t="shared" si="61"/>
        <v>10329</v>
      </c>
      <c r="R221" t="str">
        <f t="shared" si="62"/>
        <v>10329</v>
      </c>
      <c r="S221" t="str">
        <f t="shared" si="63"/>
        <v>Gnocchi di nonna Alice</v>
      </c>
      <c r="T221">
        <v>30.4</v>
      </c>
      <c r="U221">
        <v>12</v>
      </c>
      <c r="V221">
        <v>0.05</v>
      </c>
      <c r="W221">
        <f t="shared" si="64"/>
        <v>346.55999999999995</v>
      </c>
      <c r="X221" t="str">
        <f t="shared" si="65"/>
        <v>No</v>
      </c>
      <c r="Y221" s="2">
        <v>34653</v>
      </c>
      <c r="Z221" t="str">
        <f t="shared" si="51"/>
        <v/>
      </c>
      <c r="AA221" t="str">
        <f t="shared" si="66"/>
        <v/>
      </c>
      <c r="AB221" t="str" cm="1">
        <f t="array" ref="AB221">_xlfn.IFS(Y221&lt;DATE(1996,1,1),"",Y221&lt;DATE(1996,4,1),"Q1",Y221&lt;DATE(1996,7,1),"Q2",Y221&gt;=DATE(1996,7,1),"")</f>
        <v/>
      </c>
    </row>
    <row r="222" spans="1:28" ht="14.4" x14ac:dyDescent="0.55000000000000004">
      <c r="A222" t="str">
        <f>VLOOKUP(L222,Customers!$A$2:$B$92,2,FALSE)</f>
        <v>LILA-Supermercado</v>
      </c>
      <c r="B222" t="str">
        <f>VLOOKUP(L222,Customers!$A$2:$C$92,3,TRUE)</f>
        <v>Carlos González</v>
      </c>
      <c r="C222" t="str">
        <f t="shared" si="52"/>
        <v>Carlos</v>
      </c>
      <c r="D222" s="8" t="str">
        <f t="shared" si="53"/>
        <v>González</v>
      </c>
      <c r="E222" s="8" t="str">
        <f t="shared" si="54"/>
        <v>González, Carlos</v>
      </c>
      <c r="F222" s="8" t="str">
        <f t="shared" si="55"/>
        <v>González, Carlos</v>
      </c>
      <c r="G222" s="8" t="str">
        <f t="shared" si="56"/>
        <v>not an outlier</v>
      </c>
      <c r="H222" s="8" t="str">
        <f t="shared" si="57"/>
        <v>Not</v>
      </c>
      <c r="I222" s="8" t="str">
        <f t="shared" si="67"/>
        <v>no</v>
      </c>
      <c r="J222" s="10" t="str">
        <f t="shared" si="58"/>
        <v>no</v>
      </c>
      <c r="K222" s="10" t="str">
        <f t="shared" si="59"/>
        <v>no</v>
      </c>
      <c r="L222" t="s">
        <v>355</v>
      </c>
      <c r="M222">
        <v>10330</v>
      </c>
      <c r="N222">
        <v>26</v>
      </c>
      <c r="O222" t="s">
        <v>751</v>
      </c>
      <c r="P222" t="str">
        <f t="shared" si="60"/>
        <v>LILAS_10330_Gumbär Gummibärchen</v>
      </c>
      <c r="Q222" t="str">
        <f t="shared" si="61"/>
        <v>10330</v>
      </c>
      <c r="R222" t="str">
        <f t="shared" si="62"/>
        <v>10330</v>
      </c>
      <c r="S222" t="str">
        <f t="shared" si="63"/>
        <v>Gumbär Gummibärchen</v>
      </c>
      <c r="T222">
        <v>24.9</v>
      </c>
      <c r="U222">
        <v>50</v>
      </c>
      <c r="V222">
        <v>0.15</v>
      </c>
      <c r="W222">
        <f t="shared" si="64"/>
        <v>1058.25</v>
      </c>
      <c r="X222" t="str">
        <f t="shared" si="65"/>
        <v>No</v>
      </c>
      <c r="Y222" s="2">
        <v>34654</v>
      </c>
      <c r="Z222" t="str">
        <f t="shared" si="51"/>
        <v/>
      </c>
      <c r="AA222" t="str">
        <f t="shared" si="66"/>
        <v/>
      </c>
      <c r="AB222" t="str" cm="1">
        <f t="array" ref="AB222">_xlfn.IFS(Y222&lt;DATE(1996,1,1),"",Y222&lt;DATE(1996,4,1),"Q1",Y222&lt;DATE(1996,7,1),"Q2",Y222&gt;=DATE(1996,7,1),"")</f>
        <v/>
      </c>
    </row>
    <row r="223" spans="1:28" ht="14.4" x14ac:dyDescent="0.55000000000000004">
      <c r="A223" t="str">
        <f>VLOOKUP(L223,Customers!$A$2:$B$92,2,FALSE)</f>
        <v>LILA-Supermercado</v>
      </c>
      <c r="B223" t="str">
        <f>VLOOKUP(L223,Customers!$A$2:$C$92,3,TRUE)</f>
        <v>Carlos González</v>
      </c>
      <c r="C223" t="str">
        <f t="shared" si="52"/>
        <v>Carlos</v>
      </c>
      <c r="D223" s="8" t="str">
        <f t="shared" si="53"/>
        <v>González</v>
      </c>
      <c r="E223" s="8" t="str">
        <f t="shared" si="54"/>
        <v>González, Carlos</v>
      </c>
      <c r="F223" s="8" t="str">
        <f t="shared" si="55"/>
        <v>González, Carlos</v>
      </c>
      <c r="G223" s="8" t="str">
        <f t="shared" si="56"/>
        <v>not an outlier</v>
      </c>
      <c r="H223" s="8" t="str">
        <f t="shared" si="57"/>
        <v>Not</v>
      </c>
      <c r="I223" s="8" t="str">
        <f t="shared" si="67"/>
        <v>no</v>
      </c>
      <c r="J223" s="10" t="str">
        <f t="shared" si="58"/>
        <v>no</v>
      </c>
      <c r="K223" s="10" t="str">
        <f t="shared" si="59"/>
        <v>no</v>
      </c>
      <c r="L223" t="s">
        <v>355</v>
      </c>
      <c r="M223">
        <v>10330</v>
      </c>
      <c r="N223">
        <v>72</v>
      </c>
      <c r="O223" t="s">
        <v>685</v>
      </c>
      <c r="P223" t="str">
        <f t="shared" si="60"/>
        <v>LILAS_10330_Mozzarella di Giovanni</v>
      </c>
      <c r="Q223" t="str">
        <f t="shared" si="61"/>
        <v>10330</v>
      </c>
      <c r="R223" t="str">
        <f t="shared" si="62"/>
        <v>10330</v>
      </c>
      <c r="S223" t="str">
        <f t="shared" si="63"/>
        <v>Mozzarella di Giovanni</v>
      </c>
      <c r="T223">
        <v>27.8</v>
      </c>
      <c r="U223">
        <v>25</v>
      </c>
      <c r="V223">
        <v>0.15</v>
      </c>
      <c r="W223">
        <f t="shared" si="64"/>
        <v>590.75</v>
      </c>
      <c r="X223" t="str">
        <f t="shared" si="65"/>
        <v>No</v>
      </c>
      <c r="Y223" s="2">
        <v>34654</v>
      </c>
      <c r="Z223" t="str">
        <f t="shared" si="51"/>
        <v/>
      </c>
      <c r="AA223" t="str">
        <f t="shared" si="66"/>
        <v/>
      </c>
      <c r="AB223" t="str" cm="1">
        <f t="array" ref="AB223">_xlfn.IFS(Y223&lt;DATE(1996,1,1),"",Y223&lt;DATE(1996,4,1),"Q1",Y223&lt;DATE(1996,7,1),"Q2",Y223&gt;=DATE(1996,7,1),"")</f>
        <v/>
      </c>
    </row>
    <row r="224" spans="1:28" ht="14.4" x14ac:dyDescent="0.55000000000000004">
      <c r="A224" t="str">
        <f>VLOOKUP(L224,Customers!$A$2:$B$92,2,FALSE)</f>
        <v>Bon app'</v>
      </c>
      <c r="B224" t="str">
        <f>VLOOKUP(L224,Customers!$A$2:$C$92,3,TRUE)</f>
        <v>Laurence Lebihan</v>
      </c>
      <c r="C224" t="str">
        <f t="shared" si="52"/>
        <v>Laurence</v>
      </c>
      <c r="D224" s="8" t="str">
        <f t="shared" si="53"/>
        <v>Lebihan</v>
      </c>
      <c r="E224" s="8" t="str">
        <f t="shared" si="54"/>
        <v>Lebihan, Laurence</v>
      </c>
      <c r="F224" s="8" t="str">
        <f t="shared" si="55"/>
        <v>Lebihan, Laurence</v>
      </c>
      <c r="G224" s="8" t="str">
        <f t="shared" si="56"/>
        <v>not an outlier</v>
      </c>
      <c r="H224" s="8" t="str">
        <f t="shared" si="57"/>
        <v>Not</v>
      </c>
      <c r="I224" s="8" t="str">
        <f t="shared" si="67"/>
        <v>no</v>
      </c>
      <c r="J224" s="10" t="str">
        <f t="shared" si="58"/>
        <v>no</v>
      </c>
      <c r="K224" s="10" t="str">
        <f t="shared" si="59"/>
        <v>no</v>
      </c>
      <c r="L224" t="s">
        <v>77</v>
      </c>
      <c r="M224">
        <v>10331</v>
      </c>
      <c r="N224">
        <v>54</v>
      </c>
      <c r="O224" t="s">
        <v>738</v>
      </c>
      <c r="P224" t="str">
        <f t="shared" si="60"/>
        <v>BONAP_10331_Tourtière</v>
      </c>
      <c r="Q224" t="str">
        <f t="shared" si="61"/>
        <v>10331</v>
      </c>
      <c r="R224" t="str">
        <f t="shared" si="62"/>
        <v>10331</v>
      </c>
      <c r="S224" t="str">
        <f t="shared" si="63"/>
        <v>Tourtière</v>
      </c>
      <c r="T224">
        <v>5.9</v>
      </c>
      <c r="U224">
        <v>15</v>
      </c>
      <c r="V224">
        <v>0</v>
      </c>
      <c r="W224">
        <f t="shared" si="64"/>
        <v>88.5</v>
      </c>
      <c r="X224" t="str">
        <f t="shared" si="65"/>
        <v>No</v>
      </c>
      <c r="Y224" s="2">
        <v>34654</v>
      </c>
      <c r="Z224" t="str">
        <f t="shared" si="51"/>
        <v/>
      </c>
      <c r="AA224" t="str">
        <f t="shared" si="66"/>
        <v/>
      </c>
      <c r="AB224" t="str" cm="1">
        <f t="array" ref="AB224">_xlfn.IFS(Y224&lt;DATE(1996,1,1),"",Y224&lt;DATE(1996,4,1),"Q1",Y224&lt;DATE(1996,7,1),"Q2",Y224&gt;=DATE(1996,7,1),"")</f>
        <v/>
      </c>
    </row>
    <row r="225" spans="1:28" ht="14.4" x14ac:dyDescent="0.55000000000000004">
      <c r="A225" t="str">
        <f>VLOOKUP(L225,Customers!$A$2:$B$92,2,FALSE)</f>
        <v>Mère Paillarde</v>
      </c>
      <c r="B225" t="str">
        <f>VLOOKUP(L225,Customers!$A$2:$C$92,3,TRUE)</f>
        <v>Jean Fresnière</v>
      </c>
      <c r="C225" t="str">
        <f t="shared" si="52"/>
        <v>Jean</v>
      </c>
      <c r="D225" s="8" t="str">
        <f t="shared" si="53"/>
        <v>Fresnière</v>
      </c>
      <c r="E225" s="8" t="str">
        <f t="shared" si="54"/>
        <v>Fresnière, Jean</v>
      </c>
      <c r="F225" s="8" t="str">
        <f t="shared" si="55"/>
        <v>Fresnière, Jean</v>
      </c>
      <c r="G225" s="8" t="str">
        <f t="shared" si="56"/>
        <v>not an outlier</v>
      </c>
      <c r="H225" s="8" t="str">
        <f t="shared" si="57"/>
        <v>Not</v>
      </c>
      <c r="I225" s="8" t="str">
        <f t="shared" si="67"/>
        <v>no</v>
      </c>
      <c r="J225" s="10" t="str">
        <f t="shared" si="58"/>
        <v>no</v>
      </c>
      <c r="K225" s="10" t="str">
        <f t="shared" si="59"/>
        <v>no</v>
      </c>
      <c r="L225" t="s">
        <v>394</v>
      </c>
      <c r="M225">
        <v>10332</v>
      </c>
      <c r="N225">
        <v>18</v>
      </c>
      <c r="O225" t="s">
        <v>742</v>
      </c>
      <c r="P225" t="str">
        <f t="shared" si="60"/>
        <v>MEREP_10332_Carnarvon Tigers</v>
      </c>
      <c r="Q225" t="str">
        <f t="shared" si="61"/>
        <v>10332</v>
      </c>
      <c r="R225" t="str">
        <f t="shared" si="62"/>
        <v>10332</v>
      </c>
      <c r="S225" t="str">
        <f t="shared" si="63"/>
        <v>Carnarvon Tigers</v>
      </c>
      <c r="T225">
        <v>50</v>
      </c>
      <c r="U225">
        <v>40</v>
      </c>
      <c r="V225">
        <v>0.2</v>
      </c>
      <c r="W225">
        <f t="shared" si="64"/>
        <v>1600</v>
      </c>
      <c r="X225" t="str">
        <f t="shared" si="65"/>
        <v>No</v>
      </c>
      <c r="Y225" s="2">
        <v>34655</v>
      </c>
      <c r="Z225" t="str">
        <f t="shared" si="51"/>
        <v/>
      </c>
      <c r="AA225" t="str">
        <f t="shared" si="66"/>
        <v/>
      </c>
      <c r="AB225" t="str" cm="1">
        <f t="array" ref="AB225">_xlfn.IFS(Y225&lt;DATE(1996,1,1),"",Y225&lt;DATE(1996,4,1),"Q1",Y225&lt;DATE(1996,7,1),"Q2",Y225&gt;=DATE(1996,7,1),"")</f>
        <v/>
      </c>
    </row>
    <row r="226" spans="1:28" ht="14.4" x14ac:dyDescent="0.55000000000000004">
      <c r="A226" t="str">
        <f>VLOOKUP(L226,Customers!$A$2:$B$92,2,FALSE)</f>
        <v>Mère Paillarde</v>
      </c>
      <c r="B226" t="str">
        <f>VLOOKUP(L226,Customers!$A$2:$C$92,3,TRUE)</f>
        <v>Jean Fresnière</v>
      </c>
      <c r="C226" t="str">
        <f t="shared" si="52"/>
        <v>Jean</v>
      </c>
      <c r="D226" s="8" t="str">
        <f t="shared" si="53"/>
        <v>Fresnière</v>
      </c>
      <c r="E226" s="8" t="str">
        <f t="shared" si="54"/>
        <v>Fresnière, Jean</v>
      </c>
      <c r="F226" s="8" t="str">
        <f t="shared" si="55"/>
        <v>Fresnière, Jean</v>
      </c>
      <c r="G226" s="8" t="str">
        <f t="shared" si="56"/>
        <v>not an outlier</v>
      </c>
      <c r="H226" s="8" t="str">
        <f t="shared" si="57"/>
        <v>Not</v>
      </c>
      <c r="I226" s="8" t="str">
        <f t="shared" si="67"/>
        <v>no</v>
      </c>
      <c r="J226" s="10" t="str">
        <f t="shared" si="58"/>
        <v>no</v>
      </c>
      <c r="K226" s="10" t="str">
        <f t="shared" si="59"/>
        <v>no</v>
      </c>
      <c r="L226" t="s">
        <v>394</v>
      </c>
      <c r="M226">
        <v>10332</v>
      </c>
      <c r="N226">
        <v>42</v>
      </c>
      <c r="O226" t="s">
        <v>684</v>
      </c>
      <c r="P226" t="str">
        <f t="shared" si="60"/>
        <v>MEREP_10332_Singaporean Hokkien Fried Mee</v>
      </c>
      <c r="Q226" t="str">
        <f t="shared" si="61"/>
        <v>10332</v>
      </c>
      <c r="R226" t="str">
        <f t="shared" si="62"/>
        <v>10332</v>
      </c>
      <c r="S226" t="str">
        <f t="shared" si="63"/>
        <v>Singaporean Hokkien Fried Mee</v>
      </c>
      <c r="T226">
        <v>11.2</v>
      </c>
      <c r="U226">
        <v>10</v>
      </c>
      <c r="V226">
        <v>0.2</v>
      </c>
      <c r="W226">
        <f t="shared" si="64"/>
        <v>89.600000000000009</v>
      </c>
      <c r="X226" t="str">
        <f t="shared" si="65"/>
        <v>No</v>
      </c>
      <c r="Y226" s="2">
        <v>34655</v>
      </c>
      <c r="Z226" t="str">
        <f t="shared" si="51"/>
        <v/>
      </c>
      <c r="AA226" t="str">
        <f t="shared" si="66"/>
        <v/>
      </c>
      <c r="AB226" t="str" cm="1">
        <f t="array" ref="AB226">_xlfn.IFS(Y226&lt;DATE(1996,1,1),"",Y226&lt;DATE(1996,4,1),"Q1",Y226&lt;DATE(1996,7,1),"Q2",Y226&gt;=DATE(1996,7,1),"")</f>
        <v/>
      </c>
    </row>
    <row r="227" spans="1:28" ht="14.4" x14ac:dyDescent="0.55000000000000004">
      <c r="A227" t="str">
        <f>VLOOKUP(L227,Customers!$A$2:$B$92,2,FALSE)</f>
        <v>Mère Paillarde</v>
      </c>
      <c r="B227" t="str">
        <f>VLOOKUP(L227,Customers!$A$2:$C$92,3,TRUE)</f>
        <v>Jean Fresnière</v>
      </c>
      <c r="C227" t="str">
        <f t="shared" si="52"/>
        <v>Jean</v>
      </c>
      <c r="D227" s="8" t="str">
        <f t="shared" si="53"/>
        <v>Fresnière</v>
      </c>
      <c r="E227" s="8" t="str">
        <f t="shared" si="54"/>
        <v>Fresnière, Jean</v>
      </c>
      <c r="F227" s="8" t="str">
        <f t="shared" si="55"/>
        <v>Fresnière, Jean</v>
      </c>
      <c r="G227" s="8" t="str">
        <f t="shared" si="56"/>
        <v>not an outlier</v>
      </c>
      <c r="H227" s="8" t="str">
        <f t="shared" si="57"/>
        <v>Not</v>
      </c>
      <c r="I227" s="8" t="str">
        <f t="shared" si="67"/>
        <v>no</v>
      </c>
      <c r="J227" s="10" t="str">
        <f t="shared" si="58"/>
        <v>no</v>
      </c>
      <c r="K227" s="10" t="str">
        <f t="shared" si="59"/>
        <v>no</v>
      </c>
      <c r="L227" t="s">
        <v>394</v>
      </c>
      <c r="M227">
        <v>10332</v>
      </c>
      <c r="N227">
        <v>47</v>
      </c>
      <c r="O227" t="s">
        <v>752</v>
      </c>
      <c r="P227" t="str">
        <f t="shared" si="60"/>
        <v>MEREP_10332_Zaanse koeken</v>
      </c>
      <c r="Q227" t="str">
        <f t="shared" si="61"/>
        <v>10332</v>
      </c>
      <c r="R227" t="str">
        <f t="shared" si="62"/>
        <v>10332</v>
      </c>
      <c r="S227" t="str">
        <f t="shared" si="63"/>
        <v>Zaanse koeken</v>
      </c>
      <c r="T227">
        <v>7.6</v>
      </c>
      <c r="U227">
        <v>16</v>
      </c>
      <c r="V227">
        <v>0.2</v>
      </c>
      <c r="W227">
        <f t="shared" si="64"/>
        <v>97.28</v>
      </c>
      <c r="X227" t="str">
        <f t="shared" si="65"/>
        <v>No</v>
      </c>
      <c r="Y227" s="2">
        <v>34655</v>
      </c>
      <c r="Z227" t="str">
        <f t="shared" si="51"/>
        <v/>
      </c>
      <c r="AA227" t="str">
        <f t="shared" si="66"/>
        <v/>
      </c>
      <c r="AB227" t="str" cm="1">
        <f t="array" ref="AB227">_xlfn.IFS(Y227&lt;DATE(1996,1,1),"",Y227&lt;DATE(1996,4,1),"Q1",Y227&lt;DATE(1996,7,1),"Q2",Y227&gt;=DATE(1996,7,1),"")</f>
        <v/>
      </c>
    </row>
    <row r="228" spans="1:28" ht="14.4" x14ac:dyDescent="0.55000000000000004">
      <c r="A228" t="str">
        <f>VLOOKUP(L228,Customers!$A$2:$B$92,2,FALSE)</f>
        <v>Wartian Herkku</v>
      </c>
      <c r="B228" t="str">
        <f>VLOOKUP(L228,Customers!$A$2:$C$92,3,TRUE)</f>
        <v>Pirkko Koskitalo</v>
      </c>
      <c r="C228" t="str">
        <f t="shared" si="52"/>
        <v>Pirkko</v>
      </c>
      <c r="D228" s="8" t="str">
        <f t="shared" si="53"/>
        <v>Koskitalo</v>
      </c>
      <c r="E228" s="8" t="str">
        <f t="shared" si="54"/>
        <v>Koskitalo, Pirkko</v>
      </c>
      <c r="F228" s="8" t="str">
        <f t="shared" si="55"/>
        <v>Koskitalo, Pirkko</v>
      </c>
      <c r="G228" s="8" t="str">
        <f t="shared" si="56"/>
        <v>not an outlier</v>
      </c>
      <c r="H228" s="8" t="str">
        <f t="shared" si="57"/>
        <v>Not</v>
      </c>
      <c r="I228" s="8" t="str">
        <f t="shared" si="67"/>
        <v>no</v>
      </c>
      <c r="J228" s="10" t="str">
        <f t="shared" si="58"/>
        <v>no</v>
      </c>
      <c r="K228" s="10" t="str">
        <f t="shared" si="59"/>
        <v>no</v>
      </c>
      <c r="L228" t="s">
        <v>640</v>
      </c>
      <c r="M228">
        <v>10333</v>
      </c>
      <c r="N228">
        <v>14</v>
      </c>
      <c r="O228" t="s">
        <v>686</v>
      </c>
      <c r="P228" t="str">
        <f t="shared" si="60"/>
        <v>WARTH_10333_Tofu</v>
      </c>
      <c r="Q228" t="str">
        <f t="shared" si="61"/>
        <v>10333</v>
      </c>
      <c r="R228" t="str">
        <f t="shared" si="62"/>
        <v>10333</v>
      </c>
      <c r="S228" t="str">
        <f t="shared" si="63"/>
        <v>Tofu</v>
      </c>
      <c r="T228">
        <v>18.600000000000001</v>
      </c>
      <c r="U228">
        <v>10</v>
      </c>
      <c r="V228">
        <v>0</v>
      </c>
      <c r="W228">
        <f t="shared" si="64"/>
        <v>186</v>
      </c>
      <c r="X228" t="str">
        <f t="shared" si="65"/>
        <v>No</v>
      </c>
      <c r="Y228" s="2">
        <v>34656</v>
      </c>
      <c r="Z228" t="str">
        <f t="shared" si="51"/>
        <v/>
      </c>
      <c r="AA228" t="str">
        <f t="shared" si="66"/>
        <v/>
      </c>
      <c r="AB228" t="str" cm="1">
        <f t="array" ref="AB228">_xlfn.IFS(Y228&lt;DATE(1996,1,1),"",Y228&lt;DATE(1996,4,1),"Q1",Y228&lt;DATE(1996,7,1),"Q2",Y228&gt;=DATE(1996,7,1),"")</f>
        <v/>
      </c>
    </row>
    <row r="229" spans="1:28" ht="14.4" x14ac:dyDescent="0.55000000000000004">
      <c r="A229" t="str">
        <f>VLOOKUP(L229,Customers!$A$2:$B$92,2,FALSE)</f>
        <v>Wartian Herkku</v>
      </c>
      <c r="B229" t="str">
        <f>VLOOKUP(L229,Customers!$A$2:$C$92,3,TRUE)</f>
        <v>Pirkko Koskitalo</v>
      </c>
      <c r="C229" t="str">
        <f t="shared" si="52"/>
        <v>Pirkko</v>
      </c>
      <c r="D229" s="8" t="str">
        <f t="shared" si="53"/>
        <v>Koskitalo</v>
      </c>
      <c r="E229" s="8" t="str">
        <f t="shared" si="54"/>
        <v>Koskitalo, Pirkko</v>
      </c>
      <c r="F229" s="8" t="str">
        <f t="shared" si="55"/>
        <v>Koskitalo, Pirkko</v>
      </c>
      <c r="G229" s="8" t="str">
        <f t="shared" si="56"/>
        <v>not an outlier</v>
      </c>
      <c r="H229" s="8" t="str">
        <f t="shared" si="57"/>
        <v>Not</v>
      </c>
      <c r="I229" s="8" t="str">
        <f t="shared" si="67"/>
        <v>no</v>
      </c>
      <c r="J229" s="10" t="str">
        <f t="shared" si="58"/>
        <v>no</v>
      </c>
      <c r="K229" s="10" t="str">
        <f t="shared" si="59"/>
        <v>no</v>
      </c>
      <c r="L229" t="s">
        <v>640</v>
      </c>
      <c r="M229">
        <v>10333</v>
      </c>
      <c r="N229">
        <v>21</v>
      </c>
      <c r="O229" t="s">
        <v>710</v>
      </c>
      <c r="P229" t="str">
        <f t="shared" si="60"/>
        <v>WARTH_10333_Sir Rodney's Scones</v>
      </c>
      <c r="Q229" t="str">
        <f t="shared" si="61"/>
        <v>10333</v>
      </c>
      <c r="R229" t="str">
        <f t="shared" si="62"/>
        <v>10333</v>
      </c>
      <c r="S229" t="str">
        <f t="shared" si="63"/>
        <v>Sir Rodney's Scones</v>
      </c>
      <c r="T229">
        <v>8</v>
      </c>
      <c r="U229">
        <v>10</v>
      </c>
      <c r="V229">
        <v>0.1</v>
      </c>
      <c r="W229">
        <f t="shared" si="64"/>
        <v>72</v>
      </c>
      <c r="X229" t="str">
        <f t="shared" si="65"/>
        <v>No</v>
      </c>
      <c r="Y229" s="2">
        <v>34656</v>
      </c>
      <c r="Z229" t="str">
        <f t="shared" si="51"/>
        <v/>
      </c>
      <c r="AA229" t="str">
        <f t="shared" si="66"/>
        <v/>
      </c>
      <c r="AB229" t="str" cm="1">
        <f t="array" ref="AB229">_xlfn.IFS(Y229&lt;DATE(1996,1,1),"",Y229&lt;DATE(1996,4,1),"Q1",Y229&lt;DATE(1996,7,1),"Q2",Y229&gt;=DATE(1996,7,1),"")</f>
        <v/>
      </c>
    </row>
    <row r="230" spans="1:28" ht="14.4" x14ac:dyDescent="0.55000000000000004">
      <c r="A230" t="str">
        <f>VLOOKUP(L230,Customers!$A$2:$B$92,2,FALSE)</f>
        <v>Wartian Herkku</v>
      </c>
      <c r="B230" t="str">
        <f>VLOOKUP(L230,Customers!$A$2:$C$92,3,TRUE)</f>
        <v>Pirkko Koskitalo</v>
      </c>
      <c r="C230" t="str">
        <f t="shared" si="52"/>
        <v>Pirkko</v>
      </c>
      <c r="D230" s="8" t="str">
        <f t="shared" si="53"/>
        <v>Koskitalo</v>
      </c>
      <c r="E230" s="8" t="str">
        <f t="shared" si="54"/>
        <v>Koskitalo, Pirkko</v>
      </c>
      <c r="F230" s="8" t="str">
        <f t="shared" si="55"/>
        <v>Koskitalo, Pirkko</v>
      </c>
      <c r="G230" s="8" t="str">
        <f t="shared" si="56"/>
        <v>not an outlier</v>
      </c>
      <c r="H230" s="8" t="str">
        <f t="shared" si="57"/>
        <v>Not</v>
      </c>
      <c r="I230" s="8" t="str">
        <f t="shared" si="67"/>
        <v>no</v>
      </c>
      <c r="J230" s="10" t="str">
        <f t="shared" si="58"/>
        <v>no</v>
      </c>
      <c r="K230" s="10" t="str">
        <f t="shared" si="59"/>
        <v>no</v>
      </c>
      <c r="L230" t="s">
        <v>640</v>
      </c>
      <c r="M230">
        <v>10333</v>
      </c>
      <c r="N230">
        <v>71</v>
      </c>
      <c r="O230" t="s">
        <v>725</v>
      </c>
      <c r="P230" t="str">
        <f t="shared" si="60"/>
        <v>WARTH_10333_Fløtemysost</v>
      </c>
      <c r="Q230" t="str">
        <f t="shared" si="61"/>
        <v>10333</v>
      </c>
      <c r="R230" t="str">
        <f t="shared" si="62"/>
        <v>10333</v>
      </c>
      <c r="S230" t="str">
        <f t="shared" si="63"/>
        <v>Fløtemysost</v>
      </c>
      <c r="T230">
        <v>17.2</v>
      </c>
      <c r="U230">
        <v>40</v>
      </c>
      <c r="V230">
        <v>0.1</v>
      </c>
      <c r="W230">
        <f t="shared" si="64"/>
        <v>619.20000000000005</v>
      </c>
      <c r="X230" t="str">
        <f t="shared" si="65"/>
        <v>No</v>
      </c>
      <c r="Y230" s="2">
        <v>34656</v>
      </c>
      <c r="Z230" t="str">
        <f t="shared" si="51"/>
        <v/>
      </c>
      <c r="AA230" t="str">
        <f t="shared" si="66"/>
        <v/>
      </c>
      <c r="AB230" t="str" cm="1">
        <f t="array" ref="AB230">_xlfn.IFS(Y230&lt;DATE(1996,1,1),"",Y230&lt;DATE(1996,4,1),"Q1",Y230&lt;DATE(1996,7,1),"Q2",Y230&gt;=DATE(1996,7,1),"")</f>
        <v/>
      </c>
    </row>
    <row r="231" spans="1:28" ht="14.4" x14ac:dyDescent="0.55000000000000004">
      <c r="A231" t="str">
        <f>VLOOKUP(L231,Customers!$A$2:$B$92,2,FALSE)</f>
        <v>Victuailles en stock</v>
      </c>
      <c r="B231" t="str">
        <f>VLOOKUP(L231,Customers!$A$2:$C$92,3,TRUE)</f>
        <v>Mary Saveley</v>
      </c>
      <c r="C231" t="str">
        <f t="shared" si="52"/>
        <v>Mary</v>
      </c>
      <c r="D231" s="8" t="str">
        <f t="shared" si="53"/>
        <v>Saveley</v>
      </c>
      <c r="E231" s="8" t="str">
        <f t="shared" si="54"/>
        <v>Saveley, Mary</v>
      </c>
      <c r="F231" s="8" t="str">
        <f t="shared" si="55"/>
        <v>Saveley, Mary</v>
      </c>
      <c r="G231" s="8" t="str">
        <f t="shared" si="56"/>
        <v>not an outlier</v>
      </c>
      <c r="H231" s="8" t="str">
        <f t="shared" si="57"/>
        <v>Not</v>
      </c>
      <c r="I231" s="8" t="str">
        <f t="shared" si="67"/>
        <v>no</v>
      </c>
      <c r="J231" s="10" t="str">
        <f t="shared" si="58"/>
        <v>no</v>
      </c>
      <c r="K231" s="10" t="str">
        <f t="shared" si="59"/>
        <v>no</v>
      </c>
      <c r="L231" t="s">
        <v>619</v>
      </c>
      <c r="M231">
        <v>10334</v>
      </c>
      <c r="N231">
        <v>52</v>
      </c>
      <c r="O231" t="s">
        <v>748</v>
      </c>
      <c r="P231" t="str">
        <f t="shared" si="60"/>
        <v>VICTE_10334_Filo Mix</v>
      </c>
      <c r="Q231" t="str">
        <f t="shared" si="61"/>
        <v>10334</v>
      </c>
      <c r="R231" t="str">
        <f t="shared" si="62"/>
        <v>10334</v>
      </c>
      <c r="S231" t="str">
        <f t="shared" si="63"/>
        <v>Filo Mix</v>
      </c>
      <c r="T231">
        <v>5.6</v>
      </c>
      <c r="U231">
        <v>8</v>
      </c>
      <c r="V231">
        <v>0</v>
      </c>
      <c r="W231">
        <f t="shared" si="64"/>
        <v>44.8</v>
      </c>
      <c r="X231" t="str">
        <f t="shared" si="65"/>
        <v>No</v>
      </c>
      <c r="Y231" s="2">
        <v>34659</v>
      </c>
      <c r="Z231" t="str">
        <f t="shared" si="51"/>
        <v/>
      </c>
      <c r="AA231" t="str">
        <f t="shared" si="66"/>
        <v/>
      </c>
      <c r="AB231" t="str" cm="1">
        <f t="array" ref="AB231">_xlfn.IFS(Y231&lt;DATE(1996,1,1),"",Y231&lt;DATE(1996,4,1),"Q1",Y231&lt;DATE(1996,7,1),"Q2",Y231&gt;=DATE(1996,7,1),"")</f>
        <v/>
      </c>
    </row>
    <row r="232" spans="1:28" ht="14.4" x14ac:dyDescent="0.55000000000000004">
      <c r="A232" t="str">
        <f>VLOOKUP(L232,Customers!$A$2:$B$92,2,FALSE)</f>
        <v>Victuailles en stock</v>
      </c>
      <c r="B232" t="str">
        <f>VLOOKUP(L232,Customers!$A$2:$C$92,3,TRUE)</f>
        <v>Mary Saveley</v>
      </c>
      <c r="C232" t="str">
        <f t="shared" si="52"/>
        <v>Mary</v>
      </c>
      <c r="D232" s="8" t="str">
        <f t="shared" si="53"/>
        <v>Saveley</v>
      </c>
      <c r="E232" s="8" t="str">
        <f t="shared" si="54"/>
        <v>Saveley, Mary</v>
      </c>
      <c r="F232" s="8" t="str">
        <f t="shared" si="55"/>
        <v>Saveley, Mary</v>
      </c>
      <c r="G232" s="8" t="str">
        <f t="shared" si="56"/>
        <v>not an outlier</v>
      </c>
      <c r="H232" s="8" t="str">
        <f t="shared" si="57"/>
        <v>Not</v>
      </c>
      <c r="I232" s="8" t="str">
        <f t="shared" si="67"/>
        <v>no</v>
      </c>
      <c r="J232" s="10" t="str">
        <f t="shared" si="58"/>
        <v>no</v>
      </c>
      <c r="K232" s="10" t="str">
        <f t="shared" si="59"/>
        <v>no</v>
      </c>
      <c r="L232" t="s">
        <v>619</v>
      </c>
      <c r="M232">
        <v>10334</v>
      </c>
      <c r="N232">
        <v>68</v>
      </c>
      <c r="O232" t="s">
        <v>739</v>
      </c>
      <c r="P232" t="str">
        <f t="shared" si="60"/>
        <v>VICTE_10334_Scottish Longbreads</v>
      </c>
      <c r="Q232" t="str">
        <f t="shared" si="61"/>
        <v>10334</v>
      </c>
      <c r="R232" t="str">
        <f t="shared" si="62"/>
        <v>10334</v>
      </c>
      <c r="S232" t="str">
        <f t="shared" si="63"/>
        <v>Scottish Longbreads</v>
      </c>
      <c r="T232">
        <v>10</v>
      </c>
      <c r="U232">
        <v>10</v>
      </c>
      <c r="V232">
        <v>0</v>
      </c>
      <c r="W232">
        <f t="shared" si="64"/>
        <v>100</v>
      </c>
      <c r="X232" t="str">
        <f t="shared" si="65"/>
        <v>No</v>
      </c>
      <c r="Y232" s="2">
        <v>34659</v>
      </c>
      <c r="Z232" t="str">
        <f t="shared" si="51"/>
        <v/>
      </c>
      <c r="AA232" t="str">
        <f t="shared" si="66"/>
        <v/>
      </c>
      <c r="AB232" t="str" cm="1">
        <f t="array" ref="AB232">_xlfn.IFS(Y232&lt;DATE(1996,1,1),"",Y232&lt;DATE(1996,4,1),"Q1",Y232&lt;DATE(1996,7,1),"Q2",Y232&gt;=DATE(1996,7,1),"")</f>
        <v/>
      </c>
    </row>
    <row r="233" spans="1:28" ht="14.4" x14ac:dyDescent="0.55000000000000004">
      <c r="A233" t="str">
        <f>VLOOKUP(L233,Customers!$A$2:$B$92,2,FALSE)</f>
        <v>Hungry Owl All-Night Grocers</v>
      </c>
      <c r="B233" t="str">
        <f>VLOOKUP(L233,Customers!$A$2:$C$92,3,TRUE)</f>
        <v>Patricia McKenna</v>
      </c>
      <c r="C233" t="str">
        <f t="shared" si="52"/>
        <v>Patricia</v>
      </c>
      <c r="D233" s="8" t="str">
        <f t="shared" si="53"/>
        <v>McKenna</v>
      </c>
      <c r="E233" s="8" t="str">
        <f t="shared" si="54"/>
        <v>McKenna, Patricia</v>
      </c>
      <c r="F233" s="8" t="str">
        <f t="shared" si="55"/>
        <v>McKenna, Patricia</v>
      </c>
      <c r="G233" s="8" t="str">
        <f t="shared" si="56"/>
        <v>not an outlier</v>
      </c>
      <c r="H233" s="8" t="str">
        <f t="shared" si="57"/>
        <v>Not</v>
      </c>
      <c r="I233" s="8" t="str">
        <f t="shared" si="67"/>
        <v>no</v>
      </c>
      <c r="J233" s="10" t="str">
        <f t="shared" si="58"/>
        <v>no</v>
      </c>
      <c r="K233" s="10" t="str">
        <f t="shared" si="59"/>
        <v>no</v>
      </c>
      <c r="L233" t="s">
        <v>288</v>
      </c>
      <c r="M233">
        <v>10335</v>
      </c>
      <c r="N233">
        <v>2</v>
      </c>
      <c r="O233" t="s">
        <v>701</v>
      </c>
      <c r="P233" t="str">
        <f t="shared" si="60"/>
        <v>HUNGO_10335_Chang</v>
      </c>
      <c r="Q233" t="str">
        <f t="shared" si="61"/>
        <v>10335</v>
      </c>
      <c r="R233" t="str">
        <f t="shared" si="62"/>
        <v>10335</v>
      </c>
      <c r="S233" t="str">
        <f t="shared" si="63"/>
        <v>Chang</v>
      </c>
      <c r="T233">
        <v>15.2</v>
      </c>
      <c r="U233">
        <v>7</v>
      </c>
      <c r="V233">
        <v>0.2</v>
      </c>
      <c r="W233">
        <f t="shared" si="64"/>
        <v>85.12</v>
      </c>
      <c r="X233" t="str">
        <f t="shared" si="65"/>
        <v>No</v>
      </c>
      <c r="Y233" s="2">
        <v>34660</v>
      </c>
      <c r="Z233" t="str">
        <f t="shared" si="51"/>
        <v/>
      </c>
      <c r="AA233" t="str">
        <f t="shared" si="66"/>
        <v/>
      </c>
      <c r="AB233" t="str" cm="1">
        <f t="array" ref="AB233">_xlfn.IFS(Y233&lt;DATE(1996,1,1),"",Y233&lt;DATE(1996,4,1),"Q1",Y233&lt;DATE(1996,7,1),"Q2",Y233&gt;=DATE(1996,7,1),"")</f>
        <v/>
      </c>
    </row>
    <row r="234" spans="1:28" ht="14.4" x14ac:dyDescent="0.55000000000000004">
      <c r="A234" t="str">
        <f>VLOOKUP(L234,Customers!$A$2:$B$92,2,FALSE)</f>
        <v>Hungry Owl All-Night Grocers</v>
      </c>
      <c r="B234" t="str">
        <f>VLOOKUP(L234,Customers!$A$2:$C$92,3,TRUE)</f>
        <v>Patricia McKenna</v>
      </c>
      <c r="C234" t="str">
        <f t="shared" si="52"/>
        <v>Patricia</v>
      </c>
      <c r="D234" s="8" t="str">
        <f t="shared" si="53"/>
        <v>McKenna</v>
      </c>
      <c r="E234" s="8" t="str">
        <f t="shared" si="54"/>
        <v>McKenna, Patricia</v>
      </c>
      <c r="F234" s="8" t="str">
        <f t="shared" si="55"/>
        <v>McKenna, Patricia</v>
      </c>
      <c r="G234" s="8" t="str">
        <f t="shared" si="56"/>
        <v>not an outlier</v>
      </c>
      <c r="H234" s="8" t="str">
        <f t="shared" si="57"/>
        <v>Not</v>
      </c>
      <c r="I234" s="8" t="str">
        <f t="shared" si="67"/>
        <v>no</v>
      </c>
      <c r="J234" s="10" t="str">
        <f t="shared" si="58"/>
        <v>no</v>
      </c>
      <c r="K234" s="10" t="str">
        <f t="shared" si="59"/>
        <v>no</v>
      </c>
      <c r="L234" t="s">
        <v>288</v>
      </c>
      <c r="M234">
        <v>10335</v>
      </c>
      <c r="N234">
        <v>31</v>
      </c>
      <c r="O234" t="s">
        <v>695</v>
      </c>
      <c r="P234" t="str">
        <f t="shared" si="60"/>
        <v>HUNGO_10335_Gorgonzola Telino</v>
      </c>
      <c r="Q234" t="str">
        <f t="shared" si="61"/>
        <v>10335</v>
      </c>
      <c r="R234" t="str">
        <f t="shared" si="62"/>
        <v>10335</v>
      </c>
      <c r="S234" t="str">
        <f t="shared" si="63"/>
        <v>Gorgonzola Telino</v>
      </c>
      <c r="T234">
        <v>10</v>
      </c>
      <c r="U234">
        <v>25</v>
      </c>
      <c r="V234">
        <v>0.2</v>
      </c>
      <c r="W234">
        <f t="shared" si="64"/>
        <v>200</v>
      </c>
      <c r="X234" t="str">
        <f t="shared" si="65"/>
        <v>No</v>
      </c>
      <c r="Y234" s="2">
        <v>34660</v>
      </c>
      <c r="Z234" t="str">
        <f t="shared" si="51"/>
        <v/>
      </c>
      <c r="AA234" t="str">
        <f t="shared" si="66"/>
        <v/>
      </c>
      <c r="AB234" t="str" cm="1">
        <f t="array" ref="AB234">_xlfn.IFS(Y234&lt;DATE(1996,1,1),"",Y234&lt;DATE(1996,4,1),"Q1",Y234&lt;DATE(1996,7,1),"Q2",Y234&gt;=DATE(1996,7,1),"")</f>
        <v/>
      </c>
    </row>
    <row r="235" spans="1:28" ht="14.4" x14ac:dyDescent="0.55000000000000004">
      <c r="A235" t="str">
        <f>VLOOKUP(L235,Customers!$A$2:$B$92,2,FALSE)</f>
        <v>Hungry Owl All-Night Grocers</v>
      </c>
      <c r="B235" t="str">
        <f>VLOOKUP(L235,Customers!$A$2:$C$92,3,TRUE)</f>
        <v>Patricia McKenna</v>
      </c>
      <c r="C235" t="str">
        <f t="shared" si="52"/>
        <v>Patricia</v>
      </c>
      <c r="D235" s="8" t="str">
        <f t="shared" si="53"/>
        <v>McKenna</v>
      </c>
      <c r="E235" s="8" t="str">
        <f t="shared" si="54"/>
        <v>McKenna, Patricia</v>
      </c>
      <c r="F235" s="8" t="str">
        <f t="shared" si="55"/>
        <v>McKenna, Patricia</v>
      </c>
      <c r="G235" s="8" t="str">
        <f t="shared" si="56"/>
        <v>not an outlier</v>
      </c>
      <c r="H235" s="8" t="str">
        <f t="shared" si="57"/>
        <v>Not</v>
      </c>
      <c r="I235" s="8" t="str">
        <f t="shared" si="67"/>
        <v>no</v>
      </c>
      <c r="J235" s="10" t="str">
        <f t="shared" si="58"/>
        <v>no</v>
      </c>
      <c r="K235" s="10" t="str">
        <f t="shared" si="59"/>
        <v>no</v>
      </c>
      <c r="L235" t="s">
        <v>288</v>
      </c>
      <c r="M235">
        <v>10335</v>
      </c>
      <c r="N235">
        <v>32</v>
      </c>
      <c r="O235" t="s">
        <v>709</v>
      </c>
      <c r="P235" t="str">
        <f t="shared" si="60"/>
        <v>HUNGO_10335_Mascarpone Fabioli</v>
      </c>
      <c r="Q235" t="str">
        <f t="shared" si="61"/>
        <v>10335</v>
      </c>
      <c r="R235" t="str">
        <f t="shared" si="62"/>
        <v>10335</v>
      </c>
      <c r="S235" t="str">
        <f t="shared" si="63"/>
        <v>Mascarpone Fabioli</v>
      </c>
      <c r="T235">
        <v>25.6</v>
      </c>
      <c r="U235">
        <v>6</v>
      </c>
      <c r="V235">
        <v>0.2</v>
      </c>
      <c r="W235">
        <f t="shared" si="64"/>
        <v>122.88000000000002</v>
      </c>
      <c r="X235" t="str">
        <f t="shared" si="65"/>
        <v>No</v>
      </c>
      <c r="Y235" s="2">
        <v>34660</v>
      </c>
      <c r="Z235" t="str">
        <f t="shared" si="51"/>
        <v/>
      </c>
      <c r="AA235" t="str">
        <f t="shared" si="66"/>
        <v/>
      </c>
      <c r="AB235" t="str" cm="1">
        <f t="array" ref="AB235">_xlfn.IFS(Y235&lt;DATE(1996,1,1),"",Y235&lt;DATE(1996,4,1),"Q1",Y235&lt;DATE(1996,7,1),"Q2",Y235&gt;=DATE(1996,7,1),"")</f>
        <v/>
      </c>
    </row>
    <row r="236" spans="1:28" ht="14.4" x14ac:dyDescent="0.55000000000000004">
      <c r="A236" t="str">
        <f>VLOOKUP(L236,Customers!$A$2:$B$92,2,FALSE)</f>
        <v>Hungry Owl All-Night Grocers</v>
      </c>
      <c r="B236" t="str">
        <f>VLOOKUP(L236,Customers!$A$2:$C$92,3,TRUE)</f>
        <v>Patricia McKenna</v>
      </c>
      <c r="C236" t="str">
        <f t="shared" si="52"/>
        <v>Patricia</v>
      </c>
      <c r="D236" s="8" t="str">
        <f t="shared" si="53"/>
        <v>McKenna</v>
      </c>
      <c r="E236" s="8" t="str">
        <f t="shared" si="54"/>
        <v>McKenna, Patricia</v>
      </c>
      <c r="F236" s="8" t="str">
        <f t="shared" si="55"/>
        <v>McKenna, Patricia</v>
      </c>
      <c r="G236" s="8" t="str">
        <f t="shared" si="56"/>
        <v>not an outlier</v>
      </c>
      <c r="H236" s="8" t="str">
        <f t="shared" si="57"/>
        <v>Not</v>
      </c>
      <c r="I236" s="8" t="str">
        <f t="shared" si="67"/>
        <v>no</v>
      </c>
      <c r="J236" s="10" t="str">
        <f t="shared" si="58"/>
        <v>no</v>
      </c>
      <c r="K236" s="10" t="str">
        <f t="shared" si="59"/>
        <v>no</v>
      </c>
      <c r="L236" t="s">
        <v>288</v>
      </c>
      <c r="M236">
        <v>10335</v>
      </c>
      <c r="N236">
        <v>51</v>
      </c>
      <c r="O236" t="s">
        <v>687</v>
      </c>
      <c r="P236" t="str">
        <f t="shared" si="60"/>
        <v>HUNGO_10335_Manjimup Dried Apples</v>
      </c>
      <c r="Q236" t="str">
        <f t="shared" si="61"/>
        <v>10335</v>
      </c>
      <c r="R236" t="str">
        <f t="shared" si="62"/>
        <v>10335</v>
      </c>
      <c r="S236" t="str">
        <f t="shared" si="63"/>
        <v>Manjimup Dried Apples</v>
      </c>
      <c r="T236">
        <v>42.4</v>
      </c>
      <c r="U236">
        <v>48</v>
      </c>
      <c r="V236">
        <v>0.2</v>
      </c>
      <c r="W236">
        <f t="shared" si="64"/>
        <v>1628.1599999999999</v>
      </c>
      <c r="X236" t="str">
        <f t="shared" si="65"/>
        <v>No</v>
      </c>
      <c r="Y236" s="2">
        <v>34660</v>
      </c>
      <c r="Z236" t="str">
        <f t="shared" si="51"/>
        <v/>
      </c>
      <c r="AA236" t="str">
        <f t="shared" si="66"/>
        <v/>
      </c>
      <c r="AB236" t="str" cm="1">
        <f t="array" ref="AB236">_xlfn.IFS(Y236&lt;DATE(1996,1,1),"",Y236&lt;DATE(1996,4,1),"Q1",Y236&lt;DATE(1996,7,1),"Q2",Y236&gt;=DATE(1996,7,1),"")</f>
        <v/>
      </c>
    </row>
    <row r="237" spans="1:28" ht="14.4" x14ac:dyDescent="0.55000000000000004">
      <c r="A237" t="str">
        <f>VLOOKUP(L237,Customers!$A$2:$B$92,2,FALSE)</f>
        <v>Princesa Isabel Vinhos</v>
      </c>
      <c r="B237" t="str">
        <f>VLOOKUP(L237,Customers!$A$2:$C$92,3,TRUE)</f>
        <v>Isabel de Castro</v>
      </c>
      <c r="C237" t="str">
        <f t="shared" si="52"/>
        <v>Isabel</v>
      </c>
      <c r="D237" s="8" t="str">
        <f t="shared" si="53"/>
        <v>de Castro</v>
      </c>
      <c r="E237" s="8" t="str">
        <f t="shared" si="54"/>
        <v>de Castro, Isabel</v>
      </c>
      <c r="F237" s="8" t="str">
        <f t="shared" si="55"/>
        <v>de Castro, Isabel</v>
      </c>
      <c r="G237" s="8" t="str">
        <f t="shared" si="56"/>
        <v>not an outlier</v>
      </c>
      <c r="H237" s="8" t="str">
        <f t="shared" si="57"/>
        <v>Not</v>
      </c>
      <c r="I237" s="8" t="str">
        <f t="shared" si="67"/>
        <v>no</v>
      </c>
      <c r="J237" s="10" t="str">
        <f t="shared" si="58"/>
        <v>no</v>
      </c>
      <c r="K237" s="10" t="str">
        <f t="shared" si="59"/>
        <v>no</v>
      </c>
      <c r="L237" t="s">
        <v>457</v>
      </c>
      <c r="M237">
        <v>10336</v>
      </c>
      <c r="N237">
        <v>4</v>
      </c>
      <c r="O237" t="s">
        <v>745</v>
      </c>
      <c r="P237" t="str">
        <f t="shared" si="60"/>
        <v>PRINI_10336_Chef Anton's Cajun Seasoning</v>
      </c>
      <c r="Q237" t="str">
        <f t="shared" si="61"/>
        <v>10336</v>
      </c>
      <c r="R237" t="str">
        <f t="shared" si="62"/>
        <v>10336</v>
      </c>
      <c r="S237" t="str">
        <f t="shared" si="63"/>
        <v>Chef Anton's Cajun Seasoning</v>
      </c>
      <c r="T237">
        <v>17.600000000000001</v>
      </c>
      <c r="U237">
        <v>18</v>
      </c>
      <c r="V237">
        <v>0.1</v>
      </c>
      <c r="W237">
        <f t="shared" si="64"/>
        <v>285.12</v>
      </c>
      <c r="X237" t="str">
        <f t="shared" si="65"/>
        <v>No</v>
      </c>
      <c r="Y237" s="2">
        <v>34661</v>
      </c>
      <c r="Z237" t="str">
        <f t="shared" si="51"/>
        <v/>
      </c>
      <c r="AA237" t="str">
        <f t="shared" si="66"/>
        <v/>
      </c>
      <c r="AB237" t="str" cm="1">
        <f t="array" ref="AB237">_xlfn.IFS(Y237&lt;DATE(1996,1,1),"",Y237&lt;DATE(1996,4,1),"Q1",Y237&lt;DATE(1996,7,1),"Q2",Y237&gt;=DATE(1996,7,1),"")</f>
        <v/>
      </c>
    </row>
    <row r="238" spans="1:28" ht="14.4" x14ac:dyDescent="0.55000000000000004">
      <c r="A238" t="str">
        <f>VLOOKUP(L238,Customers!$A$2:$B$92,2,FALSE)</f>
        <v>Frankenversand</v>
      </c>
      <c r="B238" t="str">
        <f>VLOOKUP(L238,Customers!$A$2:$C$92,3,TRUE)</f>
        <v>Peter Franken</v>
      </c>
      <c r="C238" t="str">
        <f t="shared" si="52"/>
        <v>Peter</v>
      </c>
      <c r="D238" s="8" t="str">
        <f t="shared" si="53"/>
        <v>Franken</v>
      </c>
      <c r="E238" s="8" t="str">
        <f t="shared" si="54"/>
        <v>Franken, Peter</v>
      </c>
      <c r="F238" s="8" t="str">
        <f t="shared" si="55"/>
        <v>Franken, Peter</v>
      </c>
      <c r="G238" s="8" t="str">
        <f t="shared" si="56"/>
        <v>not an outlier</v>
      </c>
      <c r="H238" s="8" t="str">
        <f t="shared" si="57"/>
        <v>Not</v>
      </c>
      <c r="I238" s="8" t="str">
        <f t="shared" si="67"/>
        <v>no</v>
      </c>
      <c r="J238" s="10" t="str">
        <f t="shared" si="58"/>
        <v>no</v>
      </c>
      <c r="K238" s="10" t="str">
        <f t="shared" si="59"/>
        <v>no</v>
      </c>
      <c r="L238" t="s">
        <v>198</v>
      </c>
      <c r="M238">
        <v>10337</v>
      </c>
      <c r="N238">
        <v>23</v>
      </c>
      <c r="O238" t="s">
        <v>753</v>
      </c>
      <c r="P238" t="str">
        <f t="shared" si="60"/>
        <v>FRANK_10337_Tunnbröd</v>
      </c>
      <c r="Q238" t="str">
        <f t="shared" si="61"/>
        <v>10337</v>
      </c>
      <c r="R238" t="str">
        <f t="shared" si="62"/>
        <v>10337</v>
      </c>
      <c r="S238" t="str">
        <f t="shared" si="63"/>
        <v>Tunnbröd</v>
      </c>
      <c r="T238">
        <v>7.2</v>
      </c>
      <c r="U238">
        <v>40</v>
      </c>
      <c r="V238">
        <v>0</v>
      </c>
      <c r="W238">
        <f t="shared" si="64"/>
        <v>288</v>
      </c>
      <c r="X238" t="str">
        <f t="shared" si="65"/>
        <v>No</v>
      </c>
      <c r="Y238" s="2">
        <v>34662</v>
      </c>
      <c r="Z238" t="str">
        <f t="shared" si="51"/>
        <v/>
      </c>
      <c r="AA238" t="str">
        <f t="shared" si="66"/>
        <v/>
      </c>
      <c r="AB238" t="str" cm="1">
        <f t="array" ref="AB238">_xlfn.IFS(Y238&lt;DATE(1996,1,1),"",Y238&lt;DATE(1996,4,1),"Q1",Y238&lt;DATE(1996,7,1),"Q2",Y238&gt;=DATE(1996,7,1),"")</f>
        <v/>
      </c>
    </row>
    <row r="239" spans="1:28" ht="14.4" x14ac:dyDescent="0.55000000000000004">
      <c r="A239" t="str">
        <f>VLOOKUP(L239,Customers!$A$2:$B$92,2,FALSE)</f>
        <v>Frankenversand</v>
      </c>
      <c r="B239" t="str">
        <f>VLOOKUP(L239,Customers!$A$2:$C$92,3,TRUE)</f>
        <v>Peter Franken</v>
      </c>
      <c r="C239" t="str">
        <f t="shared" si="52"/>
        <v>Peter</v>
      </c>
      <c r="D239" s="8" t="str">
        <f t="shared" si="53"/>
        <v>Franken</v>
      </c>
      <c r="E239" s="8" t="str">
        <f t="shared" si="54"/>
        <v>Franken, Peter</v>
      </c>
      <c r="F239" s="8" t="str">
        <f t="shared" si="55"/>
        <v>Franken, Peter</v>
      </c>
      <c r="G239" s="8" t="str">
        <f t="shared" si="56"/>
        <v>not an outlier</v>
      </c>
      <c r="H239" s="8" t="str">
        <f t="shared" si="57"/>
        <v>Not</v>
      </c>
      <c r="I239" s="8" t="str">
        <f t="shared" si="67"/>
        <v>no</v>
      </c>
      <c r="J239" s="10" t="str">
        <f t="shared" si="58"/>
        <v>no</v>
      </c>
      <c r="K239" s="10" t="str">
        <f t="shared" si="59"/>
        <v>no</v>
      </c>
      <c r="L239" t="s">
        <v>198</v>
      </c>
      <c r="M239">
        <v>10337</v>
      </c>
      <c r="N239">
        <v>26</v>
      </c>
      <c r="O239" t="s">
        <v>751</v>
      </c>
      <c r="P239" t="str">
        <f t="shared" si="60"/>
        <v>FRANK_10337_Gumbär Gummibärchen</v>
      </c>
      <c r="Q239" t="str">
        <f t="shared" si="61"/>
        <v>10337</v>
      </c>
      <c r="R239" t="str">
        <f t="shared" si="62"/>
        <v>10337</v>
      </c>
      <c r="S239" t="str">
        <f t="shared" si="63"/>
        <v>Gumbär Gummibärchen</v>
      </c>
      <c r="T239">
        <v>24.9</v>
      </c>
      <c r="U239">
        <v>24</v>
      </c>
      <c r="V239">
        <v>0</v>
      </c>
      <c r="W239">
        <f t="shared" si="64"/>
        <v>597.59999999999991</v>
      </c>
      <c r="X239" t="str">
        <f t="shared" si="65"/>
        <v>No</v>
      </c>
      <c r="Y239" s="2">
        <v>34662</v>
      </c>
      <c r="Z239" t="str">
        <f t="shared" si="51"/>
        <v/>
      </c>
      <c r="AA239" t="str">
        <f t="shared" si="66"/>
        <v/>
      </c>
      <c r="AB239" t="str" cm="1">
        <f t="array" ref="AB239">_xlfn.IFS(Y239&lt;DATE(1996,1,1),"",Y239&lt;DATE(1996,4,1),"Q1",Y239&lt;DATE(1996,7,1),"Q2",Y239&gt;=DATE(1996,7,1),"")</f>
        <v/>
      </c>
    </row>
    <row r="240" spans="1:28" ht="14.4" x14ac:dyDescent="0.55000000000000004">
      <c r="A240" t="str">
        <f>VLOOKUP(L240,Customers!$A$2:$B$92,2,FALSE)</f>
        <v>Frankenversand</v>
      </c>
      <c r="B240" t="str">
        <f>VLOOKUP(L240,Customers!$A$2:$C$92,3,TRUE)</f>
        <v>Peter Franken</v>
      </c>
      <c r="C240" t="str">
        <f t="shared" si="52"/>
        <v>Peter</v>
      </c>
      <c r="D240" s="8" t="str">
        <f t="shared" si="53"/>
        <v>Franken</v>
      </c>
      <c r="E240" s="8" t="str">
        <f t="shared" si="54"/>
        <v>Franken, Peter</v>
      </c>
      <c r="F240" s="8" t="str">
        <f t="shared" si="55"/>
        <v>Franken, Peter</v>
      </c>
      <c r="G240" s="8" t="str">
        <f t="shared" si="56"/>
        <v>not an outlier</v>
      </c>
      <c r="H240" s="8" t="str">
        <f t="shared" si="57"/>
        <v>Not</v>
      </c>
      <c r="I240" s="8" t="str">
        <f t="shared" si="67"/>
        <v>no</v>
      </c>
      <c r="J240" s="10" t="str">
        <f t="shared" si="58"/>
        <v>no</v>
      </c>
      <c r="K240" s="10" t="str">
        <f t="shared" si="59"/>
        <v>no</v>
      </c>
      <c r="L240" t="s">
        <v>198</v>
      </c>
      <c r="M240">
        <v>10337</v>
      </c>
      <c r="N240">
        <v>36</v>
      </c>
      <c r="O240" t="s">
        <v>703</v>
      </c>
      <c r="P240" t="str">
        <f t="shared" si="60"/>
        <v>FRANK_10337_Inlagd Sill</v>
      </c>
      <c r="Q240" t="str">
        <f t="shared" si="61"/>
        <v>10337</v>
      </c>
      <c r="R240" t="str">
        <f t="shared" si="62"/>
        <v>10337</v>
      </c>
      <c r="S240" t="str">
        <f t="shared" si="63"/>
        <v>Inlagd Sill</v>
      </c>
      <c r="T240">
        <v>15.2</v>
      </c>
      <c r="U240">
        <v>20</v>
      </c>
      <c r="V240">
        <v>0</v>
      </c>
      <c r="W240">
        <f t="shared" si="64"/>
        <v>304</v>
      </c>
      <c r="X240" t="str">
        <f t="shared" si="65"/>
        <v>No</v>
      </c>
      <c r="Y240" s="2">
        <v>34662</v>
      </c>
      <c r="Z240" t="str">
        <f t="shared" si="51"/>
        <v/>
      </c>
      <c r="AA240" t="str">
        <f t="shared" si="66"/>
        <v/>
      </c>
      <c r="AB240" t="str" cm="1">
        <f t="array" ref="AB240">_xlfn.IFS(Y240&lt;DATE(1996,1,1),"",Y240&lt;DATE(1996,4,1),"Q1",Y240&lt;DATE(1996,7,1),"Q2",Y240&gt;=DATE(1996,7,1),"")</f>
        <v/>
      </c>
    </row>
    <row r="241" spans="1:28" ht="14.4" x14ac:dyDescent="0.55000000000000004">
      <c r="A241" t="str">
        <f>VLOOKUP(L241,Customers!$A$2:$B$92,2,FALSE)</f>
        <v>Frankenversand</v>
      </c>
      <c r="B241" t="str">
        <f>VLOOKUP(L241,Customers!$A$2:$C$92,3,TRUE)</f>
        <v>Peter Franken</v>
      </c>
      <c r="C241" t="str">
        <f t="shared" si="52"/>
        <v>Peter</v>
      </c>
      <c r="D241" s="8" t="str">
        <f t="shared" si="53"/>
        <v>Franken</v>
      </c>
      <c r="E241" s="8" t="str">
        <f t="shared" si="54"/>
        <v>Franken, Peter</v>
      </c>
      <c r="F241" s="8" t="str">
        <f t="shared" si="55"/>
        <v>Franken, Peter</v>
      </c>
      <c r="G241" s="8" t="str">
        <f t="shared" si="56"/>
        <v>not an outlier</v>
      </c>
      <c r="H241" s="8" t="str">
        <f t="shared" si="57"/>
        <v>Not</v>
      </c>
      <c r="I241" s="8" t="str">
        <f t="shared" si="67"/>
        <v>no</v>
      </c>
      <c r="J241" s="10" t="str">
        <f t="shared" si="58"/>
        <v>no</v>
      </c>
      <c r="K241" s="10" t="str">
        <f t="shared" si="59"/>
        <v>no</v>
      </c>
      <c r="L241" t="s">
        <v>198</v>
      </c>
      <c r="M241">
        <v>10337</v>
      </c>
      <c r="N241">
        <v>37</v>
      </c>
      <c r="O241" t="s">
        <v>711</v>
      </c>
      <c r="P241" t="str">
        <f t="shared" si="60"/>
        <v>FRANK_10337_Gravad lax</v>
      </c>
      <c r="Q241" t="str">
        <f t="shared" si="61"/>
        <v>10337</v>
      </c>
      <c r="R241" t="str">
        <f t="shared" si="62"/>
        <v>10337</v>
      </c>
      <c r="S241" t="str">
        <f t="shared" si="63"/>
        <v>Gravad lax</v>
      </c>
      <c r="T241">
        <v>20.8</v>
      </c>
      <c r="U241">
        <v>28</v>
      </c>
      <c r="V241">
        <v>0</v>
      </c>
      <c r="W241">
        <f t="shared" si="64"/>
        <v>582.4</v>
      </c>
      <c r="X241" t="str">
        <f t="shared" si="65"/>
        <v>No</v>
      </c>
      <c r="Y241" s="2">
        <v>34662</v>
      </c>
      <c r="Z241" t="str">
        <f t="shared" si="51"/>
        <v/>
      </c>
      <c r="AA241" t="str">
        <f t="shared" si="66"/>
        <v/>
      </c>
      <c r="AB241" t="str" cm="1">
        <f t="array" ref="AB241">_xlfn.IFS(Y241&lt;DATE(1996,1,1),"",Y241&lt;DATE(1996,4,1),"Q1",Y241&lt;DATE(1996,7,1),"Q2",Y241&gt;=DATE(1996,7,1),"")</f>
        <v/>
      </c>
    </row>
    <row r="242" spans="1:28" ht="14.4" x14ac:dyDescent="0.55000000000000004">
      <c r="A242" t="str">
        <f>VLOOKUP(L242,Customers!$A$2:$B$92,2,FALSE)</f>
        <v>Frankenversand</v>
      </c>
      <c r="B242" t="str">
        <f>VLOOKUP(L242,Customers!$A$2:$C$92,3,TRUE)</f>
        <v>Peter Franken</v>
      </c>
      <c r="C242" t="str">
        <f t="shared" si="52"/>
        <v>Peter</v>
      </c>
      <c r="D242" s="8" t="str">
        <f t="shared" si="53"/>
        <v>Franken</v>
      </c>
      <c r="E242" s="8" t="str">
        <f t="shared" si="54"/>
        <v>Franken, Peter</v>
      </c>
      <c r="F242" s="8" t="str">
        <f t="shared" si="55"/>
        <v>Franken, Peter</v>
      </c>
      <c r="G242" s="8" t="str">
        <f t="shared" si="56"/>
        <v>not an outlier</v>
      </c>
      <c r="H242" s="8" t="str">
        <f t="shared" si="57"/>
        <v>Not</v>
      </c>
      <c r="I242" s="8" t="str">
        <f t="shared" si="67"/>
        <v>no</v>
      </c>
      <c r="J242" s="10" t="str">
        <f t="shared" si="58"/>
        <v>no</v>
      </c>
      <c r="K242" s="10" t="str">
        <f t="shared" si="59"/>
        <v>no</v>
      </c>
      <c r="L242" t="s">
        <v>198</v>
      </c>
      <c r="M242">
        <v>10337</v>
      </c>
      <c r="N242">
        <v>72</v>
      </c>
      <c r="O242" t="s">
        <v>685</v>
      </c>
      <c r="P242" t="str">
        <f t="shared" si="60"/>
        <v>FRANK_10337_Mozzarella di Giovanni</v>
      </c>
      <c r="Q242" t="str">
        <f t="shared" si="61"/>
        <v>10337</v>
      </c>
      <c r="R242" t="str">
        <f t="shared" si="62"/>
        <v>10337</v>
      </c>
      <c r="S242" t="str">
        <f t="shared" si="63"/>
        <v>Mozzarella di Giovanni</v>
      </c>
      <c r="T242">
        <v>27.8</v>
      </c>
      <c r="U242">
        <v>25</v>
      </c>
      <c r="V242">
        <v>0</v>
      </c>
      <c r="W242">
        <f t="shared" si="64"/>
        <v>695</v>
      </c>
      <c r="X242" t="str">
        <f t="shared" si="65"/>
        <v>No</v>
      </c>
      <c r="Y242" s="2">
        <v>34662</v>
      </c>
      <c r="Z242" t="str">
        <f t="shared" si="51"/>
        <v/>
      </c>
      <c r="AA242" t="str">
        <f t="shared" si="66"/>
        <v/>
      </c>
      <c r="AB242" t="str" cm="1">
        <f t="array" ref="AB242">_xlfn.IFS(Y242&lt;DATE(1996,1,1),"",Y242&lt;DATE(1996,4,1),"Q1",Y242&lt;DATE(1996,7,1),"Q2",Y242&gt;=DATE(1996,7,1),"")</f>
        <v/>
      </c>
    </row>
    <row r="243" spans="1:28" ht="14.4" x14ac:dyDescent="0.55000000000000004">
      <c r="A243" t="str">
        <f>VLOOKUP(L243,Customers!$A$2:$B$92,2,FALSE)</f>
        <v>Old World Delicatessen</v>
      </c>
      <c r="B243" t="str">
        <f>VLOOKUP(L243,Customers!$A$2:$C$92,3,TRUE)</f>
        <v>Rene Phillips</v>
      </c>
      <c r="C243" t="str">
        <f t="shared" si="52"/>
        <v>Rene</v>
      </c>
      <c r="D243" s="8" t="str">
        <f t="shared" si="53"/>
        <v>Phillips</v>
      </c>
      <c r="E243" s="8" t="str">
        <f t="shared" si="54"/>
        <v>Phillips, Rene</v>
      </c>
      <c r="F243" s="8" t="str">
        <f t="shared" si="55"/>
        <v>Phillips, Rene</v>
      </c>
      <c r="G243" s="8" t="str">
        <f t="shared" si="56"/>
        <v>not an outlier</v>
      </c>
      <c r="H243" s="8" t="str">
        <f t="shared" si="57"/>
        <v>Not</v>
      </c>
      <c r="I243" s="8" t="str">
        <f t="shared" si="67"/>
        <v>no</v>
      </c>
      <c r="J243" s="10" t="str">
        <f t="shared" si="58"/>
        <v>no</v>
      </c>
      <c r="K243" s="10" t="str">
        <f t="shared" si="59"/>
        <v>no</v>
      </c>
      <c r="L243" t="s">
        <v>422</v>
      </c>
      <c r="M243">
        <v>10338</v>
      </c>
      <c r="N243">
        <v>17</v>
      </c>
      <c r="O243" t="s">
        <v>718</v>
      </c>
      <c r="P243" t="str">
        <f t="shared" si="60"/>
        <v>OLDWO_10338_Alice Mutton</v>
      </c>
      <c r="Q243" t="str">
        <f t="shared" si="61"/>
        <v>10338</v>
      </c>
      <c r="R243" t="str">
        <f t="shared" si="62"/>
        <v>10338</v>
      </c>
      <c r="S243" t="str">
        <f t="shared" si="63"/>
        <v>Alice Mutton</v>
      </c>
      <c r="T243">
        <v>31.2</v>
      </c>
      <c r="U243">
        <v>20</v>
      </c>
      <c r="V243">
        <v>0</v>
      </c>
      <c r="W243">
        <f t="shared" si="64"/>
        <v>624</v>
      </c>
      <c r="X243" t="str">
        <f t="shared" si="65"/>
        <v>No</v>
      </c>
      <c r="Y243" s="2">
        <v>34663</v>
      </c>
      <c r="Z243" t="str">
        <f t="shared" si="51"/>
        <v/>
      </c>
      <c r="AA243" t="str">
        <f t="shared" si="66"/>
        <v/>
      </c>
      <c r="AB243" t="str" cm="1">
        <f t="array" ref="AB243">_xlfn.IFS(Y243&lt;DATE(1996,1,1),"",Y243&lt;DATE(1996,4,1),"Q1",Y243&lt;DATE(1996,7,1),"Q2",Y243&gt;=DATE(1996,7,1),"")</f>
        <v/>
      </c>
    </row>
    <row r="244" spans="1:28" ht="14.4" x14ac:dyDescent="0.55000000000000004">
      <c r="A244" t="str">
        <f>VLOOKUP(L244,Customers!$A$2:$B$92,2,FALSE)</f>
        <v>Old World Delicatessen</v>
      </c>
      <c r="B244" t="str">
        <f>VLOOKUP(L244,Customers!$A$2:$C$92,3,TRUE)</f>
        <v>Rene Phillips</v>
      </c>
      <c r="C244" t="str">
        <f t="shared" si="52"/>
        <v>Rene</v>
      </c>
      <c r="D244" s="8" t="str">
        <f t="shared" si="53"/>
        <v>Phillips</v>
      </c>
      <c r="E244" s="8" t="str">
        <f t="shared" si="54"/>
        <v>Phillips, Rene</v>
      </c>
      <c r="F244" s="8" t="str">
        <f t="shared" si="55"/>
        <v>Phillips, Rene</v>
      </c>
      <c r="G244" s="8" t="str">
        <f t="shared" si="56"/>
        <v>not an outlier</v>
      </c>
      <c r="H244" s="8" t="str">
        <f t="shared" si="57"/>
        <v>Not</v>
      </c>
      <c r="I244" s="8" t="str">
        <f t="shared" si="67"/>
        <v>no</v>
      </c>
      <c r="J244" s="10" t="str">
        <f t="shared" si="58"/>
        <v>no</v>
      </c>
      <c r="K244" s="10" t="str">
        <f t="shared" si="59"/>
        <v>no</v>
      </c>
      <c r="L244" t="s">
        <v>422</v>
      </c>
      <c r="M244">
        <v>10338</v>
      </c>
      <c r="N244">
        <v>30</v>
      </c>
      <c r="O244" t="s">
        <v>717</v>
      </c>
      <c r="P244" t="str">
        <f t="shared" si="60"/>
        <v>OLDWO_10338_Nord-Ost Matjeshering</v>
      </c>
      <c r="Q244" t="str">
        <f t="shared" si="61"/>
        <v>10338</v>
      </c>
      <c r="R244" t="str">
        <f t="shared" si="62"/>
        <v>10338</v>
      </c>
      <c r="S244" t="str">
        <f t="shared" si="63"/>
        <v>Nord-Ost Matjeshering</v>
      </c>
      <c r="T244">
        <v>20.7</v>
      </c>
      <c r="U244">
        <v>15</v>
      </c>
      <c r="V244">
        <v>0</v>
      </c>
      <c r="W244">
        <f t="shared" si="64"/>
        <v>310.5</v>
      </c>
      <c r="X244" t="str">
        <f t="shared" si="65"/>
        <v>No</v>
      </c>
      <c r="Y244" s="2">
        <v>34663</v>
      </c>
      <c r="Z244" t="str">
        <f t="shared" si="51"/>
        <v/>
      </c>
      <c r="AA244" t="str">
        <f t="shared" si="66"/>
        <v/>
      </c>
      <c r="AB244" t="str" cm="1">
        <f t="array" ref="AB244">_xlfn.IFS(Y244&lt;DATE(1996,1,1),"",Y244&lt;DATE(1996,4,1),"Q1",Y244&lt;DATE(1996,7,1),"Q2",Y244&gt;=DATE(1996,7,1),"")</f>
        <v/>
      </c>
    </row>
    <row r="245" spans="1:28" ht="14.4" x14ac:dyDescent="0.55000000000000004">
      <c r="A245" t="str">
        <f>VLOOKUP(L245,Customers!$A$2:$B$92,2,FALSE)</f>
        <v>Mère Paillarde</v>
      </c>
      <c r="B245" t="str">
        <f>VLOOKUP(L245,Customers!$A$2:$C$92,3,TRUE)</f>
        <v>Jean Fresnière</v>
      </c>
      <c r="C245" t="str">
        <f t="shared" si="52"/>
        <v>Jean</v>
      </c>
      <c r="D245" s="8" t="str">
        <f t="shared" si="53"/>
        <v>Fresnière</v>
      </c>
      <c r="E245" s="8" t="str">
        <f t="shared" si="54"/>
        <v>Fresnière, Jean</v>
      </c>
      <c r="F245" s="8" t="str">
        <f t="shared" si="55"/>
        <v>Fresnière, Jean</v>
      </c>
      <c r="G245" s="8" t="str">
        <f t="shared" si="56"/>
        <v>not an outlier</v>
      </c>
      <c r="H245" s="8" t="str">
        <f t="shared" si="57"/>
        <v>Not</v>
      </c>
      <c r="I245" s="8" t="str">
        <f t="shared" si="67"/>
        <v>no</v>
      </c>
      <c r="J245" s="10" t="str">
        <f t="shared" si="58"/>
        <v>no</v>
      </c>
      <c r="K245" s="10" t="str">
        <f t="shared" si="59"/>
        <v>no</v>
      </c>
      <c r="L245" t="s">
        <v>394</v>
      </c>
      <c r="M245">
        <v>10339</v>
      </c>
      <c r="N245">
        <v>4</v>
      </c>
      <c r="O245" t="s">
        <v>745</v>
      </c>
      <c r="P245" t="str">
        <f t="shared" si="60"/>
        <v>MEREP_10339_Chef Anton's Cajun Seasoning</v>
      </c>
      <c r="Q245" t="str">
        <f t="shared" si="61"/>
        <v>10339</v>
      </c>
      <c r="R245" t="str">
        <f t="shared" si="62"/>
        <v>10339</v>
      </c>
      <c r="S245" t="str">
        <f t="shared" si="63"/>
        <v>Chef Anton's Cajun Seasoning</v>
      </c>
      <c r="T245">
        <v>17.600000000000001</v>
      </c>
      <c r="U245">
        <v>10</v>
      </c>
      <c r="V245">
        <v>0</v>
      </c>
      <c r="W245">
        <f t="shared" si="64"/>
        <v>176</v>
      </c>
      <c r="X245" t="str">
        <f t="shared" si="65"/>
        <v>No</v>
      </c>
      <c r="Y245" s="2">
        <v>34666</v>
      </c>
      <c r="Z245" t="str">
        <f t="shared" si="51"/>
        <v/>
      </c>
      <c r="AA245" t="str">
        <f t="shared" si="66"/>
        <v/>
      </c>
      <c r="AB245" t="str" cm="1">
        <f t="array" ref="AB245">_xlfn.IFS(Y245&lt;DATE(1996,1,1),"",Y245&lt;DATE(1996,4,1),"Q1",Y245&lt;DATE(1996,7,1),"Q2",Y245&gt;=DATE(1996,7,1),"")</f>
        <v/>
      </c>
    </row>
    <row r="246" spans="1:28" ht="14.4" x14ac:dyDescent="0.55000000000000004">
      <c r="A246" t="str">
        <f>VLOOKUP(L246,Customers!$A$2:$B$92,2,FALSE)</f>
        <v>Mère Paillarde</v>
      </c>
      <c r="B246" t="str">
        <f>VLOOKUP(L246,Customers!$A$2:$C$92,3,TRUE)</f>
        <v>Jean Fresnière</v>
      </c>
      <c r="C246" t="str">
        <f t="shared" si="52"/>
        <v>Jean</v>
      </c>
      <c r="D246" s="8" t="str">
        <f t="shared" si="53"/>
        <v>Fresnière</v>
      </c>
      <c r="E246" s="8" t="str">
        <f t="shared" si="54"/>
        <v>Fresnière, Jean</v>
      </c>
      <c r="F246" s="8" t="str">
        <f t="shared" si="55"/>
        <v>Fresnière, Jean</v>
      </c>
      <c r="G246" s="8" t="str">
        <f t="shared" si="56"/>
        <v>not an outlier</v>
      </c>
      <c r="H246" s="8" t="str">
        <f t="shared" si="57"/>
        <v>Not</v>
      </c>
      <c r="I246" s="8" t="str">
        <f t="shared" si="67"/>
        <v>no</v>
      </c>
      <c r="J246" s="10" t="str">
        <f t="shared" si="58"/>
        <v>no</v>
      </c>
      <c r="K246" s="10" t="str">
        <f t="shared" si="59"/>
        <v>no</v>
      </c>
      <c r="L246" t="s">
        <v>394</v>
      </c>
      <c r="M246">
        <v>10339</v>
      </c>
      <c r="N246">
        <v>17</v>
      </c>
      <c r="O246" t="s">
        <v>718</v>
      </c>
      <c r="P246" t="str">
        <f t="shared" si="60"/>
        <v>MEREP_10339_Alice Mutton</v>
      </c>
      <c r="Q246" t="str">
        <f t="shared" si="61"/>
        <v>10339</v>
      </c>
      <c r="R246" t="str">
        <f t="shared" si="62"/>
        <v>10339</v>
      </c>
      <c r="S246" t="str">
        <f t="shared" si="63"/>
        <v>Alice Mutton</v>
      </c>
      <c r="T246">
        <v>31.2</v>
      </c>
      <c r="U246">
        <v>70</v>
      </c>
      <c r="V246">
        <v>0.05</v>
      </c>
      <c r="W246">
        <f t="shared" si="64"/>
        <v>2074.7999999999997</v>
      </c>
      <c r="X246" t="str">
        <f t="shared" si="65"/>
        <v>No</v>
      </c>
      <c r="Y246" s="2">
        <v>34666</v>
      </c>
      <c r="Z246" t="str">
        <f t="shared" si="51"/>
        <v/>
      </c>
      <c r="AA246" t="str">
        <f t="shared" si="66"/>
        <v/>
      </c>
      <c r="AB246" t="str" cm="1">
        <f t="array" ref="AB246">_xlfn.IFS(Y246&lt;DATE(1996,1,1),"",Y246&lt;DATE(1996,4,1),"Q1",Y246&lt;DATE(1996,7,1),"Q2",Y246&gt;=DATE(1996,7,1),"")</f>
        <v/>
      </c>
    </row>
    <row r="247" spans="1:28" ht="14.4" x14ac:dyDescent="0.55000000000000004">
      <c r="A247" t="str">
        <f>VLOOKUP(L247,Customers!$A$2:$B$92,2,FALSE)</f>
        <v>Mère Paillarde</v>
      </c>
      <c r="B247" t="str">
        <f>VLOOKUP(L247,Customers!$A$2:$C$92,3,TRUE)</f>
        <v>Jean Fresnière</v>
      </c>
      <c r="C247" t="str">
        <f t="shared" si="52"/>
        <v>Jean</v>
      </c>
      <c r="D247" s="8" t="str">
        <f t="shared" si="53"/>
        <v>Fresnière</v>
      </c>
      <c r="E247" s="8" t="str">
        <f t="shared" si="54"/>
        <v>Fresnière, Jean</v>
      </c>
      <c r="F247" s="8" t="str">
        <f t="shared" si="55"/>
        <v>Fresnière, Jean</v>
      </c>
      <c r="G247" s="8" t="str">
        <f t="shared" si="56"/>
        <v>not an outlier</v>
      </c>
      <c r="H247" s="8" t="str">
        <f t="shared" si="57"/>
        <v>Not</v>
      </c>
      <c r="I247" s="8" t="str">
        <f t="shared" si="67"/>
        <v>no</v>
      </c>
      <c r="J247" s="10" t="str">
        <f t="shared" si="58"/>
        <v>no</v>
      </c>
      <c r="K247" s="10" t="str">
        <f t="shared" si="59"/>
        <v>no</v>
      </c>
      <c r="L247" t="s">
        <v>394</v>
      </c>
      <c r="M247">
        <v>10339</v>
      </c>
      <c r="N247">
        <v>62</v>
      </c>
      <c r="O247" t="s">
        <v>712</v>
      </c>
      <c r="P247" t="str">
        <f t="shared" si="60"/>
        <v>MEREP_10339_Tarte au sucre</v>
      </c>
      <c r="Q247" t="str">
        <f t="shared" si="61"/>
        <v>10339</v>
      </c>
      <c r="R247" t="str">
        <f t="shared" si="62"/>
        <v>10339</v>
      </c>
      <c r="S247" t="str">
        <f t="shared" si="63"/>
        <v>Tarte au sucre</v>
      </c>
      <c r="T247">
        <v>39.4</v>
      </c>
      <c r="U247">
        <v>28</v>
      </c>
      <c r="V247">
        <v>0</v>
      </c>
      <c r="W247">
        <f t="shared" si="64"/>
        <v>1103.2</v>
      </c>
      <c r="X247" t="str">
        <f t="shared" si="65"/>
        <v>No</v>
      </c>
      <c r="Y247" s="2">
        <v>34666</v>
      </c>
      <c r="Z247" t="str">
        <f t="shared" si="51"/>
        <v/>
      </c>
      <c r="AA247" t="str">
        <f t="shared" si="66"/>
        <v/>
      </c>
      <c r="AB247" t="str" cm="1">
        <f t="array" ref="AB247">_xlfn.IFS(Y247&lt;DATE(1996,1,1),"",Y247&lt;DATE(1996,4,1),"Q1",Y247&lt;DATE(1996,7,1),"Q2",Y247&gt;=DATE(1996,7,1),"")</f>
        <v/>
      </c>
    </row>
    <row r="248" spans="1:28" ht="14.4" x14ac:dyDescent="0.55000000000000004">
      <c r="A248" t="str">
        <f>VLOOKUP(L248,Customers!$A$2:$B$92,2,FALSE)</f>
        <v>Bon app'</v>
      </c>
      <c r="B248" t="str">
        <f>VLOOKUP(L248,Customers!$A$2:$C$92,3,TRUE)</f>
        <v>Laurence Lebihan</v>
      </c>
      <c r="C248" t="str">
        <f t="shared" si="52"/>
        <v>Laurence</v>
      </c>
      <c r="D248" s="8" t="str">
        <f t="shared" si="53"/>
        <v>Lebihan</v>
      </c>
      <c r="E248" s="8" t="str">
        <f t="shared" si="54"/>
        <v>Lebihan, Laurence</v>
      </c>
      <c r="F248" s="8" t="str">
        <f t="shared" si="55"/>
        <v>Lebihan, Laurence</v>
      </c>
      <c r="G248" s="8" t="str">
        <f t="shared" si="56"/>
        <v>not an outlier</v>
      </c>
      <c r="H248" s="8" t="str">
        <f t="shared" si="57"/>
        <v>Not</v>
      </c>
      <c r="I248" s="8" t="str">
        <f t="shared" si="67"/>
        <v>no</v>
      </c>
      <c r="J248" s="10" t="str">
        <f t="shared" si="58"/>
        <v>no</v>
      </c>
      <c r="K248" s="10" t="str">
        <f t="shared" si="59"/>
        <v>no</v>
      </c>
      <c r="L248" t="s">
        <v>77</v>
      </c>
      <c r="M248">
        <v>10340</v>
      </c>
      <c r="N248">
        <v>18</v>
      </c>
      <c r="O248" t="s">
        <v>742</v>
      </c>
      <c r="P248" t="str">
        <f t="shared" si="60"/>
        <v>BONAP_10340_Carnarvon Tigers</v>
      </c>
      <c r="Q248" t="str">
        <f t="shared" si="61"/>
        <v>10340</v>
      </c>
      <c r="R248" t="str">
        <f t="shared" si="62"/>
        <v>10340</v>
      </c>
      <c r="S248" t="str">
        <f t="shared" si="63"/>
        <v>Carnarvon Tigers</v>
      </c>
      <c r="T248">
        <v>50</v>
      </c>
      <c r="U248">
        <v>20</v>
      </c>
      <c r="V248">
        <v>0.05</v>
      </c>
      <c r="W248">
        <f t="shared" si="64"/>
        <v>950</v>
      </c>
      <c r="X248" t="str">
        <f t="shared" si="65"/>
        <v>No</v>
      </c>
      <c r="Y248" s="2">
        <v>34667</v>
      </c>
      <c r="Z248" t="str">
        <f t="shared" si="51"/>
        <v/>
      </c>
      <c r="AA248" t="str">
        <f t="shared" si="66"/>
        <v/>
      </c>
      <c r="AB248" t="str" cm="1">
        <f t="array" ref="AB248">_xlfn.IFS(Y248&lt;DATE(1996,1,1),"",Y248&lt;DATE(1996,4,1),"Q1",Y248&lt;DATE(1996,7,1),"Q2",Y248&gt;=DATE(1996,7,1),"")</f>
        <v/>
      </c>
    </row>
    <row r="249" spans="1:28" ht="14.4" x14ac:dyDescent="0.55000000000000004">
      <c r="A249" t="str">
        <f>VLOOKUP(L249,Customers!$A$2:$B$92,2,FALSE)</f>
        <v>Bon app'</v>
      </c>
      <c r="B249" t="str">
        <f>VLOOKUP(L249,Customers!$A$2:$C$92,3,TRUE)</f>
        <v>Laurence Lebihan</v>
      </c>
      <c r="C249" t="str">
        <f t="shared" si="52"/>
        <v>Laurence</v>
      </c>
      <c r="D249" s="8" t="str">
        <f t="shared" si="53"/>
        <v>Lebihan</v>
      </c>
      <c r="E249" s="8" t="str">
        <f t="shared" si="54"/>
        <v>Lebihan, Laurence</v>
      </c>
      <c r="F249" s="8" t="str">
        <f t="shared" si="55"/>
        <v>Lebihan, Laurence</v>
      </c>
      <c r="G249" s="8" t="str">
        <f t="shared" si="56"/>
        <v>not an outlier</v>
      </c>
      <c r="H249" s="8" t="str">
        <f t="shared" si="57"/>
        <v>Not</v>
      </c>
      <c r="I249" s="8" t="str">
        <f t="shared" si="67"/>
        <v>no</v>
      </c>
      <c r="J249" s="10" t="str">
        <f t="shared" si="58"/>
        <v>no</v>
      </c>
      <c r="K249" s="10" t="str">
        <f t="shared" si="59"/>
        <v>no</v>
      </c>
      <c r="L249" t="s">
        <v>77</v>
      </c>
      <c r="M249">
        <v>10340</v>
      </c>
      <c r="N249">
        <v>41</v>
      </c>
      <c r="O249" t="s">
        <v>688</v>
      </c>
      <c r="P249" t="str">
        <f t="shared" si="60"/>
        <v>BONAP_10340_Jack's New England Clam Chowder</v>
      </c>
      <c r="Q249" t="str">
        <f t="shared" si="61"/>
        <v>10340</v>
      </c>
      <c r="R249" t="str">
        <f t="shared" si="62"/>
        <v>10340</v>
      </c>
      <c r="S249" t="str">
        <f t="shared" si="63"/>
        <v>Jack's New England Clam Chowder</v>
      </c>
      <c r="T249">
        <v>7.7</v>
      </c>
      <c r="U249">
        <v>12</v>
      </c>
      <c r="V249">
        <v>0.05</v>
      </c>
      <c r="W249">
        <f t="shared" si="64"/>
        <v>87.78</v>
      </c>
      <c r="X249" t="str">
        <f t="shared" si="65"/>
        <v>No</v>
      </c>
      <c r="Y249" s="2">
        <v>34667</v>
      </c>
      <c r="Z249" t="str">
        <f t="shared" si="51"/>
        <v/>
      </c>
      <c r="AA249" t="str">
        <f t="shared" si="66"/>
        <v/>
      </c>
      <c r="AB249" t="str" cm="1">
        <f t="array" ref="AB249">_xlfn.IFS(Y249&lt;DATE(1996,1,1),"",Y249&lt;DATE(1996,4,1),"Q1",Y249&lt;DATE(1996,7,1),"Q2",Y249&gt;=DATE(1996,7,1),"")</f>
        <v/>
      </c>
    </row>
    <row r="250" spans="1:28" ht="14.4" x14ac:dyDescent="0.55000000000000004">
      <c r="A250" t="str">
        <f>VLOOKUP(L250,Customers!$A$2:$B$92,2,FALSE)</f>
        <v>Bon app'</v>
      </c>
      <c r="B250" t="str">
        <f>VLOOKUP(L250,Customers!$A$2:$C$92,3,TRUE)</f>
        <v>Laurence Lebihan</v>
      </c>
      <c r="C250" t="str">
        <f t="shared" si="52"/>
        <v>Laurence</v>
      </c>
      <c r="D250" s="8" t="str">
        <f t="shared" si="53"/>
        <v>Lebihan</v>
      </c>
      <c r="E250" s="8" t="str">
        <f t="shared" si="54"/>
        <v>Lebihan, Laurence</v>
      </c>
      <c r="F250" s="8" t="str">
        <f t="shared" si="55"/>
        <v>Lebihan, Laurence</v>
      </c>
      <c r="G250" s="8" t="str">
        <f t="shared" si="56"/>
        <v>not an outlier</v>
      </c>
      <c r="H250" s="8" t="str">
        <f t="shared" si="57"/>
        <v>Not</v>
      </c>
      <c r="I250" s="8" t="str">
        <f t="shared" si="67"/>
        <v>no</v>
      </c>
      <c r="J250" s="10" t="str">
        <f t="shared" si="58"/>
        <v>no</v>
      </c>
      <c r="K250" s="10" t="str">
        <f t="shared" si="59"/>
        <v>no</v>
      </c>
      <c r="L250" t="s">
        <v>77</v>
      </c>
      <c r="M250">
        <v>10340</v>
      </c>
      <c r="N250">
        <v>43</v>
      </c>
      <c r="O250" t="s">
        <v>723</v>
      </c>
      <c r="P250" t="str">
        <f t="shared" si="60"/>
        <v>BONAP_10340_Ipoh Coffee</v>
      </c>
      <c r="Q250" t="str">
        <f t="shared" si="61"/>
        <v>10340</v>
      </c>
      <c r="R250" t="str">
        <f t="shared" si="62"/>
        <v>10340</v>
      </c>
      <c r="S250" t="str">
        <f t="shared" si="63"/>
        <v>Ipoh Coffee</v>
      </c>
      <c r="T250">
        <v>36.799999999999997</v>
      </c>
      <c r="U250">
        <v>40</v>
      </c>
      <c r="V250">
        <v>0.05</v>
      </c>
      <c r="W250">
        <f t="shared" si="64"/>
        <v>1398.3999999999999</v>
      </c>
      <c r="X250" t="str">
        <f t="shared" si="65"/>
        <v>No</v>
      </c>
      <c r="Y250" s="2">
        <v>34667</v>
      </c>
      <c r="Z250" t="str">
        <f t="shared" si="51"/>
        <v/>
      </c>
      <c r="AA250" t="str">
        <f t="shared" si="66"/>
        <v/>
      </c>
      <c r="AB250" t="str" cm="1">
        <f t="array" ref="AB250">_xlfn.IFS(Y250&lt;DATE(1996,1,1),"",Y250&lt;DATE(1996,4,1),"Q1",Y250&lt;DATE(1996,7,1),"Q2",Y250&gt;=DATE(1996,7,1),"")</f>
        <v/>
      </c>
    </row>
    <row r="251" spans="1:28" ht="14.4" x14ac:dyDescent="0.55000000000000004">
      <c r="A251" t="str">
        <f>VLOOKUP(L251,Customers!$A$2:$B$92,2,FALSE)</f>
        <v>Simons bistro</v>
      </c>
      <c r="B251" t="str">
        <f>VLOOKUP(L251,Customers!$A$2:$C$92,3,TRUE)</f>
        <v>Jytte Petersen</v>
      </c>
      <c r="C251" t="str">
        <f t="shared" si="52"/>
        <v>Jytte</v>
      </c>
      <c r="D251" s="8" t="str">
        <f t="shared" si="53"/>
        <v>Petersen</v>
      </c>
      <c r="E251" s="8" t="str">
        <f t="shared" si="54"/>
        <v>Petersen, Jytte</v>
      </c>
      <c r="F251" s="8" t="str">
        <f t="shared" si="55"/>
        <v>Petersen, Jytte</v>
      </c>
      <c r="G251" s="8" t="str">
        <f t="shared" si="56"/>
        <v>not an outlier</v>
      </c>
      <c r="H251" s="8" t="str">
        <f t="shared" si="57"/>
        <v>Not</v>
      </c>
      <c r="I251" s="8" t="str">
        <f t="shared" si="67"/>
        <v>no</v>
      </c>
      <c r="J251" s="10" t="str">
        <f t="shared" si="58"/>
        <v>no</v>
      </c>
      <c r="K251" s="10" t="str">
        <f t="shared" si="59"/>
        <v>no</v>
      </c>
      <c r="L251" t="s">
        <v>543</v>
      </c>
      <c r="M251">
        <v>10341</v>
      </c>
      <c r="N251">
        <v>33</v>
      </c>
      <c r="O251" t="s">
        <v>693</v>
      </c>
      <c r="P251" t="str">
        <f t="shared" si="60"/>
        <v>SIMOB_10341_Geitost</v>
      </c>
      <c r="Q251" t="str">
        <f t="shared" si="61"/>
        <v>10341</v>
      </c>
      <c r="R251" t="str">
        <f t="shared" si="62"/>
        <v>10341</v>
      </c>
      <c r="S251" t="str">
        <f t="shared" si="63"/>
        <v>Geitost</v>
      </c>
      <c r="T251">
        <v>2</v>
      </c>
      <c r="U251">
        <v>8</v>
      </c>
      <c r="V251">
        <v>0</v>
      </c>
      <c r="W251">
        <f t="shared" si="64"/>
        <v>16</v>
      </c>
      <c r="X251" t="str">
        <f t="shared" si="65"/>
        <v>No</v>
      </c>
      <c r="Y251" s="2">
        <v>34667</v>
      </c>
      <c r="Z251" t="str">
        <f t="shared" si="51"/>
        <v/>
      </c>
      <c r="AA251" t="str">
        <f t="shared" si="66"/>
        <v/>
      </c>
      <c r="AB251" t="str" cm="1">
        <f t="array" ref="AB251">_xlfn.IFS(Y251&lt;DATE(1996,1,1),"",Y251&lt;DATE(1996,4,1),"Q1",Y251&lt;DATE(1996,7,1),"Q2",Y251&gt;=DATE(1996,7,1),"")</f>
        <v/>
      </c>
    </row>
    <row r="252" spans="1:28" ht="14.4" x14ac:dyDescent="0.55000000000000004">
      <c r="A252" t="str">
        <f>VLOOKUP(L252,Customers!$A$2:$B$92,2,FALSE)</f>
        <v>Simons bistro</v>
      </c>
      <c r="B252" t="str">
        <f>VLOOKUP(L252,Customers!$A$2:$C$92,3,TRUE)</f>
        <v>Jytte Petersen</v>
      </c>
      <c r="C252" t="str">
        <f t="shared" si="52"/>
        <v>Jytte</v>
      </c>
      <c r="D252" s="8" t="str">
        <f t="shared" si="53"/>
        <v>Petersen</v>
      </c>
      <c r="E252" s="8" t="str">
        <f t="shared" si="54"/>
        <v>Petersen, Jytte</v>
      </c>
      <c r="F252" s="8" t="str">
        <f t="shared" si="55"/>
        <v>Petersen, Jytte</v>
      </c>
      <c r="G252" s="8" t="str">
        <f t="shared" si="56"/>
        <v>not an outlier</v>
      </c>
      <c r="H252" s="8" t="str">
        <f t="shared" si="57"/>
        <v>Not</v>
      </c>
      <c r="I252" s="8" t="str">
        <f t="shared" si="67"/>
        <v>no</v>
      </c>
      <c r="J252" s="10" t="str">
        <f t="shared" si="58"/>
        <v>no</v>
      </c>
      <c r="K252" s="10" t="str">
        <f t="shared" si="59"/>
        <v>no</v>
      </c>
      <c r="L252" t="s">
        <v>543</v>
      </c>
      <c r="M252">
        <v>10341</v>
      </c>
      <c r="N252">
        <v>59</v>
      </c>
      <c r="O252" t="s">
        <v>704</v>
      </c>
      <c r="P252" t="str">
        <f t="shared" si="60"/>
        <v>SIMOB_10341_Raclette Courdavault</v>
      </c>
      <c r="Q252" t="str">
        <f t="shared" si="61"/>
        <v>10341</v>
      </c>
      <c r="R252" t="str">
        <f t="shared" si="62"/>
        <v>10341</v>
      </c>
      <c r="S252" t="str">
        <f t="shared" si="63"/>
        <v>Raclette Courdavault</v>
      </c>
      <c r="T252">
        <v>44</v>
      </c>
      <c r="U252">
        <v>9</v>
      </c>
      <c r="V252">
        <v>0.15</v>
      </c>
      <c r="W252">
        <f t="shared" si="64"/>
        <v>336.59999999999997</v>
      </c>
      <c r="X252" t="str">
        <f t="shared" si="65"/>
        <v>No</v>
      </c>
      <c r="Y252" s="2">
        <v>34667</v>
      </c>
      <c r="Z252" t="str">
        <f t="shared" si="51"/>
        <v/>
      </c>
      <c r="AA252" t="str">
        <f t="shared" si="66"/>
        <v/>
      </c>
      <c r="AB252" t="str" cm="1">
        <f t="array" ref="AB252">_xlfn.IFS(Y252&lt;DATE(1996,1,1),"",Y252&lt;DATE(1996,4,1),"Q1",Y252&lt;DATE(1996,7,1),"Q2",Y252&gt;=DATE(1996,7,1),"")</f>
        <v/>
      </c>
    </row>
    <row r="253" spans="1:28" ht="14.4" x14ac:dyDescent="0.55000000000000004">
      <c r="A253" t="str">
        <f>VLOOKUP(L253,Customers!$A$2:$B$92,2,FALSE)</f>
        <v>Frankenversand</v>
      </c>
      <c r="B253" t="str">
        <f>VLOOKUP(L253,Customers!$A$2:$C$92,3,TRUE)</f>
        <v>Peter Franken</v>
      </c>
      <c r="C253" t="str">
        <f t="shared" si="52"/>
        <v>Peter</v>
      </c>
      <c r="D253" s="8" t="str">
        <f t="shared" si="53"/>
        <v>Franken</v>
      </c>
      <c r="E253" s="8" t="str">
        <f t="shared" si="54"/>
        <v>Franken, Peter</v>
      </c>
      <c r="F253" s="8" t="str">
        <f t="shared" si="55"/>
        <v>Franken, Peter</v>
      </c>
      <c r="G253" s="8" t="str">
        <f t="shared" si="56"/>
        <v>not an outlier</v>
      </c>
      <c r="H253" s="8" t="str">
        <f t="shared" si="57"/>
        <v>Not</v>
      </c>
      <c r="I253" s="8" t="str">
        <f t="shared" si="67"/>
        <v>no</v>
      </c>
      <c r="J253" s="10" t="str">
        <f t="shared" si="58"/>
        <v>no</v>
      </c>
      <c r="K253" s="10" t="str">
        <f t="shared" si="59"/>
        <v>no</v>
      </c>
      <c r="L253" t="s">
        <v>198</v>
      </c>
      <c r="M253">
        <v>10342</v>
      </c>
      <c r="N253">
        <v>2</v>
      </c>
      <c r="O253" t="s">
        <v>701</v>
      </c>
      <c r="P253" t="str">
        <f t="shared" si="60"/>
        <v>FRANK_10342_Chang</v>
      </c>
      <c r="Q253" t="str">
        <f t="shared" si="61"/>
        <v>10342</v>
      </c>
      <c r="R253" t="str">
        <f t="shared" si="62"/>
        <v>10342</v>
      </c>
      <c r="S253" t="str">
        <f t="shared" si="63"/>
        <v>Chang</v>
      </c>
      <c r="T253">
        <v>15.2</v>
      </c>
      <c r="U253">
        <v>24</v>
      </c>
      <c r="V253">
        <v>0.2</v>
      </c>
      <c r="W253">
        <f t="shared" si="64"/>
        <v>291.83999999999997</v>
      </c>
      <c r="X253" t="str">
        <f t="shared" si="65"/>
        <v>No</v>
      </c>
      <c r="Y253" s="2">
        <v>34668</v>
      </c>
      <c r="Z253" t="str">
        <f t="shared" si="51"/>
        <v/>
      </c>
      <c r="AA253" t="str">
        <f t="shared" si="66"/>
        <v/>
      </c>
      <c r="AB253" t="str" cm="1">
        <f t="array" ref="AB253">_xlfn.IFS(Y253&lt;DATE(1996,1,1),"",Y253&lt;DATE(1996,4,1),"Q1",Y253&lt;DATE(1996,7,1),"Q2",Y253&gt;=DATE(1996,7,1),"")</f>
        <v/>
      </c>
    </row>
    <row r="254" spans="1:28" ht="14.4" x14ac:dyDescent="0.55000000000000004">
      <c r="A254" t="str">
        <f>VLOOKUP(L254,Customers!$A$2:$B$92,2,FALSE)</f>
        <v>Frankenversand</v>
      </c>
      <c r="B254" t="str">
        <f>VLOOKUP(L254,Customers!$A$2:$C$92,3,TRUE)</f>
        <v>Peter Franken</v>
      </c>
      <c r="C254" t="str">
        <f t="shared" si="52"/>
        <v>Peter</v>
      </c>
      <c r="D254" s="8" t="str">
        <f t="shared" si="53"/>
        <v>Franken</v>
      </c>
      <c r="E254" s="8" t="str">
        <f t="shared" si="54"/>
        <v>Franken, Peter</v>
      </c>
      <c r="F254" s="8" t="str">
        <f t="shared" si="55"/>
        <v>Franken, Peter</v>
      </c>
      <c r="G254" s="8" t="str">
        <f t="shared" si="56"/>
        <v>not an outlier</v>
      </c>
      <c r="H254" s="8" t="str">
        <f t="shared" si="57"/>
        <v>Not</v>
      </c>
      <c r="I254" s="8" t="str">
        <f t="shared" si="67"/>
        <v>no</v>
      </c>
      <c r="J254" s="10" t="str">
        <f t="shared" si="58"/>
        <v>no</v>
      </c>
      <c r="K254" s="10" t="str">
        <f t="shared" si="59"/>
        <v>no</v>
      </c>
      <c r="L254" t="s">
        <v>198</v>
      </c>
      <c r="M254">
        <v>10342</v>
      </c>
      <c r="N254">
        <v>31</v>
      </c>
      <c r="O254" t="s">
        <v>695</v>
      </c>
      <c r="P254" t="str">
        <f t="shared" si="60"/>
        <v>FRANK_10342_Gorgonzola Telino</v>
      </c>
      <c r="Q254" t="str">
        <f t="shared" si="61"/>
        <v>10342</v>
      </c>
      <c r="R254" t="str">
        <f t="shared" si="62"/>
        <v>10342</v>
      </c>
      <c r="S254" t="str">
        <f t="shared" si="63"/>
        <v>Gorgonzola Telino</v>
      </c>
      <c r="T254">
        <v>10</v>
      </c>
      <c r="U254">
        <v>56</v>
      </c>
      <c r="V254">
        <v>0.2</v>
      </c>
      <c r="W254">
        <f t="shared" si="64"/>
        <v>448</v>
      </c>
      <c r="X254" t="str">
        <f t="shared" si="65"/>
        <v>No</v>
      </c>
      <c r="Y254" s="2">
        <v>34668</v>
      </c>
      <c r="Z254" t="str">
        <f t="shared" si="51"/>
        <v/>
      </c>
      <c r="AA254" t="str">
        <f t="shared" si="66"/>
        <v/>
      </c>
      <c r="AB254" t="str" cm="1">
        <f t="array" ref="AB254">_xlfn.IFS(Y254&lt;DATE(1996,1,1),"",Y254&lt;DATE(1996,4,1),"Q1",Y254&lt;DATE(1996,7,1),"Q2",Y254&gt;=DATE(1996,7,1),"")</f>
        <v/>
      </c>
    </row>
    <row r="255" spans="1:28" ht="14.4" x14ac:dyDescent="0.55000000000000004">
      <c r="A255" t="str">
        <f>VLOOKUP(L255,Customers!$A$2:$B$92,2,FALSE)</f>
        <v>Frankenversand</v>
      </c>
      <c r="B255" t="str">
        <f>VLOOKUP(L255,Customers!$A$2:$C$92,3,TRUE)</f>
        <v>Peter Franken</v>
      </c>
      <c r="C255" t="str">
        <f t="shared" si="52"/>
        <v>Peter</v>
      </c>
      <c r="D255" s="8" t="str">
        <f t="shared" si="53"/>
        <v>Franken</v>
      </c>
      <c r="E255" s="8" t="str">
        <f t="shared" si="54"/>
        <v>Franken, Peter</v>
      </c>
      <c r="F255" s="8" t="str">
        <f t="shared" si="55"/>
        <v>Franken, Peter</v>
      </c>
      <c r="G255" s="8" t="str">
        <f t="shared" si="56"/>
        <v>not an outlier</v>
      </c>
      <c r="H255" s="8" t="str">
        <f t="shared" si="57"/>
        <v>Not</v>
      </c>
      <c r="I255" s="8" t="str">
        <f t="shared" si="67"/>
        <v>no</v>
      </c>
      <c r="J255" s="10" t="str">
        <f t="shared" si="58"/>
        <v>no</v>
      </c>
      <c r="K255" s="10" t="str">
        <f t="shared" si="59"/>
        <v>no</v>
      </c>
      <c r="L255" t="s">
        <v>198</v>
      </c>
      <c r="M255">
        <v>10342</v>
      </c>
      <c r="N255">
        <v>36</v>
      </c>
      <c r="O255" t="s">
        <v>703</v>
      </c>
      <c r="P255" t="str">
        <f t="shared" si="60"/>
        <v>FRANK_10342_Inlagd Sill</v>
      </c>
      <c r="Q255" t="str">
        <f t="shared" si="61"/>
        <v>10342</v>
      </c>
      <c r="R255" t="str">
        <f t="shared" si="62"/>
        <v>10342</v>
      </c>
      <c r="S255" t="str">
        <f t="shared" si="63"/>
        <v>Inlagd Sill</v>
      </c>
      <c r="T255">
        <v>15.2</v>
      </c>
      <c r="U255">
        <v>40</v>
      </c>
      <c r="V255">
        <v>0.2</v>
      </c>
      <c r="W255">
        <f t="shared" si="64"/>
        <v>486.40000000000003</v>
      </c>
      <c r="X255" t="str">
        <f t="shared" si="65"/>
        <v>No</v>
      </c>
      <c r="Y255" s="2">
        <v>34668</v>
      </c>
      <c r="Z255" t="str">
        <f t="shared" si="51"/>
        <v/>
      </c>
      <c r="AA255" t="str">
        <f t="shared" si="66"/>
        <v/>
      </c>
      <c r="AB255" t="str" cm="1">
        <f t="array" ref="AB255">_xlfn.IFS(Y255&lt;DATE(1996,1,1),"",Y255&lt;DATE(1996,4,1),"Q1",Y255&lt;DATE(1996,7,1),"Q2",Y255&gt;=DATE(1996,7,1),"")</f>
        <v/>
      </c>
    </row>
    <row r="256" spans="1:28" ht="14.4" x14ac:dyDescent="0.55000000000000004">
      <c r="A256" t="str">
        <f>VLOOKUP(L256,Customers!$A$2:$B$92,2,FALSE)</f>
        <v>Frankenversand</v>
      </c>
      <c r="B256" t="str">
        <f>VLOOKUP(L256,Customers!$A$2:$C$92,3,TRUE)</f>
        <v>Peter Franken</v>
      </c>
      <c r="C256" t="str">
        <f t="shared" si="52"/>
        <v>Peter</v>
      </c>
      <c r="D256" s="8" t="str">
        <f t="shared" si="53"/>
        <v>Franken</v>
      </c>
      <c r="E256" s="8" t="str">
        <f t="shared" si="54"/>
        <v>Franken, Peter</v>
      </c>
      <c r="F256" s="8" t="str">
        <f t="shared" si="55"/>
        <v>Franken, Peter</v>
      </c>
      <c r="G256" s="8" t="str">
        <f t="shared" si="56"/>
        <v>not an outlier</v>
      </c>
      <c r="H256" s="8" t="str">
        <f t="shared" si="57"/>
        <v>Not</v>
      </c>
      <c r="I256" s="8" t="str">
        <f t="shared" si="67"/>
        <v>no</v>
      </c>
      <c r="J256" s="10" t="str">
        <f t="shared" si="58"/>
        <v>no</v>
      </c>
      <c r="K256" s="10" t="str">
        <f t="shared" si="59"/>
        <v>no</v>
      </c>
      <c r="L256" t="s">
        <v>198</v>
      </c>
      <c r="M256">
        <v>10342</v>
      </c>
      <c r="N256">
        <v>55</v>
      </c>
      <c r="O256" t="s">
        <v>699</v>
      </c>
      <c r="P256" t="str">
        <f t="shared" si="60"/>
        <v>FRANK_10342_Pâté chinois</v>
      </c>
      <c r="Q256" t="str">
        <f t="shared" si="61"/>
        <v>10342</v>
      </c>
      <c r="R256" t="str">
        <f t="shared" si="62"/>
        <v>10342</v>
      </c>
      <c r="S256" t="str">
        <f t="shared" si="63"/>
        <v>Pâté chinois</v>
      </c>
      <c r="T256">
        <v>19.2</v>
      </c>
      <c r="U256">
        <v>40</v>
      </c>
      <c r="V256">
        <v>0.2</v>
      </c>
      <c r="W256">
        <f t="shared" si="64"/>
        <v>614.40000000000009</v>
      </c>
      <c r="X256" t="str">
        <f t="shared" si="65"/>
        <v>No</v>
      </c>
      <c r="Y256" s="2">
        <v>34668</v>
      </c>
      <c r="Z256" t="str">
        <f t="shared" si="51"/>
        <v/>
      </c>
      <c r="AA256" t="str">
        <f t="shared" si="66"/>
        <v/>
      </c>
      <c r="AB256" t="str" cm="1">
        <f t="array" ref="AB256">_xlfn.IFS(Y256&lt;DATE(1996,1,1),"",Y256&lt;DATE(1996,4,1),"Q1",Y256&lt;DATE(1996,7,1),"Q2",Y256&gt;=DATE(1996,7,1),"")</f>
        <v/>
      </c>
    </row>
    <row r="257" spans="1:28" ht="14.4" x14ac:dyDescent="0.55000000000000004">
      <c r="A257" t="str">
        <f>VLOOKUP(L257,Customers!$A$2:$B$92,2,FALSE)</f>
        <v>Lehmanns Marktstand</v>
      </c>
      <c r="B257" t="str">
        <f>VLOOKUP(L257,Customers!$A$2:$C$92,3,TRUE)</f>
        <v>Renate Messner</v>
      </c>
      <c r="C257" t="str">
        <f t="shared" si="52"/>
        <v>Renate</v>
      </c>
      <c r="D257" s="8" t="str">
        <f t="shared" si="53"/>
        <v>Messner</v>
      </c>
      <c r="E257" s="8" t="str">
        <f t="shared" si="54"/>
        <v>Messner, Renate</v>
      </c>
      <c r="F257" s="8" t="str">
        <f t="shared" si="55"/>
        <v>Messner, Renate</v>
      </c>
      <c r="G257" s="8" t="str">
        <f t="shared" si="56"/>
        <v>not an outlier</v>
      </c>
      <c r="H257" s="8" t="str">
        <f t="shared" si="57"/>
        <v>Not</v>
      </c>
      <c r="I257" s="8" t="str">
        <f t="shared" si="67"/>
        <v>no</v>
      </c>
      <c r="J257" s="10" t="str">
        <f t="shared" si="58"/>
        <v>no</v>
      </c>
      <c r="K257" s="10" t="str">
        <f t="shared" si="59"/>
        <v>no</v>
      </c>
      <c r="L257" t="s">
        <v>341</v>
      </c>
      <c r="M257">
        <v>10343</v>
      </c>
      <c r="N257">
        <v>64</v>
      </c>
      <c r="O257" t="s">
        <v>741</v>
      </c>
      <c r="P257" t="str">
        <f t="shared" si="60"/>
        <v>LEHMS_10343_Wimmers gute Semmelknödel</v>
      </c>
      <c r="Q257" t="str">
        <f t="shared" si="61"/>
        <v>10343</v>
      </c>
      <c r="R257" t="str">
        <f t="shared" si="62"/>
        <v>10343</v>
      </c>
      <c r="S257" t="str">
        <f t="shared" si="63"/>
        <v>Wimmers gute Semmelknödel</v>
      </c>
      <c r="T257">
        <v>26.6</v>
      </c>
      <c r="U257">
        <v>50</v>
      </c>
      <c r="V257">
        <v>0</v>
      </c>
      <c r="W257">
        <f t="shared" si="64"/>
        <v>1330</v>
      </c>
      <c r="X257" t="str">
        <f t="shared" si="65"/>
        <v>No</v>
      </c>
      <c r="Y257" s="2">
        <v>34669</v>
      </c>
      <c r="Z257" t="str">
        <f t="shared" ref="Z257:Z320" si="68">IF(Y257&gt;=DATE(1996,1,1), IF(Y257&lt;DATE(1996,4,1),"1st Q 1996",""),"")</f>
        <v/>
      </c>
      <c r="AA257" t="str">
        <f t="shared" si="66"/>
        <v/>
      </c>
      <c r="AB257" t="str" cm="1">
        <f t="array" ref="AB257">_xlfn.IFS(Y257&lt;DATE(1996,1,1),"",Y257&lt;DATE(1996,4,1),"Q1",Y257&lt;DATE(1996,7,1),"Q2",Y257&gt;=DATE(1996,7,1),"")</f>
        <v/>
      </c>
    </row>
    <row r="258" spans="1:28" ht="14.4" x14ac:dyDescent="0.55000000000000004">
      <c r="A258" t="str">
        <f>VLOOKUP(L258,Customers!$A$2:$B$92,2,FALSE)</f>
        <v>Lehmanns Marktstand</v>
      </c>
      <c r="B258" t="str">
        <f>VLOOKUP(L258,Customers!$A$2:$C$92,3,TRUE)</f>
        <v>Renate Messner</v>
      </c>
      <c r="C258" t="str">
        <f t="shared" si="52"/>
        <v>Renate</v>
      </c>
      <c r="D258" s="8" t="str">
        <f t="shared" si="53"/>
        <v>Messner</v>
      </c>
      <c r="E258" s="8" t="str">
        <f t="shared" si="54"/>
        <v>Messner, Renate</v>
      </c>
      <c r="F258" s="8" t="str">
        <f t="shared" si="55"/>
        <v>Messner, Renate</v>
      </c>
      <c r="G258" s="8" t="str">
        <f t="shared" si="56"/>
        <v>not an outlier</v>
      </c>
      <c r="H258" s="8" t="str">
        <f t="shared" si="57"/>
        <v>Not</v>
      </c>
      <c r="I258" s="8" t="str">
        <f t="shared" si="67"/>
        <v>no</v>
      </c>
      <c r="J258" s="10" t="str">
        <f t="shared" si="58"/>
        <v>no</v>
      </c>
      <c r="K258" s="10" t="str">
        <f t="shared" si="59"/>
        <v>no</v>
      </c>
      <c r="L258" t="s">
        <v>341</v>
      </c>
      <c r="M258">
        <v>10343</v>
      </c>
      <c r="N258">
        <v>68</v>
      </c>
      <c r="O258" t="s">
        <v>739</v>
      </c>
      <c r="P258" t="str">
        <f t="shared" si="60"/>
        <v>LEHMS_10343_Scottish Longbreads</v>
      </c>
      <c r="Q258" t="str">
        <f t="shared" si="61"/>
        <v>10343</v>
      </c>
      <c r="R258" t="str">
        <f t="shared" si="62"/>
        <v>10343</v>
      </c>
      <c r="S258" t="str">
        <f t="shared" si="63"/>
        <v>Scottish Longbreads</v>
      </c>
      <c r="T258">
        <v>10</v>
      </c>
      <c r="U258">
        <v>4</v>
      </c>
      <c r="V258">
        <v>0.05</v>
      </c>
      <c r="W258">
        <f t="shared" si="64"/>
        <v>38</v>
      </c>
      <c r="X258" t="str">
        <f t="shared" si="65"/>
        <v>No</v>
      </c>
      <c r="Y258" s="2">
        <v>34669</v>
      </c>
      <c r="Z258" t="str">
        <f t="shared" si="68"/>
        <v/>
      </c>
      <c r="AA258" t="str">
        <f t="shared" si="66"/>
        <v/>
      </c>
      <c r="AB258" t="str" cm="1">
        <f t="array" ref="AB258">_xlfn.IFS(Y258&lt;DATE(1996,1,1),"",Y258&lt;DATE(1996,4,1),"Q1",Y258&lt;DATE(1996,7,1),"Q2",Y258&gt;=DATE(1996,7,1),"")</f>
        <v/>
      </c>
    </row>
    <row r="259" spans="1:28" ht="14.4" x14ac:dyDescent="0.55000000000000004">
      <c r="A259" t="str">
        <f>VLOOKUP(L259,Customers!$A$2:$B$92,2,FALSE)</f>
        <v>Lehmanns Marktstand</v>
      </c>
      <c r="B259" t="str">
        <f>VLOOKUP(L259,Customers!$A$2:$C$92,3,TRUE)</f>
        <v>Renate Messner</v>
      </c>
      <c r="C259" t="str">
        <f t="shared" ref="C259:C322" si="69">LEFT(B259,FIND(" ",B259)-1)</f>
        <v>Renate</v>
      </c>
      <c r="D259" s="8" t="str">
        <f t="shared" ref="D259:D322" si="70">RIGHT(B259,LEN(B259)-FIND(" ",B259))</f>
        <v>Messner</v>
      </c>
      <c r="E259" s="8" t="str">
        <f t="shared" ref="E259:E322" si="71">_xlfn.CONCAT(D259,", ",C259)</f>
        <v>Messner, Renate</v>
      </c>
      <c r="F259" s="8" t="str">
        <f t="shared" ref="F259:F322" si="72">D259&amp;", "&amp;C259</f>
        <v>Messner, Renate</v>
      </c>
      <c r="G259" s="8" t="str">
        <f t="shared" ref="G259:G322" si="73">IF(OR(W259&gt;$W$2166,W259&lt;$W$2167),"outlier","not an outlier")</f>
        <v>not an outlier</v>
      </c>
      <c r="H259" s="8" t="str">
        <f t="shared" ref="H259:H322" si="74">IF(OR(W259&gt;$W$2166,W259&lt;$W$2167),"outlier",IF(OR(W259&gt;$W$2168,W259&lt;$W$2169),"moderate","Not"))</f>
        <v>Not</v>
      </c>
      <c r="I259" s="8" t="str">
        <f t="shared" si="67"/>
        <v>no</v>
      </c>
      <c r="J259" s="10" t="str">
        <f t="shared" ref="J259:J322" si="75">IF(AND(W259&lt;=$W$2166,W259&gt;=$W$2167),"no","yes")</f>
        <v>no</v>
      </c>
      <c r="K259" s="10" t="str">
        <f t="shared" ref="K259:K322" si="76">IF(OR(W259&gt;$W$2166,W259&lt;$W$2167),"yes",IF(OR(W259&gt;$W$2168,W259&lt;$W$2169),"moderate","no"))</f>
        <v>no</v>
      </c>
      <c r="L259" t="s">
        <v>341</v>
      </c>
      <c r="M259">
        <v>10343</v>
      </c>
      <c r="N259">
        <v>76</v>
      </c>
      <c r="O259" t="s">
        <v>721</v>
      </c>
      <c r="P259" t="str">
        <f t="shared" ref="P259:P322" si="77">L259&amp;"_"&amp;M259&amp;"_"&amp;O259</f>
        <v>LEHMS_10343_Lakkalikööri</v>
      </c>
      <c r="Q259" t="str">
        <f t="shared" ref="Q259:Q322" si="78">LEFT(RIGHT(P259,LEN(P259)-FIND("_",P259)), FIND("_",P259)-1)</f>
        <v>10343</v>
      </c>
      <c r="R259" t="str">
        <f t="shared" ref="R259:R322" si="79">MID(P259,FIND("_",P259)+1,FIND("_",P259,FIND("_",P259))-1)</f>
        <v>10343</v>
      </c>
      <c r="S259" t="str">
        <f t="shared" ref="S259:S322" si="80">MID(P259,FIND("_",P259,FIND("_",P259)+1)+1,LEN(P259))</f>
        <v>Lakkalikööri</v>
      </c>
      <c r="T259">
        <v>14.4</v>
      </c>
      <c r="U259">
        <v>15</v>
      </c>
      <c r="V259">
        <v>0</v>
      </c>
      <c r="W259">
        <f t="shared" ref="W259:W322" si="81">T259*U259*(1-V259)</f>
        <v>216</v>
      </c>
      <c r="X259" t="str">
        <f t="shared" ref="X259:X322" si="82">IF(YEAR(Y259)&gt;=1996,"yes","No")</f>
        <v>No</v>
      </c>
      <c r="Y259" s="2">
        <v>34669</v>
      </c>
      <c r="Z259" t="str">
        <f t="shared" si="68"/>
        <v/>
      </c>
      <c r="AA259" t="str">
        <f t="shared" ref="AA259:AA322" si="83">IF(Y259&lt;DATE(1996,1,1),"", IF(Y259&lt;DATE(1996,4,1),"1st Q 1996",IF(Y259&lt;DATE(1996,7,1),"2nd Q 1996","")))</f>
        <v/>
      </c>
      <c r="AB259" t="str" cm="1">
        <f t="array" ref="AB259">_xlfn.IFS(Y259&lt;DATE(1996,1,1),"",Y259&lt;DATE(1996,4,1),"Q1",Y259&lt;DATE(1996,7,1),"Q2",Y259&gt;=DATE(1996,7,1),"")</f>
        <v/>
      </c>
    </row>
    <row r="260" spans="1:28" ht="14.4" x14ac:dyDescent="0.55000000000000004">
      <c r="A260" t="str">
        <f>VLOOKUP(L260,Customers!$A$2:$B$92,2,FALSE)</f>
        <v>White Clover Markets</v>
      </c>
      <c r="B260" t="str">
        <f>VLOOKUP(L260,Customers!$A$2:$C$92,3,TRUE)</f>
        <v>Karl Jablonski</v>
      </c>
      <c r="C260" t="str">
        <f t="shared" si="69"/>
        <v>Karl</v>
      </c>
      <c r="D260" s="8" t="str">
        <f t="shared" si="70"/>
        <v>Jablonski</v>
      </c>
      <c r="E260" s="8" t="str">
        <f t="shared" si="71"/>
        <v>Jablonski, Karl</v>
      </c>
      <c r="F260" s="8" t="str">
        <f t="shared" si="72"/>
        <v>Jablonski, Karl</v>
      </c>
      <c r="G260" s="8" t="str">
        <f t="shared" si="73"/>
        <v>not an outlier</v>
      </c>
      <c r="H260" s="8" t="str">
        <f t="shared" si="74"/>
        <v>Not</v>
      </c>
      <c r="I260" s="8" t="str">
        <f t="shared" ref="I260:I323" si="84">IF(OR(W260&gt;$W$2166,W260&lt;$W$2167),"yes","no")</f>
        <v>no</v>
      </c>
      <c r="J260" s="10" t="str">
        <f t="shared" si="75"/>
        <v>no</v>
      </c>
      <c r="K260" s="10" t="str">
        <f t="shared" si="76"/>
        <v>no</v>
      </c>
      <c r="L260" t="s">
        <v>654</v>
      </c>
      <c r="M260">
        <v>10344</v>
      </c>
      <c r="N260">
        <v>4</v>
      </c>
      <c r="O260" t="s">
        <v>745</v>
      </c>
      <c r="P260" t="str">
        <f t="shared" si="77"/>
        <v>WHITC_10344_Chef Anton's Cajun Seasoning</v>
      </c>
      <c r="Q260" t="str">
        <f t="shared" si="78"/>
        <v>10344</v>
      </c>
      <c r="R260" t="str">
        <f t="shared" si="79"/>
        <v>10344</v>
      </c>
      <c r="S260" t="str">
        <f t="shared" si="80"/>
        <v>Chef Anton's Cajun Seasoning</v>
      </c>
      <c r="T260">
        <v>17.600000000000001</v>
      </c>
      <c r="U260">
        <v>35</v>
      </c>
      <c r="V260">
        <v>0</v>
      </c>
      <c r="W260">
        <f t="shared" si="81"/>
        <v>616</v>
      </c>
      <c r="X260" t="str">
        <f t="shared" si="82"/>
        <v>No</v>
      </c>
      <c r="Y260" s="2">
        <v>34670</v>
      </c>
      <c r="Z260" t="str">
        <f t="shared" si="68"/>
        <v/>
      </c>
      <c r="AA260" t="str">
        <f t="shared" si="83"/>
        <v/>
      </c>
      <c r="AB260" t="str" cm="1">
        <f t="array" ref="AB260">_xlfn.IFS(Y260&lt;DATE(1996,1,1),"",Y260&lt;DATE(1996,4,1),"Q1",Y260&lt;DATE(1996,7,1),"Q2",Y260&gt;=DATE(1996,7,1),"")</f>
        <v/>
      </c>
    </row>
    <row r="261" spans="1:28" ht="14.4" x14ac:dyDescent="0.55000000000000004">
      <c r="A261" t="str">
        <f>VLOOKUP(L261,Customers!$A$2:$B$92,2,FALSE)</f>
        <v>White Clover Markets</v>
      </c>
      <c r="B261" t="str">
        <f>VLOOKUP(L261,Customers!$A$2:$C$92,3,TRUE)</f>
        <v>Karl Jablonski</v>
      </c>
      <c r="C261" t="str">
        <f t="shared" si="69"/>
        <v>Karl</v>
      </c>
      <c r="D261" s="8" t="str">
        <f t="shared" si="70"/>
        <v>Jablonski</v>
      </c>
      <c r="E261" s="8" t="str">
        <f t="shared" si="71"/>
        <v>Jablonski, Karl</v>
      </c>
      <c r="F261" s="8" t="str">
        <f t="shared" si="72"/>
        <v>Jablonski, Karl</v>
      </c>
      <c r="G261" s="8" t="str">
        <f t="shared" si="73"/>
        <v>not an outlier</v>
      </c>
      <c r="H261" s="8" t="str">
        <f t="shared" si="74"/>
        <v>Not</v>
      </c>
      <c r="I261" s="8" t="str">
        <f t="shared" si="84"/>
        <v>no</v>
      </c>
      <c r="J261" s="10" t="str">
        <f t="shared" si="75"/>
        <v>no</v>
      </c>
      <c r="K261" s="10" t="str">
        <f t="shared" si="76"/>
        <v>no</v>
      </c>
      <c r="L261" t="s">
        <v>654</v>
      </c>
      <c r="M261">
        <v>10344</v>
      </c>
      <c r="N261">
        <v>8</v>
      </c>
      <c r="O261" t="s">
        <v>754</v>
      </c>
      <c r="P261" t="str">
        <f t="shared" si="77"/>
        <v>WHITC_10344_Northwoods Cranberry Sauce</v>
      </c>
      <c r="Q261" t="str">
        <f t="shared" si="78"/>
        <v>10344</v>
      </c>
      <c r="R261" t="str">
        <f t="shared" si="79"/>
        <v>10344</v>
      </c>
      <c r="S261" t="str">
        <f t="shared" si="80"/>
        <v>Northwoods Cranberry Sauce</v>
      </c>
      <c r="T261">
        <v>32</v>
      </c>
      <c r="U261">
        <v>70</v>
      </c>
      <c r="V261">
        <v>0.25</v>
      </c>
      <c r="W261">
        <f t="shared" si="81"/>
        <v>1680</v>
      </c>
      <c r="X261" t="str">
        <f t="shared" si="82"/>
        <v>No</v>
      </c>
      <c r="Y261" s="2">
        <v>34670</v>
      </c>
      <c r="Z261" t="str">
        <f t="shared" si="68"/>
        <v/>
      </c>
      <c r="AA261" t="str">
        <f t="shared" si="83"/>
        <v/>
      </c>
      <c r="AB261" t="str" cm="1">
        <f t="array" ref="AB261">_xlfn.IFS(Y261&lt;DATE(1996,1,1),"",Y261&lt;DATE(1996,4,1),"Q1",Y261&lt;DATE(1996,7,1),"Q2",Y261&gt;=DATE(1996,7,1),"")</f>
        <v/>
      </c>
    </row>
    <row r="262" spans="1:28" ht="14.4" x14ac:dyDescent="0.55000000000000004">
      <c r="A262" t="str">
        <f>VLOOKUP(L262,Customers!$A$2:$B$92,2,FALSE)</f>
        <v>QUICK-Stop</v>
      </c>
      <c r="B262" t="str">
        <f>VLOOKUP(L262,Customers!$A$2:$C$92,3,TRUE)</f>
        <v>Horst Kloss</v>
      </c>
      <c r="C262" t="str">
        <f t="shared" si="69"/>
        <v>Horst</v>
      </c>
      <c r="D262" s="8" t="str">
        <f t="shared" si="70"/>
        <v>Kloss</v>
      </c>
      <c r="E262" s="8" t="str">
        <f t="shared" si="71"/>
        <v>Kloss, Horst</v>
      </c>
      <c r="F262" s="8" t="str">
        <f t="shared" si="72"/>
        <v>Kloss, Horst</v>
      </c>
      <c r="G262" s="8" t="str">
        <f t="shared" si="73"/>
        <v>not an outlier</v>
      </c>
      <c r="H262" s="8" t="str">
        <f t="shared" si="74"/>
        <v>Not</v>
      </c>
      <c r="I262" s="8" t="str">
        <f t="shared" si="84"/>
        <v>no</v>
      </c>
      <c r="J262" s="10" t="str">
        <f t="shared" si="75"/>
        <v>no</v>
      </c>
      <c r="K262" s="10" t="str">
        <f t="shared" si="76"/>
        <v>no</v>
      </c>
      <c r="L262" t="s">
        <v>475</v>
      </c>
      <c r="M262">
        <v>10345</v>
      </c>
      <c r="N262">
        <v>8</v>
      </c>
      <c r="O262" t="s">
        <v>754</v>
      </c>
      <c r="P262" t="str">
        <f t="shared" si="77"/>
        <v>QUICK_10345_Northwoods Cranberry Sauce</v>
      </c>
      <c r="Q262" t="str">
        <f t="shared" si="78"/>
        <v>10345</v>
      </c>
      <c r="R262" t="str">
        <f t="shared" si="79"/>
        <v>10345</v>
      </c>
      <c r="S262" t="str">
        <f t="shared" si="80"/>
        <v>Northwoods Cranberry Sauce</v>
      </c>
      <c r="T262">
        <v>32</v>
      </c>
      <c r="U262">
        <v>70</v>
      </c>
      <c r="V262">
        <v>0</v>
      </c>
      <c r="W262">
        <f t="shared" si="81"/>
        <v>2240</v>
      </c>
      <c r="X262" t="str">
        <f t="shared" si="82"/>
        <v>No</v>
      </c>
      <c r="Y262" s="2">
        <v>34673</v>
      </c>
      <c r="Z262" t="str">
        <f t="shared" si="68"/>
        <v/>
      </c>
      <c r="AA262" t="str">
        <f t="shared" si="83"/>
        <v/>
      </c>
      <c r="AB262" t="str" cm="1">
        <f t="array" ref="AB262">_xlfn.IFS(Y262&lt;DATE(1996,1,1),"",Y262&lt;DATE(1996,4,1),"Q1",Y262&lt;DATE(1996,7,1),"Q2",Y262&gt;=DATE(1996,7,1),"")</f>
        <v/>
      </c>
    </row>
    <row r="263" spans="1:28" ht="14.4" x14ac:dyDescent="0.55000000000000004">
      <c r="A263" t="str">
        <f>VLOOKUP(L263,Customers!$A$2:$B$92,2,FALSE)</f>
        <v>QUICK-Stop</v>
      </c>
      <c r="B263" t="str">
        <f>VLOOKUP(L263,Customers!$A$2:$C$92,3,TRUE)</f>
        <v>Horst Kloss</v>
      </c>
      <c r="C263" t="str">
        <f t="shared" si="69"/>
        <v>Horst</v>
      </c>
      <c r="D263" s="8" t="str">
        <f t="shared" si="70"/>
        <v>Kloss</v>
      </c>
      <c r="E263" s="8" t="str">
        <f t="shared" si="71"/>
        <v>Kloss, Horst</v>
      </c>
      <c r="F263" s="8" t="str">
        <f t="shared" si="72"/>
        <v>Kloss, Horst</v>
      </c>
      <c r="G263" s="8" t="str">
        <f t="shared" si="73"/>
        <v>not an outlier</v>
      </c>
      <c r="H263" s="8" t="str">
        <f t="shared" si="74"/>
        <v>Not</v>
      </c>
      <c r="I263" s="8" t="str">
        <f t="shared" si="84"/>
        <v>no</v>
      </c>
      <c r="J263" s="10" t="str">
        <f t="shared" si="75"/>
        <v>no</v>
      </c>
      <c r="K263" s="10" t="str">
        <f t="shared" si="76"/>
        <v>no</v>
      </c>
      <c r="L263" t="s">
        <v>475</v>
      </c>
      <c r="M263">
        <v>10345</v>
      </c>
      <c r="N263">
        <v>19</v>
      </c>
      <c r="O263" t="s">
        <v>732</v>
      </c>
      <c r="P263" t="str">
        <f t="shared" si="77"/>
        <v>QUICK_10345_Teatime Chocolate Biscuits</v>
      </c>
      <c r="Q263" t="str">
        <f t="shared" si="78"/>
        <v>10345</v>
      </c>
      <c r="R263" t="str">
        <f t="shared" si="79"/>
        <v>10345</v>
      </c>
      <c r="S263" t="str">
        <f t="shared" si="80"/>
        <v>Teatime Chocolate Biscuits</v>
      </c>
      <c r="T263">
        <v>7.3</v>
      </c>
      <c r="U263">
        <v>80</v>
      </c>
      <c r="V263">
        <v>0</v>
      </c>
      <c r="W263">
        <f t="shared" si="81"/>
        <v>584</v>
      </c>
      <c r="X263" t="str">
        <f t="shared" si="82"/>
        <v>No</v>
      </c>
      <c r="Y263" s="2">
        <v>34673</v>
      </c>
      <c r="Z263" t="str">
        <f t="shared" si="68"/>
        <v/>
      </c>
      <c r="AA263" t="str">
        <f t="shared" si="83"/>
        <v/>
      </c>
      <c r="AB263" t="str" cm="1">
        <f t="array" ref="AB263">_xlfn.IFS(Y263&lt;DATE(1996,1,1),"",Y263&lt;DATE(1996,4,1),"Q1",Y263&lt;DATE(1996,7,1),"Q2",Y263&gt;=DATE(1996,7,1),"")</f>
        <v/>
      </c>
    </row>
    <row r="264" spans="1:28" ht="14.4" x14ac:dyDescent="0.55000000000000004">
      <c r="A264" t="str">
        <f>VLOOKUP(L264,Customers!$A$2:$B$92,2,FALSE)</f>
        <v>QUICK-Stop</v>
      </c>
      <c r="B264" t="str">
        <f>VLOOKUP(L264,Customers!$A$2:$C$92,3,TRUE)</f>
        <v>Horst Kloss</v>
      </c>
      <c r="C264" t="str">
        <f t="shared" si="69"/>
        <v>Horst</v>
      </c>
      <c r="D264" s="8" t="str">
        <f t="shared" si="70"/>
        <v>Kloss</v>
      </c>
      <c r="E264" s="8" t="str">
        <f t="shared" si="71"/>
        <v>Kloss, Horst</v>
      </c>
      <c r="F264" s="8" t="str">
        <f t="shared" si="72"/>
        <v>Kloss, Horst</v>
      </c>
      <c r="G264" s="8" t="str">
        <f t="shared" si="73"/>
        <v>not an outlier</v>
      </c>
      <c r="H264" s="8" t="str">
        <f t="shared" si="74"/>
        <v>Not</v>
      </c>
      <c r="I264" s="8" t="str">
        <f t="shared" si="84"/>
        <v>no</v>
      </c>
      <c r="J264" s="10" t="str">
        <f t="shared" si="75"/>
        <v>no</v>
      </c>
      <c r="K264" s="10" t="str">
        <f t="shared" si="76"/>
        <v>no</v>
      </c>
      <c r="L264" t="s">
        <v>475</v>
      </c>
      <c r="M264">
        <v>10345</v>
      </c>
      <c r="N264">
        <v>42</v>
      </c>
      <c r="O264" t="s">
        <v>684</v>
      </c>
      <c r="P264" t="str">
        <f t="shared" si="77"/>
        <v>QUICK_10345_Singaporean Hokkien Fried Mee</v>
      </c>
      <c r="Q264" t="str">
        <f t="shared" si="78"/>
        <v>10345</v>
      </c>
      <c r="R264" t="str">
        <f t="shared" si="79"/>
        <v>10345</v>
      </c>
      <c r="S264" t="str">
        <f t="shared" si="80"/>
        <v>Singaporean Hokkien Fried Mee</v>
      </c>
      <c r="T264">
        <v>11.2</v>
      </c>
      <c r="U264">
        <v>9</v>
      </c>
      <c r="V264">
        <v>0</v>
      </c>
      <c r="W264">
        <f t="shared" si="81"/>
        <v>100.8</v>
      </c>
      <c r="X264" t="str">
        <f t="shared" si="82"/>
        <v>No</v>
      </c>
      <c r="Y264" s="2">
        <v>34673</v>
      </c>
      <c r="Z264" t="str">
        <f t="shared" si="68"/>
        <v/>
      </c>
      <c r="AA264" t="str">
        <f t="shared" si="83"/>
        <v/>
      </c>
      <c r="AB264" t="str" cm="1">
        <f t="array" ref="AB264">_xlfn.IFS(Y264&lt;DATE(1996,1,1),"",Y264&lt;DATE(1996,4,1),"Q1",Y264&lt;DATE(1996,7,1),"Q2",Y264&gt;=DATE(1996,7,1),"")</f>
        <v/>
      </c>
    </row>
    <row r="265" spans="1:28" ht="14.4" x14ac:dyDescent="0.55000000000000004">
      <c r="A265" t="str">
        <f>VLOOKUP(L265,Customers!$A$2:$B$92,2,FALSE)</f>
        <v>Rattlesnake Canyon Grocery</v>
      </c>
      <c r="B265" t="str">
        <f>VLOOKUP(L265,Customers!$A$2:$C$92,3,TRUE)</f>
        <v>Paula Wilson</v>
      </c>
      <c r="C265" t="str">
        <f t="shared" si="69"/>
        <v>Paula</v>
      </c>
      <c r="D265" s="8" t="str">
        <f t="shared" si="70"/>
        <v>Wilson</v>
      </c>
      <c r="E265" s="8" t="str">
        <f t="shared" si="71"/>
        <v>Wilson, Paula</v>
      </c>
      <c r="F265" s="8" t="str">
        <f t="shared" si="72"/>
        <v>Wilson, Paula</v>
      </c>
      <c r="G265" s="8" t="str">
        <f t="shared" si="73"/>
        <v>not an outlier</v>
      </c>
      <c r="H265" s="8" t="str">
        <f t="shared" si="74"/>
        <v>Not</v>
      </c>
      <c r="I265" s="8" t="str">
        <f t="shared" si="84"/>
        <v>no</v>
      </c>
      <c r="J265" s="10" t="str">
        <f t="shared" si="75"/>
        <v>no</v>
      </c>
      <c r="K265" s="10" t="str">
        <f t="shared" si="76"/>
        <v>no</v>
      </c>
      <c r="L265" t="s">
        <v>487</v>
      </c>
      <c r="M265">
        <v>10346</v>
      </c>
      <c r="N265">
        <v>17</v>
      </c>
      <c r="O265" t="s">
        <v>718</v>
      </c>
      <c r="P265" t="str">
        <f t="shared" si="77"/>
        <v>RATTC_10346_Alice Mutton</v>
      </c>
      <c r="Q265" t="str">
        <f t="shared" si="78"/>
        <v>10346</v>
      </c>
      <c r="R265" t="str">
        <f t="shared" si="79"/>
        <v>10346</v>
      </c>
      <c r="S265" t="str">
        <f t="shared" si="80"/>
        <v>Alice Mutton</v>
      </c>
      <c r="T265">
        <v>31.2</v>
      </c>
      <c r="U265">
        <v>36</v>
      </c>
      <c r="V265">
        <v>0.1</v>
      </c>
      <c r="W265">
        <f t="shared" si="81"/>
        <v>1010.8800000000001</v>
      </c>
      <c r="X265" t="str">
        <f t="shared" si="82"/>
        <v>No</v>
      </c>
      <c r="Y265" s="2">
        <v>34674</v>
      </c>
      <c r="Z265" t="str">
        <f t="shared" si="68"/>
        <v/>
      </c>
      <c r="AA265" t="str">
        <f t="shared" si="83"/>
        <v/>
      </c>
      <c r="AB265" t="str" cm="1">
        <f t="array" ref="AB265">_xlfn.IFS(Y265&lt;DATE(1996,1,1),"",Y265&lt;DATE(1996,4,1),"Q1",Y265&lt;DATE(1996,7,1),"Q2",Y265&gt;=DATE(1996,7,1),"")</f>
        <v/>
      </c>
    </row>
    <row r="266" spans="1:28" ht="14.4" x14ac:dyDescent="0.55000000000000004">
      <c r="A266" t="str">
        <f>VLOOKUP(L266,Customers!$A$2:$B$92,2,FALSE)</f>
        <v>Rattlesnake Canyon Grocery</v>
      </c>
      <c r="B266" t="str">
        <f>VLOOKUP(L266,Customers!$A$2:$C$92,3,TRUE)</f>
        <v>Paula Wilson</v>
      </c>
      <c r="C266" t="str">
        <f t="shared" si="69"/>
        <v>Paula</v>
      </c>
      <c r="D266" s="8" t="str">
        <f t="shared" si="70"/>
        <v>Wilson</v>
      </c>
      <c r="E266" s="8" t="str">
        <f t="shared" si="71"/>
        <v>Wilson, Paula</v>
      </c>
      <c r="F266" s="8" t="str">
        <f t="shared" si="72"/>
        <v>Wilson, Paula</v>
      </c>
      <c r="G266" s="8" t="str">
        <f t="shared" si="73"/>
        <v>not an outlier</v>
      </c>
      <c r="H266" s="8" t="str">
        <f t="shared" si="74"/>
        <v>Not</v>
      </c>
      <c r="I266" s="8" t="str">
        <f t="shared" si="84"/>
        <v>no</v>
      </c>
      <c r="J266" s="10" t="str">
        <f t="shared" si="75"/>
        <v>no</v>
      </c>
      <c r="K266" s="10" t="str">
        <f t="shared" si="76"/>
        <v>no</v>
      </c>
      <c r="L266" t="s">
        <v>487</v>
      </c>
      <c r="M266">
        <v>10346</v>
      </c>
      <c r="N266">
        <v>56</v>
      </c>
      <c r="O266" t="s">
        <v>716</v>
      </c>
      <c r="P266" t="str">
        <f t="shared" si="77"/>
        <v>RATTC_10346_Gnocchi di nonna Alice</v>
      </c>
      <c r="Q266" t="str">
        <f t="shared" si="78"/>
        <v>10346</v>
      </c>
      <c r="R266" t="str">
        <f t="shared" si="79"/>
        <v>10346</v>
      </c>
      <c r="S266" t="str">
        <f t="shared" si="80"/>
        <v>Gnocchi di nonna Alice</v>
      </c>
      <c r="T266">
        <v>30.4</v>
      </c>
      <c r="U266">
        <v>20</v>
      </c>
      <c r="V266">
        <v>0</v>
      </c>
      <c r="W266">
        <f t="shared" si="81"/>
        <v>608</v>
      </c>
      <c r="X266" t="str">
        <f t="shared" si="82"/>
        <v>No</v>
      </c>
      <c r="Y266" s="2">
        <v>34674</v>
      </c>
      <c r="Z266" t="str">
        <f t="shared" si="68"/>
        <v/>
      </c>
      <c r="AA266" t="str">
        <f t="shared" si="83"/>
        <v/>
      </c>
      <c r="AB266" t="str" cm="1">
        <f t="array" ref="AB266">_xlfn.IFS(Y266&lt;DATE(1996,1,1),"",Y266&lt;DATE(1996,4,1),"Q1",Y266&lt;DATE(1996,7,1),"Q2",Y266&gt;=DATE(1996,7,1),"")</f>
        <v/>
      </c>
    </row>
    <row r="267" spans="1:28" ht="14.4" x14ac:dyDescent="0.55000000000000004">
      <c r="A267" t="str">
        <f>VLOOKUP(L267,Customers!$A$2:$B$92,2,FALSE)</f>
        <v>Familia Arquibaldo</v>
      </c>
      <c r="B267" t="str">
        <f>VLOOKUP(L267,Customers!$A$2:$C$92,3,TRUE)</f>
        <v>Aria Cruz</v>
      </c>
      <c r="C267" t="str">
        <f t="shared" si="69"/>
        <v>Aria</v>
      </c>
      <c r="D267" s="8" t="str">
        <f t="shared" si="70"/>
        <v>Cruz</v>
      </c>
      <c r="E267" s="8" t="str">
        <f t="shared" si="71"/>
        <v>Cruz, Aria</v>
      </c>
      <c r="F267" s="8" t="str">
        <f t="shared" si="72"/>
        <v>Cruz, Aria</v>
      </c>
      <c r="G267" s="8" t="str">
        <f t="shared" si="73"/>
        <v>not an outlier</v>
      </c>
      <c r="H267" s="8" t="str">
        <f t="shared" si="74"/>
        <v>Not</v>
      </c>
      <c r="I267" s="8" t="str">
        <f t="shared" si="84"/>
        <v>no</v>
      </c>
      <c r="J267" s="10" t="str">
        <f t="shared" si="75"/>
        <v>no</v>
      </c>
      <c r="K267" s="10" t="str">
        <f t="shared" si="76"/>
        <v>no</v>
      </c>
      <c r="L267" t="s">
        <v>170</v>
      </c>
      <c r="M267">
        <v>10347</v>
      </c>
      <c r="N267">
        <v>25</v>
      </c>
      <c r="O267" t="s">
        <v>749</v>
      </c>
      <c r="P267" t="str">
        <f t="shared" si="77"/>
        <v>FAMIA_10347_NuNuCa Nuß-Nougat-Creme</v>
      </c>
      <c r="Q267" t="str">
        <f t="shared" si="78"/>
        <v>10347</v>
      </c>
      <c r="R267" t="str">
        <f t="shared" si="79"/>
        <v>10347</v>
      </c>
      <c r="S267" t="str">
        <f t="shared" si="80"/>
        <v>NuNuCa Nuß-Nougat-Creme</v>
      </c>
      <c r="T267">
        <v>11.2</v>
      </c>
      <c r="U267">
        <v>10</v>
      </c>
      <c r="V267">
        <v>0</v>
      </c>
      <c r="W267">
        <f t="shared" si="81"/>
        <v>112</v>
      </c>
      <c r="X267" t="str">
        <f t="shared" si="82"/>
        <v>No</v>
      </c>
      <c r="Y267" s="2">
        <v>34675</v>
      </c>
      <c r="Z267" t="str">
        <f t="shared" si="68"/>
        <v/>
      </c>
      <c r="AA267" t="str">
        <f t="shared" si="83"/>
        <v/>
      </c>
      <c r="AB267" t="str" cm="1">
        <f t="array" ref="AB267">_xlfn.IFS(Y267&lt;DATE(1996,1,1),"",Y267&lt;DATE(1996,4,1),"Q1",Y267&lt;DATE(1996,7,1),"Q2",Y267&gt;=DATE(1996,7,1),"")</f>
        <v/>
      </c>
    </row>
    <row r="268" spans="1:28" ht="14.4" x14ac:dyDescent="0.55000000000000004">
      <c r="A268" t="str">
        <f>VLOOKUP(L268,Customers!$A$2:$B$92,2,FALSE)</f>
        <v>Familia Arquibaldo</v>
      </c>
      <c r="B268" t="str">
        <f>VLOOKUP(L268,Customers!$A$2:$C$92,3,TRUE)</f>
        <v>Aria Cruz</v>
      </c>
      <c r="C268" t="str">
        <f t="shared" si="69"/>
        <v>Aria</v>
      </c>
      <c r="D268" s="8" t="str">
        <f t="shared" si="70"/>
        <v>Cruz</v>
      </c>
      <c r="E268" s="8" t="str">
        <f t="shared" si="71"/>
        <v>Cruz, Aria</v>
      </c>
      <c r="F268" s="8" t="str">
        <f t="shared" si="72"/>
        <v>Cruz, Aria</v>
      </c>
      <c r="G268" s="8" t="str">
        <f t="shared" si="73"/>
        <v>not an outlier</v>
      </c>
      <c r="H268" s="8" t="str">
        <f t="shared" si="74"/>
        <v>Not</v>
      </c>
      <c r="I268" s="8" t="str">
        <f t="shared" si="84"/>
        <v>no</v>
      </c>
      <c r="J268" s="10" t="str">
        <f t="shared" si="75"/>
        <v>no</v>
      </c>
      <c r="K268" s="10" t="str">
        <f t="shared" si="76"/>
        <v>no</v>
      </c>
      <c r="L268" t="s">
        <v>170</v>
      </c>
      <c r="M268">
        <v>10347</v>
      </c>
      <c r="N268">
        <v>39</v>
      </c>
      <c r="O268" t="s">
        <v>696</v>
      </c>
      <c r="P268" t="str">
        <f t="shared" si="77"/>
        <v>FAMIA_10347_Chartreuse verte</v>
      </c>
      <c r="Q268" t="str">
        <f t="shared" si="78"/>
        <v>10347</v>
      </c>
      <c r="R268" t="str">
        <f t="shared" si="79"/>
        <v>10347</v>
      </c>
      <c r="S268" t="str">
        <f t="shared" si="80"/>
        <v>Chartreuse verte</v>
      </c>
      <c r="T268">
        <v>14.4</v>
      </c>
      <c r="U268">
        <v>50</v>
      </c>
      <c r="V268">
        <v>0.15</v>
      </c>
      <c r="W268">
        <f t="shared" si="81"/>
        <v>612</v>
      </c>
      <c r="X268" t="str">
        <f t="shared" si="82"/>
        <v>No</v>
      </c>
      <c r="Y268" s="2">
        <v>34675</v>
      </c>
      <c r="Z268" t="str">
        <f t="shared" si="68"/>
        <v/>
      </c>
      <c r="AA268" t="str">
        <f t="shared" si="83"/>
        <v/>
      </c>
      <c r="AB268" t="str" cm="1">
        <f t="array" ref="AB268">_xlfn.IFS(Y268&lt;DATE(1996,1,1),"",Y268&lt;DATE(1996,4,1),"Q1",Y268&lt;DATE(1996,7,1),"Q2",Y268&gt;=DATE(1996,7,1),"")</f>
        <v/>
      </c>
    </row>
    <row r="269" spans="1:28" ht="14.4" x14ac:dyDescent="0.55000000000000004">
      <c r="A269" t="str">
        <f>VLOOKUP(L269,Customers!$A$2:$B$92,2,FALSE)</f>
        <v>Familia Arquibaldo</v>
      </c>
      <c r="B269" t="str">
        <f>VLOOKUP(L269,Customers!$A$2:$C$92,3,TRUE)</f>
        <v>Aria Cruz</v>
      </c>
      <c r="C269" t="str">
        <f t="shared" si="69"/>
        <v>Aria</v>
      </c>
      <c r="D269" s="8" t="str">
        <f t="shared" si="70"/>
        <v>Cruz</v>
      </c>
      <c r="E269" s="8" t="str">
        <f t="shared" si="71"/>
        <v>Cruz, Aria</v>
      </c>
      <c r="F269" s="8" t="str">
        <f t="shared" si="72"/>
        <v>Cruz, Aria</v>
      </c>
      <c r="G269" s="8" t="str">
        <f t="shared" si="73"/>
        <v>not an outlier</v>
      </c>
      <c r="H269" s="8" t="str">
        <f t="shared" si="74"/>
        <v>Not</v>
      </c>
      <c r="I269" s="8" t="str">
        <f t="shared" si="84"/>
        <v>no</v>
      </c>
      <c r="J269" s="10" t="str">
        <f t="shared" si="75"/>
        <v>no</v>
      </c>
      <c r="K269" s="10" t="str">
        <f t="shared" si="76"/>
        <v>no</v>
      </c>
      <c r="L269" t="s">
        <v>170</v>
      </c>
      <c r="M269">
        <v>10347</v>
      </c>
      <c r="N269">
        <v>40</v>
      </c>
      <c r="O269" t="s">
        <v>720</v>
      </c>
      <c r="P269" t="str">
        <f t="shared" si="77"/>
        <v>FAMIA_10347_Boston Crab Meat</v>
      </c>
      <c r="Q269" t="str">
        <f t="shared" si="78"/>
        <v>10347</v>
      </c>
      <c r="R269" t="str">
        <f t="shared" si="79"/>
        <v>10347</v>
      </c>
      <c r="S269" t="str">
        <f t="shared" si="80"/>
        <v>Boston Crab Meat</v>
      </c>
      <c r="T269">
        <v>14.7</v>
      </c>
      <c r="U269">
        <v>4</v>
      </c>
      <c r="V269">
        <v>0</v>
      </c>
      <c r="W269">
        <f t="shared" si="81"/>
        <v>58.8</v>
      </c>
      <c r="X269" t="str">
        <f t="shared" si="82"/>
        <v>No</v>
      </c>
      <c r="Y269" s="2">
        <v>34675</v>
      </c>
      <c r="Z269" t="str">
        <f t="shared" si="68"/>
        <v/>
      </c>
      <c r="AA269" t="str">
        <f t="shared" si="83"/>
        <v/>
      </c>
      <c r="AB269" t="str" cm="1">
        <f t="array" ref="AB269">_xlfn.IFS(Y269&lt;DATE(1996,1,1),"",Y269&lt;DATE(1996,4,1),"Q1",Y269&lt;DATE(1996,7,1),"Q2",Y269&gt;=DATE(1996,7,1),"")</f>
        <v/>
      </c>
    </row>
    <row r="270" spans="1:28" ht="14.4" x14ac:dyDescent="0.55000000000000004">
      <c r="A270" t="str">
        <f>VLOOKUP(L270,Customers!$A$2:$B$92,2,FALSE)</f>
        <v>Familia Arquibaldo</v>
      </c>
      <c r="B270" t="str">
        <f>VLOOKUP(L270,Customers!$A$2:$C$92,3,TRUE)</f>
        <v>Aria Cruz</v>
      </c>
      <c r="C270" t="str">
        <f t="shared" si="69"/>
        <v>Aria</v>
      </c>
      <c r="D270" s="8" t="str">
        <f t="shared" si="70"/>
        <v>Cruz</v>
      </c>
      <c r="E270" s="8" t="str">
        <f t="shared" si="71"/>
        <v>Cruz, Aria</v>
      </c>
      <c r="F270" s="8" t="str">
        <f t="shared" si="72"/>
        <v>Cruz, Aria</v>
      </c>
      <c r="G270" s="8" t="str">
        <f t="shared" si="73"/>
        <v>not an outlier</v>
      </c>
      <c r="H270" s="8" t="str">
        <f t="shared" si="74"/>
        <v>Not</v>
      </c>
      <c r="I270" s="8" t="str">
        <f t="shared" si="84"/>
        <v>no</v>
      </c>
      <c r="J270" s="10" t="str">
        <f t="shared" si="75"/>
        <v>no</v>
      </c>
      <c r="K270" s="10" t="str">
        <f t="shared" si="76"/>
        <v>no</v>
      </c>
      <c r="L270" t="s">
        <v>170</v>
      </c>
      <c r="M270">
        <v>10347</v>
      </c>
      <c r="N270">
        <v>75</v>
      </c>
      <c r="O270" t="s">
        <v>731</v>
      </c>
      <c r="P270" t="str">
        <f t="shared" si="77"/>
        <v>FAMIA_10347_Rhönbräu Klosterbier</v>
      </c>
      <c r="Q270" t="str">
        <f t="shared" si="78"/>
        <v>10347</v>
      </c>
      <c r="R270" t="str">
        <f t="shared" si="79"/>
        <v>10347</v>
      </c>
      <c r="S270" t="str">
        <f t="shared" si="80"/>
        <v>Rhönbräu Klosterbier</v>
      </c>
      <c r="T270">
        <v>6.2</v>
      </c>
      <c r="U270">
        <v>6</v>
      </c>
      <c r="V270">
        <v>0.15</v>
      </c>
      <c r="W270">
        <f t="shared" si="81"/>
        <v>31.62</v>
      </c>
      <c r="X270" t="str">
        <f t="shared" si="82"/>
        <v>No</v>
      </c>
      <c r="Y270" s="2">
        <v>34675</v>
      </c>
      <c r="Z270" t="str">
        <f t="shared" si="68"/>
        <v/>
      </c>
      <c r="AA270" t="str">
        <f t="shared" si="83"/>
        <v/>
      </c>
      <c r="AB270" t="str" cm="1">
        <f t="array" ref="AB270">_xlfn.IFS(Y270&lt;DATE(1996,1,1),"",Y270&lt;DATE(1996,4,1),"Q1",Y270&lt;DATE(1996,7,1),"Q2",Y270&gt;=DATE(1996,7,1),"")</f>
        <v/>
      </c>
    </row>
    <row r="271" spans="1:28" ht="14.4" x14ac:dyDescent="0.55000000000000004">
      <c r="A271" t="str">
        <f>VLOOKUP(L271,Customers!$A$2:$B$92,2,FALSE)</f>
        <v>Die Wandernde Kuh</v>
      </c>
      <c r="B271" t="str">
        <f>VLOOKUP(L271,Customers!$A$2:$C$92,3,TRUE)</f>
        <v>Rita Müller</v>
      </c>
      <c r="C271" t="str">
        <f t="shared" si="69"/>
        <v>Rita</v>
      </c>
      <c r="D271" s="8" t="str">
        <f t="shared" si="70"/>
        <v>Müller</v>
      </c>
      <c r="E271" s="8" t="str">
        <f t="shared" si="71"/>
        <v>Müller, Rita</v>
      </c>
      <c r="F271" s="8" t="str">
        <f t="shared" si="72"/>
        <v>Müller, Rita</v>
      </c>
      <c r="G271" s="8" t="str">
        <f t="shared" si="73"/>
        <v>not an outlier</v>
      </c>
      <c r="H271" s="8" t="str">
        <f t="shared" si="74"/>
        <v>Not</v>
      </c>
      <c r="I271" s="8" t="str">
        <f t="shared" si="84"/>
        <v>no</v>
      </c>
      <c r="J271" s="10" t="str">
        <f t="shared" si="75"/>
        <v>no</v>
      </c>
      <c r="K271" s="10" t="str">
        <f t="shared" si="76"/>
        <v>no</v>
      </c>
      <c r="L271" t="s">
        <v>633</v>
      </c>
      <c r="M271">
        <v>10348</v>
      </c>
      <c r="N271">
        <v>1</v>
      </c>
      <c r="O271" t="s">
        <v>735</v>
      </c>
      <c r="P271" t="str">
        <f t="shared" si="77"/>
        <v>WANDK_10348_Chai</v>
      </c>
      <c r="Q271" t="str">
        <f t="shared" si="78"/>
        <v>10348</v>
      </c>
      <c r="R271" t="str">
        <f t="shared" si="79"/>
        <v>10348</v>
      </c>
      <c r="S271" t="str">
        <f t="shared" si="80"/>
        <v>Chai</v>
      </c>
      <c r="T271">
        <v>14.4</v>
      </c>
      <c r="U271">
        <v>15</v>
      </c>
      <c r="V271">
        <v>0.15</v>
      </c>
      <c r="W271">
        <f t="shared" si="81"/>
        <v>183.6</v>
      </c>
      <c r="X271" t="str">
        <f t="shared" si="82"/>
        <v>No</v>
      </c>
      <c r="Y271" s="2">
        <v>34676</v>
      </c>
      <c r="Z271" t="str">
        <f t="shared" si="68"/>
        <v/>
      </c>
      <c r="AA271" t="str">
        <f t="shared" si="83"/>
        <v/>
      </c>
      <c r="AB271" t="str" cm="1">
        <f t="array" ref="AB271">_xlfn.IFS(Y271&lt;DATE(1996,1,1),"",Y271&lt;DATE(1996,4,1),"Q1",Y271&lt;DATE(1996,7,1),"Q2",Y271&gt;=DATE(1996,7,1),"")</f>
        <v/>
      </c>
    </row>
    <row r="272" spans="1:28" ht="14.4" x14ac:dyDescent="0.55000000000000004">
      <c r="A272" t="str">
        <f>VLOOKUP(L272,Customers!$A$2:$B$92,2,FALSE)</f>
        <v>Die Wandernde Kuh</v>
      </c>
      <c r="B272" t="str">
        <f>VLOOKUP(L272,Customers!$A$2:$C$92,3,TRUE)</f>
        <v>Rita Müller</v>
      </c>
      <c r="C272" t="str">
        <f t="shared" si="69"/>
        <v>Rita</v>
      </c>
      <c r="D272" s="8" t="str">
        <f t="shared" si="70"/>
        <v>Müller</v>
      </c>
      <c r="E272" s="8" t="str">
        <f t="shared" si="71"/>
        <v>Müller, Rita</v>
      </c>
      <c r="F272" s="8" t="str">
        <f t="shared" si="72"/>
        <v>Müller, Rita</v>
      </c>
      <c r="G272" s="8" t="str">
        <f t="shared" si="73"/>
        <v>not an outlier</v>
      </c>
      <c r="H272" s="8" t="str">
        <f t="shared" si="74"/>
        <v>Not</v>
      </c>
      <c r="I272" s="8" t="str">
        <f t="shared" si="84"/>
        <v>no</v>
      </c>
      <c r="J272" s="10" t="str">
        <f t="shared" si="75"/>
        <v>no</v>
      </c>
      <c r="K272" s="10" t="str">
        <f t="shared" si="76"/>
        <v>no</v>
      </c>
      <c r="L272" t="s">
        <v>633</v>
      </c>
      <c r="M272">
        <v>10348</v>
      </c>
      <c r="N272">
        <v>23</v>
      </c>
      <c r="O272" t="s">
        <v>753</v>
      </c>
      <c r="P272" t="str">
        <f t="shared" si="77"/>
        <v>WANDK_10348_Tunnbröd</v>
      </c>
      <c r="Q272" t="str">
        <f t="shared" si="78"/>
        <v>10348</v>
      </c>
      <c r="R272" t="str">
        <f t="shared" si="79"/>
        <v>10348</v>
      </c>
      <c r="S272" t="str">
        <f t="shared" si="80"/>
        <v>Tunnbröd</v>
      </c>
      <c r="T272">
        <v>7.2</v>
      </c>
      <c r="U272">
        <v>25</v>
      </c>
      <c r="V272">
        <v>0</v>
      </c>
      <c r="W272">
        <f t="shared" si="81"/>
        <v>180</v>
      </c>
      <c r="X272" t="str">
        <f t="shared" si="82"/>
        <v>No</v>
      </c>
      <c r="Y272" s="2">
        <v>34676</v>
      </c>
      <c r="Z272" t="str">
        <f t="shared" si="68"/>
        <v/>
      </c>
      <c r="AA272" t="str">
        <f t="shared" si="83"/>
        <v/>
      </c>
      <c r="AB272" t="str" cm="1">
        <f t="array" ref="AB272">_xlfn.IFS(Y272&lt;DATE(1996,1,1),"",Y272&lt;DATE(1996,4,1),"Q1",Y272&lt;DATE(1996,7,1),"Q2",Y272&gt;=DATE(1996,7,1),"")</f>
        <v/>
      </c>
    </row>
    <row r="273" spans="1:28" ht="14.4" x14ac:dyDescent="0.55000000000000004">
      <c r="A273" t="str">
        <f>VLOOKUP(L273,Customers!$A$2:$B$92,2,FALSE)</f>
        <v>Split Rail Beer &amp; Ale</v>
      </c>
      <c r="B273" t="str">
        <f>VLOOKUP(L273,Customers!$A$2:$C$92,3,TRUE)</f>
        <v>Art Braunschweiger</v>
      </c>
      <c r="C273" t="str">
        <f t="shared" si="69"/>
        <v>Art</v>
      </c>
      <c r="D273" s="8" t="str">
        <f t="shared" si="70"/>
        <v>Braunschweiger</v>
      </c>
      <c r="E273" s="8" t="str">
        <f t="shared" si="71"/>
        <v>Braunschweiger, Art</v>
      </c>
      <c r="F273" s="8" t="str">
        <f t="shared" si="72"/>
        <v>Braunschweiger, Art</v>
      </c>
      <c r="G273" s="8" t="str">
        <f t="shared" si="73"/>
        <v>not an outlier</v>
      </c>
      <c r="H273" s="8" t="str">
        <f t="shared" si="74"/>
        <v>Not</v>
      </c>
      <c r="I273" s="8" t="str">
        <f t="shared" si="84"/>
        <v>no</v>
      </c>
      <c r="J273" s="10" t="str">
        <f t="shared" si="75"/>
        <v>no</v>
      </c>
      <c r="K273" s="10" t="str">
        <f t="shared" si="76"/>
        <v>no</v>
      </c>
      <c r="L273" t="s">
        <v>557</v>
      </c>
      <c r="M273">
        <v>10349</v>
      </c>
      <c r="N273">
        <v>54</v>
      </c>
      <c r="O273" t="s">
        <v>738</v>
      </c>
      <c r="P273" t="str">
        <f t="shared" si="77"/>
        <v>SPLIR_10349_Tourtière</v>
      </c>
      <c r="Q273" t="str">
        <f t="shared" si="78"/>
        <v>10349</v>
      </c>
      <c r="R273" t="str">
        <f t="shared" si="79"/>
        <v>10349</v>
      </c>
      <c r="S273" t="str">
        <f t="shared" si="80"/>
        <v>Tourtière</v>
      </c>
      <c r="T273">
        <v>5.9</v>
      </c>
      <c r="U273">
        <v>24</v>
      </c>
      <c r="V273">
        <v>0</v>
      </c>
      <c r="W273">
        <f t="shared" si="81"/>
        <v>141.60000000000002</v>
      </c>
      <c r="X273" t="str">
        <f t="shared" si="82"/>
        <v>No</v>
      </c>
      <c r="Y273" s="2">
        <v>34677</v>
      </c>
      <c r="Z273" t="str">
        <f t="shared" si="68"/>
        <v/>
      </c>
      <c r="AA273" t="str">
        <f t="shared" si="83"/>
        <v/>
      </c>
      <c r="AB273" t="str" cm="1">
        <f t="array" ref="AB273">_xlfn.IFS(Y273&lt;DATE(1996,1,1),"",Y273&lt;DATE(1996,4,1),"Q1",Y273&lt;DATE(1996,7,1),"Q2",Y273&gt;=DATE(1996,7,1),"")</f>
        <v/>
      </c>
    </row>
    <row r="274" spans="1:28" ht="14.4" x14ac:dyDescent="0.55000000000000004">
      <c r="A274" t="str">
        <f>VLOOKUP(L274,Customers!$A$2:$B$92,2,FALSE)</f>
        <v>La maison d'Asie</v>
      </c>
      <c r="B274" t="str">
        <f>VLOOKUP(L274,Customers!$A$2:$C$92,3,TRUE)</f>
        <v>Annette Roulet</v>
      </c>
      <c r="C274" t="str">
        <f t="shared" si="69"/>
        <v>Annette</v>
      </c>
      <c r="D274" s="8" t="str">
        <f t="shared" si="70"/>
        <v>Roulet</v>
      </c>
      <c r="E274" s="8" t="str">
        <f t="shared" si="71"/>
        <v>Roulet, Annette</v>
      </c>
      <c r="F274" s="8" t="str">
        <f t="shared" si="72"/>
        <v>Roulet, Annette</v>
      </c>
      <c r="G274" s="8" t="str">
        <f t="shared" si="73"/>
        <v>not an outlier</v>
      </c>
      <c r="H274" s="8" t="str">
        <f t="shared" si="74"/>
        <v>Not</v>
      </c>
      <c r="I274" s="8" t="str">
        <f t="shared" si="84"/>
        <v>no</v>
      </c>
      <c r="J274" s="10" t="str">
        <f t="shared" si="75"/>
        <v>no</v>
      </c>
      <c r="K274" s="10" t="str">
        <f t="shared" si="76"/>
        <v>no</v>
      </c>
      <c r="L274" t="s">
        <v>318</v>
      </c>
      <c r="M274">
        <v>10350</v>
      </c>
      <c r="N274">
        <v>50</v>
      </c>
      <c r="O274" t="s">
        <v>755</v>
      </c>
      <c r="P274" t="str">
        <f t="shared" si="77"/>
        <v>LAMAI_10350_Valkoinen suklaa</v>
      </c>
      <c r="Q274" t="str">
        <f t="shared" si="78"/>
        <v>10350</v>
      </c>
      <c r="R274" t="str">
        <f t="shared" si="79"/>
        <v>10350</v>
      </c>
      <c r="S274" t="str">
        <f t="shared" si="80"/>
        <v>Valkoinen suklaa</v>
      </c>
      <c r="T274">
        <v>13</v>
      </c>
      <c r="U274">
        <v>15</v>
      </c>
      <c r="V274">
        <v>0.1</v>
      </c>
      <c r="W274">
        <f t="shared" si="81"/>
        <v>175.5</v>
      </c>
      <c r="X274" t="str">
        <f t="shared" si="82"/>
        <v>No</v>
      </c>
      <c r="Y274" s="2">
        <v>34680</v>
      </c>
      <c r="Z274" t="str">
        <f t="shared" si="68"/>
        <v/>
      </c>
      <c r="AA274" t="str">
        <f t="shared" si="83"/>
        <v/>
      </c>
      <c r="AB274" t="str" cm="1">
        <f t="array" ref="AB274">_xlfn.IFS(Y274&lt;DATE(1996,1,1),"",Y274&lt;DATE(1996,4,1),"Q1",Y274&lt;DATE(1996,7,1),"Q2",Y274&gt;=DATE(1996,7,1),"")</f>
        <v/>
      </c>
    </row>
    <row r="275" spans="1:28" ht="14.4" x14ac:dyDescent="0.55000000000000004">
      <c r="A275" t="str">
        <f>VLOOKUP(L275,Customers!$A$2:$B$92,2,FALSE)</f>
        <v>La maison d'Asie</v>
      </c>
      <c r="B275" t="str">
        <f>VLOOKUP(L275,Customers!$A$2:$C$92,3,TRUE)</f>
        <v>Annette Roulet</v>
      </c>
      <c r="C275" t="str">
        <f t="shared" si="69"/>
        <v>Annette</v>
      </c>
      <c r="D275" s="8" t="str">
        <f t="shared" si="70"/>
        <v>Roulet</v>
      </c>
      <c r="E275" s="8" t="str">
        <f t="shared" si="71"/>
        <v>Roulet, Annette</v>
      </c>
      <c r="F275" s="8" t="str">
        <f t="shared" si="72"/>
        <v>Roulet, Annette</v>
      </c>
      <c r="G275" s="8" t="str">
        <f t="shared" si="73"/>
        <v>not an outlier</v>
      </c>
      <c r="H275" s="8" t="str">
        <f t="shared" si="74"/>
        <v>Not</v>
      </c>
      <c r="I275" s="8" t="str">
        <f t="shared" si="84"/>
        <v>no</v>
      </c>
      <c r="J275" s="10" t="str">
        <f t="shared" si="75"/>
        <v>no</v>
      </c>
      <c r="K275" s="10" t="str">
        <f t="shared" si="76"/>
        <v>no</v>
      </c>
      <c r="L275" t="s">
        <v>318</v>
      </c>
      <c r="M275">
        <v>10350</v>
      </c>
      <c r="N275">
        <v>69</v>
      </c>
      <c r="O275" t="s">
        <v>743</v>
      </c>
      <c r="P275" t="str">
        <f t="shared" si="77"/>
        <v>LAMAI_10350_Gudbrandsdalsost</v>
      </c>
      <c r="Q275" t="str">
        <f t="shared" si="78"/>
        <v>10350</v>
      </c>
      <c r="R275" t="str">
        <f t="shared" si="79"/>
        <v>10350</v>
      </c>
      <c r="S275" t="str">
        <f t="shared" si="80"/>
        <v>Gudbrandsdalsost</v>
      </c>
      <c r="T275">
        <v>28.8</v>
      </c>
      <c r="U275">
        <v>18</v>
      </c>
      <c r="V275">
        <v>0.1</v>
      </c>
      <c r="W275">
        <f t="shared" si="81"/>
        <v>466.56</v>
      </c>
      <c r="X275" t="str">
        <f t="shared" si="82"/>
        <v>No</v>
      </c>
      <c r="Y275" s="2">
        <v>34680</v>
      </c>
      <c r="Z275" t="str">
        <f t="shared" si="68"/>
        <v/>
      </c>
      <c r="AA275" t="str">
        <f t="shared" si="83"/>
        <v/>
      </c>
      <c r="AB275" t="str" cm="1">
        <f t="array" ref="AB275">_xlfn.IFS(Y275&lt;DATE(1996,1,1),"",Y275&lt;DATE(1996,4,1),"Q1",Y275&lt;DATE(1996,7,1),"Q2",Y275&gt;=DATE(1996,7,1),"")</f>
        <v/>
      </c>
    </row>
    <row r="276" spans="1:28" ht="14.4" x14ac:dyDescent="0.55000000000000004">
      <c r="A276" t="str">
        <f>VLOOKUP(L276,Customers!$A$2:$B$92,2,FALSE)</f>
        <v>Ernst Handel</v>
      </c>
      <c r="B276" t="str">
        <f>VLOOKUP(L276,Customers!$A$2:$C$92,3,TRUE)</f>
        <v>Roland Mendel</v>
      </c>
      <c r="C276" t="str">
        <f t="shared" si="69"/>
        <v>Roland</v>
      </c>
      <c r="D276" s="8" t="str">
        <f t="shared" si="70"/>
        <v>Mendel</v>
      </c>
      <c r="E276" s="8" t="str">
        <f t="shared" si="71"/>
        <v>Mendel, Roland</v>
      </c>
      <c r="F276" s="8" t="str">
        <f t="shared" si="72"/>
        <v>Mendel, Roland</v>
      </c>
      <c r="G276" s="8" t="str">
        <f t="shared" si="73"/>
        <v>outlier</v>
      </c>
      <c r="H276" s="8" t="str">
        <f t="shared" si="74"/>
        <v>outlier</v>
      </c>
      <c r="I276" s="8" t="str">
        <f t="shared" si="84"/>
        <v>yes</v>
      </c>
      <c r="J276" s="10" t="str">
        <f t="shared" si="75"/>
        <v>yes</v>
      </c>
      <c r="K276" s="10" t="str">
        <f t="shared" si="76"/>
        <v>yes</v>
      </c>
      <c r="L276" t="s">
        <v>161</v>
      </c>
      <c r="M276">
        <v>10351</v>
      </c>
      <c r="N276">
        <v>38</v>
      </c>
      <c r="O276" t="s">
        <v>750</v>
      </c>
      <c r="P276" t="str">
        <f t="shared" si="77"/>
        <v>ERNSH_10351_Côte de Blaye</v>
      </c>
      <c r="Q276" t="str">
        <f t="shared" si="78"/>
        <v>10351</v>
      </c>
      <c r="R276" t="str">
        <f t="shared" si="79"/>
        <v>10351</v>
      </c>
      <c r="S276" t="str">
        <f t="shared" si="80"/>
        <v>Côte de Blaye</v>
      </c>
      <c r="T276">
        <v>210.8</v>
      </c>
      <c r="U276">
        <v>20</v>
      </c>
      <c r="V276">
        <v>0.05</v>
      </c>
      <c r="W276">
        <f t="shared" si="81"/>
        <v>4005.2</v>
      </c>
      <c r="X276" t="str">
        <f t="shared" si="82"/>
        <v>No</v>
      </c>
      <c r="Y276" s="2">
        <v>34680</v>
      </c>
      <c r="Z276" t="str">
        <f t="shared" si="68"/>
        <v/>
      </c>
      <c r="AA276" t="str">
        <f t="shared" si="83"/>
        <v/>
      </c>
      <c r="AB276" t="str" cm="1">
        <f t="array" ref="AB276">_xlfn.IFS(Y276&lt;DATE(1996,1,1),"",Y276&lt;DATE(1996,4,1),"Q1",Y276&lt;DATE(1996,7,1),"Q2",Y276&gt;=DATE(1996,7,1),"")</f>
        <v/>
      </c>
    </row>
    <row r="277" spans="1:28" ht="14.4" x14ac:dyDescent="0.55000000000000004">
      <c r="A277" t="str">
        <f>VLOOKUP(L277,Customers!$A$2:$B$92,2,FALSE)</f>
        <v>Ernst Handel</v>
      </c>
      <c r="B277" t="str">
        <f>VLOOKUP(L277,Customers!$A$2:$C$92,3,TRUE)</f>
        <v>Roland Mendel</v>
      </c>
      <c r="C277" t="str">
        <f t="shared" si="69"/>
        <v>Roland</v>
      </c>
      <c r="D277" s="8" t="str">
        <f t="shared" si="70"/>
        <v>Mendel</v>
      </c>
      <c r="E277" s="8" t="str">
        <f t="shared" si="71"/>
        <v>Mendel, Roland</v>
      </c>
      <c r="F277" s="8" t="str">
        <f t="shared" si="72"/>
        <v>Mendel, Roland</v>
      </c>
      <c r="G277" s="8" t="str">
        <f t="shared" si="73"/>
        <v>not an outlier</v>
      </c>
      <c r="H277" s="8" t="str">
        <f t="shared" si="74"/>
        <v>Not</v>
      </c>
      <c r="I277" s="8" t="str">
        <f t="shared" si="84"/>
        <v>no</v>
      </c>
      <c r="J277" s="10" t="str">
        <f t="shared" si="75"/>
        <v>no</v>
      </c>
      <c r="K277" s="10" t="str">
        <f t="shared" si="76"/>
        <v>no</v>
      </c>
      <c r="L277" t="s">
        <v>161</v>
      </c>
      <c r="M277">
        <v>10351</v>
      </c>
      <c r="N277">
        <v>41</v>
      </c>
      <c r="O277" t="s">
        <v>688</v>
      </c>
      <c r="P277" t="str">
        <f t="shared" si="77"/>
        <v>ERNSH_10351_Jack's New England Clam Chowder</v>
      </c>
      <c r="Q277" t="str">
        <f t="shared" si="78"/>
        <v>10351</v>
      </c>
      <c r="R277" t="str">
        <f t="shared" si="79"/>
        <v>10351</v>
      </c>
      <c r="S277" t="str">
        <f t="shared" si="80"/>
        <v>Jack's New England Clam Chowder</v>
      </c>
      <c r="T277">
        <v>7.7</v>
      </c>
      <c r="U277">
        <v>13</v>
      </c>
      <c r="V277">
        <v>0</v>
      </c>
      <c r="W277">
        <f t="shared" si="81"/>
        <v>100.10000000000001</v>
      </c>
      <c r="X277" t="str">
        <f t="shared" si="82"/>
        <v>No</v>
      </c>
      <c r="Y277" s="2">
        <v>34680</v>
      </c>
      <c r="Z277" t="str">
        <f t="shared" si="68"/>
        <v/>
      </c>
      <c r="AA277" t="str">
        <f t="shared" si="83"/>
        <v/>
      </c>
      <c r="AB277" t="str" cm="1">
        <f t="array" ref="AB277">_xlfn.IFS(Y277&lt;DATE(1996,1,1),"",Y277&lt;DATE(1996,4,1),"Q1",Y277&lt;DATE(1996,7,1),"Q2",Y277&gt;=DATE(1996,7,1),"")</f>
        <v/>
      </c>
    </row>
    <row r="278" spans="1:28" ht="14.4" x14ac:dyDescent="0.55000000000000004">
      <c r="A278" t="str">
        <f>VLOOKUP(L278,Customers!$A$2:$B$92,2,FALSE)</f>
        <v>Ernst Handel</v>
      </c>
      <c r="B278" t="str">
        <f>VLOOKUP(L278,Customers!$A$2:$C$92,3,TRUE)</f>
        <v>Roland Mendel</v>
      </c>
      <c r="C278" t="str">
        <f t="shared" si="69"/>
        <v>Roland</v>
      </c>
      <c r="D278" s="8" t="str">
        <f t="shared" si="70"/>
        <v>Mendel</v>
      </c>
      <c r="E278" s="8" t="str">
        <f t="shared" si="71"/>
        <v>Mendel, Roland</v>
      </c>
      <c r="F278" s="8" t="str">
        <f t="shared" si="72"/>
        <v>Mendel, Roland</v>
      </c>
      <c r="G278" s="8" t="str">
        <f t="shared" si="73"/>
        <v>not an outlier</v>
      </c>
      <c r="H278" s="8" t="str">
        <f t="shared" si="74"/>
        <v>Not</v>
      </c>
      <c r="I278" s="8" t="str">
        <f t="shared" si="84"/>
        <v>no</v>
      </c>
      <c r="J278" s="10" t="str">
        <f t="shared" si="75"/>
        <v>no</v>
      </c>
      <c r="K278" s="10" t="str">
        <f t="shared" si="76"/>
        <v>no</v>
      </c>
      <c r="L278" t="s">
        <v>161</v>
      </c>
      <c r="M278">
        <v>10351</v>
      </c>
      <c r="N278">
        <v>44</v>
      </c>
      <c r="O278" t="s">
        <v>728</v>
      </c>
      <c r="P278" t="str">
        <f t="shared" si="77"/>
        <v>ERNSH_10351_Gula Malacca</v>
      </c>
      <c r="Q278" t="str">
        <f t="shared" si="78"/>
        <v>10351</v>
      </c>
      <c r="R278" t="str">
        <f t="shared" si="79"/>
        <v>10351</v>
      </c>
      <c r="S278" t="str">
        <f t="shared" si="80"/>
        <v>Gula Malacca</v>
      </c>
      <c r="T278">
        <v>15.5</v>
      </c>
      <c r="U278">
        <v>77</v>
      </c>
      <c r="V278">
        <v>0.05</v>
      </c>
      <c r="W278">
        <f t="shared" si="81"/>
        <v>1133.825</v>
      </c>
      <c r="X278" t="str">
        <f t="shared" si="82"/>
        <v>No</v>
      </c>
      <c r="Y278" s="2">
        <v>34680</v>
      </c>
      <c r="Z278" t="str">
        <f t="shared" si="68"/>
        <v/>
      </c>
      <c r="AA278" t="str">
        <f t="shared" si="83"/>
        <v/>
      </c>
      <c r="AB278" t="str" cm="1">
        <f t="array" ref="AB278">_xlfn.IFS(Y278&lt;DATE(1996,1,1),"",Y278&lt;DATE(1996,4,1),"Q1",Y278&lt;DATE(1996,7,1),"Q2",Y278&gt;=DATE(1996,7,1),"")</f>
        <v/>
      </c>
    </row>
    <row r="279" spans="1:28" ht="14.4" x14ac:dyDescent="0.55000000000000004">
      <c r="A279" t="str">
        <f>VLOOKUP(L279,Customers!$A$2:$B$92,2,FALSE)</f>
        <v>Ernst Handel</v>
      </c>
      <c r="B279" t="str">
        <f>VLOOKUP(L279,Customers!$A$2:$C$92,3,TRUE)</f>
        <v>Roland Mendel</v>
      </c>
      <c r="C279" t="str">
        <f t="shared" si="69"/>
        <v>Roland</v>
      </c>
      <c r="D279" s="8" t="str">
        <f t="shared" si="70"/>
        <v>Mendel</v>
      </c>
      <c r="E279" s="8" t="str">
        <f t="shared" si="71"/>
        <v>Mendel, Roland</v>
      </c>
      <c r="F279" s="8" t="str">
        <f t="shared" si="72"/>
        <v>Mendel, Roland</v>
      </c>
      <c r="G279" s="8" t="str">
        <f t="shared" si="73"/>
        <v>not an outlier</v>
      </c>
      <c r="H279" s="8" t="str">
        <f t="shared" si="74"/>
        <v>Not</v>
      </c>
      <c r="I279" s="8" t="str">
        <f t="shared" si="84"/>
        <v>no</v>
      </c>
      <c r="J279" s="10" t="str">
        <f t="shared" si="75"/>
        <v>no</v>
      </c>
      <c r="K279" s="10" t="str">
        <f t="shared" si="76"/>
        <v>no</v>
      </c>
      <c r="L279" t="s">
        <v>161</v>
      </c>
      <c r="M279">
        <v>10351</v>
      </c>
      <c r="N279">
        <v>65</v>
      </c>
      <c r="O279" t="s">
        <v>689</v>
      </c>
      <c r="P279" t="str">
        <f t="shared" si="77"/>
        <v>ERNSH_10351_Louisiana Fiery Hot Pepper Sauce</v>
      </c>
      <c r="Q279" t="str">
        <f t="shared" si="78"/>
        <v>10351</v>
      </c>
      <c r="R279" t="str">
        <f t="shared" si="79"/>
        <v>10351</v>
      </c>
      <c r="S279" t="str">
        <f t="shared" si="80"/>
        <v>Louisiana Fiery Hot Pepper Sauce</v>
      </c>
      <c r="T279">
        <v>16.8</v>
      </c>
      <c r="U279">
        <v>10</v>
      </c>
      <c r="V279">
        <v>0.05</v>
      </c>
      <c r="W279">
        <f t="shared" si="81"/>
        <v>159.6</v>
      </c>
      <c r="X279" t="str">
        <f t="shared" si="82"/>
        <v>No</v>
      </c>
      <c r="Y279" s="2">
        <v>34680</v>
      </c>
      <c r="Z279" t="str">
        <f t="shared" si="68"/>
        <v/>
      </c>
      <c r="AA279" t="str">
        <f t="shared" si="83"/>
        <v/>
      </c>
      <c r="AB279" t="str" cm="1">
        <f t="array" ref="AB279">_xlfn.IFS(Y279&lt;DATE(1996,1,1),"",Y279&lt;DATE(1996,4,1),"Q1",Y279&lt;DATE(1996,7,1),"Q2",Y279&gt;=DATE(1996,7,1),"")</f>
        <v/>
      </c>
    </row>
    <row r="280" spans="1:28" ht="14.4" x14ac:dyDescent="0.55000000000000004">
      <c r="A280" t="str">
        <f>VLOOKUP(L280,Customers!$A$2:$B$92,2,FALSE)</f>
        <v>Furia Bacalhau e Frutos do Mar</v>
      </c>
      <c r="B280" t="str">
        <f>VLOOKUP(L280,Customers!$A$2:$C$92,3,TRUE)</f>
        <v>Lino Rodriguez</v>
      </c>
      <c r="C280" t="str">
        <f t="shared" si="69"/>
        <v>Lino</v>
      </c>
      <c r="D280" s="8" t="str">
        <f t="shared" si="70"/>
        <v>Rodriguez</v>
      </c>
      <c r="E280" s="8" t="str">
        <f t="shared" si="71"/>
        <v>Rodriguez, Lino</v>
      </c>
      <c r="F280" s="8" t="str">
        <f t="shared" si="72"/>
        <v>Rodriguez, Lino</v>
      </c>
      <c r="G280" s="8" t="str">
        <f t="shared" si="73"/>
        <v>not an outlier</v>
      </c>
      <c r="H280" s="8" t="str">
        <f t="shared" si="74"/>
        <v>Not</v>
      </c>
      <c r="I280" s="8" t="str">
        <f t="shared" si="84"/>
        <v>no</v>
      </c>
      <c r="J280" s="10" t="str">
        <f t="shared" si="75"/>
        <v>no</v>
      </c>
      <c r="K280" s="10" t="str">
        <f t="shared" si="76"/>
        <v>no</v>
      </c>
      <c r="L280" t="s">
        <v>219</v>
      </c>
      <c r="M280">
        <v>10352</v>
      </c>
      <c r="N280">
        <v>24</v>
      </c>
      <c r="O280" t="s">
        <v>698</v>
      </c>
      <c r="P280" t="str">
        <f t="shared" si="77"/>
        <v>FURIB_10352_Guaraná Fantástica</v>
      </c>
      <c r="Q280" t="str">
        <f t="shared" si="78"/>
        <v>10352</v>
      </c>
      <c r="R280" t="str">
        <f t="shared" si="79"/>
        <v>10352</v>
      </c>
      <c r="S280" t="str">
        <f t="shared" si="80"/>
        <v>Guaraná Fantástica</v>
      </c>
      <c r="T280">
        <v>3.6</v>
      </c>
      <c r="U280">
        <v>10</v>
      </c>
      <c r="V280">
        <v>0</v>
      </c>
      <c r="W280">
        <f t="shared" si="81"/>
        <v>36</v>
      </c>
      <c r="X280" t="str">
        <f t="shared" si="82"/>
        <v>No</v>
      </c>
      <c r="Y280" s="2">
        <v>34681</v>
      </c>
      <c r="Z280" t="str">
        <f t="shared" si="68"/>
        <v/>
      </c>
      <c r="AA280" t="str">
        <f t="shared" si="83"/>
        <v/>
      </c>
      <c r="AB280" t="str" cm="1">
        <f t="array" ref="AB280">_xlfn.IFS(Y280&lt;DATE(1996,1,1),"",Y280&lt;DATE(1996,4,1),"Q1",Y280&lt;DATE(1996,7,1),"Q2",Y280&gt;=DATE(1996,7,1),"")</f>
        <v/>
      </c>
    </row>
    <row r="281" spans="1:28" ht="14.4" x14ac:dyDescent="0.55000000000000004">
      <c r="A281" t="str">
        <f>VLOOKUP(L281,Customers!$A$2:$B$92,2,FALSE)</f>
        <v>Furia Bacalhau e Frutos do Mar</v>
      </c>
      <c r="B281" t="str">
        <f>VLOOKUP(L281,Customers!$A$2:$C$92,3,TRUE)</f>
        <v>Lino Rodriguez</v>
      </c>
      <c r="C281" t="str">
        <f t="shared" si="69"/>
        <v>Lino</v>
      </c>
      <c r="D281" s="8" t="str">
        <f t="shared" si="70"/>
        <v>Rodriguez</v>
      </c>
      <c r="E281" s="8" t="str">
        <f t="shared" si="71"/>
        <v>Rodriguez, Lino</v>
      </c>
      <c r="F281" s="8" t="str">
        <f t="shared" si="72"/>
        <v>Rodriguez, Lino</v>
      </c>
      <c r="G281" s="8" t="str">
        <f t="shared" si="73"/>
        <v>not an outlier</v>
      </c>
      <c r="H281" s="8" t="str">
        <f t="shared" si="74"/>
        <v>Not</v>
      </c>
      <c r="I281" s="8" t="str">
        <f t="shared" si="84"/>
        <v>no</v>
      </c>
      <c r="J281" s="10" t="str">
        <f t="shared" si="75"/>
        <v>no</v>
      </c>
      <c r="K281" s="10" t="str">
        <f t="shared" si="76"/>
        <v>no</v>
      </c>
      <c r="L281" t="s">
        <v>219</v>
      </c>
      <c r="M281">
        <v>10352</v>
      </c>
      <c r="N281">
        <v>54</v>
      </c>
      <c r="O281" t="s">
        <v>738</v>
      </c>
      <c r="P281" t="str">
        <f t="shared" si="77"/>
        <v>FURIB_10352_Tourtière</v>
      </c>
      <c r="Q281" t="str">
        <f t="shared" si="78"/>
        <v>10352</v>
      </c>
      <c r="R281" t="str">
        <f t="shared" si="79"/>
        <v>10352</v>
      </c>
      <c r="S281" t="str">
        <f t="shared" si="80"/>
        <v>Tourtière</v>
      </c>
      <c r="T281">
        <v>5.9</v>
      </c>
      <c r="U281">
        <v>20</v>
      </c>
      <c r="V281">
        <v>0.15</v>
      </c>
      <c r="W281">
        <f t="shared" si="81"/>
        <v>100.3</v>
      </c>
      <c r="X281" t="str">
        <f t="shared" si="82"/>
        <v>No</v>
      </c>
      <c r="Y281" s="2">
        <v>34681</v>
      </c>
      <c r="Z281" t="str">
        <f t="shared" si="68"/>
        <v/>
      </c>
      <c r="AA281" t="str">
        <f t="shared" si="83"/>
        <v/>
      </c>
      <c r="AB281" t="str" cm="1">
        <f t="array" ref="AB281">_xlfn.IFS(Y281&lt;DATE(1996,1,1),"",Y281&lt;DATE(1996,4,1),"Q1",Y281&lt;DATE(1996,7,1),"Q2",Y281&gt;=DATE(1996,7,1),"")</f>
        <v/>
      </c>
    </row>
    <row r="282" spans="1:28" ht="14.4" x14ac:dyDescent="0.55000000000000004">
      <c r="A282" t="str">
        <f>VLOOKUP(L282,Customers!$A$2:$B$92,2,FALSE)</f>
        <v>Piccolo und mehr</v>
      </c>
      <c r="B282" t="str">
        <f>VLOOKUP(L282,Customers!$A$2:$C$92,3,TRUE)</f>
        <v>Georg Pipps</v>
      </c>
      <c r="C282" t="str">
        <f t="shared" si="69"/>
        <v>Georg</v>
      </c>
      <c r="D282" s="8" t="str">
        <f t="shared" si="70"/>
        <v>Pipps</v>
      </c>
      <c r="E282" s="8" t="str">
        <f t="shared" si="71"/>
        <v>Pipps, Georg</v>
      </c>
      <c r="F282" s="8" t="str">
        <f t="shared" si="72"/>
        <v>Pipps, Georg</v>
      </c>
      <c r="G282" s="8" t="str">
        <f t="shared" si="73"/>
        <v>not an outlier</v>
      </c>
      <c r="H282" s="8" t="str">
        <f t="shared" si="74"/>
        <v>Not</v>
      </c>
      <c r="I282" s="8" t="str">
        <f t="shared" si="84"/>
        <v>no</v>
      </c>
      <c r="J282" s="10" t="str">
        <f t="shared" si="75"/>
        <v>no</v>
      </c>
      <c r="K282" s="10" t="str">
        <f t="shared" si="76"/>
        <v>no</v>
      </c>
      <c r="L282" t="s">
        <v>450</v>
      </c>
      <c r="M282">
        <v>10353</v>
      </c>
      <c r="N282">
        <v>11</v>
      </c>
      <c r="O282" t="s">
        <v>683</v>
      </c>
      <c r="P282" t="str">
        <f t="shared" si="77"/>
        <v>PICCO_10353_Queso Cabrales</v>
      </c>
      <c r="Q282" t="str">
        <f t="shared" si="78"/>
        <v>10353</v>
      </c>
      <c r="R282" t="str">
        <f t="shared" si="79"/>
        <v>10353</v>
      </c>
      <c r="S282" t="str">
        <f t="shared" si="80"/>
        <v>Queso Cabrales</v>
      </c>
      <c r="T282">
        <v>16.8</v>
      </c>
      <c r="U282">
        <v>12</v>
      </c>
      <c r="V282">
        <v>0.2</v>
      </c>
      <c r="W282">
        <f t="shared" si="81"/>
        <v>161.28000000000003</v>
      </c>
      <c r="X282" t="str">
        <f t="shared" si="82"/>
        <v>No</v>
      </c>
      <c r="Y282" s="2">
        <v>34682</v>
      </c>
      <c r="Z282" t="str">
        <f t="shared" si="68"/>
        <v/>
      </c>
      <c r="AA282" t="str">
        <f t="shared" si="83"/>
        <v/>
      </c>
      <c r="AB282" t="str" cm="1">
        <f t="array" ref="AB282">_xlfn.IFS(Y282&lt;DATE(1996,1,1),"",Y282&lt;DATE(1996,4,1),"Q1",Y282&lt;DATE(1996,7,1),"Q2",Y282&gt;=DATE(1996,7,1),"")</f>
        <v/>
      </c>
    </row>
    <row r="283" spans="1:28" ht="14.4" x14ac:dyDescent="0.55000000000000004">
      <c r="A283" t="str">
        <f>VLOOKUP(L283,Customers!$A$2:$B$92,2,FALSE)</f>
        <v>Piccolo und mehr</v>
      </c>
      <c r="B283" t="str">
        <f>VLOOKUP(L283,Customers!$A$2:$C$92,3,TRUE)</f>
        <v>Georg Pipps</v>
      </c>
      <c r="C283" t="str">
        <f t="shared" si="69"/>
        <v>Georg</v>
      </c>
      <c r="D283" s="8" t="str">
        <f t="shared" si="70"/>
        <v>Pipps</v>
      </c>
      <c r="E283" s="8" t="str">
        <f t="shared" si="71"/>
        <v>Pipps, Georg</v>
      </c>
      <c r="F283" s="8" t="str">
        <f t="shared" si="72"/>
        <v>Pipps, Georg</v>
      </c>
      <c r="G283" s="8" t="str">
        <f t="shared" si="73"/>
        <v>outlier</v>
      </c>
      <c r="H283" s="8" t="str">
        <f t="shared" si="74"/>
        <v>outlier</v>
      </c>
      <c r="I283" s="8" t="str">
        <f t="shared" si="84"/>
        <v>yes</v>
      </c>
      <c r="J283" s="10" t="str">
        <f t="shared" si="75"/>
        <v>yes</v>
      </c>
      <c r="K283" s="10" t="str">
        <f t="shared" si="76"/>
        <v>yes</v>
      </c>
      <c r="L283" t="s">
        <v>450</v>
      </c>
      <c r="M283">
        <v>10353</v>
      </c>
      <c r="N283">
        <v>38</v>
      </c>
      <c r="O283" t="s">
        <v>750</v>
      </c>
      <c r="P283" t="str">
        <f t="shared" si="77"/>
        <v>PICCO_10353_Côte de Blaye</v>
      </c>
      <c r="Q283" t="str">
        <f t="shared" si="78"/>
        <v>10353</v>
      </c>
      <c r="R283" t="str">
        <f t="shared" si="79"/>
        <v>10353</v>
      </c>
      <c r="S283" t="str">
        <f t="shared" si="80"/>
        <v>Côte de Blaye</v>
      </c>
      <c r="T283">
        <v>210.8</v>
      </c>
      <c r="U283">
        <v>50</v>
      </c>
      <c r="V283">
        <v>0.2</v>
      </c>
      <c r="W283">
        <f t="shared" si="81"/>
        <v>8432</v>
      </c>
      <c r="X283" t="str">
        <f t="shared" si="82"/>
        <v>No</v>
      </c>
      <c r="Y283" s="2">
        <v>34682</v>
      </c>
      <c r="Z283" t="str">
        <f t="shared" si="68"/>
        <v/>
      </c>
      <c r="AA283" t="str">
        <f t="shared" si="83"/>
        <v/>
      </c>
      <c r="AB283" t="str" cm="1">
        <f t="array" ref="AB283">_xlfn.IFS(Y283&lt;DATE(1996,1,1),"",Y283&lt;DATE(1996,4,1),"Q1",Y283&lt;DATE(1996,7,1),"Q2",Y283&gt;=DATE(1996,7,1),"")</f>
        <v/>
      </c>
    </row>
    <row r="284" spans="1:28" ht="14.4" x14ac:dyDescent="0.55000000000000004">
      <c r="A284" t="str">
        <f>VLOOKUP(L284,Customers!$A$2:$B$92,2,FALSE)</f>
        <v>Pericles Comidas clásicas</v>
      </c>
      <c r="B284" t="str">
        <f>VLOOKUP(L284,Customers!$A$2:$C$92,3,TRUE)</f>
        <v>Guillermo Fernández</v>
      </c>
      <c r="C284" t="str">
        <f t="shared" si="69"/>
        <v>Guillermo</v>
      </c>
      <c r="D284" s="8" t="str">
        <f t="shared" si="70"/>
        <v>Fernández</v>
      </c>
      <c r="E284" s="8" t="str">
        <f t="shared" si="71"/>
        <v>Fernández, Guillermo</v>
      </c>
      <c r="F284" s="8" t="str">
        <f t="shared" si="72"/>
        <v>Fernández, Guillermo</v>
      </c>
      <c r="G284" s="8" t="str">
        <f t="shared" si="73"/>
        <v>not an outlier</v>
      </c>
      <c r="H284" s="8" t="str">
        <f t="shared" si="74"/>
        <v>Not</v>
      </c>
      <c r="I284" s="8" t="str">
        <f t="shared" si="84"/>
        <v>no</v>
      </c>
      <c r="J284" s="10" t="str">
        <f t="shared" si="75"/>
        <v>no</v>
      </c>
      <c r="K284" s="10" t="str">
        <f t="shared" si="76"/>
        <v>no</v>
      </c>
      <c r="L284" t="s">
        <v>444</v>
      </c>
      <c r="M284">
        <v>10354</v>
      </c>
      <c r="N284">
        <v>1</v>
      </c>
      <c r="O284" t="s">
        <v>735</v>
      </c>
      <c r="P284" t="str">
        <f t="shared" si="77"/>
        <v>PERIC_10354_Chai</v>
      </c>
      <c r="Q284" t="str">
        <f t="shared" si="78"/>
        <v>10354</v>
      </c>
      <c r="R284" t="str">
        <f t="shared" si="79"/>
        <v>10354</v>
      </c>
      <c r="S284" t="str">
        <f t="shared" si="80"/>
        <v>Chai</v>
      </c>
      <c r="T284">
        <v>14.4</v>
      </c>
      <c r="U284">
        <v>12</v>
      </c>
      <c r="V284">
        <v>0</v>
      </c>
      <c r="W284">
        <f t="shared" si="81"/>
        <v>172.8</v>
      </c>
      <c r="X284" t="str">
        <f t="shared" si="82"/>
        <v>No</v>
      </c>
      <c r="Y284" s="2">
        <v>34683</v>
      </c>
      <c r="Z284" t="str">
        <f t="shared" si="68"/>
        <v/>
      </c>
      <c r="AA284" t="str">
        <f t="shared" si="83"/>
        <v/>
      </c>
      <c r="AB284" t="str" cm="1">
        <f t="array" ref="AB284">_xlfn.IFS(Y284&lt;DATE(1996,1,1),"",Y284&lt;DATE(1996,4,1),"Q1",Y284&lt;DATE(1996,7,1),"Q2",Y284&gt;=DATE(1996,7,1),"")</f>
        <v/>
      </c>
    </row>
    <row r="285" spans="1:28" ht="14.4" x14ac:dyDescent="0.55000000000000004">
      <c r="A285" t="str">
        <f>VLOOKUP(L285,Customers!$A$2:$B$92,2,FALSE)</f>
        <v>Pericles Comidas clásicas</v>
      </c>
      <c r="B285" t="str">
        <f>VLOOKUP(L285,Customers!$A$2:$C$92,3,TRUE)</f>
        <v>Guillermo Fernández</v>
      </c>
      <c r="C285" t="str">
        <f t="shared" si="69"/>
        <v>Guillermo</v>
      </c>
      <c r="D285" s="8" t="str">
        <f t="shared" si="70"/>
        <v>Fernández</v>
      </c>
      <c r="E285" s="8" t="str">
        <f t="shared" si="71"/>
        <v>Fernández, Guillermo</v>
      </c>
      <c r="F285" s="8" t="str">
        <f t="shared" si="72"/>
        <v>Fernández, Guillermo</v>
      </c>
      <c r="G285" s="8" t="str">
        <f t="shared" si="73"/>
        <v>not an outlier</v>
      </c>
      <c r="H285" s="8" t="str">
        <f t="shared" si="74"/>
        <v>Not</v>
      </c>
      <c r="I285" s="8" t="str">
        <f t="shared" si="84"/>
        <v>no</v>
      </c>
      <c r="J285" s="10" t="str">
        <f t="shared" si="75"/>
        <v>no</v>
      </c>
      <c r="K285" s="10" t="str">
        <f t="shared" si="76"/>
        <v>no</v>
      </c>
      <c r="L285" t="s">
        <v>444</v>
      </c>
      <c r="M285">
        <v>10354</v>
      </c>
      <c r="N285">
        <v>29</v>
      </c>
      <c r="O285" t="s">
        <v>722</v>
      </c>
      <c r="P285" t="str">
        <f t="shared" si="77"/>
        <v>PERIC_10354_Thüringer Rostbratwurst</v>
      </c>
      <c r="Q285" t="str">
        <f t="shared" si="78"/>
        <v>10354</v>
      </c>
      <c r="R285" t="str">
        <f t="shared" si="79"/>
        <v>10354</v>
      </c>
      <c r="S285" t="str">
        <f t="shared" si="80"/>
        <v>Thüringer Rostbratwurst</v>
      </c>
      <c r="T285">
        <v>99</v>
      </c>
      <c r="U285">
        <v>4</v>
      </c>
      <c r="V285">
        <v>0</v>
      </c>
      <c r="W285">
        <f t="shared" si="81"/>
        <v>396</v>
      </c>
      <c r="X285" t="str">
        <f t="shared" si="82"/>
        <v>No</v>
      </c>
      <c r="Y285" s="2">
        <v>34683</v>
      </c>
      <c r="Z285" t="str">
        <f t="shared" si="68"/>
        <v/>
      </c>
      <c r="AA285" t="str">
        <f t="shared" si="83"/>
        <v/>
      </c>
      <c r="AB285" t="str" cm="1">
        <f t="array" ref="AB285">_xlfn.IFS(Y285&lt;DATE(1996,1,1),"",Y285&lt;DATE(1996,4,1),"Q1",Y285&lt;DATE(1996,7,1),"Q2",Y285&gt;=DATE(1996,7,1),"")</f>
        <v/>
      </c>
    </row>
    <row r="286" spans="1:28" ht="14.4" x14ac:dyDescent="0.55000000000000004">
      <c r="A286" t="str">
        <f>VLOOKUP(L286,Customers!$A$2:$B$92,2,FALSE)</f>
        <v>Around the Horn</v>
      </c>
      <c r="B286" t="str">
        <f>VLOOKUP(L286,Customers!$A$2:$C$92,3,TRUE)</f>
        <v>Thomas Hardy</v>
      </c>
      <c r="C286" t="str">
        <f t="shared" si="69"/>
        <v>Thomas</v>
      </c>
      <c r="D286" s="8" t="str">
        <f t="shared" si="70"/>
        <v>Hardy</v>
      </c>
      <c r="E286" s="8" t="str">
        <f t="shared" si="71"/>
        <v>Hardy, Thomas</v>
      </c>
      <c r="F286" s="8" t="str">
        <f t="shared" si="72"/>
        <v>Hardy, Thomas</v>
      </c>
      <c r="G286" s="8" t="str">
        <f t="shared" si="73"/>
        <v>not an outlier</v>
      </c>
      <c r="H286" s="8" t="str">
        <f t="shared" si="74"/>
        <v>Not</v>
      </c>
      <c r="I286" s="8" t="str">
        <f t="shared" si="84"/>
        <v>no</v>
      </c>
      <c r="J286" s="10" t="str">
        <f t="shared" si="75"/>
        <v>no</v>
      </c>
      <c r="K286" s="10" t="str">
        <f t="shared" si="76"/>
        <v>no</v>
      </c>
      <c r="L286" t="s">
        <v>34</v>
      </c>
      <c r="M286">
        <v>10355</v>
      </c>
      <c r="N286">
        <v>24</v>
      </c>
      <c r="O286" t="s">
        <v>698</v>
      </c>
      <c r="P286" t="str">
        <f t="shared" si="77"/>
        <v>AROUT_10355_Guaraná Fantástica</v>
      </c>
      <c r="Q286" t="str">
        <f t="shared" si="78"/>
        <v>10355</v>
      </c>
      <c r="R286" t="str">
        <f t="shared" si="79"/>
        <v>10355</v>
      </c>
      <c r="S286" t="str">
        <f t="shared" si="80"/>
        <v>Guaraná Fantástica</v>
      </c>
      <c r="T286">
        <v>3.6</v>
      </c>
      <c r="U286">
        <v>25</v>
      </c>
      <c r="V286">
        <v>0</v>
      </c>
      <c r="W286">
        <f t="shared" si="81"/>
        <v>90</v>
      </c>
      <c r="X286" t="str">
        <f t="shared" si="82"/>
        <v>No</v>
      </c>
      <c r="Y286" s="2">
        <v>34684</v>
      </c>
      <c r="Z286" t="str">
        <f t="shared" si="68"/>
        <v/>
      </c>
      <c r="AA286" t="str">
        <f t="shared" si="83"/>
        <v/>
      </c>
      <c r="AB286" t="str" cm="1">
        <f t="array" ref="AB286">_xlfn.IFS(Y286&lt;DATE(1996,1,1),"",Y286&lt;DATE(1996,4,1),"Q1",Y286&lt;DATE(1996,7,1),"Q2",Y286&gt;=DATE(1996,7,1),"")</f>
        <v/>
      </c>
    </row>
    <row r="287" spans="1:28" ht="14.4" x14ac:dyDescent="0.55000000000000004">
      <c r="A287" t="str">
        <f>VLOOKUP(L287,Customers!$A$2:$B$92,2,FALSE)</f>
        <v>Around the Horn</v>
      </c>
      <c r="B287" t="str">
        <f>VLOOKUP(L287,Customers!$A$2:$C$92,3,TRUE)</f>
        <v>Thomas Hardy</v>
      </c>
      <c r="C287" t="str">
        <f t="shared" si="69"/>
        <v>Thomas</v>
      </c>
      <c r="D287" s="8" t="str">
        <f t="shared" si="70"/>
        <v>Hardy</v>
      </c>
      <c r="E287" s="8" t="str">
        <f t="shared" si="71"/>
        <v>Hardy, Thomas</v>
      </c>
      <c r="F287" s="8" t="str">
        <f t="shared" si="72"/>
        <v>Hardy, Thomas</v>
      </c>
      <c r="G287" s="8" t="str">
        <f t="shared" si="73"/>
        <v>not an outlier</v>
      </c>
      <c r="H287" s="8" t="str">
        <f t="shared" si="74"/>
        <v>Not</v>
      </c>
      <c r="I287" s="8" t="str">
        <f t="shared" si="84"/>
        <v>no</v>
      </c>
      <c r="J287" s="10" t="str">
        <f t="shared" si="75"/>
        <v>no</v>
      </c>
      <c r="K287" s="10" t="str">
        <f t="shared" si="76"/>
        <v>no</v>
      </c>
      <c r="L287" t="s">
        <v>34</v>
      </c>
      <c r="M287">
        <v>10355</v>
      </c>
      <c r="N287">
        <v>57</v>
      </c>
      <c r="O287" t="s">
        <v>691</v>
      </c>
      <c r="P287" t="str">
        <f t="shared" si="77"/>
        <v>AROUT_10355_Ravioli Angelo</v>
      </c>
      <c r="Q287" t="str">
        <f t="shared" si="78"/>
        <v>10355</v>
      </c>
      <c r="R287" t="str">
        <f t="shared" si="79"/>
        <v>10355</v>
      </c>
      <c r="S287" t="str">
        <f t="shared" si="80"/>
        <v>Ravioli Angelo</v>
      </c>
      <c r="T287">
        <v>15.6</v>
      </c>
      <c r="U287">
        <v>25</v>
      </c>
      <c r="V287">
        <v>0</v>
      </c>
      <c r="W287">
        <f t="shared" si="81"/>
        <v>390</v>
      </c>
      <c r="X287" t="str">
        <f t="shared" si="82"/>
        <v>No</v>
      </c>
      <c r="Y287" s="2">
        <v>34684</v>
      </c>
      <c r="Z287" t="str">
        <f t="shared" si="68"/>
        <v/>
      </c>
      <c r="AA287" t="str">
        <f t="shared" si="83"/>
        <v/>
      </c>
      <c r="AB287" t="str" cm="1">
        <f t="array" ref="AB287">_xlfn.IFS(Y287&lt;DATE(1996,1,1),"",Y287&lt;DATE(1996,4,1),"Q1",Y287&lt;DATE(1996,7,1),"Q2",Y287&gt;=DATE(1996,7,1),"")</f>
        <v/>
      </c>
    </row>
    <row r="288" spans="1:28" ht="14.4" x14ac:dyDescent="0.55000000000000004">
      <c r="A288" t="str">
        <f>VLOOKUP(L288,Customers!$A$2:$B$92,2,FALSE)</f>
        <v>Die Wandernde Kuh</v>
      </c>
      <c r="B288" t="str">
        <f>VLOOKUP(L288,Customers!$A$2:$C$92,3,TRUE)</f>
        <v>Rita Müller</v>
      </c>
      <c r="C288" t="str">
        <f t="shared" si="69"/>
        <v>Rita</v>
      </c>
      <c r="D288" s="8" t="str">
        <f t="shared" si="70"/>
        <v>Müller</v>
      </c>
      <c r="E288" s="8" t="str">
        <f t="shared" si="71"/>
        <v>Müller, Rita</v>
      </c>
      <c r="F288" s="8" t="str">
        <f t="shared" si="72"/>
        <v>Müller, Rita</v>
      </c>
      <c r="G288" s="8" t="str">
        <f t="shared" si="73"/>
        <v>not an outlier</v>
      </c>
      <c r="H288" s="8" t="str">
        <f t="shared" si="74"/>
        <v>Not</v>
      </c>
      <c r="I288" s="8" t="str">
        <f t="shared" si="84"/>
        <v>no</v>
      </c>
      <c r="J288" s="10" t="str">
        <f t="shared" si="75"/>
        <v>no</v>
      </c>
      <c r="K288" s="10" t="str">
        <f t="shared" si="76"/>
        <v>no</v>
      </c>
      <c r="L288" t="s">
        <v>633</v>
      </c>
      <c r="M288">
        <v>10356</v>
      </c>
      <c r="N288">
        <v>31</v>
      </c>
      <c r="O288" t="s">
        <v>695</v>
      </c>
      <c r="P288" t="str">
        <f t="shared" si="77"/>
        <v>WANDK_10356_Gorgonzola Telino</v>
      </c>
      <c r="Q288" t="str">
        <f t="shared" si="78"/>
        <v>10356</v>
      </c>
      <c r="R288" t="str">
        <f t="shared" si="79"/>
        <v>10356</v>
      </c>
      <c r="S288" t="str">
        <f t="shared" si="80"/>
        <v>Gorgonzola Telino</v>
      </c>
      <c r="T288">
        <v>10</v>
      </c>
      <c r="U288">
        <v>30</v>
      </c>
      <c r="V288">
        <v>0</v>
      </c>
      <c r="W288">
        <f t="shared" si="81"/>
        <v>300</v>
      </c>
      <c r="X288" t="str">
        <f t="shared" si="82"/>
        <v>No</v>
      </c>
      <c r="Y288" s="2">
        <v>34687</v>
      </c>
      <c r="Z288" t="str">
        <f t="shared" si="68"/>
        <v/>
      </c>
      <c r="AA288" t="str">
        <f t="shared" si="83"/>
        <v/>
      </c>
      <c r="AB288" t="str" cm="1">
        <f t="array" ref="AB288">_xlfn.IFS(Y288&lt;DATE(1996,1,1),"",Y288&lt;DATE(1996,4,1),"Q1",Y288&lt;DATE(1996,7,1),"Q2",Y288&gt;=DATE(1996,7,1),"")</f>
        <v/>
      </c>
    </row>
    <row r="289" spans="1:28" ht="14.4" x14ac:dyDescent="0.55000000000000004">
      <c r="A289" t="str">
        <f>VLOOKUP(L289,Customers!$A$2:$B$92,2,FALSE)</f>
        <v>Die Wandernde Kuh</v>
      </c>
      <c r="B289" t="str">
        <f>VLOOKUP(L289,Customers!$A$2:$C$92,3,TRUE)</f>
        <v>Rita Müller</v>
      </c>
      <c r="C289" t="str">
        <f t="shared" si="69"/>
        <v>Rita</v>
      </c>
      <c r="D289" s="8" t="str">
        <f t="shared" si="70"/>
        <v>Müller</v>
      </c>
      <c r="E289" s="8" t="str">
        <f t="shared" si="71"/>
        <v>Müller, Rita</v>
      </c>
      <c r="F289" s="8" t="str">
        <f t="shared" si="72"/>
        <v>Müller, Rita</v>
      </c>
      <c r="G289" s="8" t="str">
        <f t="shared" si="73"/>
        <v>not an outlier</v>
      </c>
      <c r="H289" s="8" t="str">
        <f t="shared" si="74"/>
        <v>Not</v>
      </c>
      <c r="I289" s="8" t="str">
        <f t="shared" si="84"/>
        <v>no</v>
      </c>
      <c r="J289" s="10" t="str">
        <f t="shared" si="75"/>
        <v>no</v>
      </c>
      <c r="K289" s="10" t="str">
        <f t="shared" si="76"/>
        <v>no</v>
      </c>
      <c r="L289" t="s">
        <v>633</v>
      </c>
      <c r="M289">
        <v>10356</v>
      </c>
      <c r="N289">
        <v>55</v>
      </c>
      <c r="O289" t="s">
        <v>699</v>
      </c>
      <c r="P289" t="str">
        <f t="shared" si="77"/>
        <v>WANDK_10356_Pâté chinois</v>
      </c>
      <c r="Q289" t="str">
        <f t="shared" si="78"/>
        <v>10356</v>
      </c>
      <c r="R289" t="str">
        <f t="shared" si="79"/>
        <v>10356</v>
      </c>
      <c r="S289" t="str">
        <f t="shared" si="80"/>
        <v>Pâté chinois</v>
      </c>
      <c r="T289">
        <v>19.2</v>
      </c>
      <c r="U289">
        <v>12</v>
      </c>
      <c r="V289">
        <v>0</v>
      </c>
      <c r="W289">
        <f t="shared" si="81"/>
        <v>230.39999999999998</v>
      </c>
      <c r="X289" t="str">
        <f t="shared" si="82"/>
        <v>No</v>
      </c>
      <c r="Y289" s="2">
        <v>34687</v>
      </c>
      <c r="Z289" t="str">
        <f t="shared" si="68"/>
        <v/>
      </c>
      <c r="AA289" t="str">
        <f t="shared" si="83"/>
        <v/>
      </c>
      <c r="AB289" t="str" cm="1">
        <f t="array" ref="AB289">_xlfn.IFS(Y289&lt;DATE(1996,1,1),"",Y289&lt;DATE(1996,4,1),"Q1",Y289&lt;DATE(1996,7,1),"Q2",Y289&gt;=DATE(1996,7,1),"")</f>
        <v/>
      </c>
    </row>
    <row r="290" spans="1:28" ht="14.4" x14ac:dyDescent="0.55000000000000004">
      <c r="A290" t="str">
        <f>VLOOKUP(L290,Customers!$A$2:$B$92,2,FALSE)</f>
        <v>Die Wandernde Kuh</v>
      </c>
      <c r="B290" t="str">
        <f>VLOOKUP(L290,Customers!$A$2:$C$92,3,TRUE)</f>
        <v>Rita Müller</v>
      </c>
      <c r="C290" t="str">
        <f t="shared" si="69"/>
        <v>Rita</v>
      </c>
      <c r="D290" s="8" t="str">
        <f t="shared" si="70"/>
        <v>Müller</v>
      </c>
      <c r="E290" s="8" t="str">
        <f t="shared" si="71"/>
        <v>Müller, Rita</v>
      </c>
      <c r="F290" s="8" t="str">
        <f t="shared" si="72"/>
        <v>Müller, Rita</v>
      </c>
      <c r="G290" s="8" t="str">
        <f t="shared" si="73"/>
        <v>not an outlier</v>
      </c>
      <c r="H290" s="8" t="str">
        <f t="shared" si="74"/>
        <v>Not</v>
      </c>
      <c r="I290" s="8" t="str">
        <f t="shared" si="84"/>
        <v>no</v>
      </c>
      <c r="J290" s="10" t="str">
        <f t="shared" si="75"/>
        <v>no</v>
      </c>
      <c r="K290" s="10" t="str">
        <f t="shared" si="76"/>
        <v>no</v>
      </c>
      <c r="L290" t="s">
        <v>633</v>
      </c>
      <c r="M290">
        <v>10356</v>
      </c>
      <c r="N290">
        <v>69</v>
      </c>
      <c r="O290" t="s">
        <v>743</v>
      </c>
      <c r="P290" t="str">
        <f t="shared" si="77"/>
        <v>WANDK_10356_Gudbrandsdalsost</v>
      </c>
      <c r="Q290" t="str">
        <f t="shared" si="78"/>
        <v>10356</v>
      </c>
      <c r="R290" t="str">
        <f t="shared" si="79"/>
        <v>10356</v>
      </c>
      <c r="S290" t="str">
        <f t="shared" si="80"/>
        <v>Gudbrandsdalsost</v>
      </c>
      <c r="T290">
        <v>28.8</v>
      </c>
      <c r="U290">
        <v>20</v>
      </c>
      <c r="V290">
        <v>0</v>
      </c>
      <c r="W290">
        <f t="shared" si="81"/>
        <v>576</v>
      </c>
      <c r="X290" t="str">
        <f t="shared" si="82"/>
        <v>No</v>
      </c>
      <c r="Y290" s="2">
        <v>34687</v>
      </c>
      <c r="Z290" t="str">
        <f t="shared" si="68"/>
        <v/>
      </c>
      <c r="AA290" t="str">
        <f t="shared" si="83"/>
        <v/>
      </c>
      <c r="AB290" t="str" cm="1">
        <f t="array" ref="AB290">_xlfn.IFS(Y290&lt;DATE(1996,1,1),"",Y290&lt;DATE(1996,4,1),"Q1",Y290&lt;DATE(1996,7,1),"Q2",Y290&gt;=DATE(1996,7,1),"")</f>
        <v/>
      </c>
    </row>
    <row r="291" spans="1:28" ht="14.4" x14ac:dyDescent="0.55000000000000004">
      <c r="A291" t="str">
        <f>VLOOKUP(L291,Customers!$A$2:$B$92,2,FALSE)</f>
        <v>LILA-Supermercado</v>
      </c>
      <c r="B291" t="str">
        <f>VLOOKUP(L291,Customers!$A$2:$C$92,3,TRUE)</f>
        <v>Carlos González</v>
      </c>
      <c r="C291" t="str">
        <f t="shared" si="69"/>
        <v>Carlos</v>
      </c>
      <c r="D291" s="8" t="str">
        <f t="shared" si="70"/>
        <v>González</v>
      </c>
      <c r="E291" s="8" t="str">
        <f t="shared" si="71"/>
        <v>González, Carlos</v>
      </c>
      <c r="F291" s="8" t="str">
        <f t="shared" si="72"/>
        <v>González, Carlos</v>
      </c>
      <c r="G291" s="8" t="str">
        <f t="shared" si="73"/>
        <v>not an outlier</v>
      </c>
      <c r="H291" s="8" t="str">
        <f t="shared" si="74"/>
        <v>Not</v>
      </c>
      <c r="I291" s="8" t="str">
        <f t="shared" si="84"/>
        <v>no</v>
      </c>
      <c r="J291" s="10" t="str">
        <f t="shared" si="75"/>
        <v>no</v>
      </c>
      <c r="K291" s="10" t="str">
        <f t="shared" si="76"/>
        <v>no</v>
      </c>
      <c r="L291" t="s">
        <v>355</v>
      </c>
      <c r="M291">
        <v>10357</v>
      </c>
      <c r="N291">
        <v>10</v>
      </c>
      <c r="O291" t="s">
        <v>724</v>
      </c>
      <c r="P291" t="str">
        <f t="shared" si="77"/>
        <v>LILAS_10357_Ikura</v>
      </c>
      <c r="Q291" t="str">
        <f t="shared" si="78"/>
        <v>10357</v>
      </c>
      <c r="R291" t="str">
        <f t="shared" si="79"/>
        <v>10357</v>
      </c>
      <c r="S291" t="str">
        <f t="shared" si="80"/>
        <v>Ikura</v>
      </c>
      <c r="T291">
        <v>24.8</v>
      </c>
      <c r="U291">
        <v>30</v>
      </c>
      <c r="V291">
        <v>0.2</v>
      </c>
      <c r="W291">
        <f t="shared" si="81"/>
        <v>595.20000000000005</v>
      </c>
      <c r="X291" t="str">
        <f t="shared" si="82"/>
        <v>No</v>
      </c>
      <c r="Y291" s="2">
        <v>34688</v>
      </c>
      <c r="Z291" t="str">
        <f t="shared" si="68"/>
        <v/>
      </c>
      <c r="AA291" t="str">
        <f t="shared" si="83"/>
        <v/>
      </c>
      <c r="AB291" t="str" cm="1">
        <f t="array" ref="AB291">_xlfn.IFS(Y291&lt;DATE(1996,1,1),"",Y291&lt;DATE(1996,4,1),"Q1",Y291&lt;DATE(1996,7,1),"Q2",Y291&gt;=DATE(1996,7,1),"")</f>
        <v/>
      </c>
    </row>
    <row r="292" spans="1:28" ht="14.4" x14ac:dyDescent="0.55000000000000004">
      <c r="A292" t="str">
        <f>VLOOKUP(L292,Customers!$A$2:$B$92,2,FALSE)</f>
        <v>LILA-Supermercado</v>
      </c>
      <c r="B292" t="str">
        <f>VLOOKUP(L292,Customers!$A$2:$C$92,3,TRUE)</f>
        <v>Carlos González</v>
      </c>
      <c r="C292" t="str">
        <f t="shared" si="69"/>
        <v>Carlos</v>
      </c>
      <c r="D292" s="8" t="str">
        <f t="shared" si="70"/>
        <v>González</v>
      </c>
      <c r="E292" s="8" t="str">
        <f t="shared" si="71"/>
        <v>González, Carlos</v>
      </c>
      <c r="F292" s="8" t="str">
        <f t="shared" si="72"/>
        <v>González, Carlos</v>
      </c>
      <c r="G292" s="8" t="str">
        <f t="shared" si="73"/>
        <v>not an outlier</v>
      </c>
      <c r="H292" s="8" t="str">
        <f t="shared" si="74"/>
        <v>Not</v>
      </c>
      <c r="I292" s="8" t="str">
        <f t="shared" si="84"/>
        <v>no</v>
      </c>
      <c r="J292" s="10" t="str">
        <f t="shared" si="75"/>
        <v>no</v>
      </c>
      <c r="K292" s="10" t="str">
        <f t="shared" si="76"/>
        <v>no</v>
      </c>
      <c r="L292" t="s">
        <v>355</v>
      </c>
      <c r="M292">
        <v>10357</v>
      </c>
      <c r="N292">
        <v>26</v>
      </c>
      <c r="O292" t="s">
        <v>751</v>
      </c>
      <c r="P292" t="str">
        <f t="shared" si="77"/>
        <v>LILAS_10357_Gumbär Gummibärchen</v>
      </c>
      <c r="Q292" t="str">
        <f t="shared" si="78"/>
        <v>10357</v>
      </c>
      <c r="R292" t="str">
        <f t="shared" si="79"/>
        <v>10357</v>
      </c>
      <c r="S292" t="str">
        <f t="shared" si="80"/>
        <v>Gumbär Gummibärchen</v>
      </c>
      <c r="T292">
        <v>24.9</v>
      </c>
      <c r="U292">
        <v>16</v>
      </c>
      <c r="V292">
        <v>0</v>
      </c>
      <c r="W292">
        <f t="shared" si="81"/>
        <v>398.4</v>
      </c>
      <c r="X292" t="str">
        <f t="shared" si="82"/>
        <v>No</v>
      </c>
      <c r="Y292" s="2">
        <v>34688</v>
      </c>
      <c r="Z292" t="str">
        <f t="shared" si="68"/>
        <v/>
      </c>
      <c r="AA292" t="str">
        <f t="shared" si="83"/>
        <v/>
      </c>
      <c r="AB292" t="str" cm="1">
        <f t="array" ref="AB292">_xlfn.IFS(Y292&lt;DATE(1996,1,1),"",Y292&lt;DATE(1996,4,1),"Q1",Y292&lt;DATE(1996,7,1),"Q2",Y292&gt;=DATE(1996,7,1),"")</f>
        <v/>
      </c>
    </row>
    <row r="293" spans="1:28" ht="14.4" x14ac:dyDescent="0.55000000000000004">
      <c r="A293" t="str">
        <f>VLOOKUP(L293,Customers!$A$2:$B$92,2,FALSE)</f>
        <v>LILA-Supermercado</v>
      </c>
      <c r="B293" t="str">
        <f>VLOOKUP(L293,Customers!$A$2:$C$92,3,TRUE)</f>
        <v>Carlos González</v>
      </c>
      <c r="C293" t="str">
        <f t="shared" si="69"/>
        <v>Carlos</v>
      </c>
      <c r="D293" s="8" t="str">
        <f t="shared" si="70"/>
        <v>González</v>
      </c>
      <c r="E293" s="8" t="str">
        <f t="shared" si="71"/>
        <v>González, Carlos</v>
      </c>
      <c r="F293" s="8" t="str">
        <f t="shared" si="72"/>
        <v>González, Carlos</v>
      </c>
      <c r="G293" s="8" t="str">
        <f t="shared" si="73"/>
        <v>not an outlier</v>
      </c>
      <c r="H293" s="8" t="str">
        <f t="shared" si="74"/>
        <v>Not</v>
      </c>
      <c r="I293" s="8" t="str">
        <f t="shared" si="84"/>
        <v>no</v>
      </c>
      <c r="J293" s="10" t="str">
        <f t="shared" si="75"/>
        <v>no</v>
      </c>
      <c r="K293" s="10" t="str">
        <f t="shared" si="76"/>
        <v>no</v>
      </c>
      <c r="L293" t="s">
        <v>355</v>
      </c>
      <c r="M293">
        <v>10357</v>
      </c>
      <c r="N293">
        <v>60</v>
      </c>
      <c r="O293" t="s">
        <v>694</v>
      </c>
      <c r="P293" t="str">
        <f t="shared" si="77"/>
        <v>LILAS_10357_Camembert Pierrot</v>
      </c>
      <c r="Q293" t="str">
        <f t="shared" si="78"/>
        <v>10357</v>
      </c>
      <c r="R293" t="str">
        <f t="shared" si="79"/>
        <v>10357</v>
      </c>
      <c r="S293" t="str">
        <f t="shared" si="80"/>
        <v>Camembert Pierrot</v>
      </c>
      <c r="T293">
        <v>27.2</v>
      </c>
      <c r="U293">
        <v>8</v>
      </c>
      <c r="V293">
        <v>0.2</v>
      </c>
      <c r="W293">
        <f t="shared" si="81"/>
        <v>174.08</v>
      </c>
      <c r="X293" t="str">
        <f t="shared" si="82"/>
        <v>No</v>
      </c>
      <c r="Y293" s="2">
        <v>34688</v>
      </c>
      <c r="Z293" t="str">
        <f t="shared" si="68"/>
        <v/>
      </c>
      <c r="AA293" t="str">
        <f t="shared" si="83"/>
        <v/>
      </c>
      <c r="AB293" t="str" cm="1">
        <f t="array" ref="AB293">_xlfn.IFS(Y293&lt;DATE(1996,1,1),"",Y293&lt;DATE(1996,4,1),"Q1",Y293&lt;DATE(1996,7,1),"Q2",Y293&gt;=DATE(1996,7,1),"")</f>
        <v/>
      </c>
    </row>
    <row r="294" spans="1:28" ht="14.4" x14ac:dyDescent="0.55000000000000004">
      <c r="A294" t="str">
        <f>VLOOKUP(L294,Customers!$A$2:$B$92,2,FALSE)</f>
        <v>La maison d'Asie</v>
      </c>
      <c r="B294" t="str">
        <f>VLOOKUP(L294,Customers!$A$2:$C$92,3,TRUE)</f>
        <v>Annette Roulet</v>
      </c>
      <c r="C294" t="str">
        <f t="shared" si="69"/>
        <v>Annette</v>
      </c>
      <c r="D294" s="8" t="str">
        <f t="shared" si="70"/>
        <v>Roulet</v>
      </c>
      <c r="E294" s="8" t="str">
        <f t="shared" si="71"/>
        <v>Roulet, Annette</v>
      </c>
      <c r="F294" s="8" t="str">
        <f t="shared" si="72"/>
        <v>Roulet, Annette</v>
      </c>
      <c r="G294" s="8" t="str">
        <f t="shared" si="73"/>
        <v>not an outlier</v>
      </c>
      <c r="H294" s="8" t="str">
        <f t="shared" si="74"/>
        <v>Not</v>
      </c>
      <c r="I294" s="8" t="str">
        <f t="shared" si="84"/>
        <v>no</v>
      </c>
      <c r="J294" s="10" t="str">
        <f t="shared" si="75"/>
        <v>no</v>
      </c>
      <c r="K294" s="10" t="str">
        <f t="shared" si="76"/>
        <v>no</v>
      </c>
      <c r="L294" t="s">
        <v>318</v>
      </c>
      <c r="M294">
        <v>10358</v>
      </c>
      <c r="N294">
        <v>24</v>
      </c>
      <c r="O294" t="s">
        <v>698</v>
      </c>
      <c r="P294" t="str">
        <f t="shared" si="77"/>
        <v>LAMAI_10358_Guaraná Fantástica</v>
      </c>
      <c r="Q294" t="str">
        <f t="shared" si="78"/>
        <v>10358</v>
      </c>
      <c r="R294" t="str">
        <f t="shared" si="79"/>
        <v>10358</v>
      </c>
      <c r="S294" t="str">
        <f t="shared" si="80"/>
        <v>Guaraná Fantástica</v>
      </c>
      <c r="T294">
        <v>3.6</v>
      </c>
      <c r="U294">
        <v>10</v>
      </c>
      <c r="V294">
        <v>0.05</v>
      </c>
      <c r="W294">
        <f t="shared" si="81"/>
        <v>34.199999999999996</v>
      </c>
      <c r="X294" t="str">
        <f t="shared" si="82"/>
        <v>No</v>
      </c>
      <c r="Y294" s="2">
        <v>34689</v>
      </c>
      <c r="Z294" t="str">
        <f t="shared" si="68"/>
        <v/>
      </c>
      <c r="AA294" t="str">
        <f t="shared" si="83"/>
        <v/>
      </c>
      <c r="AB294" t="str" cm="1">
        <f t="array" ref="AB294">_xlfn.IFS(Y294&lt;DATE(1996,1,1),"",Y294&lt;DATE(1996,4,1),"Q1",Y294&lt;DATE(1996,7,1),"Q2",Y294&gt;=DATE(1996,7,1),"")</f>
        <v/>
      </c>
    </row>
    <row r="295" spans="1:28" ht="14.4" x14ac:dyDescent="0.55000000000000004">
      <c r="A295" t="str">
        <f>VLOOKUP(L295,Customers!$A$2:$B$92,2,FALSE)</f>
        <v>La maison d'Asie</v>
      </c>
      <c r="B295" t="str">
        <f>VLOOKUP(L295,Customers!$A$2:$C$92,3,TRUE)</f>
        <v>Annette Roulet</v>
      </c>
      <c r="C295" t="str">
        <f t="shared" si="69"/>
        <v>Annette</v>
      </c>
      <c r="D295" s="8" t="str">
        <f t="shared" si="70"/>
        <v>Roulet</v>
      </c>
      <c r="E295" s="8" t="str">
        <f t="shared" si="71"/>
        <v>Roulet, Annette</v>
      </c>
      <c r="F295" s="8" t="str">
        <f t="shared" si="72"/>
        <v>Roulet, Annette</v>
      </c>
      <c r="G295" s="8" t="str">
        <f t="shared" si="73"/>
        <v>not an outlier</v>
      </c>
      <c r="H295" s="8" t="str">
        <f t="shared" si="74"/>
        <v>Not</v>
      </c>
      <c r="I295" s="8" t="str">
        <f t="shared" si="84"/>
        <v>no</v>
      </c>
      <c r="J295" s="10" t="str">
        <f t="shared" si="75"/>
        <v>no</v>
      </c>
      <c r="K295" s="10" t="str">
        <f t="shared" si="76"/>
        <v>no</v>
      </c>
      <c r="L295" t="s">
        <v>318</v>
      </c>
      <c r="M295">
        <v>10358</v>
      </c>
      <c r="N295">
        <v>34</v>
      </c>
      <c r="O295" t="s">
        <v>736</v>
      </c>
      <c r="P295" t="str">
        <f t="shared" si="77"/>
        <v>LAMAI_10358_Sasquatch Ale</v>
      </c>
      <c r="Q295" t="str">
        <f t="shared" si="78"/>
        <v>10358</v>
      </c>
      <c r="R295" t="str">
        <f t="shared" si="79"/>
        <v>10358</v>
      </c>
      <c r="S295" t="str">
        <f t="shared" si="80"/>
        <v>Sasquatch Ale</v>
      </c>
      <c r="T295">
        <v>11.2</v>
      </c>
      <c r="U295">
        <v>10</v>
      </c>
      <c r="V295">
        <v>0.05</v>
      </c>
      <c r="W295">
        <f t="shared" si="81"/>
        <v>106.39999999999999</v>
      </c>
      <c r="X295" t="str">
        <f t="shared" si="82"/>
        <v>No</v>
      </c>
      <c r="Y295" s="2">
        <v>34689</v>
      </c>
      <c r="Z295" t="str">
        <f t="shared" si="68"/>
        <v/>
      </c>
      <c r="AA295" t="str">
        <f t="shared" si="83"/>
        <v/>
      </c>
      <c r="AB295" t="str" cm="1">
        <f t="array" ref="AB295">_xlfn.IFS(Y295&lt;DATE(1996,1,1),"",Y295&lt;DATE(1996,4,1),"Q1",Y295&lt;DATE(1996,7,1),"Q2",Y295&gt;=DATE(1996,7,1),"")</f>
        <v/>
      </c>
    </row>
    <row r="296" spans="1:28" ht="14.4" x14ac:dyDescent="0.55000000000000004">
      <c r="A296" t="str">
        <f>VLOOKUP(L296,Customers!$A$2:$B$92,2,FALSE)</f>
        <v>La maison d'Asie</v>
      </c>
      <c r="B296" t="str">
        <f>VLOOKUP(L296,Customers!$A$2:$C$92,3,TRUE)</f>
        <v>Annette Roulet</v>
      </c>
      <c r="C296" t="str">
        <f t="shared" si="69"/>
        <v>Annette</v>
      </c>
      <c r="D296" s="8" t="str">
        <f t="shared" si="70"/>
        <v>Roulet</v>
      </c>
      <c r="E296" s="8" t="str">
        <f t="shared" si="71"/>
        <v>Roulet, Annette</v>
      </c>
      <c r="F296" s="8" t="str">
        <f t="shared" si="72"/>
        <v>Roulet, Annette</v>
      </c>
      <c r="G296" s="8" t="str">
        <f t="shared" si="73"/>
        <v>not an outlier</v>
      </c>
      <c r="H296" s="8" t="str">
        <f t="shared" si="74"/>
        <v>Not</v>
      </c>
      <c r="I296" s="8" t="str">
        <f t="shared" si="84"/>
        <v>no</v>
      </c>
      <c r="J296" s="10" t="str">
        <f t="shared" si="75"/>
        <v>no</v>
      </c>
      <c r="K296" s="10" t="str">
        <f t="shared" si="76"/>
        <v>no</v>
      </c>
      <c r="L296" t="s">
        <v>318</v>
      </c>
      <c r="M296">
        <v>10358</v>
      </c>
      <c r="N296">
        <v>36</v>
      </c>
      <c r="O296" t="s">
        <v>703</v>
      </c>
      <c r="P296" t="str">
        <f t="shared" si="77"/>
        <v>LAMAI_10358_Inlagd Sill</v>
      </c>
      <c r="Q296" t="str">
        <f t="shared" si="78"/>
        <v>10358</v>
      </c>
      <c r="R296" t="str">
        <f t="shared" si="79"/>
        <v>10358</v>
      </c>
      <c r="S296" t="str">
        <f t="shared" si="80"/>
        <v>Inlagd Sill</v>
      </c>
      <c r="T296">
        <v>15.2</v>
      </c>
      <c r="U296">
        <v>20</v>
      </c>
      <c r="V296">
        <v>0.05</v>
      </c>
      <c r="W296">
        <f t="shared" si="81"/>
        <v>288.8</v>
      </c>
      <c r="X296" t="str">
        <f t="shared" si="82"/>
        <v>No</v>
      </c>
      <c r="Y296" s="2">
        <v>34689</v>
      </c>
      <c r="Z296" t="str">
        <f t="shared" si="68"/>
        <v/>
      </c>
      <c r="AA296" t="str">
        <f t="shared" si="83"/>
        <v/>
      </c>
      <c r="AB296" t="str" cm="1">
        <f t="array" ref="AB296">_xlfn.IFS(Y296&lt;DATE(1996,1,1),"",Y296&lt;DATE(1996,4,1),"Q1",Y296&lt;DATE(1996,7,1),"Q2",Y296&gt;=DATE(1996,7,1),"")</f>
        <v/>
      </c>
    </row>
    <row r="297" spans="1:28" ht="14.4" x14ac:dyDescent="0.55000000000000004">
      <c r="A297" t="str">
        <f>VLOOKUP(L297,Customers!$A$2:$B$92,2,FALSE)</f>
        <v>Seven Seas Imports</v>
      </c>
      <c r="B297" t="str">
        <f>VLOOKUP(L297,Customers!$A$2:$C$92,3,TRUE)</f>
        <v>Hari Kumar</v>
      </c>
      <c r="C297" t="str">
        <f t="shared" si="69"/>
        <v>Hari</v>
      </c>
      <c r="D297" s="8" t="str">
        <f t="shared" si="70"/>
        <v>Kumar</v>
      </c>
      <c r="E297" s="8" t="str">
        <f t="shared" si="71"/>
        <v>Kumar, Hari</v>
      </c>
      <c r="F297" s="8" t="str">
        <f t="shared" si="72"/>
        <v>Kumar, Hari</v>
      </c>
      <c r="G297" s="8" t="str">
        <f t="shared" si="73"/>
        <v>not an outlier</v>
      </c>
      <c r="H297" s="8" t="str">
        <f t="shared" si="74"/>
        <v>Not</v>
      </c>
      <c r="I297" s="8" t="str">
        <f t="shared" si="84"/>
        <v>no</v>
      </c>
      <c r="J297" s="10" t="str">
        <f t="shared" si="75"/>
        <v>no</v>
      </c>
      <c r="K297" s="10" t="str">
        <f t="shared" si="76"/>
        <v>no</v>
      </c>
      <c r="L297" t="s">
        <v>536</v>
      </c>
      <c r="M297">
        <v>10359</v>
      </c>
      <c r="N297">
        <v>16</v>
      </c>
      <c r="O297" t="s">
        <v>702</v>
      </c>
      <c r="P297" t="str">
        <f t="shared" si="77"/>
        <v>SEVES_10359_Pavlova</v>
      </c>
      <c r="Q297" t="str">
        <f t="shared" si="78"/>
        <v>10359</v>
      </c>
      <c r="R297" t="str">
        <f t="shared" si="79"/>
        <v>10359</v>
      </c>
      <c r="S297" t="str">
        <f t="shared" si="80"/>
        <v>Pavlova</v>
      </c>
      <c r="T297">
        <v>13.9</v>
      </c>
      <c r="U297">
        <v>56</v>
      </c>
      <c r="V297">
        <v>0.05</v>
      </c>
      <c r="W297">
        <f t="shared" si="81"/>
        <v>739.4799999999999</v>
      </c>
      <c r="X297" t="str">
        <f t="shared" si="82"/>
        <v>No</v>
      </c>
      <c r="Y297" s="2">
        <v>34690</v>
      </c>
      <c r="Z297" t="str">
        <f t="shared" si="68"/>
        <v/>
      </c>
      <c r="AA297" t="str">
        <f t="shared" si="83"/>
        <v/>
      </c>
      <c r="AB297" t="str" cm="1">
        <f t="array" ref="AB297">_xlfn.IFS(Y297&lt;DATE(1996,1,1),"",Y297&lt;DATE(1996,4,1),"Q1",Y297&lt;DATE(1996,7,1),"Q2",Y297&gt;=DATE(1996,7,1),"")</f>
        <v/>
      </c>
    </row>
    <row r="298" spans="1:28" ht="14.4" x14ac:dyDescent="0.55000000000000004">
      <c r="A298" t="str">
        <f>VLOOKUP(L298,Customers!$A$2:$B$92,2,FALSE)</f>
        <v>Seven Seas Imports</v>
      </c>
      <c r="B298" t="str">
        <f>VLOOKUP(L298,Customers!$A$2:$C$92,3,TRUE)</f>
        <v>Hari Kumar</v>
      </c>
      <c r="C298" t="str">
        <f t="shared" si="69"/>
        <v>Hari</v>
      </c>
      <c r="D298" s="8" t="str">
        <f t="shared" si="70"/>
        <v>Kumar</v>
      </c>
      <c r="E298" s="8" t="str">
        <f t="shared" si="71"/>
        <v>Kumar, Hari</v>
      </c>
      <c r="F298" s="8" t="str">
        <f t="shared" si="72"/>
        <v>Kumar, Hari</v>
      </c>
      <c r="G298" s="8" t="str">
        <f t="shared" si="73"/>
        <v>not an outlier</v>
      </c>
      <c r="H298" s="8" t="str">
        <f t="shared" si="74"/>
        <v>Not</v>
      </c>
      <c r="I298" s="8" t="str">
        <f t="shared" si="84"/>
        <v>no</v>
      </c>
      <c r="J298" s="10" t="str">
        <f t="shared" si="75"/>
        <v>no</v>
      </c>
      <c r="K298" s="10" t="str">
        <f t="shared" si="76"/>
        <v>no</v>
      </c>
      <c r="L298" t="s">
        <v>536</v>
      </c>
      <c r="M298">
        <v>10359</v>
      </c>
      <c r="N298">
        <v>31</v>
      </c>
      <c r="O298" t="s">
        <v>695</v>
      </c>
      <c r="P298" t="str">
        <f t="shared" si="77"/>
        <v>SEVES_10359_Gorgonzola Telino</v>
      </c>
      <c r="Q298" t="str">
        <f t="shared" si="78"/>
        <v>10359</v>
      </c>
      <c r="R298" t="str">
        <f t="shared" si="79"/>
        <v>10359</v>
      </c>
      <c r="S298" t="str">
        <f t="shared" si="80"/>
        <v>Gorgonzola Telino</v>
      </c>
      <c r="T298">
        <v>10</v>
      </c>
      <c r="U298">
        <v>70</v>
      </c>
      <c r="V298">
        <v>0.05</v>
      </c>
      <c r="W298">
        <f t="shared" si="81"/>
        <v>665</v>
      </c>
      <c r="X298" t="str">
        <f t="shared" si="82"/>
        <v>No</v>
      </c>
      <c r="Y298" s="2">
        <v>34690</v>
      </c>
      <c r="Z298" t="str">
        <f t="shared" si="68"/>
        <v/>
      </c>
      <c r="AA298" t="str">
        <f t="shared" si="83"/>
        <v/>
      </c>
      <c r="AB298" t="str" cm="1">
        <f t="array" ref="AB298">_xlfn.IFS(Y298&lt;DATE(1996,1,1),"",Y298&lt;DATE(1996,4,1),"Q1",Y298&lt;DATE(1996,7,1),"Q2",Y298&gt;=DATE(1996,7,1),"")</f>
        <v/>
      </c>
    </row>
    <row r="299" spans="1:28" ht="14.4" x14ac:dyDescent="0.55000000000000004">
      <c r="A299" t="str">
        <f>VLOOKUP(L299,Customers!$A$2:$B$92,2,FALSE)</f>
        <v>Seven Seas Imports</v>
      </c>
      <c r="B299" t="str">
        <f>VLOOKUP(L299,Customers!$A$2:$C$92,3,TRUE)</f>
        <v>Hari Kumar</v>
      </c>
      <c r="C299" t="str">
        <f t="shared" si="69"/>
        <v>Hari</v>
      </c>
      <c r="D299" s="8" t="str">
        <f t="shared" si="70"/>
        <v>Kumar</v>
      </c>
      <c r="E299" s="8" t="str">
        <f t="shared" si="71"/>
        <v>Kumar, Hari</v>
      </c>
      <c r="F299" s="8" t="str">
        <f t="shared" si="72"/>
        <v>Kumar, Hari</v>
      </c>
      <c r="G299" s="8" t="str">
        <f t="shared" si="73"/>
        <v>not an outlier</v>
      </c>
      <c r="H299" s="8" t="str">
        <f t="shared" si="74"/>
        <v>Not</v>
      </c>
      <c r="I299" s="8" t="str">
        <f t="shared" si="84"/>
        <v>no</v>
      </c>
      <c r="J299" s="10" t="str">
        <f t="shared" si="75"/>
        <v>no</v>
      </c>
      <c r="K299" s="10" t="str">
        <f t="shared" si="76"/>
        <v>no</v>
      </c>
      <c r="L299" t="s">
        <v>536</v>
      </c>
      <c r="M299">
        <v>10359</v>
      </c>
      <c r="N299">
        <v>60</v>
      </c>
      <c r="O299" t="s">
        <v>694</v>
      </c>
      <c r="P299" t="str">
        <f t="shared" si="77"/>
        <v>SEVES_10359_Camembert Pierrot</v>
      </c>
      <c r="Q299" t="str">
        <f t="shared" si="78"/>
        <v>10359</v>
      </c>
      <c r="R299" t="str">
        <f t="shared" si="79"/>
        <v>10359</v>
      </c>
      <c r="S299" t="str">
        <f t="shared" si="80"/>
        <v>Camembert Pierrot</v>
      </c>
      <c r="T299">
        <v>27.2</v>
      </c>
      <c r="U299">
        <v>80</v>
      </c>
      <c r="V299">
        <v>0.05</v>
      </c>
      <c r="W299">
        <f t="shared" si="81"/>
        <v>2067.1999999999998</v>
      </c>
      <c r="X299" t="str">
        <f t="shared" si="82"/>
        <v>No</v>
      </c>
      <c r="Y299" s="2">
        <v>34690</v>
      </c>
      <c r="Z299" t="str">
        <f t="shared" si="68"/>
        <v/>
      </c>
      <c r="AA299" t="str">
        <f t="shared" si="83"/>
        <v/>
      </c>
      <c r="AB299" t="str" cm="1">
        <f t="array" ref="AB299">_xlfn.IFS(Y299&lt;DATE(1996,1,1),"",Y299&lt;DATE(1996,4,1),"Q1",Y299&lt;DATE(1996,7,1),"Q2",Y299&gt;=DATE(1996,7,1),"")</f>
        <v/>
      </c>
    </row>
    <row r="300" spans="1:28" ht="14.4" x14ac:dyDescent="0.55000000000000004">
      <c r="A300" t="str">
        <f>VLOOKUP(L300,Customers!$A$2:$B$92,2,FALSE)</f>
        <v>Blondel père et fils</v>
      </c>
      <c r="B300" t="str">
        <f>VLOOKUP(L300,Customers!$A$2:$C$92,3,TRUE)</f>
        <v>Frédérique Citeaux</v>
      </c>
      <c r="C300" t="str">
        <f t="shared" si="69"/>
        <v>Frédérique</v>
      </c>
      <c r="D300" s="8" t="str">
        <f t="shared" si="70"/>
        <v>Citeaux</v>
      </c>
      <c r="E300" s="8" t="str">
        <f t="shared" si="71"/>
        <v>Citeaux, Frédérique</v>
      </c>
      <c r="F300" s="8" t="str">
        <f t="shared" si="72"/>
        <v>Citeaux, Frédérique</v>
      </c>
      <c r="G300" s="8" t="str">
        <f t="shared" si="73"/>
        <v>not an outlier</v>
      </c>
      <c r="H300" s="8" t="str">
        <f t="shared" si="74"/>
        <v>Not</v>
      </c>
      <c r="I300" s="8" t="str">
        <f t="shared" si="84"/>
        <v>no</v>
      </c>
      <c r="J300" s="10" t="str">
        <f t="shared" si="75"/>
        <v>no</v>
      </c>
      <c r="K300" s="10" t="str">
        <f t="shared" si="76"/>
        <v>no</v>
      </c>
      <c r="L300" t="s">
        <v>60</v>
      </c>
      <c r="M300">
        <v>10360</v>
      </c>
      <c r="N300">
        <v>28</v>
      </c>
      <c r="O300" t="s">
        <v>727</v>
      </c>
      <c r="P300" t="str">
        <f t="shared" si="77"/>
        <v>BLONP_10360_Rössle Sauerkraut</v>
      </c>
      <c r="Q300" t="str">
        <f t="shared" si="78"/>
        <v>10360</v>
      </c>
      <c r="R300" t="str">
        <f t="shared" si="79"/>
        <v>10360</v>
      </c>
      <c r="S300" t="str">
        <f t="shared" si="80"/>
        <v>Rössle Sauerkraut</v>
      </c>
      <c r="T300">
        <v>36.4</v>
      </c>
      <c r="U300">
        <v>30</v>
      </c>
      <c r="V300">
        <v>0</v>
      </c>
      <c r="W300">
        <f t="shared" si="81"/>
        <v>1092</v>
      </c>
      <c r="X300" t="str">
        <f t="shared" si="82"/>
        <v>No</v>
      </c>
      <c r="Y300" s="2">
        <v>34691</v>
      </c>
      <c r="Z300" t="str">
        <f t="shared" si="68"/>
        <v/>
      </c>
      <c r="AA300" t="str">
        <f t="shared" si="83"/>
        <v/>
      </c>
      <c r="AB300" t="str" cm="1">
        <f t="array" ref="AB300">_xlfn.IFS(Y300&lt;DATE(1996,1,1),"",Y300&lt;DATE(1996,4,1),"Q1",Y300&lt;DATE(1996,7,1),"Q2",Y300&gt;=DATE(1996,7,1),"")</f>
        <v/>
      </c>
    </row>
    <row r="301" spans="1:28" ht="14.4" x14ac:dyDescent="0.55000000000000004">
      <c r="A301" t="str">
        <f>VLOOKUP(L301,Customers!$A$2:$B$92,2,FALSE)</f>
        <v>Blondel père et fils</v>
      </c>
      <c r="B301" t="str">
        <f>VLOOKUP(L301,Customers!$A$2:$C$92,3,TRUE)</f>
        <v>Frédérique Citeaux</v>
      </c>
      <c r="C301" t="str">
        <f t="shared" si="69"/>
        <v>Frédérique</v>
      </c>
      <c r="D301" s="8" t="str">
        <f t="shared" si="70"/>
        <v>Citeaux</v>
      </c>
      <c r="E301" s="8" t="str">
        <f t="shared" si="71"/>
        <v>Citeaux, Frédérique</v>
      </c>
      <c r="F301" s="8" t="str">
        <f t="shared" si="72"/>
        <v>Citeaux, Frédérique</v>
      </c>
      <c r="G301" s="8" t="str">
        <f t="shared" si="73"/>
        <v>not an outlier</v>
      </c>
      <c r="H301" s="8" t="str">
        <f t="shared" si="74"/>
        <v>moderate</v>
      </c>
      <c r="I301" s="8" t="str">
        <f t="shared" si="84"/>
        <v>no</v>
      </c>
      <c r="J301" s="10" t="str">
        <f t="shared" si="75"/>
        <v>no</v>
      </c>
      <c r="K301" s="10" t="str">
        <f t="shared" si="76"/>
        <v>moderate</v>
      </c>
      <c r="L301" t="s">
        <v>60</v>
      </c>
      <c r="M301">
        <v>10360</v>
      </c>
      <c r="N301">
        <v>29</v>
      </c>
      <c r="O301" t="s">
        <v>722</v>
      </c>
      <c r="P301" t="str">
        <f t="shared" si="77"/>
        <v>BLONP_10360_Thüringer Rostbratwurst</v>
      </c>
      <c r="Q301" t="str">
        <f t="shared" si="78"/>
        <v>10360</v>
      </c>
      <c r="R301" t="str">
        <f t="shared" si="79"/>
        <v>10360</v>
      </c>
      <c r="S301" t="str">
        <f t="shared" si="80"/>
        <v>Thüringer Rostbratwurst</v>
      </c>
      <c r="T301">
        <v>99</v>
      </c>
      <c r="U301">
        <v>35</v>
      </c>
      <c r="V301">
        <v>0</v>
      </c>
      <c r="W301">
        <f t="shared" si="81"/>
        <v>3465</v>
      </c>
      <c r="X301" t="str">
        <f t="shared" si="82"/>
        <v>No</v>
      </c>
      <c r="Y301" s="2">
        <v>34691</v>
      </c>
      <c r="Z301" t="str">
        <f t="shared" si="68"/>
        <v/>
      </c>
      <c r="AA301" t="str">
        <f t="shared" si="83"/>
        <v/>
      </c>
      <c r="AB301" t="str" cm="1">
        <f t="array" ref="AB301">_xlfn.IFS(Y301&lt;DATE(1996,1,1),"",Y301&lt;DATE(1996,4,1),"Q1",Y301&lt;DATE(1996,7,1),"Q2",Y301&gt;=DATE(1996,7,1),"")</f>
        <v/>
      </c>
    </row>
    <row r="302" spans="1:28" ht="14.4" x14ac:dyDescent="0.55000000000000004">
      <c r="A302" t="str">
        <f>VLOOKUP(L302,Customers!$A$2:$B$92,2,FALSE)</f>
        <v>Blondel père et fils</v>
      </c>
      <c r="B302" t="str">
        <f>VLOOKUP(L302,Customers!$A$2:$C$92,3,TRUE)</f>
        <v>Frédérique Citeaux</v>
      </c>
      <c r="C302" t="str">
        <f t="shared" si="69"/>
        <v>Frédérique</v>
      </c>
      <c r="D302" s="8" t="str">
        <f t="shared" si="70"/>
        <v>Citeaux</v>
      </c>
      <c r="E302" s="8" t="str">
        <f t="shared" si="71"/>
        <v>Citeaux, Frédérique</v>
      </c>
      <c r="F302" s="8" t="str">
        <f t="shared" si="72"/>
        <v>Citeaux, Frédérique</v>
      </c>
      <c r="G302" s="8" t="str">
        <f t="shared" si="73"/>
        <v>not an outlier</v>
      </c>
      <c r="H302" s="8" t="str">
        <f t="shared" si="74"/>
        <v>Not</v>
      </c>
      <c r="I302" s="8" t="str">
        <f t="shared" si="84"/>
        <v>no</v>
      </c>
      <c r="J302" s="10" t="str">
        <f t="shared" si="75"/>
        <v>no</v>
      </c>
      <c r="K302" s="10" t="str">
        <f t="shared" si="76"/>
        <v>no</v>
      </c>
      <c r="L302" t="s">
        <v>60</v>
      </c>
      <c r="M302">
        <v>10360</v>
      </c>
      <c r="N302">
        <v>38</v>
      </c>
      <c r="O302" t="s">
        <v>750</v>
      </c>
      <c r="P302" t="str">
        <f t="shared" si="77"/>
        <v>BLONP_10360_Côte de Blaye</v>
      </c>
      <c r="Q302" t="str">
        <f t="shared" si="78"/>
        <v>10360</v>
      </c>
      <c r="R302" t="str">
        <f t="shared" si="79"/>
        <v>10360</v>
      </c>
      <c r="S302" t="str">
        <f t="shared" si="80"/>
        <v>Côte de Blaye</v>
      </c>
      <c r="T302">
        <v>210.8</v>
      </c>
      <c r="U302">
        <v>10</v>
      </c>
      <c r="V302">
        <v>0</v>
      </c>
      <c r="W302">
        <f t="shared" si="81"/>
        <v>2108</v>
      </c>
      <c r="X302" t="str">
        <f t="shared" si="82"/>
        <v>No</v>
      </c>
      <c r="Y302" s="2">
        <v>34691</v>
      </c>
      <c r="Z302" t="str">
        <f t="shared" si="68"/>
        <v/>
      </c>
      <c r="AA302" t="str">
        <f t="shared" si="83"/>
        <v/>
      </c>
      <c r="AB302" t="str" cm="1">
        <f t="array" ref="AB302">_xlfn.IFS(Y302&lt;DATE(1996,1,1),"",Y302&lt;DATE(1996,4,1),"Q1",Y302&lt;DATE(1996,7,1),"Q2",Y302&gt;=DATE(1996,7,1),"")</f>
        <v/>
      </c>
    </row>
    <row r="303" spans="1:28" ht="14.4" x14ac:dyDescent="0.55000000000000004">
      <c r="A303" t="str">
        <f>VLOOKUP(L303,Customers!$A$2:$B$92,2,FALSE)</f>
        <v>Blondel père et fils</v>
      </c>
      <c r="B303" t="str">
        <f>VLOOKUP(L303,Customers!$A$2:$C$92,3,TRUE)</f>
        <v>Frédérique Citeaux</v>
      </c>
      <c r="C303" t="str">
        <f t="shared" si="69"/>
        <v>Frédérique</v>
      </c>
      <c r="D303" s="8" t="str">
        <f t="shared" si="70"/>
        <v>Citeaux</v>
      </c>
      <c r="E303" s="8" t="str">
        <f t="shared" si="71"/>
        <v>Citeaux, Frédérique</v>
      </c>
      <c r="F303" s="8" t="str">
        <f t="shared" si="72"/>
        <v>Citeaux, Frédérique</v>
      </c>
      <c r="G303" s="8" t="str">
        <f t="shared" si="73"/>
        <v>not an outlier</v>
      </c>
      <c r="H303" s="8" t="str">
        <f t="shared" si="74"/>
        <v>Not</v>
      </c>
      <c r="I303" s="8" t="str">
        <f t="shared" si="84"/>
        <v>no</v>
      </c>
      <c r="J303" s="10" t="str">
        <f t="shared" si="75"/>
        <v>no</v>
      </c>
      <c r="K303" s="10" t="str">
        <f t="shared" si="76"/>
        <v>no</v>
      </c>
      <c r="L303" t="s">
        <v>60</v>
      </c>
      <c r="M303">
        <v>10360</v>
      </c>
      <c r="N303">
        <v>49</v>
      </c>
      <c r="O303" t="s">
        <v>697</v>
      </c>
      <c r="P303" t="str">
        <f t="shared" si="77"/>
        <v>BLONP_10360_Maxilaku</v>
      </c>
      <c r="Q303" t="str">
        <f t="shared" si="78"/>
        <v>10360</v>
      </c>
      <c r="R303" t="str">
        <f t="shared" si="79"/>
        <v>10360</v>
      </c>
      <c r="S303" t="str">
        <f t="shared" si="80"/>
        <v>Maxilaku</v>
      </c>
      <c r="T303">
        <v>16</v>
      </c>
      <c r="U303">
        <v>35</v>
      </c>
      <c r="V303">
        <v>0</v>
      </c>
      <c r="W303">
        <f t="shared" si="81"/>
        <v>560</v>
      </c>
      <c r="X303" t="str">
        <f t="shared" si="82"/>
        <v>No</v>
      </c>
      <c r="Y303" s="2">
        <v>34691</v>
      </c>
      <c r="Z303" t="str">
        <f t="shared" si="68"/>
        <v/>
      </c>
      <c r="AA303" t="str">
        <f t="shared" si="83"/>
        <v/>
      </c>
      <c r="AB303" t="str" cm="1">
        <f t="array" ref="AB303">_xlfn.IFS(Y303&lt;DATE(1996,1,1),"",Y303&lt;DATE(1996,4,1),"Q1",Y303&lt;DATE(1996,7,1),"Q2",Y303&gt;=DATE(1996,7,1),"")</f>
        <v/>
      </c>
    </row>
    <row r="304" spans="1:28" ht="14.4" x14ac:dyDescent="0.55000000000000004">
      <c r="A304" t="str">
        <f>VLOOKUP(L304,Customers!$A$2:$B$92,2,FALSE)</f>
        <v>Blondel père et fils</v>
      </c>
      <c r="B304" t="str">
        <f>VLOOKUP(L304,Customers!$A$2:$C$92,3,TRUE)</f>
        <v>Frédérique Citeaux</v>
      </c>
      <c r="C304" t="str">
        <f t="shared" si="69"/>
        <v>Frédérique</v>
      </c>
      <c r="D304" s="8" t="str">
        <f t="shared" si="70"/>
        <v>Citeaux</v>
      </c>
      <c r="E304" s="8" t="str">
        <f t="shared" si="71"/>
        <v>Citeaux, Frédérique</v>
      </c>
      <c r="F304" s="8" t="str">
        <f t="shared" si="72"/>
        <v>Citeaux, Frédérique</v>
      </c>
      <c r="G304" s="8" t="str">
        <f t="shared" si="73"/>
        <v>not an outlier</v>
      </c>
      <c r="H304" s="8" t="str">
        <f t="shared" si="74"/>
        <v>Not</v>
      </c>
      <c r="I304" s="8" t="str">
        <f t="shared" si="84"/>
        <v>no</v>
      </c>
      <c r="J304" s="10" t="str">
        <f t="shared" si="75"/>
        <v>no</v>
      </c>
      <c r="K304" s="10" t="str">
        <f t="shared" si="76"/>
        <v>no</v>
      </c>
      <c r="L304" t="s">
        <v>60</v>
      </c>
      <c r="M304">
        <v>10360</v>
      </c>
      <c r="N304">
        <v>54</v>
      </c>
      <c r="O304" t="s">
        <v>738</v>
      </c>
      <c r="P304" t="str">
        <f t="shared" si="77"/>
        <v>BLONP_10360_Tourtière</v>
      </c>
      <c r="Q304" t="str">
        <f t="shared" si="78"/>
        <v>10360</v>
      </c>
      <c r="R304" t="str">
        <f t="shared" si="79"/>
        <v>10360</v>
      </c>
      <c r="S304" t="str">
        <f t="shared" si="80"/>
        <v>Tourtière</v>
      </c>
      <c r="T304">
        <v>5.9</v>
      </c>
      <c r="U304">
        <v>28</v>
      </c>
      <c r="V304">
        <v>0</v>
      </c>
      <c r="W304">
        <f t="shared" si="81"/>
        <v>165.20000000000002</v>
      </c>
      <c r="X304" t="str">
        <f t="shared" si="82"/>
        <v>No</v>
      </c>
      <c r="Y304" s="2">
        <v>34691</v>
      </c>
      <c r="Z304" t="str">
        <f t="shared" si="68"/>
        <v/>
      </c>
      <c r="AA304" t="str">
        <f t="shared" si="83"/>
        <v/>
      </c>
      <c r="AB304" t="str" cm="1">
        <f t="array" ref="AB304">_xlfn.IFS(Y304&lt;DATE(1996,1,1),"",Y304&lt;DATE(1996,4,1),"Q1",Y304&lt;DATE(1996,7,1),"Q2",Y304&gt;=DATE(1996,7,1),"")</f>
        <v/>
      </c>
    </row>
    <row r="305" spans="1:28" ht="14.4" x14ac:dyDescent="0.55000000000000004">
      <c r="A305" t="str">
        <f>VLOOKUP(L305,Customers!$A$2:$B$92,2,FALSE)</f>
        <v>QUICK-Stop</v>
      </c>
      <c r="B305" t="str">
        <f>VLOOKUP(L305,Customers!$A$2:$C$92,3,TRUE)</f>
        <v>Horst Kloss</v>
      </c>
      <c r="C305" t="str">
        <f t="shared" si="69"/>
        <v>Horst</v>
      </c>
      <c r="D305" s="8" t="str">
        <f t="shared" si="70"/>
        <v>Kloss</v>
      </c>
      <c r="E305" s="8" t="str">
        <f t="shared" si="71"/>
        <v>Kloss, Horst</v>
      </c>
      <c r="F305" s="8" t="str">
        <f t="shared" si="72"/>
        <v>Kloss, Horst</v>
      </c>
      <c r="G305" s="8" t="str">
        <f t="shared" si="73"/>
        <v>not an outlier</v>
      </c>
      <c r="H305" s="8" t="str">
        <f t="shared" si="74"/>
        <v>Not</v>
      </c>
      <c r="I305" s="8" t="str">
        <f t="shared" si="84"/>
        <v>no</v>
      </c>
      <c r="J305" s="10" t="str">
        <f t="shared" si="75"/>
        <v>no</v>
      </c>
      <c r="K305" s="10" t="str">
        <f t="shared" si="76"/>
        <v>no</v>
      </c>
      <c r="L305" t="s">
        <v>475</v>
      </c>
      <c r="M305">
        <v>10361</v>
      </c>
      <c r="N305">
        <v>39</v>
      </c>
      <c r="O305" t="s">
        <v>696</v>
      </c>
      <c r="P305" t="str">
        <f t="shared" si="77"/>
        <v>QUICK_10361_Chartreuse verte</v>
      </c>
      <c r="Q305" t="str">
        <f t="shared" si="78"/>
        <v>10361</v>
      </c>
      <c r="R305" t="str">
        <f t="shared" si="79"/>
        <v>10361</v>
      </c>
      <c r="S305" t="str">
        <f t="shared" si="80"/>
        <v>Chartreuse verte</v>
      </c>
      <c r="T305">
        <v>14.4</v>
      </c>
      <c r="U305">
        <v>54</v>
      </c>
      <c r="V305">
        <v>0.1</v>
      </c>
      <c r="W305">
        <f t="shared" si="81"/>
        <v>699.84</v>
      </c>
      <c r="X305" t="str">
        <f t="shared" si="82"/>
        <v>No</v>
      </c>
      <c r="Y305" s="2">
        <v>34691</v>
      </c>
      <c r="Z305" t="str">
        <f t="shared" si="68"/>
        <v/>
      </c>
      <c r="AA305" t="str">
        <f t="shared" si="83"/>
        <v/>
      </c>
      <c r="AB305" t="str" cm="1">
        <f t="array" ref="AB305">_xlfn.IFS(Y305&lt;DATE(1996,1,1),"",Y305&lt;DATE(1996,4,1),"Q1",Y305&lt;DATE(1996,7,1),"Q2",Y305&gt;=DATE(1996,7,1),"")</f>
        <v/>
      </c>
    </row>
    <row r="306" spans="1:28" ht="14.4" x14ac:dyDescent="0.55000000000000004">
      <c r="A306" t="str">
        <f>VLOOKUP(L306,Customers!$A$2:$B$92,2,FALSE)</f>
        <v>QUICK-Stop</v>
      </c>
      <c r="B306" t="str">
        <f>VLOOKUP(L306,Customers!$A$2:$C$92,3,TRUE)</f>
        <v>Horst Kloss</v>
      </c>
      <c r="C306" t="str">
        <f t="shared" si="69"/>
        <v>Horst</v>
      </c>
      <c r="D306" s="8" t="str">
        <f t="shared" si="70"/>
        <v>Kloss</v>
      </c>
      <c r="E306" s="8" t="str">
        <f t="shared" si="71"/>
        <v>Kloss, Horst</v>
      </c>
      <c r="F306" s="8" t="str">
        <f t="shared" si="72"/>
        <v>Kloss, Horst</v>
      </c>
      <c r="G306" s="8" t="str">
        <f t="shared" si="73"/>
        <v>not an outlier</v>
      </c>
      <c r="H306" s="8" t="str">
        <f t="shared" si="74"/>
        <v>Not</v>
      </c>
      <c r="I306" s="8" t="str">
        <f t="shared" si="84"/>
        <v>no</v>
      </c>
      <c r="J306" s="10" t="str">
        <f t="shared" si="75"/>
        <v>no</v>
      </c>
      <c r="K306" s="10" t="str">
        <f t="shared" si="76"/>
        <v>no</v>
      </c>
      <c r="L306" t="s">
        <v>475</v>
      </c>
      <c r="M306">
        <v>10361</v>
      </c>
      <c r="N306">
        <v>60</v>
      </c>
      <c r="O306" t="s">
        <v>694</v>
      </c>
      <c r="P306" t="str">
        <f t="shared" si="77"/>
        <v>QUICK_10361_Camembert Pierrot</v>
      </c>
      <c r="Q306" t="str">
        <f t="shared" si="78"/>
        <v>10361</v>
      </c>
      <c r="R306" t="str">
        <f t="shared" si="79"/>
        <v>10361</v>
      </c>
      <c r="S306" t="str">
        <f t="shared" si="80"/>
        <v>Camembert Pierrot</v>
      </c>
      <c r="T306">
        <v>27.2</v>
      </c>
      <c r="U306">
        <v>55</v>
      </c>
      <c r="V306">
        <v>0.1</v>
      </c>
      <c r="W306">
        <f t="shared" si="81"/>
        <v>1346.4</v>
      </c>
      <c r="X306" t="str">
        <f t="shared" si="82"/>
        <v>No</v>
      </c>
      <c r="Y306" s="2">
        <v>34691</v>
      </c>
      <c r="Z306" t="str">
        <f t="shared" si="68"/>
        <v/>
      </c>
      <c r="AA306" t="str">
        <f t="shared" si="83"/>
        <v/>
      </c>
      <c r="AB306" t="str" cm="1">
        <f t="array" ref="AB306">_xlfn.IFS(Y306&lt;DATE(1996,1,1),"",Y306&lt;DATE(1996,4,1),"Q1",Y306&lt;DATE(1996,7,1),"Q2",Y306&gt;=DATE(1996,7,1),"")</f>
        <v/>
      </c>
    </row>
    <row r="307" spans="1:28" ht="14.4" x14ac:dyDescent="0.55000000000000004">
      <c r="A307" t="str">
        <f>VLOOKUP(L307,Customers!$A$2:$B$92,2,FALSE)</f>
        <v>Bon app'</v>
      </c>
      <c r="B307" t="str">
        <f>VLOOKUP(L307,Customers!$A$2:$C$92,3,TRUE)</f>
        <v>Laurence Lebihan</v>
      </c>
      <c r="C307" t="str">
        <f t="shared" si="69"/>
        <v>Laurence</v>
      </c>
      <c r="D307" s="8" t="str">
        <f t="shared" si="70"/>
        <v>Lebihan</v>
      </c>
      <c r="E307" s="8" t="str">
        <f t="shared" si="71"/>
        <v>Lebihan, Laurence</v>
      </c>
      <c r="F307" s="8" t="str">
        <f t="shared" si="72"/>
        <v>Lebihan, Laurence</v>
      </c>
      <c r="G307" s="8" t="str">
        <f t="shared" si="73"/>
        <v>not an outlier</v>
      </c>
      <c r="H307" s="8" t="str">
        <f t="shared" si="74"/>
        <v>Not</v>
      </c>
      <c r="I307" s="8" t="str">
        <f t="shared" si="84"/>
        <v>no</v>
      </c>
      <c r="J307" s="10" t="str">
        <f t="shared" si="75"/>
        <v>no</v>
      </c>
      <c r="K307" s="10" t="str">
        <f t="shared" si="76"/>
        <v>no</v>
      </c>
      <c r="L307" t="s">
        <v>77</v>
      </c>
      <c r="M307">
        <v>10362</v>
      </c>
      <c r="N307">
        <v>25</v>
      </c>
      <c r="O307" t="s">
        <v>749</v>
      </c>
      <c r="P307" t="str">
        <f t="shared" si="77"/>
        <v>BONAP_10362_NuNuCa Nuß-Nougat-Creme</v>
      </c>
      <c r="Q307" t="str">
        <f t="shared" si="78"/>
        <v>10362</v>
      </c>
      <c r="R307" t="str">
        <f t="shared" si="79"/>
        <v>10362</v>
      </c>
      <c r="S307" t="str">
        <f t="shared" si="80"/>
        <v>NuNuCa Nuß-Nougat-Creme</v>
      </c>
      <c r="T307">
        <v>11.2</v>
      </c>
      <c r="U307">
        <v>50</v>
      </c>
      <c r="V307">
        <v>0</v>
      </c>
      <c r="W307">
        <f t="shared" si="81"/>
        <v>560</v>
      </c>
      <c r="X307" t="str">
        <f t="shared" si="82"/>
        <v>No</v>
      </c>
      <c r="Y307" s="2">
        <v>34694</v>
      </c>
      <c r="Z307" t="str">
        <f t="shared" si="68"/>
        <v/>
      </c>
      <c r="AA307" t="str">
        <f t="shared" si="83"/>
        <v/>
      </c>
      <c r="AB307" t="str" cm="1">
        <f t="array" ref="AB307">_xlfn.IFS(Y307&lt;DATE(1996,1,1),"",Y307&lt;DATE(1996,4,1),"Q1",Y307&lt;DATE(1996,7,1),"Q2",Y307&gt;=DATE(1996,7,1),"")</f>
        <v/>
      </c>
    </row>
    <row r="308" spans="1:28" ht="14.4" x14ac:dyDescent="0.55000000000000004">
      <c r="A308" t="str">
        <f>VLOOKUP(L308,Customers!$A$2:$B$92,2,FALSE)</f>
        <v>Bon app'</v>
      </c>
      <c r="B308" t="str">
        <f>VLOOKUP(L308,Customers!$A$2:$C$92,3,TRUE)</f>
        <v>Laurence Lebihan</v>
      </c>
      <c r="C308" t="str">
        <f t="shared" si="69"/>
        <v>Laurence</v>
      </c>
      <c r="D308" s="8" t="str">
        <f t="shared" si="70"/>
        <v>Lebihan</v>
      </c>
      <c r="E308" s="8" t="str">
        <f t="shared" si="71"/>
        <v>Lebihan, Laurence</v>
      </c>
      <c r="F308" s="8" t="str">
        <f t="shared" si="72"/>
        <v>Lebihan, Laurence</v>
      </c>
      <c r="G308" s="8" t="str">
        <f t="shared" si="73"/>
        <v>not an outlier</v>
      </c>
      <c r="H308" s="8" t="str">
        <f t="shared" si="74"/>
        <v>Not</v>
      </c>
      <c r="I308" s="8" t="str">
        <f t="shared" si="84"/>
        <v>no</v>
      </c>
      <c r="J308" s="10" t="str">
        <f t="shared" si="75"/>
        <v>no</v>
      </c>
      <c r="K308" s="10" t="str">
        <f t="shared" si="76"/>
        <v>no</v>
      </c>
      <c r="L308" t="s">
        <v>77</v>
      </c>
      <c r="M308">
        <v>10362</v>
      </c>
      <c r="N308">
        <v>51</v>
      </c>
      <c r="O308" t="s">
        <v>687</v>
      </c>
      <c r="P308" t="str">
        <f t="shared" si="77"/>
        <v>BONAP_10362_Manjimup Dried Apples</v>
      </c>
      <c r="Q308" t="str">
        <f t="shared" si="78"/>
        <v>10362</v>
      </c>
      <c r="R308" t="str">
        <f t="shared" si="79"/>
        <v>10362</v>
      </c>
      <c r="S308" t="str">
        <f t="shared" si="80"/>
        <v>Manjimup Dried Apples</v>
      </c>
      <c r="T308">
        <v>42.4</v>
      </c>
      <c r="U308">
        <v>20</v>
      </c>
      <c r="V308">
        <v>0</v>
      </c>
      <c r="W308">
        <f t="shared" si="81"/>
        <v>848</v>
      </c>
      <c r="X308" t="str">
        <f t="shared" si="82"/>
        <v>No</v>
      </c>
      <c r="Y308" s="2">
        <v>34694</v>
      </c>
      <c r="Z308" t="str">
        <f t="shared" si="68"/>
        <v/>
      </c>
      <c r="AA308" t="str">
        <f t="shared" si="83"/>
        <v/>
      </c>
      <c r="AB308" t="str" cm="1">
        <f t="array" ref="AB308">_xlfn.IFS(Y308&lt;DATE(1996,1,1),"",Y308&lt;DATE(1996,4,1),"Q1",Y308&lt;DATE(1996,7,1),"Q2",Y308&gt;=DATE(1996,7,1),"")</f>
        <v/>
      </c>
    </row>
    <row r="309" spans="1:28" ht="14.4" x14ac:dyDescent="0.55000000000000004">
      <c r="A309" t="str">
        <f>VLOOKUP(L309,Customers!$A$2:$B$92,2,FALSE)</f>
        <v>Bon app'</v>
      </c>
      <c r="B309" t="str">
        <f>VLOOKUP(L309,Customers!$A$2:$C$92,3,TRUE)</f>
        <v>Laurence Lebihan</v>
      </c>
      <c r="C309" t="str">
        <f t="shared" si="69"/>
        <v>Laurence</v>
      </c>
      <c r="D309" s="8" t="str">
        <f t="shared" si="70"/>
        <v>Lebihan</v>
      </c>
      <c r="E309" s="8" t="str">
        <f t="shared" si="71"/>
        <v>Lebihan, Laurence</v>
      </c>
      <c r="F309" s="8" t="str">
        <f t="shared" si="72"/>
        <v>Lebihan, Laurence</v>
      </c>
      <c r="G309" s="8" t="str">
        <f t="shared" si="73"/>
        <v>not an outlier</v>
      </c>
      <c r="H309" s="8" t="str">
        <f t="shared" si="74"/>
        <v>Not</v>
      </c>
      <c r="I309" s="8" t="str">
        <f t="shared" si="84"/>
        <v>no</v>
      </c>
      <c r="J309" s="10" t="str">
        <f t="shared" si="75"/>
        <v>no</v>
      </c>
      <c r="K309" s="10" t="str">
        <f t="shared" si="76"/>
        <v>no</v>
      </c>
      <c r="L309" t="s">
        <v>77</v>
      </c>
      <c r="M309">
        <v>10362</v>
      </c>
      <c r="N309">
        <v>54</v>
      </c>
      <c r="O309" t="s">
        <v>738</v>
      </c>
      <c r="P309" t="str">
        <f t="shared" si="77"/>
        <v>BONAP_10362_Tourtière</v>
      </c>
      <c r="Q309" t="str">
        <f t="shared" si="78"/>
        <v>10362</v>
      </c>
      <c r="R309" t="str">
        <f t="shared" si="79"/>
        <v>10362</v>
      </c>
      <c r="S309" t="str">
        <f t="shared" si="80"/>
        <v>Tourtière</v>
      </c>
      <c r="T309">
        <v>5.9</v>
      </c>
      <c r="U309">
        <v>24</v>
      </c>
      <c r="V309">
        <v>0</v>
      </c>
      <c r="W309">
        <f t="shared" si="81"/>
        <v>141.60000000000002</v>
      </c>
      <c r="X309" t="str">
        <f t="shared" si="82"/>
        <v>No</v>
      </c>
      <c r="Y309" s="2">
        <v>34694</v>
      </c>
      <c r="Z309" t="str">
        <f t="shared" si="68"/>
        <v/>
      </c>
      <c r="AA309" t="str">
        <f t="shared" si="83"/>
        <v/>
      </c>
      <c r="AB309" t="str" cm="1">
        <f t="array" ref="AB309">_xlfn.IFS(Y309&lt;DATE(1996,1,1),"",Y309&lt;DATE(1996,4,1),"Q1",Y309&lt;DATE(1996,7,1),"Q2",Y309&gt;=DATE(1996,7,1),"")</f>
        <v/>
      </c>
    </row>
    <row r="310" spans="1:28" ht="14.4" x14ac:dyDescent="0.55000000000000004">
      <c r="A310" t="str">
        <f>VLOOKUP(L310,Customers!$A$2:$B$92,2,FALSE)</f>
        <v>Drachenblut Delikatessen</v>
      </c>
      <c r="B310" t="str">
        <f>VLOOKUP(L310,Customers!$A$2:$C$92,3,TRUE)</f>
        <v>Sven Ottlieb</v>
      </c>
      <c r="C310" t="str">
        <f t="shared" si="69"/>
        <v>Sven</v>
      </c>
      <c r="D310" s="8" t="str">
        <f t="shared" si="70"/>
        <v>Ottlieb</v>
      </c>
      <c r="E310" s="8" t="str">
        <f t="shared" si="71"/>
        <v>Ottlieb, Sven</v>
      </c>
      <c r="F310" s="8" t="str">
        <f t="shared" si="72"/>
        <v>Ottlieb, Sven</v>
      </c>
      <c r="G310" s="8" t="str">
        <f t="shared" si="73"/>
        <v>not an outlier</v>
      </c>
      <c r="H310" s="8" t="str">
        <f t="shared" si="74"/>
        <v>Not</v>
      </c>
      <c r="I310" s="8" t="str">
        <f t="shared" si="84"/>
        <v>no</v>
      </c>
      <c r="J310" s="10" t="str">
        <f t="shared" si="75"/>
        <v>no</v>
      </c>
      <c r="K310" s="10" t="str">
        <f t="shared" si="76"/>
        <v>no</v>
      </c>
      <c r="L310" t="s">
        <v>140</v>
      </c>
      <c r="M310">
        <v>10363</v>
      </c>
      <c r="N310">
        <v>31</v>
      </c>
      <c r="O310" t="s">
        <v>695</v>
      </c>
      <c r="P310" t="str">
        <f t="shared" si="77"/>
        <v>DRACD_10363_Gorgonzola Telino</v>
      </c>
      <c r="Q310" t="str">
        <f t="shared" si="78"/>
        <v>10363</v>
      </c>
      <c r="R310" t="str">
        <f t="shared" si="79"/>
        <v>10363</v>
      </c>
      <c r="S310" t="str">
        <f t="shared" si="80"/>
        <v>Gorgonzola Telino</v>
      </c>
      <c r="T310">
        <v>10</v>
      </c>
      <c r="U310">
        <v>20</v>
      </c>
      <c r="V310">
        <v>0</v>
      </c>
      <c r="W310">
        <f t="shared" si="81"/>
        <v>200</v>
      </c>
      <c r="X310" t="str">
        <f t="shared" si="82"/>
        <v>No</v>
      </c>
      <c r="Y310" s="2">
        <v>34695</v>
      </c>
      <c r="Z310" t="str">
        <f t="shared" si="68"/>
        <v/>
      </c>
      <c r="AA310" t="str">
        <f t="shared" si="83"/>
        <v/>
      </c>
      <c r="AB310" t="str" cm="1">
        <f t="array" ref="AB310">_xlfn.IFS(Y310&lt;DATE(1996,1,1),"",Y310&lt;DATE(1996,4,1),"Q1",Y310&lt;DATE(1996,7,1),"Q2",Y310&gt;=DATE(1996,7,1),"")</f>
        <v/>
      </c>
    </row>
    <row r="311" spans="1:28" ht="14.4" x14ac:dyDescent="0.55000000000000004">
      <c r="A311" t="str">
        <f>VLOOKUP(L311,Customers!$A$2:$B$92,2,FALSE)</f>
        <v>Drachenblut Delikatessen</v>
      </c>
      <c r="B311" t="str">
        <f>VLOOKUP(L311,Customers!$A$2:$C$92,3,TRUE)</f>
        <v>Sven Ottlieb</v>
      </c>
      <c r="C311" t="str">
        <f t="shared" si="69"/>
        <v>Sven</v>
      </c>
      <c r="D311" s="8" t="str">
        <f t="shared" si="70"/>
        <v>Ottlieb</v>
      </c>
      <c r="E311" s="8" t="str">
        <f t="shared" si="71"/>
        <v>Ottlieb, Sven</v>
      </c>
      <c r="F311" s="8" t="str">
        <f t="shared" si="72"/>
        <v>Ottlieb, Sven</v>
      </c>
      <c r="G311" s="8" t="str">
        <f t="shared" si="73"/>
        <v>not an outlier</v>
      </c>
      <c r="H311" s="8" t="str">
        <f t="shared" si="74"/>
        <v>Not</v>
      </c>
      <c r="I311" s="8" t="str">
        <f t="shared" si="84"/>
        <v>no</v>
      </c>
      <c r="J311" s="10" t="str">
        <f t="shared" si="75"/>
        <v>no</v>
      </c>
      <c r="K311" s="10" t="str">
        <f t="shared" si="76"/>
        <v>no</v>
      </c>
      <c r="L311" t="s">
        <v>140</v>
      </c>
      <c r="M311">
        <v>10363</v>
      </c>
      <c r="N311">
        <v>75</v>
      </c>
      <c r="O311" t="s">
        <v>731</v>
      </c>
      <c r="P311" t="str">
        <f t="shared" si="77"/>
        <v>DRACD_10363_Rhönbräu Klosterbier</v>
      </c>
      <c r="Q311" t="str">
        <f t="shared" si="78"/>
        <v>10363</v>
      </c>
      <c r="R311" t="str">
        <f t="shared" si="79"/>
        <v>10363</v>
      </c>
      <c r="S311" t="str">
        <f t="shared" si="80"/>
        <v>Rhönbräu Klosterbier</v>
      </c>
      <c r="T311">
        <v>6.2</v>
      </c>
      <c r="U311">
        <v>12</v>
      </c>
      <c r="V311">
        <v>0</v>
      </c>
      <c r="W311">
        <f t="shared" si="81"/>
        <v>74.400000000000006</v>
      </c>
      <c r="X311" t="str">
        <f t="shared" si="82"/>
        <v>No</v>
      </c>
      <c r="Y311" s="2">
        <v>34695</v>
      </c>
      <c r="Z311" t="str">
        <f t="shared" si="68"/>
        <v/>
      </c>
      <c r="AA311" t="str">
        <f t="shared" si="83"/>
        <v/>
      </c>
      <c r="AB311" t="str" cm="1">
        <f t="array" ref="AB311">_xlfn.IFS(Y311&lt;DATE(1996,1,1),"",Y311&lt;DATE(1996,4,1),"Q1",Y311&lt;DATE(1996,7,1),"Q2",Y311&gt;=DATE(1996,7,1),"")</f>
        <v/>
      </c>
    </row>
    <row r="312" spans="1:28" ht="14.4" x14ac:dyDescent="0.55000000000000004">
      <c r="A312" t="str">
        <f>VLOOKUP(L312,Customers!$A$2:$B$92,2,FALSE)</f>
        <v>Drachenblut Delikatessen</v>
      </c>
      <c r="B312" t="str">
        <f>VLOOKUP(L312,Customers!$A$2:$C$92,3,TRUE)</f>
        <v>Sven Ottlieb</v>
      </c>
      <c r="C312" t="str">
        <f t="shared" si="69"/>
        <v>Sven</v>
      </c>
      <c r="D312" s="8" t="str">
        <f t="shared" si="70"/>
        <v>Ottlieb</v>
      </c>
      <c r="E312" s="8" t="str">
        <f t="shared" si="71"/>
        <v>Ottlieb, Sven</v>
      </c>
      <c r="F312" s="8" t="str">
        <f t="shared" si="72"/>
        <v>Ottlieb, Sven</v>
      </c>
      <c r="G312" s="8" t="str">
        <f t="shared" si="73"/>
        <v>not an outlier</v>
      </c>
      <c r="H312" s="8" t="str">
        <f t="shared" si="74"/>
        <v>Not</v>
      </c>
      <c r="I312" s="8" t="str">
        <f t="shared" si="84"/>
        <v>no</v>
      </c>
      <c r="J312" s="10" t="str">
        <f t="shared" si="75"/>
        <v>no</v>
      </c>
      <c r="K312" s="10" t="str">
        <f t="shared" si="76"/>
        <v>no</v>
      </c>
      <c r="L312" t="s">
        <v>140</v>
      </c>
      <c r="M312">
        <v>10363</v>
      </c>
      <c r="N312">
        <v>76</v>
      </c>
      <c r="O312" t="s">
        <v>721</v>
      </c>
      <c r="P312" t="str">
        <f t="shared" si="77"/>
        <v>DRACD_10363_Lakkalikööri</v>
      </c>
      <c r="Q312" t="str">
        <f t="shared" si="78"/>
        <v>10363</v>
      </c>
      <c r="R312" t="str">
        <f t="shared" si="79"/>
        <v>10363</v>
      </c>
      <c r="S312" t="str">
        <f t="shared" si="80"/>
        <v>Lakkalikööri</v>
      </c>
      <c r="T312">
        <v>14.4</v>
      </c>
      <c r="U312">
        <v>12</v>
      </c>
      <c r="V312">
        <v>0</v>
      </c>
      <c r="W312">
        <f t="shared" si="81"/>
        <v>172.8</v>
      </c>
      <c r="X312" t="str">
        <f t="shared" si="82"/>
        <v>No</v>
      </c>
      <c r="Y312" s="2">
        <v>34695</v>
      </c>
      <c r="Z312" t="str">
        <f t="shared" si="68"/>
        <v/>
      </c>
      <c r="AA312" t="str">
        <f t="shared" si="83"/>
        <v/>
      </c>
      <c r="AB312" t="str" cm="1">
        <f t="array" ref="AB312">_xlfn.IFS(Y312&lt;DATE(1996,1,1),"",Y312&lt;DATE(1996,4,1),"Q1",Y312&lt;DATE(1996,7,1),"Q2",Y312&gt;=DATE(1996,7,1),"")</f>
        <v/>
      </c>
    </row>
    <row r="313" spans="1:28" ht="14.4" x14ac:dyDescent="0.55000000000000004">
      <c r="A313" t="str">
        <f>VLOOKUP(L313,Customers!$A$2:$B$92,2,FALSE)</f>
        <v>Eastern Connection</v>
      </c>
      <c r="B313" t="str">
        <f>VLOOKUP(L313,Customers!$A$2:$C$92,3,TRUE)</f>
        <v>Ann Devon</v>
      </c>
      <c r="C313" t="str">
        <f t="shared" si="69"/>
        <v>Ann</v>
      </c>
      <c r="D313" s="8" t="str">
        <f t="shared" si="70"/>
        <v>Devon</v>
      </c>
      <c r="E313" s="8" t="str">
        <f t="shared" si="71"/>
        <v>Devon, Ann</v>
      </c>
      <c r="F313" s="8" t="str">
        <f t="shared" si="72"/>
        <v>Devon, Ann</v>
      </c>
      <c r="G313" s="8" t="str">
        <f t="shared" si="73"/>
        <v>not an outlier</v>
      </c>
      <c r="H313" s="8" t="str">
        <f t="shared" si="74"/>
        <v>Not</v>
      </c>
      <c r="I313" s="8" t="str">
        <f t="shared" si="84"/>
        <v>no</v>
      </c>
      <c r="J313" s="10" t="str">
        <f t="shared" si="75"/>
        <v>no</v>
      </c>
      <c r="K313" s="10" t="str">
        <f t="shared" si="76"/>
        <v>no</v>
      </c>
      <c r="L313" t="s">
        <v>154</v>
      </c>
      <c r="M313">
        <v>10364</v>
      </c>
      <c r="N313">
        <v>69</v>
      </c>
      <c r="O313" t="s">
        <v>743</v>
      </c>
      <c r="P313" t="str">
        <f t="shared" si="77"/>
        <v>EASTC_10364_Gudbrandsdalsost</v>
      </c>
      <c r="Q313" t="str">
        <f t="shared" si="78"/>
        <v>10364</v>
      </c>
      <c r="R313" t="str">
        <f t="shared" si="79"/>
        <v>10364</v>
      </c>
      <c r="S313" t="str">
        <f t="shared" si="80"/>
        <v>Gudbrandsdalsost</v>
      </c>
      <c r="T313">
        <v>28.8</v>
      </c>
      <c r="U313">
        <v>30</v>
      </c>
      <c r="V313">
        <v>0</v>
      </c>
      <c r="W313">
        <f t="shared" si="81"/>
        <v>864</v>
      </c>
      <c r="X313" t="str">
        <f t="shared" si="82"/>
        <v>No</v>
      </c>
      <c r="Y313" s="2">
        <v>34695</v>
      </c>
      <c r="Z313" t="str">
        <f t="shared" si="68"/>
        <v/>
      </c>
      <c r="AA313" t="str">
        <f t="shared" si="83"/>
        <v/>
      </c>
      <c r="AB313" t="str" cm="1">
        <f t="array" ref="AB313">_xlfn.IFS(Y313&lt;DATE(1996,1,1),"",Y313&lt;DATE(1996,4,1),"Q1",Y313&lt;DATE(1996,7,1),"Q2",Y313&gt;=DATE(1996,7,1),"")</f>
        <v/>
      </c>
    </row>
    <row r="314" spans="1:28" ht="14.4" x14ac:dyDescent="0.55000000000000004">
      <c r="A314" t="str">
        <f>VLOOKUP(L314,Customers!$A$2:$B$92,2,FALSE)</f>
        <v>Eastern Connection</v>
      </c>
      <c r="B314" t="str">
        <f>VLOOKUP(L314,Customers!$A$2:$C$92,3,TRUE)</f>
        <v>Ann Devon</v>
      </c>
      <c r="C314" t="str">
        <f t="shared" si="69"/>
        <v>Ann</v>
      </c>
      <c r="D314" s="8" t="str">
        <f t="shared" si="70"/>
        <v>Devon</v>
      </c>
      <c r="E314" s="8" t="str">
        <f t="shared" si="71"/>
        <v>Devon, Ann</v>
      </c>
      <c r="F314" s="8" t="str">
        <f t="shared" si="72"/>
        <v>Devon, Ann</v>
      </c>
      <c r="G314" s="8" t="str">
        <f t="shared" si="73"/>
        <v>not an outlier</v>
      </c>
      <c r="H314" s="8" t="str">
        <f t="shared" si="74"/>
        <v>Not</v>
      </c>
      <c r="I314" s="8" t="str">
        <f t="shared" si="84"/>
        <v>no</v>
      </c>
      <c r="J314" s="10" t="str">
        <f t="shared" si="75"/>
        <v>no</v>
      </c>
      <c r="K314" s="10" t="str">
        <f t="shared" si="76"/>
        <v>no</v>
      </c>
      <c r="L314" t="s">
        <v>154</v>
      </c>
      <c r="M314">
        <v>10364</v>
      </c>
      <c r="N314">
        <v>71</v>
      </c>
      <c r="O314" t="s">
        <v>725</v>
      </c>
      <c r="P314" t="str">
        <f t="shared" si="77"/>
        <v>EASTC_10364_Fløtemysost</v>
      </c>
      <c r="Q314" t="str">
        <f t="shared" si="78"/>
        <v>10364</v>
      </c>
      <c r="R314" t="str">
        <f t="shared" si="79"/>
        <v>10364</v>
      </c>
      <c r="S314" t="str">
        <f t="shared" si="80"/>
        <v>Fløtemysost</v>
      </c>
      <c r="T314">
        <v>17.2</v>
      </c>
      <c r="U314">
        <v>5</v>
      </c>
      <c r="V314">
        <v>0</v>
      </c>
      <c r="W314">
        <f t="shared" si="81"/>
        <v>86</v>
      </c>
      <c r="X314" t="str">
        <f t="shared" si="82"/>
        <v>No</v>
      </c>
      <c r="Y314" s="2">
        <v>34695</v>
      </c>
      <c r="Z314" t="str">
        <f t="shared" si="68"/>
        <v/>
      </c>
      <c r="AA314" t="str">
        <f t="shared" si="83"/>
        <v/>
      </c>
      <c r="AB314" t="str" cm="1">
        <f t="array" ref="AB314">_xlfn.IFS(Y314&lt;DATE(1996,1,1),"",Y314&lt;DATE(1996,4,1),"Q1",Y314&lt;DATE(1996,7,1),"Q2",Y314&gt;=DATE(1996,7,1),"")</f>
        <v/>
      </c>
    </row>
    <row r="315" spans="1:28" ht="14.4" x14ac:dyDescent="0.55000000000000004">
      <c r="A315" t="str">
        <f>VLOOKUP(L315,Customers!$A$2:$B$92,2,FALSE)</f>
        <v>Antonio Moreno Taquería</v>
      </c>
      <c r="B315" t="str">
        <f>VLOOKUP(L315,Customers!$A$2:$C$92,3,TRUE)</f>
        <v>Antonio Moreno</v>
      </c>
      <c r="C315" t="str">
        <f t="shared" si="69"/>
        <v>Antonio</v>
      </c>
      <c r="D315" s="8" t="str">
        <f t="shared" si="70"/>
        <v>Moreno</v>
      </c>
      <c r="E315" s="8" t="str">
        <f t="shared" si="71"/>
        <v>Moreno, Antonio</v>
      </c>
      <c r="F315" s="8" t="str">
        <f t="shared" si="72"/>
        <v>Moreno, Antonio</v>
      </c>
      <c r="G315" s="8" t="str">
        <f t="shared" si="73"/>
        <v>not an outlier</v>
      </c>
      <c r="H315" s="8" t="str">
        <f t="shared" si="74"/>
        <v>Not</v>
      </c>
      <c r="I315" s="8" t="str">
        <f t="shared" si="84"/>
        <v>no</v>
      </c>
      <c r="J315" s="10" t="str">
        <f t="shared" si="75"/>
        <v>no</v>
      </c>
      <c r="K315" s="10" t="str">
        <f t="shared" si="76"/>
        <v>no</v>
      </c>
      <c r="L315" t="s">
        <v>29</v>
      </c>
      <c r="M315">
        <v>10365</v>
      </c>
      <c r="N315">
        <v>11</v>
      </c>
      <c r="O315" t="s">
        <v>683</v>
      </c>
      <c r="P315" t="str">
        <f t="shared" si="77"/>
        <v>ANTON_10365_Queso Cabrales</v>
      </c>
      <c r="Q315" t="str">
        <f t="shared" si="78"/>
        <v>10365</v>
      </c>
      <c r="R315" t="str">
        <f t="shared" si="79"/>
        <v>10365</v>
      </c>
      <c r="S315" t="str">
        <f t="shared" si="80"/>
        <v>Queso Cabrales</v>
      </c>
      <c r="T315">
        <v>16.8</v>
      </c>
      <c r="U315">
        <v>24</v>
      </c>
      <c r="V315">
        <v>0</v>
      </c>
      <c r="W315">
        <f t="shared" si="81"/>
        <v>403.20000000000005</v>
      </c>
      <c r="X315" t="str">
        <f t="shared" si="82"/>
        <v>No</v>
      </c>
      <c r="Y315" s="2">
        <v>34696</v>
      </c>
      <c r="Z315" t="str">
        <f t="shared" si="68"/>
        <v/>
      </c>
      <c r="AA315" t="str">
        <f t="shared" si="83"/>
        <v/>
      </c>
      <c r="AB315" t="str" cm="1">
        <f t="array" ref="AB315">_xlfn.IFS(Y315&lt;DATE(1996,1,1),"",Y315&lt;DATE(1996,4,1),"Q1",Y315&lt;DATE(1996,7,1),"Q2",Y315&gt;=DATE(1996,7,1),"")</f>
        <v/>
      </c>
    </row>
    <row r="316" spans="1:28" ht="14.4" x14ac:dyDescent="0.55000000000000004">
      <c r="A316" t="str">
        <f>VLOOKUP(L316,Customers!$A$2:$B$92,2,FALSE)</f>
        <v>Galería del gastrónomo</v>
      </c>
      <c r="B316" t="str">
        <f>VLOOKUP(L316,Customers!$A$2:$C$92,3,TRUE)</f>
        <v>Eduardo Saavedra</v>
      </c>
      <c r="C316" t="str">
        <f t="shared" si="69"/>
        <v>Eduardo</v>
      </c>
      <c r="D316" s="8" t="str">
        <f t="shared" si="70"/>
        <v>Saavedra</v>
      </c>
      <c r="E316" s="8" t="str">
        <f t="shared" si="71"/>
        <v>Saavedra, Eduardo</v>
      </c>
      <c r="F316" s="8" t="str">
        <f t="shared" si="72"/>
        <v>Saavedra, Eduardo</v>
      </c>
      <c r="G316" s="8" t="str">
        <f t="shared" si="73"/>
        <v>not an outlier</v>
      </c>
      <c r="H316" s="8" t="str">
        <f t="shared" si="74"/>
        <v>Not</v>
      </c>
      <c r="I316" s="8" t="str">
        <f t="shared" si="84"/>
        <v>no</v>
      </c>
      <c r="J316" s="10" t="str">
        <f t="shared" si="75"/>
        <v>no</v>
      </c>
      <c r="K316" s="10" t="str">
        <f t="shared" si="76"/>
        <v>no</v>
      </c>
      <c r="L316" t="s">
        <v>227</v>
      </c>
      <c r="M316">
        <v>10366</v>
      </c>
      <c r="N316">
        <v>65</v>
      </c>
      <c r="O316" t="s">
        <v>689</v>
      </c>
      <c r="P316" t="str">
        <f t="shared" si="77"/>
        <v>GALED_10366_Louisiana Fiery Hot Pepper Sauce</v>
      </c>
      <c r="Q316" t="str">
        <f t="shared" si="78"/>
        <v>10366</v>
      </c>
      <c r="R316" t="str">
        <f t="shared" si="79"/>
        <v>10366</v>
      </c>
      <c r="S316" t="str">
        <f t="shared" si="80"/>
        <v>Louisiana Fiery Hot Pepper Sauce</v>
      </c>
      <c r="T316">
        <v>16.8</v>
      </c>
      <c r="U316">
        <v>5</v>
      </c>
      <c r="V316">
        <v>0</v>
      </c>
      <c r="W316">
        <f t="shared" si="81"/>
        <v>84</v>
      </c>
      <c r="X316" t="str">
        <f t="shared" si="82"/>
        <v>No</v>
      </c>
      <c r="Y316" s="2">
        <v>34697</v>
      </c>
      <c r="Z316" t="str">
        <f t="shared" si="68"/>
        <v/>
      </c>
      <c r="AA316" t="str">
        <f t="shared" si="83"/>
        <v/>
      </c>
      <c r="AB316" t="str" cm="1">
        <f t="array" ref="AB316">_xlfn.IFS(Y316&lt;DATE(1996,1,1),"",Y316&lt;DATE(1996,4,1),"Q1",Y316&lt;DATE(1996,7,1),"Q2",Y316&gt;=DATE(1996,7,1),"")</f>
        <v/>
      </c>
    </row>
    <row r="317" spans="1:28" ht="14.4" x14ac:dyDescent="0.55000000000000004">
      <c r="A317" t="str">
        <f>VLOOKUP(L317,Customers!$A$2:$B$92,2,FALSE)</f>
        <v>Galería del gastrónomo</v>
      </c>
      <c r="B317" t="str">
        <f>VLOOKUP(L317,Customers!$A$2:$C$92,3,TRUE)</f>
        <v>Eduardo Saavedra</v>
      </c>
      <c r="C317" t="str">
        <f t="shared" si="69"/>
        <v>Eduardo</v>
      </c>
      <c r="D317" s="8" t="str">
        <f t="shared" si="70"/>
        <v>Saavedra</v>
      </c>
      <c r="E317" s="8" t="str">
        <f t="shared" si="71"/>
        <v>Saavedra, Eduardo</v>
      </c>
      <c r="F317" s="8" t="str">
        <f t="shared" si="72"/>
        <v>Saavedra, Eduardo</v>
      </c>
      <c r="G317" s="8" t="str">
        <f t="shared" si="73"/>
        <v>not an outlier</v>
      </c>
      <c r="H317" s="8" t="str">
        <f t="shared" si="74"/>
        <v>Not</v>
      </c>
      <c r="I317" s="8" t="str">
        <f t="shared" si="84"/>
        <v>no</v>
      </c>
      <c r="J317" s="10" t="str">
        <f t="shared" si="75"/>
        <v>no</v>
      </c>
      <c r="K317" s="10" t="str">
        <f t="shared" si="76"/>
        <v>no</v>
      </c>
      <c r="L317" t="s">
        <v>227</v>
      </c>
      <c r="M317">
        <v>10366</v>
      </c>
      <c r="N317">
        <v>77</v>
      </c>
      <c r="O317" t="s">
        <v>706</v>
      </c>
      <c r="P317" t="str">
        <f t="shared" si="77"/>
        <v>GALED_10366_Original Frankfurter grüne Soße</v>
      </c>
      <c r="Q317" t="str">
        <f t="shared" si="78"/>
        <v>10366</v>
      </c>
      <c r="R317" t="str">
        <f t="shared" si="79"/>
        <v>10366</v>
      </c>
      <c r="S317" t="str">
        <f t="shared" si="80"/>
        <v>Original Frankfurter grüne Soße</v>
      </c>
      <c r="T317">
        <v>10.4</v>
      </c>
      <c r="U317">
        <v>5</v>
      </c>
      <c r="V317">
        <v>0</v>
      </c>
      <c r="W317">
        <f t="shared" si="81"/>
        <v>52</v>
      </c>
      <c r="X317" t="str">
        <f t="shared" si="82"/>
        <v>No</v>
      </c>
      <c r="Y317" s="2">
        <v>34697</v>
      </c>
      <c r="Z317" t="str">
        <f t="shared" si="68"/>
        <v/>
      </c>
      <c r="AA317" t="str">
        <f t="shared" si="83"/>
        <v/>
      </c>
      <c r="AB317" t="str" cm="1">
        <f t="array" ref="AB317">_xlfn.IFS(Y317&lt;DATE(1996,1,1),"",Y317&lt;DATE(1996,4,1),"Q1",Y317&lt;DATE(1996,7,1),"Q2",Y317&gt;=DATE(1996,7,1),"")</f>
        <v/>
      </c>
    </row>
    <row r="318" spans="1:28" ht="14.4" x14ac:dyDescent="0.55000000000000004">
      <c r="A318" t="str">
        <f>VLOOKUP(L318,Customers!$A$2:$B$92,2,FALSE)</f>
        <v>Vaffeljernet</v>
      </c>
      <c r="B318" t="str">
        <f>VLOOKUP(L318,Customers!$A$2:$C$92,3,TRUE)</f>
        <v>Palle Ibsen</v>
      </c>
      <c r="C318" t="str">
        <f t="shared" si="69"/>
        <v>Palle</v>
      </c>
      <c r="D318" s="8" t="str">
        <f t="shared" si="70"/>
        <v>Ibsen</v>
      </c>
      <c r="E318" s="8" t="str">
        <f t="shared" si="71"/>
        <v>Ibsen, Palle</v>
      </c>
      <c r="F318" s="8" t="str">
        <f t="shared" si="72"/>
        <v>Ibsen, Palle</v>
      </c>
      <c r="G318" s="8" t="str">
        <f t="shared" si="73"/>
        <v>not an outlier</v>
      </c>
      <c r="H318" s="8" t="str">
        <f t="shared" si="74"/>
        <v>Not</v>
      </c>
      <c r="I318" s="8" t="str">
        <f t="shared" si="84"/>
        <v>no</v>
      </c>
      <c r="J318" s="10" t="str">
        <f t="shared" si="75"/>
        <v>no</v>
      </c>
      <c r="K318" s="10" t="str">
        <f t="shared" si="76"/>
        <v>no</v>
      </c>
      <c r="L318" t="s">
        <v>612</v>
      </c>
      <c r="M318">
        <v>10367</v>
      </c>
      <c r="N318">
        <v>34</v>
      </c>
      <c r="O318" t="s">
        <v>736</v>
      </c>
      <c r="P318" t="str">
        <f t="shared" si="77"/>
        <v>VAFFE_10367_Sasquatch Ale</v>
      </c>
      <c r="Q318" t="str">
        <f t="shared" si="78"/>
        <v>10367</v>
      </c>
      <c r="R318" t="str">
        <f t="shared" si="79"/>
        <v>10367</v>
      </c>
      <c r="S318" t="str">
        <f t="shared" si="80"/>
        <v>Sasquatch Ale</v>
      </c>
      <c r="T318">
        <v>11.2</v>
      </c>
      <c r="U318">
        <v>36</v>
      </c>
      <c r="V318">
        <v>0</v>
      </c>
      <c r="W318">
        <f t="shared" si="81"/>
        <v>403.2</v>
      </c>
      <c r="X318" t="str">
        <f t="shared" si="82"/>
        <v>No</v>
      </c>
      <c r="Y318" s="2">
        <v>34697</v>
      </c>
      <c r="Z318" t="str">
        <f t="shared" si="68"/>
        <v/>
      </c>
      <c r="AA318" t="str">
        <f t="shared" si="83"/>
        <v/>
      </c>
      <c r="AB318" t="str" cm="1">
        <f t="array" ref="AB318">_xlfn.IFS(Y318&lt;DATE(1996,1,1),"",Y318&lt;DATE(1996,4,1),"Q1",Y318&lt;DATE(1996,7,1),"Q2",Y318&gt;=DATE(1996,7,1),"")</f>
        <v/>
      </c>
    </row>
    <row r="319" spans="1:28" ht="14.4" x14ac:dyDescent="0.55000000000000004">
      <c r="A319" t="str">
        <f>VLOOKUP(L319,Customers!$A$2:$B$92,2,FALSE)</f>
        <v>Vaffeljernet</v>
      </c>
      <c r="B319" t="str">
        <f>VLOOKUP(L319,Customers!$A$2:$C$92,3,TRUE)</f>
        <v>Palle Ibsen</v>
      </c>
      <c r="C319" t="str">
        <f t="shared" si="69"/>
        <v>Palle</v>
      </c>
      <c r="D319" s="8" t="str">
        <f t="shared" si="70"/>
        <v>Ibsen</v>
      </c>
      <c r="E319" s="8" t="str">
        <f t="shared" si="71"/>
        <v>Ibsen, Palle</v>
      </c>
      <c r="F319" s="8" t="str">
        <f t="shared" si="72"/>
        <v>Ibsen, Palle</v>
      </c>
      <c r="G319" s="8" t="str">
        <f t="shared" si="73"/>
        <v>not an outlier</v>
      </c>
      <c r="H319" s="8" t="str">
        <f t="shared" si="74"/>
        <v>Not</v>
      </c>
      <c r="I319" s="8" t="str">
        <f t="shared" si="84"/>
        <v>no</v>
      </c>
      <c r="J319" s="10" t="str">
        <f t="shared" si="75"/>
        <v>no</v>
      </c>
      <c r="K319" s="10" t="str">
        <f t="shared" si="76"/>
        <v>no</v>
      </c>
      <c r="L319" t="s">
        <v>612</v>
      </c>
      <c r="M319">
        <v>10367</v>
      </c>
      <c r="N319">
        <v>54</v>
      </c>
      <c r="O319" t="s">
        <v>738</v>
      </c>
      <c r="P319" t="str">
        <f t="shared" si="77"/>
        <v>VAFFE_10367_Tourtière</v>
      </c>
      <c r="Q319" t="str">
        <f t="shared" si="78"/>
        <v>10367</v>
      </c>
      <c r="R319" t="str">
        <f t="shared" si="79"/>
        <v>10367</v>
      </c>
      <c r="S319" t="str">
        <f t="shared" si="80"/>
        <v>Tourtière</v>
      </c>
      <c r="T319">
        <v>5.9</v>
      </c>
      <c r="U319">
        <v>18</v>
      </c>
      <c r="V319">
        <v>0</v>
      </c>
      <c r="W319">
        <f t="shared" si="81"/>
        <v>106.2</v>
      </c>
      <c r="X319" t="str">
        <f t="shared" si="82"/>
        <v>No</v>
      </c>
      <c r="Y319" s="2">
        <v>34697</v>
      </c>
      <c r="Z319" t="str">
        <f t="shared" si="68"/>
        <v/>
      </c>
      <c r="AA319" t="str">
        <f t="shared" si="83"/>
        <v/>
      </c>
      <c r="AB319" t="str" cm="1">
        <f t="array" ref="AB319">_xlfn.IFS(Y319&lt;DATE(1996,1,1),"",Y319&lt;DATE(1996,4,1),"Q1",Y319&lt;DATE(1996,7,1),"Q2",Y319&gt;=DATE(1996,7,1),"")</f>
        <v/>
      </c>
    </row>
    <row r="320" spans="1:28" ht="14.4" x14ac:dyDescent="0.55000000000000004">
      <c r="A320" t="str">
        <f>VLOOKUP(L320,Customers!$A$2:$B$92,2,FALSE)</f>
        <v>Vaffeljernet</v>
      </c>
      <c r="B320" t="str">
        <f>VLOOKUP(L320,Customers!$A$2:$C$92,3,TRUE)</f>
        <v>Palle Ibsen</v>
      </c>
      <c r="C320" t="str">
        <f t="shared" si="69"/>
        <v>Palle</v>
      </c>
      <c r="D320" s="8" t="str">
        <f t="shared" si="70"/>
        <v>Ibsen</v>
      </c>
      <c r="E320" s="8" t="str">
        <f t="shared" si="71"/>
        <v>Ibsen, Palle</v>
      </c>
      <c r="F320" s="8" t="str">
        <f t="shared" si="72"/>
        <v>Ibsen, Palle</v>
      </c>
      <c r="G320" s="8" t="str">
        <f t="shared" si="73"/>
        <v>not an outlier</v>
      </c>
      <c r="H320" s="8" t="str">
        <f t="shared" si="74"/>
        <v>Not</v>
      </c>
      <c r="I320" s="8" t="str">
        <f t="shared" si="84"/>
        <v>no</v>
      </c>
      <c r="J320" s="10" t="str">
        <f t="shared" si="75"/>
        <v>no</v>
      </c>
      <c r="K320" s="10" t="str">
        <f t="shared" si="76"/>
        <v>no</v>
      </c>
      <c r="L320" t="s">
        <v>612</v>
      </c>
      <c r="M320">
        <v>10367</v>
      </c>
      <c r="N320">
        <v>65</v>
      </c>
      <c r="O320" t="s">
        <v>689</v>
      </c>
      <c r="P320" t="str">
        <f t="shared" si="77"/>
        <v>VAFFE_10367_Louisiana Fiery Hot Pepper Sauce</v>
      </c>
      <c r="Q320" t="str">
        <f t="shared" si="78"/>
        <v>10367</v>
      </c>
      <c r="R320" t="str">
        <f t="shared" si="79"/>
        <v>10367</v>
      </c>
      <c r="S320" t="str">
        <f t="shared" si="80"/>
        <v>Louisiana Fiery Hot Pepper Sauce</v>
      </c>
      <c r="T320">
        <v>16.8</v>
      </c>
      <c r="U320">
        <v>15</v>
      </c>
      <c r="V320">
        <v>0</v>
      </c>
      <c r="W320">
        <f t="shared" si="81"/>
        <v>252</v>
      </c>
      <c r="X320" t="str">
        <f t="shared" si="82"/>
        <v>No</v>
      </c>
      <c r="Y320" s="2">
        <v>34697</v>
      </c>
      <c r="Z320" t="str">
        <f t="shared" si="68"/>
        <v/>
      </c>
      <c r="AA320" t="str">
        <f t="shared" si="83"/>
        <v/>
      </c>
      <c r="AB320" t="str" cm="1">
        <f t="array" ref="AB320">_xlfn.IFS(Y320&lt;DATE(1996,1,1),"",Y320&lt;DATE(1996,4,1),"Q1",Y320&lt;DATE(1996,7,1),"Q2",Y320&gt;=DATE(1996,7,1),"")</f>
        <v/>
      </c>
    </row>
    <row r="321" spans="1:28" ht="14.4" x14ac:dyDescent="0.55000000000000004">
      <c r="A321" t="str">
        <f>VLOOKUP(L321,Customers!$A$2:$B$92,2,FALSE)</f>
        <v>Vaffeljernet</v>
      </c>
      <c r="B321" t="str">
        <f>VLOOKUP(L321,Customers!$A$2:$C$92,3,TRUE)</f>
        <v>Palle Ibsen</v>
      </c>
      <c r="C321" t="str">
        <f t="shared" si="69"/>
        <v>Palle</v>
      </c>
      <c r="D321" s="8" t="str">
        <f t="shared" si="70"/>
        <v>Ibsen</v>
      </c>
      <c r="E321" s="8" t="str">
        <f t="shared" si="71"/>
        <v>Ibsen, Palle</v>
      </c>
      <c r="F321" s="8" t="str">
        <f t="shared" si="72"/>
        <v>Ibsen, Palle</v>
      </c>
      <c r="G321" s="8" t="str">
        <f t="shared" si="73"/>
        <v>not an outlier</v>
      </c>
      <c r="H321" s="8" t="str">
        <f t="shared" si="74"/>
        <v>Not</v>
      </c>
      <c r="I321" s="8" t="str">
        <f t="shared" si="84"/>
        <v>no</v>
      </c>
      <c r="J321" s="10" t="str">
        <f t="shared" si="75"/>
        <v>no</v>
      </c>
      <c r="K321" s="10" t="str">
        <f t="shared" si="76"/>
        <v>no</v>
      </c>
      <c r="L321" t="s">
        <v>612</v>
      </c>
      <c r="M321">
        <v>10367</v>
      </c>
      <c r="N321">
        <v>77</v>
      </c>
      <c r="O321" t="s">
        <v>706</v>
      </c>
      <c r="P321" t="str">
        <f t="shared" si="77"/>
        <v>VAFFE_10367_Original Frankfurter grüne Soße</v>
      </c>
      <c r="Q321" t="str">
        <f t="shared" si="78"/>
        <v>10367</v>
      </c>
      <c r="R321" t="str">
        <f t="shared" si="79"/>
        <v>10367</v>
      </c>
      <c r="S321" t="str">
        <f t="shared" si="80"/>
        <v>Original Frankfurter grüne Soße</v>
      </c>
      <c r="T321">
        <v>10.4</v>
      </c>
      <c r="U321">
        <v>7</v>
      </c>
      <c r="V321">
        <v>0</v>
      </c>
      <c r="W321">
        <f t="shared" si="81"/>
        <v>72.8</v>
      </c>
      <c r="X321" t="str">
        <f t="shared" si="82"/>
        <v>No</v>
      </c>
      <c r="Y321" s="2">
        <v>34697</v>
      </c>
      <c r="Z321" t="str">
        <f t="shared" ref="Z321:Z384" si="85">IF(Y321&gt;=DATE(1996,1,1), IF(Y321&lt;DATE(1996,4,1),"1st Q 1996",""),"")</f>
        <v/>
      </c>
      <c r="AA321" t="str">
        <f t="shared" si="83"/>
        <v/>
      </c>
      <c r="AB321" t="str" cm="1">
        <f t="array" ref="AB321">_xlfn.IFS(Y321&lt;DATE(1996,1,1),"",Y321&lt;DATE(1996,4,1),"Q1",Y321&lt;DATE(1996,7,1),"Q2",Y321&gt;=DATE(1996,7,1),"")</f>
        <v/>
      </c>
    </row>
    <row r="322" spans="1:28" ht="14.4" x14ac:dyDescent="0.55000000000000004">
      <c r="A322" t="str">
        <f>VLOOKUP(L322,Customers!$A$2:$B$92,2,FALSE)</f>
        <v>Ernst Handel</v>
      </c>
      <c r="B322" t="str">
        <f>VLOOKUP(L322,Customers!$A$2:$C$92,3,TRUE)</f>
        <v>Roland Mendel</v>
      </c>
      <c r="C322" t="str">
        <f t="shared" si="69"/>
        <v>Roland</v>
      </c>
      <c r="D322" s="8" t="str">
        <f t="shared" si="70"/>
        <v>Mendel</v>
      </c>
      <c r="E322" s="8" t="str">
        <f t="shared" si="71"/>
        <v>Mendel, Roland</v>
      </c>
      <c r="F322" s="8" t="str">
        <f t="shared" si="72"/>
        <v>Mendel, Roland</v>
      </c>
      <c r="G322" s="8" t="str">
        <f t="shared" si="73"/>
        <v>not an outlier</v>
      </c>
      <c r="H322" s="8" t="str">
        <f t="shared" si="74"/>
        <v>Not</v>
      </c>
      <c r="I322" s="8" t="str">
        <f t="shared" si="84"/>
        <v>no</v>
      </c>
      <c r="J322" s="10" t="str">
        <f t="shared" si="75"/>
        <v>no</v>
      </c>
      <c r="K322" s="10" t="str">
        <f t="shared" si="76"/>
        <v>no</v>
      </c>
      <c r="L322" t="s">
        <v>161</v>
      </c>
      <c r="M322">
        <v>10368</v>
      </c>
      <c r="N322">
        <v>21</v>
      </c>
      <c r="O322" t="s">
        <v>710</v>
      </c>
      <c r="P322" t="str">
        <f t="shared" si="77"/>
        <v>ERNSH_10368_Sir Rodney's Scones</v>
      </c>
      <c r="Q322" t="str">
        <f t="shared" si="78"/>
        <v>10368</v>
      </c>
      <c r="R322" t="str">
        <f t="shared" si="79"/>
        <v>10368</v>
      </c>
      <c r="S322" t="str">
        <f t="shared" si="80"/>
        <v>Sir Rodney's Scones</v>
      </c>
      <c r="T322">
        <v>8</v>
      </c>
      <c r="U322">
        <v>5</v>
      </c>
      <c r="V322">
        <v>0.1</v>
      </c>
      <c r="W322">
        <f t="shared" si="81"/>
        <v>36</v>
      </c>
      <c r="X322" t="str">
        <f t="shared" si="82"/>
        <v>No</v>
      </c>
      <c r="Y322" s="2">
        <v>34698</v>
      </c>
      <c r="Z322" t="str">
        <f t="shared" si="85"/>
        <v/>
      </c>
      <c r="AA322" t="str">
        <f t="shared" si="83"/>
        <v/>
      </c>
      <c r="AB322" t="str" cm="1">
        <f t="array" ref="AB322">_xlfn.IFS(Y322&lt;DATE(1996,1,1),"",Y322&lt;DATE(1996,4,1),"Q1",Y322&lt;DATE(1996,7,1),"Q2",Y322&gt;=DATE(1996,7,1),"")</f>
        <v/>
      </c>
    </row>
    <row r="323" spans="1:28" ht="14.4" x14ac:dyDescent="0.55000000000000004">
      <c r="A323" t="str">
        <f>VLOOKUP(L323,Customers!$A$2:$B$92,2,FALSE)</f>
        <v>Ernst Handel</v>
      </c>
      <c r="B323" t="str">
        <f>VLOOKUP(L323,Customers!$A$2:$C$92,3,TRUE)</f>
        <v>Roland Mendel</v>
      </c>
      <c r="C323" t="str">
        <f t="shared" ref="C323:C386" si="86">LEFT(B323,FIND(" ",B323)-1)</f>
        <v>Roland</v>
      </c>
      <c r="D323" s="8" t="str">
        <f t="shared" ref="D323:D386" si="87">RIGHT(B323,LEN(B323)-FIND(" ",B323))</f>
        <v>Mendel</v>
      </c>
      <c r="E323" s="8" t="str">
        <f t="shared" ref="E323:E386" si="88">_xlfn.CONCAT(D323,", ",C323)</f>
        <v>Mendel, Roland</v>
      </c>
      <c r="F323" s="8" t="str">
        <f t="shared" ref="F323:F386" si="89">D323&amp;", "&amp;C323</f>
        <v>Mendel, Roland</v>
      </c>
      <c r="G323" s="8" t="str">
        <f t="shared" ref="G323:G386" si="90">IF(OR(W323&gt;$W$2166,W323&lt;$W$2167),"outlier","not an outlier")</f>
        <v>not an outlier</v>
      </c>
      <c r="H323" s="8" t="str">
        <f t="shared" ref="H323:H386" si="91">IF(OR(W323&gt;$W$2166,W323&lt;$W$2167),"outlier",IF(OR(W323&gt;$W$2168,W323&lt;$W$2169),"moderate","Not"))</f>
        <v>Not</v>
      </c>
      <c r="I323" s="8" t="str">
        <f t="shared" si="84"/>
        <v>no</v>
      </c>
      <c r="J323" s="10" t="str">
        <f t="shared" ref="J323:J386" si="92">IF(AND(W323&lt;=$W$2166,W323&gt;=$W$2167),"no","yes")</f>
        <v>no</v>
      </c>
      <c r="K323" s="10" t="str">
        <f t="shared" ref="K323:K386" si="93">IF(OR(W323&gt;$W$2166,W323&lt;$W$2167),"yes",IF(OR(W323&gt;$W$2168,W323&lt;$W$2169),"moderate","no"))</f>
        <v>no</v>
      </c>
      <c r="L323" t="s">
        <v>161</v>
      </c>
      <c r="M323">
        <v>10368</v>
      </c>
      <c r="N323">
        <v>28</v>
      </c>
      <c r="O323" t="s">
        <v>727</v>
      </c>
      <c r="P323" t="str">
        <f t="shared" ref="P323:P386" si="94">L323&amp;"_"&amp;M323&amp;"_"&amp;O323</f>
        <v>ERNSH_10368_Rössle Sauerkraut</v>
      </c>
      <c r="Q323" t="str">
        <f t="shared" ref="Q323:Q386" si="95">LEFT(RIGHT(P323,LEN(P323)-FIND("_",P323)), FIND("_",P323)-1)</f>
        <v>10368</v>
      </c>
      <c r="R323" t="str">
        <f t="shared" ref="R323:R386" si="96">MID(P323,FIND("_",P323)+1,FIND("_",P323,FIND("_",P323))-1)</f>
        <v>10368</v>
      </c>
      <c r="S323" t="str">
        <f t="shared" ref="S323:S386" si="97">MID(P323,FIND("_",P323,FIND("_",P323)+1)+1,LEN(P323))</f>
        <v>Rössle Sauerkraut</v>
      </c>
      <c r="T323">
        <v>36.4</v>
      </c>
      <c r="U323">
        <v>13</v>
      </c>
      <c r="V323">
        <v>0.1</v>
      </c>
      <c r="W323">
        <f t="shared" ref="W323:W386" si="98">T323*U323*(1-V323)</f>
        <v>425.88</v>
      </c>
      <c r="X323" t="str">
        <f t="shared" ref="X323:X386" si="99">IF(YEAR(Y323)&gt;=1996,"yes","No")</f>
        <v>No</v>
      </c>
      <c r="Y323" s="2">
        <v>34698</v>
      </c>
      <c r="Z323" t="str">
        <f t="shared" si="85"/>
        <v/>
      </c>
      <c r="AA323" t="str">
        <f t="shared" ref="AA323:AA386" si="100">IF(Y323&lt;DATE(1996,1,1),"", IF(Y323&lt;DATE(1996,4,1),"1st Q 1996",IF(Y323&lt;DATE(1996,7,1),"2nd Q 1996","")))</f>
        <v/>
      </c>
      <c r="AB323" t="str" cm="1">
        <f t="array" ref="AB323">_xlfn.IFS(Y323&lt;DATE(1996,1,1),"",Y323&lt;DATE(1996,4,1),"Q1",Y323&lt;DATE(1996,7,1),"Q2",Y323&gt;=DATE(1996,7,1),"")</f>
        <v/>
      </c>
    </row>
    <row r="324" spans="1:28" ht="14.4" x14ac:dyDescent="0.55000000000000004">
      <c r="A324" t="str">
        <f>VLOOKUP(L324,Customers!$A$2:$B$92,2,FALSE)</f>
        <v>Ernst Handel</v>
      </c>
      <c r="B324" t="str">
        <f>VLOOKUP(L324,Customers!$A$2:$C$92,3,TRUE)</f>
        <v>Roland Mendel</v>
      </c>
      <c r="C324" t="str">
        <f t="shared" si="86"/>
        <v>Roland</v>
      </c>
      <c r="D324" s="8" t="str">
        <f t="shared" si="87"/>
        <v>Mendel</v>
      </c>
      <c r="E324" s="8" t="str">
        <f t="shared" si="88"/>
        <v>Mendel, Roland</v>
      </c>
      <c r="F324" s="8" t="str">
        <f t="shared" si="89"/>
        <v>Mendel, Roland</v>
      </c>
      <c r="G324" s="8" t="str">
        <f t="shared" si="90"/>
        <v>not an outlier</v>
      </c>
      <c r="H324" s="8" t="str">
        <f t="shared" si="91"/>
        <v>Not</v>
      </c>
      <c r="I324" s="8" t="str">
        <f t="shared" ref="I324:I387" si="101">IF(OR(W324&gt;$W$2166,W324&lt;$W$2167),"yes","no")</f>
        <v>no</v>
      </c>
      <c r="J324" s="10" t="str">
        <f t="shared" si="92"/>
        <v>no</v>
      </c>
      <c r="K324" s="10" t="str">
        <f t="shared" si="93"/>
        <v>no</v>
      </c>
      <c r="L324" t="s">
        <v>161</v>
      </c>
      <c r="M324">
        <v>10368</v>
      </c>
      <c r="N324">
        <v>57</v>
      </c>
      <c r="O324" t="s">
        <v>691</v>
      </c>
      <c r="P324" t="str">
        <f t="shared" si="94"/>
        <v>ERNSH_10368_Ravioli Angelo</v>
      </c>
      <c r="Q324" t="str">
        <f t="shared" si="95"/>
        <v>10368</v>
      </c>
      <c r="R324" t="str">
        <f t="shared" si="96"/>
        <v>10368</v>
      </c>
      <c r="S324" t="str">
        <f t="shared" si="97"/>
        <v>Ravioli Angelo</v>
      </c>
      <c r="T324">
        <v>15.6</v>
      </c>
      <c r="U324">
        <v>25</v>
      </c>
      <c r="V324">
        <v>0</v>
      </c>
      <c r="W324">
        <f t="shared" si="98"/>
        <v>390</v>
      </c>
      <c r="X324" t="str">
        <f t="shared" si="99"/>
        <v>No</v>
      </c>
      <c r="Y324" s="2">
        <v>34698</v>
      </c>
      <c r="Z324" t="str">
        <f t="shared" si="85"/>
        <v/>
      </c>
      <c r="AA324" t="str">
        <f t="shared" si="100"/>
        <v/>
      </c>
      <c r="AB324" t="str" cm="1">
        <f t="array" ref="AB324">_xlfn.IFS(Y324&lt;DATE(1996,1,1),"",Y324&lt;DATE(1996,4,1),"Q1",Y324&lt;DATE(1996,7,1),"Q2",Y324&gt;=DATE(1996,7,1),"")</f>
        <v/>
      </c>
    </row>
    <row r="325" spans="1:28" ht="14.4" x14ac:dyDescent="0.55000000000000004">
      <c r="A325" t="str">
        <f>VLOOKUP(L325,Customers!$A$2:$B$92,2,FALSE)</f>
        <v>Ernst Handel</v>
      </c>
      <c r="B325" t="str">
        <f>VLOOKUP(L325,Customers!$A$2:$C$92,3,TRUE)</f>
        <v>Roland Mendel</v>
      </c>
      <c r="C325" t="str">
        <f t="shared" si="86"/>
        <v>Roland</v>
      </c>
      <c r="D325" s="8" t="str">
        <f t="shared" si="87"/>
        <v>Mendel</v>
      </c>
      <c r="E325" s="8" t="str">
        <f t="shared" si="88"/>
        <v>Mendel, Roland</v>
      </c>
      <c r="F325" s="8" t="str">
        <f t="shared" si="89"/>
        <v>Mendel, Roland</v>
      </c>
      <c r="G325" s="8" t="str">
        <f t="shared" si="90"/>
        <v>not an outlier</v>
      </c>
      <c r="H325" s="8" t="str">
        <f t="shared" si="91"/>
        <v>Not</v>
      </c>
      <c r="I325" s="8" t="str">
        <f t="shared" si="101"/>
        <v>no</v>
      </c>
      <c r="J325" s="10" t="str">
        <f t="shared" si="92"/>
        <v>no</v>
      </c>
      <c r="K325" s="10" t="str">
        <f t="shared" si="93"/>
        <v>no</v>
      </c>
      <c r="L325" t="s">
        <v>161</v>
      </c>
      <c r="M325">
        <v>10368</v>
      </c>
      <c r="N325">
        <v>64</v>
      </c>
      <c r="O325" t="s">
        <v>741</v>
      </c>
      <c r="P325" t="str">
        <f t="shared" si="94"/>
        <v>ERNSH_10368_Wimmers gute Semmelknödel</v>
      </c>
      <c r="Q325" t="str">
        <f t="shared" si="95"/>
        <v>10368</v>
      </c>
      <c r="R325" t="str">
        <f t="shared" si="96"/>
        <v>10368</v>
      </c>
      <c r="S325" t="str">
        <f t="shared" si="97"/>
        <v>Wimmers gute Semmelknödel</v>
      </c>
      <c r="T325">
        <v>26.6</v>
      </c>
      <c r="U325">
        <v>35</v>
      </c>
      <c r="V325">
        <v>0.1</v>
      </c>
      <c r="W325">
        <f t="shared" si="98"/>
        <v>837.9</v>
      </c>
      <c r="X325" t="str">
        <f t="shared" si="99"/>
        <v>No</v>
      </c>
      <c r="Y325" s="2">
        <v>34698</v>
      </c>
      <c r="Z325" t="str">
        <f t="shared" si="85"/>
        <v/>
      </c>
      <c r="AA325" t="str">
        <f t="shared" si="100"/>
        <v/>
      </c>
      <c r="AB325" t="str" cm="1">
        <f t="array" ref="AB325">_xlfn.IFS(Y325&lt;DATE(1996,1,1),"",Y325&lt;DATE(1996,4,1),"Q1",Y325&lt;DATE(1996,7,1),"Q2",Y325&gt;=DATE(1996,7,1),"")</f>
        <v/>
      </c>
    </row>
    <row r="326" spans="1:28" ht="14.4" x14ac:dyDescent="0.55000000000000004">
      <c r="A326" t="str">
        <f>VLOOKUP(L326,Customers!$A$2:$B$92,2,FALSE)</f>
        <v>Split Rail Beer &amp; Ale</v>
      </c>
      <c r="B326" t="str">
        <f>VLOOKUP(L326,Customers!$A$2:$C$92,3,TRUE)</f>
        <v>Art Braunschweiger</v>
      </c>
      <c r="C326" t="str">
        <f t="shared" si="86"/>
        <v>Art</v>
      </c>
      <c r="D326" s="8" t="str">
        <f t="shared" si="87"/>
        <v>Braunschweiger</v>
      </c>
      <c r="E326" s="8" t="str">
        <f t="shared" si="88"/>
        <v>Braunschweiger, Art</v>
      </c>
      <c r="F326" s="8" t="str">
        <f t="shared" si="89"/>
        <v>Braunschweiger, Art</v>
      </c>
      <c r="G326" s="8" t="str">
        <f t="shared" si="90"/>
        <v>not an outlier</v>
      </c>
      <c r="H326" s="8" t="str">
        <f t="shared" si="91"/>
        <v>Not</v>
      </c>
      <c r="I326" s="8" t="str">
        <f t="shared" si="101"/>
        <v>no</v>
      </c>
      <c r="J326" s="10" t="str">
        <f t="shared" si="92"/>
        <v>no</v>
      </c>
      <c r="K326" s="10" t="str">
        <f t="shared" si="93"/>
        <v>no</v>
      </c>
      <c r="L326" t="s">
        <v>557</v>
      </c>
      <c r="M326">
        <v>10369</v>
      </c>
      <c r="N326">
        <v>29</v>
      </c>
      <c r="O326" t="s">
        <v>722</v>
      </c>
      <c r="P326" t="str">
        <f t="shared" si="94"/>
        <v>SPLIR_10369_Thüringer Rostbratwurst</v>
      </c>
      <c r="Q326" t="str">
        <f t="shared" si="95"/>
        <v>10369</v>
      </c>
      <c r="R326" t="str">
        <f t="shared" si="96"/>
        <v>10369</v>
      </c>
      <c r="S326" t="str">
        <f t="shared" si="97"/>
        <v>Thüringer Rostbratwurst</v>
      </c>
      <c r="T326">
        <v>99</v>
      </c>
      <c r="U326">
        <v>20</v>
      </c>
      <c r="V326">
        <v>0</v>
      </c>
      <c r="W326">
        <f t="shared" si="98"/>
        <v>1980</v>
      </c>
      <c r="X326" t="str">
        <f t="shared" si="99"/>
        <v>No</v>
      </c>
      <c r="Y326" s="2">
        <v>34701</v>
      </c>
      <c r="Z326" t="str">
        <f t="shared" si="85"/>
        <v/>
      </c>
      <c r="AA326" t="str">
        <f t="shared" si="100"/>
        <v/>
      </c>
      <c r="AB326" t="str" cm="1">
        <f t="array" ref="AB326">_xlfn.IFS(Y326&lt;DATE(1996,1,1),"",Y326&lt;DATE(1996,4,1),"Q1",Y326&lt;DATE(1996,7,1),"Q2",Y326&gt;=DATE(1996,7,1),"")</f>
        <v/>
      </c>
    </row>
    <row r="327" spans="1:28" ht="14.4" x14ac:dyDescent="0.55000000000000004">
      <c r="A327" t="str">
        <f>VLOOKUP(L327,Customers!$A$2:$B$92,2,FALSE)</f>
        <v>Split Rail Beer &amp; Ale</v>
      </c>
      <c r="B327" t="str">
        <f>VLOOKUP(L327,Customers!$A$2:$C$92,3,TRUE)</f>
        <v>Art Braunschweiger</v>
      </c>
      <c r="C327" t="str">
        <f t="shared" si="86"/>
        <v>Art</v>
      </c>
      <c r="D327" s="8" t="str">
        <f t="shared" si="87"/>
        <v>Braunschweiger</v>
      </c>
      <c r="E327" s="8" t="str">
        <f t="shared" si="88"/>
        <v>Braunschweiger, Art</v>
      </c>
      <c r="F327" s="8" t="str">
        <f t="shared" si="89"/>
        <v>Braunschweiger, Art</v>
      </c>
      <c r="G327" s="8" t="str">
        <f t="shared" si="90"/>
        <v>not an outlier</v>
      </c>
      <c r="H327" s="8" t="str">
        <f t="shared" si="91"/>
        <v>Not</v>
      </c>
      <c r="I327" s="8" t="str">
        <f t="shared" si="101"/>
        <v>no</v>
      </c>
      <c r="J327" s="10" t="str">
        <f t="shared" si="92"/>
        <v>no</v>
      </c>
      <c r="K327" s="10" t="str">
        <f t="shared" si="93"/>
        <v>no</v>
      </c>
      <c r="L327" t="s">
        <v>557</v>
      </c>
      <c r="M327">
        <v>10369</v>
      </c>
      <c r="N327">
        <v>56</v>
      </c>
      <c r="O327" t="s">
        <v>716</v>
      </c>
      <c r="P327" t="str">
        <f t="shared" si="94"/>
        <v>SPLIR_10369_Gnocchi di nonna Alice</v>
      </c>
      <c r="Q327" t="str">
        <f t="shared" si="95"/>
        <v>10369</v>
      </c>
      <c r="R327" t="str">
        <f t="shared" si="96"/>
        <v>10369</v>
      </c>
      <c r="S327" t="str">
        <f t="shared" si="97"/>
        <v>Gnocchi di nonna Alice</v>
      </c>
      <c r="T327">
        <v>30.4</v>
      </c>
      <c r="U327">
        <v>18</v>
      </c>
      <c r="V327">
        <v>0.25</v>
      </c>
      <c r="W327">
        <f t="shared" si="98"/>
        <v>410.4</v>
      </c>
      <c r="X327" t="str">
        <f t="shared" si="99"/>
        <v>No</v>
      </c>
      <c r="Y327" s="2">
        <v>34701</v>
      </c>
      <c r="Z327" t="str">
        <f t="shared" si="85"/>
        <v/>
      </c>
      <c r="AA327" t="str">
        <f t="shared" si="100"/>
        <v/>
      </c>
      <c r="AB327" t="str" cm="1">
        <f t="array" ref="AB327">_xlfn.IFS(Y327&lt;DATE(1996,1,1),"",Y327&lt;DATE(1996,4,1),"Q1",Y327&lt;DATE(1996,7,1),"Q2",Y327&gt;=DATE(1996,7,1),"")</f>
        <v/>
      </c>
    </row>
    <row r="328" spans="1:28" ht="14.4" x14ac:dyDescent="0.55000000000000004">
      <c r="A328" t="str">
        <f>VLOOKUP(L328,Customers!$A$2:$B$92,2,FALSE)</f>
        <v>Chop-suey Chinese</v>
      </c>
      <c r="B328" t="str">
        <f>VLOOKUP(L328,Customers!$A$2:$C$92,3,TRUE)</f>
        <v>Yang Wang</v>
      </c>
      <c r="C328" t="str">
        <f t="shared" si="86"/>
        <v>Yang</v>
      </c>
      <c r="D328" s="8" t="str">
        <f t="shared" si="87"/>
        <v>Wang</v>
      </c>
      <c r="E328" s="8" t="str">
        <f t="shared" si="88"/>
        <v>Wang, Yang</v>
      </c>
      <c r="F328" s="8" t="str">
        <f t="shared" si="89"/>
        <v>Wang, Yang</v>
      </c>
      <c r="G328" s="8" t="str">
        <f t="shared" si="90"/>
        <v>not an outlier</v>
      </c>
      <c r="H328" s="8" t="str">
        <f t="shared" si="91"/>
        <v>Not</v>
      </c>
      <c r="I328" s="8" t="str">
        <f t="shared" si="101"/>
        <v>no</v>
      </c>
      <c r="J328" s="10" t="str">
        <f t="shared" si="92"/>
        <v>no</v>
      </c>
      <c r="K328" s="10" t="str">
        <f t="shared" si="93"/>
        <v>no</v>
      </c>
      <c r="L328" t="s">
        <v>116</v>
      </c>
      <c r="M328">
        <v>10370</v>
      </c>
      <c r="N328">
        <v>1</v>
      </c>
      <c r="O328" t="s">
        <v>735</v>
      </c>
      <c r="P328" t="str">
        <f t="shared" si="94"/>
        <v>CHOPS_10370_Chai</v>
      </c>
      <c r="Q328" t="str">
        <f t="shared" si="95"/>
        <v>10370</v>
      </c>
      <c r="R328" t="str">
        <f t="shared" si="96"/>
        <v>10370</v>
      </c>
      <c r="S328" t="str">
        <f t="shared" si="97"/>
        <v>Chai</v>
      </c>
      <c r="T328">
        <v>14.4</v>
      </c>
      <c r="U328">
        <v>15</v>
      </c>
      <c r="V328">
        <v>0.15</v>
      </c>
      <c r="W328">
        <f t="shared" si="98"/>
        <v>183.6</v>
      </c>
      <c r="X328" t="str">
        <f t="shared" si="99"/>
        <v>No</v>
      </c>
      <c r="Y328" s="2">
        <v>34702</v>
      </c>
      <c r="Z328" t="str">
        <f t="shared" si="85"/>
        <v/>
      </c>
      <c r="AA328" t="str">
        <f t="shared" si="100"/>
        <v/>
      </c>
      <c r="AB328" t="str" cm="1">
        <f t="array" ref="AB328">_xlfn.IFS(Y328&lt;DATE(1996,1,1),"",Y328&lt;DATE(1996,4,1),"Q1",Y328&lt;DATE(1996,7,1),"Q2",Y328&gt;=DATE(1996,7,1),"")</f>
        <v/>
      </c>
    </row>
    <row r="329" spans="1:28" ht="14.4" x14ac:dyDescent="0.55000000000000004">
      <c r="A329" t="str">
        <f>VLOOKUP(L329,Customers!$A$2:$B$92,2,FALSE)</f>
        <v>Chop-suey Chinese</v>
      </c>
      <c r="B329" t="str">
        <f>VLOOKUP(L329,Customers!$A$2:$C$92,3,TRUE)</f>
        <v>Yang Wang</v>
      </c>
      <c r="C329" t="str">
        <f t="shared" si="86"/>
        <v>Yang</v>
      </c>
      <c r="D329" s="8" t="str">
        <f t="shared" si="87"/>
        <v>Wang</v>
      </c>
      <c r="E329" s="8" t="str">
        <f t="shared" si="88"/>
        <v>Wang, Yang</v>
      </c>
      <c r="F329" s="8" t="str">
        <f t="shared" si="89"/>
        <v>Wang, Yang</v>
      </c>
      <c r="G329" s="8" t="str">
        <f t="shared" si="90"/>
        <v>not an outlier</v>
      </c>
      <c r="H329" s="8" t="str">
        <f t="shared" si="91"/>
        <v>Not</v>
      </c>
      <c r="I329" s="8" t="str">
        <f t="shared" si="101"/>
        <v>no</v>
      </c>
      <c r="J329" s="10" t="str">
        <f t="shared" si="92"/>
        <v>no</v>
      </c>
      <c r="K329" s="10" t="str">
        <f t="shared" si="93"/>
        <v>no</v>
      </c>
      <c r="L329" t="s">
        <v>116</v>
      </c>
      <c r="M329">
        <v>10370</v>
      </c>
      <c r="N329">
        <v>64</v>
      </c>
      <c r="O329" t="s">
        <v>741</v>
      </c>
      <c r="P329" t="str">
        <f t="shared" si="94"/>
        <v>CHOPS_10370_Wimmers gute Semmelknödel</v>
      </c>
      <c r="Q329" t="str">
        <f t="shared" si="95"/>
        <v>10370</v>
      </c>
      <c r="R329" t="str">
        <f t="shared" si="96"/>
        <v>10370</v>
      </c>
      <c r="S329" t="str">
        <f t="shared" si="97"/>
        <v>Wimmers gute Semmelknödel</v>
      </c>
      <c r="T329">
        <v>26.6</v>
      </c>
      <c r="U329">
        <v>30</v>
      </c>
      <c r="V329">
        <v>0</v>
      </c>
      <c r="W329">
        <f t="shared" si="98"/>
        <v>798</v>
      </c>
      <c r="X329" t="str">
        <f t="shared" si="99"/>
        <v>No</v>
      </c>
      <c r="Y329" s="2">
        <v>34702</v>
      </c>
      <c r="Z329" t="str">
        <f t="shared" si="85"/>
        <v/>
      </c>
      <c r="AA329" t="str">
        <f t="shared" si="100"/>
        <v/>
      </c>
      <c r="AB329" t="str" cm="1">
        <f t="array" ref="AB329">_xlfn.IFS(Y329&lt;DATE(1996,1,1),"",Y329&lt;DATE(1996,4,1),"Q1",Y329&lt;DATE(1996,7,1),"Q2",Y329&gt;=DATE(1996,7,1),"")</f>
        <v/>
      </c>
    </row>
    <row r="330" spans="1:28" ht="14.4" x14ac:dyDescent="0.55000000000000004">
      <c r="A330" t="str">
        <f>VLOOKUP(L330,Customers!$A$2:$B$92,2,FALSE)</f>
        <v>Chop-suey Chinese</v>
      </c>
      <c r="B330" t="str">
        <f>VLOOKUP(L330,Customers!$A$2:$C$92,3,TRUE)</f>
        <v>Yang Wang</v>
      </c>
      <c r="C330" t="str">
        <f t="shared" si="86"/>
        <v>Yang</v>
      </c>
      <c r="D330" s="8" t="str">
        <f t="shared" si="87"/>
        <v>Wang</v>
      </c>
      <c r="E330" s="8" t="str">
        <f t="shared" si="88"/>
        <v>Wang, Yang</v>
      </c>
      <c r="F330" s="8" t="str">
        <f t="shared" si="89"/>
        <v>Wang, Yang</v>
      </c>
      <c r="G330" s="8" t="str">
        <f t="shared" si="90"/>
        <v>not an outlier</v>
      </c>
      <c r="H330" s="8" t="str">
        <f t="shared" si="91"/>
        <v>Not</v>
      </c>
      <c r="I330" s="8" t="str">
        <f t="shared" si="101"/>
        <v>no</v>
      </c>
      <c r="J330" s="10" t="str">
        <f t="shared" si="92"/>
        <v>no</v>
      </c>
      <c r="K330" s="10" t="str">
        <f t="shared" si="93"/>
        <v>no</v>
      </c>
      <c r="L330" t="s">
        <v>116</v>
      </c>
      <c r="M330">
        <v>10370</v>
      </c>
      <c r="N330">
        <v>74</v>
      </c>
      <c r="O330" t="s">
        <v>700</v>
      </c>
      <c r="P330" t="str">
        <f t="shared" si="94"/>
        <v>CHOPS_10370_Longlife Tofu</v>
      </c>
      <c r="Q330" t="str">
        <f t="shared" si="95"/>
        <v>10370</v>
      </c>
      <c r="R330" t="str">
        <f t="shared" si="96"/>
        <v>10370</v>
      </c>
      <c r="S330" t="str">
        <f t="shared" si="97"/>
        <v>Longlife Tofu</v>
      </c>
      <c r="T330">
        <v>8</v>
      </c>
      <c r="U330">
        <v>20</v>
      </c>
      <c r="V330">
        <v>0.15</v>
      </c>
      <c r="W330">
        <f t="shared" si="98"/>
        <v>136</v>
      </c>
      <c r="X330" t="str">
        <f t="shared" si="99"/>
        <v>No</v>
      </c>
      <c r="Y330" s="2">
        <v>34702</v>
      </c>
      <c r="Z330" t="str">
        <f t="shared" si="85"/>
        <v/>
      </c>
      <c r="AA330" t="str">
        <f t="shared" si="100"/>
        <v/>
      </c>
      <c r="AB330" t="str" cm="1">
        <f t="array" ref="AB330">_xlfn.IFS(Y330&lt;DATE(1996,1,1),"",Y330&lt;DATE(1996,4,1),"Q1",Y330&lt;DATE(1996,7,1),"Q2",Y330&gt;=DATE(1996,7,1),"")</f>
        <v/>
      </c>
    </row>
    <row r="331" spans="1:28" ht="14.4" x14ac:dyDescent="0.55000000000000004">
      <c r="A331" t="str">
        <f>VLOOKUP(L331,Customers!$A$2:$B$92,2,FALSE)</f>
        <v>La maison d'Asie</v>
      </c>
      <c r="B331" t="str">
        <f>VLOOKUP(L331,Customers!$A$2:$C$92,3,TRUE)</f>
        <v>Annette Roulet</v>
      </c>
      <c r="C331" t="str">
        <f t="shared" si="86"/>
        <v>Annette</v>
      </c>
      <c r="D331" s="8" t="str">
        <f t="shared" si="87"/>
        <v>Roulet</v>
      </c>
      <c r="E331" s="8" t="str">
        <f t="shared" si="88"/>
        <v>Roulet, Annette</v>
      </c>
      <c r="F331" s="8" t="str">
        <f t="shared" si="89"/>
        <v>Roulet, Annette</v>
      </c>
      <c r="G331" s="8" t="str">
        <f t="shared" si="90"/>
        <v>not an outlier</v>
      </c>
      <c r="H331" s="8" t="str">
        <f t="shared" si="91"/>
        <v>Not</v>
      </c>
      <c r="I331" s="8" t="str">
        <f t="shared" si="101"/>
        <v>no</v>
      </c>
      <c r="J331" s="10" t="str">
        <f t="shared" si="92"/>
        <v>no</v>
      </c>
      <c r="K331" s="10" t="str">
        <f t="shared" si="93"/>
        <v>no</v>
      </c>
      <c r="L331" t="s">
        <v>318</v>
      </c>
      <c r="M331">
        <v>10371</v>
      </c>
      <c r="N331">
        <v>36</v>
      </c>
      <c r="O331" t="s">
        <v>703</v>
      </c>
      <c r="P331" t="str">
        <f t="shared" si="94"/>
        <v>LAMAI_10371_Inlagd Sill</v>
      </c>
      <c r="Q331" t="str">
        <f t="shared" si="95"/>
        <v>10371</v>
      </c>
      <c r="R331" t="str">
        <f t="shared" si="96"/>
        <v>10371</v>
      </c>
      <c r="S331" t="str">
        <f t="shared" si="97"/>
        <v>Inlagd Sill</v>
      </c>
      <c r="T331">
        <v>15.2</v>
      </c>
      <c r="U331">
        <v>6</v>
      </c>
      <c r="V331">
        <v>0.2</v>
      </c>
      <c r="W331">
        <f t="shared" si="98"/>
        <v>72.959999999999994</v>
      </c>
      <c r="X331" t="str">
        <f t="shared" si="99"/>
        <v>No</v>
      </c>
      <c r="Y331" s="2">
        <v>34702</v>
      </c>
      <c r="Z331" t="str">
        <f t="shared" si="85"/>
        <v/>
      </c>
      <c r="AA331" t="str">
        <f t="shared" si="100"/>
        <v/>
      </c>
      <c r="AB331" t="str" cm="1">
        <f t="array" ref="AB331">_xlfn.IFS(Y331&lt;DATE(1996,1,1),"",Y331&lt;DATE(1996,4,1),"Q1",Y331&lt;DATE(1996,7,1),"Q2",Y331&gt;=DATE(1996,7,1),"")</f>
        <v/>
      </c>
    </row>
    <row r="332" spans="1:28" ht="14.4" x14ac:dyDescent="0.55000000000000004">
      <c r="A332" t="str">
        <f>VLOOKUP(L332,Customers!$A$2:$B$92,2,FALSE)</f>
        <v>Queen Cozinha</v>
      </c>
      <c r="B332" t="str">
        <f>VLOOKUP(L332,Customers!$A$2:$C$92,3,TRUE)</f>
        <v>Lúcia Carvalho</v>
      </c>
      <c r="C332" t="str">
        <f t="shared" si="86"/>
        <v>Lúcia</v>
      </c>
      <c r="D332" s="8" t="str">
        <f t="shared" si="87"/>
        <v>Carvalho</v>
      </c>
      <c r="E332" s="8" t="str">
        <f t="shared" si="88"/>
        <v>Carvalho, Lúcia</v>
      </c>
      <c r="F332" s="8" t="str">
        <f t="shared" si="89"/>
        <v>Carvalho, Lúcia</v>
      </c>
      <c r="G332" s="8" t="str">
        <f t="shared" si="90"/>
        <v>not an outlier</v>
      </c>
      <c r="H332" s="8" t="str">
        <f t="shared" si="91"/>
        <v>Not</v>
      </c>
      <c r="I332" s="8" t="str">
        <f t="shared" si="101"/>
        <v>no</v>
      </c>
      <c r="J332" s="10" t="str">
        <f t="shared" si="92"/>
        <v>no</v>
      </c>
      <c r="K332" s="10" t="str">
        <f t="shared" si="93"/>
        <v>no</v>
      </c>
      <c r="L332" t="s">
        <v>469</v>
      </c>
      <c r="M332">
        <v>10372</v>
      </c>
      <c r="N332">
        <v>20</v>
      </c>
      <c r="O332" t="s">
        <v>692</v>
      </c>
      <c r="P332" t="str">
        <f t="shared" si="94"/>
        <v>QUEEN_10372_Sir Rodney's Marmalade</v>
      </c>
      <c r="Q332" t="str">
        <f t="shared" si="95"/>
        <v>10372</v>
      </c>
      <c r="R332" t="str">
        <f t="shared" si="96"/>
        <v>10372</v>
      </c>
      <c r="S332" t="str">
        <f t="shared" si="97"/>
        <v>Sir Rodney's Marmalade</v>
      </c>
      <c r="T332">
        <v>64.8</v>
      </c>
      <c r="U332">
        <v>12</v>
      </c>
      <c r="V332">
        <v>0.25</v>
      </c>
      <c r="W332">
        <f t="shared" si="98"/>
        <v>583.19999999999993</v>
      </c>
      <c r="X332" t="str">
        <f t="shared" si="99"/>
        <v>No</v>
      </c>
      <c r="Y332" s="2">
        <v>34703</v>
      </c>
      <c r="Z332" t="str">
        <f t="shared" si="85"/>
        <v/>
      </c>
      <c r="AA332" t="str">
        <f t="shared" si="100"/>
        <v/>
      </c>
      <c r="AB332" t="str" cm="1">
        <f t="array" ref="AB332">_xlfn.IFS(Y332&lt;DATE(1996,1,1),"",Y332&lt;DATE(1996,4,1),"Q1",Y332&lt;DATE(1996,7,1),"Q2",Y332&gt;=DATE(1996,7,1),"")</f>
        <v/>
      </c>
    </row>
    <row r="333" spans="1:28" ht="14.4" x14ac:dyDescent="0.55000000000000004">
      <c r="A333" t="str">
        <f>VLOOKUP(L333,Customers!$A$2:$B$92,2,FALSE)</f>
        <v>Queen Cozinha</v>
      </c>
      <c r="B333" t="str">
        <f>VLOOKUP(L333,Customers!$A$2:$C$92,3,TRUE)</f>
        <v>Lúcia Carvalho</v>
      </c>
      <c r="C333" t="str">
        <f t="shared" si="86"/>
        <v>Lúcia</v>
      </c>
      <c r="D333" s="8" t="str">
        <f t="shared" si="87"/>
        <v>Carvalho</v>
      </c>
      <c r="E333" s="8" t="str">
        <f t="shared" si="88"/>
        <v>Carvalho, Lúcia</v>
      </c>
      <c r="F333" s="8" t="str">
        <f t="shared" si="89"/>
        <v>Carvalho, Lúcia</v>
      </c>
      <c r="G333" s="8" t="str">
        <f t="shared" si="90"/>
        <v>outlier</v>
      </c>
      <c r="H333" s="8" t="str">
        <f t="shared" si="91"/>
        <v>outlier</v>
      </c>
      <c r="I333" s="8" t="str">
        <f t="shared" si="101"/>
        <v>yes</v>
      </c>
      <c r="J333" s="10" t="str">
        <f t="shared" si="92"/>
        <v>yes</v>
      </c>
      <c r="K333" s="10" t="str">
        <f t="shared" si="93"/>
        <v>yes</v>
      </c>
      <c r="L333" t="s">
        <v>469</v>
      </c>
      <c r="M333">
        <v>10372</v>
      </c>
      <c r="N333">
        <v>38</v>
      </c>
      <c r="O333" t="s">
        <v>750</v>
      </c>
      <c r="P333" t="str">
        <f t="shared" si="94"/>
        <v>QUEEN_10372_Côte de Blaye</v>
      </c>
      <c r="Q333" t="str">
        <f t="shared" si="95"/>
        <v>10372</v>
      </c>
      <c r="R333" t="str">
        <f t="shared" si="96"/>
        <v>10372</v>
      </c>
      <c r="S333" t="str">
        <f t="shared" si="97"/>
        <v>Côte de Blaye</v>
      </c>
      <c r="T333">
        <v>210.8</v>
      </c>
      <c r="U333">
        <v>40</v>
      </c>
      <c r="V333">
        <v>0.25</v>
      </c>
      <c r="W333">
        <f t="shared" si="98"/>
        <v>6324</v>
      </c>
      <c r="X333" t="str">
        <f t="shared" si="99"/>
        <v>No</v>
      </c>
      <c r="Y333" s="2">
        <v>34703</v>
      </c>
      <c r="Z333" t="str">
        <f t="shared" si="85"/>
        <v/>
      </c>
      <c r="AA333" t="str">
        <f t="shared" si="100"/>
        <v/>
      </c>
      <c r="AB333" t="str" cm="1">
        <f t="array" ref="AB333">_xlfn.IFS(Y333&lt;DATE(1996,1,1),"",Y333&lt;DATE(1996,4,1),"Q1",Y333&lt;DATE(1996,7,1),"Q2",Y333&gt;=DATE(1996,7,1),"")</f>
        <v/>
      </c>
    </row>
    <row r="334" spans="1:28" ht="14.4" x14ac:dyDescent="0.55000000000000004">
      <c r="A334" t="str">
        <f>VLOOKUP(L334,Customers!$A$2:$B$92,2,FALSE)</f>
        <v>Queen Cozinha</v>
      </c>
      <c r="B334" t="str">
        <f>VLOOKUP(L334,Customers!$A$2:$C$92,3,TRUE)</f>
        <v>Lúcia Carvalho</v>
      </c>
      <c r="C334" t="str">
        <f t="shared" si="86"/>
        <v>Lúcia</v>
      </c>
      <c r="D334" s="8" t="str">
        <f t="shared" si="87"/>
        <v>Carvalho</v>
      </c>
      <c r="E334" s="8" t="str">
        <f t="shared" si="88"/>
        <v>Carvalho, Lúcia</v>
      </c>
      <c r="F334" s="8" t="str">
        <f t="shared" si="89"/>
        <v>Carvalho, Lúcia</v>
      </c>
      <c r="G334" s="8" t="str">
        <f t="shared" si="90"/>
        <v>not an outlier</v>
      </c>
      <c r="H334" s="8" t="str">
        <f t="shared" si="91"/>
        <v>Not</v>
      </c>
      <c r="I334" s="8" t="str">
        <f t="shared" si="101"/>
        <v>no</v>
      </c>
      <c r="J334" s="10" t="str">
        <f t="shared" si="92"/>
        <v>no</v>
      </c>
      <c r="K334" s="10" t="str">
        <f t="shared" si="93"/>
        <v>no</v>
      </c>
      <c r="L334" t="s">
        <v>469</v>
      </c>
      <c r="M334">
        <v>10372</v>
      </c>
      <c r="N334">
        <v>60</v>
      </c>
      <c r="O334" t="s">
        <v>694</v>
      </c>
      <c r="P334" t="str">
        <f t="shared" si="94"/>
        <v>QUEEN_10372_Camembert Pierrot</v>
      </c>
      <c r="Q334" t="str">
        <f t="shared" si="95"/>
        <v>10372</v>
      </c>
      <c r="R334" t="str">
        <f t="shared" si="96"/>
        <v>10372</v>
      </c>
      <c r="S334" t="str">
        <f t="shared" si="97"/>
        <v>Camembert Pierrot</v>
      </c>
      <c r="T334">
        <v>27.2</v>
      </c>
      <c r="U334">
        <v>70</v>
      </c>
      <c r="V334">
        <v>0.25</v>
      </c>
      <c r="W334">
        <f t="shared" si="98"/>
        <v>1428</v>
      </c>
      <c r="X334" t="str">
        <f t="shared" si="99"/>
        <v>No</v>
      </c>
      <c r="Y334" s="2">
        <v>34703</v>
      </c>
      <c r="Z334" t="str">
        <f t="shared" si="85"/>
        <v/>
      </c>
      <c r="AA334" t="str">
        <f t="shared" si="100"/>
        <v/>
      </c>
      <c r="AB334" t="str" cm="1">
        <f t="array" ref="AB334">_xlfn.IFS(Y334&lt;DATE(1996,1,1),"",Y334&lt;DATE(1996,4,1),"Q1",Y334&lt;DATE(1996,7,1),"Q2",Y334&gt;=DATE(1996,7,1),"")</f>
        <v/>
      </c>
    </row>
    <row r="335" spans="1:28" ht="14.4" x14ac:dyDescent="0.55000000000000004">
      <c r="A335" t="str">
        <f>VLOOKUP(L335,Customers!$A$2:$B$92,2,FALSE)</f>
        <v>Queen Cozinha</v>
      </c>
      <c r="B335" t="str">
        <f>VLOOKUP(L335,Customers!$A$2:$C$92,3,TRUE)</f>
        <v>Lúcia Carvalho</v>
      </c>
      <c r="C335" t="str">
        <f t="shared" si="86"/>
        <v>Lúcia</v>
      </c>
      <c r="D335" s="8" t="str">
        <f t="shared" si="87"/>
        <v>Carvalho</v>
      </c>
      <c r="E335" s="8" t="str">
        <f t="shared" si="88"/>
        <v>Carvalho, Lúcia</v>
      </c>
      <c r="F335" s="8" t="str">
        <f t="shared" si="89"/>
        <v>Carvalho, Lúcia</v>
      </c>
      <c r="G335" s="8" t="str">
        <f t="shared" si="90"/>
        <v>not an outlier</v>
      </c>
      <c r="H335" s="8" t="str">
        <f t="shared" si="91"/>
        <v>Not</v>
      </c>
      <c r="I335" s="8" t="str">
        <f t="shared" si="101"/>
        <v>no</v>
      </c>
      <c r="J335" s="10" t="str">
        <f t="shared" si="92"/>
        <v>no</v>
      </c>
      <c r="K335" s="10" t="str">
        <f t="shared" si="93"/>
        <v>no</v>
      </c>
      <c r="L335" t="s">
        <v>469</v>
      </c>
      <c r="M335">
        <v>10372</v>
      </c>
      <c r="N335">
        <v>72</v>
      </c>
      <c r="O335" t="s">
        <v>685</v>
      </c>
      <c r="P335" t="str">
        <f t="shared" si="94"/>
        <v>QUEEN_10372_Mozzarella di Giovanni</v>
      </c>
      <c r="Q335" t="str">
        <f t="shared" si="95"/>
        <v>10372</v>
      </c>
      <c r="R335" t="str">
        <f t="shared" si="96"/>
        <v>10372</v>
      </c>
      <c r="S335" t="str">
        <f t="shared" si="97"/>
        <v>Mozzarella di Giovanni</v>
      </c>
      <c r="T335">
        <v>27.8</v>
      </c>
      <c r="U335">
        <v>42</v>
      </c>
      <c r="V335">
        <v>0.25</v>
      </c>
      <c r="W335">
        <f t="shared" si="98"/>
        <v>875.7</v>
      </c>
      <c r="X335" t="str">
        <f t="shared" si="99"/>
        <v>No</v>
      </c>
      <c r="Y335" s="2">
        <v>34703</v>
      </c>
      <c r="Z335" t="str">
        <f t="shared" si="85"/>
        <v/>
      </c>
      <c r="AA335" t="str">
        <f t="shared" si="100"/>
        <v/>
      </c>
      <c r="AB335" t="str" cm="1">
        <f t="array" ref="AB335">_xlfn.IFS(Y335&lt;DATE(1996,1,1),"",Y335&lt;DATE(1996,4,1),"Q1",Y335&lt;DATE(1996,7,1),"Q2",Y335&gt;=DATE(1996,7,1),"")</f>
        <v/>
      </c>
    </row>
    <row r="336" spans="1:28" ht="14.4" x14ac:dyDescent="0.55000000000000004">
      <c r="A336" t="str">
        <f>VLOOKUP(L336,Customers!$A$2:$B$92,2,FALSE)</f>
        <v>Hungry Owl All-Night Grocers</v>
      </c>
      <c r="B336" t="str">
        <f>VLOOKUP(L336,Customers!$A$2:$C$92,3,TRUE)</f>
        <v>Patricia McKenna</v>
      </c>
      <c r="C336" t="str">
        <f t="shared" si="86"/>
        <v>Patricia</v>
      </c>
      <c r="D336" s="8" t="str">
        <f t="shared" si="87"/>
        <v>McKenna</v>
      </c>
      <c r="E336" s="8" t="str">
        <f t="shared" si="88"/>
        <v>McKenna, Patricia</v>
      </c>
      <c r="F336" s="8" t="str">
        <f t="shared" si="89"/>
        <v>McKenna, Patricia</v>
      </c>
      <c r="G336" s="8" t="str">
        <f t="shared" si="90"/>
        <v>not an outlier</v>
      </c>
      <c r="H336" s="8" t="str">
        <f t="shared" si="91"/>
        <v>Not</v>
      </c>
      <c r="I336" s="8" t="str">
        <f t="shared" si="101"/>
        <v>no</v>
      </c>
      <c r="J336" s="10" t="str">
        <f t="shared" si="92"/>
        <v>no</v>
      </c>
      <c r="K336" s="10" t="str">
        <f t="shared" si="93"/>
        <v>no</v>
      </c>
      <c r="L336" t="s">
        <v>288</v>
      </c>
      <c r="M336">
        <v>10373</v>
      </c>
      <c r="N336">
        <v>58</v>
      </c>
      <c r="O336" t="s">
        <v>747</v>
      </c>
      <c r="P336" t="str">
        <f t="shared" si="94"/>
        <v>HUNGO_10373_Escargots de Bourgogne</v>
      </c>
      <c r="Q336" t="str">
        <f t="shared" si="95"/>
        <v>10373</v>
      </c>
      <c r="R336" t="str">
        <f t="shared" si="96"/>
        <v>10373</v>
      </c>
      <c r="S336" t="str">
        <f t="shared" si="97"/>
        <v>Escargots de Bourgogne</v>
      </c>
      <c r="T336">
        <v>10.6</v>
      </c>
      <c r="U336">
        <v>80</v>
      </c>
      <c r="V336">
        <v>0.2</v>
      </c>
      <c r="W336">
        <f t="shared" si="98"/>
        <v>678.40000000000009</v>
      </c>
      <c r="X336" t="str">
        <f t="shared" si="99"/>
        <v>No</v>
      </c>
      <c r="Y336" s="2">
        <v>34704</v>
      </c>
      <c r="Z336" t="str">
        <f t="shared" si="85"/>
        <v/>
      </c>
      <c r="AA336" t="str">
        <f t="shared" si="100"/>
        <v/>
      </c>
      <c r="AB336" t="str" cm="1">
        <f t="array" ref="AB336">_xlfn.IFS(Y336&lt;DATE(1996,1,1),"",Y336&lt;DATE(1996,4,1),"Q1",Y336&lt;DATE(1996,7,1),"Q2",Y336&gt;=DATE(1996,7,1),"")</f>
        <v/>
      </c>
    </row>
    <row r="337" spans="1:28" ht="14.4" x14ac:dyDescent="0.55000000000000004">
      <c r="A337" t="str">
        <f>VLOOKUP(L337,Customers!$A$2:$B$92,2,FALSE)</f>
        <v>Hungry Owl All-Night Grocers</v>
      </c>
      <c r="B337" t="str">
        <f>VLOOKUP(L337,Customers!$A$2:$C$92,3,TRUE)</f>
        <v>Patricia McKenna</v>
      </c>
      <c r="C337" t="str">
        <f t="shared" si="86"/>
        <v>Patricia</v>
      </c>
      <c r="D337" s="8" t="str">
        <f t="shared" si="87"/>
        <v>McKenna</v>
      </c>
      <c r="E337" s="8" t="str">
        <f t="shared" si="88"/>
        <v>McKenna, Patricia</v>
      </c>
      <c r="F337" s="8" t="str">
        <f t="shared" si="89"/>
        <v>McKenna, Patricia</v>
      </c>
      <c r="G337" s="8" t="str">
        <f t="shared" si="90"/>
        <v>not an outlier</v>
      </c>
      <c r="H337" s="8" t="str">
        <f t="shared" si="91"/>
        <v>Not</v>
      </c>
      <c r="I337" s="8" t="str">
        <f t="shared" si="101"/>
        <v>no</v>
      </c>
      <c r="J337" s="10" t="str">
        <f t="shared" si="92"/>
        <v>no</v>
      </c>
      <c r="K337" s="10" t="str">
        <f t="shared" si="93"/>
        <v>no</v>
      </c>
      <c r="L337" t="s">
        <v>288</v>
      </c>
      <c r="M337">
        <v>10373</v>
      </c>
      <c r="N337">
        <v>71</v>
      </c>
      <c r="O337" t="s">
        <v>725</v>
      </c>
      <c r="P337" t="str">
        <f t="shared" si="94"/>
        <v>HUNGO_10373_Fløtemysost</v>
      </c>
      <c r="Q337" t="str">
        <f t="shared" si="95"/>
        <v>10373</v>
      </c>
      <c r="R337" t="str">
        <f t="shared" si="96"/>
        <v>10373</v>
      </c>
      <c r="S337" t="str">
        <f t="shared" si="97"/>
        <v>Fløtemysost</v>
      </c>
      <c r="T337">
        <v>17.2</v>
      </c>
      <c r="U337">
        <v>50</v>
      </c>
      <c r="V337">
        <v>0.2</v>
      </c>
      <c r="W337">
        <f t="shared" si="98"/>
        <v>688</v>
      </c>
      <c r="X337" t="str">
        <f t="shared" si="99"/>
        <v>No</v>
      </c>
      <c r="Y337" s="2">
        <v>34704</v>
      </c>
      <c r="Z337" t="str">
        <f t="shared" si="85"/>
        <v/>
      </c>
      <c r="AA337" t="str">
        <f t="shared" si="100"/>
        <v/>
      </c>
      <c r="AB337" t="str" cm="1">
        <f t="array" ref="AB337">_xlfn.IFS(Y337&lt;DATE(1996,1,1),"",Y337&lt;DATE(1996,4,1),"Q1",Y337&lt;DATE(1996,7,1),"Q2",Y337&gt;=DATE(1996,7,1),"")</f>
        <v/>
      </c>
    </row>
    <row r="338" spans="1:28" ht="14.4" x14ac:dyDescent="0.55000000000000004">
      <c r="A338" t="str">
        <f>VLOOKUP(L338,Customers!$A$2:$B$92,2,FALSE)</f>
        <v>Wolski  Zajazd</v>
      </c>
      <c r="B338" t="str">
        <f>VLOOKUP(L338,Customers!$A$2:$C$92,3,TRUE)</f>
        <v>Zbyszek Piestrzeniewicz</v>
      </c>
      <c r="C338" t="str">
        <f t="shared" si="86"/>
        <v>Zbyszek</v>
      </c>
      <c r="D338" s="8" t="str">
        <f t="shared" si="87"/>
        <v>Piestrzeniewicz</v>
      </c>
      <c r="E338" s="8" t="str">
        <f t="shared" si="88"/>
        <v>Piestrzeniewicz, Zbyszek</v>
      </c>
      <c r="F338" s="8" t="str">
        <f t="shared" si="89"/>
        <v>Piestrzeniewicz, Zbyszek</v>
      </c>
      <c r="G338" s="8" t="str">
        <f t="shared" si="90"/>
        <v>not an outlier</v>
      </c>
      <c r="H338" s="8" t="str">
        <f t="shared" si="91"/>
        <v>Not</v>
      </c>
      <c r="I338" s="8" t="str">
        <f t="shared" si="101"/>
        <v>no</v>
      </c>
      <c r="J338" s="10" t="str">
        <f t="shared" si="92"/>
        <v>no</v>
      </c>
      <c r="K338" s="10" t="str">
        <f t="shared" si="93"/>
        <v>no</v>
      </c>
      <c r="L338" t="s">
        <v>668</v>
      </c>
      <c r="M338">
        <v>10374</v>
      </c>
      <c r="N338">
        <v>31</v>
      </c>
      <c r="O338" t="s">
        <v>695</v>
      </c>
      <c r="P338" t="str">
        <f t="shared" si="94"/>
        <v>WOLZA_10374_Gorgonzola Telino</v>
      </c>
      <c r="Q338" t="str">
        <f t="shared" si="95"/>
        <v>10374</v>
      </c>
      <c r="R338" t="str">
        <f t="shared" si="96"/>
        <v>10374</v>
      </c>
      <c r="S338" t="str">
        <f t="shared" si="97"/>
        <v>Gorgonzola Telino</v>
      </c>
      <c r="T338">
        <v>10</v>
      </c>
      <c r="U338">
        <v>30</v>
      </c>
      <c r="V338">
        <v>0</v>
      </c>
      <c r="W338">
        <f t="shared" si="98"/>
        <v>300</v>
      </c>
      <c r="X338" t="str">
        <f t="shared" si="99"/>
        <v>No</v>
      </c>
      <c r="Y338" s="2">
        <v>34704</v>
      </c>
      <c r="Z338" t="str">
        <f t="shared" si="85"/>
        <v/>
      </c>
      <c r="AA338" t="str">
        <f t="shared" si="100"/>
        <v/>
      </c>
      <c r="AB338" t="str" cm="1">
        <f t="array" ref="AB338">_xlfn.IFS(Y338&lt;DATE(1996,1,1),"",Y338&lt;DATE(1996,4,1),"Q1",Y338&lt;DATE(1996,7,1),"Q2",Y338&gt;=DATE(1996,7,1),"")</f>
        <v/>
      </c>
    </row>
    <row r="339" spans="1:28" ht="14.4" x14ac:dyDescent="0.55000000000000004">
      <c r="A339" t="str">
        <f>VLOOKUP(L339,Customers!$A$2:$B$92,2,FALSE)</f>
        <v>Wolski  Zajazd</v>
      </c>
      <c r="B339" t="str">
        <f>VLOOKUP(L339,Customers!$A$2:$C$92,3,TRUE)</f>
        <v>Zbyszek Piestrzeniewicz</v>
      </c>
      <c r="C339" t="str">
        <f t="shared" si="86"/>
        <v>Zbyszek</v>
      </c>
      <c r="D339" s="8" t="str">
        <f t="shared" si="87"/>
        <v>Piestrzeniewicz</v>
      </c>
      <c r="E339" s="8" t="str">
        <f t="shared" si="88"/>
        <v>Piestrzeniewicz, Zbyszek</v>
      </c>
      <c r="F339" s="8" t="str">
        <f t="shared" si="89"/>
        <v>Piestrzeniewicz, Zbyszek</v>
      </c>
      <c r="G339" s="8" t="str">
        <f t="shared" si="90"/>
        <v>not an outlier</v>
      </c>
      <c r="H339" s="8" t="str">
        <f t="shared" si="91"/>
        <v>Not</v>
      </c>
      <c r="I339" s="8" t="str">
        <f t="shared" si="101"/>
        <v>no</v>
      </c>
      <c r="J339" s="10" t="str">
        <f t="shared" si="92"/>
        <v>no</v>
      </c>
      <c r="K339" s="10" t="str">
        <f t="shared" si="93"/>
        <v>no</v>
      </c>
      <c r="L339" t="s">
        <v>668</v>
      </c>
      <c r="M339">
        <v>10374</v>
      </c>
      <c r="N339">
        <v>58</v>
      </c>
      <c r="O339" t="s">
        <v>747</v>
      </c>
      <c r="P339" t="str">
        <f t="shared" si="94"/>
        <v>WOLZA_10374_Escargots de Bourgogne</v>
      </c>
      <c r="Q339" t="str">
        <f t="shared" si="95"/>
        <v>10374</v>
      </c>
      <c r="R339" t="str">
        <f t="shared" si="96"/>
        <v>10374</v>
      </c>
      <c r="S339" t="str">
        <f t="shared" si="97"/>
        <v>Escargots de Bourgogne</v>
      </c>
      <c r="T339">
        <v>10.6</v>
      </c>
      <c r="U339">
        <v>15</v>
      </c>
      <c r="V339">
        <v>0</v>
      </c>
      <c r="W339">
        <f t="shared" si="98"/>
        <v>159</v>
      </c>
      <c r="X339" t="str">
        <f t="shared" si="99"/>
        <v>No</v>
      </c>
      <c r="Y339" s="2">
        <v>34704</v>
      </c>
      <c r="Z339" t="str">
        <f t="shared" si="85"/>
        <v/>
      </c>
      <c r="AA339" t="str">
        <f t="shared" si="100"/>
        <v/>
      </c>
      <c r="AB339" t="str" cm="1">
        <f t="array" ref="AB339">_xlfn.IFS(Y339&lt;DATE(1996,1,1),"",Y339&lt;DATE(1996,4,1),"Q1",Y339&lt;DATE(1996,7,1),"Q2",Y339&gt;=DATE(1996,7,1),"")</f>
        <v/>
      </c>
    </row>
    <row r="340" spans="1:28" ht="14.4" x14ac:dyDescent="0.55000000000000004">
      <c r="A340" t="str">
        <f>VLOOKUP(L340,Customers!$A$2:$B$92,2,FALSE)</f>
        <v>Hungry Coyote Import Store</v>
      </c>
      <c r="B340" t="str">
        <f>VLOOKUP(L340,Customers!$A$2:$C$92,3,TRUE)</f>
        <v>Yoshi Latimer</v>
      </c>
      <c r="C340" t="str">
        <f t="shared" si="86"/>
        <v>Yoshi</v>
      </c>
      <c r="D340" s="8" t="str">
        <f t="shared" si="87"/>
        <v>Latimer</v>
      </c>
      <c r="E340" s="8" t="str">
        <f t="shared" si="88"/>
        <v>Latimer, Yoshi</v>
      </c>
      <c r="F340" s="8" t="str">
        <f t="shared" si="89"/>
        <v>Latimer, Yoshi</v>
      </c>
      <c r="G340" s="8" t="str">
        <f t="shared" si="90"/>
        <v>not an outlier</v>
      </c>
      <c r="H340" s="8" t="str">
        <f t="shared" si="91"/>
        <v>Not</v>
      </c>
      <c r="I340" s="8" t="str">
        <f t="shared" si="101"/>
        <v>no</v>
      </c>
      <c r="J340" s="10" t="str">
        <f t="shared" si="92"/>
        <v>no</v>
      </c>
      <c r="K340" s="10" t="str">
        <f t="shared" si="93"/>
        <v>no</v>
      </c>
      <c r="L340" t="s">
        <v>281</v>
      </c>
      <c r="M340">
        <v>10375</v>
      </c>
      <c r="N340">
        <v>14</v>
      </c>
      <c r="O340" t="s">
        <v>686</v>
      </c>
      <c r="P340" t="str">
        <f t="shared" si="94"/>
        <v>HUNGC_10375_Tofu</v>
      </c>
      <c r="Q340" t="str">
        <f t="shared" si="95"/>
        <v>10375</v>
      </c>
      <c r="R340" t="str">
        <f t="shared" si="96"/>
        <v>10375</v>
      </c>
      <c r="S340" t="str">
        <f t="shared" si="97"/>
        <v>Tofu</v>
      </c>
      <c r="T340">
        <v>18.600000000000001</v>
      </c>
      <c r="U340">
        <v>15</v>
      </c>
      <c r="V340">
        <v>0</v>
      </c>
      <c r="W340">
        <f t="shared" si="98"/>
        <v>279</v>
      </c>
      <c r="X340" t="str">
        <f t="shared" si="99"/>
        <v>No</v>
      </c>
      <c r="Y340" s="2">
        <v>34705</v>
      </c>
      <c r="Z340" t="str">
        <f t="shared" si="85"/>
        <v/>
      </c>
      <c r="AA340" t="str">
        <f t="shared" si="100"/>
        <v/>
      </c>
      <c r="AB340" t="str" cm="1">
        <f t="array" ref="AB340">_xlfn.IFS(Y340&lt;DATE(1996,1,1),"",Y340&lt;DATE(1996,4,1),"Q1",Y340&lt;DATE(1996,7,1),"Q2",Y340&gt;=DATE(1996,7,1),"")</f>
        <v/>
      </c>
    </row>
    <row r="341" spans="1:28" ht="14.4" x14ac:dyDescent="0.55000000000000004">
      <c r="A341" t="str">
        <f>VLOOKUP(L341,Customers!$A$2:$B$92,2,FALSE)</f>
        <v>Hungry Coyote Import Store</v>
      </c>
      <c r="B341" t="str">
        <f>VLOOKUP(L341,Customers!$A$2:$C$92,3,TRUE)</f>
        <v>Yoshi Latimer</v>
      </c>
      <c r="C341" t="str">
        <f t="shared" si="86"/>
        <v>Yoshi</v>
      </c>
      <c r="D341" s="8" t="str">
        <f t="shared" si="87"/>
        <v>Latimer</v>
      </c>
      <c r="E341" s="8" t="str">
        <f t="shared" si="88"/>
        <v>Latimer, Yoshi</v>
      </c>
      <c r="F341" s="8" t="str">
        <f t="shared" si="89"/>
        <v>Latimer, Yoshi</v>
      </c>
      <c r="G341" s="8" t="str">
        <f t="shared" si="90"/>
        <v>not an outlier</v>
      </c>
      <c r="H341" s="8" t="str">
        <f t="shared" si="91"/>
        <v>Not</v>
      </c>
      <c r="I341" s="8" t="str">
        <f t="shared" si="101"/>
        <v>no</v>
      </c>
      <c r="J341" s="10" t="str">
        <f t="shared" si="92"/>
        <v>no</v>
      </c>
      <c r="K341" s="10" t="str">
        <f t="shared" si="93"/>
        <v>no</v>
      </c>
      <c r="L341" t="s">
        <v>281</v>
      </c>
      <c r="M341">
        <v>10375</v>
      </c>
      <c r="N341">
        <v>54</v>
      </c>
      <c r="O341" t="s">
        <v>738</v>
      </c>
      <c r="P341" t="str">
        <f t="shared" si="94"/>
        <v>HUNGC_10375_Tourtière</v>
      </c>
      <c r="Q341" t="str">
        <f t="shared" si="95"/>
        <v>10375</v>
      </c>
      <c r="R341" t="str">
        <f t="shared" si="96"/>
        <v>10375</v>
      </c>
      <c r="S341" t="str">
        <f t="shared" si="97"/>
        <v>Tourtière</v>
      </c>
      <c r="T341">
        <v>5.9</v>
      </c>
      <c r="U341">
        <v>10</v>
      </c>
      <c r="V341">
        <v>0</v>
      </c>
      <c r="W341">
        <f t="shared" si="98"/>
        <v>59</v>
      </c>
      <c r="X341" t="str">
        <f t="shared" si="99"/>
        <v>No</v>
      </c>
      <c r="Y341" s="2">
        <v>34705</v>
      </c>
      <c r="Z341" t="str">
        <f t="shared" si="85"/>
        <v/>
      </c>
      <c r="AA341" t="str">
        <f t="shared" si="100"/>
        <v/>
      </c>
      <c r="AB341" t="str" cm="1">
        <f t="array" ref="AB341">_xlfn.IFS(Y341&lt;DATE(1996,1,1),"",Y341&lt;DATE(1996,4,1),"Q1",Y341&lt;DATE(1996,7,1),"Q2",Y341&gt;=DATE(1996,7,1),"")</f>
        <v/>
      </c>
    </row>
    <row r="342" spans="1:28" ht="14.4" x14ac:dyDescent="0.55000000000000004">
      <c r="A342" t="str">
        <f>VLOOKUP(L342,Customers!$A$2:$B$92,2,FALSE)</f>
        <v>Mère Paillarde</v>
      </c>
      <c r="B342" t="str">
        <f>VLOOKUP(L342,Customers!$A$2:$C$92,3,TRUE)</f>
        <v>Jean Fresnière</v>
      </c>
      <c r="C342" t="str">
        <f t="shared" si="86"/>
        <v>Jean</v>
      </c>
      <c r="D342" s="8" t="str">
        <f t="shared" si="87"/>
        <v>Fresnière</v>
      </c>
      <c r="E342" s="8" t="str">
        <f t="shared" si="88"/>
        <v>Fresnière, Jean</v>
      </c>
      <c r="F342" s="8" t="str">
        <f t="shared" si="89"/>
        <v>Fresnière, Jean</v>
      </c>
      <c r="G342" s="8" t="str">
        <f t="shared" si="90"/>
        <v>not an outlier</v>
      </c>
      <c r="H342" s="8" t="str">
        <f t="shared" si="91"/>
        <v>Not</v>
      </c>
      <c r="I342" s="8" t="str">
        <f t="shared" si="101"/>
        <v>no</v>
      </c>
      <c r="J342" s="10" t="str">
        <f t="shared" si="92"/>
        <v>no</v>
      </c>
      <c r="K342" s="10" t="str">
        <f t="shared" si="93"/>
        <v>no</v>
      </c>
      <c r="L342" t="s">
        <v>394</v>
      </c>
      <c r="M342">
        <v>10376</v>
      </c>
      <c r="N342">
        <v>31</v>
      </c>
      <c r="O342" t="s">
        <v>695</v>
      </c>
      <c r="P342" t="str">
        <f t="shared" si="94"/>
        <v>MEREP_10376_Gorgonzola Telino</v>
      </c>
      <c r="Q342" t="str">
        <f t="shared" si="95"/>
        <v>10376</v>
      </c>
      <c r="R342" t="str">
        <f t="shared" si="96"/>
        <v>10376</v>
      </c>
      <c r="S342" t="str">
        <f t="shared" si="97"/>
        <v>Gorgonzola Telino</v>
      </c>
      <c r="T342">
        <v>10</v>
      </c>
      <c r="U342">
        <v>42</v>
      </c>
      <c r="V342">
        <v>0.05</v>
      </c>
      <c r="W342">
        <f t="shared" si="98"/>
        <v>399</v>
      </c>
      <c r="X342" t="str">
        <f t="shared" si="99"/>
        <v>No</v>
      </c>
      <c r="Y342" s="2">
        <v>34708</v>
      </c>
      <c r="Z342" t="str">
        <f t="shared" si="85"/>
        <v/>
      </c>
      <c r="AA342" t="str">
        <f t="shared" si="100"/>
        <v/>
      </c>
      <c r="AB342" t="str" cm="1">
        <f t="array" ref="AB342">_xlfn.IFS(Y342&lt;DATE(1996,1,1),"",Y342&lt;DATE(1996,4,1),"Q1",Y342&lt;DATE(1996,7,1),"Q2",Y342&gt;=DATE(1996,7,1),"")</f>
        <v/>
      </c>
    </row>
    <row r="343" spans="1:28" ht="14.4" x14ac:dyDescent="0.55000000000000004">
      <c r="A343" t="str">
        <f>VLOOKUP(L343,Customers!$A$2:$B$92,2,FALSE)</f>
        <v>Seven Seas Imports</v>
      </c>
      <c r="B343" t="str">
        <f>VLOOKUP(L343,Customers!$A$2:$C$92,3,TRUE)</f>
        <v>Hari Kumar</v>
      </c>
      <c r="C343" t="str">
        <f t="shared" si="86"/>
        <v>Hari</v>
      </c>
      <c r="D343" s="8" t="str">
        <f t="shared" si="87"/>
        <v>Kumar</v>
      </c>
      <c r="E343" s="8" t="str">
        <f t="shared" si="88"/>
        <v>Kumar, Hari</v>
      </c>
      <c r="F343" s="8" t="str">
        <f t="shared" si="89"/>
        <v>Kumar, Hari</v>
      </c>
      <c r="G343" s="8" t="str">
        <f t="shared" si="90"/>
        <v>not an outlier</v>
      </c>
      <c r="H343" s="8" t="str">
        <f t="shared" si="91"/>
        <v>Not</v>
      </c>
      <c r="I343" s="8" t="str">
        <f t="shared" si="101"/>
        <v>no</v>
      </c>
      <c r="J343" s="10" t="str">
        <f t="shared" si="92"/>
        <v>no</v>
      </c>
      <c r="K343" s="10" t="str">
        <f t="shared" si="93"/>
        <v>no</v>
      </c>
      <c r="L343" t="s">
        <v>536</v>
      </c>
      <c r="M343">
        <v>10377</v>
      </c>
      <c r="N343">
        <v>28</v>
      </c>
      <c r="O343" t="s">
        <v>727</v>
      </c>
      <c r="P343" t="str">
        <f t="shared" si="94"/>
        <v>SEVES_10377_Rössle Sauerkraut</v>
      </c>
      <c r="Q343" t="str">
        <f t="shared" si="95"/>
        <v>10377</v>
      </c>
      <c r="R343" t="str">
        <f t="shared" si="96"/>
        <v>10377</v>
      </c>
      <c r="S343" t="str">
        <f t="shared" si="97"/>
        <v>Rössle Sauerkraut</v>
      </c>
      <c r="T343">
        <v>36.4</v>
      </c>
      <c r="U343">
        <v>20</v>
      </c>
      <c r="V343">
        <v>0.15</v>
      </c>
      <c r="W343">
        <f t="shared" si="98"/>
        <v>618.79999999999995</v>
      </c>
      <c r="X343" t="str">
        <f t="shared" si="99"/>
        <v>No</v>
      </c>
      <c r="Y343" s="2">
        <v>34708</v>
      </c>
      <c r="Z343" t="str">
        <f t="shared" si="85"/>
        <v/>
      </c>
      <c r="AA343" t="str">
        <f t="shared" si="100"/>
        <v/>
      </c>
      <c r="AB343" t="str" cm="1">
        <f t="array" ref="AB343">_xlfn.IFS(Y343&lt;DATE(1996,1,1),"",Y343&lt;DATE(1996,4,1),"Q1",Y343&lt;DATE(1996,7,1),"Q2",Y343&gt;=DATE(1996,7,1),"")</f>
        <v/>
      </c>
    </row>
    <row r="344" spans="1:28" ht="14.4" x14ac:dyDescent="0.55000000000000004">
      <c r="A344" t="str">
        <f>VLOOKUP(L344,Customers!$A$2:$B$92,2,FALSE)</f>
        <v>Seven Seas Imports</v>
      </c>
      <c r="B344" t="str">
        <f>VLOOKUP(L344,Customers!$A$2:$C$92,3,TRUE)</f>
        <v>Hari Kumar</v>
      </c>
      <c r="C344" t="str">
        <f t="shared" si="86"/>
        <v>Hari</v>
      </c>
      <c r="D344" s="8" t="str">
        <f t="shared" si="87"/>
        <v>Kumar</v>
      </c>
      <c r="E344" s="8" t="str">
        <f t="shared" si="88"/>
        <v>Kumar, Hari</v>
      </c>
      <c r="F344" s="8" t="str">
        <f t="shared" si="89"/>
        <v>Kumar, Hari</v>
      </c>
      <c r="G344" s="8" t="str">
        <f t="shared" si="90"/>
        <v>not an outlier</v>
      </c>
      <c r="H344" s="8" t="str">
        <f t="shared" si="91"/>
        <v>Not</v>
      </c>
      <c r="I344" s="8" t="str">
        <f t="shared" si="101"/>
        <v>no</v>
      </c>
      <c r="J344" s="10" t="str">
        <f t="shared" si="92"/>
        <v>no</v>
      </c>
      <c r="K344" s="10" t="str">
        <f t="shared" si="93"/>
        <v>no</v>
      </c>
      <c r="L344" t="s">
        <v>536</v>
      </c>
      <c r="M344">
        <v>10377</v>
      </c>
      <c r="N344">
        <v>39</v>
      </c>
      <c r="O344" t="s">
        <v>696</v>
      </c>
      <c r="P344" t="str">
        <f t="shared" si="94"/>
        <v>SEVES_10377_Chartreuse verte</v>
      </c>
      <c r="Q344" t="str">
        <f t="shared" si="95"/>
        <v>10377</v>
      </c>
      <c r="R344" t="str">
        <f t="shared" si="96"/>
        <v>10377</v>
      </c>
      <c r="S344" t="str">
        <f t="shared" si="97"/>
        <v>Chartreuse verte</v>
      </c>
      <c r="T344">
        <v>14.4</v>
      </c>
      <c r="U344">
        <v>20</v>
      </c>
      <c r="V344">
        <v>0.15</v>
      </c>
      <c r="W344">
        <f t="shared" si="98"/>
        <v>244.79999999999998</v>
      </c>
      <c r="X344" t="str">
        <f t="shared" si="99"/>
        <v>No</v>
      </c>
      <c r="Y344" s="2">
        <v>34708</v>
      </c>
      <c r="Z344" t="str">
        <f t="shared" si="85"/>
        <v/>
      </c>
      <c r="AA344" t="str">
        <f t="shared" si="100"/>
        <v/>
      </c>
      <c r="AB344" t="str" cm="1">
        <f t="array" ref="AB344">_xlfn.IFS(Y344&lt;DATE(1996,1,1),"",Y344&lt;DATE(1996,4,1),"Q1",Y344&lt;DATE(1996,7,1),"Q2",Y344&gt;=DATE(1996,7,1),"")</f>
        <v/>
      </c>
    </row>
    <row r="345" spans="1:28" ht="14.4" x14ac:dyDescent="0.55000000000000004">
      <c r="A345" t="str">
        <f>VLOOKUP(L345,Customers!$A$2:$B$92,2,FALSE)</f>
        <v>Folk och fä HB</v>
      </c>
      <c r="B345" t="str">
        <f>VLOOKUP(L345,Customers!$A$2:$C$92,3,TRUE)</f>
        <v>Maria Larsson</v>
      </c>
      <c r="C345" t="str">
        <f t="shared" si="86"/>
        <v>Maria</v>
      </c>
      <c r="D345" s="8" t="str">
        <f t="shared" si="87"/>
        <v>Larsson</v>
      </c>
      <c r="E345" s="8" t="str">
        <f t="shared" si="88"/>
        <v>Larsson, Maria</v>
      </c>
      <c r="F345" s="8" t="str">
        <f t="shared" si="89"/>
        <v>Larsson, Maria</v>
      </c>
      <c r="G345" s="8" t="str">
        <f t="shared" si="90"/>
        <v>not an outlier</v>
      </c>
      <c r="H345" s="8" t="str">
        <f t="shared" si="91"/>
        <v>Not</v>
      </c>
      <c r="I345" s="8" t="str">
        <f t="shared" si="101"/>
        <v>no</v>
      </c>
      <c r="J345" s="10" t="str">
        <f t="shared" si="92"/>
        <v>no</v>
      </c>
      <c r="K345" s="10" t="str">
        <f t="shared" si="93"/>
        <v>no</v>
      </c>
      <c r="L345" t="s">
        <v>191</v>
      </c>
      <c r="M345">
        <v>10378</v>
      </c>
      <c r="N345">
        <v>71</v>
      </c>
      <c r="O345" t="s">
        <v>725</v>
      </c>
      <c r="P345" t="str">
        <f t="shared" si="94"/>
        <v>FOLKO_10378_Fløtemysost</v>
      </c>
      <c r="Q345" t="str">
        <f t="shared" si="95"/>
        <v>10378</v>
      </c>
      <c r="R345" t="str">
        <f t="shared" si="96"/>
        <v>10378</v>
      </c>
      <c r="S345" t="str">
        <f t="shared" si="97"/>
        <v>Fløtemysost</v>
      </c>
      <c r="T345">
        <v>17.2</v>
      </c>
      <c r="U345">
        <v>6</v>
      </c>
      <c r="V345">
        <v>0</v>
      </c>
      <c r="W345">
        <f t="shared" si="98"/>
        <v>103.19999999999999</v>
      </c>
      <c r="X345" t="str">
        <f t="shared" si="99"/>
        <v>No</v>
      </c>
      <c r="Y345" s="2">
        <v>34709</v>
      </c>
      <c r="Z345" t="str">
        <f t="shared" si="85"/>
        <v/>
      </c>
      <c r="AA345" t="str">
        <f t="shared" si="100"/>
        <v/>
      </c>
      <c r="AB345" t="str" cm="1">
        <f t="array" ref="AB345">_xlfn.IFS(Y345&lt;DATE(1996,1,1),"",Y345&lt;DATE(1996,4,1),"Q1",Y345&lt;DATE(1996,7,1),"Q2",Y345&gt;=DATE(1996,7,1),"")</f>
        <v/>
      </c>
    </row>
    <row r="346" spans="1:28" ht="14.4" x14ac:dyDescent="0.55000000000000004">
      <c r="A346" t="str">
        <f>VLOOKUP(L346,Customers!$A$2:$B$92,2,FALSE)</f>
        <v>Que Delícia</v>
      </c>
      <c r="B346" t="str">
        <f>VLOOKUP(L346,Customers!$A$2:$C$92,3,TRUE)</f>
        <v>Bernardo Batista</v>
      </c>
      <c r="C346" t="str">
        <f t="shared" si="86"/>
        <v>Bernardo</v>
      </c>
      <c r="D346" s="8" t="str">
        <f t="shared" si="87"/>
        <v>Batista</v>
      </c>
      <c r="E346" s="8" t="str">
        <f t="shared" si="88"/>
        <v>Batista, Bernardo</v>
      </c>
      <c r="F346" s="8" t="str">
        <f t="shared" si="89"/>
        <v>Batista, Bernardo</v>
      </c>
      <c r="G346" s="8" t="str">
        <f t="shared" si="90"/>
        <v>not an outlier</v>
      </c>
      <c r="H346" s="8" t="str">
        <f t="shared" si="91"/>
        <v>Not</v>
      </c>
      <c r="I346" s="8" t="str">
        <f t="shared" si="101"/>
        <v>no</v>
      </c>
      <c r="J346" s="10" t="str">
        <f t="shared" si="92"/>
        <v>no</v>
      </c>
      <c r="K346" s="10" t="str">
        <f t="shared" si="93"/>
        <v>no</v>
      </c>
      <c r="L346" t="s">
        <v>462</v>
      </c>
      <c r="M346">
        <v>10379</v>
      </c>
      <c r="N346">
        <v>41</v>
      </c>
      <c r="O346" t="s">
        <v>688</v>
      </c>
      <c r="P346" t="str">
        <f t="shared" si="94"/>
        <v>QUEDE_10379_Jack's New England Clam Chowder</v>
      </c>
      <c r="Q346" t="str">
        <f t="shared" si="95"/>
        <v>10379</v>
      </c>
      <c r="R346" t="str">
        <f t="shared" si="96"/>
        <v>10379</v>
      </c>
      <c r="S346" t="str">
        <f t="shared" si="97"/>
        <v>Jack's New England Clam Chowder</v>
      </c>
      <c r="T346">
        <v>7.7</v>
      </c>
      <c r="U346">
        <v>8</v>
      </c>
      <c r="V346">
        <v>0.1</v>
      </c>
      <c r="W346">
        <f t="shared" si="98"/>
        <v>55.440000000000005</v>
      </c>
      <c r="X346" t="str">
        <f t="shared" si="99"/>
        <v>No</v>
      </c>
      <c r="Y346" s="2">
        <v>34710</v>
      </c>
      <c r="Z346" t="str">
        <f t="shared" si="85"/>
        <v/>
      </c>
      <c r="AA346" t="str">
        <f t="shared" si="100"/>
        <v/>
      </c>
      <c r="AB346" t="str" cm="1">
        <f t="array" ref="AB346">_xlfn.IFS(Y346&lt;DATE(1996,1,1),"",Y346&lt;DATE(1996,4,1),"Q1",Y346&lt;DATE(1996,7,1),"Q2",Y346&gt;=DATE(1996,7,1),"")</f>
        <v/>
      </c>
    </row>
    <row r="347" spans="1:28" ht="14.4" x14ac:dyDescent="0.55000000000000004">
      <c r="A347" t="str">
        <f>VLOOKUP(L347,Customers!$A$2:$B$92,2,FALSE)</f>
        <v>Que Delícia</v>
      </c>
      <c r="B347" t="str">
        <f>VLOOKUP(L347,Customers!$A$2:$C$92,3,TRUE)</f>
        <v>Bernardo Batista</v>
      </c>
      <c r="C347" t="str">
        <f t="shared" si="86"/>
        <v>Bernardo</v>
      </c>
      <c r="D347" s="8" t="str">
        <f t="shared" si="87"/>
        <v>Batista</v>
      </c>
      <c r="E347" s="8" t="str">
        <f t="shared" si="88"/>
        <v>Batista, Bernardo</v>
      </c>
      <c r="F347" s="8" t="str">
        <f t="shared" si="89"/>
        <v>Batista, Bernardo</v>
      </c>
      <c r="G347" s="8" t="str">
        <f t="shared" si="90"/>
        <v>not an outlier</v>
      </c>
      <c r="H347" s="8" t="str">
        <f t="shared" si="91"/>
        <v>Not</v>
      </c>
      <c r="I347" s="8" t="str">
        <f t="shared" si="101"/>
        <v>no</v>
      </c>
      <c r="J347" s="10" t="str">
        <f t="shared" si="92"/>
        <v>no</v>
      </c>
      <c r="K347" s="10" t="str">
        <f t="shared" si="93"/>
        <v>no</v>
      </c>
      <c r="L347" t="s">
        <v>462</v>
      </c>
      <c r="M347">
        <v>10379</v>
      </c>
      <c r="N347">
        <v>63</v>
      </c>
      <c r="O347" t="s">
        <v>729</v>
      </c>
      <c r="P347" t="str">
        <f t="shared" si="94"/>
        <v>QUEDE_10379_Vegie-spread</v>
      </c>
      <c r="Q347" t="str">
        <f t="shared" si="95"/>
        <v>10379</v>
      </c>
      <c r="R347" t="str">
        <f t="shared" si="96"/>
        <v>10379</v>
      </c>
      <c r="S347" t="str">
        <f t="shared" si="97"/>
        <v>Vegie-spread</v>
      </c>
      <c r="T347">
        <v>35.1</v>
      </c>
      <c r="U347">
        <v>16</v>
      </c>
      <c r="V347">
        <v>0.1</v>
      </c>
      <c r="W347">
        <f t="shared" si="98"/>
        <v>505.44000000000005</v>
      </c>
      <c r="X347" t="str">
        <f t="shared" si="99"/>
        <v>No</v>
      </c>
      <c r="Y347" s="2">
        <v>34710</v>
      </c>
      <c r="Z347" t="str">
        <f t="shared" si="85"/>
        <v/>
      </c>
      <c r="AA347" t="str">
        <f t="shared" si="100"/>
        <v/>
      </c>
      <c r="AB347" t="str" cm="1">
        <f t="array" ref="AB347">_xlfn.IFS(Y347&lt;DATE(1996,1,1),"",Y347&lt;DATE(1996,4,1),"Q1",Y347&lt;DATE(1996,7,1),"Q2",Y347&gt;=DATE(1996,7,1),"")</f>
        <v/>
      </c>
    </row>
    <row r="348" spans="1:28" ht="14.4" x14ac:dyDescent="0.55000000000000004">
      <c r="A348" t="str">
        <f>VLOOKUP(L348,Customers!$A$2:$B$92,2,FALSE)</f>
        <v>Que Delícia</v>
      </c>
      <c r="B348" t="str">
        <f>VLOOKUP(L348,Customers!$A$2:$C$92,3,TRUE)</f>
        <v>Bernardo Batista</v>
      </c>
      <c r="C348" t="str">
        <f t="shared" si="86"/>
        <v>Bernardo</v>
      </c>
      <c r="D348" s="8" t="str">
        <f t="shared" si="87"/>
        <v>Batista</v>
      </c>
      <c r="E348" s="8" t="str">
        <f t="shared" si="88"/>
        <v>Batista, Bernardo</v>
      </c>
      <c r="F348" s="8" t="str">
        <f t="shared" si="89"/>
        <v>Batista, Bernardo</v>
      </c>
      <c r="G348" s="8" t="str">
        <f t="shared" si="90"/>
        <v>not an outlier</v>
      </c>
      <c r="H348" s="8" t="str">
        <f t="shared" si="91"/>
        <v>Not</v>
      </c>
      <c r="I348" s="8" t="str">
        <f t="shared" si="101"/>
        <v>no</v>
      </c>
      <c r="J348" s="10" t="str">
        <f t="shared" si="92"/>
        <v>no</v>
      </c>
      <c r="K348" s="10" t="str">
        <f t="shared" si="93"/>
        <v>no</v>
      </c>
      <c r="L348" t="s">
        <v>462</v>
      </c>
      <c r="M348">
        <v>10379</v>
      </c>
      <c r="N348">
        <v>65</v>
      </c>
      <c r="O348" t="s">
        <v>689</v>
      </c>
      <c r="P348" t="str">
        <f t="shared" si="94"/>
        <v>QUEDE_10379_Louisiana Fiery Hot Pepper Sauce</v>
      </c>
      <c r="Q348" t="str">
        <f t="shared" si="95"/>
        <v>10379</v>
      </c>
      <c r="R348" t="str">
        <f t="shared" si="96"/>
        <v>10379</v>
      </c>
      <c r="S348" t="str">
        <f t="shared" si="97"/>
        <v>Louisiana Fiery Hot Pepper Sauce</v>
      </c>
      <c r="T348">
        <v>16.8</v>
      </c>
      <c r="U348">
        <v>20</v>
      </c>
      <c r="V348">
        <v>0.1</v>
      </c>
      <c r="W348">
        <f t="shared" si="98"/>
        <v>302.40000000000003</v>
      </c>
      <c r="X348" t="str">
        <f t="shared" si="99"/>
        <v>No</v>
      </c>
      <c r="Y348" s="2">
        <v>34710</v>
      </c>
      <c r="Z348" t="str">
        <f t="shared" si="85"/>
        <v/>
      </c>
      <c r="AA348" t="str">
        <f t="shared" si="100"/>
        <v/>
      </c>
      <c r="AB348" t="str" cm="1">
        <f t="array" ref="AB348">_xlfn.IFS(Y348&lt;DATE(1996,1,1),"",Y348&lt;DATE(1996,4,1),"Q1",Y348&lt;DATE(1996,7,1),"Q2",Y348&gt;=DATE(1996,7,1),"")</f>
        <v/>
      </c>
    </row>
    <row r="349" spans="1:28" ht="14.4" x14ac:dyDescent="0.55000000000000004">
      <c r="A349" t="str">
        <f>VLOOKUP(L349,Customers!$A$2:$B$92,2,FALSE)</f>
        <v>Hungry Owl All-Night Grocers</v>
      </c>
      <c r="B349" t="str">
        <f>VLOOKUP(L349,Customers!$A$2:$C$92,3,TRUE)</f>
        <v>Patricia McKenna</v>
      </c>
      <c r="C349" t="str">
        <f t="shared" si="86"/>
        <v>Patricia</v>
      </c>
      <c r="D349" s="8" t="str">
        <f t="shared" si="87"/>
        <v>McKenna</v>
      </c>
      <c r="E349" s="8" t="str">
        <f t="shared" si="88"/>
        <v>McKenna, Patricia</v>
      </c>
      <c r="F349" s="8" t="str">
        <f t="shared" si="89"/>
        <v>McKenna, Patricia</v>
      </c>
      <c r="G349" s="8" t="str">
        <f t="shared" si="90"/>
        <v>not an outlier</v>
      </c>
      <c r="H349" s="8" t="str">
        <f t="shared" si="91"/>
        <v>Not</v>
      </c>
      <c r="I349" s="8" t="str">
        <f t="shared" si="101"/>
        <v>no</v>
      </c>
      <c r="J349" s="10" t="str">
        <f t="shared" si="92"/>
        <v>no</v>
      </c>
      <c r="K349" s="10" t="str">
        <f t="shared" si="93"/>
        <v>no</v>
      </c>
      <c r="L349" t="s">
        <v>288</v>
      </c>
      <c r="M349">
        <v>10380</v>
      </c>
      <c r="N349">
        <v>30</v>
      </c>
      <c r="O349" t="s">
        <v>717</v>
      </c>
      <c r="P349" t="str">
        <f t="shared" si="94"/>
        <v>HUNGO_10380_Nord-Ost Matjeshering</v>
      </c>
      <c r="Q349" t="str">
        <f t="shared" si="95"/>
        <v>10380</v>
      </c>
      <c r="R349" t="str">
        <f t="shared" si="96"/>
        <v>10380</v>
      </c>
      <c r="S349" t="str">
        <f t="shared" si="97"/>
        <v>Nord-Ost Matjeshering</v>
      </c>
      <c r="T349">
        <v>20.7</v>
      </c>
      <c r="U349">
        <v>18</v>
      </c>
      <c r="V349">
        <v>0.1</v>
      </c>
      <c r="W349">
        <f t="shared" si="98"/>
        <v>335.34</v>
      </c>
      <c r="X349" t="str">
        <f t="shared" si="99"/>
        <v>No</v>
      </c>
      <c r="Y349" s="2">
        <v>34711</v>
      </c>
      <c r="Z349" t="str">
        <f t="shared" si="85"/>
        <v/>
      </c>
      <c r="AA349" t="str">
        <f t="shared" si="100"/>
        <v/>
      </c>
      <c r="AB349" t="str" cm="1">
        <f t="array" ref="AB349">_xlfn.IFS(Y349&lt;DATE(1996,1,1),"",Y349&lt;DATE(1996,4,1),"Q1",Y349&lt;DATE(1996,7,1),"Q2",Y349&gt;=DATE(1996,7,1),"")</f>
        <v/>
      </c>
    </row>
    <row r="350" spans="1:28" ht="14.4" x14ac:dyDescent="0.55000000000000004">
      <c r="A350" t="str">
        <f>VLOOKUP(L350,Customers!$A$2:$B$92,2,FALSE)</f>
        <v>Hungry Owl All-Night Grocers</v>
      </c>
      <c r="B350" t="str">
        <f>VLOOKUP(L350,Customers!$A$2:$C$92,3,TRUE)</f>
        <v>Patricia McKenna</v>
      </c>
      <c r="C350" t="str">
        <f t="shared" si="86"/>
        <v>Patricia</v>
      </c>
      <c r="D350" s="8" t="str">
        <f t="shared" si="87"/>
        <v>McKenna</v>
      </c>
      <c r="E350" s="8" t="str">
        <f t="shared" si="88"/>
        <v>McKenna, Patricia</v>
      </c>
      <c r="F350" s="8" t="str">
        <f t="shared" si="89"/>
        <v>McKenna, Patricia</v>
      </c>
      <c r="G350" s="8" t="str">
        <f t="shared" si="90"/>
        <v>not an outlier</v>
      </c>
      <c r="H350" s="8" t="str">
        <f t="shared" si="91"/>
        <v>Not</v>
      </c>
      <c r="I350" s="8" t="str">
        <f t="shared" si="101"/>
        <v>no</v>
      </c>
      <c r="J350" s="10" t="str">
        <f t="shared" si="92"/>
        <v>no</v>
      </c>
      <c r="K350" s="10" t="str">
        <f t="shared" si="93"/>
        <v>no</v>
      </c>
      <c r="L350" t="s">
        <v>288</v>
      </c>
      <c r="M350">
        <v>10380</v>
      </c>
      <c r="N350">
        <v>53</v>
      </c>
      <c r="O350" t="s">
        <v>705</v>
      </c>
      <c r="P350" t="str">
        <f t="shared" si="94"/>
        <v>HUNGO_10380_Perth Pasties</v>
      </c>
      <c r="Q350" t="str">
        <f t="shared" si="95"/>
        <v>10380</v>
      </c>
      <c r="R350" t="str">
        <f t="shared" si="96"/>
        <v>10380</v>
      </c>
      <c r="S350" t="str">
        <f t="shared" si="97"/>
        <v>Perth Pasties</v>
      </c>
      <c r="T350">
        <v>26.2</v>
      </c>
      <c r="U350">
        <v>20</v>
      </c>
      <c r="V350">
        <v>0.1</v>
      </c>
      <c r="W350">
        <f t="shared" si="98"/>
        <v>471.6</v>
      </c>
      <c r="X350" t="str">
        <f t="shared" si="99"/>
        <v>No</v>
      </c>
      <c r="Y350" s="2">
        <v>34711</v>
      </c>
      <c r="Z350" t="str">
        <f t="shared" si="85"/>
        <v/>
      </c>
      <c r="AA350" t="str">
        <f t="shared" si="100"/>
        <v/>
      </c>
      <c r="AB350" t="str" cm="1">
        <f t="array" ref="AB350">_xlfn.IFS(Y350&lt;DATE(1996,1,1),"",Y350&lt;DATE(1996,4,1),"Q1",Y350&lt;DATE(1996,7,1),"Q2",Y350&gt;=DATE(1996,7,1),"")</f>
        <v/>
      </c>
    </row>
    <row r="351" spans="1:28" ht="14.4" x14ac:dyDescent="0.55000000000000004">
      <c r="A351" t="str">
        <f>VLOOKUP(L351,Customers!$A$2:$B$92,2,FALSE)</f>
        <v>Hungry Owl All-Night Grocers</v>
      </c>
      <c r="B351" t="str">
        <f>VLOOKUP(L351,Customers!$A$2:$C$92,3,TRUE)</f>
        <v>Patricia McKenna</v>
      </c>
      <c r="C351" t="str">
        <f t="shared" si="86"/>
        <v>Patricia</v>
      </c>
      <c r="D351" s="8" t="str">
        <f t="shared" si="87"/>
        <v>McKenna</v>
      </c>
      <c r="E351" s="8" t="str">
        <f t="shared" si="88"/>
        <v>McKenna, Patricia</v>
      </c>
      <c r="F351" s="8" t="str">
        <f t="shared" si="89"/>
        <v>McKenna, Patricia</v>
      </c>
      <c r="G351" s="8" t="str">
        <f t="shared" si="90"/>
        <v>not an outlier</v>
      </c>
      <c r="H351" s="8" t="str">
        <f t="shared" si="91"/>
        <v>Not</v>
      </c>
      <c r="I351" s="8" t="str">
        <f t="shared" si="101"/>
        <v>no</v>
      </c>
      <c r="J351" s="10" t="str">
        <f t="shared" si="92"/>
        <v>no</v>
      </c>
      <c r="K351" s="10" t="str">
        <f t="shared" si="93"/>
        <v>no</v>
      </c>
      <c r="L351" t="s">
        <v>288</v>
      </c>
      <c r="M351">
        <v>10380</v>
      </c>
      <c r="N351">
        <v>60</v>
      </c>
      <c r="O351" t="s">
        <v>694</v>
      </c>
      <c r="P351" t="str">
        <f t="shared" si="94"/>
        <v>HUNGO_10380_Camembert Pierrot</v>
      </c>
      <c r="Q351" t="str">
        <f t="shared" si="95"/>
        <v>10380</v>
      </c>
      <c r="R351" t="str">
        <f t="shared" si="96"/>
        <v>10380</v>
      </c>
      <c r="S351" t="str">
        <f t="shared" si="97"/>
        <v>Camembert Pierrot</v>
      </c>
      <c r="T351">
        <v>27.2</v>
      </c>
      <c r="U351">
        <v>6</v>
      </c>
      <c r="V351">
        <v>0.1</v>
      </c>
      <c r="W351">
        <f t="shared" si="98"/>
        <v>146.88</v>
      </c>
      <c r="X351" t="str">
        <f t="shared" si="99"/>
        <v>No</v>
      </c>
      <c r="Y351" s="2">
        <v>34711</v>
      </c>
      <c r="Z351" t="str">
        <f t="shared" si="85"/>
        <v/>
      </c>
      <c r="AA351" t="str">
        <f t="shared" si="100"/>
        <v/>
      </c>
      <c r="AB351" t="str" cm="1">
        <f t="array" ref="AB351">_xlfn.IFS(Y351&lt;DATE(1996,1,1),"",Y351&lt;DATE(1996,4,1),"Q1",Y351&lt;DATE(1996,7,1),"Q2",Y351&gt;=DATE(1996,7,1),"")</f>
        <v/>
      </c>
    </row>
    <row r="352" spans="1:28" ht="14.4" x14ac:dyDescent="0.55000000000000004">
      <c r="A352" t="str">
        <f>VLOOKUP(L352,Customers!$A$2:$B$92,2,FALSE)</f>
        <v>Hungry Owl All-Night Grocers</v>
      </c>
      <c r="B352" t="str">
        <f>VLOOKUP(L352,Customers!$A$2:$C$92,3,TRUE)</f>
        <v>Patricia McKenna</v>
      </c>
      <c r="C352" t="str">
        <f t="shared" si="86"/>
        <v>Patricia</v>
      </c>
      <c r="D352" s="8" t="str">
        <f t="shared" si="87"/>
        <v>McKenna</v>
      </c>
      <c r="E352" s="8" t="str">
        <f t="shared" si="88"/>
        <v>McKenna, Patricia</v>
      </c>
      <c r="F352" s="8" t="str">
        <f t="shared" si="89"/>
        <v>McKenna, Patricia</v>
      </c>
      <c r="G352" s="8" t="str">
        <f t="shared" si="90"/>
        <v>not an outlier</v>
      </c>
      <c r="H352" s="8" t="str">
        <f t="shared" si="91"/>
        <v>Not</v>
      </c>
      <c r="I352" s="8" t="str">
        <f t="shared" si="101"/>
        <v>no</v>
      </c>
      <c r="J352" s="10" t="str">
        <f t="shared" si="92"/>
        <v>no</v>
      </c>
      <c r="K352" s="10" t="str">
        <f t="shared" si="93"/>
        <v>no</v>
      </c>
      <c r="L352" t="s">
        <v>288</v>
      </c>
      <c r="M352">
        <v>10380</v>
      </c>
      <c r="N352">
        <v>70</v>
      </c>
      <c r="O352" t="s">
        <v>713</v>
      </c>
      <c r="P352" t="str">
        <f t="shared" si="94"/>
        <v>HUNGO_10380_Outback Lager</v>
      </c>
      <c r="Q352" t="str">
        <f t="shared" si="95"/>
        <v>10380</v>
      </c>
      <c r="R352" t="str">
        <f t="shared" si="96"/>
        <v>10380</v>
      </c>
      <c r="S352" t="str">
        <f t="shared" si="97"/>
        <v>Outback Lager</v>
      </c>
      <c r="T352">
        <v>12</v>
      </c>
      <c r="U352">
        <v>30</v>
      </c>
      <c r="V352">
        <v>0</v>
      </c>
      <c r="W352">
        <f t="shared" si="98"/>
        <v>360</v>
      </c>
      <c r="X352" t="str">
        <f t="shared" si="99"/>
        <v>No</v>
      </c>
      <c r="Y352" s="2">
        <v>34711</v>
      </c>
      <c r="Z352" t="str">
        <f t="shared" si="85"/>
        <v/>
      </c>
      <c r="AA352" t="str">
        <f t="shared" si="100"/>
        <v/>
      </c>
      <c r="AB352" t="str" cm="1">
        <f t="array" ref="AB352">_xlfn.IFS(Y352&lt;DATE(1996,1,1),"",Y352&lt;DATE(1996,4,1),"Q1",Y352&lt;DATE(1996,7,1),"Q2",Y352&gt;=DATE(1996,7,1),"")</f>
        <v/>
      </c>
    </row>
    <row r="353" spans="1:28" ht="14.4" x14ac:dyDescent="0.55000000000000004">
      <c r="A353" t="str">
        <f>VLOOKUP(L353,Customers!$A$2:$B$92,2,FALSE)</f>
        <v>LILA-Supermercado</v>
      </c>
      <c r="B353" t="str">
        <f>VLOOKUP(L353,Customers!$A$2:$C$92,3,TRUE)</f>
        <v>Carlos González</v>
      </c>
      <c r="C353" t="str">
        <f t="shared" si="86"/>
        <v>Carlos</v>
      </c>
      <c r="D353" s="8" t="str">
        <f t="shared" si="87"/>
        <v>González</v>
      </c>
      <c r="E353" s="8" t="str">
        <f t="shared" si="88"/>
        <v>González, Carlos</v>
      </c>
      <c r="F353" s="8" t="str">
        <f t="shared" si="89"/>
        <v>González, Carlos</v>
      </c>
      <c r="G353" s="8" t="str">
        <f t="shared" si="90"/>
        <v>not an outlier</v>
      </c>
      <c r="H353" s="8" t="str">
        <f t="shared" si="91"/>
        <v>Not</v>
      </c>
      <c r="I353" s="8" t="str">
        <f t="shared" si="101"/>
        <v>no</v>
      </c>
      <c r="J353" s="10" t="str">
        <f t="shared" si="92"/>
        <v>no</v>
      </c>
      <c r="K353" s="10" t="str">
        <f t="shared" si="93"/>
        <v>no</v>
      </c>
      <c r="L353" t="s">
        <v>355</v>
      </c>
      <c r="M353">
        <v>10381</v>
      </c>
      <c r="N353">
        <v>74</v>
      </c>
      <c r="O353" t="s">
        <v>700</v>
      </c>
      <c r="P353" t="str">
        <f t="shared" si="94"/>
        <v>LILAS_10381_Longlife Tofu</v>
      </c>
      <c r="Q353" t="str">
        <f t="shared" si="95"/>
        <v>10381</v>
      </c>
      <c r="R353" t="str">
        <f t="shared" si="96"/>
        <v>10381</v>
      </c>
      <c r="S353" t="str">
        <f t="shared" si="97"/>
        <v>Longlife Tofu</v>
      </c>
      <c r="T353">
        <v>8</v>
      </c>
      <c r="U353">
        <v>14</v>
      </c>
      <c r="V353">
        <v>0</v>
      </c>
      <c r="W353">
        <f t="shared" si="98"/>
        <v>112</v>
      </c>
      <c r="X353" t="str">
        <f t="shared" si="99"/>
        <v>No</v>
      </c>
      <c r="Y353" s="2">
        <v>34711</v>
      </c>
      <c r="Z353" t="str">
        <f t="shared" si="85"/>
        <v/>
      </c>
      <c r="AA353" t="str">
        <f t="shared" si="100"/>
        <v/>
      </c>
      <c r="AB353" t="str" cm="1">
        <f t="array" ref="AB353">_xlfn.IFS(Y353&lt;DATE(1996,1,1),"",Y353&lt;DATE(1996,4,1),"Q1",Y353&lt;DATE(1996,7,1),"Q2",Y353&gt;=DATE(1996,7,1),"")</f>
        <v/>
      </c>
    </row>
    <row r="354" spans="1:28" ht="14.4" x14ac:dyDescent="0.55000000000000004">
      <c r="A354" t="str">
        <f>VLOOKUP(L354,Customers!$A$2:$B$92,2,FALSE)</f>
        <v>Ernst Handel</v>
      </c>
      <c r="B354" t="str">
        <f>VLOOKUP(L354,Customers!$A$2:$C$92,3,TRUE)</f>
        <v>Roland Mendel</v>
      </c>
      <c r="C354" t="str">
        <f t="shared" si="86"/>
        <v>Roland</v>
      </c>
      <c r="D354" s="8" t="str">
        <f t="shared" si="87"/>
        <v>Mendel</v>
      </c>
      <c r="E354" s="8" t="str">
        <f t="shared" si="88"/>
        <v>Mendel, Roland</v>
      </c>
      <c r="F354" s="8" t="str">
        <f t="shared" si="89"/>
        <v>Mendel, Roland</v>
      </c>
      <c r="G354" s="8" t="str">
        <f t="shared" si="90"/>
        <v>not an outlier</v>
      </c>
      <c r="H354" s="8" t="str">
        <f t="shared" si="91"/>
        <v>Not</v>
      </c>
      <c r="I354" s="8" t="str">
        <f t="shared" si="101"/>
        <v>no</v>
      </c>
      <c r="J354" s="10" t="str">
        <f t="shared" si="92"/>
        <v>no</v>
      </c>
      <c r="K354" s="10" t="str">
        <f t="shared" si="93"/>
        <v>no</v>
      </c>
      <c r="L354" t="s">
        <v>161</v>
      </c>
      <c r="M354">
        <v>10382</v>
      </c>
      <c r="N354">
        <v>5</v>
      </c>
      <c r="O354" t="s">
        <v>708</v>
      </c>
      <c r="P354" t="str">
        <f t="shared" si="94"/>
        <v>ERNSH_10382_Chef Anton's Gumbo Mix</v>
      </c>
      <c r="Q354" t="str">
        <f t="shared" si="95"/>
        <v>10382</v>
      </c>
      <c r="R354" t="str">
        <f t="shared" si="96"/>
        <v>10382</v>
      </c>
      <c r="S354" t="str">
        <f t="shared" si="97"/>
        <v>Chef Anton's Gumbo Mix</v>
      </c>
      <c r="T354">
        <v>17</v>
      </c>
      <c r="U354">
        <v>32</v>
      </c>
      <c r="V354">
        <v>0</v>
      </c>
      <c r="W354">
        <f t="shared" si="98"/>
        <v>544</v>
      </c>
      <c r="X354" t="str">
        <f t="shared" si="99"/>
        <v>No</v>
      </c>
      <c r="Y354" s="2">
        <v>34712</v>
      </c>
      <c r="Z354" t="str">
        <f t="shared" si="85"/>
        <v/>
      </c>
      <c r="AA354" t="str">
        <f t="shared" si="100"/>
        <v/>
      </c>
      <c r="AB354" t="str" cm="1">
        <f t="array" ref="AB354">_xlfn.IFS(Y354&lt;DATE(1996,1,1),"",Y354&lt;DATE(1996,4,1),"Q1",Y354&lt;DATE(1996,7,1),"Q2",Y354&gt;=DATE(1996,7,1),"")</f>
        <v/>
      </c>
    </row>
    <row r="355" spans="1:28" ht="14.4" x14ac:dyDescent="0.55000000000000004">
      <c r="A355" t="str">
        <f>VLOOKUP(L355,Customers!$A$2:$B$92,2,FALSE)</f>
        <v>Ernst Handel</v>
      </c>
      <c r="B355" t="str">
        <f>VLOOKUP(L355,Customers!$A$2:$C$92,3,TRUE)</f>
        <v>Roland Mendel</v>
      </c>
      <c r="C355" t="str">
        <f t="shared" si="86"/>
        <v>Roland</v>
      </c>
      <c r="D355" s="8" t="str">
        <f t="shared" si="87"/>
        <v>Mendel</v>
      </c>
      <c r="E355" s="8" t="str">
        <f t="shared" si="88"/>
        <v>Mendel, Roland</v>
      </c>
      <c r="F355" s="8" t="str">
        <f t="shared" si="89"/>
        <v>Mendel, Roland</v>
      </c>
      <c r="G355" s="8" t="str">
        <f t="shared" si="90"/>
        <v>not an outlier</v>
      </c>
      <c r="H355" s="8" t="str">
        <f t="shared" si="91"/>
        <v>Not</v>
      </c>
      <c r="I355" s="8" t="str">
        <f t="shared" si="101"/>
        <v>no</v>
      </c>
      <c r="J355" s="10" t="str">
        <f t="shared" si="92"/>
        <v>no</v>
      </c>
      <c r="K355" s="10" t="str">
        <f t="shared" si="93"/>
        <v>no</v>
      </c>
      <c r="L355" t="s">
        <v>161</v>
      </c>
      <c r="M355">
        <v>10382</v>
      </c>
      <c r="N355">
        <v>18</v>
      </c>
      <c r="O355" t="s">
        <v>742</v>
      </c>
      <c r="P355" t="str">
        <f t="shared" si="94"/>
        <v>ERNSH_10382_Carnarvon Tigers</v>
      </c>
      <c r="Q355" t="str">
        <f t="shared" si="95"/>
        <v>10382</v>
      </c>
      <c r="R355" t="str">
        <f t="shared" si="96"/>
        <v>10382</v>
      </c>
      <c r="S355" t="str">
        <f t="shared" si="97"/>
        <v>Carnarvon Tigers</v>
      </c>
      <c r="T355">
        <v>50</v>
      </c>
      <c r="U355">
        <v>9</v>
      </c>
      <c r="V355">
        <v>0</v>
      </c>
      <c r="W355">
        <f t="shared" si="98"/>
        <v>450</v>
      </c>
      <c r="X355" t="str">
        <f t="shared" si="99"/>
        <v>No</v>
      </c>
      <c r="Y355" s="2">
        <v>34712</v>
      </c>
      <c r="Z355" t="str">
        <f t="shared" si="85"/>
        <v/>
      </c>
      <c r="AA355" t="str">
        <f t="shared" si="100"/>
        <v/>
      </c>
      <c r="AB355" t="str" cm="1">
        <f t="array" ref="AB355">_xlfn.IFS(Y355&lt;DATE(1996,1,1),"",Y355&lt;DATE(1996,4,1),"Q1",Y355&lt;DATE(1996,7,1),"Q2",Y355&gt;=DATE(1996,7,1),"")</f>
        <v/>
      </c>
    </row>
    <row r="356" spans="1:28" ht="14.4" x14ac:dyDescent="0.55000000000000004">
      <c r="A356" t="str">
        <f>VLOOKUP(L356,Customers!$A$2:$B$92,2,FALSE)</f>
        <v>Ernst Handel</v>
      </c>
      <c r="B356" t="str">
        <f>VLOOKUP(L356,Customers!$A$2:$C$92,3,TRUE)</f>
        <v>Roland Mendel</v>
      </c>
      <c r="C356" t="str">
        <f t="shared" si="86"/>
        <v>Roland</v>
      </c>
      <c r="D356" s="8" t="str">
        <f t="shared" si="87"/>
        <v>Mendel</v>
      </c>
      <c r="E356" s="8" t="str">
        <f t="shared" si="88"/>
        <v>Mendel, Roland</v>
      </c>
      <c r="F356" s="8" t="str">
        <f t="shared" si="89"/>
        <v>Mendel, Roland</v>
      </c>
      <c r="G356" s="8" t="str">
        <f t="shared" si="90"/>
        <v>not an outlier</v>
      </c>
      <c r="H356" s="8" t="str">
        <f t="shared" si="91"/>
        <v>Not</v>
      </c>
      <c r="I356" s="8" t="str">
        <f t="shared" si="101"/>
        <v>no</v>
      </c>
      <c r="J356" s="10" t="str">
        <f t="shared" si="92"/>
        <v>no</v>
      </c>
      <c r="K356" s="10" t="str">
        <f t="shared" si="93"/>
        <v>no</v>
      </c>
      <c r="L356" t="s">
        <v>161</v>
      </c>
      <c r="M356">
        <v>10382</v>
      </c>
      <c r="N356">
        <v>29</v>
      </c>
      <c r="O356" t="s">
        <v>722</v>
      </c>
      <c r="P356" t="str">
        <f t="shared" si="94"/>
        <v>ERNSH_10382_Thüringer Rostbratwurst</v>
      </c>
      <c r="Q356" t="str">
        <f t="shared" si="95"/>
        <v>10382</v>
      </c>
      <c r="R356" t="str">
        <f t="shared" si="96"/>
        <v>10382</v>
      </c>
      <c r="S356" t="str">
        <f t="shared" si="97"/>
        <v>Thüringer Rostbratwurst</v>
      </c>
      <c r="T356">
        <v>99</v>
      </c>
      <c r="U356">
        <v>14</v>
      </c>
      <c r="V356">
        <v>0</v>
      </c>
      <c r="W356">
        <f t="shared" si="98"/>
        <v>1386</v>
      </c>
      <c r="X356" t="str">
        <f t="shared" si="99"/>
        <v>No</v>
      </c>
      <c r="Y356" s="2">
        <v>34712</v>
      </c>
      <c r="Z356" t="str">
        <f t="shared" si="85"/>
        <v/>
      </c>
      <c r="AA356" t="str">
        <f t="shared" si="100"/>
        <v/>
      </c>
      <c r="AB356" t="str" cm="1">
        <f t="array" ref="AB356">_xlfn.IFS(Y356&lt;DATE(1996,1,1),"",Y356&lt;DATE(1996,4,1),"Q1",Y356&lt;DATE(1996,7,1),"Q2",Y356&gt;=DATE(1996,7,1),"")</f>
        <v/>
      </c>
    </row>
    <row r="357" spans="1:28" ht="14.4" x14ac:dyDescent="0.55000000000000004">
      <c r="A357" t="str">
        <f>VLOOKUP(L357,Customers!$A$2:$B$92,2,FALSE)</f>
        <v>Ernst Handel</v>
      </c>
      <c r="B357" t="str">
        <f>VLOOKUP(L357,Customers!$A$2:$C$92,3,TRUE)</f>
        <v>Roland Mendel</v>
      </c>
      <c r="C357" t="str">
        <f t="shared" si="86"/>
        <v>Roland</v>
      </c>
      <c r="D357" s="8" t="str">
        <f t="shared" si="87"/>
        <v>Mendel</v>
      </c>
      <c r="E357" s="8" t="str">
        <f t="shared" si="88"/>
        <v>Mendel, Roland</v>
      </c>
      <c r="F357" s="8" t="str">
        <f t="shared" si="89"/>
        <v>Mendel, Roland</v>
      </c>
      <c r="G357" s="8" t="str">
        <f t="shared" si="90"/>
        <v>not an outlier</v>
      </c>
      <c r="H357" s="8" t="str">
        <f t="shared" si="91"/>
        <v>Not</v>
      </c>
      <c r="I357" s="8" t="str">
        <f t="shared" si="101"/>
        <v>no</v>
      </c>
      <c r="J357" s="10" t="str">
        <f t="shared" si="92"/>
        <v>no</v>
      </c>
      <c r="K357" s="10" t="str">
        <f t="shared" si="93"/>
        <v>no</v>
      </c>
      <c r="L357" t="s">
        <v>161</v>
      </c>
      <c r="M357">
        <v>10382</v>
      </c>
      <c r="N357">
        <v>33</v>
      </c>
      <c r="O357" t="s">
        <v>693</v>
      </c>
      <c r="P357" t="str">
        <f t="shared" si="94"/>
        <v>ERNSH_10382_Geitost</v>
      </c>
      <c r="Q357" t="str">
        <f t="shared" si="95"/>
        <v>10382</v>
      </c>
      <c r="R357" t="str">
        <f t="shared" si="96"/>
        <v>10382</v>
      </c>
      <c r="S357" t="str">
        <f t="shared" si="97"/>
        <v>Geitost</v>
      </c>
      <c r="T357">
        <v>2</v>
      </c>
      <c r="U357">
        <v>60</v>
      </c>
      <c r="V357">
        <v>0</v>
      </c>
      <c r="W357">
        <f t="shared" si="98"/>
        <v>120</v>
      </c>
      <c r="X357" t="str">
        <f t="shared" si="99"/>
        <v>No</v>
      </c>
      <c r="Y357" s="2">
        <v>34712</v>
      </c>
      <c r="Z357" t="str">
        <f t="shared" si="85"/>
        <v/>
      </c>
      <c r="AA357" t="str">
        <f t="shared" si="100"/>
        <v/>
      </c>
      <c r="AB357" t="str" cm="1">
        <f t="array" ref="AB357">_xlfn.IFS(Y357&lt;DATE(1996,1,1),"",Y357&lt;DATE(1996,4,1),"Q1",Y357&lt;DATE(1996,7,1),"Q2",Y357&gt;=DATE(1996,7,1),"")</f>
        <v/>
      </c>
    </row>
    <row r="358" spans="1:28" ht="14.4" x14ac:dyDescent="0.55000000000000004">
      <c r="A358" t="str">
        <f>VLOOKUP(L358,Customers!$A$2:$B$92,2,FALSE)</f>
        <v>Ernst Handel</v>
      </c>
      <c r="B358" t="str">
        <f>VLOOKUP(L358,Customers!$A$2:$C$92,3,TRUE)</f>
        <v>Roland Mendel</v>
      </c>
      <c r="C358" t="str">
        <f t="shared" si="86"/>
        <v>Roland</v>
      </c>
      <c r="D358" s="8" t="str">
        <f t="shared" si="87"/>
        <v>Mendel</v>
      </c>
      <c r="E358" s="8" t="str">
        <f t="shared" si="88"/>
        <v>Mendel, Roland</v>
      </c>
      <c r="F358" s="8" t="str">
        <f t="shared" si="89"/>
        <v>Mendel, Roland</v>
      </c>
      <c r="G358" s="8" t="str">
        <f t="shared" si="90"/>
        <v>not an outlier</v>
      </c>
      <c r="H358" s="8" t="str">
        <f t="shared" si="91"/>
        <v>Not</v>
      </c>
      <c r="I358" s="8" t="str">
        <f t="shared" si="101"/>
        <v>no</v>
      </c>
      <c r="J358" s="10" t="str">
        <f t="shared" si="92"/>
        <v>no</v>
      </c>
      <c r="K358" s="10" t="str">
        <f t="shared" si="93"/>
        <v>no</v>
      </c>
      <c r="L358" t="s">
        <v>161</v>
      </c>
      <c r="M358">
        <v>10382</v>
      </c>
      <c r="N358">
        <v>74</v>
      </c>
      <c r="O358" t="s">
        <v>700</v>
      </c>
      <c r="P358" t="str">
        <f t="shared" si="94"/>
        <v>ERNSH_10382_Longlife Tofu</v>
      </c>
      <c r="Q358" t="str">
        <f t="shared" si="95"/>
        <v>10382</v>
      </c>
      <c r="R358" t="str">
        <f t="shared" si="96"/>
        <v>10382</v>
      </c>
      <c r="S358" t="str">
        <f t="shared" si="97"/>
        <v>Longlife Tofu</v>
      </c>
      <c r="T358">
        <v>8</v>
      </c>
      <c r="U358">
        <v>50</v>
      </c>
      <c r="V358">
        <v>0</v>
      </c>
      <c r="W358">
        <f t="shared" si="98"/>
        <v>400</v>
      </c>
      <c r="X358" t="str">
        <f t="shared" si="99"/>
        <v>No</v>
      </c>
      <c r="Y358" s="2">
        <v>34712</v>
      </c>
      <c r="Z358" t="str">
        <f t="shared" si="85"/>
        <v/>
      </c>
      <c r="AA358" t="str">
        <f t="shared" si="100"/>
        <v/>
      </c>
      <c r="AB358" t="str" cm="1">
        <f t="array" ref="AB358">_xlfn.IFS(Y358&lt;DATE(1996,1,1),"",Y358&lt;DATE(1996,4,1),"Q1",Y358&lt;DATE(1996,7,1),"Q2",Y358&gt;=DATE(1996,7,1),"")</f>
        <v/>
      </c>
    </row>
    <row r="359" spans="1:28" ht="14.4" x14ac:dyDescent="0.55000000000000004">
      <c r="A359" t="str">
        <f>VLOOKUP(L359,Customers!$A$2:$B$92,2,FALSE)</f>
        <v>Around the Horn</v>
      </c>
      <c r="B359" t="str">
        <f>VLOOKUP(L359,Customers!$A$2:$C$92,3,TRUE)</f>
        <v>Thomas Hardy</v>
      </c>
      <c r="C359" t="str">
        <f t="shared" si="86"/>
        <v>Thomas</v>
      </c>
      <c r="D359" s="8" t="str">
        <f t="shared" si="87"/>
        <v>Hardy</v>
      </c>
      <c r="E359" s="8" t="str">
        <f t="shared" si="88"/>
        <v>Hardy, Thomas</v>
      </c>
      <c r="F359" s="8" t="str">
        <f t="shared" si="89"/>
        <v>Hardy, Thomas</v>
      </c>
      <c r="G359" s="8" t="str">
        <f t="shared" si="90"/>
        <v>not an outlier</v>
      </c>
      <c r="H359" s="8" t="str">
        <f t="shared" si="91"/>
        <v>Not</v>
      </c>
      <c r="I359" s="8" t="str">
        <f t="shared" si="101"/>
        <v>no</v>
      </c>
      <c r="J359" s="10" t="str">
        <f t="shared" si="92"/>
        <v>no</v>
      </c>
      <c r="K359" s="10" t="str">
        <f t="shared" si="93"/>
        <v>no</v>
      </c>
      <c r="L359" t="s">
        <v>34</v>
      </c>
      <c r="M359">
        <v>10383</v>
      </c>
      <c r="N359">
        <v>13</v>
      </c>
      <c r="O359" t="s">
        <v>726</v>
      </c>
      <c r="P359" t="str">
        <f t="shared" si="94"/>
        <v>AROUT_10383_Konbu</v>
      </c>
      <c r="Q359" t="str">
        <f t="shared" si="95"/>
        <v>10383</v>
      </c>
      <c r="R359" t="str">
        <f t="shared" si="96"/>
        <v>10383</v>
      </c>
      <c r="S359" t="str">
        <f t="shared" si="97"/>
        <v>Konbu</v>
      </c>
      <c r="T359">
        <v>4.8</v>
      </c>
      <c r="U359">
        <v>20</v>
      </c>
      <c r="V359">
        <v>0</v>
      </c>
      <c r="W359">
        <f t="shared" si="98"/>
        <v>96</v>
      </c>
      <c r="X359" t="str">
        <f t="shared" si="99"/>
        <v>No</v>
      </c>
      <c r="Y359" s="2">
        <v>34715</v>
      </c>
      <c r="Z359" t="str">
        <f t="shared" si="85"/>
        <v/>
      </c>
      <c r="AA359" t="str">
        <f t="shared" si="100"/>
        <v/>
      </c>
      <c r="AB359" t="str" cm="1">
        <f t="array" ref="AB359">_xlfn.IFS(Y359&lt;DATE(1996,1,1),"",Y359&lt;DATE(1996,4,1),"Q1",Y359&lt;DATE(1996,7,1),"Q2",Y359&gt;=DATE(1996,7,1),"")</f>
        <v/>
      </c>
    </row>
    <row r="360" spans="1:28" ht="14.4" x14ac:dyDescent="0.55000000000000004">
      <c r="A360" t="str">
        <f>VLOOKUP(L360,Customers!$A$2:$B$92,2,FALSE)</f>
        <v>Around the Horn</v>
      </c>
      <c r="B360" t="str">
        <f>VLOOKUP(L360,Customers!$A$2:$C$92,3,TRUE)</f>
        <v>Thomas Hardy</v>
      </c>
      <c r="C360" t="str">
        <f t="shared" si="86"/>
        <v>Thomas</v>
      </c>
      <c r="D360" s="8" t="str">
        <f t="shared" si="87"/>
        <v>Hardy</v>
      </c>
      <c r="E360" s="8" t="str">
        <f t="shared" si="88"/>
        <v>Hardy, Thomas</v>
      </c>
      <c r="F360" s="8" t="str">
        <f t="shared" si="89"/>
        <v>Hardy, Thomas</v>
      </c>
      <c r="G360" s="8" t="str">
        <f t="shared" si="90"/>
        <v>not an outlier</v>
      </c>
      <c r="H360" s="8" t="str">
        <f t="shared" si="91"/>
        <v>Not</v>
      </c>
      <c r="I360" s="8" t="str">
        <f t="shared" si="101"/>
        <v>no</v>
      </c>
      <c r="J360" s="10" t="str">
        <f t="shared" si="92"/>
        <v>no</v>
      </c>
      <c r="K360" s="10" t="str">
        <f t="shared" si="93"/>
        <v>no</v>
      </c>
      <c r="L360" t="s">
        <v>34</v>
      </c>
      <c r="M360">
        <v>10383</v>
      </c>
      <c r="N360">
        <v>50</v>
      </c>
      <c r="O360" t="s">
        <v>755</v>
      </c>
      <c r="P360" t="str">
        <f t="shared" si="94"/>
        <v>AROUT_10383_Valkoinen suklaa</v>
      </c>
      <c r="Q360" t="str">
        <f t="shared" si="95"/>
        <v>10383</v>
      </c>
      <c r="R360" t="str">
        <f t="shared" si="96"/>
        <v>10383</v>
      </c>
      <c r="S360" t="str">
        <f t="shared" si="97"/>
        <v>Valkoinen suklaa</v>
      </c>
      <c r="T360">
        <v>13</v>
      </c>
      <c r="U360">
        <v>15</v>
      </c>
      <c r="V360">
        <v>0</v>
      </c>
      <c r="W360">
        <f t="shared" si="98"/>
        <v>195</v>
      </c>
      <c r="X360" t="str">
        <f t="shared" si="99"/>
        <v>No</v>
      </c>
      <c r="Y360" s="2">
        <v>34715</v>
      </c>
      <c r="Z360" t="str">
        <f t="shared" si="85"/>
        <v/>
      </c>
      <c r="AA360" t="str">
        <f t="shared" si="100"/>
        <v/>
      </c>
      <c r="AB360" t="str" cm="1">
        <f t="array" ref="AB360">_xlfn.IFS(Y360&lt;DATE(1996,1,1),"",Y360&lt;DATE(1996,4,1),"Q1",Y360&lt;DATE(1996,7,1),"Q2",Y360&gt;=DATE(1996,7,1),"")</f>
        <v/>
      </c>
    </row>
    <row r="361" spans="1:28" ht="14.4" x14ac:dyDescent="0.55000000000000004">
      <c r="A361" t="str">
        <f>VLOOKUP(L361,Customers!$A$2:$B$92,2,FALSE)</f>
        <v>Around the Horn</v>
      </c>
      <c r="B361" t="str">
        <f>VLOOKUP(L361,Customers!$A$2:$C$92,3,TRUE)</f>
        <v>Thomas Hardy</v>
      </c>
      <c r="C361" t="str">
        <f t="shared" si="86"/>
        <v>Thomas</v>
      </c>
      <c r="D361" s="8" t="str">
        <f t="shared" si="87"/>
        <v>Hardy</v>
      </c>
      <c r="E361" s="8" t="str">
        <f t="shared" si="88"/>
        <v>Hardy, Thomas</v>
      </c>
      <c r="F361" s="8" t="str">
        <f t="shared" si="89"/>
        <v>Hardy, Thomas</v>
      </c>
      <c r="G361" s="8" t="str">
        <f t="shared" si="90"/>
        <v>not an outlier</v>
      </c>
      <c r="H361" s="8" t="str">
        <f t="shared" si="91"/>
        <v>Not</v>
      </c>
      <c r="I361" s="8" t="str">
        <f t="shared" si="101"/>
        <v>no</v>
      </c>
      <c r="J361" s="10" t="str">
        <f t="shared" si="92"/>
        <v>no</v>
      </c>
      <c r="K361" s="10" t="str">
        <f t="shared" si="93"/>
        <v>no</v>
      </c>
      <c r="L361" t="s">
        <v>34</v>
      </c>
      <c r="M361">
        <v>10383</v>
      </c>
      <c r="N361">
        <v>56</v>
      </c>
      <c r="O361" t="s">
        <v>716</v>
      </c>
      <c r="P361" t="str">
        <f t="shared" si="94"/>
        <v>AROUT_10383_Gnocchi di nonna Alice</v>
      </c>
      <c r="Q361" t="str">
        <f t="shared" si="95"/>
        <v>10383</v>
      </c>
      <c r="R361" t="str">
        <f t="shared" si="96"/>
        <v>10383</v>
      </c>
      <c r="S361" t="str">
        <f t="shared" si="97"/>
        <v>Gnocchi di nonna Alice</v>
      </c>
      <c r="T361">
        <v>30.4</v>
      </c>
      <c r="U361">
        <v>20</v>
      </c>
      <c r="V361">
        <v>0</v>
      </c>
      <c r="W361">
        <f t="shared" si="98"/>
        <v>608</v>
      </c>
      <c r="X361" t="str">
        <f t="shared" si="99"/>
        <v>No</v>
      </c>
      <c r="Y361" s="2">
        <v>34715</v>
      </c>
      <c r="Z361" t="str">
        <f t="shared" si="85"/>
        <v/>
      </c>
      <c r="AA361" t="str">
        <f t="shared" si="100"/>
        <v/>
      </c>
      <c r="AB361" t="str" cm="1">
        <f t="array" ref="AB361">_xlfn.IFS(Y361&lt;DATE(1996,1,1),"",Y361&lt;DATE(1996,4,1),"Q1",Y361&lt;DATE(1996,7,1),"Q2",Y361&gt;=DATE(1996,7,1),"")</f>
        <v/>
      </c>
    </row>
    <row r="362" spans="1:28" ht="14.4" x14ac:dyDescent="0.55000000000000004">
      <c r="A362" t="str">
        <f>VLOOKUP(L362,Customers!$A$2:$B$92,2,FALSE)</f>
        <v>Berglunds snabbköp</v>
      </c>
      <c r="B362" t="str">
        <f>VLOOKUP(L362,Customers!$A$2:$C$92,3,TRUE)</f>
        <v>Christina Berglund</v>
      </c>
      <c r="C362" t="str">
        <f t="shared" si="86"/>
        <v>Christina</v>
      </c>
      <c r="D362" s="8" t="str">
        <f t="shared" si="87"/>
        <v>Berglund</v>
      </c>
      <c r="E362" s="8" t="str">
        <f t="shared" si="88"/>
        <v>Berglund, Christina</v>
      </c>
      <c r="F362" s="8" t="str">
        <f t="shared" si="89"/>
        <v>Berglund, Christina</v>
      </c>
      <c r="G362" s="8" t="str">
        <f t="shared" si="90"/>
        <v>not an outlier</v>
      </c>
      <c r="H362" s="8" t="str">
        <f t="shared" si="91"/>
        <v>Not</v>
      </c>
      <c r="I362" s="8" t="str">
        <f t="shared" si="101"/>
        <v>no</v>
      </c>
      <c r="J362" s="10" t="str">
        <f t="shared" si="92"/>
        <v>no</v>
      </c>
      <c r="K362" s="10" t="str">
        <f t="shared" si="93"/>
        <v>no</v>
      </c>
      <c r="L362" t="s">
        <v>43</v>
      </c>
      <c r="M362">
        <v>10384</v>
      </c>
      <c r="N362">
        <v>20</v>
      </c>
      <c r="O362" t="s">
        <v>692</v>
      </c>
      <c r="P362" t="str">
        <f t="shared" si="94"/>
        <v>BERGS_10384_Sir Rodney's Marmalade</v>
      </c>
      <c r="Q362" t="str">
        <f t="shared" si="95"/>
        <v>10384</v>
      </c>
      <c r="R362" t="str">
        <f t="shared" si="96"/>
        <v>10384</v>
      </c>
      <c r="S362" t="str">
        <f t="shared" si="97"/>
        <v>Sir Rodney's Marmalade</v>
      </c>
      <c r="T362">
        <v>64.8</v>
      </c>
      <c r="U362">
        <v>28</v>
      </c>
      <c r="V362">
        <v>0</v>
      </c>
      <c r="W362">
        <f t="shared" si="98"/>
        <v>1814.3999999999999</v>
      </c>
      <c r="X362" t="str">
        <f t="shared" si="99"/>
        <v>No</v>
      </c>
      <c r="Y362" s="2">
        <v>34715</v>
      </c>
      <c r="Z362" t="str">
        <f t="shared" si="85"/>
        <v/>
      </c>
      <c r="AA362" t="str">
        <f t="shared" si="100"/>
        <v/>
      </c>
      <c r="AB362" t="str" cm="1">
        <f t="array" ref="AB362">_xlfn.IFS(Y362&lt;DATE(1996,1,1),"",Y362&lt;DATE(1996,4,1),"Q1",Y362&lt;DATE(1996,7,1),"Q2",Y362&gt;=DATE(1996,7,1),"")</f>
        <v/>
      </c>
    </row>
    <row r="363" spans="1:28" ht="14.4" x14ac:dyDescent="0.55000000000000004">
      <c r="A363" t="str">
        <f>VLOOKUP(L363,Customers!$A$2:$B$92,2,FALSE)</f>
        <v>Berglunds snabbköp</v>
      </c>
      <c r="B363" t="str">
        <f>VLOOKUP(L363,Customers!$A$2:$C$92,3,TRUE)</f>
        <v>Christina Berglund</v>
      </c>
      <c r="C363" t="str">
        <f t="shared" si="86"/>
        <v>Christina</v>
      </c>
      <c r="D363" s="8" t="str">
        <f t="shared" si="87"/>
        <v>Berglund</v>
      </c>
      <c r="E363" s="8" t="str">
        <f t="shared" si="88"/>
        <v>Berglund, Christina</v>
      </c>
      <c r="F363" s="8" t="str">
        <f t="shared" si="89"/>
        <v>Berglund, Christina</v>
      </c>
      <c r="G363" s="8" t="str">
        <f t="shared" si="90"/>
        <v>not an outlier</v>
      </c>
      <c r="H363" s="8" t="str">
        <f t="shared" si="91"/>
        <v>Not</v>
      </c>
      <c r="I363" s="8" t="str">
        <f t="shared" si="101"/>
        <v>no</v>
      </c>
      <c r="J363" s="10" t="str">
        <f t="shared" si="92"/>
        <v>no</v>
      </c>
      <c r="K363" s="10" t="str">
        <f t="shared" si="93"/>
        <v>no</v>
      </c>
      <c r="L363" t="s">
        <v>43</v>
      </c>
      <c r="M363">
        <v>10384</v>
      </c>
      <c r="N363">
        <v>60</v>
      </c>
      <c r="O363" t="s">
        <v>694</v>
      </c>
      <c r="P363" t="str">
        <f t="shared" si="94"/>
        <v>BERGS_10384_Camembert Pierrot</v>
      </c>
      <c r="Q363" t="str">
        <f t="shared" si="95"/>
        <v>10384</v>
      </c>
      <c r="R363" t="str">
        <f t="shared" si="96"/>
        <v>10384</v>
      </c>
      <c r="S363" t="str">
        <f t="shared" si="97"/>
        <v>Camembert Pierrot</v>
      </c>
      <c r="T363">
        <v>27.2</v>
      </c>
      <c r="U363">
        <v>15</v>
      </c>
      <c r="V363">
        <v>0</v>
      </c>
      <c r="W363">
        <f t="shared" si="98"/>
        <v>408</v>
      </c>
      <c r="X363" t="str">
        <f t="shared" si="99"/>
        <v>No</v>
      </c>
      <c r="Y363" s="2">
        <v>34715</v>
      </c>
      <c r="Z363" t="str">
        <f t="shared" si="85"/>
        <v/>
      </c>
      <c r="AA363" t="str">
        <f t="shared" si="100"/>
        <v/>
      </c>
      <c r="AB363" t="str" cm="1">
        <f t="array" ref="AB363">_xlfn.IFS(Y363&lt;DATE(1996,1,1),"",Y363&lt;DATE(1996,4,1),"Q1",Y363&lt;DATE(1996,7,1),"Q2",Y363&gt;=DATE(1996,7,1),"")</f>
        <v/>
      </c>
    </row>
    <row r="364" spans="1:28" ht="14.4" x14ac:dyDescent="0.55000000000000004">
      <c r="A364" t="str">
        <f>VLOOKUP(L364,Customers!$A$2:$B$92,2,FALSE)</f>
        <v>Split Rail Beer &amp; Ale</v>
      </c>
      <c r="B364" t="str">
        <f>VLOOKUP(L364,Customers!$A$2:$C$92,3,TRUE)</f>
        <v>Art Braunschweiger</v>
      </c>
      <c r="C364" t="str">
        <f t="shared" si="86"/>
        <v>Art</v>
      </c>
      <c r="D364" s="8" t="str">
        <f t="shared" si="87"/>
        <v>Braunschweiger</v>
      </c>
      <c r="E364" s="8" t="str">
        <f t="shared" si="88"/>
        <v>Braunschweiger, Art</v>
      </c>
      <c r="F364" s="8" t="str">
        <f t="shared" si="89"/>
        <v>Braunschweiger, Art</v>
      </c>
      <c r="G364" s="8" t="str">
        <f t="shared" si="90"/>
        <v>not an outlier</v>
      </c>
      <c r="H364" s="8" t="str">
        <f t="shared" si="91"/>
        <v>Not</v>
      </c>
      <c r="I364" s="8" t="str">
        <f t="shared" si="101"/>
        <v>no</v>
      </c>
      <c r="J364" s="10" t="str">
        <f t="shared" si="92"/>
        <v>no</v>
      </c>
      <c r="K364" s="10" t="str">
        <f t="shared" si="93"/>
        <v>no</v>
      </c>
      <c r="L364" t="s">
        <v>557</v>
      </c>
      <c r="M364">
        <v>10385</v>
      </c>
      <c r="N364">
        <v>7</v>
      </c>
      <c r="O364" t="s">
        <v>715</v>
      </c>
      <c r="P364" t="str">
        <f t="shared" si="94"/>
        <v>SPLIR_10385_Uncle Bob's Organic Dried Pears</v>
      </c>
      <c r="Q364" t="str">
        <f t="shared" si="95"/>
        <v>10385</v>
      </c>
      <c r="R364" t="str">
        <f t="shared" si="96"/>
        <v>10385</v>
      </c>
      <c r="S364" t="str">
        <f t="shared" si="97"/>
        <v>Uncle Bob's Organic Dried Pears</v>
      </c>
      <c r="T364">
        <v>24</v>
      </c>
      <c r="U364">
        <v>10</v>
      </c>
      <c r="V364">
        <v>0.2</v>
      </c>
      <c r="W364">
        <f t="shared" si="98"/>
        <v>192</v>
      </c>
      <c r="X364" t="str">
        <f t="shared" si="99"/>
        <v>No</v>
      </c>
      <c r="Y364" s="2">
        <v>34716</v>
      </c>
      <c r="Z364" t="str">
        <f t="shared" si="85"/>
        <v/>
      </c>
      <c r="AA364" t="str">
        <f t="shared" si="100"/>
        <v/>
      </c>
      <c r="AB364" t="str" cm="1">
        <f t="array" ref="AB364">_xlfn.IFS(Y364&lt;DATE(1996,1,1),"",Y364&lt;DATE(1996,4,1),"Q1",Y364&lt;DATE(1996,7,1),"Q2",Y364&gt;=DATE(1996,7,1),"")</f>
        <v/>
      </c>
    </row>
    <row r="365" spans="1:28" ht="14.4" x14ac:dyDescent="0.55000000000000004">
      <c r="A365" t="str">
        <f>VLOOKUP(L365,Customers!$A$2:$B$92,2,FALSE)</f>
        <v>Split Rail Beer &amp; Ale</v>
      </c>
      <c r="B365" t="str">
        <f>VLOOKUP(L365,Customers!$A$2:$C$92,3,TRUE)</f>
        <v>Art Braunschweiger</v>
      </c>
      <c r="C365" t="str">
        <f t="shared" si="86"/>
        <v>Art</v>
      </c>
      <c r="D365" s="8" t="str">
        <f t="shared" si="87"/>
        <v>Braunschweiger</v>
      </c>
      <c r="E365" s="8" t="str">
        <f t="shared" si="88"/>
        <v>Braunschweiger, Art</v>
      </c>
      <c r="F365" s="8" t="str">
        <f t="shared" si="89"/>
        <v>Braunschweiger, Art</v>
      </c>
      <c r="G365" s="8" t="str">
        <f t="shared" si="90"/>
        <v>not an outlier</v>
      </c>
      <c r="H365" s="8" t="str">
        <f t="shared" si="91"/>
        <v>Not</v>
      </c>
      <c r="I365" s="8" t="str">
        <f t="shared" si="101"/>
        <v>no</v>
      </c>
      <c r="J365" s="10" t="str">
        <f t="shared" si="92"/>
        <v>no</v>
      </c>
      <c r="K365" s="10" t="str">
        <f t="shared" si="93"/>
        <v>no</v>
      </c>
      <c r="L365" t="s">
        <v>557</v>
      </c>
      <c r="M365">
        <v>10385</v>
      </c>
      <c r="N365">
        <v>60</v>
      </c>
      <c r="O365" t="s">
        <v>694</v>
      </c>
      <c r="P365" t="str">
        <f t="shared" si="94"/>
        <v>SPLIR_10385_Camembert Pierrot</v>
      </c>
      <c r="Q365" t="str">
        <f t="shared" si="95"/>
        <v>10385</v>
      </c>
      <c r="R365" t="str">
        <f t="shared" si="96"/>
        <v>10385</v>
      </c>
      <c r="S365" t="str">
        <f t="shared" si="97"/>
        <v>Camembert Pierrot</v>
      </c>
      <c r="T365">
        <v>27.2</v>
      </c>
      <c r="U365">
        <v>20</v>
      </c>
      <c r="V365">
        <v>0.2</v>
      </c>
      <c r="W365">
        <f t="shared" si="98"/>
        <v>435.20000000000005</v>
      </c>
      <c r="X365" t="str">
        <f t="shared" si="99"/>
        <v>No</v>
      </c>
      <c r="Y365" s="2">
        <v>34716</v>
      </c>
      <c r="Z365" t="str">
        <f t="shared" si="85"/>
        <v/>
      </c>
      <c r="AA365" t="str">
        <f t="shared" si="100"/>
        <v/>
      </c>
      <c r="AB365" t="str" cm="1">
        <f t="array" ref="AB365">_xlfn.IFS(Y365&lt;DATE(1996,1,1),"",Y365&lt;DATE(1996,4,1),"Q1",Y365&lt;DATE(1996,7,1),"Q2",Y365&gt;=DATE(1996,7,1),"")</f>
        <v/>
      </c>
    </row>
    <row r="366" spans="1:28" ht="14.4" x14ac:dyDescent="0.55000000000000004">
      <c r="A366" t="str">
        <f>VLOOKUP(L366,Customers!$A$2:$B$92,2,FALSE)</f>
        <v>Split Rail Beer &amp; Ale</v>
      </c>
      <c r="B366" t="str">
        <f>VLOOKUP(L366,Customers!$A$2:$C$92,3,TRUE)</f>
        <v>Art Braunschweiger</v>
      </c>
      <c r="C366" t="str">
        <f t="shared" si="86"/>
        <v>Art</v>
      </c>
      <c r="D366" s="8" t="str">
        <f t="shared" si="87"/>
        <v>Braunschweiger</v>
      </c>
      <c r="E366" s="8" t="str">
        <f t="shared" si="88"/>
        <v>Braunschweiger, Art</v>
      </c>
      <c r="F366" s="8" t="str">
        <f t="shared" si="89"/>
        <v>Braunschweiger, Art</v>
      </c>
      <c r="G366" s="8" t="str">
        <f t="shared" si="90"/>
        <v>not an outlier</v>
      </c>
      <c r="H366" s="8" t="str">
        <f t="shared" si="91"/>
        <v>Not</v>
      </c>
      <c r="I366" s="8" t="str">
        <f t="shared" si="101"/>
        <v>no</v>
      </c>
      <c r="J366" s="10" t="str">
        <f t="shared" si="92"/>
        <v>no</v>
      </c>
      <c r="K366" s="10" t="str">
        <f t="shared" si="93"/>
        <v>no</v>
      </c>
      <c r="L366" t="s">
        <v>557</v>
      </c>
      <c r="M366">
        <v>10385</v>
      </c>
      <c r="N366">
        <v>68</v>
      </c>
      <c r="O366" t="s">
        <v>739</v>
      </c>
      <c r="P366" t="str">
        <f t="shared" si="94"/>
        <v>SPLIR_10385_Scottish Longbreads</v>
      </c>
      <c r="Q366" t="str">
        <f t="shared" si="95"/>
        <v>10385</v>
      </c>
      <c r="R366" t="str">
        <f t="shared" si="96"/>
        <v>10385</v>
      </c>
      <c r="S366" t="str">
        <f t="shared" si="97"/>
        <v>Scottish Longbreads</v>
      </c>
      <c r="T366">
        <v>10</v>
      </c>
      <c r="U366">
        <v>8</v>
      </c>
      <c r="V366">
        <v>0.2</v>
      </c>
      <c r="W366">
        <f t="shared" si="98"/>
        <v>64</v>
      </c>
      <c r="X366" t="str">
        <f t="shared" si="99"/>
        <v>No</v>
      </c>
      <c r="Y366" s="2">
        <v>34716</v>
      </c>
      <c r="Z366" t="str">
        <f t="shared" si="85"/>
        <v/>
      </c>
      <c r="AA366" t="str">
        <f t="shared" si="100"/>
        <v/>
      </c>
      <c r="AB366" t="str" cm="1">
        <f t="array" ref="AB366">_xlfn.IFS(Y366&lt;DATE(1996,1,1),"",Y366&lt;DATE(1996,4,1),"Q1",Y366&lt;DATE(1996,7,1),"Q2",Y366&gt;=DATE(1996,7,1),"")</f>
        <v/>
      </c>
    </row>
    <row r="367" spans="1:28" ht="14.4" x14ac:dyDescent="0.55000000000000004">
      <c r="A367" t="str">
        <f>VLOOKUP(L367,Customers!$A$2:$B$92,2,FALSE)</f>
        <v>Familia Arquibaldo</v>
      </c>
      <c r="B367" t="str">
        <f>VLOOKUP(L367,Customers!$A$2:$C$92,3,TRUE)</f>
        <v>Aria Cruz</v>
      </c>
      <c r="C367" t="str">
        <f t="shared" si="86"/>
        <v>Aria</v>
      </c>
      <c r="D367" s="8" t="str">
        <f t="shared" si="87"/>
        <v>Cruz</v>
      </c>
      <c r="E367" s="8" t="str">
        <f t="shared" si="88"/>
        <v>Cruz, Aria</v>
      </c>
      <c r="F367" s="8" t="str">
        <f t="shared" si="89"/>
        <v>Cruz, Aria</v>
      </c>
      <c r="G367" s="8" t="str">
        <f t="shared" si="90"/>
        <v>not an outlier</v>
      </c>
      <c r="H367" s="8" t="str">
        <f t="shared" si="91"/>
        <v>Not</v>
      </c>
      <c r="I367" s="8" t="str">
        <f t="shared" si="101"/>
        <v>no</v>
      </c>
      <c r="J367" s="10" t="str">
        <f t="shared" si="92"/>
        <v>no</v>
      </c>
      <c r="K367" s="10" t="str">
        <f t="shared" si="93"/>
        <v>no</v>
      </c>
      <c r="L367" t="s">
        <v>170</v>
      </c>
      <c r="M367">
        <v>10386</v>
      </c>
      <c r="N367">
        <v>24</v>
      </c>
      <c r="O367" t="s">
        <v>698</v>
      </c>
      <c r="P367" t="str">
        <f t="shared" si="94"/>
        <v>FAMIA_10386_Guaraná Fantástica</v>
      </c>
      <c r="Q367" t="str">
        <f t="shared" si="95"/>
        <v>10386</v>
      </c>
      <c r="R367" t="str">
        <f t="shared" si="96"/>
        <v>10386</v>
      </c>
      <c r="S367" t="str">
        <f t="shared" si="97"/>
        <v>Guaraná Fantástica</v>
      </c>
      <c r="T367">
        <v>3.6</v>
      </c>
      <c r="U367">
        <v>15</v>
      </c>
      <c r="V367">
        <v>0</v>
      </c>
      <c r="W367">
        <f t="shared" si="98"/>
        <v>54</v>
      </c>
      <c r="X367" t="str">
        <f t="shared" si="99"/>
        <v>No</v>
      </c>
      <c r="Y367" s="2">
        <v>34717</v>
      </c>
      <c r="Z367" t="str">
        <f t="shared" si="85"/>
        <v/>
      </c>
      <c r="AA367" t="str">
        <f t="shared" si="100"/>
        <v/>
      </c>
      <c r="AB367" t="str" cm="1">
        <f t="array" ref="AB367">_xlfn.IFS(Y367&lt;DATE(1996,1,1),"",Y367&lt;DATE(1996,4,1),"Q1",Y367&lt;DATE(1996,7,1),"Q2",Y367&gt;=DATE(1996,7,1),"")</f>
        <v/>
      </c>
    </row>
    <row r="368" spans="1:28" ht="14.4" x14ac:dyDescent="0.55000000000000004">
      <c r="A368" t="str">
        <f>VLOOKUP(L368,Customers!$A$2:$B$92,2,FALSE)</f>
        <v>Familia Arquibaldo</v>
      </c>
      <c r="B368" t="str">
        <f>VLOOKUP(L368,Customers!$A$2:$C$92,3,TRUE)</f>
        <v>Aria Cruz</v>
      </c>
      <c r="C368" t="str">
        <f t="shared" si="86"/>
        <v>Aria</v>
      </c>
      <c r="D368" s="8" t="str">
        <f t="shared" si="87"/>
        <v>Cruz</v>
      </c>
      <c r="E368" s="8" t="str">
        <f t="shared" si="88"/>
        <v>Cruz, Aria</v>
      </c>
      <c r="F368" s="8" t="str">
        <f t="shared" si="89"/>
        <v>Cruz, Aria</v>
      </c>
      <c r="G368" s="8" t="str">
        <f t="shared" si="90"/>
        <v>not an outlier</v>
      </c>
      <c r="H368" s="8" t="str">
        <f t="shared" si="91"/>
        <v>Not</v>
      </c>
      <c r="I368" s="8" t="str">
        <f t="shared" si="101"/>
        <v>no</v>
      </c>
      <c r="J368" s="10" t="str">
        <f t="shared" si="92"/>
        <v>no</v>
      </c>
      <c r="K368" s="10" t="str">
        <f t="shared" si="93"/>
        <v>no</v>
      </c>
      <c r="L368" t="s">
        <v>170</v>
      </c>
      <c r="M368">
        <v>10386</v>
      </c>
      <c r="N368">
        <v>34</v>
      </c>
      <c r="O368" t="s">
        <v>736</v>
      </c>
      <c r="P368" t="str">
        <f t="shared" si="94"/>
        <v>FAMIA_10386_Sasquatch Ale</v>
      </c>
      <c r="Q368" t="str">
        <f t="shared" si="95"/>
        <v>10386</v>
      </c>
      <c r="R368" t="str">
        <f t="shared" si="96"/>
        <v>10386</v>
      </c>
      <c r="S368" t="str">
        <f t="shared" si="97"/>
        <v>Sasquatch Ale</v>
      </c>
      <c r="T368">
        <v>11.2</v>
      </c>
      <c r="U368">
        <v>10</v>
      </c>
      <c r="V368">
        <v>0</v>
      </c>
      <c r="W368">
        <f t="shared" si="98"/>
        <v>112</v>
      </c>
      <c r="X368" t="str">
        <f t="shared" si="99"/>
        <v>No</v>
      </c>
      <c r="Y368" s="2">
        <v>34717</v>
      </c>
      <c r="Z368" t="str">
        <f t="shared" si="85"/>
        <v/>
      </c>
      <c r="AA368" t="str">
        <f t="shared" si="100"/>
        <v/>
      </c>
      <c r="AB368" t="str" cm="1">
        <f t="array" ref="AB368">_xlfn.IFS(Y368&lt;DATE(1996,1,1),"",Y368&lt;DATE(1996,4,1),"Q1",Y368&lt;DATE(1996,7,1),"Q2",Y368&gt;=DATE(1996,7,1),"")</f>
        <v/>
      </c>
    </row>
    <row r="369" spans="1:28" ht="14.4" x14ac:dyDescent="0.55000000000000004">
      <c r="A369" t="str">
        <f>VLOOKUP(L369,Customers!$A$2:$B$92,2,FALSE)</f>
        <v>Santé Gourmet</v>
      </c>
      <c r="B369" t="str">
        <f>VLOOKUP(L369,Customers!$A$2:$C$92,3,TRUE)</f>
        <v>Jonas Bergulfsen</v>
      </c>
      <c r="C369" t="str">
        <f t="shared" si="86"/>
        <v>Jonas</v>
      </c>
      <c r="D369" s="8" t="str">
        <f t="shared" si="87"/>
        <v>Bergulfsen</v>
      </c>
      <c r="E369" s="8" t="str">
        <f t="shared" si="88"/>
        <v>Bergulfsen, Jonas</v>
      </c>
      <c r="F369" s="8" t="str">
        <f t="shared" si="89"/>
        <v>Bergulfsen, Jonas</v>
      </c>
      <c r="G369" s="8" t="str">
        <f t="shared" si="90"/>
        <v>not an outlier</v>
      </c>
      <c r="H369" s="8" t="str">
        <f t="shared" si="91"/>
        <v>Not</v>
      </c>
      <c r="I369" s="8" t="str">
        <f t="shared" si="101"/>
        <v>no</v>
      </c>
      <c r="J369" s="10" t="str">
        <f t="shared" si="92"/>
        <v>no</v>
      </c>
      <c r="K369" s="10" t="str">
        <f t="shared" si="93"/>
        <v>no</v>
      </c>
      <c r="L369" t="s">
        <v>521</v>
      </c>
      <c r="M369">
        <v>10387</v>
      </c>
      <c r="N369">
        <v>24</v>
      </c>
      <c r="O369" t="s">
        <v>698</v>
      </c>
      <c r="P369" t="str">
        <f t="shared" si="94"/>
        <v>SANTG_10387_Guaraná Fantástica</v>
      </c>
      <c r="Q369" t="str">
        <f t="shared" si="95"/>
        <v>10387</v>
      </c>
      <c r="R369" t="str">
        <f t="shared" si="96"/>
        <v>10387</v>
      </c>
      <c r="S369" t="str">
        <f t="shared" si="97"/>
        <v>Guaraná Fantástica</v>
      </c>
      <c r="T369">
        <v>3.6</v>
      </c>
      <c r="U369">
        <v>15</v>
      </c>
      <c r="V369">
        <v>0</v>
      </c>
      <c r="W369">
        <f t="shared" si="98"/>
        <v>54</v>
      </c>
      <c r="X369" t="str">
        <f t="shared" si="99"/>
        <v>No</v>
      </c>
      <c r="Y369" s="2">
        <v>34717</v>
      </c>
      <c r="Z369" t="str">
        <f t="shared" si="85"/>
        <v/>
      </c>
      <c r="AA369" t="str">
        <f t="shared" si="100"/>
        <v/>
      </c>
      <c r="AB369" t="str" cm="1">
        <f t="array" ref="AB369">_xlfn.IFS(Y369&lt;DATE(1996,1,1),"",Y369&lt;DATE(1996,4,1),"Q1",Y369&lt;DATE(1996,7,1),"Q2",Y369&gt;=DATE(1996,7,1),"")</f>
        <v/>
      </c>
    </row>
    <row r="370" spans="1:28" ht="14.4" x14ac:dyDescent="0.55000000000000004">
      <c r="A370" t="str">
        <f>VLOOKUP(L370,Customers!$A$2:$B$92,2,FALSE)</f>
        <v>Santé Gourmet</v>
      </c>
      <c r="B370" t="str">
        <f>VLOOKUP(L370,Customers!$A$2:$C$92,3,TRUE)</f>
        <v>Jonas Bergulfsen</v>
      </c>
      <c r="C370" t="str">
        <f t="shared" si="86"/>
        <v>Jonas</v>
      </c>
      <c r="D370" s="8" t="str">
        <f t="shared" si="87"/>
        <v>Bergulfsen</v>
      </c>
      <c r="E370" s="8" t="str">
        <f t="shared" si="88"/>
        <v>Bergulfsen, Jonas</v>
      </c>
      <c r="F370" s="8" t="str">
        <f t="shared" si="89"/>
        <v>Bergulfsen, Jonas</v>
      </c>
      <c r="G370" s="8" t="str">
        <f t="shared" si="90"/>
        <v>not an outlier</v>
      </c>
      <c r="H370" s="8" t="str">
        <f t="shared" si="91"/>
        <v>Not</v>
      </c>
      <c r="I370" s="8" t="str">
        <f t="shared" si="101"/>
        <v>no</v>
      </c>
      <c r="J370" s="10" t="str">
        <f t="shared" si="92"/>
        <v>no</v>
      </c>
      <c r="K370" s="10" t="str">
        <f t="shared" si="93"/>
        <v>no</v>
      </c>
      <c r="L370" t="s">
        <v>521</v>
      </c>
      <c r="M370">
        <v>10387</v>
      </c>
      <c r="N370">
        <v>28</v>
      </c>
      <c r="O370" t="s">
        <v>727</v>
      </c>
      <c r="P370" t="str">
        <f t="shared" si="94"/>
        <v>SANTG_10387_Rössle Sauerkraut</v>
      </c>
      <c r="Q370" t="str">
        <f t="shared" si="95"/>
        <v>10387</v>
      </c>
      <c r="R370" t="str">
        <f t="shared" si="96"/>
        <v>10387</v>
      </c>
      <c r="S370" t="str">
        <f t="shared" si="97"/>
        <v>Rössle Sauerkraut</v>
      </c>
      <c r="T370">
        <v>36.4</v>
      </c>
      <c r="U370">
        <v>6</v>
      </c>
      <c r="V370">
        <v>0</v>
      </c>
      <c r="W370">
        <f t="shared" si="98"/>
        <v>218.39999999999998</v>
      </c>
      <c r="X370" t="str">
        <f t="shared" si="99"/>
        <v>No</v>
      </c>
      <c r="Y370" s="2">
        <v>34717</v>
      </c>
      <c r="Z370" t="str">
        <f t="shared" si="85"/>
        <v/>
      </c>
      <c r="AA370" t="str">
        <f t="shared" si="100"/>
        <v/>
      </c>
      <c r="AB370" t="str" cm="1">
        <f t="array" ref="AB370">_xlfn.IFS(Y370&lt;DATE(1996,1,1),"",Y370&lt;DATE(1996,4,1),"Q1",Y370&lt;DATE(1996,7,1),"Q2",Y370&gt;=DATE(1996,7,1),"")</f>
        <v/>
      </c>
    </row>
    <row r="371" spans="1:28" ht="14.4" x14ac:dyDescent="0.55000000000000004">
      <c r="A371" t="str">
        <f>VLOOKUP(L371,Customers!$A$2:$B$92,2,FALSE)</f>
        <v>Santé Gourmet</v>
      </c>
      <c r="B371" t="str">
        <f>VLOOKUP(L371,Customers!$A$2:$C$92,3,TRUE)</f>
        <v>Jonas Bergulfsen</v>
      </c>
      <c r="C371" t="str">
        <f t="shared" si="86"/>
        <v>Jonas</v>
      </c>
      <c r="D371" s="8" t="str">
        <f t="shared" si="87"/>
        <v>Bergulfsen</v>
      </c>
      <c r="E371" s="8" t="str">
        <f t="shared" si="88"/>
        <v>Bergulfsen, Jonas</v>
      </c>
      <c r="F371" s="8" t="str">
        <f t="shared" si="89"/>
        <v>Bergulfsen, Jonas</v>
      </c>
      <c r="G371" s="8" t="str">
        <f t="shared" si="90"/>
        <v>not an outlier</v>
      </c>
      <c r="H371" s="8" t="str">
        <f t="shared" si="91"/>
        <v>Not</v>
      </c>
      <c r="I371" s="8" t="str">
        <f t="shared" si="101"/>
        <v>no</v>
      </c>
      <c r="J371" s="10" t="str">
        <f t="shared" si="92"/>
        <v>no</v>
      </c>
      <c r="K371" s="10" t="str">
        <f t="shared" si="93"/>
        <v>no</v>
      </c>
      <c r="L371" t="s">
        <v>521</v>
      </c>
      <c r="M371">
        <v>10387</v>
      </c>
      <c r="N371">
        <v>59</v>
      </c>
      <c r="O371" t="s">
        <v>704</v>
      </c>
      <c r="P371" t="str">
        <f t="shared" si="94"/>
        <v>SANTG_10387_Raclette Courdavault</v>
      </c>
      <c r="Q371" t="str">
        <f t="shared" si="95"/>
        <v>10387</v>
      </c>
      <c r="R371" t="str">
        <f t="shared" si="96"/>
        <v>10387</v>
      </c>
      <c r="S371" t="str">
        <f t="shared" si="97"/>
        <v>Raclette Courdavault</v>
      </c>
      <c r="T371">
        <v>44</v>
      </c>
      <c r="U371">
        <v>12</v>
      </c>
      <c r="V371">
        <v>0</v>
      </c>
      <c r="W371">
        <f t="shared" si="98"/>
        <v>528</v>
      </c>
      <c r="X371" t="str">
        <f t="shared" si="99"/>
        <v>No</v>
      </c>
      <c r="Y371" s="2">
        <v>34717</v>
      </c>
      <c r="Z371" t="str">
        <f t="shared" si="85"/>
        <v/>
      </c>
      <c r="AA371" t="str">
        <f t="shared" si="100"/>
        <v/>
      </c>
      <c r="AB371" t="str" cm="1">
        <f t="array" ref="AB371">_xlfn.IFS(Y371&lt;DATE(1996,1,1),"",Y371&lt;DATE(1996,4,1),"Q1",Y371&lt;DATE(1996,7,1),"Q2",Y371&gt;=DATE(1996,7,1),"")</f>
        <v/>
      </c>
    </row>
    <row r="372" spans="1:28" ht="14.4" x14ac:dyDescent="0.55000000000000004">
      <c r="A372" t="str">
        <f>VLOOKUP(L372,Customers!$A$2:$B$92,2,FALSE)</f>
        <v>Santé Gourmet</v>
      </c>
      <c r="B372" t="str">
        <f>VLOOKUP(L372,Customers!$A$2:$C$92,3,TRUE)</f>
        <v>Jonas Bergulfsen</v>
      </c>
      <c r="C372" t="str">
        <f t="shared" si="86"/>
        <v>Jonas</v>
      </c>
      <c r="D372" s="8" t="str">
        <f t="shared" si="87"/>
        <v>Bergulfsen</v>
      </c>
      <c r="E372" s="8" t="str">
        <f t="shared" si="88"/>
        <v>Bergulfsen, Jonas</v>
      </c>
      <c r="F372" s="8" t="str">
        <f t="shared" si="89"/>
        <v>Bergulfsen, Jonas</v>
      </c>
      <c r="G372" s="8" t="str">
        <f t="shared" si="90"/>
        <v>not an outlier</v>
      </c>
      <c r="H372" s="8" t="str">
        <f t="shared" si="91"/>
        <v>Not</v>
      </c>
      <c r="I372" s="8" t="str">
        <f t="shared" si="101"/>
        <v>no</v>
      </c>
      <c r="J372" s="10" t="str">
        <f t="shared" si="92"/>
        <v>no</v>
      </c>
      <c r="K372" s="10" t="str">
        <f t="shared" si="93"/>
        <v>no</v>
      </c>
      <c r="L372" t="s">
        <v>521</v>
      </c>
      <c r="M372">
        <v>10387</v>
      </c>
      <c r="N372">
        <v>71</v>
      </c>
      <c r="O372" t="s">
        <v>725</v>
      </c>
      <c r="P372" t="str">
        <f t="shared" si="94"/>
        <v>SANTG_10387_Fløtemysost</v>
      </c>
      <c r="Q372" t="str">
        <f t="shared" si="95"/>
        <v>10387</v>
      </c>
      <c r="R372" t="str">
        <f t="shared" si="96"/>
        <v>10387</v>
      </c>
      <c r="S372" t="str">
        <f t="shared" si="97"/>
        <v>Fløtemysost</v>
      </c>
      <c r="T372">
        <v>17.2</v>
      </c>
      <c r="U372">
        <v>15</v>
      </c>
      <c r="V372">
        <v>0</v>
      </c>
      <c r="W372">
        <f t="shared" si="98"/>
        <v>258</v>
      </c>
      <c r="X372" t="str">
        <f t="shared" si="99"/>
        <v>No</v>
      </c>
      <c r="Y372" s="2">
        <v>34717</v>
      </c>
      <c r="Z372" t="str">
        <f t="shared" si="85"/>
        <v/>
      </c>
      <c r="AA372" t="str">
        <f t="shared" si="100"/>
        <v/>
      </c>
      <c r="AB372" t="str" cm="1">
        <f t="array" ref="AB372">_xlfn.IFS(Y372&lt;DATE(1996,1,1),"",Y372&lt;DATE(1996,4,1),"Q1",Y372&lt;DATE(1996,7,1),"Q2",Y372&gt;=DATE(1996,7,1),"")</f>
        <v/>
      </c>
    </row>
    <row r="373" spans="1:28" ht="14.4" x14ac:dyDescent="0.55000000000000004">
      <c r="A373" t="str">
        <f>VLOOKUP(L373,Customers!$A$2:$B$92,2,FALSE)</f>
        <v>Seven Seas Imports</v>
      </c>
      <c r="B373" t="str">
        <f>VLOOKUP(L373,Customers!$A$2:$C$92,3,TRUE)</f>
        <v>Hari Kumar</v>
      </c>
      <c r="C373" t="str">
        <f t="shared" si="86"/>
        <v>Hari</v>
      </c>
      <c r="D373" s="8" t="str">
        <f t="shared" si="87"/>
        <v>Kumar</v>
      </c>
      <c r="E373" s="8" t="str">
        <f t="shared" si="88"/>
        <v>Kumar, Hari</v>
      </c>
      <c r="F373" s="8" t="str">
        <f t="shared" si="89"/>
        <v>Kumar, Hari</v>
      </c>
      <c r="G373" s="8" t="str">
        <f t="shared" si="90"/>
        <v>not an outlier</v>
      </c>
      <c r="H373" s="8" t="str">
        <f t="shared" si="91"/>
        <v>Not</v>
      </c>
      <c r="I373" s="8" t="str">
        <f t="shared" si="101"/>
        <v>no</v>
      </c>
      <c r="J373" s="10" t="str">
        <f t="shared" si="92"/>
        <v>no</v>
      </c>
      <c r="K373" s="10" t="str">
        <f t="shared" si="93"/>
        <v>no</v>
      </c>
      <c r="L373" t="s">
        <v>536</v>
      </c>
      <c r="M373">
        <v>10388</v>
      </c>
      <c r="N373">
        <v>45</v>
      </c>
      <c r="O373" t="s">
        <v>756</v>
      </c>
      <c r="P373" t="str">
        <f t="shared" si="94"/>
        <v>SEVES_10388_Røgede sild</v>
      </c>
      <c r="Q373" t="str">
        <f t="shared" si="95"/>
        <v>10388</v>
      </c>
      <c r="R373" t="str">
        <f t="shared" si="96"/>
        <v>10388</v>
      </c>
      <c r="S373" t="str">
        <f t="shared" si="97"/>
        <v>Røgede sild</v>
      </c>
      <c r="T373">
        <v>7.6</v>
      </c>
      <c r="U373">
        <v>15</v>
      </c>
      <c r="V373">
        <v>0.2</v>
      </c>
      <c r="W373">
        <f t="shared" si="98"/>
        <v>91.2</v>
      </c>
      <c r="X373" t="str">
        <f t="shared" si="99"/>
        <v>No</v>
      </c>
      <c r="Y373" s="2">
        <v>34718</v>
      </c>
      <c r="Z373" t="str">
        <f t="shared" si="85"/>
        <v/>
      </c>
      <c r="AA373" t="str">
        <f t="shared" si="100"/>
        <v/>
      </c>
      <c r="AB373" t="str" cm="1">
        <f t="array" ref="AB373">_xlfn.IFS(Y373&lt;DATE(1996,1,1),"",Y373&lt;DATE(1996,4,1),"Q1",Y373&lt;DATE(1996,7,1),"Q2",Y373&gt;=DATE(1996,7,1),"")</f>
        <v/>
      </c>
    </row>
    <row r="374" spans="1:28" ht="14.4" x14ac:dyDescent="0.55000000000000004">
      <c r="A374" t="str">
        <f>VLOOKUP(L374,Customers!$A$2:$B$92,2,FALSE)</f>
        <v>Seven Seas Imports</v>
      </c>
      <c r="B374" t="str">
        <f>VLOOKUP(L374,Customers!$A$2:$C$92,3,TRUE)</f>
        <v>Hari Kumar</v>
      </c>
      <c r="C374" t="str">
        <f t="shared" si="86"/>
        <v>Hari</v>
      </c>
      <c r="D374" s="8" t="str">
        <f t="shared" si="87"/>
        <v>Kumar</v>
      </c>
      <c r="E374" s="8" t="str">
        <f t="shared" si="88"/>
        <v>Kumar, Hari</v>
      </c>
      <c r="F374" s="8" t="str">
        <f t="shared" si="89"/>
        <v>Kumar, Hari</v>
      </c>
      <c r="G374" s="8" t="str">
        <f t="shared" si="90"/>
        <v>not an outlier</v>
      </c>
      <c r="H374" s="8" t="str">
        <f t="shared" si="91"/>
        <v>Not</v>
      </c>
      <c r="I374" s="8" t="str">
        <f t="shared" si="101"/>
        <v>no</v>
      </c>
      <c r="J374" s="10" t="str">
        <f t="shared" si="92"/>
        <v>no</v>
      </c>
      <c r="K374" s="10" t="str">
        <f t="shared" si="93"/>
        <v>no</v>
      </c>
      <c r="L374" t="s">
        <v>536</v>
      </c>
      <c r="M374">
        <v>10388</v>
      </c>
      <c r="N374">
        <v>52</v>
      </c>
      <c r="O374" t="s">
        <v>748</v>
      </c>
      <c r="P374" t="str">
        <f t="shared" si="94"/>
        <v>SEVES_10388_Filo Mix</v>
      </c>
      <c r="Q374" t="str">
        <f t="shared" si="95"/>
        <v>10388</v>
      </c>
      <c r="R374" t="str">
        <f t="shared" si="96"/>
        <v>10388</v>
      </c>
      <c r="S374" t="str">
        <f t="shared" si="97"/>
        <v>Filo Mix</v>
      </c>
      <c r="T374">
        <v>5.6</v>
      </c>
      <c r="U374">
        <v>20</v>
      </c>
      <c r="V374">
        <v>0.2</v>
      </c>
      <c r="W374">
        <f t="shared" si="98"/>
        <v>89.600000000000009</v>
      </c>
      <c r="X374" t="str">
        <f t="shared" si="99"/>
        <v>No</v>
      </c>
      <c r="Y374" s="2">
        <v>34718</v>
      </c>
      <c r="Z374" t="str">
        <f t="shared" si="85"/>
        <v/>
      </c>
      <c r="AA374" t="str">
        <f t="shared" si="100"/>
        <v/>
      </c>
      <c r="AB374" t="str" cm="1">
        <f t="array" ref="AB374">_xlfn.IFS(Y374&lt;DATE(1996,1,1),"",Y374&lt;DATE(1996,4,1),"Q1",Y374&lt;DATE(1996,7,1),"Q2",Y374&gt;=DATE(1996,7,1),"")</f>
        <v/>
      </c>
    </row>
    <row r="375" spans="1:28" ht="14.4" x14ac:dyDescent="0.55000000000000004">
      <c r="A375" t="str">
        <f>VLOOKUP(L375,Customers!$A$2:$B$92,2,FALSE)</f>
        <v>Seven Seas Imports</v>
      </c>
      <c r="B375" t="str">
        <f>VLOOKUP(L375,Customers!$A$2:$C$92,3,TRUE)</f>
        <v>Hari Kumar</v>
      </c>
      <c r="C375" t="str">
        <f t="shared" si="86"/>
        <v>Hari</v>
      </c>
      <c r="D375" s="8" t="str">
        <f t="shared" si="87"/>
        <v>Kumar</v>
      </c>
      <c r="E375" s="8" t="str">
        <f t="shared" si="88"/>
        <v>Kumar, Hari</v>
      </c>
      <c r="F375" s="8" t="str">
        <f t="shared" si="89"/>
        <v>Kumar, Hari</v>
      </c>
      <c r="G375" s="8" t="str">
        <f t="shared" si="90"/>
        <v>not an outlier</v>
      </c>
      <c r="H375" s="8" t="str">
        <f t="shared" si="91"/>
        <v>Not</v>
      </c>
      <c r="I375" s="8" t="str">
        <f t="shared" si="101"/>
        <v>no</v>
      </c>
      <c r="J375" s="10" t="str">
        <f t="shared" si="92"/>
        <v>no</v>
      </c>
      <c r="K375" s="10" t="str">
        <f t="shared" si="93"/>
        <v>no</v>
      </c>
      <c r="L375" t="s">
        <v>536</v>
      </c>
      <c r="M375">
        <v>10388</v>
      </c>
      <c r="N375">
        <v>53</v>
      </c>
      <c r="O375" t="s">
        <v>705</v>
      </c>
      <c r="P375" t="str">
        <f t="shared" si="94"/>
        <v>SEVES_10388_Perth Pasties</v>
      </c>
      <c r="Q375" t="str">
        <f t="shared" si="95"/>
        <v>10388</v>
      </c>
      <c r="R375" t="str">
        <f t="shared" si="96"/>
        <v>10388</v>
      </c>
      <c r="S375" t="str">
        <f t="shared" si="97"/>
        <v>Perth Pasties</v>
      </c>
      <c r="T375">
        <v>26.2</v>
      </c>
      <c r="U375">
        <v>40</v>
      </c>
      <c r="V375">
        <v>0</v>
      </c>
      <c r="W375">
        <f t="shared" si="98"/>
        <v>1048</v>
      </c>
      <c r="X375" t="str">
        <f t="shared" si="99"/>
        <v>No</v>
      </c>
      <c r="Y375" s="2">
        <v>34718</v>
      </c>
      <c r="Z375" t="str">
        <f t="shared" si="85"/>
        <v/>
      </c>
      <c r="AA375" t="str">
        <f t="shared" si="100"/>
        <v/>
      </c>
      <c r="AB375" t="str" cm="1">
        <f t="array" ref="AB375">_xlfn.IFS(Y375&lt;DATE(1996,1,1),"",Y375&lt;DATE(1996,4,1),"Q1",Y375&lt;DATE(1996,7,1),"Q2",Y375&gt;=DATE(1996,7,1),"")</f>
        <v/>
      </c>
    </row>
    <row r="376" spans="1:28" ht="14.4" x14ac:dyDescent="0.55000000000000004">
      <c r="A376" t="str">
        <f>VLOOKUP(L376,Customers!$A$2:$B$92,2,FALSE)</f>
        <v>Bottom-Dollar Markets</v>
      </c>
      <c r="B376" t="str">
        <f>VLOOKUP(L376,Customers!$A$2:$C$92,3,TRUE)</f>
        <v>Elizabeth Lincoln</v>
      </c>
      <c r="C376" t="str">
        <f t="shared" si="86"/>
        <v>Elizabeth</v>
      </c>
      <c r="D376" s="8" t="str">
        <f t="shared" si="87"/>
        <v>Lincoln</v>
      </c>
      <c r="E376" s="8" t="str">
        <f t="shared" si="88"/>
        <v>Lincoln, Elizabeth</v>
      </c>
      <c r="F376" s="8" t="str">
        <f t="shared" si="89"/>
        <v>Lincoln, Elizabeth</v>
      </c>
      <c r="G376" s="8" t="str">
        <f t="shared" si="90"/>
        <v>not an outlier</v>
      </c>
      <c r="H376" s="8" t="str">
        <f t="shared" si="91"/>
        <v>Not</v>
      </c>
      <c r="I376" s="8" t="str">
        <f t="shared" si="101"/>
        <v>no</v>
      </c>
      <c r="J376" s="10" t="str">
        <f t="shared" si="92"/>
        <v>no</v>
      </c>
      <c r="K376" s="10" t="str">
        <f t="shared" si="93"/>
        <v>no</v>
      </c>
      <c r="L376" t="s">
        <v>84</v>
      </c>
      <c r="M376">
        <v>10389</v>
      </c>
      <c r="N376">
        <v>10</v>
      </c>
      <c r="O376" t="s">
        <v>724</v>
      </c>
      <c r="P376" t="str">
        <f t="shared" si="94"/>
        <v>BOTTM_10389_Ikura</v>
      </c>
      <c r="Q376" t="str">
        <f t="shared" si="95"/>
        <v>10389</v>
      </c>
      <c r="R376" t="str">
        <f t="shared" si="96"/>
        <v>10389</v>
      </c>
      <c r="S376" t="str">
        <f t="shared" si="97"/>
        <v>Ikura</v>
      </c>
      <c r="T376">
        <v>24.8</v>
      </c>
      <c r="U376">
        <v>16</v>
      </c>
      <c r="V376">
        <v>0</v>
      </c>
      <c r="W376">
        <f t="shared" si="98"/>
        <v>396.8</v>
      </c>
      <c r="X376" t="str">
        <f t="shared" si="99"/>
        <v>No</v>
      </c>
      <c r="Y376" s="2">
        <v>34719</v>
      </c>
      <c r="Z376" t="str">
        <f t="shared" si="85"/>
        <v/>
      </c>
      <c r="AA376" t="str">
        <f t="shared" si="100"/>
        <v/>
      </c>
      <c r="AB376" t="str" cm="1">
        <f t="array" ref="AB376">_xlfn.IFS(Y376&lt;DATE(1996,1,1),"",Y376&lt;DATE(1996,4,1),"Q1",Y376&lt;DATE(1996,7,1),"Q2",Y376&gt;=DATE(1996,7,1),"")</f>
        <v/>
      </c>
    </row>
    <row r="377" spans="1:28" ht="14.4" x14ac:dyDescent="0.55000000000000004">
      <c r="A377" t="str">
        <f>VLOOKUP(L377,Customers!$A$2:$B$92,2,FALSE)</f>
        <v>Bottom-Dollar Markets</v>
      </c>
      <c r="B377" t="str">
        <f>VLOOKUP(L377,Customers!$A$2:$C$92,3,TRUE)</f>
        <v>Elizabeth Lincoln</v>
      </c>
      <c r="C377" t="str">
        <f t="shared" si="86"/>
        <v>Elizabeth</v>
      </c>
      <c r="D377" s="8" t="str">
        <f t="shared" si="87"/>
        <v>Lincoln</v>
      </c>
      <c r="E377" s="8" t="str">
        <f t="shared" si="88"/>
        <v>Lincoln, Elizabeth</v>
      </c>
      <c r="F377" s="8" t="str">
        <f t="shared" si="89"/>
        <v>Lincoln, Elizabeth</v>
      </c>
      <c r="G377" s="8" t="str">
        <f t="shared" si="90"/>
        <v>not an outlier</v>
      </c>
      <c r="H377" s="8" t="str">
        <f t="shared" si="91"/>
        <v>Not</v>
      </c>
      <c r="I377" s="8" t="str">
        <f t="shared" si="101"/>
        <v>no</v>
      </c>
      <c r="J377" s="10" t="str">
        <f t="shared" si="92"/>
        <v>no</v>
      </c>
      <c r="K377" s="10" t="str">
        <f t="shared" si="93"/>
        <v>no</v>
      </c>
      <c r="L377" t="s">
        <v>84</v>
      </c>
      <c r="M377">
        <v>10389</v>
      </c>
      <c r="N377">
        <v>55</v>
      </c>
      <c r="O377" t="s">
        <v>699</v>
      </c>
      <c r="P377" t="str">
        <f t="shared" si="94"/>
        <v>BOTTM_10389_Pâté chinois</v>
      </c>
      <c r="Q377" t="str">
        <f t="shared" si="95"/>
        <v>10389</v>
      </c>
      <c r="R377" t="str">
        <f t="shared" si="96"/>
        <v>10389</v>
      </c>
      <c r="S377" t="str">
        <f t="shared" si="97"/>
        <v>Pâté chinois</v>
      </c>
      <c r="T377">
        <v>19.2</v>
      </c>
      <c r="U377">
        <v>15</v>
      </c>
      <c r="V377">
        <v>0</v>
      </c>
      <c r="W377">
        <f t="shared" si="98"/>
        <v>288</v>
      </c>
      <c r="X377" t="str">
        <f t="shared" si="99"/>
        <v>No</v>
      </c>
      <c r="Y377" s="2">
        <v>34719</v>
      </c>
      <c r="Z377" t="str">
        <f t="shared" si="85"/>
        <v/>
      </c>
      <c r="AA377" t="str">
        <f t="shared" si="100"/>
        <v/>
      </c>
      <c r="AB377" t="str" cm="1">
        <f t="array" ref="AB377">_xlfn.IFS(Y377&lt;DATE(1996,1,1),"",Y377&lt;DATE(1996,4,1),"Q1",Y377&lt;DATE(1996,7,1),"Q2",Y377&gt;=DATE(1996,7,1),"")</f>
        <v/>
      </c>
    </row>
    <row r="378" spans="1:28" ht="14.4" x14ac:dyDescent="0.55000000000000004">
      <c r="A378" t="str">
        <f>VLOOKUP(L378,Customers!$A$2:$B$92,2,FALSE)</f>
        <v>Bottom-Dollar Markets</v>
      </c>
      <c r="B378" t="str">
        <f>VLOOKUP(L378,Customers!$A$2:$C$92,3,TRUE)</f>
        <v>Elizabeth Lincoln</v>
      </c>
      <c r="C378" t="str">
        <f t="shared" si="86"/>
        <v>Elizabeth</v>
      </c>
      <c r="D378" s="8" t="str">
        <f t="shared" si="87"/>
        <v>Lincoln</v>
      </c>
      <c r="E378" s="8" t="str">
        <f t="shared" si="88"/>
        <v>Lincoln, Elizabeth</v>
      </c>
      <c r="F378" s="8" t="str">
        <f t="shared" si="89"/>
        <v>Lincoln, Elizabeth</v>
      </c>
      <c r="G378" s="8" t="str">
        <f t="shared" si="90"/>
        <v>not an outlier</v>
      </c>
      <c r="H378" s="8" t="str">
        <f t="shared" si="91"/>
        <v>Not</v>
      </c>
      <c r="I378" s="8" t="str">
        <f t="shared" si="101"/>
        <v>no</v>
      </c>
      <c r="J378" s="10" t="str">
        <f t="shared" si="92"/>
        <v>no</v>
      </c>
      <c r="K378" s="10" t="str">
        <f t="shared" si="93"/>
        <v>no</v>
      </c>
      <c r="L378" t="s">
        <v>84</v>
      </c>
      <c r="M378">
        <v>10389</v>
      </c>
      <c r="N378">
        <v>62</v>
      </c>
      <c r="O378" t="s">
        <v>712</v>
      </c>
      <c r="P378" t="str">
        <f t="shared" si="94"/>
        <v>BOTTM_10389_Tarte au sucre</v>
      </c>
      <c r="Q378" t="str">
        <f t="shared" si="95"/>
        <v>10389</v>
      </c>
      <c r="R378" t="str">
        <f t="shared" si="96"/>
        <v>10389</v>
      </c>
      <c r="S378" t="str">
        <f t="shared" si="97"/>
        <v>Tarte au sucre</v>
      </c>
      <c r="T378">
        <v>39.4</v>
      </c>
      <c r="U378">
        <v>20</v>
      </c>
      <c r="V378">
        <v>0</v>
      </c>
      <c r="W378">
        <f t="shared" si="98"/>
        <v>788</v>
      </c>
      <c r="X378" t="str">
        <f t="shared" si="99"/>
        <v>No</v>
      </c>
      <c r="Y378" s="2">
        <v>34719</v>
      </c>
      <c r="Z378" t="str">
        <f t="shared" si="85"/>
        <v/>
      </c>
      <c r="AA378" t="str">
        <f t="shared" si="100"/>
        <v/>
      </c>
      <c r="AB378" t="str" cm="1">
        <f t="array" ref="AB378">_xlfn.IFS(Y378&lt;DATE(1996,1,1),"",Y378&lt;DATE(1996,4,1),"Q1",Y378&lt;DATE(1996,7,1),"Q2",Y378&gt;=DATE(1996,7,1),"")</f>
        <v/>
      </c>
    </row>
    <row r="379" spans="1:28" ht="14.4" x14ac:dyDescent="0.55000000000000004">
      <c r="A379" t="str">
        <f>VLOOKUP(L379,Customers!$A$2:$B$92,2,FALSE)</f>
        <v>Bottom-Dollar Markets</v>
      </c>
      <c r="B379" t="str">
        <f>VLOOKUP(L379,Customers!$A$2:$C$92,3,TRUE)</f>
        <v>Elizabeth Lincoln</v>
      </c>
      <c r="C379" t="str">
        <f t="shared" si="86"/>
        <v>Elizabeth</v>
      </c>
      <c r="D379" s="8" t="str">
        <f t="shared" si="87"/>
        <v>Lincoln</v>
      </c>
      <c r="E379" s="8" t="str">
        <f t="shared" si="88"/>
        <v>Lincoln, Elizabeth</v>
      </c>
      <c r="F379" s="8" t="str">
        <f t="shared" si="89"/>
        <v>Lincoln, Elizabeth</v>
      </c>
      <c r="G379" s="8" t="str">
        <f t="shared" si="90"/>
        <v>not an outlier</v>
      </c>
      <c r="H379" s="8" t="str">
        <f t="shared" si="91"/>
        <v>Not</v>
      </c>
      <c r="I379" s="8" t="str">
        <f t="shared" si="101"/>
        <v>no</v>
      </c>
      <c r="J379" s="10" t="str">
        <f t="shared" si="92"/>
        <v>no</v>
      </c>
      <c r="K379" s="10" t="str">
        <f t="shared" si="93"/>
        <v>no</v>
      </c>
      <c r="L379" t="s">
        <v>84</v>
      </c>
      <c r="M379">
        <v>10389</v>
      </c>
      <c r="N379">
        <v>70</v>
      </c>
      <c r="O379" t="s">
        <v>713</v>
      </c>
      <c r="P379" t="str">
        <f t="shared" si="94"/>
        <v>BOTTM_10389_Outback Lager</v>
      </c>
      <c r="Q379" t="str">
        <f t="shared" si="95"/>
        <v>10389</v>
      </c>
      <c r="R379" t="str">
        <f t="shared" si="96"/>
        <v>10389</v>
      </c>
      <c r="S379" t="str">
        <f t="shared" si="97"/>
        <v>Outback Lager</v>
      </c>
      <c r="T379">
        <v>12</v>
      </c>
      <c r="U379">
        <v>30</v>
      </c>
      <c r="V379">
        <v>0</v>
      </c>
      <c r="W379">
        <f t="shared" si="98"/>
        <v>360</v>
      </c>
      <c r="X379" t="str">
        <f t="shared" si="99"/>
        <v>No</v>
      </c>
      <c r="Y379" s="2">
        <v>34719</v>
      </c>
      <c r="Z379" t="str">
        <f t="shared" si="85"/>
        <v/>
      </c>
      <c r="AA379" t="str">
        <f t="shared" si="100"/>
        <v/>
      </c>
      <c r="AB379" t="str" cm="1">
        <f t="array" ref="AB379">_xlfn.IFS(Y379&lt;DATE(1996,1,1),"",Y379&lt;DATE(1996,4,1),"Q1",Y379&lt;DATE(1996,7,1),"Q2",Y379&gt;=DATE(1996,7,1),"")</f>
        <v/>
      </c>
    </row>
    <row r="380" spans="1:28" ht="14.4" x14ac:dyDescent="0.55000000000000004">
      <c r="A380" t="str">
        <f>VLOOKUP(L380,Customers!$A$2:$B$92,2,FALSE)</f>
        <v>Ernst Handel</v>
      </c>
      <c r="B380" t="str">
        <f>VLOOKUP(L380,Customers!$A$2:$C$92,3,TRUE)</f>
        <v>Roland Mendel</v>
      </c>
      <c r="C380" t="str">
        <f t="shared" si="86"/>
        <v>Roland</v>
      </c>
      <c r="D380" s="8" t="str">
        <f t="shared" si="87"/>
        <v>Mendel</v>
      </c>
      <c r="E380" s="8" t="str">
        <f t="shared" si="88"/>
        <v>Mendel, Roland</v>
      </c>
      <c r="F380" s="8" t="str">
        <f t="shared" si="89"/>
        <v>Mendel, Roland</v>
      </c>
      <c r="G380" s="8" t="str">
        <f t="shared" si="90"/>
        <v>not an outlier</v>
      </c>
      <c r="H380" s="8" t="str">
        <f t="shared" si="91"/>
        <v>Not</v>
      </c>
      <c r="I380" s="8" t="str">
        <f t="shared" si="101"/>
        <v>no</v>
      </c>
      <c r="J380" s="10" t="str">
        <f t="shared" si="92"/>
        <v>no</v>
      </c>
      <c r="K380" s="10" t="str">
        <f t="shared" si="93"/>
        <v>no</v>
      </c>
      <c r="L380" t="s">
        <v>161</v>
      </c>
      <c r="M380">
        <v>10390</v>
      </c>
      <c r="N380">
        <v>31</v>
      </c>
      <c r="O380" t="s">
        <v>695</v>
      </c>
      <c r="P380" t="str">
        <f t="shared" si="94"/>
        <v>ERNSH_10390_Gorgonzola Telino</v>
      </c>
      <c r="Q380" t="str">
        <f t="shared" si="95"/>
        <v>10390</v>
      </c>
      <c r="R380" t="str">
        <f t="shared" si="96"/>
        <v>10390</v>
      </c>
      <c r="S380" t="str">
        <f t="shared" si="97"/>
        <v>Gorgonzola Telino</v>
      </c>
      <c r="T380">
        <v>10</v>
      </c>
      <c r="U380">
        <v>60</v>
      </c>
      <c r="V380">
        <v>0.1</v>
      </c>
      <c r="W380">
        <f t="shared" si="98"/>
        <v>540</v>
      </c>
      <c r="X380" t="str">
        <f t="shared" si="99"/>
        <v>No</v>
      </c>
      <c r="Y380" s="2">
        <v>34722</v>
      </c>
      <c r="Z380" t="str">
        <f t="shared" si="85"/>
        <v/>
      </c>
      <c r="AA380" t="str">
        <f t="shared" si="100"/>
        <v/>
      </c>
      <c r="AB380" t="str" cm="1">
        <f t="array" ref="AB380">_xlfn.IFS(Y380&lt;DATE(1996,1,1),"",Y380&lt;DATE(1996,4,1),"Q1",Y380&lt;DATE(1996,7,1),"Q2",Y380&gt;=DATE(1996,7,1),"")</f>
        <v/>
      </c>
    </row>
    <row r="381" spans="1:28" ht="14.4" x14ac:dyDescent="0.55000000000000004">
      <c r="A381" t="str">
        <f>VLOOKUP(L381,Customers!$A$2:$B$92,2,FALSE)</f>
        <v>Ernst Handel</v>
      </c>
      <c r="B381" t="str">
        <f>VLOOKUP(L381,Customers!$A$2:$C$92,3,TRUE)</f>
        <v>Roland Mendel</v>
      </c>
      <c r="C381" t="str">
        <f t="shared" si="86"/>
        <v>Roland</v>
      </c>
      <c r="D381" s="8" t="str">
        <f t="shared" si="87"/>
        <v>Mendel</v>
      </c>
      <c r="E381" s="8" t="str">
        <f t="shared" si="88"/>
        <v>Mendel, Roland</v>
      </c>
      <c r="F381" s="8" t="str">
        <f t="shared" si="89"/>
        <v>Mendel, Roland</v>
      </c>
      <c r="G381" s="8" t="str">
        <f t="shared" si="90"/>
        <v>not an outlier</v>
      </c>
      <c r="H381" s="8" t="str">
        <f t="shared" si="91"/>
        <v>Not</v>
      </c>
      <c r="I381" s="8" t="str">
        <f t="shared" si="101"/>
        <v>no</v>
      </c>
      <c r="J381" s="10" t="str">
        <f t="shared" si="92"/>
        <v>no</v>
      </c>
      <c r="K381" s="10" t="str">
        <f t="shared" si="93"/>
        <v>no</v>
      </c>
      <c r="L381" t="s">
        <v>161</v>
      </c>
      <c r="M381">
        <v>10390</v>
      </c>
      <c r="N381">
        <v>35</v>
      </c>
      <c r="O381" t="s">
        <v>714</v>
      </c>
      <c r="P381" t="str">
        <f t="shared" si="94"/>
        <v>ERNSH_10390_Steeleye Stout</v>
      </c>
      <c r="Q381" t="str">
        <f t="shared" si="95"/>
        <v>10390</v>
      </c>
      <c r="R381" t="str">
        <f t="shared" si="96"/>
        <v>10390</v>
      </c>
      <c r="S381" t="str">
        <f t="shared" si="97"/>
        <v>Steeleye Stout</v>
      </c>
      <c r="T381">
        <v>14.4</v>
      </c>
      <c r="U381">
        <v>40</v>
      </c>
      <c r="V381">
        <v>0.1</v>
      </c>
      <c r="W381">
        <f t="shared" si="98"/>
        <v>518.4</v>
      </c>
      <c r="X381" t="str">
        <f t="shared" si="99"/>
        <v>No</v>
      </c>
      <c r="Y381" s="2">
        <v>34722</v>
      </c>
      <c r="Z381" t="str">
        <f t="shared" si="85"/>
        <v/>
      </c>
      <c r="AA381" t="str">
        <f t="shared" si="100"/>
        <v/>
      </c>
      <c r="AB381" t="str" cm="1">
        <f t="array" ref="AB381">_xlfn.IFS(Y381&lt;DATE(1996,1,1),"",Y381&lt;DATE(1996,4,1),"Q1",Y381&lt;DATE(1996,7,1),"Q2",Y381&gt;=DATE(1996,7,1),"")</f>
        <v/>
      </c>
    </row>
    <row r="382" spans="1:28" ht="14.4" x14ac:dyDescent="0.55000000000000004">
      <c r="A382" t="str">
        <f>VLOOKUP(L382,Customers!$A$2:$B$92,2,FALSE)</f>
        <v>Ernst Handel</v>
      </c>
      <c r="B382" t="str">
        <f>VLOOKUP(L382,Customers!$A$2:$C$92,3,TRUE)</f>
        <v>Roland Mendel</v>
      </c>
      <c r="C382" t="str">
        <f t="shared" si="86"/>
        <v>Roland</v>
      </c>
      <c r="D382" s="8" t="str">
        <f t="shared" si="87"/>
        <v>Mendel</v>
      </c>
      <c r="E382" s="8" t="str">
        <f t="shared" si="88"/>
        <v>Mendel, Roland</v>
      </c>
      <c r="F382" s="8" t="str">
        <f t="shared" si="89"/>
        <v>Mendel, Roland</v>
      </c>
      <c r="G382" s="8" t="str">
        <f t="shared" si="90"/>
        <v>not an outlier</v>
      </c>
      <c r="H382" s="8" t="str">
        <f t="shared" si="91"/>
        <v>Not</v>
      </c>
      <c r="I382" s="8" t="str">
        <f t="shared" si="101"/>
        <v>no</v>
      </c>
      <c r="J382" s="10" t="str">
        <f t="shared" si="92"/>
        <v>no</v>
      </c>
      <c r="K382" s="10" t="str">
        <f t="shared" si="93"/>
        <v>no</v>
      </c>
      <c r="L382" t="s">
        <v>161</v>
      </c>
      <c r="M382">
        <v>10390</v>
      </c>
      <c r="N382">
        <v>46</v>
      </c>
      <c r="O382" t="s">
        <v>737</v>
      </c>
      <c r="P382" t="str">
        <f t="shared" si="94"/>
        <v>ERNSH_10390_Spegesild</v>
      </c>
      <c r="Q382" t="str">
        <f t="shared" si="95"/>
        <v>10390</v>
      </c>
      <c r="R382" t="str">
        <f t="shared" si="96"/>
        <v>10390</v>
      </c>
      <c r="S382" t="str">
        <f t="shared" si="97"/>
        <v>Spegesild</v>
      </c>
      <c r="T382">
        <v>9.6</v>
      </c>
      <c r="U382">
        <v>45</v>
      </c>
      <c r="V382">
        <v>0</v>
      </c>
      <c r="W382">
        <f t="shared" si="98"/>
        <v>432</v>
      </c>
      <c r="X382" t="str">
        <f t="shared" si="99"/>
        <v>No</v>
      </c>
      <c r="Y382" s="2">
        <v>34722</v>
      </c>
      <c r="Z382" t="str">
        <f t="shared" si="85"/>
        <v/>
      </c>
      <c r="AA382" t="str">
        <f t="shared" si="100"/>
        <v/>
      </c>
      <c r="AB382" t="str" cm="1">
        <f t="array" ref="AB382">_xlfn.IFS(Y382&lt;DATE(1996,1,1),"",Y382&lt;DATE(1996,4,1),"Q1",Y382&lt;DATE(1996,7,1),"Q2",Y382&gt;=DATE(1996,7,1),"")</f>
        <v/>
      </c>
    </row>
    <row r="383" spans="1:28" ht="14.4" x14ac:dyDescent="0.55000000000000004">
      <c r="A383" t="str">
        <f>VLOOKUP(L383,Customers!$A$2:$B$92,2,FALSE)</f>
        <v>Ernst Handel</v>
      </c>
      <c r="B383" t="str">
        <f>VLOOKUP(L383,Customers!$A$2:$C$92,3,TRUE)</f>
        <v>Roland Mendel</v>
      </c>
      <c r="C383" t="str">
        <f t="shared" si="86"/>
        <v>Roland</v>
      </c>
      <c r="D383" s="8" t="str">
        <f t="shared" si="87"/>
        <v>Mendel</v>
      </c>
      <c r="E383" s="8" t="str">
        <f t="shared" si="88"/>
        <v>Mendel, Roland</v>
      </c>
      <c r="F383" s="8" t="str">
        <f t="shared" si="89"/>
        <v>Mendel, Roland</v>
      </c>
      <c r="G383" s="8" t="str">
        <f t="shared" si="90"/>
        <v>not an outlier</v>
      </c>
      <c r="H383" s="8" t="str">
        <f t="shared" si="91"/>
        <v>Not</v>
      </c>
      <c r="I383" s="8" t="str">
        <f t="shared" si="101"/>
        <v>no</v>
      </c>
      <c r="J383" s="10" t="str">
        <f t="shared" si="92"/>
        <v>no</v>
      </c>
      <c r="K383" s="10" t="str">
        <f t="shared" si="93"/>
        <v>no</v>
      </c>
      <c r="L383" t="s">
        <v>161</v>
      </c>
      <c r="M383">
        <v>10390</v>
      </c>
      <c r="N383">
        <v>72</v>
      </c>
      <c r="O383" t="s">
        <v>685</v>
      </c>
      <c r="P383" t="str">
        <f t="shared" si="94"/>
        <v>ERNSH_10390_Mozzarella di Giovanni</v>
      </c>
      <c r="Q383" t="str">
        <f t="shared" si="95"/>
        <v>10390</v>
      </c>
      <c r="R383" t="str">
        <f t="shared" si="96"/>
        <v>10390</v>
      </c>
      <c r="S383" t="str">
        <f t="shared" si="97"/>
        <v>Mozzarella di Giovanni</v>
      </c>
      <c r="T383">
        <v>27.8</v>
      </c>
      <c r="U383">
        <v>24</v>
      </c>
      <c r="V383">
        <v>0.1</v>
      </c>
      <c r="W383">
        <f t="shared" si="98"/>
        <v>600.48</v>
      </c>
      <c r="X383" t="str">
        <f t="shared" si="99"/>
        <v>No</v>
      </c>
      <c r="Y383" s="2">
        <v>34722</v>
      </c>
      <c r="Z383" t="str">
        <f t="shared" si="85"/>
        <v/>
      </c>
      <c r="AA383" t="str">
        <f t="shared" si="100"/>
        <v/>
      </c>
      <c r="AB383" t="str" cm="1">
        <f t="array" ref="AB383">_xlfn.IFS(Y383&lt;DATE(1996,1,1),"",Y383&lt;DATE(1996,4,1),"Q1",Y383&lt;DATE(1996,7,1),"Q2",Y383&gt;=DATE(1996,7,1),"")</f>
        <v/>
      </c>
    </row>
    <row r="384" spans="1:28" ht="14.4" x14ac:dyDescent="0.55000000000000004">
      <c r="A384" t="str">
        <f>VLOOKUP(L384,Customers!$A$2:$B$92,2,FALSE)</f>
        <v>Drachenblut Delikatessen</v>
      </c>
      <c r="B384" t="str">
        <f>VLOOKUP(L384,Customers!$A$2:$C$92,3,TRUE)</f>
        <v>Sven Ottlieb</v>
      </c>
      <c r="C384" t="str">
        <f t="shared" si="86"/>
        <v>Sven</v>
      </c>
      <c r="D384" s="8" t="str">
        <f t="shared" si="87"/>
        <v>Ottlieb</v>
      </c>
      <c r="E384" s="8" t="str">
        <f t="shared" si="88"/>
        <v>Ottlieb, Sven</v>
      </c>
      <c r="F384" s="8" t="str">
        <f t="shared" si="89"/>
        <v>Ottlieb, Sven</v>
      </c>
      <c r="G384" s="8" t="str">
        <f t="shared" si="90"/>
        <v>not an outlier</v>
      </c>
      <c r="H384" s="8" t="str">
        <f t="shared" si="91"/>
        <v>Not</v>
      </c>
      <c r="I384" s="8" t="str">
        <f t="shared" si="101"/>
        <v>no</v>
      </c>
      <c r="J384" s="10" t="str">
        <f t="shared" si="92"/>
        <v>no</v>
      </c>
      <c r="K384" s="10" t="str">
        <f t="shared" si="93"/>
        <v>no</v>
      </c>
      <c r="L384" t="s">
        <v>140</v>
      </c>
      <c r="M384">
        <v>10391</v>
      </c>
      <c r="N384">
        <v>13</v>
      </c>
      <c r="O384" t="s">
        <v>726</v>
      </c>
      <c r="P384" t="str">
        <f t="shared" si="94"/>
        <v>DRACD_10391_Konbu</v>
      </c>
      <c r="Q384" t="str">
        <f t="shared" si="95"/>
        <v>10391</v>
      </c>
      <c r="R384" t="str">
        <f t="shared" si="96"/>
        <v>10391</v>
      </c>
      <c r="S384" t="str">
        <f t="shared" si="97"/>
        <v>Konbu</v>
      </c>
      <c r="T384">
        <v>4.8</v>
      </c>
      <c r="U384">
        <v>18</v>
      </c>
      <c r="V384">
        <v>0</v>
      </c>
      <c r="W384">
        <f t="shared" si="98"/>
        <v>86.399999999999991</v>
      </c>
      <c r="X384" t="str">
        <f t="shared" si="99"/>
        <v>No</v>
      </c>
      <c r="Y384" s="2">
        <v>34722</v>
      </c>
      <c r="Z384" t="str">
        <f t="shared" si="85"/>
        <v/>
      </c>
      <c r="AA384" t="str">
        <f t="shared" si="100"/>
        <v/>
      </c>
      <c r="AB384" t="str" cm="1">
        <f t="array" ref="AB384">_xlfn.IFS(Y384&lt;DATE(1996,1,1),"",Y384&lt;DATE(1996,4,1),"Q1",Y384&lt;DATE(1996,7,1),"Q2",Y384&gt;=DATE(1996,7,1),"")</f>
        <v/>
      </c>
    </row>
    <row r="385" spans="1:28" ht="14.4" x14ac:dyDescent="0.55000000000000004">
      <c r="A385" t="str">
        <f>VLOOKUP(L385,Customers!$A$2:$B$92,2,FALSE)</f>
        <v>Piccolo und mehr</v>
      </c>
      <c r="B385" t="str">
        <f>VLOOKUP(L385,Customers!$A$2:$C$92,3,TRUE)</f>
        <v>Georg Pipps</v>
      </c>
      <c r="C385" t="str">
        <f t="shared" si="86"/>
        <v>Georg</v>
      </c>
      <c r="D385" s="8" t="str">
        <f t="shared" si="87"/>
        <v>Pipps</v>
      </c>
      <c r="E385" s="8" t="str">
        <f t="shared" si="88"/>
        <v>Pipps, Georg</v>
      </c>
      <c r="F385" s="8" t="str">
        <f t="shared" si="89"/>
        <v>Pipps, Georg</v>
      </c>
      <c r="G385" s="8" t="str">
        <f t="shared" si="90"/>
        <v>not an outlier</v>
      </c>
      <c r="H385" s="8" t="str">
        <f t="shared" si="91"/>
        <v>Not</v>
      </c>
      <c r="I385" s="8" t="str">
        <f t="shared" si="101"/>
        <v>no</v>
      </c>
      <c r="J385" s="10" t="str">
        <f t="shared" si="92"/>
        <v>no</v>
      </c>
      <c r="K385" s="10" t="str">
        <f t="shared" si="93"/>
        <v>no</v>
      </c>
      <c r="L385" t="s">
        <v>450</v>
      </c>
      <c r="M385">
        <v>10392</v>
      </c>
      <c r="N385">
        <v>69</v>
      </c>
      <c r="O385" t="s">
        <v>743</v>
      </c>
      <c r="P385" t="str">
        <f t="shared" si="94"/>
        <v>PICCO_10392_Gudbrandsdalsost</v>
      </c>
      <c r="Q385" t="str">
        <f t="shared" si="95"/>
        <v>10392</v>
      </c>
      <c r="R385" t="str">
        <f t="shared" si="96"/>
        <v>10392</v>
      </c>
      <c r="S385" t="str">
        <f t="shared" si="97"/>
        <v>Gudbrandsdalsost</v>
      </c>
      <c r="T385">
        <v>28.8</v>
      </c>
      <c r="U385">
        <v>50</v>
      </c>
      <c r="V385">
        <v>0</v>
      </c>
      <c r="W385">
        <f t="shared" si="98"/>
        <v>1440</v>
      </c>
      <c r="X385" t="str">
        <f t="shared" si="99"/>
        <v>No</v>
      </c>
      <c r="Y385" s="2">
        <v>34723</v>
      </c>
      <c r="Z385" t="str">
        <f t="shared" ref="Z385:Z448" si="102">IF(Y385&gt;=DATE(1996,1,1), IF(Y385&lt;DATE(1996,4,1),"1st Q 1996",""),"")</f>
        <v/>
      </c>
      <c r="AA385" t="str">
        <f t="shared" si="100"/>
        <v/>
      </c>
      <c r="AB385" t="str" cm="1">
        <f t="array" ref="AB385">_xlfn.IFS(Y385&lt;DATE(1996,1,1),"",Y385&lt;DATE(1996,4,1),"Q1",Y385&lt;DATE(1996,7,1),"Q2",Y385&gt;=DATE(1996,7,1),"")</f>
        <v/>
      </c>
    </row>
    <row r="386" spans="1:28" ht="14.4" x14ac:dyDescent="0.55000000000000004">
      <c r="A386" t="str">
        <f>VLOOKUP(L386,Customers!$A$2:$B$92,2,FALSE)</f>
        <v>Save-a-lot Markets</v>
      </c>
      <c r="B386" t="str">
        <f>VLOOKUP(L386,Customers!$A$2:$C$92,3,TRUE)</f>
        <v>Jose Pavarotti</v>
      </c>
      <c r="C386" t="str">
        <f t="shared" si="86"/>
        <v>Jose</v>
      </c>
      <c r="D386" s="8" t="str">
        <f t="shared" si="87"/>
        <v>Pavarotti</v>
      </c>
      <c r="E386" s="8" t="str">
        <f t="shared" si="88"/>
        <v>Pavarotti, Jose</v>
      </c>
      <c r="F386" s="8" t="str">
        <f t="shared" si="89"/>
        <v>Pavarotti, Jose</v>
      </c>
      <c r="G386" s="8" t="str">
        <f t="shared" si="90"/>
        <v>not an outlier</v>
      </c>
      <c r="H386" s="8" t="str">
        <f t="shared" si="91"/>
        <v>Not</v>
      </c>
      <c r="I386" s="8" t="str">
        <f t="shared" si="101"/>
        <v>no</v>
      </c>
      <c r="J386" s="10" t="str">
        <f t="shared" si="92"/>
        <v>no</v>
      </c>
      <c r="K386" s="10" t="str">
        <f t="shared" si="93"/>
        <v>no</v>
      </c>
      <c r="L386" t="s">
        <v>529</v>
      </c>
      <c r="M386">
        <v>10393</v>
      </c>
      <c r="N386">
        <v>2</v>
      </c>
      <c r="O386" t="s">
        <v>701</v>
      </c>
      <c r="P386" t="str">
        <f t="shared" si="94"/>
        <v>SAVEA_10393_Chang</v>
      </c>
      <c r="Q386" t="str">
        <f t="shared" si="95"/>
        <v>10393</v>
      </c>
      <c r="R386" t="str">
        <f t="shared" si="96"/>
        <v>10393</v>
      </c>
      <c r="S386" t="str">
        <f t="shared" si="97"/>
        <v>Chang</v>
      </c>
      <c r="T386">
        <v>15.2</v>
      </c>
      <c r="U386">
        <v>25</v>
      </c>
      <c r="V386">
        <v>0.25</v>
      </c>
      <c r="W386">
        <f t="shared" si="98"/>
        <v>285</v>
      </c>
      <c r="X386" t="str">
        <f t="shared" si="99"/>
        <v>No</v>
      </c>
      <c r="Y386" s="2">
        <v>34724</v>
      </c>
      <c r="Z386" t="str">
        <f t="shared" si="102"/>
        <v/>
      </c>
      <c r="AA386" t="str">
        <f t="shared" si="100"/>
        <v/>
      </c>
      <c r="AB386" t="str" cm="1">
        <f t="array" ref="AB386">_xlfn.IFS(Y386&lt;DATE(1996,1,1),"",Y386&lt;DATE(1996,4,1),"Q1",Y386&lt;DATE(1996,7,1),"Q2",Y386&gt;=DATE(1996,7,1),"")</f>
        <v/>
      </c>
    </row>
    <row r="387" spans="1:28" ht="14.4" x14ac:dyDescent="0.55000000000000004">
      <c r="A387" t="str">
        <f>VLOOKUP(L387,Customers!$A$2:$B$92,2,FALSE)</f>
        <v>Save-a-lot Markets</v>
      </c>
      <c r="B387" t="str">
        <f>VLOOKUP(L387,Customers!$A$2:$C$92,3,TRUE)</f>
        <v>Jose Pavarotti</v>
      </c>
      <c r="C387" t="str">
        <f t="shared" ref="C387:C450" si="103">LEFT(B387,FIND(" ",B387)-1)</f>
        <v>Jose</v>
      </c>
      <c r="D387" s="8" t="str">
        <f t="shared" ref="D387:D450" si="104">RIGHT(B387,LEN(B387)-FIND(" ",B387))</f>
        <v>Pavarotti</v>
      </c>
      <c r="E387" s="8" t="str">
        <f t="shared" ref="E387:E450" si="105">_xlfn.CONCAT(D387,", ",C387)</f>
        <v>Pavarotti, Jose</v>
      </c>
      <c r="F387" s="8" t="str">
        <f t="shared" ref="F387:F450" si="106">D387&amp;", "&amp;C387</f>
        <v>Pavarotti, Jose</v>
      </c>
      <c r="G387" s="8" t="str">
        <f t="shared" ref="G387:G450" si="107">IF(OR(W387&gt;$W$2166,W387&lt;$W$2167),"outlier","not an outlier")</f>
        <v>not an outlier</v>
      </c>
      <c r="H387" s="8" t="str">
        <f t="shared" ref="H387:H450" si="108">IF(OR(W387&gt;$W$2166,W387&lt;$W$2167),"outlier",IF(OR(W387&gt;$W$2168,W387&lt;$W$2169),"moderate","Not"))</f>
        <v>Not</v>
      </c>
      <c r="I387" s="8" t="str">
        <f t="shared" si="101"/>
        <v>no</v>
      </c>
      <c r="J387" s="10" t="str">
        <f t="shared" ref="J387:J450" si="109">IF(AND(W387&lt;=$W$2166,W387&gt;=$W$2167),"no","yes")</f>
        <v>no</v>
      </c>
      <c r="K387" s="10" t="str">
        <f t="shared" ref="K387:K450" si="110">IF(OR(W387&gt;$W$2166,W387&lt;$W$2167),"yes",IF(OR(W387&gt;$W$2168,W387&lt;$W$2169),"moderate","no"))</f>
        <v>no</v>
      </c>
      <c r="L387" t="s">
        <v>529</v>
      </c>
      <c r="M387">
        <v>10393</v>
      </c>
      <c r="N387">
        <v>14</v>
      </c>
      <c r="O387" t="s">
        <v>686</v>
      </c>
      <c r="P387" t="str">
        <f t="shared" ref="P387:P450" si="111">L387&amp;"_"&amp;M387&amp;"_"&amp;O387</f>
        <v>SAVEA_10393_Tofu</v>
      </c>
      <c r="Q387" t="str">
        <f t="shared" ref="Q387:Q450" si="112">LEFT(RIGHT(P387,LEN(P387)-FIND("_",P387)), FIND("_",P387)-1)</f>
        <v>10393</v>
      </c>
      <c r="R387" t="str">
        <f t="shared" ref="R387:R450" si="113">MID(P387,FIND("_",P387)+1,FIND("_",P387,FIND("_",P387))-1)</f>
        <v>10393</v>
      </c>
      <c r="S387" t="str">
        <f t="shared" ref="S387:S450" si="114">MID(P387,FIND("_",P387,FIND("_",P387)+1)+1,LEN(P387))</f>
        <v>Tofu</v>
      </c>
      <c r="T387">
        <v>18.600000000000001</v>
      </c>
      <c r="U387">
        <v>42</v>
      </c>
      <c r="V387">
        <v>0.25</v>
      </c>
      <c r="W387">
        <f t="shared" ref="W387:W450" si="115">T387*U387*(1-V387)</f>
        <v>585.90000000000009</v>
      </c>
      <c r="X387" t="str">
        <f t="shared" ref="X387:X450" si="116">IF(YEAR(Y387)&gt;=1996,"yes","No")</f>
        <v>No</v>
      </c>
      <c r="Y387" s="2">
        <v>34724</v>
      </c>
      <c r="Z387" t="str">
        <f t="shared" si="102"/>
        <v/>
      </c>
      <c r="AA387" t="str">
        <f t="shared" ref="AA387:AA450" si="117">IF(Y387&lt;DATE(1996,1,1),"", IF(Y387&lt;DATE(1996,4,1),"1st Q 1996",IF(Y387&lt;DATE(1996,7,1),"2nd Q 1996","")))</f>
        <v/>
      </c>
      <c r="AB387" t="str" cm="1">
        <f t="array" ref="AB387">_xlfn.IFS(Y387&lt;DATE(1996,1,1),"",Y387&lt;DATE(1996,4,1),"Q1",Y387&lt;DATE(1996,7,1),"Q2",Y387&gt;=DATE(1996,7,1),"")</f>
        <v/>
      </c>
    </row>
    <row r="388" spans="1:28" ht="14.4" x14ac:dyDescent="0.55000000000000004">
      <c r="A388" t="str">
        <f>VLOOKUP(L388,Customers!$A$2:$B$92,2,FALSE)</f>
        <v>Save-a-lot Markets</v>
      </c>
      <c r="B388" t="str">
        <f>VLOOKUP(L388,Customers!$A$2:$C$92,3,TRUE)</f>
        <v>Jose Pavarotti</v>
      </c>
      <c r="C388" t="str">
        <f t="shared" si="103"/>
        <v>Jose</v>
      </c>
      <c r="D388" s="8" t="str">
        <f t="shared" si="104"/>
        <v>Pavarotti</v>
      </c>
      <c r="E388" s="8" t="str">
        <f t="shared" si="105"/>
        <v>Pavarotti, Jose</v>
      </c>
      <c r="F388" s="8" t="str">
        <f t="shared" si="106"/>
        <v>Pavarotti, Jose</v>
      </c>
      <c r="G388" s="8" t="str">
        <f t="shared" si="107"/>
        <v>not an outlier</v>
      </c>
      <c r="H388" s="8" t="str">
        <f t="shared" si="108"/>
        <v>Not</v>
      </c>
      <c r="I388" s="8" t="str">
        <f t="shared" ref="I388:I451" si="118">IF(OR(W388&gt;$W$2166,W388&lt;$W$2167),"yes","no")</f>
        <v>no</v>
      </c>
      <c r="J388" s="10" t="str">
        <f t="shared" si="109"/>
        <v>no</v>
      </c>
      <c r="K388" s="10" t="str">
        <f t="shared" si="110"/>
        <v>no</v>
      </c>
      <c r="L388" t="s">
        <v>529</v>
      </c>
      <c r="M388">
        <v>10393</v>
      </c>
      <c r="N388">
        <v>25</v>
      </c>
      <c r="O388" t="s">
        <v>749</v>
      </c>
      <c r="P388" t="str">
        <f t="shared" si="111"/>
        <v>SAVEA_10393_NuNuCa Nuß-Nougat-Creme</v>
      </c>
      <c r="Q388" t="str">
        <f t="shared" si="112"/>
        <v>10393</v>
      </c>
      <c r="R388" t="str">
        <f t="shared" si="113"/>
        <v>10393</v>
      </c>
      <c r="S388" t="str">
        <f t="shared" si="114"/>
        <v>NuNuCa Nuß-Nougat-Creme</v>
      </c>
      <c r="T388">
        <v>11.2</v>
      </c>
      <c r="U388">
        <v>7</v>
      </c>
      <c r="V388">
        <v>0.25</v>
      </c>
      <c r="W388">
        <f t="shared" si="115"/>
        <v>58.8</v>
      </c>
      <c r="X388" t="str">
        <f t="shared" si="116"/>
        <v>No</v>
      </c>
      <c r="Y388" s="2">
        <v>34724</v>
      </c>
      <c r="Z388" t="str">
        <f t="shared" si="102"/>
        <v/>
      </c>
      <c r="AA388" t="str">
        <f t="shared" si="117"/>
        <v/>
      </c>
      <c r="AB388" t="str" cm="1">
        <f t="array" ref="AB388">_xlfn.IFS(Y388&lt;DATE(1996,1,1),"",Y388&lt;DATE(1996,4,1),"Q1",Y388&lt;DATE(1996,7,1),"Q2",Y388&gt;=DATE(1996,7,1),"")</f>
        <v/>
      </c>
    </row>
    <row r="389" spans="1:28" ht="14.4" x14ac:dyDescent="0.55000000000000004">
      <c r="A389" t="str">
        <f>VLOOKUP(L389,Customers!$A$2:$B$92,2,FALSE)</f>
        <v>Save-a-lot Markets</v>
      </c>
      <c r="B389" t="str">
        <f>VLOOKUP(L389,Customers!$A$2:$C$92,3,TRUE)</f>
        <v>Jose Pavarotti</v>
      </c>
      <c r="C389" t="str">
        <f t="shared" si="103"/>
        <v>Jose</v>
      </c>
      <c r="D389" s="8" t="str">
        <f t="shared" si="104"/>
        <v>Pavarotti</v>
      </c>
      <c r="E389" s="8" t="str">
        <f t="shared" si="105"/>
        <v>Pavarotti, Jose</v>
      </c>
      <c r="F389" s="8" t="str">
        <f t="shared" si="106"/>
        <v>Pavarotti, Jose</v>
      </c>
      <c r="G389" s="8" t="str">
        <f t="shared" si="107"/>
        <v>not an outlier</v>
      </c>
      <c r="H389" s="8" t="str">
        <f t="shared" si="108"/>
        <v>Not</v>
      </c>
      <c r="I389" s="8" t="str">
        <f t="shared" si="118"/>
        <v>no</v>
      </c>
      <c r="J389" s="10" t="str">
        <f t="shared" si="109"/>
        <v>no</v>
      </c>
      <c r="K389" s="10" t="str">
        <f t="shared" si="110"/>
        <v>no</v>
      </c>
      <c r="L389" t="s">
        <v>529</v>
      </c>
      <c r="M389">
        <v>10393</v>
      </c>
      <c r="N389">
        <v>26</v>
      </c>
      <c r="O389" t="s">
        <v>751</v>
      </c>
      <c r="P389" t="str">
        <f t="shared" si="111"/>
        <v>SAVEA_10393_Gumbär Gummibärchen</v>
      </c>
      <c r="Q389" t="str">
        <f t="shared" si="112"/>
        <v>10393</v>
      </c>
      <c r="R389" t="str">
        <f t="shared" si="113"/>
        <v>10393</v>
      </c>
      <c r="S389" t="str">
        <f t="shared" si="114"/>
        <v>Gumbär Gummibärchen</v>
      </c>
      <c r="T389">
        <v>24.9</v>
      </c>
      <c r="U389">
        <v>70</v>
      </c>
      <c r="V389">
        <v>0.25</v>
      </c>
      <c r="W389">
        <f t="shared" si="115"/>
        <v>1307.25</v>
      </c>
      <c r="X389" t="str">
        <f t="shared" si="116"/>
        <v>No</v>
      </c>
      <c r="Y389" s="2">
        <v>34724</v>
      </c>
      <c r="Z389" t="str">
        <f t="shared" si="102"/>
        <v/>
      </c>
      <c r="AA389" t="str">
        <f t="shared" si="117"/>
        <v/>
      </c>
      <c r="AB389" t="str" cm="1">
        <f t="array" ref="AB389">_xlfn.IFS(Y389&lt;DATE(1996,1,1),"",Y389&lt;DATE(1996,4,1),"Q1",Y389&lt;DATE(1996,7,1),"Q2",Y389&gt;=DATE(1996,7,1),"")</f>
        <v/>
      </c>
    </row>
    <row r="390" spans="1:28" ht="14.4" x14ac:dyDescent="0.55000000000000004">
      <c r="A390" t="str">
        <f>VLOOKUP(L390,Customers!$A$2:$B$92,2,FALSE)</f>
        <v>Save-a-lot Markets</v>
      </c>
      <c r="B390" t="str">
        <f>VLOOKUP(L390,Customers!$A$2:$C$92,3,TRUE)</f>
        <v>Jose Pavarotti</v>
      </c>
      <c r="C390" t="str">
        <f t="shared" si="103"/>
        <v>Jose</v>
      </c>
      <c r="D390" s="8" t="str">
        <f t="shared" si="104"/>
        <v>Pavarotti</v>
      </c>
      <c r="E390" s="8" t="str">
        <f t="shared" si="105"/>
        <v>Pavarotti, Jose</v>
      </c>
      <c r="F390" s="8" t="str">
        <f t="shared" si="106"/>
        <v>Pavarotti, Jose</v>
      </c>
      <c r="G390" s="8" t="str">
        <f t="shared" si="107"/>
        <v>not an outlier</v>
      </c>
      <c r="H390" s="8" t="str">
        <f t="shared" si="108"/>
        <v>Not</v>
      </c>
      <c r="I390" s="8" t="str">
        <f t="shared" si="118"/>
        <v>no</v>
      </c>
      <c r="J390" s="10" t="str">
        <f t="shared" si="109"/>
        <v>no</v>
      </c>
      <c r="K390" s="10" t="str">
        <f t="shared" si="110"/>
        <v>no</v>
      </c>
      <c r="L390" t="s">
        <v>529</v>
      </c>
      <c r="M390">
        <v>10393</v>
      </c>
      <c r="N390">
        <v>31</v>
      </c>
      <c r="O390" t="s">
        <v>695</v>
      </c>
      <c r="P390" t="str">
        <f t="shared" si="111"/>
        <v>SAVEA_10393_Gorgonzola Telino</v>
      </c>
      <c r="Q390" t="str">
        <f t="shared" si="112"/>
        <v>10393</v>
      </c>
      <c r="R390" t="str">
        <f t="shared" si="113"/>
        <v>10393</v>
      </c>
      <c r="S390" t="str">
        <f t="shared" si="114"/>
        <v>Gorgonzola Telino</v>
      </c>
      <c r="T390">
        <v>10</v>
      </c>
      <c r="U390">
        <v>32</v>
      </c>
      <c r="V390">
        <v>0</v>
      </c>
      <c r="W390">
        <f t="shared" si="115"/>
        <v>320</v>
      </c>
      <c r="X390" t="str">
        <f t="shared" si="116"/>
        <v>No</v>
      </c>
      <c r="Y390" s="2">
        <v>34724</v>
      </c>
      <c r="Z390" t="str">
        <f t="shared" si="102"/>
        <v/>
      </c>
      <c r="AA390" t="str">
        <f t="shared" si="117"/>
        <v/>
      </c>
      <c r="AB390" t="str" cm="1">
        <f t="array" ref="AB390">_xlfn.IFS(Y390&lt;DATE(1996,1,1),"",Y390&lt;DATE(1996,4,1),"Q1",Y390&lt;DATE(1996,7,1),"Q2",Y390&gt;=DATE(1996,7,1),"")</f>
        <v/>
      </c>
    </row>
    <row r="391" spans="1:28" ht="14.4" x14ac:dyDescent="0.55000000000000004">
      <c r="A391" t="str">
        <f>VLOOKUP(L391,Customers!$A$2:$B$92,2,FALSE)</f>
        <v>Hungry Coyote Import Store</v>
      </c>
      <c r="B391" t="str">
        <f>VLOOKUP(L391,Customers!$A$2:$C$92,3,TRUE)</f>
        <v>Yoshi Latimer</v>
      </c>
      <c r="C391" t="str">
        <f t="shared" si="103"/>
        <v>Yoshi</v>
      </c>
      <c r="D391" s="8" t="str">
        <f t="shared" si="104"/>
        <v>Latimer</v>
      </c>
      <c r="E391" s="8" t="str">
        <f t="shared" si="105"/>
        <v>Latimer, Yoshi</v>
      </c>
      <c r="F391" s="8" t="str">
        <f t="shared" si="106"/>
        <v>Latimer, Yoshi</v>
      </c>
      <c r="G391" s="8" t="str">
        <f t="shared" si="107"/>
        <v>not an outlier</v>
      </c>
      <c r="H391" s="8" t="str">
        <f t="shared" si="108"/>
        <v>Not</v>
      </c>
      <c r="I391" s="8" t="str">
        <f t="shared" si="118"/>
        <v>no</v>
      </c>
      <c r="J391" s="10" t="str">
        <f t="shared" si="109"/>
        <v>no</v>
      </c>
      <c r="K391" s="10" t="str">
        <f t="shared" si="110"/>
        <v>no</v>
      </c>
      <c r="L391" t="s">
        <v>281</v>
      </c>
      <c r="M391">
        <v>10394</v>
      </c>
      <c r="N391">
        <v>13</v>
      </c>
      <c r="O391" t="s">
        <v>726</v>
      </c>
      <c r="P391" t="str">
        <f t="shared" si="111"/>
        <v>HUNGC_10394_Konbu</v>
      </c>
      <c r="Q391" t="str">
        <f t="shared" si="112"/>
        <v>10394</v>
      </c>
      <c r="R391" t="str">
        <f t="shared" si="113"/>
        <v>10394</v>
      </c>
      <c r="S391" t="str">
        <f t="shared" si="114"/>
        <v>Konbu</v>
      </c>
      <c r="T391">
        <v>4.8</v>
      </c>
      <c r="U391">
        <v>10</v>
      </c>
      <c r="V391">
        <v>0</v>
      </c>
      <c r="W391">
        <f t="shared" si="115"/>
        <v>48</v>
      </c>
      <c r="X391" t="str">
        <f t="shared" si="116"/>
        <v>No</v>
      </c>
      <c r="Y391" s="2">
        <v>34724</v>
      </c>
      <c r="Z391" t="str">
        <f t="shared" si="102"/>
        <v/>
      </c>
      <c r="AA391" t="str">
        <f t="shared" si="117"/>
        <v/>
      </c>
      <c r="AB391" t="str" cm="1">
        <f t="array" ref="AB391">_xlfn.IFS(Y391&lt;DATE(1996,1,1),"",Y391&lt;DATE(1996,4,1),"Q1",Y391&lt;DATE(1996,7,1),"Q2",Y391&gt;=DATE(1996,7,1),"")</f>
        <v/>
      </c>
    </row>
    <row r="392" spans="1:28" ht="14.4" x14ac:dyDescent="0.55000000000000004">
      <c r="A392" t="str">
        <f>VLOOKUP(L392,Customers!$A$2:$B$92,2,FALSE)</f>
        <v>Hungry Coyote Import Store</v>
      </c>
      <c r="B392" t="str">
        <f>VLOOKUP(L392,Customers!$A$2:$C$92,3,TRUE)</f>
        <v>Yoshi Latimer</v>
      </c>
      <c r="C392" t="str">
        <f t="shared" si="103"/>
        <v>Yoshi</v>
      </c>
      <c r="D392" s="8" t="str">
        <f t="shared" si="104"/>
        <v>Latimer</v>
      </c>
      <c r="E392" s="8" t="str">
        <f t="shared" si="105"/>
        <v>Latimer, Yoshi</v>
      </c>
      <c r="F392" s="8" t="str">
        <f t="shared" si="106"/>
        <v>Latimer, Yoshi</v>
      </c>
      <c r="G392" s="8" t="str">
        <f t="shared" si="107"/>
        <v>not an outlier</v>
      </c>
      <c r="H392" s="8" t="str">
        <f t="shared" si="108"/>
        <v>Not</v>
      </c>
      <c r="I392" s="8" t="str">
        <f t="shared" si="118"/>
        <v>no</v>
      </c>
      <c r="J392" s="10" t="str">
        <f t="shared" si="109"/>
        <v>no</v>
      </c>
      <c r="K392" s="10" t="str">
        <f t="shared" si="110"/>
        <v>no</v>
      </c>
      <c r="L392" t="s">
        <v>281</v>
      </c>
      <c r="M392">
        <v>10394</v>
      </c>
      <c r="N392">
        <v>62</v>
      </c>
      <c r="O392" t="s">
        <v>712</v>
      </c>
      <c r="P392" t="str">
        <f t="shared" si="111"/>
        <v>HUNGC_10394_Tarte au sucre</v>
      </c>
      <c r="Q392" t="str">
        <f t="shared" si="112"/>
        <v>10394</v>
      </c>
      <c r="R392" t="str">
        <f t="shared" si="113"/>
        <v>10394</v>
      </c>
      <c r="S392" t="str">
        <f t="shared" si="114"/>
        <v>Tarte au sucre</v>
      </c>
      <c r="T392">
        <v>39.4</v>
      </c>
      <c r="U392">
        <v>10</v>
      </c>
      <c r="V392">
        <v>0</v>
      </c>
      <c r="W392">
        <f t="shared" si="115"/>
        <v>394</v>
      </c>
      <c r="X392" t="str">
        <f t="shared" si="116"/>
        <v>No</v>
      </c>
      <c r="Y392" s="2">
        <v>34724</v>
      </c>
      <c r="Z392" t="str">
        <f t="shared" si="102"/>
        <v/>
      </c>
      <c r="AA392" t="str">
        <f t="shared" si="117"/>
        <v/>
      </c>
      <c r="AB392" t="str" cm="1">
        <f t="array" ref="AB392">_xlfn.IFS(Y392&lt;DATE(1996,1,1),"",Y392&lt;DATE(1996,4,1),"Q1",Y392&lt;DATE(1996,7,1),"Q2",Y392&gt;=DATE(1996,7,1),"")</f>
        <v/>
      </c>
    </row>
    <row r="393" spans="1:28" ht="14.4" x14ac:dyDescent="0.55000000000000004">
      <c r="A393" t="str">
        <f>VLOOKUP(L393,Customers!$A$2:$B$92,2,FALSE)</f>
        <v>HILARIÓN-Abastos</v>
      </c>
      <c r="B393" t="str">
        <f>VLOOKUP(L393,Customers!$A$2:$C$92,3,TRUE)</f>
        <v>Carlos Hernández</v>
      </c>
      <c r="C393" t="str">
        <f t="shared" si="103"/>
        <v>Carlos</v>
      </c>
      <c r="D393" s="8" t="str">
        <f t="shared" si="104"/>
        <v>Hernández</v>
      </c>
      <c r="E393" s="8" t="str">
        <f t="shared" si="105"/>
        <v>Hernández, Carlos</v>
      </c>
      <c r="F393" s="8" t="str">
        <f t="shared" si="106"/>
        <v>Hernández, Carlos</v>
      </c>
      <c r="G393" s="8" t="str">
        <f t="shared" si="107"/>
        <v>not an outlier</v>
      </c>
      <c r="H393" s="8" t="str">
        <f t="shared" si="108"/>
        <v>Not</v>
      </c>
      <c r="I393" s="8" t="str">
        <f t="shared" si="118"/>
        <v>no</v>
      </c>
      <c r="J393" s="10" t="str">
        <f t="shared" si="109"/>
        <v>no</v>
      </c>
      <c r="K393" s="10" t="str">
        <f t="shared" si="110"/>
        <v>no</v>
      </c>
      <c r="L393" t="s">
        <v>273</v>
      </c>
      <c r="M393">
        <v>10395</v>
      </c>
      <c r="N393">
        <v>46</v>
      </c>
      <c r="O393" t="s">
        <v>737</v>
      </c>
      <c r="P393" t="str">
        <f t="shared" si="111"/>
        <v>HILAA_10395_Spegesild</v>
      </c>
      <c r="Q393" t="str">
        <f t="shared" si="112"/>
        <v>10395</v>
      </c>
      <c r="R393" t="str">
        <f t="shared" si="113"/>
        <v>10395</v>
      </c>
      <c r="S393" t="str">
        <f t="shared" si="114"/>
        <v>Spegesild</v>
      </c>
      <c r="T393">
        <v>9.6</v>
      </c>
      <c r="U393">
        <v>28</v>
      </c>
      <c r="V393">
        <v>0.1</v>
      </c>
      <c r="W393">
        <f t="shared" si="115"/>
        <v>241.92000000000002</v>
      </c>
      <c r="X393" t="str">
        <f t="shared" si="116"/>
        <v>No</v>
      </c>
      <c r="Y393" s="2">
        <v>34725</v>
      </c>
      <c r="Z393" t="str">
        <f t="shared" si="102"/>
        <v/>
      </c>
      <c r="AA393" t="str">
        <f t="shared" si="117"/>
        <v/>
      </c>
      <c r="AB393" t="str" cm="1">
        <f t="array" ref="AB393">_xlfn.IFS(Y393&lt;DATE(1996,1,1),"",Y393&lt;DATE(1996,4,1),"Q1",Y393&lt;DATE(1996,7,1),"Q2",Y393&gt;=DATE(1996,7,1),"")</f>
        <v/>
      </c>
    </row>
    <row r="394" spans="1:28" ht="14.4" x14ac:dyDescent="0.55000000000000004">
      <c r="A394" t="str">
        <f>VLOOKUP(L394,Customers!$A$2:$B$92,2,FALSE)</f>
        <v>HILARIÓN-Abastos</v>
      </c>
      <c r="B394" t="str">
        <f>VLOOKUP(L394,Customers!$A$2:$C$92,3,TRUE)</f>
        <v>Carlos Hernández</v>
      </c>
      <c r="C394" t="str">
        <f t="shared" si="103"/>
        <v>Carlos</v>
      </c>
      <c r="D394" s="8" t="str">
        <f t="shared" si="104"/>
        <v>Hernández</v>
      </c>
      <c r="E394" s="8" t="str">
        <f t="shared" si="105"/>
        <v>Hernández, Carlos</v>
      </c>
      <c r="F394" s="8" t="str">
        <f t="shared" si="106"/>
        <v>Hernández, Carlos</v>
      </c>
      <c r="G394" s="8" t="str">
        <f t="shared" si="107"/>
        <v>not an outlier</v>
      </c>
      <c r="H394" s="8" t="str">
        <f t="shared" si="108"/>
        <v>Not</v>
      </c>
      <c r="I394" s="8" t="str">
        <f t="shared" si="118"/>
        <v>no</v>
      </c>
      <c r="J394" s="10" t="str">
        <f t="shared" si="109"/>
        <v>no</v>
      </c>
      <c r="K394" s="10" t="str">
        <f t="shared" si="110"/>
        <v>no</v>
      </c>
      <c r="L394" t="s">
        <v>273</v>
      </c>
      <c r="M394">
        <v>10395</v>
      </c>
      <c r="N394">
        <v>53</v>
      </c>
      <c r="O394" t="s">
        <v>705</v>
      </c>
      <c r="P394" t="str">
        <f t="shared" si="111"/>
        <v>HILAA_10395_Perth Pasties</v>
      </c>
      <c r="Q394" t="str">
        <f t="shared" si="112"/>
        <v>10395</v>
      </c>
      <c r="R394" t="str">
        <f t="shared" si="113"/>
        <v>10395</v>
      </c>
      <c r="S394" t="str">
        <f t="shared" si="114"/>
        <v>Perth Pasties</v>
      </c>
      <c r="T394">
        <v>26.2</v>
      </c>
      <c r="U394">
        <v>70</v>
      </c>
      <c r="V394">
        <v>0.1</v>
      </c>
      <c r="W394">
        <f t="shared" si="115"/>
        <v>1650.6000000000001</v>
      </c>
      <c r="X394" t="str">
        <f t="shared" si="116"/>
        <v>No</v>
      </c>
      <c r="Y394" s="2">
        <v>34725</v>
      </c>
      <c r="Z394" t="str">
        <f t="shared" si="102"/>
        <v/>
      </c>
      <c r="AA394" t="str">
        <f t="shared" si="117"/>
        <v/>
      </c>
      <c r="AB394" t="str" cm="1">
        <f t="array" ref="AB394">_xlfn.IFS(Y394&lt;DATE(1996,1,1),"",Y394&lt;DATE(1996,4,1),"Q1",Y394&lt;DATE(1996,7,1),"Q2",Y394&gt;=DATE(1996,7,1),"")</f>
        <v/>
      </c>
    </row>
    <row r="395" spans="1:28" ht="14.4" x14ac:dyDescent="0.55000000000000004">
      <c r="A395" t="str">
        <f>VLOOKUP(L395,Customers!$A$2:$B$92,2,FALSE)</f>
        <v>HILARIÓN-Abastos</v>
      </c>
      <c r="B395" t="str">
        <f>VLOOKUP(L395,Customers!$A$2:$C$92,3,TRUE)</f>
        <v>Carlos Hernández</v>
      </c>
      <c r="C395" t="str">
        <f t="shared" si="103"/>
        <v>Carlos</v>
      </c>
      <c r="D395" s="8" t="str">
        <f t="shared" si="104"/>
        <v>Hernández</v>
      </c>
      <c r="E395" s="8" t="str">
        <f t="shared" si="105"/>
        <v>Hernández, Carlos</v>
      </c>
      <c r="F395" s="8" t="str">
        <f t="shared" si="106"/>
        <v>Hernández, Carlos</v>
      </c>
      <c r="G395" s="8" t="str">
        <f t="shared" si="107"/>
        <v>not an outlier</v>
      </c>
      <c r="H395" s="8" t="str">
        <f t="shared" si="108"/>
        <v>Not</v>
      </c>
      <c r="I395" s="8" t="str">
        <f t="shared" si="118"/>
        <v>no</v>
      </c>
      <c r="J395" s="10" t="str">
        <f t="shared" si="109"/>
        <v>no</v>
      </c>
      <c r="K395" s="10" t="str">
        <f t="shared" si="110"/>
        <v>no</v>
      </c>
      <c r="L395" t="s">
        <v>273</v>
      </c>
      <c r="M395">
        <v>10395</v>
      </c>
      <c r="N395">
        <v>69</v>
      </c>
      <c r="O395" t="s">
        <v>743</v>
      </c>
      <c r="P395" t="str">
        <f t="shared" si="111"/>
        <v>HILAA_10395_Gudbrandsdalsost</v>
      </c>
      <c r="Q395" t="str">
        <f t="shared" si="112"/>
        <v>10395</v>
      </c>
      <c r="R395" t="str">
        <f t="shared" si="113"/>
        <v>10395</v>
      </c>
      <c r="S395" t="str">
        <f t="shared" si="114"/>
        <v>Gudbrandsdalsost</v>
      </c>
      <c r="T395">
        <v>28.8</v>
      </c>
      <c r="U395">
        <v>8</v>
      </c>
      <c r="V395">
        <v>0</v>
      </c>
      <c r="W395">
        <f t="shared" si="115"/>
        <v>230.4</v>
      </c>
      <c r="X395" t="str">
        <f t="shared" si="116"/>
        <v>No</v>
      </c>
      <c r="Y395" s="2">
        <v>34725</v>
      </c>
      <c r="Z395" t="str">
        <f t="shared" si="102"/>
        <v/>
      </c>
      <c r="AA395" t="str">
        <f t="shared" si="117"/>
        <v/>
      </c>
      <c r="AB395" t="str" cm="1">
        <f t="array" ref="AB395">_xlfn.IFS(Y395&lt;DATE(1996,1,1),"",Y395&lt;DATE(1996,4,1),"Q1",Y395&lt;DATE(1996,7,1),"Q2",Y395&gt;=DATE(1996,7,1),"")</f>
        <v/>
      </c>
    </row>
    <row r="396" spans="1:28" ht="14.4" x14ac:dyDescent="0.55000000000000004">
      <c r="A396" t="str">
        <f>VLOOKUP(L396,Customers!$A$2:$B$92,2,FALSE)</f>
        <v>Frankenversand</v>
      </c>
      <c r="B396" t="str">
        <f>VLOOKUP(L396,Customers!$A$2:$C$92,3,TRUE)</f>
        <v>Peter Franken</v>
      </c>
      <c r="C396" t="str">
        <f t="shared" si="103"/>
        <v>Peter</v>
      </c>
      <c r="D396" s="8" t="str">
        <f t="shared" si="104"/>
        <v>Franken</v>
      </c>
      <c r="E396" s="8" t="str">
        <f t="shared" si="105"/>
        <v>Franken, Peter</v>
      </c>
      <c r="F396" s="8" t="str">
        <f t="shared" si="106"/>
        <v>Franken, Peter</v>
      </c>
      <c r="G396" s="8" t="str">
        <f t="shared" si="107"/>
        <v>not an outlier</v>
      </c>
      <c r="H396" s="8" t="str">
        <f t="shared" si="108"/>
        <v>Not</v>
      </c>
      <c r="I396" s="8" t="str">
        <f t="shared" si="118"/>
        <v>no</v>
      </c>
      <c r="J396" s="10" t="str">
        <f t="shared" si="109"/>
        <v>no</v>
      </c>
      <c r="K396" s="10" t="str">
        <f t="shared" si="110"/>
        <v>no</v>
      </c>
      <c r="L396" t="s">
        <v>198</v>
      </c>
      <c r="M396">
        <v>10396</v>
      </c>
      <c r="N396">
        <v>23</v>
      </c>
      <c r="O396" t="s">
        <v>753</v>
      </c>
      <c r="P396" t="str">
        <f t="shared" si="111"/>
        <v>FRANK_10396_Tunnbröd</v>
      </c>
      <c r="Q396" t="str">
        <f t="shared" si="112"/>
        <v>10396</v>
      </c>
      <c r="R396" t="str">
        <f t="shared" si="113"/>
        <v>10396</v>
      </c>
      <c r="S396" t="str">
        <f t="shared" si="114"/>
        <v>Tunnbröd</v>
      </c>
      <c r="T396">
        <v>7.2</v>
      </c>
      <c r="U396">
        <v>40</v>
      </c>
      <c r="V396">
        <v>0</v>
      </c>
      <c r="W396">
        <f t="shared" si="115"/>
        <v>288</v>
      </c>
      <c r="X396" t="str">
        <f t="shared" si="116"/>
        <v>No</v>
      </c>
      <c r="Y396" s="2">
        <v>34726</v>
      </c>
      <c r="Z396" t="str">
        <f t="shared" si="102"/>
        <v/>
      </c>
      <c r="AA396" t="str">
        <f t="shared" si="117"/>
        <v/>
      </c>
      <c r="AB396" t="str" cm="1">
        <f t="array" ref="AB396">_xlfn.IFS(Y396&lt;DATE(1996,1,1),"",Y396&lt;DATE(1996,4,1),"Q1",Y396&lt;DATE(1996,7,1),"Q2",Y396&gt;=DATE(1996,7,1),"")</f>
        <v/>
      </c>
    </row>
    <row r="397" spans="1:28" ht="14.4" x14ac:dyDescent="0.55000000000000004">
      <c r="A397" t="str">
        <f>VLOOKUP(L397,Customers!$A$2:$B$92,2,FALSE)</f>
        <v>Frankenversand</v>
      </c>
      <c r="B397" t="str">
        <f>VLOOKUP(L397,Customers!$A$2:$C$92,3,TRUE)</f>
        <v>Peter Franken</v>
      </c>
      <c r="C397" t="str">
        <f t="shared" si="103"/>
        <v>Peter</v>
      </c>
      <c r="D397" s="8" t="str">
        <f t="shared" si="104"/>
        <v>Franken</v>
      </c>
      <c r="E397" s="8" t="str">
        <f t="shared" si="105"/>
        <v>Franken, Peter</v>
      </c>
      <c r="F397" s="8" t="str">
        <f t="shared" si="106"/>
        <v>Franken, Peter</v>
      </c>
      <c r="G397" s="8" t="str">
        <f t="shared" si="107"/>
        <v>not an outlier</v>
      </c>
      <c r="H397" s="8" t="str">
        <f t="shared" si="108"/>
        <v>Not</v>
      </c>
      <c r="I397" s="8" t="str">
        <f t="shared" si="118"/>
        <v>no</v>
      </c>
      <c r="J397" s="10" t="str">
        <f t="shared" si="109"/>
        <v>no</v>
      </c>
      <c r="K397" s="10" t="str">
        <f t="shared" si="110"/>
        <v>no</v>
      </c>
      <c r="L397" t="s">
        <v>198</v>
      </c>
      <c r="M397">
        <v>10396</v>
      </c>
      <c r="N397">
        <v>71</v>
      </c>
      <c r="O397" t="s">
        <v>725</v>
      </c>
      <c r="P397" t="str">
        <f t="shared" si="111"/>
        <v>FRANK_10396_Fløtemysost</v>
      </c>
      <c r="Q397" t="str">
        <f t="shared" si="112"/>
        <v>10396</v>
      </c>
      <c r="R397" t="str">
        <f t="shared" si="113"/>
        <v>10396</v>
      </c>
      <c r="S397" t="str">
        <f t="shared" si="114"/>
        <v>Fløtemysost</v>
      </c>
      <c r="T397">
        <v>17.2</v>
      </c>
      <c r="U397">
        <v>60</v>
      </c>
      <c r="V397">
        <v>0</v>
      </c>
      <c r="W397">
        <f t="shared" si="115"/>
        <v>1032</v>
      </c>
      <c r="X397" t="str">
        <f t="shared" si="116"/>
        <v>No</v>
      </c>
      <c r="Y397" s="2">
        <v>34726</v>
      </c>
      <c r="Z397" t="str">
        <f t="shared" si="102"/>
        <v/>
      </c>
      <c r="AA397" t="str">
        <f t="shared" si="117"/>
        <v/>
      </c>
      <c r="AB397" t="str" cm="1">
        <f t="array" ref="AB397">_xlfn.IFS(Y397&lt;DATE(1996,1,1),"",Y397&lt;DATE(1996,4,1),"Q1",Y397&lt;DATE(1996,7,1),"Q2",Y397&gt;=DATE(1996,7,1),"")</f>
        <v/>
      </c>
    </row>
    <row r="398" spans="1:28" ht="14.4" x14ac:dyDescent="0.55000000000000004">
      <c r="A398" t="str">
        <f>VLOOKUP(L398,Customers!$A$2:$B$92,2,FALSE)</f>
        <v>Frankenversand</v>
      </c>
      <c r="B398" t="str">
        <f>VLOOKUP(L398,Customers!$A$2:$C$92,3,TRUE)</f>
        <v>Peter Franken</v>
      </c>
      <c r="C398" t="str">
        <f t="shared" si="103"/>
        <v>Peter</v>
      </c>
      <c r="D398" s="8" t="str">
        <f t="shared" si="104"/>
        <v>Franken</v>
      </c>
      <c r="E398" s="8" t="str">
        <f t="shared" si="105"/>
        <v>Franken, Peter</v>
      </c>
      <c r="F398" s="8" t="str">
        <f t="shared" si="106"/>
        <v>Franken, Peter</v>
      </c>
      <c r="G398" s="8" t="str">
        <f t="shared" si="107"/>
        <v>not an outlier</v>
      </c>
      <c r="H398" s="8" t="str">
        <f t="shared" si="108"/>
        <v>Not</v>
      </c>
      <c r="I398" s="8" t="str">
        <f t="shared" si="118"/>
        <v>no</v>
      </c>
      <c r="J398" s="10" t="str">
        <f t="shared" si="109"/>
        <v>no</v>
      </c>
      <c r="K398" s="10" t="str">
        <f t="shared" si="110"/>
        <v>no</v>
      </c>
      <c r="L398" t="s">
        <v>198</v>
      </c>
      <c r="M398">
        <v>10396</v>
      </c>
      <c r="N398">
        <v>72</v>
      </c>
      <c r="O398" t="s">
        <v>685</v>
      </c>
      <c r="P398" t="str">
        <f t="shared" si="111"/>
        <v>FRANK_10396_Mozzarella di Giovanni</v>
      </c>
      <c r="Q398" t="str">
        <f t="shared" si="112"/>
        <v>10396</v>
      </c>
      <c r="R398" t="str">
        <f t="shared" si="113"/>
        <v>10396</v>
      </c>
      <c r="S398" t="str">
        <f t="shared" si="114"/>
        <v>Mozzarella di Giovanni</v>
      </c>
      <c r="T398">
        <v>27.8</v>
      </c>
      <c r="U398">
        <v>21</v>
      </c>
      <c r="V398">
        <v>0</v>
      </c>
      <c r="W398">
        <f t="shared" si="115"/>
        <v>583.80000000000007</v>
      </c>
      <c r="X398" t="str">
        <f t="shared" si="116"/>
        <v>No</v>
      </c>
      <c r="Y398" s="2">
        <v>34726</v>
      </c>
      <c r="Z398" t="str">
        <f t="shared" si="102"/>
        <v/>
      </c>
      <c r="AA398" t="str">
        <f t="shared" si="117"/>
        <v/>
      </c>
      <c r="AB398" t="str" cm="1">
        <f t="array" ref="AB398">_xlfn.IFS(Y398&lt;DATE(1996,1,1),"",Y398&lt;DATE(1996,4,1),"Q1",Y398&lt;DATE(1996,7,1),"Q2",Y398&gt;=DATE(1996,7,1),"")</f>
        <v/>
      </c>
    </row>
    <row r="399" spans="1:28" ht="14.4" x14ac:dyDescent="0.55000000000000004">
      <c r="A399" t="str">
        <f>VLOOKUP(L399,Customers!$A$2:$B$92,2,FALSE)</f>
        <v>Princesa Isabel Vinhos</v>
      </c>
      <c r="B399" t="str">
        <f>VLOOKUP(L399,Customers!$A$2:$C$92,3,TRUE)</f>
        <v>Isabel de Castro</v>
      </c>
      <c r="C399" t="str">
        <f t="shared" si="103"/>
        <v>Isabel</v>
      </c>
      <c r="D399" s="8" t="str">
        <f t="shared" si="104"/>
        <v>de Castro</v>
      </c>
      <c r="E399" s="8" t="str">
        <f t="shared" si="105"/>
        <v>de Castro, Isabel</v>
      </c>
      <c r="F399" s="8" t="str">
        <f t="shared" si="106"/>
        <v>de Castro, Isabel</v>
      </c>
      <c r="G399" s="8" t="str">
        <f t="shared" si="107"/>
        <v>not an outlier</v>
      </c>
      <c r="H399" s="8" t="str">
        <f t="shared" si="108"/>
        <v>Not</v>
      </c>
      <c r="I399" s="8" t="str">
        <f t="shared" si="118"/>
        <v>no</v>
      </c>
      <c r="J399" s="10" t="str">
        <f t="shared" si="109"/>
        <v>no</v>
      </c>
      <c r="K399" s="10" t="str">
        <f t="shared" si="110"/>
        <v>no</v>
      </c>
      <c r="L399" t="s">
        <v>457</v>
      </c>
      <c r="M399">
        <v>10397</v>
      </c>
      <c r="N399">
        <v>21</v>
      </c>
      <c r="O399" t="s">
        <v>710</v>
      </c>
      <c r="P399" t="str">
        <f t="shared" si="111"/>
        <v>PRINI_10397_Sir Rodney's Scones</v>
      </c>
      <c r="Q399" t="str">
        <f t="shared" si="112"/>
        <v>10397</v>
      </c>
      <c r="R399" t="str">
        <f t="shared" si="113"/>
        <v>10397</v>
      </c>
      <c r="S399" t="str">
        <f t="shared" si="114"/>
        <v>Sir Rodney's Scones</v>
      </c>
      <c r="T399">
        <v>8</v>
      </c>
      <c r="U399">
        <v>10</v>
      </c>
      <c r="V399">
        <v>0.15</v>
      </c>
      <c r="W399">
        <f t="shared" si="115"/>
        <v>68</v>
      </c>
      <c r="X399" t="str">
        <f t="shared" si="116"/>
        <v>No</v>
      </c>
      <c r="Y399" s="2">
        <v>34726</v>
      </c>
      <c r="Z399" t="str">
        <f t="shared" si="102"/>
        <v/>
      </c>
      <c r="AA399" t="str">
        <f t="shared" si="117"/>
        <v/>
      </c>
      <c r="AB399" t="str" cm="1">
        <f t="array" ref="AB399">_xlfn.IFS(Y399&lt;DATE(1996,1,1),"",Y399&lt;DATE(1996,4,1),"Q1",Y399&lt;DATE(1996,7,1),"Q2",Y399&gt;=DATE(1996,7,1),"")</f>
        <v/>
      </c>
    </row>
    <row r="400" spans="1:28" ht="14.4" x14ac:dyDescent="0.55000000000000004">
      <c r="A400" t="str">
        <f>VLOOKUP(L400,Customers!$A$2:$B$92,2,FALSE)</f>
        <v>Princesa Isabel Vinhos</v>
      </c>
      <c r="B400" t="str">
        <f>VLOOKUP(L400,Customers!$A$2:$C$92,3,TRUE)</f>
        <v>Isabel de Castro</v>
      </c>
      <c r="C400" t="str">
        <f t="shared" si="103"/>
        <v>Isabel</v>
      </c>
      <c r="D400" s="8" t="str">
        <f t="shared" si="104"/>
        <v>de Castro</v>
      </c>
      <c r="E400" s="8" t="str">
        <f t="shared" si="105"/>
        <v>de Castro, Isabel</v>
      </c>
      <c r="F400" s="8" t="str">
        <f t="shared" si="106"/>
        <v>de Castro, Isabel</v>
      </c>
      <c r="G400" s="8" t="str">
        <f t="shared" si="107"/>
        <v>not an outlier</v>
      </c>
      <c r="H400" s="8" t="str">
        <f t="shared" si="108"/>
        <v>Not</v>
      </c>
      <c r="I400" s="8" t="str">
        <f t="shared" si="118"/>
        <v>no</v>
      </c>
      <c r="J400" s="10" t="str">
        <f t="shared" si="109"/>
        <v>no</v>
      </c>
      <c r="K400" s="10" t="str">
        <f t="shared" si="110"/>
        <v>no</v>
      </c>
      <c r="L400" t="s">
        <v>457</v>
      </c>
      <c r="M400">
        <v>10397</v>
      </c>
      <c r="N400">
        <v>51</v>
      </c>
      <c r="O400" t="s">
        <v>687</v>
      </c>
      <c r="P400" t="str">
        <f t="shared" si="111"/>
        <v>PRINI_10397_Manjimup Dried Apples</v>
      </c>
      <c r="Q400" t="str">
        <f t="shared" si="112"/>
        <v>10397</v>
      </c>
      <c r="R400" t="str">
        <f t="shared" si="113"/>
        <v>10397</v>
      </c>
      <c r="S400" t="str">
        <f t="shared" si="114"/>
        <v>Manjimup Dried Apples</v>
      </c>
      <c r="T400">
        <v>42.4</v>
      </c>
      <c r="U400">
        <v>18</v>
      </c>
      <c r="V400">
        <v>0.15</v>
      </c>
      <c r="W400">
        <f t="shared" si="115"/>
        <v>648.71999999999991</v>
      </c>
      <c r="X400" t="str">
        <f t="shared" si="116"/>
        <v>No</v>
      </c>
      <c r="Y400" s="2">
        <v>34726</v>
      </c>
      <c r="Z400" t="str">
        <f t="shared" si="102"/>
        <v/>
      </c>
      <c r="AA400" t="str">
        <f t="shared" si="117"/>
        <v/>
      </c>
      <c r="AB400" t="str" cm="1">
        <f t="array" ref="AB400">_xlfn.IFS(Y400&lt;DATE(1996,1,1),"",Y400&lt;DATE(1996,4,1),"Q1",Y400&lt;DATE(1996,7,1),"Q2",Y400&gt;=DATE(1996,7,1),"")</f>
        <v/>
      </c>
    </row>
    <row r="401" spans="1:28" ht="14.4" x14ac:dyDescent="0.55000000000000004">
      <c r="A401" t="str">
        <f>VLOOKUP(L401,Customers!$A$2:$B$92,2,FALSE)</f>
        <v>Save-a-lot Markets</v>
      </c>
      <c r="B401" t="str">
        <f>VLOOKUP(L401,Customers!$A$2:$C$92,3,TRUE)</f>
        <v>Jose Pavarotti</v>
      </c>
      <c r="C401" t="str">
        <f t="shared" si="103"/>
        <v>Jose</v>
      </c>
      <c r="D401" s="8" t="str">
        <f t="shared" si="104"/>
        <v>Pavarotti</v>
      </c>
      <c r="E401" s="8" t="str">
        <f t="shared" si="105"/>
        <v>Pavarotti, Jose</v>
      </c>
      <c r="F401" s="8" t="str">
        <f t="shared" si="106"/>
        <v>Pavarotti, Jose</v>
      </c>
      <c r="G401" s="8" t="str">
        <f t="shared" si="107"/>
        <v>not an outlier</v>
      </c>
      <c r="H401" s="8" t="str">
        <f t="shared" si="108"/>
        <v>Not</v>
      </c>
      <c r="I401" s="8" t="str">
        <f t="shared" si="118"/>
        <v>no</v>
      </c>
      <c r="J401" s="10" t="str">
        <f t="shared" si="109"/>
        <v>no</v>
      </c>
      <c r="K401" s="10" t="str">
        <f t="shared" si="110"/>
        <v>no</v>
      </c>
      <c r="L401" t="s">
        <v>529</v>
      </c>
      <c r="M401">
        <v>10398</v>
      </c>
      <c r="N401">
        <v>35</v>
      </c>
      <c r="O401" t="s">
        <v>714</v>
      </c>
      <c r="P401" t="str">
        <f t="shared" si="111"/>
        <v>SAVEA_10398_Steeleye Stout</v>
      </c>
      <c r="Q401" t="str">
        <f t="shared" si="112"/>
        <v>10398</v>
      </c>
      <c r="R401" t="str">
        <f t="shared" si="113"/>
        <v>10398</v>
      </c>
      <c r="S401" t="str">
        <f t="shared" si="114"/>
        <v>Steeleye Stout</v>
      </c>
      <c r="T401">
        <v>14.4</v>
      </c>
      <c r="U401">
        <v>30</v>
      </c>
      <c r="V401">
        <v>0</v>
      </c>
      <c r="W401">
        <f t="shared" si="115"/>
        <v>432</v>
      </c>
      <c r="X401" t="str">
        <f t="shared" si="116"/>
        <v>No</v>
      </c>
      <c r="Y401" s="2">
        <v>34729</v>
      </c>
      <c r="Z401" t="str">
        <f t="shared" si="102"/>
        <v/>
      </c>
      <c r="AA401" t="str">
        <f t="shared" si="117"/>
        <v/>
      </c>
      <c r="AB401" t="str" cm="1">
        <f t="array" ref="AB401">_xlfn.IFS(Y401&lt;DATE(1996,1,1),"",Y401&lt;DATE(1996,4,1),"Q1",Y401&lt;DATE(1996,7,1),"Q2",Y401&gt;=DATE(1996,7,1),"")</f>
        <v/>
      </c>
    </row>
    <row r="402" spans="1:28" ht="14.4" x14ac:dyDescent="0.55000000000000004">
      <c r="A402" t="str">
        <f>VLOOKUP(L402,Customers!$A$2:$B$92,2,FALSE)</f>
        <v>Save-a-lot Markets</v>
      </c>
      <c r="B402" t="str">
        <f>VLOOKUP(L402,Customers!$A$2:$C$92,3,TRUE)</f>
        <v>Jose Pavarotti</v>
      </c>
      <c r="C402" t="str">
        <f t="shared" si="103"/>
        <v>Jose</v>
      </c>
      <c r="D402" s="8" t="str">
        <f t="shared" si="104"/>
        <v>Pavarotti</v>
      </c>
      <c r="E402" s="8" t="str">
        <f t="shared" si="105"/>
        <v>Pavarotti, Jose</v>
      </c>
      <c r="F402" s="8" t="str">
        <f t="shared" si="106"/>
        <v>Pavarotti, Jose</v>
      </c>
      <c r="G402" s="8" t="str">
        <f t="shared" si="107"/>
        <v>not an outlier</v>
      </c>
      <c r="H402" s="8" t="str">
        <f t="shared" si="108"/>
        <v>Not</v>
      </c>
      <c r="I402" s="8" t="str">
        <f t="shared" si="118"/>
        <v>no</v>
      </c>
      <c r="J402" s="10" t="str">
        <f t="shared" si="109"/>
        <v>no</v>
      </c>
      <c r="K402" s="10" t="str">
        <f t="shared" si="110"/>
        <v>no</v>
      </c>
      <c r="L402" t="s">
        <v>529</v>
      </c>
      <c r="M402">
        <v>10398</v>
      </c>
      <c r="N402">
        <v>55</v>
      </c>
      <c r="O402" t="s">
        <v>699</v>
      </c>
      <c r="P402" t="str">
        <f t="shared" si="111"/>
        <v>SAVEA_10398_Pâté chinois</v>
      </c>
      <c r="Q402" t="str">
        <f t="shared" si="112"/>
        <v>10398</v>
      </c>
      <c r="R402" t="str">
        <f t="shared" si="113"/>
        <v>10398</v>
      </c>
      <c r="S402" t="str">
        <f t="shared" si="114"/>
        <v>Pâté chinois</v>
      </c>
      <c r="T402">
        <v>19.2</v>
      </c>
      <c r="U402">
        <v>120</v>
      </c>
      <c r="V402">
        <v>0.1</v>
      </c>
      <c r="W402">
        <f t="shared" si="115"/>
        <v>2073.6</v>
      </c>
      <c r="X402" t="str">
        <f t="shared" si="116"/>
        <v>No</v>
      </c>
      <c r="Y402" s="2">
        <v>34729</v>
      </c>
      <c r="Z402" t="str">
        <f t="shared" si="102"/>
        <v/>
      </c>
      <c r="AA402" t="str">
        <f t="shared" si="117"/>
        <v/>
      </c>
      <c r="AB402" t="str" cm="1">
        <f t="array" ref="AB402">_xlfn.IFS(Y402&lt;DATE(1996,1,1),"",Y402&lt;DATE(1996,4,1),"Q1",Y402&lt;DATE(1996,7,1),"Q2",Y402&gt;=DATE(1996,7,1),"")</f>
        <v/>
      </c>
    </row>
    <row r="403" spans="1:28" ht="14.4" x14ac:dyDescent="0.55000000000000004">
      <c r="A403" t="str">
        <f>VLOOKUP(L403,Customers!$A$2:$B$92,2,FALSE)</f>
        <v>Vaffeljernet</v>
      </c>
      <c r="B403" t="str">
        <f>VLOOKUP(L403,Customers!$A$2:$C$92,3,TRUE)</f>
        <v>Palle Ibsen</v>
      </c>
      <c r="C403" t="str">
        <f t="shared" si="103"/>
        <v>Palle</v>
      </c>
      <c r="D403" s="8" t="str">
        <f t="shared" si="104"/>
        <v>Ibsen</v>
      </c>
      <c r="E403" s="8" t="str">
        <f t="shared" si="105"/>
        <v>Ibsen, Palle</v>
      </c>
      <c r="F403" s="8" t="str">
        <f t="shared" si="106"/>
        <v>Ibsen, Palle</v>
      </c>
      <c r="G403" s="8" t="str">
        <f t="shared" si="107"/>
        <v>not an outlier</v>
      </c>
      <c r="H403" s="8" t="str">
        <f t="shared" si="108"/>
        <v>Not</v>
      </c>
      <c r="I403" s="8" t="str">
        <f t="shared" si="118"/>
        <v>no</v>
      </c>
      <c r="J403" s="10" t="str">
        <f t="shared" si="109"/>
        <v>no</v>
      </c>
      <c r="K403" s="10" t="str">
        <f t="shared" si="110"/>
        <v>no</v>
      </c>
      <c r="L403" t="s">
        <v>612</v>
      </c>
      <c r="M403">
        <v>10399</v>
      </c>
      <c r="N403">
        <v>68</v>
      </c>
      <c r="O403" t="s">
        <v>739</v>
      </c>
      <c r="P403" t="str">
        <f t="shared" si="111"/>
        <v>VAFFE_10399_Scottish Longbreads</v>
      </c>
      <c r="Q403" t="str">
        <f t="shared" si="112"/>
        <v>10399</v>
      </c>
      <c r="R403" t="str">
        <f t="shared" si="113"/>
        <v>10399</v>
      </c>
      <c r="S403" t="str">
        <f t="shared" si="114"/>
        <v>Scottish Longbreads</v>
      </c>
      <c r="T403">
        <v>10</v>
      </c>
      <c r="U403">
        <v>60</v>
      </c>
      <c r="V403">
        <v>0</v>
      </c>
      <c r="W403">
        <f t="shared" si="115"/>
        <v>600</v>
      </c>
      <c r="X403" t="str">
        <f t="shared" si="116"/>
        <v>No</v>
      </c>
      <c r="Y403" s="2">
        <v>34730</v>
      </c>
      <c r="Z403" t="str">
        <f t="shared" si="102"/>
        <v/>
      </c>
      <c r="AA403" t="str">
        <f t="shared" si="117"/>
        <v/>
      </c>
      <c r="AB403" t="str" cm="1">
        <f t="array" ref="AB403">_xlfn.IFS(Y403&lt;DATE(1996,1,1),"",Y403&lt;DATE(1996,4,1),"Q1",Y403&lt;DATE(1996,7,1),"Q2",Y403&gt;=DATE(1996,7,1),"")</f>
        <v/>
      </c>
    </row>
    <row r="404" spans="1:28" ht="14.4" x14ac:dyDescent="0.55000000000000004">
      <c r="A404" t="str">
        <f>VLOOKUP(L404,Customers!$A$2:$B$92,2,FALSE)</f>
        <v>Vaffeljernet</v>
      </c>
      <c r="B404" t="str">
        <f>VLOOKUP(L404,Customers!$A$2:$C$92,3,TRUE)</f>
        <v>Palle Ibsen</v>
      </c>
      <c r="C404" t="str">
        <f t="shared" si="103"/>
        <v>Palle</v>
      </c>
      <c r="D404" s="8" t="str">
        <f t="shared" si="104"/>
        <v>Ibsen</v>
      </c>
      <c r="E404" s="8" t="str">
        <f t="shared" si="105"/>
        <v>Ibsen, Palle</v>
      </c>
      <c r="F404" s="8" t="str">
        <f t="shared" si="106"/>
        <v>Ibsen, Palle</v>
      </c>
      <c r="G404" s="8" t="str">
        <f t="shared" si="107"/>
        <v>not an outlier</v>
      </c>
      <c r="H404" s="8" t="str">
        <f t="shared" si="108"/>
        <v>Not</v>
      </c>
      <c r="I404" s="8" t="str">
        <f t="shared" si="118"/>
        <v>no</v>
      </c>
      <c r="J404" s="10" t="str">
        <f t="shared" si="109"/>
        <v>no</v>
      </c>
      <c r="K404" s="10" t="str">
        <f t="shared" si="110"/>
        <v>no</v>
      </c>
      <c r="L404" t="s">
        <v>612</v>
      </c>
      <c r="M404">
        <v>10399</v>
      </c>
      <c r="N404">
        <v>71</v>
      </c>
      <c r="O404" t="s">
        <v>725</v>
      </c>
      <c r="P404" t="str">
        <f t="shared" si="111"/>
        <v>VAFFE_10399_Fløtemysost</v>
      </c>
      <c r="Q404" t="str">
        <f t="shared" si="112"/>
        <v>10399</v>
      </c>
      <c r="R404" t="str">
        <f t="shared" si="113"/>
        <v>10399</v>
      </c>
      <c r="S404" t="str">
        <f t="shared" si="114"/>
        <v>Fløtemysost</v>
      </c>
      <c r="T404">
        <v>17.2</v>
      </c>
      <c r="U404">
        <v>30</v>
      </c>
      <c r="V404">
        <v>0</v>
      </c>
      <c r="W404">
        <f t="shared" si="115"/>
        <v>516</v>
      </c>
      <c r="X404" t="str">
        <f t="shared" si="116"/>
        <v>No</v>
      </c>
      <c r="Y404" s="2">
        <v>34730</v>
      </c>
      <c r="Z404" t="str">
        <f t="shared" si="102"/>
        <v/>
      </c>
      <c r="AA404" t="str">
        <f t="shared" si="117"/>
        <v/>
      </c>
      <c r="AB404" t="str" cm="1">
        <f t="array" ref="AB404">_xlfn.IFS(Y404&lt;DATE(1996,1,1),"",Y404&lt;DATE(1996,4,1),"Q1",Y404&lt;DATE(1996,7,1),"Q2",Y404&gt;=DATE(1996,7,1),"")</f>
        <v/>
      </c>
    </row>
    <row r="405" spans="1:28" ht="14.4" x14ac:dyDescent="0.55000000000000004">
      <c r="A405" t="str">
        <f>VLOOKUP(L405,Customers!$A$2:$B$92,2,FALSE)</f>
        <v>Vaffeljernet</v>
      </c>
      <c r="B405" t="str">
        <f>VLOOKUP(L405,Customers!$A$2:$C$92,3,TRUE)</f>
        <v>Palle Ibsen</v>
      </c>
      <c r="C405" t="str">
        <f t="shared" si="103"/>
        <v>Palle</v>
      </c>
      <c r="D405" s="8" t="str">
        <f t="shared" si="104"/>
        <v>Ibsen</v>
      </c>
      <c r="E405" s="8" t="str">
        <f t="shared" si="105"/>
        <v>Ibsen, Palle</v>
      </c>
      <c r="F405" s="8" t="str">
        <f t="shared" si="106"/>
        <v>Ibsen, Palle</v>
      </c>
      <c r="G405" s="8" t="str">
        <f t="shared" si="107"/>
        <v>not an outlier</v>
      </c>
      <c r="H405" s="8" t="str">
        <f t="shared" si="108"/>
        <v>Not</v>
      </c>
      <c r="I405" s="8" t="str">
        <f t="shared" si="118"/>
        <v>no</v>
      </c>
      <c r="J405" s="10" t="str">
        <f t="shared" si="109"/>
        <v>no</v>
      </c>
      <c r="K405" s="10" t="str">
        <f t="shared" si="110"/>
        <v>no</v>
      </c>
      <c r="L405" t="s">
        <v>612</v>
      </c>
      <c r="M405">
        <v>10399</v>
      </c>
      <c r="N405">
        <v>76</v>
      </c>
      <c r="O405" t="s">
        <v>721</v>
      </c>
      <c r="P405" t="str">
        <f t="shared" si="111"/>
        <v>VAFFE_10399_Lakkalikööri</v>
      </c>
      <c r="Q405" t="str">
        <f t="shared" si="112"/>
        <v>10399</v>
      </c>
      <c r="R405" t="str">
        <f t="shared" si="113"/>
        <v>10399</v>
      </c>
      <c r="S405" t="str">
        <f t="shared" si="114"/>
        <v>Lakkalikööri</v>
      </c>
      <c r="T405">
        <v>14.4</v>
      </c>
      <c r="U405">
        <v>35</v>
      </c>
      <c r="V405">
        <v>0</v>
      </c>
      <c r="W405">
        <f t="shared" si="115"/>
        <v>504</v>
      </c>
      <c r="X405" t="str">
        <f t="shared" si="116"/>
        <v>No</v>
      </c>
      <c r="Y405" s="2">
        <v>34730</v>
      </c>
      <c r="Z405" t="str">
        <f t="shared" si="102"/>
        <v/>
      </c>
      <c r="AA405" t="str">
        <f t="shared" si="117"/>
        <v/>
      </c>
      <c r="AB405" t="str" cm="1">
        <f t="array" ref="AB405">_xlfn.IFS(Y405&lt;DATE(1996,1,1),"",Y405&lt;DATE(1996,4,1),"Q1",Y405&lt;DATE(1996,7,1),"Q2",Y405&gt;=DATE(1996,7,1),"")</f>
        <v/>
      </c>
    </row>
    <row r="406" spans="1:28" ht="14.4" x14ac:dyDescent="0.55000000000000004">
      <c r="A406" t="str">
        <f>VLOOKUP(L406,Customers!$A$2:$B$92,2,FALSE)</f>
        <v>Vaffeljernet</v>
      </c>
      <c r="B406" t="str">
        <f>VLOOKUP(L406,Customers!$A$2:$C$92,3,TRUE)</f>
        <v>Palle Ibsen</v>
      </c>
      <c r="C406" t="str">
        <f t="shared" si="103"/>
        <v>Palle</v>
      </c>
      <c r="D406" s="8" t="str">
        <f t="shared" si="104"/>
        <v>Ibsen</v>
      </c>
      <c r="E406" s="8" t="str">
        <f t="shared" si="105"/>
        <v>Ibsen, Palle</v>
      </c>
      <c r="F406" s="8" t="str">
        <f t="shared" si="106"/>
        <v>Ibsen, Palle</v>
      </c>
      <c r="G406" s="8" t="str">
        <f t="shared" si="107"/>
        <v>not an outlier</v>
      </c>
      <c r="H406" s="8" t="str">
        <f t="shared" si="108"/>
        <v>Not</v>
      </c>
      <c r="I406" s="8" t="str">
        <f t="shared" si="118"/>
        <v>no</v>
      </c>
      <c r="J406" s="10" t="str">
        <f t="shared" si="109"/>
        <v>no</v>
      </c>
      <c r="K406" s="10" t="str">
        <f t="shared" si="110"/>
        <v>no</v>
      </c>
      <c r="L406" t="s">
        <v>612</v>
      </c>
      <c r="M406">
        <v>10399</v>
      </c>
      <c r="N406">
        <v>77</v>
      </c>
      <c r="O406" t="s">
        <v>706</v>
      </c>
      <c r="P406" t="str">
        <f t="shared" si="111"/>
        <v>VAFFE_10399_Original Frankfurter grüne Soße</v>
      </c>
      <c r="Q406" t="str">
        <f t="shared" si="112"/>
        <v>10399</v>
      </c>
      <c r="R406" t="str">
        <f t="shared" si="113"/>
        <v>10399</v>
      </c>
      <c r="S406" t="str">
        <f t="shared" si="114"/>
        <v>Original Frankfurter grüne Soße</v>
      </c>
      <c r="T406">
        <v>10.4</v>
      </c>
      <c r="U406">
        <v>14</v>
      </c>
      <c r="V406">
        <v>0</v>
      </c>
      <c r="W406">
        <f t="shared" si="115"/>
        <v>145.6</v>
      </c>
      <c r="X406" t="str">
        <f t="shared" si="116"/>
        <v>No</v>
      </c>
      <c r="Y406" s="2">
        <v>34730</v>
      </c>
      <c r="Z406" t="str">
        <f t="shared" si="102"/>
        <v/>
      </c>
      <c r="AA406" t="str">
        <f t="shared" si="117"/>
        <v/>
      </c>
      <c r="AB406" t="str" cm="1">
        <f t="array" ref="AB406">_xlfn.IFS(Y406&lt;DATE(1996,1,1),"",Y406&lt;DATE(1996,4,1),"Q1",Y406&lt;DATE(1996,7,1),"Q2",Y406&gt;=DATE(1996,7,1),"")</f>
        <v/>
      </c>
    </row>
    <row r="407" spans="1:28" ht="14.4" x14ac:dyDescent="0.55000000000000004">
      <c r="A407" t="str">
        <f>VLOOKUP(L407,Customers!$A$2:$B$92,2,FALSE)</f>
        <v>Eastern Connection</v>
      </c>
      <c r="B407" t="str">
        <f>VLOOKUP(L407,Customers!$A$2:$C$92,3,TRUE)</f>
        <v>Ann Devon</v>
      </c>
      <c r="C407" t="str">
        <f t="shared" si="103"/>
        <v>Ann</v>
      </c>
      <c r="D407" s="8" t="str">
        <f t="shared" si="104"/>
        <v>Devon</v>
      </c>
      <c r="E407" s="8" t="str">
        <f t="shared" si="105"/>
        <v>Devon, Ann</v>
      </c>
      <c r="F407" s="8" t="str">
        <f t="shared" si="106"/>
        <v>Devon, Ann</v>
      </c>
      <c r="G407" s="8" t="str">
        <f t="shared" si="107"/>
        <v>not an outlier</v>
      </c>
      <c r="H407" s="8" t="str">
        <f t="shared" si="108"/>
        <v>Not</v>
      </c>
      <c r="I407" s="8" t="str">
        <f t="shared" si="118"/>
        <v>no</v>
      </c>
      <c r="J407" s="10" t="str">
        <f t="shared" si="109"/>
        <v>no</v>
      </c>
      <c r="K407" s="10" t="str">
        <f t="shared" si="110"/>
        <v>no</v>
      </c>
      <c r="L407" t="s">
        <v>154</v>
      </c>
      <c r="M407">
        <v>10400</v>
      </c>
      <c r="N407">
        <v>29</v>
      </c>
      <c r="O407" t="s">
        <v>722</v>
      </c>
      <c r="P407" t="str">
        <f t="shared" si="111"/>
        <v>EASTC_10400_Thüringer Rostbratwurst</v>
      </c>
      <c r="Q407" t="str">
        <f t="shared" si="112"/>
        <v>10400</v>
      </c>
      <c r="R407" t="str">
        <f t="shared" si="113"/>
        <v>10400</v>
      </c>
      <c r="S407" t="str">
        <f t="shared" si="114"/>
        <v>Thüringer Rostbratwurst</v>
      </c>
      <c r="T407">
        <v>99</v>
      </c>
      <c r="U407">
        <v>21</v>
      </c>
      <c r="V407">
        <v>0</v>
      </c>
      <c r="W407">
        <f t="shared" si="115"/>
        <v>2079</v>
      </c>
      <c r="X407" t="str">
        <f t="shared" si="116"/>
        <v>No</v>
      </c>
      <c r="Y407" s="2">
        <v>34731</v>
      </c>
      <c r="Z407" t="str">
        <f t="shared" si="102"/>
        <v/>
      </c>
      <c r="AA407" t="str">
        <f t="shared" si="117"/>
        <v/>
      </c>
      <c r="AB407" t="str" cm="1">
        <f t="array" ref="AB407">_xlfn.IFS(Y407&lt;DATE(1996,1,1),"",Y407&lt;DATE(1996,4,1),"Q1",Y407&lt;DATE(1996,7,1),"Q2",Y407&gt;=DATE(1996,7,1),"")</f>
        <v/>
      </c>
    </row>
    <row r="408" spans="1:28" ht="14.4" x14ac:dyDescent="0.55000000000000004">
      <c r="A408" t="str">
        <f>VLOOKUP(L408,Customers!$A$2:$B$92,2,FALSE)</f>
        <v>Eastern Connection</v>
      </c>
      <c r="B408" t="str">
        <f>VLOOKUP(L408,Customers!$A$2:$C$92,3,TRUE)</f>
        <v>Ann Devon</v>
      </c>
      <c r="C408" t="str">
        <f t="shared" si="103"/>
        <v>Ann</v>
      </c>
      <c r="D408" s="8" t="str">
        <f t="shared" si="104"/>
        <v>Devon</v>
      </c>
      <c r="E408" s="8" t="str">
        <f t="shared" si="105"/>
        <v>Devon, Ann</v>
      </c>
      <c r="F408" s="8" t="str">
        <f t="shared" si="106"/>
        <v>Devon, Ann</v>
      </c>
      <c r="G408" s="8" t="str">
        <f t="shared" si="107"/>
        <v>not an outlier</v>
      </c>
      <c r="H408" s="8" t="str">
        <f t="shared" si="108"/>
        <v>Not</v>
      </c>
      <c r="I408" s="8" t="str">
        <f t="shared" si="118"/>
        <v>no</v>
      </c>
      <c r="J408" s="10" t="str">
        <f t="shared" si="109"/>
        <v>no</v>
      </c>
      <c r="K408" s="10" t="str">
        <f t="shared" si="110"/>
        <v>no</v>
      </c>
      <c r="L408" t="s">
        <v>154</v>
      </c>
      <c r="M408">
        <v>10400</v>
      </c>
      <c r="N408">
        <v>35</v>
      </c>
      <c r="O408" t="s">
        <v>714</v>
      </c>
      <c r="P408" t="str">
        <f t="shared" si="111"/>
        <v>EASTC_10400_Steeleye Stout</v>
      </c>
      <c r="Q408" t="str">
        <f t="shared" si="112"/>
        <v>10400</v>
      </c>
      <c r="R408" t="str">
        <f t="shared" si="113"/>
        <v>10400</v>
      </c>
      <c r="S408" t="str">
        <f t="shared" si="114"/>
        <v>Steeleye Stout</v>
      </c>
      <c r="T408">
        <v>14.4</v>
      </c>
      <c r="U408">
        <v>35</v>
      </c>
      <c r="V408">
        <v>0</v>
      </c>
      <c r="W408">
        <f t="shared" si="115"/>
        <v>504</v>
      </c>
      <c r="X408" t="str">
        <f t="shared" si="116"/>
        <v>No</v>
      </c>
      <c r="Y408" s="2">
        <v>34731</v>
      </c>
      <c r="Z408" t="str">
        <f t="shared" si="102"/>
        <v/>
      </c>
      <c r="AA408" t="str">
        <f t="shared" si="117"/>
        <v/>
      </c>
      <c r="AB408" t="str" cm="1">
        <f t="array" ref="AB408">_xlfn.IFS(Y408&lt;DATE(1996,1,1),"",Y408&lt;DATE(1996,4,1),"Q1",Y408&lt;DATE(1996,7,1),"Q2",Y408&gt;=DATE(1996,7,1),"")</f>
        <v/>
      </c>
    </row>
    <row r="409" spans="1:28" ht="14.4" x14ac:dyDescent="0.55000000000000004">
      <c r="A409" t="str">
        <f>VLOOKUP(L409,Customers!$A$2:$B$92,2,FALSE)</f>
        <v>Eastern Connection</v>
      </c>
      <c r="B409" t="str">
        <f>VLOOKUP(L409,Customers!$A$2:$C$92,3,TRUE)</f>
        <v>Ann Devon</v>
      </c>
      <c r="C409" t="str">
        <f t="shared" si="103"/>
        <v>Ann</v>
      </c>
      <c r="D409" s="8" t="str">
        <f t="shared" si="104"/>
        <v>Devon</v>
      </c>
      <c r="E409" s="8" t="str">
        <f t="shared" si="105"/>
        <v>Devon, Ann</v>
      </c>
      <c r="F409" s="8" t="str">
        <f t="shared" si="106"/>
        <v>Devon, Ann</v>
      </c>
      <c r="G409" s="8" t="str">
        <f t="shared" si="107"/>
        <v>not an outlier</v>
      </c>
      <c r="H409" s="8" t="str">
        <f t="shared" si="108"/>
        <v>Not</v>
      </c>
      <c r="I409" s="8" t="str">
        <f t="shared" si="118"/>
        <v>no</v>
      </c>
      <c r="J409" s="10" t="str">
        <f t="shared" si="109"/>
        <v>no</v>
      </c>
      <c r="K409" s="10" t="str">
        <f t="shared" si="110"/>
        <v>no</v>
      </c>
      <c r="L409" t="s">
        <v>154</v>
      </c>
      <c r="M409">
        <v>10400</v>
      </c>
      <c r="N409">
        <v>49</v>
      </c>
      <c r="O409" t="s">
        <v>697</v>
      </c>
      <c r="P409" t="str">
        <f t="shared" si="111"/>
        <v>EASTC_10400_Maxilaku</v>
      </c>
      <c r="Q409" t="str">
        <f t="shared" si="112"/>
        <v>10400</v>
      </c>
      <c r="R409" t="str">
        <f t="shared" si="113"/>
        <v>10400</v>
      </c>
      <c r="S409" t="str">
        <f t="shared" si="114"/>
        <v>Maxilaku</v>
      </c>
      <c r="T409">
        <v>16</v>
      </c>
      <c r="U409">
        <v>30</v>
      </c>
      <c r="V409">
        <v>0</v>
      </c>
      <c r="W409">
        <f t="shared" si="115"/>
        <v>480</v>
      </c>
      <c r="X409" t="str">
        <f t="shared" si="116"/>
        <v>No</v>
      </c>
      <c r="Y409" s="2">
        <v>34731</v>
      </c>
      <c r="Z409" t="str">
        <f t="shared" si="102"/>
        <v/>
      </c>
      <c r="AA409" t="str">
        <f t="shared" si="117"/>
        <v/>
      </c>
      <c r="AB409" t="str" cm="1">
        <f t="array" ref="AB409">_xlfn.IFS(Y409&lt;DATE(1996,1,1),"",Y409&lt;DATE(1996,4,1),"Q1",Y409&lt;DATE(1996,7,1),"Q2",Y409&gt;=DATE(1996,7,1),"")</f>
        <v/>
      </c>
    </row>
    <row r="410" spans="1:28" ht="14.4" x14ac:dyDescent="0.55000000000000004">
      <c r="A410" t="str">
        <f>VLOOKUP(L410,Customers!$A$2:$B$92,2,FALSE)</f>
        <v>Rattlesnake Canyon Grocery</v>
      </c>
      <c r="B410" t="str">
        <f>VLOOKUP(L410,Customers!$A$2:$C$92,3,TRUE)</f>
        <v>Paula Wilson</v>
      </c>
      <c r="C410" t="str">
        <f t="shared" si="103"/>
        <v>Paula</v>
      </c>
      <c r="D410" s="8" t="str">
        <f t="shared" si="104"/>
        <v>Wilson</v>
      </c>
      <c r="E410" s="8" t="str">
        <f t="shared" si="105"/>
        <v>Wilson, Paula</v>
      </c>
      <c r="F410" s="8" t="str">
        <f t="shared" si="106"/>
        <v>Wilson, Paula</v>
      </c>
      <c r="G410" s="8" t="str">
        <f t="shared" si="107"/>
        <v>not an outlier</v>
      </c>
      <c r="H410" s="8" t="str">
        <f t="shared" si="108"/>
        <v>Not</v>
      </c>
      <c r="I410" s="8" t="str">
        <f t="shared" si="118"/>
        <v>no</v>
      </c>
      <c r="J410" s="10" t="str">
        <f t="shared" si="109"/>
        <v>no</v>
      </c>
      <c r="K410" s="10" t="str">
        <f t="shared" si="110"/>
        <v>no</v>
      </c>
      <c r="L410" t="s">
        <v>487</v>
      </c>
      <c r="M410">
        <v>10401</v>
      </c>
      <c r="N410">
        <v>30</v>
      </c>
      <c r="O410" t="s">
        <v>717</v>
      </c>
      <c r="P410" t="str">
        <f t="shared" si="111"/>
        <v>RATTC_10401_Nord-Ost Matjeshering</v>
      </c>
      <c r="Q410" t="str">
        <f t="shared" si="112"/>
        <v>10401</v>
      </c>
      <c r="R410" t="str">
        <f t="shared" si="113"/>
        <v>10401</v>
      </c>
      <c r="S410" t="str">
        <f t="shared" si="114"/>
        <v>Nord-Ost Matjeshering</v>
      </c>
      <c r="T410">
        <v>20.7</v>
      </c>
      <c r="U410">
        <v>18</v>
      </c>
      <c r="V410">
        <v>0</v>
      </c>
      <c r="W410">
        <f t="shared" si="115"/>
        <v>372.59999999999997</v>
      </c>
      <c r="X410" t="str">
        <f t="shared" si="116"/>
        <v>No</v>
      </c>
      <c r="Y410" s="2">
        <v>34731</v>
      </c>
      <c r="Z410" t="str">
        <f t="shared" si="102"/>
        <v/>
      </c>
      <c r="AA410" t="str">
        <f t="shared" si="117"/>
        <v/>
      </c>
      <c r="AB410" t="str" cm="1">
        <f t="array" ref="AB410">_xlfn.IFS(Y410&lt;DATE(1996,1,1),"",Y410&lt;DATE(1996,4,1),"Q1",Y410&lt;DATE(1996,7,1),"Q2",Y410&gt;=DATE(1996,7,1),"")</f>
        <v/>
      </c>
    </row>
    <row r="411" spans="1:28" ht="14.4" x14ac:dyDescent="0.55000000000000004">
      <c r="A411" t="str">
        <f>VLOOKUP(L411,Customers!$A$2:$B$92,2,FALSE)</f>
        <v>Rattlesnake Canyon Grocery</v>
      </c>
      <c r="B411" t="str">
        <f>VLOOKUP(L411,Customers!$A$2:$C$92,3,TRUE)</f>
        <v>Paula Wilson</v>
      </c>
      <c r="C411" t="str">
        <f t="shared" si="103"/>
        <v>Paula</v>
      </c>
      <c r="D411" s="8" t="str">
        <f t="shared" si="104"/>
        <v>Wilson</v>
      </c>
      <c r="E411" s="8" t="str">
        <f t="shared" si="105"/>
        <v>Wilson, Paula</v>
      </c>
      <c r="F411" s="8" t="str">
        <f t="shared" si="106"/>
        <v>Wilson, Paula</v>
      </c>
      <c r="G411" s="8" t="str">
        <f t="shared" si="107"/>
        <v>not an outlier</v>
      </c>
      <c r="H411" s="8" t="str">
        <f t="shared" si="108"/>
        <v>Not</v>
      </c>
      <c r="I411" s="8" t="str">
        <f t="shared" si="118"/>
        <v>no</v>
      </c>
      <c r="J411" s="10" t="str">
        <f t="shared" si="109"/>
        <v>no</v>
      </c>
      <c r="K411" s="10" t="str">
        <f t="shared" si="110"/>
        <v>no</v>
      </c>
      <c r="L411" t="s">
        <v>487</v>
      </c>
      <c r="M411">
        <v>10401</v>
      </c>
      <c r="N411">
        <v>56</v>
      </c>
      <c r="O411" t="s">
        <v>716</v>
      </c>
      <c r="P411" t="str">
        <f t="shared" si="111"/>
        <v>RATTC_10401_Gnocchi di nonna Alice</v>
      </c>
      <c r="Q411" t="str">
        <f t="shared" si="112"/>
        <v>10401</v>
      </c>
      <c r="R411" t="str">
        <f t="shared" si="113"/>
        <v>10401</v>
      </c>
      <c r="S411" t="str">
        <f t="shared" si="114"/>
        <v>Gnocchi di nonna Alice</v>
      </c>
      <c r="T411">
        <v>30.4</v>
      </c>
      <c r="U411">
        <v>70</v>
      </c>
      <c r="V411">
        <v>0</v>
      </c>
      <c r="W411">
        <f t="shared" si="115"/>
        <v>2128</v>
      </c>
      <c r="X411" t="str">
        <f t="shared" si="116"/>
        <v>No</v>
      </c>
      <c r="Y411" s="2">
        <v>34731</v>
      </c>
      <c r="Z411" t="str">
        <f t="shared" si="102"/>
        <v/>
      </c>
      <c r="AA411" t="str">
        <f t="shared" si="117"/>
        <v/>
      </c>
      <c r="AB411" t="str" cm="1">
        <f t="array" ref="AB411">_xlfn.IFS(Y411&lt;DATE(1996,1,1),"",Y411&lt;DATE(1996,4,1),"Q1",Y411&lt;DATE(1996,7,1),"Q2",Y411&gt;=DATE(1996,7,1),"")</f>
        <v/>
      </c>
    </row>
    <row r="412" spans="1:28" ht="14.4" x14ac:dyDescent="0.55000000000000004">
      <c r="A412" t="str">
        <f>VLOOKUP(L412,Customers!$A$2:$B$92,2,FALSE)</f>
        <v>Rattlesnake Canyon Grocery</v>
      </c>
      <c r="B412" t="str">
        <f>VLOOKUP(L412,Customers!$A$2:$C$92,3,TRUE)</f>
        <v>Paula Wilson</v>
      </c>
      <c r="C412" t="str">
        <f t="shared" si="103"/>
        <v>Paula</v>
      </c>
      <c r="D412" s="8" t="str">
        <f t="shared" si="104"/>
        <v>Wilson</v>
      </c>
      <c r="E412" s="8" t="str">
        <f t="shared" si="105"/>
        <v>Wilson, Paula</v>
      </c>
      <c r="F412" s="8" t="str">
        <f t="shared" si="106"/>
        <v>Wilson, Paula</v>
      </c>
      <c r="G412" s="8" t="str">
        <f t="shared" si="107"/>
        <v>not an outlier</v>
      </c>
      <c r="H412" s="8" t="str">
        <f t="shared" si="108"/>
        <v>Not</v>
      </c>
      <c r="I412" s="8" t="str">
        <f t="shared" si="118"/>
        <v>no</v>
      </c>
      <c r="J412" s="10" t="str">
        <f t="shared" si="109"/>
        <v>no</v>
      </c>
      <c r="K412" s="10" t="str">
        <f t="shared" si="110"/>
        <v>no</v>
      </c>
      <c r="L412" t="s">
        <v>487</v>
      </c>
      <c r="M412">
        <v>10401</v>
      </c>
      <c r="N412">
        <v>65</v>
      </c>
      <c r="O412" t="s">
        <v>689</v>
      </c>
      <c r="P412" t="str">
        <f t="shared" si="111"/>
        <v>RATTC_10401_Louisiana Fiery Hot Pepper Sauce</v>
      </c>
      <c r="Q412" t="str">
        <f t="shared" si="112"/>
        <v>10401</v>
      </c>
      <c r="R412" t="str">
        <f t="shared" si="113"/>
        <v>10401</v>
      </c>
      <c r="S412" t="str">
        <f t="shared" si="114"/>
        <v>Louisiana Fiery Hot Pepper Sauce</v>
      </c>
      <c r="T412">
        <v>16.8</v>
      </c>
      <c r="U412">
        <v>20</v>
      </c>
      <c r="V412">
        <v>0</v>
      </c>
      <c r="W412">
        <f t="shared" si="115"/>
        <v>336</v>
      </c>
      <c r="X412" t="str">
        <f t="shared" si="116"/>
        <v>No</v>
      </c>
      <c r="Y412" s="2">
        <v>34731</v>
      </c>
      <c r="Z412" t="str">
        <f t="shared" si="102"/>
        <v/>
      </c>
      <c r="AA412" t="str">
        <f t="shared" si="117"/>
        <v/>
      </c>
      <c r="AB412" t="str" cm="1">
        <f t="array" ref="AB412">_xlfn.IFS(Y412&lt;DATE(1996,1,1),"",Y412&lt;DATE(1996,4,1),"Q1",Y412&lt;DATE(1996,7,1),"Q2",Y412&gt;=DATE(1996,7,1),"")</f>
        <v/>
      </c>
    </row>
    <row r="413" spans="1:28" ht="14.4" x14ac:dyDescent="0.55000000000000004">
      <c r="A413" t="str">
        <f>VLOOKUP(L413,Customers!$A$2:$B$92,2,FALSE)</f>
        <v>Rattlesnake Canyon Grocery</v>
      </c>
      <c r="B413" t="str">
        <f>VLOOKUP(L413,Customers!$A$2:$C$92,3,TRUE)</f>
        <v>Paula Wilson</v>
      </c>
      <c r="C413" t="str">
        <f t="shared" si="103"/>
        <v>Paula</v>
      </c>
      <c r="D413" s="8" t="str">
        <f t="shared" si="104"/>
        <v>Wilson</v>
      </c>
      <c r="E413" s="8" t="str">
        <f t="shared" si="105"/>
        <v>Wilson, Paula</v>
      </c>
      <c r="F413" s="8" t="str">
        <f t="shared" si="106"/>
        <v>Wilson, Paula</v>
      </c>
      <c r="G413" s="8" t="str">
        <f t="shared" si="107"/>
        <v>not an outlier</v>
      </c>
      <c r="H413" s="8" t="str">
        <f t="shared" si="108"/>
        <v>Not</v>
      </c>
      <c r="I413" s="8" t="str">
        <f t="shared" si="118"/>
        <v>no</v>
      </c>
      <c r="J413" s="10" t="str">
        <f t="shared" si="109"/>
        <v>no</v>
      </c>
      <c r="K413" s="10" t="str">
        <f t="shared" si="110"/>
        <v>no</v>
      </c>
      <c r="L413" t="s">
        <v>487</v>
      </c>
      <c r="M413">
        <v>10401</v>
      </c>
      <c r="N413">
        <v>71</v>
      </c>
      <c r="O413" t="s">
        <v>725</v>
      </c>
      <c r="P413" t="str">
        <f t="shared" si="111"/>
        <v>RATTC_10401_Fløtemysost</v>
      </c>
      <c r="Q413" t="str">
        <f t="shared" si="112"/>
        <v>10401</v>
      </c>
      <c r="R413" t="str">
        <f t="shared" si="113"/>
        <v>10401</v>
      </c>
      <c r="S413" t="str">
        <f t="shared" si="114"/>
        <v>Fløtemysost</v>
      </c>
      <c r="T413">
        <v>17.2</v>
      </c>
      <c r="U413">
        <v>60</v>
      </c>
      <c r="V413">
        <v>0</v>
      </c>
      <c r="W413">
        <f t="shared" si="115"/>
        <v>1032</v>
      </c>
      <c r="X413" t="str">
        <f t="shared" si="116"/>
        <v>No</v>
      </c>
      <c r="Y413" s="2">
        <v>34731</v>
      </c>
      <c r="Z413" t="str">
        <f t="shared" si="102"/>
        <v/>
      </c>
      <c r="AA413" t="str">
        <f t="shared" si="117"/>
        <v/>
      </c>
      <c r="AB413" t="str" cm="1">
        <f t="array" ref="AB413">_xlfn.IFS(Y413&lt;DATE(1996,1,1),"",Y413&lt;DATE(1996,4,1),"Q1",Y413&lt;DATE(1996,7,1),"Q2",Y413&gt;=DATE(1996,7,1),"")</f>
        <v/>
      </c>
    </row>
    <row r="414" spans="1:28" ht="14.4" x14ac:dyDescent="0.55000000000000004">
      <c r="A414" t="str">
        <f>VLOOKUP(L414,Customers!$A$2:$B$92,2,FALSE)</f>
        <v>Ernst Handel</v>
      </c>
      <c r="B414" t="str">
        <f>VLOOKUP(L414,Customers!$A$2:$C$92,3,TRUE)</f>
        <v>Roland Mendel</v>
      </c>
      <c r="C414" t="str">
        <f t="shared" si="103"/>
        <v>Roland</v>
      </c>
      <c r="D414" s="8" t="str">
        <f t="shared" si="104"/>
        <v>Mendel</v>
      </c>
      <c r="E414" s="8" t="str">
        <f t="shared" si="105"/>
        <v>Mendel, Roland</v>
      </c>
      <c r="F414" s="8" t="str">
        <f t="shared" si="106"/>
        <v>Mendel, Roland</v>
      </c>
      <c r="G414" s="8" t="str">
        <f t="shared" si="107"/>
        <v>not an outlier</v>
      </c>
      <c r="H414" s="8" t="str">
        <f t="shared" si="108"/>
        <v>Not</v>
      </c>
      <c r="I414" s="8" t="str">
        <f t="shared" si="118"/>
        <v>no</v>
      </c>
      <c r="J414" s="10" t="str">
        <f t="shared" si="109"/>
        <v>no</v>
      </c>
      <c r="K414" s="10" t="str">
        <f t="shared" si="110"/>
        <v>no</v>
      </c>
      <c r="L414" t="s">
        <v>161</v>
      </c>
      <c r="M414">
        <v>10402</v>
      </c>
      <c r="N414">
        <v>23</v>
      </c>
      <c r="O414" t="s">
        <v>753</v>
      </c>
      <c r="P414" t="str">
        <f t="shared" si="111"/>
        <v>ERNSH_10402_Tunnbröd</v>
      </c>
      <c r="Q414" t="str">
        <f t="shared" si="112"/>
        <v>10402</v>
      </c>
      <c r="R414" t="str">
        <f t="shared" si="113"/>
        <v>10402</v>
      </c>
      <c r="S414" t="str">
        <f t="shared" si="114"/>
        <v>Tunnbröd</v>
      </c>
      <c r="T414">
        <v>7.2</v>
      </c>
      <c r="U414">
        <v>60</v>
      </c>
      <c r="V414">
        <v>0</v>
      </c>
      <c r="W414">
        <f t="shared" si="115"/>
        <v>432</v>
      </c>
      <c r="X414" t="str">
        <f t="shared" si="116"/>
        <v>No</v>
      </c>
      <c r="Y414" s="2">
        <v>34732</v>
      </c>
      <c r="Z414" t="str">
        <f t="shared" si="102"/>
        <v/>
      </c>
      <c r="AA414" t="str">
        <f t="shared" si="117"/>
        <v/>
      </c>
      <c r="AB414" t="str" cm="1">
        <f t="array" ref="AB414">_xlfn.IFS(Y414&lt;DATE(1996,1,1),"",Y414&lt;DATE(1996,4,1),"Q1",Y414&lt;DATE(1996,7,1),"Q2",Y414&gt;=DATE(1996,7,1),"")</f>
        <v/>
      </c>
    </row>
    <row r="415" spans="1:28" ht="14.4" x14ac:dyDescent="0.55000000000000004">
      <c r="A415" t="str">
        <f>VLOOKUP(L415,Customers!$A$2:$B$92,2,FALSE)</f>
        <v>Ernst Handel</v>
      </c>
      <c r="B415" t="str">
        <f>VLOOKUP(L415,Customers!$A$2:$C$92,3,TRUE)</f>
        <v>Roland Mendel</v>
      </c>
      <c r="C415" t="str">
        <f t="shared" si="103"/>
        <v>Roland</v>
      </c>
      <c r="D415" s="8" t="str">
        <f t="shared" si="104"/>
        <v>Mendel</v>
      </c>
      <c r="E415" s="8" t="str">
        <f t="shared" si="105"/>
        <v>Mendel, Roland</v>
      </c>
      <c r="F415" s="8" t="str">
        <f t="shared" si="106"/>
        <v>Mendel, Roland</v>
      </c>
      <c r="G415" s="8" t="str">
        <f t="shared" si="107"/>
        <v>not an outlier</v>
      </c>
      <c r="H415" s="8" t="str">
        <f t="shared" si="108"/>
        <v>Not</v>
      </c>
      <c r="I415" s="8" t="str">
        <f t="shared" si="118"/>
        <v>no</v>
      </c>
      <c r="J415" s="10" t="str">
        <f t="shared" si="109"/>
        <v>no</v>
      </c>
      <c r="K415" s="10" t="str">
        <f t="shared" si="110"/>
        <v>no</v>
      </c>
      <c r="L415" t="s">
        <v>161</v>
      </c>
      <c r="M415">
        <v>10402</v>
      </c>
      <c r="N415">
        <v>63</v>
      </c>
      <c r="O415" t="s">
        <v>729</v>
      </c>
      <c r="P415" t="str">
        <f t="shared" si="111"/>
        <v>ERNSH_10402_Vegie-spread</v>
      </c>
      <c r="Q415" t="str">
        <f t="shared" si="112"/>
        <v>10402</v>
      </c>
      <c r="R415" t="str">
        <f t="shared" si="113"/>
        <v>10402</v>
      </c>
      <c r="S415" t="str">
        <f t="shared" si="114"/>
        <v>Vegie-spread</v>
      </c>
      <c r="T415">
        <v>35.1</v>
      </c>
      <c r="U415">
        <v>65</v>
      </c>
      <c r="V415">
        <v>0</v>
      </c>
      <c r="W415">
        <f t="shared" si="115"/>
        <v>2281.5</v>
      </c>
      <c r="X415" t="str">
        <f t="shared" si="116"/>
        <v>No</v>
      </c>
      <c r="Y415" s="2">
        <v>34732</v>
      </c>
      <c r="Z415" t="str">
        <f t="shared" si="102"/>
        <v/>
      </c>
      <c r="AA415" t="str">
        <f t="shared" si="117"/>
        <v/>
      </c>
      <c r="AB415" t="str" cm="1">
        <f t="array" ref="AB415">_xlfn.IFS(Y415&lt;DATE(1996,1,1),"",Y415&lt;DATE(1996,4,1),"Q1",Y415&lt;DATE(1996,7,1),"Q2",Y415&gt;=DATE(1996,7,1),"")</f>
        <v/>
      </c>
    </row>
    <row r="416" spans="1:28" ht="14.4" x14ac:dyDescent="0.55000000000000004">
      <c r="A416" t="str">
        <f>VLOOKUP(L416,Customers!$A$2:$B$92,2,FALSE)</f>
        <v>Ernst Handel</v>
      </c>
      <c r="B416" t="str">
        <f>VLOOKUP(L416,Customers!$A$2:$C$92,3,TRUE)</f>
        <v>Roland Mendel</v>
      </c>
      <c r="C416" t="str">
        <f t="shared" si="103"/>
        <v>Roland</v>
      </c>
      <c r="D416" s="8" t="str">
        <f t="shared" si="104"/>
        <v>Mendel</v>
      </c>
      <c r="E416" s="8" t="str">
        <f t="shared" si="105"/>
        <v>Mendel, Roland</v>
      </c>
      <c r="F416" s="8" t="str">
        <f t="shared" si="106"/>
        <v>Mendel, Roland</v>
      </c>
      <c r="G416" s="8" t="str">
        <f t="shared" si="107"/>
        <v>not an outlier</v>
      </c>
      <c r="H416" s="8" t="str">
        <f t="shared" si="108"/>
        <v>Not</v>
      </c>
      <c r="I416" s="8" t="str">
        <f t="shared" si="118"/>
        <v>no</v>
      </c>
      <c r="J416" s="10" t="str">
        <f t="shared" si="109"/>
        <v>no</v>
      </c>
      <c r="K416" s="10" t="str">
        <f t="shared" si="110"/>
        <v>no</v>
      </c>
      <c r="L416" t="s">
        <v>161</v>
      </c>
      <c r="M416">
        <v>10403</v>
      </c>
      <c r="N416">
        <v>16</v>
      </c>
      <c r="O416" t="s">
        <v>702</v>
      </c>
      <c r="P416" t="str">
        <f t="shared" si="111"/>
        <v>ERNSH_10403_Pavlova</v>
      </c>
      <c r="Q416" t="str">
        <f t="shared" si="112"/>
        <v>10403</v>
      </c>
      <c r="R416" t="str">
        <f t="shared" si="113"/>
        <v>10403</v>
      </c>
      <c r="S416" t="str">
        <f t="shared" si="114"/>
        <v>Pavlova</v>
      </c>
      <c r="T416">
        <v>13.9</v>
      </c>
      <c r="U416">
        <v>21</v>
      </c>
      <c r="V416">
        <v>0.15</v>
      </c>
      <c r="W416">
        <f t="shared" si="115"/>
        <v>248.11500000000001</v>
      </c>
      <c r="X416" t="str">
        <f t="shared" si="116"/>
        <v>No</v>
      </c>
      <c r="Y416" s="2">
        <v>34733</v>
      </c>
      <c r="Z416" t="str">
        <f t="shared" si="102"/>
        <v/>
      </c>
      <c r="AA416" t="str">
        <f t="shared" si="117"/>
        <v/>
      </c>
      <c r="AB416" t="str" cm="1">
        <f t="array" ref="AB416">_xlfn.IFS(Y416&lt;DATE(1996,1,1),"",Y416&lt;DATE(1996,4,1),"Q1",Y416&lt;DATE(1996,7,1),"Q2",Y416&gt;=DATE(1996,7,1),"")</f>
        <v/>
      </c>
    </row>
    <row r="417" spans="1:28" ht="14.4" x14ac:dyDescent="0.55000000000000004">
      <c r="A417" t="str">
        <f>VLOOKUP(L417,Customers!$A$2:$B$92,2,FALSE)</f>
        <v>Ernst Handel</v>
      </c>
      <c r="B417" t="str">
        <f>VLOOKUP(L417,Customers!$A$2:$C$92,3,TRUE)</f>
        <v>Roland Mendel</v>
      </c>
      <c r="C417" t="str">
        <f t="shared" si="103"/>
        <v>Roland</v>
      </c>
      <c r="D417" s="8" t="str">
        <f t="shared" si="104"/>
        <v>Mendel</v>
      </c>
      <c r="E417" s="8" t="str">
        <f t="shared" si="105"/>
        <v>Mendel, Roland</v>
      </c>
      <c r="F417" s="8" t="str">
        <f t="shared" si="106"/>
        <v>Mendel, Roland</v>
      </c>
      <c r="G417" s="8" t="str">
        <f t="shared" si="107"/>
        <v>not an outlier</v>
      </c>
      <c r="H417" s="8" t="str">
        <f t="shared" si="108"/>
        <v>Not</v>
      </c>
      <c r="I417" s="8" t="str">
        <f t="shared" si="118"/>
        <v>no</v>
      </c>
      <c r="J417" s="10" t="str">
        <f t="shared" si="109"/>
        <v>no</v>
      </c>
      <c r="K417" s="10" t="str">
        <f t="shared" si="110"/>
        <v>no</v>
      </c>
      <c r="L417" t="s">
        <v>161</v>
      </c>
      <c r="M417">
        <v>10403</v>
      </c>
      <c r="N417">
        <v>48</v>
      </c>
      <c r="O417" t="s">
        <v>757</v>
      </c>
      <c r="P417" t="str">
        <f t="shared" si="111"/>
        <v>ERNSH_10403_Chocolade</v>
      </c>
      <c r="Q417" t="str">
        <f t="shared" si="112"/>
        <v>10403</v>
      </c>
      <c r="R417" t="str">
        <f t="shared" si="113"/>
        <v>10403</v>
      </c>
      <c r="S417" t="str">
        <f t="shared" si="114"/>
        <v>Chocolade</v>
      </c>
      <c r="T417">
        <v>10.199999999999999</v>
      </c>
      <c r="U417">
        <v>70</v>
      </c>
      <c r="V417">
        <v>0.15</v>
      </c>
      <c r="W417">
        <f t="shared" si="115"/>
        <v>606.9</v>
      </c>
      <c r="X417" t="str">
        <f t="shared" si="116"/>
        <v>No</v>
      </c>
      <c r="Y417" s="2">
        <v>34733</v>
      </c>
      <c r="Z417" t="str">
        <f t="shared" si="102"/>
        <v/>
      </c>
      <c r="AA417" t="str">
        <f t="shared" si="117"/>
        <v/>
      </c>
      <c r="AB417" t="str" cm="1">
        <f t="array" ref="AB417">_xlfn.IFS(Y417&lt;DATE(1996,1,1),"",Y417&lt;DATE(1996,4,1),"Q1",Y417&lt;DATE(1996,7,1),"Q2",Y417&gt;=DATE(1996,7,1),"")</f>
        <v/>
      </c>
    </row>
    <row r="418" spans="1:28" ht="14.4" x14ac:dyDescent="0.55000000000000004">
      <c r="A418" t="str">
        <f>VLOOKUP(L418,Customers!$A$2:$B$92,2,FALSE)</f>
        <v>Magazzini Alimentari Riuniti</v>
      </c>
      <c r="B418" t="str">
        <f>VLOOKUP(L418,Customers!$A$2:$C$92,3,TRUE)</f>
        <v>Giovanni Rovelli</v>
      </c>
      <c r="C418" t="str">
        <f t="shared" si="103"/>
        <v>Giovanni</v>
      </c>
      <c r="D418" s="8" t="str">
        <f t="shared" si="104"/>
        <v>Rovelli</v>
      </c>
      <c r="E418" s="8" t="str">
        <f t="shared" si="105"/>
        <v>Rovelli, Giovanni</v>
      </c>
      <c r="F418" s="8" t="str">
        <f t="shared" si="106"/>
        <v>Rovelli, Giovanni</v>
      </c>
      <c r="G418" s="8" t="str">
        <f t="shared" si="107"/>
        <v>not an outlier</v>
      </c>
      <c r="H418" s="8" t="str">
        <f t="shared" si="108"/>
        <v>Not</v>
      </c>
      <c r="I418" s="8" t="str">
        <f t="shared" si="118"/>
        <v>no</v>
      </c>
      <c r="J418" s="10" t="str">
        <f t="shared" si="109"/>
        <v>no</v>
      </c>
      <c r="K418" s="10" t="str">
        <f t="shared" si="110"/>
        <v>no</v>
      </c>
      <c r="L418" t="s">
        <v>378</v>
      </c>
      <c r="M418">
        <v>10404</v>
      </c>
      <c r="N418">
        <v>26</v>
      </c>
      <c r="O418" t="s">
        <v>751</v>
      </c>
      <c r="P418" t="str">
        <f t="shared" si="111"/>
        <v>MAGAA_10404_Gumbär Gummibärchen</v>
      </c>
      <c r="Q418" t="str">
        <f t="shared" si="112"/>
        <v>10404</v>
      </c>
      <c r="R418" t="str">
        <f t="shared" si="113"/>
        <v>10404</v>
      </c>
      <c r="S418" t="str">
        <f t="shared" si="114"/>
        <v>Gumbär Gummibärchen</v>
      </c>
      <c r="T418">
        <v>24.9</v>
      </c>
      <c r="U418">
        <v>30</v>
      </c>
      <c r="V418">
        <v>0.05</v>
      </c>
      <c r="W418">
        <f t="shared" si="115"/>
        <v>709.65</v>
      </c>
      <c r="X418" t="str">
        <f t="shared" si="116"/>
        <v>No</v>
      </c>
      <c r="Y418" s="2">
        <v>34733</v>
      </c>
      <c r="Z418" t="str">
        <f t="shared" si="102"/>
        <v/>
      </c>
      <c r="AA418" t="str">
        <f t="shared" si="117"/>
        <v/>
      </c>
      <c r="AB418" t="str" cm="1">
        <f t="array" ref="AB418">_xlfn.IFS(Y418&lt;DATE(1996,1,1),"",Y418&lt;DATE(1996,4,1),"Q1",Y418&lt;DATE(1996,7,1),"Q2",Y418&gt;=DATE(1996,7,1),"")</f>
        <v/>
      </c>
    </row>
    <row r="419" spans="1:28" ht="14.4" x14ac:dyDescent="0.55000000000000004">
      <c r="A419" t="str">
        <f>VLOOKUP(L419,Customers!$A$2:$B$92,2,FALSE)</f>
        <v>Magazzini Alimentari Riuniti</v>
      </c>
      <c r="B419" t="str">
        <f>VLOOKUP(L419,Customers!$A$2:$C$92,3,TRUE)</f>
        <v>Giovanni Rovelli</v>
      </c>
      <c r="C419" t="str">
        <f t="shared" si="103"/>
        <v>Giovanni</v>
      </c>
      <c r="D419" s="8" t="str">
        <f t="shared" si="104"/>
        <v>Rovelli</v>
      </c>
      <c r="E419" s="8" t="str">
        <f t="shared" si="105"/>
        <v>Rovelli, Giovanni</v>
      </c>
      <c r="F419" s="8" t="str">
        <f t="shared" si="106"/>
        <v>Rovelli, Giovanni</v>
      </c>
      <c r="G419" s="8" t="str">
        <f t="shared" si="107"/>
        <v>not an outlier</v>
      </c>
      <c r="H419" s="8" t="str">
        <f t="shared" si="108"/>
        <v>Not</v>
      </c>
      <c r="I419" s="8" t="str">
        <f t="shared" si="118"/>
        <v>no</v>
      </c>
      <c r="J419" s="10" t="str">
        <f t="shared" si="109"/>
        <v>no</v>
      </c>
      <c r="K419" s="10" t="str">
        <f t="shared" si="110"/>
        <v>no</v>
      </c>
      <c r="L419" t="s">
        <v>378</v>
      </c>
      <c r="M419">
        <v>10404</v>
      </c>
      <c r="N419">
        <v>42</v>
      </c>
      <c r="O419" t="s">
        <v>684</v>
      </c>
      <c r="P419" t="str">
        <f t="shared" si="111"/>
        <v>MAGAA_10404_Singaporean Hokkien Fried Mee</v>
      </c>
      <c r="Q419" t="str">
        <f t="shared" si="112"/>
        <v>10404</v>
      </c>
      <c r="R419" t="str">
        <f t="shared" si="113"/>
        <v>10404</v>
      </c>
      <c r="S419" t="str">
        <f t="shared" si="114"/>
        <v>Singaporean Hokkien Fried Mee</v>
      </c>
      <c r="T419">
        <v>11.2</v>
      </c>
      <c r="U419">
        <v>40</v>
      </c>
      <c r="V419">
        <v>0.05</v>
      </c>
      <c r="W419">
        <f t="shared" si="115"/>
        <v>425.59999999999997</v>
      </c>
      <c r="X419" t="str">
        <f t="shared" si="116"/>
        <v>No</v>
      </c>
      <c r="Y419" s="2">
        <v>34733</v>
      </c>
      <c r="Z419" t="str">
        <f t="shared" si="102"/>
        <v/>
      </c>
      <c r="AA419" t="str">
        <f t="shared" si="117"/>
        <v/>
      </c>
      <c r="AB419" t="str" cm="1">
        <f t="array" ref="AB419">_xlfn.IFS(Y419&lt;DATE(1996,1,1),"",Y419&lt;DATE(1996,4,1),"Q1",Y419&lt;DATE(1996,7,1),"Q2",Y419&gt;=DATE(1996,7,1),"")</f>
        <v/>
      </c>
    </row>
    <row r="420" spans="1:28" ht="14.4" x14ac:dyDescent="0.55000000000000004">
      <c r="A420" t="str">
        <f>VLOOKUP(L420,Customers!$A$2:$B$92,2,FALSE)</f>
        <v>Magazzini Alimentari Riuniti</v>
      </c>
      <c r="B420" t="str">
        <f>VLOOKUP(L420,Customers!$A$2:$C$92,3,TRUE)</f>
        <v>Giovanni Rovelli</v>
      </c>
      <c r="C420" t="str">
        <f t="shared" si="103"/>
        <v>Giovanni</v>
      </c>
      <c r="D420" s="8" t="str">
        <f t="shared" si="104"/>
        <v>Rovelli</v>
      </c>
      <c r="E420" s="8" t="str">
        <f t="shared" si="105"/>
        <v>Rovelli, Giovanni</v>
      </c>
      <c r="F420" s="8" t="str">
        <f t="shared" si="106"/>
        <v>Rovelli, Giovanni</v>
      </c>
      <c r="G420" s="8" t="str">
        <f t="shared" si="107"/>
        <v>not an outlier</v>
      </c>
      <c r="H420" s="8" t="str">
        <f t="shared" si="108"/>
        <v>Not</v>
      </c>
      <c r="I420" s="8" t="str">
        <f t="shared" si="118"/>
        <v>no</v>
      </c>
      <c r="J420" s="10" t="str">
        <f t="shared" si="109"/>
        <v>no</v>
      </c>
      <c r="K420" s="10" t="str">
        <f t="shared" si="110"/>
        <v>no</v>
      </c>
      <c r="L420" t="s">
        <v>378</v>
      </c>
      <c r="M420">
        <v>10404</v>
      </c>
      <c r="N420">
        <v>49</v>
      </c>
      <c r="O420" t="s">
        <v>697</v>
      </c>
      <c r="P420" t="str">
        <f t="shared" si="111"/>
        <v>MAGAA_10404_Maxilaku</v>
      </c>
      <c r="Q420" t="str">
        <f t="shared" si="112"/>
        <v>10404</v>
      </c>
      <c r="R420" t="str">
        <f t="shared" si="113"/>
        <v>10404</v>
      </c>
      <c r="S420" t="str">
        <f t="shared" si="114"/>
        <v>Maxilaku</v>
      </c>
      <c r="T420">
        <v>16</v>
      </c>
      <c r="U420">
        <v>30</v>
      </c>
      <c r="V420">
        <v>0.05</v>
      </c>
      <c r="W420">
        <f t="shared" si="115"/>
        <v>456</v>
      </c>
      <c r="X420" t="str">
        <f t="shared" si="116"/>
        <v>No</v>
      </c>
      <c r="Y420" s="2">
        <v>34733</v>
      </c>
      <c r="Z420" t="str">
        <f t="shared" si="102"/>
        <v/>
      </c>
      <c r="AA420" t="str">
        <f t="shared" si="117"/>
        <v/>
      </c>
      <c r="AB420" t="str" cm="1">
        <f t="array" ref="AB420">_xlfn.IFS(Y420&lt;DATE(1996,1,1),"",Y420&lt;DATE(1996,4,1),"Q1",Y420&lt;DATE(1996,7,1),"Q2",Y420&gt;=DATE(1996,7,1),"")</f>
        <v/>
      </c>
    </row>
    <row r="421" spans="1:28" ht="14.4" x14ac:dyDescent="0.55000000000000004">
      <c r="A421" t="str">
        <f>VLOOKUP(L421,Customers!$A$2:$B$92,2,FALSE)</f>
        <v>LINO-Delicateses</v>
      </c>
      <c r="B421" t="str">
        <f>VLOOKUP(L421,Customers!$A$2:$C$92,3,TRUE)</f>
        <v>Felipe Izquierdo</v>
      </c>
      <c r="C421" t="str">
        <f t="shared" si="103"/>
        <v>Felipe</v>
      </c>
      <c r="D421" s="8" t="str">
        <f t="shared" si="104"/>
        <v>Izquierdo</v>
      </c>
      <c r="E421" s="8" t="str">
        <f t="shared" si="105"/>
        <v>Izquierdo, Felipe</v>
      </c>
      <c r="F421" s="8" t="str">
        <f t="shared" si="106"/>
        <v>Izquierdo, Felipe</v>
      </c>
      <c r="G421" s="8" t="str">
        <f t="shared" si="107"/>
        <v>not an outlier</v>
      </c>
      <c r="H421" s="8" t="str">
        <f t="shared" si="108"/>
        <v>Not</v>
      </c>
      <c r="I421" s="8" t="str">
        <f t="shared" si="118"/>
        <v>no</v>
      </c>
      <c r="J421" s="10" t="str">
        <f t="shared" si="109"/>
        <v>no</v>
      </c>
      <c r="K421" s="10" t="str">
        <f t="shared" si="110"/>
        <v>no</v>
      </c>
      <c r="L421" t="s">
        <v>363</v>
      </c>
      <c r="M421">
        <v>10405</v>
      </c>
      <c r="N421">
        <v>3</v>
      </c>
      <c r="O421" t="s">
        <v>740</v>
      </c>
      <c r="P421" t="str">
        <f t="shared" si="111"/>
        <v>LINOD_10405_Aniseed Syrup</v>
      </c>
      <c r="Q421" t="str">
        <f t="shared" si="112"/>
        <v>10405</v>
      </c>
      <c r="R421" t="str">
        <f t="shared" si="113"/>
        <v>10405</v>
      </c>
      <c r="S421" t="str">
        <f t="shared" si="114"/>
        <v>Aniseed Syrup</v>
      </c>
      <c r="T421">
        <v>8</v>
      </c>
      <c r="U421">
        <v>50</v>
      </c>
      <c r="V421">
        <v>0</v>
      </c>
      <c r="W421">
        <f t="shared" si="115"/>
        <v>400</v>
      </c>
      <c r="X421" t="str">
        <f t="shared" si="116"/>
        <v>No</v>
      </c>
      <c r="Y421" s="2">
        <v>34736</v>
      </c>
      <c r="Z421" t="str">
        <f t="shared" si="102"/>
        <v/>
      </c>
      <c r="AA421" t="str">
        <f t="shared" si="117"/>
        <v/>
      </c>
      <c r="AB421" t="str" cm="1">
        <f t="array" ref="AB421">_xlfn.IFS(Y421&lt;DATE(1996,1,1),"",Y421&lt;DATE(1996,4,1),"Q1",Y421&lt;DATE(1996,7,1),"Q2",Y421&gt;=DATE(1996,7,1),"")</f>
        <v/>
      </c>
    </row>
    <row r="422" spans="1:28" ht="14.4" x14ac:dyDescent="0.55000000000000004">
      <c r="A422" t="str">
        <f>VLOOKUP(L422,Customers!$A$2:$B$92,2,FALSE)</f>
        <v>Queen Cozinha</v>
      </c>
      <c r="B422" t="str">
        <f>VLOOKUP(L422,Customers!$A$2:$C$92,3,TRUE)</f>
        <v>Lúcia Carvalho</v>
      </c>
      <c r="C422" t="str">
        <f t="shared" si="103"/>
        <v>Lúcia</v>
      </c>
      <c r="D422" s="8" t="str">
        <f t="shared" si="104"/>
        <v>Carvalho</v>
      </c>
      <c r="E422" s="8" t="str">
        <f t="shared" si="105"/>
        <v>Carvalho, Lúcia</v>
      </c>
      <c r="F422" s="8" t="str">
        <f t="shared" si="106"/>
        <v>Carvalho, Lúcia</v>
      </c>
      <c r="G422" s="8" t="str">
        <f t="shared" si="107"/>
        <v>not an outlier</v>
      </c>
      <c r="H422" s="8" t="str">
        <f t="shared" si="108"/>
        <v>Not</v>
      </c>
      <c r="I422" s="8" t="str">
        <f t="shared" si="118"/>
        <v>no</v>
      </c>
      <c r="J422" s="10" t="str">
        <f t="shared" si="109"/>
        <v>no</v>
      </c>
      <c r="K422" s="10" t="str">
        <f t="shared" si="110"/>
        <v>no</v>
      </c>
      <c r="L422" t="s">
        <v>469</v>
      </c>
      <c r="M422">
        <v>10406</v>
      </c>
      <c r="N422">
        <v>1</v>
      </c>
      <c r="O422" t="s">
        <v>735</v>
      </c>
      <c r="P422" t="str">
        <f t="shared" si="111"/>
        <v>QUEEN_10406_Chai</v>
      </c>
      <c r="Q422" t="str">
        <f t="shared" si="112"/>
        <v>10406</v>
      </c>
      <c r="R422" t="str">
        <f t="shared" si="113"/>
        <v>10406</v>
      </c>
      <c r="S422" t="str">
        <f t="shared" si="114"/>
        <v>Chai</v>
      </c>
      <c r="T422">
        <v>14.4</v>
      </c>
      <c r="U422">
        <v>10</v>
      </c>
      <c r="V422">
        <v>0</v>
      </c>
      <c r="W422">
        <f t="shared" si="115"/>
        <v>144</v>
      </c>
      <c r="X422" t="str">
        <f t="shared" si="116"/>
        <v>No</v>
      </c>
      <c r="Y422" s="2">
        <v>34737</v>
      </c>
      <c r="Z422" t="str">
        <f t="shared" si="102"/>
        <v/>
      </c>
      <c r="AA422" t="str">
        <f t="shared" si="117"/>
        <v/>
      </c>
      <c r="AB422" t="str" cm="1">
        <f t="array" ref="AB422">_xlfn.IFS(Y422&lt;DATE(1996,1,1),"",Y422&lt;DATE(1996,4,1),"Q1",Y422&lt;DATE(1996,7,1),"Q2",Y422&gt;=DATE(1996,7,1),"")</f>
        <v/>
      </c>
    </row>
    <row r="423" spans="1:28" ht="14.4" x14ac:dyDescent="0.55000000000000004">
      <c r="A423" t="str">
        <f>VLOOKUP(L423,Customers!$A$2:$B$92,2,FALSE)</f>
        <v>Queen Cozinha</v>
      </c>
      <c r="B423" t="str">
        <f>VLOOKUP(L423,Customers!$A$2:$C$92,3,TRUE)</f>
        <v>Lúcia Carvalho</v>
      </c>
      <c r="C423" t="str">
        <f t="shared" si="103"/>
        <v>Lúcia</v>
      </c>
      <c r="D423" s="8" t="str">
        <f t="shared" si="104"/>
        <v>Carvalho</v>
      </c>
      <c r="E423" s="8" t="str">
        <f t="shared" si="105"/>
        <v>Carvalho, Lúcia</v>
      </c>
      <c r="F423" s="8" t="str">
        <f t="shared" si="106"/>
        <v>Carvalho, Lúcia</v>
      </c>
      <c r="G423" s="8" t="str">
        <f t="shared" si="107"/>
        <v>not an outlier</v>
      </c>
      <c r="H423" s="8" t="str">
        <f t="shared" si="108"/>
        <v>Not</v>
      </c>
      <c r="I423" s="8" t="str">
        <f t="shared" si="118"/>
        <v>no</v>
      </c>
      <c r="J423" s="10" t="str">
        <f t="shared" si="109"/>
        <v>no</v>
      </c>
      <c r="K423" s="10" t="str">
        <f t="shared" si="110"/>
        <v>no</v>
      </c>
      <c r="L423" t="s">
        <v>469</v>
      </c>
      <c r="M423">
        <v>10406</v>
      </c>
      <c r="N423">
        <v>21</v>
      </c>
      <c r="O423" t="s">
        <v>710</v>
      </c>
      <c r="P423" t="str">
        <f t="shared" si="111"/>
        <v>QUEEN_10406_Sir Rodney's Scones</v>
      </c>
      <c r="Q423" t="str">
        <f t="shared" si="112"/>
        <v>10406</v>
      </c>
      <c r="R423" t="str">
        <f t="shared" si="113"/>
        <v>10406</v>
      </c>
      <c r="S423" t="str">
        <f t="shared" si="114"/>
        <v>Sir Rodney's Scones</v>
      </c>
      <c r="T423">
        <v>8</v>
      </c>
      <c r="U423">
        <v>30</v>
      </c>
      <c r="V423">
        <v>0.1</v>
      </c>
      <c r="W423">
        <f t="shared" si="115"/>
        <v>216</v>
      </c>
      <c r="X423" t="str">
        <f t="shared" si="116"/>
        <v>No</v>
      </c>
      <c r="Y423" s="2">
        <v>34737</v>
      </c>
      <c r="Z423" t="str">
        <f t="shared" si="102"/>
        <v/>
      </c>
      <c r="AA423" t="str">
        <f t="shared" si="117"/>
        <v/>
      </c>
      <c r="AB423" t="str" cm="1">
        <f t="array" ref="AB423">_xlfn.IFS(Y423&lt;DATE(1996,1,1),"",Y423&lt;DATE(1996,4,1),"Q1",Y423&lt;DATE(1996,7,1),"Q2",Y423&gt;=DATE(1996,7,1),"")</f>
        <v/>
      </c>
    </row>
    <row r="424" spans="1:28" ht="14.4" x14ac:dyDescent="0.55000000000000004">
      <c r="A424" t="str">
        <f>VLOOKUP(L424,Customers!$A$2:$B$92,2,FALSE)</f>
        <v>Queen Cozinha</v>
      </c>
      <c r="B424" t="str">
        <f>VLOOKUP(L424,Customers!$A$2:$C$92,3,TRUE)</f>
        <v>Lúcia Carvalho</v>
      </c>
      <c r="C424" t="str">
        <f t="shared" si="103"/>
        <v>Lúcia</v>
      </c>
      <c r="D424" s="8" t="str">
        <f t="shared" si="104"/>
        <v>Carvalho</v>
      </c>
      <c r="E424" s="8" t="str">
        <f t="shared" si="105"/>
        <v>Carvalho, Lúcia</v>
      </c>
      <c r="F424" s="8" t="str">
        <f t="shared" si="106"/>
        <v>Carvalho, Lúcia</v>
      </c>
      <c r="G424" s="8" t="str">
        <f t="shared" si="107"/>
        <v>not an outlier</v>
      </c>
      <c r="H424" s="8" t="str">
        <f t="shared" si="108"/>
        <v>Not</v>
      </c>
      <c r="I424" s="8" t="str">
        <f t="shared" si="118"/>
        <v>no</v>
      </c>
      <c r="J424" s="10" t="str">
        <f t="shared" si="109"/>
        <v>no</v>
      </c>
      <c r="K424" s="10" t="str">
        <f t="shared" si="110"/>
        <v>no</v>
      </c>
      <c r="L424" t="s">
        <v>469</v>
      </c>
      <c r="M424">
        <v>10406</v>
      </c>
      <c r="N424">
        <v>28</v>
      </c>
      <c r="O424" t="s">
        <v>727</v>
      </c>
      <c r="P424" t="str">
        <f t="shared" si="111"/>
        <v>QUEEN_10406_Rössle Sauerkraut</v>
      </c>
      <c r="Q424" t="str">
        <f t="shared" si="112"/>
        <v>10406</v>
      </c>
      <c r="R424" t="str">
        <f t="shared" si="113"/>
        <v>10406</v>
      </c>
      <c r="S424" t="str">
        <f t="shared" si="114"/>
        <v>Rössle Sauerkraut</v>
      </c>
      <c r="T424">
        <v>36.4</v>
      </c>
      <c r="U424">
        <v>42</v>
      </c>
      <c r="V424">
        <v>0.1</v>
      </c>
      <c r="W424">
        <f t="shared" si="115"/>
        <v>1375.92</v>
      </c>
      <c r="X424" t="str">
        <f t="shared" si="116"/>
        <v>No</v>
      </c>
      <c r="Y424" s="2">
        <v>34737</v>
      </c>
      <c r="Z424" t="str">
        <f t="shared" si="102"/>
        <v/>
      </c>
      <c r="AA424" t="str">
        <f t="shared" si="117"/>
        <v/>
      </c>
      <c r="AB424" t="str" cm="1">
        <f t="array" ref="AB424">_xlfn.IFS(Y424&lt;DATE(1996,1,1),"",Y424&lt;DATE(1996,4,1),"Q1",Y424&lt;DATE(1996,7,1),"Q2",Y424&gt;=DATE(1996,7,1),"")</f>
        <v/>
      </c>
    </row>
    <row r="425" spans="1:28" ht="14.4" x14ac:dyDescent="0.55000000000000004">
      <c r="A425" t="str">
        <f>VLOOKUP(L425,Customers!$A$2:$B$92,2,FALSE)</f>
        <v>Queen Cozinha</v>
      </c>
      <c r="B425" t="str">
        <f>VLOOKUP(L425,Customers!$A$2:$C$92,3,TRUE)</f>
        <v>Lúcia Carvalho</v>
      </c>
      <c r="C425" t="str">
        <f t="shared" si="103"/>
        <v>Lúcia</v>
      </c>
      <c r="D425" s="8" t="str">
        <f t="shared" si="104"/>
        <v>Carvalho</v>
      </c>
      <c r="E425" s="8" t="str">
        <f t="shared" si="105"/>
        <v>Carvalho, Lúcia</v>
      </c>
      <c r="F425" s="8" t="str">
        <f t="shared" si="106"/>
        <v>Carvalho, Lúcia</v>
      </c>
      <c r="G425" s="8" t="str">
        <f t="shared" si="107"/>
        <v>not an outlier</v>
      </c>
      <c r="H425" s="8" t="str">
        <f t="shared" si="108"/>
        <v>Not</v>
      </c>
      <c r="I425" s="8" t="str">
        <f t="shared" si="118"/>
        <v>no</v>
      </c>
      <c r="J425" s="10" t="str">
        <f t="shared" si="109"/>
        <v>no</v>
      </c>
      <c r="K425" s="10" t="str">
        <f t="shared" si="110"/>
        <v>no</v>
      </c>
      <c r="L425" t="s">
        <v>469</v>
      </c>
      <c r="M425">
        <v>10406</v>
      </c>
      <c r="N425">
        <v>36</v>
      </c>
      <c r="O425" t="s">
        <v>703</v>
      </c>
      <c r="P425" t="str">
        <f t="shared" si="111"/>
        <v>QUEEN_10406_Inlagd Sill</v>
      </c>
      <c r="Q425" t="str">
        <f t="shared" si="112"/>
        <v>10406</v>
      </c>
      <c r="R425" t="str">
        <f t="shared" si="113"/>
        <v>10406</v>
      </c>
      <c r="S425" t="str">
        <f t="shared" si="114"/>
        <v>Inlagd Sill</v>
      </c>
      <c r="T425">
        <v>15.2</v>
      </c>
      <c r="U425">
        <v>5</v>
      </c>
      <c r="V425">
        <v>0.1</v>
      </c>
      <c r="W425">
        <f t="shared" si="115"/>
        <v>68.400000000000006</v>
      </c>
      <c r="X425" t="str">
        <f t="shared" si="116"/>
        <v>No</v>
      </c>
      <c r="Y425" s="2">
        <v>34737</v>
      </c>
      <c r="Z425" t="str">
        <f t="shared" si="102"/>
        <v/>
      </c>
      <c r="AA425" t="str">
        <f t="shared" si="117"/>
        <v/>
      </c>
      <c r="AB425" t="str" cm="1">
        <f t="array" ref="AB425">_xlfn.IFS(Y425&lt;DATE(1996,1,1),"",Y425&lt;DATE(1996,4,1),"Q1",Y425&lt;DATE(1996,7,1),"Q2",Y425&gt;=DATE(1996,7,1),"")</f>
        <v/>
      </c>
    </row>
    <row r="426" spans="1:28" ht="14.4" x14ac:dyDescent="0.55000000000000004">
      <c r="A426" t="str">
        <f>VLOOKUP(L426,Customers!$A$2:$B$92,2,FALSE)</f>
        <v>Queen Cozinha</v>
      </c>
      <c r="B426" t="str">
        <f>VLOOKUP(L426,Customers!$A$2:$C$92,3,TRUE)</f>
        <v>Lúcia Carvalho</v>
      </c>
      <c r="C426" t="str">
        <f t="shared" si="103"/>
        <v>Lúcia</v>
      </c>
      <c r="D426" s="8" t="str">
        <f t="shared" si="104"/>
        <v>Carvalho</v>
      </c>
      <c r="E426" s="8" t="str">
        <f t="shared" si="105"/>
        <v>Carvalho, Lúcia</v>
      </c>
      <c r="F426" s="8" t="str">
        <f t="shared" si="106"/>
        <v>Carvalho, Lúcia</v>
      </c>
      <c r="G426" s="8" t="str">
        <f t="shared" si="107"/>
        <v>not an outlier</v>
      </c>
      <c r="H426" s="8" t="str">
        <f t="shared" si="108"/>
        <v>Not</v>
      </c>
      <c r="I426" s="8" t="str">
        <f t="shared" si="118"/>
        <v>no</v>
      </c>
      <c r="J426" s="10" t="str">
        <f t="shared" si="109"/>
        <v>no</v>
      </c>
      <c r="K426" s="10" t="str">
        <f t="shared" si="110"/>
        <v>no</v>
      </c>
      <c r="L426" t="s">
        <v>469</v>
      </c>
      <c r="M426">
        <v>10406</v>
      </c>
      <c r="N426">
        <v>40</v>
      </c>
      <c r="O426" t="s">
        <v>720</v>
      </c>
      <c r="P426" t="str">
        <f t="shared" si="111"/>
        <v>QUEEN_10406_Boston Crab Meat</v>
      </c>
      <c r="Q426" t="str">
        <f t="shared" si="112"/>
        <v>10406</v>
      </c>
      <c r="R426" t="str">
        <f t="shared" si="113"/>
        <v>10406</v>
      </c>
      <c r="S426" t="str">
        <f t="shared" si="114"/>
        <v>Boston Crab Meat</v>
      </c>
      <c r="T426">
        <v>14.7</v>
      </c>
      <c r="U426">
        <v>2</v>
      </c>
      <c r="V426">
        <v>0.1</v>
      </c>
      <c r="W426">
        <f t="shared" si="115"/>
        <v>26.46</v>
      </c>
      <c r="X426" t="str">
        <f t="shared" si="116"/>
        <v>No</v>
      </c>
      <c r="Y426" s="2">
        <v>34737</v>
      </c>
      <c r="Z426" t="str">
        <f t="shared" si="102"/>
        <v/>
      </c>
      <c r="AA426" t="str">
        <f t="shared" si="117"/>
        <v/>
      </c>
      <c r="AB426" t="str" cm="1">
        <f t="array" ref="AB426">_xlfn.IFS(Y426&lt;DATE(1996,1,1),"",Y426&lt;DATE(1996,4,1),"Q1",Y426&lt;DATE(1996,7,1),"Q2",Y426&gt;=DATE(1996,7,1),"")</f>
        <v/>
      </c>
    </row>
    <row r="427" spans="1:28" ht="14.4" x14ac:dyDescent="0.55000000000000004">
      <c r="A427" t="str">
        <f>VLOOKUP(L427,Customers!$A$2:$B$92,2,FALSE)</f>
        <v>Ottilies Käseladen</v>
      </c>
      <c r="B427" t="str">
        <f>VLOOKUP(L427,Customers!$A$2:$C$92,3,TRUE)</f>
        <v>Henriette Pfalzheim</v>
      </c>
      <c r="C427" t="str">
        <f t="shared" si="103"/>
        <v>Henriette</v>
      </c>
      <c r="D427" s="8" t="str">
        <f t="shared" si="104"/>
        <v>Pfalzheim</v>
      </c>
      <c r="E427" s="8" t="str">
        <f t="shared" si="105"/>
        <v>Pfalzheim, Henriette</v>
      </c>
      <c r="F427" s="8" t="str">
        <f t="shared" si="106"/>
        <v>Pfalzheim, Henriette</v>
      </c>
      <c r="G427" s="8" t="str">
        <f t="shared" si="107"/>
        <v>not an outlier</v>
      </c>
      <c r="H427" s="8" t="str">
        <f t="shared" si="108"/>
        <v>Not</v>
      </c>
      <c r="I427" s="8" t="str">
        <f t="shared" si="118"/>
        <v>no</v>
      </c>
      <c r="J427" s="10" t="str">
        <f t="shared" si="109"/>
        <v>no</v>
      </c>
      <c r="K427" s="10" t="str">
        <f t="shared" si="110"/>
        <v>no</v>
      </c>
      <c r="L427" t="s">
        <v>430</v>
      </c>
      <c r="M427">
        <v>10407</v>
      </c>
      <c r="N427">
        <v>11</v>
      </c>
      <c r="O427" t="s">
        <v>683</v>
      </c>
      <c r="P427" t="str">
        <f t="shared" si="111"/>
        <v>OTTIK_10407_Queso Cabrales</v>
      </c>
      <c r="Q427" t="str">
        <f t="shared" si="112"/>
        <v>10407</v>
      </c>
      <c r="R427" t="str">
        <f t="shared" si="113"/>
        <v>10407</v>
      </c>
      <c r="S427" t="str">
        <f t="shared" si="114"/>
        <v>Queso Cabrales</v>
      </c>
      <c r="T427">
        <v>16.8</v>
      </c>
      <c r="U427">
        <v>30</v>
      </c>
      <c r="V427">
        <v>0</v>
      </c>
      <c r="W427">
        <f t="shared" si="115"/>
        <v>504</v>
      </c>
      <c r="X427" t="str">
        <f t="shared" si="116"/>
        <v>No</v>
      </c>
      <c r="Y427" s="2">
        <v>34737</v>
      </c>
      <c r="Z427" t="str">
        <f t="shared" si="102"/>
        <v/>
      </c>
      <c r="AA427" t="str">
        <f t="shared" si="117"/>
        <v/>
      </c>
      <c r="AB427" t="str" cm="1">
        <f t="array" ref="AB427">_xlfn.IFS(Y427&lt;DATE(1996,1,1),"",Y427&lt;DATE(1996,4,1),"Q1",Y427&lt;DATE(1996,7,1),"Q2",Y427&gt;=DATE(1996,7,1),"")</f>
        <v/>
      </c>
    </row>
    <row r="428" spans="1:28" ht="14.4" x14ac:dyDescent="0.55000000000000004">
      <c r="A428" t="str">
        <f>VLOOKUP(L428,Customers!$A$2:$B$92,2,FALSE)</f>
        <v>Ottilies Käseladen</v>
      </c>
      <c r="B428" t="str">
        <f>VLOOKUP(L428,Customers!$A$2:$C$92,3,TRUE)</f>
        <v>Henriette Pfalzheim</v>
      </c>
      <c r="C428" t="str">
        <f t="shared" si="103"/>
        <v>Henriette</v>
      </c>
      <c r="D428" s="8" t="str">
        <f t="shared" si="104"/>
        <v>Pfalzheim</v>
      </c>
      <c r="E428" s="8" t="str">
        <f t="shared" si="105"/>
        <v>Pfalzheim, Henriette</v>
      </c>
      <c r="F428" s="8" t="str">
        <f t="shared" si="106"/>
        <v>Pfalzheim, Henriette</v>
      </c>
      <c r="G428" s="8" t="str">
        <f t="shared" si="107"/>
        <v>not an outlier</v>
      </c>
      <c r="H428" s="8" t="str">
        <f t="shared" si="108"/>
        <v>Not</v>
      </c>
      <c r="I428" s="8" t="str">
        <f t="shared" si="118"/>
        <v>no</v>
      </c>
      <c r="J428" s="10" t="str">
        <f t="shared" si="109"/>
        <v>no</v>
      </c>
      <c r="K428" s="10" t="str">
        <f t="shared" si="110"/>
        <v>no</v>
      </c>
      <c r="L428" t="s">
        <v>430</v>
      </c>
      <c r="M428">
        <v>10407</v>
      </c>
      <c r="N428">
        <v>69</v>
      </c>
      <c r="O428" t="s">
        <v>743</v>
      </c>
      <c r="P428" t="str">
        <f t="shared" si="111"/>
        <v>OTTIK_10407_Gudbrandsdalsost</v>
      </c>
      <c r="Q428" t="str">
        <f t="shared" si="112"/>
        <v>10407</v>
      </c>
      <c r="R428" t="str">
        <f t="shared" si="113"/>
        <v>10407</v>
      </c>
      <c r="S428" t="str">
        <f t="shared" si="114"/>
        <v>Gudbrandsdalsost</v>
      </c>
      <c r="T428">
        <v>28.8</v>
      </c>
      <c r="U428">
        <v>15</v>
      </c>
      <c r="V428">
        <v>0</v>
      </c>
      <c r="W428">
        <f t="shared" si="115"/>
        <v>432</v>
      </c>
      <c r="X428" t="str">
        <f t="shared" si="116"/>
        <v>No</v>
      </c>
      <c r="Y428" s="2">
        <v>34737</v>
      </c>
      <c r="Z428" t="str">
        <f t="shared" si="102"/>
        <v/>
      </c>
      <c r="AA428" t="str">
        <f t="shared" si="117"/>
        <v/>
      </c>
      <c r="AB428" t="str" cm="1">
        <f t="array" ref="AB428">_xlfn.IFS(Y428&lt;DATE(1996,1,1),"",Y428&lt;DATE(1996,4,1),"Q1",Y428&lt;DATE(1996,7,1),"Q2",Y428&gt;=DATE(1996,7,1),"")</f>
        <v/>
      </c>
    </row>
    <row r="429" spans="1:28" ht="14.4" x14ac:dyDescent="0.55000000000000004">
      <c r="A429" t="str">
        <f>VLOOKUP(L429,Customers!$A$2:$B$92,2,FALSE)</f>
        <v>Ottilies Käseladen</v>
      </c>
      <c r="B429" t="str">
        <f>VLOOKUP(L429,Customers!$A$2:$C$92,3,TRUE)</f>
        <v>Henriette Pfalzheim</v>
      </c>
      <c r="C429" t="str">
        <f t="shared" si="103"/>
        <v>Henriette</v>
      </c>
      <c r="D429" s="8" t="str">
        <f t="shared" si="104"/>
        <v>Pfalzheim</v>
      </c>
      <c r="E429" s="8" t="str">
        <f t="shared" si="105"/>
        <v>Pfalzheim, Henriette</v>
      </c>
      <c r="F429" s="8" t="str">
        <f t="shared" si="106"/>
        <v>Pfalzheim, Henriette</v>
      </c>
      <c r="G429" s="8" t="str">
        <f t="shared" si="107"/>
        <v>not an outlier</v>
      </c>
      <c r="H429" s="8" t="str">
        <f t="shared" si="108"/>
        <v>Not</v>
      </c>
      <c r="I429" s="8" t="str">
        <f t="shared" si="118"/>
        <v>no</v>
      </c>
      <c r="J429" s="10" t="str">
        <f t="shared" si="109"/>
        <v>no</v>
      </c>
      <c r="K429" s="10" t="str">
        <f t="shared" si="110"/>
        <v>no</v>
      </c>
      <c r="L429" t="s">
        <v>430</v>
      </c>
      <c r="M429">
        <v>10407</v>
      </c>
      <c r="N429">
        <v>71</v>
      </c>
      <c r="O429" t="s">
        <v>725</v>
      </c>
      <c r="P429" t="str">
        <f t="shared" si="111"/>
        <v>OTTIK_10407_Fløtemysost</v>
      </c>
      <c r="Q429" t="str">
        <f t="shared" si="112"/>
        <v>10407</v>
      </c>
      <c r="R429" t="str">
        <f t="shared" si="113"/>
        <v>10407</v>
      </c>
      <c r="S429" t="str">
        <f t="shared" si="114"/>
        <v>Fløtemysost</v>
      </c>
      <c r="T429">
        <v>17.2</v>
      </c>
      <c r="U429">
        <v>15</v>
      </c>
      <c r="V429">
        <v>0</v>
      </c>
      <c r="W429">
        <f t="shared" si="115"/>
        <v>258</v>
      </c>
      <c r="X429" t="str">
        <f t="shared" si="116"/>
        <v>No</v>
      </c>
      <c r="Y429" s="2">
        <v>34737</v>
      </c>
      <c r="Z429" t="str">
        <f t="shared" si="102"/>
        <v/>
      </c>
      <c r="AA429" t="str">
        <f t="shared" si="117"/>
        <v/>
      </c>
      <c r="AB429" t="str" cm="1">
        <f t="array" ref="AB429">_xlfn.IFS(Y429&lt;DATE(1996,1,1),"",Y429&lt;DATE(1996,4,1),"Q1",Y429&lt;DATE(1996,7,1),"Q2",Y429&gt;=DATE(1996,7,1),"")</f>
        <v/>
      </c>
    </row>
    <row r="430" spans="1:28" ht="14.4" x14ac:dyDescent="0.55000000000000004">
      <c r="A430" t="str">
        <f>VLOOKUP(L430,Customers!$A$2:$B$92,2,FALSE)</f>
        <v>Folies gourmandes</v>
      </c>
      <c r="B430" t="str">
        <f>VLOOKUP(L430,Customers!$A$2:$C$92,3,TRUE)</f>
        <v>Martine Rancé</v>
      </c>
      <c r="C430" t="str">
        <f t="shared" si="103"/>
        <v>Martine</v>
      </c>
      <c r="D430" s="8" t="str">
        <f t="shared" si="104"/>
        <v>Rancé</v>
      </c>
      <c r="E430" s="8" t="str">
        <f t="shared" si="105"/>
        <v>Rancé, Martine</v>
      </c>
      <c r="F430" s="8" t="str">
        <f t="shared" si="106"/>
        <v>Rancé, Martine</v>
      </c>
      <c r="G430" s="8" t="str">
        <f t="shared" si="107"/>
        <v>not an outlier</v>
      </c>
      <c r="H430" s="8" t="str">
        <f t="shared" si="108"/>
        <v>Not</v>
      </c>
      <c r="I430" s="8" t="str">
        <f t="shared" si="118"/>
        <v>no</v>
      </c>
      <c r="J430" s="10" t="str">
        <f t="shared" si="109"/>
        <v>no</v>
      </c>
      <c r="K430" s="10" t="str">
        <f t="shared" si="110"/>
        <v>no</v>
      </c>
      <c r="L430" t="s">
        <v>183</v>
      </c>
      <c r="M430">
        <v>10408</v>
      </c>
      <c r="N430">
        <v>37</v>
      </c>
      <c r="O430" t="s">
        <v>711</v>
      </c>
      <c r="P430" t="str">
        <f t="shared" si="111"/>
        <v>FOLIG_10408_Gravad lax</v>
      </c>
      <c r="Q430" t="str">
        <f t="shared" si="112"/>
        <v>10408</v>
      </c>
      <c r="R430" t="str">
        <f t="shared" si="113"/>
        <v>10408</v>
      </c>
      <c r="S430" t="str">
        <f t="shared" si="114"/>
        <v>Gravad lax</v>
      </c>
      <c r="T430">
        <v>20.8</v>
      </c>
      <c r="U430">
        <v>10</v>
      </c>
      <c r="V430">
        <v>0</v>
      </c>
      <c r="W430">
        <f t="shared" si="115"/>
        <v>208</v>
      </c>
      <c r="X430" t="str">
        <f t="shared" si="116"/>
        <v>No</v>
      </c>
      <c r="Y430" s="2">
        <v>34738</v>
      </c>
      <c r="Z430" t="str">
        <f t="shared" si="102"/>
        <v/>
      </c>
      <c r="AA430" t="str">
        <f t="shared" si="117"/>
        <v/>
      </c>
      <c r="AB430" t="str" cm="1">
        <f t="array" ref="AB430">_xlfn.IFS(Y430&lt;DATE(1996,1,1),"",Y430&lt;DATE(1996,4,1),"Q1",Y430&lt;DATE(1996,7,1),"Q2",Y430&gt;=DATE(1996,7,1),"")</f>
        <v/>
      </c>
    </row>
    <row r="431" spans="1:28" ht="14.4" x14ac:dyDescent="0.55000000000000004">
      <c r="A431" t="str">
        <f>VLOOKUP(L431,Customers!$A$2:$B$92,2,FALSE)</f>
        <v>Folies gourmandes</v>
      </c>
      <c r="B431" t="str">
        <f>VLOOKUP(L431,Customers!$A$2:$C$92,3,TRUE)</f>
        <v>Martine Rancé</v>
      </c>
      <c r="C431" t="str">
        <f t="shared" si="103"/>
        <v>Martine</v>
      </c>
      <c r="D431" s="8" t="str">
        <f t="shared" si="104"/>
        <v>Rancé</v>
      </c>
      <c r="E431" s="8" t="str">
        <f t="shared" si="105"/>
        <v>Rancé, Martine</v>
      </c>
      <c r="F431" s="8" t="str">
        <f t="shared" si="106"/>
        <v>Rancé, Martine</v>
      </c>
      <c r="G431" s="8" t="str">
        <f t="shared" si="107"/>
        <v>not an outlier</v>
      </c>
      <c r="H431" s="8" t="str">
        <f t="shared" si="108"/>
        <v>Not</v>
      </c>
      <c r="I431" s="8" t="str">
        <f t="shared" si="118"/>
        <v>no</v>
      </c>
      <c r="J431" s="10" t="str">
        <f t="shared" si="109"/>
        <v>no</v>
      </c>
      <c r="K431" s="10" t="str">
        <f t="shared" si="110"/>
        <v>no</v>
      </c>
      <c r="L431" t="s">
        <v>183</v>
      </c>
      <c r="M431">
        <v>10408</v>
      </c>
      <c r="N431">
        <v>54</v>
      </c>
      <c r="O431" t="s">
        <v>738</v>
      </c>
      <c r="P431" t="str">
        <f t="shared" si="111"/>
        <v>FOLIG_10408_Tourtière</v>
      </c>
      <c r="Q431" t="str">
        <f t="shared" si="112"/>
        <v>10408</v>
      </c>
      <c r="R431" t="str">
        <f t="shared" si="113"/>
        <v>10408</v>
      </c>
      <c r="S431" t="str">
        <f t="shared" si="114"/>
        <v>Tourtière</v>
      </c>
      <c r="T431">
        <v>5.9</v>
      </c>
      <c r="U431">
        <v>6</v>
      </c>
      <c r="V431">
        <v>0</v>
      </c>
      <c r="W431">
        <f t="shared" si="115"/>
        <v>35.400000000000006</v>
      </c>
      <c r="X431" t="str">
        <f t="shared" si="116"/>
        <v>No</v>
      </c>
      <c r="Y431" s="2">
        <v>34738</v>
      </c>
      <c r="Z431" t="str">
        <f t="shared" si="102"/>
        <v/>
      </c>
      <c r="AA431" t="str">
        <f t="shared" si="117"/>
        <v/>
      </c>
      <c r="AB431" t="str" cm="1">
        <f t="array" ref="AB431">_xlfn.IFS(Y431&lt;DATE(1996,1,1),"",Y431&lt;DATE(1996,4,1),"Q1",Y431&lt;DATE(1996,7,1),"Q2",Y431&gt;=DATE(1996,7,1),"")</f>
        <v/>
      </c>
    </row>
    <row r="432" spans="1:28" ht="14.4" x14ac:dyDescent="0.55000000000000004">
      <c r="A432" t="str">
        <f>VLOOKUP(L432,Customers!$A$2:$B$92,2,FALSE)</f>
        <v>Folies gourmandes</v>
      </c>
      <c r="B432" t="str">
        <f>VLOOKUP(L432,Customers!$A$2:$C$92,3,TRUE)</f>
        <v>Martine Rancé</v>
      </c>
      <c r="C432" t="str">
        <f t="shared" si="103"/>
        <v>Martine</v>
      </c>
      <c r="D432" s="8" t="str">
        <f t="shared" si="104"/>
        <v>Rancé</v>
      </c>
      <c r="E432" s="8" t="str">
        <f t="shared" si="105"/>
        <v>Rancé, Martine</v>
      </c>
      <c r="F432" s="8" t="str">
        <f t="shared" si="106"/>
        <v>Rancé, Martine</v>
      </c>
      <c r="G432" s="8" t="str">
        <f t="shared" si="107"/>
        <v>not an outlier</v>
      </c>
      <c r="H432" s="8" t="str">
        <f t="shared" si="108"/>
        <v>Not</v>
      </c>
      <c r="I432" s="8" t="str">
        <f t="shared" si="118"/>
        <v>no</v>
      </c>
      <c r="J432" s="10" t="str">
        <f t="shared" si="109"/>
        <v>no</v>
      </c>
      <c r="K432" s="10" t="str">
        <f t="shared" si="110"/>
        <v>no</v>
      </c>
      <c r="L432" t="s">
        <v>183</v>
      </c>
      <c r="M432">
        <v>10408</v>
      </c>
      <c r="N432">
        <v>62</v>
      </c>
      <c r="O432" t="s">
        <v>712</v>
      </c>
      <c r="P432" t="str">
        <f t="shared" si="111"/>
        <v>FOLIG_10408_Tarte au sucre</v>
      </c>
      <c r="Q432" t="str">
        <f t="shared" si="112"/>
        <v>10408</v>
      </c>
      <c r="R432" t="str">
        <f t="shared" si="113"/>
        <v>10408</v>
      </c>
      <c r="S432" t="str">
        <f t="shared" si="114"/>
        <v>Tarte au sucre</v>
      </c>
      <c r="T432">
        <v>39.4</v>
      </c>
      <c r="U432">
        <v>35</v>
      </c>
      <c r="V432">
        <v>0</v>
      </c>
      <c r="W432">
        <f t="shared" si="115"/>
        <v>1379</v>
      </c>
      <c r="X432" t="str">
        <f t="shared" si="116"/>
        <v>No</v>
      </c>
      <c r="Y432" s="2">
        <v>34738</v>
      </c>
      <c r="Z432" t="str">
        <f t="shared" si="102"/>
        <v/>
      </c>
      <c r="AA432" t="str">
        <f t="shared" si="117"/>
        <v/>
      </c>
      <c r="AB432" t="str" cm="1">
        <f t="array" ref="AB432">_xlfn.IFS(Y432&lt;DATE(1996,1,1),"",Y432&lt;DATE(1996,4,1),"Q1",Y432&lt;DATE(1996,7,1),"Q2",Y432&gt;=DATE(1996,7,1),"")</f>
        <v/>
      </c>
    </row>
    <row r="433" spans="1:28" ht="14.4" x14ac:dyDescent="0.55000000000000004">
      <c r="A433" t="str">
        <f>VLOOKUP(L433,Customers!$A$2:$B$92,2,FALSE)</f>
        <v>Océano Atlántico Ltda.</v>
      </c>
      <c r="B433" t="str">
        <f>VLOOKUP(L433,Customers!$A$2:$C$92,3,TRUE)</f>
        <v>Yvonne Moncada</v>
      </c>
      <c r="C433" t="str">
        <f t="shared" si="103"/>
        <v>Yvonne</v>
      </c>
      <c r="D433" s="8" t="str">
        <f t="shared" si="104"/>
        <v>Moncada</v>
      </c>
      <c r="E433" s="8" t="str">
        <f t="shared" si="105"/>
        <v>Moncada, Yvonne</v>
      </c>
      <c r="F433" s="8" t="str">
        <f t="shared" si="106"/>
        <v>Moncada, Yvonne</v>
      </c>
      <c r="G433" s="8" t="str">
        <f t="shared" si="107"/>
        <v>not an outlier</v>
      </c>
      <c r="H433" s="8" t="str">
        <f t="shared" si="108"/>
        <v>Not</v>
      </c>
      <c r="I433" s="8" t="str">
        <f t="shared" si="118"/>
        <v>no</v>
      </c>
      <c r="J433" s="10" t="str">
        <f t="shared" si="109"/>
        <v>no</v>
      </c>
      <c r="K433" s="10" t="str">
        <f t="shared" si="110"/>
        <v>no</v>
      </c>
      <c r="L433" t="s">
        <v>416</v>
      </c>
      <c r="M433">
        <v>10409</v>
      </c>
      <c r="N433">
        <v>14</v>
      </c>
      <c r="O433" t="s">
        <v>686</v>
      </c>
      <c r="P433" t="str">
        <f t="shared" si="111"/>
        <v>OCEAN_10409_Tofu</v>
      </c>
      <c r="Q433" t="str">
        <f t="shared" si="112"/>
        <v>10409</v>
      </c>
      <c r="R433" t="str">
        <f t="shared" si="113"/>
        <v>10409</v>
      </c>
      <c r="S433" t="str">
        <f t="shared" si="114"/>
        <v>Tofu</v>
      </c>
      <c r="T433">
        <v>18.600000000000001</v>
      </c>
      <c r="U433">
        <v>12</v>
      </c>
      <c r="V433">
        <v>0</v>
      </c>
      <c r="W433">
        <f t="shared" si="115"/>
        <v>223.20000000000002</v>
      </c>
      <c r="X433" t="str">
        <f t="shared" si="116"/>
        <v>No</v>
      </c>
      <c r="Y433" s="2">
        <v>34739</v>
      </c>
      <c r="Z433" t="str">
        <f t="shared" si="102"/>
        <v/>
      </c>
      <c r="AA433" t="str">
        <f t="shared" si="117"/>
        <v/>
      </c>
      <c r="AB433" t="str" cm="1">
        <f t="array" ref="AB433">_xlfn.IFS(Y433&lt;DATE(1996,1,1),"",Y433&lt;DATE(1996,4,1),"Q1",Y433&lt;DATE(1996,7,1),"Q2",Y433&gt;=DATE(1996,7,1),"")</f>
        <v/>
      </c>
    </row>
    <row r="434" spans="1:28" ht="14.4" x14ac:dyDescent="0.55000000000000004">
      <c r="A434" t="str">
        <f>VLOOKUP(L434,Customers!$A$2:$B$92,2,FALSE)</f>
        <v>Océano Atlántico Ltda.</v>
      </c>
      <c r="B434" t="str">
        <f>VLOOKUP(L434,Customers!$A$2:$C$92,3,TRUE)</f>
        <v>Yvonne Moncada</v>
      </c>
      <c r="C434" t="str">
        <f t="shared" si="103"/>
        <v>Yvonne</v>
      </c>
      <c r="D434" s="8" t="str">
        <f t="shared" si="104"/>
        <v>Moncada</v>
      </c>
      <c r="E434" s="8" t="str">
        <f t="shared" si="105"/>
        <v>Moncada, Yvonne</v>
      </c>
      <c r="F434" s="8" t="str">
        <f t="shared" si="106"/>
        <v>Moncada, Yvonne</v>
      </c>
      <c r="G434" s="8" t="str">
        <f t="shared" si="107"/>
        <v>not an outlier</v>
      </c>
      <c r="H434" s="8" t="str">
        <f t="shared" si="108"/>
        <v>Not</v>
      </c>
      <c r="I434" s="8" t="str">
        <f t="shared" si="118"/>
        <v>no</v>
      </c>
      <c r="J434" s="10" t="str">
        <f t="shared" si="109"/>
        <v>no</v>
      </c>
      <c r="K434" s="10" t="str">
        <f t="shared" si="110"/>
        <v>no</v>
      </c>
      <c r="L434" t="s">
        <v>416</v>
      </c>
      <c r="M434">
        <v>10409</v>
      </c>
      <c r="N434">
        <v>21</v>
      </c>
      <c r="O434" t="s">
        <v>710</v>
      </c>
      <c r="P434" t="str">
        <f t="shared" si="111"/>
        <v>OCEAN_10409_Sir Rodney's Scones</v>
      </c>
      <c r="Q434" t="str">
        <f t="shared" si="112"/>
        <v>10409</v>
      </c>
      <c r="R434" t="str">
        <f t="shared" si="113"/>
        <v>10409</v>
      </c>
      <c r="S434" t="str">
        <f t="shared" si="114"/>
        <v>Sir Rodney's Scones</v>
      </c>
      <c r="T434">
        <v>8</v>
      </c>
      <c r="U434">
        <v>12</v>
      </c>
      <c r="V434">
        <v>0</v>
      </c>
      <c r="W434">
        <f t="shared" si="115"/>
        <v>96</v>
      </c>
      <c r="X434" t="str">
        <f t="shared" si="116"/>
        <v>No</v>
      </c>
      <c r="Y434" s="2">
        <v>34739</v>
      </c>
      <c r="Z434" t="str">
        <f t="shared" si="102"/>
        <v/>
      </c>
      <c r="AA434" t="str">
        <f t="shared" si="117"/>
        <v/>
      </c>
      <c r="AB434" t="str" cm="1">
        <f t="array" ref="AB434">_xlfn.IFS(Y434&lt;DATE(1996,1,1),"",Y434&lt;DATE(1996,4,1),"Q1",Y434&lt;DATE(1996,7,1),"Q2",Y434&gt;=DATE(1996,7,1),"")</f>
        <v/>
      </c>
    </row>
    <row r="435" spans="1:28" ht="14.4" x14ac:dyDescent="0.55000000000000004">
      <c r="A435" t="str">
        <f>VLOOKUP(L435,Customers!$A$2:$B$92,2,FALSE)</f>
        <v>Bottom-Dollar Markets</v>
      </c>
      <c r="B435" t="str">
        <f>VLOOKUP(L435,Customers!$A$2:$C$92,3,TRUE)</f>
        <v>Elizabeth Lincoln</v>
      </c>
      <c r="C435" t="str">
        <f t="shared" si="103"/>
        <v>Elizabeth</v>
      </c>
      <c r="D435" s="8" t="str">
        <f t="shared" si="104"/>
        <v>Lincoln</v>
      </c>
      <c r="E435" s="8" t="str">
        <f t="shared" si="105"/>
        <v>Lincoln, Elizabeth</v>
      </c>
      <c r="F435" s="8" t="str">
        <f t="shared" si="106"/>
        <v>Lincoln, Elizabeth</v>
      </c>
      <c r="G435" s="8" t="str">
        <f t="shared" si="107"/>
        <v>not an outlier</v>
      </c>
      <c r="H435" s="8" t="str">
        <f t="shared" si="108"/>
        <v>Not</v>
      </c>
      <c r="I435" s="8" t="str">
        <f t="shared" si="118"/>
        <v>no</v>
      </c>
      <c r="J435" s="10" t="str">
        <f t="shared" si="109"/>
        <v>no</v>
      </c>
      <c r="K435" s="10" t="str">
        <f t="shared" si="110"/>
        <v>no</v>
      </c>
      <c r="L435" t="s">
        <v>84</v>
      </c>
      <c r="M435">
        <v>10410</v>
      </c>
      <c r="N435">
        <v>33</v>
      </c>
      <c r="O435" t="s">
        <v>693</v>
      </c>
      <c r="P435" t="str">
        <f t="shared" si="111"/>
        <v>BOTTM_10410_Geitost</v>
      </c>
      <c r="Q435" t="str">
        <f t="shared" si="112"/>
        <v>10410</v>
      </c>
      <c r="R435" t="str">
        <f t="shared" si="113"/>
        <v>10410</v>
      </c>
      <c r="S435" t="str">
        <f t="shared" si="114"/>
        <v>Geitost</v>
      </c>
      <c r="T435">
        <v>2</v>
      </c>
      <c r="U435">
        <v>49</v>
      </c>
      <c r="V435">
        <v>0</v>
      </c>
      <c r="W435">
        <f t="shared" si="115"/>
        <v>98</v>
      </c>
      <c r="X435" t="str">
        <f t="shared" si="116"/>
        <v>No</v>
      </c>
      <c r="Y435" s="2">
        <v>34740</v>
      </c>
      <c r="Z435" t="str">
        <f t="shared" si="102"/>
        <v/>
      </c>
      <c r="AA435" t="str">
        <f t="shared" si="117"/>
        <v/>
      </c>
      <c r="AB435" t="str" cm="1">
        <f t="array" ref="AB435">_xlfn.IFS(Y435&lt;DATE(1996,1,1),"",Y435&lt;DATE(1996,4,1),"Q1",Y435&lt;DATE(1996,7,1),"Q2",Y435&gt;=DATE(1996,7,1),"")</f>
        <v/>
      </c>
    </row>
    <row r="436" spans="1:28" ht="14.4" x14ac:dyDescent="0.55000000000000004">
      <c r="A436" t="str">
        <f>VLOOKUP(L436,Customers!$A$2:$B$92,2,FALSE)</f>
        <v>Bottom-Dollar Markets</v>
      </c>
      <c r="B436" t="str">
        <f>VLOOKUP(L436,Customers!$A$2:$C$92,3,TRUE)</f>
        <v>Elizabeth Lincoln</v>
      </c>
      <c r="C436" t="str">
        <f t="shared" si="103"/>
        <v>Elizabeth</v>
      </c>
      <c r="D436" s="8" t="str">
        <f t="shared" si="104"/>
        <v>Lincoln</v>
      </c>
      <c r="E436" s="8" t="str">
        <f t="shared" si="105"/>
        <v>Lincoln, Elizabeth</v>
      </c>
      <c r="F436" s="8" t="str">
        <f t="shared" si="106"/>
        <v>Lincoln, Elizabeth</v>
      </c>
      <c r="G436" s="8" t="str">
        <f t="shared" si="107"/>
        <v>not an outlier</v>
      </c>
      <c r="H436" s="8" t="str">
        <f t="shared" si="108"/>
        <v>Not</v>
      </c>
      <c r="I436" s="8" t="str">
        <f t="shared" si="118"/>
        <v>no</v>
      </c>
      <c r="J436" s="10" t="str">
        <f t="shared" si="109"/>
        <v>no</v>
      </c>
      <c r="K436" s="10" t="str">
        <f t="shared" si="110"/>
        <v>no</v>
      </c>
      <c r="L436" t="s">
        <v>84</v>
      </c>
      <c r="M436">
        <v>10410</v>
      </c>
      <c r="N436">
        <v>59</v>
      </c>
      <c r="O436" t="s">
        <v>704</v>
      </c>
      <c r="P436" t="str">
        <f t="shared" si="111"/>
        <v>BOTTM_10410_Raclette Courdavault</v>
      </c>
      <c r="Q436" t="str">
        <f t="shared" si="112"/>
        <v>10410</v>
      </c>
      <c r="R436" t="str">
        <f t="shared" si="113"/>
        <v>10410</v>
      </c>
      <c r="S436" t="str">
        <f t="shared" si="114"/>
        <v>Raclette Courdavault</v>
      </c>
      <c r="T436">
        <v>44</v>
      </c>
      <c r="U436">
        <v>16</v>
      </c>
      <c r="V436">
        <v>0</v>
      </c>
      <c r="W436">
        <f t="shared" si="115"/>
        <v>704</v>
      </c>
      <c r="X436" t="str">
        <f t="shared" si="116"/>
        <v>No</v>
      </c>
      <c r="Y436" s="2">
        <v>34740</v>
      </c>
      <c r="Z436" t="str">
        <f t="shared" si="102"/>
        <v/>
      </c>
      <c r="AA436" t="str">
        <f t="shared" si="117"/>
        <v/>
      </c>
      <c r="AB436" t="str" cm="1">
        <f t="array" ref="AB436">_xlfn.IFS(Y436&lt;DATE(1996,1,1),"",Y436&lt;DATE(1996,4,1),"Q1",Y436&lt;DATE(1996,7,1),"Q2",Y436&gt;=DATE(1996,7,1),"")</f>
        <v/>
      </c>
    </row>
    <row r="437" spans="1:28" ht="14.4" x14ac:dyDescent="0.55000000000000004">
      <c r="A437" t="str">
        <f>VLOOKUP(L437,Customers!$A$2:$B$92,2,FALSE)</f>
        <v>Bottom-Dollar Markets</v>
      </c>
      <c r="B437" t="str">
        <f>VLOOKUP(L437,Customers!$A$2:$C$92,3,TRUE)</f>
        <v>Elizabeth Lincoln</v>
      </c>
      <c r="C437" t="str">
        <f t="shared" si="103"/>
        <v>Elizabeth</v>
      </c>
      <c r="D437" s="8" t="str">
        <f t="shared" si="104"/>
        <v>Lincoln</v>
      </c>
      <c r="E437" s="8" t="str">
        <f t="shared" si="105"/>
        <v>Lincoln, Elizabeth</v>
      </c>
      <c r="F437" s="8" t="str">
        <f t="shared" si="106"/>
        <v>Lincoln, Elizabeth</v>
      </c>
      <c r="G437" s="8" t="str">
        <f t="shared" si="107"/>
        <v>not an outlier</v>
      </c>
      <c r="H437" s="8" t="str">
        <f t="shared" si="108"/>
        <v>Not</v>
      </c>
      <c r="I437" s="8" t="str">
        <f t="shared" si="118"/>
        <v>no</v>
      </c>
      <c r="J437" s="10" t="str">
        <f t="shared" si="109"/>
        <v>no</v>
      </c>
      <c r="K437" s="10" t="str">
        <f t="shared" si="110"/>
        <v>no</v>
      </c>
      <c r="L437" t="s">
        <v>84</v>
      </c>
      <c r="M437">
        <v>10411</v>
      </c>
      <c r="N437">
        <v>41</v>
      </c>
      <c r="O437" t="s">
        <v>688</v>
      </c>
      <c r="P437" t="str">
        <f t="shared" si="111"/>
        <v>BOTTM_10411_Jack's New England Clam Chowder</v>
      </c>
      <c r="Q437" t="str">
        <f t="shared" si="112"/>
        <v>10411</v>
      </c>
      <c r="R437" t="str">
        <f t="shared" si="113"/>
        <v>10411</v>
      </c>
      <c r="S437" t="str">
        <f t="shared" si="114"/>
        <v>Jack's New England Clam Chowder</v>
      </c>
      <c r="T437">
        <v>7.7</v>
      </c>
      <c r="U437">
        <v>25</v>
      </c>
      <c r="V437">
        <v>0.2</v>
      </c>
      <c r="W437">
        <f t="shared" si="115"/>
        <v>154</v>
      </c>
      <c r="X437" t="str">
        <f t="shared" si="116"/>
        <v>No</v>
      </c>
      <c r="Y437" s="2">
        <v>34740</v>
      </c>
      <c r="Z437" t="str">
        <f t="shared" si="102"/>
        <v/>
      </c>
      <c r="AA437" t="str">
        <f t="shared" si="117"/>
        <v/>
      </c>
      <c r="AB437" t="str" cm="1">
        <f t="array" ref="AB437">_xlfn.IFS(Y437&lt;DATE(1996,1,1),"",Y437&lt;DATE(1996,4,1),"Q1",Y437&lt;DATE(1996,7,1),"Q2",Y437&gt;=DATE(1996,7,1),"")</f>
        <v/>
      </c>
    </row>
    <row r="438" spans="1:28" ht="14.4" x14ac:dyDescent="0.55000000000000004">
      <c r="A438" t="str">
        <f>VLOOKUP(L438,Customers!$A$2:$B$92,2,FALSE)</f>
        <v>Bottom-Dollar Markets</v>
      </c>
      <c r="B438" t="str">
        <f>VLOOKUP(L438,Customers!$A$2:$C$92,3,TRUE)</f>
        <v>Elizabeth Lincoln</v>
      </c>
      <c r="C438" t="str">
        <f t="shared" si="103"/>
        <v>Elizabeth</v>
      </c>
      <c r="D438" s="8" t="str">
        <f t="shared" si="104"/>
        <v>Lincoln</v>
      </c>
      <c r="E438" s="8" t="str">
        <f t="shared" si="105"/>
        <v>Lincoln, Elizabeth</v>
      </c>
      <c r="F438" s="8" t="str">
        <f t="shared" si="106"/>
        <v>Lincoln, Elizabeth</v>
      </c>
      <c r="G438" s="8" t="str">
        <f t="shared" si="107"/>
        <v>not an outlier</v>
      </c>
      <c r="H438" s="8" t="str">
        <f t="shared" si="108"/>
        <v>Not</v>
      </c>
      <c r="I438" s="8" t="str">
        <f t="shared" si="118"/>
        <v>no</v>
      </c>
      <c r="J438" s="10" t="str">
        <f t="shared" si="109"/>
        <v>no</v>
      </c>
      <c r="K438" s="10" t="str">
        <f t="shared" si="110"/>
        <v>no</v>
      </c>
      <c r="L438" t="s">
        <v>84</v>
      </c>
      <c r="M438">
        <v>10411</v>
      </c>
      <c r="N438">
        <v>44</v>
      </c>
      <c r="O438" t="s">
        <v>728</v>
      </c>
      <c r="P438" t="str">
        <f t="shared" si="111"/>
        <v>BOTTM_10411_Gula Malacca</v>
      </c>
      <c r="Q438" t="str">
        <f t="shared" si="112"/>
        <v>10411</v>
      </c>
      <c r="R438" t="str">
        <f t="shared" si="113"/>
        <v>10411</v>
      </c>
      <c r="S438" t="str">
        <f t="shared" si="114"/>
        <v>Gula Malacca</v>
      </c>
      <c r="T438">
        <v>15.5</v>
      </c>
      <c r="U438">
        <v>40</v>
      </c>
      <c r="V438">
        <v>0.2</v>
      </c>
      <c r="W438">
        <f t="shared" si="115"/>
        <v>496</v>
      </c>
      <c r="X438" t="str">
        <f t="shared" si="116"/>
        <v>No</v>
      </c>
      <c r="Y438" s="2">
        <v>34740</v>
      </c>
      <c r="Z438" t="str">
        <f t="shared" si="102"/>
        <v/>
      </c>
      <c r="AA438" t="str">
        <f t="shared" si="117"/>
        <v/>
      </c>
      <c r="AB438" t="str" cm="1">
        <f t="array" ref="AB438">_xlfn.IFS(Y438&lt;DATE(1996,1,1),"",Y438&lt;DATE(1996,4,1),"Q1",Y438&lt;DATE(1996,7,1),"Q2",Y438&gt;=DATE(1996,7,1),"")</f>
        <v/>
      </c>
    </row>
    <row r="439" spans="1:28" ht="14.4" x14ac:dyDescent="0.55000000000000004">
      <c r="A439" t="str">
        <f>VLOOKUP(L439,Customers!$A$2:$B$92,2,FALSE)</f>
        <v>Bottom-Dollar Markets</v>
      </c>
      <c r="B439" t="str">
        <f>VLOOKUP(L439,Customers!$A$2:$C$92,3,TRUE)</f>
        <v>Elizabeth Lincoln</v>
      </c>
      <c r="C439" t="str">
        <f t="shared" si="103"/>
        <v>Elizabeth</v>
      </c>
      <c r="D439" s="8" t="str">
        <f t="shared" si="104"/>
        <v>Lincoln</v>
      </c>
      <c r="E439" s="8" t="str">
        <f t="shared" si="105"/>
        <v>Lincoln, Elizabeth</v>
      </c>
      <c r="F439" s="8" t="str">
        <f t="shared" si="106"/>
        <v>Lincoln, Elizabeth</v>
      </c>
      <c r="G439" s="8" t="str">
        <f t="shared" si="107"/>
        <v>not an outlier</v>
      </c>
      <c r="H439" s="8" t="str">
        <f t="shared" si="108"/>
        <v>Not</v>
      </c>
      <c r="I439" s="8" t="str">
        <f t="shared" si="118"/>
        <v>no</v>
      </c>
      <c r="J439" s="10" t="str">
        <f t="shared" si="109"/>
        <v>no</v>
      </c>
      <c r="K439" s="10" t="str">
        <f t="shared" si="110"/>
        <v>no</v>
      </c>
      <c r="L439" t="s">
        <v>84</v>
      </c>
      <c r="M439">
        <v>10411</v>
      </c>
      <c r="N439">
        <v>59</v>
      </c>
      <c r="O439" t="s">
        <v>704</v>
      </c>
      <c r="P439" t="str">
        <f t="shared" si="111"/>
        <v>BOTTM_10411_Raclette Courdavault</v>
      </c>
      <c r="Q439" t="str">
        <f t="shared" si="112"/>
        <v>10411</v>
      </c>
      <c r="R439" t="str">
        <f t="shared" si="113"/>
        <v>10411</v>
      </c>
      <c r="S439" t="str">
        <f t="shared" si="114"/>
        <v>Raclette Courdavault</v>
      </c>
      <c r="T439">
        <v>44</v>
      </c>
      <c r="U439">
        <v>9</v>
      </c>
      <c r="V439">
        <v>0.2</v>
      </c>
      <c r="W439">
        <f t="shared" si="115"/>
        <v>316.8</v>
      </c>
      <c r="X439" t="str">
        <f t="shared" si="116"/>
        <v>No</v>
      </c>
      <c r="Y439" s="2">
        <v>34740</v>
      </c>
      <c r="Z439" t="str">
        <f t="shared" si="102"/>
        <v/>
      </c>
      <c r="AA439" t="str">
        <f t="shared" si="117"/>
        <v/>
      </c>
      <c r="AB439" t="str" cm="1">
        <f t="array" ref="AB439">_xlfn.IFS(Y439&lt;DATE(1996,1,1),"",Y439&lt;DATE(1996,4,1),"Q1",Y439&lt;DATE(1996,7,1),"Q2",Y439&gt;=DATE(1996,7,1),"")</f>
        <v/>
      </c>
    </row>
    <row r="440" spans="1:28" ht="14.4" x14ac:dyDescent="0.55000000000000004">
      <c r="A440" t="str">
        <f>VLOOKUP(L440,Customers!$A$2:$B$92,2,FALSE)</f>
        <v>Wartian Herkku</v>
      </c>
      <c r="B440" t="str">
        <f>VLOOKUP(L440,Customers!$A$2:$C$92,3,TRUE)</f>
        <v>Pirkko Koskitalo</v>
      </c>
      <c r="C440" t="str">
        <f t="shared" si="103"/>
        <v>Pirkko</v>
      </c>
      <c r="D440" s="8" t="str">
        <f t="shared" si="104"/>
        <v>Koskitalo</v>
      </c>
      <c r="E440" s="8" t="str">
        <f t="shared" si="105"/>
        <v>Koskitalo, Pirkko</v>
      </c>
      <c r="F440" s="8" t="str">
        <f t="shared" si="106"/>
        <v>Koskitalo, Pirkko</v>
      </c>
      <c r="G440" s="8" t="str">
        <f t="shared" si="107"/>
        <v>not an outlier</v>
      </c>
      <c r="H440" s="8" t="str">
        <f t="shared" si="108"/>
        <v>Not</v>
      </c>
      <c r="I440" s="8" t="str">
        <f t="shared" si="118"/>
        <v>no</v>
      </c>
      <c r="J440" s="10" t="str">
        <f t="shared" si="109"/>
        <v>no</v>
      </c>
      <c r="K440" s="10" t="str">
        <f t="shared" si="110"/>
        <v>no</v>
      </c>
      <c r="L440" t="s">
        <v>640</v>
      </c>
      <c r="M440">
        <v>10412</v>
      </c>
      <c r="N440">
        <v>14</v>
      </c>
      <c r="O440" t="s">
        <v>686</v>
      </c>
      <c r="P440" t="str">
        <f t="shared" si="111"/>
        <v>WARTH_10412_Tofu</v>
      </c>
      <c r="Q440" t="str">
        <f t="shared" si="112"/>
        <v>10412</v>
      </c>
      <c r="R440" t="str">
        <f t="shared" si="113"/>
        <v>10412</v>
      </c>
      <c r="S440" t="str">
        <f t="shared" si="114"/>
        <v>Tofu</v>
      </c>
      <c r="T440">
        <v>18.600000000000001</v>
      </c>
      <c r="U440">
        <v>20</v>
      </c>
      <c r="V440">
        <v>0.1</v>
      </c>
      <c r="W440">
        <f t="shared" si="115"/>
        <v>334.8</v>
      </c>
      <c r="X440" t="str">
        <f t="shared" si="116"/>
        <v>No</v>
      </c>
      <c r="Y440" s="2">
        <v>34743</v>
      </c>
      <c r="Z440" t="str">
        <f t="shared" si="102"/>
        <v/>
      </c>
      <c r="AA440" t="str">
        <f t="shared" si="117"/>
        <v/>
      </c>
      <c r="AB440" t="str" cm="1">
        <f t="array" ref="AB440">_xlfn.IFS(Y440&lt;DATE(1996,1,1),"",Y440&lt;DATE(1996,4,1),"Q1",Y440&lt;DATE(1996,7,1),"Q2",Y440&gt;=DATE(1996,7,1),"")</f>
        <v/>
      </c>
    </row>
    <row r="441" spans="1:28" ht="14.4" x14ac:dyDescent="0.55000000000000004">
      <c r="A441" t="str">
        <f>VLOOKUP(L441,Customers!$A$2:$B$92,2,FALSE)</f>
        <v>La maison d'Asie</v>
      </c>
      <c r="B441" t="str">
        <f>VLOOKUP(L441,Customers!$A$2:$C$92,3,TRUE)</f>
        <v>Annette Roulet</v>
      </c>
      <c r="C441" t="str">
        <f t="shared" si="103"/>
        <v>Annette</v>
      </c>
      <c r="D441" s="8" t="str">
        <f t="shared" si="104"/>
        <v>Roulet</v>
      </c>
      <c r="E441" s="8" t="str">
        <f t="shared" si="105"/>
        <v>Roulet, Annette</v>
      </c>
      <c r="F441" s="8" t="str">
        <f t="shared" si="106"/>
        <v>Roulet, Annette</v>
      </c>
      <c r="G441" s="8" t="str">
        <f t="shared" si="107"/>
        <v>not an outlier</v>
      </c>
      <c r="H441" s="8" t="str">
        <f t="shared" si="108"/>
        <v>Not</v>
      </c>
      <c r="I441" s="8" t="str">
        <f t="shared" si="118"/>
        <v>no</v>
      </c>
      <c r="J441" s="10" t="str">
        <f t="shared" si="109"/>
        <v>no</v>
      </c>
      <c r="K441" s="10" t="str">
        <f t="shared" si="110"/>
        <v>no</v>
      </c>
      <c r="L441" t="s">
        <v>318</v>
      </c>
      <c r="M441">
        <v>10413</v>
      </c>
      <c r="N441">
        <v>1</v>
      </c>
      <c r="O441" t="s">
        <v>735</v>
      </c>
      <c r="P441" t="str">
        <f t="shared" si="111"/>
        <v>LAMAI_10413_Chai</v>
      </c>
      <c r="Q441" t="str">
        <f t="shared" si="112"/>
        <v>10413</v>
      </c>
      <c r="R441" t="str">
        <f t="shared" si="113"/>
        <v>10413</v>
      </c>
      <c r="S441" t="str">
        <f t="shared" si="114"/>
        <v>Chai</v>
      </c>
      <c r="T441">
        <v>14.4</v>
      </c>
      <c r="U441">
        <v>24</v>
      </c>
      <c r="V441">
        <v>0</v>
      </c>
      <c r="W441">
        <f t="shared" si="115"/>
        <v>345.6</v>
      </c>
      <c r="X441" t="str">
        <f t="shared" si="116"/>
        <v>No</v>
      </c>
      <c r="Y441" s="2">
        <v>34744</v>
      </c>
      <c r="Z441" t="str">
        <f t="shared" si="102"/>
        <v/>
      </c>
      <c r="AA441" t="str">
        <f t="shared" si="117"/>
        <v/>
      </c>
      <c r="AB441" t="str" cm="1">
        <f t="array" ref="AB441">_xlfn.IFS(Y441&lt;DATE(1996,1,1),"",Y441&lt;DATE(1996,4,1),"Q1",Y441&lt;DATE(1996,7,1),"Q2",Y441&gt;=DATE(1996,7,1),"")</f>
        <v/>
      </c>
    </row>
    <row r="442" spans="1:28" ht="14.4" x14ac:dyDescent="0.55000000000000004">
      <c r="A442" t="str">
        <f>VLOOKUP(L442,Customers!$A$2:$B$92,2,FALSE)</f>
        <v>La maison d'Asie</v>
      </c>
      <c r="B442" t="str">
        <f>VLOOKUP(L442,Customers!$A$2:$C$92,3,TRUE)</f>
        <v>Annette Roulet</v>
      </c>
      <c r="C442" t="str">
        <f t="shared" si="103"/>
        <v>Annette</v>
      </c>
      <c r="D442" s="8" t="str">
        <f t="shared" si="104"/>
        <v>Roulet</v>
      </c>
      <c r="E442" s="8" t="str">
        <f t="shared" si="105"/>
        <v>Roulet, Annette</v>
      </c>
      <c r="F442" s="8" t="str">
        <f t="shared" si="106"/>
        <v>Roulet, Annette</v>
      </c>
      <c r="G442" s="8" t="str">
        <f t="shared" si="107"/>
        <v>not an outlier</v>
      </c>
      <c r="H442" s="8" t="str">
        <f t="shared" si="108"/>
        <v>Not</v>
      </c>
      <c r="I442" s="8" t="str">
        <f t="shared" si="118"/>
        <v>no</v>
      </c>
      <c r="J442" s="10" t="str">
        <f t="shared" si="109"/>
        <v>no</v>
      </c>
      <c r="K442" s="10" t="str">
        <f t="shared" si="110"/>
        <v>no</v>
      </c>
      <c r="L442" t="s">
        <v>318</v>
      </c>
      <c r="M442">
        <v>10413</v>
      </c>
      <c r="N442">
        <v>62</v>
      </c>
      <c r="O442" t="s">
        <v>712</v>
      </c>
      <c r="P442" t="str">
        <f t="shared" si="111"/>
        <v>LAMAI_10413_Tarte au sucre</v>
      </c>
      <c r="Q442" t="str">
        <f t="shared" si="112"/>
        <v>10413</v>
      </c>
      <c r="R442" t="str">
        <f t="shared" si="113"/>
        <v>10413</v>
      </c>
      <c r="S442" t="str">
        <f t="shared" si="114"/>
        <v>Tarte au sucre</v>
      </c>
      <c r="T442">
        <v>39.4</v>
      </c>
      <c r="U442">
        <v>40</v>
      </c>
      <c r="V442">
        <v>0</v>
      </c>
      <c r="W442">
        <f t="shared" si="115"/>
        <v>1576</v>
      </c>
      <c r="X442" t="str">
        <f t="shared" si="116"/>
        <v>No</v>
      </c>
      <c r="Y442" s="2">
        <v>34744</v>
      </c>
      <c r="Z442" t="str">
        <f t="shared" si="102"/>
        <v/>
      </c>
      <c r="AA442" t="str">
        <f t="shared" si="117"/>
        <v/>
      </c>
      <c r="AB442" t="str" cm="1">
        <f t="array" ref="AB442">_xlfn.IFS(Y442&lt;DATE(1996,1,1),"",Y442&lt;DATE(1996,4,1),"Q1",Y442&lt;DATE(1996,7,1),"Q2",Y442&gt;=DATE(1996,7,1),"")</f>
        <v/>
      </c>
    </row>
    <row r="443" spans="1:28" ht="14.4" x14ac:dyDescent="0.55000000000000004">
      <c r="A443" t="str">
        <f>VLOOKUP(L443,Customers!$A$2:$B$92,2,FALSE)</f>
        <v>La maison d'Asie</v>
      </c>
      <c r="B443" t="str">
        <f>VLOOKUP(L443,Customers!$A$2:$C$92,3,TRUE)</f>
        <v>Annette Roulet</v>
      </c>
      <c r="C443" t="str">
        <f t="shared" si="103"/>
        <v>Annette</v>
      </c>
      <c r="D443" s="8" t="str">
        <f t="shared" si="104"/>
        <v>Roulet</v>
      </c>
      <c r="E443" s="8" t="str">
        <f t="shared" si="105"/>
        <v>Roulet, Annette</v>
      </c>
      <c r="F443" s="8" t="str">
        <f t="shared" si="106"/>
        <v>Roulet, Annette</v>
      </c>
      <c r="G443" s="8" t="str">
        <f t="shared" si="107"/>
        <v>not an outlier</v>
      </c>
      <c r="H443" s="8" t="str">
        <f t="shared" si="108"/>
        <v>Not</v>
      </c>
      <c r="I443" s="8" t="str">
        <f t="shared" si="118"/>
        <v>no</v>
      </c>
      <c r="J443" s="10" t="str">
        <f t="shared" si="109"/>
        <v>no</v>
      </c>
      <c r="K443" s="10" t="str">
        <f t="shared" si="110"/>
        <v>no</v>
      </c>
      <c r="L443" t="s">
        <v>318</v>
      </c>
      <c r="M443">
        <v>10413</v>
      </c>
      <c r="N443">
        <v>76</v>
      </c>
      <c r="O443" t="s">
        <v>721</v>
      </c>
      <c r="P443" t="str">
        <f t="shared" si="111"/>
        <v>LAMAI_10413_Lakkalikööri</v>
      </c>
      <c r="Q443" t="str">
        <f t="shared" si="112"/>
        <v>10413</v>
      </c>
      <c r="R443" t="str">
        <f t="shared" si="113"/>
        <v>10413</v>
      </c>
      <c r="S443" t="str">
        <f t="shared" si="114"/>
        <v>Lakkalikööri</v>
      </c>
      <c r="T443">
        <v>14.4</v>
      </c>
      <c r="U443">
        <v>14</v>
      </c>
      <c r="V443">
        <v>0</v>
      </c>
      <c r="W443">
        <f t="shared" si="115"/>
        <v>201.6</v>
      </c>
      <c r="X443" t="str">
        <f t="shared" si="116"/>
        <v>No</v>
      </c>
      <c r="Y443" s="2">
        <v>34744</v>
      </c>
      <c r="Z443" t="str">
        <f t="shared" si="102"/>
        <v/>
      </c>
      <c r="AA443" t="str">
        <f t="shared" si="117"/>
        <v/>
      </c>
      <c r="AB443" t="str" cm="1">
        <f t="array" ref="AB443">_xlfn.IFS(Y443&lt;DATE(1996,1,1),"",Y443&lt;DATE(1996,4,1),"Q1",Y443&lt;DATE(1996,7,1),"Q2",Y443&gt;=DATE(1996,7,1),"")</f>
        <v/>
      </c>
    </row>
    <row r="444" spans="1:28" ht="14.4" x14ac:dyDescent="0.55000000000000004">
      <c r="A444" t="str">
        <f>VLOOKUP(L444,Customers!$A$2:$B$92,2,FALSE)</f>
        <v>Familia Arquibaldo</v>
      </c>
      <c r="B444" t="str">
        <f>VLOOKUP(L444,Customers!$A$2:$C$92,3,TRUE)</f>
        <v>Aria Cruz</v>
      </c>
      <c r="C444" t="str">
        <f t="shared" si="103"/>
        <v>Aria</v>
      </c>
      <c r="D444" s="8" t="str">
        <f t="shared" si="104"/>
        <v>Cruz</v>
      </c>
      <c r="E444" s="8" t="str">
        <f t="shared" si="105"/>
        <v>Cruz, Aria</v>
      </c>
      <c r="F444" s="8" t="str">
        <f t="shared" si="106"/>
        <v>Cruz, Aria</v>
      </c>
      <c r="G444" s="8" t="str">
        <f t="shared" si="107"/>
        <v>not an outlier</v>
      </c>
      <c r="H444" s="8" t="str">
        <f t="shared" si="108"/>
        <v>Not</v>
      </c>
      <c r="I444" s="8" t="str">
        <f t="shared" si="118"/>
        <v>no</v>
      </c>
      <c r="J444" s="10" t="str">
        <f t="shared" si="109"/>
        <v>no</v>
      </c>
      <c r="K444" s="10" t="str">
        <f t="shared" si="110"/>
        <v>no</v>
      </c>
      <c r="L444" t="s">
        <v>170</v>
      </c>
      <c r="M444">
        <v>10414</v>
      </c>
      <c r="N444">
        <v>19</v>
      </c>
      <c r="O444" t="s">
        <v>732</v>
      </c>
      <c r="P444" t="str">
        <f t="shared" si="111"/>
        <v>FAMIA_10414_Teatime Chocolate Biscuits</v>
      </c>
      <c r="Q444" t="str">
        <f t="shared" si="112"/>
        <v>10414</v>
      </c>
      <c r="R444" t="str">
        <f t="shared" si="113"/>
        <v>10414</v>
      </c>
      <c r="S444" t="str">
        <f t="shared" si="114"/>
        <v>Teatime Chocolate Biscuits</v>
      </c>
      <c r="T444">
        <v>7.3</v>
      </c>
      <c r="U444">
        <v>18</v>
      </c>
      <c r="V444">
        <v>0.05</v>
      </c>
      <c r="W444">
        <f t="shared" si="115"/>
        <v>124.83</v>
      </c>
      <c r="X444" t="str">
        <f t="shared" si="116"/>
        <v>No</v>
      </c>
      <c r="Y444" s="2">
        <v>34744</v>
      </c>
      <c r="Z444" t="str">
        <f t="shared" si="102"/>
        <v/>
      </c>
      <c r="AA444" t="str">
        <f t="shared" si="117"/>
        <v/>
      </c>
      <c r="AB444" t="str" cm="1">
        <f t="array" ref="AB444">_xlfn.IFS(Y444&lt;DATE(1996,1,1),"",Y444&lt;DATE(1996,4,1),"Q1",Y444&lt;DATE(1996,7,1),"Q2",Y444&gt;=DATE(1996,7,1),"")</f>
        <v/>
      </c>
    </row>
    <row r="445" spans="1:28" ht="14.4" x14ac:dyDescent="0.55000000000000004">
      <c r="A445" t="str">
        <f>VLOOKUP(L445,Customers!$A$2:$B$92,2,FALSE)</f>
        <v>Familia Arquibaldo</v>
      </c>
      <c r="B445" t="str">
        <f>VLOOKUP(L445,Customers!$A$2:$C$92,3,TRUE)</f>
        <v>Aria Cruz</v>
      </c>
      <c r="C445" t="str">
        <f t="shared" si="103"/>
        <v>Aria</v>
      </c>
      <c r="D445" s="8" t="str">
        <f t="shared" si="104"/>
        <v>Cruz</v>
      </c>
      <c r="E445" s="8" t="str">
        <f t="shared" si="105"/>
        <v>Cruz, Aria</v>
      </c>
      <c r="F445" s="8" t="str">
        <f t="shared" si="106"/>
        <v>Cruz, Aria</v>
      </c>
      <c r="G445" s="8" t="str">
        <f t="shared" si="107"/>
        <v>not an outlier</v>
      </c>
      <c r="H445" s="8" t="str">
        <f t="shared" si="108"/>
        <v>Not</v>
      </c>
      <c r="I445" s="8" t="str">
        <f t="shared" si="118"/>
        <v>no</v>
      </c>
      <c r="J445" s="10" t="str">
        <f t="shared" si="109"/>
        <v>no</v>
      </c>
      <c r="K445" s="10" t="str">
        <f t="shared" si="110"/>
        <v>no</v>
      </c>
      <c r="L445" t="s">
        <v>170</v>
      </c>
      <c r="M445">
        <v>10414</v>
      </c>
      <c r="N445">
        <v>33</v>
      </c>
      <c r="O445" t="s">
        <v>693</v>
      </c>
      <c r="P445" t="str">
        <f t="shared" si="111"/>
        <v>FAMIA_10414_Geitost</v>
      </c>
      <c r="Q445" t="str">
        <f t="shared" si="112"/>
        <v>10414</v>
      </c>
      <c r="R445" t="str">
        <f t="shared" si="113"/>
        <v>10414</v>
      </c>
      <c r="S445" t="str">
        <f t="shared" si="114"/>
        <v>Geitost</v>
      </c>
      <c r="T445">
        <v>2</v>
      </c>
      <c r="U445">
        <v>50</v>
      </c>
      <c r="V445">
        <v>0</v>
      </c>
      <c r="W445">
        <f t="shared" si="115"/>
        <v>100</v>
      </c>
      <c r="X445" t="str">
        <f t="shared" si="116"/>
        <v>No</v>
      </c>
      <c r="Y445" s="2">
        <v>34744</v>
      </c>
      <c r="Z445" t="str">
        <f t="shared" si="102"/>
        <v/>
      </c>
      <c r="AA445" t="str">
        <f t="shared" si="117"/>
        <v/>
      </c>
      <c r="AB445" t="str" cm="1">
        <f t="array" ref="AB445">_xlfn.IFS(Y445&lt;DATE(1996,1,1),"",Y445&lt;DATE(1996,4,1),"Q1",Y445&lt;DATE(1996,7,1),"Q2",Y445&gt;=DATE(1996,7,1),"")</f>
        <v/>
      </c>
    </row>
    <row r="446" spans="1:28" ht="14.4" x14ac:dyDescent="0.55000000000000004">
      <c r="A446" t="str">
        <f>VLOOKUP(L446,Customers!$A$2:$B$92,2,FALSE)</f>
        <v>Hungry Coyote Import Store</v>
      </c>
      <c r="B446" t="str">
        <f>VLOOKUP(L446,Customers!$A$2:$C$92,3,TRUE)</f>
        <v>Yoshi Latimer</v>
      </c>
      <c r="C446" t="str">
        <f t="shared" si="103"/>
        <v>Yoshi</v>
      </c>
      <c r="D446" s="8" t="str">
        <f t="shared" si="104"/>
        <v>Latimer</v>
      </c>
      <c r="E446" s="8" t="str">
        <f t="shared" si="105"/>
        <v>Latimer, Yoshi</v>
      </c>
      <c r="F446" s="8" t="str">
        <f t="shared" si="106"/>
        <v>Latimer, Yoshi</v>
      </c>
      <c r="G446" s="8" t="str">
        <f t="shared" si="107"/>
        <v>not an outlier</v>
      </c>
      <c r="H446" s="8" t="str">
        <f t="shared" si="108"/>
        <v>Not</v>
      </c>
      <c r="I446" s="8" t="str">
        <f t="shared" si="118"/>
        <v>no</v>
      </c>
      <c r="J446" s="10" t="str">
        <f t="shared" si="109"/>
        <v>no</v>
      </c>
      <c r="K446" s="10" t="str">
        <f t="shared" si="110"/>
        <v>no</v>
      </c>
      <c r="L446" t="s">
        <v>281</v>
      </c>
      <c r="M446">
        <v>10415</v>
      </c>
      <c r="N446">
        <v>17</v>
      </c>
      <c r="O446" t="s">
        <v>718</v>
      </c>
      <c r="P446" t="str">
        <f t="shared" si="111"/>
        <v>HUNGC_10415_Alice Mutton</v>
      </c>
      <c r="Q446" t="str">
        <f t="shared" si="112"/>
        <v>10415</v>
      </c>
      <c r="R446" t="str">
        <f t="shared" si="113"/>
        <v>10415</v>
      </c>
      <c r="S446" t="str">
        <f t="shared" si="114"/>
        <v>Alice Mutton</v>
      </c>
      <c r="T446">
        <v>31.2</v>
      </c>
      <c r="U446">
        <v>2</v>
      </c>
      <c r="V446">
        <v>0</v>
      </c>
      <c r="W446">
        <f t="shared" si="115"/>
        <v>62.4</v>
      </c>
      <c r="X446" t="str">
        <f t="shared" si="116"/>
        <v>No</v>
      </c>
      <c r="Y446" s="2">
        <v>34745</v>
      </c>
      <c r="Z446" t="str">
        <f t="shared" si="102"/>
        <v/>
      </c>
      <c r="AA446" t="str">
        <f t="shared" si="117"/>
        <v/>
      </c>
      <c r="AB446" t="str" cm="1">
        <f t="array" ref="AB446">_xlfn.IFS(Y446&lt;DATE(1996,1,1),"",Y446&lt;DATE(1996,4,1),"Q1",Y446&lt;DATE(1996,7,1),"Q2",Y446&gt;=DATE(1996,7,1),"")</f>
        <v/>
      </c>
    </row>
    <row r="447" spans="1:28" ht="14.4" x14ac:dyDescent="0.55000000000000004">
      <c r="A447" t="str">
        <f>VLOOKUP(L447,Customers!$A$2:$B$92,2,FALSE)</f>
        <v>Hungry Coyote Import Store</v>
      </c>
      <c r="B447" t="str">
        <f>VLOOKUP(L447,Customers!$A$2:$C$92,3,TRUE)</f>
        <v>Yoshi Latimer</v>
      </c>
      <c r="C447" t="str">
        <f t="shared" si="103"/>
        <v>Yoshi</v>
      </c>
      <c r="D447" s="8" t="str">
        <f t="shared" si="104"/>
        <v>Latimer</v>
      </c>
      <c r="E447" s="8" t="str">
        <f t="shared" si="105"/>
        <v>Latimer, Yoshi</v>
      </c>
      <c r="F447" s="8" t="str">
        <f t="shared" si="106"/>
        <v>Latimer, Yoshi</v>
      </c>
      <c r="G447" s="8" t="str">
        <f t="shared" si="107"/>
        <v>not an outlier</v>
      </c>
      <c r="H447" s="8" t="str">
        <f t="shared" si="108"/>
        <v>Not</v>
      </c>
      <c r="I447" s="8" t="str">
        <f t="shared" si="118"/>
        <v>no</v>
      </c>
      <c r="J447" s="10" t="str">
        <f t="shared" si="109"/>
        <v>no</v>
      </c>
      <c r="K447" s="10" t="str">
        <f t="shared" si="110"/>
        <v>no</v>
      </c>
      <c r="L447" t="s">
        <v>281</v>
      </c>
      <c r="M447">
        <v>10415</v>
      </c>
      <c r="N447">
        <v>33</v>
      </c>
      <c r="O447" t="s">
        <v>693</v>
      </c>
      <c r="P447" t="str">
        <f t="shared" si="111"/>
        <v>HUNGC_10415_Geitost</v>
      </c>
      <c r="Q447" t="str">
        <f t="shared" si="112"/>
        <v>10415</v>
      </c>
      <c r="R447" t="str">
        <f t="shared" si="113"/>
        <v>10415</v>
      </c>
      <c r="S447" t="str">
        <f t="shared" si="114"/>
        <v>Geitost</v>
      </c>
      <c r="T447">
        <v>2</v>
      </c>
      <c r="U447">
        <v>20</v>
      </c>
      <c r="V447">
        <v>0</v>
      </c>
      <c r="W447">
        <f t="shared" si="115"/>
        <v>40</v>
      </c>
      <c r="X447" t="str">
        <f t="shared" si="116"/>
        <v>No</v>
      </c>
      <c r="Y447" s="2">
        <v>34745</v>
      </c>
      <c r="Z447" t="str">
        <f t="shared" si="102"/>
        <v/>
      </c>
      <c r="AA447" t="str">
        <f t="shared" si="117"/>
        <v/>
      </c>
      <c r="AB447" t="str" cm="1">
        <f t="array" ref="AB447">_xlfn.IFS(Y447&lt;DATE(1996,1,1),"",Y447&lt;DATE(1996,4,1),"Q1",Y447&lt;DATE(1996,7,1),"Q2",Y447&gt;=DATE(1996,7,1),"")</f>
        <v/>
      </c>
    </row>
    <row r="448" spans="1:28" ht="14.4" x14ac:dyDescent="0.55000000000000004">
      <c r="A448" t="str">
        <f>VLOOKUP(L448,Customers!$A$2:$B$92,2,FALSE)</f>
        <v>Wartian Herkku</v>
      </c>
      <c r="B448" t="str">
        <f>VLOOKUP(L448,Customers!$A$2:$C$92,3,TRUE)</f>
        <v>Pirkko Koskitalo</v>
      </c>
      <c r="C448" t="str">
        <f t="shared" si="103"/>
        <v>Pirkko</v>
      </c>
      <c r="D448" s="8" t="str">
        <f t="shared" si="104"/>
        <v>Koskitalo</v>
      </c>
      <c r="E448" s="8" t="str">
        <f t="shared" si="105"/>
        <v>Koskitalo, Pirkko</v>
      </c>
      <c r="F448" s="8" t="str">
        <f t="shared" si="106"/>
        <v>Koskitalo, Pirkko</v>
      </c>
      <c r="G448" s="8" t="str">
        <f t="shared" si="107"/>
        <v>not an outlier</v>
      </c>
      <c r="H448" s="8" t="str">
        <f t="shared" si="108"/>
        <v>Not</v>
      </c>
      <c r="I448" s="8" t="str">
        <f t="shared" si="118"/>
        <v>no</v>
      </c>
      <c r="J448" s="10" t="str">
        <f t="shared" si="109"/>
        <v>no</v>
      </c>
      <c r="K448" s="10" t="str">
        <f t="shared" si="110"/>
        <v>no</v>
      </c>
      <c r="L448" t="s">
        <v>640</v>
      </c>
      <c r="M448">
        <v>10416</v>
      </c>
      <c r="N448">
        <v>19</v>
      </c>
      <c r="O448" t="s">
        <v>732</v>
      </c>
      <c r="P448" t="str">
        <f t="shared" si="111"/>
        <v>WARTH_10416_Teatime Chocolate Biscuits</v>
      </c>
      <c r="Q448" t="str">
        <f t="shared" si="112"/>
        <v>10416</v>
      </c>
      <c r="R448" t="str">
        <f t="shared" si="113"/>
        <v>10416</v>
      </c>
      <c r="S448" t="str">
        <f t="shared" si="114"/>
        <v>Teatime Chocolate Biscuits</v>
      </c>
      <c r="T448">
        <v>7.3</v>
      </c>
      <c r="U448">
        <v>20</v>
      </c>
      <c r="V448">
        <v>0</v>
      </c>
      <c r="W448">
        <f t="shared" si="115"/>
        <v>146</v>
      </c>
      <c r="X448" t="str">
        <f t="shared" si="116"/>
        <v>No</v>
      </c>
      <c r="Y448" s="2">
        <v>34746</v>
      </c>
      <c r="Z448" t="str">
        <f t="shared" si="102"/>
        <v/>
      </c>
      <c r="AA448" t="str">
        <f t="shared" si="117"/>
        <v/>
      </c>
      <c r="AB448" t="str" cm="1">
        <f t="array" ref="AB448">_xlfn.IFS(Y448&lt;DATE(1996,1,1),"",Y448&lt;DATE(1996,4,1),"Q1",Y448&lt;DATE(1996,7,1),"Q2",Y448&gt;=DATE(1996,7,1),"")</f>
        <v/>
      </c>
    </row>
    <row r="449" spans="1:28" ht="14.4" x14ac:dyDescent="0.55000000000000004">
      <c r="A449" t="str">
        <f>VLOOKUP(L449,Customers!$A$2:$B$92,2,FALSE)</f>
        <v>Wartian Herkku</v>
      </c>
      <c r="B449" t="str">
        <f>VLOOKUP(L449,Customers!$A$2:$C$92,3,TRUE)</f>
        <v>Pirkko Koskitalo</v>
      </c>
      <c r="C449" t="str">
        <f t="shared" si="103"/>
        <v>Pirkko</v>
      </c>
      <c r="D449" s="8" t="str">
        <f t="shared" si="104"/>
        <v>Koskitalo</v>
      </c>
      <c r="E449" s="8" t="str">
        <f t="shared" si="105"/>
        <v>Koskitalo, Pirkko</v>
      </c>
      <c r="F449" s="8" t="str">
        <f t="shared" si="106"/>
        <v>Koskitalo, Pirkko</v>
      </c>
      <c r="G449" s="8" t="str">
        <f t="shared" si="107"/>
        <v>not an outlier</v>
      </c>
      <c r="H449" s="8" t="str">
        <f t="shared" si="108"/>
        <v>Not</v>
      </c>
      <c r="I449" s="8" t="str">
        <f t="shared" si="118"/>
        <v>no</v>
      </c>
      <c r="J449" s="10" t="str">
        <f t="shared" si="109"/>
        <v>no</v>
      </c>
      <c r="K449" s="10" t="str">
        <f t="shared" si="110"/>
        <v>no</v>
      </c>
      <c r="L449" t="s">
        <v>640</v>
      </c>
      <c r="M449">
        <v>10416</v>
      </c>
      <c r="N449">
        <v>53</v>
      </c>
      <c r="O449" t="s">
        <v>705</v>
      </c>
      <c r="P449" t="str">
        <f t="shared" si="111"/>
        <v>WARTH_10416_Perth Pasties</v>
      </c>
      <c r="Q449" t="str">
        <f t="shared" si="112"/>
        <v>10416</v>
      </c>
      <c r="R449" t="str">
        <f t="shared" si="113"/>
        <v>10416</v>
      </c>
      <c r="S449" t="str">
        <f t="shared" si="114"/>
        <v>Perth Pasties</v>
      </c>
      <c r="T449">
        <v>26.2</v>
      </c>
      <c r="U449">
        <v>10</v>
      </c>
      <c r="V449">
        <v>0</v>
      </c>
      <c r="W449">
        <f t="shared" si="115"/>
        <v>262</v>
      </c>
      <c r="X449" t="str">
        <f t="shared" si="116"/>
        <v>No</v>
      </c>
      <c r="Y449" s="2">
        <v>34746</v>
      </c>
      <c r="Z449" t="str">
        <f t="shared" ref="Z449:Z512" si="119">IF(Y449&gt;=DATE(1996,1,1), IF(Y449&lt;DATE(1996,4,1),"1st Q 1996",""),"")</f>
        <v/>
      </c>
      <c r="AA449" t="str">
        <f t="shared" si="117"/>
        <v/>
      </c>
      <c r="AB449" t="str" cm="1">
        <f t="array" ref="AB449">_xlfn.IFS(Y449&lt;DATE(1996,1,1),"",Y449&lt;DATE(1996,4,1),"Q1",Y449&lt;DATE(1996,7,1),"Q2",Y449&gt;=DATE(1996,7,1),"")</f>
        <v/>
      </c>
    </row>
    <row r="450" spans="1:28" ht="14.4" x14ac:dyDescent="0.55000000000000004">
      <c r="A450" t="str">
        <f>VLOOKUP(L450,Customers!$A$2:$B$92,2,FALSE)</f>
        <v>Wartian Herkku</v>
      </c>
      <c r="B450" t="str">
        <f>VLOOKUP(L450,Customers!$A$2:$C$92,3,TRUE)</f>
        <v>Pirkko Koskitalo</v>
      </c>
      <c r="C450" t="str">
        <f t="shared" si="103"/>
        <v>Pirkko</v>
      </c>
      <c r="D450" s="8" t="str">
        <f t="shared" si="104"/>
        <v>Koskitalo</v>
      </c>
      <c r="E450" s="8" t="str">
        <f t="shared" si="105"/>
        <v>Koskitalo, Pirkko</v>
      </c>
      <c r="F450" s="8" t="str">
        <f t="shared" si="106"/>
        <v>Koskitalo, Pirkko</v>
      </c>
      <c r="G450" s="8" t="str">
        <f t="shared" si="107"/>
        <v>not an outlier</v>
      </c>
      <c r="H450" s="8" t="str">
        <f t="shared" si="108"/>
        <v>Not</v>
      </c>
      <c r="I450" s="8" t="str">
        <f t="shared" si="118"/>
        <v>no</v>
      </c>
      <c r="J450" s="10" t="str">
        <f t="shared" si="109"/>
        <v>no</v>
      </c>
      <c r="K450" s="10" t="str">
        <f t="shared" si="110"/>
        <v>no</v>
      </c>
      <c r="L450" t="s">
        <v>640</v>
      </c>
      <c r="M450">
        <v>10416</v>
      </c>
      <c r="N450">
        <v>57</v>
      </c>
      <c r="O450" t="s">
        <v>691</v>
      </c>
      <c r="P450" t="str">
        <f t="shared" si="111"/>
        <v>WARTH_10416_Ravioli Angelo</v>
      </c>
      <c r="Q450" t="str">
        <f t="shared" si="112"/>
        <v>10416</v>
      </c>
      <c r="R450" t="str">
        <f t="shared" si="113"/>
        <v>10416</v>
      </c>
      <c r="S450" t="str">
        <f t="shared" si="114"/>
        <v>Ravioli Angelo</v>
      </c>
      <c r="T450">
        <v>15.6</v>
      </c>
      <c r="U450">
        <v>20</v>
      </c>
      <c r="V450">
        <v>0</v>
      </c>
      <c r="W450">
        <f t="shared" si="115"/>
        <v>312</v>
      </c>
      <c r="X450" t="str">
        <f t="shared" si="116"/>
        <v>No</v>
      </c>
      <c r="Y450" s="2">
        <v>34746</v>
      </c>
      <c r="Z450" t="str">
        <f t="shared" si="119"/>
        <v/>
      </c>
      <c r="AA450" t="str">
        <f t="shared" si="117"/>
        <v/>
      </c>
      <c r="AB450" t="str" cm="1">
        <f t="array" ref="AB450">_xlfn.IFS(Y450&lt;DATE(1996,1,1),"",Y450&lt;DATE(1996,4,1),"Q1",Y450&lt;DATE(1996,7,1),"Q2",Y450&gt;=DATE(1996,7,1),"")</f>
        <v/>
      </c>
    </row>
    <row r="451" spans="1:28" ht="14.4" x14ac:dyDescent="0.55000000000000004">
      <c r="A451" t="str">
        <f>VLOOKUP(L451,Customers!$A$2:$B$92,2,FALSE)</f>
        <v>Simons bistro</v>
      </c>
      <c r="B451" t="str">
        <f>VLOOKUP(L451,Customers!$A$2:$C$92,3,TRUE)</f>
        <v>Jytte Petersen</v>
      </c>
      <c r="C451" t="str">
        <f t="shared" ref="C451:C514" si="120">LEFT(B451,FIND(" ",B451)-1)</f>
        <v>Jytte</v>
      </c>
      <c r="D451" s="8" t="str">
        <f t="shared" ref="D451:D514" si="121">RIGHT(B451,LEN(B451)-FIND(" ",B451))</f>
        <v>Petersen</v>
      </c>
      <c r="E451" s="8" t="str">
        <f t="shared" ref="E451:E514" si="122">_xlfn.CONCAT(D451,", ",C451)</f>
        <v>Petersen, Jytte</v>
      </c>
      <c r="F451" s="8" t="str">
        <f t="shared" ref="F451:F514" si="123">D451&amp;", "&amp;C451</f>
        <v>Petersen, Jytte</v>
      </c>
      <c r="G451" s="8" t="str">
        <f t="shared" ref="G451:G514" si="124">IF(OR(W451&gt;$W$2166,W451&lt;$W$2167),"outlier","not an outlier")</f>
        <v>outlier</v>
      </c>
      <c r="H451" s="8" t="str">
        <f t="shared" ref="H451:H514" si="125">IF(OR(W451&gt;$W$2166,W451&lt;$W$2167),"outlier",IF(OR(W451&gt;$W$2168,W451&lt;$W$2169),"moderate","Not"))</f>
        <v>outlier</v>
      </c>
      <c r="I451" s="8" t="str">
        <f t="shared" si="118"/>
        <v>yes</v>
      </c>
      <c r="J451" s="10" t="str">
        <f t="shared" ref="J451:J514" si="126">IF(AND(W451&lt;=$W$2166,W451&gt;=$W$2167),"no","yes")</f>
        <v>yes</v>
      </c>
      <c r="K451" s="10" t="str">
        <f t="shared" ref="K451:K514" si="127">IF(OR(W451&gt;$W$2166,W451&lt;$W$2167),"yes",IF(OR(W451&gt;$W$2168,W451&lt;$W$2169),"moderate","no"))</f>
        <v>yes</v>
      </c>
      <c r="L451" t="s">
        <v>543</v>
      </c>
      <c r="M451">
        <v>10417</v>
      </c>
      <c r="N451">
        <v>38</v>
      </c>
      <c r="O451" t="s">
        <v>750</v>
      </c>
      <c r="P451" t="str">
        <f t="shared" ref="P451:P514" si="128">L451&amp;"_"&amp;M451&amp;"_"&amp;O451</f>
        <v>SIMOB_10417_Côte de Blaye</v>
      </c>
      <c r="Q451" t="str">
        <f t="shared" ref="Q451:Q514" si="129">LEFT(RIGHT(P451,LEN(P451)-FIND("_",P451)), FIND("_",P451)-1)</f>
        <v>10417</v>
      </c>
      <c r="R451" t="str">
        <f t="shared" ref="R451:R514" si="130">MID(P451,FIND("_",P451)+1,FIND("_",P451,FIND("_",P451))-1)</f>
        <v>10417</v>
      </c>
      <c r="S451" t="str">
        <f t="shared" ref="S451:S514" si="131">MID(P451,FIND("_",P451,FIND("_",P451)+1)+1,LEN(P451))</f>
        <v>Côte de Blaye</v>
      </c>
      <c r="T451">
        <v>210.8</v>
      </c>
      <c r="U451">
        <v>50</v>
      </c>
      <c r="V451">
        <v>0</v>
      </c>
      <c r="W451">
        <f t="shared" ref="W451:W514" si="132">T451*U451*(1-V451)</f>
        <v>10540</v>
      </c>
      <c r="X451" t="str">
        <f t="shared" ref="X451:X514" si="133">IF(YEAR(Y451)&gt;=1996,"yes","No")</f>
        <v>No</v>
      </c>
      <c r="Y451" s="2">
        <v>34746</v>
      </c>
      <c r="Z451" t="str">
        <f t="shared" si="119"/>
        <v/>
      </c>
      <c r="AA451" t="str">
        <f t="shared" ref="AA451:AA514" si="134">IF(Y451&lt;DATE(1996,1,1),"", IF(Y451&lt;DATE(1996,4,1),"1st Q 1996",IF(Y451&lt;DATE(1996,7,1),"2nd Q 1996","")))</f>
        <v/>
      </c>
      <c r="AB451" t="str" cm="1">
        <f t="array" ref="AB451">_xlfn.IFS(Y451&lt;DATE(1996,1,1),"",Y451&lt;DATE(1996,4,1),"Q1",Y451&lt;DATE(1996,7,1),"Q2",Y451&gt;=DATE(1996,7,1),"")</f>
        <v/>
      </c>
    </row>
    <row r="452" spans="1:28" ht="14.4" x14ac:dyDescent="0.55000000000000004">
      <c r="A452" t="str">
        <f>VLOOKUP(L452,Customers!$A$2:$B$92,2,FALSE)</f>
        <v>Simons bistro</v>
      </c>
      <c r="B452" t="str">
        <f>VLOOKUP(L452,Customers!$A$2:$C$92,3,TRUE)</f>
        <v>Jytte Petersen</v>
      </c>
      <c r="C452" t="str">
        <f t="shared" si="120"/>
        <v>Jytte</v>
      </c>
      <c r="D452" s="8" t="str">
        <f t="shared" si="121"/>
        <v>Petersen</v>
      </c>
      <c r="E452" s="8" t="str">
        <f t="shared" si="122"/>
        <v>Petersen, Jytte</v>
      </c>
      <c r="F452" s="8" t="str">
        <f t="shared" si="123"/>
        <v>Petersen, Jytte</v>
      </c>
      <c r="G452" s="8" t="str">
        <f t="shared" si="124"/>
        <v>not an outlier</v>
      </c>
      <c r="H452" s="8" t="str">
        <f t="shared" si="125"/>
        <v>Not</v>
      </c>
      <c r="I452" s="8" t="str">
        <f t="shared" ref="I452:I515" si="135">IF(OR(W452&gt;$W$2166,W452&lt;$W$2167),"yes","no")</f>
        <v>no</v>
      </c>
      <c r="J452" s="10" t="str">
        <f t="shared" si="126"/>
        <v>no</v>
      </c>
      <c r="K452" s="10" t="str">
        <f t="shared" si="127"/>
        <v>no</v>
      </c>
      <c r="L452" t="s">
        <v>543</v>
      </c>
      <c r="M452">
        <v>10417</v>
      </c>
      <c r="N452">
        <v>46</v>
      </c>
      <c r="O452" t="s">
        <v>737</v>
      </c>
      <c r="P452" t="str">
        <f t="shared" si="128"/>
        <v>SIMOB_10417_Spegesild</v>
      </c>
      <c r="Q452" t="str">
        <f t="shared" si="129"/>
        <v>10417</v>
      </c>
      <c r="R452" t="str">
        <f t="shared" si="130"/>
        <v>10417</v>
      </c>
      <c r="S452" t="str">
        <f t="shared" si="131"/>
        <v>Spegesild</v>
      </c>
      <c r="T452">
        <v>9.6</v>
      </c>
      <c r="U452">
        <v>2</v>
      </c>
      <c r="V452">
        <v>0.25</v>
      </c>
      <c r="W452">
        <f t="shared" si="132"/>
        <v>14.399999999999999</v>
      </c>
      <c r="X452" t="str">
        <f t="shared" si="133"/>
        <v>No</v>
      </c>
      <c r="Y452" s="2">
        <v>34746</v>
      </c>
      <c r="Z452" t="str">
        <f t="shared" si="119"/>
        <v/>
      </c>
      <c r="AA452" t="str">
        <f t="shared" si="134"/>
        <v/>
      </c>
      <c r="AB452" t="str" cm="1">
        <f t="array" ref="AB452">_xlfn.IFS(Y452&lt;DATE(1996,1,1),"",Y452&lt;DATE(1996,4,1),"Q1",Y452&lt;DATE(1996,7,1),"Q2",Y452&gt;=DATE(1996,7,1),"")</f>
        <v/>
      </c>
    </row>
    <row r="453" spans="1:28" ht="14.4" x14ac:dyDescent="0.55000000000000004">
      <c r="A453" t="str">
        <f>VLOOKUP(L453,Customers!$A$2:$B$92,2,FALSE)</f>
        <v>Simons bistro</v>
      </c>
      <c r="B453" t="str">
        <f>VLOOKUP(L453,Customers!$A$2:$C$92,3,TRUE)</f>
        <v>Jytte Petersen</v>
      </c>
      <c r="C453" t="str">
        <f t="shared" si="120"/>
        <v>Jytte</v>
      </c>
      <c r="D453" s="8" t="str">
        <f t="shared" si="121"/>
        <v>Petersen</v>
      </c>
      <c r="E453" s="8" t="str">
        <f t="shared" si="122"/>
        <v>Petersen, Jytte</v>
      </c>
      <c r="F453" s="8" t="str">
        <f t="shared" si="123"/>
        <v>Petersen, Jytte</v>
      </c>
      <c r="G453" s="8" t="str">
        <f t="shared" si="124"/>
        <v>not an outlier</v>
      </c>
      <c r="H453" s="8" t="str">
        <f t="shared" si="125"/>
        <v>Not</v>
      </c>
      <c r="I453" s="8" t="str">
        <f t="shared" si="135"/>
        <v>no</v>
      </c>
      <c r="J453" s="10" t="str">
        <f t="shared" si="126"/>
        <v>no</v>
      </c>
      <c r="K453" s="10" t="str">
        <f t="shared" si="127"/>
        <v>no</v>
      </c>
      <c r="L453" t="s">
        <v>543</v>
      </c>
      <c r="M453">
        <v>10417</v>
      </c>
      <c r="N453">
        <v>68</v>
      </c>
      <c r="O453" t="s">
        <v>739</v>
      </c>
      <c r="P453" t="str">
        <f t="shared" si="128"/>
        <v>SIMOB_10417_Scottish Longbreads</v>
      </c>
      <c r="Q453" t="str">
        <f t="shared" si="129"/>
        <v>10417</v>
      </c>
      <c r="R453" t="str">
        <f t="shared" si="130"/>
        <v>10417</v>
      </c>
      <c r="S453" t="str">
        <f t="shared" si="131"/>
        <v>Scottish Longbreads</v>
      </c>
      <c r="T453">
        <v>10</v>
      </c>
      <c r="U453">
        <v>36</v>
      </c>
      <c r="V453">
        <v>0.25</v>
      </c>
      <c r="W453">
        <f t="shared" si="132"/>
        <v>270</v>
      </c>
      <c r="X453" t="str">
        <f t="shared" si="133"/>
        <v>No</v>
      </c>
      <c r="Y453" s="2">
        <v>34746</v>
      </c>
      <c r="Z453" t="str">
        <f t="shared" si="119"/>
        <v/>
      </c>
      <c r="AA453" t="str">
        <f t="shared" si="134"/>
        <v/>
      </c>
      <c r="AB453" t="str" cm="1">
        <f t="array" ref="AB453">_xlfn.IFS(Y453&lt;DATE(1996,1,1),"",Y453&lt;DATE(1996,4,1),"Q1",Y453&lt;DATE(1996,7,1),"Q2",Y453&gt;=DATE(1996,7,1),"")</f>
        <v/>
      </c>
    </row>
    <row r="454" spans="1:28" ht="14.4" x14ac:dyDescent="0.55000000000000004">
      <c r="A454" t="str">
        <f>VLOOKUP(L454,Customers!$A$2:$B$92,2,FALSE)</f>
        <v>Simons bistro</v>
      </c>
      <c r="B454" t="str">
        <f>VLOOKUP(L454,Customers!$A$2:$C$92,3,TRUE)</f>
        <v>Jytte Petersen</v>
      </c>
      <c r="C454" t="str">
        <f t="shared" si="120"/>
        <v>Jytte</v>
      </c>
      <c r="D454" s="8" t="str">
        <f t="shared" si="121"/>
        <v>Petersen</v>
      </c>
      <c r="E454" s="8" t="str">
        <f t="shared" si="122"/>
        <v>Petersen, Jytte</v>
      </c>
      <c r="F454" s="8" t="str">
        <f t="shared" si="123"/>
        <v>Petersen, Jytte</v>
      </c>
      <c r="G454" s="8" t="str">
        <f t="shared" si="124"/>
        <v>not an outlier</v>
      </c>
      <c r="H454" s="8" t="str">
        <f t="shared" si="125"/>
        <v>Not</v>
      </c>
      <c r="I454" s="8" t="str">
        <f t="shared" si="135"/>
        <v>no</v>
      </c>
      <c r="J454" s="10" t="str">
        <f t="shared" si="126"/>
        <v>no</v>
      </c>
      <c r="K454" s="10" t="str">
        <f t="shared" si="127"/>
        <v>no</v>
      </c>
      <c r="L454" t="s">
        <v>543</v>
      </c>
      <c r="M454">
        <v>10417</v>
      </c>
      <c r="N454">
        <v>77</v>
      </c>
      <c r="O454" t="s">
        <v>706</v>
      </c>
      <c r="P454" t="str">
        <f t="shared" si="128"/>
        <v>SIMOB_10417_Original Frankfurter grüne Soße</v>
      </c>
      <c r="Q454" t="str">
        <f t="shared" si="129"/>
        <v>10417</v>
      </c>
      <c r="R454" t="str">
        <f t="shared" si="130"/>
        <v>10417</v>
      </c>
      <c r="S454" t="str">
        <f t="shared" si="131"/>
        <v>Original Frankfurter grüne Soße</v>
      </c>
      <c r="T454">
        <v>10.4</v>
      </c>
      <c r="U454">
        <v>35</v>
      </c>
      <c r="V454">
        <v>0</v>
      </c>
      <c r="W454">
        <f t="shared" si="132"/>
        <v>364</v>
      </c>
      <c r="X454" t="str">
        <f t="shared" si="133"/>
        <v>No</v>
      </c>
      <c r="Y454" s="2">
        <v>34746</v>
      </c>
      <c r="Z454" t="str">
        <f t="shared" si="119"/>
        <v/>
      </c>
      <c r="AA454" t="str">
        <f t="shared" si="134"/>
        <v/>
      </c>
      <c r="AB454" t="str" cm="1">
        <f t="array" ref="AB454">_xlfn.IFS(Y454&lt;DATE(1996,1,1),"",Y454&lt;DATE(1996,4,1),"Q1",Y454&lt;DATE(1996,7,1),"Q2",Y454&gt;=DATE(1996,7,1),"")</f>
        <v/>
      </c>
    </row>
    <row r="455" spans="1:28" ht="14.4" x14ac:dyDescent="0.55000000000000004">
      <c r="A455" t="str">
        <f>VLOOKUP(L455,Customers!$A$2:$B$92,2,FALSE)</f>
        <v>QUICK-Stop</v>
      </c>
      <c r="B455" t="str">
        <f>VLOOKUP(L455,Customers!$A$2:$C$92,3,TRUE)</f>
        <v>Horst Kloss</v>
      </c>
      <c r="C455" t="str">
        <f t="shared" si="120"/>
        <v>Horst</v>
      </c>
      <c r="D455" s="8" t="str">
        <f t="shared" si="121"/>
        <v>Kloss</v>
      </c>
      <c r="E455" s="8" t="str">
        <f t="shared" si="122"/>
        <v>Kloss, Horst</v>
      </c>
      <c r="F455" s="8" t="str">
        <f t="shared" si="123"/>
        <v>Kloss, Horst</v>
      </c>
      <c r="G455" s="8" t="str">
        <f t="shared" si="124"/>
        <v>not an outlier</v>
      </c>
      <c r="H455" s="8" t="str">
        <f t="shared" si="125"/>
        <v>Not</v>
      </c>
      <c r="I455" s="8" t="str">
        <f t="shared" si="135"/>
        <v>no</v>
      </c>
      <c r="J455" s="10" t="str">
        <f t="shared" si="126"/>
        <v>no</v>
      </c>
      <c r="K455" s="10" t="str">
        <f t="shared" si="127"/>
        <v>no</v>
      </c>
      <c r="L455" t="s">
        <v>475</v>
      </c>
      <c r="M455">
        <v>10418</v>
      </c>
      <c r="N455">
        <v>2</v>
      </c>
      <c r="O455" t="s">
        <v>701</v>
      </c>
      <c r="P455" t="str">
        <f t="shared" si="128"/>
        <v>QUICK_10418_Chang</v>
      </c>
      <c r="Q455" t="str">
        <f t="shared" si="129"/>
        <v>10418</v>
      </c>
      <c r="R455" t="str">
        <f t="shared" si="130"/>
        <v>10418</v>
      </c>
      <c r="S455" t="str">
        <f t="shared" si="131"/>
        <v>Chang</v>
      </c>
      <c r="T455">
        <v>15.2</v>
      </c>
      <c r="U455">
        <v>60</v>
      </c>
      <c r="V455">
        <v>0</v>
      </c>
      <c r="W455">
        <f t="shared" si="132"/>
        <v>912</v>
      </c>
      <c r="X455" t="str">
        <f t="shared" si="133"/>
        <v>No</v>
      </c>
      <c r="Y455" s="2">
        <v>34747</v>
      </c>
      <c r="Z455" t="str">
        <f t="shared" si="119"/>
        <v/>
      </c>
      <c r="AA455" t="str">
        <f t="shared" si="134"/>
        <v/>
      </c>
      <c r="AB455" t="str" cm="1">
        <f t="array" ref="AB455">_xlfn.IFS(Y455&lt;DATE(1996,1,1),"",Y455&lt;DATE(1996,4,1),"Q1",Y455&lt;DATE(1996,7,1),"Q2",Y455&gt;=DATE(1996,7,1),"")</f>
        <v/>
      </c>
    </row>
    <row r="456" spans="1:28" ht="14.4" x14ac:dyDescent="0.55000000000000004">
      <c r="A456" t="str">
        <f>VLOOKUP(L456,Customers!$A$2:$B$92,2,FALSE)</f>
        <v>QUICK-Stop</v>
      </c>
      <c r="B456" t="str">
        <f>VLOOKUP(L456,Customers!$A$2:$C$92,3,TRUE)</f>
        <v>Horst Kloss</v>
      </c>
      <c r="C456" t="str">
        <f t="shared" si="120"/>
        <v>Horst</v>
      </c>
      <c r="D456" s="8" t="str">
        <f t="shared" si="121"/>
        <v>Kloss</v>
      </c>
      <c r="E456" s="8" t="str">
        <f t="shared" si="122"/>
        <v>Kloss, Horst</v>
      </c>
      <c r="F456" s="8" t="str">
        <f t="shared" si="123"/>
        <v>Kloss, Horst</v>
      </c>
      <c r="G456" s="8" t="str">
        <f t="shared" si="124"/>
        <v>not an outlier</v>
      </c>
      <c r="H456" s="8" t="str">
        <f t="shared" si="125"/>
        <v>Not</v>
      </c>
      <c r="I456" s="8" t="str">
        <f t="shared" si="135"/>
        <v>no</v>
      </c>
      <c r="J456" s="10" t="str">
        <f t="shared" si="126"/>
        <v>no</v>
      </c>
      <c r="K456" s="10" t="str">
        <f t="shared" si="127"/>
        <v>no</v>
      </c>
      <c r="L456" t="s">
        <v>475</v>
      </c>
      <c r="M456">
        <v>10418</v>
      </c>
      <c r="N456">
        <v>47</v>
      </c>
      <c r="O456" t="s">
        <v>752</v>
      </c>
      <c r="P456" t="str">
        <f t="shared" si="128"/>
        <v>QUICK_10418_Zaanse koeken</v>
      </c>
      <c r="Q456" t="str">
        <f t="shared" si="129"/>
        <v>10418</v>
      </c>
      <c r="R456" t="str">
        <f t="shared" si="130"/>
        <v>10418</v>
      </c>
      <c r="S456" t="str">
        <f t="shared" si="131"/>
        <v>Zaanse koeken</v>
      </c>
      <c r="T456">
        <v>7.6</v>
      </c>
      <c r="U456">
        <v>55</v>
      </c>
      <c r="V456">
        <v>0</v>
      </c>
      <c r="W456">
        <f t="shared" si="132"/>
        <v>418</v>
      </c>
      <c r="X456" t="str">
        <f t="shared" si="133"/>
        <v>No</v>
      </c>
      <c r="Y456" s="2">
        <v>34747</v>
      </c>
      <c r="Z456" t="str">
        <f t="shared" si="119"/>
        <v/>
      </c>
      <c r="AA456" t="str">
        <f t="shared" si="134"/>
        <v/>
      </c>
      <c r="AB456" t="str" cm="1">
        <f t="array" ref="AB456">_xlfn.IFS(Y456&lt;DATE(1996,1,1),"",Y456&lt;DATE(1996,4,1),"Q1",Y456&lt;DATE(1996,7,1),"Q2",Y456&gt;=DATE(1996,7,1),"")</f>
        <v/>
      </c>
    </row>
    <row r="457" spans="1:28" ht="14.4" x14ac:dyDescent="0.55000000000000004">
      <c r="A457" t="str">
        <f>VLOOKUP(L457,Customers!$A$2:$B$92,2,FALSE)</f>
        <v>QUICK-Stop</v>
      </c>
      <c r="B457" t="str">
        <f>VLOOKUP(L457,Customers!$A$2:$C$92,3,TRUE)</f>
        <v>Horst Kloss</v>
      </c>
      <c r="C457" t="str">
        <f t="shared" si="120"/>
        <v>Horst</v>
      </c>
      <c r="D457" s="8" t="str">
        <f t="shared" si="121"/>
        <v>Kloss</v>
      </c>
      <c r="E457" s="8" t="str">
        <f t="shared" si="122"/>
        <v>Kloss, Horst</v>
      </c>
      <c r="F457" s="8" t="str">
        <f t="shared" si="123"/>
        <v>Kloss, Horst</v>
      </c>
      <c r="G457" s="8" t="str">
        <f t="shared" si="124"/>
        <v>not an outlier</v>
      </c>
      <c r="H457" s="8" t="str">
        <f t="shared" si="125"/>
        <v>Not</v>
      </c>
      <c r="I457" s="8" t="str">
        <f t="shared" si="135"/>
        <v>no</v>
      </c>
      <c r="J457" s="10" t="str">
        <f t="shared" si="126"/>
        <v>no</v>
      </c>
      <c r="K457" s="10" t="str">
        <f t="shared" si="127"/>
        <v>no</v>
      </c>
      <c r="L457" t="s">
        <v>475</v>
      </c>
      <c r="M457">
        <v>10418</v>
      </c>
      <c r="N457">
        <v>61</v>
      </c>
      <c r="O457" t="s">
        <v>758</v>
      </c>
      <c r="P457" t="str">
        <f t="shared" si="128"/>
        <v>QUICK_10418_Sirop d'érable</v>
      </c>
      <c r="Q457" t="str">
        <f t="shared" si="129"/>
        <v>10418</v>
      </c>
      <c r="R457" t="str">
        <f t="shared" si="130"/>
        <v>10418</v>
      </c>
      <c r="S457" t="str">
        <f t="shared" si="131"/>
        <v>Sirop d'érable</v>
      </c>
      <c r="T457">
        <v>22.8</v>
      </c>
      <c r="U457">
        <v>16</v>
      </c>
      <c r="V457">
        <v>0</v>
      </c>
      <c r="W457">
        <f t="shared" si="132"/>
        <v>364.8</v>
      </c>
      <c r="X457" t="str">
        <f t="shared" si="133"/>
        <v>No</v>
      </c>
      <c r="Y457" s="2">
        <v>34747</v>
      </c>
      <c r="Z457" t="str">
        <f t="shared" si="119"/>
        <v/>
      </c>
      <c r="AA457" t="str">
        <f t="shared" si="134"/>
        <v/>
      </c>
      <c r="AB457" t="str" cm="1">
        <f t="array" ref="AB457">_xlfn.IFS(Y457&lt;DATE(1996,1,1),"",Y457&lt;DATE(1996,4,1),"Q1",Y457&lt;DATE(1996,7,1),"Q2",Y457&gt;=DATE(1996,7,1),"")</f>
        <v/>
      </c>
    </row>
    <row r="458" spans="1:28" ht="14.4" x14ac:dyDescent="0.55000000000000004">
      <c r="A458" t="str">
        <f>VLOOKUP(L458,Customers!$A$2:$B$92,2,FALSE)</f>
        <v>QUICK-Stop</v>
      </c>
      <c r="B458" t="str">
        <f>VLOOKUP(L458,Customers!$A$2:$C$92,3,TRUE)</f>
        <v>Horst Kloss</v>
      </c>
      <c r="C458" t="str">
        <f t="shared" si="120"/>
        <v>Horst</v>
      </c>
      <c r="D458" s="8" t="str">
        <f t="shared" si="121"/>
        <v>Kloss</v>
      </c>
      <c r="E458" s="8" t="str">
        <f t="shared" si="122"/>
        <v>Kloss, Horst</v>
      </c>
      <c r="F458" s="8" t="str">
        <f t="shared" si="123"/>
        <v>Kloss, Horst</v>
      </c>
      <c r="G458" s="8" t="str">
        <f t="shared" si="124"/>
        <v>not an outlier</v>
      </c>
      <c r="H458" s="8" t="str">
        <f t="shared" si="125"/>
        <v>Not</v>
      </c>
      <c r="I458" s="8" t="str">
        <f t="shared" si="135"/>
        <v>no</v>
      </c>
      <c r="J458" s="10" t="str">
        <f t="shared" si="126"/>
        <v>no</v>
      </c>
      <c r="K458" s="10" t="str">
        <f t="shared" si="127"/>
        <v>no</v>
      </c>
      <c r="L458" t="s">
        <v>475</v>
      </c>
      <c r="M458">
        <v>10418</v>
      </c>
      <c r="N458">
        <v>74</v>
      </c>
      <c r="O458" t="s">
        <v>700</v>
      </c>
      <c r="P458" t="str">
        <f t="shared" si="128"/>
        <v>QUICK_10418_Longlife Tofu</v>
      </c>
      <c r="Q458" t="str">
        <f t="shared" si="129"/>
        <v>10418</v>
      </c>
      <c r="R458" t="str">
        <f t="shared" si="130"/>
        <v>10418</v>
      </c>
      <c r="S458" t="str">
        <f t="shared" si="131"/>
        <v>Longlife Tofu</v>
      </c>
      <c r="T458">
        <v>8</v>
      </c>
      <c r="U458">
        <v>15</v>
      </c>
      <c r="V458">
        <v>0</v>
      </c>
      <c r="W458">
        <f t="shared" si="132"/>
        <v>120</v>
      </c>
      <c r="X458" t="str">
        <f t="shared" si="133"/>
        <v>No</v>
      </c>
      <c r="Y458" s="2">
        <v>34747</v>
      </c>
      <c r="Z458" t="str">
        <f t="shared" si="119"/>
        <v/>
      </c>
      <c r="AA458" t="str">
        <f t="shared" si="134"/>
        <v/>
      </c>
      <c r="AB458" t="str" cm="1">
        <f t="array" ref="AB458">_xlfn.IFS(Y458&lt;DATE(1996,1,1),"",Y458&lt;DATE(1996,4,1),"Q1",Y458&lt;DATE(1996,7,1),"Q2",Y458&gt;=DATE(1996,7,1),"")</f>
        <v/>
      </c>
    </row>
    <row r="459" spans="1:28" ht="14.4" x14ac:dyDescent="0.55000000000000004">
      <c r="A459" t="str">
        <f>VLOOKUP(L459,Customers!$A$2:$B$92,2,FALSE)</f>
        <v>Richter Supermarkt</v>
      </c>
      <c r="B459" t="str">
        <f>VLOOKUP(L459,Customers!$A$2:$C$92,3,TRUE)</f>
        <v>Michael Holz</v>
      </c>
      <c r="C459" t="str">
        <f t="shared" si="120"/>
        <v>Michael</v>
      </c>
      <c r="D459" s="8" t="str">
        <f t="shared" si="121"/>
        <v>Holz</v>
      </c>
      <c r="E459" s="8" t="str">
        <f t="shared" si="122"/>
        <v>Holz, Michael</v>
      </c>
      <c r="F459" s="8" t="str">
        <f t="shared" si="123"/>
        <v>Holz, Michael</v>
      </c>
      <c r="G459" s="8" t="str">
        <f t="shared" si="124"/>
        <v>not an outlier</v>
      </c>
      <c r="H459" s="8" t="str">
        <f t="shared" si="125"/>
        <v>Not</v>
      </c>
      <c r="I459" s="8" t="str">
        <f t="shared" si="135"/>
        <v>no</v>
      </c>
      <c r="J459" s="10" t="str">
        <f t="shared" si="126"/>
        <v>no</v>
      </c>
      <c r="K459" s="10" t="str">
        <f t="shared" si="127"/>
        <v>no</v>
      </c>
      <c r="L459" t="s">
        <v>509</v>
      </c>
      <c r="M459">
        <v>10419</v>
      </c>
      <c r="N459">
        <v>60</v>
      </c>
      <c r="O459" t="s">
        <v>694</v>
      </c>
      <c r="P459" t="str">
        <f t="shared" si="128"/>
        <v>RICSU_10419_Camembert Pierrot</v>
      </c>
      <c r="Q459" t="str">
        <f t="shared" si="129"/>
        <v>10419</v>
      </c>
      <c r="R459" t="str">
        <f t="shared" si="130"/>
        <v>10419</v>
      </c>
      <c r="S459" t="str">
        <f t="shared" si="131"/>
        <v>Camembert Pierrot</v>
      </c>
      <c r="T459">
        <v>27.2</v>
      </c>
      <c r="U459">
        <v>60</v>
      </c>
      <c r="V459">
        <v>0.05</v>
      </c>
      <c r="W459">
        <f t="shared" si="132"/>
        <v>1550.3999999999999</v>
      </c>
      <c r="X459" t="str">
        <f t="shared" si="133"/>
        <v>No</v>
      </c>
      <c r="Y459" s="2">
        <v>34750</v>
      </c>
      <c r="Z459" t="str">
        <f t="shared" si="119"/>
        <v/>
      </c>
      <c r="AA459" t="str">
        <f t="shared" si="134"/>
        <v/>
      </c>
      <c r="AB459" t="str" cm="1">
        <f t="array" ref="AB459">_xlfn.IFS(Y459&lt;DATE(1996,1,1),"",Y459&lt;DATE(1996,4,1),"Q1",Y459&lt;DATE(1996,7,1),"Q2",Y459&gt;=DATE(1996,7,1),"")</f>
        <v/>
      </c>
    </row>
    <row r="460" spans="1:28" ht="14.4" x14ac:dyDescent="0.55000000000000004">
      <c r="A460" t="str">
        <f>VLOOKUP(L460,Customers!$A$2:$B$92,2,FALSE)</f>
        <v>Richter Supermarkt</v>
      </c>
      <c r="B460" t="str">
        <f>VLOOKUP(L460,Customers!$A$2:$C$92,3,TRUE)</f>
        <v>Michael Holz</v>
      </c>
      <c r="C460" t="str">
        <f t="shared" si="120"/>
        <v>Michael</v>
      </c>
      <c r="D460" s="8" t="str">
        <f t="shared" si="121"/>
        <v>Holz</v>
      </c>
      <c r="E460" s="8" t="str">
        <f t="shared" si="122"/>
        <v>Holz, Michael</v>
      </c>
      <c r="F460" s="8" t="str">
        <f t="shared" si="123"/>
        <v>Holz, Michael</v>
      </c>
      <c r="G460" s="8" t="str">
        <f t="shared" si="124"/>
        <v>not an outlier</v>
      </c>
      <c r="H460" s="8" t="str">
        <f t="shared" si="125"/>
        <v>Not</v>
      </c>
      <c r="I460" s="8" t="str">
        <f t="shared" si="135"/>
        <v>no</v>
      </c>
      <c r="J460" s="10" t="str">
        <f t="shared" si="126"/>
        <v>no</v>
      </c>
      <c r="K460" s="10" t="str">
        <f t="shared" si="127"/>
        <v>no</v>
      </c>
      <c r="L460" t="s">
        <v>509</v>
      </c>
      <c r="M460">
        <v>10419</v>
      </c>
      <c r="N460">
        <v>69</v>
      </c>
      <c r="O460" t="s">
        <v>743</v>
      </c>
      <c r="P460" t="str">
        <f t="shared" si="128"/>
        <v>RICSU_10419_Gudbrandsdalsost</v>
      </c>
      <c r="Q460" t="str">
        <f t="shared" si="129"/>
        <v>10419</v>
      </c>
      <c r="R460" t="str">
        <f t="shared" si="130"/>
        <v>10419</v>
      </c>
      <c r="S460" t="str">
        <f t="shared" si="131"/>
        <v>Gudbrandsdalsost</v>
      </c>
      <c r="T460">
        <v>28.8</v>
      </c>
      <c r="U460">
        <v>20</v>
      </c>
      <c r="V460">
        <v>0.05</v>
      </c>
      <c r="W460">
        <f t="shared" si="132"/>
        <v>547.19999999999993</v>
      </c>
      <c r="X460" t="str">
        <f t="shared" si="133"/>
        <v>No</v>
      </c>
      <c r="Y460" s="2">
        <v>34750</v>
      </c>
      <c r="Z460" t="str">
        <f t="shared" si="119"/>
        <v/>
      </c>
      <c r="AA460" t="str">
        <f t="shared" si="134"/>
        <v/>
      </c>
      <c r="AB460" t="str" cm="1">
        <f t="array" ref="AB460">_xlfn.IFS(Y460&lt;DATE(1996,1,1),"",Y460&lt;DATE(1996,4,1),"Q1",Y460&lt;DATE(1996,7,1),"Q2",Y460&gt;=DATE(1996,7,1),"")</f>
        <v/>
      </c>
    </row>
    <row r="461" spans="1:28" ht="14.4" x14ac:dyDescent="0.55000000000000004">
      <c r="A461" t="str">
        <f>VLOOKUP(L461,Customers!$A$2:$B$92,2,FALSE)</f>
        <v>Wellington Importadora</v>
      </c>
      <c r="B461" t="str">
        <f>VLOOKUP(L461,Customers!$A$2:$C$92,3,TRUE)</f>
        <v>Paula Parente</v>
      </c>
      <c r="C461" t="str">
        <f t="shared" si="120"/>
        <v>Paula</v>
      </c>
      <c r="D461" s="8" t="str">
        <f t="shared" si="121"/>
        <v>Parente</v>
      </c>
      <c r="E461" s="8" t="str">
        <f t="shared" si="122"/>
        <v>Parente, Paula</v>
      </c>
      <c r="F461" s="8" t="str">
        <f t="shared" si="123"/>
        <v>Parente, Paula</v>
      </c>
      <c r="G461" s="8" t="str">
        <f t="shared" si="124"/>
        <v>not an outlier</v>
      </c>
      <c r="H461" s="8" t="str">
        <f t="shared" si="125"/>
        <v>Not</v>
      </c>
      <c r="I461" s="8" t="str">
        <f t="shared" si="135"/>
        <v>no</v>
      </c>
      <c r="J461" s="10" t="str">
        <f t="shared" si="126"/>
        <v>no</v>
      </c>
      <c r="K461" s="10" t="str">
        <f t="shared" si="127"/>
        <v>no</v>
      </c>
      <c r="L461" t="s">
        <v>647</v>
      </c>
      <c r="M461">
        <v>10420</v>
      </c>
      <c r="N461">
        <v>9</v>
      </c>
      <c r="O461" t="s">
        <v>759</v>
      </c>
      <c r="P461" t="str">
        <f t="shared" si="128"/>
        <v>WELLI_10420_Mishi Kobe Niku</v>
      </c>
      <c r="Q461" t="str">
        <f t="shared" si="129"/>
        <v>10420</v>
      </c>
      <c r="R461" t="str">
        <f t="shared" si="130"/>
        <v>10420</v>
      </c>
      <c r="S461" t="str">
        <f t="shared" si="131"/>
        <v>Mishi Kobe Niku</v>
      </c>
      <c r="T461">
        <v>77.599999999999994</v>
      </c>
      <c r="U461">
        <v>20</v>
      </c>
      <c r="V461">
        <v>0.1</v>
      </c>
      <c r="W461">
        <f t="shared" si="132"/>
        <v>1396.8</v>
      </c>
      <c r="X461" t="str">
        <f t="shared" si="133"/>
        <v>No</v>
      </c>
      <c r="Y461" s="2">
        <v>34751</v>
      </c>
      <c r="Z461" t="str">
        <f t="shared" si="119"/>
        <v/>
      </c>
      <c r="AA461" t="str">
        <f t="shared" si="134"/>
        <v/>
      </c>
      <c r="AB461" t="str" cm="1">
        <f t="array" ref="AB461">_xlfn.IFS(Y461&lt;DATE(1996,1,1),"",Y461&lt;DATE(1996,4,1),"Q1",Y461&lt;DATE(1996,7,1),"Q2",Y461&gt;=DATE(1996,7,1),"")</f>
        <v/>
      </c>
    </row>
    <row r="462" spans="1:28" ht="14.4" x14ac:dyDescent="0.55000000000000004">
      <c r="A462" t="str">
        <f>VLOOKUP(L462,Customers!$A$2:$B$92,2,FALSE)</f>
        <v>Wellington Importadora</v>
      </c>
      <c r="B462" t="str">
        <f>VLOOKUP(L462,Customers!$A$2:$C$92,3,TRUE)</f>
        <v>Paula Parente</v>
      </c>
      <c r="C462" t="str">
        <f t="shared" si="120"/>
        <v>Paula</v>
      </c>
      <c r="D462" s="8" t="str">
        <f t="shared" si="121"/>
        <v>Parente</v>
      </c>
      <c r="E462" s="8" t="str">
        <f t="shared" si="122"/>
        <v>Parente, Paula</v>
      </c>
      <c r="F462" s="8" t="str">
        <f t="shared" si="123"/>
        <v>Parente, Paula</v>
      </c>
      <c r="G462" s="8" t="str">
        <f t="shared" si="124"/>
        <v>not an outlier</v>
      </c>
      <c r="H462" s="8" t="str">
        <f t="shared" si="125"/>
        <v>Not</v>
      </c>
      <c r="I462" s="8" t="str">
        <f t="shared" si="135"/>
        <v>no</v>
      </c>
      <c r="J462" s="10" t="str">
        <f t="shared" si="126"/>
        <v>no</v>
      </c>
      <c r="K462" s="10" t="str">
        <f t="shared" si="127"/>
        <v>no</v>
      </c>
      <c r="L462" t="s">
        <v>647</v>
      </c>
      <c r="M462">
        <v>10420</v>
      </c>
      <c r="N462">
        <v>13</v>
      </c>
      <c r="O462" t="s">
        <v>726</v>
      </c>
      <c r="P462" t="str">
        <f t="shared" si="128"/>
        <v>WELLI_10420_Konbu</v>
      </c>
      <c r="Q462" t="str">
        <f t="shared" si="129"/>
        <v>10420</v>
      </c>
      <c r="R462" t="str">
        <f t="shared" si="130"/>
        <v>10420</v>
      </c>
      <c r="S462" t="str">
        <f t="shared" si="131"/>
        <v>Konbu</v>
      </c>
      <c r="T462">
        <v>4.8</v>
      </c>
      <c r="U462">
        <v>2</v>
      </c>
      <c r="V462">
        <v>0.1</v>
      </c>
      <c r="W462">
        <f t="shared" si="132"/>
        <v>8.64</v>
      </c>
      <c r="X462" t="str">
        <f t="shared" si="133"/>
        <v>No</v>
      </c>
      <c r="Y462" s="2">
        <v>34751</v>
      </c>
      <c r="Z462" t="str">
        <f t="shared" si="119"/>
        <v/>
      </c>
      <c r="AA462" t="str">
        <f t="shared" si="134"/>
        <v/>
      </c>
      <c r="AB462" t="str" cm="1">
        <f t="array" ref="AB462">_xlfn.IFS(Y462&lt;DATE(1996,1,1),"",Y462&lt;DATE(1996,4,1),"Q1",Y462&lt;DATE(1996,7,1),"Q2",Y462&gt;=DATE(1996,7,1),"")</f>
        <v/>
      </c>
    </row>
    <row r="463" spans="1:28" ht="14.4" x14ac:dyDescent="0.55000000000000004">
      <c r="A463" t="str">
        <f>VLOOKUP(L463,Customers!$A$2:$B$92,2,FALSE)</f>
        <v>Wellington Importadora</v>
      </c>
      <c r="B463" t="str">
        <f>VLOOKUP(L463,Customers!$A$2:$C$92,3,TRUE)</f>
        <v>Paula Parente</v>
      </c>
      <c r="C463" t="str">
        <f t="shared" si="120"/>
        <v>Paula</v>
      </c>
      <c r="D463" s="8" t="str">
        <f t="shared" si="121"/>
        <v>Parente</v>
      </c>
      <c r="E463" s="8" t="str">
        <f t="shared" si="122"/>
        <v>Parente, Paula</v>
      </c>
      <c r="F463" s="8" t="str">
        <f t="shared" si="123"/>
        <v>Parente, Paula</v>
      </c>
      <c r="G463" s="8" t="str">
        <f t="shared" si="124"/>
        <v>not an outlier</v>
      </c>
      <c r="H463" s="8" t="str">
        <f t="shared" si="125"/>
        <v>Not</v>
      </c>
      <c r="I463" s="8" t="str">
        <f t="shared" si="135"/>
        <v>no</v>
      </c>
      <c r="J463" s="10" t="str">
        <f t="shared" si="126"/>
        <v>no</v>
      </c>
      <c r="K463" s="10" t="str">
        <f t="shared" si="127"/>
        <v>no</v>
      </c>
      <c r="L463" t="s">
        <v>647</v>
      </c>
      <c r="M463">
        <v>10420</v>
      </c>
      <c r="N463">
        <v>70</v>
      </c>
      <c r="O463" t="s">
        <v>713</v>
      </c>
      <c r="P463" t="str">
        <f t="shared" si="128"/>
        <v>WELLI_10420_Outback Lager</v>
      </c>
      <c r="Q463" t="str">
        <f t="shared" si="129"/>
        <v>10420</v>
      </c>
      <c r="R463" t="str">
        <f t="shared" si="130"/>
        <v>10420</v>
      </c>
      <c r="S463" t="str">
        <f t="shared" si="131"/>
        <v>Outback Lager</v>
      </c>
      <c r="T463">
        <v>12</v>
      </c>
      <c r="U463">
        <v>8</v>
      </c>
      <c r="V463">
        <v>0.1</v>
      </c>
      <c r="W463">
        <f t="shared" si="132"/>
        <v>86.4</v>
      </c>
      <c r="X463" t="str">
        <f t="shared" si="133"/>
        <v>No</v>
      </c>
      <c r="Y463" s="2">
        <v>34751</v>
      </c>
      <c r="Z463" t="str">
        <f t="shared" si="119"/>
        <v/>
      </c>
      <c r="AA463" t="str">
        <f t="shared" si="134"/>
        <v/>
      </c>
      <c r="AB463" t="str" cm="1">
        <f t="array" ref="AB463">_xlfn.IFS(Y463&lt;DATE(1996,1,1),"",Y463&lt;DATE(1996,4,1),"Q1",Y463&lt;DATE(1996,7,1),"Q2",Y463&gt;=DATE(1996,7,1),"")</f>
        <v/>
      </c>
    </row>
    <row r="464" spans="1:28" ht="14.4" x14ac:dyDescent="0.55000000000000004">
      <c r="A464" t="str">
        <f>VLOOKUP(L464,Customers!$A$2:$B$92,2,FALSE)</f>
        <v>Wellington Importadora</v>
      </c>
      <c r="B464" t="str">
        <f>VLOOKUP(L464,Customers!$A$2:$C$92,3,TRUE)</f>
        <v>Paula Parente</v>
      </c>
      <c r="C464" t="str">
        <f t="shared" si="120"/>
        <v>Paula</v>
      </c>
      <c r="D464" s="8" t="str">
        <f t="shared" si="121"/>
        <v>Parente</v>
      </c>
      <c r="E464" s="8" t="str">
        <f t="shared" si="122"/>
        <v>Parente, Paula</v>
      </c>
      <c r="F464" s="8" t="str">
        <f t="shared" si="123"/>
        <v>Parente, Paula</v>
      </c>
      <c r="G464" s="8" t="str">
        <f t="shared" si="124"/>
        <v>not an outlier</v>
      </c>
      <c r="H464" s="8" t="str">
        <f t="shared" si="125"/>
        <v>Not</v>
      </c>
      <c r="I464" s="8" t="str">
        <f t="shared" si="135"/>
        <v>no</v>
      </c>
      <c r="J464" s="10" t="str">
        <f t="shared" si="126"/>
        <v>no</v>
      </c>
      <c r="K464" s="10" t="str">
        <f t="shared" si="127"/>
        <v>no</v>
      </c>
      <c r="L464" t="s">
        <v>647</v>
      </c>
      <c r="M464">
        <v>10420</v>
      </c>
      <c r="N464">
        <v>73</v>
      </c>
      <c r="O464" t="s">
        <v>730</v>
      </c>
      <c r="P464" t="str">
        <f t="shared" si="128"/>
        <v>WELLI_10420_Röd Kaviar</v>
      </c>
      <c r="Q464" t="str">
        <f t="shared" si="129"/>
        <v>10420</v>
      </c>
      <c r="R464" t="str">
        <f t="shared" si="130"/>
        <v>10420</v>
      </c>
      <c r="S464" t="str">
        <f t="shared" si="131"/>
        <v>Röd Kaviar</v>
      </c>
      <c r="T464">
        <v>12</v>
      </c>
      <c r="U464">
        <v>20</v>
      </c>
      <c r="V464">
        <v>0.1</v>
      </c>
      <c r="W464">
        <f t="shared" si="132"/>
        <v>216</v>
      </c>
      <c r="X464" t="str">
        <f t="shared" si="133"/>
        <v>No</v>
      </c>
      <c r="Y464" s="2">
        <v>34751</v>
      </c>
      <c r="Z464" t="str">
        <f t="shared" si="119"/>
        <v/>
      </c>
      <c r="AA464" t="str">
        <f t="shared" si="134"/>
        <v/>
      </c>
      <c r="AB464" t="str" cm="1">
        <f t="array" ref="AB464">_xlfn.IFS(Y464&lt;DATE(1996,1,1),"",Y464&lt;DATE(1996,4,1),"Q1",Y464&lt;DATE(1996,7,1),"Q2",Y464&gt;=DATE(1996,7,1),"")</f>
        <v/>
      </c>
    </row>
    <row r="465" spans="1:28" ht="14.4" x14ac:dyDescent="0.55000000000000004">
      <c r="A465" t="str">
        <f>VLOOKUP(L465,Customers!$A$2:$B$92,2,FALSE)</f>
        <v>Que Delícia</v>
      </c>
      <c r="B465" t="str">
        <f>VLOOKUP(L465,Customers!$A$2:$C$92,3,TRUE)</f>
        <v>Bernardo Batista</v>
      </c>
      <c r="C465" t="str">
        <f t="shared" si="120"/>
        <v>Bernardo</v>
      </c>
      <c r="D465" s="8" t="str">
        <f t="shared" si="121"/>
        <v>Batista</v>
      </c>
      <c r="E465" s="8" t="str">
        <f t="shared" si="122"/>
        <v>Batista, Bernardo</v>
      </c>
      <c r="F465" s="8" t="str">
        <f t="shared" si="123"/>
        <v>Batista, Bernardo</v>
      </c>
      <c r="G465" s="8" t="str">
        <f t="shared" si="124"/>
        <v>not an outlier</v>
      </c>
      <c r="H465" s="8" t="str">
        <f t="shared" si="125"/>
        <v>Not</v>
      </c>
      <c r="I465" s="8" t="str">
        <f t="shared" si="135"/>
        <v>no</v>
      </c>
      <c r="J465" s="10" t="str">
        <f t="shared" si="126"/>
        <v>no</v>
      </c>
      <c r="K465" s="10" t="str">
        <f t="shared" si="127"/>
        <v>no</v>
      </c>
      <c r="L465" t="s">
        <v>462</v>
      </c>
      <c r="M465">
        <v>10421</v>
      </c>
      <c r="N465">
        <v>19</v>
      </c>
      <c r="O465" t="s">
        <v>732</v>
      </c>
      <c r="P465" t="str">
        <f t="shared" si="128"/>
        <v>QUEDE_10421_Teatime Chocolate Biscuits</v>
      </c>
      <c r="Q465" t="str">
        <f t="shared" si="129"/>
        <v>10421</v>
      </c>
      <c r="R465" t="str">
        <f t="shared" si="130"/>
        <v>10421</v>
      </c>
      <c r="S465" t="str">
        <f t="shared" si="131"/>
        <v>Teatime Chocolate Biscuits</v>
      </c>
      <c r="T465">
        <v>7.3</v>
      </c>
      <c r="U465">
        <v>4</v>
      </c>
      <c r="V465">
        <v>0.15</v>
      </c>
      <c r="W465">
        <f t="shared" si="132"/>
        <v>24.82</v>
      </c>
      <c r="X465" t="str">
        <f t="shared" si="133"/>
        <v>No</v>
      </c>
      <c r="Y465" s="2">
        <v>34751</v>
      </c>
      <c r="Z465" t="str">
        <f t="shared" si="119"/>
        <v/>
      </c>
      <c r="AA465" t="str">
        <f t="shared" si="134"/>
        <v/>
      </c>
      <c r="AB465" t="str" cm="1">
        <f t="array" ref="AB465">_xlfn.IFS(Y465&lt;DATE(1996,1,1),"",Y465&lt;DATE(1996,4,1),"Q1",Y465&lt;DATE(1996,7,1),"Q2",Y465&gt;=DATE(1996,7,1),"")</f>
        <v/>
      </c>
    </row>
    <row r="466" spans="1:28" ht="14.4" x14ac:dyDescent="0.55000000000000004">
      <c r="A466" t="str">
        <f>VLOOKUP(L466,Customers!$A$2:$B$92,2,FALSE)</f>
        <v>Que Delícia</v>
      </c>
      <c r="B466" t="str">
        <f>VLOOKUP(L466,Customers!$A$2:$C$92,3,TRUE)</f>
        <v>Bernardo Batista</v>
      </c>
      <c r="C466" t="str">
        <f t="shared" si="120"/>
        <v>Bernardo</v>
      </c>
      <c r="D466" s="8" t="str">
        <f t="shared" si="121"/>
        <v>Batista</v>
      </c>
      <c r="E466" s="8" t="str">
        <f t="shared" si="122"/>
        <v>Batista, Bernardo</v>
      </c>
      <c r="F466" s="8" t="str">
        <f t="shared" si="123"/>
        <v>Batista, Bernardo</v>
      </c>
      <c r="G466" s="8" t="str">
        <f t="shared" si="124"/>
        <v>not an outlier</v>
      </c>
      <c r="H466" s="8" t="str">
        <f t="shared" si="125"/>
        <v>Not</v>
      </c>
      <c r="I466" s="8" t="str">
        <f t="shared" si="135"/>
        <v>no</v>
      </c>
      <c r="J466" s="10" t="str">
        <f t="shared" si="126"/>
        <v>no</v>
      </c>
      <c r="K466" s="10" t="str">
        <f t="shared" si="127"/>
        <v>no</v>
      </c>
      <c r="L466" t="s">
        <v>462</v>
      </c>
      <c r="M466">
        <v>10421</v>
      </c>
      <c r="N466">
        <v>26</v>
      </c>
      <c r="O466" t="s">
        <v>751</v>
      </c>
      <c r="P466" t="str">
        <f t="shared" si="128"/>
        <v>QUEDE_10421_Gumbär Gummibärchen</v>
      </c>
      <c r="Q466" t="str">
        <f t="shared" si="129"/>
        <v>10421</v>
      </c>
      <c r="R466" t="str">
        <f t="shared" si="130"/>
        <v>10421</v>
      </c>
      <c r="S466" t="str">
        <f t="shared" si="131"/>
        <v>Gumbär Gummibärchen</v>
      </c>
      <c r="T466">
        <v>24.9</v>
      </c>
      <c r="U466">
        <v>30</v>
      </c>
      <c r="V466">
        <v>0</v>
      </c>
      <c r="W466">
        <f t="shared" si="132"/>
        <v>747</v>
      </c>
      <c r="X466" t="str">
        <f t="shared" si="133"/>
        <v>No</v>
      </c>
      <c r="Y466" s="2">
        <v>34751</v>
      </c>
      <c r="Z466" t="str">
        <f t="shared" si="119"/>
        <v/>
      </c>
      <c r="AA466" t="str">
        <f t="shared" si="134"/>
        <v/>
      </c>
      <c r="AB466" t="str" cm="1">
        <f t="array" ref="AB466">_xlfn.IFS(Y466&lt;DATE(1996,1,1),"",Y466&lt;DATE(1996,4,1),"Q1",Y466&lt;DATE(1996,7,1),"Q2",Y466&gt;=DATE(1996,7,1),"")</f>
        <v/>
      </c>
    </row>
    <row r="467" spans="1:28" ht="14.4" x14ac:dyDescent="0.55000000000000004">
      <c r="A467" t="str">
        <f>VLOOKUP(L467,Customers!$A$2:$B$92,2,FALSE)</f>
        <v>Que Delícia</v>
      </c>
      <c r="B467" t="str">
        <f>VLOOKUP(L467,Customers!$A$2:$C$92,3,TRUE)</f>
        <v>Bernardo Batista</v>
      </c>
      <c r="C467" t="str">
        <f t="shared" si="120"/>
        <v>Bernardo</v>
      </c>
      <c r="D467" s="8" t="str">
        <f t="shared" si="121"/>
        <v>Batista</v>
      </c>
      <c r="E467" s="8" t="str">
        <f t="shared" si="122"/>
        <v>Batista, Bernardo</v>
      </c>
      <c r="F467" s="8" t="str">
        <f t="shared" si="123"/>
        <v>Batista, Bernardo</v>
      </c>
      <c r="G467" s="8" t="str">
        <f t="shared" si="124"/>
        <v>not an outlier</v>
      </c>
      <c r="H467" s="8" t="str">
        <f t="shared" si="125"/>
        <v>Not</v>
      </c>
      <c r="I467" s="8" t="str">
        <f t="shared" si="135"/>
        <v>no</v>
      </c>
      <c r="J467" s="10" t="str">
        <f t="shared" si="126"/>
        <v>no</v>
      </c>
      <c r="K467" s="10" t="str">
        <f t="shared" si="127"/>
        <v>no</v>
      </c>
      <c r="L467" t="s">
        <v>462</v>
      </c>
      <c r="M467">
        <v>10421</v>
      </c>
      <c r="N467">
        <v>53</v>
      </c>
      <c r="O467" t="s">
        <v>705</v>
      </c>
      <c r="P467" t="str">
        <f t="shared" si="128"/>
        <v>QUEDE_10421_Perth Pasties</v>
      </c>
      <c r="Q467" t="str">
        <f t="shared" si="129"/>
        <v>10421</v>
      </c>
      <c r="R467" t="str">
        <f t="shared" si="130"/>
        <v>10421</v>
      </c>
      <c r="S467" t="str">
        <f t="shared" si="131"/>
        <v>Perth Pasties</v>
      </c>
      <c r="T467">
        <v>26.2</v>
      </c>
      <c r="U467">
        <v>15</v>
      </c>
      <c r="V467">
        <v>0.15</v>
      </c>
      <c r="W467">
        <f t="shared" si="132"/>
        <v>334.05</v>
      </c>
      <c r="X467" t="str">
        <f t="shared" si="133"/>
        <v>No</v>
      </c>
      <c r="Y467" s="2">
        <v>34751</v>
      </c>
      <c r="Z467" t="str">
        <f t="shared" si="119"/>
        <v/>
      </c>
      <c r="AA467" t="str">
        <f t="shared" si="134"/>
        <v/>
      </c>
      <c r="AB467" t="str" cm="1">
        <f t="array" ref="AB467">_xlfn.IFS(Y467&lt;DATE(1996,1,1),"",Y467&lt;DATE(1996,4,1),"Q1",Y467&lt;DATE(1996,7,1),"Q2",Y467&gt;=DATE(1996,7,1),"")</f>
        <v/>
      </c>
    </row>
    <row r="468" spans="1:28" ht="14.4" x14ac:dyDescent="0.55000000000000004">
      <c r="A468" t="str">
        <f>VLOOKUP(L468,Customers!$A$2:$B$92,2,FALSE)</f>
        <v>Que Delícia</v>
      </c>
      <c r="B468" t="str">
        <f>VLOOKUP(L468,Customers!$A$2:$C$92,3,TRUE)</f>
        <v>Bernardo Batista</v>
      </c>
      <c r="C468" t="str">
        <f t="shared" si="120"/>
        <v>Bernardo</v>
      </c>
      <c r="D468" s="8" t="str">
        <f t="shared" si="121"/>
        <v>Batista</v>
      </c>
      <c r="E468" s="8" t="str">
        <f t="shared" si="122"/>
        <v>Batista, Bernardo</v>
      </c>
      <c r="F468" s="8" t="str">
        <f t="shared" si="123"/>
        <v>Batista, Bernardo</v>
      </c>
      <c r="G468" s="8" t="str">
        <f t="shared" si="124"/>
        <v>not an outlier</v>
      </c>
      <c r="H468" s="8" t="str">
        <f t="shared" si="125"/>
        <v>Not</v>
      </c>
      <c r="I468" s="8" t="str">
        <f t="shared" si="135"/>
        <v>no</v>
      </c>
      <c r="J468" s="10" t="str">
        <f t="shared" si="126"/>
        <v>no</v>
      </c>
      <c r="K468" s="10" t="str">
        <f t="shared" si="127"/>
        <v>no</v>
      </c>
      <c r="L468" t="s">
        <v>462</v>
      </c>
      <c r="M468">
        <v>10421</v>
      </c>
      <c r="N468">
        <v>77</v>
      </c>
      <c r="O468" t="s">
        <v>706</v>
      </c>
      <c r="P468" t="str">
        <f t="shared" si="128"/>
        <v>QUEDE_10421_Original Frankfurter grüne Soße</v>
      </c>
      <c r="Q468" t="str">
        <f t="shared" si="129"/>
        <v>10421</v>
      </c>
      <c r="R468" t="str">
        <f t="shared" si="130"/>
        <v>10421</v>
      </c>
      <c r="S468" t="str">
        <f t="shared" si="131"/>
        <v>Original Frankfurter grüne Soße</v>
      </c>
      <c r="T468">
        <v>10.4</v>
      </c>
      <c r="U468">
        <v>10</v>
      </c>
      <c r="V468">
        <v>0.15</v>
      </c>
      <c r="W468">
        <f t="shared" si="132"/>
        <v>88.399999999999991</v>
      </c>
      <c r="X468" t="str">
        <f t="shared" si="133"/>
        <v>No</v>
      </c>
      <c r="Y468" s="2">
        <v>34751</v>
      </c>
      <c r="Z468" t="str">
        <f t="shared" si="119"/>
        <v/>
      </c>
      <c r="AA468" t="str">
        <f t="shared" si="134"/>
        <v/>
      </c>
      <c r="AB468" t="str" cm="1">
        <f t="array" ref="AB468">_xlfn.IFS(Y468&lt;DATE(1996,1,1),"",Y468&lt;DATE(1996,4,1),"Q1",Y468&lt;DATE(1996,7,1),"Q2",Y468&gt;=DATE(1996,7,1),"")</f>
        <v/>
      </c>
    </row>
    <row r="469" spans="1:28" ht="14.4" x14ac:dyDescent="0.55000000000000004">
      <c r="A469" t="str">
        <f>VLOOKUP(L469,Customers!$A$2:$B$92,2,FALSE)</f>
        <v>Franchi S.p.A.</v>
      </c>
      <c r="B469" t="str">
        <f>VLOOKUP(L469,Customers!$A$2:$C$92,3,TRUE)</f>
        <v>Paolo Accorti</v>
      </c>
      <c r="C469" t="str">
        <f t="shared" si="120"/>
        <v>Paolo</v>
      </c>
      <c r="D469" s="8" t="str">
        <f t="shared" si="121"/>
        <v>Accorti</v>
      </c>
      <c r="E469" s="8" t="str">
        <f t="shared" si="122"/>
        <v>Accorti, Paolo</v>
      </c>
      <c r="F469" s="8" t="str">
        <f t="shared" si="123"/>
        <v>Accorti, Paolo</v>
      </c>
      <c r="G469" s="8" t="str">
        <f t="shared" si="124"/>
        <v>not an outlier</v>
      </c>
      <c r="H469" s="8" t="str">
        <f t="shared" si="125"/>
        <v>Not</v>
      </c>
      <c r="I469" s="8" t="str">
        <f t="shared" si="135"/>
        <v>no</v>
      </c>
      <c r="J469" s="10" t="str">
        <f t="shared" si="126"/>
        <v>no</v>
      </c>
      <c r="K469" s="10" t="str">
        <f t="shared" si="127"/>
        <v>no</v>
      </c>
      <c r="L469" t="s">
        <v>211</v>
      </c>
      <c r="M469">
        <v>10422</v>
      </c>
      <c r="N469">
        <v>26</v>
      </c>
      <c r="O469" t="s">
        <v>751</v>
      </c>
      <c r="P469" t="str">
        <f t="shared" si="128"/>
        <v>FRANS_10422_Gumbär Gummibärchen</v>
      </c>
      <c r="Q469" t="str">
        <f t="shared" si="129"/>
        <v>10422</v>
      </c>
      <c r="R469" t="str">
        <f t="shared" si="130"/>
        <v>10422</v>
      </c>
      <c r="S469" t="str">
        <f t="shared" si="131"/>
        <v>Gumbär Gummibärchen</v>
      </c>
      <c r="T469">
        <v>24.9</v>
      </c>
      <c r="U469">
        <v>2</v>
      </c>
      <c r="V469">
        <v>0</v>
      </c>
      <c r="W469">
        <f t="shared" si="132"/>
        <v>49.8</v>
      </c>
      <c r="X469" t="str">
        <f t="shared" si="133"/>
        <v>No</v>
      </c>
      <c r="Y469" s="2">
        <v>34752</v>
      </c>
      <c r="Z469" t="str">
        <f t="shared" si="119"/>
        <v/>
      </c>
      <c r="AA469" t="str">
        <f t="shared" si="134"/>
        <v/>
      </c>
      <c r="AB469" t="str" cm="1">
        <f t="array" ref="AB469">_xlfn.IFS(Y469&lt;DATE(1996,1,1),"",Y469&lt;DATE(1996,4,1),"Q1",Y469&lt;DATE(1996,7,1),"Q2",Y469&gt;=DATE(1996,7,1),"")</f>
        <v/>
      </c>
    </row>
    <row r="470" spans="1:28" ht="14.4" x14ac:dyDescent="0.55000000000000004">
      <c r="A470" t="str">
        <f>VLOOKUP(L470,Customers!$A$2:$B$92,2,FALSE)</f>
        <v>Gourmet Lanchonetes</v>
      </c>
      <c r="B470" t="str">
        <f>VLOOKUP(L470,Customers!$A$2:$C$92,3,TRUE)</f>
        <v>André Fonseca</v>
      </c>
      <c r="C470" t="str">
        <f t="shared" si="120"/>
        <v>André</v>
      </c>
      <c r="D470" s="8" t="str">
        <f t="shared" si="121"/>
        <v>Fonseca</v>
      </c>
      <c r="E470" s="8" t="str">
        <f t="shared" si="122"/>
        <v>Fonseca, André</v>
      </c>
      <c r="F470" s="8" t="str">
        <f t="shared" si="123"/>
        <v>Fonseca, André</v>
      </c>
      <c r="G470" s="8" t="str">
        <f t="shared" si="124"/>
        <v>not an outlier</v>
      </c>
      <c r="H470" s="8" t="str">
        <f t="shared" si="125"/>
        <v>Not</v>
      </c>
      <c r="I470" s="8" t="str">
        <f t="shared" si="135"/>
        <v>no</v>
      </c>
      <c r="J470" s="10" t="str">
        <f t="shared" si="126"/>
        <v>no</v>
      </c>
      <c r="K470" s="10" t="str">
        <f t="shared" si="127"/>
        <v>no</v>
      </c>
      <c r="L470" t="s">
        <v>240</v>
      </c>
      <c r="M470">
        <v>10423</v>
      </c>
      <c r="N470">
        <v>31</v>
      </c>
      <c r="O470" t="s">
        <v>695</v>
      </c>
      <c r="P470" t="str">
        <f t="shared" si="128"/>
        <v>GOURL_10423_Gorgonzola Telino</v>
      </c>
      <c r="Q470" t="str">
        <f t="shared" si="129"/>
        <v>10423</v>
      </c>
      <c r="R470" t="str">
        <f t="shared" si="130"/>
        <v>10423</v>
      </c>
      <c r="S470" t="str">
        <f t="shared" si="131"/>
        <v>Gorgonzola Telino</v>
      </c>
      <c r="T470">
        <v>10</v>
      </c>
      <c r="U470">
        <v>14</v>
      </c>
      <c r="V470">
        <v>0</v>
      </c>
      <c r="W470">
        <f t="shared" si="132"/>
        <v>140</v>
      </c>
      <c r="X470" t="str">
        <f t="shared" si="133"/>
        <v>No</v>
      </c>
      <c r="Y470" s="2">
        <v>34753</v>
      </c>
      <c r="Z470" t="str">
        <f t="shared" si="119"/>
        <v/>
      </c>
      <c r="AA470" t="str">
        <f t="shared" si="134"/>
        <v/>
      </c>
      <c r="AB470" t="str" cm="1">
        <f t="array" ref="AB470">_xlfn.IFS(Y470&lt;DATE(1996,1,1),"",Y470&lt;DATE(1996,4,1),"Q1",Y470&lt;DATE(1996,7,1),"Q2",Y470&gt;=DATE(1996,7,1),"")</f>
        <v/>
      </c>
    </row>
    <row r="471" spans="1:28" ht="14.4" x14ac:dyDescent="0.55000000000000004">
      <c r="A471" t="str">
        <f>VLOOKUP(L471,Customers!$A$2:$B$92,2,FALSE)</f>
        <v>Gourmet Lanchonetes</v>
      </c>
      <c r="B471" t="str">
        <f>VLOOKUP(L471,Customers!$A$2:$C$92,3,TRUE)</f>
        <v>André Fonseca</v>
      </c>
      <c r="C471" t="str">
        <f t="shared" si="120"/>
        <v>André</v>
      </c>
      <c r="D471" s="8" t="str">
        <f t="shared" si="121"/>
        <v>Fonseca</v>
      </c>
      <c r="E471" s="8" t="str">
        <f t="shared" si="122"/>
        <v>Fonseca, André</v>
      </c>
      <c r="F471" s="8" t="str">
        <f t="shared" si="123"/>
        <v>Fonseca, André</v>
      </c>
      <c r="G471" s="8" t="str">
        <f t="shared" si="124"/>
        <v>not an outlier</v>
      </c>
      <c r="H471" s="8" t="str">
        <f t="shared" si="125"/>
        <v>Not</v>
      </c>
      <c r="I471" s="8" t="str">
        <f t="shared" si="135"/>
        <v>no</v>
      </c>
      <c r="J471" s="10" t="str">
        <f t="shared" si="126"/>
        <v>no</v>
      </c>
      <c r="K471" s="10" t="str">
        <f t="shared" si="127"/>
        <v>no</v>
      </c>
      <c r="L471" t="s">
        <v>240</v>
      </c>
      <c r="M471">
        <v>10423</v>
      </c>
      <c r="N471">
        <v>59</v>
      </c>
      <c r="O471" t="s">
        <v>704</v>
      </c>
      <c r="P471" t="str">
        <f t="shared" si="128"/>
        <v>GOURL_10423_Raclette Courdavault</v>
      </c>
      <c r="Q471" t="str">
        <f t="shared" si="129"/>
        <v>10423</v>
      </c>
      <c r="R471" t="str">
        <f t="shared" si="130"/>
        <v>10423</v>
      </c>
      <c r="S471" t="str">
        <f t="shared" si="131"/>
        <v>Raclette Courdavault</v>
      </c>
      <c r="T471">
        <v>44</v>
      </c>
      <c r="U471">
        <v>20</v>
      </c>
      <c r="V471">
        <v>0</v>
      </c>
      <c r="W471">
        <f t="shared" si="132"/>
        <v>880</v>
      </c>
      <c r="X471" t="str">
        <f t="shared" si="133"/>
        <v>No</v>
      </c>
      <c r="Y471" s="2">
        <v>34753</v>
      </c>
      <c r="Z471" t="str">
        <f t="shared" si="119"/>
        <v/>
      </c>
      <c r="AA471" t="str">
        <f t="shared" si="134"/>
        <v/>
      </c>
      <c r="AB471" t="str" cm="1">
        <f t="array" ref="AB471">_xlfn.IFS(Y471&lt;DATE(1996,1,1),"",Y471&lt;DATE(1996,4,1),"Q1",Y471&lt;DATE(1996,7,1),"Q2",Y471&gt;=DATE(1996,7,1),"")</f>
        <v/>
      </c>
    </row>
    <row r="472" spans="1:28" ht="14.4" x14ac:dyDescent="0.55000000000000004">
      <c r="A472" t="str">
        <f>VLOOKUP(L472,Customers!$A$2:$B$92,2,FALSE)</f>
        <v>Mère Paillarde</v>
      </c>
      <c r="B472" t="str">
        <f>VLOOKUP(L472,Customers!$A$2:$C$92,3,TRUE)</f>
        <v>Jean Fresnière</v>
      </c>
      <c r="C472" t="str">
        <f t="shared" si="120"/>
        <v>Jean</v>
      </c>
      <c r="D472" s="8" t="str">
        <f t="shared" si="121"/>
        <v>Fresnière</v>
      </c>
      <c r="E472" s="8" t="str">
        <f t="shared" si="122"/>
        <v>Fresnière, Jean</v>
      </c>
      <c r="F472" s="8" t="str">
        <f t="shared" si="123"/>
        <v>Fresnière, Jean</v>
      </c>
      <c r="G472" s="8" t="str">
        <f t="shared" si="124"/>
        <v>not an outlier</v>
      </c>
      <c r="H472" s="8" t="str">
        <f t="shared" si="125"/>
        <v>Not</v>
      </c>
      <c r="I472" s="8" t="str">
        <f t="shared" si="135"/>
        <v>no</v>
      </c>
      <c r="J472" s="10" t="str">
        <f t="shared" si="126"/>
        <v>no</v>
      </c>
      <c r="K472" s="10" t="str">
        <f t="shared" si="127"/>
        <v>no</v>
      </c>
      <c r="L472" t="s">
        <v>394</v>
      </c>
      <c r="M472">
        <v>10424</v>
      </c>
      <c r="N472">
        <v>35</v>
      </c>
      <c r="O472" t="s">
        <v>714</v>
      </c>
      <c r="P472" t="str">
        <f t="shared" si="128"/>
        <v>MEREP_10424_Steeleye Stout</v>
      </c>
      <c r="Q472" t="str">
        <f t="shared" si="129"/>
        <v>10424</v>
      </c>
      <c r="R472" t="str">
        <f t="shared" si="130"/>
        <v>10424</v>
      </c>
      <c r="S472" t="str">
        <f t="shared" si="131"/>
        <v>Steeleye Stout</v>
      </c>
      <c r="T472">
        <v>14.4</v>
      </c>
      <c r="U472">
        <v>60</v>
      </c>
      <c r="V472">
        <v>0.2</v>
      </c>
      <c r="W472">
        <f t="shared" si="132"/>
        <v>691.2</v>
      </c>
      <c r="X472" t="str">
        <f t="shared" si="133"/>
        <v>No</v>
      </c>
      <c r="Y472" s="2">
        <v>34753</v>
      </c>
      <c r="Z472" t="str">
        <f t="shared" si="119"/>
        <v/>
      </c>
      <c r="AA472" t="str">
        <f t="shared" si="134"/>
        <v/>
      </c>
      <c r="AB472" t="str" cm="1">
        <f t="array" ref="AB472">_xlfn.IFS(Y472&lt;DATE(1996,1,1),"",Y472&lt;DATE(1996,4,1),"Q1",Y472&lt;DATE(1996,7,1),"Q2",Y472&gt;=DATE(1996,7,1),"")</f>
        <v/>
      </c>
    </row>
    <row r="473" spans="1:28" ht="14.4" x14ac:dyDescent="0.55000000000000004">
      <c r="A473" t="str">
        <f>VLOOKUP(L473,Customers!$A$2:$B$92,2,FALSE)</f>
        <v>Mère Paillarde</v>
      </c>
      <c r="B473" t="str">
        <f>VLOOKUP(L473,Customers!$A$2:$C$92,3,TRUE)</f>
        <v>Jean Fresnière</v>
      </c>
      <c r="C473" t="str">
        <f t="shared" si="120"/>
        <v>Jean</v>
      </c>
      <c r="D473" s="8" t="str">
        <f t="shared" si="121"/>
        <v>Fresnière</v>
      </c>
      <c r="E473" s="8" t="str">
        <f t="shared" si="122"/>
        <v>Fresnière, Jean</v>
      </c>
      <c r="F473" s="8" t="str">
        <f t="shared" si="123"/>
        <v>Fresnière, Jean</v>
      </c>
      <c r="G473" s="8" t="str">
        <f t="shared" si="124"/>
        <v>outlier</v>
      </c>
      <c r="H473" s="8" t="str">
        <f t="shared" si="125"/>
        <v>outlier</v>
      </c>
      <c r="I473" s="8" t="str">
        <f t="shared" si="135"/>
        <v>yes</v>
      </c>
      <c r="J473" s="10" t="str">
        <f t="shared" si="126"/>
        <v>yes</v>
      </c>
      <c r="K473" s="10" t="str">
        <f t="shared" si="127"/>
        <v>yes</v>
      </c>
      <c r="L473" t="s">
        <v>394</v>
      </c>
      <c r="M473">
        <v>10424</v>
      </c>
      <c r="N473">
        <v>38</v>
      </c>
      <c r="O473" t="s">
        <v>750</v>
      </c>
      <c r="P473" t="str">
        <f t="shared" si="128"/>
        <v>MEREP_10424_Côte de Blaye</v>
      </c>
      <c r="Q473" t="str">
        <f t="shared" si="129"/>
        <v>10424</v>
      </c>
      <c r="R473" t="str">
        <f t="shared" si="130"/>
        <v>10424</v>
      </c>
      <c r="S473" t="str">
        <f t="shared" si="131"/>
        <v>Côte de Blaye</v>
      </c>
      <c r="T473">
        <v>210.8</v>
      </c>
      <c r="U473">
        <v>49</v>
      </c>
      <c r="V473">
        <v>0.2</v>
      </c>
      <c r="W473">
        <f t="shared" si="132"/>
        <v>8263.36</v>
      </c>
      <c r="X473" t="str">
        <f t="shared" si="133"/>
        <v>No</v>
      </c>
      <c r="Y473" s="2">
        <v>34753</v>
      </c>
      <c r="Z473" t="str">
        <f t="shared" si="119"/>
        <v/>
      </c>
      <c r="AA473" t="str">
        <f t="shared" si="134"/>
        <v/>
      </c>
      <c r="AB473" t="str" cm="1">
        <f t="array" ref="AB473">_xlfn.IFS(Y473&lt;DATE(1996,1,1),"",Y473&lt;DATE(1996,4,1),"Q1",Y473&lt;DATE(1996,7,1),"Q2",Y473&gt;=DATE(1996,7,1),"")</f>
        <v/>
      </c>
    </row>
    <row r="474" spans="1:28" ht="14.4" x14ac:dyDescent="0.55000000000000004">
      <c r="A474" t="str">
        <f>VLOOKUP(L474,Customers!$A$2:$B$92,2,FALSE)</f>
        <v>Mère Paillarde</v>
      </c>
      <c r="B474" t="str">
        <f>VLOOKUP(L474,Customers!$A$2:$C$92,3,TRUE)</f>
        <v>Jean Fresnière</v>
      </c>
      <c r="C474" t="str">
        <f t="shared" si="120"/>
        <v>Jean</v>
      </c>
      <c r="D474" s="8" t="str">
        <f t="shared" si="121"/>
        <v>Fresnière</v>
      </c>
      <c r="E474" s="8" t="str">
        <f t="shared" si="122"/>
        <v>Fresnière, Jean</v>
      </c>
      <c r="F474" s="8" t="str">
        <f t="shared" si="123"/>
        <v>Fresnière, Jean</v>
      </c>
      <c r="G474" s="8" t="str">
        <f t="shared" si="124"/>
        <v>not an outlier</v>
      </c>
      <c r="H474" s="8" t="str">
        <f t="shared" si="125"/>
        <v>Not</v>
      </c>
      <c r="I474" s="8" t="str">
        <f t="shared" si="135"/>
        <v>no</v>
      </c>
      <c r="J474" s="10" t="str">
        <f t="shared" si="126"/>
        <v>no</v>
      </c>
      <c r="K474" s="10" t="str">
        <f t="shared" si="127"/>
        <v>no</v>
      </c>
      <c r="L474" t="s">
        <v>394</v>
      </c>
      <c r="M474">
        <v>10424</v>
      </c>
      <c r="N474">
        <v>68</v>
      </c>
      <c r="O474" t="s">
        <v>739</v>
      </c>
      <c r="P474" t="str">
        <f t="shared" si="128"/>
        <v>MEREP_10424_Scottish Longbreads</v>
      </c>
      <c r="Q474" t="str">
        <f t="shared" si="129"/>
        <v>10424</v>
      </c>
      <c r="R474" t="str">
        <f t="shared" si="130"/>
        <v>10424</v>
      </c>
      <c r="S474" t="str">
        <f t="shared" si="131"/>
        <v>Scottish Longbreads</v>
      </c>
      <c r="T474">
        <v>10</v>
      </c>
      <c r="U474">
        <v>30</v>
      </c>
      <c r="V474">
        <v>0.2</v>
      </c>
      <c r="W474">
        <f t="shared" si="132"/>
        <v>240</v>
      </c>
      <c r="X474" t="str">
        <f t="shared" si="133"/>
        <v>No</v>
      </c>
      <c r="Y474" s="2">
        <v>34753</v>
      </c>
      <c r="Z474" t="str">
        <f t="shared" si="119"/>
        <v/>
      </c>
      <c r="AA474" t="str">
        <f t="shared" si="134"/>
        <v/>
      </c>
      <c r="AB474" t="str" cm="1">
        <f t="array" ref="AB474">_xlfn.IFS(Y474&lt;DATE(1996,1,1),"",Y474&lt;DATE(1996,4,1),"Q1",Y474&lt;DATE(1996,7,1),"Q2",Y474&gt;=DATE(1996,7,1),"")</f>
        <v/>
      </c>
    </row>
    <row r="475" spans="1:28" ht="14.4" x14ac:dyDescent="0.55000000000000004">
      <c r="A475" t="str">
        <f>VLOOKUP(L475,Customers!$A$2:$B$92,2,FALSE)</f>
        <v>La maison d'Asie</v>
      </c>
      <c r="B475" t="str">
        <f>VLOOKUP(L475,Customers!$A$2:$C$92,3,TRUE)</f>
        <v>Annette Roulet</v>
      </c>
      <c r="C475" t="str">
        <f t="shared" si="120"/>
        <v>Annette</v>
      </c>
      <c r="D475" s="8" t="str">
        <f t="shared" si="121"/>
        <v>Roulet</v>
      </c>
      <c r="E475" s="8" t="str">
        <f t="shared" si="122"/>
        <v>Roulet, Annette</v>
      </c>
      <c r="F475" s="8" t="str">
        <f t="shared" si="123"/>
        <v>Roulet, Annette</v>
      </c>
      <c r="G475" s="8" t="str">
        <f t="shared" si="124"/>
        <v>not an outlier</v>
      </c>
      <c r="H475" s="8" t="str">
        <f t="shared" si="125"/>
        <v>Not</v>
      </c>
      <c r="I475" s="8" t="str">
        <f t="shared" si="135"/>
        <v>no</v>
      </c>
      <c r="J475" s="10" t="str">
        <f t="shared" si="126"/>
        <v>no</v>
      </c>
      <c r="K475" s="10" t="str">
        <f t="shared" si="127"/>
        <v>no</v>
      </c>
      <c r="L475" t="s">
        <v>318</v>
      </c>
      <c r="M475">
        <v>10425</v>
      </c>
      <c r="N475">
        <v>55</v>
      </c>
      <c r="O475" t="s">
        <v>699</v>
      </c>
      <c r="P475" t="str">
        <f t="shared" si="128"/>
        <v>LAMAI_10425_Pâté chinois</v>
      </c>
      <c r="Q475" t="str">
        <f t="shared" si="129"/>
        <v>10425</v>
      </c>
      <c r="R475" t="str">
        <f t="shared" si="130"/>
        <v>10425</v>
      </c>
      <c r="S475" t="str">
        <f t="shared" si="131"/>
        <v>Pâté chinois</v>
      </c>
      <c r="T475">
        <v>19.2</v>
      </c>
      <c r="U475">
        <v>10</v>
      </c>
      <c r="V475">
        <v>0.25</v>
      </c>
      <c r="W475">
        <f t="shared" si="132"/>
        <v>144</v>
      </c>
      <c r="X475" t="str">
        <f t="shared" si="133"/>
        <v>No</v>
      </c>
      <c r="Y475" s="2">
        <v>34754</v>
      </c>
      <c r="Z475" t="str">
        <f t="shared" si="119"/>
        <v/>
      </c>
      <c r="AA475" t="str">
        <f t="shared" si="134"/>
        <v/>
      </c>
      <c r="AB475" t="str" cm="1">
        <f t="array" ref="AB475">_xlfn.IFS(Y475&lt;DATE(1996,1,1),"",Y475&lt;DATE(1996,4,1),"Q1",Y475&lt;DATE(1996,7,1),"Q2",Y475&gt;=DATE(1996,7,1),"")</f>
        <v/>
      </c>
    </row>
    <row r="476" spans="1:28" ht="14.4" x14ac:dyDescent="0.55000000000000004">
      <c r="A476" t="str">
        <f>VLOOKUP(L476,Customers!$A$2:$B$92,2,FALSE)</f>
        <v>La maison d'Asie</v>
      </c>
      <c r="B476" t="str">
        <f>VLOOKUP(L476,Customers!$A$2:$C$92,3,TRUE)</f>
        <v>Annette Roulet</v>
      </c>
      <c r="C476" t="str">
        <f t="shared" si="120"/>
        <v>Annette</v>
      </c>
      <c r="D476" s="8" t="str">
        <f t="shared" si="121"/>
        <v>Roulet</v>
      </c>
      <c r="E476" s="8" t="str">
        <f t="shared" si="122"/>
        <v>Roulet, Annette</v>
      </c>
      <c r="F476" s="8" t="str">
        <f t="shared" si="123"/>
        <v>Roulet, Annette</v>
      </c>
      <c r="G476" s="8" t="str">
        <f t="shared" si="124"/>
        <v>not an outlier</v>
      </c>
      <c r="H476" s="8" t="str">
        <f t="shared" si="125"/>
        <v>Not</v>
      </c>
      <c r="I476" s="8" t="str">
        <f t="shared" si="135"/>
        <v>no</v>
      </c>
      <c r="J476" s="10" t="str">
        <f t="shared" si="126"/>
        <v>no</v>
      </c>
      <c r="K476" s="10" t="str">
        <f t="shared" si="127"/>
        <v>no</v>
      </c>
      <c r="L476" t="s">
        <v>318</v>
      </c>
      <c r="M476">
        <v>10425</v>
      </c>
      <c r="N476">
        <v>76</v>
      </c>
      <c r="O476" t="s">
        <v>721</v>
      </c>
      <c r="P476" t="str">
        <f t="shared" si="128"/>
        <v>LAMAI_10425_Lakkalikööri</v>
      </c>
      <c r="Q476" t="str">
        <f t="shared" si="129"/>
        <v>10425</v>
      </c>
      <c r="R476" t="str">
        <f t="shared" si="130"/>
        <v>10425</v>
      </c>
      <c r="S476" t="str">
        <f t="shared" si="131"/>
        <v>Lakkalikööri</v>
      </c>
      <c r="T476">
        <v>14.4</v>
      </c>
      <c r="U476">
        <v>20</v>
      </c>
      <c r="V476">
        <v>0.25</v>
      </c>
      <c r="W476">
        <f t="shared" si="132"/>
        <v>216</v>
      </c>
      <c r="X476" t="str">
        <f t="shared" si="133"/>
        <v>No</v>
      </c>
      <c r="Y476" s="2">
        <v>34754</v>
      </c>
      <c r="Z476" t="str">
        <f t="shared" si="119"/>
        <v/>
      </c>
      <c r="AA476" t="str">
        <f t="shared" si="134"/>
        <v/>
      </c>
      <c r="AB476" t="str" cm="1">
        <f t="array" ref="AB476">_xlfn.IFS(Y476&lt;DATE(1996,1,1),"",Y476&lt;DATE(1996,4,1),"Q1",Y476&lt;DATE(1996,7,1),"Q2",Y476&gt;=DATE(1996,7,1),"")</f>
        <v/>
      </c>
    </row>
    <row r="477" spans="1:28" ht="14.4" x14ac:dyDescent="0.55000000000000004">
      <c r="A477" t="str">
        <f>VLOOKUP(L477,Customers!$A$2:$B$92,2,FALSE)</f>
        <v>Galería del gastrónomo</v>
      </c>
      <c r="B477" t="str">
        <f>VLOOKUP(L477,Customers!$A$2:$C$92,3,TRUE)</f>
        <v>Eduardo Saavedra</v>
      </c>
      <c r="C477" t="str">
        <f t="shared" si="120"/>
        <v>Eduardo</v>
      </c>
      <c r="D477" s="8" t="str">
        <f t="shared" si="121"/>
        <v>Saavedra</v>
      </c>
      <c r="E477" s="8" t="str">
        <f t="shared" si="122"/>
        <v>Saavedra, Eduardo</v>
      </c>
      <c r="F477" s="8" t="str">
        <f t="shared" si="123"/>
        <v>Saavedra, Eduardo</v>
      </c>
      <c r="G477" s="8" t="str">
        <f t="shared" si="124"/>
        <v>not an outlier</v>
      </c>
      <c r="H477" s="8" t="str">
        <f t="shared" si="125"/>
        <v>Not</v>
      </c>
      <c r="I477" s="8" t="str">
        <f t="shared" si="135"/>
        <v>no</v>
      </c>
      <c r="J477" s="10" t="str">
        <f t="shared" si="126"/>
        <v>no</v>
      </c>
      <c r="K477" s="10" t="str">
        <f t="shared" si="127"/>
        <v>no</v>
      </c>
      <c r="L477" t="s">
        <v>227</v>
      </c>
      <c r="M477">
        <v>10426</v>
      </c>
      <c r="N477">
        <v>56</v>
      </c>
      <c r="O477" t="s">
        <v>716</v>
      </c>
      <c r="P477" t="str">
        <f t="shared" si="128"/>
        <v>GALED_10426_Gnocchi di nonna Alice</v>
      </c>
      <c r="Q477" t="str">
        <f t="shared" si="129"/>
        <v>10426</v>
      </c>
      <c r="R477" t="str">
        <f t="shared" si="130"/>
        <v>10426</v>
      </c>
      <c r="S477" t="str">
        <f t="shared" si="131"/>
        <v>Gnocchi di nonna Alice</v>
      </c>
      <c r="T477">
        <v>30.4</v>
      </c>
      <c r="U477">
        <v>5</v>
      </c>
      <c r="V477">
        <v>0</v>
      </c>
      <c r="W477">
        <f t="shared" si="132"/>
        <v>152</v>
      </c>
      <c r="X477" t="str">
        <f t="shared" si="133"/>
        <v>No</v>
      </c>
      <c r="Y477" s="2">
        <v>34757</v>
      </c>
      <c r="Z477" t="str">
        <f t="shared" si="119"/>
        <v/>
      </c>
      <c r="AA477" t="str">
        <f t="shared" si="134"/>
        <v/>
      </c>
      <c r="AB477" t="str" cm="1">
        <f t="array" ref="AB477">_xlfn.IFS(Y477&lt;DATE(1996,1,1),"",Y477&lt;DATE(1996,4,1),"Q1",Y477&lt;DATE(1996,7,1),"Q2",Y477&gt;=DATE(1996,7,1),"")</f>
        <v/>
      </c>
    </row>
    <row r="478" spans="1:28" ht="14.4" x14ac:dyDescent="0.55000000000000004">
      <c r="A478" t="str">
        <f>VLOOKUP(L478,Customers!$A$2:$B$92,2,FALSE)</f>
        <v>Galería del gastrónomo</v>
      </c>
      <c r="B478" t="str">
        <f>VLOOKUP(L478,Customers!$A$2:$C$92,3,TRUE)</f>
        <v>Eduardo Saavedra</v>
      </c>
      <c r="C478" t="str">
        <f t="shared" si="120"/>
        <v>Eduardo</v>
      </c>
      <c r="D478" s="8" t="str">
        <f t="shared" si="121"/>
        <v>Saavedra</v>
      </c>
      <c r="E478" s="8" t="str">
        <f t="shared" si="122"/>
        <v>Saavedra, Eduardo</v>
      </c>
      <c r="F478" s="8" t="str">
        <f t="shared" si="123"/>
        <v>Saavedra, Eduardo</v>
      </c>
      <c r="G478" s="8" t="str">
        <f t="shared" si="124"/>
        <v>not an outlier</v>
      </c>
      <c r="H478" s="8" t="str">
        <f t="shared" si="125"/>
        <v>Not</v>
      </c>
      <c r="I478" s="8" t="str">
        <f t="shared" si="135"/>
        <v>no</v>
      </c>
      <c r="J478" s="10" t="str">
        <f t="shared" si="126"/>
        <v>no</v>
      </c>
      <c r="K478" s="10" t="str">
        <f t="shared" si="127"/>
        <v>no</v>
      </c>
      <c r="L478" t="s">
        <v>227</v>
      </c>
      <c r="M478">
        <v>10426</v>
      </c>
      <c r="N478">
        <v>64</v>
      </c>
      <c r="O478" t="s">
        <v>741</v>
      </c>
      <c r="P478" t="str">
        <f t="shared" si="128"/>
        <v>GALED_10426_Wimmers gute Semmelknödel</v>
      </c>
      <c r="Q478" t="str">
        <f t="shared" si="129"/>
        <v>10426</v>
      </c>
      <c r="R478" t="str">
        <f t="shared" si="130"/>
        <v>10426</v>
      </c>
      <c r="S478" t="str">
        <f t="shared" si="131"/>
        <v>Wimmers gute Semmelknödel</v>
      </c>
      <c r="T478">
        <v>26.6</v>
      </c>
      <c r="U478">
        <v>7</v>
      </c>
      <c r="V478">
        <v>0</v>
      </c>
      <c r="W478">
        <f t="shared" si="132"/>
        <v>186.20000000000002</v>
      </c>
      <c r="X478" t="str">
        <f t="shared" si="133"/>
        <v>No</v>
      </c>
      <c r="Y478" s="2">
        <v>34757</v>
      </c>
      <c r="Z478" t="str">
        <f t="shared" si="119"/>
        <v/>
      </c>
      <c r="AA478" t="str">
        <f t="shared" si="134"/>
        <v/>
      </c>
      <c r="AB478" t="str" cm="1">
        <f t="array" ref="AB478">_xlfn.IFS(Y478&lt;DATE(1996,1,1),"",Y478&lt;DATE(1996,4,1),"Q1",Y478&lt;DATE(1996,7,1),"Q2",Y478&gt;=DATE(1996,7,1),"")</f>
        <v/>
      </c>
    </row>
    <row r="479" spans="1:28" ht="14.4" x14ac:dyDescent="0.55000000000000004">
      <c r="A479" t="str">
        <f>VLOOKUP(L479,Customers!$A$2:$B$92,2,FALSE)</f>
        <v>Piccolo und mehr</v>
      </c>
      <c r="B479" t="str">
        <f>VLOOKUP(L479,Customers!$A$2:$C$92,3,TRUE)</f>
        <v>Georg Pipps</v>
      </c>
      <c r="C479" t="str">
        <f t="shared" si="120"/>
        <v>Georg</v>
      </c>
      <c r="D479" s="8" t="str">
        <f t="shared" si="121"/>
        <v>Pipps</v>
      </c>
      <c r="E479" s="8" t="str">
        <f t="shared" si="122"/>
        <v>Pipps, Georg</v>
      </c>
      <c r="F479" s="8" t="str">
        <f t="shared" si="123"/>
        <v>Pipps, Georg</v>
      </c>
      <c r="G479" s="8" t="str">
        <f t="shared" si="124"/>
        <v>not an outlier</v>
      </c>
      <c r="H479" s="8" t="str">
        <f t="shared" si="125"/>
        <v>Not</v>
      </c>
      <c r="I479" s="8" t="str">
        <f t="shared" si="135"/>
        <v>no</v>
      </c>
      <c r="J479" s="10" t="str">
        <f t="shared" si="126"/>
        <v>no</v>
      </c>
      <c r="K479" s="10" t="str">
        <f t="shared" si="127"/>
        <v>no</v>
      </c>
      <c r="L479" t="s">
        <v>450</v>
      </c>
      <c r="M479">
        <v>10427</v>
      </c>
      <c r="N479">
        <v>14</v>
      </c>
      <c r="O479" t="s">
        <v>686</v>
      </c>
      <c r="P479" t="str">
        <f t="shared" si="128"/>
        <v>PICCO_10427_Tofu</v>
      </c>
      <c r="Q479" t="str">
        <f t="shared" si="129"/>
        <v>10427</v>
      </c>
      <c r="R479" t="str">
        <f t="shared" si="130"/>
        <v>10427</v>
      </c>
      <c r="S479" t="str">
        <f t="shared" si="131"/>
        <v>Tofu</v>
      </c>
      <c r="T479">
        <v>18.600000000000001</v>
      </c>
      <c r="U479">
        <v>35</v>
      </c>
      <c r="V479">
        <v>0</v>
      </c>
      <c r="W479">
        <f t="shared" si="132"/>
        <v>651</v>
      </c>
      <c r="X479" t="str">
        <f t="shared" si="133"/>
        <v>No</v>
      </c>
      <c r="Y479" s="2">
        <v>34757</v>
      </c>
      <c r="Z479" t="str">
        <f t="shared" si="119"/>
        <v/>
      </c>
      <c r="AA479" t="str">
        <f t="shared" si="134"/>
        <v/>
      </c>
      <c r="AB479" t="str" cm="1">
        <f t="array" ref="AB479">_xlfn.IFS(Y479&lt;DATE(1996,1,1),"",Y479&lt;DATE(1996,4,1),"Q1",Y479&lt;DATE(1996,7,1),"Q2",Y479&gt;=DATE(1996,7,1),"")</f>
        <v/>
      </c>
    </row>
    <row r="480" spans="1:28" ht="14.4" x14ac:dyDescent="0.55000000000000004">
      <c r="A480" t="str">
        <f>VLOOKUP(L480,Customers!$A$2:$B$92,2,FALSE)</f>
        <v>Reggiani Caseifici</v>
      </c>
      <c r="B480" t="str">
        <f>VLOOKUP(L480,Customers!$A$2:$C$92,3,TRUE)</f>
        <v>Maurizio Moroni</v>
      </c>
      <c r="C480" t="str">
        <f t="shared" si="120"/>
        <v>Maurizio</v>
      </c>
      <c r="D480" s="8" t="str">
        <f t="shared" si="121"/>
        <v>Moroni</v>
      </c>
      <c r="E480" s="8" t="str">
        <f t="shared" si="122"/>
        <v>Moroni, Maurizio</v>
      </c>
      <c r="F480" s="8" t="str">
        <f t="shared" si="123"/>
        <v>Moroni, Maurizio</v>
      </c>
      <c r="G480" s="8" t="str">
        <f t="shared" si="124"/>
        <v>not an outlier</v>
      </c>
      <c r="H480" s="8" t="str">
        <f t="shared" si="125"/>
        <v>Not</v>
      </c>
      <c r="I480" s="8" t="str">
        <f t="shared" si="135"/>
        <v>no</v>
      </c>
      <c r="J480" s="10" t="str">
        <f t="shared" si="126"/>
        <v>no</v>
      </c>
      <c r="K480" s="10" t="str">
        <f t="shared" si="127"/>
        <v>no</v>
      </c>
      <c r="L480" t="s">
        <v>496</v>
      </c>
      <c r="M480">
        <v>10428</v>
      </c>
      <c r="N480">
        <v>46</v>
      </c>
      <c r="O480" t="s">
        <v>737</v>
      </c>
      <c r="P480" t="str">
        <f t="shared" si="128"/>
        <v>REGGC_10428_Spegesild</v>
      </c>
      <c r="Q480" t="str">
        <f t="shared" si="129"/>
        <v>10428</v>
      </c>
      <c r="R480" t="str">
        <f t="shared" si="130"/>
        <v>10428</v>
      </c>
      <c r="S480" t="str">
        <f t="shared" si="131"/>
        <v>Spegesild</v>
      </c>
      <c r="T480">
        <v>9.6</v>
      </c>
      <c r="U480">
        <v>20</v>
      </c>
      <c r="V480">
        <v>0</v>
      </c>
      <c r="W480">
        <f t="shared" si="132"/>
        <v>192</v>
      </c>
      <c r="X480" t="str">
        <f t="shared" si="133"/>
        <v>No</v>
      </c>
      <c r="Y480" s="2">
        <v>34758</v>
      </c>
      <c r="Z480" t="str">
        <f t="shared" si="119"/>
        <v/>
      </c>
      <c r="AA480" t="str">
        <f t="shared" si="134"/>
        <v/>
      </c>
      <c r="AB480" t="str" cm="1">
        <f t="array" ref="AB480">_xlfn.IFS(Y480&lt;DATE(1996,1,1),"",Y480&lt;DATE(1996,4,1),"Q1",Y480&lt;DATE(1996,7,1),"Q2",Y480&gt;=DATE(1996,7,1),"")</f>
        <v/>
      </c>
    </row>
    <row r="481" spans="1:28" ht="14.4" x14ac:dyDescent="0.55000000000000004">
      <c r="A481" t="str">
        <f>VLOOKUP(L481,Customers!$A$2:$B$92,2,FALSE)</f>
        <v>Hungry Owl All-Night Grocers</v>
      </c>
      <c r="B481" t="str">
        <f>VLOOKUP(L481,Customers!$A$2:$C$92,3,TRUE)</f>
        <v>Patricia McKenna</v>
      </c>
      <c r="C481" t="str">
        <f t="shared" si="120"/>
        <v>Patricia</v>
      </c>
      <c r="D481" s="8" t="str">
        <f t="shared" si="121"/>
        <v>McKenna</v>
      </c>
      <c r="E481" s="8" t="str">
        <f t="shared" si="122"/>
        <v>McKenna, Patricia</v>
      </c>
      <c r="F481" s="8" t="str">
        <f t="shared" si="123"/>
        <v>McKenna, Patricia</v>
      </c>
      <c r="G481" s="8" t="str">
        <f t="shared" si="124"/>
        <v>not an outlier</v>
      </c>
      <c r="H481" s="8" t="str">
        <f t="shared" si="125"/>
        <v>Not</v>
      </c>
      <c r="I481" s="8" t="str">
        <f t="shared" si="135"/>
        <v>no</v>
      </c>
      <c r="J481" s="10" t="str">
        <f t="shared" si="126"/>
        <v>no</v>
      </c>
      <c r="K481" s="10" t="str">
        <f t="shared" si="127"/>
        <v>no</v>
      </c>
      <c r="L481" t="s">
        <v>288</v>
      </c>
      <c r="M481">
        <v>10429</v>
      </c>
      <c r="N481">
        <v>50</v>
      </c>
      <c r="O481" t="s">
        <v>755</v>
      </c>
      <c r="P481" t="str">
        <f t="shared" si="128"/>
        <v>HUNGO_10429_Valkoinen suklaa</v>
      </c>
      <c r="Q481" t="str">
        <f t="shared" si="129"/>
        <v>10429</v>
      </c>
      <c r="R481" t="str">
        <f t="shared" si="130"/>
        <v>10429</v>
      </c>
      <c r="S481" t="str">
        <f t="shared" si="131"/>
        <v>Valkoinen suklaa</v>
      </c>
      <c r="T481">
        <v>13</v>
      </c>
      <c r="U481">
        <v>40</v>
      </c>
      <c r="V481">
        <v>0</v>
      </c>
      <c r="W481">
        <f t="shared" si="132"/>
        <v>520</v>
      </c>
      <c r="X481" t="str">
        <f t="shared" si="133"/>
        <v>No</v>
      </c>
      <c r="Y481" s="2">
        <v>34759</v>
      </c>
      <c r="Z481" t="str">
        <f t="shared" si="119"/>
        <v/>
      </c>
      <c r="AA481" t="str">
        <f t="shared" si="134"/>
        <v/>
      </c>
      <c r="AB481" t="str" cm="1">
        <f t="array" ref="AB481">_xlfn.IFS(Y481&lt;DATE(1996,1,1),"",Y481&lt;DATE(1996,4,1),"Q1",Y481&lt;DATE(1996,7,1),"Q2",Y481&gt;=DATE(1996,7,1),"")</f>
        <v/>
      </c>
    </row>
    <row r="482" spans="1:28" ht="14.4" x14ac:dyDescent="0.55000000000000004">
      <c r="A482" t="str">
        <f>VLOOKUP(L482,Customers!$A$2:$B$92,2,FALSE)</f>
        <v>Hungry Owl All-Night Grocers</v>
      </c>
      <c r="B482" t="str">
        <f>VLOOKUP(L482,Customers!$A$2:$C$92,3,TRUE)</f>
        <v>Patricia McKenna</v>
      </c>
      <c r="C482" t="str">
        <f t="shared" si="120"/>
        <v>Patricia</v>
      </c>
      <c r="D482" s="8" t="str">
        <f t="shared" si="121"/>
        <v>McKenna</v>
      </c>
      <c r="E482" s="8" t="str">
        <f t="shared" si="122"/>
        <v>McKenna, Patricia</v>
      </c>
      <c r="F482" s="8" t="str">
        <f t="shared" si="123"/>
        <v>McKenna, Patricia</v>
      </c>
      <c r="G482" s="8" t="str">
        <f t="shared" si="124"/>
        <v>not an outlier</v>
      </c>
      <c r="H482" s="8" t="str">
        <f t="shared" si="125"/>
        <v>Not</v>
      </c>
      <c r="I482" s="8" t="str">
        <f t="shared" si="135"/>
        <v>no</v>
      </c>
      <c r="J482" s="10" t="str">
        <f t="shared" si="126"/>
        <v>no</v>
      </c>
      <c r="K482" s="10" t="str">
        <f t="shared" si="127"/>
        <v>no</v>
      </c>
      <c r="L482" t="s">
        <v>288</v>
      </c>
      <c r="M482">
        <v>10429</v>
      </c>
      <c r="N482">
        <v>63</v>
      </c>
      <c r="O482" t="s">
        <v>729</v>
      </c>
      <c r="P482" t="str">
        <f t="shared" si="128"/>
        <v>HUNGO_10429_Vegie-spread</v>
      </c>
      <c r="Q482" t="str">
        <f t="shared" si="129"/>
        <v>10429</v>
      </c>
      <c r="R482" t="str">
        <f t="shared" si="130"/>
        <v>10429</v>
      </c>
      <c r="S482" t="str">
        <f t="shared" si="131"/>
        <v>Vegie-spread</v>
      </c>
      <c r="T482">
        <v>35.1</v>
      </c>
      <c r="U482">
        <v>35</v>
      </c>
      <c r="V482">
        <v>0.25</v>
      </c>
      <c r="W482">
        <f t="shared" si="132"/>
        <v>921.375</v>
      </c>
      <c r="X482" t="str">
        <f t="shared" si="133"/>
        <v>No</v>
      </c>
      <c r="Y482" s="2">
        <v>34759</v>
      </c>
      <c r="Z482" t="str">
        <f t="shared" si="119"/>
        <v/>
      </c>
      <c r="AA482" t="str">
        <f t="shared" si="134"/>
        <v/>
      </c>
      <c r="AB482" t="str" cm="1">
        <f t="array" ref="AB482">_xlfn.IFS(Y482&lt;DATE(1996,1,1),"",Y482&lt;DATE(1996,4,1),"Q1",Y482&lt;DATE(1996,7,1),"Q2",Y482&gt;=DATE(1996,7,1),"")</f>
        <v/>
      </c>
    </row>
    <row r="483" spans="1:28" ht="14.4" x14ac:dyDescent="0.55000000000000004">
      <c r="A483" t="str">
        <f>VLOOKUP(L483,Customers!$A$2:$B$92,2,FALSE)</f>
        <v>Ernst Handel</v>
      </c>
      <c r="B483" t="str">
        <f>VLOOKUP(L483,Customers!$A$2:$C$92,3,TRUE)</f>
        <v>Roland Mendel</v>
      </c>
      <c r="C483" t="str">
        <f t="shared" si="120"/>
        <v>Roland</v>
      </c>
      <c r="D483" s="8" t="str">
        <f t="shared" si="121"/>
        <v>Mendel</v>
      </c>
      <c r="E483" s="8" t="str">
        <f t="shared" si="122"/>
        <v>Mendel, Roland</v>
      </c>
      <c r="F483" s="8" t="str">
        <f t="shared" si="123"/>
        <v>Mendel, Roland</v>
      </c>
      <c r="G483" s="8" t="str">
        <f t="shared" si="124"/>
        <v>not an outlier</v>
      </c>
      <c r="H483" s="8" t="str">
        <f t="shared" si="125"/>
        <v>Not</v>
      </c>
      <c r="I483" s="8" t="str">
        <f t="shared" si="135"/>
        <v>no</v>
      </c>
      <c r="J483" s="10" t="str">
        <f t="shared" si="126"/>
        <v>no</v>
      </c>
      <c r="K483" s="10" t="str">
        <f t="shared" si="127"/>
        <v>no</v>
      </c>
      <c r="L483" t="s">
        <v>161</v>
      </c>
      <c r="M483">
        <v>10430</v>
      </c>
      <c r="N483">
        <v>17</v>
      </c>
      <c r="O483" t="s">
        <v>718</v>
      </c>
      <c r="P483" t="str">
        <f t="shared" si="128"/>
        <v>ERNSH_10430_Alice Mutton</v>
      </c>
      <c r="Q483" t="str">
        <f t="shared" si="129"/>
        <v>10430</v>
      </c>
      <c r="R483" t="str">
        <f t="shared" si="130"/>
        <v>10430</v>
      </c>
      <c r="S483" t="str">
        <f t="shared" si="131"/>
        <v>Alice Mutton</v>
      </c>
      <c r="T483">
        <v>31.2</v>
      </c>
      <c r="U483">
        <v>45</v>
      </c>
      <c r="V483">
        <v>0.2</v>
      </c>
      <c r="W483">
        <f t="shared" si="132"/>
        <v>1123.2</v>
      </c>
      <c r="X483" t="str">
        <f t="shared" si="133"/>
        <v>No</v>
      </c>
      <c r="Y483" s="2">
        <v>34760</v>
      </c>
      <c r="Z483" t="str">
        <f t="shared" si="119"/>
        <v/>
      </c>
      <c r="AA483" t="str">
        <f t="shared" si="134"/>
        <v/>
      </c>
      <c r="AB483" t="str" cm="1">
        <f t="array" ref="AB483">_xlfn.IFS(Y483&lt;DATE(1996,1,1),"",Y483&lt;DATE(1996,4,1),"Q1",Y483&lt;DATE(1996,7,1),"Q2",Y483&gt;=DATE(1996,7,1),"")</f>
        <v/>
      </c>
    </row>
    <row r="484" spans="1:28" ht="14.4" x14ac:dyDescent="0.55000000000000004">
      <c r="A484" t="str">
        <f>VLOOKUP(L484,Customers!$A$2:$B$92,2,FALSE)</f>
        <v>Ernst Handel</v>
      </c>
      <c r="B484" t="str">
        <f>VLOOKUP(L484,Customers!$A$2:$C$92,3,TRUE)</f>
        <v>Roland Mendel</v>
      </c>
      <c r="C484" t="str">
        <f t="shared" si="120"/>
        <v>Roland</v>
      </c>
      <c r="D484" s="8" t="str">
        <f t="shared" si="121"/>
        <v>Mendel</v>
      </c>
      <c r="E484" s="8" t="str">
        <f t="shared" si="122"/>
        <v>Mendel, Roland</v>
      </c>
      <c r="F484" s="8" t="str">
        <f t="shared" si="123"/>
        <v>Mendel, Roland</v>
      </c>
      <c r="G484" s="8" t="str">
        <f t="shared" si="124"/>
        <v>not an outlier</v>
      </c>
      <c r="H484" s="8" t="str">
        <f t="shared" si="125"/>
        <v>Not</v>
      </c>
      <c r="I484" s="8" t="str">
        <f t="shared" si="135"/>
        <v>no</v>
      </c>
      <c r="J484" s="10" t="str">
        <f t="shared" si="126"/>
        <v>no</v>
      </c>
      <c r="K484" s="10" t="str">
        <f t="shared" si="127"/>
        <v>no</v>
      </c>
      <c r="L484" t="s">
        <v>161</v>
      </c>
      <c r="M484">
        <v>10430</v>
      </c>
      <c r="N484">
        <v>21</v>
      </c>
      <c r="O484" t="s">
        <v>710</v>
      </c>
      <c r="P484" t="str">
        <f t="shared" si="128"/>
        <v>ERNSH_10430_Sir Rodney's Scones</v>
      </c>
      <c r="Q484" t="str">
        <f t="shared" si="129"/>
        <v>10430</v>
      </c>
      <c r="R484" t="str">
        <f t="shared" si="130"/>
        <v>10430</v>
      </c>
      <c r="S484" t="str">
        <f t="shared" si="131"/>
        <v>Sir Rodney's Scones</v>
      </c>
      <c r="T484">
        <v>8</v>
      </c>
      <c r="U484">
        <v>50</v>
      </c>
      <c r="V484">
        <v>0</v>
      </c>
      <c r="W484">
        <f t="shared" si="132"/>
        <v>400</v>
      </c>
      <c r="X484" t="str">
        <f t="shared" si="133"/>
        <v>No</v>
      </c>
      <c r="Y484" s="2">
        <v>34760</v>
      </c>
      <c r="Z484" t="str">
        <f t="shared" si="119"/>
        <v/>
      </c>
      <c r="AA484" t="str">
        <f t="shared" si="134"/>
        <v/>
      </c>
      <c r="AB484" t="str" cm="1">
        <f t="array" ref="AB484">_xlfn.IFS(Y484&lt;DATE(1996,1,1),"",Y484&lt;DATE(1996,4,1),"Q1",Y484&lt;DATE(1996,7,1),"Q2",Y484&gt;=DATE(1996,7,1),"")</f>
        <v/>
      </c>
    </row>
    <row r="485" spans="1:28" ht="14.4" x14ac:dyDescent="0.55000000000000004">
      <c r="A485" t="str">
        <f>VLOOKUP(L485,Customers!$A$2:$B$92,2,FALSE)</f>
        <v>Ernst Handel</v>
      </c>
      <c r="B485" t="str">
        <f>VLOOKUP(L485,Customers!$A$2:$C$92,3,TRUE)</f>
        <v>Roland Mendel</v>
      </c>
      <c r="C485" t="str">
        <f t="shared" si="120"/>
        <v>Roland</v>
      </c>
      <c r="D485" s="8" t="str">
        <f t="shared" si="121"/>
        <v>Mendel</v>
      </c>
      <c r="E485" s="8" t="str">
        <f t="shared" si="122"/>
        <v>Mendel, Roland</v>
      </c>
      <c r="F485" s="8" t="str">
        <f t="shared" si="123"/>
        <v>Mendel, Roland</v>
      </c>
      <c r="G485" s="8" t="str">
        <f t="shared" si="124"/>
        <v>not an outlier</v>
      </c>
      <c r="H485" s="8" t="str">
        <f t="shared" si="125"/>
        <v>Not</v>
      </c>
      <c r="I485" s="8" t="str">
        <f t="shared" si="135"/>
        <v>no</v>
      </c>
      <c r="J485" s="10" t="str">
        <f t="shared" si="126"/>
        <v>no</v>
      </c>
      <c r="K485" s="10" t="str">
        <f t="shared" si="127"/>
        <v>no</v>
      </c>
      <c r="L485" t="s">
        <v>161</v>
      </c>
      <c r="M485">
        <v>10430</v>
      </c>
      <c r="N485">
        <v>56</v>
      </c>
      <c r="O485" t="s">
        <v>716</v>
      </c>
      <c r="P485" t="str">
        <f t="shared" si="128"/>
        <v>ERNSH_10430_Gnocchi di nonna Alice</v>
      </c>
      <c r="Q485" t="str">
        <f t="shared" si="129"/>
        <v>10430</v>
      </c>
      <c r="R485" t="str">
        <f t="shared" si="130"/>
        <v>10430</v>
      </c>
      <c r="S485" t="str">
        <f t="shared" si="131"/>
        <v>Gnocchi di nonna Alice</v>
      </c>
      <c r="T485">
        <v>30.4</v>
      </c>
      <c r="U485">
        <v>30</v>
      </c>
      <c r="V485">
        <v>0</v>
      </c>
      <c r="W485">
        <f t="shared" si="132"/>
        <v>912</v>
      </c>
      <c r="X485" t="str">
        <f t="shared" si="133"/>
        <v>No</v>
      </c>
      <c r="Y485" s="2">
        <v>34760</v>
      </c>
      <c r="Z485" t="str">
        <f t="shared" si="119"/>
        <v/>
      </c>
      <c r="AA485" t="str">
        <f t="shared" si="134"/>
        <v/>
      </c>
      <c r="AB485" t="str" cm="1">
        <f t="array" ref="AB485">_xlfn.IFS(Y485&lt;DATE(1996,1,1),"",Y485&lt;DATE(1996,4,1),"Q1",Y485&lt;DATE(1996,7,1),"Q2",Y485&gt;=DATE(1996,7,1),"")</f>
        <v/>
      </c>
    </row>
    <row r="486" spans="1:28" ht="14.4" x14ac:dyDescent="0.55000000000000004">
      <c r="A486" t="str">
        <f>VLOOKUP(L486,Customers!$A$2:$B$92,2,FALSE)</f>
        <v>Ernst Handel</v>
      </c>
      <c r="B486" t="str">
        <f>VLOOKUP(L486,Customers!$A$2:$C$92,3,TRUE)</f>
        <v>Roland Mendel</v>
      </c>
      <c r="C486" t="str">
        <f t="shared" si="120"/>
        <v>Roland</v>
      </c>
      <c r="D486" s="8" t="str">
        <f t="shared" si="121"/>
        <v>Mendel</v>
      </c>
      <c r="E486" s="8" t="str">
        <f t="shared" si="122"/>
        <v>Mendel, Roland</v>
      </c>
      <c r="F486" s="8" t="str">
        <f t="shared" si="123"/>
        <v>Mendel, Roland</v>
      </c>
      <c r="G486" s="8" t="str">
        <f t="shared" si="124"/>
        <v>not an outlier</v>
      </c>
      <c r="H486" s="8" t="str">
        <f t="shared" si="125"/>
        <v>Not</v>
      </c>
      <c r="I486" s="8" t="str">
        <f t="shared" si="135"/>
        <v>no</v>
      </c>
      <c r="J486" s="10" t="str">
        <f t="shared" si="126"/>
        <v>no</v>
      </c>
      <c r="K486" s="10" t="str">
        <f t="shared" si="127"/>
        <v>no</v>
      </c>
      <c r="L486" t="s">
        <v>161</v>
      </c>
      <c r="M486">
        <v>10430</v>
      </c>
      <c r="N486">
        <v>59</v>
      </c>
      <c r="O486" t="s">
        <v>704</v>
      </c>
      <c r="P486" t="str">
        <f t="shared" si="128"/>
        <v>ERNSH_10430_Raclette Courdavault</v>
      </c>
      <c r="Q486" t="str">
        <f t="shared" si="129"/>
        <v>10430</v>
      </c>
      <c r="R486" t="str">
        <f t="shared" si="130"/>
        <v>10430</v>
      </c>
      <c r="S486" t="str">
        <f t="shared" si="131"/>
        <v>Raclette Courdavault</v>
      </c>
      <c r="T486">
        <v>44</v>
      </c>
      <c r="U486">
        <v>70</v>
      </c>
      <c r="V486">
        <v>0.2</v>
      </c>
      <c r="W486">
        <f t="shared" si="132"/>
        <v>2464</v>
      </c>
      <c r="X486" t="str">
        <f t="shared" si="133"/>
        <v>No</v>
      </c>
      <c r="Y486" s="2">
        <v>34760</v>
      </c>
      <c r="Z486" t="str">
        <f t="shared" si="119"/>
        <v/>
      </c>
      <c r="AA486" t="str">
        <f t="shared" si="134"/>
        <v/>
      </c>
      <c r="AB486" t="str" cm="1">
        <f t="array" ref="AB486">_xlfn.IFS(Y486&lt;DATE(1996,1,1),"",Y486&lt;DATE(1996,4,1),"Q1",Y486&lt;DATE(1996,7,1),"Q2",Y486&gt;=DATE(1996,7,1),"")</f>
        <v/>
      </c>
    </row>
    <row r="487" spans="1:28" ht="14.4" x14ac:dyDescent="0.55000000000000004">
      <c r="A487" t="str">
        <f>VLOOKUP(L487,Customers!$A$2:$B$92,2,FALSE)</f>
        <v>Bottom-Dollar Markets</v>
      </c>
      <c r="B487" t="str">
        <f>VLOOKUP(L487,Customers!$A$2:$C$92,3,TRUE)</f>
        <v>Elizabeth Lincoln</v>
      </c>
      <c r="C487" t="str">
        <f t="shared" si="120"/>
        <v>Elizabeth</v>
      </c>
      <c r="D487" s="8" t="str">
        <f t="shared" si="121"/>
        <v>Lincoln</v>
      </c>
      <c r="E487" s="8" t="str">
        <f t="shared" si="122"/>
        <v>Lincoln, Elizabeth</v>
      </c>
      <c r="F487" s="8" t="str">
        <f t="shared" si="123"/>
        <v>Lincoln, Elizabeth</v>
      </c>
      <c r="G487" s="8" t="str">
        <f t="shared" si="124"/>
        <v>not an outlier</v>
      </c>
      <c r="H487" s="8" t="str">
        <f t="shared" si="125"/>
        <v>Not</v>
      </c>
      <c r="I487" s="8" t="str">
        <f t="shared" si="135"/>
        <v>no</v>
      </c>
      <c r="J487" s="10" t="str">
        <f t="shared" si="126"/>
        <v>no</v>
      </c>
      <c r="K487" s="10" t="str">
        <f t="shared" si="127"/>
        <v>no</v>
      </c>
      <c r="L487" t="s">
        <v>84</v>
      </c>
      <c r="M487">
        <v>10431</v>
      </c>
      <c r="N487">
        <v>17</v>
      </c>
      <c r="O487" t="s">
        <v>718</v>
      </c>
      <c r="P487" t="str">
        <f t="shared" si="128"/>
        <v>BOTTM_10431_Alice Mutton</v>
      </c>
      <c r="Q487" t="str">
        <f t="shared" si="129"/>
        <v>10431</v>
      </c>
      <c r="R487" t="str">
        <f t="shared" si="130"/>
        <v>10431</v>
      </c>
      <c r="S487" t="str">
        <f t="shared" si="131"/>
        <v>Alice Mutton</v>
      </c>
      <c r="T487">
        <v>31.2</v>
      </c>
      <c r="U487">
        <v>50</v>
      </c>
      <c r="V487">
        <v>0.25</v>
      </c>
      <c r="W487">
        <f t="shared" si="132"/>
        <v>1170</v>
      </c>
      <c r="X487" t="str">
        <f t="shared" si="133"/>
        <v>No</v>
      </c>
      <c r="Y487" s="2">
        <v>34760</v>
      </c>
      <c r="Z487" t="str">
        <f t="shared" si="119"/>
        <v/>
      </c>
      <c r="AA487" t="str">
        <f t="shared" si="134"/>
        <v/>
      </c>
      <c r="AB487" t="str" cm="1">
        <f t="array" ref="AB487">_xlfn.IFS(Y487&lt;DATE(1996,1,1),"",Y487&lt;DATE(1996,4,1),"Q1",Y487&lt;DATE(1996,7,1),"Q2",Y487&gt;=DATE(1996,7,1),"")</f>
        <v/>
      </c>
    </row>
    <row r="488" spans="1:28" ht="14.4" x14ac:dyDescent="0.55000000000000004">
      <c r="A488" t="str">
        <f>VLOOKUP(L488,Customers!$A$2:$B$92,2,FALSE)</f>
        <v>Bottom-Dollar Markets</v>
      </c>
      <c r="B488" t="str">
        <f>VLOOKUP(L488,Customers!$A$2:$C$92,3,TRUE)</f>
        <v>Elizabeth Lincoln</v>
      </c>
      <c r="C488" t="str">
        <f t="shared" si="120"/>
        <v>Elizabeth</v>
      </c>
      <c r="D488" s="8" t="str">
        <f t="shared" si="121"/>
        <v>Lincoln</v>
      </c>
      <c r="E488" s="8" t="str">
        <f t="shared" si="122"/>
        <v>Lincoln, Elizabeth</v>
      </c>
      <c r="F488" s="8" t="str">
        <f t="shared" si="123"/>
        <v>Lincoln, Elizabeth</v>
      </c>
      <c r="G488" s="8" t="str">
        <f t="shared" si="124"/>
        <v>not an outlier</v>
      </c>
      <c r="H488" s="8" t="str">
        <f t="shared" si="125"/>
        <v>Not</v>
      </c>
      <c r="I488" s="8" t="str">
        <f t="shared" si="135"/>
        <v>no</v>
      </c>
      <c r="J488" s="10" t="str">
        <f t="shared" si="126"/>
        <v>no</v>
      </c>
      <c r="K488" s="10" t="str">
        <f t="shared" si="127"/>
        <v>no</v>
      </c>
      <c r="L488" t="s">
        <v>84</v>
      </c>
      <c r="M488">
        <v>10431</v>
      </c>
      <c r="N488">
        <v>40</v>
      </c>
      <c r="O488" t="s">
        <v>720</v>
      </c>
      <c r="P488" t="str">
        <f t="shared" si="128"/>
        <v>BOTTM_10431_Boston Crab Meat</v>
      </c>
      <c r="Q488" t="str">
        <f t="shared" si="129"/>
        <v>10431</v>
      </c>
      <c r="R488" t="str">
        <f t="shared" si="130"/>
        <v>10431</v>
      </c>
      <c r="S488" t="str">
        <f t="shared" si="131"/>
        <v>Boston Crab Meat</v>
      </c>
      <c r="T488">
        <v>14.7</v>
      </c>
      <c r="U488">
        <v>50</v>
      </c>
      <c r="V488">
        <v>0.25</v>
      </c>
      <c r="W488">
        <f t="shared" si="132"/>
        <v>551.25</v>
      </c>
      <c r="X488" t="str">
        <f t="shared" si="133"/>
        <v>No</v>
      </c>
      <c r="Y488" s="2">
        <v>34760</v>
      </c>
      <c r="Z488" t="str">
        <f t="shared" si="119"/>
        <v/>
      </c>
      <c r="AA488" t="str">
        <f t="shared" si="134"/>
        <v/>
      </c>
      <c r="AB488" t="str" cm="1">
        <f t="array" ref="AB488">_xlfn.IFS(Y488&lt;DATE(1996,1,1),"",Y488&lt;DATE(1996,4,1),"Q1",Y488&lt;DATE(1996,7,1),"Q2",Y488&gt;=DATE(1996,7,1),"")</f>
        <v/>
      </c>
    </row>
    <row r="489" spans="1:28" ht="14.4" x14ac:dyDescent="0.55000000000000004">
      <c r="A489" t="str">
        <f>VLOOKUP(L489,Customers!$A$2:$B$92,2,FALSE)</f>
        <v>Bottom-Dollar Markets</v>
      </c>
      <c r="B489" t="str">
        <f>VLOOKUP(L489,Customers!$A$2:$C$92,3,TRUE)</f>
        <v>Elizabeth Lincoln</v>
      </c>
      <c r="C489" t="str">
        <f t="shared" si="120"/>
        <v>Elizabeth</v>
      </c>
      <c r="D489" s="8" t="str">
        <f t="shared" si="121"/>
        <v>Lincoln</v>
      </c>
      <c r="E489" s="8" t="str">
        <f t="shared" si="122"/>
        <v>Lincoln, Elizabeth</v>
      </c>
      <c r="F489" s="8" t="str">
        <f t="shared" si="123"/>
        <v>Lincoln, Elizabeth</v>
      </c>
      <c r="G489" s="8" t="str">
        <f t="shared" si="124"/>
        <v>not an outlier</v>
      </c>
      <c r="H489" s="8" t="str">
        <f t="shared" si="125"/>
        <v>Not</v>
      </c>
      <c r="I489" s="8" t="str">
        <f t="shared" si="135"/>
        <v>no</v>
      </c>
      <c r="J489" s="10" t="str">
        <f t="shared" si="126"/>
        <v>no</v>
      </c>
      <c r="K489" s="10" t="str">
        <f t="shared" si="127"/>
        <v>no</v>
      </c>
      <c r="L489" t="s">
        <v>84</v>
      </c>
      <c r="M489">
        <v>10431</v>
      </c>
      <c r="N489">
        <v>47</v>
      </c>
      <c r="O489" t="s">
        <v>752</v>
      </c>
      <c r="P489" t="str">
        <f t="shared" si="128"/>
        <v>BOTTM_10431_Zaanse koeken</v>
      </c>
      <c r="Q489" t="str">
        <f t="shared" si="129"/>
        <v>10431</v>
      </c>
      <c r="R489" t="str">
        <f t="shared" si="130"/>
        <v>10431</v>
      </c>
      <c r="S489" t="str">
        <f t="shared" si="131"/>
        <v>Zaanse koeken</v>
      </c>
      <c r="T489">
        <v>7.6</v>
      </c>
      <c r="U489">
        <v>30</v>
      </c>
      <c r="V489">
        <v>0.25</v>
      </c>
      <c r="W489">
        <f t="shared" si="132"/>
        <v>171</v>
      </c>
      <c r="X489" t="str">
        <f t="shared" si="133"/>
        <v>No</v>
      </c>
      <c r="Y489" s="2">
        <v>34760</v>
      </c>
      <c r="Z489" t="str">
        <f t="shared" si="119"/>
        <v/>
      </c>
      <c r="AA489" t="str">
        <f t="shared" si="134"/>
        <v/>
      </c>
      <c r="AB489" t="str" cm="1">
        <f t="array" ref="AB489">_xlfn.IFS(Y489&lt;DATE(1996,1,1),"",Y489&lt;DATE(1996,4,1),"Q1",Y489&lt;DATE(1996,7,1),"Q2",Y489&gt;=DATE(1996,7,1),"")</f>
        <v/>
      </c>
    </row>
    <row r="490" spans="1:28" ht="14.4" x14ac:dyDescent="0.55000000000000004">
      <c r="A490" t="str">
        <f>VLOOKUP(L490,Customers!$A$2:$B$92,2,FALSE)</f>
        <v>Split Rail Beer &amp; Ale</v>
      </c>
      <c r="B490" t="str">
        <f>VLOOKUP(L490,Customers!$A$2:$C$92,3,TRUE)</f>
        <v>Art Braunschweiger</v>
      </c>
      <c r="C490" t="str">
        <f t="shared" si="120"/>
        <v>Art</v>
      </c>
      <c r="D490" s="8" t="str">
        <f t="shared" si="121"/>
        <v>Braunschweiger</v>
      </c>
      <c r="E490" s="8" t="str">
        <f t="shared" si="122"/>
        <v>Braunschweiger, Art</v>
      </c>
      <c r="F490" s="8" t="str">
        <f t="shared" si="123"/>
        <v>Braunschweiger, Art</v>
      </c>
      <c r="G490" s="8" t="str">
        <f t="shared" si="124"/>
        <v>not an outlier</v>
      </c>
      <c r="H490" s="8" t="str">
        <f t="shared" si="125"/>
        <v>Not</v>
      </c>
      <c r="I490" s="8" t="str">
        <f t="shared" si="135"/>
        <v>no</v>
      </c>
      <c r="J490" s="10" t="str">
        <f t="shared" si="126"/>
        <v>no</v>
      </c>
      <c r="K490" s="10" t="str">
        <f t="shared" si="127"/>
        <v>no</v>
      </c>
      <c r="L490" t="s">
        <v>557</v>
      </c>
      <c r="M490">
        <v>10432</v>
      </c>
      <c r="N490">
        <v>26</v>
      </c>
      <c r="O490" t="s">
        <v>751</v>
      </c>
      <c r="P490" t="str">
        <f t="shared" si="128"/>
        <v>SPLIR_10432_Gumbär Gummibärchen</v>
      </c>
      <c r="Q490" t="str">
        <f t="shared" si="129"/>
        <v>10432</v>
      </c>
      <c r="R490" t="str">
        <f t="shared" si="130"/>
        <v>10432</v>
      </c>
      <c r="S490" t="str">
        <f t="shared" si="131"/>
        <v>Gumbär Gummibärchen</v>
      </c>
      <c r="T490">
        <v>24.9</v>
      </c>
      <c r="U490">
        <v>10</v>
      </c>
      <c r="V490">
        <v>0</v>
      </c>
      <c r="W490">
        <f t="shared" si="132"/>
        <v>249</v>
      </c>
      <c r="X490" t="str">
        <f t="shared" si="133"/>
        <v>No</v>
      </c>
      <c r="Y490" s="2">
        <v>34761</v>
      </c>
      <c r="Z490" t="str">
        <f t="shared" si="119"/>
        <v/>
      </c>
      <c r="AA490" t="str">
        <f t="shared" si="134"/>
        <v/>
      </c>
      <c r="AB490" t="str" cm="1">
        <f t="array" ref="AB490">_xlfn.IFS(Y490&lt;DATE(1996,1,1),"",Y490&lt;DATE(1996,4,1),"Q1",Y490&lt;DATE(1996,7,1),"Q2",Y490&gt;=DATE(1996,7,1),"")</f>
        <v/>
      </c>
    </row>
    <row r="491" spans="1:28" ht="14.4" x14ac:dyDescent="0.55000000000000004">
      <c r="A491" t="str">
        <f>VLOOKUP(L491,Customers!$A$2:$B$92,2,FALSE)</f>
        <v>Split Rail Beer &amp; Ale</v>
      </c>
      <c r="B491" t="str">
        <f>VLOOKUP(L491,Customers!$A$2:$C$92,3,TRUE)</f>
        <v>Art Braunschweiger</v>
      </c>
      <c r="C491" t="str">
        <f t="shared" si="120"/>
        <v>Art</v>
      </c>
      <c r="D491" s="8" t="str">
        <f t="shared" si="121"/>
        <v>Braunschweiger</v>
      </c>
      <c r="E491" s="8" t="str">
        <f t="shared" si="122"/>
        <v>Braunschweiger, Art</v>
      </c>
      <c r="F491" s="8" t="str">
        <f t="shared" si="123"/>
        <v>Braunschweiger, Art</v>
      </c>
      <c r="G491" s="8" t="str">
        <f t="shared" si="124"/>
        <v>not an outlier</v>
      </c>
      <c r="H491" s="8" t="str">
        <f t="shared" si="125"/>
        <v>Not</v>
      </c>
      <c r="I491" s="8" t="str">
        <f t="shared" si="135"/>
        <v>no</v>
      </c>
      <c r="J491" s="10" t="str">
        <f t="shared" si="126"/>
        <v>no</v>
      </c>
      <c r="K491" s="10" t="str">
        <f t="shared" si="127"/>
        <v>no</v>
      </c>
      <c r="L491" t="s">
        <v>557</v>
      </c>
      <c r="M491">
        <v>10432</v>
      </c>
      <c r="N491">
        <v>54</v>
      </c>
      <c r="O491" t="s">
        <v>738</v>
      </c>
      <c r="P491" t="str">
        <f t="shared" si="128"/>
        <v>SPLIR_10432_Tourtière</v>
      </c>
      <c r="Q491" t="str">
        <f t="shared" si="129"/>
        <v>10432</v>
      </c>
      <c r="R491" t="str">
        <f t="shared" si="130"/>
        <v>10432</v>
      </c>
      <c r="S491" t="str">
        <f t="shared" si="131"/>
        <v>Tourtière</v>
      </c>
      <c r="T491">
        <v>5.9</v>
      </c>
      <c r="U491">
        <v>40</v>
      </c>
      <c r="V491">
        <v>0</v>
      </c>
      <c r="W491">
        <f t="shared" si="132"/>
        <v>236</v>
      </c>
      <c r="X491" t="str">
        <f t="shared" si="133"/>
        <v>No</v>
      </c>
      <c r="Y491" s="2">
        <v>34761</v>
      </c>
      <c r="Z491" t="str">
        <f t="shared" si="119"/>
        <v/>
      </c>
      <c r="AA491" t="str">
        <f t="shared" si="134"/>
        <v/>
      </c>
      <c r="AB491" t="str" cm="1">
        <f t="array" ref="AB491">_xlfn.IFS(Y491&lt;DATE(1996,1,1),"",Y491&lt;DATE(1996,4,1),"Q1",Y491&lt;DATE(1996,7,1),"Q2",Y491&gt;=DATE(1996,7,1),"")</f>
        <v/>
      </c>
    </row>
    <row r="492" spans="1:28" ht="14.4" x14ac:dyDescent="0.55000000000000004">
      <c r="A492" t="str">
        <f>VLOOKUP(L492,Customers!$A$2:$B$92,2,FALSE)</f>
        <v>Princesa Isabel Vinhos</v>
      </c>
      <c r="B492" t="str">
        <f>VLOOKUP(L492,Customers!$A$2:$C$92,3,TRUE)</f>
        <v>Isabel de Castro</v>
      </c>
      <c r="C492" t="str">
        <f t="shared" si="120"/>
        <v>Isabel</v>
      </c>
      <c r="D492" s="8" t="str">
        <f t="shared" si="121"/>
        <v>de Castro</v>
      </c>
      <c r="E492" s="8" t="str">
        <f t="shared" si="122"/>
        <v>de Castro, Isabel</v>
      </c>
      <c r="F492" s="8" t="str">
        <f t="shared" si="123"/>
        <v>de Castro, Isabel</v>
      </c>
      <c r="G492" s="8" t="str">
        <f t="shared" si="124"/>
        <v>not an outlier</v>
      </c>
      <c r="H492" s="8" t="str">
        <f t="shared" si="125"/>
        <v>Not</v>
      </c>
      <c r="I492" s="8" t="str">
        <f t="shared" si="135"/>
        <v>no</v>
      </c>
      <c r="J492" s="10" t="str">
        <f t="shared" si="126"/>
        <v>no</v>
      </c>
      <c r="K492" s="10" t="str">
        <f t="shared" si="127"/>
        <v>no</v>
      </c>
      <c r="L492" t="s">
        <v>457</v>
      </c>
      <c r="M492">
        <v>10433</v>
      </c>
      <c r="N492">
        <v>56</v>
      </c>
      <c r="O492" t="s">
        <v>716</v>
      </c>
      <c r="P492" t="str">
        <f t="shared" si="128"/>
        <v>PRINI_10433_Gnocchi di nonna Alice</v>
      </c>
      <c r="Q492" t="str">
        <f t="shared" si="129"/>
        <v>10433</v>
      </c>
      <c r="R492" t="str">
        <f t="shared" si="130"/>
        <v>10433</v>
      </c>
      <c r="S492" t="str">
        <f t="shared" si="131"/>
        <v>Gnocchi di nonna Alice</v>
      </c>
      <c r="T492">
        <v>30.4</v>
      </c>
      <c r="U492">
        <v>28</v>
      </c>
      <c r="V492">
        <v>0</v>
      </c>
      <c r="W492">
        <f t="shared" si="132"/>
        <v>851.19999999999993</v>
      </c>
      <c r="X492" t="str">
        <f t="shared" si="133"/>
        <v>No</v>
      </c>
      <c r="Y492" s="2">
        <v>34764</v>
      </c>
      <c r="Z492" t="str">
        <f t="shared" si="119"/>
        <v/>
      </c>
      <c r="AA492" t="str">
        <f t="shared" si="134"/>
        <v/>
      </c>
      <c r="AB492" t="str" cm="1">
        <f t="array" ref="AB492">_xlfn.IFS(Y492&lt;DATE(1996,1,1),"",Y492&lt;DATE(1996,4,1),"Q1",Y492&lt;DATE(1996,7,1),"Q2",Y492&gt;=DATE(1996,7,1),"")</f>
        <v/>
      </c>
    </row>
    <row r="493" spans="1:28" ht="14.4" x14ac:dyDescent="0.55000000000000004">
      <c r="A493" t="str">
        <f>VLOOKUP(L493,Customers!$A$2:$B$92,2,FALSE)</f>
        <v>Folk och fä HB</v>
      </c>
      <c r="B493" t="str">
        <f>VLOOKUP(L493,Customers!$A$2:$C$92,3,TRUE)</f>
        <v>Maria Larsson</v>
      </c>
      <c r="C493" t="str">
        <f t="shared" si="120"/>
        <v>Maria</v>
      </c>
      <c r="D493" s="8" t="str">
        <f t="shared" si="121"/>
        <v>Larsson</v>
      </c>
      <c r="E493" s="8" t="str">
        <f t="shared" si="122"/>
        <v>Larsson, Maria</v>
      </c>
      <c r="F493" s="8" t="str">
        <f t="shared" si="123"/>
        <v>Larsson, Maria</v>
      </c>
      <c r="G493" s="8" t="str">
        <f t="shared" si="124"/>
        <v>not an outlier</v>
      </c>
      <c r="H493" s="8" t="str">
        <f t="shared" si="125"/>
        <v>Not</v>
      </c>
      <c r="I493" s="8" t="str">
        <f t="shared" si="135"/>
        <v>no</v>
      </c>
      <c r="J493" s="10" t="str">
        <f t="shared" si="126"/>
        <v>no</v>
      </c>
      <c r="K493" s="10" t="str">
        <f t="shared" si="127"/>
        <v>no</v>
      </c>
      <c r="L493" t="s">
        <v>191</v>
      </c>
      <c r="M493">
        <v>10434</v>
      </c>
      <c r="N493">
        <v>11</v>
      </c>
      <c r="O493" t="s">
        <v>683</v>
      </c>
      <c r="P493" t="str">
        <f t="shared" si="128"/>
        <v>FOLKO_10434_Queso Cabrales</v>
      </c>
      <c r="Q493" t="str">
        <f t="shared" si="129"/>
        <v>10434</v>
      </c>
      <c r="R493" t="str">
        <f t="shared" si="130"/>
        <v>10434</v>
      </c>
      <c r="S493" t="str">
        <f t="shared" si="131"/>
        <v>Queso Cabrales</v>
      </c>
      <c r="T493">
        <v>16.8</v>
      </c>
      <c r="U493">
        <v>6</v>
      </c>
      <c r="V493">
        <v>0</v>
      </c>
      <c r="W493">
        <f t="shared" si="132"/>
        <v>100.80000000000001</v>
      </c>
      <c r="X493" t="str">
        <f t="shared" si="133"/>
        <v>No</v>
      </c>
      <c r="Y493" s="2">
        <v>34764</v>
      </c>
      <c r="Z493" t="str">
        <f t="shared" si="119"/>
        <v/>
      </c>
      <c r="AA493" t="str">
        <f t="shared" si="134"/>
        <v/>
      </c>
      <c r="AB493" t="str" cm="1">
        <f t="array" ref="AB493">_xlfn.IFS(Y493&lt;DATE(1996,1,1),"",Y493&lt;DATE(1996,4,1),"Q1",Y493&lt;DATE(1996,7,1),"Q2",Y493&gt;=DATE(1996,7,1),"")</f>
        <v/>
      </c>
    </row>
    <row r="494" spans="1:28" ht="14.4" x14ac:dyDescent="0.55000000000000004">
      <c r="A494" t="str">
        <f>VLOOKUP(L494,Customers!$A$2:$B$92,2,FALSE)</f>
        <v>Folk och fä HB</v>
      </c>
      <c r="B494" t="str">
        <f>VLOOKUP(L494,Customers!$A$2:$C$92,3,TRUE)</f>
        <v>Maria Larsson</v>
      </c>
      <c r="C494" t="str">
        <f t="shared" si="120"/>
        <v>Maria</v>
      </c>
      <c r="D494" s="8" t="str">
        <f t="shared" si="121"/>
        <v>Larsson</v>
      </c>
      <c r="E494" s="8" t="str">
        <f t="shared" si="122"/>
        <v>Larsson, Maria</v>
      </c>
      <c r="F494" s="8" t="str">
        <f t="shared" si="123"/>
        <v>Larsson, Maria</v>
      </c>
      <c r="G494" s="8" t="str">
        <f t="shared" si="124"/>
        <v>not an outlier</v>
      </c>
      <c r="H494" s="8" t="str">
        <f t="shared" si="125"/>
        <v>Not</v>
      </c>
      <c r="I494" s="8" t="str">
        <f t="shared" si="135"/>
        <v>no</v>
      </c>
      <c r="J494" s="10" t="str">
        <f t="shared" si="126"/>
        <v>no</v>
      </c>
      <c r="K494" s="10" t="str">
        <f t="shared" si="127"/>
        <v>no</v>
      </c>
      <c r="L494" t="s">
        <v>191</v>
      </c>
      <c r="M494">
        <v>10434</v>
      </c>
      <c r="N494">
        <v>76</v>
      </c>
      <c r="O494" t="s">
        <v>721</v>
      </c>
      <c r="P494" t="str">
        <f t="shared" si="128"/>
        <v>FOLKO_10434_Lakkalikööri</v>
      </c>
      <c r="Q494" t="str">
        <f t="shared" si="129"/>
        <v>10434</v>
      </c>
      <c r="R494" t="str">
        <f t="shared" si="130"/>
        <v>10434</v>
      </c>
      <c r="S494" t="str">
        <f t="shared" si="131"/>
        <v>Lakkalikööri</v>
      </c>
      <c r="T494">
        <v>14.4</v>
      </c>
      <c r="U494">
        <v>18</v>
      </c>
      <c r="V494">
        <v>0.15</v>
      </c>
      <c r="W494">
        <f t="shared" si="132"/>
        <v>220.32</v>
      </c>
      <c r="X494" t="str">
        <f t="shared" si="133"/>
        <v>No</v>
      </c>
      <c r="Y494" s="2">
        <v>34764</v>
      </c>
      <c r="Z494" t="str">
        <f t="shared" si="119"/>
        <v/>
      </c>
      <c r="AA494" t="str">
        <f t="shared" si="134"/>
        <v/>
      </c>
      <c r="AB494" t="str" cm="1">
        <f t="array" ref="AB494">_xlfn.IFS(Y494&lt;DATE(1996,1,1),"",Y494&lt;DATE(1996,4,1),"Q1",Y494&lt;DATE(1996,7,1),"Q2",Y494&gt;=DATE(1996,7,1),"")</f>
        <v/>
      </c>
    </row>
    <row r="495" spans="1:28" ht="14.4" x14ac:dyDescent="0.55000000000000004">
      <c r="A495" t="str">
        <f>VLOOKUP(L495,Customers!$A$2:$B$92,2,FALSE)</f>
        <v>Consolidated Holdings</v>
      </c>
      <c r="B495" t="str">
        <f>VLOOKUP(L495,Customers!$A$2:$C$92,3,TRUE)</f>
        <v>Elizabeth Brown</v>
      </c>
      <c r="C495" t="str">
        <f t="shared" si="120"/>
        <v>Elizabeth</v>
      </c>
      <c r="D495" s="8" t="str">
        <f t="shared" si="121"/>
        <v>Brown</v>
      </c>
      <c r="E495" s="8" t="str">
        <f t="shared" si="122"/>
        <v>Brown, Elizabeth</v>
      </c>
      <c r="F495" s="8" t="str">
        <f t="shared" si="123"/>
        <v>Brown, Elizabeth</v>
      </c>
      <c r="G495" s="8" t="str">
        <f t="shared" si="124"/>
        <v>not an outlier</v>
      </c>
      <c r="H495" s="8" t="str">
        <f t="shared" si="125"/>
        <v>Not</v>
      </c>
      <c r="I495" s="8" t="str">
        <f t="shared" si="135"/>
        <v>no</v>
      </c>
      <c r="J495" s="10" t="str">
        <f t="shared" si="126"/>
        <v>no</v>
      </c>
      <c r="K495" s="10" t="str">
        <f t="shared" si="127"/>
        <v>no</v>
      </c>
      <c r="L495" t="s">
        <v>133</v>
      </c>
      <c r="M495">
        <v>10435</v>
      </c>
      <c r="N495">
        <v>2</v>
      </c>
      <c r="O495" t="s">
        <v>701</v>
      </c>
      <c r="P495" t="str">
        <f t="shared" si="128"/>
        <v>CONSH_10435_Chang</v>
      </c>
      <c r="Q495" t="str">
        <f t="shared" si="129"/>
        <v>10435</v>
      </c>
      <c r="R495" t="str">
        <f t="shared" si="130"/>
        <v>10435</v>
      </c>
      <c r="S495" t="str">
        <f t="shared" si="131"/>
        <v>Chang</v>
      </c>
      <c r="T495">
        <v>15.2</v>
      </c>
      <c r="U495">
        <v>10</v>
      </c>
      <c r="V495">
        <v>0</v>
      </c>
      <c r="W495">
        <f t="shared" si="132"/>
        <v>152</v>
      </c>
      <c r="X495" t="str">
        <f t="shared" si="133"/>
        <v>No</v>
      </c>
      <c r="Y495" s="2">
        <v>34765</v>
      </c>
      <c r="Z495" t="str">
        <f t="shared" si="119"/>
        <v/>
      </c>
      <c r="AA495" t="str">
        <f t="shared" si="134"/>
        <v/>
      </c>
      <c r="AB495" t="str" cm="1">
        <f t="array" ref="AB495">_xlfn.IFS(Y495&lt;DATE(1996,1,1),"",Y495&lt;DATE(1996,4,1),"Q1",Y495&lt;DATE(1996,7,1),"Q2",Y495&gt;=DATE(1996,7,1),"")</f>
        <v/>
      </c>
    </row>
    <row r="496" spans="1:28" ht="14.4" x14ac:dyDescent="0.55000000000000004">
      <c r="A496" t="str">
        <f>VLOOKUP(L496,Customers!$A$2:$B$92,2,FALSE)</f>
        <v>Consolidated Holdings</v>
      </c>
      <c r="B496" t="str">
        <f>VLOOKUP(L496,Customers!$A$2:$C$92,3,TRUE)</f>
        <v>Elizabeth Brown</v>
      </c>
      <c r="C496" t="str">
        <f t="shared" si="120"/>
        <v>Elizabeth</v>
      </c>
      <c r="D496" s="8" t="str">
        <f t="shared" si="121"/>
        <v>Brown</v>
      </c>
      <c r="E496" s="8" t="str">
        <f t="shared" si="122"/>
        <v>Brown, Elizabeth</v>
      </c>
      <c r="F496" s="8" t="str">
        <f t="shared" si="123"/>
        <v>Brown, Elizabeth</v>
      </c>
      <c r="G496" s="8" t="str">
        <f t="shared" si="124"/>
        <v>not an outlier</v>
      </c>
      <c r="H496" s="8" t="str">
        <f t="shared" si="125"/>
        <v>Not</v>
      </c>
      <c r="I496" s="8" t="str">
        <f t="shared" si="135"/>
        <v>no</v>
      </c>
      <c r="J496" s="10" t="str">
        <f t="shared" si="126"/>
        <v>no</v>
      </c>
      <c r="K496" s="10" t="str">
        <f t="shared" si="127"/>
        <v>no</v>
      </c>
      <c r="L496" t="s">
        <v>133</v>
      </c>
      <c r="M496">
        <v>10435</v>
      </c>
      <c r="N496">
        <v>22</v>
      </c>
      <c r="O496" t="s">
        <v>690</v>
      </c>
      <c r="P496" t="str">
        <f t="shared" si="128"/>
        <v>CONSH_10435_Gustaf's Knäckebröd</v>
      </c>
      <c r="Q496" t="str">
        <f t="shared" si="129"/>
        <v>10435</v>
      </c>
      <c r="R496" t="str">
        <f t="shared" si="130"/>
        <v>10435</v>
      </c>
      <c r="S496" t="str">
        <f t="shared" si="131"/>
        <v>Gustaf's Knäckebröd</v>
      </c>
      <c r="T496">
        <v>16.8</v>
      </c>
      <c r="U496">
        <v>12</v>
      </c>
      <c r="V496">
        <v>0</v>
      </c>
      <c r="W496">
        <f t="shared" si="132"/>
        <v>201.60000000000002</v>
      </c>
      <c r="X496" t="str">
        <f t="shared" si="133"/>
        <v>No</v>
      </c>
      <c r="Y496" s="2">
        <v>34765</v>
      </c>
      <c r="Z496" t="str">
        <f t="shared" si="119"/>
        <v/>
      </c>
      <c r="AA496" t="str">
        <f t="shared" si="134"/>
        <v/>
      </c>
      <c r="AB496" t="str" cm="1">
        <f t="array" ref="AB496">_xlfn.IFS(Y496&lt;DATE(1996,1,1),"",Y496&lt;DATE(1996,4,1),"Q1",Y496&lt;DATE(1996,7,1),"Q2",Y496&gt;=DATE(1996,7,1),"")</f>
        <v/>
      </c>
    </row>
    <row r="497" spans="1:28" ht="14.4" x14ac:dyDescent="0.55000000000000004">
      <c r="A497" t="str">
        <f>VLOOKUP(L497,Customers!$A$2:$B$92,2,FALSE)</f>
        <v>Consolidated Holdings</v>
      </c>
      <c r="B497" t="str">
        <f>VLOOKUP(L497,Customers!$A$2:$C$92,3,TRUE)</f>
        <v>Elizabeth Brown</v>
      </c>
      <c r="C497" t="str">
        <f t="shared" si="120"/>
        <v>Elizabeth</v>
      </c>
      <c r="D497" s="8" t="str">
        <f t="shared" si="121"/>
        <v>Brown</v>
      </c>
      <c r="E497" s="8" t="str">
        <f t="shared" si="122"/>
        <v>Brown, Elizabeth</v>
      </c>
      <c r="F497" s="8" t="str">
        <f t="shared" si="123"/>
        <v>Brown, Elizabeth</v>
      </c>
      <c r="G497" s="8" t="str">
        <f t="shared" si="124"/>
        <v>not an outlier</v>
      </c>
      <c r="H497" s="8" t="str">
        <f t="shared" si="125"/>
        <v>Not</v>
      </c>
      <c r="I497" s="8" t="str">
        <f t="shared" si="135"/>
        <v>no</v>
      </c>
      <c r="J497" s="10" t="str">
        <f t="shared" si="126"/>
        <v>no</v>
      </c>
      <c r="K497" s="10" t="str">
        <f t="shared" si="127"/>
        <v>no</v>
      </c>
      <c r="L497" t="s">
        <v>133</v>
      </c>
      <c r="M497">
        <v>10435</v>
      </c>
      <c r="N497">
        <v>72</v>
      </c>
      <c r="O497" t="s">
        <v>685</v>
      </c>
      <c r="P497" t="str">
        <f t="shared" si="128"/>
        <v>CONSH_10435_Mozzarella di Giovanni</v>
      </c>
      <c r="Q497" t="str">
        <f t="shared" si="129"/>
        <v>10435</v>
      </c>
      <c r="R497" t="str">
        <f t="shared" si="130"/>
        <v>10435</v>
      </c>
      <c r="S497" t="str">
        <f t="shared" si="131"/>
        <v>Mozzarella di Giovanni</v>
      </c>
      <c r="T497">
        <v>27.8</v>
      </c>
      <c r="U497">
        <v>10</v>
      </c>
      <c r="V497">
        <v>0</v>
      </c>
      <c r="W497">
        <f t="shared" si="132"/>
        <v>278</v>
      </c>
      <c r="X497" t="str">
        <f t="shared" si="133"/>
        <v>No</v>
      </c>
      <c r="Y497" s="2">
        <v>34765</v>
      </c>
      <c r="Z497" t="str">
        <f t="shared" si="119"/>
        <v/>
      </c>
      <c r="AA497" t="str">
        <f t="shared" si="134"/>
        <v/>
      </c>
      <c r="AB497" t="str" cm="1">
        <f t="array" ref="AB497">_xlfn.IFS(Y497&lt;DATE(1996,1,1),"",Y497&lt;DATE(1996,4,1),"Q1",Y497&lt;DATE(1996,7,1),"Q2",Y497&gt;=DATE(1996,7,1),"")</f>
        <v/>
      </c>
    </row>
    <row r="498" spans="1:28" ht="14.4" x14ac:dyDescent="0.55000000000000004">
      <c r="A498" t="str">
        <f>VLOOKUP(L498,Customers!$A$2:$B$92,2,FALSE)</f>
        <v>Blondel père et fils</v>
      </c>
      <c r="B498" t="str">
        <f>VLOOKUP(L498,Customers!$A$2:$C$92,3,TRUE)</f>
        <v>Frédérique Citeaux</v>
      </c>
      <c r="C498" t="str">
        <f t="shared" si="120"/>
        <v>Frédérique</v>
      </c>
      <c r="D498" s="8" t="str">
        <f t="shared" si="121"/>
        <v>Citeaux</v>
      </c>
      <c r="E498" s="8" t="str">
        <f t="shared" si="122"/>
        <v>Citeaux, Frédérique</v>
      </c>
      <c r="F498" s="8" t="str">
        <f t="shared" si="123"/>
        <v>Citeaux, Frédérique</v>
      </c>
      <c r="G498" s="8" t="str">
        <f t="shared" si="124"/>
        <v>not an outlier</v>
      </c>
      <c r="H498" s="8" t="str">
        <f t="shared" si="125"/>
        <v>Not</v>
      </c>
      <c r="I498" s="8" t="str">
        <f t="shared" si="135"/>
        <v>no</v>
      </c>
      <c r="J498" s="10" t="str">
        <f t="shared" si="126"/>
        <v>no</v>
      </c>
      <c r="K498" s="10" t="str">
        <f t="shared" si="127"/>
        <v>no</v>
      </c>
      <c r="L498" t="s">
        <v>60</v>
      </c>
      <c r="M498">
        <v>10436</v>
      </c>
      <c r="N498">
        <v>46</v>
      </c>
      <c r="O498" t="s">
        <v>737</v>
      </c>
      <c r="P498" t="str">
        <f t="shared" si="128"/>
        <v>BLONP_10436_Spegesild</v>
      </c>
      <c r="Q498" t="str">
        <f t="shared" si="129"/>
        <v>10436</v>
      </c>
      <c r="R498" t="str">
        <f t="shared" si="130"/>
        <v>10436</v>
      </c>
      <c r="S498" t="str">
        <f t="shared" si="131"/>
        <v>Spegesild</v>
      </c>
      <c r="T498">
        <v>9.6</v>
      </c>
      <c r="U498">
        <v>5</v>
      </c>
      <c r="V498">
        <v>0</v>
      </c>
      <c r="W498">
        <f t="shared" si="132"/>
        <v>48</v>
      </c>
      <c r="X498" t="str">
        <f t="shared" si="133"/>
        <v>No</v>
      </c>
      <c r="Y498" s="2">
        <v>34766</v>
      </c>
      <c r="Z498" t="str">
        <f t="shared" si="119"/>
        <v/>
      </c>
      <c r="AA498" t="str">
        <f t="shared" si="134"/>
        <v/>
      </c>
      <c r="AB498" t="str" cm="1">
        <f t="array" ref="AB498">_xlfn.IFS(Y498&lt;DATE(1996,1,1),"",Y498&lt;DATE(1996,4,1),"Q1",Y498&lt;DATE(1996,7,1),"Q2",Y498&gt;=DATE(1996,7,1),"")</f>
        <v/>
      </c>
    </row>
    <row r="499" spans="1:28" ht="14.4" x14ac:dyDescent="0.55000000000000004">
      <c r="A499" t="str">
        <f>VLOOKUP(L499,Customers!$A$2:$B$92,2,FALSE)</f>
        <v>Blondel père et fils</v>
      </c>
      <c r="B499" t="str">
        <f>VLOOKUP(L499,Customers!$A$2:$C$92,3,TRUE)</f>
        <v>Frédérique Citeaux</v>
      </c>
      <c r="C499" t="str">
        <f t="shared" si="120"/>
        <v>Frédérique</v>
      </c>
      <c r="D499" s="8" t="str">
        <f t="shared" si="121"/>
        <v>Citeaux</v>
      </c>
      <c r="E499" s="8" t="str">
        <f t="shared" si="122"/>
        <v>Citeaux, Frédérique</v>
      </c>
      <c r="F499" s="8" t="str">
        <f t="shared" si="123"/>
        <v>Citeaux, Frédérique</v>
      </c>
      <c r="G499" s="8" t="str">
        <f t="shared" si="124"/>
        <v>not an outlier</v>
      </c>
      <c r="H499" s="8" t="str">
        <f t="shared" si="125"/>
        <v>Not</v>
      </c>
      <c r="I499" s="8" t="str">
        <f t="shared" si="135"/>
        <v>no</v>
      </c>
      <c r="J499" s="10" t="str">
        <f t="shared" si="126"/>
        <v>no</v>
      </c>
      <c r="K499" s="10" t="str">
        <f t="shared" si="127"/>
        <v>no</v>
      </c>
      <c r="L499" t="s">
        <v>60</v>
      </c>
      <c r="M499">
        <v>10436</v>
      </c>
      <c r="N499">
        <v>56</v>
      </c>
      <c r="O499" t="s">
        <v>716</v>
      </c>
      <c r="P499" t="str">
        <f t="shared" si="128"/>
        <v>BLONP_10436_Gnocchi di nonna Alice</v>
      </c>
      <c r="Q499" t="str">
        <f t="shared" si="129"/>
        <v>10436</v>
      </c>
      <c r="R499" t="str">
        <f t="shared" si="130"/>
        <v>10436</v>
      </c>
      <c r="S499" t="str">
        <f t="shared" si="131"/>
        <v>Gnocchi di nonna Alice</v>
      </c>
      <c r="T499">
        <v>30.4</v>
      </c>
      <c r="U499">
        <v>40</v>
      </c>
      <c r="V499">
        <v>0.1</v>
      </c>
      <c r="W499">
        <f t="shared" si="132"/>
        <v>1094.4000000000001</v>
      </c>
      <c r="X499" t="str">
        <f t="shared" si="133"/>
        <v>No</v>
      </c>
      <c r="Y499" s="2">
        <v>34766</v>
      </c>
      <c r="Z499" t="str">
        <f t="shared" si="119"/>
        <v/>
      </c>
      <c r="AA499" t="str">
        <f t="shared" si="134"/>
        <v/>
      </c>
      <c r="AB499" t="str" cm="1">
        <f t="array" ref="AB499">_xlfn.IFS(Y499&lt;DATE(1996,1,1),"",Y499&lt;DATE(1996,4,1),"Q1",Y499&lt;DATE(1996,7,1),"Q2",Y499&gt;=DATE(1996,7,1),"")</f>
        <v/>
      </c>
    </row>
    <row r="500" spans="1:28" ht="14.4" x14ac:dyDescent="0.55000000000000004">
      <c r="A500" t="str">
        <f>VLOOKUP(L500,Customers!$A$2:$B$92,2,FALSE)</f>
        <v>Blondel père et fils</v>
      </c>
      <c r="B500" t="str">
        <f>VLOOKUP(L500,Customers!$A$2:$C$92,3,TRUE)</f>
        <v>Frédérique Citeaux</v>
      </c>
      <c r="C500" t="str">
        <f t="shared" si="120"/>
        <v>Frédérique</v>
      </c>
      <c r="D500" s="8" t="str">
        <f t="shared" si="121"/>
        <v>Citeaux</v>
      </c>
      <c r="E500" s="8" t="str">
        <f t="shared" si="122"/>
        <v>Citeaux, Frédérique</v>
      </c>
      <c r="F500" s="8" t="str">
        <f t="shared" si="123"/>
        <v>Citeaux, Frédérique</v>
      </c>
      <c r="G500" s="8" t="str">
        <f t="shared" si="124"/>
        <v>not an outlier</v>
      </c>
      <c r="H500" s="8" t="str">
        <f t="shared" si="125"/>
        <v>Not</v>
      </c>
      <c r="I500" s="8" t="str">
        <f t="shared" si="135"/>
        <v>no</v>
      </c>
      <c r="J500" s="10" t="str">
        <f t="shared" si="126"/>
        <v>no</v>
      </c>
      <c r="K500" s="10" t="str">
        <f t="shared" si="127"/>
        <v>no</v>
      </c>
      <c r="L500" t="s">
        <v>60</v>
      </c>
      <c r="M500">
        <v>10436</v>
      </c>
      <c r="N500">
        <v>64</v>
      </c>
      <c r="O500" t="s">
        <v>741</v>
      </c>
      <c r="P500" t="str">
        <f t="shared" si="128"/>
        <v>BLONP_10436_Wimmers gute Semmelknödel</v>
      </c>
      <c r="Q500" t="str">
        <f t="shared" si="129"/>
        <v>10436</v>
      </c>
      <c r="R500" t="str">
        <f t="shared" si="130"/>
        <v>10436</v>
      </c>
      <c r="S500" t="str">
        <f t="shared" si="131"/>
        <v>Wimmers gute Semmelknödel</v>
      </c>
      <c r="T500">
        <v>26.6</v>
      </c>
      <c r="U500">
        <v>30</v>
      </c>
      <c r="V500">
        <v>0.1</v>
      </c>
      <c r="W500">
        <f t="shared" si="132"/>
        <v>718.2</v>
      </c>
      <c r="X500" t="str">
        <f t="shared" si="133"/>
        <v>No</v>
      </c>
      <c r="Y500" s="2">
        <v>34766</v>
      </c>
      <c r="Z500" t="str">
        <f t="shared" si="119"/>
        <v/>
      </c>
      <c r="AA500" t="str">
        <f t="shared" si="134"/>
        <v/>
      </c>
      <c r="AB500" t="str" cm="1">
        <f t="array" ref="AB500">_xlfn.IFS(Y500&lt;DATE(1996,1,1),"",Y500&lt;DATE(1996,4,1),"Q1",Y500&lt;DATE(1996,7,1),"Q2",Y500&gt;=DATE(1996,7,1),"")</f>
        <v/>
      </c>
    </row>
    <row r="501" spans="1:28" ht="14.4" x14ac:dyDescent="0.55000000000000004">
      <c r="A501" t="str">
        <f>VLOOKUP(L501,Customers!$A$2:$B$92,2,FALSE)</f>
        <v>Blondel père et fils</v>
      </c>
      <c r="B501" t="str">
        <f>VLOOKUP(L501,Customers!$A$2:$C$92,3,TRUE)</f>
        <v>Frédérique Citeaux</v>
      </c>
      <c r="C501" t="str">
        <f t="shared" si="120"/>
        <v>Frédérique</v>
      </c>
      <c r="D501" s="8" t="str">
        <f t="shared" si="121"/>
        <v>Citeaux</v>
      </c>
      <c r="E501" s="8" t="str">
        <f t="shared" si="122"/>
        <v>Citeaux, Frédérique</v>
      </c>
      <c r="F501" s="8" t="str">
        <f t="shared" si="123"/>
        <v>Citeaux, Frédérique</v>
      </c>
      <c r="G501" s="8" t="str">
        <f t="shared" si="124"/>
        <v>not an outlier</v>
      </c>
      <c r="H501" s="8" t="str">
        <f t="shared" si="125"/>
        <v>Not</v>
      </c>
      <c r="I501" s="8" t="str">
        <f t="shared" si="135"/>
        <v>no</v>
      </c>
      <c r="J501" s="10" t="str">
        <f t="shared" si="126"/>
        <v>no</v>
      </c>
      <c r="K501" s="10" t="str">
        <f t="shared" si="127"/>
        <v>no</v>
      </c>
      <c r="L501" t="s">
        <v>60</v>
      </c>
      <c r="M501">
        <v>10436</v>
      </c>
      <c r="N501">
        <v>75</v>
      </c>
      <c r="O501" t="s">
        <v>731</v>
      </c>
      <c r="P501" t="str">
        <f t="shared" si="128"/>
        <v>BLONP_10436_Rhönbräu Klosterbier</v>
      </c>
      <c r="Q501" t="str">
        <f t="shared" si="129"/>
        <v>10436</v>
      </c>
      <c r="R501" t="str">
        <f t="shared" si="130"/>
        <v>10436</v>
      </c>
      <c r="S501" t="str">
        <f t="shared" si="131"/>
        <v>Rhönbräu Klosterbier</v>
      </c>
      <c r="T501">
        <v>6.2</v>
      </c>
      <c r="U501">
        <v>24</v>
      </c>
      <c r="V501">
        <v>0.1</v>
      </c>
      <c r="W501">
        <f t="shared" si="132"/>
        <v>133.92000000000002</v>
      </c>
      <c r="X501" t="str">
        <f t="shared" si="133"/>
        <v>No</v>
      </c>
      <c r="Y501" s="2">
        <v>34766</v>
      </c>
      <c r="Z501" t="str">
        <f t="shared" si="119"/>
        <v/>
      </c>
      <c r="AA501" t="str">
        <f t="shared" si="134"/>
        <v/>
      </c>
      <c r="AB501" t="str" cm="1">
        <f t="array" ref="AB501">_xlfn.IFS(Y501&lt;DATE(1996,1,1),"",Y501&lt;DATE(1996,4,1),"Q1",Y501&lt;DATE(1996,7,1),"Q2",Y501&gt;=DATE(1996,7,1),"")</f>
        <v/>
      </c>
    </row>
    <row r="502" spans="1:28" ht="14.4" x14ac:dyDescent="0.55000000000000004">
      <c r="A502" t="str">
        <f>VLOOKUP(L502,Customers!$A$2:$B$92,2,FALSE)</f>
        <v>Wartian Herkku</v>
      </c>
      <c r="B502" t="str">
        <f>VLOOKUP(L502,Customers!$A$2:$C$92,3,TRUE)</f>
        <v>Pirkko Koskitalo</v>
      </c>
      <c r="C502" t="str">
        <f t="shared" si="120"/>
        <v>Pirkko</v>
      </c>
      <c r="D502" s="8" t="str">
        <f t="shared" si="121"/>
        <v>Koskitalo</v>
      </c>
      <c r="E502" s="8" t="str">
        <f t="shared" si="122"/>
        <v>Koskitalo, Pirkko</v>
      </c>
      <c r="F502" s="8" t="str">
        <f t="shared" si="123"/>
        <v>Koskitalo, Pirkko</v>
      </c>
      <c r="G502" s="8" t="str">
        <f t="shared" si="124"/>
        <v>not an outlier</v>
      </c>
      <c r="H502" s="8" t="str">
        <f t="shared" si="125"/>
        <v>Not</v>
      </c>
      <c r="I502" s="8" t="str">
        <f t="shared" si="135"/>
        <v>no</v>
      </c>
      <c r="J502" s="10" t="str">
        <f t="shared" si="126"/>
        <v>no</v>
      </c>
      <c r="K502" s="10" t="str">
        <f t="shared" si="127"/>
        <v>no</v>
      </c>
      <c r="L502" t="s">
        <v>640</v>
      </c>
      <c r="M502">
        <v>10437</v>
      </c>
      <c r="N502">
        <v>53</v>
      </c>
      <c r="O502" t="s">
        <v>705</v>
      </c>
      <c r="P502" t="str">
        <f t="shared" si="128"/>
        <v>WARTH_10437_Perth Pasties</v>
      </c>
      <c r="Q502" t="str">
        <f t="shared" si="129"/>
        <v>10437</v>
      </c>
      <c r="R502" t="str">
        <f t="shared" si="130"/>
        <v>10437</v>
      </c>
      <c r="S502" t="str">
        <f t="shared" si="131"/>
        <v>Perth Pasties</v>
      </c>
      <c r="T502">
        <v>26.2</v>
      </c>
      <c r="U502">
        <v>15</v>
      </c>
      <c r="V502">
        <v>0</v>
      </c>
      <c r="W502">
        <f t="shared" si="132"/>
        <v>393</v>
      </c>
      <c r="X502" t="str">
        <f t="shared" si="133"/>
        <v>No</v>
      </c>
      <c r="Y502" s="2">
        <v>34766</v>
      </c>
      <c r="Z502" t="str">
        <f t="shared" si="119"/>
        <v/>
      </c>
      <c r="AA502" t="str">
        <f t="shared" si="134"/>
        <v/>
      </c>
      <c r="AB502" t="str" cm="1">
        <f t="array" ref="AB502">_xlfn.IFS(Y502&lt;DATE(1996,1,1),"",Y502&lt;DATE(1996,4,1),"Q1",Y502&lt;DATE(1996,7,1),"Q2",Y502&gt;=DATE(1996,7,1),"")</f>
        <v/>
      </c>
    </row>
    <row r="503" spans="1:28" ht="14.4" x14ac:dyDescent="0.55000000000000004">
      <c r="A503" t="str">
        <f>VLOOKUP(L503,Customers!$A$2:$B$92,2,FALSE)</f>
        <v>Toms Spezialitäten</v>
      </c>
      <c r="B503" t="str">
        <f>VLOOKUP(L503,Customers!$A$2:$C$92,3,TRUE)</f>
        <v>Karin Josephs</v>
      </c>
      <c r="C503" t="str">
        <f t="shared" si="120"/>
        <v>Karin</v>
      </c>
      <c r="D503" s="8" t="str">
        <f t="shared" si="121"/>
        <v>Josephs</v>
      </c>
      <c r="E503" s="8" t="str">
        <f t="shared" si="122"/>
        <v>Josephs, Karin</v>
      </c>
      <c r="F503" s="8" t="str">
        <f t="shared" si="123"/>
        <v>Josephs, Karin</v>
      </c>
      <c r="G503" s="8" t="str">
        <f t="shared" si="124"/>
        <v>not an outlier</v>
      </c>
      <c r="H503" s="8" t="str">
        <f t="shared" si="125"/>
        <v>Not</v>
      </c>
      <c r="I503" s="8" t="str">
        <f t="shared" si="135"/>
        <v>no</v>
      </c>
      <c r="J503" s="10" t="str">
        <f t="shared" si="126"/>
        <v>no</v>
      </c>
      <c r="K503" s="10" t="str">
        <f t="shared" si="127"/>
        <v>no</v>
      </c>
      <c r="L503" t="s">
        <v>586</v>
      </c>
      <c r="M503">
        <v>10438</v>
      </c>
      <c r="N503">
        <v>19</v>
      </c>
      <c r="O503" t="s">
        <v>732</v>
      </c>
      <c r="P503" t="str">
        <f t="shared" si="128"/>
        <v>TOMSP_10438_Teatime Chocolate Biscuits</v>
      </c>
      <c r="Q503" t="str">
        <f t="shared" si="129"/>
        <v>10438</v>
      </c>
      <c r="R503" t="str">
        <f t="shared" si="130"/>
        <v>10438</v>
      </c>
      <c r="S503" t="str">
        <f t="shared" si="131"/>
        <v>Teatime Chocolate Biscuits</v>
      </c>
      <c r="T503">
        <v>7.3</v>
      </c>
      <c r="U503">
        <v>15</v>
      </c>
      <c r="V503">
        <v>0.2</v>
      </c>
      <c r="W503">
        <f t="shared" si="132"/>
        <v>87.600000000000009</v>
      </c>
      <c r="X503" t="str">
        <f t="shared" si="133"/>
        <v>No</v>
      </c>
      <c r="Y503" s="2">
        <v>34767</v>
      </c>
      <c r="Z503" t="str">
        <f t="shared" si="119"/>
        <v/>
      </c>
      <c r="AA503" t="str">
        <f t="shared" si="134"/>
        <v/>
      </c>
      <c r="AB503" t="str" cm="1">
        <f t="array" ref="AB503">_xlfn.IFS(Y503&lt;DATE(1996,1,1),"",Y503&lt;DATE(1996,4,1),"Q1",Y503&lt;DATE(1996,7,1),"Q2",Y503&gt;=DATE(1996,7,1),"")</f>
        <v/>
      </c>
    </row>
    <row r="504" spans="1:28" ht="14.4" x14ac:dyDescent="0.55000000000000004">
      <c r="A504" t="str">
        <f>VLOOKUP(L504,Customers!$A$2:$B$92,2,FALSE)</f>
        <v>Toms Spezialitäten</v>
      </c>
      <c r="B504" t="str">
        <f>VLOOKUP(L504,Customers!$A$2:$C$92,3,TRUE)</f>
        <v>Karin Josephs</v>
      </c>
      <c r="C504" t="str">
        <f t="shared" si="120"/>
        <v>Karin</v>
      </c>
      <c r="D504" s="8" t="str">
        <f t="shared" si="121"/>
        <v>Josephs</v>
      </c>
      <c r="E504" s="8" t="str">
        <f t="shared" si="122"/>
        <v>Josephs, Karin</v>
      </c>
      <c r="F504" s="8" t="str">
        <f t="shared" si="123"/>
        <v>Josephs, Karin</v>
      </c>
      <c r="G504" s="8" t="str">
        <f t="shared" si="124"/>
        <v>not an outlier</v>
      </c>
      <c r="H504" s="8" t="str">
        <f t="shared" si="125"/>
        <v>Not</v>
      </c>
      <c r="I504" s="8" t="str">
        <f t="shared" si="135"/>
        <v>no</v>
      </c>
      <c r="J504" s="10" t="str">
        <f t="shared" si="126"/>
        <v>no</v>
      </c>
      <c r="K504" s="10" t="str">
        <f t="shared" si="127"/>
        <v>no</v>
      </c>
      <c r="L504" t="s">
        <v>586</v>
      </c>
      <c r="M504">
        <v>10438</v>
      </c>
      <c r="N504">
        <v>34</v>
      </c>
      <c r="O504" t="s">
        <v>736</v>
      </c>
      <c r="P504" t="str">
        <f t="shared" si="128"/>
        <v>TOMSP_10438_Sasquatch Ale</v>
      </c>
      <c r="Q504" t="str">
        <f t="shared" si="129"/>
        <v>10438</v>
      </c>
      <c r="R504" t="str">
        <f t="shared" si="130"/>
        <v>10438</v>
      </c>
      <c r="S504" t="str">
        <f t="shared" si="131"/>
        <v>Sasquatch Ale</v>
      </c>
      <c r="T504">
        <v>11.2</v>
      </c>
      <c r="U504">
        <v>20</v>
      </c>
      <c r="V504">
        <v>0.2</v>
      </c>
      <c r="W504">
        <f t="shared" si="132"/>
        <v>179.20000000000002</v>
      </c>
      <c r="X504" t="str">
        <f t="shared" si="133"/>
        <v>No</v>
      </c>
      <c r="Y504" s="2">
        <v>34767</v>
      </c>
      <c r="Z504" t="str">
        <f t="shared" si="119"/>
        <v/>
      </c>
      <c r="AA504" t="str">
        <f t="shared" si="134"/>
        <v/>
      </c>
      <c r="AB504" t="str" cm="1">
        <f t="array" ref="AB504">_xlfn.IFS(Y504&lt;DATE(1996,1,1),"",Y504&lt;DATE(1996,4,1),"Q1",Y504&lt;DATE(1996,7,1),"Q2",Y504&gt;=DATE(1996,7,1),"")</f>
        <v/>
      </c>
    </row>
    <row r="505" spans="1:28" ht="14.4" x14ac:dyDescent="0.55000000000000004">
      <c r="A505" t="str">
        <f>VLOOKUP(L505,Customers!$A$2:$B$92,2,FALSE)</f>
        <v>Toms Spezialitäten</v>
      </c>
      <c r="B505" t="str">
        <f>VLOOKUP(L505,Customers!$A$2:$C$92,3,TRUE)</f>
        <v>Karin Josephs</v>
      </c>
      <c r="C505" t="str">
        <f t="shared" si="120"/>
        <v>Karin</v>
      </c>
      <c r="D505" s="8" t="str">
        <f t="shared" si="121"/>
        <v>Josephs</v>
      </c>
      <c r="E505" s="8" t="str">
        <f t="shared" si="122"/>
        <v>Josephs, Karin</v>
      </c>
      <c r="F505" s="8" t="str">
        <f t="shared" si="123"/>
        <v>Josephs, Karin</v>
      </c>
      <c r="G505" s="8" t="str">
        <f t="shared" si="124"/>
        <v>not an outlier</v>
      </c>
      <c r="H505" s="8" t="str">
        <f t="shared" si="125"/>
        <v>Not</v>
      </c>
      <c r="I505" s="8" t="str">
        <f t="shared" si="135"/>
        <v>no</v>
      </c>
      <c r="J505" s="10" t="str">
        <f t="shared" si="126"/>
        <v>no</v>
      </c>
      <c r="K505" s="10" t="str">
        <f t="shared" si="127"/>
        <v>no</v>
      </c>
      <c r="L505" t="s">
        <v>586</v>
      </c>
      <c r="M505">
        <v>10438</v>
      </c>
      <c r="N505">
        <v>57</v>
      </c>
      <c r="O505" t="s">
        <v>691</v>
      </c>
      <c r="P505" t="str">
        <f t="shared" si="128"/>
        <v>TOMSP_10438_Ravioli Angelo</v>
      </c>
      <c r="Q505" t="str">
        <f t="shared" si="129"/>
        <v>10438</v>
      </c>
      <c r="R505" t="str">
        <f t="shared" si="130"/>
        <v>10438</v>
      </c>
      <c r="S505" t="str">
        <f t="shared" si="131"/>
        <v>Ravioli Angelo</v>
      </c>
      <c r="T505">
        <v>15.6</v>
      </c>
      <c r="U505">
        <v>15</v>
      </c>
      <c r="V505">
        <v>0.2</v>
      </c>
      <c r="W505">
        <f t="shared" si="132"/>
        <v>187.20000000000002</v>
      </c>
      <c r="X505" t="str">
        <f t="shared" si="133"/>
        <v>No</v>
      </c>
      <c r="Y505" s="2">
        <v>34767</v>
      </c>
      <c r="Z505" t="str">
        <f t="shared" si="119"/>
        <v/>
      </c>
      <c r="AA505" t="str">
        <f t="shared" si="134"/>
        <v/>
      </c>
      <c r="AB505" t="str" cm="1">
        <f t="array" ref="AB505">_xlfn.IFS(Y505&lt;DATE(1996,1,1),"",Y505&lt;DATE(1996,4,1),"Q1",Y505&lt;DATE(1996,7,1),"Q2",Y505&gt;=DATE(1996,7,1),"")</f>
        <v/>
      </c>
    </row>
    <row r="506" spans="1:28" ht="14.4" x14ac:dyDescent="0.55000000000000004">
      <c r="A506" t="str">
        <f>VLOOKUP(L506,Customers!$A$2:$B$92,2,FALSE)</f>
        <v>Mère Paillarde</v>
      </c>
      <c r="B506" t="str">
        <f>VLOOKUP(L506,Customers!$A$2:$C$92,3,TRUE)</f>
        <v>Jean Fresnière</v>
      </c>
      <c r="C506" t="str">
        <f t="shared" si="120"/>
        <v>Jean</v>
      </c>
      <c r="D506" s="8" t="str">
        <f t="shared" si="121"/>
        <v>Fresnière</v>
      </c>
      <c r="E506" s="8" t="str">
        <f t="shared" si="122"/>
        <v>Fresnière, Jean</v>
      </c>
      <c r="F506" s="8" t="str">
        <f t="shared" si="123"/>
        <v>Fresnière, Jean</v>
      </c>
      <c r="G506" s="8" t="str">
        <f t="shared" si="124"/>
        <v>not an outlier</v>
      </c>
      <c r="H506" s="8" t="str">
        <f t="shared" si="125"/>
        <v>Not</v>
      </c>
      <c r="I506" s="8" t="str">
        <f t="shared" si="135"/>
        <v>no</v>
      </c>
      <c r="J506" s="10" t="str">
        <f t="shared" si="126"/>
        <v>no</v>
      </c>
      <c r="K506" s="10" t="str">
        <f t="shared" si="127"/>
        <v>no</v>
      </c>
      <c r="L506" t="s">
        <v>394</v>
      </c>
      <c r="M506">
        <v>10439</v>
      </c>
      <c r="N506">
        <v>12</v>
      </c>
      <c r="O506" t="s">
        <v>719</v>
      </c>
      <c r="P506" t="str">
        <f t="shared" si="128"/>
        <v>MEREP_10439_Queso Manchego La Pastora</v>
      </c>
      <c r="Q506" t="str">
        <f t="shared" si="129"/>
        <v>10439</v>
      </c>
      <c r="R506" t="str">
        <f t="shared" si="130"/>
        <v>10439</v>
      </c>
      <c r="S506" t="str">
        <f t="shared" si="131"/>
        <v>Queso Manchego La Pastora</v>
      </c>
      <c r="T506">
        <v>30.4</v>
      </c>
      <c r="U506">
        <v>15</v>
      </c>
      <c r="V506">
        <v>0</v>
      </c>
      <c r="W506">
        <f t="shared" si="132"/>
        <v>456</v>
      </c>
      <c r="X506" t="str">
        <f t="shared" si="133"/>
        <v>No</v>
      </c>
      <c r="Y506" s="2">
        <v>34768</v>
      </c>
      <c r="Z506" t="str">
        <f t="shared" si="119"/>
        <v/>
      </c>
      <c r="AA506" t="str">
        <f t="shared" si="134"/>
        <v/>
      </c>
      <c r="AB506" t="str" cm="1">
        <f t="array" ref="AB506">_xlfn.IFS(Y506&lt;DATE(1996,1,1),"",Y506&lt;DATE(1996,4,1),"Q1",Y506&lt;DATE(1996,7,1),"Q2",Y506&gt;=DATE(1996,7,1),"")</f>
        <v/>
      </c>
    </row>
    <row r="507" spans="1:28" ht="14.4" x14ac:dyDescent="0.55000000000000004">
      <c r="A507" t="str">
        <f>VLOOKUP(L507,Customers!$A$2:$B$92,2,FALSE)</f>
        <v>Mère Paillarde</v>
      </c>
      <c r="B507" t="str">
        <f>VLOOKUP(L507,Customers!$A$2:$C$92,3,TRUE)</f>
        <v>Jean Fresnière</v>
      </c>
      <c r="C507" t="str">
        <f t="shared" si="120"/>
        <v>Jean</v>
      </c>
      <c r="D507" s="8" t="str">
        <f t="shared" si="121"/>
        <v>Fresnière</v>
      </c>
      <c r="E507" s="8" t="str">
        <f t="shared" si="122"/>
        <v>Fresnière, Jean</v>
      </c>
      <c r="F507" s="8" t="str">
        <f t="shared" si="123"/>
        <v>Fresnière, Jean</v>
      </c>
      <c r="G507" s="8" t="str">
        <f t="shared" si="124"/>
        <v>not an outlier</v>
      </c>
      <c r="H507" s="8" t="str">
        <f t="shared" si="125"/>
        <v>Not</v>
      </c>
      <c r="I507" s="8" t="str">
        <f t="shared" si="135"/>
        <v>no</v>
      </c>
      <c r="J507" s="10" t="str">
        <f t="shared" si="126"/>
        <v>no</v>
      </c>
      <c r="K507" s="10" t="str">
        <f t="shared" si="127"/>
        <v>no</v>
      </c>
      <c r="L507" t="s">
        <v>394</v>
      </c>
      <c r="M507">
        <v>10439</v>
      </c>
      <c r="N507">
        <v>16</v>
      </c>
      <c r="O507" t="s">
        <v>702</v>
      </c>
      <c r="P507" t="str">
        <f t="shared" si="128"/>
        <v>MEREP_10439_Pavlova</v>
      </c>
      <c r="Q507" t="str">
        <f t="shared" si="129"/>
        <v>10439</v>
      </c>
      <c r="R507" t="str">
        <f t="shared" si="130"/>
        <v>10439</v>
      </c>
      <c r="S507" t="str">
        <f t="shared" si="131"/>
        <v>Pavlova</v>
      </c>
      <c r="T507">
        <v>13.9</v>
      </c>
      <c r="U507">
        <v>16</v>
      </c>
      <c r="V507">
        <v>0</v>
      </c>
      <c r="W507">
        <f t="shared" si="132"/>
        <v>222.4</v>
      </c>
      <c r="X507" t="str">
        <f t="shared" si="133"/>
        <v>No</v>
      </c>
      <c r="Y507" s="2">
        <v>34768</v>
      </c>
      <c r="Z507" t="str">
        <f t="shared" si="119"/>
        <v/>
      </c>
      <c r="AA507" t="str">
        <f t="shared" si="134"/>
        <v/>
      </c>
      <c r="AB507" t="str" cm="1">
        <f t="array" ref="AB507">_xlfn.IFS(Y507&lt;DATE(1996,1,1),"",Y507&lt;DATE(1996,4,1),"Q1",Y507&lt;DATE(1996,7,1),"Q2",Y507&gt;=DATE(1996,7,1),"")</f>
        <v/>
      </c>
    </row>
    <row r="508" spans="1:28" ht="14.4" x14ac:dyDescent="0.55000000000000004">
      <c r="A508" t="str">
        <f>VLOOKUP(L508,Customers!$A$2:$B$92,2,FALSE)</f>
        <v>Mère Paillarde</v>
      </c>
      <c r="B508" t="str">
        <f>VLOOKUP(L508,Customers!$A$2:$C$92,3,TRUE)</f>
        <v>Jean Fresnière</v>
      </c>
      <c r="C508" t="str">
        <f t="shared" si="120"/>
        <v>Jean</v>
      </c>
      <c r="D508" s="8" t="str">
        <f t="shared" si="121"/>
        <v>Fresnière</v>
      </c>
      <c r="E508" s="8" t="str">
        <f t="shared" si="122"/>
        <v>Fresnière, Jean</v>
      </c>
      <c r="F508" s="8" t="str">
        <f t="shared" si="123"/>
        <v>Fresnière, Jean</v>
      </c>
      <c r="G508" s="8" t="str">
        <f t="shared" si="124"/>
        <v>not an outlier</v>
      </c>
      <c r="H508" s="8" t="str">
        <f t="shared" si="125"/>
        <v>Not</v>
      </c>
      <c r="I508" s="8" t="str">
        <f t="shared" si="135"/>
        <v>no</v>
      </c>
      <c r="J508" s="10" t="str">
        <f t="shared" si="126"/>
        <v>no</v>
      </c>
      <c r="K508" s="10" t="str">
        <f t="shared" si="127"/>
        <v>no</v>
      </c>
      <c r="L508" t="s">
        <v>394</v>
      </c>
      <c r="M508">
        <v>10439</v>
      </c>
      <c r="N508">
        <v>64</v>
      </c>
      <c r="O508" t="s">
        <v>741</v>
      </c>
      <c r="P508" t="str">
        <f t="shared" si="128"/>
        <v>MEREP_10439_Wimmers gute Semmelknödel</v>
      </c>
      <c r="Q508" t="str">
        <f t="shared" si="129"/>
        <v>10439</v>
      </c>
      <c r="R508" t="str">
        <f t="shared" si="130"/>
        <v>10439</v>
      </c>
      <c r="S508" t="str">
        <f t="shared" si="131"/>
        <v>Wimmers gute Semmelknödel</v>
      </c>
      <c r="T508">
        <v>26.6</v>
      </c>
      <c r="U508">
        <v>6</v>
      </c>
      <c r="V508">
        <v>0</v>
      </c>
      <c r="W508">
        <f t="shared" si="132"/>
        <v>159.60000000000002</v>
      </c>
      <c r="X508" t="str">
        <f t="shared" si="133"/>
        <v>No</v>
      </c>
      <c r="Y508" s="2">
        <v>34768</v>
      </c>
      <c r="Z508" t="str">
        <f t="shared" si="119"/>
        <v/>
      </c>
      <c r="AA508" t="str">
        <f t="shared" si="134"/>
        <v/>
      </c>
      <c r="AB508" t="str" cm="1">
        <f t="array" ref="AB508">_xlfn.IFS(Y508&lt;DATE(1996,1,1),"",Y508&lt;DATE(1996,4,1),"Q1",Y508&lt;DATE(1996,7,1),"Q2",Y508&gt;=DATE(1996,7,1),"")</f>
        <v/>
      </c>
    </row>
    <row r="509" spans="1:28" ht="14.4" x14ac:dyDescent="0.55000000000000004">
      <c r="A509" t="str">
        <f>VLOOKUP(L509,Customers!$A$2:$B$92,2,FALSE)</f>
        <v>Mère Paillarde</v>
      </c>
      <c r="B509" t="str">
        <f>VLOOKUP(L509,Customers!$A$2:$C$92,3,TRUE)</f>
        <v>Jean Fresnière</v>
      </c>
      <c r="C509" t="str">
        <f t="shared" si="120"/>
        <v>Jean</v>
      </c>
      <c r="D509" s="8" t="str">
        <f t="shared" si="121"/>
        <v>Fresnière</v>
      </c>
      <c r="E509" s="8" t="str">
        <f t="shared" si="122"/>
        <v>Fresnière, Jean</v>
      </c>
      <c r="F509" s="8" t="str">
        <f t="shared" si="123"/>
        <v>Fresnière, Jean</v>
      </c>
      <c r="G509" s="8" t="str">
        <f t="shared" si="124"/>
        <v>not an outlier</v>
      </c>
      <c r="H509" s="8" t="str">
        <f t="shared" si="125"/>
        <v>Not</v>
      </c>
      <c r="I509" s="8" t="str">
        <f t="shared" si="135"/>
        <v>no</v>
      </c>
      <c r="J509" s="10" t="str">
        <f t="shared" si="126"/>
        <v>no</v>
      </c>
      <c r="K509" s="10" t="str">
        <f t="shared" si="127"/>
        <v>no</v>
      </c>
      <c r="L509" t="s">
        <v>394</v>
      </c>
      <c r="M509">
        <v>10439</v>
      </c>
      <c r="N509">
        <v>74</v>
      </c>
      <c r="O509" t="s">
        <v>700</v>
      </c>
      <c r="P509" t="str">
        <f t="shared" si="128"/>
        <v>MEREP_10439_Longlife Tofu</v>
      </c>
      <c r="Q509" t="str">
        <f t="shared" si="129"/>
        <v>10439</v>
      </c>
      <c r="R509" t="str">
        <f t="shared" si="130"/>
        <v>10439</v>
      </c>
      <c r="S509" t="str">
        <f t="shared" si="131"/>
        <v>Longlife Tofu</v>
      </c>
      <c r="T509">
        <v>8</v>
      </c>
      <c r="U509">
        <v>30</v>
      </c>
      <c r="V509">
        <v>0</v>
      </c>
      <c r="W509">
        <f t="shared" si="132"/>
        <v>240</v>
      </c>
      <c r="X509" t="str">
        <f t="shared" si="133"/>
        <v>No</v>
      </c>
      <c r="Y509" s="2">
        <v>34768</v>
      </c>
      <c r="Z509" t="str">
        <f t="shared" si="119"/>
        <v/>
      </c>
      <c r="AA509" t="str">
        <f t="shared" si="134"/>
        <v/>
      </c>
      <c r="AB509" t="str" cm="1">
        <f t="array" ref="AB509">_xlfn.IFS(Y509&lt;DATE(1996,1,1),"",Y509&lt;DATE(1996,4,1),"Q1",Y509&lt;DATE(1996,7,1),"Q2",Y509&gt;=DATE(1996,7,1),"")</f>
        <v/>
      </c>
    </row>
    <row r="510" spans="1:28" ht="14.4" x14ac:dyDescent="0.55000000000000004">
      <c r="A510" t="str">
        <f>VLOOKUP(L510,Customers!$A$2:$B$92,2,FALSE)</f>
        <v>Save-a-lot Markets</v>
      </c>
      <c r="B510" t="str">
        <f>VLOOKUP(L510,Customers!$A$2:$C$92,3,TRUE)</f>
        <v>Jose Pavarotti</v>
      </c>
      <c r="C510" t="str">
        <f t="shared" si="120"/>
        <v>Jose</v>
      </c>
      <c r="D510" s="8" t="str">
        <f t="shared" si="121"/>
        <v>Pavarotti</v>
      </c>
      <c r="E510" s="8" t="str">
        <f t="shared" si="122"/>
        <v>Pavarotti, Jose</v>
      </c>
      <c r="F510" s="8" t="str">
        <f t="shared" si="123"/>
        <v>Pavarotti, Jose</v>
      </c>
      <c r="G510" s="8" t="str">
        <f t="shared" si="124"/>
        <v>not an outlier</v>
      </c>
      <c r="H510" s="8" t="str">
        <f t="shared" si="125"/>
        <v>Not</v>
      </c>
      <c r="I510" s="8" t="str">
        <f t="shared" si="135"/>
        <v>no</v>
      </c>
      <c r="J510" s="10" t="str">
        <f t="shared" si="126"/>
        <v>no</v>
      </c>
      <c r="K510" s="10" t="str">
        <f t="shared" si="127"/>
        <v>no</v>
      </c>
      <c r="L510" t="s">
        <v>529</v>
      </c>
      <c r="M510">
        <v>10440</v>
      </c>
      <c r="N510">
        <v>2</v>
      </c>
      <c r="O510" t="s">
        <v>701</v>
      </c>
      <c r="P510" t="str">
        <f t="shared" si="128"/>
        <v>SAVEA_10440_Chang</v>
      </c>
      <c r="Q510" t="str">
        <f t="shared" si="129"/>
        <v>10440</v>
      </c>
      <c r="R510" t="str">
        <f t="shared" si="130"/>
        <v>10440</v>
      </c>
      <c r="S510" t="str">
        <f t="shared" si="131"/>
        <v>Chang</v>
      </c>
      <c r="T510">
        <v>15.2</v>
      </c>
      <c r="U510">
        <v>45</v>
      </c>
      <c r="V510">
        <v>0.15</v>
      </c>
      <c r="W510">
        <f t="shared" si="132"/>
        <v>581.4</v>
      </c>
      <c r="X510" t="str">
        <f t="shared" si="133"/>
        <v>No</v>
      </c>
      <c r="Y510" s="2">
        <v>34771</v>
      </c>
      <c r="Z510" t="str">
        <f t="shared" si="119"/>
        <v/>
      </c>
      <c r="AA510" t="str">
        <f t="shared" si="134"/>
        <v/>
      </c>
      <c r="AB510" t="str" cm="1">
        <f t="array" ref="AB510">_xlfn.IFS(Y510&lt;DATE(1996,1,1),"",Y510&lt;DATE(1996,4,1),"Q1",Y510&lt;DATE(1996,7,1),"Q2",Y510&gt;=DATE(1996,7,1),"")</f>
        <v/>
      </c>
    </row>
    <row r="511" spans="1:28" ht="14.4" x14ac:dyDescent="0.55000000000000004">
      <c r="A511" t="str">
        <f>VLOOKUP(L511,Customers!$A$2:$B$92,2,FALSE)</f>
        <v>Save-a-lot Markets</v>
      </c>
      <c r="B511" t="str">
        <f>VLOOKUP(L511,Customers!$A$2:$C$92,3,TRUE)</f>
        <v>Jose Pavarotti</v>
      </c>
      <c r="C511" t="str">
        <f t="shared" si="120"/>
        <v>Jose</v>
      </c>
      <c r="D511" s="8" t="str">
        <f t="shared" si="121"/>
        <v>Pavarotti</v>
      </c>
      <c r="E511" s="8" t="str">
        <f t="shared" si="122"/>
        <v>Pavarotti, Jose</v>
      </c>
      <c r="F511" s="8" t="str">
        <f t="shared" si="123"/>
        <v>Pavarotti, Jose</v>
      </c>
      <c r="G511" s="8" t="str">
        <f t="shared" si="124"/>
        <v>not an outlier</v>
      </c>
      <c r="H511" s="8" t="str">
        <f t="shared" si="125"/>
        <v>Not</v>
      </c>
      <c r="I511" s="8" t="str">
        <f t="shared" si="135"/>
        <v>no</v>
      </c>
      <c r="J511" s="10" t="str">
        <f t="shared" si="126"/>
        <v>no</v>
      </c>
      <c r="K511" s="10" t="str">
        <f t="shared" si="127"/>
        <v>no</v>
      </c>
      <c r="L511" t="s">
        <v>529</v>
      </c>
      <c r="M511">
        <v>10440</v>
      </c>
      <c r="N511">
        <v>16</v>
      </c>
      <c r="O511" t="s">
        <v>702</v>
      </c>
      <c r="P511" t="str">
        <f t="shared" si="128"/>
        <v>SAVEA_10440_Pavlova</v>
      </c>
      <c r="Q511" t="str">
        <f t="shared" si="129"/>
        <v>10440</v>
      </c>
      <c r="R511" t="str">
        <f t="shared" si="130"/>
        <v>10440</v>
      </c>
      <c r="S511" t="str">
        <f t="shared" si="131"/>
        <v>Pavlova</v>
      </c>
      <c r="T511">
        <v>13.9</v>
      </c>
      <c r="U511">
        <v>49</v>
      </c>
      <c r="V511">
        <v>0.15</v>
      </c>
      <c r="W511">
        <f t="shared" si="132"/>
        <v>578.93500000000006</v>
      </c>
      <c r="X511" t="str">
        <f t="shared" si="133"/>
        <v>No</v>
      </c>
      <c r="Y511" s="2">
        <v>34771</v>
      </c>
      <c r="Z511" t="str">
        <f t="shared" si="119"/>
        <v/>
      </c>
      <c r="AA511" t="str">
        <f t="shared" si="134"/>
        <v/>
      </c>
      <c r="AB511" t="str" cm="1">
        <f t="array" ref="AB511">_xlfn.IFS(Y511&lt;DATE(1996,1,1),"",Y511&lt;DATE(1996,4,1),"Q1",Y511&lt;DATE(1996,7,1),"Q2",Y511&gt;=DATE(1996,7,1),"")</f>
        <v/>
      </c>
    </row>
    <row r="512" spans="1:28" ht="14.4" x14ac:dyDescent="0.55000000000000004">
      <c r="A512" t="str">
        <f>VLOOKUP(L512,Customers!$A$2:$B$92,2,FALSE)</f>
        <v>Save-a-lot Markets</v>
      </c>
      <c r="B512" t="str">
        <f>VLOOKUP(L512,Customers!$A$2:$C$92,3,TRUE)</f>
        <v>Jose Pavarotti</v>
      </c>
      <c r="C512" t="str">
        <f t="shared" si="120"/>
        <v>Jose</v>
      </c>
      <c r="D512" s="8" t="str">
        <f t="shared" si="121"/>
        <v>Pavarotti</v>
      </c>
      <c r="E512" s="8" t="str">
        <f t="shared" si="122"/>
        <v>Pavarotti, Jose</v>
      </c>
      <c r="F512" s="8" t="str">
        <f t="shared" si="123"/>
        <v>Pavarotti, Jose</v>
      </c>
      <c r="G512" s="8" t="str">
        <f t="shared" si="124"/>
        <v>not an outlier</v>
      </c>
      <c r="H512" s="8" t="str">
        <f t="shared" si="125"/>
        <v>Not</v>
      </c>
      <c r="I512" s="8" t="str">
        <f t="shared" si="135"/>
        <v>no</v>
      </c>
      <c r="J512" s="10" t="str">
        <f t="shared" si="126"/>
        <v>no</v>
      </c>
      <c r="K512" s="10" t="str">
        <f t="shared" si="127"/>
        <v>no</v>
      </c>
      <c r="L512" t="s">
        <v>529</v>
      </c>
      <c r="M512">
        <v>10440</v>
      </c>
      <c r="N512">
        <v>29</v>
      </c>
      <c r="O512" t="s">
        <v>722</v>
      </c>
      <c r="P512" t="str">
        <f t="shared" si="128"/>
        <v>SAVEA_10440_Thüringer Rostbratwurst</v>
      </c>
      <c r="Q512" t="str">
        <f t="shared" si="129"/>
        <v>10440</v>
      </c>
      <c r="R512" t="str">
        <f t="shared" si="130"/>
        <v>10440</v>
      </c>
      <c r="S512" t="str">
        <f t="shared" si="131"/>
        <v>Thüringer Rostbratwurst</v>
      </c>
      <c r="T512">
        <v>99</v>
      </c>
      <c r="U512">
        <v>24</v>
      </c>
      <c r="V512">
        <v>0.15</v>
      </c>
      <c r="W512">
        <f t="shared" si="132"/>
        <v>2019.6</v>
      </c>
      <c r="X512" t="str">
        <f t="shared" si="133"/>
        <v>No</v>
      </c>
      <c r="Y512" s="2">
        <v>34771</v>
      </c>
      <c r="Z512" t="str">
        <f t="shared" si="119"/>
        <v/>
      </c>
      <c r="AA512" t="str">
        <f t="shared" si="134"/>
        <v/>
      </c>
      <c r="AB512" t="str" cm="1">
        <f t="array" ref="AB512">_xlfn.IFS(Y512&lt;DATE(1996,1,1),"",Y512&lt;DATE(1996,4,1),"Q1",Y512&lt;DATE(1996,7,1),"Q2",Y512&gt;=DATE(1996,7,1),"")</f>
        <v/>
      </c>
    </row>
    <row r="513" spans="1:28" ht="14.4" x14ac:dyDescent="0.55000000000000004">
      <c r="A513" t="str">
        <f>VLOOKUP(L513,Customers!$A$2:$B$92,2,FALSE)</f>
        <v>Save-a-lot Markets</v>
      </c>
      <c r="B513" t="str">
        <f>VLOOKUP(L513,Customers!$A$2:$C$92,3,TRUE)</f>
        <v>Jose Pavarotti</v>
      </c>
      <c r="C513" t="str">
        <f t="shared" si="120"/>
        <v>Jose</v>
      </c>
      <c r="D513" s="8" t="str">
        <f t="shared" si="121"/>
        <v>Pavarotti</v>
      </c>
      <c r="E513" s="8" t="str">
        <f t="shared" si="122"/>
        <v>Pavarotti, Jose</v>
      </c>
      <c r="F513" s="8" t="str">
        <f t="shared" si="123"/>
        <v>Pavarotti, Jose</v>
      </c>
      <c r="G513" s="8" t="str">
        <f t="shared" si="124"/>
        <v>not an outlier</v>
      </c>
      <c r="H513" s="8" t="str">
        <f t="shared" si="125"/>
        <v>Not</v>
      </c>
      <c r="I513" s="8" t="str">
        <f t="shared" si="135"/>
        <v>no</v>
      </c>
      <c r="J513" s="10" t="str">
        <f t="shared" si="126"/>
        <v>no</v>
      </c>
      <c r="K513" s="10" t="str">
        <f t="shared" si="127"/>
        <v>no</v>
      </c>
      <c r="L513" t="s">
        <v>529</v>
      </c>
      <c r="M513">
        <v>10440</v>
      </c>
      <c r="N513">
        <v>61</v>
      </c>
      <c r="O513" t="s">
        <v>758</v>
      </c>
      <c r="P513" t="str">
        <f t="shared" si="128"/>
        <v>SAVEA_10440_Sirop d'érable</v>
      </c>
      <c r="Q513" t="str">
        <f t="shared" si="129"/>
        <v>10440</v>
      </c>
      <c r="R513" t="str">
        <f t="shared" si="130"/>
        <v>10440</v>
      </c>
      <c r="S513" t="str">
        <f t="shared" si="131"/>
        <v>Sirop d'érable</v>
      </c>
      <c r="T513">
        <v>22.8</v>
      </c>
      <c r="U513">
        <v>90</v>
      </c>
      <c r="V513">
        <v>0.15</v>
      </c>
      <c r="W513">
        <f t="shared" si="132"/>
        <v>1744.2</v>
      </c>
      <c r="X513" t="str">
        <f t="shared" si="133"/>
        <v>No</v>
      </c>
      <c r="Y513" s="2">
        <v>34771</v>
      </c>
      <c r="Z513" t="str">
        <f t="shared" ref="Z513:Z576" si="136">IF(Y513&gt;=DATE(1996,1,1), IF(Y513&lt;DATE(1996,4,1),"1st Q 1996",""),"")</f>
        <v/>
      </c>
      <c r="AA513" t="str">
        <f t="shared" si="134"/>
        <v/>
      </c>
      <c r="AB513" t="str" cm="1">
        <f t="array" ref="AB513">_xlfn.IFS(Y513&lt;DATE(1996,1,1),"",Y513&lt;DATE(1996,4,1),"Q1",Y513&lt;DATE(1996,7,1),"Q2",Y513&gt;=DATE(1996,7,1),"")</f>
        <v/>
      </c>
    </row>
    <row r="514" spans="1:28" ht="14.4" x14ac:dyDescent="0.55000000000000004">
      <c r="A514" t="str">
        <f>VLOOKUP(L514,Customers!$A$2:$B$92,2,FALSE)</f>
        <v>Old World Delicatessen</v>
      </c>
      <c r="B514" t="str">
        <f>VLOOKUP(L514,Customers!$A$2:$C$92,3,TRUE)</f>
        <v>Rene Phillips</v>
      </c>
      <c r="C514" t="str">
        <f t="shared" si="120"/>
        <v>Rene</v>
      </c>
      <c r="D514" s="8" t="str">
        <f t="shared" si="121"/>
        <v>Phillips</v>
      </c>
      <c r="E514" s="8" t="str">
        <f t="shared" si="122"/>
        <v>Phillips, Rene</v>
      </c>
      <c r="F514" s="8" t="str">
        <f t="shared" si="123"/>
        <v>Phillips, Rene</v>
      </c>
      <c r="G514" s="8" t="str">
        <f t="shared" si="124"/>
        <v>not an outlier</v>
      </c>
      <c r="H514" s="8" t="str">
        <f t="shared" si="125"/>
        <v>Not</v>
      </c>
      <c r="I514" s="8" t="str">
        <f t="shared" si="135"/>
        <v>no</v>
      </c>
      <c r="J514" s="10" t="str">
        <f t="shared" si="126"/>
        <v>no</v>
      </c>
      <c r="K514" s="10" t="str">
        <f t="shared" si="127"/>
        <v>no</v>
      </c>
      <c r="L514" t="s">
        <v>422</v>
      </c>
      <c r="M514">
        <v>10441</v>
      </c>
      <c r="N514">
        <v>27</v>
      </c>
      <c r="O514" t="s">
        <v>707</v>
      </c>
      <c r="P514" t="str">
        <f t="shared" si="128"/>
        <v>OLDWO_10441_Schoggi Schokolade</v>
      </c>
      <c r="Q514" t="str">
        <f t="shared" si="129"/>
        <v>10441</v>
      </c>
      <c r="R514" t="str">
        <f t="shared" si="130"/>
        <v>10441</v>
      </c>
      <c r="S514" t="str">
        <f t="shared" si="131"/>
        <v>Schoggi Schokolade</v>
      </c>
      <c r="T514">
        <v>35.1</v>
      </c>
      <c r="U514">
        <v>50</v>
      </c>
      <c r="V514">
        <v>0</v>
      </c>
      <c r="W514">
        <f t="shared" si="132"/>
        <v>1755</v>
      </c>
      <c r="X514" t="str">
        <f t="shared" si="133"/>
        <v>No</v>
      </c>
      <c r="Y514" s="2">
        <v>34771</v>
      </c>
      <c r="Z514" t="str">
        <f t="shared" si="136"/>
        <v/>
      </c>
      <c r="AA514" t="str">
        <f t="shared" si="134"/>
        <v/>
      </c>
      <c r="AB514" t="str" cm="1">
        <f t="array" ref="AB514">_xlfn.IFS(Y514&lt;DATE(1996,1,1),"",Y514&lt;DATE(1996,4,1),"Q1",Y514&lt;DATE(1996,7,1),"Q2",Y514&gt;=DATE(1996,7,1),"")</f>
        <v/>
      </c>
    </row>
    <row r="515" spans="1:28" ht="14.4" x14ac:dyDescent="0.55000000000000004">
      <c r="A515" t="str">
        <f>VLOOKUP(L515,Customers!$A$2:$B$92,2,FALSE)</f>
        <v>Ernst Handel</v>
      </c>
      <c r="B515" t="str">
        <f>VLOOKUP(L515,Customers!$A$2:$C$92,3,TRUE)</f>
        <v>Roland Mendel</v>
      </c>
      <c r="C515" t="str">
        <f t="shared" ref="C515:C578" si="137">LEFT(B515,FIND(" ",B515)-1)</f>
        <v>Roland</v>
      </c>
      <c r="D515" s="8" t="str">
        <f t="shared" ref="D515:D578" si="138">RIGHT(B515,LEN(B515)-FIND(" ",B515))</f>
        <v>Mendel</v>
      </c>
      <c r="E515" s="8" t="str">
        <f t="shared" ref="E515:E578" si="139">_xlfn.CONCAT(D515,", ",C515)</f>
        <v>Mendel, Roland</v>
      </c>
      <c r="F515" s="8" t="str">
        <f t="shared" ref="F515:F578" si="140">D515&amp;", "&amp;C515</f>
        <v>Mendel, Roland</v>
      </c>
      <c r="G515" s="8" t="str">
        <f t="shared" ref="G515:G578" si="141">IF(OR(W515&gt;$W$2166,W515&lt;$W$2167),"outlier","not an outlier")</f>
        <v>not an outlier</v>
      </c>
      <c r="H515" s="8" t="str">
        <f t="shared" ref="H515:H578" si="142">IF(OR(W515&gt;$W$2166,W515&lt;$W$2167),"outlier",IF(OR(W515&gt;$W$2168,W515&lt;$W$2169),"moderate","Not"))</f>
        <v>Not</v>
      </c>
      <c r="I515" s="8" t="str">
        <f t="shared" si="135"/>
        <v>no</v>
      </c>
      <c r="J515" s="10" t="str">
        <f t="shared" ref="J515:J578" si="143">IF(AND(W515&lt;=$W$2166,W515&gt;=$W$2167),"no","yes")</f>
        <v>no</v>
      </c>
      <c r="K515" s="10" t="str">
        <f t="shared" ref="K515:K578" si="144">IF(OR(W515&gt;$W$2166,W515&lt;$W$2167),"yes",IF(OR(W515&gt;$W$2168,W515&lt;$W$2169),"moderate","no"))</f>
        <v>no</v>
      </c>
      <c r="L515" t="s">
        <v>161</v>
      </c>
      <c r="M515">
        <v>10442</v>
      </c>
      <c r="N515">
        <v>11</v>
      </c>
      <c r="O515" t="s">
        <v>683</v>
      </c>
      <c r="P515" t="str">
        <f t="shared" ref="P515:P578" si="145">L515&amp;"_"&amp;M515&amp;"_"&amp;O515</f>
        <v>ERNSH_10442_Queso Cabrales</v>
      </c>
      <c r="Q515" t="str">
        <f t="shared" ref="Q515:Q578" si="146">LEFT(RIGHT(P515,LEN(P515)-FIND("_",P515)), FIND("_",P515)-1)</f>
        <v>10442</v>
      </c>
      <c r="R515" t="str">
        <f t="shared" ref="R515:R578" si="147">MID(P515,FIND("_",P515)+1,FIND("_",P515,FIND("_",P515))-1)</f>
        <v>10442</v>
      </c>
      <c r="S515" t="str">
        <f t="shared" ref="S515:S578" si="148">MID(P515,FIND("_",P515,FIND("_",P515)+1)+1,LEN(P515))</f>
        <v>Queso Cabrales</v>
      </c>
      <c r="T515">
        <v>16.8</v>
      </c>
      <c r="U515">
        <v>30</v>
      </c>
      <c r="V515">
        <v>0</v>
      </c>
      <c r="W515">
        <f t="shared" ref="W515:W578" si="149">T515*U515*(1-V515)</f>
        <v>504</v>
      </c>
      <c r="X515" t="str">
        <f t="shared" ref="X515:X578" si="150">IF(YEAR(Y515)&gt;=1996,"yes","No")</f>
        <v>No</v>
      </c>
      <c r="Y515" s="2">
        <v>34772</v>
      </c>
      <c r="Z515" t="str">
        <f t="shared" si="136"/>
        <v/>
      </c>
      <c r="AA515" t="str">
        <f t="shared" ref="AA515:AA578" si="151">IF(Y515&lt;DATE(1996,1,1),"", IF(Y515&lt;DATE(1996,4,1),"1st Q 1996",IF(Y515&lt;DATE(1996,7,1),"2nd Q 1996","")))</f>
        <v/>
      </c>
      <c r="AB515" t="str" cm="1">
        <f t="array" ref="AB515">_xlfn.IFS(Y515&lt;DATE(1996,1,1),"",Y515&lt;DATE(1996,4,1),"Q1",Y515&lt;DATE(1996,7,1),"Q2",Y515&gt;=DATE(1996,7,1),"")</f>
        <v/>
      </c>
    </row>
    <row r="516" spans="1:28" ht="14.4" x14ac:dyDescent="0.55000000000000004">
      <c r="A516" t="str">
        <f>VLOOKUP(L516,Customers!$A$2:$B$92,2,FALSE)</f>
        <v>Ernst Handel</v>
      </c>
      <c r="B516" t="str">
        <f>VLOOKUP(L516,Customers!$A$2:$C$92,3,TRUE)</f>
        <v>Roland Mendel</v>
      </c>
      <c r="C516" t="str">
        <f t="shared" si="137"/>
        <v>Roland</v>
      </c>
      <c r="D516" s="8" t="str">
        <f t="shared" si="138"/>
        <v>Mendel</v>
      </c>
      <c r="E516" s="8" t="str">
        <f t="shared" si="139"/>
        <v>Mendel, Roland</v>
      </c>
      <c r="F516" s="8" t="str">
        <f t="shared" si="140"/>
        <v>Mendel, Roland</v>
      </c>
      <c r="G516" s="8" t="str">
        <f t="shared" si="141"/>
        <v>not an outlier</v>
      </c>
      <c r="H516" s="8" t="str">
        <f t="shared" si="142"/>
        <v>Not</v>
      </c>
      <c r="I516" s="8" t="str">
        <f t="shared" ref="I516:I579" si="152">IF(OR(W516&gt;$W$2166,W516&lt;$W$2167),"yes","no")</f>
        <v>no</v>
      </c>
      <c r="J516" s="10" t="str">
        <f t="shared" si="143"/>
        <v>no</v>
      </c>
      <c r="K516" s="10" t="str">
        <f t="shared" si="144"/>
        <v>no</v>
      </c>
      <c r="L516" t="s">
        <v>161</v>
      </c>
      <c r="M516">
        <v>10442</v>
      </c>
      <c r="N516">
        <v>54</v>
      </c>
      <c r="O516" t="s">
        <v>738</v>
      </c>
      <c r="P516" t="str">
        <f t="shared" si="145"/>
        <v>ERNSH_10442_Tourtière</v>
      </c>
      <c r="Q516" t="str">
        <f t="shared" si="146"/>
        <v>10442</v>
      </c>
      <c r="R516" t="str">
        <f t="shared" si="147"/>
        <v>10442</v>
      </c>
      <c r="S516" t="str">
        <f t="shared" si="148"/>
        <v>Tourtière</v>
      </c>
      <c r="T516">
        <v>5.9</v>
      </c>
      <c r="U516">
        <v>80</v>
      </c>
      <c r="V516">
        <v>0</v>
      </c>
      <c r="W516">
        <f t="shared" si="149"/>
        <v>472</v>
      </c>
      <c r="X516" t="str">
        <f t="shared" si="150"/>
        <v>No</v>
      </c>
      <c r="Y516" s="2">
        <v>34772</v>
      </c>
      <c r="Z516" t="str">
        <f t="shared" si="136"/>
        <v/>
      </c>
      <c r="AA516" t="str">
        <f t="shared" si="151"/>
        <v/>
      </c>
      <c r="AB516" t="str" cm="1">
        <f t="array" ref="AB516">_xlfn.IFS(Y516&lt;DATE(1996,1,1),"",Y516&lt;DATE(1996,4,1),"Q1",Y516&lt;DATE(1996,7,1),"Q2",Y516&gt;=DATE(1996,7,1),"")</f>
        <v/>
      </c>
    </row>
    <row r="517" spans="1:28" ht="14.4" x14ac:dyDescent="0.55000000000000004">
      <c r="A517" t="str">
        <f>VLOOKUP(L517,Customers!$A$2:$B$92,2,FALSE)</f>
        <v>Ernst Handel</v>
      </c>
      <c r="B517" t="str">
        <f>VLOOKUP(L517,Customers!$A$2:$C$92,3,TRUE)</f>
        <v>Roland Mendel</v>
      </c>
      <c r="C517" t="str">
        <f t="shared" si="137"/>
        <v>Roland</v>
      </c>
      <c r="D517" s="8" t="str">
        <f t="shared" si="138"/>
        <v>Mendel</v>
      </c>
      <c r="E517" s="8" t="str">
        <f t="shared" si="139"/>
        <v>Mendel, Roland</v>
      </c>
      <c r="F517" s="8" t="str">
        <f t="shared" si="140"/>
        <v>Mendel, Roland</v>
      </c>
      <c r="G517" s="8" t="str">
        <f t="shared" si="141"/>
        <v>not an outlier</v>
      </c>
      <c r="H517" s="8" t="str">
        <f t="shared" si="142"/>
        <v>Not</v>
      </c>
      <c r="I517" s="8" t="str">
        <f t="shared" si="152"/>
        <v>no</v>
      </c>
      <c r="J517" s="10" t="str">
        <f t="shared" si="143"/>
        <v>no</v>
      </c>
      <c r="K517" s="10" t="str">
        <f t="shared" si="144"/>
        <v>no</v>
      </c>
      <c r="L517" t="s">
        <v>161</v>
      </c>
      <c r="M517">
        <v>10442</v>
      </c>
      <c r="N517">
        <v>66</v>
      </c>
      <c r="O517" t="s">
        <v>744</v>
      </c>
      <c r="P517" t="str">
        <f t="shared" si="145"/>
        <v>ERNSH_10442_Louisiana Hot Spiced Okra</v>
      </c>
      <c r="Q517" t="str">
        <f t="shared" si="146"/>
        <v>10442</v>
      </c>
      <c r="R517" t="str">
        <f t="shared" si="147"/>
        <v>10442</v>
      </c>
      <c r="S517" t="str">
        <f t="shared" si="148"/>
        <v>Louisiana Hot Spiced Okra</v>
      </c>
      <c r="T517">
        <v>13.6</v>
      </c>
      <c r="U517">
        <v>60</v>
      </c>
      <c r="V517">
        <v>0</v>
      </c>
      <c r="W517">
        <f t="shared" si="149"/>
        <v>816</v>
      </c>
      <c r="X517" t="str">
        <f t="shared" si="150"/>
        <v>No</v>
      </c>
      <c r="Y517" s="2">
        <v>34772</v>
      </c>
      <c r="Z517" t="str">
        <f t="shared" si="136"/>
        <v/>
      </c>
      <c r="AA517" t="str">
        <f t="shared" si="151"/>
        <v/>
      </c>
      <c r="AB517" t="str" cm="1">
        <f t="array" ref="AB517">_xlfn.IFS(Y517&lt;DATE(1996,1,1),"",Y517&lt;DATE(1996,4,1),"Q1",Y517&lt;DATE(1996,7,1),"Q2",Y517&gt;=DATE(1996,7,1),"")</f>
        <v/>
      </c>
    </row>
    <row r="518" spans="1:28" ht="14.4" x14ac:dyDescent="0.55000000000000004">
      <c r="A518" t="str">
        <f>VLOOKUP(L518,Customers!$A$2:$B$92,2,FALSE)</f>
        <v>Reggiani Caseifici</v>
      </c>
      <c r="B518" t="str">
        <f>VLOOKUP(L518,Customers!$A$2:$C$92,3,TRUE)</f>
        <v>Maurizio Moroni</v>
      </c>
      <c r="C518" t="str">
        <f t="shared" si="137"/>
        <v>Maurizio</v>
      </c>
      <c r="D518" s="8" t="str">
        <f t="shared" si="138"/>
        <v>Moroni</v>
      </c>
      <c r="E518" s="8" t="str">
        <f t="shared" si="139"/>
        <v>Moroni, Maurizio</v>
      </c>
      <c r="F518" s="8" t="str">
        <f t="shared" si="140"/>
        <v>Moroni, Maurizio</v>
      </c>
      <c r="G518" s="8" t="str">
        <f t="shared" si="141"/>
        <v>not an outlier</v>
      </c>
      <c r="H518" s="8" t="str">
        <f t="shared" si="142"/>
        <v>Not</v>
      </c>
      <c r="I518" s="8" t="str">
        <f t="shared" si="152"/>
        <v>no</v>
      </c>
      <c r="J518" s="10" t="str">
        <f t="shared" si="143"/>
        <v>no</v>
      </c>
      <c r="K518" s="10" t="str">
        <f t="shared" si="144"/>
        <v>no</v>
      </c>
      <c r="L518" t="s">
        <v>496</v>
      </c>
      <c r="M518">
        <v>10443</v>
      </c>
      <c r="N518">
        <v>11</v>
      </c>
      <c r="O518" t="s">
        <v>683</v>
      </c>
      <c r="P518" t="str">
        <f t="shared" si="145"/>
        <v>REGGC_10443_Queso Cabrales</v>
      </c>
      <c r="Q518" t="str">
        <f t="shared" si="146"/>
        <v>10443</v>
      </c>
      <c r="R518" t="str">
        <f t="shared" si="147"/>
        <v>10443</v>
      </c>
      <c r="S518" t="str">
        <f t="shared" si="148"/>
        <v>Queso Cabrales</v>
      </c>
      <c r="T518">
        <v>16.8</v>
      </c>
      <c r="U518">
        <v>6</v>
      </c>
      <c r="V518">
        <v>0.2</v>
      </c>
      <c r="W518">
        <f t="shared" si="149"/>
        <v>80.640000000000015</v>
      </c>
      <c r="X518" t="str">
        <f t="shared" si="150"/>
        <v>No</v>
      </c>
      <c r="Y518" s="2">
        <v>34773</v>
      </c>
      <c r="Z518" t="str">
        <f t="shared" si="136"/>
        <v/>
      </c>
      <c r="AA518" t="str">
        <f t="shared" si="151"/>
        <v/>
      </c>
      <c r="AB518" t="str" cm="1">
        <f t="array" ref="AB518">_xlfn.IFS(Y518&lt;DATE(1996,1,1),"",Y518&lt;DATE(1996,4,1),"Q1",Y518&lt;DATE(1996,7,1),"Q2",Y518&gt;=DATE(1996,7,1),"")</f>
        <v/>
      </c>
    </row>
    <row r="519" spans="1:28" ht="14.4" x14ac:dyDescent="0.55000000000000004">
      <c r="A519" t="str">
        <f>VLOOKUP(L519,Customers!$A$2:$B$92,2,FALSE)</f>
        <v>Reggiani Caseifici</v>
      </c>
      <c r="B519" t="str">
        <f>VLOOKUP(L519,Customers!$A$2:$C$92,3,TRUE)</f>
        <v>Maurizio Moroni</v>
      </c>
      <c r="C519" t="str">
        <f t="shared" si="137"/>
        <v>Maurizio</v>
      </c>
      <c r="D519" s="8" t="str">
        <f t="shared" si="138"/>
        <v>Moroni</v>
      </c>
      <c r="E519" s="8" t="str">
        <f t="shared" si="139"/>
        <v>Moroni, Maurizio</v>
      </c>
      <c r="F519" s="8" t="str">
        <f t="shared" si="140"/>
        <v>Moroni, Maurizio</v>
      </c>
      <c r="G519" s="8" t="str">
        <f t="shared" si="141"/>
        <v>not an outlier</v>
      </c>
      <c r="H519" s="8" t="str">
        <f t="shared" si="142"/>
        <v>Not</v>
      </c>
      <c r="I519" s="8" t="str">
        <f t="shared" si="152"/>
        <v>no</v>
      </c>
      <c r="J519" s="10" t="str">
        <f t="shared" si="143"/>
        <v>no</v>
      </c>
      <c r="K519" s="10" t="str">
        <f t="shared" si="144"/>
        <v>no</v>
      </c>
      <c r="L519" t="s">
        <v>496</v>
      </c>
      <c r="M519">
        <v>10443</v>
      </c>
      <c r="N519">
        <v>28</v>
      </c>
      <c r="O519" t="s">
        <v>727</v>
      </c>
      <c r="P519" t="str">
        <f t="shared" si="145"/>
        <v>REGGC_10443_Rössle Sauerkraut</v>
      </c>
      <c r="Q519" t="str">
        <f t="shared" si="146"/>
        <v>10443</v>
      </c>
      <c r="R519" t="str">
        <f t="shared" si="147"/>
        <v>10443</v>
      </c>
      <c r="S519" t="str">
        <f t="shared" si="148"/>
        <v>Rössle Sauerkraut</v>
      </c>
      <c r="T519">
        <v>36.4</v>
      </c>
      <c r="U519">
        <v>12</v>
      </c>
      <c r="V519">
        <v>0</v>
      </c>
      <c r="W519">
        <f t="shared" si="149"/>
        <v>436.79999999999995</v>
      </c>
      <c r="X519" t="str">
        <f t="shared" si="150"/>
        <v>No</v>
      </c>
      <c r="Y519" s="2">
        <v>34773</v>
      </c>
      <c r="Z519" t="str">
        <f t="shared" si="136"/>
        <v/>
      </c>
      <c r="AA519" t="str">
        <f t="shared" si="151"/>
        <v/>
      </c>
      <c r="AB519" t="str" cm="1">
        <f t="array" ref="AB519">_xlfn.IFS(Y519&lt;DATE(1996,1,1),"",Y519&lt;DATE(1996,4,1),"Q1",Y519&lt;DATE(1996,7,1),"Q2",Y519&gt;=DATE(1996,7,1),"")</f>
        <v/>
      </c>
    </row>
    <row r="520" spans="1:28" ht="14.4" x14ac:dyDescent="0.55000000000000004">
      <c r="A520" t="str">
        <f>VLOOKUP(L520,Customers!$A$2:$B$92,2,FALSE)</f>
        <v>Berglunds snabbköp</v>
      </c>
      <c r="B520" t="str">
        <f>VLOOKUP(L520,Customers!$A$2:$C$92,3,TRUE)</f>
        <v>Christina Berglund</v>
      </c>
      <c r="C520" t="str">
        <f t="shared" si="137"/>
        <v>Christina</v>
      </c>
      <c r="D520" s="8" t="str">
        <f t="shared" si="138"/>
        <v>Berglund</v>
      </c>
      <c r="E520" s="8" t="str">
        <f t="shared" si="139"/>
        <v>Berglund, Christina</v>
      </c>
      <c r="F520" s="8" t="str">
        <f t="shared" si="140"/>
        <v>Berglund, Christina</v>
      </c>
      <c r="G520" s="8" t="str">
        <f t="shared" si="141"/>
        <v>not an outlier</v>
      </c>
      <c r="H520" s="8" t="str">
        <f t="shared" si="142"/>
        <v>Not</v>
      </c>
      <c r="I520" s="8" t="str">
        <f t="shared" si="152"/>
        <v>no</v>
      </c>
      <c r="J520" s="10" t="str">
        <f t="shared" si="143"/>
        <v>no</v>
      </c>
      <c r="K520" s="10" t="str">
        <f t="shared" si="144"/>
        <v>no</v>
      </c>
      <c r="L520" t="s">
        <v>43</v>
      </c>
      <c r="M520">
        <v>10444</v>
      </c>
      <c r="N520">
        <v>17</v>
      </c>
      <c r="O520" t="s">
        <v>718</v>
      </c>
      <c r="P520" t="str">
        <f t="shared" si="145"/>
        <v>BERGS_10444_Alice Mutton</v>
      </c>
      <c r="Q520" t="str">
        <f t="shared" si="146"/>
        <v>10444</v>
      </c>
      <c r="R520" t="str">
        <f t="shared" si="147"/>
        <v>10444</v>
      </c>
      <c r="S520" t="str">
        <f t="shared" si="148"/>
        <v>Alice Mutton</v>
      </c>
      <c r="T520">
        <v>31.2</v>
      </c>
      <c r="U520">
        <v>10</v>
      </c>
      <c r="V520">
        <v>0</v>
      </c>
      <c r="W520">
        <f t="shared" si="149"/>
        <v>312</v>
      </c>
      <c r="X520" t="str">
        <f t="shared" si="150"/>
        <v>No</v>
      </c>
      <c r="Y520" s="2">
        <v>34773</v>
      </c>
      <c r="Z520" t="str">
        <f t="shared" si="136"/>
        <v/>
      </c>
      <c r="AA520" t="str">
        <f t="shared" si="151"/>
        <v/>
      </c>
      <c r="AB520" t="str" cm="1">
        <f t="array" ref="AB520">_xlfn.IFS(Y520&lt;DATE(1996,1,1),"",Y520&lt;DATE(1996,4,1),"Q1",Y520&lt;DATE(1996,7,1),"Q2",Y520&gt;=DATE(1996,7,1),"")</f>
        <v/>
      </c>
    </row>
    <row r="521" spans="1:28" ht="14.4" x14ac:dyDescent="0.55000000000000004">
      <c r="A521" t="str">
        <f>VLOOKUP(L521,Customers!$A$2:$B$92,2,FALSE)</f>
        <v>Berglunds snabbköp</v>
      </c>
      <c r="B521" t="str">
        <f>VLOOKUP(L521,Customers!$A$2:$C$92,3,TRUE)</f>
        <v>Christina Berglund</v>
      </c>
      <c r="C521" t="str">
        <f t="shared" si="137"/>
        <v>Christina</v>
      </c>
      <c r="D521" s="8" t="str">
        <f t="shared" si="138"/>
        <v>Berglund</v>
      </c>
      <c r="E521" s="8" t="str">
        <f t="shared" si="139"/>
        <v>Berglund, Christina</v>
      </c>
      <c r="F521" s="8" t="str">
        <f t="shared" si="140"/>
        <v>Berglund, Christina</v>
      </c>
      <c r="G521" s="8" t="str">
        <f t="shared" si="141"/>
        <v>not an outlier</v>
      </c>
      <c r="H521" s="8" t="str">
        <f t="shared" si="142"/>
        <v>Not</v>
      </c>
      <c r="I521" s="8" t="str">
        <f t="shared" si="152"/>
        <v>no</v>
      </c>
      <c r="J521" s="10" t="str">
        <f t="shared" si="143"/>
        <v>no</v>
      </c>
      <c r="K521" s="10" t="str">
        <f t="shared" si="144"/>
        <v>no</v>
      </c>
      <c r="L521" t="s">
        <v>43</v>
      </c>
      <c r="M521">
        <v>10444</v>
      </c>
      <c r="N521">
        <v>26</v>
      </c>
      <c r="O521" t="s">
        <v>751</v>
      </c>
      <c r="P521" t="str">
        <f t="shared" si="145"/>
        <v>BERGS_10444_Gumbär Gummibärchen</v>
      </c>
      <c r="Q521" t="str">
        <f t="shared" si="146"/>
        <v>10444</v>
      </c>
      <c r="R521" t="str">
        <f t="shared" si="147"/>
        <v>10444</v>
      </c>
      <c r="S521" t="str">
        <f t="shared" si="148"/>
        <v>Gumbär Gummibärchen</v>
      </c>
      <c r="T521">
        <v>24.9</v>
      </c>
      <c r="U521">
        <v>15</v>
      </c>
      <c r="V521">
        <v>0</v>
      </c>
      <c r="W521">
        <f t="shared" si="149"/>
        <v>373.5</v>
      </c>
      <c r="X521" t="str">
        <f t="shared" si="150"/>
        <v>No</v>
      </c>
      <c r="Y521" s="2">
        <v>34773</v>
      </c>
      <c r="Z521" t="str">
        <f t="shared" si="136"/>
        <v/>
      </c>
      <c r="AA521" t="str">
        <f t="shared" si="151"/>
        <v/>
      </c>
      <c r="AB521" t="str" cm="1">
        <f t="array" ref="AB521">_xlfn.IFS(Y521&lt;DATE(1996,1,1),"",Y521&lt;DATE(1996,4,1),"Q1",Y521&lt;DATE(1996,7,1),"Q2",Y521&gt;=DATE(1996,7,1),"")</f>
        <v/>
      </c>
    </row>
    <row r="522" spans="1:28" ht="14.4" x14ac:dyDescent="0.55000000000000004">
      <c r="A522" t="str">
        <f>VLOOKUP(L522,Customers!$A$2:$B$92,2,FALSE)</f>
        <v>Berglunds snabbköp</v>
      </c>
      <c r="B522" t="str">
        <f>VLOOKUP(L522,Customers!$A$2:$C$92,3,TRUE)</f>
        <v>Christina Berglund</v>
      </c>
      <c r="C522" t="str">
        <f t="shared" si="137"/>
        <v>Christina</v>
      </c>
      <c r="D522" s="8" t="str">
        <f t="shared" si="138"/>
        <v>Berglund</v>
      </c>
      <c r="E522" s="8" t="str">
        <f t="shared" si="139"/>
        <v>Berglund, Christina</v>
      </c>
      <c r="F522" s="8" t="str">
        <f t="shared" si="140"/>
        <v>Berglund, Christina</v>
      </c>
      <c r="G522" s="8" t="str">
        <f t="shared" si="141"/>
        <v>not an outlier</v>
      </c>
      <c r="H522" s="8" t="str">
        <f t="shared" si="142"/>
        <v>Not</v>
      </c>
      <c r="I522" s="8" t="str">
        <f t="shared" si="152"/>
        <v>no</v>
      </c>
      <c r="J522" s="10" t="str">
        <f t="shared" si="143"/>
        <v>no</v>
      </c>
      <c r="K522" s="10" t="str">
        <f t="shared" si="144"/>
        <v>no</v>
      </c>
      <c r="L522" t="s">
        <v>43</v>
      </c>
      <c r="M522">
        <v>10444</v>
      </c>
      <c r="N522">
        <v>35</v>
      </c>
      <c r="O522" t="s">
        <v>714</v>
      </c>
      <c r="P522" t="str">
        <f t="shared" si="145"/>
        <v>BERGS_10444_Steeleye Stout</v>
      </c>
      <c r="Q522" t="str">
        <f t="shared" si="146"/>
        <v>10444</v>
      </c>
      <c r="R522" t="str">
        <f t="shared" si="147"/>
        <v>10444</v>
      </c>
      <c r="S522" t="str">
        <f t="shared" si="148"/>
        <v>Steeleye Stout</v>
      </c>
      <c r="T522">
        <v>14.4</v>
      </c>
      <c r="U522">
        <v>8</v>
      </c>
      <c r="V522">
        <v>0</v>
      </c>
      <c r="W522">
        <f t="shared" si="149"/>
        <v>115.2</v>
      </c>
      <c r="X522" t="str">
        <f t="shared" si="150"/>
        <v>No</v>
      </c>
      <c r="Y522" s="2">
        <v>34773</v>
      </c>
      <c r="Z522" t="str">
        <f t="shared" si="136"/>
        <v/>
      </c>
      <c r="AA522" t="str">
        <f t="shared" si="151"/>
        <v/>
      </c>
      <c r="AB522" t="str" cm="1">
        <f t="array" ref="AB522">_xlfn.IFS(Y522&lt;DATE(1996,1,1),"",Y522&lt;DATE(1996,4,1),"Q1",Y522&lt;DATE(1996,7,1),"Q2",Y522&gt;=DATE(1996,7,1),"")</f>
        <v/>
      </c>
    </row>
    <row r="523" spans="1:28" ht="14.4" x14ac:dyDescent="0.55000000000000004">
      <c r="A523" t="str">
        <f>VLOOKUP(L523,Customers!$A$2:$B$92,2,FALSE)</f>
        <v>Berglunds snabbköp</v>
      </c>
      <c r="B523" t="str">
        <f>VLOOKUP(L523,Customers!$A$2:$C$92,3,TRUE)</f>
        <v>Christina Berglund</v>
      </c>
      <c r="C523" t="str">
        <f t="shared" si="137"/>
        <v>Christina</v>
      </c>
      <c r="D523" s="8" t="str">
        <f t="shared" si="138"/>
        <v>Berglund</v>
      </c>
      <c r="E523" s="8" t="str">
        <f t="shared" si="139"/>
        <v>Berglund, Christina</v>
      </c>
      <c r="F523" s="8" t="str">
        <f t="shared" si="140"/>
        <v>Berglund, Christina</v>
      </c>
      <c r="G523" s="8" t="str">
        <f t="shared" si="141"/>
        <v>not an outlier</v>
      </c>
      <c r="H523" s="8" t="str">
        <f t="shared" si="142"/>
        <v>Not</v>
      </c>
      <c r="I523" s="8" t="str">
        <f t="shared" si="152"/>
        <v>no</v>
      </c>
      <c r="J523" s="10" t="str">
        <f t="shared" si="143"/>
        <v>no</v>
      </c>
      <c r="K523" s="10" t="str">
        <f t="shared" si="144"/>
        <v>no</v>
      </c>
      <c r="L523" t="s">
        <v>43</v>
      </c>
      <c r="M523">
        <v>10444</v>
      </c>
      <c r="N523">
        <v>41</v>
      </c>
      <c r="O523" t="s">
        <v>688</v>
      </c>
      <c r="P523" t="str">
        <f t="shared" si="145"/>
        <v>BERGS_10444_Jack's New England Clam Chowder</v>
      </c>
      <c r="Q523" t="str">
        <f t="shared" si="146"/>
        <v>10444</v>
      </c>
      <c r="R523" t="str">
        <f t="shared" si="147"/>
        <v>10444</v>
      </c>
      <c r="S523" t="str">
        <f t="shared" si="148"/>
        <v>Jack's New England Clam Chowder</v>
      </c>
      <c r="T523">
        <v>7.7</v>
      </c>
      <c r="U523">
        <v>30</v>
      </c>
      <c r="V523">
        <v>0</v>
      </c>
      <c r="W523">
        <f t="shared" si="149"/>
        <v>231</v>
      </c>
      <c r="X523" t="str">
        <f t="shared" si="150"/>
        <v>No</v>
      </c>
      <c r="Y523" s="2">
        <v>34773</v>
      </c>
      <c r="Z523" t="str">
        <f t="shared" si="136"/>
        <v/>
      </c>
      <c r="AA523" t="str">
        <f t="shared" si="151"/>
        <v/>
      </c>
      <c r="AB523" t="str" cm="1">
        <f t="array" ref="AB523">_xlfn.IFS(Y523&lt;DATE(1996,1,1),"",Y523&lt;DATE(1996,4,1),"Q1",Y523&lt;DATE(1996,7,1),"Q2",Y523&gt;=DATE(1996,7,1),"")</f>
        <v/>
      </c>
    </row>
    <row r="524" spans="1:28" ht="14.4" x14ac:dyDescent="0.55000000000000004">
      <c r="A524" t="str">
        <f>VLOOKUP(L524,Customers!$A$2:$B$92,2,FALSE)</f>
        <v>Berglunds snabbköp</v>
      </c>
      <c r="B524" t="str">
        <f>VLOOKUP(L524,Customers!$A$2:$C$92,3,TRUE)</f>
        <v>Christina Berglund</v>
      </c>
      <c r="C524" t="str">
        <f t="shared" si="137"/>
        <v>Christina</v>
      </c>
      <c r="D524" s="8" t="str">
        <f t="shared" si="138"/>
        <v>Berglund</v>
      </c>
      <c r="E524" s="8" t="str">
        <f t="shared" si="139"/>
        <v>Berglund, Christina</v>
      </c>
      <c r="F524" s="8" t="str">
        <f t="shared" si="140"/>
        <v>Berglund, Christina</v>
      </c>
      <c r="G524" s="8" t="str">
        <f t="shared" si="141"/>
        <v>not an outlier</v>
      </c>
      <c r="H524" s="8" t="str">
        <f t="shared" si="142"/>
        <v>Not</v>
      </c>
      <c r="I524" s="8" t="str">
        <f t="shared" si="152"/>
        <v>no</v>
      </c>
      <c r="J524" s="10" t="str">
        <f t="shared" si="143"/>
        <v>no</v>
      </c>
      <c r="K524" s="10" t="str">
        <f t="shared" si="144"/>
        <v>no</v>
      </c>
      <c r="L524" t="s">
        <v>43</v>
      </c>
      <c r="M524">
        <v>10445</v>
      </c>
      <c r="N524">
        <v>39</v>
      </c>
      <c r="O524" t="s">
        <v>696</v>
      </c>
      <c r="P524" t="str">
        <f t="shared" si="145"/>
        <v>BERGS_10445_Chartreuse verte</v>
      </c>
      <c r="Q524" t="str">
        <f t="shared" si="146"/>
        <v>10445</v>
      </c>
      <c r="R524" t="str">
        <f t="shared" si="147"/>
        <v>10445</v>
      </c>
      <c r="S524" t="str">
        <f t="shared" si="148"/>
        <v>Chartreuse verte</v>
      </c>
      <c r="T524">
        <v>14.4</v>
      </c>
      <c r="U524">
        <v>6</v>
      </c>
      <c r="V524">
        <v>0</v>
      </c>
      <c r="W524">
        <f t="shared" si="149"/>
        <v>86.4</v>
      </c>
      <c r="X524" t="str">
        <f t="shared" si="150"/>
        <v>No</v>
      </c>
      <c r="Y524" s="2">
        <v>34774</v>
      </c>
      <c r="Z524" t="str">
        <f t="shared" si="136"/>
        <v/>
      </c>
      <c r="AA524" t="str">
        <f t="shared" si="151"/>
        <v/>
      </c>
      <c r="AB524" t="str" cm="1">
        <f t="array" ref="AB524">_xlfn.IFS(Y524&lt;DATE(1996,1,1),"",Y524&lt;DATE(1996,4,1),"Q1",Y524&lt;DATE(1996,7,1),"Q2",Y524&gt;=DATE(1996,7,1),"")</f>
        <v/>
      </c>
    </row>
    <row r="525" spans="1:28" ht="14.4" x14ac:dyDescent="0.55000000000000004">
      <c r="A525" t="str">
        <f>VLOOKUP(L525,Customers!$A$2:$B$92,2,FALSE)</f>
        <v>Berglunds snabbköp</v>
      </c>
      <c r="B525" t="str">
        <f>VLOOKUP(L525,Customers!$A$2:$C$92,3,TRUE)</f>
        <v>Christina Berglund</v>
      </c>
      <c r="C525" t="str">
        <f t="shared" si="137"/>
        <v>Christina</v>
      </c>
      <c r="D525" s="8" t="str">
        <f t="shared" si="138"/>
        <v>Berglund</v>
      </c>
      <c r="E525" s="8" t="str">
        <f t="shared" si="139"/>
        <v>Berglund, Christina</v>
      </c>
      <c r="F525" s="8" t="str">
        <f t="shared" si="140"/>
        <v>Berglund, Christina</v>
      </c>
      <c r="G525" s="8" t="str">
        <f t="shared" si="141"/>
        <v>not an outlier</v>
      </c>
      <c r="H525" s="8" t="str">
        <f t="shared" si="142"/>
        <v>Not</v>
      </c>
      <c r="I525" s="8" t="str">
        <f t="shared" si="152"/>
        <v>no</v>
      </c>
      <c r="J525" s="10" t="str">
        <f t="shared" si="143"/>
        <v>no</v>
      </c>
      <c r="K525" s="10" t="str">
        <f t="shared" si="144"/>
        <v>no</v>
      </c>
      <c r="L525" t="s">
        <v>43</v>
      </c>
      <c r="M525">
        <v>10445</v>
      </c>
      <c r="N525">
        <v>54</v>
      </c>
      <c r="O525" t="s">
        <v>738</v>
      </c>
      <c r="P525" t="str">
        <f t="shared" si="145"/>
        <v>BERGS_10445_Tourtière</v>
      </c>
      <c r="Q525" t="str">
        <f t="shared" si="146"/>
        <v>10445</v>
      </c>
      <c r="R525" t="str">
        <f t="shared" si="147"/>
        <v>10445</v>
      </c>
      <c r="S525" t="str">
        <f t="shared" si="148"/>
        <v>Tourtière</v>
      </c>
      <c r="T525">
        <v>5.9</v>
      </c>
      <c r="U525">
        <v>15</v>
      </c>
      <c r="V525">
        <v>0</v>
      </c>
      <c r="W525">
        <f t="shared" si="149"/>
        <v>88.5</v>
      </c>
      <c r="X525" t="str">
        <f t="shared" si="150"/>
        <v>No</v>
      </c>
      <c r="Y525" s="2">
        <v>34774</v>
      </c>
      <c r="Z525" t="str">
        <f t="shared" si="136"/>
        <v/>
      </c>
      <c r="AA525" t="str">
        <f t="shared" si="151"/>
        <v/>
      </c>
      <c r="AB525" t="str" cm="1">
        <f t="array" ref="AB525">_xlfn.IFS(Y525&lt;DATE(1996,1,1),"",Y525&lt;DATE(1996,4,1),"Q1",Y525&lt;DATE(1996,7,1),"Q2",Y525&gt;=DATE(1996,7,1),"")</f>
        <v/>
      </c>
    </row>
    <row r="526" spans="1:28" ht="14.4" x14ac:dyDescent="0.55000000000000004">
      <c r="A526" t="str">
        <f>VLOOKUP(L526,Customers!$A$2:$B$92,2,FALSE)</f>
        <v>Toms Spezialitäten</v>
      </c>
      <c r="B526" t="str">
        <f>VLOOKUP(L526,Customers!$A$2:$C$92,3,TRUE)</f>
        <v>Karin Josephs</v>
      </c>
      <c r="C526" t="str">
        <f t="shared" si="137"/>
        <v>Karin</v>
      </c>
      <c r="D526" s="8" t="str">
        <f t="shared" si="138"/>
        <v>Josephs</v>
      </c>
      <c r="E526" s="8" t="str">
        <f t="shared" si="139"/>
        <v>Josephs, Karin</v>
      </c>
      <c r="F526" s="8" t="str">
        <f t="shared" si="140"/>
        <v>Josephs, Karin</v>
      </c>
      <c r="G526" s="8" t="str">
        <f t="shared" si="141"/>
        <v>not an outlier</v>
      </c>
      <c r="H526" s="8" t="str">
        <f t="shared" si="142"/>
        <v>Not</v>
      </c>
      <c r="I526" s="8" t="str">
        <f t="shared" si="152"/>
        <v>no</v>
      </c>
      <c r="J526" s="10" t="str">
        <f t="shared" si="143"/>
        <v>no</v>
      </c>
      <c r="K526" s="10" t="str">
        <f t="shared" si="144"/>
        <v>no</v>
      </c>
      <c r="L526" t="s">
        <v>586</v>
      </c>
      <c r="M526">
        <v>10446</v>
      </c>
      <c r="N526">
        <v>19</v>
      </c>
      <c r="O526" t="s">
        <v>732</v>
      </c>
      <c r="P526" t="str">
        <f t="shared" si="145"/>
        <v>TOMSP_10446_Teatime Chocolate Biscuits</v>
      </c>
      <c r="Q526" t="str">
        <f t="shared" si="146"/>
        <v>10446</v>
      </c>
      <c r="R526" t="str">
        <f t="shared" si="147"/>
        <v>10446</v>
      </c>
      <c r="S526" t="str">
        <f t="shared" si="148"/>
        <v>Teatime Chocolate Biscuits</v>
      </c>
      <c r="T526">
        <v>7.3</v>
      </c>
      <c r="U526">
        <v>12</v>
      </c>
      <c r="V526">
        <v>0.1</v>
      </c>
      <c r="W526">
        <f t="shared" si="149"/>
        <v>78.84</v>
      </c>
      <c r="X526" t="str">
        <f t="shared" si="150"/>
        <v>No</v>
      </c>
      <c r="Y526" s="2">
        <v>34775</v>
      </c>
      <c r="Z526" t="str">
        <f t="shared" si="136"/>
        <v/>
      </c>
      <c r="AA526" t="str">
        <f t="shared" si="151"/>
        <v/>
      </c>
      <c r="AB526" t="str" cm="1">
        <f t="array" ref="AB526">_xlfn.IFS(Y526&lt;DATE(1996,1,1),"",Y526&lt;DATE(1996,4,1),"Q1",Y526&lt;DATE(1996,7,1),"Q2",Y526&gt;=DATE(1996,7,1),"")</f>
        <v/>
      </c>
    </row>
    <row r="527" spans="1:28" ht="14.4" x14ac:dyDescent="0.55000000000000004">
      <c r="A527" t="str">
        <f>VLOOKUP(L527,Customers!$A$2:$B$92,2,FALSE)</f>
        <v>Toms Spezialitäten</v>
      </c>
      <c r="B527" t="str">
        <f>VLOOKUP(L527,Customers!$A$2:$C$92,3,TRUE)</f>
        <v>Karin Josephs</v>
      </c>
      <c r="C527" t="str">
        <f t="shared" si="137"/>
        <v>Karin</v>
      </c>
      <c r="D527" s="8" t="str">
        <f t="shared" si="138"/>
        <v>Josephs</v>
      </c>
      <c r="E527" s="8" t="str">
        <f t="shared" si="139"/>
        <v>Josephs, Karin</v>
      </c>
      <c r="F527" s="8" t="str">
        <f t="shared" si="140"/>
        <v>Josephs, Karin</v>
      </c>
      <c r="G527" s="8" t="str">
        <f t="shared" si="141"/>
        <v>not an outlier</v>
      </c>
      <c r="H527" s="8" t="str">
        <f t="shared" si="142"/>
        <v>Not</v>
      </c>
      <c r="I527" s="8" t="str">
        <f t="shared" si="152"/>
        <v>no</v>
      </c>
      <c r="J527" s="10" t="str">
        <f t="shared" si="143"/>
        <v>no</v>
      </c>
      <c r="K527" s="10" t="str">
        <f t="shared" si="144"/>
        <v>no</v>
      </c>
      <c r="L527" t="s">
        <v>586</v>
      </c>
      <c r="M527">
        <v>10446</v>
      </c>
      <c r="N527">
        <v>24</v>
      </c>
      <c r="O527" t="s">
        <v>698</v>
      </c>
      <c r="P527" t="str">
        <f t="shared" si="145"/>
        <v>TOMSP_10446_Guaraná Fantástica</v>
      </c>
      <c r="Q527" t="str">
        <f t="shared" si="146"/>
        <v>10446</v>
      </c>
      <c r="R527" t="str">
        <f t="shared" si="147"/>
        <v>10446</v>
      </c>
      <c r="S527" t="str">
        <f t="shared" si="148"/>
        <v>Guaraná Fantástica</v>
      </c>
      <c r="T527">
        <v>3.6</v>
      </c>
      <c r="U527">
        <v>20</v>
      </c>
      <c r="V527">
        <v>0.1</v>
      </c>
      <c r="W527">
        <f t="shared" si="149"/>
        <v>64.8</v>
      </c>
      <c r="X527" t="str">
        <f t="shared" si="150"/>
        <v>No</v>
      </c>
      <c r="Y527" s="2">
        <v>34775</v>
      </c>
      <c r="Z527" t="str">
        <f t="shared" si="136"/>
        <v/>
      </c>
      <c r="AA527" t="str">
        <f t="shared" si="151"/>
        <v/>
      </c>
      <c r="AB527" t="str" cm="1">
        <f t="array" ref="AB527">_xlfn.IFS(Y527&lt;DATE(1996,1,1),"",Y527&lt;DATE(1996,4,1),"Q1",Y527&lt;DATE(1996,7,1),"Q2",Y527&gt;=DATE(1996,7,1),"")</f>
        <v/>
      </c>
    </row>
    <row r="528" spans="1:28" ht="14.4" x14ac:dyDescent="0.55000000000000004">
      <c r="A528" t="str">
        <f>VLOOKUP(L528,Customers!$A$2:$B$92,2,FALSE)</f>
        <v>Toms Spezialitäten</v>
      </c>
      <c r="B528" t="str">
        <f>VLOOKUP(L528,Customers!$A$2:$C$92,3,TRUE)</f>
        <v>Karin Josephs</v>
      </c>
      <c r="C528" t="str">
        <f t="shared" si="137"/>
        <v>Karin</v>
      </c>
      <c r="D528" s="8" t="str">
        <f t="shared" si="138"/>
        <v>Josephs</v>
      </c>
      <c r="E528" s="8" t="str">
        <f t="shared" si="139"/>
        <v>Josephs, Karin</v>
      </c>
      <c r="F528" s="8" t="str">
        <f t="shared" si="140"/>
        <v>Josephs, Karin</v>
      </c>
      <c r="G528" s="8" t="str">
        <f t="shared" si="141"/>
        <v>not an outlier</v>
      </c>
      <c r="H528" s="8" t="str">
        <f t="shared" si="142"/>
        <v>Not</v>
      </c>
      <c r="I528" s="8" t="str">
        <f t="shared" si="152"/>
        <v>no</v>
      </c>
      <c r="J528" s="10" t="str">
        <f t="shared" si="143"/>
        <v>no</v>
      </c>
      <c r="K528" s="10" t="str">
        <f t="shared" si="144"/>
        <v>no</v>
      </c>
      <c r="L528" t="s">
        <v>586</v>
      </c>
      <c r="M528">
        <v>10446</v>
      </c>
      <c r="N528">
        <v>31</v>
      </c>
      <c r="O528" t="s">
        <v>695</v>
      </c>
      <c r="P528" t="str">
        <f t="shared" si="145"/>
        <v>TOMSP_10446_Gorgonzola Telino</v>
      </c>
      <c r="Q528" t="str">
        <f t="shared" si="146"/>
        <v>10446</v>
      </c>
      <c r="R528" t="str">
        <f t="shared" si="147"/>
        <v>10446</v>
      </c>
      <c r="S528" t="str">
        <f t="shared" si="148"/>
        <v>Gorgonzola Telino</v>
      </c>
      <c r="T528">
        <v>10</v>
      </c>
      <c r="U528">
        <v>3</v>
      </c>
      <c r="V528">
        <v>0.1</v>
      </c>
      <c r="W528">
        <f t="shared" si="149"/>
        <v>27</v>
      </c>
      <c r="X528" t="str">
        <f t="shared" si="150"/>
        <v>No</v>
      </c>
      <c r="Y528" s="2">
        <v>34775</v>
      </c>
      <c r="Z528" t="str">
        <f t="shared" si="136"/>
        <v/>
      </c>
      <c r="AA528" t="str">
        <f t="shared" si="151"/>
        <v/>
      </c>
      <c r="AB528" t="str" cm="1">
        <f t="array" ref="AB528">_xlfn.IFS(Y528&lt;DATE(1996,1,1),"",Y528&lt;DATE(1996,4,1),"Q1",Y528&lt;DATE(1996,7,1),"Q2",Y528&gt;=DATE(1996,7,1),"")</f>
        <v/>
      </c>
    </row>
    <row r="529" spans="1:28" ht="14.4" x14ac:dyDescent="0.55000000000000004">
      <c r="A529" t="str">
        <f>VLOOKUP(L529,Customers!$A$2:$B$92,2,FALSE)</f>
        <v>Toms Spezialitäten</v>
      </c>
      <c r="B529" t="str">
        <f>VLOOKUP(L529,Customers!$A$2:$C$92,3,TRUE)</f>
        <v>Karin Josephs</v>
      </c>
      <c r="C529" t="str">
        <f t="shared" si="137"/>
        <v>Karin</v>
      </c>
      <c r="D529" s="8" t="str">
        <f t="shared" si="138"/>
        <v>Josephs</v>
      </c>
      <c r="E529" s="8" t="str">
        <f t="shared" si="139"/>
        <v>Josephs, Karin</v>
      </c>
      <c r="F529" s="8" t="str">
        <f t="shared" si="140"/>
        <v>Josephs, Karin</v>
      </c>
      <c r="G529" s="8" t="str">
        <f t="shared" si="141"/>
        <v>not an outlier</v>
      </c>
      <c r="H529" s="8" t="str">
        <f t="shared" si="142"/>
        <v>Not</v>
      </c>
      <c r="I529" s="8" t="str">
        <f t="shared" si="152"/>
        <v>no</v>
      </c>
      <c r="J529" s="10" t="str">
        <f t="shared" si="143"/>
        <v>no</v>
      </c>
      <c r="K529" s="10" t="str">
        <f t="shared" si="144"/>
        <v>no</v>
      </c>
      <c r="L529" t="s">
        <v>586</v>
      </c>
      <c r="M529">
        <v>10446</v>
      </c>
      <c r="N529">
        <v>52</v>
      </c>
      <c r="O529" t="s">
        <v>748</v>
      </c>
      <c r="P529" t="str">
        <f t="shared" si="145"/>
        <v>TOMSP_10446_Filo Mix</v>
      </c>
      <c r="Q529" t="str">
        <f t="shared" si="146"/>
        <v>10446</v>
      </c>
      <c r="R529" t="str">
        <f t="shared" si="147"/>
        <v>10446</v>
      </c>
      <c r="S529" t="str">
        <f t="shared" si="148"/>
        <v>Filo Mix</v>
      </c>
      <c r="T529">
        <v>5.6</v>
      </c>
      <c r="U529">
        <v>15</v>
      </c>
      <c r="V529">
        <v>0.1</v>
      </c>
      <c r="W529">
        <f t="shared" si="149"/>
        <v>75.600000000000009</v>
      </c>
      <c r="X529" t="str">
        <f t="shared" si="150"/>
        <v>No</v>
      </c>
      <c r="Y529" s="2">
        <v>34775</v>
      </c>
      <c r="Z529" t="str">
        <f t="shared" si="136"/>
        <v/>
      </c>
      <c r="AA529" t="str">
        <f t="shared" si="151"/>
        <v/>
      </c>
      <c r="AB529" t="str" cm="1">
        <f t="array" ref="AB529">_xlfn.IFS(Y529&lt;DATE(1996,1,1),"",Y529&lt;DATE(1996,4,1),"Q1",Y529&lt;DATE(1996,7,1),"Q2",Y529&gt;=DATE(1996,7,1),"")</f>
        <v/>
      </c>
    </row>
    <row r="530" spans="1:28" ht="14.4" x14ac:dyDescent="0.55000000000000004">
      <c r="A530" t="str">
        <f>VLOOKUP(L530,Customers!$A$2:$B$92,2,FALSE)</f>
        <v>Ricardo Adocicados</v>
      </c>
      <c r="B530" t="str">
        <f>VLOOKUP(L530,Customers!$A$2:$C$92,3,TRUE)</f>
        <v>Janete Limeira</v>
      </c>
      <c r="C530" t="str">
        <f t="shared" si="137"/>
        <v>Janete</v>
      </c>
      <c r="D530" s="8" t="str">
        <f t="shared" si="138"/>
        <v>Limeira</v>
      </c>
      <c r="E530" s="8" t="str">
        <f t="shared" si="139"/>
        <v>Limeira, Janete</v>
      </c>
      <c r="F530" s="8" t="str">
        <f t="shared" si="140"/>
        <v>Limeira, Janete</v>
      </c>
      <c r="G530" s="8" t="str">
        <f t="shared" si="141"/>
        <v>not an outlier</v>
      </c>
      <c r="H530" s="8" t="str">
        <f t="shared" si="142"/>
        <v>Not</v>
      </c>
      <c r="I530" s="8" t="str">
        <f t="shared" si="152"/>
        <v>no</v>
      </c>
      <c r="J530" s="10" t="str">
        <f t="shared" si="143"/>
        <v>no</v>
      </c>
      <c r="K530" s="10" t="str">
        <f t="shared" si="144"/>
        <v>no</v>
      </c>
      <c r="L530" t="s">
        <v>503</v>
      </c>
      <c r="M530">
        <v>10447</v>
      </c>
      <c r="N530">
        <v>19</v>
      </c>
      <c r="O530" t="s">
        <v>732</v>
      </c>
      <c r="P530" t="str">
        <f t="shared" si="145"/>
        <v>RICAR_10447_Teatime Chocolate Biscuits</v>
      </c>
      <c r="Q530" t="str">
        <f t="shared" si="146"/>
        <v>10447</v>
      </c>
      <c r="R530" t="str">
        <f t="shared" si="147"/>
        <v>10447</v>
      </c>
      <c r="S530" t="str">
        <f t="shared" si="148"/>
        <v>Teatime Chocolate Biscuits</v>
      </c>
      <c r="T530">
        <v>7.3</v>
      </c>
      <c r="U530">
        <v>40</v>
      </c>
      <c r="V530">
        <v>0</v>
      </c>
      <c r="W530">
        <f t="shared" si="149"/>
        <v>292</v>
      </c>
      <c r="X530" t="str">
        <f t="shared" si="150"/>
        <v>No</v>
      </c>
      <c r="Y530" s="2">
        <v>34775</v>
      </c>
      <c r="Z530" t="str">
        <f t="shared" si="136"/>
        <v/>
      </c>
      <c r="AA530" t="str">
        <f t="shared" si="151"/>
        <v/>
      </c>
      <c r="AB530" t="str" cm="1">
        <f t="array" ref="AB530">_xlfn.IFS(Y530&lt;DATE(1996,1,1),"",Y530&lt;DATE(1996,4,1),"Q1",Y530&lt;DATE(1996,7,1),"Q2",Y530&gt;=DATE(1996,7,1),"")</f>
        <v/>
      </c>
    </row>
    <row r="531" spans="1:28" ht="14.4" x14ac:dyDescent="0.55000000000000004">
      <c r="A531" t="str">
        <f>VLOOKUP(L531,Customers!$A$2:$B$92,2,FALSE)</f>
        <v>Ricardo Adocicados</v>
      </c>
      <c r="B531" t="str">
        <f>VLOOKUP(L531,Customers!$A$2:$C$92,3,TRUE)</f>
        <v>Janete Limeira</v>
      </c>
      <c r="C531" t="str">
        <f t="shared" si="137"/>
        <v>Janete</v>
      </c>
      <c r="D531" s="8" t="str">
        <f t="shared" si="138"/>
        <v>Limeira</v>
      </c>
      <c r="E531" s="8" t="str">
        <f t="shared" si="139"/>
        <v>Limeira, Janete</v>
      </c>
      <c r="F531" s="8" t="str">
        <f t="shared" si="140"/>
        <v>Limeira, Janete</v>
      </c>
      <c r="G531" s="8" t="str">
        <f t="shared" si="141"/>
        <v>not an outlier</v>
      </c>
      <c r="H531" s="8" t="str">
        <f t="shared" si="142"/>
        <v>Not</v>
      </c>
      <c r="I531" s="8" t="str">
        <f t="shared" si="152"/>
        <v>no</v>
      </c>
      <c r="J531" s="10" t="str">
        <f t="shared" si="143"/>
        <v>no</v>
      </c>
      <c r="K531" s="10" t="str">
        <f t="shared" si="144"/>
        <v>no</v>
      </c>
      <c r="L531" t="s">
        <v>503</v>
      </c>
      <c r="M531">
        <v>10447</v>
      </c>
      <c r="N531">
        <v>65</v>
      </c>
      <c r="O531" t="s">
        <v>689</v>
      </c>
      <c r="P531" t="str">
        <f t="shared" si="145"/>
        <v>RICAR_10447_Louisiana Fiery Hot Pepper Sauce</v>
      </c>
      <c r="Q531" t="str">
        <f t="shared" si="146"/>
        <v>10447</v>
      </c>
      <c r="R531" t="str">
        <f t="shared" si="147"/>
        <v>10447</v>
      </c>
      <c r="S531" t="str">
        <f t="shared" si="148"/>
        <v>Louisiana Fiery Hot Pepper Sauce</v>
      </c>
      <c r="T531">
        <v>16.8</v>
      </c>
      <c r="U531">
        <v>35</v>
      </c>
      <c r="V531">
        <v>0</v>
      </c>
      <c r="W531">
        <f t="shared" si="149"/>
        <v>588</v>
      </c>
      <c r="X531" t="str">
        <f t="shared" si="150"/>
        <v>No</v>
      </c>
      <c r="Y531" s="2">
        <v>34775</v>
      </c>
      <c r="Z531" t="str">
        <f t="shared" si="136"/>
        <v/>
      </c>
      <c r="AA531" t="str">
        <f t="shared" si="151"/>
        <v/>
      </c>
      <c r="AB531" t="str" cm="1">
        <f t="array" ref="AB531">_xlfn.IFS(Y531&lt;DATE(1996,1,1),"",Y531&lt;DATE(1996,4,1),"Q1",Y531&lt;DATE(1996,7,1),"Q2",Y531&gt;=DATE(1996,7,1),"")</f>
        <v/>
      </c>
    </row>
    <row r="532" spans="1:28" ht="14.4" x14ac:dyDescent="0.55000000000000004">
      <c r="A532" t="str">
        <f>VLOOKUP(L532,Customers!$A$2:$B$92,2,FALSE)</f>
        <v>Ricardo Adocicados</v>
      </c>
      <c r="B532" t="str">
        <f>VLOOKUP(L532,Customers!$A$2:$C$92,3,TRUE)</f>
        <v>Janete Limeira</v>
      </c>
      <c r="C532" t="str">
        <f t="shared" si="137"/>
        <v>Janete</v>
      </c>
      <c r="D532" s="8" t="str">
        <f t="shared" si="138"/>
        <v>Limeira</v>
      </c>
      <c r="E532" s="8" t="str">
        <f t="shared" si="139"/>
        <v>Limeira, Janete</v>
      </c>
      <c r="F532" s="8" t="str">
        <f t="shared" si="140"/>
        <v>Limeira, Janete</v>
      </c>
      <c r="G532" s="8" t="str">
        <f t="shared" si="141"/>
        <v>not an outlier</v>
      </c>
      <c r="H532" s="8" t="str">
        <f t="shared" si="142"/>
        <v>Not</v>
      </c>
      <c r="I532" s="8" t="str">
        <f t="shared" si="152"/>
        <v>no</v>
      </c>
      <c r="J532" s="10" t="str">
        <f t="shared" si="143"/>
        <v>no</v>
      </c>
      <c r="K532" s="10" t="str">
        <f t="shared" si="144"/>
        <v>no</v>
      </c>
      <c r="L532" t="s">
        <v>503</v>
      </c>
      <c r="M532">
        <v>10447</v>
      </c>
      <c r="N532">
        <v>71</v>
      </c>
      <c r="O532" t="s">
        <v>725</v>
      </c>
      <c r="P532" t="str">
        <f t="shared" si="145"/>
        <v>RICAR_10447_Fløtemysost</v>
      </c>
      <c r="Q532" t="str">
        <f t="shared" si="146"/>
        <v>10447</v>
      </c>
      <c r="R532" t="str">
        <f t="shared" si="147"/>
        <v>10447</v>
      </c>
      <c r="S532" t="str">
        <f t="shared" si="148"/>
        <v>Fløtemysost</v>
      </c>
      <c r="T532">
        <v>17.2</v>
      </c>
      <c r="U532">
        <v>2</v>
      </c>
      <c r="V532">
        <v>0</v>
      </c>
      <c r="W532">
        <f t="shared" si="149"/>
        <v>34.4</v>
      </c>
      <c r="X532" t="str">
        <f t="shared" si="150"/>
        <v>No</v>
      </c>
      <c r="Y532" s="2">
        <v>34775</v>
      </c>
      <c r="Z532" t="str">
        <f t="shared" si="136"/>
        <v/>
      </c>
      <c r="AA532" t="str">
        <f t="shared" si="151"/>
        <v/>
      </c>
      <c r="AB532" t="str" cm="1">
        <f t="array" ref="AB532">_xlfn.IFS(Y532&lt;DATE(1996,1,1),"",Y532&lt;DATE(1996,4,1),"Q1",Y532&lt;DATE(1996,7,1),"Q2",Y532&gt;=DATE(1996,7,1),"")</f>
        <v/>
      </c>
    </row>
    <row r="533" spans="1:28" ht="14.4" x14ac:dyDescent="0.55000000000000004">
      <c r="A533" t="str">
        <f>VLOOKUP(L533,Customers!$A$2:$B$92,2,FALSE)</f>
        <v>Rancho grande</v>
      </c>
      <c r="B533" t="str">
        <f>VLOOKUP(L533,Customers!$A$2:$C$92,3,TRUE)</f>
        <v>Sergio Gutiérrez</v>
      </c>
      <c r="C533" t="str">
        <f t="shared" si="137"/>
        <v>Sergio</v>
      </c>
      <c r="D533" s="8" t="str">
        <f t="shared" si="138"/>
        <v>Gutiérrez</v>
      </c>
      <c r="E533" s="8" t="str">
        <f t="shared" si="139"/>
        <v>Gutiérrez, Sergio</v>
      </c>
      <c r="F533" s="8" t="str">
        <f t="shared" si="140"/>
        <v>Gutiérrez, Sergio</v>
      </c>
      <c r="G533" s="8" t="str">
        <f t="shared" si="141"/>
        <v>not an outlier</v>
      </c>
      <c r="H533" s="8" t="str">
        <f t="shared" si="142"/>
        <v>Not</v>
      </c>
      <c r="I533" s="8" t="str">
        <f t="shared" si="152"/>
        <v>no</v>
      </c>
      <c r="J533" s="10" t="str">
        <f t="shared" si="143"/>
        <v>no</v>
      </c>
      <c r="K533" s="10" t="str">
        <f t="shared" si="144"/>
        <v>no</v>
      </c>
      <c r="L533" t="s">
        <v>481</v>
      </c>
      <c r="M533">
        <v>10448</v>
      </c>
      <c r="N533">
        <v>26</v>
      </c>
      <c r="O533" t="s">
        <v>751</v>
      </c>
      <c r="P533" t="str">
        <f t="shared" si="145"/>
        <v>RANCH_10448_Gumbär Gummibärchen</v>
      </c>
      <c r="Q533" t="str">
        <f t="shared" si="146"/>
        <v>10448</v>
      </c>
      <c r="R533" t="str">
        <f t="shared" si="147"/>
        <v>10448</v>
      </c>
      <c r="S533" t="str">
        <f t="shared" si="148"/>
        <v>Gumbär Gummibärchen</v>
      </c>
      <c r="T533">
        <v>24.9</v>
      </c>
      <c r="U533">
        <v>6</v>
      </c>
      <c r="V533">
        <v>0</v>
      </c>
      <c r="W533">
        <f t="shared" si="149"/>
        <v>149.39999999999998</v>
      </c>
      <c r="X533" t="str">
        <f t="shared" si="150"/>
        <v>No</v>
      </c>
      <c r="Y533" s="2">
        <v>34778</v>
      </c>
      <c r="Z533" t="str">
        <f t="shared" si="136"/>
        <v/>
      </c>
      <c r="AA533" t="str">
        <f t="shared" si="151"/>
        <v/>
      </c>
      <c r="AB533" t="str" cm="1">
        <f t="array" ref="AB533">_xlfn.IFS(Y533&lt;DATE(1996,1,1),"",Y533&lt;DATE(1996,4,1),"Q1",Y533&lt;DATE(1996,7,1),"Q2",Y533&gt;=DATE(1996,7,1),"")</f>
        <v/>
      </c>
    </row>
    <row r="534" spans="1:28" ht="14.4" x14ac:dyDescent="0.55000000000000004">
      <c r="A534" t="str">
        <f>VLOOKUP(L534,Customers!$A$2:$B$92,2,FALSE)</f>
        <v>Rancho grande</v>
      </c>
      <c r="B534" t="str">
        <f>VLOOKUP(L534,Customers!$A$2:$C$92,3,TRUE)</f>
        <v>Sergio Gutiérrez</v>
      </c>
      <c r="C534" t="str">
        <f t="shared" si="137"/>
        <v>Sergio</v>
      </c>
      <c r="D534" s="8" t="str">
        <f t="shared" si="138"/>
        <v>Gutiérrez</v>
      </c>
      <c r="E534" s="8" t="str">
        <f t="shared" si="139"/>
        <v>Gutiérrez, Sergio</v>
      </c>
      <c r="F534" s="8" t="str">
        <f t="shared" si="140"/>
        <v>Gutiérrez, Sergio</v>
      </c>
      <c r="G534" s="8" t="str">
        <f t="shared" si="141"/>
        <v>not an outlier</v>
      </c>
      <c r="H534" s="8" t="str">
        <f t="shared" si="142"/>
        <v>Not</v>
      </c>
      <c r="I534" s="8" t="str">
        <f t="shared" si="152"/>
        <v>no</v>
      </c>
      <c r="J534" s="10" t="str">
        <f t="shared" si="143"/>
        <v>no</v>
      </c>
      <c r="K534" s="10" t="str">
        <f t="shared" si="144"/>
        <v>no</v>
      </c>
      <c r="L534" t="s">
        <v>481</v>
      </c>
      <c r="M534">
        <v>10448</v>
      </c>
      <c r="N534">
        <v>40</v>
      </c>
      <c r="O534" t="s">
        <v>720</v>
      </c>
      <c r="P534" t="str">
        <f t="shared" si="145"/>
        <v>RANCH_10448_Boston Crab Meat</v>
      </c>
      <c r="Q534" t="str">
        <f t="shared" si="146"/>
        <v>10448</v>
      </c>
      <c r="R534" t="str">
        <f t="shared" si="147"/>
        <v>10448</v>
      </c>
      <c r="S534" t="str">
        <f t="shared" si="148"/>
        <v>Boston Crab Meat</v>
      </c>
      <c r="T534">
        <v>14.7</v>
      </c>
      <c r="U534">
        <v>20</v>
      </c>
      <c r="V534">
        <v>0</v>
      </c>
      <c r="W534">
        <f t="shared" si="149"/>
        <v>294</v>
      </c>
      <c r="X534" t="str">
        <f t="shared" si="150"/>
        <v>No</v>
      </c>
      <c r="Y534" s="2">
        <v>34778</v>
      </c>
      <c r="Z534" t="str">
        <f t="shared" si="136"/>
        <v/>
      </c>
      <c r="AA534" t="str">
        <f t="shared" si="151"/>
        <v/>
      </c>
      <c r="AB534" t="str" cm="1">
        <f t="array" ref="AB534">_xlfn.IFS(Y534&lt;DATE(1996,1,1),"",Y534&lt;DATE(1996,4,1),"Q1",Y534&lt;DATE(1996,7,1),"Q2",Y534&gt;=DATE(1996,7,1),"")</f>
        <v/>
      </c>
    </row>
    <row r="535" spans="1:28" ht="14.4" x14ac:dyDescent="0.55000000000000004">
      <c r="A535" t="str">
        <f>VLOOKUP(L535,Customers!$A$2:$B$92,2,FALSE)</f>
        <v>Blondel père et fils</v>
      </c>
      <c r="B535" t="str">
        <f>VLOOKUP(L535,Customers!$A$2:$C$92,3,TRUE)</f>
        <v>Frédérique Citeaux</v>
      </c>
      <c r="C535" t="str">
        <f t="shared" si="137"/>
        <v>Frédérique</v>
      </c>
      <c r="D535" s="8" t="str">
        <f t="shared" si="138"/>
        <v>Citeaux</v>
      </c>
      <c r="E535" s="8" t="str">
        <f t="shared" si="139"/>
        <v>Citeaux, Frédérique</v>
      </c>
      <c r="F535" s="8" t="str">
        <f t="shared" si="140"/>
        <v>Citeaux, Frédérique</v>
      </c>
      <c r="G535" s="8" t="str">
        <f t="shared" si="141"/>
        <v>not an outlier</v>
      </c>
      <c r="H535" s="8" t="str">
        <f t="shared" si="142"/>
        <v>Not</v>
      </c>
      <c r="I535" s="8" t="str">
        <f t="shared" si="152"/>
        <v>no</v>
      </c>
      <c r="J535" s="10" t="str">
        <f t="shared" si="143"/>
        <v>no</v>
      </c>
      <c r="K535" s="10" t="str">
        <f t="shared" si="144"/>
        <v>no</v>
      </c>
      <c r="L535" t="s">
        <v>60</v>
      </c>
      <c r="M535">
        <v>10449</v>
      </c>
      <c r="N535">
        <v>10</v>
      </c>
      <c r="O535" t="s">
        <v>724</v>
      </c>
      <c r="P535" t="str">
        <f t="shared" si="145"/>
        <v>BLONP_10449_Ikura</v>
      </c>
      <c r="Q535" t="str">
        <f t="shared" si="146"/>
        <v>10449</v>
      </c>
      <c r="R535" t="str">
        <f t="shared" si="147"/>
        <v>10449</v>
      </c>
      <c r="S535" t="str">
        <f t="shared" si="148"/>
        <v>Ikura</v>
      </c>
      <c r="T535">
        <v>24.8</v>
      </c>
      <c r="U535">
        <v>14</v>
      </c>
      <c r="V535">
        <v>0</v>
      </c>
      <c r="W535">
        <f t="shared" si="149"/>
        <v>347.2</v>
      </c>
      <c r="X535" t="str">
        <f t="shared" si="150"/>
        <v>No</v>
      </c>
      <c r="Y535" s="2">
        <v>34779</v>
      </c>
      <c r="Z535" t="str">
        <f t="shared" si="136"/>
        <v/>
      </c>
      <c r="AA535" t="str">
        <f t="shared" si="151"/>
        <v/>
      </c>
      <c r="AB535" t="str" cm="1">
        <f t="array" ref="AB535">_xlfn.IFS(Y535&lt;DATE(1996,1,1),"",Y535&lt;DATE(1996,4,1),"Q1",Y535&lt;DATE(1996,7,1),"Q2",Y535&gt;=DATE(1996,7,1),"")</f>
        <v/>
      </c>
    </row>
    <row r="536" spans="1:28" ht="14.4" x14ac:dyDescent="0.55000000000000004">
      <c r="A536" t="str">
        <f>VLOOKUP(L536,Customers!$A$2:$B$92,2,FALSE)</f>
        <v>Blondel père et fils</v>
      </c>
      <c r="B536" t="str">
        <f>VLOOKUP(L536,Customers!$A$2:$C$92,3,TRUE)</f>
        <v>Frédérique Citeaux</v>
      </c>
      <c r="C536" t="str">
        <f t="shared" si="137"/>
        <v>Frédérique</v>
      </c>
      <c r="D536" s="8" t="str">
        <f t="shared" si="138"/>
        <v>Citeaux</v>
      </c>
      <c r="E536" s="8" t="str">
        <f t="shared" si="139"/>
        <v>Citeaux, Frédérique</v>
      </c>
      <c r="F536" s="8" t="str">
        <f t="shared" si="140"/>
        <v>Citeaux, Frédérique</v>
      </c>
      <c r="G536" s="8" t="str">
        <f t="shared" si="141"/>
        <v>not an outlier</v>
      </c>
      <c r="H536" s="8" t="str">
        <f t="shared" si="142"/>
        <v>Not</v>
      </c>
      <c r="I536" s="8" t="str">
        <f t="shared" si="152"/>
        <v>no</v>
      </c>
      <c r="J536" s="10" t="str">
        <f t="shared" si="143"/>
        <v>no</v>
      </c>
      <c r="K536" s="10" t="str">
        <f t="shared" si="144"/>
        <v>no</v>
      </c>
      <c r="L536" t="s">
        <v>60</v>
      </c>
      <c r="M536">
        <v>10449</v>
      </c>
      <c r="N536">
        <v>52</v>
      </c>
      <c r="O536" t="s">
        <v>748</v>
      </c>
      <c r="P536" t="str">
        <f t="shared" si="145"/>
        <v>BLONP_10449_Filo Mix</v>
      </c>
      <c r="Q536" t="str">
        <f t="shared" si="146"/>
        <v>10449</v>
      </c>
      <c r="R536" t="str">
        <f t="shared" si="147"/>
        <v>10449</v>
      </c>
      <c r="S536" t="str">
        <f t="shared" si="148"/>
        <v>Filo Mix</v>
      </c>
      <c r="T536">
        <v>5.6</v>
      </c>
      <c r="U536">
        <v>20</v>
      </c>
      <c r="V536">
        <v>0</v>
      </c>
      <c r="W536">
        <f t="shared" si="149"/>
        <v>112</v>
      </c>
      <c r="X536" t="str">
        <f t="shared" si="150"/>
        <v>No</v>
      </c>
      <c r="Y536" s="2">
        <v>34779</v>
      </c>
      <c r="Z536" t="str">
        <f t="shared" si="136"/>
        <v/>
      </c>
      <c r="AA536" t="str">
        <f t="shared" si="151"/>
        <v/>
      </c>
      <c r="AB536" t="str" cm="1">
        <f t="array" ref="AB536">_xlfn.IFS(Y536&lt;DATE(1996,1,1),"",Y536&lt;DATE(1996,4,1),"Q1",Y536&lt;DATE(1996,7,1),"Q2",Y536&gt;=DATE(1996,7,1),"")</f>
        <v/>
      </c>
    </row>
    <row r="537" spans="1:28" ht="14.4" x14ac:dyDescent="0.55000000000000004">
      <c r="A537" t="str">
        <f>VLOOKUP(L537,Customers!$A$2:$B$92,2,FALSE)</f>
        <v>Blondel père et fils</v>
      </c>
      <c r="B537" t="str">
        <f>VLOOKUP(L537,Customers!$A$2:$C$92,3,TRUE)</f>
        <v>Frédérique Citeaux</v>
      </c>
      <c r="C537" t="str">
        <f t="shared" si="137"/>
        <v>Frédérique</v>
      </c>
      <c r="D537" s="8" t="str">
        <f t="shared" si="138"/>
        <v>Citeaux</v>
      </c>
      <c r="E537" s="8" t="str">
        <f t="shared" si="139"/>
        <v>Citeaux, Frédérique</v>
      </c>
      <c r="F537" s="8" t="str">
        <f t="shared" si="140"/>
        <v>Citeaux, Frédérique</v>
      </c>
      <c r="G537" s="8" t="str">
        <f t="shared" si="141"/>
        <v>not an outlier</v>
      </c>
      <c r="H537" s="8" t="str">
        <f t="shared" si="142"/>
        <v>Not</v>
      </c>
      <c r="I537" s="8" t="str">
        <f t="shared" si="152"/>
        <v>no</v>
      </c>
      <c r="J537" s="10" t="str">
        <f t="shared" si="143"/>
        <v>no</v>
      </c>
      <c r="K537" s="10" t="str">
        <f t="shared" si="144"/>
        <v>no</v>
      </c>
      <c r="L537" t="s">
        <v>60</v>
      </c>
      <c r="M537">
        <v>10449</v>
      </c>
      <c r="N537">
        <v>62</v>
      </c>
      <c r="O537" t="s">
        <v>712</v>
      </c>
      <c r="P537" t="str">
        <f t="shared" si="145"/>
        <v>BLONP_10449_Tarte au sucre</v>
      </c>
      <c r="Q537" t="str">
        <f t="shared" si="146"/>
        <v>10449</v>
      </c>
      <c r="R537" t="str">
        <f t="shared" si="147"/>
        <v>10449</v>
      </c>
      <c r="S537" t="str">
        <f t="shared" si="148"/>
        <v>Tarte au sucre</v>
      </c>
      <c r="T537">
        <v>39.4</v>
      </c>
      <c r="U537">
        <v>35</v>
      </c>
      <c r="V537">
        <v>0</v>
      </c>
      <c r="W537">
        <f t="shared" si="149"/>
        <v>1379</v>
      </c>
      <c r="X537" t="str">
        <f t="shared" si="150"/>
        <v>No</v>
      </c>
      <c r="Y537" s="2">
        <v>34779</v>
      </c>
      <c r="Z537" t="str">
        <f t="shared" si="136"/>
        <v/>
      </c>
      <c r="AA537" t="str">
        <f t="shared" si="151"/>
        <v/>
      </c>
      <c r="AB537" t="str" cm="1">
        <f t="array" ref="AB537">_xlfn.IFS(Y537&lt;DATE(1996,1,1),"",Y537&lt;DATE(1996,4,1),"Q1",Y537&lt;DATE(1996,7,1),"Q2",Y537&gt;=DATE(1996,7,1),"")</f>
        <v/>
      </c>
    </row>
    <row r="538" spans="1:28" ht="14.4" x14ac:dyDescent="0.55000000000000004">
      <c r="A538" t="str">
        <f>VLOOKUP(L538,Customers!$A$2:$B$92,2,FALSE)</f>
        <v>Victuailles en stock</v>
      </c>
      <c r="B538" t="str">
        <f>VLOOKUP(L538,Customers!$A$2:$C$92,3,TRUE)</f>
        <v>Mary Saveley</v>
      </c>
      <c r="C538" t="str">
        <f t="shared" si="137"/>
        <v>Mary</v>
      </c>
      <c r="D538" s="8" t="str">
        <f t="shared" si="138"/>
        <v>Saveley</v>
      </c>
      <c r="E538" s="8" t="str">
        <f t="shared" si="139"/>
        <v>Saveley, Mary</v>
      </c>
      <c r="F538" s="8" t="str">
        <f t="shared" si="140"/>
        <v>Saveley, Mary</v>
      </c>
      <c r="G538" s="8" t="str">
        <f t="shared" si="141"/>
        <v>not an outlier</v>
      </c>
      <c r="H538" s="8" t="str">
        <f t="shared" si="142"/>
        <v>Not</v>
      </c>
      <c r="I538" s="8" t="str">
        <f t="shared" si="152"/>
        <v>no</v>
      </c>
      <c r="J538" s="10" t="str">
        <f t="shared" si="143"/>
        <v>no</v>
      </c>
      <c r="K538" s="10" t="str">
        <f t="shared" si="144"/>
        <v>no</v>
      </c>
      <c r="L538" t="s">
        <v>619</v>
      </c>
      <c r="M538">
        <v>10450</v>
      </c>
      <c r="N538">
        <v>10</v>
      </c>
      <c r="O538" t="s">
        <v>724</v>
      </c>
      <c r="P538" t="str">
        <f t="shared" si="145"/>
        <v>VICTE_10450_Ikura</v>
      </c>
      <c r="Q538" t="str">
        <f t="shared" si="146"/>
        <v>10450</v>
      </c>
      <c r="R538" t="str">
        <f t="shared" si="147"/>
        <v>10450</v>
      </c>
      <c r="S538" t="str">
        <f t="shared" si="148"/>
        <v>Ikura</v>
      </c>
      <c r="T538">
        <v>24.8</v>
      </c>
      <c r="U538">
        <v>20</v>
      </c>
      <c r="V538">
        <v>0.2</v>
      </c>
      <c r="W538">
        <f t="shared" si="149"/>
        <v>396.8</v>
      </c>
      <c r="X538" t="str">
        <f t="shared" si="150"/>
        <v>No</v>
      </c>
      <c r="Y538" s="2">
        <v>34780</v>
      </c>
      <c r="Z538" t="str">
        <f t="shared" si="136"/>
        <v/>
      </c>
      <c r="AA538" t="str">
        <f t="shared" si="151"/>
        <v/>
      </c>
      <c r="AB538" t="str" cm="1">
        <f t="array" ref="AB538">_xlfn.IFS(Y538&lt;DATE(1996,1,1),"",Y538&lt;DATE(1996,4,1),"Q1",Y538&lt;DATE(1996,7,1),"Q2",Y538&gt;=DATE(1996,7,1),"")</f>
        <v/>
      </c>
    </row>
    <row r="539" spans="1:28" ht="14.4" x14ac:dyDescent="0.55000000000000004">
      <c r="A539" t="str">
        <f>VLOOKUP(L539,Customers!$A$2:$B$92,2,FALSE)</f>
        <v>Victuailles en stock</v>
      </c>
      <c r="B539" t="str">
        <f>VLOOKUP(L539,Customers!$A$2:$C$92,3,TRUE)</f>
        <v>Mary Saveley</v>
      </c>
      <c r="C539" t="str">
        <f t="shared" si="137"/>
        <v>Mary</v>
      </c>
      <c r="D539" s="8" t="str">
        <f t="shared" si="138"/>
        <v>Saveley</v>
      </c>
      <c r="E539" s="8" t="str">
        <f t="shared" si="139"/>
        <v>Saveley, Mary</v>
      </c>
      <c r="F539" s="8" t="str">
        <f t="shared" si="140"/>
        <v>Saveley, Mary</v>
      </c>
      <c r="G539" s="8" t="str">
        <f t="shared" si="141"/>
        <v>not an outlier</v>
      </c>
      <c r="H539" s="8" t="str">
        <f t="shared" si="142"/>
        <v>Not</v>
      </c>
      <c r="I539" s="8" t="str">
        <f t="shared" si="152"/>
        <v>no</v>
      </c>
      <c r="J539" s="10" t="str">
        <f t="shared" si="143"/>
        <v>no</v>
      </c>
      <c r="K539" s="10" t="str">
        <f t="shared" si="144"/>
        <v>no</v>
      </c>
      <c r="L539" t="s">
        <v>619</v>
      </c>
      <c r="M539">
        <v>10450</v>
      </c>
      <c r="N539">
        <v>54</v>
      </c>
      <c r="O539" t="s">
        <v>738</v>
      </c>
      <c r="P539" t="str">
        <f t="shared" si="145"/>
        <v>VICTE_10450_Tourtière</v>
      </c>
      <c r="Q539" t="str">
        <f t="shared" si="146"/>
        <v>10450</v>
      </c>
      <c r="R539" t="str">
        <f t="shared" si="147"/>
        <v>10450</v>
      </c>
      <c r="S539" t="str">
        <f t="shared" si="148"/>
        <v>Tourtière</v>
      </c>
      <c r="T539">
        <v>5.9</v>
      </c>
      <c r="U539">
        <v>6</v>
      </c>
      <c r="V539">
        <v>0.2</v>
      </c>
      <c r="W539">
        <f t="shared" si="149"/>
        <v>28.320000000000007</v>
      </c>
      <c r="X539" t="str">
        <f t="shared" si="150"/>
        <v>No</v>
      </c>
      <c r="Y539" s="2">
        <v>34780</v>
      </c>
      <c r="Z539" t="str">
        <f t="shared" si="136"/>
        <v/>
      </c>
      <c r="AA539" t="str">
        <f t="shared" si="151"/>
        <v/>
      </c>
      <c r="AB539" t="str" cm="1">
        <f t="array" ref="AB539">_xlfn.IFS(Y539&lt;DATE(1996,1,1),"",Y539&lt;DATE(1996,4,1),"Q1",Y539&lt;DATE(1996,7,1),"Q2",Y539&gt;=DATE(1996,7,1),"")</f>
        <v/>
      </c>
    </row>
    <row r="540" spans="1:28" ht="14.4" x14ac:dyDescent="0.55000000000000004">
      <c r="A540" t="str">
        <f>VLOOKUP(L540,Customers!$A$2:$B$92,2,FALSE)</f>
        <v>QUICK-Stop</v>
      </c>
      <c r="B540" t="str">
        <f>VLOOKUP(L540,Customers!$A$2:$C$92,3,TRUE)</f>
        <v>Horst Kloss</v>
      </c>
      <c r="C540" t="str">
        <f t="shared" si="137"/>
        <v>Horst</v>
      </c>
      <c r="D540" s="8" t="str">
        <f t="shared" si="138"/>
        <v>Kloss</v>
      </c>
      <c r="E540" s="8" t="str">
        <f t="shared" si="139"/>
        <v>Kloss, Horst</v>
      </c>
      <c r="F540" s="8" t="str">
        <f t="shared" si="140"/>
        <v>Kloss, Horst</v>
      </c>
      <c r="G540" s="8" t="str">
        <f t="shared" si="141"/>
        <v>not an outlier</v>
      </c>
      <c r="H540" s="8" t="str">
        <f t="shared" si="142"/>
        <v>Not</v>
      </c>
      <c r="I540" s="8" t="str">
        <f t="shared" si="152"/>
        <v>no</v>
      </c>
      <c r="J540" s="10" t="str">
        <f t="shared" si="143"/>
        <v>no</v>
      </c>
      <c r="K540" s="10" t="str">
        <f t="shared" si="144"/>
        <v>no</v>
      </c>
      <c r="L540" t="s">
        <v>475</v>
      </c>
      <c r="M540">
        <v>10451</v>
      </c>
      <c r="N540">
        <v>55</v>
      </c>
      <c r="O540" t="s">
        <v>699</v>
      </c>
      <c r="P540" t="str">
        <f t="shared" si="145"/>
        <v>QUICK_10451_Pâté chinois</v>
      </c>
      <c r="Q540" t="str">
        <f t="shared" si="146"/>
        <v>10451</v>
      </c>
      <c r="R540" t="str">
        <f t="shared" si="147"/>
        <v>10451</v>
      </c>
      <c r="S540" t="str">
        <f t="shared" si="148"/>
        <v>Pâté chinois</v>
      </c>
      <c r="T540">
        <v>19.2</v>
      </c>
      <c r="U540">
        <v>120</v>
      </c>
      <c r="V540">
        <v>0.1</v>
      </c>
      <c r="W540">
        <f t="shared" si="149"/>
        <v>2073.6</v>
      </c>
      <c r="X540" t="str">
        <f t="shared" si="150"/>
        <v>No</v>
      </c>
      <c r="Y540" s="2">
        <v>34780</v>
      </c>
      <c r="Z540" t="str">
        <f t="shared" si="136"/>
        <v/>
      </c>
      <c r="AA540" t="str">
        <f t="shared" si="151"/>
        <v/>
      </c>
      <c r="AB540" t="str" cm="1">
        <f t="array" ref="AB540">_xlfn.IFS(Y540&lt;DATE(1996,1,1),"",Y540&lt;DATE(1996,4,1),"Q1",Y540&lt;DATE(1996,7,1),"Q2",Y540&gt;=DATE(1996,7,1),"")</f>
        <v/>
      </c>
    </row>
    <row r="541" spans="1:28" ht="14.4" x14ac:dyDescent="0.55000000000000004">
      <c r="A541" t="str">
        <f>VLOOKUP(L541,Customers!$A$2:$B$92,2,FALSE)</f>
        <v>QUICK-Stop</v>
      </c>
      <c r="B541" t="str">
        <f>VLOOKUP(L541,Customers!$A$2:$C$92,3,TRUE)</f>
        <v>Horst Kloss</v>
      </c>
      <c r="C541" t="str">
        <f t="shared" si="137"/>
        <v>Horst</v>
      </c>
      <c r="D541" s="8" t="str">
        <f t="shared" si="138"/>
        <v>Kloss</v>
      </c>
      <c r="E541" s="8" t="str">
        <f t="shared" si="139"/>
        <v>Kloss, Horst</v>
      </c>
      <c r="F541" s="8" t="str">
        <f t="shared" si="140"/>
        <v>Kloss, Horst</v>
      </c>
      <c r="G541" s="8" t="str">
        <f t="shared" si="141"/>
        <v>not an outlier</v>
      </c>
      <c r="H541" s="8" t="str">
        <f t="shared" si="142"/>
        <v>Not</v>
      </c>
      <c r="I541" s="8" t="str">
        <f t="shared" si="152"/>
        <v>no</v>
      </c>
      <c r="J541" s="10" t="str">
        <f t="shared" si="143"/>
        <v>no</v>
      </c>
      <c r="K541" s="10" t="str">
        <f t="shared" si="144"/>
        <v>no</v>
      </c>
      <c r="L541" t="s">
        <v>475</v>
      </c>
      <c r="M541">
        <v>10451</v>
      </c>
      <c r="N541">
        <v>64</v>
      </c>
      <c r="O541" t="s">
        <v>741</v>
      </c>
      <c r="P541" t="str">
        <f t="shared" si="145"/>
        <v>QUICK_10451_Wimmers gute Semmelknödel</v>
      </c>
      <c r="Q541" t="str">
        <f t="shared" si="146"/>
        <v>10451</v>
      </c>
      <c r="R541" t="str">
        <f t="shared" si="147"/>
        <v>10451</v>
      </c>
      <c r="S541" t="str">
        <f t="shared" si="148"/>
        <v>Wimmers gute Semmelknödel</v>
      </c>
      <c r="T541">
        <v>26.6</v>
      </c>
      <c r="U541">
        <v>35</v>
      </c>
      <c r="V541">
        <v>0.1</v>
      </c>
      <c r="W541">
        <f t="shared" si="149"/>
        <v>837.9</v>
      </c>
      <c r="X541" t="str">
        <f t="shared" si="150"/>
        <v>No</v>
      </c>
      <c r="Y541" s="2">
        <v>34780</v>
      </c>
      <c r="Z541" t="str">
        <f t="shared" si="136"/>
        <v/>
      </c>
      <c r="AA541" t="str">
        <f t="shared" si="151"/>
        <v/>
      </c>
      <c r="AB541" t="str" cm="1">
        <f t="array" ref="AB541">_xlfn.IFS(Y541&lt;DATE(1996,1,1),"",Y541&lt;DATE(1996,4,1),"Q1",Y541&lt;DATE(1996,7,1),"Q2",Y541&gt;=DATE(1996,7,1),"")</f>
        <v/>
      </c>
    </row>
    <row r="542" spans="1:28" ht="14.4" x14ac:dyDescent="0.55000000000000004">
      <c r="A542" t="str">
        <f>VLOOKUP(L542,Customers!$A$2:$B$92,2,FALSE)</f>
        <v>QUICK-Stop</v>
      </c>
      <c r="B542" t="str">
        <f>VLOOKUP(L542,Customers!$A$2:$C$92,3,TRUE)</f>
        <v>Horst Kloss</v>
      </c>
      <c r="C542" t="str">
        <f t="shared" si="137"/>
        <v>Horst</v>
      </c>
      <c r="D542" s="8" t="str">
        <f t="shared" si="138"/>
        <v>Kloss</v>
      </c>
      <c r="E542" s="8" t="str">
        <f t="shared" si="139"/>
        <v>Kloss, Horst</v>
      </c>
      <c r="F542" s="8" t="str">
        <f t="shared" si="140"/>
        <v>Kloss, Horst</v>
      </c>
      <c r="G542" s="8" t="str">
        <f t="shared" si="141"/>
        <v>not an outlier</v>
      </c>
      <c r="H542" s="8" t="str">
        <f t="shared" si="142"/>
        <v>Not</v>
      </c>
      <c r="I542" s="8" t="str">
        <f t="shared" si="152"/>
        <v>no</v>
      </c>
      <c r="J542" s="10" t="str">
        <f t="shared" si="143"/>
        <v>no</v>
      </c>
      <c r="K542" s="10" t="str">
        <f t="shared" si="144"/>
        <v>no</v>
      </c>
      <c r="L542" t="s">
        <v>475</v>
      </c>
      <c r="M542">
        <v>10451</v>
      </c>
      <c r="N542">
        <v>65</v>
      </c>
      <c r="O542" t="s">
        <v>689</v>
      </c>
      <c r="P542" t="str">
        <f t="shared" si="145"/>
        <v>QUICK_10451_Louisiana Fiery Hot Pepper Sauce</v>
      </c>
      <c r="Q542" t="str">
        <f t="shared" si="146"/>
        <v>10451</v>
      </c>
      <c r="R542" t="str">
        <f t="shared" si="147"/>
        <v>10451</v>
      </c>
      <c r="S542" t="str">
        <f t="shared" si="148"/>
        <v>Louisiana Fiery Hot Pepper Sauce</v>
      </c>
      <c r="T542">
        <v>16.8</v>
      </c>
      <c r="U542">
        <v>28</v>
      </c>
      <c r="V542">
        <v>0.1</v>
      </c>
      <c r="W542">
        <f t="shared" si="149"/>
        <v>423.36</v>
      </c>
      <c r="X542" t="str">
        <f t="shared" si="150"/>
        <v>No</v>
      </c>
      <c r="Y542" s="2">
        <v>34780</v>
      </c>
      <c r="Z542" t="str">
        <f t="shared" si="136"/>
        <v/>
      </c>
      <c r="AA542" t="str">
        <f t="shared" si="151"/>
        <v/>
      </c>
      <c r="AB542" t="str" cm="1">
        <f t="array" ref="AB542">_xlfn.IFS(Y542&lt;DATE(1996,1,1),"",Y542&lt;DATE(1996,4,1),"Q1",Y542&lt;DATE(1996,7,1),"Q2",Y542&gt;=DATE(1996,7,1),"")</f>
        <v/>
      </c>
    </row>
    <row r="543" spans="1:28" ht="14.4" x14ac:dyDescent="0.55000000000000004">
      <c r="A543" t="str">
        <f>VLOOKUP(L543,Customers!$A$2:$B$92,2,FALSE)</f>
        <v>QUICK-Stop</v>
      </c>
      <c r="B543" t="str">
        <f>VLOOKUP(L543,Customers!$A$2:$C$92,3,TRUE)</f>
        <v>Horst Kloss</v>
      </c>
      <c r="C543" t="str">
        <f t="shared" si="137"/>
        <v>Horst</v>
      </c>
      <c r="D543" s="8" t="str">
        <f t="shared" si="138"/>
        <v>Kloss</v>
      </c>
      <c r="E543" s="8" t="str">
        <f t="shared" si="139"/>
        <v>Kloss, Horst</v>
      </c>
      <c r="F543" s="8" t="str">
        <f t="shared" si="140"/>
        <v>Kloss, Horst</v>
      </c>
      <c r="G543" s="8" t="str">
        <f t="shared" si="141"/>
        <v>not an outlier</v>
      </c>
      <c r="H543" s="8" t="str">
        <f t="shared" si="142"/>
        <v>Not</v>
      </c>
      <c r="I543" s="8" t="str">
        <f t="shared" si="152"/>
        <v>no</v>
      </c>
      <c r="J543" s="10" t="str">
        <f t="shared" si="143"/>
        <v>no</v>
      </c>
      <c r="K543" s="10" t="str">
        <f t="shared" si="144"/>
        <v>no</v>
      </c>
      <c r="L543" t="s">
        <v>475</v>
      </c>
      <c r="M543">
        <v>10451</v>
      </c>
      <c r="N543">
        <v>77</v>
      </c>
      <c r="O543" t="s">
        <v>706</v>
      </c>
      <c r="P543" t="str">
        <f t="shared" si="145"/>
        <v>QUICK_10451_Original Frankfurter grüne Soße</v>
      </c>
      <c r="Q543" t="str">
        <f t="shared" si="146"/>
        <v>10451</v>
      </c>
      <c r="R543" t="str">
        <f t="shared" si="147"/>
        <v>10451</v>
      </c>
      <c r="S543" t="str">
        <f t="shared" si="148"/>
        <v>Original Frankfurter grüne Soße</v>
      </c>
      <c r="T543">
        <v>10.4</v>
      </c>
      <c r="U543">
        <v>55</v>
      </c>
      <c r="V543">
        <v>0.1</v>
      </c>
      <c r="W543">
        <f t="shared" si="149"/>
        <v>514.80000000000007</v>
      </c>
      <c r="X543" t="str">
        <f t="shared" si="150"/>
        <v>No</v>
      </c>
      <c r="Y543" s="2">
        <v>34780</v>
      </c>
      <c r="Z543" t="str">
        <f t="shared" si="136"/>
        <v/>
      </c>
      <c r="AA543" t="str">
        <f t="shared" si="151"/>
        <v/>
      </c>
      <c r="AB543" t="str" cm="1">
        <f t="array" ref="AB543">_xlfn.IFS(Y543&lt;DATE(1996,1,1),"",Y543&lt;DATE(1996,4,1),"Q1",Y543&lt;DATE(1996,7,1),"Q2",Y543&gt;=DATE(1996,7,1),"")</f>
        <v/>
      </c>
    </row>
    <row r="544" spans="1:28" ht="14.4" x14ac:dyDescent="0.55000000000000004">
      <c r="A544" t="str">
        <f>VLOOKUP(L544,Customers!$A$2:$B$92,2,FALSE)</f>
        <v>Save-a-lot Markets</v>
      </c>
      <c r="B544" t="str">
        <f>VLOOKUP(L544,Customers!$A$2:$C$92,3,TRUE)</f>
        <v>Jose Pavarotti</v>
      </c>
      <c r="C544" t="str">
        <f t="shared" si="137"/>
        <v>Jose</v>
      </c>
      <c r="D544" s="8" t="str">
        <f t="shared" si="138"/>
        <v>Pavarotti</v>
      </c>
      <c r="E544" s="8" t="str">
        <f t="shared" si="139"/>
        <v>Pavarotti, Jose</v>
      </c>
      <c r="F544" s="8" t="str">
        <f t="shared" si="140"/>
        <v>Pavarotti, Jose</v>
      </c>
      <c r="G544" s="8" t="str">
        <f t="shared" si="141"/>
        <v>not an outlier</v>
      </c>
      <c r="H544" s="8" t="str">
        <f t="shared" si="142"/>
        <v>Not</v>
      </c>
      <c r="I544" s="8" t="str">
        <f t="shared" si="152"/>
        <v>no</v>
      </c>
      <c r="J544" s="10" t="str">
        <f t="shared" si="143"/>
        <v>no</v>
      </c>
      <c r="K544" s="10" t="str">
        <f t="shared" si="144"/>
        <v>no</v>
      </c>
      <c r="L544" t="s">
        <v>529</v>
      </c>
      <c r="M544">
        <v>10452</v>
      </c>
      <c r="N544">
        <v>28</v>
      </c>
      <c r="O544" t="s">
        <v>727</v>
      </c>
      <c r="P544" t="str">
        <f t="shared" si="145"/>
        <v>SAVEA_10452_Rössle Sauerkraut</v>
      </c>
      <c r="Q544" t="str">
        <f t="shared" si="146"/>
        <v>10452</v>
      </c>
      <c r="R544" t="str">
        <f t="shared" si="147"/>
        <v>10452</v>
      </c>
      <c r="S544" t="str">
        <f t="shared" si="148"/>
        <v>Rössle Sauerkraut</v>
      </c>
      <c r="T544">
        <v>36.4</v>
      </c>
      <c r="U544">
        <v>15</v>
      </c>
      <c r="V544">
        <v>0</v>
      </c>
      <c r="W544">
        <f t="shared" si="149"/>
        <v>546</v>
      </c>
      <c r="X544" t="str">
        <f t="shared" si="150"/>
        <v>No</v>
      </c>
      <c r="Y544" s="2">
        <v>34781</v>
      </c>
      <c r="Z544" t="str">
        <f t="shared" si="136"/>
        <v/>
      </c>
      <c r="AA544" t="str">
        <f t="shared" si="151"/>
        <v/>
      </c>
      <c r="AB544" t="str" cm="1">
        <f t="array" ref="AB544">_xlfn.IFS(Y544&lt;DATE(1996,1,1),"",Y544&lt;DATE(1996,4,1),"Q1",Y544&lt;DATE(1996,7,1),"Q2",Y544&gt;=DATE(1996,7,1),"")</f>
        <v/>
      </c>
    </row>
    <row r="545" spans="1:28" ht="14.4" x14ac:dyDescent="0.55000000000000004">
      <c r="A545" t="str">
        <f>VLOOKUP(L545,Customers!$A$2:$B$92,2,FALSE)</f>
        <v>Save-a-lot Markets</v>
      </c>
      <c r="B545" t="str">
        <f>VLOOKUP(L545,Customers!$A$2:$C$92,3,TRUE)</f>
        <v>Jose Pavarotti</v>
      </c>
      <c r="C545" t="str">
        <f t="shared" si="137"/>
        <v>Jose</v>
      </c>
      <c r="D545" s="8" t="str">
        <f t="shared" si="138"/>
        <v>Pavarotti</v>
      </c>
      <c r="E545" s="8" t="str">
        <f t="shared" si="139"/>
        <v>Pavarotti, Jose</v>
      </c>
      <c r="F545" s="8" t="str">
        <f t="shared" si="140"/>
        <v>Pavarotti, Jose</v>
      </c>
      <c r="G545" s="8" t="str">
        <f t="shared" si="141"/>
        <v>not an outlier</v>
      </c>
      <c r="H545" s="8" t="str">
        <f t="shared" si="142"/>
        <v>Not</v>
      </c>
      <c r="I545" s="8" t="str">
        <f t="shared" si="152"/>
        <v>no</v>
      </c>
      <c r="J545" s="10" t="str">
        <f t="shared" si="143"/>
        <v>no</v>
      </c>
      <c r="K545" s="10" t="str">
        <f t="shared" si="144"/>
        <v>no</v>
      </c>
      <c r="L545" t="s">
        <v>529</v>
      </c>
      <c r="M545">
        <v>10452</v>
      </c>
      <c r="N545">
        <v>44</v>
      </c>
      <c r="O545" t="s">
        <v>728</v>
      </c>
      <c r="P545" t="str">
        <f t="shared" si="145"/>
        <v>SAVEA_10452_Gula Malacca</v>
      </c>
      <c r="Q545" t="str">
        <f t="shared" si="146"/>
        <v>10452</v>
      </c>
      <c r="R545" t="str">
        <f t="shared" si="147"/>
        <v>10452</v>
      </c>
      <c r="S545" t="str">
        <f t="shared" si="148"/>
        <v>Gula Malacca</v>
      </c>
      <c r="T545">
        <v>15.5</v>
      </c>
      <c r="U545">
        <v>100</v>
      </c>
      <c r="V545">
        <v>0.05</v>
      </c>
      <c r="W545">
        <f t="shared" si="149"/>
        <v>1472.5</v>
      </c>
      <c r="X545" t="str">
        <f t="shared" si="150"/>
        <v>No</v>
      </c>
      <c r="Y545" s="2">
        <v>34781</v>
      </c>
      <c r="Z545" t="str">
        <f t="shared" si="136"/>
        <v/>
      </c>
      <c r="AA545" t="str">
        <f t="shared" si="151"/>
        <v/>
      </c>
      <c r="AB545" t="str" cm="1">
        <f t="array" ref="AB545">_xlfn.IFS(Y545&lt;DATE(1996,1,1),"",Y545&lt;DATE(1996,4,1),"Q1",Y545&lt;DATE(1996,7,1),"Q2",Y545&gt;=DATE(1996,7,1),"")</f>
        <v/>
      </c>
    </row>
    <row r="546" spans="1:28" ht="14.4" x14ac:dyDescent="0.55000000000000004">
      <c r="A546" t="str">
        <f>VLOOKUP(L546,Customers!$A$2:$B$92,2,FALSE)</f>
        <v>Around the Horn</v>
      </c>
      <c r="B546" t="str">
        <f>VLOOKUP(L546,Customers!$A$2:$C$92,3,TRUE)</f>
        <v>Thomas Hardy</v>
      </c>
      <c r="C546" t="str">
        <f t="shared" si="137"/>
        <v>Thomas</v>
      </c>
      <c r="D546" s="8" t="str">
        <f t="shared" si="138"/>
        <v>Hardy</v>
      </c>
      <c r="E546" s="8" t="str">
        <f t="shared" si="139"/>
        <v>Hardy, Thomas</v>
      </c>
      <c r="F546" s="8" t="str">
        <f t="shared" si="140"/>
        <v>Hardy, Thomas</v>
      </c>
      <c r="G546" s="8" t="str">
        <f t="shared" si="141"/>
        <v>not an outlier</v>
      </c>
      <c r="H546" s="8" t="str">
        <f t="shared" si="142"/>
        <v>Not</v>
      </c>
      <c r="I546" s="8" t="str">
        <f t="shared" si="152"/>
        <v>no</v>
      </c>
      <c r="J546" s="10" t="str">
        <f t="shared" si="143"/>
        <v>no</v>
      </c>
      <c r="K546" s="10" t="str">
        <f t="shared" si="144"/>
        <v>no</v>
      </c>
      <c r="L546" t="s">
        <v>34</v>
      </c>
      <c r="M546">
        <v>10453</v>
      </c>
      <c r="N546">
        <v>48</v>
      </c>
      <c r="O546" t="s">
        <v>757</v>
      </c>
      <c r="P546" t="str">
        <f t="shared" si="145"/>
        <v>AROUT_10453_Chocolade</v>
      </c>
      <c r="Q546" t="str">
        <f t="shared" si="146"/>
        <v>10453</v>
      </c>
      <c r="R546" t="str">
        <f t="shared" si="147"/>
        <v>10453</v>
      </c>
      <c r="S546" t="str">
        <f t="shared" si="148"/>
        <v>Chocolade</v>
      </c>
      <c r="T546">
        <v>10.199999999999999</v>
      </c>
      <c r="U546">
        <v>15</v>
      </c>
      <c r="V546">
        <v>0.1</v>
      </c>
      <c r="W546">
        <f t="shared" si="149"/>
        <v>137.70000000000002</v>
      </c>
      <c r="X546" t="str">
        <f t="shared" si="150"/>
        <v>No</v>
      </c>
      <c r="Y546" s="2">
        <v>34782</v>
      </c>
      <c r="Z546" t="str">
        <f t="shared" si="136"/>
        <v/>
      </c>
      <c r="AA546" t="str">
        <f t="shared" si="151"/>
        <v/>
      </c>
      <c r="AB546" t="str" cm="1">
        <f t="array" ref="AB546">_xlfn.IFS(Y546&lt;DATE(1996,1,1),"",Y546&lt;DATE(1996,4,1),"Q1",Y546&lt;DATE(1996,7,1),"Q2",Y546&gt;=DATE(1996,7,1),"")</f>
        <v/>
      </c>
    </row>
    <row r="547" spans="1:28" ht="14.4" x14ac:dyDescent="0.55000000000000004">
      <c r="A547" t="str">
        <f>VLOOKUP(L547,Customers!$A$2:$B$92,2,FALSE)</f>
        <v>Around the Horn</v>
      </c>
      <c r="B547" t="str">
        <f>VLOOKUP(L547,Customers!$A$2:$C$92,3,TRUE)</f>
        <v>Thomas Hardy</v>
      </c>
      <c r="C547" t="str">
        <f t="shared" si="137"/>
        <v>Thomas</v>
      </c>
      <c r="D547" s="8" t="str">
        <f t="shared" si="138"/>
        <v>Hardy</v>
      </c>
      <c r="E547" s="8" t="str">
        <f t="shared" si="139"/>
        <v>Hardy, Thomas</v>
      </c>
      <c r="F547" s="8" t="str">
        <f t="shared" si="140"/>
        <v>Hardy, Thomas</v>
      </c>
      <c r="G547" s="8" t="str">
        <f t="shared" si="141"/>
        <v>not an outlier</v>
      </c>
      <c r="H547" s="8" t="str">
        <f t="shared" si="142"/>
        <v>Not</v>
      </c>
      <c r="I547" s="8" t="str">
        <f t="shared" si="152"/>
        <v>no</v>
      </c>
      <c r="J547" s="10" t="str">
        <f t="shared" si="143"/>
        <v>no</v>
      </c>
      <c r="K547" s="10" t="str">
        <f t="shared" si="144"/>
        <v>no</v>
      </c>
      <c r="L547" t="s">
        <v>34</v>
      </c>
      <c r="M547">
        <v>10453</v>
      </c>
      <c r="N547">
        <v>70</v>
      </c>
      <c r="O547" t="s">
        <v>713</v>
      </c>
      <c r="P547" t="str">
        <f t="shared" si="145"/>
        <v>AROUT_10453_Outback Lager</v>
      </c>
      <c r="Q547" t="str">
        <f t="shared" si="146"/>
        <v>10453</v>
      </c>
      <c r="R547" t="str">
        <f t="shared" si="147"/>
        <v>10453</v>
      </c>
      <c r="S547" t="str">
        <f t="shared" si="148"/>
        <v>Outback Lager</v>
      </c>
      <c r="T547">
        <v>12</v>
      </c>
      <c r="U547">
        <v>25</v>
      </c>
      <c r="V547">
        <v>0.1</v>
      </c>
      <c r="W547">
        <f t="shared" si="149"/>
        <v>270</v>
      </c>
      <c r="X547" t="str">
        <f t="shared" si="150"/>
        <v>No</v>
      </c>
      <c r="Y547" s="2">
        <v>34782</v>
      </c>
      <c r="Z547" t="str">
        <f t="shared" si="136"/>
        <v/>
      </c>
      <c r="AA547" t="str">
        <f t="shared" si="151"/>
        <v/>
      </c>
      <c r="AB547" t="str" cm="1">
        <f t="array" ref="AB547">_xlfn.IFS(Y547&lt;DATE(1996,1,1),"",Y547&lt;DATE(1996,4,1),"Q1",Y547&lt;DATE(1996,7,1),"Q2",Y547&gt;=DATE(1996,7,1),"")</f>
        <v/>
      </c>
    </row>
    <row r="548" spans="1:28" ht="14.4" x14ac:dyDescent="0.55000000000000004">
      <c r="A548" t="str">
        <f>VLOOKUP(L548,Customers!$A$2:$B$92,2,FALSE)</f>
        <v>La maison d'Asie</v>
      </c>
      <c r="B548" t="str">
        <f>VLOOKUP(L548,Customers!$A$2:$C$92,3,TRUE)</f>
        <v>Annette Roulet</v>
      </c>
      <c r="C548" t="str">
        <f t="shared" si="137"/>
        <v>Annette</v>
      </c>
      <c r="D548" s="8" t="str">
        <f t="shared" si="138"/>
        <v>Roulet</v>
      </c>
      <c r="E548" s="8" t="str">
        <f t="shared" si="139"/>
        <v>Roulet, Annette</v>
      </c>
      <c r="F548" s="8" t="str">
        <f t="shared" si="140"/>
        <v>Roulet, Annette</v>
      </c>
      <c r="G548" s="8" t="str">
        <f t="shared" si="141"/>
        <v>not an outlier</v>
      </c>
      <c r="H548" s="8" t="str">
        <f t="shared" si="142"/>
        <v>Not</v>
      </c>
      <c r="I548" s="8" t="str">
        <f t="shared" si="152"/>
        <v>no</v>
      </c>
      <c r="J548" s="10" t="str">
        <f t="shared" si="143"/>
        <v>no</v>
      </c>
      <c r="K548" s="10" t="str">
        <f t="shared" si="144"/>
        <v>no</v>
      </c>
      <c r="L548" t="s">
        <v>318</v>
      </c>
      <c r="M548">
        <v>10454</v>
      </c>
      <c r="N548">
        <v>16</v>
      </c>
      <c r="O548" t="s">
        <v>702</v>
      </c>
      <c r="P548" t="str">
        <f t="shared" si="145"/>
        <v>LAMAI_10454_Pavlova</v>
      </c>
      <c r="Q548" t="str">
        <f t="shared" si="146"/>
        <v>10454</v>
      </c>
      <c r="R548" t="str">
        <f t="shared" si="147"/>
        <v>10454</v>
      </c>
      <c r="S548" t="str">
        <f t="shared" si="148"/>
        <v>Pavlova</v>
      </c>
      <c r="T548">
        <v>13.9</v>
      </c>
      <c r="U548">
        <v>20</v>
      </c>
      <c r="V548">
        <v>0.2</v>
      </c>
      <c r="W548">
        <f t="shared" si="149"/>
        <v>222.4</v>
      </c>
      <c r="X548" t="str">
        <f t="shared" si="150"/>
        <v>No</v>
      </c>
      <c r="Y548" s="2">
        <v>34782</v>
      </c>
      <c r="Z548" t="str">
        <f t="shared" si="136"/>
        <v/>
      </c>
      <c r="AA548" t="str">
        <f t="shared" si="151"/>
        <v/>
      </c>
      <c r="AB548" t="str" cm="1">
        <f t="array" ref="AB548">_xlfn.IFS(Y548&lt;DATE(1996,1,1),"",Y548&lt;DATE(1996,4,1),"Q1",Y548&lt;DATE(1996,7,1),"Q2",Y548&gt;=DATE(1996,7,1),"")</f>
        <v/>
      </c>
    </row>
    <row r="549" spans="1:28" ht="14.4" x14ac:dyDescent="0.55000000000000004">
      <c r="A549" t="str">
        <f>VLOOKUP(L549,Customers!$A$2:$B$92,2,FALSE)</f>
        <v>La maison d'Asie</v>
      </c>
      <c r="B549" t="str">
        <f>VLOOKUP(L549,Customers!$A$2:$C$92,3,TRUE)</f>
        <v>Annette Roulet</v>
      </c>
      <c r="C549" t="str">
        <f t="shared" si="137"/>
        <v>Annette</v>
      </c>
      <c r="D549" s="8" t="str">
        <f t="shared" si="138"/>
        <v>Roulet</v>
      </c>
      <c r="E549" s="8" t="str">
        <f t="shared" si="139"/>
        <v>Roulet, Annette</v>
      </c>
      <c r="F549" s="8" t="str">
        <f t="shared" si="140"/>
        <v>Roulet, Annette</v>
      </c>
      <c r="G549" s="8" t="str">
        <f t="shared" si="141"/>
        <v>not an outlier</v>
      </c>
      <c r="H549" s="8" t="str">
        <f t="shared" si="142"/>
        <v>Not</v>
      </c>
      <c r="I549" s="8" t="str">
        <f t="shared" si="152"/>
        <v>no</v>
      </c>
      <c r="J549" s="10" t="str">
        <f t="shared" si="143"/>
        <v>no</v>
      </c>
      <c r="K549" s="10" t="str">
        <f t="shared" si="144"/>
        <v>no</v>
      </c>
      <c r="L549" t="s">
        <v>318</v>
      </c>
      <c r="M549">
        <v>10454</v>
      </c>
      <c r="N549">
        <v>33</v>
      </c>
      <c r="O549" t="s">
        <v>693</v>
      </c>
      <c r="P549" t="str">
        <f t="shared" si="145"/>
        <v>LAMAI_10454_Geitost</v>
      </c>
      <c r="Q549" t="str">
        <f t="shared" si="146"/>
        <v>10454</v>
      </c>
      <c r="R549" t="str">
        <f t="shared" si="147"/>
        <v>10454</v>
      </c>
      <c r="S549" t="str">
        <f t="shared" si="148"/>
        <v>Geitost</v>
      </c>
      <c r="T549">
        <v>2</v>
      </c>
      <c r="U549">
        <v>20</v>
      </c>
      <c r="V549">
        <v>0.2</v>
      </c>
      <c r="W549">
        <f t="shared" si="149"/>
        <v>32</v>
      </c>
      <c r="X549" t="str">
        <f t="shared" si="150"/>
        <v>No</v>
      </c>
      <c r="Y549" s="2">
        <v>34782</v>
      </c>
      <c r="Z549" t="str">
        <f t="shared" si="136"/>
        <v/>
      </c>
      <c r="AA549" t="str">
        <f t="shared" si="151"/>
        <v/>
      </c>
      <c r="AB549" t="str" cm="1">
        <f t="array" ref="AB549">_xlfn.IFS(Y549&lt;DATE(1996,1,1),"",Y549&lt;DATE(1996,4,1),"Q1",Y549&lt;DATE(1996,7,1),"Q2",Y549&gt;=DATE(1996,7,1),"")</f>
        <v/>
      </c>
    </row>
    <row r="550" spans="1:28" ht="14.4" x14ac:dyDescent="0.55000000000000004">
      <c r="A550" t="str">
        <f>VLOOKUP(L550,Customers!$A$2:$B$92,2,FALSE)</f>
        <v>La maison d'Asie</v>
      </c>
      <c r="B550" t="str">
        <f>VLOOKUP(L550,Customers!$A$2:$C$92,3,TRUE)</f>
        <v>Annette Roulet</v>
      </c>
      <c r="C550" t="str">
        <f t="shared" si="137"/>
        <v>Annette</v>
      </c>
      <c r="D550" s="8" t="str">
        <f t="shared" si="138"/>
        <v>Roulet</v>
      </c>
      <c r="E550" s="8" t="str">
        <f t="shared" si="139"/>
        <v>Roulet, Annette</v>
      </c>
      <c r="F550" s="8" t="str">
        <f t="shared" si="140"/>
        <v>Roulet, Annette</v>
      </c>
      <c r="G550" s="8" t="str">
        <f t="shared" si="141"/>
        <v>not an outlier</v>
      </c>
      <c r="H550" s="8" t="str">
        <f t="shared" si="142"/>
        <v>Not</v>
      </c>
      <c r="I550" s="8" t="str">
        <f t="shared" si="152"/>
        <v>no</v>
      </c>
      <c r="J550" s="10" t="str">
        <f t="shared" si="143"/>
        <v>no</v>
      </c>
      <c r="K550" s="10" t="str">
        <f t="shared" si="144"/>
        <v>no</v>
      </c>
      <c r="L550" t="s">
        <v>318</v>
      </c>
      <c r="M550">
        <v>10454</v>
      </c>
      <c r="N550">
        <v>46</v>
      </c>
      <c r="O550" t="s">
        <v>737</v>
      </c>
      <c r="P550" t="str">
        <f t="shared" si="145"/>
        <v>LAMAI_10454_Spegesild</v>
      </c>
      <c r="Q550" t="str">
        <f t="shared" si="146"/>
        <v>10454</v>
      </c>
      <c r="R550" t="str">
        <f t="shared" si="147"/>
        <v>10454</v>
      </c>
      <c r="S550" t="str">
        <f t="shared" si="148"/>
        <v>Spegesild</v>
      </c>
      <c r="T550">
        <v>9.6</v>
      </c>
      <c r="U550">
        <v>10</v>
      </c>
      <c r="V550">
        <v>0.2</v>
      </c>
      <c r="W550">
        <f t="shared" si="149"/>
        <v>76.800000000000011</v>
      </c>
      <c r="X550" t="str">
        <f t="shared" si="150"/>
        <v>No</v>
      </c>
      <c r="Y550" s="2">
        <v>34782</v>
      </c>
      <c r="Z550" t="str">
        <f t="shared" si="136"/>
        <v/>
      </c>
      <c r="AA550" t="str">
        <f t="shared" si="151"/>
        <v/>
      </c>
      <c r="AB550" t="str" cm="1">
        <f t="array" ref="AB550">_xlfn.IFS(Y550&lt;DATE(1996,1,1),"",Y550&lt;DATE(1996,4,1),"Q1",Y550&lt;DATE(1996,7,1),"Q2",Y550&gt;=DATE(1996,7,1),"")</f>
        <v/>
      </c>
    </row>
    <row r="551" spans="1:28" ht="14.4" x14ac:dyDescent="0.55000000000000004">
      <c r="A551" t="str">
        <f>VLOOKUP(L551,Customers!$A$2:$B$92,2,FALSE)</f>
        <v>Wartian Herkku</v>
      </c>
      <c r="B551" t="str">
        <f>VLOOKUP(L551,Customers!$A$2:$C$92,3,TRUE)</f>
        <v>Pirkko Koskitalo</v>
      </c>
      <c r="C551" t="str">
        <f t="shared" si="137"/>
        <v>Pirkko</v>
      </c>
      <c r="D551" s="8" t="str">
        <f t="shared" si="138"/>
        <v>Koskitalo</v>
      </c>
      <c r="E551" s="8" t="str">
        <f t="shared" si="139"/>
        <v>Koskitalo, Pirkko</v>
      </c>
      <c r="F551" s="8" t="str">
        <f t="shared" si="140"/>
        <v>Koskitalo, Pirkko</v>
      </c>
      <c r="G551" s="8" t="str">
        <f t="shared" si="141"/>
        <v>not an outlier</v>
      </c>
      <c r="H551" s="8" t="str">
        <f t="shared" si="142"/>
        <v>Not</v>
      </c>
      <c r="I551" s="8" t="str">
        <f t="shared" si="152"/>
        <v>no</v>
      </c>
      <c r="J551" s="10" t="str">
        <f t="shared" si="143"/>
        <v>no</v>
      </c>
      <c r="K551" s="10" t="str">
        <f t="shared" si="144"/>
        <v>no</v>
      </c>
      <c r="L551" t="s">
        <v>640</v>
      </c>
      <c r="M551">
        <v>10455</v>
      </c>
      <c r="N551">
        <v>39</v>
      </c>
      <c r="O551" t="s">
        <v>696</v>
      </c>
      <c r="P551" t="str">
        <f t="shared" si="145"/>
        <v>WARTH_10455_Chartreuse verte</v>
      </c>
      <c r="Q551" t="str">
        <f t="shared" si="146"/>
        <v>10455</v>
      </c>
      <c r="R551" t="str">
        <f t="shared" si="147"/>
        <v>10455</v>
      </c>
      <c r="S551" t="str">
        <f t="shared" si="148"/>
        <v>Chartreuse verte</v>
      </c>
      <c r="T551">
        <v>14.4</v>
      </c>
      <c r="U551">
        <v>20</v>
      </c>
      <c r="V551">
        <v>0</v>
      </c>
      <c r="W551">
        <f t="shared" si="149"/>
        <v>288</v>
      </c>
      <c r="X551" t="str">
        <f t="shared" si="150"/>
        <v>No</v>
      </c>
      <c r="Y551" s="2">
        <v>34785</v>
      </c>
      <c r="Z551" t="str">
        <f t="shared" si="136"/>
        <v/>
      </c>
      <c r="AA551" t="str">
        <f t="shared" si="151"/>
        <v/>
      </c>
      <c r="AB551" t="str" cm="1">
        <f t="array" ref="AB551">_xlfn.IFS(Y551&lt;DATE(1996,1,1),"",Y551&lt;DATE(1996,4,1),"Q1",Y551&lt;DATE(1996,7,1),"Q2",Y551&gt;=DATE(1996,7,1),"")</f>
        <v/>
      </c>
    </row>
    <row r="552" spans="1:28" ht="14.4" x14ac:dyDescent="0.55000000000000004">
      <c r="A552" t="str">
        <f>VLOOKUP(L552,Customers!$A$2:$B$92,2,FALSE)</f>
        <v>Wartian Herkku</v>
      </c>
      <c r="B552" t="str">
        <f>VLOOKUP(L552,Customers!$A$2:$C$92,3,TRUE)</f>
        <v>Pirkko Koskitalo</v>
      </c>
      <c r="C552" t="str">
        <f t="shared" si="137"/>
        <v>Pirkko</v>
      </c>
      <c r="D552" s="8" t="str">
        <f t="shared" si="138"/>
        <v>Koskitalo</v>
      </c>
      <c r="E552" s="8" t="str">
        <f t="shared" si="139"/>
        <v>Koskitalo, Pirkko</v>
      </c>
      <c r="F552" s="8" t="str">
        <f t="shared" si="140"/>
        <v>Koskitalo, Pirkko</v>
      </c>
      <c r="G552" s="8" t="str">
        <f t="shared" si="141"/>
        <v>not an outlier</v>
      </c>
      <c r="H552" s="8" t="str">
        <f t="shared" si="142"/>
        <v>Not</v>
      </c>
      <c r="I552" s="8" t="str">
        <f t="shared" si="152"/>
        <v>no</v>
      </c>
      <c r="J552" s="10" t="str">
        <f t="shared" si="143"/>
        <v>no</v>
      </c>
      <c r="K552" s="10" t="str">
        <f t="shared" si="144"/>
        <v>no</v>
      </c>
      <c r="L552" t="s">
        <v>640</v>
      </c>
      <c r="M552">
        <v>10455</v>
      </c>
      <c r="N552">
        <v>53</v>
      </c>
      <c r="O552" t="s">
        <v>705</v>
      </c>
      <c r="P552" t="str">
        <f t="shared" si="145"/>
        <v>WARTH_10455_Perth Pasties</v>
      </c>
      <c r="Q552" t="str">
        <f t="shared" si="146"/>
        <v>10455</v>
      </c>
      <c r="R552" t="str">
        <f t="shared" si="147"/>
        <v>10455</v>
      </c>
      <c r="S552" t="str">
        <f t="shared" si="148"/>
        <v>Perth Pasties</v>
      </c>
      <c r="T552">
        <v>26.2</v>
      </c>
      <c r="U552">
        <v>50</v>
      </c>
      <c r="V552">
        <v>0</v>
      </c>
      <c r="W552">
        <f t="shared" si="149"/>
        <v>1310</v>
      </c>
      <c r="X552" t="str">
        <f t="shared" si="150"/>
        <v>No</v>
      </c>
      <c r="Y552" s="2">
        <v>34785</v>
      </c>
      <c r="Z552" t="str">
        <f t="shared" si="136"/>
        <v/>
      </c>
      <c r="AA552" t="str">
        <f t="shared" si="151"/>
        <v/>
      </c>
      <c r="AB552" t="str" cm="1">
        <f t="array" ref="AB552">_xlfn.IFS(Y552&lt;DATE(1996,1,1),"",Y552&lt;DATE(1996,4,1),"Q1",Y552&lt;DATE(1996,7,1),"Q2",Y552&gt;=DATE(1996,7,1),"")</f>
        <v/>
      </c>
    </row>
    <row r="553" spans="1:28" ht="14.4" x14ac:dyDescent="0.55000000000000004">
      <c r="A553" t="str">
        <f>VLOOKUP(L553,Customers!$A$2:$B$92,2,FALSE)</f>
        <v>Wartian Herkku</v>
      </c>
      <c r="B553" t="str">
        <f>VLOOKUP(L553,Customers!$A$2:$C$92,3,TRUE)</f>
        <v>Pirkko Koskitalo</v>
      </c>
      <c r="C553" t="str">
        <f t="shared" si="137"/>
        <v>Pirkko</v>
      </c>
      <c r="D553" s="8" t="str">
        <f t="shared" si="138"/>
        <v>Koskitalo</v>
      </c>
      <c r="E553" s="8" t="str">
        <f t="shared" si="139"/>
        <v>Koskitalo, Pirkko</v>
      </c>
      <c r="F553" s="8" t="str">
        <f t="shared" si="140"/>
        <v>Koskitalo, Pirkko</v>
      </c>
      <c r="G553" s="8" t="str">
        <f t="shared" si="141"/>
        <v>not an outlier</v>
      </c>
      <c r="H553" s="8" t="str">
        <f t="shared" si="142"/>
        <v>Not</v>
      </c>
      <c r="I553" s="8" t="str">
        <f t="shared" si="152"/>
        <v>no</v>
      </c>
      <c r="J553" s="10" t="str">
        <f t="shared" si="143"/>
        <v>no</v>
      </c>
      <c r="K553" s="10" t="str">
        <f t="shared" si="144"/>
        <v>no</v>
      </c>
      <c r="L553" t="s">
        <v>640</v>
      </c>
      <c r="M553">
        <v>10455</v>
      </c>
      <c r="N553">
        <v>61</v>
      </c>
      <c r="O553" t="s">
        <v>758</v>
      </c>
      <c r="P553" t="str">
        <f t="shared" si="145"/>
        <v>WARTH_10455_Sirop d'érable</v>
      </c>
      <c r="Q553" t="str">
        <f t="shared" si="146"/>
        <v>10455</v>
      </c>
      <c r="R553" t="str">
        <f t="shared" si="147"/>
        <v>10455</v>
      </c>
      <c r="S553" t="str">
        <f t="shared" si="148"/>
        <v>Sirop d'érable</v>
      </c>
      <c r="T553">
        <v>22.8</v>
      </c>
      <c r="U553">
        <v>25</v>
      </c>
      <c r="V553">
        <v>0</v>
      </c>
      <c r="W553">
        <f t="shared" si="149"/>
        <v>570</v>
      </c>
      <c r="X553" t="str">
        <f t="shared" si="150"/>
        <v>No</v>
      </c>
      <c r="Y553" s="2">
        <v>34785</v>
      </c>
      <c r="Z553" t="str">
        <f t="shared" si="136"/>
        <v/>
      </c>
      <c r="AA553" t="str">
        <f t="shared" si="151"/>
        <v/>
      </c>
      <c r="AB553" t="str" cm="1">
        <f t="array" ref="AB553">_xlfn.IFS(Y553&lt;DATE(1996,1,1),"",Y553&lt;DATE(1996,4,1),"Q1",Y553&lt;DATE(1996,7,1),"Q2",Y553&gt;=DATE(1996,7,1),"")</f>
        <v/>
      </c>
    </row>
    <row r="554" spans="1:28" ht="14.4" x14ac:dyDescent="0.55000000000000004">
      <c r="A554" t="str">
        <f>VLOOKUP(L554,Customers!$A$2:$B$92,2,FALSE)</f>
        <v>Wartian Herkku</v>
      </c>
      <c r="B554" t="str">
        <f>VLOOKUP(L554,Customers!$A$2:$C$92,3,TRUE)</f>
        <v>Pirkko Koskitalo</v>
      </c>
      <c r="C554" t="str">
        <f t="shared" si="137"/>
        <v>Pirkko</v>
      </c>
      <c r="D554" s="8" t="str">
        <f t="shared" si="138"/>
        <v>Koskitalo</v>
      </c>
      <c r="E554" s="8" t="str">
        <f t="shared" si="139"/>
        <v>Koskitalo, Pirkko</v>
      </c>
      <c r="F554" s="8" t="str">
        <f t="shared" si="140"/>
        <v>Koskitalo, Pirkko</v>
      </c>
      <c r="G554" s="8" t="str">
        <f t="shared" si="141"/>
        <v>not an outlier</v>
      </c>
      <c r="H554" s="8" t="str">
        <f t="shared" si="142"/>
        <v>Not</v>
      </c>
      <c r="I554" s="8" t="str">
        <f t="shared" si="152"/>
        <v>no</v>
      </c>
      <c r="J554" s="10" t="str">
        <f t="shared" si="143"/>
        <v>no</v>
      </c>
      <c r="K554" s="10" t="str">
        <f t="shared" si="144"/>
        <v>no</v>
      </c>
      <c r="L554" t="s">
        <v>640</v>
      </c>
      <c r="M554">
        <v>10455</v>
      </c>
      <c r="N554">
        <v>71</v>
      </c>
      <c r="O554" t="s">
        <v>725</v>
      </c>
      <c r="P554" t="str">
        <f t="shared" si="145"/>
        <v>WARTH_10455_Fløtemysost</v>
      </c>
      <c r="Q554" t="str">
        <f t="shared" si="146"/>
        <v>10455</v>
      </c>
      <c r="R554" t="str">
        <f t="shared" si="147"/>
        <v>10455</v>
      </c>
      <c r="S554" t="str">
        <f t="shared" si="148"/>
        <v>Fløtemysost</v>
      </c>
      <c r="T554">
        <v>17.2</v>
      </c>
      <c r="U554">
        <v>30</v>
      </c>
      <c r="V554">
        <v>0</v>
      </c>
      <c r="W554">
        <f t="shared" si="149"/>
        <v>516</v>
      </c>
      <c r="X554" t="str">
        <f t="shared" si="150"/>
        <v>No</v>
      </c>
      <c r="Y554" s="2">
        <v>34785</v>
      </c>
      <c r="Z554" t="str">
        <f t="shared" si="136"/>
        <v/>
      </c>
      <c r="AA554" t="str">
        <f t="shared" si="151"/>
        <v/>
      </c>
      <c r="AB554" t="str" cm="1">
        <f t="array" ref="AB554">_xlfn.IFS(Y554&lt;DATE(1996,1,1),"",Y554&lt;DATE(1996,4,1),"Q1",Y554&lt;DATE(1996,7,1),"Q2",Y554&gt;=DATE(1996,7,1),"")</f>
        <v/>
      </c>
    </row>
    <row r="555" spans="1:28" ht="14.4" x14ac:dyDescent="0.55000000000000004">
      <c r="A555" t="str">
        <f>VLOOKUP(L555,Customers!$A$2:$B$92,2,FALSE)</f>
        <v>Königlich Essen</v>
      </c>
      <c r="B555" t="str">
        <f>VLOOKUP(L555,Customers!$A$2:$C$92,3,TRUE)</f>
        <v>Philip Cramer</v>
      </c>
      <c r="C555" t="str">
        <f t="shared" si="137"/>
        <v>Philip</v>
      </c>
      <c r="D555" s="8" t="str">
        <f t="shared" si="138"/>
        <v>Cramer</v>
      </c>
      <c r="E555" s="8" t="str">
        <f t="shared" si="139"/>
        <v>Cramer, Philip</v>
      </c>
      <c r="F555" s="8" t="str">
        <f t="shared" si="140"/>
        <v>Cramer, Philip</v>
      </c>
      <c r="G555" s="8" t="str">
        <f t="shared" si="141"/>
        <v>not an outlier</v>
      </c>
      <c r="H555" s="8" t="str">
        <f t="shared" si="142"/>
        <v>Not</v>
      </c>
      <c r="I555" s="8" t="str">
        <f t="shared" si="152"/>
        <v>no</v>
      </c>
      <c r="J555" s="10" t="str">
        <f t="shared" si="143"/>
        <v>no</v>
      </c>
      <c r="K555" s="10" t="str">
        <f t="shared" si="144"/>
        <v>no</v>
      </c>
      <c r="L555" t="s">
        <v>305</v>
      </c>
      <c r="M555">
        <v>10456</v>
      </c>
      <c r="N555">
        <v>21</v>
      </c>
      <c r="O555" t="s">
        <v>710</v>
      </c>
      <c r="P555" t="str">
        <f t="shared" si="145"/>
        <v>KOENE_10456_Sir Rodney's Scones</v>
      </c>
      <c r="Q555" t="str">
        <f t="shared" si="146"/>
        <v>10456</v>
      </c>
      <c r="R555" t="str">
        <f t="shared" si="147"/>
        <v>10456</v>
      </c>
      <c r="S555" t="str">
        <f t="shared" si="148"/>
        <v>Sir Rodney's Scones</v>
      </c>
      <c r="T555">
        <v>8</v>
      </c>
      <c r="U555">
        <v>40</v>
      </c>
      <c r="V555">
        <v>0.15</v>
      </c>
      <c r="W555">
        <f t="shared" si="149"/>
        <v>272</v>
      </c>
      <c r="X555" t="str">
        <f t="shared" si="150"/>
        <v>No</v>
      </c>
      <c r="Y555" s="2">
        <v>34786</v>
      </c>
      <c r="Z555" t="str">
        <f t="shared" si="136"/>
        <v/>
      </c>
      <c r="AA555" t="str">
        <f t="shared" si="151"/>
        <v/>
      </c>
      <c r="AB555" t="str" cm="1">
        <f t="array" ref="AB555">_xlfn.IFS(Y555&lt;DATE(1996,1,1),"",Y555&lt;DATE(1996,4,1),"Q1",Y555&lt;DATE(1996,7,1),"Q2",Y555&gt;=DATE(1996,7,1),"")</f>
        <v/>
      </c>
    </row>
    <row r="556" spans="1:28" ht="14.4" x14ac:dyDescent="0.55000000000000004">
      <c r="A556" t="str">
        <f>VLOOKUP(L556,Customers!$A$2:$B$92,2,FALSE)</f>
        <v>Königlich Essen</v>
      </c>
      <c r="B556" t="str">
        <f>VLOOKUP(L556,Customers!$A$2:$C$92,3,TRUE)</f>
        <v>Philip Cramer</v>
      </c>
      <c r="C556" t="str">
        <f t="shared" si="137"/>
        <v>Philip</v>
      </c>
      <c r="D556" s="8" t="str">
        <f t="shared" si="138"/>
        <v>Cramer</v>
      </c>
      <c r="E556" s="8" t="str">
        <f t="shared" si="139"/>
        <v>Cramer, Philip</v>
      </c>
      <c r="F556" s="8" t="str">
        <f t="shared" si="140"/>
        <v>Cramer, Philip</v>
      </c>
      <c r="G556" s="8" t="str">
        <f t="shared" si="141"/>
        <v>not an outlier</v>
      </c>
      <c r="H556" s="8" t="str">
        <f t="shared" si="142"/>
        <v>Not</v>
      </c>
      <c r="I556" s="8" t="str">
        <f t="shared" si="152"/>
        <v>no</v>
      </c>
      <c r="J556" s="10" t="str">
        <f t="shared" si="143"/>
        <v>no</v>
      </c>
      <c r="K556" s="10" t="str">
        <f t="shared" si="144"/>
        <v>no</v>
      </c>
      <c r="L556" t="s">
        <v>305</v>
      </c>
      <c r="M556">
        <v>10456</v>
      </c>
      <c r="N556">
        <v>49</v>
      </c>
      <c r="O556" t="s">
        <v>697</v>
      </c>
      <c r="P556" t="str">
        <f t="shared" si="145"/>
        <v>KOENE_10456_Maxilaku</v>
      </c>
      <c r="Q556" t="str">
        <f t="shared" si="146"/>
        <v>10456</v>
      </c>
      <c r="R556" t="str">
        <f t="shared" si="147"/>
        <v>10456</v>
      </c>
      <c r="S556" t="str">
        <f t="shared" si="148"/>
        <v>Maxilaku</v>
      </c>
      <c r="T556">
        <v>16</v>
      </c>
      <c r="U556">
        <v>21</v>
      </c>
      <c r="V556">
        <v>0.15</v>
      </c>
      <c r="W556">
        <f t="shared" si="149"/>
        <v>285.59999999999997</v>
      </c>
      <c r="X556" t="str">
        <f t="shared" si="150"/>
        <v>No</v>
      </c>
      <c r="Y556" s="2">
        <v>34786</v>
      </c>
      <c r="Z556" t="str">
        <f t="shared" si="136"/>
        <v/>
      </c>
      <c r="AA556" t="str">
        <f t="shared" si="151"/>
        <v/>
      </c>
      <c r="AB556" t="str" cm="1">
        <f t="array" ref="AB556">_xlfn.IFS(Y556&lt;DATE(1996,1,1),"",Y556&lt;DATE(1996,4,1),"Q1",Y556&lt;DATE(1996,7,1),"Q2",Y556&gt;=DATE(1996,7,1),"")</f>
        <v/>
      </c>
    </row>
    <row r="557" spans="1:28" ht="14.4" x14ac:dyDescent="0.55000000000000004">
      <c r="A557" t="str">
        <f>VLOOKUP(L557,Customers!$A$2:$B$92,2,FALSE)</f>
        <v>Königlich Essen</v>
      </c>
      <c r="B557" t="str">
        <f>VLOOKUP(L557,Customers!$A$2:$C$92,3,TRUE)</f>
        <v>Philip Cramer</v>
      </c>
      <c r="C557" t="str">
        <f t="shared" si="137"/>
        <v>Philip</v>
      </c>
      <c r="D557" s="8" t="str">
        <f t="shared" si="138"/>
        <v>Cramer</v>
      </c>
      <c r="E557" s="8" t="str">
        <f t="shared" si="139"/>
        <v>Cramer, Philip</v>
      </c>
      <c r="F557" s="8" t="str">
        <f t="shared" si="140"/>
        <v>Cramer, Philip</v>
      </c>
      <c r="G557" s="8" t="str">
        <f t="shared" si="141"/>
        <v>not an outlier</v>
      </c>
      <c r="H557" s="8" t="str">
        <f t="shared" si="142"/>
        <v>Not</v>
      </c>
      <c r="I557" s="8" t="str">
        <f t="shared" si="152"/>
        <v>no</v>
      </c>
      <c r="J557" s="10" t="str">
        <f t="shared" si="143"/>
        <v>no</v>
      </c>
      <c r="K557" s="10" t="str">
        <f t="shared" si="144"/>
        <v>no</v>
      </c>
      <c r="L557" t="s">
        <v>305</v>
      </c>
      <c r="M557">
        <v>10457</v>
      </c>
      <c r="N557">
        <v>59</v>
      </c>
      <c r="O557" t="s">
        <v>704</v>
      </c>
      <c r="P557" t="str">
        <f t="shared" si="145"/>
        <v>KOENE_10457_Raclette Courdavault</v>
      </c>
      <c r="Q557" t="str">
        <f t="shared" si="146"/>
        <v>10457</v>
      </c>
      <c r="R557" t="str">
        <f t="shared" si="147"/>
        <v>10457</v>
      </c>
      <c r="S557" t="str">
        <f t="shared" si="148"/>
        <v>Raclette Courdavault</v>
      </c>
      <c r="T557">
        <v>44</v>
      </c>
      <c r="U557">
        <v>36</v>
      </c>
      <c r="V557">
        <v>0</v>
      </c>
      <c r="W557">
        <f t="shared" si="149"/>
        <v>1584</v>
      </c>
      <c r="X557" t="str">
        <f t="shared" si="150"/>
        <v>No</v>
      </c>
      <c r="Y557" s="2">
        <v>34786</v>
      </c>
      <c r="Z557" t="str">
        <f t="shared" si="136"/>
        <v/>
      </c>
      <c r="AA557" t="str">
        <f t="shared" si="151"/>
        <v/>
      </c>
      <c r="AB557" t="str" cm="1">
        <f t="array" ref="AB557">_xlfn.IFS(Y557&lt;DATE(1996,1,1),"",Y557&lt;DATE(1996,4,1),"Q1",Y557&lt;DATE(1996,7,1),"Q2",Y557&gt;=DATE(1996,7,1),"")</f>
        <v/>
      </c>
    </row>
    <row r="558" spans="1:28" ht="14.4" x14ac:dyDescent="0.55000000000000004">
      <c r="A558" t="str">
        <f>VLOOKUP(L558,Customers!$A$2:$B$92,2,FALSE)</f>
        <v>Suprêmes délices</v>
      </c>
      <c r="B558" t="str">
        <f>VLOOKUP(L558,Customers!$A$2:$C$92,3,TRUE)</f>
        <v>Pascale Cartrain</v>
      </c>
      <c r="C558" t="str">
        <f t="shared" si="137"/>
        <v>Pascale</v>
      </c>
      <c r="D558" s="8" t="str">
        <f t="shared" si="138"/>
        <v>Cartrain</v>
      </c>
      <c r="E558" s="8" t="str">
        <f t="shared" si="139"/>
        <v>Cartrain, Pascale</v>
      </c>
      <c r="F558" s="8" t="str">
        <f t="shared" si="140"/>
        <v>Cartrain, Pascale</v>
      </c>
      <c r="G558" s="8" t="str">
        <f t="shared" si="141"/>
        <v>not an outlier</v>
      </c>
      <c r="H558" s="8" t="str">
        <f t="shared" si="142"/>
        <v>Not</v>
      </c>
      <c r="I558" s="8" t="str">
        <f t="shared" si="152"/>
        <v>no</v>
      </c>
      <c r="J558" s="10" t="str">
        <f t="shared" si="143"/>
        <v>no</v>
      </c>
      <c r="K558" s="10" t="str">
        <f t="shared" si="144"/>
        <v>no</v>
      </c>
      <c r="L558" t="s">
        <v>565</v>
      </c>
      <c r="M558">
        <v>10458</v>
      </c>
      <c r="N558">
        <v>26</v>
      </c>
      <c r="O558" t="s">
        <v>751</v>
      </c>
      <c r="P558" t="str">
        <f t="shared" si="145"/>
        <v>SUPRD_10458_Gumbär Gummibärchen</v>
      </c>
      <c r="Q558" t="str">
        <f t="shared" si="146"/>
        <v>10458</v>
      </c>
      <c r="R558" t="str">
        <f t="shared" si="147"/>
        <v>10458</v>
      </c>
      <c r="S558" t="str">
        <f t="shared" si="148"/>
        <v>Gumbär Gummibärchen</v>
      </c>
      <c r="T558">
        <v>24.9</v>
      </c>
      <c r="U558">
        <v>30</v>
      </c>
      <c r="V558">
        <v>0</v>
      </c>
      <c r="W558">
        <f t="shared" si="149"/>
        <v>747</v>
      </c>
      <c r="X558" t="str">
        <f t="shared" si="150"/>
        <v>No</v>
      </c>
      <c r="Y558" s="2">
        <v>34787</v>
      </c>
      <c r="Z558" t="str">
        <f t="shared" si="136"/>
        <v/>
      </c>
      <c r="AA558" t="str">
        <f t="shared" si="151"/>
        <v/>
      </c>
      <c r="AB558" t="str" cm="1">
        <f t="array" ref="AB558">_xlfn.IFS(Y558&lt;DATE(1996,1,1),"",Y558&lt;DATE(1996,4,1),"Q1",Y558&lt;DATE(1996,7,1),"Q2",Y558&gt;=DATE(1996,7,1),"")</f>
        <v/>
      </c>
    </row>
    <row r="559" spans="1:28" ht="14.4" x14ac:dyDescent="0.55000000000000004">
      <c r="A559" t="str">
        <f>VLOOKUP(L559,Customers!$A$2:$B$92,2,FALSE)</f>
        <v>Suprêmes délices</v>
      </c>
      <c r="B559" t="str">
        <f>VLOOKUP(L559,Customers!$A$2:$C$92,3,TRUE)</f>
        <v>Pascale Cartrain</v>
      </c>
      <c r="C559" t="str">
        <f t="shared" si="137"/>
        <v>Pascale</v>
      </c>
      <c r="D559" s="8" t="str">
        <f t="shared" si="138"/>
        <v>Cartrain</v>
      </c>
      <c r="E559" s="8" t="str">
        <f t="shared" si="139"/>
        <v>Cartrain, Pascale</v>
      </c>
      <c r="F559" s="8" t="str">
        <f t="shared" si="140"/>
        <v>Cartrain, Pascale</v>
      </c>
      <c r="G559" s="8" t="str">
        <f t="shared" si="141"/>
        <v>not an outlier</v>
      </c>
      <c r="H559" s="8" t="str">
        <f t="shared" si="142"/>
        <v>Not</v>
      </c>
      <c r="I559" s="8" t="str">
        <f t="shared" si="152"/>
        <v>no</v>
      </c>
      <c r="J559" s="10" t="str">
        <f t="shared" si="143"/>
        <v>no</v>
      </c>
      <c r="K559" s="10" t="str">
        <f t="shared" si="144"/>
        <v>no</v>
      </c>
      <c r="L559" t="s">
        <v>565</v>
      </c>
      <c r="M559">
        <v>10458</v>
      </c>
      <c r="N559">
        <v>28</v>
      </c>
      <c r="O559" t="s">
        <v>727</v>
      </c>
      <c r="P559" t="str">
        <f t="shared" si="145"/>
        <v>SUPRD_10458_Rössle Sauerkraut</v>
      </c>
      <c r="Q559" t="str">
        <f t="shared" si="146"/>
        <v>10458</v>
      </c>
      <c r="R559" t="str">
        <f t="shared" si="147"/>
        <v>10458</v>
      </c>
      <c r="S559" t="str">
        <f t="shared" si="148"/>
        <v>Rössle Sauerkraut</v>
      </c>
      <c r="T559">
        <v>36.4</v>
      </c>
      <c r="U559">
        <v>30</v>
      </c>
      <c r="V559">
        <v>0</v>
      </c>
      <c r="W559">
        <f t="shared" si="149"/>
        <v>1092</v>
      </c>
      <c r="X559" t="str">
        <f t="shared" si="150"/>
        <v>No</v>
      </c>
      <c r="Y559" s="2">
        <v>34787</v>
      </c>
      <c r="Z559" t="str">
        <f t="shared" si="136"/>
        <v/>
      </c>
      <c r="AA559" t="str">
        <f t="shared" si="151"/>
        <v/>
      </c>
      <c r="AB559" t="str" cm="1">
        <f t="array" ref="AB559">_xlfn.IFS(Y559&lt;DATE(1996,1,1),"",Y559&lt;DATE(1996,4,1),"Q1",Y559&lt;DATE(1996,7,1),"Q2",Y559&gt;=DATE(1996,7,1),"")</f>
        <v/>
      </c>
    </row>
    <row r="560" spans="1:28" ht="14.4" x14ac:dyDescent="0.55000000000000004">
      <c r="A560" t="str">
        <f>VLOOKUP(L560,Customers!$A$2:$B$92,2,FALSE)</f>
        <v>Suprêmes délices</v>
      </c>
      <c r="B560" t="str">
        <f>VLOOKUP(L560,Customers!$A$2:$C$92,3,TRUE)</f>
        <v>Pascale Cartrain</v>
      </c>
      <c r="C560" t="str">
        <f t="shared" si="137"/>
        <v>Pascale</v>
      </c>
      <c r="D560" s="8" t="str">
        <f t="shared" si="138"/>
        <v>Cartrain</v>
      </c>
      <c r="E560" s="8" t="str">
        <f t="shared" si="139"/>
        <v>Cartrain, Pascale</v>
      </c>
      <c r="F560" s="8" t="str">
        <f t="shared" si="140"/>
        <v>Cartrain, Pascale</v>
      </c>
      <c r="G560" s="8" t="str">
        <f t="shared" si="141"/>
        <v>not an outlier</v>
      </c>
      <c r="H560" s="8" t="str">
        <f t="shared" si="142"/>
        <v>Not</v>
      </c>
      <c r="I560" s="8" t="str">
        <f t="shared" si="152"/>
        <v>no</v>
      </c>
      <c r="J560" s="10" t="str">
        <f t="shared" si="143"/>
        <v>no</v>
      </c>
      <c r="K560" s="10" t="str">
        <f t="shared" si="144"/>
        <v>no</v>
      </c>
      <c r="L560" t="s">
        <v>565</v>
      </c>
      <c r="M560">
        <v>10458</v>
      </c>
      <c r="N560">
        <v>43</v>
      </c>
      <c r="O560" t="s">
        <v>723</v>
      </c>
      <c r="P560" t="str">
        <f t="shared" si="145"/>
        <v>SUPRD_10458_Ipoh Coffee</v>
      </c>
      <c r="Q560" t="str">
        <f t="shared" si="146"/>
        <v>10458</v>
      </c>
      <c r="R560" t="str">
        <f t="shared" si="147"/>
        <v>10458</v>
      </c>
      <c r="S560" t="str">
        <f t="shared" si="148"/>
        <v>Ipoh Coffee</v>
      </c>
      <c r="T560">
        <v>36.799999999999997</v>
      </c>
      <c r="U560">
        <v>20</v>
      </c>
      <c r="V560">
        <v>0</v>
      </c>
      <c r="W560">
        <f t="shared" si="149"/>
        <v>736</v>
      </c>
      <c r="X560" t="str">
        <f t="shared" si="150"/>
        <v>No</v>
      </c>
      <c r="Y560" s="2">
        <v>34787</v>
      </c>
      <c r="Z560" t="str">
        <f t="shared" si="136"/>
        <v/>
      </c>
      <c r="AA560" t="str">
        <f t="shared" si="151"/>
        <v/>
      </c>
      <c r="AB560" t="str" cm="1">
        <f t="array" ref="AB560">_xlfn.IFS(Y560&lt;DATE(1996,1,1),"",Y560&lt;DATE(1996,4,1),"Q1",Y560&lt;DATE(1996,7,1),"Q2",Y560&gt;=DATE(1996,7,1),"")</f>
        <v/>
      </c>
    </row>
    <row r="561" spans="1:28" ht="14.4" x14ac:dyDescent="0.55000000000000004">
      <c r="A561" t="str">
        <f>VLOOKUP(L561,Customers!$A$2:$B$92,2,FALSE)</f>
        <v>Suprêmes délices</v>
      </c>
      <c r="B561" t="str">
        <f>VLOOKUP(L561,Customers!$A$2:$C$92,3,TRUE)</f>
        <v>Pascale Cartrain</v>
      </c>
      <c r="C561" t="str">
        <f t="shared" si="137"/>
        <v>Pascale</v>
      </c>
      <c r="D561" s="8" t="str">
        <f t="shared" si="138"/>
        <v>Cartrain</v>
      </c>
      <c r="E561" s="8" t="str">
        <f t="shared" si="139"/>
        <v>Cartrain, Pascale</v>
      </c>
      <c r="F561" s="8" t="str">
        <f t="shared" si="140"/>
        <v>Cartrain, Pascale</v>
      </c>
      <c r="G561" s="8" t="str">
        <f t="shared" si="141"/>
        <v>not an outlier</v>
      </c>
      <c r="H561" s="8" t="str">
        <f t="shared" si="142"/>
        <v>Not</v>
      </c>
      <c r="I561" s="8" t="str">
        <f t="shared" si="152"/>
        <v>no</v>
      </c>
      <c r="J561" s="10" t="str">
        <f t="shared" si="143"/>
        <v>no</v>
      </c>
      <c r="K561" s="10" t="str">
        <f t="shared" si="144"/>
        <v>no</v>
      </c>
      <c r="L561" t="s">
        <v>565</v>
      </c>
      <c r="M561">
        <v>10458</v>
      </c>
      <c r="N561">
        <v>56</v>
      </c>
      <c r="O561" t="s">
        <v>716</v>
      </c>
      <c r="P561" t="str">
        <f t="shared" si="145"/>
        <v>SUPRD_10458_Gnocchi di nonna Alice</v>
      </c>
      <c r="Q561" t="str">
        <f t="shared" si="146"/>
        <v>10458</v>
      </c>
      <c r="R561" t="str">
        <f t="shared" si="147"/>
        <v>10458</v>
      </c>
      <c r="S561" t="str">
        <f t="shared" si="148"/>
        <v>Gnocchi di nonna Alice</v>
      </c>
      <c r="T561">
        <v>30.4</v>
      </c>
      <c r="U561">
        <v>15</v>
      </c>
      <c r="V561">
        <v>0</v>
      </c>
      <c r="W561">
        <f t="shared" si="149"/>
        <v>456</v>
      </c>
      <c r="X561" t="str">
        <f t="shared" si="150"/>
        <v>No</v>
      </c>
      <c r="Y561" s="2">
        <v>34787</v>
      </c>
      <c r="Z561" t="str">
        <f t="shared" si="136"/>
        <v/>
      </c>
      <c r="AA561" t="str">
        <f t="shared" si="151"/>
        <v/>
      </c>
      <c r="AB561" t="str" cm="1">
        <f t="array" ref="AB561">_xlfn.IFS(Y561&lt;DATE(1996,1,1),"",Y561&lt;DATE(1996,4,1),"Q1",Y561&lt;DATE(1996,7,1),"Q2",Y561&gt;=DATE(1996,7,1),"")</f>
        <v/>
      </c>
    </row>
    <row r="562" spans="1:28" ht="14.4" x14ac:dyDescent="0.55000000000000004">
      <c r="A562" t="str">
        <f>VLOOKUP(L562,Customers!$A$2:$B$92,2,FALSE)</f>
        <v>Suprêmes délices</v>
      </c>
      <c r="B562" t="str">
        <f>VLOOKUP(L562,Customers!$A$2:$C$92,3,TRUE)</f>
        <v>Pascale Cartrain</v>
      </c>
      <c r="C562" t="str">
        <f t="shared" si="137"/>
        <v>Pascale</v>
      </c>
      <c r="D562" s="8" t="str">
        <f t="shared" si="138"/>
        <v>Cartrain</v>
      </c>
      <c r="E562" s="8" t="str">
        <f t="shared" si="139"/>
        <v>Cartrain, Pascale</v>
      </c>
      <c r="F562" s="8" t="str">
        <f t="shared" si="140"/>
        <v>Cartrain, Pascale</v>
      </c>
      <c r="G562" s="8" t="str">
        <f t="shared" si="141"/>
        <v>not an outlier</v>
      </c>
      <c r="H562" s="8" t="str">
        <f t="shared" si="142"/>
        <v>Not</v>
      </c>
      <c r="I562" s="8" t="str">
        <f t="shared" si="152"/>
        <v>no</v>
      </c>
      <c r="J562" s="10" t="str">
        <f t="shared" si="143"/>
        <v>no</v>
      </c>
      <c r="K562" s="10" t="str">
        <f t="shared" si="144"/>
        <v>no</v>
      </c>
      <c r="L562" t="s">
        <v>565</v>
      </c>
      <c r="M562">
        <v>10458</v>
      </c>
      <c r="N562">
        <v>71</v>
      </c>
      <c r="O562" t="s">
        <v>725</v>
      </c>
      <c r="P562" t="str">
        <f t="shared" si="145"/>
        <v>SUPRD_10458_Fløtemysost</v>
      </c>
      <c r="Q562" t="str">
        <f t="shared" si="146"/>
        <v>10458</v>
      </c>
      <c r="R562" t="str">
        <f t="shared" si="147"/>
        <v>10458</v>
      </c>
      <c r="S562" t="str">
        <f t="shared" si="148"/>
        <v>Fløtemysost</v>
      </c>
      <c r="T562">
        <v>17.2</v>
      </c>
      <c r="U562">
        <v>50</v>
      </c>
      <c r="V562">
        <v>0</v>
      </c>
      <c r="W562">
        <f t="shared" si="149"/>
        <v>860</v>
      </c>
      <c r="X562" t="str">
        <f t="shared" si="150"/>
        <v>No</v>
      </c>
      <c r="Y562" s="2">
        <v>34787</v>
      </c>
      <c r="Z562" t="str">
        <f t="shared" si="136"/>
        <v/>
      </c>
      <c r="AA562" t="str">
        <f t="shared" si="151"/>
        <v/>
      </c>
      <c r="AB562" t="str" cm="1">
        <f t="array" ref="AB562">_xlfn.IFS(Y562&lt;DATE(1996,1,1),"",Y562&lt;DATE(1996,4,1),"Q1",Y562&lt;DATE(1996,7,1),"Q2",Y562&gt;=DATE(1996,7,1),"")</f>
        <v/>
      </c>
    </row>
    <row r="563" spans="1:28" ht="14.4" x14ac:dyDescent="0.55000000000000004">
      <c r="A563" t="str">
        <f>VLOOKUP(L563,Customers!$A$2:$B$92,2,FALSE)</f>
        <v>Victuailles en stock</v>
      </c>
      <c r="B563" t="str">
        <f>VLOOKUP(L563,Customers!$A$2:$C$92,3,TRUE)</f>
        <v>Mary Saveley</v>
      </c>
      <c r="C563" t="str">
        <f t="shared" si="137"/>
        <v>Mary</v>
      </c>
      <c r="D563" s="8" t="str">
        <f t="shared" si="138"/>
        <v>Saveley</v>
      </c>
      <c r="E563" s="8" t="str">
        <f t="shared" si="139"/>
        <v>Saveley, Mary</v>
      </c>
      <c r="F563" s="8" t="str">
        <f t="shared" si="140"/>
        <v>Saveley, Mary</v>
      </c>
      <c r="G563" s="8" t="str">
        <f t="shared" si="141"/>
        <v>not an outlier</v>
      </c>
      <c r="H563" s="8" t="str">
        <f t="shared" si="142"/>
        <v>Not</v>
      </c>
      <c r="I563" s="8" t="str">
        <f t="shared" si="152"/>
        <v>no</v>
      </c>
      <c r="J563" s="10" t="str">
        <f t="shared" si="143"/>
        <v>no</v>
      </c>
      <c r="K563" s="10" t="str">
        <f t="shared" si="144"/>
        <v>no</v>
      </c>
      <c r="L563" t="s">
        <v>619</v>
      </c>
      <c r="M563">
        <v>10459</v>
      </c>
      <c r="N563">
        <v>7</v>
      </c>
      <c r="O563" t="s">
        <v>715</v>
      </c>
      <c r="P563" t="str">
        <f t="shared" si="145"/>
        <v>VICTE_10459_Uncle Bob's Organic Dried Pears</v>
      </c>
      <c r="Q563" t="str">
        <f t="shared" si="146"/>
        <v>10459</v>
      </c>
      <c r="R563" t="str">
        <f t="shared" si="147"/>
        <v>10459</v>
      </c>
      <c r="S563" t="str">
        <f t="shared" si="148"/>
        <v>Uncle Bob's Organic Dried Pears</v>
      </c>
      <c r="T563">
        <v>24</v>
      </c>
      <c r="U563">
        <v>16</v>
      </c>
      <c r="V563">
        <v>0.05</v>
      </c>
      <c r="W563">
        <f t="shared" si="149"/>
        <v>364.79999999999995</v>
      </c>
      <c r="X563" t="str">
        <f t="shared" si="150"/>
        <v>No</v>
      </c>
      <c r="Y563" s="2">
        <v>34788</v>
      </c>
      <c r="Z563" t="str">
        <f t="shared" si="136"/>
        <v/>
      </c>
      <c r="AA563" t="str">
        <f t="shared" si="151"/>
        <v/>
      </c>
      <c r="AB563" t="str" cm="1">
        <f t="array" ref="AB563">_xlfn.IFS(Y563&lt;DATE(1996,1,1),"",Y563&lt;DATE(1996,4,1),"Q1",Y563&lt;DATE(1996,7,1),"Q2",Y563&gt;=DATE(1996,7,1),"")</f>
        <v/>
      </c>
    </row>
    <row r="564" spans="1:28" ht="14.4" x14ac:dyDescent="0.55000000000000004">
      <c r="A564" t="str">
        <f>VLOOKUP(L564,Customers!$A$2:$B$92,2,FALSE)</f>
        <v>Victuailles en stock</v>
      </c>
      <c r="B564" t="str">
        <f>VLOOKUP(L564,Customers!$A$2:$C$92,3,TRUE)</f>
        <v>Mary Saveley</v>
      </c>
      <c r="C564" t="str">
        <f t="shared" si="137"/>
        <v>Mary</v>
      </c>
      <c r="D564" s="8" t="str">
        <f t="shared" si="138"/>
        <v>Saveley</v>
      </c>
      <c r="E564" s="8" t="str">
        <f t="shared" si="139"/>
        <v>Saveley, Mary</v>
      </c>
      <c r="F564" s="8" t="str">
        <f t="shared" si="140"/>
        <v>Saveley, Mary</v>
      </c>
      <c r="G564" s="8" t="str">
        <f t="shared" si="141"/>
        <v>not an outlier</v>
      </c>
      <c r="H564" s="8" t="str">
        <f t="shared" si="142"/>
        <v>Not</v>
      </c>
      <c r="I564" s="8" t="str">
        <f t="shared" si="152"/>
        <v>no</v>
      </c>
      <c r="J564" s="10" t="str">
        <f t="shared" si="143"/>
        <v>no</v>
      </c>
      <c r="K564" s="10" t="str">
        <f t="shared" si="144"/>
        <v>no</v>
      </c>
      <c r="L564" t="s">
        <v>619</v>
      </c>
      <c r="M564">
        <v>10459</v>
      </c>
      <c r="N564">
        <v>46</v>
      </c>
      <c r="O564" t="s">
        <v>737</v>
      </c>
      <c r="P564" t="str">
        <f t="shared" si="145"/>
        <v>VICTE_10459_Spegesild</v>
      </c>
      <c r="Q564" t="str">
        <f t="shared" si="146"/>
        <v>10459</v>
      </c>
      <c r="R564" t="str">
        <f t="shared" si="147"/>
        <v>10459</v>
      </c>
      <c r="S564" t="str">
        <f t="shared" si="148"/>
        <v>Spegesild</v>
      </c>
      <c r="T564">
        <v>9.6</v>
      </c>
      <c r="U564">
        <v>20</v>
      </c>
      <c r="V564">
        <v>0.05</v>
      </c>
      <c r="W564">
        <f t="shared" si="149"/>
        <v>182.39999999999998</v>
      </c>
      <c r="X564" t="str">
        <f t="shared" si="150"/>
        <v>No</v>
      </c>
      <c r="Y564" s="2">
        <v>34788</v>
      </c>
      <c r="Z564" t="str">
        <f t="shared" si="136"/>
        <v/>
      </c>
      <c r="AA564" t="str">
        <f t="shared" si="151"/>
        <v/>
      </c>
      <c r="AB564" t="str" cm="1">
        <f t="array" ref="AB564">_xlfn.IFS(Y564&lt;DATE(1996,1,1),"",Y564&lt;DATE(1996,4,1),"Q1",Y564&lt;DATE(1996,7,1),"Q2",Y564&gt;=DATE(1996,7,1),"")</f>
        <v/>
      </c>
    </row>
    <row r="565" spans="1:28" ht="14.4" x14ac:dyDescent="0.55000000000000004">
      <c r="A565" t="str">
        <f>VLOOKUP(L565,Customers!$A$2:$B$92,2,FALSE)</f>
        <v>Victuailles en stock</v>
      </c>
      <c r="B565" t="str">
        <f>VLOOKUP(L565,Customers!$A$2:$C$92,3,TRUE)</f>
        <v>Mary Saveley</v>
      </c>
      <c r="C565" t="str">
        <f t="shared" si="137"/>
        <v>Mary</v>
      </c>
      <c r="D565" s="8" t="str">
        <f t="shared" si="138"/>
        <v>Saveley</v>
      </c>
      <c r="E565" s="8" t="str">
        <f t="shared" si="139"/>
        <v>Saveley, Mary</v>
      </c>
      <c r="F565" s="8" t="str">
        <f t="shared" si="140"/>
        <v>Saveley, Mary</v>
      </c>
      <c r="G565" s="8" t="str">
        <f t="shared" si="141"/>
        <v>not an outlier</v>
      </c>
      <c r="H565" s="8" t="str">
        <f t="shared" si="142"/>
        <v>Not</v>
      </c>
      <c r="I565" s="8" t="str">
        <f t="shared" si="152"/>
        <v>no</v>
      </c>
      <c r="J565" s="10" t="str">
        <f t="shared" si="143"/>
        <v>no</v>
      </c>
      <c r="K565" s="10" t="str">
        <f t="shared" si="144"/>
        <v>no</v>
      </c>
      <c r="L565" t="s">
        <v>619</v>
      </c>
      <c r="M565">
        <v>10459</v>
      </c>
      <c r="N565">
        <v>72</v>
      </c>
      <c r="O565" t="s">
        <v>685</v>
      </c>
      <c r="P565" t="str">
        <f t="shared" si="145"/>
        <v>VICTE_10459_Mozzarella di Giovanni</v>
      </c>
      <c r="Q565" t="str">
        <f t="shared" si="146"/>
        <v>10459</v>
      </c>
      <c r="R565" t="str">
        <f t="shared" si="147"/>
        <v>10459</v>
      </c>
      <c r="S565" t="str">
        <f t="shared" si="148"/>
        <v>Mozzarella di Giovanni</v>
      </c>
      <c r="T565">
        <v>27.8</v>
      </c>
      <c r="U565">
        <v>40</v>
      </c>
      <c r="V565">
        <v>0</v>
      </c>
      <c r="W565">
        <f t="shared" si="149"/>
        <v>1112</v>
      </c>
      <c r="X565" t="str">
        <f t="shared" si="150"/>
        <v>No</v>
      </c>
      <c r="Y565" s="2">
        <v>34788</v>
      </c>
      <c r="Z565" t="str">
        <f t="shared" si="136"/>
        <v/>
      </c>
      <c r="AA565" t="str">
        <f t="shared" si="151"/>
        <v/>
      </c>
      <c r="AB565" t="str" cm="1">
        <f t="array" ref="AB565">_xlfn.IFS(Y565&lt;DATE(1996,1,1),"",Y565&lt;DATE(1996,4,1),"Q1",Y565&lt;DATE(1996,7,1),"Q2",Y565&gt;=DATE(1996,7,1),"")</f>
        <v/>
      </c>
    </row>
    <row r="566" spans="1:28" ht="14.4" x14ac:dyDescent="0.55000000000000004">
      <c r="A566" t="str">
        <f>VLOOKUP(L566,Customers!$A$2:$B$92,2,FALSE)</f>
        <v>Folk och fä HB</v>
      </c>
      <c r="B566" t="str">
        <f>VLOOKUP(L566,Customers!$A$2:$C$92,3,TRUE)</f>
        <v>Maria Larsson</v>
      </c>
      <c r="C566" t="str">
        <f t="shared" si="137"/>
        <v>Maria</v>
      </c>
      <c r="D566" s="8" t="str">
        <f t="shared" si="138"/>
        <v>Larsson</v>
      </c>
      <c r="E566" s="8" t="str">
        <f t="shared" si="139"/>
        <v>Larsson, Maria</v>
      </c>
      <c r="F566" s="8" t="str">
        <f t="shared" si="140"/>
        <v>Larsson, Maria</v>
      </c>
      <c r="G566" s="8" t="str">
        <f t="shared" si="141"/>
        <v>not an outlier</v>
      </c>
      <c r="H566" s="8" t="str">
        <f t="shared" si="142"/>
        <v>Not</v>
      </c>
      <c r="I566" s="8" t="str">
        <f t="shared" si="152"/>
        <v>no</v>
      </c>
      <c r="J566" s="10" t="str">
        <f t="shared" si="143"/>
        <v>no</v>
      </c>
      <c r="K566" s="10" t="str">
        <f t="shared" si="144"/>
        <v>no</v>
      </c>
      <c r="L566" t="s">
        <v>191</v>
      </c>
      <c r="M566">
        <v>10460</v>
      </c>
      <c r="N566">
        <v>68</v>
      </c>
      <c r="O566" t="s">
        <v>739</v>
      </c>
      <c r="P566" t="str">
        <f t="shared" si="145"/>
        <v>FOLKO_10460_Scottish Longbreads</v>
      </c>
      <c r="Q566" t="str">
        <f t="shared" si="146"/>
        <v>10460</v>
      </c>
      <c r="R566" t="str">
        <f t="shared" si="147"/>
        <v>10460</v>
      </c>
      <c r="S566" t="str">
        <f t="shared" si="148"/>
        <v>Scottish Longbreads</v>
      </c>
      <c r="T566">
        <v>10</v>
      </c>
      <c r="U566">
        <v>21</v>
      </c>
      <c r="V566">
        <v>0.25</v>
      </c>
      <c r="W566">
        <f t="shared" si="149"/>
        <v>157.5</v>
      </c>
      <c r="X566" t="str">
        <f t="shared" si="150"/>
        <v>No</v>
      </c>
      <c r="Y566" s="2">
        <v>34789</v>
      </c>
      <c r="Z566" t="str">
        <f t="shared" si="136"/>
        <v/>
      </c>
      <c r="AA566" t="str">
        <f t="shared" si="151"/>
        <v/>
      </c>
      <c r="AB566" t="str" cm="1">
        <f t="array" ref="AB566">_xlfn.IFS(Y566&lt;DATE(1996,1,1),"",Y566&lt;DATE(1996,4,1),"Q1",Y566&lt;DATE(1996,7,1),"Q2",Y566&gt;=DATE(1996,7,1),"")</f>
        <v/>
      </c>
    </row>
    <row r="567" spans="1:28" ht="14.4" x14ac:dyDescent="0.55000000000000004">
      <c r="A567" t="str">
        <f>VLOOKUP(L567,Customers!$A$2:$B$92,2,FALSE)</f>
        <v>Folk och fä HB</v>
      </c>
      <c r="B567" t="str">
        <f>VLOOKUP(L567,Customers!$A$2:$C$92,3,TRUE)</f>
        <v>Maria Larsson</v>
      </c>
      <c r="C567" t="str">
        <f t="shared" si="137"/>
        <v>Maria</v>
      </c>
      <c r="D567" s="8" t="str">
        <f t="shared" si="138"/>
        <v>Larsson</v>
      </c>
      <c r="E567" s="8" t="str">
        <f t="shared" si="139"/>
        <v>Larsson, Maria</v>
      </c>
      <c r="F567" s="8" t="str">
        <f t="shared" si="140"/>
        <v>Larsson, Maria</v>
      </c>
      <c r="G567" s="8" t="str">
        <f t="shared" si="141"/>
        <v>not an outlier</v>
      </c>
      <c r="H567" s="8" t="str">
        <f t="shared" si="142"/>
        <v>Not</v>
      </c>
      <c r="I567" s="8" t="str">
        <f t="shared" si="152"/>
        <v>no</v>
      </c>
      <c r="J567" s="10" t="str">
        <f t="shared" si="143"/>
        <v>no</v>
      </c>
      <c r="K567" s="10" t="str">
        <f t="shared" si="144"/>
        <v>no</v>
      </c>
      <c r="L567" t="s">
        <v>191</v>
      </c>
      <c r="M567">
        <v>10460</v>
      </c>
      <c r="N567">
        <v>75</v>
      </c>
      <c r="O567" t="s">
        <v>731</v>
      </c>
      <c r="P567" t="str">
        <f t="shared" si="145"/>
        <v>FOLKO_10460_Rhönbräu Klosterbier</v>
      </c>
      <c r="Q567" t="str">
        <f t="shared" si="146"/>
        <v>10460</v>
      </c>
      <c r="R567" t="str">
        <f t="shared" si="147"/>
        <v>10460</v>
      </c>
      <c r="S567" t="str">
        <f t="shared" si="148"/>
        <v>Rhönbräu Klosterbier</v>
      </c>
      <c r="T567">
        <v>6.2</v>
      </c>
      <c r="U567">
        <v>4</v>
      </c>
      <c r="V567">
        <v>0.25</v>
      </c>
      <c r="W567">
        <f t="shared" si="149"/>
        <v>18.600000000000001</v>
      </c>
      <c r="X567" t="str">
        <f t="shared" si="150"/>
        <v>No</v>
      </c>
      <c r="Y567" s="2">
        <v>34789</v>
      </c>
      <c r="Z567" t="str">
        <f t="shared" si="136"/>
        <v/>
      </c>
      <c r="AA567" t="str">
        <f t="shared" si="151"/>
        <v/>
      </c>
      <c r="AB567" t="str" cm="1">
        <f t="array" ref="AB567">_xlfn.IFS(Y567&lt;DATE(1996,1,1),"",Y567&lt;DATE(1996,4,1),"Q1",Y567&lt;DATE(1996,7,1),"Q2",Y567&gt;=DATE(1996,7,1),"")</f>
        <v/>
      </c>
    </row>
    <row r="568" spans="1:28" ht="14.4" x14ac:dyDescent="0.55000000000000004">
      <c r="A568" t="str">
        <f>VLOOKUP(L568,Customers!$A$2:$B$92,2,FALSE)</f>
        <v>LILA-Supermercado</v>
      </c>
      <c r="B568" t="str">
        <f>VLOOKUP(L568,Customers!$A$2:$C$92,3,TRUE)</f>
        <v>Carlos González</v>
      </c>
      <c r="C568" t="str">
        <f t="shared" si="137"/>
        <v>Carlos</v>
      </c>
      <c r="D568" s="8" t="str">
        <f t="shared" si="138"/>
        <v>González</v>
      </c>
      <c r="E568" s="8" t="str">
        <f t="shared" si="139"/>
        <v>González, Carlos</v>
      </c>
      <c r="F568" s="8" t="str">
        <f t="shared" si="140"/>
        <v>González, Carlos</v>
      </c>
      <c r="G568" s="8" t="str">
        <f t="shared" si="141"/>
        <v>not an outlier</v>
      </c>
      <c r="H568" s="8" t="str">
        <f t="shared" si="142"/>
        <v>Not</v>
      </c>
      <c r="I568" s="8" t="str">
        <f t="shared" si="152"/>
        <v>no</v>
      </c>
      <c r="J568" s="10" t="str">
        <f t="shared" si="143"/>
        <v>no</v>
      </c>
      <c r="K568" s="10" t="str">
        <f t="shared" si="144"/>
        <v>no</v>
      </c>
      <c r="L568" t="s">
        <v>355</v>
      </c>
      <c r="M568">
        <v>10461</v>
      </c>
      <c r="N568">
        <v>21</v>
      </c>
      <c r="O568" t="s">
        <v>710</v>
      </c>
      <c r="P568" t="str">
        <f t="shared" si="145"/>
        <v>LILAS_10461_Sir Rodney's Scones</v>
      </c>
      <c r="Q568" t="str">
        <f t="shared" si="146"/>
        <v>10461</v>
      </c>
      <c r="R568" t="str">
        <f t="shared" si="147"/>
        <v>10461</v>
      </c>
      <c r="S568" t="str">
        <f t="shared" si="148"/>
        <v>Sir Rodney's Scones</v>
      </c>
      <c r="T568">
        <v>8</v>
      </c>
      <c r="U568">
        <v>40</v>
      </c>
      <c r="V568">
        <v>0.25</v>
      </c>
      <c r="W568">
        <f t="shared" si="149"/>
        <v>240</v>
      </c>
      <c r="X568" t="str">
        <f t="shared" si="150"/>
        <v>No</v>
      </c>
      <c r="Y568" s="2">
        <v>34789</v>
      </c>
      <c r="Z568" t="str">
        <f t="shared" si="136"/>
        <v/>
      </c>
      <c r="AA568" t="str">
        <f t="shared" si="151"/>
        <v/>
      </c>
      <c r="AB568" t="str" cm="1">
        <f t="array" ref="AB568">_xlfn.IFS(Y568&lt;DATE(1996,1,1),"",Y568&lt;DATE(1996,4,1),"Q1",Y568&lt;DATE(1996,7,1),"Q2",Y568&gt;=DATE(1996,7,1),"")</f>
        <v/>
      </c>
    </row>
    <row r="569" spans="1:28" ht="14.4" x14ac:dyDescent="0.55000000000000004">
      <c r="A569" t="str">
        <f>VLOOKUP(L569,Customers!$A$2:$B$92,2,FALSE)</f>
        <v>LILA-Supermercado</v>
      </c>
      <c r="B569" t="str">
        <f>VLOOKUP(L569,Customers!$A$2:$C$92,3,TRUE)</f>
        <v>Carlos González</v>
      </c>
      <c r="C569" t="str">
        <f t="shared" si="137"/>
        <v>Carlos</v>
      </c>
      <c r="D569" s="8" t="str">
        <f t="shared" si="138"/>
        <v>González</v>
      </c>
      <c r="E569" s="8" t="str">
        <f t="shared" si="139"/>
        <v>González, Carlos</v>
      </c>
      <c r="F569" s="8" t="str">
        <f t="shared" si="140"/>
        <v>González, Carlos</v>
      </c>
      <c r="G569" s="8" t="str">
        <f t="shared" si="141"/>
        <v>not an outlier</v>
      </c>
      <c r="H569" s="8" t="str">
        <f t="shared" si="142"/>
        <v>Not</v>
      </c>
      <c r="I569" s="8" t="str">
        <f t="shared" si="152"/>
        <v>no</v>
      </c>
      <c r="J569" s="10" t="str">
        <f t="shared" si="143"/>
        <v>no</v>
      </c>
      <c r="K569" s="10" t="str">
        <f t="shared" si="144"/>
        <v>no</v>
      </c>
      <c r="L569" t="s">
        <v>355</v>
      </c>
      <c r="M569">
        <v>10461</v>
      </c>
      <c r="N569">
        <v>30</v>
      </c>
      <c r="O569" t="s">
        <v>717</v>
      </c>
      <c r="P569" t="str">
        <f t="shared" si="145"/>
        <v>LILAS_10461_Nord-Ost Matjeshering</v>
      </c>
      <c r="Q569" t="str">
        <f t="shared" si="146"/>
        <v>10461</v>
      </c>
      <c r="R569" t="str">
        <f t="shared" si="147"/>
        <v>10461</v>
      </c>
      <c r="S569" t="str">
        <f t="shared" si="148"/>
        <v>Nord-Ost Matjeshering</v>
      </c>
      <c r="T569">
        <v>20.7</v>
      </c>
      <c r="U569">
        <v>28</v>
      </c>
      <c r="V569">
        <v>0.25</v>
      </c>
      <c r="W569">
        <f t="shared" si="149"/>
        <v>434.70000000000005</v>
      </c>
      <c r="X569" t="str">
        <f t="shared" si="150"/>
        <v>No</v>
      </c>
      <c r="Y569" s="2">
        <v>34789</v>
      </c>
      <c r="Z569" t="str">
        <f t="shared" si="136"/>
        <v/>
      </c>
      <c r="AA569" t="str">
        <f t="shared" si="151"/>
        <v/>
      </c>
      <c r="AB569" t="str" cm="1">
        <f t="array" ref="AB569">_xlfn.IFS(Y569&lt;DATE(1996,1,1),"",Y569&lt;DATE(1996,4,1),"Q1",Y569&lt;DATE(1996,7,1),"Q2",Y569&gt;=DATE(1996,7,1),"")</f>
        <v/>
      </c>
    </row>
    <row r="570" spans="1:28" ht="14.4" x14ac:dyDescent="0.55000000000000004">
      <c r="A570" t="str">
        <f>VLOOKUP(L570,Customers!$A$2:$B$92,2,FALSE)</f>
        <v>LILA-Supermercado</v>
      </c>
      <c r="B570" t="str">
        <f>VLOOKUP(L570,Customers!$A$2:$C$92,3,TRUE)</f>
        <v>Carlos González</v>
      </c>
      <c r="C570" t="str">
        <f t="shared" si="137"/>
        <v>Carlos</v>
      </c>
      <c r="D570" s="8" t="str">
        <f t="shared" si="138"/>
        <v>González</v>
      </c>
      <c r="E570" s="8" t="str">
        <f t="shared" si="139"/>
        <v>González, Carlos</v>
      </c>
      <c r="F570" s="8" t="str">
        <f t="shared" si="140"/>
        <v>González, Carlos</v>
      </c>
      <c r="G570" s="8" t="str">
        <f t="shared" si="141"/>
        <v>not an outlier</v>
      </c>
      <c r="H570" s="8" t="str">
        <f t="shared" si="142"/>
        <v>Not</v>
      </c>
      <c r="I570" s="8" t="str">
        <f t="shared" si="152"/>
        <v>no</v>
      </c>
      <c r="J570" s="10" t="str">
        <f t="shared" si="143"/>
        <v>no</v>
      </c>
      <c r="K570" s="10" t="str">
        <f t="shared" si="144"/>
        <v>no</v>
      </c>
      <c r="L570" t="s">
        <v>355</v>
      </c>
      <c r="M570">
        <v>10461</v>
      </c>
      <c r="N570">
        <v>55</v>
      </c>
      <c r="O570" t="s">
        <v>699</v>
      </c>
      <c r="P570" t="str">
        <f t="shared" si="145"/>
        <v>LILAS_10461_Pâté chinois</v>
      </c>
      <c r="Q570" t="str">
        <f t="shared" si="146"/>
        <v>10461</v>
      </c>
      <c r="R570" t="str">
        <f t="shared" si="147"/>
        <v>10461</v>
      </c>
      <c r="S570" t="str">
        <f t="shared" si="148"/>
        <v>Pâté chinois</v>
      </c>
      <c r="T570">
        <v>19.2</v>
      </c>
      <c r="U570">
        <v>60</v>
      </c>
      <c r="V570">
        <v>0.25</v>
      </c>
      <c r="W570">
        <f t="shared" si="149"/>
        <v>864</v>
      </c>
      <c r="X570" t="str">
        <f t="shared" si="150"/>
        <v>No</v>
      </c>
      <c r="Y570" s="2">
        <v>34789</v>
      </c>
      <c r="Z570" t="str">
        <f t="shared" si="136"/>
        <v/>
      </c>
      <c r="AA570" t="str">
        <f t="shared" si="151"/>
        <v/>
      </c>
      <c r="AB570" t="str" cm="1">
        <f t="array" ref="AB570">_xlfn.IFS(Y570&lt;DATE(1996,1,1),"",Y570&lt;DATE(1996,4,1),"Q1",Y570&lt;DATE(1996,7,1),"Q2",Y570&gt;=DATE(1996,7,1),"")</f>
        <v/>
      </c>
    </row>
    <row r="571" spans="1:28" ht="14.4" x14ac:dyDescent="0.55000000000000004">
      <c r="A571" t="str">
        <f>VLOOKUP(L571,Customers!$A$2:$B$92,2,FALSE)</f>
        <v>Consolidated Holdings</v>
      </c>
      <c r="B571" t="str">
        <f>VLOOKUP(L571,Customers!$A$2:$C$92,3,TRUE)</f>
        <v>Elizabeth Brown</v>
      </c>
      <c r="C571" t="str">
        <f t="shared" si="137"/>
        <v>Elizabeth</v>
      </c>
      <c r="D571" s="8" t="str">
        <f t="shared" si="138"/>
        <v>Brown</v>
      </c>
      <c r="E571" s="8" t="str">
        <f t="shared" si="139"/>
        <v>Brown, Elizabeth</v>
      </c>
      <c r="F571" s="8" t="str">
        <f t="shared" si="140"/>
        <v>Brown, Elizabeth</v>
      </c>
      <c r="G571" s="8" t="str">
        <f t="shared" si="141"/>
        <v>not an outlier</v>
      </c>
      <c r="H571" s="8" t="str">
        <f t="shared" si="142"/>
        <v>Not</v>
      </c>
      <c r="I571" s="8" t="str">
        <f t="shared" si="152"/>
        <v>no</v>
      </c>
      <c r="J571" s="10" t="str">
        <f t="shared" si="143"/>
        <v>no</v>
      </c>
      <c r="K571" s="10" t="str">
        <f t="shared" si="144"/>
        <v>no</v>
      </c>
      <c r="L571" t="s">
        <v>133</v>
      </c>
      <c r="M571">
        <v>10462</v>
      </c>
      <c r="N571">
        <v>13</v>
      </c>
      <c r="O571" t="s">
        <v>726</v>
      </c>
      <c r="P571" t="str">
        <f t="shared" si="145"/>
        <v>CONSH_10462_Konbu</v>
      </c>
      <c r="Q571" t="str">
        <f t="shared" si="146"/>
        <v>10462</v>
      </c>
      <c r="R571" t="str">
        <f t="shared" si="147"/>
        <v>10462</v>
      </c>
      <c r="S571" t="str">
        <f t="shared" si="148"/>
        <v>Konbu</v>
      </c>
      <c r="T571">
        <v>4.8</v>
      </c>
      <c r="U571">
        <v>1</v>
      </c>
      <c r="V571">
        <v>0</v>
      </c>
      <c r="W571">
        <f t="shared" si="149"/>
        <v>4.8</v>
      </c>
      <c r="X571" t="str">
        <f t="shared" si="150"/>
        <v>No</v>
      </c>
      <c r="Y571" s="2">
        <v>34792</v>
      </c>
      <c r="Z571" t="str">
        <f t="shared" si="136"/>
        <v/>
      </c>
      <c r="AA571" t="str">
        <f t="shared" si="151"/>
        <v/>
      </c>
      <c r="AB571" t="str" cm="1">
        <f t="array" ref="AB571">_xlfn.IFS(Y571&lt;DATE(1996,1,1),"",Y571&lt;DATE(1996,4,1),"Q1",Y571&lt;DATE(1996,7,1),"Q2",Y571&gt;=DATE(1996,7,1),"")</f>
        <v/>
      </c>
    </row>
    <row r="572" spans="1:28" ht="14.4" x14ac:dyDescent="0.55000000000000004">
      <c r="A572" t="str">
        <f>VLOOKUP(L572,Customers!$A$2:$B$92,2,FALSE)</f>
        <v>Consolidated Holdings</v>
      </c>
      <c r="B572" t="str">
        <f>VLOOKUP(L572,Customers!$A$2:$C$92,3,TRUE)</f>
        <v>Elizabeth Brown</v>
      </c>
      <c r="C572" t="str">
        <f t="shared" si="137"/>
        <v>Elizabeth</v>
      </c>
      <c r="D572" s="8" t="str">
        <f t="shared" si="138"/>
        <v>Brown</v>
      </c>
      <c r="E572" s="8" t="str">
        <f t="shared" si="139"/>
        <v>Brown, Elizabeth</v>
      </c>
      <c r="F572" s="8" t="str">
        <f t="shared" si="140"/>
        <v>Brown, Elizabeth</v>
      </c>
      <c r="G572" s="8" t="str">
        <f t="shared" si="141"/>
        <v>not an outlier</v>
      </c>
      <c r="H572" s="8" t="str">
        <f t="shared" si="142"/>
        <v>Not</v>
      </c>
      <c r="I572" s="8" t="str">
        <f t="shared" si="152"/>
        <v>no</v>
      </c>
      <c r="J572" s="10" t="str">
        <f t="shared" si="143"/>
        <v>no</v>
      </c>
      <c r="K572" s="10" t="str">
        <f t="shared" si="144"/>
        <v>no</v>
      </c>
      <c r="L572" t="s">
        <v>133</v>
      </c>
      <c r="M572">
        <v>10462</v>
      </c>
      <c r="N572">
        <v>23</v>
      </c>
      <c r="O572" t="s">
        <v>753</v>
      </c>
      <c r="P572" t="str">
        <f t="shared" si="145"/>
        <v>CONSH_10462_Tunnbröd</v>
      </c>
      <c r="Q572" t="str">
        <f t="shared" si="146"/>
        <v>10462</v>
      </c>
      <c r="R572" t="str">
        <f t="shared" si="147"/>
        <v>10462</v>
      </c>
      <c r="S572" t="str">
        <f t="shared" si="148"/>
        <v>Tunnbröd</v>
      </c>
      <c r="T572">
        <v>7.2</v>
      </c>
      <c r="U572">
        <v>21</v>
      </c>
      <c r="V572">
        <v>0</v>
      </c>
      <c r="W572">
        <f t="shared" si="149"/>
        <v>151.20000000000002</v>
      </c>
      <c r="X572" t="str">
        <f t="shared" si="150"/>
        <v>No</v>
      </c>
      <c r="Y572" s="2">
        <v>34792</v>
      </c>
      <c r="Z572" t="str">
        <f t="shared" si="136"/>
        <v/>
      </c>
      <c r="AA572" t="str">
        <f t="shared" si="151"/>
        <v/>
      </c>
      <c r="AB572" t="str" cm="1">
        <f t="array" ref="AB572">_xlfn.IFS(Y572&lt;DATE(1996,1,1),"",Y572&lt;DATE(1996,4,1),"Q1",Y572&lt;DATE(1996,7,1),"Q2",Y572&gt;=DATE(1996,7,1),"")</f>
        <v/>
      </c>
    </row>
    <row r="573" spans="1:28" ht="14.4" x14ac:dyDescent="0.55000000000000004">
      <c r="A573" t="str">
        <f>VLOOKUP(L573,Customers!$A$2:$B$92,2,FALSE)</f>
        <v>Suprêmes délices</v>
      </c>
      <c r="B573" t="str">
        <f>VLOOKUP(L573,Customers!$A$2:$C$92,3,TRUE)</f>
        <v>Pascale Cartrain</v>
      </c>
      <c r="C573" t="str">
        <f t="shared" si="137"/>
        <v>Pascale</v>
      </c>
      <c r="D573" s="8" t="str">
        <f t="shared" si="138"/>
        <v>Cartrain</v>
      </c>
      <c r="E573" s="8" t="str">
        <f t="shared" si="139"/>
        <v>Cartrain, Pascale</v>
      </c>
      <c r="F573" s="8" t="str">
        <f t="shared" si="140"/>
        <v>Cartrain, Pascale</v>
      </c>
      <c r="G573" s="8" t="str">
        <f t="shared" si="141"/>
        <v>not an outlier</v>
      </c>
      <c r="H573" s="8" t="str">
        <f t="shared" si="142"/>
        <v>Not</v>
      </c>
      <c r="I573" s="8" t="str">
        <f t="shared" si="152"/>
        <v>no</v>
      </c>
      <c r="J573" s="10" t="str">
        <f t="shared" si="143"/>
        <v>no</v>
      </c>
      <c r="K573" s="10" t="str">
        <f t="shared" si="144"/>
        <v>no</v>
      </c>
      <c r="L573" t="s">
        <v>565</v>
      </c>
      <c r="M573">
        <v>10463</v>
      </c>
      <c r="N573">
        <v>19</v>
      </c>
      <c r="O573" t="s">
        <v>732</v>
      </c>
      <c r="P573" t="str">
        <f t="shared" si="145"/>
        <v>SUPRD_10463_Teatime Chocolate Biscuits</v>
      </c>
      <c r="Q573" t="str">
        <f t="shared" si="146"/>
        <v>10463</v>
      </c>
      <c r="R573" t="str">
        <f t="shared" si="147"/>
        <v>10463</v>
      </c>
      <c r="S573" t="str">
        <f t="shared" si="148"/>
        <v>Teatime Chocolate Biscuits</v>
      </c>
      <c r="T573">
        <v>7.3</v>
      </c>
      <c r="U573">
        <v>21</v>
      </c>
      <c r="V573">
        <v>0</v>
      </c>
      <c r="W573">
        <f t="shared" si="149"/>
        <v>153.29999999999998</v>
      </c>
      <c r="X573" t="str">
        <f t="shared" si="150"/>
        <v>No</v>
      </c>
      <c r="Y573" s="2">
        <v>34793</v>
      </c>
      <c r="Z573" t="str">
        <f t="shared" si="136"/>
        <v/>
      </c>
      <c r="AA573" t="str">
        <f t="shared" si="151"/>
        <v/>
      </c>
      <c r="AB573" t="str" cm="1">
        <f t="array" ref="AB573">_xlfn.IFS(Y573&lt;DATE(1996,1,1),"",Y573&lt;DATE(1996,4,1),"Q1",Y573&lt;DATE(1996,7,1),"Q2",Y573&gt;=DATE(1996,7,1),"")</f>
        <v/>
      </c>
    </row>
    <row r="574" spans="1:28" ht="14.4" x14ac:dyDescent="0.55000000000000004">
      <c r="A574" t="str">
        <f>VLOOKUP(L574,Customers!$A$2:$B$92,2,FALSE)</f>
        <v>Suprêmes délices</v>
      </c>
      <c r="B574" t="str">
        <f>VLOOKUP(L574,Customers!$A$2:$C$92,3,TRUE)</f>
        <v>Pascale Cartrain</v>
      </c>
      <c r="C574" t="str">
        <f t="shared" si="137"/>
        <v>Pascale</v>
      </c>
      <c r="D574" s="8" t="str">
        <f t="shared" si="138"/>
        <v>Cartrain</v>
      </c>
      <c r="E574" s="8" t="str">
        <f t="shared" si="139"/>
        <v>Cartrain, Pascale</v>
      </c>
      <c r="F574" s="8" t="str">
        <f t="shared" si="140"/>
        <v>Cartrain, Pascale</v>
      </c>
      <c r="G574" s="8" t="str">
        <f t="shared" si="141"/>
        <v>not an outlier</v>
      </c>
      <c r="H574" s="8" t="str">
        <f t="shared" si="142"/>
        <v>Not</v>
      </c>
      <c r="I574" s="8" t="str">
        <f t="shared" si="152"/>
        <v>no</v>
      </c>
      <c r="J574" s="10" t="str">
        <f t="shared" si="143"/>
        <v>no</v>
      </c>
      <c r="K574" s="10" t="str">
        <f t="shared" si="144"/>
        <v>no</v>
      </c>
      <c r="L574" t="s">
        <v>565</v>
      </c>
      <c r="M574">
        <v>10463</v>
      </c>
      <c r="N574">
        <v>42</v>
      </c>
      <c r="O574" t="s">
        <v>684</v>
      </c>
      <c r="P574" t="str">
        <f t="shared" si="145"/>
        <v>SUPRD_10463_Singaporean Hokkien Fried Mee</v>
      </c>
      <c r="Q574" t="str">
        <f t="shared" si="146"/>
        <v>10463</v>
      </c>
      <c r="R574" t="str">
        <f t="shared" si="147"/>
        <v>10463</v>
      </c>
      <c r="S574" t="str">
        <f t="shared" si="148"/>
        <v>Singaporean Hokkien Fried Mee</v>
      </c>
      <c r="T574">
        <v>11.2</v>
      </c>
      <c r="U574">
        <v>50</v>
      </c>
      <c r="V574">
        <v>0</v>
      </c>
      <c r="W574">
        <f t="shared" si="149"/>
        <v>560</v>
      </c>
      <c r="X574" t="str">
        <f t="shared" si="150"/>
        <v>No</v>
      </c>
      <c r="Y574" s="2">
        <v>34793</v>
      </c>
      <c r="Z574" t="str">
        <f t="shared" si="136"/>
        <v/>
      </c>
      <c r="AA574" t="str">
        <f t="shared" si="151"/>
        <v/>
      </c>
      <c r="AB574" t="str" cm="1">
        <f t="array" ref="AB574">_xlfn.IFS(Y574&lt;DATE(1996,1,1),"",Y574&lt;DATE(1996,4,1),"Q1",Y574&lt;DATE(1996,7,1),"Q2",Y574&gt;=DATE(1996,7,1),"")</f>
        <v/>
      </c>
    </row>
    <row r="575" spans="1:28" ht="14.4" x14ac:dyDescent="0.55000000000000004">
      <c r="A575" t="str">
        <f>VLOOKUP(L575,Customers!$A$2:$B$92,2,FALSE)</f>
        <v>Furia Bacalhau e Frutos do Mar</v>
      </c>
      <c r="B575" t="str">
        <f>VLOOKUP(L575,Customers!$A$2:$C$92,3,TRUE)</f>
        <v>Lino Rodriguez</v>
      </c>
      <c r="C575" t="str">
        <f t="shared" si="137"/>
        <v>Lino</v>
      </c>
      <c r="D575" s="8" t="str">
        <f t="shared" si="138"/>
        <v>Rodriguez</v>
      </c>
      <c r="E575" s="8" t="str">
        <f t="shared" si="139"/>
        <v>Rodriguez, Lino</v>
      </c>
      <c r="F575" s="8" t="str">
        <f t="shared" si="140"/>
        <v>Rodriguez, Lino</v>
      </c>
      <c r="G575" s="8" t="str">
        <f t="shared" si="141"/>
        <v>not an outlier</v>
      </c>
      <c r="H575" s="8" t="str">
        <f t="shared" si="142"/>
        <v>Not</v>
      </c>
      <c r="I575" s="8" t="str">
        <f t="shared" si="152"/>
        <v>no</v>
      </c>
      <c r="J575" s="10" t="str">
        <f t="shared" si="143"/>
        <v>no</v>
      </c>
      <c r="K575" s="10" t="str">
        <f t="shared" si="144"/>
        <v>no</v>
      </c>
      <c r="L575" t="s">
        <v>219</v>
      </c>
      <c r="M575">
        <v>10464</v>
      </c>
      <c r="N575">
        <v>4</v>
      </c>
      <c r="O575" t="s">
        <v>745</v>
      </c>
      <c r="P575" t="str">
        <f t="shared" si="145"/>
        <v>FURIB_10464_Chef Anton's Cajun Seasoning</v>
      </c>
      <c r="Q575" t="str">
        <f t="shared" si="146"/>
        <v>10464</v>
      </c>
      <c r="R575" t="str">
        <f t="shared" si="147"/>
        <v>10464</v>
      </c>
      <c r="S575" t="str">
        <f t="shared" si="148"/>
        <v>Chef Anton's Cajun Seasoning</v>
      </c>
      <c r="T575">
        <v>17.600000000000001</v>
      </c>
      <c r="U575">
        <v>16</v>
      </c>
      <c r="V575">
        <v>0.2</v>
      </c>
      <c r="W575">
        <f t="shared" si="149"/>
        <v>225.28000000000003</v>
      </c>
      <c r="X575" t="str">
        <f t="shared" si="150"/>
        <v>No</v>
      </c>
      <c r="Y575" s="2">
        <v>34793</v>
      </c>
      <c r="Z575" t="str">
        <f t="shared" si="136"/>
        <v/>
      </c>
      <c r="AA575" t="str">
        <f t="shared" si="151"/>
        <v/>
      </c>
      <c r="AB575" t="str" cm="1">
        <f t="array" ref="AB575">_xlfn.IFS(Y575&lt;DATE(1996,1,1),"",Y575&lt;DATE(1996,4,1),"Q1",Y575&lt;DATE(1996,7,1),"Q2",Y575&gt;=DATE(1996,7,1),"")</f>
        <v/>
      </c>
    </row>
    <row r="576" spans="1:28" ht="14.4" x14ac:dyDescent="0.55000000000000004">
      <c r="A576" t="str">
        <f>VLOOKUP(L576,Customers!$A$2:$B$92,2,FALSE)</f>
        <v>Furia Bacalhau e Frutos do Mar</v>
      </c>
      <c r="B576" t="str">
        <f>VLOOKUP(L576,Customers!$A$2:$C$92,3,TRUE)</f>
        <v>Lino Rodriguez</v>
      </c>
      <c r="C576" t="str">
        <f t="shared" si="137"/>
        <v>Lino</v>
      </c>
      <c r="D576" s="8" t="str">
        <f t="shared" si="138"/>
        <v>Rodriguez</v>
      </c>
      <c r="E576" s="8" t="str">
        <f t="shared" si="139"/>
        <v>Rodriguez, Lino</v>
      </c>
      <c r="F576" s="8" t="str">
        <f t="shared" si="140"/>
        <v>Rodriguez, Lino</v>
      </c>
      <c r="G576" s="8" t="str">
        <f t="shared" si="141"/>
        <v>not an outlier</v>
      </c>
      <c r="H576" s="8" t="str">
        <f t="shared" si="142"/>
        <v>Not</v>
      </c>
      <c r="I576" s="8" t="str">
        <f t="shared" si="152"/>
        <v>no</v>
      </c>
      <c r="J576" s="10" t="str">
        <f t="shared" si="143"/>
        <v>no</v>
      </c>
      <c r="K576" s="10" t="str">
        <f t="shared" si="144"/>
        <v>no</v>
      </c>
      <c r="L576" t="s">
        <v>219</v>
      </c>
      <c r="M576">
        <v>10464</v>
      </c>
      <c r="N576">
        <v>43</v>
      </c>
      <c r="O576" t="s">
        <v>723</v>
      </c>
      <c r="P576" t="str">
        <f t="shared" si="145"/>
        <v>FURIB_10464_Ipoh Coffee</v>
      </c>
      <c r="Q576" t="str">
        <f t="shared" si="146"/>
        <v>10464</v>
      </c>
      <c r="R576" t="str">
        <f t="shared" si="147"/>
        <v>10464</v>
      </c>
      <c r="S576" t="str">
        <f t="shared" si="148"/>
        <v>Ipoh Coffee</v>
      </c>
      <c r="T576">
        <v>36.799999999999997</v>
      </c>
      <c r="U576">
        <v>3</v>
      </c>
      <c r="V576">
        <v>0</v>
      </c>
      <c r="W576">
        <f t="shared" si="149"/>
        <v>110.39999999999999</v>
      </c>
      <c r="X576" t="str">
        <f t="shared" si="150"/>
        <v>No</v>
      </c>
      <c r="Y576" s="2">
        <v>34793</v>
      </c>
      <c r="Z576" t="str">
        <f t="shared" si="136"/>
        <v/>
      </c>
      <c r="AA576" t="str">
        <f t="shared" si="151"/>
        <v/>
      </c>
      <c r="AB576" t="str" cm="1">
        <f t="array" ref="AB576">_xlfn.IFS(Y576&lt;DATE(1996,1,1),"",Y576&lt;DATE(1996,4,1),"Q1",Y576&lt;DATE(1996,7,1),"Q2",Y576&gt;=DATE(1996,7,1),"")</f>
        <v/>
      </c>
    </row>
    <row r="577" spans="1:28" ht="14.4" x14ac:dyDescent="0.55000000000000004">
      <c r="A577" t="str">
        <f>VLOOKUP(L577,Customers!$A$2:$B$92,2,FALSE)</f>
        <v>Furia Bacalhau e Frutos do Mar</v>
      </c>
      <c r="B577" t="str">
        <f>VLOOKUP(L577,Customers!$A$2:$C$92,3,TRUE)</f>
        <v>Lino Rodriguez</v>
      </c>
      <c r="C577" t="str">
        <f t="shared" si="137"/>
        <v>Lino</v>
      </c>
      <c r="D577" s="8" t="str">
        <f t="shared" si="138"/>
        <v>Rodriguez</v>
      </c>
      <c r="E577" s="8" t="str">
        <f t="shared" si="139"/>
        <v>Rodriguez, Lino</v>
      </c>
      <c r="F577" s="8" t="str">
        <f t="shared" si="140"/>
        <v>Rodriguez, Lino</v>
      </c>
      <c r="G577" s="8" t="str">
        <f t="shared" si="141"/>
        <v>not an outlier</v>
      </c>
      <c r="H577" s="8" t="str">
        <f t="shared" si="142"/>
        <v>Not</v>
      </c>
      <c r="I577" s="8" t="str">
        <f t="shared" si="152"/>
        <v>no</v>
      </c>
      <c r="J577" s="10" t="str">
        <f t="shared" si="143"/>
        <v>no</v>
      </c>
      <c r="K577" s="10" t="str">
        <f t="shared" si="144"/>
        <v>no</v>
      </c>
      <c r="L577" t="s">
        <v>219</v>
      </c>
      <c r="M577">
        <v>10464</v>
      </c>
      <c r="N577">
        <v>56</v>
      </c>
      <c r="O577" t="s">
        <v>716</v>
      </c>
      <c r="P577" t="str">
        <f t="shared" si="145"/>
        <v>FURIB_10464_Gnocchi di nonna Alice</v>
      </c>
      <c r="Q577" t="str">
        <f t="shared" si="146"/>
        <v>10464</v>
      </c>
      <c r="R577" t="str">
        <f t="shared" si="147"/>
        <v>10464</v>
      </c>
      <c r="S577" t="str">
        <f t="shared" si="148"/>
        <v>Gnocchi di nonna Alice</v>
      </c>
      <c r="T577">
        <v>30.4</v>
      </c>
      <c r="U577">
        <v>30</v>
      </c>
      <c r="V577">
        <v>0.2</v>
      </c>
      <c r="W577">
        <f t="shared" si="149"/>
        <v>729.6</v>
      </c>
      <c r="X577" t="str">
        <f t="shared" si="150"/>
        <v>No</v>
      </c>
      <c r="Y577" s="2">
        <v>34793</v>
      </c>
      <c r="Z577" t="str">
        <f t="shared" ref="Z577:Z640" si="153">IF(Y577&gt;=DATE(1996,1,1), IF(Y577&lt;DATE(1996,4,1),"1st Q 1996",""),"")</f>
        <v/>
      </c>
      <c r="AA577" t="str">
        <f t="shared" si="151"/>
        <v/>
      </c>
      <c r="AB577" t="str" cm="1">
        <f t="array" ref="AB577">_xlfn.IFS(Y577&lt;DATE(1996,1,1),"",Y577&lt;DATE(1996,4,1),"Q1",Y577&lt;DATE(1996,7,1),"Q2",Y577&gt;=DATE(1996,7,1),"")</f>
        <v/>
      </c>
    </row>
    <row r="578" spans="1:28" ht="14.4" x14ac:dyDescent="0.55000000000000004">
      <c r="A578" t="str">
        <f>VLOOKUP(L578,Customers!$A$2:$B$92,2,FALSE)</f>
        <v>Furia Bacalhau e Frutos do Mar</v>
      </c>
      <c r="B578" t="str">
        <f>VLOOKUP(L578,Customers!$A$2:$C$92,3,TRUE)</f>
        <v>Lino Rodriguez</v>
      </c>
      <c r="C578" t="str">
        <f t="shared" si="137"/>
        <v>Lino</v>
      </c>
      <c r="D578" s="8" t="str">
        <f t="shared" si="138"/>
        <v>Rodriguez</v>
      </c>
      <c r="E578" s="8" t="str">
        <f t="shared" si="139"/>
        <v>Rodriguez, Lino</v>
      </c>
      <c r="F578" s="8" t="str">
        <f t="shared" si="140"/>
        <v>Rodriguez, Lino</v>
      </c>
      <c r="G578" s="8" t="str">
        <f t="shared" si="141"/>
        <v>not an outlier</v>
      </c>
      <c r="H578" s="8" t="str">
        <f t="shared" si="142"/>
        <v>Not</v>
      </c>
      <c r="I578" s="8" t="str">
        <f t="shared" si="152"/>
        <v>no</v>
      </c>
      <c r="J578" s="10" t="str">
        <f t="shared" si="143"/>
        <v>no</v>
      </c>
      <c r="K578" s="10" t="str">
        <f t="shared" si="144"/>
        <v>no</v>
      </c>
      <c r="L578" t="s">
        <v>219</v>
      </c>
      <c r="M578">
        <v>10464</v>
      </c>
      <c r="N578">
        <v>60</v>
      </c>
      <c r="O578" t="s">
        <v>694</v>
      </c>
      <c r="P578" t="str">
        <f t="shared" si="145"/>
        <v>FURIB_10464_Camembert Pierrot</v>
      </c>
      <c r="Q578" t="str">
        <f t="shared" si="146"/>
        <v>10464</v>
      </c>
      <c r="R578" t="str">
        <f t="shared" si="147"/>
        <v>10464</v>
      </c>
      <c r="S578" t="str">
        <f t="shared" si="148"/>
        <v>Camembert Pierrot</v>
      </c>
      <c r="T578">
        <v>27.2</v>
      </c>
      <c r="U578">
        <v>20</v>
      </c>
      <c r="V578">
        <v>0</v>
      </c>
      <c r="W578">
        <f t="shared" si="149"/>
        <v>544</v>
      </c>
      <c r="X578" t="str">
        <f t="shared" si="150"/>
        <v>No</v>
      </c>
      <c r="Y578" s="2">
        <v>34793</v>
      </c>
      <c r="Z578" t="str">
        <f t="shared" si="153"/>
        <v/>
      </c>
      <c r="AA578" t="str">
        <f t="shared" si="151"/>
        <v/>
      </c>
      <c r="AB578" t="str" cm="1">
        <f t="array" ref="AB578">_xlfn.IFS(Y578&lt;DATE(1996,1,1),"",Y578&lt;DATE(1996,4,1),"Q1",Y578&lt;DATE(1996,7,1),"Q2",Y578&gt;=DATE(1996,7,1),"")</f>
        <v/>
      </c>
    </row>
    <row r="579" spans="1:28" ht="14.4" x14ac:dyDescent="0.55000000000000004">
      <c r="A579" t="str">
        <f>VLOOKUP(L579,Customers!$A$2:$B$92,2,FALSE)</f>
        <v>Vaffeljernet</v>
      </c>
      <c r="B579" t="str">
        <f>VLOOKUP(L579,Customers!$A$2:$C$92,3,TRUE)</f>
        <v>Palle Ibsen</v>
      </c>
      <c r="C579" t="str">
        <f t="shared" ref="C579:C642" si="154">LEFT(B579,FIND(" ",B579)-1)</f>
        <v>Palle</v>
      </c>
      <c r="D579" s="8" t="str">
        <f t="shared" ref="D579:D642" si="155">RIGHT(B579,LEN(B579)-FIND(" ",B579))</f>
        <v>Ibsen</v>
      </c>
      <c r="E579" s="8" t="str">
        <f t="shared" ref="E579:E642" si="156">_xlfn.CONCAT(D579,", ",C579)</f>
        <v>Ibsen, Palle</v>
      </c>
      <c r="F579" s="8" t="str">
        <f t="shared" ref="F579:F642" si="157">D579&amp;", "&amp;C579</f>
        <v>Ibsen, Palle</v>
      </c>
      <c r="G579" s="8" t="str">
        <f t="shared" ref="G579:G642" si="158">IF(OR(W579&gt;$W$2166,W579&lt;$W$2167),"outlier","not an outlier")</f>
        <v>not an outlier</v>
      </c>
      <c r="H579" s="8" t="str">
        <f t="shared" ref="H579:H642" si="159">IF(OR(W579&gt;$W$2166,W579&lt;$W$2167),"outlier",IF(OR(W579&gt;$W$2168,W579&lt;$W$2169),"moderate","Not"))</f>
        <v>Not</v>
      </c>
      <c r="I579" s="8" t="str">
        <f t="shared" si="152"/>
        <v>no</v>
      </c>
      <c r="J579" s="10" t="str">
        <f t="shared" ref="J579:J642" si="160">IF(AND(W579&lt;=$W$2166,W579&gt;=$W$2167),"no","yes")</f>
        <v>no</v>
      </c>
      <c r="K579" s="10" t="str">
        <f t="shared" ref="K579:K642" si="161">IF(OR(W579&gt;$W$2166,W579&lt;$W$2167),"yes",IF(OR(W579&gt;$W$2168,W579&lt;$W$2169),"moderate","no"))</f>
        <v>no</v>
      </c>
      <c r="L579" t="s">
        <v>612</v>
      </c>
      <c r="M579">
        <v>10465</v>
      </c>
      <c r="N579">
        <v>24</v>
      </c>
      <c r="O579" t="s">
        <v>698</v>
      </c>
      <c r="P579" t="str">
        <f t="shared" ref="P579:P642" si="162">L579&amp;"_"&amp;M579&amp;"_"&amp;O579</f>
        <v>VAFFE_10465_Guaraná Fantástica</v>
      </c>
      <c r="Q579" t="str">
        <f t="shared" ref="Q579:Q642" si="163">LEFT(RIGHT(P579,LEN(P579)-FIND("_",P579)), FIND("_",P579)-1)</f>
        <v>10465</v>
      </c>
      <c r="R579" t="str">
        <f t="shared" ref="R579:R642" si="164">MID(P579,FIND("_",P579)+1,FIND("_",P579,FIND("_",P579))-1)</f>
        <v>10465</v>
      </c>
      <c r="S579" t="str">
        <f t="shared" ref="S579:S642" si="165">MID(P579,FIND("_",P579,FIND("_",P579)+1)+1,LEN(P579))</f>
        <v>Guaraná Fantástica</v>
      </c>
      <c r="T579">
        <v>3.6</v>
      </c>
      <c r="U579">
        <v>25</v>
      </c>
      <c r="V579">
        <v>0</v>
      </c>
      <c r="W579">
        <f t="shared" ref="W579:W642" si="166">T579*U579*(1-V579)</f>
        <v>90</v>
      </c>
      <c r="X579" t="str">
        <f t="shared" ref="X579:X642" si="167">IF(YEAR(Y579)&gt;=1996,"yes","No")</f>
        <v>No</v>
      </c>
      <c r="Y579" s="2">
        <v>34794</v>
      </c>
      <c r="Z579" t="str">
        <f t="shared" si="153"/>
        <v/>
      </c>
      <c r="AA579" t="str">
        <f t="shared" ref="AA579:AA642" si="168">IF(Y579&lt;DATE(1996,1,1),"", IF(Y579&lt;DATE(1996,4,1),"1st Q 1996",IF(Y579&lt;DATE(1996,7,1),"2nd Q 1996","")))</f>
        <v/>
      </c>
      <c r="AB579" t="str" cm="1">
        <f t="array" ref="AB579">_xlfn.IFS(Y579&lt;DATE(1996,1,1),"",Y579&lt;DATE(1996,4,1),"Q1",Y579&lt;DATE(1996,7,1),"Q2",Y579&gt;=DATE(1996,7,1),"")</f>
        <v/>
      </c>
    </row>
    <row r="580" spans="1:28" ht="14.4" x14ac:dyDescent="0.55000000000000004">
      <c r="A580" t="str">
        <f>VLOOKUP(L580,Customers!$A$2:$B$92,2,FALSE)</f>
        <v>Vaffeljernet</v>
      </c>
      <c r="B580" t="str">
        <f>VLOOKUP(L580,Customers!$A$2:$C$92,3,TRUE)</f>
        <v>Palle Ibsen</v>
      </c>
      <c r="C580" t="str">
        <f t="shared" si="154"/>
        <v>Palle</v>
      </c>
      <c r="D580" s="8" t="str">
        <f t="shared" si="155"/>
        <v>Ibsen</v>
      </c>
      <c r="E580" s="8" t="str">
        <f t="shared" si="156"/>
        <v>Ibsen, Palle</v>
      </c>
      <c r="F580" s="8" t="str">
        <f t="shared" si="157"/>
        <v>Ibsen, Palle</v>
      </c>
      <c r="G580" s="8" t="str">
        <f t="shared" si="158"/>
        <v>not an outlier</v>
      </c>
      <c r="H580" s="8" t="str">
        <f t="shared" si="159"/>
        <v>Not</v>
      </c>
      <c r="I580" s="8" t="str">
        <f t="shared" ref="I580:I643" si="169">IF(OR(W580&gt;$W$2166,W580&lt;$W$2167),"yes","no")</f>
        <v>no</v>
      </c>
      <c r="J580" s="10" t="str">
        <f t="shared" si="160"/>
        <v>no</v>
      </c>
      <c r="K580" s="10" t="str">
        <f t="shared" si="161"/>
        <v>no</v>
      </c>
      <c r="L580" t="s">
        <v>612</v>
      </c>
      <c r="M580">
        <v>10465</v>
      </c>
      <c r="N580">
        <v>29</v>
      </c>
      <c r="O580" t="s">
        <v>722</v>
      </c>
      <c r="P580" t="str">
        <f t="shared" si="162"/>
        <v>VAFFE_10465_Thüringer Rostbratwurst</v>
      </c>
      <c r="Q580" t="str">
        <f t="shared" si="163"/>
        <v>10465</v>
      </c>
      <c r="R580" t="str">
        <f t="shared" si="164"/>
        <v>10465</v>
      </c>
      <c r="S580" t="str">
        <f t="shared" si="165"/>
        <v>Thüringer Rostbratwurst</v>
      </c>
      <c r="T580">
        <v>99</v>
      </c>
      <c r="U580">
        <v>18</v>
      </c>
      <c r="V580">
        <v>0.1</v>
      </c>
      <c r="W580">
        <f t="shared" si="166"/>
        <v>1603.8</v>
      </c>
      <c r="X580" t="str">
        <f t="shared" si="167"/>
        <v>No</v>
      </c>
      <c r="Y580" s="2">
        <v>34794</v>
      </c>
      <c r="Z580" t="str">
        <f t="shared" si="153"/>
        <v/>
      </c>
      <c r="AA580" t="str">
        <f t="shared" si="168"/>
        <v/>
      </c>
      <c r="AB580" t="str" cm="1">
        <f t="array" ref="AB580">_xlfn.IFS(Y580&lt;DATE(1996,1,1),"",Y580&lt;DATE(1996,4,1),"Q1",Y580&lt;DATE(1996,7,1),"Q2",Y580&gt;=DATE(1996,7,1),"")</f>
        <v/>
      </c>
    </row>
    <row r="581" spans="1:28" ht="14.4" x14ac:dyDescent="0.55000000000000004">
      <c r="A581" t="str">
        <f>VLOOKUP(L581,Customers!$A$2:$B$92,2,FALSE)</f>
        <v>Vaffeljernet</v>
      </c>
      <c r="B581" t="str">
        <f>VLOOKUP(L581,Customers!$A$2:$C$92,3,TRUE)</f>
        <v>Palle Ibsen</v>
      </c>
      <c r="C581" t="str">
        <f t="shared" si="154"/>
        <v>Palle</v>
      </c>
      <c r="D581" s="8" t="str">
        <f t="shared" si="155"/>
        <v>Ibsen</v>
      </c>
      <c r="E581" s="8" t="str">
        <f t="shared" si="156"/>
        <v>Ibsen, Palle</v>
      </c>
      <c r="F581" s="8" t="str">
        <f t="shared" si="157"/>
        <v>Ibsen, Palle</v>
      </c>
      <c r="G581" s="8" t="str">
        <f t="shared" si="158"/>
        <v>not an outlier</v>
      </c>
      <c r="H581" s="8" t="str">
        <f t="shared" si="159"/>
        <v>Not</v>
      </c>
      <c r="I581" s="8" t="str">
        <f t="shared" si="169"/>
        <v>no</v>
      </c>
      <c r="J581" s="10" t="str">
        <f t="shared" si="160"/>
        <v>no</v>
      </c>
      <c r="K581" s="10" t="str">
        <f t="shared" si="161"/>
        <v>no</v>
      </c>
      <c r="L581" t="s">
        <v>612</v>
      </c>
      <c r="M581">
        <v>10465</v>
      </c>
      <c r="N581">
        <v>40</v>
      </c>
      <c r="O581" t="s">
        <v>720</v>
      </c>
      <c r="P581" t="str">
        <f t="shared" si="162"/>
        <v>VAFFE_10465_Boston Crab Meat</v>
      </c>
      <c r="Q581" t="str">
        <f t="shared" si="163"/>
        <v>10465</v>
      </c>
      <c r="R581" t="str">
        <f t="shared" si="164"/>
        <v>10465</v>
      </c>
      <c r="S581" t="str">
        <f t="shared" si="165"/>
        <v>Boston Crab Meat</v>
      </c>
      <c r="T581">
        <v>14.7</v>
      </c>
      <c r="U581">
        <v>20</v>
      </c>
      <c r="V581">
        <v>0</v>
      </c>
      <c r="W581">
        <f t="shared" si="166"/>
        <v>294</v>
      </c>
      <c r="X581" t="str">
        <f t="shared" si="167"/>
        <v>No</v>
      </c>
      <c r="Y581" s="2">
        <v>34794</v>
      </c>
      <c r="Z581" t="str">
        <f t="shared" si="153"/>
        <v/>
      </c>
      <c r="AA581" t="str">
        <f t="shared" si="168"/>
        <v/>
      </c>
      <c r="AB581" t="str" cm="1">
        <f t="array" ref="AB581">_xlfn.IFS(Y581&lt;DATE(1996,1,1),"",Y581&lt;DATE(1996,4,1),"Q1",Y581&lt;DATE(1996,7,1),"Q2",Y581&gt;=DATE(1996,7,1),"")</f>
        <v/>
      </c>
    </row>
    <row r="582" spans="1:28" ht="14.4" x14ac:dyDescent="0.55000000000000004">
      <c r="A582" t="str">
        <f>VLOOKUP(L582,Customers!$A$2:$B$92,2,FALSE)</f>
        <v>Vaffeljernet</v>
      </c>
      <c r="B582" t="str">
        <f>VLOOKUP(L582,Customers!$A$2:$C$92,3,TRUE)</f>
        <v>Palle Ibsen</v>
      </c>
      <c r="C582" t="str">
        <f t="shared" si="154"/>
        <v>Palle</v>
      </c>
      <c r="D582" s="8" t="str">
        <f t="shared" si="155"/>
        <v>Ibsen</v>
      </c>
      <c r="E582" s="8" t="str">
        <f t="shared" si="156"/>
        <v>Ibsen, Palle</v>
      </c>
      <c r="F582" s="8" t="str">
        <f t="shared" si="157"/>
        <v>Ibsen, Palle</v>
      </c>
      <c r="G582" s="8" t="str">
        <f t="shared" si="158"/>
        <v>not an outlier</v>
      </c>
      <c r="H582" s="8" t="str">
        <f t="shared" si="159"/>
        <v>Not</v>
      </c>
      <c r="I582" s="8" t="str">
        <f t="shared" si="169"/>
        <v>no</v>
      </c>
      <c r="J582" s="10" t="str">
        <f t="shared" si="160"/>
        <v>no</v>
      </c>
      <c r="K582" s="10" t="str">
        <f t="shared" si="161"/>
        <v>no</v>
      </c>
      <c r="L582" t="s">
        <v>612</v>
      </c>
      <c r="M582">
        <v>10465</v>
      </c>
      <c r="N582">
        <v>45</v>
      </c>
      <c r="O582" t="s">
        <v>756</v>
      </c>
      <c r="P582" t="str">
        <f t="shared" si="162"/>
        <v>VAFFE_10465_Røgede sild</v>
      </c>
      <c r="Q582" t="str">
        <f t="shared" si="163"/>
        <v>10465</v>
      </c>
      <c r="R582" t="str">
        <f t="shared" si="164"/>
        <v>10465</v>
      </c>
      <c r="S582" t="str">
        <f t="shared" si="165"/>
        <v>Røgede sild</v>
      </c>
      <c r="T582">
        <v>7.6</v>
      </c>
      <c r="U582">
        <v>30</v>
      </c>
      <c r="V582">
        <v>0.1</v>
      </c>
      <c r="W582">
        <f t="shared" si="166"/>
        <v>205.20000000000002</v>
      </c>
      <c r="X582" t="str">
        <f t="shared" si="167"/>
        <v>No</v>
      </c>
      <c r="Y582" s="2">
        <v>34794</v>
      </c>
      <c r="Z582" t="str">
        <f t="shared" si="153"/>
        <v/>
      </c>
      <c r="AA582" t="str">
        <f t="shared" si="168"/>
        <v/>
      </c>
      <c r="AB582" t="str" cm="1">
        <f t="array" ref="AB582">_xlfn.IFS(Y582&lt;DATE(1996,1,1),"",Y582&lt;DATE(1996,4,1),"Q1",Y582&lt;DATE(1996,7,1),"Q2",Y582&gt;=DATE(1996,7,1),"")</f>
        <v/>
      </c>
    </row>
    <row r="583" spans="1:28" ht="14.4" x14ac:dyDescent="0.55000000000000004">
      <c r="A583" t="str">
        <f>VLOOKUP(L583,Customers!$A$2:$B$92,2,FALSE)</f>
        <v>Vaffeljernet</v>
      </c>
      <c r="B583" t="str">
        <f>VLOOKUP(L583,Customers!$A$2:$C$92,3,TRUE)</f>
        <v>Palle Ibsen</v>
      </c>
      <c r="C583" t="str">
        <f t="shared" si="154"/>
        <v>Palle</v>
      </c>
      <c r="D583" s="8" t="str">
        <f t="shared" si="155"/>
        <v>Ibsen</v>
      </c>
      <c r="E583" s="8" t="str">
        <f t="shared" si="156"/>
        <v>Ibsen, Palle</v>
      </c>
      <c r="F583" s="8" t="str">
        <f t="shared" si="157"/>
        <v>Ibsen, Palle</v>
      </c>
      <c r="G583" s="8" t="str">
        <f t="shared" si="158"/>
        <v>not an outlier</v>
      </c>
      <c r="H583" s="8" t="str">
        <f t="shared" si="159"/>
        <v>Not</v>
      </c>
      <c r="I583" s="8" t="str">
        <f t="shared" si="169"/>
        <v>no</v>
      </c>
      <c r="J583" s="10" t="str">
        <f t="shared" si="160"/>
        <v>no</v>
      </c>
      <c r="K583" s="10" t="str">
        <f t="shared" si="161"/>
        <v>no</v>
      </c>
      <c r="L583" t="s">
        <v>612</v>
      </c>
      <c r="M583">
        <v>10465</v>
      </c>
      <c r="N583">
        <v>50</v>
      </c>
      <c r="O583" t="s">
        <v>755</v>
      </c>
      <c r="P583" t="str">
        <f t="shared" si="162"/>
        <v>VAFFE_10465_Valkoinen suklaa</v>
      </c>
      <c r="Q583" t="str">
        <f t="shared" si="163"/>
        <v>10465</v>
      </c>
      <c r="R583" t="str">
        <f t="shared" si="164"/>
        <v>10465</v>
      </c>
      <c r="S583" t="str">
        <f t="shared" si="165"/>
        <v>Valkoinen suklaa</v>
      </c>
      <c r="T583">
        <v>13</v>
      </c>
      <c r="U583">
        <v>25</v>
      </c>
      <c r="V583">
        <v>0</v>
      </c>
      <c r="W583">
        <f t="shared" si="166"/>
        <v>325</v>
      </c>
      <c r="X583" t="str">
        <f t="shared" si="167"/>
        <v>No</v>
      </c>
      <c r="Y583" s="2">
        <v>34794</v>
      </c>
      <c r="Z583" t="str">
        <f t="shared" si="153"/>
        <v/>
      </c>
      <c r="AA583" t="str">
        <f t="shared" si="168"/>
        <v/>
      </c>
      <c r="AB583" t="str" cm="1">
        <f t="array" ref="AB583">_xlfn.IFS(Y583&lt;DATE(1996,1,1),"",Y583&lt;DATE(1996,4,1),"Q1",Y583&lt;DATE(1996,7,1),"Q2",Y583&gt;=DATE(1996,7,1),"")</f>
        <v/>
      </c>
    </row>
    <row r="584" spans="1:28" ht="14.4" x14ac:dyDescent="0.55000000000000004">
      <c r="A584" t="str">
        <f>VLOOKUP(L584,Customers!$A$2:$B$92,2,FALSE)</f>
        <v>Comércio Mineiro</v>
      </c>
      <c r="B584" t="str">
        <f>VLOOKUP(L584,Customers!$A$2:$C$92,3,TRUE)</f>
        <v>Pedro Afonso</v>
      </c>
      <c r="C584" t="str">
        <f t="shared" si="154"/>
        <v>Pedro</v>
      </c>
      <c r="D584" s="8" t="str">
        <f t="shared" si="155"/>
        <v>Afonso</v>
      </c>
      <c r="E584" s="8" t="str">
        <f t="shared" si="156"/>
        <v>Afonso, Pedro</v>
      </c>
      <c r="F584" s="8" t="str">
        <f t="shared" si="157"/>
        <v>Afonso, Pedro</v>
      </c>
      <c r="G584" s="8" t="str">
        <f t="shared" si="158"/>
        <v>not an outlier</v>
      </c>
      <c r="H584" s="8" t="str">
        <f t="shared" si="159"/>
        <v>Not</v>
      </c>
      <c r="I584" s="8" t="str">
        <f t="shared" si="169"/>
        <v>no</v>
      </c>
      <c r="J584" s="10" t="str">
        <f t="shared" si="160"/>
        <v>no</v>
      </c>
      <c r="K584" s="10" t="str">
        <f t="shared" si="161"/>
        <v>no</v>
      </c>
      <c r="L584" t="s">
        <v>123</v>
      </c>
      <c r="M584">
        <v>10466</v>
      </c>
      <c r="N584">
        <v>11</v>
      </c>
      <c r="O584" t="s">
        <v>683</v>
      </c>
      <c r="P584" t="str">
        <f t="shared" si="162"/>
        <v>COMMI_10466_Queso Cabrales</v>
      </c>
      <c r="Q584" t="str">
        <f t="shared" si="163"/>
        <v>10466</v>
      </c>
      <c r="R584" t="str">
        <f t="shared" si="164"/>
        <v>10466</v>
      </c>
      <c r="S584" t="str">
        <f t="shared" si="165"/>
        <v>Queso Cabrales</v>
      </c>
      <c r="T584">
        <v>16.8</v>
      </c>
      <c r="U584">
        <v>10</v>
      </c>
      <c r="V584">
        <v>0</v>
      </c>
      <c r="W584">
        <f t="shared" si="166"/>
        <v>168</v>
      </c>
      <c r="X584" t="str">
        <f t="shared" si="167"/>
        <v>No</v>
      </c>
      <c r="Y584" s="2">
        <v>34795</v>
      </c>
      <c r="Z584" t="str">
        <f t="shared" si="153"/>
        <v/>
      </c>
      <c r="AA584" t="str">
        <f t="shared" si="168"/>
        <v/>
      </c>
      <c r="AB584" t="str" cm="1">
        <f t="array" ref="AB584">_xlfn.IFS(Y584&lt;DATE(1996,1,1),"",Y584&lt;DATE(1996,4,1),"Q1",Y584&lt;DATE(1996,7,1),"Q2",Y584&gt;=DATE(1996,7,1),"")</f>
        <v/>
      </c>
    </row>
    <row r="585" spans="1:28" ht="14.4" x14ac:dyDescent="0.55000000000000004">
      <c r="A585" t="str">
        <f>VLOOKUP(L585,Customers!$A$2:$B$92,2,FALSE)</f>
        <v>Comércio Mineiro</v>
      </c>
      <c r="B585" t="str">
        <f>VLOOKUP(L585,Customers!$A$2:$C$92,3,TRUE)</f>
        <v>Pedro Afonso</v>
      </c>
      <c r="C585" t="str">
        <f t="shared" si="154"/>
        <v>Pedro</v>
      </c>
      <c r="D585" s="8" t="str">
        <f t="shared" si="155"/>
        <v>Afonso</v>
      </c>
      <c r="E585" s="8" t="str">
        <f t="shared" si="156"/>
        <v>Afonso, Pedro</v>
      </c>
      <c r="F585" s="8" t="str">
        <f t="shared" si="157"/>
        <v>Afonso, Pedro</v>
      </c>
      <c r="G585" s="8" t="str">
        <f t="shared" si="158"/>
        <v>not an outlier</v>
      </c>
      <c r="H585" s="8" t="str">
        <f t="shared" si="159"/>
        <v>Not</v>
      </c>
      <c r="I585" s="8" t="str">
        <f t="shared" si="169"/>
        <v>no</v>
      </c>
      <c r="J585" s="10" t="str">
        <f t="shared" si="160"/>
        <v>no</v>
      </c>
      <c r="K585" s="10" t="str">
        <f t="shared" si="161"/>
        <v>no</v>
      </c>
      <c r="L585" t="s">
        <v>123</v>
      </c>
      <c r="M585">
        <v>10466</v>
      </c>
      <c r="N585">
        <v>46</v>
      </c>
      <c r="O585" t="s">
        <v>737</v>
      </c>
      <c r="P585" t="str">
        <f t="shared" si="162"/>
        <v>COMMI_10466_Spegesild</v>
      </c>
      <c r="Q585" t="str">
        <f t="shared" si="163"/>
        <v>10466</v>
      </c>
      <c r="R585" t="str">
        <f t="shared" si="164"/>
        <v>10466</v>
      </c>
      <c r="S585" t="str">
        <f t="shared" si="165"/>
        <v>Spegesild</v>
      </c>
      <c r="T585">
        <v>9.6</v>
      </c>
      <c r="U585">
        <v>5</v>
      </c>
      <c r="V585">
        <v>0</v>
      </c>
      <c r="W585">
        <f t="shared" si="166"/>
        <v>48</v>
      </c>
      <c r="X585" t="str">
        <f t="shared" si="167"/>
        <v>No</v>
      </c>
      <c r="Y585" s="2">
        <v>34795</v>
      </c>
      <c r="Z585" t="str">
        <f t="shared" si="153"/>
        <v/>
      </c>
      <c r="AA585" t="str">
        <f t="shared" si="168"/>
        <v/>
      </c>
      <c r="AB585" t="str" cm="1">
        <f t="array" ref="AB585">_xlfn.IFS(Y585&lt;DATE(1996,1,1),"",Y585&lt;DATE(1996,4,1),"Q1",Y585&lt;DATE(1996,7,1),"Q2",Y585&gt;=DATE(1996,7,1),"")</f>
        <v/>
      </c>
    </row>
    <row r="586" spans="1:28" ht="14.4" x14ac:dyDescent="0.55000000000000004">
      <c r="A586" t="str">
        <f>VLOOKUP(L586,Customers!$A$2:$B$92,2,FALSE)</f>
        <v>Magazzini Alimentari Riuniti</v>
      </c>
      <c r="B586" t="str">
        <f>VLOOKUP(L586,Customers!$A$2:$C$92,3,TRUE)</f>
        <v>Giovanni Rovelli</v>
      </c>
      <c r="C586" t="str">
        <f t="shared" si="154"/>
        <v>Giovanni</v>
      </c>
      <c r="D586" s="8" t="str">
        <f t="shared" si="155"/>
        <v>Rovelli</v>
      </c>
      <c r="E586" s="8" t="str">
        <f t="shared" si="156"/>
        <v>Rovelli, Giovanni</v>
      </c>
      <c r="F586" s="8" t="str">
        <f t="shared" si="157"/>
        <v>Rovelli, Giovanni</v>
      </c>
      <c r="G586" s="8" t="str">
        <f t="shared" si="158"/>
        <v>not an outlier</v>
      </c>
      <c r="H586" s="8" t="str">
        <f t="shared" si="159"/>
        <v>Not</v>
      </c>
      <c r="I586" s="8" t="str">
        <f t="shared" si="169"/>
        <v>no</v>
      </c>
      <c r="J586" s="10" t="str">
        <f t="shared" si="160"/>
        <v>no</v>
      </c>
      <c r="K586" s="10" t="str">
        <f t="shared" si="161"/>
        <v>no</v>
      </c>
      <c r="L586" t="s">
        <v>378</v>
      </c>
      <c r="M586">
        <v>10467</v>
      </c>
      <c r="N586">
        <v>24</v>
      </c>
      <c r="O586" t="s">
        <v>698</v>
      </c>
      <c r="P586" t="str">
        <f t="shared" si="162"/>
        <v>MAGAA_10467_Guaraná Fantástica</v>
      </c>
      <c r="Q586" t="str">
        <f t="shared" si="163"/>
        <v>10467</v>
      </c>
      <c r="R586" t="str">
        <f t="shared" si="164"/>
        <v>10467</v>
      </c>
      <c r="S586" t="str">
        <f t="shared" si="165"/>
        <v>Guaraná Fantástica</v>
      </c>
      <c r="T586">
        <v>3.6</v>
      </c>
      <c r="U586">
        <v>28</v>
      </c>
      <c r="V586">
        <v>0</v>
      </c>
      <c r="W586">
        <f t="shared" si="166"/>
        <v>100.8</v>
      </c>
      <c r="X586" t="str">
        <f t="shared" si="167"/>
        <v>No</v>
      </c>
      <c r="Y586" s="2">
        <v>34795</v>
      </c>
      <c r="Z586" t="str">
        <f t="shared" si="153"/>
        <v/>
      </c>
      <c r="AA586" t="str">
        <f t="shared" si="168"/>
        <v/>
      </c>
      <c r="AB586" t="str" cm="1">
        <f t="array" ref="AB586">_xlfn.IFS(Y586&lt;DATE(1996,1,1),"",Y586&lt;DATE(1996,4,1),"Q1",Y586&lt;DATE(1996,7,1),"Q2",Y586&gt;=DATE(1996,7,1),"")</f>
        <v/>
      </c>
    </row>
    <row r="587" spans="1:28" ht="14.4" x14ac:dyDescent="0.55000000000000004">
      <c r="A587" t="str">
        <f>VLOOKUP(L587,Customers!$A$2:$B$92,2,FALSE)</f>
        <v>Magazzini Alimentari Riuniti</v>
      </c>
      <c r="B587" t="str">
        <f>VLOOKUP(L587,Customers!$A$2:$C$92,3,TRUE)</f>
        <v>Giovanni Rovelli</v>
      </c>
      <c r="C587" t="str">
        <f t="shared" si="154"/>
        <v>Giovanni</v>
      </c>
      <c r="D587" s="8" t="str">
        <f t="shared" si="155"/>
        <v>Rovelli</v>
      </c>
      <c r="E587" s="8" t="str">
        <f t="shared" si="156"/>
        <v>Rovelli, Giovanni</v>
      </c>
      <c r="F587" s="8" t="str">
        <f t="shared" si="157"/>
        <v>Rovelli, Giovanni</v>
      </c>
      <c r="G587" s="8" t="str">
        <f t="shared" si="158"/>
        <v>not an outlier</v>
      </c>
      <c r="H587" s="8" t="str">
        <f t="shared" si="159"/>
        <v>Not</v>
      </c>
      <c r="I587" s="8" t="str">
        <f t="shared" si="169"/>
        <v>no</v>
      </c>
      <c r="J587" s="10" t="str">
        <f t="shared" si="160"/>
        <v>no</v>
      </c>
      <c r="K587" s="10" t="str">
        <f t="shared" si="161"/>
        <v>no</v>
      </c>
      <c r="L587" t="s">
        <v>378</v>
      </c>
      <c r="M587">
        <v>10467</v>
      </c>
      <c r="N587">
        <v>25</v>
      </c>
      <c r="O587" t="s">
        <v>749</v>
      </c>
      <c r="P587" t="str">
        <f t="shared" si="162"/>
        <v>MAGAA_10467_NuNuCa Nuß-Nougat-Creme</v>
      </c>
      <c r="Q587" t="str">
        <f t="shared" si="163"/>
        <v>10467</v>
      </c>
      <c r="R587" t="str">
        <f t="shared" si="164"/>
        <v>10467</v>
      </c>
      <c r="S587" t="str">
        <f t="shared" si="165"/>
        <v>NuNuCa Nuß-Nougat-Creme</v>
      </c>
      <c r="T587">
        <v>11.2</v>
      </c>
      <c r="U587">
        <v>12</v>
      </c>
      <c r="V587">
        <v>0</v>
      </c>
      <c r="W587">
        <f t="shared" si="166"/>
        <v>134.39999999999998</v>
      </c>
      <c r="X587" t="str">
        <f t="shared" si="167"/>
        <v>No</v>
      </c>
      <c r="Y587" s="2">
        <v>34795</v>
      </c>
      <c r="Z587" t="str">
        <f t="shared" si="153"/>
        <v/>
      </c>
      <c r="AA587" t="str">
        <f t="shared" si="168"/>
        <v/>
      </c>
      <c r="AB587" t="str" cm="1">
        <f t="array" ref="AB587">_xlfn.IFS(Y587&lt;DATE(1996,1,1),"",Y587&lt;DATE(1996,4,1),"Q1",Y587&lt;DATE(1996,7,1),"Q2",Y587&gt;=DATE(1996,7,1),"")</f>
        <v/>
      </c>
    </row>
    <row r="588" spans="1:28" ht="14.4" x14ac:dyDescent="0.55000000000000004">
      <c r="A588" t="str">
        <f>VLOOKUP(L588,Customers!$A$2:$B$92,2,FALSE)</f>
        <v>Königlich Essen</v>
      </c>
      <c r="B588" t="str">
        <f>VLOOKUP(L588,Customers!$A$2:$C$92,3,TRUE)</f>
        <v>Philip Cramer</v>
      </c>
      <c r="C588" t="str">
        <f t="shared" si="154"/>
        <v>Philip</v>
      </c>
      <c r="D588" s="8" t="str">
        <f t="shared" si="155"/>
        <v>Cramer</v>
      </c>
      <c r="E588" s="8" t="str">
        <f t="shared" si="156"/>
        <v>Cramer, Philip</v>
      </c>
      <c r="F588" s="8" t="str">
        <f t="shared" si="157"/>
        <v>Cramer, Philip</v>
      </c>
      <c r="G588" s="8" t="str">
        <f t="shared" si="158"/>
        <v>not an outlier</v>
      </c>
      <c r="H588" s="8" t="str">
        <f t="shared" si="159"/>
        <v>Not</v>
      </c>
      <c r="I588" s="8" t="str">
        <f t="shared" si="169"/>
        <v>no</v>
      </c>
      <c r="J588" s="10" t="str">
        <f t="shared" si="160"/>
        <v>no</v>
      </c>
      <c r="K588" s="10" t="str">
        <f t="shared" si="161"/>
        <v>no</v>
      </c>
      <c r="L588" t="s">
        <v>305</v>
      </c>
      <c r="M588">
        <v>10468</v>
      </c>
      <c r="N588">
        <v>30</v>
      </c>
      <c r="O588" t="s">
        <v>717</v>
      </c>
      <c r="P588" t="str">
        <f t="shared" si="162"/>
        <v>KOENE_10468_Nord-Ost Matjeshering</v>
      </c>
      <c r="Q588" t="str">
        <f t="shared" si="163"/>
        <v>10468</v>
      </c>
      <c r="R588" t="str">
        <f t="shared" si="164"/>
        <v>10468</v>
      </c>
      <c r="S588" t="str">
        <f t="shared" si="165"/>
        <v>Nord-Ost Matjeshering</v>
      </c>
      <c r="T588">
        <v>20.7</v>
      </c>
      <c r="U588">
        <v>8</v>
      </c>
      <c r="V588">
        <v>0</v>
      </c>
      <c r="W588">
        <f t="shared" si="166"/>
        <v>165.6</v>
      </c>
      <c r="X588" t="str">
        <f t="shared" si="167"/>
        <v>No</v>
      </c>
      <c r="Y588" s="2">
        <v>34796</v>
      </c>
      <c r="Z588" t="str">
        <f t="shared" si="153"/>
        <v/>
      </c>
      <c r="AA588" t="str">
        <f t="shared" si="168"/>
        <v/>
      </c>
      <c r="AB588" t="str" cm="1">
        <f t="array" ref="AB588">_xlfn.IFS(Y588&lt;DATE(1996,1,1),"",Y588&lt;DATE(1996,4,1),"Q1",Y588&lt;DATE(1996,7,1),"Q2",Y588&gt;=DATE(1996,7,1),"")</f>
        <v/>
      </c>
    </row>
    <row r="589" spans="1:28" ht="14.4" x14ac:dyDescent="0.55000000000000004">
      <c r="A589" t="str">
        <f>VLOOKUP(L589,Customers!$A$2:$B$92,2,FALSE)</f>
        <v>Königlich Essen</v>
      </c>
      <c r="B589" t="str">
        <f>VLOOKUP(L589,Customers!$A$2:$C$92,3,TRUE)</f>
        <v>Philip Cramer</v>
      </c>
      <c r="C589" t="str">
        <f t="shared" si="154"/>
        <v>Philip</v>
      </c>
      <c r="D589" s="8" t="str">
        <f t="shared" si="155"/>
        <v>Cramer</v>
      </c>
      <c r="E589" s="8" t="str">
        <f t="shared" si="156"/>
        <v>Cramer, Philip</v>
      </c>
      <c r="F589" s="8" t="str">
        <f t="shared" si="157"/>
        <v>Cramer, Philip</v>
      </c>
      <c r="G589" s="8" t="str">
        <f t="shared" si="158"/>
        <v>not an outlier</v>
      </c>
      <c r="H589" s="8" t="str">
        <f t="shared" si="159"/>
        <v>Not</v>
      </c>
      <c r="I589" s="8" t="str">
        <f t="shared" si="169"/>
        <v>no</v>
      </c>
      <c r="J589" s="10" t="str">
        <f t="shared" si="160"/>
        <v>no</v>
      </c>
      <c r="K589" s="10" t="str">
        <f t="shared" si="161"/>
        <v>no</v>
      </c>
      <c r="L589" t="s">
        <v>305</v>
      </c>
      <c r="M589">
        <v>10468</v>
      </c>
      <c r="N589">
        <v>43</v>
      </c>
      <c r="O589" t="s">
        <v>723</v>
      </c>
      <c r="P589" t="str">
        <f t="shared" si="162"/>
        <v>KOENE_10468_Ipoh Coffee</v>
      </c>
      <c r="Q589" t="str">
        <f t="shared" si="163"/>
        <v>10468</v>
      </c>
      <c r="R589" t="str">
        <f t="shared" si="164"/>
        <v>10468</v>
      </c>
      <c r="S589" t="str">
        <f t="shared" si="165"/>
        <v>Ipoh Coffee</v>
      </c>
      <c r="T589">
        <v>36.799999999999997</v>
      </c>
      <c r="U589">
        <v>15</v>
      </c>
      <c r="V589">
        <v>0</v>
      </c>
      <c r="W589">
        <f t="shared" si="166"/>
        <v>552</v>
      </c>
      <c r="X589" t="str">
        <f t="shared" si="167"/>
        <v>No</v>
      </c>
      <c r="Y589" s="2">
        <v>34796</v>
      </c>
      <c r="Z589" t="str">
        <f t="shared" si="153"/>
        <v/>
      </c>
      <c r="AA589" t="str">
        <f t="shared" si="168"/>
        <v/>
      </c>
      <c r="AB589" t="str" cm="1">
        <f t="array" ref="AB589">_xlfn.IFS(Y589&lt;DATE(1996,1,1),"",Y589&lt;DATE(1996,4,1),"Q1",Y589&lt;DATE(1996,7,1),"Q2",Y589&gt;=DATE(1996,7,1),"")</f>
        <v/>
      </c>
    </row>
    <row r="590" spans="1:28" ht="14.4" x14ac:dyDescent="0.55000000000000004">
      <c r="A590" t="str">
        <f>VLOOKUP(L590,Customers!$A$2:$B$92,2,FALSE)</f>
        <v>White Clover Markets</v>
      </c>
      <c r="B590" t="str">
        <f>VLOOKUP(L590,Customers!$A$2:$C$92,3,TRUE)</f>
        <v>Karl Jablonski</v>
      </c>
      <c r="C590" t="str">
        <f t="shared" si="154"/>
        <v>Karl</v>
      </c>
      <c r="D590" s="8" t="str">
        <f t="shared" si="155"/>
        <v>Jablonski</v>
      </c>
      <c r="E590" s="8" t="str">
        <f t="shared" si="156"/>
        <v>Jablonski, Karl</v>
      </c>
      <c r="F590" s="8" t="str">
        <f t="shared" si="157"/>
        <v>Jablonski, Karl</v>
      </c>
      <c r="G590" s="8" t="str">
        <f t="shared" si="158"/>
        <v>not an outlier</v>
      </c>
      <c r="H590" s="8" t="str">
        <f t="shared" si="159"/>
        <v>Not</v>
      </c>
      <c r="I590" s="8" t="str">
        <f t="shared" si="169"/>
        <v>no</v>
      </c>
      <c r="J590" s="10" t="str">
        <f t="shared" si="160"/>
        <v>no</v>
      </c>
      <c r="K590" s="10" t="str">
        <f t="shared" si="161"/>
        <v>no</v>
      </c>
      <c r="L590" t="s">
        <v>654</v>
      </c>
      <c r="M590">
        <v>10469</v>
      </c>
      <c r="N590">
        <v>2</v>
      </c>
      <c r="O590" t="s">
        <v>701</v>
      </c>
      <c r="P590" t="str">
        <f t="shared" si="162"/>
        <v>WHITC_10469_Chang</v>
      </c>
      <c r="Q590" t="str">
        <f t="shared" si="163"/>
        <v>10469</v>
      </c>
      <c r="R590" t="str">
        <f t="shared" si="164"/>
        <v>10469</v>
      </c>
      <c r="S590" t="str">
        <f t="shared" si="165"/>
        <v>Chang</v>
      </c>
      <c r="T590">
        <v>15.2</v>
      </c>
      <c r="U590">
        <v>40</v>
      </c>
      <c r="V590">
        <v>0.15</v>
      </c>
      <c r="W590">
        <f t="shared" si="166"/>
        <v>516.79999999999995</v>
      </c>
      <c r="X590" t="str">
        <f t="shared" si="167"/>
        <v>No</v>
      </c>
      <c r="Y590" s="2">
        <v>34799</v>
      </c>
      <c r="Z590" t="str">
        <f t="shared" si="153"/>
        <v/>
      </c>
      <c r="AA590" t="str">
        <f t="shared" si="168"/>
        <v/>
      </c>
      <c r="AB590" t="str" cm="1">
        <f t="array" ref="AB590">_xlfn.IFS(Y590&lt;DATE(1996,1,1),"",Y590&lt;DATE(1996,4,1),"Q1",Y590&lt;DATE(1996,7,1),"Q2",Y590&gt;=DATE(1996,7,1),"")</f>
        <v/>
      </c>
    </row>
    <row r="591" spans="1:28" ht="14.4" x14ac:dyDescent="0.55000000000000004">
      <c r="A591" t="str">
        <f>VLOOKUP(L591,Customers!$A$2:$B$92,2,FALSE)</f>
        <v>White Clover Markets</v>
      </c>
      <c r="B591" t="str">
        <f>VLOOKUP(L591,Customers!$A$2:$C$92,3,TRUE)</f>
        <v>Karl Jablonski</v>
      </c>
      <c r="C591" t="str">
        <f t="shared" si="154"/>
        <v>Karl</v>
      </c>
      <c r="D591" s="8" t="str">
        <f t="shared" si="155"/>
        <v>Jablonski</v>
      </c>
      <c r="E591" s="8" t="str">
        <f t="shared" si="156"/>
        <v>Jablonski, Karl</v>
      </c>
      <c r="F591" s="8" t="str">
        <f t="shared" si="157"/>
        <v>Jablonski, Karl</v>
      </c>
      <c r="G591" s="8" t="str">
        <f t="shared" si="158"/>
        <v>not an outlier</v>
      </c>
      <c r="H591" s="8" t="str">
        <f t="shared" si="159"/>
        <v>Not</v>
      </c>
      <c r="I591" s="8" t="str">
        <f t="shared" si="169"/>
        <v>no</v>
      </c>
      <c r="J591" s="10" t="str">
        <f t="shared" si="160"/>
        <v>no</v>
      </c>
      <c r="K591" s="10" t="str">
        <f t="shared" si="161"/>
        <v>no</v>
      </c>
      <c r="L591" t="s">
        <v>654</v>
      </c>
      <c r="M591">
        <v>10469</v>
      </c>
      <c r="N591">
        <v>16</v>
      </c>
      <c r="O591" t="s">
        <v>702</v>
      </c>
      <c r="P591" t="str">
        <f t="shared" si="162"/>
        <v>WHITC_10469_Pavlova</v>
      </c>
      <c r="Q591" t="str">
        <f t="shared" si="163"/>
        <v>10469</v>
      </c>
      <c r="R591" t="str">
        <f t="shared" si="164"/>
        <v>10469</v>
      </c>
      <c r="S591" t="str">
        <f t="shared" si="165"/>
        <v>Pavlova</v>
      </c>
      <c r="T591">
        <v>13.9</v>
      </c>
      <c r="U591">
        <v>35</v>
      </c>
      <c r="V591">
        <v>0.15</v>
      </c>
      <c r="W591">
        <f t="shared" si="166"/>
        <v>413.52499999999998</v>
      </c>
      <c r="X591" t="str">
        <f t="shared" si="167"/>
        <v>No</v>
      </c>
      <c r="Y591" s="2">
        <v>34799</v>
      </c>
      <c r="Z591" t="str">
        <f t="shared" si="153"/>
        <v/>
      </c>
      <c r="AA591" t="str">
        <f t="shared" si="168"/>
        <v/>
      </c>
      <c r="AB591" t="str" cm="1">
        <f t="array" ref="AB591">_xlfn.IFS(Y591&lt;DATE(1996,1,1),"",Y591&lt;DATE(1996,4,1),"Q1",Y591&lt;DATE(1996,7,1),"Q2",Y591&gt;=DATE(1996,7,1),"")</f>
        <v/>
      </c>
    </row>
    <row r="592" spans="1:28" ht="14.4" x14ac:dyDescent="0.55000000000000004">
      <c r="A592" t="str">
        <f>VLOOKUP(L592,Customers!$A$2:$B$92,2,FALSE)</f>
        <v>White Clover Markets</v>
      </c>
      <c r="B592" t="str">
        <f>VLOOKUP(L592,Customers!$A$2:$C$92,3,TRUE)</f>
        <v>Karl Jablonski</v>
      </c>
      <c r="C592" t="str">
        <f t="shared" si="154"/>
        <v>Karl</v>
      </c>
      <c r="D592" s="8" t="str">
        <f t="shared" si="155"/>
        <v>Jablonski</v>
      </c>
      <c r="E592" s="8" t="str">
        <f t="shared" si="156"/>
        <v>Jablonski, Karl</v>
      </c>
      <c r="F592" s="8" t="str">
        <f t="shared" si="157"/>
        <v>Jablonski, Karl</v>
      </c>
      <c r="G592" s="8" t="str">
        <f t="shared" si="158"/>
        <v>not an outlier</v>
      </c>
      <c r="H592" s="8" t="str">
        <f t="shared" si="159"/>
        <v>Not</v>
      </c>
      <c r="I592" s="8" t="str">
        <f t="shared" si="169"/>
        <v>no</v>
      </c>
      <c r="J592" s="10" t="str">
        <f t="shared" si="160"/>
        <v>no</v>
      </c>
      <c r="K592" s="10" t="str">
        <f t="shared" si="161"/>
        <v>no</v>
      </c>
      <c r="L592" t="s">
        <v>654</v>
      </c>
      <c r="M592">
        <v>10469</v>
      </c>
      <c r="N592">
        <v>44</v>
      </c>
      <c r="O592" t="s">
        <v>728</v>
      </c>
      <c r="P592" t="str">
        <f t="shared" si="162"/>
        <v>WHITC_10469_Gula Malacca</v>
      </c>
      <c r="Q592" t="str">
        <f t="shared" si="163"/>
        <v>10469</v>
      </c>
      <c r="R592" t="str">
        <f t="shared" si="164"/>
        <v>10469</v>
      </c>
      <c r="S592" t="str">
        <f t="shared" si="165"/>
        <v>Gula Malacca</v>
      </c>
      <c r="T592">
        <v>15.5</v>
      </c>
      <c r="U592">
        <v>2</v>
      </c>
      <c r="V592">
        <v>0.15</v>
      </c>
      <c r="W592">
        <f t="shared" si="166"/>
        <v>26.349999999999998</v>
      </c>
      <c r="X592" t="str">
        <f t="shared" si="167"/>
        <v>No</v>
      </c>
      <c r="Y592" s="2">
        <v>34799</v>
      </c>
      <c r="Z592" t="str">
        <f t="shared" si="153"/>
        <v/>
      </c>
      <c r="AA592" t="str">
        <f t="shared" si="168"/>
        <v/>
      </c>
      <c r="AB592" t="str" cm="1">
        <f t="array" ref="AB592">_xlfn.IFS(Y592&lt;DATE(1996,1,1),"",Y592&lt;DATE(1996,4,1),"Q1",Y592&lt;DATE(1996,7,1),"Q2",Y592&gt;=DATE(1996,7,1),"")</f>
        <v/>
      </c>
    </row>
    <row r="593" spans="1:28" ht="14.4" x14ac:dyDescent="0.55000000000000004">
      <c r="A593" t="str">
        <f>VLOOKUP(L593,Customers!$A$2:$B$92,2,FALSE)</f>
        <v>Bon app'</v>
      </c>
      <c r="B593" t="str">
        <f>VLOOKUP(L593,Customers!$A$2:$C$92,3,TRUE)</f>
        <v>Laurence Lebihan</v>
      </c>
      <c r="C593" t="str">
        <f t="shared" si="154"/>
        <v>Laurence</v>
      </c>
      <c r="D593" s="8" t="str">
        <f t="shared" si="155"/>
        <v>Lebihan</v>
      </c>
      <c r="E593" s="8" t="str">
        <f t="shared" si="156"/>
        <v>Lebihan, Laurence</v>
      </c>
      <c r="F593" s="8" t="str">
        <f t="shared" si="157"/>
        <v>Lebihan, Laurence</v>
      </c>
      <c r="G593" s="8" t="str">
        <f t="shared" si="158"/>
        <v>not an outlier</v>
      </c>
      <c r="H593" s="8" t="str">
        <f t="shared" si="159"/>
        <v>Not</v>
      </c>
      <c r="I593" s="8" t="str">
        <f t="shared" si="169"/>
        <v>no</v>
      </c>
      <c r="J593" s="10" t="str">
        <f t="shared" si="160"/>
        <v>no</v>
      </c>
      <c r="K593" s="10" t="str">
        <f t="shared" si="161"/>
        <v>no</v>
      </c>
      <c r="L593" t="s">
        <v>77</v>
      </c>
      <c r="M593">
        <v>10470</v>
      </c>
      <c r="N593">
        <v>18</v>
      </c>
      <c r="O593" t="s">
        <v>742</v>
      </c>
      <c r="P593" t="str">
        <f t="shared" si="162"/>
        <v>BONAP_10470_Carnarvon Tigers</v>
      </c>
      <c r="Q593" t="str">
        <f t="shared" si="163"/>
        <v>10470</v>
      </c>
      <c r="R593" t="str">
        <f t="shared" si="164"/>
        <v>10470</v>
      </c>
      <c r="S593" t="str">
        <f t="shared" si="165"/>
        <v>Carnarvon Tigers</v>
      </c>
      <c r="T593">
        <v>50</v>
      </c>
      <c r="U593">
        <v>30</v>
      </c>
      <c r="V593">
        <v>0</v>
      </c>
      <c r="W593">
        <f t="shared" si="166"/>
        <v>1500</v>
      </c>
      <c r="X593" t="str">
        <f t="shared" si="167"/>
        <v>No</v>
      </c>
      <c r="Y593" s="2">
        <v>34800</v>
      </c>
      <c r="Z593" t="str">
        <f t="shared" si="153"/>
        <v/>
      </c>
      <c r="AA593" t="str">
        <f t="shared" si="168"/>
        <v/>
      </c>
      <c r="AB593" t="str" cm="1">
        <f t="array" ref="AB593">_xlfn.IFS(Y593&lt;DATE(1996,1,1),"",Y593&lt;DATE(1996,4,1),"Q1",Y593&lt;DATE(1996,7,1),"Q2",Y593&gt;=DATE(1996,7,1),"")</f>
        <v/>
      </c>
    </row>
    <row r="594" spans="1:28" ht="14.4" x14ac:dyDescent="0.55000000000000004">
      <c r="A594" t="str">
        <f>VLOOKUP(L594,Customers!$A$2:$B$92,2,FALSE)</f>
        <v>Bon app'</v>
      </c>
      <c r="B594" t="str">
        <f>VLOOKUP(L594,Customers!$A$2:$C$92,3,TRUE)</f>
        <v>Laurence Lebihan</v>
      </c>
      <c r="C594" t="str">
        <f t="shared" si="154"/>
        <v>Laurence</v>
      </c>
      <c r="D594" s="8" t="str">
        <f t="shared" si="155"/>
        <v>Lebihan</v>
      </c>
      <c r="E594" s="8" t="str">
        <f t="shared" si="156"/>
        <v>Lebihan, Laurence</v>
      </c>
      <c r="F594" s="8" t="str">
        <f t="shared" si="157"/>
        <v>Lebihan, Laurence</v>
      </c>
      <c r="G594" s="8" t="str">
        <f t="shared" si="158"/>
        <v>not an outlier</v>
      </c>
      <c r="H594" s="8" t="str">
        <f t="shared" si="159"/>
        <v>Not</v>
      </c>
      <c r="I594" s="8" t="str">
        <f t="shared" si="169"/>
        <v>no</v>
      </c>
      <c r="J594" s="10" t="str">
        <f t="shared" si="160"/>
        <v>no</v>
      </c>
      <c r="K594" s="10" t="str">
        <f t="shared" si="161"/>
        <v>no</v>
      </c>
      <c r="L594" t="s">
        <v>77</v>
      </c>
      <c r="M594">
        <v>10470</v>
      </c>
      <c r="N594">
        <v>23</v>
      </c>
      <c r="O594" t="s">
        <v>753</v>
      </c>
      <c r="P594" t="str">
        <f t="shared" si="162"/>
        <v>BONAP_10470_Tunnbröd</v>
      </c>
      <c r="Q594" t="str">
        <f t="shared" si="163"/>
        <v>10470</v>
      </c>
      <c r="R594" t="str">
        <f t="shared" si="164"/>
        <v>10470</v>
      </c>
      <c r="S594" t="str">
        <f t="shared" si="165"/>
        <v>Tunnbröd</v>
      </c>
      <c r="T594">
        <v>7.2</v>
      </c>
      <c r="U594">
        <v>15</v>
      </c>
      <c r="V594">
        <v>0</v>
      </c>
      <c r="W594">
        <f t="shared" si="166"/>
        <v>108</v>
      </c>
      <c r="X594" t="str">
        <f t="shared" si="167"/>
        <v>No</v>
      </c>
      <c r="Y594" s="2">
        <v>34800</v>
      </c>
      <c r="Z594" t="str">
        <f t="shared" si="153"/>
        <v/>
      </c>
      <c r="AA594" t="str">
        <f t="shared" si="168"/>
        <v/>
      </c>
      <c r="AB594" t="str" cm="1">
        <f t="array" ref="AB594">_xlfn.IFS(Y594&lt;DATE(1996,1,1),"",Y594&lt;DATE(1996,4,1),"Q1",Y594&lt;DATE(1996,7,1),"Q2",Y594&gt;=DATE(1996,7,1),"")</f>
        <v/>
      </c>
    </row>
    <row r="595" spans="1:28" ht="14.4" x14ac:dyDescent="0.55000000000000004">
      <c r="A595" t="str">
        <f>VLOOKUP(L595,Customers!$A$2:$B$92,2,FALSE)</f>
        <v>Bon app'</v>
      </c>
      <c r="B595" t="str">
        <f>VLOOKUP(L595,Customers!$A$2:$C$92,3,TRUE)</f>
        <v>Laurence Lebihan</v>
      </c>
      <c r="C595" t="str">
        <f t="shared" si="154"/>
        <v>Laurence</v>
      </c>
      <c r="D595" s="8" t="str">
        <f t="shared" si="155"/>
        <v>Lebihan</v>
      </c>
      <c r="E595" s="8" t="str">
        <f t="shared" si="156"/>
        <v>Lebihan, Laurence</v>
      </c>
      <c r="F595" s="8" t="str">
        <f t="shared" si="157"/>
        <v>Lebihan, Laurence</v>
      </c>
      <c r="G595" s="8" t="str">
        <f t="shared" si="158"/>
        <v>not an outlier</v>
      </c>
      <c r="H595" s="8" t="str">
        <f t="shared" si="159"/>
        <v>Not</v>
      </c>
      <c r="I595" s="8" t="str">
        <f t="shared" si="169"/>
        <v>no</v>
      </c>
      <c r="J595" s="10" t="str">
        <f t="shared" si="160"/>
        <v>no</v>
      </c>
      <c r="K595" s="10" t="str">
        <f t="shared" si="161"/>
        <v>no</v>
      </c>
      <c r="L595" t="s">
        <v>77</v>
      </c>
      <c r="M595">
        <v>10470</v>
      </c>
      <c r="N595">
        <v>64</v>
      </c>
      <c r="O595" t="s">
        <v>741</v>
      </c>
      <c r="P595" t="str">
        <f t="shared" si="162"/>
        <v>BONAP_10470_Wimmers gute Semmelknödel</v>
      </c>
      <c r="Q595" t="str">
        <f t="shared" si="163"/>
        <v>10470</v>
      </c>
      <c r="R595" t="str">
        <f t="shared" si="164"/>
        <v>10470</v>
      </c>
      <c r="S595" t="str">
        <f t="shared" si="165"/>
        <v>Wimmers gute Semmelknödel</v>
      </c>
      <c r="T595">
        <v>26.6</v>
      </c>
      <c r="U595">
        <v>8</v>
      </c>
      <c r="V595">
        <v>0</v>
      </c>
      <c r="W595">
        <f t="shared" si="166"/>
        <v>212.8</v>
      </c>
      <c r="X595" t="str">
        <f t="shared" si="167"/>
        <v>No</v>
      </c>
      <c r="Y595" s="2">
        <v>34800</v>
      </c>
      <c r="Z595" t="str">
        <f t="shared" si="153"/>
        <v/>
      </c>
      <c r="AA595" t="str">
        <f t="shared" si="168"/>
        <v/>
      </c>
      <c r="AB595" t="str" cm="1">
        <f t="array" ref="AB595">_xlfn.IFS(Y595&lt;DATE(1996,1,1),"",Y595&lt;DATE(1996,4,1),"Q1",Y595&lt;DATE(1996,7,1),"Q2",Y595&gt;=DATE(1996,7,1),"")</f>
        <v/>
      </c>
    </row>
    <row r="596" spans="1:28" ht="14.4" x14ac:dyDescent="0.55000000000000004">
      <c r="A596" t="str">
        <f>VLOOKUP(L596,Customers!$A$2:$B$92,2,FALSE)</f>
        <v>B's Beverages</v>
      </c>
      <c r="B596" t="str">
        <f>VLOOKUP(L596,Customers!$A$2:$C$92,3,TRUE)</f>
        <v>Victoria Ashworth</v>
      </c>
      <c r="C596" t="str">
        <f t="shared" si="154"/>
        <v>Victoria</v>
      </c>
      <c r="D596" s="8" t="str">
        <f t="shared" si="155"/>
        <v>Ashworth</v>
      </c>
      <c r="E596" s="8" t="str">
        <f t="shared" si="156"/>
        <v>Ashworth, Victoria</v>
      </c>
      <c r="F596" s="8" t="str">
        <f t="shared" si="157"/>
        <v>Ashworth, Victoria</v>
      </c>
      <c r="G596" s="8" t="str">
        <f t="shared" si="158"/>
        <v>not an outlier</v>
      </c>
      <c r="H596" s="8" t="str">
        <f t="shared" si="159"/>
        <v>Not</v>
      </c>
      <c r="I596" s="8" t="str">
        <f t="shared" si="169"/>
        <v>no</v>
      </c>
      <c r="J596" s="10" t="str">
        <f t="shared" si="160"/>
        <v>no</v>
      </c>
      <c r="K596" s="10" t="str">
        <f t="shared" si="161"/>
        <v>no</v>
      </c>
      <c r="L596" t="s">
        <v>95</v>
      </c>
      <c r="M596">
        <v>10471</v>
      </c>
      <c r="N596">
        <v>7</v>
      </c>
      <c r="O596" t="s">
        <v>715</v>
      </c>
      <c r="P596" t="str">
        <f t="shared" si="162"/>
        <v>BSBEV_10471_Uncle Bob's Organic Dried Pears</v>
      </c>
      <c r="Q596" t="str">
        <f t="shared" si="163"/>
        <v>10471</v>
      </c>
      <c r="R596" t="str">
        <f t="shared" si="164"/>
        <v>10471</v>
      </c>
      <c r="S596" t="str">
        <f t="shared" si="165"/>
        <v>Uncle Bob's Organic Dried Pears</v>
      </c>
      <c r="T596">
        <v>24</v>
      </c>
      <c r="U596">
        <v>30</v>
      </c>
      <c r="V596">
        <v>0</v>
      </c>
      <c r="W596">
        <f t="shared" si="166"/>
        <v>720</v>
      </c>
      <c r="X596" t="str">
        <f t="shared" si="167"/>
        <v>No</v>
      </c>
      <c r="Y596" s="2">
        <v>34800</v>
      </c>
      <c r="Z596" t="str">
        <f t="shared" si="153"/>
        <v/>
      </c>
      <c r="AA596" t="str">
        <f t="shared" si="168"/>
        <v/>
      </c>
      <c r="AB596" t="str" cm="1">
        <f t="array" ref="AB596">_xlfn.IFS(Y596&lt;DATE(1996,1,1),"",Y596&lt;DATE(1996,4,1),"Q1",Y596&lt;DATE(1996,7,1),"Q2",Y596&gt;=DATE(1996,7,1),"")</f>
        <v/>
      </c>
    </row>
    <row r="597" spans="1:28" ht="14.4" x14ac:dyDescent="0.55000000000000004">
      <c r="A597" t="str">
        <f>VLOOKUP(L597,Customers!$A$2:$B$92,2,FALSE)</f>
        <v>B's Beverages</v>
      </c>
      <c r="B597" t="str">
        <f>VLOOKUP(L597,Customers!$A$2:$C$92,3,TRUE)</f>
        <v>Victoria Ashworth</v>
      </c>
      <c r="C597" t="str">
        <f t="shared" si="154"/>
        <v>Victoria</v>
      </c>
      <c r="D597" s="8" t="str">
        <f t="shared" si="155"/>
        <v>Ashworth</v>
      </c>
      <c r="E597" s="8" t="str">
        <f t="shared" si="156"/>
        <v>Ashworth, Victoria</v>
      </c>
      <c r="F597" s="8" t="str">
        <f t="shared" si="157"/>
        <v>Ashworth, Victoria</v>
      </c>
      <c r="G597" s="8" t="str">
        <f t="shared" si="158"/>
        <v>not an outlier</v>
      </c>
      <c r="H597" s="8" t="str">
        <f t="shared" si="159"/>
        <v>Not</v>
      </c>
      <c r="I597" s="8" t="str">
        <f t="shared" si="169"/>
        <v>no</v>
      </c>
      <c r="J597" s="10" t="str">
        <f t="shared" si="160"/>
        <v>no</v>
      </c>
      <c r="K597" s="10" t="str">
        <f t="shared" si="161"/>
        <v>no</v>
      </c>
      <c r="L597" t="s">
        <v>95</v>
      </c>
      <c r="M597">
        <v>10471</v>
      </c>
      <c r="N597">
        <v>56</v>
      </c>
      <c r="O597" t="s">
        <v>716</v>
      </c>
      <c r="P597" t="str">
        <f t="shared" si="162"/>
        <v>BSBEV_10471_Gnocchi di nonna Alice</v>
      </c>
      <c r="Q597" t="str">
        <f t="shared" si="163"/>
        <v>10471</v>
      </c>
      <c r="R597" t="str">
        <f t="shared" si="164"/>
        <v>10471</v>
      </c>
      <c r="S597" t="str">
        <f t="shared" si="165"/>
        <v>Gnocchi di nonna Alice</v>
      </c>
      <c r="T597">
        <v>30.4</v>
      </c>
      <c r="U597">
        <v>20</v>
      </c>
      <c r="V597">
        <v>0</v>
      </c>
      <c r="W597">
        <f t="shared" si="166"/>
        <v>608</v>
      </c>
      <c r="X597" t="str">
        <f t="shared" si="167"/>
        <v>No</v>
      </c>
      <c r="Y597" s="2">
        <v>34800</v>
      </c>
      <c r="Z597" t="str">
        <f t="shared" si="153"/>
        <v/>
      </c>
      <c r="AA597" t="str">
        <f t="shared" si="168"/>
        <v/>
      </c>
      <c r="AB597" t="str" cm="1">
        <f t="array" ref="AB597">_xlfn.IFS(Y597&lt;DATE(1996,1,1),"",Y597&lt;DATE(1996,4,1),"Q1",Y597&lt;DATE(1996,7,1),"Q2",Y597&gt;=DATE(1996,7,1),"")</f>
        <v/>
      </c>
    </row>
    <row r="598" spans="1:28" ht="14.4" x14ac:dyDescent="0.55000000000000004">
      <c r="A598" t="str">
        <f>VLOOKUP(L598,Customers!$A$2:$B$92,2,FALSE)</f>
        <v>Seven Seas Imports</v>
      </c>
      <c r="B598" t="str">
        <f>VLOOKUP(L598,Customers!$A$2:$C$92,3,TRUE)</f>
        <v>Hari Kumar</v>
      </c>
      <c r="C598" t="str">
        <f t="shared" si="154"/>
        <v>Hari</v>
      </c>
      <c r="D598" s="8" t="str">
        <f t="shared" si="155"/>
        <v>Kumar</v>
      </c>
      <c r="E598" s="8" t="str">
        <f t="shared" si="156"/>
        <v>Kumar, Hari</v>
      </c>
      <c r="F598" s="8" t="str">
        <f t="shared" si="157"/>
        <v>Kumar, Hari</v>
      </c>
      <c r="G598" s="8" t="str">
        <f t="shared" si="158"/>
        <v>not an outlier</v>
      </c>
      <c r="H598" s="8" t="str">
        <f t="shared" si="159"/>
        <v>Not</v>
      </c>
      <c r="I598" s="8" t="str">
        <f t="shared" si="169"/>
        <v>no</v>
      </c>
      <c r="J598" s="10" t="str">
        <f t="shared" si="160"/>
        <v>no</v>
      </c>
      <c r="K598" s="10" t="str">
        <f t="shared" si="161"/>
        <v>no</v>
      </c>
      <c r="L598" t="s">
        <v>536</v>
      </c>
      <c r="M598">
        <v>10472</v>
      </c>
      <c r="N598">
        <v>24</v>
      </c>
      <c r="O598" t="s">
        <v>698</v>
      </c>
      <c r="P598" t="str">
        <f t="shared" si="162"/>
        <v>SEVES_10472_Guaraná Fantástica</v>
      </c>
      <c r="Q598" t="str">
        <f t="shared" si="163"/>
        <v>10472</v>
      </c>
      <c r="R598" t="str">
        <f t="shared" si="164"/>
        <v>10472</v>
      </c>
      <c r="S598" t="str">
        <f t="shared" si="165"/>
        <v>Guaraná Fantástica</v>
      </c>
      <c r="T598">
        <v>3.6</v>
      </c>
      <c r="U598">
        <v>80</v>
      </c>
      <c r="V598">
        <v>0.05</v>
      </c>
      <c r="W598">
        <f t="shared" si="166"/>
        <v>273.59999999999997</v>
      </c>
      <c r="X598" t="str">
        <f t="shared" si="167"/>
        <v>No</v>
      </c>
      <c r="Y598" s="2">
        <v>34801</v>
      </c>
      <c r="Z598" t="str">
        <f t="shared" si="153"/>
        <v/>
      </c>
      <c r="AA598" t="str">
        <f t="shared" si="168"/>
        <v/>
      </c>
      <c r="AB598" t="str" cm="1">
        <f t="array" ref="AB598">_xlfn.IFS(Y598&lt;DATE(1996,1,1),"",Y598&lt;DATE(1996,4,1),"Q1",Y598&lt;DATE(1996,7,1),"Q2",Y598&gt;=DATE(1996,7,1),"")</f>
        <v/>
      </c>
    </row>
    <row r="599" spans="1:28" ht="14.4" x14ac:dyDescent="0.55000000000000004">
      <c r="A599" t="str">
        <f>VLOOKUP(L599,Customers!$A$2:$B$92,2,FALSE)</f>
        <v>Seven Seas Imports</v>
      </c>
      <c r="B599" t="str">
        <f>VLOOKUP(L599,Customers!$A$2:$C$92,3,TRUE)</f>
        <v>Hari Kumar</v>
      </c>
      <c r="C599" t="str">
        <f t="shared" si="154"/>
        <v>Hari</v>
      </c>
      <c r="D599" s="8" t="str">
        <f t="shared" si="155"/>
        <v>Kumar</v>
      </c>
      <c r="E599" s="8" t="str">
        <f t="shared" si="156"/>
        <v>Kumar, Hari</v>
      </c>
      <c r="F599" s="8" t="str">
        <f t="shared" si="157"/>
        <v>Kumar, Hari</v>
      </c>
      <c r="G599" s="8" t="str">
        <f t="shared" si="158"/>
        <v>not an outlier</v>
      </c>
      <c r="H599" s="8" t="str">
        <f t="shared" si="159"/>
        <v>Not</v>
      </c>
      <c r="I599" s="8" t="str">
        <f t="shared" si="169"/>
        <v>no</v>
      </c>
      <c r="J599" s="10" t="str">
        <f t="shared" si="160"/>
        <v>no</v>
      </c>
      <c r="K599" s="10" t="str">
        <f t="shared" si="161"/>
        <v>no</v>
      </c>
      <c r="L599" t="s">
        <v>536</v>
      </c>
      <c r="M599">
        <v>10472</v>
      </c>
      <c r="N599">
        <v>51</v>
      </c>
      <c r="O599" t="s">
        <v>687</v>
      </c>
      <c r="P599" t="str">
        <f t="shared" si="162"/>
        <v>SEVES_10472_Manjimup Dried Apples</v>
      </c>
      <c r="Q599" t="str">
        <f t="shared" si="163"/>
        <v>10472</v>
      </c>
      <c r="R599" t="str">
        <f t="shared" si="164"/>
        <v>10472</v>
      </c>
      <c r="S599" t="str">
        <f t="shared" si="165"/>
        <v>Manjimup Dried Apples</v>
      </c>
      <c r="T599">
        <v>42.4</v>
      </c>
      <c r="U599">
        <v>18</v>
      </c>
      <c r="V599">
        <v>0</v>
      </c>
      <c r="W599">
        <f t="shared" si="166"/>
        <v>763.19999999999993</v>
      </c>
      <c r="X599" t="str">
        <f t="shared" si="167"/>
        <v>No</v>
      </c>
      <c r="Y599" s="2">
        <v>34801</v>
      </c>
      <c r="Z599" t="str">
        <f t="shared" si="153"/>
        <v/>
      </c>
      <c r="AA599" t="str">
        <f t="shared" si="168"/>
        <v/>
      </c>
      <c r="AB599" t="str" cm="1">
        <f t="array" ref="AB599">_xlfn.IFS(Y599&lt;DATE(1996,1,1),"",Y599&lt;DATE(1996,4,1),"Q1",Y599&lt;DATE(1996,7,1),"Q2",Y599&gt;=DATE(1996,7,1),"")</f>
        <v/>
      </c>
    </row>
    <row r="600" spans="1:28" ht="14.4" x14ac:dyDescent="0.55000000000000004">
      <c r="A600" t="str">
        <f>VLOOKUP(L600,Customers!$A$2:$B$92,2,FALSE)</f>
        <v>Island Trading</v>
      </c>
      <c r="B600" t="str">
        <f>VLOOKUP(L600,Customers!$A$2:$C$92,3,TRUE)</f>
        <v>Helen Bennett</v>
      </c>
      <c r="C600" t="str">
        <f t="shared" si="154"/>
        <v>Helen</v>
      </c>
      <c r="D600" s="8" t="str">
        <f t="shared" si="155"/>
        <v>Bennett</v>
      </c>
      <c r="E600" s="8" t="str">
        <f t="shared" si="156"/>
        <v>Bennett, Helen</v>
      </c>
      <c r="F600" s="8" t="str">
        <f t="shared" si="157"/>
        <v>Bennett, Helen</v>
      </c>
      <c r="G600" s="8" t="str">
        <f t="shared" si="158"/>
        <v>not an outlier</v>
      </c>
      <c r="H600" s="8" t="str">
        <f t="shared" si="159"/>
        <v>Not</v>
      </c>
      <c r="I600" s="8" t="str">
        <f t="shared" si="169"/>
        <v>no</v>
      </c>
      <c r="J600" s="10" t="str">
        <f t="shared" si="160"/>
        <v>no</v>
      </c>
      <c r="K600" s="10" t="str">
        <f t="shared" si="161"/>
        <v>no</v>
      </c>
      <c r="L600" t="s">
        <v>297</v>
      </c>
      <c r="M600">
        <v>10473</v>
      </c>
      <c r="N600">
        <v>33</v>
      </c>
      <c r="O600" t="s">
        <v>693</v>
      </c>
      <c r="P600" t="str">
        <f t="shared" si="162"/>
        <v>ISLAT_10473_Geitost</v>
      </c>
      <c r="Q600" t="str">
        <f t="shared" si="163"/>
        <v>10473</v>
      </c>
      <c r="R600" t="str">
        <f t="shared" si="164"/>
        <v>10473</v>
      </c>
      <c r="S600" t="str">
        <f t="shared" si="165"/>
        <v>Geitost</v>
      </c>
      <c r="T600">
        <v>2</v>
      </c>
      <c r="U600">
        <v>12</v>
      </c>
      <c r="V600">
        <v>0</v>
      </c>
      <c r="W600">
        <f t="shared" si="166"/>
        <v>24</v>
      </c>
      <c r="X600" t="str">
        <f t="shared" si="167"/>
        <v>No</v>
      </c>
      <c r="Y600" s="2">
        <v>34802</v>
      </c>
      <c r="Z600" t="str">
        <f t="shared" si="153"/>
        <v/>
      </c>
      <c r="AA600" t="str">
        <f t="shared" si="168"/>
        <v/>
      </c>
      <c r="AB600" t="str" cm="1">
        <f t="array" ref="AB600">_xlfn.IFS(Y600&lt;DATE(1996,1,1),"",Y600&lt;DATE(1996,4,1),"Q1",Y600&lt;DATE(1996,7,1),"Q2",Y600&gt;=DATE(1996,7,1),"")</f>
        <v/>
      </c>
    </row>
    <row r="601" spans="1:28" ht="14.4" x14ac:dyDescent="0.55000000000000004">
      <c r="A601" t="str">
        <f>VLOOKUP(L601,Customers!$A$2:$B$92,2,FALSE)</f>
        <v>Island Trading</v>
      </c>
      <c r="B601" t="str">
        <f>VLOOKUP(L601,Customers!$A$2:$C$92,3,TRUE)</f>
        <v>Helen Bennett</v>
      </c>
      <c r="C601" t="str">
        <f t="shared" si="154"/>
        <v>Helen</v>
      </c>
      <c r="D601" s="8" t="str">
        <f t="shared" si="155"/>
        <v>Bennett</v>
      </c>
      <c r="E601" s="8" t="str">
        <f t="shared" si="156"/>
        <v>Bennett, Helen</v>
      </c>
      <c r="F601" s="8" t="str">
        <f t="shared" si="157"/>
        <v>Bennett, Helen</v>
      </c>
      <c r="G601" s="8" t="str">
        <f t="shared" si="158"/>
        <v>not an outlier</v>
      </c>
      <c r="H601" s="8" t="str">
        <f t="shared" si="159"/>
        <v>Not</v>
      </c>
      <c r="I601" s="8" t="str">
        <f t="shared" si="169"/>
        <v>no</v>
      </c>
      <c r="J601" s="10" t="str">
        <f t="shared" si="160"/>
        <v>no</v>
      </c>
      <c r="K601" s="10" t="str">
        <f t="shared" si="161"/>
        <v>no</v>
      </c>
      <c r="L601" t="s">
        <v>297</v>
      </c>
      <c r="M601">
        <v>10473</v>
      </c>
      <c r="N601">
        <v>71</v>
      </c>
      <c r="O601" t="s">
        <v>725</v>
      </c>
      <c r="P601" t="str">
        <f t="shared" si="162"/>
        <v>ISLAT_10473_Fløtemysost</v>
      </c>
      <c r="Q601" t="str">
        <f t="shared" si="163"/>
        <v>10473</v>
      </c>
      <c r="R601" t="str">
        <f t="shared" si="164"/>
        <v>10473</v>
      </c>
      <c r="S601" t="str">
        <f t="shared" si="165"/>
        <v>Fløtemysost</v>
      </c>
      <c r="T601">
        <v>17.2</v>
      </c>
      <c r="U601">
        <v>12</v>
      </c>
      <c r="V601">
        <v>0</v>
      </c>
      <c r="W601">
        <f t="shared" si="166"/>
        <v>206.39999999999998</v>
      </c>
      <c r="X601" t="str">
        <f t="shared" si="167"/>
        <v>No</v>
      </c>
      <c r="Y601" s="2">
        <v>34802</v>
      </c>
      <c r="Z601" t="str">
        <f t="shared" si="153"/>
        <v/>
      </c>
      <c r="AA601" t="str">
        <f t="shared" si="168"/>
        <v/>
      </c>
      <c r="AB601" t="str" cm="1">
        <f t="array" ref="AB601">_xlfn.IFS(Y601&lt;DATE(1996,1,1),"",Y601&lt;DATE(1996,4,1),"Q1",Y601&lt;DATE(1996,7,1),"Q2",Y601&gt;=DATE(1996,7,1),"")</f>
        <v/>
      </c>
    </row>
    <row r="602" spans="1:28" ht="14.4" x14ac:dyDescent="0.55000000000000004">
      <c r="A602" t="str">
        <f>VLOOKUP(L602,Customers!$A$2:$B$92,2,FALSE)</f>
        <v>Pericles Comidas clásicas</v>
      </c>
      <c r="B602" t="str">
        <f>VLOOKUP(L602,Customers!$A$2:$C$92,3,TRUE)</f>
        <v>Guillermo Fernández</v>
      </c>
      <c r="C602" t="str">
        <f t="shared" si="154"/>
        <v>Guillermo</v>
      </c>
      <c r="D602" s="8" t="str">
        <f t="shared" si="155"/>
        <v>Fernández</v>
      </c>
      <c r="E602" s="8" t="str">
        <f t="shared" si="156"/>
        <v>Fernández, Guillermo</v>
      </c>
      <c r="F602" s="8" t="str">
        <f t="shared" si="157"/>
        <v>Fernández, Guillermo</v>
      </c>
      <c r="G602" s="8" t="str">
        <f t="shared" si="158"/>
        <v>not an outlier</v>
      </c>
      <c r="H602" s="8" t="str">
        <f t="shared" si="159"/>
        <v>Not</v>
      </c>
      <c r="I602" s="8" t="str">
        <f t="shared" si="169"/>
        <v>no</v>
      </c>
      <c r="J602" s="10" t="str">
        <f t="shared" si="160"/>
        <v>no</v>
      </c>
      <c r="K602" s="10" t="str">
        <f t="shared" si="161"/>
        <v>no</v>
      </c>
      <c r="L602" t="s">
        <v>444</v>
      </c>
      <c r="M602">
        <v>10474</v>
      </c>
      <c r="N602">
        <v>14</v>
      </c>
      <c r="O602" t="s">
        <v>686</v>
      </c>
      <c r="P602" t="str">
        <f t="shared" si="162"/>
        <v>PERIC_10474_Tofu</v>
      </c>
      <c r="Q602" t="str">
        <f t="shared" si="163"/>
        <v>10474</v>
      </c>
      <c r="R602" t="str">
        <f t="shared" si="164"/>
        <v>10474</v>
      </c>
      <c r="S602" t="str">
        <f t="shared" si="165"/>
        <v>Tofu</v>
      </c>
      <c r="T602">
        <v>18.600000000000001</v>
      </c>
      <c r="U602">
        <v>12</v>
      </c>
      <c r="V602">
        <v>0</v>
      </c>
      <c r="W602">
        <f t="shared" si="166"/>
        <v>223.20000000000002</v>
      </c>
      <c r="X602" t="str">
        <f t="shared" si="167"/>
        <v>No</v>
      </c>
      <c r="Y602" s="2">
        <v>34802</v>
      </c>
      <c r="Z602" t="str">
        <f t="shared" si="153"/>
        <v/>
      </c>
      <c r="AA602" t="str">
        <f t="shared" si="168"/>
        <v/>
      </c>
      <c r="AB602" t="str" cm="1">
        <f t="array" ref="AB602">_xlfn.IFS(Y602&lt;DATE(1996,1,1),"",Y602&lt;DATE(1996,4,1),"Q1",Y602&lt;DATE(1996,7,1),"Q2",Y602&gt;=DATE(1996,7,1),"")</f>
        <v/>
      </c>
    </row>
    <row r="603" spans="1:28" ht="14.4" x14ac:dyDescent="0.55000000000000004">
      <c r="A603" t="str">
        <f>VLOOKUP(L603,Customers!$A$2:$B$92,2,FALSE)</f>
        <v>Pericles Comidas clásicas</v>
      </c>
      <c r="B603" t="str">
        <f>VLOOKUP(L603,Customers!$A$2:$C$92,3,TRUE)</f>
        <v>Guillermo Fernández</v>
      </c>
      <c r="C603" t="str">
        <f t="shared" si="154"/>
        <v>Guillermo</v>
      </c>
      <c r="D603" s="8" t="str">
        <f t="shared" si="155"/>
        <v>Fernández</v>
      </c>
      <c r="E603" s="8" t="str">
        <f t="shared" si="156"/>
        <v>Fernández, Guillermo</v>
      </c>
      <c r="F603" s="8" t="str">
        <f t="shared" si="157"/>
        <v>Fernández, Guillermo</v>
      </c>
      <c r="G603" s="8" t="str">
        <f t="shared" si="158"/>
        <v>not an outlier</v>
      </c>
      <c r="H603" s="8" t="str">
        <f t="shared" si="159"/>
        <v>Not</v>
      </c>
      <c r="I603" s="8" t="str">
        <f t="shared" si="169"/>
        <v>no</v>
      </c>
      <c r="J603" s="10" t="str">
        <f t="shared" si="160"/>
        <v>no</v>
      </c>
      <c r="K603" s="10" t="str">
        <f t="shared" si="161"/>
        <v>no</v>
      </c>
      <c r="L603" t="s">
        <v>444</v>
      </c>
      <c r="M603">
        <v>10474</v>
      </c>
      <c r="N603">
        <v>28</v>
      </c>
      <c r="O603" t="s">
        <v>727</v>
      </c>
      <c r="P603" t="str">
        <f t="shared" si="162"/>
        <v>PERIC_10474_Rössle Sauerkraut</v>
      </c>
      <c r="Q603" t="str">
        <f t="shared" si="163"/>
        <v>10474</v>
      </c>
      <c r="R603" t="str">
        <f t="shared" si="164"/>
        <v>10474</v>
      </c>
      <c r="S603" t="str">
        <f t="shared" si="165"/>
        <v>Rössle Sauerkraut</v>
      </c>
      <c r="T603">
        <v>36.4</v>
      </c>
      <c r="U603">
        <v>18</v>
      </c>
      <c r="V603">
        <v>0</v>
      </c>
      <c r="W603">
        <f t="shared" si="166"/>
        <v>655.19999999999993</v>
      </c>
      <c r="X603" t="str">
        <f t="shared" si="167"/>
        <v>No</v>
      </c>
      <c r="Y603" s="2">
        <v>34802</v>
      </c>
      <c r="Z603" t="str">
        <f t="shared" si="153"/>
        <v/>
      </c>
      <c r="AA603" t="str">
        <f t="shared" si="168"/>
        <v/>
      </c>
      <c r="AB603" t="str" cm="1">
        <f t="array" ref="AB603">_xlfn.IFS(Y603&lt;DATE(1996,1,1),"",Y603&lt;DATE(1996,4,1),"Q1",Y603&lt;DATE(1996,7,1),"Q2",Y603&gt;=DATE(1996,7,1),"")</f>
        <v/>
      </c>
    </row>
    <row r="604" spans="1:28" ht="14.4" x14ac:dyDescent="0.55000000000000004">
      <c r="A604" t="str">
        <f>VLOOKUP(L604,Customers!$A$2:$B$92,2,FALSE)</f>
        <v>Pericles Comidas clásicas</v>
      </c>
      <c r="B604" t="str">
        <f>VLOOKUP(L604,Customers!$A$2:$C$92,3,TRUE)</f>
        <v>Guillermo Fernández</v>
      </c>
      <c r="C604" t="str">
        <f t="shared" si="154"/>
        <v>Guillermo</v>
      </c>
      <c r="D604" s="8" t="str">
        <f t="shared" si="155"/>
        <v>Fernández</v>
      </c>
      <c r="E604" s="8" t="str">
        <f t="shared" si="156"/>
        <v>Fernández, Guillermo</v>
      </c>
      <c r="F604" s="8" t="str">
        <f t="shared" si="157"/>
        <v>Fernández, Guillermo</v>
      </c>
      <c r="G604" s="8" t="str">
        <f t="shared" si="158"/>
        <v>not an outlier</v>
      </c>
      <c r="H604" s="8" t="str">
        <f t="shared" si="159"/>
        <v>Not</v>
      </c>
      <c r="I604" s="8" t="str">
        <f t="shared" si="169"/>
        <v>no</v>
      </c>
      <c r="J604" s="10" t="str">
        <f t="shared" si="160"/>
        <v>no</v>
      </c>
      <c r="K604" s="10" t="str">
        <f t="shared" si="161"/>
        <v>no</v>
      </c>
      <c r="L604" t="s">
        <v>444</v>
      </c>
      <c r="M604">
        <v>10474</v>
      </c>
      <c r="N604">
        <v>40</v>
      </c>
      <c r="O604" t="s">
        <v>720</v>
      </c>
      <c r="P604" t="str">
        <f t="shared" si="162"/>
        <v>PERIC_10474_Boston Crab Meat</v>
      </c>
      <c r="Q604" t="str">
        <f t="shared" si="163"/>
        <v>10474</v>
      </c>
      <c r="R604" t="str">
        <f t="shared" si="164"/>
        <v>10474</v>
      </c>
      <c r="S604" t="str">
        <f t="shared" si="165"/>
        <v>Boston Crab Meat</v>
      </c>
      <c r="T604">
        <v>14.7</v>
      </c>
      <c r="U604">
        <v>21</v>
      </c>
      <c r="V604">
        <v>0</v>
      </c>
      <c r="W604">
        <f t="shared" si="166"/>
        <v>308.7</v>
      </c>
      <c r="X604" t="str">
        <f t="shared" si="167"/>
        <v>No</v>
      </c>
      <c r="Y604" s="2">
        <v>34802</v>
      </c>
      <c r="Z604" t="str">
        <f t="shared" si="153"/>
        <v/>
      </c>
      <c r="AA604" t="str">
        <f t="shared" si="168"/>
        <v/>
      </c>
      <c r="AB604" t="str" cm="1">
        <f t="array" ref="AB604">_xlfn.IFS(Y604&lt;DATE(1996,1,1),"",Y604&lt;DATE(1996,4,1),"Q1",Y604&lt;DATE(1996,7,1),"Q2",Y604&gt;=DATE(1996,7,1),"")</f>
        <v/>
      </c>
    </row>
    <row r="605" spans="1:28" ht="14.4" x14ac:dyDescent="0.55000000000000004">
      <c r="A605" t="str">
        <f>VLOOKUP(L605,Customers!$A$2:$B$92,2,FALSE)</f>
        <v>Pericles Comidas clásicas</v>
      </c>
      <c r="B605" t="str">
        <f>VLOOKUP(L605,Customers!$A$2:$C$92,3,TRUE)</f>
        <v>Guillermo Fernández</v>
      </c>
      <c r="C605" t="str">
        <f t="shared" si="154"/>
        <v>Guillermo</v>
      </c>
      <c r="D605" s="8" t="str">
        <f t="shared" si="155"/>
        <v>Fernández</v>
      </c>
      <c r="E605" s="8" t="str">
        <f t="shared" si="156"/>
        <v>Fernández, Guillermo</v>
      </c>
      <c r="F605" s="8" t="str">
        <f t="shared" si="157"/>
        <v>Fernández, Guillermo</v>
      </c>
      <c r="G605" s="8" t="str">
        <f t="shared" si="158"/>
        <v>not an outlier</v>
      </c>
      <c r="H605" s="8" t="str">
        <f t="shared" si="159"/>
        <v>Not</v>
      </c>
      <c r="I605" s="8" t="str">
        <f t="shared" si="169"/>
        <v>no</v>
      </c>
      <c r="J605" s="10" t="str">
        <f t="shared" si="160"/>
        <v>no</v>
      </c>
      <c r="K605" s="10" t="str">
        <f t="shared" si="161"/>
        <v>no</v>
      </c>
      <c r="L605" t="s">
        <v>444</v>
      </c>
      <c r="M605">
        <v>10474</v>
      </c>
      <c r="N605">
        <v>75</v>
      </c>
      <c r="O605" t="s">
        <v>731</v>
      </c>
      <c r="P605" t="str">
        <f t="shared" si="162"/>
        <v>PERIC_10474_Rhönbräu Klosterbier</v>
      </c>
      <c r="Q605" t="str">
        <f t="shared" si="163"/>
        <v>10474</v>
      </c>
      <c r="R605" t="str">
        <f t="shared" si="164"/>
        <v>10474</v>
      </c>
      <c r="S605" t="str">
        <f t="shared" si="165"/>
        <v>Rhönbräu Klosterbier</v>
      </c>
      <c r="T605">
        <v>6.2</v>
      </c>
      <c r="U605">
        <v>10</v>
      </c>
      <c r="V605">
        <v>0</v>
      </c>
      <c r="W605">
        <f t="shared" si="166"/>
        <v>62</v>
      </c>
      <c r="X605" t="str">
        <f t="shared" si="167"/>
        <v>No</v>
      </c>
      <c r="Y605" s="2">
        <v>34802</v>
      </c>
      <c r="Z605" t="str">
        <f t="shared" si="153"/>
        <v/>
      </c>
      <c r="AA605" t="str">
        <f t="shared" si="168"/>
        <v/>
      </c>
      <c r="AB605" t="str" cm="1">
        <f t="array" ref="AB605">_xlfn.IFS(Y605&lt;DATE(1996,1,1),"",Y605&lt;DATE(1996,4,1),"Q1",Y605&lt;DATE(1996,7,1),"Q2",Y605&gt;=DATE(1996,7,1),"")</f>
        <v/>
      </c>
    </row>
    <row r="606" spans="1:28" ht="14.4" x14ac:dyDescent="0.55000000000000004">
      <c r="A606" t="str">
        <f>VLOOKUP(L606,Customers!$A$2:$B$92,2,FALSE)</f>
        <v>Suprêmes délices</v>
      </c>
      <c r="B606" t="str">
        <f>VLOOKUP(L606,Customers!$A$2:$C$92,3,TRUE)</f>
        <v>Pascale Cartrain</v>
      </c>
      <c r="C606" t="str">
        <f t="shared" si="154"/>
        <v>Pascale</v>
      </c>
      <c r="D606" s="8" t="str">
        <f t="shared" si="155"/>
        <v>Cartrain</v>
      </c>
      <c r="E606" s="8" t="str">
        <f t="shared" si="156"/>
        <v>Cartrain, Pascale</v>
      </c>
      <c r="F606" s="8" t="str">
        <f t="shared" si="157"/>
        <v>Cartrain, Pascale</v>
      </c>
      <c r="G606" s="8" t="str">
        <f t="shared" si="158"/>
        <v>not an outlier</v>
      </c>
      <c r="H606" s="8" t="str">
        <f t="shared" si="159"/>
        <v>Not</v>
      </c>
      <c r="I606" s="8" t="str">
        <f t="shared" si="169"/>
        <v>no</v>
      </c>
      <c r="J606" s="10" t="str">
        <f t="shared" si="160"/>
        <v>no</v>
      </c>
      <c r="K606" s="10" t="str">
        <f t="shared" si="161"/>
        <v>no</v>
      </c>
      <c r="L606" t="s">
        <v>565</v>
      </c>
      <c r="M606">
        <v>10475</v>
      </c>
      <c r="N606">
        <v>31</v>
      </c>
      <c r="O606" t="s">
        <v>695</v>
      </c>
      <c r="P606" t="str">
        <f t="shared" si="162"/>
        <v>SUPRD_10475_Gorgonzola Telino</v>
      </c>
      <c r="Q606" t="str">
        <f t="shared" si="163"/>
        <v>10475</v>
      </c>
      <c r="R606" t="str">
        <f t="shared" si="164"/>
        <v>10475</v>
      </c>
      <c r="S606" t="str">
        <f t="shared" si="165"/>
        <v>Gorgonzola Telino</v>
      </c>
      <c r="T606">
        <v>10</v>
      </c>
      <c r="U606">
        <v>35</v>
      </c>
      <c r="V606">
        <v>0.15</v>
      </c>
      <c r="W606">
        <f t="shared" si="166"/>
        <v>297.5</v>
      </c>
      <c r="X606" t="str">
        <f t="shared" si="167"/>
        <v>No</v>
      </c>
      <c r="Y606" s="2">
        <v>34803</v>
      </c>
      <c r="Z606" t="str">
        <f t="shared" si="153"/>
        <v/>
      </c>
      <c r="AA606" t="str">
        <f t="shared" si="168"/>
        <v/>
      </c>
      <c r="AB606" t="str" cm="1">
        <f t="array" ref="AB606">_xlfn.IFS(Y606&lt;DATE(1996,1,1),"",Y606&lt;DATE(1996,4,1),"Q1",Y606&lt;DATE(1996,7,1),"Q2",Y606&gt;=DATE(1996,7,1),"")</f>
        <v/>
      </c>
    </row>
    <row r="607" spans="1:28" ht="14.4" x14ac:dyDescent="0.55000000000000004">
      <c r="A607" t="str">
        <f>VLOOKUP(L607,Customers!$A$2:$B$92,2,FALSE)</f>
        <v>Suprêmes délices</v>
      </c>
      <c r="B607" t="str">
        <f>VLOOKUP(L607,Customers!$A$2:$C$92,3,TRUE)</f>
        <v>Pascale Cartrain</v>
      </c>
      <c r="C607" t="str">
        <f t="shared" si="154"/>
        <v>Pascale</v>
      </c>
      <c r="D607" s="8" t="str">
        <f t="shared" si="155"/>
        <v>Cartrain</v>
      </c>
      <c r="E607" s="8" t="str">
        <f t="shared" si="156"/>
        <v>Cartrain, Pascale</v>
      </c>
      <c r="F607" s="8" t="str">
        <f t="shared" si="157"/>
        <v>Cartrain, Pascale</v>
      </c>
      <c r="G607" s="8" t="str">
        <f t="shared" si="158"/>
        <v>not an outlier</v>
      </c>
      <c r="H607" s="8" t="str">
        <f t="shared" si="159"/>
        <v>Not</v>
      </c>
      <c r="I607" s="8" t="str">
        <f t="shared" si="169"/>
        <v>no</v>
      </c>
      <c r="J607" s="10" t="str">
        <f t="shared" si="160"/>
        <v>no</v>
      </c>
      <c r="K607" s="10" t="str">
        <f t="shared" si="161"/>
        <v>no</v>
      </c>
      <c r="L607" t="s">
        <v>565</v>
      </c>
      <c r="M607">
        <v>10475</v>
      </c>
      <c r="N607">
        <v>66</v>
      </c>
      <c r="O607" t="s">
        <v>744</v>
      </c>
      <c r="P607" t="str">
        <f t="shared" si="162"/>
        <v>SUPRD_10475_Louisiana Hot Spiced Okra</v>
      </c>
      <c r="Q607" t="str">
        <f t="shared" si="163"/>
        <v>10475</v>
      </c>
      <c r="R607" t="str">
        <f t="shared" si="164"/>
        <v>10475</v>
      </c>
      <c r="S607" t="str">
        <f t="shared" si="165"/>
        <v>Louisiana Hot Spiced Okra</v>
      </c>
      <c r="T607">
        <v>13.6</v>
      </c>
      <c r="U607">
        <v>60</v>
      </c>
      <c r="V607">
        <v>0.15</v>
      </c>
      <c r="W607">
        <f t="shared" si="166"/>
        <v>693.6</v>
      </c>
      <c r="X607" t="str">
        <f t="shared" si="167"/>
        <v>No</v>
      </c>
      <c r="Y607" s="2">
        <v>34803</v>
      </c>
      <c r="Z607" t="str">
        <f t="shared" si="153"/>
        <v/>
      </c>
      <c r="AA607" t="str">
        <f t="shared" si="168"/>
        <v/>
      </c>
      <c r="AB607" t="str" cm="1">
        <f t="array" ref="AB607">_xlfn.IFS(Y607&lt;DATE(1996,1,1),"",Y607&lt;DATE(1996,4,1),"Q1",Y607&lt;DATE(1996,7,1),"Q2",Y607&gt;=DATE(1996,7,1),"")</f>
        <v/>
      </c>
    </row>
    <row r="608" spans="1:28" ht="14.4" x14ac:dyDescent="0.55000000000000004">
      <c r="A608" t="str">
        <f>VLOOKUP(L608,Customers!$A$2:$B$92,2,FALSE)</f>
        <v>Suprêmes délices</v>
      </c>
      <c r="B608" t="str">
        <f>VLOOKUP(L608,Customers!$A$2:$C$92,3,TRUE)</f>
        <v>Pascale Cartrain</v>
      </c>
      <c r="C608" t="str">
        <f t="shared" si="154"/>
        <v>Pascale</v>
      </c>
      <c r="D608" s="8" t="str">
        <f t="shared" si="155"/>
        <v>Cartrain</v>
      </c>
      <c r="E608" s="8" t="str">
        <f t="shared" si="156"/>
        <v>Cartrain, Pascale</v>
      </c>
      <c r="F608" s="8" t="str">
        <f t="shared" si="157"/>
        <v>Cartrain, Pascale</v>
      </c>
      <c r="G608" s="8" t="str">
        <f t="shared" si="158"/>
        <v>not an outlier</v>
      </c>
      <c r="H608" s="8" t="str">
        <f t="shared" si="159"/>
        <v>Not</v>
      </c>
      <c r="I608" s="8" t="str">
        <f t="shared" si="169"/>
        <v>no</v>
      </c>
      <c r="J608" s="10" t="str">
        <f t="shared" si="160"/>
        <v>no</v>
      </c>
      <c r="K608" s="10" t="str">
        <f t="shared" si="161"/>
        <v>no</v>
      </c>
      <c r="L608" t="s">
        <v>565</v>
      </c>
      <c r="M608">
        <v>10475</v>
      </c>
      <c r="N608">
        <v>76</v>
      </c>
      <c r="O608" t="s">
        <v>721</v>
      </c>
      <c r="P608" t="str">
        <f t="shared" si="162"/>
        <v>SUPRD_10475_Lakkalikööri</v>
      </c>
      <c r="Q608" t="str">
        <f t="shared" si="163"/>
        <v>10475</v>
      </c>
      <c r="R608" t="str">
        <f t="shared" si="164"/>
        <v>10475</v>
      </c>
      <c r="S608" t="str">
        <f t="shared" si="165"/>
        <v>Lakkalikööri</v>
      </c>
      <c r="T608">
        <v>14.4</v>
      </c>
      <c r="U608">
        <v>42</v>
      </c>
      <c r="V608">
        <v>0.15</v>
      </c>
      <c r="W608">
        <f t="shared" si="166"/>
        <v>514.08000000000004</v>
      </c>
      <c r="X608" t="str">
        <f t="shared" si="167"/>
        <v>No</v>
      </c>
      <c r="Y608" s="2">
        <v>34803</v>
      </c>
      <c r="Z608" t="str">
        <f t="shared" si="153"/>
        <v/>
      </c>
      <c r="AA608" t="str">
        <f t="shared" si="168"/>
        <v/>
      </c>
      <c r="AB608" t="str" cm="1">
        <f t="array" ref="AB608">_xlfn.IFS(Y608&lt;DATE(1996,1,1),"",Y608&lt;DATE(1996,4,1),"Q1",Y608&lt;DATE(1996,7,1),"Q2",Y608&gt;=DATE(1996,7,1),"")</f>
        <v/>
      </c>
    </row>
    <row r="609" spans="1:28" ht="14.4" x14ac:dyDescent="0.55000000000000004">
      <c r="A609" t="str">
        <f>VLOOKUP(L609,Customers!$A$2:$B$92,2,FALSE)</f>
        <v>HILARIÓN-Abastos</v>
      </c>
      <c r="B609" t="str">
        <f>VLOOKUP(L609,Customers!$A$2:$C$92,3,TRUE)</f>
        <v>Carlos Hernández</v>
      </c>
      <c r="C609" t="str">
        <f t="shared" si="154"/>
        <v>Carlos</v>
      </c>
      <c r="D609" s="8" t="str">
        <f t="shared" si="155"/>
        <v>Hernández</v>
      </c>
      <c r="E609" s="8" t="str">
        <f t="shared" si="156"/>
        <v>Hernández, Carlos</v>
      </c>
      <c r="F609" s="8" t="str">
        <f t="shared" si="157"/>
        <v>Hernández, Carlos</v>
      </c>
      <c r="G609" s="8" t="str">
        <f t="shared" si="158"/>
        <v>not an outlier</v>
      </c>
      <c r="H609" s="8" t="str">
        <f t="shared" si="159"/>
        <v>Not</v>
      </c>
      <c r="I609" s="8" t="str">
        <f t="shared" si="169"/>
        <v>no</v>
      </c>
      <c r="J609" s="10" t="str">
        <f t="shared" si="160"/>
        <v>no</v>
      </c>
      <c r="K609" s="10" t="str">
        <f t="shared" si="161"/>
        <v>no</v>
      </c>
      <c r="L609" t="s">
        <v>273</v>
      </c>
      <c r="M609">
        <v>10476</v>
      </c>
      <c r="N609">
        <v>55</v>
      </c>
      <c r="O609" t="s">
        <v>699</v>
      </c>
      <c r="P609" t="str">
        <f t="shared" si="162"/>
        <v>HILAA_10476_Pâté chinois</v>
      </c>
      <c r="Q609" t="str">
        <f t="shared" si="163"/>
        <v>10476</v>
      </c>
      <c r="R609" t="str">
        <f t="shared" si="164"/>
        <v>10476</v>
      </c>
      <c r="S609" t="str">
        <f t="shared" si="165"/>
        <v>Pâté chinois</v>
      </c>
      <c r="T609">
        <v>19.2</v>
      </c>
      <c r="U609">
        <v>2</v>
      </c>
      <c r="V609">
        <v>0.05</v>
      </c>
      <c r="W609">
        <f t="shared" si="166"/>
        <v>36.479999999999997</v>
      </c>
      <c r="X609" t="str">
        <f t="shared" si="167"/>
        <v>No</v>
      </c>
      <c r="Y609" s="2">
        <v>34806</v>
      </c>
      <c r="Z609" t="str">
        <f t="shared" si="153"/>
        <v/>
      </c>
      <c r="AA609" t="str">
        <f t="shared" si="168"/>
        <v/>
      </c>
      <c r="AB609" t="str" cm="1">
        <f t="array" ref="AB609">_xlfn.IFS(Y609&lt;DATE(1996,1,1),"",Y609&lt;DATE(1996,4,1),"Q1",Y609&lt;DATE(1996,7,1),"Q2",Y609&gt;=DATE(1996,7,1),"")</f>
        <v/>
      </c>
    </row>
    <row r="610" spans="1:28" ht="14.4" x14ac:dyDescent="0.55000000000000004">
      <c r="A610" t="str">
        <f>VLOOKUP(L610,Customers!$A$2:$B$92,2,FALSE)</f>
        <v>HILARIÓN-Abastos</v>
      </c>
      <c r="B610" t="str">
        <f>VLOOKUP(L610,Customers!$A$2:$C$92,3,TRUE)</f>
        <v>Carlos Hernández</v>
      </c>
      <c r="C610" t="str">
        <f t="shared" si="154"/>
        <v>Carlos</v>
      </c>
      <c r="D610" s="8" t="str">
        <f t="shared" si="155"/>
        <v>Hernández</v>
      </c>
      <c r="E610" s="8" t="str">
        <f t="shared" si="156"/>
        <v>Hernández, Carlos</v>
      </c>
      <c r="F610" s="8" t="str">
        <f t="shared" si="157"/>
        <v>Hernández, Carlos</v>
      </c>
      <c r="G610" s="8" t="str">
        <f t="shared" si="158"/>
        <v>not an outlier</v>
      </c>
      <c r="H610" s="8" t="str">
        <f t="shared" si="159"/>
        <v>Not</v>
      </c>
      <c r="I610" s="8" t="str">
        <f t="shared" si="169"/>
        <v>no</v>
      </c>
      <c r="J610" s="10" t="str">
        <f t="shared" si="160"/>
        <v>no</v>
      </c>
      <c r="K610" s="10" t="str">
        <f t="shared" si="161"/>
        <v>no</v>
      </c>
      <c r="L610" t="s">
        <v>273</v>
      </c>
      <c r="M610">
        <v>10476</v>
      </c>
      <c r="N610">
        <v>70</v>
      </c>
      <c r="O610" t="s">
        <v>713</v>
      </c>
      <c r="P610" t="str">
        <f t="shared" si="162"/>
        <v>HILAA_10476_Outback Lager</v>
      </c>
      <c r="Q610" t="str">
        <f t="shared" si="163"/>
        <v>10476</v>
      </c>
      <c r="R610" t="str">
        <f t="shared" si="164"/>
        <v>10476</v>
      </c>
      <c r="S610" t="str">
        <f t="shared" si="165"/>
        <v>Outback Lager</v>
      </c>
      <c r="T610">
        <v>12</v>
      </c>
      <c r="U610">
        <v>12</v>
      </c>
      <c r="V610">
        <v>0</v>
      </c>
      <c r="W610">
        <f t="shared" si="166"/>
        <v>144</v>
      </c>
      <c r="X610" t="str">
        <f t="shared" si="167"/>
        <v>No</v>
      </c>
      <c r="Y610" s="2">
        <v>34806</v>
      </c>
      <c r="Z610" t="str">
        <f t="shared" si="153"/>
        <v/>
      </c>
      <c r="AA610" t="str">
        <f t="shared" si="168"/>
        <v/>
      </c>
      <c r="AB610" t="str" cm="1">
        <f t="array" ref="AB610">_xlfn.IFS(Y610&lt;DATE(1996,1,1),"",Y610&lt;DATE(1996,4,1),"Q1",Y610&lt;DATE(1996,7,1),"Q2",Y610&gt;=DATE(1996,7,1),"")</f>
        <v/>
      </c>
    </row>
    <row r="611" spans="1:28" ht="14.4" x14ac:dyDescent="0.55000000000000004">
      <c r="A611" t="str">
        <f>VLOOKUP(L611,Customers!$A$2:$B$92,2,FALSE)</f>
        <v>Princesa Isabel Vinhos</v>
      </c>
      <c r="B611" t="str">
        <f>VLOOKUP(L611,Customers!$A$2:$C$92,3,TRUE)</f>
        <v>Isabel de Castro</v>
      </c>
      <c r="C611" t="str">
        <f t="shared" si="154"/>
        <v>Isabel</v>
      </c>
      <c r="D611" s="8" t="str">
        <f t="shared" si="155"/>
        <v>de Castro</v>
      </c>
      <c r="E611" s="8" t="str">
        <f t="shared" si="156"/>
        <v>de Castro, Isabel</v>
      </c>
      <c r="F611" s="8" t="str">
        <f t="shared" si="157"/>
        <v>de Castro, Isabel</v>
      </c>
      <c r="G611" s="8" t="str">
        <f t="shared" si="158"/>
        <v>not an outlier</v>
      </c>
      <c r="H611" s="8" t="str">
        <f t="shared" si="159"/>
        <v>Not</v>
      </c>
      <c r="I611" s="8" t="str">
        <f t="shared" si="169"/>
        <v>no</v>
      </c>
      <c r="J611" s="10" t="str">
        <f t="shared" si="160"/>
        <v>no</v>
      </c>
      <c r="K611" s="10" t="str">
        <f t="shared" si="161"/>
        <v>no</v>
      </c>
      <c r="L611" t="s">
        <v>457</v>
      </c>
      <c r="M611">
        <v>10477</v>
      </c>
      <c r="N611">
        <v>1</v>
      </c>
      <c r="O611" t="s">
        <v>735</v>
      </c>
      <c r="P611" t="str">
        <f t="shared" si="162"/>
        <v>PRINI_10477_Chai</v>
      </c>
      <c r="Q611" t="str">
        <f t="shared" si="163"/>
        <v>10477</v>
      </c>
      <c r="R611" t="str">
        <f t="shared" si="164"/>
        <v>10477</v>
      </c>
      <c r="S611" t="str">
        <f t="shared" si="165"/>
        <v>Chai</v>
      </c>
      <c r="T611">
        <v>14.4</v>
      </c>
      <c r="U611">
        <v>15</v>
      </c>
      <c r="V611">
        <v>0</v>
      </c>
      <c r="W611">
        <f t="shared" si="166"/>
        <v>216</v>
      </c>
      <c r="X611" t="str">
        <f t="shared" si="167"/>
        <v>No</v>
      </c>
      <c r="Y611" s="2">
        <v>34806</v>
      </c>
      <c r="Z611" t="str">
        <f t="shared" si="153"/>
        <v/>
      </c>
      <c r="AA611" t="str">
        <f t="shared" si="168"/>
        <v/>
      </c>
      <c r="AB611" t="str" cm="1">
        <f t="array" ref="AB611">_xlfn.IFS(Y611&lt;DATE(1996,1,1),"",Y611&lt;DATE(1996,4,1),"Q1",Y611&lt;DATE(1996,7,1),"Q2",Y611&gt;=DATE(1996,7,1),"")</f>
        <v/>
      </c>
    </row>
    <row r="612" spans="1:28" ht="14.4" x14ac:dyDescent="0.55000000000000004">
      <c r="A612" t="str">
        <f>VLOOKUP(L612,Customers!$A$2:$B$92,2,FALSE)</f>
        <v>Princesa Isabel Vinhos</v>
      </c>
      <c r="B612" t="str">
        <f>VLOOKUP(L612,Customers!$A$2:$C$92,3,TRUE)</f>
        <v>Isabel de Castro</v>
      </c>
      <c r="C612" t="str">
        <f t="shared" si="154"/>
        <v>Isabel</v>
      </c>
      <c r="D612" s="8" t="str">
        <f t="shared" si="155"/>
        <v>de Castro</v>
      </c>
      <c r="E612" s="8" t="str">
        <f t="shared" si="156"/>
        <v>de Castro, Isabel</v>
      </c>
      <c r="F612" s="8" t="str">
        <f t="shared" si="157"/>
        <v>de Castro, Isabel</v>
      </c>
      <c r="G612" s="8" t="str">
        <f t="shared" si="158"/>
        <v>not an outlier</v>
      </c>
      <c r="H612" s="8" t="str">
        <f t="shared" si="159"/>
        <v>Not</v>
      </c>
      <c r="I612" s="8" t="str">
        <f t="shared" si="169"/>
        <v>no</v>
      </c>
      <c r="J612" s="10" t="str">
        <f t="shared" si="160"/>
        <v>no</v>
      </c>
      <c r="K612" s="10" t="str">
        <f t="shared" si="161"/>
        <v>no</v>
      </c>
      <c r="L612" t="s">
        <v>457</v>
      </c>
      <c r="M612">
        <v>10477</v>
      </c>
      <c r="N612">
        <v>21</v>
      </c>
      <c r="O612" t="s">
        <v>710</v>
      </c>
      <c r="P612" t="str">
        <f t="shared" si="162"/>
        <v>PRINI_10477_Sir Rodney's Scones</v>
      </c>
      <c r="Q612" t="str">
        <f t="shared" si="163"/>
        <v>10477</v>
      </c>
      <c r="R612" t="str">
        <f t="shared" si="164"/>
        <v>10477</v>
      </c>
      <c r="S612" t="str">
        <f t="shared" si="165"/>
        <v>Sir Rodney's Scones</v>
      </c>
      <c r="T612">
        <v>8</v>
      </c>
      <c r="U612">
        <v>21</v>
      </c>
      <c r="V612">
        <v>0.25</v>
      </c>
      <c r="W612">
        <f t="shared" si="166"/>
        <v>126</v>
      </c>
      <c r="X612" t="str">
        <f t="shared" si="167"/>
        <v>No</v>
      </c>
      <c r="Y612" s="2">
        <v>34806</v>
      </c>
      <c r="Z612" t="str">
        <f t="shared" si="153"/>
        <v/>
      </c>
      <c r="AA612" t="str">
        <f t="shared" si="168"/>
        <v/>
      </c>
      <c r="AB612" t="str" cm="1">
        <f t="array" ref="AB612">_xlfn.IFS(Y612&lt;DATE(1996,1,1),"",Y612&lt;DATE(1996,4,1),"Q1",Y612&lt;DATE(1996,7,1),"Q2",Y612&gt;=DATE(1996,7,1),"")</f>
        <v/>
      </c>
    </row>
    <row r="613" spans="1:28" ht="14.4" x14ac:dyDescent="0.55000000000000004">
      <c r="A613" t="str">
        <f>VLOOKUP(L613,Customers!$A$2:$B$92,2,FALSE)</f>
        <v>Princesa Isabel Vinhos</v>
      </c>
      <c r="B613" t="str">
        <f>VLOOKUP(L613,Customers!$A$2:$C$92,3,TRUE)</f>
        <v>Isabel de Castro</v>
      </c>
      <c r="C613" t="str">
        <f t="shared" si="154"/>
        <v>Isabel</v>
      </c>
      <c r="D613" s="8" t="str">
        <f t="shared" si="155"/>
        <v>de Castro</v>
      </c>
      <c r="E613" s="8" t="str">
        <f t="shared" si="156"/>
        <v>de Castro, Isabel</v>
      </c>
      <c r="F613" s="8" t="str">
        <f t="shared" si="157"/>
        <v>de Castro, Isabel</v>
      </c>
      <c r="G613" s="8" t="str">
        <f t="shared" si="158"/>
        <v>not an outlier</v>
      </c>
      <c r="H613" s="8" t="str">
        <f t="shared" si="159"/>
        <v>Not</v>
      </c>
      <c r="I613" s="8" t="str">
        <f t="shared" si="169"/>
        <v>no</v>
      </c>
      <c r="J613" s="10" t="str">
        <f t="shared" si="160"/>
        <v>no</v>
      </c>
      <c r="K613" s="10" t="str">
        <f t="shared" si="161"/>
        <v>no</v>
      </c>
      <c r="L613" t="s">
        <v>457</v>
      </c>
      <c r="M613">
        <v>10477</v>
      </c>
      <c r="N613">
        <v>39</v>
      </c>
      <c r="O613" t="s">
        <v>696</v>
      </c>
      <c r="P613" t="str">
        <f t="shared" si="162"/>
        <v>PRINI_10477_Chartreuse verte</v>
      </c>
      <c r="Q613" t="str">
        <f t="shared" si="163"/>
        <v>10477</v>
      </c>
      <c r="R613" t="str">
        <f t="shared" si="164"/>
        <v>10477</v>
      </c>
      <c r="S613" t="str">
        <f t="shared" si="165"/>
        <v>Chartreuse verte</v>
      </c>
      <c r="T613">
        <v>14.4</v>
      </c>
      <c r="U613">
        <v>20</v>
      </c>
      <c r="V613">
        <v>0.25</v>
      </c>
      <c r="W613">
        <f t="shared" si="166"/>
        <v>216</v>
      </c>
      <c r="X613" t="str">
        <f t="shared" si="167"/>
        <v>No</v>
      </c>
      <c r="Y613" s="2">
        <v>34806</v>
      </c>
      <c r="Z613" t="str">
        <f t="shared" si="153"/>
        <v/>
      </c>
      <c r="AA613" t="str">
        <f t="shared" si="168"/>
        <v/>
      </c>
      <c r="AB613" t="str" cm="1">
        <f t="array" ref="AB613">_xlfn.IFS(Y613&lt;DATE(1996,1,1),"",Y613&lt;DATE(1996,4,1),"Q1",Y613&lt;DATE(1996,7,1),"Q2",Y613&gt;=DATE(1996,7,1),"")</f>
        <v/>
      </c>
    </row>
    <row r="614" spans="1:28" ht="14.4" x14ac:dyDescent="0.55000000000000004">
      <c r="A614" t="str">
        <f>VLOOKUP(L614,Customers!$A$2:$B$92,2,FALSE)</f>
        <v>Victuailles en stock</v>
      </c>
      <c r="B614" t="str">
        <f>VLOOKUP(L614,Customers!$A$2:$C$92,3,TRUE)</f>
        <v>Mary Saveley</v>
      </c>
      <c r="C614" t="str">
        <f t="shared" si="154"/>
        <v>Mary</v>
      </c>
      <c r="D614" s="8" t="str">
        <f t="shared" si="155"/>
        <v>Saveley</v>
      </c>
      <c r="E614" s="8" t="str">
        <f t="shared" si="156"/>
        <v>Saveley, Mary</v>
      </c>
      <c r="F614" s="8" t="str">
        <f t="shared" si="157"/>
        <v>Saveley, Mary</v>
      </c>
      <c r="G614" s="8" t="str">
        <f t="shared" si="158"/>
        <v>not an outlier</v>
      </c>
      <c r="H614" s="8" t="str">
        <f t="shared" si="159"/>
        <v>Not</v>
      </c>
      <c r="I614" s="8" t="str">
        <f t="shared" si="169"/>
        <v>no</v>
      </c>
      <c r="J614" s="10" t="str">
        <f t="shared" si="160"/>
        <v>no</v>
      </c>
      <c r="K614" s="10" t="str">
        <f t="shared" si="161"/>
        <v>no</v>
      </c>
      <c r="L614" t="s">
        <v>619</v>
      </c>
      <c r="M614">
        <v>10478</v>
      </c>
      <c r="N614">
        <v>10</v>
      </c>
      <c r="O614" t="s">
        <v>724</v>
      </c>
      <c r="P614" t="str">
        <f t="shared" si="162"/>
        <v>VICTE_10478_Ikura</v>
      </c>
      <c r="Q614" t="str">
        <f t="shared" si="163"/>
        <v>10478</v>
      </c>
      <c r="R614" t="str">
        <f t="shared" si="164"/>
        <v>10478</v>
      </c>
      <c r="S614" t="str">
        <f t="shared" si="165"/>
        <v>Ikura</v>
      </c>
      <c r="T614">
        <v>24.8</v>
      </c>
      <c r="U614">
        <v>20</v>
      </c>
      <c r="V614">
        <v>0.05</v>
      </c>
      <c r="W614">
        <f t="shared" si="166"/>
        <v>471.2</v>
      </c>
      <c r="X614" t="str">
        <f t="shared" si="167"/>
        <v>No</v>
      </c>
      <c r="Y614" s="2">
        <v>34807</v>
      </c>
      <c r="Z614" t="str">
        <f t="shared" si="153"/>
        <v/>
      </c>
      <c r="AA614" t="str">
        <f t="shared" si="168"/>
        <v/>
      </c>
      <c r="AB614" t="str" cm="1">
        <f t="array" ref="AB614">_xlfn.IFS(Y614&lt;DATE(1996,1,1),"",Y614&lt;DATE(1996,4,1),"Q1",Y614&lt;DATE(1996,7,1),"Q2",Y614&gt;=DATE(1996,7,1),"")</f>
        <v/>
      </c>
    </row>
    <row r="615" spans="1:28" ht="14.4" x14ac:dyDescent="0.55000000000000004">
      <c r="A615" t="str">
        <f>VLOOKUP(L615,Customers!$A$2:$B$92,2,FALSE)</f>
        <v>Rattlesnake Canyon Grocery</v>
      </c>
      <c r="B615" t="str">
        <f>VLOOKUP(L615,Customers!$A$2:$C$92,3,TRUE)</f>
        <v>Paula Wilson</v>
      </c>
      <c r="C615" t="str">
        <f t="shared" si="154"/>
        <v>Paula</v>
      </c>
      <c r="D615" s="8" t="str">
        <f t="shared" si="155"/>
        <v>Wilson</v>
      </c>
      <c r="E615" s="8" t="str">
        <f t="shared" si="156"/>
        <v>Wilson, Paula</v>
      </c>
      <c r="F615" s="8" t="str">
        <f t="shared" si="157"/>
        <v>Wilson, Paula</v>
      </c>
      <c r="G615" s="8" t="str">
        <f t="shared" si="158"/>
        <v>outlier</v>
      </c>
      <c r="H615" s="8" t="str">
        <f t="shared" si="159"/>
        <v>outlier</v>
      </c>
      <c r="I615" s="8" t="str">
        <f t="shared" si="169"/>
        <v>yes</v>
      </c>
      <c r="J615" s="10" t="str">
        <f t="shared" si="160"/>
        <v>yes</v>
      </c>
      <c r="K615" s="10" t="str">
        <f t="shared" si="161"/>
        <v>yes</v>
      </c>
      <c r="L615" t="s">
        <v>487</v>
      </c>
      <c r="M615">
        <v>10479</v>
      </c>
      <c r="N615">
        <v>38</v>
      </c>
      <c r="O615" t="s">
        <v>750</v>
      </c>
      <c r="P615" t="str">
        <f t="shared" si="162"/>
        <v>RATTC_10479_Côte de Blaye</v>
      </c>
      <c r="Q615" t="str">
        <f t="shared" si="163"/>
        <v>10479</v>
      </c>
      <c r="R615" t="str">
        <f t="shared" si="164"/>
        <v>10479</v>
      </c>
      <c r="S615" t="str">
        <f t="shared" si="165"/>
        <v>Côte de Blaye</v>
      </c>
      <c r="T615">
        <v>210.8</v>
      </c>
      <c r="U615">
        <v>30</v>
      </c>
      <c r="V615">
        <v>0</v>
      </c>
      <c r="W615">
        <f t="shared" si="166"/>
        <v>6324</v>
      </c>
      <c r="X615" t="str">
        <f t="shared" si="167"/>
        <v>No</v>
      </c>
      <c r="Y615" s="2">
        <v>34808</v>
      </c>
      <c r="Z615" t="str">
        <f t="shared" si="153"/>
        <v/>
      </c>
      <c r="AA615" t="str">
        <f t="shared" si="168"/>
        <v/>
      </c>
      <c r="AB615" t="str" cm="1">
        <f t="array" ref="AB615">_xlfn.IFS(Y615&lt;DATE(1996,1,1),"",Y615&lt;DATE(1996,4,1),"Q1",Y615&lt;DATE(1996,7,1),"Q2",Y615&gt;=DATE(1996,7,1),"")</f>
        <v/>
      </c>
    </row>
    <row r="616" spans="1:28" ht="14.4" x14ac:dyDescent="0.55000000000000004">
      <c r="A616" t="str">
        <f>VLOOKUP(L616,Customers!$A$2:$B$92,2,FALSE)</f>
        <v>Rattlesnake Canyon Grocery</v>
      </c>
      <c r="B616" t="str">
        <f>VLOOKUP(L616,Customers!$A$2:$C$92,3,TRUE)</f>
        <v>Paula Wilson</v>
      </c>
      <c r="C616" t="str">
        <f t="shared" si="154"/>
        <v>Paula</v>
      </c>
      <c r="D616" s="8" t="str">
        <f t="shared" si="155"/>
        <v>Wilson</v>
      </c>
      <c r="E616" s="8" t="str">
        <f t="shared" si="156"/>
        <v>Wilson, Paula</v>
      </c>
      <c r="F616" s="8" t="str">
        <f t="shared" si="157"/>
        <v>Wilson, Paula</v>
      </c>
      <c r="G616" s="8" t="str">
        <f t="shared" si="158"/>
        <v>not an outlier</v>
      </c>
      <c r="H616" s="8" t="str">
        <f t="shared" si="159"/>
        <v>Not</v>
      </c>
      <c r="I616" s="8" t="str">
        <f t="shared" si="169"/>
        <v>no</v>
      </c>
      <c r="J616" s="10" t="str">
        <f t="shared" si="160"/>
        <v>no</v>
      </c>
      <c r="K616" s="10" t="str">
        <f t="shared" si="161"/>
        <v>no</v>
      </c>
      <c r="L616" t="s">
        <v>487</v>
      </c>
      <c r="M616">
        <v>10479</v>
      </c>
      <c r="N616">
        <v>53</v>
      </c>
      <c r="O616" t="s">
        <v>705</v>
      </c>
      <c r="P616" t="str">
        <f t="shared" si="162"/>
        <v>RATTC_10479_Perth Pasties</v>
      </c>
      <c r="Q616" t="str">
        <f t="shared" si="163"/>
        <v>10479</v>
      </c>
      <c r="R616" t="str">
        <f t="shared" si="164"/>
        <v>10479</v>
      </c>
      <c r="S616" t="str">
        <f t="shared" si="165"/>
        <v>Perth Pasties</v>
      </c>
      <c r="T616">
        <v>26.2</v>
      </c>
      <c r="U616">
        <v>28</v>
      </c>
      <c r="V616">
        <v>0</v>
      </c>
      <c r="W616">
        <f t="shared" si="166"/>
        <v>733.6</v>
      </c>
      <c r="X616" t="str">
        <f t="shared" si="167"/>
        <v>No</v>
      </c>
      <c r="Y616" s="2">
        <v>34808</v>
      </c>
      <c r="Z616" t="str">
        <f t="shared" si="153"/>
        <v/>
      </c>
      <c r="AA616" t="str">
        <f t="shared" si="168"/>
        <v/>
      </c>
      <c r="AB616" t="str" cm="1">
        <f t="array" ref="AB616">_xlfn.IFS(Y616&lt;DATE(1996,1,1),"",Y616&lt;DATE(1996,4,1),"Q1",Y616&lt;DATE(1996,7,1),"Q2",Y616&gt;=DATE(1996,7,1),"")</f>
        <v/>
      </c>
    </row>
    <row r="617" spans="1:28" ht="14.4" x14ac:dyDescent="0.55000000000000004">
      <c r="A617" t="str">
        <f>VLOOKUP(L617,Customers!$A$2:$B$92,2,FALSE)</f>
        <v>Rattlesnake Canyon Grocery</v>
      </c>
      <c r="B617" t="str">
        <f>VLOOKUP(L617,Customers!$A$2:$C$92,3,TRUE)</f>
        <v>Paula Wilson</v>
      </c>
      <c r="C617" t="str">
        <f t="shared" si="154"/>
        <v>Paula</v>
      </c>
      <c r="D617" s="8" t="str">
        <f t="shared" si="155"/>
        <v>Wilson</v>
      </c>
      <c r="E617" s="8" t="str">
        <f t="shared" si="156"/>
        <v>Wilson, Paula</v>
      </c>
      <c r="F617" s="8" t="str">
        <f t="shared" si="157"/>
        <v>Wilson, Paula</v>
      </c>
      <c r="G617" s="8" t="str">
        <f t="shared" si="158"/>
        <v>not an outlier</v>
      </c>
      <c r="H617" s="8" t="str">
        <f t="shared" si="159"/>
        <v>moderate</v>
      </c>
      <c r="I617" s="8" t="str">
        <f t="shared" si="169"/>
        <v>no</v>
      </c>
      <c r="J617" s="10" t="str">
        <f t="shared" si="160"/>
        <v>no</v>
      </c>
      <c r="K617" s="10" t="str">
        <f t="shared" si="161"/>
        <v>moderate</v>
      </c>
      <c r="L617" t="s">
        <v>487</v>
      </c>
      <c r="M617">
        <v>10479</v>
      </c>
      <c r="N617">
        <v>59</v>
      </c>
      <c r="O617" t="s">
        <v>704</v>
      </c>
      <c r="P617" t="str">
        <f t="shared" si="162"/>
        <v>RATTC_10479_Raclette Courdavault</v>
      </c>
      <c r="Q617" t="str">
        <f t="shared" si="163"/>
        <v>10479</v>
      </c>
      <c r="R617" t="str">
        <f t="shared" si="164"/>
        <v>10479</v>
      </c>
      <c r="S617" t="str">
        <f t="shared" si="165"/>
        <v>Raclette Courdavault</v>
      </c>
      <c r="T617">
        <v>44</v>
      </c>
      <c r="U617">
        <v>60</v>
      </c>
      <c r="V617">
        <v>0</v>
      </c>
      <c r="W617">
        <f t="shared" si="166"/>
        <v>2640</v>
      </c>
      <c r="X617" t="str">
        <f t="shared" si="167"/>
        <v>No</v>
      </c>
      <c r="Y617" s="2">
        <v>34808</v>
      </c>
      <c r="Z617" t="str">
        <f t="shared" si="153"/>
        <v/>
      </c>
      <c r="AA617" t="str">
        <f t="shared" si="168"/>
        <v/>
      </c>
      <c r="AB617" t="str" cm="1">
        <f t="array" ref="AB617">_xlfn.IFS(Y617&lt;DATE(1996,1,1),"",Y617&lt;DATE(1996,4,1),"Q1",Y617&lt;DATE(1996,7,1),"Q2",Y617&gt;=DATE(1996,7,1),"")</f>
        <v/>
      </c>
    </row>
    <row r="618" spans="1:28" ht="14.4" x14ac:dyDescent="0.55000000000000004">
      <c r="A618" t="str">
        <f>VLOOKUP(L618,Customers!$A$2:$B$92,2,FALSE)</f>
        <v>Rattlesnake Canyon Grocery</v>
      </c>
      <c r="B618" t="str">
        <f>VLOOKUP(L618,Customers!$A$2:$C$92,3,TRUE)</f>
        <v>Paula Wilson</v>
      </c>
      <c r="C618" t="str">
        <f t="shared" si="154"/>
        <v>Paula</v>
      </c>
      <c r="D618" s="8" t="str">
        <f t="shared" si="155"/>
        <v>Wilson</v>
      </c>
      <c r="E618" s="8" t="str">
        <f t="shared" si="156"/>
        <v>Wilson, Paula</v>
      </c>
      <c r="F618" s="8" t="str">
        <f t="shared" si="157"/>
        <v>Wilson, Paula</v>
      </c>
      <c r="G618" s="8" t="str">
        <f t="shared" si="158"/>
        <v>not an outlier</v>
      </c>
      <c r="H618" s="8" t="str">
        <f t="shared" si="159"/>
        <v>Not</v>
      </c>
      <c r="I618" s="8" t="str">
        <f t="shared" si="169"/>
        <v>no</v>
      </c>
      <c r="J618" s="10" t="str">
        <f t="shared" si="160"/>
        <v>no</v>
      </c>
      <c r="K618" s="10" t="str">
        <f t="shared" si="161"/>
        <v>no</v>
      </c>
      <c r="L618" t="s">
        <v>487</v>
      </c>
      <c r="M618">
        <v>10479</v>
      </c>
      <c r="N618">
        <v>64</v>
      </c>
      <c r="O618" t="s">
        <v>741</v>
      </c>
      <c r="P618" t="str">
        <f t="shared" si="162"/>
        <v>RATTC_10479_Wimmers gute Semmelknödel</v>
      </c>
      <c r="Q618" t="str">
        <f t="shared" si="163"/>
        <v>10479</v>
      </c>
      <c r="R618" t="str">
        <f t="shared" si="164"/>
        <v>10479</v>
      </c>
      <c r="S618" t="str">
        <f t="shared" si="165"/>
        <v>Wimmers gute Semmelknödel</v>
      </c>
      <c r="T618">
        <v>26.6</v>
      </c>
      <c r="U618">
        <v>30</v>
      </c>
      <c r="V618">
        <v>0</v>
      </c>
      <c r="W618">
        <f t="shared" si="166"/>
        <v>798</v>
      </c>
      <c r="X618" t="str">
        <f t="shared" si="167"/>
        <v>No</v>
      </c>
      <c r="Y618" s="2">
        <v>34808</v>
      </c>
      <c r="Z618" t="str">
        <f t="shared" si="153"/>
        <v/>
      </c>
      <c r="AA618" t="str">
        <f t="shared" si="168"/>
        <v/>
      </c>
      <c r="AB618" t="str" cm="1">
        <f t="array" ref="AB618">_xlfn.IFS(Y618&lt;DATE(1996,1,1),"",Y618&lt;DATE(1996,4,1),"Q1",Y618&lt;DATE(1996,7,1),"Q2",Y618&gt;=DATE(1996,7,1),"")</f>
        <v/>
      </c>
    </row>
    <row r="619" spans="1:28" ht="14.4" x14ac:dyDescent="0.55000000000000004">
      <c r="A619" t="str">
        <f>VLOOKUP(L619,Customers!$A$2:$B$92,2,FALSE)</f>
        <v>Folies gourmandes</v>
      </c>
      <c r="B619" t="str">
        <f>VLOOKUP(L619,Customers!$A$2:$C$92,3,TRUE)</f>
        <v>Martine Rancé</v>
      </c>
      <c r="C619" t="str">
        <f t="shared" si="154"/>
        <v>Martine</v>
      </c>
      <c r="D619" s="8" t="str">
        <f t="shared" si="155"/>
        <v>Rancé</v>
      </c>
      <c r="E619" s="8" t="str">
        <f t="shared" si="156"/>
        <v>Rancé, Martine</v>
      </c>
      <c r="F619" s="8" t="str">
        <f t="shared" si="157"/>
        <v>Rancé, Martine</v>
      </c>
      <c r="G619" s="8" t="str">
        <f t="shared" si="158"/>
        <v>not an outlier</v>
      </c>
      <c r="H619" s="8" t="str">
        <f t="shared" si="159"/>
        <v>Not</v>
      </c>
      <c r="I619" s="8" t="str">
        <f t="shared" si="169"/>
        <v>no</v>
      </c>
      <c r="J619" s="10" t="str">
        <f t="shared" si="160"/>
        <v>no</v>
      </c>
      <c r="K619" s="10" t="str">
        <f t="shared" si="161"/>
        <v>no</v>
      </c>
      <c r="L619" t="s">
        <v>183</v>
      </c>
      <c r="M619">
        <v>10480</v>
      </c>
      <c r="N619">
        <v>47</v>
      </c>
      <c r="O619" t="s">
        <v>752</v>
      </c>
      <c r="P619" t="str">
        <f t="shared" si="162"/>
        <v>FOLIG_10480_Zaanse koeken</v>
      </c>
      <c r="Q619" t="str">
        <f t="shared" si="163"/>
        <v>10480</v>
      </c>
      <c r="R619" t="str">
        <f t="shared" si="164"/>
        <v>10480</v>
      </c>
      <c r="S619" t="str">
        <f t="shared" si="165"/>
        <v>Zaanse koeken</v>
      </c>
      <c r="T619">
        <v>7.6</v>
      </c>
      <c r="U619">
        <v>30</v>
      </c>
      <c r="V619">
        <v>0</v>
      </c>
      <c r="W619">
        <f t="shared" si="166"/>
        <v>228</v>
      </c>
      <c r="X619" t="str">
        <f t="shared" si="167"/>
        <v>No</v>
      </c>
      <c r="Y619" s="2">
        <v>34809</v>
      </c>
      <c r="Z619" t="str">
        <f t="shared" si="153"/>
        <v/>
      </c>
      <c r="AA619" t="str">
        <f t="shared" si="168"/>
        <v/>
      </c>
      <c r="AB619" t="str" cm="1">
        <f t="array" ref="AB619">_xlfn.IFS(Y619&lt;DATE(1996,1,1),"",Y619&lt;DATE(1996,4,1),"Q1",Y619&lt;DATE(1996,7,1),"Q2",Y619&gt;=DATE(1996,7,1),"")</f>
        <v/>
      </c>
    </row>
    <row r="620" spans="1:28" ht="14.4" x14ac:dyDescent="0.55000000000000004">
      <c r="A620" t="str">
        <f>VLOOKUP(L620,Customers!$A$2:$B$92,2,FALSE)</f>
        <v>Folies gourmandes</v>
      </c>
      <c r="B620" t="str">
        <f>VLOOKUP(L620,Customers!$A$2:$C$92,3,TRUE)</f>
        <v>Martine Rancé</v>
      </c>
      <c r="C620" t="str">
        <f t="shared" si="154"/>
        <v>Martine</v>
      </c>
      <c r="D620" s="8" t="str">
        <f t="shared" si="155"/>
        <v>Rancé</v>
      </c>
      <c r="E620" s="8" t="str">
        <f t="shared" si="156"/>
        <v>Rancé, Martine</v>
      </c>
      <c r="F620" s="8" t="str">
        <f t="shared" si="157"/>
        <v>Rancé, Martine</v>
      </c>
      <c r="G620" s="8" t="str">
        <f t="shared" si="158"/>
        <v>not an outlier</v>
      </c>
      <c r="H620" s="8" t="str">
        <f t="shared" si="159"/>
        <v>Not</v>
      </c>
      <c r="I620" s="8" t="str">
        <f t="shared" si="169"/>
        <v>no</v>
      </c>
      <c r="J620" s="10" t="str">
        <f t="shared" si="160"/>
        <v>no</v>
      </c>
      <c r="K620" s="10" t="str">
        <f t="shared" si="161"/>
        <v>no</v>
      </c>
      <c r="L620" t="s">
        <v>183</v>
      </c>
      <c r="M620">
        <v>10480</v>
      </c>
      <c r="N620">
        <v>59</v>
      </c>
      <c r="O620" t="s">
        <v>704</v>
      </c>
      <c r="P620" t="str">
        <f t="shared" si="162"/>
        <v>FOLIG_10480_Raclette Courdavault</v>
      </c>
      <c r="Q620" t="str">
        <f t="shared" si="163"/>
        <v>10480</v>
      </c>
      <c r="R620" t="str">
        <f t="shared" si="164"/>
        <v>10480</v>
      </c>
      <c r="S620" t="str">
        <f t="shared" si="165"/>
        <v>Raclette Courdavault</v>
      </c>
      <c r="T620">
        <v>44</v>
      </c>
      <c r="U620">
        <v>12</v>
      </c>
      <c r="V620">
        <v>0</v>
      </c>
      <c r="W620">
        <f t="shared" si="166"/>
        <v>528</v>
      </c>
      <c r="X620" t="str">
        <f t="shared" si="167"/>
        <v>No</v>
      </c>
      <c r="Y620" s="2">
        <v>34809</v>
      </c>
      <c r="Z620" t="str">
        <f t="shared" si="153"/>
        <v/>
      </c>
      <c r="AA620" t="str">
        <f t="shared" si="168"/>
        <v/>
      </c>
      <c r="AB620" t="str" cm="1">
        <f t="array" ref="AB620">_xlfn.IFS(Y620&lt;DATE(1996,1,1),"",Y620&lt;DATE(1996,4,1),"Q1",Y620&lt;DATE(1996,7,1),"Q2",Y620&gt;=DATE(1996,7,1),"")</f>
        <v/>
      </c>
    </row>
    <row r="621" spans="1:28" ht="14.4" x14ac:dyDescent="0.55000000000000004">
      <c r="A621" t="str">
        <f>VLOOKUP(L621,Customers!$A$2:$B$92,2,FALSE)</f>
        <v>Ricardo Adocicados</v>
      </c>
      <c r="B621" t="str">
        <f>VLOOKUP(L621,Customers!$A$2:$C$92,3,TRUE)</f>
        <v>Janete Limeira</v>
      </c>
      <c r="C621" t="str">
        <f t="shared" si="154"/>
        <v>Janete</v>
      </c>
      <c r="D621" s="8" t="str">
        <f t="shared" si="155"/>
        <v>Limeira</v>
      </c>
      <c r="E621" s="8" t="str">
        <f t="shared" si="156"/>
        <v>Limeira, Janete</v>
      </c>
      <c r="F621" s="8" t="str">
        <f t="shared" si="157"/>
        <v>Limeira, Janete</v>
      </c>
      <c r="G621" s="8" t="str">
        <f t="shared" si="158"/>
        <v>not an outlier</v>
      </c>
      <c r="H621" s="8" t="str">
        <f t="shared" si="159"/>
        <v>Not</v>
      </c>
      <c r="I621" s="8" t="str">
        <f t="shared" si="169"/>
        <v>no</v>
      </c>
      <c r="J621" s="10" t="str">
        <f t="shared" si="160"/>
        <v>no</v>
      </c>
      <c r="K621" s="10" t="str">
        <f t="shared" si="161"/>
        <v>no</v>
      </c>
      <c r="L621" t="s">
        <v>503</v>
      </c>
      <c r="M621">
        <v>10481</v>
      </c>
      <c r="N621">
        <v>49</v>
      </c>
      <c r="O621" t="s">
        <v>697</v>
      </c>
      <c r="P621" t="str">
        <f t="shared" si="162"/>
        <v>RICAR_10481_Maxilaku</v>
      </c>
      <c r="Q621" t="str">
        <f t="shared" si="163"/>
        <v>10481</v>
      </c>
      <c r="R621" t="str">
        <f t="shared" si="164"/>
        <v>10481</v>
      </c>
      <c r="S621" t="str">
        <f t="shared" si="165"/>
        <v>Maxilaku</v>
      </c>
      <c r="T621">
        <v>16</v>
      </c>
      <c r="U621">
        <v>24</v>
      </c>
      <c r="V621">
        <v>0</v>
      </c>
      <c r="W621">
        <f t="shared" si="166"/>
        <v>384</v>
      </c>
      <c r="X621" t="str">
        <f t="shared" si="167"/>
        <v>No</v>
      </c>
      <c r="Y621" s="2">
        <v>34809</v>
      </c>
      <c r="Z621" t="str">
        <f t="shared" si="153"/>
        <v/>
      </c>
      <c r="AA621" t="str">
        <f t="shared" si="168"/>
        <v/>
      </c>
      <c r="AB621" t="str" cm="1">
        <f t="array" ref="AB621">_xlfn.IFS(Y621&lt;DATE(1996,1,1),"",Y621&lt;DATE(1996,4,1),"Q1",Y621&lt;DATE(1996,7,1),"Q2",Y621&gt;=DATE(1996,7,1),"")</f>
        <v/>
      </c>
    </row>
    <row r="622" spans="1:28" ht="14.4" x14ac:dyDescent="0.55000000000000004">
      <c r="A622" t="str">
        <f>VLOOKUP(L622,Customers!$A$2:$B$92,2,FALSE)</f>
        <v>Ricardo Adocicados</v>
      </c>
      <c r="B622" t="str">
        <f>VLOOKUP(L622,Customers!$A$2:$C$92,3,TRUE)</f>
        <v>Janete Limeira</v>
      </c>
      <c r="C622" t="str">
        <f t="shared" si="154"/>
        <v>Janete</v>
      </c>
      <c r="D622" s="8" t="str">
        <f t="shared" si="155"/>
        <v>Limeira</v>
      </c>
      <c r="E622" s="8" t="str">
        <f t="shared" si="156"/>
        <v>Limeira, Janete</v>
      </c>
      <c r="F622" s="8" t="str">
        <f t="shared" si="157"/>
        <v>Limeira, Janete</v>
      </c>
      <c r="G622" s="8" t="str">
        <f t="shared" si="158"/>
        <v>not an outlier</v>
      </c>
      <c r="H622" s="8" t="str">
        <f t="shared" si="159"/>
        <v>Not</v>
      </c>
      <c r="I622" s="8" t="str">
        <f t="shared" si="169"/>
        <v>no</v>
      </c>
      <c r="J622" s="10" t="str">
        <f t="shared" si="160"/>
        <v>no</v>
      </c>
      <c r="K622" s="10" t="str">
        <f t="shared" si="161"/>
        <v>no</v>
      </c>
      <c r="L622" t="s">
        <v>503</v>
      </c>
      <c r="M622">
        <v>10481</v>
      </c>
      <c r="N622">
        <v>60</v>
      </c>
      <c r="O622" t="s">
        <v>694</v>
      </c>
      <c r="P622" t="str">
        <f t="shared" si="162"/>
        <v>RICAR_10481_Camembert Pierrot</v>
      </c>
      <c r="Q622" t="str">
        <f t="shared" si="163"/>
        <v>10481</v>
      </c>
      <c r="R622" t="str">
        <f t="shared" si="164"/>
        <v>10481</v>
      </c>
      <c r="S622" t="str">
        <f t="shared" si="165"/>
        <v>Camembert Pierrot</v>
      </c>
      <c r="T622">
        <v>27.2</v>
      </c>
      <c r="U622">
        <v>40</v>
      </c>
      <c r="V622">
        <v>0</v>
      </c>
      <c r="W622">
        <f t="shared" si="166"/>
        <v>1088</v>
      </c>
      <c r="X622" t="str">
        <f t="shared" si="167"/>
        <v>No</v>
      </c>
      <c r="Y622" s="2">
        <v>34809</v>
      </c>
      <c r="Z622" t="str">
        <f t="shared" si="153"/>
        <v/>
      </c>
      <c r="AA622" t="str">
        <f t="shared" si="168"/>
        <v/>
      </c>
      <c r="AB622" t="str" cm="1">
        <f t="array" ref="AB622">_xlfn.IFS(Y622&lt;DATE(1996,1,1),"",Y622&lt;DATE(1996,4,1),"Q1",Y622&lt;DATE(1996,7,1),"Q2",Y622&gt;=DATE(1996,7,1),"")</f>
        <v/>
      </c>
    </row>
    <row r="623" spans="1:28" ht="14.4" x14ac:dyDescent="0.55000000000000004">
      <c r="A623" t="str">
        <f>VLOOKUP(L623,Customers!$A$2:$B$92,2,FALSE)</f>
        <v>Lazy K Kountry Store</v>
      </c>
      <c r="B623" t="str">
        <f>VLOOKUP(L623,Customers!$A$2:$C$92,3,TRUE)</f>
        <v>John Steel</v>
      </c>
      <c r="C623" t="str">
        <f t="shared" si="154"/>
        <v>John</v>
      </c>
      <c r="D623" s="8" t="str">
        <f t="shared" si="155"/>
        <v>Steel</v>
      </c>
      <c r="E623" s="8" t="str">
        <f t="shared" si="156"/>
        <v>Steel, John</v>
      </c>
      <c r="F623" s="8" t="str">
        <f t="shared" si="157"/>
        <v>Steel, John</v>
      </c>
      <c r="G623" s="8" t="str">
        <f t="shared" si="158"/>
        <v>not an outlier</v>
      </c>
      <c r="H623" s="8" t="str">
        <f t="shared" si="159"/>
        <v>Not</v>
      </c>
      <c r="I623" s="8" t="str">
        <f t="shared" si="169"/>
        <v>no</v>
      </c>
      <c r="J623" s="10" t="str">
        <f t="shared" si="160"/>
        <v>no</v>
      </c>
      <c r="K623" s="10" t="str">
        <f t="shared" si="161"/>
        <v>no</v>
      </c>
      <c r="L623" t="s">
        <v>333</v>
      </c>
      <c r="M623">
        <v>10482</v>
      </c>
      <c r="N623">
        <v>40</v>
      </c>
      <c r="O623" t="s">
        <v>720</v>
      </c>
      <c r="P623" t="str">
        <f t="shared" si="162"/>
        <v>LAZYK_10482_Boston Crab Meat</v>
      </c>
      <c r="Q623" t="str">
        <f t="shared" si="163"/>
        <v>10482</v>
      </c>
      <c r="R623" t="str">
        <f t="shared" si="164"/>
        <v>10482</v>
      </c>
      <c r="S623" t="str">
        <f t="shared" si="165"/>
        <v>Boston Crab Meat</v>
      </c>
      <c r="T623">
        <v>14.7</v>
      </c>
      <c r="U623">
        <v>10</v>
      </c>
      <c r="V623">
        <v>0</v>
      </c>
      <c r="W623">
        <f t="shared" si="166"/>
        <v>147</v>
      </c>
      <c r="X623" t="str">
        <f t="shared" si="167"/>
        <v>No</v>
      </c>
      <c r="Y623" s="2">
        <v>34810</v>
      </c>
      <c r="Z623" t="str">
        <f t="shared" si="153"/>
        <v/>
      </c>
      <c r="AA623" t="str">
        <f t="shared" si="168"/>
        <v/>
      </c>
      <c r="AB623" t="str" cm="1">
        <f t="array" ref="AB623">_xlfn.IFS(Y623&lt;DATE(1996,1,1),"",Y623&lt;DATE(1996,4,1),"Q1",Y623&lt;DATE(1996,7,1),"Q2",Y623&gt;=DATE(1996,7,1),"")</f>
        <v/>
      </c>
    </row>
    <row r="624" spans="1:28" ht="14.4" x14ac:dyDescent="0.55000000000000004">
      <c r="A624" t="str">
        <f>VLOOKUP(L624,Customers!$A$2:$B$92,2,FALSE)</f>
        <v>White Clover Markets</v>
      </c>
      <c r="B624" t="str">
        <f>VLOOKUP(L624,Customers!$A$2:$C$92,3,TRUE)</f>
        <v>Karl Jablonski</v>
      </c>
      <c r="C624" t="str">
        <f t="shared" si="154"/>
        <v>Karl</v>
      </c>
      <c r="D624" s="8" t="str">
        <f t="shared" si="155"/>
        <v>Jablonski</v>
      </c>
      <c r="E624" s="8" t="str">
        <f t="shared" si="156"/>
        <v>Jablonski, Karl</v>
      </c>
      <c r="F624" s="8" t="str">
        <f t="shared" si="157"/>
        <v>Jablonski, Karl</v>
      </c>
      <c r="G624" s="8" t="str">
        <f t="shared" si="158"/>
        <v>not an outlier</v>
      </c>
      <c r="H624" s="8" t="str">
        <f t="shared" si="159"/>
        <v>Not</v>
      </c>
      <c r="I624" s="8" t="str">
        <f t="shared" si="169"/>
        <v>no</v>
      </c>
      <c r="J624" s="10" t="str">
        <f t="shared" si="160"/>
        <v>no</v>
      </c>
      <c r="K624" s="10" t="str">
        <f t="shared" si="161"/>
        <v>no</v>
      </c>
      <c r="L624" t="s">
        <v>654</v>
      </c>
      <c r="M624">
        <v>10483</v>
      </c>
      <c r="N624">
        <v>34</v>
      </c>
      <c r="O624" t="s">
        <v>736</v>
      </c>
      <c r="P624" t="str">
        <f t="shared" si="162"/>
        <v>WHITC_10483_Sasquatch Ale</v>
      </c>
      <c r="Q624" t="str">
        <f t="shared" si="163"/>
        <v>10483</v>
      </c>
      <c r="R624" t="str">
        <f t="shared" si="164"/>
        <v>10483</v>
      </c>
      <c r="S624" t="str">
        <f t="shared" si="165"/>
        <v>Sasquatch Ale</v>
      </c>
      <c r="T624">
        <v>11.2</v>
      </c>
      <c r="U624">
        <v>35</v>
      </c>
      <c r="V624">
        <v>0.05</v>
      </c>
      <c r="W624">
        <f t="shared" si="166"/>
        <v>372.4</v>
      </c>
      <c r="X624" t="str">
        <f t="shared" si="167"/>
        <v>No</v>
      </c>
      <c r="Y624" s="2">
        <v>34813</v>
      </c>
      <c r="Z624" t="str">
        <f t="shared" si="153"/>
        <v/>
      </c>
      <c r="AA624" t="str">
        <f t="shared" si="168"/>
        <v/>
      </c>
      <c r="AB624" t="str" cm="1">
        <f t="array" ref="AB624">_xlfn.IFS(Y624&lt;DATE(1996,1,1),"",Y624&lt;DATE(1996,4,1),"Q1",Y624&lt;DATE(1996,7,1),"Q2",Y624&gt;=DATE(1996,7,1),"")</f>
        <v/>
      </c>
    </row>
    <row r="625" spans="1:28" ht="14.4" x14ac:dyDescent="0.55000000000000004">
      <c r="A625" t="str">
        <f>VLOOKUP(L625,Customers!$A$2:$B$92,2,FALSE)</f>
        <v>White Clover Markets</v>
      </c>
      <c r="B625" t="str">
        <f>VLOOKUP(L625,Customers!$A$2:$C$92,3,TRUE)</f>
        <v>Karl Jablonski</v>
      </c>
      <c r="C625" t="str">
        <f t="shared" si="154"/>
        <v>Karl</v>
      </c>
      <c r="D625" s="8" t="str">
        <f t="shared" si="155"/>
        <v>Jablonski</v>
      </c>
      <c r="E625" s="8" t="str">
        <f t="shared" si="156"/>
        <v>Jablonski, Karl</v>
      </c>
      <c r="F625" s="8" t="str">
        <f t="shared" si="157"/>
        <v>Jablonski, Karl</v>
      </c>
      <c r="G625" s="8" t="str">
        <f t="shared" si="158"/>
        <v>not an outlier</v>
      </c>
      <c r="H625" s="8" t="str">
        <f t="shared" si="159"/>
        <v>Not</v>
      </c>
      <c r="I625" s="8" t="str">
        <f t="shared" si="169"/>
        <v>no</v>
      </c>
      <c r="J625" s="10" t="str">
        <f t="shared" si="160"/>
        <v>no</v>
      </c>
      <c r="K625" s="10" t="str">
        <f t="shared" si="161"/>
        <v>no</v>
      </c>
      <c r="L625" t="s">
        <v>654</v>
      </c>
      <c r="M625">
        <v>10483</v>
      </c>
      <c r="N625">
        <v>77</v>
      </c>
      <c r="O625" t="s">
        <v>706</v>
      </c>
      <c r="P625" t="str">
        <f t="shared" si="162"/>
        <v>WHITC_10483_Original Frankfurter grüne Soße</v>
      </c>
      <c r="Q625" t="str">
        <f t="shared" si="163"/>
        <v>10483</v>
      </c>
      <c r="R625" t="str">
        <f t="shared" si="164"/>
        <v>10483</v>
      </c>
      <c r="S625" t="str">
        <f t="shared" si="165"/>
        <v>Original Frankfurter grüne Soße</v>
      </c>
      <c r="T625">
        <v>10.4</v>
      </c>
      <c r="U625">
        <v>30</v>
      </c>
      <c r="V625">
        <v>0.05</v>
      </c>
      <c r="W625">
        <f t="shared" si="166"/>
        <v>296.39999999999998</v>
      </c>
      <c r="X625" t="str">
        <f t="shared" si="167"/>
        <v>No</v>
      </c>
      <c r="Y625" s="2">
        <v>34813</v>
      </c>
      <c r="Z625" t="str">
        <f t="shared" si="153"/>
        <v/>
      </c>
      <c r="AA625" t="str">
        <f t="shared" si="168"/>
        <v/>
      </c>
      <c r="AB625" t="str" cm="1">
        <f t="array" ref="AB625">_xlfn.IFS(Y625&lt;DATE(1996,1,1),"",Y625&lt;DATE(1996,4,1),"Q1",Y625&lt;DATE(1996,7,1),"Q2",Y625&gt;=DATE(1996,7,1),"")</f>
        <v/>
      </c>
    </row>
    <row r="626" spans="1:28" ht="14.4" x14ac:dyDescent="0.55000000000000004">
      <c r="A626" t="str">
        <f>VLOOKUP(L626,Customers!$A$2:$B$92,2,FALSE)</f>
        <v>B's Beverages</v>
      </c>
      <c r="B626" t="str">
        <f>VLOOKUP(L626,Customers!$A$2:$C$92,3,TRUE)</f>
        <v>Victoria Ashworth</v>
      </c>
      <c r="C626" t="str">
        <f t="shared" si="154"/>
        <v>Victoria</v>
      </c>
      <c r="D626" s="8" t="str">
        <f t="shared" si="155"/>
        <v>Ashworth</v>
      </c>
      <c r="E626" s="8" t="str">
        <f t="shared" si="156"/>
        <v>Ashworth, Victoria</v>
      </c>
      <c r="F626" s="8" t="str">
        <f t="shared" si="157"/>
        <v>Ashworth, Victoria</v>
      </c>
      <c r="G626" s="8" t="str">
        <f t="shared" si="158"/>
        <v>not an outlier</v>
      </c>
      <c r="H626" s="8" t="str">
        <f t="shared" si="159"/>
        <v>Not</v>
      </c>
      <c r="I626" s="8" t="str">
        <f t="shared" si="169"/>
        <v>no</v>
      </c>
      <c r="J626" s="10" t="str">
        <f t="shared" si="160"/>
        <v>no</v>
      </c>
      <c r="K626" s="10" t="str">
        <f t="shared" si="161"/>
        <v>no</v>
      </c>
      <c r="L626" t="s">
        <v>95</v>
      </c>
      <c r="M626">
        <v>10484</v>
      </c>
      <c r="N626">
        <v>21</v>
      </c>
      <c r="O626" t="s">
        <v>710</v>
      </c>
      <c r="P626" t="str">
        <f t="shared" si="162"/>
        <v>BSBEV_10484_Sir Rodney's Scones</v>
      </c>
      <c r="Q626" t="str">
        <f t="shared" si="163"/>
        <v>10484</v>
      </c>
      <c r="R626" t="str">
        <f t="shared" si="164"/>
        <v>10484</v>
      </c>
      <c r="S626" t="str">
        <f t="shared" si="165"/>
        <v>Sir Rodney's Scones</v>
      </c>
      <c r="T626">
        <v>8</v>
      </c>
      <c r="U626">
        <v>14</v>
      </c>
      <c r="V626">
        <v>0</v>
      </c>
      <c r="W626">
        <f t="shared" si="166"/>
        <v>112</v>
      </c>
      <c r="X626" t="str">
        <f t="shared" si="167"/>
        <v>No</v>
      </c>
      <c r="Y626" s="2">
        <v>34813</v>
      </c>
      <c r="Z626" t="str">
        <f t="shared" si="153"/>
        <v/>
      </c>
      <c r="AA626" t="str">
        <f t="shared" si="168"/>
        <v/>
      </c>
      <c r="AB626" t="str" cm="1">
        <f t="array" ref="AB626">_xlfn.IFS(Y626&lt;DATE(1996,1,1),"",Y626&lt;DATE(1996,4,1),"Q1",Y626&lt;DATE(1996,7,1),"Q2",Y626&gt;=DATE(1996,7,1),"")</f>
        <v/>
      </c>
    </row>
    <row r="627" spans="1:28" ht="14.4" x14ac:dyDescent="0.55000000000000004">
      <c r="A627" t="str">
        <f>VLOOKUP(L627,Customers!$A$2:$B$92,2,FALSE)</f>
        <v>B's Beverages</v>
      </c>
      <c r="B627" t="str">
        <f>VLOOKUP(L627,Customers!$A$2:$C$92,3,TRUE)</f>
        <v>Victoria Ashworth</v>
      </c>
      <c r="C627" t="str">
        <f t="shared" si="154"/>
        <v>Victoria</v>
      </c>
      <c r="D627" s="8" t="str">
        <f t="shared" si="155"/>
        <v>Ashworth</v>
      </c>
      <c r="E627" s="8" t="str">
        <f t="shared" si="156"/>
        <v>Ashworth, Victoria</v>
      </c>
      <c r="F627" s="8" t="str">
        <f t="shared" si="157"/>
        <v>Ashworth, Victoria</v>
      </c>
      <c r="G627" s="8" t="str">
        <f t="shared" si="158"/>
        <v>not an outlier</v>
      </c>
      <c r="H627" s="8" t="str">
        <f t="shared" si="159"/>
        <v>Not</v>
      </c>
      <c r="I627" s="8" t="str">
        <f t="shared" si="169"/>
        <v>no</v>
      </c>
      <c r="J627" s="10" t="str">
        <f t="shared" si="160"/>
        <v>no</v>
      </c>
      <c r="K627" s="10" t="str">
        <f t="shared" si="161"/>
        <v>no</v>
      </c>
      <c r="L627" t="s">
        <v>95</v>
      </c>
      <c r="M627">
        <v>10484</v>
      </c>
      <c r="N627">
        <v>40</v>
      </c>
      <c r="O627" t="s">
        <v>720</v>
      </c>
      <c r="P627" t="str">
        <f t="shared" si="162"/>
        <v>BSBEV_10484_Boston Crab Meat</v>
      </c>
      <c r="Q627" t="str">
        <f t="shared" si="163"/>
        <v>10484</v>
      </c>
      <c r="R627" t="str">
        <f t="shared" si="164"/>
        <v>10484</v>
      </c>
      <c r="S627" t="str">
        <f t="shared" si="165"/>
        <v>Boston Crab Meat</v>
      </c>
      <c r="T627">
        <v>14.7</v>
      </c>
      <c r="U627">
        <v>10</v>
      </c>
      <c r="V627">
        <v>0</v>
      </c>
      <c r="W627">
        <f t="shared" si="166"/>
        <v>147</v>
      </c>
      <c r="X627" t="str">
        <f t="shared" si="167"/>
        <v>No</v>
      </c>
      <c r="Y627" s="2">
        <v>34813</v>
      </c>
      <c r="Z627" t="str">
        <f t="shared" si="153"/>
        <v/>
      </c>
      <c r="AA627" t="str">
        <f t="shared" si="168"/>
        <v/>
      </c>
      <c r="AB627" t="str" cm="1">
        <f t="array" ref="AB627">_xlfn.IFS(Y627&lt;DATE(1996,1,1),"",Y627&lt;DATE(1996,4,1),"Q1",Y627&lt;DATE(1996,7,1),"Q2",Y627&gt;=DATE(1996,7,1),"")</f>
        <v/>
      </c>
    </row>
    <row r="628" spans="1:28" ht="14.4" x14ac:dyDescent="0.55000000000000004">
      <c r="A628" t="str">
        <f>VLOOKUP(L628,Customers!$A$2:$B$92,2,FALSE)</f>
        <v>B's Beverages</v>
      </c>
      <c r="B628" t="str">
        <f>VLOOKUP(L628,Customers!$A$2:$C$92,3,TRUE)</f>
        <v>Victoria Ashworth</v>
      </c>
      <c r="C628" t="str">
        <f t="shared" si="154"/>
        <v>Victoria</v>
      </c>
      <c r="D628" s="8" t="str">
        <f t="shared" si="155"/>
        <v>Ashworth</v>
      </c>
      <c r="E628" s="8" t="str">
        <f t="shared" si="156"/>
        <v>Ashworth, Victoria</v>
      </c>
      <c r="F628" s="8" t="str">
        <f t="shared" si="157"/>
        <v>Ashworth, Victoria</v>
      </c>
      <c r="G628" s="8" t="str">
        <f t="shared" si="158"/>
        <v>not an outlier</v>
      </c>
      <c r="H628" s="8" t="str">
        <f t="shared" si="159"/>
        <v>Not</v>
      </c>
      <c r="I628" s="8" t="str">
        <f t="shared" si="169"/>
        <v>no</v>
      </c>
      <c r="J628" s="10" t="str">
        <f t="shared" si="160"/>
        <v>no</v>
      </c>
      <c r="K628" s="10" t="str">
        <f t="shared" si="161"/>
        <v>no</v>
      </c>
      <c r="L628" t="s">
        <v>95</v>
      </c>
      <c r="M628">
        <v>10484</v>
      </c>
      <c r="N628">
        <v>51</v>
      </c>
      <c r="O628" t="s">
        <v>687</v>
      </c>
      <c r="P628" t="str">
        <f t="shared" si="162"/>
        <v>BSBEV_10484_Manjimup Dried Apples</v>
      </c>
      <c r="Q628" t="str">
        <f t="shared" si="163"/>
        <v>10484</v>
      </c>
      <c r="R628" t="str">
        <f t="shared" si="164"/>
        <v>10484</v>
      </c>
      <c r="S628" t="str">
        <f t="shared" si="165"/>
        <v>Manjimup Dried Apples</v>
      </c>
      <c r="T628">
        <v>42.4</v>
      </c>
      <c r="U628">
        <v>3</v>
      </c>
      <c r="V628">
        <v>0</v>
      </c>
      <c r="W628">
        <f t="shared" si="166"/>
        <v>127.19999999999999</v>
      </c>
      <c r="X628" t="str">
        <f t="shared" si="167"/>
        <v>No</v>
      </c>
      <c r="Y628" s="2">
        <v>34813</v>
      </c>
      <c r="Z628" t="str">
        <f t="shared" si="153"/>
        <v/>
      </c>
      <c r="AA628" t="str">
        <f t="shared" si="168"/>
        <v/>
      </c>
      <c r="AB628" t="str" cm="1">
        <f t="array" ref="AB628">_xlfn.IFS(Y628&lt;DATE(1996,1,1),"",Y628&lt;DATE(1996,4,1),"Q1",Y628&lt;DATE(1996,7,1),"Q2",Y628&gt;=DATE(1996,7,1),"")</f>
        <v/>
      </c>
    </row>
    <row r="629" spans="1:28" ht="14.4" x14ac:dyDescent="0.55000000000000004">
      <c r="A629" t="str">
        <f>VLOOKUP(L629,Customers!$A$2:$B$92,2,FALSE)</f>
        <v>LINO-Delicateses</v>
      </c>
      <c r="B629" t="str">
        <f>VLOOKUP(L629,Customers!$A$2:$C$92,3,TRUE)</f>
        <v>Felipe Izquierdo</v>
      </c>
      <c r="C629" t="str">
        <f t="shared" si="154"/>
        <v>Felipe</v>
      </c>
      <c r="D629" s="8" t="str">
        <f t="shared" si="155"/>
        <v>Izquierdo</v>
      </c>
      <c r="E629" s="8" t="str">
        <f t="shared" si="156"/>
        <v>Izquierdo, Felipe</v>
      </c>
      <c r="F629" s="8" t="str">
        <f t="shared" si="157"/>
        <v>Izquierdo, Felipe</v>
      </c>
      <c r="G629" s="8" t="str">
        <f t="shared" si="158"/>
        <v>not an outlier</v>
      </c>
      <c r="H629" s="8" t="str">
        <f t="shared" si="159"/>
        <v>Not</v>
      </c>
      <c r="I629" s="8" t="str">
        <f t="shared" si="169"/>
        <v>no</v>
      </c>
      <c r="J629" s="10" t="str">
        <f t="shared" si="160"/>
        <v>no</v>
      </c>
      <c r="K629" s="10" t="str">
        <f t="shared" si="161"/>
        <v>no</v>
      </c>
      <c r="L629" t="s">
        <v>363</v>
      </c>
      <c r="M629">
        <v>10485</v>
      </c>
      <c r="N629">
        <v>2</v>
      </c>
      <c r="O629" t="s">
        <v>701</v>
      </c>
      <c r="P629" t="str">
        <f t="shared" si="162"/>
        <v>LINOD_10485_Chang</v>
      </c>
      <c r="Q629" t="str">
        <f t="shared" si="163"/>
        <v>10485</v>
      </c>
      <c r="R629" t="str">
        <f t="shared" si="164"/>
        <v>10485</v>
      </c>
      <c r="S629" t="str">
        <f t="shared" si="165"/>
        <v>Chang</v>
      </c>
      <c r="T629">
        <v>15.2</v>
      </c>
      <c r="U629">
        <v>20</v>
      </c>
      <c r="V629">
        <v>0.1</v>
      </c>
      <c r="W629">
        <f t="shared" si="166"/>
        <v>273.60000000000002</v>
      </c>
      <c r="X629" t="str">
        <f t="shared" si="167"/>
        <v>No</v>
      </c>
      <c r="Y629" s="2">
        <v>34814</v>
      </c>
      <c r="Z629" t="str">
        <f t="shared" si="153"/>
        <v/>
      </c>
      <c r="AA629" t="str">
        <f t="shared" si="168"/>
        <v/>
      </c>
      <c r="AB629" t="str" cm="1">
        <f t="array" ref="AB629">_xlfn.IFS(Y629&lt;DATE(1996,1,1),"",Y629&lt;DATE(1996,4,1),"Q1",Y629&lt;DATE(1996,7,1),"Q2",Y629&gt;=DATE(1996,7,1),"")</f>
        <v/>
      </c>
    </row>
    <row r="630" spans="1:28" ht="14.4" x14ac:dyDescent="0.55000000000000004">
      <c r="A630" t="str">
        <f>VLOOKUP(L630,Customers!$A$2:$B$92,2,FALSE)</f>
        <v>LINO-Delicateses</v>
      </c>
      <c r="B630" t="str">
        <f>VLOOKUP(L630,Customers!$A$2:$C$92,3,TRUE)</f>
        <v>Felipe Izquierdo</v>
      </c>
      <c r="C630" t="str">
        <f t="shared" si="154"/>
        <v>Felipe</v>
      </c>
      <c r="D630" s="8" t="str">
        <f t="shared" si="155"/>
        <v>Izquierdo</v>
      </c>
      <c r="E630" s="8" t="str">
        <f t="shared" si="156"/>
        <v>Izquierdo, Felipe</v>
      </c>
      <c r="F630" s="8" t="str">
        <f t="shared" si="157"/>
        <v>Izquierdo, Felipe</v>
      </c>
      <c r="G630" s="8" t="str">
        <f t="shared" si="158"/>
        <v>not an outlier</v>
      </c>
      <c r="H630" s="8" t="str">
        <f t="shared" si="159"/>
        <v>Not</v>
      </c>
      <c r="I630" s="8" t="str">
        <f t="shared" si="169"/>
        <v>no</v>
      </c>
      <c r="J630" s="10" t="str">
        <f t="shared" si="160"/>
        <v>no</v>
      </c>
      <c r="K630" s="10" t="str">
        <f t="shared" si="161"/>
        <v>no</v>
      </c>
      <c r="L630" t="s">
        <v>363</v>
      </c>
      <c r="M630">
        <v>10485</v>
      </c>
      <c r="N630">
        <v>3</v>
      </c>
      <c r="O630" t="s">
        <v>740</v>
      </c>
      <c r="P630" t="str">
        <f t="shared" si="162"/>
        <v>LINOD_10485_Aniseed Syrup</v>
      </c>
      <c r="Q630" t="str">
        <f t="shared" si="163"/>
        <v>10485</v>
      </c>
      <c r="R630" t="str">
        <f t="shared" si="164"/>
        <v>10485</v>
      </c>
      <c r="S630" t="str">
        <f t="shared" si="165"/>
        <v>Aniseed Syrup</v>
      </c>
      <c r="T630">
        <v>8</v>
      </c>
      <c r="U630">
        <v>20</v>
      </c>
      <c r="V630">
        <v>0.1</v>
      </c>
      <c r="W630">
        <f t="shared" si="166"/>
        <v>144</v>
      </c>
      <c r="X630" t="str">
        <f t="shared" si="167"/>
        <v>No</v>
      </c>
      <c r="Y630" s="2">
        <v>34814</v>
      </c>
      <c r="Z630" t="str">
        <f t="shared" si="153"/>
        <v/>
      </c>
      <c r="AA630" t="str">
        <f t="shared" si="168"/>
        <v/>
      </c>
      <c r="AB630" t="str" cm="1">
        <f t="array" ref="AB630">_xlfn.IFS(Y630&lt;DATE(1996,1,1),"",Y630&lt;DATE(1996,4,1),"Q1",Y630&lt;DATE(1996,7,1),"Q2",Y630&gt;=DATE(1996,7,1),"")</f>
        <v/>
      </c>
    </row>
    <row r="631" spans="1:28" ht="14.4" x14ac:dyDescent="0.55000000000000004">
      <c r="A631" t="str">
        <f>VLOOKUP(L631,Customers!$A$2:$B$92,2,FALSE)</f>
        <v>LINO-Delicateses</v>
      </c>
      <c r="B631" t="str">
        <f>VLOOKUP(L631,Customers!$A$2:$C$92,3,TRUE)</f>
        <v>Felipe Izquierdo</v>
      </c>
      <c r="C631" t="str">
        <f t="shared" si="154"/>
        <v>Felipe</v>
      </c>
      <c r="D631" s="8" t="str">
        <f t="shared" si="155"/>
        <v>Izquierdo</v>
      </c>
      <c r="E631" s="8" t="str">
        <f t="shared" si="156"/>
        <v>Izquierdo, Felipe</v>
      </c>
      <c r="F631" s="8" t="str">
        <f t="shared" si="157"/>
        <v>Izquierdo, Felipe</v>
      </c>
      <c r="G631" s="8" t="str">
        <f t="shared" si="158"/>
        <v>not an outlier</v>
      </c>
      <c r="H631" s="8" t="str">
        <f t="shared" si="159"/>
        <v>Not</v>
      </c>
      <c r="I631" s="8" t="str">
        <f t="shared" si="169"/>
        <v>no</v>
      </c>
      <c r="J631" s="10" t="str">
        <f t="shared" si="160"/>
        <v>no</v>
      </c>
      <c r="K631" s="10" t="str">
        <f t="shared" si="161"/>
        <v>no</v>
      </c>
      <c r="L631" t="s">
        <v>363</v>
      </c>
      <c r="M631">
        <v>10485</v>
      </c>
      <c r="N631">
        <v>55</v>
      </c>
      <c r="O631" t="s">
        <v>699</v>
      </c>
      <c r="P631" t="str">
        <f t="shared" si="162"/>
        <v>LINOD_10485_Pâté chinois</v>
      </c>
      <c r="Q631" t="str">
        <f t="shared" si="163"/>
        <v>10485</v>
      </c>
      <c r="R631" t="str">
        <f t="shared" si="164"/>
        <v>10485</v>
      </c>
      <c r="S631" t="str">
        <f t="shared" si="165"/>
        <v>Pâté chinois</v>
      </c>
      <c r="T631">
        <v>19.2</v>
      </c>
      <c r="U631">
        <v>30</v>
      </c>
      <c r="V631">
        <v>0.1</v>
      </c>
      <c r="W631">
        <f t="shared" si="166"/>
        <v>518.4</v>
      </c>
      <c r="X631" t="str">
        <f t="shared" si="167"/>
        <v>No</v>
      </c>
      <c r="Y631" s="2">
        <v>34814</v>
      </c>
      <c r="Z631" t="str">
        <f t="shared" si="153"/>
        <v/>
      </c>
      <c r="AA631" t="str">
        <f t="shared" si="168"/>
        <v/>
      </c>
      <c r="AB631" t="str" cm="1">
        <f t="array" ref="AB631">_xlfn.IFS(Y631&lt;DATE(1996,1,1),"",Y631&lt;DATE(1996,4,1),"Q1",Y631&lt;DATE(1996,7,1),"Q2",Y631&gt;=DATE(1996,7,1),"")</f>
        <v/>
      </c>
    </row>
    <row r="632" spans="1:28" ht="14.4" x14ac:dyDescent="0.55000000000000004">
      <c r="A632" t="str">
        <f>VLOOKUP(L632,Customers!$A$2:$B$92,2,FALSE)</f>
        <v>LINO-Delicateses</v>
      </c>
      <c r="B632" t="str">
        <f>VLOOKUP(L632,Customers!$A$2:$C$92,3,TRUE)</f>
        <v>Felipe Izquierdo</v>
      </c>
      <c r="C632" t="str">
        <f t="shared" si="154"/>
        <v>Felipe</v>
      </c>
      <c r="D632" s="8" t="str">
        <f t="shared" si="155"/>
        <v>Izquierdo</v>
      </c>
      <c r="E632" s="8" t="str">
        <f t="shared" si="156"/>
        <v>Izquierdo, Felipe</v>
      </c>
      <c r="F632" s="8" t="str">
        <f t="shared" si="157"/>
        <v>Izquierdo, Felipe</v>
      </c>
      <c r="G632" s="8" t="str">
        <f t="shared" si="158"/>
        <v>not an outlier</v>
      </c>
      <c r="H632" s="8" t="str">
        <f t="shared" si="159"/>
        <v>Not</v>
      </c>
      <c r="I632" s="8" t="str">
        <f t="shared" si="169"/>
        <v>no</v>
      </c>
      <c r="J632" s="10" t="str">
        <f t="shared" si="160"/>
        <v>no</v>
      </c>
      <c r="K632" s="10" t="str">
        <f t="shared" si="161"/>
        <v>no</v>
      </c>
      <c r="L632" t="s">
        <v>363</v>
      </c>
      <c r="M632">
        <v>10485</v>
      </c>
      <c r="N632">
        <v>70</v>
      </c>
      <c r="O632" t="s">
        <v>713</v>
      </c>
      <c r="P632" t="str">
        <f t="shared" si="162"/>
        <v>LINOD_10485_Outback Lager</v>
      </c>
      <c r="Q632" t="str">
        <f t="shared" si="163"/>
        <v>10485</v>
      </c>
      <c r="R632" t="str">
        <f t="shared" si="164"/>
        <v>10485</v>
      </c>
      <c r="S632" t="str">
        <f t="shared" si="165"/>
        <v>Outback Lager</v>
      </c>
      <c r="T632">
        <v>12</v>
      </c>
      <c r="U632">
        <v>60</v>
      </c>
      <c r="V632">
        <v>0.1</v>
      </c>
      <c r="W632">
        <f t="shared" si="166"/>
        <v>648</v>
      </c>
      <c r="X632" t="str">
        <f t="shared" si="167"/>
        <v>No</v>
      </c>
      <c r="Y632" s="2">
        <v>34814</v>
      </c>
      <c r="Z632" t="str">
        <f t="shared" si="153"/>
        <v/>
      </c>
      <c r="AA632" t="str">
        <f t="shared" si="168"/>
        <v/>
      </c>
      <c r="AB632" t="str" cm="1">
        <f t="array" ref="AB632">_xlfn.IFS(Y632&lt;DATE(1996,1,1),"",Y632&lt;DATE(1996,4,1),"Q1",Y632&lt;DATE(1996,7,1),"Q2",Y632&gt;=DATE(1996,7,1),"")</f>
        <v/>
      </c>
    </row>
    <row r="633" spans="1:28" ht="14.4" x14ac:dyDescent="0.55000000000000004">
      <c r="A633" t="str">
        <f>VLOOKUP(L633,Customers!$A$2:$B$92,2,FALSE)</f>
        <v>HILARIÓN-Abastos</v>
      </c>
      <c r="B633" t="str">
        <f>VLOOKUP(L633,Customers!$A$2:$C$92,3,TRUE)</f>
        <v>Carlos Hernández</v>
      </c>
      <c r="C633" t="str">
        <f t="shared" si="154"/>
        <v>Carlos</v>
      </c>
      <c r="D633" s="8" t="str">
        <f t="shared" si="155"/>
        <v>Hernández</v>
      </c>
      <c r="E633" s="8" t="str">
        <f t="shared" si="156"/>
        <v>Hernández, Carlos</v>
      </c>
      <c r="F633" s="8" t="str">
        <f t="shared" si="157"/>
        <v>Hernández, Carlos</v>
      </c>
      <c r="G633" s="8" t="str">
        <f t="shared" si="158"/>
        <v>not an outlier</v>
      </c>
      <c r="H633" s="8" t="str">
        <f t="shared" si="159"/>
        <v>Not</v>
      </c>
      <c r="I633" s="8" t="str">
        <f t="shared" si="169"/>
        <v>no</v>
      </c>
      <c r="J633" s="10" t="str">
        <f t="shared" si="160"/>
        <v>no</v>
      </c>
      <c r="K633" s="10" t="str">
        <f t="shared" si="161"/>
        <v>no</v>
      </c>
      <c r="L633" t="s">
        <v>273</v>
      </c>
      <c r="M633">
        <v>10486</v>
      </c>
      <c r="N633">
        <v>11</v>
      </c>
      <c r="O633" t="s">
        <v>683</v>
      </c>
      <c r="P633" t="str">
        <f t="shared" si="162"/>
        <v>HILAA_10486_Queso Cabrales</v>
      </c>
      <c r="Q633" t="str">
        <f t="shared" si="163"/>
        <v>10486</v>
      </c>
      <c r="R633" t="str">
        <f t="shared" si="164"/>
        <v>10486</v>
      </c>
      <c r="S633" t="str">
        <f t="shared" si="165"/>
        <v>Queso Cabrales</v>
      </c>
      <c r="T633">
        <v>16.8</v>
      </c>
      <c r="U633">
        <v>5</v>
      </c>
      <c r="V633">
        <v>0</v>
      </c>
      <c r="W633">
        <f t="shared" si="166"/>
        <v>84</v>
      </c>
      <c r="X633" t="str">
        <f t="shared" si="167"/>
        <v>No</v>
      </c>
      <c r="Y633" s="2">
        <v>34815</v>
      </c>
      <c r="Z633" t="str">
        <f t="shared" si="153"/>
        <v/>
      </c>
      <c r="AA633" t="str">
        <f t="shared" si="168"/>
        <v/>
      </c>
      <c r="AB633" t="str" cm="1">
        <f t="array" ref="AB633">_xlfn.IFS(Y633&lt;DATE(1996,1,1),"",Y633&lt;DATE(1996,4,1),"Q1",Y633&lt;DATE(1996,7,1),"Q2",Y633&gt;=DATE(1996,7,1),"")</f>
        <v/>
      </c>
    </row>
    <row r="634" spans="1:28" ht="14.4" x14ac:dyDescent="0.55000000000000004">
      <c r="A634" t="str">
        <f>VLOOKUP(L634,Customers!$A$2:$B$92,2,FALSE)</f>
        <v>HILARIÓN-Abastos</v>
      </c>
      <c r="B634" t="str">
        <f>VLOOKUP(L634,Customers!$A$2:$C$92,3,TRUE)</f>
        <v>Carlos Hernández</v>
      </c>
      <c r="C634" t="str">
        <f t="shared" si="154"/>
        <v>Carlos</v>
      </c>
      <c r="D634" s="8" t="str">
        <f t="shared" si="155"/>
        <v>Hernández</v>
      </c>
      <c r="E634" s="8" t="str">
        <f t="shared" si="156"/>
        <v>Hernández, Carlos</v>
      </c>
      <c r="F634" s="8" t="str">
        <f t="shared" si="157"/>
        <v>Hernández, Carlos</v>
      </c>
      <c r="G634" s="8" t="str">
        <f t="shared" si="158"/>
        <v>not an outlier</v>
      </c>
      <c r="H634" s="8" t="str">
        <f t="shared" si="159"/>
        <v>Not</v>
      </c>
      <c r="I634" s="8" t="str">
        <f t="shared" si="169"/>
        <v>no</v>
      </c>
      <c r="J634" s="10" t="str">
        <f t="shared" si="160"/>
        <v>no</v>
      </c>
      <c r="K634" s="10" t="str">
        <f t="shared" si="161"/>
        <v>no</v>
      </c>
      <c r="L634" t="s">
        <v>273</v>
      </c>
      <c r="M634">
        <v>10486</v>
      </c>
      <c r="N634">
        <v>51</v>
      </c>
      <c r="O634" t="s">
        <v>687</v>
      </c>
      <c r="P634" t="str">
        <f t="shared" si="162"/>
        <v>HILAA_10486_Manjimup Dried Apples</v>
      </c>
      <c r="Q634" t="str">
        <f t="shared" si="163"/>
        <v>10486</v>
      </c>
      <c r="R634" t="str">
        <f t="shared" si="164"/>
        <v>10486</v>
      </c>
      <c r="S634" t="str">
        <f t="shared" si="165"/>
        <v>Manjimup Dried Apples</v>
      </c>
      <c r="T634">
        <v>42.4</v>
      </c>
      <c r="U634">
        <v>25</v>
      </c>
      <c r="V634">
        <v>0</v>
      </c>
      <c r="W634">
        <f t="shared" si="166"/>
        <v>1060</v>
      </c>
      <c r="X634" t="str">
        <f t="shared" si="167"/>
        <v>No</v>
      </c>
      <c r="Y634" s="2">
        <v>34815</v>
      </c>
      <c r="Z634" t="str">
        <f t="shared" si="153"/>
        <v/>
      </c>
      <c r="AA634" t="str">
        <f t="shared" si="168"/>
        <v/>
      </c>
      <c r="AB634" t="str" cm="1">
        <f t="array" ref="AB634">_xlfn.IFS(Y634&lt;DATE(1996,1,1),"",Y634&lt;DATE(1996,4,1),"Q1",Y634&lt;DATE(1996,7,1),"Q2",Y634&gt;=DATE(1996,7,1),"")</f>
        <v/>
      </c>
    </row>
    <row r="635" spans="1:28" ht="14.4" x14ac:dyDescent="0.55000000000000004">
      <c r="A635" t="str">
        <f>VLOOKUP(L635,Customers!$A$2:$B$92,2,FALSE)</f>
        <v>HILARIÓN-Abastos</v>
      </c>
      <c r="B635" t="str">
        <f>VLOOKUP(L635,Customers!$A$2:$C$92,3,TRUE)</f>
        <v>Carlos Hernández</v>
      </c>
      <c r="C635" t="str">
        <f t="shared" si="154"/>
        <v>Carlos</v>
      </c>
      <c r="D635" s="8" t="str">
        <f t="shared" si="155"/>
        <v>Hernández</v>
      </c>
      <c r="E635" s="8" t="str">
        <f t="shared" si="156"/>
        <v>Hernández, Carlos</v>
      </c>
      <c r="F635" s="8" t="str">
        <f t="shared" si="157"/>
        <v>Hernández, Carlos</v>
      </c>
      <c r="G635" s="8" t="str">
        <f t="shared" si="158"/>
        <v>not an outlier</v>
      </c>
      <c r="H635" s="8" t="str">
        <f t="shared" si="159"/>
        <v>Not</v>
      </c>
      <c r="I635" s="8" t="str">
        <f t="shared" si="169"/>
        <v>no</v>
      </c>
      <c r="J635" s="10" t="str">
        <f t="shared" si="160"/>
        <v>no</v>
      </c>
      <c r="K635" s="10" t="str">
        <f t="shared" si="161"/>
        <v>no</v>
      </c>
      <c r="L635" t="s">
        <v>273</v>
      </c>
      <c r="M635">
        <v>10486</v>
      </c>
      <c r="N635">
        <v>74</v>
      </c>
      <c r="O635" t="s">
        <v>700</v>
      </c>
      <c r="P635" t="str">
        <f t="shared" si="162"/>
        <v>HILAA_10486_Longlife Tofu</v>
      </c>
      <c r="Q635" t="str">
        <f t="shared" si="163"/>
        <v>10486</v>
      </c>
      <c r="R635" t="str">
        <f t="shared" si="164"/>
        <v>10486</v>
      </c>
      <c r="S635" t="str">
        <f t="shared" si="165"/>
        <v>Longlife Tofu</v>
      </c>
      <c r="T635">
        <v>8</v>
      </c>
      <c r="U635">
        <v>16</v>
      </c>
      <c r="V635">
        <v>0</v>
      </c>
      <c r="W635">
        <f t="shared" si="166"/>
        <v>128</v>
      </c>
      <c r="X635" t="str">
        <f t="shared" si="167"/>
        <v>No</v>
      </c>
      <c r="Y635" s="2">
        <v>34815</v>
      </c>
      <c r="Z635" t="str">
        <f t="shared" si="153"/>
        <v/>
      </c>
      <c r="AA635" t="str">
        <f t="shared" si="168"/>
        <v/>
      </c>
      <c r="AB635" t="str" cm="1">
        <f t="array" ref="AB635">_xlfn.IFS(Y635&lt;DATE(1996,1,1),"",Y635&lt;DATE(1996,4,1),"Q1",Y635&lt;DATE(1996,7,1),"Q2",Y635&gt;=DATE(1996,7,1),"")</f>
        <v/>
      </c>
    </row>
    <row r="636" spans="1:28" ht="14.4" x14ac:dyDescent="0.55000000000000004">
      <c r="A636" t="str">
        <f>VLOOKUP(L636,Customers!$A$2:$B$92,2,FALSE)</f>
        <v>Queen Cozinha</v>
      </c>
      <c r="B636" t="str">
        <f>VLOOKUP(L636,Customers!$A$2:$C$92,3,TRUE)</f>
        <v>Lúcia Carvalho</v>
      </c>
      <c r="C636" t="str">
        <f t="shared" si="154"/>
        <v>Lúcia</v>
      </c>
      <c r="D636" s="8" t="str">
        <f t="shared" si="155"/>
        <v>Carvalho</v>
      </c>
      <c r="E636" s="8" t="str">
        <f t="shared" si="156"/>
        <v>Carvalho, Lúcia</v>
      </c>
      <c r="F636" s="8" t="str">
        <f t="shared" si="157"/>
        <v>Carvalho, Lúcia</v>
      </c>
      <c r="G636" s="8" t="str">
        <f t="shared" si="158"/>
        <v>not an outlier</v>
      </c>
      <c r="H636" s="8" t="str">
        <f t="shared" si="159"/>
        <v>Not</v>
      </c>
      <c r="I636" s="8" t="str">
        <f t="shared" si="169"/>
        <v>no</v>
      </c>
      <c r="J636" s="10" t="str">
        <f t="shared" si="160"/>
        <v>no</v>
      </c>
      <c r="K636" s="10" t="str">
        <f t="shared" si="161"/>
        <v>no</v>
      </c>
      <c r="L636" t="s">
        <v>469</v>
      </c>
      <c r="M636">
        <v>10487</v>
      </c>
      <c r="N636">
        <v>19</v>
      </c>
      <c r="O636" t="s">
        <v>732</v>
      </c>
      <c r="P636" t="str">
        <f t="shared" si="162"/>
        <v>QUEEN_10487_Teatime Chocolate Biscuits</v>
      </c>
      <c r="Q636" t="str">
        <f t="shared" si="163"/>
        <v>10487</v>
      </c>
      <c r="R636" t="str">
        <f t="shared" si="164"/>
        <v>10487</v>
      </c>
      <c r="S636" t="str">
        <f t="shared" si="165"/>
        <v>Teatime Chocolate Biscuits</v>
      </c>
      <c r="T636">
        <v>7.3</v>
      </c>
      <c r="U636">
        <v>5</v>
      </c>
      <c r="V636">
        <v>0</v>
      </c>
      <c r="W636">
        <f t="shared" si="166"/>
        <v>36.5</v>
      </c>
      <c r="X636" t="str">
        <f t="shared" si="167"/>
        <v>No</v>
      </c>
      <c r="Y636" s="2">
        <v>34815</v>
      </c>
      <c r="Z636" t="str">
        <f t="shared" si="153"/>
        <v/>
      </c>
      <c r="AA636" t="str">
        <f t="shared" si="168"/>
        <v/>
      </c>
      <c r="AB636" t="str" cm="1">
        <f t="array" ref="AB636">_xlfn.IFS(Y636&lt;DATE(1996,1,1),"",Y636&lt;DATE(1996,4,1),"Q1",Y636&lt;DATE(1996,7,1),"Q2",Y636&gt;=DATE(1996,7,1),"")</f>
        <v/>
      </c>
    </row>
    <row r="637" spans="1:28" ht="14.4" x14ac:dyDescent="0.55000000000000004">
      <c r="A637" t="str">
        <f>VLOOKUP(L637,Customers!$A$2:$B$92,2,FALSE)</f>
        <v>Queen Cozinha</v>
      </c>
      <c r="B637" t="str">
        <f>VLOOKUP(L637,Customers!$A$2:$C$92,3,TRUE)</f>
        <v>Lúcia Carvalho</v>
      </c>
      <c r="C637" t="str">
        <f t="shared" si="154"/>
        <v>Lúcia</v>
      </c>
      <c r="D637" s="8" t="str">
        <f t="shared" si="155"/>
        <v>Carvalho</v>
      </c>
      <c r="E637" s="8" t="str">
        <f t="shared" si="156"/>
        <v>Carvalho, Lúcia</v>
      </c>
      <c r="F637" s="8" t="str">
        <f t="shared" si="157"/>
        <v>Carvalho, Lúcia</v>
      </c>
      <c r="G637" s="8" t="str">
        <f t="shared" si="158"/>
        <v>not an outlier</v>
      </c>
      <c r="H637" s="8" t="str">
        <f t="shared" si="159"/>
        <v>Not</v>
      </c>
      <c r="I637" s="8" t="str">
        <f t="shared" si="169"/>
        <v>no</v>
      </c>
      <c r="J637" s="10" t="str">
        <f t="shared" si="160"/>
        <v>no</v>
      </c>
      <c r="K637" s="10" t="str">
        <f t="shared" si="161"/>
        <v>no</v>
      </c>
      <c r="L637" t="s">
        <v>469</v>
      </c>
      <c r="M637">
        <v>10487</v>
      </c>
      <c r="N637">
        <v>26</v>
      </c>
      <c r="O637" t="s">
        <v>751</v>
      </c>
      <c r="P637" t="str">
        <f t="shared" si="162"/>
        <v>QUEEN_10487_Gumbär Gummibärchen</v>
      </c>
      <c r="Q637" t="str">
        <f t="shared" si="163"/>
        <v>10487</v>
      </c>
      <c r="R637" t="str">
        <f t="shared" si="164"/>
        <v>10487</v>
      </c>
      <c r="S637" t="str">
        <f t="shared" si="165"/>
        <v>Gumbär Gummibärchen</v>
      </c>
      <c r="T637">
        <v>24.9</v>
      </c>
      <c r="U637">
        <v>30</v>
      </c>
      <c r="V637">
        <v>0</v>
      </c>
      <c r="W637">
        <f t="shared" si="166"/>
        <v>747</v>
      </c>
      <c r="X637" t="str">
        <f t="shared" si="167"/>
        <v>No</v>
      </c>
      <c r="Y637" s="2">
        <v>34815</v>
      </c>
      <c r="Z637" t="str">
        <f t="shared" si="153"/>
        <v/>
      </c>
      <c r="AA637" t="str">
        <f t="shared" si="168"/>
        <v/>
      </c>
      <c r="AB637" t="str" cm="1">
        <f t="array" ref="AB637">_xlfn.IFS(Y637&lt;DATE(1996,1,1),"",Y637&lt;DATE(1996,4,1),"Q1",Y637&lt;DATE(1996,7,1),"Q2",Y637&gt;=DATE(1996,7,1),"")</f>
        <v/>
      </c>
    </row>
    <row r="638" spans="1:28" ht="14.4" x14ac:dyDescent="0.55000000000000004">
      <c r="A638" t="str">
        <f>VLOOKUP(L638,Customers!$A$2:$B$92,2,FALSE)</f>
        <v>Queen Cozinha</v>
      </c>
      <c r="B638" t="str">
        <f>VLOOKUP(L638,Customers!$A$2:$C$92,3,TRUE)</f>
        <v>Lúcia Carvalho</v>
      </c>
      <c r="C638" t="str">
        <f t="shared" si="154"/>
        <v>Lúcia</v>
      </c>
      <c r="D638" s="8" t="str">
        <f t="shared" si="155"/>
        <v>Carvalho</v>
      </c>
      <c r="E638" s="8" t="str">
        <f t="shared" si="156"/>
        <v>Carvalho, Lúcia</v>
      </c>
      <c r="F638" s="8" t="str">
        <f t="shared" si="157"/>
        <v>Carvalho, Lúcia</v>
      </c>
      <c r="G638" s="8" t="str">
        <f t="shared" si="158"/>
        <v>not an outlier</v>
      </c>
      <c r="H638" s="8" t="str">
        <f t="shared" si="159"/>
        <v>Not</v>
      </c>
      <c r="I638" s="8" t="str">
        <f t="shared" si="169"/>
        <v>no</v>
      </c>
      <c r="J638" s="10" t="str">
        <f t="shared" si="160"/>
        <v>no</v>
      </c>
      <c r="K638" s="10" t="str">
        <f t="shared" si="161"/>
        <v>no</v>
      </c>
      <c r="L638" t="s">
        <v>469</v>
      </c>
      <c r="M638">
        <v>10487</v>
      </c>
      <c r="N638">
        <v>54</v>
      </c>
      <c r="O638" t="s">
        <v>738</v>
      </c>
      <c r="P638" t="str">
        <f t="shared" si="162"/>
        <v>QUEEN_10487_Tourtière</v>
      </c>
      <c r="Q638" t="str">
        <f t="shared" si="163"/>
        <v>10487</v>
      </c>
      <c r="R638" t="str">
        <f t="shared" si="164"/>
        <v>10487</v>
      </c>
      <c r="S638" t="str">
        <f t="shared" si="165"/>
        <v>Tourtière</v>
      </c>
      <c r="T638">
        <v>5.9</v>
      </c>
      <c r="U638">
        <v>24</v>
      </c>
      <c r="V638">
        <v>0.25</v>
      </c>
      <c r="W638">
        <f t="shared" si="166"/>
        <v>106.20000000000002</v>
      </c>
      <c r="X638" t="str">
        <f t="shared" si="167"/>
        <v>No</v>
      </c>
      <c r="Y638" s="2">
        <v>34815</v>
      </c>
      <c r="Z638" t="str">
        <f t="shared" si="153"/>
        <v/>
      </c>
      <c r="AA638" t="str">
        <f t="shared" si="168"/>
        <v/>
      </c>
      <c r="AB638" t="str" cm="1">
        <f t="array" ref="AB638">_xlfn.IFS(Y638&lt;DATE(1996,1,1),"",Y638&lt;DATE(1996,4,1),"Q1",Y638&lt;DATE(1996,7,1),"Q2",Y638&gt;=DATE(1996,7,1),"")</f>
        <v/>
      </c>
    </row>
    <row r="639" spans="1:28" ht="14.4" x14ac:dyDescent="0.55000000000000004">
      <c r="A639" t="str">
        <f>VLOOKUP(L639,Customers!$A$2:$B$92,2,FALSE)</f>
        <v>Frankenversand</v>
      </c>
      <c r="B639" t="str">
        <f>VLOOKUP(L639,Customers!$A$2:$C$92,3,TRUE)</f>
        <v>Peter Franken</v>
      </c>
      <c r="C639" t="str">
        <f t="shared" si="154"/>
        <v>Peter</v>
      </c>
      <c r="D639" s="8" t="str">
        <f t="shared" si="155"/>
        <v>Franken</v>
      </c>
      <c r="E639" s="8" t="str">
        <f t="shared" si="156"/>
        <v>Franken, Peter</v>
      </c>
      <c r="F639" s="8" t="str">
        <f t="shared" si="157"/>
        <v>Franken, Peter</v>
      </c>
      <c r="G639" s="8" t="str">
        <f t="shared" si="158"/>
        <v>not an outlier</v>
      </c>
      <c r="H639" s="8" t="str">
        <f t="shared" si="159"/>
        <v>Not</v>
      </c>
      <c r="I639" s="8" t="str">
        <f t="shared" si="169"/>
        <v>no</v>
      </c>
      <c r="J639" s="10" t="str">
        <f t="shared" si="160"/>
        <v>no</v>
      </c>
      <c r="K639" s="10" t="str">
        <f t="shared" si="161"/>
        <v>no</v>
      </c>
      <c r="L639" t="s">
        <v>198</v>
      </c>
      <c r="M639">
        <v>10488</v>
      </c>
      <c r="N639">
        <v>59</v>
      </c>
      <c r="O639" t="s">
        <v>704</v>
      </c>
      <c r="P639" t="str">
        <f t="shared" si="162"/>
        <v>FRANK_10488_Raclette Courdavault</v>
      </c>
      <c r="Q639" t="str">
        <f t="shared" si="163"/>
        <v>10488</v>
      </c>
      <c r="R639" t="str">
        <f t="shared" si="164"/>
        <v>10488</v>
      </c>
      <c r="S639" t="str">
        <f t="shared" si="165"/>
        <v>Raclette Courdavault</v>
      </c>
      <c r="T639">
        <v>44</v>
      </c>
      <c r="U639">
        <v>30</v>
      </c>
      <c r="V639">
        <v>0</v>
      </c>
      <c r="W639">
        <f t="shared" si="166"/>
        <v>1320</v>
      </c>
      <c r="X639" t="str">
        <f t="shared" si="167"/>
        <v>No</v>
      </c>
      <c r="Y639" s="2">
        <v>34816</v>
      </c>
      <c r="Z639" t="str">
        <f t="shared" si="153"/>
        <v/>
      </c>
      <c r="AA639" t="str">
        <f t="shared" si="168"/>
        <v/>
      </c>
      <c r="AB639" t="str" cm="1">
        <f t="array" ref="AB639">_xlfn.IFS(Y639&lt;DATE(1996,1,1),"",Y639&lt;DATE(1996,4,1),"Q1",Y639&lt;DATE(1996,7,1),"Q2",Y639&gt;=DATE(1996,7,1),"")</f>
        <v/>
      </c>
    </row>
    <row r="640" spans="1:28" ht="14.4" x14ac:dyDescent="0.55000000000000004">
      <c r="A640" t="str">
        <f>VLOOKUP(L640,Customers!$A$2:$B$92,2,FALSE)</f>
        <v>Frankenversand</v>
      </c>
      <c r="B640" t="str">
        <f>VLOOKUP(L640,Customers!$A$2:$C$92,3,TRUE)</f>
        <v>Peter Franken</v>
      </c>
      <c r="C640" t="str">
        <f t="shared" si="154"/>
        <v>Peter</v>
      </c>
      <c r="D640" s="8" t="str">
        <f t="shared" si="155"/>
        <v>Franken</v>
      </c>
      <c r="E640" s="8" t="str">
        <f t="shared" si="156"/>
        <v>Franken, Peter</v>
      </c>
      <c r="F640" s="8" t="str">
        <f t="shared" si="157"/>
        <v>Franken, Peter</v>
      </c>
      <c r="G640" s="8" t="str">
        <f t="shared" si="158"/>
        <v>not an outlier</v>
      </c>
      <c r="H640" s="8" t="str">
        <f t="shared" si="159"/>
        <v>Not</v>
      </c>
      <c r="I640" s="8" t="str">
        <f t="shared" si="169"/>
        <v>no</v>
      </c>
      <c r="J640" s="10" t="str">
        <f t="shared" si="160"/>
        <v>no</v>
      </c>
      <c r="K640" s="10" t="str">
        <f t="shared" si="161"/>
        <v>no</v>
      </c>
      <c r="L640" t="s">
        <v>198</v>
      </c>
      <c r="M640">
        <v>10488</v>
      </c>
      <c r="N640">
        <v>73</v>
      </c>
      <c r="O640" t="s">
        <v>730</v>
      </c>
      <c r="P640" t="str">
        <f t="shared" si="162"/>
        <v>FRANK_10488_Röd Kaviar</v>
      </c>
      <c r="Q640" t="str">
        <f t="shared" si="163"/>
        <v>10488</v>
      </c>
      <c r="R640" t="str">
        <f t="shared" si="164"/>
        <v>10488</v>
      </c>
      <c r="S640" t="str">
        <f t="shared" si="165"/>
        <v>Röd Kaviar</v>
      </c>
      <c r="T640">
        <v>12</v>
      </c>
      <c r="U640">
        <v>20</v>
      </c>
      <c r="V640">
        <v>0.2</v>
      </c>
      <c r="W640">
        <f t="shared" si="166"/>
        <v>192</v>
      </c>
      <c r="X640" t="str">
        <f t="shared" si="167"/>
        <v>No</v>
      </c>
      <c r="Y640" s="2">
        <v>34816</v>
      </c>
      <c r="Z640" t="str">
        <f t="shared" si="153"/>
        <v/>
      </c>
      <c r="AA640" t="str">
        <f t="shared" si="168"/>
        <v/>
      </c>
      <c r="AB640" t="str" cm="1">
        <f t="array" ref="AB640">_xlfn.IFS(Y640&lt;DATE(1996,1,1),"",Y640&lt;DATE(1996,4,1),"Q1",Y640&lt;DATE(1996,7,1),"Q2",Y640&gt;=DATE(1996,7,1),"")</f>
        <v/>
      </c>
    </row>
    <row r="641" spans="1:28" ht="14.4" x14ac:dyDescent="0.55000000000000004">
      <c r="A641" t="str">
        <f>VLOOKUP(L641,Customers!$A$2:$B$92,2,FALSE)</f>
        <v>Piccolo und mehr</v>
      </c>
      <c r="B641" t="str">
        <f>VLOOKUP(L641,Customers!$A$2:$C$92,3,TRUE)</f>
        <v>Georg Pipps</v>
      </c>
      <c r="C641" t="str">
        <f t="shared" si="154"/>
        <v>Georg</v>
      </c>
      <c r="D641" s="8" t="str">
        <f t="shared" si="155"/>
        <v>Pipps</v>
      </c>
      <c r="E641" s="8" t="str">
        <f t="shared" si="156"/>
        <v>Pipps, Georg</v>
      </c>
      <c r="F641" s="8" t="str">
        <f t="shared" si="157"/>
        <v>Pipps, Georg</v>
      </c>
      <c r="G641" s="8" t="str">
        <f t="shared" si="158"/>
        <v>not an outlier</v>
      </c>
      <c r="H641" s="8" t="str">
        <f t="shared" si="159"/>
        <v>Not</v>
      </c>
      <c r="I641" s="8" t="str">
        <f t="shared" si="169"/>
        <v>no</v>
      </c>
      <c r="J641" s="10" t="str">
        <f t="shared" si="160"/>
        <v>no</v>
      </c>
      <c r="K641" s="10" t="str">
        <f t="shared" si="161"/>
        <v>no</v>
      </c>
      <c r="L641" t="s">
        <v>450</v>
      </c>
      <c r="M641">
        <v>10489</v>
      </c>
      <c r="N641">
        <v>11</v>
      </c>
      <c r="O641" t="s">
        <v>683</v>
      </c>
      <c r="P641" t="str">
        <f t="shared" si="162"/>
        <v>PICCO_10489_Queso Cabrales</v>
      </c>
      <c r="Q641" t="str">
        <f t="shared" si="163"/>
        <v>10489</v>
      </c>
      <c r="R641" t="str">
        <f t="shared" si="164"/>
        <v>10489</v>
      </c>
      <c r="S641" t="str">
        <f t="shared" si="165"/>
        <v>Queso Cabrales</v>
      </c>
      <c r="T641">
        <v>16.8</v>
      </c>
      <c r="U641">
        <v>15</v>
      </c>
      <c r="V641">
        <v>0.25</v>
      </c>
      <c r="W641">
        <f t="shared" si="166"/>
        <v>189</v>
      </c>
      <c r="X641" t="str">
        <f t="shared" si="167"/>
        <v>No</v>
      </c>
      <c r="Y641" s="2">
        <v>34817</v>
      </c>
      <c r="Z641" t="str">
        <f t="shared" ref="Z641:Z704" si="170">IF(Y641&gt;=DATE(1996,1,1), IF(Y641&lt;DATE(1996,4,1),"1st Q 1996",""),"")</f>
        <v/>
      </c>
      <c r="AA641" t="str">
        <f t="shared" si="168"/>
        <v/>
      </c>
      <c r="AB641" t="str" cm="1">
        <f t="array" ref="AB641">_xlfn.IFS(Y641&lt;DATE(1996,1,1),"",Y641&lt;DATE(1996,4,1),"Q1",Y641&lt;DATE(1996,7,1),"Q2",Y641&gt;=DATE(1996,7,1),"")</f>
        <v/>
      </c>
    </row>
    <row r="642" spans="1:28" ht="14.4" x14ac:dyDescent="0.55000000000000004">
      <c r="A642" t="str">
        <f>VLOOKUP(L642,Customers!$A$2:$B$92,2,FALSE)</f>
        <v>Piccolo und mehr</v>
      </c>
      <c r="B642" t="str">
        <f>VLOOKUP(L642,Customers!$A$2:$C$92,3,TRUE)</f>
        <v>Georg Pipps</v>
      </c>
      <c r="C642" t="str">
        <f t="shared" si="154"/>
        <v>Georg</v>
      </c>
      <c r="D642" s="8" t="str">
        <f t="shared" si="155"/>
        <v>Pipps</v>
      </c>
      <c r="E642" s="8" t="str">
        <f t="shared" si="156"/>
        <v>Pipps, Georg</v>
      </c>
      <c r="F642" s="8" t="str">
        <f t="shared" si="157"/>
        <v>Pipps, Georg</v>
      </c>
      <c r="G642" s="8" t="str">
        <f t="shared" si="158"/>
        <v>not an outlier</v>
      </c>
      <c r="H642" s="8" t="str">
        <f t="shared" si="159"/>
        <v>Not</v>
      </c>
      <c r="I642" s="8" t="str">
        <f t="shared" si="169"/>
        <v>no</v>
      </c>
      <c r="J642" s="10" t="str">
        <f t="shared" si="160"/>
        <v>no</v>
      </c>
      <c r="K642" s="10" t="str">
        <f t="shared" si="161"/>
        <v>no</v>
      </c>
      <c r="L642" t="s">
        <v>450</v>
      </c>
      <c r="M642">
        <v>10489</v>
      </c>
      <c r="N642">
        <v>16</v>
      </c>
      <c r="O642" t="s">
        <v>702</v>
      </c>
      <c r="P642" t="str">
        <f t="shared" si="162"/>
        <v>PICCO_10489_Pavlova</v>
      </c>
      <c r="Q642" t="str">
        <f t="shared" si="163"/>
        <v>10489</v>
      </c>
      <c r="R642" t="str">
        <f t="shared" si="164"/>
        <v>10489</v>
      </c>
      <c r="S642" t="str">
        <f t="shared" si="165"/>
        <v>Pavlova</v>
      </c>
      <c r="T642">
        <v>13.9</v>
      </c>
      <c r="U642">
        <v>18</v>
      </c>
      <c r="V642">
        <v>0</v>
      </c>
      <c r="W642">
        <f t="shared" si="166"/>
        <v>250.20000000000002</v>
      </c>
      <c r="X642" t="str">
        <f t="shared" si="167"/>
        <v>No</v>
      </c>
      <c r="Y642" s="2">
        <v>34817</v>
      </c>
      <c r="Z642" t="str">
        <f t="shared" si="170"/>
        <v/>
      </c>
      <c r="AA642" t="str">
        <f t="shared" si="168"/>
        <v/>
      </c>
      <c r="AB642" t="str" cm="1">
        <f t="array" ref="AB642">_xlfn.IFS(Y642&lt;DATE(1996,1,1),"",Y642&lt;DATE(1996,4,1),"Q1",Y642&lt;DATE(1996,7,1),"Q2",Y642&gt;=DATE(1996,7,1),"")</f>
        <v/>
      </c>
    </row>
    <row r="643" spans="1:28" ht="14.4" x14ac:dyDescent="0.55000000000000004">
      <c r="A643" t="str">
        <f>VLOOKUP(L643,Customers!$A$2:$B$92,2,FALSE)</f>
        <v>HILARIÓN-Abastos</v>
      </c>
      <c r="B643" t="str">
        <f>VLOOKUP(L643,Customers!$A$2:$C$92,3,TRUE)</f>
        <v>Carlos Hernández</v>
      </c>
      <c r="C643" t="str">
        <f t="shared" ref="C643:C706" si="171">LEFT(B643,FIND(" ",B643)-1)</f>
        <v>Carlos</v>
      </c>
      <c r="D643" s="8" t="str">
        <f t="shared" ref="D643:D706" si="172">RIGHT(B643,LEN(B643)-FIND(" ",B643))</f>
        <v>Hernández</v>
      </c>
      <c r="E643" s="8" t="str">
        <f t="shared" ref="E643:E706" si="173">_xlfn.CONCAT(D643,", ",C643)</f>
        <v>Hernández, Carlos</v>
      </c>
      <c r="F643" s="8" t="str">
        <f t="shared" ref="F643:F706" si="174">D643&amp;", "&amp;C643</f>
        <v>Hernández, Carlos</v>
      </c>
      <c r="G643" s="8" t="str">
        <f t="shared" ref="G643:G706" si="175">IF(OR(W643&gt;$W$2166,W643&lt;$W$2167),"outlier","not an outlier")</f>
        <v>not an outlier</v>
      </c>
      <c r="H643" s="8" t="str">
        <f t="shared" ref="H643:H706" si="176">IF(OR(W643&gt;$W$2166,W643&lt;$W$2167),"outlier",IF(OR(W643&gt;$W$2168,W643&lt;$W$2169),"moderate","Not"))</f>
        <v>moderate</v>
      </c>
      <c r="I643" s="8" t="str">
        <f t="shared" si="169"/>
        <v>no</v>
      </c>
      <c r="J643" s="10" t="str">
        <f t="shared" ref="J643:J706" si="177">IF(AND(W643&lt;=$W$2166,W643&gt;=$W$2167),"no","yes")</f>
        <v>no</v>
      </c>
      <c r="K643" s="10" t="str">
        <f t="shared" ref="K643:K706" si="178">IF(OR(W643&gt;$W$2166,W643&lt;$W$2167),"yes",IF(OR(W643&gt;$W$2168,W643&lt;$W$2169),"moderate","no"))</f>
        <v>moderate</v>
      </c>
      <c r="L643" t="s">
        <v>273</v>
      </c>
      <c r="M643">
        <v>10490</v>
      </c>
      <c r="N643">
        <v>59</v>
      </c>
      <c r="O643" t="s">
        <v>704</v>
      </c>
      <c r="P643" t="str">
        <f t="shared" ref="P643:P706" si="179">L643&amp;"_"&amp;M643&amp;"_"&amp;O643</f>
        <v>HILAA_10490_Raclette Courdavault</v>
      </c>
      <c r="Q643" t="str">
        <f t="shared" ref="Q643:Q706" si="180">LEFT(RIGHT(P643,LEN(P643)-FIND("_",P643)), FIND("_",P643)-1)</f>
        <v>10490</v>
      </c>
      <c r="R643" t="str">
        <f t="shared" ref="R643:R706" si="181">MID(P643,FIND("_",P643)+1,FIND("_",P643,FIND("_",P643))-1)</f>
        <v>10490</v>
      </c>
      <c r="S643" t="str">
        <f t="shared" ref="S643:S706" si="182">MID(P643,FIND("_",P643,FIND("_",P643)+1)+1,LEN(P643))</f>
        <v>Raclette Courdavault</v>
      </c>
      <c r="T643">
        <v>44</v>
      </c>
      <c r="U643">
        <v>60</v>
      </c>
      <c r="V643">
        <v>0</v>
      </c>
      <c r="W643">
        <f t="shared" ref="W643:W706" si="183">T643*U643*(1-V643)</f>
        <v>2640</v>
      </c>
      <c r="X643" t="str">
        <f t="shared" ref="X643:X706" si="184">IF(YEAR(Y643)&gt;=1996,"yes","No")</f>
        <v>No</v>
      </c>
      <c r="Y643" s="2">
        <v>34820</v>
      </c>
      <c r="Z643" t="str">
        <f t="shared" si="170"/>
        <v/>
      </c>
      <c r="AA643" t="str">
        <f t="shared" ref="AA643:AA706" si="185">IF(Y643&lt;DATE(1996,1,1),"", IF(Y643&lt;DATE(1996,4,1),"1st Q 1996",IF(Y643&lt;DATE(1996,7,1),"2nd Q 1996","")))</f>
        <v/>
      </c>
      <c r="AB643" t="str" cm="1">
        <f t="array" ref="AB643">_xlfn.IFS(Y643&lt;DATE(1996,1,1),"",Y643&lt;DATE(1996,4,1),"Q1",Y643&lt;DATE(1996,7,1),"Q2",Y643&gt;=DATE(1996,7,1),"")</f>
        <v/>
      </c>
    </row>
    <row r="644" spans="1:28" ht="14.4" x14ac:dyDescent="0.55000000000000004">
      <c r="A644" t="str">
        <f>VLOOKUP(L644,Customers!$A$2:$B$92,2,FALSE)</f>
        <v>HILARIÓN-Abastos</v>
      </c>
      <c r="B644" t="str">
        <f>VLOOKUP(L644,Customers!$A$2:$C$92,3,TRUE)</f>
        <v>Carlos Hernández</v>
      </c>
      <c r="C644" t="str">
        <f t="shared" si="171"/>
        <v>Carlos</v>
      </c>
      <c r="D644" s="8" t="str">
        <f t="shared" si="172"/>
        <v>Hernández</v>
      </c>
      <c r="E644" s="8" t="str">
        <f t="shared" si="173"/>
        <v>Hernández, Carlos</v>
      </c>
      <c r="F644" s="8" t="str">
        <f t="shared" si="174"/>
        <v>Hernández, Carlos</v>
      </c>
      <c r="G644" s="8" t="str">
        <f t="shared" si="175"/>
        <v>not an outlier</v>
      </c>
      <c r="H644" s="8" t="str">
        <f t="shared" si="176"/>
        <v>Not</v>
      </c>
      <c r="I644" s="8" t="str">
        <f t="shared" ref="I644:I707" si="186">IF(OR(W644&gt;$W$2166,W644&lt;$W$2167),"yes","no")</f>
        <v>no</v>
      </c>
      <c r="J644" s="10" t="str">
        <f t="shared" si="177"/>
        <v>no</v>
      </c>
      <c r="K644" s="10" t="str">
        <f t="shared" si="178"/>
        <v>no</v>
      </c>
      <c r="L644" t="s">
        <v>273</v>
      </c>
      <c r="M644">
        <v>10490</v>
      </c>
      <c r="N644">
        <v>68</v>
      </c>
      <c r="O644" t="s">
        <v>739</v>
      </c>
      <c r="P644" t="str">
        <f t="shared" si="179"/>
        <v>HILAA_10490_Scottish Longbreads</v>
      </c>
      <c r="Q644" t="str">
        <f t="shared" si="180"/>
        <v>10490</v>
      </c>
      <c r="R644" t="str">
        <f t="shared" si="181"/>
        <v>10490</v>
      </c>
      <c r="S644" t="str">
        <f t="shared" si="182"/>
        <v>Scottish Longbreads</v>
      </c>
      <c r="T644">
        <v>10</v>
      </c>
      <c r="U644">
        <v>30</v>
      </c>
      <c r="V644">
        <v>0</v>
      </c>
      <c r="W644">
        <f t="shared" si="183"/>
        <v>300</v>
      </c>
      <c r="X644" t="str">
        <f t="shared" si="184"/>
        <v>No</v>
      </c>
      <c r="Y644" s="2">
        <v>34820</v>
      </c>
      <c r="Z644" t="str">
        <f t="shared" si="170"/>
        <v/>
      </c>
      <c r="AA644" t="str">
        <f t="shared" si="185"/>
        <v/>
      </c>
      <c r="AB644" t="str" cm="1">
        <f t="array" ref="AB644">_xlfn.IFS(Y644&lt;DATE(1996,1,1),"",Y644&lt;DATE(1996,4,1),"Q1",Y644&lt;DATE(1996,7,1),"Q2",Y644&gt;=DATE(1996,7,1),"")</f>
        <v/>
      </c>
    </row>
    <row r="645" spans="1:28" ht="14.4" x14ac:dyDescent="0.55000000000000004">
      <c r="A645" t="str">
        <f>VLOOKUP(L645,Customers!$A$2:$B$92,2,FALSE)</f>
        <v>HILARIÓN-Abastos</v>
      </c>
      <c r="B645" t="str">
        <f>VLOOKUP(L645,Customers!$A$2:$C$92,3,TRUE)</f>
        <v>Carlos Hernández</v>
      </c>
      <c r="C645" t="str">
        <f t="shared" si="171"/>
        <v>Carlos</v>
      </c>
      <c r="D645" s="8" t="str">
        <f t="shared" si="172"/>
        <v>Hernández</v>
      </c>
      <c r="E645" s="8" t="str">
        <f t="shared" si="173"/>
        <v>Hernández, Carlos</v>
      </c>
      <c r="F645" s="8" t="str">
        <f t="shared" si="174"/>
        <v>Hernández, Carlos</v>
      </c>
      <c r="G645" s="8" t="str">
        <f t="shared" si="175"/>
        <v>not an outlier</v>
      </c>
      <c r="H645" s="8" t="str">
        <f t="shared" si="176"/>
        <v>Not</v>
      </c>
      <c r="I645" s="8" t="str">
        <f t="shared" si="186"/>
        <v>no</v>
      </c>
      <c r="J645" s="10" t="str">
        <f t="shared" si="177"/>
        <v>no</v>
      </c>
      <c r="K645" s="10" t="str">
        <f t="shared" si="178"/>
        <v>no</v>
      </c>
      <c r="L645" t="s">
        <v>273</v>
      </c>
      <c r="M645">
        <v>10490</v>
      </c>
      <c r="N645">
        <v>75</v>
      </c>
      <c r="O645" t="s">
        <v>731</v>
      </c>
      <c r="P645" t="str">
        <f t="shared" si="179"/>
        <v>HILAA_10490_Rhönbräu Klosterbier</v>
      </c>
      <c r="Q645" t="str">
        <f t="shared" si="180"/>
        <v>10490</v>
      </c>
      <c r="R645" t="str">
        <f t="shared" si="181"/>
        <v>10490</v>
      </c>
      <c r="S645" t="str">
        <f t="shared" si="182"/>
        <v>Rhönbräu Klosterbier</v>
      </c>
      <c r="T645">
        <v>6.2</v>
      </c>
      <c r="U645">
        <v>36</v>
      </c>
      <c r="V645">
        <v>0</v>
      </c>
      <c r="W645">
        <f t="shared" si="183"/>
        <v>223.20000000000002</v>
      </c>
      <c r="X645" t="str">
        <f t="shared" si="184"/>
        <v>No</v>
      </c>
      <c r="Y645" s="2">
        <v>34820</v>
      </c>
      <c r="Z645" t="str">
        <f t="shared" si="170"/>
        <v/>
      </c>
      <c r="AA645" t="str">
        <f t="shared" si="185"/>
        <v/>
      </c>
      <c r="AB645" t="str" cm="1">
        <f t="array" ref="AB645">_xlfn.IFS(Y645&lt;DATE(1996,1,1),"",Y645&lt;DATE(1996,4,1),"Q1",Y645&lt;DATE(1996,7,1),"Q2",Y645&gt;=DATE(1996,7,1),"")</f>
        <v/>
      </c>
    </row>
    <row r="646" spans="1:28" ht="14.4" x14ac:dyDescent="0.55000000000000004">
      <c r="A646" t="str">
        <f>VLOOKUP(L646,Customers!$A$2:$B$92,2,FALSE)</f>
        <v>Furia Bacalhau e Frutos do Mar</v>
      </c>
      <c r="B646" t="str">
        <f>VLOOKUP(L646,Customers!$A$2:$C$92,3,TRUE)</f>
        <v>Lino Rodriguez</v>
      </c>
      <c r="C646" t="str">
        <f t="shared" si="171"/>
        <v>Lino</v>
      </c>
      <c r="D646" s="8" t="str">
        <f t="shared" si="172"/>
        <v>Rodriguez</v>
      </c>
      <c r="E646" s="8" t="str">
        <f t="shared" si="173"/>
        <v>Rodriguez, Lino</v>
      </c>
      <c r="F646" s="8" t="str">
        <f t="shared" si="174"/>
        <v>Rodriguez, Lino</v>
      </c>
      <c r="G646" s="8" t="str">
        <f t="shared" si="175"/>
        <v>not an outlier</v>
      </c>
      <c r="H646" s="8" t="str">
        <f t="shared" si="176"/>
        <v>Not</v>
      </c>
      <c r="I646" s="8" t="str">
        <f t="shared" si="186"/>
        <v>no</v>
      </c>
      <c r="J646" s="10" t="str">
        <f t="shared" si="177"/>
        <v>no</v>
      </c>
      <c r="K646" s="10" t="str">
        <f t="shared" si="178"/>
        <v>no</v>
      </c>
      <c r="L646" t="s">
        <v>219</v>
      </c>
      <c r="M646">
        <v>10491</v>
      </c>
      <c r="N646">
        <v>44</v>
      </c>
      <c r="O646" t="s">
        <v>728</v>
      </c>
      <c r="P646" t="str">
        <f t="shared" si="179"/>
        <v>FURIB_10491_Gula Malacca</v>
      </c>
      <c r="Q646" t="str">
        <f t="shared" si="180"/>
        <v>10491</v>
      </c>
      <c r="R646" t="str">
        <f t="shared" si="181"/>
        <v>10491</v>
      </c>
      <c r="S646" t="str">
        <f t="shared" si="182"/>
        <v>Gula Malacca</v>
      </c>
      <c r="T646">
        <v>15.5</v>
      </c>
      <c r="U646">
        <v>15</v>
      </c>
      <c r="V646">
        <v>0.15</v>
      </c>
      <c r="W646">
        <f t="shared" si="183"/>
        <v>197.625</v>
      </c>
      <c r="X646" t="str">
        <f t="shared" si="184"/>
        <v>No</v>
      </c>
      <c r="Y646" s="2">
        <v>34820</v>
      </c>
      <c r="Z646" t="str">
        <f t="shared" si="170"/>
        <v/>
      </c>
      <c r="AA646" t="str">
        <f t="shared" si="185"/>
        <v/>
      </c>
      <c r="AB646" t="str" cm="1">
        <f t="array" ref="AB646">_xlfn.IFS(Y646&lt;DATE(1996,1,1),"",Y646&lt;DATE(1996,4,1),"Q1",Y646&lt;DATE(1996,7,1),"Q2",Y646&gt;=DATE(1996,7,1),"")</f>
        <v/>
      </c>
    </row>
    <row r="647" spans="1:28" ht="14.4" x14ac:dyDescent="0.55000000000000004">
      <c r="A647" t="str">
        <f>VLOOKUP(L647,Customers!$A$2:$B$92,2,FALSE)</f>
        <v>Furia Bacalhau e Frutos do Mar</v>
      </c>
      <c r="B647" t="str">
        <f>VLOOKUP(L647,Customers!$A$2:$C$92,3,TRUE)</f>
        <v>Lino Rodriguez</v>
      </c>
      <c r="C647" t="str">
        <f t="shared" si="171"/>
        <v>Lino</v>
      </c>
      <c r="D647" s="8" t="str">
        <f t="shared" si="172"/>
        <v>Rodriguez</v>
      </c>
      <c r="E647" s="8" t="str">
        <f t="shared" si="173"/>
        <v>Rodriguez, Lino</v>
      </c>
      <c r="F647" s="8" t="str">
        <f t="shared" si="174"/>
        <v>Rodriguez, Lino</v>
      </c>
      <c r="G647" s="8" t="str">
        <f t="shared" si="175"/>
        <v>not an outlier</v>
      </c>
      <c r="H647" s="8" t="str">
        <f t="shared" si="176"/>
        <v>Not</v>
      </c>
      <c r="I647" s="8" t="str">
        <f t="shared" si="186"/>
        <v>no</v>
      </c>
      <c r="J647" s="10" t="str">
        <f t="shared" si="177"/>
        <v>no</v>
      </c>
      <c r="K647" s="10" t="str">
        <f t="shared" si="178"/>
        <v>no</v>
      </c>
      <c r="L647" t="s">
        <v>219</v>
      </c>
      <c r="M647">
        <v>10491</v>
      </c>
      <c r="N647">
        <v>77</v>
      </c>
      <c r="O647" t="s">
        <v>706</v>
      </c>
      <c r="P647" t="str">
        <f t="shared" si="179"/>
        <v>FURIB_10491_Original Frankfurter grüne Soße</v>
      </c>
      <c r="Q647" t="str">
        <f t="shared" si="180"/>
        <v>10491</v>
      </c>
      <c r="R647" t="str">
        <f t="shared" si="181"/>
        <v>10491</v>
      </c>
      <c r="S647" t="str">
        <f t="shared" si="182"/>
        <v>Original Frankfurter grüne Soße</v>
      </c>
      <c r="T647">
        <v>10.4</v>
      </c>
      <c r="U647">
        <v>7</v>
      </c>
      <c r="V647">
        <v>0.15</v>
      </c>
      <c r="W647">
        <f t="shared" si="183"/>
        <v>61.879999999999995</v>
      </c>
      <c r="X647" t="str">
        <f t="shared" si="184"/>
        <v>No</v>
      </c>
      <c r="Y647" s="2">
        <v>34820</v>
      </c>
      <c r="Z647" t="str">
        <f t="shared" si="170"/>
        <v/>
      </c>
      <c r="AA647" t="str">
        <f t="shared" si="185"/>
        <v/>
      </c>
      <c r="AB647" t="str" cm="1">
        <f t="array" ref="AB647">_xlfn.IFS(Y647&lt;DATE(1996,1,1),"",Y647&lt;DATE(1996,4,1),"Q1",Y647&lt;DATE(1996,7,1),"Q2",Y647&gt;=DATE(1996,7,1),"")</f>
        <v/>
      </c>
    </row>
    <row r="648" spans="1:28" ht="14.4" x14ac:dyDescent="0.55000000000000004">
      <c r="A648" t="str">
        <f>VLOOKUP(L648,Customers!$A$2:$B$92,2,FALSE)</f>
        <v>Bottom-Dollar Markets</v>
      </c>
      <c r="B648" t="str">
        <f>VLOOKUP(L648,Customers!$A$2:$C$92,3,TRUE)</f>
        <v>Elizabeth Lincoln</v>
      </c>
      <c r="C648" t="str">
        <f t="shared" si="171"/>
        <v>Elizabeth</v>
      </c>
      <c r="D648" s="8" t="str">
        <f t="shared" si="172"/>
        <v>Lincoln</v>
      </c>
      <c r="E648" s="8" t="str">
        <f t="shared" si="173"/>
        <v>Lincoln, Elizabeth</v>
      </c>
      <c r="F648" s="8" t="str">
        <f t="shared" si="174"/>
        <v>Lincoln, Elizabeth</v>
      </c>
      <c r="G648" s="8" t="str">
        <f t="shared" si="175"/>
        <v>not an outlier</v>
      </c>
      <c r="H648" s="8" t="str">
        <f t="shared" si="176"/>
        <v>Not</v>
      </c>
      <c r="I648" s="8" t="str">
        <f t="shared" si="186"/>
        <v>no</v>
      </c>
      <c r="J648" s="10" t="str">
        <f t="shared" si="177"/>
        <v>no</v>
      </c>
      <c r="K648" s="10" t="str">
        <f t="shared" si="178"/>
        <v>no</v>
      </c>
      <c r="L648" t="s">
        <v>84</v>
      </c>
      <c r="M648">
        <v>10492</v>
      </c>
      <c r="N648">
        <v>25</v>
      </c>
      <c r="O648" t="s">
        <v>749</v>
      </c>
      <c r="P648" t="str">
        <f t="shared" si="179"/>
        <v>BOTTM_10492_NuNuCa Nuß-Nougat-Creme</v>
      </c>
      <c r="Q648" t="str">
        <f t="shared" si="180"/>
        <v>10492</v>
      </c>
      <c r="R648" t="str">
        <f t="shared" si="181"/>
        <v>10492</v>
      </c>
      <c r="S648" t="str">
        <f t="shared" si="182"/>
        <v>NuNuCa Nuß-Nougat-Creme</v>
      </c>
      <c r="T648">
        <v>11.2</v>
      </c>
      <c r="U648">
        <v>60</v>
      </c>
      <c r="V648">
        <v>0.05</v>
      </c>
      <c r="W648">
        <f t="shared" si="183"/>
        <v>638.4</v>
      </c>
      <c r="X648" t="str">
        <f t="shared" si="184"/>
        <v>No</v>
      </c>
      <c r="Y648" s="2">
        <v>34821</v>
      </c>
      <c r="Z648" t="str">
        <f t="shared" si="170"/>
        <v/>
      </c>
      <c r="AA648" t="str">
        <f t="shared" si="185"/>
        <v/>
      </c>
      <c r="AB648" t="str" cm="1">
        <f t="array" ref="AB648">_xlfn.IFS(Y648&lt;DATE(1996,1,1),"",Y648&lt;DATE(1996,4,1),"Q1",Y648&lt;DATE(1996,7,1),"Q2",Y648&gt;=DATE(1996,7,1),"")</f>
        <v/>
      </c>
    </row>
    <row r="649" spans="1:28" ht="14.4" x14ac:dyDescent="0.55000000000000004">
      <c r="A649" t="str">
        <f>VLOOKUP(L649,Customers!$A$2:$B$92,2,FALSE)</f>
        <v>Bottom-Dollar Markets</v>
      </c>
      <c r="B649" t="str">
        <f>VLOOKUP(L649,Customers!$A$2:$C$92,3,TRUE)</f>
        <v>Elizabeth Lincoln</v>
      </c>
      <c r="C649" t="str">
        <f t="shared" si="171"/>
        <v>Elizabeth</v>
      </c>
      <c r="D649" s="8" t="str">
        <f t="shared" si="172"/>
        <v>Lincoln</v>
      </c>
      <c r="E649" s="8" t="str">
        <f t="shared" si="173"/>
        <v>Lincoln, Elizabeth</v>
      </c>
      <c r="F649" s="8" t="str">
        <f t="shared" si="174"/>
        <v>Lincoln, Elizabeth</v>
      </c>
      <c r="G649" s="8" t="str">
        <f t="shared" si="175"/>
        <v>not an outlier</v>
      </c>
      <c r="H649" s="8" t="str">
        <f t="shared" si="176"/>
        <v>Not</v>
      </c>
      <c r="I649" s="8" t="str">
        <f t="shared" si="186"/>
        <v>no</v>
      </c>
      <c r="J649" s="10" t="str">
        <f t="shared" si="177"/>
        <v>no</v>
      </c>
      <c r="K649" s="10" t="str">
        <f t="shared" si="178"/>
        <v>no</v>
      </c>
      <c r="L649" t="s">
        <v>84</v>
      </c>
      <c r="M649">
        <v>10492</v>
      </c>
      <c r="N649">
        <v>42</v>
      </c>
      <c r="O649" t="s">
        <v>684</v>
      </c>
      <c r="P649" t="str">
        <f t="shared" si="179"/>
        <v>BOTTM_10492_Singaporean Hokkien Fried Mee</v>
      </c>
      <c r="Q649" t="str">
        <f t="shared" si="180"/>
        <v>10492</v>
      </c>
      <c r="R649" t="str">
        <f t="shared" si="181"/>
        <v>10492</v>
      </c>
      <c r="S649" t="str">
        <f t="shared" si="182"/>
        <v>Singaporean Hokkien Fried Mee</v>
      </c>
      <c r="T649">
        <v>11.2</v>
      </c>
      <c r="U649">
        <v>20</v>
      </c>
      <c r="V649">
        <v>0.05</v>
      </c>
      <c r="W649">
        <f t="shared" si="183"/>
        <v>212.79999999999998</v>
      </c>
      <c r="X649" t="str">
        <f t="shared" si="184"/>
        <v>No</v>
      </c>
      <c r="Y649" s="2">
        <v>34821</v>
      </c>
      <c r="Z649" t="str">
        <f t="shared" si="170"/>
        <v/>
      </c>
      <c r="AA649" t="str">
        <f t="shared" si="185"/>
        <v/>
      </c>
      <c r="AB649" t="str" cm="1">
        <f t="array" ref="AB649">_xlfn.IFS(Y649&lt;DATE(1996,1,1),"",Y649&lt;DATE(1996,4,1),"Q1",Y649&lt;DATE(1996,7,1),"Q2",Y649&gt;=DATE(1996,7,1),"")</f>
        <v/>
      </c>
    </row>
    <row r="650" spans="1:28" ht="14.4" x14ac:dyDescent="0.55000000000000004">
      <c r="A650" t="str">
        <f>VLOOKUP(L650,Customers!$A$2:$B$92,2,FALSE)</f>
        <v>La maison d'Asie</v>
      </c>
      <c r="B650" t="str">
        <f>VLOOKUP(L650,Customers!$A$2:$C$92,3,TRUE)</f>
        <v>Annette Roulet</v>
      </c>
      <c r="C650" t="str">
        <f t="shared" si="171"/>
        <v>Annette</v>
      </c>
      <c r="D650" s="8" t="str">
        <f t="shared" si="172"/>
        <v>Roulet</v>
      </c>
      <c r="E650" s="8" t="str">
        <f t="shared" si="173"/>
        <v>Roulet, Annette</v>
      </c>
      <c r="F650" s="8" t="str">
        <f t="shared" si="174"/>
        <v>Roulet, Annette</v>
      </c>
      <c r="G650" s="8" t="str">
        <f t="shared" si="175"/>
        <v>not an outlier</v>
      </c>
      <c r="H650" s="8" t="str">
        <f t="shared" si="176"/>
        <v>Not</v>
      </c>
      <c r="I650" s="8" t="str">
        <f t="shared" si="186"/>
        <v>no</v>
      </c>
      <c r="J650" s="10" t="str">
        <f t="shared" si="177"/>
        <v>no</v>
      </c>
      <c r="K650" s="10" t="str">
        <f t="shared" si="178"/>
        <v>no</v>
      </c>
      <c r="L650" t="s">
        <v>318</v>
      </c>
      <c r="M650">
        <v>10493</v>
      </c>
      <c r="N650">
        <v>65</v>
      </c>
      <c r="O650" t="s">
        <v>689</v>
      </c>
      <c r="P650" t="str">
        <f t="shared" si="179"/>
        <v>LAMAI_10493_Louisiana Fiery Hot Pepper Sauce</v>
      </c>
      <c r="Q650" t="str">
        <f t="shared" si="180"/>
        <v>10493</v>
      </c>
      <c r="R650" t="str">
        <f t="shared" si="181"/>
        <v>10493</v>
      </c>
      <c r="S650" t="str">
        <f t="shared" si="182"/>
        <v>Louisiana Fiery Hot Pepper Sauce</v>
      </c>
      <c r="T650">
        <v>16.8</v>
      </c>
      <c r="U650">
        <v>15</v>
      </c>
      <c r="V650">
        <v>0.1</v>
      </c>
      <c r="W650">
        <f t="shared" si="183"/>
        <v>226.8</v>
      </c>
      <c r="X650" t="str">
        <f t="shared" si="184"/>
        <v>No</v>
      </c>
      <c r="Y650" s="2">
        <v>34822</v>
      </c>
      <c r="Z650" t="str">
        <f t="shared" si="170"/>
        <v/>
      </c>
      <c r="AA650" t="str">
        <f t="shared" si="185"/>
        <v/>
      </c>
      <c r="AB650" t="str" cm="1">
        <f t="array" ref="AB650">_xlfn.IFS(Y650&lt;DATE(1996,1,1),"",Y650&lt;DATE(1996,4,1),"Q1",Y650&lt;DATE(1996,7,1),"Q2",Y650&gt;=DATE(1996,7,1),"")</f>
        <v/>
      </c>
    </row>
    <row r="651" spans="1:28" ht="14.4" x14ac:dyDescent="0.55000000000000004">
      <c r="A651" t="str">
        <f>VLOOKUP(L651,Customers!$A$2:$B$92,2,FALSE)</f>
        <v>La maison d'Asie</v>
      </c>
      <c r="B651" t="str">
        <f>VLOOKUP(L651,Customers!$A$2:$C$92,3,TRUE)</f>
        <v>Annette Roulet</v>
      </c>
      <c r="C651" t="str">
        <f t="shared" si="171"/>
        <v>Annette</v>
      </c>
      <c r="D651" s="8" t="str">
        <f t="shared" si="172"/>
        <v>Roulet</v>
      </c>
      <c r="E651" s="8" t="str">
        <f t="shared" si="173"/>
        <v>Roulet, Annette</v>
      </c>
      <c r="F651" s="8" t="str">
        <f t="shared" si="174"/>
        <v>Roulet, Annette</v>
      </c>
      <c r="G651" s="8" t="str">
        <f t="shared" si="175"/>
        <v>not an outlier</v>
      </c>
      <c r="H651" s="8" t="str">
        <f t="shared" si="176"/>
        <v>Not</v>
      </c>
      <c r="I651" s="8" t="str">
        <f t="shared" si="186"/>
        <v>no</v>
      </c>
      <c r="J651" s="10" t="str">
        <f t="shared" si="177"/>
        <v>no</v>
      </c>
      <c r="K651" s="10" t="str">
        <f t="shared" si="178"/>
        <v>no</v>
      </c>
      <c r="L651" t="s">
        <v>318</v>
      </c>
      <c r="M651">
        <v>10493</v>
      </c>
      <c r="N651">
        <v>66</v>
      </c>
      <c r="O651" t="s">
        <v>744</v>
      </c>
      <c r="P651" t="str">
        <f t="shared" si="179"/>
        <v>LAMAI_10493_Louisiana Hot Spiced Okra</v>
      </c>
      <c r="Q651" t="str">
        <f t="shared" si="180"/>
        <v>10493</v>
      </c>
      <c r="R651" t="str">
        <f t="shared" si="181"/>
        <v>10493</v>
      </c>
      <c r="S651" t="str">
        <f t="shared" si="182"/>
        <v>Louisiana Hot Spiced Okra</v>
      </c>
      <c r="T651">
        <v>13.6</v>
      </c>
      <c r="U651">
        <v>10</v>
      </c>
      <c r="V651">
        <v>0.1</v>
      </c>
      <c r="W651">
        <f t="shared" si="183"/>
        <v>122.4</v>
      </c>
      <c r="X651" t="str">
        <f t="shared" si="184"/>
        <v>No</v>
      </c>
      <c r="Y651" s="2">
        <v>34822</v>
      </c>
      <c r="Z651" t="str">
        <f t="shared" si="170"/>
        <v/>
      </c>
      <c r="AA651" t="str">
        <f t="shared" si="185"/>
        <v/>
      </c>
      <c r="AB651" t="str" cm="1">
        <f t="array" ref="AB651">_xlfn.IFS(Y651&lt;DATE(1996,1,1),"",Y651&lt;DATE(1996,4,1),"Q1",Y651&lt;DATE(1996,7,1),"Q2",Y651&gt;=DATE(1996,7,1),"")</f>
        <v/>
      </c>
    </row>
    <row r="652" spans="1:28" ht="14.4" x14ac:dyDescent="0.55000000000000004">
      <c r="A652" t="str">
        <f>VLOOKUP(L652,Customers!$A$2:$B$92,2,FALSE)</f>
        <v>La maison d'Asie</v>
      </c>
      <c r="B652" t="str">
        <f>VLOOKUP(L652,Customers!$A$2:$C$92,3,TRUE)</f>
        <v>Annette Roulet</v>
      </c>
      <c r="C652" t="str">
        <f t="shared" si="171"/>
        <v>Annette</v>
      </c>
      <c r="D652" s="8" t="str">
        <f t="shared" si="172"/>
        <v>Roulet</v>
      </c>
      <c r="E652" s="8" t="str">
        <f t="shared" si="173"/>
        <v>Roulet, Annette</v>
      </c>
      <c r="F652" s="8" t="str">
        <f t="shared" si="174"/>
        <v>Roulet, Annette</v>
      </c>
      <c r="G652" s="8" t="str">
        <f t="shared" si="175"/>
        <v>not an outlier</v>
      </c>
      <c r="H652" s="8" t="str">
        <f t="shared" si="176"/>
        <v>Not</v>
      </c>
      <c r="I652" s="8" t="str">
        <f t="shared" si="186"/>
        <v>no</v>
      </c>
      <c r="J652" s="10" t="str">
        <f t="shared" si="177"/>
        <v>no</v>
      </c>
      <c r="K652" s="10" t="str">
        <f t="shared" si="178"/>
        <v>no</v>
      </c>
      <c r="L652" t="s">
        <v>318</v>
      </c>
      <c r="M652">
        <v>10493</v>
      </c>
      <c r="N652">
        <v>69</v>
      </c>
      <c r="O652" t="s">
        <v>743</v>
      </c>
      <c r="P652" t="str">
        <f t="shared" si="179"/>
        <v>LAMAI_10493_Gudbrandsdalsost</v>
      </c>
      <c r="Q652" t="str">
        <f t="shared" si="180"/>
        <v>10493</v>
      </c>
      <c r="R652" t="str">
        <f t="shared" si="181"/>
        <v>10493</v>
      </c>
      <c r="S652" t="str">
        <f t="shared" si="182"/>
        <v>Gudbrandsdalsost</v>
      </c>
      <c r="T652">
        <v>28.8</v>
      </c>
      <c r="U652">
        <v>10</v>
      </c>
      <c r="V652">
        <v>0.1</v>
      </c>
      <c r="W652">
        <f t="shared" si="183"/>
        <v>259.2</v>
      </c>
      <c r="X652" t="str">
        <f t="shared" si="184"/>
        <v>No</v>
      </c>
      <c r="Y652" s="2">
        <v>34822</v>
      </c>
      <c r="Z652" t="str">
        <f t="shared" si="170"/>
        <v/>
      </c>
      <c r="AA652" t="str">
        <f t="shared" si="185"/>
        <v/>
      </c>
      <c r="AB652" t="str" cm="1">
        <f t="array" ref="AB652">_xlfn.IFS(Y652&lt;DATE(1996,1,1),"",Y652&lt;DATE(1996,4,1),"Q1",Y652&lt;DATE(1996,7,1),"Q2",Y652&gt;=DATE(1996,7,1),"")</f>
        <v/>
      </c>
    </row>
    <row r="653" spans="1:28" ht="14.4" x14ac:dyDescent="0.55000000000000004">
      <c r="A653" t="str">
        <f>VLOOKUP(L653,Customers!$A$2:$B$92,2,FALSE)</f>
        <v>Comércio Mineiro</v>
      </c>
      <c r="B653" t="str">
        <f>VLOOKUP(L653,Customers!$A$2:$C$92,3,TRUE)</f>
        <v>Pedro Afonso</v>
      </c>
      <c r="C653" t="str">
        <f t="shared" si="171"/>
        <v>Pedro</v>
      </c>
      <c r="D653" s="8" t="str">
        <f t="shared" si="172"/>
        <v>Afonso</v>
      </c>
      <c r="E653" s="8" t="str">
        <f t="shared" si="173"/>
        <v>Afonso, Pedro</v>
      </c>
      <c r="F653" s="8" t="str">
        <f t="shared" si="174"/>
        <v>Afonso, Pedro</v>
      </c>
      <c r="G653" s="8" t="str">
        <f t="shared" si="175"/>
        <v>not an outlier</v>
      </c>
      <c r="H653" s="8" t="str">
        <f t="shared" si="176"/>
        <v>Not</v>
      </c>
      <c r="I653" s="8" t="str">
        <f t="shared" si="186"/>
        <v>no</v>
      </c>
      <c r="J653" s="10" t="str">
        <f t="shared" si="177"/>
        <v>no</v>
      </c>
      <c r="K653" s="10" t="str">
        <f t="shared" si="178"/>
        <v>no</v>
      </c>
      <c r="L653" t="s">
        <v>123</v>
      </c>
      <c r="M653">
        <v>10494</v>
      </c>
      <c r="N653">
        <v>56</v>
      </c>
      <c r="O653" t="s">
        <v>716</v>
      </c>
      <c r="P653" t="str">
        <f t="shared" si="179"/>
        <v>COMMI_10494_Gnocchi di nonna Alice</v>
      </c>
      <c r="Q653" t="str">
        <f t="shared" si="180"/>
        <v>10494</v>
      </c>
      <c r="R653" t="str">
        <f t="shared" si="181"/>
        <v>10494</v>
      </c>
      <c r="S653" t="str">
        <f t="shared" si="182"/>
        <v>Gnocchi di nonna Alice</v>
      </c>
      <c r="T653">
        <v>30.4</v>
      </c>
      <c r="U653">
        <v>30</v>
      </c>
      <c r="V653">
        <v>0</v>
      </c>
      <c r="W653">
        <f t="shared" si="183"/>
        <v>912</v>
      </c>
      <c r="X653" t="str">
        <f t="shared" si="184"/>
        <v>No</v>
      </c>
      <c r="Y653" s="2">
        <v>34822</v>
      </c>
      <c r="Z653" t="str">
        <f t="shared" si="170"/>
        <v/>
      </c>
      <c r="AA653" t="str">
        <f t="shared" si="185"/>
        <v/>
      </c>
      <c r="AB653" t="str" cm="1">
        <f t="array" ref="AB653">_xlfn.IFS(Y653&lt;DATE(1996,1,1),"",Y653&lt;DATE(1996,4,1),"Q1",Y653&lt;DATE(1996,7,1),"Q2",Y653&gt;=DATE(1996,7,1),"")</f>
        <v/>
      </c>
    </row>
    <row r="654" spans="1:28" ht="14.4" x14ac:dyDescent="0.55000000000000004">
      <c r="A654" t="str">
        <f>VLOOKUP(L654,Customers!$A$2:$B$92,2,FALSE)</f>
        <v>Laughing Bacchus Wine Cellars</v>
      </c>
      <c r="B654" t="str">
        <f>VLOOKUP(L654,Customers!$A$2:$C$92,3,TRUE)</f>
        <v>Yoshi Tannamuri</v>
      </c>
      <c r="C654" t="str">
        <f t="shared" si="171"/>
        <v>Yoshi</v>
      </c>
      <c r="D654" s="8" t="str">
        <f t="shared" si="172"/>
        <v>Tannamuri</v>
      </c>
      <c r="E654" s="8" t="str">
        <f t="shared" si="173"/>
        <v>Tannamuri, Yoshi</v>
      </c>
      <c r="F654" s="8" t="str">
        <f t="shared" si="174"/>
        <v>Tannamuri, Yoshi</v>
      </c>
      <c r="G654" s="8" t="str">
        <f t="shared" si="175"/>
        <v>not an outlier</v>
      </c>
      <c r="H654" s="8" t="str">
        <f t="shared" si="176"/>
        <v>Not</v>
      </c>
      <c r="I654" s="8" t="str">
        <f t="shared" si="186"/>
        <v>no</v>
      </c>
      <c r="J654" s="10" t="str">
        <f t="shared" si="177"/>
        <v>no</v>
      </c>
      <c r="K654" s="10" t="str">
        <f t="shared" si="178"/>
        <v>no</v>
      </c>
      <c r="L654" t="s">
        <v>325</v>
      </c>
      <c r="M654">
        <v>10495</v>
      </c>
      <c r="N654">
        <v>23</v>
      </c>
      <c r="O654" t="s">
        <v>753</v>
      </c>
      <c r="P654" t="str">
        <f t="shared" si="179"/>
        <v>LAUGB_10495_Tunnbröd</v>
      </c>
      <c r="Q654" t="str">
        <f t="shared" si="180"/>
        <v>10495</v>
      </c>
      <c r="R654" t="str">
        <f t="shared" si="181"/>
        <v>10495</v>
      </c>
      <c r="S654" t="str">
        <f t="shared" si="182"/>
        <v>Tunnbröd</v>
      </c>
      <c r="T654">
        <v>7.2</v>
      </c>
      <c r="U654">
        <v>10</v>
      </c>
      <c r="V654">
        <v>0</v>
      </c>
      <c r="W654">
        <f t="shared" si="183"/>
        <v>72</v>
      </c>
      <c r="X654" t="str">
        <f t="shared" si="184"/>
        <v>No</v>
      </c>
      <c r="Y654" s="2">
        <v>34823</v>
      </c>
      <c r="Z654" t="str">
        <f t="shared" si="170"/>
        <v/>
      </c>
      <c r="AA654" t="str">
        <f t="shared" si="185"/>
        <v/>
      </c>
      <c r="AB654" t="str" cm="1">
        <f t="array" ref="AB654">_xlfn.IFS(Y654&lt;DATE(1996,1,1),"",Y654&lt;DATE(1996,4,1),"Q1",Y654&lt;DATE(1996,7,1),"Q2",Y654&gt;=DATE(1996,7,1),"")</f>
        <v/>
      </c>
    </row>
    <row r="655" spans="1:28" ht="14.4" x14ac:dyDescent="0.55000000000000004">
      <c r="A655" t="str">
        <f>VLOOKUP(L655,Customers!$A$2:$B$92,2,FALSE)</f>
        <v>Laughing Bacchus Wine Cellars</v>
      </c>
      <c r="B655" t="str">
        <f>VLOOKUP(L655,Customers!$A$2:$C$92,3,TRUE)</f>
        <v>Yoshi Tannamuri</v>
      </c>
      <c r="C655" t="str">
        <f t="shared" si="171"/>
        <v>Yoshi</v>
      </c>
      <c r="D655" s="8" t="str">
        <f t="shared" si="172"/>
        <v>Tannamuri</v>
      </c>
      <c r="E655" s="8" t="str">
        <f t="shared" si="173"/>
        <v>Tannamuri, Yoshi</v>
      </c>
      <c r="F655" s="8" t="str">
        <f t="shared" si="174"/>
        <v>Tannamuri, Yoshi</v>
      </c>
      <c r="G655" s="8" t="str">
        <f t="shared" si="175"/>
        <v>not an outlier</v>
      </c>
      <c r="H655" s="8" t="str">
        <f t="shared" si="176"/>
        <v>Not</v>
      </c>
      <c r="I655" s="8" t="str">
        <f t="shared" si="186"/>
        <v>no</v>
      </c>
      <c r="J655" s="10" t="str">
        <f t="shared" si="177"/>
        <v>no</v>
      </c>
      <c r="K655" s="10" t="str">
        <f t="shared" si="178"/>
        <v>no</v>
      </c>
      <c r="L655" t="s">
        <v>325</v>
      </c>
      <c r="M655">
        <v>10495</v>
      </c>
      <c r="N655">
        <v>41</v>
      </c>
      <c r="O655" t="s">
        <v>688</v>
      </c>
      <c r="P655" t="str">
        <f t="shared" si="179"/>
        <v>LAUGB_10495_Jack's New England Clam Chowder</v>
      </c>
      <c r="Q655" t="str">
        <f t="shared" si="180"/>
        <v>10495</v>
      </c>
      <c r="R655" t="str">
        <f t="shared" si="181"/>
        <v>10495</v>
      </c>
      <c r="S655" t="str">
        <f t="shared" si="182"/>
        <v>Jack's New England Clam Chowder</v>
      </c>
      <c r="T655">
        <v>7.7</v>
      </c>
      <c r="U655">
        <v>20</v>
      </c>
      <c r="V655">
        <v>0</v>
      </c>
      <c r="W655">
        <f t="shared" si="183"/>
        <v>154</v>
      </c>
      <c r="X655" t="str">
        <f t="shared" si="184"/>
        <v>No</v>
      </c>
      <c r="Y655" s="2">
        <v>34823</v>
      </c>
      <c r="Z655" t="str">
        <f t="shared" si="170"/>
        <v/>
      </c>
      <c r="AA655" t="str">
        <f t="shared" si="185"/>
        <v/>
      </c>
      <c r="AB655" t="str" cm="1">
        <f t="array" ref="AB655">_xlfn.IFS(Y655&lt;DATE(1996,1,1),"",Y655&lt;DATE(1996,4,1),"Q1",Y655&lt;DATE(1996,7,1),"Q2",Y655&gt;=DATE(1996,7,1),"")</f>
        <v/>
      </c>
    </row>
    <row r="656" spans="1:28" ht="14.4" x14ac:dyDescent="0.55000000000000004">
      <c r="A656" t="str">
        <f>VLOOKUP(L656,Customers!$A$2:$B$92,2,FALSE)</f>
        <v>Laughing Bacchus Wine Cellars</v>
      </c>
      <c r="B656" t="str">
        <f>VLOOKUP(L656,Customers!$A$2:$C$92,3,TRUE)</f>
        <v>Yoshi Tannamuri</v>
      </c>
      <c r="C656" t="str">
        <f t="shared" si="171"/>
        <v>Yoshi</v>
      </c>
      <c r="D656" s="8" t="str">
        <f t="shared" si="172"/>
        <v>Tannamuri</v>
      </c>
      <c r="E656" s="8" t="str">
        <f t="shared" si="173"/>
        <v>Tannamuri, Yoshi</v>
      </c>
      <c r="F656" s="8" t="str">
        <f t="shared" si="174"/>
        <v>Tannamuri, Yoshi</v>
      </c>
      <c r="G656" s="8" t="str">
        <f t="shared" si="175"/>
        <v>not an outlier</v>
      </c>
      <c r="H656" s="8" t="str">
        <f t="shared" si="176"/>
        <v>Not</v>
      </c>
      <c r="I656" s="8" t="str">
        <f t="shared" si="186"/>
        <v>no</v>
      </c>
      <c r="J656" s="10" t="str">
        <f t="shared" si="177"/>
        <v>no</v>
      </c>
      <c r="K656" s="10" t="str">
        <f t="shared" si="178"/>
        <v>no</v>
      </c>
      <c r="L656" t="s">
        <v>325</v>
      </c>
      <c r="M656">
        <v>10495</v>
      </c>
      <c r="N656">
        <v>77</v>
      </c>
      <c r="O656" t="s">
        <v>706</v>
      </c>
      <c r="P656" t="str">
        <f t="shared" si="179"/>
        <v>LAUGB_10495_Original Frankfurter grüne Soße</v>
      </c>
      <c r="Q656" t="str">
        <f t="shared" si="180"/>
        <v>10495</v>
      </c>
      <c r="R656" t="str">
        <f t="shared" si="181"/>
        <v>10495</v>
      </c>
      <c r="S656" t="str">
        <f t="shared" si="182"/>
        <v>Original Frankfurter grüne Soße</v>
      </c>
      <c r="T656">
        <v>10.4</v>
      </c>
      <c r="U656">
        <v>5</v>
      </c>
      <c r="V656">
        <v>0</v>
      </c>
      <c r="W656">
        <f t="shared" si="183"/>
        <v>52</v>
      </c>
      <c r="X656" t="str">
        <f t="shared" si="184"/>
        <v>No</v>
      </c>
      <c r="Y656" s="2">
        <v>34823</v>
      </c>
      <c r="Z656" t="str">
        <f t="shared" si="170"/>
        <v/>
      </c>
      <c r="AA656" t="str">
        <f t="shared" si="185"/>
        <v/>
      </c>
      <c r="AB656" t="str" cm="1">
        <f t="array" ref="AB656">_xlfn.IFS(Y656&lt;DATE(1996,1,1),"",Y656&lt;DATE(1996,4,1),"Q1",Y656&lt;DATE(1996,7,1),"Q2",Y656&gt;=DATE(1996,7,1),"")</f>
        <v/>
      </c>
    </row>
    <row r="657" spans="1:28" ht="14.4" x14ac:dyDescent="0.55000000000000004">
      <c r="A657" t="str">
        <f>VLOOKUP(L657,Customers!$A$2:$B$92,2,FALSE)</f>
        <v>Tradição Hipermercados</v>
      </c>
      <c r="B657" t="str">
        <f>VLOOKUP(L657,Customers!$A$2:$C$92,3,TRUE)</f>
        <v>Anabela Domingues</v>
      </c>
      <c r="C657" t="str">
        <f t="shared" si="171"/>
        <v>Anabela</v>
      </c>
      <c r="D657" s="8" t="str">
        <f t="shared" si="172"/>
        <v>Domingues</v>
      </c>
      <c r="E657" s="8" t="str">
        <f t="shared" si="173"/>
        <v>Domingues, Anabela</v>
      </c>
      <c r="F657" s="8" t="str">
        <f t="shared" si="174"/>
        <v>Domingues, Anabela</v>
      </c>
      <c r="G657" s="8" t="str">
        <f t="shared" si="175"/>
        <v>not an outlier</v>
      </c>
      <c r="H657" s="8" t="str">
        <f t="shared" si="176"/>
        <v>Not</v>
      </c>
      <c r="I657" s="8" t="str">
        <f t="shared" si="186"/>
        <v>no</v>
      </c>
      <c r="J657" s="10" t="str">
        <f t="shared" si="177"/>
        <v>no</v>
      </c>
      <c r="K657" s="10" t="str">
        <f t="shared" si="178"/>
        <v>no</v>
      </c>
      <c r="L657" t="s">
        <v>598</v>
      </c>
      <c r="M657">
        <v>10496</v>
      </c>
      <c r="N657">
        <v>31</v>
      </c>
      <c r="O657" t="s">
        <v>695</v>
      </c>
      <c r="P657" t="str">
        <f t="shared" si="179"/>
        <v>TRADH_10496_Gorgonzola Telino</v>
      </c>
      <c r="Q657" t="str">
        <f t="shared" si="180"/>
        <v>10496</v>
      </c>
      <c r="R657" t="str">
        <f t="shared" si="181"/>
        <v>10496</v>
      </c>
      <c r="S657" t="str">
        <f t="shared" si="182"/>
        <v>Gorgonzola Telino</v>
      </c>
      <c r="T657">
        <v>10</v>
      </c>
      <c r="U657">
        <v>20</v>
      </c>
      <c r="V657">
        <v>0.05</v>
      </c>
      <c r="W657">
        <f t="shared" si="183"/>
        <v>190</v>
      </c>
      <c r="X657" t="str">
        <f t="shared" si="184"/>
        <v>No</v>
      </c>
      <c r="Y657" s="2">
        <v>34824</v>
      </c>
      <c r="Z657" t="str">
        <f t="shared" si="170"/>
        <v/>
      </c>
      <c r="AA657" t="str">
        <f t="shared" si="185"/>
        <v/>
      </c>
      <c r="AB657" t="str" cm="1">
        <f t="array" ref="AB657">_xlfn.IFS(Y657&lt;DATE(1996,1,1),"",Y657&lt;DATE(1996,4,1),"Q1",Y657&lt;DATE(1996,7,1),"Q2",Y657&gt;=DATE(1996,7,1),"")</f>
        <v/>
      </c>
    </row>
    <row r="658" spans="1:28" ht="14.4" x14ac:dyDescent="0.55000000000000004">
      <c r="A658" t="str">
        <f>VLOOKUP(L658,Customers!$A$2:$B$92,2,FALSE)</f>
        <v>Lehmanns Marktstand</v>
      </c>
      <c r="B658" t="str">
        <f>VLOOKUP(L658,Customers!$A$2:$C$92,3,TRUE)</f>
        <v>Renate Messner</v>
      </c>
      <c r="C658" t="str">
        <f t="shared" si="171"/>
        <v>Renate</v>
      </c>
      <c r="D658" s="8" t="str">
        <f t="shared" si="172"/>
        <v>Messner</v>
      </c>
      <c r="E658" s="8" t="str">
        <f t="shared" si="173"/>
        <v>Messner, Renate</v>
      </c>
      <c r="F658" s="8" t="str">
        <f t="shared" si="174"/>
        <v>Messner, Renate</v>
      </c>
      <c r="G658" s="8" t="str">
        <f t="shared" si="175"/>
        <v>not an outlier</v>
      </c>
      <c r="H658" s="8" t="str">
        <f t="shared" si="176"/>
        <v>Not</v>
      </c>
      <c r="I658" s="8" t="str">
        <f t="shared" si="186"/>
        <v>no</v>
      </c>
      <c r="J658" s="10" t="str">
        <f t="shared" si="177"/>
        <v>no</v>
      </c>
      <c r="K658" s="10" t="str">
        <f t="shared" si="178"/>
        <v>no</v>
      </c>
      <c r="L658" t="s">
        <v>341</v>
      </c>
      <c r="M658">
        <v>10497</v>
      </c>
      <c r="N658">
        <v>56</v>
      </c>
      <c r="O658" t="s">
        <v>716</v>
      </c>
      <c r="P658" t="str">
        <f t="shared" si="179"/>
        <v>LEHMS_10497_Gnocchi di nonna Alice</v>
      </c>
      <c r="Q658" t="str">
        <f t="shared" si="180"/>
        <v>10497</v>
      </c>
      <c r="R658" t="str">
        <f t="shared" si="181"/>
        <v>10497</v>
      </c>
      <c r="S658" t="str">
        <f t="shared" si="182"/>
        <v>Gnocchi di nonna Alice</v>
      </c>
      <c r="T658">
        <v>30.4</v>
      </c>
      <c r="U658">
        <v>14</v>
      </c>
      <c r="V658">
        <v>0</v>
      </c>
      <c r="W658">
        <f t="shared" si="183"/>
        <v>425.59999999999997</v>
      </c>
      <c r="X658" t="str">
        <f t="shared" si="184"/>
        <v>No</v>
      </c>
      <c r="Y658" s="2">
        <v>34824</v>
      </c>
      <c r="Z658" t="str">
        <f t="shared" si="170"/>
        <v/>
      </c>
      <c r="AA658" t="str">
        <f t="shared" si="185"/>
        <v/>
      </c>
      <c r="AB658" t="str" cm="1">
        <f t="array" ref="AB658">_xlfn.IFS(Y658&lt;DATE(1996,1,1),"",Y658&lt;DATE(1996,4,1),"Q1",Y658&lt;DATE(1996,7,1),"Q2",Y658&gt;=DATE(1996,7,1),"")</f>
        <v/>
      </c>
    </row>
    <row r="659" spans="1:28" ht="14.4" x14ac:dyDescent="0.55000000000000004">
      <c r="A659" t="str">
        <f>VLOOKUP(L659,Customers!$A$2:$B$92,2,FALSE)</f>
        <v>Lehmanns Marktstand</v>
      </c>
      <c r="B659" t="str">
        <f>VLOOKUP(L659,Customers!$A$2:$C$92,3,TRUE)</f>
        <v>Renate Messner</v>
      </c>
      <c r="C659" t="str">
        <f t="shared" si="171"/>
        <v>Renate</v>
      </c>
      <c r="D659" s="8" t="str">
        <f t="shared" si="172"/>
        <v>Messner</v>
      </c>
      <c r="E659" s="8" t="str">
        <f t="shared" si="173"/>
        <v>Messner, Renate</v>
      </c>
      <c r="F659" s="8" t="str">
        <f t="shared" si="174"/>
        <v>Messner, Renate</v>
      </c>
      <c r="G659" s="8" t="str">
        <f t="shared" si="175"/>
        <v>not an outlier</v>
      </c>
      <c r="H659" s="8" t="str">
        <f t="shared" si="176"/>
        <v>Not</v>
      </c>
      <c r="I659" s="8" t="str">
        <f t="shared" si="186"/>
        <v>no</v>
      </c>
      <c r="J659" s="10" t="str">
        <f t="shared" si="177"/>
        <v>no</v>
      </c>
      <c r="K659" s="10" t="str">
        <f t="shared" si="178"/>
        <v>no</v>
      </c>
      <c r="L659" t="s">
        <v>341</v>
      </c>
      <c r="M659">
        <v>10497</v>
      </c>
      <c r="N659">
        <v>72</v>
      </c>
      <c r="O659" t="s">
        <v>685</v>
      </c>
      <c r="P659" t="str">
        <f t="shared" si="179"/>
        <v>LEHMS_10497_Mozzarella di Giovanni</v>
      </c>
      <c r="Q659" t="str">
        <f t="shared" si="180"/>
        <v>10497</v>
      </c>
      <c r="R659" t="str">
        <f t="shared" si="181"/>
        <v>10497</v>
      </c>
      <c r="S659" t="str">
        <f t="shared" si="182"/>
        <v>Mozzarella di Giovanni</v>
      </c>
      <c r="T659">
        <v>27.8</v>
      </c>
      <c r="U659">
        <v>25</v>
      </c>
      <c r="V659">
        <v>0</v>
      </c>
      <c r="W659">
        <f t="shared" si="183"/>
        <v>695</v>
      </c>
      <c r="X659" t="str">
        <f t="shared" si="184"/>
        <v>No</v>
      </c>
      <c r="Y659" s="2">
        <v>34824</v>
      </c>
      <c r="Z659" t="str">
        <f t="shared" si="170"/>
        <v/>
      </c>
      <c r="AA659" t="str">
        <f t="shared" si="185"/>
        <v/>
      </c>
      <c r="AB659" t="str" cm="1">
        <f t="array" ref="AB659">_xlfn.IFS(Y659&lt;DATE(1996,1,1),"",Y659&lt;DATE(1996,4,1),"Q1",Y659&lt;DATE(1996,7,1),"Q2",Y659&gt;=DATE(1996,7,1),"")</f>
        <v/>
      </c>
    </row>
    <row r="660" spans="1:28" ht="14.4" x14ac:dyDescent="0.55000000000000004">
      <c r="A660" t="str">
        <f>VLOOKUP(L660,Customers!$A$2:$B$92,2,FALSE)</f>
        <v>Lehmanns Marktstand</v>
      </c>
      <c r="B660" t="str">
        <f>VLOOKUP(L660,Customers!$A$2:$C$92,3,TRUE)</f>
        <v>Renate Messner</v>
      </c>
      <c r="C660" t="str">
        <f t="shared" si="171"/>
        <v>Renate</v>
      </c>
      <c r="D660" s="8" t="str">
        <f t="shared" si="172"/>
        <v>Messner</v>
      </c>
      <c r="E660" s="8" t="str">
        <f t="shared" si="173"/>
        <v>Messner, Renate</v>
      </c>
      <c r="F660" s="8" t="str">
        <f t="shared" si="174"/>
        <v>Messner, Renate</v>
      </c>
      <c r="G660" s="8" t="str">
        <f t="shared" si="175"/>
        <v>not an outlier</v>
      </c>
      <c r="H660" s="8" t="str">
        <f t="shared" si="176"/>
        <v>Not</v>
      </c>
      <c r="I660" s="8" t="str">
        <f t="shared" si="186"/>
        <v>no</v>
      </c>
      <c r="J660" s="10" t="str">
        <f t="shared" si="177"/>
        <v>no</v>
      </c>
      <c r="K660" s="10" t="str">
        <f t="shared" si="178"/>
        <v>no</v>
      </c>
      <c r="L660" t="s">
        <v>341</v>
      </c>
      <c r="M660">
        <v>10497</v>
      </c>
      <c r="N660">
        <v>77</v>
      </c>
      <c r="O660" t="s">
        <v>706</v>
      </c>
      <c r="P660" t="str">
        <f t="shared" si="179"/>
        <v>LEHMS_10497_Original Frankfurter grüne Soße</v>
      </c>
      <c r="Q660" t="str">
        <f t="shared" si="180"/>
        <v>10497</v>
      </c>
      <c r="R660" t="str">
        <f t="shared" si="181"/>
        <v>10497</v>
      </c>
      <c r="S660" t="str">
        <f t="shared" si="182"/>
        <v>Original Frankfurter grüne Soße</v>
      </c>
      <c r="T660">
        <v>10.4</v>
      </c>
      <c r="U660">
        <v>25</v>
      </c>
      <c r="V660">
        <v>0</v>
      </c>
      <c r="W660">
        <f t="shared" si="183"/>
        <v>260</v>
      </c>
      <c r="X660" t="str">
        <f t="shared" si="184"/>
        <v>No</v>
      </c>
      <c r="Y660" s="2">
        <v>34824</v>
      </c>
      <c r="Z660" t="str">
        <f t="shared" si="170"/>
        <v/>
      </c>
      <c r="AA660" t="str">
        <f t="shared" si="185"/>
        <v/>
      </c>
      <c r="AB660" t="str" cm="1">
        <f t="array" ref="AB660">_xlfn.IFS(Y660&lt;DATE(1996,1,1),"",Y660&lt;DATE(1996,4,1),"Q1",Y660&lt;DATE(1996,7,1),"Q2",Y660&gt;=DATE(1996,7,1),"")</f>
        <v/>
      </c>
    </row>
    <row r="661" spans="1:28" ht="14.4" x14ac:dyDescent="0.55000000000000004">
      <c r="A661" t="str">
        <f>VLOOKUP(L661,Customers!$A$2:$B$92,2,FALSE)</f>
        <v>HILARIÓN-Abastos</v>
      </c>
      <c r="B661" t="str">
        <f>VLOOKUP(L661,Customers!$A$2:$C$92,3,TRUE)</f>
        <v>Carlos Hernández</v>
      </c>
      <c r="C661" t="str">
        <f t="shared" si="171"/>
        <v>Carlos</v>
      </c>
      <c r="D661" s="8" t="str">
        <f t="shared" si="172"/>
        <v>Hernández</v>
      </c>
      <c r="E661" s="8" t="str">
        <f t="shared" si="173"/>
        <v>Hernández, Carlos</v>
      </c>
      <c r="F661" s="8" t="str">
        <f t="shared" si="174"/>
        <v>Hernández, Carlos</v>
      </c>
      <c r="G661" s="8" t="str">
        <f t="shared" si="175"/>
        <v>not an outlier</v>
      </c>
      <c r="H661" s="8" t="str">
        <f t="shared" si="176"/>
        <v>Not</v>
      </c>
      <c r="I661" s="8" t="str">
        <f t="shared" si="186"/>
        <v>no</v>
      </c>
      <c r="J661" s="10" t="str">
        <f t="shared" si="177"/>
        <v>no</v>
      </c>
      <c r="K661" s="10" t="str">
        <f t="shared" si="178"/>
        <v>no</v>
      </c>
      <c r="L661" t="s">
        <v>273</v>
      </c>
      <c r="M661">
        <v>10498</v>
      </c>
      <c r="N661">
        <v>24</v>
      </c>
      <c r="O661" t="s">
        <v>698</v>
      </c>
      <c r="P661" t="str">
        <f t="shared" si="179"/>
        <v>HILAA_10498_Guaraná Fantástica</v>
      </c>
      <c r="Q661" t="str">
        <f t="shared" si="180"/>
        <v>10498</v>
      </c>
      <c r="R661" t="str">
        <f t="shared" si="181"/>
        <v>10498</v>
      </c>
      <c r="S661" t="str">
        <f t="shared" si="182"/>
        <v>Guaraná Fantástica</v>
      </c>
      <c r="T661">
        <v>4.5</v>
      </c>
      <c r="U661">
        <v>14</v>
      </c>
      <c r="V661">
        <v>0</v>
      </c>
      <c r="W661">
        <f t="shared" si="183"/>
        <v>63</v>
      </c>
      <c r="X661" t="str">
        <f t="shared" si="184"/>
        <v>No</v>
      </c>
      <c r="Y661" s="2">
        <v>34827</v>
      </c>
      <c r="Z661" t="str">
        <f t="shared" si="170"/>
        <v/>
      </c>
      <c r="AA661" t="str">
        <f t="shared" si="185"/>
        <v/>
      </c>
      <c r="AB661" t="str" cm="1">
        <f t="array" ref="AB661">_xlfn.IFS(Y661&lt;DATE(1996,1,1),"",Y661&lt;DATE(1996,4,1),"Q1",Y661&lt;DATE(1996,7,1),"Q2",Y661&gt;=DATE(1996,7,1),"")</f>
        <v/>
      </c>
    </row>
    <row r="662" spans="1:28" ht="14.4" x14ac:dyDescent="0.55000000000000004">
      <c r="A662" t="str">
        <f>VLOOKUP(L662,Customers!$A$2:$B$92,2,FALSE)</f>
        <v>HILARIÓN-Abastos</v>
      </c>
      <c r="B662" t="str">
        <f>VLOOKUP(L662,Customers!$A$2:$C$92,3,TRUE)</f>
        <v>Carlos Hernández</v>
      </c>
      <c r="C662" t="str">
        <f t="shared" si="171"/>
        <v>Carlos</v>
      </c>
      <c r="D662" s="8" t="str">
        <f t="shared" si="172"/>
        <v>Hernández</v>
      </c>
      <c r="E662" s="8" t="str">
        <f t="shared" si="173"/>
        <v>Hernández, Carlos</v>
      </c>
      <c r="F662" s="8" t="str">
        <f t="shared" si="174"/>
        <v>Hernández, Carlos</v>
      </c>
      <c r="G662" s="8" t="str">
        <f t="shared" si="175"/>
        <v>not an outlier</v>
      </c>
      <c r="H662" s="8" t="str">
        <f t="shared" si="176"/>
        <v>Not</v>
      </c>
      <c r="I662" s="8" t="str">
        <f t="shared" si="186"/>
        <v>no</v>
      </c>
      <c r="J662" s="10" t="str">
        <f t="shared" si="177"/>
        <v>no</v>
      </c>
      <c r="K662" s="10" t="str">
        <f t="shared" si="178"/>
        <v>no</v>
      </c>
      <c r="L662" t="s">
        <v>273</v>
      </c>
      <c r="M662">
        <v>10498</v>
      </c>
      <c r="N662">
        <v>40</v>
      </c>
      <c r="O662" t="s">
        <v>720</v>
      </c>
      <c r="P662" t="str">
        <f t="shared" si="179"/>
        <v>HILAA_10498_Boston Crab Meat</v>
      </c>
      <c r="Q662" t="str">
        <f t="shared" si="180"/>
        <v>10498</v>
      </c>
      <c r="R662" t="str">
        <f t="shared" si="181"/>
        <v>10498</v>
      </c>
      <c r="S662" t="str">
        <f t="shared" si="182"/>
        <v>Boston Crab Meat</v>
      </c>
      <c r="T662">
        <v>18.399999999999999</v>
      </c>
      <c r="U662">
        <v>5</v>
      </c>
      <c r="V662">
        <v>0</v>
      </c>
      <c r="W662">
        <f t="shared" si="183"/>
        <v>92</v>
      </c>
      <c r="X662" t="str">
        <f t="shared" si="184"/>
        <v>No</v>
      </c>
      <c r="Y662" s="2">
        <v>34827</v>
      </c>
      <c r="Z662" t="str">
        <f t="shared" si="170"/>
        <v/>
      </c>
      <c r="AA662" t="str">
        <f t="shared" si="185"/>
        <v/>
      </c>
      <c r="AB662" t="str" cm="1">
        <f t="array" ref="AB662">_xlfn.IFS(Y662&lt;DATE(1996,1,1),"",Y662&lt;DATE(1996,4,1),"Q1",Y662&lt;DATE(1996,7,1),"Q2",Y662&gt;=DATE(1996,7,1),"")</f>
        <v/>
      </c>
    </row>
    <row r="663" spans="1:28" ht="14.4" x14ac:dyDescent="0.55000000000000004">
      <c r="A663" t="str">
        <f>VLOOKUP(L663,Customers!$A$2:$B$92,2,FALSE)</f>
        <v>HILARIÓN-Abastos</v>
      </c>
      <c r="B663" t="str">
        <f>VLOOKUP(L663,Customers!$A$2:$C$92,3,TRUE)</f>
        <v>Carlos Hernández</v>
      </c>
      <c r="C663" t="str">
        <f t="shared" si="171"/>
        <v>Carlos</v>
      </c>
      <c r="D663" s="8" t="str">
        <f t="shared" si="172"/>
        <v>Hernández</v>
      </c>
      <c r="E663" s="8" t="str">
        <f t="shared" si="173"/>
        <v>Hernández, Carlos</v>
      </c>
      <c r="F663" s="8" t="str">
        <f t="shared" si="174"/>
        <v>Hernández, Carlos</v>
      </c>
      <c r="G663" s="8" t="str">
        <f t="shared" si="175"/>
        <v>not an outlier</v>
      </c>
      <c r="H663" s="8" t="str">
        <f t="shared" si="176"/>
        <v>Not</v>
      </c>
      <c r="I663" s="8" t="str">
        <f t="shared" si="186"/>
        <v>no</v>
      </c>
      <c r="J663" s="10" t="str">
        <f t="shared" si="177"/>
        <v>no</v>
      </c>
      <c r="K663" s="10" t="str">
        <f t="shared" si="178"/>
        <v>no</v>
      </c>
      <c r="L663" t="s">
        <v>273</v>
      </c>
      <c r="M663">
        <v>10498</v>
      </c>
      <c r="N663">
        <v>42</v>
      </c>
      <c r="O663" t="s">
        <v>684</v>
      </c>
      <c r="P663" t="str">
        <f t="shared" si="179"/>
        <v>HILAA_10498_Singaporean Hokkien Fried Mee</v>
      </c>
      <c r="Q663" t="str">
        <f t="shared" si="180"/>
        <v>10498</v>
      </c>
      <c r="R663" t="str">
        <f t="shared" si="181"/>
        <v>10498</v>
      </c>
      <c r="S663" t="str">
        <f t="shared" si="182"/>
        <v>Singaporean Hokkien Fried Mee</v>
      </c>
      <c r="T663">
        <v>14</v>
      </c>
      <c r="U663">
        <v>30</v>
      </c>
      <c r="V663">
        <v>0</v>
      </c>
      <c r="W663">
        <f t="shared" si="183"/>
        <v>420</v>
      </c>
      <c r="X663" t="str">
        <f t="shared" si="184"/>
        <v>No</v>
      </c>
      <c r="Y663" s="2">
        <v>34827</v>
      </c>
      <c r="Z663" t="str">
        <f t="shared" si="170"/>
        <v/>
      </c>
      <c r="AA663" t="str">
        <f t="shared" si="185"/>
        <v/>
      </c>
      <c r="AB663" t="str" cm="1">
        <f t="array" ref="AB663">_xlfn.IFS(Y663&lt;DATE(1996,1,1),"",Y663&lt;DATE(1996,4,1),"Q1",Y663&lt;DATE(1996,7,1),"Q2",Y663&gt;=DATE(1996,7,1),"")</f>
        <v/>
      </c>
    </row>
    <row r="664" spans="1:28" ht="14.4" x14ac:dyDescent="0.55000000000000004">
      <c r="A664" t="str">
        <f>VLOOKUP(L664,Customers!$A$2:$B$92,2,FALSE)</f>
        <v>LILA-Supermercado</v>
      </c>
      <c r="B664" t="str">
        <f>VLOOKUP(L664,Customers!$A$2:$C$92,3,TRUE)</f>
        <v>Carlos González</v>
      </c>
      <c r="C664" t="str">
        <f t="shared" si="171"/>
        <v>Carlos</v>
      </c>
      <c r="D664" s="8" t="str">
        <f t="shared" si="172"/>
        <v>González</v>
      </c>
      <c r="E664" s="8" t="str">
        <f t="shared" si="173"/>
        <v>González, Carlos</v>
      </c>
      <c r="F664" s="8" t="str">
        <f t="shared" si="174"/>
        <v>González, Carlos</v>
      </c>
      <c r="G664" s="8" t="str">
        <f t="shared" si="175"/>
        <v>not an outlier</v>
      </c>
      <c r="H664" s="8" t="str">
        <f t="shared" si="176"/>
        <v>Not</v>
      </c>
      <c r="I664" s="8" t="str">
        <f t="shared" si="186"/>
        <v>no</v>
      </c>
      <c r="J664" s="10" t="str">
        <f t="shared" si="177"/>
        <v>no</v>
      </c>
      <c r="K664" s="10" t="str">
        <f t="shared" si="178"/>
        <v>no</v>
      </c>
      <c r="L664" t="s">
        <v>355</v>
      </c>
      <c r="M664">
        <v>10499</v>
      </c>
      <c r="N664">
        <v>28</v>
      </c>
      <c r="O664" t="s">
        <v>727</v>
      </c>
      <c r="P664" t="str">
        <f t="shared" si="179"/>
        <v>LILAS_10499_Rössle Sauerkraut</v>
      </c>
      <c r="Q664" t="str">
        <f t="shared" si="180"/>
        <v>10499</v>
      </c>
      <c r="R664" t="str">
        <f t="shared" si="181"/>
        <v>10499</v>
      </c>
      <c r="S664" t="str">
        <f t="shared" si="182"/>
        <v>Rössle Sauerkraut</v>
      </c>
      <c r="T664">
        <v>45.6</v>
      </c>
      <c r="U664">
        <v>20</v>
      </c>
      <c r="V664">
        <v>0</v>
      </c>
      <c r="W664">
        <f t="shared" si="183"/>
        <v>912</v>
      </c>
      <c r="X664" t="str">
        <f t="shared" si="184"/>
        <v>No</v>
      </c>
      <c r="Y664" s="2">
        <v>34828</v>
      </c>
      <c r="Z664" t="str">
        <f t="shared" si="170"/>
        <v/>
      </c>
      <c r="AA664" t="str">
        <f t="shared" si="185"/>
        <v/>
      </c>
      <c r="AB664" t="str" cm="1">
        <f t="array" ref="AB664">_xlfn.IFS(Y664&lt;DATE(1996,1,1),"",Y664&lt;DATE(1996,4,1),"Q1",Y664&lt;DATE(1996,7,1),"Q2",Y664&gt;=DATE(1996,7,1),"")</f>
        <v/>
      </c>
    </row>
    <row r="665" spans="1:28" ht="14.4" x14ac:dyDescent="0.55000000000000004">
      <c r="A665" t="str">
        <f>VLOOKUP(L665,Customers!$A$2:$B$92,2,FALSE)</f>
        <v>LILA-Supermercado</v>
      </c>
      <c r="B665" t="str">
        <f>VLOOKUP(L665,Customers!$A$2:$C$92,3,TRUE)</f>
        <v>Carlos González</v>
      </c>
      <c r="C665" t="str">
        <f t="shared" si="171"/>
        <v>Carlos</v>
      </c>
      <c r="D665" s="8" t="str">
        <f t="shared" si="172"/>
        <v>González</v>
      </c>
      <c r="E665" s="8" t="str">
        <f t="shared" si="173"/>
        <v>González, Carlos</v>
      </c>
      <c r="F665" s="8" t="str">
        <f t="shared" si="174"/>
        <v>González, Carlos</v>
      </c>
      <c r="G665" s="8" t="str">
        <f t="shared" si="175"/>
        <v>not an outlier</v>
      </c>
      <c r="H665" s="8" t="str">
        <f t="shared" si="176"/>
        <v>Not</v>
      </c>
      <c r="I665" s="8" t="str">
        <f t="shared" si="186"/>
        <v>no</v>
      </c>
      <c r="J665" s="10" t="str">
        <f t="shared" si="177"/>
        <v>no</v>
      </c>
      <c r="K665" s="10" t="str">
        <f t="shared" si="178"/>
        <v>no</v>
      </c>
      <c r="L665" t="s">
        <v>355</v>
      </c>
      <c r="M665">
        <v>10499</v>
      </c>
      <c r="N665">
        <v>49</v>
      </c>
      <c r="O665" t="s">
        <v>697</v>
      </c>
      <c r="P665" t="str">
        <f t="shared" si="179"/>
        <v>LILAS_10499_Maxilaku</v>
      </c>
      <c r="Q665" t="str">
        <f t="shared" si="180"/>
        <v>10499</v>
      </c>
      <c r="R665" t="str">
        <f t="shared" si="181"/>
        <v>10499</v>
      </c>
      <c r="S665" t="str">
        <f t="shared" si="182"/>
        <v>Maxilaku</v>
      </c>
      <c r="T665">
        <v>20</v>
      </c>
      <c r="U665">
        <v>25</v>
      </c>
      <c r="V665">
        <v>0</v>
      </c>
      <c r="W665">
        <f t="shared" si="183"/>
        <v>500</v>
      </c>
      <c r="X665" t="str">
        <f t="shared" si="184"/>
        <v>No</v>
      </c>
      <c r="Y665" s="2">
        <v>34828</v>
      </c>
      <c r="Z665" t="str">
        <f t="shared" si="170"/>
        <v/>
      </c>
      <c r="AA665" t="str">
        <f t="shared" si="185"/>
        <v/>
      </c>
      <c r="AB665" t="str" cm="1">
        <f t="array" ref="AB665">_xlfn.IFS(Y665&lt;DATE(1996,1,1),"",Y665&lt;DATE(1996,4,1),"Q1",Y665&lt;DATE(1996,7,1),"Q2",Y665&gt;=DATE(1996,7,1),"")</f>
        <v/>
      </c>
    </row>
    <row r="666" spans="1:28" ht="14.4" x14ac:dyDescent="0.55000000000000004">
      <c r="A666" t="str">
        <f>VLOOKUP(L666,Customers!$A$2:$B$92,2,FALSE)</f>
        <v>La maison d'Asie</v>
      </c>
      <c r="B666" t="str">
        <f>VLOOKUP(L666,Customers!$A$2:$C$92,3,TRUE)</f>
        <v>Annette Roulet</v>
      </c>
      <c r="C666" t="str">
        <f t="shared" si="171"/>
        <v>Annette</v>
      </c>
      <c r="D666" s="8" t="str">
        <f t="shared" si="172"/>
        <v>Roulet</v>
      </c>
      <c r="E666" s="8" t="str">
        <f t="shared" si="173"/>
        <v>Roulet, Annette</v>
      </c>
      <c r="F666" s="8" t="str">
        <f t="shared" si="174"/>
        <v>Roulet, Annette</v>
      </c>
      <c r="G666" s="8" t="str">
        <f t="shared" si="175"/>
        <v>not an outlier</v>
      </c>
      <c r="H666" s="8" t="str">
        <f t="shared" si="176"/>
        <v>Not</v>
      </c>
      <c r="I666" s="8" t="str">
        <f t="shared" si="186"/>
        <v>no</v>
      </c>
      <c r="J666" s="10" t="str">
        <f t="shared" si="177"/>
        <v>no</v>
      </c>
      <c r="K666" s="10" t="str">
        <f t="shared" si="178"/>
        <v>no</v>
      </c>
      <c r="L666" t="s">
        <v>318</v>
      </c>
      <c r="M666">
        <v>10500</v>
      </c>
      <c r="N666">
        <v>15</v>
      </c>
      <c r="O666" t="s">
        <v>733</v>
      </c>
      <c r="P666" t="str">
        <f t="shared" si="179"/>
        <v>LAMAI_10500_Genen Shouyu</v>
      </c>
      <c r="Q666" t="str">
        <f t="shared" si="180"/>
        <v>10500</v>
      </c>
      <c r="R666" t="str">
        <f t="shared" si="181"/>
        <v>10500</v>
      </c>
      <c r="S666" t="str">
        <f t="shared" si="182"/>
        <v>Genen Shouyu</v>
      </c>
      <c r="T666">
        <v>15.5</v>
      </c>
      <c r="U666">
        <v>12</v>
      </c>
      <c r="V666">
        <v>0.05</v>
      </c>
      <c r="W666">
        <f t="shared" si="183"/>
        <v>176.7</v>
      </c>
      <c r="X666" t="str">
        <f t="shared" si="184"/>
        <v>No</v>
      </c>
      <c r="Y666" s="2">
        <v>34829</v>
      </c>
      <c r="Z666" t="str">
        <f t="shared" si="170"/>
        <v/>
      </c>
      <c r="AA666" t="str">
        <f t="shared" si="185"/>
        <v/>
      </c>
      <c r="AB666" t="str" cm="1">
        <f t="array" ref="AB666">_xlfn.IFS(Y666&lt;DATE(1996,1,1),"",Y666&lt;DATE(1996,4,1),"Q1",Y666&lt;DATE(1996,7,1),"Q2",Y666&gt;=DATE(1996,7,1),"")</f>
        <v/>
      </c>
    </row>
    <row r="667" spans="1:28" ht="14.4" x14ac:dyDescent="0.55000000000000004">
      <c r="A667" t="str">
        <f>VLOOKUP(L667,Customers!$A$2:$B$92,2,FALSE)</f>
        <v>La maison d'Asie</v>
      </c>
      <c r="B667" t="str">
        <f>VLOOKUP(L667,Customers!$A$2:$C$92,3,TRUE)</f>
        <v>Annette Roulet</v>
      </c>
      <c r="C667" t="str">
        <f t="shared" si="171"/>
        <v>Annette</v>
      </c>
      <c r="D667" s="8" t="str">
        <f t="shared" si="172"/>
        <v>Roulet</v>
      </c>
      <c r="E667" s="8" t="str">
        <f t="shared" si="173"/>
        <v>Roulet, Annette</v>
      </c>
      <c r="F667" s="8" t="str">
        <f t="shared" si="174"/>
        <v>Roulet, Annette</v>
      </c>
      <c r="G667" s="8" t="str">
        <f t="shared" si="175"/>
        <v>not an outlier</v>
      </c>
      <c r="H667" s="8" t="str">
        <f t="shared" si="176"/>
        <v>Not</v>
      </c>
      <c r="I667" s="8" t="str">
        <f t="shared" si="186"/>
        <v>no</v>
      </c>
      <c r="J667" s="10" t="str">
        <f t="shared" si="177"/>
        <v>no</v>
      </c>
      <c r="K667" s="10" t="str">
        <f t="shared" si="178"/>
        <v>no</v>
      </c>
      <c r="L667" t="s">
        <v>318</v>
      </c>
      <c r="M667">
        <v>10500</v>
      </c>
      <c r="N667">
        <v>28</v>
      </c>
      <c r="O667" t="s">
        <v>727</v>
      </c>
      <c r="P667" t="str">
        <f t="shared" si="179"/>
        <v>LAMAI_10500_Rössle Sauerkraut</v>
      </c>
      <c r="Q667" t="str">
        <f t="shared" si="180"/>
        <v>10500</v>
      </c>
      <c r="R667" t="str">
        <f t="shared" si="181"/>
        <v>10500</v>
      </c>
      <c r="S667" t="str">
        <f t="shared" si="182"/>
        <v>Rössle Sauerkraut</v>
      </c>
      <c r="T667">
        <v>45.6</v>
      </c>
      <c r="U667">
        <v>8</v>
      </c>
      <c r="V667">
        <v>0.05</v>
      </c>
      <c r="W667">
        <f t="shared" si="183"/>
        <v>346.56</v>
      </c>
      <c r="X667" t="str">
        <f t="shared" si="184"/>
        <v>No</v>
      </c>
      <c r="Y667" s="2">
        <v>34829</v>
      </c>
      <c r="Z667" t="str">
        <f t="shared" si="170"/>
        <v/>
      </c>
      <c r="AA667" t="str">
        <f t="shared" si="185"/>
        <v/>
      </c>
      <c r="AB667" t="str" cm="1">
        <f t="array" ref="AB667">_xlfn.IFS(Y667&lt;DATE(1996,1,1),"",Y667&lt;DATE(1996,4,1),"Q1",Y667&lt;DATE(1996,7,1),"Q2",Y667&gt;=DATE(1996,7,1),"")</f>
        <v/>
      </c>
    </row>
    <row r="668" spans="1:28" ht="14.4" x14ac:dyDescent="0.55000000000000004">
      <c r="A668" t="str">
        <f>VLOOKUP(L668,Customers!$A$2:$B$92,2,FALSE)</f>
        <v>Blauer See Delikatessen</v>
      </c>
      <c r="B668" t="str">
        <f>VLOOKUP(L668,Customers!$A$2:$C$92,3,TRUE)</f>
        <v>Hanna Moos</v>
      </c>
      <c r="C668" t="str">
        <f t="shared" si="171"/>
        <v>Hanna</v>
      </c>
      <c r="D668" s="8" t="str">
        <f t="shared" si="172"/>
        <v>Moos</v>
      </c>
      <c r="E668" s="8" t="str">
        <f t="shared" si="173"/>
        <v>Moos, Hanna</v>
      </c>
      <c r="F668" s="8" t="str">
        <f t="shared" si="174"/>
        <v>Moos, Hanna</v>
      </c>
      <c r="G668" s="8" t="str">
        <f t="shared" si="175"/>
        <v>not an outlier</v>
      </c>
      <c r="H668" s="8" t="str">
        <f t="shared" si="176"/>
        <v>Not</v>
      </c>
      <c r="I668" s="8" t="str">
        <f t="shared" si="186"/>
        <v>no</v>
      </c>
      <c r="J668" s="10" t="str">
        <f t="shared" si="177"/>
        <v>no</v>
      </c>
      <c r="K668" s="10" t="str">
        <f t="shared" si="178"/>
        <v>no</v>
      </c>
      <c r="L668" t="s">
        <v>53</v>
      </c>
      <c r="M668">
        <v>10501</v>
      </c>
      <c r="N668">
        <v>54</v>
      </c>
      <c r="O668" t="s">
        <v>738</v>
      </c>
      <c r="P668" t="str">
        <f t="shared" si="179"/>
        <v>BLAUS_10501_Tourtière</v>
      </c>
      <c r="Q668" t="str">
        <f t="shared" si="180"/>
        <v>10501</v>
      </c>
      <c r="R668" t="str">
        <f t="shared" si="181"/>
        <v>10501</v>
      </c>
      <c r="S668" t="str">
        <f t="shared" si="182"/>
        <v>Tourtière</v>
      </c>
      <c r="T668">
        <v>7.45</v>
      </c>
      <c r="U668">
        <v>20</v>
      </c>
      <c r="V668">
        <v>0</v>
      </c>
      <c r="W668">
        <f t="shared" si="183"/>
        <v>149</v>
      </c>
      <c r="X668" t="str">
        <f t="shared" si="184"/>
        <v>No</v>
      </c>
      <c r="Y668" s="2">
        <v>34829</v>
      </c>
      <c r="Z668" t="str">
        <f t="shared" si="170"/>
        <v/>
      </c>
      <c r="AA668" t="str">
        <f t="shared" si="185"/>
        <v/>
      </c>
      <c r="AB668" t="str" cm="1">
        <f t="array" ref="AB668">_xlfn.IFS(Y668&lt;DATE(1996,1,1),"",Y668&lt;DATE(1996,4,1),"Q1",Y668&lt;DATE(1996,7,1),"Q2",Y668&gt;=DATE(1996,7,1),"")</f>
        <v/>
      </c>
    </row>
    <row r="669" spans="1:28" ht="14.4" x14ac:dyDescent="0.55000000000000004">
      <c r="A669" t="str">
        <f>VLOOKUP(L669,Customers!$A$2:$B$92,2,FALSE)</f>
        <v>Pericles Comidas clásicas</v>
      </c>
      <c r="B669" t="str">
        <f>VLOOKUP(L669,Customers!$A$2:$C$92,3,TRUE)</f>
        <v>Guillermo Fernández</v>
      </c>
      <c r="C669" t="str">
        <f t="shared" si="171"/>
        <v>Guillermo</v>
      </c>
      <c r="D669" s="8" t="str">
        <f t="shared" si="172"/>
        <v>Fernández</v>
      </c>
      <c r="E669" s="8" t="str">
        <f t="shared" si="173"/>
        <v>Fernández, Guillermo</v>
      </c>
      <c r="F669" s="8" t="str">
        <f t="shared" si="174"/>
        <v>Fernández, Guillermo</v>
      </c>
      <c r="G669" s="8" t="str">
        <f t="shared" si="175"/>
        <v>not an outlier</v>
      </c>
      <c r="H669" s="8" t="str">
        <f t="shared" si="176"/>
        <v>Not</v>
      </c>
      <c r="I669" s="8" t="str">
        <f t="shared" si="186"/>
        <v>no</v>
      </c>
      <c r="J669" s="10" t="str">
        <f t="shared" si="177"/>
        <v>no</v>
      </c>
      <c r="K669" s="10" t="str">
        <f t="shared" si="178"/>
        <v>no</v>
      </c>
      <c r="L669" t="s">
        <v>444</v>
      </c>
      <c r="M669">
        <v>10502</v>
      </c>
      <c r="N669">
        <v>45</v>
      </c>
      <c r="O669" t="s">
        <v>756</v>
      </c>
      <c r="P669" t="str">
        <f t="shared" si="179"/>
        <v>PERIC_10502_Røgede sild</v>
      </c>
      <c r="Q669" t="str">
        <f t="shared" si="180"/>
        <v>10502</v>
      </c>
      <c r="R669" t="str">
        <f t="shared" si="181"/>
        <v>10502</v>
      </c>
      <c r="S669" t="str">
        <f t="shared" si="182"/>
        <v>Røgede sild</v>
      </c>
      <c r="T669">
        <v>9.5</v>
      </c>
      <c r="U669">
        <v>21</v>
      </c>
      <c r="V669">
        <v>0</v>
      </c>
      <c r="W669">
        <f t="shared" si="183"/>
        <v>199.5</v>
      </c>
      <c r="X669" t="str">
        <f t="shared" si="184"/>
        <v>No</v>
      </c>
      <c r="Y669" s="2">
        <v>34830</v>
      </c>
      <c r="Z669" t="str">
        <f t="shared" si="170"/>
        <v/>
      </c>
      <c r="AA669" t="str">
        <f t="shared" si="185"/>
        <v/>
      </c>
      <c r="AB669" t="str" cm="1">
        <f t="array" ref="AB669">_xlfn.IFS(Y669&lt;DATE(1996,1,1),"",Y669&lt;DATE(1996,4,1),"Q1",Y669&lt;DATE(1996,7,1),"Q2",Y669&gt;=DATE(1996,7,1),"")</f>
        <v/>
      </c>
    </row>
    <row r="670" spans="1:28" ht="14.4" x14ac:dyDescent="0.55000000000000004">
      <c r="A670" t="str">
        <f>VLOOKUP(L670,Customers!$A$2:$B$92,2,FALSE)</f>
        <v>Pericles Comidas clásicas</v>
      </c>
      <c r="B670" t="str">
        <f>VLOOKUP(L670,Customers!$A$2:$C$92,3,TRUE)</f>
        <v>Guillermo Fernández</v>
      </c>
      <c r="C670" t="str">
        <f t="shared" si="171"/>
        <v>Guillermo</v>
      </c>
      <c r="D670" s="8" t="str">
        <f t="shared" si="172"/>
        <v>Fernández</v>
      </c>
      <c r="E670" s="8" t="str">
        <f t="shared" si="173"/>
        <v>Fernández, Guillermo</v>
      </c>
      <c r="F670" s="8" t="str">
        <f t="shared" si="174"/>
        <v>Fernández, Guillermo</v>
      </c>
      <c r="G670" s="8" t="str">
        <f t="shared" si="175"/>
        <v>not an outlier</v>
      </c>
      <c r="H670" s="8" t="str">
        <f t="shared" si="176"/>
        <v>Not</v>
      </c>
      <c r="I670" s="8" t="str">
        <f t="shared" si="186"/>
        <v>no</v>
      </c>
      <c r="J670" s="10" t="str">
        <f t="shared" si="177"/>
        <v>no</v>
      </c>
      <c r="K670" s="10" t="str">
        <f t="shared" si="178"/>
        <v>no</v>
      </c>
      <c r="L670" t="s">
        <v>444</v>
      </c>
      <c r="M670">
        <v>10502</v>
      </c>
      <c r="N670">
        <v>53</v>
      </c>
      <c r="O670" t="s">
        <v>705</v>
      </c>
      <c r="P670" t="str">
        <f t="shared" si="179"/>
        <v>PERIC_10502_Perth Pasties</v>
      </c>
      <c r="Q670" t="str">
        <f t="shared" si="180"/>
        <v>10502</v>
      </c>
      <c r="R670" t="str">
        <f t="shared" si="181"/>
        <v>10502</v>
      </c>
      <c r="S670" t="str">
        <f t="shared" si="182"/>
        <v>Perth Pasties</v>
      </c>
      <c r="T670">
        <v>32.799999999999997</v>
      </c>
      <c r="U670">
        <v>6</v>
      </c>
      <c r="V670">
        <v>0</v>
      </c>
      <c r="W670">
        <f t="shared" si="183"/>
        <v>196.79999999999998</v>
      </c>
      <c r="X670" t="str">
        <f t="shared" si="184"/>
        <v>No</v>
      </c>
      <c r="Y670" s="2">
        <v>34830</v>
      </c>
      <c r="Z670" t="str">
        <f t="shared" si="170"/>
        <v/>
      </c>
      <c r="AA670" t="str">
        <f t="shared" si="185"/>
        <v/>
      </c>
      <c r="AB670" t="str" cm="1">
        <f t="array" ref="AB670">_xlfn.IFS(Y670&lt;DATE(1996,1,1),"",Y670&lt;DATE(1996,4,1),"Q1",Y670&lt;DATE(1996,7,1),"Q2",Y670&gt;=DATE(1996,7,1),"")</f>
        <v/>
      </c>
    </row>
    <row r="671" spans="1:28" ht="14.4" x14ac:dyDescent="0.55000000000000004">
      <c r="A671" t="str">
        <f>VLOOKUP(L671,Customers!$A$2:$B$92,2,FALSE)</f>
        <v>Pericles Comidas clásicas</v>
      </c>
      <c r="B671" t="str">
        <f>VLOOKUP(L671,Customers!$A$2:$C$92,3,TRUE)</f>
        <v>Guillermo Fernández</v>
      </c>
      <c r="C671" t="str">
        <f t="shared" si="171"/>
        <v>Guillermo</v>
      </c>
      <c r="D671" s="8" t="str">
        <f t="shared" si="172"/>
        <v>Fernández</v>
      </c>
      <c r="E671" s="8" t="str">
        <f t="shared" si="173"/>
        <v>Fernández, Guillermo</v>
      </c>
      <c r="F671" s="8" t="str">
        <f t="shared" si="174"/>
        <v>Fernández, Guillermo</v>
      </c>
      <c r="G671" s="8" t="str">
        <f t="shared" si="175"/>
        <v>not an outlier</v>
      </c>
      <c r="H671" s="8" t="str">
        <f t="shared" si="176"/>
        <v>Not</v>
      </c>
      <c r="I671" s="8" t="str">
        <f t="shared" si="186"/>
        <v>no</v>
      </c>
      <c r="J671" s="10" t="str">
        <f t="shared" si="177"/>
        <v>no</v>
      </c>
      <c r="K671" s="10" t="str">
        <f t="shared" si="178"/>
        <v>no</v>
      </c>
      <c r="L671" t="s">
        <v>444</v>
      </c>
      <c r="M671">
        <v>10502</v>
      </c>
      <c r="N671">
        <v>67</v>
      </c>
      <c r="O671" t="s">
        <v>734</v>
      </c>
      <c r="P671" t="str">
        <f t="shared" si="179"/>
        <v>PERIC_10502_Laughing Lumberjack Lager</v>
      </c>
      <c r="Q671" t="str">
        <f t="shared" si="180"/>
        <v>10502</v>
      </c>
      <c r="R671" t="str">
        <f t="shared" si="181"/>
        <v>10502</v>
      </c>
      <c r="S671" t="str">
        <f t="shared" si="182"/>
        <v>Laughing Lumberjack Lager</v>
      </c>
      <c r="T671">
        <v>14</v>
      </c>
      <c r="U671">
        <v>30</v>
      </c>
      <c r="V671">
        <v>0</v>
      </c>
      <c r="W671">
        <f t="shared" si="183"/>
        <v>420</v>
      </c>
      <c r="X671" t="str">
        <f t="shared" si="184"/>
        <v>No</v>
      </c>
      <c r="Y671" s="2">
        <v>34830</v>
      </c>
      <c r="Z671" t="str">
        <f t="shared" si="170"/>
        <v/>
      </c>
      <c r="AA671" t="str">
        <f t="shared" si="185"/>
        <v/>
      </c>
      <c r="AB671" t="str" cm="1">
        <f t="array" ref="AB671">_xlfn.IFS(Y671&lt;DATE(1996,1,1),"",Y671&lt;DATE(1996,4,1),"Q1",Y671&lt;DATE(1996,7,1),"Q2",Y671&gt;=DATE(1996,7,1),"")</f>
        <v/>
      </c>
    </row>
    <row r="672" spans="1:28" ht="14.4" x14ac:dyDescent="0.55000000000000004">
      <c r="A672" t="str">
        <f>VLOOKUP(L672,Customers!$A$2:$B$92,2,FALSE)</f>
        <v>Hungry Owl All-Night Grocers</v>
      </c>
      <c r="B672" t="str">
        <f>VLOOKUP(L672,Customers!$A$2:$C$92,3,TRUE)</f>
        <v>Patricia McKenna</v>
      </c>
      <c r="C672" t="str">
        <f t="shared" si="171"/>
        <v>Patricia</v>
      </c>
      <c r="D672" s="8" t="str">
        <f t="shared" si="172"/>
        <v>McKenna</v>
      </c>
      <c r="E672" s="8" t="str">
        <f t="shared" si="173"/>
        <v>McKenna, Patricia</v>
      </c>
      <c r="F672" s="8" t="str">
        <f t="shared" si="174"/>
        <v>McKenna, Patricia</v>
      </c>
      <c r="G672" s="8" t="str">
        <f t="shared" si="175"/>
        <v>not an outlier</v>
      </c>
      <c r="H672" s="8" t="str">
        <f t="shared" si="176"/>
        <v>Not</v>
      </c>
      <c r="I672" s="8" t="str">
        <f t="shared" si="186"/>
        <v>no</v>
      </c>
      <c r="J672" s="10" t="str">
        <f t="shared" si="177"/>
        <v>no</v>
      </c>
      <c r="K672" s="10" t="str">
        <f t="shared" si="178"/>
        <v>no</v>
      </c>
      <c r="L672" t="s">
        <v>288</v>
      </c>
      <c r="M672">
        <v>10503</v>
      </c>
      <c r="N672">
        <v>14</v>
      </c>
      <c r="O672" t="s">
        <v>686</v>
      </c>
      <c r="P672" t="str">
        <f t="shared" si="179"/>
        <v>HUNGO_10503_Tofu</v>
      </c>
      <c r="Q672" t="str">
        <f t="shared" si="180"/>
        <v>10503</v>
      </c>
      <c r="R672" t="str">
        <f t="shared" si="181"/>
        <v>10503</v>
      </c>
      <c r="S672" t="str">
        <f t="shared" si="182"/>
        <v>Tofu</v>
      </c>
      <c r="T672">
        <v>23.25</v>
      </c>
      <c r="U672">
        <v>70</v>
      </c>
      <c r="V672">
        <v>0</v>
      </c>
      <c r="W672">
        <f t="shared" si="183"/>
        <v>1627.5</v>
      </c>
      <c r="X672" t="str">
        <f t="shared" si="184"/>
        <v>No</v>
      </c>
      <c r="Y672" s="2">
        <v>34831</v>
      </c>
      <c r="Z672" t="str">
        <f t="shared" si="170"/>
        <v/>
      </c>
      <c r="AA672" t="str">
        <f t="shared" si="185"/>
        <v/>
      </c>
      <c r="AB672" t="str" cm="1">
        <f t="array" ref="AB672">_xlfn.IFS(Y672&lt;DATE(1996,1,1),"",Y672&lt;DATE(1996,4,1),"Q1",Y672&lt;DATE(1996,7,1),"Q2",Y672&gt;=DATE(1996,7,1),"")</f>
        <v/>
      </c>
    </row>
    <row r="673" spans="1:28" ht="14.4" x14ac:dyDescent="0.55000000000000004">
      <c r="A673" t="str">
        <f>VLOOKUP(L673,Customers!$A$2:$B$92,2,FALSE)</f>
        <v>Hungry Owl All-Night Grocers</v>
      </c>
      <c r="B673" t="str">
        <f>VLOOKUP(L673,Customers!$A$2:$C$92,3,TRUE)</f>
        <v>Patricia McKenna</v>
      </c>
      <c r="C673" t="str">
        <f t="shared" si="171"/>
        <v>Patricia</v>
      </c>
      <c r="D673" s="8" t="str">
        <f t="shared" si="172"/>
        <v>McKenna</v>
      </c>
      <c r="E673" s="8" t="str">
        <f t="shared" si="173"/>
        <v>McKenna, Patricia</v>
      </c>
      <c r="F673" s="8" t="str">
        <f t="shared" si="174"/>
        <v>McKenna, Patricia</v>
      </c>
      <c r="G673" s="8" t="str">
        <f t="shared" si="175"/>
        <v>not an outlier</v>
      </c>
      <c r="H673" s="8" t="str">
        <f t="shared" si="176"/>
        <v>Not</v>
      </c>
      <c r="I673" s="8" t="str">
        <f t="shared" si="186"/>
        <v>no</v>
      </c>
      <c r="J673" s="10" t="str">
        <f t="shared" si="177"/>
        <v>no</v>
      </c>
      <c r="K673" s="10" t="str">
        <f t="shared" si="178"/>
        <v>no</v>
      </c>
      <c r="L673" t="s">
        <v>288</v>
      </c>
      <c r="M673">
        <v>10503</v>
      </c>
      <c r="N673">
        <v>65</v>
      </c>
      <c r="O673" t="s">
        <v>689</v>
      </c>
      <c r="P673" t="str">
        <f t="shared" si="179"/>
        <v>HUNGO_10503_Louisiana Fiery Hot Pepper Sauce</v>
      </c>
      <c r="Q673" t="str">
        <f t="shared" si="180"/>
        <v>10503</v>
      </c>
      <c r="R673" t="str">
        <f t="shared" si="181"/>
        <v>10503</v>
      </c>
      <c r="S673" t="str">
        <f t="shared" si="182"/>
        <v>Louisiana Fiery Hot Pepper Sauce</v>
      </c>
      <c r="T673">
        <v>21.05</v>
      </c>
      <c r="U673">
        <v>20</v>
      </c>
      <c r="V673">
        <v>0</v>
      </c>
      <c r="W673">
        <f t="shared" si="183"/>
        <v>421</v>
      </c>
      <c r="X673" t="str">
        <f t="shared" si="184"/>
        <v>No</v>
      </c>
      <c r="Y673" s="2">
        <v>34831</v>
      </c>
      <c r="Z673" t="str">
        <f t="shared" si="170"/>
        <v/>
      </c>
      <c r="AA673" t="str">
        <f t="shared" si="185"/>
        <v/>
      </c>
      <c r="AB673" t="str" cm="1">
        <f t="array" ref="AB673">_xlfn.IFS(Y673&lt;DATE(1996,1,1),"",Y673&lt;DATE(1996,4,1),"Q1",Y673&lt;DATE(1996,7,1),"Q2",Y673&gt;=DATE(1996,7,1),"")</f>
        <v/>
      </c>
    </row>
    <row r="674" spans="1:28" ht="14.4" x14ac:dyDescent="0.55000000000000004">
      <c r="A674" t="str">
        <f>VLOOKUP(L674,Customers!$A$2:$B$92,2,FALSE)</f>
        <v>White Clover Markets</v>
      </c>
      <c r="B674" t="str">
        <f>VLOOKUP(L674,Customers!$A$2:$C$92,3,TRUE)</f>
        <v>Karl Jablonski</v>
      </c>
      <c r="C674" t="str">
        <f t="shared" si="171"/>
        <v>Karl</v>
      </c>
      <c r="D674" s="8" t="str">
        <f t="shared" si="172"/>
        <v>Jablonski</v>
      </c>
      <c r="E674" s="8" t="str">
        <f t="shared" si="173"/>
        <v>Jablonski, Karl</v>
      </c>
      <c r="F674" s="8" t="str">
        <f t="shared" si="174"/>
        <v>Jablonski, Karl</v>
      </c>
      <c r="G674" s="8" t="str">
        <f t="shared" si="175"/>
        <v>not an outlier</v>
      </c>
      <c r="H674" s="8" t="str">
        <f t="shared" si="176"/>
        <v>Not</v>
      </c>
      <c r="I674" s="8" t="str">
        <f t="shared" si="186"/>
        <v>no</v>
      </c>
      <c r="J674" s="10" t="str">
        <f t="shared" si="177"/>
        <v>no</v>
      </c>
      <c r="K674" s="10" t="str">
        <f t="shared" si="178"/>
        <v>no</v>
      </c>
      <c r="L674" t="s">
        <v>654</v>
      </c>
      <c r="M674">
        <v>10504</v>
      </c>
      <c r="N674">
        <v>2</v>
      </c>
      <c r="O674" t="s">
        <v>701</v>
      </c>
      <c r="P674" t="str">
        <f t="shared" si="179"/>
        <v>WHITC_10504_Chang</v>
      </c>
      <c r="Q674" t="str">
        <f t="shared" si="180"/>
        <v>10504</v>
      </c>
      <c r="R674" t="str">
        <f t="shared" si="181"/>
        <v>10504</v>
      </c>
      <c r="S674" t="str">
        <f t="shared" si="182"/>
        <v>Chang</v>
      </c>
      <c r="T674">
        <v>19</v>
      </c>
      <c r="U674">
        <v>12</v>
      </c>
      <c r="V674">
        <v>0</v>
      </c>
      <c r="W674">
        <f t="shared" si="183"/>
        <v>228</v>
      </c>
      <c r="X674" t="str">
        <f t="shared" si="184"/>
        <v>No</v>
      </c>
      <c r="Y674" s="2">
        <v>34831</v>
      </c>
      <c r="Z674" t="str">
        <f t="shared" si="170"/>
        <v/>
      </c>
      <c r="AA674" t="str">
        <f t="shared" si="185"/>
        <v/>
      </c>
      <c r="AB674" t="str" cm="1">
        <f t="array" ref="AB674">_xlfn.IFS(Y674&lt;DATE(1996,1,1),"",Y674&lt;DATE(1996,4,1),"Q1",Y674&lt;DATE(1996,7,1),"Q2",Y674&gt;=DATE(1996,7,1),"")</f>
        <v/>
      </c>
    </row>
    <row r="675" spans="1:28" ht="14.4" x14ac:dyDescent="0.55000000000000004">
      <c r="A675" t="str">
        <f>VLOOKUP(L675,Customers!$A$2:$B$92,2,FALSE)</f>
        <v>White Clover Markets</v>
      </c>
      <c r="B675" t="str">
        <f>VLOOKUP(L675,Customers!$A$2:$C$92,3,TRUE)</f>
        <v>Karl Jablonski</v>
      </c>
      <c r="C675" t="str">
        <f t="shared" si="171"/>
        <v>Karl</v>
      </c>
      <c r="D675" s="8" t="str">
        <f t="shared" si="172"/>
        <v>Jablonski</v>
      </c>
      <c r="E675" s="8" t="str">
        <f t="shared" si="173"/>
        <v>Jablonski, Karl</v>
      </c>
      <c r="F675" s="8" t="str">
        <f t="shared" si="174"/>
        <v>Jablonski, Karl</v>
      </c>
      <c r="G675" s="8" t="str">
        <f t="shared" si="175"/>
        <v>not an outlier</v>
      </c>
      <c r="H675" s="8" t="str">
        <f t="shared" si="176"/>
        <v>Not</v>
      </c>
      <c r="I675" s="8" t="str">
        <f t="shared" si="186"/>
        <v>no</v>
      </c>
      <c r="J675" s="10" t="str">
        <f t="shared" si="177"/>
        <v>no</v>
      </c>
      <c r="K675" s="10" t="str">
        <f t="shared" si="178"/>
        <v>no</v>
      </c>
      <c r="L675" t="s">
        <v>654</v>
      </c>
      <c r="M675">
        <v>10504</v>
      </c>
      <c r="N675">
        <v>21</v>
      </c>
      <c r="O675" t="s">
        <v>710</v>
      </c>
      <c r="P675" t="str">
        <f t="shared" si="179"/>
        <v>WHITC_10504_Sir Rodney's Scones</v>
      </c>
      <c r="Q675" t="str">
        <f t="shared" si="180"/>
        <v>10504</v>
      </c>
      <c r="R675" t="str">
        <f t="shared" si="181"/>
        <v>10504</v>
      </c>
      <c r="S675" t="str">
        <f t="shared" si="182"/>
        <v>Sir Rodney's Scones</v>
      </c>
      <c r="T675">
        <v>10</v>
      </c>
      <c r="U675">
        <v>12</v>
      </c>
      <c r="V675">
        <v>0</v>
      </c>
      <c r="W675">
        <f t="shared" si="183"/>
        <v>120</v>
      </c>
      <c r="X675" t="str">
        <f t="shared" si="184"/>
        <v>No</v>
      </c>
      <c r="Y675" s="2">
        <v>34831</v>
      </c>
      <c r="Z675" t="str">
        <f t="shared" si="170"/>
        <v/>
      </c>
      <c r="AA675" t="str">
        <f t="shared" si="185"/>
        <v/>
      </c>
      <c r="AB675" t="str" cm="1">
        <f t="array" ref="AB675">_xlfn.IFS(Y675&lt;DATE(1996,1,1),"",Y675&lt;DATE(1996,4,1),"Q1",Y675&lt;DATE(1996,7,1),"Q2",Y675&gt;=DATE(1996,7,1),"")</f>
        <v/>
      </c>
    </row>
    <row r="676" spans="1:28" ht="14.4" x14ac:dyDescent="0.55000000000000004">
      <c r="A676" t="str">
        <f>VLOOKUP(L676,Customers!$A$2:$B$92,2,FALSE)</f>
        <v>White Clover Markets</v>
      </c>
      <c r="B676" t="str">
        <f>VLOOKUP(L676,Customers!$A$2:$C$92,3,TRUE)</f>
        <v>Karl Jablonski</v>
      </c>
      <c r="C676" t="str">
        <f t="shared" si="171"/>
        <v>Karl</v>
      </c>
      <c r="D676" s="8" t="str">
        <f t="shared" si="172"/>
        <v>Jablonski</v>
      </c>
      <c r="E676" s="8" t="str">
        <f t="shared" si="173"/>
        <v>Jablonski, Karl</v>
      </c>
      <c r="F676" s="8" t="str">
        <f t="shared" si="174"/>
        <v>Jablonski, Karl</v>
      </c>
      <c r="G676" s="8" t="str">
        <f t="shared" si="175"/>
        <v>not an outlier</v>
      </c>
      <c r="H676" s="8" t="str">
        <f t="shared" si="176"/>
        <v>Not</v>
      </c>
      <c r="I676" s="8" t="str">
        <f t="shared" si="186"/>
        <v>no</v>
      </c>
      <c r="J676" s="10" t="str">
        <f t="shared" si="177"/>
        <v>no</v>
      </c>
      <c r="K676" s="10" t="str">
        <f t="shared" si="178"/>
        <v>no</v>
      </c>
      <c r="L676" t="s">
        <v>654</v>
      </c>
      <c r="M676">
        <v>10504</v>
      </c>
      <c r="N676">
        <v>53</v>
      </c>
      <c r="O676" t="s">
        <v>705</v>
      </c>
      <c r="P676" t="str">
        <f t="shared" si="179"/>
        <v>WHITC_10504_Perth Pasties</v>
      </c>
      <c r="Q676" t="str">
        <f t="shared" si="180"/>
        <v>10504</v>
      </c>
      <c r="R676" t="str">
        <f t="shared" si="181"/>
        <v>10504</v>
      </c>
      <c r="S676" t="str">
        <f t="shared" si="182"/>
        <v>Perth Pasties</v>
      </c>
      <c r="T676">
        <v>32.799999999999997</v>
      </c>
      <c r="U676">
        <v>10</v>
      </c>
      <c r="V676">
        <v>0</v>
      </c>
      <c r="W676">
        <f t="shared" si="183"/>
        <v>328</v>
      </c>
      <c r="X676" t="str">
        <f t="shared" si="184"/>
        <v>No</v>
      </c>
      <c r="Y676" s="2">
        <v>34831</v>
      </c>
      <c r="Z676" t="str">
        <f t="shared" si="170"/>
        <v/>
      </c>
      <c r="AA676" t="str">
        <f t="shared" si="185"/>
        <v/>
      </c>
      <c r="AB676" t="str" cm="1">
        <f t="array" ref="AB676">_xlfn.IFS(Y676&lt;DATE(1996,1,1),"",Y676&lt;DATE(1996,4,1),"Q1",Y676&lt;DATE(1996,7,1),"Q2",Y676&gt;=DATE(1996,7,1),"")</f>
        <v/>
      </c>
    </row>
    <row r="677" spans="1:28" ht="14.4" x14ac:dyDescent="0.55000000000000004">
      <c r="A677" t="str">
        <f>VLOOKUP(L677,Customers!$A$2:$B$92,2,FALSE)</f>
        <v>White Clover Markets</v>
      </c>
      <c r="B677" t="str">
        <f>VLOOKUP(L677,Customers!$A$2:$C$92,3,TRUE)</f>
        <v>Karl Jablonski</v>
      </c>
      <c r="C677" t="str">
        <f t="shared" si="171"/>
        <v>Karl</v>
      </c>
      <c r="D677" s="8" t="str">
        <f t="shared" si="172"/>
        <v>Jablonski</v>
      </c>
      <c r="E677" s="8" t="str">
        <f t="shared" si="173"/>
        <v>Jablonski, Karl</v>
      </c>
      <c r="F677" s="8" t="str">
        <f t="shared" si="174"/>
        <v>Jablonski, Karl</v>
      </c>
      <c r="G677" s="8" t="str">
        <f t="shared" si="175"/>
        <v>not an outlier</v>
      </c>
      <c r="H677" s="8" t="str">
        <f t="shared" si="176"/>
        <v>Not</v>
      </c>
      <c r="I677" s="8" t="str">
        <f t="shared" si="186"/>
        <v>no</v>
      </c>
      <c r="J677" s="10" t="str">
        <f t="shared" si="177"/>
        <v>no</v>
      </c>
      <c r="K677" s="10" t="str">
        <f t="shared" si="178"/>
        <v>no</v>
      </c>
      <c r="L677" t="s">
        <v>654</v>
      </c>
      <c r="M677">
        <v>10504</v>
      </c>
      <c r="N677">
        <v>61</v>
      </c>
      <c r="O677" t="s">
        <v>758</v>
      </c>
      <c r="P677" t="str">
        <f t="shared" si="179"/>
        <v>WHITC_10504_Sirop d'érable</v>
      </c>
      <c r="Q677" t="str">
        <f t="shared" si="180"/>
        <v>10504</v>
      </c>
      <c r="R677" t="str">
        <f t="shared" si="181"/>
        <v>10504</v>
      </c>
      <c r="S677" t="str">
        <f t="shared" si="182"/>
        <v>Sirop d'érable</v>
      </c>
      <c r="T677">
        <v>28.5</v>
      </c>
      <c r="U677">
        <v>25</v>
      </c>
      <c r="V677">
        <v>0</v>
      </c>
      <c r="W677">
        <f t="shared" si="183"/>
        <v>712.5</v>
      </c>
      <c r="X677" t="str">
        <f t="shared" si="184"/>
        <v>No</v>
      </c>
      <c r="Y677" s="2">
        <v>34831</v>
      </c>
      <c r="Z677" t="str">
        <f t="shared" si="170"/>
        <v/>
      </c>
      <c r="AA677" t="str">
        <f t="shared" si="185"/>
        <v/>
      </c>
      <c r="AB677" t="str" cm="1">
        <f t="array" ref="AB677">_xlfn.IFS(Y677&lt;DATE(1996,1,1),"",Y677&lt;DATE(1996,4,1),"Q1",Y677&lt;DATE(1996,7,1),"Q2",Y677&gt;=DATE(1996,7,1),"")</f>
        <v/>
      </c>
    </row>
    <row r="678" spans="1:28" ht="14.4" x14ac:dyDescent="0.55000000000000004">
      <c r="A678" t="str">
        <f>VLOOKUP(L678,Customers!$A$2:$B$92,2,FALSE)</f>
        <v>Mère Paillarde</v>
      </c>
      <c r="B678" t="str">
        <f>VLOOKUP(L678,Customers!$A$2:$C$92,3,TRUE)</f>
        <v>Jean Fresnière</v>
      </c>
      <c r="C678" t="str">
        <f t="shared" si="171"/>
        <v>Jean</v>
      </c>
      <c r="D678" s="8" t="str">
        <f t="shared" si="172"/>
        <v>Fresnière</v>
      </c>
      <c r="E678" s="8" t="str">
        <f t="shared" si="173"/>
        <v>Fresnière, Jean</v>
      </c>
      <c r="F678" s="8" t="str">
        <f t="shared" si="174"/>
        <v>Fresnière, Jean</v>
      </c>
      <c r="G678" s="8" t="str">
        <f t="shared" si="175"/>
        <v>not an outlier</v>
      </c>
      <c r="H678" s="8" t="str">
        <f t="shared" si="176"/>
        <v>Not</v>
      </c>
      <c r="I678" s="8" t="str">
        <f t="shared" si="186"/>
        <v>no</v>
      </c>
      <c r="J678" s="10" t="str">
        <f t="shared" si="177"/>
        <v>no</v>
      </c>
      <c r="K678" s="10" t="str">
        <f t="shared" si="178"/>
        <v>no</v>
      </c>
      <c r="L678" t="s">
        <v>394</v>
      </c>
      <c r="M678">
        <v>10505</v>
      </c>
      <c r="N678">
        <v>62</v>
      </c>
      <c r="O678" t="s">
        <v>712</v>
      </c>
      <c r="P678" t="str">
        <f t="shared" si="179"/>
        <v>MEREP_10505_Tarte au sucre</v>
      </c>
      <c r="Q678" t="str">
        <f t="shared" si="180"/>
        <v>10505</v>
      </c>
      <c r="R678" t="str">
        <f t="shared" si="181"/>
        <v>10505</v>
      </c>
      <c r="S678" t="str">
        <f t="shared" si="182"/>
        <v>Tarte au sucre</v>
      </c>
      <c r="T678">
        <v>49.3</v>
      </c>
      <c r="U678">
        <v>3</v>
      </c>
      <c r="V678">
        <v>0</v>
      </c>
      <c r="W678">
        <f t="shared" si="183"/>
        <v>147.89999999999998</v>
      </c>
      <c r="X678" t="str">
        <f t="shared" si="184"/>
        <v>No</v>
      </c>
      <c r="Y678" s="2">
        <v>34834</v>
      </c>
      <c r="Z678" t="str">
        <f t="shared" si="170"/>
        <v/>
      </c>
      <c r="AA678" t="str">
        <f t="shared" si="185"/>
        <v/>
      </c>
      <c r="AB678" t="str" cm="1">
        <f t="array" ref="AB678">_xlfn.IFS(Y678&lt;DATE(1996,1,1),"",Y678&lt;DATE(1996,4,1),"Q1",Y678&lt;DATE(1996,7,1),"Q2",Y678&gt;=DATE(1996,7,1),"")</f>
        <v/>
      </c>
    </row>
    <row r="679" spans="1:28" ht="14.4" x14ac:dyDescent="0.55000000000000004">
      <c r="A679" t="str">
        <f>VLOOKUP(L679,Customers!$A$2:$B$92,2,FALSE)</f>
        <v>Königlich Essen</v>
      </c>
      <c r="B679" t="str">
        <f>VLOOKUP(L679,Customers!$A$2:$C$92,3,TRUE)</f>
        <v>Philip Cramer</v>
      </c>
      <c r="C679" t="str">
        <f t="shared" si="171"/>
        <v>Philip</v>
      </c>
      <c r="D679" s="8" t="str">
        <f t="shared" si="172"/>
        <v>Cramer</v>
      </c>
      <c r="E679" s="8" t="str">
        <f t="shared" si="173"/>
        <v>Cramer, Philip</v>
      </c>
      <c r="F679" s="8" t="str">
        <f t="shared" si="174"/>
        <v>Cramer, Philip</v>
      </c>
      <c r="G679" s="8" t="str">
        <f t="shared" si="175"/>
        <v>not an outlier</v>
      </c>
      <c r="H679" s="8" t="str">
        <f t="shared" si="176"/>
        <v>Not</v>
      </c>
      <c r="I679" s="8" t="str">
        <f t="shared" si="186"/>
        <v>no</v>
      </c>
      <c r="J679" s="10" t="str">
        <f t="shared" si="177"/>
        <v>no</v>
      </c>
      <c r="K679" s="10" t="str">
        <f t="shared" si="178"/>
        <v>no</v>
      </c>
      <c r="L679" t="s">
        <v>305</v>
      </c>
      <c r="M679">
        <v>10506</v>
      </c>
      <c r="N679">
        <v>25</v>
      </c>
      <c r="O679" t="s">
        <v>749</v>
      </c>
      <c r="P679" t="str">
        <f t="shared" si="179"/>
        <v>KOENE_10506_NuNuCa Nuß-Nougat-Creme</v>
      </c>
      <c r="Q679" t="str">
        <f t="shared" si="180"/>
        <v>10506</v>
      </c>
      <c r="R679" t="str">
        <f t="shared" si="181"/>
        <v>10506</v>
      </c>
      <c r="S679" t="str">
        <f t="shared" si="182"/>
        <v>NuNuCa Nuß-Nougat-Creme</v>
      </c>
      <c r="T679">
        <v>14</v>
      </c>
      <c r="U679">
        <v>18</v>
      </c>
      <c r="V679">
        <v>0.1</v>
      </c>
      <c r="W679">
        <f t="shared" si="183"/>
        <v>226.8</v>
      </c>
      <c r="X679" t="str">
        <f t="shared" si="184"/>
        <v>No</v>
      </c>
      <c r="Y679" s="2">
        <v>34835</v>
      </c>
      <c r="Z679" t="str">
        <f t="shared" si="170"/>
        <v/>
      </c>
      <c r="AA679" t="str">
        <f t="shared" si="185"/>
        <v/>
      </c>
      <c r="AB679" t="str" cm="1">
        <f t="array" ref="AB679">_xlfn.IFS(Y679&lt;DATE(1996,1,1),"",Y679&lt;DATE(1996,4,1),"Q1",Y679&lt;DATE(1996,7,1),"Q2",Y679&gt;=DATE(1996,7,1),"")</f>
        <v/>
      </c>
    </row>
    <row r="680" spans="1:28" ht="14.4" x14ac:dyDescent="0.55000000000000004">
      <c r="A680" t="str">
        <f>VLOOKUP(L680,Customers!$A$2:$B$92,2,FALSE)</f>
        <v>Königlich Essen</v>
      </c>
      <c r="B680" t="str">
        <f>VLOOKUP(L680,Customers!$A$2:$C$92,3,TRUE)</f>
        <v>Philip Cramer</v>
      </c>
      <c r="C680" t="str">
        <f t="shared" si="171"/>
        <v>Philip</v>
      </c>
      <c r="D680" s="8" t="str">
        <f t="shared" si="172"/>
        <v>Cramer</v>
      </c>
      <c r="E680" s="8" t="str">
        <f t="shared" si="173"/>
        <v>Cramer, Philip</v>
      </c>
      <c r="F680" s="8" t="str">
        <f t="shared" si="174"/>
        <v>Cramer, Philip</v>
      </c>
      <c r="G680" s="8" t="str">
        <f t="shared" si="175"/>
        <v>not an outlier</v>
      </c>
      <c r="H680" s="8" t="str">
        <f t="shared" si="176"/>
        <v>Not</v>
      </c>
      <c r="I680" s="8" t="str">
        <f t="shared" si="186"/>
        <v>no</v>
      </c>
      <c r="J680" s="10" t="str">
        <f t="shared" si="177"/>
        <v>no</v>
      </c>
      <c r="K680" s="10" t="str">
        <f t="shared" si="178"/>
        <v>no</v>
      </c>
      <c r="L680" t="s">
        <v>305</v>
      </c>
      <c r="M680">
        <v>10506</v>
      </c>
      <c r="N680">
        <v>70</v>
      </c>
      <c r="O680" t="s">
        <v>713</v>
      </c>
      <c r="P680" t="str">
        <f t="shared" si="179"/>
        <v>KOENE_10506_Outback Lager</v>
      </c>
      <c r="Q680" t="str">
        <f t="shared" si="180"/>
        <v>10506</v>
      </c>
      <c r="R680" t="str">
        <f t="shared" si="181"/>
        <v>10506</v>
      </c>
      <c r="S680" t="str">
        <f t="shared" si="182"/>
        <v>Outback Lager</v>
      </c>
      <c r="T680">
        <v>15</v>
      </c>
      <c r="U680">
        <v>14</v>
      </c>
      <c r="V680">
        <v>0.1</v>
      </c>
      <c r="W680">
        <f t="shared" si="183"/>
        <v>189</v>
      </c>
      <c r="X680" t="str">
        <f t="shared" si="184"/>
        <v>No</v>
      </c>
      <c r="Y680" s="2">
        <v>34835</v>
      </c>
      <c r="Z680" t="str">
        <f t="shared" si="170"/>
        <v/>
      </c>
      <c r="AA680" t="str">
        <f t="shared" si="185"/>
        <v/>
      </c>
      <c r="AB680" t="str" cm="1">
        <f t="array" ref="AB680">_xlfn.IFS(Y680&lt;DATE(1996,1,1),"",Y680&lt;DATE(1996,4,1),"Q1",Y680&lt;DATE(1996,7,1),"Q2",Y680&gt;=DATE(1996,7,1),"")</f>
        <v/>
      </c>
    </row>
    <row r="681" spans="1:28" ht="14.4" x14ac:dyDescent="0.55000000000000004">
      <c r="A681" t="str">
        <f>VLOOKUP(L681,Customers!$A$2:$B$92,2,FALSE)</f>
        <v>Antonio Moreno Taquería</v>
      </c>
      <c r="B681" t="str">
        <f>VLOOKUP(L681,Customers!$A$2:$C$92,3,TRUE)</f>
        <v>Antonio Moreno</v>
      </c>
      <c r="C681" t="str">
        <f t="shared" si="171"/>
        <v>Antonio</v>
      </c>
      <c r="D681" s="8" t="str">
        <f t="shared" si="172"/>
        <v>Moreno</v>
      </c>
      <c r="E681" s="8" t="str">
        <f t="shared" si="173"/>
        <v>Moreno, Antonio</v>
      </c>
      <c r="F681" s="8" t="str">
        <f t="shared" si="174"/>
        <v>Moreno, Antonio</v>
      </c>
      <c r="G681" s="8" t="str">
        <f t="shared" si="175"/>
        <v>not an outlier</v>
      </c>
      <c r="H681" s="8" t="str">
        <f t="shared" si="176"/>
        <v>Not</v>
      </c>
      <c r="I681" s="8" t="str">
        <f t="shared" si="186"/>
        <v>no</v>
      </c>
      <c r="J681" s="10" t="str">
        <f t="shared" si="177"/>
        <v>no</v>
      </c>
      <c r="K681" s="10" t="str">
        <f t="shared" si="178"/>
        <v>no</v>
      </c>
      <c r="L681" t="s">
        <v>29</v>
      </c>
      <c r="M681">
        <v>10507</v>
      </c>
      <c r="N681">
        <v>43</v>
      </c>
      <c r="O681" t="s">
        <v>723</v>
      </c>
      <c r="P681" t="str">
        <f t="shared" si="179"/>
        <v>ANTON_10507_Ipoh Coffee</v>
      </c>
      <c r="Q681" t="str">
        <f t="shared" si="180"/>
        <v>10507</v>
      </c>
      <c r="R681" t="str">
        <f t="shared" si="181"/>
        <v>10507</v>
      </c>
      <c r="S681" t="str">
        <f t="shared" si="182"/>
        <v>Ipoh Coffee</v>
      </c>
      <c r="T681">
        <v>46</v>
      </c>
      <c r="U681">
        <v>15</v>
      </c>
      <c r="V681">
        <v>0.15</v>
      </c>
      <c r="W681">
        <f t="shared" si="183"/>
        <v>586.5</v>
      </c>
      <c r="X681" t="str">
        <f t="shared" si="184"/>
        <v>No</v>
      </c>
      <c r="Y681" s="2">
        <v>34835</v>
      </c>
      <c r="Z681" t="str">
        <f t="shared" si="170"/>
        <v/>
      </c>
      <c r="AA681" t="str">
        <f t="shared" si="185"/>
        <v/>
      </c>
      <c r="AB681" t="str" cm="1">
        <f t="array" ref="AB681">_xlfn.IFS(Y681&lt;DATE(1996,1,1),"",Y681&lt;DATE(1996,4,1),"Q1",Y681&lt;DATE(1996,7,1),"Q2",Y681&gt;=DATE(1996,7,1),"")</f>
        <v/>
      </c>
    </row>
    <row r="682" spans="1:28" ht="14.4" x14ac:dyDescent="0.55000000000000004">
      <c r="A682" t="str">
        <f>VLOOKUP(L682,Customers!$A$2:$B$92,2,FALSE)</f>
        <v>Antonio Moreno Taquería</v>
      </c>
      <c r="B682" t="str">
        <f>VLOOKUP(L682,Customers!$A$2:$C$92,3,TRUE)</f>
        <v>Antonio Moreno</v>
      </c>
      <c r="C682" t="str">
        <f t="shared" si="171"/>
        <v>Antonio</v>
      </c>
      <c r="D682" s="8" t="str">
        <f t="shared" si="172"/>
        <v>Moreno</v>
      </c>
      <c r="E682" s="8" t="str">
        <f t="shared" si="173"/>
        <v>Moreno, Antonio</v>
      </c>
      <c r="F682" s="8" t="str">
        <f t="shared" si="174"/>
        <v>Moreno, Antonio</v>
      </c>
      <c r="G682" s="8" t="str">
        <f t="shared" si="175"/>
        <v>not an outlier</v>
      </c>
      <c r="H682" s="8" t="str">
        <f t="shared" si="176"/>
        <v>Not</v>
      </c>
      <c r="I682" s="8" t="str">
        <f t="shared" si="186"/>
        <v>no</v>
      </c>
      <c r="J682" s="10" t="str">
        <f t="shared" si="177"/>
        <v>no</v>
      </c>
      <c r="K682" s="10" t="str">
        <f t="shared" si="178"/>
        <v>no</v>
      </c>
      <c r="L682" t="s">
        <v>29</v>
      </c>
      <c r="M682">
        <v>10507</v>
      </c>
      <c r="N682">
        <v>48</v>
      </c>
      <c r="O682" t="s">
        <v>757</v>
      </c>
      <c r="P682" t="str">
        <f t="shared" si="179"/>
        <v>ANTON_10507_Chocolade</v>
      </c>
      <c r="Q682" t="str">
        <f t="shared" si="180"/>
        <v>10507</v>
      </c>
      <c r="R682" t="str">
        <f t="shared" si="181"/>
        <v>10507</v>
      </c>
      <c r="S682" t="str">
        <f t="shared" si="182"/>
        <v>Chocolade</v>
      </c>
      <c r="T682">
        <v>12.75</v>
      </c>
      <c r="U682">
        <v>15</v>
      </c>
      <c r="V682">
        <v>0.15</v>
      </c>
      <c r="W682">
        <f t="shared" si="183"/>
        <v>162.5625</v>
      </c>
      <c r="X682" t="str">
        <f t="shared" si="184"/>
        <v>No</v>
      </c>
      <c r="Y682" s="2">
        <v>34835</v>
      </c>
      <c r="Z682" t="str">
        <f t="shared" si="170"/>
        <v/>
      </c>
      <c r="AA682" t="str">
        <f t="shared" si="185"/>
        <v/>
      </c>
      <c r="AB682" t="str" cm="1">
        <f t="array" ref="AB682">_xlfn.IFS(Y682&lt;DATE(1996,1,1),"",Y682&lt;DATE(1996,4,1),"Q1",Y682&lt;DATE(1996,7,1),"Q2",Y682&gt;=DATE(1996,7,1),"")</f>
        <v/>
      </c>
    </row>
    <row r="683" spans="1:28" ht="14.4" x14ac:dyDescent="0.55000000000000004">
      <c r="A683" t="str">
        <f>VLOOKUP(L683,Customers!$A$2:$B$92,2,FALSE)</f>
        <v>Ottilies Käseladen</v>
      </c>
      <c r="B683" t="str">
        <f>VLOOKUP(L683,Customers!$A$2:$C$92,3,TRUE)</f>
        <v>Henriette Pfalzheim</v>
      </c>
      <c r="C683" t="str">
        <f t="shared" si="171"/>
        <v>Henriette</v>
      </c>
      <c r="D683" s="8" t="str">
        <f t="shared" si="172"/>
        <v>Pfalzheim</v>
      </c>
      <c r="E683" s="8" t="str">
        <f t="shared" si="173"/>
        <v>Pfalzheim, Henriette</v>
      </c>
      <c r="F683" s="8" t="str">
        <f t="shared" si="174"/>
        <v>Pfalzheim, Henriette</v>
      </c>
      <c r="G683" s="8" t="str">
        <f t="shared" si="175"/>
        <v>not an outlier</v>
      </c>
      <c r="H683" s="8" t="str">
        <f t="shared" si="176"/>
        <v>Not</v>
      </c>
      <c r="I683" s="8" t="str">
        <f t="shared" si="186"/>
        <v>no</v>
      </c>
      <c r="J683" s="10" t="str">
        <f t="shared" si="177"/>
        <v>no</v>
      </c>
      <c r="K683" s="10" t="str">
        <f t="shared" si="178"/>
        <v>no</v>
      </c>
      <c r="L683" t="s">
        <v>430</v>
      </c>
      <c r="M683">
        <v>10508</v>
      </c>
      <c r="N683">
        <v>13</v>
      </c>
      <c r="O683" t="s">
        <v>726</v>
      </c>
      <c r="P683" t="str">
        <f t="shared" si="179"/>
        <v>OTTIK_10508_Konbu</v>
      </c>
      <c r="Q683" t="str">
        <f t="shared" si="180"/>
        <v>10508</v>
      </c>
      <c r="R683" t="str">
        <f t="shared" si="181"/>
        <v>10508</v>
      </c>
      <c r="S683" t="str">
        <f t="shared" si="182"/>
        <v>Konbu</v>
      </c>
      <c r="T683">
        <v>6</v>
      </c>
      <c r="U683">
        <v>10</v>
      </c>
      <c r="V683">
        <v>0</v>
      </c>
      <c r="W683">
        <f t="shared" si="183"/>
        <v>60</v>
      </c>
      <c r="X683" t="str">
        <f t="shared" si="184"/>
        <v>No</v>
      </c>
      <c r="Y683" s="2">
        <v>34836</v>
      </c>
      <c r="Z683" t="str">
        <f t="shared" si="170"/>
        <v/>
      </c>
      <c r="AA683" t="str">
        <f t="shared" si="185"/>
        <v/>
      </c>
      <c r="AB683" t="str" cm="1">
        <f t="array" ref="AB683">_xlfn.IFS(Y683&lt;DATE(1996,1,1),"",Y683&lt;DATE(1996,4,1),"Q1",Y683&lt;DATE(1996,7,1),"Q2",Y683&gt;=DATE(1996,7,1),"")</f>
        <v/>
      </c>
    </row>
    <row r="684" spans="1:28" ht="14.4" x14ac:dyDescent="0.55000000000000004">
      <c r="A684" t="str">
        <f>VLOOKUP(L684,Customers!$A$2:$B$92,2,FALSE)</f>
        <v>Ottilies Käseladen</v>
      </c>
      <c r="B684" t="str">
        <f>VLOOKUP(L684,Customers!$A$2:$C$92,3,TRUE)</f>
        <v>Henriette Pfalzheim</v>
      </c>
      <c r="C684" t="str">
        <f t="shared" si="171"/>
        <v>Henriette</v>
      </c>
      <c r="D684" s="8" t="str">
        <f t="shared" si="172"/>
        <v>Pfalzheim</v>
      </c>
      <c r="E684" s="8" t="str">
        <f t="shared" si="173"/>
        <v>Pfalzheim, Henriette</v>
      </c>
      <c r="F684" s="8" t="str">
        <f t="shared" si="174"/>
        <v>Pfalzheim, Henriette</v>
      </c>
      <c r="G684" s="8" t="str">
        <f t="shared" si="175"/>
        <v>not an outlier</v>
      </c>
      <c r="H684" s="8" t="str">
        <f t="shared" si="176"/>
        <v>Not</v>
      </c>
      <c r="I684" s="8" t="str">
        <f t="shared" si="186"/>
        <v>no</v>
      </c>
      <c r="J684" s="10" t="str">
        <f t="shared" si="177"/>
        <v>no</v>
      </c>
      <c r="K684" s="10" t="str">
        <f t="shared" si="178"/>
        <v>no</v>
      </c>
      <c r="L684" t="s">
        <v>430</v>
      </c>
      <c r="M684">
        <v>10508</v>
      </c>
      <c r="N684">
        <v>39</v>
      </c>
      <c r="O684" t="s">
        <v>696</v>
      </c>
      <c r="P684" t="str">
        <f t="shared" si="179"/>
        <v>OTTIK_10508_Chartreuse verte</v>
      </c>
      <c r="Q684" t="str">
        <f t="shared" si="180"/>
        <v>10508</v>
      </c>
      <c r="R684" t="str">
        <f t="shared" si="181"/>
        <v>10508</v>
      </c>
      <c r="S684" t="str">
        <f t="shared" si="182"/>
        <v>Chartreuse verte</v>
      </c>
      <c r="T684">
        <v>18</v>
      </c>
      <c r="U684">
        <v>10</v>
      </c>
      <c r="V684">
        <v>0</v>
      </c>
      <c r="W684">
        <f t="shared" si="183"/>
        <v>180</v>
      </c>
      <c r="X684" t="str">
        <f t="shared" si="184"/>
        <v>No</v>
      </c>
      <c r="Y684" s="2">
        <v>34836</v>
      </c>
      <c r="Z684" t="str">
        <f t="shared" si="170"/>
        <v/>
      </c>
      <c r="AA684" t="str">
        <f t="shared" si="185"/>
        <v/>
      </c>
      <c r="AB684" t="str" cm="1">
        <f t="array" ref="AB684">_xlfn.IFS(Y684&lt;DATE(1996,1,1),"",Y684&lt;DATE(1996,4,1),"Q1",Y684&lt;DATE(1996,7,1),"Q2",Y684&gt;=DATE(1996,7,1),"")</f>
        <v/>
      </c>
    </row>
    <row r="685" spans="1:28" ht="14.4" x14ac:dyDescent="0.55000000000000004">
      <c r="A685" t="str">
        <f>VLOOKUP(L685,Customers!$A$2:$B$92,2,FALSE)</f>
        <v>Blauer See Delikatessen</v>
      </c>
      <c r="B685" t="str">
        <f>VLOOKUP(L685,Customers!$A$2:$C$92,3,TRUE)</f>
        <v>Hanna Moos</v>
      </c>
      <c r="C685" t="str">
        <f t="shared" si="171"/>
        <v>Hanna</v>
      </c>
      <c r="D685" s="8" t="str">
        <f t="shared" si="172"/>
        <v>Moos</v>
      </c>
      <c r="E685" s="8" t="str">
        <f t="shared" si="173"/>
        <v>Moos, Hanna</v>
      </c>
      <c r="F685" s="8" t="str">
        <f t="shared" si="174"/>
        <v>Moos, Hanna</v>
      </c>
      <c r="G685" s="8" t="str">
        <f t="shared" si="175"/>
        <v>not an outlier</v>
      </c>
      <c r="H685" s="8" t="str">
        <f t="shared" si="176"/>
        <v>Not</v>
      </c>
      <c r="I685" s="8" t="str">
        <f t="shared" si="186"/>
        <v>no</v>
      </c>
      <c r="J685" s="10" t="str">
        <f t="shared" si="177"/>
        <v>no</v>
      </c>
      <c r="K685" s="10" t="str">
        <f t="shared" si="178"/>
        <v>no</v>
      </c>
      <c r="L685" t="s">
        <v>53</v>
      </c>
      <c r="M685">
        <v>10509</v>
      </c>
      <c r="N685">
        <v>28</v>
      </c>
      <c r="O685" t="s">
        <v>727</v>
      </c>
      <c r="P685" t="str">
        <f t="shared" si="179"/>
        <v>BLAUS_10509_Rössle Sauerkraut</v>
      </c>
      <c r="Q685" t="str">
        <f t="shared" si="180"/>
        <v>10509</v>
      </c>
      <c r="R685" t="str">
        <f t="shared" si="181"/>
        <v>10509</v>
      </c>
      <c r="S685" t="str">
        <f t="shared" si="182"/>
        <v>Rössle Sauerkraut</v>
      </c>
      <c r="T685">
        <v>45.6</v>
      </c>
      <c r="U685">
        <v>3</v>
      </c>
      <c r="V685">
        <v>0</v>
      </c>
      <c r="W685">
        <f t="shared" si="183"/>
        <v>136.80000000000001</v>
      </c>
      <c r="X685" t="str">
        <f t="shared" si="184"/>
        <v>No</v>
      </c>
      <c r="Y685" s="2">
        <v>34837</v>
      </c>
      <c r="Z685" t="str">
        <f t="shared" si="170"/>
        <v/>
      </c>
      <c r="AA685" t="str">
        <f t="shared" si="185"/>
        <v/>
      </c>
      <c r="AB685" t="str" cm="1">
        <f t="array" ref="AB685">_xlfn.IFS(Y685&lt;DATE(1996,1,1),"",Y685&lt;DATE(1996,4,1),"Q1",Y685&lt;DATE(1996,7,1),"Q2",Y685&gt;=DATE(1996,7,1),"")</f>
        <v/>
      </c>
    </row>
    <row r="686" spans="1:28" ht="14.4" x14ac:dyDescent="0.55000000000000004">
      <c r="A686" t="str">
        <f>VLOOKUP(L686,Customers!$A$2:$B$92,2,FALSE)</f>
        <v>Save-a-lot Markets</v>
      </c>
      <c r="B686" t="str">
        <f>VLOOKUP(L686,Customers!$A$2:$C$92,3,TRUE)</f>
        <v>Jose Pavarotti</v>
      </c>
      <c r="C686" t="str">
        <f t="shared" si="171"/>
        <v>Jose</v>
      </c>
      <c r="D686" s="8" t="str">
        <f t="shared" si="172"/>
        <v>Pavarotti</v>
      </c>
      <c r="E686" s="8" t="str">
        <f t="shared" si="173"/>
        <v>Pavarotti, Jose</v>
      </c>
      <c r="F686" s="8" t="str">
        <f t="shared" si="174"/>
        <v>Pavarotti, Jose</v>
      </c>
      <c r="G686" s="8" t="str">
        <f t="shared" si="175"/>
        <v>outlier</v>
      </c>
      <c r="H686" s="8" t="str">
        <f t="shared" si="176"/>
        <v>outlier</v>
      </c>
      <c r="I686" s="8" t="str">
        <f t="shared" si="186"/>
        <v>yes</v>
      </c>
      <c r="J686" s="10" t="str">
        <f t="shared" si="177"/>
        <v>yes</v>
      </c>
      <c r="K686" s="10" t="str">
        <f t="shared" si="178"/>
        <v>yes</v>
      </c>
      <c r="L686" t="s">
        <v>529</v>
      </c>
      <c r="M686">
        <v>10510</v>
      </c>
      <c r="N686">
        <v>29</v>
      </c>
      <c r="O686" t="s">
        <v>722</v>
      </c>
      <c r="P686" t="str">
        <f t="shared" si="179"/>
        <v>SAVEA_10510_Thüringer Rostbratwurst</v>
      </c>
      <c r="Q686" t="str">
        <f t="shared" si="180"/>
        <v>10510</v>
      </c>
      <c r="R686" t="str">
        <f t="shared" si="181"/>
        <v>10510</v>
      </c>
      <c r="S686" t="str">
        <f t="shared" si="182"/>
        <v>Thüringer Rostbratwurst</v>
      </c>
      <c r="T686">
        <v>123.79</v>
      </c>
      <c r="U686">
        <v>36</v>
      </c>
      <c r="V686">
        <v>0</v>
      </c>
      <c r="W686">
        <f t="shared" si="183"/>
        <v>4456.4400000000005</v>
      </c>
      <c r="X686" t="str">
        <f t="shared" si="184"/>
        <v>No</v>
      </c>
      <c r="Y686" s="2">
        <v>34838</v>
      </c>
      <c r="Z686" t="str">
        <f t="shared" si="170"/>
        <v/>
      </c>
      <c r="AA686" t="str">
        <f t="shared" si="185"/>
        <v/>
      </c>
      <c r="AB686" t="str" cm="1">
        <f t="array" ref="AB686">_xlfn.IFS(Y686&lt;DATE(1996,1,1),"",Y686&lt;DATE(1996,4,1),"Q1",Y686&lt;DATE(1996,7,1),"Q2",Y686&gt;=DATE(1996,7,1),"")</f>
        <v/>
      </c>
    </row>
    <row r="687" spans="1:28" ht="14.4" x14ac:dyDescent="0.55000000000000004">
      <c r="A687" t="str">
        <f>VLOOKUP(L687,Customers!$A$2:$B$92,2,FALSE)</f>
        <v>Save-a-lot Markets</v>
      </c>
      <c r="B687" t="str">
        <f>VLOOKUP(L687,Customers!$A$2:$C$92,3,TRUE)</f>
        <v>Jose Pavarotti</v>
      </c>
      <c r="C687" t="str">
        <f t="shared" si="171"/>
        <v>Jose</v>
      </c>
      <c r="D687" s="8" t="str">
        <f t="shared" si="172"/>
        <v>Pavarotti</v>
      </c>
      <c r="E687" s="8" t="str">
        <f t="shared" si="173"/>
        <v>Pavarotti, Jose</v>
      </c>
      <c r="F687" s="8" t="str">
        <f t="shared" si="174"/>
        <v>Pavarotti, Jose</v>
      </c>
      <c r="G687" s="8" t="str">
        <f t="shared" si="175"/>
        <v>not an outlier</v>
      </c>
      <c r="H687" s="8" t="str">
        <f t="shared" si="176"/>
        <v>Not</v>
      </c>
      <c r="I687" s="8" t="str">
        <f t="shared" si="186"/>
        <v>no</v>
      </c>
      <c r="J687" s="10" t="str">
        <f t="shared" si="177"/>
        <v>no</v>
      </c>
      <c r="K687" s="10" t="str">
        <f t="shared" si="178"/>
        <v>no</v>
      </c>
      <c r="L687" t="s">
        <v>529</v>
      </c>
      <c r="M687">
        <v>10510</v>
      </c>
      <c r="N687">
        <v>75</v>
      </c>
      <c r="O687" t="s">
        <v>731</v>
      </c>
      <c r="P687" t="str">
        <f t="shared" si="179"/>
        <v>SAVEA_10510_Rhönbräu Klosterbier</v>
      </c>
      <c r="Q687" t="str">
        <f t="shared" si="180"/>
        <v>10510</v>
      </c>
      <c r="R687" t="str">
        <f t="shared" si="181"/>
        <v>10510</v>
      </c>
      <c r="S687" t="str">
        <f t="shared" si="182"/>
        <v>Rhönbräu Klosterbier</v>
      </c>
      <c r="T687">
        <v>7.75</v>
      </c>
      <c r="U687">
        <v>36</v>
      </c>
      <c r="V687">
        <v>0.1</v>
      </c>
      <c r="W687">
        <f t="shared" si="183"/>
        <v>251.1</v>
      </c>
      <c r="X687" t="str">
        <f t="shared" si="184"/>
        <v>No</v>
      </c>
      <c r="Y687" s="2">
        <v>34838</v>
      </c>
      <c r="Z687" t="str">
        <f t="shared" si="170"/>
        <v/>
      </c>
      <c r="AA687" t="str">
        <f t="shared" si="185"/>
        <v/>
      </c>
      <c r="AB687" t="str" cm="1">
        <f t="array" ref="AB687">_xlfn.IFS(Y687&lt;DATE(1996,1,1),"",Y687&lt;DATE(1996,4,1),"Q1",Y687&lt;DATE(1996,7,1),"Q2",Y687&gt;=DATE(1996,7,1),"")</f>
        <v/>
      </c>
    </row>
    <row r="688" spans="1:28" ht="14.4" x14ac:dyDescent="0.55000000000000004">
      <c r="A688" t="str">
        <f>VLOOKUP(L688,Customers!$A$2:$B$92,2,FALSE)</f>
        <v>Bon app'</v>
      </c>
      <c r="B688" t="str">
        <f>VLOOKUP(L688,Customers!$A$2:$C$92,3,TRUE)</f>
        <v>Laurence Lebihan</v>
      </c>
      <c r="C688" t="str">
        <f t="shared" si="171"/>
        <v>Laurence</v>
      </c>
      <c r="D688" s="8" t="str">
        <f t="shared" si="172"/>
        <v>Lebihan</v>
      </c>
      <c r="E688" s="8" t="str">
        <f t="shared" si="173"/>
        <v>Lebihan, Laurence</v>
      </c>
      <c r="F688" s="8" t="str">
        <f t="shared" si="174"/>
        <v>Lebihan, Laurence</v>
      </c>
      <c r="G688" s="8" t="str">
        <f t="shared" si="175"/>
        <v>not an outlier</v>
      </c>
      <c r="H688" s="8" t="str">
        <f t="shared" si="176"/>
        <v>Not</v>
      </c>
      <c r="I688" s="8" t="str">
        <f t="shared" si="186"/>
        <v>no</v>
      </c>
      <c r="J688" s="10" t="str">
        <f t="shared" si="177"/>
        <v>no</v>
      </c>
      <c r="K688" s="10" t="str">
        <f t="shared" si="178"/>
        <v>no</v>
      </c>
      <c r="L688" t="s">
        <v>77</v>
      </c>
      <c r="M688">
        <v>10511</v>
      </c>
      <c r="N688">
        <v>4</v>
      </c>
      <c r="O688" t="s">
        <v>745</v>
      </c>
      <c r="P688" t="str">
        <f t="shared" si="179"/>
        <v>BONAP_10511_Chef Anton's Cajun Seasoning</v>
      </c>
      <c r="Q688" t="str">
        <f t="shared" si="180"/>
        <v>10511</v>
      </c>
      <c r="R688" t="str">
        <f t="shared" si="181"/>
        <v>10511</v>
      </c>
      <c r="S688" t="str">
        <f t="shared" si="182"/>
        <v>Chef Anton's Cajun Seasoning</v>
      </c>
      <c r="T688">
        <v>22</v>
      </c>
      <c r="U688">
        <v>50</v>
      </c>
      <c r="V688">
        <v>0.15</v>
      </c>
      <c r="W688">
        <f t="shared" si="183"/>
        <v>935</v>
      </c>
      <c r="X688" t="str">
        <f t="shared" si="184"/>
        <v>No</v>
      </c>
      <c r="Y688" s="2">
        <v>34838</v>
      </c>
      <c r="Z688" t="str">
        <f t="shared" si="170"/>
        <v/>
      </c>
      <c r="AA688" t="str">
        <f t="shared" si="185"/>
        <v/>
      </c>
      <c r="AB688" t="str" cm="1">
        <f t="array" ref="AB688">_xlfn.IFS(Y688&lt;DATE(1996,1,1),"",Y688&lt;DATE(1996,4,1),"Q1",Y688&lt;DATE(1996,7,1),"Q2",Y688&gt;=DATE(1996,7,1),"")</f>
        <v/>
      </c>
    </row>
    <row r="689" spans="1:28" ht="14.4" x14ac:dyDescent="0.55000000000000004">
      <c r="A689" t="str">
        <f>VLOOKUP(L689,Customers!$A$2:$B$92,2,FALSE)</f>
        <v>Bon app'</v>
      </c>
      <c r="B689" t="str">
        <f>VLOOKUP(L689,Customers!$A$2:$C$92,3,TRUE)</f>
        <v>Laurence Lebihan</v>
      </c>
      <c r="C689" t="str">
        <f t="shared" si="171"/>
        <v>Laurence</v>
      </c>
      <c r="D689" s="8" t="str">
        <f t="shared" si="172"/>
        <v>Lebihan</v>
      </c>
      <c r="E689" s="8" t="str">
        <f t="shared" si="173"/>
        <v>Lebihan, Laurence</v>
      </c>
      <c r="F689" s="8" t="str">
        <f t="shared" si="174"/>
        <v>Lebihan, Laurence</v>
      </c>
      <c r="G689" s="8" t="str">
        <f t="shared" si="175"/>
        <v>not an outlier</v>
      </c>
      <c r="H689" s="8" t="str">
        <f t="shared" si="176"/>
        <v>Not</v>
      </c>
      <c r="I689" s="8" t="str">
        <f t="shared" si="186"/>
        <v>no</v>
      </c>
      <c r="J689" s="10" t="str">
        <f t="shared" si="177"/>
        <v>no</v>
      </c>
      <c r="K689" s="10" t="str">
        <f t="shared" si="178"/>
        <v>no</v>
      </c>
      <c r="L689" t="s">
        <v>77</v>
      </c>
      <c r="M689">
        <v>10511</v>
      </c>
      <c r="N689">
        <v>7</v>
      </c>
      <c r="O689" t="s">
        <v>715</v>
      </c>
      <c r="P689" t="str">
        <f t="shared" si="179"/>
        <v>BONAP_10511_Uncle Bob's Organic Dried Pears</v>
      </c>
      <c r="Q689" t="str">
        <f t="shared" si="180"/>
        <v>10511</v>
      </c>
      <c r="R689" t="str">
        <f t="shared" si="181"/>
        <v>10511</v>
      </c>
      <c r="S689" t="str">
        <f t="shared" si="182"/>
        <v>Uncle Bob's Organic Dried Pears</v>
      </c>
      <c r="T689">
        <v>30</v>
      </c>
      <c r="U689">
        <v>50</v>
      </c>
      <c r="V689">
        <v>0.15</v>
      </c>
      <c r="W689">
        <f t="shared" si="183"/>
        <v>1275</v>
      </c>
      <c r="X689" t="str">
        <f t="shared" si="184"/>
        <v>No</v>
      </c>
      <c r="Y689" s="2">
        <v>34838</v>
      </c>
      <c r="Z689" t="str">
        <f t="shared" si="170"/>
        <v/>
      </c>
      <c r="AA689" t="str">
        <f t="shared" si="185"/>
        <v/>
      </c>
      <c r="AB689" t="str" cm="1">
        <f t="array" ref="AB689">_xlfn.IFS(Y689&lt;DATE(1996,1,1),"",Y689&lt;DATE(1996,4,1),"Q1",Y689&lt;DATE(1996,7,1),"Q2",Y689&gt;=DATE(1996,7,1),"")</f>
        <v/>
      </c>
    </row>
    <row r="690" spans="1:28" ht="14.4" x14ac:dyDescent="0.55000000000000004">
      <c r="A690" t="str">
        <f>VLOOKUP(L690,Customers!$A$2:$B$92,2,FALSE)</f>
        <v>Bon app'</v>
      </c>
      <c r="B690" t="str">
        <f>VLOOKUP(L690,Customers!$A$2:$C$92,3,TRUE)</f>
        <v>Laurence Lebihan</v>
      </c>
      <c r="C690" t="str">
        <f t="shared" si="171"/>
        <v>Laurence</v>
      </c>
      <c r="D690" s="8" t="str">
        <f t="shared" si="172"/>
        <v>Lebihan</v>
      </c>
      <c r="E690" s="8" t="str">
        <f t="shared" si="173"/>
        <v>Lebihan, Laurence</v>
      </c>
      <c r="F690" s="8" t="str">
        <f t="shared" si="174"/>
        <v>Lebihan, Laurence</v>
      </c>
      <c r="G690" s="8" t="str">
        <f t="shared" si="175"/>
        <v>not an outlier</v>
      </c>
      <c r="H690" s="8" t="str">
        <f t="shared" si="176"/>
        <v>Not</v>
      </c>
      <c r="I690" s="8" t="str">
        <f t="shared" si="186"/>
        <v>no</v>
      </c>
      <c r="J690" s="10" t="str">
        <f t="shared" si="177"/>
        <v>no</v>
      </c>
      <c r="K690" s="10" t="str">
        <f t="shared" si="178"/>
        <v>no</v>
      </c>
      <c r="L690" t="s">
        <v>77</v>
      </c>
      <c r="M690">
        <v>10511</v>
      </c>
      <c r="N690">
        <v>8</v>
      </c>
      <c r="O690" t="s">
        <v>754</v>
      </c>
      <c r="P690" t="str">
        <f t="shared" si="179"/>
        <v>BONAP_10511_Northwoods Cranberry Sauce</v>
      </c>
      <c r="Q690" t="str">
        <f t="shared" si="180"/>
        <v>10511</v>
      </c>
      <c r="R690" t="str">
        <f t="shared" si="181"/>
        <v>10511</v>
      </c>
      <c r="S690" t="str">
        <f t="shared" si="182"/>
        <v>Northwoods Cranberry Sauce</v>
      </c>
      <c r="T690">
        <v>40</v>
      </c>
      <c r="U690">
        <v>10</v>
      </c>
      <c r="V690">
        <v>0.15</v>
      </c>
      <c r="W690">
        <f t="shared" si="183"/>
        <v>340</v>
      </c>
      <c r="X690" t="str">
        <f t="shared" si="184"/>
        <v>No</v>
      </c>
      <c r="Y690" s="2">
        <v>34838</v>
      </c>
      <c r="Z690" t="str">
        <f t="shared" si="170"/>
        <v/>
      </c>
      <c r="AA690" t="str">
        <f t="shared" si="185"/>
        <v/>
      </c>
      <c r="AB690" t="str" cm="1">
        <f t="array" ref="AB690">_xlfn.IFS(Y690&lt;DATE(1996,1,1),"",Y690&lt;DATE(1996,4,1),"Q1",Y690&lt;DATE(1996,7,1),"Q2",Y690&gt;=DATE(1996,7,1),"")</f>
        <v/>
      </c>
    </row>
    <row r="691" spans="1:28" ht="14.4" x14ac:dyDescent="0.55000000000000004">
      <c r="A691" t="str">
        <f>VLOOKUP(L691,Customers!$A$2:$B$92,2,FALSE)</f>
        <v>Familia Arquibaldo</v>
      </c>
      <c r="B691" t="str">
        <f>VLOOKUP(L691,Customers!$A$2:$C$92,3,TRUE)</f>
        <v>Aria Cruz</v>
      </c>
      <c r="C691" t="str">
        <f t="shared" si="171"/>
        <v>Aria</v>
      </c>
      <c r="D691" s="8" t="str">
        <f t="shared" si="172"/>
        <v>Cruz</v>
      </c>
      <c r="E691" s="8" t="str">
        <f t="shared" si="173"/>
        <v>Cruz, Aria</v>
      </c>
      <c r="F691" s="8" t="str">
        <f t="shared" si="174"/>
        <v>Cruz, Aria</v>
      </c>
      <c r="G691" s="8" t="str">
        <f t="shared" si="175"/>
        <v>not an outlier</v>
      </c>
      <c r="H691" s="8" t="str">
        <f t="shared" si="176"/>
        <v>Not</v>
      </c>
      <c r="I691" s="8" t="str">
        <f t="shared" si="186"/>
        <v>no</v>
      </c>
      <c r="J691" s="10" t="str">
        <f t="shared" si="177"/>
        <v>no</v>
      </c>
      <c r="K691" s="10" t="str">
        <f t="shared" si="178"/>
        <v>no</v>
      </c>
      <c r="L691" t="s">
        <v>170</v>
      </c>
      <c r="M691">
        <v>10512</v>
      </c>
      <c r="N691">
        <v>24</v>
      </c>
      <c r="O691" t="s">
        <v>698</v>
      </c>
      <c r="P691" t="str">
        <f t="shared" si="179"/>
        <v>FAMIA_10512_Guaraná Fantástica</v>
      </c>
      <c r="Q691" t="str">
        <f t="shared" si="180"/>
        <v>10512</v>
      </c>
      <c r="R691" t="str">
        <f t="shared" si="181"/>
        <v>10512</v>
      </c>
      <c r="S691" t="str">
        <f t="shared" si="182"/>
        <v>Guaraná Fantástica</v>
      </c>
      <c r="T691">
        <v>4.5</v>
      </c>
      <c r="U691">
        <v>10</v>
      </c>
      <c r="V691">
        <v>0.15</v>
      </c>
      <c r="W691">
        <f t="shared" si="183"/>
        <v>38.25</v>
      </c>
      <c r="X691" t="str">
        <f t="shared" si="184"/>
        <v>No</v>
      </c>
      <c r="Y691" s="2">
        <v>34841</v>
      </c>
      <c r="Z691" t="str">
        <f t="shared" si="170"/>
        <v/>
      </c>
      <c r="AA691" t="str">
        <f t="shared" si="185"/>
        <v/>
      </c>
      <c r="AB691" t="str" cm="1">
        <f t="array" ref="AB691">_xlfn.IFS(Y691&lt;DATE(1996,1,1),"",Y691&lt;DATE(1996,4,1),"Q1",Y691&lt;DATE(1996,7,1),"Q2",Y691&gt;=DATE(1996,7,1),"")</f>
        <v/>
      </c>
    </row>
    <row r="692" spans="1:28" ht="14.4" x14ac:dyDescent="0.55000000000000004">
      <c r="A692" t="str">
        <f>VLOOKUP(L692,Customers!$A$2:$B$92,2,FALSE)</f>
        <v>Familia Arquibaldo</v>
      </c>
      <c r="B692" t="str">
        <f>VLOOKUP(L692,Customers!$A$2:$C$92,3,TRUE)</f>
        <v>Aria Cruz</v>
      </c>
      <c r="C692" t="str">
        <f t="shared" si="171"/>
        <v>Aria</v>
      </c>
      <c r="D692" s="8" t="str">
        <f t="shared" si="172"/>
        <v>Cruz</v>
      </c>
      <c r="E692" s="8" t="str">
        <f t="shared" si="173"/>
        <v>Cruz, Aria</v>
      </c>
      <c r="F692" s="8" t="str">
        <f t="shared" si="174"/>
        <v>Cruz, Aria</v>
      </c>
      <c r="G692" s="8" t="str">
        <f t="shared" si="175"/>
        <v>not an outlier</v>
      </c>
      <c r="H692" s="8" t="str">
        <f t="shared" si="176"/>
        <v>Not</v>
      </c>
      <c r="I692" s="8" t="str">
        <f t="shared" si="186"/>
        <v>no</v>
      </c>
      <c r="J692" s="10" t="str">
        <f t="shared" si="177"/>
        <v>no</v>
      </c>
      <c r="K692" s="10" t="str">
        <f t="shared" si="178"/>
        <v>no</v>
      </c>
      <c r="L692" t="s">
        <v>170</v>
      </c>
      <c r="M692">
        <v>10512</v>
      </c>
      <c r="N692">
        <v>46</v>
      </c>
      <c r="O692" t="s">
        <v>737</v>
      </c>
      <c r="P692" t="str">
        <f t="shared" si="179"/>
        <v>FAMIA_10512_Spegesild</v>
      </c>
      <c r="Q692" t="str">
        <f t="shared" si="180"/>
        <v>10512</v>
      </c>
      <c r="R692" t="str">
        <f t="shared" si="181"/>
        <v>10512</v>
      </c>
      <c r="S692" t="str">
        <f t="shared" si="182"/>
        <v>Spegesild</v>
      </c>
      <c r="T692">
        <v>12</v>
      </c>
      <c r="U692">
        <v>9</v>
      </c>
      <c r="V692">
        <v>0.15</v>
      </c>
      <c r="W692">
        <f t="shared" si="183"/>
        <v>91.8</v>
      </c>
      <c r="X692" t="str">
        <f t="shared" si="184"/>
        <v>No</v>
      </c>
      <c r="Y692" s="2">
        <v>34841</v>
      </c>
      <c r="Z692" t="str">
        <f t="shared" si="170"/>
        <v/>
      </c>
      <c r="AA692" t="str">
        <f t="shared" si="185"/>
        <v/>
      </c>
      <c r="AB692" t="str" cm="1">
        <f t="array" ref="AB692">_xlfn.IFS(Y692&lt;DATE(1996,1,1),"",Y692&lt;DATE(1996,4,1),"Q1",Y692&lt;DATE(1996,7,1),"Q2",Y692&gt;=DATE(1996,7,1),"")</f>
        <v/>
      </c>
    </row>
    <row r="693" spans="1:28" ht="14.4" x14ac:dyDescent="0.55000000000000004">
      <c r="A693" t="str">
        <f>VLOOKUP(L693,Customers!$A$2:$B$92,2,FALSE)</f>
        <v>Familia Arquibaldo</v>
      </c>
      <c r="B693" t="str">
        <f>VLOOKUP(L693,Customers!$A$2:$C$92,3,TRUE)</f>
        <v>Aria Cruz</v>
      </c>
      <c r="C693" t="str">
        <f t="shared" si="171"/>
        <v>Aria</v>
      </c>
      <c r="D693" s="8" t="str">
        <f t="shared" si="172"/>
        <v>Cruz</v>
      </c>
      <c r="E693" s="8" t="str">
        <f t="shared" si="173"/>
        <v>Cruz, Aria</v>
      </c>
      <c r="F693" s="8" t="str">
        <f t="shared" si="174"/>
        <v>Cruz, Aria</v>
      </c>
      <c r="G693" s="8" t="str">
        <f t="shared" si="175"/>
        <v>not an outlier</v>
      </c>
      <c r="H693" s="8" t="str">
        <f t="shared" si="176"/>
        <v>Not</v>
      </c>
      <c r="I693" s="8" t="str">
        <f t="shared" si="186"/>
        <v>no</v>
      </c>
      <c r="J693" s="10" t="str">
        <f t="shared" si="177"/>
        <v>no</v>
      </c>
      <c r="K693" s="10" t="str">
        <f t="shared" si="178"/>
        <v>no</v>
      </c>
      <c r="L693" t="s">
        <v>170</v>
      </c>
      <c r="M693">
        <v>10512</v>
      </c>
      <c r="N693">
        <v>47</v>
      </c>
      <c r="O693" t="s">
        <v>752</v>
      </c>
      <c r="P693" t="str">
        <f t="shared" si="179"/>
        <v>FAMIA_10512_Zaanse koeken</v>
      </c>
      <c r="Q693" t="str">
        <f t="shared" si="180"/>
        <v>10512</v>
      </c>
      <c r="R693" t="str">
        <f t="shared" si="181"/>
        <v>10512</v>
      </c>
      <c r="S693" t="str">
        <f t="shared" si="182"/>
        <v>Zaanse koeken</v>
      </c>
      <c r="T693">
        <v>9.5</v>
      </c>
      <c r="U693">
        <v>6</v>
      </c>
      <c r="V693">
        <v>0.15</v>
      </c>
      <c r="W693">
        <f t="shared" si="183"/>
        <v>48.449999999999996</v>
      </c>
      <c r="X693" t="str">
        <f t="shared" si="184"/>
        <v>No</v>
      </c>
      <c r="Y693" s="2">
        <v>34841</v>
      </c>
      <c r="Z693" t="str">
        <f t="shared" si="170"/>
        <v/>
      </c>
      <c r="AA693" t="str">
        <f t="shared" si="185"/>
        <v/>
      </c>
      <c r="AB693" t="str" cm="1">
        <f t="array" ref="AB693">_xlfn.IFS(Y693&lt;DATE(1996,1,1),"",Y693&lt;DATE(1996,4,1),"Q1",Y693&lt;DATE(1996,7,1),"Q2",Y693&gt;=DATE(1996,7,1),"")</f>
        <v/>
      </c>
    </row>
    <row r="694" spans="1:28" ht="14.4" x14ac:dyDescent="0.55000000000000004">
      <c r="A694" t="str">
        <f>VLOOKUP(L694,Customers!$A$2:$B$92,2,FALSE)</f>
        <v>Familia Arquibaldo</v>
      </c>
      <c r="B694" t="str">
        <f>VLOOKUP(L694,Customers!$A$2:$C$92,3,TRUE)</f>
        <v>Aria Cruz</v>
      </c>
      <c r="C694" t="str">
        <f t="shared" si="171"/>
        <v>Aria</v>
      </c>
      <c r="D694" s="8" t="str">
        <f t="shared" si="172"/>
        <v>Cruz</v>
      </c>
      <c r="E694" s="8" t="str">
        <f t="shared" si="173"/>
        <v>Cruz, Aria</v>
      </c>
      <c r="F694" s="8" t="str">
        <f t="shared" si="174"/>
        <v>Cruz, Aria</v>
      </c>
      <c r="G694" s="8" t="str">
        <f t="shared" si="175"/>
        <v>not an outlier</v>
      </c>
      <c r="H694" s="8" t="str">
        <f t="shared" si="176"/>
        <v>Not</v>
      </c>
      <c r="I694" s="8" t="str">
        <f t="shared" si="186"/>
        <v>no</v>
      </c>
      <c r="J694" s="10" t="str">
        <f t="shared" si="177"/>
        <v>no</v>
      </c>
      <c r="K694" s="10" t="str">
        <f t="shared" si="178"/>
        <v>no</v>
      </c>
      <c r="L694" t="s">
        <v>170</v>
      </c>
      <c r="M694">
        <v>10512</v>
      </c>
      <c r="N694">
        <v>60</v>
      </c>
      <c r="O694" t="s">
        <v>694</v>
      </c>
      <c r="P694" t="str">
        <f t="shared" si="179"/>
        <v>FAMIA_10512_Camembert Pierrot</v>
      </c>
      <c r="Q694" t="str">
        <f t="shared" si="180"/>
        <v>10512</v>
      </c>
      <c r="R694" t="str">
        <f t="shared" si="181"/>
        <v>10512</v>
      </c>
      <c r="S694" t="str">
        <f t="shared" si="182"/>
        <v>Camembert Pierrot</v>
      </c>
      <c r="T694">
        <v>34</v>
      </c>
      <c r="U694">
        <v>12</v>
      </c>
      <c r="V694">
        <v>0.15</v>
      </c>
      <c r="W694">
        <f t="shared" si="183"/>
        <v>346.8</v>
      </c>
      <c r="X694" t="str">
        <f t="shared" si="184"/>
        <v>No</v>
      </c>
      <c r="Y694" s="2">
        <v>34841</v>
      </c>
      <c r="Z694" t="str">
        <f t="shared" si="170"/>
        <v/>
      </c>
      <c r="AA694" t="str">
        <f t="shared" si="185"/>
        <v/>
      </c>
      <c r="AB694" t="str" cm="1">
        <f t="array" ref="AB694">_xlfn.IFS(Y694&lt;DATE(1996,1,1),"",Y694&lt;DATE(1996,4,1),"Q1",Y694&lt;DATE(1996,7,1),"Q2",Y694&gt;=DATE(1996,7,1),"")</f>
        <v/>
      </c>
    </row>
    <row r="695" spans="1:28" ht="14.4" x14ac:dyDescent="0.55000000000000004">
      <c r="A695" t="str">
        <f>VLOOKUP(L695,Customers!$A$2:$B$92,2,FALSE)</f>
        <v>Die Wandernde Kuh</v>
      </c>
      <c r="B695" t="str">
        <f>VLOOKUP(L695,Customers!$A$2:$C$92,3,TRUE)</f>
        <v>Rita Müller</v>
      </c>
      <c r="C695" t="str">
        <f t="shared" si="171"/>
        <v>Rita</v>
      </c>
      <c r="D695" s="8" t="str">
        <f t="shared" si="172"/>
        <v>Müller</v>
      </c>
      <c r="E695" s="8" t="str">
        <f t="shared" si="173"/>
        <v>Müller, Rita</v>
      </c>
      <c r="F695" s="8" t="str">
        <f t="shared" si="174"/>
        <v>Müller, Rita</v>
      </c>
      <c r="G695" s="8" t="str">
        <f t="shared" si="175"/>
        <v>not an outlier</v>
      </c>
      <c r="H695" s="8" t="str">
        <f t="shared" si="176"/>
        <v>Not</v>
      </c>
      <c r="I695" s="8" t="str">
        <f t="shared" si="186"/>
        <v>no</v>
      </c>
      <c r="J695" s="10" t="str">
        <f t="shared" si="177"/>
        <v>no</v>
      </c>
      <c r="K695" s="10" t="str">
        <f t="shared" si="178"/>
        <v>no</v>
      </c>
      <c r="L695" t="s">
        <v>633</v>
      </c>
      <c r="M695">
        <v>10513</v>
      </c>
      <c r="N695">
        <v>21</v>
      </c>
      <c r="O695" t="s">
        <v>710</v>
      </c>
      <c r="P695" t="str">
        <f t="shared" si="179"/>
        <v>WANDK_10513_Sir Rodney's Scones</v>
      </c>
      <c r="Q695" t="str">
        <f t="shared" si="180"/>
        <v>10513</v>
      </c>
      <c r="R695" t="str">
        <f t="shared" si="181"/>
        <v>10513</v>
      </c>
      <c r="S695" t="str">
        <f t="shared" si="182"/>
        <v>Sir Rodney's Scones</v>
      </c>
      <c r="T695">
        <v>10</v>
      </c>
      <c r="U695">
        <v>40</v>
      </c>
      <c r="V695">
        <v>0.2</v>
      </c>
      <c r="W695">
        <f t="shared" si="183"/>
        <v>320</v>
      </c>
      <c r="X695" t="str">
        <f t="shared" si="184"/>
        <v>No</v>
      </c>
      <c r="Y695" s="2">
        <v>34842</v>
      </c>
      <c r="Z695" t="str">
        <f t="shared" si="170"/>
        <v/>
      </c>
      <c r="AA695" t="str">
        <f t="shared" si="185"/>
        <v/>
      </c>
      <c r="AB695" t="str" cm="1">
        <f t="array" ref="AB695">_xlfn.IFS(Y695&lt;DATE(1996,1,1),"",Y695&lt;DATE(1996,4,1),"Q1",Y695&lt;DATE(1996,7,1),"Q2",Y695&gt;=DATE(1996,7,1),"")</f>
        <v/>
      </c>
    </row>
    <row r="696" spans="1:28" ht="14.4" x14ac:dyDescent="0.55000000000000004">
      <c r="A696" t="str">
        <f>VLOOKUP(L696,Customers!$A$2:$B$92,2,FALSE)</f>
        <v>Die Wandernde Kuh</v>
      </c>
      <c r="B696" t="str">
        <f>VLOOKUP(L696,Customers!$A$2:$C$92,3,TRUE)</f>
        <v>Rita Müller</v>
      </c>
      <c r="C696" t="str">
        <f t="shared" si="171"/>
        <v>Rita</v>
      </c>
      <c r="D696" s="8" t="str">
        <f t="shared" si="172"/>
        <v>Müller</v>
      </c>
      <c r="E696" s="8" t="str">
        <f t="shared" si="173"/>
        <v>Müller, Rita</v>
      </c>
      <c r="F696" s="8" t="str">
        <f t="shared" si="174"/>
        <v>Müller, Rita</v>
      </c>
      <c r="G696" s="8" t="str">
        <f t="shared" si="175"/>
        <v>not an outlier</v>
      </c>
      <c r="H696" s="8" t="str">
        <f t="shared" si="176"/>
        <v>Not</v>
      </c>
      <c r="I696" s="8" t="str">
        <f t="shared" si="186"/>
        <v>no</v>
      </c>
      <c r="J696" s="10" t="str">
        <f t="shared" si="177"/>
        <v>no</v>
      </c>
      <c r="K696" s="10" t="str">
        <f t="shared" si="178"/>
        <v>no</v>
      </c>
      <c r="L696" t="s">
        <v>633</v>
      </c>
      <c r="M696">
        <v>10513</v>
      </c>
      <c r="N696">
        <v>32</v>
      </c>
      <c r="O696" t="s">
        <v>709</v>
      </c>
      <c r="P696" t="str">
        <f t="shared" si="179"/>
        <v>WANDK_10513_Mascarpone Fabioli</v>
      </c>
      <c r="Q696" t="str">
        <f t="shared" si="180"/>
        <v>10513</v>
      </c>
      <c r="R696" t="str">
        <f t="shared" si="181"/>
        <v>10513</v>
      </c>
      <c r="S696" t="str">
        <f t="shared" si="182"/>
        <v>Mascarpone Fabioli</v>
      </c>
      <c r="T696">
        <v>32</v>
      </c>
      <c r="U696">
        <v>50</v>
      </c>
      <c r="V696">
        <v>0.2</v>
      </c>
      <c r="W696">
        <f t="shared" si="183"/>
        <v>1280</v>
      </c>
      <c r="X696" t="str">
        <f t="shared" si="184"/>
        <v>No</v>
      </c>
      <c r="Y696" s="2">
        <v>34842</v>
      </c>
      <c r="Z696" t="str">
        <f t="shared" si="170"/>
        <v/>
      </c>
      <c r="AA696" t="str">
        <f t="shared" si="185"/>
        <v/>
      </c>
      <c r="AB696" t="str" cm="1">
        <f t="array" ref="AB696">_xlfn.IFS(Y696&lt;DATE(1996,1,1),"",Y696&lt;DATE(1996,4,1),"Q1",Y696&lt;DATE(1996,7,1),"Q2",Y696&gt;=DATE(1996,7,1),"")</f>
        <v/>
      </c>
    </row>
    <row r="697" spans="1:28" ht="14.4" x14ac:dyDescent="0.55000000000000004">
      <c r="A697" t="str">
        <f>VLOOKUP(L697,Customers!$A$2:$B$92,2,FALSE)</f>
        <v>Die Wandernde Kuh</v>
      </c>
      <c r="B697" t="str">
        <f>VLOOKUP(L697,Customers!$A$2:$C$92,3,TRUE)</f>
        <v>Rita Müller</v>
      </c>
      <c r="C697" t="str">
        <f t="shared" si="171"/>
        <v>Rita</v>
      </c>
      <c r="D697" s="8" t="str">
        <f t="shared" si="172"/>
        <v>Müller</v>
      </c>
      <c r="E697" s="8" t="str">
        <f t="shared" si="173"/>
        <v>Müller, Rita</v>
      </c>
      <c r="F697" s="8" t="str">
        <f t="shared" si="174"/>
        <v>Müller, Rita</v>
      </c>
      <c r="G697" s="8" t="str">
        <f t="shared" si="175"/>
        <v>not an outlier</v>
      </c>
      <c r="H697" s="8" t="str">
        <f t="shared" si="176"/>
        <v>Not</v>
      </c>
      <c r="I697" s="8" t="str">
        <f t="shared" si="186"/>
        <v>no</v>
      </c>
      <c r="J697" s="10" t="str">
        <f t="shared" si="177"/>
        <v>no</v>
      </c>
      <c r="K697" s="10" t="str">
        <f t="shared" si="178"/>
        <v>no</v>
      </c>
      <c r="L697" t="s">
        <v>633</v>
      </c>
      <c r="M697">
        <v>10513</v>
      </c>
      <c r="N697">
        <v>61</v>
      </c>
      <c r="O697" t="s">
        <v>758</v>
      </c>
      <c r="P697" t="str">
        <f t="shared" si="179"/>
        <v>WANDK_10513_Sirop d'érable</v>
      </c>
      <c r="Q697" t="str">
        <f t="shared" si="180"/>
        <v>10513</v>
      </c>
      <c r="R697" t="str">
        <f t="shared" si="181"/>
        <v>10513</v>
      </c>
      <c r="S697" t="str">
        <f t="shared" si="182"/>
        <v>Sirop d'érable</v>
      </c>
      <c r="T697">
        <v>28.5</v>
      </c>
      <c r="U697">
        <v>15</v>
      </c>
      <c r="V697">
        <v>0.2</v>
      </c>
      <c r="W697">
        <f t="shared" si="183"/>
        <v>342</v>
      </c>
      <c r="X697" t="str">
        <f t="shared" si="184"/>
        <v>No</v>
      </c>
      <c r="Y697" s="2">
        <v>34842</v>
      </c>
      <c r="Z697" t="str">
        <f t="shared" si="170"/>
        <v/>
      </c>
      <c r="AA697" t="str">
        <f t="shared" si="185"/>
        <v/>
      </c>
      <c r="AB697" t="str" cm="1">
        <f t="array" ref="AB697">_xlfn.IFS(Y697&lt;DATE(1996,1,1),"",Y697&lt;DATE(1996,4,1),"Q1",Y697&lt;DATE(1996,7,1),"Q2",Y697&gt;=DATE(1996,7,1),"")</f>
        <v/>
      </c>
    </row>
    <row r="698" spans="1:28" ht="14.4" x14ac:dyDescent="0.55000000000000004">
      <c r="A698" t="str">
        <f>VLOOKUP(L698,Customers!$A$2:$B$92,2,FALSE)</f>
        <v>Ernst Handel</v>
      </c>
      <c r="B698" t="str">
        <f>VLOOKUP(L698,Customers!$A$2:$C$92,3,TRUE)</f>
        <v>Roland Mendel</v>
      </c>
      <c r="C698" t="str">
        <f t="shared" si="171"/>
        <v>Roland</v>
      </c>
      <c r="D698" s="8" t="str">
        <f t="shared" si="172"/>
        <v>Mendel</v>
      </c>
      <c r="E698" s="8" t="str">
        <f t="shared" si="173"/>
        <v>Mendel, Roland</v>
      </c>
      <c r="F698" s="8" t="str">
        <f t="shared" si="174"/>
        <v>Mendel, Roland</v>
      </c>
      <c r="G698" s="8" t="str">
        <f t="shared" si="175"/>
        <v>not an outlier</v>
      </c>
      <c r="H698" s="8" t="str">
        <f t="shared" si="176"/>
        <v>moderate</v>
      </c>
      <c r="I698" s="8" t="str">
        <f t="shared" si="186"/>
        <v>no</v>
      </c>
      <c r="J698" s="10" t="str">
        <f t="shared" si="177"/>
        <v>no</v>
      </c>
      <c r="K698" s="10" t="str">
        <f t="shared" si="178"/>
        <v>moderate</v>
      </c>
      <c r="L698" t="s">
        <v>161</v>
      </c>
      <c r="M698">
        <v>10514</v>
      </c>
      <c r="N698">
        <v>20</v>
      </c>
      <c r="O698" t="s">
        <v>692</v>
      </c>
      <c r="P698" t="str">
        <f t="shared" si="179"/>
        <v>ERNSH_10514_Sir Rodney's Marmalade</v>
      </c>
      <c r="Q698" t="str">
        <f t="shared" si="180"/>
        <v>10514</v>
      </c>
      <c r="R698" t="str">
        <f t="shared" si="181"/>
        <v>10514</v>
      </c>
      <c r="S698" t="str">
        <f t="shared" si="182"/>
        <v>Sir Rodney's Marmalade</v>
      </c>
      <c r="T698">
        <v>81</v>
      </c>
      <c r="U698">
        <v>39</v>
      </c>
      <c r="V698">
        <v>0</v>
      </c>
      <c r="W698">
        <f t="shared" si="183"/>
        <v>3159</v>
      </c>
      <c r="X698" t="str">
        <f t="shared" si="184"/>
        <v>No</v>
      </c>
      <c r="Y698" s="2">
        <v>34842</v>
      </c>
      <c r="Z698" t="str">
        <f t="shared" si="170"/>
        <v/>
      </c>
      <c r="AA698" t="str">
        <f t="shared" si="185"/>
        <v/>
      </c>
      <c r="AB698" t="str" cm="1">
        <f t="array" ref="AB698">_xlfn.IFS(Y698&lt;DATE(1996,1,1),"",Y698&lt;DATE(1996,4,1),"Q1",Y698&lt;DATE(1996,7,1),"Q2",Y698&gt;=DATE(1996,7,1),"")</f>
        <v/>
      </c>
    </row>
    <row r="699" spans="1:28" ht="14.4" x14ac:dyDescent="0.55000000000000004">
      <c r="A699" t="str">
        <f>VLOOKUP(L699,Customers!$A$2:$B$92,2,FALSE)</f>
        <v>Ernst Handel</v>
      </c>
      <c r="B699" t="str">
        <f>VLOOKUP(L699,Customers!$A$2:$C$92,3,TRUE)</f>
        <v>Roland Mendel</v>
      </c>
      <c r="C699" t="str">
        <f t="shared" si="171"/>
        <v>Roland</v>
      </c>
      <c r="D699" s="8" t="str">
        <f t="shared" si="172"/>
        <v>Mendel</v>
      </c>
      <c r="E699" s="8" t="str">
        <f t="shared" si="173"/>
        <v>Mendel, Roland</v>
      </c>
      <c r="F699" s="8" t="str">
        <f t="shared" si="174"/>
        <v>Mendel, Roland</v>
      </c>
      <c r="G699" s="8" t="str">
        <f t="shared" si="175"/>
        <v>not an outlier</v>
      </c>
      <c r="H699" s="8" t="str">
        <f t="shared" si="176"/>
        <v>Not</v>
      </c>
      <c r="I699" s="8" t="str">
        <f t="shared" si="186"/>
        <v>no</v>
      </c>
      <c r="J699" s="10" t="str">
        <f t="shared" si="177"/>
        <v>no</v>
      </c>
      <c r="K699" s="10" t="str">
        <f t="shared" si="178"/>
        <v>no</v>
      </c>
      <c r="L699" t="s">
        <v>161</v>
      </c>
      <c r="M699">
        <v>10514</v>
      </c>
      <c r="N699">
        <v>28</v>
      </c>
      <c r="O699" t="s">
        <v>727</v>
      </c>
      <c r="P699" t="str">
        <f t="shared" si="179"/>
        <v>ERNSH_10514_Rössle Sauerkraut</v>
      </c>
      <c r="Q699" t="str">
        <f t="shared" si="180"/>
        <v>10514</v>
      </c>
      <c r="R699" t="str">
        <f t="shared" si="181"/>
        <v>10514</v>
      </c>
      <c r="S699" t="str">
        <f t="shared" si="182"/>
        <v>Rössle Sauerkraut</v>
      </c>
      <c r="T699">
        <v>45.6</v>
      </c>
      <c r="U699">
        <v>35</v>
      </c>
      <c r="V699">
        <v>0</v>
      </c>
      <c r="W699">
        <f t="shared" si="183"/>
        <v>1596</v>
      </c>
      <c r="X699" t="str">
        <f t="shared" si="184"/>
        <v>No</v>
      </c>
      <c r="Y699" s="2">
        <v>34842</v>
      </c>
      <c r="Z699" t="str">
        <f t="shared" si="170"/>
        <v/>
      </c>
      <c r="AA699" t="str">
        <f t="shared" si="185"/>
        <v/>
      </c>
      <c r="AB699" t="str" cm="1">
        <f t="array" ref="AB699">_xlfn.IFS(Y699&lt;DATE(1996,1,1),"",Y699&lt;DATE(1996,4,1),"Q1",Y699&lt;DATE(1996,7,1),"Q2",Y699&gt;=DATE(1996,7,1),"")</f>
        <v/>
      </c>
    </row>
    <row r="700" spans="1:28" ht="14.4" x14ac:dyDescent="0.55000000000000004">
      <c r="A700" t="str">
        <f>VLOOKUP(L700,Customers!$A$2:$B$92,2,FALSE)</f>
        <v>Ernst Handel</v>
      </c>
      <c r="B700" t="str">
        <f>VLOOKUP(L700,Customers!$A$2:$C$92,3,TRUE)</f>
        <v>Roland Mendel</v>
      </c>
      <c r="C700" t="str">
        <f t="shared" si="171"/>
        <v>Roland</v>
      </c>
      <c r="D700" s="8" t="str">
        <f t="shared" si="172"/>
        <v>Mendel</v>
      </c>
      <c r="E700" s="8" t="str">
        <f t="shared" si="173"/>
        <v>Mendel, Roland</v>
      </c>
      <c r="F700" s="8" t="str">
        <f t="shared" si="174"/>
        <v>Mendel, Roland</v>
      </c>
      <c r="G700" s="8" t="str">
        <f t="shared" si="175"/>
        <v>not an outlier</v>
      </c>
      <c r="H700" s="8" t="str">
        <f t="shared" si="176"/>
        <v>moderate</v>
      </c>
      <c r="I700" s="8" t="str">
        <f t="shared" si="186"/>
        <v>no</v>
      </c>
      <c r="J700" s="10" t="str">
        <f t="shared" si="177"/>
        <v>no</v>
      </c>
      <c r="K700" s="10" t="str">
        <f t="shared" si="178"/>
        <v>moderate</v>
      </c>
      <c r="L700" t="s">
        <v>161</v>
      </c>
      <c r="M700">
        <v>10514</v>
      </c>
      <c r="N700">
        <v>56</v>
      </c>
      <c r="O700" t="s">
        <v>716</v>
      </c>
      <c r="P700" t="str">
        <f t="shared" si="179"/>
        <v>ERNSH_10514_Gnocchi di nonna Alice</v>
      </c>
      <c r="Q700" t="str">
        <f t="shared" si="180"/>
        <v>10514</v>
      </c>
      <c r="R700" t="str">
        <f t="shared" si="181"/>
        <v>10514</v>
      </c>
      <c r="S700" t="str">
        <f t="shared" si="182"/>
        <v>Gnocchi di nonna Alice</v>
      </c>
      <c r="T700">
        <v>38</v>
      </c>
      <c r="U700">
        <v>70</v>
      </c>
      <c r="V700">
        <v>0</v>
      </c>
      <c r="W700">
        <f t="shared" si="183"/>
        <v>2660</v>
      </c>
      <c r="X700" t="str">
        <f t="shared" si="184"/>
        <v>No</v>
      </c>
      <c r="Y700" s="2">
        <v>34842</v>
      </c>
      <c r="Z700" t="str">
        <f t="shared" si="170"/>
        <v/>
      </c>
      <c r="AA700" t="str">
        <f t="shared" si="185"/>
        <v/>
      </c>
      <c r="AB700" t="str" cm="1">
        <f t="array" ref="AB700">_xlfn.IFS(Y700&lt;DATE(1996,1,1),"",Y700&lt;DATE(1996,4,1),"Q1",Y700&lt;DATE(1996,7,1),"Q2",Y700&gt;=DATE(1996,7,1),"")</f>
        <v/>
      </c>
    </row>
    <row r="701" spans="1:28" ht="14.4" x14ac:dyDescent="0.55000000000000004">
      <c r="A701" t="str">
        <f>VLOOKUP(L701,Customers!$A$2:$B$92,2,FALSE)</f>
        <v>Ernst Handel</v>
      </c>
      <c r="B701" t="str">
        <f>VLOOKUP(L701,Customers!$A$2:$C$92,3,TRUE)</f>
        <v>Roland Mendel</v>
      </c>
      <c r="C701" t="str">
        <f t="shared" si="171"/>
        <v>Roland</v>
      </c>
      <c r="D701" s="8" t="str">
        <f t="shared" si="172"/>
        <v>Mendel</v>
      </c>
      <c r="E701" s="8" t="str">
        <f t="shared" si="173"/>
        <v>Mendel, Roland</v>
      </c>
      <c r="F701" s="8" t="str">
        <f t="shared" si="174"/>
        <v>Mendel, Roland</v>
      </c>
      <c r="G701" s="8" t="str">
        <f t="shared" si="175"/>
        <v>not an outlier</v>
      </c>
      <c r="H701" s="8" t="str">
        <f t="shared" si="176"/>
        <v>Not</v>
      </c>
      <c r="I701" s="8" t="str">
        <f t="shared" si="186"/>
        <v>no</v>
      </c>
      <c r="J701" s="10" t="str">
        <f t="shared" si="177"/>
        <v>no</v>
      </c>
      <c r="K701" s="10" t="str">
        <f t="shared" si="178"/>
        <v>no</v>
      </c>
      <c r="L701" t="s">
        <v>161</v>
      </c>
      <c r="M701">
        <v>10514</v>
      </c>
      <c r="N701">
        <v>65</v>
      </c>
      <c r="O701" t="s">
        <v>689</v>
      </c>
      <c r="P701" t="str">
        <f t="shared" si="179"/>
        <v>ERNSH_10514_Louisiana Fiery Hot Pepper Sauce</v>
      </c>
      <c r="Q701" t="str">
        <f t="shared" si="180"/>
        <v>10514</v>
      </c>
      <c r="R701" t="str">
        <f t="shared" si="181"/>
        <v>10514</v>
      </c>
      <c r="S701" t="str">
        <f t="shared" si="182"/>
        <v>Louisiana Fiery Hot Pepper Sauce</v>
      </c>
      <c r="T701">
        <v>21.05</v>
      </c>
      <c r="U701">
        <v>39</v>
      </c>
      <c r="V701">
        <v>0</v>
      </c>
      <c r="W701">
        <f t="shared" si="183"/>
        <v>820.95</v>
      </c>
      <c r="X701" t="str">
        <f t="shared" si="184"/>
        <v>No</v>
      </c>
      <c r="Y701" s="2">
        <v>34842</v>
      </c>
      <c r="Z701" t="str">
        <f t="shared" si="170"/>
        <v/>
      </c>
      <c r="AA701" t="str">
        <f t="shared" si="185"/>
        <v/>
      </c>
      <c r="AB701" t="str" cm="1">
        <f t="array" ref="AB701">_xlfn.IFS(Y701&lt;DATE(1996,1,1),"",Y701&lt;DATE(1996,4,1),"Q1",Y701&lt;DATE(1996,7,1),"Q2",Y701&gt;=DATE(1996,7,1),"")</f>
        <v/>
      </c>
    </row>
    <row r="702" spans="1:28" ht="14.4" x14ac:dyDescent="0.55000000000000004">
      <c r="A702" t="str">
        <f>VLOOKUP(L702,Customers!$A$2:$B$92,2,FALSE)</f>
        <v>Ernst Handel</v>
      </c>
      <c r="B702" t="str">
        <f>VLOOKUP(L702,Customers!$A$2:$C$92,3,TRUE)</f>
        <v>Roland Mendel</v>
      </c>
      <c r="C702" t="str">
        <f t="shared" si="171"/>
        <v>Roland</v>
      </c>
      <c r="D702" s="8" t="str">
        <f t="shared" si="172"/>
        <v>Mendel</v>
      </c>
      <c r="E702" s="8" t="str">
        <f t="shared" si="173"/>
        <v>Mendel, Roland</v>
      </c>
      <c r="F702" s="8" t="str">
        <f t="shared" si="174"/>
        <v>Mendel, Roland</v>
      </c>
      <c r="G702" s="8" t="str">
        <f t="shared" si="175"/>
        <v>not an outlier</v>
      </c>
      <c r="H702" s="8" t="str">
        <f t="shared" si="176"/>
        <v>Not</v>
      </c>
      <c r="I702" s="8" t="str">
        <f t="shared" si="186"/>
        <v>no</v>
      </c>
      <c r="J702" s="10" t="str">
        <f t="shared" si="177"/>
        <v>no</v>
      </c>
      <c r="K702" s="10" t="str">
        <f t="shared" si="178"/>
        <v>no</v>
      </c>
      <c r="L702" t="s">
        <v>161</v>
      </c>
      <c r="M702">
        <v>10514</v>
      </c>
      <c r="N702">
        <v>75</v>
      </c>
      <c r="O702" t="s">
        <v>731</v>
      </c>
      <c r="P702" t="str">
        <f t="shared" si="179"/>
        <v>ERNSH_10514_Rhönbräu Klosterbier</v>
      </c>
      <c r="Q702" t="str">
        <f t="shared" si="180"/>
        <v>10514</v>
      </c>
      <c r="R702" t="str">
        <f t="shared" si="181"/>
        <v>10514</v>
      </c>
      <c r="S702" t="str">
        <f t="shared" si="182"/>
        <v>Rhönbräu Klosterbier</v>
      </c>
      <c r="T702">
        <v>7.75</v>
      </c>
      <c r="U702">
        <v>50</v>
      </c>
      <c r="V702">
        <v>0</v>
      </c>
      <c r="W702">
        <f t="shared" si="183"/>
        <v>387.5</v>
      </c>
      <c r="X702" t="str">
        <f t="shared" si="184"/>
        <v>No</v>
      </c>
      <c r="Y702" s="2">
        <v>34842</v>
      </c>
      <c r="Z702" t="str">
        <f t="shared" si="170"/>
        <v/>
      </c>
      <c r="AA702" t="str">
        <f t="shared" si="185"/>
        <v/>
      </c>
      <c r="AB702" t="str" cm="1">
        <f t="array" ref="AB702">_xlfn.IFS(Y702&lt;DATE(1996,1,1),"",Y702&lt;DATE(1996,4,1),"Q1",Y702&lt;DATE(1996,7,1),"Q2",Y702&gt;=DATE(1996,7,1),"")</f>
        <v/>
      </c>
    </row>
    <row r="703" spans="1:28" ht="14.4" x14ac:dyDescent="0.55000000000000004">
      <c r="A703" t="str">
        <f>VLOOKUP(L703,Customers!$A$2:$B$92,2,FALSE)</f>
        <v>QUICK-Stop</v>
      </c>
      <c r="B703" t="str">
        <f>VLOOKUP(L703,Customers!$A$2:$C$92,3,TRUE)</f>
        <v>Horst Kloss</v>
      </c>
      <c r="C703" t="str">
        <f t="shared" si="171"/>
        <v>Horst</v>
      </c>
      <c r="D703" s="8" t="str">
        <f t="shared" si="172"/>
        <v>Kloss</v>
      </c>
      <c r="E703" s="8" t="str">
        <f t="shared" si="173"/>
        <v>Kloss, Horst</v>
      </c>
      <c r="F703" s="8" t="str">
        <f t="shared" si="174"/>
        <v>Kloss, Horst</v>
      </c>
      <c r="G703" s="8" t="str">
        <f t="shared" si="175"/>
        <v>not an outlier</v>
      </c>
      <c r="H703" s="8" t="str">
        <f t="shared" si="176"/>
        <v>Not</v>
      </c>
      <c r="I703" s="8" t="str">
        <f t="shared" si="186"/>
        <v>no</v>
      </c>
      <c r="J703" s="10" t="str">
        <f t="shared" si="177"/>
        <v>no</v>
      </c>
      <c r="K703" s="10" t="str">
        <f t="shared" si="178"/>
        <v>no</v>
      </c>
      <c r="L703" t="s">
        <v>475</v>
      </c>
      <c r="M703">
        <v>10515</v>
      </c>
      <c r="N703">
        <v>9</v>
      </c>
      <c r="O703" t="s">
        <v>759</v>
      </c>
      <c r="P703" t="str">
        <f t="shared" si="179"/>
        <v>QUICK_10515_Mishi Kobe Niku</v>
      </c>
      <c r="Q703" t="str">
        <f t="shared" si="180"/>
        <v>10515</v>
      </c>
      <c r="R703" t="str">
        <f t="shared" si="181"/>
        <v>10515</v>
      </c>
      <c r="S703" t="str">
        <f t="shared" si="182"/>
        <v>Mishi Kobe Niku</v>
      </c>
      <c r="T703">
        <v>97</v>
      </c>
      <c r="U703">
        <v>16</v>
      </c>
      <c r="V703">
        <v>0.15</v>
      </c>
      <c r="W703">
        <f t="shared" si="183"/>
        <v>1319.2</v>
      </c>
      <c r="X703" t="str">
        <f t="shared" si="184"/>
        <v>No</v>
      </c>
      <c r="Y703" s="2">
        <v>34843</v>
      </c>
      <c r="Z703" t="str">
        <f t="shared" si="170"/>
        <v/>
      </c>
      <c r="AA703" t="str">
        <f t="shared" si="185"/>
        <v/>
      </c>
      <c r="AB703" t="str" cm="1">
        <f t="array" ref="AB703">_xlfn.IFS(Y703&lt;DATE(1996,1,1),"",Y703&lt;DATE(1996,4,1),"Q1",Y703&lt;DATE(1996,7,1),"Q2",Y703&gt;=DATE(1996,7,1),"")</f>
        <v/>
      </c>
    </row>
    <row r="704" spans="1:28" ht="14.4" x14ac:dyDescent="0.55000000000000004">
      <c r="A704" t="str">
        <f>VLOOKUP(L704,Customers!$A$2:$B$92,2,FALSE)</f>
        <v>QUICK-Stop</v>
      </c>
      <c r="B704" t="str">
        <f>VLOOKUP(L704,Customers!$A$2:$C$92,3,TRUE)</f>
        <v>Horst Kloss</v>
      </c>
      <c r="C704" t="str">
        <f t="shared" si="171"/>
        <v>Horst</v>
      </c>
      <c r="D704" s="8" t="str">
        <f t="shared" si="172"/>
        <v>Kloss</v>
      </c>
      <c r="E704" s="8" t="str">
        <f t="shared" si="173"/>
        <v>Kloss, Horst</v>
      </c>
      <c r="F704" s="8" t="str">
        <f t="shared" si="174"/>
        <v>Kloss, Horst</v>
      </c>
      <c r="G704" s="8" t="str">
        <f t="shared" si="175"/>
        <v>not an outlier</v>
      </c>
      <c r="H704" s="8" t="str">
        <f t="shared" si="176"/>
        <v>Not</v>
      </c>
      <c r="I704" s="8" t="str">
        <f t="shared" si="186"/>
        <v>no</v>
      </c>
      <c r="J704" s="10" t="str">
        <f t="shared" si="177"/>
        <v>no</v>
      </c>
      <c r="K704" s="10" t="str">
        <f t="shared" si="178"/>
        <v>no</v>
      </c>
      <c r="L704" t="s">
        <v>475</v>
      </c>
      <c r="M704">
        <v>10515</v>
      </c>
      <c r="N704">
        <v>16</v>
      </c>
      <c r="O704" t="s">
        <v>702</v>
      </c>
      <c r="P704" t="str">
        <f t="shared" si="179"/>
        <v>QUICK_10515_Pavlova</v>
      </c>
      <c r="Q704" t="str">
        <f t="shared" si="180"/>
        <v>10515</v>
      </c>
      <c r="R704" t="str">
        <f t="shared" si="181"/>
        <v>10515</v>
      </c>
      <c r="S704" t="str">
        <f t="shared" si="182"/>
        <v>Pavlova</v>
      </c>
      <c r="T704">
        <v>17.45</v>
      </c>
      <c r="U704">
        <v>50</v>
      </c>
      <c r="V704">
        <v>0</v>
      </c>
      <c r="W704">
        <f t="shared" si="183"/>
        <v>872.5</v>
      </c>
      <c r="X704" t="str">
        <f t="shared" si="184"/>
        <v>No</v>
      </c>
      <c r="Y704" s="2">
        <v>34843</v>
      </c>
      <c r="Z704" t="str">
        <f t="shared" si="170"/>
        <v/>
      </c>
      <c r="AA704" t="str">
        <f t="shared" si="185"/>
        <v/>
      </c>
      <c r="AB704" t="str" cm="1">
        <f t="array" ref="AB704">_xlfn.IFS(Y704&lt;DATE(1996,1,1),"",Y704&lt;DATE(1996,4,1),"Q1",Y704&lt;DATE(1996,7,1),"Q2",Y704&gt;=DATE(1996,7,1),"")</f>
        <v/>
      </c>
    </row>
    <row r="705" spans="1:28" ht="14.4" x14ac:dyDescent="0.55000000000000004">
      <c r="A705" t="str">
        <f>VLOOKUP(L705,Customers!$A$2:$B$92,2,FALSE)</f>
        <v>QUICK-Stop</v>
      </c>
      <c r="B705" t="str">
        <f>VLOOKUP(L705,Customers!$A$2:$C$92,3,TRUE)</f>
        <v>Horst Kloss</v>
      </c>
      <c r="C705" t="str">
        <f t="shared" si="171"/>
        <v>Horst</v>
      </c>
      <c r="D705" s="8" t="str">
        <f t="shared" si="172"/>
        <v>Kloss</v>
      </c>
      <c r="E705" s="8" t="str">
        <f t="shared" si="173"/>
        <v>Kloss, Horst</v>
      </c>
      <c r="F705" s="8" t="str">
        <f t="shared" si="174"/>
        <v>Kloss, Horst</v>
      </c>
      <c r="G705" s="8" t="str">
        <f t="shared" si="175"/>
        <v>outlier</v>
      </c>
      <c r="H705" s="8" t="str">
        <f t="shared" si="176"/>
        <v>outlier</v>
      </c>
      <c r="I705" s="8" t="str">
        <f t="shared" si="186"/>
        <v>yes</v>
      </c>
      <c r="J705" s="10" t="str">
        <f t="shared" si="177"/>
        <v>yes</v>
      </c>
      <c r="K705" s="10" t="str">
        <f t="shared" si="178"/>
        <v>yes</v>
      </c>
      <c r="L705" t="s">
        <v>475</v>
      </c>
      <c r="M705">
        <v>10515</v>
      </c>
      <c r="N705">
        <v>27</v>
      </c>
      <c r="O705" t="s">
        <v>707</v>
      </c>
      <c r="P705" t="str">
        <f t="shared" si="179"/>
        <v>QUICK_10515_Schoggi Schokolade</v>
      </c>
      <c r="Q705" t="str">
        <f t="shared" si="180"/>
        <v>10515</v>
      </c>
      <c r="R705" t="str">
        <f t="shared" si="181"/>
        <v>10515</v>
      </c>
      <c r="S705" t="str">
        <f t="shared" si="182"/>
        <v>Schoggi Schokolade</v>
      </c>
      <c r="T705">
        <v>43.9</v>
      </c>
      <c r="U705">
        <v>120</v>
      </c>
      <c r="V705">
        <v>0</v>
      </c>
      <c r="W705">
        <f t="shared" si="183"/>
        <v>5268</v>
      </c>
      <c r="X705" t="str">
        <f t="shared" si="184"/>
        <v>No</v>
      </c>
      <c r="Y705" s="2">
        <v>34843</v>
      </c>
      <c r="Z705" t="str">
        <f t="shared" ref="Z705:Z768" si="187">IF(Y705&gt;=DATE(1996,1,1), IF(Y705&lt;DATE(1996,4,1),"1st Q 1996",""),"")</f>
        <v/>
      </c>
      <c r="AA705" t="str">
        <f t="shared" si="185"/>
        <v/>
      </c>
      <c r="AB705" t="str" cm="1">
        <f t="array" ref="AB705">_xlfn.IFS(Y705&lt;DATE(1996,1,1),"",Y705&lt;DATE(1996,4,1),"Q1",Y705&lt;DATE(1996,7,1),"Q2",Y705&gt;=DATE(1996,7,1),"")</f>
        <v/>
      </c>
    </row>
    <row r="706" spans="1:28" ht="14.4" x14ac:dyDescent="0.55000000000000004">
      <c r="A706" t="str">
        <f>VLOOKUP(L706,Customers!$A$2:$B$92,2,FALSE)</f>
        <v>QUICK-Stop</v>
      </c>
      <c r="B706" t="str">
        <f>VLOOKUP(L706,Customers!$A$2:$C$92,3,TRUE)</f>
        <v>Horst Kloss</v>
      </c>
      <c r="C706" t="str">
        <f t="shared" si="171"/>
        <v>Horst</v>
      </c>
      <c r="D706" s="8" t="str">
        <f t="shared" si="172"/>
        <v>Kloss</v>
      </c>
      <c r="E706" s="8" t="str">
        <f t="shared" si="173"/>
        <v>Kloss, Horst</v>
      </c>
      <c r="F706" s="8" t="str">
        <f t="shared" si="174"/>
        <v>Kloss, Horst</v>
      </c>
      <c r="G706" s="8" t="str">
        <f t="shared" si="175"/>
        <v>not an outlier</v>
      </c>
      <c r="H706" s="8" t="str">
        <f t="shared" si="176"/>
        <v>Not</v>
      </c>
      <c r="I706" s="8" t="str">
        <f t="shared" si="186"/>
        <v>no</v>
      </c>
      <c r="J706" s="10" t="str">
        <f t="shared" si="177"/>
        <v>no</v>
      </c>
      <c r="K706" s="10" t="str">
        <f t="shared" si="178"/>
        <v>no</v>
      </c>
      <c r="L706" t="s">
        <v>475</v>
      </c>
      <c r="M706">
        <v>10515</v>
      </c>
      <c r="N706">
        <v>33</v>
      </c>
      <c r="O706" t="s">
        <v>693</v>
      </c>
      <c r="P706" t="str">
        <f t="shared" si="179"/>
        <v>QUICK_10515_Geitost</v>
      </c>
      <c r="Q706" t="str">
        <f t="shared" si="180"/>
        <v>10515</v>
      </c>
      <c r="R706" t="str">
        <f t="shared" si="181"/>
        <v>10515</v>
      </c>
      <c r="S706" t="str">
        <f t="shared" si="182"/>
        <v>Geitost</v>
      </c>
      <c r="T706">
        <v>2.5</v>
      </c>
      <c r="U706">
        <v>16</v>
      </c>
      <c r="V706">
        <v>0.15</v>
      </c>
      <c r="W706">
        <f t="shared" si="183"/>
        <v>34</v>
      </c>
      <c r="X706" t="str">
        <f t="shared" si="184"/>
        <v>No</v>
      </c>
      <c r="Y706" s="2">
        <v>34843</v>
      </c>
      <c r="Z706" t="str">
        <f t="shared" si="187"/>
        <v/>
      </c>
      <c r="AA706" t="str">
        <f t="shared" si="185"/>
        <v/>
      </c>
      <c r="AB706" t="str" cm="1">
        <f t="array" ref="AB706">_xlfn.IFS(Y706&lt;DATE(1996,1,1),"",Y706&lt;DATE(1996,4,1),"Q1",Y706&lt;DATE(1996,7,1),"Q2",Y706&gt;=DATE(1996,7,1),"")</f>
        <v/>
      </c>
    </row>
    <row r="707" spans="1:28" ht="14.4" x14ac:dyDescent="0.55000000000000004">
      <c r="A707" t="str">
        <f>VLOOKUP(L707,Customers!$A$2:$B$92,2,FALSE)</f>
        <v>QUICK-Stop</v>
      </c>
      <c r="B707" t="str">
        <f>VLOOKUP(L707,Customers!$A$2:$C$92,3,TRUE)</f>
        <v>Horst Kloss</v>
      </c>
      <c r="C707" t="str">
        <f t="shared" ref="C707:C770" si="188">LEFT(B707,FIND(" ",B707)-1)</f>
        <v>Horst</v>
      </c>
      <c r="D707" s="8" t="str">
        <f t="shared" ref="D707:D770" si="189">RIGHT(B707,LEN(B707)-FIND(" ",B707))</f>
        <v>Kloss</v>
      </c>
      <c r="E707" s="8" t="str">
        <f t="shared" ref="E707:E770" si="190">_xlfn.CONCAT(D707,", ",C707)</f>
        <v>Kloss, Horst</v>
      </c>
      <c r="F707" s="8" t="str">
        <f t="shared" ref="F707:F770" si="191">D707&amp;", "&amp;C707</f>
        <v>Kloss, Horst</v>
      </c>
      <c r="G707" s="8" t="str">
        <f t="shared" ref="G707:G770" si="192">IF(OR(W707&gt;$W$2166,W707&lt;$W$2167),"outlier","not an outlier")</f>
        <v>not an outlier</v>
      </c>
      <c r="H707" s="8" t="str">
        <f t="shared" ref="H707:H770" si="193">IF(OR(W707&gt;$W$2166,W707&lt;$W$2167),"outlier",IF(OR(W707&gt;$W$2168,W707&lt;$W$2169),"moderate","Not"))</f>
        <v>Not</v>
      </c>
      <c r="I707" s="8" t="str">
        <f t="shared" si="186"/>
        <v>no</v>
      </c>
      <c r="J707" s="10" t="str">
        <f t="shared" ref="J707:J770" si="194">IF(AND(W707&lt;=$W$2166,W707&gt;=$W$2167),"no","yes")</f>
        <v>no</v>
      </c>
      <c r="K707" s="10" t="str">
        <f t="shared" ref="K707:K770" si="195">IF(OR(W707&gt;$W$2166,W707&lt;$W$2167),"yes",IF(OR(W707&gt;$W$2168,W707&lt;$W$2169),"moderate","no"))</f>
        <v>no</v>
      </c>
      <c r="L707" t="s">
        <v>475</v>
      </c>
      <c r="M707">
        <v>10515</v>
      </c>
      <c r="N707">
        <v>60</v>
      </c>
      <c r="O707" t="s">
        <v>694</v>
      </c>
      <c r="P707" t="str">
        <f t="shared" ref="P707:P770" si="196">L707&amp;"_"&amp;M707&amp;"_"&amp;O707</f>
        <v>QUICK_10515_Camembert Pierrot</v>
      </c>
      <c r="Q707" t="str">
        <f t="shared" ref="Q707:Q770" si="197">LEFT(RIGHT(P707,LEN(P707)-FIND("_",P707)), FIND("_",P707)-1)</f>
        <v>10515</v>
      </c>
      <c r="R707" t="str">
        <f t="shared" ref="R707:R770" si="198">MID(P707,FIND("_",P707)+1,FIND("_",P707,FIND("_",P707))-1)</f>
        <v>10515</v>
      </c>
      <c r="S707" t="str">
        <f t="shared" ref="S707:S770" si="199">MID(P707,FIND("_",P707,FIND("_",P707)+1)+1,LEN(P707))</f>
        <v>Camembert Pierrot</v>
      </c>
      <c r="T707">
        <v>34</v>
      </c>
      <c r="U707">
        <v>84</v>
      </c>
      <c r="V707">
        <v>0.15</v>
      </c>
      <c r="W707">
        <f t="shared" ref="W707:W770" si="200">T707*U707*(1-V707)</f>
        <v>2427.6</v>
      </c>
      <c r="X707" t="str">
        <f t="shared" ref="X707:X770" si="201">IF(YEAR(Y707)&gt;=1996,"yes","No")</f>
        <v>No</v>
      </c>
      <c r="Y707" s="2">
        <v>34843</v>
      </c>
      <c r="Z707" t="str">
        <f t="shared" si="187"/>
        <v/>
      </c>
      <c r="AA707" t="str">
        <f t="shared" ref="AA707:AA770" si="202">IF(Y707&lt;DATE(1996,1,1),"", IF(Y707&lt;DATE(1996,4,1),"1st Q 1996",IF(Y707&lt;DATE(1996,7,1),"2nd Q 1996","")))</f>
        <v/>
      </c>
      <c r="AB707" t="str" cm="1">
        <f t="array" ref="AB707">_xlfn.IFS(Y707&lt;DATE(1996,1,1),"",Y707&lt;DATE(1996,4,1),"Q1",Y707&lt;DATE(1996,7,1),"Q2",Y707&gt;=DATE(1996,7,1),"")</f>
        <v/>
      </c>
    </row>
    <row r="708" spans="1:28" ht="14.4" x14ac:dyDescent="0.55000000000000004">
      <c r="A708" t="str">
        <f>VLOOKUP(L708,Customers!$A$2:$B$92,2,FALSE)</f>
        <v>Hungry Owl All-Night Grocers</v>
      </c>
      <c r="B708" t="str">
        <f>VLOOKUP(L708,Customers!$A$2:$C$92,3,TRUE)</f>
        <v>Patricia McKenna</v>
      </c>
      <c r="C708" t="str">
        <f t="shared" si="188"/>
        <v>Patricia</v>
      </c>
      <c r="D708" s="8" t="str">
        <f t="shared" si="189"/>
        <v>McKenna</v>
      </c>
      <c r="E708" s="8" t="str">
        <f t="shared" si="190"/>
        <v>McKenna, Patricia</v>
      </c>
      <c r="F708" s="8" t="str">
        <f t="shared" si="191"/>
        <v>McKenna, Patricia</v>
      </c>
      <c r="G708" s="8" t="str">
        <f t="shared" si="192"/>
        <v>not an outlier</v>
      </c>
      <c r="H708" s="8" t="str">
        <f t="shared" si="193"/>
        <v>Not</v>
      </c>
      <c r="I708" s="8" t="str">
        <f t="shared" ref="I708:I771" si="203">IF(OR(W708&gt;$W$2166,W708&lt;$W$2167),"yes","no")</f>
        <v>no</v>
      </c>
      <c r="J708" s="10" t="str">
        <f t="shared" si="194"/>
        <v>no</v>
      </c>
      <c r="K708" s="10" t="str">
        <f t="shared" si="195"/>
        <v>no</v>
      </c>
      <c r="L708" t="s">
        <v>288</v>
      </c>
      <c r="M708">
        <v>10516</v>
      </c>
      <c r="N708">
        <v>18</v>
      </c>
      <c r="O708" t="s">
        <v>742</v>
      </c>
      <c r="P708" t="str">
        <f t="shared" si="196"/>
        <v>HUNGO_10516_Carnarvon Tigers</v>
      </c>
      <c r="Q708" t="str">
        <f t="shared" si="197"/>
        <v>10516</v>
      </c>
      <c r="R708" t="str">
        <f t="shared" si="198"/>
        <v>10516</v>
      </c>
      <c r="S708" t="str">
        <f t="shared" si="199"/>
        <v>Carnarvon Tigers</v>
      </c>
      <c r="T708">
        <v>62.5</v>
      </c>
      <c r="U708">
        <v>25</v>
      </c>
      <c r="V708">
        <v>0.1</v>
      </c>
      <c r="W708">
        <f t="shared" si="200"/>
        <v>1406.25</v>
      </c>
      <c r="X708" t="str">
        <f t="shared" si="201"/>
        <v>No</v>
      </c>
      <c r="Y708" s="2">
        <v>34844</v>
      </c>
      <c r="Z708" t="str">
        <f t="shared" si="187"/>
        <v/>
      </c>
      <c r="AA708" t="str">
        <f t="shared" si="202"/>
        <v/>
      </c>
      <c r="AB708" t="str" cm="1">
        <f t="array" ref="AB708">_xlfn.IFS(Y708&lt;DATE(1996,1,1),"",Y708&lt;DATE(1996,4,1),"Q1",Y708&lt;DATE(1996,7,1),"Q2",Y708&gt;=DATE(1996,7,1),"")</f>
        <v/>
      </c>
    </row>
    <row r="709" spans="1:28" ht="14.4" x14ac:dyDescent="0.55000000000000004">
      <c r="A709" t="str">
        <f>VLOOKUP(L709,Customers!$A$2:$B$92,2,FALSE)</f>
        <v>Hungry Owl All-Night Grocers</v>
      </c>
      <c r="B709" t="str">
        <f>VLOOKUP(L709,Customers!$A$2:$C$92,3,TRUE)</f>
        <v>Patricia McKenna</v>
      </c>
      <c r="C709" t="str">
        <f t="shared" si="188"/>
        <v>Patricia</v>
      </c>
      <c r="D709" s="8" t="str">
        <f t="shared" si="189"/>
        <v>McKenna</v>
      </c>
      <c r="E709" s="8" t="str">
        <f t="shared" si="190"/>
        <v>McKenna, Patricia</v>
      </c>
      <c r="F709" s="8" t="str">
        <f t="shared" si="191"/>
        <v>McKenna, Patricia</v>
      </c>
      <c r="G709" s="8" t="str">
        <f t="shared" si="192"/>
        <v>not an outlier</v>
      </c>
      <c r="H709" s="8" t="str">
        <f t="shared" si="193"/>
        <v>Not</v>
      </c>
      <c r="I709" s="8" t="str">
        <f t="shared" si="203"/>
        <v>no</v>
      </c>
      <c r="J709" s="10" t="str">
        <f t="shared" si="194"/>
        <v>no</v>
      </c>
      <c r="K709" s="10" t="str">
        <f t="shared" si="195"/>
        <v>no</v>
      </c>
      <c r="L709" t="s">
        <v>288</v>
      </c>
      <c r="M709">
        <v>10516</v>
      </c>
      <c r="N709">
        <v>41</v>
      </c>
      <c r="O709" t="s">
        <v>688</v>
      </c>
      <c r="P709" t="str">
        <f t="shared" si="196"/>
        <v>HUNGO_10516_Jack's New England Clam Chowder</v>
      </c>
      <c r="Q709" t="str">
        <f t="shared" si="197"/>
        <v>10516</v>
      </c>
      <c r="R709" t="str">
        <f t="shared" si="198"/>
        <v>10516</v>
      </c>
      <c r="S709" t="str">
        <f t="shared" si="199"/>
        <v>Jack's New England Clam Chowder</v>
      </c>
      <c r="T709">
        <v>9.65</v>
      </c>
      <c r="U709">
        <v>80</v>
      </c>
      <c r="V709">
        <v>0.1</v>
      </c>
      <c r="W709">
        <f t="shared" si="200"/>
        <v>694.80000000000007</v>
      </c>
      <c r="X709" t="str">
        <f t="shared" si="201"/>
        <v>No</v>
      </c>
      <c r="Y709" s="2">
        <v>34844</v>
      </c>
      <c r="Z709" t="str">
        <f t="shared" si="187"/>
        <v/>
      </c>
      <c r="AA709" t="str">
        <f t="shared" si="202"/>
        <v/>
      </c>
      <c r="AB709" t="str" cm="1">
        <f t="array" ref="AB709">_xlfn.IFS(Y709&lt;DATE(1996,1,1),"",Y709&lt;DATE(1996,4,1),"Q1",Y709&lt;DATE(1996,7,1),"Q2",Y709&gt;=DATE(1996,7,1),"")</f>
        <v/>
      </c>
    </row>
    <row r="710" spans="1:28" ht="14.4" x14ac:dyDescent="0.55000000000000004">
      <c r="A710" t="str">
        <f>VLOOKUP(L710,Customers!$A$2:$B$92,2,FALSE)</f>
        <v>Hungry Owl All-Night Grocers</v>
      </c>
      <c r="B710" t="str">
        <f>VLOOKUP(L710,Customers!$A$2:$C$92,3,TRUE)</f>
        <v>Patricia McKenna</v>
      </c>
      <c r="C710" t="str">
        <f t="shared" si="188"/>
        <v>Patricia</v>
      </c>
      <c r="D710" s="8" t="str">
        <f t="shared" si="189"/>
        <v>McKenna</v>
      </c>
      <c r="E710" s="8" t="str">
        <f t="shared" si="190"/>
        <v>McKenna, Patricia</v>
      </c>
      <c r="F710" s="8" t="str">
        <f t="shared" si="191"/>
        <v>McKenna, Patricia</v>
      </c>
      <c r="G710" s="8" t="str">
        <f t="shared" si="192"/>
        <v>not an outlier</v>
      </c>
      <c r="H710" s="8" t="str">
        <f t="shared" si="193"/>
        <v>Not</v>
      </c>
      <c r="I710" s="8" t="str">
        <f t="shared" si="203"/>
        <v>no</v>
      </c>
      <c r="J710" s="10" t="str">
        <f t="shared" si="194"/>
        <v>no</v>
      </c>
      <c r="K710" s="10" t="str">
        <f t="shared" si="195"/>
        <v>no</v>
      </c>
      <c r="L710" t="s">
        <v>288</v>
      </c>
      <c r="M710">
        <v>10516</v>
      </c>
      <c r="N710">
        <v>42</v>
      </c>
      <c r="O710" t="s">
        <v>684</v>
      </c>
      <c r="P710" t="str">
        <f t="shared" si="196"/>
        <v>HUNGO_10516_Singaporean Hokkien Fried Mee</v>
      </c>
      <c r="Q710" t="str">
        <f t="shared" si="197"/>
        <v>10516</v>
      </c>
      <c r="R710" t="str">
        <f t="shared" si="198"/>
        <v>10516</v>
      </c>
      <c r="S710" t="str">
        <f t="shared" si="199"/>
        <v>Singaporean Hokkien Fried Mee</v>
      </c>
      <c r="T710">
        <v>14</v>
      </c>
      <c r="U710">
        <v>20</v>
      </c>
      <c r="V710">
        <v>0</v>
      </c>
      <c r="W710">
        <f t="shared" si="200"/>
        <v>280</v>
      </c>
      <c r="X710" t="str">
        <f t="shared" si="201"/>
        <v>No</v>
      </c>
      <c r="Y710" s="2">
        <v>34844</v>
      </c>
      <c r="Z710" t="str">
        <f t="shared" si="187"/>
        <v/>
      </c>
      <c r="AA710" t="str">
        <f t="shared" si="202"/>
        <v/>
      </c>
      <c r="AB710" t="str" cm="1">
        <f t="array" ref="AB710">_xlfn.IFS(Y710&lt;DATE(1996,1,1),"",Y710&lt;DATE(1996,4,1),"Q1",Y710&lt;DATE(1996,7,1),"Q2",Y710&gt;=DATE(1996,7,1),"")</f>
        <v/>
      </c>
    </row>
    <row r="711" spans="1:28" ht="14.4" x14ac:dyDescent="0.55000000000000004">
      <c r="A711" t="str">
        <f>VLOOKUP(L711,Customers!$A$2:$B$92,2,FALSE)</f>
        <v>North/South</v>
      </c>
      <c r="B711" t="str">
        <f>VLOOKUP(L711,Customers!$A$2:$C$92,3,TRUE)</f>
        <v>Simon Crowther</v>
      </c>
      <c r="C711" t="str">
        <f t="shared" si="188"/>
        <v>Simon</v>
      </c>
      <c r="D711" s="8" t="str">
        <f t="shared" si="189"/>
        <v>Crowther</v>
      </c>
      <c r="E711" s="8" t="str">
        <f t="shared" si="190"/>
        <v>Crowther, Simon</v>
      </c>
      <c r="F711" s="8" t="str">
        <f t="shared" si="191"/>
        <v>Crowther, Simon</v>
      </c>
      <c r="G711" s="8" t="str">
        <f t="shared" si="192"/>
        <v>not an outlier</v>
      </c>
      <c r="H711" s="8" t="str">
        <f t="shared" si="193"/>
        <v>Not</v>
      </c>
      <c r="I711" s="8" t="str">
        <f t="shared" si="203"/>
        <v>no</v>
      </c>
      <c r="J711" s="10" t="str">
        <f t="shared" si="194"/>
        <v>no</v>
      </c>
      <c r="K711" s="10" t="str">
        <f t="shared" si="195"/>
        <v>no</v>
      </c>
      <c r="L711" t="s">
        <v>409</v>
      </c>
      <c r="M711">
        <v>10517</v>
      </c>
      <c r="N711">
        <v>52</v>
      </c>
      <c r="O711" t="s">
        <v>748</v>
      </c>
      <c r="P711" t="str">
        <f t="shared" si="196"/>
        <v>NORTS_10517_Filo Mix</v>
      </c>
      <c r="Q711" t="str">
        <f t="shared" si="197"/>
        <v>10517</v>
      </c>
      <c r="R711" t="str">
        <f t="shared" si="198"/>
        <v>10517</v>
      </c>
      <c r="S711" t="str">
        <f t="shared" si="199"/>
        <v>Filo Mix</v>
      </c>
      <c r="T711">
        <v>7</v>
      </c>
      <c r="U711">
        <v>6</v>
      </c>
      <c r="V711">
        <v>0</v>
      </c>
      <c r="W711">
        <f t="shared" si="200"/>
        <v>42</v>
      </c>
      <c r="X711" t="str">
        <f t="shared" si="201"/>
        <v>No</v>
      </c>
      <c r="Y711" s="2">
        <v>34844</v>
      </c>
      <c r="Z711" t="str">
        <f t="shared" si="187"/>
        <v/>
      </c>
      <c r="AA711" t="str">
        <f t="shared" si="202"/>
        <v/>
      </c>
      <c r="AB711" t="str" cm="1">
        <f t="array" ref="AB711">_xlfn.IFS(Y711&lt;DATE(1996,1,1),"",Y711&lt;DATE(1996,4,1),"Q1",Y711&lt;DATE(1996,7,1),"Q2",Y711&gt;=DATE(1996,7,1),"")</f>
        <v/>
      </c>
    </row>
    <row r="712" spans="1:28" ht="14.4" x14ac:dyDescent="0.55000000000000004">
      <c r="A712" t="str">
        <f>VLOOKUP(L712,Customers!$A$2:$B$92,2,FALSE)</f>
        <v>North/South</v>
      </c>
      <c r="B712" t="str">
        <f>VLOOKUP(L712,Customers!$A$2:$C$92,3,TRUE)</f>
        <v>Simon Crowther</v>
      </c>
      <c r="C712" t="str">
        <f t="shared" si="188"/>
        <v>Simon</v>
      </c>
      <c r="D712" s="8" t="str">
        <f t="shared" si="189"/>
        <v>Crowther</v>
      </c>
      <c r="E712" s="8" t="str">
        <f t="shared" si="190"/>
        <v>Crowther, Simon</v>
      </c>
      <c r="F712" s="8" t="str">
        <f t="shared" si="191"/>
        <v>Crowther, Simon</v>
      </c>
      <c r="G712" s="8" t="str">
        <f t="shared" si="192"/>
        <v>not an outlier</v>
      </c>
      <c r="H712" s="8" t="str">
        <f t="shared" si="193"/>
        <v>Not</v>
      </c>
      <c r="I712" s="8" t="str">
        <f t="shared" si="203"/>
        <v>no</v>
      </c>
      <c r="J712" s="10" t="str">
        <f t="shared" si="194"/>
        <v>no</v>
      </c>
      <c r="K712" s="10" t="str">
        <f t="shared" si="195"/>
        <v>no</v>
      </c>
      <c r="L712" t="s">
        <v>409</v>
      </c>
      <c r="M712">
        <v>10517</v>
      </c>
      <c r="N712">
        <v>59</v>
      </c>
      <c r="O712" t="s">
        <v>704</v>
      </c>
      <c r="P712" t="str">
        <f t="shared" si="196"/>
        <v>NORTS_10517_Raclette Courdavault</v>
      </c>
      <c r="Q712" t="str">
        <f t="shared" si="197"/>
        <v>10517</v>
      </c>
      <c r="R712" t="str">
        <f t="shared" si="198"/>
        <v>10517</v>
      </c>
      <c r="S712" t="str">
        <f t="shared" si="199"/>
        <v>Raclette Courdavault</v>
      </c>
      <c r="T712">
        <v>55</v>
      </c>
      <c r="U712">
        <v>4</v>
      </c>
      <c r="V712">
        <v>0</v>
      </c>
      <c r="W712">
        <f t="shared" si="200"/>
        <v>220</v>
      </c>
      <c r="X712" t="str">
        <f t="shared" si="201"/>
        <v>No</v>
      </c>
      <c r="Y712" s="2">
        <v>34844</v>
      </c>
      <c r="Z712" t="str">
        <f t="shared" si="187"/>
        <v/>
      </c>
      <c r="AA712" t="str">
        <f t="shared" si="202"/>
        <v/>
      </c>
      <c r="AB712" t="str" cm="1">
        <f t="array" ref="AB712">_xlfn.IFS(Y712&lt;DATE(1996,1,1),"",Y712&lt;DATE(1996,4,1),"Q1",Y712&lt;DATE(1996,7,1),"Q2",Y712&gt;=DATE(1996,7,1),"")</f>
        <v/>
      </c>
    </row>
    <row r="713" spans="1:28" ht="14.4" x14ac:dyDescent="0.55000000000000004">
      <c r="A713" t="str">
        <f>VLOOKUP(L713,Customers!$A$2:$B$92,2,FALSE)</f>
        <v>North/South</v>
      </c>
      <c r="B713" t="str">
        <f>VLOOKUP(L713,Customers!$A$2:$C$92,3,TRUE)</f>
        <v>Simon Crowther</v>
      </c>
      <c r="C713" t="str">
        <f t="shared" si="188"/>
        <v>Simon</v>
      </c>
      <c r="D713" s="8" t="str">
        <f t="shared" si="189"/>
        <v>Crowther</v>
      </c>
      <c r="E713" s="8" t="str">
        <f t="shared" si="190"/>
        <v>Crowther, Simon</v>
      </c>
      <c r="F713" s="8" t="str">
        <f t="shared" si="191"/>
        <v>Crowther, Simon</v>
      </c>
      <c r="G713" s="8" t="str">
        <f t="shared" si="192"/>
        <v>not an outlier</v>
      </c>
      <c r="H713" s="8" t="str">
        <f t="shared" si="193"/>
        <v>Not</v>
      </c>
      <c r="I713" s="8" t="str">
        <f t="shared" si="203"/>
        <v>no</v>
      </c>
      <c r="J713" s="10" t="str">
        <f t="shared" si="194"/>
        <v>no</v>
      </c>
      <c r="K713" s="10" t="str">
        <f t="shared" si="195"/>
        <v>no</v>
      </c>
      <c r="L713" t="s">
        <v>409</v>
      </c>
      <c r="M713">
        <v>10517</v>
      </c>
      <c r="N713">
        <v>70</v>
      </c>
      <c r="O713" t="s">
        <v>713</v>
      </c>
      <c r="P713" t="str">
        <f t="shared" si="196"/>
        <v>NORTS_10517_Outback Lager</v>
      </c>
      <c r="Q713" t="str">
        <f t="shared" si="197"/>
        <v>10517</v>
      </c>
      <c r="R713" t="str">
        <f t="shared" si="198"/>
        <v>10517</v>
      </c>
      <c r="S713" t="str">
        <f t="shared" si="199"/>
        <v>Outback Lager</v>
      </c>
      <c r="T713">
        <v>15</v>
      </c>
      <c r="U713">
        <v>6</v>
      </c>
      <c r="V713">
        <v>0</v>
      </c>
      <c r="W713">
        <f t="shared" si="200"/>
        <v>90</v>
      </c>
      <c r="X713" t="str">
        <f t="shared" si="201"/>
        <v>No</v>
      </c>
      <c r="Y713" s="2">
        <v>34844</v>
      </c>
      <c r="Z713" t="str">
        <f t="shared" si="187"/>
        <v/>
      </c>
      <c r="AA713" t="str">
        <f t="shared" si="202"/>
        <v/>
      </c>
      <c r="AB713" t="str" cm="1">
        <f t="array" ref="AB713">_xlfn.IFS(Y713&lt;DATE(1996,1,1),"",Y713&lt;DATE(1996,4,1),"Q1",Y713&lt;DATE(1996,7,1),"Q2",Y713&gt;=DATE(1996,7,1),"")</f>
        <v/>
      </c>
    </row>
    <row r="714" spans="1:28" ht="14.4" x14ac:dyDescent="0.55000000000000004">
      <c r="A714" t="str">
        <f>VLOOKUP(L714,Customers!$A$2:$B$92,2,FALSE)</f>
        <v>Tortuga Restaurante</v>
      </c>
      <c r="B714" t="str">
        <f>VLOOKUP(L714,Customers!$A$2:$C$92,3,TRUE)</f>
        <v>Miguel Angel Paolino</v>
      </c>
      <c r="C714" t="str">
        <f t="shared" si="188"/>
        <v>Miguel</v>
      </c>
      <c r="D714" s="8" t="str">
        <f t="shared" si="189"/>
        <v>Angel Paolino</v>
      </c>
      <c r="E714" s="8" t="str">
        <f t="shared" si="190"/>
        <v>Angel Paolino, Miguel</v>
      </c>
      <c r="F714" s="8" t="str">
        <f t="shared" si="191"/>
        <v>Angel Paolino, Miguel</v>
      </c>
      <c r="G714" s="8" t="str">
        <f t="shared" si="192"/>
        <v>not an outlier</v>
      </c>
      <c r="H714" s="8" t="str">
        <f t="shared" si="193"/>
        <v>Not</v>
      </c>
      <c r="I714" s="8" t="str">
        <f t="shared" si="203"/>
        <v>no</v>
      </c>
      <c r="J714" s="10" t="str">
        <f t="shared" si="194"/>
        <v>no</v>
      </c>
      <c r="K714" s="10" t="str">
        <f t="shared" si="195"/>
        <v>no</v>
      </c>
      <c r="L714" t="s">
        <v>593</v>
      </c>
      <c r="M714">
        <v>10518</v>
      </c>
      <c r="N714">
        <v>24</v>
      </c>
      <c r="O714" t="s">
        <v>698</v>
      </c>
      <c r="P714" t="str">
        <f t="shared" si="196"/>
        <v>TORTU_10518_Guaraná Fantástica</v>
      </c>
      <c r="Q714" t="str">
        <f t="shared" si="197"/>
        <v>10518</v>
      </c>
      <c r="R714" t="str">
        <f t="shared" si="198"/>
        <v>10518</v>
      </c>
      <c r="S714" t="str">
        <f t="shared" si="199"/>
        <v>Guaraná Fantástica</v>
      </c>
      <c r="T714">
        <v>4.5</v>
      </c>
      <c r="U714">
        <v>5</v>
      </c>
      <c r="V714">
        <v>0</v>
      </c>
      <c r="W714">
        <f t="shared" si="200"/>
        <v>22.5</v>
      </c>
      <c r="X714" t="str">
        <f t="shared" si="201"/>
        <v>No</v>
      </c>
      <c r="Y714" s="2">
        <v>34845</v>
      </c>
      <c r="Z714" t="str">
        <f t="shared" si="187"/>
        <v/>
      </c>
      <c r="AA714" t="str">
        <f t="shared" si="202"/>
        <v/>
      </c>
      <c r="AB714" t="str" cm="1">
        <f t="array" ref="AB714">_xlfn.IFS(Y714&lt;DATE(1996,1,1),"",Y714&lt;DATE(1996,4,1),"Q1",Y714&lt;DATE(1996,7,1),"Q2",Y714&gt;=DATE(1996,7,1),"")</f>
        <v/>
      </c>
    </row>
    <row r="715" spans="1:28" ht="14.4" x14ac:dyDescent="0.55000000000000004">
      <c r="A715" t="str">
        <f>VLOOKUP(L715,Customers!$A$2:$B$92,2,FALSE)</f>
        <v>Tortuga Restaurante</v>
      </c>
      <c r="B715" t="str">
        <f>VLOOKUP(L715,Customers!$A$2:$C$92,3,TRUE)</f>
        <v>Miguel Angel Paolino</v>
      </c>
      <c r="C715" t="str">
        <f t="shared" si="188"/>
        <v>Miguel</v>
      </c>
      <c r="D715" s="8" t="str">
        <f t="shared" si="189"/>
        <v>Angel Paolino</v>
      </c>
      <c r="E715" s="8" t="str">
        <f t="shared" si="190"/>
        <v>Angel Paolino, Miguel</v>
      </c>
      <c r="F715" s="8" t="str">
        <f t="shared" si="191"/>
        <v>Angel Paolino, Miguel</v>
      </c>
      <c r="G715" s="8" t="str">
        <f t="shared" si="192"/>
        <v>outlier</v>
      </c>
      <c r="H715" s="8" t="str">
        <f t="shared" si="193"/>
        <v>outlier</v>
      </c>
      <c r="I715" s="8" t="str">
        <f t="shared" si="203"/>
        <v>yes</v>
      </c>
      <c r="J715" s="10" t="str">
        <f t="shared" si="194"/>
        <v>yes</v>
      </c>
      <c r="K715" s="10" t="str">
        <f t="shared" si="195"/>
        <v>yes</v>
      </c>
      <c r="L715" t="s">
        <v>593</v>
      </c>
      <c r="M715">
        <v>10518</v>
      </c>
      <c r="N715">
        <v>38</v>
      </c>
      <c r="O715" t="s">
        <v>750</v>
      </c>
      <c r="P715" t="str">
        <f t="shared" si="196"/>
        <v>TORTU_10518_Côte de Blaye</v>
      </c>
      <c r="Q715" t="str">
        <f t="shared" si="197"/>
        <v>10518</v>
      </c>
      <c r="R715" t="str">
        <f t="shared" si="198"/>
        <v>10518</v>
      </c>
      <c r="S715" t="str">
        <f t="shared" si="199"/>
        <v>Côte de Blaye</v>
      </c>
      <c r="T715">
        <v>263.5</v>
      </c>
      <c r="U715">
        <v>15</v>
      </c>
      <c r="V715">
        <v>0</v>
      </c>
      <c r="W715">
        <f t="shared" si="200"/>
        <v>3952.5</v>
      </c>
      <c r="X715" t="str">
        <f t="shared" si="201"/>
        <v>No</v>
      </c>
      <c r="Y715" s="2">
        <v>34845</v>
      </c>
      <c r="Z715" t="str">
        <f t="shared" si="187"/>
        <v/>
      </c>
      <c r="AA715" t="str">
        <f t="shared" si="202"/>
        <v/>
      </c>
      <c r="AB715" t="str" cm="1">
        <f t="array" ref="AB715">_xlfn.IFS(Y715&lt;DATE(1996,1,1),"",Y715&lt;DATE(1996,4,1),"Q1",Y715&lt;DATE(1996,7,1),"Q2",Y715&gt;=DATE(1996,7,1),"")</f>
        <v/>
      </c>
    </row>
    <row r="716" spans="1:28" ht="14.4" x14ac:dyDescent="0.55000000000000004">
      <c r="A716" t="str">
        <f>VLOOKUP(L716,Customers!$A$2:$B$92,2,FALSE)</f>
        <v>Tortuga Restaurante</v>
      </c>
      <c r="B716" t="str">
        <f>VLOOKUP(L716,Customers!$A$2:$C$92,3,TRUE)</f>
        <v>Miguel Angel Paolino</v>
      </c>
      <c r="C716" t="str">
        <f t="shared" si="188"/>
        <v>Miguel</v>
      </c>
      <c r="D716" s="8" t="str">
        <f t="shared" si="189"/>
        <v>Angel Paolino</v>
      </c>
      <c r="E716" s="8" t="str">
        <f t="shared" si="190"/>
        <v>Angel Paolino, Miguel</v>
      </c>
      <c r="F716" s="8" t="str">
        <f t="shared" si="191"/>
        <v>Angel Paolino, Miguel</v>
      </c>
      <c r="G716" s="8" t="str">
        <f t="shared" si="192"/>
        <v>not an outlier</v>
      </c>
      <c r="H716" s="8" t="str">
        <f t="shared" si="193"/>
        <v>Not</v>
      </c>
      <c r="I716" s="8" t="str">
        <f t="shared" si="203"/>
        <v>no</v>
      </c>
      <c r="J716" s="10" t="str">
        <f t="shared" si="194"/>
        <v>no</v>
      </c>
      <c r="K716" s="10" t="str">
        <f t="shared" si="195"/>
        <v>no</v>
      </c>
      <c r="L716" t="s">
        <v>593</v>
      </c>
      <c r="M716">
        <v>10518</v>
      </c>
      <c r="N716">
        <v>44</v>
      </c>
      <c r="O716" t="s">
        <v>728</v>
      </c>
      <c r="P716" t="str">
        <f t="shared" si="196"/>
        <v>TORTU_10518_Gula Malacca</v>
      </c>
      <c r="Q716" t="str">
        <f t="shared" si="197"/>
        <v>10518</v>
      </c>
      <c r="R716" t="str">
        <f t="shared" si="198"/>
        <v>10518</v>
      </c>
      <c r="S716" t="str">
        <f t="shared" si="199"/>
        <v>Gula Malacca</v>
      </c>
      <c r="T716">
        <v>19.45</v>
      </c>
      <c r="U716">
        <v>9</v>
      </c>
      <c r="V716">
        <v>0</v>
      </c>
      <c r="W716">
        <f t="shared" si="200"/>
        <v>175.04999999999998</v>
      </c>
      <c r="X716" t="str">
        <f t="shared" si="201"/>
        <v>No</v>
      </c>
      <c r="Y716" s="2">
        <v>34845</v>
      </c>
      <c r="Z716" t="str">
        <f t="shared" si="187"/>
        <v/>
      </c>
      <c r="AA716" t="str">
        <f t="shared" si="202"/>
        <v/>
      </c>
      <c r="AB716" t="str" cm="1">
        <f t="array" ref="AB716">_xlfn.IFS(Y716&lt;DATE(1996,1,1),"",Y716&lt;DATE(1996,4,1),"Q1",Y716&lt;DATE(1996,7,1),"Q2",Y716&gt;=DATE(1996,7,1),"")</f>
        <v/>
      </c>
    </row>
    <row r="717" spans="1:28" ht="14.4" x14ac:dyDescent="0.55000000000000004">
      <c r="A717" t="str">
        <f>VLOOKUP(L717,Customers!$A$2:$B$92,2,FALSE)</f>
        <v>Chop-suey Chinese</v>
      </c>
      <c r="B717" t="str">
        <f>VLOOKUP(L717,Customers!$A$2:$C$92,3,TRUE)</f>
        <v>Yang Wang</v>
      </c>
      <c r="C717" t="str">
        <f t="shared" si="188"/>
        <v>Yang</v>
      </c>
      <c r="D717" s="8" t="str">
        <f t="shared" si="189"/>
        <v>Wang</v>
      </c>
      <c r="E717" s="8" t="str">
        <f t="shared" si="190"/>
        <v>Wang, Yang</v>
      </c>
      <c r="F717" s="8" t="str">
        <f t="shared" si="191"/>
        <v>Wang, Yang</v>
      </c>
      <c r="G717" s="8" t="str">
        <f t="shared" si="192"/>
        <v>not an outlier</v>
      </c>
      <c r="H717" s="8" t="str">
        <f t="shared" si="193"/>
        <v>Not</v>
      </c>
      <c r="I717" s="8" t="str">
        <f t="shared" si="203"/>
        <v>no</v>
      </c>
      <c r="J717" s="10" t="str">
        <f t="shared" si="194"/>
        <v>no</v>
      </c>
      <c r="K717" s="10" t="str">
        <f t="shared" si="195"/>
        <v>no</v>
      </c>
      <c r="L717" t="s">
        <v>116</v>
      </c>
      <c r="M717">
        <v>10519</v>
      </c>
      <c r="N717">
        <v>10</v>
      </c>
      <c r="O717" t="s">
        <v>724</v>
      </c>
      <c r="P717" t="str">
        <f t="shared" si="196"/>
        <v>CHOPS_10519_Ikura</v>
      </c>
      <c r="Q717" t="str">
        <f t="shared" si="197"/>
        <v>10519</v>
      </c>
      <c r="R717" t="str">
        <f t="shared" si="198"/>
        <v>10519</v>
      </c>
      <c r="S717" t="str">
        <f t="shared" si="199"/>
        <v>Ikura</v>
      </c>
      <c r="T717">
        <v>31</v>
      </c>
      <c r="U717">
        <v>16</v>
      </c>
      <c r="V717">
        <v>0.05</v>
      </c>
      <c r="W717">
        <f t="shared" si="200"/>
        <v>471.2</v>
      </c>
      <c r="X717" t="str">
        <f t="shared" si="201"/>
        <v>No</v>
      </c>
      <c r="Y717" s="2">
        <v>34848</v>
      </c>
      <c r="Z717" t="str">
        <f t="shared" si="187"/>
        <v/>
      </c>
      <c r="AA717" t="str">
        <f t="shared" si="202"/>
        <v/>
      </c>
      <c r="AB717" t="str" cm="1">
        <f t="array" ref="AB717">_xlfn.IFS(Y717&lt;DATE(1996,1,1),"",Y717&lt;DATE(1996,4,1),"Q1",Y717&lt;DATE(1996,7,1),"Q2",Y717&gt;=DATE(1996,7,1),"")</f>
        <v/>
      </c>
    </row>
    <row r="718" spans="1:28" ht="14.4" x14ac:dyDescent="0.55000000000000004">
      <c r="A718" t="str">
        <f>VLOOKUP(L718,Customers!$A$2:$B$92,2,FALSE)</f>
        <v>Chop-suey Chinese</v>
      </c>
      <c r="B718" t="str">
        <f>VLOOKUP(L718,Customers!$A$2:$C$92,3,TRUE)</f>
        <v>Yang Wang</v>
      </c>
      <c r="C718" t="str">
        <f t="shared" si="188"/>
        <v>Yang</v>
      </c>
      <c r="D718" s="8" t="str">
        <f t="shared" si="189"/>
        <v>Wang</v>
      </c>
      <c r="E718" s="8" t="str">
        <f t="shared" si="190"/>
        <v>Wang, Yang</v>
      </c>
      <c r="F718" s="8" t="str">
        <f t="shared" si="191"/>
        <v>Wang, Yang</v>
      </c>
      <c r="G718" s="8" t="str">
        <f t="shared" si="192"/>
        <v>not an outlier</v>
      </c>
      <c r="H718" s="8" t="str">
        <f t="shared" si="193"/>
        <v>Not</v>
      </c>
      <c r="I718" s="8" t="str">
        <f t="shared" si="203"/>
        <v>no</v>
      </c>
      <c r="J718" s="10" t="str">
        <f t="shared" si="194"/>
        <v>no</v>
      </c>
      <c r="K718" s="10" t="str">
        <f t="shared" si="195"/>
        <v>no</v>
      </c>
      <c r="L718" t="s">
        <v>116</v>
      </c>
      <c r="M718">
        <v>10519</v>
      </c>
      <c r="N718">
        <v>56</v>
      </c>
      <c r="O718" t="s">
        <v>716</v>
      </c>
      <c r="P718" t="str">
        <f t="shared" si="196"/>
        <v>CHOPS_10519_Gnocchi di nonna Alice</v>
      </c>
      <c r="Q718" t="str">
        <f t="shared" si="197"/>
        <v>10519</v>
      </c>
      <c r="R718" t="str">
        <f t="shared" si="198"/>
        <v>10519</v>
      </c>
      <c r="S718" t="str">
        <f t="shared" si="199"/>
        <v>Gnocchi di nonna Alice</v>
      </c>
      <c r="T718">
        <v>38</v>
      </c>
      <c r="U718">
        <v>40</v>
      </c>
      <c r="V718">
        <v>0</v>
      </c>
      <c r="W718">
        <f t="shared" si="200"/>
        <v>1520</v>
      </c>
      <c r="X718" t="str">
        <f t="shared" si="201"/>
        <v>No</v>
      </c>
      <c r="Y718" s="2">
        <v>34848</v>
      </c>
      <c r="Z718" t="str">
        <f t="shared" si="187"/>
        <v/>
      </c>
      <c r="AA718" t="str">
        <f t="shared" si="202"/>
        <v/>
      </c>
      <c r="AB718" t="str" cm="1">
        <f t="array" ref="AB718">_xlfn.IFS(Y718&lt;DATE(1996,1,1),"",Y718&lt;DATE(1996,4,1),"Q1",Y718&lt;DATE(1996,7,1),"Q2",Y718&gt;=DATE(1996,7,1),"")</f>
        <v/>
      </c>
    </row>
    <row r="719" spans="1:28" ht="14.4" x14ac:dyDescent="0.55000000000000004">
      <c r="A719" t="str">
        <f>VLOOKUP(L719,Customers!$A$2:$B$92,2,FALSE)</f>
        <v>Chop-suey Chinese</v>
      </c>
      <c r="B719" t="str">
        <f>VLOOKUP(L719,Customers!$A$2:$C$92,3,TRUE)</f>
        <v>Yang Wang</v>
      </c>
      <c r="C719" t="str">
        <f t="shared" si="188"/>
        <v>Yang</v>
      </c>
      <c r="D719" s="8" t="str">
        <f t="shared" si="189"/>
        <v>Wang</v>
      </c>
      <c r="E719" s="8" t="str">
        <f t="shared" si="190"/>
        <v>Wang, Yang</v>
      </c>
      <c r="F719" s="8" t="str">
        <f t="shared" si="191"/>
        <v>Wang, Yang</v>
      </c>
      <c r="G719" s="8" t="str">
        <f t="shared" si="192"/>
        <v>not an outlier</v>
      </c>
      <c r="H719" s="8" t="str">
        <f t="shared" si="193"/>
        <v>Not</v>
      </c>
      <c r="I719" s="8" t="str">
        <f t="shared" si="203"/>
        <v>no</v>
      </c>
      <c r="J719" s="10" t="str">
        <f t="shared" si="194"/>
        <v>no</v>
      </c>
      <c r="K719" s="10" t="str">
        <f t="shared" si="195"/>
        <v>no</v>
      </c>
      <c r="L719" t="s">
        <v>116</v>
      </c>
      <c r="M719">
        <v>10519</v>
      </c>
      <c r="N719">
        <v>60</v>
      </c>
      <c r="O719" t="s">
        <v>694</v>
      </c>
      <c r="P719" t="str">
        <f t="shared" si="196"/>
        <v>CHOPS_10519_Camembert Pierrot</v>
      </c>
      <c r="Q719" t="str">
        <f t="shared" si="197"/>
        <v>10519</v>
      </c>
      <c r="R719" t="str">
        <f t="shared" si="198"/>
        <v>10519</v>
      </c>
      <c r="S719" t="str">
        <f t="shared" si="199"/>
        <v>Camembert Pierrot</v>
      </c>
      <c r="T719">
        <v>34</v>
      </c>
      <c r="U719">
        <v>10</v>
      </c>
      <c r="V719">
        <v>0.05</v>
      </c>
      <c r="W719">
        <f t="shared" si="200"/>
        <v>323</v>
      </c>
      <c r="X719" t="str">
        <f t="shared" si="201"/>
        <v>No</v>
      </c>
      <c r="Y719" s="2">
        <v>34848</v>
      </c>
      <c r="Z719" t="str">
        <f t="shared" si="187"/>
        <v/>
      </c>
      <c r="AA719" t="str">
        <f t="shared" si="202"/>
        <v/>
      </c>
      <c r="AB719" t="str" cm="1">
        <f t="array" ref="AB719">_xlfn.IFS(Y719&lt;DATE(1996,1,1),"",Y719&lt;DATE(1996,4,1),"Q1",Y719&lt;DATE(1996,7,1),"Q2",Y719&gt;=DATE(1996,7,1),"")</f>
        <v/>
      </c>
    </row>
    <row r="720" spans="1:28" ht="14.4" x14ac:dyDescent="0.55000000000000004">
      <c r="A720" t="str">
        <f>VLOOKUP(L720,Customers!$A$2:$B$92,2,FALSE)</f>
        <v>Santé Gourmet</v>
      </c>
      <c r="B720" t="str">
        <f>VLOOKUP(L720,Customers!$A$2:$C$92,3,TRUE)</f>
        <v>Jonas Bergulfsen</v>
      </c>
      <c r="C720" t="str">
        <f t="shared" si="188"/>
        <v>Jonas</v>
      </c>
      <c r="D720" s="8" t="str">
        <f t="shared" si="189"/>
        <v>Bergulfsen</v>
      </c>
      <c r="E720" s="8" t="str">
        <f t="shared" si="190"/>
        <v>Bergulfsen, Jonas</v>
      </c>
      <c r="F720" s="8" t="str">
        <f t="shared" si="191"/>
        <v>Bergulfsen, Jonas</v>
      </c>
      <c r="G720" s="8" t="str">
        <f t="shared" si="192"/>
        <v>not an outlier</v>
      </c>
      <c r="H720" s="8" t="str">
        <f t="shared" si="193"/>
        <v>Not</v>
      </c>
      <c r="I720" s="8" t="str">
        <f t="shared" si="203"/>
        <v>no</v>
      </c>
      <c r="J720" s="10" t="str">
        <f t="shared" si="194"/>
        <v>no</v>
      </c>
      <c r="K720" s="10" t="str">
        <f t="shared" si="195"/>
        <v>no</v>
      </c>
      <c r="L720" t="s">
        <v>521</v>
      </c>
      <c r="M720">
        <v>10520</v>
      </c>
      <c r="N720">
        <v>24</v>
      </c>
      <c r="O720" t="s">
        <v>698</v>
      </c>
      <c r="P720" t="str">
        <f t="shared" si="196"/>
        <v>SANTG_10520_Guaraná Fantástica</v>
      </c>
      <c r="Q720" t="str">
        <f t="shared" si="197"/>
        <v>10520</v>
      </c>
      <c r="R720" t="str">
        <f t="shared" si="198"/>
        <v>10520</v>
      </c>
      <c r="S720" t="str">
        <f t="shared" si="199"/>
        <v>Guaraná Fantástica</v>
      </c>
      <c r="T720">
        <v>4.5</v>
      </c>
      <c r="U720">
        <v>8</v>
      </c>
      <c r="V720">
        <v>0</v>
      </c>
      <c r="W720">
        <f t="shared" si="200"/>
        <v>36</v>
      </c>
      <c r="X720" t="str">
        <f t="shared" si="201"/>
        <v>No</v>
      </c>
      <c r="Y720" s="2">
        <v>34849</v>
      </c>
      <c r="Z720" t="str">
        <f t="shared" si="187"/>
        <v/>
      </c>
      <c r="AA720" t="str">
        <f t="shared" si="202"/>
        <v/>
      </c>
      <c r="AB720" t="str" cm="1">
        <f t="array" ref="AB720">_xlfn.IFS(Y720&lt;DATE(1996,1,1),"",Y720&lt;DATE(1996,4,1),"Q1",Y720&lt;DATE(1996,7,1),"Q2",Y720&gt;=DATE(1996,7,1),"")</f>
        <v/>
      </c>
    </row>
    <row r="721" spans="1:28" ht="14.4" x14ac:dyDescent="0.55000000000000004">
      <c r="A721" t="str">
        <f>VLOOKUP(L721,Customers!$A$2:$B$92,2,FALSE)</f>
        <v>Santé Gourmet</v>
      </c>
      <c r="B721" t="str">
        <f>VLOOKUP(L721,Customers!$A$2:$C$92,3,TRUE)</f>
        <v>Jonas Bergulfsen</v>
      </c>
      <c r="C721" t="str">
        <f t="shared" si="188"/>
        <v>Jonas</v>
      </c>
      <c r="D721" s="8" t="str">
        <f t="shared" si="189"/>
        <v>Bergulfsen</v>
      </c>
      <c r="E721" s="8" t="str">
        <f t="shared" si="190"/>
        <v>Bergulfsen, Jonas</v>
      </c>
      <c r="F721" s="8" t="str">
        <f t="shared" si="191"/>
        <v>Bergulfsen, Jonas</v>
      </c>
      <c r="G721" s="8" t="str">
        <f t="shared" si="192"/>
        <v>not an outlier</v>
      </c>
      <c r="H721" s="8" t="str">
        <f t="shared" si="193"/>
        <v>Not</v>
      </c>
      <c r="I721" s="8" t="str">
        <f t="shared" si="203"/>
        <v>no</v>
      </c>
      <c r="J721" s="10" t="str">
        <f t="shared" si="194"/>
        <v>no</v>
      </c>
      <c r="K721" s="10" t="str">
        <f t="shared" si="195"/>
        <v>no</v>
      </c>
      <c r="L721" t="s">
        <v>521</v>
      </c>
      <c r="M721">
        <v>10520</v>
      </c>
      <c r="N721">
        <v>53</v>
      </c>
      <c r="O721" t="s">
        <v>705</v>
      </c>
      <c r="P721" t="str">
        <f t="shared" si="196"/>
        <v>SANTG_10520_Perth Pasties</v>
      </c>
      <c r="Q721" t="str">
        <f t="shared" si="197"/>
        <v>10520</v>
      </c>
      <c r="R721" t="str">
        <f t="shared" si="198"/>
        <v>10520</v>
      </c>
      <c r="S721" t="str">
        <f t="shared" si="199"/>
        <v>Perth Pasties</v>
      </c>
      <c r="T721">
        <v>32.799999999999997</v>
      </c>
      <c r="U721">
        <v>5</v>
      </c>
      <c r="V721">
        <v>0</v>
      </c>
      <c r="W721">
        <f t="shared" si="200"/>
        <v>164</v>
      </c>
      <c r="X721" t="str">
        <f t="shared" si="201"/>
        <v>No</v>
      </c>
      <c r="Y721" s="2">
        <v>34849</v>
      </c>
      <c r="Z721" t="str">
        <f t="shared" si="187"/>
        <v/>
      </c>
      <c r="AA721" t="str">
        <f t="shared" si="202"/>
        <v/>
      </c>
      <c r="AB721" t="str" cm="1">
        <f t="array" ref="AB721">_xlfn.IFS(Y721&lt;DATE(1996,1,1),"",Y721&lt;DATE(1996,4,1),"Q1",Y721&lt;DATE(1996,7,1),"Q2",Y721&gt;=DATE(1996,7,1),"")</f>
        <v/>
      </c>
    </row>
    <row r="722" spans="1:28" ht="14.4" x14ac:dyDescent="0.55000000000000004">
      <c r="A722" t="str">
        <f>VLOOKUP(L722,Customers!$A$2:$B$92,2,FALSE)</f>
        <v>Cactus Comidas para llevar</v>
      </c>
      <c r="B722" t="str">
        <f>VLOOKUP(L722,Customers!$A$2:$C$92,3,TRUE)</f>
        <v>Patricio Simpson</v>
      </c>
      <c r="C722" t="str">
        <f t="shared" si="188"/>
        <v>Patricio</v>
      </c>
      <c r="D722" s="8" t="str">
        <f t="shared" si="189"/>
        <v>Simpson</v>
      </c>
      <c r="E722" s="8" t="str">
        <f t="shared" si="190"/>
        <v>Simpson, Patricio</v>
      </c>
      <c r="F722" s="8" t="str">
        <f t="shared" si="191"/>
        <v>Simpson, Patricio</v>
      </c>
      <c r="G722" s="8" t="str">
        <f t="shared" si="192"/>
        <v>not an outlier</v>
      </c>
      <c r="H722" s="8" t="str">
        <f t="shared" si="193"/>
        <v>Not</v>
      </c>
      <c r="I722" s="8" t="str">
        <f t="shared" si="203"/>
        <v>no</v>
      </c>
      <c r="J722" s="10" t="str">
        <f t="shared" si="194"/>
        <v>no</v>
      </c>
      <c r="K722" s="10" t="str">
        <f t="shared" si="195"/>
        <v>no</v>
      </c>
      <c r="L722" t="s">
        <v>101</v>
      </c>
      <c r="M722">
        <v>10521</v>
      </c>
      <c r="N722">
        <v>35</v>
      </c>
      <c r="O722" t="s">
        <v>714</v>
      </c>
      <c r="P722" t="str">
        <f t="shared" si="196"/>
        <v>CACTU_10521_Steeleye Stout</v>
      </c>
      <c r="Q722" t="str">
        <f t="shared" si="197"/>
        <v>10521</v>
      </c>
      <c r="R722" t="str">
        <f t="shared" si="198"/>
        <v>10521</v>
      </c>
      <c r="S722" t="str">
        <f t="shared" si="199"/>
        <v>Steeleye Stout</v>
      </c>
      <c r="T722">
        <v>18</v>
      </c>
      <c r="U722">
        <v>3</v>
      </c>
      <c r="V722">
        <v>0</v>
      </c>
      <c r="W722">
        <f t="shared" si="200"/>
        <v>54</v>
      </c>
      <c r="X722" t="str">
        <f t="shared" si="201"/>
        <v>No</v>
      </c>
      <c r="Y722" s="2">
        <v>34849</v>
      </c>
      <c r="Z722" t="str">
        <f t="shared" si="187"/>
        <v/>
      </c>
      <c r="AA722" t="str">
        <f t="shared" si="202"/>
        <v/>
      </c>
      <c r="AB722" t="str" cm="1">
        <f t="array" ref="AB722">_xlfn.IFS(Y722&lt;DATE(1996,1,1),"",Y722&lt;DATE(1996,4,1),"Q1",Y722&lt;DATE(1996,7,1),"Q2",Y722&gt;=DATE(1996,7,1),"")</f>
        <v/>
      </c>
    </row>
    <row r="723" spans="1:28" ht="14.4" x14ac:dyDescent="0.55000000000000004">
      <c r="A723" t="str">
        <f>VLOOKUP(L723,Customers!$A$2:$B$92,2,FALSE)</f>
        <v>Cactus Comidas para llevar</v>
      </c>
      <c r="B723" t="str">
        <f>VLOOKUP(L723,Customers!$A$2:$C$92,3,TRUE)</f>
        <v>Patricio Simpson</v>
      </c>
      <c r="C723" t="str">
        <f t="shared" si="188"/>
        <v>Patricio</v>
      </c>
      <c r="D723" s="8" t="str">
        <f t="shared" si="189"/>
        <v>Simpson</v>
      </c>
      <c r="E723" s="8" t="str">
        <f t="shared" si="190"/>
        <v>Simpson, Patricio</v>
      </c>
      <c r="F723" s="8" t="str">
        <f t="shared" si="191"/>
        <v>Simpson, Patricio</v>
      </c>
      <c r="G723" s="8" t="str">
        <f t="shared" si="192"/>
        <v>not an outlier</v>
      </c>
      <c r="H723" s="8" t="str">
        <f t="shared" si="193"/>
        <v>Not</v>
      </c>
      <c r="I723" s="8" t="str">
        <f t="shared" si="203"/>
        <v>no</v>
      </c>
      <c r="J723" s="10" t="str">
        <f t="shared" si="194"/>
        <v>no</v>
      </c>
      <c r="K723" s="10" t="str">
        <f t="shared" si="195"/>
        <v>no</v>
      </c>
      <c r="L723" t="s">
        <v>101</v>
      </c>
      <c r="M723">
        <v>10521</v>
      </c>
      <c r="N723">
        <v>41</v>
      </c>
      <c r="O723" t="s">
        <v>688</v>
      </c>
      <c r="P723" t="str">
        <f t="shared" si="196"/>
        <v>CACTU_10521_Jack's New England Clam Chowder</v>
      </c>
      <c r="Q723" t="str">
        <f t="shared" si="197"/>
        <v>10521</v>
      </c>
      <c r="R723" t="str">
        <f t="shared" si="198"/>
        <v>10521</v>
      </c>
      <c r="S723" t="str">
        <f t="shared" si="199"/>
        <v>Jack's New England Clam Chowder</v>
      </c>
      <c r="T723">
        <v>9.65</v>
      </c>
      <c r="U723">
        <v>10</v>
      </c>
      <c r="V723">
        <v>0</v>
      </c>
      <c r="W723">
        <f t="shared" si="200"/>
        <v>96.5</v>
      </c>
      <c r="X723" t="str">
        <f t="shared" si="201"/>
        <v>No</v>
      </c>
      <c r="Y723" s="2">
        <v>34849</v>
      </c>
      <c r="Z723" t="str">
        <f t="shared" si="187"/>
        <v/>
      </c>
      <c r="AA723" t="str">
        <f t="shared" si="202"/>
        <v/>
      </c>
      <c r="AB723" t="str" cm="1">
        <f t="array" ref="AB723">_xlfn.IFS(Y723&lt;DATE(1996,1,1),"",Y723&lt;DATE(1996,4,1),"Q1",Y723&lt;DATE(1996,7,1),"Q2",Y723&gt;=DATE(1996,7,1),"")</f>
        <v/>
      </c>
    </row>
    <row r="724" spans="1:28" ht="14.4" x14ac:dyDescent="0.55000000000000004">
      <c r="A724" t="str">
        <f>VLOOKUP(L724,Customers!$A$2:$B$92,2,FALSE)</f>
        <v>Cactus Comidas para llevar</v>
      </c>
      <c r="B724" t="str">
        <f>VLOOKUP(L724,Customers!$A$2:$C$92,3,TRUE)</f>
        <v>Patricio Simpson</v>
      </c>
      <c r="C724" t="str">
        <f t="shared" si="188"/>
        <v>Patricio</v>
      </c>
      <c r="D724" s="8" t="str">
        <f t="shared" si="189"/>
        <v>Simpson</v>
      </c>
      <c r="E724" s="8" t="str">
        <f t="shared" si="190"/>
        <v>Simpson, Patricio</v>
      </c>
      <c r="F724" s="8" t="str">
        <f t="shared" si="191"/>
        <v>Simpson, Patricio</v>
      </c>
      <c r="G724" s="8" t="str">
        <f t="shared" si="192"/>
        <v>not an outlier</v>
      </c>
      <c r="H724" s="8" t="str">
        <f t="shared" si="193"/>
        <v>Not</v>
      </c>
      <c r="I724" s="8" t="str">
        <f t="shared" si="203"/>
        <v>no</v>
      </c>
      <c r="J724" s="10" t="str">
        <f t="shared" si="194"/>
        <v>no</v>
      </c>
      <c r="K724" s="10" t="str">
        <f t="shared" si="195"/>
        <v>no</v>
      </c>
      <c r="L724" t="s">
        <v>101</v>
      </c>
      <c r="M724">
        <v>10521</v>
      </c>
      <c r="N724">
        <v>68</v>
      </c>
      <c r="O724" t="s">
        <v>739</v>
      </c>
      <c r="P724" t="str">
        <f t="shared" si="196"/>
        <v>CACTU_10521_Scottish Longbreads</v>
      </c>
      <c r="Q724" t="str">
        <f t="shared" si="197"/>
        <v>10521</v>
      </c>
      <c r="R724" t="str">
        <f t="shared" si="198"/>
        <v>10521</v>
      </c>
      <c r="S724" t="str">
        <f t="shared" si="199"/>
        <v>Scottish Longbreads</v>
      </c>
      <c r="T724">
        <v>12.5</v>
      </c>
      <c r="U724">
        <v>6</v>
      </c>
      <c r="V724">
        <v>0</v>
      </c>
      <c r="W724">
        <f t="shared" si="200"/>
        <v>75</v>
      </c>
      <c r="X724" t="str">
        <f t="shared" si="201"/>
        <v>No</v>
      </c>
      <c r="Y724" s="2">
        <v>34849</v>
      </c>
      <c r="Z724" t="str">
        <f t="shared" si="187"/>
        <v/>
      </c>
      <c r="AA724" t="str">
        <f t="shared" si="202"/>
        <v/>
      </c>
      <c r="AB724" t="str" cm="1">
        <f t="array" ref="AB724">_xlfn.IFS(Y724&lt;DATE(1996,1,1),"",Y724&lt;DATE(1996,4,1),"Q1",Y724&lt;DATE(1996,7,1),"Q2",Y724&gt;=DATE(1996,7,1),"")</f>
        <v/>
      </c>
    </row>
    <row r="725" spans="1:28" ht="14.4" x14ac:dyDescent="0.55000000000000004">
      <c r="A725" t="str">
        <f>VLOOKUP(L725,Customers!$A$2:$B$92,2,FALSE)</f>
        <v>Lehmanns Marktstand</v>
      </c>
      <c r="B725" t="str">
        <f>VLOOKUP(L725,Customers!$A$2:$C$92,3,TRUE)</f>
        <v>Renate Messner</v>
      </c>
      <c r="C725" t="str">
        <f t="shared" si="188"/>
        <v>Renate</v>
      </c>
      <c r="D725" s="8" t="str">
        <f t="shared" si="189"/>
        <v>Messner</v>
      </c>
      <c r="E725" s="8" t="str">
        <f t="shared" si="190"/>
        <v>Messner, Renate</v>
      </c>
      <c r="F725" s="8" t="str">
        <f t="shared" si="191"/>
        <v>Messner, Renate</v>
      </c>
      <c r="G725" s="8" t="str">
        <f t="shared" si="192"/>
        <v>not an outlier</v>
      </c>
      <c r="H725" s="8" t="str">
        <f t="shared" si="193"/>
        <v>Not</v>
      </c>
      <c r="I725" s="8" t="str">
        <f t="shared" si="203"/>
        <v>no</v>
      </c>
      <c r="J725" s="10" t="str">
        <f t="shared" si="194"/>
        <v>no</v>
      </c>
      <c r="K725" s="10" t="str">
        <f t="shared" si="195"/>
        <v>no</v>
      </c>
      <c r="L725" t="s">
        <v>341</v>
      </c>
      <c r="M725">
        <v>10522</v>
      </c>
      <c r="N725">
        <v>1</v>
      </c>
      <c r="O725" t="s">
        <v>735</v>
      </c>
      <c r="P725" t="str">
        <f t="shared" si="196"/>
        <v>LEHMS_10522_Chai</v>
      </c>
      <c r="Q725" t="str">
        <f t="shared" si="197"/>
        <v>10522</v>
      </c>
      <c r="R725" t="str">
        <f t="shared" si="198"/>
        <v>10522</v>
      </c>
      <c r="S725" t="str">
        <f t="shared" si="199"/>
        <v>Chai</v>
      </c>
      <c r="T725">
        <v>18</v>
      </c>
      <c r="U725">
        <v>40</v>
      </c>
      <c r="V725">
        <v>0.2</v>
      </c>
      <c r="W725">
        <f t="shared" si="200"/>
        <v>576</v>
      </c>
      <c r="X725" t="str">
        <f t="shared" si="201"/>
        <v>No</v>
      </c>
      <c r="Y725" s="2">
        <v>34850</v>
      </c>
      <c r="Z725" t="str">
        <f t="shared" si="187"/>
        <v/>
      </c>
      <c r="AA725" t="str">
        <f t="shared" si="202"/>
        <v/>
      </c>
      <c r="AB725" t="str" cm="1">
        <f t="array" ref="AB725">_xlfn.IFS(Y725&lt;DATE(1996,1,1),"",Y725&lt;DATE(1996,4,1),"Q1",Y725&lt;DATE(1996,7,1),"Q2",Y725&gt;=DATE(1996,7,1),"")</f>
        <v/>
      </c>
    </row>
    <row r="726" spans="1:28" ht="14.4" x14ac:dyDescent="0.55000000000000004">
      <c r="A726" t="str">
        <f>VLOOKUP(L726,Customers!$A$2:$B$92,2,FALSE)</f>
        <v>Lehmanns Marktstand</v>
      </c>
      <c r="B726" t="str">
        <f>VLOOKUP(L726,Customers!$A$2:$C$92,3,TRUE)</f>
        <v>Renate Messner</v>
      </c>
      <c r="C726" t="str">
        <f t="shared" si="188"/>
        <v>Renate</v>
      </c>
      <c r="D726" s="8" t="str">
        <f t="shared" si="189"/>
        <v>Messner</v>
      </c>
      <c r="E726" s="8" t="str">
        <f t="shared" si="190"/>
        <v>Messner, Renate</v>
      </c>
      <c r="F726" s="8" t="str">
        <f t="shared" si="191"/>
        <v>Messner, Renate</v>
      </c>
      <c r="G726" s="8" t="str">
        <f t="shared" si="192"/>
        <v>not an outlier</v>
      </c>
      <c r="H726" s="8" t="str">
        <f t="shared" si="193"/>
        <v>Not</v>
      </c>
      <c r="I726" s="8" t="str">
        <f t="shared" si="203"/>
        <v>no</v>
      </c>
      <c r="J726" s="10" t="str">
        <f t="shared" si="194"/>
        <v>no</v>
      </c>
      <c r="K726" s="10" t="str">
        <f t="shared" si="195"/>
        <v>no</v>
      </c>
      <c r="L726" t="s">
        <v>341</v>
      </c>
      <c r="M726">
        <v>10522</v>
      </c>
      <c r="N726">
        <v>8</v>
      </c>
      <c r="O726" t="s">
        <v>754</v>
      </c>
      <c r="P726" t="str">
        <f t="shared" si="196"/>
        <v>LEHMS_10522_Northwoods Cranberry Sauce</v>
      </c>
      <c r="Q726" t="str">
        <f t="shared" si="197"/>
        <v>10522</v>
      </c>
      <c r="R726" t="str">
        <f t="shared" si="198"/>
        <v>10522</v>
      </c>
      <c r="S726" t="str">
        <f t="shared" si="199"/>
        <v>Northwoods Cranberry Sauce</v>
      </c>
      <c r="T726">
        <v>40</v>
      </c>
      <c r="U726">
        <v>24</v>
      </c>
      <c r="V726">
        <v>0</v>
      </c>
      <c r="W726">
        <f t="shared" si="200"/>
        <v>960</v>
      </c>
      <c r="X726" t="str">
        <f t="shared" si="201"/>
        <v>No</v>
      </c>
      <c r="Y726" s="2">
        <v>34850</v>
      </c>
      <c r="Z726" t="str">
        <f t="shared" si="187"/>
        <v/>
      </c>
      <c r="AA726" t="str">
        <f t="shared" si="202"/>
        <v/>
      </c>
      <c r="AB726" t="str" cm="1">
        <f t="array" ref="AB726">_xlfn.IFS(Y726&lt;DATE(1996,1,1),"",Y726&lt;DATE(1996,4,1),"Q1",Y726&lt;DATE(1996,7,1),"Q2",Y726&gt;=DATE(1996,7,1),"")</f>
        <v/>
      </c>
    </row>
    <row r="727" spans="1:28" ht="14.4" x14ac:dyDescent="0.55000000000000004">
      <c r="A727" t="str">
        <f>VLOOKUP(L727,Customers!$A$2:$B$92,2,FALSE)</f>
        <v>Lehmanns Marktstand</v>
      </c>
      <c r="B727" t="str">
        <f>VLOOKUP(L727,Customers!$A$2:$C$92,3,TRUE)</f>
        <v>Renate Messner</v>
      </c>
      <c r="C727" t="str">
        <f t="shared" si="188"/>
        <v>Renate</v>
      </c>
      <c r="D727" s="8" t="str">
        <f t="shared" si="189"/>
        <v>Messner</v>
      </c>
      <c r="E727" s="8" t="str">
        <f t="shared" si="190"/>
        <v>Messner, Renate</v>
      </c>
      <c r="F727" s="8" t="str">
        <f t="shared" si="191"/>
        <v>Messner, Renate</v>
      </c>
      <c r="G727" s="8" t="str">
        <f t="shared" si="192"/>
        <v>not an outlier</v>
      </c>
      <c r="H727" s="8" t="str">
        <f t="shared" si="193"/>
        <v>Not</v>
      </c>
      <c r="I727" s="8" t="str">
        <f t="shared" si="203"/>
        <v>no</v>
      </c>
      <c r="J727" s="10" t="str">
        <f t="shared" si="194"/>
        <v>no</v>
      </c>
      <c r="K727" s="10" t="str">
        <f t="shared" si="195"/>
        <v>no</v>
      </c>
      <c r="L727" t="s">
        <v>341</v>
      </c>
      <c r="M727">
        <v>10522</v>
      </c>
      <c r="N727">
        <v>30</v>
      </c>
      <c r="O727" t="s">
        <v>717</v>
      </c>
      <c r="P727" t="str">
        <f t="shared" si="196"/>
        <v>LEHMS_10522_Nord-Ost Matjeshering</v>
      </c>
      <c r="Q727" t="str">
        <f t="shared" si="197"/>
        <v>10522</v>
      </c>
      <c r="R727" t="str">
        <f t="shared" si="198"/>
        <v>10522</v>
      </c>
      <c r="S727" t="str">
        <f t="shared" si="199"/>
        <v>Nord-Ost Matjeshering</v>
      </c>
      <c r="T727">
        <v>25.89</v>
      </c>
      <c r="U727">
        <v>20</v>
      </c>
      <c r="V727">
        <v>0.2</v>
      </c>
      <c r="W727">
        <f t="shared" si="200"/>
        <v>414.24</v>
      </c>
      <c r="X727" t="str">
        <f t="shared" si="201"/>
        <v>No</v>
      </c>
      <c r="Y727" s="2">
        <v>34850</v>
      </c>
      <c r="Z727" t="str">
        <f t="shared" si="187"/>
        <v/>
      </c>
      <c r="AA727" t="str">
        <f t="shared" si="202"/>
        <v/>
      </c>
      <c r="AB727" t="str" cm="1">
        <f t="array" ref="AB727">_xlfn.IFS(Y727&lt;DATE(1996,1,1),"",Y727&lt;DATE(1996,4,1),"Q1",Y727&lt;DATE(1996,7,1),"Q2",Y727&gt;=DATE(1996,7,1),"")</f>
        <v/>
      </c>
    </row>
    <row r="728" spans="1:28" ht="14.4" x14ac:dyDescent="0.55000000000000004">
      <c r="A728" t="str">
        <f>VLOOKUP(L728,Customers!$A$2:$B$92,2,FALSE)</f>
        <v>Lehmanns Marktstand</v>
      </c>
      <c r="B728" t="str">
        <f>VLOOKUP(L728,Customers!$A$2:$C$92,3,TRUE)</f>
        <v>Renate Messner</v>
      </c>
      <c r="C728" t="str">
        <f t="shared" si="188"/>
        <v>Renate</v>
      </c>
      <c r="D728" s="8" t="str">
        <f t="shared" si="189"/>
        <v>Messner</v>
      </c>
      <c r="E728" s="8" t="str">
        <f t="shared" si="190"/>
        <v>Messner, Renate</v>
      </c>
      <c r="F728" s="8" t="str">
        <f t="shared" si="191"/>
        <v>Messner, Renate</v>
      </c>
      <c r="G728" s="8" t="str">
        <f t="shared" si="192"/>
        <v>not an outlier</v>
      </c>
      <c r="H728" s="8" t="str">
        <f t="shared" si="193"/>
        <v>Not</v>
      </c>
      <c r="I728" s="8" t="str">
        <f t="shared" si="203"/>
        <v>no</v>
      </c>
      <c r="J728" s="10" t="str">
        <f t="shared" si="194"/>
        <v>no</v>
      </c>
      <c r="K728" s="10" t="str">
        <f t="shared" si="195"/>
        <v>no</v>
      </c>
      <c r="L728" t="s">
        <v>341</v>
      </c>
      <c r="M728">
        <v>10522</v>
      </c>
      <c r="N728">
        <v>40</v>
      </c>
      <c r="O728" t="s">
        <v>720</v>
      </c>
      <c r="P728" t="str">
        <f t="shared" si="196"/>
        <v>LEHMS_10522_Boston Crab Meat</v>
      </c>
      <c r="Q728" t="str">
        <f t="shared" si="197"/>
        <v>10522</v>
      </c>
      <c r="R728" t="str">
        <f t="shared" si="198"/>
        <v>10522</v>
      </c>
      <c r="S728" t="str">
        <f t="shared" si="199"/>
        <v>Boston Crab Meat</v>
      </c>
      <c r="T728">
        <v>18.399999999999999</v>
      </c>
      <c r="U728">
        <v>25</v>
      </c>
      <c r="V728">
        <v>0.2</v>
      </c>
      <c r="W728">
        <f t="shared" si="200"/>
        <v>368</v>
      </c>
      <c r="X728" t="str">
        <f t="shared" si="201"/>
        <v>No</v>
      </c>
      <c r="Y728" s="2">
        <v>34850</v>
      </c>
      <c r="Z728" t="str">
        <f t="shared" si="187"/>
        <v/>
      </c>
      <c r="AA728" t="str">
        <f t="shared" si="202"/>
        <v/>
      </c>
      <c r="AB728" t="str" cm="1">
        <f t="array" ref="AB728">_xlfn.IFS(Y728&lt;DATE(1996,1,1),"",Y728&lt;DATE(1996,4,1),"Q1",Y728&lt;DATE(1996,7,1),"Q2",Y728&gt;=DATE(1996,7,1),"")</f>
        <v/>
      </c>
    </row>
    <row r="729" spans="1:28" ht="14.4" x14ac:dyDescent="0.55000000000000004">
      <c r="A729" t="str">
        <f>VLOOKUP(L729,Customers!$A$2:$B$92,2,FALSE)</f>
        <v>Seven Seas Imports</v>
      </c>
      <c r="B729" t="str">
        <f>VLOOKUP(L729,Customers!$A$2:$C$92,3,TRUE)</f>
        <v>Hari Kumar</v>
      </c>
      <c r="C729" t="str">
        <f t="shared" si="188"/>
        <v>Hari</v>
      </c>
      <c r="D729" s="8" t="str">
        <f t="shared" si="189"/>
        <v>Kumar</v>
      </c>
      <c r="E729" s="8" t="str">
        <f t="shared" si="190"/>
        <v>Kumar, Hari</v>
      </c>
      <c r="F729" s="8" t="str">
        <f t="shared" si="191"/>
        <v>Kumar, Hari</v>
      </c>
      <c r="G729" s="8" t="str">
        <f t="shared" si="192"/>
        <v>not an outlier</v>
      </c>
      <c r="H729" s="8" t="str">
        <f t="shared" si="193"/>
        <v>Not</v>
      </c>
      <c r="I729" s="8" t="str">
        <f t="shared" si="203"/>
        <v>no</v>
      </c>
      <c r="J729" s="10" t="str">
        <f t="shared" si="194"/>
        <v>no</v>
      </c>
      <c r="K729" s="10" t="str">
        <f t="shared" si="195"/>
        <v>no</v>
      </c>
      <c r="L729" t="s">
        <v>536</v>
      </c>
      <c r="M729">
        <v>10523</v>
      </c>
      <c r="N729">
        <v>17</v>
      </c>
      <c r="O729" t="s">
        <v>718</v>
      </c>
      <c r="P729" t="str">
        <f t="shared" si="196"/>
        <v>SEVES_10523_Alice Mutton</v>
      </c>
      <c r="Q729" t="str">
        <f t="shared" si="197"/>
        <v>10523</v>
      </c>
      <c r="R729" t="str">
        <f t="shared" si="198"/>
        <v>10523</v>
      </c>
      <c r="S729" t="str">
        <f t="shared" si="199"/>
        <v>Alice Mutton</v>
      </c>
      <c r="T729">
        <v>39</v>
      </c>
      <c r="U729">
        <v>25</v>
      </c>
      <c r="V729">
        <v>0.1</v>
      </c>
      <c r="W729">
        <f t="shared" si="200"/>
        <v>877.5</v>
      </c>
      <c r="X729" t="str">
        <f t="shared" si="201"/>
        <v>No</v>
      </c>
      <c r="Y729" s="2">
        <v>34851</v>
      </c>
      <c r="Z729" t="str">
        <f t="shared" si="187"/>
        <v/>
      </c>
      <c r="AA729" t="str">
        <f t="shared" si="202"/>
        <v/>
      </c>
      <c r="AB729" t="str" cm="1">
        <f t="array" ref="AB729">_xlfn.IFS(Y729&lt;DATE(1996,1,1),"",Y729&lt;DATE(1996,4,1),"Q1",Y729&lt;DATE(1996,7,1),"Q2",Y729&gt;=DATE(1996,7,1),"")</f>
        <v/>
      </c>
    </row>
    <row r="730" spans="1:28" ht="14.4" x14ac:dyDescent="0.55000000000000004">
      <c r="A730" t="str">
        <f>VLOOKUP(L730,Customers!$A$2:$B$92,2,FALSE)</f>
        <v>Seven Seas Imports</v>
      </c>
      <c r="B730" t="str">
        <f>VLOOKUP(L730,Customers!$A$2:$C$92,3,TRUE)</f>
        <v>Hari Kumar</v>
      </c>
      <c r="C730" t="str">
        <f t="shared" si="188"/>
        <v>Hari</v>
      </c>
      <c r="D730" s="8" t="str">
        <f t="shared" si="189"/>
        <v>Kumar</v>
      </c>
      <c r="E730" s="8" t="str">
        <f t="shared" si="190"/>
        <v>Kumar, Hari</v>
      </c>
      <c r="F730" s="8" t="str">
        <f t="shared" si="191"/>
        <v>Kumar, Hari</v>
      </c>
      <c r="G730" s="8" t="str">
        <f t="shared" si="192"/>
        <v>not an outlier</v>
      </c>
      <c r="H730" s="8" t="str">
        <f t="shared" si="193"/>
        <v>Not</v>
      </c>
      <c r="I730" s="8" t="str">
        <f t="shared" si="203"/>
        <v>no</v>
      </c>
      <c r="J730" s="10" t="str">
        <f t="shared" si="194"/>
        <v>no</v>
      </c>
      <c r="K730" s="10" t="str">
        <f t="shared" si="195"/>
        <v>no</v>
      </c>
      <c r="L730" t="s">
        <v>536</v>
      </c>
      <c r="M730">
        <v>10523</v>
      </c>
      <c r="N730">
        <v>20</v>
      </c>
      <c r="O730" t="s">
        <v>692</v>
      </c>
      <c r="P730" t="str">
        <f t="shared" si="196"/>
        <v>SEVES_10523_Sir Rodney's Marmalade</v>
      </c>
      <c r="Q730" t="str">
        <f t="shared" si="197"/>
        <v>10523</v>
      </c>
      <c r="R730" t="str">
        <f t="shared" si="198"/>
        <v>10523</v>
      </c>
      <c r="S730" t="str">
        <f t="shared" si="199"/>
        <v>Sir Rodney's Marmalade</v>
      </c>
      <c r="T730">
        <v>81</v>
      </c>
      <c r="U730">
        <v>15</v>
      </c>
      <c r="V730">
        <v>0.1</v>
      </c>
      <c r="W730">
        <f t="shared" si="200"/>
        <v>1093.5</v>
      </c>
      <c r="X730" t="str">
        <f t="shared" si="201"/>
        <v>No</v>
      </c>
      <c r="Y730" s="2">
        <v>34851</v>
      </c>
      <c r="Z730" t="str">
        <f t="shared" si="187"/>
        <v/>
      </c>
      <c r="AA730" t="str">
        <f t="shared" si="202"/>
        <v/>
      </c>
      <c r="AB730" t="str" cm="1">
        <f t="array" ref="AB730">_xlfn.IFS(Y730&lt;DATE(1996,1,1),"",Y730&lt;DATE(1996,4,1),"Q1",Y730&lt;DATE(1996,7,1),"Q2",Y730&gt;=DATE(1996,7,1),"")</f>
        <v/>
      </c>
    </row>
    <row r="731" spans="1:28" ht="14.4" x14ac:dyDescent="0.55000000000000004">
      <c r="A731" t="str">
        <f>VLOOKUP(L731,Customers!$A$2:$B$92,2,FALSE)</f>
        <v>Seven Seas Imports</v>
      </c>
      <c r="B731" t="str">
        <f>VLOOKUP(L731,Customers!$A$2:$C$92,3,TRUE)</f>
        <v>Hari Kumar</v>
      </c>
      <c r="C731" t="str">
        <f t="shared" si="188"/>
        <v>Hari</v>
      </c>
      <c r="D731" s="8" t="str">
        <f t="shared" si="189"/>
        <v>Kumar</v>
      </c>
      <c r="E731" s="8" t="str">
        <f t="shared" si="190"/>
        <v>Kumar, Hari</v>
      </c>
      <c r="F731" s="8" t="str">
        <f t="shared" si="191"/>
        <v>Kumar, Hari</v>
      </c>
      <c r="G731" s="8" t="str">
        <f t="shared" si="192"/>
        <v>not an outlier</v>
      </c>
      <c r="H731" s="8" t="str">
        <f t="shared" si="193"/>
        <v>Not</v>
      </c>
      <c r="I731" s="8" t="str">
        <f t="shared" si="203"/>
        <v>no</v>
      </c>
      <c r="J731" s="10" t="str">
        <f t="shared" si="194"/>
        <v>no</v>
      </c>
      <c r="K731" s="10" t="str">
        <f t="shared" si="195"/>
        <v>no</v>
      </c>
      <c r="L731" t="s">
        <v>536</v>
      </c>
      <c r="M731">
        <v>10523</v>
      </c>
      <c r="N731">
        <v>37</v>
      </c>
      <c r="O731" t="s">
        <v>711</v>
      </c>
      <c r="P731" t="str">
        <f t="shared" si="196"/>
        <v>SEVES_10523_Gravad lax</v>
      </c>
      <c r="Q731" t="str">
        <f t="shared" si="197"/>
        <v>10523</v>
      </c>
      <c r="R731" t="str">
        <f t="shared" si="198"/>
        <v>10523</v>
      </c>
      <c r="S731" t="str">
        <f t="shared" si="199"/>
        <v>Gravad lax</v>
      </c>
      <c r="T731">
        <v>26</v>
      </c>
      <c r="U731">
        <v>18</v>
      </c>
      <c r="V731">
        <v>0.1</v>
      </c>
      <c r="W731">
        <f t="shared" si="200"/>
        <v>421.2</v>
      </c>
      <c r="X731" t="str">
        <f t="shared" si="201"/>
        <v>No</v>
      </c>
      <c r="Y731" s="2">
        <v>34851</v>
      </c>
      <c r="Z731" t="str">
        <f t="shared" si="187"/>
        <v/>
      </c>
      <c r="AA731" t="str">
        <f t="shared" si="202"/>
        <v/>
      </c>
      <c r="AB731" t="str" cm="1">
        <f t="array" ref="AB731">_xlfn.IFS(Y731&lt;DATE(1996,1,1),"",Y731&lt;DATE(1996,4,1),"Q1",Y731&lt;DATE(1996,7,1),"Q2",Y731&gt;=DATE(1996,7,1),"")</f>
        <v/>
      </c>
    </row>
    <row r="732" spans="1:28" ht="14.4" x14ac:dyDescent="0.55000000000000004">
      <c r="A732" t="str">
        <f>VLOOKUP(L732,Customers!$A$2:$B$92,2,FALSE)</f>
        <v>Seven Seas Imports</v>
      </c>
      <c r="B732" t="str">
        <f>VLOOKUP(L732,Customers!$A$2:$C$92,3,TRUE)</f>
        <v>Hari Kumar</v>
      </c>
      <c r="C732" t="str">
        <f t="shared" si="188"/>
        <v>Hari</v>
      </c>
      <c r="D732" s="8" t="str">
        <f t="shared" si="189"/>
        <v>Kumar</v>
      </c>
      <c r="E732" s="8" t="str">
        <f t="shared" si="190"/>
        <v>Kumar, Hari</v>
      </c>
      <c r="F732" s="8" t="str">
        <f t="shared" si="191"/>
        <v>Kumar, Hari</v>
      </c>
      <c r="G732" s="8" t="str">
        <f t="shared" si="192"/>
        <v>not an outlier</v>
      </c>
      <c r="H732" s="8" t="str">
        <f t="shared" si="193"/>
        <v>Not</v>
      </c>
      <c r="I732" s="8" t="str">
        <f t="shared" si="203"/>
        <v>no</v>
      </c>
      <c r="J732" s="10" t="str">
        <f t="shared" si="194"/>
        <v>no</v>
      </c>
      <c r="K732" s="10" t="str">
        <f t="shared" si="195"/>
        <v>no</v>
      </c>
      <c r="L732" t="s">
        <v>536</v>
      </c>
      <c r="M732">
        <v>10523</v>
      </c>
      <c r="N732">
        <v>41</v>
      </c>
      <c r="O732" t="s">
        <v>688</v>
      </c>
      <c r="P732" t="str">
        <f t="shared" si="196"/>
        <v>SEVES_10523_Jack's New England Clam Chowder</v>
      </c>
      <c r="Q732" t="str">
        <f t="shared" si="197"/>
        <v>10523</v>
      </c>
      <c r="R732" t="str">
        <f t="shared" si="198"/>
        <v>10523</v>
      </c>
      <c r="S732" t="str">
        <f t="shared" si="199"/>
        <v>Jack's New England Clam Chowder</v>
      </c>
      <c r="T732">
        <v>9.65</v>
      </c>
      <c r="U732">
        <v>6</v>
      </c>
      <c r="V732">
        <v>0.1</v>
      </c>
      <c r="W732">
        <f t="shared" si="200"/>
        <v>52.110000000000007</v>
      </c>
      <c r="X732" t="str">
        <f t="shared" si="201"/>
        <v>No</v>
      </c>
      <c r="Y732" s="2">
        <v>34851</v>
      </c>
      <c r="Z732" t="str">
        <f t="shared" si="187"/>
        <v/>
      </c>
      <c r="AA732" t="str">
        <f t="shared" si="202"/>
        <v/>
      </c>
      <c r="AB732" t="str" cm="1">
        <f t="array" ref="AB732">_xlfn.IFS(Y732&lt;DATE(1996,1,1),"",Y732&lt;DATE(1996,4,1),"Q1",Y732&lt;DATE(1996,7,1),"Q2",Y732&gt;=DATE(1996,7,1),"")</f>
        <v/>
      </c>
    </row>
    <row r="733" spans="1:28" ht="14.4" x14ac:dyDescent="0.55000000000000004">
      <c r="A733" t="str">
        <f>VLOOKUP(L733,Customers!$A$2:$B$92,2,FALSE)</f>
        <v>Berglunds snabbköp</v>
      </c>
      <c r="B733" t="str">
        <f>VLOOKUP(L733,Customers!$A$2:$C$92,3,TRUE)</f>
        <v>Christina Berglund</v>
      </c>
      <c r="C733" t="str">
        <f t="shared" si="188"/>
        <v>Christina</v>
      </c>
      <c r="D733" s="8" t="str">
        <f t="shared" si="189"/>
        <v>Berglund</v>
      </c>
      <c r="E733" s="8" t="str">
        <f t="shared" si="190"/>
        <v>Berglund, Christina</v>
      </c>
      <c r="F733" s="8" t="str">
        <f t="shared" si="191"/>
        <v>Berglund, Christina</v>
      </c>
      <c r="G733" s="8" t="str">
        <f t="shared" si="192"/>
        <v>not an outlier</v>
      </c>
      <c r="H733" s="8" t="str">
        <f t="shared" si="193"/>
        <v>Not</v>
      </c>
      <c r="I733" s="8" t="str">
        <f t="shared" si="203"/>
        <v>no</v>
      </c>
      <c r="J733" s="10" t="str">
        <f t="shared" si="194"/>
        <v>no</v>
      </c>
      <c r="K733" s="10" t="str">
        <f t="shared" si="195"/>
        <v>no</v>
      </c>
      <c r="L733" t="s">
        <v>43</v>
      </c>
      <c r="M733">
        <v>10524</v>
      </c>
      <c r="N733">
        <v>10</v>
      </c>
      <c r="O733" t="s">
        <v>724</v>
      </c>
      <c r="P733" t="str">
        <f t="shared" si="196"/>
        <v>BERGS_10524_Ikura</v>
      </c>
      <c r="Q733" t="str">
        <f t="shared" si="197"/>
        <v>10524</v>
      </c>
      <c r="R733" t="str">
        <f t="shared" si="198"/>
        <v>10524</v>
      </c>
      <c r="S733" t="str">
        <f t="shared" si="199"/>
        <v>Ikura</v>
      </c>
      <c r="T733">
        <v>31</v>
      </c>
      <c r="U733">
        <v>2</v>
      </c>
      <c r="V733">
        <v>0</v>
      </c>
      <c r="W733">
        <f t="shared" si="200"/>
        <v>62</v>
      </c>
      <c r="X733" t="str">
        <f t="shared" si="201"/>
        <v>No</v>
      </c>
      <c r="Y733" s="2">
        <v>34851</v>
      </c>
      <c r="Z733" t="str">
        <f t="shared" si="187"/>
        <v/>
      </c>
      <c r="AA733" t="str">
        <f t="shared" si="202"/>
        <v/>
      </c>
      <c r="AB733" t="str" cm="1">
        <f t="array" ref="AB733">_xlfn.IFS(Y733&lt;DATE(1996,1,1),"",Y733&lt;DATE(1996,4,1),"Q1",Y733&lt;DATE(1996,7,1),"Q2",Y733&gt;=DATE(1996,7,1),"")</f>
        <v/>
      </c>
    </row>
    <row r="734" spans="1:28" ht="14.4" x14ac:dyDescent="0.55000000000000004">
      <c r="A734" t="str">
        <f>VLOOKUP(L734,Customers!$A$2:$B$92,2,FALSE)</f>
        <v>Berglunds snabbköp</v>
      </c>
      <c r="B734" t="str">
        <f>VLOOKUP(L734,Customers!$A$2:$C$92,3,TRUE)</f>
        <v>Christina Berglund</v>
      </c>
      <c r="C734" t="str">
        <f t="shared" si="188"/>
        <v>Christina</v>
      </c>
      <c r="D734" s="8" t="str">
        <f t="shared" si="189"/>
        <v>Berglund</v>
      </c>
      <c r="E734" s="8" t="str">
        <f t="shared" si="190"/>
        <v>Berglund, Christina</v>
      </c>
      <c r="F734" s="8" t="str">
        <f t="shared" si="191"/>
        <v>Berglund, Christina</v>
      </c>
      <c r="G734" s="8" t="str">
        <f t="shared" si="192"/>
        <v>not an outlier</v>
      </c>
      <c r="H734" s="8" t="str">
        <f t="shared" si="193"/>
        <v>Not</v>
      </c>
      <c r="I734" s="8" t="str">
        <f t="shared" si="203"/>
        <v>no</v>
      </c>
      <c r="J734" s="10" t="str">
        <f t="shared" si="194"/>
        <v>no</v>
      </c>
      <c r="K734" s="10" t="str">
        <f t="shared" si="195"/>
        <v>no</v>
      </c>
      <c r="L734" t="s">
        <v>43</v>
      </c>
      <c r="M734">
        <v>10524</v>
      </c>
      <c r="N734">
        <v>30</v>
      </c>
      <c r="O734" t="s">
        <v>717</v>
      </c>
      <c r="P734" t="str">
        <f t="shared" si="196"/>
        <v>BERGS_10524_Nord-Ost Matjeshering</v>
      </c>
      <c r="Q734" t="str">
        <f t="shared" si="197"/>
        <v>10524</v>
      </c>
      <c r="R734" t="str">
        <f t="shared" si="198"/>
        <v>10524</v>
      </c>
      <c r="S734" t="str">
        <f t="shared" si="199"/>
        <v>Nord-Ost Matjeshering</v>
      </c>
      <c r="T734">
        <v>25.89</v>
      </c>
      <c r="U734">
        <v>10</v>
      </c>
      <c r="V734">
        <v>0</v>
      </c>
      <c r="W734">
        <f t="shared" si="200"/>
        <v>258.89999999999998</v>
      </c>
      <c r="X734" t="str">
        <f t="shared" si="201"/>
        <v>No</v>
      </c>
      <c r="Y734" s="2">
        <v>34851</v>
      </c>
      <c r="Z734" t="str">
        <f t="shared" si="187"/>
        <v/>
      </c>
      <c r="AA734" t="str">
        <f t="shared" si="202"/>
        <v/>
      </c>
      <c r="AB734" t="str" cm="1">
        <f t="array" ref="AB734">_xlfn.IFS(Y734&lt;DATE(1996,1,1),"",Y734&lt;DATE(1996,4,1),"Q1",Y734&lt;DATE(1996,7,1),"Q2",Y734&gt;=DATE(1996,7,1),"")</f>
        <v/>
      </c>
    </row>
    <row r="735" spans="1:28" ht="14.4" x14ac:dyDescent="0.55000000000000004">
      <c r="A735" t="str">
        <f>VLOOKUP(L735,Customers!$A$2:$B$92,2,FALSE)</f>
        <v>Berglunds snabbköp</v>
      </c>
      <c r="B735" t="str">
        <f>VLOOKUP(L735,Customers!$A$2:$C$92,3,TRUE)</f>
        <v>Christina Berglund</v>
      </c>
      <c r="C735" t="str">
        <f t="shared" si="188"/>
        <v>Christina</v>
      </c>
      <c r="D735" s="8" t="str">
        <f t="shared" si="189"/>
        <v>Berglund</v>
      </c>
      <c r="E735" s="8" t="str">
        <f t="shared" si="190"/>
        <v>Berglund, Christina</v>
      </c>
      <c r="F735" s="8" t="str">
        <f t="shared" si="191"/>
        <v>Berglund, Christina</v>
      </c>
      <c r="G735" s="8" t="str">
        <f t="shared" si="192"/>
        <v>not an outlier</v>
      </c>
      <c r="H735" s="8" t="str">
        <f t="shared" si="193"/>
        <v>moderate</v>
      </c>
      <c r="I735" s="8" t="str">
        <f t="shared" si="203"/>
        <v>no</v>
      </c>
      <c r="J735" s="10" t="str">
        <f t="shared" si="194"/>
        <v>no</v>
      </c>
      <c r="K735" s="10" t="str">
        <f t="shared" si="195"/>
        <v>moderate</v>
      </c>
      <c r="L735" t="s">
        <v>43</v>
      </c>
      <c r="M735">
        <v>10524</v>
      </c>
      <c r="N735">
        <v>43</v>
      </c>
      <c r="O735" t="s">
        <v>723</v>
      </c>
      <c r="P735" t="str">
        <f t="shared" si="196"/>
        <v>BERGS_10524_Ipoh Coffee</v>
      </c>
      <c r="Q735" t="str">
        <f t="shared" si="197"/>
        <v>10524</v>
      </c>
      <c r="R735" t="str">
        <f t="shared" si="198"/>
        <v>10524</v>
      </c>
      <c r="S735" t="str">
        <f t="shared" si="199"/>
        <v>Ipoh Coffee</v>
      </c>
      <c r="T735">
        <v>46</v>
      </c>
      <c r="U735">
        <v>60</v>
      </c>
      <c r="V735">
        <v>0</v>
      </c>
      <c r="W735">
        <f t="shared" si="200"/>
        <v>2760</v>
      </c>
      <c r="X735" t="str">
        <f t="shared" si="201"/>
        <v>No</v>
      </c>
      <c r="Y735" s="2">
        <v>34851</v>
      </c>
      <c r="Z735" t="str">
        <f t="shared" si="187"/>
        <v/>
      </c>
      <c r="AA735" t="str">
        <f t="shared" si="202"/>
        <v/>
      </c>
      <c r="AB735" t="str" cm="1">
        <f t="array" ref="AB735">_xlfn.IFS(Y735&lt;DATE(1996,1,1),"",Y735&lt;DATE(1996,4,1),"Q1",Y735&lt;DATE(1996,7,1),"Q2",Y735&gt;=DATE(1996,7,1),"")</f>
        <v/>
      </c>
    </row>
    <row r="736" spans="1:28" ht="14.4" x14ac:dyDescent="0.55000000000000004">
      <c r="A736" t="str">
        <f>VLOOKUP(L736,Customers!$A$2:$B$92,2,FALSE)</f>
        <v>Berglunds snabbköp</v>
      </c>
      <c r="B736" t="str">
        <f>VLOOKUP(L736,Customers!$A$2:$C$92,3,TRUE)</f>
        <v>Christina Berglund</v>
      </c>
      <c r="C736" t="str">
        <f t="shared" si="188"/>
        <v>Christina</v>
      </c>
      <c r="D736" s="8" t="str">
        <f t="shared" si="189"/>
        <v>Berglund</v>
      </c>
      <c r="E736" s="8" t="str">
        <f t="shared" si="190"/>
        <v>Berglund, Christina</v>
      </c>
      <c r="F736" s="8" t="str">
        <f t="shared" si="191"/>
        <v>Berglund, Christina</v>
      </c>
      <c r="G736" s="8" t="str">
        <f t="shared" si="192"/>
        <v>not an outlier</v>
      </c>
      <c r="H736" s="8" t="str">
        <f t="shared" si="193"/>
        <v>Not</v>
      </c>
      <c r="I736" s="8" t="str">
        <f t="shared" si="203"/>
        <v>no</v>
      </c>
      <c r="J736" s="10" t="str">
        <f t="shared" si="194"/>
        <v>no</v>
      </c>
      <c r="K736" s="10" t="str">
        <f t="shared" si="195"/>
        <v>no</v>
      </c>
      <c r="L736" t="s">
        <v>43</v>
      </c>
      <c r="M736">
        <v>10524</v>
      </c>
      <c r="N736">
        <v>54</v>
      </c>
      <c r="O736" t="s">
        <v>738</v>
      </c>
      <c r="P736" t="str">
        <f t="shared" si="196"/>
        <v>BERGS_10524_Tourtière</v>
      </c>
      <c r="Q736" t="str">
        <f t="shared" si="197"/>
        <v>10524</v>
      </c>
      <c r="R736" t="str">
        <f t="shared" si="198"/>
        <v>10524</v>
      </c>
      <c r="S736" t="str">
        <f t="shared" si="199"/>
        <v>Tourtière</v>
      </c>
      <c r="T736">
        <v>7.45</v>
      </c>
      <c r="U736">
        <v>15</v>
      </c>
      <c r="V736">
        <v>0</v>
      </c>
      <c r="W736">
        <f t="shared" si="200"/>
        <v>111.75</v>
      </c>
      <c r="X736" t="str">
        <f t="shared" si="201"/>
        <v>No</v>
      </c>
      <c r="Y736" s="2">
        <v>34851</v>
      </c>
      <c r="Z736" t="str">
        <f t="shared" si="187"/>
        <v/>
      </c>
      <c r="AA736" t="str">
        <f t="shared" si="202"/>
        <v/>
      </c>
      <c r="AB736" t="str" cm="1">
        <f t="array" ref="AB736">_xlfn.IFS(Y736&lt;DATE(1996,1,1),"",Y736&lt;DATE(1996,4,1),"Q1",Y736&lt;DATE(1996,7,1),"Q2",Y736&gt;=DATE(1996,7,1),"")</f>
        <v/>
      </c>
    </row>
    <row r="737" spans="1:28" ht="14.4" x14ac:dyDescent="0.55000000000000004">
      <c r="A737" t="str">
        <f>VLOOKUP(L737,Customers!$A$2:$B$92,2,FALSE)</f>
        <v>Bon app'</v>
      </c>
      <c r="B737" t="str">
        <f>VLOOKUP(L737,Customers!$A$2:$C$92,3,TRUE)</f>
        <v>Laurence Lebihan</v>
      </c>
      <c r="C737" t="str">
        <f t="shared" si="188"/>
        <v>Laurence</v>
      </c>
      <c r="D737" s="8" t="str">
        <f t="shared" si="189"/>
        <v>Lebihan</v>
      </c>
      <c r="E737" s="8" t="str">
        <f t="shared" si="190"/>
        <v>Lebihan, Laurence</v>
      </c>
      <c r="F737" s="8" t="str">
        <f t="shared" si="191"/>
        <v>Lebihan, Laurence</v>
      </c>
      <c r="G737" s="8" t="str">
        <f t="shared" si="192"/>
        <v>not an outlier</v>
      </c>
      <c r="H737" s="8" t="str">
        <f t="shared" si="193"/>
        <v>Not</v>
      </c>
      <c r="I737" s="8" t="str">
        <f t="shared" si="203"/>
        <v>no</v>
      </c>
      <c r="J737" s="10" t="str">
        <f t="shared" si="194"/>
        <v>no</v>
      </c>
      <c r="K737" s="10" t="str">
        <f t="shared" si="195"/>
        <v>no</v>
      </c>
      <c r="L737" t="s">
        <v>77</v>
      </c>
      <c r="M737">
        <v>10525</v>
      </c>
      <c r="N737">
        <v>36</v>
      </c>
      <c r="O737" t="s">
        <v>703</v>
      </c>
      <c r="P737" t="str">
        <f t="shared" si="196"/>
        <v>BONAP_10525_Inlagd Sill</v>
      </c>
      <c r="Q737" t="str">
        <f t="shared" si="197"/>
        <v>10525</v>
      </c>
      <c r="R737" t="str">
        <f t="shared" si="198"/>
        <v>10525</v>
      </c>
      <c r="S737" t="str">
        <f t="shared" si="199"/>
        <v>Inlagd Sill</v>
      </c>
      <c r="T737">
        <v>19</v>
      </c>
      <c r="U737">
        <v>30</v>
      </c>
      <c r="V737">
        <v>0</v>
      </c>
      <c r="W737">
        <f t="shared" si="200"/>
        <v>570</v>
      </c>
      <c r="X737" t="str">
        <f t="shared" si="201"/>
        <v>No</v>
      </c>
      <c r="Y737" s="2">
        <v>34852</v>
      </c>
      <c r="Z737" t="str">
        <f t="shared" si="187"/>
        <v/>
      </c>
      <c r="AA737" t="str">
        <f t="shared" si="202"/>
        <v/>
      </c>
      <c r="AB737" t="str" cm="1">
        <f t="array" ref="AB737">_xlfn.IFS(Y737&lt;DATE(1996,1,1),"",Y737&lt;DATE(1996,4,1),"Q1",Y737&lt;DATE(1996,7,1),"Q2",Y737&gt;=DATE(1996,7,1),"")</f>
        <v/>
      </c>
    </row>
    <row r="738" spans="1:28" ht="14.4" x14ac:dyDescent="0.55000000000000004">
      <c r="A738" t="str">
        <f>VLOOKUP(L738,Customers!$A$2:$B$92,2,FALSE)</f>
        <v>Bon app'</v>
      </c>
      <c r="B738" t="str">
        <f>VLOOKUP(L738,Customers!$A$2:$C$92,3,TRUE)</f>
        <v>Laurence Lebihan</v>
      </c>
      <c r="C738" t="str">
        <f t="shared" si="188"/>
        <v>Laurence</v>
      </c>
      <c r="D738" s="8" t="str">
        <f t="shared" si="189"/>
        <v>Lebihan</v>
      </c>
      <c r="E738" s="8" t="str">
        <f t="shared" si="190"/>
        <v>Lebihan, Laurence</v>
      </c>
      <c r="F738" s="8" t="str">
        <f t="shared" si="191"/>
        <v>Lebihan, Laurence</v>
      </c>
      <c r="G738" s="8" t="str">
        <f t="shared" si="192"/>
        <v>not an outlier</v>
      </c>
      <c r="H738" s="8" t="str">
        <f t="shared" si="193"/>
        <v>Not</v>
      </c>
      <c r="I738" s="8" t="str">
        <f t="shared" si="203"/>
        <v>no</v>
      </c>
      <c r="J738" s="10" t="str">
        <f t="shared" si="194"/>
        <v>no</v>
      </c>
      <c r="K738" s="10" t="str">
        <f t="shared" si="195"/>
        <v>no</v>
      </c>
      <c r="L738" t="s">
        <v>77</v>
      </c>
      <c r="M738">
        <v>10525</v>
      </c>
      <c r="N738">
        <v>40</v>
      </c>
      <c r="O738" t="s">
        <v>720</v>
      </c>
      <c r="P738" t="str">
        <f t="shared" si="196"/>
        <v>BONAP_10525_Boston Crab Meat</v>
      </c>
      <c r="Q738" t="str">
        <f t="shared" si="197"/>
        <v>10525</v>
      </c>
      <c r="R738" t="str">
        <f t="shared" si="198"/>
        <v>10525</v>
      </c>
      <c r="S738" t="str">
        <f t="shared" si="199"/>
        <v>Boston Crab Meat</v>
      </c>
      <c r="T738">
        <v>18.399999999999999</v>
      </c>
      <c r="U738">
        <v>15</v>
      </c>
      <c r="V738">
        <v>0.1</v>
      </c>
      <c r="W738">
        <f t="shared" si="200"/>
        <v>248.4</v>
      </c>
      <c r="X738" t="str">
        <f t="shared" si="201"/>
        <v>No</v>
      </c>
      <c r="Y738" s="2">
        <v>34852</v>
      </c>
      <c r="Z738" t="str">
        <f t="shared" si="187"/>
        <v/>
      </c>
      <c r="AA738" t="str">
        <f t="shared" si="202"/>
        <v/>
      </c>
      <c r="AB738" t="str" cm="1">
        <f t="array" ref="AB738">_xlfn.IFS(Y738&lt;DATE(1996,1,1),"",Y738&lt;DATE(1996,4,1),"Q1",Y738&lt;DATE(1996,7,1),"Q2",Y738&gt;=DATE(1996,7,1),"")</f>
        <v/>
      </c>
    </row>
    <row r="739" spans="1:28" ht="14.4" x14ac:dyDescent="0.55000000000000004">
      <c r="A739" t="str">
        <f>VLOOKUP(L739,Customers!$A$2:$B$92,2,FALSE)</f>
        <v>Wartian Herkku</v>
      </c>
      <c r="B739" t="str">
        <f>VLOOKUP(L739,Customers!$A$2:$C$92,3,TRUE)</f>
        <v>Pirkko Koskitalo</v>
      </c>
      <c r="C739" t="str">
        <f t="shared" si="188"/>
        <v>Pirkko</v>
      </c>
      <c r="D739" s="8" t="str">
        <f t="shared" si="189"/>
        <v>Koskitalo</v>
      </c>
      <c r="E739" s="8" t="str">
        <f t="shared" si="190"/>
        <v>Koskitalo, Pirkko</v>
      </c>
      <c r="F739" s="8" t="str">
        <f t="shared" si="191"/>
        <v>Koskitalo, Pirkko</v>
      </c>
      <c r="G739" s="8" t="str">
        <f t="shared" si="192"/>
        <v>not an outlier</v>
      </c>
      <c r="H739" s="8" t="str">
        <f t="shared" si="193"/>
        <v>Not</v>
      </c>
      <c r="I739" s="8" t="str">
        <f t="shared" si="203"/>
        <v>no</v>
      </c>
      <c r="J739" s="10" t="str">
        <f t="shared" si="194"/>
        <v>no</v>
      </c>
      <c r="K739" s="10" t="str">
        <f t="shared" si="195"/>
        <v>no</v>
      </c>
      <c r="L739" t="s">
        <v>640</v>
      </c>
      <c r="M739">
        <v>10526</v>
      </c>
      <c r="N739">
        <v>1</v>
      </c>
      <c r="O739" t="s">
        <v>735</v>
      </c>
      <c r="P739" t="str">
        <f t="shared" si="196"/>
        <v>WARTH_10526_Chai</v>
      </c>
      <c r="Q739" t="str">
        <f t="shared" si="197"/>
        <v>10526</v>
      </c>
      <c r="R739" t="str">
        <f t="shared" si="198"/>
        <v>10526</v>
      </c>
      <c r="S739" t="str">
        <f t="shared" si="199"/>
        <v>Chai</v>
      </c>
      <c r="T739">
        <v>18</v>
      </c>
      <c r="U739">
        <v>8</v>
      </c>
      <c r="V739">
        <v>0.15</v>
      </c>
      <c r="W739">
        <f t="shared" si="200"/>
        <v>122.39999999999999</v>
      </c>
      <c r="X739" t="str">
        <f t="shared" si="201"/>
        <v>No</v>
      </c>
      <c r="Y739" s="2">
        <v>34855</v>
      </c>
      <c r="Z739" t="str">
        <f t="shared" si="187"/>
        <v/>
      </c>
      <c r="AA739" t="str">
        <f t="shared" si="202"/>
        <v/>
      </c>
      <c r="AB739" t="str" cm="1">
        <f t="array" ref="AB739">_xlfn.IFS(Y739&lt;DATE(1996,1,1),"",Y739&lt;DATE(1996,4,1),"Q1",Y739&lt;DATE(1996,7,1),"Q2",Y739&gt;=DATE(1996,7,1),"")</f>
        <v/>
      </c>
    </row>
    <row r="740" spans="1:28" ht="14.4" x14ac:dyDescent="0.55000000000000004">
      <c r="A740" t="str">
        <f>VLOOKUP(L740,Customers!$A$2:$B$92,2,FALSE)</f>
        <v>Wartian Herkku</v>
      </c>
      <c r="B740" t="str">
        <f>VLOOKUP(L740,Customers!$A$2:$C$92,3,TRUE)</f>
        <v>Pirkko Koskitalo</v>
      </c>
      <c r="C740" t="str">
        <f t="shared" si="188"/>
        <v>Pirkko</v>
      </c>
      <c r="D740" s="8" t="str">
        <f t="shared" si="189"/>
        <v>Koskitalo</v>
      </c>
      <c r="E740" s="8" t="str">
        <f t="shared" si="190"/>
        <v>Koskitalo, Pirkko</v>
      </c>
      <c r="F740" s="8" t="str">
        <f t="shared" si="191"/>
        <v>Koskitalo, Pirkko</v>
      </c>
      <c r="G740" s="8" t="str">
        <f t="shared" si="192"/>
        <v>not an outlier</v>
      </c>
      <c r="H740" s="8" t="str">
        <f t="shared" si="193"/>
        <v>Not</v>
      </c>
      <c r="I740" s="8" t="str">
        <f t="shared" si="203"/>
        <v>no</v>
      </c>
      <c r="J740" s="10" t="str">
        <f t="shared" si="194"/>
        <v>no</v>
      </c>
      <c r="K740" s="10" t="str">
        <f t="shared" si="195"/>
        <v>no</v>
      </c>
      <c r="L740" t="s">
        <v>640</v>
      </c>
      <c r="M740">
        <v>10526</v>
      </c>
      <c r="N740">
        <v>13</v>
      </c>
      <c r="O740" t="s">
        <v>726</v>
      </c>
      <c r="P740" t="str">
        <f t="shared" si="196"/>
        <v>WARTH_10526_Konbu</v>
      </c>
      <c r="Q740" t="str">
        <f t="shared" si="197"/>
        <v>10526</v>
      </c>
      <c r="R740" t="str">
        <f t="shared" si="198"/>
        <v>10526</v>
      </c>
      <c r="S740" t="str">
        <f t="shared" si="199"/>
        <v>Konbu</v>
      </c>
      <c r="T740">
        <v>6</v>
      </c>
      <c r="U740">
        <v>10</v>
      </c>
      <c r="V740">
        <v>0</v>
      </c>
      <c r="W740">
        <f t="shared" si="200"/>
        <v>60</v>
      </c>
      <c r="X740" t="str">
        <f t="shared" si="201"/>
        <v>No</v>
      </c>
      <c r="Y740" s="2">
        <v>34855</v>
      </c>
      <c r="Z740" t="str">
        <f t="shared" si="187"/>
        <v/>
      </c>
      <c r="AA740" t="str">
        <f t="shared" si="202"/>
        <v/>
      </c>
      <c r="AB740" t="str" cm="1">
        <f t="array" ref="AB740">_xlfn.IFS(Y740&lt;DATE(1996,1,1),"",Y740&lt;DATE(1996,4,1),"Q1",Y740&lt;DATE(1996,7,1),"Q2",Y740&gt;=DATE(1996,7,1),"")</f>
        <v/>
      </c>
    </row>
    <row r="741" spans="1:28" ht="14.4" x14ac:dyDescent="0.55000000000000004">
      <c r="A741" t="str">
        <f>VLOOKUP(L741,Customers!$A$2:$B$92,2,FALSE)</f>
        <v>Wartian Herkku</v>
      </c>
      <c r="B741" t="str">
        <f>VLOOKUP(L741,Customers!$A$2:$C$92,3,TRUE)</f>
        <v>Pirkko Koskitalo</v>
      </c>
      <c r="C741" t="str">
        <f t="shared" si="188"/>
        <v>Pirkko</v>
      </c>
      <c r="D741" s="8" t="str">
        <f t="shared" si="189"/>
        <v>Koskitalo</v>
      </c>
      <c r="E741" s="8" t="str">
        <f t="shared" si="190"/>
        <v>Koskitalo, Pirkko</v>
      </c>
      <c r="F741" s="8" t="str">
        <f t="shared" si="191"/>
        <v>Koskitalo, Pirkko</v>
      </c>
      <c r="G741" s="8" t="str">
        <f t="shared" si="192"/>
        <v>not an outlier</v>
      </c>
      <c r="H741" s="8" t="str">
        <f t="shared" si="193"/>
        <v>Not</v>
      </c>
      <c r="I741" s="8" t="str">
        <f t="shared" si="203"/>
        <v>no</v>
      </c>
      <c r="J741" s="10" t="str">
        <f t="shared" si="194"/>
        <v>no</v>
      </c>
      <c r="K741" s="10" t="str">
        <f t="shared" si="195"/>
        <v>no</v>
      </c>
      <c r="L741" t="s">
        <v>640</v>
      </c>
      <c r="M741">
        <v>10526</v>
      </c>
      <c r="N741">
        <v>56</v>
      </c>
      <c r="O741" t="s">
        <v>716</v>
      </c>
      <c r="P741" t="str">
        <f t="shared" si="196"/>
        <v>WARTH_10526_Gnocchi di nonna Alice</v>
      </c>
      <c r="Q741" t="str">
        <f t="shared" si="197"/>
        <v>10526</v>
      </c>
      <c r="R741" t="str">
        <f t="shared" si="198"/>
        <v>10526</v>
      </c>
      <c r="S741" t="str">
        <f t="shared" si="199"/>
        <v>Gnocchi di nonna Alice</v>
      </c>
      <c r="T741">
        <v>38</v>
      </c>
      <c r="U741">
        <v>30</v>
      </c>
      <c r="V741">
        <v>0.15</v>
      </c>
      <c r="W741">
        <f t="shared" si="200"/>
        <v>969</v>
      </c>
      <c r="X741" t="str">
        <f t="shared" si="201"/>
        <v>No</v>
      </c>
      <c r="Y741" s="2">
        <v>34855</v>
      </c>
      <c r="Z741" t="str">
        <f t="shared" si="187"/>
        <v/>
      </c>
      <c r="AA741" t="str">
        <f t="shared" si="202"/>
        <v/>
      </c>
      <c r="AB741" t="str" cm="1">
        <f t="array" ref="AB741">_xlfn.IFS(Y741&lt;DATE(1996,1,1),"",Y741&lt;DATE(1996,4,1),"Q1",Y741&lt;DATE(1996,7,1),"Q2",Y741&gt;=DATE(1996,7,1),"")</f>
        <v/>
      </c>
    </row>
    <row r="742" spans="1:28" ht="14.4" x14ac:dyDescent="0.55000000000000004">
      <c r="A742" t="str">
        <f>VLOOKUP(L742,Customers!$A$2:$B$92,2,FALSE)</f>
        <v>QUICK-Stop</v>
      </c>
      <c r="B742" t="str">
        <f>VLOOKUP(L742,Customers!$A$2:$C$92,3,TRUE)</f>
        <v>Horst Kloss</v>
      </c>
      <c r="C742" t="str">
        <f t="shared" si="188"/>
        <v>Horst</v>
      </c>
      <c r="D742" s="8" t="str">
        <f t="shared" si="189"/>
        <v>Kloss</v>
      </c>
      <c r="E742" s="8" t="str">
        <f t="shared" si="190"/>
        <v>Kloss, Horst</v>
      </c>
      <c r="F742" s="8" t="str">
        <f t="shared" si="191"/>
        <v>Kloss, Horst</v>
      </c>
      <c r="G742" s="8" t="str">
        <f t="shared" si="192"/>
        <v>not an outlier</v>
      </c>
      <c r="H742" s="8" t="str">
        <f t="shared" si="193"/>
        <v>Not</v>
      </c>
      <c r="I742" s="8" t="str">
        <f t="shared" si="203"/>
        <v>no</v>
      </c>
      <c r="J742" s="10" t="str">
        <f t="shared" si="194"/>
        <v>no</v>
      </c>
      <c r="K742" s="10" t="str">
        <f t="shared" si="195"/>
        <v>no</v>
      </c>
      <c r="L742" t="s">
        <v>475</v>
      </c>
      <c r="M742">
        <v>10527</v>
      </c>
      <c r="N742">
        <v>4</v>
      </c>
      <c r="O742" t="s">
        <v>745</v>
      </c>
      <c r="P742" t="str">
        <f t="shared" si="196"/>
        <v>QUICK_10527_Chef Anton's Cajun Seasoning</v>
      </c>
      <c r="Q742" t="str">
        <f t="shared" si="197"/>
        <v>10527</v>
      </c>
      <c r="R742" t="str">
        <f t="shared" si="198"/>
        <v>10527</v>
      </c>
      <c r="S742" t="str">
        <f t="shared" si="199"/>
        <v>Chef Anton's Cajun Seasoning</v>
      </c>
      <c r="T742">
        <v>22</v>
      </c>
      <c r="U742">
        <v>50</v>
      </c>
      <c r="V742">
        <v>0.1</v>
      </c>
      <c r="W742">
        <f t="shared" si="200"/>
        <v>990</v>
      </c>
      <c r="X742" t="str">
        <f t="shared" si="201"/>
        <v>No</v>
      </c>
      <c r="Y742" s="2">
        <v>34855</v>
      </c>
      <c r="Z742" t="str">
        <f t="shared" si="187"/>
        <v/>
      </c>
      <c r="AA742" t="str">
        <f t="shared" si="202"/>
        <v/>
      </c>
      <c r="AB742" t="str" cm="1">
        <f t="array" ref="AB742">_xlfn.IFS(Y742&lt;DATE(1996,1,1),"",Y742&lt;DATE(1996,4,1),"Q1",Y742&lt;DATE(1996,7,1),"Q2",Y742&gt;=DATE(1996,7,1),"")</f>
        <v/>
      </c>
    </row>
    <row r="743" spans="1:28" ht="14.4" x14ac:dyDescent="0.55000000000000004">
      <c r="A743" t="str">
        <f>VLOOKUP(L743,Customers!$A$2:$B$92,2,FALSE)</f>
        <v>QUICK-Stop</v>
      </c>
      <c r="B743" t="str">
        <f>VLOOKUP(L743,Customers!$A$2:$C$92,3,TRUE)</f>
        <v>Horst Kloss</v>
      </c>
      <c r="C743" t="str">
        <f t="shared" si="188"/>
        <v>Horst</v>
      </c>
      <c r="D743" s="8" t="str">
        <f t="shared" si="189"/>
        <v>Kloss</v>
      </c>
      <c r="E743" s="8" t="str">
        <f t="shared" si="190"/>
        <v>Kloss, Horst</v>
      </c>
      <c r="F743" s="8" t="str">
        <f t="shared" si="191"/>
        <v>Kloss, Horst</v>
      </c>
      <c r="G743" s="8" t="str">
        <f t="shared" si="192"/>
        <v>not an outlier</v>
      </c>
      <c r="H743" s="8" t="str">
        <f t="shared" si="193"/>
        <v>Not</v>
      </c>
      <c r="I743" s="8" t="str">
        <f t="shared" si="203"/>
        <v>no</v>
      </c>
      <c r="J743" s="10" t="str">
        <f t="shared" si="194"/>
        <v>no</v>
      </c>
      <c r="K743" s="10" t="str">
        <f t="shared" si="195"/>
        <v>no</v>
      </c>
      <c r="L743" t="s">
        <v>475</v>
      </c>
      <c r="M743">
        <v>10527</v>
      </c>
      <c r="N743">
        <v>36</v>
      </c>
      <c r="O743" t="s">
        <v>703</v>
      </c>
      <c r="P743" t="str">
        <f t="shared" si="196"/>
        <v>QUICK_10527_Inlagd Sill</v>
      </c>
      <c r="Q743" t="str">
        <f t="shared" si="197"/>
        <v>10527</v>
      </c>
      <c r="R743" t="str">
        <f t="shared" si="198"/>
        <v>10527</v>
      </c>
      <c r="S743" t="str">
        <f t="shared" si="199"/>
        <v>Inlagd Sill</v>
      </c>
      <c r="T743">
        <v>19</v>
      </c>
      <c r="U743">
        <v>30</v>
      </c>
      <c r="V743">
        <v>0.1</v>
      </c>
      <c r="W743">
        <f t="shared" si="200"/>
        <v>513</v>
      </c>
      <c r="X743" t="str">
        <f t="shared" si="201"/>
        <v>No</v>
      </c>
      <c r="Y743" s="2">
        <v>34855</v>
      </c>
      <c r="Z743" t="str">
        <f t="shared" si="187"/>
        <v/>
      </c>
      <c r="AA743" t="str">
        <f t="shared" si="202"/>
        <v/>
      </c>
      <c r="AB743" t="str" cm="1">
        <f t="array" ref="AB743">_xlfn.IFS(Y743&lt;DATE(1996,1,1),"",Y743&lt;DATE(1996,4,1),"Q1",Y743&lt;DATE(1996,7,1),"Q2",Y743&gt;=DATE(1996,7,1),"")</f>
        <v/>
      </c>
    </row>
    <row r="744" spans="1:28" ht="14.4" x14ac:dyDescent="0.55000000000000004">
      <c r="A744" t="str">
        <f>VLOOKUP(L744,Customers!$A$2:$B$92,2,FALSE)</f>
        <v>Great Lakes Food Market</v>
      </c>
      <c r="B744" t="str">
        <f>VLOOKUP(L744,Customers!$A$2:$C$92,3,TRUE)</f>
        <v>Howard Snyder</v>
      </c>
      <c r="C744" t="str">
        <f t="shared" si="188"/>
        <v>Howard</v>
      </c>
      <c r="D744" s="8" t="str">
        <f t="shared" si="189"/>
        <v>Snyder</v>
      </c>
      <c r="E744" s="8" t="str">
        <f t="shared" si="190"/>
        <v>Snyder, Howard</v>
      </c>
      <c r="F744" s="8" t="str">
        <f t="shared" si="191"/>
        <v>Snyder, Howard</v>
      </c>
      <c r="G744" s="8" t="str">
        <f t="shared" si="192"/>
        <v>not an outlier</v>
      </c>
      <c r="H744" s="8" t="str">
        <f t="shared" si="193"/>
        <v>Not</v>
      </c>
      <c r="I744" s="8" t="str">
        <f t="shared" si="203"/>
        <v>no</v>
      </c>
      <c r="J744" s="10" t="str">
        <f t="shared" si="194"/>
        <v>no</v>
      </c>
      <c r="K744" s="10" t="str">
        <f t="shared" si="195"/>
        <v>no</v>
      </c>
      <c r="L744" t="s">
        <v>247</v>
      </c>
      <c r="M744">
        <v>10528</v>
      </c>
      <c r="N744">
        <v>11</v>
      </c>
      <c r="O744" t="s">
        <v>683</v>
      </c>
      <c r="P744" t="str">
        <f t="shared" si="196"/>
        <v>GREAL_10528_Queso Cabrales</v>
      </c>
      <c r="Q744" t="str">
        <f t="shared" si="197"/>
        <v>10528</v>
      </c>
      <c r="R744" t="str">
        <f t="shared" si="198"/>
        <v>10528</v>
      </c>
      <c r="S744" t="str">
        <f t="shared" si="199"/>
        <v>Queso Cabrales</v>
      </c>
      <c r="T744">
        <v>21</v>
      </c>
      <c r="U744">
        <v>3</v>
      </c>
      <c r="V744">
        <v>0</v>
      </c>
      <c r="W744">
        <f t="shared" si="200"/>
        <v>63</v>
      </c>
      <c r="X744" t="str">
        <f t="shared" si="201"/>
        <v>No</v>
      </c>
      <c r="Y744" s="2">
        <v>34856</v>
      </c>
      <c r="Z744" t="str">
        <f t="shared" si="187"/>
        <v/>
      </c>
      <c r="AA744" t="str">
        <f t="shared" si="202"/>
        <v/>
      </c>
      <c r="AB744" t="str" cm="1">
        <f t="array" ref="AB744">_xlfn.IFS(Y744&lt;DATE(1996,1,1),"",Y744&lt;DATE(1996,4,1),"Q1",Y744&lt;DATE(1996,7,1),"Q2",Y744&gt;=DATE(1996,7,1),"")</f>
        <v/>
      </c>
    </row>
    <row r="745" spans="1:28" ht="14.4" x14ac:dyDescent="0.55000000000000004">
      <c r="A745" t="str">
        <f>VLOOKUP(L745,Customers!$A$2:$B$92,2,FALSE)</f>
        <v>Great Lakes Food Market</v>
      </c>
      <c r="B745" t="str">
        <f>VLOOKUP(L745,Customers!$A$2:$C$92,3,TRUE)</f>
        <v>Howard Snyder</v>
      </c>
      <c r="C745" t="str">
        <f t="shared" si="188"/>
        <v>Howard</v>
      </c>
      <c r="D745" s="8" t="str">
        <f t="shared" si="189"/>
        <v>Snyder</v>
      </c>
      <c r="E745" s="8" t="str">
        <f t="shared" si="190"/>
        <v>Snyder, Howard</v>
      </c>
      <c r="F745" s="8" t="str">
        <f t="shared" si="191"/>
        <v>Snyder, Howard</v>
      </c>
      <c r="G745" s="8" t="str">
        <f t="shared" si="192"/>
        <v>not an outlier</v>
      </c>
      <c r="H745" s="8" t="str">
        <f t="shared" si="193"/>
        <v>Not</v>
      </c>
      <c r="I745" s="8" t="str">
        <f t="shared" si="203"/>
        <v>no</v>
      </c>
      <c r="J745" s="10" t="str">
        <f t="shared" si="194"/>
        <v>no</v>
      </c>
      <c r="K745" s="10" t="str">
        <f t="shared" si="195"/>
        <v>no</v>
      </c>
      <c r="L745" t="s">
        <v>247</v>
      </c>
      <c r="M745">
        <v>10528</v>
      </c>
      <c r="N745">
        <v>33</v>
      </c>
      <c r="O745" t="s">
        <v>693</v>
      </c>
      <c r="P745" t="str">
        <f t="shared" si="196"/>
        <v>GREAL_10528_Geitost</v>
      </c>
      <c r="Q745" t="str">
        <f t="shared" si="197"/>
        <v>10528</v>
      </c>
      <c r="R745" t="str">
        <f t="shared" si="198"/>
        <v>10528</v>
      </c>
      <c r="S745" t="str">
        <f t="shared" si="199"/>
        <v>Geitost</v>
      </c>
      <c r="T745">
        <v>2.5</v>
      </c>
      <c r="U745">
        <v>8</v>
      </c>
      <c r="V745">
        <v>0.2</v>
      </c>
      <c r="W745">
        <f t="shared" si="200"/>
        <v>16</v>
      </c>
      <c r="X745" t="str">
        <f t="shared" si="201"/>
        <v>No</v>
      </c>
      <c r="Y745" s="2">
        <v>34856</v>
      </c>
      <c r="Z745" t="str">
        <f t="shared" si="187"/>
        <v/>
      </c>
      <c r="AA745" t="str">
        <f t="shared" si="202"/>
        <v/>
      </c>
      <c r="AB745" t="str" cm="1">
        <f t="array" ref="AB745">_xlfn.IFS(Y745&lt;DATE(1996,1,1),"",Y745&lt;DATE(1996,4,1),"Q1",Y745&lt;DATE(1996,7,1),"Q2",Y745&gt;=DATE(1996,7,1),"")</f>
        <v/>
      </c>
    </row>
    <row r="746" spans="1:28" ht="14.4" x14ac:dyDescent="0.55000000000000004">
      <c r="A746" t="str">
        <f>VLOOKUP(L746,Customers!$A$2:$B$92,2,FALSE)</f>
        <v>Great Lakes Food Market</v>
      </c>
      <c r="B746" t="str">
        <f>VLOOKUP(L746,Customers!$A$2:$C$92,3,TRUE)</f>
        <v>Howard Snyder</v>
      </c>
      <c r="C746" t="str">
        <f t="shared" si="188"/>
        <v>Howard</v>
      </c>
      <c r="D746" s="8" t="str">
        <f t="shared" si="189"/>
        <v>Snyder</v>
      </c>
      <c r="E746" s="8" t="str">
        <f t="shared" si="190"/>
        <v>Snyder, Howard</v>
      </c>
      <c r="F746" s="8" t="str">
        <f t="shared" si="191"/>
        <v>Snyder, Howard</v>
      </c>
      <c r="G746" s="8" t="str">
        <f t="shared" si="192"/>
        <v>not an outlier</v>
      </c>
      <c r="H746" s="8" t="str">
        <f t="shared" si="193"/>
        <v>Not</v>
      </c>
      <c r="I746" s="8" t="str">
        <f t="shared" si="203"/>
        <v>no</v>
      </c>
      <c r="J746" s="10" t="str">
        <f t="shared" si="194"/>
        <v>no</v>
      </c>
      <c r="K746" s="10" t="str">
        <f t="shared" si="195"/>
        <v>no</v>
      </c>
      <c r="L746" t="s">
        <v>247</v>
      </c>
      <c r="M746">
        <v>10528</v>
      </c>
      <c r="N746">
        <v>72</v>
      </c>
      <c r="O746" t="s">
        <v>685</v>
      </c>
      <c r="P746" t="str">
        <f t="shared" si="196"/>
        <v>GREAL_10528_Mozzarella di Giovanni</v>
      </c>
      <c r="Q746" t="str">
        <f t="shared" si="197"/>
        <v>10528</v>
      </c>
      <c r="R746" t="str">
        <f t="shared" si="198"/>
        <v>10528</v>
      </c>
      <c r="S746" t="str">
        <f t="shared" si="199"/>
        <v>Mozzarella di Giovanni</v>
      </c>
      <c r="T746">
        <v>34.799999999999997</v>
      </c>
      <c r="U746">
        <v>9</v>
      </c>
      <c r="V746">
        <v>0</v>
      </c>
      <c r="W746">
        <f t="shared" si="200"/>
        <v>313.2</v>
      </c>
      <c r="X746" t="str">
        <f t="shared" si="201"/>
        <v>No</v>
      </c>
      <c r="Y746" s="2">
        <v>34856</v>
      </c>
      <c r="Z746" t="str">
        <f t="shared" si="187"/>
        <v/>
      </c>
      <c r="AA746" t="str">
        <f t="shared" si="202"/>
        <v/>
      </c>
      <c r="AB746" t="str" cm="1">
        <f t="array" ref="AB746">_xlfn.IFS(Y746&lt;DATE(1996,1,1),"",Y746&lt;DATE(1996,4,1),"Q1",Y746&lt;DATE(1996,7,1),"Q2",Y746&gt;=DATE(1996,7,1),"")</f>
        <v/>
      </c>
    </row>
    <row r="747" spans="1:28" ht="14.4" x14ac:dyDescent="0.55000000000000004">
      <c r="A747" t="str">
        <f>VLOOKUP(L747,Customers!$A$2:$B$92,2,FALSE)</f>
        <v>Maison Dewey</v>
      </c>
      <c r="B747" t="str">
        <f>VLOOKUP(L747,Customers!$A$2:$C$92,3,TRUE)</f>
        <v>Catherine Dewey</v>
      </c>
      <c r="C747" t="str">
        <f t="shared" si="188"/>
        <v>Catherine</v>
      </c>
      <c r="D747" s="8" t="str">
        <f t="shared" si="189"/>
        <v>Dewey</v>
      </c>
      <c r="E747" s="8" t="str">
        <f t="shared" si="190"/>
        <v>Dewey, Catherine</v>
      </c>
      <c r="F747" s="8" t="str">
        <f t="shared" si="191"/>
        <v>Dewey, Catherine</v>
      </c>
      <c r="G747" s="8" t="str">
        <f t="shared" si="192"/>
        <v>not an outlier</v>
      </c>
      <c r="H747" s="8" t="str">
        <f t="shared" si="193"/>
        <v>Not</v>
      </c>
      <c r="I747" s="8" t="str">
        <f t="shared" si="203"/>
        <v>no</v>
      </c>
      <c r="J747" s="10" t="str">
        <f t="shared" si="194"/>
        <v>no</v>
      </c>
      <c r="K747" s="10" t="str">
        <f t="shared" si="195"/>
        <v>no</v>
      </c>
      <c r="L747" t="s">
        <v>385</v>
      </c>
      <c r="M747">
        <v>10529</v>
      </c>
      <c r="N747">
        <v>55</v>
      </c>
      <c r="O747" t="s">
        <v>699</v>
      </c>
      <c r="P747" t="str">
        <f t="shared" si="196"/>
        <v>MAISD_10529_Pâté chinois</v>
      </c>
      <c r="Q747" t="str">
        <f t="shared" si="197"/>
        <v>10529</v>
      </c>
      <c r="R747" t="str">
        <f t="shared" si="198"/>
        <v>10529</v>
      </c>
      <c r="S747" t="str">
        <f t="shared" si="199"/>
        <v>Pâté chinois</v>
      </c>
      <c r="T747">
        <v>24</v>
      </c>
      <c r="U747">
        <v>14</v>
      </c>
      <c r="V747">
        <v>0</v>
      </c>
      <c r="W747">
        <f t="shared" si="200"/>
        <v>336</v>
      </c>
      <c r="X747" t="str">
        <f t="shared" si="201"/>
        <v>No</v>
      </c>
      <c r="Y747" s="2">
        <v>34857</v>
      </c>
      <c r="Z747" t="str">
        <f t="shared" si="187"/>
        <v/>
      </c>
      <c r="AA747" t="str">
        <f t="shared" si="202"/>
        <v/>
      </c>
      <c r="AB747" t="str" cm="1">
        <f t="array" ref="AB747">_xlfn.IFS(Y747&lt;DATE(1996,1,1),"",Y747&lt;DATE(1996,4,1),"Q1",Y747&lt;DATE(1996,7,1),"Q2",Y747&gt;=DATE(1996,7,1),"")</f>
        <v/>
      </c>
    </row>
    <row r="748" spans="1:28" ht="14.4" x14ac:dyDescent="0.55000000000000004">
      <c r="A748" t="str">
        <f>VLOOKUP(L748,Customers!$A$2:$B$92,2,FALSE)</f>
        <v>Maison Dewey</v>
      </c>
      <c r="B748" t="str">
        <f>VLOOKUP(L748,Customers!$A$2:$C$92,3,TRUE)</f>
        <v>Catherine Dewey</v>
      </c>
      <c r="C748" t="str">
        <f t="shared" si="188"/>
        <v>Catherine</v>
      </c>
      <c r="D748" s="8" t="str">
        <f t="shared" si="189"/>
        <v>Dewey</v>
      </c>
      <c r="E748" s="8" t="str">
        <f t="shared" si="190"/>
        <v>Dewey, Catherine</v>
      </c>
      <c r="F748" s="8" t="str">
        <f t="shared" si="191"/>
        <v>Dewey, Catherine</v>
      </c>
      <c r="G748" s="8" t="str">
        <f t="shared" si="192"/>
        <v>not an outlier</v>
      </c>
      <c r="H748" s="8" t="str">
        <f t="shared" si="193"/>
        <v>Not</v>
      </c>
      <c r="I748" s="8" t="str">
        <f t="shared" si="203"/>
        <v>no</v>
      </c>
      <c r="J748" s="10" t="str">
        <f t="shared" si="194"/>
        <v>no</v>
      </c>
      <c r="K748" s="10" t="str">
        <f t="shared" si="195"/>
        <v>no</v>
      </c>
      <c r="L748" t="s">
        <v>385</v>
      </c>
      <c r="M748">
        <v>10529</v>
      </c>
      <c r="N748">
        <v>68</v>
      </c>
      <c r="O748" t="s">
        <v>739</v>
      </c>
      <c r="P748" t="str">
        <f t="shared" si="196"/>
        <v>MAISD_10529_Scottish Longbreads</v>
      </c>
      <c r="Q748" t="str">
        <f t="shared" si="197"/>
        <v>10529</v>
      </c>
      <c r="R748" t="str">
        <f t="shared" si="198"/>
        <v>10529</v>
      </c>
      <c r="S748" t="str">
        <f t="shared" si="199"/>
        <v>Scottish Longbreads</v>
      </c>
      <c r="T748">
        <v>12.5</v>
      </c>
      <c r="U748">
        <v>20</v>
      </c>
      <c r="V748">
        <v>0</v>
      </c>
      <c r="W748">
        <f t="shared" si="200"/>
        <v>250</v>
      </c>
      <c r="X748" t="str">
        <f t="shared" si="201"/>
        <v>No</v>
      </c>
      <c r="Y748" s="2">
        <v>34857</v>
      </c>
      <c r="Z748" t="str">
        <f t="shared" si="187"/>
        <v/>
      </c>
      <c r="AA748" t="str">
        <f t="shared" si="202"/>
        <v/>
      </c>
      <c r="AB748" t="str" cm="1">
        <f t="array" ref="AB748">_xlfn.IFS(Y748&lt;DATE(1996,1,1),"",Y748&lt;DATE(1996,4,1),"Q1",Y748&lt;DATE(1996,7,1),"Q2",Y748&gt;=DATE(1996,7,1),"")</f>
        <v/>
      </c>
    </row>
    <row r="749" spans="1:28" ht="14.4" x14ac:dyDescent="0.55000000000000004">
      <c r="A749" t="str">
        <f>VLOOKUP(L749,Customers!$A$2:$B$92,2,FALSE)</f>
        <v>Maison Dewey</v>
      </c>
      <c r="B749" t="str">
        <f>VLOOKUP(L749,Customers!$A$2:$C$92,3,TRUE)</f>
        <v>Catherine Dewey</v>
      </c>
      <c r="C749" t="str">
        <f t="shared" si="188"/>
        <v>Catherine</v>
      </c>
      <c r="D749" s="8" t="str">
        <f t="shared" si="189"/>
        <v>Dewey</v>
      </c>
      <c r="E749" s="8" t="str">
        <f t="shared" si="190"/>
        <v>Dewey, Catherine</v>
      </c>
      <c r="F749" s="8" t="str">
        <f t="shared" si="191"/>
        <v>Dewey, Catherine</v>
      </c>
      <c r="G749" s="8" t="str">
        <f t="shared" si="192"/>
        <v>not an outlier</v>
      </c>
      <c r="H749" s="8" t="str">
        <f t="shared" si="193"/>
        <v>Not</v>
      </c>
      <c r="I749" s="8" t="str">
        <f t="shared" si="203"/>
        <v>no</v>
      </c>
      <c r="J749" s="10" t="str">
        <f t="shared" si="194"/>
        <v>no</v>
      </c>
      <c r="K749" s="10" t="str">
        <f t="shared" si="195"/>
        <v>no</v>
      </c>
      <c r="L749" t="s">
        <v>385</v>
      </c>
      <c r="M749">
        <v>10529</v>
      </c>
      <c r="N749">
        <v>69</v>
      </c>
      <c r="O749" t="s">
        <v>743</v>
      </c>
      <c r="P749" t="str">
        <f t="shared" si="196"/>
        <v>MAISD_10529_Gudbrandsdalsost</v>
      </c>
      <c r="Q749" t="str">
        <f t="shared" si="197"/>
        <v>10529</v>
      </c>
      <c r="R749" t="str">
        <f t="shared" si="198"/>
        <v>10529</v>
      </c>
      <c r="S749" t="str">
        <f t="shared" si="199"/>
        <v>Gudbrandsdalsost</v>
      </c>
      <c r="T749">
        <v>36</v>
      </c>
      <c r="U749">
        <v>10</v>
      </c>
      <c r="V749">
        <v>0</v>
      </c>
      <c r="W749">
        <f t="shared" si="200"/>
        <v>360</v>
      </c>
      <c r="X749" t="str">
        <f t="shared" si="201"/>
        <v>No</v>
      </c>
      <c r="Y749" s="2">
        <v>34857</v>
      </c>
      <c r="Z749" t="str">
        <f t="shared" si="187"/>
        <v/>
      </c>
      <c r="AA749" t="str">
        <f t="shared" si="202"/>
        <v/>
      </c>
      <c r="AB749" t="str" cm="1">
        <f t="array" ref="AB749">_xlfn.IFS(Y749&lt;DATE(1996,1,1),"",Y749&lt;DATE(1996,4,1),"Q1",Y749&lt;DATE(1996,7,1),"Q2",Y749&gt;=DATE(1996,7,1),"")</f>
        <v/>
      </c>
    </row>
    <row r="750" spans="1:28" ht="14.4" x14ac:dyDescent="0.55000000000000004">
      <c r="A750" t="str">
        <f>VLOOKUP(L750,Customers!$A$2:$B$92,2,FALSE)</f>
        <v>Piccolo und mehr</v>
      </c>
      <c r="B750" t="str">
        <f>VLOOKUP(L750,Customers!$A$2:$C$92,3,TRUE)</f>
        <v>Georg Pipps</v>
      </c>
      <c r="C750" t="str">
        <f t="shared" si="188"/>
        <v>Georg</v>
      </c>
      <c r="D750" s="8" t="str">
        <f t="shared" si="189"/>
        <v>Pipps</v>
      </c>
      <c r="E750" s="8" t="str">
        <f t="shared" si="190"/>
        <v>Pipps, Georg</v>
      </c>
      <c r="F750" s="8" t="str">
        <f t="shared" si="191"/>
        <v>Pipps, Georg</v>
      </c>
      <c r="G750" s="8" t="str">
        <f t="shared" si="192"/>
        <v>not an outlier</v>
      </c>
      <c r="H750" s="8" t="str">
        <f t="shared" si="193"/>
        <v>Not</v>
      </c>
      <c r="I750" s="8" t="str">
        <f t="shared" si="203"/>
        <v>no</v>
      </c>
      <c r="J750" s="10" t="str">
        <f t="shared" si="194"/>
        <v>no</v>
      </c>
      <c r="K750" s="10" t="str">
        <f t="shared" si="195"/>
        <v>no</v>
      </c>
      <c r="L750" t="s">
        <v>450</v>
      </c>
      <c r="M750">
        <v>10530</v>
      </c>
      <c r="N750">
        <v>17</v>
      </c>
      <c r="O750" t="s">
        <v>718</v>
      </c>
      <c r="P750" t="str">
        <f t="shared" si="196"/>
        <v>PICCO_10530_Alice Mutton</v>
      </c>
      <c r="Q750" t="str">
        <f t="shared" si="197"/>
        <v>10530</v>
      </c>
      <c r="R750" t="str">
        <f t="shared" si="198"/>
        <v>10530</v>
      </c>
      <c r="S750" t="str">
        <f t="shared" si="199"/>
        <v>Alice Mutton</v>
      </c>
      <c r="T750">
        <v>39</v>
      </c>
      <c r="U750">
        <v>40</v>
      </c>
      <c r="V750">
        <v>0</v>
      </c>
      <c r="W750">
        <f t="shared" si="200"/>
        <v>1560</v>
      </c>
      <c r="X750" t="str">
        <f t="shared" si="201"/>
        <v>No</v>
      </c>
      <c r="Y750" s="2">
        <v>34858</v>
      </c>
      <c r="Z750" t="str">
        <f t="shared" si="187"/>
        <v/>
      </c>
      <c r="AA750" t="str">
        <f t="shared" si="202"/>
        <v/>
      </c>
      <c r="AB750" t="str" cm="1">
        <f t="array" ref="AB750">_xlfn.IFS(Y750&lt;DATE(1996,1,1),"",Y750&lt;DATE(1996,4,1),"Q1",Y750&lt;DATE(1996,7,1),"Q2",Y750&gt;=DATE(1996,7,1),"")</f>
        <v/>
      </c>
    </row>
    <row r="751" spans="1:28" ht="14.4" x14ac:dyDescent="0.55000000000000004">
      <c r="A751" t="str">
        <f>VLOOKUP(L751,Customers!$A$2:$B$92,2,FALSE)</f>
        <v>Piccolo und mehr</v>
      </c>
      <c r="B751" t="str">
        <f>VLOOKUP(L751,Customers!$A$2:$C$92,3,TRUE)</f>
        <v>Georg Pipps</v>
      </c>
      <c r="C751" t="str">
        <f t="shared" si="188"/>
        <v>Georg</v>
      </c>
      <c r="D751" s="8" t="str">
        <f t="shared" si="189"/>
        <v>Pipps</v>
      </c>
      <c r="E751" s="8" t="str">
        <f t="shared" si="190"/>
        <v>Pipps, Georg</v>
      </c>
      <c r="F751" s="8" t="str">
        <f t="shared" si="191"/>
        <v>Pipps, Georg</v>
      </c>
      <c r="G751" s="8" t="str">
        <f t="shared" si="192"/>
        <v>not an outlier</v>
      </c>
      <c r="H751" s="8" t="str">
        <f t="shared" si="193"/>
        <v>Not</v>
      </c>
      <c r="I751" s="8" t="str">
        <f t="shared" si="203"/>
        <v>no</v>
      </c>
      <c r="J751" s="10" t="str">
        <f t="shared" si="194"/>
        <v>no</v>
      </c>
      <c r="K751" s="10" t="str">
        <f t="shared" si="195"/>
        <v>no</v>
      </c>
      <c r="L751" t="s">
        <v>450</v>
      </c>
      <c r="M751">
        <v>10530</v>
      </c>
      <c r="N751">
        <v>43</v>
      </c>
      <c r="O751" t="s">
        <v>723</v>
      </c>
      <c r="P751" t="str">
        <f t="shared" si="196"/>
        <v>PICCO_10530_Ipoh Coffee</v>
      </c>
      <c r="Q751" t="str">
        <f t="shared" si="197"/>
        <v>10530</v>
      </c>
      <c r="R751" t="str">
        <f t="shared" si="198"/>
        <v>10530</v>
      </c>
      <c r="S751" t="str">
        <f t="shared" si="199"/>
        <v>Ipoh Coffee</v>
      </c>
      <c r="T751">
        <v>46</v>
      </c>
      <c r="U751">
        <v>25</v>
      </c>
      <c r="V751">
        <v>0</v>
      </c>
      <c r="W751">
        <f t="shared" si="200"/>
        <v>1150</v>
      </c>
      <c r="X751" t="str">
        <f t="shared" si="201"/>
        <v>No</v>
      </c>
      <c r="Y751" s="2">
        <v>34858</v>
      </c>
      <c r="Z751" t="str">
        <f t="shared" si="187"/>
        <v/>
      </c>
      <c r="AA751" t="str">
        <f t="shared" si="202"/>
        <v/>
      </c>
      <c r="AB751" t="str" cm="1">
        <f t="array" ref="AB751">_xlfn.IFS(Y751&lt;DATE(1996,1,1),"",Y751&lt;DATE(1996,4,1),"Q1",Y751&lt;DATE(1996,7,1),"Q2",Y751&gt;=DATE(1996,7,1),"")</f>
        <v/>
      </c>
    </row>
    <row r="752" spans="1:28" ht="14.4" x14ac:dyDescent="0.55000000000000004">
      <c r="A752" t="str">
        <f>VLOOKUP(L752,Customers!$A$2:$B$92,2,FALSE)</f>
        <v>Piccolo und mehr</v>
      </c>
      <c r="B752" t="str">
        <f>VLOOKUP(L752,Customers!$A$2:$C$92,3,TRUE)</f>
        <v>Georg Pipps</v>
      </c>
      <c r="C752" t="str">
        <f t="shared" si="188"/>
        <v>Georg</v>
      </c>
      <c r="D752" s="8" t="str">
        <f t="shared" si="189"/>
        <v>Pipps</v>
      </c>
      <c r="E752" s="8" t="str">
        <f t="shared" si="190"/>
        <v>Pipps, Georg</v>
      </c>
      <c r="F752" s="8" t="str">
        <f t="shared" si="191"/>
        <v>Pipps, Georg</v>
      </c>
      <c r="G752" s="8" t="str">
        <f t="shared" si="192"/>
        <v>not an outlier</v>
      </c>
      <c r="H752" s="8" t="str">
        <f t="shared" si="193"/>
        <v>Not</v>
      </c>
      <c r="I752" s="8" t="str">
        <f t="shared" si="203"/>
        <v>no</v>
      </c>
      <c r="J752" s="10" t="str">
        <f t="shared" si="194"/>
        <v>no</v>
      </c>
      <c r="K752" s="10" t="str">
        <f t="shared" si="195"/>
        <v>no</v>
      </c>
      <c r="L752" t="s">
        <v>450</v>
      </c>
      <c r="M752">
        <v>10530</v>
      </c>
      <c r="N752">
        <v>61</v>
      </c>
      <c r="O752" t="s">
        <v>758</v>
      </c>
      <c r="P752" t="str">
        <f t="shared" si="196"/>
        <v>PICCO_10530_Sirop d'érable</v>
      </c>
      <c r="Q752" t="str">
        <f t="shared" si="197"/>
        <v>10530</v>
      </c>
      <c r="R752" t="str">
        <f t="shared" si="198"/>
        <v>10530</v>
      </c>
      <c r="S752" t="str">
        <f t="shared" si="199"/>
        <v>Sirop d'érable</v>
      </c>
      <c r="T752">
        <v>28.5</v>
      </c>
      <c r="U752">
        <v>20</v>
      </c>
      <c r="V752">
        <v>0</v>
      </c>
      <c r="W752">
        <f t="shared" si="200"/>
        <v>570</v>
      </c>
      <c r="X752" t="str">
        <f t="shared" si="201"/>
        <v>No</v>
      </c>
      <c r="Y752" s="2">
        <v>34858</v>
      </c>
      <c r="Z752" t="str">
        <f t="shared" si="187"/>
        <v/>
      </c>
      <c r="AA752" t="str">
        <f t="shared" si="202"/>
        <v/>
      </c>
      <c r="AB752" t="str" cm="1">
        <f t="array" ref="AB752">_xlfn.IFS(Y752&lt;DATE(1996,1,1),"",Y752&lt;DATE(1996,4,1),"Q1",Y752&lt;DATE(1996,7,1),"Q2",Y752&gt;=DATE(1996,7,1),"")</f>
        <v/>
      </c>
    </row>
    <row r="753" spans="1:28" ht="14.4" x14ac:dyDescent="0.55000000000000004">
      <c r="A753" t="str">
        <f>VLOOKUP(L753,Customers!$A$2:$B$92,2,FALSE)</f>
        <v>Piccolo und mehr</v>
      </c>
      <c r="B753" t="str">
        <f>VLOOKUP(L753,Customers!$A$2:$C$92,3,TRUE)</f>
        <v>Georg Pipps</v>
      </c>
      <c r="C753" t="str">
        <f t="shared" si="188"/>
        <v>Georg</v>
      </c>
      <c r="D753" s="8" t="str">
        <f t="shared" si="189"/>
        <v>Pipps</v>
      </c>
      <c r="E753" s="8" t="str">
        <f t="shared" si="190"/>
        <v>Pipps, Georg</v>
      </c>
      <c r="F753" s="8" t="str">
        <f t="shared" si="191"/>
        <v>Pipps, Georg</v>
      </c>
      <c r="G753" s="8" t="str">
        <f t="shared" si="192"/>
        <v>not an outlier</v>
      </c>
      <c r="H753" s="8" t="str">
        <f t="shared" si="193"/>
        <v>Not</v>
      </c>
      <c r="I753" s="8" t="str">
        <f t="shared" si="203"/>
        <v>no</v>
      </c>
      <c r="J753" s="10" t="str">
        <f t="shared" si="194"/>
        <v>no</v>
      </c>
      <c r="K753" s="10" t="str">
        <f t="shared" si="195"/>
        <v>no</v>
      </c>
      <c r="L753" t="s">
        <v>450</v>
      </c>
      <c r="M753">
        <v>10530</v>
      </c>
      <c r="N753">
        <v>76</v>
      </c>
      <c r="O753" t="s">
        <v>721</v>
      </c>
      <c r="P753" t="str">
        <f t="shared" si="196"/>
        <v>PICCO_10530_Lakkalikööri</v>
      </c>
      <c r="Q753" t="str">
        <f t="shared" si="197"/>
        <v>10530</v>
      </c>
      <c r="R753" t="str">
        <f t="shared" si="198"/>
        <v>10530</v>
      </c>
      <c r="S753" t="str">
        <f t="shared" si="199"/>
        <v>Lakkalikööri</v>
      </c>
      <c r="T753">
        <v>18</v>
      </c>
      <c r="U753">
        <v>50</v>
      </c>
      <c r="V753">
        <v>0</v>
      </c>
      <c r="W753">
        <f t="shared" si="200"/>
        <v>900</v>
      </c>
      <c r="X753" t="str">
        <f t="shared" si="201"/>
        <v>No</v>
      </c>
      <c r="Y753" s="2">
        <v>34858</v>
      </c>
      <c r="Z753" t="str">
        <f t="shared" si="187"/>
        <v/>
      </c>
      <c r="AA753" t="str">
        <f t="shared" si="202"/>
        <v/>
      </c>
      <c r="AB753" t="str" cm="1">
        <f t="array" ref="AB753">_xlfn.IFS(Y753&lt;DATE(1996,1,1),"",Y753&lt;DATE(1996,4,1),"Q1",Y753&lt;DATE(1996,7,1),"Q2",Y753&gt;=DATE(1996,7,1),"")</f>
        <v/>
      </c>
    </row>
    <row r="754" spans="1:28" ht="14.4" x14ac:dyDescent="0.55000000000000004">
      <c r="A754" t="str">
        <f>VLOOKUP(L754,Customers!$A$2:$B$92,2,FALSE)</f>
        <v>Océano Atlántico Ltda.</v>
      </c>
      <c r="B754" t="str">
        <f>VLOOKUP(L754,Customers!$A$2:$C$92,3,TRUE)</f>
        <v>Yvonne Moncada</v>
      </c>
      <c r="C754" t="str">
        <f t="shared" si="188"/>
        <v>Yvonne</v>
      </c>
      <c r="D754" s="8" t="str">
        <f t="shared" si="189"/>
        <v>Moncada</v>
      </c>
      <c r="E754" s="8" t="str">
        <f t="shared" si="190"/>
        <v>Moncada, Yvonne</v>
      </c>
      <c r="F754" s="8" t="str">
        <f t="shared" si="191"/>
        <v>Moncada, Yvonne</v>
      </c>
      <c r="G754" s="8" t="str">
        <f t="shared" si="192"/>
        <v>not an outlier</v>
      </c>
      <c r="H754" s="8" t="str">
        <f t="shared" si="193"/>
        <v>Not</v>
      </c>
      <c r="I754" s="8" t="str">
        <f t="shared" si="203"/>
        <v>no</v>
      </c>
      <c r="J754" s="10" t="str">
        <f t="shared" si="194"/>
        <v>no</v>
      </c>
      <c r="K754" s="10" t="str">
        <f t="shared" si="195"/>
        <v>no</v>
      </c>
      <c r="L754" t="s">
        <v>416</v>
      </c>
      <c r="M754">
        <v>10531</v>
      </c>
      <c r="N754">
        <v>59</v>
      </c>
      <c r="O754" t="s">
        <v>704</v>
      </c>
      <c r="P754" t="str">
        <f t="shared" si="196"/>
        <v>OCEAN_10531_Raclette Courdavault</v>
      </c>
      <c r="Q754" t="str">
        <f t="shared" si="197"/>
        <v>10531</v>
      </c>
      <c r="R754" t="str">
        <f t="shared" si="198"/>
        <v>10531</v>
      </c>
      <c r="S754" t="str">
        <f t="shared" si="199"/>
        <v>Raclette Courdavault</v>
      </c>
      <c r="T754">
        <v>55</v>
      </c>
      <c r="U754">
        <v>2</v>
      </c>
      <c r="V754">
        <v>0</v>
      </c>
      <c r="W754">
        <f t="shared" si="200"/>
        <v>110</v>
      </c>
      <c r="X754" t="str">
        <f t="shared" si="201"/>
        <v>No</v>
      </c>
      <c r="Y754" s="2">
        <v>34858</v>
      </c>
      <c r="Z754" t="str">
        <f t="shared" si="187"/>
        <v/>
      </c>
      <c r="AA754" t="str">
        <f t="shared" si="202"/>
        <v/>
      </c>
      <c r="AB754" t="str" cm="1">
        <f t="array" ref="AB754">_xlfn.IFS(Y754&lt;DATE(1996,1,1),"",Y754&lt;DATE(1996,4,1),"Q1",Y754&lt;DATE(1996,7,1),"Q2",Y754&gt;=DATE(1996,7,1),"")</f>
        <v/>
      </c>
    </row>
    <row r="755" spans="1:28" ht="14.4" x14ac:dyDescent="0.55000000000000004">
      <c r="A755" t="str">
        <f>VLOOKUP(L755,Customers!$A$2:$B$92,2,FALSE)</f>
        <v>Eastern Connection</v>
      </c>
      <c r="B755" t="str">
        <f>VLOOKUP(L755,Customers!$A$2:$C$92,3,TRUE)</f>
        <v>Ann Devon</v>
      </c>
      <c r="C755" t="str">
        <f t="shared" si="188"/>
        <v>Ann</v>
      </c>
      <c r="D755" s="8" t="str">
        <f t="shared" si="189"/>
        <v>Devon</v>
      </c>
      <c r="E755" s="8" t="str">
        <f t="shared" si="190"/>
        <v>Devon, Ann</v>
      </c>
      <c r="F755" s="8" t="str">
        <f t="shared" si="191"/>
        <v>Devon, Ann</v>
      </c>
      <c r="G755" s="8" t="str">
        <f t="shared" si="192"/>
        <v>not an outlier</v>
      </c>
      <c r="H755" s="8" t="str">
        <f t="shared" si="193"/>
        <v>Not</v>
      </c>
      <c r="I755" s="8" t="str">
        <f t="shared" si="203"/>
        <v>no</v>
      </c>
      <c r="J755" s="10" t="str">
        <f t="shared" si="194"/>
        <v>no</v>
      </c>
      <c r="K755" s="10" t="str">
        <f t="shared" si="195"/>
        <v>no</v>
      </c>
      <c r="L755" t="s">
        <v>154</v>
      </c>
      <c r="M755">
        <v>10532</v>
      </c>
      <c r="N755">
        <v>30</v>
      </c>
      <c r="O755" t="s">
        <v>717</v>
      </c>
      <c r="P755" t="str">
        <f t="shared" si="196"/>
        <v>EASTC_10532_Nord-Ost Matjeshering</v>
      </c>
      <c r="Q755" t="str">
        <f t="shared" si="197"/>
        <v>10532</v>
      </c>
      <c r="R755" t="str">
        <f t="shared" si="198"/>
        <v>10532</v>
      </c>
      <c r="S755" t="str">
        <f t="shared" si="199"/>
        <v>Nord-Ost Matjeshering</v>
      </c>
      <c r="T755">
        <v>25.89</v>
      </c>
      <c r="U755">
        <v>15</v>
      </c>
      <c r="V755">
        <v>0</v>
      </c>
      <c r="W755">
        <f t="shared" si="200"/>
        <v>388.35</v>
      </c>
      <c r="X755" t="str">
        <f t="shared" si="201"/>
        <v>No</v>
      </c>
      <c r="Y755" s="2">
        <v>34859</v>
      </c>
      <c r="Z755" t="str">
        <f t="shared" si="187"/>
        <v/>
      </c>
      <c r="AA755" t="str">
        <f t="shared" si="202"/>
        <v/>
      </c>
      <c r="AB755" t="str" cm="1">
        <f t="array" ref="AB755">_xlfn.IFS(Y755&lt;DATE(1996,1,1),"",Y755&lt;DATE(1996,4,1),"Q1",Y755&lt;DATE(1996,7,1),"Q2",Y755&gt;=DATE(1996,7,1),"")</f>
        <v/>
      </c>
    </row>
    <row r="756" spans="1:28" ht="14.4" x14ac:dyDescent="0.55000000000000004">
      <c r="A756" t="str">
        <f>VLOOKUP(L756,Customers!$A$2:$B$92,2,FALSE)</f>
        <v>Eastern Connection</v>
      </c>
      <c r="B756" t="str">
        <f>VLOOKUP(L756,Customers!$A$2:$C$92,3,TRUE)</f>
        <v>Ann Devon</v>
      </c>
      <c r="C756" t="str">
        <f t="shared" si="188"/>
        <v>Ann</v>
      </c>
      <c r="D756" s="8" t="str">
        <f t="shared" si="189"/>
        <v>Devon</v>
      </c>
      <c r="E756" s="8" t="str">
        <f t="shared" si="190"/>
        <v>Devon, Ann</v>
      </c>
      <c r="F756" s="8" t="str">
        <f t="shared" si="191"/>
        <v>Devon, Ann</v>
      </c>
      <c r="G756" s="8" t="str">
        <f t="shared" si="192"/>
        <v>not an outlier</v>
      </c>
      <c r="H756" s="8" t="str">
        <f t="shared" si="193"/>
        <v>Not</v>
      </c>
      <c r="I756" s="8" t="str">
        <f t="shared" si="203"/>
        <v>no</v>
      </c>
      <c r="J756" s="10" t="str">
        <f t="shared" si="194"/>
        <v>no</v>
      </c>
      <c r="K756" s="10" t="str">
        <f t="shared" si="195"/>
        <v>no</v>
      </c>
      <c r="L756" t="s">
        <v>154</v>
      </c>
      <c r="M756">
        <v>10532</v>
      </c>
      <c r="N756">
        <v>66</v>
      </c>
      <c r="O756" t="s">
        <v>744</v>
      </c>
      <c r="P756" t="str">
        <f t="shared" si="196"/>
        <v>EASTC_10532_Louisiana Hot Spiced Okra</v>
      </c>
      <c r="Q756" t="str">
        <f t="shared" si="197"/>
        <v>10532</v>
      </c>
      <c r="R756" t="str">
        <f t="shared" si="198"/>
        <v>10532</v>
      </c>
      <c r="S756" t="str">
        <f t="shared" si="199"/>
        <v>Louisiana Hot Spiced Okra</v>
      </c>
      <c r="T756">
        <v>17</v>
      </c>
      <c r="U756">
        <v>24</v>
      </c>
      <c r="V756">
        <v>0</v>
      </c>
      <c r="W756">
        <f t="shared" si="200"/>
        <v>408</v>
      </c>
      <c r="X756" t="str">
        <f t="shared" si="201"/>
        <v>No</v>
      </c>
      <c r="Y756" s="2">
        <v>34859</v>
      </c>
      <c r="Z756" t="str">
        <f t="shared" si="187"/>
        <v/>
      </c>
      <c r="AA756" t="str">
        <f t="shared" si="202"/>
        <v/>
      </c>
      <c r="AB756" t="str" cm="1">
        <f t="array" ref="AB756">_xlfn.IFS(Y756&lt;DATE(1996,1,1),"",Y756&lt;DATE(1996,4,1),"Q1",Y756&lt;DATE(1996,7,1),"Q2",Y756&gt;=DATE(1996,7,1),"")</f>
        <v/>
      </c>
    </row>
    <row r="757" spans="1:28" ht="14.4" x14ac:dyDescent="0.55000000000000004">
      <c r="A757" t="str">
        <f>VLOOKUP(L757,Customers!$A$2:$B$92,2,FALSE)</f>
        <v>Folk och fä HB</v>
      </c>
      <c r="B757" t="str">
        <f>VLOOKUP(L757,Customers!$A$2:$C$92,3,TRUE)</f>
        <v>Maria Larsson</v>
      </c>
      <c r="C757" t="str">
        <f t="shared" si="188"/>
        <v>Maria</v>
      </c>
      <c r="D757" s="8" t="str">
        <f t="shared" si="189"/>
        <v>Larsson</v>
      </c>
      <c r="E757" s="8" t="str">
        <f t="shared" si="190"/>
        <v>Larsson, Maria</v>
      </c>
      <c r="F757" s="8" t="str">
        <f t="shared" si="191"/>
        <v>Larsson, Maria</v>
      </c>
      <c r="G757" s="8" t="str">
        <f t="shared" si="192"/>
        <v>not an outlier</v>
      </c>
      <c r="H757" s="8" t="str">
        <f t="shared" si="193"/>
        <v>Not</v>
      </c>
      <c r="I757" s="8" t="str">
        <f t="shared" si="203"/>
        <v>no</v>
      </c>
      <c r="J757" s="10" t="str">
        <f t="shared" si="194"/>
        <v>no</v>
      </c>
      <c r="K757" s="10" t="str">
        <f t="shared" si="195"/>
        <v>no</v>
      </c>
      <c r="L757" t="s">
        <v>191</v>
      </c>
      <c r="M757">
        <v>10533</v>
      </c>
      <c r="N757">
        <v>4</v>
      </c>
      <c r="O757" t="s">
        <v>745</v>
      </c>
      <c r="P757" t="str">
        <f t="shared" si="196"/>
        <v>FOLKO_10533_Chef Anton's Cajun Seasoning</v>
      </c>
      <c r="Q757" t="str">
        <f t="shared" si="197"/>
        <v>10533</v>
      </c>
      <c r="R757" t="str">
        <f t="shared" si="198"/>
        <v>10533</v>
      </c>
      <c r="S757" t="str">
        <f t="shared" si="199"/>
        <v>Chef Anton's Cajun Seasoning</v>
      </c>
      <c r="T757">
        <v>22</v>
      </c>
      <c r="U757">
        <v>50</v>
      </c>
      <c r="V757">
        <v>0.05</v>
      </c>
      <c r="W757">
        <f t="shared" si="200"/>
        <v>1045</v>
      </c>
      <c r="X757" t="str">
        <f t="shared" si="201"/>
        <v>No</v>
      </c>
      <c r="Y757" s="2">
        <v>34862</v>
      </c>
      <c r="Z757" t="str">
        <f t="shared" si="187"/>
        <v/>
      </c>
      <c r="AA757" t="str">
        <f t="shared" si="202"/>
        <v/>
      </c>
      <c r="AB757" t="str" cm="1">
        <f t="array" ref="AB757">_xlfn.IFS(Y757&lt;DATE(1996,1,1),"",Y757&lt;DATE(1996,4,1),"Q1",Y757&lt;DATE(1996,7,1),"Q2",Y757&gt;=DATE(1996,7,1),"")</f>
        <v/>
      </c>
    </row>
    <row r="758" spans="1:28" ht="14.4" x14ac:dyDescent="0.55000000000000004">
      <c r="A758" t="str">
        <f>VLOOKUP(L758,Customers!$A$2:$B$92,2,FALSE)</f>
        <v>Folk och fä HB</v>
      </c>
      <c r="B758" t="str">
        <f>VLOOKUP(L758,Customers!$A$2:$C$92,3,TRUE)</f>
        <v>Maria Larsson</v>
      </c>
      <c r="C758" t="str">
        <f t="shared" si="188"/>
        <v>Maria</v>
      </c>
      <c r="D758" s="8" t="str">
        <f t="shared" si="189"/>
        <v>Larsson</v>
      </c>
      <c r="E758" s="8" t="str">
        <f t="shared" si="190"/>
        <v>Larsson, Maria</v>
      </c>
      <c r="F758" s="8" t="str">
        <f t="shared" si="191"/>
        <v>Larsson, Maria</v>
      </c>
      <c r="G758" s="8" t="str">
        <f t="shared" si="192"/>
        <v>not an outlier</v>
      </c>
      <c r="H758" s="8" t="str">
        <f t="shared" si="193"/>
        <v>Not</v>
      </c>
      <c r="I758" s="8" t="str">
        <f t="shared" si="203"/>
        <v>no</v>
      </c>
      <c r="J758" s="10" t="str">
        <f t="shared" si="194"/>
        <v>no</v>
      </c>
      <c r="K758" s="10" t="str">
        <f t="shared" si="195"/>
        <v>no</v>
      </c>
      <c r="L758" t="s">
        <v>191</v>
      </c>
      <c r="M758">
        <v>10533</v>
      </c>
      <c r="N758">
        <v>72</v>
      </c>
      <c r="O758" t="s">
        <v>685</v>
      </c>
      <c r="P758" t="str">
        <f t="shared" si="196"/>
        <v>FOLKO_10533_Mozzarella di Giovanni</v>
      </c>
      <c r="Q758" t="str">
        <f t="shared" si="197"/>
        <v>10533</v>
      </c>
      <c r="R758" t="str">
        <f t="shared" si="198"/>
        <v>10533</v>
      </c>
      <c r="S758" t="str">
        <f t="shared" si="199"/>
        <v>Mozzarella di Giovanni</v>
      </c>
      <c r="T758">
        <v>34.799999999999997</v>
      </c>
      <c r="U758">
        <v>24</v>
      </c>
      <c r="V758">
        <v>0</v>
      </c>
      <c r="W758">
        <f t="shared" si="200"/>
        <v>835.19999999999993</v>
      </c>
      <c r="X758" t="str">
        <f t="shared" si="201"/>
        <v>No</v>
      </c>
      <c r="Y758" s="2">
        <v>34862</v>
      </c>
      <c r="Z758" t="str">
        <f t="shared" si="187"/>
        <v/>
      </c>
      <c r="AA758" t="str">
        <f t="shared" si="202"/>
        <v/>
      </c>
      <c r="AB758" t="str" cm="1">
        <f t="array" ref="AB758">_xlfn.IFS(Y758&lt;DATE(1996,1,1),"",Y758&lt;DATE(1996,4,1),"Q1",Y758&lt;DATE(1996,7,1),"Q2",Y758&gt;=DATE(1996,7,1),"")</f>
        <v/>
      </c>
    </row>
    <row r="759" spans="1:28" ht="14.4" x14ac:dyDescent="0.55000000000000004">
      <c r="A759" t="str">
        <f>VLOOKUP(L759,Customers!$A$2:$B$92,2,FALSE)</f>
        <v>Folk och fä HB</v>
      </c>
      <c r="B759" t="str">
        <f>VLOOKUP(L759,Customers!$A$2:$C$92,3,TRUE)</f>
        <v>Maria Larsson</v>
      </c>
      <c r="C759" t="str">
        <f t="shared" si="188"/>
        <v>Maria</v>
      </c>
      <c r="D759" s="8" t="str">
        <f t="shared" si="189"/>
        <v>Larsson</v>
      </c>
      <c r="E759" s="8" t="str">
        <f t="shared" si="190"/>
        <v>Larsson, Maria</v>
      </c>
      <c r="F759" s="8" t="str">
        <f t="shared" si="191"/>
        <v>Larsson, Maria</v>
      </c>
      <c r="G759" s="8" t="str">
        <f t="shared" si="192"/>
        <v>not an outlier</v>
      </c>
      <c r="H759" s="8" t="str">
        <f t="shared" si="193"/>
        <v>Not</v>
      </c>
      <c r="I759" s="8" t="str">
        <f t="shared" si="203"/>
        <v>no</v>
      </c>
      <c r="J759" s="10" t="str">
        <f t="shared" si="194"/>
        <v>no</v>
      </c>
      <c r="K759" s="10" t="str">
        <f t="shared" si="195"/>
        <v>no</v>
      </c>
      <c r="L759" t="s">
        <v>191</v>
      </c>
      <c r="M759">
        <v>10533</v>
      </c>
      <c r="N759">
        <v>73</v>
      </c>
      <c r="O759" t="s">
        <v>730</v>
      </c>
      <c r="P759" t="str">
        <f t="shared" si="196"/>
        <v>FOLKO_10533_Röd Kaviar</v>
      </c>
      <c r="Q759" t="str">
        <f t="shared" si="197"/>
        <v>10533</v>
      </c>
      <c r="R759" t="str">
        <f t="shared" si="198"/>
        <v>10533</v>
      </c>
      <c r="S759" t="str">
        <f t="shared" si="199"/>
        <v>Röd Kaviar</v>
      </c>
      <c r="T759">
        <v>15</v>
      </c>
      <c r="U759">
        <v>24</v>
      </c>
      <c r="V759">
        <v>0.05</v>
      </c>
      <c r="W759">
        <f t="shared" si="200"/>
        <v>342</v>
      </c>
      <c r="X759" t="str">
        <f t="shared" si="201"/>
        <v>No</v>
      </c>
      <c r="Y759" s="2">
        <v>34862</v>
      </c>
      <c r="Z759" t="str">
        <f t="shared" si="187"/>
        <v/>
      </c>
      <c r="AA759" t="str">
        <f t="shared" si="202"/>
        <v/>
      </c>
      <c r="AB759" t="str" cm="1">
        <f t="array" ref="AB759">_xlfn.IFS(Y759&lt;DATE(1996,1,1),"",Y759&lt;DATE(1996,4,1),"Q1",Y759&lt;DATE(1996,7,1),"Q2",Y759&gt;=DATE(1996,7,1),"")</f>
        <v/>
      </c>
    </row>
    <row r="760" spans="1:28" ht="14.4" x14ac:dyDescent="0.55000000000000004">
      <c r="A760" t="str">
        <f>VLOOKUP(L760,Customers!$A$2:$B$92,2,FALSE)</f>
        <v>Lehmanns Marktstand</v>
      </c>
      <c r="B760" t="str">
        <f>VLOOKUP(L760,Customers!$A$2:$C$92,3,TRUE)</f>
        <v>Renate Messner</v>
      </c>
      <c r="C760" t="str">
        <f t="shared" si="188"/>
        <v>Renate</v>
      </c>
      <c r="D760" s="8" t="str">
        <f t="shared" si="189"/>
        <v>Messner</v>
      </c>
      <c r="E760" s="8" t="str">
        <f t="shared" si="190"/>
        <v>Messner, Renate</v>
      </c>
      <c r="F760" s="8" t="str">
        <f t="shared" si="191"/>
        <v>Messner, Renate</v>
      </c>
      <c r="G760" s="8" t="str">
        <f t="shared" si="192"/>
        <v>not an outlier</v>
      </c>
      <c r="H760" s="8" t="str">
        <f t="shared" si="193"/>
        <v>Not</v>
      </c>
      <c r="I760" s="8" t="str">
        <f t="shared" si="203"/>
        <v>no</v>
      </c>
      <c r="J760" s="10" t="str">
        <f t="shared" si="194"/>
        <v>no</v>
      </c>
      <c r="K760" s="10" t="str">
        <f t="shared" si="195"/>
        <v>no</v>
      </c>
      <c r="L760" t="s">
        <v>341</v>
      </c>
      <c r="M760">
        <v>10534</v>
      </c>
      <c r="N760">
        <v>30</v>
      </c>
      <c r="O760" t="s">
        <v>717</v>
      </c>
      <c r="P760" t="str">
        <f t="shared" si="196"/>
        <v>LEHMS_10534_Nord-Ost Matjeshering</v>
      </c>
      <c r="Q760" t="str">
        <f t="shared" si="197"/>
        <v>10534</v>
      </c>
      <c r="R760" t="str">
        <f t="shared" si="198"/>
        <v>10534</v>
      </c>
      <c r="S760" t="str">
        <f t="shared" si="199"/>
        <v>Nord-Ost Matjeshering</v>
      </c>
      <c r="T760">
        <v>25.89</v>
      </c>
      <c r="U760">
        <v>10</v>
      </c>
      <c r="V760">
        <v>0</v>
      </c>
      <c r="W760">
        <f t="shared" si="200"/>
        <v>258.89999999999998</v>
      </c>
      <c r="X760" t="str">
        <f t="shared" si="201"/>
        <v>No</v>
      </c>
      <c r="Y760" s="2">
        <v>34862</v>
      </c>
      <c r="Z760" t="str">
        <f t="shared" si="187"/>
        <v/>
      </c>
      <c r="AA760" t="str">
        <f t="shared" si="202"/>
        <v/>
      </c>
      <c r="AB760" t="str" cm="1">
        <f t="array" ref="AB760">_xlfn.IFS(Y760&lt;DATE(1996,1,1),"",Y760&lt;DATE(1996,4,1),"Q1",Y760&lt;DATE(1996,7,1),"Q2",Y760&gt;=DATE(1996,7,1),"")</f>
        <v/>
      </c>
    </row>
    <row r="761" spans="1:28" ht="14.4" x14ac:dyDescent="0.55000000000000004">
      <c r="A761" t="str">
        <f>VLOOKUP(L761,Customers!$A$2:$B$92,2,FALSE)</f>
        <v>Lehmanns Marktstand</v>
      </c>
      <c r="B761" t="str">
        <f>VLOOKUP(L761,Customers!$A$2:$C$92,3,TRUE)</f>
        <v>Renate Messner</v>
      </c>
      <c r="C761" t="str">
        <f t="shared" si="188"/>
        <v>Renate</v>
      </c>
      <c r="D761" s="8" t="str">
        <f t="shared" si="189"/>
        <v>Messner</v>
      </c>
      <c r="E761" s="8" t="str">
        <f t="shared" si="190"/>
        <v>Messner, Renate</v>
      </c>
      <c r="F761" s="8" t="str">
        <f t="shared" si="191"/>
        <v>Messner, Renate</v>
      </c>
      <c r="G761" s="8" t="str">
        <f t="shared" si="192"/>
        <v>not an outlier</v>
      </c>
      <c r="H761" s="8" t="str">
        <f t="shared" si="193"/>
        <v>Not</v>
      </c>
      <c r="I761" s="8" t="str">
        <f t="shared" si="203"/>
        <v>no</v>
      </c>
      <c r="J761" s="10" t="str">
        <f t="shared" si="194"/>
        <v>no</v>
      </c>
      <c r="K761" s="10" t="str">
        <f t="shared" si="195"/>
        <v>no</v>
      </c>
      <c r="L761" t="s">
        <v>341</v>
      </c>
      <c r="M761">
        <v>10534</v>
      </c>
      <c r="N761">
        <v>40</v>
      </c>
      <c r="O761" t="s">
        <v>720</v>
      </c>
      <c r="P761" t="str">
        <f t="shared" si="196"/>
        <v>LEHMS_10534_Boston Crab Meat</v>
      </c>
      <c r="Q761" t="str">
        <f t="shared" si="197"/>
        <v>10534</v>
      </c>
      <c r="R761" t="str">
        <f t="shared" si="198"/>
        <v>10534</v>
      </c>
      <c r="S761" t="str">
        <f t="shared" si="199"/>
        <v>Boston Crab Meat</v>
      </c>
      <c r="T761">
        <v>18.399999999999999</v>
      </c>
      <c r="U761">
        <v>10</v>
      </c>
      <c r="V761">
        <v>0.2</v>
      </c>
      <c r="W761">
        <f t="shared" si="200"/>
        <v>147.20000000000002</v>
      </c>
      <c r="X761" t="str">
        <f t="shared" si="201"/>
        <v>No</v>
      </c>
      <c r="Y761" s="2">
        <v>34862</v>
      </c>
      <c r="Z761" t="str">
        <f t="shared" si="187"/>
        <v/>
      </c>
      <c r="AA761" t="str">
        <f t="shared" si="202"/>
        <v/>
      </c>
      <c r="AB761" t="str" cm="1">
        <f t="array" ref="AB761">_xlfn.IFS(Y761&lt;DATE(1996,1,1),"",Y761&lt;DATE(1996,4,1),"Q1",Y761&lt;DATE(1996,7,1),"Q2",Y761&gt;=DATE(1996,7,1),"")</f>
        <v/>
      </c>
    </row>
    <row r="762" spans="1:28" ht="14.4" x14ac:dyDescent="0.55000000000000004">
      <c r="A762" t="str">
        <f>VLOOKUP(L762,Customers!$A$2:$B$92,2,FALSE)</f>
        <v>Lehmanns Marktstand</v>
      </c>
      <c r="B762" t="str">
        <f>VLOOKUP(L762,Customers!$A$2:$C$92,3,TRUE)</f>
        <v>Renate Messner</v>
      </c>
      <c r="C762" t="str">
        <f t="shared" si="188"/>
        <v>Renate</v>
      </c>
      <c r="D762" s="8" t="str">
        <f t="shared" si="189"/>
        <v>Messner</v>
      </c>
      <c r="E762" s="8" t="str">
        <f t="shared" si="190"/>
        <v>Messner, Renate</v>
      </c>
      <c r="F762" s="8" t="str">
        <f t="shared" si="191"/>
        <v>Messner, Renate</v>
      </c>
      <c r="G762" s="8" t="str">
        <f t="shared" si="192"/>
        <v>not an outlier</v>
      </c>
      <c r="H762" s="8" t="str">
        <f t="shared" si="193"/>
        <v>Not</v>
      </c>
      <c r="I762" s="8" t="str">
        <f t="shared" si="203"/>
        <v>no</v>
      </c>
      <c r="J762" s="10" t="str">
        <f t="shared" si="194"/>
        <v>no</v>
      </c>
      <c r="K762" s="10" t="str">
        <f t="shared" si="195"/>
        <v>no</v>
      </c>
      <c r="L762" t="s">
        <v>341</v>
      </c>
      <c r="M762">
        <v>10534</v>
      </c>
      <c r="N762">
        <v>54</v>
      </c>
      <c r="O762" t="s">
        <v>738</v>
      </c>
      <c r="P762" t="str">
        <f t="shared" si="196"/>
        <v>LEHMS_10534_Tourtière</v>
      </c>
      <c r="Q762" t="str">
        <f t="shared" si="197"/>
        <v>10534</v>
      </c>
      <c r="R762" t="str">
        <f t="shared" si="198"/>
        <v>10534</v>
      </c>
      <c r="S762" t="str">
        <f t="shared" si="199"/>
        <v>Tourtière</v>
      </c>
      <c r="T762">
        <v>7.45</v>
      </c>
      <c r="U762">
        <v>10</v>
      </c>
      <c r="V762">
        <v>0.2</v>
      </c>
      <c r="W762">
        <f t="shared" si="200"/>
        <v>59.6</v>
      </c>
      <c r="X762" t="str">
        <f t="shared" si="201"/>
        <v>No</v>
      </c>
      <c r="Y762" s="2">
        <v>34862</v>
      </c>
      <c r="Z762" t="str">
        <f t="shared" si="187"/>
        <v/>
      </c>
      <c r="AA762" t="str">
        <f t="shared" si="202"/>
        <v/>
      </c>
      <c r="AB762" t="str" cm="1">
        <f t="array" ref="AB762">_xlfn.IFS(Y762&lt;DATE(1996,1,1),"",Y762&lt;DATE(1996,4,1),"Q1",Y762&lt;DATE(1996,7,1),"Q2",Y762&gt;=DATE(1996,7,1),"")</f>
        <v/>
      </c>
    </row>
    <row r="763" spans="1:28" ht="14.4" x14ac:dyDescent="0.55000000000000004">
      <c r="A763" t="str">
        <f>VLOOKUP(L763,Customers!$A$2:$B$92,2,FALSE)</f>
        <v>Antonio Moreno Taquería</v>
      </c>
      <c r="B763" t="str">
        <f>VLOOKUP(L763,Customers!$A$2:$C$92,3,TRUE)</f>
        <v>Antonio Moreno</v>
      </c>
      <c r="C763" t="str">
        <f t="shared" si="188"/>
        <v>Antonio</v>
      </c>
      <c r="D763" s="8" t="str">
        <f t="shared" si="189"/>
        <v>Moreno</v>
      </c>
      <c r="E763" s="8" t="str">
        <f t="shared" si="190"/>
        <v>Moreno, Antonio</v>
      </c>
      <c r="F763" s="8" t="str">
        <f t="shared" si="191"/>
        <v>Moreno, Antonio</v>
      </c>
      <c r="G763" s="8" t="str">
        <f t="shared" si="192"/>
        <v>not an outlier</v>
      </c>
      <c r="H763" s="8" t="str">
        <f t="shared" si="193"/>
        <v>Not</v>
      </c>
      <c r="I763" s="8" t="str">
        <f t="shared" si="203"/>
        <v>no</v>
      </c>
      <c r="J763" s="10" t="str">
        <f t="shared" si="194"/>
        <v>no</v>
      </c>
      <c r="K763" s="10" t="str">
        <f t="shared" si="195"/>
        <v>no</v>
      </c>
      <c r="L763" t="s">
        <v>29</v>
      </c>
      <c r="M763">
        <v>10535</v>
      </c>
      <c r="N763">
        <v>11</v>
      </c>
      <c r="O763" t="s">
        <v>683</v>
      </c>
      <c r="P763" t="str">
        <f t="shared" si="196"/>
        <v>ANTON_10535_Queso Cabrales</v>
      </c>
      <c r="Q763" t="str">
        <f t="shared" si="197"/>
        <v>10535</v>
      </c>
      <c r="R763" t="str">
        <f t="shared" si="198"/>
        <v>10535</v>
      </c>
      <c r="S763" t="str">
        <f t="shared" si="199"/>
        <v>Queso Cabrales</v>
      </c>
      <c r="T763">
        <v>21</v>
      </c>
      <c r="U763">
        <v>50</v>
      </c>
      <c r="V763">
        <v>0.1</v>
      </c>
      <c r="W763">
        <f t="shared" si="200"/>
        <v>945</v>
      </c>
      <c r="X763" t="str">
        <f t="shared" si="201"/>
        <v>No</v>
      </c>
      <c r="Y763" s="2">
        <v>34863</v>
      </c>
      <c r="Z763" t="str">
        <f t="shared" si="187"/>
        <v/>
      </c>
      <c r="AA763" t="str">
        <f t="shared" si="202"/>
        <v/>
      </c>
      <c r="AB763" t="str" cm="1">
        <f t="array" ref="AB763">_xlfn.IFS(Y763&lt;DATE(1996,1,1),"",Y763&lt;DATE(1996,4,1),"Q1",Y763&lt;DATE(1996,7,1),"Q2",Y763&gt;=DATE(1996,7,1),"")</f>
        <v/>
      </c>
    </row>
    <row r="764" spans="1:28" ht="14.4" x14ac:dyDescent="0.55000000000000004">
      <c r="A764" t="str">
        <f>VLOOKUP(L764,Customers!$A$2:$B$92,2,FALSE)</f>
        <v>Antonio Moreno Taquería</v>
      </c>
      <c r="B764" t="str">
        <f>VLOOKUP(L764,Customers!$A$2:$C$92,3,TRUE)</f>
        <v>Antonio Moreno</v>
      </c>
      <c r="C764" t="str">
        <f t="shared" si="188"/>
        <v>Antonio</v>
      </c>
      <c r="D764" s="8" t="str">
        <f t="shared" si="189"/>
        <v>Moreno</v>
      </c>
      <c r="E764" s="8" t="str">
        <f t="shared" si="190"/>
        <v>Moreno, Antonio</v>
      </c>
      <c r="F764" s="8" t="str">
        <f t="shared" si="191"/>
        <v>Moreno, Antonio</v>
      </c>
      <c r="G764" s="8" t="str">
        <f t="shared" si="192"/>
        <v>not an outlier</v>
      </c>
      <c r="H764" s="8" t="str">
        <f t="shared" si="193"/>
        <v>Not</v>
      </c>
      <c r="I764" s="8" t="str">
        <f t="shared" si="203"/>
        <v>no</v>
      </c>
      <c r="J764" s="10" t="str">
        <f t="shared" si="194"/>
        <v>no</v>
      </c>
      <c r="K764" s="10" t="str">
        <f t="shared" si="195"/>
        <v>no</v>
      </c>
      <c r="L764" t="s">
        <v>29</v>
      </c>
      <c r="M764">
        <v>10535</v>
      </c>
      <c r="N764">
        <v>40</v>
      </c>
      <c r="O764" t="s">
        <v>720</v>
      </c>
      <c r="P764" t="str">
        <f t="shared" si="196"/>
        <v>ANTON_10535_Boston Crab Meat</v>
      </c>
      <c r="Q764" t="str">
        <f t="shared" si="197"/>
        <v>10535</v>
      </c>
      <c r="R764" t="str">
        <f t="shared" si="198"/>
        <v>10535</v>
      </c>
      <c r="S764" t="str">
        <f t="shared" si="199"/>
        <v>Boston Crab Meat</v>
      </c>
      <c r="T764">
        <v>18.399999999999999</v>
      </c>
      <c r="U764">
        <v>10</v>
      </c>
      <c r="V764">
        <v>0.1</v>
      </c>
      <c r="W764">
        <f t="shared" si="200"/>
        <v>165.6</v>
      </c>
      <c r="X764" t="str">
        <f t="shared" si="201"/>
        <v>No</v>
      </c>
      <c r="Y764" s="2">
        <v>34863</v>
      </c>
      <c r="Z764" t="str">
        <f t="shared" si="187"/>
        <v/>
      </c>
      <c r="AA764" t="str">
        <f t="shared" si="202"/>
        <v/>
      </c>
      <c r="AB764" t="str" cm="1">
        <f t="array" ref="AB764">_xlfn.IFS(Y764&lt;DATE(1996,1,1),"",Y764&lt;DATE(1996,4,1),"Q1",Y764&lt;DATE(1996,7,1),"Q2",Y764&gt;=DATE(1996,7,1),"")</f>
        <v/>
      </c>
    </row>
    <row r="765" spans="1:28" ht="14.4" x14ac:dyDescent="0.55000000000000004">
      <c r="A765" t="str">
        <f>VLOOKUP(L765,Customers!$A$2:$B$92,2,FALSE)</f>
        <v>Antonio Moreno Taquería</v>
      </c>
      <c r="B765" t="str">
        <f>VLOOKUP(L765,Customers!$A$2:$C$92,3,TRUE)</f>
        <v>Antonio Moreno</v>
      </c>
      <c r="C765" t="str">
        <f t="shared" si="188"/>
        <v>Antonio</v>
      </c>
      <c r="D765" s="8" t="str">
        <f t="shared" si="189"/>
        <v>Moreno</v>
      </c>
      <c r="E765" s="8" t="str">
        <f t="shared" si="190"/>
        <v>Moreno, Antonio</v>
      </c>
      <c r="F765" s="8" t="str">
        <f t="shared" si="191"/>
        <v>Moreno, Antonio</v>
      </c>
      <c r="G765" s="8" t="str">
        <f t="shared" si="192"/>
        <v>not an outlier</v>
      </c>
      <c r="H765" s="8" t="str">
        <f t="shared" si="193"/>
        <v>Not</v>
      </c>
      <c r="I765" s="8" t="str">
        <f t="shared" si="203"/>
        <v>no</v>
      </c>
      <c r="J765" s="10" t="str">
        <f t="shared" si="194"/>
        <v>no</v>
      </c>
      <c r="K765" s="10" t="str">
        <f t="shared" si="195"/>
        <v>no</v>
      </c>
      <c r="L765" t="s">
        <v>29</v>
      </c>
      <c r="M765">
        <v>10535</v>
      </c>
      <c r="N765">
        <v>57</v>
      </c>
      <c r="O765" t="s">
        <v>691</v>
      </c>
      <c r="P765" t="str">
        <f t="shared" si="196"/>
        <v>ANTON_10535_Ravioli Angelo</v>
      </c>
      <c r="Q765" t="str">
        <f t="shared" si="197"/>
        <v>10535</v>
      </c>
      <c r="R765" t="str">
        <f t="shared" si="198"/>
        <v>10535</v>
      </c>
      <c r="S765" t="str">
        <f t="shared" si="199"/>
        <v>Ravioli Angelo</v>
      </c>
      <c r="T765">
        <v>19.5</v>
      </c>
      <c r="U765">
        <v>5</v>
      </c>
      <c r="V765">
        <v>0.1</v>
      </c>
      <c r="W765">
        <f t="shared" si="200"/>
        <v>87.75</v>
      </c>
      <c r="X765" t="str">
        <f t="shared" si="201"/>
        <v>No</v>
      </c>
      <c r="Y765" s="2">
        <v>34863</v>
      </c>
      <c r="Z765" t="str">
        <f t="shared" si="187"/>
        <v/>
      </c>
      <c r="AA765" t="str">
        <f t="shared" si="202"/>
        <v/>
      </c>
      <c r="AB765" t="str" cm="1">
        <f t="array" ref="AB765">_xlfn.IFS(Y765&lt;DATE(1996,1,1),"",Y765&lt;DATE(1996,4,1),"Q1",Y765&lt;DATE(1996,7,1),"Q2",Y765&gt;=DATE(1996,7,1),"")</f>
        <v/>
      </c>
    </row>
    <row r="766" spans="1:28" ht="14.4" x14ac:dyDescent="0.55000000000000004">
      <c r="A766" t="str">
        <f>VLOOKUP(L766,Customers!$A$2:$B$92,2,FALSE)</f>
        <v>Antonio Moreno Taquería</v>
      </c>
      <c r="B766" t="str">
        <f>VLOOKUP(L766,Customers!$A$2:$C$92,3,TRUE)</f>
        <v>Antonio Moreno</v>
      </c>
      <c r="C766" t="str">
        <f t="shared" si="188"/>
        <v>Antonio</v>
      </c>
      <c r="D766" s="8" t="str">
        <f t="shared" si="189"/>
        <v>Moreno</v>
      </c>
      <c r="E766" s="8" t="str">
        <f t="shared" si="190"/>
        <v>Moreno, Antonio</v>
      </c>
      <c r="F766" s="8" t="str">
        <f t="shared" si="191"/>
        <v>Moreno, Antonio</v>
      </c>
      <c r="G766" s="8" t="str">
        <f t="shared" si="192"/>
        <v>not an outlier</v>
      </c>
      <c r="H766" s="8" t="str">
        <f t="shared" si="193"/>
        <v>Not</v>
      </c>
      <c r="I766" s="8" t="str">
        <f t="shared" si="203"/>
        <v>no</v>
      </c>
      <c r="J766" s="10" t="str">
        <f t="shared" si="194"/>
        <v>no</v>
      </c>
      <c r="K766" s="10" t="str">
        <f t="shared" si="195"/>
        <v>no</v>
      </c>
      <c r="L766" t="s">
        <v>29</v>
      </c>
      <c r="M766">
        <v>10535</v>
      </c>
      <c r="N766">
        <v>59</v>
      </c>
      <c r="O766" t="s">
        <v>704</v>
      </c>
      <c r="P766" t="str">
        <f t="shared" si="196"/>
        <v>ANTON_10535_Raclette Courdavault</v>
      </c>
      <c r="Q766" t="str">
        <f t="shared" si="197"/>
        <v>10535</v>
      </c>
      <c r="R766" t="str">
        <f t="shared" si="198"/>
        <v>10535</v>
      </c>
      <c r="S766" t="str">
        <f t="shared" si="199"/>
        <v>Raclette Courdavault</v>
      </c>
      <c r="T766">
        <v>55</v>
      </c>
      <c r="U766">
        <v>15</v>
      </c>
      <c r="V766">
        <v>0.1</v>
      </c>
      <c r="W766">
        <f t="shared" si="200"/>
        <v>742.5</v>
      </c>
      <c r="X766" t="str">
        <f t="shared" si="201"/>
        <v>No</v>
      </c>
      <c r="Y766" s="2">
        <v>34863</v>
      </c>
      <c r="Z766" t="str">
        <f t="shared" si="187"/>
        <v/>
      </c>
      <c r="AA766" t="str">
        <f t="shared" si="202"/>
        <v/>
      </c>
      <c r="AB766" t="str" cm="1">
        <f t="array" ref="AB766">_xlfn.IFS(Y766&lt;DATE(1996,1,1),"",Y766&lt;DATE(1996,4,1),"Q1",Y766&lt;DATE(1996,7,1),"Q2",Y766&gt;=DATE(1996,7,1),"")</f>
        <v/>
      </c>
    </row>
    <row r="767" spans="1:28" ht="14.4" x14ac:dyDescent="0.55000000000000004">
      <c r="A767" t="str">
        <f>VLOOKUP(L767,Customers!$A$2:$B$92,2,FALSE)</f>
        <v>Lehmanns Marktstand</v>
      </c>
      <c r="B767" t="str">
        <f>VLOOKUP(L767,Customers!$A$2:$C$92,3,TRUE)</f>
        <v>Renate Messner</v>
      </c>
      <c r="C767" t="str">
        <f t="shared" si="188"/>
        <v>Renate</v>
      </c>
      <c r="D767" s="8" t="str">
        <f t="shared" si="189"/>
        <v>Messner</v>
      </c>
      <c r="E767" s="8" t="str">
        <f t="shared" si="190"/>
        <v>Messner, Renate</v>
      </c>
      <c r="F767" s="8" t="str">
        <f t="shared" si="191"/>
        <v>Messner, Renate</v>
      </c>
      <c r="G767" s="8" t="str">
        <f t="shared" si="192"/>
        <v>not an outlier</v>
      </c>
      <c r="H767" s="8" t="str">
        <f t="shared" si="193"/>
        <v>Not</v>
      </c>
      <c r="I767" s="8" t="str">
        <f t="shared" si="203"/>
        <v>no</v>
      </c>
      <c r="J767" s="10" t="str">
        <f t="shared" si="194"/>
        <v>no</v>
      </c>
      <c r="K767" s="10" t="str">
        <f t="shared" si="195"/>
        <v>no</v>
      </c>
      <c r="L767" t="s">
        <v>341</v>
      </c>
      <c r="M767">
        <v>10536</v>
      </c>
      <c r="N767">
        <v>12</v>
      </c>
      <c r="O767" t="s">
        <v>719</v>
      </c>
      <c r="P767" t="str">
        <f t="shared" si="196"/>
        <v>LEHMS_10536_Queso Manchego La Pastora</v>
      </c>
      <c r="Q767" t="str">
        <f t="shared" si="197"/>
        <v>10536</v>
      </c>
      <c r="R767" t="str">
        <f t="shared" si="198"/>
        <v>10536</v>
      </c>
      <c r="S767" t="str">
        <f t="shared" si="199"/>
        <v>Queso Manchego La Pastora</v>
      </c>
      <c r="T767">
        <v>38</v>
      </c>
      <c r="U767">
        <v>15</v>
      </c>
      <c r="V767">
        <v>0.25</v>
      </c>
      <c r="W767">
        <f t="shared" si="200"/>
        <v>427.5</v>
      </c>
      <c r="X767" t="str">
        <f t="shared" si="201"/>
        <v>No</v>
      </c>
      <c r="Y767" s="2">
        <v>34864</v>
      </c>
      <c r="Z767" t="str">
        <f t="shared" si="187"/>
        <v/>
      </c>
      <c r="AA767" t="str">
        <f t="shared" si="202"/>
        <v/>
      </c>
      <c r="AB767" t="str" cm="1">
        <f t="array" ref="AB767">_xlfn.IFS(Y767&lt;DATE(1996,1,1),"",Y767&lt;DATE(1996,4,1),"Q1",Y767&lt;DATE(1996,7,1),"Q2",Y767&gt;=DATE(1996,7,1),"")</f>
        <v/>
      </c>
    </row>
    <row r="768" spans="1:28" ht="14.4" x14ac:dyDescent="0.55000000000000004">
      <c r="A768" t="str">
        <f>VLOOKUP(L768,Customers!$A$2:$B$92,2,FALSE)</f>
        <v>Lehmanns Marktstand</v>
      </c>
      <c r="B768" t="str">
        <f>VLOOKUP(L768,Customers!$A$2:$C$92,3,TRUE)</f>
        <v>Renate Messner</v>
      </c>
      <c r="C768" t="str">
        <f t="shared" si="188"/>
        <v>Renate</v>
      </c>
      <c r="D768" s="8" t="str">
        <f t="shared" si="189"/>
        <v>Messner</v>
      </c>
      <c r="E768" s="8" t="str">
        <f t="shared" si="190"/>
        <v>Messner, Renate</v>
      </c>
      <c r="F768" s="8" t="str">
        <f t="shared" si="191"/>
        <v>Messner, Renate</v>
      </c>
      <c r="G768" s="8" t="str">
        <f t="shared" si="192"/>
        <v>not an outlier</v>
      </c>
      <c r="H768" s="8" t="str">
        <f t="shared" si="193"/>
        <v>Not</v>
      </c>
      <c r="I768" s="8" t="str">
        <f t="shared" si="203"/>
        <v>no</v>
      </c>
      <c r="J768" s="10" t="str">
        <f t="shared" si="194"/>
        <v>no</v>
      </c>
      <c r="K768" s="10" t="str">
        <f t="shared" si="195"/>
        <v>no</v>
      </c>
      <c r="L768" t="s">
        <v>341</v>
      </c>
      <c r="M768">
        <v>10536</v>
      </c>
      <c r="N768">
        <v>31</v>
      </c>
      <c r="O768" t="s">
        <v>695</v>
      </c>
      <c r="P768" t="str">
        <f t="shared" si="196"/>
        <v>LEHMS_10536_Gorgonzola Telino</v>
      </c>
      <c r="Q768" t="str">
        <f t="shared" si="197"/>
        <v>10536</v>
      </c>
      <c r="R768" t="str">
        <f t="shared" si="198"/>
        <v>10536</v>
      </c>
      <c r="S768" t="str">
        <f t="shared" si="199"/>
        <v>Gorgonzola Telino</v>
      </c>
      <c r="T768">
        <v>12.5</v>
      </c>
      <c r="U768">
        <v>20</v>
      </c>
      <c r="V768">
        <v>0</v>
      </c>
      <c r="W768">
        <f t="shared" si="200"/>
        <v>250</v>
      </c>
      <c r="X768" t="str">
        <f t="shared" si="201"/>
        <v>No</v>
      </c>
      <c r="Y768" s="2">
        <v>34864</v>
      </c>
      <c r="Z768" t="str">
        <f t="shared" si="187"/>
        <v/>
      </c>
      <c r="AA768" t="str">
        <f t="shared" si="202"/>
        <v/>
      </c>
      <c r="AB768" t="str" cm="1">
        <f t="array" ref="AB768">_xlfn.IFS(Y768&lt;DATE(1996,1,1),"",Y768&lt;DATE(1996,4,1),"Q1",Y768&lt;DATE(1996,7,1),"Q2",Y768&gt;=DATE(1996,7,1),"")</f>
        <v/>
      </c>
    </row>
    <row r="769" spans="1:28" ht="14.4" x14ac:dyDescent="0.55000000000000004">
      <c r="A769" t="str">
        <f>VLOOKUP(L769,Customers!$A$2:$B$92,2,FALSE)</f>
        <v>Lehmanns Marktstand</v>
      </c>
      <c r="B769" t="str">
        <f>VLOOKUP(L769,Customers!$A$2:$C$92,3,TRUE)</f>
        <v>Renate Messner</v>
      </c>
      <c r="C769" t="str">
        <f t="shared" si="188"/>
        <v>Renate</v>
      </c>
      <c r="D769" s="8" t="str">
        <f t="shared" si="189"/>
        <v>Messner</v>
      </c>
      <c r="E769" s="8" t="str">
        <f t="shared" si="190"/>
        <v>Messner, Renate</v>
      </c>
      <c r="F769" s="8" t="str">
        <f t="shared" si="191"/>
        <v>Messner, Renate</v>
      </c>
      <c r="G769" s="8" t="str">
        <f t="shared" si="192"/>
        <v>not an outlier</v>
      </c>
      <c r="H769" s="8" t="str">
        <f t="shared" si="193"/>
        <v>Not</v>
      </c>
      <c r="I769" s="8" t="str">
        <f t="shared" si="203"/>
        <v>no</v>
      </c>
      <c r="J769" s="10" t="str">
        <f t="shared" si="194"/>
        <v>no</v>
      </c>
      <c r="K769" s="10" t="str">
        <f t="shared" si="195"/>
        <v>no</v>
      </c>
      <c r="L769" t="s">
        <v>341</v>
      </c>
      <c r="M769">
        <v>10536</v>
      </c>
      <c r="N769">
        <v>33</v>
      </c>
      <c r="O769" t="s">
        <v>693</v>
      </c>
      <c r="P769" t="str">
        <f t="shared" si="196"/>
        <v>LEHMS_10536_Geitost</v>
      </c>
      <c r="Q769" t="str">
        <f t="shared" si="197"/>
        <v>10536</v>
      </c>
      <c r="R769" t="str">
        <f t="shared" si="198"/>
        <v>10536</v>
      </c>
      <c r="S769" t="str">
        <f t="shared" si="199"/>
        <v>Geitost</v>
      </c>
      <c r="T769">
        <v>2.5</v>
      </c>
      <c r="U769">
        <v>30</v>
      </c>
      <c r="V769">
        <v>0</v>
      </c>
      <c r="W769">
        <f t="shared" si="200"/>
        <v>75</v>
      </c>
      <c r="X769" t="str">
        <f t="shared" si="201"/>
        <v>No</v>
      </c>
      <c r="Y769" s="2">
        <v>34864</v>
      </c>
      <c r="Z769" t="str">
        <f t="shared" ref="Z769:Z832" si="204">IF(Y769&gt;=DATE(1996,1,1), IF(Y769&lt;DATE(1996,4,1),"1st Q 1996",""),"")</f>
        <v/>
      </c>
      <c r="AA769" t="str">
        <f t="shared" si="202"/>
        <v/>
      </c>
      <c r="AB769" t="str" cm="1">
        <f t="array" ref="AB769">_xlfn.IFS(Y769&lt;DATE(1996,1,1),"",Y769&lt;DATE(1996,4,1),"Q1",Y769&lt;DATE(1996,7,1),"Q2",Y769&gt;=DATE(1996,7,1),"")</f>
        <v/>
      </c>
    </row>
    <row r="770" spans="1:28" ht="14.4" x14ac:dyDescent="0.55000000000000004">
      <c r="A770" t="str">
        <f>VLOOKUP(L770,Customers!$A$2:$B$92,2,FALSE)</f>
        <v>Lehmanns Marktstand</v>
      </c>
      <c r="B770" t="str">
        <f>VLOOKUP(L770,Customers!$A$2:$C$92,3,TRUE)</f>
        <v>Renate Messner</v>
      </c>
      <c r="C770" t="str">
        <f t="shared" si="188"/>
        <v>Renate</v>
      </c>
      <c r="D770" s="8" t="str">
        <f t="shared" si="189"/>
        <v>Messner</v>
      </c>
      <c r="E770" s="8" t="str">
        <f t="shared" si="190"/>
        <v>Messner, Renate</v>
      </c>
      <c r="F770" s="8" t="str">
        <f t="shared" si="191"/>
        <v>Messner, Renate</v>
      </c>
      <c r="G770" s="8" t="str">
        <f t="shared" si="192"/>
        <v>not an outlier</v>
      </c>
      <c r="H770" s="8" t="str">
        <f t="shared" si="193"/>
        <v>Not</v>
      </c>
      <c r="I770" s="8" t="str">
        <f t="shared" si="203"/>
        <v>no</v>
      </c>
      <c r="J770" s="10" t="str">
        <f t="shared" si="194"/>
        <v>no</v>
      </c>
      <c r="K770" s="10" t="str">
        <f t="shared" si="195"/>
        <v>no</v>
      </c>
      <c r="L770" t="s">
        <v>341</v>
      </c>
      <c r="M770">
        <v>10536</v>
      </c>
      <c r="N770">
        <v>60</v>
      </c>
      <c r="O770" t="s">
        <v>694</v>
      </c>
      <c r="P770" t="str">
        <f t="shared" si="196"/>
        <v>LEHMS_10536_Camembert Pierrot</v>
      </c>
      <c r="Q770" t="str">
        <f t="shared" si="197"/>
        <v>10536</v>
      </c>
      <c r="R770" t="str">
        <f t="shared" si="198"/>
        <v>10536</v>
      </c>
      <c r="S770" t="str">
        <f t="shared" si="199"/>
        <v>Camembert Pierrot</v>
      </c>
      <c r="T770">
        <v>34</v>
      </c>
      <c r="U770">
        <v>35</v>
      </c>
      <c r="V770">
        <v>0.25</v>
      </c>
      <c r="W770">
        <f t="shared" si="200"/>
        <v>892.5</v>
      </c>
      <c r="X770" t="str">
        <f t="shared" si="201"/>
        <v>No</v>
      </c>
      <c r="Y770" s="2">
        <v>34864</v>
      </c>
      <c r="Z770" t="str">
        <f t="shared" si="204"/>
        <v/>
      </c>
      <c r="AA770" t="str">
        <f t="shared" si="202"/>
        <v/>
      </c>
      <c r="AB770" t="str" cm="1">
        <f t="array" ref="AB770">_xlfn.IFS(Y770&lt;DATE(1996,1,1),"",Y770&lt;DATE(1996,4,1),"Q1",Y770&lt;DATE(1996,7,1),"Q2",Y770&gt;=DATE(1996,7,1),"")</f>
        <v/>
      </c>
    </row>
    <row r="771" spans="1:28" ht="14.4" x14ac:dyDescent="0.55000000000000004">
      <c r="A771" t="str">
        <f>VLOOKUP(L771,Customers!$A$2:$B$92,2,FALSE)</f>
        <v>Richter Supermarkt</v>
      </c>
      <c r="B771" t="str">
        <f>VLOOKUP(L771,Customers!$A$2:$C$92,3,TRUE)</f>
        <v>Michael Holz</v>
      </c>
      <c r="C771" t="str">
        <f t="shared" ref="C771:C834" si="205">LEFT(B771,FIND(" ",B771)-1)</f>
        <v>Michael</v>
      </c>
      <c r="D771" s="8" t="str">
        <f t="shared" ref="D771:D834" si="206">RIGHT(B771,LEN(B771)-FIND(" ",B771))</f>
        <v>Holz</v>
      </c>
      <c r="E771" s="8" t="str">
        <f t="shared" ref="E771:E834" si="207">_xlfn.CONCAT(D771,", ",C771)</f>
        <v>Holz, Michael</v>
      </c>
      <c r="F771" s="8" t="str">
        <f t="shared" ref="F771:F834" si="208">D771&amp;", "&amp;C771</f>
        <v>Holz, Michael</v>
      </c>
      <c r="G771" s="8" t="str">
        <f t="shared" ref="G771:G834" si="209">IF(OR(W771&gt;$W$2166,W771&lt;$W$2167),"outlier","not an outlier")</f>
        <v>not an outlier</v>
      </c>
      <c r="H771" s="8" t="str">
        <f t="shared" ref="H771:H834" si="210">IF(OR(W771&gt;$W$2166,W771&lt;$W$2167),"outlier",IF(OR(W771&gt;$W$2168,W771&lt;$W$2169),"moderate","Not"))</f>
        <v>Not</v>
      </c>
      <c r="I771" s="8" t="str">
        <f t="shared" si="203"/>
        <v>no</v>
      </c>
      <c r="J771" s="10" t="str">
        <f t="shared" ref="J771:J834" si="211">IF(AND(W771&lt;=$W$2166,W771&gt;=$W$2167),"no","yes")</f>
        <v>no</v>
      </c>
      <c r="K771" s="10" t="str">
        <f t="shared" ref="K771:K834" si="212">IF(OR(W771&gt;$W$2166,W771&lt;$W$2167),"yes",IF(OR(W771&gt;$W$2168,W771&lt;$W$2169),"moderate","no"))</f>
        <v>no</v>
      </c>
      <c r="L771" t="s">
        <v>509</v>
      </c>
      <c r="M771">
        <v>10537</v>
      </c>
      <c r="N771">
        <v>31</v>
      </c>
      <c r="O771" t="s">
        <v>695</v>
      </c>
      <c r="P771" t="str">
        <f t="shared" ref="P771:P834" si="213">L771&amp;"_"&amp;M771&amp;"_"&amp;O771</f>
        <v>RICSU_10537_Gorgonzola Telino</v>
      </c>
      <c r="Q771" t="str">
        <f t="shared" ref="Q771:Q834" si="214">LEFT(RIGHT(P771,LEN(P771)-FIND("_",P771)), FIND("_",P771)-1)</f>
        <v>10537</v>
      </c>
      <c r="R771" t="str">
        <f t="shared" ref="R771:R834" si="215">MID(P771,FIND("_",P771)+1,FIND("_",P771,FIND("_",P771))-1)</f>
        <v>10537</v>
      </c>
      <c r="S771" t="str">
        <f t="shared" ref="S771:S834" si="216">MID(P771,FIND("_",P771,FIND("_",P771)+1)+1,LEN(P771))</f>
        <v>Gorgonzola Telino</v>
      </c>
      <c r="T771">
        <v>12.5</v>
      </c>
      <c r="U771">
        <v>30</v>
      </c>
      <c r="V771">
        <v>0</v>
      </c>
      <c r="W771">
        <f t="shared" ref="W771:W834" si="217">T771*U771*(1-V771)</f>
        <v>375</v>
      </c>
      <c r="X771" t="str">
        <f t="shared" ref="X771:X834" si="218">IF(YEAR(Y771)&gt;=1996,"yes","No")</f>
        <v>No</v>
      </c>
      <c r="Y771" s="2">
        <v>34864</v>
      </c>
      <c r="Z771" t="str">
        <f t="shared" si="204"/>
        <v/>
      </c>
      <c r="AA771" t="str">
        <f t="shared" ref="AA771:AA834" si="219">IF(Y771&lt;DATE(1996,1,1),"", IF(Y771&lt;DATE(1996,4,1),"1st Q 1996",IF(Y771&lt;DATE(1996,7,1),"2nd Q 1996","")))</f>
        <v/>
      </c>
      <c r="AB771" t="str" cm="1">
        <f t="array" ref="AB771">_xlfn.IFS(Y771&lt;DATE(1996,1,1),"",Y771&lt;DATE(1996,4,1),"Q1",Y771&lt;DATE(1996,7,1),"Q2",Y771&gt;=DATE(1996,7,1),"")</f>
        <v/>
      </c>
    </row>
    <row r="772" spans="1:28" ht="14.4" x14ac:dyDescent="0.55000000000000004">
      <c r="A772" t="str">
        <f>VLOOKUP(L772,Customers!$A$2:$B$92,2,FALSE)</f>
        <v>Richter Supermarkt</v>
      </c>
      <c r="B772" t="str">
        <f>VLOOKUP(L772,Customers!$A$2:$C$92,3,TRUE)</f>
        <v>Michael Holz</v>
      </c>
      <c r="C772" t="str">
        <f t="shared" si="205"/>
        <v>Michael</v>
      </c>
      <c r="D772" s="8" t="str">
        <f t="shared" si="206"/>
        <v>Holz</v>
      </c>
      <c r="E772" s="8" t="str">
        <f t="shared" si="207"/>
        <v>Holz, Michael</v>
      </c>
      <c r="F772" s="8" t="str">
        <f t="shared" si="208"/>
        <v>Holz, Michael</v>
      </c>
      <c r="G772" s="8" t="str">
        <f t="shared" si="209"/>
        <v>not an outlier</v>
      </c>
      <c r="H772" s="8" t="str">
        <f t="shared" si="210"/>
        <v>Not</v>
      </c>
      <c r="I772" s="8" t="str">
        <f t="shared" ref="I772:I835" si="220">IF(OR(W772&gt;$W$2166,W772&lt;$W$2167),"yes","no")</f>
        <v>no</v>
      </c>
      <c r="J772" s="10" t="str">
        <f t="shared" si="211"/>
        <v>no</v>
      </c>
      <c r="K772" s="10" t="str">
        <f t="shared" si="212"/>
        <v>no</v>
      </c>
      <c r="L772" t="s">
        <v>509</v>
      </c>
      <c r="M772">
        <v>10537</v>
      </c>
      <c r="N772">
        <v>51</v>
      </c>
      <c r="O772" t="s">
        <v>687</v>
      </c>
      <c r="P772" t="str">
        <f t="shared" si="213"/>
        <v>RICSU_10537_Manjimup Dried Apples</v>
      </c>
      <c r="Q772" t="str">
        <f t="shared" si="214"/>
        <v>10537</v>
      </c>
      <c r="R772" t="str">
        <f t="shared" si="215"/>
        <v>10537</v>
      </c>
      <c r="S772" t="str">
        <f t="shared" si="216"/>
        <v>Manjimup Dried Apples</v>
      </c>
      <c r="T772">
        <v>53</v>
      </c>
      <c r="U772">
        <v>6</v>
      </c>
      <c r="V772">
        <v>0</v>
      </c>
      <c r="W772">
        <f t="shared" si="217"/>
        <v>318</v>
      </c>
      <c r="X772" t="str">
        <f t="shared" si="218"/>
        <v>No</v>
      </c>
      <c r="Y772" s="2">
        <v>34864</v>
      </c>
      <c r="Z772" t="str">
        <f t="shared" si="204"/>
        <v/>
      </c>
      <c r="AA772" t="str">
        <f t="shared" si="219"/>
        <v/>
      </c>
      <c r="AB772" t="str" cm="1">
        <f t="array" ref="AB772">_xlfn.IFS(Y772&lt;DATE(1996,1,1),"",Y772&lt;DATE(1996,4,1),"Q1",Y772&lt;DATE(1996,7,1),"Q2",Y772&gt;=DATE(1996,7,1),"")</f>
        <v/>
      </c>
    </row>
    <row r="773" spans="1:28" ht="14.4" x14ac:dyDescent="0.55000000000000004">
      <c r="A773" t="str">
        <f>VLOOKUP(L773,Customers!$A$2:$B$92,2,FALSE)</f>
        <v>Richter Supermarkt</v>
      </c>
      <c r="B773" t="str">
        <f>VLOOKUP(L773,Customers!$A$2:$C$92,3,TRUE)</f>
        <v>Michael Holz</v>
      </c>
      <c r="C773" t="str">
        <f t="shared" si="205"/>
        <v>Michael</v>
      </c>
      <c r="D773" s="8" t="str">
        <f t="shared" si="206"/>
        <v>Holz</v>
      </c>
      <c r="E773" s="8" t="str">
        <f t="shared" si="207"/>
        <v>Holz, Michael</v>
      </c>
      <c r="F773" s="8" t="str">
        <f t="shared" si="208"/>
        <v>Holz, Michael</v>
      </c>
      <c r="G773" s="8" t="str">
        <f t="shared" si="209"/>
        <v>not an outlier</v>
      </c>
      <c r="H773" s="8" t="str">
        <f t="shared" si="210"/>
        <v>Not</v>
      </c>
      <c r="I773" s="8" t="str">
        <f t="shared" si="220"/>
        <v>no</v>
      </c>
      <c r="J773" s="10" t="str">
        <f t="shared" si="211"/>
        <v>no</v>
      </c>
      <c r="K773" s="10" t="str">
        <f t="shared" si="212"/>
        <v>no</v>
      </c>
      <c r="L773" t="s">
        <v>509</v>
      </c>
      <c r="M773">
        <v>10537</v>
      </c>
      <c r="N773">
        <v>58</v>
      </c>
      <c r="O773" t="s">
        <v>747</v>
      </c>
      <c r="P773" t="str">
        <f t="shared" si="213"/>
        <v>RICSU_10537_Escargots de Bourgogne</v>
      </c>
      <c r="Q773" t="str">
        <f t="shared" si="214"/>
        <v>10537</v>
      </c>
      <c r="R773" t="str">
        <f t="shared" si="215"/>
        <v>10537</v>
      </c>
      <c r="S773" t="str">
        <f t="shared" si="216"/>
        <v>Escargots de Bourgogne</v>
      </c>
      <c r="T773">
        <v>13.25</v>
      </c>
      <c r="U773">
        <v>20</v>
      </c>
      <c r="V773">
        <v>0</v>
      </c>
      <c r="W773">
        <f t="shared" si="217"/>
        <v>265</v>
      </c>
      <c r="X773" t="str">
        <f t="shared" si="218"/>
        <v>No</v>
      </c>
      <c r="Y773" s="2">
        <v>34864</v>
      </c>
      <c r="Z773" t="str">
        <f t="shared" si="204"/>
        <v/>
      </c>
      <c r="AA773" t="str">
        <f t="shared" si="219"/>
        <v/>
      </c>
      <c r="AB773" t="str" cm="1">
        <f t="array" ref="AB773">_xlfn.IFS(Y773&lt;DATE(1996,1,1),"",Y773&lt;DATE(1996,4,1),"Q1",Y773&lt;DATE(1996,7,1),"Q2",Y773&gt;=DATE(1996,7,1),"")</f>
        <v/>
      </c>
    </row>
    <row r="774" spans="1:28" ht="14.4" x14ac:dyDescent="0.55000000000000004">
      <c r="A774" t="str">
        <f>VLOOKUP(L774,Customers!$A$2:$B$92,2,FALSE)</f>
        <v>Richter Supermarkt</v>
      </c>
      <c r="B774" t="str">
        <f>VLOOKUP(L774,Customers!$A$2:$C$92,3,TRUE)</f>
        <v>Michael Holz</v>
      </c>
      <c r="C774" t="str">
        <f t="shared" si="205"/>
        <v>Michael</v>
      </c>
      <c r="D774" s="8" t="str">
        <f t="shared" si="206"/>
        <v>Holz</v>
      </c>
      <c r="E774" s="8" t="str">
        <f t="shared" si="207"/>
        <v>Holz, Michael</v>
      </c>
      <c r="F774" s="8" t="str">
        <f t="shared" si="208"/>
        <v>Holz, Michael</v>
      </c>
      <c r="G774" s="8" t="str">
        <f t="shared" si="209"/>
        <v>not an outlier</v>
      </c>
      <c r="H774" s="8" t="str">
        <f t="shared" si="210"/>
        <v>Not</v>
      </c>
      <c r="I774" s="8" t="str">
        <f t="shared" si="220"/>
        <v>no</v>
      </c>
      <c r="J774" s="10" t="str">
        <f t="shared" si="211"/>
        <v>no</v>
      </c>
      <c r="K774" s="10" t="str">
        <f t="shared" si="212"/>
        <v>no</v>
      </c>
      <c r="L774" t="s">
        <v>509</v>
      </c>
      <c r="M774">
        <v>10537</v>
      </c>
      <c r="N774">
        <v>72</v>
      </c>
      <c r="O774" t="s">
        <v>685</v>
      </c>
      <c r="P774" t="str">
        <f t="shared" si="213"/>
        <v>RICSU_10537_Mozzarella di Giovanni</v>
      </c>
      <c r="Q774" t="str">
        <f t="shared" si="214"/>
        <v>10537</v>
      </c>
      <c r="R774" t="str">
        <f t="shared" si="215"/>
        <v>10537</v>
      </c>
      <c r="S774" t="str">
        <f t="shared" si="216"/>
        <v>Mozzarella di Giovanni</v>
      </c>
      <c r="T774">
        <v>34.799999999999997</v>
      </c>
      <c r="U774">
        <v>21</v>
      </c>
      <c r="V774">
        <v>0</v>
      </c>
      <c r="W774">
        <f t="shared" si="217"/>
        <v>730.8</v>
      </c>
      <c r="X774" t="str">
        <f t="shared" si="218"/>
        <v>No</v>
      </c>
      <c r="Y774" s="2">
        <v>34864</v>
      </c>
      <c r="Z774" t="str">
        <f t="shared" si="204"/>
        <v/>
      </c>
      <c r="AA774" t="str">
        <f t="shared" si="219"/>
        <v/>
      </c>
      <c r="AB774" t="str" cm="1">
        <f t="array" ref="AB774">_xlfn.IFS(Y774&lt;DATE(1996,1,1),"",Y774&lt;DATE(1996,4,1),"Q1",Y774&lt;DATE(1996,7,1),"Q2",Y774&gt;=DATE(1996,7,1),"")</f>
        <v/>
      </c>
    </row>
    <row r="775" spans="1:28" ht="14.4" x14ac:dyDescent="0.55000000000000004">
      <c r="A775" t="str">
        <f>VLOOKUP(L775,Customers!$A$2:$B$92,2,FALSE)</f>
        <v>Richter Supermarkt</v>
      </c>
      <c r="B775" t="str">
        <f>VLOOKUP(L775,Customers!$A$2:$C$92,3,TRUE)</f>
        <v>Michael Holz</v>
      </c>
      <c r="C775" t="str">
        <f t="shared" si="205"/>
        <v>Michael</v>
      </c>
      <c r="D775" s="8" t="str">
        <f t="shared" si="206"/>
        <v>Holz</v>
      </c>
      <c r="E775" s="8" t="str">
        <f t="shared" si="207"/>
        <v>Holz, Michael</v>
      </c>
      <c r="F775" s="8" t="str">
        <f t="shared" si="208"/>
        <v>Holz, Michael</v>
      </c>
      <c r="G775" s="8" t="str">
        <f t="shared" si="209"/>
        <v>not an outlier</v>
      </c>
      <c r="H775" s="8" t="str">
        <f t="shared" si="210"/>
        <v>Not</v>
      </c>
      <c r="I775" s="8" t="str">
        <f t="shared" si="220"/>
        <v>no</v>
      </c>
      <c r="J775" s="10" t="str">
        <f t="shared" si="211"/>
        <v>no</v>
      </c>
      <c r="K775" s="10" t="str">
        <f t="shared" si="212"/>
        <v>no</v>
      </c>
      <c r="L775" t="s">
        <v>509</v>
      </c>
      <c r="M775">
        <v>10537</v>
      </c>
      <c r="N775">
        <v>73</v>
      </c>
      <c r="O775" t="s">
        <v>730</v>
      </c>
      <c r="P775" t="str">
        <f t="shared" si="213"/>
        <v>RICSU_10537_Röd Kaviar</v>
      </c>
      <c r="Q775" t="str">
        <f t="shared" si="214"/>
        <v>10537</v>
      </c>
      <c r="R775" t="str">
        <f t="shared" si="215"/>
        <v>10537</v>
      </c>
      <c r="S775" t="str">
        <f t="shared" si="216"/>
        <v>Röd Kaviar</v>
      </c>
      <c r="T775">
        <v>15</v>
      </c>
      <c r="U775">
        <v>9</v>
      </c>
      <c r="V775">
        <v>0</v>
      </c>
      <c r="W775">
        <f t="shared" si="217"/>
        <v>135</v>
      </c>
      <c r="X775" t="str">
        <f t="shared" si="218"/>
        <v>No</v>
      </c>
      <c r="Y775" s="2">
        <v>34864</v>
      </c>
      <c r="Z775" t="str">
        <f t="shared" si="204"/>
        <v/>
      </c>
      <c r="AA775" t="str">
        <f t="shared" si="219"/>
        <v/>
      </c>
      <c r="AB775" t="str" cm="1">
        <f t="array" ref="AB775">_xlfn.IFS(Y775&lt;DATE(1996,1,1),"",Y775&lt;DATE(1996,4,1),"Q1",Y775&lt;DATE(1996,7,1),"Q2",Y775&gt;=DATE(1996,7,1),"")</f>
        <v/>
      </c>
    </row>
    <row r="776" spans="1:28" ht="14.4" x14ac:dyDescent="0.55000000000000004">
      <c r="A776" t="str">
        <f>VLOOKUP(L776,Customers!$A$2:$B$92,2,FALSE)</f>
        <v>B's Beverages</v>
      </c>
      <c r="B776" t="str">
        <f>VLOOKUP(L776,Customers!$A$2:$C$92,3,TRUE)</f>
        <v>Victoria Ashworth</v>
      </c>
      <c r="C776" t="str">
        <f t="shared" si="205"/>
        <v>Victoria</v>
      </c>
      <c r="D776" s="8" t="str">
        <f t="shared" si="206"/>
        <v>Ashworth</v>
      </c>
      <c r="E776" s="8" t="str">
        <f t="shared" si="207"/>
        <v>Ashworth, Victoria</v>
      </c>
      <c r="F776" s="8" t="str">
        <f t="shared" si="208"/>
        <v>Ashworth, Victoria</v>
      </c>
      <c r="G776" s="8" t="str">
        <f t="shared" si="209"/>
        <v>not an outlier</v>
      </c>
      <c r="H776" s="8" t="str">
        <f t="shared" si="210"/>
        <v>Not</v>
      </c>
      <c r="I776" s="8" t="str">
        <f t="shared" si="220"/>
        <v>no</v>
      </c>
      <c r="J776" s="10" t="str">
        <f t="shared" si="211"/>
        <v>no</v>
      </c>
      <c r="K776" s="10" t="str">
        <f t="shared" si="212"/>
        <v>no</v>
      </c>
      <c r="L776" t="s">
        <v>95</v>
      </c>
      <c r="M776">
        <v>10538</v>
      </c>
      <c r="N776">
        <v>70</v>
      </c>
      <c r="O776" t="s">
        <v>713</v>
      </c>
      <c r="P776" t="str">
        <f t="shared" si="213"/>
        <v>BSBEV_10538_Outback Lager</v>
      </c>
      <c r="Q776" t="str">
        <f t="shared" si="214"/>
        <v>10538</v>
      </c>
      <c r="R776" t="str">
        <f t="shared" si="215"/>
        <v>10538</v>
      </c>
      <c r="S776" t="str">
        <f t="shared" si="216"/>
        <v>Outback Lager</v>
      </c>
      <c r="T776">
        <v>15</v>
      </c>
      <c r="U776">
        <v>7</v>
      </c>
      <c r="V776">
        <v>0</v>
      </c>
      <c r="W776">
        <f t="shared" si="217"/>
        <v>105</v>
      </c>
      <c r="X776" t="str">
        <f t="shared" si="218"/>
        <v>No</v>
      </c>
      <c r="Y776" s="2">
        <v>34865</v>
      </c>
      <c r="Z776" t="str">
        <f t="shared" si="204"/>
        <v/>
      </c>
      <c r="AA776" t="str">
        <f t="shared" si="219"/>
        <v/>
      </c>
      <c r="AB776" t="str" cm="1">
        <f t="array" ref="AB776">_xlfn.IFS(Y776&lt;DATE(1996,1,1),"",Y776&lt;DATE(1996,4,1),"Q1",Y776&lt;DATE(1996,7,1),"Q2",Y776&gt;=DATE(1996,7,1),"")</f>
        <v/>
      </c>
    </row>
    <row r="777" spans="1:28" ht="14.4" x14ac:dyDescent="0.55000000000000004">
      <c r="A777" t="str">
        <f>VLOOKUP(L777,Customers!$A$2:$B$92,2,FALSE)</f>
        <v>B's Beverages</v>
      </c>
      <c r="B777" t="str">
        <f>VLOOKUP(L777,Customers!$A$2:$C$92,3,TRUE)</f>
        <v>Victoria Ashworth</v>
      </c>
      <c r="C777" t="str">
        <f t="shared" si="205"/>
        <v>Victoria</v>
      </c>
      <c r="D777" s="8" t="str">
        <f t="shared" si="206"/>
        <v>Ashworth</v>
      </c>
      <c r="E777" s="8" t="str">
        <f t="shared" si="207"/>
        <v>Ashworth, Victoria</v>
      </c>
      <c r="F777" s="8" t="str">
        <f t="shared" si="208"/>
        <v>Ashworth, Victoria</v>
      </c>
      <c r="G777" s="8" t="str">
        <f t="shared" si="209"/>
        <v>not an outlier</v>
      </c>
      <c r="H777" s="8" t="str">
        <f t="shared" si="210"/>
        <v>Not</v>
      </c>
      <c r="I777" s="8" t="str">
        <f t="shared" si="220"/>
        <v>no</v>
      </c>
      <c r="J777" s="10" t="str">
        <f t="shared" si="211"/>
        <v>no</v>
      </c>
      <c r="K777" s="10" t="str">
        <f t="shared" si="212"/>
        <v>no</v>
      </c>
      <c r="L777" t="s">
        <v>95</v>
      </c>
      <c r="M777">
        <v>10538</v>
      </c>
      <c r="N777">
        <v>72</v>
      </c>
      <c r="O777" t="s">
        <v>685</v>
      </c>
      <c r="P777" t="str">
        <f t="shared" si="213"/>
        <v>BSBEV_10538_Mozzarella di Giovanni</v>
      </c>
      <c r="Q777" t="str">
        <f t="shared" si="214"/>
        <v>10538</v>
      </c>
      <c r="R777" t="str">
        <f t="shared" si="215"/>
        <v>10538</v>
      </c>
      <c r="S777" t="str">
        <f t="shared" si="216"/>
        <v>Mozzarella di Giovanni</v>
      </c>
      <c r="T777">
        <v>34.799999999999997</v>
      </c>
      <c r="U777">
        <v>1</v>
      </c>
      <c r="V777">
        <v>0</v>
      </c>
      <c r="W777">
        <f t="shared" si="217"/>
        <v>34.799999999999997</v>
      </c>
      <c r="X777" t="str">
        <f t="shared" si="218"/>
        <v>No</v>
      </c>
      <c r="Y777" s="2">
        <v>34865</v>
      </c>
      <c r="Z777" t="str">
        <f t="shared" si="204"/>
        <v/>
      </c>
      <c r="AA777" t="str">
        <f t="shared" si="219"/>
        <v/>
      </c>
      <c r="AB777" t="str" cm="1">
        <f t="array" ref="AB777">_xlfn.IFS(Y777&lt;DATE(1996,1,1),"",Y777&lt;DATE(1996,4,1),"Q1",Y777&lt;DATE(1996,7,1),"Q2",Y777&gt;=DATE(1996,7,1),"")</f>
        <v/>
      </c>
    </row>
    <row r="778" spans="1:28" ht="14.4" x14ac:dyDescent="0.55000000000000004">
      <c r="A778" t="str">
        <f>VLOOKUP(L778,Customers!$A$2:$B$92,2,FALSE)</f>
        <v>B's Beverages</v>
      </c>
      <c r="B778" t="str">
        <f>VLOOKUP(L778,Customers!$A$2:$C$92,3,TRUE)</f>
        <v>Victoria Ashworth</v>
      </c>
      <c r="C778" t="str">
        <f t="shared" si="205"/>
        <v>Victoria</v>
      </c>
      <c r="D778" s="8" t="str">
        <f t="shared" si="206"/>
        <v>Ashworth</v>
      </c>
      <c r="E778" s="8" t="str">
        <f t="shared" si="207"/>
        <v>Ashworth, Victoria</v>
      </c>
      <c r="F778" s="8" t="str">
        <f t="shared" si="208"/>
        <v>Ashworth, Victoria</v>
      </c>
      <c r="G778" s="8" t="str">
        <f t="shared" si="209"/>
        <v>not an outlier</v>
      </c>
      <c r="H778" s="8" t="str">
        <f t="shared" si="210"/>
        <v>Not</v>
      </c>
      <c r="I778" s="8" t="str">
        <f t="shared" si="220"/>
        <v>no</v>
      </c>
      <c r="J778" s="10" t="str">
        <f t="shared" si="211"/>
        <v>no</v>
      </c>
      <c r="K778" s="10" t="str">
        <f t="shared" si="212"/>
        <v>no</v>
      </c>
      <c r="L778" t="s">
        <v>95</v>
      </c>
      <c r="M778">
        <v>10539</v>
      </c>
      <c r="N778">
        <v>13</v>
      </c>
      <c r="O778" t="s">
        <v>726</v>
      </c>
      <c r="P778" t="str">
        <f t="shared" si="213"/>
        <v>BSBEV_10539_Konbu</v>
      </c>
      <c r="Q778" t="str">
        <f t="shared" si="214"/>
        <v>10539</v>
      </c>
      <c r="R778" t="str">
        <f t="shared" si="215"/>
        <v>10539</v>
      </c>
      <c r="S778" t="str">
        <f t="shared" si="216"/>
        <v>Konbu</v>
      </c>
      <c r="T778">
        <v>6</v>
      </c>
      <c r="U778">
        <v>8</v>
      </c>
      <c r="V778">
        <v>0</v>
      </c>
      <c r="W778">
        <f t="shared" si="217"/>
        <v>48</v>
      </c>
      <c r="X778" t="str">
        <f t="shared" si="218"/>
        <v>No</v>
      </c>
      <c r="Y778" s="2">
        <v>34866</v>
      </c>
      <c r="Z778" t="str">
        <f t="shared" si="204"/>
        <v/>
      </c>
      <c r="AA778" t="str">
        <f t="shared" si="219"/>
        <v/>
      </c>
      <c r="AB778" t="str" cm="1">
        <f t="array" ref="AB778">_xlfn.IFS(Y778&lt;DATE(1996,1,1),"",Y778&lt;DATE(1996,4,1),"Q1",Y778&lt;DATE(1996,7,1),"Q2",Y778&gt;=DATE(1996,7,1),"")</f>
        <v/>
      </c>
    </row>
    <row r="779" spans="1:28" ht="14.4" x14ac:dyDescent="0.55000000000000004">
      <c r="A779" t="str">
        <f>VLOOKUP(L779,Customers!$A$2:$B$92,2,FALSE)</f>
        <v>B's Beverages</v>
      </c>
      <c r="B779" t="str">
        <f>VLOOKUP(L779,Customers!$A$2:$C$92,3,TRUE)</f>
        <v>Victoria Ashworth</v>
      </c>
      <c r="C779" t="str">
        <f t="shared" si="205"/>
        <v>Victoria</v>
      </c>
      <c r="D779" s="8" t="str">
        <f t="shared" si="206"/>
        <v>Ashworth</v>
      </c>
      <c r="E779" s="8" t="str">
        <f t="shared" si="207"/>
        <v>Ashworth, Victoria</v>
      </c>
      <c r="F779" s="8" t="str">
        <f t="shared" si="208"/>
        <v>Ashworth, Victoria</v>
      </c>
      <c r="G779" s="8" t="str">
        <f t="shared" si="209"/>
        <v>not an outlier</v>
      </c>
      <c r="H779" s="8" t="str">
        <f t="shared" si="210"/>
        <v>Not</v>
      </c>
      <c r="I779" s="8" t="str">
        <f t="shared" si="220"/>
        <v>no</v>
      </c>
      <c r="J779" s="10" t="str">
        <f t="shared" si="211"/>
        <v>no</v>
      </c>
      <c r="K779" s="10" t="str">
        <f t="shared" si="212"/>
        <v>no</v>
      </c>
      <c r="L779" t="s">
        <v>95</v>
      </c>
      <c r="M779">
        <v>10539</v>
      </c>
      <c r="N779">
        <v>21</v>
      </c>
      <c r="O779" t="s">
        <v>710</v>
      </c>
      <c r="P779" t="str">
        <f t="shared" si="213"/>
        <v>BSBEV_10539_Sir Rodney's Scones</v>
      </c>
      <c r="Q779" t="str">
        <f t="shared" si="214"/>
        <v>10539</v>
      </c>
      <c r="R779" t="str">
        <f t="shared" si="215"/>
        <v>10539</v>
      </c>
      <c r="S779" t="str">
        <f t="shared" si="216"/>
        <v>Sir Rodney's Scones</v>
      </c>
      <c r="T779">
        <v>10</v>
      </c>
      <c r="U779">
        <v>15</v>
      </c>
      <c r="V779">
        <v>0</v>
      </c>
      <c r="W779">
        <f t="shared" si="217"/>
        <v>150</v>
      </c>
      <c r="X779" t="str">
        <f t="shared" si="218"/>
        <v>No</v>
      </c>
      <c r="Y779" s="2">
        <v>34866</v>
      </c>
      <c r="Z779" t="str">
        <f t="shared" si="204"/>
        <v/>
      </c>
      <c r="AA779" t="str">
        <f t="shared" si="219"/>
        <v/>
      </c>
      <c r="AB779" t="str" cm="1">
        <f t="array" ref="AB779">_xlfn.IFS(Y779&lt;DATE(1996,1,1),"",Y779&lt;DATE(1996,4,1),"Q1",Y779&lt;DATE(1996,7,1),"Q2",Y779&gt;=DATE(1996,7,1),"")</f>
        <v/>
      </c>
    </row>
    <row r="780" spans="1:28" ht="14.4" x14ac:dyDescent="0.55000000000000004">
      <c r="A780" t="str">
        <f>VLOOKUP(L780,Customers!$A$2:$B$92,2,FALSE)</f>
        <v>B's Beverages</v>
      </c>
      <c r="B780" t="str">
        <f>VLOOKUP(L780,Customers!$A$2:$C$92,3,TRUE)</f>
        <v>Victoria Ashworth</v>
      </c>
      <c r="C780" t="str">
        <f t="shared" si="205"/>
        <v>Victoria</v>
      </c>
      <c r="D780" s="8" t="str">
        <f t="shared" si="206"/>
        <v>Ashworth</v>
      </c>
      <c r="E780" s="8" t="str">
        <f t="shared" si="207"/>
        <v>Ashworth, Victoria</v>
      </c>
      <c r="F780" s="8" t="str">
        <f t="shared" si="208"/>
        <v>Ashworth, Victoria</v>
      </c>
      <c r="G780" s="8" t="str">
        <f t="shared" si="209"/>
        <v>not an outlier</v>
      </c>
      <c r="H780" s="8" t="str">
        <f t="shared" si="210"/>
        <v>Not</v>
      </c>
      <c r="I780" s="8" t="str">
        <f t="shared" si="220"/>
        <v>no</v>
      </c>
      <c r="J780" s="10" t="str">
        <f t="shared" si="211"/>
        <v>no</v>
      </c>
      <c r="K780" s="10" t="str">
        <f t="shared" si="212"/>
        <v>no</v>
      </c>
      <c r="L780" t="s">
        <v>95</v>
      </c>
      <c r="M780">
        <v>10539</v>
      </c>
      <c r="N780">
        <v>33</v>
      </c>
      <c r="O780" t="s">
        <v>693</v>
      </c>
      <c r="P780" t="str">
        <f t="shared" si="213"/>
        <v>BSBEV_10539_Geitost</v>
      </c>
      <c r="Q780" t="str">
        <f t="shared" si="214"/>
        <v>10539</v>
      </c>
      <c r="R780" t="str">
        <f t="shared" si="215"/>
        <v>10539</v>
      </c>
      <c r="S780" t="str">
        <f t="shared" si="216"/>
        <v>Geitost</v>
      </c>
      <c r="T780">
        <v>2.5</v>
      </c>
      <c r="U780">
        <v>15</v>
      </c>
      <c r="V780">
        <v>0</v>
      </c>
      <c r="W780">
        <f t="shared" si="217"/>
        <v>37.5</v>
      </c>
      <c r="X780" t="str">
        <f t="shared" si="218"/>
        <v>No</v>
      </c>
      <c r="Y780" s="2">
        <v>34866</v>
      </c>
      <c r="Z780" t="str">
        <f t="shared" si="204"/>
        <v/>
      </c>
      <c r="AA780" t="str">
        <f t="shared" si="219"/>
        <v/>
      </c>
      <c r="AB780" t="str" cm="1">
        <f t="array" ref="AB780">_xlfn.IFS(Y780&lt;DATE(1996,1,1),"",Y780&lt;DATE(1996,4,1),"Q1",Y780&lt;DATE(1996,7,1),"Q2",Y780&gt;=DATE(1996,7,1),"")</f>
        <v/>
      </c>
    </row>
    <row r="781" spans="1:28" ht="14.4" x14ac:dyDescent="0.55000000000000004">
      <c r="A781" t="str">
        <f>VLOOKUP(L781,Customers!$A$2:$B$92,2,FALSE)</f>
        <v>B's Beverages</v>
      </c>
      <c r="B781" t="str">
        <f>VLOOKUP(L781,Customers!$A$2:$C$92,3,TRUE)</f>
        <v>Victoria Ashworth</v>
      </c>
      <c r="C781" t="str">
        <f t="shared" si="205"/>
        <v>Victoria</v>
      </c>
      <c r="D781" s="8" t="str">
        <f t="shared" si="206"/>
        <v>Ashworth</v>
      </c>
      <c r="E781" s="8" t="str">
        <f t="shared" si="207"/>
        <v>Ashworth, Victoria</v>
      </c>
      <c r="F781" s="8" t="str">
        <f t="shared" si="208"/>
        <v>Ashworth, Victoria</v>
      </c>
      <c r="G781" s="8" t="str">
        <f t="shared" si="209"/>
        <v>not an outlier</v>
      </c>
      <c r="H781" s="8" t="str">
        <f t="shared" si="210"/>
        <v>Not</v>
      </c>
      <c r="I781" s="8" t="str">
        <f t="shared" si="220"/>
        <v>no</v>
      </c>
      <c r="J781" s="10" t="str">
        <f t="shared" si="211"/>
        <v>no</v>
      </c>
      <c r="K781" s="10" t="str">
        <f t="shared" si="212"/>
        <v>no</v>
      </c>
      <c r="L781" t="s">
        <v>95</v>
      </c>
      <c r="M781">
        <v>10539</v>
      </c>
      <c r="N781">
        <v>49</v>
      </c>
      <c r="O781" t="s">
        <v>697</v>
      </c>
      <c r="P781" t="str">
        <f t="shared" si="213"/>
        <v>BSBEV_10539_Maxilaku</v>
      </c>
      <c r="Q781" t="str">
        <f t="shared" si="214"/>
        <v>10539</v>
      </c>
      <c r="R781" t="str">
        <f t="shared" si="215"/>
        <v>10539</v>
      </c>
      <c r="S781" t="str">
        <f t="shared" si="216"/>
        <v>Maxilaku</v>
      </c>
      <c r="T781">
        <v>20</v>
      </c>
      <c r="U781">
        <v>6</v>
      </c>
      <c r="V781">
        <v>0</v>
      </c>
      <c r="W781">
        <f t="shared" si="217"/>
        <v>120</v>
      </c>
      <c r="X781" t="str">
        <f t="shared" si="218"/>
        <v>No</v>
      </c>
      <c r="Y781" s="2">
        <v>34866</v>
      </c>
      <c r="Z781" t="str">
        <f t="shared" si="204"/>
        <v/>
      </c>
      <c r="AA781" t="str">
        <f t="shared" si="219"/>
        <v/>
      </c>
      <c r="AB781" t="str" cm="1">
        <f t="array" ref="AB781">_xlfn.IFS(Y781&lt;DATE(1996,1,1),"",Y781&lt;DATE(1996,4,1),"Q1",Y781&lt;DATE(1996,7,1),"Q2",Y781&gt;=DATE(1996,7,1),"")</f>
        <v/>
      </c>
    </row>
    <row r="782" spans="1:28" ht="14.4" x14ac:dyDescent="0.55000000000000004">
      <c r="A782" t="str">
        <f>VLOOKUP(L782,Customers!$A$2:$B$92,2,FALSE)</f>
        <v>QUICK-Stop</v>
      </c>
      <c r="B782" t="str">
        <f>VLOOKUP(L782,Customers!$A$2:$C$92,3,TRUE)</f>
        <v>Horst Kloss</v>
      </c>
      <c r="C782" t="str">
        <f t="shared" si="205"/>
        <v>Horst</v>
      </c>
      <c r="D782" s="8" t="str">
        <f t="shared" si="206"/>
        <v>Kloss</v>
      </c>
      <c r="E782" s="8" t="str">
        <f t="shared" si="207"/>
        <v>Kloss, Horst</v>
      </c>
      <c r="F782" s="8" t="str">
        <f t="shared" si="208"/>
        <v>Kloss, Horst</v>
      </c>
      <c r="G782" s="8" t="str">
        <f t="shared" si="209"/>
        <v>not an outlier</v>
      </c>
      <c r="H782" s="8" t="str">
        <f t="shared" si="210"/>
        <v>Not</v>
      </c>
      <c r="I782" s="8" t="str">
        <f t="shared" si="220"/>
        <v>no</v>
      </c>
      <c r="J782" s="10" t="str">
        <f t="shared" si="211"/>
        <v>no</v>
      </c>
      <c r="K782" s="10" t="str">
        <f t="shared" si="212"/>
        <v>no</v>
      </c>
      <c r="L782" t="s">
        <v>475</v>
      </c>
      <c r="M782">
        <v>10540</v>
      </c>
      <c r="N782">
        <v>3</v>
      </c>
      <c r="O782" t="s">
        <v>740</v>
      </c>
      <c r="P782" t="str">
        <f t="shared" si="213"/>
        <v>QUICK_10540_Aniseed Syrup</v>
      </c>
      <c r="Q782" t="str">
        <f t="shared" si="214"/>
        <v>10540</v>
      </c>
      <c r="R782" t="str">
        <f t="shared" si="215"/>
        <v>10540</v>
      </c>
      <c r="S782" t="str">
        <f t="shared" si="216"/>
        <v>Aniseed Syrup</v>
      </c>
      <c r="T782">
        <v>10</v>
      </c>
      <c r="U782">
        <v>60</v>
      </c>
      <c r="V782">
        <v>0</v>
      </c>
      <c r="W782">
        <f t="shared" si="217"/>
        <v>600</v>
      </c>
      <c r="X782" t="str">
        <f t="shared" si="218"/>
        <v>No</v>
      </c>
      <c r="Y782" s="2">
        <v>34869</v>
      </c>
      <c r="Z782" t="str">
        <f t="shared" si="204"/>
        <v/>
      </c>
      <c r="AA782" t="str">
        <f t="shared" si="219"/>
        <v/>
      </c>
      <c r="AB782" t="str" cm="1">
        <f t="array" ref="AB782">_xlfn.IFS(Y782&lt;DATE(1996,1,1),"",Y782&lt;DATE(1996,4,1),"Q1",Y782&lt;DATE(1996,7,1),"Q2",Y782&gt;=DATE(1996,7,1),"")</f>
        <v/>
      </c>
    </row>
    <row r="783" spans="1:28" ht="14.4" x14ac:dyDescent="0.55000000000000004">
      <c r="A783" t="str">
        <f>VLOOKUP(L783,Customers!$A$2:$B$92,2,FALSE)</f>
        <v>QUICK-Stop</v>
      </c>
      <c r="B783" t="str">
        <f>VLOOKUP(L783,Customers!$A$2:$C$92,3,TRUE)</f>
        <v>Horst Kloss</v>
      </c>
      <c r="C783" t="str">
        <f t="shared" si="205"/>
        <v>Horst</v>
      </c>
      <c r="D783" s="8" t="str">
        <f t="shared" si="206"/>
        <v>Kloss</v>
      </c>
      <c r="E783" s="8" t="str">
        <f t="shared" si="207"/>
        <v>Kloss, Horst</v>
      </c>
      <c r="F783" s="8" t="str">
        <f t="shared" si="208"/>
        <v>Kloss, Horst</v>
      </c>
      <c r="G783" s="8" t="str">
        <f t="shared" si="209"/>
        <v>not an outlier</v>
      </c>
      <c r="H783" s="8" t="str">
        <f t="shared" si="210"/>
        <v>Not</v>
      </c>
      <c r="I783" s="8" t="str">
        <f t="shared" si="220"/>
        <v>no</v>
      </c>
      <c r="J783" s="10" t="str">
        <f t="shared" si="211"/>
        <v>no</v>
      </c>
      <c r="K783" s="10" t="str">
        <f t="shared" si="212"/>
        <v>no</v>
      </c>
      <c r="L783" t="s">
        <v>475</v>
      </c>
      <c r="M783">
        <v>10540</v>
      </c>
      <c r="N783">
        <v>26</v>
      </c>
      <c r="O783" t="s">
        <v>751</v>
      </c>
      <c r="P783" t="str">
        <f t="shared" si="213"/>
        <v>QUICK_10540_Gumbär Gummibärchen</v>
      </c>
      <c r="Q783" t="str">
        <f t="shared" si="214"/>
        <v>10540</v>
      </c>
      <c r="R783" t="str">
        <f t="shared" si="215"/>
        <v>10540</v>
      </c>
      <c r="S783" t="str">
        <f t="shared" si="216"/>
        <v>Gumbär Gummibärchen</v>
      </c>
      <c r="T783">
        <v>31.23</v>
      </c>
      <c r="U783">
        <v>40</v>
      </c>
      <c r="V783">
        <v>0</v>
      </c>
      <c r="W783">
        <f t="shared" si="217"/>
        <v>1249.2</v>
      </c>
      <c r="X783" t="str">
        <f t="shared" si="218"/>
        <v>No</v>
      </c>
      <c r="Y783" s="2">
        <v>34869</v>
      </c>
      <c r="Z783" t="str">
        <f t="shared" si="204"/>
        <v/>
      </c>
      <c r="AA783" t="str">
        <f t="shared" si="219"/>
        <v/>
      </c>
      <c r="AB783" t="str" cm="1">
        <f t="array" ref="AB783">_xlfn.IFS(Y783&lt;DATE(1996,1,1),"",Y783&lt;DATE(1996,4,1),"Q1",Y783&lt;DATE(1996,7,1),"Q2",Y783&gt;=DATE(1996,7,1),"")</f>
        <v/>
      </c>
    </row>
    <row r="784" spans="1:28" ht="14.4" x14ac:dyDescent="0.55000000000000004">
      <c r="A784" t="str">
        <f>VLOOKUP(L784,Customers!$A$2:$B$92,2,FALSE)</f>
        <v>QUICK-Stop</v>
      </c>
      <c r="B784" t="str">
        <f>VLOOKUP(L784,Customers!$A$2:$C$92,3,TRUE)</f>
        <v>Horst Kloss</v>
      </c>
      <c r="C784" t="str">
        <f t="shared" si="205"/>
        <v>Horst</v>
      </c>
      <c r="D784" s="8" t="str">
        <f t="shared" si="206"/>
        <v>Kloss</v>
      </c>
      <c r="E784" s="8" t="str">
        <f t="shared" si="207"/>
        <v>Kloss, Horst</v>
      </c>
      <c r="F784" s="8" t="str">
        <f t="shared" si="208"/>
        <v>Kloss, Horst</v>
      </c>
      <c r="G784" s="8" t="str">
        <f t="shared" si="209"/>
        <v>outlier</v>
      </c>
      <c r="H784" s="8" t="str">
        <f t="shared" si="210"/>
        <v>outlier</v>
      </c>
      <c r="I784" s="8" t="str">
        <f t="shared" si="220"/>
        <v>yes</v>
      </c>
      <c r="J784" s="10" t="str">
        <f t="shared" si="211"/>
        <v>yes</v>
      </c>
      <c r="K784" s="10" t="str">
        <f t="shared" si="212"/>
        <v>yes</v>
      </c>
      <c r="L784" t="s">
        <v>475</v>
      </c>
      <c r="M784">
        <v>10540</v>
      </c>
      <c r="N784">
        <v>38</v>
      </c>
      <c r="O784" t="s">
        <v>750</v>
      </c>
      <c r="P784" t="str">
        <f t="shared" si="213"/>
        <v>QUICK_10540_Côte de Blaye</v>
      </c>
      <c r="Q784" t="str">
        <f t="shared" si="214"/>
        <v>10540</v>
      </c>
      <c r="R784" t="str">
        <f t="shared" si="215"/>
        <v>10540</v>
      </c>
      <c r="S784" t="str">
        <f t="shared" si="216"/>
        <v>Côte de Blaye</v>
      </c>
      <c r="T784">
        <v>263.5</v>
      </c>
      <c r="U784">
        <v>30</v>
      </c>
      <c r="V784">
        <v>0</v>
      </c>
      <c r="W784">
        <f t="shared" si="217"/>
        <v>7905</v>
      </c>
      <c r="X784" t="str">
        <f t="shared" si="218"/>
        <v>No</v>
      </c>
      <c r="Y784" s="2">
        <v>34869</v>
      </c>
      <c r="Z784" t="str">
        <f t="shared" si="204"/>
        <v/>
      </c>
      <c r="AA784" t="str">
        <f t="shared" si="219"/>
        <v/>
      </c>
      <c r="AB784" t="str" cm="1">
        <f t="array" ref="AB784">_xlfn.IFS(Y784&lt;DATE(1996,1,1),"",Y784&lt;DATE(1996,4,1),"Q1",Y784&lt;DATE(1996,7,1),"Q2",Y784&gt;=DATE(1996,7,1),"")</f>
        <v/>
      </c>
    </row>
    <row r="785" spans="1:28" ht="14.4" x14ac:dyDescent="0.55000000000000004">
      <c r="A785" t="str">
        <f>VLOOKUP(L785,Customers!$A$2:$B$92,2,FALSE)</f>
        <v>QUICK-Stop</v>
      </c>
      <c r="B785" t="str">
        <f>VLOOKUP(L785,Customers!$A$2:$C$92,3,TRUE)</f>
        <v>Horst Kloss</v>
      </c>
      <c r="C785" t="str">
        <f t="shared" si="205"/>
        <v>Horst</v>
      </c>
      <c r="D785" s="8" t="str">
        <f t="shared" si="206"/>
        <v>Kloss</v>
      </c>
      <c r="E785" s="8" t="str">
        <f t="shared" si="207"/>
        <v>Kloss, Horst</v>
      </c>
      <c r="F785" s="8" t="str">
        <f t="shared" si="208"/>
        <v>Kloss, Horst</v>
      </c>
      <c r="G785" s="8" t="str">
        <f t="shared" si="209"/>
        <v>not an outlier</v>
      </c>
      <c r="H785" s="8" t="str">
        <f t="shared" si="210"/>
        <v>Not</v>
      </c>
      <c r="I785" s="8" t="str">
        <f t="shared" si="220"/>
        <v>no</v>
      </c>
      <c r="J785" s="10" t="str">
        <f t="shared" si="211"/>
        <v>no</v>
      </c>
      <c r="K785" s="10" t="str">
        <f t="shared" si="212"/>
        <v>no</v>
      </c>
      <c r="L785" t="s">
        <v>475</v>
      </c>
      <c r="M785">
        <v>10540</v>
      </c>
      <c r="N785">
        <v>68</v>
      </c>
      <c r="O785" t="s">
        <v>739</v>
      </c>
      <c r="P785" t="str">
        <f t="shared" si="213"/>
        <v>QUICK_10540_Scottish Longbreads</v>
      </c>
      <c r="Q785" t="str">
        <f t="shared" si="214"/>
        <v>10540</v>
      </c>
      <c r="R785" t="str">
        <f t="shared" si="215"/>
        <v>10540</v>
      </c>
      <c r="S785" t="str">
        <f t="shared" si="216"/>
        <v>Scottish Longbreads</v>
      </c>
      <c r="T785">
        <v>12.5</v>
      </c>
      <c r="U785">
        <v>35</v>
      </c>
      <c r="V785">
        <v>0</v>
      </c>
      <c r="W785">
        <f t="shared" si="217"/>
        <v>437.5</v>
      </c>
      <c r="X785" t="str">
        <f t="shared" si="218"/>
        <v>No</v>
      </c>
      <c r="Y785" s="2">
        <v>34869</v>
      </c>
      <c r="Z785" t="str">
        <f t="shared" si="204"/>
        <v/>
      </c>
      <c r="AA785" t="str">
        <f t="shared" si="219"/>
        <v/>
      </c>
      <c r="AB785" t="str" cm="1">
        <f t="array" ref="AB785">_xlfn.IFS(Y785&lt;DATE(1996,1,1),"",Y785&lt;DATE(1996,4,1),"Q1",Y785&lt;DATE(1996,7,1),"Q2",Y785&gt;=DATE(1996,7,1),"")</f>
        <v/>
      </c>
    </row>
    <row r="786" spans="1:28" ht="14.4" x14ac:dyDescent="0.55000000000000004">
      <c r="A786" t="str">
        <f>VLOOKUP(L786,Customers!$A$2:$B$92,2,FALSE)</f>
        <v>Hanari Carnes</v>
      </c>
      <c r="B786" t="str">
        <f>VLOOKUP(L786,Customers!$A$2:$C$92,3,TRUE)</f>
        <v>Mario Pontes</v>
      </c>
      <c r="C786" t="str">
        <f t="shared" si="205"/>
        <v>Mario</v>
      </c>
      <c r="D786" s="8" t="str">
        <f t="shared" si="206"/>
        <v>Pontes</v>
      </c>
      <c r="E786" s="8" t="str">
        <f t="shared" si="207"/>
        <v>Pontes, Mario</v>
      </c>
      <c r="F786" s="8" t="str">
        <f t="shared" si="208"/>
        <v>Pontes, Mario</v>
      </c>
      <c r="G786" s="8" t="str">
        <f t="shared" si="209"/>
        <v>not an outlier</v>
      </c>
      <c r="H786" s="8" t="str">
        <f t="shared" si="210"/>
        <v>Not</v>
      </c>
      <c r="I786" s="8" t="str">
        <f t="shared" si="220"/>
        <v>no</v>
      </c>
      <c r="J786" s="10" t="str">
        <f t="shared" si="211"/>
        <v>no</v>
      </c>
      <c r="K786" s="10" t="str">
        <f t="shared" si="212"/>
        <v>no</v>
      </c>
      <c r="L786" t="s">
        <v>264</v>
      </c>
      <c r="M786">
        <v>10541</v>
      </c>
      <c r="N786">
        <v>24</v>
      </c>
      <c r="O786" t="s">
        <v>698</v>
      </c>
      <c r="P786" t="str">
        <f t="shared" si="213"/>
        <v>HANAR_10541_Guaraná Fantástica</v>
      </c>
      <c r="Q786" t="str">
        <f t="shared" si="214"/>
        <v>10541</v>
      </c>
      <c r="R786" t="str">
        <f t="shared" si="215"/>
        <v>10541</v>
      </c>
      <c r="S786" t="str">
        <f t="shared" si="216"/>
        <v>Guaraná Fantástica</v>
      </c>
      <c r="T786">
        <v>4.5</v>
      </c>
      <c r="U786">
        <v>35</v>
      </c>
      <c r="V786">
        <v>0.1</v>
      </c>
      <c r="W786">
        <f t="shared" si="217"/>
        <v>141.75</v>
      </c>
      <c r="X786" t="str">
        <f t="shared" si="218"/>
        <v>No</v>
      </c>
      <c r="Y786" s="2">
        <v>34869</v>
      </c>
      <c r="Z786" t="str">
        <f t="shared" si="204"/>
        <v/>
      </c>
      <c r="AA786" t="str">
        <f t="shared" si="219"/>
        <v/>
      </c>
      <c r="AB786" t="str" cm="1">
        <f t="array" ref="AB786">_xlfn.IFS(Y786&lt;DATE(1996,1,1),"",Y786&lt;DATE(1996,4,1),"Q1",Y786&lt;DATE(1996,7,1),"Q2",Y786&gt;=DATE(1996,7,1),"")</f>
        <v/>
      </c>
    </row>
    <row r="787" spans="1:28" ht="14.4" x14ac:dyDescent="0.55000000000000004">
      <c r="A787" t="str">
        <f>VLOOKUP(L787,Customers!$A$2:$B$92,2,FALSE)</f>
        <v>Hanari Carnes</v>
      </c>
      <c r="B787" t="str">
        <f>VLOOKUP(L787,Customers!$A$2:$C$92,3,TRUE)</f>
        <v>Mario Pontes</v>
      </c>
      <c r="C787" t="str">
        <f t="shared" si="205"/>
        <v>Mario</v>
      </c>
      <c r="D787" s="8" t="str">
        <f t="shared" si="206"/>
        <v>Pontes</v>
      </c>
      <c r="E787" s="8" t="str">
        <f t="shared" si="207"/>
        <v>Pontes, Mario</v>
      </c>
      <c r="F787" s="8" t="str">
        <f t="shared" si="208"/>
        <v>Pontes, Mario</v>
      </c>
      <c r="G787" s="8" t="str">
        <f t="shared" si="209"/>
        <v>not an outlier</v>
      </c>
      <c r="H787" s="8" t="str">
        <f t="shared" si="210"/>
        <v>Not</v>
      </c>
      <c r="I787" s="8" t="str">
        <f t="shared" si="220"/>
        <v>no</v>
      </c>
      <c r="J787" s="10" t="str">
        <f t="shared" si="211"/>
        <v>no</v>
      </c>
      <c r="K787" s="10" t="str">
        <f t="shared" si="212"/>
        <v>no</v>
      </c>
      <c r="L787" t="s">
        <v>264</v>
      </c>
      <c r="M787">
        <v>10541</v>
      </c>
      <c r="N787">
        <v>38</v>
      </c>
      <c r="O787" t="s">
        <v>750</v>
      </c>
      <c r="P787" t="str">
        <f t="shared" si="213"/>
        <v>HANAR_10541_Côte de Blaye</v>
      </c>
      <c r="Q787" t="str">
        <f t="shared" si="214"/>
        <v>10541</v>
      </c>
      <c r="R787" t="str">
        <f t="shared" si="215"/>
        <v>10541</v>
      </c>
      <c r="S787" t="str">
        <f t="shared" si="216"/>
        <v>Côte de Blaye</v>
      </c>
      <c r="T787">
        <v>263.5</v>
      </c>
      <c r="U787">
        <v>4</v>
      </c>
      <c r="V787">
        <v>0.1</v>
      </c>
      <c r="W787">
        <f t="shared" si="217"/>
        <v>948.6</v>
      </c>
      <c r="X787" t="str">
        <f t="shared" si="218"/>
        <v>No</v>
      </c>
      <c r="Y787" s="2">
        <v>34869</v>
      </c>
      <c r="Z787" t="str">
        <f t="shared" si="204"/>
        <v/>
      </c>
      <c r="AA787" t="str">
        <f t="shared" si="219"/>
        <v/>
      </c>
      <c r="AB787" t="str" cm="1">
        <f t="array" ref="AB787">_xlfn.IFS(Y787&lt;DATE(1996,1,1),"",Y787&lt;DATE(1996,4,1),"Q1",Y787&lt;DATE(1996,7,1),"Q2",Y787&gt;=DATE(1996,7,1),"")</f>
        <v/>
      </c>
    </row>
    <row r="788" spans="1:28" ht="14.4" x14ac:dyDescent="0.55000000000000004">
      <c r="A788" t="str">
        <f>VLOOKUP(L788,Customers!$A$2:$B$92,2,FALSE)</f>
        <v>Hanari Carnes</v>
      </c>
      <c r="B788" t="str">
        <f>VLOOKUP(L788,Customers!$A$2:$C$92,3,TRUE)</f>
        <v>Mario Pontes</v>
      </c>
      <c r="C788" t="str">
        <f t="shared" si="205"/>
        <v>Mario</v>
      </c>
      <c r="D788" s="8" t="str">
        <f t="shared" si="206"/>
        <v>Pontes</v>
      </c>
      <c r="E788" s="8" t="str">
        <f t="shared" si="207"/>
        <v>Pontes, Mario</v>
      </c>
      <c r="F788" s="8" t="str">
        <f t="shared" si="208"/>
        <v>Pontes, Mario</v>
      </c>
      <c r="G788" s="8" t="str">
        <f t="shared" si="209"/>
        <v>not an outlier</v>
      </c>
      <c r="H788" s="8" t="str">
        <f t="shared" si="210"/>
        <v>Not</v>
      </c>
      <c r="I788" s="8" t="str">
        <f t="shared" si="220"/>
        <v>no</v>
      </c>
      <c r="J788" s="10" t="str">
        <f t="shared" si="211"/>
        <v>no</v>
      </c>
      <c r="K788" s="10" t="str">
        <f t="shared" si="212"/>
        <v>no</v>
      </c>
      <c r="L788" t="s">
        <v>264</v>
      </c>
      <c r="M788">
        <v>10541</v>
      </c>
      <c r="N788">
        <v>65</v>
      </c>
      <c r="O788" t="s">
        <v>689</v>
      </c>
      <c r="P788" t="str">
        <f t="shared" si="213"/>
        <v>HANAR_10541_Louisiana Fiery Hot Pepper Sauce</v>
      </c>
      <c r="Q788" t="str">
        <f t="shared" si="214"/>
        <v>10541</v>
      </c>
      <c r="R788" t="str">
        <f t="shared" si="215"/>
        <v>10541</v>
      </c>
      <c r="S788" t="str">
        <f t="shared" si="216"/>
        <v>Louisiana Fiery Hot Pepper Sauce</v>
      </c>
      <c r="T788">
        <v>21.05</v>
      </c>
      <c r="U788">
        <v>36</v>
      </c>
      <c r="V788">
        <v>0.1</v>
      </c>
      <c r="W788">
        <f t="shared" si="217"/>
        <v>682.0200000000001</v>
      </c>
      <c r="X788" t="str">
        <f t="shared" si="218"/>
        <v>No</v>
      </c>
      <c r="Y788" s="2">
        <v>34869</v>
      </c>
      <c r="Z788" t="str">
        <f t="shared" si="204"/>
        <v/>
      </c>
      <c r="AA788" t="str">
        <f t="shared" si="219"/>
        <v/>
      </c>
      <c r="AB788" t="str" cm="1">
        <f t="array" ref="AB788">_xlfn.IFS(Y788&lt;DATE(1996,1,1),"",Y788&lt;DATE(1996,4,1),"Q1",Y788&lt;DATE(1996,7,1),"Q2",Y788&gt;=DATE(1996,7,1),"")</f>
        <v/>
      </c>
    </row>
    <row r="789" spans="1:28" ht="14.4" x14ac:dyDescent="0.55000000000000004">
      <c r="A789" t="str">
        <f>VLOOKUP(L789,Customers!$A$2:$B$92,2,FALSE)</f>
        <v>Hanari Carnes</v>
      </c>
      <c r="B789" t="str">
        <f>VLOOKUP(L789,Customers!$A$2:$C$92,3,TRUE)</f>
        <v>Mario Pontes</v>
      </c>
      <c r="C789" t="str">
        <f t="shared" si="205"/>
        <v>Mario</v>
      </c>
      <c r="D789" s="8" t="str">
        <f t="shared" si="206"/>
        <v>Pontes</v>
      </c>
      <c r="E789" s="8" t="str">
        <f t="shared" si="207"/>
        <v>Pontes, Mario</v>
      </c>
      <c r="F789" s="8" t="str">
        <f t="shared" si="208"/>
        <v>Pontes, Mario</v>
      </c>
      <c r="G789" s="8" t="str">
        <f t="shared" si="209"/>
        <v>not an outlier</v>
      </c>
      <c r="H789" s="8" t="str">
        <f t="shared" si="210"/>
        <v>Not</v>
      </c>
      <c r="I789" s="8" t="str">
        <f t="shared" si="220"/>
        <v>no</v>
      </c>
      <c r="J789" s="10" t="str">
        <f t="shared" si="211"/>
        <v>no</v>
      </c>
      <c r="K789" s="10" t="str">
        <f t="shared" si="212"/>
        <v>no</v>
      </c>
      <c r="L789" t="s">
        <v>264</v>
      </c>
      <c r="M789">
        <v>10541</v>
      </c>
      <c r="N789">
        <v>71</v>
      </c>
      <c r="O789" t="s">
        <v>725</v>
      </c>
      <c r="P789" t="str">
        <f t="shared" si="213"/>
        <v>HANAR_10541_Fløtemysost</v>
      </c>
      <c r="Q789" t="str">
        <f t="shared" si="214"/>
        <v>10541</v>
      </c>
      <c r="R789" t="str">
        <f t="shared" si="215"/>
        <v>10541</v>
      </c>
      <c r="S789" t="str">
        <f t="shared" si="216"/>
        <v>Fløtemysost</v>
      </c>
      <c r="T789">
        <v>21.5</v>
      </c>
      <c r="U789">
        <v>9</v>
      </c>
      <c r="V789">
        <v>0.1</v>
      </c>
      <c r="W789">
        <f t="shared" si="217"/>
        <v>174.15</v>
      </c>
      <c r="X789" t="str">
        <f t="shared" si="218"/>
        <v>No</v>
      </c>
      <c r="Y789" s="2">
        <v>34869</v>
      </c>
      <c r="Z789" t="str">
        <f t="shared" si="204"/>
        <v/>
      </c>
      <c r="AA789" t="str">
        <f t="shared" si="219"/>
        <v/>
      </c>
      <c r="AB789" t="str" cm="1">
        <f t="array" ref="AB789">_xlfn.IFS(Y789&lt;DATE(1996,1,1),"",Y789&lt;DATE(1996,4,1),"Q1",Y789&lt;DATE(1996,7,1),"Q2",Y789&gt;=DATE(1996,7,1),"")</f>
        <v/>
      </c>
    </row>
    <row r="790" spans="1:28" ht="14.4" x14ac:dyDescent="0.55000000000000004">
      <c r="A790" t="str">
        <f>VLOOKUP(L790,Customers!$A$2:$B$92,2,FALSE)</f>
        <v>Königlich Essen</v>
      </c>
      <c r="B790" t="str">
        <f>VLOOKUP(L790,Customers!$A$2:$C$92,3,TRUE)</f>
        <v>Philip Cramer</v>
      </c>
      <c r="C790" t="str">
        <f t="shared" si="205"/>
        <v>Philip</v>
      </c>
      <c r="D790" s="8" t="str">
        <f t="shared" si="206"/>
        <v>Cramer</v>
      </c>
      <c r="E790" s="8" t="str">
        <f t="shared" si="207"/>
        <v>Cramer, Philip</v>
      </c>
      <c r="F790" s="8" t="str">
        <f t="shared" si="208"/>
        <v>Cramer, Philip</v>
      </c>
      <c r="G790" s="8" t="str">
        <f t="shared" si="209"/>
        <v>not an outlier</v>
      </c>
      <c r="H790" s="8" t="str">
        <f t="shared" si="210"/>
        <v>Not</v>
      </c>
      <c r="I790" s="8" t="str">
        <f t="shared" si="220"/>
        <v>no</v>
      </c>
      <c r="J790" s="10" t="str">
        <f t="shared" si="211"/>
        <v>no</v>
      </c>
      <c r="K790" s="10" t="str">
        <f t="shared" si="212"/>
        <v>no</v>
      </c>
      <c r="L790" t="s">
        <v>305</v>
      </c>
      <c r="M790">
        <v>10542</v>
      </c>
      <c r="N790">
        <v>11</v>
      </c>
      <c r="O790" t="s">
        <v>683</v>
      </c>
      <c r="P790" t="str">
        <f t="shared" si="213"/>
        <v>KOENE_10542_Queso Cabrales</v>
      </c>
      <c r="Q790" t="str">
        <f t="shared" si="214"/>
        <v>10542</v>
      </c>
      <c r="R790" t="str">
        <f t="shared" si="215"/>
        <v>10542</v>
      </c>
      <c r="S790" t="str">
        <f t="shared" si="216"/>
        <v>Queso Cabrales</v>
      </c>
      <c r="T790">
        <v>21</v>
      </c>
      <c r="U790">
        <v>15</v>
      </c>
      <c r="V790">
        <v>0.05</v>
      </c>
      <c r="W790">
        <f t="shared" si="217"/>
        <v>299.25</v>
      </c>
      <c r="X790" t="str">
        <f t="shared" si="218"/>
        <v>No</v>
      </c>
      <c r="Y790" s="2">
        <v>34870</v>
      </c>
      <c r="Z790" t="str">
        <f t="shared" si="204"/>
        <v/>
      </c>
      <c r="AA790" t="str">
        <f t="shared" si="219"/>
        <v/>
      </c>
      <c r="AB790" t="str" cm="1">
        <f t="array" ref="AB790">_xlfn.IFS(Y790&lt;DATE(1996,1,1),"",Y790&lt;DATE(1996,4,1),"Q1",Y790&lt;DATE(1996,7,1),"Q2",Y790&gt;=DATE(1996,7,1),"")</f>
        <v/>
      </c>
    </row>
    <row r="791" spans="1:28" ht="14.4" x14ac:dyDescent="0.55000000000000004">
      <c r="A791" t="str">
        <f>VLOOKUP(L791,Customers!$A$2:$B$92,2,FALSE)</f>
        <v>Königlich Essen</v>
      </c>
      <c r="B791" t="str">
        <f>VLOOKUP(L791,Customers!$A$2:$C$92,3,TRUE)</f>
        <v>Philip Cramer</v>
      </c>
      <c r="C791" t="str">
        <f t="shared" si="205"/>
        <v>Philip</v>
      </c>
      <c r="D791" s="8" t="str">
        <f t="shared" si="206"/>
        <v>Cramer</v>
      </c>
      <c r="E791" s="8" t="str">
        <f t="shared" si="207"/>
        <v>Cramer, Philip</v>
      </c>
      <c r="F791" s="8" t="str">
        <f t="shared" si="208"/>
        <v>Cramer, Philip</v>
      </c>
      <c r="G791" s="8" t="str">
        <f t="shared" si="209"/>
        <v>not an outlier</v>
      </c>
      <c r="H791" s="8" t="str">
        <f t="shared" si="210"/>
        <v>Not</v>
      </c>
      <c r="I791" s="8" t="str">
        <f t="shared" si="220"/>
        <v>no</v>
      </c>
      <c r="J791" s="10" t="str">
        <f t="shared" si="211"/>
        <v>no</v>
      </c>
      <c r="K791" s="10" t="str">
        <f t="shared" si="212"/>
        <v>no</v>
      </c>
      <c r="L791" t="s">
        <v>305</v>
      </c>
      <c r="M791">
        <v>10542</v>
      </c>
      <c r="N791">
        <v>54</v>
      </c>
      <c r="O791" t="s">
        <v>738</v>
      </c>
      <c r="P791" t="str">
        <f t="shared" si="213"/>
        <v>KOENE_10542_Tourtière</v>
      </c>
      <c r="Q791" t="str">
        <f t="shared" si="214"/>
        <v>10542</v>
      </c>
      <c r="R791" t="str">
        <f t="shared" si="215"/>
        <v>10542</v>
      </c>
      <c r="S791" t="str">
        <f t="shared" si="216"/>
        <v>Tourtière</v>
      </c>
      <c r="T791">
        <v>7.45</v>
      </c>
      <c r="U791">
        <v>24</v>
      </c>
      <c r="V791">
        <v>0.05</v>
      </c>
      <c r="W791">
        <f t="shared" si="217"/>
        <v>169.86</v>
      </c>
      <c r="X791" t="str">
        <f t="shared" si="218"/>
        <v>No</v>
      </c>
      <c r="Y791" s="2">
        <v>34870</v>
      </c>
      <c r="Z791" t="str">
        <f t="shared" si="204"/>
        <v/>
      </c>
      <c r="AA791" t="str">
        <f t="shared" si="219"/>
        <v/>
      </c>
      <c r="AB791" t="str" cm="1">
        <f t="array" ref="AB791">_xlfn.IFS(Y791&lt;DATE(1996,1,1),"",Y791&lt;DATE(1996,4,1),"Q1",Y791&lt;DATE(1996,7,1),"Q2",Y791&gt;=DATE(1996,7,1),"")</f>
        <v/>
      </c>
    </row>
    <row r="792" spans="1:28" ht="14.4" x14ac:dyDescent="0.55000000000000004">
      <c r="A792" t="str">
        <f>VLOOKUP(L792,Customers!$A$2:$B$92,2,FALSE)</f>
        <v>LILA-Supermercado</v>
      </c>
      <c r="B792" t="str">
        <f>VLOOKUP(L792,Customers!$A$2:$C$92,3,TRUE)</f>
        <v>Carlos González</v>
      </c>
      <c r="C792" t="str">
        <f t="shared" si="205"/>
        <v>Carlos</v>
      </c>
      <c r="D792" s="8" t="str">
        <f t="shared" si="206"/>
        <v>González</v>
      </c>
      <c r="E792" s="8" t="str">
        <f t="shared" si="207"/>
        <v>González, Carlos</v>
      </c>
      <c r="F792" s="8" t="str">
        <f t="shared" si="208"/>
        <v>González, Carlos</v>
      </c>
      <c r="G792" s="8" t="str">
        <f t="shared" si="209"/>
        <v>not an outlier</v>
      </c>
      <c r="H792" s="8" t="str">
        <f t="shared" si="210"/>
        <v>Not</v>
      </c>
      <c r="I792" s="8" t="str">
        <f t="shared" si="220"/>
        <v>no</v>
      </c>
      <c r="J792" s="10" t="str">
        <f t="shared" si="211"/>
        <v>no</v>
      </c>
      <c r="K792" s="10" t="str">
        <f t="shared" si="212"/>
        <v>no</v>
      </c>
      <c r="L792" t="s">
        <v>355</v>
      </c>
      <c r="M792">
        <v>10543</v>
      </c>
      <c r="N792">
        <v>12</v>
      </c>
      <c r="O792" t="s">
        <v>719</v>
      </c>
      <c r="P792" t="str">
        <f t="shared" si="213"/>
        <v>LILAS_10543_Queso Manchego La Pastora</v>
      </c>
      <c r="Q792" t="str">
        <f t="shared" si="214"/>
        <v>10543</v>
      </c>
      <c r="R792" t="str">
        <f t="shared" si="215"/>
        <v>10543</v>
      </c>
      <c r="S792" t="str">
        <f t="shared" si="216"/>
        <v>Queso Manchego La Pastora</v>
      </c>
      <c r="T792">
        <v>38</v>
      </c>
      <c r="U792">
        <v>30</v>
      </c>
      <c r="V792">
        <v>0.15</v>
      </c>
      <c r="W792">
        <f t="shared" si="217"/>
        <v>969</v>
      </c>
      <c r="X792" t="str">
        <f t="shared" si="218"/>
        <v>No</v>
      </c>
      <c r="Y792" s="2">
        <v>34871</v>
      </c>
      <c r="Z792" t="str">
        <f t="shared" si="204"/>
        <v/>
      </c>
      <c r="AA792" t="str">
        <f t="shared" si="219"/>
        <v/>
      </c>
      <c r="AB792" t="str" cm="1">
        <f t="array" ref="AB792">_xlfn.IFS(Y792&lt;DATE(1996,1,1),"",Y792&lt;DATE(1996,4,1),"Q1",Y792&lt;DATE(1996,7,1),"Q2",Y792&gt;=DATE(1996,7,1),"")</f>
        <v/>
      </c>
    </row>
    <row r="793" spans="1:28" ht="14.4" x14ac:dyDescent="0.55000000000000004">
      <c r="A793" t="str">
        <f>VLOOKUP(L793,Customers!$A$2:$B$92,2,FALSE)</f>
        <v>LILA-Supermercado</v>
      </c>
      <c r="B793" t="str">
        <f>VLOOKUP(L793,Customers!$A$2:$C$92,3,TRUE)</f>
        <v>Carlos González</v>
      </c>
      <c r="C793" t="str">
        <f t="shared" si="205"/>
        <v>Carlos</v>
      </c>
      <c r="D793" s="8" t="str">
        <f t="shared" si="206"/>
        <v>González</v>
      </c>
      <c r="E793" s="8" t="str">
        <f t="shared" si="207"/>
        <v>González, Carlos</v>
      </c>
      <c r="F793" s="8" t="str">
        <f t="shared" si="208"/>
        <v>González, Carlos</v>
      </c>
      <c r="G793" s="8" t="str">
        <f t="shared" si="209"/>
        <v>not an outlier</v>
      </c>
      <c r="H793" s="8" t="str">
        <f t="shared" si="210"/>
        <v>Not</v>
      </c>
      <c r="I793" s="8" t="str">
        <f t="shared" si="220"/>
        <v>no</v>
      </c>
      <c r="J793" s="10" t="str">
        <f t="shared" si="211"/>
        <v>no</v>
      </c>
      <c r="K793" s="10" t="str">
        <f t="shared" si="212"/>
        <v>no</v>
      </c>
      <c r="L793" t="s">
        <v>355</v>
      </c>
      <c r="M793">
        <v>10543</v>
      </c>
      <c r="N793">
        <v>23</v>
      </c>
      <c r="O793" t="s">
        <v>753</v>
      </c>
      <c r="P793" t="str">
        <f t="shared" si="213"/>
        <v>LILAS_10543_Tunnbröd</v>
      </c>
      <c r="Q793" t="str">
        <f t="shared" si="214"/>
        <v>10543</v>
      </c>
      <c r="R793" t="str">
        <f t="shared" si="215"/>
        <v>10543</v>
      </c>
      <c r="S793" t="str">
        <f t="shared" si="216"/>
        <v>Tunnbröd</v>
      </c>
      <c r="T793">
        <v>9</v>
      </c>
      <c r="U793">
        <v>70</v>
      </c>
      <c r="V793">
        <v>0.15</v>
      </c>
      <c r="W793">
        <f t="shared" si="217"/>
        <v>535.5</v>
      </c>
      <c r="X793" t="str">
        <f t="shared" si="218"/>
        <v>No</v>
      </c>
      <c r="Y793" s="2">
        <v>34871</v>
      </c>
      <c r="Z793" t="str">
        <f t="shared" si="204"/>
        <v/>
      </c>
      <c r="AA793" t="str">
        <f t="shared" si="219"/>
        <v/>
      </c>
      <c r="AB793" t="str" cm="1">
        <f t="array" ref="AB793">_xlfn.IFS(Y793&lt;DATE(1996,1,1),"",Y793&lt;DATE(1996,4,1),"Q1",Y793&lt;DATE(1996,7,1),"Q2",Y793&gt;=DATE(1996,7,1),"")</f>
        <v/>
      </c>
    </row>
    <row r="794" spans="1:28" ht="14.4" x14ac:dyDescent="0.55000000000000004">
      <c r="A794" t="str">
        <f>VLOOKUP(L794,Customers!$A$2:$B$92,2,FALSE)</f>
        <v>Lonesome Pine Restaurant</v>
      </c>
      <c r="B794" t="str">
        <f>VLOOKUP(L794,Customers!$A$2:$C$92,3,TRUE)</f>
        <v>Fran Wilson</v>
      </c>
      <c r="C794" t="str">
        <f t="shared" si="205"/>
        <v>Fran</v>
      </c>
      <c r="D794" s="8" t="str">
        <f t="shared" si="206"/>
        <v>Wilson</v>
      </c>
      <c r="E794" s="8" t="str">
        <f t="shared" si="207"/>
        <v>Wilson, Fran</v>
      </c>
      <c r="F794" s="8" t="str">
        <f t="shared" si="208"/>
        <v>Wilson, Fran</v>
      </c>
      <c r="G794" s="8" t="str">
        <f t="shared" si="209"/>
        <v>not an outlier</v>
      </c>
      <c r="H794" s="8" t="str">
        <f t="shared" si="210"/>
        <v>Not</v>
      </c>
      <c r="I794" s="8" t="str">
        <f t="shared" si="220"/>
        <v>no</v>
      </c>
      <c r="J794" s="10" t="str">
        <f t="shared" si="211"/>
        <v>no</v>
      </c>
      <c r="K794" s="10" t="str">
        <f t="shared" si="212"/>
        <v>no</v>
      </c>
      <c r="L794" t="s">
        <v>371</v>
      </c>
      <c r="M794">
        <v>10544</v>
      </c>
      <c r="N794">
        <v>28</v>
      </c>
      <c r="O794" t="s">
        <v>727</v>
      </c>
      <c r="P794" t="str">
        <f t="shared" si="213"/>
        <v>LONEP_10544_Rössle Sauerkraut</v>
      </c>
      <c r="Q794" t="str">
        <f t="shared" si="214"/>
        <v>10544</v>
      </c>
      <c r="R794" t="str">
        <f t="shared" si="215"/>
        <v>10544</v>
      </c>
      <c r="S794" t="str">
        <f t="shared" si="216"/>
        <v>Rössle Sauerkraut</v>
      </c>
      <c r="T794">
        <v>45.6</v>
      </c>
      <c r="U794">
        <v>7</v>
      </c>
      <c r="V794">
        <v>0</v>
      </c>
      <c r="W794">
        <f t="shared" si="217"/>
        <v>319.2</v>
      </c>
      <c r="X794" t="str">
        <f t="shared" si="218"/>
        <v>No</v>
      </c>
      <c r="Y794" s="2">
        <v>34871</v>
      </c>
      <c r="Z794" t="str">
        <f t="shared" si="204"/>
        <v/>
      </c>
      <c r="AA794" t="str">
        <f t="shared" si="219"/>
        <v/>
      </c>
      <c r="AB794" t="str" cm="1">
        <f t="array" ref="AB794">_xlfn.IFS(Y794&lt;DATE(1996,1,1),"",Y794&lt;DATE(1996,4,1),"Q1",Y794&lt;DATE(1996,7,1),"Q2",Y794&gt;=DATE(1996,7,1),"")</f>
        <v/>
      </c>
    </row>
    <row r="795" spans="1:28" ht="14.4" x14ac:dyDescent="0.55000000000000004">
      <c r="A795" t="str">
        <f>VLOOKUP(L795,Customers!$A$2:$B$92,2,FALSE)</f>
        <v>Lonesome Pine Restaurant</v>
      </c>
      <c r="B795" t="str">
        <f>VLOOKUP(L795,Customers!$A$2:$C$92,3,TRUE)</f>
        <v>Fran Wilson</v>
      </c>
      <c r="C795" t="str">
        <f t="shared" si="205"/>
        <v>Fran</v>
      </c>
      <c r="D795" s="8" t="str">
        <f t="shared" si="206"/>
        <v>Wilson</v>
      </c>
      <c r="E795" s="8" t="str">
        <f t="shared" si="207"/>
        <v>Wilson, Fran</v>
      </c>
      <c r="F795" s="8" t="str">
        <f t="shared" si="208"/>
        <v>Wilson, Fran</v>
      </c>
      <c r="G795" s="8" t="str">
        <f t="shared" si="209"/>
        <v>not an outlier</v>
      </c>
      <c r="H795" s="8" t="str">
        <f t="shared" si="210"/>
        <v>Not</v>
      </c>
      <c r="I795" s="8" t="str">
        <f t="shared" si="220"/>
        <v>no</v>
      </c>
      <c r="J795" s="10" t="str">
        <f t="shared" si="211"/>
        <v>no</v>
      </c>
      <c r="K795" s="10" t="str">
        <f t="shared" si="212"/>
        <v>no</v>
      </c>
      <c r="L795" t="s">
        <v>371</v>
      </c>
      <c r="M795">
        <v>10544</v>
      </c>
      <c r="N795">
        <v>67</v>
      </c>
      <c r="O795" t="s">
        <v>734</v>
      </c>
      <c r="P795" t="str">
        <f t="shared" si="213"/>
        <v>LONEP_10544_Laughing Lumberjack Lager</v>
      </c>
      <c r="Q795" t="str">
        <f t="shared" si="214"/>
        <v>10544</v>
      </c>
      <c r="R795" t="str">
        <f t="shared" si="215"/>
        <v>10544</v>
      </c>
      <c r="S795" t="str">
        <f t="shared" si="216"/>
        <v>Laughing Lumberjack Lager</v>
      </c>
      <c r="T795">
        <v>14</v>
      </c>
      <c r="U795">
        <v>7</v>
      </c>
      <c r="V795">
        <v>0</v>
      </c>
      <c r="W795">
        <f t="shared" si="217"/>
        <v>98</v>
      </c>
      <c r="X795" t="str">
        <f t="shared" si="218"/>
        <v>No</v>
      </c>
      <c r="Y795" s="2">
        <v>34871</v>
      </c>
      <c r="Z795" t="str">
        <f t="shared" si="204"/>
        <v/>
      </c>
      <c r="AA795" t="str">
        <f t="shared" si="219"/>
        <v/>
      </c>
      <c r="AB795" t="str" cm="1">
        <f t="array" ref="AB795">_xlfn.IFS(Y795&lt;DATE(1996,1,1),"",Y795&lt;DATE(1996,4,1),"Q1",Y795&lt;DATE(1996,7,1),"Q2",Y795&gt;=DATE(1996,7,1),"")</f>
        <v/>
      </c>
    </row>
    <row r="796" spans="1:28" ht="14.4" x14ac:dyDescent="0.55000000000000004">
      <c r="A796" t="str">
        <f>VLOOKUP(L796,Customers!$A$2:$B$92,2,FALSE)</f>
        <v>Lazy K Kountry Store</v>
      </c>
      <c r="B796" t="str">
        <f>VLOOKUP(L796,Customers!$A$2:$C$92,3,TRUE)</f>
        <v>John Steel</v>
      </c>
      <c r="C796" t="str">
        <f t="shared" si="205"/>
        <v>John</v>
      </c>
      <c r="D796" s="8" t="str">
        <f t="shared" si="206"/>
        <v>Steel</v>
      </c>
      <c r="E796" s="8" t="str">
        <f t="shared" si="207"/>
        <v>Steel, John</v>
      </c>
      <c r="F796" s="8" t="str">
        <f t="shared" si="208"/>
        <v>Steel, John</v>
      </c>
      <c r="G796" s="8" t="str">
        <f t="shared" si="209"/>
        <v>not an outlier</v>
      </c>
      <c r="H796" s="8" t="str">
        <f t="shared" si="210"/>
        <v>Not</v>
      </c>
      <c r="I796" s="8" t="str">
        <f t="shared" si="220"/>
        <v>no</v>
      </c>
      <c r="J796" s="10" t="str">
        <f t="shared" si="211"/>
        <v>no</v>
      </c>
      <c r="K796" s="10" t="str">
        <f t="shared" si="212"/>
        <v>no</v>
      </c>
      <c r="L796" t="s">
        <v>333</v>
      </c>
      <c r="M796">
        <v>10545</v>
      </c>
      <c r="N796">
        <v>11</v>
      </c>
      <c r="O796" t="s">
        <v>683</v>
      </c>
      <c r="P796" t="str">
        <f t="shared" si="213"/>
        <v>LAZYK_10545_Queso Cabrales</v>
      </c>
      <c r="Q796" t="str">
        <f t="shared" si="214"/>
        <v>10545</v>
      </c>
      <c r="R796" t="str">
        <f t="shared" si="215"/>
        <v>10545</v>
      </c>
      <c r="S796" t="str">
        <f t="shared" si="216"/>
        <v>Queso Cabrales</v>
      </c>
      <c r="T796">
        <v>21</v>
      </c>
      <c r="U796">
        <v>10</v>
      </c>
      <c r="V796">
        <v>0</v>
      </c>
      <c r="W796">
        <f t="shared" si="217"/>
        <v>210</v>
      </c>
      <c r="X796" t="str">
        <f t="shared" si="218"/>
        <v>No</v>
      </c>
      <c r="Y796" s="2">
        <v>34872</v>
      </c>
      <c r="Z796" t="str">
        <f t="shared" si="204"/>
        <v/>
      </c>
      <c r="AA796" t="str">
        <f t="shared" si="219"/>
        <v/>
      </c>
      <c r="AB796" t="str" cm="1">
        <f t="array" ref="AB796">_xlfn.IFS(Y796&lt;DATE(1996,1,1),"",Y796&lt;DATE(1996,4,1),"Q1",Y796&lt;DATE(1996,7,1),"Q2",Y796&gt;=DATE(1996,7,1),"")</f>
        <v/>
      </c>
    </row>
    <row r="797" spans="1:28" ht="14.4" x14ac:dyDescent="0.55000000000000004">
      <c r="A797" t="str">
        <f>VLOOKUP(L797,Customers!$A$2:$B$92,2,FALSE)</f>
        <v>Victuailles en stock</v>
      </c>
      <c r="B797" t="str">
        <f>VLOOKUP(L797,Customers!$A$2:$C$92,3,TRUE)</f>
        <v>Mary Saveley</v>
      </c>
      <c r="C797" t="str">
        <f t="shared" si="205"/>
        <v>Mary</v>
      </c>
      <c r="D797" s="8" t="str">
        <f t="shared" si="206"/>
        <v>Saveley</v>
      </c>
      <c r="E797" s="8" t="str">
        <f t="shared" si="207"/>
        <v>Saveley, Mary</v>
      </c>
      <c r="F797" s="8" t="str">
        <f t="shared" si="208"/>
        <v>Saveley, Mary</v>
      </c>
      <c r="G797" s="8" t="str">
        <f t="shared" si="209"/>
        <v>not an outlier</v>
      </c>
      <c r="H797" s="8" t="str">
        <f t="shared" si="210"/>
        <v>Not</v>
      </c>
      <c r="I797" s="8" t="str">
        <f t="shared" si="220"/>
        <v>no</v>
      </c>
      <c r="J797" s="10" t="str">
        <f t="shared" si="211"/>
        <v>no</v>
      </c>
      <c r="K797" s="10" t="str">
        <f t="shared" si="212"/>
        <v>no</v>
      </c>
      <c r="L797" t="s">
        <v>619</v>
      </c>
      <c r="M797">
        <v>10546</v>
      </c>
      <c r="N797">
        <v>7</v>
      </c>
      <c r="O797" t="s">
        <v>715</v>
      </c>
      <c r="P797" t="str">
        <f t="shared" si="213"/>
        <v>VICTE_10546_Uncle Bob's Organic Dried Pears</v>
      </c>
      <c r="Q797" t="str">
        <f t="shared" si="214"/>
        <v>10546</v>
      </c>
      <c r="R797" t="str">
        <f t="shared" si="215"/>
        <v>10546</v>
      </c>
      <c r="S797" t="str">
        <f t="shared" si="216"/>
        <v>Uncle Bob's Organic Dried Pears</v>
      </c>
      <c r="T797">
        <v>30</v>
      </c>
      <c r="U797">
        <v>10</v>
      </c>
      <c r="V797">
        <v>0</v>
      </c>
      <c r="W797">
        <f t="shared" si="217"/>
        <v>300</v>
      </c>
      <c r="X797" t="str">
        <f t="shared" si="218"/>
        <v>No</v>
      </c>
      <c r="Y797" s="2">
        <v>34873</v>
      </c>
      <c r="Z797" t="str">
        <f t="shared" si="204"/>
        <v/>
      </c>
      <c r="AA797" t="str">
        <f t="shared" si="219"/>
        <v/>
      </c>
      <c r="AB797" t="str" cm="1">
        <f t="array" ref="AB797">_xlfn.IFS(Y797&lt;DATE(1996,1,1),"",Y797&lt;DATE(1996,4,1),"Q1",Y797&lt;DATE(1996,7,1),"Q2",Y797&gt;=DATE(1996,7,1),"")</f>
        <v/>
      </c>
    </row>
    <row r="798" spans="1:28" ht="14.4" x14ac:dyDescent="0.55000000000000004">
      <c r="A798" t="str">
        <f>VLOOKUP(L798,Customers!$A$2:$B$92,2,FALSE)</f>
        <v>Victuailles en stock</v>
      </c>
      <c r="B798" t="str">
        <f>VLOOKUP(L798,Customers!$A$2:$C$92,3,TRUE)</f>
        <v>Mary Saveley</v>
      </c>
      <c r="C798" t="str">
        <f t="shared" si="205"/>
        <v>Mary</v>
      </c>
      <c r="D798" s="8" t="str">
        <f t="shared" si="206"/>
        <v>Saveley</v>
      </c>
      <c r="E798" s="8" t="str">
        <f t="shared" si="207"/>
        <v>Saveley, Mary</v>
      </c>
      <c r="F798" s="8" t="str">
        <f t="shared" si="208"/>
        <v>Saveley, Mary</v>
      </c>
      <c r="G798" s="8" t="str">
        <f t="shared" si="209"/>
        <v>not an outlier</v>
      </c>
      <c r="H798" s="8" t="str">
        <f t="shared" si="210"/>
        <v>Not</v>
      </c>
      <c r="I798" s="8" t="str">
        <f t="shared" si="220"/>
        <v>no</v>
      </c>
      <c r="J798" s="10" t="str">
        <f t="shared" si="211"/>
        <v>no</v>
      </c>
      <c r="K798" s="10" t="str">
        <f t="shared" si="212"/>
        <v>no</v>
      </c>
      <c r="L798" t="s">
        <v>619</v>
      </c>
      <c r="M798">
        <v>10546</v>
      </c>
      <c r="N798">
        <v>35</v>
      </c>
      <c r="O798" t="s">
        <v>714</v>
      </c>
      <c r="P798" t="str">
        <f t="shared" si="213"/>
        <v>VICTE_10546_Steeleye Stout</v>
      </c>
      <c r="Q798" t="str">
        <f t="shared" si="214"/>
        <v>10546</v>
      </c>
      <c r="R798" t="str">
        <f t="shared" si="215"/>
        <v>10546</v>
      </c>
      <c r="S798" t="str">
        <f t="shared" si="216"/>
        <v>Steeleye Stout</v>
      </c>
      <c r="T798">
        <v>18</v>
      </c>
      <c r="U798">
        <v>30</v>
      </c>
      <c r="V798">
        <v>0</v>
      </c>
      <c r="W798">
        <f t="shared" si="217"/>
        <v>540</v>
      </c>
      <c r="X798" t="str">
        <f t="shared" si="218"/>
        <v>No</v>
      </c>
      <c r="Y798" s="2">
        <v>34873</v>
      </c>
      <c r="Z798" t="str">
        <f t="shared" si="204"/>
        <v/>
      </c>
      <c r="AA798" t="str">
        <f t="shared" si="219"/>
        <v/>
      </c>
      <c r="AB798" t="str" cm="1">
        <f t="array" ref="AB798">_xlfn.IFS(Y798&lt;DATE(1996,1,1),"",Y798&lt;DATE(1996,4,1),"Q1",Y798&lt;DATE(1996,7,1),"Q2",Y798&gt;=DATE(1996,7,1),"")</f>
        <v/>
      </c>
    </row>
    <row r="799" spans="1:28" ht="14.4" x14ac:dyDescent="0.55000000000000004">
      <c r="A799" t="str">
        <f>VLOOKUP(L799,Customers!$A$2:$B$92,2,FALSE)</f>
        <v>Victuailles en stock</v>
      </c>
      <c r="B799" t="str">
        <f>VLOOKUP(L799,Customers!$A$2:$C$92,3,TRUE)</f>
        <v>Mary Saveley</v>
      </c>
      <c r="C799" t="str">
        <f t="shared" si="205"/>
        <v>Mary</v>
      </c>
      <c r="D799" s="8" t="str">
        <f t="shared" si="206"/>
        <v>Saveley</v>
      </c>
      <c r="E799" s="8" t="str">
        <f t="shared" si="207"/>
        <v>Saveley, Mary</v>
      </c>
      <c r="F799" s="8" t="str">
        <f t="shared" si="208"/>
        <v>Saveley, Mary</v>
      </c>
      <c r="G799" s="8" t="str">
        <f t="shared" si="209"/>
        <v>not an outlier</v>
      </c>
      <c r="H799" s="8" t="str">
        <f t="shared" si="210"/>
        <v>Not</v>
      </c>
      <c r="I799" s="8" t="str">
        <f t="shared" si="220"/>
        <v>no</v>
      </c>
      <c r="J799" s="10" t="str">
        <f t="shared" si="211"/>
        <v>no</v>
      </c>
      <c r="K799" s="10" t="str">
        <f t="shared" si="212"/>
        <v>no</v>
      </c>
      <c r="L799" t="s">
        <v>619</v>
      </c>
      <c r="M799">
        <v>10546</v>
      </c>
      <c r="N799">
        <v>62</v>
      </c>
      <c r="O799" t="s">
        <v>712</v>
      </c>
      <c r="P799" t="str">
        <f t="shared" si="213"/>
        <v>VICTE_10546_Tarte au sucre</v>
      </c>
      <c r="Q799" t="str">
        <f t="shared" si="214"/>
        <v>10546</v>
      </c>
      <c r="R799" t="str">
        <f t="shared" si="215"/>
        <v>10546</v>
      </c>
      <c r="S799" t="str">
        <f t="shared" si="216"/>
        <v>Tarte au sucre</v>
      </c>
      <c r="T799">
        <v>49.3</v>
      </c>
      <c r="U799">
        <v>40</v>
      </c>
      <c r="V799">
        <v>0</v>
      </c>
      <c r="W799">
        <f t="shared" si="217"/>
        <v>1972</v>
      </c>
      <c r="X799" t="str">
        <f t="shared" si="218"/>
        <v>No</v>
      </c>
      <c r="Y799" s="2">
        <v>34873</v>
      </c>
      <c r="Z799" t="str">
        <f t="shared" si="204"/>
        <v/>
      </c>
      <c r="AA799" t="str">
        <f t="shared" si="219"/>
        <v/>
      </c>
      <c r="AB799" t="str" cm="1">
        <f t="array" ref="AB799">_xlfn.IFS(Y799&lt;DATE(1996,1,1),"",Y799&lt;DATE(1996,4,1),"Q1",Y799&lt;DATE(1996,7,1),"Q2",Y799&gt;=DATE(1996,7,1),"")</f>
        <v/>
      </c>
    </row>
    <row r="800" spans="1:28" ht="14.4" x14ac:dyDescent="0.55000000000000004">
      <c r="A800" t="str">
        <f>VLOOKUP(L800,Customers!$A$2:$B$92,2,FALSE)</f>
        <v>Seven Seas Imports</v>
      </c>
      <c r="B800" t="str">
        <f>VLOOKUP(L800,Customers!$A$2:$C$92,3,TRUE)</f>
        <v>Hari Kumar</v>
      </c>
      <c r="C800" t="str">
        <f t="shared" si="205"/>
        <v>Hari</v>
      </c>
      <c r="D800" s="8" t="str">
        <f t="shared" si="206"/>
        <v>Kumar</v>
      </c>
      <c r="E800" s="8" t="str">
        <f t="shared" si="207"/>
        <v>Kumar, Hari</v>
      </c>
      <c r="F800" s="8" t="str">
        <f t="shared" si="208"/>
        <v>Kumar, Hari</v>
      </c>
      <c r="G800" s="8" t="str">
        <f t="shared" si="209"/>
        <v>not an outlier</v>
      </c>
      <c r="H800" s="8" t="str">
        <f t="shared" si="210"/>
        <v>Not</v>
      </c>
      <c r="I800" s="8" t="str">
        <f t="shared" si="220"/>
        <v>no</v>
      </c>
      <c r="J800" s="10" t="str">
        <f t="shared" si="211"/>
        <v>no</v>
      </c>
      <c r="K800" s="10" t="str">
        <f t="shared" si="212"/>
        <v>no</v>
      </c>
      <c r="L800" t="s">
        <v>536</v>
      </c>
      <c r="M800">
        <v>10547</v>
      </c>
      <c r="N800">
        <v>32</v>
      </c>
      <c r="O800" t="s">
        <v>709</v>
      </c>
      <c r="P800" t="str">
        <f t="shared" si="213"/>
        <v>SEVES_10547_Mascarpone Fabioli</v>
      </c>
      <c r="Q800" t="str">
        <f t="shared" si="214"/>
        <v>10547</v>
      </c>
      <c r="R800" t="str">
        <f t="shared" si="215"/>
        <v>10547</v>
      </c>
      <c r="S800" t="str">
        <f t="shared" si="216"/>
        <v>Mascarpone Fabioli</v>
      </c>
      <c r="T800">
        <v>32</v>
      </c>
      <c r="U800">
        <v>24</v>
      </c>
      <c r="V800">
        <v>0.15</v>
      </c>
      <c r="W800">
        <f t="shared" si="217"/>
        <v>652.79999999999995</v>
      </c>
      <c r="X800" t="str">
        <f t="shared" si="218"/>
        <v>No</v>
      </c>
      <c r="Y800" s="2">
        <v>34873</v>
      </c>
      <c r="Z800" t="str">
        <f t="shared" si="204"/>
        <v/>
      </c>
      <c r="AA800" t="str">
        <f t="shared" si="219"/>
        <v/>
      </c>
      <c r="AB800" t="str" cm="1">
        <f t="array" ref="AB800">_xlfn.IFS(Y800&lt;DATE(1996,1,1),"",Y800&lt;DATE(1996,4,1),"Q1",Y800&lt;DATE(1996,7,1),"Q2",Y800&gt;=DATE(1996,7,1),"")</f>
        <v/>
      </c>
    </row>
    <row r="801" spans="1:28" ht="14.4" x14ac:dyDescent="0.55000000000000004">
      <c r="A801" t="str">
        <f>VLOOKUP(L801,Customers!$A$2:$B$92,2,FALSE)</f>
        <v>Seven Seas Imports</v>
      </c>
      <c r="B801" t="str">
        <f>VLOOKUP(L801,Customers!$A$2:$C$92,3,TRUE)</f>
        <v>Hari Kumar</v>
      </c>
      <c r="C801" t="str">
        <f t="shared" si="205"/>
        <v>Hari</v>
      </c>
      <c r="D801" s="8" t="str">
        <f t="shared" si="206"/>
        <v>Kumar</v>
      </c>
      <c r="E801" s="8" t="str">
        <f t="shared" si="207"/>
        <v>Kumar, Hari</v>
      </c>
      <c r="F801" s="8" t="str">
        <f t="shared" si="208"/>
        <v>Kumar, Hari</v>
      </c>
      <c r="G801" s="8" t="str">
        <f t="shared" si="209"/>
        <v>not an outlier</v>
      </c>
      <c r="H801" s="8" t="str">
        <f t="shared" si="210"/>
        <v>Not</v>
      </c>
      <c r="I801" s="8" t="str">
        <f t="shared" si="220"/>
        <v>no</v>
      </c>
      <c r="J801" s="10" t="str">
        <f t="shared" si="211"/>
        <v>no</v>
      </c>
      <c r="K801" s="10" t="str">
        <f t="shared" si="212"/>
        <v>no</v>
      </c>
      <c r="L801" t="s">
        <v>536</v>
      </c>
      <c r="M801">
        <v>10547</v>
      </c>
      <c r="N801">
        <v>36</v>
      </c>
      <c r="O801" t="s">
        <v>703</v>
      </c>
      <c r="P801" t="str">
        <f t="shared" si="213"/>
        <v>SEVES_10547_Inlagd Sill</v>
      </c>
      <c r="Q801" t="str">
        <f t="shared" si="214"/>
        <v>10547</v>
      </c>
      <c r="R801" t="str">
        <f t="shared" si="215"/>
        <v>10547</v>
      </c>
      <c r="S801" t="str">
        <f t="shared" si="216"/>
        <v>Inlagd Sill</v>
      </c>
      <c r="T801">
        <v>19</v>
      </c>
      <c r="U801">
        <v>60</v>
      </c>
      <c r="V801">
        <v>0</v>
      </c>
      <c r="W801">
        <f t="shared" si="217"/>
        <v>1140</v>
      </c>
      <c r="X801" t="str">
        <f t="shared" si="218"/>
        <v>No</v>
      </c>
      <c r="Y801" s="2">
        <v>34873</v>
      </c>
      <c r="Z801" t="str">
        <f t="shared" si="204"/>
        <v/>
      </c>
      <c r="AA801" t="str">
        <f t="shared" si="219"/>
        <v/>
      </c>
      <c r="AB801" t="str" cm="1">
        <f t="array" ref="AB801">_xlfn.IFS(Y801&lt;DATE(1996,1,1),"",Y801&lt;DATE(1996,4,1),"Q1",Y801&lt;DATE(1996,7,1),"Q2",Y801&gt;=DATE(1996,7,1),"")</f>
        <v/>
      </c>
    </row>
    <row r="802" spans="1:28" ht="14.4" x14ac:dyDescent="0.55000000000000004">
      <c r="A802" t="str">
        <f>VLOOKUP(L802,Customers!$A$2:$B$92,2,FALSE)</f>
        <v>Toms Spezialitäten</v>
      </c>
      <c r="B802" t="str">
        <f>VLOOKUP(L802,Customers!$A$2:$C$92,3,TRUE)</f>
        <v>Karin Josephs</v>
      </c>
      <c r="C802" t="str">
        <f t="shared" si="205"/>
        <v>Karin</v>
      </c>
      <c r="D802" s="8" t="str">
        <f t="shared" si="206"/>
        <v>Josephs</v>
      </c>
      <c r="E802" s="8" t="str">
        <f t="shared" si="207"/>
        <v>Josephs, Karin</v>
      </c>
      <c r="F802" s="8" t="str">
        <f t="shared" si="208"/>
        <v>Josephs, Karin</v>
      </c>
      <c r="G802" s="8" t="str">
        <f t="shared" si="209"/>
        <v>not an outlier</v>
      </c>
      <c r="H802" s="8" t="str">
        <f t="shared" si="210"/>
        <v>Not</v>
      </c>
      <c r="I802" s="8" t="str">
        <f t="shared" si="220"/>
        <v>no</v>
      </c>
      <c r="J802" s="10" t="str">
        <f t="shared" si="211"/>
        <v>no</v>
      </c>
      <c r="K802" s="10" t="str">
        <f t="shared" si="212"/>
        <v>no</v>
      </c>
      <c r="L802" t="s">
        <v>586</v>
      </c>
      <c r="M802">
        <v>10548</v>
      </c>
      <c r="N802">
        <v>34</v>
      </c>
      <c r="O802" t="s">
        <v>736</v>
      </c>
      <c r="P802" t="str">
        <f t="shared" si="213"/>
        <v>TOMSP_10548_Sasquatch Ale</v>
      </c>
      <c r="Q802" t="str">
        <f t="shared" si="214"/>
        <v>10548</v>
      </c>
      <c r="R802" t="str">
        <f t="shared" si="215"/>
        <v>10548</v>
      </c>
      <c r="S802" t="str">
        <f t="shared" si="216"/>
        <v>Sasquatch Ale</v>
      </c>
      <c r="T802">
        <v>14</v>
      </c>
      <c r="U802">
        <v>10</v>
      </c>
      <c r="V802">
        <v>0.25</v>
      </c>
      <c r="W802">
        <f t="shared" si="217"/>
        <v>105</v>
      </c>
      <c r="X802" t="str">
        <f t="shared" si="218"/>
        <v>No</v>
      </c>
      <c r="Y802" s="2">
        <v>34876</v>
      </c>
      <c r="Z802" t="str">
        <f t="shared" si="204"/>
        <v/>
      </c>
      <c r="AA802" t="str">
        <f t="shared" si="219"/>
        <v/>
      </c>
      <c r="AB802" t="str" cm="1">
        <f t="array" ref="AB802">_xlfn.IFS(Y802&lt;DATE(1996,1,1),"",Y802&lt;DATE(1996,4,1),"Q1",Y802&lt;DATE(1996,7,1),"Q2",Y802&gt;=DATE(1996,7,1),"")</f>
        <v/>
      </c>
    </row>
    <row r="803" spans="1:28" ht="14.4" x14ac:dyDescent="0.55000000000000004">
      <c r="A803" t="str">
        <f>VLOOKUP(L803,Customers!$A$2:$B$92,2,FALSE)</f>
        <v>Toms Spezialitäten</v>
      </c>
      <c r="B803" t="str">
        <f>VLOOKUP(L803,Customers!$A$2:$C$92,3,TRUE)</f>
        <v>Karin Josephs</v>
      </c>
      <c r="C803" t="str">
        <f t="shared" si="205"/>
        <v>Karin</v>
      </c>
      <c r="D803" s="8" t="str">
        <f t="shared" si="206"/>
        <v>Josephs</v>
      </c>
      <c r="E803" s="8" t="str">
        <f t="shared" si="207"/>
        <v>Josephs, Karin</v>
      </c>
      <c r="F803" s="8" t="str">
        <f t="shared" si="208"/>
        <v>Josephs, Karin</v>
      </c>
      <c r="G803" s="8" t="str">
        <f t="shared" si="209"/>
        <v>not an outlier</v>
      </c>
      <c r="H803" s="8" t="str">
        <f t="shared" si="210"/>
        <v>Not</v>
      </c>
      <c r="I803" s="8" t="str">
        <f t="shared" si="220"/>
        <v>no</v>
      </c>
      <c r="J803" s="10" t="str">
        <f t="shared" si="211"/>
        <v>no</v>
      </c>
      <c r="K803" s="10" t="str">
        <f t="shared" si="212"/>
        <v>no</v>
      </c>
      <c r="L803" t="s">
        <v>586</v>
      </c>
      <c r="M803">
        <v>10548</v>
      </c>
      <c r="N803">
        <v>41</v>
      </c>
      <c r="O803" t="s">
        <v>688</v>
      </c>
      <c r="P803" t="str">
        <f t="shared" si="213"/>
        <v>TOMSP_10548_Jack's New England Clam Chowder</v>
      </c>
      <c r="Q803" t="str">
        <f t="shared" si="214"/>
        <v>10548</v>
      </c>
      <c r="R803" t="str">
        <f t="shared" si="215"/>
        <v>10548</v>
      </c>
      <c r="S803" t="str">
        <f t="shared" si="216"/>
        <v>Jack's New England Clam Chowder</v>
      </c>
      <c r="T803">
        <v>9.65</v>
      </c>
      <c r="U803">
        <v>14</v>
      </c>
      <c r="V803">
        <v>0</v>
      </c>
      <c r="W803">
        <f t="shared" si="217"/>
        <v>135.1</v>
      </c>
      <c r="X803" t="str">
        <f t="shared" si="218"/>
        <v>No</v>
      </c>
      <c r="Y803" s="2">
        <v>34876</v>
      </c>
      <c r="Z803" t="str">
        <f t="shared" si="204"/>
        <v/>
      </c>
      <c r="AA803" t="str">
        <f t="shared" si="219"/>
        <v/>
      </c>
      <c r="AB803" t="str" cm="1">
        <f t="array" ref="AB803">_xlfn.IFS(Y803&lt;DATE(1996,1,1),"",Y803&lt;DATE(1996,4,1),"Q1",Y803&lt;DATE(1996,7,1),"Q2",Y803&gt;=DATE(1996,7,1),"")</f>
        <v/>
      </c>
    </row>
    <row r="804" spans="1:28" ht="14.4" x14ac:dyDescent="0.55000000000000004">
      <c r="A804" t="str">
        <f>VLOOKUP(L804,Customers!$A$2:$B$92,2,FALSE)</f>
        <v>QUICK-Stop</v>
      </c>
      <c r="B804" t="str">
        <f>VLOOKUP(L804,Customers!$A$2:$C$92,3,TRUE)</f>
        <v>Horst Kloss</v>
      </c>
      <c r="C804" t="str">
        <f t="shared" si="205"/>
        <v>Horst</v>
      </c>
      <c r="D804" s="8" t="str">
        <f t="shared" si="206"/>
        <v>Kloss</v>
      </c>
      <c r="E804" s="8" t="str">
        <f t="shared" si="207"/>
        <v>Kloss, Horst</v>
      </c>
      <c r="F804" s="8" t="str">
        <f t="shared" si="208"/>
        <v>Kloss, Horst</v>
      </c>
      <c r="G804" s="8" t="str">
        <f t="shared" si="209"/>
        <v>not an outlier</v>
      </c>
      <c r="H804" s="8" t="str">
        <f t="shared" si="210"/>
        <v>Not</v>
      </c>
      <c r="I804" s="8" t="str">
        <f t="shared" si="220"/>
        <v>no</v>
      </c>
      <c r="J804" s="10" t="str">
        <f t="shared" si="211"/>
        <v>no</v>
      </c>
      <c r="K804" s="10" t="str">
        <f t="shared" si="212"/>
        <v>no</v>
      </c>
      <c r="L804" t="s">
        <v>475</v>
      </c>
      <c r="M804">
        <v>10549</v>
      </c>
      <c r="N804">
        <v>31</v>
      </c>
      <c r="O804" t="s">
        <v>695</v>
      </c>
      <c r="P804" t="str">
        <f t="shared" si="213"/>
        <v>QUICK_10549_Gorgonzola Telino</v>
      </c>
      <c r="Q804" t="str">
        <f t="shared" si="214"/>
        <v>10549</v>
      </c>
      <c r="R804" t="str">
        <f t="shared" si="215"/>
        <v>10549</v>
      </c>
      <c r="S804" t="str">
        <f t="shared" si="216"/>
        <v>Gorgonzola Telino</v>
      </c>
      <c r="T804">
        <v>12.5</v>
      </c>
      <c r="U804">
        <v>55</v>
      </c>
      <c r="V804">
        <v>0.15</v>
      </c>
      <c r="W804">
        <f t="shared" si="217"/>
        <v>584.375</v>
      </c>
      <c r="X804" t="str">
        <f t="shared" si="218"/>
        <v>No</v>
      </c>
      <c r="Y804" s="2">
        <v>34877</v>
      </c>
      <c r="Z804" t="str">
        <f t="shared" si="204"/>
        <v/>
      </c>
      <c r="AA804" t="str">
        <f t="shared" si="219"/>
        <v/>
      </c>
      <c r="AB804" t="str" cm="1">
        <f t="array" ref="AB804">_xlfn.IFS(Y804&lt;DATE(1996,1,1),"",Y804&lt;DATE(1996,4,1),"Q1",Y804&lt;DATE(1996,7,1),"Q2",Y804&gt;=DATE(1996,7,1),"")</f>
        <v/>
      </c>
    </row>
    <row r="805" spans="1:28" ht="14.4" x14ac:dyDescent="0.55000000000000004">
      <c r="A805" t="str">
        <f>VLOOKUP(L805,Customers!$A$2:$B$92,2,FALSE)</f>
        <v>QUICK-Stop</v>
      </c>
      <c r="B805" t="str">
        <f>VLOOKUP(L805,Customers!$A$2:$C$92,3,TRUE)</f>
        <v>Horst Kloss</v>
      </c>
      <c r="C805" t="str">
        <f t="shared" si="205"/>
        <v>Horst</v>
      </c>
      <c r="D805" s="8" t="str">
        <f t="shared" si="206"/>
        <v>Kloss</v>
      </c>
      <c r="E805" s="8" t="str">
        <f t="shared" si="207"/>
        <v>Kloss, Horst</v>
      </c>
      <c r="F805" s="8" t="str">
        <f t="shared" si="208"/>
        <v>Kloss, Horst</v>
      </c>
      <c r="G805" s="8" t="str">
        <f t="shared" si="209"/>
        <v>not an outlier</v>
      </c>
      <c r="H805" s="8" t="str">
        <f t="shared" si="210"/>
        <v>Not</v>
      </c>
      <c r="I805" s="8" t="str">
        <f t="shared" si="220"/>
        <v>no</v>
      </c>
      <c r="J805" s="10" t="str">
        <f t="shared" si="211"/>
        <v>no</v>
      </c>
      <c r="K805" s="10" t="str">
        <f t="shared" si="212"/>
        <v>no</v>
      </c>
      <c r="L805" t="s">
        <v>475</v>
      </c>
      <c r="M805">
        <v>10549</v>
      </c>
      <c r="N805">
        <v>45</v>
      </c>
      <c r="O805" t="s">
        <v>756</v>
      </c>
      <c r="P805" t="str">
        <f t="shared" si="213"/>
        <v>QUICK_10549_Røgede sild</v>
      </c>
      <c r="Q805" t="str">
        <f t="shared" si="214"/>
        <v>10549</v>
      </c>
      <c r="R805" t="str">
        <f t="shared" si="215"/>
        <v>10549</v>
      </c>
      <c r="S805" t="str">
        <f t="shared" si="216"/>
        <v>Røgede sild</v>
      </c>
      <c r="T805">
        <v>9.5</v>
      </c>
      <c r="U805">
        <v>100</v>
      </c>
      <c r="V805">
        <v>0.15</v>
      </c>
      <c r="W805">
        <f t="shared" si="217"/>
        <v>807.5</v>
      </c>
      <c r="X805" t="str">
        <f t="shared" si="218"/>
        <v>No</v>
      </c>
      <c r="Y805" s="2">
        <v>34877</v>
      </c>
      <c r="Z805" t="str">
        <f t="shared" si="204"/>
        <v/>
      </c>
      <c r="AA805" t="str">
        <f t="shared" si="219"/>
        <v/>
      </c>
      <c r="AB805" t="str" cm="1">
        <f t="array" ref="AB805">_xlfn.IFS(Y805&lt;DATE(1996,1,1),"",Y805&lt;DATE(1996,4,1),"Q1",Y805&lt;DATE(1996,7,1),"Q2",Y805&gt;=DATE(1996,7,1),"")</f>
        <v/>
      </c>
    </row>
    <row r="806" spans="1:28" ht="14.4" x14ac:dyDescent="0.55000000000000004">
      <c r="A806" t="str">
        <f>VLOOKUP(L806,Customers!$A$2:$B$92,2,FALSE)</f>
        <v>QUICK-Stop</v>
      </c>
      <c r="B806" t="str">
        <f>VLOOKUP(L806,Customers!$A$2:$C$92,3,TRUE)</f>
        <v>Horst Kloss</v>
      </c>
      <c r="C806" t="str">
        <f t="shared" si="205"/>
        <v>Horst</v>
      </c>
      <c r="D806" s="8" t="str">
        <f t="shared" si="206"/>
        <v>Kloss</v>
      </c>
      <c r="E806" s="8" t="str">
        <f t="shared" si="207"/>
        <v>Kloss, Horst</v>
      </c>
      <c r="F806" s="8" t="str">
        <f t="shared" si="208"/>
        <v>Kloss, Horst</v>
      </c>
      <c r="G806" s="8" t="str">
        <f t="shared" si="209"/>
        <v>not an outlier</v>
      </c>
      <c r="H806" s="8" t="str">
        <f t="shared" si="210"/>
        <v>Not</v>
      </c>
      <c r="I806" s="8" t="str">
        <f t="shared" si="220"/>
        <v>no</v>
      </c>
      <c r="J806" s="10" t="str">
        <f t="shared" si="211"/>
        <v>no</v>
      </c>
      <c r="K806" s="10" t="str">
        <f t="shared" si="212"/>
        <v>no</v>
      </c>
      <c r="L806" t="s">
        <v>475</v>
      </c>
      <c r="M806">
        <v>10549</v>
      </c>
      <c r="N806">
        <v>51</v>
      </c>
      <c r="O806" t="s">
        <v>687</v>
      </c>
      <c r="P806" t="str">
        <f t="shared" si="213"/>
        <v>QUICK_10549_Manjimup Dried Apples</v>
      </c>
      <c r="Q806" t="str">
        <f t="shared" si="214"/>
        <v>10549</v>
      </c>
      <c r="R806" t="str">
        <f t="shared" si="215"/>
        <v>10549</v>
      </c>
      <c r="S806" t="str">
        <f t="shared" si="216"/>
        <v>Manjimup Dried Apples</v>
      </c>
      <c r="T806">
        <v>53</v>
      </c>
      <c r="U806">
        <v>48</v>
      </c>
      <c r="V806">
        <v>0.15</v>
      </c>
      <c r="W806">
        <f t="shared" si="217"/>
        <v>2162.4</v>
      </c>
      <c r="X806" t="str">
        <f t="shared" si="218"/>
        <v>No</v>
      </c>
      <c r="Y806" s="2">
        <v>34877</v>
      </c>
      <c r="Z806" t="str">
        <f t="shared" si="204"/>
        <v/>
      </c>
      <c r="AA806" t="str">
        <f t="shared" si="219"/>
        <v/>
      </c>
      <c r="AB806" t="str" cm="1">
        <f t="array" ref="AB806">_xlfn.IFS(Y806&lt;DATE(1996,1,1),"",Y806&lt;DATE(1996,4,1),"Q1",Y806&lt;DATE(1996,7,1),"Q2",Y806&gt;=DATE(1996,7,1),"")</f>
        <v/>
      </c>
    </row>
    <row r="807" spans="1:28" ht="14.4" x14ac:dyDescent="0.55000000000000004">
      <c r="A807" t="str">
        <f>VLOOKUP(L807,Customers!$A$2:$B$92,2,FALSE)</f>
        <v>Godos Cocina Típica</v>
      </c>
      <c r="B807" t="str">
        <f>VLOOKUP(L807,Customers!$A$2:$C$92,3,TRUE)</f>
        <v>José Pedro Freyre</v>
      </c>
      <c r="C807" t="str">
        <f t="shared" si="205"/>
        <v>José</v>
      </c>
      <c r="D807" s="8" t="str">
        <f t="shared" si="206"/>
        <v>Pedro Freyre</v>
      </c>
      <c r="E807" s="8" t="str">
        <f t="shared" si="207"/>
        <v>Pedro Freyre, José</v>
      </c>
      <c r="F807" s="8" t="str">
        <f t="shared" si="208"/>
        <v>Pedro Freyre, José</v>
      </c>
      <c r="G807" s="8" t="str">
        <f t="shared" si="209"/>
        <v>not an outlier</v>
      </c>
      <c r="H807" s="8" t="str">
        <f t="shared" si="210"/>
        <v>Not</v>
      </c>
      <c r="I807" s="8" t="str">
        <f t="shared" si="220"/>
        <v>no</v>
      </c>
      <c r="J807" s="10" t="str">
        <f t="shared" si="211"/>
        <v>no</v>
      </c>
      <c r="K807" s="10" t="str">
        <f t="shared" si="212"/>
        <v>no</v>
      </c>
      <c r="L807" t="s">
        <v>234</v>
      </c>
      <c r="M807">
        <v>10550</v>
      </c>
      <c r="N807">
        <v>17</v>
      </c>
      <c r="O807" t="s">
        <v>718</v>
      </c>
      <c r="P807" t="str">
        <f t="shared" si="213"/>
        <v>GODOS_10550_Alice Mutton</v>
      </c>
      <c r="Q807" t="str">
        <f t="shared" si="214"/>
        <v>10550</v>
      </c>
      <c r="R807" t="str">
        <f t="shared" si="215"/>
        <v>10550</v>
      </c>
      <c r="S807" t="str">
        <f t="shared" si="216"/>
        <v>Alice Mutton</v>
      </c>
      <c r="T807">
        <v>39</v>
      </c>
      <c r="U807">
        <v>8</v>
      </c>
      <c r="V807">
        <v>0.1</v>
      </c>
      <c r="W807">
        <f t="shared" si="217"/>
        <v>280.8</v>
      </c>
      <c r="X807" t="str">
        <f t="shared" si="218"/>
        <v>No</v>
      </c>
      <c r="Y807" s="2">
        <v>34878</v>
      </c>
      <c r="Z807" t="str">
        <f t="shared" si="204"/>
        <v/>
      </c>
      <c r="AA807" t="str">
        <f t="shared" si="219"/>
        <v/>
      </c>
      <c r="AB807" t="str" cm="1">
        <f t="array" ref="AB807">_xlfn.IFS(Y807&lt;DATE(1996,1,1),"",Y807&lt;DATE(1996,4,1),"Q1",Y807&lt;DATE(1996,7,1),"Q2",Y807&gt;=DATE(1996,7,1),"")</f>
        <v/>
      </c>
    </row>
    <row r="808" spans="1:28" ht="14.4" x14ac:dyDescent="0.55000000000000004">
      <c r="A808" t="str">
        <f>VLOOKUP(L808,Customers!$A$2:$B$92,2,FALSE)</f>
        <v>Godos Cocina Típica</v>
      </c>
      <c r="B808" t="str">
        <f>VLOOKUP(L808,Customers!$A$2:$C$92,3,TRUE)</f>
        <v>José Pedro Freyre</v>
      </c>
      <c r="C808" t="str">
        <f t="shared" si="205"/>
        <v>José</v>
      </c>
      <c r="D808" s="8" t="str">
        <f t="shared" si="206"/>
        <v>Pedro Freyre</v>
      </c>
      <c r="E808" s="8" t="str">
        <f t="shared" si="207"/>
        <v>Pedro Freyre, José</v>
      </c>
      <c r="F808" s="8" t="str">
        <f t="shared" si="208"/>
        <v>Pedro Freyre, José</v>
      </c>
      <c r="G808" s="8" t="str">
        <f t="shared" si="209"/>
        <v>not an outlier</v>
      </c>
      <c r="H808" s="8" t="str">
        <f t="shared" si="210"/>
        <v>Not</v>
      </c>
      <c r="I808" s="8" t="str">
        <f t="shared" si="220"/>
        <v>no</v>
      </c>
      <c r="J808" s="10" t="str">
        <f t="shared" si="211"/>
        <v>no</v>
      </c>
      <c r="K808" s="10" t="str">
        <f t="shared" si="212"/>
        <v>no</v>
      </c>
      <c r="L808" t="s">
        <v>234</v>
      </c>
      <c r="M808">
        <v>10550</v>
      </c>
      <c r="N808">
        <v>19</v>
      </c>
      <c r="O808" t="s">
        <v>732</v>
      </c>
      <c r="P808" t="str">
        <f t="shared" si="213"/>
        <v>GODOS_10550_Teatime Chocolate Biscuits</v>
      </c>
      <c r="Q808" t="str">
        <f t="shared" si="214"/>
        <v>10550</v>
      </c>
      <c r="R808" t="str">
        <f t="shared" si="215"/>
        <v>10550</v>
      </c>
      <c r="S808" t="str">
        <f t="shared" si="216"/>
        <v>Teatime Chocolate Biscuits</v>
      </c>
      <c r="T808">
        <v>9.1999999999999993</v>
      </c>
      <c r="U808">
        <v>10</v>
      </c>
      <c r="V808">
        <v>0</v>
      </c>
      <c r="W808">
        <f t="shared" si="217"/>
        <v>92</v>
      </c>
      <c r="X808" t="str">
        <f t="shared" si="218"/>
        <v>No</v>
      </c>
      <c r="Y808" s="2">
        <v>34878</v>
      </c>
      <c r="Z808" t="str">
        <f t="shared" si="204"/>
        <v/>
      </c>
      <c r="AA808" t="str">
        <f t="shared" si="219"/>
        <v/>
      </c>
      <c r="AB808" t="str" cm="1">
        <f t="array" ref="AB808">_xlfn.IFS(Y808&lt;DATE(1996,1,1),"",Y808&lt;DATE(1996,4,1),"Q1",Y808&lt;DATE(1996,7,1),"Q2",Y808&gt;=DATE(1996,7,1),"")</f>
        <v/>
      </c>
    </row>
    <row r="809" spans="1:28" ht="14.4" x14ac:dyDescent="0.55000000000000004">
      <c r="A809" t="str">
        <f>VLOOKUP(L809,Customers!$A$2:$B$92,2,FALSE)</f>
        <v>Godos Cocina Típica</v>
      </c>
      <c r="B809" t="str">
        <f>VLOOKUP(L809,Customers!$A$2:$C$92,3,TRUE)</f>
        <v>José Pedro Freyre</v>
      </c>
      <c r="C809" t="str">
        <f t="shared" si="205"/>
        <v>José</v>
      </c>
      <c r="D809" s="8" t="str">
        <f t="shared" si="206"/>
        <v>Pedro Freyre</v>
      </c>
      <c r="E809" s="8" t="str">
        <f t="shared" si="207"/>
        <v>Pedro Freyre, José</v>
      </c>
      <c r="F809" s="8" t="str">
        <f t="shared" si="208"/>
        <v>Pedro Freyre, José</v>
      </c>
      <c r="G809" s="8" t="str">
        <f t="shared" si="209"/>
        <v>not an outlier</v>
      </c>
      <c r="H809" s="8" t="str">
        <f t="shared" si="210"/>
        <v>Not</v>
      </c>
      <c r="I809" s="8" t="str">
        <f t="shared" si="220"/>
        <v>no</v>
      </c>
      <c r="J809" s="10" t="str">
        <f t="shared" si="211"/>
        <v>no</v>
      </c>
      <c r="K809" s="10" t="str">
        <f t="shared" si="212"/>
        <v>no</v>
      </c>
      <c r="L809" t="s">
        <v>234</v>
      </c>
      <c r="M809">
        <v>10550</v>
      </c>
      <c r="N809">
        <v>21</v>
      </c>
      <c r="O809" t="s">
        <v>710</v>
      </c>
      <c r="P809" t="str">
        <f t="shared" si="213"/>
        <v>GODOS_10550_Sir Rodney's Scones</v>
      </c>
      <c r="Q809" t="str">
        <f t="shared" si="214"/>
        <v>10550</v>
      </c>
      <c r="R809" t="str">
        <f t="shared" si="215"/>
        <v>10550</v>
      </c>
      <c r="S809" t="str">
        <f t="shared" si="216"/>
        <v>Sir Rodney's Scones</v>
      </c>
      <c r="T809">
        <v>10</v>
      </c>
      <c r="U809">
        <v>6</v>
      </c>
      <c r="V809">
        <v>0.1</v>
      </c>
      <c r="W809">
        <f t="shared" si="217"/>
        <v>54</v>
      </c>
      <c r="X809" t="str">
        <f t="shared" si="218"/>
        <v>No</v>
      </c>
      <c r="Y809" s="2">
        <v>34878</v>
      </c>
      <c r="Z809" t="str">
        <f t="shared" si="204"/>
        <v/>
      </c>
      <c r="AA809" t="str">
        <f t="shared" si="219"/>
        <v/>
      </c>
      <c r="AB809" t="str" cm="1">
        <f t="array" ref="AB809">_xlfn.IFS(Y809&lt;DATE(1996,1,1),"",Y809&lt;DATE(1996,4,1),"Q1",Y809&lt;DATE(1996,7,1),"Q2",Y809&gt;=DATE(1996,7,1),"")</f>
        <v/>
      </c>
    </row>
    <row r="810" spans="1:28" ht="14.4" x14ac:dyDescent="0.55000000000000004">
      <c r="A810" t="str">
        <f>VLOOKUP(L810,Customers!$A$2:$B$92,2,FALSE)</f>
        <v>Godos Cocina Típica</v>
      </c>
      <c r="B810" t="str">
        <f>VLOOKUP(L810,Customers!$A$2:$C$92,3,TRUE)</f>
        <v>José Pedro Freyre</v>
      </c>
      <c r="C810" t="str">
        <f t="shared" si="205"/>
        <v>José</v>
      </c>
      <c r="D810" s="8" t="str">
        <f t="shared" si="206"/>
        <v>Pedro Freyre</v>
      </c>
      <c r="E810" s="8" t="str">
        <f t="shared" si="207"/>
        <v>Pedro Freyre, José</v>
      </c>
      <c r="F810" s="8" t="str">
        <f t="shared" si="208"/>
        <v>Pedro Freyre, José</v>
      </c>
      <c r="G810" s="8" t="str">
        <f t="shared" si="209"/>
        <v>not an outlier</v>
      </c>
      <c r="H810" s="8" t="str">
        <f t="shared" si="210"/>
        <v>Not</v>
      </c>
      <c r="I810" s="8" t="str">
        <f t="shared" si="220"/>
        <v>no</v>
      </c>
      <c r="J810" s="10" t="str">
        <f t="shared" si="211"/>
        <v>no</v>
      </c>
      <c r="K810" s="10" t="str">
        <f t="shared" si="212"/>
        <v>no</v>
      </c>
      <c r="L810" t="s">
        <v>234</v>
      </c>
      <c r="M810">
        <v>10550</v>
      </c>
      <c r="N810">
        <v>61</v>
      </c>
      <c r="O810" t="s">
        <v>758</v>
      </c>
      <c r="P810" t="str">
        <f t="shared" si="213"/>
        <v>GODOS_10550_Sirop d'érable</v>
      </c>
      <c r="Q810" t="str">
        <f t="shared" si="214"/>
        <v>10550</v>
      </c>
      <c r="R810" t="str">
        <f t="shared" si="215"/>
        <v>10550</v>
      </c>
      <c r="S810" t="str">
        <f t="shared" si="216"/>
        <v>Sirop d'érable</v>
      </c>
      <c r="T810">
        <v>28.5</v>
      </c>
      <c r="U810">
        <v>10</v>
      </c>
      <c r="V810">
        <v>0.1</v>
      </c>
      <c r="W810">
        <f t="shared" si="217"/>
        <v>256.5</v>
      </c>
      <c r="X810" t="str">
        <f t="shared" si="218"/>
        <v>No</v>
      </c>
      <c r="Y810" s="2">
        <v>34878</v>
      </c>
      <c r="Z810" t="str">
        <f t="shared" si="204"/>
        <v/>
      </c>
      <c r="AA810" t="str">
        <f t="shared" si="219"/>
        <v/>
      </c>
      <c r="AB810" t="str" cm="1">
        <f t="array" ref="AB810">_xlfn.IFS(Y810&lt;DATE(1996,1,1),"",Y810&lt;DATE(1996,4,1),"Q1",Y810&lt;DATE(1996,7,1),"Q2",Y810&gt;=DATE(1996,7,1),"")</f>
        <v/>
      </c>
    </row>
    <row r="811" spans="1:28" ht="14.4" x14ac:dyDescent="0.55000000000000004">
      <c r="A811" t="str">
        <f>VLOOKUP(L811,Customers!$A$2:$B$92,2,FALSE)</f>
        <v>Furia Bacalhau e Frutos do Mar</v>
      </c>
      <c r="B811" t="str">
        <f>VLOOKUP(L811,Customers!$A$2:$C$92,3,TRUE)</f>
        <v>Lino Rodriguez</v>
      </c>
      <c r="C811" t="str">
        <f t="shared" si="205"/>
        <v>Lino</v>
      </c>
      <c r="D811" s="8" t="str">
        <f t="shared" si="206"/>
        <v>Rodriguez</v>
      </c>
      <c r="E811" s="8" t="str">
        <f t="shared" si="207"/>
        <v>Rodriguez, Lino</v>
      </c>
      <c r="F811" s="8" t="str">
        <f t="shared" si="208"/>
        <v>Rodriguez, Lino</v>
      </c>
      <c r="G811" s="8" t="str">
        <f t="shared" si="209"/>
        <v>not an outlier</v>
      </c>
      <c r="H811" s="8" t="str">
        <f t="shared" si="210"/>
        <v>Not</v>
      </c>
      <c r="I811" s="8" t="str">
        <f t="shared" si="220"/>
        <v>no</v>
      </c>
      <c r="J811" s="10" t="str">
        <f t="shared" si="211"/>
        <v>no</v>
      </c>
      <c r="K811" s="10" t="str">
        <f t="shared" si="212"/>
        <v>no</v>
      </c>
      <c r="L811" t="s">
        <v>219</v>
      </c>
      <c r="M811">
        <v>10551</v>
      </c>
      <c r="N811">
        <v>16</v>
      </c>
      <c r="O811" t="s">
        <v>702</v>
      </c>
      <c r="P811" t="str">
        <f t="shared" si="213"/>
        <v>FURIB_10551_Pavlova</v>
      </c>
      <c r="Q811" t="str">
        <f t="shared" si="214"/>
        <v>10551</v>
      </c>
      <c r="R811" t="str">
        <f t="shared" si="215"/>
        <v>10551</v>
      </c>
      <c r="S811" t="str">
        <f t="shared" si="216"/>
        <v>Pavlova</v>
      </c>
      <c r="T811">
        <v>17.45</v>
      </c>
      <c r="U811">
        <v>40</v>
      </c>
      <c r="V811">
        <v>0.15</v>
      </c>
      <c r="W811">
        <f t="shared" si="217"/>
        <v>593.29999999999995</v>
      </c>
      <c r="X811" t="str">
        <f t="shared" si="218"/>
        <v>No</v>
      </c>
      <c r="Y811" s="2">
        <v>34878</v>
      </c>
      <c r="Z811" t="str">
        <f t="shared" si="204"/>
        <v/>
      </c>
      <c r="AA811" t="str">
        <f t="shared" si="219"/>
        <v/>
      </c>
      <c r="AB811" t="str" cm="1">
        <f t="array" ref="AB811">_xlfn.IFS(Y811&lt;DATE(1996,1,1),"",Y811&lt;DATE(1996,4,1),"Q1",Y811&lt;DATE(1996,7,1),"Q2",Y811&gt;=DATE(1996,7,1),"")</f>
        <v/>
      </c>
    </row>
    <row r="812" spans="1:28" ht="14.4" x14ac:dyDescent="0.55000000000000004">
      <c r="A812" t="str">
        <f>VLOOKUP(L812,Customers!$A$2:$B$92,2,FALSE)</f>
        <v>Furia Bacalhau e Frutos do Mar</v>
      </c>
      <c r="B812" t="str">
        <f>VLOOKUP(L812,Customers!$A$2:$C$92,3,TRUE)</f>
        <v>Lino Rodriguez</v>
      </c>
      <c r="C812" t="str">
        <f t="shared" si="205"/>
        <v>Lino</v>
      </c>
      <c r="D812" s="8" t="str">
        <f t="shared" si="206"/>
        <v>Rodriguez</v>
      </c>
      <c r="E812" s="8" t="str">
        <f t="shared" si="207"/>
        <v>Rodriguez, Lino</v>
      </c>
      <c r="F812" s="8" t="str">
        <f t="shared" si="208"/>
        <v>Rodriguez, Lino</v>
      </c>
      <c r="G812" s="8" t="str">
        <f t="shared" si="209"/>
        <v>not an outlier</v>
      </c>
      <c r="H812" s="8" t="str">
        <f t="shared" si="210"/>
        <v>Not</v>
      </c>
      <c r="I812" s="8" t="str">
        <f t="shared" si="220"/>
        <v>no</v>
      </c>
      <c r="J812" s="10" t="str">
        <f t="shared" si="211"/>
        <v>no</v>
      </c>
      <c r="K812" s="10" t="str">
        <f t="shared" si="212"/>
        <v>no</v>
      </c>
      <c r="L812" t="s">
        <v>219</v>
      </c>
      <c r="M812">
        <v>10551</v>
      </c>
      <c r="N812">
        <v>35</v>
      </c>
      <c r="O812" t="s">
        <v>714</v>
      </c>
      <c r="P812" t="str">
        <f t="shared" si="213"/>
        <v>FURIB_10551_Steeleye Stout</v>
      </c>
      <c r="Q812" t="str">
        <f t="shared" si="214"/>
        <v>10551</v>
      </c>
      <c r="R812" t="str">
        <f t="shared" si="215"/>
        <v>10551</v>
      </c>
      <c r="S812" t="str">
        <f t="shared" si="216"/>
        <v>Steeleye Stout</v>
      </c>
      <c r="T812">
        <v>18</v>
      </c>
      <c r="U812">
        <v>20</v>
      </c>
      <c r="V812">
        <v>0.15</v>
      </c>
      <c r="W812">
        <f t="shared" si="217"/>
        <v>306</v>
      </c>
      <c r="X812" t="str">
        <f t="shared" si="218"/>
        <v>No</v>
      </c>
      <c r="Y812" s="2">
        <v>34878</v>
      </c>
      <c r="Z812" t="str">
        <f t="shared" si="204"/>
        <v/>
      </c>
      <c r="AA812" t="str">
        <f t="shared" si="219"/>
        <v/>
      </c>
      <c r="AB812" t="str" cm="1">
        <f t="array" ref="AB812">_xlfn.IFS(Y812&lt;DATE(1996,1,1),"",Y812&lt;DATE(1996,4,1),"Q1",Y812&lt;DATE(1996,7,1),"Q2",Y812&gt;=DATE(1996,7,1),"")</f>
        <v/>
      </c>
    </row>
    <row r="813" spans="1:28" ht="14.4" x14ac:dyDescent="0.55000000000000004">
      <c r="A813" t="str">
        <f>VLOOKUP(L813,Customers!$A$2:$B$92,2,FALSE)</f>
        <v>Furia Bacalhau e Frutos do Mar</v>
      </c>
      <c r="B813" t="str">
        <f>VLOOKUP(L813,Customers!$A$2:$C$92,3,TRUE)</f>
        <v>Lino Rodriguez</v>
      </c>
      <c r="C813" t="str">
        <f t="shared" si="205"/>
        <v>Lino</v>
      </c>
      <c r="D813" s="8" t="str">
        <f t="shared" si="206"/>
        <v>Rodriguez</v>
      </c>
      <c r="E813" s="8" t="str">
        <f t="shared" si="207"/>
        <v>Rodriguez, Lino</v>
      </c>
      <c r="F813" s="8" t="str">
        <f t="shared" si="208"/>
        <v>Rodriguez, Lino</v>
      </c>
      <c r="G813" s="8" t="str">
        <f t="shared" si="209"/>
        <v>not an outlier</v>
      </c>
      <c r="H813" s="8" t="str">
        <f t="shared" si="210"/>
        <v>Not</v>
      </c>
      <c r="I813" s="8" t="str">
        <f t="shared" si="220"/>
        <v>no</v>
      </c>
      <c r="J813" s="10" t="str">
        <f t="shared" si="211"/>
        <v>no</v>
      </c>
      <c r="K813" s="10" t="str">
        <f t="shared" si="212"/>
        <v>no</v>
      </c>
      <c r="L813" t="s">
        <v>219</v>
      </c>
      <c r="M813">
        <v>10551</v>
      </c>
      <c r="N813">
        <v>44</v>
      </c>
      <c r="O813" t="s">
        <v>728</v>
      </c>
      <c r="P813" t="str">
        <f t="shared" si="213"/>
        <v>FURIB_10551_Gula Malacca</v>
      </c>
      <c r="Q813" t="str">
        <f t="shared" si="214"/>
        <v>10551</v>
      </c>
      <c r="R813" t="str">
        <f t="shared" si="215"/>
        <v>10551</v>
      </c>
      <c r="S813" t="str">
        <f t="shared" si="216"/>
        <v>Gula Malacca</v>
      </c>
      <c r="T813">
        <v>19.45</v>
      </c>
      <c r="U813">
        <v>40</v>
      </c>
      <c r="V813">
        <v>0</v>
      </c>
      <c r="W813">
        <f t="shared" si="217"/>
        <v>778</v>
      </c>
      <c r="X813" t="str">
        <f t="shared" si="218"/>
        <v>No</v>
      </c>
      <c r="Y813" s="2">
        <v>34878</v>
      </c>
      <c r="Z813" t="str">
        <f t="shared" si="204"/>
        <v/>
      </c>
      <c r="AA813" t="str">
        <f t="shared" si="219"/>
        <v/>
      </c>
      <c r="AB813" t="str" cm="1">
        <f t="array" ref="AB813">_xlfn.IFS(Y813&lt;DATE(1996,1,1),"",Y813&lt;DATE(1996,4,1),"Q1",Y813&lt;DATE(1996,7,1),"Q2",Y813&gt;=DATE(1996,7,1),"")</f>
        <v/>
      </c>
    </row>
    <row r="814" spans="1:28" ht="14.4" x14ac:dyDescent="0.55000000000000004">
      <c r="A814" t="str">
        <f>VLOOKUP(L814,Customers!$A$2:$B$92,2,FALSE)</f>
        <v>HILARIÓN-Abastos</v>
      </c>
      <c r="B814" t="str">
        <f>VLOOKUP(L814,Customers!$A$2:$C$92,3,TRUE)</f>
        <v>Carlos Hernández</v>
      </c>
      <c r="C814" t="str">
        <f t="shared" si="205"/>
        <v>Carlos</v>
      </c>
      <c r="D814" s="8" t="str">
        <f t="shared" si="206"/>
        <v>Hernández</v>
      </c>
      <c r="E814" s="8" t="str">
        <f t="shared" si="207"/>
        <v>Hernández, Carlos</v>
      </c>
      <c r="F814" s="8" t="str">
        <f t="shared" si="208"/>
        <v>Hernández, Carlos</v>
      </c>
      <c r="G814" s="8" t="str">
        <f t="shared" si="209"/>
        <v>not an outlier</v>
      </c>
      <c r="H814" s="8" t="str">
        <f t="shared" si="210"/>
        <v>Not</v>
      </c>
      <c r="I814" s="8" t="str">
        <f t="shared" si="220"/>
        <v>no</v>
      </c>
      <c r="J814" s="10" t="str">
        <f t="shared" si="211"/>
        <v>no</v>
      </c>
      <c r="K814" s="10" t="str">
        <f t="shared" si="212"/>
        <v>no</v>
      </c>
      <c r="L814" t="s">
        <v>273</v>
      </c>
      <c r="M814">
        <v>10552</v>
      </c>
      <c r="N814">
        <v>69</v>
      </c>
      <c r="O814" t="s">
        <v>743</v>
      </c>
      <c r="P814" t="str">
        <f t="shared" si="213"/>
        <v>HILAA_10552_Gudbrandsdalsost</v>
      </c>
      <c r="Q814" t="str">
        <f t="shared" si="214"/>
        <v>10552</v>
      </c>
      <c r="R814" t="str">
        <f t="shared" si="215"/>
        <v>10552</v>
      </c>
      <c r="S814" t="str">
        <f t="shared" si="216"/>
        <v>Gudbrandsdalsost</v>
      </c>
      <c r="T814">
        <v>36</v>
      </c>
      <c r="U814">
        <v>18</v>
      </c>
      <c r="V814">
        <v>0</v>
      </c>
      <c r="W814">
        <f t="shared" si="217"/>
        <v>648</v>
      </c>
      <c r="X814" t="str">
        <f t="shared" si="218"/>
        <v>No</v>
      </c>
      <c r="Y814" s="2">
        <v>34879</v>
      </c>
      <c r="Z814" t="str">
        <f t="shared" si="204"/>
        <v/>
      </c>
      <c r="AA814" t="str">
        <f t="shared" si="219"/>
        <v/>
      </c>
      <c r="AB814" t="str" cm="1">
        <f t="array" ref="AB814">_xlfn.IFS(Y814&lt;DATE(1996,1,1),"",Y814&lt;DATE(1996,4,1),"Q1",Y814&lt;DATE(1996,7,1),"Q2",Y814&gt;=DATE(1996,7,1),"")</f>
        <v/>
      </c>
    </row>
    <row r="815" spans="1:28" ht="14.4" x14ac:dyDescent="0.55000000000000004">
      <c r="A815" t="str">
        <f>VLOOKUP(L815,Customers!$A$2:$B$92,2,FALSE)</f>
        <v>HILARIÓN-Abastos</v>
      </c>
      <c r="B815" t="str">
        <f>VLOOKUP(L815,Customers!$A$2:$C$92,3,TRUE)</f>
        <v>Carlos Hernández</v>
      </c>
      <c r="C815" t="str">
        <f t="shared" si="205"/>
        <v>Carlos</v>
      </c>
      <c r="D815" s="8" t="str">
        <f t="shared" si="206"/>
        <v>Hernández</v>
      </c>
      <c r="E815" s="8" t="str">
        <f t="shared" si="207"/>
        <v>Hernández, Carlos</v>
      </c>
      <c r="F815" s="8" t="str">
        <f t="shared" si="208"/>
        <v>Hernández, Carlos</v>
      </c>
      <c r="G815" s="8" t="str">
        <f t="shared" si="209"/>
        <v>not an outlier</v>
      </c>
      <c r="H815" s="8" t="str">
        <f t="shared" si="210"/>
        <v>Not</v>
      </c>
      <c r="I815" s="8" t="str">
        <f t="shared" si="220"/>
        <v>no</v>
      </c>
      <c r="J815" s="10" t="str">
        <f t="shared" si="211"/>
        <v>no</v>
      </c>
      <c r="K815" s="10" t="str">
        <f t="shared" si="212"/>
        <v>no</v>
      </c>
      <c r="L815" t="s">
        <v>273</v>
      </c>
      <c r="M815">
        <v>10552</v>
      </c>
      <c r="N815">
        <v>75</v>
      </c>
      <c r="O815" t="s">
        <v>731</v>
      </c>
      <c r="P815" t="str">
        <f t="shared" si="213"/>
        <v>HILAA_10552_Rhönbräu Klosterbier</v>
      </c>
      <c r="Q815" t="str">
        <f t="shared" si="214"/>
        <v>10552</v>
      </c>
      <c r="R815" t="str">
        <f t="shared" si="215"/>
        <v>10552</v>
      </c>
      <c r="S815" t="str">
        <f t="shared" si="216"/>
        <v>Rhönbräu Klosterbier</v>
      </c>
      <c r="T815">
        <v>7.75</v>
      </c>
      <c r="U815">
        <v>30</v>
      </c>
      <c r="V815">
        <v>0</v>
      </c>
      <c r="W815">
        <f t="shared" si="217"/>
        <v>232.5</v>
      </c>
      <c r="X815" t="str">
        <f t="shared" si="218"/>
        <v>No</v>
      </c>
      <c r="Y815" s="2">
        <v>34879</v>
      </c>
      <c r="Z815" t="str">
        <f t="shared" si="204"/>
        <v/>
      </c>
      <c r="AA815" t="str">
        <f t="shared" si="219"/>
        <v/>
      </c>
      <c r="AB815" t="str" cm="1">
        <f t="array" ref="AB815">_xlfn.IFS(Y815&lt;DATE(1996,1,1),"",Y815&lt;DATE(1996,4,1),"Q1",Y815&lt;DATE(1996,7,1),"Q2",Y815&gt;=DATE(1996,7,1),"")</f>
        <v/>
      </c>
    </row>
    <row r="816" spans="1:28" ht="14.4" x14ac:dyDescent="0.55000000000000004">
      <c r="A816" t="str">
        <f>VLOOKUP(L816,Customers!$A$2:$B$92,2,FALSE)</f>
        <v>Wartian Herkku</v>
      </c>
      <c r="B816" t="str">
        <f>VLOOKUP(L816,Customers!$A$2:$C$92,3,TRUE)</f>
        <v>Pirkko Koskitalo</v>
      </c>
      <c r="C816" t="str">
        <f t="shared" si="205"/>
        <v>Pirkko</v>
      </c>
      <c r="D816" s="8" t="str">
        <f t="shared" si="206"/>
        <v>Koskitalo</v>
      </c>
      <c r="E816" s="8" t="str">
        <f t="shared" si="207"/>
        <v>Koskitalo, Pirkko</v>
      </c>
      <c r="F816" s="8" t="str">
        <f t="shared" si="208"/>
        <v>Koskitalo, Pirkko</v>
      </c>
      <c r="G816" s="8" t="str">
        <f t="shared" si="209"/>
        <v>not an outlier</v>
      </c>
      <c r="H816" s="8" t="str">
        <f t="shared" si="210"/>
        <v>Not</v>
      </c>
      <c r="I816" s="8" t="str">
        <f t="shared" si="220"/>
        <v>no</v>
      </c>
      <c r="J816" s="10" t="str">
        <f t="shared" si="211"/>
        <v>no</v>
      </c>
      <c r="K816" s="10" t="str">
        <f t="shared" si="212"/>
        <v>no</v>
      </c>
      <c r="L816" t="s">
        <v>640</v>
      </c>
      <c r="M816">
        <v>10553</v>
      </c>
      <c r="N816">
        <v>11</v>
      </c>
      <c r="O816" t="s">
        <v>683</v>
      </c>
      <c r="P816" t="str">
        <f t="shared" si="213"/>
        <v>WARTH_10553_Queso Cabrales</v>
      </c>
      <c r="Q816" t="str">
        <f t="shared" si="214"/>
        <v>10553</v>
      </c>
      <c r="R816" t="str">
        <f t="shared" si="215"/>
        <v>10553</v>
      </c>
      <c r="S816" t="str">
        <f t="shared" si="216"/>
        <v>Queso Cabrales</v>
      </c>
      <c r="T816">
        <v>21</v>
      </c>
      <c r="U816">
        <v>15</v>
      </c>
      <c r="V816">
        <v>0</v>
      </c>
      <c r="W816">
        <f t="shared" si="217"/>
        <v>315</v>
      </c>
      <c r="X816" t="str">
        <f t="shared" si="218"/>
        <v>No</v>
      </c>
      <c r="Y816" s="2">
        <v>34880</v>
      </c>
      <c r="Z816" t="str">
        <f t="shared" si="204"/>
        <v/>
      </c>
      <c r="AA816" t="str">
        <f t="shared" si="219"/>
        <v/>
      </c>
      <c r="AB816" t="str" cm="1">
        <f t="array" ref="AB816">_xlfn.IFS(Y816&lt;DATE(1996,1,1),"",Y816&lt;DATE(1996,4,1),"Q1",Y816&lt;DATE(1996,7,1),"Q2",Y816&gt;=DATE(1996,7,1),"")</f>
        <v/>
      </c>
    </row>
    <row r="817" spans="1:28" ht="14.4" x14ac:dyDescent="0.55000000000000004">
      <c r="A817" t="str">
        <f>VLOOKUP(L817,Customers!$A$2:$B$92,2,FALSE)</f>
        <v>Wartian Herkku</v>
      </c>
      <c r="B817" t="str">
        <f>VLOOKUP(L817,Customers!$A$2:$C$92,3,TRUE)</f>
        <v>Pirkko Koskitalo</v>
      </c>
      <c r="C817" t="str">
        <f t="shared" si="205"/>
        <v>Pirkko</v>
      </c>
      <c r="D817" s="8" t="str">
        <f t="shared" si="206"/>
        <v>Koskitalo</v>
      </c>
      <c r="E817" s="8" t="str">
        <f t="shared" si="207"/>
        <v>Koskitalo, Pirkko</v>
      </c>
      <c r="F817" s="8" t="str">
        <f t="shared" si="208"/>
        <v>Koskitalo, Pirkko</v>
      </c>
      <c r="G817" s="8" t="str">
        <f t="shared" si="209"/>
        <v>not an outlier</v>
      </c>
      <c r="H817" s="8" t="str">
        <f t="shared" si="210"/>
        <v>Not</v>
      </c>
      <c r="I817" s="8" t="str">
        <f t="shared" si="220"/>
        <v>no</v>
      </c>
      <c r="J817" s="10" t="str">
        <f t="shared" si="211"/>
        <v>no</v>
      </c>
      <c r="K817" s="10" t="str">
        <f t="shared" si="212"/>
        <v>no</v>
      </c>
      <c r="L817" t="s">
        <v>640</v>
      </c>
      <c r="M817">
        <v>10553</v>
      </c>
      <c r="N817">
        <v>16</v>
      </c>
      <c r="O817" t="s">
        <v>702</v>
      </c>
      <c r="P817" t="str">
        <f t="shared" si="213"/>
        <v>WARTH_10553_Pavlova</v>
      </c>
      <c r="Q817" t="str">
        <f t="shared" si="214"/>
        <v>10553</v>
      </c>
      <c r="R817" t="str">
        <f t="shared" si="215"/>
        <v>10553</v>
      </c>
      <c r="S817" t="str">
        <f t="shared" si="216"/>
        <v>Pavlova</v>
      </c>
      <c r="T817">
        <v>17.45</v>
      </c>
      <c r="U817">
        <v>14</v>
      </c>
      <c r="V817">
        <v>0</v>
      </c>
      <c r="W817">
        <f t="shared" si="217"/>
        <v>244.29999999999998</v>
      </c>
      <c r="X817" t="str">
        <f t="shared" si="218"/>
        <v>No</v>
      </c>
      <c r="Y817" s="2">
        <v>34880</v>
      </c>
      <c r="Z817" t="str">
        <f t="shared" si="204"/>
        <v/>
      </c>
      <c r="AA817" t="str">
        <f t="shared" si="219"/>
        <v/>
      </c>
      <c r="AB817" t="str" cm="1">
        <f t="array" ref="AB817">_xlfn.IFS(Y817&lt;DATE(1996,1,1),"",Y817&lt;DATE(1996,4,1),"Q1",Y817&lt;DATE(1996,7,1),"Q2",Y817&gt;=DATE(1996,7,1),"")</f>
        <v/>
      </c>
    </row>
    <row r="818" spans="1:28" ht="14.4" x14ac:dyDescent="0.55000000000000004">
      <c r="A818" t="str">
        <f>VLOOKUP(L818,Customers!$A$2:$B$92,2,FALSE)</f>
        <v>Wartian Herkku</v>
      </c>
      <c r="B818" t="str">
        <f>VLOOKUP(L818,Customers!$A$2:$C$92,3,TRUE)</f>
        <v>Pirkko Koskitalo</v>
      </c>
      <c r="C818" t="str">
        <f t="shared" si="205"/>
        <v>Pirkko</v>
      </c>
      <c r="D818" s="8" t="str">
        <f t="shared" si="206"/>
        <v>Koskitalo</v>
      </c>
      <c r="E818" s="8" t="str">
        <f t="shared" si="207"/>
        <v>Koskitalo, Pirkko</v>
      </c>
      <c r="F818" s="8" t="str">
        <f t="shared" si="208"/>
        <v>Koskitalo, Pirkko</v>
      </c>
      <c r="G818" s="8" t="str">
        <f t="shared" si="209"/>
        <v>not an outlier</v>
      </c>
      <c r="H818" s="8" t="str">
        <f t="shared" si="210"/>
        <v>Not</v>
      </c>
      <c r="I818" s="8" t="str">
        <f t="shared" si="220"/>
        <v>no</v>
      </c>
      <c r="J818" s="10" t="str">
        <f t="shared" si="211"/>
        <v>no</v>
      </c>
      <c r="K818" s="10" t="str">
        <f t="shared" si="212"/>
        <v>no</v>
      </c>
      <c r="L818" t="s">
        <v>640</v>
      </c>
      <c r="M818">
        <v>10553</v>
      </c>
      <c r="N818">
        <v>22</v>
      </c>
      <c r="O818" t="s">
        <v>690</v>
      </c>
      <c r="P818" t="str">
        <f t="shared" si="213"/>
        <v>WARTH_10553_Gustaf's Knäckebröd</v>
      </c>
      <c r="Q818" t="str">
        <f t="shared" si="214"/>
        <v>10553</v>
      </c>
      <c r="R818" t="str">
        <f t="shared" si="215"/>
        <v>10553</v>
      </c>
      <c r="S818" t="str">
        <f t="shared" si="216"/>
        <v>Gustaf's Knäckebröd</v>
      </c>
      <c r="T818">
        <v>21</v>
      </c>
      <c r="U818">
        <v>24</v>
      </c>
      <c r="V818">
        <v>0</v>
      </c>
      <c r="W818">
        <f t="shared" si="217"/>
        <v>504</v>
      </c>
      <c r="X818" t="str">
        <f t="shared" si="218"/>
        <v>No</v>
      </c>
      <c r="Y818" s="2">
        <v>34880</v>
      </c>
      <c r="Z818" t="str">
        <f t="shared" si="204"/>
        <v/>
      </c>
      <c r="AA818" t="str">
        <f t="shared" si="219"/>
        <v/>
      </c>
      <c r="AB818" t="str" cm="1">
        <f t="array" ref="AB818">_xlfn.IFS(Y818&lt;DATE(1996,1,1),"",Y818&lt;DATE(1996,4,1),"Q1",Y818&lt;DATE(1996,7,1),"Q2",Y818&gt;=DATE(1996,7,1),"")</f>
        <v/>
      </c>
    </row>
    <row r="819" spans="1:28" ht="14.4" x14ac:dyDescent="0.55000000000000004">
      <c r="A819" t="str">
        <f>VLOOKUP(L819,Customers!$A$2:$B$92,2,FALSE)</f>
        <v>Wartian Herkku</v>
      </c>
      <c r="B819" t="str">
        <f>VLOOKUP(L819,Customers!$A$2:$C$92,3,TRUE)</f>
        <v>Pirkko Koskitalo</v>
      </c>
      <c r="C819" t="str">
        <f t="shared" si="205"/>
        <v>Pirkko</v>
      </c>
      <c r="D819" s="8" t="str">
        <f t="shared" si="206"/>
        <v>Koskitalo</v>
      </c>
      <c r="E819" s="8" t="str">
        <f t="shared" si="207"/>
        <v>Koskitalo, Pirkko</v>
      </c>
      <c r="F819" s="8" t="str">
        <f t="shared" si="208"/>
        <v>Koskitalo, Pirkko</v>
      </c>
      <c r="G819" s="8" t="str">
        <f t="shared" si="209"/>
        <v>not an outlier</v>
      </c>
      <c r="H819" s="8" t="str">
        <f t="shared" si="210"/>
        <v>Not</v>
      </c>
      <c r="I819" s="8" t="str">
        <f t="shared" si="220"/>
        <v>no</v>
      </c>
      <c r="J819" s="10" t="str">
        <f t="shared" si="211"/>
        <v>no</v>
      </c>
      <c r="K819" s="10" t="str">
        <f t="shared" si="212"/>
        <v>no</v>
      </c>
      <c r="L819" t="s">
        <v>640</v>
      </c>
      <c r="M819">
        <v>10553</v>
      </c>
      <c r="N819">
        <v>31</v>
      </c>
      <c r="O819" t="s">
        <v>695</v>
      </c>
      <c r="P819" t="str">
        <f t="shared" si="213"/>
        <v>WARTH_10553_Gorgonzola Telino</v>
      </c>
      <c r="Q819" t="str">
        <f t="shared" si="214"/>
        <v>10553</v>
      </c>
      <c r="R819" t="str">
        <f t="shared" si="215"/>
        <v>10553</v>
      </c>
      <c r="S819" t="str">
        <f t="shared" si="216"/>
        <v>Gorgonzola Telino</v>
      </c>
      <c r="T819">
        <v>12.5</v>
      </c>
      <c r="U819">
        <v>30</v>
      </c>
      <c r="V819">
        <v>0</v>
      </c>
      <c r="W819">
        <f t="shared" si="217"/>
        <v>375</v>
      </c>
      <c r="X819" t="str">
        <f t="shared" si="218"/>
        <v>No</v>
      </c>
      <c r="Y819" s="2">
        <v>34880</v>
      </c>
      <c r="Z819" t="str">
        <f t="shared" si="204"/>
        <v/>
      </c>
      <c r="AA819" t="str">
        <f t="shared" si="219"/>
        <v/>
      </c>
      <c r="AB819" t="str" cm="1">
        <f t="array" ref="AB819">_xlfn.IFS(Y819&lt;DATE(1996,1,1),"",Y819&lt;DATE(1996,4,1),"Q1",Y819&lt;DATE(1996,7,1),"Q2",Y819&gt;=DATE(1996,7,1),"")</f>
        <v/>
      </c>
    </row>
    <row r="820" spans="1:28" ht="14.4" x14ac:dyDescent="0.55000000000000004">
      <c r="A820" t="str">
        <f>VLOOKUP(L820,Customers!$A$2:$B$92,2,FALSE)</f>
        <v>Wartian Herkku</v>
      </c>
      <c r="B820" t="str">
        <f>VLOOKUP(L820,Customers!$A$2:$C$92,3,TRUE)</f>
        <v>Pirkko Koskitalo</v>
      </c>
      <c r="C820" t="str">
        <f t="shared" si="205"/>
        <v>Pirkko</v>
      </c>
      <c r="D820" s="8" t="str">
        <f t="shared" si="206"/>
        <v>Koskitalo</v>
      </c>
      <c r="E820" s="8" t="str">
        <f t="shared" si="207"/>
        <v>Koskitalo, Pirkko</v>
      </c>
      <c r="F820" s="8" t="str">
        <f t="shared" si="208"/>
        <v>Koskitalo, Pirkko</v>
      </c>
      <c r="G820" s="8" t="str">
        <f t="shared" si="209"/>
        <v>not an outlier</v>
      </c>
      <c r="H820" s="8" t="str">
        <f t="shared" si="210"/>
        <v>Not</v>
      </c>
      <c r="I820" s="8" t="str">
        <f t="shared" si="220"/>
        <v>no</v>
      </c>
      <c r="J820" s="10" t="str">
        <f t="shared" si="211"/>
        <v>no</v>
      </c>
      <c r="K820" s="10" t="str">
        <f t="shared" si="212"/>
        <v>no</v>
      </c>
      <c r="L820" t="s">
        <v>640</v>
      </c>
      <c r="M820">
        <v>10553</v>
      </c>
      <c r="N820">
        <v>35</v>
      </c>
      <c r="O820" t="s">
        <v>714</v>
      </c>
      <c r="P820" t="str">
        <f t="shared" si="213"/>
        <v>WARTH_10553_Steeleye Stout</v>
      </c>
      <c r="Q820" t="str">
        <f t="shared" si="214"/>
        <v>10553</v>
      </c>
      <c r="R820" t="str">
        <f t="shared" si="215"/>
        <v>10553</v>
      </c>
      <c r="S820" t="str">
        <f t="shared" si="216"/>
        <v>Steeleye Stout</v>
      </c>
      <c r="T820">
        <v>18</v>
      </c>
      <c r="U820">
        <v>6</v>
      </c>
      <c r="V820">
        <v>0</v>
      </c>
      <c r="W820">
        <f t="shared" si="217"/>
        <v>108</v>
      </c>
      <c r="X820" t="str">
        <f t="shared" si="218"/>
        <v>No</v>
      </c>
      <c r="Y820" s="2">
        <v>34880</v>
      </c>
      <c r="Z820" t="str">
        <f t="shared" si="204"/>
        <v/>
      </c>
      <c r="AA820" t="str">
        <f t="shared" si="219"/>
        <v/>
      </c>
      <c r="AB820" t="str" cm="1">
        <f t="array" ref="AB820">_xlfn.IFS(Y820&lt;DATE(1996,1,1),"",Y820&lt;DATE(1996,4,1),"Q1",Y820&lt;DATE(1996,7,1),"Q2",Y820&gt;=DATE(1996,7,1),"")</f>
        <v/>
      </c>
    </row>
    <row r="821" spans="1:28" ht="14.4" x14ac:dyDescent="0.55000000000000004">
      <c r="A821" t="str">
        <f>VLOOKUP(L821,Customers!$A$2:$B$92,2,FALSE)</f>
        <v>Ottilies Käseladen</v>
      </c>
      <c r="B821" t="str">
        <f>VLOOKUP(L821,Customers!$A$2:$C$92,3,TRUE)</f>
        <v>Henriette Pfalzheim</v>
      </c>
      <c r="C821" t="str">
        <f t="shared" si="205"/>
        <v>Henriette</v>
      </c>
      <c r="D821" s="8" t="str">
        <f t="shared" si="206"/>
        <v>Pfalzheim</v>
      </c>
      <c r="E821" s="8" t="str">
        <f t="shared" si="207"/>
        <v>Pfalzheim, Henriette</v>
      </c>
      <c r="F821" s="8" t="str">
        <f t="shared" si="208"/>
        <v>Pfalzheim, Henriette</v>
      </c>
      <c r="G821" s="8" t="str">
        <f t="shared" si="209"/>
        <v>not an outlier</v>
      </c>
      <c r="H821" s="8" t="str">
        <f t="shared" si="210"/>
        <v>Not</v>
      </c>
      <c r="I821" s="8" t="str">
        <f t="shared" si="220"/>
        <v>no</v>
      </c>
      <c r="J821" s="10" t="str">
        <f t="shared" si="211"/>
        <v>no</v>
      </c>
      <c r="K821" s="10" t="str">
        <f t="shared" si="212"/>
        <v>no</v>
      </c>
      <c r="L821" t="s">
        <v>430</v>
      </c>
      <c r="M821">
        <v>10554</v>
      </c>
      <c r="N821">
        <v>16</v>
      </c>
      <c r="O821" t="s">
        <v>702</v>
      </c>
      <c r="P821" t="str">
        <f t="shared" si="213"/>
        <v>OTTIK_10554_Pavlova</v>
      </c>
      <c r="Q821" t="str">
        <f t="shared" si="214"/>
        <v>10554</v>
      </c>
      <c r="R821" t="str">
        <f t="shared" si="215"/>
        <v>10554</v>
      </c>
      <c r="S821" t="str">
        <f t="shared" si="216"/>
        <v>Pavlova</v>
      </c>
      <c r="T821">
        <v>17.45</v>
      </c>
      <c r="U821">
        <v>30</v>
      </c>
      <c r="V821">
        <v>0.05</v>
      </c>
      <c r="W821">
        <f t="shared" si="217"/>
        <v>497.32499999999999</v>
      </c>
      <c r="X821" t="str">
        <f t="shared" si="218"/>
        <v>No</v>
      </c>
      <c r="Y821" s="2">
        <v>34880</v>
      </c>
      <c r="Z821" t="str">
        <f t="shared" si="204"/>
        <v/>
      </c>
      <c r="AA821" t="str">
        <f t="shared" si="219"/>
        <v/>
      </c>
      <c r="AB821" t="str" cm="1">
        <f t="array" ref="AB821">_xlfn.IFS(Y821&lt;DATE(1996,1,1),"",Y821&lt;DATE(1996,4,1),"Q1",Y821&lt;DATE(1996,7,1),"Q2",Y821&gt;=DATE(1996,7,1),"")</f>
        <v/>
      </c>
    </row>
    <row r="822" spans="1:28" ht="14.4" x14ac:dyDescent="0.55000000000000004">
      <c r="A822" t="str">
        <f>VLOOKUP(L822,Customers!$A$2:$B$92,2,FALSE)</f>
        <v>Ottilies Käseladen</v>
      </c>
      <c r="B822" t="str">
        <f>VLOOKUP(L822,Customers!$A$2:$C$92,3,TRUE)</f>
        <v>Henriette Pfalzheim</v>
      </c>
      <c r="C822" t="str">
        <f t="shared" si="205"/>
        <v>Henriette</v>
      </c>
      <c r="D822" s="8" t="str">
        <f t="shared" si="206"/>
        <v>Pfalzheim</v>
      </c>
      <c r="E822" s="8" t="str">
        <f t="shared" si="207"/>
        <v>Pfalzheim, Henriette</v>
      </c>
      <c r="F822" s="8" t="str">
        <f t="shared" si="208"/>
        <v>Pfalzheim, Henriette</v>
      </c>
      <c r="G822" s="8" t="str">
        <f t="shared" si="209"/>
        <v>not an outlier</v>
      </c>
      <c r="H822" s="8" t="str">
        <f t="shared" si="210"/>
        <v>Not</v>
      </c>
      <c r="I822" s="8" t="str">
        <f t="shared" si="220"/>
        <v>no</v>
      </c>
      <c r="J822" s="10" t="str">
        <f t="shared" si="211"/>
        <v>no</v>
      </c>
      <c r="K822" s="10" t="str">
        <f t="shared" si="212"/>
        <v>no</v>
      </c>
      <c r="L822" t="s">
        <v>430</v>
      </c>
      <c r="M822">
        <v>10554</v>
      </c>
      <c r="N822">
        <v>23</v>
      </c>
      <c r="O822" t="s">
        <v>753</v>
      </c>
      <c r="P822" t="str">
        <f t="shared" si="213"/>
        <v>OTTIK_10554_Tunnbröd</v>
      </c>
      <c r="Q822" t="str">
        <f t="shared" si="214"/>
        <v>10554</v>
      </c>
      <c r="R822" t="str">
        <f t="shared" si="215"/>
        <v>10554</v>
      </c>
      <c r="S822" t="str">
        <f t="shared" si="216"/>
        <v>Tunnbröd</v>
      </c>
      <c r="T822">
        <v>9</v>
      </c>
      <c r="U822">
        <v>20</v>
      </c>
      <c r="V822">
        <v>0.05</v>
      </c>
      <c r="W822">
        <f t="shared" si="217"/>
        <v>171</v>
      </c>
      <c r="X822" t="str">
        <f t="shared" si="218"/>
        <v>No</v>
      </c>
      <c r="Y822" s="2">
        <v>34880</v>
      </c>
      <c r="Z822" t="str">
        <f t="shared" si="204"/>
        <v/>
      </c>
      <c r="AA822" t="str">
        <f t="shared" si="219"/>
        <v/>
      </c>
      <c r="AB822" t="str" cm="1">
        <f t="array" ref="AB822">_xlfn.IFS(Y822&lt;DATE(1996,1,1),"",Y822&lt;DATE(1996,4,1),"Q1",Y822&lt;DATE(1996,7,1),"Q2",Y822&gt;=DATE(1996,7,1),"")</f>
        <v/>
      </c>
    </row>
    <row r="823" spans="1:28" ht="14.4" x14ac:dyDescent="0.55000000000000004">
      <c r="A823" t="str">
        <f>VLOOKUP(L823,Customers!$A$2:$B$92,2,FALSE)</f>
        <v>Ottilies Käseladen</v>
      </c>
      <c r="B823" t="str">
        <f>VLOOKUP(L823,Customers!$A$2:$C$92,3,TRUE)</f>
        <v>Henriette Pfalzheim</v>
      </c>
      <c r="C823" t="str">
        <f t="shared" si="205"/>
        <v>Henriette</v>
      </c>
      <c r="D823" s="8" t="str">
        <f t="shared" si="206"/>
        <v>Pfalzheim</v>
      </c>
      <c r="E823" s="8" t="str">
        <f t="shared" si="207"/>
        <v>Pfalzheim, Henriette</v>
      </c>
      <c r="F823" s="8" t="str">
        <f t="shared" si="208"/>
        <v>Pfalzheim, Henriette</v>
      </c>
      <c r="G823" s="8" t="str">
        <f t="shared" si="209"/>
        <v>not an outlier</v>
      </c>
      <c r="H823" s="8" t="str">
        <f t="shared" si="210"/>
        <v>Not</v>
      </c>
      <c r="I823" s="8" t="str">
        <f t="shared" si="220"/>
        <v>no</v>
      </c>
      <c r="J823" s="10" t="str">
        <f t="shared" si="211"/>
        <v>no</v>
      </c>
      <c r="K823" s="10" t="str">
        <f t="shared" si="212"/>
        <v>no</v>
      </c>
      <c r="L823" t="s">
        <v>430</v>
      </c>
      <c r="M823">
        <v>10554</v>
      </c>
      <c r="N823">
        <v>62</v>
      </c>
      <c r="O823" t="s">
        <v>712</v>
      </c>
      <c r="P823" t="str">
        <f t="shared" si="213"/>
        <v>OTTIK_10554_Tarte au sucre</v>
      </c>
      <c r="Q823" t="str">
        <f t="shared" si="214"/>
        <v>10554</v>
      </c>
      <c r="R823" t="str">
        <f t="shared" si="215"/>
        <v>10554</v>
      </c>
      <c r="S823" t="str">
        <f t="shared" si="216"/>
        <v>Tarte au sucre</v>
      </c>
      <c r="T823">
        <v>49.3</v>
      </c>
      <c r="U823">
        <v>20</v>
      </c>
      <c r="V823">
        <v>0.05</v>
      </c>
      <c r="W823">
        <f t="shared" si="217"/>
        <v>936.69999999999993</v>
      </c>
      <c r="X823" t="str">
        <f t="shared" si="218"/>
        <v>No</v>
      </c>
      <c r="Y823" s="2">
        <v>34880</v>
      </c>
      <c r="Z823" t="str">
        <f t="shared" si="204"/>
        <v/>
      </c>
      <c r="AA823" t="str">
        <f t="shared" si="219"/>
        <v/>
      </c>
      <c r="AB823" t="str" cm="1">
        <f t="array" ref="AB823">_xlfn.IFS(Y823&lt;DATE(1996,1,1),"",Y823&lt;DATE(1996,4,1),"Q1",Y823&lt;DATE(1996,7,1),"Q2",Y823&gt;=DATE(1996,7,1),"")</f>
        <v/>
      </c>
    </row>
    <row r="824" spans="1:28" ht="14.4" x14ac:dyDescent="0.55000000000000004">
      <c r="A824" t="str">
        <f>VLOOKUP(L824,Customers!$A$2:$B$92,2,FALSE)</f>
        <v>Ottilies Käseladen</v>
      </c>
      <c r="B824" t="str">
        <f>VLOOKUP(L824,Customers!$A$2:$C$92,3,TRUE)</f>
        <v>Henriette Pfalzheim</v>
      </c>
      <c r="C824" t="str">
        <f t="shared" si="205"/>
        <v>Henriette</v>
      </c>
      <c r="D824" s="8" t="str">
        <f t="shared" si="206"/>
        <v>Pfalzheim</v>
      </c>
      <c r="E824" s="8" t="str">
        <f t="shared" si="207"/>
        <v>Pfalzheim, Henriette</v>
      </c>
      <c r="F824" s="8" t="str">
        <f t="shared" si="208"/>
        <v>Pfalzheim, Henriette</v>
      </c>
      <c r="G824" s="8" t="str">
        <f t="shared" si="209"/>
        <v>not an outlier</v>
      </c>
      <c r="H824" s="8" t="str">
        <f t="shared" si="210"/>
        <v>Not</v>
      </c>
      <c r="I824" s="8" t="str">
        <f t="shared" si="220"/>
        <v>no</v>
      </c>
      <c r="J824" s="10" t="str">
        <f t="shared" si="211"/>
        <v>no</v>
      </c>
      <c r="K824" s="10" t="str">
        <f t="shared" si="212"/>
        <v>no</v>
      </c>
      <c r="L824" t="s">
        <v>430</v>
      </c>
      <c r="M824">
        <v>10554</v>
      </c>
      <c r="N824">
        <v>77</v>
      </c>
      <c r="O824" t="s">
        <v>706</v>
      </c>
      <c r="P824" t="str">
        <f t="shared" si="213"/>
        <v>OTTIK_10554_Original Frankfurter grüne Soße</v>
      </c>
      <c r="Q824" t="str">
        <f t="shared" si="214"/>
        <v>10554</v>
      </c>
      <c r="R824" t="str">
        <f t="shared" si="215"/>
        <v>10554</v>
      </c>
      <c r="S824" t="str">
        <f t="shared" si="216"/>
        <v>Original Frankfurter grüne Soße</v>
      </c>
      <c r="T824">
        <v>13</v>
      </c>
      <c r="U824">
        <v>10</v>
      </c>
      <c r="V824">
        <v>0.05</v>
      </c>
      <c r="W824">
        <f t="shared" si="217"/>
        <v>123.5</v>
      </c>
      <c r="X824" t="str">
        <f t="shared" si="218"/>
        <v>No</v>
      </c>
      <c r="Y824" s="2">
        <v>34880</v>
      </c>
      <c r="Z824" t="str">
        <f t="shared" si="204"/>
        <v/>
      </c>
      <c r="AA824" t="str">
        <f t="shared" si="219"/>
        <v/>
      </c>
      <c r="AB824" t="str" cm="1">
        <f t="array" ref="AB824">_xlfn.IFS(Y824&lt;DATE(1996,1,1),"",Y824&lt;DATE(1996,4,1),"Q1",Y824&lt;DATE(1996,7,1),"Q2",Y824&gt;=DATE(1996,7,1),"")</f>
        <v/>
      </c>
    </row>
    <row r="825" spans="1:28" ht="14.4" x14ac:dyDescent="0.55000000000000004">
      <c r="A825" t="str">
        <f>VLOOKUP(L825,Customers!$A$2:$B$92,2,FALSE)</f>
        <v>Save-a-lot Markets</v>
      </c>
      <c r="B825" t="str">
        <f>VLOOKUP(L825,Customers!$A$2:$C$92,3,TRUE)</f>
        <v>Jose Pavarotti</v>
      </c>
      <c r="C825" t="str">
        <f t="shared" si="205"/>
        <v>Jose</v>
      </c>
      <c r="D825" s="8" t="str">
        <f t="shared" si="206"/>
        <v>Pavarotti</v>
      </c>
      <c r="E825" s="8" t="str">
        <f t="shared" si="207"/>
        <v>Pavarotti, Jose</v>
      </c>
      <c r="F825" s="8" t="str">
        <f t="shared" si="208"/>
        <v>Pavarotti, Jose</v>
      </c>
      <c r="G825" s="8" t="str">
        <f t="shared" si="209"/>
        <v>not an outlier</v>
      </c>
      <c r="H825" s="8" t="str">
        <f t="shared" si="210"/>
        <v>Not</v>
      </c>
      <c r="I825" s="8" t="str">
        <f t="shared" si="220"/>
        <v>no</v>
      </c>
      <c r="J825" s="10" t="str">
        <f t="shared" si="211"/>
        <v>no</v>
      </c>
      <c r="K825" s="10" t="str">
        <f t="shared" si="212"/>
        <v>no</v>
      </c>
      <c r="L825" t="s">
        <v>529</v>
      </c>
      <c r="M825">
        <v>10555</v>
      </c>
      <c r="N825">
        <v>14</v>
      </c>
      <c r="O825" t="s">
        <v>686</v>
      </c>
      <c r="P825" t="str">
        <f t="shared" si="213"/>
        <v>SAVEA_10555_Tofu</v>
      </c>
      <c r="Q825" t="str">
        <f t="shared" si="214"/>
        <v>10555</v>
      </c>
      <c r="R825" t="str">
        <f t="shared" si="215"/>
        <v>10555</v>
      </c>
      <c r="S825" t="str">
        <f t="shared" si="216"/>
        <v>Tofu</v>
      </c>
      <c r="T825">
        <v>23.25</v>
      </c>
      <c r="U825">
        <v>30</v>
      </c>
      <c r="V825">
        <v>0.2</v>
      </c>
      <c r="W825">
        <f t="shared" si="217"/>
        <v>558</v>
      </c>
      <c r="X825" t="str">
        <f t="shared" si="218"/>
        <v>No</v>
      </c>
      <c r="Y825" s="2">
        <v>34883</v>
      </c>
      <c r="Z825" t="str">
        <f t="shared" si="204"/>
        <v/>
      </c>
      <c r="AA825" t="str">
        <f t="shared" si="219"/>
        <v/>
      </c>
      <c r="AB825" t="str" cm="1">
        <f t="array" ref="AB825">_xlfn.IFS(Y825&lt;DATE(1996,1,1),"",Y825&lt;DATE(1996,4,1),"Q1",Y825&lt;DATE(1996,7,1),"Q2",Y825&gt;=DATE(1996,7,1),"")</f>
        <v/>
      </c>
    </row>
    <row r="826" spans="1:28" ht="14.4" x14ac:dyDescent="0.55000000000000004">
      <c r="A826" t="str">
        <f>VLOOKUP(L826,Customers!$A$2:$B$92,2,FALSE)</f>
        <v>Save-a-lot Markets</v>
      </c>
      <c r="B826" t="str">
        <f>VLOOKUP(L826,Customers!$A$2:$C$92,3,TRUE)</f>
        <v>Jose Pavarotti</v>
      </c>
      <c r="C826" t="str">
        <f t="shared" si="205"/>
        <v>Jose</v>
      </c>
      <c r="D826" s="8" t="str">
        <f t="shared" si="206"/>
        <v>Pavarotti</v>
      </c>
      <c r="E826" s="8" t="str">
        <f t="shared" si="207"/>
        <v>Pavarotti, Jose</v>
      </c>
      <c r="F826" s="8" t="str">
        <f t="shared" si="208"/>
        <v>Pavarotti, Jose</v>
      </c>
      <c r="G826" s="8" t="str">
        <f t="shared" si="209"/>
        <v>not an outlier</v>
      </c>
      <c r="H826" s="8" t="str">
        <f t="shared" si="210"/>
        <v>Not</v>
      </c>
      <c r="I826" s="8" t="str">
        <f t="shared" si="220"/>
        <v>no</v>
      </c>
      <c r="J826" s="10" t="str">
        <f t="shared" si="211"/>
        <v>no</v>
      </c>
      <c r="K826" s="10" t="str">
        <f t="shared" si="212"/>
        <v>no</v>
      </c>
      <c r="L826" t="s">
        <v>529</v>
      </c>
      <c r="M826">
        <v>10555</v>
      </c>
      <c r="N826">
        <v>19</v>
      </c>
      <c r="O826" t="s">
        <v>732</v>
      </c>
      <c r="P826" t="str">
        <f t="shared" si="213"/>
        <v>SAVEA_10555_Teatime Chocolate Biscuits</v>
      </c>
      <c r="Q826" t="str">
        <f t="shared" si="214"/>
        <v>10555</v>
      </c>
      <c r="R826" t="str">
        <f t="shared" si="215"/>
        <v>10555</v>
      </c>
      <c r="S826" t="str">
        <f t="shared" si="216"/>
        <v>Teatime Chocolate Biscuits</v>
      </c>
      <c r="T826">
        <v>9.1999999999999993</v>
      </c>
      <c r="U826">
        <v>35</v>
      </c>
      <c r="V826">
        <v>0.2</v>
      </c>
      <c r="W826">
        <f t="shared" si="217"/>
        <v>257.60000000000002</v>
      </c>
      <c r="X826" t="str">
        <f t="shared" si="218"/>
        <v>No</v>
      </c>
      <c r="Y826" s="2">
        <v>34883</v>
      </c>
      <c r="Z826" t="str">
        <f t="shared" si="204"/>
        <v/>
      </c>
      <c r="AA826" t="str">
        <f t="shared" si="219"/>
        <v/>
      </c>
      <c r="AB826" t="str" cm="1">
        <f t="array" ref="AB826">_xlfn.IFS(Y826&lt;DATE(1996,1,1),"",Y826&lt;DATE(1996,4,1),"Q1",Y826&lt;DATE(1996,7,1),"Q2",Y826&gt;=DATE(1996,7,1),"")</f>
        <v/>
      </c>
    </row>
    <row r="827" spans="1:28" ht="14.4" x14ac:dyDescent="0.55000000000000004">
      <c r="A827" t="str">
        <f>VLOOKUP(L827,Customers!$A$2:$B$92,2,FALSE)</f>
        <v>Save-a-lot Markets</v>
      </c>
      <c r="B827" t="str">
        <f>VLOOKUP(L827,Customers!$A$2:$C$92,3,TRUE)</f>
        <v>Jose Pavarotti</v>
      </c>
      <c r="C827" t="str">
        <f t="shared" si="205"/>
        <v>Jose</v>
      </c>
      <c r="D827" s="8" t="str">
        <f t="shared" si="206"/>
        <v>Pavarotti</v>
      </c>
      <c r="E827" s="8" t="str">
        <f t="shared" si="207"/>
        <v>Pavarotti, Jose</v>
      </c>
      <c r="F827" s="8" t="str">
        <f t="shared" si="208"/>
        <v>Pavarotti, Jose</v>
      </c>
      <c r="G827" s="8" t="str">
        <f t="shared" si="209"/>
        <v>not an outlier</v>
      </c>
      <c r="H827" s="8" t="str">
        <f t="shared" si="210"/>
        <v>Not</v>
      </c>
      <c r="I827" s="8" t="str">
        <f t="shared" si="220"/>
        <v>no</v>
      </c>
      <c r="J827" s="10" t="str">
        <f t="shared" si="211"/>
        <v>no</v>
      </c>
      <c r="K827" s="10" t="str">
        <f t="shared" si="212"/>
        <v>no</v>
      </c>
      <c r="L827" t="s">
        <v>529</v>
      </c>
      <c r="M827">
        <v>10555</v>
      </c>
      <c r="N827">
        <v>24</v>
      </c>
      <c r="O827" t="s">
        <v>698</v>
      </c>
      <c r="P827" t="str">
        <f t="shared" si="213"/>
        <v>SAVEA_10555_Guaraná Fantástica</v>
      </c>
      <c r="Q827" t="str">
        <f t="shared" si="214"/>
        <v>10555</v>
      </c>
      <c r="R827" t="str">
        <f t="shared" si="215"/>
        <v>10555</v>
      </c>
      <c r="S827" t="str">
        <f t="shared" si="216"/>
        <v>Guaraná Fantástica</v>
      </c>
      <c r="T827">
        <v>4.5</v>
      </c>
      <c r="U827">
        <v>18</v>
      </c>
      <c r="V827">
        <v>0.2</v>
      </c>
      <c r="W827">
        <f t="shared" si="217"/>
        <v>64.8</v>
      </c>
      <c r="X827" t="str">
        <f t="shared" si="218"/>
        <v>No</v>
      </c>
      <c r="Y827" s="2">
        <v>34883</v>
      </c>
      <c r="Z827" t="str">
        <f t="shared" si="204"/>
        <v/>
      </c>
      <c r="AA827" t="str">
        <f t="shared" si="219"/>
        <v/>
      </c>
      <c r="AB827" t="str" cm="1">
        <f t="array" ref="AB827">_xlfn.IFS(Y827&lt;DATE(1996,1,1),"",Y827&lt;DATE(1996,4,1),"Q1",Y827&lt;DATE(1996,7,1),"Q2",Y827&gt;=DATE(1996,7,1),"")</f>
        <v/>
      </c>
    </row>
    <row r="828" spans="1:28" ht="14.4" x14ac:dyDescent="0.55000000000000004">
      <c r="A828" t="str">
        <f>VLOOKUP(L828,Customers!$A$2:$B$92,2,FALSE)</f>
        <v>Save-a-lot Markets</v>
      </c>
      <c r="B828" t="str">
        <f>VLOOKUP(L828,Customers!$A$2:$C$92,3,TRUE)</f>
        <v>Jose Pavarotti</v>
      </c>
      <c r="C828" t="str">
        <f t="shared" si="205"/>
        <v>Jose</v>
      </c>
      <c r="D828" s="8" t="str">
        <f t="shared" si="206"/>
        <v>Pavarotti</v>
      </c>
      <c r="E828" s="8" t="str">
        <f t="shared" si="207"/>
        <v>Pavarotti, Jose</v>
      </c>
      <c r="F828" s="8" t="str">
        <f t="shared" si="208"/>
        <v>Pavarotti, Jose</v>
      </c>
      <c r="G828" s="8" t="str">
        <f t="shared" si="209"/>
        <v>not an outlier</v>
      </c>
      <c r="H828" s="8" t="str">
        <f t="shared" si="210"/>
        <v>Not</v>
      </c>
      <c r="I828" s="8" t="str">
        <f t="shared" si="220"/>
        <v>no</v>
      </c>
      <c r="J828" s="10" t="str">
        <f t="shared" si="211"/>
        <v>no</v>
      </c>
      <c r="K828" s="10" t="str">
        <f t="shared" si="212"/>
        <v>no</v>
      </c>
      <c r="L828" t="s">
        <v>529</v>
      </c>
      <c r="M828">
        <v>10555</v>
      </c>
      <c r="N828">
        <v>51</v>
      </c>
      <c r="O828" t="s">
        <v>687</v>
      </c>
      <c r="P828" t="str">
        <f t="shared" si="213"/>
        <v>SAVEA_10555_Manjimup Dried Apples</v>
      </c>
      <c r="Q828" t="str">
        <f t="shared" si="214"/>
        <v>10555</v>
      </c>
      <c r="R828" t="str">
        <f t="shared" si="215"/>
        <v>10555</v>
      </c>
      <c r="S828" t="str">
        <f t="shared" si="216"/>
        <v>Manjimup Dried Apples</v>
      </c>
      <c r="T828">
        <v>53</v>
      </c>
      <c r="U828">
        <v>20</v>
      </c>
      <c r="V828">
        <v>0.2</v>
      </c>
      <c r="W828">
        <f t="shared" si="217"/>
        <v>848</v>
      </c>
      <c r="X828" t="str">
        <f t="shared" si="218"/>
        <v>No</v>
      </c>
      <c r="Y828" s="2">
        <v>34883</v>
      </c>
      <c r="Z828" t="str">
        <f t="shared" si="204"/>
        <v/>
      </c>
      <c r="AA828" t="str">
        <f t="shared" si="219"/>
        <v/>
      </c>
      <c r="AB828" t="str" cm="1">
        <f t="array" ref="AB828">_xlfn.IFS(Y828&lt;DATE(1996,1,1),"",Y828&lt;DATE(1996,4,1),"Q1",Y828&lt;DATE(1996,7,1),"Q2",Y828&gt;=DATE(1996,7,1),"")</f>
        <v/>
      </c>
    </row>
    <row r="829" spans="1:28" ht="14.4" x14ac:dyDescent="0.55000000000000004">
      <c r="A829" t="str">
        <f>VLOOKUP(L829,Customers!$A$2:$B$92,2,FALSE)</f>
        <v>Save-a-lot Markets</v>
      </c>
      <c r="B829" t="str">
        <f>VLOOKUP(L829,Customers!$A$2:$C$92,3,TRUE)</f>
        <v>Jose Pavarotti</v>
      </c>
      <c r="C829" t="str">
        <f t="shared" si="205"/>
        <v>Jose</v>
      </c>
      <c r="D829" s="8" t="str">
        <f t="shared" si="206"/>
        <v>Pavarotti</v>
      </c>
      <c r="E829" s="8" t="str">
        <f t="shared" si="207"/>
        <v>Pavarotti, Jose</v>
      </c>
      <c r="F829" s="8" t="str">
        <f t="shared" si="208"/>
        <v>Pavarotti, Jose</v>
      </c>
      <c r="G829" s="8" t="str">
        <f t="shared" si="209"/>
        <v>not an outlier</v>
      </c>
      <c r="H829" s="8" t="str">
        <f t="shared" si="210"/>
        <v>Not</v>
      </c>
      <c r="I829" s="8" t="str">
        <f t="shared" si="220"/>
        <v>no</v>
      </c>
      <c r="J829" s="10" t="str">
        <f t="shared" si="211"/>
        <v>no</v>
      </c>
      <c r="K829" s="10" t="str">
        <f t="shared" si="212"/>
        <v>no</v>
      </c>
      <c r="L829" t="s">
        <v>529</v>
      </c>
      <c r="M829">
        <v>10555</v>
      </c>
      <c r="N829">
        <v>56</v>
      </c>
      <c r="O829" t="s">
        <v>716</v>
      </c>
      <c r="P829" t="str">
        <f t="shared" si="213"/>
        <v>SAVEA_10555_Gnocchi di nonna Alice</v>
      </c>
      <c r="Q829" t="str">
        <f t="shared" si="214"/>
        <v>10555</v>
      </c>
      <c r="R829" t="str">
        <f t="shared" si="215"/>
        <v>10555</v>
      </c>
      <c r="S829" t="str">
        <f t="shared" si="216"/>
        <v>Gnocchi di nonna Alice</v>
      </c>
      <c r="T829">
        <v>38</v>
      </c>
      <c r="U829">
        <v>40</v>
      </c>
      <c r="V829">
        <v>0.2</v>
      </c>
      <c r="W829">
        <f t="shared" si="217"/>
        <v>1216</v>
      </c>
      <c r="X829" t="str">
        <f t="shared" si="218"/>
        <v>No</v>
      </c>
      <c r="Y829" s="2">
        <v>34883</v>
      </c>
      <c r="Z829" t="str">
        <f t="shared" si="204"/>
        <v/>
      </c>
      <c r="AA829" t="str">
        <f t="shared" si="219"/>
        <v/>
      </c>
      <c r="AB829" t="str" cm="1">
        <f t="array" ref="AB829">_xlfn.IFS(Y829&lt;DATE(1996,1,1),"",Y829&lt;DATE(1996,4,1),"Q1",Y829&lt;DATE(1996,7,1),"Q2",Y829&gt;=DATE(1996,7,1),"")</f>
        <v/>
      </c>
    </row>
    <row r="830" spans="1:28" ht="14.4" x14ac:dyDescent="0.55000000000000004">
      <c r="A830" t="str">
        <f>VLOOKUP(L830,Customers!$A$2:$B$92,2,FALSE)</f>
        <v>Simons bistro</v>
      </c>
      <c r="B830" t="str">
        <f>VLOOKUP(L830,Customers!$A$2:$C$92,3,TRUE)</f>
        <v>Jytte Petersen</v>
      </c>
      <c r="C830" t="str">
        <f t="shared" si="205"/>
        <v>Jytte</v>
      </c>
      <c r="D830" s="8" t="str">
        <f t="shared" si="206"/>
        <v>Petersen</v>
      </c>
      <c r="E830" s="8" t="str">
        <f t="shared" si="207"/>
        <v>Petersen, Jytte</v>
      </c>
      <c r="F830" s="8" t="str">
        <f t="shared" si="208"/>
        <v>Petersen, Jytte</v>
      </c>
      <c r="G830" s="8" t="str">
        <f t="shared" si="209"/>
        <v>not an outlier</v>
      </c>
      <c r="H830" s="8" t="str">
        <f t="shared" si="210"/>
        <v>Not</v>
      </c>
      <c r="I830" s="8" t="str">
        <f t="shared" si="220"/>
        <v>no</v>
      </c>
      <c r="J830" s="10" t="str">
        <f t="shared" si="211"/>
        <v>no</v>
      </c>
      <c r="K830" s="10" t="str">
        <f t="shared" si="212"/>
        <v>no</v>
      </c>
      <c r="L830" t="s">
        <v>543</v>
      </c>
      <c r="M830">
        <v>10556</v>
      </c>
      <c r="N830">
        <v>72</v>
      </c>
      <c r="O830" t="s">
        <v>685</v>
      </c>
      <c r="P830" t="str">
        <f t="shared" si="213"/>
        <v>SIMOB_10556_Mozzarella di Giovanni</v>
      </c>
      <c r="Q830" t="str">
        <f t="shared" si="214"/>
        <v>10556</v>
      </c>
      <c r="R830" t="str">
        <f t="shared" si="215"/>
        <v>10556</v>
      </c>
      <c r="S830" t="str">
        <f t="shared" si="216"/>
        <v>Mozzarella di Giovanni</v>
      </c>
      <c r="T830">
        <v>34.799999999999997</v>
      </c>
      <c r="U830">
        <v>24</v>
      </c>
      <c r="V830">
        <v>0</v>
      </c>
      <c r="W830">
        <f t="shared" si="217"/>
        <v>835.19999999999993</v>
      </c>
      <c r="X830" t="str">
        <f t="shared" si="218"/>
        <v>No</v>
      </c>
      <c r="Y830" s="2">
        <v>34884</v>
      </c>
      <c r="Z830" t="str">
        <f t="shared" si="204"/>
        <v/>
      </c>
      <c r="AA830" t="str">
        <f t="shared" si="219"/>
        <v/>
      </c>
      <c r="AB830" t="str" cm="1">
        <f t="array" ref="AB830">_xlfn.IFS(Y830&lt;DATE(1996,1,1),"",Y830&lt;DATE(1996,4,1),"Q1",Y830&lt;DATE(1996,7,1),"Q2",Y830&gt;=DATE(1996,7,1),"")</f>
        <v/>
      </c>
    </row>
    <row r="831" spans="1:28" ht="14.4" x14ac:dyDescent="0.55000000000000004">
      <c r="A831" t="str">
        <f>VLOOKUP(L831,Customers!$A$2:$B$92,2,FALSE)</f>
        <v>Lehmanns Marktstand</v>
      </c>
      <c r="B831" t="str">
        <f>VLOOKUP(L831,Customers!$A$2:$C$92,3,TRUE)</f>
        <v>Renate Messner</v>
      </c>
      <c r="C831" t="str">
        <f t="shared" si="205"/>
        <v>Renate</v>
      </c>
      <c r="D831" s="8" t="str">
        <f t="shared" si="206"/>
        <v>Messner</v>
      </c>
      <c r="E831" s="8" t="str">
        <f t="shared" si="207"/>
        <v>Messner, Renate</v>
      </c>
      <c r="F831" s="8" t="str">
        <f t="shared" si="208"/>
        <v>Messner, Renate</v>
      </c>
      <c r="G831" s="8" t="str">
        <f t="shared" si="209"/>
        <v>not an outlier</v>
      </c>
      <c r="H831" s="8" t="str">
        <f t="shared" si="210"/>
        <v>Not</v>
      </c>
      <c r="I831" s="8" t="str">
        <f t="shared" si="220"/>
        <v>no</v>
      </c>
      <c r="J831" s="10" t="str">
        <f t="shared" si="211"/>
        <v>no</v>
      </c>
      <c r="K831" s="10" t="str">
        <f t="shared" si="212"/>
        <v>no</v>
      </c>
      <c r="L831" t="s">
        <v>341</v>
      </c>
      <c r="M831">
        <v>10557</v>
      </c>
      <c r="N831">
        <v>64</v>
      </c>
      <c r="O831" t="s">
        <v>741</v>
      </c>
      <c r="P831" t="str">
        <f t="shared" si="213"/>
        <v>LEHMS_10557_Wimmers gute Semmelknödel</v>
      </c>
      <c r="Q831" t="str">
        <f t="shared" si="214"/>
        <v>10557</v>
      </c>
      <c r="R831" t="str">
        <f t="shared" si="215"/>
        <v>10557</v>
      </c>
      <c r="S831" t="str">
        <f t="shared" si="216"/>
        <v>Wimmers gute Semmelknödel</v>
      </c>
      <c r="T831">
        <v>33.25</v>
      </c>
      <c r="U831">
        <v>30</v>
      </c>
      <c r="V831">
        <v>0</v>
      </c>
      <c r="W831">
        <f t="shared" si="217"/>
        <v>997.5</v>
      </c>
      <c r="X831" t="str">
        <f t="shared" si="218"/>
        <v>No</v>
      </c>
      <c r="Y831" s="2">
        <v>34884</v>
      </c>
      <c r="Z831" t="str">
        <f t="shared" si="204"/>
        <v/>
      </c>
      <c r="AA831" t="str">
        <f t="shared" si="219"/>
        <v/>
      </c>
      <c r="AB831" t="str" cm="1">
        <f t="array" ref="AB831">_xlfn.IFS(Y831&lt;DATE(1996,1,1),"",Y831&lt;DATE(1996,4,1),"Q1",Y831&lt;DATE(1996,7,1),"Q2",Y831&gt;=DATE(1996,7,1),"")</f>
        <v/>
      </c>
    </row>
    <row r="832" spans="1:28" ht="14.4" x14ac:dyDescent="0.55000000000000004">
      <c r="A832" t="str">
        <f>VLOOKUP(L832,Customers!$A$2:$B$92,2,FALSE)</f>
        <v>Lehmanns Marktstand</v>
      </c>
      <c r="B832" t="str">
        <f>VLOOKUP(L832,Customers!$A$2:$C$92,3,TRUE)</f>
        <v>Renate Messner</v>
      </c>
      <c r="C832" t="str">
        <f t="shared" si="205"/>
        <v>Renate</v>
      </c>
      <c r="D832" s="8" t="str">
        <f t="shared" si="206"/>
        <v>Messner</v>
      </c>
      <c r="E832" s="8" t="str">
        <f t="shared" si="207"/>
        <v>Messner, Renate</v>
      </c>
      <c r="F832" s="8" t="str">
        <f t="shared" si="208"/>
        <v>Messner, Renate</v>
      </c>
      <c r="G832" s="8" t="str">
        <f t="shared" si="209"/>
        <v>not an outlier</v>
      </c>
      <c r="H832" s="8" t="str">
        <f t="shared" si="210"/>
        <v>Not</v>
      </c>
      <c r="I832" s="8" t="str">
        <f t="shared" si="220"/>
        <v>no</v>
      </c>
      <c r="J832" s="10" t="str">
        <f t="shared" si="211"/>
        <v>no</v>
      </c>
      <c r="K832" s="10" t="str">
        <f t="shared" si="212"/>
        <v>no</v>
      </c>
      <c r="L832" t="s">
        <v>341</v>
      </c>
      <c r="M832">
        <v>10557</v>
      </c>
      <c r="N832">
        <v>75</v>
      </c>
      <c r="O832" t="s">
        <v>731</v>
      </c>
      <c r="P832" t="str">
        <f t="shared" si="213"/>
        <v>LEHMS_10557_Rhönbräu Klosterbier</v>
      </c>
      <c r="Q832" t="str">
        <f t="shared" si="214"/>
        <v>10557</v>
      </c>
      <c r="R832" t="str">
        <f t="shared" si="215"/>
        <v>10557</v>
      </c>
      <c r="S832" t="str">
        <f t="shared" si="216"/>
        <v>Rhönbräu Klosterbier</v>
      </c>
      <c r="T832">
        <v>7.75</v>
      </c>
      <c r="U832">
        <v>20</v>
      </c>
      <c r="V832">
        <v>0</v>
      </c>
      <c r="W832">
        <f t="shared" si="217"/>
        <v>155</v>
      </c>
      <c r="X832" t="str">
        <f t="shared" si="218"/>
        <v>No</v>
      </c>
      <c r="Y832" s="2">
        <v>34884</v>
      </c>
      <c r="Z832" t="str">
        <f t="shared" si="204"/>
        <v/>
      </c>
      <c r="AA832" t="str">
        <f t="shared" si="219"/>
        <v/>
      </c>
      <c r="AB832" t="str" cm="1">
        <f t="array" ref="AB832">_xlfn.IFS(Y832&lt;DATE(1996,1,1),"",Y832&lt;DATE(1996,4,1),"Q1",Y832&lt;DATE(1996,7,1),"Q2",Y832&gt;=DATE(1996,7,1),"")</f>
        <v/>
      </c>
    </row>
    <row r="833" spans="1:28" ht="14.4" x14ac:dyDescent="0.55000000000000004">
      <c r="A833" t="str">
        <f>VLOOKUP(L833,Customers!$A$2:$B$92,2,FALSE)</f>
        <v>Around the Horn</v>
      </c>
      <c r="B833" t="str">
        <f>VLOOKUP(L833,Customers!$A$2:$C$92,3,TRUE)</f>
        <v>Thomas Hardy</v>
      </c>
      <c r="C833" t="str">
        <f t="shared" si="205"/>
        <v>Thomas</v>
      </c>
      <c r="D833" s="8" t="str">
        <f t="shared" si="206"/>
        <v>Hardy</v>
      </c>
      <c r="E833" s="8" t="str">
        <f t="shared" si="207"/>
        <v>Hardy, Thomas</v>
      </c>
      <c r="F833" s="8" t="str">
        <f t="shared" si="208"/>
        <v>Hardy, Thomas</v>
      </c>
      <c r="G833" s="8" t="str">
        <f t="shared" si="209"/>
        <v>not an outlier</v>
      </c>
      <c r="H833" s="8" t="str">
        <f t="shared" si="210"/>
        <v>Not</v>
      </c>
      <c r="I833" s="8" t="str">
        <f t="shared" si="220"/>
        <v>no</v>
      </c>
      <c r="J833" s="10" t="str">
        <f t="shared" si="211"/>
        <v>no</v>
      </c>
      <c r="K833" s="10" t="str">
        <f t="shared" si="212"/>
        <v>no</v>
      </c>
      <c r="L833" t="s">
        <v>34</v>
      </c>
      <c r="M833">
        <v>10558</v>
      </c>
      <c r="N833">
        <v>47</v>
      </c>
      <c r="O833" t="s">
        <v>752</v>
      </c>
      <c r="P833" t="str">
        <f t="shared" si="213"/>
        <v>AROUT_10558_Zaanse koeken</v>
      </c>
      <c r="Q833" t="str">
        <f t="shared" si="214"/>
        <v>10558</v>
      </c>
      <c r="R833" t="str">
        <f t="shared" si="215"/>
        <v>10558</v>
      </c>
      <c r="S833" t="str">
        <f t="shared" si="216"/>
        <v>Zaanse koeken</v>
      </c>
      <c r="T833">
        <v>9.5</v>
      </c>
      <c r="U833">
        <v>25</v>
      </c>
      <c r="V833">
        <v>0</v>
      </c>
      <c r="W833">
        <f t="shared" si="217"/>
        <v>237.5</v>
      </c>
      <c r="X833" t="str">
        <f t="shared" si="218"/>
        <v>No</v>
      </c>
      <c r="Y833" s="2">
        <v>34885</v>
      </c>
      <c r="Z833" t="str">
        <f t="shared" ref="Z833:Z896" si="221">IF(Y833&gt;=DATE(1996,1,1), IF(Y833&lt;DATE(1996,4,1),"1st Q 1996",""),"")</f>
        <v/>
      </c>
      <c r="AA833" t="str">
        <f t="shared" si="219"/>
        <v/>
      </c>
      <c r="AB833" t="str" cm="1">
        <f t="array" ref="AB833">_xlfn.IFS(Y833&lt;DATE(1996,1,1),"",Y833&lt;DATE(1996,4,1),"Q1",Y833&lt;DATE(1996,7,1),"Q2",Y833&gt;=DATE(1996,7,1),"")</f>
        <v/>
      </c>
    </row>
    <row r="834" spans="1:28" ht="14.4" x14ac:dyDescent="0.55000000000000004">
      <c r="A834" t="str">
        <f>VLOOKUP(L834,Customers!$A$2:$B$92,2,FALSE)</f>
        <v>Around the Horn</v>
      </c>
      <c r="B834" t="str">
        <f>VLOOKUP(L834,Customers!$A$2:$C$92,3,TRUE)</f>
        <v>Thomas Hardy</v>
      </c>
      <c r="C834" t="str">
        <f t="shared" si="205"/>
        <v>Thomas</v>
      </c>
      <c r="D834" s="8" t="str">
        <f t="shared" si="206"/>
        <v>Hardy</v>
      </c>
      <c r="E834" s="8" t="str">
        <f t="shared" si="207"/>
        <v>Hardy, Thomas</v>
      </c>
      <c r="F834" s="8" t="str">
        <f t="shared" si="208"/>
        <v>Hardy, Thomas</v>
      </c>
      <c r="G834" s="8" t="str">
        <f t="shared" si="209"/>
        <v>not an outlier</v>
      </c>
      <c r="H834" s="8" t="str">
        <f t="shared" si="210"/>
        <v>Not</v>
      </c>
      <c r="I834" s="8" t="str">
        <f t="shared" si="220"/>
        <v>no</v>
      </c>
      <c r="J834" s="10" t="str">
        <f t="shared" si="211"/>
        <v>no</v>
      </c>
      <c r="K834" s="10" t="str">
        <f t="shared" si="212"/>
        <v>no</v>
      </c>
      <c r="L834" t="s">
        <v>34</v>
      </c>
      <c r="M834">
        <v>10558</v>
      </c>
      <c r="N834">
        <v>51</v>
      </c>
      <c r="O834" t="s">
        <v>687</v>
      </c>
      <c r="P834" t="str">
        <f t="shared" si="213"/>
        <v>AROUT_10558_Manjimup Dried Apples</v>
      </c>
      <c r="Q834" t="str">
        <f t="shared" si="214"/>
        <v>10558</v>
      </c>
      <c r="R834" t="str">
        <f t="shared" si="215"/>
        <v>10558</v>
      </c>
      <c r="S834" t="str">
        <f t="shared" si="216"/>
        <v>Manjimup Dried Apples</v>
      </c>
      <c r="T834">
        <v>53</v>
      </c>
      <c r="U834">
        <v>20</v>
      </c>
      <c r="V834">
        <v>0</v>
      </c>
      <c r="W834">
        <f t="shared" si="217"/>
        <v>1060</v>
      </c>
      <c r="X834" t="str">
        <f t="shared" si="218"/>
        <v>No</v>
      </c>
      <c r="Y834" s="2">
        <v>34885</v>
      </c>
      <c r="Z834" t="str">
        <f t="shared" si="221"/>
        <v/>
      </c>
      <c r="AA834" t="str">
        <f t="shared" si="219"/>
        <v/>
      </c>
      <c r="AB834" t="str" cm="1">
        <f t="array" ref="AB834">_xlfn.IFS(Y834&lt;DATE(1996,1,1),"",Y834&lt;DATE(1996,4,1),"Q1",Y834&lt;DATE(1996,7,1),"Q2",Y834&gt;=DATE(1996,7,1),"")</f>
        <v/>
      </c>
    </row>
    <row r="835" spans="1:28" ht="14.4" x14ac:dyDescent="0.55000000000000004">
      <c r="A835" t="str">
        <f>VLOOKUP(L835,Customers!$A$2:$B$92,2,FALSE)</f>
        <v>Around the Horn</v>
      </c>
      <c r="B835" t="str">
        <f>VLOOKUP(L835,Customers!$A$2:$C$92,3,TRUE)</f>
        <v>Thomas Hardy</v>
      </c>
      <c r="C835" t="str">
        <f t="shared" ref="C835:C898" si="222">LEFT(B835,FIND(" ",B835)-1)</f>
        <v>Thomas</v>
      </c>
      <c r="D835" s="8" t="str">
        <f t="shared" ref="D835:D898" si="223">RIGHT(B835,LEN(B835)-FIND(" ",B835))</f>
        <v>Hardy</v>
      </c>
      <c r="E835" s="8" t="str">
        <f t="shared" ref="E835:E898" si="224">_xlfn.CONCAT(D835,", ",C835)</f>
        <v>Hardy, Thomas</v>
      </c>
      <c r="F835" s="8" t="str">
        <f t="shared" ref="F835:F898" si="225">D835&amp;", "&amp;C835</f>
        <v>Hardy, Thomas</v>
      </c>
      <c r="G835" s="8" t="str">
        <f t="shared" ref="G835:G898" si="226">IF(OR(W835&gt;$W$2166,W835&lt;$W$2167),"outlier","not an outlier")</f>
        <v>not an outlier</v>
      </c>
      <c r="H835" s="8" t="str">
        <f t="shared" ref="H835:H898" si="227">IF(OR(W835&gt;$W$2166,W835&lt;$W$2167),"outlier",IF(OR(W835&gt;$W$2168,W835&lt;$W$2169),"moderate","Not"))</f>
        <v>Not</v>
      </c>
      <c r="I835" s="8" t="str">
        <f t="shared" si="220"/>
        <v>no</v>
      </c>
      <c r="J835" s="10" t="str">
        <f t="shared" ref="J835:J898" si="228">IF(AND(W835&lt;=$W$2166,W835&gt;=$W$2167),"no","yes")</f>
        <v>no</v>
      </c>
      <c r="K835" s="10" t="str">
        <f t="shared" ref="K835:K898" si="229">IF(OR(W835&gt;$W$2166,W835&lt;$W$2167),"yes",IF(OR(W835&gt;$W$2168,W835&lt;$W$2169),"moderate","no"))</f>
        <v>no</v>
      </c>
      <c r="L835" t="s">
        <v>34</v>
      </c>
      <c r="M835">
        <v>10558</v>
      </c>
      <c r="N835">
        <v>52</v>
      </c>
      <c r="O835" t="s">
        <v>748</v>
      </c>
      <c r="P835" t="str">
        <f t="shared" ref="P835:P898" si="230">L835&amp;"_"&amp;M835&amp;"_"&amp;O835</f>
        <v>AROUT_10558_Filo Mix</v>
      </c>
      <c r="Q835" t="str">
        <f t="shared" ref="Q835:Q898" si="231">LEFT(RIGHT(P835,LEN(P835)-FIND("_",P835)), FIND("_",P835)-1)</f>
        <v>10558</v>
      </c>
      <c r="R835" t="str">
        <f t="shared" ref="R835:R898" si="232">MID(P835,FIND("_",P835)+1,FIND("_",P835,FIND("_",P835))-1)</f>
        <v>10558</v>
      </c>
      <c r="S835" t="str">
        <f t="shared" ref="S835:S898" si="233">MID(P835,FIND("_",P835,FIND("_",P835)+1)+1,LEN(P835))</f>
        <v>Filo Mix</v>
      </c>
      <c r="T835">
        <v>7</v>
      </c>
      <c r="U835">
        <v>30</v>
      </c>
      <c r="V835">
        <v>0</v>
      </c>
      <c r="W835">
        <f t="shared" ref="W835:W898" si="234">T835*U835*(1-V835)</f>
        <v>210</v>
      </c>
      <c r="X835" t="str">
        <f t="shared" ref="X835:X898" si="235">IF(YEAR(Y835)&gt;=1996,"yes","No")</f>
        <v>No</v>
      </c>
      <c r="Y835" s="2">
        <v>34885</v>
      </c>
      <c r="Z835" t="str">
        <f t="shared" si="221"/>
        <v/>
      </c>
      <c r="AA835" t="str">
        <f t="shared" ref="AA835:AA898" si="236">IF(Y835&lt;DATE(1996,1,1),"", IF(Y835&lt;DATE(1996,4,1),"1st Q 1996",IF(Y835&lt;DATE(1996,7,1),"2nd Q 1996","")))</f>
        <v/>
      </c>
      <c r="AB835" t="str" cm="1">
        <f t="array" ref="AB835">_xlfn.IFS(Y835&lt;DATE(1996,1,1),"",Y835&lt;DATE(1996,4,1),"Q1",Y835&lt;DATE(1996,7,1),"Q2",Y835&gt;=DATE(1996,7,1),"")</f>
        <v/>
      </c>
    </row>
    <row r="836" spans="1:28" ht="14.4" x14ac:dyDescent="0.55000000000000004">
      <c r="A836" t="str">
        <f>VLOOKUP(L836,Customers!$A$2:$B$92,2,FALSE)</f>
        <v>Around the Horn</v>
      </c>
      <c r="B836" t="str">
        <f>VLOOKUP(L836,Customers!$A$2:$C$92,3,TRUE)</f>
        <v>Thomas Hardy</v>
      </c>
      <c r="C836" t="str">
        <f t="shared" si="222"/>
        <v>Thomas</v>
      </c>
      <c r="D836" s="8" t="str">
        <f t="shared" si="223"/>
        <v>Hardy</v>
      </c>
      <c r="E836" s="8" t="str">
        <f t="shared" si="224"/>
        <v>Hardy, Thomas</v>
      </c>
      <c r="F836" s="8" t="str">
        <f t="shared" si="225"/>
        <v>Hardy, Thomas</v>
      </c>
      <c r="G836" s="8" t="str">
        <f t="shared" si="226"/>
        <v>not an outlier</v>
      </c>
      <c r="H836" s="8" t="str">
        <f t="shared" si="227"/>
        <v>Not</v>
      </c>
      <c r="I836" s="8" t="str">
        <f t="shared" ref="I836:I899" si="237">IF(OR(W836&gt;$W$2166,W836&lt;$W$2167),"yes","no")</f>
        <v>no</v>
      </c>
      <c r="J836" s="10" t="str">
        <f t="shared" si="228"/>
        <v>no</v>
      </c>
      <c r="K836" s="10" t="str">
        <f t="shared" si="229"/>
        <v>no</v>
      </c>
      <c r="L836" t="s">
        <v>34</v>
      </c>
      <c r="M836">
        <v>10558</v>
      </c>
      <c r="N836">
        <v>53</v>
      </c>
      <c r="O836" t="s">
        <v>705</v>
      </c>
      <c r="P836" t="str">
        <f t="shared" si="230"/>
        <v>AROUT_10558_Perth Pasties</v>
      </c>
      <c r="Q836" t="str">
        <f t="shared" si="231"/>
        <v>10558</v>
      </c>
      <c r="R836" t="str">
        <f t="shared" si="232"/>
        <v>10558</v>
      </c>
      <c r="S836" t="str">
        <f t="shared" si="233"/>
        <v>Perth Pasties</v>
      </c>
      <c r="T836">
        <v>32.799999999999997</v>
      </c>
      <c r="U836">
        <v>18</v>
      </c>
      <c r="V836">
        <v>0</v>
      </c>
      <c r="W836">
        <f t="shared" si="234"/>
        <v>590.4</v>
      </c>
      <c r="X836" t="str">
        <f t="shared" si="235"/>
        <v>No</v>
      </c>
      <c r="Y836" s="2">
        <v>34885</v>
      </c>
      <c r="Z836" t="str">
        <f t="shared" si="221"/>
        <v/>
      </c>
      <c r="AA836" t="str">
        <f t="shared" si="236"/>
        <v/>
      </c>
      <c r="AB836" t="str" cm="1">
        <f t="array" ref="AB836">_xlfn.IFS(Y836&lt;DATE(1996,1,1),"",Y836&lt;DATE(1996,4,1),"Q1",Y836&lt;DATE(1996,7,1),"Q2",Y836&gt;=DATE(1996,7,1),"")</f>
        <v/>
      </c>
    </row>
    <row r="837" spans="1:28" ht="14.4" x14ac:dyDescent="0.55000000000000004">
      <c r="A837" t="str">
        <f>VLOOKUP(L837,Customers!$A$2:$B$92,2,FALSE)</f>
        <v>Around the Horn</v>
      </c>
      <c r="B837" t="str">
        <f>VLOOKUP(L837,Customers!$A$2:$C$92,3,TRUE)</f>
        <v>Thomas Hardy</v>
      </c>
      <c r="C837" t="str">
        <f t="shared" si="222"/>
        <v>Thomas</v>
      </c>
      <c r="D837" s="8" t="str">
        <f t="shared" si="223"/>
        <v>Hardy</v>
      </c>
      <c r="E837" s="8" t="str">
        <f t="shared" si="224"/>
        <v>Hardy, Thomas</v>
      </c>
      <c r="F837" s="8" t="str">
        <f t="shared" si="225"/>
        <v>Hardy, Thomas</v>
      </c>
      <c r="G837" s="8" t="str">
        <f t="shared" si="226"/>
        <v>not an outlier</v>
      </c>
      <c r="H837" s="8" t="str">
        <f t="shared" si="227"/>
        <v>Not</v>
      </c>
      <c r="I837" s="8" t="str">
        <f t="shared" si="237"/>
        <v>no</v>
      </c>
      <c r="J837" s="10" t="str">
        <f t="shared" si="228"/>
        <v>no</v>
      </c>
      <c r="K837" s="10" t="str">
        <f t="shared" si="229"/>
        <v>no</v>
      </c>
      <c r="L837" t="s">
        <v>34</v>
      </c>
      <c r="M837">
        <v>10558</v>
      </c>
      <c r="N837">
        <v>73</v>
      </c>
      <c r="O837" t="s">
        <v>730</v>
      </c>
      <c r="P837" t="str">
        <f t="shared" si="230"/>
        <v>AROUT_10558_Röd Kaviar</v>
      </c>
      <c r="Q837" t="str">
        <f t="shared" si="231"/>
        <v>10558</v>
      </c>
      <c r="R837" t="str">
        <f t="shared" si="232"/>
        <v>10558</v>
      </c>
      <c r="S837" t="str">
        <f t="shared" si="233"/>
        <v>Röd Kaviar</v>
      </c>
      <c r="T837">
        <v>15</v>
      </c>
      <c r="U837">
        <v>3</v>
      </c>
      <c r="V837">
        <v>0</v>
      </c>
      <c r="W837">
        <f t="shared" si="234"/>
        <v>45</v>
      </c>
      <c r="X837" t="str">
        <f t="shared" si="235"/>
        <v>No</v>
      </c>
      <c r="Y837" s="2">
        <v>34885</v>
      </c>
      <c r="Z837" t="str">
        <f t="shared" si="221"/>
        <v/>
      </c>
      <c r="AA837" t="str">
        <f t="shared" si="236"/>
        <v/>
      </c>
      <c r="AB837" t="str" cm="1">
        <f t="array" ref="AB837">_xlfn.IFS(Y837&lt;DATE(1996,1,1),"",Y837&lt;DATE(1996,4,1),"Q1",Y837&lt;DATE(1996,7,1),"Q2",Y837&gt;=DATE(1996,7,1),"")</f>
        <v/>
      </c>
    </row>
    <row r="838" spans="1:28" ht="14.4" x14ac:dyDescent="0.55000000000000004">
      <c r="A838" t="str">
        <f>VLOOKUP(L838,Customers!$A$2:$B$92,2,FALSE)</f>
        <v>Blondel père et fils</v>
      </c>
      <c r="B838" t="str">
        <f>VLOOKUP(L838,Customers!$A$2:$C$92,3,TRUE)</f>
        <v>Frédérique Citeaux</v>
      </c>
      <c r="C838" t="str">
        <f t="shared" si="222"/>
        <v>Frédérique</v>
      </c>
      <c r="D838" s="8" t="str">
        <f t="shared" si="223"/>
        <v>Citeaux</v>
      </c>
      <c r="E838" s="8" t="str">
        <f t="shared" si="224"/>
        <v>Citeaux, Frédérique</v>
      </c>
      <c r="F838" s="8" t="str">
        <f t="shared" si="225"/>
        <v>Citeaux, Frédérique</v>
      </c>
      <c r="G838" s="8" t="str">
        <f t="shared" si="226"/>
        <v>not an outlier</v>
      </c>
      <c r="H838" s="8" t="str">
        <f t="shared" si="227"/>
        <v>Not</v>
      </c>
      <c r="I838" s="8" t="str">
        <f t="shared" si="237"/>
        <v>no</v>
      </c>
      <c r="J838" s="10" t="str">
        <f t="shared" si="228"/>
        <v>no</v>
      </c>
      <c r="K838" s="10" t="str">
        <f t="shared" si="229"/>
        <v>no</v>
      </c>
      <c r="L838" t="s">
        <v>60</v>
      </c>
      <c r="M838">
        <v>10559</v>
      </c>
      <c r="N838">
        <v>41</v>
      </c>
      <c r="O838" t="s">
        <v>688</v>
      </c>
      <c r="P838" t="str">
        <f t="shared" si="230"/>
        <v>BLONP_10559_Jack's New England Clam Chowder</v>
      </c>
      <c r="Q838" t="str">
        <f t="shared" si="231"/>
        <v>10559</v>
      </c>
      <c r="R838" t="str">
        <f t="shared" si="232"/>
        <v>10559</v>
      </c>
      <c r="S838" t="str">
        <f t="shared" si="233"/>
        <v>Jack's New England Clam Chowder</v>
      </c>
      <c r="T838">
        <v>9.65</v>
      </c>
      <c r="U838">
        <v>12</v>
      </c>
      <c r="V838">
        <v>0.05</v>
      </c>
      <c r="W838">
        <f t="shared" si="234"/>
        <v>110.01</v>
      </c>
      <c r="X838" t="str">
        <f t="shared" si="235"/>
        <v>No</v>
      </c>
      <c r="Y838" s="2">
        <v>34886</v>
      </c>
      <c r="Z838" t="str">
        <f t="shared" si="221"/>
        <v/>
      </c>
      <c r="AA838" t="str">
        <f t="shared" si="236"/>
        <v/>
      </c>
      <c r="AB838" t="str" cm="1">
        <f t="array" ref="AB838">_xlfn.IFS(Y838&lt;DATE(1996,1,1),"",Y838&lt;DATE(1996,4,1),"Q1",Y838&lt;DATE(1996,7,1),"Q2",Y838&gt;=DATE(1996,7,1),"")</f>
        <v/>
      </c>
    </row>
    <row r="839" spans="1:28" ht="14.4" x14ac:dyDescent="0.55000000000000004">
      <c r="A839" t="str">
        <f>VLOOKUP(L839,Customers!$A$2:$B$92,2,FALSE)</f>
        <v>Blondel père et fils</v>
      </c>
      <c r="B839" t="str">
        <f>VLOOKUP(L839,Customers!$A$2:$C$92,3,TRUE)</f>
        <v>Frédérique Citeaux</v>
      </c>
      <c r="C839" t="str">
        <f t="shared" si="222"/>
        <v>Frédérique</v>
      </c>
      <c r="D839" s="8" t="str">
        <f t="shared" si="223"/>
        <v>Citeaux</v>
      </c>
      <c r="E839" s="8" t="str">
        <f t="shared" si="224"/>
        <v>Citeaux, Frédérique</v>
      </c>
      <c r="F839" s="8" t="str">
        <f t="shared" si="225"/>
        <v>Citeaux, Frédérique</v>
      </c>
      <c r="G839" s="8" t="str">
        <f t="shared" si="226"/>
        <v>not an outlier</v>
      </c>
      <c r="H839" s="8" t="str">
        <f t="shared" si="227"/>
        <v>Not</v>
      </c>
      <c r="I839" s="8" t="str">
        <f t="shared" si="237"/>
        <v>no</v>
      </c>
      <c r="J839" s="10" t="str">
        <f t="shared" si="228"/>
        <v>no</v>
      </c>
      <c r="K839" s="10" t="str">
        <f t="shared" si="229"/>
        <v>no</v>
      </c>
      <c r="L839" t="s">
        <v>60</v>
      </c>
      <c r="M839">
        <v>10559</v>
      </c>
      <c r="N839">
        <v>55</v>
      </c>
      <c r="O839" t="s">
        <v>699</v>
      </c>
      <c r="P839" t="str">
        <f t="shared" si="230"/>
        <v>BLONP_10559_Pâté chinois</v>
      </c>
      <c r="Q839" t="str">
        <f t="shared" si="231"/>
        <v>10559</v>
      </c>
      <c r="R839" t="str">
        <f t="shared" si="232"/>
        <v>10559</v>
      </c>
      <c r="S839" t="str">
        <f t="shared" si="233"/>
        <v>Pâté chinois</v>
      </c>
      <c r="T839">
        <v>24</v>
      </c>
      <c r="U839">
        <v>18</v>
      </c>
      <c r="V839">
        <v>0.05</v>
      </c>
      <c r="W839">
        <f t="shared" si="234"/>
        <v>410.4</v>
      </c>
      <c r="X839" t="str">
        <f t="shared" si="235"/>
        <v>No</v>
      </c>
      <c r="Y839" s="2">
        <v>34886</v>
      </c>
      <c r="Z839" t="str">
        <f t="shared" si="221"/>
        <v/>
      </c>
      <c r="AA839" t="str">
        <f t="shared" si="236"/>
        <v/>
      </c>
      <c r="AB839" t="str" cm="1">
        <f t="array" ref="AB839">_xlfn.IFS(Y839&lt;DATE(1996,1,1),"",Y839&lt;DATE(1996,4,1),"Q1",Y839&lt;DATE(1996,7,1),"Q2",Y839&gt;=DATE(1996,7,1),"")</f>
        <v/>
      </c>
    </row>
    <row r="840" spans="1:28" ht="14.4" x14ac:dyDescent="0.55000000000000004">
      <c r="A840" t="str">
        <f>VLOOKUP(L840,Customers!$A$2:$B$92,2,FALSE)</f>
        <v>Frankenversand</v>
      </c>
      <c r="B840" t="str">
        <f>VLOOKUP(L840,Customers!$A$2:$C$92,3,TRUE)</f>
        <v>Peter Franken</v>
      </c>
      <c r="C840" t="str">
        <f t="shared" si="222"/>
        <v>Peter</v>
      </c>
      <c r="D840" s="8" t="str">
        <f t="shared" si="223"/>
        <v>Franken</v>
      </c>
      <c r="E840" s="8" t="str">
        <f t="shared" si="224"/>
        <v>Franken, Peter</v>
      </c>
      <c r="F840" s="8" t="str">
        <f t="shared" si="225"/>
        <v>Franken, Peter</v>
      </c>
      <c r="G840" s="8" t="str">
        <f t="shared" si="226"/>
        <v>not an outlier</v>
      </c>
      <c r="H840" s="8" t="str">
        <f t="shared" si="227"/>
        <v>Not</v>
      </c>
      <c r="I840" s="8" t="str">
        <f t="shared" si="237"/>
        <v>no</v>
      </c>
      <c r="J840" s="10" t="str">
        <f t="shared" si="228"/>
        <v>no</v>
      </c>
      <c r="K840" s="10" t="str">
        <f t="shared" si="229"/>
        <v>no</v>
      </c>
      <c r="L840" t="s">
        <v>198</v>
      </c>
      <c r="M840">
        <v>10560</v>
      </c>
      <c r="N840">
        <v>30</v>
      </c>
      <c r="O840" t="s">
        <v>717</v>
      </c>
      <c r="P840" t="str">
        <f t="shared" si="230"/>
        <v>FRANK_10560_Nord-Ost Matjeshering</v>
      </c>
      <c r="Q840" t="str">
        <f t="shared" si="231"/>
        <v>10560</v>
      </c>
      <c r="R840" t="str">
        <f t="shared" si="232"/>
        <v>10560</v>
      </c>
      <c r="S840" t="str">
        <f t="shared" si="233"/>
        <v>Nord-Ost Matjeshering</v>
      </c>
      <c r="T840">
        <v>25.89</v>
      </c>
      <c r="U840">
        <v>20</v>
      </c>
      <c r="V840">
        <v>0</v>
      </c>
      <c r="W840">
        <f t="shared" si="234"/>
        <v>517.79999999999995</v>
      </c>
      <c r="X840" t="str">
        <f t="shared" si="235"/>
        <v>No</v>
      </c>
      <c r="Y840" s="2">
        <v>34887</v>
      </c>
      <c r="Z840" t="str">
        <f t="shared" si="221"/>
        <v/>
      </c>
      <c r="AA840" t="str">
        <f t="shared" si="236"/>
        <v/>
      </c>
      <c r="AB840" t="str" cm="1">
        <f t="array" ref="AB840">_xlfn.IFS(Y840&lt;DATE(1996,1,1),"",Y840&lt;DATE(1996,4,1),"Q1",Y840&lt;DATE(1996,7,1),"Q2",Y840&gt;=DATE(1996,7,1),"")</f>
        <v/>
      </c>
    </row>
    <row r="841" spans="1:28" ht="14.4" x14ac:dyDescent="0.55000000000000004">
      <c r="A841" t="str">
        <f>VLOOKUP(L841,Customers!$A$2:$B$92,2,FALSE)</f>
        <v>Frankenversand</v>
      </c>
      <c r="B841" t="str">
        <f>VLOOKUP(L841,Customers!$A$2:$C$92,3,TRUE)</f>
        <v>Peter Franken</v>
      </c>
      <c r="C841" t="str">
        <f t="shared" si="222"/>
        <v>Peter</v>
      </c>
      <c r="D841" s="8" t="str">
        <f t="shared" si="223"/>
        <v>Franken</v>
      </c>
      <c r="E841" s="8" t="str">
        <f t="shared" si="224"/>
        <v>Franken, Peter</v>
      </c>
      <c r="F841" s="8" t="str">
        <f t="shared" si="225"/>
        <v>Franken, Peter</v>
      </c>
      <c r="G841" s="8" t="str">
        <f t="shared" si="226"/>
        <v>not an outlier</v>
      </c>
      <c r="H841" s="8" t="str">
        <f t="shared" si="227"/>
        <v>Not</v>
      </c>
      <c r="I841" s="8" t="str">
        <f t="shared" si="237"/>
        <v>no</v>
      </c>
      <c r="J841" s="10" t="str">
        <f t="shared" si="228"/>
        <v>no</v>
      </c>
      <c r="K841" s="10" t="str">
        <f t="shared" si="229"/>
        <v>no</v>
      </c>
      <c r="L841" t="s">
        <v>198</v>
      </c>
      <c r="M841">
        <v>10560</v>
      </c>
      <c r="N841">
        <v>62</v>
      </c>
      <c r="O841" t="s">
        <v>712</v>
      </c>
      <c r="P841" t="str">
        <f t="shared" si="230"/>
        <v>FRANK_10560_Tarte au sucre</v>
      </c>
      <c r="Q841" t="str">
        <f t="shared" si="231"/>
        <v>10560</v>
      </c>
      <c r="R841" t="str">
        <f t="shared" si="232"/>
        <v>10560</v>
      </c>
      <c r="S841" t="str">
        <f t="shared" si="233"/>
        <v>Tarte au sucre</v>
      </c>
      <c r="T841">
        <v>49.3</v>
      </c>
      <c r="U841">
        <v>15</v>
      </c>
      <c r="V841">
        <v>0.25</v>
      </c>
      <c r="W841">
        <f t="shared" si="234"/>
        <v>554.625</v>
      </c>
      <c r="X841" t="str">
        <f t="shared" si="235"/>
        <v>No</v>
      </c>
      <c r="Y841" s="2">
        <v>34887</v>
      </c>
      <c r="Z841" t="str">
        <f t="shared" si="221"/>
        <v/>
      </c>
      <c r="AA841" t="str">
        <f t="shared" si="236"/>
        <v/>
      </c>
      <c r="AB841" t="str" cm="1">
        <f t="array" ref="AB841">_xlfn.IFS(Y841&lt;DATE(1996,1,1),"",Y841&lt;DATE(1996,4,1),"Q1",Y841&lt;DATE(1996,7,1),"Q2",Y841&gt;=DATE(1996,7,1),"")</f>
        <v/>
      </c>
    </row>
    <row r="842" spans="1:28" ht="14.4" x14ac:dyDescent="0.55000000000000004">
      <c r="A842" t="str">
        <f>VLOOKUP(L842,Customers!$A$2:$B$92,2,FALSE)</f>
        <v>Folk och fä HB</v>
      </c>
      <c r="B842" t="str">
        <f>VLOOKUP(L842,Customers!$A$2:$C$92,3,TRUE)</f>
        <v>Maria Larsson</v>
      </c>
      <c r="C842" t="str">
        <f t="shared" si="222"/>
        <v>Maria</v>
      </c>
      <c r="D842" s="8" t="str">
        <f t="shared" si="223"/>
        <v>Larsson</v>
      </c>
      <c r="E842" s="8" t="str">
        <f t="shared" si="224"/>
        <v>Larsson, Maria</v>
      </c>
      <c r="F842" s="8" t="str">
        <f t="shared" si="225"/>
        <v>Larsson, Maria</v>
      </c>
      <c r="G842" s="8" t="str">
        <f t="shared" si="226"/>
        <v>not an outlier</v>
      </c>
      <c r="H842" s="8" t="str">
        <f t="shared" si="227"/>
        <v>Not</v>
      </c>
      <c r="I842" s="8" t="str">
        <f t="shared" si="237"/>
        <v>no</v>
      </c>
      <c r="J842" s="10" t="str">
        <f t="shared" si="228"/>
        <v>no</v>
      </c>
      <c r="K842" s="10" t="str">
        <f t="shared" si="229"/>
        <v>no</v>
      </c>
      <c r="L842" t="s">
        <v>191</v>
      </c>
      <c r="M842">
        <v>10561</v>
      </c>
      <c r="N842">
        <v>44</v>
      </c>
      <c r="O842" t="s">
        <v>728</v>
      </c>
      <c r="P842" t="str">
        <f t="shared" si="230"/>
        <v>FOLKO_10561_Gula Malacca</v>
      </c>
      <c r="Q842" t="str">
        <f t="shared" si="231"/>
        <v>10561</v>
      </c>
      <c r="R842" t="str">
        <f t="shared" si="232"/>
        <v>10561</v>
      </c>
      <c r="S842" t="str">
        <f t="shared" si="233"/>
        <v>Gula Malacca</v>
      </c>
      <c r="T842">
        <v>19.45</v>
      </c>
      <c r="U842">
        <v>10</v>
      </c>
      <c r="V842">
        <v>0</v>
      </c>
      <c r="W842">
        <f t="shared" si="234"/>
        <v>194.5</v>
      </c>
      <c r="X842" t="str">
        <f t="shared" si="235"/>
        <v>No</v>
      </c>
      <c r="Y842" s="2">
        <v>34887</v>
      </c>
      <c r="Z842" t="str">
        <f t="shared" si="221"/>
        <v/>
      </c>
      <c r="AA842" t="str">
        <f t="shared" si="236"/>
        <v/>
      </c>
      <c r="AB842" t="str" cm="1">
        <f t="array" ref="AB842">_xlfn.IFS(Y842&lt;DATE(1996,1,1),"",Y842&lt;DATE(1996,4,1),"Q1",Y842&lt;DATE(1996,7,1),"Q2",Y842&gt;=DATE(1996,7,1),"")</f>
        <v/>
      </c>
    </row>
    <row r="843" spans="1:28" ht="14.4" x14ac:dyDescent="0.55000000000000004">
      <c r="A843" t="str">
        <f>VLOOKUP(L843,Customers!$A$2:$B$92,2,FALSE)</f>
        <v>Folk och fä HB</v>
      </c>
      <c r="B843" t="str">
        <f>VLOOKUP(L843,Customers!$A$2:$C$92,3,TRUE)</f>
        <v>Maria Larsson</v>
      </c>
      <c r="C843" t="str">
        <f t="shared" si="222"/>
        <v>Maria</v>
      </c>
      <c r="D843" s="8" t="str">
        <f t="shared" si="223"/>
        <v>Larsson</v>
      </c>
      <c r="E843" s="8" t="str">
        <f t="shared" si="224"/>
        <v>Larsson, Maria</v>
      </c>
      <c r="F843" s="8" t="str">
        <f t="shared" si="225"/>
        <v>Larsson, Maria</v>
      </c>
      <c r="G843" s="8" t="str">
        <f t="shared" si="226"/>
        <v>not an outlier</v>
      </c>
      <c r="H843" s="8" t="str">
        <f t="shared" si="227"/>
        <v>moderate</v>
      </c>
      <c r="I843" s="8" t="str">
        <f t="shared" si="237"/>
        <v>no</v>
      </c>
      <c r="J843" s="10" t="str">
        <f t="shared" si="228"/>
        <v>no</v>
      </c>
      <c r="K843" s="10" t="str">
        <f t="shared" si="229"/>
        <v>moderate</v>
      </c>
      <c r="L843" t="s">
        <v>191</v>
      </c>
      <c r="M843">
        <v>10561</v>
      </c>
      <c r="N843">
        <v>51</v>
      </c>
      <c r="O843" t="s">
        <v>687</v>
      </c>
      <c r="P843" t="str">
        <f t="shared" si="230"/>
        <v>FOLKO_10561_Manjimup Dried Apples</v>
      </c>
      <c r="Q843" t="str">
        <f t="shared" si="231"/>
        <v>10561</v>
      </c>
      <c r="R843" t="str">
        <f t="shared" si="232"/>
        <v>10561</v>
      </c>
      <c r="S843" t="str">
        <f t="shared" si="233"/>
        <v>Manjimup Dried Apples</v>
      </c>
      <c r="T843">
        <v>53</v>
      </c>
      <c r="U843">
        <v>50</v>
      </c>
      <c r="V843">
        <v>0</v>
      </c>
      <c r="W843">
        <f t="shared" si="234"/>
        <v>2650</v>
      </c>
      <c r="X843" t="str">
        <f t="shared" si="235"/>
        <v>No</v>
      </c>
      <c r="Y843" s="2">
        <v>34887</v>
      </c>
      <c r="Z843" t="str">
        <f t="shared" si="221"/>
        <v/>
      </c>
      <c r="AA843" t="str">
        <f t="shared" si="236"/>
        <v/>
      </c>
      <c r="AB843" t="str" cm="1">
        <f t="array" ref="AB843">_xlfn.IFS(Y843&lt;DATE(1996,1,1),"",Y843&lt;DATE(1996,4,1),"Q1",Y843&lt;DATE(1996,7,1),"Q2",Y843&gt;=DATE(1996,7,1),"")</f>
        <v/>
      </c>
    </row>
    <row r="844" spans="1:28" ht="14.4" x14ac:dyDescent="0.55000000000000004">
      <c r="A844" t="str">
        <f>VLOOKUP(L844,Customers!$A$2:$B$92,2,FALSE)</f>
        <v>Reggiani Caseifici</v>
      </c>
      <c r="B844" t="str">
        <f>VLOOKUP(L844,Customers!$A$2:$C$92,3,TRUE)</f>
        <v>Maurizio Moroni</v>
      </c>
      <c r="C844" t="str">
        <f t="shared" si="222"/>
        <v>Maurizio</v>
      </c>
      <c r="D844" s="8" t="str">
        <f t="shared" si="223"/>
        <v>Moroni</v>
      </c>
      <c r="E844" s="8" t="str">
        <f t="shared" si="224"/>
        <v>Moroni, Maurizio</v>
      </c>
      <c r="F844" s="8" t="str">
        <f t="shared" si="225"/>
        <v>Moroni, Maurizio</v>
      </c>
      <c r="G844" s="8" t="str">
        <f t="shared" si="226"/>
        <v>not an outlier</v>
      </c>
      <c r="H844" s="8" t="str">
        <f t="shared" si="227"/>
        <v>Not</v>
      </c>
      <c r="I844" s="8" t="str">
        <f t="shared" si="237"/>
        <v>no</v>
      </c>
      <c r="J844" s="10" t="str">
        <f t="shared" si="228"/>
        <v>no</v>
      </c>
      <c r="K844" s="10" t="str">
        <f t="shared" si="229"/>
        <v>no</v>
      </c>
      <c r="L844" t="s">
        <v>496</v>
      </c>
      <c r="M844">
        <v>10562</v>
      </c>
      <c r="N844">
        <v>33</v>
      </c>
      <c r="O844" t="s">
        <v>693</v>
      </c>
      <c r="P844" t="str">
        <f t="shared" si="230"/>
        <v>REGGC_10562_Geitost</v>
      </c>
      <c r="Q844" t="str">
        <f t="shared" si="231"/>
        <v>10562</v>
      </c>
      <c r="R844" t="str">
        <f t="shared" si="232"/>
        <v>10562</v>
      </c>
      <c r="S844" t="str">
        <f t="shared" si="233"/>
        <v>Geitost</v>
      </c>
      <c r="T844">
        <v>2.5</v>
      </c>
      <c r="U844">
        <v>20</v>
      </c>
      <c r="V844">
        <v>0.1</v>
      </c>
      <c r="W844">
        <f t="shared" si="234"/>
        <v>45</v>
      </c>
      <c r="X844" t="str">
        <f t="shared" si="235"/>
        <v>No</v>
      </c>
      <c r="Y844" s="2">
        <v>34890</v>
      </c>
      <c r="Z844" t="str">
        <f t="shared" si="221"/>
        <v/>
      </c>
      <c r="AA844" t="str">
        <f t="shared" si="236"/>
        <v/>
      </c>
      <c r="AB844" t="str" cm="1">
        <f t="array" ref="AB844">_xlfn.IFS(Y844&lt;DATE(1996,1,1),"",Y844&lt;DATE(1996,4,1),"Q1",Y844&lt;DATE(1996,7,1),"Q2",Y844&gt;=DATE(1996,7,1),"")</f>
        <v/>
      </c>
    </row>
    <row r="845" spans="1:28" ht="14.4" x14ac:dyDescent="0.55000000000000004">
      <c r="A845" t="str">
        <f>VLOOKUP(L845,Customers!$A$2:$B$92,2,FALSE)</f>
        <v>Reggiani Caseifici</v>
      </c>
      <c r="B845" t="str">
        <f>VLOOKUP(L845,Customers!$A$2:$C$92,3,TRUE)</f>
        <v>Maurizio Moroni</v>
      </c>
      <c r="C845" t="str">
        <f t="shared" si="222"/>
        <v>Maurizio</v>
      </c>
      <c r="D845" s="8" t="str">
        <f t="shared" si="223"/>
        <v>Moroni</v>
      </c>
      <c r="E845" s="8" t="str">
        <f t="shared" si="224"/>
        <v>Moroni, Maurizio</v>
      </c>
      <c r="F845" s="8" t="str">
        <f t="shared" si="225"/>
        <v>Moroni, Maurizio</v>
      </c>
      <c r="G845" s="8" t="str">
        <f t="shared" si="226"/>
        <v>not an outlier</v>
      </c>
      <c r="H845" s="8" t="str">
        <f t="shared" si="227"/>
        <v>Not</v>
      </c>
      <c r="I845" s="8" t="str">
        <f t="shared" si="237"/>
        <v>no</v>
      </c>
      <c r="J845" s="10" t="str">
        <f t="shared" si="228"/>
        <v>no</v>
      </c>
      <c r="K845" s="10" t="str">
        <f t="shared" si="229"/>
        <v>no</v>
      </c>
      <c r="L845" t="s">
        <v>496</v>
      </c>
      <c r="M845">
        <v>10562</v>
      </c>
      <c r="N845">
        <v>62</v>
      </c>
      <c r="O845" t="s">
        <v>712</v>
      </c>
      <c r="P845" t="str">
        <f t="shared" si="230"/>
        <v>REGGC_10562_Tarte au sucre</v>
      </c>
      <c r="Q845" t="str">
        <f t="shared" si="231"/>
        <v>10562</v>
      </c>
      <c r="R845" t="str">
        <f t="shared" si="232"/>
        <v>10562</v>
      </c>
      <c r="S845" t="str">
        <f t="shared" si="233"/>
        <v>Tarte au sucre</v>
      </c>
      <c r="T845">
        <v>49.3</v>
      </c>
      <c r="U845">
        <v>10</v>
      </c>
      <c r="V845">
        <v>0.1</v>
      </c>
      <c r="W845">
        <f t="shared" si="234"/>
        <v>443.7</v>
      </c>
      <c r="X845" t="str">
        <f t="shared" si="235"/>
        <v>No</v>
      </c>
      <c r="Y845" s="2">
        <v>34890</v>
      </c>
      <c r="Z845" t="str">
        <f t="shared" si="221"/>
        <v/>
      </c>
      <c r="AA845" t="str">
        <f t="shared" si="236"/>
        <v/>
      </c>
      <c r="AB845" t="str" cm="1">
        <f t="array" ref="AB845">_xlfn.IFS(Y845&lt;DATE(1996,1,1),"",Y845&lt;DATE(1996,4,1),"Q1",Y845&lt;DATE(1996,7,1),"Q2",Y845&gt;=DATE(1996,7,1),"")</f>
        <v/>
      </c>
    </row>
    <row r="846" spans="1:28" ht="14.4" x14ac:dyDescent="0.55000000000000004">
      <c r="A846" t="str">
        <f>VLOOKUP(L846,Customers!$A$2:$B$92,2,FALSE)</f>
        <v>Ricardo Adocicados</v>
      </c>
      <c r="B846" t="str">
        <f>VLOOKUP(L846,Customers!$A$2:$C$92,3,TRUE)</f>
        <v>Janete Limeira</v>
      </c>
      <c r="C846" t="str">
        <f t="shared" si="222"/>
        <v>Janete</v>
      </c>
      <c r="D846" s="8" t="str">
        <f t="shared" si="223"/>
        <v>Limeira</v>
      </c>
      <c r="E846" s="8" t="str">
        <f t="shared" si="224"/>
        <v>Limeira, Janete</v>
      </c>
      <c r="F846" s="8" t="str">
        <f t="shared" si="225"/>
        <v>Limeira, Janete</v>
      </c>
      <c r="G846" s="8" t="str">
        <f t="shared" si="226"/>
        <v>not an outlier</v>
      </c>
      <c r="H846" s="8" t="str">
        <f t="shared" si="227"/>
        <v>Not</v>
      </c>
      <c r="I846" s="8" t="str">
        <f t="shared" si="237"/>
        <v>no</v>
      </c>
      <c r="J846" s="10" t="str">
        <f t="shared" si="228"/>
        <v>no</v>
      </c>
      <c r="K846" s="10" t="str">
        <f t="shared" si="229"/>
        <v>no</v>
      </c>
      <c r="L846" t="s">
        <v>503</v>
      </c>
      <c r="M846">
        <v>10563</v>
      </c>
      <c r="N846">
        <v>36</v>
      </c>
      <c r="O846" t="s">
        <v>703</v>
      </c>
      <c r="P846" t="str">
        <f t="shared" si="230"/>
        <v>RICAR_10563_Inlagd Sill</v>
      </c>
      <c r="Q846" t="str">
        <f t="shared" si="231"/>
        <v>10563</v>
      </c>
      <c r="R846" t="str">
        <f t="shared" si="232"/>
        <v>10563</v>
      </c>
      <c r="S846" t="str">
        <f t="shared" si="233"/>
        <v>Inlagd Sill</v>
      </c>
      <c r="T846">
        <v>19</v>
      </c>
      <c r="U846">
        <v>25</v>
      </c>
      <c r="V846">
        <v>0</v>
      </c>
      <c r="W846">
        <f t="shared" si="234"/>
        <v>475</v>
      </c>
      <c r="X846" t="str">
        <f t="shared" si="235"/>
        <v>No</v>
      </c>
      <c r="Y846" s="2">
        <v>34891</v>
      </c>
      <c r="Z846" t="str">
        <f t="shared" si="221"/>
        <v/>
      </c>
      <c r="AA846" t="str">
        <f t="shared" si="236"/>
        <v/>
      </c>
      <c r="AB846" t="str" cm="1">
        <f t="array" ref="AB846">_xlfn.IFS(Y846&lt;DATE(1996,1,1),"",Y846&lt;DATE(1996,4,1),"Q1",Y846&lt;DATE(1996,7,1),"Q2",Y846&gt;=DATE(1996,7,1),"")</f>
        <v/>
      </c>
    </row>
    <row r="847" spans="1:28" ht="14.4" x14ac:dyDescent="0.55000000000000004">
      <c r="A847" t="str">
        <f>VLOOKUP(L847,Customers!$A$2:$B$92,2,FALSE)</f>
        <v>Ricardo Adocicados</v>
      </c>
      <c r="B847" t="str">
        <f>VLOOKUP(L847,Customers!$A$2:$C$92,3,TRUE)</f>
        <v>Janete Limeira</v>
      </c>
      <c r="C847" t="str">
        <f t="shared" si="222"/>
        <v>Janete</v>
      </c>
      <c r="D847" s="8" t="str">
        <f t="shared" si="223"/>
        <v>Limeira</v>
      </c>
      <c r="E847" s="8" t="str">
        <f t="shared" si="224"/>
        <v>Limeira, Janete</v>
      </c>
      <c r="F847" s="8" t="str">
        <f t="shared" si="225"/>
        <v>Limeira, Janete</v>
      </c>
      <c r="G847" s="8" t="str">
        <f t="shared" si="226"/>
        <v>not an outlier</v>
      </c>
      <c r="H847" s="8" t="str">
        <f t="shared" si="227"/>
        <v>Not</v>
      </c>
      <c r="I847" s="8" t="str">
        <f t="shared" si="237"/>
        <v>no</v>
      </c>
      <c r="J847" s="10" t="str">
        <f t="shared" si="228"/>
        <v>no</v>
      </c>
      <c r="K847" s="10" t="str">
        <f t="shared" si="229"/>
        <v>no</v>
      </c>
      <c r="L847" t="s">
        <v>503</v>
      </c>
      <c r="M847">
        <v>10563</v>
      </c>
      <c r="N847">
        <v>52</v>
      </c>
      <c r="O847" t="s">
        <v>748</v>
      </c>
      <c r="P847" t="str">
        <f t="shared" si="230"/>
        <v>RICAR_10563_Filo Mix</v>
      </c>
      <c r="Q847" t="str">
        <f t="shared" si="231"/>
        <v>10563</v>
      </c>
      <c r="R847" t="str">
        <f t="shared" si="232"/>
        <v>10563</v>
      </c>
      <c r="S847" t="str">
        <f t="shared" si="233"/>
        <v>Filo Mix</v>
      </c>
      <c r="T847">
        <v>7</v>
      </c>
      <c r="U847">
        <v>70</v>
      </c>
      <c r="V847">
        <v>0</v>
      </c>
      <c r="W847">
        <f t="shared" si="234"/>
        <v>490</v>
      </c>
      <c r="X847" t="str">
        <f t="shared" si="235"/>
        <v>No</v>
      </c>
      <c r="Y847" s="2">
        <v>34891</v>
      </c>
      <c r="Z847" t="str">
        <f t="shared" si="221"/>
        <v/>
      </c>
      <c r="AA847" t="str">
        <f t="shared" si="236"/>
        <v/>
      </c>
      <c r="AB847" t="str" cm="1">
        <f t="array" ref="AB847">_xlfn.IFS(Y847&lt;DATE(1996,1,1),"",Y847&lt;DATE(1996,4,1),"Q1",Y847&lt;DATE(1996,7,1),"Q2",Y847&gt;=DATE(1996,7,1),"")</f>
        <v/>
      </c>
    </row>
    <row r="848" spans="1:28" ht="14.4" x14ac:dyDescent="0.55000000000000004">
      <c r="A848" t="str">
        <f>VLOOKUP(L848,Customers!$A$2:$B$92,2,FALSE)</f>
        <v>Rattlesnake Canyon Grocery</v>
      </c>
      <c r="B848" t="str">
        <f>VLOOKUP(L848,Customers!$A$2:$C$92,3,TRUE)</f>
        <v>Paula Wilson</v>
      </c>
      <c r="C848" t="str">
        <f t="shared" si="222"/>
        <v>Paula</v>
      </c>
      <c r="D848" s="8" t="str">
        <f t="shared" si="223"/>
        <v>Wilson</v>
      </c>
      <c r="E848" s="8" t="str">
        <f t="shared" si="224"/>
        <v>Wilson, Paula</v>
      </c>
      <c r="F848" s="8" t="str">
        <f t="shared" si="225"/>
        <v>Wilson, Paula</v>
      </c>
      <c r="G848" s="8" t="str">
        <f t="shared" si="226"/>
        <v>not an outlier</v>
      </c>
      <c r="H848" s="8" t="str">
        <f t="shared" si="227"/>
        <v>Not</v>
      </c>
      <c r="I848" s="8" t="str">
        <f t="shared" si="237"/>
        <v>no</v>
      </c>
      <c r="J848" s="10" t="str">
        <f t="shared" si="228"/>
        <v>no</v>
      </c>
      <c r="K848" s="10" t="str">
        <f t="shared" si="229"/>
        <v>no</v>
      </c>
      <c r="L848" t="s">
        <v>487</v>
      </c>
      <c r="M848">
        <v>10564</v>
      </c>
      <c r="N848">
        <v>17</v>
      </c>
      <c r="O848" t="s">
        <v>718</v>
      </c>
      <c r="P848" t="str">
        <f t="shared" si="230"/>
        <v>RATTC_10564_Alice Mutton</v>
      </c>
      <c r="Q848" t="str">
        <f t="shared" si="231"/>
        <v>10564</v>
      </c>
      <c r="R848" t="str">
        <f t="shared" si="232"/>
        <v>10564</v>
      </c>
      <c r="S848" t="str">
        <f t="shared" si="233"/>
        <v>Alice Mutton</v>
      </c>
      <c r="T848">
        <v>39</v>
      </c>
      <c r="U848">
        <v>16</v>
      </c>
      <c r="V848">
        <v>0.05</v>
      </c>
      <c r="W848">
        <f t="shared" si="234"/>
        <v>592.79999999999995</v>
      </c>
      <c r="X848" t="str">
        <f t="shared" si="235"/>
        <v>No</v>
      </c>
      <c r="Y848" s="2">
        <v>34891</v>
      </c>
      <c r="Z848" t="str">
        <f t="shared" si="221"/>
        <v/>
      </c>
      <c r="AA848" t="str">
        <f t="shared" si="236"/>
        <v/>
      </c>
      <c r="AB848" t="str" cm="1">
        <f t="array" ref="AB848">_xlfn.IFS(Y848&lt;DATE(1996,1,1),"",Y848&lt;DATE(1996,4,1),"Q1",Y848&lt;DATE(1996,7,1),"Q2",Y848&gt;=DATE(1996,7,1),"")</f>
        <v/>
      </c>
    </row>
    <row r="849" spans="1:28" ht="14.4" x14ac:dyDescent="0.55000000000000004">
      <c r="A849" t="str">
        <f>VLOOKUP(L849,Customers!$A$2:$B$92,2,FALSE)</f>
        <v>Rattlesnake Canyon Grocery</v>
      </c>
      <c r="B849" t="str">
        <f>VLOOKUP(L849,Customers!$A$2:$C$92,3,TRUE)</f>
        <v>Paula Wilson</v>
      </c>
      <c r="C849" t="str">
        <f t="shared" si="222"/>
        <v>Paula</v>
      </c>
      <c r="D849" s="8" t="str">
        <f t="shared" si="223"/>
        <v>Wilson</v>
      </c>
      <c r="E849" s="8" t="str">
        <f t="shared" si="224"/>
        <v>Wilson, Paula</v>
      </c>
      <c r="F849" s="8" t="str">
        <f t="shared" si="225"/>
        <v>Wilson, Paula</v>
      </c>
      <c r="G849" s="8" t="str">
        <f t="shared" si="226"/>
        <v>not an outlier</v>
      </c>
      <c r="H849" s="8" t="str">
        <f t="shared" si="227"/>
        <v>Not</v>
      </c>
      <c r="I849" s="8" t="str">
        <f t="shared" si="237"/>
        <v>no</v>
      </c>
      <c r="J849" s="10" t="str">
        <f t="shared" si="228"/>
        <v>no</v>
      </c>
      <c r="K849" s="10" t="str">
        <f t="shared" si="229"/>
        <v>no</v>
      </c>
      <c r="L849" t="s">
        <v>487</v>
      </c>
      <c r="M849">
        <v>10564</v>
      </c>
      <c r="N849">
        <v>31</v>
      </c>
      <c r="O849" t="s">
        <v>695</v>
      </c>
      <c r="P849" t="str">
        <f t="shared" si="230"/>
        <v>RATTC_10564_Gorgonzola Telino</v>
      </c>
      <c r="Q849" t="str">
        <f t="shared" si="231"/>
        <v>10564</v>
      </c>
      <c r="R849" t="str">
        <f t="shared" si="232"/>
        <v>10564</v>
      </c>
      <c r="S849" t="str">
        <f t="shared" si="233"/>
        <v>Gorgonzola Telino</v>
      </c>
      <c r="T849">
        <v>12.5</v>
      </c>
      <c r="U849">
        <v>6</v>
      </c>
      <c r="V849">
        <v>0.05</v>
      </c>
      <c r="W849">
        <f t="shared" si="234"/>
        <v>71.25</v>
      </c>
      <c r="X849" t="str">
        <f t="shared" si="235"/>
        <v>No</v>
      </c>
      <c r="Y849" s="2">
        <v>34891</v>
      </c>
      <c r="Z849" t="str">
        <f t="shared" si="221"/>
        <v/>
      </c>
      <c r="AA849" t="str">
        <f t="shared" si="236"/>
        <v/>
      </c>
      <c r="AB849" t="str" cm="1">
        <f t="array" ref="AB849">_xlfn.IFS(Y849&lt;DATE(1996,1,1),"",Y849&lt;DATE(1996,4,1),"Q1",Y849&lt;DATE(1996,7,1),"Q2",Y849&gt;=DATE(1996,7,1),"")</f>
        <v/>
      </c>
    </row>
    <row r="850" spans="1:28" ht="14.4" x14ac:dyDescent="0.55000000000000004">
      <c r="A850" t="str">
        <f>VLOOKUP(L850,Customers!$A$2:$B$92,2,FALSE)</f>
        <v>Rattlesnake Canyon Grocery</v>
      </c>
      <c r="B850" t="str">
        <f>VLOOKUP(L850,Customers!$A$2:$C$92,3,TRUE)</f>
        <v>Paula Wilson</v>
      </c>
      <c r="C850" t="str">
        <f t="shared" si="222"/>
        <v>Paula</v>
      </c>
      <c r="D850" s="8" t="str">
        <f t="shared" si="223"/>
        <v>Wilson</v>
      </c>
      <c r="E850" s="8" t="str">
        <f t="shared" si="224"/>
        <v>Wilson, Paula</v>
      </c>
      <c r="F850" s="8" t="str">
        <f t="shared" si="225"/>
        <v>Wilson, Paula</v>
      </c>
      <c r="G850" s="8" t="str">
        <f t="shared" si="226"/>
        <v>not an outlier</v>
      </c>
      <c r="H850" s="8" t="str">
        <f t="shared" si="227"/>
        <v>Not</v>
      </c>
      <c r="I850" s="8" t="str">
        <f t="shared" si="237"/>
        <v>no</v>
      </c>
      <c r="J850" s="10" t="str">
        <f t="shared" si="228"/>
        <v>no</v>
      </c>
      <c r="K850" s="10" t="str">
        <f t="shared" si="229"/>
        <v>no</v>
      </c>
      <c r="L850" t="s">
        <v>487</v>
      </c>
      <c r="M850">
        <v>10564</v>
      </c>
      <c r="N850">
        <v>55</v>
      </c>
      <c r="O850" t="s">
        <v>699</v>
      </c>
      <c r="P850" t="str">
        <f t="shared" si="230"/>
        <v>RATTC_10564_Pâté chinois</v>
      </c>
      <c r="Q850" t="str">
        <f t="shared" si="231"/>
        <v>10564</v>
      </c>
      <c r="R850" t="str">
        <f t="shared" si="232"/>
        <v>10564</v>
      </c>
      <c r="S850" t="str">
        <f t="shared" si="233"/>
        <v>Pâté chinois</v>
      </c>
      <c r="T850">
        <v>24</v>
      </c>
      <c r="U850">
        <v>25</v>
      </c>
      <c r="V850">
        <v>0.05</v>
      </c>
      <c r="W850">
        <f t="shared" si="234"/>
        <v>570</v>
      </c>
      <c r="X850" t="str">
        <f t="shared" si="235"/>
        <v>No</v>
      </c>
      <c r="Y850" s="2">
        <v>34891</v>
      </c>
      <c r="Z850" t="str">
        <f t="shared" si="221"/>
        <v/>
      </c>
      <c r="AA850" t="str">
        <f t="shared" si="236"/>
        <v/>
      </c>
      <c r="AB850" t="str" cm="1">
        <f t="array" ref="AB850">_xlfn.IFS(Y850&lt;DATE(1996,1,1),"",Y850&lt;DATE(1996,4,1),"Q1",Y850&lt;DATE(1996,7,1),"Q2",Y850&gt;=DATE(1996,7,1),"")</f>
        <v/>
      </c>
    </row>
    <row r="851" spans="1:28" ht="14.4" x14ac:dyDescent="0.55000000000000004">
      <c r="A851" t="str">
        <f>VLOOKUP(L851,Customers!$A$2:$B$92,2,FALSE)</f>
        <v>Mère Paillarde</v>
      </c>
      <c r="B851" t="str">
        <f>VLOOKUP(L851,Customers!$A$2:$C$92,3,TRUE)</f>
        <v>Jean Fresnière</v>
      </c>
      <c r="C851" t="str">
        <f t="shared" si="222"/>
        <v>Jean</v>
      </c>
      <c r="D851" s="8" t="str">
        <f t="shared" si="223"/>
        <v>Fresnière</v>
      </c>
      <c r="E851" s="8" t="str">
        <f t="shared" si="224"/>
        <v>Fresnière, Jean</v>
      </c>
      <c r="F851" s="8" t="str">
        <f t="shared" si="225"/>
        <v>Fresnière, Jean</v>
      </c>
      <c r="G851" s="8" t="str">
        <f t="shared" si="226"/>
        <v>not an outlier</v>
      </c>
      <c r="H851" s="8" t="str">
        <f t="shared" si="227"/>
        <v>Not</v>
      </c>
      <c r="I851" s="8" t="str">
        <f t="shared" si="237"/>
        <v>no</v>
      </c>
      <c r="J851" s="10" t="str">
        <f t="shared" si="228"/>
        <v>no</v>
      </c>
      <c r="K851" s="10" t="str">
        <f t="shared" si="229"/>
        <v>no</v>
      </c>
      <c r="L851" t="s">
        <v>394</v>
      </c>
      <c r="M851">
        <v>10565</v>
      </c>
      <c r="N851">
        <v>24</v>
      </c>
      <c r="O851" t="s">
        <v>698</v>
      </c>
      <c r="P851" t="str">
        <f t="shared" si="230"/>
        <v>MEREP_10565_Guaraná Fantástica</v>
      </c>
      <c r="Q851" t="str">
        <f t="shared" si="231"/>
        <v>10565</v>
      </c>
      <c r="R851" t="str">
        <f t="shared" si="232"/>
        <v>10565</v>
      </c>
      <c r="S851" t="str">
        <f t="shared" si="233"/>
        <v>Guaraná Fantástica</v>
      </c>
      <c r="T851">
        <v>4.5</v>
      </c>
      <c r="U851">
        <v>25</v>
      </c>
      <c r="V851">
        <v>0.1</v>
      </c>
      <c r="W851">
        <f t="shared" si="234"/>
        <v>101.25</v>
      </c>
      <c r="X851" t="str">
        <f t="shared" si="235"/>
        <v>No</v>
      </c>
      <c r="Y851" s="2">
        <v>34892</v>
      </c>
      <c r="Z851" t="str">
        <f t="shared" si="221"/>
        <v/>
      </c>
      <c r="AA851" t="str">
        <f t="shared" si="236"/>
        <v/>
      </c>
      <c r="AB851" t="str" cm="1">
        <f t="array" ref="AB851">_xlfn.IFS(Y851&lt;DATE(1996,1,1),"",Y851&lt;DATE(1996,4,1),"Q1",Y851&lt;DATE(1996,7,1),"Q2",Y851&gt;=DATE(1996,7,1),"")</f>
        <v/>
      </c>
    </row>
    <row r="852" spans="1:28" ht="14.4" x14ac:dyDescent="0.55000000000000004">
      <c r="A852" t="str">
        <f>VLOOKUP(L852,Customers!$A$2:$B$92,2,FALSE)</f>
        <v>Mère Paillarde</v>
      </c>
      <c r="B852" t="str">
        <f>VLOOKUP(L852,Customers!$A$2:$C$92,3,TRUE)</f>
        <v>Jean Fresnière</v>
      </c>
      <c r="C852" t="str">
        <f t="shared" si="222"/>
        <v>Jean</v>
      </c>
      <c r="D852" s="8" t="str">
        <f t="shared" si="223"/>
        <v>Fresnière</v>
      </c>
      <c r="E852" s="8" t="str">
        <f t="shared" si="224"/>
        <v>Fresnière, Jean</v>
      </c>
      <c r="F852" s="8" t="str">
        <f t="shared" si="225"/>
        <v>Fresnière, Jean</v>
      </c>
      <c r="G852" s="8" t="str">
        <f t="shared" si="226"/>
        <v>not an outlier</v>
      </c>
      <c r="H852" s="8" t="str">
        <f t="shared" si="227"/>
        <v>Not</v>
      </c>
      <c r="I852" s="8" t="str">
        <f t="shared" si="237"/>
        <v>no</v>
      </c>
      <c r="J852" s="10" t="str">
        <f t="shared" si="228"/>
        <v>no</v>
      </c>
      <c r="K852" s="10" t="str">
        <f t="shared" si="229"/>
        <v>no</v>
      </c>
      <c r="L852" t="s">
        <v>394</v>
      </c>
      <c r="M852">
        <v>10565</v>
      </c>
      <c r="N852">
        <v>64</v>
      </c>
      <c r="O852" t="s">
        <v>741</v>
      </c>
      <c r="P852" t="str">
        <f t="shared" si="230"/>
        <v>MEREP_10565_Wimmers gute Semmelknödel</v>
      </c>
      <c r="Q852" t="str">
        <f t="shared" si="231"/>
        <v>10565</v>
      </c>
      <c r="R852" t="str">
        <f t="shared" si="232"/>
        <v>10565</v>
      </c>
      <c r="S852" t="str">
        <f t="shared" si="233"/>
        <v>Wimmers gute Semmelknödel</v>
      </c>
      <c r="T852">
        <v>33.25</v>
      </c>
      <c r="U852">
        <v>18</v>
      </c>
      <c r="V852">
        <v>0.1</v>
      </c>
      <c r="W852">
        <f t="shared" si="234"/>
        <v>538.65</v>
      </c>
      <c r="X852" t="str">
        <f t="shared" si="235"/>
        <v>No</v>
      </c>
      <c r="Y852" s="2">
        <v>34892</v>
      </c>
      <c r="Z852" t="str">
        <f t="shared" si="221"/>
        <v/>
      </c>
      <c r="AA852" t="str">
        <f t="shared" si="236"/>
        <v/>
      </c>
      <c r="AB852" t="str" cm="1">
        <f t="array" ref="AB852">_xlfn.IFS(Y852&lt;DATE(1996,1,1),"",Y852&lt;DATE(1996,4,1),"Q1",Y852&lt;DATE(1996,7,1),"Q2",Y852&gt;=DATE(1996,7,1),"")</f>
        <v/>
      </c>
    </row>
    <row r="853" spans="1:28" ht="14.4" x14ac:dyDescent="0.55000000000000004">
      <c r="A853" t="str">
        <f>VLOOKUP(L853,Customers!$A$2:$B$92,2,FALSE)</f>
        <v>Blondel père et fils</v>
      </c>
      <c r="B853" t="str">
        <f>VLOOKUP(L853,Customers!$A$2:$C$92,3,TRUE)</f>
        <v>Frédérique Citeaux</v>
      </c>
      <c r="C853" t="str">
        <f t="shared" si="222"/>
        <v>Frédérique</v>
      </c>
      <c r="D853" s="8" t="str">
        <f t="shared" si="223"/>
        <v>Citeaux</v>
      </c>
      <c r="E853" s="8" t="str">
        <f t="shared" si="224"/>
        <v>Citeaux, Frédérique</v>
      </c>
      <c r="F853" s="8" t="str">
        <f t="shared" si="225"/>
        <v>Citeaux, Frédérique</v>
      </c>
      <c r="G853" s="8" t="str">
        <f t="shared" si="226"/>
        <v>not an outlier</v>
      </c>
      <c r="H853" s="8" t="str">
        <f t="shared" si="227"/>
        <v>Not</v>
      </c>
      <c r="I853" s="8" t="str">
        <f t="shared" si="237"/>
        <v>no</v>
      </c>
      <c r="J853" s="10" t="str">
        <f t="shared" si="228"/>
        <v>no</v>
      </c>
      <c r="K853" s="10" t="str">
        <f t="shared" si="229"/>
        <v>no</v>
      </c>
      <c r="L853" t="s">
        <v>60</v>
      </c>
      <c r="M853">
        <v>10566</v>
      </c>
      <c r="N853">
        <v>11</v>
      </c>
      <c r="O853" t="s">
        <v>683</v>
      </c>
      <c r="P853" t="str">
        <f t="shared" si="230"/>
        <v>BLONP_10566_Queso Cabrales</v>
      </c>
      <c r="Q853" t="str">
        <f t="shared" si="231"/>
        <v>10566</v>
      </c>
      <c r="R853" t="str">
        <f t="shared" si="232"/>
        <v>10566</v>
      </c>
      <c r="S853" t="str">
        <f t="shared" si="233"/>
        <v>Queso Cabrales</v>
      </c>
      <c r="T853">
        <v>21</v>
      </c>
      <c r="U853">
        <v>35</v>
      </c>
      <c r="V853">
        <v>0.15</v>
      </c>
      <c r="W853">
        <f t="shared" si="234"/>
        <v>624.75</v>
      </c>
      <c r="X853" t="str">
        <f t="shared" si="235"/>
        <v>No</v>
      </c>
      <c r="Y853" s="2">
        <v>34893</v>
      </c>
      <c r="Z853" t="str">
        <f t="shared" si="221"/>
        <v/>
      </c>
      <c r="AA853" t="str">
        <f t="shared" si="236"/>
        <v/>
      </c>
      <c r="AB853" t="str" cm="1">
        <f t="array" ref="AB853">_xlfn.IFS(Y853&lt;DATE(1996,1,1),"",Y853&lt;DATE(1996,4,1),"Q1",Y853&lt;DATE(1996,7,1),"Q2",Y853&gt;=DATE(1996,7,1),"")</f>
        <v/>
      </c>
    </row>
    <row r="854" spans="1:28" ht="14.4" x14ac:dyDescent="0.55000000000000004">
      <c r="A854" t="str">
        <f>VLOOKUP(L854,Customers!$A$2:$B$92,2,FALSE)</f>
        <v>Blondel père et fils</v>
      </c>
      <c r="B854" t="str">
        <f>VLOOKUP(L854,Customers!$A$2:$C$92,3,TRUE)</f>
        <v>Frédérique Citeaux</v>
      </c>
      <c r="C854" t="str">
        <f t="shared" si="222"/>
        <v>Frédérique</v>
      </c>
      <c r="D854" s="8" t="str">
        <f t="shared" si="223"/>
        <v>Citeaux</v>
      </c>
      <c r="E854" s="8" t="str">
        <f t="shared" si="224"/>
        <v>Citeaux, Frédérique</v>
      </c>
      <c r="F854" s="8" t="str">
        <f t="shared" si="225"/>
        <v>Citeaux, Frédérique</v>
      </c>
      <c r="G854" s="8" t="str">
        <f t="shared" si="226"/>
        <v>not an outlier</v>
      </c>
      <c r="H854" s="8" t="str">
        <f t="shared" si="227"/>
        <v>Not</v>
      </c>
      <c r="I854" s="8" t="str">
        <f t="shared" si="237"/>
        <v>no</v>
      </c>
      <c r="J854" s="10" t="str">
        <f t="shared" si="228"/>
        <v>no</v>
      </c>
      <c r="K854" s="10" t="str">
        <f t="shared" si="229"/>
        <v>no</v>
      </c>
      <c r="L854" t="s">
        <v>60</v>
      </c>
      <c r="M854">
        <v>10566</v>
      </c>
      <c r="N854">
        <v>18</v>
      </c>
      <c r="O854" t="s">
        <v>742</v>
      </c>
      <c r="P854" t="str">
        <f t="shared" si="230"/>
        <v>BLONP_10566_Carnarvon Tigers</v>
      </c>
      <c r="Q854" t="str">
        <f t="shared" si="231"/>
        <v>10566</v>
      </c>
      <c r="R854" t="str">
        <f t="shared" si="232"/>
        <v>10566</v>
      </c>
      <c r="S854" t="str">
        <f t="shared" si="233"/>
        <v>Carnarvon Tigers</v>
      </c>
      <c r="T854">
        <v>62.5</v>
      </c>
      <c r="U854">
        <v>18</v>
      </c>
      <c r="V854">
        <v>0.15</v>
      </c>
      <c r="W854">
        <f t="shared" si="234"/>
        <v>956.25</v>
      </c>
      <c r="X854" t="str">
        <f t="shared" si="235"/>
        <v>No</v>
      </c>
      <c r="Y854" s="2">
        <v>34893</v>
      </c>
      <c r="Z854" t="str">
        <f t="shared" si="221"/>
        <v/>
      </c>
      <c r="AA854" t="str">
        <f t="shared" si="236"/>
        <v/>
      </c>
      <c r="AB854" t="str" cm="1">
        <f t="array" ref="AB854">_xlfn.IFS(Y854&lt;DATE(1996,1,1),"",Y854&lt;DATE(1996,4,1),"Q1",Y854&lt;DATE(1996,7,1),"Q2",Y854&gt;=DATE(1996,7,1),"")</f>
        <v/>
      </c>
    </row>
    <row r="855" spans="1:28" ht="14.4" x14ac:dyDescent="0.55000000000000004">
      <c r="A855" t="str">
        <f>VLOOKUP(L855,Customers!$A$2:$B$92,2,FALSE)</f>
        <v>Blondel père et fils</v>
      </c>
      <c r="B855" t="str">
        <f>VLOOKUP(L855,Customers!$A$2:$C$92,3,TRUE)</f>
        <v>Frédérique Citeaux</v>
      </c>
      <c r="C855" t="str">
        <f t="shared" si="222"/>
        <v>Frédérique</v>
      </c>
      <c r="D855" s="8" t="str">
        <f t="shared" si="223"/>
        <v>Citeaux</v>
      </c>
      <c r="E855" s="8" t="str">
        <f t="shared" si="224"/>
        <v>Citeaux, Frédérique</v>
      </c>
      <c r="F855" s="8" t="str">
        <f t="shared" si="225"/>
        <v>Citeaux, Frédérique</v>
      </c>
      <c r="G855" s="8" t="str">
        <f t="shared" si="226"/>
        <v>not an outlier</v>
      </c>
      <c r="H855" s="8" t="str">
        <f t="shared" si="227"/>
        <v>Not</v>
      </c>
      <c r="I855" s="8" t="str">
        <f t="shared" si="237"/>
        <v>no</v>
      </c>
      <c r="J855" s="10" t="str">
        <f t="shared" si="228"/>
        <v>no</v>
      </c>
      <c r="K855" s="10" t="str">
        <f t="shared" si="229"/>
        <v>no</v>
      </c>
      <c r="L855" t="s">
        <v>60</v>
      </c>
      <c r="M855">
        <v>10566</v>
      </c>
      <c r="N855">
        <v>76</v>
      </c>
      <c r="O855" t="s">
        <v>721</v>
      </c>
      <c r="P855" t="str">
        <f t="shared" si="230"/>
        <v>BLONP_10566_Lakkalikööri</v>
      </c>
      <c r="Q855" t="str">
        <f t="shared" si="231"/>
        <v>10566</v>
      </c>
      <c r="R855" t="str">
        <f t="shared" si="232"/>
        <v>10566</v>
      </c>
      <c r="S855" t="str">
        <f t="shared" si="233"/>
        <v>Lakkalikööri</v>
      </c>
      <c r="T855">
        <v>18</v>
      </c>
      <c r="U855">
        <v>10</v>
      </c>
      <c r="V855">
        <v>0</v>
      </c>
      <c r="W855">
        <f t="shared" si="234"/>
        <v>180</v>
      </c>
      <c r="X855" t="str">
        <f t="shared" si="235"/>
        <v>No</v>
      </c>
      <c r="Y855" s="2">
        <v>34893</v>
      </c>
      <c r="Z855" t="str">
        <f t="shared" si="221"/>
        <v/>
      </c>
      <c r="AA855" t="str">
        <f t="shared" si="236"/>
        <v/>
      </c>
      <c r="AB855" t="str" cm="1">
        <f t="array" ref="AB855">_xlfn.IFS(Y855&lt;DATE(1996,1,1),"",Y855&lt;DATE(1996,4,1),"Q1",Y855&lt;DATE(1996,7,1),"Q2",Y855&gt;=DATE(1996,7,1),"")</f>
        <v/>
      </c>
    </row>
    <row r="856" spans="1:28" ht="14.4" x14ac:dyDescent="0.55000000000000004">
      <c r="A856" t="str">
        <f>VLOOKUP(L856,Customers!$A$2:$B$92,2,FALSE)</f>
        <v>Hungry Owl All-Night Grocers</v>
      </c>
      <c r="B856" t="str">
        <f>VLOOKUP(L856,Customers!$A$2:$C$92,3,TRUE)</f>
        <v>Patricia McKenna</v>
      </c>
      <c r="C856" t="str">
        <f t="shared" si="222"/>
        <v>Patricia</v>
      </c>
      <c r="D856" s="8" t="str">
        <f t="shared" si="223"/>
        <v>McKenna</v>
      </c>
      <c r="E856" s="8" t="str">
        <f t="shared" si="224"/>
        <v>McKenna, Patricia</v>
      </c>
      <c r="F856" s="8" t="str">
        <f t="shared" si="225"/>
        <v>McKenna, Patricia</v>
      </c>
      <c r="G856" s="8" t="str">
        <f t="shared" si="226"/>
        <v>not an outlier</v>
      </c>
      <c r="H856" s="8" t="str">
        <f t="shared" si="227"/>
        <v>Not</v>
      </c>
      <c r="I856" s="8" t="str">
        <f t="shared" si="237"/>
        <v>no</v>
      </c>
      <c r="J856" s="10" t="str">
        <f t="shared" si="228"/>
        <v>no</v>
      </c>
      <c r="K856" s="10" t="str">
        <f t="shared" si="229"/>
        <v>no</v>
      </c>
      <c r="L856" t="s">
        <v>288</v>
      </c>
      <c r="M856">
        <v>10567</v>
      </c>
      <c r="N856">
        <v>31</v>
      </c>
      <c r="O856" t="s">
        <v>695</v>
      </c>
      <c r="P856" t="str">
        <f t="shared" si="230"/>
        <v>HUNGO_10567_Gorgonzola Telino</v>
      </c>
      <c r="Q856" t="str">
        <f t="shared" si="231"/>
        <v>10567</v>
      </c>
      <c r="R856" t="str">
        <f t="shared" si="232"/>
        <v>10567</v>
      </c>
      <c r="S856" t="str">
        <f t="shared" si="233"/>
        <v>Gorgonzola Telino</v>
      </c>
      <c r="T856">
        <v>12.5</v>
      </c>
      <c r="U856">
        <v>60</v>
      </c>
      <c r="V856">
        <v>0.2</v>
      </c>
      <c r="W856">
        <f t="shared" si="234"/>
        <v>600</v>
      </c>
      <c r="X856" t="str">
        <f t="shared" si="235"/>
        <v>No</v>
      </c>
      <c r="Y856" s="2">
        <v>34893</v>
      </c>
      <c r="Z856" t="str">
        <f t="shared" si="221"/>
        <v/>
      </c>
      <c r="AA856" t="str">
        <f t="shared" si="236"/>
        <v/>
      </c>
      <c r="AB856" t="str" cm="1">
        <f t="array" ref="AB856">_xlfn.IFS(Y856&lt;DATE(1996,1,1),"",Y856&lt;DATE(1996,4,1),"Q1",Y856&lt;DATE(1996,7,1),"Q2",Y856&gt;=DATE(1996,7,1),"")</f>
        <v/>
      </c>
    </row>
    <row r="857" spans="1:28" ht="14.4" x14ac:dyDescent="0.55000000000000004">
      <c r="A857" t="str">
        <f>VLOOKUP(L857,Customers!$A$2:$B$92,2,FALSE)</f>
        <v>Hungry Owl All-Night Grocers</v>
      </c>
      <c r="B857" t="str">
        <f>VLOOKUP(L857,Customers!$A$2:$C$92,3,TRUE)</f>
        <v>Patricia McKenna</v>
      </c>
      <c r="C857" t="str">
        <f t="shared" si="222"/>
        <v>Patricia</v>
      </c>
      <c r="D857" s="8" t="str">
        <f t="shared" si="223"/>
        <v>McKenna</v>
      </c>
      <c r="E857" s="8" t="str">
        <f t="shared" si="224"/>
        <v>McKenna, Patricia</v>
      </c>
      <c r="F857" s="8" t="str">
        <f t="shared" si="225"/>
        <v>McKenna, Patricia</v>
      </c>
      <c r="G857" s="8" t="str">
        <f t="shared" si="226"/>
        <v>not an outlier</v>
      </c>
      <c r="H857" s="8" t="str">
        <f t="shared" si="227"/>
        <v>Not</v>
      </c>
      <c r="I857" s="8" t="str">
        <f t="shared" si="237"/>
        <v>no</v>
      </c>
      <c r="J857" s="10" t="str">
        <f t="shared" si="228"/>
        <v>no</v>
      </c>
      <c r="K857" s="10" t="str">
        <f t="shared" si="229"/>
        <v>no</v>
      </c>
      <c r="L857" t="s">
        <v>288</v>
      </c>
      <c r="M857">
        <v>10567</v>
      </c>
      <c r="N857">
        <v>51</v>
      </c>
      <c r="O857" t="s">
        <v>687</v>
      </c>
      <c r="P857" t="str">
        <f t="shared" si="230"/>
        <v>HUNGO_10567_Manjimup Dried Apples</v>
      </c>
      <c r="Q857" t="str">
        <f t="shared" si="231"/>
        <v>10567</v>
      </c>
      <c r="R857" t="str">
        <f t="shared" si="232"/>
        <v>10567</v>
      </c>
      <c r="S857" t="str">
        <f t="shared" si="233"/>
        <v>Manjimup Dried Apples</v>
      </c>
      <c r="T857">
        <v>53</v>
      </c>
      <c r="U857">
        <v>3</v>
      </c>
      <c r="V857">
        <v>0</v>
      </c>
      <c r="W857">
        <f t="shared" si="234"/>
        <v>159</v>
      </c>
      <c r="X857" t="str">
        <f t="shared" si="235"/>
        <v>No</v>
      </c>
      <c r="Y857" s="2">
        <v>34893</v>
      </c>
      <c r="Z857" t="str">
        <f t="shared" si="221"/>
        <v/>
      </c>
      <c r="AA857" t="str">
        <f t="shared" si="236"/>
        <v/>
      </c>
      <c r="AB857" t="str" cm="1">
        <f t="array" ref="AB857">_xlfn.IFS(Y857&lt;DATE(1996,1,1),"",Y857&lt;DATE(1996,4,1),"Q1",Y857&lt;DATE(1996,7,1),"Q2",Y857&gt;=DATE(1996,7,1),"")</f>
        <v/>
      </c>
    </row>
    <row r="858" spans="1:28" ht="14.4" x14ac:dyDescent="0.55000000000000004">
      <c r="A858" t="str">
        <f>VLOOKUP(L858,Customers!$A$2:$B$92,2,FALSE)</f>
        <v>Hungry Owl All-Night Grocers</v>
      </c>
      <c r="B858" t="str">
        <f>VLOOKUP(L858,Customers!$A$2:$C$92,3,TRUE)</f>
        <v>Patricia McKenna</v>
      </c>
      <c r="C858" t="str">
        <f t="shared" si="222"/>
        <v>Patricia</v>
      </c>
      <c r="D858" s="8" t="str">
        <f t="shared" si="223"/>
        <v>McKenna</v>
      </c>
      <c r="E858" s="8" t="str">
        <f t="shared" si="224"/>
        <v>McKenna, Patricia</v>
      </c>
      <c r="F858" s="8" t="str">
        <f t="shared" si="225"/>
        <v>McKenna, Patricia</v>
      </c>
      <c r="G858" s="8" t="str">
        <f t="shared" si="226"/>
        <v>not an outlier</v>
      </c>
      <c r="H858" s="8" t="str">
        <f t="shared" si="227"/>
        <v>Not</v>
      </c>
      <c r="I858" s="8" t="str">
        <f t="shared" si="237"/>
        <v>no</v>
      </c>
      <c r="J858" s="10" t="str">
        <f t="shared" si="228"/>
        <v>no</v>
      </c>
      <c r="K858" s="10" t="str">
        <f t="shared" si="229"/>
        <v>no</v>
      </c>
      <c r="L858" t="s">
        <v>288</v>
      </c>
      <c r="M858">
        <v>10567</v>
      </c>
      <c r="N858">
        <v>59</v>
      </c>
      <c r="O858" t="s">
        <v>704</v>
      </c>
      <c r="P858" t="str">
        <f t="shared" si="230"/>
        <v>HUNGO_10567_Raclette Courdavault</v>
      </c>
      <c r="Q858" t="str">
        <f t="shared" si="231"/>
        <v>10567</v>
      </c>
      <c r="R858" t="str">
        <f t="shared" si="232"/>
        <v>10567</v>
      </c>
      <c r="S858" t="str">
        <f t="shared" si="233"/>
        <v>Raclette Courdavault</v>
      </c>
      <c r="T858">
        <v>55</v>
      </c>
      <c r="U858">
        <v>40</v>
      </c>
      <c r="V858">
        <v>0.2</v>
      </c>
      <c r="W858">
        <f t="shared" si="234"/>
        <v>1760</v>
      </c>
      <c r="X858" t="str">
        <f t="shared" si="235"/>
        <v>No</v>
      </c>
      <c r="Y858" s="2">
        <v>34893</v>
      </c>
      <c r="Z858" t="str">
        <f t="shared" si="221"/>
        <v/>
      </c>
      <c r="AA858" t="str">
        <f t="shared" si="236"/>
        <v/>
      </c>
      <c r="AB858" t="str" cm="1">
        <f t="array" ref="AB858">_xlfn.IFS(Y858&lt;DATE(1996,1,1),"",Y858&lt;DATE(1996,4,1),"Q1",Y858&lt;DATE(1996,7,1),"Q2",Y858&gt;=DATE(1996,7,1),"")</f>
        <v/>
      </c>
    </row>
    <row r="859" spans="1:28" ht="14.4" x14ac:dyDescent="0.55000000000000004">
      <c r="A859" t="str">
        <f>VLOOKUP(L859,Customers!$A$2:$B$92,2,FALSE)</f>
        <v>Galería del gastrónomo</v>
      </c>
      <c r="B859" t="str">
        <f>VLOOKUP(L859,Customers!$A$2:$C$92,3,TRUE)</f>
        <v>Eduardo Saavedra</v>
      </c>
      <c r="C859" t="str">
        <f t="shared" si="222"/>
        <v>Eduardo</v>
      </c>
      <c r="D859" s="8" t="str">
        <f t="shared" si="223"/>
        <v>Saavedra</v>
      </c>
      <c r="E859" s="8" t="str">
        <f t="shared" si="224"/>
        <v>Saavedra, Eduardo</v>
      </c>
      <c r="F859" s="8" t="str">
        <f t="shared" si="225"/>
        <v>Saavedra, Eduardo</v>
      </c>
      <c r="G859" s="8" t="str">
        <f t="shared" si="226"/>
        <v>not an outlier</v>
      </c>
      <c r="H859" s="8" t="str">
        <f t="shared" si="227"/>
        <v>Not</v>
      </c>
      <c r="I859" s="8" t="str">
        <f t="shared" si="237"/>
        <v>no</v>
      </c>
      <c r="J859" s="10" t="str">
        <f t="shared" si="228"/>
        <v>no</v>
      </c>
      <c r="K859" s="10" t="str">
        <f t="shared" si="229"/>
        <v>no</v>
      </c>
      <c r="L859" t="s">
        <v>227</v>
      </c>
      <c r="M859">
        <v>10568</v>
      </c>
      <c r="N859">
        <v>10</v>
      </c>
      <c r="O859" t="s">
        <v>724</v>
      </c>
      <c r="P859" t="str">
        <f t="shared" si="230"/>
        <v>GALED_10568_Ikura</v>
      </c>
      <c r="Q859" t="str">
        <f t="shared" si="231"/>
        <v>10568</v>
      </c>
      <c r="R859" t="str">
        <f t="shared" si="232"/>
        <v>10568</v>
      </c>
      <c r="S859" t="str">
        <f t="shared" si="233"/>
        <v>Ikura</v>
      </c>
      <c r="T859">
        <v>31</v>
      </c>
      <c r="U859">
        <v>5</v>
      </c>
      <c r="V859">
        <v>0</v>
      </c>
      <c r="W859">
        <f t="shared" si="234"/>
        <v>155</v>
      </c>
      <c r="X859" t="str">
        <f t="shared" si="235"/>
        <v>No</v>
      </c>
      <c r="Y859" s="2">
        <v>34894</v>
      </c>
      <c r="Z859" t="str">
        <f t="shared" si="221"/>
        <v/>
      </c>
      <c r="AA859" t="str">
        <f t="shared" si="236"/>
        <v/>
      </c>
      <c r="AB859" t="str" cm="1">
        <f t="array" ref="AB859">_xlfn.IFS(Y859&lt;DATE(1996,1,1),"",Y859&lt;DATE(1996,4,1),"Q1",Y859&lt;DATE(1996,7,1),"Q2",Y859&gt;=DATE(1996,7,1),"")</f>
        <v/>
      </c>
    </row>
    <row r="860" spans="1:28" ht="14.4" x14ac:dyDescent="0.55000000000000004">
      <c r="A860" t="str">
        <f>VLOOKUP(L860,Customers!$A$2:$B$92,2,FALSE)</f>
        <v>Rattlesnake Canyon Grocery</v>
      </c>
      <c r="B860" t="str">
        <f>VLOOKUP(L860,Customers!$A$2:$C$92,3,TRUE)</f>
        <v>Paula Wilson</v>
      </c>
      <c r="C860" t="str">
        <f t="shared" si="222"/>
        <v>Paula</v>
      </c>
      <c r="D860" s="8" t="str">
        <f t="shared" si="223"/>
        <v>Wilson</v>
      </c>
      <c r="E860" s="8" t="str">
        <f t="shared" si="224"/>
        <v>Wilson, Paula</v>
      </c>
      <c r="F860" s="8" t="str">
        <f t="shared" si="225"/>
        <v>Wilson, Paula</v>
      </c>
      <c r="G860" s="8" t="str">
        <f t="shared" si="226"/>
        <v>not an outlier</v>
      </c>
      <c r="H860" s="8" t="str">
        <f t="shared" si="227"/>
        <v>Not</v>
      </c>
      <c r="I860" s="8" t="str">
        <f t="shared" si="237"/>
        <v>no</v>
      </c>
      <c r="J860" s="10" t="str">
        <f t="shared" si="228"/>
        <v>no</v>
      </c>
      <c r="K860" s="10" t="str">
        <f t="shared" si="229"/>
        <v>no</v>
      </c>
      <c r="L860" t="s">
        <v>487</v>
      </c>
      <c r="M860">
        <v>10569</v>
      </c>
      <c r="N860">
        <v>31</v>
      </c>
      <c r="O860" t="s">
        <v>695</v>
      </c>
      <c r="P860" t="str">
        <f t="shared" si="230"/>
        <v>RATTC_10569_Gorgonzola Telino</v>
      </c>
      <c r="Q860" t="str">
        <f t="shared" si="231"/>
        <v>10569</v>
      </c>
      <c r="R860" t="str">
        <f t="shared" si="232"/>
        <v>10569</v>
      </c>
      <c r="S860" t="str">
        <f t="shared" si="233"/>
        <v>Gorgonzola Telino</v>
      </c>
      <c r="T860">
        <v>12.5</v>
      </c>
      <c r="U860">
        <v>35</v>
      </c>
      <c r="V860">
        <v>0.2</v>
      </c>
      <c r="W860">
        <f t="shared" si="234"/>
        <v>350</v>
      </c>
      <c r="X860" t="str">
        <f t="shared" si="235"/>
        <v>No</v>
      </c>
      <c r="Y860" s="2">
        <v>34897</v>
      </c>
      <c r="Z860" t="str">
        <f t="shared" si="221"/>
        <v/>
      </c>
      <c r="AA860" t="str">
        <f t="shared" si="236"/>
        <v/>
      </c>
      <c r="AB860" t="str" cm="1">
        <f t="array" ref="AB860">_xlfn.IFS(Y860&lt;DATE(1996,1,1),"",Y860&lt;DATE(1996,4,1),"Q1",Y860&lt;DATE(1996,7,1),"Q2",Y860&gt;=DATE(1996,7,1),"")</f>
        <v/>
      </c>
    </row>
    <row r="861" spans="1:28" ht="14.4" x14ac:dyDescent="0.55000000000000004">
      <c r="A861" t="str">
        <f>VLOOKUP(L861,Customers!$A$2:$B$92,2,FALSE)</f>
        <v>Rattlesnake Canyon Grocery</v>
      </c>
      <c r="B861" t="str">
        <f>VLOOKUP(L861,Customers!$A$2:$C$92,3,TRUE)</f>
        <v>Paula Wilson</v>
      </c>
      <c r="C861" t="str">
        <f t="shared" si="222"/>
        <v>Paula</v>
      </c>
      <c r="D861" s="8" t="str">
        <f t="shared" si="223"/>
        <v>Wilson</v>
      </c>
      <c r="E861" s="8" t="str">
        <f t="shared" si="224"/>
        <v>Wilson, Paula</v>
      </c>
      <c r="F861" s="8" t="str">
        <f t="shared" si="225"/>
        <v>Wilson, Paula</v>
      </c>
      <c r="G861" s="8" t="str">
        <f t="shared" si="226"/>
        <v>not an outlier</v>
      </c>
      <c r="H861" s="8" t="str">
        <f t="shared" si="227"/>
        <v>Not</v>
      </c>
      <c r="I861" s="8" t="str">
        <f t="shared" si="237"/>
        <v>no</v>
      </c>
      <c r="J861" s="10" t="str">
        <f t="shared" si="228"/>
        <v>no</v>
      </c>
      <c r="K861" s="10" t="str">
        <f t="shared" si="229"/>
        <v>no</v>
      </c>
      <c r="L861" t="s">
        <v>487</v>
      </c>
      <c r="M861">
        <v>10569</v>
      </c>
      <c r="N861">
        <v>76</v>
      </c>
      <c r="O861" t="s">
        <v>721</v>
      </c>
      <c r="P861" t="str">
        <f t="shared" si="230"/>
        <v>RATTC_10569_Lakkalikööri</v>
      </c>
      <c r="Q861" t="str">
        <f t="shared" si="231"/>
        <v>10569</v>
      </c>
      <c r="R861" t="str">
        <f t="shared" si="232"/>
        <v>10569</v>
      </c>
      <c r="S861" t="str">
        <f t="shared" si="233"/>
        <v>Lakkalikööri</v>
      </c>
      <c r="T861">
        <v>18</v>
      </c>
      <c r="U861">
        <v>30</v>
      </c>
      <c r="V861">
        <v>0</v>
      </c>
      <c r="W861">
        <f t="shared" si="234"/>
        <v>540</v>
      </c>
      <c r="X861" t="str">
        <f t="shared" si="235"/>
        <v>No</v>
      </c>
      <c r="Y861" s="2">
        <v>34897</v>
      </c>
      <c r="Z861" t="str">
        <f t="shared" si="221"/>
        <v/>
      </c>
      <c r="AA861" t="str">
        <f t="shared" si="236"/>
        <v/>
      </c>
      <c r="AB861" t="str" cm="1">
        <f t="array" ref="AB861">_xlfn.IFS(Y861&lt;DATE(1996,1,1),"",Y861&lt;DATE(1996,4,1),"Q1",Y861&lt;DATE(1996,7,1),"Q2",Y861&gt;=DATE(1996,7,1),"")</f>
        <v/>
      </c>
    </row>
    <row r="862" spans="1:28" ht="14.4" x14ac:dyDescent="0.55000000000000004">
      <c r="A862" t="str">
        <f>VLOOKUP(L862,Customers!$A$2:$B$92,2,FALSE)</f>
        <v>Mère Paillarde</v>
      </c>
      <c r="B862" t="str">
        <f>VLOOKUP(L862,Customers!$A$2:$C$92,3,TRUE)</f>
        <v>Jean Fresnière</v>
      </c>
      <c r="C862" t="str">
        <f t="shared" si="222"/>
        <v>Jean</v>
      </c>
      <c r="D862" s="8" t="str">
        <f t="shared" si="223"/>
        <v>Fresnière</v>
      </c>
      <c r="E862" s="8" t="str">
        <f t="shared" si="224"/>
        <v>Fresnière, Jean</v>
      </c>
      <c r="F862" s="8" t="str">
        <f t="shared" si="225"/>
        <v>Fresnière, Jean</v>
      </c>
      <c r="G862" s="8" t="str">
        <f t="shared" si="226"/>
        <v>not an outlier</v>
      </c>
      <c r="H862" s="8" t="str">
        <f t="shared" si="227"/>
        <v>Not</v>
      </c>
      <c r="I862" s="8" t="str">
        <f t="shared" si="237"/>
        <v>no</v>
      </c>
      <c r="J862" s="10" t="str">
        <f t="shared" si="228"/>
        <v>no</v>
      </c>
      <c r="K862" s="10" t="str">
        <f t="shared" si="229"/>
        <v>no</v>
      </c>
      <c r="L862" t="s">
        <v>394</v>
      </c>
      <c r="M862">
        <v>10570</v>
      </c>
      <c r="N862">
        <v>11</v>
      </c>
      <c r="O862" t="s">
        <v>683</v>
      </c>
      <c r="P862" t="str">
        <f t="shared" si="230"/>
        <v>MEREP_10570_Queso Cabrales</v>
      </c>
      <c r="Q862" t="str">
        <f t="shared" si="231"/>
        <v>10570</v>
      </c>
      <c r="R862" t="str">
        <f t="shared" si="232"/>
        <v>10570</v>
      </c>
      <c r="S862" t="str">
        <f t="shared" si="233"/>
        <v>Queso Cabrales</v>
      </c>
      <c r="T862">
        <v>21</v>
      </c>
      <c r="U862">
        <v>15</v>
      </c>
      <c r="V862">
        <v>0.05</v>
      </c>
      <c r="W862">
        <f t="shared" si="234"/>
        <v>299.25</v>
      </c>
      <c r="X862" t="str">
        <f t="shared" si="235"/>
        <v>No</v>
      </c>
      <c r="Y862" s="2">
        <v>34898</v>
      </c>
      <c r="Z862" t="str">
        <f t="shared" si="221"/>
        <v/>
      </c>
      <c r="AA862" t="str">
        <f t="shared" si="236"/>
        <v/>
      </c>
      <c r="AB862" t="str" cm="1">
        <f t="array" ref="AB862">_xlfn.IFS(Y862&lt;DATE(1996,1,1),"",Y862&lt;DATE(1996,4,1),"Q1",Y862&lt;DATE(1996,7,1),"Q2",Y862&gt;=DATE(1996,7,1),"")</f>
        <v/>
      </c>
    </row>
    <row r="863" spans="1:28" ht="14.4" x14ac:dyDescent="0.55000000000000004">
      <c r="A863" t="str">
        <f>VLOOKUP(L863,Customers!$A$2:$B$92,2,FALSE)</f>
        <v>Mère Paillarde</v>
      </c>
      <c r="B863" t="str">
        <f>VLOOKUP(L863,Customers!$A$2:$C$92,3,TRUE)</f>
        <v>Jean Fresnière</v>
      </c>
      <c r="C863" t="str">
        <f t="shared" si="222"/>
        <v>Jean</v>
      </c>
      <c r="D863" s="8" t="str">
        <f t="shared" si="223"/>
        <v>Fresnière</v>
      </c>
      <c r="E863" s="8" t="str">
        <f t="shared" si="224"/>
        <v>Fresnière, Jean</v>
      </c>
      <c r="F863" s="8" t="str">
        <f t="shared" si="225"/>
        <v>Fresnière, Jean</v>
      </c>
      <c r="G863" s="8" t="str">
        <f t="shared" si="226"/>
        <v>not an outlier</v>
      </c>
      <c r="H863" s="8" t="str">
        <f t="shared" si="227"/>
        <v>Not</v>
      </c>
      <c r="I863" s="8" t="str">
        <f t="shared" si="237"/>
        <v>no</v>
      </c>
      <c r="J863" s="10" t="str">
        <f t="shared" si="228"/>
        <v>no</v>
      </c>
      <c r="K863" s="10" t="str">
        <f t="shared" si="229"/>
        <v>no</v>
      </c>
      <c r="L863" t="s">
        <v>394</v>
      </c>
      <c r="M863">
        <v>10570</v>
      </c>
      <c r="N863">
        <v>56</v>
      </c>
      <c r="O863" t="s">
        <v>716</v>
      </c>
      <c r="P863" t="str">
        <f t="shared" si="230"/>
        <v>MEREP_10570_Gnocchi di nonna Alice</v>
      </c>
      <c r="Q863" t="str">
        <f t="shared" si="231"/>
        <v>10570</v>
      </c>
      <c r="R863" t="str">
        <f t="shared" si="232"/>
        <v>10570</v>
      </c>
      <c r="S863" t="str">
        <f t="shared" si="233"/>
        <v>Gnocchi di nonna Alice</v>
      </c>
      <c r="T863">
        <v>38</v>
      </c>
      <c r="U863">
        <v>60</v>
      </c>
      <c r="V863">
        <v>0.05</v>
      </c>
      <c r="W863">
        <f t="shared" si="234"/>
        <v>2166</v>
      </c>
      <c r="X863" t="str">
        <f t="shared" si="235"/>
        <v>No</v>
      </c>
      <c r="Y863" s="2">
        <v>34898</v>
      </c>
      <c r="Z863" t="str">
        <f t="shared" si="221"/>
        <v/>
      </c>
      <c r="AA863" t="str">
        <f t="shared" si="236"/>
        <v/>
      </c>
      <c r="AB863" t="str" cm="1">
        <f t="array" ref="AB863">_xlfn.IFS(Y863&lt;DATE(1996,1,1),"",Y863&lt;DATE(1996,4,1),"Q1",Y863&lt;DATE(1996,7,1),"Q2",Y863&gt;=DATE(1996,7,1),"")</f>
        <v/>
      </c>
    </row>
    <row r="864" spans="1:28" ht="14.4" x14ac:dyDescent="0.55000000000000004">
      <c r="A864" t="str">
        <f>VLOOKUP(L864,Customers!$A$2:$B$92,2,FALSE)</f>
        <v>Ernst Handel</v>
      </c>
      <c r="B864" t="str">
        <f>VLOOKUP(L864,Customers!$A$2:$C$92,3,TRUE)</f>
        <v>Roland Mendel</v>
      </c>
      <c r="C864" t="str">
        <f t="shared" si="222"/>
        <v>Roland</v>
      </c>
      <c r="D864" s="8" t="str">
        <f t="shared" si="223"/>
        <v>Mendel</v>
      </c>
      <c r="E864" s="8" t="str">
        <f t="shared" si="224"/>
        <v>Mendel, Roland</v>
      </c>
      <c r="F864" s="8" t="str">
        <f t="shared" si="225"/>
        <v>Mendel, Roland</v>
      </c>
      <c r="G864" s="8" t="str">
        <f t="shared" si="226"/>
        <v>not an outlier</v>
      </c>
      <c r="H864" s="8" t="str">
        <f t="shared" si="227"/>
        <v>Not</v>
      </c>
      <c r="I864" s="8" t="str">
        <f t="shared" si="237"/>
        <v>no</v>
      </c>
      <c r="J864" s="10" t="str">
        <f t="shared" si="228"/>
        <v>no</v>
      </c>
      <c r="K864" s="10" t="str">
        <f t="shared" si="229"/>
        <v>no</v>
      </c>
      <c r="L864" t="s">
        <v>161</v>
      </c>
      <c r="M864">
        <v>10571</v>
      </c>
      <c r="N864">
        <v>14</v>
      </c>
      <c r="O864" t="s">
        <v>686</v>
      </c>
      <c r="P864" t="str">
        <f t="shared" si="230"/>
        <v>ERNSH_10571_Tofu</v>
      </c>
      <c r="Q864" t="str">
        <f t="shared" si="231"/>
        <v>10571</v>
      </c>
      <c r="R864" t="str">
        <f t="shared" si="232"/>
        <v>10571</v>
      </c>
      <c r="S864" t="str">
        <f t="shared" si="233"/>
        <v>Tofu</v>
      </c>
      <c r="T864">
        <v>23.25</v>
      </c>
      <c r="U864">
        <v>11</v>
      </c>
      <c r="V864">
        <v>0.15</v>
      </c>
      <c r="W864">
        <f t="shared" si="234"/>
        <v>217.38749999999999</v>
      </c>
      <c r="X864" t="str">
        <f t="shared" si="235"/>
        <v>No</v>
      </c>
      <c r="Y864" s="2">
        <v>34898</v>
      </c>
      <c r="Z864" t="str">
        <f t="shared" si="221"/>
        <v/>
      </c>
      <c r="AA864" t="str">
        <f t="shared" si="236"/>
        <v/>
      </c>
      <c r="AB864" t="str" cm="1">
        <f t="array" ref="AB864">_xlfn.IFS(Y864&lt;DATE(1996,1,1),"",Y864&lt;DATE(1996,4,1),"Q1",Y864&lt;DATE(1996,7,1),"Q2",Y864&gt;=DATE(1996,7,1),"")</f>
        <v/>
      </c>
    </row>
    <row r="865" spans="1:28" ht="14.4" x14ac:dyDescent="0.55000000000000004">
      <c r="A865" t="str">
        <f>VLOOKUP(L865,Customers!$A$2:$B$92,2,FALSE)</f>
        <v>Ernst Handel</v>
      </c>
      <c r="B865" t="str">
        <f>VLOOKUP(L865,Customers!$A$2:$C$92,3,TRUE)</f>
        <v>Roland Mendel</v>
      </c>
      <c r="C865" t="str">
        <f t="shared" si="222"/>
        <v>Roland</v>
      </c>
      <c r="D865" s="8" t="str">
        <f t="shared" si="223"/>
        <v>Mendel</v>
      </c>
      <c r="E865" s="8" t="str">
        <f t="shared" si="224"/>
        <v>Mendel, Roland</v>
      </c>
      <c r="F865" s="8" t="str">
        <f t="shared" si="225"/>
        <v>Mendel, Roland</v>
      </c>
      <c r="G865" s="8" t="str">
        <f t="shared" si="226"/>
        <v>not an outlier</v>
      </c>
      <c r="H865" s="8" t="str">
        <f t="shared" si="227"/>
        <v>Not</v>
      </c>
      <c r="I865" s="8" t="str">
        <f t="shared" si="237"/>
        <v>no</v>
      </c>
      <c r="J865" s="10" t="str">
        <f t="shared" si="228"/>
        <v>no</v>
      </c>
      <c r="K865" s="10" t="str">
        <f t="shared" si="229"/>
        <v>no</v>
      </c>
      <c r="L865" t="s">
        <v>161</v>
      </c>
      <c r="M865">
        <v>10571</v>
      </c>
      <c r="N865">
        <v>42</v>
      </c>
      <c r="O865" t="s">
        <v>684</v>
      </c>
      <c r="P865" t="str">
        <f t="shared" si="230"/>
        <v>ERNSH_10571_Singaporean Hokkien Fried Mee</v>
      </c>
      <c r="Q865" t="str">
        <f t="shared" si="231"/>
        <v>10571</v>
      </c>
      <c r="R865" t="str">
        <f t="shared" si="232"/>
        <v>10571</v>
      </c>
      <c r="S865" t="str">
        <f t="shared" si="233"/>
        <v>Singaporean Hokkien Fried Mee</v>
      </c>
      <c r="T865">
        <v>14</v>
      </c>
      <c r="U865">
        <v>28</v>
      </c>
      <c r="V865">
        <v>0.15</v>
      </c>
      <c r="W865">
        <f t="shared" si="234"/>
        <v>333.2</v>
      </c>
      <c r="X865" t="str">
        <f t="shared" si="235"/>
        <v>No</v>
      </c>
      <c r="Y865" s="2">
        <v>34898</v>
      </c>
      <c r="Z865" t="str">
        <f t="shared" si="221"/>
        <v/>
      </c>
      <c r="AA865" t="str">
        <f t="shared" si="236"/>
        <v/>
      </c>
      <c r="AB865" t="str" cm="1">
        <f t="array" ref="AB865">_xlfn.IFS(Y865&lt;DATE(1996,1,1),"",Y865&lt;DATE(1996,4,1),"Q1",Y865&lt;DATE(1996,7,1),"Q2",Y865&gt;=DATE(1996,7,1),"")</f>
        <v/>
      </c>
    </row>
    <row r="866" spans="1:28" ht="14.4" x14ac:dyDescent="0.55000000000000004">
      <c r="A866" t="str">
        <f>VLOOKUP(L866,Customers!$A$2:$B$92,2,FALSE)</f>
        <v>Berglunds snabbköp</v>
      </c>
      <c r="B866" t="str">
        <f>VLOOKUP(L866,Customers!$A$2:$C$92,3,TRUE)</f>
        <v>Christina Berglund</v>
      </c>
      <c r="C866" t="str">
        <f t="shared" si="222"/>
        <v>Christina</v>
      </c>
      <c r="D866" s="8" t="str">
        <f t="shared" si="223"/>
        <v>Berglund</v>
      </c>
      <c r="E866" s="8" t="str">
        <f t="shared" si="224"/>
        <v>Berglund, Christina</v>
      </c>
      <c r="F866" s="8" t="str">
        <f t="shared" si="225"/>
        <v>Berglund, Christina</v>
      </c>
      <c r="G866" s="8" t="str">
        <f t="shared" si="226"/>
        <v>not an outlier</v>
      </c>
      <c r="H866" s="8" t="str">
        <f t="shared" si="227"/>
        <v>Not</v>
      </c>
      <c r="I866" s="8" t="str">
        <f t="shared" si="237"/>
        <v>no</v>
      </c>
      <c r="J866" s="10" t="str">
        <f t="shared" si="228"/>
        <v>no</v>
      </c>
      <c r="K866" s="10" t="str">
        <f t="shared" si="229"/>
        <v>no</v>
      </c>
      <c r="L866" t="s">
        <v>43</v>
      </c>
      <c r="M866">
        <v>10572</v>
      </c>
      <c r="N866">
        <v>16</v>
      </c>
      <c r="O866" t="s">
        <v>702</v>
      </c>
      <c r="P866" t="str">
        <f t="shared" si="230"/>
        <v>BERGS_10572_Pavlova</v>
      </c>
      <c r="Q866" t="str">
        <f t="shared" si="231"/>
        <v>10572</v>
      </c>
      <c r="R866" t="str">
        <f t="shared" si="232"/>
        <v>10572</v>
      </c>
      <c r="S866" t="str">
        <f t="shared" si="233"/>
        <v>Pavlova</v>
      </c>
      <c r="T866">
        <v>17.45</v>
      </c>
      <c r="U866">
        <v>12</v>
      </c>
      <c r="V866">
        <v>0.1</v>
      </c>
      <c r="W866">
        <f t="shared" si="234"/>
        <v>188.45999999999998</v>
      </c>
      <c r="X866" t="str">
        <f t="shared" si="235"/>
        <v>No</v>
      </c>
      <c r="Y866" s="2">
        <v>34899</v>
      </c>
      <c r="Z866" t="str">
        <f t="shared" si="221"/>
        <v/>
      </c>
      <c r="AA866" t="str">
        <f t="shared" si="236"/>
        <v/>
      </c>
      <c r="AB866" t="str" cm="1">
        <f t="array" ref="AB866">_xlfn.IFS(Y866&lt;DATE(1996,1,1),"",Y866&lt;DATE(1996,4,1),"Q1",Y866&lt;DATE(1996,7,1),"Q2",Y866&gt;=DATE(1996,7,1),"")</f>
        <v/>
      </c>
    </row>
    <row r="867" spans="1:28" ht="14.4" x14ac:dyDescent="0.55000000000000004">
      <c r="A867" t="str">
        <f>VLOOKUP(L867,Customers!$A$2:$B$92,2,FALSE)</f>
        <v>Berglunds snabbköp</v>
      </c>
      <c r="B867" t="str">
        <f>VLOOKUP(L867,Customers!$A$2:$C$92,3,TRUE)</f>
        <v>Christina Berglund</v>
      </c>
      <c r="C867" t="str">
        <f t="shared" si="222"/>
        <v>Christina</v>
      </c>
      <c r="D867" s="8" t="str">
        <f t="shared" si="223"/>
        <v>Berglund</v>
      </c>
      <c r="E867" s="8" t="str">
        <f t="shared" si="224"/>
        <v>Berglund, Christina</v>
      </c>
      <c r="F867" s="8" t="str">
        <f t="shared" si="225"/>
        <v>Berglund, Christina</v>
      </c>
      <c r="G867" s="8" t="str">
        <f t="shared" si="226"/>
        <v>not an outlier</v>
      </c>
      <c r="H867" s="8" t="str">
        <f t="shared" si="227"/>
        <v>Not</v>
      </c>
      <c r="I867" s="8" t="str">
        <f t="shared" si="237"/>
        <v>no</v>
      </c>
      <c r="J867" s="10" t="str">
        <f t="shared" si="228"/>
        <v>no</v>
      </c>
      <c r="K867" s="10" t="str">
        <f t="shared" si="229"/>
        <v>no</v>
      </c>
      <c r="L867" t="s">
        <v>43</v>
      </c>
      <c r="M867">
        <v>10572</v>
      </c>
      <c r="N867">
        <v>32</v>
      </c>
      <c r="O867" t="s">
        <v>709</v>
      </c>
      <c r="P867" t="str">
        <f t="shared" si="230"/>
        <v>BERGS_10572_Mascarpone Fabioli</v>
      </c>
      <c r="Q867" t="str">
        <f t="shared" si="231"/>
        <v>10572</v>
      </c>
      <c r="R867" t="str">
        <f t="shared" si="232"/>
        <v>10572</v>
      </c>
      <c r="S867" t="str">
        <f t="shared" si="233"/>
        <v>Mascarpone Fabioli</v>
      </c>
      <c r="T867">
        <v>32</v>
      </c>
      <c r="U867">
        <v>10</v>
      </c>
      <c r="V867">
        <v>0.1</v>
      </c>
      <c r="W867">
        <f t="shared" si="234"/>
        <v>288</v>
      </c>
      <c r="X867" t="str">
        <f t="shared" si="235"/>
        <v>No</v>
      </c>
      <c r="Y867" s="2">
        <v>34899</v>
      </c>
      <c r="Z867" t="str">
        <f t="shared" si="221"/>
        <v/>
      </c>
      <c r="AA867" t="str">
        <f t="shared" si="236"/>
        <v/>
      </c>
      <c r="AB867" t="str" cm="1">
        <f t="array" ref="AB867">_xlfn.IFS(Y867&lt;DATE(1996,1,1),"",Y867&lt;DATE(1996,4,1),"Q1",Y867&lt;DATE(1996,7,1),"Q2",Y867&gt;=DATE(1996,7,1),"")</f>
        <v/>
      </c>
    </row>
    <row r="868" spans="1:28" ht="14.4" x14ac:dyDescent="0.55000000000000004">
      <c r="A868" t="str">
        <f>VLOOKUP(L868,Customers!$A$2:$B$92,2,FALSE)</f>
        <v>Berglunds snabbköp</v>
      </c>
      <c r="B868" t="str">
        <f>VLOOKUP(L868,Customers!$A$2:$C$92,3,TRUE)</f>
        <v>Christina Berglund</v>
      </c>
      <c r="C868" t="str">
        <f t="shared" si="222"/>
        <v>Christina</v>
      </c>
      <c r="D868" s="8" t="str">
        <f t="shared" si="223"/>
        <v>Berglund</v>
      </c>
      <c r="E868" s="8" t="str">
        <f t="shared" si="224"/>
        <v>Berglund, Christina</v>
      </c>
      <c r="F868" s="8" t="str">
        <f t="shared" si="225"/>
        <v>Berglund, Christina</v>
      </c>
      <c r="G868" s="8" t="str">
        <f t="shared" si="226"/>
        <v>not an outlier</v>
      </c>
      <c r="H868" s="8" t="str">
        <f t="shared" si="227"/>
        <v>Not</v>
      </c>
      <c r="I868" s="8" t="str">
        <f t="shared" si="237"/>
        <v>no</v>
      </c>
      <c r="J868" s="10" t="str">
        <f t="shared" si="228"/>
        <v>no</v>
      </c>
      <c r="K868" s="10" t="str">
        <f t="shared" si="229"/>
        <v>no</v>
      </c>
      <c r="L868" t="s">
        <v>43</v>
      </c>
      <c r="M868">
        <v>10572</v>
      </c>
      <c r="N868">
        <v>40</v>
      </c>
      <c r="O868" t="s">
        <v>720</v>
      </c>
      <c r="P868" t="str">
        <f t="shared" si="230"/>
        <v>BERGS_10572_Boston Crab Meat</v>
      </c>
      <c r="Q868" t="str">
        <f t="shared" si="231"/>
        <v>10572</v>
      </c>
      <c r="R868" t="str">
        <f t="shared" si="232"/>
        <v>10572</v>
      </c>
      <c r="S868" t="str">
        <f t="shared" si="233"/>
        <v>Boston Crab Meat</v>
      </c>
      <c r="T868">
        <v>18.399999999999999</v>
      </c>
      <c r="U868">
        <v>50</v>
      </c>
      <c r="V868">
        <v>0</v>
      </c>
      <c r="W868">
        <f t="shared" si="234"/>
        <v>919.99999999999989</v>
      </c>
      <c r="X868" t="str">
        <f t="shared" si="235"/>
        <v>No</v>
      </c>
      <c r="Y868" s="2">
        <v>34899</v>
      </c>
      <c r="Z868" t="str">
        <f t="shared" si="221"/>
        <v/>
      </c>
      <c r="AA868" t="str">
        <f t="shared" si="236"/>
        <v/>
      </c>
      <c r="AB868" t="str" cm="1">
        <f t="array" ref="AB868">_xlfn.IFS(Y868&lt;DATE(1996,1,1),"",Y868&lt;DATE(1996,4,1),"Q1",Y868&lt;DATE(1996,7,1),"Q2",Y868&gt;=DATE(1996,7,1),"")</f>
        <v/>
      </c>
    </row>
    <row r="869" spans="1:28" ht="14.4" x14ac:dyDescent="0.55000000000000004">
      <c r="A869" t="str">
        <f>VLOOKUP(L869,Customers!$A$2:$B$92,2,FALSE)</f>
        <v>Berglunds snabbköp</v>
      </c>
      <c r="B869" t="str">
        <f>VLOOKUP(L869,Customers!$A$2:$C$92,3,TRUE)</f>
        <v>Christina Berglund</v>
      </c>
      <c r="C869" t="str">
        <f t="shared" si="222"/>
        <v>Christina</v>
      </c>
      <c r="D869" s="8" t="str">
        <f t="shared" si="223"/>
        <v>Berglund</v>
      </c>
      <c r="E869" s="8" t="str">
        <f t="shared" si="224"/>
        <v>Berglund, Christina</v>
      </c>
      <c r="F869" s="8" t="str">
        <f t="shared" si="225"/>
        <v>Berglund, Christina</v>
      </c>
      <c r="G869" s="8" t="str">
        <f t="shared" si="226"/>
        <v>not an outlier</v>
      </c>
      <c r="H869" s="8" t="str">
        <f t="shared" si="227"/>
        <v>Not</v>
      </c>
      <c r="I869" s="8" t="str">
        <f t="shared" si="237"/>
        <v>no</v>
      </c>
      <c r="J869" s="10" t="str">
        <f t="shared" si="228"/>
        <v>no</v>
      </c>
      <c r="K869" s="10" t="str">
        <f t="shared" si="229"/>
        <v>no</v>
      </c>
      <c r="L869" t="s">
        <v>43</v>
      </c>
      <c r="M869">
        <v>10572</v>
      </c>
      <c r="N869">
        <v>75</v>
      </c>
      <c r="O869" t="s">
        <v>731</v>
      </c>
      <c r="P869" t="str">
        <f t="shared" si="230"/>
        <v>BERGS_10572_Rhönbräu Klosterbier</v>
      </c>
      <c r="Q869" t="str">
        <f t="shared" si="231"/>
        <v>10572</v>
      </c>
      <c r="R869" t="str">
        <f t="shared" si="232"/>
        <v>10572</v>
      </c>
      <c r="S869" t="str">
        <f t="shared" si="233"/>
        <v>Rhönbräu Klosterbier</v>
      </c>
      <c r="T869">
        <v>7.75</v>
      </c>
      <c r="U869">
        <v>15</v>
      </c>
      <c r="V869">
        <v>0.1</v>
      </c>
      <c r="W869">
        <f t="shared" si="234"/>
        <v>104.625</v>
      </c>
      <c r="X869" t="str">
        <f t="shared" si="235"/>
        <v>No</v>
      </c>
      <c r="Y869" s="2">
        <v>34899</v>
      </c>
      <c r="Z869" t="str">
        <f t="shared" si="221"/>
        <v/>
      </c>
      <c r="AA869" t="str">
        <f t="shared" si="236"/>
        <v/>
      </c>
      <c r="AB869" t="str" cm="1">
        <f t="array" ref="AB869">_xlfn.IFS(Y869&lt;DATE(1996,1,1),"",Y869&lt;DATE(1996,4,1),"Q1",Y869&lt;DATE(1996,7,1),"Q2",Y869&gt;=DATE(1996,7,1),"")</f>
        <v/>
      </c>
    </row>
    <row r="870" spans="1:28" ht="14.4" x14ac:dyDescent="0.55000000000000004">
      <c r="A870" t="str">
        <f>VLOOKUP(L870,Customers!$A$2:$B$92,2,FALSE)</f>
        <v>Antonio Moreno Taquería</v>
      </c>
      <c r="B870" t="str">
        <f>VLOOKUP(L870,Customers!$A$2:$C$92,3,TRUE)</f>
        <v>Antonio Moreno</v>
      </c>
      <c r="C870" t="str">
        <f t="shared" si="222"/>
        <v>Antonio</v>
      </c>
      <c r="D870" s="8" t="str">
        <f t="shared" si="223"/>
        <v>Moreno</v>
      </c>
      <c r="E870" s="8" t="str">
        <f t="shared" si="224"/>
        <v>Moreno, Antonio</v>
      </c>
      <c r="F870" s="8" t="str">
        <f t="shared" si="225"/>
        <v>Moreno, Antonio</v>
      </c>
      <c r="G870" s="8" t="str">
        <f t="shared" si="226"/>
        <v>not an outlier</v>
      </c>
      <c r="H870" s="8" t="str">
        <f t="shared" si="227"/>
        <v>Not</v>
      </c>
      <c r="I870" s="8" t="str">
        <f t="shared" si="237"/>
        <v>no</v>
      </c>
      <c r="J870" s="10" t="str">
        <f t="shared" si="228"/>
        <v>no</v>
      </c>
      <c r="K870" s="10" t="str">
        <f t="shared" si="229"/>
        <v>no</v>
      </c>
      <c r="L870" t="s">
        <v>29</v>
      </c>
      <c r="M870">
        <v>10573</v>
      </c>
      <c r="N870">
        <v>17</v>
      </c>
      <c r="O870" t="s">
        <v>718</v>
      </c>
      <c r="P870" t="str">
        <f t="shared" si="230"/>
        <v>ANTON_10573_Alice Mutton</v>
      </c>
      <c r="Q870" t="str">
        <f t="shared" si="231"/>
        <v>10573</v>
      </c>
      <c r="R870" t="str">
        <f t="shared" si="232"/>
        <v>10573</v>
      </c>
      <c r="S870" t="str">
        <f t="shared" si="233"/>
        <v>Alice Mutton</v>
      </c>
      <c r="T870">
        <v>39</v>
      </c>
      <c r="U870">
        <v>18</v>
      </c>
      <c r="V870">
        <v>0</v>
      </c>
      <c r="W870">
        <f t="shared" si="234"/>
        <v>702</v>
      </c>
      <c r="X870" t="str">
        <f t="shared" si="235"/>
        <v>No</v>
      </c>
      <c r="Y870" s="2">
        <v>34900</v>
      </c>
      <c r="Z870" t="str">
        <f t="shared" si="221"/>
        <v/>
      </c>
      <c r="AA870" t="str">
        <f t="shared" si="236"/>
        <v/>
      </c>
      <c r="AB870" t="str" cm="1">
        <f t="array" ref="AB870">_xlfn.IFS(Y870&lt;DATE(1996,1,1),"",Y870&lt;DATE(1996,4,1),"Q1",Y870&lt;DATE(1996,7,1),"Q2",Y870&gt;=DATE(1996,7,1),"")</f>
        <v/>
      </c>
    </row>
    <row r="871" spans="1:28" ht="14.4" x14ac:dyDescent="0.55000000000000004">
      <c r="A871" t="str">
        <f>VLOOKUP(L871,Customers!$A$2:$B$92,2,FALSE)</f>
        <v>Antonio Moreno Taquería</v>
      </c>
      <c r="B871" t="str">
        <f>VLOOKUP(L871,Customers!$A$2:$C$92,3,TRUE)</f>
        <v>Antonio Moreno</v>
      </c>
      <c r="C871" t="str">
        <f t="shared" si="222"/>
        <v>Antonio</v>
      </c>
      <c r="D871" s="8" t="str">
        <f t="shared" si="223"/>
        <v>Moreno</v>
      </c>
      <c r="E871" s="8" t="str">
        <f t="shared" si="224"/>
        <v>Moreno, Antonio</v>
      </c>
      <c r="F871" s="8" t="str">
        <f t="shared" si="225"/>
        <v>Moreno, Antonio</v>
      </c>
      <c r="G871" s="8" t="str">
        <f t="shared" si="226"/>
        <v>not an outlier</v>
      </c>
      <c r="H871" s="8" t="str">
        <f t="shared" si="227"/>
        <v>Not</v>
      </c>
      <c r="I871" s="8" t="str">
        <f t="shared" si="237"/>
        <v>no</v>
      </c>
      <c r="J871" s="10" t="str">
        <f t="shared" si="228"/>
        <v>no</v>
      </c>
      <c r="K871" s="10" t="str">
        <f t="shared" si="229"/>
        <v>no</v>
      </c>
      <c r="L871" t="s">
        <v>29</v>
      </c>
      <c r="M871">
        <v>10573</v>
      </c>
      <c r="N871">
        <v>34</v>
      </c>
      <c r="O871" t="s">
        <v>736</v>
      </c>
      <c r="P871" t="str">
        <f t="shared" si="230"/>
        <v>ANTON_10573_Sasquatch Ale</v>
      </c>
      <c r="Q871" t="str">
        <f t="shared" si="231"/>
        <v>10573</v>
      </c>
      <c r="R871" t="str">
        <f t="shared" si="232"/>
        <v>10573</v>
      </c>
      <c r="S871" t="str">
        <f t="shared" si="233"/>
        <v>Sasquatch Ale</v>
      </c>
      <c r="T871">
        <v>14</v>
      </c>
      <c r="U871">
        <v>40</v>
      </c>
      <c r="V871">
        <v>0</v>
      </c>
      <c r="W871">
        <f t="shared" si="234"/>
        <v>560</v>
      </c>
      <c r="X871" t="str">
        <f t="shared" si="235"/>
        <v>No</v>
      </c>
      <c r="Y871" s="2">
        <v>34900</v>
      </c>
      <c r="Z871" t="str">
        <f t="shared" si="221"/>
        <v/>
      </c>
      <c r="AA871" t="str">
        <f t="shared" si="236"/>
        <v/>
      </c>
      <c r="AB871" t="str" cm="1">
        <f t="array" ref="AB871">_xlfn.IFS(Y871&lt;DATE(1996,1,1),"",Y871&lt;DATE(1996,4,1),"Q1",Y871&lt;DATE(1996,7,1),"Q2",Y871&gt;=DATE(1996,7,1),"")</f>
        <v/>
      </c>
    </row>
    <row r="872" spans="1:28" ht="14.4" x14ac:dyDescent="0.55000000000000004">
      <c r="A872" t="str">
        <f>VLOOKUP(L872,Customers!$A$2:$B$92,2,FALSE)</f>
        <v>Antonio Moreno Taquería</v>
      </c>
      <c r="B872" t="str">
        <f>VLOOKUP(L872,Customers!$A$2:$C$92,3,TRUE)</f>
        <v>Antonio Moreno</v>
      </c>
      <c r="C872" t="str">
        <f t="shared" si="222"/>
        <v>Antonio</v>
      </c>
      <c r="D872" s="8" t="str">
        <f t="shared" si="223"/>
        <v>Moreno</v>
      </c>
      <c r="E872" s="8" t="str">
        <f t="shared" si="224"/>
        <v>Moreno, Antonio</v>
      </c>
      <c r="F872" s="8" t="str">
        <f t="shared" si="225"/>
        <v>Moreno, Antonio</v>
      </c>
      <c r="G872" s="8" t="str">
        <f t="shared" si="226"/>
        <v>not an outlier</v>
      </c>
      <c r="H872" s="8" t="str">
        <f t="shared" si="227"/>
        <v>Not</v>
      </c>
      <c r="I872" s="8" t="str">
        <f t="shared" si="237"/>
        <v>no</v>
      </c>
      <c r="J872" s="10" t="str">
        <f t="shared" si="228"/>
        <v>no</v>
      </c>
      <c r="K872" s="10" t="str">
        <f t="shared" si="229"/>
        <v>no</v>
      </c>
      <c r="L872" t="s">
        <v>29</v>
      </c>
      <c r="M872">
        <v>10573</v>
      </c>
      <c r="N872">
        <v>53</v>
      </c>
      <c r="O872" t="s">
        <v>705</v>
      </c>
      <c r="P872" t="str">
        <f t="shared" si="230"/>
        <v>ANTON_10573_Perth Pasties</v>
      </c>
      <c r="Q872" t="str">
        <f t="shared" si="231"/>
        <v>10573</v>
      </c>
      <c r="R872" t="str">
        <f t="shared" si="232"/>
        <v>10573</v>
      </c>
      <c r="S872" t="str">
        <f t="shared" si="233"/>
        <v>Perth Pasties</v>
      </c>
      <c r="T872">
        <v>32.799999999999997</v>
      </c>
      <c r="U872">
        <v>25</v>
      </c>
      <c r="V872">
        <v>0</v>
      </c>
      <c r="W872">
        <f t="shared" si="234"/>
        <v>819.99999999999989</v>
      </c>
      <c r="X872" t="str">
        <f t="shared" si="235"/>
        <v>No</v>
      </c>
      <c r="Y872" s="2">
        <v>34900</v>
      </c>
      <c r="Z872" t="str">
        <f t="shared" si="221"/>
        <v/>
      </c>
      <c r="AA872" t="str">
        <f t="shared" si="236"/>
        <v/>
      </c>
      <c r="AB872" t="str" cm="1">
        <f t="array" ref="AB872">_xlfn.IFS(Y872&lt;DATE(1996,1,1),"",Y872&lt;DATE(1996,4,1),"Q1",Y872&lt;DATE(1996,7,1),"Q2",Y872&gt;=DATE(1996,7,1),"")</f>
        <v/>
      </c>
    </row>
    <row r="873" spans="1:28" ht="14.4" x14ac:dyDescent="0.55000000000000004">
      <c r="A873" t="str">
        <f>VLOOKUP(L873,Customers!$A$2:$B$92,2,FALSE)</f>
        <v>Trail's Head Gourmet Provisioners</v>
      </c>
      <c r="B873" t="str">
        <f>VLOOKUP(L873,Customers!$A$2:$C$92,3,TRUE)</f>
        <v>Helvetius Nagy</v>
      </c>
      <c r="C873" t="str">
        <f t="shared" si="222"/>
        <v>Helvetius</v>
      </c>
      <c r="D873" s="8" t="str">
        <f t="shared" si="223"/>
        <v>Nagy</v>
      </c>
      <c r="E873" s="8" t="str">
        <f t="shared" si="224"/>
        <v>Nagy, Helvetius</v>
      </c>
      <c r="F873" s="8" t="str">
        <f t="shared" si="225"/>
        <v>Nagy, Helvetius</v>
      </c>
      <c r="G873" s="8" t="str">
        <f t="shared" si="226"/>
        <v>not an outlier</v>
      </c>
      <c r="H873" s="8" t="str">
        <f t="shared" si="227"/>
        <v>Not</v>
      </c>
      <c r="I873" s="8" t="str">
        <f t="shared" si="237"/>
        <v>no</v>
      </c>
      <c r="J873" s="10" t="str">
        <f t="shared" si="228"/>
        <v>no</v>
      </c>
      <c r="K873" s="10" t="str">
        <f t="shared" si="229"/>
        <v>no</v>
      </c>
      <c r="L873" t="s">
        <v>605</v>
      </c>
      <c r="M873">
        <v>10574</v>
      </c>
      <c r="N873">
        <v>33</v>
      </c>
      <c r="O873" t="s">
        <v>693</v>
      </c>
      <c r="P873" t="str">
        <f t="shared" si="230"/>
        <v>TRAIH_10574_Geitost</v>
      </c>
      <c r="Q873" t="str">
        <f t="shared" si="231"/>
        <v>10574</v>
      </c>
      <c r="R873" t="str">
        <f t="shared" si="232"/>
        <v>10574</v>
      </c>
      <c r="S873" t="str">
        <f t="shared" si="233"/>
        <v>Geitost</v>
      </c>
      <c r="T873">
        <v>2.5</v>
      </c>
      <c r="U873">
        <v>14</v>
      </c>
      <c r="V873">
        <v>0</v>
      </c>
      <c r="W873">
        <f t="shared" si="234"/>
        <v>35</v>
      </c>
      <c r="X873" t="str">
        <f t="shared" si="235"/>
        <v>No</v>
      </c>
      <c r="Y873" s="2">
        <v>34900</v>
      </c>
      <c r="Z873" t="str">
        <f t="shared" si="221"/>
        <v/>
      </c>
      <c r="AA873" t="str">
        <f t="shared" si="236"/>
        <v/>
      </c>
      <c r="AB873" t="str" cm="1">
        <f t="array" ref="AB873">_xlfn.IFS(Y873&lt;DATE(1996,1,1),"",Y873&lt;DATE(1996,4,1),"Q1",Y873&lt;DATE(1996,7,1),"Q2",Y873&gt;=DATE(1996,7,1),"")</f>
        <v/>
      </c>
    </row>
    <row r="874" spans="1:28" ht="14.4" x14ac:dyDescent="0.55000000000000004">
      <c r="A874" t="str">
        <f>VLOOKUP(L874,Customers!$A$2:$B$92,2,FALSE)</f>
        <v>Trail's Head Gourmet Provisioners</v>
      </c>
      <c r="B874" t="str">
        <f>VLOOKUP(L874,Customers!$A$2:$C$92,3,TRUE)</f>
        <v>Helvetius Nagy</v>
      </c>
      <c r="C874" t="str">
        <f t="shared" si="222"/>
        <v>Helvetius</v>
      </c>
      <c r="D874" s="8" t="str">
        <f t="shared" si="223"/>
        <v>Nagy</v>
      </c>
      <c r="E874" s="8" t="str">
        <f t="shared" si="224"/>
        <v>Nagy, Helvetius</v>
      </c>
      <c r="F874" s="8" t="str">
        <f t="shared" si="225"/>
        <v>Nagy, Helvetius</v>
      </c>
      <c r="G874" s="8" t="str">
        <f t="shared" si="226"/>
        <v>not an outlier</v>
      </c>
      <c r="H874" s="8" t="str">
        <f t="shared" si="227"/>
        <v>Not</v>
      </c>
      <c r="I874" s="8" t="str">
        <f t="shared" si="237"/>
        <v>no</v>
      </c>
      <c r="J874" s="10" t="str">
        <f t="shared" si="228"/>
        <v>no</v>
      </c>
      <c r="K874" s="10" t="str">
        <f t="shared" si="229"/>
        <v>no</v>
      </c>
      <c r="L874" t="s">
        <v>605</v>
      </c>
      <c r="M874">
        <v>10574</v>
      </c>
      <c r="N874">
        <v>40</v>
      </c>
      <c r="O874" t="s">
        <v>720</v>
      </c>
      <c r="P874" t="str">
        <f t="shared" si="230"/>
        <v>TRAIH_10574_Boston Crab Meat</v>
      </c>
      <c r="Q874" t="str">
        <f t="shared" si="231"/>
        <v>10574</v>
      </c>
      <c r="R874" t="str">
        <f t="shared" si="232"/>
        <v>10574</v>
      </c>
      <c r="S874" t="str">
        <f t="shared" si="233"/>
        <v>Boston Crab Meat</v>
      </c>
      <c r="T874">
        <v>18.399999999999999</v>
      </c>
      <c r="U874">
        <v>2</v>
      </c>
      <c r="V874">
        <v>0</v>
      </c>
      <c r="W874">
        <f t="shared" si="234"/>
        <v>36.799999999999997</v>
      </c>
      <c r="X874" t="str">
        <f t="shared" si="235"/>
        <v>No</v>
      </c>
      <c r="Y874" s="2">
        <v>34900</v>
      </c>
      <c r="Z874" t="str">
        <f t="shared" si="221"/>
        <v/>
      </c>
      <c r="AA874" t="str">
        <f t="shared" si="236"/>
        <v/>
      </c>
      <c r="AB874" t="str" cm="1">
        <f t="array" ref="AB874">_xlfn.IFS(Y874&lt;DATE(1996,1,1),"",Y874&lt;DATE(1996,4,1),"Q1",Y874&lt;DATE(1996,7,1),"Q2",Y874&gt;=DATE(1996,7,1),"")</f>
        <v/>
      </c>
    </row>
    <row r="875" spans="1:28" ht="14.4" x14ac:dyDescent="0.55000000000000004">
      <c r="A875" t="str">
        <f>VLOOKUP(L875,Customers!$A$2:$B$92,2,FALSE)</f>
        <v>Trail's Head Gourmet Provisioners</v>
      </c>
      <c r="B875" t="str">
        <f>VLOOKUP(L875,Customers!$A$2:$C$92,3,TRUE)</f>
        <v>Helvetius Nagy</v>
      </c>
      <c r="C875" t="str">
        <f t="shared" si="222"/>
        <v>Helvetius</v>
      </c>
      <c r="D875" s="8" t="str">
        <f t="shared" si="223"/>
        <v>Nagy</v>
      </c>
      <c r="E875" s="8" t="str">
        <f t="shared" si="224"/>
        <v>Nagy, Helvetius</v>
      </c>
      <c r="F875" s="8" t="str">
        <f t="shared" si="225"/>
        <v>Nagy, Helvetius</v>
      </c>
      <c r="G875" s="8" t="str">
        <f t="shared" si="226"/>
        <v>not an outlier</v>
      </c>
      <c r="H875" s="8" t="str">
        <f t="shared" si="227"/>
        <v>Not</v>
      </c>
      <c r="I875" s="8" t="str">
        <f t="shared" si="237"/>
        <v>no</v>
      </c>
      <c r="J875" s="10" t="str">
        <f t="shared" si="228"/>
        <v>no</v>
      </c>
      <c r="K875" s="10" t="str">
        <f t="shared" si="229"/>
        <v>no</v>
      </c>
      <c r="L875" t="s">
        <v>605</v>
      </c>
      <c r="M875">
        <v>10574</v>
      </c>
      <c r="N875">
        <v>62</v>
      </c>
      <c r="O875" t="s">
        <v>712</v>
      </c>
      <c r="P875" t="str">
        <f t="shared" si="230"/>
        <v>TRAIH_10574_Tarte au sucre</v>
      </c>
      <c r="Q875" t="str">
        <f t="shared" si="231"/>
        <v>10574</v>
      </c>
      <c r="R875" t="str">
        <f t="shared" si="232"/>
        <v>10574</v>
      </c>
      <c r="S875" t="str">
        <f t="shared" si="233"/>
        <v>Tarte au sucre</v>
      </c>
      <c r="T875">
        <v>49.3</v>
      </c>
      <c r="U875">
        <v>10</v>
      </c>
      <c r="V875">
        <v>0</v>
      </c>
      <c r="W875">
        <f t="shared" si="234"/>
        <v>493</v>
      </c>
      <c r="X875" t="str">
        <f t="shared" si="235"/>
        <v>No</v>
      </c>
      <c r="Y875" s="2">
        <v>34900</v>
      </c>
      <c r="Z875" t="str">
        <f t="shared" si="221"/>
        <v/>
      </c>
      <c r="AA875" t="str">
        <f t="shared" si="236"/>
        <v/>
      </c>
      <c r="AB875" t="str" cm="1">
        <f t="array" ref="AB875">_xlfn.IFS(Y875&lt;DATE(1996,1,1),"",Y875&lt;DATE(1996,4,1),"Q1",Y875&lt;DATE(1996,7,1),"Q2",Y875&gt;=DATE(1996,7,1),"")</f>
        <v/>
      </c>
    </row>
    <row r="876" spans="1:28" ht="14.4" x14ac:dyDescent="0.55000000000000004">
      <c r="A876" t="str">
        <f>VLOOKUP(L876,Customers!$A$2:$B$92,2,FALSE)</f>
        <v>Trail's Head Gourmet Provisioners</v>
      </c>
      <c r="B876" t="str">
        <f>VLOOKUP(L876,Customers!$A$2:$C$92,3,TRUE)</f>
        <v>Helvetius Nagy</v>
      </c>
      <c r="C876" t="str">
        <f t="shared" si="222"/>
        <v>Helvetius</v>
      </c>
      <c r="D876" s="8" t="str">
        <f t="shared" si="223"/>
        <v>Nagy</v>
      </c>
      <c r="E876" s="8" t="str">
        <f t="shared" si="224"/>
        <v>Nagy, Helvetius</v>
      </c>
      <c r="F876" s="8" t="str">
        <f t="shared" si="225"/>
        <v>Nagy, Helvetius</v>
      </c>
      <c r="G876" s="8" t="str">
        <f t="shared" si="226"/>
        <v>not an outlier</v>
      </c>
      <c r="H876" s="8" t="str">
        <f t="shared" si="227"/>
        <v>Not</v>
      </c>
      <c r="I876" s="8" t="str">
        <f t="shared" si="237"/>
        <v>no</v>
      </c>
      <c r="J876" s="10" t="str">
        <f t="shared" si="228"/>
        <v>no</v>
      </c>
      <c r="K876" s="10" t="str">
        <f t="shared" si="229"/>
        <v>no</v>
      </c>
      <c r="L876" t="s">
        <v>605</v>
      </c>
      <c r="M876">
        <v>10574</v>
      </c>
      <c r="N876">
        <v>64</v>
      </c>
      <c r="O876" t="s">
        <v>741</v>
      </c>
      <c r="P876" t="str">
        <f t="shared" si="230"/>
        <v>TRAIH_10574_Wimmers gute Semmelknödel</v>
      </c>
      <c r="Q876" t="str">
        <f t="shared" si="231"/>
        <v>10574</v>
      </c>
      <c r="R876" t="str">
        <f t="shared" si="232"/>
        <v>10574</v>
      </c>
      <c r="S876" t="str">
        <f t="shared" si="233"/>
        <v>Wimmers gute Semmelknödel</v>
      </c>
      <c r="T876">
        <v>33.25</v>
      </c>
      <c r="U876">
        <v>6</v>
      </c>
      <c r="V876">
        <v>0</v>
      </c>
      <c r="W876">
        <f t="shared" si="234"/>
        <v>199.5</v>
      </c>
      <c r="X876" t="str">
        <f t="shared" si="235"/>
        <v>No</v>
      </c>
      <c r="Y876" s="2">
        <v>34900</v>
      </c>
      <c r="Z876" t="str">
        <f t="shared" si="221"/>
        <v/>
      </c>
      <c r="AA876" t="str">
        <f t="shared" si="236"/>
        <v/>
      </c>
      <c r="AB876" t="str" cm="1">
        <f t="array" ref="AB876">_xlfn.IFS(Y876&lt;DATE(1996,1,1),"",Y876&lt;DATE(1996,4,1),"Q1",Y876&lt;DATE(1996,7,1),"Q2",Y876&gt;=DATE(1996,7,1),"")</f>
        <v/>
      </c>
    </row>
    <row r="877" spans="1:28" ht="14.4" x14ac:dyDescent="0.55000000000000004">
      <c r="A877" t="str">
        <f>VLOOKUP(L877,Customers!$A$2:$B$92,2,FALSE)</f>
        <v>Morgenstern Gesundkost</v>
      </c>
      <c r="B877" t="str">
        <f>VLOOKUP(L877,Customers!$A$2:$C$92,3,TRUE)</f>
        <v>Alexander Feuer</v>
      </c>
      <c r="C877" t="str">
        <f t="shared" si="222"/>
        <v>Alexander</v>
      </c>
      <c r="D877" s="8" t="str">
        <f t="shared" si="223"/>
        <v>Feuer</v>
      </c>
      <c r="E877" s="8" t="str">
        <f t="shared" si="224"/>
        <v>Feuer, Alexander</v>
      </c>
      <c r="F877" s="8" t="str">
        <f t="shared" si="225"/>
        <v>Feuer, Alexander</v>
      </c>
      <c r="G877" s="8" t="str">
        <f t="shared" si="226"/>
        <v>not an outlier</v>
      </c>
      <c r="H877" s="8" t="str">
        <f t="shared" si="227"/>
        <v>Not</v>
      </c>
      <c r="I877" s="8" t="str">
        <f t="shared" si="237"/>
        <v>no</v>
      </c>
      <c r="J877" s="10" t="str">
        <f t="shared" si="228"/>
        <v>no</v>
      </c>
      <c r="K877" s="10" t="str">
        <f t="shared" si="229"/>
        <v>no</v>
      </c>
      <c r="L877" t="s">
        <v>403</v>
      </c>
      <c r="M877">
        <v>10575</v>
      </c>
      <c r="N877">
        <v>59</v>
      </c>
      <c r="O877" t="s">
        <v>704</v>
      </c>
      <c r="P877" t="str">
        <f t="shared" si="230"/>
        <v>MORGK_10575_Raclette Courdavault</v>
      </c>
      <c r="Q877" t="str">
        <f t="shared" si="231"/>
        <v>10575</v>
      </c>
      <c r="R877" t="str">
        <f t="shared" si="232"/>
        <v>10575</v>
      </c>
      <c r="S877" t="str">
        <f t="shared" si="233"/>
        <v>Raclette Courdavault</v>
      </c>
      <c r="T877">
        <v>55</v>
      </c>
      <c r="U877">
        <v>12</v>
      </c>
      <c r="V877">
        <v>0</v>
      </c>
      <c r="W877">
        <f t="shared" si="234"/>
        <v>660</v>
      </c>
      <c r="X877" t="str">
        <f t="shared" si="235"/>
        <v>No</v>
      </c>
      <c r="Y877" s="2">
        <v>34901</v>
      </c>
      <c r="Z877" t="str">
        <f t="shared" si="221"/>
        <v/>
      </c>
      <c r="AA877" t="str">
        <f t="shared" si="236"/>
        <v/>
      </c>
      <c r="AB877" t="str" cm="1">
        <f t="array" ref="AB877">_xlfn.IFS(Y877&lt;DATE(1996,1,1),"",Y877&lt;DATE(1996,4,1),"Q1",Y877&lt;DATE(1996,7,1),"Q2",Y877&gt;=DATE(1996,7,1),"")</f>
        <v/>
      </c>
    </row>
    <row r="878" spans="1:28" ht="14.4" x14ac:dyDescent="0.55000000000000004">
      <c r="A878" t="str">
        <f>VLOOKUP(L878,Customers!$A$2:$B$92,2,FALSE)</f>
        <v>Morgenstern Gesundkost</v>
      </c>
      <c r="B878" t="str">
        <f>VLOOKUP(L878,Customers!$A$2:$C$92,3,TRUE)</f>
        <v>Alexander Feuer</v>
      </c>
      <c r="C878" t="str">
        <f t="shared" si="222"/>
        <v>Alexander</v>
      </c>
      <c r="D878" s="8" t="str">
        <f t="shared" si="223"/>
        <v>Feuer</v>
      </c>
      <c r="E878" s="8" t="str">
        <f t="shared" si="224"/>
        <v>Feuer, Alexander</v>
      </c>
      <c r="F878" s="8" t="str">
        <f t="shared" si="225"/>
        <v>Feuer, Alexander</v>
      </c>
      <c r="G878" s="8" t="str">
        <f t="shared" si="226"/>
        <v>not an outlier</v>
      </c>
      <c r="H878" s="8" t="str">
        <f t="shared" si="227"/>
        <v>Not</v>
      </c>
      <c r="I878" s="8" t="str">
        <f t="shared" si="237"/>
        <v>no</v>
      </c>
      <c r="J878" s="10" t="str">
        <f t="shared" si="228"/>
        <v>no</v>
      </c>
      <c r="K878" s="10" t="str">
        <f t="shared" si="229"/>
        <v>no</v>
      </c>
      <c r="L878" t="s">
        <v>403</v>
      </c>
      <c r="M878">
        <v>10575</v>
      </c>
      <c r="N878">
        <v>63</v>
      </c>
      <c r="O878" t="s">
        <v>729</v>
      </c>
      <c r="P878" t="str">
        <f t="shared" si="230"/>
        <v>MORGK_10575_Vegie-spread</v>
      </c>
      <c r="Q878" t="str">
        <f t="shared" si="231"/>
        <v>10575</v>
      </c>
      <c r="R878" t="str">
        <f t="shared" si="232"/>
        <v>10575</v>
      </c>
      <c r="S878" t="str">
        <f t="shared" si="233"/>
        <v>Vegie-spread</v>
      </c>
      <c r="T878">
        <v>43.9</v>
      </c>
      <c r="U878">
        <v>6</v>
      </c>
      <c r="V878">
        <v>0</v>
      </c>
      <c r="W878">
        <f t="shared" si="234"/>
        <v>263.39999999999998</v>
      </c>
      <c r="X878" t="str">
        <f t="shared" si="235"/>
        <v>No</v>
      </c>
      <c r="Y878" s="2">
        <v>34901</v>
      </c>
      <c r="Z878" t="str">
        <f t="shared" si="221"/>
        <v/>
      </c>
      <c r="AA878" t="str">
        <f t="shared" si="236"/>
        <v/>
      </c>
      <c r="AB878" t="str" cm="1">
        <f t="array" ref="AB878">_xlfn.IFS(Y878&lt;DATE(1996,1,1),"",Y878&lt;DATE(1996,4,1),"Q1",Y878&lt;DATE(1996,7,1),"Q2",Y878&gt;=DATE(1996,7,1),"")</f>
        <v/>
      </c>
    </row>
    <row r="879" spans="1:28" ht="14.4" x14ac:dyDescent="0.55000000000000004">
      <c r="A879" t="str">
        <f>VLOOKUP(L879,Customers!$A$2:$B$92,2,FALSE)</f>
        <v>Morgenstern Gesundkost</v>
      </c>
      <c r="B879" t="str">
        <f>VLOOKUP(L879,Customers!$A$2:$C$92,3,TRUE)</f>
        <v>Alexander Feuer</v>
      </c>
      <c r="C879" t="str">
        <f t="shared" si="222"/>
        <v>Alexander</v>
      </c>
      <c r="D879" s="8" t="str">
        <f t="shared" si="223"/>
        <v>Feuer</v>
      </c>
      <c r="E879" s="8" t="str">
        <f t="shared" si="224"/>
        <v>Feuer, Alexander</v>
      </c>
      <c r="F879" s="8" t="str">
        <f t="shared" si="225"/>
        <v>Feuer, Alexander</v>
      </c>
      <c r="G879" s="8" t="str">
        <f t="shared" si="226"/>
        <v>not an outlier</v>
      </c>
      <c r="H879" s="8" t="str">
        <f t="shared" si="227"/>
        <v>Not</v>
      </c>
      <c r="I879" s="8" t="str">
        <f t="shared" si="237"/>
        <v>no</v>
      </c>
      <c r="J879" s="10" t="str">
        <f t="shared" si="228"/>
        <v>no</v>
      </c>
      <c r="K879" s="10" t="str">
        <f t="shared" si="229"/>
        <v>no</v>
      </c>
      <c r="L879" t="s">
        <v>403</v>
      </c>
      <c r="M879">
        <v>10575</v>
      </c>
      <c r="N879">
        <v>72</v>
      </c>
      <c r="O879" t="s">
        <v>685</v>
      </c>
      <c r="P879" t="str">
        <f t="shared" si="230"/>
        <v>MORGK_10575_Mozzarella di Giovanni</v>
      </c>
      <c r="Q879" t="str">
        <f t="shared" si="231"/>
        <v>10575</v>
      </c>
      <c r="R879" t="str">
        <f t="shared" si="232"/>
        <v>10575</v>
      </c>
      <c r="S879" t="str">
        <f t="shared" si="233"/>
        <v>Mozzarella di Giovanni</v>
      </c>
      <c r="T879">
        <v>34.799999999999997</v>
      </c>
      <c r="U879">
        <v>30</v>
      </c>
      <c r="V879">
        <v>0</v>
      </c>
      <c r="W879">
        <f t="shared" si="234"/>
        <v>1044</v>
      </c>
      <c r="X879" t="str">
        <f t="shared" si="235"/>
        <v>No</v>
      </c>
      <c r="Y879" s="2">
        <v>34901</v>
      </c>
      <c r="Z879" t="str">
        <f t="shared" si="221"/>
        <v/>
      </c>
      <c r="AA879" t="str">
        <f t="shared" si="236"/>
        <v/>
      </c>
      <c r="AB879" t="str" cm="1">
        <f t="array" ref="AB879">_xlfn.IFS(Y879&lt;DATE(1996,1,1),"",Y879&lt;DATE(1996,4,1),"Q1",Y879&lt;DATE(1996,7,1),"Q2",Y879&gt;=DATE(1996,7,1),"")</f>
        <v/>
      </c>
    </row>
    <row r="880" spans="1:28" ht="14.4" x14ac:dyDescent="0.55000000000000004">
      <c r="A880" t="str">
        <f>VLOOKUP(L880,Customers!$A$2:$B$92,2,FALSE)</f>
        <v>Morgenstern Gesundkost</v>
      </c>
      <c r="B880" t="str">
        <f>VLOOKUP(L880,Customers!$A$2:$C$92,3,TRUE)</f>
        <v>Alexander Feuer</v>
      </c>
      <c r="C880" t="str">
        <f t="shared" si="222"/>
        <v>Alexander</v>
      </c>
      <c r="D880" s="8" t="str">
        <f t="shared" si="223"/>
        <v>Feuer</v>
      </c>
      <c r="E880" s="8" t="str">
        <f t="shared" si="224"/>
        <v>Feuer, Alexander</v>
      </c>
      <c r="F880" s="8" t="str">
        <f t="shared" si="225"/>
        <v>Feuer, Alexander</v>
      </c>
      <c r="G880" s="8" t="str">
        <f t="shared" si="226"/>
        <v>not an outlier</v>
      </c>
      <c r="H880" s="8" t="str">
        <f t="shared" si="227"/>
        <v>Not</v>
      </c>
      <c r="I880" s="8" t="str">
        <f t="shared" si="237"/>
        <v>no</v>
      </c>
      <c r="J880" s="10" t="str">
        <f t="shared" si="228"/>
        <v>no</v>
      </c>
      <c r="K880" s="10" t="str">
        <f t="shared" si="229"/>
        <v>no</v>
      </c>
      <c r="L880" t="s">
        <v>403</v>
      </c>
      <c r="M880">
        <v>10575</v>
      </c>
      <c r="N880">
        <v>76</v>
      </c>
      <c r="O880" t="s">
        <v>721</v>
      </c>
      <c r="P880" t="str">
        <f t="shared" si="230"/>
        <v>MORGK_10575_Lakkalikööri</v>
      </c>
      <c r="Q880" t="str">
        <f t="shared" si="231"/>
        <v>10575</v>
      </c>
      <c r="R880" t="str">
        <f t="shared" si="232"/>
        <v>10575</v>
      </c>
      <c r="S880" t="str">
        <f t="shared" si="233"/>
        <v>Lakkalikööri</v>
      </c>
      <c r="T880">
        <v>18</v>
      </c>
      <c r="U880">
        <v>10</v>
      </c>
      <c r="V880">
        <v>0</v>
      </c>
      <c r="W880">
        <f t="shared" si="234"/>
        <v>180</v>
      </c>
      <c r="X880" t="str">
        <f t="shared" si="235"/>
        <v>No</v>
      </c>
      <c r="Y880" s="2">
        <v>34901</v>
      </c>
      <c r="Z880" t="str">
        <f t="shared" si="221"/>
        <v/>
      </c>
      <c r="AA880" t="str">
        <f t="shared" si="236"/>
        <v/>
      </c>
      <c r="AB880" t="str" cm="1">
        <f t="array" ref="AB880">_xlfn.IFS(Y880&lt;DATE(1996,1,1),"",Y880&lt;DATE(1996,4,1),"Q1",Y880&lt;DATE(1996,7,1),"Q2",Y880&gt;=DATE(1996,7,1),"")</f>
        <v/>
      </c>
    </row>
    <row r="881" spans="1:28" ht="14.4" x14ac:dyDescent="0.55000000000000004">
      <c r="A881" t="str">
        <f>VLOOKUP(L881,Customers!$A$2:$B$92,2,FALSE)</f>
        <v>Tortuga Restaurante</v>
      </c>
      <c r="B881" t="str">
        <f>VLOOKUP(L881,Customers!$A$2:$C$92,3,TRUE)</f>
        <v>Miguel Angel Paolino</v>
      </c>
      <c r="C881" t="str">
        <f t="shared" si="222"/>
        <v>Miguel</v>
      </c>
      <c r="D881" s="8" t="str">
        <f t="shared" si="223"/>
        <v>Angel Paolino</v>
      </c>
      <c r="E881" s="8" t="str">
        <f t="shared" si="224"/>
        <v>Angel Paolino, Miguel</v>
      </c>
      <c r="F881" s="8" t="str">
        <f t="shared" si="225"/>
        <v>Angel Paolino, Miguel</v>
      </c>
      <c r="G881" s="8" t="str">
        <f t="shared" si="226"/>
        <v>not an outlier</v>
      </c>
      <c r="H881" s="8" t="str">
        <f t="shared" si="227"/>
        <v>Not</v>
      </c>
      <c r="I881" s="8" t="str">
        <f t="shared" si="237"/>
        <v>no</v>
      </c>
      <c r="J881" s="10" t="str">
        <f t="shared" si="228"/>
        <v>no</v>
      </c>
      <c r="K881" s="10" t="str">
        <f t="shared" si="229"/>
        <v>no</v>
      </c>
      <c r="L881" t="s">
        <v>593</v>
      </c>
      <c r="M881">
        <v>10576</v>
      </c>
      <c r="N881">
        <v>1</v>
      </c>
      <c r="O881" t="s">
        <v>735</v>
      </c>
      <c r="P881" t="str">
        <f t="shared" si="230"/>
        <v>TORTU_10576_Chai</v>
      </c>
      <c r="Q881" t="str">
        <f t="shared" si="231"/>
        <v>10576</v>
      </c>
      <c r="R881" t="str">
        <f t="shared" si="232"/>
        <v>10576</v>
      </c>
      <c r="S881" t="str">
        <f t="shared" si="233"/>
        <v>Chai</v>
      </c>
      <c r="T881">
        <v>18</v>
      </c>
      <c r="U881">
        <v>10</v>
      </c>
      <c r="V881">
        <v>0</v>
      </c>
      <c r="W881">
        <f t="shared" si="234"/>
        <v>180</v>
      </c>
      <c r="X881" t="str">
        <f t="shared" si="235"/>
        <v>No</v>
      </c>
      <c r="Y881" s="2">
        <v>34904</v>
      </c>
      <c r="Z881" t="str">
        <f t="shared" si="221"/>
        <v/>
      </c>
      <c r="AA881" t="str">
        <f t="shared" si="236"/>
        <v/>
      </c>
      <c r="AB881" t="str" cm="1">
        <f t="array" ref="AB881">_xlfn.IFS(Y881&lt;DATE(1996,1,1),"",Y881&lt;DATE(1996,4,1),"Q1",Y881&lt;DATE(1996,7,1),"Q2",Y881&gt;=DATE(1996,7,1),"")</f>
        <v/>
      </c>
    </row>
    <row r="882" spans="1:28" ht="14.4" x14ac:dyDescent="0.55000000000000004">
      <c r="A882" t="str">
        <f>VLOOKUP(L882,Customers!$A$2:$B$92,2,FALSE)</f>
        <v>Tortuga Restaurante</v>
      </c>
      <c r="B882" t="str">
        <f>VLOOKUP(L882,Customers!$A$2:$C$92,3,TRUE)</f>
        <v>Miguel Angel Paolino</v>
      </c>
      <c r="C882" t="str">
        <f t="shared" si="222"/>
        <v>Miguel</v>
      </c>
      <c r="D882" s="8" t="str">
        <f t="shared" si="223"/>
        <v>Angel Paolino</v>
      </c>
      <c r="E882" s="8" t="str">
        <f t="shared" si="224"/>
        <v>Angel Paolino, Miguel</v>
      </c>
      <c r="F882" s="8" t="str">
        <f t="shared" si="225"/>
        <v>Angel Paolino, Miguel</v>
      </c>
      <c r="G882" s="8" t="str">
        <f t="shared" si="226"/>
        <v>not an outlier</v>
      </c>
      <c r="H882" s="8" t="str">
        <f t="shared" si="227"/>
        <v>Not</v>
      </c>
      <c r="I882" s="8" t="str">
        <f t="shared" si="237"/>
        <v>no</v>
      </c>
      <c r="J882" s="10" t="str">
        <f t="shared" si="228"/>
        <v>no</v>
      </c>
      <c r="K882" s="10" t="str">
        <f t="shared" si="229"/>
        <v>no</v>
      </c>
      <c r="L882" t="s">
        <v>593</v>
      </c>
      <c r="M882">
        <v>10576</v>
      </c>
      <c r="N882">
        <v>31</v>
      </c>
      <c r="O882" t="s">
        <v>695</v>
      </c>
      <c r="P882" t="str">
        <f t="shared" si="230"/>
        <v>TORTU_10576_Gorgonzola Telino</v>
      </c>
      <c r="Q882" t="str">
        <f t="shared" si="231"/>
        <v>10576</v>
      </c>
      <c r="R882" t="str">
        <f t="shared" si="232"/>
        <v>10576</v>
      </c>
      <c r="S882" t="str">
        <f t="shared" si="233"/>
        <v>Gorgonzola Telino</v>
      </c>
      <c r="T882">
        <v>12.5</v>
      </c>
      <c r="U882">
        <v>20</v>
      </c>
      <c r="V882">
        <v>0</v>
      </c>
      <c r="W882">
        <f t="shared" si="234"/>
        <v>250</v>
      </c>
      <c r="X882" t="str">
        <f t="shared" si="235"/>
        <v>No</v>
      </c>
      <c r="Y882" s="2">
        <v>34904</v>
      </c>
      <c r="Z882" t="str">
        <f t="shared" si="221"/>
        <v/>
      </c>
      <c r="AA882" t="str">
        <f t="shared" si="236"/>
        <v/>
      </c>
      <c r="AB882" t="str" cm="1">
        <f t="array" ref="AB882">_xlfn.IFS(Y882&lt;DATE(1996,1,1),"",Y882&lt;DATE(1996,4,1),"Q1",Y882&lt;DATE(1996,7,1),"Q2",Y882&gt;=DATE(1996,7,1),"")</f>
        <v/>
      </c>
    </row>
    <row r="883" spans="1:28" ht="14.4" x14ac:dyDescent="0.55000000000000004">
      <c r="A883" t="str">
        <f>VLOOKUP(L883,Customers!$A$2:$B$92,2,FALSE)</f>
        <v>Tortuga Restaurante</v>
      </c>
      <c r="B883" t="str">
        <f>VLOOKUP(L883,Customers!$A$2:$C$92,3,TRUE)</f>
        <v>Miguel Angel Paolino</v>
      </c>
      <c r="C883" t="str">
        <f t="shared" si="222"/>
        <v>Miguel</v>
      </c>
      <c r="D883" s="8" t="str">
        <f t="shared" si="223"/>
        <v>Angel Paolino</v>
      </c>
      <c r="E883" s="8" t="str">
        <f t="shared" si="224"/>
        <v>Angel Paolino, Miguel</v>
      </c>
      <c r="F883" s="8" t="str">
        <f t="shared" si="225"/>
        <v>Angel Paolino, Miguel</v>
      </c>
      <c r="G883" s="8" t="str">
        <f t="shared" si="226"/>
        <v>not an outlier</v>
      </c>
      <c r="H883" s="8" t="str">
        <f t="shared" si="227"/>
        <v>Not</v>
      </c>
      <c r="I883" s="8" t="str">
        <f t="shared" si="237"/>
        <v>no</v>
      </c>
      <c r="J883" s="10" t="str">
        <f t="shared" si="228"/>
        <v>no</v>
      </c>
      <c r="K883" s="10" t="str">
        <f t="shared" si="229"/>
        <v>no</v>
      </c>
      <c r="L883" t="s">
        <v>593</v>
      </c>
      <c r="M883">
        <v>10576</v>
      </c>
      <c r="N883">
        <v>44</v>
      </c>
      <c r="O883" t="s">
        <v>728</v>
      </c>
      <c r="P883" t="str">
        <f t="shared" si="230"/>
        <v>TORTU_10576_Gula Malacca</v>
      </c>
      <c r="Q883" t="str">
        <f t="shared" si="231"/>
        <v>10576</v>
      </c>
      <c r="R883" t="str">
        <f t="shared" si="232"/>
        <v>10576</v>
      </c>
      <c r="S883" t="str">
        <f t="shared" si="233"/>
        <v>Gula Malacca</v>
      </c>
      <c r="T883">
        <v>19.45</v>
      </c>
      <c r="U883">
        <v>21</v>
      </c>
      <c r="V883">
        <v>0</v>
      </c>
      <c r="W883">
        <f t="shared" si="234"/>
        <v>408.45</v>
      </c>
      <c r="X883" t="str">
        <f t="shared" si="235"/>
        <v>No</v>
      </c>
      <c r="Y883" s="2">
        <v>34904</v>
      </c>
      <c r="Z883" t="str">
        <f t="shared" si="221"/>
        <v/>
      </c>
      <c r="AA883" t="str">
        <f t="shared" si="236"/>
        <v/>
      </c>
      <c r="AB883" t="str" cm="1">
        <f t="array" ref="AB883">_xlfn.IFS(Y883&lt;DATE(1996,1,1),"",Y883&lt;DATE(1996,4,1),"Q1",Y883&lt;DATE(1996,7,1),"Q2",Y883&gt;=DATE(1996,7,1),"")</f>
        <v/>
      </c>
    </row>
    <row r="884" spans="1:28" ht="14.4" x14ac:dyDescent="0.55000000000000004">
      <c r="A884" t="str">
        <f>VLOOKUP(L884,Customers!$A$2:$B$92,2,FALSE)</f>
        <v>Trail's Head Gourmet Provisioners</v>
      </c>
      <c r="B884" t="str">
        <f>VLOOKUP(L884,Customers!$A$2:$C$92,3,TRUE)</f>
        <v>Helvetius Nagy</v>
      </c>
      <c r="C884" t="str">
        <f t="shared" si="222"/>
        <v>Helvetius</v>
      </c>
      <c r="D884" s="8" t="str">
        <f t="shared" si="223"/>
        <v>Nagy</v>
      </c>
      <c r="E884" s="8" t="str">
        <f t="shared" si="224"/>
        <v>Nagy, Helvetius</v>
      </c>
      <c r="F884" s="8" t="str">
        <f t="shared" si="225"/>
        <v>Nagy, Helvetius</v>
      </c>
      <c r="G884" s="8" t="str">
        <f t="shared" si="226"/>
        <v>not an outlier</v>
      </c>
      <c r="H884" s="8" t="str">
        <f t="shared" si="227"/>
        <v>Not</v>
      </c>
      <c r="I884" s="8" t="str">
        <f t="shared" si="237"/>
        <v>no</v>
      </c>
      <c r="J884" s="10" t="str">
        <f t="shared" si="228"/>
        <v>no</v>
      </c>
      <c r="K884" s="10" t="str">
        <f t="shared" si="229"/>
        <v>no</v>
      </c>
      <c r="L884" t="s">
        <v>605</v>
      </c>
      <c r="M884">
        <v>10577</v>
      </c>
      <c r="N884">
        <v>39</v>
      </c>
      <c r="O884" t="s">
        <v>696</v>
      </c>
      <c r="P884" t="str">
        <f t="shared" si="230"/>
        <v>TRAIH_10577_Chartreuse verte</v>
      </c>
      <c r="Q884" t="str">
        <f t="shared" si="231"/>
        <v>10577</v>
      </c>
      <c r="R884" t="str">
        <f t="shared" si="232"/>
        <v>10577</v>
      </c>
      <c r="S884" t="str">
        <f t="shared" si="233"/>
        <v>Chartreuse verte</v>
      </c>
      <c r="T884">
        <v>18</v>
      </c>
      <c r="U884">
        <v>10</v>
      </c>
      <c r="V884">
        <v>0</v>
      </c>
      <c r="W884">
        <f t="shared" si="234"/>
        <v>180</v>
      </c>
      <c r="X884" t="str">
        <f t="shared" si="235"/>
        <v>No</v>
      </c>
      <c r="Y884" s="2">
        <v>34904</v>
      </c>
      <c r="Z884" t="str">
        <f t="shared" si="221"/>
        <v/>
      </c>
      <c r="AA884" t="str">
        <f t="shared" si="236"/>
        <v/>
      </c>
      <c r="AB884" t="str" cm="1">
        <f t="array" ref="AB884">_xlfn.IFS(Y884&lt;DATE(1996,1,1),"",Y884&lt;DATE(1996,4,1),"Q1",Y884&lt;DATE(1996,7,1),"Q2",Y884&gt;=DATE(1996,7,1),"")</f>
        <v/>
      </c>
    </row>
    <row r="885" spans="1:28" ht="14.4" x14ac:dyDescent="0.55000000000000004">
      <c r="A885" t="str">
        <f>VLOOKUP(L885,Customers!$A$2:$B$92,2,FALSE)</f>
        <v>Trail's Head Gourmet Provisioners</v>
      </c>
      <c r="B885" t="str">
        <f>VLOOKUP(L885,Customers!$A$2:$C$92,3,TRUE)</f>
        <v>Helvetius Nagy</v>
      </c>
      <c r="C885" t="str">
        <f t="shared" si="222"/>
        <v>Helvetius</v>
      </c>
      <c r="D885" s="8" t="str">
        <f t="shared" si="223"/>
        <v>Nagy</v>
      </c>
      <c r="E885" s="8" t="str">
        <f t="shared" si="224"/>
        <v>Nagy, Helvetius</v>
      </c>
      <c r="F885" s="8" t="str">
        <f t="shared" si="225"/>
        <v>Nagy, Helvetius</v>
      </c>
      <c r="G885" s="8" t="str">
        <f t="shared" si="226"/>
        <v>not an outlier</v>
      </c>
      <c r="H885" s="8" t="str">
        <f t="shared" si="227"/>
        <v>Not</v>
      </c>
      <c r="I885" s="8" t="str">
        <f t="shared" si="237"/>
        <v>no</v>
      </c>
      <c r="J885" s="10" t="str">
        <f t="shared" si="228"/>
        <v>no</v>
      </c>
      <c r="K885" s="10" t="str">
        <f t="shared" si="229"/>
        <v>no</v>
      </c>
      <c r="L885" t="s">
        <v>605</v>
      </c>
      <c r="M885">
        <v>10577</v>
      </c>
      <c r="N885">
        <v>75</v>
      </c>
      <c r="O885" t="s">
        <v>731</v>
      </c>
      <c r="P885" t="str">
        <f t="shared" si="230"/>
        <v>TRAIH_10577_Rhönbräu Klosterbier</v>
      </c>
      <c r="Q885" t="str">
        <f t="shared" si="231"/>
        <v>10577</v>
      </c>
      <c r="R885" t="str">
        <f t="shared" si="232"/>
        <v>10577</v>
      </c>
      <c r="S885" t="str">
        <f t="shared" si="233"/>
        <v>Rhönbräu Klosterbier</v>
      </c>
      <c r="T885">
        <v>7.75</v>
      </c>
      <c r="U885">
        <v>20</v>
      </c>
      <c r="V885">
        <v>0</v>
      </c>
      <c r="W885">
        <f t="shared" si="234"/>
        <v>155</v>
      </c>
      <c r="X885" t="str">
        <f t="shared" si="235"/>
        <v>No</v>
      </c>
      <c r="Y885" s="2">
        <v>34904</v>
      </c>
      <c r="Z885" t="str">
        <f t="shared" si="221"/>
        <v/>
      </c>
      <c r="AA885" t="str">
        <f t="shared" si="236"/>
        <v/>
      </c>
      <c r="AB885" t="str" cm="1">
        <f t="array" ref="AB885">_xlfn.IFS(Y885&lt;DATE(1996,1,1),"",Y885&lt;DATE(1996,4,1),"Q1",Y885&lt;DATE(1996,7,1),"Q2",Y885&gt;=DATE(1996,7,1),"")</f>
        <v/>
      </c>
    </row>
    <row r="886" spans="1:28" ht="14.4" x14ac:dyDescent="0.55000000000000004">
      <c r="A886" t="str">
        <f>VLOOKUP(L886,Customers!$A$2:$B$92,2,FALSE)</f>
        <v>Trail's Head Gourmet Provisioners</v>
      </c>
      <c r="B886" t="str">
        <f>VLOOKUP(L886,Customers!$A$2:$C$92,3,TRUE)</f>
        <v>Helvetius Nagy</v>
      </c>
      <c r="C886" t="str">
        <f t="shared" si="222"/>
        <v>Helvetius</v>
      </c>
      <c r="D886" s="8" t="str">
        <f t="shared" si="223"/>
        <v>Nagy</v>
      </c>
      <c r="E886" s="8" t="str">
        <f t="shared" si="224"/>
        <v>Nagy, Helvetius</v>
      </c>
      <c r="F886" s="8" t="str">
        <f t="shared" si="225"/>
        <v>Nagy, Helvetius</v>
      </c>
      <c r="G886" s="8" t="str">
        <f t="shared" si="226"/>
        <v>not an outlier</v>
      </c>
      <c r="H886" s="8" t="str">
        <f t="shared" si="227"/>
        <v>Not</v>
      </c>
      <c r="I886" s="8" t="str">
        <f t="shared" si="237"/>
        <v>no</v>
      </c>
      <c r="J886" s="10" t="str">
        <f t="shared" si="228"/>
        <v>no</v>
      </c>
      <c r="K886" s="10" t="str">
        <f t="shared" si="229"/>
        <v>no</v>
      </c>
      <c r="L886" t="s">
        <v>605</v>
      </c>
      <c r="M886">
        <v>10577</v>
      </c>
      <c r="N886">
        <v>77</v>
      </c>
      <c r="O886" t="s">
        <v>706</v>
      </c>
      <c r="P886" t="str">
        <f t="shared" si="230"/>
        <v>TRAIH_10577_Original Frankfurter grüne Soße</v>
      </c>
      <c r="Q886" t="str">
        <f t="shared" si="231"/>
        <v>10577</v>
      </c>
      <c r="R886" t="str">
        <f t="shared" si="232"/>
        <v>10577</v>
      </c>
      <c r="S886" t="str">
        <f t="shared" si="233"/>
        <v>Original Frankfurter grüne Soße</v>
      </c>
      <c r="T886">
        <v>13</v>
      </c>
      <c r="U886">
        <v>18</v>
      </c>
      <c r="V886">
        <v>0</v>
      </c>
      <c r="W886">
        <f t="shared" si="234"/>
        <v>234</v>
      </c>
      <c r="X886" t="str">
        <f t="shared" si="235"/>
        <v>No</v>
      </c>
      <c r="Y886" s="2">
        <v>34904</v>
      </c>
      <c r="Z886" t="str">
        <f t="shared" si="221"/>
        <v/>
      </c>
      <c r="AA886" t="str">
        <f t="shared" si="236"/>
        <v/>
      </c>
      <c r="AB886" t="str" cm="1">
        <f t="array" ref="AB886">_xlfn.IFS(Y886&lt;DATE(1996,1,1),"",Y886&lt;DATE(1996,4,1),"Q1",Y886&lt;DATE(1996,7,1),"Q2",Y886&gt;=DATE(1996,7,1),"")</f>
        <v/>
      </c>
    </row>
    <row r="887" spans="1:28" ht="14.4" x14ac:dyDescent="0.55000000000000004">
      <c r="A887" t="str">
        <f>VLOOKUP(L887,Customers!$A$2:$B$92,2,FALSE)</f>
        <v>B's Beverages</v>
      </c>
      <c r="B887" t="str">
        <f>VLOOKUP(L887,Customers!$A$2:$C$92,3,TRUE)</f>
        <v>Victoria Ashworth</v>
      </c>
      <c r="C887" t="str">
        <f t="shared" si="222"/>
        <v>Victoria</v>
      </c>
      <c r="D887" s="8" t="str">
        <f t="shared" si="223"/>
        <v>Ashworth</v>
      </c>
      <c r="E887" s="8" t="str">
        <f t="shared" si="224"/>
        <v>Ashworth, Victoria</v>
      </c>
      <c r="F887" s="8" t="str">
        <f t="shared" si="225"/>
        <v>Ashworth, Victoria</v>
      </c>
      <c r="G887" s="8" t="str">
        <f t="shared" si="226"/>
        <v>not an outlier</v>
      </c>
      <c r="H887" s="8" t="str">
        <f t="shared" si="227"/>
        <v>Not</v>
      </c>
      <c r="I887" s="8" t="str">
        <f t="shared" si="237"/>
        <v>no</v>
      </c>
      <c r="J887" s="10" t="str">
        <f t="shared" si="228"/>
        <v>no</v>
      </c>
      <c r="K887" s="10" t="str">
        <f t="shared" si="229"/>
        <v>no</v>
      </c>
      <c r="L887" t="s">
        <v>95</v>
      </c>
      <c r="M887">
        <v>10578</v>
      </c>
      <c r="N887">
        <v>35</v>
      </c>
      <c r="O887" t="s">
        <v>714</v>
      </c>
      <c r="P887" t="str">
        <f t="shared" si="230"/>
        <v>BSBEV_10578_Steeleye Stout</v>
      </c>
      <c r="Q887" t="str">
        <f t="shared" si="231"/>
        <v>10578</v>
      </c>
      <c r="R887" t="str">
        <f t="shared" si="232"/>
        <v>10578</v>
      </c>
      <c r="S887" t="str">
        <f t="shared" si="233"/>
        <v>Steeleye Stout</v>
      </c>
      <c r="T887">
        <v>18</v>
      </c>
      <c r="U887">
        <v>20</v>
      </c>
      <c r="V887">
        <v>0</v>
      </c>
      <c r="W887">
        <f t="shared" si="234"/>
        <v>360</v>
      </c>
      <c r="X887" t="str">
        <f t="shared" si="235"/>
        <v>No</v>
      </c>
      <c r="Y887" s="2">
        <v>34905</v>
      </c>
      <c r="Z887" t="str">
        <f t="shared" si="221"/>
        <v/>
      </c>
      <c r="AA887" t="str">
        <f t="shared" si="236"/>
        <v/>
      </c>
      <c r="AB887" t="str" cm="1">
        <f t="array" ref="AB887">_xlfn.IFS(Y887&lt;DATE(1996,1,1),"",Y887&lt;DATE(1996,4,1),"Q1",Y887&lt;DATE(1996,7,1),"Q2",Y887&gt;=DATE(1996,7,1),"")</f>
        <v/>
      </c>
    </row>
    <row r="888" spans="1:28" ht="14.4" x14ac:dyDescent="0.55000000000000004">
      <c r="A888" t="str">
        <f>VLOOKUP(L888,Customers!$A$2:$B$92,2,FALSE)</f>
        <v>B's Beverages</v>
      </c>
      <c r="B888" t="str">
        <f>VLOOKUP(L888,Customers!$A$2:$C$92,3,TRUE)</f>
        <v>Victoria Ashworth</v>
      </c>
      <c r="C888" t="str">
        <f t="shared" si="222"/>
        <v>Victoria</v>
      </c>
      <c r="D888" s="8" t="str">
        <f t="shared" si="223"/>
        <v>Ashworth</v>
      </c>
      <c r="E888" s="8" t="str">
        <f t="shared" si="224"/>
        <v>Ashworth, Victoria</v>
      </c>
      <c r="F888" s="8" t="str">
        <f t="shared" si="225"/>
        <v>Ashworth, Victoria</v>
      </c>
      <c r="G888" s="8" t="str">
        <f t="shared" si="226"/>
        <v>not an outlier</v>
      </c>
      <c r="H888" s="8" t="str">
        <f t="shared" si="227"/>
        <v>Not</v>
      </c>
      <c r="I888" s="8" t="str">
        <f t="shared" si="237"/>
        <v>no</v>
      </c>
      <c r="J888" s="10" t="str">
        <f t="shared" si="228"/>
        <v>no</v>
      </c>
      <c r="K888" s="10" t="str">
        <f t="shared" si="229"/>
        <v>no</v>
      </c>
      <c r="L888" t="s">
        <v>95</v>
      </c>
      <c r="M888">
        <v>10578</v>
      </c>
      <c r="N888">
        <v>57</v>
      </c>
      <c r="O888" t="s">
        <v>691</v>
      </c>
      <c r="P888" t="str">
        <f t="shared" si="230"/>
        <v>BSBEV_10578_Ravioli Angelo</v>
      </c>
      <c r="Q888" t="str">
        <f t="shared" si="231"/>
        <v>10578</v>
      </c>
      <c r="R888" t="str">
        <f t="shared" si="232"/>
        <v>10578</v>
      </c>
      <c r="S888" t="str">
        <f t="shared" si="233"/>
        <v>Ravioli Angelo</v>
      </c>
      <c r="T888">
        <v>19.5</v>
      </c>
      <c r="U888">
        <v>6</v>
      </c>
      <c r="V888">
        <v>0</v>
      </c>
      <c r="W888">
        <f t="shared" si="234"/>
        <v>117</v>
      </c>
      <c r="X888" t="str">
        <f t="shared" si="235"/>
        <v>No</v>
      </c>
      <c r="Y888" s="2">
        <v>34905</v>
      </c>
      <c r="Z888" t="str">
        <f t="shared" si="221"/>
        <v/>
      </c>
      <c r="AA888" t="str">
        <f t="shared" si="236"/>
        <v/>
      </c>
      <c r="AB888" t="str" cm="1">
        <f t="array" ref="AB888">_xlfn.IFS(Y888&lt;DATE(1996,1,1),"",Y888&lt;DATE(1996,4,1),"Q1",Y888&lt;DATE(1996,7,1),"Q2",Y888&gt;=DATE(1996,7,1),"")</f>
        <v/>
      </c>
    </row>
    <row r="889" spans="1:28" ht="14.4" x14ac:dyDescent="0.55000000000000004">
      <c r="A889" t="str">
        <f>VLOOKUP(L889,Customers!$A$2:$B$92,2,FALSE)</f>
        <v>Let's Stop N Shop</v>
      </c>
      <c r="B889" t="str">
        <f>VLOOKUP(L889,Customers!$A$2:$C$92,3,TRUE)</f>
        <v>Jaime Yorres</v>
      </c>
      <c r="C889" t="str">
        <f t="shared" si="222"/>
        <v>Jaime</v>
      </c>
      <c r="D889" s="8" t="str">
        <f t="shared" si="223"/>
        <v>Yorres</v>
      </c>
      <c r="E889" s="8" t="str">
        <f t="shared" si="224"/>
        <v>Yorres, Jaime</v>
      </c>
      <c r="F889" s="8" t="str">
        <f t="shared" si="225"/>
        <v>Yorres, Jaime</v>
      </c>
      <c r="G889" s="8" t="str">
        <f t="shared" si="226"/>
        <v>not an outlier</v>
      </c>
      <c r="H889" s="8" t="str">
        <f t="shared" si="227"/>
        <v>Not</v>
      </c>
      <c r="I889" s="8" t="str">
        <f t="shared" si="237"/>
        <v>no</v>
      </c>
      <c r="J889" s="10" t="str">
        <f t="shared" si="228"/>
        <v>no</v>
      </c>
      <c r="K889" s="10" t="str">
        <f t="shared" si="229"/>
        <v>no</v>
      </c>
      <c r="L889" t="s">
        <v>348</v>
      </c>
      <c r="M889">
        <v>10579</v>
      </c>
      <c r="N889">
        <v>15</v>
      </c>
      <c r="O889" t="s">
        <v>733</v>
      </c>
      <c r="P889" t="str">
        <f t="shared" si="230"/>
        <v>LETSS_10579_Genen Shouyu</v>
      </c>
      <c r="Q889" t="str">
        <f t="shared" si="231"/>
        <v>10579</v>
      </c>
      <c r="R889" t="str">
        <f t="shared" si="232"/>
        <v>10579</v>
      </c>
      <c r="S889" t="str">
        <f t="shared" si="233"/>
        <v>Genen Shouyu</v>
      </c>
      <c r="T889">
        <v>15.5</v>
      </c>
      <c r="U889">
        <v>10</v>
      </c>
      <c r="V889">
        <v>0</v>
      </c>
      <c r="W889">
        <f t="shared" si="234"/>
        <v>155</v>
      </c>
      <c r="X889" t="str">
        <f t="shared" si="235"/>
        <v>No</v>
      </c>
      <c r="Y889" s="2">
        <v>34906</v>
      </c>
      <c r="Z889" t="str">
        <f t="shared" si="221"/>
        <v/>
      </c>
      <c r="AA889" t="str">
        <f t="shared" si="236"/>
        <v/>
      </c>
      <c r="AB889" t="str" cm="1">
        <f t="array" ref="AB889">_xlfn.IFS(Y889&lt;DATE(1996,1,1),"",Y889&lt;DATE(1996,4,1),"Q1",Y889&lt;DATE(1996,7,1),"Q2",Y889&gt;=DATE(1996,7,1),"")</f>
        <v/>
      </c>
    </row>
    <row r="890" spans="1:28" ht="14.4" x14ac:dyDescent="0.55000000000000004">
      <c r="A890" t="str">
        <f>VLOOKUP(L890,Customers!$A$2:$B$92,2,FALSE)</f>
        <v>Let's Stop N Shop</v>
      </c>
      <c r="B890" t="str">
        <f>VLOOKUP(L890,Customers!$A$2:$C$92,3,TRUE)</f>
        <v>Jaime Yorres</v>
      </c>
      <c r="C890" t="str">
        <f t="shared" si="222"/>
        <v>Jaime</v>
      </c>
      <c r="D890" s="8" t="str">
        <f t="shared" si="223"/>
        <v>Yorres</v>
      </c>
      <c r="E890" s="8" t="str">
        <f t="shared" si="224"/>
        <v>Yorres, Jaime</v>
      </c>
      <c r="F890" s="8" t="str">
        <f t="shared" si="225"/>
        <v>Yorres, Jaime</v>
      </c>
      <c r="G890" s="8" t="str">
        <f t="shared" si="226"/>
        <v>not an outlier</v>
      </c>
      <c r="H890" s="8" t="str">
        <f t="shared" si="227"/>
        <v>Not</v>
      </c>
      <c r="I890" s="8" t="str">
        <f t="shared" si="237"/>
        <v>no</v>
      </c>
      <c r="J890" s="10" t="str">
        <f t="shared" si="228"/>
        <v>no</v>
      </c>
      <c r="K890" s="10" t="str">
        <f t="shared" si="229"/>
        <v>no</v>
      </c>
      <c r="L890" t="s">
        <v>348</v>
      </c>
      <c r="M890">
        <v>10579</v>
      </c>
      <c r="N890">
        <v>75</v>
      </c>
      <c r="O890" t="s">
        <v>731</v>
      </c>
      <c r="P890" t="str">
        <f t="shared" si="230"/>
        <v>LETSS_10579_Rhönbräu Klosterbier</v>
      </c>
      <c r="Q890" t="str">
        <f t="shared" si="231"/>
        <v>10579</v>
      </c>
      <c r="R890" t="str">
        <f t="shared" si="232"/>
        <v>10579</v>
      </c>
      <c r="S890" t="str">
        <f t="shared" si="233"/>
        <v>Rhönbräu Klosterbier</v>
      </c>
      <c r="T890">
        <v>7.75</v>
      </c>
      <c r="U890">
        <v>21</v>
      </c>
      <c r="V890">
        <v>0</v>
      </c>
      <c r="W890">
        <f t="shared" si="234"/>
        <v>162.75</v>
      </c>
      <c r="X890" t="str">
        <f t="shared" si="235"/>
        <v>No</v>
      </c>
      <c r="Y890" s="2">
        <v>34906</v>
      </c>
      <c r="Z890" t="str">
        <f t="shared" si="221"/>
        <v/>
      </c>
      <c r="AA890" t="str">
        <f t="shared" si="236"/>
        <v/>
      </c>
      <c r="AB890" t="str" cm="1">
        <f t="array" ref="AB890">_xlfn.IFS(Y890&lt;DATE(1996,1,1),"",Y890&lt;DATE(1996,4,1),"Q1",Y890&lt;DATE(1996,7,1),"Q2",Y890&gt;=DATE(1996,7,1),"")</f>
        <v/>
      </c>
    </row>
    <row r="891" spans="1:28" ht="14.4" x14ac:dyDescent="0.55000000000000004">
      <c r="A891" t="str">
        <f>VLOOKUP(L891,Customers!$A$2:$B$92,2,FALSE)</f>
        <v>Ottilies Käseladen</v>
      </c>
      <c r="B891" t="str">
        <f>VLOOKUP(L891,Customers!$A$2:$C$92,3,TRUE)</f>
        <v>Henriette Pfalzheim</v>
      </c>
      <c r="C891" t="str">
        <f t="shared" si="222"/>
        <v>Henriette</v>
      </c>
      <c r="D891" s="8" t="str">
        <f t="shared" si="223"/>
        <v>Pfalzheim</v>
      </c>
      <c r="E891" s="8" t="str">
        <f t="shared" si="224"/>
        <v>Pfalzheim, Henriette</v>
      </c>
      <c r="F891" s="8" t="str">
        <f t="shared" si="225"/>
        <v>Pfalzheim, Henriette</v>
      </c>
      <c r="G891" s="8" t="str">
        <f t="shared" si="226"/>
        <v>not an outlier</v>
      </c>
      <c r="H891" s="8" t="str">
        <f t="shared" si="227"/>
        <v>Not</v>
      </c>
      <c r="I891" s="8" t="str">
        <f t="shared" si="237"/>
        <v>no</v>
      </c>
      <c r="J891" s="10" t="str">
        <f t="shared" si="228"/>
        <v>no</v>
      </c>
      <c r="K891" s="10" t="str">
        <f t="shared" si="229"/>
        <v>no</v>
      </c>
      <c r="L891" t="s">
        <v>430</v>
      </c>
      <c r="M891">
        <v>10580</v>
      </c>
      <c r="N891">
        <v>14</v>
      </c>
      <c r="O891" t="s">
        <v>686</v>
      </c>
      <c r="P891" t="str">
        <f t="shared" si="230"/>
        <v>OTTIK_10580_Tofu</v>
      </c>
      <c r="Q891" t="str">
        <f t="shared" si="231"/>
        <v>10580</v>
      </c>
      <c r="R891" t="str">
        <f t="shared" si="232"/>
        <v>10580</v>
      </c>
      <c r="S891" t="str">
        <f t="shared" si="233"/>
        <v>Tofu</v>
      </c>
      <c r="T891">
        <v>23.25</v>
      </c>
      <c r="U891">
        <v>15</v>
      </c>
      <c r="V891">
        <v>0.05</v>
      </c>
      <c r="W891">
        <f t="shared" si="234"/>
        <v>331.3125</v>
      </c>
      <c r="X891" t="str">
        <f t="shared" si="235"/>
        <v>No</v>
      </c>
      <c r="Y891" s="2">
        <v>34907</v>
      </c>
      <c r="Z891" t="str">
        <f t="shared" si="221"/>
        <v/>
      </c>
      <c r="AA891" t="str">
        <f t="shared" si="236"/>
        <v/>
      </c>
      <c r="AB891" t="str" cm="1">
        <f t="array" ref="AB891">_xlfn.IFS(Y891&lt;DATE(1996,1,1),"",Y891&lt;DATE(1996,4,1),"Q1",Y891&lt;DATE(1996,7,1),"Q2",Y891&gt;=DATE(1996,7,1),"")</f>
        <v/>
      </c>
    </row>
    <row r="892" spans="1:28" ht="14.4" x14ac:dyDescent="0.55000000000000004">
      <c r="A892" t="str">
        <f>VLOOKUP(L892,Customers!$A$2:$B$92,2,FALSE)</f>
        <v>Ottilies Käseladen</v>
      </c>
      <c r="B892" t="str">
        <f>VLOOKUP(L892,Customers!$A$2:$C$92,3,TRUE)</f>
        <v>Henriette Pfalzheim</v>
      </c>
      <c r="C892" t="str">
        <f t="shared" si="222"/>
        <v>Henriette</v>
      </c>
      <c r="D892" s="8" t="str">
        <f t="shared" si="223"/>
        <v>Pfalzheim</v>
      </c>
      <c r="E892" s="8" t="str">
        <f t="shared" si="224"/>
        <v>Pfalzheim, Henriette</v>
      </c>
      <c r="F892" s="8" t="str">
        <f t="shared" si="225"/>
        <v>Pfalzheim, Henriette</v>
      </c>
      <c r="G892" s="8" t="str">
        <f t="shared" si="226"/>
        <v>not an outlier</v>
      </c>
      <c r="H892" s="8" t="str">
        <f t="shared" si="227"/>
        <v>Not</v>
      </c>
      <c r="I892" s="8" t="str">
        <f t="shared" si="237"/>
        <v>no</v>
      </c>
      <c r="J892" s="10" t="str">
        <f t="shared" si="228"/>
        <v>no</v>
      </c>
      <c r="K892" s="10" t="str">
        <f t="shared" si="229"/>
        <v>no</v>
      </c>
      <c r="L892" t="s">
        <v>430</v>
      </c>
      <c r="M892">
        <v>10580</v>
      </c>
      <c r="N892">
        <v>41</v>
      </c>
      <c r="O892" t="s">
        <v>688</v>
      </c>
      <c r="P892" t="str">
        <f t="shared" si="230"/>
        <v>OTTIK_10580_Jack's New England Clam Chowder</v>
      </c>
      <c r="Q892" t="str">
        <f t="shared" si="231"/>
        <v>10580</v>
      </c>
      <c r="R892" t="str">
        <f t="shared" si="232"/>
        <v>10580</v>
      </c>
      <c r="S892" t="str">
        <f t="shared" si="233"/>
        <v>Jack's New England Clam Chowder</v>
      </c>
      <c r="T892">
        <v>9.65</v>
      </c>
      <c r="U892">
        <v>9</v>
      </c>
      <c r="V892">
        <v>0.05</v>
      </c>
      <c r="W892">
        <f t="shared" si="234"/>
        <v>82.507500000000007</v>
      </c>
      <c r="X892" t="str">
        <f t="shared" si="235"/>
        <v>No</v>
      </c>
      <c r="Y892" s="2">
        <v>34907</v>
      </c>
      <c r="Z892" t="str">
        <f t="shared" si="221"/>
        <v/>
      </c>
      <c r="AA892" t="str">
        <f t="shared" si="236"/>
        <v/>
      </c>
      <c r="AB892" t="str" cm="1">
        <f t="array" ref="AB892">_xlfn.IFS(Y892&lt;DATE(1996,1,1),"",Y892&lt;DATE(1996,4,1),"Q1",Y892&lt;DATE(1996,7,1),"Q2",Y892&gt;=DATE(1996,7,1),"")</f>
        <v/>
      </c>
    </row>
    <row r="893" spans="1:28" ht="14.4" x14ac:dyDescent="0.55000000000000004">
      <c r="A893" t="str">
        <f>VLOOKUP(L893,Customers!$A$2:$B$92,2,FALSE)</f>
        <v>Ottilies Käseladen</v>
      </c>
      <c r="B893" t="str">
        <f>VLOOKUP(L893,Customers!$A$2:$C$92,3,TRUE)</f>
        <v>Henriette Pfalzheim</v>
      </c>
      <c r="C893" t="str">
        <f t="shared" si="222"/>
        <v>Henriette</v>
      </c>
      <c r="D893" s="8" t="str">
        <f t="shared" si="223"/>
        <v>Pfalzheim</v>
      </c>
      <c r="E893" s="8" t="str">
        <f t="shared" si="224"/>
        <v>Pfalzheim, Henriette</v>
      </c>
      <c r="F893" s="8" t="str">
        <f t="shared" si="225"/>
        <v>Pfalzheim, Henriette</v>
      </c>
      <c r="G893" s="8" t="str">
        <f t="shared" si="226"/>
        <v>not an outlier</v>
      </c>
      <c r="H893" s="8" t="str">
        <f t="shared" si="227"/>
        <v>Not</v>
      </c>
      <c r="I893" s="8" t="str">
        <f t="shared" si="237"/>
        <v>no</v>
      </c>
      <c r="J893" s="10" t="str">
        <f t="shared" si="228"/>
        <v>no</v>
      </c>
      <c r="K893" s="10" t="str">
        <f t="shared" si="229"/>
        <v>no</v>
      </c>
      <c r="L893" t="s">
        <v>430</v>
      </c>
      <c r="M893">
        <v>10580</v>
      </c>
      <c r="N893">
        <v>65</v>
      </c>
      <c r="O893" t="s">
        <v>689</v>
      </c>
      <c r="P893" t="str">
        <f t="shared" si="230"/>
        <v>OTTIK_10580_Louisiana Fiery Hot Pepper Sauce</v>
      </c>
      <c r="Q893" t="str">
        <f t="shared" si="231"/>
        <v>10580</v>
      </c>
      <c r="R893" t="str">
        <f t="shared" si="232"/>
        <v>10580</v>
      </c>
      <c r="S893" t="str">
        <f t="shared" si="233"/>
        <v>Louisiana Fiery Hot Pepper Sauce</v>
      </c>
      <c r="T893">
        <v>21.05</v>
      </c>
      <c r="U893">
        <v>30</v>
      </c>
      <c r="V893">
        <v>0.05</v>
      </c>
      <c r="W893">
        <f t="shared" si="234"/>
        <v>599.92499999999995</v>
      </c>
      <c r="X893" t="str">
        <f t="shared" si="235"/>
        <v>No</v>
      </c>
      <c r="Y893" s="2">
        <v>34907</v>
      </c>
      <c r="Z893" t="str">
        <f t="shared" si="221"/>
        <v/>
      </c>
      <c r="AA893" t="str">
        <f t="shared" si="236"/>
        <v/>
      </c>
      <c r="AB893" t="str" cm="1">
        <f t="array" ref="AB893">_xlfn.IFS(Y893&lt;DATE(1996,1,1),"",Y893&lt;DATE(1996,4,1),"Q1",Y893&lt;DATE(1996,7,1),"Q2",Y893&gt;=DATE(1996,7,1),"")</f>
        <v/>
      </c>
    </row>
    <row r="894" spans="1:28" ht="14.4" x14ac:dyDescent="0.55000000000000004">
      <c r="A894" t="str">
        <f>VLOOKUP(L894,Customers!$A$2:$B$92,2,FALSE)</f>
        <v>Familia Arquibaldo</v>
      </c>
      <c r="B894" t="str">
        <f>VLOOKUP(L894,Customers!$A$2:$C$92,3,TRUE)</f>
        <v>Aria Cruz</v>
      </c>
      <c r="C894" t="str">
        <f t="shared" si="222"/>
        <v>Aria</v>
      </c>
      <c r="D894" s="8" t="str">
        <f t="shared" si="223"/>
        <v>Cruz</v>
      </c>
      <c r="E894" s="8" t="str">
        <f t="shared" si="224"/>
        <v>Cruz, Aria</v>
      </c>
      <c r="F894" s="8" t="str">
        <f t="shared" si="225"/>
        <v>Cruz, Aria</v>
      </c>
      <c r="G894" s="8" t="str">
        <f t="shared" si="226"/>
        <v>not an outlier</v>
      </c>
      <c r="H894" s="8" t="str">
        <f t="shared" si="227"/>
        <v>Not</v>
      </c>
      <c r="I894" s="8" t="str">
        <f t="shared" si="237"/>
        <v>no</v>
      </c>
      <c r="J894" s="10" t="str">
        <f t="shared" si="228"/>
        <v>no</v>
      </c>
      <c r="K894" s="10" t="str">
        <f t="shared" si="229"/>
        <v>no</v>
      </c>
      <c r="L894" t="s">
        <v>170</v>
      </c>
      <c r="M894">
        <v>10581</v>
      </c>
      <c r="N894">
        <v>75</v>
      </c>
      <c r="O894" t="s">
        <v>731</v>
      </c>
      <c r="P894" t="str">
        <f t="shared" si="230"/>
        <v>FAMIA_10581_Rhönbräu Klosterbier</v>
      </c>
      <c r="Q894" t="str">
        <f t="shared" si="231"/>
        <v>10581</v>
      </c>
      <c r="R894" t="str">
        <f t="shared" si="232"/>
        <v>10581</v>
      </c>
      <c r="S894" t="str">
        <f t="shared" si="233"/>
        <v>Rhönbräu Klosterbier</v>
      </c>
      <c r="T894">
        <v>7.75</v>
      </c>
      <c r="U894">
        <v>50</v>
      </c>
      <c r="V894">
        <v>0.2</v>
      </c>
      <c r="W894">
        <f t="shared" si="234"/>
        <v>310</v>
      </c>
      <c r="X894" t="str">
        <f t="shared" si="235"/>
        <v>No</v>
      </c>
      <c r="Y894" s="2">
        <v>34907</v>
      </c>
      <c r="Z894" t="str">
        <f t="shared" si="221"/>
        <v/>
      </c>
      <c r="AA894" t="str">
        <f t="shared" si="236"/>
        <v/>
      </c>
      <c r="AB894" t="str" cm="1">
        <f t="array" ref="AB894">_xlfn.IFS(Y894&lt;DATE(1996,1,1),"",Y894&lt;DATE(1996,4,1),"Q1",Y894&lt;DATE(1996,7,1),"Q2",Y894&gt;=DATE(1996,7,1),"")</f>
        <v/>
      </c>
    </row>
    <row r="895" spans="1:28" ht="14.4" x14ac:dyDescent="0.55000000000000004">
      <c r="A895" t="str">
        <f>VLOOKUP(L895,Customers!$A$2:$B$92,2,FALSE)</f>
        <v>Blauer See Delikatessen</v>
      </c>
      <c r="B895" t="str">
        <f>VLOOKUP(L895,Customers!$A$2:$C$92,3,TRUE)</f>
        <v>Hanna Moos</v>
      </c>
      <c r="C895" t="str">
        <f t="shared" si="222"/>
        <v>Hanna</v>
      </c>
      <c r="D895" s="8" t="str">
        <f t="shared" si="223"/>
        <v>Moos</v>
      </c>
      <c r="E895" s="8" t="str">
        <f t="shared" si="224"/>
        <v>Moos, Hanna</v>
      </c>
      <c r="F895" s="8" t="str">
        <f t="shared" si="225"/>
        <v>Moos, Hanna</v>
      </c>
      <c r="G895" s="8" t="str">
        <f t="shared" si="226"/>
        <v>not an outlier</v>
      </c>
      <c r="H895" s="8" t="str">
        <f t="shared" si="227"/>
        <v>Not</v>
      </c>
      <c r="I895" s="8" t="str">
        <f t="shared" si="237"/>
        <v>no</v>
      </c>
      <c r="J895" s="10" t="str">
        <f t="shared" si="228"/>
        <v>no</v>
      </c>
      <c r="K895" s="10" t="str">
        <f t="shared" si="229"/>
        <v>no</v>
      </c>
      <c r="L895" t="s">
        <v>53</v>
      </c>
      <c r="M895">
        <v>10582</v>
      </c>
      <c r="N895">
        <v>57</v>
      </c>
      <c r="O895" t="s">
        <v>691</v>
      </c>
      <c r="P895" t="str">
        <f t="shared" si="230"/>
        <v>BLAUS_10582_Ravioli Angelo</v>
      </c>
      <c r="Q895" t="str">
        <f t="shared" si="231"/>
        <v>10582</v>
      </c>
      <c r="R895" t="str">
        <f t="shared" si="232"/>
        <v>10582</v>
      </c>
      <c r="S895" t="str">
        <f t="shared" si="233"/>
        <v>Ravioli Angelo</v>
      </c>
      <c r="T895">
        <v>19.5</v>
      </c>
      <c r="U895">
        <v>4</v>
      </c>
      <c r="V895">
        <v>0</v>
      </c>
      <c r="W895">
        <f t="shared" si="234"/>
        <v>78</v>
      </c>
      <c r="X895" t="str">
        <f t="shared" si="235"/>
        <v>No</v>
      </c>
      <c r="Y895" s="2">
        <v>34908</v>
      </c>
      <c r="Z895" t="str">
        <f t="shared" si="221"/>
        <v/>
      </c>
      <c r="AA895" t="str">
        <f t="shared" si="236"/>
        <v/>
      </c>
      <c r="AB895" t="str" cm="1">
        <f t="array" ref="AB895">_xlfn.IFS(Y895&lt;DATE(1996,1,1),"",Y895&lt;DATE(1996,4,1),"Q1",Y895&lt;DATE(1996,7,1),"Q2",Y895&gt;=DATE(1996,7,1),"")</f>
        <v/>
      </c>
    </row>
    <row r="896" spans="1:28" ht="14.4" x14ac:dyDescent="0.55000000000000004">
      <c r="A896" t="str">
        <f>VLOOKUP(L896,Customers!$A$2:$B$92,2,FALSE)</f>
        <v>Blauer See Delikatessen</v>
      </c>
      <c r="B896" t="str">
        <f>VLOOKUP(L896,Customers!$A$2:$C$92,3,TRUE)</f>
        <v>Hanna Moos</v>
      </c>
      <c r="C896" t="str">
        <f t="shared" si="222"/>
        <v>Hanna</v>
      </c>
      <c r="D896" s="8" t="str">
        <f t="shared" si="223"/>
        <v>Moos</v>
      </c>
      <c r="E896" s="8" t="str">
        <f t="shared" si="224"/>
        <v>Moos, Hanna</v>
      </c>
      <c r="F896" s="8" t="str">
        <f t="shared" si="225"/>
        <v>Moos, Hanna</v>
      </c>
      <c r="G896" s="8" t="str">
        <f t="shared" si="226"/>
        <v>not an outlier</v>
      </c>
      <c r="H896" s="8" t="str">
        <f t="shared" si="227"/>
        <v>Not</v>
      </c>
      <c r="I896" s="8" t="str">
        <f t="shared" si="237"/>
        <v>no</v>
      </c>
      <c r="J896" s="10" t="str">
        <f t="shared" si="228"/>
        <v>no</v>
      </c>
      <c r="K896" s="10" t="str">
        <f t="shared" si="229"/>
        <v>no</v>
      </c>
      <c r="L896" t="s">
        <v>53</v>
      </c>
      <c r="M896">
        <v>10582</v>
      </c>
      <c r="N896">
        <v>76</v>
      </c>
      <c r="O896" t="s">
        <v>721</v>
      </c>
      <c r="P896" t="str">
        <f t="shared" si="230"/>
        <v>BLAUS_10582_Lakkalikööri</v>
      </c>
      <c r="Q896" t="str">
        <f t="shared" si="231"/>
        <v>10582</v>
      </c>
      <c r="R896" t="str">
        <f t="shared" si="232"/>
        <v>10582</v>
      </c>
      <c r="S896" t="str">
        <f t="shared" si="233"/>
        <v>Lakkalikööri</v>
      </c>
      <c r="T896">
        <v>18</v>
      </c>
      <c r="U896">
        <v>14</v>
      </c>
      <c r="V896">
        <v>0</v>
      </c>
      <c r="W896">
        <f t="shared" si="234"/>
        <v>252</v>
      </c>
      <c r="X896" t="str">
        <f t="shared" si="235"/>
        <v>No</v>
      </c>
      <c r="Y896" s="2">
        <v>34908</v>
      </c>
      <c r="Z896" t="str">
        <f t="shared" si="221"/>
        <v/>
      </c>
      <c r="AA896" t="str">
        <f t="shared" si="236"/>
        <v/>
      </c>
      <c r="AB896" t="str" cm="1">
        <f t="array" ref="AB896">_xlfn.IFS(Y896&lt;DATE(1996,1,1),"",Y896&lt;DATE(1996,4,1),"Q1",Y896&lt;DATE(1996,7,1),"Q2",Y896&gt;=DATE(1996,7,1),"")</f>
        <v/>
      </c>
    </row>
    <row r="897" spans="1:28" ht="14.4" x14ac:dyDescent="0.55000000000000004">
      <c r="A897" t="str">
        <f>VLOOKUP(L897,Customers!$A$2:$B$92,2,FALSE)</f>
        <v>Wartian Herkku</v>
      </c>
      <c r="B897" t="str">
        <f>VLOOKUP(L897,Customers!$A$2:$C$92,3,TRUE)</f>
        <v>Pirkko Koskitalo</v>
      </c>
      <c r="C897" t="str">
        <f t="shared" si="222"/>
        <v>Pirkko</v>
      </c>
      <c r="D897" s="8" t="str">
        <f t="shared" si="223"/>
        <v>Koskitalo</v>
      </c>
      <c r="E897" s="8" t="str">
        <f t="shared" si="224"/>
        <v>Koskitalo, Pirkko</v>
      </c>
      <c r="F897" s="8" t="str">
        <f t="shared" si="225"/>
        <v>Koskitalo, Pirkko</v>
      </c>
      <c r="G897" s="8" t="str">
        <f t="shared" si="226"/>
        <v>not an outlier</v>
      </c>
      <c r="H897" s="8" t="str">
        <f t="shared" si="227"/>
        <v>Not</v>
      </c>
      <c r="I897" s="8" t="str">
        <f t="shared" si="237"/>
        <v>no</v>
      </c>
      <c r="J897" s="10" t="str">
        <f t="shared" si="228"/>
        <v>no</v>
      </c>
      <c r="K897" s="10" t="str">
        <f t="shared" si="229"/>
        <v>no</v>
      </c>
      <c r="L897" t="s">
        <v>640</v>
      </c>
      <c r="M897">
        <v>10583</v>
      </c>
      <c r="N897">
        <v>29</v>
      </c>
      <c r="O897" t="s">
        <v>722</v>
      </c>
      <c r="P897" t="str">
        <f t="shared" si="230"/>
        <v>WARTH_10583_Thüringer Rostbratwurst</v>
      </c>
      <c r="Q897" t="str">
        <f t="shared" si="231"/>
        <v>10583</v>
      </c>
      <c r="R897" t="str">
        <f t="shared" si="232"/>
        <v>10583</v>
      </c>
      <c r="S897" t="str">
        <f t="shared" si="233"/>
        <v>Thüringer Rostbratwurst</v>
      </c>
      <c r="T897">
        <v>123.79</v>
      </c>
      <c r="U897">
        <v>10</v>
      </c>
      <c r="V897">
        <v>0</v>
      </c>
      <c r="W897">
        <f t="shared" si="234"/>
        <v>1237.9000000000001</v>
      </c>
      <c r="X897" t="str">
        <f t="shared" si="235"/>
        <v>No</v>
      </c>
      <c r="Y897" s="2">
        <v>34911</v>
      </c>
      <c r="Z897" t="str">
        <f t="shared" ref="Z897:Z960" si="238">IF(Y897&gt;=DATE(1996,1,1), IF(Y897&lt;DATE(1996,4,1),"1st Q 1996",""),"")</f>
        <v/>
      </c>
      <c r="AA897" t="str">
        <f t="shared" si="236"/>
        <v/>
      </c>
      <c r="AB897" t="str" cm="1">
        <f t="array" ref="AB897">_xlfn.IFS(Y897&lt;DATE(1996,1,1),"",Y897&lt;DATE(1996,4,1),"Q1",Y897&lt;DATE(1996,7,1),"Q2",Y897&gt;=DATE(1996,7,1),"")</f>
        <v/>
      </c>
    </row>
    <row r="898" spans="1:28" ht="14.4" x14ac:dyDescent="0.55000000000000004">
      <c r="A898" t="str">
        <f>VLOOKUP(L898,Customers!$A$2:$B$92,2,FALSE)</f>
        <v>Wartian Herkku</v>
      </c>
      <c r="B898" t="str">
        <f>VLOOKUP(L898,Customers!$A$2:$C$92,3,TRUE)</f>
        <v>Pirkko Koskitalo</v>
      </c>
      <c r="C898" t="str">
        <f t="shared" si="222"/>
        <v>Pirkko</v>
      </c>
      <c r="D898" s="8" t="str">
        <f t="shared" si="223"/>
        <v>Koskitalo</v>
      </c>
      <c r="E898" s="8" t="str">
        <f t="shared" si="224"/>
        <v>Koskitalo, Pirkko</v>
      </c>
      <c r="F898" s="8" t="str">
        <f t="shared" si="225"/>
        <v>Koskitalo, Pirkko</v>
      </c>
      <c r="G898" s="8" t="str">
        <f t="shared" si="226"/>
        <v>not an outlier</v>
      </c>
      <c r="H898" s="8" t="str">
        <f t="shared" si="227"/>
        <v>Not</v>
      </c>
      <c r="I898" s="8" t="str">
        <f t="shared" si="237"/>
        <v>no</v>
      </c>
      <c r="J898" s="10" t="str">
        <f t="shared" si="228"/>
        <v>no</v>
      </c>
      <c r="K898" s="10" t="str">
        <f t="shared" si="229"/>
        <v>no</v>
      </c>
      <c r="L898" t="s">
        <v>640</v>
      </c>
      <c r="M898">
        <v>10583</v>
      </c>
      <c r="N898">
        <v>60</v>
      </c>
      <c r="O898" t="s">
        <v>694</v>
      </c>
      <c r="P898" t="str">
        <f t="shared" si="230"/>
        <v>WARTH_10583_Camembert Pierrot</v>
      </c>
      <c r="Q898" t="str">
        <f t="shared" si="231"/>
        <v>10583</v>
      </c>
      <c r="R898" t="str">
        <f t="shared" si="232"/>
        <v>10583</v>
      </c>
      <c r="S898" t="str">
        <f t="shared" si="233"/>
        <v>Camembert Pierrot</v>
      </c>
      <c r="T898">
        <v>34</v>
      </c>
      <c r="U898">
        <v>24</v>
      </c>
      <c r="V898">
        <v>0.15</v>
      </c>
      <c r="W898">
        <f t="shared" si="234"/>
        <v>693.6</v>
      </c>
      <c r="X898" t="str">
        <f t="shared" si="235"/>
        <v>No</v>
      </c>
      <c r="Y898" s="2">
        <v>34911</v>
      </c>
      <c r="Z898" t="str">
        <f t="shared" si="238"/>
        <v/>
      </c>
      <c r="AA898" t="str">
        <f t="shared" si="236"/>
        <v/>
      </c>
      <c r="AB898" t="str" cm="1">
        <f t="array" ref="AB898">_xlfn.IFS(Y898&lt;DATE(1996,1,1),"",Y898&lt;DATE(1996,4,1),"Q1",Y898&lt;DATE(1996,7,1),"Q2",Y898&gt;=DATE(1996,7,1),"")</f>
        <v/>
      </c>
    </row>
    <row r="899" spans="1:28" ht="14.4" x14ac:dyDescent="0.55000000000000004">
      <c r="A899" t="str">
        <f>VLOOKUP(L899,Customers!$A$2:$B$92,2,FALSE)</f>
        <v>Wartian Herkku</v>
      </c>
      <c r="B899" t="str">
        <f>VLOOKUP(L899,Customers!$A$2:$C$92,3,TRUE)</f>
        <v>Pirkko Koskitalo</v>
      </c>
      <c r="C899" t="str">
        <f t="shared" ref="C899:C962" si="239">LEFT(B899,FIND(" ",B899)-1)</f>
        <v>Pirkko</v>
      </c>
      <c r="D899" s="8" t="str">
        <f t="shared" ref="D899:D962" si="240">RIGHT(B899,LEN(B899)-FIND(" ",B899))</f>
        <v>Koskitalo</v>
      </c>
      <c r="E899" s="8" t="str">
        <f t="shared" ref="E899:E962" si="241">_xlfn.CONCAT(D899,", ",C899)</f>
        <v>Koskitalo, Pirkko</v>
      </c>
      <c r="F899" s="8" t="str">
        <f t="shared" ref="F899:F962" si="242">D899&amp;", "&amp;C899</f>
        <v>Koskitalo, Pirkko</v>
      </c>
      <c r="G899" s="8" t="str">
        <f t="shared" ref="G899:G962" si="243">IF(OR(W899&gt;$W$2166,W899&lt;$W$2167),"outlier","not an outlier")</f>
        <v>not an outlier</v>
      </c>
      <c r="H899" s="8" t="str">
        <f t="shared" ref="H899:H962" si="244">IF(OR(W899&gt;$W$2166,W899&lt;$W$2167),"outlier",IF(OR(W899&gt;$W$2168,W899&lt;$W$2169),"moderate","Not"))</f>
        <v>Not</v>
      </c>
      <c r="I899" s="8" t="str">
        <f t="shared" si="237"/>
        <v>no</v>
      </c>
      <c r="J899" s="10" t="str">
        <f t="shared" ref="J899:J962" si="245">IF(AND(W899&lt;=$W$2166,W899&gt;=$W$2167),"no","yes")</f>
        <v>no</v>
      </c>
      <c r="K899" s="10" t="str">
        <f t="shared" ref="K899:K962" si="246">IF(OR(W899&gt;$W$2166,W899&lt;$W$2167),"yes",IF(OR(W899&gt;$W$2168,W899&lt;$W$2169),"moderate","no"))</f>
        <v>no</v>
      </c>
      <c r="L899" t="s">
        <v>640</v>
      </c>
      <c r="M899">
        <v>10583</v>
      </c>
      <c r="N899">
        <v>69</v>
      </c>
      <c r="O899" t="s">
        <v>743</v>
      </c>
      <c r="P899" t="str">
        <f t="shared" ref="P899:P962" si="247">L899&amp;"_"&amp;M899&amp;"_"&amp;O899</f>
        <v>WARTH_10583_Gudbrandsdalsost</v>
      </c>
      <c r="Q899" t="str">
        <f t="shared" ref="Q899:Q962" si="248">LEFT(RIGHT(P899,LEN(P899)-FIND("_",P899)), FIND("_",P899)-1)</f>
        <v>10583</v>
      </c>
      <c r="R899" t="str">
        <f t="shared" ref="R899:R962" si="249">MID(P899,FIND("_",P899)+1,FIND("_",P899,FIND("_",P899))-1)</f>
        <v>10583</v>
      </c>
      <c r="S899" t="str">
        <f t="shared" ref="S899:S962" si="250">MID(P899,FIND("_",P899,FIND("_",P899)+1)+1,LEN(P899))</f>
        <v>Gudbrandsdalsost</v>
      </c>
      <c r="T899">
        <v>36</v>
      </c>
      <c r="U899">
        <v>10</v>
      </c>
      <c r="V899">
        <v>0.15</v>
      </c>
      <c r="W899">
        <f t="shared" ref="W899:W962" si="251">T899*U899*(1-V899)</f>
        <v>306</v>
      </c>
      <c r="X899" t="str">
        <f t="shared" ref="X899:X962" si="252">IF(YEAR(Y899)&gt;=1996,"yes","No")</f>
        <v>No</v>
      </c>
      <c r="Y899" s="2">
        <v>34911</v>
      </c>
      <c r="Z899" t="str">
        <f t="shared" si="238"/>
        <v/>
      </c>
      <c r="AA899" t="str">
        <f t="shared" ref="AA899:AA962" si="253">IF(Y899&lt;DATE(1996,1,1),"", IF(Y899&lt;DATE(1996,4,1),"1st Q 1996",IF(Y899&lt;DATE(1996,7,1),"2nd Q 1996","")))</f>
        <v/>
      </c>
      <c r="AB899" t="str" cm="1">
        <f t="array" ref="AB899">_xlfn.IFS(Y899&lt;DATE(1996,1,1),"",Y899&lt;DATE(1996,4,1),"Q1",Y899&lt;DATE(1996,7,1),"Q2",Y899&gt;=DATE(1996,7,1),"")</f>
        <v/>
      </c>
    </row>
    <row r="900" spans="1:28" ht="14.4" x14ac:dyDescent="0.55000000000000004">
      <c r="A900" t="str">
        <f>VLOOKUP(L900,Customers!$A$2:$B$92,2,FALSE)</f>
        <v>Blondel père et fils</v>
      </c>
      <c r="B900" t="str">
        <f>VLOOKUP(L900,Customers!$A$2:$C$92,3,TRUE)</f>
        <v>Frédérique Citeaux</v>
      </c>
      <c r="C900" t="str">
        <f t="shared" si="239"/>
        <v>Frédérique</v>
      </c>
      <c r="D900" s="8" t="str">
        <f t="shared" si="240"/>
        <v>Citeaux</v>
      </c>
      <c r="E900" s="8" t="str">
        <f t="shared" si="241"/>
        <v>Citeaux, Frédérique</v>
      </c>
      <c r="F900" s="8" t="str">
        <f t="shared" si="242"/>
        <v>Citeaux, Frédérique</v>
      </c>
      <c r="G900" s="8" t="str">
        <f t="shared" si="243"/>
        <v>not an outlier</v>
      </c>
      <c r="H900" s="8" t="str">
        <f t="shared" si="244"/>
        <v>Not</v>
      </c>
      <c r="I900" s="8" t="str">
        <f t="shared" ref="I900:I963" si="254">IF(OR(W900&gt;$W$2166,W900&lt;$W$2167),"yes","no")</f>
        <v>no</v>
      </c>
      <c r="J900" s="10" t="str">
        <f t="shared" si="245"/>
        <v>no</v>
      </c>
      <c r="K900" s="10" t="str">
        <f t="shared" si="246"/>
        <v>no</v>
      </c>
      <c r="L900" t="s">
        <v>60</v>
      </c>
      <c r="M900">
        <v>10584</v>
      </c>
      <c r="N900">
        <v>31</v>
      </c>
      <c r="O900" t="s">
        <v>695</v>
      </c>
      <c r="P900" t="str">
        <f t="shared" si="247"/>
        <v>BLONP_10584_Gorgonzola Telino</v>
      </c>
      <c r="Q900" t="str">
        <f t="shared" si="248"/>
        <v>10584</v>
      </c>
      <c r="R900" t="str">
        <f t="shared" si="249"/>
        <v>10584</v>
      </c>
      <c r="S900" t="str">
        <f t="shared" si="250"/>
        <v>Gorgonzola Telino</v>
      </c>
      <c r="T900">
        <v>12.5</v>
      </c>
      <c r="U900">
        <v>50</v>
      </c>
      <c r="V900">
        <v>0.05</v>
      </c>
      <c r="W900">
        <f t="shared" si="251"/>
        <v>593.75</v>
      </c>
      <c r="X900" t="str">
        <f t="shared" si="252"/>
        <v>No</v>
      </c>
      <c r="Y900" s="2">
        <v>34911</v>
      </c>
      <c r="Z900" t="str">
        <f t="shared" si="238"/>
        <v/>
      </c>
      <c r="AA900" t="str">
        <f t="shared" si="253"/>
        <v/>
      </c>
      <c r="AB900" t="str" cm="1">
        <f t="array" ref="AB900">_xlfn.IFS(Y900&lt;DATE(1996,1,1),"",Y900&lt;DATE(1996,4,1),"Q1",Y900&lt;DATE(1996,7,1),"Q2",Y900&gt;=DATE(1996,7,1),"")</f>
        <v/>
      </c>
    </row>
    <row r="901" spans="1:28" ht="14.4" x14ac:dyDescent="0.55000000000000004">
      <c r="A901" t="str">
        <f>VLOOKUP(L901,Customers!$A$2:$B$92,2,FALSE)</f>
        <v>Wellington Importadora</v>
      </c>
      <c r="B901" t="str">
        <f>VLOOKUP(L901,Customers!$A$2:$C$92,3,TRUE)</f>
        <v>Paula Parente</v>
      </c>
      <c r="C901" t="str">
        <f t="shared" si="239"/>
        <v>Paula</v>
      </c>
      <c r="D901" s="8" t="str">
        <f t="shared" si="240"/>
        <v>Parente</v>
      </c>
      <c r="E901" s="8" t="str">
        <f t="shared" si="241"/>
        <v>Parente, Paula</v>
      </c>
      <c r="F901" s="8" t="str">
        <f t="shared" si="242"/>
        <v>Parente, Paula</v>
      </c>
      <c r="G901" s="8" t="str">
        <f t="shared" si="243"/>
        <v>not an outlier</v>
      </c>
      <c r="H901" s="8" t="str">
        <f t="shared" si="244"/>
        <v>Not</v>
      </c>
      <c r="I901" s="8" t="str">
        <f t="shared" si="254"/>
        <v>no</v>
      </c>
      <c r="J901" s="10" t="str">
        <f t="shared" si="245"/>
        <v>no</v>
      </c>
      <c r="K901" s="10" t="str">
        <f t="shared" si="246"/>
        <v>no</v>
      </c>
      <c r="L901" t="s">
        <v>647</v>
      </c>
      <c r="M901">
        <v>10585</v>
      </c>
      <c r="N901">
        <v>47</v>
      </c>
      <c r="O901" t="s">
        <v>752</v>
      </c>
      <c r="P901" t="str">
        <f t="shared" si="247"/>
        <v>WELLI_10585_Zaanse koeken</v>
      </c>
      <c r="Q901" t="str">
        <f t="shared" si="248"/>
        <v>10585</v>
      </c>
      <c r="R901" t="str">
        <f t="shared" si="249"/>
        <v>10585</v>
      </c>
      <c r="S901" t="str">
        <f t="shared" si="250"/>
        <v>Zaanse koeken</v>
      </c>
      <c r="T901">
        <v>9.5</v>
      </c>
      <c r="U901">
        <v>15</v>
      </c>
      <c r="V901">
        <v>0</v>
      </c>
      <c r="W901">
        <f t="shared" si="251"/>
        <v>142.5</v>
      </c>
      <c r="X901" t="str">
        <f t="shared" si="252"/>
        <v>No</v>
      </c>
      <c r="Y901" s="2">
        <v>34912</v>
      </c>
      <c r="Z901" t="str">
        <f t="shared" si="238"/>
        <v/>
      </c>
      <c r="AA901" t="str">
        <f t="shared" si="253"/>
        <v/>
      </c>
      <c r="AB901" t="str" cm="1">
        <f t="array" ref="AB901">_xlfn.IFS(Y901&lt;DATE(1996,1,1),"",Y901&lt;DATE(1996,4,1),"Q1",Y901&lt;DATE(1996,7,1),"Q2",Y901&gt;=DATE(1996,7,1),"")</f>
        <v/>
      </c>
    </row>
    <row r="902" spans="1:28" ht="14.4" x14ac:dyDescent="0.55000000000000004">
      <c r="A902" t="str">
        <f>VLOOKUP(L902,Customers!$A$2:$B$92,2,FALSE)</f>
        <v>Reggiani Caseifici</v>
      </c>
      <c r="B902" t="str">
        <f>VLOOKUP(L902,Customers!$A$2:$C$92,3,TRUE)</f>
        <v>Maurizio Moroni</v>
      </c>
      <c r="C902" t="str">
        <f t="shared" si="239"/>
        <v>Maurizio</v>
      </c>
      <c r="D902" s="8" t="str">
        <f t="shared" si="240"/>
        <v>Moroni</v>
      </c>
      <c r="E902" s="8" t="str">
        <f t="shared" si="241"/>
        <v>Moroni, Maurizio</v>
      </c>
      <c r="F902" s="8" t="str">
        <f t="shared" si="242"/>
        <v>Moroni, Maurizio</v>
      </c>
      <c r="G902" s="8" t="str">
        <f t="shared" si="243"/>
        <v>not an outlier</v>
      </c>
      <c r="H902" s="8" t="str">
        <f t="shared" si="244"/>
        <v>Not</v>
      </c>
      <c r="I902" s="8" t="str">
        <f t="shared" si="254"/>
        <v>no</v>
      </c>
      <c r="J902" s="10" t="str">
        <f t="shared" si="245"/>
        <v>no</v>
      </c>
      <c r="K902" s="10" t="str">
        <f t="shared" si="246"/>
        <v>no</v>
      </c>
      <c r="L902" t="s">
        <v>496</v>
      </c>
      <c r="M902">
        <v>10586</v>
      </c>
      <c r="N902">
        <v>52</v>
      </c>
      <c r="O902" t="s">
        <v>748</v>
      </c>
      <c r="P902" t="str">
        <f t="shared" si="247"/>
        <v>REGGC_10586_Filo Mix</v>
      </c>
      <c r="Q902" t="str">
        <f t="shared" si="248"/>
        <v>10586</v>
      </c>
      <c r="R902" t="str">
        <f t="shared" si="249"/>
        <v>10586</v>
      </c>
      <c r="S902" t="str">
        <f t="shared" si="250"/>
        <v>Filo Mix</v>
      </c>
      <c r="T902">
        <v>7</v>
      </c>
      <c r="U902">
        <v>4</v>
      </c>
      <c r="V902">
        <v>0.15</v>
      </c>
      <c r="W902">
        <f t="shared" si="251"/>
        <v>23.8</v>
      </c>
      <c r="X902" t="str">
        <f t="shared" si="252"/>
        <v>No</v>
      </c>
      <c r="Y902" s="2">
        <v>34913</v>
      </c>
      <c r="Z902" t="str">
        <f t="shared" si="238"/>
        <v/>
      </c>
      <c r="AA902" t="str">
        <f t="shared" si="253"/>
        <v/>
      </c>
      <c r="AB902" t="str" cm="1">
        <f t="array" ref="AB902">_xlfn.IFS(Y902&lt;DATE(1996,1,1),"",Y902&lt;DATE(1996,4,1),"Q1",Y902&lt;DATE(1996,7,1),"Q2",Y902&gt;=DATE(1996,7,1),"")</f>
        <v/>
      </c>
    </row>
    <row r="903" spans="1:28" ht="14.4" x14ac:dyDescent="0.55000000000000004">
      <c r="A903" t="str">
        <f>VLOOKUP(L903,Customers!$A$2:$B$92,2,FALSE)</f>
        <v>Que Delícia</v>
      </c>
      <c r="B903" t="str">
        <f>VLOOKUP(L903,Customers!$A$2:$C$92,3,TRUE)</f>
        <v>Bernardo Batista</v>
      </c>
      <c r="C903" t="str">
        <f t="shared" si="239"/>
        <v>Bernardo</v>
      </c>
      <c r="D903" s="8" t="str">
        <f t="shared" si="240"/>
        <v>Batista</v>
      </c>
      <c r="E903" s="8" t="str">
        <f t="shared" si="241"/>
        <v>Batista, Bernardo</v>
      </c>
      <c r="F903" s="8" t="str">
        <f t="shared" si="242"/>
        <v>Batista, Bernardo</v>
      </c>
      <c r="G903" s="8" t="str">
        <f t="shared" si="243"/>
        <v>not an outlier</v>
      </c>
      <c r="H903" s="8" t="str">
        <f t="shared" si="244"/>
        <v>Not</v>
      </c>
      <c r="I903" s="8" t="str">
        <f t="shared" si="254"/>
        <v>no</v>
      </c>
      <c r="J903" s="10" t="str">
        <f t="shared" si="245"/>
        <v>no</v>
      </c>
      <c r="K903" s="10" t="str">
        <f t="shared" si="246"/>
        <v>no</v>
      </c>
      <c r="L903" t="s">
        <v>462</v>
      </c>
      <c r="M903">
        <v>10587</v>
      </c>
      <c r="N903">
        <v>26</v>
      </c>
      <c r="O903" t="s">
        <v>751</v>
      </c>
      <c r="P903" t="str">
        <f t="shared" si="247"/>
        <v>QUEDE_10587_Gumbär Gummibärchen</v>
      </c>
      <c r="Q903" t="str">
        <f t="shared" si="248"/>
        <v>10587</v>
      </c>
      <c r="R903" t="str">
        <f t="shared" si="249"/>
        <v>10587</v>
      </c>
      <c r="S903" t="str">
        <f t="shared" si="250"/>
        <v>Gumbär Gummibärchen</v>
      </c>
      <c r="T903">
        <v>31.23</v>
      </c>
      <c r="U903">
        <v>6</v>
      </c>
      <c r="V903">
        <v>0</v>
      </c>
      <c r="W903">
        <f t="shared" si="251"/>
        <v>187.38</v>
      </c>
      <c r="X903" t="str">
        <f t="shared" si="252"/>
        <v>No</v>
      </c>
      <c r="Y903" s="2">
        <v>34913</v>
      </c>
      <c r="Z903" t="str">
        <f t="shared" si="238"/>
        <v/>
      </c>
      <c r="AA903" t="str">
        <f t="shared" si="253"/>
        <v/>
      </c>
      <c r="AB903" t="str" cm="1">
        <f t="array" ref="AB903">_xlfn.IFS(Y903&lt;DATE(1996,1,1),"",Y903&lt;DATE(1996,4,1),"Q1",Y903&lt;DATE(1996,7,1),"Q2",Y903&gt;=DATE(1996,7,1),"")</f>
        <v/>
      </c>
    </row>
    <row r="904" spans="1:28" ht="14.4" x14ac:dyDescent="0.55000000000000004">
      <c r="A904" t="str">
        <f>VLOOKUP(L904,Customers!$A$2:$B$92,2,FALSE)</f>
        <v>Que Delícia</v>
      </c>
      <c r="B904" t="str">
        <f>VLOOKUP(L904,Customers!$A$2:$C$92,3,TRUE)</f>
        <v>Bernardo Batista</v>
      </c>
      <c r="C904" t="str">
        <f t="shared" si="239"/>
        <v>Bernardo</v>
      </c>
      <c r="D904" s="8" t="str">
        <f t="shared" si="240"/>
        <v>Batista</v>
      </c>
      <c r="E904" s="8" t="str">
        <f t="shared" si="241"/>
        <v>Batista, Bernardo</v>
      </c>
      <c r="F904" s="8" t="str">
        <f t="shared" si="242"/>
        <v>Batista, Bernardo</v>
      </c>
      <c r="G904" s="8" t="str">
        <f t="shared" si="243"/>
        <v>not an outlier</v>
      </c>
      <c r="H904" s="8" t="str">
        <f t="shared" si="244"/>
        <v>Not</v>
      </c>
      <c r="I904" s="8" t="str">
        <f t="shared" si="254"/>
        <v>no</v>
      </c>
      <c r="J904" s="10" t="str">
        <f t="shared" si="245"/>
        <v>no</v>
      </c>
      <c r="K904" s="10" t="str">
        <f t="shared" si="246"/>
        <v>no</v>
      </c>
      <c r="L904" t="s">
        <v>462</v>
      </c>
      <c r="M904">
        <v>10587</v>
      </c>
      <c r="N904">
        <v>35</v>
      </c>
      <c r="O904" t="s">
        <v>714</v>
      </c>
      <c r="P904" t="str">
        <f t="shared" si="247"/>
        <v>QUEDE_10587_Steeleye Stout</v>
      </c>
      <c r="Q904" t="str">
        <f t="shared" si="248"/>
        <v>10587</v>
      </c>
      <c r="R904" t="str">
        <f t="shared" si="249"/>
        <v>10587</v>
      </c>
      <c r="S904" t="str">
        <f t="shared" si="250"/>
        <v>Steeleye Stout</v>
      </c>
      <c r="T904">
        <v>18</v>
      </c>
      <c r="U904">
        <v>20</v>
      </c>
      <c r="V904">
        <v>0</v>
      </c>
      <c r="W904">
        <f t="shared" si="251"/>
        <v>360</v>
      </c>
      <c r="X904" t="str">
        <f t="shared" si="252"/>
        <v>No</v>
      </c>
      <c r="Y904" s="2">
        <v>34913</v>
      </c>
      <c r="Z904" t="str">
        <f t="shared" si="238"/>
        <v/>
      </c>
      <c r="AA904" t="str">
        <f t="shared" si="253"/>
        <v/>
      </c>
      <c r="AB904" t="str" cm="1">
        <f t="array" ref="AB904">_xlfn.IFS(Y904&lt;DATE(1996,1,1),"",Y904&lt;DATE(1996,4,1),"Q1",Y904&lt;DATE(1996,7,1),"Q2",Y904&gt;=DATE(1996,7,1),"")</f>
        <v/>
      </c>
    </row>
    <row r="905" spans="1:28" ht="14.4" x14ac:dyDescent="0.55000000000000004">
      <c r="A905" t="str">
        <f>VLOOKUP(L905,Customers!$A$2:$B$92,2,FALSE)</f>
        <v>Que Delícia</v>
      </c>
      <c r="B905" t="str">
        <f>VLOOKUP(L905,Customers!$A$2:$C$92,3,TRUE)</f>
        <v>Bernardo Batista</v>
      </c>
      <c r="C905" t="str">
        <f t="shared" si="239"/>
        <v>Bernardo</v>
      </c>
      <c r="D905" s="8" t="str">
        <f t="shared" si="240"/>
        <v>Batista</v>
      </c>
      <c r="E905" s="8" t="str">
        <f t="shared" si="241"/>
        <v>Batista, Bernardo</v>
      </c>
      <c r="F905" s="8" t="str">
        <f t="shared" si="242"/>
        <v>Batista, Bernardo</v>
      </c>
      <c r="G905" s="8" t="str">
        <f t="shared" si="243"/>
        <v>not an outlier</v>
      </c>
      <c r="H905" s="8" t="str">
        <f t="shared" si="244"/>
        <v>Not</v>
      </c>
      <c r="I905" s="8" t="str">
        <f t="shared" si="254"/>
        <v>no</v>
      </c>
      <c r="J905" s="10" t="str">
        <f t="shared" si="245"/>
        <v>no</v>
      </c>
      <c r="K905" s="10" t="str">
        <f t="shared" si="246"/>
        <v>no</v>
      </c>
      <c r="L905" t="s">
        <v>462</v>
      </c>
      <c r="M905">
        <v>10587</v>
      </c>
      <c r="N905">
        <v>77</v>
      </c>
      <c r="O905" t="s">
        <v>706</v>
      </c>
      <c r="P905" t="str">
        <f t="shared" si="247"/>
        <v>QUEDE_10587_Original Frankfurter grüne Soße</v>
      </c>
      <c r="Q905" t="str">
        <f t="shared" si="248"/>
        <v>10587</v>
      </c>
      <c r="R905" t="str">
        <f t="shared" si="249"/>
        <v>10587</v>
      </c>
      <c r="S905" t="str">
        <f t="shared" si="250"/>
        <v>Original Frankfurter grüne Soße</v>
      </c>
      <c r="T905">
        <v>13</v>
      </c>
      <c r="U905">
        <v>20</v>
      </c>
      <c r="V905">
        <v>0</v>
      </c>
      <c r="W905">
        <f t="shared" si="251"/>
        <v>260</v>
      </c>
      <c r="X905" t="str">
        <f t="shared" si="252"/>
        <v>No</v>
      </c>
      <c r="Y905" s="2">
        <v>34913</v>
      </c>
      <c r="Z905" t="str">
        <f t="shared" si="238"/>
        <v/>
      </c>
      <c r="AA905" t="str">
        <f t="shared" si="253"/>
        <v/>
      </c>
      <c r="AB905" t="str" cm="1">
        <f t="array" ref="AB905">_xlfn.IFS(Y905&lt;DATE(1996,1,1),"",Y905&lt;DATE(1996,4,1),"Q1",Y905&lt;DATE(1996,7,1),"Q2",Y905&gt;=DATE(1996,7,1),"")</f>
        <v/>
      </c>
    </row>
    <row r="906" spans="1:28" ht="14.4" x14ac:dyDescent="0.55000000000000004">
      <c r="A906" t="str">
        <f>VLOOKUP(L906,Customers!$A$2:$B$92,2,FALSE)</f>
        <v>QUICK-Stop</v>
      </c>
      <c r="B906" t="str">
        <f>VLOOKUP(L906,Customers!$A$2:$C$92,3,TRUE)</f>
        <v>Horst Kloss</v>
      </c>
      <c r="C906" t="str">
        <f t="shared" si="239"/>
        <v>Horst</v>
      </c>
      <c r="D906" s="8" t="str">
        <f t="shared" si="240"/>
        <v>Kloss</v>
      </c>
      <c r="E906" s="8" t="str">
        <f t="shared" si="241"/>
        <v>Kloss, Horst</v>
      </c>
      <c r="F906" s="8" t="str">
        <f t="shared" si="242"/>
        <v>Kloss, Horst</v>
      </c>
      <c r="G906" s="8" t="str">
        <f t="shared" si="243"/>
        <v>not an outlier</v>
      </c>
      <c r="H906" s="8" t="str">
        <f t="shared" si="244"/>
        <v>Not</v>
      </c>
      <c r="I906" s="8" t="str">
        <f t="shared" si="254"/>
        <v>no</v>
      </c>
      <c r="J906" s="10" t="str">
        <f t="shared" si="245"/>
        <v>no</v>
      </c>
      <c r="K906" s="10" t="str">
        <f t="shared" si="246"/>
        <v>no</v>
      </c>
      <c r="L906" t="s">
        <v>475</v>
      </c>
      <c r="M906">
        <v>10588</v>
      </c>
      <c r="N906">
        <v>18</v>
      </c>
      <c r="O906" t="s">
        <v>742</v>
      </c>
      <c r="P906" t="str">
        <f t="shared" si="247"/>
        <v>QUICK_10588_Carnarvon Tigers</v>
      </c>
      <c r="Q906" t="str">
        <f t="shared" si="248"/>
        <v>10588</v>
      </c>
      <c r="R906" t="str">
        <f t="shared" si="249"/>
        <v>10588</v>
      </c>
      <c r="S906" t="str">
        <f t="shared" si="250"/>
        <v>Carnarvon Tigers</v>
      </c>
      <c r="T906">
        <v>62.5</v>
      </c>
      <c r="U906">
        <v>40</v>
      </c>
      <c r="V906">
        <v>0.2</v>
      </c>
      <c r="W906">
        <f t="shared" si="251"/>
        <v>2000</v>
      </c>
      <c r="X906" t="str">
        <f t="shared" si="252"/>
        <v>No</v>
      </c>
      <c r="Y906" s="2">
        <v>34914</v>
      </c>
      <c r="Z906" t="str">
        <f t="shared" si="238"/>
        <v/>
      </c>
      <c r="AA906" t="str">
        <f t="shared" si="253"/>
        <v/>
      </c>
      <c r="AB906" t="str" cm="1">
        <f t="array" ref="AB906">_xlfn.IFS(Y906&lt;DATE(1996,1,1),"",Y906&lt;DATE(1996,4,1),"Q1",Y906&lt;DATE(1996,7,1),"Q2",Y906&gt;=DATE(1996,7,1),"")</f>
        <v/>
      </c>
    </row>
    <row r="907" spans="1:28" ht="14.4" x14ac:dyDescent="0.55000000000000004">
      <c r="A907" t="str">
        <f>VLOOKUP(L907,Customers!$A$2:$B$92,2,FALSE)</f>
        <v>QUICK-Stop</v>
      </c>
      <c r="B907" t="str">
        <f>VLOOKUP(L907,Customers!$A$2:$C$92,3,TRUE)</f>
        <v>Horst Kloss</v>
      </c>
      <c r="C907" t="str">
        <f t="shared" si="239"/>
        <v>Horst</v>
      </c>
      <c r="D907" s="8" t="str">
        <f t="shared" si="240"/>
        <v>Kloss</v>
      </c>
      <c r="E907" s="8" t="str">
        <f t="shared" si="241"/>
        <v>Kloss, Horst</v>
      </c>
      <c r="F907" s="8" t="str">
        <f t="shared" si="242"/>
        <v>Kloss, Horst</v>
      </c>
      <c r="G907" s="8" t="str">
        <f t="shared" si="243"/>
        <v>not an outlier</v>
      </c>
      <c r="H907" s="8" t="str">
        <f t="shared" si="244"/>
        <v>Not</v>
      </c>
      <c r="I907" s="8" t="str">
        <f t="shared" si="254"/>
        <v>no</v>
      </c>
      <c r="J907" s="10" t="str">
        <f t="shared" si="245"/>
        <v>no</v>
      </c>
      <c r="K907" s="10" t="str">
        <f t="shared" si="246"/>
        <v>no</v>
      </c>
      <c r="L907" t="s">
        <v>475</v>
      </c>
      <c r="M907">
        <v>10588</v>
      </c>
      <c r="N907">
        <v>42</v>
      </c>
      <c r="O907" t="s">
        <v>684</v>
      </c>
      <c r="P907" t="str">
        <f t="shared" si="247"/>
        <v>QUICK_10588_Singaporean Hokkien Fried Mee</v>
      </c>
      <c r="Q907" t="str">
        <f t="shared" si="248"/>
        <v>10588</v>
      </c>
      <c r="R907" t="str">
        <f t="shared" si="249"/>
        <v>10588</v>
      </c>
      <c r="S907" t="str">
        <f t="shared" si="250"/>
        <v>Singaporean Hokkien Fried Mee</v>
      </c>
      <c r="T907">
        <v>14</v>
      </c>
      <c r="U907">
        <v>100</v>
      </c>
      <c r="V907">
        <v>0.2</v>
      </c>
      <c r="W907">
        <f t="shared" si="251"/>
        <v>1120</v>
      </c>
      <c r="X907" t="str">
        <f t="shared" si="252"/>
        <v>No</v>
      </c>
      <c r="Y907" s="2">
        <v>34914</v>
      </c>
      <c r="Z907" t="str">
        <f t="shared" si="238"/>
        <v/>
      </c>
      <c r="AA907" t="str">
        <f t="shared" si="253"/>
        <v/>
      </c>
      <c r="AB907" t="str" cm="1">
        <f t="array" ref="AB907">_xlfn.IFS(Y907&lt;DATE(1996,1,1),"",Y907&lt;DATE(1996,4,1),"Q1",Y907&lt;DATE(1996,7,1),"Q2",Y907&gt;=DATE(1996,7,1),"")</f>
        <v/>
      </c>
    </row>
    <row r="908" spans="1:28" ht="14.4" x14ac:dyDescent="0.55000000000000004">
      <c r="A908" t="str">
        <f>VLOOKUP(L908,Customers!$A$2:$B$92,2,FALSE)</f>
        <v>Great Lakes Food Market</v>
      </c>
      <c r="B908" t="str">
        <f>VLOOKUP(L908,Customers!$A$2:$C$92,3,TRUE)</f>
        <v>Howard Snyder</v>
      </c>
      <c r="C908" t="str">
        <f t="shared" si="239"/>
        <v>Howard</v>
      </c>
      <c r="D908" s="8" t="str">
        <f t="shared" si="240"/>
        <v>Snyder</v>
      </c>
      <c r="E908" s="8" t="str">
        <f t="shared" si="241"/>
        <v>Snyder, Howard</v>
      </c>
      <c r="F908" s="8" t="str">
        <f t="shared" si="242"/>
        <v>Snyder, Howard</v>
      </c>
      <c r="G908" s="8" t="str">
        <f t="shared" si="243"/>
        <v>not an outlier</v>
      </c>
      <c r="H908" s="8" t="str">
        <f t="shared" si="244"/>
        <v>Not</v>
      </c>
      <c r="I908" s="8" t="str">
        <f t="shared" si="254"/>
        <v>no</v>
      </c>
      <c r="J908" s="10" t="str">
        <f t="shared" si="245"/>
        <v>no</v>
      </c>
      <c r="K908" s="10" t="str">
        <f t="shared" si="246"/>
        <v>no</v>
      </c>
      <c r="L908" t="s">
        <v>247</v>
      </c>
      <c r="M908">
        <v>10589</v>
      </c>
      <c r="N908">
        <v>35</v>
      </c>
      <c r="O908" t="s">
        <v>714</v>
      </c>
      <c r="P908" t="str">
        <f t="shared" si="247"/>
        <v>GREAL_10589_Steeleye Stout</v>
      </c>
      <c r="Q908" t="str">
        <f t="shared" si="248"/>
        <v>10589</v>
      </c>
      <c r="R908" t="str">
        <f t="shared" si="249"/>
        <v>10589</v>
      </c>
      <c r="S908" t="str">
        <f t="shared" si="250"/>
        <v>Steeleye Stout</v>
      </c>
      <c r="T908">
        <v>18</v>
      </c>
      <c r="U908">
        <v>4</v>
      </c>
      <c r="V908">
        <v>0</v>
      </c>
      <c r="W908">
        <f t="shared" si="251"/>
        <v>72</v>
      </c>
      <c r="X908" t="str">
        <f t="shared" si="252"/>
        <v>No</v>
      </c>
      <c r="Y908" s="2">
        <v>34915</v>
      </c>
      <c r="Z908" t="str">
        <f t="shared" si="238"/>
        <v/>
      </c>
      <c r="AA908" t="str">
        <f t="shared" si="253"/>
        <v/>
      </c>
      <c r="AB908" t="str" cm="1">
        <f t="array" ref="AB908">_xlfn.IFS(Y908&lt;DATE(1996,1,1),"",Y908&lt;DATE(1996,4,1),"Q1",Y908&lt;DATE(1996,7,1),"Q2",Y908&gt;=DATE(1996,7,1),"")</f>
        <v/>
      </c>
    </row>
    <row r="909" spans="1:28" ht="14.4" x14ac:dyDescent="0.55000000000000004">
      <c r="A909" t="str">
        <f>VLOOKUP(L909,Customers!$A$2:$B$92,2,FALSE)</f>
        <v>Mère Paillarde</v>
      </c>
      <c r="B909" t="str">
        <f>VLOOKUP(L909,Customers!$A$2:$C$92,3,TRUE)</f>
        <v>Jean Fresnière</v>
      </c>
      <c r="C909" t="str">
        <f t="shared" si="239"/>
        <v>Jean</v>
      </c>
      <c r="D909" s="8" t="str">
        <f t="shared" si="240"/>
        <v>Fresnière</v>
      </c>
      <c r="E909" s="8" t="str">
        <f t="shared" si="241"/>
        <v>Fresnière, Jean</v>
      </c>
      <c r="F909" s="8" t="str">
        <f t="shared" si="242"/>
        <v>Fresnière, Jean</v>
      </c>
      <c r="G909" s="8" t="str">
        <f t="shared" si="243"/>
        <v>not an outlier</v>
      </c>
      <c r="H909" s="8" t="str">
        <f t="shared" si="244"/>
        <v>Not</v>
      </c>
      <c r="I909" s="8" t="str">
        <f t="shared" si="254"/>
        <v>no</v>
      </c>
      <c r="J909" s="10" t="str">
        <f t="shared" si="245"/>
        <v>no</v>
      </c>
      <c r="K909" s="10" t="str">
        <f t="shared" si="246"/>
        <v>no</v>
      </c>
      <c r="L909" t="s">
        <v>394</v>
      </c>
      <c r="M909">
        <v>10590</v>
      </c>
      <c r="N909">
        <v>1</v>
      </c>
      <c r="O909" t="s">
        <v>735</v>
      </c>
      <c r="P909" t="str">
        <f t="shared" si="247"/>
        <v>MEREP_10590_Chai</v>
      </c>
      <c r="Q909" t="str">
        <f t="shared" si="248"/>
        <v>10590</v>
      </c>
      <c r="R909" t="str">
        <f t="shared" si="249"/>
        <v>10590</v>
      </c>
      <c r="S909" t="str">
        <f t="shared" si="250"/>
        <v>Chai</v>
      </c>
      <c r="T909">
        <v>18</v>
      </c>
      <c r="U909">
        <v>20</v>
      </c>
      <c r="V909">
        <v>0</v>
      </c>
      <c r="W909">
        <f t="shared" si="251"/>
        <v>360</v>
      </c>
      <c r="X909" t="str">
        <f t="shared" si="252"/>
        <v>No</v>
      </c>
      <c r="Y909" s="2">
        <v>34918</v>
      </c>
      <c r="Z909" t="str">
        <f t="shared" si="238"/>
        <v/>
      </c>
      <c r="AA909" t="str">
        <f t="shared" si="253"/>
        <v/>
      </c>
      <c r="AB909" t="str" cm="1">
        <f t="array" ref="AB909">_xlfn.IFS(Y909&lt;DATE(1996,1,1),"",Y909&lt;DATE(1996,4,1),"Q1",Y909&lt;DATE(1996,7,1),"Q2",Y909&gt;=DATE(1996,7,1),"")</f>
        <v/>
      </c>
    </row>
    <row r="910" spans="1:28" ht="14.4" x14ac:dyDescent="0.55000000000000004">
      <c r="A910" t="str">
        <f>VLOOKUP(L910,Customers!$A$2:$B$92,2,FALSE)</f>
        <v>Mère Paillarde</v>
      </c>
      <c r="B910" t="str">
        <f>VLOOKUP(L910,Customers!$A$2:$C$92,3,TRUE)</f>
        <v>Jean Fresnière</v>
      </c>
      <c r="C910" t="str">
        <f t="shared" si="239"/>
        <v>Jean</v>
      </c>
      <c r="D910" s="8" t="str">
        <f t="shared" si="240"/>
        <v>Fresnière</v>
      </c>
      <c r="E910" s="8" t="str">
        <f t="shared" si="241"/>
        <v>Fresnière, Jean</v>
      </c>
      <c r="F910" s="8" t="str">
        <f t="shared" si="242"/>
        <v>Fresnière, Jean</v>
      </c>
      <c r="G910" s="8" t="str">
        <f t="shared" si="243"/>
        <v>not an outlier</v>
      </c>
      <c r="H910" s="8" t="str">
        <f t="shared" si="244"/>
        <v>Not</v>
      </c>
      <c r="I910" s="8" t="str">
        <f t="shared" si="254"/>
        <v>no</v>
      </c>
      <c r="J910" s="10" t="str">
        <f t="shared" si="245"/>
        <v>no</v>
      </c>
      <c r="K910" s="10" t="str">
        <f t="shared" si="246"/>
        <v>no</v>
      </c>
      <c r="L910" t="s">
        <v>394</v>
      </c>
      <c r="M910">
        <v>10590</v>
      </c>
      <c r="N910">
        <v>77</v>
      </c>
      <c r="O910" t="s">
        <v>706</v>
      </c>
      <c r="P910" t="str">
        <f t="shared" si="247"/>
        <v>MEREP_10590_Original Frankfurter grüne Soße</v>
      </c>
      <c r="Q910" t="str">
        <f t="shared" si="248"/>
        <v>10590</v>
      </c>
      <c r="R910" t="str">
        <f t="shared" si="249"/>
        <v>10590</v>
      </c>
      <c r="S910" t="str">
        <f t="shared" si="250"/>
        <v>Original Frankfurter grüne Soße</v>
      </c>
      <c r="T910">
        <v>13</v>
      </c>
      <c r="U910">
        <v>60</v>
      </c>
      <c r="V910">
        <v>0.05</v>
      </c>
      <c r="W910">
        <f t="shared" si="251"/>
        <v>741</v>
      </c>
      <c r="X910" t="str">
        <f t="shared" si="252"/>
        <v>No</v>
      </c>
      <c r="Y910" s="2">
        <v>34918</v>
      </c>
      <c r="Z910" t="str">
        <f t="shared" si="238"/>
        <v/>
      </c>
      <c r="AA910" t="str">
        <f t="shared" si="253"/>
        <v/>
      </c>
      <c r="AB910" t="str" cm="1">
        <f t="array" ref="AB910">_xlfn.IFS(Y910&lt;DATE(1996,1,1),"",Y910&lt;DATE(1996,4,1),"Q1",Y910&lt;DATE(1996,7,1),"Q2",Y910&gt;=DATE(1996,7,1),"")</f>
        <v/>
      </c>
    </row>
    <row r="911" spans="1:28" ht="14.4" x14ac:dyDescent="0.55000000000000004">
      <c r="A911" t="str">
        <f>VLOOKUP(L911,Customers!$A$2:$B$92,2,FALSE)</f>
        <v>Vaffeljernet</v>
      </c>
      <c r="B911" t="str">
        <f>VLOOKUP(L911,Customers!$A$2:$C$92,3,TRUE)</f>
        <v>Palle Ibsen</v>
      </c>
      <c r="C911" t="str">
        <f t="shared" si="239"/>
        <v>Palle</v>
      </c>
      <c r="D911" s="8" t="str">
        <f t="shared" si="240"/>
        <v>Ibsen</v>
      </c>
      <c r="E911" s="8" t="str">
        <f t="shared" si="241"/>
        <v>Ibsen, Palle</v>
      </c>
      <c r="F911" s="8" t="str">
        <f t="shared" si="242"/>
        <v>Ibsen, Palle</v>
      </c>
      <c r="G911" s="8" t="str">
        <f t="shared" si="243"/>
        <v>not an outlier</v>
      </c>
      <c r="H911" s="8" t="str">
        <f t="shared" si="244"/>
        <v>Not</v>
      </c>
      <c r="I911" s="8" t="str">
        <f t="shared" si="254"/>
        <v>no</v>
      </c>
      <c r="J911" s="10" t="str">
        <f t="shared" si="245"/>
        <v>no</v>
      </c>
      <c r="K911" s="10" t="str">
        <f t="shared" si="246"/>
        <v>no</v>
      </c>
      <c r="L911" t="s">
        <v>612</v>
      </c>
      <c r="M911">
        <v>10591</v>
      </c>
      <c r="N911">
        <v>3</v>
      </c>
      <c r="O911" t="s">
        <v>740</v>
      </c>
      <c r="P911" t="str">
        <f t="shared" si="247"/>
        <v>VAFFE_10591_Aniseed Syrup</v>
      </c>
      <c r="Q911" t="str">
        <f t="shared" si="248"/>
        <v>10591</v>
      </c>
      <c r="R911" t="str">
        <f t="shared" si="249"/>
        <v>10591</v>
      </c>
      <c r="S911" t="str">
        <f t="shared" si="250"/>
        <v>Aniseed Syrup</v>
      </c>
      <c r="T911">
        <v>10</v>
      </c>
      <c r="U911">
        <v>14</v>
      </c>
      <c r="V911">
        <v>0</v>
      </c>
      <c r="W911">
        <f t="shared" si="251"/>
        <v>140</v>
      </c>
      <c r="X911" t="str">
        <f t="shared" si="252"/>
        <v>No</v>
      </c>
      <c r="Y911" s="2">
        <v>34918</v>
      </c>
      <c r="Z911" t="str">
        <f t="shared" si="238"/>
        <v/>
      </c>
      <c r="AA911" t="str">
        <f t="shared" si="253"/>
        <v/>
      </c>
      <c r="AB911" t="str" cm="1">
        <f t="array" ref="AB911">_xlfn.IFS(Y911&lt;DATE(1996,1,1),"",Y911&lt;DATE(1996,4,1),"Q1",Y911&lt;DATE(1996,7,1),"Q2",Y911&gt;=DATE(1996,7,1),"")</f>
        <v/>
      </c>
    </row>
    <row r="912" spans="1:28" ht="14.4" x14ac:dyDescent="0.55000000000000004">
      <c r="A912" t="str">
        <f>VLOOKUP(L912,Customers!$A$2:$B$92,2,FALSE)</f>
        <v>Vaffeljernet</v>
      </c>
      <c r="B912" t="str">
        <f>VLOOKUP(L912,Customers!$A$2:$C$92,3,TRUE)</f>
        <v>Palle Ibsen</v>
      </c>
      <c r="C912" t="str">
        <f t="shared" si="239"/>
        <v>Palle</v>
      </c>
      <c r="D912" s="8" t="str">
        <f t="shared" si="240"/>
        <v>Ibsen</v>
      </c>
      <c r="E912" s="8" t="str">
        <f t="shared" si="241"/>
        <v>Ibsen, Palle</v>
      </c>
      <c r="F912" s="8" t="str">
        <f t="shared" si="242"/>
        <v>Ibsen, Palle</v>
      </c>
      <c r="G912" s="8" t="str">
        <f t="shared" si="243"/>
        <v>not an outlier</v>
      </c>
      <c r="H912" s="8" t="str">
        <f t="shared" si="244"/>
        <v>Not</v>
      </c>
      <c r="I912" s="8" t="str">
        <f t="shared" si="254"/>
        <v>no</v>
      </c>
      <c r="J912" s="10" t="str">
        <f t="shared" si="245"/>
        <v>no</v>
      </c>
      <c r="K912" s="10" t="str">
        <f t="shared" si="246"/>
        <v>no</v>
      </c>
      <c r="L912" t="s">
        <v>612</v>
      </c>
      <c r="M912">
        <v>10591</v>
      </c>
      <c r="N912">
        <v>7</v>
      </c>
      <c r="O912" t="s">
        <v>715</v>
      </c>
      <c r="P912" t="str">
        <f t="shared" si="247"/>
        <v>VAFFE_10591_Uncle Bob's Organic Dried Pears</v>
      </c>
      <c r="Q912" t="str">
        <f t="shared" si="248"/>
        <v>10591</v>
      </c>
      <c r="R912" t="str">
        <f t="shared" si="249"/>
        <v>10591</v>
      </c>
      <c r="S912" t="str">
        <f t="shared" si="250"/>
        <v>Uncle Bob's Organic Dried Pears</v>
      </c>
      <c r="T912">
        <v>30</v>
      </c>
      <c r="U912">
        <v>10</v>
      </c>
      <c r="V912">
        <v>0</v>
      </c>
      <c r="W912">
        <f t="shared" si="251"/>
        <v>300</v>
      </c>
      <c r="X912" t="str">
        <f t="shared" si="252"/>
        <v>No</v>
      </c>
      <c r="Y912" s="2">
        <v>34918</v>
      </c>
      <c r="Z912" t="str">
        <f t="shared" si="238"/>
        <v/>
      </c>
      <c r="AA912" t="str">
        <f t="shared" si="253"/>
        <v/>
      </c>
      <c r="AB912" t="str" cm="1">
        <f t="array" ref="AB912">_xlfn.IFS(Y912&lt;DATE(1996,1,1),"",Y912&lt;DATE(1996,4,1),"Q1",Y912&lt;DATE(1996,7,1),"Q2",Y912&gt;=DATE(1996,7,1),"")</f>
        <v/>
      </c>
    </row>
    <row r="913" spans="1:28" ht="14.4" x14ac:dyDescent="0.55000000000000004">
      <c r="A913" t="str">
        <f>VLOOKUP(L913,Customers!$A$2:$B$92,2,FALSE)</f>
        <v>Vaffeljernet</v>
      </c>
      <c r="B913" t="str">
        <f>VLOOKUP(L913,Customers!$A$2:$C$92,3,TRUE)</f>
        <v>Palle Ibsen</v>
      </c>
      <c r="C913" t="str">
        <f t="shared" si="239"/>
        <v>Palle</v>
      </c>
      <c r="D913" s="8" t="str">
        <f t="shared" si="240"/>
        <v>Ibsen</v>
      </c>
      <c r="E913" s="8" t="str">
        <f t="shared" si="241"/>
        <v>Ibsen, Palle</v>
      </c>
      <c r="F913" s="8" t="str">
        <f t="shared" si="242"/>
        <v>Ibsen, Palle</v>
      </c>
      <c r="G913" s="8" t="str">
        <f t="shared" si="243"/>
        <v>not an outlier</v>
      </c>
      <c r="H913" s="8" t="str">
        <f t="shared" si="244"/>
        <v>Not</v>
      </c>
      <c r="I913" s="8" t="str">
        <f t="shared" si="254"/>
        <v>no</v>
      </c>
      <c r="J913" s="10" t="str">
        <f t="shared" si="245"/>
        <v>no</v>
      </c>
      <c r="K913" s="10" t="str">
        <f t="shared" si="246"/>
        <v>no</v>
      </c>
      <c r="L913" t="s">
        <v>612</v>
      </c>
      <c r="M913">
        <v>10591</v>
      </c>
      <c r="N913">
        <v>54</v>
      </c>
      <c r="O913" t="s">
        <v>738</v>
      </c>
      <c r="P913" t="str">
        <f t="shared" si="247"/>
        <v>VAFFE_10591_Tourtière</v>
      </c>
      <c r="Q913" t="str">
        <f t="shared" si="248"/>
        <v>10591</v>
      </c>
      <c r="R913" t="str">
        <f t="shared" si="249"/>
        <v>10591</v>
      </c>
      <c r="S913" t="str">
        <f t="shared" si="250"/>
        <v>Tourtière</v>
      </c>
      <c r="T913">
        <v>7.45</v>
      </c>
      <c r="U913">
        <v>50</v>
      </c>
      <c r="V913">
        <v>0</v>
      </c>
      <c r="W913">
        <f t="shared" si="251"/>
        <v>372.5</v>
      </c>
      <c r="X913" t="str">
        <f t="shared" si="252"/>
        <v>No</v>
      </c>
      <c r="Y913" s="2">
        <v>34918</v>
      </c>
      <c r="Z913" t="str">
        <f t="shared" si="238"/>
        <v/>
      </c>
      <c r="AA913" t="str">
        <f t="shared" si="253"/>
        <v/>
      </c>
      <c r="AB913" t="str" cm="1">
        <f t="array" ref="AB913">_xlfn.IFS(Y913&lt;DATE(1996,1,1),"",Y913&lt;DATE(1996,4,1),"Q1",Y913&lt;DATE(1996,7,1),"Q2",Y913&gt;=DATE(1996,7,1),"")</f>
        <v/>
      </c>
    </row>
    <row r="914" spans="1:28" ht="14.4" x14ac:dyDescent="0.55000000000000004">
      <c r="A914" t="str">
        <f>VLOOKUP(L914,Customers!$A$2:$B$92,2,FALSE)</f>
        <v>Lehmanns Marktstand</v>
      </c>
      <c r="B914" t="str">
        <f>VLOOKUP(L914,Customers!$A$2:$C$92,3,TRUE)</f>
        <v>Renate Messner</v>
      </c>
      <c r="C914" t="str">
        <f t="shared" si="239"/>
        <v>Renate</v>
      </c>
      <c r="D914" s="8" t="str">
        <f t="shared" si="240"/>
        <v>Messner</v>
      </c>
      <c r="E914" s="8" t="str">
        <f t="shared" si="241"/>
        <v>Messner, Renate</v>
      </c>
      <c r="F914" s="8" t="str">
        <f t="shared" si="242"/>
        <v>Messner, Renate</v>
      </c>
      <c r="G914" s="8" t="str">
        <f t="shared" si="243"/>
        <v>not an outlier</v>
      </c>
      <c r="H914" s="8" t="str">
        <f t="shared" si="244"/>
        <v>Not</v>
      </c>
      <c r="I914" s="8" t="str">
        <f t="shared" si="254"/>
        <v>no</v>
      </c>
      <c r="J914" s="10" t="str">
        <f t="shared" si="245"/>
        <v>no</v>
      </c>
      <c r="K914" s="10" t="str">
        <f t="shared" si="246"/>
        <v>no</v>
      </c>
      <c r="L914" t="s">
        <v>341</v>
      </c>
      <c r="M914">
        <v>10592</v>
      </c>
      <c r="N914">
        <v>15</v>
      </c>
      <c r="O914" t="s">
        <v>733</v>
      </c>
      <c r="P914" t="str">
        <f t="shared" si="247"/>
        <v>LEHMS_10592_Genen Shouyu</v>
      </c>
      <c r="Q914" t="str">
        <f t="shared" si="248"/>
        <v>10592</v>
      </c>
      <c r="R914" t="str">
        <f t="shared" si="249"/>
        <v>10592</v>
      </c>
      <c r="S914" t="str">
        <f t="shared" si="250"/>
        <v>Genen Shouyu</v>
      </c>
      <c r="T914">
        <v>15.5</v>
      </c>
      <c r="U914">
        <v>25</v>
      </c>
      <c r="V914">
        <v>0.05</v>
      </c>
      <c r="W914">
        <f t="shared" si="251"/>
        <v>368.125</v>
      </c>
      <c r="X914" t="str">
        <f t="shared" si="252"/>
        <v>No</v>
      </c>
      <c r="Y914" s="2">
        <v>34919</v>
      </c>
      <c r="Z914" t="str">
        <f t="shared" si="238"/>
        <v/>
      </c>
      <c r="AA914" t="str">
        <f t="shared" si="253"/>
        <v/>
      </c>
      <c r="AB914" t="str" cm="1">
        <f t="array" ref="AB914">_xlfn.IFS(Y914&lt;DATE(1996,1,1),"",Y914&lt;DATE(1996,4,1),"Q1",Y914&lt;DATE(1996,7,1),"Q2",Y914&gt;=DATE(1996,7,1),"")</f>
        <v/>
      </c>
    </row>
    <row r="915" spans="1:28" ht="14.4" x14ac:dyDescent="0.55000000000000004">
      <c r="A915" t="str">
        <f>VLOOKUP(L915,Customers!$A$2:$B$92,2,FALSE)</f>
        <v>Lehmanns Marktstand</v>
      </c>
      <c r="B915" t="str">
        <f>VLOOKUP(L915,Customers!$A$2:$C$92,3,TRUE)</f>
        <v>Renate Messner</v>
      </c>
      <c r="C915" t="str">
        <f t="shared" si="239"/>
        <v>Renate</v>
      </c>
      <c r="D915" s="8" t="str">
        <f t="shared" si="240"/>
        <v>Messner</v>
      </c>
      <c r="E915" s="8" t="str">
        <f t="shared" si="241"/>
        <v>Messner, Renate</v>
      </c>
      <c r="F915" s="8" t="str">
        <f t="shared" si="242"/>
        <v>Messner, Renate</v>
      </c>
      <c r="G915" s="8" t="str">
        <f t="shared" si="243"/>
        <v>not an outlier</v>
      </c>
      <c r="H915" s="8" t="str">
        <f t="shared" si="244"/>
        <v>Not</v>
      </c>
      <c r="I915" s="8" t="str">
        <f t="shared" si="254"/>
        <v>no</v>
      </c>
      <c r="J915" s="10" t="str">
        <f t="shared" si="245"/>
        <v>no</v>
      </c>
      <c r="K915" s="10" t="str">
        <f t="shared" si="246"/>
        <v>no</v>
      </c>
      <c r="L915" t="s">
        <v>341</v>
      </c>
      <c r="M915">
        <v>10592</v>
      </c>
      <c r="N915">
        <v>26</v>
      </c>
      <c r="O915" t="s">
        <v>751</v>
      </c>
      <c r="P915" t="str">
        <f t="shared" si="247"/>
        <v>LEHMS_10592_Gumbär Gummibärchen</v>
      </c>
      <c r="Q915" t="str">
        <f t="shared" si="248"/>
        <v>10592</v>
      </c>
      <c r="R915" t="str">
        <f t="shared" si="249"/>
        <v>10592</v>
      </c>
      <c r="S915" t="str">
        <f t="shared" si="250"/>
        <v>Gumbär Gummibärchen</v>
      </c>
      <c r="T915">
        <v>31.23</v>
      </c>
      <c r="U915">
        <v>5</v>
      </c>
      <c r="V915">
        <v>0.05</v>
      </c>
      <c r="W915">
        <f t="shared" si="251"/>
        <v>148.3425</v>
      </c>
      <c r="X915" t="str">
        <f t="shared" si="252"/>
        <v>No</v>
      </c>
      <c r="Y915" s="2">
        <v>34919</v>
      </c>
      <c r="Z915" t="str">
        <f t="shared" si="238"/>
        <v/>
      </c>
      <c r="AA915" t="str">
        <f t="shared" si="253"/>
        <v/>
      </c>
      <c r="AB915" t="str" cm="1">
        <f t="array" ref="AB915">_xlfn.IFS(Y915&lt;DATE(1996,1,1),"",Y915&lt;DATE(1996,4,1),"Q1",Y915&lt;DATE(1996,7,1),"Q2",Y915&gt;=DATE(1996,7,1),"")</f>
        <v/>
      </c>
    </row>
    <row r="916" spans="1:28" ht="14.4" x14ac:dyDescent="0.55000000000000004">
      <c r="A916" t="str">
        <f>VLOOKUP(L916,Customers!$A$2:$B$92,2,FALSE)</f>
        <v>Lehmanns Marktstand</v>
      </c>
      <c r="B916" t="str">
        <f>VLOOKUP(L916,Customers!$A$2:$C$92,3,TRUE)</f>
        <v>Renate Messner</v>
      </c>
      <c r="C916" t="str">
        <f t="shared" si="239"/>
        <v>Renate</v>
      </c>
      <c r="D916" s="8" t="str">
        <f t="shared" si="240"/>
        <v>Messner</v>
      </c>
      <c r="E916" s="8" t="str">
        <f t="shared" si="241"/>
        <v>Messner, Renate</v>
      </c>
      <c r="F916" s="8" t="str">
        <f t="shared" si="242"/>
        <v>Messner, Renate</v>
      </c>
      <c r="G916" s="8" t="str">
        <f t="shared" si="243"/>
        <v>not an outlier</v>
      </c>
      <c r="H916" s="8" t="str">
        <f t="shared" si="244"/>
        <v>Not</v>
      </c>
      <c r="I916" s="8" t="str">
        <f t="shared" si="254"/>
        <v>no</v>
      </c>
      <c r="J916" s="10" t="str">
        <f t="shared" si="245"/>
        <v>no</v>
      </c>
      <c r="K916" s="10" t="str">
        <f t="shared" si="246"/>
        <v>no</v>
      </c>
      <c r="L916" t="s">
        <v>341</v>
      </c>
      <c r="M916">
        <v>10593</v>
      </c>
      <c r="N916">
        <v>20</v>
      </c>
      <c r="O916" t="s">
        <v>692</v>
      </c>
      <c r="P916" t="str">
        <f t="shared" si="247"/>
        <v>LEHMS_10593_Sir Rodney's Marmalade</v>
      </c>
      <c r="Q916" t="str">
        <f t="shared" si="248"/>
        <v>10593</v>
      </c>
      <c r="R916" t="str">
        <f t="shared" si="249"/>
        <v>10593</v>
      </c>
      <c r="S916" t="str">
        <f t="shared" si="250"/>
        <v>Sir Rodney's Marmalade</v>
      </c>
      <c r="T916">
        <v>81</v>
      </c>
      <c r="U916">
        <v>21</v>
      </c>
      <c r="V916">
        <v>0.2</v>
      </c>
      <c r="W916">
        <f t="shared" si="251"/>
        <v>1360.8000000000002</v>
      </c>
      <c r="X916" t="str">
        <f t="shared" si="252"/>
        <v>No</v>
      </c>
      <c r="Y916" s="2">
        <v>34920</v>
      </c>
      <c r="Z916" t="str">
        <f t="shared" si="238"/>
        <v/>
      </c>
      <c r="AA916" t="str">
        <f t="shared" si="253"/>
        <v/>
      </c>
      <c r="AB916" t="str" cm="1">
        <f t="array" ref="AB916">_xlfn.IFS(Y916&lt;DATE(1996,1,1),"",Y916&lt;DATE(1996,4,1),"Q1",Y916&lt;DATE(1996,7,1),"Q2",Y916&gt;=DATE(1996,7,1),"")</f>
        <v/>
      </c>
    </row>
    <row r="917" spans="1:28" ht="14.4" x14ac:dyDescent="0.55000000000000004">
      <c r="A917" t="str">
        <f>VLOOKUP(L917,Customers!$A$2:$B$92,2,FALSE)</f>
        <v>Lehmanns Marktstand</v>
      </c>
      <c r="B917" t="str">
        <f>VLOOKUP(L917,Customers!$A$2:$C$92,3,TRUE)</f>
        <v>Renate Messner</v>
      </c>
      <c r="C917" t="str">
        <f t="shared" si="239"/>
        <v>Renate</v>
      </c>
      <c r="D917" s="8" t="str">
        <f t="shared" si="240"/>
        <v>Messner</v>
      </c>
      <c r="E917" s="8" t="str">
        <f t="shared" si="241"/>
        <v>Messner, Renate</v>
      </c>
      <c r="F917" s="8" t="str">
        <f t="shared" si="242"/>
        <v>Messner, Renate</v>
      </c>
      <c r="G917" s="8" t="str">
        <f t="shared" si="243"/>
        <v>not an outlier</v>
      </c>
      <c r="H917" s="8" t="str">
        <f t="shared" si="244"/>
        <v>Not</v>
      </c>
      <c r="I917" s="8" t="str">
        <f t="shared" si="254"/>
        <v>no</v>
      </c>
      <c r="J917" s="10" t="str">
        <f t="shared" si="245"/>
        <v>no</v>
      </c>
      <c r="K917" s="10" t="str">
        <f t="shared" si="246"/>
        <v>no</v>
      </c>
      <c r="L917" t="s">
        <v>341</v>
      </c>
      <c r="M917">
        <v>10593</v>
      </c>
      <c r="N917">
        <v>69</v>
      </c>
      <c r="O917" t="s">
        <v>743</v>
      </c>
      <c r="P917" t="str">
        <f t="shared" si="247"/>
        <v>LEHMS_10593_Gudbrandsdalsost</v>
      </c>
      <c r="Q917" t="str">
        <f t="shared" si="248"/>
        <v>10593</v>
      </c>
      <c r="R917" t="str">
        <f t="shared" si="249"/>
        <v>10593</v>
      </c>
      <c r="S917" t="str">
        <f t="shared" si="250"/>
        <v>Gudbrandsdalsost</v>
      </c>
      <c r="T917">
        <v>36</v>
      </c>
      <c r="U917">
        <v>20</v>
      </c>
      <c r="V917">
        <v>0.2</v>
      </c>
      <c r="W917">
        <f t="shared" si="251"/>
        <v>576</v>
      </c>
      <c r="X917" t="str">
        <f t="shared" si="252"/>
        <v>No</v>
      </c>
      <c r="Y917" s="2">
        <v>34920</v>
      </c>
      <c r="Z917" t="str">
        <f t="shared" si="238"/>
        <v/>
      </c>
      <c r="AA917" t="str">
        <f t="shared" si="253"/>
        <v/>
      </c>
      <c r="AB917" t="str" cm="1">
        <f t="array" ref="AB917">_xlfn.IFS(Y917&lt;DATE(1996,1,1),"",Y917&lt;DATE(1996,4,1),"Q1",Y917&lt;DATE(1996,7,1),"Q2",Y917&gt;=DATE(1996,7,1),"")</f>
        <v/>
      </c>
    </row>
    <row r="918" spans="1:28" ht="14.4" x14ac:dyDescent="0.55000000000000004">
      <c r="A918" t="str">
        <f>VLOOKUP(L918,Customers!$A$2:$B$92,2,FALSE)</f>
        <v>Lehmanns Marktstand</v>
      </c>
      <c r="B918" t="str">
        <f>VLOOKUP(L918,Customers!$A$2:$C$92,3,TRUE)</f>
        <v>Renate Messner</v>
      </c>
      <c r="C918" t="str">
        <f t="shared" si="239"/>
        <v>Renate</v>
      </c>
      <c r="D918" s="8" t="str">
        <f t="shared" si="240"/>
        <v>Messner</v>
      </c>
      <c r="E918" s="8" t="str">
        <f t="shared" si="241"/>
        <v>Messner, Renate</v>
      </c>
      <c r="F918" s="8" t="str">
        <f t="shared" si="242"/>
        <v>Messner, Renate</v>
      </c>
      <c r="G918" s="8" t="str">
        <f t="shared" si="243"/>
        <v>not an outlier</v>
      </c>
      <c r="H918" s="8" t="str">
        <f t="shared" si="244"/>
        <v>Not</v>
      </c>
      <c r="I918" s="8" t="str">
        <f t="shared" si="254"/>
        <v>no</v>
      </c>
      <c r="J918" s="10" t="str">
        <f t="shared" si="245"/>
        <v>no</v>
      </c>
      <c r="K918" s="10" t="str">
        <f t="shared" si="246"/>
        <v>no</v>
      </c>
      <c r="L918" t="s">
        <v>341</v>
      </c>
      <c r="M918">
        <v>10593</v>
      </c>
      <c r="N918">
        <v>76</v>
      </c>
      <c r="O918" t="s">
        <v>721</v>
      </c>
      <c r="P918" t="str">
        <f t="shared" si="247"/>
        <v>LEHMS_10593_Lakkalikööri</v>
      </c>
      <c r="Q918" t="str">
        <f t="shared" si="248"/>
        <v>10593</v>
      </c>
      <c r="R918" t="str">
        <f t="shared" si="249"/>
        <v>10593</v>
      </c>
      <c r="S918" t="str">
        <f t="shared" si="250"/>
        <v>Lakkalikööri</v>
      </c>
      <c r="T918">
        <v>18</v>
      </c>
      <c r="U918">
        <v>4</v>
      </c>
      <c r="V918">
        <v>0.2</v>
      </c>
      <c r="W918">
        <f t="shared" si="251"/>
        <v>57.6</v>
      </c>
      <c r="X918" t="str">
        <f t="shared" si="252"/>
        <v>No</v>
      </c>
      <c r="Y918" s="2">
        <v>34920</v>
      </c>
      <c r="Z918" t="str">
        <f t="shared" si="238"/>
        <v/>
      </c>
      <c r="AA918" t="str">
        <f t="shared" si="253"/>
        <v/>
      </c>
      <c r="AB918" t="str" cm="1">
        <f t="array" ref="AB918">_xlfn.IFS(Y918&lt;DATE(1996,1,1),"",Y918&lt;DATE(1996,4,1),"Q1",Y918&lt;DATE(1996,7,1),"Q2",Y918&gt;=DATE(1996,7,1),"")</f>
        <v/>
      </c>
    </row>
    <row r="919" spans="1:28" ht="14.4" x14ac:dyDescent="0.55000000000000004">
      <c r="A919" t="str">
        <f>VLOOKUP(L919,Customers!$A$2:$B$92,2,FALSE)</f>
        <v>Old World Delicatessen</v>
      </c>
      <c r="B919" t="str">
        <f>VLOOKUP(L919,Customers!$A$2:$C$92,3,TRUE)</f>
        <v>Rene Phillips</v>
      </c>
      <c r="C919" t="str">
        <f t="shared" si="239"/>
        <v>Rene</v>
      </c>
      <c r="D919" s="8" t="str">
        <f t="shared" si="240"/>
        <v>Phillips</v>
      </c>
      <c r="E919" s="8" t="str">
        <f t="shared" si="241"/>
        <v>Phillips, Rene</v>
      </c>
      <c r="F919" s="8" t="str">
        <f t="shared" si="242"/>
        <v>Phillips, Rene</v>
      </c>
      <c r="G919" s="8" t="str">
        <f t="shared" si="243"/>
        <v>not an outlier</v>
      </c>
      <c r="H919" s="8" t="str">
        <f t="shared" si="244"/>
        <v>Not</v>
      </c>
      <c r="I919" s="8" t="str">
        <f t="shared" si="254"/>
        <v>no</v>
      </c>
      <c r="J919" s="10" t="str">
        <f t="shared" si="245"/>
        <v>no</v>
      </c>
      <c r="K919" s="10" t="str">
        <f t="shared" si="246"/>
        <v>no</v>
      </c>
      <c r="L919" t="s">
        <v>422</v>
      </c>
      <c r="M919">
        <v>10594</v>
      </c>
      <c r="N919">
        <v>52</v>
      </c>
      <c r="O919" t="s">
        <v>748</v>
      </c>
      <c r="P919" t="str">
        <f t="shared" si="247"/>
        <v>OLDWO_10594_Filo Mix</v>
      </c>
      <c r="Q919" t="str">
        <f t="shared" si="248"/>
        <v>10594</v>
      </c>
      <c r="R919" t="str">
        <f t="shared" si="249"/>
        <v>10594</v>
      </c>
      <c r="S919" t="str">
        <f t="shared" si="250"/>
        <v>Filo Mix</v>
      </c>
      <c r="T919">
        <v>7</v>
      </c>
      <c r="U919">
        <v>24</v>
      </c>
      <c r="V919">
        <v>0</v>
      </c>
      <c r="W919">
        <f t="shared" si="251"/>
        <v>168</v>
      </c>
      <c r="X919" t="str">
        <f t="shared" si="252"/>
        <v>No</v>
      </c>
      <c r="Y919" s="2">
        <v>34920</v>
      </c>
      <c r="Z919" t="str">
        <f t="shared" si="238"/>
        <v/>
      </c>
      <c r="AA919" t="str">
        <f t="shared" si="253"/>
        <v/>
      </c>
      <c r="AB919" t="str" cm="1">
        <f t="array" ref="AB919">_xlfn.IFS(Y919&lt;DATE(1996,1,1),"",Y919&lt;DATE(1996,4,1),"Q1",Y919&lt;DATE(1996,7,1),"Q2",Y919&gt;=DATE(1996,7,1),"")</f>
        <v/>
      </c>
    </row>
    <row r="920" spans="1:28" ht="14.4" x14ac:dyDescent="0.55000000000000004">
      <c r="A920" t="str">
        <f>VLOOKUP(L920,Customers!$A$2:$B$92,2,FALSE)</f>
        <v>Old World Delicatessen</v>
      </c>
      <c r="B920" t="str">
        <f>VLOOKUP(L920,Customers!$A$2:$C$92,3,TRUE)</f>
        <v>Rene Phillips</v>
      </c>
      <c r="C920" t="str">
        <f t="shared" si="239"/>
        <v>Rene</v>
      </c>
      <c r="D920" s="8" t="str">
        <f t="shared" si="240"/>
        <v>Phillips</v>
      </c>
      <c r="E920" s="8" t="str">
        <f t="shared" si="241"/>
        <v>Phillips, Rene</v>
      </c>
      <c r="F920" s="8" t="str">
        <f t="shared" si="242"/>
        <v>Phillips, Rene</v>
      </c>
      <c r="G920" s="8" t="str">
        <f t="shared" si="243"/>
        <v>not an outlier</v>
      </c>
      <c r="H920" s="8" t="str">
        <f t="shared" si="244"/>
        <v>Not</v>
      </c>
      <c r="I920" s="8" t="str">
        <f t="shared" si="254"/>
        <v>no</v>
      </c>
      <c r="J920" s="10" t="str">
        <f t="shared" si="245"/>
        <v>no</v>
      </c>
      <c r="K920" s="10" t="str">
        <f t="shared" si="246"/>
        <v>no</v>
      </c>
      <c r="L920" t="s">
        <v>422</v>
      </c>
      <c r="M920">
        <v>10594</v>
      </c>
      <c r="N920">
        <v>58</v>
      </c>
      <c r="O920" t="s">
        <v>747</v>
      </c>
      <c r="P920" t="str">
        <f t="shared" si="247"/>
        <v>OLDWO_10594_Escargots de Bourgogne</v>
      </c>
      <c r="Q920" t="str">
        <f t="shared" si="248"/>
        <v>10594</v>
      </c>
      <c r="R920" t="str">
        <f t="shared" si="249"/>
        <v>10594</v>
      </c>
      <c r="S920" t="str">
        <f t="shared" si="250"/>
        <v>Escargots de Bourgogne</v>
      </c>
      <c r="T920">
        <v>13.25</v>
      </c>
      <c r="U920">
        <v>30</v>
      </c>
      <c r="V920">
        <v>0</v>
      </c>
      <c r="W920">
        <f t="shared" si="251"/>
        <v>397.5</v>
      </c>
      <c r="X920" t="str">
        <f t="shared" si="252"/>
        <v>No</v>
      </c>
      <c r="Y920" s="2">
        <v>34920</v>
      </c>
      <c r="Z920" t="str">
        <f t="shared" si="238"/>
        <v/>
      </c>
      <c r="AA920" t="str">
        <f t="shared" si="253"/>
        <v/>
      </c>
      <c r="AB920" t="str" cm="1">
        <f t="array" ref="AB920">_xlfn.IFS(Y920&lt;DATE(1996,1,1),"",Y920&lt;DATE(1996,4,1),"Q1",Y920&lt;DATE(1996,7,1),"Q2",Y920&gt;=DATE(1996,7,1),"")</f>
        <v/>
      </c>
    </row>
    <row r="921" spans="1:28" ht="14.4" x14ac:dyDescent="0.55000000000000004">
      <c r="A921" t="str">
        <f>VLOOKUP(L921,Customers!$A$2:$B$92,2,FALSE)</f>
        <v>Ernst Handel</v>
      </c>
      <c r="B921" t="str">
        <f>VLOOKUP(L921,Customers!$A$2:$C$92,3,TRUE)</f>
        <v>Roland Mendel</v>
      </c>
      <c r="C921" t="str">
        <f t="shared" si="239"/>
        <v>Roland</v>
      </c>
      <c r="D921" s="8" t="str">
        <f t="shared" si="240"/>
        <v>Mendel</v>
      </c>
      <c r="E921" s="8" t="str">
        <f t="shared" si="241"/>
        <v>Mendel, Roland</v>
      </c>
      <c r="F921" s="8" t="str">
        <f t="shared" si="242"/>
        <v>Mendel, Roland</v>
      </c>
      <c r="G921" s="8" t="str">
        <f t="shared" si="243"/>
        <v>not an outlier</v>
      </c>
      <c r="H921" s="8" t="str">
        <f t="shared" si="244"/>
        <v>Not</v>
      </c>
      <c r="I921" s="8" t="str">
        <f t="shared" si="254"/>
        <v>no</v>
      </c>
      <c r="J921" s="10" t="str">
        <f t="shared" si="245"/>
        <v>no</v>
      </c>
      <c r="K921" s="10" t="str">
        <f t="shared" si="246"/>
        <v>no</v>
      </c>
      <c r="L921" t="s">
        <v>161</v>
      </c>
      <c r="M921">
        <v>10595</v>
      </c>
      <c r="N921">
        <v>35</v>
      </c>
      <c r="O921" t="s">
        <v>714</v>
      </c>
      <c r="P921" t="str">
        <f t="shared" si="247"/>
        <v>ERNSH_10595_Steeleye Stout</v>
      </c>
      <c r="Q921" t="str">
        <f t="shared" si="248"/>
        <v>10595</v>
      </c>
      <c r="R921" t="str">
        <f t="shared" si="249"/>
        <v>10595</v>
      </c>
      <c r="S921" t="str">
        <f t="shared" si="250"/>
        <v>Steeleye Stout</v>
      </c>
      <c r="T921">
        <v>18</v>
      </c>
      <c r="U921">
        <v>30</v>
      </c>
      <c r="V921">
        <v>0.25</v>
      </c>
      <c r="W921">
        <f t="shared" si="251"/>
        <v>405</v>
      </c>
      <c r="X921" t="str">
        <f t="shared" si="252"/>
        <v>No</v>
      </c>
      <c r="Y921" s="2">
        <v>34921</v>
      </c>
      <c r="Z921" t="str">
        <f t="shared" si="238"/>
        <v/>
      </c>
      <c r="AA921" t="str">
        <f t="shared" si="253"/>
        <v/>
      </c>
      <c r="AB921" t="str" cm="1">
        <f t="array" ref="AB921">_xlfn.IFS(Y921&lt;DATE(1996,1,1),"",Y921&lt;DATE(1996,4,1),"Q1",Y921&lt;DATE(1996,7,1),"Q2",Y921&gt;=DATE(1996,7,1),"")</f>
        <v/>
      </c>
    </row>
    <row r="922" spans="1:28" ht="14.4" x14ac:dyDescent="0.55000000000000004">
      <c r="A922" t="str">
        <f>VLOOKUP(L922,Customers!$A$2:$B$92,2,FALSE)</f>
        <v>Ernst Handel</v>
      </c>
      <c r="B922" t="str">
        <f>VLOOKUP(L922,Customers!$A$2:$C$92,3,TRUE)</f>
        <v>Roland Mendel</v>
      </c>
      <c r="C922" t="str">
        <f t="shared" si="239"/>
        <v>Roland</v>
      </c>
      <c r="D922" s="8" t="str">
        <f t="shared" si="240"/>
        <v>Mendel</v>
      </c>
      <c r="E922" s="8" t="str">
        <f t="shared" si="241"/>
        <v>Mendel, Roland</v>
      </c>
      <c r="F922" s="8" t="str">
        <f t="shared" si="242"/>
        <v>Mendel, Roland</v>
      </c>
      <c r="G922" s="8" t="str">
        <f t="shared" si="243"/>
        <v>not an outlier</v>
      </c>
      <c r="H922" s="8" t="str">
        <f t="shared" si="244"/>
        <v>Not</v>
      </c>
      <c r="I922" s="8" t="str">
        <f t="shared" si="254"/>
        <v>no</v>
      </c>
      <c r="J922" s="10" t="str">
        <f t="shared" si="245"/>
        <v>no</v>
      </c>
      <c r="K922" s="10" t="str">
        <f t="shared" si="246"/>
        <v>no</v>
      </c>
      <c r="L922" t="s">
        <v>161</v>
      </c>
      <c r="M922">
        <v>10595</v>
      </c>
      <c r="N922">
        <v>61</v>
      </c>
      <c r="O922" t="s">
        <v>758</v>
      </c>
      <c r="P922" t="str">
        <f t="shared" si="247"/>
        <v>ERNSH_10595_Sirop d'érable</v>
      </c>
      <c r="Q922" t="str">
        <f t="shared" si="248"/>
        <v>10595</v>
      </c>
      <c r="R922" t="str">
        <f t="shared" si="249"/>
        <v>10595</v>
      </c>
      <c r="S922" t="str">
        <f t="shared" si="250"/>
        <v>Sirop d'érable</v>
      </c>
      <c r="T922">
        <v>28.5</v>
      </c>
      <c r="U922">
        <v>120</v>
      </c>
      <c r="V922">
        <v>0.25</v>
      </c>
      <c r="W922">
        <f t="shared" si="251"/>
        <v>2565</v>
      </c>
      <c r="X922" t="str">
        <f t="shared" si="252"/>
        <v>No</v>
      </c>
      <c r="Y922" s="2">
        <v>34921</v>
      </c>
      <c r="Z922" t="str">
        <f t="shared" si="238"/>
        <v/>
      </c>
      <c r="AA922" t="str">
        <f t="shared" si="253"/>
        <v/>
      </c>
      <c r="AB922" t="str" cm="1">
        <f t="array" ref="AB922">_xlfn.IFS(Y922&lt;DATE(1996,1,1),"",Y922&lt;DATE(1996,4,1),"Q1",Y922&lt;DATE(1996,7,1),"Q2",Y922&gt;=DATE(1996,7,1),"")</f>
        <v/>
      </c>
    </row>
    <row r="923" spans="1:28" ht="14.4" x14ac:dyDescent="0.55000000000000004">
      <c r="A923" t="str">
        <f>VLOOKUP(L923,Customers!$A$2:$B$92,2,FALSE)</f>
        <v>Ernst Handel</v>
      </c>
      <c r="B923" t="str">
        <f>VLOOKUP(L923,Customers!$A$2:$C$92,3,TRUE)</f>
        <v>Roland Mendel</v>
      </c>
      <c r="C923" t="str">
        <f t="shared" si="239"/>
        <v>Roland</v>
      </c>
      <c r="D923" s="8" t="str">
        <f t="shared" si="240"/>
        <v>Mendel</v>
      </c>
      <c r="E923" s="8" t="str">
        <f t="shared" si="241"/>
        <v>Mendel, Roland</v>
      </c>
      <c r="F923" s="8" t="str">
        <f t="shared" si="242"/>
        <v>Mendel, Roland</v>
      </c>
      <c r="G923" s="8" t="str">
        <f t="shared" si="243"/>
        <v>not an outlier</v>
      </c>
      <c r="H923" s="8" t="str">
        <f t="shared" si="244"/>
        <v>Not</v>
      </c>
      <c r="I923" s="8" t="str">
        <f t="shared" si="254"/>
        <v>no</v>
      </c>
      <c r="J923" s="10" t="str">
        <f t="shared" si="245"/>
        <v>no</v>
      </c>
      <c r="K923" s="10" t="str">
        <f t="shared" si="246"/>
        <v>no</v>
      </c>
      <c r="L923" t="s">
        <v>161</v>
      </c>
      <c r="M923">
        <v>10595</v>
      </c>
      <c r="N923">
        <v>69</v>
      </c>
      <c r="O923" t="s">
        <v>743</v>
      </c>
      <c r="P923" t="str">
        <f t="shared" si="247"/>
        <v>ERNSH_10595_Gudbrandsdalsost</v>
      </c>
      <c r="Q923" t="str">
        <f t="shared" si="248"/>
        <v>10595</v>
      </c>
      <c r="R923" t="str">
        <f t="shared" si="249"/>
        <v>10595</v>
      </c>
      <c r="S923" t="str">
        <f t="shared" si="250"/>
        <v>Gudbrandsdalsost</v>
      </c>
      <c r="T923">
        <v>36</v>
      </c>
      <c r="U923">
        <v>65</v>
      </c>
      <c r="V923">
        <v>0.25</v>
      </c>
      <c r="W923">
        <f t="shared" si="251"/>
        <v>1755</v>
      </c>
      <c r="X923" t="str">
        <f t="shared" si="252"/>
        <v>No</v>
      </c>
      <c r="Y923" s="2">
        <v>34921</v>
      </c>
      <c r="Z923" t="str">
        <f t="shared" si="238"/>
        <v/>
      </c>
      <c r="AA923" t="str">
        <f t="shared" si="253"/>
        <v/>
      </c>
      <c r="AB923" t="str" cm="1">
        <f t="array" ref="AB923">_xlfn.IFS(Y923&lt;DATE(1996,1,1),"",Y923&lt;DATE(1996,4,1),"Q1",Y923&lt;DATE(1996,7,1),"Q2",Y923&gt;=DATE(1996,7,1),"")</f>
        <v/>
      </c>
    </row>
    <row r="924" spans="1:28" ht="14.4" x14ac:dyDescent="0.55000000000000004">
      <c r="A924" t="str">
        <f>VLOOKUP(L924,Customers!$A$2:$B$92,2,FALSE)</f>
        <v>White Clover Markets</v>
      </c>
      <c r="B924" t="str">
        <f>VLOOKUP(L924,Customers!$A$2:$C$92,3,TRUE)</f>
        <v>Karl Jablonski</v>
      </c>
      <c r="C924" t="str">
        <f t="shared" si="239"/>
        <v>Karl</v>
      </c>
      <c r="D924" s="8" t="str">
        <f t="shared" si="240"/>
        <v>Jablonski</v>
      </c>
      <c r="E924" s="8" t="str">
        <f t="shared" si="241"/>
        <v>Jablonski, Karl</v>
      </c>
      <c r="F924" s="8" t="str">
        <f t="shared" si="242"/>
        <v>Jablonski, Karl</v>
      </c>
      <c r="G924" s="8" t="str">
        <f t="shared" si="243"/>
        <v>not an outlier</v>
      </c>
      <c r="H924" s="8" t="str">
        <f t="shared" si="244"/>
        <v>Not</v>
      </c>
      <c r="I924" s="8" t="str">
        <f t="shared" si="254"/>
        <v>no</v>
      </c>
      <c r="J924" s="10" t="str">
        <f t="shared" si="245"/>
        <v>no</v>
      </c>
      <c r="K924" s="10" t="str">
        <f t="shared" si="246"/>
        <v>no</v>
      </c>
      <c r="L924" t="s">
        <v>654</v>
      </c>
      <c r="M924">
        <v>10596</v>
      </c>
      <c r="N924">
        <v>56</v>
      </c>
      <c r="O924" t="s">
        <v>716</v>
      </c>
      <c r="P924" t="str">
        <f t="shared" si="247"/>
        <v>WHITC_10596_Gnocchi di nonna Alice</v>
      </c>
      <c r="Q924" t="str">
        <f t="shared" si="248"/>
        <v>10596</v>
      </c>
      <c r="R924" t="str">
        <f t="shared" si="249"/>
        <v>10596</v>
      </c>
      <c r="S924" t="str">
        <f t="shared" si="250"/>
        <v>Gnocchi di nonna Alice</v>
      </c>
      <c r="T924">
        <v>38</v>
      </c>
      <c r="U924">
        <v>5</v>
      </c>
      <c r="V924">
        <v>0.2</v>
      </c>
      <c r="W924">
        <f t="shared" si="251"/>
        <v>152</v>
      </c>
      <c r="X924" t="str">
        <f t="shared" si="252"/>
        <v>No</v>
      </c>
      <c r="Y924" s="2">
        <v>34922</v>
      </c>
      <c r="Z924" t="str">
        <f t="shared" si="238"/>
        <v/>
      </c>
      <c r="AA924" t="str">
        <f t="shared" si="253"/>
        <v/>
      </c>
      <c r="AB924" t="str" cm="1">
        <f t="array" ref="AB924">_xlfn.IFS(Y924&lt;DATE(1996,1,1),"",Y924&lt;DATE(1996,4,1),"Q1",Y924&lt;DATE(1996,7,1),"Q2",Y924&gt;=DATE(1996,7,1),"")</f>
        <v/>
      </c>
    </row>
    <row r="925" spans="1:28" ht="14.4" x14ac:dyDescent="0.55000000000000004">
      <c r="A925" t="str">
        <f>VLOOKUP(L925,Customers!$A$2:$B$92,2,FALSE)</f>
        <v>White Clover Markets</v>
      </c>
      <c r="B925" t="str">
        <f>VLOOKUP(L925,Customers!$A$2:$C$92,3,TRUE)</f>
        <v>Karl Jablonski</v>
      </c>
      <c r="C925" t="str">
        <f t="shared" si="239"/>
        <v>Karl</v>
      </c>
      <c r="D925" s="8" t="str">
        <f t="shared" si="240"/>
        <v>Jablonski</v>
      </c>
      <c r="E925" s="8" t="str">
        <f t="shared" si="241"/>
        <v>Jablonski, Karl</v>
      </c>
      <c r="F925" s="8" t="str">
        <f t="shared" si="242"/>
        <v>Jablonski, Karl</v>
      </c>
      <c r="G925" s="8" t="str">
        <f t="shared" si="243"/>
        <v>not an outlier</v>
      </c>
      <c r="H925" s="8" t="str">
        <f t="shared" si="244"/>
        <v>Not</v>
      </c>
      <c r="I925" s="8" t="str">
        <f t="shared" si="254"/>
        <v>no</v>
      </c>
      <c r="J925" s="10" t="str">
        <f t="shared" si="245"/>
        <v>no</v>
      </c>
      <c r="K925" s="10" t="str">
        <f t="shared" si="246"/>
        <v>no</v>
      </c>
      <c r="L925" t="s">
        <v>654</v>
      </c>
      <c r="M925">
        <v>10596</v>
      </c>
      <c r="N925">
        <v>63</v>
      </c>
      <c r="O925" t="s">
        <v>729</v>
      </c>
      <c r="P925" t="str">
        <f t="shared" si="247"/>
        <v>WHITC_10596_Vegie-spread</v>
      </c>
      <c r="Q925" t="str">
        <f t="shared" si="248"/>
        <v>10596</v>
      </c>
      <c r="R925" t="str">
        <f t="shared" si="249"/>
        <v>10596</v>
      </c>
      <c r="S925" t="str">
        <f t="shared" si="250"/>
        <v>Vegie-spread</v>
      </c>
      <c r="T925">
        <v>43.9</v>
      </c>
      <c r="U925">
        <v>24</v>
      </c>
      <c r="V925">
        <v>0.2</v>
      </c>
      <c r="W925">
        <f t="shared" si="251"/>
        <v>842.88</v>
      </c>
      <c r="X925" t="str">
        <f t="shared" si="252"/>
        <v>No</v>
      </c>
      <c r="Y925" s="2">
        <v>34922</v>
      </c>
      <c r="Z925" t="str">
        <f t="shared" si="238"/>
        <v/>
      </c>
      <c r="AA925" t="str">
        <f t="shared" si="253"/>
        <v/>
      </c>
      <c r="AB925" t="str" cm="1">
        <f t="array" ref="AB925">_xlfn.IFS(Y925&lt;DATE(1996,1,1),"",Y925&lt;DATE(1996,4,1),"Q1",Y925&lt;DATE(1996,7,1),"Q2",Y925&gt;=DATE(1996,7,1),"")</f>
        <v/>
      </c>
    </row>
    <row r="926" spans="1:28" ht="14.4" x14ac:dyDescent="0.55000000000000004">
      <c r="A926" t="str">
        <f>VLOOKUP(L926,Customers!$A$2:$B$92,2,FALSE)</f>
        <v>White Clover Markets</v>
      </c>
      <c r="B926" t="str">
        <f>VLOOKUP(L926,Customers!$A$2:$C$92,3,TRUE)</f>
        <v>Karl Jablonski</v>
      </c>
      <c r="C926" t="str">
        <f t="shared" si="239"/>
        <v>Karl</v>
      </c>
      <c r="D926" s="8" t="str">
        <f t="shared" si="240"/>
        <v>Jablonski</v>
      </c>
      <c r="E926" s="8" t="str">
        <f t="shared" si="241"/>
        <v>Jablonski, Karl</v>
      </c>
      <c r="F926" s="8" t="str">
        <f t="shared" si="242"/>
        <v>Jablonski, Karl</v>
      </c>
      <c r="G926" s="8" t="str">
        <f t="shared" si="243"/>
        <v>not an outlier</v>
      </c>
      <c r="H926" s="8" t="str">
        <f t="shared" si="244"/>
        <v>Not</v>
      </c>
      <c r="I926" s="8" t="str">
        <f t="shared" si="254"/>
        <v>no</v>
      </c>
      <c r="J926" s="10" t="str">
        <f t="shared" si="245"/>
        <v>no</v>
      </c>
      <c r="K926" s="10" t="str">
        <f t="shared" si="246"/>
        <v>no</v>
      </c>
      <c r="L926" t="s">
        <v>654</v>
      </c>
      <c r="M926">
        <v>10596</v>
      </c>
      <c r="N926">
        <v>75</v>
      </c>
      <c r="O926" t="s">
        <v>731</v>
      </c>
      <c r="P926" t="str">
        <f t="shared" si="247"/>
        <v>WHITC_10596_Rhönbräu Klosterbier</v>
      </c>
      <c r="Q926" t="str">
        <f t="shared" si="248"/>
        <v>10596</v>
      </c>
      <c r="R926" t="str">
        <f t="shared" si="249"/>
        <v>10596</v>
      </c>
      <c r="S926" t="str">
        <f t="shared" si="250"/>
        <v>Rhönbräu Klosterbier</v>
      </c>
      <c r="T926">
        <v>7.75</v>
      </c>
      <c r="U926">
        <v>30</v>
      </c>
      <c r="V926">
        <v>0.2</v>
      </c>
      <c r="W926">
        <f t="shared" si="251"/>
        <v>186</v>
      </c>
      <c r="X926" t="str">
        <f t="shared" si="252"/>
        <v>No</v>
      </c>
      <c r="Y926" s="2">
        <v>34922</v>
      </c>
      <c r="Z926" t="str">
        <f t="shared" si="238"/>
        <v/>
      </c>
      <c r="AA926" t="str">
        <f t="shared" si="253"/>
        <v/>
      </c>
      <c r="AB926" t="str" cm="1">
        <f t="array" ref="AB926">_xlfn.IFS(Y926&lt;DATE(1996,1,1),"",Y926&lt;DATE(1996,4,1),"Q1",Y926&lt;DATE(1996,7,1),"Q2",Y926&gt;=DATE(1996,7,1),"")</f>
        <v/>
      </c>
    </row>
    <row r="927" spans="1:28" ht="14.4" x14ac:dyDescent="0.55000000000000004">
      <c r="A927" t="str">
        <f>VLOOKUP(L927,Customers!$A$2:$B$92,2,FALSE)</f>
        <v>Piccolo und mehr</v>
      </c>
      <c r="B927" t="str">
        <f>VLOOKUP(L927,Customers!$A$2:$C$92,3,TRUE)</f>
        <v>Georg Pipps</v>
      </c>
      <c r="C927" t="str">
        <f t="shared" si="239"/>
        <v>Georg</v>
      </c>
      <c r="D927" s="8" t="str">
        <f t="shared" si="240"/>
        <v>Pipps</v>
      </c>
      <c r="E927" s="8" t="str">
        <f t="shared" si="241"/>
        <v>Pipps, Georg</v>
      </c>
      <c r="F927" s="8" t="str">
        <f t="shared" si="242"/>
        <v>Pipps, Georg</v>
      </c>
      <c r="G927" s="8" t="str">
        <f t="shared" si="243"/>
        <v>not an outlier</v>
      </c>
      <c r="H927" s="8" t="str">
        <f t="shared" si="244"/>
        <v>Not</v>
      </c>
      <c r="I927" s="8" t="str">
        <f t="shared" si="254"/>
        <v>no</v>
      </c>
      <c r="J927" s="10" t="str">
        <f t="shared" si="245"/>
        <v>no</v>
      </c>
      <c r="K927" s="10" t="str">
        <f t="shared" si="246"/>
        <v>no</v>
      </c>
      <c r="L927" t="s">
        <v>450</v>
      </c>
      <c r="M927">
        <v>10597</v>
      </c>
      <c r="N927">
        <v>24</v>
      </c>
      <c r="O927" t="s">
        <v>698</v>
      </c>
      <c r="P927" t="str">
        <f t="shared" si="247"/>
        <v>PICCO_10597_Guaraná Fantástica</v>
      </c>
      <c r="Q927" t="str">
        <f t="shared" si="248"/>
        <v>10597</v>
      </c>
      <c r="R927" t="str">
        <f t="shared" si="249"/>
        <v>10597</v>
      </c>
      <c r="S927" t="str">
        <f t="shared" si="250"/>
        <v>Guaraná Fantástica</v>
      </c>
      <c r="T927">
        <v>4.5</v>
      </c>
      <c r="U927">
        <v>35</v>
      </c>
      <c r="V927">
        <v>0.2</v>
      </c>
      <c r="W927">
        <f t="shared" si="251"/>
        <v>126</v>
      </c>
      <c r="X927" t="str">
        <f t="shared" si="252"/>
        <v>No</v>
      </c>
      <c r="Y927" s="2">
        <v>34922</v>
      </c>
      <c r="Z927" t="str">
        <f t="shared" si="238"/>
        <v/>
      </c>
      <c r="AA927" t="str">
        <f t="shared" si="253"/>
        <v/>
      </c>
      <c r="AB927" t="str" cm="1">
        <f t="array" ref="AB927">_xlfn.IFS(Y927&lt;DATE(1996,1,1),"",Y927&lt;DATE(1996,4,1),"Q1",Y927&lt;DATE(1996,7,1),"Q2",Y927&gt;=DATE(1996,7,1),"")</f>
        <v/>
      </c>
    </row>
    <row r="928" spans="1:28" ht="14.4" x14ac:dyDescent="0.55000000000000004">
      <c r="A928" t="str">
        <f>VLOOKUP(L928,Customers!$A$2:$B$92,2,FALSE)</f>
        <v>Piccolo und mehr</v>
      </c>
      <c r="B928" t="str">
        <f>VLOOKUP(L928,Customers!$A$2:$C$92,3,TRUE)</f>
        <v>Georg Pipps</v>
      </c>
      <c r="C928" t="str">
        <f t="shared" si="239"/>
        <v>Georg</v>
      </c>
      <c r="D928" s="8" t="str">
        <f t="shared" si="240"/>
        <v>Pipps</v>
      </c>
      <c r="E928" s="8" t="str">
        <f t="shared" si="241"/>
        <v>Pipps, Georg</v>
      </c>
      <c r="F928" s="8" t="str">
        <f t="shared" si="242"/>
        <v>Pipps, Georg</v>
      </c>
      <c r="G928" s="8" t="str">
        <f t="shared" si="243"/>
        <v>not an outlier</v>
      </c>
      <c r="H928" s="8" t="str">
        <f t="shared" si="244"/>
        <v>Not</v>
      </c>
      <c r="I928" s="8" t="str">
        <f t="shared" si="254"/>
        <v>no</v>
      </c>
      <c r="J928" s="10" t="str">
        <f t="shared" si="245"/>
        <v>no</v>
      </c>
      <c r="K928" s="10" t="str">
        <f t="shared" si="246"/>
        <v>no</v>
      </c>
      <c r="L928" t="s">
        <v>450</v>
      </c>
      <c r="M928">
        <v>10597</v>
      </c>
      <c r="N928">
        <v>57</v>
      </c>
      <c r="O928" t="s">
        <v>691</v>
      </c>
      <c r="P928" t="str">
        <f t="shared" si="247"/>
        <v>PICCO_10597_Ravioli Angelo</v>
      </c>
      <c r="Q928" t="str">
        <f t="shared" si="248"/>
        <v>10597</v>
      </c>
      <c r="R928" t="str">
        <f t="shared" si="249"/>
        <v>10597</v>
      </c>
      <c r="S928" t="str">
        <f t="shared" si="250"/>
        <v>Ravioli Angelo</v>
      </c>
      <c r="T928">
        <v>19.5</v>
      </c>
      <c r="U928">
        <v>20</v>
      </c>
      <c r="V928">
        <v>0</v>
      </c>
      <c r="W928">
        <f t="shared" si="251"/>
        <v>390</v>
      </c>
      <c r="X928" t="str">
        <f t="shared" si="252"/>
        <v>No</v>
      </c>
      <c r="Y928" s="2">
        <v>34922</v>
      </c>
      <c r="Z928" t="str">
        <f t="shared" si="238"/>
        <v/>
      </c>
      <c r="AA928" t="str">
        <f t="shared" si="253"/>
        <v/>
      </c>
      <c r="AB928" t="str" cm="1">
        <f t="array" ref="AB928">_xlfn.IFS(Y928&lt;DATE(1996,1,1),"",Y928&lt;DATE(1996,4,1),"Q1",Y928&lt;DATE(1996,7,1),"Q2",Y928&gt;=DATE(1996,7,1),"")</f>
        <v/>
      </c>
    </row>
    <row r="929" spans="1:28" ht="14.4" x14ac:dyDescent="0.55000000000000004">
      <c r="A929" t="str">
        <f>VLOOKUP(L929,Customers!$A$2:$B$92,2,FALSE)</f>
        <v>Piccolo und mehr</v>
      </c>
      <c r="B929" t="str">
        <f>VLOOKUP(L929,Customers!$A$2:$C$92,3,TRUE)</f>
        <v>Georg Pipps</v>
      </c>
      <c r="C929" t="str">
        <f t="shared" si="239"/>
        <v>Georg</v>
      </c>
      <c r="D929" s="8" t="str">
        <f t="shared" si="240"/>
        <v>Pipps</v>
      </c>
      <c r="E929" s="8" t="str">
        <f t="shared" si="241"/>
        <v>Pipps, Georg</v>
      </c>
      <c r="F929" s="8" t="str">
        <f t="shared" si="242"/>
        <v>Pipps, Georg</v>
      </c>
      <c r="G929" s="8" t="str">
        <f t="shared" si="243"/>
        <v>not an outlier</v>
      </c>
      <c r="H929" s="8" t="str">
        <f t="shared" si="244"/>
        <v>Not</v>
      </c>
      <c r="I929" s="8" t="str">
        <f t="shared" si="254"/>
        <v>no</v>
      </c>
      <c r="J929" s="10" t="str">
        <f t="shared" si="245"/>
        <v>no</v>
      </c>
      <c r="K929" s="10" t="str">
        <f t="shared" si="246"/>
        <v>no</v>
      </c>
      <c r="L929" t="s">
        <v>450</v>
      </c>
      <c r="M929">
        <v>10597</v>
      </c>
      <c r="N929">
        <v>65</v>
      </c>
      <c r="O929" t="s">
        <v>689</v>
      </c>
      <c r="P929" t="str">
        <f t="shared" si="247"/>
        <v>PICCO_10597_Louisiana Fiery Hot Pepper Sauce</v>
      </c>
      <c r="Q929" t="str">
        <f t="shared" si="248"/>
        <v>10597</v>
      </c>
      <c r="R929" t="str">
        <f t="shared" si="249"/>
        <v>10597</v>
      </c>
      <c r="S929" t="str">
        <f t="shared" si="250"/>
        <v>Louisiana Fiery Hot Pepper Sauce</v>
      </c>
      <c r="T929">
        <v>21.05</v>
      </c>
      <c r="U929">
        <v>12</v>
      </c>
      <c r="V929">
        <v>0.2</v>
      </c>
      <c r="W929">
        <f t="shared" si="251"/>
        <v>202.08000000000004</v>
      </c>
      <c r="X929" t="str">
        <f t="shared" si="252"/>
        <v>No</v>
      </c>
      <c r="Y929" s="2">
        <v>34922</v>
      </c>
      <c r="Z929" t="str">
        <f t="shared" si="238"/>
        <v/>
      </c>
      <c r="AA929" t="str">
        <f t="shared" si="253"/>
        <v/>
      </c>
      <c r="AB929" t="str" cm="1">
        <f t="array" ref="AB929">_xlfn.IFS(Y929&lt;DATE(1996,1,1),"",Y929&lt;DATE(1996,4,1),"Q1",Y929&lt;DATE(1996,7,1),"Q2",Y929&gt;=DATE(1996,7,1),"")</f>
        <v/>
      </c>
    </row>
    <row r="930" spans="1:28" ht="14.4" x14ac:dyDescent="0.55000000000000004">
      <c r="A930" t="str">
        <f>VLOOKUP(L930,Customers!$A$2:$B$92,2,FALSE)</f>
        <v>Rattlesnake Canyon Grocery</v>
      </c>
      <c r="B930" t="str">
        <f>VLOOKUP(L930,Customers!$A$2:$C$92,3,TRUE)</f>
        <v>Paula Wilson</v>
      </c>
      <c r="C930" t="str">
        <f t="shared" si="239"/>
        <v>Paula</v>
      </c>
      <c r="D930" s="8" t="str">
        <f t="shared" si="240"/>
        <v>Wilson</v>
      </c>
      <c r="E930" s="8" t="str">
        <f t="shared" si="241"/>
        <v>Wilson, Paula</v>
      </c>
      <c r="F930" s="8" t="str">
        <f t="shared" si="242"/>
        <v>Wilson, Paula</v>
      </c>
      <c r="G930" s="8" t="str">
        <f t="shared" si="243"/>
        <v>not an outlier</v>
      </c>
      <c r="H930" s="8" t="str">
        <f t="shared" si="244"/>
        <v>Not</v>
      </c>
      <c r="I930" s="8" t="str">
        <f t="shared" si="254"/>
        <v>no</v>
      </c>
      <c r="J930" s="10" t="str">
        <f t="shared" si="245"/>
        <v>no</v>
      </c>
      <c r="K930" s="10" t="str">
        <f t="shared" si="246"/>
        <v>no</v>
      </c>
      <c r="L930" t="s">
        <v>487</v>
      </c>
      <c r="M930">
        <v>10598</v>
      </c>
      <c r="N930">
        <v>27</v>
      </c>
      <c r="O930" t="s">
        <v>707</v>
      </c>
      <c r="P930" t="str">
        <f t="shared" si="247"/>
        <v>RATTC_10598_Schoggi Schokolade</v>
      </c>
      <c r="Q930" t="str">
        <f t="shared" si="248"/>
        <v>10598</v>
      </c>
      <c r="R930" t="str">
        <f t="shared" si="249"/>
        <v>10598</v>
      </c>
      <c r="S930" t="str">
        <f t="shared" si="250"/>
        <v>Schoggi Schokolade</v>
      </c>
      <c r="T930">
        <v>43.9</v>
      </c>
      <c r="U930">
        <v>50</v>
      </c>
      <c r="V930">
        <v>0</v>
      </c>
      <c r="W930">
        <f t="shared" si="251"/>
        <v>2195</v>
      </c>
      <c r="X930" t="str">
        <f t="shared" si="252"/>
        <v>No</v>
      </c>
      <c r="Y930" s="2">
        <v>34925</v>
      </c>
      <c r="Z930" t="str">
        <f t="shared" si="238"/>
        <v/>
      </c>
      <c r="AA930" t="str">
        <f t="shared" si="253"/>
        <v/>
      </c>
      <c r="AB930" t="str" cm="1">
        <f t="array" ref="AB930">_xlfn.IFS(Y930&lt;DATE(1996,1,1),"",Y930&lt;DATE(1996,4,1),"Q1",Y930&lt;DATE(1996,7,1),"Q2",Y930&gt;=DATE(1996,7,1),"")</f>
        <v/>
      </c>
    </row>
    <row r="931" spans="1:28" ht="14.4" x14ac:dyDescent="0.55000000000000004">
      <c r="A931" t="str">
        <f>VLOOKUP(L931,Customers!$A$2:$B$92,2,FALSE)</f>
        <v>Rattlesnake Canyon Grocery</v>
      </c>
      <c r="B931" t="str">
        <f>VLOOKUP(L931,Customers!$A$2:$C$92,3,TRUE)</f>
        <v>Paula Wilson</v>
      </c>
      <c r="C931" t="str">
        <f t="shared" si="239"/>
        <v>Paula</v>
      </c>
      <c r="D931" s="8" t="str">
        <f t="shared" si="240"/>
        <v>Wilson</v>
      </c>
      <c r="E931" s="8" t="str">
        <f t="shared" si="241"/>
        <v>Wilson, Paula</v>
      </c>
      <c r="F931" s="8" t="str">
        <f t="shared" si="242"/>
        <v>Wilson, Paula</v>
      </c>
      <c r="G931" s="8" t="str">
        <f t="shared" si="243"/>
        <v>not an outlier</v>
      </c>
      <c r="H931" s="8" t="str">
        <f t="shared" si="244"/>
        <v>Not</v>
      </c>
      <c r="I931" s="8" t="str">
        <f t="shared" si="254"/>
        <v>no</v>
      </c>
      <c r="J931" s="10" t="str">
        <f t="shared" si="245"/>
        <v>no</v>
      </c>
      <c r="K931" s="10" t="str">
        <f t="shared" si="246"/>
        <v>no</v>
      </c>
      <c r="L931" t="s">
        <v>487</v>
      </c>
      <c r="M931">
        <v>10598</v>
      </c>
      <c r="N931">
        <v>71</v>
      </c>
      <c r="O931" t="s">
        <v>725</v>
      </c>
      <c r="P931" t="str">
        <f t="shared" si="247"/>
        <v>RATTC_10598_Fløtemysost</v>
      </c>
      <c r="Q931" t="str">
        <f t="shared" si="248"/>
        <v>10598</v>
      </c>
      <c r="R931" t="str">
        <f t="shared" si="249"/>
        <v>10598</v>
      </c>
      <c r="S931" t="str">
        <f t="shared" si="250"/>
        <v>Fløtemysost</v>
      </c>
      <c r="T931">
        <v>21.5</v>
      </c>
      <c r="U931">
        <v>9</v>
      </c>
      <c r="V931">
        <v>0</v>
      </c>
      <c r="W931">
        <f t="shared" si="251"/>
        <v>193.5</v>
      </c>
      <c r="X931" t="str">
        <f t="shared" si="252"/>
        <v>No</v>
      </c>
      <c r="Y931" s="2">
        <v>34925</v>
      </c>
      <c r="Z931" t="str">
        <f t="shared" si="238"/>
        <v/>
      </c>
      <c r="AA931" t="str">
        <f t="shared" si="253"/>
        <v/>
      </c>
      <c r="AB931" t="str" cm="1">
        <f t="array" ref="AB931">_xlfn.IFS(Y931&lt;DATE(1996,1,1),"",Y931&lt;DATE(1996,4,1),"Q1",Y931&lt;DATE(1996,7,1),"Q2",Y931&gt;=DATE(1996,7,1),"")</f>
        <v/>
      </c>
    </row>
    <row r="932" spans="1:28" ht="14.4" x14ac:dyDescent="0.55000000000000004">
      <c r="A932" t="str">
        <f>VLOOKUP(L932,Customers!$A$2:$B$92,2,FALSE)</f>
        <v>B's Beverages</v>
      </c>
      <c r="B932" t="str">
        <f>VLOOKUP(L932,Customers!$A$2:$C$92,3,TRUE)</f>
        <v>Victoria Ashworth</v>
      </c>
      <c r="C932" t="str">
        <f t="shared" si="239"/>
        <v>Victoria</v>
      </c>
      <c r="D932" s="8" t="str">
        <f t="shared" si="240"/>
        <v>Ashworth</v>
      </c>
      <c r="E932" s="8" t="str">
        <f t="shared" si="241"/>
        <v>Ashworth, Victoria</v>
      </c>
      <c r="F932" s="8" t="str">
        <f t="shared" si="242"/>
        <v>Ashworth, Victoria</v>
      </c>
      <c r="G932" s="8" t="str">
        <f t="shared" si="243"/>
        <v>not an outlier</v>
      </c>
      <c r="H932" s="8" t="str">
        <f t="shared" si="244"/>
        <v>Not</v>
      </c>
      <c r="I932" s="8" t="str">
        <f t="shared" si="254"/>
        <v>no</v>
      </c>
      <c r="J932" s="10" t="str">
        <f t="shared" si="245"/>
        <v>no</v>
      </c>
      <c r="K932" s="10" t="str">
        <f t="shared" si="246"/>
        <v>no</v>
      </c>
      <c r="L932" t="s">
        <v>95</v>
      </c>
      <c r="M932">
        <v>10599</v>
      </c>
      <c r="N932">
        <v>62</v>
      </c>
      <c r="O932" t="s">
        <v>712</v>
      </c>
      <c r="P932" t="str">
        <f t="shared" si="247"/>
        <v>BSBEV_10599_Tarte au sucre</v>
      </c>
      <c r="Q932" t="str">
        <f t="shared" si="248"/>
        <v>10599</v>
      </c>
      <c r="R932" t="str">
        <f t="shared" si="249"/>
        <v>10599</v>
      </c>
      <c r="S932" t="str">
        <f t="shared" si="250"/>
        <v>Tarte au sucre</v>
      </c>
      <c r="T932">
        <v>49.3</v>
      </c>
      <c r="U932">
        <v>10</v>
      </c>
      <c r="V932">
        <v>0</v>
      </c>
      <c r="W932">
        <f t="shared" si="251"/>
        <v>493</v>
      </c>
      <c r="X932" t="str">
        <f t="shared" si="252"/>
        <v>No</v>
      </c>
      <c r="Y932" s="2">
        <v>34926</v>
      </c>
      <c r="Z932" t="str">
        <f t="shared" si="238"/>
        <v/>
      </c>
      <c r="AA932" t="str">
        <f t="shared" si="253"/>
        <v/>
      </c>
      <c r="AB932" t="str" cm="1">
        <f t="array" ref="AB932">_xlfn.IFS(Y932&lt;DATE(1996,1,1),"",Y932&lt;DATE(1996,4,1),"Q1",Y932&lt;DATE(1996,7,1),"Q2",Y932&gt;=DATE(1996,7,1),"")</f>
        <v/>
      </c>
    </row>
    <row r="933" spans="1:28" ht="14.4" x14ac:dyDescent="0.55000000000000004">
      <c r="A933" t="str">
        <f>VLOOKUP(L933,Customers!$A$2:$B$92,2,FALSE)</f>
        <v>Hungry Coyote Import Store</v>
      </c>
      <c r="B933" t="str">
        <f>VLOOKUP(L933,Customers!$A$2:$C$92,3,TRUE)</f>
        <v>Yoshi Latimer</v>
      </c>
      <c r="C933" t="str">
        <f t="shared" si="239"/>
        <v>Yoshi</v>
      </c>
      <c r="D933" s="8" t="str">
        <f t="shared" si="240"/>
        <v>Latimer</v>
      </c>
      <c r="E933" s="8" t="str">
        <f t="shared" si="241"/>
        <v>Latimer, Yoshi</v>
      </c>
      <c r="F933" s="8" t="str">
        <f t="shared" si="242"/>
        <v>Latimer, Yoshi</v>
      </c>
      <c r="G933" s="8" t="str">
        <f t="shared" si="243"/>
        <v>not an outlier</v>
      </c>
      <c r="H933" s="8" t="str">
        <f t="shared" si="244"/>
        <v>Not</v>
      </c>
      <c r="I933" s="8" t="str">
        <f t="shared" si="254"/>
        <v>no</v>
      </c>
      <c r="J933" s="10" t="str">
        <f t="shared" si="245"/>
        <v>no</v>
      </c>
      <c r="K933" s="10" t="str">
        <f t="shared" si="246"/>
        <v>no</v>
      </c>
      <c r="L933" t="s">
        <v>281</v>
      </c>
      <c r="M933">
        <v>10600</v>
      </c>
      <c r="N933">
        <v>54</v>
      </c>
      <c r="O933" t="s">
        <v>738</v>
      </c>
      <c r="P933" t="str">
        <f t="shared" si="247"/>
        <v>HUNGC_10600_Tourtière</v>
      </c>
      <c r="Q933" t="str">
        <f t="shared" si="248"/>
        <v>10600</v>
      </c>
      <c r="R933" t="str">
        <f t="shared" si="249"/>
        <v>10600</v>
      </c>
      <c r="S933" t="str">
        <f t="shared" si="250"/>
        <v>Tourtière</v>
      </c>
      <c r="T933">
        <v>7.45</v>
      </c>
      <c r="U933">
        <v>4</v>
      </c>
      <c r="V933">
        <v>0</v>
      </c>
      <c r="W933">
        <f t="shared" si="251"/>
        <v>29.8</v>
      </c>
      <c r="X933" t="str">
        <f t="shared" si="252"/>
        <v>No</v>
      </c>
      <c r="Y933" s="2">
        <v>34927</v>
      </c>
      <c r="Z933" t="str">
        <f t="shared" si="238"/>
        <v/>
      </c>
      <c r="AA933" t="str">
        <f t="shared" si="253"/>
        <v/>
      </c>
      <c r="AB933" t="str" cm="1">
        <f t="array" ref="AB933">_xlfn.IFS(Y933&lt;DATE(1996,1,1),"",Y933&lt;DATE(1996,4,1),"Q1",Y933&lt;DATE(1996,7,1),"Q2",Y933&gt;=DATE(1996,7,1),"")</f>
        <v/>
      </c>
    </row>
    <row r="934" spans="1:28" ht="14.4" x14ac:dyDescent="0.55000000000000004">
      <c r="A934" t="str">
        <f>VLOOKUP(L934,Customers!$A$2:$B$92,2,FALSE)</f>
        <v>Hungry Coyote Import Store</v>
      </c>
      <c r="B934" t="str">
        <f>VLOOKUP(L934,Customers!$A$2:$C$92,3,TRUE)</f>
        <v>Yoshi Latimer</v>
      </c>
      <c r="C934" t="str">
        <f t="shared" si="239"/>
        <v>Yoshi</v>
      </c>
      <c r="D934" s="8" t="str">
        <f t="shared" si="240"/>
        <v>Latimer</v>
      </c>
      <c r="E934" s="8" t="str">
        <f t="shared" si="241"/>
        <v>Latimer, Yoshi</v>
      </c>
      <c r="F934" s="8" t="str">
        <f t="shared" si="242"/>
        <v>Latimer, Yoshi</v>
      </c>
      <c r="G934" s="8" t="str">
        <f t="shared" si="243"/>
        <v>not an outlier</v>
      </c>
      <c r="H934" s="8" t="str">
        <f t="shared" si="244"/>
        <v>Not</v>
      </c>
      <c r="I934" s="8" t="str">
        <f t="shared" si="254"/>
        <v>no</v>
      </c>
      <c r="J934" s="10" t="str">
        <f t="shared" si="245"/>
        <v>no</v>
      </c>
      <c r="K934" s="10" t="str">
        <f t="shared" si="246"/>
        <v>no</v>
      </c>
      <c r="L934" t="s">
        <v>281</v>
      </c>
      <c r="M934">
        <v>10600</v>
      </c>
      <c r="N934">
        <v>73</v>
      </c>
      <c r="O934" t="s">
        <v>730</v>
      </c>
      <c r="P934" t="str">
        <f t="shared" si="247"/>
        <v>HUNGC_10600_Röd Kaviar</v>
      </c>
      <c r="Q934" t="str">
        <f t="shared" si="248"/>
        <v>10600</v>
      </c>
      <c r="R934" t="str">
        <f t="shared" si="249"/>
        <v>10600</v>
      </c>
      <c r="S934" t="str">
        <f t="shared" si="250"/>
        <v>Röd Kaviar</v>
      </c>
      <c r="T934">
        <v>15</v>
      </c>
      <c r="U934">
        <v>30</v>
      </c>
      <c r="V934">
        <v>0</v>
      </c>
      <c r="W934">
        <f t="shared" si="251"/>
        <v>450</v>
      </c>
      <c r="X934" t="str">
        <f t="shared" si="252"/>
        <v>No</v>
      </c>
      <c r="Y934" s="2">
        <v>34927</v>
      </c>
      <c r="Z934" t="str">
        <f t="shared" si="238"/>
        <v/>
      </c>
      <c r="AA934" t="str">
        <f t="shared" si="253"/>
        <v/>
      </c>
      <c r="AB934" t="str" cm="1">
        <f t="array" ref="AB934">_xlfn.IFS(Y934&lt;DATE(1996,1,1),"",Y934&lt;DATE(1996,4,1),"Q1",Y934&lt;DATE(1996,7,1),"Q2",Y934&gt;=DATE(1996,7,1),"")</f>
        <v/>
      </c>
    </row>
    <row r="935" spans="1:28" ht="14.4" x14ac:dyDescent="0.55000000000000004">
      <c r="A935" t="str">
        <f>VLOOKUP(L935,Customers!$A$2:$B$92,2,FALSE)</f>
        <v>HILARIÓN-Abastos</v>
      </c>
      <c r="B935" t="str">
        <f>VLOOKUP(L935,Customers!$A$2:$C$92,3,TRUE)</f>
        <v>Carlos Hernández</v>
      </c>
      <c r="C935" t="str">
        <f t="shared" si="239"/>
        <v>Carlos</v>
      </c>
      <c r="D935" s="8" t="str">
        <f t="shared" si="240"/>
        <v>Hernández</v>
      </c>
      <c r="E935" s="8" t="str">
        <f t="shared" si="241"/>
        <v>Hernández, Carlos</v>
      </c>
      <c r="F935" s="8" t="str">
        <f t="shared" si="242"/>
        <v>Hernández, Carlos</v>
      </c>
      <c r="G935" s="8" t="str">
        <f t="shared" si="243"/>
        <v>not an outlier</v>
      </c>
      <c r="H935" s="8" t="str">
        <f t="shared" si="244"/>
        <v>Not</v>
      </c>
      <c r="I935" s="8" t="str">
        <f t="shared" si="254"/>
        <v>no</v>
      </c>
      <c r="J935" s="10" t="str">
        <f t="shared" si="245"/>
        <v>no</v>
      </c>
      <c r="K935" s="10" t="str">
        <f t="shared" si="246"/>
        <v>no</v>
      </c>
      <c r="L935" t="s">
        <v>273</v>
      </c>
      <c r="M935">
        <v>10601</v>
      </c>
      <c r="N935">
        <v>13</v>
      </c>
      <c r="O935" t="s">
        <v>726</v>
      </c>
      <c r="P935" t="str">
        <f t="shared" si="247"/>
        <v>HILAA_10601_Konbu</v>
      </c>
      <c r="Q935" t="str">
        <f t="shared" si="248"/>
        <v>10601</v>
      </c>
      <c r="R935" t="str">
        <f t="shared" si="249"/>
        <v>10601</v>
      </c>
      <c r="S935" t="str">
        <f t="shared" si="250"/>
        <v>Konbu</v>
      </c>
      <c r="T935">
        <v>6</v>
      </c>
      <c r="U935">
        <v>60</v>
      </c>
      <c r="V935">
        <v>0</v>
      </c>
      <c r="W935">
        <f t="shared" si="251"/>
        <v>360</v>
      </c>
      <c r="X935" t="str">
        <f t="shared" si="252"/>
        <v>No</v>
      </c>
      <c r="Y935" s="2">
        <v>34927</v>
      </c>
      <c r="Z935" t="str">
        <f t="shared" si="238"/>
        <v/>
      </c>
      <c r="AA935" t="str">
        <f t="shared" si="253"/>
        <v/>
      </c>
      <c r="AB935" t="str" cm="1">
        <f t="array" ref="AB935">_xlfn.IFS(Y935&lt;DATE(1996,1,1),"",Y935&lt;DATE(1996,4,1),"Q1",Y935&lt;DATE(1996,7,1),"Q2",Y935&gt;=DATE(1996,7,1),"")</f>
        <v/>
      </c>
    </row>
    <row r="936" spans="1:28" ht="14.4" x14ac:dyDescent="0.55000000000000004">
      <c r="A936" t="str">
        <f>VLOOKUP(L936,Customers!$A$2:$B$92,2,FALSE)</f>
        <v>HILARIÓN-Abastos</v>
      </c>
      <c r="B936" t="str">
        <f>VLOOKUP(L936,Customers!$A$2:$C$92,3,TRUE)</f>
        <v>Carlos Hernández</v>
      </c>
      <c r="C936" t="str">
        <f t="shared" si="239"/>
        <v>Carlos</v>
      </c>
      <c r="D936" s="8" t="str">
        <f t="shared" si="240"/>
        <v>Hernández</v>
      </c>
      <c r="E936" s="8" t="str">
        <f t="shared" si="241"/>
        <v>Hernández, Carlos</v>
      </c>
      <c r="F936" s="8" t="str">
        <f t="shared" si="242"/>
        <v>Hernández, Carlos</v>
      </c>
      <c r="G936" s="8" t="str">
        <f t="shared" si="243"/>
        <v>not an outlier</v>
      </c>
      <c r="H936" s="8" t="str">
        <f t="shared" si="244"/>
        <v>Not</v>
      </c>
      <c r="I936" s="8" t="str">
        <f t="shared" si="254"/>
        <v>no</v>
      </c>
      <c r="J936" s="10" t="str">
        <f t="shared" si="245"/>
        <v>no</v>
      </c>
      <c r="K936" s="10" t="str">
        <f t="shared" si="246"/>
        <v>no</v>
      </c>
      <c r="L936" t="s">
        <v>273</v>
      </c>
      <c r="M936">
        <v>10601</v>
      </c>
      <c r="N936">
        <v>59</v>
      </c>
      <c r="O936" t="s">
        <v>704</v>
      </c>
      <c r="P936" t="str">
        <f t="shared" si="247"/>
        <v>HILAA_10601_Raclette Courdavault</v>
      </c>
      <c r="Q936" t="str">
        <f t="shared" si="248"/>
        <v>10601</v>
      </c>
      <c r="R936" t="str">
        <f t="shared" si="249"/>
        <v>10601</v>
      </c>
      <c r="S936" t="str">
        <f t="shared" si="250"/>
        <v>Raclette Courdavault</v>
      </c>
      <c r="T936">
        <v>55</v>
      </c>
      <c r="U936">
        <v>35</v>
      </c>
      <c r="V936">
        <v>0</v>
      </c>
      <c r="W936">
        <f t="shared" si="251"/>
        <v>1925</v>
      </c>
      <c r="X936" t="str">
        <f t="shared" si="252"/>
        <v>No</v>
      </c>
      <c r="Y936" s="2">
        <v>34927</v>
      </c>
      <c r="Z936" t="str">
        <f t="shared" si="238"/>
        <v/>
      </c>
      <c r="AA936" t="str">
        <f t="shared" si="253"/>
        <v/>
      </c>
      <c r="AB936" t="str" cm="1">
        <f t="array" ref="AB936">_xlfn.IFS(Y936&lt;DATE(1996,1,1),"",Y936&lt;DATE(1996,4,1),"Q1",Y936&lt;DATE(1996,7,1),"Q2",Y936&gt;=DATE(1996,7,1),"")</f>
        <v/>
      </c>
    </row>
    <row r="937" spans="1:28" ht="14.4" x14ac:dyDescent="0.55000000000000004">
      <c r="A937" t="str">
        <f>VLOOKUP(L937,Customers!$A$2:$B$92,2,FALSE)</f>
        <v>Vaffeljernet</v>
      </c>
      <c r="B937" t="str">
        <f>VLOOKUP(L937,Customers!$A$2:$C$92,3,TRUE)</f>
        <v>Palle Ibsen</v>
      </c>
      <c r="C937" t="str">
        <f t="shared" si="239"/>
        <v>Palle</v>
      </c>
      <c r="D937" s="8" t="str">
        <f t="shared" si="240"/>
        <v>Ibsen</v>
      </c>
      <c r="E937" s="8" t="str">
        <f t="shared" si="241"/>
        <v>Ibsen, Palle</v>
      </c>
      <c r="F937" s="8" t="str">
        <f t="shared" si="242"/>
        <v>Ibsen, Palle</v>
      </c>
      <c r="G937" s="8" t="str">
        <f t="shared" si="243"/>
        <v>not an outlier</v>
      </c>
      <c r="H937" s="8" t="str">
        <f t="shared" si="244"/>
        <v>Not</v>
      </c>
      <c r="I937" s="8" t="str">
        <f t="shared" si="254"/>
        <v>no</v>
      </c>
      <c r="J937" s="10" t="str">
        <f t="shared" si="245"/>
        <v>no</v>
      </c>
      <c r="K937" s="10" t="str">
        <f t="shared" si="246"/>
        <v>no</v>
      </c>
      <c r="L937" t="s">
        <v>612</v>
      </c>
      <c r="M937">
        <v>10602</v>
      </c>
      <c r="N937">
        <v>77</v>
      </c>
      <c r="O937" t="s">
        <v>706</v>
      </c>
      <c r="P937" t="str">
        <f t="shared" si="247"/>
        <v>VAFFE_10602_Original Frankfurter grüne Soße</v>
      </c>
      <c r="Q937" t="str">
        <f t="shared" si="248"/>
        <v>10602</v>
      </c>
      <c r="R937" t="str">
        <f t="shared" si="249"/>
        <v>10602</v>
      </c>
      <c r="S937" t="str">
        <f t="shared" si="250"/>
        <v>Original Frankfurter grüne Soße</v>
      </c>
      <c r="T937">
        <v>13</v>
      </c>
      <c r="U937">
        <v>5</v>
      </c>
      <c r="V937">
        <v>0.25</v>
      </c>
      <c r="W937">
        <f t="shared" si="251"/>
        <v>48.75</v>
      </c>
      <c r="X937" t="str">
        <f t="shared" si="252"/>
        <v>No</v>
      </c>
      <c r="Y937" s="2">
        <v>34928</v>
      </c>
      <c r="Z937" t="str">
        <f t="shared" si="238"/>
        <v/>
      </c>
      <c r="AA937" t="str">
        <f t="shared" si="253"/>
        <v/>
      </c>
      <c r="AB937" t="str" cm="1">
        <f t="array" ref="AB937">_xlfn.IFS(Y937&lt;DATE(1996,1,1),"",Y937&lt;DATE(1996,4,1),"Q1",Y937&lt;DATE(1996,7,1),"Q2",Y937&gt;=DATE(1996,7,1),"")</f>
        <v/>
      </c>
    </row>
    <row r="938" spans="1:28" ht="14.4" x14ac:dyDescent="0.55000000000000004">
      <c r="A938" t="str">
        <f>VLOOKUP(L938,Customers!$A$2:$B$92,2,FALSE)</f>
        <v>Save-a-lot Markets</v>
      </c>
      <c r="B938" t="str">
        <f>VLOOKUP(L938,Customers!$A$2:$C$92,3,TRUE)</f>
        <v>Jose Pavarotti</v>
      </c>
      <c r="C938" t="str">
        <f t="shared" si="239"/>
        <v>Jose</v>
      </c>
      <c r="D938" s="8" t="str">
        <f t="shared" si="240"/>
        <v>Pavarotti</v>
      </c>
      <c r="E938" s="8" t="str">
        <f t="shared" si="241"/>
        <v>Pavarotti, Jose</v>
      </c>
      <c r="F938" s="8" t="str">
        <f t="shared" si="242"/>
        <v>Pavarotti, Jose</v>
      </c>
      <c r="G938" s="8" t="str">
        <f t="shared" si="243"/>
        <v>not an outlier</v>
      </c>
      <c r="H938" s="8" t="str">
        <f t="shared" si="244"/>
        <v>Not</v>
      </c>
      <c r="I938" s="8" t="str">
        <f t="shared" si="254"/>
        <v>no</v>
      </c>
      <c r="J938" s="10" t="str">
        <f t="shared" si="245"/>
        <v>no</v>
      </c>
      <c r="K938" s="10" t="str">
        <f t="shared" si="246"/>
        <v>no</v>
      </c>
      <c r="L938" t="s">
        <v>529</v>
      </c>
      <c r="M938">
        <v>10603</v>
      </c>
      <c r="N938">
        <v>22</v>
      </c>
      <c r="O938" t="s">
        <v>690</v>
      </c>
      <c r="P938" t="str">
        <f t="shared" si="247"/>
        <v>SAVEA_10603_Gustaf's Knäckebröd</v>
      </c>
      <c r="Q938" t="str">
        <f t="shared" si="248"/>
        <v>10603</v>
      </c>
      <c r="R938" t="str">
        <f t="shared" si="249"/>
        <v>10603</v>
      </c>
      <c r="S938" t="str">
        <f t="shared" si="250"/>
        <v>Gustaf's Knäckebröd</v>
      </c>
      <c r="T938">
        <v>21</v>
      </c>
      <c r="U938">
        <v>48</v>
      </c>
      <c r="V938">
        <v>0</v>
      </c>
      <c r="W938">
        <f t="shared" si="251"/>
        <v>1008</v>
      </c>
      <c r="X938" t="str">
        <f t="shared" si="252"/>
        <v>No</v>
      </c>
      <c r="Y938" s="2">
        <v>34929</v>
      </c>
      <c r="Z938" t="str">
        <f t="shared" si="238"/>
        <v/>
      </c>
      <c r="AA938" t="str">
        <f t="shared" si="253"/>
        <v/>
      </c>
      <c r="AB938" t="str" cm="1">
        <f t="array" ref="AB938">_xlfn.IFS(Y938&lt;DATE(1996,1,1),"",Y938&lt;DATE(1996,4,1),"Q1",Y938&lt;DATE(1996,7,1),"Q2",Y938&gt;=DATE(1996,7,1),"")</f>
        <v/>
      </c>
    </row>
    <row r="939" spans="1:28" ht="14.4" x14ac:dyDescent="0.55000000000000004">
      <c r="A939" t="str">
        <f>VLOOKUP(L939,Customers!$A$2:$B$92,2,FALSE)</f>
        <v>Save-a-lot Markets</v>
      </c>
      <c r="B939" t="str">
        <f>VLOOKUP(L939,Customers!$A$2:$C$92,3,TRUE)</f>
        <v>Jose Pavarotti</v>
      </c>
      <c r="C939" t="str">
        <f t="shared" si="239"/>
        <v>Jose</v>
      </c>
      <c r="D939" s="8" t="str">
        <f t="shared" si="240"/>
        <v>Pavarotti</v>
      </c>
      <c r="E939" s="8" t="str">
        <f t="shared" si="241"/>
        <v>Pavarotti, Jose</v>
      </c>
      <c r="F939" s="8" t="str">
        <f t="shared" si="242"/>
        <v>Pavarotti, Jose</v>
      </c>
      <c r="G939" s="8" t="str">
        <f t="shared" si="243"/>
        <v>not an outlier</v>
      </c>
      <c r="H939" s="8" t="str">
        <f t="shared" si="244"/>
        <v>Not</v>
      </c>
      <c r="I939" s="8" t="str">
        <f t="shared" si="254"/>
        <v>no</v>
      </c>
      <c r="J939" s="10" t="str">
        <f t="shared" si="245"/>
        <v>no</v>
      </c>
      <c r="K939" s="10" t="str">
        <f t="shared" si="246"/>
        <v>no</v>
      </c>
      <c r="L939" t="s">
        <v>529</v>
      </c>
      <c r="M939">
        <v>10603</v>
      </c>
      <c r="N939">
        <v>49</v>
      </c>
      <c r="O939" t="s">
        <v>697</v>
      </c>
      <c r="P939" t="str">
        <f t="shared" si="247"/>
        <v>SAVEA_10603_Maxilaku</v>
      </c>
      <c r="Q939" t="str">
        <f t="shared" si="248"/>
        <v>10603</v>
      </c>
      <c r="R939" t="str">
        <f t="shared" si="249"/>
        <v>10603</v>
      </c>
      <c r="S939" t="str">
        <f t="shared" si="250"/>
        <v>Maxilaku</v>
      </c>
      <c r="T939">
        <v>20</v>
      </c>
      <c r="U939">
        <v>25</v>
      </c>
      <c r="V939">
        <v>0.05</v>
      </c>
      <c r="W939">
        <f t="shared" si="251"/>
        <v>475</v>
      </c>
      <c r="X939" t="str">
        <f t="shared" si="252"/>
        <v>No</v>
      </c>
      <c r="Y939" s="2">
        <v>34929</v>
      </c>
      <c r="Z939" t="str">
        <f t="shared" si="238"/>
        <v/>
      </c>
      <c r="AA939" t="str">
        <f t="shared" si="253"/>
        <v/>
      </c>
      <c r="AB939" t="str" cm="1">
        <f t="array" ref="AB939">_xlfn.IFS(Y939&lt;DATE(1996,1,1),"",Y939&lt;DATE(1996,4,1),"Q1",Y939&lt;DATE(1996,7,1),"Q2",Y939&gt;=DATE(1996,7,1),"")</f>
        <v/>
      </c>
    </row>
    <row r="940" spans="1:28" ht="14.4" x14ac:dyDescent="0.55000000000000004">
      <c r="A940" t="str">
        <f>VLOOKUP(L940,Customers!$A$2:$B$92,2,FALSE)</f>
        <v>Furia Bacalhau e Frutos do Mar</v>
      </c>
      <c r="B940" t="str">
        <f>VLOOKUP(L940,Customers!$A$2:$C$92,3,TRUE)</f>
        <v>Lino Rodriguez</v>
      </c>
      <c r="C940" t="str">
        <f t="shared" si="239"/>
        <v>Lino</v>
      </c>
      <c r="D940" s="8" t="str">
        <f t="shared" si="240"/>
        <v>Rodriguez</v>
      </c>
      <c r="E940" s="8" t="str">
        <f t="shared" si="241"/>
        <v>Rodriguez, Lino</v>
      </c>
      <c r="F940" s="8" t="str">
        <f t="shared" si="242"/>
        <v>Rodriguez, Lino</v>
      </c>
      <c r="G940" s="8" t="str">
        <f t="shared" si="243"/>
        <v>not an outlier</v>
      </c>
      <c r="H940" s="8" t="str">
        <f t="shared" si="244"/>
        <v>Not</v>
      </c>
      <c r="I940" s="8" t="str">
        <f t="shared" si="254"/>
        <v>no</v>
      </c>
      <c r="J940" s="10" t="str">
        <f t="shared" si="245"/>
        <v>no</v>
      </c>
      <c r="K940" s="10" t="str">
        <f t="shared" si="246"/>
        <v>no</v>
      </c>
      <c r="L940" t="s">
        <v>219</v>
      </c>
      <c r="M940">
        <v>10604</v>
      </c>
      <c r="N940">
        <v>48</v>
      </c>
      <c r="O940" t="s">
        <v>757</v>
      </c>
      <c r="P940" t="str">
        <f t="shared" si="247"/>
        <v>FURIB_10604_Chocolade</v>
      </c>
      <c r="Q940" t="str">
        <f t="shared" si="248"/>
        <v>10604</v>
      </c>
      <c r="R940" t="str">
        <f t="shared" si="249"/>
        <v>10604</v>
      </c>
      <c r="S940" t="str">
        <f t="shared" si="250"/>
        <v>Chocolade</v>
      </c>
      <c r="T940">
        <v>12.75</v>
      </c>
      <c r="U940">
        <v>6</v>
      </c>
      <c r="V940">
        <v>0.1</v>
      </c>
      <c r="W940">
        <f t="shared" si="251"/>
        <v>68.850000000000009</v>
      </c>
      <c r="X940" t="str">
        <f t="shared" si="252"/>
        <v>No</v>
      </c>
      <c r="Y940" s="2">
        <v>34929</v>
      </c>
      <c r="Z940" t="str">
        <f t="shared" si="238"/>
        <v/>
      </c>
      <c r="AA940" t="str">
        <f t="shared" si="253"/>
        <v/>
      </c>
      <c r="AB940" t="str" cm="1">
        <f t="array" ref="AB940">_xlfn.IFS(Y940&lt;DATE(1996,1,1),"",Y940&lt;DATE(1996,4,1),"Q1",Y940&lt;DATE(1996,7,1),"Q2",Y940&gt;=DATE(1996,7,1),"")</f>
        <v/>
      </c>
    </row>
    <row r="941" spans="1:28" ht="14.4" x14ac:dyDescent="0.55000000000000004">
      <c r="A941" t="str">
        <f>VLOOKUP(L941,Customers!$A$2:$B$92,2,FALSE)</f>
        <v>Furia Bacalhau e Frutos do Mar</v>
      </c>
      <c r="B941" t="str">
        <f>VLOOKUP(L941,Customers!$A$2:$C$92,3,TRUE)</f>
        <v>Lino Rodriguez</v>
      </c>
      <c r="C941" t="str">
        <f t="shared" si="239"/>
        <v>Lino</v>
      </c>
      <c r="D941" s="8" t="str">
        <f t="shared" si="240"/>
        <v>Rodriguez</v>
      </c>
      <c r="E941" s="8" t="str">
        <f t="shared" si="241"/>
        <v>Rodriguez, Lino</v>
      </c>
      <c r="F941" s="8" t="str">
        <f t="shared" si="242"/>
        <v>Rodriguez, Lino</v>
      </c>
      <c r="G941" s="8" t="str">
        <f t="shared" si="243"/>
        <v>not an outlier</v>
      </c>
      <c r="H941" s="8" t="str">
        <f t="shared" si="244"/>
        <v>Not</v>
      </c>
      <c r="I941" s="8" t="str">
        <f t="shared" si="254"/>
        <v>no</v>
      </c>
      <c r="J941" s="10" t="str">
        <f t="shared" si="245"/>
        <v>no</v>
      </c>
      <c r="K941" s="10" t="str">
        <f t="shared" si="246"/>
        <v>no</v>
      </c>
      <c r="L941" t="s">
        <v>219</v>
      </c>
      <c r="M941">
        <v>10604</v>
      </c>
      <c r="N941">
        <v>76</v>
      </c>
      <c r="O941" t="s">
        <v>721</v>
      </c>
      <c r="P941" t="str">
        <f t="shared" si="247"/>
        <v>FURIB_10604_Lakkalikööri</v>
      </c>
      <c r="Q941" t="str">
        <f t="shared" si="248"/>
        <v>10604</v>
      </c>
      <c r="R941" t="str">
        <f t="shared" si="249"/>
        <v>10604</v>
      </c>
      <c r="S941" t="str">
        <f t="shared" si="250"/>
        <v>Lakkalikööri</v>
      </c>
      <c r="T941">
        <v>18</v>
      </c>
      <c r="U941">
        <v>10</v>
      </c>
      <c r="V941">
        <v>0.1</v>
      </c>
      <c r="W941">
        <f t="shared" si="251"/>
        <v>162</v>
      </c>
      <c r="X941" t="str">
        <f t="shared" si="252"/>
        <v>No</v>
      </c>
      <c r="Y941" s="2">
        <v>34929</v>
      </c>
      <c r="Z941" t="str">
        <f t="shared" si="238"/>
        <v/>
      </c>
      <c r="AA941" t="str">
        <f t="shared" si="253"/>
        <v/>
      </c>
      <c r="AB941" t="str" cm="1">
        <f t="array" ref="AB941">_xlfn.IFS(Y941&lt;DATE(1996,1,1),"",Y941&lt;DATE(1996,4,1),"Q1",Y941&lt;DATE(1996,7,1),"Q2",Y941&gt;=DATE(1996,7,1),"")</f>
        <v/>
      </c>
    </row>
    <row r="942" spans="1:28" ht="14.4" x14ac:dyDescent="0.55000000000000004">
      <c r="A942" t="str">
        <f>VLOOKUP(L942,Customers!$A$2:$B$92,2,FALSE)</f>
        <v>Mère Paillarde</v>
      </c>
      <c r="B942" t="str">
        <f>VLOOKUP(L942,Customers!$A$2:$C$92,3,TRUE)</f>
        <v>Jean Fresnière</v>
      </c>
      <c r="C942" t="str">
        <f t="shared" si="239"/>
        <v>Jean</v>
      </c>
      <c r="D942" s="8" t="str">
        <f t="shared" si="240"/>
        <v>Fresnière</v>
      </c>
      <c r="E942" s="8" t="str">
        <f t="shared" si="241"/>
        <v>Fresnière, Jean</v>
      </c>
      <c r="F942" s="8" t="str">
        <f t="shared" si="242"/>
        <v>Fresnière, Jean</v>
      </c>
      <c r="G942" s="8" t="str">
        <f t="shared" si="243"/>
        <v>not an outlier</v>
      </c>
      <c r="H942" s="8" t="str">
        <f t="shared" si="244"/>
        <v>Not</v>
      </c>
      <c r="I942" s="8" t="str">
        <f t="shared" si="254"/>
        <v>no</v>
      </c>
      <c r="J942" s="10" t="str">
        <f t="shared" si="245"/>
        <v>no</v>
      </c>
      <c r="K942" s="10" t="str">
        <f t="shared" si="246"/>
        <v>no</v>
      </c>
      <c r="L942" t="s">
        <v>394</v>
      </c>
      <c r="M942">
        <v>10605</v>
      </c>
      <c r="N942">
        <v>16</v>
      </c>
      <c r="O942" t="s">
        <v>702</v>
      </c>
      <c r="P942" t="str">
        <f t="shared" si="247"/>
        <v>MEREP_10605_Pavlova</v>
      </c>
      <c r="Q942" t="str">
        <f t="shared" si="248"/>
        <v>10605</v>
      </c>
      <c r="R942" t="str">
        <f t="shared" si="249"/>
        <v>10605</v>
      </c>
      <c r="S942" t="str">
        <f t="shared" si="250"/>
        <v>Pavlova</v>
      </c>
      <c r="T942">
        <v>17.45</v>
      </c>
      <c r="U942">
        <v>30</v>
      </c>
      <c r="V942">
        <v>0.05</v>
      </c>
      <c r="W942">
        <f t="shared" si="251"/>
        <v>497.32499999999999</v>
      </c>
      <c r="X942" t="str">
        <f t="shared" si="252"/>
        <v>No</v>
      </c>
      <c r="Y942" s="2">
        <v>34932</v>
      </c>
      <c r="Z942" t="str">
        <f t="shared" si="238"/>
        <v/>
      </c>
      <c r="AA942" t="str">
        <f t="shared" si="253"/>
        <v/>
      </c>
      <c r="AB942" t="str" cm="1">
        <f t="array" ref="AB942">_xlfn.IFS(Y942&lt;DATE(1996,1,1),"",Y942&lt;DATE(1996,4,1),"Q1",Y942&lt;DATE(1996,7,1),"Q2",Y942&gt;=DATE(1996,7,1),"")</f>
        <v/>
      </c>
    </row>
    <row r="943" spans="1:28" ht="14.4" x14ac:dyDescent="0.55000000000000004">
      <c r="A943" t="str">
        <f>VLOOKUP(L943,Customers!$A$2:$B$92,2,FALSE)</f>
        <v>Mère Paillarde</v>
      </c>
      <c r="B943" t="str">
        <f>VLOOKUP(L943,Customers!$A$2:$C$92,3,TRUE)</f>
        <v>Jean Fresnière</v>
      </c>
      <c r="C943" t="str">
        <f t="shared" si="239"/>
        <v>Jean</v>
      </c>
      <c r="D943" s="8" t="str">
        <f t="shared" si="240"/>
        <v>Fresnière</v>
      </c>
      <c r="E943" s="8" t="str">
        <f t="shared" si="241"/>
        <v>Fresnière, Jean</v>
      </c>
      <c r="F943" s="8" t="str">
        <f t="shared" si="242"/>
        <v>Fresnière, Jean</v>
      </c>
      <c r="G943" s="8" t="str">
        <f t="shared" si="243"/>
        <v>not an outlier</v>
      </c>
      <c r="H943" s="8" t="str">
        <f t="shared" si="244"/>
        <v>Not</v>
      </c>
      <c r="I943" s="8" t="str">
        <f t="shared" si="254"/>
        <v>no</v>
      </c>
      <c r="J943" s="10" t="str">
        <f t="shared" si="245"/>
        <v>no</v>
      </c>
      <c r="K943" s="10" t="str">
        <f t="shared" si="246"/>
        <v>no</v>
      </c>
      <c r="L943" t="s">
        <v>394</v>
      </c>
      <c r="M943">
        <v>10605</v>
      </c>
      <c r="N943">
        <v>59</v>
      </c>
      <c r="O943" t="s">
        <v>704</v>
      </c>
      <c r="P943" t="str">
        <f t="shared" si="247"/>
        <v>MEREP_10605_Raclette Courdavault</v>
      </c>
      <c r="Q943" t="str">
        <f t="shared" si="248"/>
        <v>10605</v>
      </c>
      <c r="R943" t="str">
        <f t="shared" si="249"/>
        <v>10605</v>
      </c>
      <c r="S943" t="str">
        <f t="shared" si="250"/>
        <v>Raclette Courdavault</v>
      </c>
      <c r="T943">
        <v>55</v>
      </c>
      <c r="U943">
        <v>20</v>
      </c>
      <c r="V943">
        <v>0.05</v>
      </c>
      <c r="W943">
        <f t="shared" si="251"/>
        <v>1045</v>
      </c>
      <c r="X943" t="str">
        <f t="shared" si="252"/>
        <v>No</v>
      </c>
      <c r="Y943" s="2">
        <v>34932</v>
      </c>
      <c r="Z943" t="str">
        <f t="shared" si="238"/>
        <v/>
      </c>
      <c r="AA943" t="str">
        <f t="shared" si="253"/>
        <v/>
      </c>
      <c r="AB943" t="str" cm="1">
        <f t="array" ref="AB943">_xlfn.IFS(Y943&lt;DATE(1996,1,1),"",Y943&lt;DATE(1996,4,1),"Q1",Y943&lt;DATE(1996,7,1),"Q2",Y943&gt;=DATE(1996,7,1),"")</f>
        <v/>
      </c>
    </row>
    <row r="944" spans="1:28" ht="14.4" x14ac:dyDescent="0.55000000000000004">
      <c r="A944" t="str">
        <f>VLOOKUP(L944,Customers!$A$2:$B$92,2,FALSE)</f>
        <v>Mère Paillarde</v>
      </c>
      <c r="B944" t="str">
        <f>VLOOKUP(L944,Customers!$A$2:$C$92,3,TRUE)</f>
        <v>Jean Fresnière</v>
      </c>
      <c r="C944" t="str">
        <f t="shared" si="239"/>
        <v>Jean</v>
      </c>
      <c r="D944" s="8" t="str">
        <f t="shared" si="240"/>
        <v>Fresnière</v>
      </c>
      <c r="E944" s="8" t="str">
        <f t="shared" si="241"/>
        <v>Fresnière, Jean</v>
      </c>
      <c r="F944" s="8" t="str">
        <f t="shared" si="242"/>
        <v>Fresnière, Jean</v>
      </c>
      <c r="G944" s="8" t="str">
        <f t="shared" si="243"/>
        <v>not an outlier</v>
      </c>
      <c r="H944" s="8" t="str">
        <f t="shared" si="244"/>
        <v>Not</v>
      </c>
      <c r="I944" s="8" t="str">
        <f t="shared" si="254"/>
        <v>no</v>
      </c>
      <c r="J944" s="10" t="str">
        <f t="shared" si="245"/>
        <v>no</v>
      </c>
      <c r="K944" s="10" t="str">
        <f t="shared" si="246"/>
        <v>no</v>
      </c>
      <c r="L944" t="s">
        <v>394</v>
      </c>
      <c r="M944">
        <v>10605</v>
      </c>
      <c r="N944">
        <v>60</v>
      </c>
      <c r="O944" t="s">
        <v>694</v>
      </c>
      <c r="P944" t="str">
        <f t="shared" si="247"/>
        <v>MEREP_10605_Camembert Pierrot</v>
      </c>
      <c r="Q944" t="str">
        <f t="shared" si="248"/>
        <v>10605</v>
      </c>
      <c r="R944" t="str">
        <f t="shared" si="249"/>
        <v>10605</v>
      </c>
      <c r="S944" t="str">
        <f t="shared" si="250"/>
        <v>Camembert Pierrot</v>
      </c>
      <c r="T944">
        <v>34</v>
      </c>
      <c r="U944">
        <v>70</v>
      </c>
      <c r="V944">
        <v>0.05</v>
      </c>
      <c r="W944">
        <f t="shared" si="251"/>
        <v>2261</v>
      </c>
      <c r="X944" t="str">
        <f t="shared" si="252"/>
        <v>No</v>
      </c>
      <c r="Y944" s="2">
        <v>34932</v>
      </c>
      <c r="Z944" t="str">
        <f t="shared" si="238"/>
        <v/>
      </c>
      <c r="AA944" t="str">
        <f t="shared" si="253"/>
        <v/>
      </c>
      <c r="AB944" t="str" cm="1">
        <f t="array" ref="AB944">_xlfn.IFS(Y944&lt;DATE(1996,1,1),"",Y944&lt;DATE(1996,4,1),"Q1",Y944&lt;DATE(1996,7,1),"Q2",Y944&gt;=DATE(1996,7,1),"")</f>
        <v/>
      </c>
    </row>
    <row r="945" spans="1:28" ht="14.4" x14ac:dyDescent="0.55000000000000004">
      <c r="A945" t="str">
        <f>VLOOKUP(L945,Customers!$A$2:$B$92,2,FALSE)</f>
        <v>Mère Paillarde</v>
      </c>
      <c r="B945" t="str">
        <f>VLOOKUP(L945,Customers!$A$2:$C$92,3,TRUE)</f>
        <v>Jean Fresnière</v>
      </c>
      <c r="C945" t="str">
        <f t="shared" si="239"/>
        <v>Jean</v>
      </c>
      <c r="D945" s="8" t="str">
        <f t="shared" si="240"/>
        <v>Fresnière</v>
      </c>
      <c r="E945" s="8" t="str">
        <f t="shared" si="241"/>
        <v>Fresnière, Jean</v>
      </c>
      <c r="F945" s="8" t="str">
        <f t="shared" si="242"/>
        <v>Fresnière, Jean</v>
      </c>
      <c r="G945" s="8" t="str">
        <f t="shared" si="243"/>
        <v>not an outlier</v>
      </c>
      <c r="H945" s="8" t="str">
        <f t="shared" si="244"/>
        <v>Not</v>
      </c>
      <c r="I945" s="8" t="str">
        <f t="shared" si="254"/>
        <v>no</v>
      </c>
      <c r="J945" s="10" t="str">
        <f t="shared" si="245"/>
        <v>no</v>
      </c>
      <c r="K945" s="10" t="str">
        <f t="shared" si="246"/>
        <v>no</v>
      </c>
      <c r="L945" t="s">
        <v>394</v>
      </c>
      <c r="M945">
        <v>10605</v>
      </c>
      <c r="N945">
        <v>71</v>
      </c>
      <c r="O945" t="s">
        <v>725</v>
      </c>
      <c r="P945" t="str">
        <f t="shared" si="247"/>
        <v>MEREP_10605_Fløtemysost</v>
      </c>
      <c r="Q945" t="str">
        <f t="shared" si="248"/>
        <v>10605</v>
      </c>
      <c r="R945" t="str">
        <f t="shared" si="249"/>
        <v>10605</v>
      </c>
      <c r="S945" t="str">
        <f t="shared" si="250"/>
        <v>Fløtemysost</v>
      </c>
      <c r="T945">
        <v>21.5</v>
      </c>
      <c r="U945">
        <v>15</v>
      </c>
      <c r="V945">
        <v>0.05</v>
      </c>
      <c r="W945">
        <f t="shared" si="251"/>
        <v>306.375</v>
      </c>
      <c r="X945" t="str">
        <f t="shared" si="252"/>
        <v>No</v>
      </c>
      <c r="Y945" s="2">
        <v>34932</v>
      </c>
      <c r="Z945" t="str">
        <f t="shared" si="238"/>
        <v/>
      </c>
      <c r="AA945" t="str">
        <f t="shared" si="253"/>
        <v/>
      </c>
      <c r="AB945" t="str" cm="1">
        <f t="array" ref="AB945">_xlfn.IFS(Y945&lt;DATE(1996,1,1),"",Y945&lt;DATE(1996,4,1),"Q1",Y945&lt;DATE(1996,7,1),"Q2",Y945&gt;=DATE(1996,7,1),"")</f>
        <v/>
      </c>
    </row>
    <row r="946" spans="1:28" ht="14.4" x14ac:dyDescent="0.55000000000000004">
      <c r="A946" t="str">
        <f>VLOOKUP(L946,Customers!$A$2:$B$92,2,FALSE)</f>
        <v>Tradição Hipermercados</v>
      </c>
      <c r="B946" t="str">
        <f>VLOOKUP(L946,Customers!$A$2:$C$92,3,TRUE)</f>
        <v>Anabela Domingues</v>
      </c>
      <c r="C946" t="str">
        <f t="shared" si="239"/>
        <v>Anabela</v>
      </c>
      <c r="D946" s="8" t="str">
        <f t="shared" si="240"/>
        <v>Domingues</v>
      </c>
      <c r="E946" s="8" t="str">
        <f t="shared" si="241"/>
        <v>Domingues, Anabela</v>
      </c>
      <c r="F946" s="8" t="str">
        <f t="shared" si="242"/>
        <v>Domingues, Anabela</v>
      </c>
      <c r="G946" s="8" t="str">
        <f t="shared" si="243"/>
        <v>not an outlier</v>
      </c>
      <c r="H946" s="8" t="str">
        <f t="shared" si="244"/>
        <v>Not</v>
      </c>
      <c r="I946" s="8" t="str">
        <f t="shared" si="254"/>
        <v>no</v>
      </c>
      <c r="J946" s="10" t="str">
        <f t="shared" si="245"/>
        <v>no</v>
      </c>
      <c r="K946" s="10" t="str">
        <f t="shared" si="246"/>
        <v>no</v>
      </c>
      <c r="L946" t="s">
        <v>598</v>
      </c>
      <c r="M946">
        <v>10606</v>
      </c>
      <c r="N946">
        <v>4</v>
      </c>
      <c r="O946" t="s">
        <v>745</v>
      </c>
      <c r="P946" t="str">
        <f t="shared" si="247"/>
        <v>TRADH_10606_Chef Anton's Cajun Seasoning</v>
      </c>
      <c r="Q946" t="str">
        <f t="shared" si="248"/>
        <v>10606</v>
      </c>
      <c r="R946" t="str">
        <f t="shared" si="249"/>
        <v>10606</v>
      </c>
      <c r="S946" t="str">
        <f t="shared" si="250"/>
        <v>Chef Anton's Cajun Seasoning</v>
      </c>
      <c r="T946">
        <v>22</v>
      </c>
      <c r="U946">
        <v>20</v>
      </c>
      <c r="V946">
        <v>0.2</v>
      </c>
      <c r="W946">
        <f t="shared" si="251"/>
        <v>352</v>
      </c>
      <c r="X946" t="str">
        <f t="shared" si="252"/>
        <v>No</v>
      </c>
      <c r="Y946" s="2">
        <v>34933</v>
      </c>
      <c r="Z946" t="str">
        <f t="shared" si="238"/>
        <v/>
      </c>
      <c r="AA946" t="str">
        <f t="shared" si="253"/>
        <v/>
      </c>
      <c r="AB946" t="str" cm="1">
        <f t="array" ref="AB946">_xlfn.IFS(Y946&lt;DATE(1996,1,1),"",Y946&lt;DATE(1996,4,1),"Q1",Y946&lt;DATE(1996,7,1),"Q2",Y946&gt;=DATE(1996,7,1),"")</f>
        <v/>
      </c>
    </row>
    <row r="947" spans="1:28" ht="14.4" x14ac:dyDescent="0.55000000000000004">
      <c r="A947" t="str">
        <f>VLOOKUP(L947,Customers!$A$2:$B$92,2,FALSE)</f>
        <v>Tradição Hipermercados</v>
      </c>
      <c r="B947" t="str">
        <f>VLOOKUP(L947,Customers!$A$2:$C$92,3,TRUE)</f>
        <v>Anabela Domingues</v>
      </c>
      <c r="C947" t="str">
        <f t="shared" si="239"/>
        <v>Anabela</v>
      </c>
      <c r="D947" s="8" t="str">
        <f t="shared" si="240"/>
        <v>Domingues</v>
      </c>
      <c r="E947" s="8" t="str">
        <f t="shared" si="241"/>
        <v>Domingues, Anabela</v>
      </c>
      <c r="F947" s="8" t="str">
        <f t="shared" si="242"/>
        <v>Domingues, Anabela</v>
      </c>
      <c r="G947" s="8" t="str">
        <f t="shared" si="243"/>
        <v>not an outlier</v>
      </c>
      <c r="H947" s="8" t="str">
        <f t="shared" si="244"/>
        <v>Not</v>
      </c>
      <c r="I947" s="8" t="str">
        <f t="shared" si="254"/>
        <v>no</v>
      </c>
      <c r="J947" s="10" t="str">
        <f t="shared" si="245"/>
        <v>no</v>
      </c>
      <c r="K947" s="10" t="str">
        <f t="shared" si="246"/>
        <v>no</v>
      </c>
      <c r="L947" t="s">
        <v>598</v>
      </c>
      <c r="M947">
        <v>10606</v>
      </c>
      <c r="N947">
        <v>55</v>
      </c>
      <c r="O947" t="s">
        <v>699</v>
      </c>
      <c r="P947" t="str">
        <f t="shared" si="247"/>
        <v>TRADH_10606_Pâté chinois</v>
      </c>
      <c r="Q947" t="str">
        <f t="shared" si="248"/>
        <v>10606</v>
      </c>
      <c r="R947" t="str">
        <f t="shared" si="249"/>
        <v>10606</v>
      </c>
      <c r="S947" t="str">
        <f t="shared" si="250"/>
        <v>Pâté chinois</v>
      </c>
      <c r="T947">
        <v>24</v>
      </c>
      <c r="U947">
        <v>20</v>
      </c>
      <c r="V947">
        <v>0.2</v>
      </c>
      <c r="W947">
        <f t="shared" si="251"/>
        <v>384</v>
      </c>
      <c r="X947" t="str">
        <f t="shared" si="252"/>
        <v>No</v>
      </c>
      <c r="Y947" s="2">
        <v>34933</v>
      </c>
      <c r="Z947" t="str">
        <f t="shared" si="238"/>
        <v/>
      </c>
      <c r="AA947" t="str">
        <f t="shared" si="253"/>
        <v/>
      </c>
      <c r="AB947" t="str" cm="1">
        <f t="array" ref="AB947">_xlfn.IFS(Y947&lt;DATE(1996,1,1),"",Y947&lt;DATE(1996,4,1),"Q1",Y947&lt;DATE(1996,7,1),"Q2",Y947&gt;=DATE(1996,7,1),"")</f>
        <v/>
      </c>
    </row>
    <row r="948" spans="1:28" ht="14.4" x14ac:dyDescent="0.55000000000000004">
      <c r="A948" t="str">
        <f>VLOOKUP(L948,Customers!$A$2:$B$92,2,FALSE)</f>
        <v>Tradição Hipermercados</v>
      </c>
      <c r="B948" t="str">
        <f>VLOOKUP(L948,Customers!$A$2:$C$92,3,TRUE)</f>
        <v>Anabela Domingues</v>
      </c>
      <c r="C948" t="str">
        <f t="shared" si="239"/>
        <v>Anabela</v>
      </c>
      <c r="D948" s="8" t="str">
        <f t="shared" si="240"/>
        <v>Domingues</v>
      </c>
      <c r="E948" s="8" t="str">
        <f t="shared" si="241"/>
        <v>Domingues, Anabela</v>
      </c>
      <c r="F948" s="8" t="str">
        <f t="shared" si="242"/>
        <v>Domingues, Anabela</v>
      </c>
      <c r="G948" s="8" t="str">
        <f t="shared" si="243"/>
        <v>not an outlier</v>
      </c>
      <c r="H948" s="8" t="str">
        <f t="shared" si="244"/>
        <v>Not</v>
      </c>
      <c r="I948" s="8" t="str">
        <f t="shared" si="254"/>
        <v>no</v>
      </c>
      <c r="J948" s="10" t="str">
        <f t="shared" si="245"/>
        <v>no</v>
      </c>
      <c r="K948" s="10" t="str">
        <f t="shared" si="246"/>
        <v>no</v>
      </c>
      <c r="L948" t="s">
        <v>598</v>
      </c>
      <c r="M948">
        <v>10606</v>
      </c>
      <c r="N948">
        <v>62</v>
      </c>
      <c r="O948" t="s">
        <v>712</v>
      </c>
      <c r="P948" t="str">
        <f t="shared" si="247"/>
        <v>TRADH_10606_Tarte au sucre</v>
      </c>
      <c r="Q948" t="str">
        <f t="shared" si="248"/>
        <v>10606</v>
      </c>
      <c r="R948" t="str">
        <f t="shared" si="249"/>
        <v>10606</v>
      </c>
      <c r="S948" t="str">
        <f t="shared" si="250"/>
        <v>Tarte au sucre</v>
      </c>
      <c r="T948">
        <v>49.3</v>
      </c>
      <c r="U948">
        <v>10</v>
      </c>
      <c r="V948">
        <v>0.2</v>
      </c>
      <c r="W948">
        <f t="shared" si="251"/>
        <v>394.40000000000003</v>
      </c>
      <c r="X948" t="str">
        <f t="shared" si="252"/>
        <v>No</v>
      </c>
      <c r="Y948" s="2">
        <v>34933</v>
      </c>
      <c r="Z948" t="str">
        <f t="shared" si="238"/>
        <v/>
      </c>
      <c r="AA948" t="str">
        <f t="shared" si="253"/>
        <v/>
      </c>
      <c r="AB948" t="str" cm="1">
        <f t="array" ref="AB948">_xlfn.IFS(Y948&lt;DATE(1996,1,1),"",Y948&lt;DATE(1996,4,1),"Q1",Y948&lt;DATE(1996,7,1),"Q2",Y948&gt;=DATE(1996,7,1),"")</f>
        <v/>
      </c>
    </row>
    <row r="949" spans="1:28" ht="14.4" x14ac:dyDescent="0.55000000000000004">
      <c r="A949" t="str">
        <f>VLOOKUP(L949,Customers!$A$2:$B$92,2,FALSE)</f>
        <v>Save-a-lot Markets</v>
      </c>
      <c r="B949" t="str">
        <f>VLOOKUP(L949,Customers!$A$2:$C$92,3,TRUE)</f>
        <v>Jose Pavarotti</v>
      </c>
      <c r="C949" t="str">
        <f t="shared" si="239"/>
        <v>Jose</v>
      </c>
      <c r="D949" s="8" t="str">
        <f t="shared" si="240"/>
        <v>Pavarotti</v>
      </c>
      <c r="E949" s="8" t="str">
        <f t="shared" si="241"/>
        <v>Pavarotti, Jose</v>
      </c>
      <c r="F949" s="8" t="str">
        <f t="shared" si="242"/>
        <v>Pavarotti, Jose</v>
      </c>
      <c r="G949" s="8" t="str">
        <f t="shared" si="243"/>
        <v>not an outlier</v>
      </c>
      <c r="H949" s="8" t="str">
        <f t="shared" si="244"/>
        <v>Not</v>
      </c>
      <c r="I949" s="8" t="str">
        <f t="shared" si="254"/>
        <v>no</v>
      </c>
      <c r="J949" s="10" t="str">
        <f t="shared" si="245"/>
        <v>no</v>
      </c>
      <c r="K949" s="10" t="str">
        <f t="shared" si="246"/>
        <v>no</v>
      </c>
      <c r="L949" t="s">
        <v>529</v>
      </c>
      <c r="M949">
        <v>10607</v>
      </c>
      <c r="N949">
        <v>7</v>
      </c>
      <c r="O949" t="s">
        <v>715</v>
      </c>
      <c r="P949" t="str">
        <f t="shared" si="247"/>
        <v>SAVEA_10607_Uncle Bob's Organic Dried Pears</v>
      </c>
      <c r="Q949" t="str">
        <f t="shared" si="248"/>
        <v>10607</v>
      </c>
      <c r="R949" t="str">
        <f t="shared" si="249"/>
        <v>10607</v>
      </c>
      <c r="S949" t="str">
        <f t="shared" si="250"/>
        <v>Uncle Bob's Organic Dried Pears</v>
      </c>
      <c r="T949">
        <v>30</v>
      </c>
      <c r="U949">
        <v>45</v>
      </c>
      <c r="V949">
        <v>0</v>
      </c>
      <c r="W949">
        <f t="shared" si="251"/>
        <v>1350</v>
      </c>
      <c r="X949" t="str">
        <f t="shared" si="252"/>
        <v>No</v>
      </c>
      <c r="Y949" s="2">
        <v>34933</v>
      </c>
      <c r="Z949" t="str">
        <f t="shared" si="238"/>
        <v/>
      </c>
      <c r="AA949" t="str">
        <f t="shared" si="253"/>
        <v/>
      </c>
      <c r="AB949" t="str" cm="1">
        <f t="array" ref="AB949">_xlfn.IFS(Y949&lt;DATE(1996,1,1),"",Y949&lt;DATE(1996,4,1),"Q1",Y949&lt;DATE(1996,7,1),"Q2",Y949&gt;=DATE(1996,7,1),"")</f>
        <v/>
      </c>
    </row>
    <row r="950" spans="1:28" ht="14.4" x14ac:dyDescent="0.55000000000000004">
      <c r="A950" t="str">
        <f>VLOOKUP(L950,Customers!$A$2:$B$92,2,FALSE)</f>
        <v>Save-a-lot Markets</v>
      </c>
      <c r="B950" t="str">
        <f>VLOOKUP(L950,Customers!$A$2:$C$92,3,TRUE)</f>
        <v>Jose Pavarotti</v>
      </c>
      <c r="C950" t="str">
        <f t="shared" si="239"/>
        <v>Jose</v>
      </c>
      <c r="D950" s="8" t="str">
        <f t="shared" si="240"/>
        <v>Pavarotti</v>
      </c>
      <c r="E950" s="8" t="str">
        <f t="shared" si="241"/>
        <v>Pavarotti, Jose</v>
      </c>
      <c r="F950" s="8" t="str">
        <f t="shared" si="242"/>
        <v>Pavarotti, Jose</v>
      </c>
      <c r="G950" s="8" t="str">
        <f t="shared" si="243"/>
        <v>outlier</v>
      </c>
      <c r="H950" s="8" t="str">
        <f t="shared" si="244"/>
        <v>outlier</v>
      </c>
      <c r="I950" s="8" t="str">
        <f t="shared" si="254"/>
        <v>yes</v>
      </c>
      <c r="J950" s="10" t="str">
        <f t="shared" si="245"/>
        <v>yes</v>
      </c>
      <c r="K950" s="10" t="str">
        <f t="shared" si="246"/>
        <v>yes</v>
      </c>
      <c r="L950" t="s">
        <v>529</v>
      </c>
      <c r="M950">
        <v>10607</v>
      </c>
      <c r="N950">
        <v>17</v>
      </c>
      <c r="O950" t="s">
        <v>718</v>
      </c>
      <c r="P950" t="str">
        <f t="shared" si="247"/>
        <v>SAVEA_10607_Alice Mutton</v>
      </c>
      <c r="Q950" t="str">
        <f t="shared" si="248"/>
        <v>10607</v>
      </c>
      <c r="R950" t="str">
        <f t="shared" si="249"/>
        <v>10607</v>
      </c>
      <c r="S950" t="str">
        <f t="shared" si="250"/>
        <v>Alice Mutton</v>
      </c>
      <c r="T950">
        <v>39</v>
      </c>
      <c r="U950">
        <v>100</v>
      </c>
      <c r="V950">
        <v>0</v>
      </c>
      <c r="W950">
        <f t="shared" si="251"/>
        <v>3900</v>
      </c>
      <c r="X950" t="str">
        <f t="shared" si="252"/>
        <v>No</v>
      </c>
      <c r="Y950" s="2">
        <v>34933</v>
      </c>
      <c r="Z950" t="str">
        <f t="shared" si="238"/>
        <v/>
      </c>
      <c r="AA950" t="str">
        <f t="shared" si="253"/>
        <v/>
      </c>
      <c r="AB950" t="str" cm="1">
        <f t="array" ref="AB950">_xlfn.IFS(Y950&lt;DATE(1996,1,1),"",Y950&lt;DATE(1996,4,1),"Q1",Y950&lt;DATE(1996,7,1),"Q2",Y950&gt;=DATE(1996,7,1),"")</f>
        <v/>
      </c>
    </row>
    <row r="951" spans="1:28" ht="14.4" x14ac:dyDescent="0.55000000000000004">
      <c r="A951" t="str">
        <f>VLOOKUP(L951,Customers!$A$2:$B$92,2,FALSE)</f>
        <v>Save-a-lot Markets</v>
      </c>
      <c r="B951" t="str">
        <f>VLOOKUP(L951,Customers!$A$2:$C$92,3,TRUE)</f>
        <v>Jose Pavarotti</v>
      </c>
      <c r="C951" t="str">
        <f t="shared" si="239"/>
        <v>Jose</v>
      </c>
      <c r="D951" s="8" t="str">
        <f t="shared" si="240"/>
        <v>Pavarotti</v>
      </c>
      <c r="E951" s="8" t="str">
        <f t="shared" si="241"/>
        <v>Pavarotti, Jose</v>
      </c>
      <c r="F951" s="8" t="str">
        <f t="shared" si="242"/>
        <v>Pavarotti, Jose</v>
      </c>
      <c r="G951" s="8" t="str">
        <f t="shared" si="243"/>
        <v>not an outlier</v>
      </c>
      <c r="H951" s="8" t="str">
        <f t="shared" si="244"/>
        <v>Not</v>
      </c>
      <c r="I951" s="8" t="str">
        <f t="shared" si="254"/>
        <v>no</v>
      </c>
      <c r="J951" s="10" t="str">
        <f t="shared" si="245"/>
        <v>no</v>
      </c>
      <c r="K951" s="10" t="str">
        <f t="shared" si="246"/>
        <v>no</v>
      </c>
      <c r="L951" t="s">
        <v>529</v>
      </c>
      <c r="M951">
        <v>10607</v>
      </c>
      <c r="N951">
        <v>33</v>
      </c>
      <c r="O951" t="s">
        <v>693</v>
      </c>
      <c r="P951" t="str">
        <f t="shared" si="247"/>
        <v>SAVEA_10607_Geitost</v>
      </c>
      <c r="Q951" t="str">
        <f t="shared" si="248"/>
        <v>10607</v>
      </c>
      <c r="R951" t="str">
        <f t="shared" si="249"/>
        <v>10607</v>
      </c>
      <c r="S951" t="str">
        <f t="shared" si="250"/>
        <v>Geitost</v>
      </c>
      <c r="T951">
        <v>2.5</v>
      </c>
      <c r="U951">
        <v>14</v>
      </c>
      <c r="V951">
        <v>0</v>
      </c>
      <c r="W951">
        <f t="shared" si="251"/>
        <v>35</v>
      </c>
      <c r="X951" t="str">
        <f t="shared" si="252"/>
        <v>No</v>
      </c>
      <c r="Y951" s="2">
        <v>34933</v>
      </c>
      <c r="Z951" t="str">
        <f t="shared" si="238"/>
        <v/>
      </c>
      <c r="AA951" t="str">
        <f t="shared" si="253"/>
        <v/>
      </c>
      <c r="AB951" t="str" cm="1">
        <f t="array" ref="AB951">_xlfn.IFS(Y951&lt;DATE(1996,1,1),"",Y951&lt;DATE(1996,4,1),"Q1",Y951&lt;DATE(1996,7,1),"Q2",Y951&gt;=DATE(1996,7,1),"")</f>
        <v/>
      </c>
    </row>
    <row r="952" spans="1:28" ht="14.4" x14ac:dyDescent="0.55000000000000004">
      <c r="A952" t="str">
        <f>VLOOKUP(L952,Customers!$A$2:$B$92,2,FALSE)</f>
        <v>Save-a-lot Markets</v>
      </c>
      <c r="B952" t="str">
        <f>VLOOKUP(L952,Customers!$A$2:$C$92,3,TRUE)</f>
        <v>Jose Pavarotti</v>
      </c>
      <c r="C952" t="str">
        <f t="shared" si="239"/>
        <v>Jose</v>
      </c>
      <c r="D952" s="8" t="str">
        <f t="shared" si="240"/>
        <v>Pavarotti</v>
      </c>
      <c r="E952" s="8" t="str">
        <f t="shared" si="241"/>
        <v>Pavarotti, Jose</v>
      </c>
      <c r="F952" s="8" t="str">
        <f t="shared" si="242"/>
        <v>Pavarotti, Jose</v>
      </c>
      <c r="G952" s="8" t="str">
        <f t="shared" si="243"/>
        <v>not an outlier</v>
      </c>
      <c r="H952" s="8" t="str">
        <f t="shared" si="244"/>
        <v>Not</v>
      </c>
      <c r="I952" s="8" t="str">
        <f t="shared" si="254"/>
        <v>no</v>
      </c>
      <c r="J952" s="10" t="str">
        <f t="shared" si="245"/>
        <v>no</v>
      </c>
      <c r="K952" s="10" t="str">
        <f t="shared" si="246"/>
        <v>no</v>
      </c>
      <c r="L952" t="s">
        <v>529</v>
      </c>
      <c r="M952">
        <v>10607</v>
      </c>
      <c r="N952">
        <v>40</v>
      </c>
      <c r="O952" t="s">
        <v>720</v>
      </c>
      <c r="P952" t="str">
        <f t="shared" si="247"/>
        <v>SAVEA_10607_Boston Crab Meat</v>
      </c>
      <c r="Q952" t="str">
        <f t="shared" si="248"/>
        <v>10607</v>
      </c>
      <c r="R952" t="str">
        <f t="shared" si="249"/>
        <v>10607</v>
      </c>
      <c r="S952" t="str">
        <f t="shared" si="250"/>
        <v>Boston Crab Meat</v>
      </c>
      <c r="T952">
        <v>18.399999999999999</v>
      </c>
      <c r="U952">
        <v>42</v>
      </c>
      <c r="V952">
        <v>0</v>
      </c>
      <c r="W952">
        <f t="shared" si="251"/>
        <v>772.8</v>
      </c>
      <c r="X952" t="str">
        <f t="shared" si="252"/>
        <v>No</v>
      </c>
      <c r="Y952" s="2">
        <v>34933</v>
      </c>
      <c r="Z952" t="str">
        <f t="shared" si="238"/>
        <v/>
      </c>
      <c r="AA952" t="str">
        <f t="shared" si="253"/>
        <v/>
      </c>
      <c r="AB952" t="str" cm="1">
        <f t="array" ref="AB952">_xlfn.IFS(Y952&lt;DATE(1996,1,1),"",Y952&lt;DATE(1996,4,1),"Q1",Y952&lt;DATE(1996,7,1),"Q2",Y952&gt;=DATE(1996,7,1),"")</f>
        <v/>
      </c>
    </row>
    <row r="953" spans="1:28" ht="14.4" x14ac:dyDescent="0.55000000000000004">
      <c r="A953" t="str">
        <f>VLOOKUP(L953,Customers!$A$2:$B$92,2,FALSE)</f>
        <v>Save-a-lot Markets</v>
      </c>
      <c r="B953" t="str">
        <f>VLOOKUP(L953,Customers!$A$2:$C$92,3,TRUE)</f>
        <v>Jose Pavarotti</v>
      </c>
      <c r="C953" t="str">
        <f t="shared" si="239"/>
        <v>Jose</v>
      </c>
      <c r="D953" s="8" t="str">
        <f t="shared" si="240"/>
        <v>Pavarotti</v>
      </c>
      <c r="E953" s="8" t="str">
        <f t="shared" si="241"/>
        <v>Pavarotti, Jose</v>
      </c>
      <c r="F953" s="8" t="str">
        <f t="shared" si="242"/>
        <v>Pavarotti, Jose</v>
      </c>
      <c r="G953" s="8" t="str">
        <f t="shared" si="243"/>
        <v>not an outlier</v>
      </c>
      <c r="H953" s="8" t="str">
        <f t="shared" si="244"/>
        <v>Not</v>
      </c>
      <c r="I953" s="8" t="str">
        <f t="shared" si="254"/>
        <v>no</v>
      </c>
      <c r="J953" s="10" t="str">
        <f t="shared" si="245"/>
        <v>no</v>
      </c>
      <c r="K953" s="10" t="str">
        <f t="shared" si="246"/>
        <v>no</v>
      </c>
      <c r="L953" t="s">
        <v>529</v>
      </c>
      <c r="M953">
        <v>10607</v>
      </c>
      <c r="N953">
        <v>72</v>
      </c>
      <c r="O953" t="s">
        <v>685</v>
      </c>
      <c r="P953" t="str">
        <f t="shared" si="247"/>
        <v>SAVEA_10607_Mozzarella di Giovanni</v>
      </c>
      <c r="Q953" t="str">
        <f t="shared" si="248"/>
        <v>10607</v>
      </c>
      <c r="R953" t="str">
        <f t="shared" si="249"/>
        <v>10607</v>
      </c>
      <c r="S953" t="str">
        <f t="shared" si="250"/>
        <v>Mozzarella di Giovanni</v>
      </c>
      <c r="T953">
        <v>34.799999999999997</v>
      </c>
      <c r="U953">
        <v>12</v>
      </c>
      <c r="V953">
        <v>0</v>
      </c>
      <c r="W953">
        <f t="shared" si="251"/>
        <v>417.59999999999997</v>
      </c>
      <c r="X953" t="str">
        <f t="shared" si="252"/>
        <v>No</v>
      </c>
      <c r="Y953" s="2">
        <v>34933</v>
      </c>
      <c r="Z953" t="str">
        <f t="shared" si="238"/>
        <v/>
      </c>
      <c r="AA953" t="str">
        <f t="shared" si="253"/>
        <v/>
      </c>
      <c r="AB953" t="str" cm="1">
        <f t="array" ref="AB953">_xlfn.IFS(Y953&lt;DATE(1996,1,1),"",Y953&lt;DATE(1996,4,1),"Q1",Y953&lt;DATE(1996,7,1),"Q2",Y953&gt;=DATE(1996,7,1),"")</f>
        <v/>
      </c>
    </row>
    <row r="954" spans="1:28" ht="14.4" x14ac:dyDescent="0.55000000000000004">
      <c r="A954" t="str">
        <f>VLOOKUP(L954,Customers!$A$2:$B$92,2,FALSE)</f>
        <v>Toms Spezialitäten</v>
      </c>
      <c r="B954" t="str">
        <f>VLOOKUP(L954,Customers!$A$2:$C$92,3,TRUE)</f>
        <v>Karin Josephs</v>
      </c>
      <c r="C954" t="str">
        <f t="shared" si="239"/>
        <v>Karin</v>
      </c>
      <c r="D954" s="8" t="str">
        <f t="shared" si="240"/>
        <v>Josephs</v>
      </c>
      <c r="E954" s="8" t="str">
        <f t="shared" si="241"/>
        <v>Josephs, Karin</v>
      </c>
      <c r="F954" s="8" t="str">
        <f t="shared" si="242"/>
        <v>Josephs, Karin</v>
      </c>
      <c r="G954" s="8" t="str">
        <f t="shared" si="243"/>
        <v>not an outlier</v>
      </c>
      <c r="H954" s="8" t="str">
        <f t="shared" si="244"/>
        <v>Not</v>
      </c>
      <c r="I954" s="8" t="str">
        <f t="shared" si="254"/>
        <v>no</v>
      </c>
      <c r="J954" s="10" t="str">
        <f t="shared" si="245"/>
        <v>no</v>
      </c>
      <c r="K954" s="10" t="str">
        <f t="shared" si="246"/>
        <v>no</v>
      </c>
      <c r="L954" t="s">
        <v>586</v>
      </c>
      <c r="M954">
        <v>10608</v>
      </c>
      <c r="N954">
        <v>56</v>
      </c>
      <c r="O954" t="s">
        <v>716</v>
      </c>
      <c r="P954" t="str">
        <f t="shared" si="247"/>
        <v>TOMSP_10608_Gnocchi di nonna Alice</v>
      </c>
      <c r="Q954" t="str">
        <f t="shared" si="248"/>
        <v>10608</v>
      </c>
      <c r="R954" t="str">
        <f t="shared" si="249"/>
        <v>10608</v>
      </c>
      <c r="S954" t="str">
        <f t="shared" si="250"/>
        <v>Gnocchi di nonna Alice</v>
      </c>
      <c r="T954">
        <v>38</v>
      </c>
      <c r="U954">
        <v>28</v>
      </c>
      <c r="V954">
        <v>0</v>
      </c>
      <c r="W954">
        <f t="shared" si="251"/>
        <v>1064</v>
      </c>
      <c r="X954" t="str">
        <f t="shared" si="252"/>
        <v>No</v>
      </c>
      <c r="Y954" s="2">
        <v>34934</v>
      </c>
      <c r="Z954" t="str">
        <f t="shared" si="238"/>
        <v/>
      </c>
      <c r="AA954" t="str">
        <f t="shared" si="253"/>
        <v/>
      </c>
      <c r="AB954" t="str" cm="1">
        <f t="array" ref="AB954">_xlfn.IFS(Y954&lt;DATE(1996,1,1),"",Y954&lt;DATE(1996,4,1),"Q1",Y954&lt;DATE(1996,7,1),"Q2",Y954&gt;=DATE(1996,7,1),"")</f>
        <v/>
      </c>
    </row>
    <row r="955" spans="1:28" ht="14.4" x14ac:dyDescent="0.55000000000000004">
      <c r="A955" t="str">
        <f>VLOOKUP(L955,Customers!$A$2:$B$92,2,FALSE)</f>
        <v>Du monde entier</v>
      </c>
      <c r="B955" t="str">
        <f>VLOOKUP(L955,Customers!$A$2:$C$92,3,TRUE)</f>
        <v>Janine Labrune</v>
      </c>
      <c r="C955" t="str">
        <f t="shared" si="239"/>
        <v>Janine</v>
      </c>
      <c r="D955" s="8" t="str">
        <f t="shared" si="240"/>
        <v>Labrune</v>
      </c>
      <c r="E955" s="8" t="str">
        <f t="shared" si="241"/>
        <v>Labrune, Janine</v>
      </c>
      <c r="F955" s="8" t="str">
        <f t="shared" si="242"/>
        <v>Labrune, Janine</v>
      </c>
      <c r="G955" s="8" t="str">
        <f t="shared" si="243"/>
        <v>not an outlier</v>
      </c>
      <c r="H955" s="8" t="str">
        <f t="shared" si="244"/>
        <v>Not</v>
      </c>
      <c r="I955" s="8" t="str">
        <f t="shared" si="254"/>
        <v>no</v>
      </c>
      <c r="J955" s="10" t="str">
        <f t="shared" si="245"/>
        <v>no</v>
      </c>
      <c r="K955" s="10" t="str">
        <f t="shared" si="246"/>
        <v>no</v>
      </c>
      <c r="L955" t="s">
        <v>147</v>
      </c>
      <c r="M955">
        <v>10609</v>
      </c>
      <c r="N955">
        <v>1</v>
      </c>
      <c r="O955" t="s">
        <v>735</v>
      </c>
      <c r="P955" t="str">
        <f t="shared" si="247"/>
        <v>DUMON_10609_Chai</v>
      </c>
      <c r="Q955" t="str">
        <f t="shared" si="248"/>
        <v>10609</v>
      </c>
      <c r="R955" t="str">
        <f t="shared" si="249"/>
        <v>10609</v>
      </c>
      <c r="S955" t="str">
        <f t="shared" si="250"/>
        <v>Chai</v>
      </c>
      <c r="T955">
        <v>18</v>
      </c>
      <c r="U955">
        <v>3</v>
      </c>
      <c r="V955">
        <v>0</v>
      </c>
      <c r="W955">
        <f t="shared" si="251"/>
        <v>54</v>
      </c>
      <c r="X955" t="str">
        <f t="shared" si="252"/>
        <v>No</v>
      </c>
      <c r="Y955" s="2">
        <v>34935</v>
      </c>
      <c r="Z955" t="str">
        <f t="shared" si="238"/>
        <v/>
      </c>
      <c r="AA955" t="str">
        <f t="shared" si="253"/>
        <v/>
      </c>
      <c r="AB955" t="str" cm="1">
        <f t="array" ref="AB955">_xlfn.IFS(Y955&lt;DATE(1996,1,1),"",Y955&lt;DATE(1996,4,1),"Q1",Y955&lt;DATE(1996,7,1),"Q2",Y955&gt;=DATE(1996,7,1),"")</f>
        <v/>
      </c>
    </row>
    <row r="956" spans="1:28" ht="14.4" x14ac:dyDescent="0.55000000000000004">
      <c r="A956" t="str">
        <f>VLOOKUP(L956,Customers!$A$2:$B$92,2,FALSE)</f>
        <v>Du monde entier</v>
      </c>
      <c r="B956" t="str">
        <f>VLOOKUP(L956,Customers!$A$2:$C$92,3,TRUE)</f>
        <v>Janine Labrune</v>
      </c>
      <c r="C956" t="str">
        <f t="shared" si="239"/>
        <v>Janine</v>
      </c>
      <c r="D956" s="8" t="str">
        <f t="shared" si="240"/>
        <v>Labrune</v>
      </c>
      <c r="E956" s="8" t="str">
        <f t="shared" si="241"/>
        <v>Labrune, Janine</v>
      </c>
      <c r="F956" s="8" t="str">
        <f t="shared" si="242"/>
        <v>Labrune, Janine</v>
      </c>
      <c r="G956" s="8" t="str">
        <f t="shared" si="243"/>
        <v>not an outlier</v>
      </c>
      <c r="H956" s="8" t="str">
        <f t="shared" si="244"/>
        <v>Not</v>
      </c>
      <c r="I956" s="8" t="str">
        <f t="shared" si="254"/>
        <v>no</v>
      </c>
      <c r="J956" s="10" t="str">
        <f t="shared" si="245"/>
        <v>no</v>
      </c>
      <c r="K956" s="10" t="str">
        <f t="shared" si="246"/>
        <v>no</v>
      </c>
      <c r="L956" t="s">
        <v>147</v>
      </c>
      <c r="M956">
        <v>10609</v>
      </c>
      <c r="N956">
        <v>10</v>
      </c>
      <c r="O956" t="s">
        <v>724</v>
      </c>
      <c r="P956" t="str">
        <f t="shared" si="247"/>
        <v>DUMON_10609_Ikura</v>
      </c>
      <c r="Q956" t="str">
        <f t="shared" si="248"/>
        <v>10609</v>
      </c>
      <c r="R956" t="str">
        <f t="shared" si="249"/>
        <v>10609</v>
      </c>
      <c r="S956" t="str">
        <f t="shared" si="250"/>
        <v>Ikura</v>
      </c>
      <c r="T956">
        <v>31</v>
      </c>
      <c r="U956">
        <v>10</v>
      </c>
      <c r="V956">
        <v>0</v>
      </c>
      <c r="W956">
        <f t="shared" si="251"/>
        <v>310</v>
      </c>
      <c r="X956" t="str">
        <f t="shared" si="252"/>
        <v>No</v>
      </c>
      <c r="Y956" s="2">
        <v>34935</v>
      </c>
      <c r="Z956" t="str">
        <f t="shared" si="238"/>
        <v/>
      </c>
      <c r="AA956" t="str">
        <f t="shared" si="253"/>
        <v/>
      </c>
      <c r="AB956" t="str" cm="1">
        <f t="array" ref="AB956">_xlfn.IFS(Y956&lt;DATE(1996,1,1),"",Y956&lt;DATE(1996,4,1),"Q1",Y956&lt;DATE(1996,7,1),"Q2",Y956&gt;=DATE(1996,7,1),"")</f>
        <v/>
      </c>
    </row>
    <row r="957" spans="1:28" ht="14.4" x14ac:dyDescent="0.55000000000000004">
      <c r="A957" t="str">
        <f>VLOOKUP(L957,Customers!$A$2:$B$92,2,FALSE)</f>
        <v>Du monde entier</v>
      </c>
      <c r="B957" t="str">
        <f>VLOOKUP(L957,Customers!$A$2:$C$92,3,TRUE)</f>
        <v>Janine Labrune</v>
      </c>
      <c r="C957" t="str">
        <f t="shared" si="239"/>
        <v>Janine</v>
      </c>
      <c r="D957" s="8" t="str">
        <f t="shared" si="240"/>
        <v>Labrune</v>
      </c>
      <c r="E957" s="8" t="str">
        <f t="shared" si="241"/>
        <v>Labrune, Janine</v>
      </c>
      <c r="F957" s="8" t="str">
        <f t="shared" si="242"/>
        <v>Labrune, Janine</v>
      </c>
      <c r="G957" s="8" t="str">
        <f t="shared" si="243"/>
        <v>not an outlier</v>
      </c>
      <c r="H957" s="8" t="str">
        <f t="shared" si="244"/>
        <v>Not</v>
      </c>
      <c r="I957" s="8" t="str">
        <f t="shared" si="254"/>
        <v>no</v>
      </c>
      <c r="J957" s="10" t="str">
        <f t="shared" si="245"/>
        <v>no</v>
      </c>
      <c r="K957" s="10" t="str">
        <f t="shared" si="246"/>
        <v>no</v>
      </c>
      <c r="L957" t="s">
        <v>147</v>
      </c>
      <c r="M957">
        <v>10609</v>
      </c>
      <c r="N957">
        <v>21</v>
      </c>
      <c r="O957" t="s">
        <v>710</v>
      </c>
      <c r="P957" t="str">
        <f t="shared" si="247"/>
        <v>DUMON_10609_Sir Rodney's Scones</v>
      </c>
      <c r="Q957" t="str">
        <f t="shared" si="248"/>
        <v>10609</v>
      </c>
      <c r="R957" t="str">
        <f t="shared" si="249"/>
        <v>10609</v>
      </c>
      <c r="S957" t="str">
        <f t="shared" si="250"/>
        <v>Sir Rodney's Scones</v>
      </c>
      <c r="T957">
        <v>10</v>
      </c>
      <c r="U957">
        <v>6</v>
      </c>
      <c r="V957">
        <v>0</v>
      </c>
      <c r="W957">
        <f t="shared" si="251"/>
        <v>60</v>
      </c>
      <c r="X957" t="str">
        <f t="shared" si="252"/>
        <v>No</v>
      </c>
      <c r="Y957" s="2">
        <v>34935</v>
      </c>
      <c r="Z957" t="str">
        <f t="shared" si="238"/>
        <v/>
      </c>
      <c r="AA957" t="str">
        <f t="shared" si="253"/>
        <v/>
      </c>
      <c r="AB957" t="str" cm="1">
        <f t="array" ref="AB957">_xlfn.IFS(Y957&lt;DATE(1996,1,1),"",Y957&lt;DATE(1996,4,1),"Q1",Y957&lt;DATE(1996,7,1),"Q2",Y957&gt;=DATE(1996,7,1),"")</f>
        <v/>
      </c>
    </row>
    <row r="958" spans="1:28" ht="14.4" x14ac:dyDescent="0.55000000000000004">
      <c r="A958" t="str">
        <f>VLOOKUP(L958,Customers!$A$2:$B$92,2,FALSE)</f>
        <v>La maison d'Asie</v>
      </c>
      <c r="B958" t="str">
        <f>VLOOKUP(L958,Customers!$A$2:$C$92,3,TRUE)</f>
        <v>Annette Roulet</v>
      </c>
      <c r="C958" t="str">
        <f t="shared" si="239"/>
        <v>Annette</v>
      </c>
      <c r="D958" s="8" t="str">
        <f t="shared" si="240"/>
        <v>Roulet</v>
      </c>
      <c r="E958" s="8" t="str">
        <f t="shared" si="241"/>
        <v>Roulet, Annette</v>
      </c>
      <c r="F958" s="8" t="str">
        <f t="shared" si="242"/>
        <v>Roulet, Annette</v>
      </c>
      <c r="G958" s="8" t="str">
        <f t="shared" si="243"/>
        <v>not an outlier</v>
      </c>
      <c r="H958" s="8" t="str">
        <f t="shared" si="244"/>
        <v>Not</v>
      </c>
      <c r="I958" s="8" t="str">
        <f t="shared" si="254"/>
        <v>no</v>
      </c>
      <c r="J958" s="10" t="str">
        <f t="shared" si="245"/>
        <v>no</v>
      </c>
      <c r="K958" s="10" t="str">
        <f t="shared" si="246"/>
        <v>no</v>
      </c>
      <c r="L958" t="s">
        <v>318</v>
      </c>
      <c r="M958">
        <v>10610</v>
      </c>
      <c r="N958">
        <v>36</v>
      </c>
      <c r="O958" t="s">
        <v>703</v>
      </c>
      <c r="P958" t="str">
        <f t="shared" si="247"/>
        <v>LAMAI_10610_Inlagd Sill</v>
      </c>
      <c r="Q958" t="str">
        <f t="shared" si="248"/>
        <v>10610</v>
      </c>
      <c r="R958" t="str">
        <f t="shared" si="249"/>
        <v>10610</v>
      </c>
      <c r="S958" t="str">
        <f t="shared" si="250"/>
        <v>Inlagd Sill</v>
      </c>
      <c r="T958">
        <v>19</v>
      </c>
      <c r="U958">
        <v>21</v>
      </c>
      <c r="V958">
        <v>0.25</v>
      </c>
      <c r="W958">
        <f t="shared" si="251"/>
        <v>299.25</v>
      </c>
      <c r="X958" t="str">
        <f t="shared" si="252"/>
        <v>No</v>
      </c>
      <c r="Y958" s="2">
        <v>34936</v>
      </c>
      <c r="Z958" t="str">
        <f t="shared" si="238"/>
        <v/>
      </c>
      <c r="AA958" t="str">
        <f t="shared" si="253"/>
        <v/>
      </c>
      <c r="AB958" t="str" cm="1">
        <f t="array" ref="AB958">_xlfn.IFS(Y958&lt;DATE(1996,1,1),"",Y958&lt;DATE(1996,4,1),"Q1",Y958&lt;DATE(1996,7,1),"Q2",Y958&gt;=DATE(1996,7,1),"")</f>
        <v/>
      </c>
    </row>
    <row r="959" spans="1:28" ht="14.4" x14ac:dyDescent="0.55000000000000004">
      <c r="A959" t="str">
        <f>VLOOKUP(L959,Customers!$A$2:$B$92,2,FALSE)</f>
        <v>Wolski  Zajazd</v>
      </c>
      <c r="B959" t="str">
        <f>VLOOKUP(L959,Customers!$A$2:$C$92,3,TRUE)</f>
        <v>Zbyszek Piestrzeniewicz</v>
      </c>
      <c r="C959" t="str">
        <f t="shared" si="239"/>
        <v>Zbyszek</v>
      </c>
      <c r="D959" s="8" t="str">
        <f t="shared" si="240"/>
        <v>Piestrzeniewicz</v>
      </c>
      <c r="E959" s="8" t="str">
        <f t="shared" si="241"/>
        <v>Piestrzeniewicz, Zbyszek</v>
      </c>
      <c r="F959" s="8" t="str">
        <f t="shared" si="242"/>
        <v>Piestrzeniewicz, Zbyszek</v>
      </c>
      <c r="G959" s="8" t="str">
        <f t="shared" si="243"/>
        <v>not an outlier</v>
      </c>
      <c r="H959" s="8" t="str">
        <f t="shared" si="244"/>
        <v>Not</v>
      </c>
      <c r="I959" s="8" t="str">
        <f t="shared" si="254"/>
        <v>no</v>
      </c>
      <c r="J959" s="10" t="str">
        <f t="shared" si="245"/>
        <v>no</v>
      </c>
      <c r="K959" s="10" t="str">
        <f t="shared" si="246"/>
        <v>no</v>
      </c>
      <c r="L959" t="s">
        <v>668</v>
      </c>
      <c r="M959">
        <v>10611</v>
      </c>
      <c r="N959">
        <v>1</v>
      </c>
      <c r="O959" t="s">
        <v>735</v>
      </c>
      <c r="P959" t="str">
        <f t="shared" si="247"/>
        <v>WOLZA_10611_Chai</v>
      </c>
      <c r="Q959" t="str">
        <f t="shared" si="248"/>
        <v>10611</v>
      </c>
      <c r="R959" t="str">
        <f t="shared" si="249"/>
        <v>10611</v>
      </c>
      <c r="S959" t="str">
        <f t="shared" si="250"/>
        <v>Chai</v>
      </c>
      <c r="T959">
        <v>18</v>
      </c>
      <c r="U959">
        <v>6</v>
      </c>
      <c r="V959">
        <v>0</v>
      </c>
      <c r="W959">
        <f t="shared" si="251"/>
        <v>108</v>
      </c>
      <c r="X959" t="str">
        <f t="shared" si="252"/>
        <v>No</v>
      </c>
      <c r="Y959" s="2">
        <v>34936</v>
      </c>
      <c r="Z959" t="str">
        <f t="shared" si="238"/>
        <v/>
      </c>
      <c r="AA959" t="str">
        <f t="shared" si="253"/>
        <v/>
      </c>
      <c r="AB959" t="str" cm="1">
        <f t="array" ref="AB959">_xlfn.IFS(Y959&lt;DATE(1996,1,1),"",Y959&lt;DATE(1996,4,1),"Q1",Y959&lt;DATE(1996,7,1),"Q2",Y959&gt;=DATE(1996,7,1),"")</f>
        <v/>
      </c>
    </row>
    <row r="960" spans="1:28" ht="14.4" x14ac:dyDescent="0.55000000000000004">
      <c r="A960" t="str">
        <f>VLOOKUP(L960,Customers!$A$2:$B$92,2,FALSE)</f>
        <v>Wolski  Zajazd</v>
      </c>
      <c r="B960" t="str">
        <f>VLOOKUP(L960,Customers!$A$2:$C$92,3,TRUE)</f>
        <v>Zbyszek Piestrzeniewicz</v>
      </c>
      <c r="C960" t="str">
        <f t="shared" si="239"/>
        <v>Zbyszek</v>
      </c>
      <c r="D960" s="8" t="str">
        <f t="shared" si="240"/>
        <v>Piestrzeniewicz</v>
      </c>
      <c r="E960" s="8" t="str">
        <f t="shared" si="241"/>
        <v>Piestrzeniewicz, Zbyszek</v>
      </c>
      <c r="F960" s="8" t="str">
        <f t="shared" si="242"/>
        <v>Piestrzeniewicz, Zbyszek</v>
      </c>
      <c r="G960" s="8" t="str">
        <f t="shared" si="243"/>
        <v>not an outlier</v>
      </c>
      <c r="H960" s="8" t="str">
        <f t="shared" si="244"/>
        <v>Not</v>
      </c>
      <c r="I960" s="8" t="str">
        <f t="shared" si="254"/>
        <v>no</v>
      </c>
      <c r="J960" s="10" t="str">
        <f t="shared" si="245"/>
        <v>no</v>
      </c>
      <c r="K960" s="10" t="str">
        <f t="shared" si="246"/>
        <v>no</v>
      </c>
      <c r="L960" t="s">
        <v>668</v>
      </c>
      <c r="M960">
        <v>10611</v>
      </c>
      <c r="N960">
        <v>2</v>
      </c>
      <c r="O960" t="s">
        <v>701</v>
      </c>
      <c r="P960" t="str">
        <f t="shared" si="247"/>
        <v>WOLZA_10611_Chang</v>
      </c>
      <c r="Q960" t="str">
        <f t="shared" si="248"/>
        <v>10611</v>
      </c>
      <c r="R960" t="str">
        <f t="shared" si="249"/>
        <v>10611</v>
      </c>
      <c r="S960" t="str">
        <f t="shared" si="250"/>
        <v>Chang</v>
      </c>
      <c r="T960">
        <v>19</v>
      </c>
      <c r="U960">
        <v>10</v>
      </c>
      <c r="V960">
        <v>0</v>
      </c>
      <c r="W960">
        <f t="shared" si="251"/>
        <v>190</v>
      </c>
      <c r="X960" t="str">
        <f t="shared" si="252"/>
        <v>No</v>
      </c>
      <c r="Y960" s="2">
        <v>34936</v>
      </c>
      <c r="Z960" t="str">
        <f t="shared" si="238"/>
        <v/>
      </c>
      <c r="AA960" t="str">
        <f t="shared" si="253"/>
        <v/>
      </c>
      <c r="AB960" t="str" cm="1">
        <f t="array" ref="AB960">_xlfn.IFS(Y960&lt;DATE(1996,1,1),"",Y960&lt;DATE(1996,4,1),"Q1",Y960&lt;DATE(1996,7,1),"Q2",Y960&gt;=DATE(1996,7,1),"")</f>
        <v/>
      </c>
    </row>
    <row r="961" spans="1:28" ht="14.4" x14ac:dyDescent="0.55000000000000004">
      <c r="A961" t="str">
        <f>VLOOKUP(L961,Customers!$A$2:$B$92,2,FALSE)</f>
        <v>Wolski  Zajazd</v>
      </c>
      <c r="B961" t="str">
        <f>VLOOKUP(L961,Customers!$A$2:$C$92,3,TRUE)</f>
        <v>Zbyszek Piestrzeniewicz</v>
      </c>
      <c r="C961" t="str">
        <f t="shared" si="239"/>
        <v>Zbyszek</v>
      </c>
      <c r="D961" s="8" t="str">
        <f t="shared" si="240"/>
        <v>Piestrzeniewicz</v>
      </c>
      <c r="E961" s="8" t="str">
        <f t="shared" si="241"/>
        <v>Piestrzeniewicz, Zbyszek</v>
      </c>
      <c r="F961" s="8" t="str">
        <f t="shared" si="242"/>
        <v>Piestrzeniewicz, Zbyszek</v>
      </c>
      <c r="G961" s="8" t="str">
        <f t="shared" si="243"/>
        <v>not an outlier</v>
      </c>
      <c r="H961" s="8" t="str">
        <f t="shared" si="244"/>
        <v>Not</v>
      </c>
      <c r="I961" s="8" t="str">
        <f t="shared" si="254"/>
        <v>no</v>
      </c>
      <c r="J961" s="10" t="str">
        <f t="shared" si="245"/>
        <v>no</v>
      </c>
      <c r="K961" s="10" t="str">
        <f t="shared" si="246"/>
        <v>no</v>
      </c>
      <c r="L961" t="s">
        <v>668</v>
      </c>
      <c r="M961">
        <v>10611</v>
      </c>
      <c r="N961">
        <v>60</v>
      </c>
      <c r="O961" t="s">
        <v>694</v>
      </c>
      <c r="P961" t="str">
        <f t="shared" si="247"/>
        <v>WOLZA_10611_Camembert Pierrot</v>
      </c>
      <c r="Q961" t="str">
        <f t="shared" si="248"/>
        <v>10611</v>
      </c>
      <c r="R961" t="str">
        <f t="shared" si="249"/>
        <v>10611</v>
      </c>
      <c r="S961" t="str">
        <f t="shared" si="250"/>
        <v>Camembert Pierrot</v>
      </c>
      <c r="T961">
        <v>34</v>
      </c>
      <c r="U961">
        <v>15</v>
      </c>
      <c r="V961">
        <v>0</v>
      </c>
      <c r="W961">
        <f t="shared" si="251"/>
        <v>510</v>
      </c>
      <c r="X961" t="str">
        <f t="shared" si="252"/>
        <v>No</v>
      </c>
      <c r="Y961" s="2">
        <v>34936</v>
      </c>
      <c r="Z961" t="str">
        <f t="shared" ref="Z961:Z1024" si="255">IF(Y961&gt;=DATE(1996,1,1), IF(Y961&lt;DATE(1996,4,1),"1st Q 1996",""),"")</f>
        <v/>
      </c>
      <c r="AA961" t="str">
        <f t="shared" si="253"/>
        <v/>
      </c>
      <c r="AB961" t="str" cm="1">
        <f t="array" ref="AB961">_xlfn.IFS(Y961&lt;DATE(1996,1,1),"",Y961&lt;DATE(1996,4,1),"Q1",Y961&lt;DATE(1996,7,1),"Q2",Y961&gt;=DATE(1996,7,1),"")</f>
        <v/>
      </c>
    </row>
    <row r="962" spans="1:28" ht="14.4" x14ac:dyDescent="0.55000000000000004">
      <c r="A962" t="str">
        <f>VLOOKUP(L962,Customers!$A$2:$B$92,2,FALSE)</f>
        <v>Save-a-lot Markets</v>
      </c>
      <c r="B962" t="str">
        <f>VLOOKUP(L962,Customers!$A$2:$C$92,3,TRUE)</f>
        <v>Jose Pavarotti</v>
      </c>
      <c r="C962" t="str">
        <f t="shared" si="239"/>
        <v>Jose</v>
      </c>
      <c r="D962" s="8" t="str">
        <f t="shared" si="240"/>
        <v>Pavarotti</v>
      </c>
      <c r="E962" s="8" t="str">
        <f t="shared" si="241"/>
        <v>Pavarotti, Jose</v>
      </c>
      <c r="F962" s="8" t="str">
        <f t="shared" si="242"/>
        <v>Pavarotti, Jose</v>
      </c>
      <c r="G962" s="8" t="str">
        <f t="shared" si="243"/>
        <v>not an outlier</v>
      </c>
      <c r="H962" s="8" t="str">
        <f t="shared" si="244"/>
        <v>Not</v>
      </c>
      <c r="I962" s="8" t="str">
        <f t="shared" si="254"/>
        <v>no</v>
      </c>
      <c r="J962" s="10" t="str">
        <f t="shared" si="245"/>
        <v>no</v>
      </c>
      <c r="K962" s="10" t="str">
        <f t="shared" si="246"/>
        <v>no</v>
      </c>
      <c r="L962" t="s">
        <v>529</v>
      </c>
      <c r="M962">
        <v>10612</v>
      </c>
      <c r="N962">
        <v>10</v>
      </c>
      <c r="O962" t="s">
        <v>724</v>
      </c>
      <c r="P962" t="str">
        <f t="shared" si="247"/>
        <v>SAVEA_10612_Ikura</v>
      </c>
      <c r="Q962" t="str">
        <f t="shared" si="248"/>
        <v>10612</v>
      </c>
      <c r="R962" t="str">
        <f t="shared" si="249"/>
        <v>10612</v>
      </c>
      <c r="S962" t="str">
        <f t="shared" si="250"/>
        <v>Ikura</v>
      </c>
      <c r="T962">
        <v>31</v>
      </c>
      <c r="U962">
        <v>70</v>
      </c>
      <c r="V962">
        <v>0</v>
      </c>
      <c r="W962">
        <f t="shared" si="251"/>
        <v>2170</v>
      </c>
      <c r="X962" t="str">
        <f t="shared" si="252"/>
        <v>No</v>
      </c>
      <c r="Y962" s="2">
        <v>34939</v>
      </c>
      <c r="Z962" t="str">
        <f t="shared" si="255"/>
        <v/>
      </c>
      <c r="AA962" t="str">
        <f t="shared" si="253"/>
        <v/>
      </c>
      <c r="AB962" t="str" cm="1">
        <f t="array" ref="AB962">_xlfn.IFS(Y962&lt;DATE(1996,1,1),"",Y962&lt;DATE(1996,4,1),"Q1",Y962&lt;DATE(1996,7,1),"Q2",Y962&gt;=DATE(1996,7,1),"")</f>
        <v/>
      </c>
    </row>
    <row r="963" spans="1:28" ht="14.4" x14ac:dyDescent="0.55000000000000004">
      <c r="A963" t="str">
        <f>VLOOKUP(L963,Customers!$A$2:$B$92,2,FALSE)</f>
        <v>Save-a-lot Markets</v>
      </c>
      <c r="B963" t="str">
        <f>VLOOKUP(L963,Customers!$A$2:$C$92,3,TRUE)</f>
        <v>Jose Pavarotti</v>
      </c>
      <c r="C963" t="str">
        <f t="shared" ref="C963:C1026" si="256">LEFT(B963,FIND(" ",B963)-1)</f>
        <v>Jose</v>
      </c>
      <c r="D963" s="8" t="str">
        <f t="shared" ref="D963:D1026" si="257">RIGHT(B963,LEN(B963)-FIND(" ",B963))</f>
        <v>Pavarotti</v>
      </c>
      <c r="E963" s="8" t="str">
        <f t="shared" ref="E963:E1026" si="258">_xlfn.CONCAT(D963,", ",C963)</f>
        <v>Pavarotti, Jose</v>
      </c>
      <c r="F963" s="8" t="str">
        <f t="shared" ref="F963:F1026" si="259">D963&amp;", "&amp;C963</f>
        <v>Pavarotti, Jose</v>
      </c>
      <c r="G963" s="8" t="str">
        <f t="shared" ref="G963:G1026" si="260">IF(OR(W963&gt;$W$2166,W963&lt;$W$2167),"outlier","not an outlier")</f>
        <v>not an outlier</v>
      </c>
      <c r="H963" s="8" t="str">
        <f t="shared" ref="H963:H1026" si="261">IF(OR(W963&gt;$W$2166,W963&lt;$W$2167),"outlier",IF(OR(W963&gt;$W$2168,W963&lt;$W$2169),"moderate","Not"))</f>
        <v>Not</v>
      </c>
      <c r="I963" s="8" t="str">
        <f t="shared" si="254"/>
        <v>no</v>
      </c>
      <c r="J963" s="10" t="str">
        <f t="shared" ref="J963:J1026" si="262">IF(AND(W963&lt;=$W$2166,W963&gt;=$W$2167),"no","yes")</f>
        <v>no</v>
      </c>
      <c r="K963" s="10" t="str">
        <f t="shared" ref="K963:K1026" si="263">IF(OR(W963&gt;$W$2166,W963&lt;$W$2167),"yes",IF(OR(W963&gt;$W$2168,W963&lt;$W$2169),"moderate","no"))</f>
        <v>no</v>
      </c>
      <c r="L963" t="s">
        <v>529</v>
      </c>
      <c r="M963">
        <v>10612</v>
      </c>
      <c r="N963">
        <v>36</v>
      </c>
      <c r="O963" t="s">
        <v>703</v>
      </c>
      <c r="P963" t="str">
        <f t="shared" ref="P963:P1026" si="264">L963&amp;"_"&amp;M963&amp;"_"&amp;O963</f>
        <v>SAVEA_10612_Inlagd Sill</v>
      </c>
      <c r="Q963" t="str">
        <f t="shared" ref="Q963:Q1026" si="265">LEFT(RIGHT(P963,LEN(P963)-FIND("_",P963)), FIND("_",P963)-1)</f>
        <v>10612</v>
      </c>
      <c r="R963" t="str">
        <f t="shared" ref="R963:R1026" si="266">MID(P963,FIND("_",P963)+1,FIND("_",P963,FIND("_",P963))-1)</f>
        <v>10612</v>
      </c>
      <c r="S963" t="str">
        <f t="shared" ref="S963:S1026" si="267">MID(P963,FIND("_",P963,FIND("_",P963)+1)+1,LEN(P963))</f>
        <v>Inlagd Sill</v>
      </c>
      <c r="T963">
        <v>19</v>
      </c>
      <c r="U963">
        <v>55</v>
      </c>
      <c r="V963">
        <v>0</v>
      </c>
      <c r="W963">
        <f t="shared" ref="W963:W1026" si="268">T963*U963*(1-V963)</f>
        <v>1045</v>
      </c>
      <c r="X963" t="str">
        <f t="shared" ref="X963:X1026" si="269">IF(YEAR(Y963)&gt;=1996,"yes","No")</f>
        <v>No</v>
      </c>
      <c r="Y963" s="2">
        <v>34939</v>
      </c>
      <c r="Z963" t="str">
        <f t="shared" si="255"/>
        <v/>
      </c>
      <c r="AA963" t="str">
        <f t="shared" ref="AA963:AA1026" si="270">IF(Y963&lt;DATE(1996,1,1),"", IF(Y963&lt;DATE(1996,4,1),"1st Q 1996",IF(Y963&lt;DATE(1996,7,1),"2nd Q 1996","")))</f>
        <v/>
      </c>
      <c r="AB963" t="str" cm="1">
        <f t="array" ref="AB963">_xlfn.IFS(Y963&lt;DATE(1996,1,1),"",Y963&lt;DATE(1996,4,1),"Q1",Y963&lt;DATE(1996,7,1),"Q2",Y963&gt;=DATE(1996,7,1),"")</f>
        <v/>
      </c>
    </row>
    <row r="964" spans="1:28" ht="14.4" x14ac:dyDescent="0.55000000000000004">
      <c r="A964" t="str">
        <f>VLOOKUP(L964,Customers!$A$2:$B$92,2,FALSE)</f>
        <v>Save-a-lot Markets</v>
      </c>
      <c r="B964" t="str">
        <f>VLOOKUP(L964,Customers!$A$2:$C$92,3,TRUE)</f>
        <v>Jose Pavarotti</v>
      </c>
      <c r="C964" t="str">
        <f t="shared" si="256"/>
        <v>Jose</v>
      </c>
      <c r="D964" s="8" t="str">
        <f t="shared" si="257"/>
        <v>Pavarotti</v>
      </c>
      <c r="E964" s="8" t="str">
        <f t="shared" si="258"/>
        <v>Pavarotti, Jose</v>
      </c>
      <c r="F964" s="8" t="str">
        <f t="shared" si="259"/>
        <v>Pavarotti, Jose</v>
      </c>
      <c r="G964" s="8" t="str">
        <f t="shared" si="260"/>
        <v>not an outlier</v>
      </c>
      <c r="H964" s="8" t="str">
        <f t="shared" si="261"/>
        <v>Not</v>
      </c>
      <c r="I964" s="8" t="str">
        <f t="shared" ref="I964:I1027" si="271">IF(OR(W964&gt;$W$2166,W964&lt;$W$2167),"yes","no")</f>
        <v>no</v>
      </c>
      <c r="J964" s="10" t="str">
        <f t="shared" si="262"/>
        <v>no</v>
      </c>
      <c r="K964" s="10" t="str">
        <f t="shared" si="263"/>
        <v>no</v>
      </c>
      <c r="L964" t="s">
        <v>529</v>
      </c>
      <c r="M964">
        <v>10612</v>
      </c>
      <c r="N964">
        <v>49</v>
      </c>
      <c r="O964" t="s">
        <v>697</v>
      </c>
      <c r="P964" t="str">
        <f t="shared" si="264"/>
        <v>SAVEA_10612_Maxilaku</v>
      </c>
      <c r="Q964" t="str">
        <f t="shared" si="265"/>
        <v>10612</v>
      </c>
      <c r="R964" t="str">
        <f t="shared" si="266"/>
        <v>10612</v>
      </c>
      <c r="S964" t="str">
        <f t="shared" si="267"/>
        <v>Maxilaku</v>
      </c>
      <c r="T964">
        <v>20</v>
      </c>
      <c r="U964">
        <v>18</v>
      </c>
      <c r="V964">
        <v>0</v>
      </c>
      <c r="W964">
        <f t="shared" si="268"/>
        <v>360</v>
      </c>
      <c r="X964" t="str">
        <f t="shared" si="269"/>
        <v>No</v>
      </c>
      <c r="Y964" s="2">
        <v>34939</v>
      </c>
      <c r="Z964" t="str">
        <f t="shared" si="255"/>
        <v/>
      </c>
      <c r="AA964" t="str">
        <f t="shared" si="270"/>
        <v/>
      </c>
      <c r="AB964" t="str" cm="1">
        <f t="array" ref="AB964">_xlfn.IFS(Y964&lt;DATE(1996,1,1),"",Y964&lt;DATE(1996,4,1),"Q1",Y964&lt;DATE(1996,7,1),"Q2",Y964&gt;=DATE(1996,7,1),"")</f>
        <v/>
      </c>
    </row>
    <row r="965" spans="1:28" ht="14.4" x14ac:dyDescent="0.55000000000000004">
      <c r="A965" t="str">
        <f>VLOOKUP(L965,Customers!$A$2:$B$92,2,FALSE)</f>
        <v>Save-a-lot Markets</v>
      </c>
      <c r="B965" t="str">
        <f>VLOOKUP(L965,Customers!$A$2:$C$92,3,TRUE)</f>
        <v>Jose Pavarotti</v>
      </c>
      <c r="C965" t="str">
        <f t="shared" si="256"/>
        <v>Jose</v>
      </c>
      <c r="D965" s="8" t="str">
        <f t="shared" si="257"/>
        <v>Pavarotti</v>
      </c>
      <c r="E965" s="8" t="str">
        <f t="shared" si="258"/>
        <v>Pavarotti, Jose</v>
      </c>
      <c r="F965" s="8" t="str">
        <f t="shared" si="259"/>
        <v>Pavarotti, Jose</v>
      </c>
      <c r="G965" s="8" t="str">
        <f t="shared" si="260"/>
        <v>not an outlier</v>
      </c>
      <c r="H965" s="8" t="str">
        <f t="shared" si="261"/>
        <v>Not</v>
      </c>
      <c r="I965" s="8" t="str">
        <f t="shared" si="271"/>
        <v>no</v>
      </c>
      <c r="J965" s="10" t="str">
        <f t="shared" si="262"/>
        <v>no</v>
      </c>
      <c r="K965" s="10" t="str">
        <f t="shared" si="263"/>
        <v>no</v>
      </c>
      <c r="L965" t="s">
        <v>529</v>
      </c>
      <c r="M965">
        <v>10612</v>
      </c>
      <c r="N965">
        <v>60</v>
      </c>
      <c r="O965" t="s">
        <v>694</v>
      </c>
      <c r="P965" t="str">
        <f t="shared" si="264"/>
        <v>SAVEA_10612_Camembert Pierrot</v>
      </c>
      <c r="Q965" t="str">
        <f t="shared" si="265"/>
        <v>10612</v>
      </c>
      <c r="R965" t="str">
        <f t="shared" si="266"/>
        <v>10612</v>
      </c>
      <c r="S965" t="str">
        <f t="shared" si="267"/>
        <v>Camembert Pierrot</v>
      </c>
      <c r="T965">
        <v>34</v>
      </c>
      <c r="U965">
        <v>40</v>
      </c>
      <c r="V965">
        <v>0</v>
      </c>
      <c r="W965">
        <f t="shared" si="268"/>
        <v>1360</v>
      </c>
      <c r="X965" t="str">
        <f t="shared" si="269"/>
        <v>No</v>
      </c>
      <c r="Y965" s="2">
        <v>34939</v>
      </c>
      <c r="Z965" t="str">
        <f t="shared" si="255"/>
        <v/>
      </c>
      <c r="AA965" t="str">
        <f t="shared" si="270"/>
        <v/>
      </c>
      <c r="AB965" t="str" cm="1">
        <f t="array" ref="AB965">_xlfn.IFS(Y965&lt;DATE(1996,1,1),"",Y965&lt;DATE(1996,4,1),"Q1",Y965&lt;DATE(1996,7,1),"Q2",Y965&gt;=DATE(1996,7,1),"")</f>
        <v/>
      </c>
    </row>
    <row r="966" spans="1:28" ht="14.4" x14ac:dyDescent="0.55000000000000004">
      <c r="A966" t="str">
        <f>VLOOKUP(L966,Customers!$A$2:$B$92,2,FALSE)</f>
        <v>Save-a-lot Markets</v>
      </c>
      <c r="B966" t="str">
        <f>VLOOKUP(L966,Customers!$A$2:$C$92,3,TRUE)</f>
        <v>Jose Pavarotti</v>
      </c>
      <c r="C966" t="str">
        <f t="shared" si="256"/>
        <v>Jose</v>
      </c>
      <c r="D966" s="8" t="str">
        <f t="shared" si="257"/>
        <v>Pavarotti</v>
      </c>
      <c r="E966" s="8" t="str">
        <f t="shared" si="258"/>
        <v>Pavarotti, Jose</v>
      </c>
      <c r="F966" s="8" t="str">
        <f t="shared" si="259"/>
        <v>Pavarotti, Jose</v>
      </c>
      <c r="G966" s="8" t="str">
        <f t="shared" si="260"/>
        <v>not an outlier</v>
      </c>
      <c r="H966" s="8" t="str">
        <f t="shared" si="261"/>
        <v>Not</v>
      </c>
      <c r="I966" s="8" t="str">
        <f t="shared" si="271"/>
        <v>no</v>
      </c>
      <c r="J966" s="10" t="str">
        <f t="shared" si="262"/>
        <v>no</v>
      </c>
      <c r="K966" s="10" t="str">
        <f t="shared" si="263"/>
        <v>no</v>
      </c>
      <c r="L966" t="s">
        <v>529</v>
      </c>
      <c r="M966">
        <v>10612</v>
      </c>
      <c r="N966">
        <v>76</v>
      </c>
      <c r="O966" t="s">
        <v>721</v>
      </c>
      <c r="P966" t="str">
        <f t="shared" si="264"/>
        <v>SAVEA_10612_Lakkalikööri</v>
      </c>
      <c r="Q966" t="str">
        <f t="shared" si="265"/>
        <v>10612</v>
      </c>
      <c r="R966" t="str">
        <f t="shared" si="266"/>
        <v>10612</v>
      </c>
      <c r="S966" t="str">
        <f t="shared" si="267"/>
        <v>Lakkalikööri</v>
      </c>
      <c r="T966">
        <v>18</v>
      </c>
      <c r="U966">
        <v>80</v>
      </c>
      <c r="V966">
        <v>0</v>
      </c>
      <c r="W966">
        <f t="shared" si="268"/>
        <v>1440</v>
      </c>
      <c r="X966" t="str">
        <f t="shared" si="269"/>
        <v>No</v>
      </c>
      <c r="Y966" s="2">
        <v>34939</v>
      </c>
      <c r="Z966" t="str">
        <f t="shared" si="255"/>
        <v/>
      </c>
      <c r="AA966" t="str">
        <f t="shared" si="270"/>
        <v/>
      </c>
      <c r="AB966" t="str" cm="1">
        <f t="array" ref="AB966">_xlfn.IFS(Y966&lt;DATE(1996,1,1),"",Y966&lt;DATE(1996,4,1),"Q1",Y966&lt;DATE(1996,7,1),"Q2",Y966&gt;=DATE(1996,7,1),"")</f>
        <v/>
      </c>
    </row>
    <row r="967" spans="1:28" ht="14.4" x14ac:dyDescent="0.55000000000000004">
      <c r="A967" t="str">
        <f>VLOOKUP(L967,Customers!$A$2:$B$92,2,FALSE)</f>
        <v>HILARIÓN-Abastos</v>
      </c>
      <c r="B967" t="str">
        <f>VLOOKUP(L967,Customers!$A$2:$C$92,3,TRUE)</f>
        <v>Carlos Hernández</v>
      </c>
      <c r="C967" t="str">
        <f t="shared" si="256"/>
        <v>Carlos</v>
      </c>
      <c r="D967" s="8" t="str">
        <f t="shared" si="257"/>
        <v>Hernández</v>
      </c>
      <c r="E967" s="8" t="str">
        <f t="shared" si="258"/>
        <v>Hernández, Carlos</v>
      </c>
      <c r="F967" s="8" t="str">
        <f t="shared" si="259"/>
        <v>Hernández, Carlos</v>
      </c>
      <c r="G967" s="8" t="str">
        <f t="shared" si="260"/>
        <v>not an outlier</v>
      </c>
      <c r="H967" s="8" t="str">
        <f t="shared" si="261"/>
        <v>Not</v>
      </c>
      <c r="I967" s="8" t="str">
        <f t="shared" si="271"/>
        <v>no</v>
      </c>
      <c r="J967" s="10" t="str">
        <f t="shared" si="262"/>
        <v>no</v>
      </c>
      <c r="K967" s="10" t="str">
        <f t="shared" si="263"/>
        <v>no</v>
      </c>
      <c r="L967" t="s">
        <v>273</v>
      </c>
      <c r="M967">
        <v>10613</v>
      </c>
      <c r="N967">
        <v>13</v>
      </c>
      <c r="O967" t="s">
        <v>726</v>
      </c>
      <c r="P967" t="str">
        <f t="shared" si="264"/>
        <v>HILAA_10613_Konbu</v>
      </c>
      <c r="Q967" t="str">
        <f t="shared" si="265"/>
        <v>10613</v>
      </c>
      <c r="R967" t="str">
        <f t="shared" si="266"/>
        <v>10613</v>
      </c>
      <c r="S967" t="str">
        <f t="shared" si="267"/>
        <v>Konbu</v>
      </c>
      <c r="T967">
        <v>6</v>
      </c>
      <c r="U967">
        <v>8</v>
      </c>
      <c r="V967">
        <v>0.1</v>
      </c>
      <c r="W967">
        <f t="shared" si="268"/>
        <v>43.2</v>
      </c>
      <c r="X967" t="str">
        <f t="shared" si="269"/>
        <v>No</v>
      </c>
      <c r="Y967" s="2">
        <v>34940</v>
      </c>
      <c r="Z967" t="str">
        <f t="shared" si="255"/>
        <v/>
      </c>
      <c r="AA967" t="str">
        <f t="shared" si="270"/>
        <v/>
      </c>
      <c r="AB967" t="str" cm="1">
        <f t="array" ref="AB967">_xlfn.IFS(Y967&lt;DATE(1996,1,1),"",Y967&lt;DATE(1996,4,1),"Q1",Y967&lt;DATE(1996,7,1),"Q2",Y967&gt;=DATE(1996,7,1),"")</f>
        <v/>
      </c>
    </row>
    <row r="968" spans="1:28" ht="14.4" x14ac:dyDescent="0.55000000000000004">
      <c r="A968" t="str">
        <f>VLOOKUP(L968,Customers!$A$2:$B$92,2,FALSE)</f>
        <v>HILARIÓN-Abastos</v>
      </c>
      <c r="B968" t="str">
        <f>VLOOKUP(L968,Customers!$A$2:$C$92,3,TRUE)</f>
        <v>Carlos Hernández</v>
      </c>
      <c r="C968" t="str">
        <f t="shared" si="256"/>
        <v>Carlos</v>
      </c>
      <c r="D968" s="8" t="str">
        <f t="shared" si="257"/>
        <v>Hernández</v>
      </c>
      <c r="E968" s="8" t="str">
        <f t="shared" si="258"/>
        <v>Hernández, Carlos</v>
      </c>
      <c r="F968" s="8" t="str">
        <f t="shared" si="259"/>
        <v>Hernández, Carlos</v>
      </c>
      <c r="G968" s="8" t="str">
        <f t="shared" si="260"/>
        <v>not an outlier</v>
      </c>
      <c r="H968" s="8" t="str">
        <f t="shared" si="261"/>
        <v>Not</v>
      </c>
      <c r="I968" s="8" t="str">
        <f t="shared" si="271"/>
        <v>no</v>
      </c>
      <c r="J968" s="10" t="str">
        <f t="shared" si="262"/>
        <v>no</v>
      </c>
      <c r="K968" s="10" t="str">
        <f t="shared" si="263"/>
        <v>no</v>
      </c>
      <c r="L968" t="s">
        <v>273</v>
      </c>
      <c r="M968">
        <v>10613</v>
      </c>
      <c r="N968">
        <v>75</v>
      </c>
      <c r="O968" t="s">
        <v>731</v>
      </c>
      <c r="P968" t="str">
        <f t="shared" si="264"/>
        <v>HILAA_10613_Rhönbräu Klosterbier</v>
      </c>
      <c r="Q968" t="str">
        <f t="shared" si="265"/>
        <v>10613</v>
      </c>
      <c r="R968" t="str">
        <f t="shared" si="266"/>
        <v>10613</v>
      </c>
      <c r="S968" t="str">
        <f t="shared" si="267"/>
        <v>Rhönbräu Klosterbier</v>
      </c>
      <c r="T968">
        <v>7.75</v>
      </c>
      <c r="U968">
        <v>40</v>
      </c>
      <c r="V968">
        <v>0</v>
      </c>
      <c r="W968">
        <f t="shared" si="268"/>
        <v>310</v>
      </c>
      <c r="X968" t="str">
        <f t="shared" si="269"/>
        <v>No</v>
      </c>
      <c r="Y968" s="2">
        <v>34940</v>
      </c>
      <c r="Z968" t="str">
        <f t="shared" si="255"/>
        <v/>
      </c>
      <c r="AA968" t="str">
        <f t="shared" si="270"/>
        <v/>
      </c>
      <c r="AB968" t="str" cm="1">
        <f t="array" ref="AB968">_xlfn.IFS(Y968&lt;DATE(1996,1,1),"",Y968&lt;DATE(1996,4,1),"Q1",Y968&lt;DATE(1996,7,1),"Q2",Y968&gt;=DATE(1996,7,1),"")</f>
        <v/>
      </c>
    </row>
    <row r="969" spans="1:28" ht="14.4" x14ac:dyDescent="0.55000000000000004">
      <c r="A969" t="str">
        <f>VLOOKUP(L969,Customers!$A$2:$B$92,2,FALSE)</f>
        <v>Blauer See Delikatessen</v>
      </c>
      <c r="B969" t="str">
        <f>VLOOKUP(L969,Customers!$A$2:$C$92,3,TRUE)</f>
        <v>Hanna Moos</v>
      </c>
      <c r="C969" t="str">
        <f t="shared" si="256"/>
        <v>Hanna</v>
      </c>
      <c r="D969" s="8" t="str">
        <f t="shared" si="257"/>
        <v>Moos</v>
      </c>
      <c r="E969" s="8" t="str">
        <f t="shared" si="258"/>
        <v>Moos, Hanna</v>
      </c>
      <c r="F969" s="8" t="str">
        <f t="shared" si="259"/>
        <v>Moos, Hanna</v>
      </c>
      <c r="G969" s="8" t="str">
        <f t="shared" si="260"/>
        <v>not an outlier</v>
      </c>
      <c r="H969" s="8" t="str">
        <f t="shared" si="261"/>
        <v>Not</v>
      </c>
      <c r="I969" s="8" t="str">
        <f t="shared" si="271"/>
        <v>no</v>
      </c>
      <c r="J969" s="10" t="str">
        <f t="shared" si="262"/>
        <v>no</v>
      </c>
      <c r="K969" s="10" t="str">
        <f t="shared" si="263"/>
        <v>no</v>
      </c>
      <c r="L969" t="s">
        <v>53</v>
      </c>
      <c r="M969">
        <v>10614</v>
      </c>
      <c r="N969">
        <v>11</v>
      </c>
      <c r="O969" t="s">
        <v>683</v>
      </c>
      <c r="P969" t="str">
        <f t="shared" si="264"/>
        <v>BLAUS_10614_Queso Cabrales</v>
      </c>
      <c r="Q969" t="str">
        <f t="shared" si="265"/>
        <v>10614</v>
      </c>
      <c r="R969" t="str">
        <f t="shared" si="266"/>
        <v>10614</v>
      </c>
      <c r="S969" t="str">
        <f t="shared" si="267"/>
        <v>Queso Cabrales</v>
      </c>
      <c r="T969">
        <v>21</v>
      </c>
      <c r="U969">
        <v>14</v>
      </c>
      <c r="V969">
        <v>0</v>
      </c>
      <c r="W969">
        <f t="shared" si="268"/>
        <v>294</v>
      </c>
      <c r="X969" t="str">
        <f t="shared" si="269"/>
        <v>No</v>
      </c>
      <c r="Y969" s="2">
        <v>34940</v>
      </c>
      <c r="Z969" t="str">
        <f t="shared" si="255"/>
        <v/>
      </c>
      <c r="AA969" t="str">
        <f t="shared" si="270"/>
        <v/>
      </c>
      <c r="AB969" t="str" cm="1">
        <f t="array" ref="AB969">_xlfn.IFS(Y969&lt;DATE(1996,1,1),"",Y969&lt;DATE(1996,4,1),"Q1",Y969&lt;DATE(1996,7,1),"Q2",Y969&gt;=DATE(1996,7,1),"")</f>
        <v/>
      </c>
    </row>
    <row r="970" spans="1:28" ht="14.4" x14ac:dyDescent="0.55000000000000004">
      <c r="A970" t="str">
        <f>VLOOKUP(L970,Customers!$A$2:$B$92,2,FALSE)</f>
        <v>Blauer See Delikatessen</v>
      </c>
      <c r="B970" t="str">
        <f>VLOOKUP(L970,Customers!$A$2:$C$92,3,TRUE)</f>
        <v>Hanna Moos</v>
      </c>
      <c r="C970" t="str">
        <f t="shared" si="256"/>
        <v>Hanna</v>
      </c>
      <c r="D970" s="8" t="str">
        <f t="shared" si="257"/>
        <v>Moos</v>
      </c>
      <c r="E970" s="8" t="str">
        <f t="shared" si="258"/>
        <v>Moos, Hanna</v>
      </c>
      <c r="F970" s="8" t="str">
        <f t="shared" si="259"/>
        <v>Moos, Hanna</v>
      </c>
      <c r="G970" s="8" t="str">
        <f t="shared" si="260"/>
        <v>not an outlier</v>
      </c>
      <c r="H970" s="8" t="str">
        <f t="shared" si="261"/>
        <v>Not</v>
      </c>
      <c r="I970" s="8" t="str">
        <f t="shared" si="271"/>
        <v>no</v>
      </c>
      <c r="J970" s="10" t="str">
        <f t="shared" si="262"/>
        <v>no</v>
      </c>
      <c r="K970" s="10" t="str">
        <f t="shared" si="263"/>
        <v>no</v>
      </c>
      <c r="L970" t="s">
        <v>53</v>
      </c>
      <c r="M970">
        <v>10614</v>
      </c>
      <c r="N970">
        <v>21</v>
      </c>
      <c r="O970" t="s">
        <v>710</v>
      </c>
      <c r="P970" t="str">
        <f t="shared" si="264"/>
        <v>BLAUS_10614_Sir Rodney's Scones</v>
      </c>
      <c r="Q970" t="str">
        <f t="shared" si="265"/>
        <v>10614</v>
      </c>
      <c r="R970" t="str">
        <f t="shared" si="266"/>
        <v>10614</v>
      </c>
      <c r="S970" t="str">
        <f t="shared" si="267"/>
        <v>Sir Rodney's Scones</v>
      </c>
      <c r="T970">
        <v>10</v>
      </c>
      <c r="U970">
        <v>8</v>
      </c>
      <c r="V970">
        <v>0</v>
      </c>
      <c r="W970">
        <f t="shared" si="268"/>
        <v>80</v>
      </c>
      <c r="X970" t="str">
        <f t="shared" si="269"/>
        <v>No</v>
      </c>
      <c r="Y970" s="2">
        <v>34940</v>
      </c>
      <c r="Z970" t="str">
        <f t="shared" si="255"/>
        <v/>
      </c>
      <c r="AA970" t="str">
        <f t="shared" si="270"/>
        <v/>
      </c>
      <c r="AB970" t="str" cm="1">
        <f t="array" ref="AB970">_xlfn.IFS(Y970&lt;DATE(1996,1,1),"",Y970&lt;DATE(1996,4,1),"Q1",Y970&lt;DATE(1996,7,1),"Q2",Y970&gt;=DATE(1996,7,1),"")</f>
        <v/>
      </c>
    </row>
    <row r="971" spans="1:28" ht="14.4" x14ac:dyDescent="0.55000000000000004">
      <c r="A971" t="str">
        <f>VLOOKUP(L971,Customers!$A$2:$B$92,2,FALSE)</f>
        <v>Blauer See Delikatessen</v>
      </c>
      <c r="B971" t="str">
        <f>VLOOKUP(L971,Customers!$A$2:$C$92,3,TRUE)</f>
        <v>Hanna Moos</v>
      </c>
      <c r="C971" t="str">
        <f t="shared" si="256"/>
        <v>Hanna</v>
      </c>
      <c r="D971" s="8" t="str">
        <f t="shared" si="257"/>
        <v>Moos</v>
      </c>
      <c r="E971" s="8" t="str">
        <f t="shared" si="258"/>
        <v>Moos, Hanna</v>
      </c>
      <c r="F971" s="8" t="str">
        <f t="shared" si="259"/>
        <v>Moos, Hanna</v>
      </c>
      <c r="G971" s="8" t="str">
        <f t="shared" si="260"/>
        <v>not an outlier</v>
      </c>
      <c r="H971" s="8" t="str">
        <f t="shared" si="261"/>
        <v>Not</v>
      </c>
      <c r="I971" s="8" t="str">
        <f t="shared" si="271"/>
        <v>no</v>
      </c>
      <c r="J971" s="10" t="str">
        <f t="shared" si="262"/>
        <v>no</v>
      </c>
      <c r="K971" s="10" t="str">
        <f t="shared" si="263"/>
        <v>no</v>
      </c>
      <c r="L971" t="s">
        <v>53</v>
      </c>
      <c r="M971">
        <v>10614</v>
      </c>
      <c r="N971">
        <v>39</v>
      </c>
      <c r="O971" t="s">
        <v>696</v>
      </c>
      <c r="P971" t="str">
        <f t="shared" si="264"/>
        <v>BLAUS_10614_Chartreuse verte</v>
      </c>
      <c r="Q971" t="str">
        <f t="shared" si="265"/>
        <v>10614</v>
      </c>
      <c r="R971" t="str">
        <f t="shared" si="266"/>
        <v>10614</v>
      </c>
      <c r="S971" t="str">
        <f t="shared" si="267"/>
        <v>Chartreuse verte</v>
      </c>
      <c r="T971">
        <v>18</v>
      </c>
      <c r="U971">
        <v>5</v>
      </c>
      <c r="V971">
        <v>0</v>
      </c>
      <c r="W971">
        <f t="shared" si="268"/>
        <v>90</v>
      </c>
      <c r="X971" t="str">
        <f t="shared" si="269"/>
        <v>No</v>
      </c>
      <c r="Y971" s="2">
        <v>34940</v>
      </c>
      <c r="Z971" t="str">
        <f t="shared" si="255"/>
        <v/>
      </c>
      <c r="AA971" t="str">
        <f t="shared" si="270"/>
        <v/>
      </c>
      <c r="AB971" t="str" cm="1">
        <f t="array" ref="AB971">_xlfn.IFS(Y971&lt;DATE(1996,1,1),"",Y971&lt;DATE(1996,4,1),"Q1",Y971&lt;DATE(1996,7,1),"Q2",Y971&gt;=DATE(1996,7,1),"")</f>
        <v/>
      </c>
    </row>
    <row r="972" spans="1:28" ht="14.4" x14ac:dyDescent="0.55000000000000004">
      <c r="A972" t="str">
        <f>VLOOKUP(L972,Customers!$A$2:$B$92,2,FALSE)</f>
        <v>Wilman Kala</v>
      </c>
      <c r="B972" t="str">
        <f>VLOOKUP(L972,Customers!$A$2:$C$92,3,TRUE)</f>
        <v>Matti Karttunen</v>
      </c>
      <c r="C972" t="str">
        <f t="shared" si="256"/>
        <v>Matti</v>
      </c>
      <c r="D972" s="8" t="str">
        <f t="shared" si="257"/>
        <v>Karttunen</v>
      </c>
      <c r="E972" s="8" t="str">
        <f t="shared" si="258"/>
        <v>Karttunen, Matti</v>
      </c>
      <c r="F972" s="8" t="str">
        <f t="shared" si="259"/>
        <v>Karttunen, Matti</v>
      </c>
      <c r="G972" s="8" t="str">
        <f t="shared" si="260"/>
        <v>not an outlier</v>
      </c>
      <c r="H972" s="8" t="str">
        <f t="shared" si="261"/>
        <v>Not</v>
      </c>
      <c r="I972" s="8" t="str">
        <f t="shared" si="271"/>
        <v>no</v>
      </c>
      <c r="J972" s="10" t="str">
        <f t="shared" si="262"/>
        <v>no</v>
      </c>
      <c r="K972" s="10" t="str">
        <f t="shared" si="263"/>
        <v>no</v>
      </c>
      <c r="L972" t="s">
        <v>661</v>
      </c>
      <c r="M972">
        <v>10615</v>
      </c>
      <c r="N972">
        <v>55</v>
      </c>
      <c r="O972" t="s">
        <v>699</v>
      </c>
      <c r="P972" t="str">
        <f t="shared" si="264"/>
        <v>WILMK_10615_Pâté chinois</v>
      </c>
      <c r="Q972" t="str">
        <f t="shared" si="265"/>
        <v>10615</v>
      </c>
      <c r="R972" t="str">
        <f t="shared" si="266"/>
        <v>10615</v>
      </c>
      <c r="S972" t="str">
        <f t="shared" si="267"/>
        <v>Pâté chinois</v>
      </c>
      <c r="T972">
        <v>24</v>
      </c>
      <c r="U972">
        <v>5</v>
      </c>
      <c r="V972">
        <v>0</v>
      </c>
      <c r="W972">
        <f t="shared" si="268"/>
        <v>120</v>
      </c>
      <c r="X972" t="str">
        <f t="shared" si="269"/>
        <v>No</v>
      </c>
      <c r="Y972" s="2">
        <v>34941</v>
      </c>
      <c r="Z972" t="str">
        <f t="shared" si="255"/>
        <v/>
      </c>
      <c r="AA972" t="str">
        <f t="shared" si="270"/>
        <v/>
      </c>
      <c r="AB972" t="str" cm="1">
        <f t="array" ref="AB972">_xlfn.IFS(Y972&lt;DATE(1996,1,1),"",Y972&lt;DATE(1996,4,1),"Q1",Y972&lt;DATE(1996,7,1),"Q2",Y972&gt;=DATE(1996,7,1),"")</f>
        <v/>
      </c>
    </row>
    <row r="973" spans="1:28" ht="14.4" x14ac:dyDescent="0.55000000000000004">
      <c r="A973" t="str">
        <f>VLOOKUP(L973,Customers!$A$2:$B$92,2,FALSE)</f>
        <v>Great Lakes Food Market</v>
      </c>
      <c r="B973" t="str">
        <f>VLOOKUP(L973,Customers!$A$2:$C$92,3,TRUE)</f>
        <v>Howard Snyder</v>
      </c>
      <c r="C973" t="str">
        <f t="shared" si="256"/>
        <v>Howard</v>
      </c>
      <c r="D973" s="8" t="str">
        <f t="shared" si="257"/>
        <v>Snyder</v>
      </c>
      <c r="E973" s="8" t="str">
        <f t="shared" si="258"/>
        <v>Snyder, Howard</v>
      </c>
      <c r="F973" s="8" t="str">
        <f t="shared" si="259"/>
        <v>Snyder, Howard</v>
      </c>
      <c r="G973" s="8" t="str">
        <f t="shared" si="260"/>
        <v>outlier</v>
      </c>
      <c r="H973" s="8" t="str">
        <f t="shared" si="261"/>
        <v>outlier</v>
      </c>
      <c r="I973" s="8" t="str">
        <f t="shared" si="271"/>
        <v>yes</v>
      </c>
      <c r="J973" s="10" t="str">
        <f t="shared" si="262"/>
        <v>yes</v>
      </c>
      <c r="K973" s="10" t="str">
        <f t="shared" si="263"/>
        <v>yes</v>
      </c>
      <c r="L973" t="s">
        <v>247</v>
      </c>
      <c r="M973">
        <v>10616</v>
      </c>
      <c r="N973">
        <v>38</v>
      </c>
      <c r="O973" t="s">
        <v>750</v>
      </c>
      <c r="P973" t="str">
        <f t="shared" si="264"/>
        <v>GREAL_10616_Côte de Blaye</v>
      </c>
      <c r="Q973" t="str">
        <f t="shared" si="265"/>
        <v>10616</v>
      </c>
      <c r="R973" t="str">
        <f t="shared" si="266"/>
        <v>10616</v>
      </c>
      <c r="S973" t="str">
        <f t="shared" si="267"/>
        <v>Côte de Blaye</v>
      </c>
      <c r="T973">
        <v>263.5</v>
      </c>
      <c r="U973">
        <v>15</v>
      </c>
      <c r="V973">
        <v>0.05</v>
      </c>
      <c r="W973">
        <f t="shared" si="268"/>
        <v>3754.875</v>
      </c>
      <c r="X973" t="str">
        <f t="shared" si="269"/>
        <v>No</v>
      </c>
      <c r="Y973" s="2">
        <v>34942</v>
      </c>
      <c r="Z973" t="str">
        <f t="shared" si="255"/>
        <v/>
      </c>
      <c r="AA973" t="str">
        <f t="shared" si="270"/>
        <v/>
      </c>
      <c r="AB973" t="str" cm="1">
        <f t="array" ref="AB973">_xlfn.IFS(Y973&lt;DATE(1996,1,1),"",Y973&lt;DATE(1996,4,1),"Q1",Y973&lt;DATE(1996,7,1),"Q2",Y973&gt;=DATE(1996,7,1),"")</f>
        <v/>
      </c>
    </row>
    <row r="974" spans="1:28" ht="14.4" x14ac:dyDescent="0.55000000000000004">
      <c r="A974" t="str">
        <f>VLOOKUP(L974,Customers!$A$2:$B$92,2,FALSE)</f>
        <v>Great Lakes Food Market</v>
      </c>
      <c r="B974" t="str">
        <f>VLOOKUP(L974,Customers!$A$2:$C$92,3,TRUE)</f>
        <v>Howard Snyder</v>
      </c>
      <c r="C974" t="str">
        <f t="shared" si="256"/>
        <v>Howard</v>
      </c>
      <c r="D974" s="8" t="str">
        <f t="shared" si="257"/>
        <v>Snyder</v>
      </c>
      <c r="E974" s="8" t="str">
        <f t="shared" si="258"/>
        <v>Snyder, Howard</v>
      </c>
      <c r="F974" s="8" t="str">
        <f t="shared" si="259"/>
        <v>Snyder, Howard</v>
      </c>
      <c r="G974" s="8" t="str">
        <f t="shared" si="260"/>
        <v>not an outlier</v>
      </c>
      <c r="H974" s="8" t="str">
        <f t="shared" si="261"/>
        <v>Not</v>
      </c>
      <c r="I974" s="8" t="str">
        <f t="shared" si="271"/>
        <v>no</v>
      </c>
      <c r="J974" s="10" t="str">
        <f t="shared" si="262"/>
        <v>no</v>
      </c>
      <c r="K974" s="10" t="str">
        <f t="shared" si="263"/>
        <v>no</v>
      </c>
      <c r="L974" t="s">
        <v>247</v>
      </c>
      <c r="M974">
        <v>10616</v>
      </c>
      <c r="N974">
        <v>56</v>
      </c>
      <c r="O974" t="s">
        <v>716</v>
      </c>
      <c r="P974" t="str">
        <f t="shared" si="264"/>
        <v>GREAL_10616_Gnocchi di nonna Alice</v>
      </c>
      <c r="Q974" t="str">
        <f t="shared" si="265"/>
        <v>10616</v>
      </c>
      <c r="R974" t="str">
        <f t="shared" si="266"/>
        <v>10616</v>
      </c>
      <c r="S974" t="str">
        <f t="shared" si="267"/>
        <v>Gnocchi di nonna Alice</v>
      </c>
      <c r="T974">
        <v>38</v>
      </c>
      <c r="U974">
        <v>14</v>
      </c>
      <c r="V974">
        <v>0</v>
      </c>
      <c r="W974">
        <f t="shared" si="268"/>
        <v>532</v>
      </c>
      <c r="X974" t="str">
        <f t="shared" si="269"/>
        <v>No</v>
      </c>
      <c r="Y974" s="2">
        <v>34942</v>
      </c>
      <c r="Z974" t="str">
        <f t="shared" si="255"/>
        <v/>
      </c>
      <c r="AA974" t="str">
        <f t="shared" si="270"/>
        <v/>
      </c>
      <c r="AB974" t="str" cm="1">
        <f t="array" ref="AB974">_xlfn.IFS(Y974&lt;DATE(1996,1,1),"",Y974&lt;DATE(1996,4,1),"Q1",Y974&lt;DATE(1996,7,1),"Q2",Y974&gt;=DATE(1996,7,1),"")</f>
        <v/>
      </c>
    </row>
    <row r="975" spans="1:28" ht="14.4" x14ac:dyDescent="0.55000000000000004">
      <c r="A975" t="str">
        <f>VLOOKUP(L975,Customers!$A$2:$B$92,2,FALSE)</f>
        <v>Great Lakes Food Market</v>
      </c>
      <c r="B975" t="str">
        <f>VLOOKUP(L975,Customers!$A$2:$C$92,3,TRUE)</f>
        <v>Howard Snyder</v>
      </c>
      <c r="C975" t="str">
        <f t="shared" si="256"/>
        <v>Howard</v>
      </c>
      <c r="D975" s="8" t="str">
        <f t="shared" si="257"/>
        <v>Snyder</v>
      </c>
      <c r="E975" s="8" t="str">
        <f t="shared" si="258"/>
        <v>Snyder, Howard</v>
      </c>
      <c r="F975" s="8" t="str">
        <f t="shared" si="259"/>
        <v>Snyder, Howard</v>
      </c>
      <c r="G975" s="8" t="str">
        <f t="shared" si="260"/>
        <v>not an outlier</v>
      </c>
      <c r="H975" s="8" t="str">
        <f t="shared" si="261"/>
        <v>Not</v>
      </c>
      <c r="I975" s="8" t="str">
        <f t="shared" si="271"/>
        <v>no</v>
      </c>
      <c r="J975" s="10" t="str">
        <f t="shared" si="262"/>
        <v>no</v>
      </c>
      <c r="K975" s="10" t="str">
        <f t="shared" si="263"/>
        <v>no</v>
      </c>
      <c r="L975" t="s">
        <v>247</v>
      </c>
      <c r="M975">
        <v>10616</v>
      </c>
      <c r="N975">
        <v>70</v>
      </c>
      <c r="O975" t="s">
        <v>713</v>
      </c>
      <c r="P975" t="str">
        <f t="shared" si="264"/>
        <v>GREAL_10616_Outback Lager</v>
      </c>
      <c r="Q975" t="str">
        <f t="shared" si="265"/>
        <v>10616</v>
      </c>
      <c r="R975" t="str">
        <f t="shared" si="266"/>
        <v>10616</v>
      </c>
      <c r="S975" t="str">
        <f t="shared" si="267"/>
        <v>Outback Lager</v>
      </c>
      <c r="T975">
        <v>15</v>
      </c>
      <c r="U975">
        <v>15</v>
      </c>
      <c r="V975">
        <v>0.05</v>
      </c>
      <c r="W975">
        <f t="shared" si="268"/>
        <v>213.75</v>
      </c>
      <c r="X975" t="str">
        <f t="shared" si="269"/>
        <v>No</v>
      </c>
      <c r="Y975" s="2">
        <v>34942</v>
      </c>
      <c r="Z975" t="str">
        <f t="shared" si="255"/>
        <v/>
      </c>
      <c r="AA975" t="str">
        <f t="shared" si="270"/>
        <v/>
      </c>
      <c r="AB975" t="str" cm="1">
        <f t="array" ref="AB975">_xlfn.IFS(Y975&lt;DATE(1996,1,1),"",Y975&lt;DATE(1996,4,1),"Q1",Y975&lt;DATE(1996,7,1),"Q2",Y975&gt;=DATE(1996,7,1),"")</f>
        <v/>
      </c>
    </row>
    <row r="976" spans="1:28" ht="14.4" x14ac:dyDescent="0.55000000000000004">
      <c r="A976" t="str">
        <f>VLOOKUP(L976,Customers!$A$2:$B$92,2,FALSE)</f>
        <v>Great Lakes Food Market</v>
      </c>
      <c r="B976" t="str">
        <f>VLOOKUP(L976,Customers!$A$2:$C$92,3,TRUE)</f>
        <v>Howard Snyder</v>
      </c>
      <c r="C976" t="str">
        <f t="shared" si="256"/>
        <v>Howard</v>
      </c>
      <c r="D976" s="8" t="str">
        <f t="shared" si="257"/>
        <v>Snyder</v>
      </c>
      <c r="E976" s="8" t="str">
        <f t="shared" si="258"/>
        <v>Snyder, Howard</v>
      </c>
      <c r="F976" s="8" t="str">
        <f t="shared" si="259"/>
        <v>Snyder, Howard</v>
      </c>
      <c r="G976" s="8" t="str">
        <f t="shared" si="260"/>
        <v>not an outlier</v>
      </c>
      <c r="H976" s="8" t="str">
        <f t="shared" si="261"/>
        <v>Not</v>
      </c>
      <c r="I976" s="8" t="str">
        <f t="shared" si="271"/>
        <v>no</v>
      </c>
      <c r="J976" s="10" t="str">
        <f t="shared" si="262"/>
        <v>no</v>
      </c>
      <c r="K976" s="10" t="str">
        <f t="shared" si="263"/>
        <v>no</v>
      </c>
      <c r="L976" t="s">
        <v>247</v>
      </c>
      <c r="M976">
        <v>10616</v>
      </c>
      <c r="N976">
        <v>71</v>
      </c>
      <c r="O976" t="s">
        <v>725</v>
      </c>
      <c r="P976" t="str">
        <f t="shared" si="264"/>
        <v>GREAL_10616_Fløtemysost</v>
      </c>
      <c r="Q976" t="str">
        <f t="shared" si="265"/>
        <v>10616</v>
      </c>
      <c r="R976" t="str">
        <f t="shared" si="266"/>
        <v>10616</v>
      </c>
      <c r="S976" t="str">
        <f t="shared" si="267"/>
        <v>Fløtemysost</v>
      </c>
      <c r="T976">
        <v>21.5</v>
      </c>
      <c r="U976">
        <v>15</v>
      </c>
      <c r="V976">
        <v>0.05</v>
      </c>
      <c r="W976">
        <f t="shared" si="268"/>
        <v>306.375</v>
      </c>
      <c r="X976" t="str">
        <f t="shared" si="269"/>
        <v>No</v>
      </c>
      <c r="Y976" s="2">
        <v>34942</v>
      </c>
      <c r="Z976" t="str">
        <f t="shared" si="255"/>
        <v/>
      </c>
      <c r="AA976" t="str">
        <f t="shared" si="270"/>
        <v/>
      </c>
      <c r="AB976" t="str" cm="1">
        <f t="array" ref="AB976">_xlfn.IFS(Y976&lt;DATE(1996,1,1),"",Y976&lt;DATE(1996,4,1),"Q1",Y976&lt;DATE(1996,7,1),"Q2",Y976&gt;=DATE(1996,7,1),"")</f>
        <v/>
      </c>
    </row>
    <row r="977" spans="1:28" ht="14.4" x14ac:dyDescent="0.55000000000000004">
      <c r="A977" t="str">
        <f>VLOOKUP(L977,Customers!$A$2:$B$92,2,FALSE)</f>
        <v>Great Lakes Food Market</v>
      </c>
      <c r="B977" t="str">
        <f>VLOOKUP(L977,Customers!$A$2:$C$92,3,TRUE)</f>
        <v>Howard Snyder</v>
      </c>
      <c r="C977" t="str">
        <f t="shared" si="256"/>
        <v>Howard</v>
      </c>
      <c r="D977" s="8" t="str">
        <f t="shared" si="257"/>
        <v>Snyder</v>
      </c>
      <c r="E977" s="8" t="str">
        <f t="shared" si="258"/>
        <v>Snyder, Howard</v>
      </c>
      <c r="F977" s="8" t="str">
        <f t="shared" si="259"/>
        <v>Snyder, Howard</v>
      </c>
      <c r="G977" s="8" t="str">
        <f t="shared" si="260"/>
        <v>not an outlier</v>
      </c>
      <c r="H977" s="8" t="str">
        <f t="shared" si="261"/>
        <v>Not</v>
      </c>
      <c r="I977" s="8" t="str">
        <f t="shared" si="271"/>
        <v>no</v>
      </c>
      <c r="J977" s="10" t="str">
        <f t="shared" si="262"/>
        <v>no</v>
      </c>
      <c r="K977" s="10" t="str">
        <f t="shared" si="263"/>
        <v>no</v>
      </c>
      <c r="L977" t="s">
        <v>247</v>
      </c>
      <c r="M977">
        <v>10617</v>
      </c>
      <c r="N977">
        <v>59</v>
      </c>
      <c r="O977" t="s">
        <v>704</v>
      </c>
      <c r="P977" t="str">
        <f t="shared" si="264"/>
        <v>GREAL_10617_Raclette Courdavault</v>
      </c>
      <c r="Q977" t="str">
        <f t="shared" si="265"/>
        <v>10617</v>
      </c>
      <c r="R977" t="str">
        <f t="shared" si="266"/>
        <v>10617</v>
      </c>
      <c r="S977" t="str">
        <f t="shared" si="267"/>
        <v>Raclette Courdavault</v>
      </c>
      <c r="T977">
        <v>55</v>
      </c>
      <c r="U977">
        <v>30</v>
      </c>
      <c r="V977">
        <v>0.15</v>
      </c>
      <c r="W977">
        <f t="shared" si="268"/>
        <v>1402.5</v>
      </c>
      <c r="X977" t="str">
        <f t="shared" si="269"/>
        <v>No</v>
      </c>
      <c r="Y977" s="2">
        <v>34942</v>
      </c>
      <c r="Z977" t="str">
        <f t="shared" si="255"/>
        <v/>
      </c>
      <c r="AA977" t="str">
        <f t="shared" si="270"/>
        <v/>
      </c>
      <c r="AB977" t="str" cm="1">
        <f t="array" ref="AB977">_xlfn.IFS(Y977&lt;DATE(1996,1,1),"",Y977&lt;DATE(1996,4,1),"Q1",Y977&lt;DATE(1996,7,1),"Q2",Y977&gt;=DATE(1996,7,1),"")</f>
        <v/>
      </c>
    </row>
    <row r="978" spans="1:28" ht="14.4" x14ac:dyDescent="0.55000000000000004">
      <c r="A978" t="str">
        <f>VLOOKUP(L978,Customers!$A$2:$B$92,2,FALSE)</f>
        <v>Mère Paillarde</v>
      </c>
      <c r="B978" t="str">
        <f>VLOOKUP(L978,Customers!$A$2:$C$92,3,TRUE)</f>
        <v>Jean Fresnière</v>
      </c>
      <c r="C978" t="str">
        <f t="shared" si="256"/>
        <v>Jean</v>
      </c>
      <c r="D978" s="8" t="str">
        <f t="shared" si="257"/>
        <v>Fresnière</v>
      </c>
      <c r="E978" s="8" t="str">
        <f t="shared" si="258"/>
        <v>Fresnière, Jean</v>
      </c>
      <c r="F978" s="8" t="str">
        <f t="shared" si="259"/>
        <v>Fresnière, Jean</v>
      </c>
      <c r="G978" s="8" t="str">
        <f t="shared" si="260"/>
        <v>not an outlier</v>
      </c>
      <c r="H978" s="8" t="str">
        <f t="shared" si="261"/>
        <v>Not</v>
      </c>
      <c r="I978" s="8" t="str">
        <f t="shared" si="271"/>
        <v>no</v>
      </c>
      <c r="J978" s="10" t="str">
        <f t="shared" si="262"/>
        <v>no</v>
      </c>
      <c r="K978" s="10" t="str">
        <f t="shared" si="263"/>
        <v>no</v>
      </c>
      <c r="L978" t="s">
        <v>394</v>
      </c>
      <c r="M978">
        <v>10618</v>
      </c>
      <c r="N978">
        <v>6</v>
      </c>
      <c r="O978" t="s">
        <v>746</v>
      </c>
      <c r="P978" t="str">
        <f t="shared" si="264"/>
        <v>MEREP_10618_Grandma's Boysenberry Spread</v>
      </c>
      <c r="Q978" t="str">
        <f t="shared" si="265"/>
        <v>10618</v>
      </c>
      <c r="R978" t="str">
        <f t="shared" si="266"/>
        <v>10618</v>
      </c>
      <c r="S978" t="str">
        <f t="shared" si="267"/>
        <v>Grandma's Boysenberry Spread</v>
      </c>
      <c r="T978">
        <v>25</v>
      </c>
      <c r="U978">
        <v>70</v>
      </c>
      <c r="V978">
        <v>0</v>
      </c>
      <c r="W978">
        <f t="shared" si="268"/>
        <v>1750</v>
      </c>
      <c r="X978" t="str">
        <f t="shared" si="269"/>
        <v>No</v>
      </c>
      <c r="Y978" s="2">
        <v>34943</v>
      </c>
      <c r="Z978" t="str">
        <f t="shared" si="255"/>
        <v/>
      </c>
      <c r="AA978" t="str">
        <f t="shared" si="270"/>
        <v/>
      </c>
      <c r="AB978" t="str" cm="1">
        <f t="array" ref="AB978">_xlfn.IFS(Y978&lt;DATE(1996,1,1),"",Y978&lt;DATE(1996,4,1),"Q1",Y978&lt;DATE(1996,7,1),"Q2",Y978&gt;=DATE(1996,7,1),"")</f>
        <v/>
      </c>
    </row>
    <row r="979" spans="1:28" ht="14.4" x14ac:dyDescent="0.55000000000000004">
      <c r="A979" t="str">
        <f>VLOOKUP(L979,Customers!$A$2:$B$92,2,FALSE)</f>
        <v>Mère Paillarde</v>
      </c>
      <c r="B979" t="str">
        <f>VLOOKUP(L979,Customers!$A$2:$C$92,3,TRUE)</f>
        <v>Jean Fresnière</v>
      </c>
      <c r="C979" t="str">
        <f t="shared" si="256"/>
        <v>Jean</v>
      </c>
      <c r="D979" s="8" t="str">
        <f t="shared" si="257"/>
        <v>Fresnière</v>
      </c>
      <c r="E979" s="8" t="str">
        <f t="shared" si="258"/>
        <v>Fresnière, Jean</v>
      </c>
      <c r="F979" s="8" t="str">
        <f t="shared" si="259"/>
        <v>Fresnière, Jean</v>
      </c>
      <c r="G979" s="8" t="str">
        <f t="shared" si="260"/>
        <v>not an outlier</v>
      </c>
      <c r="H979" s="8" t="str">
        <f t="shared" si="261"/>
        <v>Not</v>
      </c>
      <c r="I979" s="8" t="str">
        <f t="shared" si="271"/>
        <v>no</v>
      </c>
      <c r="J979" s="10" t="str">
        <f t="shared" si="262"/>
        <v>no</v>
      </c>
      <c r="K979" s="10" t="str">
        <f t="shared" si="263"/>
        <v>no</v>
      </c>
      <c r="L979" t="s">
        <v>394</v>
      </c>
      <c r="M979">
        <v>10618</v>
      </c>
      <c r="N979">
        <v>56</v>
      </c>
      <c r="O979" t="s">
        <v>716</v>
      </c>
      <c r="P979" t="str">
        <f t="shared" si="264"/>
        <v>MEREP_10618_Gnocchi di nonna Alice</v>
      </c>
      <c r="Q979" t="str">
        <f t="shared" si="265"/>
        <v>10618</v>
      </c>
      <c r="R979" t="str">
        <f t="shared" si="266"/>
        <v>10618</v>
      </c>
      <c r="S979" t="str">
        <f t="shared" si="267"/>
        <v>Gnocchi di nonna Alice</v>
      </c>
      <c r="T979">
        <v>38</v>
      </c>
      <c r="U979">
        <v>20</v>
      </c>
      <c r="V979">
        <v>0</v>
      </c>
      <c r="W979">
        <f t="shared" si="268"/>
        <v>760</v>
      </c>
      <c r="X979" t="str">
        <f t="shared" si="269"/>
        <v>No</v>
      </c>
      <c r="Y979" s="2">
        <v>34943</v>
      </c>
      <c r="Z979" t="str">
        <f t="shared" si="255"/>
        <v/>
      </c>
      <c r="AA979" t="str">
        <f t="shared" si="270"/>
        <v/>
      </c>
      <c r="AB979" t="str" cm="1">
        <f t="array" ref="AB979">_xlfn.IFS(Y979&lt;DATE(1996,1,1),"",Y979&lt;DATE(1996,4,1),"Q1",Y979&lt;DATE(1996,7,1),"Q2",Y979&gt;=DATE(1996,7,1),"")</f>
        <v/>
      </c>
    </row>
    <row r="980" spans="1:28" ht="14.4" x14ac:dyDescent="0.55000000000000004">
      <c r="A980" t="str">
        <f>VLOOKUP(L980,Customers!$A$2:$B$92,2,FALSE)</f>
        <v>Mère Paillarde</v>
      </c>
      <c r="B980" t="str">
        <f>VLOOKUP(L980,Customers!$A$2:$C$92,3,TRUE)</f>
        <v>Jean Fresnière</v>
      </c>
      <c r="C980" t="str">
        <f t="shared" si="256"/>
        <v>Jean</v>
      </c>
      <c r="D980" s="8" t="str">
        <f t="shared" si="257"/>
        <v>Fresnière</v>
      </c>
      <c r="E980" s="8" t="str">
        <f t="shared" si="258"/>
        <v>Fresnière, Jean</v>
      </c>
      <c r="F980" s="8" t="str">
        <f t="shared" si="259"/>
        <v>Fresnière, Jean</v>
      </c>
      <c r="G980" s="8" t="str">
        <f t="shared" si="260"/>
        <v>not an outlier</v>
      </c>
      <c r="H980" s="8" t="str">
        <f t="shared" si="261"/>
        <v>Not</v>
      </c>
      <c r="I980" s="8" t="str">
        <f t="shared" si="271"/>
        <v>no</v>
      </c>
      <c r="J980" s="10" t="str">
        <f t="shared" si="262"/>
        <v>no</v>
      </c>
      <c r="K980" s="10" t="str">
        <f t="shared" si="263"/>
        <v>no</v>
      </c>
      <c r="L980" t="s">
        <v>394</v>
      </c>
      <c r="M980">
        <v>10618</v>
      </c>
      <c r="N980">
        <v>68</v>
      </c>
      <c r="O980" t="s">
        <v>739</v>
      </c>
      <c r="P980" t="str">
        <f t="shared" si="264"/>
        <v>MEREP_10618_Scottish Longbreads</v>
      </c>
      <c r="Q980" t="str">
        <f t="shared" si="265"/>
        <v>10618</v>
      </c>
      <c r="R980" t="str">
        <f t="shared" si="266"/>
        <v>10618</v>
      </c>
      <c r="S980" t="str">
        <f t="shared" si="267"/>
        <v>Scottish Longbreads</v>
      </c>
      <c r="T980">
        <v>12.5</v>
      </c>
      <c r="U980">
        <v>15</v>
      </c>
      <c r="V980">
        <v>0</v>
      </c>
      <c r="W980">
        <f t="shared" si="268"/>
        <v>187.5</v>
      </c>
      <c r="X980" t="str">
        <f t="shared" si="269"/>
        <v>No</v>
      </c>
      <c r="Y980" s="2">
        <v>34943</v>
      </c>
      <c r="Z980" t="str">
        <f t="shared" si="255"/>
        <v/>
      </c>
      <c r="AA980" t="str">
        <f t="shared" si="270"/>
        <v/>
      </c>
      <c r="AB980" t="str" cm="1">
        <f t="array" ref="AB980">_xlfn.IFS(Y980&lt;DATE(1996,1,1),"",Y980&lt;DATE(1996,4,1),"Q1",Y980&lt;DATE(1996,7,1),"Q2",Y980&gt;=DATE(1996,7,1),"")</f>
        <v/>
      </c>
    </row>
    <row r="981" spans="1:28" ht="14.4" x14ac:dyDescent="0.55000000000000004">
      <c r="A981" t="str">
        <f>VLOOKUP(L981,Customers!$A$2:$B$92,2,FALSE)</f>
        <v>Mère Paillarde</v>
      </c>
      <c r="B981" t="str">
        <f>VLOOKUP(L981,Customers!$A$2:$C$92,3,TRUE)</f>
        <v>Jean Fresnière</v>
      </c>
      <c r="C981" t="str">
        <f t="shared" si="256"/>
        <v>Jean</v>
      </c>
      <c r="D981" s="8" t="str">
        <f t="shared" si="257"/>
        <v>Fresnière</v>
      </c>
      <c r="E981" s="8" t="str">
        <f t="shared" si="258"/>
        <v>Fresnière, Jean</v>
      </c>
      <c r="F981" s="8" t="str">
        <f t="shared" si="259"/>
        <v>Fresnière, Jean</v>
      </c>
      <c r="G981" s="8" t="str">
        <f t="shared" si="260"/>
        <v>not an outlier</v>
      </c>
      <c r="H981" s="8" t="str">
        <f t="shared" si="261"/>
        <v>Not</v>
      </c>
      <c r="I981" s="8" t="str">
        <f t="shared" si="271"/>
        <v>no</v>
      </c>
      <c r="J981" s="10" t="str">
        <f t="shared" si="262"/>
        <v>no</v>
      </c>
      <c r="K981" s="10" t="str">
        <f t="shared" si="263"/>
        <v>no</v>
      </c>
      <c r="L981" t="s">
        <v>394</v>
      </c>
      <c r="M981">
        <v>10619</v>
      </c>
      <c r="N981">
        <v>21</v>
      </c>
      <c r="O981" t="s">
        <v>710</v>
      </c>
      <c r="P981" t="str">
        <f t="shared" si="264"/>
        <v>MEREP_10619_Sir Rodney's Scones</v>
      </c>
      <c r="Q981" t="str">
        <f t="shared" si="265"/>
        <v>10619</v>
      </c>
      <c r="R981" t="str">
        <f t="shared" si="266"/>
        <v>10619</v>
      </c>
      <c r="S981" t="str">
        <f t="shared" si="267"/>
        <v>Sir Rodney's Scones</v>
      </c>
      <c r="T981">
        <v>10</v>
      </c>
      <c r="U981">
        <v>42</v>
      </c>
      <c r="V981">
        <v>0</v>
      </c>
      <c r="W981">
        <f t="shared" si="268"/>
        <v>420</v>
      </c>
      <c r="X981" t="str">
        <f t="shared" si="269"/>
        <v>No</v>
      </c>
      <c r="Y981" s="2">
        <v>34946</v>
      </c>
      <c r="Z981" t="str">
        <f t="shared" si="255"/>
        <v/>
      </c>
      <c r="AA981" t="str">
        <f t="shared" si="270"/>
        <v/>
      </c>
      <c r="AB981" t="str" cm="1">
        <f t="array" ref="AB981">_xlfn.IFS(Y981&lt;DATE(1996,1,1),"",Y981&lt;DATE(1996,4,1),"Q1",Y981&lt;DATE(1996,7,1),"Q2",Y981&gt;=DATE(1996,7,1),"")</f>
        <v/>
      </c>
    </row>
    <row r="982" spans="1:28" ht="14.4" x14ac:dyDescent="0.55000000000000004">
      <c r="A982" t="str">
        <f>VLOOKUP(L982,Customers!$A$2:$B$92,2,FALSE)</f>
        <v>Mère Paillarde</v>
      </c>
      <c r="B982" t="str">
        <f>VLOOKUP(L982,Customers!$A$2:$C$92,3,TRUE)</f>
        <v>Jean Fresnière</v>
      </c>
      <c r="C982" t="str">
        <f t="shared" si="256"/>
        <v>Jean</v>
      </c>
      <c r="D982" s="8" t="str">
        <f t="shared" si="257"/>
        <v>Fresnière</v>
      </c>
      <c r="E982" s="8" t="str">
        <f t="shared" si="258"/>
        <v>Fresnière, Jean</v>
      </c>
      <c r="F982" s="8" t="str">
        <f t="shared" si="259"/>
        <v>Fresnière, Jean</v>
      </c>
      <c r="G982" s="8" t="str">
        <f t="shared" si="260"/>
        <v>not an outlier</v>
      </c>
      <c r="H982" s="8" t="str">
        <f t="shared" si="261"/>
        <v>Not</v>
      </c>
      <c r="I982" s="8" t="str">
        <f t="shared" si="271"/>
        <v>no</v>
      </c>
      <c r="J982" s="10" t="str">
        <f t="shared" si="262"/>
        <v>no</v>
      </c>
      <c r="K982" s="10" t="str">
        <f t="shared" si="263"/>
        <v>no</v>
      </c>
      <c r="L982" t="s">
        <v>394</v>
      </c>
      <c r="M982">
        <v>10619</v>
      </c>
      <c r="N982">
        <v>22</v>
      </c>
      <c r="O982" t="s">
        <v>690</v>
      </c>
      <c r="P982" t="str">
        <f t="shared" si="264"/>
        <v>MEREP_10619_Gustaf's Knäckebröd</v>
      </c>
      <c r="Q982" t="str">
        <f t="shared" si="265"/>
        <v>10619</v>
      </c>
      <c r="R982" t="str">
        <f t="shared" si="266"/>
        <v>10619</v>
      </c>
      <c r="S982" t="str">
        <f t="shared" si="267"/>
        <v>Gustaf's Knäckebröd</v>
      </c>
      <c r="T982">
        <v>21</v>
      </c>
      <c r="U982">
        <v>40</v>
      </c>
      <c r="V982">
        <v>0</v>
      </c>
      <c r="W982">
        <f t="shared" si="268"/>
        <v>840</v>
      </c>
      <c r="X982" t="str">
        <f t="shared" si="269"/>
        <v>No</v>
      </c>
      <c r="Y982" s="2">
        <v>34946</v>
      </c>
      <c r="Z982" t="str">
        <f t="shared" si="255"/>
        <v/>
      </c>
      <c r="AA982" t="str">
        <f t="shared" si="270"/>
        <v/>
      </c>
      <c r="AB982" t="str" cm="1">
        <f t="array" ref="AB982">_xlfn.IFS(Y982&lt;DATE(1996,1,1),"",Y982&lt;DATE(1996,4,1),"Q1",Y982&lt;DATE(1996,7,1),"Q2",Y982&gt;=DATE(1996,7,1),"")</f>
        <v/>
      </c>
    </row>
    <row r="983" spans="1:28" ht="14.4" x14ac:dyDescent="0.55000000000000004">
      <c r="A983" t="str">
        <f>VLOOKUP(L983,Customers!$A$2:$B$92,2,FALSE)</f>
        <v>Laughing Bacchus Wine Cellars</v>
      </c>
      <c r="B983" t="str">
        <f>VLOOKUP(L983,Customers!$A$2:$C$92,3,TRUE)</f>
        <v>Yoshi Tannamuri</v>
      </c>
      <c r="C983" t="str">
        <f t="shared" si="256"/>
        <v>Yoshi</v>
      </c>
      <c r="D983" s="8" t="str">
        <f t="shared" si="257"/>
        <v>Tannamuri</v>
      </c>
      <c r="E983" s="8" t="str">
        <f t="shared" si="258"/>
        <v>Tannamuri, Yoshi</v>
      </c>
      <c r="F983" s="8" t="str">
        <f t="shared" si="259"/>
        <v>Tannamuri, Yoshi</v>
      </c>
      <c r="G983" s="8" t="str">
        <f t="shared" si="260"/>
        <v>not an outlier</v>
      </c>
      <c r="H983" s="8" t="str">
        <f t="shared" si="261"/>
        <v>Not</v>
      </c>
      <c r="I983" s="8" t="str">
        <f t="shared" si="271"/>
        <v>no</v>
      </c>
      <c r="J983" s="10" t="str">
        <f t="shared" si="262"/>
        <v>no</v>
      </c>
      <c r="K983" s="10" t="str">
        <f t="shared" si="263"/>
        <v>no</v>
      </c>
      <c r="L983" t="s">
        <v>325</v>
      </c>
      <c r="M983">
        <v>10620</v>
      </c>
      <c r="N983">
        <v>24</v>
      </c>
      <c r="O983" t="s">
        <v>698</v>
      </c>
      <c r="P983" t="str">
        <f t="shared" si="264"/>
        <v>LAUGB_10620_Guaraná Fantástica</v>
      </c>
      <c r="Q983" t="str">
        <f t="shared" si="265"/>
        <v>10620</v>
      </c>
      <c r="R983" t="str">
        <f t="shared" si="266"/>
        <v>10620</v>
      </c>
      <c r="S983" t="str">
        <f t="shared" si="267"/>
        <v>Guaraná Fantástica</v>
      </c>
      <c r="T983">
        <v>4.5</v>
      </c>
      <c r="U983">
        <v>5</v>
      </c>
      <c r="V983">
        <v>0</v>
      </c>
      <c r="W983">
        <f t="shared" si="268"/>
        <v>22.5</v>
      </c>
      <c r="X983" t="str">
        <f t="shared" si="269"/>
        <v>No</v>
      </c>
      <c r="Y983" s="2">
        <v>34947</v>
      </c>
      <c r="Z983" t="str">
        <f t="shared" si="255"/>
        <v/>
      </c>
      <c r="AA983" t="str">
        <f t="shared" si="270"/>
        <v/>
      </c>
      <c r="AB983" t="str" cm="1">
        <f t="array" ref="AB983">_xlfn.IFS(Y983&lt;DATE(1996,1,1),"",Y983&lt;DATE(1996,4,1),"Q1",Y983&lt;DATE(1996,7,1),"Q2",Y983&gt;=DATE(1996,7,1),"")</f>
        <v/>
      </c>
    </row>
    <row r="984" spans="1:28" ht="14.4" x14ac:dyDescent="0.55000000000000004">
      <c r="A984" t="str">
        <f>VLOOKUP(L984,Customers!$A$2:$B$92,2,FALSE)</f>
        <v>Laughing Bacchus Wine Cellars</v>
      </c>
      <c r="B984" t="str">
        <f>VLOOKUP(L984,Customers!$A$2:$C$92,3,TRUE)</f>
        <v>Yoshi Tannamuri</v>
      </c>
      <c r="C984" t="str">
        <f t="shared" si="256"/>
        <v>Yoshi</v>
      </c>
      <c r="D984" s="8" t="str">
        <f t="shared" si="257"/>
        <v>Tannamuri</v>
      </c>
      <c r="E984" s="8" t="str">
        <f t="shared" si="258"/>
        <v>Tannamuri, Yoshi</v>
      </c>
      <c r="F984" s="8" t="str">
        <f t="shared" si="259"/>
        <v>Tannamuri, Yoshi</v>
      </c>
      <c r="G984" s="8" t="str">
        <f t="shared" si="260"/>
        <v>not an outlier</v>
      </c>
      <c r="H984" s="8" t="str">
        <f t="shared" si="261"/>
        <v>Not</v>
      </c>
      <c r="I984" s="8" t="str">
        <f t="shared" si="271"/>
        <v>no</v>
      </c>
      <c r="J984" s="10" t="str">
        <f t="shared" si="262"/>
        <v>no</v>
      </c>
      <c r="K984" s="10" t="str">
        <f t="shared" si="263"/>
        <v>no</v>
      </c>
      <c r="L984" t="s">
        <v>325</v>
      </c>
      <c r="M984">
        <v>10620</v>
      </c>
      <c r="N984">
        <v>52</v>
      </c>
      <c r="O984" t="s">
        <v>748</v>
      </c>
      <c r="P984" t="str">
        <f t="shared" si="264"/>
        <v>LAUGB_10620_Filo Mix</v>
      </c>
      <c r="Q984" t="str">
        <f t="shared" si="265"/>
        <v>10620</v>
      </c>
      <c r="R984" t="str">
        <f t="shared" si="266"/>
        <v>10620</v>
      </c>
      <c r="S984" t="str">
        <f t="shared" si="267"/>
        <v>Filo Mix</v>
      </c>
      <c r="T984">
        <v>7</v>
      </c>
      <c r="U984">
        <v>5</v>
      </c>
      <c r="V984">
        <v>0</v>
      </c>
      <c r="W984">
        <f t="shared" si="268"/>
        <v>35</v>
      </c>
      <c r="X984" t="str">
        <f t="shared" si="269"/>
        <v>No</v>
      </c>
      <c r="Y984" s="2">
        <v>34947</v>
      </c>
      <c r="Z984" t="str">
        <f t="shared" si="255"/>
        <v/>
      </c>
      <c r="AA984" t="str">
        <f t="shared" si="270"/>
        <v/>
      </c>
      <c r="AB984" t="str" cm="1">
        <f t="array" ref="AB984">_xlfn.IFS(Y984&lt;DATE(1996,1,1),"",Y984&lt;DATE(1996,4,1),"Q1",Y984&lt;DATE(1996,7,1),"Q2",Y984&gt;=DATE(1996,7,1),"")</f>
        <v/>
      </c>
    </row>
    <row r="985" spans="1:28" ht="14.4" x14ac:dyDescent="0.55000000000000004">
      <c r="A985" t="str">
        <f>VLOOKUP(L985,Customers!$A$2:$B$92,2,FALSE)</f>
        <v>Island Trading</v>
      </c>
      <c r="B985" t="str">
        <f>VLOOKUP(L985,Customers!$A$2:$C$92,3,TRUE)</f>
        <v>Helen Bennett</v>
      </c>
      <c r="C985" t="str">
        <f t="shared" si="256"/>
        <v>Helen</v>
      </c>
      <c r="D985" s="8" t="str">
        <f t="shared" si="257"/>
        <v>Bennett</v>
      </c>
      <c r="E985" s="8" t="str">
        <f t="shared" si="258"/>
        <v>Bennett, Helen</v>
      </c>
      <c r="F985" s="8" t="str">
        <f t="shared" si="259"/>
        <v>Bennett, Helen</v>
      </c>
      <c r="G985" s="8" t="str">
        <f t="shared" si="260"/>
        <v>not an outlier</v>
      </c>
      <c r="H985" s="8" t="str">
        <f t="shared" si="261"/>
        <v>Not</v>
      </c>
      <c r="I985" s="8" t="str">
        <f t="shared" si="271"/>
        <v>no</v>
      </c>
      <c r="J985" s="10" t="str">
        <f t="shared" si="262"/>
        <v>no</v>
      </c>
      <c r="K985" s="10" t="str">
        <f t="shared" si="263"/>
        <v>no</v>
      </c>
      <c r="L985" t="s">
        <v>297</v>
      </c>
      <c r="M985">
        <v>10621</v>
      </c>
      <c r="N985">
        <v>19</v>
      </c>
      <c r="O985" t="s">
        <v>732</v>
      </c>
      <c r="P985" t="str">
        <f t="shared" si="264"/>
        <v>ISLAT_10621_Teatime Chocolate Biscuits</v>
      </c>
      <c r="Q985" t="str">
        <f t="shared" si="265"/>
        <v>10621</v>
      </c>
      <c r="R985" t="str">
        <f t="shared" si="266"/>
        <v>10621</v>
      </c>
      <c r="S985" t="str">
        <f t="shared" si="267"/>
        <v>Teatime Chocolate Biscuits</v>
      </c>
      <c r="T985">
        <v>9.1999999999999993</v>
      </c>
      <c r="U985">
        <v>5</v>
      </c>
      <c r="V985">
        <v>0</v>
      </c>
      <c r="W985">
        <f t="shared" si="268"/>
        <v>46</v>
      </c>
      <c r="X985" t="str">
        <f t="shared" si="269"/>
        <v>No</v>
      </c>
      <c r="Y985" s="2">
        <v>34947</v>
      </c>
      <c r="Z985" t="str">
        <f t="shared" si="255"/>
        <v/>
      </c>
      <c r="AA985" t="str">
        <f t="shared" si="270"/>
        <v/>
      </c>
      <c r="AB985" t="str" cm="1">
        <f t="array" ref="AB985">_xlfn.IFS(Y985&lt;DATE(1996,1,1),"",Y985&lt;DATE(1996,4,1),"Q1",Y985&lt;DATE(1996,7,1),"Q2",Y985&gt;=DATE(1996,7,1),"")</f>
        <v/>
      </c>
    </row>
    <row r="986" spans="1:28" ht="14.4" x14ac:dyDescent="0.55000000000000004">
      <c r="A986" t="str">
        <f>VLOOKUP(L986,Customers!$A$2:$B$92,2,FALSE)</f>
        <v>Island Trading</v>
      </c>
      <c r="B986" t="str">
        <f>VLOOKUP(L986,Customers!$A$2:$C$92,3,TRUE)</f>
        <v>Helen Bennett</v>
      </c>
      <c r="C986" t="str">
        <f t="shared" si="256"/>
        <v>Helen</v>
      </c>
      <c r="D986" s="8" t="str">
        <f t="shared" si="257"/>
        <v>Bennett</v>
      </c>
      <c r="E986" s="8" t="str">
        <f t="shared" si="258"/>
        <v>Bennett, Helen</v>
      </c>
      <c r="F986" s="8" t="str">
        <f t="shared" si="259"/>
        <v>Bennett, Helen</v>
      </c>
      <c r="G986" s="8" t="str">
        <f t="shared" si="260"/>
        <v>not an outlier</v>
      </c>
      <c r="H986" s="8" t="str">
        <f t="shared" si="261"/>
        <v>Not</v>
      </c>
      <c r="I986" s="8" t="str">
        <f t="shared" si="271"/>
        <v>no</v>
      </c>
      <c r="J986" s="10" t="str">
        <f t="shared" si="262"/>
        <v>no</v>
      </c>
      <c r="K986" s="10" t="str">
        <f t="shared" si="263"/>
        <v>no</v>
      </c>
      <c r="L986" t="s">
        <v>297</v>
      </c>
      <c r="M986">
        <v>10621</v>
      </c>
      <c r="N986">
        <v>23</v>
      </c>
      <c r="O986" t="s">
        <v>753</v>
      </c>
      <c r="P986" t="str">
        <f t="shared" si="264"/>
        <v>ISLAT_10621_Tunnbröd</v>
      </c>
      <c r="Q986" t="str">
        <f t="shared" si="265"/>
        <v>10621</v>
      </c>
      <c r="R986" t="str">
        <f t="shared" si="266"/>
        <v>10621</v>
      </c>
      <c r="S986" t="str">
        <f t="shared" si="267"/>
        <v>Tunnbröd</v>
      </c>
      <c r="T986">
        <v>9</v>
      </c>
      <c r="U986">
        <v>10</v>
      </c>
      <c r="V986">
        <v>0</v>
      </c>
      <c r="W986">
        <f t="shared" si="268"/>
        <v>90</v>
      </c>
      <c r="X986" t="str">
        <f t="shared" si="269"/>
        <v>No</v>
      </c>
      <c r="Y986" s="2">
        <v>34947</v>
      </c>
      <c r="Z986" t="str">
        <f t="shared" si="255"/>
        <v/>
      </c>
      <c r="AA986" t="str">
        <f t="shared" si="270"/>
        <v/>
      </c>
      <c r="AB986" t="str" cm="1">
        <f t="array" ref="AB986">_xlfn.IFS(Y986&lt;DATE(1996,1,1),"",Y986&lt;DATE(1996,4,1),"Q1",Y986&lt;DATE(1996,7,1),"Q2",Y986&gt;=DATE(1996,7,1),"")</f>
        <v/>
      </c>
    </row>
    <row r="987" spans="1:28" ht="14.4" x14ac:dyDescent="0.55000000000000004">
      <c r="A987" t="str">
        <f>VLOOKUP(L987,Customers!$A$2:$B$92,2,FALSE)</f>
        <v>Island Trading</v>
      </c>
      <c r="B987" t="str">
        <f>VLOOKUP(L987,Customers!$A$2:$C$92,3,TRUE)</f>
        <v>Helen Bennett</v>
      </c>
      <c r="C987" t="str">
        <f t="shared" si="256"/>
        <v>Helen</v>
      </c>
      <c r="D987" s="8" t="str">
        <f t="shared" si="257"/>
        <v>Bennett</v>
      </c>
      <c r="E987" s="8" t="str">
        <f t="shared" si="258"/>
        <v>Bennett, Helen</v>
      </c>
      <c r="F987" s="8" t="str">
        <f t="shared" si="259"/>
        <v>Bennett, Helen</v>
      </c>
      <c r="G987" s="8" t="str">
        <f t="shared" si="260"/>
        <v>not an outlier</v>
      </c>
      <c r="H987" s="8" t="str">
        <f t="shared" si="261"/>
        <v>Not</v>
      </c>
      <c r="I987" s="8" t="str">
        <f t="shared" si="271"/>
        <v>no</v>
      </c>
      <c r="J987" s="10" t="str">
        <f t="shared" si="262"/>
        <v>no</v>
      </c>
      <c r="K987" s="10" t="str">
        <f t="shared" si="263"/>
        <v>no</v>
      </c>
      <c r="L987" t="s">
        <v>297</v>
      </c>
      <c r="M987">
        <v>10621</v>
      </c>
      <c r="N987">
        <v>70</v>
      </c>
      <c r="O987" t="s">
        <v>713</v>
      </c>
      <c r="P987" t="str">
        <f t="shared" si="264"/>
        <v>ISLAT_10621_Outback Lager</v>
      </c>
      <c r="Q987" t="str">
        <f t="shared" si="265"/>
        <v>10621</v>
      </c>
      <c r="R987" t="str">
        <f t="shared" si="266"/>
        <v>10621</v>
      </c>
      <c r="S987" t="str">
        <f t="shared" si="267"/>
        <v>Outback Lager</v>
      </c>
      <c r="T987">
        <v>15</v>
      </c>
      <c r="U987">
        <v>20</v>
      </c>
      <c r="V987">
        <v>0</v>
      </c>
      <c r="W987">
        <f t="shared" si="268"/>
        <v>300</v>
      </c>
      <c r="X987" t="str">
        <f t="shared" si="269"/>
        <v>No</v>
      </c>
      <c r="Y987" s="2">
        <v>34947</v>
      </c>
      <c r="Z987" t="str">
        <f t="shared" si="255"/>
        <v/>
      </c>
      <c r="AA987" t="str">
        <f t="shared" si="270"/>
        <v/>
      </c>
      <c r="AB987" t="str" cm="1">
        <f t="array" ref="AB987">_xlfn.IFS(Y987&lt;DATE(1996,1,1),"",Y987&lt;DATE(1996,4,1),"Q1",Y987&lt;DATE(1996,7,1),"Q2",Y987&gt;=DATE(1996,7,1),"")</f>
        <v/>
      </c>
    </row>
    <row r="988" spans="1:28" ht="14.4" x14ac:dyDescent="0.55000000000000004">
      <c r="A988" t="str">
        <f>VLOOKUP(L988,Customers!$A$2:$B$92,2,FALSE)</f>
        <v>Island Trading</v>
      </c>
      <c r="B988" t="str">
        <f>VLOOKUP(L988,Customers!$A$2:$C$92,3,TRUE)</f>
        <v>Helen Bennett</v>
      </c>
      <c r="C988" t="str">
        <f t="shared" si="256"/>
        <v>Helen</v>
      </c>
      <c r="D988" s="8" t="str">
        <f t="shared" si="257"/>
        <v>Bennett</v>
      </c>
      <c r="E988" s="8" t="str">
        <f t="shared" si="258"/>
        <v>Bennett, Helen</v>
      </c>
      <c r="F988" s="8" t="str">
        <f t="shared" si="259"/>
        <v>Bennett, Helen</v>
      </c>
      <c r="G988" s="8" t="str">
        <f t="shared" si="260"/>
        <v>not an outlier</v>
      </c>
      <c r="H988" s="8" t="str">
        <f t="shared" si="261"/>
        <v>Not</v>
      </c>
      <c r="I988" s="8" t="str">
        <f t="shared" si="271"/>
        <v>no</v>
      </c>
      <c r="J988" s="10" t="str">
        <f t="shared" si="262"/>
        <v>no</v>
      </c>
      <c r="K988" s="10" t="str">
        <f t="shared" si="263"/>
        <v>no</v>
      </c>
      <c r="L988" t="s">
        <v>297</v>
      </c>
      <c r="M988">
        <v>10621</v>
      </c>
      <c r="N988">
        <v>71</v>
      </c>
      <c r="O988" t="s">
        <v>725</v>
      </c>
      <c r="P988" t="str">
        <f t="shared" si="264"/>
        <v>ISLAT_10621_Fløtemysost</v>
      </c>
      <c r="Q988" t="str">
        <f t="shared" si="265"/>
        <v>10621</v>
      </c>
      <c r="R988" t="str">
        <f t="shared" si="266"/>
        <v>10621</v>
      </c>
      <c r="S988" t="str">
        <f t="shared" si="267"/>
        <v>Fløtemysost</v>
      </c>
      <c r="T988">
        <v>21.5</v>
      </c>
      <c r="U988">
        <v>15</v>
      </c>
      <c r="V988">
        <v>0</v>
      </c>
      <c r="W988">
        <f t="shared" si="268"/>
        <v>322.5</v>
      </c>
      <c r="X988" t="str">
        <f t="shared" si="269"/>
        <v>No</v>
      </c>
      <c r="Y988" s="2">
        <v>34947</v>
      </c>
      <c r="Z988" t="str">
        <f t="shared" si="255"/>
        <v/>
      </c>
      <c r="AA988" t="str">
        <f t="shared" si="270"/>
        <v/>
      </c>
      <c r="AB988" t="str" cm="1">
        <f t="array" ref="AB988">_xlfn.IFS(Y988&lt;DATE(1996,1,1),"",Y988&lt;DATE(1996,4,1),"Q1",Y988&lt;DATE(1996,7,1),"Q2",Y988&gt;=DATE(1996,7,1),"")</f>
        <v/>
      </c>
    </row>
    <row r="989" spans="1:28" ht="14.4" x14ac:dyDescent="0.55000000000000004">
      <c r="A989" t="str">
        <f>VLOOKUP(L989,Customers!$A$2:$B$92,2,FALSE)</f>
        <v>Ricardo Adocicados</v>
      </c>
      <c r="B989" t="str">
        <f>VLOOKUP(L989,Customers!$A$2:$C$92,3,TRUE)</f>
        <v>Janete Limeira</v>
      </c>
      <c r="C989" t="str">
        <f t="shared" si="256"/>
        <v>Janete</v>
      </c>
      <c r="D989" s="8" t="str">
        <f t="shared" si="257"/>
        <v>Limeira</v>
      </c>
      <c r="E989" s="8" t="str">
        <f t="shared" si="258"/>
        <v>Limeira, Janete</v>
      </c>
      <c r="F989" s="8" t="str">
        <f t="shared" si="259"/>
        <v>Limeira, Janete</v>
      </c>
      <c r="G989" s="8" t="str">
        <f t="shared" si="260"/>
        <v>not an outlier</v>
      </c>
      <c r="H989" s="8" t="str">
        <f t="shared" si="261"/>
        <v>Not</v>
      </c>
      <c r="I989" s="8" t="str">
        <f t="shared" si="271"/>
        <v>no</v>
      </c>
      <c r="J989" s="10" t="str">
        <f t="shared" si="262"/>
        <v>no</v>
      </c>
      <c r="K989" s="10" t="str">
        <f t="shared" si="263"/>
        <v>no</v>
      </c>
      <c r="L989" t="s">
        <v>503</v>
      </c>
      <c r="M989">
        <v>10622</v>
      </c>
      <c r="N989">
        <v>2</v>
      </c>
      <c r="O989" t="s">
        <v>701</v>
      </c>
      <c r="P989" t="str">
        <f t="shared" si="264"/>
        <v>RICAR_10622_Chang</v>
      </c>
      <c r="Q989" t="str">
        <f t="shared" si="265"/>
        <v>10622</v>
      </c>
      <c r="R989" t="str">
        <f t="shared" si="266"/>
        <v>10622</v>
      </c>
      <c r="S989" t="str">
        <f t="shared" si="267"/>
        <v>Chang</v>
      </c>
      <c r="T989">
        <v>19</v>
      </c>
      <c r="U989">
        <v>20</v>
      </c>
      <c r="V989">
        <v>0</v>
      </c>
      <c r="W989">
        <f t="shared" si="268"/>
        <v>380</v>
      </c>
      <c r="X989" t="str">
        <f t="shared" si="269"/>
        <v>No</v>
      </c>
      <c r="Y989" s="2">
        <v>34948</v>
      </c>
      <c r="Z989" t="str">
        <f t="shared" si="255"/>
        <v/>
      </c>
      <c r="AA989" t="str">
        <f t="shared" si="270"/>
        <v/>
      </c>
      <c r="AB989" t="str" cm="1">
        <f t="array" ref="AB989">_xlfn.IFS(Y989&lt;DATE(1996,1,1),"",Y989&lt;DATE(1996,4,1),"Q1",Y989&lt;DATE(1996,7,1),"Q2",Y989&gt;=DATE(1996,7,1),"")</f>
        <v/>
      </c>
    </row>
    <row r="990" spans="1:28" ht="14.4" x14ac:dyDescent="0.55000000000000004">
      <c r="A990" t="str">
        <f>VLOOKUP(L990,Customers!$A$2:$B$92,2,FALSE)</f>
        <v>Ricardo Adocicados</v>
      </c>
      <c r="B990" t="str">
        <f>VLOOKUP(L990,Customers!$A$2:$C$92,3,TRUE)</f>
        <v>Janete Limeira</v>
      </c>
      <c r="C990" t="str">
        <f t="shared" si="256"/>
        <v>Janete</v>
      </c>
      <c r="D990" s="8" t="str">
        <f t="shared" si="257"/>
        <v>Limeira</v>
      </c>
      <c r="E990" s="8" t="str">
        <f t="shared" si="258"/>
        <v>Limeira, Janete</v>
      </c>
      <c r="F990" s="8" t="str">
        <f t="shared" si="259"/>
        <v>Limeira, Janete</v>
      </c>
      <c r="G990" s="8" t="str">
        <f t="shared" si="260"/>
        <v>not an outlier</v>
      </c>
      <c r="H990" s="8" t="str">
        <f t="shared" si="261"/>
        <v>Not</v>
      </c>
      <c r="I990" s="8" t="str">
        <f t="shared" si="271"/>
        <v>no</v>
      </c>
      <c r="J990" s="10" t="str">
        <f t="shared" si="262"/>
        <v>no</v>
      </c>
      <c r="K990" s="10" t="str">
        <f t="shared" si="263"/>
        <v>no</v>
      </c>
      <c r="L990" t="s">
        <v>503</v>
      </c>
      <c r="M990">
        <v>10622</v>
      </c>
      <c r="N990">
        <v>68</v>
      </c>
      <c r="O990" t="s">
        <v>739</v>
      </c>
      <c r="P990" t="str">
        <f t="shared" si="264"/>
        <v>RICAR_10622_Scottish Longbreads</v>
      </c>
      <c r="Q990" t="str">
        <f t="shared" si="265"/>
        <v>10622</v>
      </c>
      <c r="R990" t="str">
        <f t="shared" si="266"/>
        <v>10622</v>
      </c>
      <c r="S990" t="str">
        <f t="shared" si="267"/>
        <v>Scottish Longbreads</v>
      </c>
      <c r="T990">
        <v>12.5</v>
      </c>
      <c r="U990">
        <v>18</v>
      </c>
      <c r="V990">
        <v>0.2</v>
      </c>
      <c r="W990">
        <f t="shared" si="268"/>
        <v>180</v>
      </c>
      <c r="X990" t="str">
        <f t="shared" si="269"/>
        <v>No</v>
      </c>
      <c r="Y990" s="2">
        <v>34948</v>
      </c>
      <c r="Z990" t="str">
        <f t="shared" si="255"/>
        <v/>
      </c>
      <c r="AA990" t="str">
        <f t="shared" si="270"/>
        <v/>
      </c>
      <c r="AB990" t="str" cm="1">
        <f t="array" ref="AB990">_xlfn.IFS(Y990&lt;DATE(1996,1,1),"",Y990&lt;DATE(1996,4,1),"Q1",Y990&lt;DATE(1996,7,1),"Q2",Y990&gt;=DATE(1996,7,1),"")</f>
        <v/>
      </c>
    </row>
    <row r="991" spans="1:28" ht="14.4" x14ac:dyDescent="0.55000000000000004">
      <c r="A991" t="str">
        <f>VLOOKUP(L991,Customers!$A$2:$B$92,2,FALSE)</f>
        <v>Frankenversand</v>
      </c>
      <c r="B991" t="str">
        <f>VLOOKUP(L991,Customers!$A$2:$C$92,3,TRUE)</f>
        <v>Peter Franken</v>
      </c>
      <c r="C991" t="str">
        <f t="shared" si="256"/>
        <v>Peter</v>
      </c>
      <c r="D991" s="8" t="str">
        <f t="shared" si="257"/>
        <v>Franken</v>
      </c>
      <c r="E991" s="8" t="str">
        <f t="shared" si="258"/>
        <v>Franken, Peter</v>
      </c>
      <c r="F991" s="8" t="str">
        <f t="shared" si="259"/>
        <v>Franken, Peter</v>
      </c>
      <c r="G991" s="8" t="str">
        <f t="shared" si="260"/>
        <v>not an outlier</v>
      </c>
      <c r="H991" s="8" t="str">
        <f t="shared" si="261"/>
        <v>Not</v>
      </c>
      <c r="I991" s="8" t="str">
        <f t="shared" si="271"/>
        <v>no</v>
      </c>
      <c r="J991" s="10" t="str">
        <f t="shared" si="262"/>
        <v>no</v>
      </c>
      <c r="K991" s="10" t="str">
        <f t="shared" si="263"/>
        <v>no</v>
      </c>
      <c r="L991" t="s">
        <v>198</v>
      </c>
      <c r="M991">
        <v>10623</v>
      </c>
      <c r="N991">
        <v>14</v>
      </c>
      <c r="O991" t="s">
        <v>686</v>
      </c>
      <c r="P991" t="str">
        <f t="shared" si="264"/>
        <v>FRANK_10623_Tofu</v>
      </c>
      <c r="Q991" t="str">
        <f t="shared" si="265"/>
        <v>10623</v>
      </c>
      <c r="R991" t="str">
        <f t="shared" si="266"/>
        <v>10623</v>
      </c>
      <c r="S991" t="str">
        <f t="shared" si="267"/>
        <v>Tofu</v>
      </c>
      <c r="T991">
        <v>23.25</v>
      </c>
      <c r="U991">
        <v>21</v>
      </c>
      <c r="V991">
        <v>0</v>
      </c>
      <c r="W991">
        <f t="shared" si="268"/>
        <v>488.25</v>
      </c>
      <c r="X991" t="str">
        <f t="shared" si="269"/>
        <v>No</v>
      </c>
      <c r="Y991" s="2">
        <v>34949</v>
      </c>
      <c r="Z991" t="str">
        <f t="shared" si="255"/>
        <v/>
      </c>
      <c r="AA991" t="str">
        <f t="shared" si="270"/>
        <v/>
      </c>
      <c r="AB991" t="str" cm="1">
        <f t="array" ref="AB991">_xlfn.IFS(Y991&lt;DATE(1996,1,1),"",Y991&lt;DATE(1996,4,1),"Q1",Y991&lt;DATE(1996,7,1),"Q2",Y991&gt;=DATE(1996,7,1),"")</f>
        <v/>
      </c>
    </row>
    <row r="992" spans="1:28" ht="14.4" x14ac:dyDescent="0.55000000000000004">
      <c r="A992" t="str">
        <f>VLOOKUP(L992,Customers!$A$2:$B$92,2,FALSE)</f>
        <v>Frankenversand</v>
      </c>
      <c r="B992" t="str">
        <f>VLOOKUP(L992,Customers!$A$2:$C$92,3,TRUE)</f>
        <v>Peter Franken</v>
      </c>
      <c r="C992" t="str">
        <f t="shared" si="256"/>
        <v>Peter</v>
      </c>
      <c r="D992" s="8" t="str">
        <f t="shared" si="257"/>
        <v>Franken</v>
      </c>
      <c r="E992" s="8" t="str">
        <f t="shared" si="258"/>
        <v>Franken, Peter</v>
      </c>
      <c r="F992" s="8" t="str">
        <f t="shared" si="259"/>
        <v>Franken, Peter</v>
      </c>
      <c r="G992" s="8" t="str">
        <f t="shared" si="260"/>
        <v>not an outlier</v>
      </c>
      <c r="H992" s="8" t="str">
        <f t="shared" si="261"/>
        <v>Not</v>
      </c>
      <c r="I992" s="8" t="str">
        <f t="shared" si="271"/>
        <v>no</v>
      </c>
      <c r="J992" s="10" t="str">
        <f t="shared" si="262"/>
        <v>no</v>
      </c>
      <c r="K992" s="10" t="str">
        <f t="shared" si="263"/>
        <v>no</v>
      </c>
      <c r="L992" t="s">
        <v>198</v>
      </c>
      <c r="M992">
        <v>10623</v>
      </c>
      <c r="N992">
        <v>19</v>
      </c>
      <c r="O992" t="s">
        <v>732</v>
      </c>
      <c r="P992" t="str">
        <f t="shared" si="264"/>
        <v>FRANK_10623_Teatime Chocolate Biscuits</v>
      </c>
      <c r="Q992" t="str">
        <f t="shared" si="265"/>
        <v>10623</v>
      </c>
      <c r="R992" t="str">
        <f t="shared" si="266"/>
        <v>10623</v>
      </c>
      <c r="S992" t="str">
        <f t="shared" si="267"/>
        <v>Teatime Chocolate Biscuits</v>
      </c>
      <c r="T992">
        <v>9.1999999999999993</v>
      </c>
      <c r="U992">
        <v>15</v>
      </c>
      <c r="V992">
        <v>0.1</v>
      </c>
      <c r="W992">
        <f t="shared" si="268"/>
        <v>124.2</v>
      </c>
      <c r="X992" t="str">
        <f t="shared" si="269"/>
        <v>No</v>
      </c>
      <c r="Y992" s="2">
        <v>34949</v>
      </c>
      <c r="Z992" t="str">
        <f t="shared" si="255"/>
        <v/>
      </c>
      <c r="AA992" t="str">
        <f t="shared" si="270"/>
        <v/>
      </c>
      <c r="AB992" t="str" cm="1">
        <f t="array" ref="AB992">_xlfn.IFS(Y992&lt;DATE(1996,1,1),"",Y992&lt;DATE(1996,4,1),"Q1",Y992&lt;DATE(1996,7,1),"Q2",Y992&gt;=DATE(1996,7,1),"")</f>
        <v/>
      </c>
    </row>
    <row r="993" spans="1:28" ht="14.4" x14ac:dyDescent="0.55000000000000004">
      <c r="A993" t="str">
        <f>VLOOKUP(L993,Customers!$A$2:$B$92,2,FALSE)</f>
        <v>Frankenversand</v>
      </c>
      <c r="B993" t="str">
        <f>VLOOKUP(L993,Customers!$A$2:$C$92,3,TRUE)</f>
        <v>Peter Franken</v>
      </c>
      <c r="C993" t="str">
        <f t="shared" si="256"/>
        <v>Peter</v>
      </c>
      <c r="D993" s="8" t="str">
        <f t="shared" si="257"/>
        <v>Franken</v>
      </c>
      <c r="E993" s="8" t="str">
        <f t="shared" si="258"/>
        <v>Franken, Peter</v>
      </c>
      <c r="F993" s="8" t="str">
        <f t="shared" si="259"/>
        <v>Franken, Peter</v>
      </c>
      <c r="G993" s="8" t="str">
        <f t="shared" si="260"/>
        <v>not an outlier</v>
      </c>
      <c r="H993" s="8" t="str">
        <f t="shared" si="261"/>
        <v>Not</v>
      </c>
      <c r="I993" s="8" t="str">
        <f t="shared" si="271"/>
        <v>no</v>
      </c>
      <c r="J993" s="10" t="str">
        <f t="shared" si="262"/>
        <v>no</v>
      </c>
      <c r="K993" s="10" t="str">
        <f t="shared" si="263"/>
        <v>no</v>
      </c>
      <c r="L993" t="s">
        <v>198</v>
      </c>
      <c r="M993">
        <v>10623</v>
      </c>
      <c r="N993">
        <v>21</v>
      </c>
      <c r="O993" t="s">
        <v>710</v>
      </c>
      <c r="P993" t="str">
        <f t="shared" si="264"/>
        <v>FRANK_10623_Sir Rodney's Scones</v>
      </c>
      <c r="Q993" t="str">
        <f t="shared" si="265"/>
        <v>10623</v>
      </c>
      <c r="R993" t="str">
        <f t="shared" si="266"/>
        <v>10623</v>
      </c>
      <c r="S993" t="str">
        <f t="shared" si="267"/>
        <v>Sir Rodney's Scones</v>
      </c>
      <c r="T993">
        <v>10</v>
      </c>
      <c r="U993">
        <v>25</v>
      </c>
      <c r="V993">
        <v>0.1</v>
      </c>
      <c r="W993">
        <f t="shared" si="268"/>
        <v>225</v>
      </c>
      <c r="X993" t="str">
        <f t="shared" si="269"/>
        <v>No</v>
      </c>
      <c r="Y993" s="2">
        <v>34949</v>
      </c>
      <c r="Z993" t="str">
        <f t="shared" si="255"/>
        <v/>
      </c>
      <c r="AA993" t="str">
        <f t="shared" si="270"/>
        <v/>
      </c>
      <c r="AB993" t="str" cm="1">
        <f t="array" ref="AB993">_xlfn.IFS(Y993&lt;DATE(1996,1,1),"",Y993&lt;DATE(1996,4,1),"Q1",Y993&lt;DATE(1996,7,1),"Q2",Y993&gt;=DATE(1996,7,1),"")</f>
        <v/>
      </c>
    </row>
    <row r="994" spans="1:28" ht="14.4" x14ac:dyDescent="0.55000000000000004">
      <c r="A994" t="str">
        <f>VLOOKUP(L994,Customers!$A$2:$B$92,2,FALSE)</f>
        <v>Frankenversand</v>
      </c>
      <c r="B994" t="str">
        <f>VLOOKUP(L994,Customers!$A$2:$C$92,3,TRUE)</f>
        <v>Peter Franken</v>
      </c>
      <c r="C994" t="str">
        <f t="shared" si="256"/>
        <v>Peter</v>
      </c>
      <c r="D994" s="8" t="str">
        <f t="shared" si="257"/>
        <v>Franken</v>
      </c>
      <c r="E994" s="8" t="str">
        <f t="shared" si="258"/>
        <v>Franken, Peter</v>
      </c>
      <c r="F994" s="8" t="str">
        <f t="shared" si="259"/>
        <v>Franken, Peter</v>
      </c>
      <c r="G994" s="8" t="str">
        <f t="shared" si="260"/>
        <v>not an outlier</v>
      </c>
      <c r="H994" s="8" t="str">
        <f t="shared" si="261"/>
        <v>Not</v>
      </c>
      <c r="I994" s="8" t="str">
        <f t="shared" si="271"/>
        <v>no</v>
      </c>
      <c r="J994" s="10" t="str">
        <f t="shared" si="262"/>
        <v>no</v>
      </c>
      <c r="K994" s="10" t="str">
        <f t="shared" si="263"/>
        <v>no</v>
      </c>
      <c r="L994" t="s">
        <v>198</v>
      </c>
      <c r="M994">
        <v>10623</v>
      </c>
      <c r="N994">
        <v>24</v>
      </c>
      <c r="O994" t="s">
        <v>698</v>
      </c>
      <c r="P994" t="str">
        <f t="shared" si="264"/>
        <v>FRANK_10623_Guaraná Fantástica</v>
      </c>
      <c r="Q994" t="str">
        <f t="shared" si="265"/>
        <v>10623</v>
      </c>
      <c r="R994" t="str">
        <f t="shared" si="266"/>
        <v>10623</v>
      </c>
      <c r="S994" t="str">
        <f t="shared" si="267"/>
        <v>Guaraná Fantástica</v>
      </c>
      <c r="T994">
        <v>4.5</v>
      </c>
      <c r="U994">
        <v>3</v>
      </c>
      <c r="V994">
        <v>0</v>
      </c>
      <c r="W994">
        <f t="shared" si="268"/>
        <v>13.5</v>
      </c>
      <c r="X994" t="str">
        <f t="shared" si="269"/>
        <v>No</v>
      </c>
      <c r="Y994" s="2">
        <v>34949</v>
      </c>
      <c r="Z994" t="str">
        <f t="shared" si="255"/>
        <v/>
      </c>
      <c r="AA994" t="str">
        <f t="shared" si="270"/>
        <v/>
      </c>
      <c r="AB994" t="str" cm="1">
        <f t="array" ref="AB994">_xlfn.IFS(Y994&lt;DATE(1996,1,1),"",Y994&lt;DATE(1996,4,1),"Q1",Y994&lt;DATE(1996,7,1),"Q2",Y994&gt;=DATE(1996,7,1),"")</f>
        <v/>
      </c>
    </row>
    <row r="995" spans="1:28" ht="14.4" x14ac:dyDescent="0.55000000000000004">
      <c r="A995" t="str">
        <f>VLOOKUP(L995,Customers!$A$2:$B$92,2,FALSE)</f>
        <v>Frankenversand</v>
      </c>
      <c r="B995" t="str">
        <f>VLOOKUP(L995,Customers!$A$2:$C$92,3,TRUE)</f>
        <v>Peter Franken</v>
      </c>
      <c r="C995" t="str">
        <f t="shared" si="256"/>
        <v>Peter</v>
      </c>
      <c r="D995" s="8" t="str">
        <f t="shared" si="257"/>
        <v>Franken</v>
      </c>
      <c r="E995" s="8" t="str">
        <f t="shared" si="258"/>
        <v>Franken, Peter</v>
      </c>
      <c r="F995" s="8" t="str">
        <f t="shared" si="259"/>
        <v>Franken, Peter</v>
      </c>
      <c r="G995" s="8" t="str">
        <f t="shared" si="260"/>
        <v>not an outlier</v>
      </c>
      <c r="H995" s="8" t="str">
        <f t="shared" si="261"/>
        <v>Not</v>
      </c>
      <c r="I995" s="8" t="str">
        <f t="shared" si="271"/>
        <v>no</v>
      </c>
      <c r="J995" s="10" t="str">
        <f t="shared" si="262"/>
        <v>no</v>
      </c>
      <c r="K995" s="10" t="str">
        <f t="shared" si="263"/>
        <v>no</v>
      </c>
      <c r="L995" t="s">
        <v>198</v>
      </c>
      <c r="M995">
        <v>10623</v>
      </c>
      <c r="N995">
        <v>35</v>
      </c>
      <c r="O995" t="s">
        <v>714</v>
      </c>
      <c r="P995" t="str">
        <f t="shared" si="264"/>
        <v>FRANK_10623_Steeleye Stout</v>
      </c>
      <c r="Q995" t="str">
        <f t="shared" si="265"/>
        <v>10623</v>
      </c>
      <c r="R995" t="str">
        <f t="shared" si="266"/>
        <v>10623</v>
      </c>
      <c r="S995" t="str">
        <f t="shared" si="267"/>
        <v>Steeleye Stout</v>
      </c>
      <c r="T995">
        <v>18</v>
      </c>
      <c r="U995">
        <v>30</v>
      </c>
      <c r="V995">
        <v>0.1</v>
      </c>
      <c r="W995">
        <f t="shared" si="268"/>
        <v>486</v>
      </c>
      <c r="X995" t="str">
        <f t="shared" si="269"/>
        <v>No</v>
      </c>
      <c r="Y995" s="2">
        <v>34949</v>
      </c>
      <c r="Z995" t="str">
        <f t="shared" si="255"/>
        <v/>
      </c>
      <c r="AA995" t="str">
        <f t="shared" si="270"/>
        <v/>
      </c>
      <c r="AB995" t="str" cm="1">
        <f t="array" ref="AB995">_xlfn.IFS(Y995&lt;DATE(1996,1,1),"",Y995&lt;DATE(1996,4,1),"Q1",Y995&lt;DATE(1996,7,1),"Q2",Y995&gt;=DATE(1996,7,1),"")</f>
        <v/>
      </c>
    </row>
    <row r="996" spans="1:28" ht="14.4" x14ac:dyDescent="0.55000000000000004">
      <c r="A996" t="str">
        <f>VLOOKUP(L996,Customers!$A$2:$B$92,2,FALSE)</f>
        <v>The Cracker Box</v>
      </c>
      <c r="B996" t="str">
        <f>VLOOKUP(L996,Customers!$A$2:$C$92,3,TRUE)</f>
        <v>Liu Wong</v>
      </c>
      <c r="C996" t="str">
        <f t="shared" si="256"/>
        <v>Liu</v>
      </c>
      <c r="D996" s="8" t="str">
        <f t="shared" si="257"/>
        <v>Wong</v>
      </c>
      <c r="E996" s="8" t="str">
        <f t="shared" si="258"/>
        <v>Wong, Liu</v>
      </c>
      <c r="F996" s="8" t="str">
        <f t="shared" si="259"/>
        <v>Wong, Liu</v>
      </c>
      <c r="G996" s="8" t="str">
        <f t="shared" si="260"/>
        <v>not an outlier</v>
      </c>
      <c r="H996" s="8" t="str">
        <f t="shared" si="261"/>
        <v>Not</v>
      </c>
      <c r="I996" s="8" t="str">
        <f t="shared" si="271"/>
        <v>no</v>
      </c>
      <c r="J996" s="10" t="str">
        <f t="shared" si="262"/>
        <v>no</v>
      </c>
      <c r="K996" s="10" t="str">
        <f t="shared" si="263"/>
        <v>no</v>
      </c>
      <c r="L996" t="s">
        <v>578</v>
      </c>
      <c r="M996">
        <v>10624</v>
      </c>
      <c r="N996">
        <v>28</v>
      </c>
      <c r="O996" t="s">
        <v>727</v>
      </c>
      <c r="P996" t="str">
        <f t="shared" si="264"/>
        <v>THECR_10624_Rössle Sauerkraut</v>
      </c>
      <c r="Q996" t="str">
        <f t="shared" si="265"/>
        <v>10624</v>
      </c>
      <c r="R996" t="str">
        <f t="shared" si="266"/>
        <v>10624</v>
      </c>
      <c r="S996" t="str">
        <f t="shared" si="267"/>
        <v>Rössle Sauerkraut</v>
      </c>
      <c r="T996">
        <v>45.6</v>
      </c>
      <c r="U996">
        <v>10</v>
      </c>
      <c r="V996">
        <v>0</v>
      </c>
      <c r="W996">
        <f t="shared" si="268"/>
        <v>456</v>
      </c>
      <c r="X996" t="str">
        <f t="shared" si="269"/>
        <v>No</v>
      </c>
      <c r="Y996" s="2">
        <v>34949</v>
      </c>
      <c r="Z996" t="str">
        <f t="shared" si="255"/>
        <v/>
      </c>
      <c r="AA996" t="str">
        <f t="shared" si="270"/>
        <v/>
      </c>
      <c r="AB996" t="str" cm="1">
        <f t="array" ref="AB996">_xlfn.IFS(Y996&lt;DATE(1996,1,1),"",Y996&lt;DATE(1996,4,1),"Q1",Y996&lt;DATE(1996,7,1),"Q2",Y996&gt;=DATE(1996,7,1),"")</f>
        <v/>
      </c>
    </row>
    <row r="997" spans="1:28" ht="14.4" x14ac:dyDescent="0.55000000000000004">
      <c r="A997" t="str">
        <f>VLOOKUP(L997,Customers!$A$2:$B$92,2,FALSE)</f>
        <v>The Cracker Box</v>
      </c>
      <c r="B997" t="str">
        <f>VLOOKUP(L997,Customers!$A$2:$C$92,3,TRUE)</f>
        <v>Liu Wong</v>
      </c>
      <c r="C997" t="str">
        <f t="shared" si="256"/>
        <v>Liu</v>
      </c>
      <c r="D997" s="8" t="str">
        <f t="shared" si="257"/>
        <v>Wong</v>
      </c>
      <c r="E997" s="8" t="str">
        <f t="shared" si="258"/>
        <v>Wong, Liu</v>
      </c>
      <c r="F997" s="8" t="str">
        <f t="shared" si="259"/>
        <v>Wong, Liu</v>
      </c>
      <c r="G997" s="8" t="str">
        <f t="shared" si="260"/>
        <v>not an outlier</v>
      </c>
      <c r="H997" s="8" t="str">
        <f t="shared" si="261"/>
        <v>Not</v>
      </c>
      <c r="I997" s="8" t="str">
        <f t="shared" si="271"/>
        <v>no</v>
      </c>
      <c r="J997" s="10" t="str">
        <f t="shared" si="262"/>
        <v>no</v>
      </c>
      <c r="K997" s="10" t="str">
        <f t="shared" si="263"/>
        <v>no</v>
      </c>
      <c r="L997" t="s">
        <v>578</v>
      </c>
      <c r="M997">
        <v>10624</v>
      </c>
      <c r="N997">
        <v>29</v>
      </c>
      <c r="O997" t="s">
        <v>722</v>
      </c>
      <c r="P997" t="str">
        <f t="shared" si="264"/>
        <v>THECR_10624_Thüringer Rostbratwurst</v>
      </c>
      <c r="Q997" t="str">
        <f t="shared" si="265"/>
        <v>10624</v>
      </c>
      <c r="R997" t="str">
        <f t="shared" si="266"/>
        <v>10624</v>
      </c>
      <c r="S997" t="str">
        <f t="shared" si="267"/>
        <v>Thüringer Rostbratwurst</v>
      </c>
      <c r="T997">
        <v>123.79</v>
      </c>
      <c r="U997">
        <v>6</v>
      </c>
      <c r="V997">
        <v>0</v>
      </c>
      <c r="W997">
        <f t="shared" si="268"/>
        <v>742.74</v>
      </c>
      <c r="X997" t="str">
        <f t="shared" si="269"/>
        <v>No</v>
      </c>
      <c r="Y997" s="2">
        <v>34949</v>
      </c>
      <c r="Z997" t="str">
        <f t="shared" si="255"/>
        <v/>
      </c>
      <c r="AA997" t="str">
        <f t="shared" si="270"/>
        <v/>
      </c>
      <c r="AB997" t="str" cm="1">
        <f t="array" ref="AB997">_xlfn.IFS(Y997&lt;DATE(1996,1,1),"",Y997&lt;DATE(1996,4,1),"Q1",Y997&lt;DATE(1996,7,1),"Q2",Y997&gt;=DATE(1996,7,1),"")</f>
        <v/>
      </c>
    </row>
    <row r="998" spans="1:28" ht="14.4" x14ac:dyDescent="0.55000000000000004">
      <c r="A998" t="str">
        <f>VLOOKUP(L998,Customers!$A$2:$B$92,2,FALSE)</f>
        <v>The Cracker Box</v>
      </c>
      <c r="B998" t="str">
        <f>VLOOKUP(L998,Customers!$A$2:$C$92,3,TRUE)</f>
        <v>Liu Wong</v>
      </c>
      <c r="C998" t="str">
        <f t="shared" si="256"/>
        <v>Liu</v>
      </c>
      <c r="D998" s="8" t="str">
        <f t="shared" si="257"/>
        <v>Wong</v>
      </c>
      <c r="E998" s="8" t="str">
        <f t="shared" si="258"/>
        <v>Wong, Liu</v>
      </c>
      <c r="F998" s="8" t="str">
        <f t="shared" si="259"/>
        <v>Wong, Liu</v>
      </c>
      <c r="G998" s="8" t="str">
        <f t="shared" si="260"/>
        <v>not an outlier</v>
      </c>
      <c r="H998" s="8" t="str">
        <f t="shared" si="261"/>
        <v>Not</v>
      </c>
      <c r="I998" s="8" t="str">
        <f t="shared" si="271"/>
        <v>no</v>
      </c>
      <c r="J998" s="10" t="str">
        <f t="shared" si="262"/>
        <v>no</v>
      </c>
      <c r="K998" s="10" t="str">
        <f t="shared" si="263"/>
        <v>no</v>
      </c>
      <c r="L998" t="s">
        <v>578</v>
      </c>
      <c r="M998">
        <v>10624</v>
      </c>
      <c r="N998">
        <v>44</v>
      </c>
      <c r="O998" t="s">
        <v>728</v>
      </c>
      <c r="P998" t="str">
        <f t="shared" si="264"/>
        <v>THECR_10624_Gula Malacca</v>
      </c>
      <c r="Q998" t="str">
        <f t="shared" si="265"/>
        <v>10624</v>
      </c>
      <c r="R998" t="str">
        <f t="shared" si="266"/>
        <v>10624</v>
      </c>
      <c r="S998" t="str">
        <f t="shared" si="267"/>
        <v>Gula Malacca</v>
      </c>
      <c r="T998">
        <v>19.45</v>
      </c>
      <c r="U998">
        <v>10</v>
      </c>
      <c r="V998">
        <v>0</v>
      </c>
      <c r="W998">
        <f t="shared" si="268"/>
        <v>194.5</v>
      </c>
      <c r="X998" t="str">
        <f t="shared" si="269"/>
        <v>No</v>
      </c>
      <c r="Y998" s="2">
        <v>34949</v>
      </c>
      <c r="Z998" t="str">
        <f t="shared" si="255"/>
        <v/>
      </c>
      <c r="AA998" t="str">
        <f t="shared" si="270"/>
        <v/>
      </c>
      <c r="AB998" t="str" cm="1">
        <f t="array" ref="AB998">_xlfn.IFS(Y998&lt;DATE(1996,1,1),"",Y998&lt;DATE(1996,4,1),"Q1",Y998&lt;DATE(1996,7,1),"Q2",Y998&gt;=DATE(1996,7,1),"")</f>
        <v/>
      </c>
    </row>
    <row r="999" spans="1:28" ht="14.4" x14ac:dyDescent="0.55000000000000004">
      <c r="A999" t="str">
        <f>VLOOKUP(L999,Customers!$A$2:$B$92,2,FALSE)</f>
        <v>Ana Trujillo Emparedados y helados</v>
      </c>
      <c r="B999" t="str">
        <f>VLOOKUP(L999,Customers!$A$2:$C$92,3,TRUE)</f>
        <v>Ana Trujillo</v>
      </c>
      <c r="C999" t="str">
        <f t="shared" si="256"/>
        <v>Ana</v>
      </c>
      <c r="D999" s="8" t="str">
        <f t="shared" si="257"/>
        <v>Trujillo</v>
      </c>
      <c r="E999" s="8" t="str">
        <f t="shared" si="258"/>
        <v>Trujillo, Ana</v>
      </c>
      <c r="F999" s="8" t="str">
        <f t="shared" si="259"/>
        <v>Trujillo, Ana</v>
      </c>
      <c r="G999" s="8" t="str">
        <f t="shared" si="260"/>
        <v>not an outlier</v>
      </c>
      <c r="H999" s="8" t="str">
        <f t="shared" si="261"/>
        <v>Not</v>
      </c>
      <c r="I999" s="8" t="str">
        <f t="shared" si="271"/>
        <v>no</v>
      </c>
      <c r="J999" s="10" t="str">
        <f t="shared" si="262"/>
        <v>no</v>
      </c>
      <c r="K999" s="10" t="str">
        <f t="shared" si="263"/>
        <v>no</v>
      </c>
      <c r="L999" t="s">
        <v>20</v>
      </c>
      <c r="M999">
        <v>10625</v>
      </c>
      <c r="N999">
        <v>14</v>
      </c>
      <c r="O999" t="s">
        <v>686</v>
      </c>
      <c r="P999" t="str">
        <f t="shared" si="264"/>
        <v>ANATR_10625_Tofu</v>
      </c>
      <c r="Q999" t="str">
        <f t="shared" si="265"/>
        <v>10625</v>
      </c>
      <c r="R999" t="str">
        <f t="shared" si="266"/>
        <v>10625</v>
      </c>
      <c r="S999" t="str">
        <f t="shared" si="267"/>
        <v>Tofu</v>
      </c>
      <c r="T999">
        <v>23.25</v>
      </c>
      <c r="U999">
        <v>3</v>
      </c>
      <c r="V999">
        <v>0</v>
      </c>
      <c r="W999">
        <f t="shared" si="268"/>
        <v>69.75</v>
      </c>
      <c r="X999" t="str">
        <f t="shared" si="269"/>
        <v>No</v>
      </c>
      <c r="Y999" s="2">
        <v>34950</v>
      </c>
      <c r="Z999" t="str">
        <f t="shared" si="255"/>
        <v/>
      </c>
      <c r="AA999" t="str">
        <f t="shared" si="270"/>
        <v/>
      </c>
      <c r="AB999" t="str" cm="1">
        <f t="array" ref="AB999">_xlfn.IFS(Y999&lt;DATE(1996,1,1),"",Y999&lt;DATE(1996,4,1),"Q1",Y999&lt;DATE(1996,7,1),"Q2",Y999&gt;=DATE(1996,7,1),"")</f>
        <v/>
      </c>
    </row>
    <row r="1000" spans="1:28" ht="14.4" x14ac:dyDescent="0.55000000000000004">
      <c r="A1000" t="str">
        <f>VLOOKUP(L1000,Customers!$A$2:$B$92,2,FALSE)</f>
        <v>Ana Trujillo Emparedados y helados</v>
      </c>
      <c r="B1000" t="str">
        <f>VLOOKUP(L1000,Customers!$A$2:$C$92,3,TRUE)</f>
        <v>Ana Trujillo</v>
      </c>
      <c r="C1000" t="str">
        <f t="shared" si="256"/>
        <v>Ana</v>
      </c>
      <c r="D1000" s="8" t="str">
        <f t="shared" si="257"/>
        <v>Trujillo</v>
      </c>
      <c r="E1000" s="8" t="str">
        <f t="shared" si="258"/>
        <v>Trujillo, Ana</v>
      </c>
      <c r="F1000" s="8" t="str">
        <f t="shared" si="259"/>
        <v>Trujillo, Ana</v>
      </c>
      <c r="G1000" s="8" t="str">
        <f t="shared" si="260"/>
        <v>not an outlier</v>
      </c>
      <c r="H1000" s="8" t="str">
        <f t="shared" si="261"/>
        <v>Not</v>
      </c>
      <c r="I1000" s="8" t="str">
        <f t="shared" si="271"/>
        <v>no</v>
      </c>
      <c r="J1000" s="10" t="str">
        <f t="shared" si="262"/>
        <v>no</v>
      </c>
      <c r="K1000" s="10" t="str">
        <f t="shared" si="263"/>
        <v>no</v>
      </c>
      <c r="L1000" t="s">
        <v>20</v>
      </c>
      <c r="M1000">
        <v>10625</v>
      </c>
      <c r="N1000">
        <v>42</v>
      </c>
      <c r="O1000" t="s">
        <v>684</v>
      </c>
      <c r="P1000" t="str">
        <f t="shared" si="264"/>
        <v>ANATR_10625_Singaporean Hokkien Fried Mee</v>
      </c>
      <c r="Q1000" t="str">
        <f t="shared" si="265"/>
        <v>10625</v>
      </c>
      <c r="R1000" t="str">
        <f t="shared" si="266"/>
        <v>10625</v>
      </c>
      <c r="S1000" t="str">
        <f t="shared" si="267"/>
        <v>Singaporean Hokkien Fried Mee</v>
      </c>
      <c r="T1000">
        <v>14</v>
      </c>
      <c r="U1000">
        <v>5</v>
      </c>
      <c r="V1000">
        <v>0</v>
      </c>
      <c r="W1000">
        <f t="shared" si="268"/>
        <v>70</v>
      </c>
      <c r="X1000" t="str">
        <f t="shared" si="269"/>
        <v>No</v>
      </c>
      <c r="Y1000" s="2">
        <v>34950</v>
      </c>
      <c r="Z1000" t="str">
        <f t="shared" si="255"/>
        <v/>
      </c>
      <c r="AA1000" t="str">
        <f t="shared" si="270"/>
        <v/>
      </c>
      <c r="AB1000" t="str" cm="1">
        <f t="array" ref="AB1000">_xlfn.IFS(Y1000&lt;DATE(1996,1,1),"",Y1000&lt;DATE(1996,4,1),"Q1",Y1000&lt;DATE(1996,7,1),"Q2",Y1000&gt;=DATE(1996,7,1),"")</f>
        <v/>
      </c>
    </row>
    <row r="1001" spans="1:28" ht="14.4" x14ac:dyDescent="0.55000000000000004">
      <c r="A1001" t="str">
        <f>VLOOKUP(L1001,Customers!$A$2:$B$92,2,FALSE)</f>
        <v>Ana Trujillo Emparedados y helados</v>
      </c>
      <c r="B1001" t="str">
        <f>VLOOKUP(L1001,Customers!$A$2:$C$92,3,TRUE)</f>
        <v>Ana Trujillo</v>
      </c>
      <c r="C1001" t="str">
        <f t="shared" si="256"/>
        <v>Ana</v>
      </c>
      <c r="D1001" s="8" t="str">
        <f t="shared" si="257"/>
        <v>Trujillo</v>
      </c>
      <c r="E1001" s="8" t="str">
        <f t="shared" si="258"/>
        <v>Trujillo, Ana</v>
      </c>
      <c r="F1001" s="8" t="str">
        <f t="shared" si="259"/>
        <v>Trujillo, Ana</v>
      </c>
      <c r="G1001" s="8" t="str">
        <f t="shared" si="260"/>
        <v>not an outlier</v>
      </c>
      <c r="H1001" s="8" t="str">
        <f t="shared" si="261"/>
        <v>Not</v>
      </c>
      <c r="I1001" s="8" t="str">
        <f t="shared" si="271"/>
        <v>no</v>
      </c>
      <c r="J1001" s="10" t="str">
        <f t="shared" si="262"/>
        <v>no</v>
      </c>
      <c r="K1001" s="10" t="str">
        <f t="shared" si="263"/>
        <v>no</v>
      </c>
      <c r="L1001" t="s">
        <v>20</v>
      </c>
      <c r="M1001">
        <v>10625</v>
      </c>
      <c r="N1001">
        <v>60</v>
      </c>
      <c r="O1001" t="s">
        <v>694</v>
      </c>
      <c r="P1001" t="str">
        <f t="shared" si="264"/>
        <v>ANATR_10625_Camembert Pierrot</v>
      </c>
      <c r="Q1001" t="str">
        <f t="shared" si="265"/>
        <v>10625</v>
      </c>
      <c r="R1001" t="str">
        <f t="shared" si="266"/>
        <v>10625</v>
      </c>
      <c r="S1001" t="str">
        <f t="shared" si="267"/>
        <v>Camembert Pierrot</v>
      </c>
      <c r="T1001">
        <v>34</v>
      </c>
      <c r="U1001">
        <v>10</v>
      </c>
      <c r="V1001">
        <v>0</v>
      </c>
      <c r="W1001">
        <f t="shared" si="268"/>
        <v>340</v>
      </c>
      <c r="X1001" t="str">
        <f t="shared" si="269"/>
        <v>No</v>
      </c>
      <c r="Y1001" s="2">
        <v>34950</v>
      </c>
      <c r="Z1001" t="str">
        <f t="shared" si="255"/>
        <v/>
      </c>
      <c r="AA1001" t="str">
        <f t="shared" si="270"/>
        <v/>
      </c>
      <c r="AB1001" t="str" cm="1">
        <f t="array" ref="AB1001">_xlfn.IFS(Y1001&lt;DATE(1996,1,1),"",Y1001&lt;DATE(1996,4,1),"Q1",Y1001&lt;DATE(1996,7,1),"Q2",Y1001&gt;=DATE(1996,7,1),"")</f>
        <v/>
      </c>
    </row>
    <row r="1002" spans="1:28" ht="14.4" x14ac:dyDescent="0.55000000000000004">
      <c r="A1002" t="str">
        <f>VLOOKUP(L1002,Customers!$A$2:$B$92,2,FALSE)</f>
        <v>Berglunds snabbköp</v>
      </c>
      <c r="B1002" t="str">
        <f>VLOOKUP(L1002,Customers!$A$2:$C$92,3,TRUE)</f>
        <v>Christina Berglund</v>
      </c>
      <c r="C1002" t="str">
        <f t="shared" si="256"/>
        <v>Christina</v>
      </c>
      <c r="D1002" s="8" t="str">
        <f t="shared" si="257"/>
        <v>Berglund</v>
      </c>
      <c r="E1002" s="8" t="str">
        <f t="shared" si="258"/>
        <v>Berglund, Christina</v>
      </c>
      <c r="F1002" s="8" t="str">
        <f t="shared" si="259"/>
        <v>Berglund, Christina</v>
      </c>
      <c r="G1002" s="8" t="str">
        <f t="shared" si="260"/>
        <v>not an outlier</v>
      </c>
      <c r="H1002" s="8" t="str">
        <f t="shared" si="261"/>
        <v>Not</v>
      </c>
      <c r="I1002" s="8" t="str">
        <f t="shared" si="271"/>
        <v>no</v>
      </c>
      <c r="J1002" s="10" t="str">
        <f t="shared" si="262"/>
        <v>no</v>
      </c>
      <c r="K1002" s="10" t="str">
        <f t="shared" si="263"/>
        <v>no</v>
      </c>
      <c r="L1002" t="s">
        <v>43</v>
      </c>
      <c r="M1002">
        <v>10626</v>
      </c>
      <c r="N1002">
        <v>53</v>
      </c>
      <c r="O1002" t="s">
        <v>705</v>
      </c>
      <c r="P1002" t="str">
        <f t="shared" si="264"/>
        <v>BERGS_10626_Perth Pasties</v>
      </c>
      <c r="Q1002" t="str">
        <f t="shared" si="265"/>
        <v>10626</v>
      </c>
      <c r="R1002" t="str">
        <f t="shared" si="266"/>
        <v>10626</v>
      </c>
      <c r="S1002" t="str">
        <f t="shared" si="267"/>
        <v>Perth Pasties</v>
      </c>
      <c r="T1002">
        <v>32.799999999999997</v>
      </c>
      <c r="U1002">
        <v>12</v>
      </c>
      <c r="V1002">
        <v>0</v>
      </c>
      <c r="W1002">
        <f t="shared" si="268"/>
        <v>393.59999999999997</v>
      </c>
      <c r="X1002" t="str">
        <f t="shared" si="269"/>
        <v>No</v>
      </c>
      <c r="Y1002" s="2">
        <v>34953</v>
      </c>
      <c r="Z1002" t="str">
        <f t="shared" si="255"/>
        <v/>
      </c>
      <c r="AA1002" t="str">
        <f t="shared" si="270"/>
        <v/>
      </c>
      <c r="AB1002" t="str" cm="1">
        <f t="array" ref="AB1002">_xlfn.IFS(Y1002&lt;DATE(1996,1,1),"",Y1002&lt;DATE(1996,4,1),"Q1",Y1002&lt;DATE(1996,7,1),"Q2",Y1002&gt;=DATE(1996,7,1),"")</f>
        <v/>
      </c>
    </row>
    <row r="1003" spans="1:28" ht="14.4" x14ac:dyDescent="0.55000000000000004">
      <c r="A1003" t="str">
        <f>VLOOKUP(L1003,Customers!$A$2:$B$92,2,FALSE)</f>
        <v>Berglunds snabbköp</v>
      </c>
      <c r="B1003" t="str">
        <f>VLOOKUP(L1003,Customers!$A$2:$C$92,3,TRUE)</f>
        <v>Christina Berglund</v>
      </c>
      <c r="C1003" t="str">
        <f t="shared" si="256"/>
        <v>Christina</v>
      </c>
      <c r="D1003" s="8" t="str">
        <f t="shared" si="257"/>
        <v>Berglund</v>
      </c>
      <c r="E1003" s="8" t="str">
        <f t="shared" si="258"/>
        <v>Berglund, Christina</v>
      </c>
      <c r="F1003" s="8" t="str">
        <f t="shared" si="259"/>
        <v>Berglund, Christina</v>
      </c>
      <c r="G1003" s="8" t="str">
        <f t="shared" si="260"/>
        <v>not an outlier</v>
      </c>
      <c r="H1003" s="8" t="str">
        <f t="shared" si="261"/>
        <v>Not</v>
      </c>
      <c r="I1003" s="8" t="str">
        <f t="shared" si="271"/>
        <v>no</v>
      </c>
      <c r="J1003" s="10" t="str">
        <f t="shared" si="262"/>
        <v>no</v>
      </c>
      <c r="K1003" s="10" t="str">
        <f t="shared" si="263"/>
        <v>no</v>
      </c>
      <c r="L1003" t="s">
        <v>43</v>
      </c>
      <c r="M1003">
        <v>10626</v>
      </c>
      <c r="N1003">
        <v>60</v>
      </c>
      <c r="O1003" t="s">
        <v>694</v>
      </c>
      <c r="P1003" t="str">
        <f t="shared" si="264"/>
        <v>BERGS_10626_Camembert Pierrot</v>
      </c>
      <c r="Q1003" t="str">
        <f t="shared" si="265"/>
        <v>10626</v>
      </c>
      <c r="R1003" t="str">
        <f t="shared" si="266"/>
        <v>10626</v>
      </c>
      <c r="S1003" t="str">
        <f t="shared" si="267"/>
        <v>Camembert Pierrot</v>
      </c>
      <c r="T1003">
        <v>34</v>
      </c>
      <c r="U1003">
        <v>20</v>
      </c>
      <c r="V1003">
        <v>0</v>
      </c>
      <c r="W1003">
        <f t="shared" si="268"/>
        <v>680</v>
      </c>
      <c r="X1003" t="str">
        <f t="shared" si="269"/>
        <v>No</v>
      </c>
      <c r="Y1003" s="2">
        <v>34953</v>
      </c>
      <c r="Z1003" t="str">
        <f t="shared" si="255"/>
        <v/>
      </c>
      <c r="AA1003" t="str">
        <f t="shared" si="270"/>
        <v/>
      </c>
      <c r="AB1003" t="str" cm="1">
        <f t="array" ref="AB1003">_xlfn.IFS(Y1003&lt;DATE(1996,1,1),"",Y1003&lt;DATE(1996,4,1),"Q1",Y1003&lt;DATE(1996,7,1),"Q2",Y1003&gt;=DATE(1996,7,1),"")</f>
        <v/>
      </c>
    </row>
    <row r="1004" spans="1:28" ht="14.4" x14ac:dyDescent="0.55000000000000004">
      <c r="A1004" t="str">
        <f>VLOOKUP(L1004,Customers!$A$2:$B$92,2,FALSE)</f>
        <v>Berglunds snabbköp</v>
      </c>
      <c r="B1004" t="str">
        <f>VLOOKUP(L1004,Customers!$A$2:$C$92,3,TRUE)</f>
        <v>Christina Berglund</v>
      </c>
      <c r="C1004" t="str">
        <f t="shared" si="256"/>
        <v>Christina</v>
      </c>
      <c r="D1004" s="8" t="str">
        <f t="shared" si="257"/>
        <v>Berglund</v>
      </c>
      <c r="E1004" s="8" t="str">
        <f t="shared" si="258"/>
        <v>Berglund, Christina</v>
      </c>
      <c r="F1004" s="8" t="str">
        <f t="shared" si="259"/>
        <v>Berglund, Christina</v>
      </c>
      <c r="G1004" s="8" t="str">
        <f t="shared" si="260"/>
        <v>not an outlier</v>
      </c>
      <c r="H1004" s="8" t="str">
        <f t="shared" si="261"/>
        <v>Not</v>
      </c>
      <c r="I1004" s="8" t="str">
        <f t="shared" si="271"/>
        <v>no</v>
      </c>
      <c r="J1004" s="10" t="str">
        <f t="shared" si="262"/>
        <v>no</v>
      </c>
      <c r="K1004" s="10" t="str">
        <f t="shared" si="263"/>
        <v>no</v>
      </c>
      <c r="L1004" t="s">
        <v>43</v>
      </c>
      <c r="M1004">
        <v>10626</v>
      </c>
      <c r="N1004">
        <v>71</v>
      </c>
      <c r="O1004" t="s">
        <v>725</v>
      </c>
      <c r="P1004" t="str">
        <f t="shared" si="264"/>
        <v>BERGS_10626_Fløtemysost</v>
      </c>
      <c r="Q1004" t="str">
        <f t="shared" si="265"/>
        <v>10626</v>
      </c>
      <c r="R1004" t="str">
        <f t="shared" si="266"/>
        <v>10626</v>
      </c>
      <c r="S1004" t="str">
        <f t="shared" si="267"/>
        <v>Fløtemysost</v>
      </c>
      <c r="T1004">
        <v>21.5</v>
      </c>
      <c r="U1004">
        <v>20</v>
      </c>
      <c r="V1004">
        <v>0</v>
      </c>
      <c r="W1004">
        <f t="shared" si="268"/>
        <v>430</v>
      </c>
      <c r="X1004" t="str">
        <f t="shared" si="269"/>
        <v>No</v>
      </c>
      <c r="Y1004" s="2">
        <v>34953</v>
      </c>
      <c r="Z1004" t="str">
        <f t="shared" si="255"/>
        <v/>
      </c>
      <c r="AA1004" t="str">
        <f t="shared" si="270"/>
        <v/>
      </c>
      <c r="AB1004" t="str" cm="1">
        <f t="array" ref="AB1004">_xlfn.IFS(Y1004&lt;DATE(1996,1,1),"",Y1004&lt;DATE(1996,4,1),"Q1",Y1004&lt;DATE(1996,7,1),"Q2",Y1004&gt;=DATE(1996,7,1),"")</f>
        <v/>
      </c>
    </row>
    <row r="1005" spans="1:28" ht="14.4" x14ac:dyDescent="0.55000000000000004">
      <c r="A1005" t="str">
        <f>VLOOKUP(L1005,Customers!$A$2:$B$92,2,FALSE)</f>
        <v>Save-a-lot Markets</v>
      </c>
      <c r="B1005" t="str">
        <f>VLOOKUP(L1005,Customers!$A$2:$C$92,3,TRUE)</f>
        <v>Jose Pavarotti</v>
      </c>
      <c r="C1005" t="str">
        <f t="shared" si="256"/>
        <v>Jose</v>
      </c>
      <c r="D1005" s="8" t="str">
        <f t="shared" si="257"/>
        <v>Pavarotti</v>
      </c>
      <c r="E1005" s="8" t="str">
        <f t="shared" si="258"/>
        <v>Pavarotti, Jose</v>
      </c>
      <c r="F1005" s="8" t="str">
        <f t="shared" si="259"/>
        <v>Pavarotti, Jose</v>
      </c>
      <c r="G1005" s="8" t="str">
        <f t="shared" si="260"/>
        <v>not an outlier</v>
      </c>
      <c r="H1005" s="8" t="str">
        <f t="shared" si="261"/>
        <v>Not</v>
      </c>
      <c r="I1005" s="8" t="str">
        <f t="shared" si="271"/>
        <v>no</v>
      </c>
      <c r="J1005" s="10" t="str">
        <f t="shared" si="262"/>
        <v>no</v>
      </c>
      <c r="K1005" s="10" t="str">
        <f t="shared" si="263"/>
        <v>no</v>
      </c>
      <c r="L1005" t="s">
        <v>529</v>
      </c>
      <c r="M1005">
        <v>10627</v>
      </c>
      <c r="N1005">
        <v>62</v>
      </c>
      <c r="O1005" t="s">
        <v>712</v>
      </c>
      <c r="P1005" t="str">
        <f t="shared" si="264"/>
        <v>SAVEA_10627_Tarte au sucre</v>
      </c>
      <c r="Q1005" t="str">
        <f t="shared" si="265"/>
        <v>10627</v>
      </c>
      <c r="R1005" t="str">
        <f t="shared" si="266"/>
        <v>10627</v>
      </c>
      <c r="S1005" t="str">
        <f t="shared" si="267"/>
        <v>Tarte au sucre</v>
      </c>
      <c r="T1005">
        <v>49.3</v>
      </c>
      <c r="U1005">
        <v>15</v>
      </c>
      <c r="V1005">
        <v>0</v>
      </c>
      <c r="W1005">
        <f t="shared" si="268"/>
        <v>739.5</v>
      </c>
      <c r="X1005" t="str">
        <f t="shared" si="269"/>
        <v>No</v>
      </c>
      <c r="Y1005" s="2">
        <v>34953</v>
      </c>
      <c r="Z1005" t="str">
        <f t="shared" si="255"/>
        <v/>
      </c>
      <c r="AA1005" t="str">
        <f t="shared" si="270"/>
        <v/>
      </c>
      <c r="AB1005" t="str" cm="1">
        <f t="array" ref="AB1005">_xlfn.IFS(Y1005&lt;DATE(1996,1,1),"",Y1005&lt;DATE(1996,4,1),"Q1",Y1005&lt;DATE(1996,7,1),"Q2",Y1005&gt;=DATE(1996,7,1),"")</f>
        <v/>
      </c>
    </row>
    <row r="1006" spans="1:28" ht="14.4" x14ac:dyDescent="0.55000000000000004">
      <c r="A1006" t="str">
        <f>VLOOKUP(L1006,Customers!$A$2:$B$92,2,FALSE)</f>
        <v>Save-a-lot Markets</v>
      </c>
      <c r="B1006" t="str">
        <f>VLOOKUP(L1006,Customers!$A$2:$C$92,3,TRUE)</f>
        <v>Jose Pavarotti</v>
      </c>
      <c r="C1006" t="str">
        <f t="shared" si="256"/>
        <v>Jose</v>
      </c>
      <c r="D1006" s="8" t="str">
        <f t="shared" si="257"/>
        <v>Pavarotti</v>
      </c>
      <c r="E1006" s="8" t="str">
        <f t="shared" si="258"/>
        <v>Pavarotti, Jose</v>
      </c>
      <c r="F1006" s="8" t="str">
        <f t="shared" si="259"/>
        <v>Pavarotti, Jose</v>
      </c>
      <c r="G1006" s="8" t="str">
        <f t="shared" si="260"/>
        <v>not an outlier</v>
      </c>
      <c r="H1006" s="8" t="str">
        <f t="shared" si="261"/>
        <v>Not</v>
      </c>
      <c r="I1006" s="8" t="str">
        <f t="shared" si="271"/>
        <v>no</v>
      </c>
      <c r="J1006" s="10" t="str">
        <f t="shared" si="262"/>
        <v>no</v>
      </c>
      <c r="K1006" s="10" t="str">
        <f t="shared" si="263"/>
        <v>no</v>
      </c>
      <c r="L1006" t="s">
        <v>529</v>
      </c>
      <c r="M1006">
        <v>10627</v>
      </c>
      <c r="N1006">
        <v>73</v>
      </c>
      <c r="O1006" t="s">
        <v>730</v>
      </c>
      <c r="P1006" t="str">
        <f t="shared" si="264"/>
        <v>SAVEA_10627_Röd Kaviar</v>
      </c>
      <c r="Q1006" t="str">
        <f t="shared" si="265"/>
        <v>10627</v>
      </c>
      <c r="R1006" t="str">
        <f t="shared" si="266"/>
        <v>10627</v>
      </c>
      <c r="S1006" t="str">
        <f t="shared" si="267"/>
        <v>Röd Kaviar</v>
      </c>
      <c r="T1006">
        <v>15</v>
      </c>
      <c r="U1006">
        <v>35</v>
      </c>
      <c r="V1006">
        <v>0.15</v>
      </c>
      <c r="W1006">
        <f t="shared" si="268"/>
        <v>446.25</v>
      </c>
      <c r="X1006" t="str">
        <f t="shared" si="269"/>
        <v>No</v>
      </c>
      <c r="Y1006" s="2">
        <v>34953</v>
      </c>
      <c r="Z1006" t="str">
        <f t="shared" si="255"/>
        <v/>
      </c>
      <c r="AA1006" t="str">
        <f t="shared" si="270"/>
        <v/>
      </c>
      <c r="AB1006" t="str" cm="1">
        <f t="array" ref="AB1006">_xlfn.IFS(Y1006&lt;DATE(1996,1,1),"",Y1006&lt;DATE(1996,4,1),"Q1",Y1006&lt;DATE(1996,7,1),"Q2",Y1006&gt;=DATE(1996,7,1),"")</f>
        <v/>
      </c>
    </row>
    <row r="1007" spans="1:28" ht="14.4" x14ac:dyDescent="0.55000000000000004">
      <c r="A1007" t="str">
        <f>VLOOKUP(L1007,Customers!$A$2:$B$92,2,FALSE)</f>
        <v>Blondel père et fils</v>
      </c>
      <c r="B1007" t="str">
        <f>VLOOKUP(L1007,Customers!$A$2:$C$92,3,TRUE)</f>
        <v>Frédérique Citeaux</v>
      </c>
      <c r="C1007" t="str">
        <f t="shared" si="256"/>
        <v>Frédérique</v>
      </c>
      <c r="D1007" s="8" t="str">
        <f t="shared" si="257"/>
        <v>Citeaux</v>
      </c>
      <c r="E1007" s="8" t="str">
        <f t="shared" si="258"/>
        <v>Citeaux, Frédérique</v>
      </c>
      <c r="F1007" s="8" t="str">
        <f t="shared" si="259"/>
        <v>Citeaux, Frédérique</v>
      </c>
      <c r="G1007" s="8" t="str">
        <f t="shared" si="260"/>
        <v>not an outlier</v>
      </c>
      <c r="H1007" s="8" t="str">
        <f t="shared" si="261"/>
        <v>Not</v>
      </c>
      <c r="I1007" s="8" t="str">
        <f t="shared" si="271"/>
        <v>no</v>
      </c>
      <c r="J1007" s="10" t="str">
        <f t="shared" si="262"/>
        <v>no</v>
      </c>
      <c r="K1007" s="10" t="str">
        <f t="shared" si="263"/>
        <v>no</v>
      </c>
      <c r="L1007" t="s">
        <v>60</v>
      </c>
      <c r="M1007">
        <v>10628</v>
      </c>
      <c r="N1007">
        <v>1</v>
      </c>
      <c r="O1007" t="s">
        <v>735</v>
      </c>
      <c r="P1007" t="str">
        <f t="shared" si="264"/>
        <v>BLONP_10628_Chai</v>
      </c>
      <c r="Q1007" t="str">
        <f t="shared" si="265"/>
        <v>10628</v>
      </c>
      <c r="R1007" t="str">
        <f t="shared" si="266"/>
        <v>10628</v>
      </c>
      <c r="S1007" t="str">
        <f t="shared" si="267"/>
        <v>Chai</v>
      </c>
      <c r="T1007">
        <v>18</v>
      </c>
      <c r="U1007">
        <v>25</v>
      </c>
      <c r="V1007">
        <v>0</v>
      </c>
      <c r="W1007">
        <f t="shared" si="268"/>
        <v>450</v>
      </c>
      <c r="X1007" t="str">
        <f t="shared" si="269"/>
        <v>No</v>
      </c>
      <c r="Y1007" s="2">
        <v>34954</v>
      </c>
      <c r="Z1007" t="str">
        <f t="shared" si="255"/>
        <v/>
      </c>
      <c r="AA1007" t="str">
        <f t="shared" si="270"/>
        <v/>
      </c>
      <c r="AB1007" t="str" cm="1">
        <f t="array" ref="AB1007">_xlfn.IFS(Y1007&lt;DATE(1996,1,1),"",Y1007&lt;DATE(1996,4,1),"Q1",Y1007&lt;DATE(1996,7,1),"Q2",Y1007&gt;=DATE(1996,7,1),"")</f>
        <v/>
      </c>
    </row>
    <row r="1008" spans="1:28" ht="14.4" x14ac:dyDescent="0.55000000000000004">
      <c r="A1008" t="str">
        <f>VLOOKUP(L1008,Customers!$A$2:$B$92,2,FALSE)</f>
        <v>Godos Cocina Típica</v>
      </c>
      <c r="B1008" t="str">
        <f>VLOOKUP(L1008,Customers!$A$2:$C$92,3,TRUE)</f>
        <v>José Pedro Freyre</v>
      </c>
      <c r="C1008" t="str">
        <f t="shared" si="256"/>
        <v>José</v>
      </c>
      <c r="D1008" s="8" t="str">
        <f t="shared" si="257"/>
        <v>Pedro Freyre</v>
      </c>
      <c r="E1008" s="8" t="str">
        <f t="shared" si="258"/>
        <v>Pedro Freyre, José</v>
      </c>
      <c r="F1008" s="8" t="str">
        <f t="shared" si="259"/>
        <v>Pedro Freyre, José</v>
      </c>
      <c r="G1008" s="8" t="str">
        <f t="shared" si="260"/>
        <v>not an outlier</v>
      </c>
      <c r="H1008" s="8" t="str">
        <f t="shared" si="261"/>
        <v>Not</v>
      </c>
      <c r="I1008" s="8" t="str">
        <f t="shared" si="271"/>
        <v>no</v>
      </c>
      <c r="J1008" s="10" t="str">
        <f t="shared" si="262"/>
        <v>no</v>
      </c>
      <c r="K1008" s="10" t="str">
        <f t="shared" si="263"/>
        <v>no</v>
      </c>
      <c r="L1008" t="s">
        <v>234</v>
      </c>
      <c r="M1008">
        <v>10629</v>
      </c>
      <c r="N1008">
        <v>29</v>
      </c>
      <c r="O1008" t="s">
        <v>722</v>
      </c>
      <c r="P1008" t="str">
        <f t="shared" si="264"/>
        <v>GODOS_10629_Thüringer Rostbratwurst</v>
      </c>
      <c r="Q1008" t="str">
        <f t="shared" si="265"/>
        <v>10629</v>
      </c>
      <c r="R1008" t="str">
        <f t="shared" si="266"/>
        <v>10629</v>
      </c>
      <c r="S1008" t="str">
        <f t="shared" si="267"/>
        <v>Thüringer Rostbratwurst</v>
      </c>
      <c r="T1008">
        <v>123.79</v>
      </c>
      <c r="U1008">
        <v>20</v>
      </c>
      <c r="V1008">
        <v>0</v>
      </c>
      <c r="W1008">
        <f t="shared" si="268"/>
        <v>2475.8000000000002</v>
      </c>
      <c r="X1008" t="str">
        <f t="shared" si="269"/>
        <v>No</v>
      </c>
      <c r="Y1008" s="2">
        <v>34954</v>
      </c>
      <c r="Z1008" t="str">
        <f t="shared" si="255"/>
        <v/>
      </c>
      <c r="AA1008" t="str">
        <f t="shared" si="270"/>
        <v/>
      </c>
      <c r="AB1008" t="str" cm="1">
        <f t="array" ref="AB1008">_xlfn.IFS(Y1008&lt;DATE(1996,1,1),"",Y1008&lt;DATE(1996,4,1),"Q1",Y1008&lt;DATE(1996,7,1),"Q2",Y1008&gt;=DATE(1996,7,1),"")</f>
        <v/>
      </c>
    </row>
    <row r="1009" spans="1:28" ht="14.4" x14ac:dyDescent="0.55000000000000004">
      <c r="A1009" t="str">
        <f>VLOOKUP(L1009,Customers!$A$2:$B$92,2,FALSE)</f>
        <v>Godos Cocina Típica</v>
      </c>
      <c r="B1009" t="str">
        <f>VLOOKUP(L1009,Customers!$A$2:$C$92,3,TRUE)</f>
        <v>José Pedro Freyre</v>
      </c>
      <c r="C1009" t="str">
        <f t="shared" si="256"/>
        <v>José</v>
      </c>
      <c r="D1009" s="8" t="str">
        <f t="shared" si="257"/>
        <v>Pedro Freyre</v>
      </c>
      <c r="E1009" s="8" t="str">
        <f t="shared" si="258"/>
        <v>Pedro Freyre, José</v>
      </c>
      <c r="F1009" s="8" t="str">
        <f t="shared" si="259"/>
        <v>Pedro Freyre, José</v>
      </c>
      <c r="G1009" s="8" t="str">
        <f t="shared" si="260"/>
        <v>not an outlier</v>
      </c>
      <c r="H1009" s="8" t="str">
        <f t="shared" si="261"/>
        <v>Not</v>
      </c>
      <c r="I1009" s="8" t="str">
        <f t="shared" si="271"/>
        <v>no</v>
      </c>
      <c r="J1009" s="10" t="str">
        <f t="shared" si="262"/>
        <v>no</v>
      </c>
      <c r="K1009" s="10" t="str">
        <f t="shared" si="263"/>
        <v>no</v>
      </c>
      <c r="L1009" t="s">
        <v>234</v>
      </c>
      <c r="M1009">
        <v>10629</v>
      </c>
      <c r="N1009">
        <v>64</v>
      </c>
      <c r="O1009" t="s">
        <v>741</v>
      </c>
      <c r="P1009" t="str">
        <f t="shared" si="264"/>
        <v>GODOS_10629_Wimmers gute Semmelknödel</v>
      </c>
      <c r="Q1009" t="str">
        <f t="shared" si="265"/>
        <v>10629</v>
      </c>
      <c r="R1009" t="str">
        <f t="shared" si="266"/>
        <v>10629</v>
      </c>
      <c r="S1009" t="str">
        <f t="shared" si="267"/>
        <v>Wimmers gute Semmelknödel</v>
      </c>
      <c r="T1009">
        <v>33.25</v>
      </c>
      <c r="U1009">
        <v>9</v>
      </c>
      <c r="V1009">
        <v>0</v>
      </c>
      <c r="W1009">
        <f t="shared" si="268"/>
        <v>299.25</v>
      </c>
      <c r="X1009" t="str">
        <f t="shared" si="269"/>
        <v>No</v>
      </c>
      <c r="Y1009" s="2">
        <v>34954</v>
      </c>
      <c r="Z1009" t="str">
        <f t="shared" si="255"/>
        <v/>
      </c>
      <c r="AA1009" t="str">
        <f t="shared" si="270"/>
        <v/>
      </c>
      <c r="AB1009" t="str" cm="1">
        <f t="array" ref="AB1009">_xlfn.IFS(Y1009&lt;DATE(1996,1,1),"",Y1009&lt;DATE(1996,4,1),"Q1",Y1009&lt;DATE(1996,7,1),"Q2",Y1009&gt;=DATE(1996,7,1),"")</f>
        <v/>
      </c>
    </row>
    <row r="1010" spans="1:28" ht="14.4" x14ac:dyDescent="0.55000000000000004">
      <c r="A1010" t="str">
        <f>VLOOKUP(L1010,Customers!$A$2:$B$92,2,FALSE)</f>
        <v>Königlich Essen</v>
      </c>
      <c r="B1010" t="str">
        <f>VLOOKUP(L1010,Customers!$A$2:$C$92,3,TRUE)</f>
        <v>Philip Cramer</v>
      </c>
      <c r="C1010" t="str">
        <f t="shared" si="256"/>
        <v>Philip</v>
      </c>
      <c r="D1010" s="8" t="str">
        <f t="shared" si="257"/>
        <v>Cramer</v>
      </c>
      <c r="E1010" s="8" t="str">
        <f t="shared" si="258"/>
        <v>Cramer, Philip</v>
      </c>
      <c r="F1010" s="8" t="str">
        <f t="shared" si="259"/>
        <v>Cramer, Philip</v>
      </c>
      <c r="G1010" s="8" t="str">
        <f t="shared" si="260"/>
        <v>not an outlier</v>
      </c>
      <c r="H1010" s="8" t="str">
        <f t="shared" si="261"/>
        <v>Not</v>
      </c>
      <c r="I1010" s="8" t="str">
        <f t="shared" si="271"/>
        <v>no</v>
      </c>
      <c r="J1010" s="10" t="str">
        <f t="shared" si="262"/>
        <v>no</v>
      </c>
      <c r="K1010" s="10" t="str">
        <f t="shared" si="263"/>
        <v>no</v>
      </c>
      <c r="L1010" t="s">
        <v>305</v>
      </c>
      <c r="M1010">
        <v>10630</v>
      </c>
      <c r="N1010">
        <v>55</v>
      </c>
      <c r="O1010" t="s">
        <v>699</v>
      </c>
      <c r="P1010" t="str">
        <f t="shared" si="264"/>
        <v>KOENE_10630_Pâté chinois</v>
      </c>
      <c r="Q1010" t="str">
        <f t="shared" si="265"/>
        <v>10630</v>
      </c>
      <c r="R1010" t="str">
        <f t="shared" si="266"/>
        <v>10630</v>
      </c>
      <c r="S1010" t="str">
        <f t="shared" si="267"/>
        <v>Pâté chinois</v>
      </c>
      <c r="T1010">
        <v>24</v>
      </c>
      <c r="U1010">
        <v>12</v>
      </c>
      <c r="V1010">
        <v>0.05</v>
      </c>
      <c r="W1010">
        <f t="shared" si="268"/>
        <v>273.59999999999997</v>
      </c>
      <c r="X1010" t="str">
        <f t="shared" si="269"/>
        <v>No</v>
      </c>
      <c r="Y1010" s="2">
        <v>34955</v>
      </c>
      <c r="Z1010" t="str">
        <f t="shared" si="255"/>
        <v/>
      </c>
      <c r="AA1010" t="str">
        <f t="shared" si="270"/>
        <v/>
      </c>
      <c r="AB1010" t="str" cm="1">
        <f t="array" ref="AB1010">_xlfn.IFS(Y1010&lt;DATE(1996,1,1),"",Y1010&lt;DATE(1996,4,1),"Q1",Y1010&lt;DATE(1996,7,1),"Q2",Y1010&gt;=DATE(1996,7,1),"")</f>
        <v/>
      </c>
    </row>
    <row r="1011" spans="1:28" ht="14.4" x14ac:dyDescent="0.55000000000000004">
      <c r="A1011" t="str">
        <f>VLOOKUP(L1011,Customers!$A$2:$B$92,2,FALSE)</f>
        <v>Königlich Essen</v>
      </c>
      <c r="B1011" t="str">
        <f>VLOOKUP(L1011,Customers!$A$2:$C$92,3,TRUE)</f>
        <v>Philip Cramer</v>
      </c>
      <c r="C1011" t="str">
        <f t="shared" si="256"/>
        <v>Philip</v>
      </c>
      <c r="D1011" s="8" t="str">
        <f t="shared" si="257"/>
        <v>Cramer</v>
      </c>
      <c r="E1011" s="8" t="str">
        <f t="shared" si="258"/>
        <v>Cramer, Philip</v>
      </c>
      <c r="F1011" s="8" t="str">
        <f t="shared" si="259"/>
        <v>Cramer, Philip</v>
      </c>
      <c r="G1011" s="8" t="str">
        <f t="shared" si="260"/>
        <v>not an outlier</v>
      </c>
      <c r="H1011" s="8" t="str">
        <f t="shared" si="261"/>
        <v>Not</v>
      </c>
      <c r="I1011" s="8" t="str">
        <f t="shared" si="271"/>
        <v>no</v>
      </c>
      <c r="J1011" s="10" t="str">
        <f t="shared" si="262"/>
        <v>no</v>
      </c>
      <c r="K1011" s="10" t="str">
        <f t="shared" si="263"/>
        <v>no</v>
      </c>
      <c r="L1011" t="s">
        <v>305</v>
      </c>
      <c r="M1011">
        <v>10630</v>
      </c>
      <c r="N1011">
        <v>76</v>
      </c>
      <c r="O1011" t="s">
        <v>721</v>
      </c>
      <c r="P1011" t="str">
        <f t="shared" si="264"/>
        <v>KOENE_10630_Lakkalikööri</v>
      </c>
      <c r="Q1011" t="str">
        <f t="shared" si="265"/>
        <v>10630</v>
      </c>
      <c r="R1011" t="str">
        <f t="shared" si="266"/>
        <v>10630</v>
      </c>
      <c r="S1011" t="str">
        <f t="shared" si="267"/>
        <v>Lakkalikööri</v>
      </c>
      <c r="T1011">
        <v>18</v>
      </c>
      <c r="U1011">
        <v>35</v>
      </c>
      <c r="V1011">
        <v>0</v>
      </c>
      <c r="W1011">
        <f t="shared" si="268"/>
        <v>630</v>
      </c>
      <c r="X1011" t="str">
        <f t="shared" si="269"/>
        <v>No</v>
      </c>
      <c r="Y1011" s="2">
        <v>34955</v>
      </c>
      <c r="Z1011" t="str">
        <f t="shared" si="255"/>
        <v/>
      </c>
      <c r="AA1011" t="str">
        <f t="shared" si="270"/>
        <v/>
      </c>
      <c r="AB1011" t="str" cm="1">
        <f t="array" ref="AB1011">_xlfn.IFS(Y1011&lt;DATE(1996,1,1),"",Y1011&lt;DATE(1996,4,1),"Q1",Y1011&lt;DATE(1996,7,1),"Q2",Y1011&gt;=DATE(1996,7,1),"")</f>
        <v/>
      </c>
    </row>
    <row r="1012" spans="1:28" ht="14.4" x14ac:dyDescent="0.55000000000000004">
      <c r="A1012" t="str">
        <f>VLOOKUP(L1012,Customers!$A$2:$B$92,2,FALSE)</f>
        <v>La maison d'Asie</v>
      </c>
      <c r="B1012" t="str">
        <f>VLOOKUP(L1012,Customers!$A$2:$C$92,3,TRUE)</f>
        <v>Annette Roulet</v>
      </c>
      <c r="C1012" t="str">
        <f t="shared" si="256"/>
        <v>Annette</v>
      </c>
      <c r="D1012" s="8" t="str">
        <f t="shared" si="257"/>
        <v>Roulet</v>
      </c>
      <c r="E1012" s="8" t="str">
        <f t="shared" si="258"/>
        <v>Roulet, Annette</v>
      </c>
      <c r="F1012" s="8" t="str">
        <f t="shared" si="259"/>
        <v>Roulet, Annette</v>
      </c>
      <c r="G1012" s="8" t="str">
        <f t="shared" si="260"/>
        <v>not an outlier</v>
      </c>
      <c r="H1012" s="8" t="str">
        <f t="shared" si="261"/>
        <v>Not</v>
      </c>
      <c r="I1012" s="8" t="str">
        <f t="shared" si="271"/>
        <v>no</v>
      </c>
      <c r="J1012" s="10" t="str">
        <f t="shared" si="262"/>
        <v>no</v>
      </c>
      <c r="K1012" s="10" t="str">
        <f t="shared" si="263"/>
        <v>no</v>
      </c>
      <c r="L1012" t="s">
        <v>318</v>
      </c>
      <c r="M1012">
        <v>10631</v>
      </c>
      <c r="N1012">
        <v>75</v>
      </c>
      <c r="O1012" t="s">
        <v>731</v>
      </c>
      <c r="P1012" t="str">
        <f t="shared" si="264"/>
        <v>LAMAI_10631_Rhönbräu Klosterbier</v>
      </c>
      <c r="Q1012" t="str">
        <f t="shared" si="265"/>
        <v>10631</v>
      </c>
      <c r="R1012" t="str">
        <f t="shared" si="266"/>
        <v>10631</v>
      </c>
      <c r="S1012" t="str">
        <f t="shared" si="267"/>
        <v>Rhönbräu Klosterbier</v>
      </c>
      <c r="T1012">
        <v>7.75</v>
      </c>
      <c r="U1012">
        <v>8</v>
      </c>
      <c r="V1012">
        <v>0.1</v>
      </c>
      <c r="W1012">
        <f t="shared" si="268"/>
        <v>55.800000000000004</v>
      </c>
      <c r="X1012" t="str">
        <f t="shared" si="269"/>
        <v>No</v>
      </c>
      <c r="Y1012" s="2">
        <v>34956</v>
      </c>
      <c r="Z1012" t="str">
        <f t="shared" si="255"/>
        <v/>
      </c>
      <c r="AA1012" t="str">
        <f t="shared" si="270"/>
        <v/>
      </c>
      <c r="AB1012" t="str" cm="1">
        <f t="array" ref="AB1012">_xlfn.IFS(Y1012&lt;DATE(1996,1,1),"",Y1012&lt;DATE(1996,4,1),"Q1",Y1012&lt;DATE(1996,7,1),"Q2",Y1012&gt;=DATE(1996,7,1),"")</f>
        <v/>
      </c>
    </row>
    <row r="1013" spans="1:28" ht="14.4" x14ac:dyDescent="0.55000000000000004">
      <c r="A1013" t="str">
        <f>VLOOKUP(L1013,Customers!$A$2:$B$92,2,FALSE)</f>
        <v>Die Wandernde Kuh</v>
      </c>
      <c r="B1013" t="str">
        <f>VLOOKUP(L1013,Customers!$A$2:$C$92,3,TRUE)</f>
        <v>Rita Müller</v>
      </c>
      <c r="C1013" t="str">
        <f t="shared" si="256"/>
        <v>Rita</v>
      </c>
      <c r="D1013" s="8" t="str">
        <f t="shared" si="257"/>
        <v>Müller</v>
      </c>
      <c r="E1013" s="8" t="str">
        <f t="shared" si="258"/>
        <v>Müller, Rita</v>
      </c>
      <c r="F1013" s="8" t="str">
        <f t="shared" si="259"/>
        <v>Müller, Rita</v>
      </c>
      <c r="G1013" s="8" t="str">
        <f t="shared" si="260"/>
        <v>not an outlier</v>
      </c>
      <c r="H1013" s="8" t="str">
        <f t="shared" si="261"/>
        <v>Not</v>
      </c>
      <c r="I1013" s="8" t="str">
        <f t="shared" si="271"/>
        <v>no</v>
      </c>
      <c r="J1013" s="10" t="str">
        <f t="shared" si="262"/>
        <v>no</v>
      </c>
      <c r="K1013" s="10" t="str">
        <f t="shared" si="263"/>
        <v>no</v>
      </c>
      <c r="L1013" t="s">
        <v>633</v>
      </c>
      <c r="M1013">
        <v>10632</v>
      </c>
      <c r="N1013">
        <v>2</v>
      </c>
      <c r="O1013" t="s">
        <v>701</v>
      </c>
      <c r="P1013" t="str">
        <f t="shared" si="264"/>
        <v>WANDK_10632_Chang</v>
      </c>
      <c r="Q1013" t="str">
        <f t="shared" si="265"/>
        <v>10632</v>
      </c>
      <c r="R1013" t="str">
        <f t="shared" si="266"/>
        <v>10632</v>
      </c>
      <c r="S1013" t="str">
        <f t="shared" si="267"/>
        <v>Chang</v>
      </c>
      <c r="T1013">
        <v>19</v>
      </c>
      <c r="U1013">
        <v>30</v>
      </c>
      <c r="V1013">
        <v>0.05</v>
      </c>
      <c r="W1013">
        <f t="shared" si="268"/>
        <v>541.5</v>
      </c>
      <c r="X1013" t="str">
        <f t="shared" si="269"/>
        <v>No</v>
      </c>
      <c r="Y1013" s="2">
        <v>34956</v>
      </c>
      <c r="Z1013" t="str">
        <f t="shared" si="255"/>
        <v/>
      </c>
      <c r="AA1013" t="str">
        <f t="shared" si="270"/>
        <v/>
      </c>
      <c r="AB1013" t="str" cm="1">
        <f t="array" ref="AB1013">_xlfn.IFS(Y1013&lt;DATE(1996,1,1),"",Y1013&lt;DATE(1996,4,1),"Q1",Y1013&lt;DATE(1996,7,1),"Q2",Y1013&gt;=DATE(1996,7,1),"")</f>
        <v/>
      </c>
    </row>
    <row r="1014" spans="1:28" ht="14.4" x14ac:dyDescent="0.55000000000000004">
      <c r="A1014" t="str">
        <f>VLOOKUP(L1014,Customers!$A$2:$B$92,2,FALSE)</f>
        <v>Die Wandernde Kuh</v>
      </c>
      <c r="B1014" t="str">
        <f>VLOOKUP(L1014,Customers!$A$2:$C$92,3,TRUE)</f>
        <v>Rita Müller</v>
      </c>
      <c r="C1014" t="str">
        <f t="shared" si="256"/>
        <v>Rita</v>
      </c>
      <c r="D1014" s="8" t="str">
        <f t="shared" si="257"/>
        <v>Müller</v>
      </c>
      <c r="E1014" s="8" t="str">
        <f t="shared" si="258"/>
        <v>Müller, Rita</v>
      </c>
      <c r="F1014" s="8" t="str">
        <f t="shared" si="259"/>
        <v>Müller, Rita</v>
      </c>
      <c r="G1014" s="8" t="str">
        <f t="shared" si="260"/>
        <v>not an outlier</v>
      </c>
      <c r="H1014" s="8" t="str">
        <f t="shared" si="261"/>
        <v>Not</v>
      </c>
      <c r="I1014" s="8" t="str">
        <f t="shared" si="271"/>
        <v>no</v>
      </c>
      <c r="J1014" s="10" t="str">
        <f t="shared" si="262"/>
        <v>no</v>
      </c>
      <c r="K1014" s="10" t="str">
        <f t="shared" si="263"/>
        <v>no</v>
      </c>
      <c r="L1014" t="s">
        <v>633</v>
      </c>
      <c r="M1014">
        <v>10632</v>
      </c>
      <c r="N1014">
        <v>33</v>
      </c>
      <c r="O1014" t="s">
        <v>693</v>
      </c>
      <c r="P1014" t="str">
        <f t="shared" si="264"/>
        <v>WANDK_10632_Geitost</v>
      </c>
      <c r="Q1014" t="str">
        <f t="shared" si="265"/>
        <v>10632</v>
      </c>
      <c r="R1014" t="str">
        <f t="shared" si="266"/>
        <v>10632</v>
      </c>
      <c r="S1014" t="str">
        <f t="shared" si="267"/>
        <v>Geitost</v>
      </c>
      <c r="T1014">
        <v>2.5</v>
      </c>
      <c r="U1014">
        <v>20</v>
      </c>
      <c r="V1014">
        <v>0.05</v>
      </c>
      <c r="W1014">
        <f t="shared" si="268"/>
        <v>47.5</v>
      </c>
      <c r="X1014" t="str">
        <f t="shared" si="269"/>
        <v>No</v>
      </c>
      <c r="Y1014" s="2">
        <v>34956</v>
      </c>
      <c r="Z1014" t="str">
        <f t="shared" si="255"/>
        <v/>
      </c>
      <c r="AA1014" t="str">
        <f t="shared" si="270"/>
        <v/>
      </c>
      <c r="AB1014" t="str" cm="1">
        <f t="array" ref="AB1014">_xlfn.IFS(Y1014&lt;DATE(1996,1,1),"",Y1014&lt;DATE(1996,4,1),"Q1",Y1014&lt;DATE(1996,7,1),"Q2",Y1014&gt;=DATE(1996,7,1),"")</f>
        <v/>
      </c>
    </row>
    <row r="1015" spans="1:28" ht="14.4" x14ac:dyDescent="0.55000000000000004">
      <c r="A1015" t="str">
        <f>VLOOKUP(L1015,Customers!$A$2:$B$92,2,FALSE)</f>
        <v>Ernst Handel</v>
      </c>
      <c r="B1015" t="str">
        <f>VLOOKUP(L1015,Customers!$A$2:$C$92,3,TRUE)</f>
        <v>Roland Mendel</v>
      </c>
      <c r="C1015" t="str">
        <f t="shared" si="256"/>
        <v>Roland</v>
      </c>
      <c r="D1015" s="8" t="str">
        <f t="shared" si="257"/>
        <v>Mendel</v>
      </c>
      <c r="E1015" s="8" t="str">
        <f t="shared" si="258"/>
        <v>Mendel, Roland</v>
      </c>
      <c r="F1015" s="8" t="str">
        <f t="shared" si="259"/>
        <v>Mendel, Roland</v>
      </c>
      <c r="G1015" s="8" t="str">
        <f t="shared" si="260"/>
        <v>not an outlier</v>
      </c>
      <c r="H1015" s="8" t="str">
        <f t="shared" si="261"/>
        <v>Not</v>
      </c>
      <c r="I1015" s="8" t="str">
        <f t="shared" si="271"/>
        <v>no</v>
      </c>
      <c r="J1015" s="10" t="str">
        <f t="shared" si="262"/>
        <v>no</v>
      </c>
      <c r="K1015" s="10" t="str">
        <f t="shared" si="263"/>
        <v>no</v>
      </c>
      <c r="L1015" t="s">
        <v>161</v>
      </c>
      <c r="M1015">
        <v>10633</v>
      </c>
      <c r="N1015">
        <v>12</v>
      </c>
      <c r="O1015" t="s">
        <v>719</v>
      </c>
      <c r="P1015" t="str">
        <f t="shared" si="264"/>
        <v>ERNSH_10633_Queso Manchego La Pastora</v>
      </c>
      <c r="Q1015" t="str">
        <f t="shared" si="265"/>
        <v>10633</v>
      </c>
      <c r="R1015" t="str">
        <f t="shared" si="266"/>
        <v>10633</v>
      </c>
      <c r="S1015" t="str">
        <f t="shared" si="267"/>
        <v>Queso Manchego La Pastora</v>
      </c>
      <c r="T1015">
        <v>38</v>
      </c>
      <c r="U1015">
        <v>36</v>
      </c>
      <c r="V1015">
        <v>0.15</v>
      </c>
      <c r="W1015">
        <f t="shared" si="268"/>
        <v>1162.8</v>
      </c>
      <c r="X1015" t="str">
        <f t="shared" si="269"/>
        <v>No</v>
      </c>
      <c r="Y1015" s="2">
        <v>34957</v>
      </c>
      <c r="Z1015" t="str">
        <f t="shared" si="255"/>
        <v/>
      </c>
      <c r="AA1015" t="str">
        <f t="shared" si="270"/>
        <v/>
      </c>
      <c r="AB1015" t="str" cm="1">
        <f t="array" ref="AB1015">_xlfn.IFS(Y1015&lt;DATE(1996,1,1),"",Y1015&lt;DATE(1996,4,1),"Q1",Y1015&lt;DATE(1996,7,1),"Q2",Y1015&gt;=DATE(1996,7,1),"")</f>
        <v/>
      </c>
    </row>
    <row r="1016" spans="1:28" ht="14.4" x14ac:dyDescent="0.55000000000000004">
      <c r="A1016" t="str">
        <f>VLOOKUP(L1016,Customers!$A$2:$B$92,2,FALSE)</f>
        <v>Ernst Handel</v>
      </c>
      <c r="B1016" t="str">
        <f>VLOOKUP(L1016,Customers!$A$2:$C$92,3,TRUE)</f>
        <v>Roland Mendel</v>
      </c>
      <c r="C1016" t="str">
        <f t="shared" si="256"/>
        <v>Roland</v>
      </c>
      <c r="D1016" s="8" t="str">
        <f t="shared" si="257"/>
        <v>Mendel</v>
      </c>
      <c r="E1016" s="8" t="str">
        <f t="shared" si="258"/>
        <v>Mendel, Roland</v>
      </c>
      <c r="F1016" s="8" t="str">
        <f t="shared" si="259"/>
        <v>Mendel, Roland</v>
      </c>
      <c r="G1016" s="8" t="str">
        <f t="shared" si="260"/>
        <v>not an outlier</v>
      </c>
      <c r="H1016" s="8" t="str">
        <f t="shared" si="261"/>
        <v>Not</v>
      </c>
      <c r="I1016" s="8" t="str">
        <f t="shared" si="271"/>
        <v>no</v>
      </c>
      <c r="J1016" s="10" t="str">
        <f t="shared" si="262"/>
        <v>no</v>
      </c>
      <c r="K1016" s="10" t="str">
        <f t="shared" si="263"/>
        <v>no</v>
      </c>
      <c r="L1016" t="s">
        <v>161</v>
      </c>
      <c r="M1016">
        <v>10633</v>
      </c>
      <c r="N1016">
        <v>13</v>
      </c>
      <c r="O1016" t="s">
        <v>726</v>
      </c>
      <c r="P1016" t="str">
        <f t="shared" si="264"/>
        <v>ERNSH_10633_Konbu</v>
      </c>
      <c r="Q1016" t="str">
        <f t="shared" si="265"/>
        <v>10633</v>
      </c>
      <c r="R1016" t="str">
        <f t="shared" si="266"/>
        <v>10633</v>
      </c>
      <c r="S1016" t="str">
        <f t="shared" si="267"/>
        <v>Konbu</v>
      </c>
      <c r="T1016">
        <v>6</v>
      </c>
      <c r="U1016">
        <v>13</v>
      </c>
      <c r="V1016">
        <v>0.15</v>
      </c>
      <c r="W1016">
        <f t="shared" si="268"/>
        <v>66.3</v>
      </c>
      <c r="X1016" t="str">
        <f t="shared" si="269"/>
        <v>No</v>
      </c>
      <c r="Y1016" s="2">
        <v>34957</v>
      </c>
      <c r="Z1016" t="str">
        <f t="shared" si="255"/>
        <v/>
      </c>
      <c r="AA1016" t="str">
        <f t="shared" si="270"/>
        <v/>
      </c>
      <c r="AB1016" t="str" cm="1">
        <f t="array" ref="AB1016">_xlfn.IFS(Y1016&lt;DATE(1996,1,1),"",Y1016&lt;DATE(1996,4,1),"Q1",Y1016&lt;DATE(1996,7,1),"Q2",Y1016&gt;=DATE(1996,7,1),"")</f>
        <v/>
      </c>
    </row>
    <row r="1017" spans="1:28" ht="14.4" x14ac:dyDescent="0.55000000000000004">
      <c r="A1017" t="str">
        <f>VLOOKUP(L1017,Customers!$A$2:$B$92,2,FALSE)</f>
        <v>Ernst Handel</v>
      </c>
      <c r="B1017" t="str">
        <f>VLOOKUP(L1017,Customers!$A$2:$C$92,3,TRUE)</f>
        <v>Roland Mendel</v>
      </c>
      <c r="C1017" t="str">
        <f t="shared" si="256"/>
        <v>Roland</v>
      </c>
      <c r="D1017" s="8" t="str">
        <f t="shared" si="257"/>
        <v>Mendel</v>
      </c>
      <c r="E1017" s="8" t="str">
        <f t="shared" si="258"/>
        <v>Mendel, Roland</v>
      </c>
      <c r="F1017" s="8" t="str">
        <f t="shared" si="259"/>
        <v>Mendel, Roland</v>
      </c>
      <c r="G1017" s="8" t="str">
        <f t="shared" si="260"/>
        <v>not an outlier</v>
      </c>
      <c r="H1017" s="8" t="str">
        <f t="shared" si="261"/>
        <v>Not</v>
      </c>
      <c r="I1017" s="8" t="str">
        <f t="shared" si="271"/>
        <v>no</v>
      </c>
      <c r="J1017" s="10" t="str">
        <f t="shared" si="262"/>
        <v>no</v>
      </c>
      <c r="K1017" s="10" t="str">
        <f t="shared" si="263"/>
        <v>no</v>
      </c>
      <c r="L1017" t="s">
        <v>161</v>
      </c>
      <c r="M1017">
        <v>10633</v>
      </c>
      <c r="N1017">
        <v>26</v>
      </c>
      <c r="O1017" t="s">
        <v>751</v>
      </c>
      <c r="P1017" t="str">
        <f t="shared" si="264"/>
        <v>ERNSH_10633_Gumbär Gummibärchen</v>
      </c>
      <c r="Q1017" t="str">
        <f t="shared" si="265"/>
        <v>10633</v>
      </c>
      <c r="R1017" t="str">
        <f t="shared" si="266"/>
        <v>10633</v>
      </c>
      <c r="S1017" t="str">
        <f t="shared" si="267"/>
        <v>Gumbär Gummibärchen</v>
      </c>
      <c r="T1017">
        <v>31.23</v>
      </c>
      <c r="U1017">
        <v>35</v>
      </c>
      <c r="V1017">
        <v>0.15</v>
      </c>
      <c r="W1017">
        <f t="shared" si="268"/>
        <v>929.09249999999997</v>
      </c>
      <c r="X1017" t="str">
        <f t="shared" si="269"/>
        <v>No</v>
      </c>
      <c r="Y1017" s="2">
        <v>34957</v>
      </c>
      <c r="Z1017" t="str">
        <f t="shared" si="255"/>
        <v/>
      </c>
      <c r="AA1017" t="str">
        <f t="shared" si="270"/>
        <v/>
      </c>
      <c r="AB1017" t="str" cm="1">
        <f t="array" ref="AB1017">_xlfn.IFS(Y1017&lt;DATE(1996,1,1),"",Y1017&lt;DATE(1996,4,1),"Q1",Y1017&lt;DATE(1996,7,1),"Q2",Y1017&gt;=DATE(1996,7,1),"")</f>
        <v/>
      </c>
    </row>
    <row r="1018" spans="1:28" ht="14.4" x14ac:dyDescent="0.55000000000000004">
      <c r="A1018" t="str">
        <f>VLOOKUP(L1018,Customers!$A$2:$B$92,2,FALSE)</f>
        <v>Ernst Handel</v>
      </c>
      <c r="B1018" t="str">
        <f>VLOOKUP(L1018,Customers!$A$2:$C$92,3,TRUE)</f>
        <v>Roland Mendel</v>
      </c>
      <c r="C1018" t="str">
        <f t="shared" si="256"/>
        <v>Roland</v>
      </c>
      <c r="D1018" s="8" t="str">
        <f t="shared" si="257"/>
        <v>Mendel</v>
      </c>
      <c r="E1018" s="8" t="str">
        <f t="shared" si="258"/>
        <v>Mendel, Roland</v>
      </c>
      <c r="F1018" s="8" t="str">
        <f t="shared" si="259"/>
        <v>Mendel, Roland</v>
      </c>
      <c r="G1018" s="8" t="str">
        <f t="shared" si="260"/>
        <v>not an outlier</v>
      </c>
      <c r="H1018" s="8" t="str">
        <f t="shared" si="261"/>
        <v>moderate</v>
      </c>
      <c r="I1018" s="8" t="str">
        <f t="shared" si="271"/>
        <v>no</v>
      </c>
      <c r="J1018" s="10" t="str">
        <f t="shared" si="262"/>
        <v>no</v>
      </c>
      <c r="K1018" s="10" t="str">
        <f t="shared" si="263"/>
        <v>moderate</v>
      </c>
      <c r="L1018" t="s">
        <v>161</v>
      </c>
      <c r="M1018">
        <v>10633</v>
      </c>
      <c r="N1018">
        <v>62</v>
      </c>
      <c r="O1018" t="s">
        <v>712</v>
      </c>
      <c r="P1018" t="str">
        <f t="shared" si="264"/>
        <v>ERNSH_10633_Tarte au sucre</v>
      </c>
      <c r="Q1018" t="str">
        <f t="shared" si="265"/>
        <v>10633</v>
      </c>
      <c r="R1018" t="str">
        <f t="shared" si="266"/>
        <v>10633</v>
      </c>
      <c r="S1018" t="str">
        <f t="shared" si="267"/>
        <v>Tarte au sucre</v>
      </c>
      <c r="T1018">
        <v>49.3</v>
      </c>
      <c r="U1018">
        <v>80</v>
      </c>
      <c r="V1018">
        <v>0.15</v>
      </c>
      <c r="W1018">
        <f t="shared" si="268"/>
        <v>3352.4</v>
      </c>
      <c r="X1018" t="str">
        <f t="shared" si="269"/>
        <v>No</v>
      </c>
      <c r="Y1018" s="2">
        <v>34957</v>
      </c>
      <c r="Z1018" t="str">
        <f t="shared" si="255"/>
        <v/>
      </c>
      <c r="AA1018" t="str">
        <f t="shared" si="270"/>
        <v/>
      </c>
      <c r="AB1018" t="str" cm="1">
        <f t="array" ref="AB1018">_xlfn.IFS(Y1018&lt;DATE(1996,1,1),"",Y1018&lt;DATE(1996,4,1),"Q1",Y1018&lt;DATE(1996,7,1),"Q2",Y1018&gt;=DATE(1996,7,1),"")</f>
        <v/>
      </c>
    </row>
    <row r="1019" spans="1:28" ht="14.4" x14ac:dyDescent="0.55000000000000004">
      <c r="A1019" t="str">
        <f>VLOOKUP(L1019,Customers!$A$2:$B$92,2,FALSE)</f>
        <v>Folies gourmandes</v>
      </c>
      <c r="B1019" t="str">
        <f>VLOOKUP(L1019,Customers!$A$2:$C$92,3,TRUE)</f>
        <v>Martine Rancé</v>
      </c>
      <c r="C1019" t="str">
        <f t="shared" si="256"/>
        <v>Martine</v>
      </c>
      <c r="D1019" s="8" t="str">
        <f t="shared" si="257"/>
        <v>Rancé</v>
      </c>
      <c r="E1019" s="8" t="str">
        <f t="shared" si="258"/>
        <v>Rancé, Martine</v>
      </c>
      <c r="F1019" s="8" t="str">
        <f t="shared" si="259"/>
        <v>Rancé, Martine</v>
      </c>
      <c r="G1019" s="8" t="str">
        <f t="shared" si="260"/>
        <v>not an outlier</v>
      </c>
      <c r="H1019" s="8" t="str">
        <f t="shared" si="261"/>
        <v>Not</v>
      </c>
      <c r="I1019" s="8" t="str">
        <f t="shared" si="271"/>
        <v>no</v>
      </c>
      <c r="J1019" s="10" t="str">
        <f t="shared" si="262"/>
        <v>no</v>
      </c>
      <c r="K1019" s="10" t="str">
        <f t="shared" si="263"/>
        <v>no</v>
      </c>
      <c r="L1019" t="s">
        <v>183</v>
      </c>
      <c r="M1019">
        <v>10634</v>
      </c>
      <c r="N1019">
        <v>7</v>
      </c>
      <c r="O1019" t="s">
        <v>715</v>
      </c>
      <c r="P1019" t="str">
        <f t="shared" si="264"/>
        <v>FOLIG_10634_Uncle Bob's Organic Dried Pears</v>
      </c>
      <c r="Q1019" t="str">
        <f t="shared" si="265"/>
        <v>10634</v>
      </c>
      <c r="R1019" t="str">
        <f t="shared" si="266"/>
        <v>10634</v>
      </c>
      <c r="S1019" t="str">
        <f t="shared" si="267"/>
        <v>Uncle Bob's Organic Dried Pears</v>
      </c>
      <c r="T1019">
        <v>30</v>
      </c>
      <c r="U1019">
        <v>35</v>
      </c>
      <c r="V1019">
        <v>0</v>
      </c>
      <c r="W1019">
        <f t="shared" si="268"/>
        <v>1050</v>
      </c>
      <c r="X1019" t="str">
        <f t="shared" si="269"/>
        <v>No</v>
      </c>
      <c r="Y1019" s="2">
        <v>34957</v>
      </c>
      <c r="Z1019" t="str">
        <f t="shared" si="255"/>
        <v/>
      </c>
      <c r="AA1019" t="str">
        <f t="shared" si="270"/>
        <v/>
      </c>
      <c r="AB1019" t="str" cm="1">
        <f t="array" ref="AB1019">_xlfn.IFS(Y1019&lt;DATE(1996,1,1),"",Y1019&lt;DATE(1996,4,1),"Q1",Y1019&lt;DATE(1996,7,1),"Q2",Y1019&gt;=DATE(1996,7,1),"")</f>
        <v/>
      </c>
    </row>
    <row r="1020" spans="1:28" ht="14.4" x14ac:dyDescent="0.55000000000000004">
      <c r="A1020" t="str">
        <f>VLOOKUP(L1020,Customers!$A$2:$B$92,2,FALSE)</f>
        <v>Folies gourmandes</v>
      </c>
      <c r="B1020" t="str">
        <f>VLOOKUP(L1020,Customers!$A$2:$C$92,3,TRUE)</f>
        <v>Martine Rancé</v>
      </c>
      <c r="C1020" t="str">
        <f t="shared" si="256"/>
        <v>Martine</v>
      </c>
      <c r="D1020" s="8" t="str">
        <f t="shared" si="257"/>
        <v>Rancé</v>
      </c>
      <c r="E1020" s="8" t="str">
        <f t="shared" si="258"/>
        <v>Rancé, Martine</v>
      </c>
      <c r="F1020" s="8" t="str">
        <f t="shared" si="259"/>
        <v>Rancé, Martine</v>
      </c>
      <c r="G1020" s="8" t="str">
        <f t="shared" si="260"/>
        <v>not an outlier</v>
      </c>
      <c r="H1020" s="8" t="str">
        <f t="shared" si="261"/>
        <v>moderate</v>
      </c>
      <c r="I1020" s="8" t="str">
        <f t="shared" si="271"/>
        <v>no</v>
      </c>
      <c r="J1020" s="10" t="str">
        <f t="shared" si="262"/>
        <v>no</v>
      </c>
      <c r="K1020" s="10" t="str">
        <f t="shared" si="263"/>
        <v>moderate</v>
      </c>
      <c r="L1020" t="s">
        <v>183</v>
      </c>
      <c r="M1020">
        <v>10634</v>
      </c>
      <c r="N1020">
        <v>18</v>
      </c>
      <c r="O1020" t="s">
        <v>742</v>
      </c>
      <c r="P1020" t="str">
        <f t="shared" si="264"/>
        <v>FOLIG_10634_Carnarvon Tigers</v>
      </c>
      <c r="Q1020" t="str">
        <f t="shared" si="265"/>
        <v>10634</v>
      </c>
      <c r="R1020" t="str">
        <f t="shared" si="266"/>
        <v>10634</v>
      </c>
      <c r="S1020" t="str">
        <f t="shared" si="267"/>
        <v>Carnarvon Tigers</v>
      </c>
      <c r="T1020">
        <v>62.5</v>
      </c>
      <c r="U1020">
        <v>50</v>
      </c>
      <c r="V1020">
        <v>0</v>
      </c>
      <c r="W1020">
        <f t="shared" si="268"/>
        <v>3125</v>
      </c>
      <c r="X1020" t="str">
        <f t="shared" si="269"/>
        <v>No</v>
      </c>
      <c r="Y1020" s="2">
        <v>34957</v>
      </c>
      <c r="Z1020" t="str">
        <f t="shared" si="255"/>
        <v/>
      </c>
      <c r="AA1020" t="str">
        <f t="shared" si="270"/>
        <v/>
      </c>
      <c r="AB1020" t="str" cm="1">
        <f t="array" ref="AB1020">_xlfn.IFS(Y1020&lt;DATE(1996,1,1),"",Y1020&lt;DATE(1996,4,1),"Q1",Y1020&lt;DATE(1996,7,1),"Q2",Y1020&gt;=DATE(1996,7,1),"")</f>
        <v/>
      </c>
    </row>
    <row r="1021" spans="1:28" ht="14.4" x14ac:dyDescent="0.55000000000000004">
      <c r="A1021" t="str">
        <f>VLOOKUP(L1021,Customers!$A$2:$B$92,2,FALSE)</f>
        <v>Folies gourmandes</v>
      </c>
      <c r="B1021" t="str">
        <f>VLOOKUP(L1021,Customers!$A$2:$C$92,3,TRUE)</f>
        <v>Martine Rancé</v>
      </c>
      <c r="C1021" t="str">
        <f t="shared" si="256"/>
        <v>Martine</v>
      </c>
      <c r="D1021" s="8" t="str">
        <f t="shared" si="257"/>
        <v>Rancé</v>
      </c>
      <c r="E1021" s="8" t="str">
        <f t="shared" si="258"/>
        <v>Rancé, Martine</v>
      </c>
      <c r="F1021" s="8" t="str">
        <f t="shared" si="259"/>
        <v>Rancé, Martine</v>
      </c>
      <c r="G1021" s="8" t="str">
        <f t="shared" si="260"/>
        <v>not an outlier</v>
      </c>
      <c r="H1021" s="8" t="str">
        <f t="shared" si="261"/>
        <v>Not</v>
      </c>
      <c r="I1021" s="8" t="str">
        <f t="shared" si="271"/>
        <v>no</v>
      </c>
      <c r="J1021" s="10" t="str">
        <f t="shared" si="262"/>
        <v>no</v>
      </c>
      <c r="K1021" s="10" t="str">
        <f t="shared" si="263"/>
        <v>no</v>
      </c>
      <c r="L1021" t="s">
        <v>183</v>
      </c>
      <c r="M1021">
        <v>10634</v>
      </c>
      <c r="N1021">
        <v>51</v>
      </c>
      <c r="O1021" t="s">
        <v>687</v>
      </c>
      <c r="P1021" t="str">
        <f t="shared" si="264"/>
        <v>FOLIG_10634_Manjimup Dried Apples</v>
      </c>
      <c r="Q1021" t="str">
        <f t="shared" si="265"/>
        <v>10634</v>
      </c>
      <c r="R1021" t="str">
        <f t="shared" si="266"/>
        <v>10634</v>
      </c>
      <c r="S1021" t="str">
        <f t="shared" si="267"/>
        <v>Manjimup Dried Apples</v>
      </c>
      <c r="T1021">
        <v>53</v>
      </c>
      <c r="U1021">
        <v>15</v>
      </c>
      <c r="V1021">
        <v>0</v>
      </c>
      <c r="W1021">
        <f t="shared" si="268"/>
        <v>795</v>
      </c>
      <c r="X1021" t="str">
        <f t="shared" si="269"/>
        <v>No</v>
      </c>
      <c r="Y1021" s="2">
        <v>34957</v>
      </c>
      <c r="Z1021" t="str">
        <f t="shared" si="255"/>
        <v/>
      </c>
      <c r="AA1021" t="str">
        <f t="shared" si="270"/>
        <v/>
      </c>
      <c r="AB1021" t="str" cm="1">
        <f t="array" ref="AB1021">_xlfn.IFS(Y1021&lt;DATE(1996,1,1),"",Y1021&lt;DATE(1996,4,1),"Q1",Y1021&lt;DATE(1996,7,1),"Q2",Y1021&gt;=DATE(1996,7,1),"")</f>
        <v/>
      </c>
    </row>
    <row r="1022" spans="1:28" ht="14.4" x14ac:dyDescent="0.55000000000000004">
      <c r="A1022" t="str">
        <f>VLOOKUP(L1022,Customers!$A$2:$B$92,2,FALSE)</f>
        <v>Folies gourmandes</v>
      </c>
      <c r="B1022" t="str">
        <f>VLOOKUP(L1022,Customers!$A$2:$C$92,3,TRUE)</f>
        <v>Martine Rancé</v>
      </c>
      <c r="C1022" t="str">
        <f t="shared" si="256"/>
        <v>Martine</v>
      </c>
      <c r="D1022" s="8" t="str">
        <f t="shared" si="257"/>
        <v>Rancé</v>
      </c>
      <c r="E1022" s="8" t="str">
        <f t="shared" si="258"/>
        <v>Rancé, Martine</v>
      </c>
      <c r="F1022" s="8" t="str">
        <f t="shared" si="259"/>
        <v>Rancé, Martine</v>
      </c>
      <c r="G1022" s="8" t="str">
        <f t="shared" si="260"/>
        <v>not an outlier</v>
      </c>
      <c r="H1022" s="8" t="str">
        <f t="shared" si="261"/>
        <v>Not</v>
      </c>
      <c r="I1022" s="8" t="str">
        <f t="shared" si="271"/>
        <v>no</v>
      </c>
      <c r="J1022" s="10" t="str">
        <f t="shared" si="262"/>
        <v>no</v>
      </c>
      <c r="K1022" s="10" t="str">
        <f t="shared" si="263"/>
        <v>no</v>
      </c>
      <c r="L1022" t="s">
        <v>183</v>
      </c>
      <c r="M1022">
        <v>10634</v>
      </c>
      <c r="N1022">
        <v>75</v>
      </c>
      <c r="O1022" t="s">
        <v>731</v>
      </c>
      <c r="P1022" t="str">
        <f t="shared" si="264"/>
        <v>FOLIG_10634_Rhönbräu Klosterbier</v>
      </c>
      <c r="Q1022" t="str">
        <f t="shared" si="265"/>
        <v>10634</v>
      </c>
      <c r="R1022" t="str">
        <f t="shared" si="266"/>
        <v>10634</v>
      </c>
      <c r="S1022" t="str">
        <f t="shared" si="267"/>
        <v>Rhönbräu Klosterbier</v>
      </c>
      <c r="T1022">
        <v>7.75</v>
      </c>
      <c r="U1022">
        <v>2</v>
      </c>
      <c r="V1022">
        <v>0</v>
      </c>
      <c r="W1022">
        <f t="shared" si="268"/>
        <v>15.5</v>
      </c>
      <c r="X1022" t="str">
        <f t="shared" si="269"/>
        <v>No</v>
      </c>
      <c r="Y1022" s="2">
        <v>34957</v>
      </c>
      <c r="Z1022" t="str">
        <f t="shared" si="255"/>
        <v/>
      </c>
      <c r="AA1022" t="str">
        <f t="shared" si="270"/>
        <v/>
      </c>
      <c r="AB1022" t="str" cm="1">
        <f t="array" ref="AB1022">_xlfn.IFS(Y1022&lt;DATE(1996,1,1),"",Y1022&lt;DATE(1996,4,1),"Q1",Y1022&lt;DATE(1996,7,1),"Q2",Y1022&gt;=DATE(1996,7,1),"")</f>
        <v/>
      </c>
    </row>
    <row r="1023" spans="1:28" ht="14.4" x14ac:dyDescent="0.55000000000000004">
      <c r="A1023" t="str">
        <f>VLOOKUP(L1023,Customers!$A$2:$B$92,2,FALSE)</f>
        <v>Magazzini Alimentari Riuniti</v>
      </c>
      <c r="B1023" t="str">
        <f>VLOOKUP(L1023,Customers!$A$2:$C$92,3,TRUE)</f>
        <v>Giovanni Rovelli</v>
      </c>
      <c r="C1023" t="str">
        <f t="shared" si="256"/>
        <v>Giovanni</v>
      </c>
      <c r="D1023" s="8" t="str">
        <f t="shared" si="257"/>
        <v>Rovelli</v>
      </c>
      <c r="E1023" s="8" t="str">
        <f t="shared" si="258"/>
        <v>Rovelli, Giovanni</v>
      </c>
      <c r="F1023" s="8" t="str">
        <f t="shared" si="259"/>
        <v>Rovelli, Giovanni</v>
      </c>
      <c r="G1023" s="8" t="str">
        <f t="shared" si="260"/>
        <v>not an outlier</v>
      </c>
      <c r="H1023" s="8" t="str">
        <f t="shared" si="261"/>
        <v>Not</v>
      </c>
      <c r="I1023" s="8" t="str">
        <f t="shared" si="271"/>
        <v>no</v>
      </c>
      <c r="J1023" s="10" t="str">
        <f t="shared" si="262"/>
        <v>no</v>
      </c>
      <c r="K1023" s="10" t="str">
        <f t="shared" si="263"/>
        <v>no</v>
      </c>
      <c r="L1023" t="s">
        <v>378</v>
      </c>
      <c r="M1023">
        <v>10635</v>
      </c>
      <c r="N1023">
        <v>4</v>
      </c>
      <c r="O1023" t="s">
        <v>745</v>
      </c>
      <c r="P1023" t="str">
        <f t="shared" si="264"/>
        <v>MAGAA_10635_Chef Anton's Cajun Seasoning</v>
      </c>
      <c r="Q1023" t="str">
        <f t="shared" si="265"/>
        <v>10635</v>
      </c>
      <c r="R1023" t="str">
        <f t="shared" si="266"/>
        <v>10635</v>
      </c>
      <c r="S1023" t="str">
        <f t="shared" si="267"/>
        <v>Chef Anton's Cajun Seasoning</v>
      </c>
      <c r="T1023">
        <v>22</v>
      </c>
      <c r="U1023">
        <v>10</v>
      </c>
      <c r="V1023">
        <v>0.1</v>
      </c>
      <c r="W1023">
        <f t="shared" si="268"/>
        <v>198</v>
      </c>
      <c r="X1023" t="str">
        <f t="shared" si="269"/>
        <v>No</v>
      </c>
      <c r="Y1023" s="2">
        <v>34960</v>
      </c>
      <c r="Z1023" t="str">
        <f t="shared" si="255"/>
        <v/>
      </c>
      <c r="AA1023" t="str">
        <f t="shared" si="270"/>
        <v/>
      </c>
      <c r="AB1023" t="str" cm="1">
        <f t="array" ref="AB1023">_xlfn.IFS(Y1023&lt;DATE(1996,1,1),"",Y1023&lt;DATE(1996,4,1),"Q1",Y1023&lt;DATE(1996,7,1),"Q2",Y1023&gt;=DATE(1996,7,1),"")</f>
        <v/>
      </c>
    </row>
    <row r="1024" spans="1:28" ht="14.4" x14ac:dyDescent="0.55000000000000004">
      <c r="A1024" t="str">
        <f>VLOOKUP(L1024,Customers!$A$2:$B$92,2,FALSE)</f>
        <v>Magazzini Alimentari Riuniti</v>
      </c>
      <c r="B1024" t="str">
        <f>VLOOKUP(L1024,Customers!$A$2:$C$92,3,TRUE)</f>
        <v>Giovanni Rovelli</v>
      </c>
      <c r="C1024" t="str">
        <f t="shared" si="256"/>
        <v>Giovanni</v>
      </c>
      <c r="D1024" s="8" t="str">
        <f t="shared" si="257"/>
        <v>Rovelli</v>
      </c>
      <c r="E1024" s="8" t="str">
        <f t="shared" si="258"/>
        <v>Rovelli, Giovanni</v>
      </c>
      <c r="F1024" s="8" t="str">
        <f t="shared" si="259"/>
        <v>Rovelli, Giovanni</v>
      </c>
      <c r="G1024" s="8" t="str">
        <f t="shared" si="260"/>
        <v>not an outlier</v>
      </c>
      <c r="H1024" s="8" t="str">
        <f t="shared" si="261"/>
        <v>Not</v>
      </c>
      <c r="I1024" s="8" t="str">
        <f t="shared" si="271"/>
        <v>no</v>
      </c>
      <c r="J1024" s="10" t="str">
        <f t="shared" si="262"/>
        <v>no</v>
      </c>
      <c r="K1024" s="10" t="str">
        <f t="shared" si="263"/>
        <v>no</v>
      </c>
      <c r="L1024" t="s">
        <v>378</v>
      </c>
      <c r="M1024">
        <v>10635</v>
      </c>
      <c r="N1024">
        <v>5</v>
      </c>
      <c r="O1024" t="s">
        <v>708</v>
      </c>
      <c r="P1024" t="str">
        <f t="shared" si="264"/>
        <v>MAGAA_10635_Chef Anton's Gumbo Mix</v>
      </c>
      <c r="Q1024" t="str">
        <f t="shared" si="265"/>
        <v>10635</v>
      </c>
      <c r="R1024" t="str">
        <f t="shared" si="266"/>
        <v>10635</v>
      </c>
      <c r="S1024" t="str">
        <f t="shared" si="267"/>
        <v>Chef Anton's Gumbo Mix</v>
      </c>
      <c r="T1024">
        <v>21.35</v>
      </c>
      <c r="U1024">
        <v>15</v>
      </c>
      <c r="V1024">
        <v>0.1</v>
      </c>
      <c r="W1024">
        <f t="shared" si="268"/>
        <v>288.22500000000002</v>
      </c>
      <c r="X1024" t="str">
        <f t="shared" si="269"/>
        <v>No</v>
      </c>
      <c r="Y1024" s="2">
        <v>34960</v>
      </c>
      <c r="Z1024" t="str">
        <f t="shared" si="255"/>
        <v/>
      </c>
      <c r="AA1024" t="str">
        <f t="shared" si="270"/>
        <v/>
      </c>
      <c r="AB1024" t="str" cm="1">
        <f t="array" ref="AB1024">_xlfn.IFS(Y1024&lt;DATE(1996,1,1),"",Y1024&lt;DATE(1996,4,1),"Q1",Y1024&lt;DATE(1996,7,1),"Q2",Y1024&gt;=DATE(1996,7,1),"")</f>
        <v/>
      </c>
    </row>
    <row r="1025" spans="1:28" ht="14.4" x14ac:dyDescent="0.55000000000000004">
      <c r="A1025" t="str">
        <f>VLOOKUP(L1025,Customers!$A$2:$B$92,2,FALSE)</f>
        <v>Magazzini Alimentari Riuniti</v>
      </c>
      <c r="B1025" t="str">
        <f>VLOOKUP(L1025,Customers!$A$2:$C$92,3,TRUE)</f>
        <v>Giovanni Rovelli</v>
      </c>
      <c r="C1025" t="str">
        <f t="shared" si="256"/>
        <v>Giovanni</v>
      </c>
      <c r="D1025" s="8" t="str">
        <f t="shared" si="257"/>
        <v>Rovelli</v>
      </c>
      <c r="E1025" s="8" t="str">
        <f t="shared" si="258"/>
        <v>Rovelli, Giovanni</v>
      </c>
      <c r="F1025" s="8" t="str">
        <f t="shared" si="259"/>
        <v>Rovelli, Giovanni</v>
      </c>
      <c r="G1025" s="8" t="str">
        <f t="shared" si="260"/>
        <v>not an outlier</v>
      </c>
      <c r="H1025" s="8" t="str">
        <f t="shared" si="261"/>
        <v>Not</v>
      </c>
      <c r="I1025" s="8" t="str">
        <f t="shared" si="271"/>
        <v>no</v>
      </c>
      <c r="J1025" s="10" t="str">
        <f t="shared" si="262"/>
        <v>no</v>
      </c>
      <c r="K1025" s="10" t="str">
        <f t="shared" si="263"/>
        <v>no</v>
      </c>
      <c r="L1025" t="s">
        <v>378</v>
      </c>
      <c r="M1025">
        <v>10635</v>
      </c>
      <c r="N1025">
        <v>22</v>
      </c>
      <c r="O1025" t="s">
        <v>690</v>
      </c>
      <c r="P1025" t="str">
        <f t="shared" si="264"/>
        <v>MAGAA_10635_Gustaf's Knäckebröd</v>
      </c>
      <c r="Q1025" t="str">
        <f t="shared" si="265"/>
        <v>10635</v>
      </c>
      <c r="R1025" t="str">
        <f t="shared" si="266"/>
        <v>10635</v>
      </c>
      <c r="S1025" t="str">
        <f t="shared" si="267"/>
        <v>Gustaf's Knäckebröd</v>
      </c>
      <c r="T1025">
        <v>21</v>
      </c>
      <c r="U1025">
        <v>40</v>
      </c>
      <c r="V1025">
        <v>0</v>
      </c>
      <c r="W1025">
        <f t="shared" si="268"/>
        <v>840</v>
      </c>
      <c r="X1025" t="str">
        <f t="shared" si="269"/>
        <v>No</v>
      </c>
      <c r="Y1025" s="2">
        <v>34960</v>
      </c>
      <c r="Z1025" t="str">
        <f t="shared" ref="Z1025:Z1088" si="272">IF(Y1025&gt;=DATE(1996,1,1), IF(Y1025&lt;DATE(1996,4,1),"1st Q 1996",""),"")</f>
        <v/>
      </c>
      <c r="AA1025" t="str">
        <f t="shared" si="270"/>
        <v/>
      </c>
      <c r="AB1025" t="str" cm="1">
        <f t="array" ref="AB1025">_xlfn.IFS(Y1025&lt;DATE(1996,1,1),"",Y1025&lt;DATE(1996,4,1),"Q1",Y1025&lt;DATE(1996,7,1),"Q2",Y1025&gt;=DATE(1996,7,1),"")</f>
        <v/>
      </c>
    </row>
    <row r="1026" spans="1:28" ht="14.4" x14ac:dyDescent="0.55000000000000004">
      <c r="A1026" t="str">
        <f>VLOOKUP(L1026,Customers!$A$2:$B$92,2,FALSE)</f>
        <v>Wartian Herkku</v>
      </c>
      <c r="B1026" t="str">
        <f>VLOOKUP(L1026,Customers!$A$2:$C$92,3,TRUE)</f>
        <v>Pirkko Koskitalo</v>
      </c>
      <c r="C1026" t="str">
        <f t="shared" si="256"/>
        <v>Pirkko</v>
      </c>
      <c r="D1026" s="8" t="str">
        <f t="shared" si="257"/>
        <v>Koskitalo</v>
      </c>
      <c r="E1026" s="8" t="str">
        <f t="shared" si="258"/>
        <v>Koskitalo, Pirkko</v>
      </c>
      <c r="F1026" s="8" t="str">
        <f t="shared" si="259"/>
        <v>Koskitalo, Pirkko</v>
      </c>
      <c r="G1026" s="8" t="str">
        <f t="shared" si="260"/>
        <v>not an outlier</v>
      </c>
      <c r="H1026" s="8" t="str">
        <f t="shared" si="261"/>
        <v>Not</v>
      </c>
      <c r="I1026" s="8" t="str">
        <f t="shared" si="271"/>
        <v>no</v>
      </c>
      <c r="J1026" s="10" t="str">
        <f t="shared" si="262"/>
        <v>no</v>
      </c>
      <c r="K1026" s="10" t="str">
        <f t="shared" si="263"/>
        <v>no</v>
      </c>
      <c r="L1026" t="s">
        <v>640</v>
      </c>
      <c r="M1026">
        <v>10636</v>
      </c>
      <c r="N1026">
        <v>4</v>
      </c>
      <c r="O1026" t="s">
        <v>745</v>
      </c>
      <c r="P1026" t="str">
        <f t="shared" si="264"/>
        <v>WARTH_10636_Chef Anton's Cajun Seasoning</v>
      </c>
      <c r="Q1026" t="str">
        <f t="shared" si="265"/>
        <v>10636</v>
      </c>
      <c r="R1026" t="str">
        <f t="shared" si="266"/>
        <v>10636</v>
      </c>
      <c r="S1026" t="str">
        <f t="shared" si="267"/>
        <v>Chef Anton's Cajun Seasoning</v>
      </c>
      <c r="T1026">
        <v>22</v>
      </c>
      <c r="U1026">
        <v>25</v>
      </c>
      <c r="V1026">
        <v>0</v>
      </c>
      <c r="W1026">
        <f t="shared" si="268"/>
        <v>550</v>
      </c>
      <c r="X1026" t="str">
        <f t="shared" si="269"/>
        <v>No</v>
      </c>
      <c r="Y1026" s="2">
        <v>34961</v>
      </c>
      <c r="Z1026" t="str">
        <f t="shared" si="272"/>
        <v/>
      </c>
      <c r="AA1026" t="str">
        <f t="shared" si="270"/>
        <v/>
      </c>
      <c r="AB1026" t="str" cm="1">
        <f t="array" ref="AB1026">_xlfn.IFS(Y1026&lt;DATE(1996,1,1),"",Y1026&lt;DATE(1996,4,1),"Q1",Y1026&lt;DATE(1996,7,1),"Q2",Y1026&gt;=DATE(1996,7,1),"")</f>
        <v/>
      </c>
    </row>
    <row r="1027" spans="1:28" ht="14.4" x14ac:dyDescent="0.55000000000000004">
      <c r="A1027" t="str">
        <f>VLOOKUP(L1027,Customers!$A$2:$B$92,2,FALSE)</f>
        <v>Wartian Herkku</v>
      </c>
      <c r="B1027" t="str">
        <f>VLOOKUP(L1027,Customers!$A$2:$C$92,3,TRUE)</f>
        <v>Pirkko Koskitalo</v>
      </c>
      <c r="C1027" t="str">
        <f t="shared" ref="C1027:C1090" si="273">LEFT(B1027,FIND(" ",B1027)-1)</f>
        <v>Pirkko</v>
      </c>
      <c r="D1027" s="8" t="str">
        <f t="shared" ref="D1027:D1090" si="274">RIGHT(B1027,LEN(B1027)-FIND(" ",B1027))</f>
        <v>Koskitalo</v>
      </c>
      <c r="E1027" s="8" t="str">
        <f t="shared" ref="E1027:E1090" si="275">_xlfn.CONCAT(D1027,", ",C1027)</f>
        <v>Koskitalo, Pirkko</v>
      </c>
      <c r="F1027" s="8" t="str">
        <f t="shared" ref="F1027:F1090" si="276">D1027&amp;", "&amp;C1027</f>
        <v>Koskitalo, Pirkko</v>
      </c>
      <c r="G1027" s="8" t="str">
        <f t="shared" ref="G1027:G1090" si="277">IF(OR(W1027&gt;$W$2166,W1027&lt;$W$2167),"outlier","not an outlier")</f>
        <v>not an outlier</v>
      </c>
      <c r="H1027" s="8" t="str">
        <f t="shared" ref="H1027:H1090" si="278">IF(OR(W1027&gt;$W$2166,W1027&lt;$W$2167),"outlier",IF(OR(W1027&gt;$W$2168,W1027&lt;$W$2169),"moderate","Not"))</f>
        <v>Not</v>
      </c>
      <c r="I1027" s="8" t="str">
        <f t="shared" si="271"/>
        <v>no</v>
      </c>
      <c r="J1027" s="10" t="str">
        <f t="shared" ref="J1027:J1090" si="279">IF(AND(W1027&lt;=$W$2166,W1027&gt;=$W$2167),"no","yes")</f>
        <v>no</v>
      </c>
      <c r="K1027" s="10" t="str">
        <f t="shared" ref="K1027:K1090" si="280">IF(OR(W1027&gt;$W$2166,W1027&lt;$W$2167),"yes",IF(OR(W1027&gt;$W$2168,W1027&lt;$W$2169),"moderate","no"))</f>
        <v>no</v>
      </c>
      <c r="L1027" t="s">
        <v>640</v>
      </c>
      <c r="M1027">
        <v>10636</v>
      </c>
      <c r="N1027">
        <v>58</v>
      </c>
      <c r="O1027" t="s">
        <v>747</v>
      </c>
      <c r="P1027" t="str">
        <f t="shared" ref="P1027:P1090" si="281">L1027&amp;"_"&amp;M1027&amp;"_"&amp;O1027</f>
        <v>WARTH_10636_Escargots de Bourgogne</v>
      </c>
      <c r="Q1027" t="str">
        <f t="shared" ref="Q1027:Q1090" si="282">LEFT(RIGHT(P1027,LEN(P1027)-FIND("_",P1027)), FIND("_",P1027)-1)</f>
        <v>10636</v>
      </c>
      <c r="R1027" t="str">
        <f t="shared" ref="R1027:R1090" si="283">MID(P1027,FIND("_",P1027)+1,FIND("_",P1027,FIND("_",P1027))-1)</f>
        <v>10636</v>
      </c>
      <c r="S1027" t="str">
        <f t="shared" ref="S1027:S1090" si="284">MID(P1027,FIND("_",P1027,FIND("_",P1027)+1)+1,LEN(P1027))</f>
        <v>Escargots de Bourgogne</v>
      </c>
      <c r="T1027">
        <v>13.25</v>
      </c>
      <c r="U1027">
        <v>6</v>
      </c>
      <c r="V1027">
        <v>0</v>
      </c>
      <c r="W1027">
        <f t="shared" ref="W1027:W1090" si="285">T1027*U1027*(1-V1027)</f>
        <v>79.5</v>
      </c>
      <c r="X1027" t="str">
        <f t="shared" ref="X1027:X1090" si="286">IF(YEAR(Y1027)&gt;=1996,"yes","No")</f>
        <v>No</v>
      </c>
      <c r="Y1027" s="2">
        <v>34961</v>
      </c>
      <c r="Z1027" t="str">
        <f t="shared" si="272"/>
        <v/>
      </c>
      <c r="AA1027" t="str">
        <f t="shared" ref="AA1027:AA1090" si="287">IF(Y1027&lt;DATE(1996,1,1),"", IF(Y1027&lt;DATE(1996,4,1),"1st Q 1996",IF(Y1027&lt;DATE(1996,7,1),"2nd Q 1996","")))</f>
        <v/>
      </c>
      <c r="AB1027" t="str" cm="1">
        <f t="array" ref="AB1027">_xlfn.IFS(Y1027&lt;DATE(1996,1,1),"",Y1027&lt;DATE(1996,4,1),"Q1",Y1027&lt;DATE(1996,7,1),"Q2",Y1027&gt;=DATE(1996,7,1),"")</f>
        <v/>
      </c>
    </row>
    <row r="1028" spans="1:28" ht="14.4" x14ac:dyDescent="0.55000000000000004">
      <c r="A1028" t="str">
        <f>VLOOKUP(L1028,Customers!$A$2:$B$92,2,FALSE)</f>
        <v>Queen Cozinha</v>
      </c>
      <c r="B1028" t="str">
        <f>VLOOKUP(L1028,Customers!$A$2:$C$92,3,TRUE)</f>
        <v>Lúcia Carvalho</v>
      </c>
      <c r="C1028" t="str">
        <f t="shared" si="273"/>
        <v>Lúcia</v>
      </c>
      <c r="D1028" s="8" t="str">
        <f t="shared" si="274"/>
        <v>Carvalho</v>
      </c>
      <c r="E1028" s="8" t="str">
        <f t="shared" si="275"/>
        <v>Carvalho, Lúcia</v>
      </c>
      <c r="F1028" s="8" t="str">
        <f t="shared" si="276"/>
        <v>Carvalho, Lúcia</v>
      </c>
      <c r="G1028" s="8" t="str">
        <f t="shared" si="277"/>
        <v>not an outlier</v>
      </c>
      <c r="H1028" s="8" t="str">
        <f t="shared" si="278"/>
        <v>Not</v>
      </c>
      <c r="I1028" s="8" t="str">
        <f t="shared" ref="I1028:I1091" si="288">IF(OR(W1028&gt;$W$2166,W1028&lt;$W$2167),"yes","no")</f>
        <v>no</v>
      </c>
      <c r="J1028" s="10" t="str">
        <f t="shared" si="279"/>
        <v>no</v>
      </c>
      <c r="K1028" s="10" t="str">
        <f t="shared" si="280"/>
        <v>no</v>
      </c>
      <c r="L1028" t="s">
        <v>469</v>
      </c>
      <c r="M1028">
        <v>10637</v>
      </c>
      <c r="N1028">
        <v>11</v>
      </c>
      <c r="O1028" t="s">
        <v>683</v>
      </c>
      <c r="P1028" t="str">
        <f t="shared" si="281"/>
        <v>QUEEN_10637_Queso Cabrales</v>
      </c>
      <c r="Q1028" t="str">
        <f t="shared" si="282"/>
        <v>10637</v>
      </c>
      <c r="R1028" t="str">
        <f t="shared" si="283"/>
        <v>10637</v>
      </c>
      <c r="S1028" t="str">
        <f t="shared" si="284"/>
        <v>Queso Cabrales</v>
      </c>
      <c r="T1028">
        <v>21</v>
      </c>
      <c r="U1028">
        <v>10</v>
      </c>
      <c r="V1028">
        <v>0</v>
      </c>
      <c r="W1028">
        <f t="shared" si="285"/>
        <v>210</v>
      </c>
      <c r="X1028" t="str">
        <f t="shared" si="286"/>
        <v>No</v>
      </c>
      <c r="Y1028" s="2">
        <v>34961</v>
      </c>
      <c r="Z1028" t="str">
        <f t="shared" si="272"/>
        <v/>
      </c>
      <c r="AA1028" t="str">
        <f t="shared" si="287"/>
        <v/>
      </c>
      <c r="AB1028" t="str" cm="1">
        <f t="array" ref="AB1028">_xlfn.IFS(Y1028&lt;DATE(1996,1,1),"",Y1028&lt;DATE(1996,4,1),"Q1",Y1028&lt;DATE(1996,7,1),"Q2",Y1028&gt;=DATE(1996,7,1),"")</f>
        <v/>
      </c>
    </row>
    <row r="1029" spans="1:28" ht="14.4" x14ac:dyDescent="0.55000000000000004">
      <c r="A1029" t="str">
        <f>VLOOKUP(L1029,Customers!$A$2:$B$92,2,FALSE)</f>
        <v>Queen Cozinha</v>
      </c>
      <c r="B1029" t="str">
        <f>VLOOKUP(L1029,Customers!$A$2:$C$92,3,TRUE)</f>
        <v>Lúcia Carvalho</v>
      </c>
      <c r="C1029" t="str">
        <f t="shared" si="273"/>
        <v>Lúcia</v>
      </c>
      <c r="D1029" s="8" t="str">
        <f t="shared" si="274"/>
        <v>Carvalho</v>
      </c>
      <c r="E1029" s="8" t="str">
        <f t="shared" si="275"/>
        <v>Carvalho, Lúcia</v>
      </c>
      <c r="F1029" s="8" t="str">
        <f t="shared" si="276"/>
        <v>Carvalho, Lúcia</v>
      </c>
      <c r="G1029" s="8" t="str">
        <f t="shared" si="277"/>
        <v>not an outlier</v>
      </c>
      <c r="H1029" s="8" t="str">
        <f t="shared" si="278"/>
        <v>Not</v>
      </c>
      <c r="I1029" s="8" t="str">
        <f t="shared" si="288"/>
        <v>no</v>
      </c>
      <c r="J1029" s="10" t="str">
        <f t="shared" si="279"/>
        <v>no</v>
      </c>
      <c r="K1029" s="10" t="str">
        <f t="shared" si="280"/>
        <v>no</v>
      </c>
      <c r="L1029" t="s">
        <v>469</v>
      </c>
      <c r="M1029">
        <v>10637</v>
      </c>
      <c r="N1029">
        <v>50</v>
      </c>
      <c r="O1029" t="s">
        <v>755</v>
      </c>
      <c r="P1029" t="str">
        <f t="shared" si="281"/>
        <v>QUEEN_10637_Valkoinen suklaa</v>
      </c>
      <c r="Q1029" t="str">
        <f t="shared" si="282"/>
        <v>10637</v>
      </c>
      <c r="R1029" t="str">
        <f t="shared" si="283"/>
        <v>10637</v>
      </c>
      <c r="S1029" t="str">
        <f t="shared" si="284"/>
        <v>Valkoinen suklaa</v>
      </c>
      <c r="T1029">
        <v>16.25</v>
      </c>
      <c r="U1029">
        <v>25</v>
      </c>
      <c r="V1029">
        <v>0.05</v>
      </c>
      <c r="W1029">
        <f t="shared" si="285"/>
        <v>385.9375</v>
      </c>
      <c r="X1029" t="str">
        <f t="shared" si="286"/>
        <v>No</v>
      </c>
      <c r="Y1029" s="2">
        <v>34961</v>
      </c>
      <c r="Z1029" t="str">
        <f t="shared" si="272"/>
        <v/>
      </c>
      <c r="AA1029" t="str">
        <f t="shared" si="287"/>
        <v/>
      </c>
      <c r="AB1029" t="str" cm="1">
        <f t="array" ref="AB1029">_xlfn.IFS(Y1029&lt;DATE(1996,1,1),"",Y1029&lt;DATE(1996,4,1),"Q1",Y1029&lt;DATE(1996,7,1),"Q2",Y1029&gt;=DATE(1996,7,1),"")</f>
        <v/>
      </c>
    </row>
    <row r="1030" spans="1:28" ht="14.4" x14ac:dyDescent="0.55000000000000004">
      <c r="A1030" t="str">
        <f>VLOOKUP(L1030,Customers!$A$2:$B$92,2,FALSE)</f>
        <v>Queen Cozinha</v>
      </c>
      <c r="B1030" t="str">
        <f>VLOOKUP(L1030,Customers!$A$2:$C$92,3,TRUE)</f>
        <v>Lúcia Carvalho</v>
      </c>
      <c r="C1030" t="str">
        <f t="shared" si="273"/>
        <v>Lúcia</v>
      </c>
      <c r="D1030" s="8" t="str">
        <f t="shared" si="274"/>
        <v>Carvalho</v>
      </c>
      <c r="E1030" s="8" t="str">
        <f t="shared" si="275"/>
        <v>Carvalho, Lúcia</v>
      </c>
      <c r="F1030" s="8" t="str">
        <f t="shared" si="276"/>
        <v>Carvalho, Lúcia</v>
      </c>
      <c r="G1030" s="8" t="str">
        <f t="shared" si="277"/>
        <v>not an outlier</v>
      </c>
      <c r="H1030" s="8" t="str">
        <f t="shared" si="278"/>
        <v>Not</v>
      </c>
      <c r="I1030" s="8" t="str">
        <f t="shared" si="288"/>
        <v>no</v>
      </c>
      <c r="J1030" s="10" t="str">
        <f t="shared" si="279"/>
        <v>no</v>
      </c>
      <c r="K1030" s="10" t="str">
        <f t="shared" si="280"/>
        <v>no</v>
      </c>
      <c r="L1030" t="s">
        <v>469</v>
      </c>
      <c r="M1030">
        <v>10637</v>
      </c>
      <c r="N1030">
        <v>56</v>
      </c>
      <c r="O1030" t="s">
        <v>716</v>
      </c>
      <c r="P1030" t="str">
        <f t="shared" si="281"/>
        <v>QUEEN_10637_Gnocchi di nonna Alice</v>
      </c>
      <c r="Q1030" t="str">
        <f t="shared" si="282"/>
        <v>10637</v>
      </c>
      <c r="R1030" t="str">
        <f t="shared" si="283"/>
        <v>10637</v>
      </c>
      <c r="S1030" t="str">
        <f t="shared" si="284"/>
        <v>Gnocchi di nonna Alice</v>
      </c>
      <c r="T1030">
        <v>38</v>
      </c>
      <c r="U1030">
        <v>60</v>
      </c>
      <c r="V1030">
        <v>0.05</v>
      </c>
      <c r="W1030">
        <f t="shared" si="285"/>
        <v>2166</v>
      </c>
      <c r="X1030" t="str">
        <f t="shared" si="286"/>
        <v>No</v>
      </c>
      <c r="Y1030" s="2">
        <v>34961</v>
      </c>
      <c r="Z1030" t="str">
        <f t="shared" si="272"/>
        <v/>
      </c>
      <c r="AA1030" t="str">
        <f t="shared" si="287"/>
        <v/>
      </c>
      <c r="AB1030" t="str" cm="1">
        <f t="array" ref="AB1030">_xlfn.IFS(Y1030&lt;DATE(1996,1,1),"",Y1030&lt;DATE(1996,4,1),"Q1",Y1030&lt;DATE(1996,7,1),"Q2",Y1030&gt;=DATE(1996,7,1),"")</f>
        <v/>
      </c>
    </row>
    <row r="1031" spans="1:28" ht="14.4" x14ac:dyDescent="0.55000000000000004">
      <c r="A1031" t="str">
        <f>VLOOKUP(L1031,Customers!$A$2:$B$92,2,FALSE)</f>
        <v>LINO-Delicateses</v>
      </c>
      <c r="B1031" t="str">
        <f>VLOOKUP(L1031,Customers!$A$2:$C$92,3,TRUE)</f>
        <v>Felipe Izquierdo</v>
      </c>
      <c r="C1031" t="str">
        <f t="shared" si="273"/>
        <v>Felipe</v>
      </c>
      <c r="D1031" s="8" t="str">
        <f t="shared" si="274"/>
        <v>Izquierdo</v>
      </c>
      <c r="E1031" s="8" t="str">
        <f t="shared" si="275"/>
        <v>Izquierdo, Felipe</v>
      </c>
      <c r="F1031" s="8" t="str">
        <f t="shared" si="276"/>
        <v>Izquierdo, Felipe</v>
      </c>
      <c r="G1031" s="8" t="str">
        <f t="shared" si="277"/>
        <v>not an outlier</v>
      </c>
      <c r="H1031" s="8" t="str">
        <f t="shared" si="278"/>
        <v>Not</v>
      </c>
      <c r="I1031" s="8" t="str">
        <f t="shared" si="288"/>
        <v>no</v>
      </c>
      <c r="J1031" s="10" t="str">
        <f t="shared" si="279"/>
        <v>no</v>
      </c>
      <c r="K1031" s="10" t="str">
        <f t="shared" si="280"/>
        <v>no</v>
      </c>
      <c r="L1031" t="s">
        <v>363</v>
      </c>
      <c r="M1031">
        <v>10638</v>
      </c>
      <c r="N1031">
        <v>45</v>
      </c>
      <c r="O1031" t="s">
        <v>756</v>
      </c>
      <c r="P1031" t="str">
        <f t="shared" si="281"/>
        <v>LINOD_10638_Røgede sild</v>
      </c>
      <c r="Q1031" t="str">
        <f t="shared" si="282"/>
        <v>10638</v>
      </c>
      <c r="R1031" t="str">
        <f t="shared" si="283"/>
        <v>10638</v>
      </c>
      <c r="S1031" t="str">
        <f t="shared" si="284"/>
        <v>Røgede sild</v>
      </c>
      <c r="T1031">
        <v>9.5</v>
      </c>
      <c r="U1031">
        <v>20</v>
      </c>
      <c r="V1031">
        <v>0</v>
      </c>
      <c r="W1031">
        <f t="shared" si="285"/>
        <v>190</v>
      </c>
      <c r="X1031" t="str">
        <f t="shared" si="286"/>
        <v>No</v>
      </c>
      <c r="Y1031" s="2">
        <v>34962</v>
      </c>
      <c r="Z1031" t="str">
        <f t="shared" si="272"/>
        <v/>
      </c>
      <c r="AA1031" t="str">
        <f t="shared" si="287"/>
        <v/>
      </c>
      <c r="AB1031" t="str" cm="1">
        <f t="array" ref="AB1031">_xlfn.IFS(Y1031&lt;DATE(1996,1,1),"",Y1031&lt;DATE(1996,4,1),"Q1",Y1031&lt;DATE(1996,7,1),"Q2",Y1031&gt;=DATE(1996,7,1),"")</f>
        <v/>
      </c>
    </row>
    <row r="1032" spans="1:28" ht="14.4" x14ac:dyDescent="0.55000000000000004">
      <c r="A1032" t="str">
        <f>VLOOKUP(L1032,Customers!$A$2:$B$92,2,FALSE)</f>
        <v>LINO-Delicateses</v>
      </c>
      <c r="B1032" t="str">
        <f>VLOOKUP(L1032,Customers!$A$2:$C$92,3,TRUE)</f>
        <v>Felipe Izquierdo</v>
      </c>
      <c r="C1032" t="str">
        <f t="shared" si="273"/>
        <v>Felipe</v>
      </c>
      <c r="D1032" s="8" t="str">
        <f t="shared" si="274"/>
        <v>Izquierdo</v>
      </c>
      <c r="E1032" s="8" t="str">
        <f t="shared" si="275"/>
        <v>Izquierdo, Felipe</v>
      </c>
      <c r="F1032" s="8" t="str">
        <f t="shared" si="276"/>
        <v>Izquierdo, Felipe</v>
      </c>
      <c r="G1032" s="8" t="str">
        <f t="shared" si="277"/>
        <v>not an outlier</v>
      </c>
      <c r="H1032" s="8" t="str">
        <f t="shared" si="278"/>
        <v>Not</v>
      </c>
      <c r="I1032" s="8" t="str">
        <f t="shared" si="288"/>
        <v>no</v>
      </c>
      <c r="J1032" s="10" t="str">
        <f t="shared" si="279"/>
        <v>no</v>
      </c>
      <c r="K1032" s="10" t="str">
        <f t="shared" si="280"/>
        <v>no</v>
      </c>
      <c r="L1032" t="s">
        <v>363</v>
      </c>
      <c r="M1032">
        <v>10638</v>
      </c>
      <c r="N1032">
        <v>65</v>
      </c>
      <c r="O1032" t="s">
        <v>689</v>
      </c>
      <c r="P1032" t="str">
        <f t="shared" si="281"/>
        <v>LINOD_10638_Louisiana Fiery Hot Pepper Sauce</v>
      </c>
      <c r="Q1032" t="str">
        <f t="shared" si="282"/>
        <v>10638</v>
      </c>
      <c r="R1032" t="str">
        <f t="shared" si="283"/>
        <v>10638</v>
      </c>
      <c r="S1032" t="str">
        <f t="shared" si="284"/>
        <v>Louisiana Fiery Hot Pepper Sauce</v>
      </c>
      <c r="T1032">
        <v>21.05</v>
      </c>
      <c r="U1032">
        <v>21</v>
      </c>
      <c r="V1032">
        <v>0</v>
      </c>
      <c r="W1032">
        <f t="shared" si="285"/>
        <v>442.05</v>
      </c>
      <c r="X1032" t="str">
        <f t="shared" si="286"/>
        <v>No</v>
      </c>
      <c r="Y1032" s="2">
        <v>34962</v>
      </c>
      <c r="Z1032" t="str">
        <f t="shared" si="272"/>
        <v/>
      </c>
      <c r="AA1032" t="str">
        <f t="shared" si="287"/>
        <v/>
      </c>
      <c r="AB1032" t="str" cm="1">
        <f t="array" ref="AB1032">_xlfn.IFS(Y1032&lt;DATE(1996,1,1),"",Y1032&lt;DATE(1996,4,1),"Q1",Y1032&lt;DATE(1996,7,1),"Q2",Y1032&gt;=DATE(1996,7,1),"")</f>
        <v/>
      </c>
    </row>
    <row r="1033" spans="1:28" ht="14.4" x14ac:dyDescent="0.55000000000000004">
      <c r="A1033" t="str">
        <f>VLOOKUP(L1033,Customers!$A$2:$B$92,2,FALSE)</f>
        <v>LINO-Delicateses</v>
      </c>
      <c r="B1033" t="str">
        <f>VLOOKUP(L1033,Customers!$A$2:$C$92,3,TRUE)</f>
        <v>Felipe Izquierdo</v>
      </c>
      <c r="C1033" t="str">
        <f t="shared" si="273"/>
        <v>Felipe</v>
      </c>
      <c r="D1033" s="8" t="str">
        <f t="shared" si="274"/>
        <v>Izquierdo</v>
      </c>
      <c r="E1033" s="8" t="str">
        <f t="shared" si="275"/>
        <v>Izquierdo, Felipe</v>
      </c>
      <c r="F1033" s="8" t="str">
        <f t="shared" si="276"/>
        <v>Izquierdo, Felipe</v>
      </c>
      <c r="G1033" s="8" t="str">
        <f t="shared" si="277"/>
        <v>not an outlier</v>
      </c>
      <c r="H1033" s="8" t="str">
        <f t="shared" si="278"/>
        <v>Not</v>
      </c>
      <c r="I1033" s="8" t="str">
        <f t="shared" si="288"/>
        <v>no</v>
      </c>
      <c r="J1033" s="10" t="str">
        <f t="shared" si="279"/>
        <v>no</v>
      </c>
      <c r="K1033" s="10" t="str">
        <f t="shared" si="280"/>
        <v>no</v>
      </c>
      <c r="L1033" t="s">
        <v>363</v>
      </c>
      <c r="M1033">
        <v>10638</v>
      </c>
      <c r="N1033">
        <v>72</v>
      </c>
      <c r="O1033" t="s">
        <v>685</v>
      </c>
      <c r="P1033" t="str">
        <f t="shared" si="281"/>
        <v>LINOD_10638_Mozzarella di Giovanni</v>
      </c>
      <c r="Q1033" t="str">
        <f t="shared" si="282"/>
        <v>10638</v>
      </c>
      <c r="R1033" t="str">
        <f t="shared" si="283"/>
        <v>10638</v>
      </c>
      <c r="S1033" t="str">
        <f t="shared" si="284"/>
        <v>Mozzarella di Giovanni</v>
      </c>
      <c r="T1033">
        <v>34.799999999999997</v>
      </c>
      <c r="U1033">
        <v>60</v>
      </c>
      <c r="V1033">
        <v>0</v>
      </c>
      <c r="W1033">
        <f t="shared" si="285"/>
        <v>2088</v>
      </c>
      <c r="X1033" t="str">
        <f t="shared" si="286"/>
        <v>No</v>
      </c>
      <c r="Y1033" s="2">
        <v>34962</v>
      </c>
      <c r="Z1033" t="str">
        <f t="shared" si="272"/>
        <v/>
      </c>
      <c r="AA1033" t="str">
        <f t="shared" si="287"/>
        <v/>
      </c>
      <c r="AB1033" t="str" cm="1">
        <f t="array" ref="AB1033">_xlfn.IFS(Y1033&lt;DATE(1996,1,1),"",Y1033&lt;DATE(1996,4,1),"Q1",Y1033&lt;DATE(1996,7,1),"Q2",Y1033&gt;=DATE(1996,7,1),"")</f>
        <v/>
      </c>
    </row>
    <row r="1034" spans="1:28" ht="14.4" x14ac:dyDescent="0.55000000000000004">
      <c r="A1034" t="str">
        <f>VLOOKUP(L1034,Customers!$A$2:$B$92,2,FALSE)</f>
        <v>Santé Gourmet</v>
      </c>
      <c r="B1034" t="str">
        <f>VLOOKUP(L1034,Customers!$A$2:$C$92,3,TRUE)</f>
        <v>Jonas Bergulfsen</v>
      </c>
      <c r="C1034" t="str">
        <f t="shared" si="273"/>
        <v>Jonas</v>
      </c>
      <c r="D1034" s="8" t="str">
        <f t="shared" si="274"/>
        <v>Bergulfsen</v>
      </c>
      <c r="E1034" s="8" t="str">
        <f t="shared" si="275"/>
        <v>Bergulfsen, Jonas</v>
      </c>
      <c r="F1034" s="8" t="str">
        <f t="shared" si="276"/>
        <v>Bergulfsen, Jonas</v>
      </c>
      <c r="G1034" s="8" t="str">
        <f t="shared" si="277"/>
        <v>not an outlier</v>
      </c>
      <c r="H1034" s="8" t="str">
        <f t="shared" si="278"/>
        <v>Not</v>
      </c>
      <c r="I1034" s="8" t="str">
        <f t="shared" si="288"/>
        <v>no</v>
      </c>
      <c r="J1034" s="10" t="str">
        <f t="shared" si="279"/>
        <v>no</v>
      </c>
      <c r="K1034" s="10" t="str">
        <f t="shared" si="280"/>
        <v>no</v>
      </c>
      <c r="L1034" t="s">
        <v>521</v>
      </c>
      <c r="M1034">
        <v>10639</v>
      </c>
      <c r="N1034">
        <v>18</v>
      </c>
      <c r="O1034" t="s">
        <v>742</v>
      </c>
      <c r="P1034" t="str">
        <f t="shared" si="281"/>
        <v>SANTG_10639_Carnarvon Tigers</v>
      </c>
      <c r="Q1034" t="str">
        <f t="shared" si="282"/>
        <v>10639</v>
      </c>
      <c r="R1034" t="str">
        <f t="shared" si="283"/>
        <v>10639</v>
      </c>
      <c r="S1034" t="str">
        <f t="shared" si="284"/>
        <v>Carnarvon Tigers</v>
      </c>
      <c r="T1034">
        <v>62.5</v>
      </c>
      <c r="U1034">
        <v>8</v>
      </c>
      <c r="V1034">
        <v>0</v>
      </c>
      <c r="W1034">
        <f t="shared" si="285"/>
        <v>500</v>
      </c>
      <c r="X1034" t="str">
        <f t="shared" si="286"/>
        <v>No</v>
      </c>
      <c r="Y1034" s="2">
        <v>34962</v>
      </c>
      <c r="Z1034" t="str">
        <f t="shared" si="272"/>
        <v/>
      </c>
      <c r="AA1034" t="str">
        <f t="shared" si="287"/>
        <v/>
      </c>
      <c r="AB1034" t="str" cm="1">
        <f t="array" ref="AB1034">_xlfn.IFS(Y1034&lt;DATE(1996,1,1),"",Y1034&lt;DATE(1996,4,1),"Q1",Y1034&lt;DATE(1996,7,1),"Q2",Y1034&gt;=DATE(1996,7,1),"")</f>
        <v/>
      </c>
    </row>
    <row r="1035" spans="1:28" ht="14.4" x14ac:dyDescent="0.55000000000000004">
      <c r="A1035" t="str">
        <f>VLOOKUP(L1035,Customers!$A$2:$B$92,2,FALSE)</f>
        <v>Die Wandernde Kuh</v>
      </c>
      <c r="B1035" t="str">
        <f>VLOOKUP(L1035,Customers!$A$2:$C$92,3,TRUE)</f>
        <v>Rita Müller</v>
      </c>
      <c r="C1035" t="str">
        <f t="shared" si="273"/>
        <v>Rita</v>
      </c>
      <c r="D1035" s="8" t="str">
        <f t="shared" si="274"/>
        <v>Müller</v>
      </c>
      <c r="E1035" s="8" t="str">
        <f t="shared" si="275"/>
        <v>Müller, Rita</v>
      </c>
      <c r="F1035" s="8" t="str">
        <f t="shared" si="276"/>
        <v>Müller, Rita</v>
      </c>
      <c r="G1035" s="8" t="str">
        <f t="shared" si="277"/>
        <v>not an outlier</v>
      </c>
      <c r="H1035" s="8" t="str">
        <f t="shared" si="278"/>
        <v>Not</v>
      </c>
      <c r="I1035" s="8" t="str">
        <f t="shared" si="288"/>
        <v>no</v>
      </c>
      <c r="J1035" s="10" t="str">
        <f t="shared" si="279"/>
        <v>no</v>
      </c>
      <c r="K1035" s="10" t="str">
        <f t="shared" si="280"/>
        <v>no</v>
      </c>
      <c r="L1035" t="s">
        <v>633</v>
      </c>
      <c r="M1035">
        <v>10640</v>
      </c>
      <c r="N1035">
        <v>69</v>
      </c>
      <c r="O1035" t="s">
        <v>743</v>
      </c>
      <c r="P1035" t="str">
        <f t="shared" si="281"/>
        <v>WANDK_10640_Gudbrandsdalsost</v>
      </c>
      <c r="Q1035" t="str">
        <f t="shared" si="282"/>
        <v>10640</v>
      </c>
      <c r="R1035" t="str">
        <f t="shared" si="283"/>
        <v>10640</v>
      </c>
      <c r="S1035" t="str">
        <f t="shared" si="284"/>
        <v>Gudbrandsdalsost</v>
      </c>
      <c r="T1035">
        <v>36</v>
      </c>
      <c r="U1035">
        <v>20</v>
      </c>
      <c r="V1035">
        <v>0.25</v>
      </c>
      <c r="W1035">
        <f t="shared" si="285"/>
        <v>540</v>
      </c>
      <c r="X1035" t="str">
        <f t="shared" si="286"/>
        <v>No</v>
      </c>
      <c r="Y1035" s="2">
        <v>34963</v>
      </c>
      <c r="Z1035" t="str">
        <f t="shared" si="272"/>
        <v/>
      </c>
      <c r="AA1035" t="str">
        <f t="shared" si="287"/>
        <v/>
      </c>
      <c r="AB1035" t="str" cm="1">
        <f t="array" ref="AB1035">_xlfn.IFS(Y1035&lt;DATE(1996,1,1),"",Y1035&lt;DATE(1996,4,1),"Q1",Y1035&lt;DATE(1996,7,1),"Q2",Y1035&gt;=DATE(1996,7,1),"")</f>
        <v/>
      </c>
    </row>
    <row r="1036" spans="1:28" ht="14.4" x14ac:dyDescent="0.55000000000000004">
      <c r="A1036" t="str">
        <f>VLOOKUP(L1036,Customers!$A$2:$B$92,2,FALSE)</f>
        <v>Die Wandernde Kuh</v>
      </c>
      <c r="B1036" t="str">
        <f>VLOOKUP(L1036,Customers!$A$2:$C$92,3,TRUE)</f>
        <v>Rita Müller</v>
      </c>
      <c r="C1036" t="str">
        <f t="shared" si="273"/>
        <v>Rita</v>
      </c>
      <c r="D1036" s="8" t="str">
        <f t="shared" si="274"/>
        <v>Müller</v>
      </c>
      <c r="E1036" s="8" t="str">
        <f t="shared" si="275"/>
        <v>Müller, Rita</v>
      </c>
      <c r="F1036" s="8" t="str">
        <f t="shared" si="276"/>
        <v>Müller, Rita</v>
      </c>
      <c r="G1036" s="8" t="str">
        <f t="shared" si="277"/>
        <v>not an outlier</v>
      </c>
      <c r="H1036" s="8" t="str">
        <f t="shared" si="278"/>
        <v>Not</v>
      </c>
      <c r="I1036" s="8" t="str">
        <f t="shared" si="288"/>
        <v>no</v>
      </c>
      <c r="J1036" s="10" t="str">
        <f t="shared" si="279"/>
        <v>no</v>
      </c>
      <c r="K1036" s="10" t="str">
        <f t="shared" si="280"/>
        <v>no</v>
      </c>
      <c r="L1036" t="s">
        <v>633</v>
      </c>
      <c r="M1036">
        <v>10640</v>
      </c>
      <c r="N1036">
        <v>70</v>
      </c>
      <c r="O1036" t="s">
        <v>713</v>
      </c>
      <c r="P1036" t="str">
        <f t="shared" si="281"/>
        <v>WANDK_10640_Outback Lager</v>
      </c>
      <c r="Q1036" t="str">
        <f t="shared" si="282"/>
        <v>10640</v>
      </c>
      <c r="R1036" t="str">
        <f t="shared" si="283"/>
        <v>10640</v>
      </c>
      <c r="S1036" t="str">
        <f t="shared" si="284"/>
        <v>Outback Lager</v>
      </c>
      <c r="T1036">
        <v>15</v>
      </c>
      <c r="U1036">
        <v>15</v>
      </c>
      <c r="V1036">
        <v>0.25</v>
      </c>
      <c r="W1036">
        <f t="shared" si="285"/>
        <v>168.75</v>
      </c>
      <c r="X1036" t="str">
        <f t="shared" si="286"/>
        <v>No</v>
      </c>
      <c r="Y1036" s="2">
        <v>34963</v>
      </c>
      <c r="Z1036" t="str">
        <f t="shared" si="272"/>
        <v/>
      </c>
      <c r="AA1036" t="str">
        <f t="shared" si="287"/>
        <v/>
      </c>
      <c r="AB1036" t="str" cm="1">
        <f t="array" ref="AB1036">_xlfn.IFS(Y1036&lt;DATE(1996,1,1),"",Y1036&lt;DATE(1996,4,1),"Q1",Y1036&lt;DATE(1996,7,1),"Q2",Y1036&gt;=DATE(1996,7,1),"")</f>
        <v/>
      </c>
    </row>
    <row r="1037" spans="1:28" ht="14.4" x14ac:dyDescent="0.55000000000000004">
      <c r="A1037" t="str">
        <f>VLOOKUP(L1037,Customers!$A$2:$B$92,2,FALSE)</f>
        <v>HILARIÓN-Abastos</v>
      </c>
      <c r="B1037" t="str">
        <f>VLOOKUP(L1037,Customers!$A$2:$C$92,3,TRUE)</f>
        <v>Carlos Hernández</v>
      </c>
      <c r="C1037" t="str">
        <f t="shared" si="273"/>
        <v>Carlos</v>
      </c>
      <c r="D1037" s="8" t="str">
        <f t="shared" si="274"/>
        <v>Hernández</v>
      </c>
      <c r="E1037" s="8" t="str">
        <f t="shared" si="275"/>
        <v>Hernández, Carlos</v>
      </c>
      <c r="F1037" s="8" t="str">
        <f t="shared" si="276"/>
        <v>Hernández, Carlos</v>
      </c>
      <c r="G1037" s="8" t="str">
        <f t="shared" si="277"/>
        <v>not an outlier</v>
      </c>
      <c r="H1037" s="8" t="str">
        <f t="shared" si="278"/>
        <v>Not</v>
      </c>
      <c r="I1037" s="8" t="str">
        <f t="shared" si="288"/>
        <v>no</v>
      </c>
      <c r="J1037" s="10" t="str">
        <f t="shared" si="279"/>
        <v>no</v>
      </c>
      <c r="K1037" s="10" t="str">
        <f t="shared" si="280"/>
        <v>no</v>
      </c>
      <c r="L1037" t="s">
        <v>273</v>
      </c>
      <c r="M1037">
        <v>10641</v>
      </c>
      <c r="N1037">
        <v>2</v>
      </c>
      <c r="O1037" t="s">
        <v>701</v>
      </c>
      <c r="P1037" t="str">
        <f t="shared" si="281"/>
        <v>HILAA_10641_Chang</v>
      </c>
      <c r="Q1037" t="str">
        <f t="shared" si="282"/>
        <v>10641</v>
      </c>
      <c r="R1037" t="str">
        <f t="shared" si="283"/>
        <v>10641</v>
      </c>
      <c r="S1037" t="str">
        <f t="shared" si="284"/>
        <v>Chang</v>
      </c>
      <c r="T1037">
        <v>19</v>
      </c>
      <c r="U1037">
        <v>50</v>
      </c>
      <c r="V1037">
        <v>0</v>
      </c>
      <c r="W1037">
        <f t="shared" si="285"/>
        <v>950</v>
      </c>
      <c r="X1037" t="str">
        <f t="shared" si="286"/>
        <v>No</v>
      </c>
      <c r="Y1037" s="2">
        <v>34964</v>
      </c>
      <c r="Z1037" t="str">
        <f t="shared" si="272"/>
        <v/>
      </c>
      <c r="AA1037" t="str">
        <f t="shared" si="287"/>
        <v/>
      </c>
      <c r="AB1037" t="str" cm="1">
        <f t="array" ref="AB1037">_xlfn.IFS(Y1037&lt;DATE(1996,1,1),"",Y1037&lt;DATE(1996,4,1),"Q1",Y1037&lt;DATE(1996,7,1),"Q2",Y1037&gt;=DATE(1996,7,1),"")</f>
        <v/>
      </c>
    </row>
    <row r="1038" spans="1:28" ht="14.4" x14ac:dyDescent="0.55000000000000004">
      <c r="A1038" t="str">
        <f>VLOOKUP(L1038,Customers!$A$2:$B$92,2,FALSE)</f>
        <v>HILARIÓN-Abastos</v>
      </c>
      <c r="B1038" t="str">
        <f>VLOOKUP(L1038,Customers!$A$2:$C$92,3,TRUE)</f>
        <v>Carlos Hernández</v>
      </c>
      <c r="C1038" t="str">
        <f t="shared" si="273"/>
        <v>Carlos</v>
      </c>
      <c r="D1038" s="8" t="str">
        <f t="shared" si="274"/>
        <v>Hernández</v>
      </c>
      <c r="E1038" s="8" t="str">
        <f t="shared" si="275"/>
        <v>Hernández, Carlos</v>
      </c>
      <c r="F1038" s="8" t="str">
        <f t="shared" si="276"/>
        <v>Hernández, Carlos</v>
      </c>
      <c r="G1038" s="8" t="str">
        <f t="shared" si="277"/>
        <v>not an outlier</v>
      </c>
      <c r="H1038" s="8" t="str">
        <f t="shared" si="278"/>
        <v>Not</v>
      </c>
      <c r="I1038" s="8" t="str">
        <f t="shared" si="288"/>
        <v>no</v>
      </c>
      <c r="J1038" s="10" t="str">
        <f t="shared" si="279"/>
        <v>no</v>
      </c>
      <c r="K1038" s="10" t="str">
        <f t="shared" si="280"/>
        <v>no</v>
      </c>
      <c r="L1038" t="s">
        <v>273</v>
      </c>
      <c r="M1038">
        <v>10641</v>
      </c>
      <c r="N1038">
        <v>40</v>
      </c>
      <c r="O1038" t="s">
        <v>720</v>
      </c>
      <c r="P1038" t="str">
        <f t="shared" si="281"/>
        <v>HILAA_10641_Boston Crab Meat</v>
      </c>
      <c r="Q1038" t="str">
        <f t="shared" si="282"/>
        <v>10641</v>
      </c>
      <c r="R1038" t="str">
        <f t="shared" si="283"/>
        <v>10641</v>
      </c>
      <c r="S1038" t="str">
        <f t="shared" si="284"/>
        <v>Boston Crab Meat</v>
      </c>
      <c r="T1038">
        <v>18.399999999999999</v>
      </c>
      <c r="U1038">
        <v>60</v>
      </c>
      <c r="V1038">
        <v>0</v>
      </c>
      <c r="W1038">
        <f t="shared" si="285"/>
        <v>1104</v>
      </c>
      <c r="X1038" t="str">
        <f t="shared" si="286"/>
        <v>No</v>
      </c>
      <c r="Y1038" s="2">
        <v>34964</v>
      </c>
      <c r="Z1038" t="str">
        <f t="shared" si="272"/>
        <v/>
      </c>
      <c r="AA1038" t="str">
        <f t="shared" si="287"/>
        <v/>
      </c>
      <c r="AB1038" t="str" cm="1">
        <f t="array" ref="AB1038">_xlfn.IFS(Y1038&lt;DATE(1996,1,1),"",Y1038&lt;DATE(1996,4,1),"Q1",Y1038&lt;DATE(1996,7,1),"Q2",Y1038&gt;=DATE(1996,7,1),"")</f>
        <v/>
      </c>
    </row>
    <row r="1039" spans="1:28" ht="14.4" x14ac:dyDescent="0.55000000000000004">
      <c r="A1039" t="str">
        <f>VLOOKUP(L1039,Customers!$A$2:$B$92,2,FALSE)</f>
        <v>Simons bistro</v>
      </c>
      <c r="B1039" t="str">
        <f>VLOOKUP(L1039,Customers!$A$2:$C$92,3,TRUE)</f>
        <v>Jytte Petersen</v>
      </c>
      <c r="C1039" t="str">
        <f t="shared" si="273"/>
        <v>Jytte</v>
      </c>
      <c r="D1039" s="8" t="str">
        <f t="shared" si="274"/>
        <v>Petersen</v>
      </c>
      <c r="E1039" s="8" t="str">
        <f t="shared" si="275"/>
        <v>Petersen, Jytte</v>
      </c>
      <c r="F1039" s="8" t="str">
        <f t="shared" si="276"/>
        <v>Petersen, Jytte</v>
      </c>
      <c r="G1039" s="8" t="str">
        <f t="shared" si="277"/>
        <v>not an outlier</v>
      </c>
      <c r="H1039" s="8" t="str">
        <f t="shared" si="278"/>
        <v>Not</v>
      </c>
      <c r="I1039" s="8" t="str">
        <f t="shared" si="288"/>
        <v>no</v>
      </c>
      <c r="J1039" s="10" t="str">
        <f t="shared" si="279"/>
        <v>no</v>
      </c>
      <c r="K1039" s="10" t="str">
        <f t="shared" si="280"/>
        <v>no</v>
      </c>
      <c r="L1039" t="s">
        <v>543</v>
      </c>
      <c r="M1039">
        <v>10642</v>
      </c>
      <c r="N1039">
        <v>21</v>
      </c>
      <c r="O1039" t="s">
        <v>710</v>
      </c>
      <c r="P1039" t="str">
        <f t="shared" si="281"/>
        <v>SIMOB_10642_Sir Rodney's Scones</v>
      </c>
      <c r="Q1039" t="str">
        <f t="shared" si="282"/>
        <v>10642</v>
      </c>
      <c r="R1039" t="str">
        <f t="shared" si="283"/>
        <v>10642</v>
      </c>
      <c r="S1039" t="str">
        <f t="shared" si="284"/>
        <v>Sir Rodney's Scones</v>
      </c>
      <c r="T1039">
        <v>10</v>
      </c>
      <c r="U1039">
        <v>30</v>
      </c>
      <c r="V1039">
        <v>0.2</v>
      </c>
      <c r="W1039">
        <f t="shared" si="285"/>
        <v>240</v>
      </c>
      <c r="X1039" t="str">
        <f t="shared" si="286"/>
        <v>No</v>
      </c>
      <c r="Y1039" s="2">
        <v>34964</v>
      </c>
      <c r="Z1039" t="str">
        <f t="shared" si="272"/>
        <v/>
      </c>
      <c r="AA1039" t="str">
        <f t="shared" si="287"/>
        <v/>
      </c>
      <c r="AB1039" t="str" cm="1">
        <f t="array" ref="AB1039">_xlfn.IFS(Y1039&lt;DATE(1996,1,1),"",Y1039&lt;DATE(1996,4,1),"Q1",Y1039&lt;DATE(1996,7,1),"Q2",Y1039&gt;=DATE(1996,7,1),"")</f>
        <v/>
      </c>
    </row>
    <row r="1040" spans="1:28" ht="14.4" x14ac:dyDescent="0.55000000000000004">
      <c r="A1040" t="str">
        <f>VLOOKUP(L1040,Customers!$A$2:$B$92,2,FALSE)</f>
        <v>Simons bistro</v>
      </c>
      <c r="B1040" t="str">
        <f>VLOOKUP(L1040,Customers!$A$2:$C$92,3,TRUE)</f>
        <v>Jytte Petersen</v>
      </c>
      <c r="C1040" t="str">
        <f t="shared" si="273"/>
        <v>Jytte</v>
      </c>
      <c r="D1040" s="8" t="str">
        <f t="shared" si="274"/>
        <v>Petersen</v>
      </c>
      <c r="E1040" s="8" t="str">
        <f t="shared" si="275"/>
        <v>Petersen, Jytte</v>
      </c>
      <c r="F1040" s="8" t="str">
        <f t="shared" si="276"/>
        <v>Petersen, Jytte</v>
      </c>
      <c r="G1040" s="8" t="str">
        <f t="shared" si="277"/>
        <v>not an outlier</v>
      </c>
      <c r="H1040" s="8" t="str">
        <f t="shared" si="278"/>
        <v>Not</v>
      </c>
      <c r="I1040" s="8" t="str">
        <f t="shared" si="288"/>
        <v>no</v>
      </c>
      <c r="J1040" s="10" t="str">
        <f t="shared" si="279"/>
        <v>no</v>
      </c>
      <c r="K1040" s="10" t="str">
        <f t="shared" si="280"/>
        <v>no</v>
      </c>
      <c r="L1040" t="s">
        <v>543</v>
      </c>
      <c r="M1040">
        <v>10642</v>
      </c>
      <c r="N1040">
        <v>61</v>
      </c>
      <c r="O1040" t="s">
        <v>758</v>
      </c>
      <c r="P1040" t="str">
        <f t="shared" si="281"/>
        <v>SIMOB_10642_Sirop d'érable</v>
      </c>
      <c r="Q1040" t="str">
        <f t="shared" si="282"/>
        <v>10642</v>
      </c>
      <c r="R1040" t="str">
        <f t="shared" si="283"/>
        <v>10642</v>
      </c>
      <c r="S1040" t="str">
        <f t="shared" si="284"/>
        <v>Sirop d'érable</v>
      </c>
      <c r="T1040">
        <v>28.5</v>
      </c>
      <c r="U1040">
        <v>20</v>
      </c>
      <c r="V1040">
        <v>0.2</v>
      </c>
      <c r="W1040">
        <f t="shared" si="285"/>
        <v>456</v>
      </c>
      <c r="X1040" t="str">
        <f t="shared" si="286"/>
        <v>No</v>
      </c>
      <c r="Y1040" s="2">
        <v>34964</v>
      </c>
      <c r="Z1040" t="str">
        <f t="shared" si="272"/>
        <v/>
      </c>
      <c r="AA1040" t="str">
        <f t="shared" si="287"/>
        <v/>
      </c>
      <c r="AB1040" t="str" cm="1">
        <f t="array" ref="AB1040">_xlfn.IFS(Y1040&lt;DATE(1996,1,1),"",Y1040&lt;DATE(1996,4,1),"Q1",Y1040&lt;DATE(1996,7,1),"Q2",Y1040&gt;=DATE(1996,7,1),"")</f>
        <v/>
      </c>
    </row>
    <row r="1041" spans="1:28" ht="14.4" x14ac:dyDescent="0.55000000000000004">
      <c r="A1041" t="str">
        <f>VLOOKUP(L1041,Customers!$A$2:$B$92,2,FALSE)</f>
        <v>Alfreds Futterkiste</v>
      </c>
      <c r="B1041" t="str">
        <f>VLOOKUP(L1041,Customers!$A$2:$C$92,3,TRUE)</f>
        <v>Maria Anders</v>
      </c>
      <c r="C1041" t="str">
        <f t="shared" si="273"/>
        <v>Maria</v>
      </c>
      <c r="D1041" s="8" t="str">
        <f t="shared" si="274"/>
        <v>Anders</v>
      </c>
      <c r="E1041" s="8" t="str">
        <f t="shared" si="275"/>
        <v>Anders, Maria</v>
      </c>
      <c r="F1041" s="8" t="str">
        <f t="shared" si="276"/>
        <v>Anders, Maria</v>
      </c>
      <c r="G1041" s="8" t="str">
        <f t="shared" si="277"/>
        <v>not an outlier</v>
      </c>
      <c r="H1041" s="8" t="str">
        <f t="shared" si="278"/>
        <v>Not</v>
      </c>
      <c r="I1041" s="8" t="str">
        <f t="shared" si="288"/>
        <v>no</v>
      </c>
      <c r="J1041" s="10" t="str">
        <f t="shared" si="279"/>
        <v>no</v>
      </c>
      <c r="K1041" s="10" t="str">
        <f t="shared" si="280"/>
        <v>no</v>
      </c>
      <c r="L1041" t="s">
        <v>11</v>
      </c>
      <c r="M1041">
        <v>10643</v>
      </c>
      <c r="N1041">
        <v>28</v>
      </c>
      <c r="O1041" t="s">
        <v>727</v>
      </c>
      <c r="P1041" t="str">
        <f t="shared" si="281"/>
        <v>ALFKI_10643_Rössle Sauerkraut</v>
      </c>
      <c r="Q1041" t="str">
        <f t="shared" si="282"/>
        <v>10643</v>
      </c>
      <c r="R1041" t="str">
        <f t="shared" si="283"/>
        <v>10643</v>
      </c>
      <c r="S1041" t="str">
        <f t="shared" si="284"/>
        <v>Rössle Sauerkraut</v>
      </c>
      <c r="T1041">
        <v>45.6</v>
      </c>
      <c r="U1041">
        <v>15</v>
      </c>
      <c r="V1041">
        <v>0.25</v>
      </c>
      <c r="W1041">
        <f t="shared" si="285"/>
        <v>513</v>
      </c>
      <c r="X1041" t="str">
        <f t="shared" si="286"/>
        <v>No</v>
      </c>
      <c r="Y1041" s="2">
        <v>34967</v>
      </c>
      <c r="Z1041" t="str">
        <f t="shared" si="272"/>
        <v/>
      </c>
      <c r="AA1041" t="str">
        <f t="shared" si="287"/>
        <v/>
      </c>
      <c r="AB1041" t="str" cm="1">
        <f t="array" ref="AB1041">_xlfn.IFS(Y1041&lt;DATE(1996,1,1),"",Y1041&lt;DATE(1996,4,1),"Q1",Y1041&lt;DATE(1996,7,1),"Q2",Y1041&gt;=DATE(1996,7,1),"")</f>
        <v/>
      </c>
    </row>
    <row r="1042" spans="1:28" ht="14.4" x14ac:dyDescent="0.55000000000000004">
      <c r="A1042" t="str">
        <f>VLOOKUP(L1042,Customers!$A$2:$B$92,2,FALSE)</f>
        <v>Alfreds Futterkiste</v>
      </c>
      <c r="B1042" t="str">
        <f>VLOOKUP(L1042,Customers!$A$2:$C$92,3,TRUE)</f>
        <v>Maria Anders</v>
      </c>
      <c r="C1042" t="str">
        <f t="shared" si="273"/>
        <v>Maria</v>
      </c>
      <c r="D1042" s="8" t="str">
        <f t="shared" si="274"/>
        <v>Anders</v>
      </c>
      <c r="E1042" s="8" t="str">
        <f t="shared" si="275"/>
        <v>Anders, Maria</v>
      </c>
      <c r="F1042" s="8" t="str">
        <f t="shared" si="276"/>
        <v>Anders, Maria</v>
      </c>
      <c r="G1042" s="8" t="str">
        <f t="shared" si="277"/>
        <v>not an outlier</v>
      </c>
      <c r="H1042" s="8" t="str">
        <f t="shared" si="278"/>
        <v>Not</v>
      </c>
      <c r="I1042" s="8" t="str">
        <f t="shared" si="288"/>
        <v>no</v>
      </c>
      <c r="J1042" s="10" t="str">
        <f t="shared" si="279"/>
        <v>no</v>
      </c>
      <c r="K1042" s="10" t="str">
        <f t="shared" si="280"/>
        <v>no</v>
      </c>
      <c r="L1042" t="s">
        <v>11</v>
      </c>
      <c r="M1042">
        <v>10643</v>
      </c>
      <c r="N1042">
        <v>39</v>
      </c>
      <c r="O1042" t="s">
        <v>696</v>
      </c>
      <c r="P1042" t="str">
        <f t="shared" si="281"/>
        <v>ALFKI_10643_Chartreuse verte</v>
      </c>
      <c r="Q1042" t="str">
        <f t="shared" si="282"/>
        <v>10643</v>
      </c>
      <c r="R1042" t="str">
        <f t="shared" si="283"/>
        <v>10643</v>
      </c>
      <c r="S1042" t="str">
        <f t="shared" si="284"/>
        <v>Chartreuse verte</v>
      </c>
      <c r="T1042">
        <v>18</v>
      </c>
      <c r="U1042">
        <v>21</v>
      </c>
      <c r="V1042">
        <v>0.25</v>
      </c>
      <c r="W1042">
        <f t="shared" si="285"/>
        <v>283.5</v>
      </c>
      <c r="X1042" t="str">
        <f t="shared" si="286"/>
        <v>No</v>
      </c>
      <c r="Y1042" s="2">
        <v>34967</v>
      </c>
      <c r="Z1042" t="str">
        <f t="shared" si="272"/>
        <v/>
      </c>
      <c r="AA1042" t="str">
        <f t="shared" si="287"/>
        <v/>
      </c>
      <c r="AB1042" t="str" cm="1">
        <f t="array" ref="AB1042">_xlfn.IFS(Y1042&lt;DATE(1996,1,1),"",Y1042&lt;DATE(1996,4,1),"Q1",Y1042&lt;DATE(1996,7,1),"Q2",Y1042&gt;=DATE(1996,7,1),"")</f>
        <v/>
      </c>
    </row>
    <row r="1043" spans="1:28" ht="14.4" x14ac:dyDescent="0.55000000000000004">
      <c r="A1043" t="str">
        <f>VLOOKUP(L1043,Customers!$A$2:$B$92,2,FALSE)</f>
        <v>Alfreds Futterkiste</v>
      </c>
      <c r="B1043" t="str">
        <f>VLOOKUP(L1043,Customers!$A$2:$C$92,3,TRUE)</f>
        <v>Maria Anders</v>
      </c>
      <c r="C1043" t="str">
        <f t="shared" si="273"/>
        <v>Maria</v>
      </c>
      <c r="D1043" s="8" t="str">
        <f t="shared" si="274"/>
        <v>Anders</v>
      </c>
      <c r="E1043" s="8" t="str">
        <f t="shared" si="275"/>
        <v>Anders, Maria</v>
      </c>
      <c r="F1043" s="8" t="str">
        <f t="shared" si="276"/>
        <v>Anders, Maria</v>
      </c>
      <c r="G1043" s="8" t="str">
        <f t="shared" si="277"/>
        <v>not an outlier</v>
      </c>
      <c r="H1043" s="8" t="str">
        <f t="shared" si="278"/>
        <v>Not</v>
      </c>
      <c r="I1043" s="8" t="str">
        <f t="shared" si="288"/>
        <v>no</v>
      </c>
      <c r="J1043" s="10" t="str">
        <f t="shared" si="279"/>
        <v>no</v>
      </c>
      <c r="K1043" s="10" t="str">
        <f t="shared" si="280"/>
        <v>no</v>
      </c>
      <c r="L1043" t="s">
        <v>11</v>
      </c>
      <c r="M1043">
        <v>10643</v>
      </c>
      <c r="N1043">
        <v>46</v>
      </c>
      <c r="O1043" t="s">
        <v>737</v>
      </c>
      <c r="P1043" t="str">
        <f t="shared" si="281"/>
        <v>ALFKI_10643_Spegesild</v>
      </c>
      <c r="Q1043" t="str">
        <f t="shared" si="282"/>
        <v>10643</v>
      </c>
      <c r="R1043" t="str">
        <f t="shared" si="283"/>
        <v>10643</v>
      </c>
      <c r="S1043" t="str">
        <f t="shared" si="284"/>
        <v>Spegesild</v>
      </c>
      <c r="T1043">
        <v>12</v>
      </c>
      <c r="U1043">
        <v>2</v>
      </c>
      <c r="V1043">
        <v>0.25</v>
      </c>
      <c r="W1043">
        <f t="shared" si="285"/>
        <v>18</v>
      </c>
      <c r="X1043" t="str">
        <f t="shared" si="286"/>
        <v>No</v>
      </c>
      <c r="Y1043" s="2">
        <v>34967</v>
      </c>
      <c r="Z1043" t="str">
        <f t="shared" si="272"/>
        <v/>
      </c>
      <c r="AA1043" t="str">
        <f t="shared" si="287"/>
        <v/>
      </c>
      <c r="AB1043" t="str" cm="1">
        <f t="array" ref="AB1043">_xlfn.IFS(Y1043&lt;DATE(1996,1,1),"",Y1043&lt;DATE(1996,4,1),"Q1",Y1043&lt;DATE(1996,7,1),"Q2",Y1043&gt;=DATE(1996,7,1),"")</f>
        <v/>
      </c>
    </row>
    <row r="1044" spans="1:28" ht="14.4" x14ac:dyDescent="0.55000000000000004">
      <c r="A1044" t="str">
        <f>VLOOKUP(L1044,Customers!$A$2:$B$92,2,FALSE)</f>
        <v>Wellington Importadora</v>
      </c>
      <c r="B1044" t="str">
        <f>VLOOKUP(L1044,Customers!$A$2:$C$92,3,TRUE)</f>
        <v>Paula Parente</v>
      </c>
      <c r="C1044" t="str">
        <f t="shared" si="273"/>
        <v>Paula</v>
      </c>
      <c r="D1044" s="8" t="str">
        <f t="shared" si="274"/>
        <v>Parente</v>
      </c>
      <c r="E1044" s="8" t="str">
        <f t="shared" si="275"/>
        <v>Parente, Paula</v>
      </c>
      <c r="F1044" s="8" t="str">
        <f t="shared" si="276"/>
        <v>Parente, Paula</v>
      </c>
      <c r="G1044" s="8" t="str">
        <f t="shared" si="277"/>
        <v>not an outlier</v>
      </c>
      <c r="H1044" s="8" t="str">
        <f t="shared" si="278"/>
        <v>Not</v>
      </c>
      <c r="I1044" s="8" t="str">
        <f t="shared" si="288"/>
        <v>no</v>
      </c>
      <c r="J1044" s="10" t="str">
        <f t="shared" si="279"/>
        <v>no</v>
      </c>
      <c r="K1044" s="10" t="str">
        <f t="shared" si="280"/>
        <v>no</v>
      </c>
      <c r="L1044" t="s">
        <v>647</v>
      </c>
      <c r="M1044">
        <v>10644</v>
      </c>
      <c r="N1044">
        <v>18</v>
      </c>
      <c r="O1044" t="s">
        <v>742</v>
      </c>
      <c r="P1044" t="str">
        <f t="shared" si="281"/>
        <v>WELLI_10644_Carnarvon Tigers</v>
      </c>
      <c r="Q1044" t="str">
        <f t="shared" si="282"/>
        <v>10644</v>
      </c>
      <c r="R1044" t="str">
        <f t="shared" si="283"/>
        <v>10644</v>
      </c>
      <c r="S1044" t="str">
        <f t="shared" si="284"/>
        <v>Carnarvon Tigers</v>
      </c>
      <c r="T1044">
        <v>62.5</v>
      </c>
      <c r="U1044">
        <v>4</v>
      </c>
      <c r="V1044">
        <v>0.1</v>
      </c>
      <c r="W1044">
        <f t="shared" si="285"/>
        <v>225</v>
      </c>
      <c r="X1044" t="str">
        <f t="shared" si="286"/>
        <v>No</v>
      </c>
      <c r="Y1044" s="2">
        <v>34967</v>
      </c>
      <c r="Z1044" t="str">
        <f t="shared" si="272"/>
        <v/>
      </c>
      <c r="AA1044" t="str">
        <f t="shared" si="287"/>
        <v/>
      </c>
      <c r="AB1044" t="str" cm="1">
        <f t="array" ref="AB1044">_xlfn.IFS(Y1044&lt;DATE(1996,1,1),"",Y1044&lt;DATE(1996,4,1),"Q1",Y1044&lt;DATE(1996,7,1),"Q2",Y1044&gt;=DATE(1996,7,1),"")</f>
        <v/>
      </c>
    </row>
    <row r="1045" spans="1:28" ht="14.4" x14ac:dyDescent="0.55000000000000004">
      <c r="A1045" t="str">
        <f>VLOOKUP(L1045,Customers!$A$2:$B$92,2,FALSE)</f>
        <v>Wellington Importadora</v>
      </c>
      <c r="B1045" t="str">
        <f>VLOOKUP(L1045,Customers!$A$2:$C$92,3,TRUE)</f>
        <v>Paula Parente</v>
      </c>
      <c r="C1045" t="str">
        <f t="shared" si="273"/>
        <v>Paula</v>
      </c>
      <c r="D1045" s="8" t="str">
        <f t="shared" si="274"/>
        <v>Parente</v>
      </c>
      <c r="E1045" s="8" t="str">
        <f t="shared" si="275"/>
        <v>Parente, Paula</v>
      </c>
      <c r="F1045" s="8" t="str">
        <f t="shared" si="276"/>
        <v>Parente, Paula</v>
      </c>
      <c r="G1045" s="8" t="str">
        <f t="shared" si="277"/>
        <v>not an outlier</v>
      </c>
      <c r="H1045" s="8" t="str">
        <f t="shared" si="278"/>
        <v>Not</v>
      </c>
      <c r="I1045" s="8" t="str">
        <f t="shared" si="288"/>
        <v>no</v>
      </c>
      <c r="J1045" s="10" t="str">
        <f t="shared" si="279"/>
        <v>no</v>
      </c>
      <c r="K1045" s="10" t="str">
        <f t="shared" si="280"/>
        <v>no</v>
      </c>
      <c r="L1045" t="s">
        <v>647</v>
      </c>
      <c r="M1045">
        <v>10644</v>
      </c>
      <c r="N1045">
        <v>43</v>
      </c>
      <c r="O1045" t="s">
        <v>723</v>
      </c>
      <c r="P1045" t="str">
        <f t="shared" si="281"/>
        <v>WELLI_10644_Ipoh Coffee</v>
      </c>
      <c r="Q1045" t="str">
        <f t="shared" si="282"/>
        <v>10644</v>
      </c>
      <c r="R1045" t="str">
        <f t="shared" si="283"/>
        <v>10644</v>
      </c>
      <c r="S1045" t="str">
        <f t="shared" si="284"/>
        <v>Ipoh Coffee</v>
      </c>
      <c r="T1045">
        <v>46</v>
      </c>
      <c r="U1045">
        <v>20</v>
      </c>
      <c r="V1045">
        <v>0</v>
      </c>
      <c r="W1045">
        <f t="shared" si="285"/>
        <v>920</v>
      </c>
      <c r="X1045" t="str">
        <f t="shared" si="286"/>
        <v>No</v>
      </c>
      <c r="Y1045" s="2">
        <v>34967</v>
      </c>
      <c r="Z1045" t="str">
        <f t="shared" si="272"/>
        <v/>
      </c>
      <c r="AA1045" t="str">
        <f t="shared" si="287"/>
        <v/>
      </c>
      <c r="AB1045" t="str" cm="1">
        <f t="array" ref="AB1045">_xlfn.IFS(Y1045&lt;DATE(1996,1,1),"",Y1045&lt;DATE(1996,4,1),"Q1",Y1045&lt;DATE(1996,7,1),"Q2",Y1045&gt;=DATE(1996,7,1),"")</f>
        <v/>
      </c>
    </row>
    <row r="1046" spans="1:28" ht="14.4" x14ac:dyDescent="0.55000000000000004">
      <c r="A1046" t="str">
        <f>VLOOKUP(L1046,Customers!$A$2:$B$92,2,FALSE)</f>
        <v>Wellington Importadora</v>
      </c>
      <c r="B1046" t="str">
        <f>VLOOKUP(L1046,Customers!$A$2:$C$92,3,TRUE)</f>
        <v>Paula Parente</v>
      </c>
      <c r="C1046" t="str">
        <f t="shared" si="273"/>
        <v>Paula</v>
      </c>
      <c r="D1046" s="8" t="str">
        <f t="shared" si="274"/>
        <v>Parente</v>
      </c>
      <c r="E1046" s="8" t="str">
        <f t="shared" si="275"/>
        <v>Parente, Paula</v>
      </c>
      <c r="F1046" s="8" t="str">
        <f t="shared" si="276"/>
        <v>Parente, Paula</v>
      </c>
      <c r="G1046" s="8" t="str">
        <f t="shared" si="277"/>
        <v>not an outlier</v>
      </c>
      <c r="H1046" s="8" t="str">
        <f t="shared" si="278"/>
        <v>Not</v>
      </c>
      <c r="I1046" s="8" t="str">
        <f t="shared" si="288"/>
        <v>no</v>
      </c>
      <c r="J1046" s="10" t="str">
        <f t="shared" si="279"/>
        <v>no</v>
      </c>
      <c r="K1046" s="10" t="str">
        <f t="shared" si="280"/>
        <v>no</v>
      </c>
      <c r="L1046" t="s">
        <v>647</v>
      </c>
      <c r="M1046">
        <v>10644</v>
      </c>
      <c r="N1046">
        <v>46</v>
      </c>
      <c r="O1046" t="s">
        <v>737</v>
      </c>
      <c r="P1046" t="str">
        <f t="shared" si="281"/>
        <v>WELLI_10644_Spegesild</v>
      </c>
      <c r="Q1046" t="str">
        <f t="shared" si="282"/>
        <v>10644</v>
      </c>
      <c r="R1046" t="str">
        <f t="shared" si="283"/>
        <v>10644</v>
      </c>
      <c r="S1046" t="str">
        <f t="shared" si="284"/>
        <v>Spegesild</v>
      </c>
      <c r="T1046">
        <v>12</v>
      </c>
      <c r="U1046">
        <v>21</v>
      </c>
      <c r="V1046">
        <v>0.1</v>
      </c>
      <c r="W1046">
        <f t="shared" si="285"/>
        <v>226.8</v>
      </c>
      <c r="X1046" t="str">
        <f t="shared" si="286"/>
        <v>No</v>
      </c>
      <c r="Y1046" s="2">
        <v>34967</v>
      </c>
      <c r="Z1046" t="str">
        <f t="shared" si="272"/>
        <v/>
      </c>
      <c r="AA1046" t="str">
        <f t="shared" si="287"/>
        <v/>
      </c>
      <c r="AB1046" t="str" cm="1">
        <f t="array" ref="AB1046">_xlfn.IFS(Y1046&lt;DATE(1996,1,1),"",Y1046&lt;DATE(1996,4,1),"Q1",Y1046&lt;DATE(1996,7,1),"Q2",Y1046&gt;=DATE(1996,7,1),"")</f>
        <v/>
      </c>
    </row>
    <row r="1047" spans="1:28" ht="14.4" x14ac:dyDescent="0.55000000000000004">
      <c r="A1047" t="str">
        <f>VLOOKUP(L1047,Customers!$A$2:$B$92,2,FALSE)</f>
        <v>Hanari Carnes</v>
      </c>
      <c r="B1047" t="str">
        <f>VLOOKUP(L1047,Customers!$A$2:$C$92,3,TRUE)</f>
        <v>Mario Pontes</v>
      </c>
      <c r="C1047" t="str">
        <f t="shared" si="273"/>
        <v>Mario</v>
      </c>
      <c r="D1047" s="8" t="str">
        <f t="shared" si="274"/>
        <v>Pontes</v>
      </c>
      <c r="E1047" s="8" t="str">
        <f t="shared" si="275"/>
        <v>Pontes, Mario</v>
      </c>
      <c r="F1047" s="8" t="str">
        <f t="shared" si="276"/>
        <v>Pontes, Mario</v>
      </c>
      <c r="G1047" s="8" t="str">
        <f t="shared" si="277"/>
        <v>not an outlier</v>
      </c>
      <c r="H1047" s="8" t="str">
        <f t="shared" si="278"/>
        <v>Not</v>
      </c>
      <c r="I1047" s="8" t="str">
        <f t="shared" si="288"/>
        <v>no</v>
      </c>
      <c r="J1047" s="10" t="str">
        <f t="shared" si="279"/>
        <v>no</v>
      </c>
      <c r="K1047" s="10" t="str">
        <f t="shared" si="280"/>
        <v>no</v>
      </c>
      <c r="L1047" t="s">
        <v>264</v>
      </c>
      <c r="M1047">
        <v>10645</v>
      </c>
      <c r="N1047">
        <v>18</v>
      </c>
      <c r="O1047" t="s">
        <v>742</v>
      </c>
      <c r="P1047" t="str">
        <f t="shared" si="281"/>
        <v>HANAR_10645_Carnarvon Tigers</v>
      </c>
      <c r="Q1047" t="str">
        <f t="shared" si="282"/>
        <v>10645</v>
      </c>
      <c r="R1047" t="str">
        <f t="shared" si="283"/>
        <v>10645</v>
      </c>
      <c r="S1047" t="str">
        <f t="shared" si="284"/>
        <v>Carnarvon Tigers</v>
      </c>
      <c r="T1047">
        <v>62.5</v>
      </c>
      <c r="U1047">
        <v>20</v>
      </c>
      <c r="V1047">
        <v>0</v>
      </c>
      <c r="W1047">
        <f t="shared" si="285"/>
        <v>1250</v>
      </c>
      <c r="X1047" t="str">
        <f t="shared" si="286"/>
        <v>No</v>
      </c>
      <c r="Y1047" s="2">
        <v>34968</v>
      </c>
      <c r="Z1047" t="str">
        <f t="shared" si="272"/>
        <v/>
      </c>
      <c r="AA1047" t="str">
        <f t="shared" si="287"/>
        <v/>
      </c>
      <c r="AB1047" t="str" cm="1">
        <f t="array" ref="AB1047">_xlfn.IFS(Y1047&lt;DATE(1996,1,1),"",Y1047&lt;DATE(1996,4,1),"Q1",Y1047&lt;DATE(1996,7,1),"Q2",Y1047&gt;=DATE(1996,7,1),"")</f>
        <v/>
      </c>
    </row>
    <row r="1048" spans="1:28" ht="14.4" x14ac:dyDescent="0.55000000000000004">
      <c r="A1048" t="str">
        <f>VLOOKUP(L1048,Customers!$A$2:$B$92,2,FALSE)</f>
        <v>Hanari Carnes</v>
      </c>
      <c r="B1048" t="str">
        <f>VLOOKUP(L1048,Customers!$A$2:$C$92,3,TRUE)</f>
        <v>Mario Pontes</v>
      </c>
      <c r="C1048" t="str">
        <f t="shared" si="273"/>
        <v>Mario</v>
      </c>
      <c r="D1048" s="8" t="str">
        <f t="shared" si="274"/>
        <v>Pontes</v>
      </c>
      <c r="E1048" s="8" t="str">
        <f t="shared" si="275"/>
        <v>Pontes, Mario</v>
      </c>
      <c r="F1048" s="8" t="str">
        <f t="shared" si="276"/>
        <v>Pontes, Mario</v>
      </c>
      <c r="G1048" s="8" t="str">
        <f t="shared" si="277"/>
        <v>not an outlier</v>
      </c>
      <c r="H1048" s="8" t="str">
        <f t="shared" si="278"/>
        <v>Not</v>
      </c>
      <c r="I1048" s="8" t="str">
        <f t="shared" si="288"/>
        <v>no</v>
      </c>
      <c r="J1048" s="10" t="str">
        <f t="shared" si="279"/>
        <v>no</v>
      </c>
      <c r="K1048" s="10" t="str">
        <f t="shared" si="280"/>
        <v>no</v>
      </c>
      <c r="L1048" t="s">
        <v>264</v>
      </c>
      <c r="M1048">
        <v>10645</v>
      </c>
      <c r="N1048">
        <v>36</v>
      </c>
      <c r="O1048" t="s">
        <v>703</v>
      </c>
      <c r="P1048" t="str">
        <f t="shared" si="281"/>
        <v>HANAR_10645_Inlagd Sill</v>
      </c>
      <c r="Q1048" t="str">
        <f t="shared" si="282"/>
        <v>10645</v>
      </c>
      <c r="R1048" t="str">
        <f t="shared" si="283"/>
        <v>10645</v>
      </c>
      <c r="S1048" t="str">
        <f t="shared" si="284"/>
        <v>Inlagd Sill</v>
      </c>
      <c r="T1048">
        <v>19</v>
      </c>
      <c r="U1048">
        <v>15</v>
      </c>
      <c r="V1048">
        <v>0</v>
      </c>
      <c r="W1048">
        <f t="shared" si="285"/>
        <v>285</v>
      </c>
      <c r="X1048" t="str">
        <f t="shared" si="286"/>
        <v>No</v>
      </c>
      <c r="Y1048" s="2">
        <v>34968</v>
      </c>
      <c r="Z1048" t="str">
        <f t="shared" si="272"/>
        <v/>
      </c>
      <c r="AA1048" t="str">
        <f t="shared" si="287"/>
        <v/>
      </c>
      <c r="AB1048" t="str" cm="1">
        <f t="array" ref="AB1048">_xlfn.IFS(Y1048&lt;DATE(1996,1,1),"",Y1048&lt;DATE(1996,4,1),"Q1",Y1048&lt;DATE(1996,7,1),"Q2",Y1048&gt;=DATE(1996,7,1),"")</f>
        <v/>
      </c>
    </row>
    <row r="1049" spans="1:28" ht="14.4" x14ac:dyDescent="0.55000000000000004">
      <c r="A1049" t="str">
        <f>VLOOKUP(L1049,Customers!$A$2:$B$92,2,FALSE)</f>
        <v>Hungry Owl All-Night Grocers</v>
      </c>
      <c r="B1049" t="str">
        <f>VLOOKUP(L1049,Customers!$A$2:$C$92,3,TRUE)</f>
        <v>Patricia McKenna</v>
      </c>
      <c r="C1049" t="str">
        <f t="shared" si="273"/>
        <v>Patricia</v>
      </c>
      <c r="D1049" s="8" t="str">
        <f t="shared" si="274"/>
        <v>McKenna</v>
      </c>
      <c r="E1049" s="8" t="str">
        <f t="shared" si="275"/>
        <v>McKenna, Patricia</v>
      </c>
      <c r="F1049" s="8" t="str">
        <f t="shared" si="276"/>
        <v>McKenna, Patricia</v>
      </c>
      <c r="G1049" s="8" t="str">
        <f t="shared" si="277"/>
        <v>not an outlier</v>
      </c>
      <c r="H1049" s="8" t="str">
        <f t="shared" si="278"/>
        <v>Not</v>
      </c>
      <c r="I1049" s="8" t="str">
        <f t="shared" si="288"/>
        <v>no</v>
      </c>
      <c r="J1049" s="10" t="str">
        <f t="shared" si="279"/>
        <v>no</v>
      </c>
      <c r="K1049" s="10" t="str">
        <f t="shared" si="280"/>
        <v>no</v>
      </c>
      <c r="L1049" t="s">
        <v>288</v>
      </c>
      <c r="M1049">
        <v>10646</v>
      </c>
      <c r="N1049">
        <v>1</v>
      </c>
      <c r="O1049" t="s">
        <v>735</v>
      </c>
      <c r="P1049" t="str">
        <f t="shared" si="281"/>
        <v>HUNGO_10646_Chai</v>
      </c>
      <c r="Q1049" t="str">
        <f t="shared" si="282"/>
        <v>10646</v>
      </c>
      <c r="R1049" t="str">
        <f t="shared" si="283"/>
        <v>10646</v>
      </c>
      <c r="S1049" t="str">
        <f t="shared" si="284"/>
        <v>Chai</v>
      </c>
      <c r="T1049">
        <v>18</v>
      </c>
      <c r="U1049">
        <v>15</v>
      </c>
      <c r="V1049">
        <v>0.25</v>
      </c>
      <c r="W1049">
        <f t="shared" si="285"/>
        <v>202.5</v>
      </c>
      <c r="X1049" t="str">
        <f t="shared" si="286"/>
        <v>No</v>
      </c>
      <c r="Y1049" s="2">
        <v>34969</v>
      </c>
      <c r="Z1049" t="str">
        <f t="shared" si="272"/>
        <v/>
      </c>
      <c r="AA1049" t="str">
        <f t="shared" si="287"/>
        <v/>
      </c>
      <c r="AB1049" t="str" cm="1">
        <f t="array" ref="AB1049">_xlfn.IFS(Y1049&lt;DATE(1996,1,1),"",Y1049&lt;DATE(1996,4,1),"Q1",Y1049&lt;DATE(1996,7,1),"Q2",Y1049&gt;=DATE(1996,7,1),"")</f>
        <v/>
      </c>
    </row>
    <row r="1050" spans="1:28" ht="14.4" x14ac:dyDescent="0.55000000000000004">
      <c r="A1050" t="str">
        <f>VLOOKUP(L1050,Customers!$A$2:$B$92,2,FALSE)</f>
        <v>Hungry Owl All-Night Grocers</v>
      </c>
      <c r="B1050" t="str">
        <f>VLOOKUP(L1050,Customers!$A$2:$C$92,3,TRUE)</f>
        <v>Patricia McKenna</v>
      </c>
      <c r="C1050" t="str">
        <f t="shared" si="273"/>
        <v>Patricia</v>
      </c>
      <c r="D1050" s="8" t="str">
        <f t="shared" si="274"/>
        <v>McKenna</v>
      </c>
      <c r="E1050" s="8" t="str">
        <f t="shared" si="275"/>
        <v>McKenna, Patricia</v>
      </c>
      <c r="F1050" s="8" t="str">
        <f t="shared" si="276"/>
        <v>McKenna, Patricia</v>
      </c>
      <c r="G1050" s="8" t="str">
        <f t="shared" si="277"/>
        <v>not an outlier</v>
      </c>
      <c r="H1050" s="8" t="str">
        <f t="shared" si="278"/>
        <v>Not</v>
      </c>
      <c r="I1050" s="8" t="str">
        <f t="shared" si="288"/>
        <v>no</v>
      </c>
      <c r="J1050" s="10" t="str">
        <f t="shared" si="279"/>
        <v>no</v>
      </c>
      <c r="K1050" s="10" t="str">
        <f t="shared" si="280"/>
        <v>no</v>
      </c>
      <c r="L1050" t="s">
        <v>288</v>
      </c>
      <c r="M1050">
        <v>10646</v>
      </c>
      <c r="N1050">
        <v>10</v>
      </c>
      <c r="O1050" t="s">
        <v>724</v>
      </c>
      <c r="P1050" t="str">
        <f t="shared" si="281"/>
        <v>HUNGO_10646_Ikura</v>
      </c>
      <c r="Q1050" t="str">
        <f t="shared" si="282"/>
        <v>10646</v>
      </c>
      <c r="R1050" t="str">
        <f t="shared" si="283"/>
        <v>10646</v>
      </c>
      <c r="S1050" t="str">
        <f t="shared" si="284"/>
        <v>Ikura</v>
      </c>
      <c r="T1050">
        <v>31</v>
      </c>
      <c r="U1050">
        <v>18</v>
      </c>
      <c r="V1050">
        <v>0.25</v>
      </c>
      <c r="W1050">
        <f t="shared" si="285"/>
        <v>418.5</v>
      </c>
      <c r="X1050" t="str">
        <f t="shared" si="286"/>
        <v>No</v>
      </c>
      <c r="Y1050" s="2">
        <v>34969</v>
      </c>
      <c r="Z1050" t="str">
        <f t="shared" si="272"/>
        <v/>
      </c>
      <c r="AA1050" t="str">
        <f t="shared" si="287"/>
        <v/>
      </c>
      <c r="AB1050" t="str" cm="1">
        <f t="array" ref="AB1050">_xlfn.IFS(Y1050&lt;DATE(1996,1,1),"",Y1050&lt;DATE(1996,4,1),"Q1",Y1050&lt;DATE(1996,7,1),"Q2",Y1050&gt;=DATE(1996,7,1),"")</f>
        <v/>
      </c>
    </row>
    <row r="1051" spans="1:28" ht="14.4" x14ac:dyDescent="0.55000000000000004">
      <c r="A1051" t="str">
        <f>VLOOKUP(L1051,Customers!$A$2:$B$92,2,FALSE)</f>
        <v>Hungry Owl All-Night Grocers</v>
      </c>
      <c r="B1051" t="str">
        <f>VLOOKUP(L1051,Customers!$A$2:$C$92,3,TRUE)</f>
        <v>Patricia McKenna</v>
      </c>
      <c r="C1051" t="str">
        <f t="shared" si="273"/>
        <v>Patricia</v>
      </c>
      <c r="D1051" s="8" t="str">
        <f t="shared" si="274"/>
        <v>McKenna</v>
      </c>
      <c r="E1051" s="8" t="str">
        <f t="shared" si="275"/>
        <v>McKenna, Patricia</v>
      </c>
      <c r="F1051" s="8" t="str">
        <f t="shared" si="276"/>
        <v>McKenna, Patricia</v>
      </c>
      <c r="G1051" s="8" t="str">
        <f t="shared" si="277"/>
        <v>not an outlier</v>
      </c>
      <c r="H1051" s="8" t="str">
        <f t="shared" si="278"/>
        <v>Not</v>
      </c>
      <c r="I1051" s="8" t="str">
        <f t="shared" si="288"/>
        <v>no</v>
      </c>
      <c r="J1051" s="10" t="str">
        <f t="shared" si="279"/>
        <v>no</v>
      </c>
      <c r="K1051" s="10" t="str">
        <f t="shared" si="280"/>
        <v>no</v>
      </c>
      <c r="L1051" t="s">
        <v>288</v>
      </c>
      <c r="M1051">
        <v>10646</v>
      </c>
      <c r="N1051">
        <v>71</v>
      </c>
      <c r="O1051" t="s">
        <v>725</v>
      </c>
      <c r="P1051" t="str">
        <f t="shared" si="281"/>
        <v>HUNGO_10646_Fløtemysost</v>
      </c>
      <c r="Q1051" t="str">
        <f t="shared" si="282"/>
        <v>10646</v>
      </c>
      <c r="R1051" t="str">
        <f t="shared" si="283"/>
        <v>10646</v>
      </c>
      <c r="S1051" t="str">
        <f t="shared" si="284"/>
        <v>Fløtemysost</v>
      </c>
      <c r="T1051">
        <v>21.5</v>
      </c>
      <c r="U1051">
        <v>30</v>
      </c>
      <c r="V1051">
        <v>0.25</v>
      </c>
      <c r="W1051">
        <f t="shared" si="285"/>
        <v>483.75</v>
      </c>
      <c r="X1051" t="str">
        <f t="shared" si="286"/>
        <v>No</v>
      </c>
      <c r="Y1051" s="2">
        <v>34969</v>
      </c>
      <c r="Z1051" t="str">
        <f t="shared" si="272"/>
        <v/>
      </c>
      <c r="AA1051" t="str">
        <f t="shared" si="287"/>
        <v/>
      </c>
      <c r="AB1051" t="str" cm="1">
        <f t="array" ref="AB1051">_xlfn.IFS(Y1051&lt;DATE(1996,1,1),"",Y1051&lt;DATE(1996,4,1),"Q1",Y1051&lt;DATE(1996,7,1),"Q2",Y1051&gt;=DATE(1996,7,1),"")</f>
        <v/>
      </c>
    </row>
    <row r="1052" spans="1:28" ht="14.4" x14ac:dyDescent="0.55000000000000004">
      <c r="A1052" t="str">
        <f>VLOOKUP(L1052,Customers!$A$2:$B$92,2,FALSE)</f>
        <v>Hungry Owl All-Night Grocers</v>
      </c>
      <c r="B1052" t="str">
        <f>VLOOKUP(L1052,Customers!$A$2:$C$92,3,TRUE)</f>
        <v>Patricia McKenna</v>
      </c>
      <c r="C1052" t="str">
        <f t="shared" si="273"/>
        <v>Patricia</v>
      </c>
      <c r="D1052" s="8" t="str">
        <f t="shared" si="274"/>
        <v>McKenna</v>
      </c>
      <c r="E1052" s="8" t="str">
        <f t="shared" si="275"/>
        <v>McKenna, Patricia</v>
      </c>
      <c r="F1052" s="8" t="str">
        <f t="shared" si="276"/>
        <v>McKenna, Patricia</v>
      </c>
      <c r="G1052" s="8" t="str">
        <f t="shared" si="277"/>
        <v>not an outlier</v>
      </c>
      <c r="H1052" s="8" t="str">
        <f t="shared" si="278"/>
        <v>Not</v>
      </c>
      <c r="I1052" s="8" t="str">
        <f t="shared" si="288"/>
        <v>no</v>
      </c>
      <c r="J1052" s="10" t="str">
        <f t="shared" si="279"/>
        <v>no</v>
      </c>
      <c r="K1052" s="10" t="str">
        <f t="shared" si="280"/>
        <v>no</v>
      </c>
      <c r="L1052" t="s">
        <v>288</v>
      </c>
      <c r="M1052">
        <v>10646</v>
      </c>
      <c r="N1052">
        <v>77</v>
      </c>
      <c r="O1052" t="s">
        <v>706</v>
      </c>
      <c r="P1052" t="str">
        <f t="shared" si="281"/>
        <v>HUNGO_10646_Original Frankfurter grüne Soße</v>
      </c>
      <c r="Q1052" t="str">
        <f t="shared" si="282"/>
        <v>10646</v>
      </c>
      <c r="R1052" t="str">
        <f t="shared" si="283"/>
        <v>10646</v>
      </c>
      <c r="S1052" t="str">
        <f t="shared" si="284"/>
        <v>Original Frankfurter grüne Soße</v>
      </c>
      <c r="T1052">
        <v>13</v>
      </c>
      <c r="U1052">
        <v>35</v>
      </c>
      <c r="V1052">
        <v>0.25</v>
      </c>
      <c r="W1052">
        <f t="shared" si="285"/>
        <v>341.25</v>
      </c>
      <c r="X1052" t="str">
        <f t="shared" si="286"/>
        <v>No</v>
      </c>
      <c r="Y1052" s="2">
        <v>34969</v>
      </c>
      <c r="Z1052" t="str">
        <f t="shared" si="272"/>
        <v/>
      </c>
      <c r="AA1052" t="str">
        <f t="shared" si="287"/>
        <v/>
      </c>
      <c r="AB1052" t="str" cm="1">
        <f t="array" ref="AB1052">_xlfn.IFS(Y1052&lt;DATE(1996,1,1),"",Y1052&lt;DATE(1996,4,1),"Q1",Y1052&lt;DATE(1996,7,1),"Q2",Y1052&gt;=DATE(1996,7,1),"")</f>
        <v/>
      </c>
    </row>
    <row r="1053" spans="1:28" ht="14.4" x14ac:dyDescent="0.55000000000000004">
      <c r="A1053" t="str">
        <f>VLOOKUP(L1053,Customers!$A$2:$B$92,2,FALSE)</f>
        <v>Que Delícia</v>
      </c>
      <c r="B1053" t="str">
        <f>VLOOKUP(L1053,Customers!$A$2:$C$92,3,TRUE)</f>
        <v>Bernardo Batista</v>
      </c>
      <c r="C1053" t="str">
        <f t="shared" si="273"/>
        <v>Bernardo</v>
      </c>
      <c r="D1053" s="8" t="str">
        <f t="shared" si="274"/>
        <v>Batista</v>
      </c>
      <c r="E1053" s="8" t="str">
        <f t="shared" si="275"/>
        <v>Batista, Bernardo</v>
      </c>
      <c r="F1053" s="8" t="str">
        <f t="shared" si="276"/>
        <v>Batista, Bernardo</v>
      </c>
      <c r="G1053" s="8" t="str">
        <f t="shared" si="277"/>
        <v>not an outlier</v>
      </c>
      <c r="H1053" s="8" t="str">
        <f t="shared" si="278"/>
        <v>Not</v>
      </c>
      <c r="I1053" s="8" t="str">
        <f t="shared" si="288"/>
        <v>no</v>
      </c>
      <c r="J1053" s="10" t="str">
        <f t="shared" si="279"/>
        <v>no</v>
      </c>
      <c r="K1053" s="10" t="str">
        <f t="shared" si="280"/>
        <v>no</v>
      </c>
      <c r="L1053" t="s">
        <v>462</v>
      </c>
      <c r="M1053">
        <v>10647</v>
      </c>
      <c r="N1053">
        <v>19</v>
      </c>
      <c r="O1053" t="s">
        <v>732</v>
      </c>
      <c r="P1053" t="str">
        <f t="shared" si="281"/>
        <v>QUEDE_10647_Teatime Chocolate Biscuits</v>
      </c>
      <c r="Q1053" t="str">
        <f t="shared" si="282"/>
        <v>10647</v>
      </c>
      <c r="R1053" t="str">
        <f t="shared" si="283"/>
        <v>10647</v>
      </c>
      <c r="S1053" t="str">
        <f t="shared" si="284"/>
        <v>Teatime Chocolate Biscuits</v>
      </c>
      <c r="T1053">
        <v>9.1999999999999993</v>
      </c>
      <c r="U1053">
        <v>30</v>
      </c>
      <c r="V1053">
        <v>0</v>
      </c>
      <c r="W1053">
        <f t="shared" si="285"/>
        <v>276</v>
      </c>
      <c r="X1053" t="str">
        <f t="shared" si="286"/>
        <v>No</v>
      </c>
      <c r="Y1053" s="2">
        <v>34969</v>
      </c>
      <c r="Z1053" t="str">
        <f t="shared" si="272"/>
        <v/>
      </c>
      <c r="AA1053" t="str">
        <f t="shared" si="287"/>
        <v/>
      </c>
      <c r="AB1053" t="str" cm="1">
        <f t="array" ref="AB1053">_xlfn.IFS(Y1053&lt;DATE(1996,1,1),"",Y1053&lt;DATE(1996,4,1),"Q1",Y1053&lt;DATE(1996,7,1),"Q2",Y1053&gt;=DATE(1996,7,1),"")</f>
        <v/>
      </c>
    </row>
    <row r="1054" spans="1:28" ht="14.4" x14ac:dyDescent="0.55000000000000004">
      <c r="A1054" t="str">
        <f>VLOOKUP(L1054,Customers!$A$2:$B$92,2,FALSE)</f>
        <v>Que Delícia</v>
      </c>
      <c r="B1054" t="str">
        <f>VLOOKUP(L1054,Customers!$A$2:$C$92,3,TRUE)</f>
        <v>Bernardo Batista</v>
      </c>
      <c r="C1054" t="str">
        <f t="shared" si="273"/>
        <v>Bernardo</v>
      </c>
      <c r="D1054" s="8" t="str">
        <f t="shared" si="274"/>
        <v>Batista</v>
      </c>
      <c r="E1054" s="8" t="str">
        <f t="shared" si="275"/>
        <v>Batista, Bernardo</v>
      </c>
      <c r="F1054" s="8" t="str">
        <f t="shared" si="276"/>
        <v>Batista, Bernardo</v>
      </c>
      <c r="G1054" s="8" t="str">
        <f t="shared" si="277"/>
        <v>not an outlier</v>
      </c>
      <c r="H1054" s="8" t="str">
        <f t="shared" si="278"/>
        <v>Not</v>
      </c>
      <c r="I1054" s="8" t="str">
        <f t="shared" si="288"/>
        <v>no</v>
      </c>
      <c r="J1054" s="10" t="str">
        <f t="shared" si="279"/>
        <v>no</v>
      </c>
      <c r="K1054" s="10" t="str">
        <f t="shared" si="280"/>
        <v>no</v>
      </c>
      <c r="L1054" t="s">
        <v>462</v>
      </c>
      <c r="M1054">
        <v>10647</v>
      </c>
      <c r="N1054">
        <v>39</v>
      </c>
      <c r="O1054" t="s">
        <v>696</v>
      </c>
      <c r="P1054" t="str">
        <f t="shared" si="281"/>
        <v>QUEDE_10647_Chartreuse verte</v>
      </c>
      <c r="Q1054" t="str">
        <f t="shared" si="282"/>
        <v>10647</v>
      </c>
      <c r="R1054" t="str">
        <f t="shared" si="283"/>
        <v>10647</v>
      </c>
      <c r="S1054" t="str">
        <f t="shared" si="284"/>
        <v>Chartreuse verte</v>
      </c>
      <c r="T1054">
        <v>18</v>
      </c>
      <c r="U1054">
        <v>20</v>
      </c>
      <c r="V1054">
        <v>0</v>
      </c>
      <c r="W1054">
        <f t="shared" si="285"/>
        <v>360</v>
      </c>
      <c r="X1054" t="str">
        <f t="shared" si="286"/>
        <v>No</v>
      </c>
      <c r="Y1054" s="2">
        <v>34969</v>
      </c>
      <c r="Z1054" t="str">
        <f t="shared" si="272"/>
        <v/>
      </c>
      <c r="AA1054" t="str">
        <f t="shared" si="287"/>
        <v/>
      </c>
      <c r="AB1054" t="str" cm="1">
        <f t="array" ref="AB1054">_xlfn.IFS(Y1054&lt;DATE(1996,1,1),"",Y1054&lt;DATE(1996,4,1),"Q1",Y1054&lt;DATE(1996,7,1),"Q2",Y1054&gt;=DATE(1996,7,1),"")</f>
        <v/>
      </c>
    </row>
    <row r="1055" spans="1:28" ht="14.4" x14ac:dyDescent="0.55000000000000004">
      <c r="A1055" t="str">
        <f>VLOOKUP(L1055,Customers!$A$2:$B$92,2,FALSE)</f>
        <v>Ricardo Adocicados</v>
      </c>
      <c r="B1055" t="str">
        <f>VLOOKUP(L1055,Customers!$A$2:$C$92,3,TRUE)</f>
        <v>Janete Limeira</v>
      </c>
      <c r="C1055" t="str">
        <f t="shared" si="273"/>
        <v>Janete</v>
      </c>
      <c r="D1055" s="8" t="str">
        <f t="shared" si="274"/>
        <v>Limeira</v>
      </c>
      <c r="E1055" s="8" t="str">
        <f t="shared" si="275"/>
        <v>Limeira, Janete</v>
      </c>
      <c r="F1055" s="8" t="str">
        <f t="shared" si="276"/>
        <v>Limeira, Janete</v>
      </c>
      <c r="G1055" s="8" t="str">
        <f t="shared" si="277"/>
        <v>not an outlier</v>
      </c>
      <c r="H1055" s="8" t="str">
        <f t="shared" si="278"/>
        <v>Not</v>
      </c>
      <c r="I1055" s="8" t="str">
        <f t="shared" si="288"/>
        <v>no</v>
      </c>
      <c r="J1055" s="10" t="str">
        <f t="shared" si="279"/>
        <v>no</v>
      </c>
      <c r="K1055" s="10" t="str">
        <f t="shared" si="280"/>
        <v>no</v>
      </c>
      <c r="L1055" t="s">
        <v>503</v>
      </c>
      <c r="M1055">
        <v>10648</v>
      </c>
      <c r="N1055">
        <v>22</v>
      </c>
      <c r="O1055" t="s">
        <v>690</v>
      </c>
      <c r="P1055" t="str">
        <f t="shared" si="281"/>
        <v>RICAR_10648_Gustaf's Knäckebröd</v>
      </c>
      <c r="Q1055" t="str">
        <f t="shared" si="282"/>
        <v>10648</v>
      </c>
      <c r="R1055" t="str">
        <f t="shared" si="283"/>
        <v>10648</v>
      </c>
      <c r="S1055" t="str">
        <f t="shared" si="284"/>
        <v>Gustaf's Knäckebröd</v>
      </c>
      <c r="T1055">
        <v>21</v>
      </c>
      <c r="U1055">
        <v>15</v>
      </c>
      <c r="V1055">
        <v>0</v>
      </c>
      <c r="W1055">
        <f t="shared" si="285"/>
        <v>315</v>
      </c>
      <c r="X1055" t="str">
        <f t="shared" si="286"/>
        <v>No</v>
      </c>
      <c r="Y1055" s="2">
        <v>34970</v>
      </c>
      <c r="Z1055" t="str">
        <f t="shared" si="272"/>
        <v/>
      </c>
      <c r="AA1055" t="str">
        <f t="shared" si="287"/>
        <v/>
      </c>
      <c r="AB1055" t="str" cm="1">
        <f t="array" ref="AB1055">_xlfn.IFS(Y1055&lt;DATE(1996,1,1),"",Y1055&lt;DATE(1996,4,1),"Q1",Y1055&lt;DATE(1996,7,1),"Q2",Y1055&gt;=DATE(1996,7,1),"")</f>
        <v/>
      </c>
    </row>
    <row r="1056" spans="1:28" ht="14.4" x14ac:dyDescent="0.55000000000000004">
      <c r="A1056" t="str">
        <f>VLOOKUP(L1056,Customers!$A$2:$B$92,2,FALSE)</f>
        <v>Ricardo Adocicados</v>
      </c>
      <c r="B1056" t="str">
        <f>VLOOKUP(L1056,Customers!$A$2:$C$92,3,TRUE)</f>
        <v>Janete Limeira</v>
      </c>
      <c r="C1056" t="str">
        <f t="shared" si="273"/>
        <v>Janete</v>
      </c>
      <c r="D1056" s="8" t="str">
        <f t="shared" si="274"/>
        <v>Limeira</v>
      </c>
      <c r="E1056" s="8" t="str">
        <f t="shared" si="275"/>
        <v>Limeira, Janete</v>
      </c>
      <c r="F1056" s="8" t="str">
        <f t="shared" si="276"/>
        <v>Limeira, Janete</v>
      </c>
      <c r="G1056" s="8" t="str">
        <f t="shared" si="277"/>
        <v>not an outlier</v>
      </c>
      <c r="H1056" s="8" t="str">
        <f t="shared" si="278"/>
        <v>Not</v>
      </c>
      <c r="I1056" s="8" t="str">
        <f t="shared" si="288"/>
        <v>no</v>
      </c>
      <c r="J1056" s="10" t="str">
        <f t="shared" si="279"/>
        <v>no</v>
      </c>
      <c r="K1056" s="10" t="str">
        <f t="shared" si="280"/>
        <v>no</v>
      </c>
      <c r="L1056" t="s">
        <v>503</v>
      </c>
      <c r="M1056">
        <v>10648</v>
      </c>
      <c r="N1056">
        <v>24</v>
      </c>
      <c r="O1056" t="s">
        <v>698</v>
      </c>
      <c r="P1056" t="str">
        <f t="shared" si="281"/>
        <v>RICAR_10648_Guaraná Fantástica</v>
      </c>
      <c r="Q1056" t="str">
        <f t="shared" si="282"/>
        <v>10648</v>
      </c>
      <c r="R1056" t="str">
        <f t="shared" si="283"/>
        <v>10648</v>
      </c>
      <c r="S1056" t="str">
        <f t="shared" si="284"/>
        <v>Guaraná Fantástica</v>
      </c>
      <c r="T1056">
        <v>4.5</v>
      </c>
      <c r="U1056">
        <v>15</v>
      </c>
      <c r="V1056">
        <v>0.15</v>
      </c>
      <c r="W1056">
        <f t="shared" si="285"/>
        <v>57.375</v>
      </c>
      <c r="X1056" t="str">
        <f t="shared" si="286"/>
        <v>No</v>
      </c>
      <c r="Y1056" s="2">
        <v>34970</v>
      </c>
      <c r="Z1056" t="str">
        <f t="shared" si="272"/>
        <v/>
      </c>
      <c r="AA1056" t="str">
        <f t="shared" si="287"/>
        <v/>
      </c>
      <c r="AB1056" t="str" cm="1">
        <f t="array" ref="AB1056">_xlfn.IFS(Y1056&lt;DATE(1996,1,1),"",Y1056&lt;DATE(1996,4,1),"Q1",Y1056&lt;DATE(1996,7,1),"Q2",Y1056&gt;=DATE(1996,7,1),"")</f>
        <v/>
      </c>
    </row>
    <row r="1057" spans="1:28" ht="14.4" x14ac:dyDescent="0.55000000000000004">
      <c r="A1057" t="str">
        <f>VLOOKUP(L1057,Customers!$A$2:$B$92,2,FALSE)</f>
        <v>Maison Dewey</v>
      </c>
      <c r="B1057" t="str">
        <f>VLOOKUP(L1057,Customers!$A$2:$C$92,3,TRUE)</f>
        <v>Catherine Dewey</v>
      </c>
      <c r="C1057" t="str">
        <f t="shared" si="273"/>
        <v>Catherine</v>
      </c>
      <c r="D1057" s="8" t="str">
        <f t="shared" si="274"/>
        <v>Dewey</v>
      </c>
      <c r="E1057" s="8" t="str">
        <f t="shared" si="275"/>
        <v>Dewey, Catherine</v>
      </c>
      <c r="F1057" s="8" t="str">
        <f t="shared" si="276"/>
        <v>Dewey, Catherine</v>
      </c>
      <c r="G1057" s="8" t="str">
        <f t="shared" si="277"/>
        <v>not an outlier</v>
      </c>
      <c r="H1057" s="8" t="str">
        <f t="shared" si="278"/>
        <v>Not</v>
      </c>
      <c r="I1057" s="8" t="str">
        <f t="shared" si="288"/>
        <v>no</v>
      </c>
      <c r="J1057" s="10" t="str">
        <f t="shared" si="279"/>
        <v>no</v>
      </c>
      <c r="K1057" s="10" t="str">
        <f t="shared" si="280"/>
        <v>no</v>
      </c>
      <c r="L1057" t="s">
        <v>385</v>
      </c>
      <c r="M1057">
        <v>10649</v>
      </c>
      <c r="N1057">
        <v>28</v>
      </c>
      <c r="O1057" t="s">
        <v>727</v>
      </c>
      <c r="P1057" t="str">
        <f t="shared" si="281"/>
        <v>MAISD_10649_Rössle Sauerkraut</v>
      </c>
      <c r="Q1057" t="str">
        <f t="shared" si="282"/>
        <v>10649</v>
      </c>
      <c r="R1057" t="str">
        <f t="shared" si="283"/>
        <v>10649</v>
      </c>
      <c r="S1057" t="str">
        <f t="shared" si="284"/>
        <v>Rössle Sauerkraut</v>
      </c>
      <c r="T1057">
        <v>45.6</v>
      </c>
      <c r="U1057">
        <v>20</v>
      </c>
      <c r="V1057">
        <v>0</v>
      </c>
      <c r="W1057">
        <f t="shared" si="285"/>
        <v>912</v>
      </c>
      <c r="X1057" t="str">
        <f t="shared" si="286"/>
        <v>No</v>
      </c>
      <c r="Y1057" s="2">
        <v>34970</v>
      </c>
      <c r="Z1057" t="str">
        <f t="shared" si="272"/>
        <v/>
      </c>
      <c r="AA1057" t="str">
        <f t="shared" si="287"/>
        <v/>
      </c>
      <c r="AB1057" t="str" cm="1">
        <f t="array" ref="AB1057">_xlfn.IFS(Y1057&lt;DATE(1996,1,1),"",Y1057&lt;DATE(1996,4,1),"Q1",Y1057&lt;DATE(1996,7,1),"Q2",Y1057&gt;=DATE(1996,7,1),"")</f>
        <v/>
      </c>
    </row>
    <row r="1058" spans="1:28" ht="14.4" x14ac:dyDescent="0.55000000000000004">
      <c r="A1058" t="str">
        <f>VLOOKUP(L1058,Customers!$A$2:$B$92,2,FALSE)</f>
        <v>Maison Dewey</v>
      </c>
      <c r="B1058" t="str">
        <f>VLOOKUP(L1058,Customers!$A$2:$C$92,3,TRUE)</f>
        <v>Catherine Dewey</v>
      </c>
      <c r="C1058" t="str">
        <f t="shared" si="273"/>
        <v>Catherine</v>
      </c>
      <c r="D1058" s="8" t="str">
        <f t="shared" si="274"/>
        <v>Dewey</v>
      </c>
      <c r="E1058" s="8" t="str">
        <f t="shared" si="275"/>
        <v>Dewey, Catherine</v>
      </c>
      <c r="F1058" s="8" t="str">
        <f t="shared" si="276"/>
        <v>Dewey, Catherine</v>
      </c>
      <c r="G1058" s="8" t="str">
        <f t="shared" si="277"/>
        <v>not an outlier</v>
      </c>
      <c r="H1058" s="8" t="str">
        <f t="shared" si="278"/>
        <v>Not</v>
      </c>
      <c r="I1058" s="8" t="str">
        <f t="shared" si="288"/>
        <v>no</v>
      </c>
      <c r="J1058" s="10" t="str">
        <f t="shared" si="279"/>
        <v>no</v>
      </c>
      <c r="K1058" s="10" t="str">
        <f t="shared" si="280"/>
        <v>no</v>
      </c>
      <c r="L1058" t="s">
        <v>385</v>
      </c>
      <c r="M1058">
        <v>10649</v>
      </c>
      <c r="N1058">
        <v>72</v>
      </c>
      <c r="O1058" t="s">
        <v>685</v>
      </c>
      <c r="P1058" t="str">
        <f t="shared" si="281"/>
        <v>MAISD_10649_Mozzarella di Giovanni</v>
      </c>
      <c r="Q1058" t="str">
        <f t="shared" si="282"/>
        <v>10649</v>
      </c>
      <c r="R1058" t="str">
        <f t="shared" si="283"/>
        <v>10649</v>
      </c>
      <c r="S1058" t="str">
        <f t="shared" si="284"/>
        <v>Mozzarella di Giovanni</v>
      </c>
      <c r="T1058">
        <v>34.799999999999997</v>
      </c>
      <c r="U1058">
        <v>15</v>
      </c>
      <c r="V1058">
        <v>0</v>
      </c>
      <c r="W1058">
        <f t="shared" si="285"/>
        <v>522</v>
      </c>
      <c r="X1058" t="str">
        <f t="shared" si="286"/>
        <v>No</v>
      </c>
      <c r="Y1058" s="2">
        <v>34970</v>
      </c>
      <c r="Z1058" t="str">
        <f t="shared" si="272"/>
        <v/>
      </c>
      <c r="AA1058" t="str">
        <f t="shared" si="287"/>
        <v/>
      </c>
      <c r="AB1058" t="str" cm="1">
        <f t="array" ref="AB1058">_xlfn.IFS(Y1058&lt;DATE(1996,1,1),"",Y1058&lt;DATE(1996,4,1),"Q1",Y1058&lt;DATE(1996,7,1),"Q2",Y1058&gt;=DATE(1996,7,1),"")</f>
        <v/>
      </c>
    </row>
    <row r="1059" spans="1:28" ht="14.4" x14ac:dyDescent="0.55000000000000004">
      <c r="A1059" t="str">
        <f>VLOOKUP(L1059,Customers!$A$2:$B$92,2,FALSE)</f>
        <v>Familia Arquibaldo</v>
      </c>
      <c r="B1059" t="str">
        <f>VLOOKUP(L1059,Customers!$A$2:$C$92,3,TRUE)</f>
        <v>Aria Cruz</v>
      </c>
      <c r="C1059" t="str">
        <f t="shared" si="273"/>
        <v>Aria</v>
      </c>
      <c r="D1059" s="8" t="str">
        <f t="shared" si="274"/>
        <v>Cruz</v>
      </c>
      <c r="E1059" s="8" t="str">
        <f t="shared" si="275"/>
        <v>Cruz, Aria</v>
      </c>
      <c r="F1059" s="8" t="str">
        <f t="shared" si="276"/>
        <v>Cruz, Aria</v>
      </c>
      <c r="G1059" s="8" t="str">
        <f t="shared" si="277"/>
        <v>not an outlier</v>
      </c>
      <c r="H1059" s="8" t="str">
        <f t="shared" si="278"/>
        <v>Not</v>
      </c>
      <c r="I1059" s="8" t="str">
        <f t="shared" si="288"/>
        <v>no</v>
      </c>
      <c r="J1059" s="10" t="str">
        <f t="shared" si="279"/>
        <v>no</v>
      </c>
      <c r="K1059" s="10" t="str">
        <f t="shared" si="280"/>
        <v>no</v>
      </c>
      <c r="L1059" t="s">
        <v>170</v>
      </c>
      <c r="M1059">
        <v>10650</v>
      </c>
      <c r="N1059">
        <v>30</v>
      </c>
      <c r="O1059" t="s">
        <v>717</v>
      </c>
      <c r="P1059" t="str">
        <f t="shared" si="281"/>
        <v>FAMIA_10650_Nord-Ost Matjeshering</v>
      </c>
      <c r="Q1059" t="str">
        <f t="shared" si="282"/>
        <v>10650</v>
      </c>
      <c r="R1059" t="str">
        <f t="shared" si="283"/>
        <v>10650</v>
      </c>
      <c r="S1059" t="str">
        <f t="shared" si="284"/>
        <v>Nord-Ost Matjeshering</v>
      </c>
      <c r="T1059">
        <v>25.89</v>
      </c>
      <c r="U1059">
        <v>30</v>
      </c>
      <c r="V1059">
        <v>0</v>
      </c>
      <c r="W1059">
        <f t="shared" si="285"/>
        <v>776.7</v>
      </c>
      <c r="X1059" t="str">
        <f t="shared" si="286"/>
        <v>No</v>
      </c>
      <c r="Y1059" s="2">
        <v>34971</v>
      </c>
      <c r="Z1059" t="str">
        <f t="shared" si="272"/>
        <v/>
      </c>
      <c r="AA1059" t="str">
        <f t="shared" si="287"/>
        <v/>
      </c>
      <c r="AB1059" t="str" cm="1">
        <f t="array" ref="AB1059">_xlfn.IFS(Y1059&lt;DATE(1996,1,1),"",Y1059&lt;DATE(1996,4,1),"Q1",Y1059&lt;DATE(1996,7,1),"Q2",Y1059&gt;=DATE(1996,7,1),"")</f>
        <v/>
      </c>
    </row>
    <row r="1060" spans="1:28" ht="14.4" x14ac:dyDescent="0.55000000000000004">
      <c r="A1060" t="str">
        <f>VLOOKUP(L1060,Customers!$A$2:$B$92,2,FALSE)</f>
        <v>Familia Arquibaldo</v>
      </c>
      <c r="B1060" t="str">
        <f>VLOOKUP(L1060,Customers!$A$2:$C$92,3,TRUE)</f>
        <v>Aria Cruz</v>
      </c>
      <c r="C1060" t="str">
        <f t="shared" si="273"/>
        <v>Aria</v>
      </c>
      <c r="D1060" s="8" t="str">
        <f t="shared" si="274"/>
        <v>Cruz</v>
      </c>
      <c r="E1060" s="8" t="str">
        <f t="shared" si="275"/>
        <v>Cruz, Aria</v>
      </c>
      <c r="F1060" s="8" t="str">
        <f t="shared" si="276"/>
        <v>Cruz, Aria</v>
      </c>
      <c r="G1060" s="8" t="str">
        <f t="shared" si="277"/>
        <v>not an outlier</v>
      </c>
      <c r="H1060" s="8" t="str">
        <f t="shared" si="278"/>
        <v>Not</v>
      </c>
      <c r="I1060" s="8" t="str">
        <f t="shared" si="288"/>
        <v>no</v>
      </c>
      <c r="J1060" s="10" t="str">
        <f t="shared" si="279"/>
        <v>no</v>
      </c>
      <c r="K1060" s="10" t="str">
        <f t="shared" si="280"/>
        <v>no</v>
      </c>
      <c r="L1060" t="s">
        <v>170</v>
      </c>
      <c r="M1060">
        <v>10650</v>
      </c>
      <c r="N1060">
        <v>53</v>
      </c>
      <c r="O1060" t="s">
        <v>705</v>
      </c>
      <c r="P1060" t="str">
        <f t="shared" si="281"/>
        <v>FAMIA_10650_Perth Pasties</v>
      </c>
      <c r="Q1060" t="str">
        <f t="shared" si="282"/>
        <v>10650</v>
      </c>
      <c r="R1060" t="str">
        <f t="shared" si="283"/>
        <v>10650</v>
      </c>
      <c r="S1060" t="str">
        <f t="shared" si="284"/>
        <v>Perth Pasties</v>
      </c>
      <c r="T1060">
        <v>32.799999999999997</v>
      </c>
      <c r="U1060">
        <v>25</v>
      </c>
      <c r="V1060">
        <v>0.05</v>
      </c>
      <c r="W1060">
        <f t="shared" si="285"/>
        <v>778.99999999999989</v>
      </c>
      <c r="X1060" t="str">
        <f t="shared" si="286"/>
        <v>No</v>
      </c>
      <c r="Y1060" s="2">
        <v>34971</v>
      </c>
      <c r="Z1060" t="str">
        <f t="shared" si="272"/>
        <v/>
      </c>
      <c r="AA1060" t="str">
        <f t="shared" si="287"/>
        <v/>
      </c>
      <c r="AB1060" t="str" cm="1">
        <f t="array" ref="AB1060">_xlfn.IFS(Y1060&lt;DATE(1996,1,1),"",Y1060&lt;DATE(1996,4,1),"Q1",Y1060&lt;DATE(1996,7,1),"Q2",Y1060&gt;=DATE(1996,7,1),"")</f>
        <v/>
      </c>
    </row>
    <row r="1061" spans="1:28" ht="14.4" x14ac:dyDescent="0.55000000000000004">
      <c r="A1061" t="str">
        <f>VLOOKUP(L1061,Customers!$A$2:$B$92,2,FALSE)</f>
        <v>Familia Arquibaldo</v>
      </c>
      <c r="B1061" t="str">
        <f>VLOOKUP(L1061,Customers!$A$2:$C$92,3,TRUE)</f>
        <v>Aria Cruz</v>
      </c>
      <c r="C1061" t="str">
        <f t="shared" si="273"/>
        <v>Aria</v>
      </c>
      <c r="D1061" s="8" t="str">
        <f t="shared" si="274"/>
        <v>Cruz</v>
      </c>
      <c r="E1061" s="8" t="str">
        <f t="shared" si="275"/>
        <v>Cruz, Aria</v>
      </c>
      <c r="F1061" s="8" t="str">
        <f t="shared" si="276"/>
        <v>Cruz, Aria</v>
      </c>
      <c r="G1061" s="8" t="str">
        <f t="shared" si="277"/>
        <v>not an outlier</v>
      </c>
      <c r="H1061" s="8" t="str">
        <f t="shared" si="278"/>
        <v>Not</v>
      </c>
      <c r="I1061" s="8" t="str">
        <f t="shared" si="288"/>
        <v>no</v>
      </c>
      <c r="J1061" s="10" t="str">
        <f t="shared" si="279"/>
        <v>no</v>
      </c>
      <c r="K1061" s="10" t="str">
        <f t="shared" si="280"/>
        <v>no</v>
      </c>
      <c r="L1061" t="s">
        <v>170</v>
      </c>
      <c r="M1061">
        <v>10650</v>
      </c>
      <c r="N1061">
        <v>54</v>
      </c>
      <c r="O1061" t="s">
        <v>738</v>
      </c>
      <c r="P1061" t="str">
        <f t="shared" si="281"/>
        <v>FAMIA_10650_Tourtière</v>
      </c>
      <c r="Q1061" t="str">
        <f t="shared" si="282"/>
        <v>10650</v>
      </c>
      <c r="R1061" t="str">
        <f t="shared" si="283"/>
        <v>10650</v>
      </c>
      <c r="S1061" t="str">
        <f t="shared" si="284"/>
        <v>Tourtière</v>
      </c>
      <c r="T1061">
        <v>7.45</v>
      </c>
      <c r="U1061">
        <v>30</v>
      </c>
      <c r="V1061">
        <v>0</v>
      </c>
      <c r="W1061">
        <f t="shared" si="285"/>
        <v>223.5</v>
      </c>
      <c r="X1061" t="str">
        <f t="shared" si="286"/>
        <v>No</v>
      </c>
      <c r="Y1061" s="2">
        <v>34971</v>
      </c>
      <c r="Z1061" t="str">
        <f t="shared" si="272"/>
        <v/>
      </c>
      <c r="AA1061" t="str">
        <f t="shared" si="287"/>
        <v/>
      </c>
      <c r="AB1061" t="str" cm="1">
        <f t="array" ref="AB1061">_xlfn.IFS(Y1061&lt;DATE(1996,1,1),"",Y1061&lt;DATE(1996,4,1),"Q1",Y1061&lt;DATE(1996,7,1),"Q2",Y1061&gt;=DATE(1996,7,1),"")</f>
        <v/>
      </c>
    </row>
    <row r="1062" spans="1:28" ht="14.4" x14ac:dyDescent="0.55000000000000004">
      <c r="A1062" t="str">
        <f>VLOOKUP(L1062,Customers!$A$2:$B$92,2,FALSE)</f>
        <v>Die Wandernde Kuh</v>
      </c>
      <c r="B1062" t="str">
        <f>VLOOKUP(L1062,Customers!$A$2:$C$92,3,TRUE)</f>
        <v>Rita Müller</v>
      </c>
      <c r="C1062" t="str">
        <f t="shared" si="273"/>
        <v>Rita</v>
      </c>
      <c r="D1062" s="8" t="str">
        <f t="shared" si="274"/>
        <v>Müller</v>
      </c>
      <c r="E1062" s="8" t="str">
        <f t="shared" si="275"/>
        <v>Müller, Rita</v>
      </c>
      <c r="F1062" s="8" t="str">
        <f t="shared" si="276"/>
        <v>Müller, Rita</v>
      </c>
      <c r="G1062" s="8" t="str">
        <f t="shared" si="277"/>
        <v>not an outlier</v>
      </c>
      <c r="H1062" s="8" t="str">
        <f t="shared" si="278"/>
        <v>Not</v>
      </c>
      <c r="I1062" s="8" t="str">
        <f t="shared" si="288"/>
        <v>no</v>
      </c>
      <c r="J1062" s="10" t="str">
        <f t="shared" si="279"/>
        <v>no</v>
      </c>
      <c r="K1062" s="10" t="str">
        <f t="shared" si="280"/>
        <v>no</v>
      </c>
      <c r="L1062" t="s">
        <v>633</v>
      </c>
      <c r="M1062">
        <v>10651</v>
      </c>
      <c r="N1062">
        <v>19</v>
      </c>
      <c r="O1062" t="s">
        <v>732</v>
      </c>
      <c r="P1062" t="str">
        <f t="shared" si="281"/>
        <v>WANDK_10651_Teatime Chocolate Biscuits</v>
      </c>
      <c r="Q1062" t="str">
        <f t="shared" si="282"/>
        <v>10651</v>
      </c>
      <c r="R1062" t="str">
        <f t="shared" si="283"/>
        <v>10651</v>
      </c>
      <c r="S1062" t="str">
        <f t="shared" si="284"/>
        <v>Teatime Chocolate Biscuits</v>
      </c>
      <c r="T1062">
        <v>9.1999999999999993</v>
      </c>
      <c r="U1062">
        <v>12</v>
      </c>
      <c r="V1062">
        <v>0.25</v>
      </c>
      <c r="W1062">
        <f t="shared" si="285"/>
        <v>82.8</v>
      </c>
      <c r="X1062" t="str">
        <f t="shared" si="286"/>
        <v>No</v>
      </c>
      <c r="Y1062" s="2">
        <v>34974</v>
      </c>
      <c r="Z1062" t="str">
        <f t="shared" si="272"/>
        <v/>
      </c>
      <c r="AA1062" t="str">
        <f t="shared" si="287"/>
        <v/>
      </c>
      <c r="AB1062" t="str" cm="1">
        <f t="array" ref="AB1062">_xlfn.IFS(Y1062&lt;DATE(1996,1,1),"",Y1062&lt;DATE(1996,4,1),"Q1",Y1062&lt;DATE(1996,7,1),"Q2",Y1062&gt;=DATE(1996,7,1),"")</f>
        <v/>
      </c>
    </row>
    <row r="1063" spans="1:28" ht="14.4" x14ac:dyDescent="0.55000000000000004">
      <c r="A1063" t="str">
        <f>VLOOKUP(L1063,Customers!$A$2:$B$92,2,FALSE)</f>
        <v>Die Wandernde Kuh</v>
      </c>
      <c r="B1063" t="str">
        <f>VLOOKUP(L1063,Customers!$A$2:$C$92,3,TRUE)</f>
        <v>Rita Müller</v>
      </c>
      <c r="C1063" t="str">
        <f t="shared" si="273"/>
        <v>Rita</v>
      </c>
      <c r="D1063" s="8" t="str">
        <f t="shared" si="274"/>
        <v>Müller</v>
      </c>
      <c r="E1063" s="8" t="str">
        <f t="shared" si="275"/>
        <v>Müller, Rita</v>
      </c>
      <c r="F1063" s="8" t="str">
        <f t="shared" si="276"/>
        <v>Müller, Rita</v>
      </c>
      <c r="G1063" s="8" t="str">
        <f t="shared" si="277"/>
        <v>not an outlier</v>
      </c>
      <c r="H1063" s="8" t="str">
        <f t="shared" si="278"/>
        <v>Not</v>
      </c>
      <c r="I1063" s="8" t="str">
        <f t="shared" si="288"/>
        <v>no</v>
      </c>
      <c r="J1063" s="10" t="str">
        <f t="shared" si="279"/>
        <v>no</v>
      </c>
      <c r="K1063" s="10" t="str">
        <f t="shared" si="280"/>
        <v>no</v>
      </c>
      <c r="L1063" t="s">
        <v>633</v>
      </c>
      <c r="M1063">
        <v>10651</v>
      </c>
      <c r="N1063">
        <v>22</v>
      </c>
      <c r="O1063" t="s">
        <v>690</v>
      </c>
      <c r="P1063" t="str">
        <f t="shared" si="281"/>
        <v>WANDK_10651_Gustaf's Knäckebröd</v>
      </c>
      <c r="Q1063" t="str">
        <f t="shared" si="282"/>
        <v>10651</v>
      </c>
      <c r="R1063" t="str">
        <f t="shared" si="283"/>
        <v>10651</v>
      </c>
      <c r="S1063" t="str">
        <f t="shared" si="284"/>
        <v>Gustaf's Knäckebröd</v>
      </c>
      <c r="T1063">
        <v>21</v>
      </c>
      <c r="U1063">
        <v>20</v>
      </c>
      <c r="V1063">
        <v>0.25</v>
      </c>
      <c r="W1063">
        <f t="shared" si="285"/>
        <v>315</v>
      </c>
      <c r="X1063" t="str">
        <f t="shared" si="286"/>
        <v>No</v>
      </c>
      <c r="Y1063" s="2">
        <v>34974</v>
      </c>
      <c r="Z1063" t="str">
        <f t="shared" si="272"/>
        <v/>
      </c>
      <c r="AA1063" t="str">
        <f t="shared" si="287"/>
        <v/>
      </c>
      <c r="AB1063" t="str" cm="1">
        <f t="array" ref="AB1063">_xlfn.IFS(Y1063&lt;DATE(1996,1,1),"",Y1063&lt;DATE(1996,4,1),"Q1",Y1063&lt;DATE(1996,7,1),"Q2",Y1063&gt;=DATE(1996,7,1),"")</f>
        <v/>
      </c>
    </row>
    <row r="1064" spans="1:28" ht="14.4" x14ac:dyDescent="0.55000000000000004">
      <c r="A1064" t="str">
        <f>VLOOKUP(L1064,Customers!$A$2:$B$92,2,FALSE)</f>
        <v>Gourmet Lanchonetes</v>
      </c>
      <c r="B1064" t="str">
        <f>VLOOKUP(L1064,Customers!$A$2:$C$92,3,TRUE)</f>
        <v>André Fonseca</v>
      </c>
      <c r="C1064" t="str">
        <f t="shared" si="273"/>
        <v>André</v>
      </c>
      <c r="D1064" s="8" t="str">
        <f t="shared" si="274"/>
        <v>Fonseca</v>
      </c>
      <c r="E1064" s="8" t="str">
        <f t="shared" si="275"/>
        <v>Fonseca, André</v>
      </c>
      <c r="F1064" s="8" t="str">
        <f t="shared" si="276"/>
        <v>Fonseca, André</v>
      </c>
      <c r="G1064" s="8" t="str">
        <f t="shared" si="277"/>
        <v>not an outlier</v>
      </c>
      <c r="H1064" s="8" t="str">
        <f t="shared" si="278"/>
        <v>Not</v>
      </c>
      <c r="I1064" s="8" t="str">
        <f t="shared" si="288"/>
        <v>no</v>
      </c>
      <c r="J1064" s="10" t="str">
        <f t="shared" si="279"/>
        <v>no</v>
      </c>
      <c r="K1064" s="10" t="str">
        <f t="shared" si="280"/>
        <v>no</v>
      </c>
      <c r="L1064" t="s">
        <v>240</v>
      </c>
      <c r="M1064">
        <v>10652</v>
      </c>
      <c r="N1064">
        <v>30</v>
      </c>
      <c r="O1064" t="s">
        <v>717</v>
      </c>
      <c r="P1064" t="str">
        <f t="shared" si="281"/>
        <v>GOURL_10652_Nord-Ost Matjeshering</v>
      </c>
      <c r="Q1064" t="str">
        <f t="shared" si="282"/>
        <v>10652</v>
      </c>
      <c r="R1064" t="str">
        <f t="shared" si="283"/>
        <v>10652</v>
      </c>
      <c r="S1064" t="str">
        <f t="shared" si="284"/>
        <v>Nord-Ost Matjeshering</v>
      </c>
      <c r="T1064">
        <v>25.89</v>
      </c>
      <c r="U1064">
        <v>2</v>
      </c>
      <c r="V1064">
        <v>0.25</v>
      </c>
      <c r="W1064">
        <f t="shared" si="285"/>
        <v>38.835000000000001</v>
      </c>
      <c r="X1064" t="str">
        <f t="shared" si="286"/>
        <v>No</v>
      </c>
      <c r="Y1064" s="2">
        <v>34974</v>
      </c>
      <c r="Z1064" t="str">
        <f t="shared" si="272"/>
        <v/>
      </c>
      <c r="AA1064" t="str">
        <f t="shared" si="287"/>
        <v/>
      </c>
      <c r="AB1064" t="str" cm="1">
        <f t="array" ref="AB1064">_xlfn.IFS(Y1064&lt;DATE(1996,1,1),"",Y1064&lt;DATE(1996,4,1),"Q1",Y1064&lt;DATE(1996,7,1),"Q2",Y1064&gt;=DATE(1996,7,1),"")</f>
        <v/>
      </c>
    </row>
    <row r="1065" spans="1:28" ht="14.4" x14ac:dyDescent="0.55000000000000004">
      <c r="A1065" t="str">
        <f>VLOOKUP(L1065,Customers!$A$2:$B$92,2,FALSE)</f>
        <v>Gourmet Lanchonetes</v>
      </c>
      <c r="B1065" t="str">
        <f>VLOOKUP(L1065,Customers!$A$2:$C$92,3,TRUE)</f>
        <v>André Fonseca</v>
      </c>
      <c r="C1065" t="str">
        <f t="shared" si="273"/>
        <v>André</v>
      </c>
      <c r="D1065" s="8" t="str">
        <f t="shared" si="274"/>
        <v>Fonseca</v>
      </c>
      <c r="E1065" s="8" t="str">
        <f t="shared" si="275"/>
        <v>Fonseca, André</v>
      </c>
      <c r="F1065" s="8" t="str">
        <f t="shared" si="276"/>
        <v>Fonseca, André</v>
      </c>
      <c r="G1065" s="8" t="str">
        <f t="shared" si="277"/>
        <v>not an outlier</v>
      </c>
      <c r="H1065" s="8" t="str">
        <f t="shared" si="278"/>
        <v>Not</v>
      </c>
      <c r="I1065" s="8" t="str">
        <f t="shared" si="288"/>
        <v>no</v>
      </c>
      <c r="J1065" s="10" t="str">
        <f t="shared" si="279"/>
        <v>no</v>
      </c>
      <c r="K1065" s="10" t="str">
        <f t="shared" si="280"/>
        <v>no</v>
      </c>
      <c r="L1065" t="s">
        <v>240</v>
      </c>
      <c r="M1065">
        <v>10652</v>
      </c>
      <c r="N1065">
        <v>42</v>
      </c>
      <c r="O1065" t="s">
        <v>684</v>
      </c>
      <c r="P1065" t="str">
        <f t="shared" si="281"/>
        <v>GOURL_10652_Singaporean Hokkien Fried Mee</v>
      </c>
      <c r="Q1065" t="str">
        <f t="shared" si="282"/>
        <v>10652</v>
      </c>
      <c r="R1065" t="str">
        <f t="shared" si="283"/>
        <v>10652</v>
      </c>
      <c r="S1065" t="str">
        <f t="shared" si="284"/>
        <v>Singaporean Hokkien Fried Mee</v>
      </c>
      <c r="T1065">
        <v>14</v>
      </c>
      <c r="U1065">
        <v>20</v>
      </c>
      <c r="V1065">
        <v>0</v>
      </c>
      <c r="W1065">
        <f t="shared" si="285"/>
        <v>280</v>
      </c>
      <c r="X1065" t="str">
        <f t="shared" si="286"/>
        <v>No</v>
      </c>
      <c r="Y1065" s="2">
        <v>34974</v>
      </c>
      <c r="Z1065" t="str">
        <f t="shared" si="272"/>
        <v/>
      </c>
      <c r="AA1065" t="str">
        <f t="shared" si="287"/>
        <v/>
      </c>
      <c r="AB1065" t="str" cm="1">
        <f t="array" ref="AB1065">_xlfn.IFS(Y1065&lt;DATE(1996,1,1),"",Y1065&lt;DATE(1996,4,1),"Q1",Y1065&lt;DATE(1996,7,1),"Q2",Y1065&gt;=DATE(1996,7,1),"")</f>
        <v/>
      </c>
    </row>
    <row r="1066" spans="1:28" ht="14.4" x14ac:dyDescent="0.55000000000000004">
      <c r="A1066" t="str">
        <f>VLOOKUP(L1066,Customers!$A$2:$B$92,2,FALSE)</f>
        <v>Frankenversand</v>
      </c>
      <c r="B1066" t="str">
        <f>VLOOKUP(L1066,Customers!$A$2:$C$92,3,TRUE)</f>
        <v>Peter Franken</v>
      </c>
      <c r="C1066" t="str">
        <f t="shared" si="273"/>
        <v>Peter</v>
      </c>
      <c r="D1066" s="8" t="str">
        <f t="shared" si="274"/>
        <v>Franken</v>
      </c>
      <c r="E1066" s="8" t="str">
        <f t="shared" si="275"/>
        <v>Franken, Peter</v>
      </c>
      <c r="F1066" s="8" t="str">
        <f t="shared" si="276"/>
        <v>Franken, Peter</v>
      </c>
      <c r="G1066" s="8" t="str">
        <f t="shared" si="277"/>
        <v>not an outlier</v>
      </c>
      <c r="H1066" s="8" t="str">
        <f t="shared" si="278"/>
        <v>Not</v>
      </c>
      <c r="I1066" s="8" t="str">
        <f t="shared" si="288"/>
        <v>no</v>
      </c>
      <c r="J1066" s="10" t="str">
        <f t="shared" si="279"/>
        <v>no</v>
      </c>
      <c r="K1066" s="10" t="str">
        <f t="shared" si="280"/>
        <v>no</v>
      </c>
      <c r="L1066" t="s">
        <v>198</v>
      </c>
      <c r="M1066">
        <v>10653</v>
      </c>
      <c r="N1066">
        <v>16</v>
      </c>
      <c r="O1066" t="s">
        <v>702</v>
      </c>
      <c r="P1066" t="str">
        <f t="shared" si="281"/>
        <v>FRANK_10653_Pavlova</v>
      </c>
      <c r="Q1066" t="str">
        <f t="shared" si="282"/>
        <v>10653</v>
      </c>
      <c r="R1066" t="str">
        <f t="shared" si="283"/>
        <v>10653</v>
      </c>
      <c r="S1066" t="str">
        <f t="shared" si="284"/>
        <v>Pavlova</v>
      </c>
      <c r="T1066">
        <v>17.45</v>
      </c>
      <c r="U1066">
        <v>30</v>
      </c>
      <c r="V1066">
        <v>0.1</v>
      </c>
      <c r="W1066">
        <f t="shared" si="285"/>
        <v>471.15000000000003</v>
      </c>
      <c r="X1066" t="str">
        <f t="shared" si="286"/>
        <v>No</v>
      </c>
      <c r="Y1066" s="2">
        <v>34975</v>
      </c>
      <c r="Z1066" t="str">
        <f t="shared" si="272"/>
        <v/>
      </c>
      <c r="AA1066" t="str">
        <f t="shared" si="287"/>
        <v/>
      </c>
      <c r="AB1066" t="str" cm="1">
        <f t="array" ref="AB1066">_xlfn.IFS(Y1066&lt;DATE(1996,1,1),"",Y1066&lt;DATE(1996,4,1),"Q1",Y1066&lt;DATE(1996,7,1),"Q2",Y1066&gt;=DATE(1996,7,1),"")</f>
        <v/>
      </c>
    </row>
    <row r="1067" spans="1:28" ht="14.4" x14ac:dyDescent="0.55000000000000004">
      <c r="A1067" t="str">
        <f>VLOOKUP(L1067,Customers!$A$2:$B$92,2,FALSE)</f>
        <v>Frankenversand</v>
      </c>
      <c r="B1067" t="str">
        <f>VLOOKUP(L1067,Customers!$A$2:$C$92,3,TRUE)</f>
        <v>Peter Franken</v>
      </c>
      <c r="C1067" t="str">
        <f t="shared" si="273"/>
        <v>Peter</v>
      </c>
      <c r="D1067" s="8" t="str">
        <f t="shared" si="274"/>
        <v>Franken</v>
      </c>
      <c r="E1067" s="8" t="str">
        <f t="shared" si="275"/>
        <v>Franken, Peter</v>
      </c>
      <c r="F1067" s="8" t="str">
        <f t="shared" si="276"/>
        <v>Franken, Peter</v>
      </c>
      <c r="G1067" s="8" t="str">
        <f t="shared" si="277"/>
        <v>not an outlier</v>
      </c>
      <c r="H1067" s="8" t="str">
        <f t="shared" si="278"/>
        <v>Not</v>
      </c>
      <c r="I1067" s="8" t="str">
        <f t="shared" si="288"/>
        <v>no</v>
      </c>
      <c r="J1067" s="10" t="str">
        <f t="shared" si="279"/>
        <v>no</v>
      </c>
      <c r="K1067" s="10" t="str">
        <f t="shared" si="280"/>
        <v>no</v>
      </c>
      <c r="L1067" t="s">
        <v>198</v>
      </c>
      <c r="M1067">
        <v>10653</v>
      </c>
      <c r="N1067">
        <v>60</v>
      </c>
      <c r="O1067" t="s">
        <v>694</v>
      </c>
      <c r="P1067" t="str">
        <f t="shared" si="281"/>
        <v>FRANK_10653_Camembert Pierrot</v>
      </c>
      <c r="Q1067" t="str">
        <f t="shared" si="282"/>
        <v>10653</v>
      </c>
      <c r="R1067" t="str">
        <f t="shared" si="283"/>
        <v>10653</v>
      </c>
      <c r="S1067" t="str">
        <f t="shared" si="284"/>
        <v>Camembert Pierrot</v>
      </c>
      <c r="T1067">
        <v>34</v>
      </c>
      <c r="U1067">
        <v>20</v>
      </c>
      <c r="V1067">
        <v>0.1</v>
      </c>
      <c r="W1067">
        <f t="shared" si="285"/>
        <v>612</v>
      </c>
      <c r="X1067" t="str">
        <f t="shared" si="286"/>
        <v>No</v>
      </c>
      <c r="Y1067" s="2">
        <v>34975</v>
      </c>
      <c r="Z1067" t="str">
        <f t="shared" si="272"/>
        <v/>
      </c>
      <c r="AA1067" t="str">
        <f t="shared" si="287"/>
        <v/>
      </c>
      <c r="AB1067" t="str" cm="1">
        <f t="array" ref="AB1067">_xlfn.IFS(Y1067&lt;DATE(1996,1,1),"",Y1067&lt;DATE(1996,4,1),"Q1",Y1067&lt;DATE(1996,7,1),"Q2",Y1067&gt;=DATE(1996,7,1),"")</f>
        <v/>
      </c>
    </row>
    <row r="1068" spans="1:28" ht="14.4" x14ac:dyDescent="0.55000000000000004">
      <c r="A1068" t="str">
        <f>VLOOKUP(L1068,Customers!$A$2:$B$92,2,FALSE)</f>
        <v>Berglunds snabbköp</v>
      </c>
      <c r="B1068" t="str">
        <f>VLOOKUP(L1068,Customers!$A$2:$C$92,3,TRUE)</f>
        <v>Christina Berglund</v>
      </c>
      <c r="C1068" t="str">
        <f t="shared" si="273"/>
        <v>Christina</v>
      </c>
      <c r="D1068" s="8" t="str">
        <f t="shared" si="274"/>
        <v>Berglund</v>
      </c>
      <c r="E1068" s="8" t="str">
        <f t="shared" si="275"/>
        <v>Berglund, Christina</v>
      </c>
      <c r="F1068" s="8" t="str">
        <f t="shared" si="276"/>
        <v>Berglund, Christina</v>
      </c>
      <c r="G1068" s="8" t="str">
        <f t="shared" si="277"/>
        <v>not an outlier</v>
      </c>
      <c r="H1068" s="8" t="str">
        <f t="shared" si="278"/>
        <v>Not</v>
      </c>
      <c r="I1068" s="8" t="str">
        <f t="shared" si="288"/>
        <v>no</v>
      </c>
      <c r="J1068" s="10" t="str">
        <f t="shared" si="279"/>
        <v>no</v>
      </c>
      <c r="K1068" s="10" t="str">
        <f t="shared" si="280"/>
        <v>no</v>
      </c>
      <c r="L1068" t="s">
        <v>43</v>
      </c>
      <c r="M1068">
        <v>10654</v>
      </c>
      <c r="N1068">
        <v>4</v>
      </c>
      <c r="O1068" t="s">
        <v>745</v>
      </c>
      <c r="P1068" t="str">
        <f t="shared" si="281"/>
        <v>BERGS_10654_Chef Anton's Cajun Seasoning</v>
      </c>
      <c r="Q1068" t="str">
        <f t="shared" si="282"/>
        <v>10654</v>
      </c>
      <c r="R1068" t="str">
        <f t="shared" si="283"/>
        <v>10654</v>
      </c>
      <c r="S1068" t="str">
        <f t="shared" si="284"/>
        <v>Chef Anton's Cajun Seasoning</v>
      </c>
      <c r="T1068">
        <v>22</v>
      </c>
      <c r="U1068">
        <v>12</v>
      </c>
      <c r="V1068">
        <v>0.1</v>
      </c>
      <c r="W1068">
        <f t="shared" si="285"/>
        <v>237.6</v>
      </c>
      <c r="X1068" t="str">
        <f t="shared" si="286"/>
        <v>No</v>
      </c>
      <c r="Y1068" s="2">
        <v>34975</v>
      </c>
      <c r="Z1068" t="str">
        <f t="shared" si="272"/>
        <v/>
      </c>
      <c r="AA1068" t="str">
        <f t="shared" si="287"/>
        <v/>
      </c>
      <c r="AB1068" t="str" cm="1">
        <f t="array" ref="AB1068">_xlfn.IFS(Y1068&lt;DATE(1996,1,1),"",Y1068&lt;DATE(1996,4,1),"Q1",Y1068&lt;DATE(1996,7,1),"Q2",Y1068&gt;=DATE(1996,7,1),"")</f>
        <v/>
      </c>
    </row>
    <row r="1069" spans="1:28" ht="14.4" x14ac:dyDescent="0.55000000000000004">
      <c r="A1069" t="str">
        <f>VLOOKUP(L1069,Customers!$A$2:$B$92,2,FALSE)</f>
        <v>Berglunds snabbköp</v>
      </c>
      <c r="B1069" t="str">
        <f>VLOOKUP(L1069,Customers!$A$2:$C$92,3,TRUE)</f>
        <v>Christina Berglund</v>
      </c>
      <c r="C1069" t="str">
        <f t="shared" si="273"/>
        <v>Christina</v>
      </c>
      <c r="D1069" s="8" t="str">
        <f t="shared" si="274"/>
        <v>Berglund</v>
      </c>
      <c r="E1069" s="8" t="str">
        <f t="shared" si="275"/>
        <v>Berglund, Christina</v>
      </c>
      <c r="F1069" s="8" t="str">
        <f t="shared" si="276"/>
        <v>Berglund, Christina</v>
      </c>
      <c r="G1069" s="8" t="str">
        <f t="shared" si="277"/>
        <v>not an outlier</v>
      </c>
      <c r="H1069" s="8" t="str">
        <f t="shared" si="278"/>
        <v>Not</v>
      </c>
      <c r="I1069" s="8" t="str">
        <f t="shared" si="288"/>
        <v>no</v>
      </c>
      <c r="J1069" s="10" t="str">
        <f t="shared" si="279"/>
        <v>no</v>
      </c>
      <c r="K1069" s="10" t="str">
        <f t="shared" si="280"/>
        <v>no</v>
      </c>
      <c r="L1069" t="s">
        <v>43</v>
      </c>
      <c r="M1069">
        <v>10654</v>
      </c>
      <c r="N1069">
        <v>39</v>
      </c>
      <c r="O1069" t="s">
        <v>696</v>
      </c>
      <c r="P1069" t="str">
        <f t="shared" si="281"/>
        <v>BERGS_10654_Chartreuse verte</v>
      </c>
      <c r="Q1069" t="str">
        <f t="shared" si="282"/>
        <v>10654</v>
      </c>
      <c r="R1069" t="str">
        <f t="shared" si="283"/>
        <v>10654</v>
      </c>
      <c r="S1069" t="str">
        <f t="shared" si="284"/>
        <v>Chartreuse verte</v>
      </c>
      <c r="T1069">
        <v>18</v>
      </c>
      <c r="U1069">
        <v>20</v>
      </c>
      <c r="V1069">
        <v>0.1</v>
      </c>
      <c r="W1069">
        <f t="shared" si="285"/>
        <v>324</v>
      </c>
      <c r="X1069" t="str">
        <f t="shared" si="286"/>
        <v>No</v>
      </c>
      <c r="Y1069" s="2">
        <v>34975</v>
      </c>
      <c r="Z1069" t="str">
        <f t="shared" si="272"/>
        <v/>
      </c>
      <c r="AA1069" t="str">
        <f t="shared" si="287"/>
        <v/>
      </c>
      <c r="AB1069" t="str" cm="1">
        <f t="array" ref="AB1069">_xlfn.IFS(Y1069&lt;DATE(1996,1,1),"",Y1069&lt;DATE(1996,4,1),"Q1",Y1069&lt;DATE(1996,7,1),"Q2",Y1069&gt;=DATE(1996,7,1),"")</f>
        <v/>
      </c>
    </row>
    <row r="1070" spans="1:28" ht="14.4" x14ac:dyDescent="0.55000000000000004">
      <c r="A1070" t="str">
        <f>VLOOKUP(L1070,Customers!$A$2:$B$92,2,FALSE)</f>
        <v>Berglunds snabbköp</v>
      </c>
      <c r="B1070" t="str">
        <f>VLOOKUP(L1070,Customers!$A$2:$C$92,3,TRUE)</f>
        <v>Christina Berglund</v>
      </c>
      <c r="C1070" t="str">
        <f t="shared" si="273"/>
        <v>Christina</v>
      </c>
      <c r="D1070" s="8" t="str">
        <f t="shared" si="274"/>
        <v>Berglund</v>
      </c>
      <c r="E1070" s="8" t="str">
        <f t="shared" si="275"/>
        <v>Berglund, Christina</v>
      </c>
      <c r="F1070" s="8" t="str">
        <f t="shared" si="276"/>
        <v>Berglund, Christina</v>
      </c>
      <c r="G1070" s="8" t="str">
        <f t="shared" si="277"/>
        <v>not an outlier</v>
      </c>
      <c r="H1070" s="8" t="str">
        <f t="shared" si="278"/>
        <v>Not</v>
      </c>
      <c r="I1070" s="8" t="str">
        <f t="shared" si="288"/>
        <v>no</v>
      </c>
      <c r="J1070" s="10" t="str">
        <f t="shared" si="279"/>
        <v>no</v>
      </c>
      <c r="K1070" s="10" t="str">
        <f t="shared" si="280"/>
        <v>no</v>
      </c>
      <c r="L1070" t="s">
        <v>43</v>
      </c>
      <c r="M1070">
        <v>10654</v>
      </c>
      <c r="N1070">
        <v>54</v>
      </c>
      <c r="O1070" t="s">
        <v>738</v>
      </c>
      <c r="P1070" t="str">
        <f t="shared" si="281"/>
        <v>BERGS_10654_Tourtière</v>
      </c>
      <c r="Q1070" t="str">
        <f t="shared" si="282"/>
        <v>10654</v>
      </c>
      <c r="R1070" t="str">
        <f t="shared" si="283"/>
        <v>10654</v>
      </c>
      <c r="S1070" t="str">
        <f t="shared" si="284"/>
        <v>Tourtière</v>
      </c>
      <c r="T1070">
        <v>7.45</v>
      </c>
      <c r="U1070">
        <v>6</v>
      </c>
      <c r="V1070">
        <v>0.1</v>
      </c>
      <c r="W1070">
        <f t="shared" si="285"/>
        <v>40.230000000000004</v>
      </c>
      <c r="X1070" t="str">
        <f t="shared" si="286"/>
        <v>No</v>
      </c>
      <c r="Y1070" s="2">
        <v>34975</v>
      </c>
      <c r="Z1070" t="str">
        <f t="shared" si="272"/>
        <v/>
      </c>
      <c r="AA1070" t="str">
        <f t="shared" si="287"/>
        <v/>
      </c>
      <c r="AB1070" t="str" cm="1">
        <f t="array" ref="AB1070">_xlfn.IFS(Y1070&lt;DATE(1996,1,1),"",Y1070&lt;DATE(1996,4,1),"Q1",Y1070&lt;DATE(1996,7,1),"Q2",Y1070&gt;=DATE(1996,7,1),"")</f>
        <v/>
      </c>
    </row>
    <row r="1071" spans="1:28" ht="14.4" x14ac:dyDescent="0.55000000000000004">
      <c r="A1071" t="str">
        <f>VLOOKUP(L1071,Customers!$A$2:$B$92,2,FALSE)</f>
        <v>Reggiani Caseifici</v>
      </c>
      <c r="B1071" t="str">
        <f>VLOOKUP(L1071,Customers!$A$2:$C$92,3,TRUE)</f>
        <v>Maurizio Moroni</v>
      </c>
      <c r="C1071" t="str">
        <f t="shared" si="273"/>
        <v>Maurizio</v>
      </c>
      <c r="D1071" s="8" t="str">
        <f t="shared" si="274"/>
        <v>Moroni</v>
      </c>
      <c r="E1071" s="8" t="str">
        <f t="shared" si="275"/>
        <v>Moroni, Maurizio</v>
      </c>
      <c r="F1071" s="8" t="str">
        <f t="shared" si="276"/>
        <v>Moroni, Maurizio</v>
      </c>
      <c r="G1071" s="8" t="str">
        <f t="shared" si="277"/>
        <v>not an outlier</v>
      </c>
      <c r="H1071" s="8" t="str">
        <f t="shared" si="278"/>
        <v>Not</v>
      </c>
      <c r="I1071" s="8" t="str">
        <f t="shared" si="288"/>
        <v>no</v>
      </c>
      <c r="J1071" s="10" t="str">
        <f t="shared" si="279"/>
        <v>no</v>
      </c>
      <c r="K1071" s="10" t="str">
        <f t="shared" si="280"/>
        <v>no</v>
      </c>
      <c r="L1071" t="s">
        <v>496</v>
      </c>
      <c r="M1071">
        <v>10655</v>
      </c>
      <c r="N1071">
        <v>41</v>
      </c>
      <c r="O1071" t="s">
        <v>688</v>
      </c>
      <c r="P1071" t="str">
        <f t="shared" si="281"/>
        <v>REGGC_10655_Jack's New England Clam Chowder</v>
      </c>
      <c r="Q1071" t="str">
        <f t="shared" si="282"/>
        <v>10655</v>
      </c>
      <c r="R1071" t="str">
        <f t="shared" si="283"/>
        <v>10655</v>
      </c>
      <c r="S1071" t="str">
        <f t="shared" si="284"/>
        <v>Jack's New England Clam Chowder</v>
      </c>
      <c r="T1071">
        <v>9.65</v>
      </c>
      <c r="U1071">
        <v>20</v>
      </c>
      <c r="V1071">
        <v>0.2</v>
      </c>
      <c r="W1071">
        <f t="shared" si="285"/>
        <v>154.4</v>
      </c>
      <c r="X1071" t="str">
        <f t="shared" si="286"/>
        <v>No</v>
      </c>
      <c r="Y1071" s="2">
        <v>34976</v>
      </c>
      <c r="Z1071" t="str">
        <f t="shared" si="272"/>
        <v/>
      </c>
      <c r="AA1071" t="str">
        <f t="shared" si="287"/>
        <v/>
      </c>
      <c r="AB1071" t="str" cm="1">
        <f t="array" ref="AB1071">_xlfn.IFS(Y1071&lt;DATE(1996,1,1),"",Y1071&lt;DATE(1996,4,1),"Q1",Y1071&lt;DATE(1996,7,1),"Q2",Y1071&gt;=DATE(1996,7,1),"")</f>
        <v/>
      </c>
    </row>
    <row r="1072" spans="1:28" ht="14.4" x14ac:dyDescent="0.55000000000000004">
      <c r="A1072" t="str">
        <f>VLOOKUP(L1072,Customers!$A$2:$B$92,2,FALSE)</f>
        <v>Great Lakes Food Market</v>
      </c>
      <c r="B1072" t="str">
        <f>VLOOKUP(L1072,Customers!$A$2:$C$92,3,TRUE)</f>
        <v>Howard Snyder</v>
      </c>
      <c r="C1072" t="str">
        <f t="shared" si="273"/>
        <v>Howard</v>
      </c>
      <c r="D1072" s="8" t="str">
        <f t="shared" si="274"/>
        <v>Snyder</v>
      </c>
      <c r="E1072" s="8" t="str">
        <f t="shared" si="275"/>
        <v>Snyder, Howard</v>
      </c>
      <c r="F1072" s="8" t="str">
        <f t="shared" si="276"/>
        <v>Snyder, Howard</v>
      </c>
      <c r="G1072" s="8" t="str">
        <f t="shared" si="277"/>
        <v>not an outlier</v>
      </c>
      <c r="H1072" s="8" t="str">
        <f t="shared" si="278"/>
        <v>Not</v>
      </c>
      <c r="I1072" s="8" t="str">
        <f t="shared" si="288"/>
        <v>no</v>
      </c>
      <c r="J1072" s="10" t="str">
        <f t="shared" si="279"/>
        <v>no</v>
      </c>
      <c r="K1072" s="10" t="str">
        <f t="shared" si="280"/>
        <v>no</v>
      </c>
      <c r="L1072" t="s">
        <v>247</v>
      </c>
      <c r="M1072">
        <v>10656</v>
      </c>
      <c r="N1072">
        <v>14</v>
      </c>
      <c r="O1072" t="s">
        <v>686</v>
      </c>
      <c r="P1072" t="str">
        <f t="shared" si="281"/>
        <v>GREAL_10656_Tofu</v>
      </c>
      <c r="Q1072" t="str">
        <f t="shared" si="282"/>
        <v>10656</v>
      </c>
      <c r="R1072" t="str">
        <f t="shared" si="283"/>
        <v>10656</v>
      </c>
      <c r="S1072" t="str">
        <f t="shared" si="284"/>
        <v>Tofu</v>
      </c>
      <c r="T1072">
        <v>23.25</v>
      </c>
      <c r="U1072">
        <v>3</v>
      </c>
      <c r="V1072">
        <v>0.1</v>
      </c>
      <c r="W1072">
        <f t="shared" si="285"/>
        <v>62.774999999999999</v>
      </c>
      <c r="X1072" t="str">
        <f t="shared" si="286"/>
        <v>No</v>
      </c>
      <c r="Y1072" s="2">
        <v>34977</v>
      </c>
      <c r="Z1072" t="str">
        <f t="shared" si="272"/>
        <v/>
      </c>
      <c r="AA1072" t="str">
        <f t="shared" si="287"/>
        <v/>
      </c>
      <c r="AB1072" t="str" cm="1">
        <f t="array" ref="AB1072">_xlfn.IFS(Y1072&lt;DATE(1996,1,1),"",Y1072&lt;DATE(1996,4,1),"Q1",Y1072&lt;DATE(1996,7,1),"Q2",Y1072&gt;=DATE(1996,7,1),"")</f>
        <v/>
      </c>
    </row>
    <row r="1073" spans="1:28" ht="14.4" x14ac:dyDescent="0.55000000000000004">
      <c r="A1073" t="str">
        <f>VLOOKUP(L1073,Customers!$A$2:$B$92,2,FALSE)</f>
        <v>Great Lakes Food Market</v>
      </c>
      <c r="B1073" t="str">
        <f>VLOOKUP(L1073,Customers!$A$2:$C$92,3,TRUE)</f>
        <v>Howard Snyder</v>
      </c>
      <c r="C1073" t="str">
        <f t="shared" si="273"/>
        <v>Howard</v>
      </c>
      <c r="D1073" s="8" t="str">
        <f t="shared" si="274"/>
        <v>Snyder</v>
      </c>
      <c r="E1073" s="8" t="str">
        <f t="shared" si="275"/>
        <v>Snyder, Howard</v>
      </c>
      <c r="F1073" s="8" t="str">
        <f t="shared" si="276"/>
        <v>Snyder, Howard</v>
      </c>
      <c r="G1073" s="8" t="str">
        <f t="shared" si="277"/>
        <v>not an outlier</v>
      </c>
      <c r="H1073" s="8" t="str">
        <f t="shared" si="278"/>
        <v>Not</v>
      </c>
      <c r="I1073" s="8" t="str">
        <f t="shared" si="288"/>
        <v>no</v>
      </c>
      <c r="J1073" s="10" t="str">
        <f t="shared" si="279"/>
        <v>no</v>
      </c>
      <c r="K1073" s="10" t="str">
        <f t="shared" si="280"/>
        <v>no</v>
      </c>
      <c r="L1073" t="s">
        <v>247</v>
      </c>
      <c r="M1073">
        <v>10656</v>
      </c>
      <c r="N1073">
        <v>44</v>
      </c>
      <c r="O1073" t="s">
        <v>728</v>
      </c>
      <c r="P1073" t="str">
        <f t="shared" si="281"/>
        <v>GREAL_10656_Gula Malacca</v>
      </c>
      <c r="Q1073" t="str">
        <f t="shared" si="282"/>
        <v>10656</v>
      </c>
      <c r="R1073" t="str">
        <f t="shared" si="283"/>
        <v>10656</v>
      </c>
      <c r="S1073" t="str">
        <f t="shared" si="284"/>
        <v>Gula Malacca</v>
      </c>
      <c r="T1073">
        <v>19.45</v>
      </c>
      <c r="U1073">
        <v>28</v>
      </c>
      <c r="V1073">
        <v>0.1</v>
      </c>
      <c r="W1073">
        <f t="shared" si="285"/>
        <v>490.14000000000004</v>
      </c>
      <c r="X1073" t="str">
        <f t="shared" si="286"/>
        <v>No</v>
      </c>
      <c r="Y1073" s="2">
        <v>34977</v>
      </c>
      <c r="Z1073" t="str">
        <f t="shared" si="272"/>
        <v/>
      </c>
      <c r="AA1073" t="str">
        <f t="shared" si="287"/>
        <v/>
      </c>
      <c r="AB1073" t="str" cm="1">
        <f t="array" ref="AB1073">_xlfn.IFS(Y1073&lt;DATE(1996,1,1),"",Y1073&lt;DATE(1996,4,1),"Q1",Y1073&lt;DATE(1996,7,1),"Q2",Y1073&gt;=DATE(1996,7,1),"")</f>
        <v/>
      </c>
    </row>
    <row r="1074" spans="1:28" ht="14.4" x14ac:dyDescent="0.55000000000000004">
      <c r="A1074" t="str">
        <f>VLOOKUP(L1074,Customers!$A$2:$B$92,2,FALSE)</f>
        <v>Great Lakes Food Market</v>
      </c>
      <c r="B1074" t="str">
        <f>VLOOKUP(L1074,Customers!$A$2:$C$92,3,TRUE)</f>
        <v>Howard Snyder</v>
      </c>
      <c r="C1074" t="str">
        <f t="shared" si="273"/>
        <v>Howard</v>
      </c>
      <c r="D1074" s="8" t="str">
        <f t="shared" si="274"/>
        <v>Snyder</v>
      </c>
      <c r="E1074" s="8" t="str">
        <f t="shared" si="275"/>
        <v>Snyder, Howard</v>
      </c>
      <c r="F1074" s="8" t="str">
        <f t="shared" si="276"/>
        <v>Snyder, Howard</v>
      </c>
      <c r="G1074" s="8" t="str">
        <f t="shared" si="277"/>
        <v>not an outlier</v>
      </c>
      <c r="H1074" s="8" t="str">
        <f t="shared" si="278"/>
        <v>Not</v>
      </c>
      <c r="I1074" s="8" t="str">
        <f t="shared" si="288"/>
        <v>no</v>
      </c>
      <c r="J1074" s="10" t="str">
        <f t="shared" si="279"/>
        <v>no</v>
      </c>
      <c r="K1074" s="10" t="str">
        <f t="shared" si="280"/>
        <v>no</v>
      </c>
      <c r="L1074" t="s">
        <v>247</v>
      </c>
      <c r="M1074">
        <v>10656</v>
      </c>
      <c r="N1074">
        <v>47</v>
      </c>
      <c r="O1074" t="s">
        <v>752</v>
      </c>
      <c r="P1074" t="str">
        <f t="shared" si="281"/>
        <v>GREAL_10656_Zaanse koeken</v>
      </c>
      <c r="Q1074" t="str">
        <f t="shared" si="282"/>
        <v>10656</v>
      </c>
      <c r="R1074" t="str">
        <f t="shared" si="283"/>
        <v>10656</v>
      </c>
      <c r="S1074" t="str">
        <f t="shared" si="284"/>
        <v>Zaanse koeken</v>
      </c>
      <c r="T1074">
        <v>9.5</v>
      </c>
      <c r="U1074">
        <v>6</v>
      </c>
      <c r="V1074">
        <v>0.1</v>
      </c>
      <c r="W1074">
        <f t="shared" si="285"/>
        <v>51.300000000000004</v>
      </c>
      <c r="X1074" t="str">
        <f t="shared" si="286"/>
        <v>No</v>
      </c>
      <c r="Y1074" s="2">
        <v>34977</v>
      </c>
      <c r="Z1074" t="str">
        <f t="shared" si="272"/>
        <v/>
      </c>
      <c r="AA1074" t="str">
        <f t="shared" si="287"/>
        <v/>
      </c>
      <c r="AB1074" t="str" cm="1">
        <f t="array" ref="AB1074">_xlfn.IFS(Y1074&lt;DATE(1996,1,1),"",Y1074&lt;DATE(1996,4,1),"Q1",Y1074&lt;DATE(1996,7,1),"Q2",Y1074&gt;=DATE(1996,7,1),"")</f>
        <v/>
      </c>
    </row>
    <row r="1075" spans="1:28" ht="14.4" x14ac:dyDescent="0.55000000000000004">
      <c r="A1075" t="str">
        <f>VLOOKUP(L1075,Customers!$A$2:$B$92,2,FALSE)</f>
        <v>Save-a-lot Markets</v>
      </c>
      <c r="B1075" t="str">
        <f>VLOOKUP(L1075,Customers!$A$2:$C$92,3,TRUE)</f>
        <v>Jose Pavarotti</v>
      </c>
      <c r="C1075" t="str">
        <f t="shared" si="273"/>
        <v>Jose</v>
      </c>
      <c r="D1075" s="8" t="str">
        <f t="shared" si="274"/>
        <v>Pavarotti</v>
      </c>
      <c r="E1075" s="8" t="str">
        <f t="shared" si="275"/>
        <v>Pavarotti, Jose</v>
      </c>
      <c r="F1075" s="8" t="str">
        <f t="shared" si="276"/>
        <v>Pavarotti, Jose</v>
      </c>
      <c r="G1075" s="8" t="str">
        <f t="shared" si="277"/>
        <v>not an outlier</v>
      </c>
      <c r="H1075" s="8" t="str">
        <f t="shared" si="278"/>
        <v>Not</v>
      </c>
      <c r="I1075" s="8" t="str">
        <f t="shared" si="288"/>
        <v>no</v>
      </c>
      <c r="J1075" s="10" t="str">
        <f t="shared" si="279"/>
        <v>no</v>
      </c>
      <c r="K1075" s="10" t="str">
        <f t="shared" si="280"/>
        <v>no</v>
      </c>
      <c r="L1075" t="s">
        <v>529</v>
      </c>
      <c r="M1075">
        <v>10657</v>
      </c>
      <c r="N1075">
        <v>15</v>
      </c>
      <c r="O1075" t="s">
        <v>733</v>
      </c>
      <c r="P1075" t="str">
        <f t="shared" si="281"/>
        <v>SAVEA_10657_Genen Shouyu</v>
      </c>
      <c r="Q1075" t="str">
        <f t="shared" si="282"/>
        <v>10657</v>
      </c>
      <c r="R1075" t="str">
        <f t="shared" si="283"/>
        <v>10657</v>
      </c>
      <c r="S1075" t="str">
        <f t="shared" si="284"/>
        <v>Genen Shouyu</v>
      </c>
      <c r="T1075">
        <v>15.5</v>
      </c>
      <c r="U1075">
        <v>50</v>
      </c>
      <c r="V1075">
        <v>0</v>
      </c>
      <c r="W1075">
        <f t="shared" si="285"/>
        <v>775</v>
      </c>
      <c r="X1075" t="str">
        <f t="shared" si="286"/>
        <v>No</v>
      </c>
      <c r="Y1075" s="2">
        <v>34977</v>
      </c>
      <c r="Z1075" t="str">
        <f t="shared" si="272"/>
        <v/>
      </c>
      <c r="AA1075" t="str">
        <f t="shared" si="287"/>
        <v/>
      </c>
      <c r="AB1075" t="str" cm="1">
        <f t="array" ref="AB1075">_xlfn.IFS(Y1075&lt;DATE(1996,1,1),"",Y1075&lt;DATE(1996,4,1),"Q1",Y1075&lt;DATE(1996,7,1),"Q2",Y1075&gt;=DATE(1996,7,1),"")</f>
        <v/>
      </c>
    </row>
    <row r="1076" spans="1:28" ht="14.4" x14ac:dyDescent="0.55000000000000004">
      <c r="A1076" t="str">
        <f>VLOOKUP(L1076,Customers!$A$2:$B$92,2,FALSE)</f>
        <v>Save-a-lot Markets</v>
      </c>
      <c r="B1076" t="str">
        <f>VLOOKUP(L1076,Customers!$A$2:$C$92,3,TRUE)</f>
        <v>Jose Pavarotti</v>
      </c>
      <c r="C1076" t="str">
        <f t="shared" si="273"/>
        <v>Jose</v>
      </c>
      <c r="D1076" s="8" t="str">
        <f t="shared" si="274"/>
        <v>Pavarotti</v>
      </c>
      <c r="E1076" s="8" t="str">
        <f t="shared" si="275"/>
        <v>Pavarotti, Jose</v>
      </c>
      <c r="F1076" s="8" t="str">
        <f t="shared" si="276"/>
        <v>Pavarotti, Jose</v>
      </c>
      <c r="G1076" s="8" t="str">
        <f t="shared" si="277"/>
        <v>not an outlier</v>
      </c>
      <c r="H1076" s="8" t="str">
        <f t="shared" si="278"/>
        <v>Not</v>
      </c>
      <c r="I1076" s="8" t="str">
        <f t="shared" si="288"/>
        <v>no</v>
      </c>
      <c r="J1076" s="10" t="str">
        <f t="shared" si="279"/>
        <v>no</v>
      </c>
      <c r="K1076" s="10" t="str">
        <f t="shared" si="280"/>
        <v>no</v>
      </c>
      <c r="L1076" t="s">
        <v>529</v>
      </c>
      <c r="M1076">
        <v>10657</v>
      </c>
      <c r="N1076">
        <v>41</v>
      </c>
      <c r="O1076" t="s">
        <v>688</v>
      </c>
      <c r="P1076" t="str">
        <f t="shared" si="281"/>
        <v>SAVEA_10657_Jack's New England Clam Chowder</v>
      </c>
      <c r="Q1076" t="str">
        <f t="shared" si="282"/>
        <v>10657</v>
      </c>
      <c r="R1076" t="str">
        <f t="shared" si="283"/>
        <v>10657</v>
      </c>
      <c r="S1076" t="str">
        <f t="shared" si="284"/>
        <v>Jack's New England Clam Chowder</v>
      </c>
      <c r="T1076">
        <v>9.65</v>
      </c>
      <c r="U1076">
        <v>24</v>
      </c>
      <c r="V1076">
        <v>0</v>
      </c>
      <c r="W1076">
        <f t="shared" si="285"/>
        <v>231.60000000000002</v>
      </c>
      <c r="X1076" t="str">
        <f t="shared" si="286"/>
        <v>No</v>
      </c>
      <c r="Y1076" s="2">
        <v>34977</v>
      </c>
      <c r="Z1076" t="str">
        <f t="shared" si="272"/>
        <v/>
      </c>
      <c r="AA1076" t="str">
        <f t="shared" si="287"/>
        <v/>
      </c>
      <c r="AB1076" t="str" cm="1">
        <f t="array" ref="AB1076">_xlfn.IFS(Y1076&lt;DATE(1996,1,1),"",Y1076&lt;DATE(1996,4,1),"Q1",Y1076&lt;DATE(1996,7,1),"Q2",Y1076&gt;=DATE(1996,7,1),"")</f>
        <v/>
      </c>
    </row>
    <row r="1077" spans="1:28" ht="14.4" x14ac:dyDescent="0.55000000000000004">
      <c r="A1077" t="str">
        <f>VLOOKUP(L1077,Customers!$A$2:$B$92,2,FALSE)</f>
        <v>Save-a-lot Markets</v>
      </c>
      <c r="B1077" t="str">
        <f>VLOOKUP(L1077,Customers!$A$2:$C$92,3,TRUE)</f>
        <v>Jose Pavarotti</v>
      </c>
      <c r="C1077" t="str">
        <f t="shared" si="273"/>
        <v>Jose</v>
      </c>
      <c r="D1077" s="8" t="str">
        <f t="shared" si="274"/>
        <v>Pavarotti</v>
      </c>
      <c r="E1077" s="8" t="str">
        <f t="shared" si="275"/>
        <v>Pavarotti, Jose</v>
      </c>
      <c r="F1077" s="8" t="str">
        <f t="shared" si="276"/>
        <v>Pavarotti, Jose</v>
      </c>
      <c r="G1077" s="8" t="str">
        <f t="shared" si="277"/>
        <v>not an outlier</v>
      </c>
      <c r="H1077" s="8" t="str">
        <f t="shared" si="278"/>
        <v>Not</v>
      </c>
      <c r="I1077" s="8" t="str">
        <f t="shared" si="288"/>
        <v>no</v>
      </c>
      <c r="J1077" s="10" t="str">
        <f t="shared" si="279"/>
        <v>no</v>
      </c>
      <c r="K1077" s="10" t="str">
        <f t="shared" si="280"/>
        <v>no</v>
      </c>
      <c r="L1077" t="s">
        <v>529</v>
      </c>
      <c r="M1077">
        <v>10657</v>
      </c>
      <c r="N1077">
        <v>46</v>
      </c>
      <c r="O1077" t="s">
        <v>737</v>
      </c>
      <c r="P1077" t="str">
        <f t="shared" si="281"/>
        <v>SAVEA_10657_Spegesild</v>
      </c>
      <c r="Q1077" t="str">
        <f t="shared" si="282"/>
        <v>10657</v>
      </c>
      <c r="R1077" t="str">
        <f t="shared" si="283"/>
        <v>10657</v>
      </c>
      <c r="S1077" t="str">
        <f t="shared" si="284"/>
        <v>Spegesild</v>
      </c>
      <c r="T1077">
        <v>12</v>
      </c>
      <c r="U1077">
        <v>45</v>
      </c>
      <c r="V1077">
        <v>0</v>
      </c>
      <c r="W1077">
        <f t="shared" si="285"/>
        <v>540</v>
      </c>
      <c r="X1077" t="str">
        <f t="shared" si="286"/>
        <v>No</v>
      </c>
      <c r="Y1077" s="2">
        <v>34977</v>
      </c>
      <c r="Z1077" t="str">
        <f t="shared" si="272"/>
        <v/>
      </c>
      <c r="AA1077" t="str">
        <f t="shared" si="287"/>
        <v/>
      </c>
      <c r="AB1077" t="str" cm="1">
        <f t="array" ref="AB1077">_xlfn.IFS(Y1077&lt;DATE(1996,1,1),"",Y1077&lt;DATE(1996,4,1),"Q1",Y1077&lt;DATE(1996,7,1),"Q2",Y1077&gt;=DATE(1996,7,1),"")</f>
        <v/>
      </c>
    </row>
    <row r="1078" spans="1:28" ht="14.4" x14ac:dyDescent="0.55000000000000004">
      <c r="A1078" t="str">
        <f>VLOOKUP(L1078,Customers!$A$2:$B$92,2,FALSE)</f>
        <v>Save-a-lot Markets</v>
      </c>
      <c r="B1078" t="str">
        <f>VLOOKUP(L1078,Customers!$A$2:$C$92,3,TRUE)</f>
        <v>Jose Pavarotti</v>
      </c>
      <c r="C1078" t="str">
        <f t="shared" si="273"/>
        <v>Jose</v>
      </c>
      <c r="D1078" s="8" t="str">
        <f t="shared" si="274"/>
        <v>Pavarotti</v>
      </c>
      <c r="E1078" s="8" t="str">
        <f t="shared" si="275"/>
        <v>Pavarotti, Jose</v>
      </c>
      <c r="F1078" s="8" t="str">
        <f t="shared" si="276"/>
        <v>Pavarotti, Jose</v>
      </c>
      <c r="G1078" s="8" t="str">
        <f t="shared" si="277"/>
        <v>not an outlier</v>
      </c>
      <c r="H1078" s="8" t="str">
        <f t="shared" si="278"/>
        <v>Not</v>
      </c>
      <c r="I1078" s="8" t="str">
        <f t="shared" si="288"/>
        <v>no</v>
      </c>
      <c r="J1078" s="10" t="str">
        <f t="shared" si="279"/>
        <v>no</v>
      </c>
      <c r="K1078" s="10" t="str">
        <f t="shared" si="280"/>
        <v>no</v>
      </c>
      <c r="L1078" t="s">
        <v>529</v>
      </c>
      <c r="M1078">
        <v>10657</v>
      </c>
      <c r="N1078">
        <v>47</v>
      </c>
      <c r="O1078" t="s">
        <v>752</v>
      </c>
      <c r="P1078" t="str">
        <f t="shared" si="281"/>
        <v>SAVEA_10657_Zaanse koeken</v>
      </c>
      <c r="Q1078" t="str">
        <f t="shared" si="282"/>
        <v>10657</v>
      </c>
      <c r="R1078" t="str">
        <f t="shared" si="283"/>
        <v>10657</v>
      </c>
      <c r="S1078" t="str">
        <f t="shared" si="284"/>
        <v>Zaanse koeken</v>
      </c>
      <c r="T1078">
        <v>9.5</v>
      </c>
      <c r="U1078">
        <v>10</v>
      </c>
      <c r="V1078">
        <v>0</v>
      </c>
      <c r="W1078">
        <f t="shared" si="285"/>
        <v>95</v>
      </c>
      <c r="X1078" t="str">
        <f t="shared" si="286"/>
        <v>No</v>
      </c>
      <c r="Y1078" s="2">
        <v>34977</v>
      </c>
      <c r="Z1078" t="str">
        <f t="shared" si="272"/>
        <v/>
      </c>
      <c r="AA1078" t="str">
        <f t="shared" si="287"/>
        <v/>
      </c>
      <c r="AB1078" t="str" cm="1">
        <f t="array" ref="AB1078">_xlfn.IFS(Y1078&lt;DATE(1996,1,1),"",Y1078&lt;DATE(1996,4,1),"Q1",Y1078&lt;DATE(1996,7,1),"Q2",Y1078&gt;=DATE(1996,7,1),"")</f>
        <v/>
      </c>
    </row>
    <row r="1079" spans="1:28" ht="14.4" x14ac:dyDescent="0.55000000000000004">
      <c r="A1079" t="str">
        <f>VLOOKUP(L1079,Customers!$A$2:$B$92,2,FALSE)</f>
        <v>Save-a-lot Markets</v>
      </c>
      <c r="B1079" t="str">
        <f>VLOOKUP(L1079,Customers!$A$2:$C$92,3,TRUE)</f>
        <v>Jose Pavarotti</v>
      </c>
      <c r="C1079" t="str">
        <f t="shared" si="273"/>
        <v>Jose</v>
      </c>
      <c r="D1079" s="8" t="str">
        <f t="shared" si="274"/>
        <v>Pavarotti</v>
      </c>
      <c r="E1079" s="8" t="str">
        <f t="shared" si="275"/>
        <v>Pavarotti, Jose</v>
      </c>
      <c r="F1079" s="8" t="str">
        <f t="shared" si="276"/>
        <v>Pavarotti, Jose</v>
      </c>
      <c r="G1079" s="8" t="str">
        <f t="shared" si="277"/>
        <v>not an outlier</v>
      </c>
      <c r="H1079" s="8" t="str">
        <f t="shared" si="278"/>
        <v>Not</v>
      </c>
      <c r="I1079" s="8" t="str">
        <f t="shared" si="288"/>
        <v>no</v>
      </c>
      <c r="J1079" s="10" t="str">
        <f t="shared" si="279"/>
        <v>no</v>
      </c>
      <c r="K1079" s="10" t="str">
        <f t="shared" si="280"/>
        <v>no</v>
      </c>
      <c r="L1079" t="s">
        <v>529</v>
      </c>
      <c r="M1079">
        <v>10657</v>
      </c>
      <c r="N1079">
        <v>56</v>
      </c>
      <c r="O1079" t="s">
        <v>716</v>
      </c>
      <c r="P1079" t="str">
        <f t="shared" si="281"/>
        <v>SAVEA_10657_Gnocchi di nonna Alice</v>
      </c>
      <c r="Q1079" t="str">
        <f t="shared" si="282"/>
        <v>10657</v>
      </c>
      <c r="R1079" t="str">
        <f t="shared" si="283"/>
        <v>10657</v>
      </c>
      <c r="S1079" t="str">
        <f t="shared" si="284"/>
        <v>Gnocchi di nonna Alice</v>
      </c>
      <c r="T1079">
        <v>38</v>
      </c>
      <c r="U1079">
        <v>45</v>
      </c>
      <c r="V1079">
        <v>0</v>
      </c>
      <c r="W1079">
        <f t="shared" si="285"/>
        <v>1710</v>
      </c>
      <c r="X1079" t="str">
        <f t="shared" si="286"/>
        <v>No</v>
      </c>
      <c r="Y1079" s="2">
        <v>34977</v>
      </c>
      <c r="Z1079" t="str">
        <f t="shared" si="272"/>
        <v/>
      </c>
      <c r="AA1079" t="str">
        <f t="shared" si="287"/>
        <v/>
      </c>
      <c r="AB1079" t="str" cm="1">
        <f t="array" ref="AB1079">_xlfn.IFS(Y1079&lt;DATE(1996,1,1),"",Y1079&lt;DATE(1996,4,1),"Q1",Y1079&lt;DATE(1996,7,1),"Q2",Y1079&gt;=DATE(1996,7,1),"")</f>
        <v/>
      </c>
    </row>
    <row r="1080" spans="1:28" ht="14.4" x14ac:dyDescent="0.55000000000000004">
      <c r="A1080" t="str">
        <f>VLOOKUP(L1080,Customers!$A$2:$B$92,2,FALSE)</f>
        <v>Save-a-lot Markets</v>
      </c>
      <c r="B1080" t="str">
        <f>VLOOKUP(L1080,Customers!$A$2:$C$92,3,TRUE)</f>
        <v>Jose Pavarotti</v>
      </c>
      <c r="C1080" t="str">
        <f t="shared" si="273"/>
        <v>Jose</v>
      </c>
      <c r="D1080" s="8" t="str">
        <f t="shared" si="274"/>
        <v>Pavarotti</v>
      </c>
      <c r="E1080" s="8" t="str">
        <f t="shared" si="275"/>
        <v>Pavarotti, Jose</v>
      </c>
      <c r="F1080" s="8" t="str">
        <f t="shared" si="276"/>
        <v>Pavarotti, Jose</v>
      </c>
      <c r="G1080" s="8" t="str">
        <f t="shared" si="277"/>
        <v>not an outlier</v>
      </c>
      <c r="H1080" s="8" t="str">
        <f t="shared" si="278"/>
        <v>Not</v>
      </c>
      <c r="I1080" s="8" t="str">
        <f t="shared" si="288"/>
        <v>no</v>
      </c>
      <c r="J1080" s="10" t="str">
        <f t="shared" si="279"/>
        <v>no</v>
      </c>
      <c r="K1080" s="10" t="str">
        <f t="shared" si="280"/>
        <v>no</v>
      </c>
      <c r="L1080" t="s">
        <v>529</v>
      </c>
      <c r="M1080">
        <v>10657</v>
      </c>
      <c r="N1080">
        <v>60</v>
      </c>
      <c r="O1080" t="s">
        <v>694</v>
      </c>
      <c r="P1080" t="str">
        <f t="shared" si="281"/>
        <v>SAVEA_10657_Camembert Pierrot</v>
      </c>
      <c r="Q1080" t="str">
        <f t="shared" si="282"/>
        <v>10657</v>
      </c>
      <c r="R1080" t="str">
        <f t="shared" si="283"/>
        <v>10657</v>
      </c>
      <c r="S1080" t="str">
        <f t="shared" si="284"/>
        <v>Camembert Pierrot</v>
      </c>
      <c r="T1080">
        <v>34</v>
      </c>
      <c r="U1080">
        <v>30</v>
      </c>
      <c r="V1080">
        <v>0</v>
      </c>
      <c r="W1080">
        <f t="shared" si="285"/>
        <v>1020</v>
      </c>
      <c r="X1080" t="str">
        <f t="shared" si="286"/>
        <v>No</v>
      </c>
      <c r="Y1080" s="2">
        <v>34977</v>
      </c>
      <c r="Z1080" t="str">
        <f t="shared" si="272"/>
        <v/>
      </c>
      <c r="AA1080" t="str">
        <f t="shared" si="287"/>
        <v/>
      </c>
      <c r="AB1080" t="str" cm="1">
        <f t="array" ref="AB1080">_xlfn.IFS(Y1080&lt;DATE(1996,1,1),"",Y1080&lt;DATE(1996,4,1),"Q1",Y1080&lt;DATE(1996,7,1),"Q2",Y1080&gt;=DATE(1996,7,1),"")</f>
        <v/>
      </c>
    </row>
    <row r="1081" spans="1:28" ht="14.4" x14ac:dyDescent="0.55000000000000004">
      <c r="A1081" t="str">
        <f>VLOOKUP(L1081,Customers!$A$2:$B$92,2,FALSE)</f>
        <v>QUICK-Stop</v>
      </c>
      <c r="B1081" t="str">
        <f>VLOOKUP(L1081,Customers!$A$2:$C$92,3,TRUE)</f>
        <v>Horst Kloss</v>
      </c>
      <c r="C1081" t="str">
        <f t="shared" si="273"/>
        <v>Horst</v>
      </c>
      <c r="D1081" s="8" t="str">
        <f t="shared" si="274"/>
        <v>Kloss</v>
      </c>
      <c r="E1081" s="8" t="str">
        <f t="shared" si="275"/>
        <v>Kloss, Horst</v>
      </c>
      <c r="F1081" s="8" t="str">
        <f t="shared" si="276"/>
        <v>Kloss, Horst</v>
      </c>
      <c r="G1081" s="8" t="str">
        <f t="shared" si="277"/>
        <v>not an outlier</v>
      </c>
      <c r="H1081" s="8" t="str">
        <f t="shared" si="278"/>
        <v>Not</v>
      </c>
      <c r="I1081" s="8" t="str">
        <f t="shared" si="288"/>
        <v>no</v>
      </c>
      <c r="J1081" s="10" t="str">
        <f t="shared" si="279"/>
        <v>no</v>
      </c>
      <c r="K1081" s="10" t="str">
        <f t="shared" si="280"/>
        <v>no</v>
      </c>
      <c r="L1081" t="s">
        <v>475</v>
      </c>
      <c r="M1081">
        <v>10658</v>
      </c>
      <c r="N1081">
        <v>21</v>
      </c>
      <c r="O1081" t="s">
        <v>710</v>
      </c>
      <c r="P1081" t="str">
        <f t="shared" si="281"/>
        <v>QUICK_10658_Sir Rodney's Scones</v>
      </c>
      <c r="Q1081" t="str">
        <f t="shared" si="282"/>
        <v>10658</v>
      </c>
      <c r="R1081" t="str">
        <f t="shared" si="283"/>
        <v>10658</v>
      </c>
      <c r="S1081" t="str">
        <f t="shared" si="284"/>
        <v>Sir Rodney's Scones</v>
      </c>
      <c r="T1081">
        <v>10</v>
      </c>
      <c r="U1081">
        <v>60</v>
      </c>
      <c r="V1081">
        <v>0</v>
      </c>
      <c r="W1081">
        <f t="shared" si="285"/>
        <v>600</v>
      </c>
      <c r="X1081" t="str">
        <f t="shared" si="286"/>
        <v>No</v>
      </c>
      <c r="Y1081" s="2">
        <v>34978</v>
      </c>
      <c r="Z1081" t="str">
        <f t="shared" si="272"/>
        <v/>
      </c>
      <c r="AA1081" t="str">
        <f t="shared" si="287"/>
        <v/>
      </c>
      <c r="AB1081" t="str" cm="1">
        <f t="array" ref="AB1081">_xlfn.IFS(Y1081&lt;DATE(1996,1,1),"",Y1081&lt;DATE(1996,4,1),"Q1",Y1081&lt;DATE(1996,7,1),"Q2",Y1081&gt;=DATE(1996,7,1),"")</f>
        <v/>
      </c>
    </row>
    <row r="1082" spans="1:28" ht="14.4" x14ac:dyDescent="0.55000000000000004">
      <c r="A1082" t="str">
        <f>VLOOKUP(L1082,Customers!$A$2:$B$92,2,FALSE)</f>
        <v>QUICK-Stop</v>
      </c>
      <c r="B1082" t="str">
        <f>VLOOKUP(L1082,Customers!$A$2:$C$92,3,TRUE)</f>
        <v>Horst Kloss</v>
      </c>
      <c r="C1082" t="str">
        <f t="shared" si="273"/>
        <v>Horst</v>
      </c>
      <c r="D1082" s="8" t="str">
        <f t="shared" si="274"/>
        <v>Kloss</v>
      </c>
      <c r="E1082" s="8" t="str">
        <f t="shared" si="275"/>
        <v>Kloss, Horst</v>
      </c>
      <c r="F1082" s="8" t="str">
        <f t="shared" si="276"/>
        <v>Kloss, Horst</v>
      </c>
      <c r="G1082" s="8" t="str">
        <f t="shared" si="277"/>
        <v>not an outlier</v>
      </c>
      <c r="H1082" s="8" t="str">
        <f t="shared" si="278"/>
        <v>Not</v>
      </c>
      <c r="I1082" s="8" t="str">
        <f t="shared" si="288"/>
        <v>no</v>
      </c>
      <c r="J1082" s="10" t="str">
        <f t="shared" si="279"/>
        <v>no</v>
      </c>
      <c r="K1082" s="10" t="str">
        <f t="shared" si="280"/>
        <v>no</v>
      </c>
      <c r="L1082" t="s">
        <v>475</v>
      </c>
      <c r="M1082">
        <v>10658</v>
      </c>
      <c r="N1082">
        <v>40</v>
      </c>
      <c r="O1082" t="s">
        <v>720</v>
      </c>
      <c r="P1082" t="str">
        <f t="shared" si="281"/>
        <v>QUICK_10658_Boston Crab Meat</v>
      </c>
      <c r="Q1082" t="str">
        <f t="shared" si="282"/>
        <v>10658</v>
      </c>
      <c r="R1082" t="str">
        <f t="shared" si="283"/>
        <v>10658</v>
      </c>
      <c r="S1082" t="str">
        <f t="shared" si="284"/>
        <v>Boston Crab Meat</v>
      </c>
      <c r="T1082">
        <v>18.399999999999999</v>
      </c>
      <c r="U1082">
        <v>70</v>
      </c>
      <c r="V1082">
        <v>0.05</v>
      </c>
      <c r="W1082">
        <f t="shared" si="285"/>
        <v>1223.5999999999999</v>
      </c>
      <c r="X1082" t="str">
        <f t="shared" si="286"/>
        <v>No</v>
      </c>
      <c r="Y1082" s="2">
        <v>34978</v>
      </c>
      <c r="Z1082" t="str">
        <f t="shared" si="272"/>
        <v/>
      </c>
      <c r="AA1082" t="str">
        <f t="shared" si="287"/>
        <v/>
      </c>
      <c r="AB1082" t="str" cm="1">
        <f t="array" ref="AB1082">_xlfn.IFS(Y1082&lt;DATE(1996,1,1),"",Y1082&lt;DATE(1996,4,1),"Q1",Y1082&lt;DATE(1996,7,1),"Q2",Y1082&gt;=DATE(1996,7,1),"")</f>
        <v/>
      </c>
    </row>
    <row r="1083" spans="1:28" ht="14.4" x14ac:dyDescent="0.55000000000000004">
      <c r="A1083" t="str">
        <f>VLOOKUP(L1083,Customers!$A$2:$B$92,2,FALSE)</f>
        <v>QUICK-Stop</v>
      </c>
      <c r="B1083" t="str">
        <f>VLOOKUP(L1083,Customers!$A$2:$C$92,3,TRUE)</f>
        <v>Horst Kloss</v>
      </c>
      <c r="C1083" t="str">
        <f t="shared" si="273"/>
        <v>Horst</v>
      </c>
      <c r="D1083" s="8" t="str">
        <f t="shared" si="274"/>
        <v>Kloss</v>
      </c>
      <c r="E1083" s="8" t="str">
        <f t="shared" si="275"/>
        <v>Kloss, Horst</v>
      </c>
      <c r="F1083" s="8" t="str">
        <f t="shared" si="276"/>
        <v>Kloss, Horst</v>
      </c>
      <c r="G1083" s="8" t="str">
        <f t="shared" si="277"/>
        <v>not an outlier</v>
      </c>
      <c r="H1083" s="8" t="str">
        <f t="shared" si="278"/>
        <v>Not</v>
      </c>
      <c r="I1083" s="8" t="str">
        <f t="shared" si="288"/>
        <v>no</v>
      </c>
      <c r="J1083" s="10" t="str">
        <f t="shared" si="279"/>
        <v>no</v>
      </c>
      <c r="K1083" s="10" t="str">
        <f t="shared" si="280"/>
        <v>no</v>
      </c>
      <c r="L1083" t="s">
        <v>475</v>
      </c>
      <c r="M1083">
        <v>10658</v>
      </c>
      <c r="N1083">
        <v>60</v>
      </c>
      <c r="O1083" t="s">
        <v>694</v>
      </c>
      <c r="P1083" t="str">
        <f t="shared" si="281"/>
        <v>QUICK_10658_Camembert Pierrot</v>
      </c>
      <c r="Q1083" t="str">
        <f t="shared" si="282"/>
        <v>10658</v>
      </c>
      <c r="R1083" t="str">
        <f t="shared" si="283"/>
        <v>10658</v>
      </c>
      <c r="S1083" t="str">
        <f t="shared" si="284"/>
        <v>Camembert Pierrot</v>
      </c>
      <c r="T1083">
        <v>34</v>
      </c>
      <c r="U1083">
        <v>55</v>
      </c>
      <c r="V1083">
        <v>0.05</v>
      </c>
      <c r="W1083">
        <f t="shared" si="285"/>
        <v>1776.5</v>
      </c>
      <c r="X1083" t="str">
        <f t="shared" si="286"/>
        <v>No</v>
      </c>
      <c r="Y1083" s="2">
        <v>34978</v>
      </c>
      <c r="Z1083" t="str">
        <f t="shared" si="272"/>
        <v/>
      </c>
      <c r="AA1083" t="str">
        <f t="shared" si="287"/>
        <v/>
      </c>
      <c r="AB1083" t="str" cm="1">
        <f t="array" ref="AB1083">_xlfn.IFS(Y1083&lt;DATE(1996,1,1),"",Y1083&lt;DATE(1996,4,1),"Q1",Y1083&lt;DATE(1996,7,1),"Q2",Y1083&gt;=DATE(1996,7,1),"")</f>
        <v/>
      </c>
    </row>
    <row r="1084" spans="1:28" ht="14.4" x14ac:dyDescent="0.55000000000000004">
      <c r="A1084" t="str">
        <f>VLOOKUP(L1084,Customers!$A$2:$B$92,2,FALSE)</f>
        <v>QUICK-Stop</v>
      </c>
      <c r="B1084" t="str">
        <f>VLOOKUP(L1084,Customers!$A$2:$C$92,3,TRUE)</f>
        <v>Horst Kloss</v>
      </c>
      <c r="C1084" t="str">
        <f t="shared" si="273"/>
        <v>Horst</v>
      </c>
      <c r="D1084" s="8" t="str">
        <f t="shared" si="274"/>
        <v>Kloss</v>
      </c>
      <c r="E1084" s="8" t="str">
        <f t="shared" si="275"/>
        <v>Kloss, Horst</v>
      </c>
      <c r="F1084" s="8" t="str">
        <f t="shared" si="276"/>
        <v>Kloss, Horst</v>
      </c>
      <c r="G1084" s="8" t="str">
        <f t="shared" si="277"/>
        <v>not an outlier</v>
      </c>
      <c r="H1084" s="8" t="str">
        <f t="shared" si="278"/>
        <v>Not</v>
      </c>
      <c r="I1084" s="8" t="str">
        <f t="shared" si="288"/>
        <v>no</v>
      </c>
      <c r="J1084" s="10" t="str">
        <f t="shared" si="279"/>
        <v>no</v>
      </c>
      <c r="K1084" s="10" t="str">
        <f t="shared" si="280"/>
        <v>no</v>
      </c>
      <c r="L1084" t="s">
        <v>475</v>
      </c>
      <c r="M1084">
        <v>10658</v>
      </c>
      <c r="N1084">
        <v>77</v>
      </c>
      <c r="O1084" t="s">
        <v>706</v>
      </c>
      <c r="P1084" t="str">
        <f t="shared" si="281"/>
        <v>QUICK_10658_Original Frankfurter grüne Soße</v>
      </c>
      <c r="Q1084" t="str">
        <f t="shared" si="282"/>
        <v>10658</v>
      </c>
      <c r="R1084" t="str">
        <f t="shared" si="283"/>
        <v>10658</v>
      </c>
      <c r="S1084" t="str">
        <f t="shared" si="284"/>
        <v>Original Frankfurter grüne Soße</v>
      </c>
      <c r="T1084">
        <v>13</v>
      </c>
      <c r="U1084">
        <v>70</v>
      </c>
      <c r="V1084">
        <v>0.05</v>
      </c>
      <c r="W1084">
        <f t="shared" si="285"/>
        <v>864.5</v>
      </c>
      <c r="X1084" t="str">
        <f t="shared" si="286"/>
        <v>No</v>
      </c>
      <c r="Y1084" s="2">
        <v>34978</v>
      </c>
      <c r="Z1084" t="str">
        <f t="shared" si="272"/>
        <v/>
      </c>
      <c r="AA1084" t="str">
        <f t="shared" si="287"/>
        <v/>
      </c>
      <c r="AB1084" t="str" cm="1">
        <f t="array" ref="AB1084">_xlfn.IFS(Y1084&lt;DATE(1996,1,1),"",Y1084&lt;DATE(1996,4,1),"Q1",Y1084&lt;DATE(1996,7,1),"Q2",Y1084&gt;=DATE(1996,7,1),"")</f>
        <v/>
      </c>
    </row>
    <row r="1085" spans="1:28" ht="14.4" x14ac:dyDescent="0.55000000000000004">
      <c r="A1085" t="str">
        <f>VLOOKUP(L1085,Customers!$A$2:$B$92,2,FALSE)</f>
        <v>Queen Cozinha</v>
      </c>
      <c r="B1085" t="str">
        <f>VLOOKUP(L1085,Customers!$A$2:$C$92,3,TRUE)</f>
        <v>Lúcia Carvalho</v>
      </c>
      <c r="C1085" t="str">
        <f t="shared" si="273"/>
        <v>Lúcia</v>
      </c>
      <c r="D1085" s="8" t="str">
        <f t="shared" si="274"/>
        <v>Carvalho</v>
      </c>
      <c r="E1085" s="8" t="str">
        <f t="shared" si="275"/>
        <v>Carvalho, Lúcia</v>
      </c>
      <c r="F1085" s="8" t="str">
        <f t="shared" si="276"/>
        <v>Carvalho, Lúcia</v>
      </c>
      <c r="G1085" s="8" t="str">
        <f t="shared" si="277"/>
        <v>not an outlier</v>
      </c>
      <c r="H1085" s="8" t="str">
        <f t="shared" si="278"/>
        <v>Not</v>
      </c>
      <c r="I1085" s="8" t="str">
        <f t="shared" si="288"/>
        <v>no</v>
      </c>
      <c r="J1085" s="10" t="str">
        <f t="shared" si="279"/>
        <v>no</v>
      </c>
      <c r="K1085" s="10" t="str">
        <f t="shared" si="280"/>
        <v>no</v>
      </c>
      <c r="L1085" t="s">
        <v>469</v>
      </c>
      <c r="M1085">
        <v>10659</v>
      </c>
      <c r="N1085">
        <v>31</v>
      </c>
      <c r="O1085" t="s">
        <v>695</v>
      </c>
      <c r="P1085" t="str">
        <f t="shared" si="281"/>
        <v>QUEEN_10659_Gorgonzola Telino</v>
      </c>
      <c r="Q1085" t="str">
        <f t="shared" si="282"/>
        <v>10659</v>
      </c>
      <c r="R1085" t="str">
        <f t="shared" si="283"/>
        <v>10659</v>
      </c>
      <c r="S1085" t="str">
        <f t="shared" si="284"/>
        <v>Gorgonzola Telino</v>
      </c>
      <c r="T1085">
        <v>12.5</v>
      </c>
      <c r="U1085">
        <v>20</v>
      </c>
      <c r="V1085">
        <v>0.05</v>
      </c>
      <c r="W1085">
        <f t="shared" si="285"/>
        <v>237.5</v>
      </c>
      <c r="X1085" t="str">
        <f t="shared" si="286"/>
        <v>No</v>
      </c>
      <c r="Y1085" s="2">
        <v>34978</v>
      </c>
      <c r="Z1085" t="str">
        <f t="shared" si="272"/>
        <v/>
      </c>
      <c r="AA1085" t="str">
        <f t="shared" si="287"/>
        <v/>
      </c>
      <c r="AB1085" t="str" cm="1">
        <f t="array" ref="AB1085">_xlfn.IFS(Y1085&lt;DATE(1996,1,1),"",Y1085&lt;DATE(1996,4,1),"Q1",Y1085&lt;DATE(1996,7,1),"Q2",Y1085&gt;=DATE(1996,7,1),"")</f>
        <v/>
      </c>
    </row>
    <row r="1086" spans="1:28" ht="14.4" x14ac:dyDescent="0.55000000000000004">
      <c r="A1086" t="str">
        <f>VLOOKUP(L1086,Customers!$A$2:$B$92,2,FALSE)</f>
        <v>Queen Cozinha</v>
      </c>
      <c r="B1086" t="str">
        <f>VLOOKUP(L1086,Customers!$A$2:$C$92,3,TRUE)</f>
        <v>Lúcia Carvalho</v>
      </c>
      <c r="C1086" t="str">
        <f t="shared" si="273"/>
        <v>Lúcia</v>
      </c>
      <c r="D1086" s="8" t="str">
        <f t="shared" si="274"/>
        <v>Carvalho</v>
      </c>
      <c r="E1086" s="8" t="str">
        <f t="shared" si="275"/>
        <v>Carvalho, Lúcia</v>
      </c>
      <c r="F1086" s="8" t="str">
        <f t="shared" si="276"/>
        <v>Carvalho, Lúcia</v>
      </c>
      <c r="G1086" s="8" t="str">
        <f t="shared" si="277"/>
        <v>not an outlier</v>
      </c>
      <c r="H1086" s="8" t="str">
        <f t="shared" si="278"/>
        <v>Not</v>
      </c>
      <c r="I1086" s="8" t="str">
        <f t="shared" si="288"/>
        <v>no</v>
      </c>
      <c r="J1086" s="10" t="str">
        <f t="shared" si="279"/>
        <v>no</v>
      </c>
      <c r="K1086" s="10" t="str">
        <f t="shared" si="280"/>
        <v>no</v>
      </c>
      <c r="L1086" t="s">
        <v>469</v>
      </c>
      <c r="M1086">
        <v>10659</v>
      </c>
      <c r="N1086">
        <v>40</v>
      </c>
      <c r="O1086" t="s">
        <v>720</v>
      </c>
      <c r="P1086" t="str">
        <f t="shared" si="281"/>
        <v>QUEEN_10659_Boston Crab Meat</v>
      </c>
      <c r="Q1086" t="str">
        <f t="shared" si="282"/>
        <v>10659</v>
      </c>
      <c r="R1086" t="str">
        <f t="shared" si="283"/>
        <v>10659</v>
      </c>
      <c r="S1086" t="str">
        <f t="shared" si="284"/>
        <v>Boston Crab Meat</v>
      </c>
      <c r="T1086">
        <v>18.399999999999999</v>
      </c>
      <c r="U1086">
        <v>24</v>
      </c>
      <c r="V1086">
        <v>0.05</v>
      </c>
      <c r="W1086">
        <f t="shared" si="285"/>
        <v>419.51999999999992</v>
      </c>
      <c r="X1086" t="str">
        <f t="shared" si="286"/>
        <v>No</v>
      </c>
      <c r="Y1086" s="2">
        <v>34978</v>
      </c>
      <c r="Z1086" t="str">
        <f t="shared" si="272"/>
        <v/>
      </c>
      <c r="AA1086" t="str">
        <f t="shared" si="287"/>
        <v/>
      </c>
      <c r="AB1086" t="str" cm="1">
        <f t="array" ref="AB1086">_xlfn.IFS(Y1086&lt;DATE(1996,1,1),"",Y1086&lt;DATE(1996,4,1),"Q1",Y1086&lt;DATE(1996,7,1),"Q2",Y1086&gt;=DATE(1996,7,1),"")</f>
        <v/>
      </c>
    </row>
    <row r="1087" spans="1:28" ht="14.4" x14ac:dyDescent="0.55000000000000004">
      <c r="A1087" t="str">
        <f>VLOOKUP(L1087,Customers!$A$2:$B$92,2,FALSE)</f>
        <v>Queen Cozinha</v>
      </c>
      <c r="B1087" t="str">
        <f>VLOOKUP(L1087,Customers!$A$2:$C$92,3,TRUE)</f>
        <v>Lúcia Carvalho</v>
      </c>
      <c r="C1087" t="str">
        <f t="shared" si="273"/>
        <v>Lúcia</v>
      </c>
      <c r="D1087" s="8" t="str">
        <f t="shared" si="274"/>
        <v>Carvalho</v>
      </c>
      <c r="E1087" s="8" t="str">
        <f t="shared" si="275"/>
        <v>Carvalho, Lúcia</v>
      </c>
      <c r="F1087" s="8" t="str">
        <f t="shared" si="276"/>
        <v>Carvalho, Lúcia</v>
      </c>
      <c r="G1087" s="8" t="str">
        <f t="shared" si="277"/>
        <v>not an outlier</v>
      </c>
      <c r="H1087" s="8" t="str">
        <f t="shared" si="278"/>
        <v>Not</v>
      </c>
      <c r="I1087" s="8" t="str">
        <f t="shared" si="288"/>
        <v>no</v>
      </c>
      <c r="J1087" s="10" t="str">
        <f t="shared" si="279"/>
        <v>no</v>
      </c>
      <c r="K1087" s="10" t="str">
        <f t="shared" si="280"/>
        <v>no</v>
      </c>
      <c r="L1087" t="s">
        <v>469</v>
      </c>
      <c r="M1087">
        <v>10659</v>
      </c>
      <c r="N1087">
        <v>70</v>
      </c>
      <c r="O1087" t="s">
        <v>713</v>
      </c>
      <c r="P1087" t="str">
        <f t="shared" si="281"/>
        <v>QUEEN_10659_Outback Lager</v>
      </c>
      <c r="Q1087" t="str">
        <f t="shared" si="282"/>
        <v>10659</v>
      </c>
      <c r="R1087" t="str">
        <f t="shared" si="283"/>
        <v>10659</v>
      </c>
      <c r="S1087" t="str">
        <f t="shared" si="284"/>
        <v>Outback Lager</v>
      </c>
      <c r="T1087">
        <v>15</v>
      </c>
      <c r="U1087">
        <v>40</v>
      </c>
      <c r="V1087">
        <v>0.05</v>
      </c>
      <c r="W1087">
        <f t="shared" si="285"/>
        <v>570</v>
      </c>
      <c r="X1087" t="str">
        <f t="shared" si="286"/>
        <v>No</v>
      </c>
      <c r="Y1087" s="2">
        <v>34978</v>
      </c>
      <c r="Z1087" t="str">
        <f t="shared" si="272"/>
        <v/>
      </c>
      <c r="AA1087" t="str">
        <f t="shared" si="287"/>
        <v/>
      </c>
      <c r="AB1087" t="str" cm="1">
        <f t="array" ref="AB1087">_xlfn.IFS(Y1087&lt;DATE(1996,1,1),"",Y1087&lt;DATE(1996,4,1),"Q1",Y1087&lt;DATE(1996,7,1),"Q2",Y1087&gt;=DATE(1996,7,1),"")</f>
        <v/>
      </c>
    </row>
    <row r="1088" spans="1:28" ht="14.4" x14ac:dyDescent="0.55000000000000004">
      <c r="A1088" t="str">
        <f>VLOOKUP(L1088,Customers!$A$2:$B$92,2,FALSE)</f>
        <v>Hungry Coyote Import Store</v>
      </c>
      <c r="B1088" t="str">
        <f>VLOOKUP(L1088,Customers!$A$2:$C$92,3,TRUE)</f>
        <v>Yoshi Latimer</v>
      </c>
      <c r="C1088" t="str">
        <f t="shared" si="273"/>
        <v>Yoshi</v>
      </c>
      <c r="D1088" s="8" t="str">
        <f t="shared" si="274"/>
        <v>Latimer</v>
      </c>
      <c r="E1088" s="8" t="str">
        <f t="shared" si="275"/>
        <v>Latimer, Yoshi</v>
      </c>
      <c r="F1088" s="8" t="str">
        <f t="shared" si="276"/>
        <v>Latimer, Yoshi</v>
      </c>
      <c r="G1088" s="8" t="str">
        <f t="shared" si="277"/>
        <v>not an outlier</v>
      </c>
      <c r="H1088" s="8" t="str">
        <f t="shared" si="278"/>
        <v>Not</v>
      </c>
      <c r="I1088" s="8" t="str">
        <f t="shared" si="288"/>
        <v>no</v>
      </c>
      <c r="J1088" s="10" t="str">
        <f t="shared" si="279"/>
        <v>no</v>
      </c>
      <c r="K1088" s="10" t="str">
        <f t="shared" si="280"/>
        <v>no</v>
      </c>
      <c r="L1088" t="s">
        <v>281</v>
      </c>
      <c r="M1088">
        <v>10660</v>
      </c>
      <c r="N1088">
        <v>20</v>
      </c>
      <c r="O1088" t="s">
        <v>692</v>
      </c>
      <c r="P1088" t="str">
        <f t="shared" si="281"/>
        <v>HUNGC_10660_Sir Rodney's Marmalade</v>
      </c>
      <c r="Q1088" t="str">
        <f t="shared" si="282"/>
        <v>10660</v>
      </c>
      <c r="R1088" t="str">
        <f t="shared" si="283"/>
        <v>10660</v>
      </c>
      <c r="S1088" t="str">
        <f t="shared" si="284"/>
        <v>Sir Rodney's Marmalade</v>
      </c>
      <c r="T1088">
        <v>81</v>
      </c>
      <c r="U1088">
        <v>21</v>
      </c>
      <c r="V1088">
        <v>0</v>
      </c>
      <c r="W1088">
        <f t="shared" si="285"/>
        <v>1701</v>
      </c>
      <c r="X1088" t="str">
        <f t="shared" si="286"/>
        <v>No</v>
      </c>
      <c r="Y1088" s="2">
        <v>34981</v>
      </c>
      <c r="Z1088" t="str">
        <f t="shared" si="272"/>
        <v/>
      </c>
      <c r="AA1088" t="str">
        <f t="shared" si="287"/>
        <v/>
      </c>
      <c r="AB1088" t="str" cm="1">
        <f t="array" ref="AB1088">_xlfn.IFS(Y1088&lt;DATE(1996,1,1),"",Y1088&lt;DATE(1996,4,1),"Q1",Y1088&lt;DATE(1996,7,1),"Q2",Y1088&gt;=DATE(1996,7,1),"")</f>
        <v/>
      </c>
    </row>
    <row r="1089" spans="1:28" ht="14.4" x14ac:dyDescent="0.55000000000000004">
      <c r="A1089" t="str">
        <f>VLOOKUP(L1089,Customers!$A$2:$B$92,2,FALSE)</f>
        <v>Hungry Owl All-Night Grocers</v>
      </c>
      <c r="B1089" t="str">
        <f>VLOOKUP(L1089,Customers!$A$2:$C$92,3,TRUE)</f>
        <v>Patricia McKenna</v>
      </c>
      <c r="C1089" t="str">
        <f t="shared" si="273"/>
        <v>Patricia</v>
      </c>
      <c r="D1089" s="8" t="str">
        <f t="shared" si="274"/>
        <v>McKenna</v>
      </c>
      <c r="E1089" s="8" t="str">
        <f t="shared" si="275"/>
        <v>McKenna, Patricia</v>
      </c>
      <c r="F1089" s="8" t="str">
        <f t="shared" si="276"/>
        <v>McKenna, Patricia</v>
      </c>
      <c r="G1089" s="8" t="str">
        <f t="shared" si="277"/>
        <v>not an outlier</v>
      </c>
      <c r="H1089" s="8" t="str">
        <f t="shared" si="278"/>
        <v>Not</v>
      </c>
      <c r="I1089" s="8" t="str">
        <f t="shared" si="288"/>
        <v>no</v>
      </c>
      <c r="J1089" s="10" t="str">
        <f t="shared" si="279"/>
        <v>no</v>
      </c>
      <c r="K1089" s="10" t="str">
        <f t="shared" si="280"/>
        <v>no</v>
      </c>
      <c r="L1089" t="s">
        <v>288</v>
      </c>
      <c r="M1089">
        <v>10661</v>
      </c>
      <c r="N1089">
        <v>39</v>
      </c>
      <c r="O1089" t="s">
        <v>696</v>
      </c>
      <c r="P1089" t="str">
        <f t="shared" si="281"/>
        <v>HUNGO_10661_Chartreuse verte</v>
      </c>
      <c r="Q1089" t="str">
        <f t="shared" si="282"/>
        <v>10661</v>
      </c>
      <c r="R1089" t="str">
        <f t="shared" si="283"/>
        <v>10661</v>
      </c>
      <c r="S1089" t="str">
        <f t="shared" si="284"/>
        <v>Chartreuse verte</v>
      </c>
      <c r="T1089">
        <v>18</v>
      </c>
      <c r="U1089">
        <v>3</v>
      </c>
      <c r="V1089">
        <v>0.2</v>
      </c>
      <c r="W1089">
        <f t="shared" si="285"/>
        <v>43.2</v>
      </c>
      <c r="X1089" t="str">
        <f t="shared" si="286"/>
        <v>No</v>
      </c>
      <c r="Y1089" s="2">
        <v>34982</v>
      </c>
      <c r="Z1089" t="str">
        <f t="shared" ref="Z1089:Z1152" si="289">IF(Y1089&gt;=DATE(1996,1,1), IF(Y1089&lt;DATE(1996,4,1),"1st Q 1996",""),"")</f>
        <v/>
      </c>
      <c r="AA1089" t="str">
        <f t="shared" si="287"/>
        <v/>
      </c>
      <c r="AB1089" t="str" cm="1">
        <f t="array" ref="AB1089">_xlfn.IFS(Y1089&lt;DATE(1996,1,1),"",Y1089&lt;DATE(1996,4,1),"Q1",Y1089&lt;DATE(1996,7,1),"Q2",Y1089&gt;=DATE(1996,7,1),"")</f>
        <v/>
      </c>
    </row>
    <row r="1090" spans="1:28" ht="14.4" x14ac:dyDescent="0.55000000000000004">
      <c r="A1090" t="str">
        <f>VLOOKUP(L1090,Customers!$A$2:$B$92,2,FALSE)</f>
        <v>Hungry Owl All-Night Grocers</v>
      </c>
      <c r="B1090" t="str">
        <f>VLOOKUP(L1090,Customers!$A$2:$C$92,3,TRUE)</f>
        <v>Patricia McKenna</v>
      </c>
      <c r="C1090" t="str">
        <f t="shared" si="273"/>
        <v>Patricia</v>
      </c>
      <c r="D1090" s="8" t="str">
        <f t="shared" si="274"/>
        <v>McKenna</v>
      </c>
      <c r="E1090" s="8" t="str">
        <f t="shared" si="275"/>
        <v>McKenna, Patricia</v>
      </c>
      <c r="F1090" s="8" t="str">
        <f t="shared" si="276"/>
        <v>McKenna, Patricia</v>
      </c>
      <c r="G1090" s="8" t="str">
        <f t="shared" si="277"/>
        <v>not an outlier</v>
      </c>
      <c r="H1090" s="8" t="str">
        <f t="shared" si="278"/>
        <v>Not</v>
      </c>
      <c r="I1090" s="8" t="str">
        <f t="shared" si="288"/>
        <v>no</v>
      </c>
      <c r="J1090" s="10" t="str">
        <f t="shared" si="279"/>
        <v>no</v>
      </c>
      <c r="K1090" s="10" t="str">
        <f t="shared" si="280"/>
        <v>no</v>
      </c>
      <c r="L1090" t="s">
        <v>288</v>
      </c>
      <c r="M1090">
        <v>10661</v>
      </c>
      <c r="N1090">
        <v>58</v>
      </c>
      <c r="O1090" t="s">
        <v>747</v>
      </c>
      <c r="P1090" t="str">
        <f t="shared" si="281"/>
        <v>HUNGO_10661_Escargots de Bourgogne</v>
      </c>
      <c r="Q1090" t="str">
        <f t="shared" si="282"/>
        <v>10661</v>
      </c>
      <c r="R1090" t="str">
        <f t="shared" si="283"/>
        <v>10661</v>
      </c>
      <c r="S1090" t="str">
        <f t="shared" si="284"/>
        <v>Escargots de Bourgogne</v>
      </c>
      <c r="T1090">
        <v>13.25</v>
      </c>
      <c r="U1090">
        <v>49</v>
      </c>
      <c r="V1090">
        <v>0.2</v>
      </c>
      <c r="W1090">
        <f t="shared" si="285"/>
        <v>519.4</v>
      </c>
      <c r="X1090" t="str">
        <f t="shared" si="286"/>
        <v>No</v>
      </c>
      <c r="Y1090" s="2">
        <v>34982</v>
      </c>
      <c r="Z1090" t="str">
        <f t="shared" si="289"/>
        <v/>
      </c>
      <c r="AA1090" t="str">
        <f t="shared" si="287"/>
        <v/>
      </c>
      <c r="AB1090" t="str" cm="1">
        <f t="array" ref="AB1090">_xlfn.IFS(Y1090&lt;DATE(1996,1,1),"",Y1090&lt;DATE(1996,4,1),"Q1",Y1090&lt;DATE(1996,7,1),"Q2",Y1090&gt;=DATE(1996,7,1),"")</f>
        <v/>
      </c>
    </row>
    <row r="1091" spans="1:28" ht="14.4" x14ac:dyDescent="0.55000000000000004">
      <c r="A1091" t="str">
        <f>VLOOKUP(L1091,Customers!$A$2:$B$92,2,FALSE)</f>
        <v>Lonesome Pine Restaurant</v>
      </c>
      <c r="B1091" t="str">
        <f>VLOOKUP(L1091,Customers!$A$2:$C$92,3,TRUE)</f>
        <v>Fran Wilson</v>
      </c>
      <c r="C1091" t="str">
        <f t="shared" ref="C1091:C1154" si="290">LEFT(B1091,FIND(" ",B1091)-1)</f>
        <v>Fran</v>
      </c>
      <c r="D1091" s="8" t="str">
        <f t="shared" ref="D1091:D1154" si="291">RIGHT(B1091,LEN(B1091)-FIND(" ",B1091))</f>
        <v>Wilson</v>
      </c>
      <c r="E1091" s="8" t="str">
        <f t="shared" ref="E1091:E1154" si="292">_xlfn.CONCAT(D1091,", ",C1091)</f>
        <v>Wilson, Fran</v>
      </c>
      <c r="F1091" s="8" t="str">
        <f t="shared" ref="F1091:F1154" si="293">D1091&amp;", "&amp;C1091</f>
        <v>Wilson, Fran</v>
      </c>
      <c r="G1091" s="8" t="str">
        <f t="shared" ref="G1091:G1154" si="294">IF(OR(W1091&gt;$W$2166,W1091&lt;$W$2167),"outlier","not an outlier")</f>
        <v>not an outlier</v>
      </c>
      <c r="H1091" s="8" t="str">
        <f t="shared" ref="H1091:H1154" si="295">IF(OR(W1091&gt;$W$2166,W1091&lt;$W$2167),"outlier",IF(OR(W1091&gt;$W$2168,W1091&lt;$W$2169),"moderate","Not"))</f>
        <v>Not</v>
      </c>
      <c r="I1091" s="8" t="str">
        <f t="shared" si="288"/>
        <v>no</v>
      </c>
      <c r="J1091" s="10" t="str">
        <f t="shared" ref="J1091:J1154" si="296">IF(AND(W1091&lt;=$W$2166,W1091&gt;=$W$2167),"no","yes")</f>
        <v>no</v>
      </c>
      <c r="K1091" s="10" t="str">
        <f t="shared" ref="K1091:K1154" si="297">IF(OR(W1091&gt;$W$2166,W1091&lt;$W$2167),"yes",IF(OR(W1091&gt;$W$2168,W1091&lt;$W$2169),"moderate","no"))</f>
        <v>no</v>
      </c>
      <c r="L1091" t="s">
        <v>371</v>
      </c>
      <c r="M1091">
        <v>10662</v>
      </c>
      <c r="N1091">
        <v>68</v>
      </c>
      <c r="O1091" t="s">
        <v>739</v>
      </c>
      <c r="P1091" t="str">
        <f t="shared" ref="P1091:P1154" si="298">L1091&amp;"_"&amp;M1091&amp;"_"&amp;O1091</f>
        <v>LONEP_10662_Scottish Longbreads</v>
      </c>
      <c r="Q1091" t="str">
        <f t="shared" ref="Q1091:Q1154" si="299">LEFT(RIGHT(P1091,LEN(P1091)-FIND("_",P1091)), FIND("_",P1091)-1)</f>
        <v>10662</v>
      </c>
      <c r="R1091" t="str">
        <f t="shared" ref="R1091:R1154" si="300">MID(P1091,FIND("_",P1091)+1,FIND("_",P1091,FIND("_",P1091))-1)</f>
        <v>10662</v>
      </c>
      <c r="S1091" t="str">
        <f t="shared" ref="S1091:S1154" si="301">MID(P1091,FIND("_",P1091,FIND("_",P1091)+1)+1,LEN(P1091))</f>
        <v>Scottish Longbreads</v>
      </c>
      <c r="T1091">
        <v>12.5</v>
      </c>
      <c r="U1091">
        <v>10</v>
      </c>
      <c r="V1091">
        <v>0</v>
      </c>
      <c r="W1091">
        <f t="shared" ref="W1091:W1154" si="302">T1091*U1091*(1-V1091)</f>
        <v>125</v>
      </c>
      <c r="X1091" t="str">
        <f t="shared" ref="X1091:X1154" si="303">IF(YEAR(Y1091)&gt;=1996,"yes","No")</f>
        <v>No</v>
      </c>
      <c r="Y1091" s="2">
        <v>34982</v>
      </c>
      <c r="Z1091" t="str">
        <f t="shared" si="289"/>
        <v/>
      </c>
      <c r="AA1091" t="str">
        <f t="shared" ref="AA1091:AA1154" si="304">IF(Y1091&lt;DATE(1996,1,1),"", IF(Y1091&lt;DATE(1996,4,1),"1st Q 1996",IF(Y1091&lt;DATE(1996,7,1),"2nd Q 1996","")))</f>
        <v/>
      </c>
      <c r="AB1091" t="str" cm="1">
        <f t="array" ref="AB1091">_xlfn.IFS(Y1091&lt;DATE(1996,1,1),"",Y1091&lt;DATE(1996,4,1),"Q1",Y1091&lt;DATE(1996,7,1),"Q2",Y1091&gt;=DATE(1996,7,1),"")</f>
        <v/>
      </c>
    </row>
    <row r="1092" spans="1:28" ht="14.4" x14ac:dyDescent="0.55000000000000004">
      <c r="A1092" t="str">
        <f>VLOOKUP(L1092,Customers!$A$2:$B$92,2,FALSE)</f>
        <v>Bon app'</v>
      </c>
      <c r="B1092" t="str">
        <f>VLOOKUP(L1092,Customers!$A$2:$C$92,3,TRUE)</f>
        <v>Laurence Lebihan</v>
      </c>
      <c r="C1092" t="str">
        <f t="shared" si="290"/>
        <v>Laurence</v>
      </c>
      <c r="D1092" s="8" t="str">
        <f t="shared" si="291"/>
        <v>Lebihan</v>
      </c>
      <c r="E1092" s="8" t="str">
        <f t="shared" si="292"/>
        <v>Lebihan, Laurence</v>
      </c>
      <c r="F1092" s="8" t="str">
        <f t="shared" si="293"/>
        <v>Lebihan, Laurence</v>
      </c>
      <c r="G1092" s="8" t="str">
        <f t="shared" si="294"/>
        <v>not an outlier</v>
      </c>
      <c r="H1092" s="8" t="str">
        <f t="shared" si="295"/>
        <v>Not</v>
      </c>
      <c r="I1092" s="8" t="str">
        <f t="shared" ref="I1092:I1155" si="305">IF(OR(W1092&gt;$W$2166,W1092&lt;$W$2167),"yes","no")</f>
        <v>no</v>
      </c>
      <c r="J1092" s="10" t="str">
        <f t="shared" si="296"/>
        <v>no</v>
      </c>
      <c r="K1092" s="10" t="str">
        <f t="shared" si="297"/>
        <v>no</v>
      </c>
      <c r="L1092" t="s">
        <v>77</v>
      </c>
      <c r="M1092">
        <v>10663</v>
      </c>
      <c r="N1092">
        <v>40</v>
      </c>
      <c r="O1092" t="s">
        <v>720</v>
      </c>
      <c r="P1092" t="str">
        <f t="shared" si="298"/>
        <v>BONAP_10663_Boston Crab Meat</v>
      </c>
      <c r="Q1092" t="str">
        <f t="shared" si="299"/>
        <v>10663</v>
      </c>
      <c r="R1092" t="str">
        <f t="shared" si="300"/>
        <v>10663</v>
      </c>
      <c r="S1092" t="str">
        <f t="shared" si="301"/>
        <v>Boston Crab Meat</v>
      </c>
      <c r="T1092">
        <v>18.399999999999999</v>
      </c>
      <c r="U1092">
        <v>30</v>
      </c>
      <c r="V1092">
        <v>0.05</v>
      </c>
      <c r="W1092">
        <f t="shared" si="302"/>
        <v>524.4</v>
      </c>
      <c r="X1092" t="str">
        <f t="shared" si="303"/>
        <v>No</v>
      </c>
      <c r="Y1092" s="2">
        <v>34983</v>
      </c>
      <c r="Z1092" t="str">
        <f t="shared" si="289"/>
        <v/>
      </c>
      <c r="AA1092" t="str">
        <f t="shared" si="304"/>
        <v/>
      </c>
      <c r="AB1092" t="str" cm="1">
        <f t="array" ref="AB1092">_xlfn.IFS(Y1092&lt;DATE(1996,1,1),"",Y1092&lt;DATE(1996,4,1),"Q1",Y1092&lt;DATE(1996,7,1),"Q2",Y1092&gt;=DATE(1996,7,1),"")</f>
        <v/>
      </c>
    </row>
    <row r="1093" spans="1:28" ht="14.4" x14ac:dyDescent="0.55000000000000004">
      <c r="A1093" t="str">
        <f>VLOOKUP(L1093,Customers!$A$2:$B$92,2,FALSE)</f>
        <v>Bon app'</v>
      </c>
      <c r="B1093" t="str">
        <f>VLOOKUP(L1093,Customers!$A$2:$C$92,3,TRUE)</f>
        <v>Laurence Lebihan</v>
      </c>
      <c r="C1093" t="str">
        <f t="shared" si="290"/>
        <v>Laurence</v>
      </c>
      <c r="D1093" s="8" t="str">
        <f t="shared" si="291"/>
        <v>Lebihan</v>
      </c>
      <c r="E1093" s="8" t="str">
        <f t="shared" si="292"/>
        <v>Lebihan, Laurence</v>
      </c>
      <c r="F1093" s="8" t="str">
        <f t="shared" si="293"/>
        <v>Lebihan, Laurence</v>
      </c>
      <c r="G1093" s="8" t="str">
        <f t="shared" si="294"/>
        <v>not an outlier</v>
      </c>
      <c r="H1093" s="8" t="str">
        <f t="shared" si="295"/>
        <v>Not</v>
      </c>
      <c r="I1093" s="8" t="str">
        <f t="shared" si="305"/>
        <v>no</v>
      </c>
      <c r="J1093" s="10" t="str">
        <f t="shared" si="296"/>
        <v>no</v>
      </c>
      <c r="K1093" s="10" t="str">
        <f t="shared" si="297"/>
        <v>no</v>
      </c>
      <c r="L1093" t="s">
        <v>77</v>
      </c>
      <c r="M1093">
        <v>10663</v>
      </c>
      <c r="N1093">
        <v>42</v>
      </c>
      <c r="O1093" t="s">
        <v>684</v>
      </c>
      <c r="P1093" t="str">
        <f t="shared" si="298"/>
        <v>BONAP_10663_Singaporean Hokkien Fried Mee</v>
      </c>
      <c r="Q1093" t="str">
        <f t="shared" si="299"/>
        <v>10663</v>
      </c>
      <c r="R1093" t="str">
        <f t="shared" si="300"/>
        <v>10663</v>
      </c>
      <c r="S1093" t="str">
        <f t="shared" si="301"/>
        <v>Singaporean Hokkien Fried Mee</v>
      </c>
      <c r="T1093">
        <v>14</v>
      </c>
      <c r="U1093">
        <v>30</v>
      </c>
      <c r="V1093">
        <v>0.05</v>
      </c>
      <c r="W1093">
        <f t="shared" si="302"/>
        <v>399</v>
      </c>
      <c r="X1093" t="str">
        <f t="shared" si="303"/>
        <v>No</v>
      </c>
      <c r="Y1093" s="2">
        <v>34983</v>
      </c>
      <c r="Z1093" t="str">
        <f t="shared" si="289"/>
        <v/>
      </c>
      <c r="AA1093" t="str">
        <f t="shared" si="304"/>
        <v/>
      </c>
      <c r="AB1093" t="str" cm="1">
        <f t="array" ref="AB1093">_xlfn.IFS(Y1093&lt;DATE(1996,1,1),"",Y1093&lt;DATE(1996,4,1),"Q1",Y1093&lt;DATE(1996,7,1),"Q2",Y1093&gt;=DATE(1996,7,1),"")</f>
        <v/>
      </c>
    </row>
    <row r="1094" spans="1:28" ht="14.4" x14ac:dyDescent="0.55000000000000004">
      <c r="A1094" t="str">
        <f>VLOOKUP(L1094,Customers!$A$2:$B$92,2,FALSE)</f>
        <v>Bon app'</v>
      </c>
      <c r="B1094" t="str">
        <f>VLOOKUP(L1094,Customers!$A$2:$C$92,3,TRUE)</f>
        <v>Laurence Lebihan</v>
      </c>
      <c r="C1094" t="str">
        <f t="shared" si="290"/>
        <v>Laurence</v>
      </c>
      <c r="D1094" s="8" t="str">
        <f t="shared" si="291"/>
        <v>Lebihan</v>
      </c>
      <c r="E1094" s="8" t="str">
        <f t="shared" si="292"/>
        <v>Lebihan, Laurence</v>
      </c>
      <c r="F1094" s="8" t="str">
        <f t="shared" si="293"/>
        <v>Lebihan, Laurence</v>
      </c>
      <c r="G1094" s="8" t="str">
        <f t="shared" si="294"/>
        <v>not an outlier</v>
      </c>
      <c r="H1094" s="8" t="str">
        <f t="shared" si="295"/>
        <v>Not</v>
      </c>
      <c r="I1094" s="8" t="str">
        <f t="shared" si="305"/>
        <v>no</v>
      </c>
      <c r="J1094" s="10" t="str">
        <f t="shared" si="296"/>
        <v>no</v>
      </c>
      <c r="K1094" s="10" t="str">
        <f t="shared" si="297"/>
        <v>no</v>
      </c>
      <c r="L1094" t="s">
        <v>77</v>
      </c>
      <c r="M1094">
        <v>10663</v>
      </c>
      <c r="N1094">
        <v>51</v>
      </c>
      <c r="O1094" t="s">
        <v>687</v>
      </c>
      <c r="P1094" t="str">
        <f t="shared" si="298"/>
        <v>BONAP_10663_Manjimup Dried Apples</v>
      </c>
      <c r="Q1094" t="str">
        <f t="shared" si="299"/>
        <v>10663</v>
      </c>
      <c r="R1094" t="str">
        <f t="shared" si="300"/>
        <v>10663</v>
      </c>
      <c r="S1094" t="str">
        <f t="shared" si="301"/>
        <v>Manjimup Dried Apples</v>
      </c>
      <c r="T1094">
        <v>53</v>
      </c>
      <c r="U1094">
        <v>20</v>
      </c>
      <c r="V1094">
        <v>0.05</v>
      </c>
      <c r="W1094">
        <f t="shared" si="302"/>
        <v>1007</v>
      </c>
      <c r="X1094" t="str">
        <f t="shared" si="303"/>
        <v>No</v>
      </c>
      <c r="Y1094" s="2">
        <v>34983</v>
      </c>
      <c r="Z1094" t="str">
        <f t="shared" si="289"/>
        <v/>
      </c>
      <c r="AA1094" t="str">
        <f t="shared" si="304"/>
        <v/>
      </c>
      <c r="AB1094" t="str" cm="1">
        <f t="array" ref="AB1094">_xlfn.IFS(Y1094&lt;DATE(1996,1,1),"",Y1094&lt;DATE(1996,4,1),"Q1",Y1094&lt;DATE(1996,7,1),"Q2",Y1094&gt;=DATE(1996,7,1),"")</f>
        <v/>
      </c>
    </row>
    <row r="1095" spans="1:28" ht="14.4" x14ac:dyDescent="0.55000000000000004">
      <c r="A1095" t="str">
        <f>VLOOKUP(L1095,Customers!$A$2:$B$92,2,FALSE)</f>
        <v>Furia Bacalhau e Frutos do Mar</v>
      </c>
      <c r="B1095" t="str">
        <f>VLOOKUP(L1095,Customers!$A$2:$C$92,3,TRUE)</f>
        <v>Lino Rodriguez</v>
      </c>
      <c r="C1095" t="str">
        <f t="shared" si="290"/>
        <v>Lino</v>
      </c>
      <c r="D1095" s="8" t="str">
        <f t="shared" si="291"/>
        <v>Rodriguez</v>
      </c>
      <c r="E1095" s="8" t="str">
        <f t="shared" si="292"/>
        <v>Rodriguez, Lino</v>
      </c>
      <c r="F1095" s="8" t="str">
        <f t="shared" si="293"/>
        <v>Rodriguez, Lino</v>
      </c>
      <c r="G1095" s="8" t="str">
        <f t="shared" si="294"/>
        <v>not an outlier</v>
      </c>
      <c r="H1095" s="8" t="str">
        <f t="shared" si="295"/>
        <v>Not</v>
      </c>
      <c r="I1095" s="8" t="str">
        <f t="shared" si="305"/>
        <v>no</v>
      </c>
      <c r="J1095" s="10" t="str">
        <f t="shared" si="296"/>
        <v>no</v>
      </c>
      <c r="K1095" s="10" t="str">
        <f t="shared" si="297"/>
        <v>no</v>
      </c>
      <c r="L1095" t="s">
        <v>219</v>
      </c>
      <c r="M1095">
        <v>10664</v>
      </c>
      <c r="N1095">
        <v>10</v>
      </c>
      <c r="O1095" t="s">
        <v>724</v>
      </c>
      <c r="P1095" t="str">
        <f t="shared" si="298"/>
        <v>FURIB_10664_Ikura</v>
      </c>
      <c r="Q1095" t="str">
        <f t="shared" si="299"/>
        <v>10664</v>
      </c>
      <c r="R1095" t="str">
        <f t="shared" si="300"/>
        <v>10664</v>
      </c>
      <c r="S1095" t="str">
        <f t="shared" si="301"/>
        <v>Ikura</v>
      </c>
      <c r="T1095">
        <v>31</v>
      </c>
      <c r="U1095">
        <v>24</v>
      </c>
      <c r="V1095">
        <v>0.15</v>
      </c>
      <c r="W1095">
        <f t="shared" si="302"/>
        <v>632.4</v>
      </c>
      <c r="X1095" t="str">
        <f t="shared" si="303"/>
        <v>No</v>
      </c>
      <c r="Y1095" s="2">
        <v>34983</v>
      </c>
      <c r="Z1095" t="str">
        <f t="shared" si="289"/>
        <v/>
      </c>
      <c r="AA1095" t="str">
        <f t="shared" si="304"/>
        <v/>
      </c>
      <c r="AB1095" t="str" cm="1">
        <f t="array" ref="AB1095">_xlfn.IFS(Y1095&lt;DATE(1996,1,1),"",Y1095&lt;DATE(1996,4,1),"Q1",Y1095&lt;DATE(1996,7,1),"Q2",Y1095&gt;=DATE(1996,7,1),"")</f>
        <v/>
      </c>
    </row>
    <row r="1096" spans="1:28" ht="14.4" x14ac:dyDescent="0.55000000000000004">
      <c r="A1096" t="str">
        <f>VLOOKUP(L1096,Customers!$A$2:$B$92,2,FALSE)</f>
        <v>Furia Bacalhau e Frutos do Mar</v>
      </c>
      <c r="B1096" t="str">
        <f>VLOOKUP(L1096,Customers!$A$2:$C$92,3,TRUE)</f>
        <v>Lino Rodriguez</v>
      </c>
      <c r="C1096" t="str">
        <f t="shared" si="290"/>
        <v>Lino</v>
      </c>
      <c r="D1096" s="8" t="str">
        <f t="shared" si="291"/>
        <v>Rodriguez</v>
      </c>
      <c r="E1096" s="8" t="str">
        <f t="shared" si="292"/>
        <v>Rodriguez, Lino</v>
      </c>
      <c r="F1096" s="8" t="str">
        <f t="shared" si="293"/>
        <v>Rodriguez, Lino</v>
      </c>
      <c r="G1096" s="8" t="str">
        <f t="shared" si="294"/>
        <v>not an outlier</v>
      </c>
      <c r="H1096" s="8" t="str">
        <f t="shared" si="295"/>
        <v>Not</v>
      </c>
      <c r="I1096" s="8" t="str">
        <f t="shared" si="305"/>
        <v>no</v>
      </c>
      <c r="J1096" s="10" t="str">
        <f t="shared" si="296"/>
        <v>no</v>
      </c>
      <c r="K1096" s="10" t="str">
        <f t="shared" si="297"/>
        <v>no</v>
      </c>
      <c r="L1096" t="s">
        <v>219</v>
      </c>
      <c r="M1096">
        <v>10664</v>
      </c>
      <c r="N1096">
        <v>56</v>
      </c>
      <c r="O1096" t="s">
        <v>716</v>
      </c>
      <c r="P1096" t="str">
        <f t="shared" si="298"/>
        <v>FURIB_10664_Gnocchi di nonna Alice</v>
      </c>
      <c r="Q1096" t="str">
        <f t="shared" si="299"/>
        <v>10664</v>
      </c>
      <c r="R1096" t="str">
        <f t="shared" si="300"/>
        <v>10664</v>
      </c>
      <c r="S1096" t="str">
        <f t="shared" si="301"/>
        <v>Gnocchi di nonna Alice</v>
      </c>
      <c r="T1096">
        <v>38</v>
      </c>
      <c r="U1096">
        <v>12</v>
      </c>
      <c r="V1096">
        <v>0.15</v>
      </c>
      <c r="W1096">
        <f t="shared" si="302"/>
        <v>387.59999999999997</v>
      </c>
      <c r="X1096" t="str">
        <f t="shared" si="303"/>
        <v>No</v>
      </c>
      <c r="Y1096" s="2">
        <v>34983</v>
      </c>
      <c r="Z1096" t="str">
        <f t="shared" si="289"/>
        <v/>
      </c>
      <c r="AA1096" t="str">
        <f t="shared" si="304"/>
        <v/>
      </c>
      <c r="AB1096" t="str" cm="1">
        <f t="array" ref="AB1096">_xlfn.IFS(Y1096&lt;DATE(1996,1,1),"",Y1096&lt;DATE(1996,4,1),"Q1",Y1096&lt;DATE(1996,7,1),"Q2",Y1096&gt;=DATE(1996,7,1),"")</f>
        <v/>
      </c>
    </row>
    <row r="1097" spans="1:28" ht="14.4" x14ac:dyDescent="0.55000000000000004">
      <c r="A1097" t="str">
        <f>VLOOKUP(L1097,Customers!$A$2:$B$92,2,FALSE)</f>
        <v>Furia Bacalhau e Frutos do Mar</v>
      </c>
      <c r="B1097" t="str">
        <f>VLOOKUP(L1097,Customers!$A$2:$C$92,3,TRUE)</f>
        <v>Lino Rodriguez</v>
      </c>
      <c r="C1097" t="str">
        <f t="shared" si="290"/>
        <v>Lino</v>
      </c>
      <c r="D1097" s="8" t="str">
        <f t="shared" si="291"/>
        <v>Rodriguez</v>
      </c>
      <c r="E1097" s="8" t="str">
        <f t="shared" si="292"/>
        <v>Rodriguez, Lino</v>
      </c>
      <c r="F1097" s="8" t="str">
        <f t="shared" si="293"/>
        <v>Rodriguez, Lino</v>
      </c>
      <c r="G1097" s="8" t="str">
        <f t="shared" si="294"/>
        <v>not an outlier</v>
      </c>
      <c r="H1097" s="8" t="str">
        <f t="shared" si="295"/>
        <v>Not</v>
      </c>
      <c r="I1097" s="8" t="str">
        <f t="shared" si="305"/>
        <v>no</v>
      </c>
      <c r="J1097" s="10" t="str">
        <f t="shared" si="296"/>
        <v>no</v>
      </c>
      <c r="K1097" s="10" t="str">
        <f t="shared" si="297"/>
        <v>no</v>
      </c>
      <c r="L1097" t="s">
        <v>219</v>
      </c>
      <c r="M1097">
        <v>10664</v>
      </c>
      <c r="N1097">
        <v>65</v>
      </c>
      <c r="O1097" t="s">
        <v>689</v>
      </c>
      <c r="P1097" t="str">
        <f t="shared" si="298"/>
        <v>FURIB_10664_Louisiana Fiery Hot Pepper Sauce</v>
      </c>
      <c r="Q1097" t="str">
        <f t="shared" si="299"/>
        <v>10664</v>
      </c>
      <c r="R1097" t="str">
        <f t="shared" si="300"/>
        <v>10664</v>
      </c>
      <c r="S1097" t="str">
        <f t="shared" si="301"/>
        <v>Louisiana Fiery Hot Pepper Sauce</v>
      </c>
      <c r="T1097">
        <v>21.05</v>
      </c>
      <c r="U1097">
        <v>15</v>
      </c>
      <c r="V1097">
        <v>0.15</v>
      </c>
      <c r="W1097">
        <f t="shared" si="302"/>
        <v>268.38749999999999</v>
      </c>
      <c r="X1097" t="str">
        <f t="shared" si="303"/>
        <v>No</v>
      </c>
      <c r="Y1097" s="2">
        <v>34983</v>
      </c>
      <c r="Z1097" t="str">
        <f t="shared" si="289"/>
        <v/>
      </c>
      <c r="AA1097" t="str">
        <f t="shared" si="304"/>
        <v/>
      </c>
      <c r="AB1097" t="str" cm="1">
        <f t="array" ref="AB1097">_xlfn.IFS(Y1097&lt;DATE(1996,1,1),"",Y1097&lt;DATE(1996,4,1),"Q1",Y1097&lt;DATE(1996,7,1),"Q2",Y1097&gt;=DATE(1996,7,1),"")</f>
        <v/>
      </c>
    </row>
    <row r="1098" spans="1:28" ht="14.4" x14ac:dyDescent="0.55000000000000004">
      <c r="A1098" t="str">
        <f>VLOOKUP(L1098,Customers!$A$2:$B$92,2,FALSE)</f>
        <v>Lonesome Pine Restaurant</v>
      </c>
      <c r="B1098" t="str">
        <f>VLOOKUP(L1098,Customers!$A$2:$C$92,3,TRUE)</f>
        <v>Fran Wilson</v>
      </c>
      <c r="C1098" t="str">
        <f t="shared" si="290"/>
        <v>Fran</v>
      </c>
      <c r="D1098" s="8" t="str">
        <f t="shared" si="291"/>
        <v>Wilson</v>
      </c>
      <c r="E1098" s="8" t="str">
        <f t="shared" si="292"/>
        <v>Wilson, Fran</v>
      </c>
      <c r="F1098" s="8" t="str">
        <f t="shared" si="293"/>
        <v>Wilson, Fran</v>
      </c>
      <c r="G1098" s="8" t="str">
        <f t="shared" si="294"/>
        <v>not an outlier</v>
      </c>
      <c r="H1098" s="8" t="str">
        <f t="shared" si="295"/>
        <v>Not</v>
      </c>
      <c r="I1098" s="8" t="str">
        <f t="shared" si="305"/>
        <v>no</v>
      </c>
      <c r="J1098" s="10" t="str">
        <f t="shared" si="296"/>
        <v>no</v>
      </c>
      <c r="K1098" s="10" t="str">
        <f t="shared" si="297"/>
        <v>no</v>
      </c>
      <c r="L1098" t="s">
        <v>371</v>
      </c>
      <c r="M1098">
        <v>10665</v>
      </c>
      <c r="N1098">
        <v>51</v>
      </c>
      <c r="O1098" t="s">
        <v>687</v>
      </c>
      <c r="P1098" t="str">
        <f t="shared" si="298"/>
        <v>LONEP_10665_Manjimup Dried Apples</v>
      </c>
      <c r="Q1098" t="str">
        <f t="shared" si="299"/>
        <v>10665</v>
      </c>
      <c r="R1098" t="str">
        <f t="shared" si="300"/>
        <v>10665</v>
      </c>
      <c r="S1098" t="str">
        <f t="shared" si="301"/>
        <v>Manjimup Dried Apples</v>
      </c>
      <c r="T1098">
        <v>53</v>
      </c>
      <c r="U1098">
        <v>20</v>
      </c>
      <c r="V1098">
        <v>0</v>
      </c>
      <c r="W1098">
        <f t="shared" si="302"/>
        <v>1060</v>
      </c>
      <c r="X1098" t="str">
        <f t="shared" si="303"/>
        <v>No</v>
      </c>
      <c r="Y1098" s="2">
        <v>34984</v>
      </c>
      <c r="Z1098" t="str">
        <f t="shared" si="289"/>
        <v/>
      </c>
      <c r="AA1098" t="str">
        <f t="shared" si="304"/>
        <v/>
      </c>
      <c r="AB1098" t="str" cm="1">
        <f t="array" ref="AB1098">_xlfn.IFS(Y1098&lt;DATE(1996,1,1),"",Y1098&lt;DATE(1996,4,1),"Q1",Y1098&lt;DATE(1996,7,1),"Q2",Y1098&gt;=DATE(1996,7,1),"")</f>
        <v/>
      </c>
    </row>
    <row r="1099" spans="1:28" ht="14.4" x14ac:dyDescent="0.55000000000000004">
      <c r="A1099" t="str">
        <f>VLOOKUP(L1099,Customers!$A$2:$B$92,2,FALSE)</f>
        <v>Lonesome Pine Restaurant</v>
      </c>
      <c r="B1099" t="str">
        <f>VLOOKUP(L1099,Customers!$A$2:$C$92,3,TRUE)</f>
        <v>Fran Wilson</v>
      </c>
      <c r="C1099" t="str">
        <f t="shared" si="290"/>
        <v>Fran</v>
      </c>
      <c r="D1099" s="8" t="str">
        <f t="shared" si="291"/>
        <v>Wilson</v>
      </c>
      <c r="E1099" s="8" t="str">
        <f t="shared" si="292"/>
        <v>Wilson, Fran</v>
      </c>
      <c r="F1099" s="8" t="str">
        <f t="shared" si="293"/>
        <v>Wilson, Fran</v>
      </c>
      <c r="G1099" s="8" t="str">
        <f t="shared" si="294"/>
        <v>not an outlier</v>
      </c>
      <c r="H1099" s="8" t="str">
        <f t="shared" si="295"/>
        <v>Not</v>
      </c>
      <c r="I1099" s="8" t="str">
        <f t="shared" si="305"/>
        <v>no</v>
      </c>
      <c r="J1099" s="10" t="str">
        <f t="shared" si="296"/>
        <v>no</v>
      </c>
      <c r="K1099" s="10" t="str">
        <f t="shared" si="297"/>
        <v>no</v>
      </c>
      <c r="L1099" t="s">
        <v>371</v>
      </c>
      <c r="M1099">
        <v>10665</v>
      </c>
      <c r="N1099">
        <v>59</v>
      </c>
      <c r="O1099" t="s">
        <v>704</v>
      </c>
      <c r="P1099" t="str">
        <f t="shared" si="298"/>
        <v>LONEP_10665_Raclette Courdavault</v>
      </c>
      <c r="Q1099" t="str">
        <f t="shared" si="299"/>
        <v>10665</v>
      </c>
      <c r="R1099" t="str">
        <f t="shared" si="300"/>
        <v>10665</v>
      </c>
      <c r="S1099" t="str">
        <f t="shared" si="301"/>
        <v>Raclette Courdavault</v>
      </c>
      <c r="T1099">
        <v>55</v>
      </c>
      <c r="U1099">
        <v>1</v>
      </c>
      <c r="V1099">
        <v>0</v>
      </c>
      <c r="W1099">
        <f t="shared" si="302"/>
        <v>55</v>
      </c>
      <c r="X1099" t="str">
        <f t="shared" si="303"/>
        <v>No</v>
      </c>
      <c r="Y1099" s="2">
        <v>34984</v>
      </c>
      <c r="Z1099" t="str">
        <f t="shared" si="289"/>
        <v/>
      </c>
      <c r="AA1099" t="str">
        <f t="shared" si="304"/>
        <v/>
      </c>
      <c r="AB1099" t="str" cm="1">
        <f t="array" ref="AB1099">_xlfn.IFS(Y1099&lt;DATE(1996,1,1),"",Y1099&lt;DATE(1996,4,1),"Q1",Y1099&lt;DATE(1996,7,1),"Q2",Y1099&gt;=DATE(1996,7,1),"")</f>
        <v/>
      </c>
    </row>
    <row r="1100" spans="1:28" ht="14.4" x14ac:dyDescent="0.55000000000000004">
      <c r="A1100" t="str">
        <f>VLOOKUP(L1100,Customers!$A$2:$B$92,2,FALSE)</f>
        <v>Lonesome Pine Restaurant</v>
      </c>
      <c r="B1100" t="str">
        <f>VLOOKUP(L1100,Customers!$A$2:$C$92,3,TRUE)</f>
        <v>Fran Wilson</v>
      </c>
      <c r="C1100" t="str">
        <f t="shared" si="290"/>
        <v>Fran</v>
      </c>
      <c r="D1100" s="8" t="str">
        <f t="shared" si="291"/>
        <v>Wilson</v>
      </c>
      <c r="E1100" s="8" t="str">
        <f t="shared" si="292"/>
        <v>Wilson, Fran</v>
      </c>
      <c r="F1100" s="8" t="str">
        <f t="shared" si="293"/>
        <v>Wilson, Fran</v>
      </c>
      <c r="G1100" s="8" t="str">
        <f t="shared" si="294"/>
        <v>not an outlier</v>
      </c>
      <c r="H1100" s="8" t="str">
        <f t="shared" si="295"/>
        <v>Not</v>
      </c>
      <c r="I1100" s="8" t="str">
        <f t="shared" si="305"/>
        <v>no</v>
      </c>
      <c r="J1100" s="10" t="str">
        <f t="shared" si="296"/>
        <v>no</v>
      </c>
      <c r="K1100" s="10" t="str">
        <f t="shared" si="297"/>
        <v>no</v>
      </c>
      <c r="L1100" t="s">
        <v>371</v>
      </c>
      <c r="M1100">
        <v>10665</v>
      </c>
      <c r="N1100">
        <v>76</v>
      </c>
      <c r="O1100" t="s">
        <v>721</v>
      </c>
      <c r="P1100" t="str">
        <f t="shared" si="298"/>
        <v>LONEP_10665_Lakkalikööri</v>
      </c>
      <c r="Q1100" t="str">
        <f t="shared" si="299"/>
        <v>10665</v>
      </c>
      <c r="R1100" t="str">
        <f t="shared" si="300"/>
        <v>10665</v>
      </c>
      <c r="S1100" t="str">
        <f t="shared" si="301"/>
        <v>Lakkalikööri</v>
      </c>
      <c r="T1100">
        <v>18</v>
      </c>
      <c r="U1100">
        <v>10</v>
      </c>
      <c r="V1100">
        <v>0</v>
      </c>
      <c r="W1100">
        <f t="shared" si="302"/>
        <v>180</v>
      </c>
      <c r="X1100" t="str">
        <f t="shared" si="303"/>
        <v>No</v>
      </c>
      <c r="Y1100" s="2">
        <v>34984</v>
      </c>
      <c r="Z1100" t="str">
        <f t="shared" si="289"/>
        <v/>
      </c>
      <c r="AA1100" t="str">
        <f t="shared" si="304"/>
        <v/>
      </c>
      <c r="AB1100" t="str" cm="1">
        <f t="array" ref="AB1100">_xlfn.IFS(Y1100&lt;DATE(1996,1,1),"",Y1100&lt;DATE(1996,4,1),"Q1",Y1100&lt;DATE(1996,7,1),"Q2",Y1100&gt;=DATE(1996,7,1),"")</f>
        <v/>
      </c>
    </row>
    <row r="1101" spans="1:28" ht="14.4" x14ac:dyDescent="0.55000000000000004">
      <c r="A1101" t="str">
        <f>VLOOKUP(L1101,Customers!$A$2:$B$92,2,FALSE)</f>
        <v>Richter Supermarkt</v>
      </c>
      <c r="B1101" t="str">
        <f>VLOOKUP(L1101,Customers!$A$2:$C$92,3,TRUE)</f>
        <v>Michael Holz</v>
      </c>
      <c r="C1101" t="str">
        <f t="shared" si="290"/>
        <v>Michael</v>
      </c>
      <c r="D1101" s="8" t="str">
        <f t="shared" si="291"/>
        <v>Holz</v>
      </c>
      <c r="E1101" s="8" t="str">
        <f t="shared" si="292"/>
        <v>Holz, Michael</v>
      </c>
      <c r="F1101" s="8" t="str">
        <f t="shared" si="293"/>
        <v>Holz, Michael</v>
      </c>
      <c r="G1101" s="8" t="str">
        <f t="shared" si="294"/>
        <v>outlier</v>
      </c>
      <c r="H1101" s="8" t="str">
        <f t="shared" si="295"/>
        <v>outlier</v>
      </c>
      <c r="I1101" s="8" t="str">
        <f t="shared" si="305"/>
        <v>yes</v>
      </c>
      <c r="J1101" s="10" t="str">
        <f t="shared" si="296"/>
        <v>yes</v>
      </c>
      <c r="K1101" s="10" t="str">
        <f t="shared" si="297"/>
        <v>yes</v>
      </c>
      <c r="L1101" t="s">
        <v>509</v>
      </c>
      <c r="M1101">
        <v>10666</v>
      </c>
      <c r="N1101">
        <v>29</v>
      </c>
      <c r="O1101" t="s">
        <v>722</v>
      </c>
      <c r="P1101" t="str">
        <f t="shared" si="298"/>
        <v>RICSU_10666_Thüringer Rostbratwurst</v>
      </c>
      <c r="Q1101" t="str">
        <f t="shared" si="299"/>
        <v>10666</v>
      </c>
      <c r="R1101" t="str">
        <f t="shared" si="300"/>
        <v>10666</v>
      </c>
      <c r="S1101" t="str">
        <f t="shared" si="301"/>
        <v>Thüringer Rostbratwurst</v>
      </c>
      <c r="T1101">
        <v>123.79</v>
      </c>
      <c r="U1101">
        <v>36</v>
      </c>
      <c r="V1101">
        <v>0</v>
      </c>
      <c r="W1101">
        <f t="shared" si="302"/>
        <v>4456.4400000000005</v>
      </c>
      <c r="X1101" t="str">
        <f t="shared" si="303"/>
        <v>No</v>
      </c>
      <c r="Y1101" s="2">
        <v>34985</v>
      </c>
      <c r="Z1101" t="str">
        <f t="shared" si="289"/>
        <v/>
      </c>
      <c r="AA1101" t="str">
        <f t="shared" si="304"/>
        <v/>
      </c>
      <c r="AB1101" t="str" cm="1">
        <f t="array" ref="AB1101">_xlfn.IFS(Y1101&lt;DATE(1996,1,1),"",Y1101&lt;DATE(1996,4,1),"Q1",Y1101&lt;DATE(1996,7,1),"Q2",Y1101&gt;=DATE(1996,7,1),"")</f>
        <v/>
      </c>
    </row>
    <row r="1102" spans="1:28" ht="14.4" x14ac:dyDescent="0.55000000000000004">
      <c r="A1102" t="str">
        <f>VLOOKUP(L1102,Customers!$A$2:$B$92,2,FALSE)</f>
        <v>Richter Supermarkt</v>
      </c>
      <c r="B1102" t="str">
        <f>VLOOKUP(L1102,Customers!$A$2:$C$92,3,TRUE)</f>
        <v>Michael Holz</v>
      </c>
      <c r="C1102" t="str">
        <f t="shared" si="290"/>
        <v>Michael</v>
      </c>
      <c r="D1102" s="8" t="str">
        <f t="shared" si="291"/>
        <v>Holz</v>
      </c>
      <c r="E1102" s="8" t="str">
        <f t="shared" si="292"/>
        <v>Holz, Michael</v>
      </c>
      <c r="F1102" s="8" t="str">
        <f t="shared" si="293"/>
        <v>Holz, Michael</v>
      </c>
      <c r="G1102" s="8" t="str">
        <f t="shared" si="294"/>
        <v>not an outlier</v>
      </c>
      <c r="H1102" s="8" t="str">
        <f t="shared" si="295"/>
        <v>Not</v>
      </c>
      <c r="I1102" s="8" t="str">
        <f t="shared" si="305"/>
        <v>no</v>
      </c>
      <c r="J1102" s="10" t="str">
        <f t="shared" si="296"/>
        <v>no</v>
      </c>
      <c r="K1102" s="10" t="str">
        <f t="shared" si="297"/>
        <v>no</v>
      </c>
      <c r="L1102" t="s">
        <v>509</v>
      </c>
      <c r="M1102">
        <v>10666</v>
      </c>
      <c r="N1102">
        <v>65</v>
      </c>
      <c r="O1102" t="s">
        <v>689</v>
      </c>
      <c r="P1102" t="str">
        <f t="shared" si="298"/>
        <v>RICSU_10666_Louisiana Fiery Hot Pepper Sauce</v>
      </c>
      <c r="Q1102" t="str">
        <f t="shared" si="299"/>
        <v>10666</v>
      </c>
      <c r="R1102" t="str">
        <f t="shared" si="300"/>
        <v>10666</v>
      </c>
      <c r="S1102" t="str">
        <f t="shared" si="301"/>
        <v>Louisiana Fiery Hot Pepper Sauce</v>
      </c>
      <c r="T1102">
        <v>21.05</v>
      </c>
      <c r="U1102">
        <v>10</v>
      </c>
      <c r="V1102">
        <v>0</v>
      </c>
      <c r="W1102">
        <f t="shared" si="302"/>
        <v>210.5</v>
      </c>
      <c r="X1102" t="str">
        <f t="shared" si="303"/>
        <v>No</v>
      </c>
      <c r="Y1102" s="2">
        <v>34985</v>
      </c>
      <c r="Z1102" t="str">
        <f t="shared" si="289"/>
        <v/>
      </c>
      <c r="AA1102" t="str">
        <f t="shared" si="304"/>
        <v/>
      </c>
      <c r="AB1102" t="str" cm="1">
        <f t="array" ref="AB1102">_xlfn.IFS(Y1102&lt;DATE(1996,1,1),"",Y1102&lt;DATE(1996,4,1),"Q1",Y1102&lt;DATE(1996,7,1),"Q2",Y1102&gt;=DATE(1996,7,1),"")</f>
        <v/>
      </c>
    </row>
    <row r="1103" spans="1:28" ht="14.4" x14ac:dyDescent="0.55000000000000004">
      <c r="A1103" t="str">
        <f>VLOOKUP(L1103,Customers!$A$2:$B$92,2,FALSE)</f>
        <v>Ernst Handel</v>
      </c>
      <c r="B1103" t="str">
        <f>VLOOKUP(L1103,Customers!$A$2:$C$92,3,TRUE)</f>
        <v>Roland Mendel</v>
      </c>
      <c r="C1103" t="str">
        <f t="shared" si="290"/>
        <v>Roland</v>
      </c>
      <c r="D1103" s="8" t="str">
        <f t="shared" si="291"/>
        <v>Mendel</v>
      </c>
      <c r="E1103" s="8" t="str">
        <f t="shared" si="292"/>
        <v>Mendel, Roland</v>
      </c>
      <c r="F1103" s="8" t="str">
        <f t="shared" si="293"/>
        <v>Mendel, Roland</v>
      </c>
      <c r="G1103" s="8" t="str">
        <f t="shared" si="294"/>
        <v>not an outlier</v>
      </c>
      <c r="H1103" s="8" t="str">
        <f t="shared" si="295"/>
        <v>Not</v>
      </c>
      <c r="I1103" s="8" t="str">
        <f t="shared" si="305"/>
        <v>no</v>
      </c>
      <c r="J1103" s="10" t="str">
        <f t="shared" si="296"/>
        <v>no</v>
      </c>
      <c r="K1103" s="10" t="str">
        <f t="shared" si="297"/>
        <v>no</v>
      </c>
      <c r="L1103" t="s">
        <v>161</v>
      </c>
      <c r="M1103">
        <v>10667</v>
      </c>
      <c r="N1103">
        <v>69</v>
      </c>
      <c r="O1103" t="s">
        <v>743</v>
      </c>
      <c r="P1103" t="str">
        <f t="shared" si="298"/>
        <v>ERNSH_10667_Gudbrandsdalsost</v>
      </c>
      <c r="Q1103" t="str">
        <f t="shared" si="299"/>
        <v>10667</v>
      </c>
      <c r="R1103" t="str">
        <f t="shared" si="300"/>
        <v>10667</v>
      </c>
      <c r="S1103" t="str">
        <f t="shared" si="301"/>
        <v>Gudbrandsdalsost</v>
      </c>
      <c r="T1103">
        <v>36</v>
      </c>
      <c r="U1103">
        <v>45</v>
      </c>
      <c r="V1103">
        <v>0.2</v>
      </c>
      <c r="W1103">
        <f t="shared" si="302"/>
        <v>1296</v>
      </c>
      <c r="X1103" t="str">
        <f t="shared" si="303"/>
        <v>No</v>
      </c>
      <c r="Y1103" s="2">
        <v>34985</v>
      </c>
      <c r="Z1103" t="str">
        <f t="shared" si="289"/>
        <v/>
      </c>
      <c r="AA1103" t="str">
        <f t="shared" si="304"/>
        <v/>
      </c>
      <c r="AB1103" t="str" cm="1">
        <f t="array" ref="AB1103">_xlfn.IFS(Y1103&lt;DATE(1996,1,1),"",Y1103&lt;DATE(1996,4,1),"Q1",Y1103&lt;DATE(1996,7,1),"Q2",Y1103&gt;=DATE(1996,7,1),"")</f>
        <v/>
      </c>
    </row>
    <row r="1104" spans="1:28" ht="14.4" x14ac:dyDescent="0.55000000000000004">
      <c r="A1104" t="str">
        <f>VLOOKUP(L1104,Customers!$A$2:$B$92,2,FALSE)</f>
        <v>Ernst Handel</v>
      </c>
      <c r="B1104" t="str">
        <f>VLOOKUP(L1104,Customers!$A$2:$C$92,3,TRUE)</f>
        <v>Roland Mendel</v>
      </c>
      <c r="C1104" t="str">
        <f t="shared" si="290"/>
        <v>Roland</v>
      </c>
      <c r="D1104" s="8" t="str">
        <f t="shared" si="291"/>
        <v>Mendel</v>
      </c>
      <c r="E1104" s="8" t="str">
        <f t="shared" si="292"/>
        <v>Mendel, Roland</v>
      </c>
      <c r="F1104" s="8" t="str">
        <f t="shared" si="293"/>
        <v>Mendel, Roland</v>
      </c>
      <c r="G1104" s="8" t="str">
        <f t="shared" si="294"/>
        <v>not an outlier</v>
      </c>
      <c r="H1104" s="8" t="str">
        <f t="shared" si="295"/>
        <v>Not</v>
      </c>
      <c r="I1104" s="8" t="str">
        <f t="shared" si="305"/>
        <v>no</v>
      </c>
      <c r="J1104" s="10" t="str">
        <f t="shared" si="296"/>
        <v>no</v>
      </c>
      <c r="K1104" s="10" t="str">
        <f t="shared" si="297"/>
        <v>no</v>
      </c>
      <c r="L1104" t="s">
        <v>161</v>
      </c>
      <c r="M1104">
        <v>10667</v>
      </c>
      <c r="N1104">
        <v>71</v>
      </c>
      <c r="O1104" t="s">
        <v>725</v>
      </c>
      <c r="P1104" t="str">
        <f t="shared" si="298"/>
        <v>ERNSH_10667_Fløtemysost</v>
      </c>
      <c r="Q1104" t="str">
        <f t="shared" si="299"/>
        <v>10667</v>
      </c>
      <c r="R1104" t="str">
        <f t="shared" si="300"/>
        <v>10667</v>
      </c>
      <c r="S1104" t="str">
        <f t="shared" si="301"/>
        <v>Fløtemysost</v>
      </c>
      <c r="T1104">
        <v>21.5</v>
      </c>
      <c r="U1104">
        <v>14</v>
      </c>
      <c r="V1104">
        <v>0.2</v>
      </c>
      <c r="W1104">
        <f t="shared" si="302"/>
        <v>240.8</v>
      </c>
      <c r="X1104" t="str">
        <f t="shared" si="303"/>
        <v>No</v>
      </c>
      <c r="Y1104" s="2">
        <v>34985</v>
      </c>
      <c r="Z1104" t="str">
        <f t="shared" si="289"/>
        <v/>
      </c>
      <c r="AA1104" t="str">
        <f t="shared" si="304"/>
        <v/>
      </c>
      <c r="AB1104" t="str" cm="1">
        <f t="array" ref="AB1104">_xlfn.IFS(Y1104&lt;DATE(1996,1,1),"",Y1104&lt;DATE(1996,4,1),"Q1",Y1104&lt;DATE(1996,7,1),"Q2",Y1104&gt;=DATE(1996,7,1),"")</f>
        <v/>
      </c>
    </row>
    <row r="1105" spans="1:28" ht="14.4" x14ac:dyDescent="0.55000000000000004">
      <c r="A1105" t="str">
        <f>VLOOKUP(L1105,Customers!$A$2:$B$92,2,FALSE)</f>
        <v>Die Wandernde Kuh</v>
      </c>
      <c r="B1105" t="str">
        <f>VLOOKUP(L1105,Customers!$A$2:$C$92,3,TRUE)</f>
        <v>Rita Müller</v>
      </c>
      <c r="C1105" t="str">
        <f t="shared" si="290"/>
        <v>Rita</v>
      </c>
      <c r="D1105" s="8" t="str">
        <f t="shared" si="291"/>
        <v>Müller</v>
      </c>
      <c r="E1105" s="8" t="str">
        <f t="shared" si="292"/>
        <v>Müller, Rita</v>
      </c>
      <c r="F1105" s="8" t="str">
        <f t="shared" si="293"/>
        <v>Müller, Rita</v>
      </c>
      <c r="G1105" s="8" t="str">
        <f t="shared" si="294"/>
        <v>not an outlier</v>
      </c>
      <c r="H1105" s="8" t="str">
        <f t="shared" si="295"/>
        <v>Not</v>
      </c>
      <c r="I1105" s="8" t="str">
        <f t="shared" si="305"/>
        <v>no</v>
      </c>
      <c r="J1105" s="10" t="str">
        <f t="shared" si="296"/>
        <v>no</v>
      </c>
      <c r="K1105" s="10" t="str">
        <f t="shared" si="297"/>
        <v>no</v>
      </c>
      <c r="L1105" t="s">
        <v>633</v>
      </c>
      <c r="M1105">
        <v>10668</v>
      </c>
      <c r="N1105">
        <v>31</v>
      </c>
      <c r="O1105" t="s">
        <v>695</v>
      </c>
      <c r="P1105" t="str">
        <f t="shared" si="298"/>
        <v>WANDK_10668_Gorgonzola Telino</v>
      </c>
      <c r="Q1105" t="str">
        <f t="shared" si="299"/>
        <v>10668</v>
      </c>
      <c r="R1105" t="str">
        <f t="shared" si="300"/>
        <v>10668</v>
      </c>
      <c r="S1105" t="str">
        <f t="shared" si="301"/>
        <v>Gorgonzola Telino</v>
      </c>
      <c r="T1105">
        <v>12.5</v>
      </c>
      <c r="U1105">
        <v>8</v>
      </c>
      <c r="V1105">
        <v>0.1</v>
      </c>
      <c r="W1105">
        <f t="shared" si="302"/>
        <v>90</v>
      </c>
      <c r="X1105" t="str">
        <f t="shared" si="303"/>
        <v>No</v>
      </c>
      <c r="Y1105" s="2">
        <v>34988</v>
      </c>
      <c r="Z1105" t="str">
        <f t="shared" si="289"/>
        <v/>
      </c>
      <c r="AA1105" t="str">
        <f t="shared" si="304"/>
        <v/>
      </c>
      <c r="AB1105" t="str" cm="1">
        <f t="array" ref="AB1105">_xlfn.IFS(Y1105&lt;DATE(1996,1,1),"",Y1105&lt;DATE(1996,4,1),"Q1",Y1105&lt;DATE(1996,7,1),"Q2",Y1105&gt;=DATE(1996,7,1),"")</f>
        <v/>
      </c>
    </row>
    <row r="1106" spans="1:28" ht="14.4" x14ac:dyDescent="0.55000000000000004">
      <c r="A1106" t="str">
        <f>VLOOKUP(L1106,Customers!$A$2:$B$92,2,FALSE)</f>
        <v>Die Wandernde Kuh</v>
      </c>
      <c r="B1106" t="str">
        <f>VLOOKUP(L1106,Customers!$A$2:$C$92,3,TRUE)</f>
        <v>Rita Müller</v>
      </c>
      <c r="C1106" t="str">
        <f t="shared" si="290"/>
        <v>Rita</v>
      </c>
      <c r="D1106" s="8" t="str">
        <f t="shared" si="291"/>
        <v>Müller</v>
      </c>
      <c r="E1106" s="8" t="str">
        <f t="shared" si="292"/>
        <v>Müller, Rita</v>
      </c>
      <c r="F1106" s="8" t="str">
        <f t="shared" si="293"/>
        <v>Müller, Rita</v>
      </c>
      <c r="G1106" s="8" t="str">
        <f t="shared" si="294"/>
        <v>not an outlier</v>
      </c>
      <c r="H1106" s="8" t="str">
        <f t="shared" si="295"/>
        <v>Not</v>
      </c>
      <c r="I1106" s="8" t="str">
        <f t="shared" si="305"/>
        <v>no</v>
      </c>
      <c r="J1106" s="10" t="str">
        <f t="shared" si="296"/>
        <v>no</v>
      </c>
      <c r="K1106" s="10" t="str">
        <f t="shared" si="297"/>
        <v>no</v>
      </c>
      <c r="L1106" t="s">
        <v>633</v>
      </c>
      <c r="M1106">
        <v>10668</v>
      </c>
      <c r="N1106">
        <v>55</v>
      </c>
      <c r="O1106" t="s">
        <v>699</v>
      </c>
      <c r="P1106" t="str">
        <f t="shared" si="298"/>
        <v>WANDK_10668_Pâté chinois</v>
      </c>
      <c r="Q1106" t="str">
        <f t="shared" si="299"/>
        <v>10668</v>
      </c>
      <c r="R1106" t="str">
        <f t="shared" si="300"/>
        <v>10668</v>
      </c>
      <c r="S1106" t="str">
        <f t="shared" si="301"/>
        <v>Pâté chinois</v>
      </c>
      <c r="T1106">
        <v>24</v>
      </c>
      <c r="U1106">
        <v>4</v>
      </c>
      <c r="V1106">
        <v>0.1</v>
      </c>
      <c r="W1106">
        <f t="shared" si="302"/>
        <v>86.4</v>
      </c>
      <c r="X1106" t="str">
        <f t="shared" si="303"/>
        <v>No</v>
      </c>
      <c r="Y1106" s="2">
        <v>34988</v>
      </c>
      <c r="Z1106" t="str">
        <f t="shared" si="289"/>
        <v/>
      </c>
      <c r="AA1106" t="str">
        <f t="shared" si="304"/>
        <v/>
      </c>
      <c r="AB1106" t="str" cm="1">
        <f t="array" ref="AB1106">_xlfn.IFS(Y1106&lt;DATE(1996,1,1),"",Y1106&lt;DATE(1996,4,1),"Q1",Y1106&lt;DATE(1996,7,1),"Q2",Y1106&gt;=DATE(1996,7,1),"")</f>
        <v/>
      </c>
    </row>
    <row r="1107" spans="1:28" ht="14.4" x14ac:dyDescent="0.55000000000000004">
      <c r="A1107" t="str">
        <f>VLOOKUP(L1107,Customers!$A$2:$B$92,2,FALSE)</f>
        <v>Die Wandernde Kuh</v>
      </c>
      <c r="B1107" t="str">
        <f>VLOOKUP(L1107,Customers!$A$2:$C$92,3,TRUE)</f>
        <v>Rita Müller</v>
      </c>
      <c r="C1107" t="str">
        <f t="shared" si="290"/>
        <v>Rita</v>
      </c>
      <c r="D1107" s="8" t="str">
        <f t="shared" si="291"/>
        <v>Müller</v>
      </c>
      <c r="E1107" s="8" t="str">
        <f t="shared" si="292"/>
        <v>Müller, Rita</v>
      </c>
      <c r="F1107" s="8" t="str">
        <f t="shared" si="293"/>
        <v>Müller, Rita</v>
      </c>
      <c r="G1107" s="8" t="str">
        <f t="shared" si="294"/>
        <v>not an outlier</v>
      </c>
      <c r="H1107" s="8" t="str">
        <f t="shared" si="295"/>
        <v>Not</v>
      </c>
      <c r="I1107" s="8" t="str">
        <f t="shared" si="305"/>
        <v>no</v>
      </c>
      <c r="J1107" s="10" t="str">
        <f t="shared" si="296"/>
        <v>no</v>
      </c>
      <c r="K1107" s="10" t="str">
        <f t="shared" si="297"/>
        <v>no</v>
      </c>
      <c r="L1107" t="s">
        <v>633</v>
      </c>
      <c r="M1107">
        <v>10668</v>
      </c>
      <c r="N1107">
        <v>64</v>
      </c>
      <c r="O1107" t="s">
        <v>741</v>
      </c>
      <c r="P1107" t="str">
        <f t="shared" si="298"/>
        <v>WANDK_10668_Wimmers gute Semmelknödel</v>
      </c>
      <c r="Q1107" t="str">
        <f t="shared" si="299"/>
        <v>10668</v>
      </c>
      <c r="R1107" t="str">
        <f t="shared" si="300"/>
        <v>10668</v>
      </c>
      <c r="S1107" t="str">
        <f t="shared" si="301"/>
        <v>Wimmers gute Semmelknödel</v>
      </c>
      <c r="T1107">
        <v>33.25</v>
      </c>
      <c r="U1107">
        <v>15</v>
      </c>
      <c r="V1107">
        <v>0.1</v>
      </c>
      <c r="W1107">
        <f t="shared" si="302"/>
        <v>448.875</v>
      </c>
      <c r="X1107" t="str">
        <f t="shared" si="303"/>
        <v>No</v>
      </c>
      <c r="Y1107" s="2">
        <v>34988</v>
      </c>
      <c r="Z1107" t="str">
        <f t="shared" si="289"/>
        <v/>
      </c>
      <c r="AA1107" t="str">
        <f t="shared" si="304"/>
        <v/>
      </c>
      <c r="AB1107" t="str" cm="1">
        <f t="array" ref="AB1107">_xlfn.IFS(Y1107&lt;DATE(1996,1,1),"",Y1107&lt;DATE(1996,4,1),"Q1",Y1107&lt;DATE(1996,7,1),"Q2",Y1107&gt;=DATE(1996,7,1),"")</f>
        <v/>
      </c>
    </row>
    <row r="1108" spans="1:28" ht="14.4" x14ac:dyDescent="0.55000000000000004">
      <c r="A1108" t="str">
        <f>VLOOKUP(L1108,Customers!$A$2:$B$92,2,FALSE)</f>
        <v>Simons bistro</v>
      </c>
      <c r="B1108" t="str">
        <f>VLOOKUP(L1108,Customers!$A$2:$C$92,3,TRUE)</f>
        <v>Jytte Petersen</v>
      </c>
      <c r="C1108" t="str">
        <f t="shared" si="290"/>
        <v>Jytte</v>
      </c>
      <c r="D1108" s="8" t="str">
        <f t="shared" si="291"/>
        <v>Petersen</v>
      </c>
      <c r="E1108" s="8" t="str">
        <f t="shared" si="292"/>
        <v>Petersen, Jytte</v>
      </c>
      <c r="F1108" s="8" t="str">
        <f t="shared" si="293"/>
        <v>Petersen, Jytte</v>
      </c>
      <c r="G1108" s="8" t="str">
        <f t="shared" si="294"/>
        <v>not an outlier</v>
      </c>
      <c r="H1108" s="8" t="str">
        <f t="shared" si="295"/>
        <v>Not</v>
      </c>
      <c r="I1108" s="8" t="str">
        <f t="shared" si="305"/>
        <v>no</v>
      </c>
      <c r="J1108" s="10" t="str">
        <f t="shared" si="296"/>
        <v>no</v>
      </c>
      <c r="K1108" s="10" t="str">
        <f t="shared" si="297"/>
        <v>no</v>
      </c>
      <c r="L1108" t="s">
        <v>543</v>
      </c>
      <c r="M1108">
        <v>10669</v>
      </c>
      <c r="N1108">
        <v>36</v>
      </c>
      <c r="O1108" t="s">
        <v>703</v>
      </c>
      <c r="P1108" t="str">
        <f t="shared" si="298"/>
        <v>SIMOB_10669_Inlagd Sill</v>
      </c>
      <c r="Q1108" t="str">
        <f t="shared" si="299"/>
        <v>10669</v>
      </c>
      <c r="R1108" t="str">
        <f t="shared" si="300"/>
        <v>10669</v>
      </c>
      <c r="S1108" t="str">
        <f t="shared" si="301"/>
        <v>Inlagd Sill</v>
      </c>
      <c r="T1108">
        <v>19</v>
      </c>
      <c r="U1108">
        <v>30</v>
      </c>
      <c r="V1108">
        <v>0</v>
      </c>
      <c r="W1108">
        <f t="shared" si="302"/>
        <v>570</v>
      </c>
      <c r="X1108" t="str">
        <f t="shared" si="303"/>
        <v>No</v>
      </c>
      <c r="Y1108" s="2">
        <v>34988</v>
      </c>
      <c r="Z1108" t="str">
        <f t="shared" si="289"/>
        <v/>
      </c>
      <c r="AA1108" t="str">
        <f t="shared" si="304"/>
        <v/>
      </c>
      <c r="AB1108" t="str" cm="1">
        <f t="array" ref="AB1108">_xlfn.IFS(Y1108&lt;DATE(1996,1,1),"",Y1108&lt;DATE(1996,4,1),"Q1",Y1108&lt;DATE(1996,7,1),"Q2",Y1108&gt;=DATE(1996,7,1),"")</f>
        <v/>
      </c>
    </row>
    <row r="1109" spans="1:28" ht="14.4" x14ac:dyDescent="0.55000000000000004">
      <c r="A1109" t="str">
        <f>VLOOKUP(L1109,Customers!$A$2:$B$92,2,FALSE)</f>
        <v>Frankenversand</v>
      </c>
      <c r="B1109" t="str">
        <f>VLOOKUP(L1109,Customers!$A$2:$C$92,3,TRUE)</f>
        <v>Peter Franken</v>
      </c>
      <c r="C1109" t="str">
        <f t="shared" si="290"/>
        <v>Peter</v>
      </c>
      <c r="D1109" s="8" t="str">
        <f t="shared" si="291"/>
        <v>Franken</v>
      </c>
      <c r="E1109" s="8" t="str">
        <f t="shared" si="292"/>
        <v>Franken, Peter</v>
      </c>
      <c r="F1109" s="8" t="str">
        <f t="shared" si="293"/>
        <v>Franken, Peter</v>
      </c>
      <c r="G1109" s="8" t="str">
        <f t="shared" si="294"/>
        <v>not an outlier</v>
      </c>
      <c r="H1109" s="8" t="str">
        <f t="shared" si="295"/>
        <v>Not</v>
      </c>
      <c r="I1109" s="8" t="str">
        <f t="shared" si="305"/>
        <v>no</v>
      </c>
      <c r="J1109" s="10" t="str">
        <f t="shared" si="296"/>
        <v>no</v>
      </c>
      <c r="K1109" s="10" t="str">
        <f t="shared" si="297"/>
        <v>no</v>
      </c>
      <c r="L1109" t="s">
        <v>198</v>
      </c>
      <c r="M1109">
        <v>10670</v>
      </c>
      <c r="N1109">
        <v>23</v>
      </c>
      <c r="O1109" t="s">
        <v>753</v>
      </c>
      <c r="P1109" t="str">
        <f t="shared" si="298"/>
        <v>FRANK_10670_Tunnbröd</v>
      </c>
      <c r="Q1109" t="str">
        <f t="shared" si="299"/>
        <v>10670</v>
      </c>
      <c r="R1109" t="str">
        <f t="shared" si="300"/>
        <v>10670</v>
      </c>
      <c r="S1109" t="str">
        <f t="shared" si="301"/>
        <v>Tunnbröd</v>
      </c>
      <c r="T1109">
        <v>9</v>
      </c>
      <c r="U1109">
        <v>32</v>
      </c>
      <c r="V1109">
        <v>0</v>
      </c>
      <c r="W1109">
        <f t="shared" si="302"/>
        <v>288</v>
      </c>
      <c r="X1109" t="str">
        <f t="shared" si="303"/>
        <v>No</v>
      </c>
      <c r="Y1109" s="2">
        <v>34989</v>
      </c>
      <c r="Z1109" t="str">
        <f t="shared" si="289"/>
        <v/>
      </c>
      <c r="AA1109" t="str">
        <f t="shared" si="304"/>
        <v/>
      </c>
      <c r="AB1109" t="str" cm="1">
        <f t="array" ref="AB1109">_xlfn.IFS(Y1109&lt;DATE(1996,1,1),"",Y1109&lt;DATE(1996,4,1),"Q1",Y1109&lt;DATE(1996,7,1),"Q2",Y1109&gt;=DATE(1996,7,1),"")</f>
        <v/>
      </c>
    </row>
    <row r="1110" spans="1:28" ht="14.4" x14ac:dyDescent="0.55000000000000004">
      <c r="A1110" t="str">
        <f>VLOOKUP(L1110,Customers!$A$2:$B$92,2,FALSE)</f>
        <v>Frankenversand</v>
      </c>
      <c r="B1110" t="str">
        <f>VLOOKUP(L1110,Customers!$A$2:$C$92,3,TRUE)</f>
        <v>Peter Franken</v>
      </c>
      <c r="C1110" t="str">
        <f t="shared" si="290"/>
        <v>Peter</v>
      </c>
      <c r="D1110" s="8" t="str">
        <f t="shared" si="291"/>
        <v>Franken</v>
      </c>
      <c r="E1110" s="8" t="str">
        <f t="shared" si="292"/>
        <v>Franken, Peter</v>
      </c>
      <c r="F1110" s="8" t="str">
        <f t="shared" si="293"/>
        <v>Franken, Peter</v>
      </c>
      <c r="G1110" s="8" t="str">
        <f t="shared" si="294"/>
        <v>not an outlier</v>
      </c>
      <c r="H1110" s="8" t="str">
        <f t="shared" si="295"/>
        <v>Not</v>
      </c>
      <c r="I1110" s="8" t="str">
        <f t="shared" si="305"/>
        <v>no</v>
      </c>
      <c r="J1110" s="10" t="str">
        <f t="shared" si="296"/>
        <v>no</v>
      </c>
      <c r="K1110" s="10" t="str">
        <f t="shared" si="297"/>
        <v>no</v>
      </c>
      <c r="L1110" t="s">
        <v>198</v>
      </c>
      <c r="M1110">
        <v>10670</v>
      </c>
      <c r="N1110">
        <v>46</v>
      </c>
      <c r="O1110" t="s">
        <v>737</v>
      </c>
      <c r="P1110" t="str">
        <f t="shared" si="298"/>
        <v>FRANK_10670_Spegesild</v>
      </c>
      <c r="Q1110" t="str">
        <f t="shared" si="299"/>
        <v>10670</v>
      </c>
      <c r="R1110" t="str">
        <f t="shared" si="300"/>
        <v>10670</v>
      </c>
      <c r="S1110" t="str">
        <f t="shared" si="301"/>
        <v>Spegesild</v>
      </c>
      <c r="T1110">
        <v>12</v>
      </c>
      <c r="U1110">
        <v>60</v>
      </c>
      <c r="V1110">
        <v>0</v>
      </c>
      <c r="W1110">
        <f t="shared" si="302"/>
        <v>720</v>
      </c>
      <c r="X1110" t="str">
        <f t="shared" si="303"/>
        <v>No</v>
      </c>
      <c r="Y1110" s="2">
        <v>34989</v>
      </c>
      <c r="Z1110" t="str">
        <f t="shared" si="289"/>
        <v/>
      </c>
      <c r="AA1110" t="str">
        <f t="shared" si="304"/>
        <v/>
      </c>
      <c r="AB1110" t="str" cm="1">
        <f t="array" ref="AB1110">_xlfn.IFS(Y1110&lt;DATE(1996,1,1),"",Y1110&lt;DATE(1996,4,1),"Q1",Y1110&lt;DATE(1996,7,1),"Q2",Y1110&gt;=DATE(1996,7,1),"")</f>
        <v/>
      </c>
    </row>
    <row r="1111" spans="1:28" ht="14.4" x14ac:dyDescent="0.55000000000000004">
      <c r="A1111" t="str">
        <f>VLOOKUP(L1111,Customers!$A$2:$B$92,2,FALSE)</f>
        <v>Frankenversand</v>
      </c>
      <c r="B1111" t="str">
        <f>VLOOKUP(L1111,Customers!$A$2:$C$92,3,TRUE)</f>
        <v>Peter Franken</v>
      </c>
      <c r="C1111" t="str">
        <f t="shared" si="290"/>
        <v>Peter</v>
      </c>
      <c r="D1111" s="8" t="str">
        <f t="shared" si="291"/>
        <v>Franken</v>
      </c>
      <c r="E1111" s="8" t="str">
        <f t="shared" si="292"/>
        <v>Franken, Peter</v>
      </c>
      <c r="F1111" s="8" t="str">
        <f t="shared" si="293"/>
        <v>Franken, Peter</v>
      </c>
      <c r="G1111" s="8" t="str">
        <f t="shared" si="294"/>
        <v>not an outlier</v>
      </c>
      <c r="H1111" s="8" t="str">
        <f t="shared" si="295"/>
        <v>Not</v>
      </c>
      <c r="I1111" s="8" t="str">
        <f t="shared" si="305"/>
        <v>no</v>
      </c>
      <c r="J1111" s="10" t="str">
        <f t="shared" si="296"/>
        <v>no</v>
      </c>
      <c r="K1111" s="10" t="str">
        <f t="shared" si="297"/>
        <v>no</v>
      </c>
      <c r="L1111" t="s">
        <v>198</v>
      </c>
      <c r="M1111">
        <v>10670</v>
      </c>
      <c r="N1111">
        <v>67</v>
      </c>
      <c r="O1111" t="s">
        <v>734</v>
      </c>
      <c r="P1111" t="str">
        <f t="shared" si="298"/>
        <v>FRANK_10670_Laughing Lumberjack Lager</v>
      </c>
      <c r="Q1111" t="str">
        <f t="shared" si="299"/>
        <v>10670</v>
      </c>
      <c r="R1111" t="str">
        <f t="shared" si="300"/>
        <v>10670</v>
      </c>
      <c r="S1111" t="str">
        <f t="shared" si="301"/>
        <v>Laughing Lumberjack Lager</v>
      </c>
      <c r="T1111">
        <v>14</v>
      </c>
      <c r="U1111">
        <v>25</v>
      </c>
      <c r="V1111">
        <v>0</v>
      </c>
      <c r="W1111">
        <f t="shared" si="302"/>
        <v>350</v>
      </c>
      <c r="X1111" t="str">
        <f t="shared" si="303"/>
        <v>No</v>
      </c>
      <c r="Y1111" s="2">
        <v>34989</v>
      </c>
      <c r="Z1111" t="str">
        <f t="shared" si="289"/>
        <v/>
      </c>
      <c r="AA1111" t="str">
        <f t="shared" si="304"/>
        <v/>
      </c>
      <c r="AB1111" t="str" cm="1">
        <f t="array" ref="AB1111">_xlfn.IFS(Y1111&lt;DATE(1996,1,1),"",Y1111&lt;DATE(1996,4,1),"Q1",Y1111&lt;DATE(1996,7,1),"Q2",Y1111&gt;=DATE(1996,7,1),"")</f>
        <v/>
      </c>
    </row>
    <row r="1112" spans="1:28" ht="14.4" x14ac:dyDescent="0.55000000000000004">
      <c r="A1112" t="str">
        <f>VLOOKUP(L1112,Customers!$A$2:$B$92,2,FALSE)</f>
        <v>Frankenversand</v>
      </c>
      <c r="B1112" t="str">
        <f>VLOOKUP(L1112,Customers!$A$2:$C$92,3,TRUE)</f>
        <v>Peter Franken</v>
      </c>
      <c r="C1112" t="str">
        <f t="shared" si="290"/>
        <v>Peter</v>
      </c>
      <c r="D1112" s="8" t="str">
        <f t="shared" si="291"/>
        <v>Franken</v>
      </c>
      <c r="E1112" s="8" t="str">
        <f t="shared" si="292"/>
        <v>Franken, Peter</v>
      </c>
      <c r="F1112" s="8" t="str">
        <f t="shared" si="293"/>
        <v>Franken, Peter</v>
      </c>
      <c r="G1112" s="8" t="str">
        <f t="shared" si="294"/>
        <v>not an outlier</v>
      </c>
      <c r="H1112" s="8" t="str">
        <f t="shared" si="295"/>
        <v>Not</v>
      </c>
      <c r="I1112" s="8" t="str">
        <f t="shared" si="305"/>
        <v>no</v>
      </c>
      <c r="J1112" s="10" t="str">
        <f t="shared" si="296"/>
        <v>no</v>
      </c>
      <c r="K1112" s="10" t="str">
        <f t="shared" si="297"/>
        <v>no</v>
      </c>
      <c r="L1112" t="s">
        <v>198</v>
      </c>
      <c r="M1112">
        <v>10670</v>
      </c>
      <c r="N1112">
        <v>73</v>
      </c>
      <c r="O1112" t="s">
        <v>730</v>
      </c>
      <c r="P1112" t="str">
        <f t="shared" si="298"/>
        <v>FRANK_10670_Röd Kaviar</v>
      </c>
      <c r="Q1112" t="str">
        <f t="shared" si="299"/>
        <v>10670</v>
      </c>
      <c r="R1112" t="str">
        <f t="shared" si="300"/>
        <v>10670</v>
      </c>
      <c r="S1112" t="str">
        <f t="shared" si="301"/>
        <v>Röd Kaviar</v>
      </c>
      <c r="T1112">
        <v>15</v>
      </c>
      <c r="U1112">
        <v>50</v>
      </c>
      <c r="V1112">
        <v>0</v>
      </c>
      <c r="W1112">
        <f t="shared" si="302"/>
        <v>750</v>
      </c>
      <c r="X1112" t="str">
        <f t="shared" si="303"/>
        <v>No</v>
      </c>
      <c r="Y1112" s="2">
        <v>34989</v>
      </c>
      <c r="Z1112" t="str">
        <f t="shared" si="289"/>
        <v/>
      </c>
      <c r="AA1112" t="str">
        <f t="shared" si="304"/>
        <v/>
      </c>
      <c r="AB1112" t="str" cm="1">
        <f t="array" ref="AB1112">_xlfn.IFS(Y1112&lt;DATE(1996,1,1),"",Y1112&lt;DATE(1996,4,1),"Q1",Y1112&lt;DATE(1996,7,1),"Q2",Y1112&gt;=DATE(1996,7,1),"")</f>
        <v/>
      </c>
    </row>
    <row r="1113" spans="1:28" ht="14.4" x14ac:dyDescent="0.55000000000000004">
      <c r="A1113" t="str">
        <f>VLOOKUP(L1113,Customers!$A$2:$B$92,2,FALSE)</f>
        <v>Frankenversand</v>
      </c>
      <c r="B1113" t="str">
        <f>VLOOKUP(L1113,Customers!$A$2:$C$92,3,TRUE)</f>
        <v>Peter Franken</v>
      </c>
      <c r="C1113" t="str">
        <f t="shared" si="290"/>
        <v>Peter</v>
      </c>
      <c r="D1113" s="8" t="str">
        <f t="shared" si="291"/>
        <v>Franken</v>
      </c>
      <c r="E1113" s="8" t="str">
        <f t="shared" si="292"/>
        <v>Franken, Peter</v>
      </c>
      <c r="F1113" s="8" t="str">
        <f t="shared" si="293"/>
        <v>Franken, Peter</v>
      </c>
      <c r="G1113" s="8" t="str">
        <f t="shared" si="294"/>
        <v>not an outlier</v>
      </c>
      <c r="H1113" s="8" t="str">
        <f t="shared" si="295"/>
        <v>Not</v>
      </c>
      <c r="I1113" s="8" t="str">
        <f t="shared" si="305"/>
        <v>no</v>
      </c>
      <c r="J1113" s="10" t="str">
        <f t="shared" si="296"/>
        <v>no</v>
      </c>
      <c r="K1113" s="10" t="str">
        <f t="shared" si="297"/>
        <v>no</v>
      </c>
      <c r="L1113" t="s">
        <v>198</v>
      </c>
      <c r="M1113">
        <v>10670</v>
      </c>
      <c r="N1113">
        <v>75</v>
      </c>
      <c r="O1113" t="s">
        <v>731</v>
      </c>
      <c r="P1113" t="str">
        <f t="shared" si="298"/>
        <v>FRANK_10670_Rhönbräu Klosterbier</v>
      </c>
      <c r="Q1113" t="str">
        <f t="shared" si="299"/>
        <v>10670</v>
      </c>
      <c r="R1113" t="str">
        <f t="shared" si="300"/>
        <v>10670</v>
      </c>
      <c r="S1113" t="str">
        <f t="shared" si="301"/>
        <v>Rhönbräu Klosterbier</v>
      </c>
      <c r="T1113">
        <v>7.75</v>
      </c>
      <c r="U1113">
        <v>25</v>
      </c>
      <c r="V1113">
        <v>0</v>
      </c>
      <c r="W1113">
        <f t="shared" si="302"/>
        <v>193.75</v>
      </c>
      <c r="X1113" t="str">
        <f t="shared" si="303"/>
        <v>No</v>
      </c>
      <c r="Y1113" s="2">
        <v>34989</v>
      </c>
      <c r="Z1113" t="str">
        <f t="shared" si="289"/>
        <v/>
      </c>
      <c r="AA1113" t="str">
        <f t="shared" si="304"/>
        <v/>
      </c>
      <c r="AB1113" t="str" cm="1">
        <f t="array" ref="AB1113">_xlfn.IFS(Y1113&lt;DATE(1996,1,1),"",Y1113&lt;DATE(1996,4,1),"Q1",Y1113&lt;DATE(1996,7,1),"Q2",Y1113&gt;=DATE(1996,7,1),"")</f>
        <v/>
      </c>
    </row>
    <row r="1114" spans="1:28" ht="14.4" x14ac:dyDescent="0.55000000000000004">
      <c r="A1114" t="str">
        <f>VLOOKUP(L1114,Customers!$A$2:$B$92,2,FALSE)</f>
        <v>France restauration</v>
      </c>
      <c r="B1114" t="str">
        <f>VLOOKUP(L1114,Customers!$A$2:$C$92,3,TRUE)</f>
        <v>Carine Schmitt</v>
      </c>
      <c r="C1114" t="str">
        <f t="shared" si="290"/>
        <v>Carine</v>
      </c>
      <c r="D1114" s="8" t="str">
        <f t="shared" si="291"/>
        <v>Schmitt</v>
      </c>
      <c r="E1114" s="8" t="str">
        <f t="shared" si="292"/>
        <v>Schmitt, Carine</v>
      </c>
      <c r="F1114" s="8" t="str">
        <f t="shared" si="293"/>
        <v>Schmitt, Carine</v>
      </c>
      <c r="G1114" s="8" t="str">
        <f t="shared" si="294"/>
        <v>not an outlier</v>
      </c>
      <c r="H1114" s="8" t="str">
        <f t="shared" si="295"/>
        <v>Not</v>
      </c>
      <c r="I1114" s="8" t="str">
        <f t="shared" si="305"/>
        <v>no</v>
      </c>
      <c r="J1114" s="10" t="str">
        <f t="shared" si="296"/>
        <v>no</v>
      </c>
      <c r="K1114" s="10" t="str">
        <f t="shared" si="297"/>
        <v>no</v>
      </c>
      <c r="L1114" t="s">
        <v>205</v>
      </c>
      <c r="M1114">
        <v>10671</v>
      </c>
      <c r="N1114">
        <v>16</v>
      </c>
      <c r="O1114" t="s">
        <v>702</v>
      </c>
      <c r="P1114" t="str">
        <f t="shared" si="298"/>
        <v>FRANR_10671_Pavlova</v>
      </c>
      <c r="Q1114" t="str">
        <f t="shared" si="299"/>
        <v>10671</v>
      </c>
      <c r="R1114" t="str">
        <f t="shared" si="300"/>
        <v>10671</v>
      </c>
      <c r="S1114" t="str">
        <f t="shared" si="301"/>
        <v>Pavlova</v>
      </c>
      <c r="T1114">
        <v>17.45</v>
      </c>
      <c r="U1114">
        <v>10</v>
      </c>
      <c r="V1114">
        <v>0</v>
      </c>
      <c r="W1114">
        <f t="shared" si="302"/>
        <v>174.5</v>
      </c>
      <c r="X1114" t="str">
        <f t="shared" si="303"/>
        <v>No</v>
      </c>
      <c r="Y1114" s="2">
        <v>34990</v>
      </c>
      <c r="Z1114" t="str">
        <f t="shared" si="289"/>
        <v/>
      </c>
      <c r="AA1114" t="str">
        <f t="shared" si="304"/>
        <v/>
      </c>
      <c r="AB1114" t="str" cm="1">
        <f t="array" ref="AB1114">_xlfn.IFS(Y1114&lt;DATE(1996,1,1),"",Y1114&lt;DATE(1996,4,1),"Q1",Y1114&lt;DATE(1996,7,1),"Q2",Y1114&gt;=DATE(1996,7,1),"")</f>
        <v/>
      </c>
    </row>
    <row r="1115" spans="1:28" ht="14.4" x14ac:dyDescent="0.55000000000000004">
      <c r="A1115" t="str">
        <f>VLOOKUP(L1115,Customers!$A$2:$B$92,2,FALSE)</f>
        <v>France restauration</v>
      </c>
      <c r="B1115" t="str">
        <f>VLOOKUP(L1115,Customers!$A$2:$C$92,3,TRUE)</f>
        <v>Carine Schmitt</v>
      </c>
      <c r="C1115" t="str">
        <f t="shared" si="290"/>
        <v>Carine</v>
      </c>
      <c r="D1115" s="8" t="str">
        <f t="shared" si="291"/>
        <v>Schmitt</v>
      </c>
      <c r="E1115" s="8" t="str">
        <f t="shared" si="292"/>
        <v>Schmitt, Carine</v>
      </c>
      <c r="F1115" s="8" t="str">
        <f t="shared" si="293"/>
        <v>Schmitt, Carine</v>
      </c>
      <c r="G1115" s="8" t="str">
        <f t="shared" si="294"/>
        <v>not an outlier</v>
      </c>
      <c r="H1115" s="8" t="str">
        <f t="shared" si="295"/>
        <v>Not</v>
      </c>
      <c r="I1115" s="8" t="str">
        <f t="shared" si="305"/>
        <v>no</v>
      </c>
      <c r="J1115" s="10" t="str">
        <f t="shared" si="296"/>
        <v>no</v>
      </c>
      <c r="K1115" s="10" t="str">
        <f t="shared" si="297"/>
        <v>no</v>
      </c>
      <c r="L1115" t="s">
        <v>205</v>
      </c>
      <c r="M1115">
        <v>10671</v>
      </c>
      <c r="N1115">
        <v>62</v>
      </c>
      <c r="O1115" t="s">
        <v>712</v>
      </c>
      <c r="P1115" t="str">
        <f t="shared" si="298"/>
        <v>FRANR_10671_Tarte au sucre</v>
      </c>
      <c r="Q1115" t="str">
        <f t="shared" si="299"/>
        <v>10671</v>
      </c>
      <c r="R1115" t="str">
        <f t="shared" si="300"/>
        <v>10671</v>
      </c>
      <c r="S1115" t="str">
        <f t="shared" si="301"/>
        <v>Tarte au sucre</v>
      </c>
      <c r="T1115">
        <v>49.3</v>
      </c>
      <c r="U1115">
        <v>10</v>
      </c>
      <c r="V1115">
        <v>0</v>
      </c>
      <c r="W1115">
        <f t="shared" si="302"/>
        <v>493</v>
      </c>
      <c r="X1115" t="str">
        <f t="shared" si="303"/>
        <v>No</v>
      </c>
      <c r="Y1115" s="2">
        <v>34990</v>
      </c>
      <c r="Z1115" t="str">
        <f t="shared" si="289"/>
        <v/>
      </c>
      <c r="AA1115" t="str">
        <f t="shared" si="304"/>
        <v/>
      </c>
      <c r="AB1115" t="str" cm="1">
        <f t="array" ref="AB1115">_xlfn.IFS(Y1115&lt;DATE(1996,1,1),"",Y1115&lt;DATE(1996,4,1),"Q1",Y1115&lt;DATE(1996,7,1),"Q2",Y1115&gt;=DATE(1996,7,1),"")</f>
        <v/>
      </c>
    </row>
    <row r="1116" spans="1:28" ht="14.4" x14ac:dyDescent="0.55000000000000004">
      <c r="A1116" t="str">
        <f>VLOOKUP(L1116,Customers!$A$2:$B$92,2,FALSE)</f>
        <v>France restauration</v>
      </c>
      <c r="B1116" t="str">
        <f>VLOOKUP(L1116,Customers!$A$2:$C$92,3,TRUE)</f>
        <v>Carine Schmitt</v>
      </c>
      <c r="C1116" t="str">
        <f t="shared" si="290"/>
        <v>Carine</v>
      </c>
      <c r="D1116" s="8" t="str">
        <f t="shared" si="291"/>
        <v>Schmitt</v>
      </c>
      <c r="E1116" s="8" t="str">
        <f t="shared" si="292"/>
        <v>Schmitt, Carine</v>
      </c>
      <c r="F1116" s="8" t="str">
        <f t="shared" si="293"/>
        <v>Schmitt, Carine</v>
      </c>
      <c r="G1116" s="8" t="str">
        <f t="shared" si="294"/>
        <v>not an outlier</v>
      </c>
      <c r="H1116" s="8" t="str">
        <f t="shared" si="295"/>
        <v>Not</v>
      </c>
      <c r="I1116" s="8" t="str">
        <f t="shared" si="305"/>
        <v>no</v>
      </c>
      <c r="J1116" s="10" t="str">
        <f t="shared" si="296"/>
        <v>no</v>
      </c>
      <c r="K1116" s="10" t="str">
        <f t="shared" si="297"/>
        <v>no</v>
      </c>
      <c r="L1116" t="s">
        <v>205</v>
      </c>
      <c r="M1116">
        <v>10671</v>
      </c>
      <c r="N1116">
        <v>65</v>
      </c>
      <c r="O1116" t="s">
        <v>689</v>
      </c>
      <c r="P1116" t="str">
        <f t="shared" si="298"/>
        <v>FRANR_10671_Louisiana Fiery Hot Pepper Sauce</v>
      </c>
      <c r="Q1116" t="str">
        <f t="shared" si="299"/>
        <v>10671</v>
      </c>
      <c r="R1116" t="str">
        <f t="shared" si="300"/>
        <v>10671</v>
      </c>
      <c r="S1116" t="str">
        <f t="shared" si="301"/>
        <v>Louisiana Fiery Hot Pepper Sauce</v>
      </c>
      <c r="T1116">
        <v>21.05</v>
      </c>
      <c r="U1116">
        <v>12</v>
      </c>
      <c r="V1116">
        <v>0</v>
      </c>
      <c r="W1116">
        <f t="shared" si="302"/>
        <v>252.60000000000002</v>
      </c>
      <c r="X1116" t="str">
        <f t="shared" si="303"/>
        <v>No</v>
      </c>
      <c r="Y1116" s="2">
        <v>34990</v>
      </c>
      <c r="Z1116" t="str">
        <f t="shared" si="289"/>
        <v/>
      </c>
      <c r="AA1116" t="str">
        <f t="shared" si="304"/>
        <v/>
      </c>
      <c r="AB1116" t="str" cm="1">
        <f t="array" ref="AB1116">_xlfn.IFS(Y1116&lt;DATE(1996,1,1),"",Y1116&lt;DATE(1996,4,1),"Q1",Y1116&lt;DATE(1996,7,1),"Q2",Y1116&gt;=DATE(1996,7,1),"")</f>
        <v/>
      </c>
    </row>
    <row r="1117" spans="1:28" ht="14.4" x14ac:dyDescent="0.55000000000000004">
      <c r="A1117" t="str">
        <f>VLOOKUP(L1117,Customers!$A$2:$B$92,2,FALSE)</f>
        <v>Berglunds snabbköp</v>
      </c>
      <c r="B1117" t="str">
        <f>VLOOKUP(L1117,Customers!$A$2:$C$92,3,TRUE)</f>
        <v>Christina Berglund</v>
      </c>
      <c r="C1117" t="str">
        <f t="shared" si="290"/>
        <v>Christina</v>
      </c>
      <c r="D1117" s="8" t="str">
        <f t="shared" si="291"/>
        <v>Berglund</v>
      </c>
      <c r="E1117" s="8" t="str">
        <f t="shared" si="292"/>
        <v>Berglund, Christina</v>
      </c>
      <c r="F1117" s="8" t="str">
        <f t="shared" si="293"/>
        <v>Berglund, Christina</v>
      </c>
      <c r="G1117" s="8" t="str">
        <f t="shared" si="294"/>
        <v>not an outlier</v>
      </c>
      <c r="H1117" s="8" t="str">
        <f t="shared" si="295"/>
        <v>moderate</v>
      </c>
      <c r="I1117" s="8" t="str">
        <f t="shared" si="305"/>
        <v>no</v>
      </c>
      <c r="J1117" s="10" t="str">
        <f t="shared" si="296"/>
        <v>no</v>
      </c>
      <c r="K1117" s="10" t="str">
        <f t="shared" si="297"/>
        <v>moderate</v>
      </c>
      <c r="L1117" t="s">
        <v>43</v>
      </c>
      <c r="M1117">
        <v>10672</v>
      </c>
      <c r="N1117">
        <v>38</v>
      </c>
      <c r="O1117" t="s">
        <v>750</v>
      </c>
      <c r="P1117" t="str">
        <f t="shared" si="298"/>
        <v>BERGS_10672_Côte de Blaye</v>
      </c>
      <c r="Q1117" t="str">
        <f t="shared" si="299"/>
        <v>10672</v>
      </c>
      <c r="R1117" t="str">
        <f t="shared" si="300"/>
        <v>10672</v>
      </c>
      <c r="S1117" t="str">
        <f t="shared" si="301"/>
        <v>Côte de Blaye</v>
      </c>
      <c r="T1117">
        <v>263.5</v>
      </c>
      <c r="U1117">
        <v>15</v>
      </c>
      <c r="V1117">
        <v>0.1</v>
      </c>
      <c r="W1117">
        <f t="shared" si="302"/>
        <v>3557.25</v>
      </c>
      <c r="X1117" t="str">
        <f t="shared" si="303"/>
        <v>No</v>
      </c>
      <c r="Y1117" s="2">
        <v>34990</v>
      </c>
      <c r="Z1117" t="str">
        <f t="shared" si="289"/>
        <v/>
      </c>
      <c r="AA1117" t="str">
        <f t="shared" si="304"/>
        <v/>
      </c>
      <c r="AB1117" t="str" cm="1">
        <f t="array" ref="AB1117">_xlfn.IFS(Y1117&lt;DATE(1996,1,1),"",Y1117&lt;DATE(1996,4,1),"Q1",Y1117&lt;DATE(1996,7,1),"Q2",Y1117&gt;=DATE(1996,7,1),"")</f>
        <v/>
      </c>
    </row>
    <row r="1118" spans="1:28" ht="14.4" x14ac:dyDescent="0.55000000000000004">
      <c r="A1118" t="str">
        <f>VLOOKUP(L1118,Customers!$A$2:$B$92,2,FALSE)</f>
        <v>Berglunds snabbköp</v>
      </c>
      <c r="B1118" t="str">
        <f>VLOOKUP(L1118,Customers!$A$2:$C$92,3,TRUE)</f>
        <v>Christina Berglund</v>
      </c>
      <c r="C1118" t="str">
        <f t="shared" si="290"/>
        <v>Christina</v>
      </c>
      <c r="D1118" s="8" t="str">
        <f t="shared" si="291"/>
        <v>Berglund</v>
      </c>
      <c r="E1118" s="8" t="str">
        <f t="shared" si="292"/>
        <v>Berglund, Christina</v>
      </c>
      <c r="F1118" s="8" t="str">
        <f t="shared" si="293"/>
        <v>Berglund, Christina</v>
      </c>
      <c r="G1118" s="8" t="str">
        <f t="shared" si="294"/>
        <v>not an outlier</v>
      </c>
      <c r="H1118" s="8" t="str">
        <f t="shared" si="295"/>
        <v>Not</v>
      </c>
      <c r="I1118" s="8" t="str">
        <f t="shared" si="305"/>
        <v>no</v>
      </c>
      <c r="J1118" s="10" t="str">
        <f t="shared" si="296"/>
        <v>no</v>
      </c>
      <c r="K1118" s="10" t="str">
        <f t="shared" si="297"/>
        <v>no</v>
      </c>
      <c r="L1118" t="s">
        <v>43</v>
      </c>
      <c r="M1118">
        <v>10672</v>
      </c>
      <c r="N1118">
        <v>71</v>
      </c>
      <c r="O1118" t="s">
        <v>725</v>
      </c>
      <c r="P1118" t="str">
        <f t="shared" si="298"/>
        <v>BERGS_10672_Fløtemysost</v>
      </c>
      <c r="Q1118" t="str">
        <f t="shared" si="299"/>
        <v>10672</v>
      </c>
      <c r="R1118" t="str">
        <f t="shared" si="300"/>
        <v>10672</v>
      </c>
      <c r="S1118" t="str">
        <f t="shared" si="301"/>
        <v>Fløtemysost</v>
      </c>
      <c r="T1118">
        <v>21.5</v>
      </c>
      <c r="U1118">
        <v>12</v>
      </c>
      <c r="V1118">
        <v>0</v>
      </c>
      <c r="W1118">
        <f t="shared" si="302"/>
        <v>258</v>
      </c>
      <c r="X1118" t="str">
        <f t="shared" si="303"/>
        <v>No</v>
      </c>
      <c r="Y1118" s="2">
        <v>34990</v>
      </c>
      <c r="Z1118" t="str">
        <f t="shared" si="289"/>
        <v/>
      </c>
      <c r="AA1118" t="str">
        <f t="shared" si="304"/>
        <v/>
      </c>
      <c r="AB1118" t="str" cm="1">
        <f t="array" ref="AB1118">_xlfn.IFS(Y1118&lt;DATE(1996,1,1),"",Y1118&lt;DATE(1996,4,1),"Q1",Y1118&lt;DATE(1996,7,1),"Q2",Y1118&gt;=DATE(1996,7,1),"")</f>
        <v/>
      </c>
    </row>
    <row r="1119" spans="1:28" ht="14.4" x14ac:dyDescent="0.55000000000000004">
      <c r="A1119" t="str">
        <f>VLOOKUP(L1119,Customers!$A$2:$B$92,2,FALSE)</f>
        <v>Wilman Kala</v>
      </c>
      <c r="B1119" t="str">
        <f>VLOOKUP(L1119,Customers!$A$2:$C$92,3,TRUE)</f>
        <v>Matti Karttunen</v>
      </c>
      <c r="C1119" t="str">
        <f t="shared" si="290"/>
        <v>Matti</v>
      </c>
      <c r="D1119" s="8" t="str">
        <f t="shared" si="291"/>
        <v>Karttunen</v>
      </c>
      <c r="E1119" s="8" t="str">
        <f t="shared" si="292"/>
        <v>Karttunen, Matti</v>
      </c>
      <c r="F1119" s="8" t="str">
        <f t="shared" si="293"/>
        <v>Karttunen, Matti</v>
      </c>
      <c r="G1119" s="8" t="str">
        <f t="shared" si="294"/>
        <v>not an outlier</v>
      </c>
      <c r="H1119" s="8" t="str">
        <f t="shared" si="295"/>
        <v>Not</v>
      </c>
      <c r="I1119" s="8" t="str">
        <f t="shared" si="305"/>
        <v>no</v>
      </c>
      <c r="J1119" s="10" t="str">
        <f t="shared" si="296"/>
        <v>no</v>
      </c>
      <c r="K1119" s="10" t="str">
        <f t="shared" si="297"/>
        <v>no</v>
      </c>
      <c r="L1119" t="s">
        <v>661</v>
      </c>
      <c r="M1119">
        <v>10673</v>
      </c>
      <c r="N1119">
        <v>16</v>
      </c>
      <c r="O1119" t="s">
        <v>702</v>
      </c>
      <c r="P1119" t="str">
        <f t="shared" si="298"/>
        <v>WILMK_10673_Pavlova</v>
      </c>
      <c r="Q1119" t="str">
        <f t="shared" si="299"/>
        <v>10673</v>
      </c>
      <c r="R1119" t="str">
        <f t="shared" si="300"/>
        <v>10673</v>
      </c>
      <c r="S1119" t="str">
        <f t="shared" si="301"/>
        <v>Pavlova</v>
      </c>
      <c r="T1119">
        <v>17.45</v>
      </c>
      <c r="U1119">
        <v>3</v>
      </c>
      <c r="V1119">
        <v>0</v>
      </c>
      <c r="W1119">
        <f t="shared" si="302"/>
        <v>52.349999999999994</v>
      </c>
      <c r="X1119" t="str">
        <f t="shared" si="303"/>
        <v>No</v>
      </c>
      <c r="Y1119" s="2">
        <v>34991</v>
      </c>
      <c r="Z1119" t="str">
        <f t="shared" si="289"/>
        <v/>
      </c>
      <c r="AA1119" t="str">
        <f t="shared" si="304"/>
        <v/>
      </c>
      <c r="AB1119" t="str" cm="1">
        <f t="array" ref="AB1119">_xlfn.IFS(Y1119&lt;DATE(1996,1,1),"",Y1119&lt;DATE(1996,4,1),"Q1",Y1119&lt;DATE(1996,7,1),"Q2",Y1119&gt;=DATE(1996,7,1),"")</f>
        <v/>
      </c>
    </row>
    <row r="1120" spans="1:28" ht="14.4" x14ac:dyDescent="0.55000000000000004">
      <c r="A1120" t="str">
        <f>VLOOKUP(L1120,Customers!$A$2:$B$92,2,FALSE)</f>
        <v>Wilman Kala</v>
      </c>
      <c r="B1120" t="str">
        <f>VLOOKUP(L1120,Customers!$A$2:$C$92,3,TRUE)</f>
        <v>Matti Karttunen</v>
      </c>
      <c r="C1120" t="str">
        <f t="shared" si="290"/>
        <v>Matti</v>
      </c>
      <c r="D1120" s="8" t="str">
        <f t="shared" si="291"/>
        <v>Karttunen</v>
      </c>
      <c r="E1120" s="8" t="str">
        <f t="shared" si="292"/>
        <v>Karttunen, Matti</v>
      </c>
      <c r="F1120" s="8" t="str">
        <f t="shared" si="293"/>
        <v>Karttunen, Matti</v>
      </c>
      <c r="G1120" s="8" t="str">
        <f t="shared" si="294"/>
        <v>not an outlier</v>
      </c>
      <c r="H1120" s="8" t="str">
        <f t="shared" si="295"/>
        <v>Not</v>
      </c>
      <c r="I1120" s="8" t="str">
        <f t="shared" si="305"/>
        <v>no</v>
      </c>
      <c r="J1120" s="10" t="str">
        <f t="shared" si="296"/>
        <v>no</v>
      </c>
      <c r="K1120" s="10" t="str">
        <f t="shared" si="297"/>
        <v>no</v>
      </c>
      <c r="L1120" t="s">
        <v>661</v>
      </c>
      <c r="M1120">
        <v>10673</v>
      </c>
      <c r="N1120">
        <v>42</v>
      </c>
      <c r="O1120" t="s">
        <v>684</v>
      </c>
      <c r="P1120" t="str">
        <f t="shared" si="298"/>
        <v>WILMK_10673_Singaporean Hokkien Fried Mee</v>
      </c>
      <c r="Q1120" t="str">
        <f t="shared" si="299"/>
        <v>10673</v>
      </c>
      <c r="R1120" t="str">
        <f t="shared" si="300"/>
        <v>10673</v>
      </c>
      <c r="S1120" t="str">
        <f t="shared" si="301"/>
        <v>Singaporean Hokkien Fried Mee</v>
      </c>
      <c r="T1120">
        <v>14</v>
      </c>
      <c r="U1120">
        <v>6</v>
      </c>
      <c r="V1120">
        <v>0</v>
      </c>
      <c r="W1120">
        <f t="shared" si="302"/>
        <v>84</v>
      </c>
      <c r="X1120" t="str">
        <f t="shared" si="303"/>
        <v>No</v>
      </c>
      <c r="Y1120" s="2">
        <v>34991</v>
      </c>
      <c r="Z1120" t="str">
        <f t="shared" si="289"/>
        <v/>
      </c>
      <c r="AA1120" t="str">
        <f t="shared" si="304"/>
        <v/>
      </c>
      <c r="AB1120" t="str" cm="1">
        <f t="array" ref="AB1120">_xlfn.IFS(Y1120&lt;DATE(1996,1,1),"",Y1120&lt;DATE(1996,4,1),"Q1",Y1120&lt;DATE(1996,7,1),"Q2",Y1120&gt;=DATE(1996,7,1),"")</f>
        <v/>
      </c>
    </row>
    <row r="1121" spans="1:28" ht="14.4" x14ac:dyDescent="0.55000000000000004">
      <c r="A1121" t="str">
        <f>VLOOKUP(L1121,Customers!$A$2:$B$92,2,FALSE)</f>
        <v>Wilman Kala</v>
      </c>
      <c r="B1121" t="str">
        <f>VLOOKUP(L1121,Customers!$A$2:$C$92,3,TRUE)</f>
        <v>Matti Karttunen</v>
      </c>
      <c r="C1121" t="str">
        <f t="shared" si="290"/>
        <v>Matti</v>
      </c>
      <c r="D1121" s="8" t="str">
        <f t="shared" si="291"/>
        <v>Karttunen</v>
      </c>
      <c r="E1121" s="8" t="str">
        <f t="shared" si="292"/>
        <v>Karttunen, Matti</v>
      </c>
      <c r="F1121" s="8" t="str">
        <f t="shared" si="293"/>
        <v>Karttunen, Matti</v>
      </c>
      <c r="G1121" s="8" t="str">
        <f t="shared" si="294"/>
        <v>not an outlier</v>
      </c>
      <c r="H1121" s="8" t="str">
        <f t="shared" si="295"/>
        <v>Not</v>
      </c>
      <c r="I1121" s="8" t="str">
        <f t="shared" si="305"/>
        <v>no</v>
      </c>
      <c r="J1121" s="10" t="str">
        <f t="shared" si="296"/>
        <v>no</v>
      </c>
      <c r="K1121" s="10" t="str">
        <f t="shared" si="297"/>
        <v>no</v>
      </c>
      <c r="L1121" t="s">
        <v>661</v>
      </c>
      <c r="M1121">
        <v>10673</v>
      </c>
      <c r="N1121">
        <v>43</v>
      </c>
      <c r="O1121" t="s">
        <v>723</v>
      </c>
      <c r="P1121" t="str">
        <f t="shared" si="298"/>
        <v>WILMK_10673_Ipoh Coffee</v>
      </c>
      <c r="Q1121" t="str">
        <f t="shared" si="299"/>
        <v>10673</v>
      </c>
      <c r="R1121" t="str">
        <f t="shared" si="300"/>
        <v>10673</v>
      </c>
      <c r="S1121" t="str">
        <f t="shared" si="301"/>
        <v>Ipoh Coffee</v>
      </c>
      <c r="T1121">
        <v>46</v>
      </c>
      <c r="U1121">
        <v>6</v>
      </c>
      <c r="V1121">
        <v>0</v>
      </c>
      <c r="W1121">
        <f t="shared" si="302"/>
        <v>276</v>
      </c>
      <c r="X1121" t="str">
        <f t="shared" si="303"/>
        <v>No</v>
      </c>
      <c r="Y1121" s="2">
        <v>34991</v>
      </c>
      <c r="Z1121" t="str">
        <f t="shared" si="289"/>
        <v/>
      </c>
      <c r="AA1121" t="str">
        <f t="shared" si="304"/>
        <v/>
      </c>
      <c r="AB1121" t="str" cm="1">
        <f t="array" ref="AB1121">_xlfn.IFS(Y1121&lt;DATE(1996,1,1),"",Y1121&lt;DATE(1996,4,1),"Q1",Y1121&lt;DATE(1996,7,1),"Q2",Y1121&gt;=DATE(1996,7,1),"")</f>
        <v/>
      </c>
    </row>
    <row r="1122" spans="1:28" ht="14.4" x14ac:dyDescent="0.55000000000000004">
      <c r="A1122" t="str">
        <f>VLOOKUP(L1122,Customers!$A$2:$B$92,2,FALSE)</f>
        <v>Island Trading</v>
      </c>
      <c r="B1122" t="str">
        <f>VLOOKUP(L1122,Customers!$A$2:$C$92,3,TRUE)</f>
        <v>Helen Bennett</v>
      </c>
      <c r="C1122" t="str">
        <f t="shared" si="290"/>
        <v>Helen</v>
      </c>
      <c r="D1122" s="8" t="str">
        <f t="shared" si="291"/>
        <v>Bennett</v>
      </c>
      <c r="E1122" s="8" t="str">
        <f t="shared" si="292"/>
        <v>Bennett, Helen</v>
      </c>
      <c r="F1122" s="8" t="str">
        <f t="shared" si="293"/>
        <v>Bennett, Helen</v>
      </c>
      <c r="G1122" s="8" t="str">
        <f t="shared" si="294"/>
        <v>not an outlier</v>
      </c>
      <c r="H1122" s="8" t="str">
        <f t="shared" si="295"/>
        <v>Not</v>
      </c>
      <c r="I1122" s="8" t="str">
        <f t="shared" si="305"/>
        <v>no</v>
      </c>
      <c r="J1122" s="10" t="str">
        <f t="shared" si="296"/>
        <v>no</v>
      </c>
      <c r="K1122" s="10" t="str">
        <f t="shared" si="297"/>
        <v>no</v>
      </c>
      <c r="L1122" t="s">
        <v>297</v>
      </c>
      <c r="M1122">
        <v>10674</v>
      </c>
      <c r="N1122">
        <v>23</v>
      </c>
      <c r="O1122" t="s">
        <v>753</v>
      </c>
      <c r="P1122" t="str">
        <f t="shared" si="298"/>
        <v>ISLAT_10674_Tunnbröd</v>
      </c>
      <c r="Q1122" t="str">
        <f t="shared" si="299"/>
        <v>10674</v>
      </c>
      <c r="R1122" t="str">
        <f t="shared" si="300"/>
        <v>10674</v>
      </c>
      <c r="S1122" t="str">
        <f t="shared" si="301"/>
        <v>Tunnbröd</v>
      </c>
      <c r="T1122">
        <v>9</v>
      </c>
      <c r="U1122">
        <v>5</v>
      </c>
      <c r="V1122">
        <v>0</v>
      </c>
      <c r="W1122">
        <f t="shared" si="302"/>
        <v>45</v>
      </c>
      <c r="X1122" t="str">
        <f t="shared" si="303"/>
        <v>No</v>
      </c>
      <c r="Y1122" s="2">
        <v>34991</v>
      </c>
      <c r="Z1122" t="str">
        <f t="shared" si="289"/>
        <v/>
      </c>
      <c r="AA1122" t="str">
        <f t="shared" si="304"/>
        <v/>
      </c>
      <c r="AB1122" t="str" cm="1">
        <f t="array" ref="AB1122">_xlfn.IFS(Y1122&lt;DATE(1996,1,1),"",Y1122&lt;DATE(1996,4,1),"Q1",Y1122&lt;DATE(1996,7,1),"Q2",Y1122&gt;=DATE(1996,7,1),"")</f>
        <v/>
      </c>
    </row>
    <row r="1123" spans="1:28" ht="14.4" x14ac:dyDescent="0.55000000000000004">
      <c r="A1123" t="str">
        <f>VLOOKUP(L1123,Customers!$A$2:$B$92,2,FALSE)</f>
        <v>Frankenversand</v>
      </c>
      <c r="B1123" t="str">
        <f>VLOOKUP(L1123,Customers!$A$2:$C$92,3,TRUE)</f>
        <v>Peter Franken</v>
      </c>
      <c r="C1123" t="str">
        <f t="shared" si="290"/>
        <v>Peter</v>
      </c>
      <c r="D1123" s="8" t="str">
        <f t="shared" si="291"/>
        <v>Franken</v>
      </c>
      <c r="E1123" s="8" t="str">
        <f t="shared" si="292"/>
        <v>Franken, Peter</v>
      </c>
      <c r="F1123" s="8" t="str">
        <f t="shared" si="293"/>
        <v>Franken, Peter</v>
      </c>
      <c r="G1123" s="8" t="str">
        <f t="shared" si="294"/>
        <v>not an outlier</v>
      </c>
      <c r="H1123" s="8" t="str">
        <f t="shared" si="295"/>
        <v>Not</v>
      </c>
      <c r="I1123" s="8" t="str">
        <f t="shared" si="305"/>
        <v>no</v>
      </c>
      <c r="J1123" s="10" t="str">
        <f t="shared" si="296"/>
        <v>no</v>
      </c>
      <c r="K1123" s="10" t="str">
        <f t="shared" si="297"/>
        <v>no</v>
      </c>
      <c r="L1123" t="s">
        <v>198</v>
      </c>
      <c r="M1123">
        <v>10675</v>
      </c>
      <c r="N1123">
        <v>14</v>
      </c>
      <c r="O1123" t="s">
        <v>686</v>
      </c>
      <c r="P1123" t="str">
        <f t="shared" si="298"/>
        <v>FRANK_10675_Tofu</v>
      </c>
      <c r="Q1123" t="str">
        <f t="shared" si="299"/>
        <v>10675</v>
      </c>
      <c r="R1123" t="str">
        <f t="shared" si="300"/>
        <v>10675</v>
      </c>
      <c r="S1123" t="str">
        <f t="shared" si="301"/>
        <v>Tofu</v>
      </c>
      <c r="T1123">
        <v>23.25</v>
      </c>
      <c r="U1123">
        <v>30</v>
      </c>
      <c r="V1123">
        <v>0</v>
      </c>
      <c r="W1123">
        <f t="shared" si="302"/>
        <v>697.5</v>
      </c>
      <c r="X1123" t="str">
        <f t="shared" si="303"/>
        <v>No</v>
      </c>
      <c r="Y1123" s="2">
        <v>34992</v>
      </c>
      <c r="Z1123" t="str">
        <f t="shared" si="289"/>
        <v/>
      </c>
      <c r="AA1123" t="str">
        <f t="shared" si="304"/>
        <v/>
      </c>
      <c r="AB1123" t="str" cm="1">
        <f t="array" ref="AB1123">_xlfn.IFS(Y1123&lt;DATE(1996,1,1),"",Y1123&lt;DATE(1996,4,1),"Q1",Y1123&lt;DATE(1996,7,1),"Q2",Y1123&gt;=DATE(1996,7,1),"")</f>
        <v/>
      </c>
    </row>
    <row r="1124" spans="1:28" ht="14.4" x14ac:dyDescent="0.55000000000000004">
      <c r="A1124" t="str">
        <f>VLOOKUP(L1124,Customers!$A$2:$B$92,2,FALSE)</f>
        <v>Frankenversand</v>
      </c>
      <c r="B1124" t="str">
        <f>VLOOKUP(L1124,Customers!$A$2:$C$92,3,TRUE)</f>
        <v>Peter Franken</v>
      </c>
      <c r="C1124" t="str">
        <f t="shared" si="290"/>
        <v>Peter</v>
      </c>
      <c r="D1124" s="8" t="str">
        <f t="shared" si="291"/>
        <v>Franken</v>
      </c>
      <c r="E1124" s="8" t="str">
        <f t="shared" si="292"/>
        <v>Franken, Peter</v>
      </c>
      <c r="F1124" s="8" t="str">
        <f t="shared" si="293"/>
        <v>Franken, Peter</v>
      </c>
      <c r="G1124" s="8" t="str">
        <f t="shared" si="294"/>
        <v>not an outlier</v>
      </c>
      <c r="H1124" s="8" t="str">
        <f t="shared" si="295"/>
        <v>Not</v>
      </c>
      <c r="I1124" s="8" t="str">
        <f t="shared" si="305"/>
        <v>no</v>
      </c>
      <c r="J1124" s="10" t="str">
        <f t="shared" si="296"/>
        <v>no</v>
      </c>
      <c r="K1124" s="10" t="str">
        <f t="shared" si="297"/>
        <v>no</v>
      </c>
      <c r="L1124" t="s">
        <v>198</v>
      </c>
      <c r="M1124">
        <v>10675</v>
      </c>
      <c r="N1124">
        <v>53</v>
      </c>
      <c r="O1124" t="s">
        <v>705</v>
      </c>
      <c r="P1124" t="str">
        <f t="shared" si="298"/>
        <v>FRANK_10675_Perth Pasties</v>
      </c>
      <c r="Q1124" t="str">
        <f t="shared" si="299"/>
        <v>10675</v>
      </c>
      <c r="R1124" t="str">
        <f t="shared" si="300"/>
        <v>10675</v>
      </c>
      <c r="S1124" t="str">
        <f t="shared" si="301"/>
        <v>Perth Pasties</v>
      </c>
      <c r="T1124">
        <v>32.799999999999997</v>
      </c>
      <c r="U1124">
        <v>10</v>
      </c>
      <c r="V1124">
        <v>0</v>
      </c>
      <c r="W1124">
        <f t="shared" si="302"/>
        <v>328</v>
      </c>
      <c r="X1124" t="str">
        <f t="shared" si="303"/>
        <v>No</v>
      </c>
      <c r="Y1124" s="2">
        <v>34992</v>
      </c>
      <c r="Z1124" t="str">
        <f t="shared" si="289"/>
        <v/>
      </c>
      <c r="AA1124" t="str">
        <f t="shared" si="304"/>
        <v/>
      </c>
      <c r="AB1124" t="str" cm="1">
        <f t="array" ref="AB1124">_xlfn.IFS(Y1124&lt;DATE(1996,1,1),"",Y1124&lt;DATE(1996,4,1),"Q1",Y1124&lt;DATE(1996,7,1),"Q2",Y1124&gt;=DATE(1996,7,1),"")</f>
        <v/>
      </c>
    </row>
    <row r="1125" spans="1:28" ht="14.4" x14ac:dyDescent="0.55000000000000004">
      <c r="A1125" t="str">
        <f>VLOOKUP(L1125,Customers!$A$2:$B$92,2,FALSE)</f>
        <v>Frankenversand</v>
      </c>
      <c r="B1125" t="str">
        <f>VLOOKUP(L1125,Customers!$A$2:$C$92,3,TRUE)</f>
        <v>Peter Franken</v>
      </c>
      <c r="C1125" t="str">
        <f t="shared" si="290"/>
        <v>Peter</v>
      </c>
      <c r="D1125" s="8" t="str">
        <f t="shared" si="291"/>
        <v>Franken</v>
      </c>
      <c r="E1125" s="8" t="str">
        <f t="shared" si="292"/>
        <v>Franken, Peter</v>
      </c>
      <c r="F1125" s="8" t="str">
        <f t="shared" si="293"/>
        <v>Franken, Peter</v>
      </c>
      <c r="G1125" s="8" t="str">
        <f t="shared" si="294"/>
        <v>not an outlier</v>
      </c>
      <c r="H1125" s="8" t="str">
        <f t="shared" si="295"/>
        <v>Not</v>
      </c>
      <c r="I1125" s="8" t="str">
        <f t="shared" si="305"/>
        <v>no</v>
      </c>
      <c r="J1125" s="10" t="str">
        <f t="shared" si="296"/>
        <v>no</v>
      </c>
      <c r="K1125" s="10" t="str">
        <f t="shared" si="297"/>
        <v>no</v>
      </c>
      <c r="L1125" t="s">
        <v>198</v>
      </c>
      <c r="M1125">
        <v>10675</v>
      </c>
      <c r="N1125">
        <v>58</v>
      </c>
      <c r="O1125" t="s">
        <v>747</v>
      </c>
      <c r="P1125" t="str">
        <f t="shared" si="298"/>
        <v>FRANK_10675_Escargots de Bourgogne</v>
      </c>
      <c r="Q1125" t="str">
        <f t="shared" si="299"/>
        <v>10675</v>
      </c>
      <c r="R1125" t="str">
        <f t="shared" si="300"/>
        <v>10675</v>
      </c>
      <c r="S1125" t="str">
        <f t="shared" si="301"/>
        <v>Escargots de Bourgogne</v>
      </c>
      <c r="T1125">
        <v>13.25</v>
      </c>
      <c r="U1125">
        <v>30</v>
      </c>
      <c r="V1125">
        <v>0</v>
      </c>
      <c r="W1125">
        <f t="shared" si="302"/>
        <v>397.5</v>
      </c>
      <c r="X1125" t="str">
        <f t="shared" si="303"/>
        <v>No</v>
      </c>
      <c r="Y1125" s="2">
        <v>34992</v>
      </c>
      <c r="Z1125" t="str">
        <f t="shared" si="289"/>
        <v/>
      </c>
      <c r="AA1125" t="str">
        <f t="shared" si="304"/>
        <v/>
      </c>
      <c r="AB1125" t="str" cm="1">
        <f t="array" ref="AB1125">_xlfn.IFS(Y1125&lt;DATE(1996,1,1),"",Y1125&lt;DATE(1996,4,1),"Q1",Y1125&lt;DATE(1996,7,1),"Q2",Y1125&gt;=DATE(1996,7,1),"")</f>
        <v/>
      </c>
    </row>
    <row r="1126" spans="1:28" ht="14.4" x14ac:dyDescent="0.55000000000000004">
      <c r="A1126" t="str">
        <f>VLOOKUP(L1126,Customers!$A$2:$B$92,2,FALSE)</f>
        <v>Tortuga Restaurante</v>
      </c>
      <c r="B1126" t="str">
        <f>VLOOKUP(L1126,Customers!$A$2:$C$92,3,TRUE)</f>
        <v>Miguel Angel Paolino</v>
      </c>
      <c r="C1126" t="str">
        <f t="shared" si="290"/>
        <v>Miguel</v>
      </c>
      <c r="D1126" s="8" t="str">
        <f t="shared" si="291"/>
        <v>Angel Paolino</v>
      </c>
      <c r="E1126" s="8" t="str">
        <f t="shared" si="292"/>
        <v>Angel Paolino, Miguel</v>
      </c>
      <c r="F1126" s="8" t="str">
        <f t="shared" si="293"/>
        <v>Angel Paolino, Miguel</v>
      </c>
      <c r="G1126" s="8" t="str">
        <f t="shared" si="294"/>
        <v>not an outlier</v>
      </c>
      <c r="H1126" s="8" t="str">
        <f t="shared" si="295"/>
        <v>Not</v>
      </c>
      <c r="I1126" s="8" t="str">
        <f t="shared" si="305"/>
        <v>no</v>
      </c>
      <c r="J1126" s="10" t="str">
        <f t="shared" si="296"/>
        <v>no</v>
      </c>
      <c r="K1126" s="10" t="str">
        <f t="shared" si="297"/>
        <v>no</v>
      </c>
      <c r="L1126" t="s">
        <v>593</v>
      </c>
      <c r="M1126">
        <v>10676</v>
      </c>
      <c r="N1126">
        <v>10</v>
      </c>
      <c r="O1126" t="s">
        <v>724</v>
      </c>
      <c r="P1126" t="str">
        <f t="shared" si="298"/>
        <v>TORTU_10676_Ikura</v>
      </c>
      <c r="Q1126" t="str">
        <f t="shared" si="299"/>
        <v>10676</v>
      </c>
      <c r="R1126" t="str">
        <f t="shared" si="300"/>
        <v>10676</v>
      </c>
      <c r="S1126" t="str">
        <f t="shared" si="301"/>
        <v>Ikura</v>
      </c>
      <c r="T1126">
        <v>31</v>
      </c>
      <c r="U1126">
        <v>2</v>
      </c>
      <c r="V1126">
        <v>0</v>
      </c>
      <c r="W1126">
        <f t="shared" si="302"/>
        <v>62</v>
      </c>
      <c r="X1126" t="str">
        <f t="shared" si="303"/>
        <v>No</v>
      </c>
      <c r="Y1126" s="2">
        <v>34995</v>
      </c>
      <c r="Z1126" t="str">
        <f t="shared" si="289"/>
        <v/>
      </c>
      <c r="AA1126" t="str">
        <f t="shared" si="304"/>
        <v/>
      </c>
      <c r="AB1126" t="str" cm="1">
        <f t="array" ref="AB1126">_xlfn.IFS(Y1126&lt;DATE(1996,1,1),"",Y1126&lt;DATE(1996,4,1),"Q1",Y1126&lt;DATE(1996,7,1),"Q2",Y1126&gt;=DATE(1996,7,1),"")</f>
        <v/>
      </c>
    </row>
    <row r="1127" spans="1:28" ht="14.4" x14ac:dyDescent="0.55000000000000004">
      <c r="A1127" t="str">
        <f>VLOOKUP(L1127,Customers!$A$2:$B$92,2,FALSE)</f>
        <v>Tortuga Restaurante</v>
      </c>
      <c r="B1127" t="str">
        <f>VLOOKUP(L1127,Customers!$A$2:$C$92,3,TRUE)</f>
        <v>Miguel Angel Paolino</v>
      </c>
      <c r="C1127" t="str">
        <f t="shared" si="290"/>
        <v>Miguel</v>
      </c>
      <c r="D1127" s="8" t="str">
        <f t="shared" si="291"/>
        <v>Angel Paolino</v>
      </c>
      <c r="E1127" s="8" t="str">
        <f t="shared" si="292"/>
        <v>Angel Paolino, Miguel</v>
      </c>
      <c r="F1127" s="8" t="str">
        <f t="shared" si="293"/>
        <v>Angel Paolino, Miguel</v>
      </c>
      <c r="G1127" s="8" t="str">
        <f t="shared" si="294"/>
        <v>not an outlier</v>
      </c>
      <c r="H1127" s="8" t="str">
        <f t="shared" si="295"/>
        <v>Not</v>
      </c>
      <c r="I1127" s="8" t="str">
        <f t="shared" si="305"/>
        <v>no</v>
      </c>
      <c r="J1127" s="10" t="str">
        <f t="shared" si="296"/>
        <v>no</v>
      </c>
      <c r="K1127" s="10" t="str">
        <f t="shared" si="297"/>
        <v>no</v>
      </c>
      <c r="L1127" t="s">
        <v>593</v>
      </c>
      <c r="M1127">
        <v>10676</v>
      </c>
      <c r="N1127">
        <v>19</v>
      </c>
      <c r="O1127" t="s">
        <v>732</v>
      </c>
      <c r="P1127" t="str">
        <f t="shared" si="298"/>
        <v>TORTU_10676_Teatime Chocolate Biscuits</v>
      </c>
      <c r="Q1127" t="str">
        <f t="shared" si="299"/>
        <v>10676</v>
      </c>
      <c r="R1127" t="str">
        <f t="shared" si="300"/>
        <v>10676</v>
      </c>
      <c r="S1127" t="str">
        <f t="shared" si="301"/>
        <v>Teatime Chocolate Biscuits</v>
      </c>
      <c r="T1127">
        <v>9.1999999999999993</v>
      </c>
      <c r="U1127">
        <v>7</v>
      </c>
      <c r="V1127">
        <v>0</v>
      </c>
      <c r="W1127">
        <f t="shared" si="302"/>
        <v>64.399999999999991</v>
      </c>
      <c r="X1127" t="str">
        <f t="shared" si="303"/>
        <v>No</v>
      </c>
      <c r="Y1127" s="2">
        <v>34995</v>
      </c>
      <c r="Z1127" t="str">
        <f t="shared" si="289"/>
        <v/>
      </c>
      <c r="AA1127" t="str">
        <f t="shared" si="304"/>
        <v/>
      </c>
      <c r="AB1127" t="str" cm="1">
        <f t="array" ref="AB1127">_xlfn.IFS(Y1127&lt;DATE(1996,1,1),"",Y1127&lt;DATE(1996,4,1),"Q1",Y1127&lt;DATE(1996,7,1),"Q2",Y1127&gt;=DATE(1996,7,1),"")</f>
        <v/>
      </c>
    </row>
    <row r="1128" spans="1:28" ht="14.4" x14ac:dyDescent="0.55000000000000004">
      <c r="A1128" t="str">
        <f>VLOOKUP(L1128,Customers!$A$2:$B$92,2,FALSE)</f>
        <v>Tortuga Restaurante</v>
      </c>
      <c r="B1128" t="str">
        <f>VLOOKUP(L1128,Customers!$A$2:$C$92,3,TRUE)</f>
        <v>Miguel Angel Paolino</v>
      </c>
      <c r="C1128" t="str">
        <f t="shared" si="290"/>
        <v>Miguel</v>
      </c>
      <c r="D1128" s="8" t="str">
        <f t="shared" si="291"/>
        <v>Angel Paolino</v>
      </c>
      <c r="E1128" s="8" t="str">
        <f t="shared" si="292"/>
        <v>Angel Paolino, Miguel</v>
      </c>
      <c r="F1128" s="8" t="str">
        <f t="shared" si="293"/>
        <v>Angel Paolino, Miguel</v>
      </c>
      <c r="G1128" s="8" t="str">
        <f t="shared" si="294"/>
        <v>not an outlier</v>
      </c>
      <c r="H1128" s="8" t="str">
        <f t="shared" si="295"/>
        <v>Not</v>
      </c>
      <c r="I1128" s="8" t="str">
        <f t="shared" si="305"/>
        <v>no</v>
      </c>
      <c r="J1128" s="10" t="str">
        <f t="shared" si="296"/>
        <v>no</v>
      </c>
      <c r="K1128" s="10" t="str">
        <f t="shared" si="297"/>
        <v>no</v>
      </c>
      <c r="L1128" t="s">
        <v>593</v>
      </c>
      <c r="M1128">
        <v>10676</v>
      </c>
      <c r="N1128">
        <v>44</v>
      </c>
      <c r="O1128" t="s">
        <v>728</v>
      </c>
      <c r="P1128" t="str">
        <f t="shared" si="298"/>
        <v>TORTU_10676_Gula Malacca</v>
      </c>
      <c r="Q1128" t="str">
        <f t="shared" si="299"/>
        <v>10676</v>
      </c>
      <c r="R1128" t="str">
        <f t="shared" si="300"/>
        <v>10676</v>
      </c>
      <c r="S1128" t="str">
        <f t="shared" si="301"/>
        <v>Gula Malacca</v>
      </c>
      <c r="T1128">
        <v>19.45</v>
      </c>
      <c r="U1128">
        <v>21</v>
      </c>
      <c r="V1128">
        <v>0</v>
      </c>
      <c r="W1128">
        <f t="shared" si="302"/>
        <v>408.45</v>
      </c>
      <c r="X1128" t="str">
        <f t="shared" si="303"/>
        <v>No</v>
      </c>
      <c r="Y1128" s="2">
        <v>34995</v>
      </c>
      <c r="Z1128" t="str">
        <f t="shared" si="289"/>
        <v/>
      </c>
      <c r="AA1128" t="str">
        <f t="shared" si="304"/>
        <v/>
      </c>
      <c r="AB1128" t="str" cm="1">
        <f t="array" ref="AB1128">_xlfn.IFS(Y1128&lt;DATE(1996,1,1),"",Y1128&lt;DATE(1996,4,1),"Q1",Y1128&lt;DATE(1996,7,1),"Q2",Y1128&gt;=DATE(1996,7,1),"")</f>
        <v/>
      </c>
    </row>
    <row r="1129" spans="1:28" ht="14.4" x14ac:dyDescent="0.55000000000000004">
      <c r="A1129" t="str">
        <f>VLOOKUP(L1129,Customers!$A$2:$B$92,2,FALSE)</f>
        <v>Antonio Moreno Taquería</v>
      </c>
      <c r="B1129" t="str">
        <f>VLOOKUP(L1129,Customers!$A$2:$C$92,3,TRUE)</f>
        <v>Antonio Moreno</v>
      </c>
      <c r="C1129" t="str">
        <f t="shared" si="290"/>
        <v>Antonio</v>
      </c>
      <c r="D1129" s="8" t="str">
        <f t="shared" si="291"/>
        <v>Moreno</v>
      </c>
      <c r="E1129" s="8" t="str">
        <f t="shared" si="292"/>
        <v>Moreno, Antonio</v>
      </c>
      <c r="F1129" s="8" t="str">
        <f t="shared" si="293"/>
        <v>Moreno, Antonio</v>
      </c>
      <c r="G1129" s="8" t="str">
        <f t="shared" si="294"/>
        <v>not an outlier</v>
      </c>
      <c r="H1129" s="8" t="str">
        <f t="shared" si="295"/>
        <v>Not</v>
      </c>
      <c r="I1129" s="8" t="str">
        <f t="shared" si="305"/>
        <v>no</v>
      </c>
      <c r="J1129" s="10" t="str">
        <f t="shared" si="296"/>
        <v>no</v>
      </c>
      <c r="K1129" s="10" t="str">
        <f t="shared" si="297"/>
        <v>no</v>
      </c>
      <c r="L1129" t="s">
        <v>29</v>
      </c>
      <c r="M1129">
        <v>10677</v>
      </c>
      <c r="N1129">
        <v>26</v>
      </c>
      <c r="O1129" t="s">
        <v>751</v>
      </c>
      <c r="P1129" t="str">
        <f t="shared" si="298"/>
        <v>ANTON_10677_Gumbär Gummibärchen</v>
      </c>
      <c r="Q1129" t="str">
        <f t="shared" si="299"/>
        <v>10677</v>
      </c>
      <c r="R1129" t="str">
        <f t="shared" si="300"/>
        <v>10677</v>
      </c>
      <c r="S1129" t="str">
        <f t="shared" si="301"/>
        <v>Gumbär Gummibärchen</v>
      </c>
      <c r="T1129">
        <v>31.23</v>
      </c>
      <c r="U1129">
        <v>30</v>
      </c>
      <c r="V1129">
        <v>0.15</v>
      </c>
      <c r="W1129">
        <f t="shared" si="302"/>
        <v>796.36500000000001</v>
      </c>
      <c r="X1129" t="str">
        <f t="shared" si="303"/>
        <v>No</v>
      </c>
      <c r="Y1129" s="2">
        <v>34995</v>
      </c>
      <c r="Z1129" t="str">
        <f t="shared" si="289"/>
        <v/>
      </c>
      <c r="AA1129" t="str">
        <f t="shared" si="304"/>
        <v/>
      </c>
      <c r="AB1129" t="str" cm="1">
        <f t="array" ref="AB1129">_xlfn.IFS(Y1129&lt;DATE(1996,1,1),"",Y1129&lt;DATE(1996,4,1),"Q1",Y1129&lt;DATE(1996,7,1),"Q2",Y1129&gt;=DATE(1996,7,1),"")</f>
        <v/>
      </c>
    </row>
    <row r="1130" spans="1:28" ht="14.4" x14ac:dyDescent="0.55000000000000004">
      <c r="A1130" t="str">
        <f>VLOOKUP(L1130,Customers!$A$2:$B$92,2,FALSE)</f>
        <v>Antonio Moreno Taquería</v>
      </c>
      <c r="B1130" t="str">
        <f>VLOOKUP(L1130,Customers!$A$2:$C$92,3,TRUE)</f>
        <v>Antonio Moreno</v>
      </c>
      <c r="C1130" t="str">
        <f t="shared" si="290"/>
        <v>Antonio</v>
      </c>
      <c r="D1130" s="8" t="str">
        <f t="shared" si="291"/>
        <v>Moreno</v>
      </c>
      <c r="E1130" s="8" t="str">
        <f t="shared" si="292"/>
        <v>Moreno, Antonio</v>
      </c>
      <c r="F1130" s="8" t="str">
        <f t="shared" si="293"/>
        <v>Moreno, Antonio</v>
      </c>
      <c r="G1130" s="8" t="str">
        <f t="shared" si="294"/>
        <v>not an outlier</v>
      </c>
      <c r="H1130" s="8" t="str">
        <f t="shared" si="295"/>
        <v>Not</v>
      </c>
      <c r="I1130" s="8" t="str">
        <f t="shared" si="305"/>
        <v>no</v>
      </c>
      <c r="J1130" s="10" t="str">
        <f t="shared" si="296"/>
        <v>no</v>
      </c>
      <c r="K1130" s="10" t="str">
        <f t="shared" si="297"/>
        <v>no</v>
      </c>
      <c r="L1130" t="s">
        <v>29</v>
      </c>
      <c r="M1130">
        <v>10677</v>
      </c>
      <c r="N1130">
        <v>33</v>
      </c>
      <c r="O1130" t="s">
        <v>693</v>
      </c>
      <c r="P1130" t="str">
        <f t="shared" si="298"/>
        <v>ANTON_10677_Geitost</v>
      </c>
      <c r="Q1130" t="str">
        <f t="shared" si="299"/>
        <v>10677</v>
      </c>
      <c r="R1130" t="str">
        <f t="shared" si="300"/>
        <v>10677</v>
      </c>
      <c r="S1130" t="str">
        <f t="shared" si="301"/>
        <v>Geitost</v>
      </c>
      <c r="T1130">
        <v>2.5</v>
      </c>
      <c r="U1130">
        <v>8</v>
      </c>
      <c r="V1130">
        <v>0.15</v>
      </c>
      <c r="W1130">
        <f t="shared" si="302"/>
        <v>17</v>
      </c>
      <c r="X1130" t="str">
        <f t="shared" si="303"/>
        <v>No</v>
      </c>
      <c r="Y1130" s="2">
        <v>34995</v>
      </c>
      <c r="Z1130" t="str">
        <f t="shared" si="289"/>
        <v/>
      </c>
      <c r="AA1130" t="str">
        <f t="shared" si="304"/>
        <v/>
      </c>
      <c r="AB1130" t="str" cm="1">
        <f t="array" ref="AB1130">_xlfn.IFS(Y1130&lt;DATE(1996,1,1),"",Y1130&lt;DATE(1996,4,1),"Q1",Y1130&lt;DATE(1996,7,1),"Q2",Y1130&gt;=DATE(1996,7,1),"")</f>
        <v/>
      </c>
    </row>
    <row r="1131" spans="1:28" ht="14.4" x14ac:dyDescent="0.55000000000000004">
      <c r="A1131" t="str">
        <f>VLOOKUP(L1131,Customers!$A$2:$B$92,2,FALSE)</f>
        <v>Save-a-lot Markets</v>
      </c>
      <c r="B1131" t="str">
        <f>VLOOKUP(L1131,Customers!$A$2:$C$92,3,TRUE)</f>
        <v>Jose Pavarotti</v>
      </c>
      <c r="C1131" t="str">
        <f t="shared" si="290"/>
        <v>Jose</v>
      </c>
      <c r="D1131" s="8" t="str">
        <f t="shared" si="291"/>
        <v>Pavarotti</v>
      </c>
      <c r="E1131" s="8" t="str">
        <f t="shared" si="292"/>
        <v>Pavarotti, Jose</v>
      </c>
      <c r="F1131" s="8" t="str">
        <f t="shared" si="293"/>
        <v>Pavarotti, Jose</v>
      </c>
      <c r="G1131" s="8" t="str">
        <f t="shared" si="294"/>
        <v>outlier</v>
      </c>
      <c r="H1131" s="8" t="str">
        <f t="shared" si="295"/>
        <v>outlier</v>
      </c>
      <c r="I1131" s="8" t="str">
        <f t="shared" si="305"/>
        <v>yes</v>
      </c>
      <c r="J1131" s="10" t="str">
        <f t="shared" si="296"/>
        <v>yes</v>
      </c>
      <c r="K1131" s="10" t="str">
        <f t="shared" si="297"/>
        <v>yes</v>
      </c>
      <c r="L1131" t="s">
        <v>529</v>
      </c>
      <c r="M1131">
        <v>10678</v>
      </c>
      <c r="N1131">
        <v>12</v>
      </c>
      <c r="O1131" t="s">
        <v>719</v>
      </c>
      <c r="P1131" t="str">
        <f t="shared" si="298"/>
        <v>SAVEA_10678_Queso Manchego La Pastora</v>
      </c>
      <c r="Q1131" t="str">
        <f t="shared" si="299"/>
        <v>10678</v>
      </c>
      <c r="R1131" t="str">
        <f t="shared" si="300"/>
        <v>10678</v>
      </c>
      <c r="S1131" t="str">
        <f t="shared" si="301"/>
        <v>Queso Manchego La Pastora</v>
      </c>
      <c r="T1131">
        <v>38</v>
      </c>
      <c r="U1131">
        <v>100</v>
      </c>
      <c r="V1131">
        <v>0</v>
      </c>
      <c r="W1131">
        <f t="shared" si="302"/>
        <v>3800</v>
      </c>
      <c r="X1131" t="str">
        <f t="shared" si="303"/>
        <v>No</v>
      </c>
      <c r="Y1131" s="2">
        <v>34996</v>
      </c>
      <c r="Z1131" t="str">
        <f t="shared" si="289"/>
        <v/>
      </c>
      <c r="AA1131" t="str">
        <f t="shared" si="304"/>
        <v/>
      </c>
      <c r="AB1131" t="str" cm="1">
        <f t="array" ref="AB1131">_xlfn.IFS(Y1131&lt;DATE(1996,1,1),"",Y1131&lt;DATE(1996,4,1),"Q1",Y1131&lt;DATE(1996,7,1),"Q2",Y1131&gt;=DATE(1996,7,1),"")</f>
        <v/>
      </c>
    </row>
    <row r="1132" spans="1:28" ht="14.4" x14ac:dyDescent="0.55000000000000004">
      <c r="A1132" t="str">
        <f>VLOOKUP(L1132,Customers!$A$2:$B$92,2,FALSE)</f>
        <v>Save-a-lot Markets</v>
      </c>
      <c r="B1132" t="str">
        <f>VLOOKUP(L1132,Customers!$A$2:$C$92,3,TRUE)</f>
        <v>Jose Pavarotti</v>
      </c>
      <c r="C1132" t="str">
        <f t="shared" si="290"/>
        <v>Jose</v>
      </c>
      <c r="D1132" s="8" t="str">
        <f t="shared" si="291"/>
        <v>Pavarotti</v>
      </c>
      <c r="E1132" s="8" t="str">
        <f t="shared" si="292"/>
        <v>Pavarotti, Jose</v>
      </c>
      <c r="F1132" s="8" t="str">
        <f t="shared" si="293"/>
        <v>Pavarotti, Jose</v>
      </c>
      <c r="G1132" s="8" t="str">
        <f t="shared" si="294"/>
        <v>not an outlier</v>
      </c>
      <c r="H1132" s="8" t="str">
        <f t="shared" si="295"/>
        <v>Not</v>
      </c>
      <c r="I1132" s="8" t="str">
        <f t="shared" si="305"/>
        <v>no</v>
      </c>
      <c r="J1132" s="10" t="str">
        <f t="shared" si="296"/>
        <v>no</v>
      </c>
      <c r="K1132" s="10" t="str">
        <f t="shared" si="297"/>
        <v>no</v>
      </c>
      <c r="L1132" t="s">
        <v>529</v>
      </c>
      <c r="M1132">
        <v>10678</v>
      </c>
      <c r="N1132">
        <v>33</v>
      </c>
      <c r="O1132" t="s">
        <v>693</v>
      </c>
      <c r="P1132" t="str">
        <f t="shared" si="298"/>
        <v>SAVEA_10678_Geitost</v>
      </c>
      <c r="Q1132" t="str">
        <f t="shared" si="299"/>
        <v>10678</v>
      </c>
      <c r="R1132" t="str">
        <f t="shared" si="300"/>
        <v>10678</v>
      </c>
      <c r="S1132" t="str">
        <f t="shared" si="301"/>
        <v>Geitost</v>
      </c>
      <c r="T1132">
        <v>2.5</v>
      </c>
      <c r="U1132">
        <v>30</v>
      </c>
      <c r="V1132">
        <v>0</v>
      </c>
      <c r="W1132">
        <f t="shared" si="302"/>
        <v>75</v>
      </c>
      <c r="X1132" t="str">
        <f t="shared" si="303"/>
        <v>No</v>
      </c>
      <c r="Y1132" s="2">
        <v>34996</v>
      </c>
      <c r="Z1132" t="str">
        <f t="shared" si="289"/>
        <v/>
      </c>
      <c r="AA1132" t="str">
        <f t="shared" si="304"/>
        <v/>
      </c>
      <c r="AB1132" t="str" cm="1">
        <f t="array" ref="AB1132">_xlfn.IFS(Y1132&lt;DATE(1996,1,1),"",Y1132&lt;DATE(1996,4,1),"Q1",Y1132&lt;DATE(1996,7,1),"Q2",Y1132&gt;=DATE(1996,7,1),"")</f>
        <v/>
      </c>
    </row>
    <row r="1133" spans="1:28" ht="14.4" x14ac:dyDescent="0.55000000000000004">
      <c r="A1133" t="str">
        <f>VLOOKUP(L1133,Customers!$A$2:$B$92,2,FALSE)</f>
        <v>Save-a-lot Markets</v>
      </c>
      <c r="B1133" t="str">
        <f>VLOOKUP(L1133,Customers!$A$2:$C$92,3,TRUE)</f>
        <v>Jose Pavarotti</v>
      </c>
      <c r="C1133" t="str">
        <f t="shared" si="290"/>
        <v>Jose</v>
      </c>
      <c r="D1133" s="8" t="str">
        <f t="shared" si="291"/>
        <v>Pavarotti</v>
      </c>
      <c r="E1133" s="8" t="str">
        <f t="shared" si="292"/>
        <v>Pavarotti, Jose</v>
      </c>
      <c r="F1133" s="8" t="str">
        <f t="shared" si="293"/>
        <v>Pavarotti, Jose</v>
      </c>
      <c r="G1133" s="8" t="str">
        <f t="shared" si="294"/>
        <v>not an outlier</v>
      </c>
      <c r="H1133" s="8" t="str">
        <f t="shared" si="295"/>
        <v>Not</v>
      </c>
      <c r="I1133" s="8" t="str">
        <f t="shared" si="305"/>
        <v>no</v>
      </c>
      <c r="J1133" s="10" t="str">
        <f t="shared" si="296"/>
        <v>no</v>
      </c>
      <c r="K1133" s="10" t="str">
        <f t="shared" si="297"/>
        <v>no</v>
      </c>
      <c r="L1133" t="s">
        <v>529</v>
      </c>
      <c r="M1133">
        <v>10678</v>
      </c>
      <c r="N1133">
        <v>41</v>
      </c>
      <c r="O1133" t="s">
        <v>688</v>
      </c>
      <c r="P1133" t="str">
        <f t="shared" si="298"/>
        <v>SAVEA_10678_Jack's New England Clam Chowder</v>
      </c>
      <c r="Q1133" t="str">
        <f t="shared" si="299"/>
        <v>10678</v>
      </c>
      <c r="R1133" t="str">
        <f t="shared" si="300"/>
        <v>10678</v>
      </c>
      <c r="S1133" t="str">
        <f t="shared" si="301"/>
        <v>Jack's New England Clam Chowder</v>
      </c>
      <c r="T1133">
        <v>9.65</v>
      </c>
      <c r="U1133">
        <v>120</v>
      </c>
      <c r="V1133">
        <v>0</v>
      </c>
      <c r="W1133">
        <f t="shared" si="302"/>
        <v>1158</v>
      </c>
      <c r="X1133" t="str">
        <f t="shared" si="303"/>
        <v>No</v>
      </c>
      <c r="Y1133" s="2">
        <v>34996</v>
      </c>
      <c r="Z1133" t="str">
        <f t="shared" si="289"/>
        <v/>
      </c>
      <c r="AA1133" t="str">
        <f t="shared" si="304"/>
        <v/>
      </c>
      <c r="AB1133" t="str" cm="1">
        <f t="array" ref="AB1133">_xlfn.IFS(Y1133&lt;DATE(1996,1,1),"",Y1133&lt;DATE(1996,4,1),"Q1",Y1133&lt;DATE(1996,7,1),"Q2",Y1133&gt;=DATE(1996,7,1),"")</f>
        <v/>
      </c>
    </row>
    <row r="1134" spans="1:28" ht="14.4" x14ac:dyDescent="0.55000000000000004">
      <c r="A1134" t="str">
        <f>VLOOKUP(L1134,Customers!$A$2:$B$92,2,FALSE)</f>
        <v>Save-a-lot Markets</v>
      </c>
      <c r="B1134" t="str">
        <f>VLOOKUP(L1134,Customers!$A$2:$C$92,3,TRUE)</f>
        <v>Jose Pavarotti</v>
      </c>
      <c r="C1134" t="str">
        <f t="shared" si="290"/>
        <v>Jose</v>
      </c>
      <c r="D1134" s="8" t="str">
        <f t="shared" si="291"/>
        <v>Pavarotti</v>
      </c>
      <c r="E1134" s="8" t="str">
        <f t="shared" si="292"/>
        <v>Pavarotti, Jose</v>
      </c>
      <c r="F1134" s="8" t="str">
        <f t="shared" si="293"/>
        <v>Pavarotti, Jose</v>
      </c>
      <c r="G1134" s="8" t="str">
        <f t="shared" si="294"/>
        <v>not an outlier</v>
      </c>
      <c r="H1134" s="8" t="str">
        <f t="shared" si="295"/>
        <v>Not</v>
      </c>
      <c r="I1134" s="8" t="str">
        <f t="shared" si="305"/>
        <v>no</v>
      </c>
      <c r="J1134" s="10" t="str">
        <f t="shared" si="296"/>
        <v>no</v>
      </c>
      <c r="K1134" s="10" t="str">
        <f t="shared" si="297"/>
        <v>no</v>
      </c>
      <c r="L1134" t="s">
        <v>529</v>
      </c>
      <c r="M1134">
        <v>10678</v>
      </c>
      <c r="N1134">
        <v>54</v>
      </c>
      <c r="O1134" t="s">
        <v>738</v>
      </c>
      <c r="P1134" t="str">
        <f t="shared" si="298"/>
        <v>SAVEA_10678_Tourtière</v>
      </c>
      <c r="Q1134" t="str">
        <f t="shared" si="299"/>
        <v>10678</v>
      </c>
      <c r="R1134" t="str">
        <f t="shared" si="300"/>
        <v>10678</v>
      </c>
      <c r="S1134" t="str">
        <f t="shared" si="301"/>
        <v>Tourtière</v>
      </c>
      <c r="T1134">
        <v>7.45</v>
      </c>
      <c r="U1134">
        <v>30</v>
      </c>
      <c r="V1134">
        <v>0</v>
      </c>
      <c r="W1134">
        <f t="shared" si="302"/>
        <v>223.5</v>
      </c>
      <c r="X1134" t="str">
        <f t="shared" si="303"/>
        <v>No</v>
      </c>
      <c r="Y1134" s="2">
        <v>34996</v>
      </c>
      <c r="Z1134" t="str">
        <f t="shared" si="289"/>
        <v/>
      </c>
      <c r="AA1134" t="str">
        <f t="shared" si="304"/>
        <v/>
      </c>
      <c r="AB1134" t="str" cm="1">
        <f t="array" ref="AB1134">_xlfn.IFS(Y1134&lt;DATE(1996,1,1),"",Y1134&lt;DATE(1996,4,1),"Q1",Y1134&lt;DATE(1996,7,1),"Q2",Y1134&gt;=DATE(1996,7,1),"")</f>
        <v/>
      </c>
    </row>
    <row r="1135" spans="1:28" ht="14.4" x14ac:dyDescent="0.55000000000000004">
      <c r="A1135" t="str">
        <f>VLOOKUP(L1135,Customers!$A$2:$B$92,2,FALSE)</f>
        <v>Blondel père et fils</v>
      </c>
      <c r="B1135" t="str">
        <f>VLOOKUP(L1135,Customers!$A$2:$C$92,3,TRUE)</f>
        <v>Frédérique Citeaux</v>
      </c>
      <c r="C1135" t="str">
        <f t="shared" si="290"/>
        <v>Frédérique</v>
      </c>
      <c r="D1135" s="8" t="str">
        <f t="shared" si="291"/>
        <v>Citeaux</v>
      </c>
      <c r="E1135" s="8" t="str">
        <f t="shared" si="292"/>
        <v>Citeaux, Frédérique</v>
      </c>
      <c r="F1135" s="8" t="str">
        <f t="shared" si="293"/>
        <v>Citeaux, Frédérique</v>
      </c>
      <c r="G1135" s="8" t="str">
        <f t="shared" si="294"/>
        <v>not an outlier</v>
      </c>
      <c r="H1135" s="8" t="str">
        <f t="shared" si="295"/>
        <v>Not</v>
      </c>
      <c r="I1135" s="8" t="str">
        <f t="shared" si="305"/>
        <v>no</v>
      </c>
      <c r="J1135" s="10" t="str">
        <f t="shared" si="296"/>
        <v>no</v>
      </c>
      <c r="K1135" s="10" t="str">
        <f t="shared" si="297"/>
        <v>no</v>
      </c>
      <c r="L1135" t="s">
        <v>60</v>
      </c>
      <c r="M1135">
        <v>10679</v>
      </c>
      <c r="N1135">
        <v>59</v>
      </c>
      <c r="O1135" t="s">
        <v>704</v>
      </c>
      <c r="P1135" t="str">
        <f t="shared" si="298"/>
        <v>BLONP_10679_Raclette Courdavault</v>
      </c>
      <c r="Q1135" t="str">
        <f t="shared" si="299"/>
        <v>10679</v>
      </c>
      <c r="R1135" t="str">
        <f t="shared" si="300"/>
        <v>10679</v>
      </c>
      <c r="S1135" t="str">
        <f t="shared" si="301"/>
        <v>Raclette Courdavault</v>
      </c>
      <c r="T1135">
        <v>55</v>
      </c>
      <c r="U1135">
        <v>12</v>
      </c>
      <c r="V1135">
        <v>0</v>
      </c>
      <c r="W1135">
        <f t="shared" si="302"/>
        <v>660</v>
      </c>
      <c r="X1135" t="str">
        <f t="shared" si="303"/>
        <v>No</v>
      </c>
      <c r="Y1135" s="2">
        <v>34996</v>
      </c>
      <c r="Z1135" t="str">
        <f t="shared" si="289"/>
        <v/>
      </c>
      <c r="AA1135" t="str">
        <f t="shared" si="304"/>
        <v/>
      </c>
      <c r="AB1135" t="str" cm="1">
        <f t="array" ref="AB1135">_xlfn.IFS(Y1135&lt;DATE(1996,1,1),"",Y1135&lt;DATE(1996,4,1),"Q1",Y1135&lt;DATE(1996,7,1),"Q2",Y1135&gt;=DATE(1996,7,1),"")</f>
        <v/>
      </c>
    </row>
    <row r="1136" spans="1:28" ht="14.4" x14ac:dyDescent="0.55000000000000004">
      <c r="A1136" t="str">
        <f>VLOOKUP(L1136,Customers!$A$2:$B$92,2,FALSE)</f>
        <v>Old World Delicatessen</v>
      </c>
      <c r="B1136" t="str">
        <f>VLOOKUP(L1136,Customers!$A$2:$C$92,3,TRUE)</f>
        <v>Rene Phillips</v>
      </c>
      <c r="C1136" t="str">
        <f t="shared" si="290"/>
        <v>Rene</v>
      </c>
      <c r="D1136" s="8" t="str">
        <f t="shared" si="291"/>
        <v>Phillips</v>
      </c>
      <c r="E1136" s="8" t="str">
        <f t="shared" si="292"/>
        <v>Phillips, Rene</v>
      </c>
      <c r="F1136" s="8" t="str">
        <f t="shared" si="293"/>
        <v>Phillips, Rene</v>
      </c>
      <c r="G1136" s="8" t="str">
        <f t="shared" si="294"/>
        <v>not an outlier</v>
      </c>
      <c r="H1136" s="8" t="str">
        <f t="shared" si="295"/>
        <v>Not</v>
      </c>
      <c r="I1136" s="8" t="str">
        <f t="shared" si="305"/>
        <v>no</v>
      </c>
      <c r="J1136" s="10" t="str">
        <f t="shared" si="296"/>
        <v>no</v>
      </c>
      <c r="K1136" s="10" t="str">
        <f t="shared" si="297"/>
        <v>no</v>
      </c>
      <c r="L1136" t="s">
        <v>422</v>
      </c>
      <c r="M1136">
        <v>10680</v>
      </c>
      <c r="N1136">
        <v>16</v>
      </c>
      <c r="O1136" t="s">
        <v>702</v>
      </c>
      <c r="P1136" t="str">
        <f t="shared" si="298"/>
        <v>OLDWO_10680_Pavlova</v>
      </c>
      <c r="Q1136" t="str">
        <f t="shared" si="299"/>
        <v>10680</v>
      </c>
      <c r="R1136" t="str">
        <f t="shared" si="300"/>
        <v>10680</v>
      </c>
      <c r="S1136" t="str">
        <f t="shared" si="301"/>
        <v>Pavlova</v>
      </c>
      <c r="T1136">
        <v>17.45</v>
      </c>
      <c r="U1136">
        <v>50</v>
      </c>
      <c r="V1136">
        <v>0.25</v>
      </c>
      <c r="W1136">
        <f t="shared" si="302"/>
        <v>654.375</v>
      </c>
      <c r="X1136" t="str">
        <f t="shared" si="303"/>
        <v>No</v>
      </c>
      <c r="Y1136" s="2">
        <v>34997</v>
      </c>
      <c r="Z1136" t="str">
        <f t="shared" si="289"/>
        <v/>
      </c>
      <c r="AA1136" t="str">
        <f t="shared" si="304"/>
        <v/>
      </c>
      <c r="AB1136" t="str" cm="1">
        <f t="array" ref="AB1136">_xlfn.IFS(Y1136&lt;DATE(1996,1,1),"",Y1136&lt;DATE(1996,4,1),"Q1",Y1136&lt;DATE(1996,7,1),"Q2",Y1136&gt;=DATE(1996,7,1),"")</f>
        <v/>
      </c>
    </row>
    <row r="1137" spans="1:28" ht="14.4" x14ac:dyDescent="0.55000000000000004">
      <c r="A1137" t="str">
        <f>VLOOKUP(L1137,Customers!$A$2:$B$92,2,FALSE)</f>
        <v>Old World Delicatessen</v>
      </c>
      <c r="B1137" t="str">
        <f>VLOOKUP(L1137,Customers!$A$2:$C$92,3,TRUE)</f>
        <v>Rene Phillips</v>
      </c>
      <c r="C1137" t="str">
        <f t="shared" si="290"/>
        <v>Rene</v>
      </c>
      <c r="D1137" s="8" t="str">
        <f t="shared" si="291"/>
        <v>Phillips</v>
      </c>
      <c r="E1137" s="8" t="str">
        <f t="shared" si="292"/>
        <v>Phillips, Rene</v>
      </c>
      <c r="F1137" s="8" t="str">
        <f t="shared" si="293"/>
        <v>Phillips, Rene</v>
      </c>
      <c r="G1137" s="8" t="str">
        <f t="shared" si="294"/>
        <v>not an outlier</v>
      </c>
      <c r="H1137" s="8" t="str">
        <f t="shared" si="295"/>
        <v>Not</v>
      </c>
      <c r="I1137" s="8" t="str">
        <f t="shared" si="305"/>
        <v>no</v>
      </c>
      <c r="J1137" s="10" t="str">
        <f t="shared" si="296"/>
        <v>no</v>
      </c>
      <c r="K1137" s="10" t="str">
        <f t="shared" si="297"/>
        <v>no</v>
      </c>
      <c r="L1137" t="s">
        <v>422</v>
      </c>
      <c r="M1137">
        <v>10680</v>
      </c>
      <c r="N1137">
        <v>31</v>
      </c>
      <c r="O1137" t="s">
        <v>695</v>
      </c>
      <c r="P1137" t="str">
        <f t="shared" si="298"/>
        <v>OLDWO_10680_Gorgonzola Telino</v>
      </c>
      <c r="Q1137" t="str">
        <f t="shared" si="299"/>
        <v>10680</v>
      </c>
      <c r="R1137" t="str">
        <f t="shared" si="300"/>
        <v>10680</v>
      </c>
      <c r="S1137" t="str">
        <f t="shared" si="301"/>
        <v>Gorgonzola Telino</v>
      </c>
      <c r="T1137">
        <v>12.5</v>
      </c>
      <c r="U1137">
        <v>20</v>
      </c>
      <c r="V1137">
        <v>0.25</v>
      </c>
      <c r="W1137">
        <f t="shared" si="302"/>
        <v>187.5</v>
      </c>
      <c r="X1137" t="str">
        <f t="shared" si="303"/>
        <v>No</v>
      </c>
      <c r="Y1137" s="2">
        <v>34997</v>
      </c>
      <c r="Z1137" t="str">
        <f t="shared" si="289"/>
        <v/>
      </c>
      <c r="AA1137" t="str">
        <f t="shared" si="304"/>
        <v/>
      </c>
      <c r="AB1137" t="str" cm="1">
        <f t="array" ref="AB1137">_xlfn.IFS(Y1137&lt;DATE(1996,1,1),"",Y1137&lt;DATE(1996,4,1),"Q1",Y1137&lt;DATE(1996,7,1),"Q2",Y1137&gt;=DATE(1996,7,1),"")</f>
        <v/>
      </c>
    </row>
    <row r="1138" spans="1:28" ht="14.4" x14ac:dyDescent="0.55000000000000004">
      <c r="A1138" t="str">
        <f>VLOOKUP(L1138,Customers!$A$2:$B$92,2,FALSE)</f>
        <v>Old World Delicatessen</v>
      </c>
      <c r="B1138" t="str">
        <f>VLOOKUP(L1138,Customers!$A$2:$C$92,3,TRUE)</f>
        <v>Rene Phillips</v>
      </c>
      <c r="C1138" t="str">
        <f t="shared" si="290"/>
        <v>Rene</v>
      </c>
      <c r="D1138" s="8" t="str">
        <f t="shared" si="291"/>
        <v>Phillips</v>
      </c>
      <c r="E1138" s="8" t="str">
        <f t="shared" si="292"/>
        <v>Phillips, Rene</v>
      </c>
      <c r="F1138" s="8" t="str">
        <f t="shared" si="293"/>
        <v>Phillips, Rene</v>
      </c>
      <c r="G1138" s="8" t="str">
        <f t="shared" si="294"/>
        <v>not an outlier</v>
      </c>
      <c r="H1138" s="8" t="str">
        <f t="shared" si="295"/>
        <v>Not</v>
      </c>
      <c r="I1138" s="8" t="str">
        <f t="shared" si="305"/>
        <v>no</v>
      </c>
      <c r="J1138" s="10" t="str">
        <f t="shared" si="296"/>
        <v>no</v>
      </c>
      <c r="K1138" s="10" t="str">
        <f t="shared" si="297"/>
        <v>no</v>
      </c>
      <c r="L1138" t="s">
        <v>422</v>
      </c>
      <c r="M1138">
        <v>10680</v>
      </c>
      <c r="N1138">
        <v>42</v>
      </c>
      <c r="O1138" t="s">
        <v>684</v>
      </c>
      <c r="P1138" t="str">
        <f t="shared" si="298"/>
        <v>OLDWO_10680_Singaporean Hokkien Fried Mee</v>
      </c>
      <c r="Q1138" t="str">
        <f t="shared" si="299"/>
        <v>10680</v>
      </c>
      <c r="R1138" t="str">
        <f t="shared" si="300"/>
        <v>10680</v>
      </c>
      <c r="S1138" t="str">
        <f t="shared" si="301"/>
        <v>Singaporean Hokkien Fried Mee</v>
      </c>
      <c r="T1138">
        <v>14</v>
      </c>
      <c r="U1138">
        <v>40</v>
      </c>
      <c r="V1138">
        <v>0.25</v>
      </c>
      <c r="W1138">
        <f t="shared" si="302"/>
        <v>420</v>
      </c>
      <c r="X1138" t="str">
        <f t="shared" si="303"/>
        <v>No</v>
      </c>
      <c r="Y1138" s="2">
        <v>34997</v>
      </c>
      <c r="Z1138" t="str">
        <f t="shared" si="289"/>
        <v/>
      </c>
      <c r="AA1138" t="str">
        <f t="shared" si="304"/>
        <v/>
      </c>
      <c r="AB1138" t="str" cm="1">
        <f t="array" ref="AB1138">_xlfn.IFS(Y1138&lt;DATE(1996,1,1),"",Y1138&lt;DATE(1996,4,1),"Q1",Y1138&lt;DATE(1996,7,1),"Q2",Y1138&gt;=DATE(1996,7,1),"")</f>
        <v/>
      </c>
    </row>
    <row r="1139" spans="1:28" ht="14.4" x14ac:dyDescent="0.55000000000000004">
      <c r="A1139" t="str">
        <f>VLOOKUP(L1139,Customers!$A$2:$B$92,2,FALSE)</f>
        <v>Great Lakes Food Market</v>
      </c>
      <c r="B1139" t="str">
        <f>VLOOKUP(L1139,Customers!$A$2:$C$92,3,TRUE)</f>
        <v>Howard Snyder</v>
      </c>
      <c r="C1139" t="str">
        <f t="shared" si="290"/>
        <v>Howard</v>
      </c>
      <c r="D1139" s="8" t="str">
        <f t="shared" si="291"/>
        <v>Snyder</v>
      </c>
      <c r="E1139" s="8" t="str">
        <f t="shared" si="292"/>
        <v>Snyder, Howard</v>
      </c>
      <c r="F1139" s="8" t="str">
        <f t="shared" si="293"/>
        <v>Snyder, Howard</v>
      </c>
      <c r="G1139" s="8" t="str">
        <f t="shared" si="294"/>
        <v>not an outlier</v>
      </c>
      <c r="H1139" s="8" t="str">
        <f t="shared" si="295"/>
        <v>Not</v>
      </c>
      <c r="I1139" s="8" t="str">
        <f t="shared" si="305"/>
        <v>no</v>
      </c>
      <c r="J1139" s="10" t="str">
        <f t="shared" si="296"/>
        <v>no</v>
      </c>
      <c r="K1139" s="10" t="str">
        <f t="shared" si="297"/>
        <v>no</v>
      </c>
      <c r="L1139" t="s">
        <v>247</v>
      </c>
      <c r="M1139">
        <v>10681</v>
      </c>
      <c r="N1139">
        <v>19</v>
      </c>
      <c r="O1139" t="s">
        <v>732</v>
      </c>
      <c r="P1139" t="str">
        <f t="shared" si="298"/>
        <v>GREAL_10681_Teatime Chocolate Biscuits</v>
      </c>
      <c r="Q1139" t="str">
        <f t="shared" si="299"/>
        <v>10681</v>
      </c>
      <c r="R1139" t="str">
        <f t="shared" si="300"/>
        <v>10681</v>
      </c>
      <c r="S1139" t="str">
        <f t="shared" si="301"/>
        <v>Teatime Chocolate Biscuits</v>
      </c>
      <c r="T1139">
        <v>9.1999999999999993</v>
      </c>
      <c r="U1139">
        <v>30</v>
      </c>
      <c r="V1139">
        <v>0.1</v>
      </c>
      <c r="W1139">
        <f t="shared" si="302"/>
        <v>248.4</v>
      </c>
      <c r="X1139" t="str">
        <f t="shared" si="303"/>
        <v>No</v>
      </c>
      <c r="Y1139" s="2">
        <v>34998</v>
      </c>
      <c r="Z1139" t="str">
        <f t="shared" si="289"/>
        <v/>
      </c>
      <c r="AA1139" t="str">
        <f t="shared" si="304"/>
        <v/>
      </c>
      <c r="AB1139" t="str" cm="1">
        <f t="array" ref="AB1139">_xlfn.IFS(Y1139&lt;DATE(1996,1,1),"",Y1139&lt;DATE(1996,4,1),"Q1",Y1139&lt;DATE(1996,7,1),"Q2",Y1139&gt;=DATE(1996,7,1),"")</f>
        <v/>
      </c>
    </row>
    <row r="1140" spans="1:28" ht="14.4" x14ac:dyDescent="0.55000000000000004">
      <c r="A1140" t="str">
        <f>VLOOKUP(L1140,Customers!$A$2:$B$92,2,FALSE)</f>
        <v>Great Lakes Food Market</v>
      </c>
      <c r="B1140" t="str">
        <f>VLOOKUP(L1140,Customers!$A$2:$C$92,3,TRUE)</f>
        <v>Howard Snyder</v>
      </c>
      <c r="C1140" t="str">
        <f t="shared" si="290"/>
        <v>Howard</v>
      </c>
      <c r="D1140" s="8" t="str">
        <f t="shared" si="291"/>
        <v>Snyder</v>
      </c>
      <c r="E1140" s="8" t="str">
        <f t="shared" si="292"/>
        <v>Snyder, Howard</v>
      </c>
      <c r="F1140" s="8" t="str">
        <f t="shared" si="293"/>
        <v>Snyder, Howard</v>
      </c>
      <c r="G1140" s="8" t="str">
        <f t="shared" si="294"/>
        <v>not an outlier</v>
      </c>
      <c r="H1140" s="8" t="str">
        <f t="shared" si="295"/>
        <v>Not</v>
      </c>
      <c r="I1140" s="8" t="str">
        <f t="shared" si="305"/>
        <v>no</v>
      </c>
      <c r="J1140" s="10" t="str">
        <f t="shared" si="296"/>
        <v>no</v>
      </c>
      <c r="K1140" s="10" t="str">
        <f t="shared" si="297"/>
        <v>no</v>
      </c>
      <c r="L1140" t="s">
        <v>247</v>
      </c>
      <c r="M1140">
        <v>10681</v>
      </c>
      <c r="N1140">
        <v>21</v>
      </c>
      <c r="O1140" t="s">
        <v>710</v>
      </c>
      <c r="P1140" t="str">
        <f t="shared" si="298"/>
        <v>GREAL_10681_Sir Rodney's Scones</v>
      </c>
      <c r="Q1140" t="str">
        <f t="shared" si="299"/>
        <v>10681</v>
      </c>
      <c r="R1140" t="str">
        <f t="shared" si="300"/>
        <v>10681</v>
      </c>
      <c r="S1140" t="str">
        <f t="shared" si="301"/>
        <v>Sir Rodney's Scones</v>
      </c>
      <c r="T1140">
        <v>10</v>
      </c>
      <c r="U1140">
        <v>12</v>
      </c>
      <c r="V1140">
        <v>0.1</v>
      </c>
      <c r="W1140">
        <f t="shared" si="302"/>
        <v>108</v>
      </c>
      <c r="X1140" t="str">
        <f t="shared" si="303"/>
        <v>No</v>
      </c>
      <c r="Y1140" s="2">
        <v>34998</v>
      </c>
      <c r="Z1140" t="str">
        <f t="shared" si="289"/>
        <v/>
      </c>
      <c r="AA1140" t="str">
        <f t="shared" si="304"/>
        <v/>
      </c>
      <c r="AB1140" t="str" cm="1">
        <f t="array" ref="AB1140">_xlfn.IFS(Y1140&lt;DATE(1996,1,1),"",Y1140&lt;DATE(1996,4,1),"Q1",Y1140&lt;DATE(1996,7,1),"Q2",Y1140&gt;=DATE(1996,7,1),"")</f>
        <v/>
      </c>
    </row>
    <row r="1141" spans="1:28" ht="14.4" x14ac:dyDescent="0.55000000000000004">
      <c r="A1141" t="str">
        <f>VLOOKUP(L1141,Customers!$A$2:$B$92,2,FALSE)</f>
        <v>Great Lakes Food Market</v>
      </c>
      <c r="B1141" t="str">
        <f>VLOOKUP(L1141,Customers!$A$2:$C$92,3,TRUE)</f>
        <v>Howard Snyder</v>
      </c>
      <c r="C1141" t="str">
        <f t="shared" si="290"/>
        <v>Howard</v>
      </c>
      <c r="D1141" s="8" t="str">
        <f t="shared" si="291"/>
        <v>Snyder</v>
      </c>
      <c r="E1141" s="8" t="str">
        <f t="shared" si="292"/>
        <v>Snyder, Howard</v>
      </c>
      <c r="F1141" s="8" t="str">
        <f t="shared" si="293"/>
        <v>Snyder, Howard</v>
      </c>
      <c r="G1141" s="8" t="str">
        <f t="shared" si="294"/>
        <v>not an outlier</v>
      </c>
      <c r="H1141" s="8" t="str">
        <f t="shared" si="295"/>
        <v>Not</v>
      </c>
      <c r="I1141" s="8" t="str">
        <f t="shared" si="305"/>
        <v>no</v>
      </c>
      <c r="J1141" s="10" t="str">
        <f t="shared" si="296"/>
        <v>no</v>
      </c>
      <c r="K1141" s="10" t="str">
        <f t="shared" si="297"/>
        <v>no</v>
      </c>
      <c r="L1141" t="s">
        <v>247</v>
      </c>
      <c r="M1141">
        <v>10681</v>
      </c>
      <c r="N1141">
        <v>64</v>
      </c>
      <c r="O1141" t="s">
        <v>741</v>
      </c>
      <c r="P1141" t="str">
        <f t="shared" si="298"/>
        <v>GREAL_10681_Wimmers gute Semmelknödel</v>
      </c>
      <c r="Q1141" t="str">
        <f t="shared" si="299"/>
        <v>10681</v>
      </c>
      <c r="R1141" t="str">
        <f t="shared" si="300"/>
        <v>10681</v>
      </c>
      <c r="S1141" t="str">
        <f t="shared" si="301"/>
        <v>Wimmers gute Semmelknödel</v>
      </c>
      <c r="T1141">
        <v>33.25</v>
      </c>
      <c r="U1141">
        <v>28</v>
      </c>
      <c r="V1141">
        <v>0</v>
      </c>
      <c r="W1141">
        <f t="shared" si="302"/>
        <v>931</v>
      </c>
      <c r="X1141" t="str">
        <f t="shared" si="303"/>
        <v>No</v>
      </c>
      <c r="Y1141" s="2">
        <v>34998</v>
      </c>
      <c r="Z1141" t="str">
        <f t="shared" si="289"/>
        <v/>
      </c>
      <c r="AA1141" t="str">
        <f t="shared" si="304"/>
        <v/>
      </c>
      <c r="AB1141" t="str" cm="1">
        <f t="array" ref="AB1141">_xlfn.IFS(Y1141&lt;DATE(1996,1,1),"",Y1141&lt;DATE(1996,4,1),"Q1",Y1141&lt;DATE(1996,7,1),"Q2",Y1141&gt;=DATE(1996,7,1),"")</f>
        <v/>
      </c>
    </row>
    <row r="1142" spans="1:28" ht="14.4" x14ac:dyDescent="0.55000000000000004">
      <c r="A1142" t="str">
        <f>VLOOKUP(L1142,Customers!$A$2:$B$92,2,FALSE)</f>
        <v>Antonio Moreno Taquería</v>
      </c>
      <c r="B1142" t="str">
        <f>VLOOKUP(L1142,Customers!$A$2:$C$92,3,TRUE)</f>
        <v>Antonio Moreno</v>
      </c>
      <c r="C1142" t="str">
        <f t="shared" si="290"/>
        <v>Antonio</v>
      </c>
      <c r="D1142" s="8" t="str">
        <f t="shared" si="291"/>
        <v>Moreno</v>
      </c>
      <c r="E1142" s="8" t="str">
        <f t="shared" si="292"/>
        <v>Moreno, Antonio</v>
      </c>
      <c r="F1142" s="8" t="str">
        <f t="shared" si="293"/>
        <v>Moreno, Antonio</v>
      </c>
      <c r="G1142" s="8" t="str">
        <f t="shared" si="294"/>
        <v>not an outlier</v>
      </c>
      <c r="H1142" s="8" t="str">
        <f t="shared" si="295"/>
        <v>Not</v>
      </c>
      <c r="I1142" s="8" t="str">
        <f t="shared" si="305"/>
        <v>no</v>
      </c>
      <c r="J1142" s="10" t="str">
        <f t="shared" si="296"/>
        <v>no</v>
      </c>
      <c r="K1142" s="10" t="str">
        <f t="shared" si="297"/>
        <v>no</v>
      </c>
      <c r="L1142" t="s">
        <v>29</v>
      </c>
      <c r="M1142">
        <v>10682</v>
      </c>
      <c r="N1142">
        <v>33</v>
      </c>
      <c r="O1142" t="s">
        <v>693</v>
      </c>
      <c r="P1142" t="str">
        <f t="shared" si="298"/>
        <v>ANTON_10682_Geitost</v>
      </c>
      <c r="Q1142" t="str">
        <f t="shared" si="299"/>
        <v>10682</v>
      </c>
      <c r="R1142" t="str">
        <f t="shared" si="300"/>
        <v>10682</v>
      </c>
      <c r="S1142" t="str">
        <f t="shared" si="301"/>
        <v>Geitost</v>
      </c>
      <c r="T1142">
        <v>2.5</v>
      </c>
      <c r="U1142">
        <v>30</v>
      </c>
      <c r="V1142">
        <v>0</v>
      </c>
      <c r="W1142">
        <f t="shared" si="302"/>
        <v>75</v>
      </c>
      <c r="X1142" t="str">
        <f t="shared" si="303"/>
        <v>No</v>
      </c>
      <c r="Y1142" s="2">
        <v>34998</v>
      </c>
      <c r="Z1142" t="str">
        <f t="shared" si="289"/>
        <v/>
      </c>
      <c r="AA1142" t="str">
        <f t="shared" si="304"/>
        <v/>
      </c>
      <c r="AB1142" t="str" cm="1">
        <f t="array" ref="AB1142">_xlfn.IFS(Y1142&lt;DATE(1996,1,1),"",Y1142&lt;DATE(1996,4,1),"Q1",Y1142&lt;DATE(1996,7,1),"Q2",Y1142&gt;=DATE(1996,7,1),"")</f>
        <v/>
      </c>
    </row>
    <row r="1143" spans="1:28" ht="14.4" x14ac:dyDescent="0.55000000000000004">
      <c r="A1143" t="str">
        <f>VLOOKUP(L1143,Customers!$A$2:$B$92,2,FALSE)</f>
        <v>Antonio Moreno Taquería</v>
      </c>
      <c r="B1143" t="str">
        <f>VLOOKUP(L1143,Customers!$A$2:$C$92,3,TRUE)</f>
        <v>Antonio Moreno</v>
      </c>
      <c r="C1143" t="str">
        <f t="shared" si="290"/>
        <v>Antonio</v>
      </c>
      <c r="D1143" s="8" t="str">
        <f t="shared" si="291"/>
        <v>Moreno</v>
      </c>
      <c r="E1143" s="8" t="str">
        <f t="shared" si="292"/>
        <v>Moreno, Antonio</v>
      </c>
      <c r="F1143" s="8" t="str">
        <f t="shared" si="293"/>
        <v>Moreno, Antonio</v>
      </c>
      <c r="G1143" s="8" t="str">
        <f t="shared" si="294"/>
        <v>not an outlier</v>
      </c>
      <c r="H1143" s="8" t="str">
        <f t="shared" si="295"/>
        <v>Not</v>
      </c>
      <c r="I1143" s="8" t="str">
        <f t="shared" si="305"/>
        <v>no</v>
      </c>
      <c r="J1143" s="10" t="str">
        <f t="shared" si="296"/>
        <v>no</v>
      </c>
      <c r="K1143" s="10" t="str">
        <f t="shared" si="297"/>
        <v>no</v>
      </c>
      <c r="L1143" t="s">
        <v>29</v>
      </c>
      <c r="M1143">
        <v>10682</v>
      </c>
      <c r="N1143">
        <v>66</v>
      </c>
      <c r="O1143" t="s">
        <v>744</v>
      </c>
      <c r="P1143" t="str">
        <f t="shared" si="298"/>
        <v>ANTON_10682_Louisiana Hot Spiced Okra</v>
      </c>
      <c r="Q1143" t="str">
        <f t="shared" si="299"/>
        <v>10682</v>
      </c>
      <c r="R1143" t="str">
        <f t="shared" si="300"/>
        <v>10682</v>
      </c>
      <c r="S1143" t="str">
        <f t="shared" si="301"/>
        <v>Louisiana Hot Spiced Okra</v>
      </c>
      <c r="T1143">
        <v>17</v>
      </c>
      <c r="U1143">
        <v>4</v>
      </c>
      <c r="V1143">
        <v>0</v>
      </c>
      <c r="W1143">
        <f t="shared" si="302"/>
        <v>68</v>
      </c>
      <c r="X1143" t="str">
        <f t="shared" si="303"/>
        <v>No</v>
      </c>
      <c r="Y1143" s="2">
        <v>34998</v>
      </c>
      <c r="Z1143" t="str">
        <f t="shared" si="289"/>
        <v/>
      </c>
      <c r="AA1143" t="str">
        <f t="shared" si="304"/>
        <v/>
      </c>
      <c r="AB1143" t="str" cm="1">
        <f t="array" ref="AB1143">_xlfn.IFS(Y1143&lt;DATE(1996,1,1),"",Y1143&lt;DATE(1996,4,1),"Q1",Y1143&lt;DATE(1996,7,1),"Q2",Y1143&gt;=DATE(1996,7,1),"")</f>
        <v/>
      </c>
    </row>
    <row r="1144" spans="1:28" ht="14.4" x14ac:dyDescent="0.55000000000000004">
      <c r="A1144" t="str">
        <f>VLOOKUP(L1144,Customers!$A$2:$B$92,2,FALSE)</f>
        <v>Antonio Moreno Taquería</v>
      </c>
      <c r="B1144" t="str">
        <f>VLOOKUP(L1144,Customers!$A$2:$C$92,3,TRUE)</f>
        <v>Antonio Moreno</v>
      </c>
      <c r="C1144" t="str">
        <f t="shared" si="290"/>
        <v>Antonio</v>
      </c>
      <c r="D1144" s="8" t="str">
        <f t="shared" si="291"/>
        <v>Moreno</v>
      </c>
      <c r="E1144" s="8" t="str">
        <f t="shared" si="292"/>
        <v>Moreno, Antonio</v>
      </c>
      <c r="F1144" s="8" t="str">
        <f t="shared" si="293"/>
        <v>Moreno, Antonio</v>
      </c>
      <c r="G1144" s="8" t="str">
        <f t="shared" si="294"/>
        <v>not an outlier</v>
      </c>
      <c r="H1144" s="8" t="str">
        <f t="shared" si="295"/>
        <v>Not</v>
      </c>
      <c r="I1144" s="8" t="str">
        <f t="shared" si="305"/>
        <v>no</v>
      </c>
      <c r="J1144" s="10" t="str">
        <f t="shared" si="296"/>
        <v>no</v>
      </c>
      <c r="K1144" s="10" t="str">
        <f t="shared" si="297"/>
        <v>no</v>
      </c>
      <c r="L1144" t="s">
        <v>29</v>
      </c>
      <c r="M1144">
        <v>10682</v>
      </c>
      <c r="N1144">
        <v>75</v>
      </c>
      <c r="O1144" t="s">
        <v>731</v>
      </c>
      <c r="P1144" t="str">
        <f t="shared" si="298"/>
        <v>ANTON_10682_Rhönbräu Klosterbier</v>
      </c>
      <c r="Q1144" t="str">
        <f t="shared" si="299"/>
        <v>10682</v>
      </c>
      <c r="R1144" t="str">
        <f t="shared" si="300"/>
        <v>10682</v>
      </c>
      <c r="S1144" t="str">
        <f t="shared" si="301"/>
        <v>Rhönbräu Klosterbier</v>
      </c>
      <c r="T1144">
        <v>7.75</v>
      </c>
      <c r="U1144">
        <v>30</v>
      </c>
      <c r="V1144">
        <v>0</v>
      </c>
      <c r="W1144">
        <f t="shared" si="302"/>
        <v>232.5</v>
      </c>
      <c r="X1144" t="str">
        <f t="shared" si="303"/>
        <v>No</v>
      </c>
      <c r="Y1144" s="2">
        <v>34998</v>
      </c>
      <c r="Z1144" t="str">
        <f t="shared" si="289"/>
        <v/>
      </c>
      <c r="AA1144" t="str">
        <f t="shared" si="304"/>
        <v/>
      </c>
      <c r="AB1144" t="str" cm="1">
        <f t="array" ref="AB1144">_xlfn.IFS(Y1144&lt;DATE(1996,1,1),"",Y1144&lt;DATE(1996,4,1),"Q1",Y1144&lt;DATE(1996,7,1),"Q2",Y1144&gt;=DATE(1996,7,1),"")</f>
        <v/>
      </c>
    </row>
    <row r="1145" spans="1:28" ht="14.4" x14ac:dyDescent="0.55000000000000004">
      <c r="A1145" t="str">
        <f>VLOOKUP(L1145,Customers!$A$2:$B$92,2,FALSE)</f>
        <v>Du monde entier</v>
      </c>
      <c r="B1145" t="str">
        <f>VLOOKUP(L1145,Customers!$A$2:$C$92,3,TRUE)</f>
        <v>Janine Labrune</v>
      </c>
      <c r="C1145" t="str">
        <f t="shared" si="290"/>
        <v>Janine</v>
      </c>
      <c r="D1145" s="8" t="str">
        <f t="shared" si="291"/>
        <v>Labrune</v>
      </c>
      <c r="E1145" s="8" t="str">
        <f t="shared" si="292"/>
        <v>Labrune, Janine</v>
      </c>
      <c r="F1145" s="8" t="str">
        <f t="shared" si="293"/>
        <v>Labrune, Janine</v>
      </c>
      <c r="G1145" s="8" t="str">
        <f t="shared" si="294"/>
        <v>not an outlier</v>
      </c>
      <c r="H1145" s="8" t="str">
        <f t="shared" si="295"/>
        <v>Not</v>
      </c>
      <c r="I1145" s="8" t="str">
        <f t="shared" si="305"/>
        <v>no</v>
      </c>
      <c r="J1145" s="10" t="str">
        <f t="shared" si="296"/>
        <v>no</v>
      </c>
      <c r="K1145" s="10" t="str">
        <f t="shared" si="297"/>
        <v>no</v>
      </c>
      <c r="L1145" t="s">
        <v>147</v>
      </c>
      <c r="M1145">
        <v>10683</v>
      </c>
      <c r="N1145">
        <v>52</v>
      </c>
      <c r="O1145" t="s">
        <v>748</v>
      </c>
      <c r="P1145" t="str">
        <f t="shared" si="298"/>
        <v>DUMON_10683_Filo Mix</v>
      </c>
      <c r="Q1145" t="str">
        <f t="shared" si="299"/>
        <v>10683</v>
      </c>
      <c r="R1145" t="str">
        <f t="shared" si="300"/>
        <v>10683</v>
      </c>
      <c r="S1145" t="str">
        <f t="shared" si="301"/>
        <v>Filo Mix</v>
      </c>
      <c r="T1145">
        <v>7</v>
      </c>
      <c r="U1145">
        <v>9</v>
      </c>
      <c r="V1145">
        <v>0</v>
      </c>
      <c r="W1145">
        <f t="shared" si="302"/>
        <v>63</v>
      </c>
      <c r="X1145" t="str">
        <f t="shared" si="303"/>
        <v>No</v>
      </c>
      <c r="Y1145" s="2">
        <v>34999</v>
      </c>
      <c r="Z1145" t="str">
        <f t="shared" si="289"/>
        <v/>
      </c>
      <c r="AA1145" t="str">
        <f t="shared" si="304"/>
        <v/>
      </c>
      <c r="AB1145" t="str" cm="1">
        <f t="array" ref="AB1145">_xlfn.IFS(Y1145&lt;DATE(1996,1,1),"",Y1145&lt;DATE(1996,4,1),"Q1",Y1145&lt;DATE(1996,7,1),"Q2",Y1145&gt;=DATE(1996,7,1),"")</f>
        <v/>
      </c>
    </row>
    <row r="1146" spans="1:28" ht="14.4" x14ac:dyDescent="0.55000000000000004">
      <c r="A1146" t="str">
        <f>VLOOKUP(L1146,Customers!$A$2:$B$92,2,FALSE)</f>
        <v>Ottilies Käseladen</v>
      </c>
      <c r="B1146" t="str">
        <f>VLOOKUP(L1146,Customers!$A$2:$C$92,3,TRUE)</f>
        <v>Henriette Pfalzheim</v>
      </c>
      <c r="C1146" t="str">
        <f t="shared" si="290"/>
        <v>Henriette</v>
      </c>
      <c r="D1146" s="8" t="str">
        <f t="shared" si="291"/>
        <v>Pfalzheim</v>
      </c>
      <c r="E1146" s="8" t="str">
        <f t="shared" si="292"/>
        <v>Pfalzheim, Henriette</v>
      </c>
      <c r="F1146" s="8" t="str">
        <f t="shared" si="293"/>
        <v>Pfalzheim, Henriette</v>
      </c>
      <c r="G1146" s="8" t="str">
        <f t="shared" si="294"/>
        <v>not an outlier</v>
      </c>
      <c r="H1146" s="8" t="str">
        <f t="shared" si="295"/>
        <v>Not</v>
      </c>
      <c r="I1146" s="8" t="str">
        <f t="shared" si="305"/>
        <v>no</v>
      </c>
      <c r="J1146" s="10" t="str">
        <f t="shared" si="296"/>
        <v>no</v>
      </c>
      <c r="K1146" s="10" t="str">
        <f t="shared" si="297"/>
        <v>no</v>
      </c>
      <c r="L1146" t="s">
        <v>430</v>
      </c>
      <c r="M1146">
        <v>10684</v>
      </c>
      <c r="N1146">
        <v>40</v>
      </c>
      <c r="O1146" t="s">
        <v>720</v>
      </c>
      <c r="P1146" t="str">
        <f t="shared" si="298"/>
        <v>OTTIK_10684_Boston Crab Meat</v>
      </c>
      <c r="Q1146" t="str">
        <f t="shared" si="299"/>
        <v>10684</v>
      </c>
      <c r="R1146" t="str">
        <f t="shared" si="300"/>
        <v>10684</v>
      </c>
      <c r="S1146" t="str">
        <f t="shared" si="301"/>
        <v>Boston Crab Meat</v>
      </c>
      <c r="T1146">
        <v>18.399999999999999</v>
      </c>
      <c r="U1146">
        <v>20</v>
      </c>
      <c r="V1146">
        <v>0</v>
      </c>
      <c r="W1146">
        <f t="shared" si="302"/>
        <v>368</v>
      </c>
      <c r="X1146" t="str">
        <f t="shared" si="303"/>
        <v>No</v>
      </c>
      <c r="Y1146" s="2">
        <v>34999</v>
      </c>
      <c r="Z1146" t="str">
        <f t="shared" si="289"/>
        <v/>
      </c>
      <c r="AA1146" t="str">
        <f t="shared" si="304"/>
        <v/>
      </c>
      <c r="AB1146" t="str" cm="1">
        <f t="array" ref="AB1146">_xlfn.IFS(Y1146&lt;DATE(1996,1,1),"",Y1146&lt;DATE(1996,4,1),"Q1",Y1146&lt;DATE(1996,7,1),"Q2",Y1146&gt;=DATE(1996,7,1),"")</f>
        <v/>
      </c>
    </row>
    <row r="1147" spans="1:28" ht="14.4" x14ac:dyDescent="0.55000000000000004">
      <c r="A1147" t="str">
        <f>VLOOKUP(L1147,Customers!$A$2:$B$92,2,FALSE)</f>
        <v>Ottilies Käseladen</v>
      </c>
      <c r="B1147" t="str">
        <f>VLOOKUP(L1147,Customers!$A$2:$C$92,3,TRUE)</f>
        <v>Henriette Pfalzheim</v>
      </c>
      <c r="C1147" t="str">
        <f t="shared" si="290"/>
        <v>Henriette</v>
      </c>
      <c r="D1147" s="8" t="str">
        <f t="shared" si="291"/>
        <v>Pfalzheim</v>
      </c>
      <c r="E1147" s="8" t="str">
        <f t="shared" si="292"/>
        <v>Pfalzheim, Henriette</v>
      </c>
      <c r="F1147" s="8" t="str">
        <f t="shared" si="293"/>
        <v>Pfalzheim, Henriette</v>
      </c>
      <c r="G1147" s="8" t="str">
        <f t="shared" si="294"/>
        <v>not an outlier</v>
      </c>
      <c r="H1147" s="8" t="str">
        <f t="shared" si="295"/>
        <v>Not</v>
      </c>
      <c r="I1147" s="8" t="str">
        <f t="shared" si="305"/>
        <v>no</v>
      </c>
      <c r="J1147" s="10" t="str">
        <f t="shared" si="296"/>
        <v>no</v>
      </c>
      <c r="K1147" s="10" t="str">
        <f t="shared" si="297"/>
        <v>no</v>
      </c>
      <c r="L1147" t="s">
        <v>430</v>
      </c>
      <c r="M1147">
        <v>10684</v>
      </c>
      <c r="N1147">
        <v>47</v>
      </c>
      <c r="O1147" t="s">
        <v>752</v>
      </c>
      <c r="P1147" t="str">
        <f t="shared" si="298"/>
        <v>OTTIK_10684_Zaanse koeken</v>
      </c>
      <c r="Q1147" t="str">
        <f t="shared" si="299"/>
        <v>10684</v>
      </c>
      <c r="R1147" t="str">
        <f t="shared" si="300"/>
        <v>10684</v>
      </c>
      <c r="S1147" t="str">
        <f t="shared" si="301"/>
        <v>Zaanse koeken</v>
      </c>
      <c r="T1147">
        <v>9.5</v>
      </c>
      <c r="U1147">
        <v>40</v>
      </c>
      <c r="V1147">
        <v>0</v>
      </c>
      <c r="W1147">
        <f t="shared" si="302"/>
        <v>380</v>
      </c>
      <c r="X1147" t="str">
        <f t="shared" si="303"/>
        <v>No</v>
      </c>
      <c r="Y1147" s="2">
        <v>34999</v>
      </c>
      <c r="Z1147" t="str">
        <f t="shared" si="289"/>
        <v/>
      </c>
      <c r="AA1147" t="str">
        <f t="shared" si="304"/>
        <v/>
      </c>
      <c r="AB1147" t="str" cm="1">
        <f t="array" ref="AB1147">_xlfn.IFS(Y1147&lt;DATE(1996,1,1),"",Y1147&lt;DATE(1996,4,1),"Q1",Y1147&lt;DATE(1996,7,1),"Q2",Y1147&gt;=DATE(1996,7,1),"")</f>
        <v/>
      </c>
    </row>
    <row r="1148" spans="1:28" ht="14.4" x14ac:dyDescent="0.55000000000000004">
      <c r="A1148" t="str">
        <f>VLOOKUP(L1148,Customers!$A$2:$B$92,2,FALSE)</f>
        <v>Ottilies Käseladen</v>
      </c>
      <c r="B1148" t="str">
        <f>VLOOKUP(L1148,Customers!$A$2:$C$92,3,TRUE)</f>
        <v>Henriette Pfalzheim</v>
      </c>
      <c r="C1148" t="str">
        <f t="shared" si="290"/>
        <v>Henriette</v>
      </c>
      <c r="D1148" s="8" t="str">
        <f t="shared" si="291"/>
        <v>Pfalzheim</v>
      </c>
      <c r="E1148" s="8" t="str">
        <f t="shared" si="292"/>
        <v>Pfalzheim, Henriette</v>
      </c>
      <c r="F1148" s="8" t="str">
        <f t="shared" si="293"/>
        <v>Pfalzheim, Henriette</v>
      </c>
      <c r="G1148" s="8" t="str">
        <f t="shared" si="294"/>
        <v>not an outlier</v>
      </c>
      <c r="H1148" s="8" t="str">
        <f t="shared" si="295"/>
        <v>Not</v>
      </c>
      <c r="I1148" s="8" t="str">
        <f t="shared" si="305"/>
        <v>no</v>
      </c>
      <c r="J1148" s="10" t="str">
        <f t="shared" si="296"/>
        <v>no</v>
      </c>
      <c r="K1148" s="10" t="str">
        <f t="shared" si="297"/>
        <v>no</v>
      </c>
      <c r="L1148" t="s">
        <v>430</v>
      </c>
      <c r="M1148">
        <v>10684</v>
      </c>
      <c r="N1148">
        <v>60</v>
      </c>
      <c r="O1148" t="s">
        <v>694</v>
      </c>
      <c r="P1148" t="str">
        <f t="shared" si="298"/>
        <v>OTTIK_10684_Camembert Pierrot</v>
      </c>
      <c r="Q1148" t="str">
        <f t="shared" si="299"/>
        <v>10684</v>
      </c>
      <c r="R1148" t="str">
        <f t="shared" si="300"/>
        <v>10684</v>
      </c>
      <c r="S1148" t="str">
        <f t="shared" si="301"/>
        <v>Camembert Pierrot</v>
      </c>
      <c r="T1148">
        <v>34</v>
      </c>
      <c r="U1148">
        <v>30</v>
      </c>
      <c r="V1148">
        <v>0</v>
      </c>
      <c r="W1148">
        <f t="shared" si="302"/>
        <v>1020</v>
      </c>
      <c r="X1148" t="str">
        <f t="shared" si="303"/>
        <v>No</v>
      </c>
      <c r="Y1148" s="2">
        <v>34999</v>
      </c>
      <c r="Z1148" t="str">
        <f t="shared" si="289"/>
        <v/>
      </c>
      <c r="AA1148" t="str">
        <f t="shared" si="304"/>
        <v/>
      </c>
      <c r="AB1148" t="str" cm="1">
        <f t="array" ref="AB1148">_xlfn.IFS(Y1148&lt;DATE(1996,1,1),"",Y1148&lt;DATE(1996,4,1),"Q1",Y1148&lt;DATE(1996,7,1),"Q2",Y1148&gt;=DATE(1996,7,1),"")</f>
        <v/>
      </c>
    </row>
    <row r="1149" spans="1:28" ht="14.4" x14ac:dyDescent="0.55000000000000004">
      <c r="A1149" t="str">
        <f>VLOOKUP(L1149,Customers!$A$2:$B$92,2,FALSE)</f>
        <v>Gourmet Lanchonetes</v>
      </c>
      <c r="B1149" t="str">
        <f>VLOOKUP(L1149,Customers!$A$2:$C$92,3,TRUE)</f>
        <v>André Fonseca</v>
      </c>
      <c r="C1149" t="str">
        <f t="shared" si="290"/>
        <v>André</v>
      </c>
      <c r="D1149" s="8" t="str">
        <f t="shared" si="291"/>
        <v>Fonseca</v>
      </c>
      <c r="E1149" s="8" t="str">
        <f t="shared" si="292"/>
        <v>Fonseca, André</v>
      </c>
      <c r="F1149" s="8" t="str">
        <f t="shared" si="293"/>
        <v>Fonseca, André</v>
      </c>
      <c r="G1149" s="8" t="str">
        <f t="shared" si="294"/>
        <v>not an outlier</v>
      </c>
      <c r="H1149" s="8" t="str">
        <f t="shared" si="295"/>
        <v>Not</v>
      </c>
      <c r="I1149" s="8" t="str">
        <f t="shared" si="305"/>
        <v>no</v>
      </c>
      <c r="J1149" s="10" t="str">
        <f t="shared" si="296"/>
        <v>no</v>
      </c>
      <c r="K1149" s="10" t="str">
        <f t="shared" si="297"/>
        <v>no</v>
      </c>
      <c r="L1149" t="s">
        <v>240</v>
      </c>
      <c r="M1149">
        <v>10685</v>
      </c>
      <c r="N1149">
        <v>10</v>
      </c>
      <c r="O1149" t="s">
        <v>724</v>
      </c>
      <c r="P1149" t="str">
        <f t="shared" si="298"/>
        <v>GOURL_10685_Ikura</v>
      </c>
      <c r="Q1149" t="str">
        <f t="shared" si="299"/>
        <v>10685</v>
      </c>
      <c r="R1149" t="str">
        <f t="shared" si="300"/>
        <v>10685</v>
      </c>
      <c r="S1149" t="str">
        <f t="shared" si="301"/>
        <v>Ikura</v>
      </c>
      <c r="T1149">
        <v>31</v>
      </c>
      <c r="U1149">
        <v>20</v>
      </c>
      <c r="V1149">
        <v>0</v>
      </c>
      <c r="W1149">
        <f t="shared" si="302"/>
        <v>620</v>
      </c>
      <c r="X1149" t="str">
        <f t="shared" si="303"/>
        <v>No</v>
      </c>
      <c r="Y1149" s="2">
        <v>35002</v>
      </c>
      <c r="Z1149" t="str">
        <f t="shared" si="289"/>
        <v/>
      </c>
      <c r="AA1149" t="str">
        <f t="shared" si="304"/>
        <v/>
      </c>
      <c r="AB1149" t="str" cm="1">
        <f t="array" ref="AB1149">_xlfn.IFS(Y1149&lt;DATE(1996,1,1),"",Y1149&lt;DATE(1996,4,1),"Q1",Y1149&lt;DATE(1996,7,1),"Q2",Y1149&gt;=DATE(1996,7,1),"")</f>
        <v/>
      </c>
    </row>
    <row r="1150" spans="1:28" ht="14.4" x14ac:dyDescent="0.55000000000000004">
      <c r="A1150" t="str">
        <f>VLOOKUP(L1150,Customers!$A$2:$B$92,2,FALSE)</f>
        <v>Gourmet Lanchonetes</v>
      </c>
      <c r="B1150" t="str">
        <f>VLOOKUP(L1150,Customers!$A$2:$C$92,3,TRUE)</f>
        <v>André Fonseca</v>
      </c>
      <c r="C1150" t="str">
        <f t="shared" si="290"/>
        <v>André</v>
      </c>
      <c r="D1150" s="8" t="str">
        <f t="shared" si="291"/>
        <v>Fonseca</v>
      </c>
      <c r="E1150" s="8" t="str">
        <f t="shared" si="292"/>
        <v>Fonseca, André</v>
      </c>
      <c r="F1150" s="8" t="str">
        <f t="shared" si="293"/>
        <v>Fonseca, André</v>
      </c>
      <c r="G1150" s="8" t="str">
        <f t="shared" si="294"/>
        <v>not an outlier</v>
      </c>
      <c r="H1150" s="8" t="str">
        <f t="shared" si="295"/>
        <v>Not</v>
      </c>
      <c r="I1150" s="8" t="str">
        <f t="shared" si="305"/>
        <v>no</v>
      </c>
      <c r="J1150" s="10" t="str">
        <f t="shared" si="296"/>
        <v>no</v>
      </c>
      <c r="K1150" s="10" t="str">
        <f t="shared" si="297"/>
        <v>no</v>
      </c>
      <c r="L1150" t="s">
        <v>240</v>
      </c>
      <c r="M1150">
        <v>10685</v>
      </c>
      <c r="N1150">
        <v>41</v>
      </c>
      <c r="O1150" t="s">
        <v>688</v>
      </c>
      <c r="P1150" t="str">
        <f t="shared" si="298"/>
        <v>GOURL_10685_Jack's New England Clam Chowder</v>
      </c>
      <c r="Q1150" t="str">
        <f t="shared" si="299"/>
        <v>10685</v>
      </c>
      <c r="R1150" t="str">
        <f t="shared" si="300"/>
        <v>10685</v>
      </c>
      <c r="S1150" t="str">
        <f t="shared" si="301"/>
        <v>Jack's New England Clam Chowder</v>
      </c>
      <c r="T1150">
        <v>9.65</v>
      </c>
      <c r="U1150">
        <v>4</v>
      </c>
      <c r="V1150">
        <v>0</v>
      </c>
      <c r="W1150">
        <f t="shared" si="302"/>
        <v>38.6</v>
      </c>
      <c r="X1150" t="str">
        <f t="shared" si="303"/>
        <v>No</v>
      </c>
      <c r="Y1150" s="2">
        <v>35002</v>
      </c>
      <c r="Z1150" t="str">
        <f t="shared" si="289"/>
        <v/>
      </c>
      <c r="AA1150" t="str">
        <f t="shared" si="304"/>
        <v/>
      </c>
      <c r="AB1150" t="str" cm="1">
        <f t="array" ref="AB1150">_xlfn.IFS(Y1150&lt;DATE(1996,1,1),"",Y1150&lt;DATE(1996,4,1),"Q1",Y1150&lt;DATE(1996,7,1),"Q2",Y1150&gt;=DATE(1996,7,1),"")</f>
        <v/>
      </c>
    </row>
    <row r="1151" spans="1:28" ht="14.4" x14ac:dyDescent="0.55000000000000004">
      <c r="A1151" t="str">
        <f>VLOOKUP(L1151,Customers!$A$2:$B$92,2,FALSE)</f>
        <v>Gourmet Lanchonetes</v>
      </c>
      <c r="B1151" t="str">
        <f>VLOOKUP(L1151,Customers!$A$2:$C$92,3,TRUE)</f>
        <v>André Fonseca</v>
      </c>
      <c r="C1151" t="str">
        <f t="shared" si="290"/>
        <v>André</v>
      </c>
      <c r="D1151" s="8" t="str">
        <f t="shared" si="291"/>
        <v>Fonseca</v>
      </c>
      <c r="E1151" s="8" t="str">
        <f t="shared" si="292"/>
        <v>Fonseca, André</v>
      </c>
      <c r="F1151" s="8" t="str">
        <f t="shared" si="293"/>
        <v>Fonseca, André</v>
      </c>
      <c r="G1151" s="8" t="str">
        <f t="shared" si="294"/>
        <v>not an outlier</v>
      </c>
      <c r="H1151" s="8" t="str">
        <f t="shared" si="295"/>
        <v>Not</v>
      </c>
      <c r="I1151" s="8" t="str">
        <f t="shared" si="305"/>
        <v>no</v>
      </c>
      <c r="J1151" s="10" t="str">
        <f t="shared" si="296"/>
        <v>no</v>
      </c>
      <c r="K1151" s="10" t="str">
        <f t="shared" si="297"/>
        <v>no</v>
      </c>
      <c r="L1151" t="s">
        <v>240</v>
      </c>
      <c r="M1151">
        <v>10685</v>
      </c>
      <c r="N1151">
        <v>47</v>
      </c>
      <c r="O1151" t="s">
        <v>752</v>
      </c>
      <c r="P1151" t="str">
        <f t="shared" si="298"/>
        <v>GOURL_10685_Zaanse koeken</v>
      </c>
      <c r="Q1151" t="str">
        <f t="shared" si="299"/>
        <v>10685</v>
      </c>
      <c r="R1151" t="str">
        <f t="shared" si="300"/>
        <v>10685</v>
      </c>
      <c r="S1151" t="str">
        <f t="shared" si="301"/>
        <v>Zaanse koeken</v>
      </c>
      <c r="T1151">
        <v>9.5</v>
      </c>
      <c r="U1151">
        <v>15</v>
      </c>
      <c r="V1151">
        <v>0</v>
      </c>
      <c r="W1151">
        <f t="shared" si="302"/>
        <v>142.5</v>
      </c>
      <c r="X1151" t="str">
        <f t="shared" si="303"/>
        <v>No</v>
      </c>
      <c r="Y1151" s="2">
        <v>35002</v>
      </c>
      <c r="Z1151" t="str">
        <f t="shared" si="289"/>
        <v/>
      </c>
      <c r="AA1151" t="str">
        <f t="shared" si="304"/>
        <v/>
      </c>
      <c r="AB1151" t="str" cm="1">
        <f t="array" ref="AB1151">_xlfn.IFS(Y1151&lt;DATE(1996,1,1),"",Y1151&lt;DATE(1996,4,1),"Q1",Y1151&lt;DATE(1996,7,1),"Q2",Y1151&gt;=DATE(1996,7,1),"")</f>
        <v/>
      </c>
    </row>
    <row r="1152" spans="1:28" ht="14.4" x14ac:dyDescent="0.55000000000000004">
      <c r="A1152" t="str">
        <f>VLOOKUP(L1152,Customers!$A$2:$B$92,2,FALSE)</f>
        <v>Piccolo und mehr</v>
      </c>
      <c r="B1152" t="str">
        <f>VLOOKUP(L1152,Customers!$A$2:$C$92,3,TRUE)</f>
        <v>Georg Pipps</v>
      </c>
      <c r="C1152" t="str">
        <f t="shared" si="290"/>
        <v>Georg</v>
      </c>
      <c r="D1152" s="8" t="str">
        <f t="shared" si="291"/>
        <v>Pipps</v>
      </c>
      <c r="E1152" s="8" t="str">
        <f t="shared" si="292"/>
        <v>Pipps, Georg</v>
      </c>
      <c r="F1152" s="8" t="str">
        <f t="shared" si="293"/>
        <v>Pipps, Georg</v>
      </c>
      <c r="G1152" s="8" t="str">
        <f t="shared" si="294"/>
        <v>not an outlier</v>
      </c>
      <c r="H1152" s="8" t="str">
        <f t="shared" si="295"/>
        <v>Not</v>
      </c>
      <c r="I1152" s="8" t="str">
        <f t="shared" si="305"/>
        <v>no</v>
      </c>
      <c r="J1152" s="10" t="str">
        <f t="shared" si="296"/>
        <v>no</v>
      </c>
      <c r="K1152" s="10" t="str">
        <f t="shared" si="297"/>
        <v>no</v>
      </c>
      <c r="L1152" t="s">
        <v>450</v>
      </c>
      <c r="M1152">
        <v>10686</v>
      </c>
      <c r="N1152">
        <v>17</v>
      </c>
      <c r="O1152" t="s">
        <v>718</v>
      </c>
      <c r="P1152" t="str">
        <f t="shared" si="298"/>
        <v>PICCO_10686_Alice Mutton</v>
      </c>
      <c r="Q1152" t="str">
        <f t="shared" si="299"/>
        <v>10686</v>
      </c>
      <c r="R1152" t="str">
        <f t="shared" si="300"/>
        <v>10686</v>
      </c>
      <c r="S1152" t="str">
        <f t="shared" si="301"/>
        <v>Alice Mutton</v>
      </c>
      <c r="T1152">
        <v>39</v>
      </c>
      <c r="U1152">
        <v>30</v>
      </c>
      <c r="V1152">
        <v>0.2</v>
      </c>
      <c r="W1152">
        <f t="shared" si="302"/>
        <v>936</v>
      </c>
      <c r="X1152" t="str">
        <f t="shared" si="303"/>
        <v>No</v>
      </c>
      <c r="Y1152" s="2">
        <v>35003</v>
      </c>
      <c r="Z1152" t="str">
        <f t="shared" si="289"/>
        <v/>
      </c>
      <c r="AA1152" t="str">
        <f t="shared" si="304"/>
        <v/>
      </c>
      <c r="AB1152" t="str" cm="1">
        <f t="array" ref="AB1152">_xlfn.IFS(Y1152&lt;DATE(1996,1,1),"",Y1152&lt;DATE(1996,4,1),"Q1",Y1152&lt;DATE(1996,7,1),"Q2",Y1152&gt;=DATE(1996,7,1),"")</f>
        <v/>
      </c>
    </row>
    <row r="1153" spans="1:28" ht="14.4" x14ac:dyDescent="0.55000000000000004">
      <c r="A1153" t="str">
        <f>VLOOKUP(L1153,Customers!$A$2:$B$92,2,FALSE)</f>
        <v>Piccolo und mehr</v>
      </c>
      <c r="B1153" t="str">
        <f>VLOOKUP(L1153,Customers!$A$2:$C$92,3,TRUE)</f>
        <v>Georg Pipps</v>
      </c>
      <c r="C1153" t="str">
        <f t="shared" si="290"/>
        <v>Georg</v>
      </c>
      <c r="D1153" s="8" t="str">
        <f t="shared" si="291"/>
        <v>Pipps</v>
      </c>
      <c r="E1153" s="8" t="str">
        <f t="shared" si="292"/>
        <v>Pipps, Georg</v>
      </c>
      <c r="F1153" s="8" t="str">
        <f t="shared" si="293"/>
        <v>Pipps, Georg</v>
      </c>
      <c r="G1153" s="8" t="str">
        <f t="shared" si="294"/>
        <v>not an outlier</v>
      </c>
      <c r="H1153" s="8" t="str">
        <f t="shared" si="295"/>
        <v>Not</v>
      </c>
      <c r="I1153" s="8" t="str">
        <f t="shared" si="305"/>
        <v>no</v>
      </c>
      <c r="J1153" s="10" t="str">
        <f t="shared" si="296"/>
        <v>no</v>
      </c>
      <c r="K1153" s="10" t="str">
        <f t="shared" si="297"/>
        <v>no</v>
      </c>
      <c r="L1153" t="s">
        <v>450</v>
      </c>
      <c r="M1153">
        <v>10686</v>
      </c>
      <c r="N1153">
        <v>26</v>
      </c>
      <c r="O1153" t="s">
        <v>751</v>
      </c>
      <c r="P1153" t="str">
        <f t="shared" si="298"/>
        <v>PICCO_10686_Gumbär Gummibärchen</v>
      </c>
      <c r="Q1153" t="str">
        <f t="shared" si="299"/>
        <v>10686</v>
      </c>
      <c r="R1153" t="str">
        <f t="shared" si="300"/>
        <v>10686</v>
      </c>
      <c r="S1153" t="str">
        <f t="shared" si="301"/>
        <v>Gumbär Gummibärchen</v>
      </c>
      <c r="T1153">
        <v>31.23</v>
      </c>
      <c r="U1153">
        <v>15</v>
      </c>
      <c r="V1153">
        <v>0</v>
      </c>
      <c r="W1153">
        <f t="shared" si="302"/>
        <v>468.45</v>
      </c>
      <c r="X1153" t="str">
        <f t="shared" si="303"/>
        <v>No</v>
      </c>
      <c r="Y1153" s="2">
        <v>35003</v>
      </c>
      <c r="Z1153" t="str">
        <f t="shared" ref="Z1153:Z1216" si="306">IF(Y1153&gt;=DATE(1996,1,1), IF(Y1153&lt;DATE(1996,4,1),"1st Q 1996",""),"")</f>
        <v/>
      </c>
      <c r="AA1153" t="str">
        <f t="shared" si="304"/>
        <v/>
      </c>
      <c r="AB1153" t="str" cm="1">
        <f t="array" ref="AB1153">_xlfn.IFS(Y1153&lt;DATE(1996,1,1),"",Y1153&lt;DATE(1996,4,1),"Q1",Y1153&lt;DATE(1996,7,1),"Q2",Y1153&gt;=DATE(1996,7,1),"")</f>
        <v/>
      </c>
    </row>
    <row r="1154" spans="1:28" ht="14.4" x14ac:dyDescent="0.55000000000000004">
      <c r="A1154" t="str">
        <f>VLOOKUP(L1154,Customers!$A$2:$B$92,2,FALSE)</f>
        <v>Hungry Owl All-Night Grocers</v>
      </c>
      <c r="B1154" t="str">
        <f>VLOOKUP(L1154,Customers!$A$2:$C$92,3,TRUE)</f>
        <v>Patricia McKenna</v>
      </c>
      <c r="C1154" t="str">
        <f t="shared" si="290"/>
        <v>Patricia</v>
      </c>
      <c r="D1154" s="8" t="str">
        <f t="shared" si="291"/>
        <v>McKenna</v>
      </c>
      <c r="E1154" s="8" t="str">
        <f t="shared" si="292"/>
        <v>McKenna, Patricia</v>
      </c>
      <c r="F1154" s="8" t="str">
        <f t="shared" si="293"/>
        <v>McKenna, Patricia</v>
      </c>
      <c r="G1154" s="8" t="str">
        <f t="shared" si="294"/>
        <v>outlier</v>
      </c>
      <c r="H1154" s="8" t="str">
        <f t="shared" si="295"/>
        <v>outlier</v>
      </c>
      <c r="I1154" s="8" t="str">
        <f t="shared" si="305"/>
        <v>yes</v>
      </c>
      <c r="J1154" s="10" t="str">
        <f t="shared" si="296"/>
        <v>yes</v>
      </c>
      <c r="K1154" s="10" t="str">
        <f t="shared" si="297"/>
        <v>yes</v>
      </c>
      <c r="L1154" t="s">
        <v>288</v>
      </c>
      <c r="M1154">
        <v>10687</v>
      </c>
      <c r="N1154">
        <v>9</v>
      </c>
      <c r="O1154" t="s">
        <v>759</v>
      </c>
      <c r="P1154" t="str">
        <f t="shared" si="298"/>
        <v>HUNGO_10687_Mishi Kobe Niku</v>
      </c>
      <c r="Q1154" t="str">
        <f t="shared" si="299"/>
        <v>10687</v>
      </c>
      <c r="R1154" t="str">
        <f t="shared" si="300"/>
        <v>10687</v>
      </c>
      <c r="S1154" t="str">
        <f t="shared" si="301"/>
        <v>Mishi Kobe Niku</v>
      </c>
      <c r="T1154">
        <v>97</v>
      </c>
      <c r="U1154">
        <v>50</v>
      </c>
      <c r="V1154">
        <v>0.25</v>
      </c>
      <c r="W1154">
        <f t="shared" si="302"/>
        <v>3637.5</v>
      </c>
      <c r="X1154" t="str">
        <f t="shared" si="303"/>
        <v>No</v>
      </c>
      <c r="Y1154" s="2">
        <v>35003</v>
      </c>
      <c r="Z1154" t="str">
        <f t="shared" si="306"/>
        <v/>
      </c>
      <c r="AA1154" t="str">
        <f t="shared" si="304"/>
        <v/>
      </c>
      <c r="AB1154" t="str" cm="1">
        <f t="array" ref="AB1154">_xlfn.IFS(Y1154&lt;DATE(1996,1,1),"",Y1154&lt;DATE(1996,4,1),"Q1",Y1154&lt;DATE(1996,7,1),"Q2",Y1154&gt;=DATE(1996,7,1),"")</f>
        <v/>
      </c>
    </row>
    <row r="1155" spans="1:28" ht="14.4" x14ac:dyDescent="0.55000000000000004">
      <c r="A1155" t="str">
        <f>VLOOKUP(L1155,Customers!$A$2:$B$92,2,FALSE)</f>
        <v>Hungry Owl All-Night Grocers</v>
      </c>
      <c r="B1155" t="str">
        <f>VLOOKUP(L1155,Customers!$A$2:$C$92,3,TRUE)</f>
        <v>Patricia McKenna</v>
      </c>
      <c r="C1155" t="str">
        <f t="shared" ref="C1155:C1218" si="307">LEFT(B1155,FIND(" ",B1155)-1)</f>
        <v>Patricia</v>
      </c>
      <c r="D1155" s="8" t="str">
        <f t="shared" ref="D1155:D1218" si="308">RIGHT(B1155,LEN(B1155)-FIND(" ",B1155))</f>
        <v>McKenna</v>
      </c>
      <c r="E1155" s="8" t="str">
        <f t="shared" ref="E1155:E1218" si="309">_xlfn.CONCAT(D1155,", ",C1155)</f>
        <v>McKenna, Patricia</v>
      </c>
      <c r="F1155" s="8" t="str">
        <f t="shared" ref="F1155:F1218" si="310">D1155&amp;", "&amp;C1155</f>
        <v>McKenna, Patricia</v>
      </c>
      <c r="G1155" s="8" t="str">
        <f t="shared" ref="G1155:G1218" si="311">IF(OR(W1155&gt;$W$2166,W1155&lt;$W$2167),"outlier","not an outlier")</f>
        <v>not an outlier</v>
      </c>
      <c r="H1155" s="8" t="str">
        <f t="shared" ref="H1155:H1218" si="312">IF(OR(W1155&gt;$W$2166,W1155&lt;$W$2167),"outlier",IF(OR(W1155&gt;$W$2168,W1155&lt;$W$2169),"moderate","Not"))</f>
        <v>Not</v>
      </c>
      <c r="I1155" s="8" t="str">
        <f t="shared" si="305"/>
        <v>no</v>
      </c>
      <c r="J1155" s="10" t="str">
        <f t="shared" ref="J1155:J1218" si="313">IF(AND(W1155&lt;=$W$2166,W1155&gt;=$W$2167),"no","yes")</f>
        <v>no</v>
      </c>
      <c r="K1155" s="10" t="str">
        <f t="shared" ref="K1155:K1218" si="314">IF(OR(W1155&gt;$W$2166,W1155&lt;$W$2167),"yes",IF(OR(W1155&gt;$W$2168,W1155&lt;$W$2169),"moderate","no"))</f>
        <v>no</v>
      </c>
      <c r="L1155" t="s">
        <v>288</v>
      </c>
      <c r="M1155">
        <v>10687</v>
      </c>
      <c r="N1155">
        <v>29</v>
      </c>
      <c r="O1155" t="s">
        <v>722</v>
      </c>
      <c r="P1155" t="str">
        <f t="shared" ref="P1155:P1218" si="315">L1155&amp;"_"&amp;M1155&amp;"_"&amp;O1155</f>
        <v>HUNGO_10687_Thüringer Rostbratwurst</v>
      </c>
      <c r="Q1155" t="str">
        <f t="shared" ref="Q1155:Q1218" si="316">LEFT(RIGHT(P1155,LEN(P1155)-FIND("_",P1155)), FIND("_",P1155)-1)</f>
        <v>10687</v>
      </c>
      <c r="R1155" t="str">
        <f t="shared" ref="R1155:R1218" si="317">MID(P1155,FIND("_",P1155)+1,FIND("_",P1155,FIND("_",P1155))-1)</f>
        <v>10687</v>
      </c>
      <c r="S1155" t="str">
        <f t="shared" ref="S1155:S1218" si="318">MID(P1155,FIND("_",P1155,FIND("_",P1155)+1)+1,LEN(P1155))</f>
        <v>Thüringer Rostbratwurst</v>
      </c>
      <c r="T1155">
        <v>123.79</v>
      </c>
      <c r="U1155">
        <v>10</v>
      </c>
      <c r="V1155">
        <v>0</v>
      </c>
      <c r="W1155">
        <f t="shared" ref="W1155:W1218" si="319">T1155*U1155*(1-V1155)</f>
        <v>1237.9000000000001</v>
      </c>
      <c r="X1155" t="str">
        <f t="shared" ref="X1155:X1218" si="320">IF(YEAR(Y1155)&gt;=1996,"yes","No")</f>
        <v>No</v>
      </c>
      <c r="Y1155" s="2">
        <v>35003</v>
      </c>
      <c r="Z1155" t="str">
        <f t="shared" si="306"/>
        <v/>
      </c>
      <c r="AA1155" t="str">
        <f t="shared" ref="AA1155:AA1218" si="321">IF(Y1155&lt;DATE(1996,1,1),"", IF(Y1155&lt;DATE(1996,4,1),"1st Q 1996",IF(Y1155&lt;DATE(1996,7,1),"2nd Q 1996","")))</f>
        <v/>
      </c>
      <c r="AB1155" t="str" cm="1">
        <f t="array" ref="AB1155">_xlfn.IFS(Y1155&lt;DATE(1996,1,1),"",Y1155&lt;DATE(1996,4,1),"Q1",Y1155&lt;DATE(1996,7,1),"Q2",Y1155&gt;=DATE(1996,7,1),"")</f>
        <v/>
      </c>
    </row>
    <row r="1156" spans="1:28" ht="14.4" x14ac:dyDescent="0.55000000000000004">
      <c r="A1156" t="str">
        <f>VLOOKUP(L1156,Customers!$A$2:$B$92,2,FALSE)</f>
        <v>Hungry Owl All-Night Grocers</v>
      </c>
      <c r="B1156" t="str">
        <f>VLOOKUP(L1156,Customers!$A$2:$C$92,3,TRUE)</f>
        <v>Patricia McKenna</v>
      </c>
      <c r="C1156" t="str">
        <f t="shared" si="307"/>
        <v>Patricia</v>
      </c>
      <c r="D1156" s="8" t="str">
        <f t="shared" si="308"/>
        <v>McKenna</v>
      </c>
      <c r="E1156" s="8" t="str">
        <f t="shared" si="309"/>
        <v>McKenna, Patricia</v>
      </c>
      <c r="F1156" s="8" t="str">
        <f t="shared" si="310"/>
        <v>McKenna, Patricia</v>
      </c>
      <c r="G1156" s="8" t="str">
        <f t="shared" si="311"/>
        <v>not an outlier</v>
      </c>
      <c r="H1156" s="8" t="str">
        <f t="shared" si="312"/>
        <v>Not</v>
      </c>
      <c r="I1156" s="8" t="str">
        <f t="shared" ref="I1156:I1219" si="322">IF(OR(W1156&gt;$W$2166,W1156&lt;$W$2167),"yes","no")</f>
        <v>no</v>
      </c>
      <c r="J1156" s="10" t="str">
        <f t="shared" si="313"/>
        <v>no</v>
      </c>
      <c r="K1156" s="10" t="str">
        <f t="shared" si="314"/>
        <v>no</v>
      </c>
      <c r="L1156" t="s">
        <v>288</v>
      </c>
      <c r="M1156">
        <v>10687</v>
      </c>
      <c r="N1156">
        <v>36</v>
      </c>
      <c r="O1156" t="s">
        <v>703</v>
      </c>
      <c r="P1156" t="str">
        <f t="shared" si="315"/>
        <v>HUNGO_10687_Inlagd Sill</v>
      </c>
      <c r="Q1156" t="str">
        <f t="shared" si="316"/>
        <v>10687</v>
      </c>
      <c r="R1156" t="str">
        <f t="shared" si="317"/>
        <v>10687</v>
      </c>
      <c r="S1156" t="str">
        <f t="shared" si="318"/>
        <v>Inlagd Sill</v>
      </c>
      <c r="T1156">
        <v>19</v>
      </c>
      <c r="U1156">
        <v>6</v>
      </c>
      <c r="V1156">
        <v>0.25</v>
      </c>
      <c r="W1156">
        <f t="shared" si="319"/>
        <v>85.5</v>
      </c>
      <c r="X1156" t="str">
        <f t="shared" si="320"/>
        <v>No</v>
      </c>
      <c r="Y1156" s="2">
        <v>35003</v>
      </c>
      <c r="Z1156" t="str">
        <f t="shared" si="306"/>
        <v/>
      </c>
      <c r="AA1156" t="str">
        <f t="shared" si="321"/>
        <v/>
      </c>
      <c r="AB1156" t="str" cm="1">
        <f t="array" ref="AB1156">_xlfn.IFS(Y1156&lt;DATE(1996,1,1),"",Y1156&lt;DATE(1996,4,1),"Q1",Y1156&lt;DATE(1996,7,1),"Q2",Y1156&gt;=DATE(1996,7,1),"")</f>
        <v/>
      </c>
    </row>
    <row r="1157" spans="1:28" ht="14.4" x14ac:dyDescent="0.55000000000000004">
      <c r="A1157" t="str">
        <f>VLOOKUP(L1157,Customers!$A$2:$B$92,2,FALSE)</f>
        <v>Vaffeljernet</v>
      </c>
      <c r="B1157" t="str">
        <f>VLOOKUP(L1157,Customers!$A$2:$C$92,3,TRUE)</f>
        <v>Palle Ibsen</v>
      </c>
      <c r="C1157" t="str">
        <f t="shared" si="307"/>
        <v>Palle</v>
      </c>
      <c r="D1157" s="8" t="str">
        <f t="shared" si="308"/>
        <v>Ibsen</v>
      </c>
      <c r="E1157" s="8" t="str">
        <f t="shared" si="309"/>
        <v>Ibsen, Palle</v>
      </c>
      <c r="F1157" s="8" t="str">
        <f t="shared" si="310"/>
        <v>Ibsen, Palle</v>
      </c>
      <c r="G1157" s="8" t="str">
        <f t="shared" si="311"/>
        <v>not an outlier</v>
      </c>
      <c r="H1157" s="8" t="str">
        <f t="shared" si="312"/>
        <v>Not</v>
      </c>
      <c r="I1157" s="8" t="str">
        <f t="shared" si="322"/>
        <v>no</v>
      </c>
      <c r="J1157" s="10" t="str">
        <f t="shared" si="313"/>
        <v>no</v>
      </c>
      <c r="K1157" s="10" t="str">
        <f t="shared" si="314"/>
        <v>no</v>
      </c>
      <c r="L1157" t="s">
        <v>612</v>
      </c>
      <c r="M1157">
        <v>10688</v>
      </c>
      <c r="N1157">
        <v>10</v>
      </c>
      <c r="O1157" t="s">
        <v>724</v>
      </c>
      <c r="P1157" t="str">
        <f t="shared" si="315"/>
        <v>VAFFE_10688_Ikura</v>
      </c>
      <c r="Q1157" t="str">
        <f t="shared" si="316"/>
        <v>10688</v>
      </c>
      <c r="R1157" t="str">
        <f t="shared" si="317"/>
        <v>10688</v>
      </c>
      <c r="S1157" t="str">
        <f t="shared" si="318"/>
        <v>Ikura</v>
      </c>
      <c r="T1157">
        <v>31</v>
      </c>
      <c r="U1157">
        <v>18</v>
      </c>
      <c r="V1157">
        <v>0.1</v>
      </c>
      <c r="W1157">
        <f t="shared" si="319"/>
        <v>502.2</v>
      </c>
      <c r="X1157" t="str">
        <f t="shared" si="320"/>
        <v>No</v>
      </c>
      <c r="Y1157" s="2">
        <v>35004</v>
      </c>
      <c r="Z1157" t="str">
        <f t="shared" si="306"/>
        <v/>
      </c>
      <c r="AA1157" t="str">
        <f t="shared" si="321"/>
        <v/>
      </c>
      <c r="AB1157" t="str" cm="1">
        <f t="array" ref="AB1157">_xlfn.IFS(Y1157&lt;DATE(1996,1,1),"",Y1157&lt;DATE(1996,4,1),"Q1",Y1157&lt;DATE(1996,7,1),"Q2",Y1157&gt;=DATE(1996,7,1),"")</f>
        <v/>
      </c>
    </row>
    <row r="1158" spans="1:28" ht="14.4" x14ac:dyDescent="0.55000000000000004">
      <c r="A1158" t="str">
        <f>VLOOKUP(L1158,Customers!$A$2:$B$92,2,FALSE)</f>
        <v>Vaffeljernet</v>
      </c>
      <c r="B1158" t="str">
        <f>VLOOKUP(L1158,Customers!$A$2:$C$92,3,TRUE)</f>
        <v>Palle Ibsen</v>
      </c>
      <c r="C1158" t="str">
        <f t="shared" si="307"/>
        <v>Palle</v>
      </c>
      <c r="D1158" s="8" t="str">
        <f t="shared" si="308"/>
        <v>Ibsen</v>
      </c>
      <c r="E1158" s="8" t="str">
        <f t="shared" si="309"/>
        <v>Ibsen, Palle</v>
      </c>
      <c r="F1158" s="8" t="str">
        <f t="shared" si="310"/>
        <v>Ibsen, Palle</v>
      </c>
      <c r="G1158" s="8" t="str">
        <f t="shared" si="311"/>
        <v>not an outlier</v>
      </c>
      <c r="H1158" s="8" t="str">
        <f t="shared" si="312"/>
        <v>Not</v>
      </c>
      <c r="I1158" s="8" t="str">
        <f t="shared" si="322"/>
        <v>no</v>
      </c>
      <c r="J1158" s="10" t="str">
        <f t="shared" si="313"/>
        <v>no</v>
      </c>
      <c r="K1158" s="10" t="str">
        <f t="shared" si="314"/>
        <v>no</v>
      </c>
      <c r="L1158" t="s">
        <v>612</v>
      </c>
      <c r="M1158">
        <v>10688</v>
      </c>
      <c r="N1158">
        <v>28</v>
      </c>
      <c r="O1158" t="s">
        <v>727</v>
      </c>
      <c r="P1158" t="str">
        <f t="shared" si="315"/>
        <v>VAFFE_10688_Rössle Sauerkraut</v>
      </c>
      <c r="Q1158" t="str">
        <f t="shared" si="316"/>
        <v>10688</v>
      </c>
      <c r="R1158" t="str">
        <f t="shared" si="317"/>
        <v>10688</v>
      </c>
      <c r="S1158" t="str">
        <f t="shared" si="318"/>
        <v>Rössle Sauerkraut</v>
      </c>
      <c r="T1158">
        <v>45.6</v>
      </c>
      <c r="U1158">
        <v>60</v>
      </c>
      <c r="V1158">
        <v>0.1</v>
      </c>
      <c r="W1158">
        <f t="shared" si="319"/>
        <v>2462.4</v>
      </c>
      <c r="X1158" t="str">
        <f t="shared" si="320"/>
        <v>No</v>
      </c>
      <c r="Y1158" s="2">
        <v>35004</v>
      </c>
      <c r="Z1158" t="str">
        <f t="shared" si="306"/>
        <v/>
      </c>
      <c r="AA1158" t="str">
        <f t="shared" si="321"/>
        <v/>
      </c>
      <c r="AB1158" t="str" cm="1">
        <f t="array" ref="AB1158">_xlfn.IFS(Y1158&lt;DATE(1996,1,1),"",Y1158&lt;DATE(1996,4,1),"Q1",Y1158&lt;DATE(1996,7,1),"Q2",Y1158&gt;=DATE(1996,7,1),"")</f>
        <v/>
      </c>
    </row>
    <row r="1159" spans="1:28" ht="14.4" x14ac:dyDescent="0.55000000000000004">
      <c r="A1159" t="str">
        <f>VLOOKUP(L1159,Customers!$A$2:$B$92,2,FALSE)</f>
        <v>Vaffeljernet</v>
      </c>
      <c r="B1159" t="str">
        <f>VLOOKUP(L1159,Customers!$A$2:$C$92,3,TRUE)</f>
        <v>Palle Ibsen</v>
      </c>
      <c r="C1159" t="str">
        <f t="shared" si="307"/>
        <v>Palle</v>
      </c>
      <c r="D1159" s="8" t="str">
        <f t="shared" si="308"/>
        <v>Ibsen</v>
      </c>
      <c r="E1159" s="8" t="str">
        <f t="shared" si="309"/>
        <v>Ibsen, Palle</v>
      </c>
      <c r="F1159" s="8" t="str">
        <f t="shared" si="310"/>
        <v>Ibsen, Palle</v>
      </c>
      <c r="G1159" s="8" t="str">
        <f t="shared" si="311"/>
        <v>not an outlier</v>
      </c>
      <c r="H1159" s="8" t="str">
        <f t="shared" si="312"/>
        <v>Not</v>
      </c>
      <c r="I1159" s="8" t="str">
        <f t="shared" si="322"/>
        <v>no</v>
      </c>
      <c r="J1159" s="10" t="str">
        <f t="shared" si="313"/>
        <v>no</v>
      </c>
      <c r="K1159" s="10" t="str">
        <f t="shared" si="314"/>
        <v>no</v>
      </c>
      <c r="L1159" t="s">
        <v>612</v>
      </c>
      <c r="M1159">
        <v>10688</v>
      </c>
      <c r="N1159">
        <v>34</v>
      </c>
      <c r="O1159" t="s">
        <v>736</v>
      </c>
      <c r="P1159" t="str">
        <f t="shared" si="315"/>
        <v>VAFFE_10688_Sasquatch Ale</v>
      </c>
      <c r="Q1159" t="str">
        <f t="shared" si="316"/>
        <v>10688</v>
      </c>
      <c r="R1159" t="str">
        <f t="shared" si="317"/>
        <v>10688</v>
      </c>
      <c r="S1159" t="str">
        <f t="shared" si="318"/>
        <v>Sasquatch Ale</v>
      </c>
      <c r="T1159">
        <v>14</v>
      </c>
      <c r="U1159">
        <v>14</v>
      </c>
      <c r="V1159">
        <v>0</v>
      </c>
      <c r="W1159">
        <f t="shared" si="319"/>
        <v>196</v>
      </c>
      <c r="X1159" t="str">
        <f t="shared" si="320"/>
        <v>No</v>
      </c>
      <c r="Y1159" s="2">
        <v>35004</v>
      </c>
      <c r="Z1159" t="str">
        <f t="shared" si="306"/>
        <v/>
      </c>
      <c r="AA1159" t="str">
        <f t="shared" si="321"/>
        <v/>
      </c>
      <c r="AB1159" t="str" cm="1">
        <f t="array" ref="AB1159">_xlfn.IFS(Y1159&lt;DATE(1996,1,1),"",Y1159&lt;DATE(1996,4,1),"Q1",Y1159&lt;DATE(1996,7,1),"Q2",Y1159&gt;=DATE(1996,7,1),"")</f>
        <v/>
      </c>
    </row>
    <row r="1160" spans="1:28" ht="14.4" x14ac:dyDescent="0.55000000000000004">
      <c r="A1160" t="str">
        <f>VLOOKUP(L1160,Customers!$A$2:$B$92,2,FALSE)</f>
        <v>Berglunds snabbköp</v>
      </c>
      <c r="B1160" t="str">
        <f>VLOOKUP(L1160,Customers!$A$2:$C$92,3,TRUE)</f>
        <v>Christina Berglund</v>
      </c>
      <c r="C1160" t="str">
        <f t="shared" si="307"/>
        <v>Christina</v>
      </c>
      <c r="D1160" s="8" t="str">
        <f t="shared" si="308"/>
        <v>Berglund</v>
      </c>
      <c r="E1160" s="8" t="str">
        <f t="shared" si="309"/>
        <v>Berglund, Christina</v>
      </c>
      <c r="F1160" s="8" t="str">
        <f t="shared" si="310"/>
        <v>Berglund, Christina</v>
      </c>
      <c r="G1160" s="8" t="str">
        <f t="shared" si="311"/>
        <v>not an outlier</v>
      </c>
      <c r="H1160" s="8" t="str">
        <f t="shared" si="312"/>
        <v>Not</v>
      </c>
      <c r="I1160" s="8" t="str">
        <f t="shared" si="322"/>
        <v>no</v>
      </c>
      <c r="J1160" s="10" t="str">
        <f t="shared" si="313"/>
        <v>no</v>
      </c>
      <c r="K1160" s="10" t="str">
        <f t="shared" si="314"/>
        <v>no</v>
      </c>
      <c r="L1160" t="s">
        <v>43</v>
      </c>
      <c r="M1160">
        <v>10689</v>
      </c>
      <c r="N1160">
        <v>1</v>
      </c>
      <c r="O1160" t="s">
        <v>735</v>
      </c>
      <c r="P1160" t="str">
        <f t="shared" si="315"/>
        <v>BERGS_10689_Chai</v>
      </c>
      <c r="Q1160" t="str">
        <f t="shared" si="316"/>
        <v>10689</v>
      </c>
      <c r="R1160" t="str">
        <f t="shared" si="317"/>
        <v>10689</v>
      </c>
      <c r="S1160" t="str">
        <f t="shared" si="318"/>
        <v>Chai</v>
      </c>
      <c r="T1160">
        <v>18</v>
      </c>
      <c r="U1160">
        <v>35</v>
      </c>
      <c r="V1160">
        <v>0.25</v>
      </c>
      <c r="W1160">
        <f t="shared" si="319"/>
        <v>472.5</v>
      </c>
      <c r="X1160" t="str">
        <f t="shared" si="320"/>
        <v>No</v>
      </c>
      <c r="Y1160" s="2">
        <v>35004</v>
      </c>
      <c r="Z1160" t="str">
        <f t="shared" si="306"/>
        <v/>
      </c>
      <c r="AA1160" t="str">
        <f t="shared" si="321"/>
        <v/>
      </c>
      <c r="AB1160" t="str" cm="1">
        <f t="array" ref="AB1160">_xlfn.IFS(Y1160&lt;DATE(1996,1,1),"",Y1160&lt;DATE(1996,4,1),"Q1",Y1160&lt;DATE(1996,7,1),"Q2",Y1160&gt;=DATE(1996,7,1),"")</f>
        <v/>
      </c>
    </row>
    <row r="1161" spans="1:28" ht="14.4" x14ac:dyDescent="0.55000000000000004">
      <c r="A1161" t="str">
        <f>VLOOKUP(L1161,Customers!$A$2:$B$92,2,FALSE)</f>
        <v>Hanari Carnes</v>
      </c>
      <c r="B1161" t="str">
        <f>VLOOKUP(L1161,Customers!$A$2:$C$92,3,TRUE)</f>
        <v>Mario Pontes</v>
      </c>
      <c r="C1161" t="str">
        <f t="shared" si="307"/>
        <v>Mario</v>
      </c>
      <c r="D1161" s="8" t="str">
        <f t="shared" si="308"/>
        <v>Pontes</v>
      </c>
      <c r="E1161" s="8" t="str">
        <f t="shared" si="309"/>
        <v>Pontes, Mario</v>
      </c>
      <c r="F1161" s="8" t="str">
        <f t="shared" si="310"/>
        <v>Pontes, Mario</v>
      </c>
      <c r="G1161" s="8" t="str">
        <f t="shared" si="311"/>
        <v>not an outlier</v>
      </c>
      <c r="H1161" s="8" t="str">
        <f t="shared" si="312"/>
        <v>Not</v>
      </c>
      <c r="I1161" s="8" t="str">
        <f t="shared" si="322"/>
        <v>no</v>
      </c>
      <c r="J1161" s="10" t="str">
        <f t="shared" si="313"/>
        <v>no</v>
      </c>
      <c r="K1161" s="10" t="str">
        <f t="shared" si="314"/>
        <v>no</v>
      </c>
      <c r="L1161" t="s">
        <v>264</v>
      </c>
      <c r="M1161">
        <v>10690</v>
      </c>
      <c r="N1161">
        <v>56</v>
      </c>
      <c r="O1161" t="s">
        <v>716</v>
      </c>
      <c r="P1161" t="str">
        <f t="shared" si="315"/>
        <v>HANAR_10690_Gnocchi di nonna Alice</v>
      </c>
      <c r="Q1161" t="str">
        <f t="shared" si="316"/>
        <v>10690</v>
      </c>
      <c r="R1161" t="str">
        <f t="shared" si="317"/>
        <v>10690</v>
      </c>
      <c r="S1161" t="str">
        <f t="shared" si="318"/>
        <v>Gnocchi di nonna Alice</v>
      </c>
      <c r="T1161">
        <v>38</v>
      </c>
      <c r="U1161">
        <v>20</v>
      </c>
      <c r="V1161">
        <v>0.25</v>
      </c>
      <c r="W1161">
        <f t="shared" si="319"/>
        <v>570</v>
      </c>
      <c r="X1161" t="str">
        <f t="shared" si="320"/>
        <v>No</v>
      </c>
      <c r="Y1161" s="2">
        <v>35005</v>
      </c>
      <c r="Z1161" t="str">
        <f t="shared" si="306"/>
        <v/>
      </c>
      <c r="AA1161" t="str">
        <f t="shared" si="321"/>
        <v/>
      </c>
      <c r="AB1161" t="str" cm="1">
        <f t="array" ref="AB1161">_xlfn.IFS(Y1161&lt;DATE(1996,1,1),"",Y1161&lt;DATE(1996,4,1),"Q1",Y1161&lt;DATE(1996,7,1),"Q2",Y1161&gt;=DATE(1996,7,1),"")</f>
        <v/>
      </c>
    </row>
    <row r="1162" spans="1:28" ht="14.4" x14ac:dyDescent="0.55000000000000004">
      <c r="A1162" t="str">
        <f>VLOOKUP(L1162,Customers!$A$2:$B$92,2,FALSE)</f>
        <v>Hanari Carnes</v>
      </c>
      <c r="B1162" t="str">
        <f>VLOOKUP(L1162,Customers!$A$2:$C$92,3,TRUE)</f>
        <v>Mario Pontes</v>
      </c>
      <c r="C1162" t="str">
        <f t="shared" si="307"/>
        <v>Mario</v>
      </c>
      <c r="D1162" s="8" t="str">
        <f t="shared" si="308"/>
        <v>Pontes</v>
      </c>
      <c r="E1162" s="8" t="str">
        <f t="shared" si="309"/>
        <v>Pontes, Mario</v>
      </c>
      <c r="F1162" s="8" t="str">
        <f t="shared" si="310"/>
        <v>Pontes, Mario</v>
      </c>
      <c r="G1162" s="8" t="str">
        <f t="shared" si="311"/>
        <v>not an outlier</v>
      </c>
      <c r="H1162" s="8" t="str">
        <f t="shared" si="312"/>
        <v>Not</v>
      </c>
      <c r="I1162" s="8" t="str">
        <f t="shared" si="322"/>
        <v>no</v>
      </c>
      <c r="J1162" s="10" t="str">
        <f t="shared" si="313"/>
        <v>no</v>
      </c>
      <c r="K1162" s="10" t="str">
        <f t="shared" si="314"/>
        <v>no</v>
      </c>
      <c r="L1162" t="s">
        <v>264</v>
      </c>
      <c r="M1162">
        <v>10690</v>
      </c>
      <c r="N1162">
        <v>77</v>
      </c>
      <c r="O1162" t="s">
        <v>706</v>
      </c>
      <c r="P1162" t="str">
        <f t="shared" si="315"/>
        <v>HANAR_10690_Original Frankfurter grüne Soße</v>
      </c>
      <c r="Q1162" t="str">
        <f t="shared" si="316"/>
        <v>10690</v>
      </c>
      <c r="R1162" t="str">
        <f t="shared" si="317"/>
        <v>10690</v>
      </c>
      <c r="S1162" t="str">
        <f t="shared" si="318"/>
        <v>Original Frankfurter grüne Soße</v>
      </c>
      <c r="T1162">
        <v>13</v>
      </c>
      <c r="U1162">
        <v>30</v>
      </c>
      <c r="V1162">
        <v>0.25</v>
      </c>
      <c r="W1162">
        <f t="shared" si="319"/>
        <v>292.5</v>
      </c>
      <c r="X1162" t="str">
        <f t="shared" si="320"/>
        <v>No</v>
      </c>
      <c r="Y1162" s="2">
        <v>35005</v>
      </c>
      <c r="Z1162" t="str">
        <f t="shared" si="306"/>
        <v/>
      </c>
      <c r="AA1162" t="str">
        <f t="shared" si="321"/>
        <v/>
      </c>
      <c r="AB1162" t="str" cm="1">
        <f t="array" ref="AB1162">_xlfn.IFS(Y1162&lt;DATE(1996,1,1),"",Y1162&lt;DATE(1996,4,1),"Q1",Y1162&lt;DATE(1996,7,1),"Q2",Y1162&gt;=DATE(1996,7,1),"")</f>
        <v/>
      </c>
    </row>
    <row r="1163" spans="1:28" ht="14.4" x14ac:dyDescent="0.55000000000000004">
      <c r="A1163" t="str">
        <f>VLOOKUP(L1163,Customers!$A$2:$B$92,2,FALSE)</f>
        <v>QUICK-Stop</v>
      </c>
      <c r="B1163" t="str">
        <f>VLOOKUP(L1163,Customers!$A$2:$C$92,3,TRUE)</f>
        <v>Horst Kloss</v>
      </c>
      <c r="C1163" t="str">
        <f t="shared" si="307"/>
        <v>Horst</v>
      </c>
      <c r="D1163" s="8" t="str">
        <f t="shared" si="308"/>
        <v>Kloss</v>
      </c>
      <c r="E1163" s="8" t="str">
        <f t="shared" si="309"/>
        <v>Kloss, Horst</v>
      </c>
      <c r="F1163" s="8" t="str">
        <f t="shared" si="310"/>
        <v>Kloss, Horst</v>
      </c>
      <c r="G1163" s="8" t="str">
        <f t="shared" si="311"/>
        <v>not an outlier</v>
      </c>
      <c r="H1163" s="8" t="str">
        <f t="shared" si="312"/>
        <v>Not</v>
      </c>
      <c r="I1163" s="8" t="str">
        <f t="shared" si="322"/>
        <v>no</v>
      </c>
      <c r="J1163" s="10" t="str">
        <f t="shared" si="313"/>
        <v>no</v>
      </c>
      <c r="K1163" s="10" t="str">
        <f t="shared" si="314"/>
        <v>no</v>
      </c>
      <c r="L1163" t="s">
        <v>475</v>
      </c>
      <c r="M1163">
        <v>10691</v>
      </c>
      <c r="N1163">
        <v>1</v>
      </c>
      <c r="O1163" t="s">
        <v>735</v>
      </c>
      <c r="P1163" t="str">
        <f t="shared" si="315"/>
        <v>QUICK_10691_Chai</v>
      </c>
      <c r="Q1163" t="str">
        <f t="shared" si="316"/>
        <v>10691</v>
      </c>
      <c r="R1163" t="str">
        <f t="shared" si="317"/>
        <v>10691</v>
      </c>
      <c r="S1163" t="str">
        <f t="shared" si="318"/>
        <v>Chai</v>
      </c>
      <c r="T1163">
        <v>18</v>
      </c>
      <c r="U1163">
        <v>30</v>
      </c>
      <c r="V1163">
        <v>0</v>
      </c>
      <c r="W1163">
        <f t="shared" si="319"/>
        <v>540</v>
      </c>
      <c r="X1163" t="str">
        <f t="shared" si="320"/>
        <v>No</v>
      </c>
      <c r="Y1163" s="2">
        <v>35006</v>
      </c>
      <c r="Z1163" t="str">
        <f t="shared" si="306"/>
        <v/>
      </c>
      <c r="AA1163" t="str">
        <f t="shared" si="321"/>
        <v/>
      </c>
      <c r="AB1163" t="str" cm="1">
        <f t="array" ref="AB1163">_xlfn.IFS(Y1163&lt;DATE(1996,1,1),"",Y1163&lt;DATE(1996,4,1),"Q1",Y1163&lt;DATE(1996,7,1),"Q2",Y1163&gt;=DATE(1996,7,1),"")</f>
        <v/>
      </c>
    </row>
    <row r="1164" spans="1:28" ht="14.4" x14ac:dyDescent="0.55000000000000004">
      <c r="A1164" t="str">
        <f>VLOOKUP(L1164,Customers!$A$2:$B$92,2,FALSE)</f>
        <v>QUICK-Stop</v>
      </c>
      <c r="B1164" t="str">
        <f>VLOOKUP(L1164,Customers!$A$2:$C$92,3,TRUE)</f>
        <v>Horst Kloss</v>
      </c>
      <c r="C1164" t="str">
        <f t="shared" si="307"/>
        <v>Horst</v>
      </c>
      <c r="D1164" s="8" t="str">
        <f t="shared" si="308"/>
        <v>Kloss</v>
      </c>
      <c r="E1164" s="8" t="str">
        <f t="shared" si="309"/>
        <v>Kloss, Horst</v>
      </c>
      <c r="F1164" s="8" t="str">
        <f t="shared" si="310"/>
        <v>Kloss, Horst</v>
      </c>
      <c r="G1164" s="8" t="str">
        <f t="shared" si="311"/>
        <v>outlier</v>
      </c>
      <c r="H1164" s="8" t="str">
        <f t="shared" si="312"/>
        <v>outlier</v>
      </c>
      <c r="I1164" s="8" t="str">
        <f t="shared" si="322"/>
        <v>yes</v>
      </c>
      <c r="J1164" s="10" t="str">
        <f t="shared" si="313"/>
        <v>yes</v>
      </c>
      <c r="K1164" s="10" t="str">
        <f t="shared" si="314"/>
        <v>yes</v>
      </c>
      <c r="L1164" t="s">
        <v>475</v>
      </c>
      <c r="M1164">
        <v>10691</v>
      </c>
      <c r="N1164">
        <v>29</v>
      </c>
      <c r="O1164" t="s">
        <v>722</v>
      </c>
      <c r="P1164" t="str">
        <f t="shared" si="315"/>
        <v>QUICK_10691_Thüringer Rostbratwurst</v>
      </c>
      <c r="Q1164" t="str">
        <f t="shared" si="316"/>
        <v>10691</v>
      </c>
      <c r="R1164" t="str">
        <f t="shared" si="317"/>
        <v>10691</v>
      </c>
      <c r="S1164" t="str">
        <f t="shared" si="318"/>
        <v>Thüringer Rostbratwurst</v>
      </c>
      <c r="T1164">
        <v>123.79</v>
      </c>
      <c r="U1164">
        <v>40</v>
      </c>
      <c r="V1164">
        <v>0</v>
      </c>
      <c r="W1164">
        <f t="shared" si="319"/>
        <v>4951.6000000000004</v>
      </c>
      <c r="X1164" t="str">
        <f t="shared" si="320"/>
        <v>No</v>
      </c>
      <c r="Y1164" s="2">
        <v>35006</v>
      </c>
      <c r="Z1164" t="str">
        <f t="shared" si="306"/>
        <v/>
      </c>
      <c r="AA1164" t="str">
        <f t="shared" si="321"/>
        <v/>
      </c>
      <c r="AB1164" t="str" cm="1">
        <f t="array" ref="AB1164">_xlfn.IFS(Y1164&lt;DATE(1996,1,1),"",Y1164&lt;DATE(1996,4,1),"Q1",Y1164&lt;DATE(1996,7,1),"Q2",Y1164&gt;=DATE(1996,7,1),"")</f>
        <v/>
      </c>
    </row>
    <row r="1165" spans="1:28" ht="14.4" x14ac:dyDescent="0.55000000000000004">
      <c r="A1165" t="str">
        <f>VLOOKUP(L1165,Customers!$A$2:$B$92,2,FALSE)</f>
        <v>QUICK-Stop</v>
      </c>
      <c r="B1165" t="str">
        <f>VLOOKUP(L1165,Customers!$A$2:$C$92,3,TRUE)</f>
        <v>Horst Kloss</v>
      </c>
      <c r="C1165" t="str">
        <f t="shared" si="307"/>
        <v>Horst</v>
      </c>
      <c r="D1165" s="8" t="str">
        <f t="shared" si="308"/>
        <v>Kloss</v>
      </c>
      <c r="E1165" s="8" t="str">
        <f t="shared" si="309"/>
        <v>Kloss, Horst</v>
      </c>
      <c r="F1165" s="8" t="str">
        <f t="shared" si="310"/>
        <v>Kloss, Horst</v>
      </c>
      <c r="G1165" s="8" t="str">
        <f t="shared" si="311"/>
        <v>not an outlier</v>
      </c>
      <c r="H1165" s="8" t="str">
        <f t="shared" si="312"/>
        <v>Not</v>
      </c>
      <c r="I1165" s="8" t="str">
        <f t="shared" si="322"/>
        <v>no</v>
      </c>
      <c r="J1165" s="10" t="str">
        <f t="shared" si="313"/>
        <v>no</v>
      </c>
      <c r="K1165" s="10" t="str">
        <f t="shared" si="314"/>
        <v>no</v>
      </c>
      <c r="L1165" t="s">
        <v>475</v>
      </c>
      <c r="M1165">
        <v>10691</v>
      </c>
      <c r="N1165">
        <v>43</v>
      </c>
      <c r="O1165" t="s">
        <v>723</v>
      </c>
      <c r="P1165" t="str">
        <f t="shared" si="315"/>
        <v>QUICK_10691_Ipoh Coffee</v>
      </c>
      <c r="Q1165" t="str">
        <f t="shared" si="316"/>
        <v>10691</v>
      </c>
      <c r="R1165" t="str">
        <f t="shared" si="317"/>
        <v>10691</v>
      </c>
      <c r="S1165" t="str">
        <f t="shared" si="318"/>
        <v>Ipoh Coffee</v>
      </c>
      <c r="T1165">
        <v>46</v>
      </c>
      <c r="U1165">
        <v>40</v>
      </c>
      <c r="V1165">
        <v>0</v>
      </c>
      <c r="W1165">
        <f t="shared" si="319"/>
        <v>1840</v>
      </c>
      <c r="X1165" t="str">
        <f t="shared" si="320"/>
        <v>No</v>
      </c>
      <c r="Y1165" s="2">
        <v>35006</v>
      </c>
      <c r="Z1165" t="str">
        <f t="shared" si="306"/>
        <v/>
      </c>
      <c r="AA1165" t="str">
        <f t="shared" si="321"/>
        <v/>
      </c>
      <c r="AB1165" t="str" cm="1">
        <f t="array" ref="AB1165">_xlfn.IFS(Y1165&lt;DATE(1996,1,1),"",Y1165&lt;DATE(1996,4,1),"Q1",Y1165&lt;DATE(1996,7,1),"Q2",Y1165&gt;=DATE(1996,7,1),"")</f>
        <v/>
      </c>
    </row>
    <row r="1166" spans="1:28" ht="14.4" x14ac:dyDescent="0.55000000000000004">
      <c r="A1166" t="str">
        <f>VLOOKUP(L1166,Customers!$A$2:$B$92,2,FALSE)</f>
        <v>QUICK-Stop</v>
      </c>
      <c r="B1166" t="str">
        <f>VLOOKUP(L1166,Customers!$A$2:$C$92,3,TRUE)</f>
        <v>Horst Kloss</v>
      </c>
      <c r="C1166" t="str">
        <f t="shared" si="307"/>
        <v>Horst</v>
      </c>
      <c r="D1166" s="8" t="str">
        <f t="shared" si="308"/>
        <v>Kloss</v>
      </c>
      <c r="E1166" s="8" t="str">
        <f t="shared" si="309"/>
        <v>Kloss, Horst</v>
      </c>
      <c r="F1166" s="8" t="str">
        <f t="shared" si="310"/>
        <v>Kloss, Horst</v>
      </c>
      <c r="G1166" s="8" t="str">
        <f t="shared" si="311"/>
        <v>not an outlier</v>
      </c>
      <c r="H1166" s="8" t="str">
        <f t="shared" si="312"/>
        <v>Not</v>
      </c>
      <c r="I1166" s="8" t="str">
        <f t="shared" si="322"/>
        <v>no</v>
      </c>
      <c r="J1166" s="10" t="str">
        <f t="shared" si="313"/>
        <v>no</v>
      </c>
      <c r="K1166" s="10" t="str">
        <f t="shared" si="314"/>
        <v>no</v>
      </c>
      <c r="L1166" t="s">
        <v>475</v>
      </c>
      <c r="M1166">
        <v>10691</v>
      </c>
      <c r="N1166">
        <v>44</v>
      </c>
      <c r="O1166" t="s">
        <v>728</v>
      </c>
      <c r="P1166" t="str">
        <f t="shared" si="315"/>
        <v>QUICK_10691_Gula Malacca</v>
      </c>
      <c r="Q1166" t="str">
        <f t="shared" si="316"/>
        <v>10691</v>
      </c>
      <c r="R1166" t="str">
        <f t="shared" si="317"/>
        <v>10691</v>
      </c>
      <c r="S1166" t="str">
        <f t="shared" si="318"/>
        <v>Gula Malacca</v>
      </c>
      <c r="T1166">
        <v>19.45</v>
      </c>
      <c r="U1166">
        <v>24</v>
      </c>
      <c r="V1166">
        <v>0</v>
      </c>
      <c r="W1166">
        <f t="shared" si="319"/>
        <v>466.79999999999995</v>
      </c>
      <c r="X1166" t="str">
        <f t="shared" si="320"/>
        <v>No</v>
      </c>
      <c r="Y1166" s="2">
        <v>35006</v>
      </c>
      <c r="Z1166" t="str">
        <f t="shared" si="306"/>
        <v/>
      </c>
      <c r="AA1166" t="str">
        <f t="shared" si="321"/>
        <v/>
      </c>
      <c r="AB1166" t="str" cm="1">
        <f t="array" ref="AB1166">_xlfn.IFS(Y1166&lt;DATE(1996,1,1),"",Y1166&lt;DATE(1996,4,1),"Q1",Y1166&lt;DATE(1996,7,1),"Q2",Y1166&gt;=DATE(1996,7,1),"")</f>
        <v/>
      </c>
    </row>
    <row r="1167" spans="1:28" ht="14.4" x14ac:dyDescent="0.55000000000000004">
      <c r="A1167" t="str">
        <f>VLOOKUP(L1167,Customers!$A$2:$B$92,2,FALSE)</f>
        <v>QUICK-Stop</v>
      </c>
      <c r="B1167" t="str">
        <f>VLOOKUP(L1167,Customers!$A$2:$C$92,3,TRUE)</f>
        <v>Horst Kloss</v>
      </c>
      <c r="C1167" t="str">
        <f t="shared" si="307"/>
        <v>Horst</v>
      </c>
      <c r="D1167" s="8" t="str">
        <f t="shared" si="308"/>
        <v>Kloss</v>
      </c>
      <c r="E1167" s="8" t="str">
        <f t="shared" si="309"/>
        <v>Kloss, Horst</v>
      </c>
      <c r="F1167" s="8" t="str">
        <f t="shared" si="310"/>
        <v>Kloss, Horst</v>
      </c>
      <c r="G1167" s="8" t="str">
        <f t="shared" si="311"/>
        <v>not an outlier</v>
      </c>
      <c r="H1167" s="8" t="str">
        <f t="shared" si="312"/>
        <v>Not</v>
      </c>
      <c r="I1167" s="8" t="str">
        <f t="shared" si="322"/>
        <v>no</v>
      </c>
      <c r="J1167" s="10" t="str">
        <f t="shared" si="313"/>
        <v>no</v>
      </c>
      <c r="K1167" s="10" t="str">
        <f t="shared" si="314"/>
        <v>no</v>
      </c>
      <c r="L1167" t="s">
        <v>475</v>
      </c>
      <c r="M1167">
        <v>10691</v>
      </c>
      <c r="N1167">
        <v>62</v>
      </c>
      <c r="O1167" t="s">
        <v>712</v>
      </c>
      <c r="P1167" t="str">
        <f t="shared" si="315"/>
        <v>QUICK_10691_Tarte au sucre</v>
      </c>
      <c r="Q1167" t="str">
        <f t="shared" si="316"/>
        <v>10691</v>
      </c>
      <c r="R1167" t="str">
        <f t="shared" si="317"/>
        <v>10691</v>
      </c>
      <c r="S1167" t="str">
        <f t="shared" si="318"/>
        <v>Tarte au sucre</v>
      </c>
      <c r="T1167">
        <v>49.3</v>
      </c>
      <c r="U1167">
        <v>48</v>
      </c>
      <c r="V1167">
        <v>0</v>
      </c>
      <c r="W1167">
        <f t="shared" si="319"/>
        <v>2366.3999999999996</v>
      </c>
      <c r="X1167" t="str">
        <f t="shared" si="320"/>
        <v>No</v>
      </c>
      <c r="Y1167" s="2">
        <v>35006</v>
      </c>
      <c r="Z1167" t="str">
        <f t="shared" si="306"/>
        <v/>
      </c>
      <c r="AA1167" t="str">
        <f t="shared" si="321"/>
        <v/>
      </c>
      <c r="AB1167" t="str" cm="1">
        <f t="array" ref="AB1167">_xlfn.IFS(Y1167&lt;DATE(1996,1,1),"",Y1167&lt;DATE(1996,4,1),"Q1",Y1167&lt;DATE(1996,7,1),"Q2",Y1167&gt;=DATE(1996,7,1),"")</f>
        <v/>
      </c>
    </row>
    <row r="1168" spans="1:28" ht="14.4" x14ac:dyDescent="0.55000000000000004">
      <c r="A1168" t="str">
        <f>VLOOKUP(L1168,Customers!$A$2:$B$92,2,FALSE)</f>
        <v>Alfreds Futterkiste</v>
      </c>
      <c r="B1168" t="str">
        <f>VLOOKUP(L1168,Customers!$A$2:$C$92,3,TRUE)</f>
        <v>Maria Anders</v>
      </c>
      <c r="C1168" t="str">
        <f t="shared" si="307"/>
        <v>Maria</v>
      </c>
      <c r="D1168" s="8" t="str">
        <f t="shared" si="308"/>
        <v>Anders</v>
      </c>
      <c r="E1168" s="8" t="str">
        <f t="shared" si="309"/>
        <v>Anders, Maria</v>
      </c>
      <c r="F1168" s="8" t="str">
        <f t="shared" si="310"/>
        <v>Anders, Maria</v>
      </c>
      <c r="G1168" s="8" t="str">
        <f t="shared" si="311"/>
        <v>not an outlier</v>
      </c>
      <c r="H1168" s="8" t="str">
        <f t="shared" si="312"/>
        <v>Not</v>
      </c>
      <c r="I1168" s="8" t="str">
        <f t="shared" si="322"/>
        <v>no</v>
      </c>
      <c r="J1168" s="10" t="str">
        <f t="shared" si="313"/>
        <v>no</v>
      </c>
      <c r="K1168" s="10" t="str">
        <f t="shared" si="314"/>
        <v>no</v>
      </c>
      <c r="L1168" t="s">
        <v>11</v>
      </c>
      <c r="M1168">
        <v>10692</v>
      </c>
      <c r="N1168">
        <v>63</v>
      </c>
      <c r="O1168" t="s">
        <v>729</v>
      </c>
      <c r="P1168" t="str">
        <f t="shared" si="315"/>
        <v>ALFKI_10692_Vegie-spread</v>
      </c>
      <c r="Q1168" t="str">
        <f t="shared" si="316"/>
        <v>10692</v>
      </c>
      <c r="R1168" t="str">
        <f t="shared" si="317"/>
        <v>10692</v>
      </c>
      <c r="S1168" t="str">
        <f t="shared" si="318"/>
        <v>Vegie-spread</v>
      </c>
      <c r="T1168">
        <v>43.9</v>
      </c>
      <c r="U1168">
        <v>20</v>
      </c>
      <c r="V1168">
        <v>0</v>
      </c>
      <c r="W1168">
        <f t="shared" si="319"/>
        <v>878</v>
      </c>
      <c r="X1168" t="str">
        <f t="shared" si="320"/>
        <v>No</v>
      </c>
      <c r="Y1168" s="2">
        <v>35006</v>
      </c>
      <c r="Z1168" t="str">
        <f t="shared" si="306"/>
        <v/>
      </c>
      <c r="AA1168" t="str">
        <f t="shared" si="321"/>
        <v/>
      </c>
      <c r="AB1168" t="str" cm="1">
        <f t="array" ref="AB1168">_xlfn.IFS(Y1168&lt;DATE(1996,1,1),"",Y1168&lt;DATE(1996,4,1),"Q1",Y1168&lt;DATE(1996,7,1),"Q2",Y1168&gt;=DATE(1996,7,1),"")</f>
        <v/>
      </c>
    </row>
    <row r="1169" spans="1:28" ht="14.4" x14ac:dyDescent="0.55000000000000004">
      <c r="A1169" t="str">
        <f>VLOOKUP(L1169,Customers!$A$2:$B$92,2,FALSE)</f>
        <v>White Clover Markets</v>
      </c>
      <c r="B1169" t="str">
        <f>VLOOKUP(L1169,Customers!$A$2:$C$92,3,TRUE)</f>
        <v>Karl Jablonski</v>
      </c>
      <c r="C1169" t="str">
        <f t="shared" si="307"/>
        <v>Karl</v>
      </c>
      <c r="D1169" s="8" t="str">
        <f t="shared" si="308"/>
        <v>Jablonski</v>
      </c>
      <c r="E1169" s="8" t="str">
        <f t="shared" si="309"/>
        <v>Jablonski, Karl</v>
      </c>
      <c r="F1169" s="8" t="str">
        <f t="shared" si="310"/>
        <v>Jablonski, Karl</v>
      </c>
      <c r="G1169" s="8" t="str">
        <f t="shared" si="311"/>
        <v>not an outlier</v>
      </c>
      <c r="H1169" s="8" t="str">
        <f t="shared" si="312"/>
        <v>Not</v>
      </c>
      <c r="I1169" s="8" t="str">
        <f t="shared" si="322"/>
        <v>no</v>
      </c>
      <c r="J1169" s="10" t="str">
        <f t="shared" si="313"/>
        <v>no</v>
      </c>
      <c r="K1169" s="10" t="str">
        <f t="shared" si="314"/>
        <v>no</v>
      </c>
      <c r="L1169" t="s">
        <v>654</v>
      </c>
      <c r="M1169">
        <v>10693</v>
      </c>
      <c r="N1169">
        <v>9</v>
      </c>
      <c r="O1169" t="s">
        <v>759</v>
      </c>
      <c r="P1169" t="str">
        <f t="shared" si="315"/>
        <v>WHITC_10693_Mishi Kobe Niku</v>
      </c>
      <c r="Q1169" t="str">
        <f t="shared" si="316"/>
        <v>10693</v>
      </c>
      <c r="R1169" t="str">
        <f t="shared" si="317"/>
        <v>10693</v>
      </c>
      <c r="S1169" t="str">
        <f t="shared" si="318"/>
        <v>Mishi Kobe Niku</v>
      </c>
      <c r="T1169">
        <v>97</v>
      </c>
      <c r="U1169">
        <v>6</v>
      </c>
      <c r="V1169">
        <v>0</v>
      </c>
      <c r="W1169">
        <f t="shared" si="319"/>
        <v>582</v>
      </c>
      <c r="X1169" t="str">
        <f t="shared" si="320"/>
        <v>No</v>
      </c>
      <c r="Y1169" s="2">
        <v>35009</v>
      </c>
      <c r="Z1169" t="str">
        <f t="shared" si="306"/>
        <v/>
      </c>
      <c r="AA1169" t="str">
        <f t="shared" si="321"/>
        <v/>
      </c>
      <c r="AB1169" t="str" cm="1">
        <f t="array" ref="AB1169">_xlfn.IFS(Y1169&lt;DATE(1996,1,1),"",Y1169&lt;DATE(1996,4,1),"Q1",Y1169&lt;DATE(1996,7,1),"Q2",Y1169&gt;=DATE(1996,7,1),"")</f>
        <v/>
      </c>
    </row>
    <row r="1170" spans="1:28" ht="14.4" x14ac:dyDescent="0.55000000000000004">
      <c r="A1170" t="str">
        <f>VLOOKUP(L1170,Customers!$A$2:$B$92,2,FALSE)</f>
        <v>White Clover Markets</v>
      </c>
      <c r="B1170" t="str">
        <f>VLOOKUP(L1170,Customers!$A$2:$C$92,3,TRUE)</f>
        <v>Karl Jablonski</v>
      </c>
      <c r="C1170" t="str">
        <f t="shared" si="307"/>
        <v>Karl</v>
      </c>
      <c r="D1170" s="8" t="str">
        <f t="shared" si="308"/>
        <v>Jablonski</v>
      </c>
      <c r="E1170" s="8" t="str">
        <f t="shared" si="309"/>
        <v>Jablonski, Karl</v>
      </c>
      <c r="F1170" s="8" t="str">
        <f t="shared" si="310"/>
        <v>Jablonski, Karl</v>
      </c>
      <c r="G1170" s="8" t="str">
        <f t="shared" si="311"/>
        <v>not an outlier</v>
      </c>
      <c r="H1170" s="8" t="str">
        <f t="shared" si="312"/>
        <v>Not</v>
      </c>
      <c r="I1170" s="8" t="str">
        <f t="shared" si="322"/>
        <v>no</v>
      </c>
      <c r="J1170" s="10" t="str">
        <f t="shared" si="313"/>
        <v>no</v>
      </c>
      <c r="K1170" s="10" t="str">
        <f t="shared" si="314"/>
        <v>no</v>
      </c>
      <c r="L1170" t="s">
        <v>654</v>
      </c>
      <c r="M1170">
        <v>10693</v>
      </c>
      <c r="N1170">
        <v>54</v>
      </c>
      <c r="O1170" t="s">
        <v>738</v>
      </c>
      <c r="P1170" t="str">
        <f t="shared" si="315"/>
        <v>WHITC_10693_Tourtière</v>
      </c>
      <c r="Q1170" t="str">
        <f t="shared" si="316"/>
        <v>10693</v>
      </c>
      <c r="R1170" t="str">
        <f t="shared" si="317"/>
        <v>10693</v>
      </c>
      <c r="S1170" t="str">
        <f t="shared" si="318"/>
        <v>Tourtière</v>
      </c>
      <c r="T1170">
        <v>7.45</v>
      </c>
      <c r="U1170">
        <v>60</v>
      </c>
      <c r="V1170">
        <v>0.15</v>
      </c>
      <c r="W1170">
        <f t="shared" si="319"/>
        <v>379.95</v>
      </c>
      <c r="X1170" t="str">
        <f t="shared" si="320"/>
        <v>No</v>
      </c>
      <c r="Y1170" s="2">
        <v>35009</v>
      </c>
      <c r="Z1170" t="str">
        <f t="shared" si="306"/>
        <v/>
      </c>
      <c r="AA1170" t="str">
        <f t="shared" si="321"/>
        <v/>
      </c>
      <c r="AB1170" t="str" cm="1">
        <f t="array" ref="AB1170">_xlfn.IFS(Y1170&lt;DATE(1996,1,1),"",Y1170&lt;DATE(1996,4,1),"Q1",Y1170&lt;DATE(1996,7,1),"Q2",Y1170&gt;=DATE(1996,7,1),"")</f>
        <v/>
      </c>
    </row>
    <row r="1171" spans="1:28" ht="14.4" x14ac:dyDescent="0.55000000000000004">
      <c r="A1171" t="str">
        <f>VLOOKUP(L1171,Customers!$A$2:$B$92,2,FALSE)</f>
        <v>White Clover Markets</v>
      </c>
      <c r="B1171" t="str">
        <f>VLOOKUP(L1171,Customers!$A$2:$C$92,3,TRUE)</f>
        <v>Karl Jablonski</v>
      </c>
      <c r="C1171" t="str">
        <f t="shared" si="307"/>
        <v>Karl</v>
      </c>
      <c r="D1171" s="8" t="str">
        <f t="shared" si="308"/>
        <v>Jablonski</v>
      </c>
      <c r="E1171" s="8" t="str">
        <f t="shared" si="309"/>
        <v>Jablonski, Karl</v>
      </c>
      <c r="F1171" s="8" t="str">
        <f t="shared" si="310"/>
        <v>Jablonski, Karl</v>
      </c>
      <c r="G1171" s="8" t="str">
        <f t="shared" si="311"/>
        <v>not an outlier</v>
      </c>
      <c r="H1171" s="8" t="str">
        <f t="shared" si="312"/>
        <v>Not</v>
      </c>
      <c r="I1171" s="8" t="str">
        <f t="shared" si="322"/>
        <v>no</v>
      </c>
      <c r="J1171" s="10" t="str">
        <f t="shared" si="313"/>
        <v>no</v>
      </c>
      <c r="K1171" s="10" t="str">
        <f t="shared" si="314"/>
        <v>no</v>
      </c>
      <c r="L1171" t="s">
        <v>654</v>
      </c>
      <c r="M1171">
        <v>10693</v>
      </c>
      <c r="N1171">
        <v>69</v>
      </c>
      <c r="O1171" t="s">
        <v>743</v>
      </c>
      <c r="P1171" t="str">
        <f t="shared" si="315"/>
        <v>WHITC_10693_Gudbrandsdalsost</v>
      </c>
      <c r="Q1171" t="str">
        <f t="shared" si="316"/>
        <v>10693</v>
      </c>
      <c r="R1171" t="str">
        <f t="shared" si="317"/>
        <v>10693</v>
      </c>
      <c r="S1171" t="str">
        <f t="shared" si="318"/>
        <v>Gudbrandsdalsost</v>
      </c>
      <c r="T1171">
        <v>36</v>
      </c>
      <c r="U1171">
        <v>30</v>
      </c>
      <c r="V1171">
        <v>0.15</v>
      </c>
      <c r="W1171">
        <f t="shared" si="319"/>
        <v>918</v>
      </c>
      <c r="X1171" t="str">
        <f t="shared" si="320"/>
        <v>No</v>
      </c>
      <c r="Y1171" s="2">
        <v>35009</v>
      </c>
      <c r="Z1171" t="str">
        <f t="shared" si="306"/>
        <v/>
      </c>
      <c r="AA1171" t="str">
        <f t="shared" si="321"/>
        <v/>
      </c>
      <c r="AB1171" t="str" cm="1">
        <f t="array" ref="AB1171">_xlfn.IFS(Y1171&lt;DATE(1996,1,1),"",Y1171&lt;DATE(1996,4,1),"Q1",Y1171&lt;DATE(1996,7,1),"Q2",Y1171&gt;=DATE(1996,7,1),"")</f>
        <v/>
      </c>
    </row>
    <row r="1172" spans="1:28" ht="14.4" x14ac:dyDescent="0.55000000000000004">
      <c r="A1172" t="str">
        <f>VLOOKUP(L1172,Customers!$A$2:$B$92,2,FALSE)</f>
        <v>White Clover Markets</v>
      </c>
      <c r="B1172" t="str">
        <f>VLOOKUP(L1172,Customers!$A$2:$C$92,3,TRUE)</f>
        <v>Karl Jablonski</v>
      </c>
      <c r="C1172" t="str">
        <f t="shared" si="307"/>
        <v>Karl</v>
      </c>
      <c r="D1172" s="8" t="str">
        <f t="shared" si="308"/>
        <v>Jablonski</v>
      </c>
      <c r="E1172" s="8" t="str">
        <f t="shared" si="309"/>
        <v>Jablonski, Karl</v>
      </c>
      <c r="F1172" s="8" t="str">
        <f t="shared" si="310"/>
        <v>Jablonski, Karl</v>
      </c>
      <c r="G1172" s="8" t="str">
        <f t="shared" si="311"/>
        <v>not an outlier</v>
      </c>
      <c r="H1172" s="8" t="str">
        <f t="shared" si="312"/>
        <v>Not</v>
      </c>
      <c r="I1172" s="8" t="str">
        <f t="shared" si="322"/>
        <v>no</v>
      </c>
      <c r="J1172" s="10" t="str">
        <f t="shared" si="313"/>
        <v>no</v>
      </c>
      <c r="K1172" s="10" t="str">
        <f t="shared" si="314"/>
        <v>no</v>
      </c>
      <c r="L1172" t="s">
        <v>654</v>
      </c>
      <c r="M1172">
        <v>10693</v>
      </c>
      <c r="N1172">
        <v>73</v>
      </c>
      <c r="O1172" t="s">
        <v>730</v>
      </c>
      <c r="P1172" t="str">
        <f t="shared" si="315"/>
        <v>WHITC_10693_Röd Kaviar</v>
      </c>
      <c r="Q1172" t="str">
        <f t="shared" si="316"/>
        <v>10693</v>
      </c>
      <c r="R1172" t="str">
        <f t="shared" si="317"/>
        <v>10693</v>
      </c>
      <c r="S1172" t="str">
        <f t="shared" si="318"/>
        <v>Röd Kaviar</v>
      </c>
      <c r="T1172">
        <v>15</v>
      </c>
      <c r="U1172">
        <v>15</v>
      </c>
      <c r="V1172">
        <v>0.15</v>
      </c>
      <c r="W1172">
        <f t="shared" si="319"/>
        <v>191.25</v>
      </c>
      <c r="X1172" t="str">
        <f t="shared" si="320"/>
        <v>No</v>
      </c>
      <c r="Y1172" s="2">
        <v>35009</v>
      </c>
      <c r="Z1172" t="str">
        <f t="shared" si="306"/>
        <v/>
      </c>
      <c r="AA1172" t="str">
        <f t="shared" si="321"/>
        <v/>
      </c>
      <c r="AB1172" t="str" cm="1">
        <f t="array" ref="AB1172">_xlfn.IFS(Y1172&lt;DATE(1996,1,1),"",Y1172&lt;DATE(1996,4,1),"Q1",Y1172&lt;DATE(1996,7,1),"Q2",Y1172&gt;=DATE(1996,7,1),"")</f>
        <v/>
      </c>
    </row>
    <row r="1173" spans="1:28" ht="14.4" x14ac:dyDescent="0.55000000000000004">
      <c r="A1173" t="str">
        <f>VLOOKUP(L1173,Customers!$A$2:$B$92,2,FALSE)</f>
        <v>QUICK-Stop</v>
      </c>
      <c r="B1173" t="str">
        <f>VLOOKUP(L1173,Customers!$A$2:$C$92,3,TRUE)</f>
        <v>Horst Kloss</v>
      </c>
      <c r="C1173" t="str">
        <f t="shared" si="307"/>
        <v>Horst</v>
      </c>
      <c r="D1173" s="8" t="str">
        <f t="shared" si="308"/>
        <v>Kloss</v>
      </c>
      <c r="E1173" s="8" t="str">
        <f t="shared" si="309"/>
        <v>Kloss, Horst</v>
      </c>
      <c r="F1173" s="8" t="str">
        <f t="shared" si="310"/>
        <v>Kloss, Horst</v>
      </c>
      <c r="G1173" s="8" t="str">
        <f t="shared" si="311"/>
        <v>not an outlier</v>
      </c>
      <c r="H1173" s="8" t="str">
        <f t="shared" si="312"/>
        <v>moderate</v>
      </c>
      <c r="I1173" s="8" t="str">
        <f t="shared" si="322"/>
        <v>no</v>
      </c>
      <c r="J1173" s="10" t="str">
        <f t="shared" si="313"/>
        <v>no</v>
      </c>
      <c r="K1173" s="10" t="str">
        <f t="shared" si="314"/>
        <v>moderate</v>
      </c>
      <c r="L1173" t="s">
        <v>475</v>
      </c>
      <c r="M1173">
        <v>10694</v>
      </c>
      <c r="N1173">
        <v>7</v>
      </c>
      <c r="O1173" t="s">
        <v>715</v>
      </c>
      <c r="P1173" t="str">
        <f t="shared" si="315"/>
        <v>QUICK_10694_Uncle Bob's Organic Dried Pears</v>
      </c>
      <c r="Q1173" t="str">
        <f t="shared" si="316"/>
        <v>10694</v>
      </c>
      <c r="R1173" t="str">
        <f t="shared" si="317"/>
        <v>10694</v>
      </c>
      <c r="S1173" t="str">
        <f t="shared" si="318"/>
        <v>Uncle Bob's Organic Dried Pears</v>
      </c>
      <c r="T1173">
        <v>30</v>
      </c>
      <c r="U1173">
        <v>90</v>
      </c>
      <c r="V1173">
        <v>0</v>
      </c>
      <c r="W1173">
        <f t="shared" si="319"/>
        <v>2700</v>
      </c>
      <c r="X1173" t="str">
        <f t="shared" si="320"/>
        <v>No</v>
      </c>
      <c r="Y1173" s="2">
        <v>35009</v>
      </c>
      <c r="Z1173" t="str">
        <f t="shared" si="306"/>
        <v/>
      </c>
      <c r="AA1173" t="str">
        <f t="shared" si="321"/>
        <v/>
      </c>
      <c r="AB1173" t="str" cm="1">
        <f t="array" ref="AB1173">_xlfn.IFS(Y1173&lt;DATE(1996,1,1),"",Y1173&lt;DATE(1996,4,1),"Q1",Y1173&lt;DATE(1996,7,1),"Q2",Y1173&gt;=DATE(1996,7,1),"")</f>
        <v/>
      </c>
    </row>
    <row r="1174" spans="1:28" ht="14.4" x14ac:dyDescent="0.55000000000000004">
      <c r="A1174" t="str">
        <f>VLOOKUP(L1174,Customers!$A$2:$B$92,2,FALSE)</f>
        <v>QUICK-Stop</v>
      </c>
      <c r="B1174" t="str">
        <f>VLOOKUP(L1174,Customers!$A$2:$C$92,3,TRUE)</f>
        <v>Horst Kloss</v>
      </c>
      <c r="C1174" t="str">
        <f t="shared" si="307"/>
        <v>Horst</v>
      </c>
      <c r="D1174" s="8" t="str">
        <f t="shared" si="308"/>
        <v>Kloss</v>
      </c>
      <c r="E1174" s="8" t="str">
        <f t="shared" si="309"/>
        <v>Kloss, Horst</v>
      </c>
      <c r="F1174" s="8" t="str">
        <f t="shared" si="310"/>
        <v>Kloss, Horst</v>
      </c>
      <c r="G1174" s="8" t="str">
        <f t="shared" si="311"/>
        <v>not an outlier</v>
      </c>
      <c r="H1174" s="8" t="str">
        <f t="shared" si="312"/>
        <v>Not</v>
      </c>
      <c r="I1174" s="8" t="str">
        <f t="shared" si="322"/>
        <v>no</v>
      </c>
      <c r="J1174" s="10" t="str">
        <f t="shared" si="313"/>
        <v>no</v>
      </c>
      <c r="K1174" s="10" t="str">
        <f t="shared" si="314"/>
        <v>no</v>
      </c>
      <c r="L1174" t="s">
        <v>475</v>
      </c>
      <c r="M1174">
        <v>10694</v>
      </c>
      <c r="N1174">
        <v>59</v>
      </c>
      <c r="O1174" t="s">
        <v>704</v>
      </c>
      <c r="P1174" t="str">
        <f t="shared" si="315"/>
        <v>QUICK_10694_Raclette Courdavault</v>
      </c>
      <c r="Q1174" t="str">
        <f t="shared" si="316"/>
        <v>10694</v>
      </c>
      <c r="R1174" t="str">
        <f t="shared" si="317"/>
        <v>10694</v>
      </c>
      <c r="S1174" t="str">
        <f t="shared" si="318"/>
        <v>Raclette Courdavault</v>
      </c>
      <c r="T1174">
        <v>55</v>
      </c>
      <c r="U1174">
        <v>25</v>
      </c>
      <c r="V1174">
        <v>0</v>
      </c>
      <c r="W1174">
        <f t="shared" si="319"/>
        <v>1375</v>
      </c>
      <c r="X1174" t="str">
        <f t="shared" si="320"/>
        <v>No</v>
      </c>
      <c r="Y1174" s="2">
        <v>35009</v>
      </c>
      <c r="Z1174" t="str">
        <f t="shared" si="306"/>
        <v/>
      </c>
      <c r="AA1174" t="str">
        <f t="shared" si="321"/>
        <v/>
      </c>
      <c r="AB1174" t="str" cm="1">
        <f t="array" ref="AB1174">_xlfn.IFS(Y1174&lt;DATE(1996,1,1),"",Y1174&lt;DATE(1996,4,1),"Q1",Y1174&lt;DATE(1996,7,1),"Q2",Y1174&gt;=DATE(1996,7,1),"")</f>
        <v/>
      </c>
    </row>
    <row r="1175" spans="1:28" ht="14.4" x14ac:dyDescent="0.55000000000000004">
      <c r="A1175" t="str">
        <f>VLOOKUP(L1175,Customers!$A$2:$B$92,2,FALSE)</f>
        <v>QUICK-Stop</v>
      </c>
      <c r="B1175" t="str">
        <f>VLOOKUP(L1175,Customers!$A$2:$C$92,3,TRUE)</f>
        <v>Horst Kloss</v>
      </c>
      <c r="C1175" t="str">
        <f t="shared" si="307"/>
        <v>Horst</v>
      </c>
      <c r="D1175" s="8" t="str">
        <f t="shared" si="308"/>
        <v>Kloss</v>
      </c>
      <c r="E1175" s="8" t="str">
        <f t="shared" si="309"/>
        <v>Kloss, Horst</v>
      </c>
      <c r="F1175" s="8" t="str">
        <f t="shared" si="310"/>
        <v>Kloss, Horst</v>
      </c>
      <c r="G1175" s="8" t="str">
        <f t="shared" si="311"/>
        <v>not an outlier</v>
      </c>
      <c r="H1175" s="8" t="str">
        <f t="shared" si="312"/>
        <v>Not</v>
      </c>
      <c r="I1175" s="8" t="str">
        <f t="shared" si="322"/>
        <v>no</v>
      </c>
      <c r="J1175" s="10" t="str">
        <f t="shared" si="313"/>
        <v>no</v>
      </c>
      <c r="K1175" s="10" t="str">
        <f t="shared" si="314"/>
        <v>no</v>
      </c>
      <c r="L1175" t="s">
        <v>475</v>
      </c>
      <c r="M1175">
        <v>10694</v>
      </c>
      <c r="N1175">
        <v>70</v>
      </c>
      <c r="O1175" t="s">
        <v>713</v>
      </c>
      <c r="P1175" t="str">
        <f t="shared" si="315"/>
        <v>QUICK_10694_Outback Lager</v>
      </c>
      <c r="Q1175" t="str">
        <f t="shared" si="316"/>
        <v>10694</v>
      </c>
      <c r="R1175" t="str">
        <f t="shared" si="317"/>
        <v>10694</v>
      </c>
      <c r="S1175" t="str">
        <f t="shared" si="318"/>
        <v>Outback Lager</v>
      </c>
      <c r="T1175">
        <v>15</v>
      </c>
      <c r="U1175">
        <v>50</v>
      </c>
      <c r="V1175">
        <v>0</v>
      </c>
      <c r="W1175">
        <f t="shared" si="319"/>
        <v>750</v>
      </c>
      <c r="X1175" t="str">
        <f t="shared" si="320"/>
        <v>No</v>
      </c>
      <c r="Y1175" s="2">
        <v>35009</v>
      </c>
      <c r="Z1175" t="str">
        <f t="shared" si="306"/>
        <v/>
      </c>
      <c r="AA1175" t="str">
        <f t="shared" si="321"/>
        <v/>
      </c>
      <c r="AB1175" t="str" cm="1">
        <f t="array" ref="AB1175">_xlfn.IFS(Y1175&lt;DATE(1996,1,1),"",Y1175&lt;DATE(1996,4,1),"Q1",Y1175&lt;DATE(1996,7,1),"Q2",Y1175&gt;=DATE(1996,7,1),"")</f>
        <v/>
      </c>
    </row>
    <row r="1176" spans="1:28" ht="14.4" x14ac:dyDescent="0.55000000000000004">
      <c r="A1176" t="str">
        <f>VLOOKUP(L1176,Customers!$A$2:$B$92,2,FALSE)</f>
        <v>Wilman Kala</v>
      </c>
      <c r="B1176" t="str">
        <f>VLOOKUP(L1176,Customers!$A$2:$C$92,3,TRUE)</f>
        <v>Matti Karttunen</v>
      </c>
      <c r="C1176" t="str">
        <f t="shared" si="307"/>
        <v>Matti</v>
      </c>
      <c r="D1176" s="8" t="str">
        <f t="shared" si="308"/>
        <v>Karttunen</v>
      </c>
      <c r="E1176" s="8" t="str">
        <f t="shared" si="309"/>
        <v>Karttunen, Matti</v>
      </c>
      <c r="F1176" s="8" t="str">
        <f t="shared" si="310"/>
        <v>Karttunen, Matti</v>
      </c>
      <c r="G1176" s="8" t="str">
        <f t="shared" si="311"/>
        <v>not an outlier</v>
      </c>
      <c r="H1176" s="8" t="str">
        <f t="shared" si="312"/>
        <v>Not</v>
      </c>
      <c r="I1176" s="8" t="str">
        <f t="shared" si="322"/>
        <v>no</v>
      </c>
      <c r="J1176" s="10" t="str">
        <f t="shared" si="313"/>
        <v>no</v>
      </c>
      <c r="K1176" s="10" t="str">
        <f t="shared" si="314"/>
        <v>no</v>
      </c>
      <c r="L1176" t="s">
        <v>661</v>
      </c>
      <c r="M1176">
        <v>10695</v>
      </c>
      <c r="N1176">
        <v>8</v>
      </c>
      <c r="O1176" t="s">
        <v>754</v>
      </c>
      <c r="P1176" t="str">
        <f t="shared" si="315"/>
        <v>WILMK_10695_Northwoods Cranberry Sauce</v>
      </c>
      <c r="Q1176" t="str">
        <f t="shared" si="316"/>
        <v>10695</v>
      </c>
      <c r="R1176" t="str">
        <f t="shared" si="317"/>
        <v>10695</v>
      </c>
      <c r="S1176" t="str">
        <f t="shared" si="318"/>
        <v>Northwoods Cranberry Sauce</v>
      </c>
      <c r="T1176">
        <v>40</v>
      </c>
      <c r="U1176">
        <v>10</v>
      </c>
      <c r="V1176">
        <v>0</v>
      </c>
      <c r="W1176">
        <f t="shared" si="319"/>
        <v>400</v>
      </c>
      <c r="X1176" t="str">
        <f t="shared" si="320"/>
        <v>No</v>
      </c>
      <c r="Y1176" s="2">
        <v>35010</v>
      </c>
      <c r="Z1176" t="str">
        <f t="shared" si="306"/>
        <v/>
      </c>
      <c r="AA1176" t="str">
        <f t="shared" si="321"/>
        <v/>
      </c>
      <c r="AB1176" t="str" cm="1">
        <f t="array" ref="AB1176">_xlfn.IFS(Y1176&lt;DATE(1996,1,1),"",Y1176&lt;DATE(1996,4,1),"Q1",Y1176&lt;DATE(1996,7,1),"Q2",Y1176&gt;=DATE(1996,7,1),"")</f>
        <v/>
      </c>
    </row>
    <row r="1177" spans="1:28" ht="14.4" x14ac:dyDescent="0.55000000000000004">
      <c r="A1177" t="str">
        <f>VLOOKUP(L1177,Customers!$A$2:$B$92,2,FALSE)</f>
        <v>Wilman Kala</v>
      </c>
      <c r="B1177" t="str">
        <f>VLOOKUP(L1177,Customers!$A$2:$C$92,3,TRUE)</f>
        <v>Matti Karttunen</v>
      </c>
      <c r="C1177" t="str">
        <f t="shared" si="307"/>
        <v>Matti</v>
      </c>
      <c r="D1177" s="8" t="str">
        <f t="shared" si="308"/>
        <v>Karttunen</v>
      </c>
      <c r="E1177" s="8" t="str">
        <f t="shared" si="309"/>
        <v>Karttunen, Matti</v>
      </c>
      <c r="F1177" s="8" t="str">
        <f t="shared" si="310"/>
        <v>Karttunen, Matti</v>
      </c>
      <c r="G1177" s="8" t="str">
        <f t="shared" si="311"/>
        <v>not an outlier</v>
      </c>
      <c r="H1177" s="8" t="str">
        <f t="shared" si="312"/>
        <v>Not</v>
      </c>
      <c r="I1177" s="8" t="str">
        <f t="shared" si="322"/>
        <v>no</v>
      </c>
      <c r="J1177" s="10" t="str">
        <f t="shared" si="313"/>
        <v>no</v>
      </c>
      <c r="K1177" s="10" t="str">
        <f t="shared" si="314"/>
        <v>no</v>
      </c>
      <c r="L1177" t="s">
        <v>661</v>
      </c>
      <c r="M1177">
        <v>10695</v>
      </c>
      <c r="N1177">
        <v>12</v>
      </c>
      <c r="O1177" t="s">
        <v>719</v>
      </c>
      <c r="P1177" t="str">
        <f t="shared" si="315"/>
        <v>WILMK_10695_Queso Manchego La Pastora</v>
      </c>
      <c r="Q1177" t="str">
        <f t="shared" si="316"/>
        <v>10695</v>
      </c>
      <c r="R1177" t="str">
        <f t="shared" si="317"/>
        <v>10695</v>
      </c>
      <c r="S1177" t="str">
        <f t="shared" si="318"/>
        <v>Queso Manchego La Pastora</v>
      </c>
      <c r="T1177">
        <v>38</v>
      </c>
      <c r="U1177">
        <v>4</v>
      </c>
      <c r="V1177">
        <v>0</v>
      </c>
      <c r="W1177">
        <f t="shared" si="319"/>
        <v>152</v>
      </c>
      <c r="X1177" t="str">
        <f t="shared" si="320"/>
        <v>No</v>
      </c>
      <c r="Y1177" s="2">
        <v>35010</v>
      </c>
      <c r="Z1177" t="str">
        <f t="shared" si="306"/>
        <v/>
      </c>
      <c r="AA1177" t="str">
        <f t="shared" si="321"/>
        <v/>
      </c>
      <c r="AB1177" t="str" cm="1">
        <f t="array" ref="AB1177">_xlfn.IFS(Y1177&lt;DATE(1996,1,1),"",Y1177&lt;DATE(1996,4,1),"Q1",Y1177&lt;DATE(1996,7,1),"Q2",Y1177&gt;=DATE(1996,7,1),"")</f>
        <v/>
      </c>
    </row>
    <row r="1178" spans="1:28" ht="14.4" x14ac:dyDescent="0.55000000000000004">
      <c r="A1178" t="str">
        <f>VLOOKUP(L1178,Customers!$A$2:$B$92,2,FALSE)</f>
        <v>Wilman Kala</v>
      </c>
      <c r="B1178" t="str">
        <f>VLOOKUP(L1178,Customers!$A$2:$C$92,3,TRUE)</f>
        <v>Matti Karttunen</v>
      </c>
      <c r="C1178" t="str">
        <f t="shared" si="307"/>
        <v>Matti</v>
      </c>
      <c r="D1178" s="8" t="str">
        <f t="shared" si="308"/>
        <v>Karttunen</v>
      </c>
      <c r="E1178" s="8" t="str">
        <f t="shared" si="309"/>
        <v>Karttunen, Matti</v>
      </c>
      <c r="F1178" s="8" t="str">
        <f t="shared" si="310"/>
        <v>Karttunen, Matti</v>
      </c>
      <c r="G1178" s="8" t="str">
        <f t="shared" si="311"/>
        <v>not an outlier</v>
      </c>
      <c r="H1178" s="8" t="str">
        <f t="shared" si="312"/>
        <v>Not</v>
      </c>
      <c r="I1178" s="8" t="str">
        <f t="shared" si="322"/>
        <v>no</v>
      </c>
      <c r="J1178" s="10" t="str">
        <f t="shared" si="313"/>
        <v>no</v>
      </c>
      <c r="K1178" s="10" t="str">
        <f t="shared" si="314"/>
        <v>no</v>
      </c>
      <c r="L1178" t="s">
        <v>661</v>
      </c>
      <c r="M1178">
        <v>10695</v>
      </c>
      <c r="N1178">
        <v>24</v>
      </c>
      <c r="O1178" t="s">
        <v>698</v>
      </c>
      <c r="P1178" t="str">
        <f t="shared" si="315"/>
        <v>WILMK_10695_Guaraná Fantástica</v>
      </c>
      <c r="Q1178" t="str">
        <f t="shared" si="316"/>
        <v>10695</v>
      </c>
      <c r="R1178" t="str">
        <f t="shared" si="317"/>
        <v>10695</v>
      </c>
      <c r="S1178" t="str">
        <f t="shared" si="318"/>
        <v>Guaraná Fantástica</v>
      </c>
      <c r="T1178">
        <v>4.5</v>
      </c>
      <c r="U1178">
        <v>20</v>
      </c>
      <c r="V1178">
        <v>0</v>
      </c>
      <c r="W1178">
        <f t="shared" si="319"/>
        <v>90</v>
      </c>
      <c r="X1178" t="str">
        <f t="shared" si="320"/>
        <v>No</v>
      </c>
      <c r="Y1178" s="2">
        <v>35010</v>
      </c>
      <c r="Z1178" t="str">
        <f t="shared" si="306"/>
        <v/>
      </c>
      <c r="AA1178" t="str">
        <f t="shared" si="321"/>
        <v/>
      </c>
      <c r="AB1178" t="str" cm="1">
        <f t="array" ref="AB1178">_xlfn.IFS(Y1178&lt;DATE(1996,1,1),"",Y1178&lt;DATE(1996,4,1),"Q1",Y1178&lt;DATE(1996,7,1),"Q2",Y1178&gt;=DATE(1996,7,1),"")</f>
        <v/>
      </c>
    </row>
    <row r="1179" spans="1:28" ht="14.4" x14ac:dyDescent="0.55000000000000004">
      <c r="A1179" t="str">
        <f>VLOOKUP(L1179,Customers!$A$2:$B$92,2,FALSE)</f>
        <v>White Clover Markets</v>
      </c>
      <c r="B1179" t="str">
        <f>VLOOKUP(L1179,Customers!$A$2:$C$92,3,TRUE)</f>
        <v>Karl Jablonski</v>
      </c>
      <c r="C1179" t="str">
        <f t="shared" si="307"/>
        <v>Karl</v>
      </c>
      <c r="D1179" s="8" t="str">
        <f t="shared" si="308"/>
        <v>Jablonski</v>
      </c>
      <c r="E1179" s="8" t="str">
        <f t="shared" si="309"/>
        <v>Jablonski, Karl</v>
      </c>
      <c r="F1179" s="8" t="str">
        <f t="shared" si="310"/>
        <v>Jablonski, Karl</v>
      </c>
      <c r="G1179" s="8" t="str">
        <f t="shared" si="311"/>
        <v>not an outlier</v>
      </c>
      <c r="H1179" s="8" t="str">
        <f t="shared" si="312"/>
        <v>Not</v>
      </c>
      <c r="I1179" s="8" t="str">
        <f t="shared" si="322"/>
        <v>no</v>
      </c>
      <c r="J1179" s="10" t="str">
        <f t="shared" si="313"/>
        <v>no</v>
      </c>
      <c r="K1179" s="10" t="str">
        <f t="shared" si="314"/>
        <v>no</v>
      </c>
      <c r="L1179" t="s">
        <v>654</v>
      </c>
      <c r="M1179">
        <v>10696</v>
      </c>
      <c r="N1179">
        <v>17</v>
      </c>
      <c r="O1179" t="s">
        <v>718</v>
      </c>
      <c r="P1179" t="str">
        <f t="shared" si="315"/>
        <v>WHITC_10696_Alice Mutton</v>
      </c>
      <c r="Q1179" t="str">
        <f t="shared" si="316"/>
        <v>10696</v>
      </c>
      <c r="R1179" t="str">
        <f t="shared" si="317"/>
        <v>10696</v>
      </c>
      <c r="S1179" t="str">
        <f t="shared" si="318"/>
        <v>Alice Mutton</v>
      </c>
      <c r="T1179">
        <v>39</v>
      </c>
      <c r="U1179">
        <v>20</v>
      </c>
      <c r="V1179">
        <v>0</v>
      </c>
      <c r="W1179">
        <f t="shared" si="319"/>
        <v>780</v>
      </c>
      <c r="X1179" t="str">
        <f t="shared" si="320"/>
        <v>No</v>
      </c>
      <c r="Y1179" s="2">
        <v>35011</v>
      </c>
      <c r="Z1179" t="str">
        <f t="shared" si="306"/>
        <v/>
      </c>
      <c r="AA1179" t="str">
        <f t="shared" si="321"/>
        <v/>
      </c>
      <c r="AB1179" t="str" cm="1">
        <f t="array" ref="AB1179">_xlfn.IFS(Y1179&lt;DATE(1996,1,1),"",Y1179&lt;DATE(1996,4,1),"Q1",Y1179&lt;DATE(1996,7,1),"Q2",Y1179&gt;=DATE(1996,7,1),"")</f>
        <v/>
      </c>
    </row>
    <row r="1180" spans="1:28" ht="14.4" x14ac:dyDescent="0.55000000000000004">
      <c r="A1180" t="str">
        <f>VLOOKUP(L1180,Customers!$A$2:$B$92,2,FALSE)</f>
        <v>White Clover Markets</v>
      </c>
      <c r="B1180" t="str">
        <f>VLOOKUP(L1180,Customers!$A$2:$C$92,3,TRUE)</f>
        <v>Karl Jablonski</v>
      </c>
      <c r="C1180" t="str">
        <f t="shared" si="307"/>
        <v>Karl</v>
      </c>
      <c r="D1180" s="8" t="str">
        <f t="shared" si="308"/>
        <v>Jablonski</v>
      </c>
      <c r="E1180" s="8" t="str">
        <f t="shared" si="309"/>
        <v>Jablonski, Karl</v>
      </c>
      <c r="F1180" s="8" t="str">
        <f t="shared" si="310"/>
        <v>Jablonski, Karl</v>
      </c>
      <c r="G1180" s="8" t="str">
        <f t="shared" si="311"/>
        <v>not an outlier</v>
      </c>
      <c r="H1180" s="8" t="str">
        <f t="shared" si="312"/>
        <v>Not</v>
      </c>
      <c r="I1180" s="8" t="str">
        <f t="shared" si="322"/>
        <v>no</v>
      </c>
      <c r="J1180" s="10" t="str">
        <f t="shared" si="313"/>
        <v>no</v>
      </c>
      <c r="K1180" s="10" t="str">
        <f t="shared" si="314"/>
        <v>no</v>
      </c>
      <c r="L1180" t="s">
        <v>654</v>
      </c>
      <c r="M1180">
        <v>10696</v>
      </c>
      <c r="N1180">
        <v>46</v>
      </c>
      <c r="O1180" t="s">
        <v>737</v>
      </c>
      <c r="P1180" t="str">
        <f t="shared" si="315"/>
        <v>WHITC_10696_Spegesild</v>
      </c>
      <c r="Q1180" t="str">
        <f t="shared" si="316"/>
        <v>10696</v>
      </c>
      <c r="R1180" t="str">
        <f t="shared" si="317"/>
        <v>10696</v>
      </c>
      <c r="S1180" t="str">
        <f t="shared" si="318"/>
        <v>Spegesild</v>
      </c>
      <c r="T1180">
        <v>12</v>
      </c>
      <c r="U1180">
        <v>18</v>
      </c>
      <c r="V1180">
        <v>0</v>
      </c>
      <c r="W1180">
        <f t="shared" si="319"/>
        <v>216</v>
      </c>
      <c r="X1180" t="str">
        <f t="shared" si="320"/>
        <v>No</v>
      </c>
      <c r="Y1180" s="2">
        <v>35011</v>
      </c>
      <c r="Z1180" t="str">
        <f t="shared" si="306"/>
        <v/>
      </c>
      <c r="AA1180" t="str">
        <f t="shared" si="321"/>
        <v/>
      </c>
      <c r="AB1180" t="str" cm="1">
        <f t="array" ref="AB1180">_xlfn.IFS(Y1180&lt;DATE(1996,1,1),"",Y1180&lt;DATE(1996,4,1),"Q1",Y1180&lt;DATE(1996,7,1),"Q2",Y1180&gt;=DATE(1996,7,1),"")</f>
        <v/>
      </c>
    </row>
    <row r="1181" spans="1:28" ht="14.4" x14ac:dyDescent="0.55000000000000004">
      <c r="A1181" t="str">
        <f>VLOOKUP(L1181,Customers!$A$2:$B$92,2,FALSE)</f>
        <v>LINO-Delicateses</v>
      </c>
      <c r="B1181" t="str">
        <f>VLOOKUP(L1181,Customers!$A$2:$C$92,3,TRUE)</f>
        <v>Felipe Izquierdo</v>
      </c>
      <c r="C1181" t="str">
        <f t="shared" si="307"/>
        <v>Felipe</v>
      </c>
      <c r="D1181" s="8" t="str">
        <f t="shared" si="308"/>
        <v>Izquierdo</v>
      </c>
      <c r="E1181" s="8" t="str">
        <f t="shared" si="309"/>
        <v>Izquierdo, Felipe</v>
      </c>
      <c r="F1181" s="8" t="str">
        <f t="shared" si="310"/>
        <v>Izquierdo, Felipe</v>
      </c>
      <c r="G1181" s="8" t="str">
        <f t="shared" si="311"/>
        <v>not an outlier</v>
      </c>
      <c r="H1181" s="8" t="str">
        <f t="shared" si="312"/>
        <v>Not</v>
      </c>
      <c r="I1181" s="8" t="str">
        <f t="shared" si="322"/>
        <v>no</v>
      </c>
      <c r="J1181" s="10" t="str">
        <f t="shared" si="313"/>
        <v>no</v>
      </c>
      <c r="K1181" s="10" t="str">
        <f t="shared" si="314"/>
        <v>no</v>
      </c>
      <c r="L1181" t="s">
        <v>363</v>
      </c>
      <c r="M1181">
        <v>10697</v>
      </c>
      <c r="N1181">
        <v>19</v>
      </c>
      <c r="O1181" t="s">
        <v>732</v>
      </c>
      <c r="P1181" t="str">
        <f t="shared" si="315"/>
        <v>LINOD_10697_Teatime Chocolate Biscuits</v>
      </c>
      <c r="Q1181" t="str">
        <f t="shared" si="316"/>
        <v>10697</v>
      </c>
      <c r="R1181" t="str">
        <f t="shared" si="317"/>
        <v>10697</v>
      </c>
      <c r="S1181" t="str">
        <f t="shared" si="318"/>
        <v>Teatime Chocolate Biscuits</v>
      </c>
      <c r="T1181">
        <v>9.1999999999999993</v>
      </c>
      <c r="U1181">
        <v>7</v>
      </c>
      <c r="V1181">
        <v>0.25</v>
      </c>
      <c r="W1181">
        <f t="shared" si="319"/>
        <v>48.3</v>
      </c>
      <c r="X1181" t="str">
        <f t="shared" si="320"/>
        <v>No</v>
      </c>
      <c r="Y1181" s="2">
        <v>35011</v>
      </c>
      <c r="Z1181" t="str">
        <f t="shared" si="306"/>
        <v/>
      </c>
      <c r="AA1181" t="str">
        <f t="shared" si="321"/>
        <v/>
      </c>
      <c r="AB1181" t="str" cm="1">
        <f t="array" ref="AB1181">_xlfn.IFS(Y1181&lt;DATE(1996,1,1),"",Y1181&lt;DATE(1996,4,1),"Q1",Y1181&lt;DATE(1996,7,1),"Q2",Y1181&gt;=DATE(1996,7,1),"")</f>
        <v/>
      </c>
    </row>
    <row r="1182" spans="1:28" ht="14.4" x14ac:dyDescent="0.55000000000000004">
      <c r="A1182" t="str">
        <f>VLOOKUP(L1182,Customers!$A$2:$B$92,2,FALSE)</f>
        <v>LINO-Delicateses</v>
      </c>
      <c r="B1182" t="str">
        <f>VLOOKUP(L1182,Customers!$A$2:$C$92,3,TRUE)</f>
        <v>Felipe Izquierdo</v>
      </c>
      <c r="C1182" t="str">
        <f t="shared" si="307"/>
        <v>Felipe</v>
      </c>
      <c r="D1182" s="8" t="str">
        <f t="shared" si="308"/>
        <v>Izquierdo</v>
      </c>
      <c r="E1182" s="8" t="str">
        <f t="shared" si="309"/>
        <v>Izquierdo, Felipe</v>
      </c>
      <c r="F1182" s="8" t="str">
        <f t="shared" si="310"/>
        <v>Izquierdo, Felipe</v>
      </c>
      <c r="G1182" s="8" t="str">
        <f t="shared" si="311"/>
        <v>not an outlier</v>
      </c>
      <c r="H1182" s="8" t="str">
        <f t="shared" si="312"/>
        <v>Not</v>
      </c>
      <c r="I1182" s="8" t="str">
        <f t="shared" si="322"/>
        <v>no</v>
      </c>
      <c r="J1182" s="10" t="str">
        <f t="shared" si="313"/>
        <v>no</v>
      </c>
      <c r="K1182" s="10" t="str">
        <f t="shared" si="314"/>
        <v>no</v>
      </c>
      <c r="L1182" t="s">
        <v>363</v>
      </c>
      <c r="M1182">
        <v>10697</v>
      </c>
      <c r="N1182">
        <v>35</v>
      </c>
      <c r="O1182" t="s">
        <v>714</v>
      </c>
      <c r="P1182" t="str">
        <f t="shared" si="315"/>
        <v>LINOD_10697_Steeleye Stout</v>
      </c>
      <c r="Q1182" t="str">
        <f t="shared" si="316"/>
        <v>10697</v>
      </c>
      <c r="R1182" t="str">
        <f t="shared" si="317"/>
        <v>10697</v>
      </c>
      <c r="S1182" t="str">
        <f t="shared" si="318"/>
        <v>Steeleye Stout</v>
      </c>
      <c r="T1182">
        <v>18</v>
      </c>
      <c r="U1182">
        <v>9</v>
      </c>
      <c r="V1182">
        <v>0.25</v>
      </c>
      <c r="W1182">
        <f t="shared" si="319"/>
        <v>121.5</v>
      </c>
      <c r="X1182" t="str">
        <f t="shared" si="320"/>
        <v>No</v>
      </c>
      <c r="Y1182" s="2">
        <v>35011</v>
      </c>
      <c r="Z1182" t="str">
        <f t="shared" si="306"/>
        <v/>
      </c>
      <c r="AA1182" t="str">
        <f t="shared" si="321"/>
        <v/>
      </c>
      <c r="AB1182" t="str" cm="1">
        <f t="array" ref="AB1182">_xlfn.IFS(Y1182&lt;DATE(1996,1,1),"",Y1182&lt;DATE(1996,4,1),"Q1",Y1182&lt;DATE(1996,7,1),"Q2",Y1182&gt;=DATE(1996,7,1),"")</f>
        <v/>
      </c>
    </row>
    <row r="1183" spans="1:28" ht="14.4" x14ac:dyDescent="0.55000000000000004">
      <c r="A1183" t="str">
        <f>VLOOKUP(L1183,Customers!$A$2:$B$92,2,FALSE)</f>
        <v>LINO-Delicateses</v>
      </c>
      <c r="B1183" t="str">
        <f>VLOOKUP(L1183,Customers!$A$2:$C$92,3,TRUE)</f>
        <v>Felipe Izquierdo</v>
      </c>
      <c r="C1183" t="str">
        <f t="shared" si="307"/>
        <v>Felipe</v>
      </c>
      <c r="D1183" s="8" t="str">
        <f t="shared" si="308"/>
        <v>Izquierdo</v>
      </c>
      <c r="E1183" s="8" t="str">
        <f t="shared" si="309"/>
        <v>Izquierdo, Felipe</v>
      </c>
      <c r="F1183" s="8" t="str">
        <f t="shared" si="310"/>
        <v>Izquierdo, Felipe</v>
      </c>
      <c r="G1183" s="8" t="str">
        <f t="shared" si="311"/>
        <v>not an outlier</v>
      </c>
      <c r="H1183" s="8" t="str">
        <f t="shared" si="312"/>
        <v>Not</v>
      </c>
      <c r="I1183" s="8" t="str">
        <f t="shared" si="322"/>
        <v>no</v>
      </c>
      <c r="J1183" s="10" t="str">
        <f t="shared" si="313"/>
        <v>no</v>
      </c>
      <c r="K1183" s="10" t="str">
        <f t="shared" si="314"/>
        <v>no</v>
      </c>
      <c r="L1183" t="s">
        <v>363</v>
      </c>
      <c r="M1183">
        <v>10697</v>
      </c>
      <c r="N1183">
        <v>58</v>
      </c>
      <c r="O1183" t="s">
        <v>747</v>
      </c>
      <c r="P1183" t="str">
        <f t="shared" si="315"/>
        <v>LINOD_10697_Escargots de Bourgogne</v>
      </c>
      <c r="Q1183" t="str">
        <f t="shared" si="316"/>
        <v>10697</v>
      </c>
      <c r="R1183" t="str">
        <f t="shared" si="317"/>
        <v>10697</v>
      </c>
      <c r="S1183" t="str">
        <f t="shared" si="318"/>
        <v>Escargots de Bourgogne</v>
      </c>
      <c r="T1183">
        <v>13.25</v>
      </c>
      <c r="U1183">
        <v>30</v>
      </c>
      <c r="V1183">
        <v>0.25</v>
      </c>
      <c r="W1183">
        <f t="shared" si="319"/>
        <v>298.125</v>
      </c>
      <c r="X1183" t="str">
        <f t="shared" si="320"/>
        <v>No</v>
      </c>
      <c r="Y1183" s="2">
        <v>35011</v>
      </c>
      <c r="Z1183" t="str">
        <f t="shared" si="306"/>
        <v/>
      </c>
      <c r="AA1183" t="str">
        <f t="shared" si="321"/>
        <v/>
      </c>
      <c r="AB1183" t="str" cm="1">
        <f t="array" ref="AB1183">_xlfn.IFS(Y1183&lt;DATE(1996,1,1),"",Y1183&lt;DATE(1996,4,1),"Q1",Y1183&lt;DATE(1996,7,1),"Q2",Y1183&gt;=DATE(1996,7,1),"")</f>
        <v/>
      </c>
    </row>
    <row r="1184" spans="1:28" ht="14.4" x14ac:dyDescent="0.55000000000000004">
      <c r="A1184" t="str">
        <f>VLOOKUP(L1184,Customers!$A$2:$B$92,2,FALSE)</f>
        <v>LINO-Delicateses</v>
      </c>
      <c r="B1184" t="str">
        <f>VLOOKUP(L1184,Customers!$A$2:$C$92,3,TRUE)</f>
        <v>Felipe Izquierdo</v>
      </c>
      <c r="C1184" t="str">
        <f t="shared" si="307"/>
        <v>Felipe</v>
      </c>
      <c r="D1184" s="8" t="str">
        <f t="shared" si="308"/>
        <v>Izquierdo</v>
      </c>
      <c r="E1184" s="8" t="str">
        <f t="shared" si="309"/>
        <v>Izquierdo, Felipe</v>
      </c>
      <c r="F1184" s="8" t="str">
        <f t="shared" si="310"/>
        <v>Izquierdo, Felipe</v>
      </c>
      <c r="G1184" s="8" t="str">
        <f t="shared" si="311"/>
        <v>not an outlier</v>
      </c>
      <c r="H1184" s="8" t="str">
        <f t="shared" si="312"/>
        <v>Not</v>
      </c>
      <c r="I1184" s="8" t="str">
        <f t="shared" si="322"/>
        <v>no</v>
      </c>
      <c r="J1184" s="10" t="str">
        <f t="shared" si="313"/>
        <v>no</v>
      </c>
      <c r="K1184" s="10" t="str">
        <f t="shared" si="314"/>
        <v>no</v>
      </c>
      <c r="L1184" t="s">
        <v>363</v>
      </c>
      <c r="M1184">
        <v>10697</v>
      </c>
      <c r="N1184">
        <v>70</v>
      </c>
      <c r="O1184" t="s">
        <v>713</v>
      </c>
      <c r="P1184" t="str">
        <f t="shared" si="315"/>
        <v>LINOD_10697_Outback Lager</v>
      </c>
      <c r="Q1184" t="str">
        <f t="shared" si="316"/>
        <v>10697</v>
      </c>
      <c r="R1184" t="str">
        <f t="shared" si="317"/>
        <v>10697</v>
      </c>
      <c r="S1184" t="str">
        <f t="shared" si="318"/>
        <v>Outback Lager</v>
      </c>
      <c r="T1184">
        <v>15</v>
      </c>
      <c r="U1184">
        <v>30</v>
      </c>
      <c r="V1184">
        <v>0.25</v>
      </c>
      <c r="W1184">
        <f t="shared" si="319"/>
        <v>337.5</v>
      </c>
      <c r="X1184" t="str">
        <f t="shared" si="320"/>
        <v>No</v>
      </c>
      <c r="Y1184" s="2">
        <v>35011</v>
      </c>
      <c r="Z1184" t="str">
        <f t="shared" si="306"/>
        <v/>
      </c>
      <c r="AA1184" t="str">
        <f t="shared" si="321"/>
        <v/>
      </c>
      <c r="AB1184" t="str" cm="1">
        <f t="array" ref="AB1184">_xlfn.IFS(Y1184&lt;DATE(1996,1,1),"",Y1184&lt;DATE(1996,4,1),"Q1",Y1184&lt;DATE(1996,7,1),"Q2",Y1184&gt;=DATE(1996,7,1),"")</f>
        <v/>
      </c>
    </row>
    <row r="1185" spans="1:28" ht="14.4" x14ac:dyDescent="0.55000000000000004">
      <c r="A1185" t="str">
        <f>VLOOKUP(L1185,Customers!$A$2:$B$92,2,FALSE)</f>
        <v>Ernst Handel</v>
      </c>
      <c r="B1185" t="str">
        <f>VLOOKUP(L1185,Customers!$A$2:$C$92,3,TRUE)</f>
        <v>Roland Mendel</v>
      </c>
      <c r="C1185" t="str">
        <f t="shared" si="307"/>
        <v>Roland</v>
      </c>
      <c r="D1185" s="8" t="str">
        <f t="shared" si="308"/>
        <v>Mendel</v>
      </c>
      <c r="E1185" s="8" t="str">
        <f t="shared" si="309"/>
        <v>Mendel, Roland</v>
      </c>
      <c r="F1185" s="8" t="str">
        <f t="shared" si="310"/>
        <v>Mendel, Roland</v>
      </c>
      <c r="G1185" s="8" t="str">
        <f t="shared" si="311"/>
        <v>not an outlier</v>
      </c>
      <c r="H1185" s="8" t="str">
        <f t="shared" si="312"/>
        <v>Not</v>
      </c>
      <c r="I1185" s="8" t="str">
        <f t="shared" si="322"/>
        <v>no</v>
      </c>
      <c r="J1185" s="10" t="str">
        <f t="shared" si="313"/>
        <v>no</v>
      </c>
      <c r="K1185" s="10" t="str">
        <f t="shared" si="314"/>
        <v>no</v>
      </c>
      <c r="L1185" t="s">
        <v>161</v>
      </c>
      <c r="M1185">
        <v>10698</v>
      </c>
      <c r="N1185">
        <v>11</v>
      </c>
      <c r="O1185" t="s">
        <v>683</v>
      </c>
      <c r="P1185" t="str">
        <f t="shared" si="315"/>
        <v>ERNSH_10698_Queso Cabrales</v>
      </c>
      <c r="Q1185" t="str">
        <f t="shared" si="316"/>
        <v>10698</v>
      </c>
      <c r="R1185" t="str">
        <f t="shared" si="317"/>
        <v>10698</v>
      </c>
      <c r="S1185" t="str">
        <f t="shared" si="318"/>
        <v>Queso Cabrales</v>
      </c>
      <c r="T1185">
        <v>21</v>
      </c>
      <c r="U1185">
        <v>15</v>
      </c>
      <c r="V1185">
        <v>0</v>
      </c>
      <c r="W1185">
        <f t="shared" si="319"/>
        <v>315</v>
      </c>
      <c r="X1185" t="str">
        <f t="shared" si="320"/>
        <v>No</v>
      </c>
      <c r="Y1185" s="2">
        <v>35012</v>
      </c>
      <c r="Z1185" t="str">
        <f t="shared" si="306"/>
        <v/>
      </c>
      <c r="AA1185" t="str">
        <f t="shared" si="321"/>
        <v/>
      </c>
      <c r="AB1185" t="str" cm="1">
        <f t="array" ref="AB1185">_xlfn.IFS(Y1185&lt;DATE(1996,1,1),"",Y1185&lt;DATE(1996,4,1),"Q1",Y1185&lt;DATE(1996,7,1),"Q2",Y1185&gt;=DATE(1996,7,1),"")</f>
        <v/>
      </c>
    </row>
    <row r="1186" spans="1:28" ht="14.4" x14ac:dyDescent="0.55000000000000004">
      <c r="A1186" t="str">
        <f>VLOOKUP(L1186,Customers!$A$2:$B$92,2,FALSE)</f>
        <v>Ernst Handel</v>
      </c>
      <c r="B1186" t="str">
        <f>VLOOKUP(L1186,Customers!$A$2:$C$92,3,TRUE)</f>
        <v>Roland Mendel</v>
      </c>
      <c r="C1186" t="str">
        <f t="shared" si="307"/>
        <v>Roland</v>
      </c>
      <c r="D1186" s="8" t="str">
        <f t="shared" si="308"/>
        <v>Mendel</v>
      </c>
      <c r="E1186" s="8" t="str">
        <f t="shared" si="309"/>
        <v>Mendel, Roland</v>
      </c>
      <c r="F1186" s="8" t="str">
        <f t="shared" si="310"/>
        <v>Mendel, Roland</v>
      </c>
      <c r="G1186" s="8" t="str">
        <f t="shared" si="311"/>
        <v>not an outlier</v>
      </c>
      <c r="H1186" s="8" t="str">
        <f t="shared" si="312"/>
        <v>Not</v>
      </c>
      <c r="I1186" s="8" t="str">
        <f t="shared" si="322"/>
        <v>no</v>
      </c>
      <c r="J1186" s="10" t="str">
        <f t="shared" si="313"/>
        <v>no</v>
      </c>
      <c r="K1186" s="10" t="str">
        <f t="shared" si="314"/>
        <v>no</v>
      </c>
      <c r="L1186" t="s">
        <v>161</v>
      </c>
      <c r="M1186">
        <v>10698</v>
      </c>
      <c r="N1186">
        <v>17</v>
      </c>
      <c r="O1186" t="s">
        <v>718</v>
      </c>
      <c r="P1186" t="str">
        <f t="shared" si="315"/>
        <v>ERNSH_10698_Alice Mutton</v>
      </c>
      <c r="Q1186" t="str">
        <f t="shared" si="316"/>
        <v>10698</v>
      </c>
      <c r="R1186" t="str">
        <f t="shared" si="317"/>
        <v>10698</v>
      </c>
      <c r="S1186" t="str">
        <f t="shared" si="318"/>
        <v>Alice Mutton</v>
      </c>
      <c r="T1186">
        <v>39</v>
      </c>
      <c r="U1186">
        <v>8</v>
      </c>
      <c r="V1186">
        <v>0.05</v>
      </c>
      <c r="W1186">
        <f t="shared" si="319"/>
        <v>296.39999999999998</v>
      </c>
      <c r="X1186" t="str">
        <f t="shared" si="320"/>
        <v>No</v>
      </c>
      <c r="Y1186" s="2">
        <v>35012</v>
      </c>
      <c r="Z1186" t="str">
        <f t="shared" si="306"/>
        <v/>
      </c>
      <c r="AA1186" t="str">
        <f t="shared" si="321"/>
        <v/>
      </c>
      <c r="AB1186" t="str" cm="1">
        <f t="array" ref="AB1186">_xlfn.IFS(Y1186&lt;DATE(1996,1,1),"",Y1186&lt;DATE(1996,4,1),"Q1",Y1186&lt;DATE(1996,7,1),"Q2",Y1186&gt;=DATE(1996,7,1),"")</f>
        <v/>
      </c>
    </row>
    <row r="1187" spans="1:28" ht="14.4" x14ac:dyDescent="0.55000000000000004">
      <c r="A1187" t="str">
        <f>VLOOKUP(L1187,Customers!$A$2:$B$92,2,FALSE)</f>
        <v>Ernst Handel</v>
      </c>
      <c r="B1187" t="str">
        <f>VLOOKUP(L1187,Customers!$A$2:$C$92,3,TRUE)</f>
        <v>Roland Mendel</v>
      </c>
      <c r="C1187" t="str">
        <f t="shared" si="307"/>
        <v>Roland</v>
      </c>
      <c r="D1187" s="8" t="str">
        <f t="shared" si="308"/>
        <v>Mendel</v>
      </c>
      <c r="E1187" s="8" t="str">
        <f t="shared" si="309"/>
        <v>Mendel, Roland</v>
      </c>
      <c r="F1187" s="8" t="str">
        <f t="shared" si="310"/>
        <v>Mendel, Roland</v>
      </c>
      <c r="G1187" s="8" t="str">
        <f t="shared" si="311"/>
        <v>not an outlier</v>
      </c>
      <c r="H1187" s="8" t="str">
        <f t="shared" si="312"/>
        <v>Not</v>
      </c>
      <c r="I1187" s="8" t="str">
        <f t="shared" si="322"/>
        <v>no</v>
      </c>
      <c r="J1187" s="10" t="str">
        <f t="shared" si="313"/>
        <v>no</v>
      </c>
      <c r="K1187" s="10" t="str">
        <f t="shared" si="314"/>
        <v>no</v>
      </c>
      <c r="L1187" t="s">
        <v>161</v>
      </c>
      <c r="M1187">
        <v>10698</v>
      </c>
      <c r="N1187">
        <v>29</v>
      </c>
      <c r="O1187" t="s">
        <v>722</v>
      </c>
      <c r="P1187" t="str">
        <f t="shared" si="315"/>
        <v>ERNSH_10698_Thüringer Rostbratwurst</v>
      </c>
      <c r="Q1187" t="str">
        <f t="shared" si="316"/>
        <v>10698</v>
      </c>
      <c r="R1187" t="str">
        <f t="shared" si="317"/>
        <v>10698</v>
      </c>
      <c r="S1187" t="str">
        <f t="shared" si="318"/>
        <v>Thüringer Rostbratwurst</v>
      </c>
      <c r="T1187">
        <v>123.79</v>
      </c>
      <c r="U1187">
        <v>12</v>
      </c>
      <c r="V1187">
        <v>0.05</v>
      </c>
      <c r="W1187">
        <f t="shared" si="319"/>
        <v>1411.2059999999999</v>
      </c>
      <c r="X1187" t="str">
        <f t="shared" si="320"/>
        <v>No</v>
      </c>
      <c r="Y1187" s="2">
        <v>35012</v>
      </c>
      <c r="Z1187" t="str">
        <f t="shared" si="306"/>
        <v/>
      </c>
      <c r="AA1187" t="str">
        <f t="shared" si="321"/>
        <v/>
      </c>
      <c r="AB1187" t="str" cm="1">
        <f t="array" ref="AB1187">_xlfn.IFS(Y1187&lt;DATE(1996,1,1),"",Y1187&lt;DATE(1996,4,1),"Q1",Y1187&lt;DATE(1996,7,1),"Q2",Y1187&gt;=DATE(1996,7,1),"")</f>
        <v/>
      </c>
    </row>
    <row r="1188" spans="1:28" ht="14.4" x14ac:dyDescent="0.55000000000000004">
      <c r="A1188" t="str">
        <f>VLOOKUP(L1188,Customers!$A$2:$B$92,2,FALSE)</f>
        <v>Ernst Handel</v>
      </c>
      <c r="B1188" t="str">
        <f>VLOOKUP(L1188,Customers!$A$2:$C$92,3,TRUE)</f>
        <v>Roland Mendel</v>
      </c>
      <c r="C1188" t="str">
        <f t="shared" si="307"/>
        <v>Roland</v>
      </c>
      <c r="D1188" s="8" t="str">
        <f t="shared" si="308"/>
        <v>Mendel</v>
      </c>
      <c r="E1188" s="8" t="str">
        <f t="shared" si="309"/>
        <v>Mendel, Roland</v>
      </c>
      <c r="F1188" s="8" t="str">
        <f t="shared" si="310"/>
        <v>Mendel, Roland</v>
      </c>
      <c r="G1188" s="8" t="str">
        <f t="shared" si="311"/>
        <v>not an outlier</v>
      </c>
      <c r="H1188" s="8" t="str">
        <f t="shared" si="312"/>
        <v>Not</v>
      </c>
      <c r="I1188" s="8" t="str">
        <f t="shared" si="322"/>
        <v>no</v>
      </c>
      <c r="J1188" s="10" t="str">
        <f t="shared" si="313"/>
        <v>no</v>
      </c>
      <c r="K1188" s="10" t="str">
        <f t="shared" si="314"/>
        <v>no</v>
      </c>
      <c r="L1188" t="s">
        <v>161</v>
      </c>
      <c r="M1188">
        <v>10698</v>
      </c>
      <c r="N1188">
        <v>65</v>
      </c>
      <c r="O1188" t="s">
        <v>689</v>
      </c>
      <c r="P1188" t="str">
        <f t="shared" si="315"/>
        <v>ERNSH_10698_Louisiana Fiery Hot Pepper Sauce</v>
      </c>
      <c r="Q1188" t="str">
        <f t="shared" si="316"/>
        <v>10698</v>
      </c>
      <c r="R1188" t="str">
        <f t="shared" si="317"/>
        <v>10698</v>
      </c>
      <c r="S1188" t="str">
        <f t="shared" si="318"/>
        <v>Louisiana Fiery Hot Pepper Sauce</v>
      </c>
      <c r="T1188">
        <v>21.05</v>
      </c>
      <c r="U1188">
        <v>65</v>
      </c>
      <c r="V1188">
        <v>0.05</v>
      </c>
      <c r="W1188">
        <f t="shared" si="319"/>
        <v>1299.8374999999999</v>
      </c>
      <c r="X1188" t="str">
        <f t="shared" si="320"/>
        <v>No</v>
      </c>
      <c r="Y1188" s="2">
        <v>35012</v>
      </c>
      <c r="Z1188" t="str">
        <f t="shared" si="306"/>
        <v/>
      </c>
      <c r="AA1188" t="str">
        <f t="shared" si="321"/>
        <v/>
      </c>
      <c r="AB1188" t="str" cm="1">
        <f t="array" ref="AB1188">_xlfn.IFS(Y1188&lt;DATE(1996,1,1),"",Y1188&lt;DATE(1996,4,1),"Q1",Y1188&lt;DATE(1996,7,1),"Q2",Y1188&gt;=DATE(1996,7,1),"")</f>
        <v/>
      </c>
    </row>
    <row r="1189" spans="1:28" ht="14.4" x14ac:dyDescent="0.55000000000000004">
      <c r="A1189" t="str">
        <f>VLOOKUP(L1189,Customers!$A$2:$B$92,2,FALSE)</f>
        <v>Ernst Handel</v>
      </c>
      <c r="B1189" t="str">
        <f>VLOOKUP(L1189,Customers!$A$2:$C$92,3,TRUE)</f>
        <v>Roland Mendel</v>
      </c>
      <c r="C1189" t="str">
        <f t="shared" si="307"/>
        <v>Roland</v>
      </c>
      <c r="D1189" s="8" t="str">
        <f t="shared" si="308"/>
        <v>Mendel</v>
      </c>
      <c r="E1189" s="8" t="str">
        <f t="shared" si="309"/>
        <v>Mendel, Roland</v>
      </c>
      <c r="F1189" s="8" t="str">
        <f t="shared" si="310"/>
        <v>Mendel, Roland</v>
      </c>
      <c r="G1189" s="8" t="str">
        <f t="shared" si="311"/>
        <v>not an outlier</v>
      </c>
      <c r="H1189" s="8" t="str">
        <f t="shared" si="312"/>
        <v>Not</v>
      </c>
      <c r="I1189" s="8" t="str">
        <f t="shared" si="322"/>
        <v>no</v>
      </c>
      <c r="J1189" s="10" t="str">
        <f t="shared" si="313"/>
        <v>no</v>
      </c>
      <c r="K1189" s="10" t="str">
        <f t="shared" si="314"/>
        <v>no</v>
      </c>
      <c r="L1189" t="s">
        <v>161</v>
      </c>
      <c r="M1189">
        <v>10698</v>
      </c>
      <c r="N1189">
        <v>70</v>
      </c>
      <c r="O1189" t="s">
        <v>713</v>
      </c>
      <c r="P1189" t="str">
        <f t="shared" si="315"/>
        <v>ERNSH_10698_Outback Lager</v>
      </c>
      <c r="Q1189" t="str">
        <f t="shared" si="316"/>
        <v>10698</v>
      </c>
      <c r="R1189" t="str">
        <f t="shared" si="317"/>
        <v>10698</v>
      </c>
      <c r="S1189" t="str">
        <f t="shared" si="318"/>
        <v>Outback Lager</v>
      </c>
      <c r="T1189">
        <v>15</v>
      </c>
      <c r="U1189">
        <v>8</v>
      </c>
      <c r="V1189">
        <v>0.05</v>
      </c>
      <c r="W1189">
        <f t="shared" si="319"/>
        <v>114</v>
      </c>
      <c r="X1189" t="str">
        <f t="shared" si="320"/>
        <v>No</v>
      </c>
      <c r="Y1189" s="2">
        <v>35012</v>
      </c>
      <c r="Z1189" t="str">
        <f t="shared" si="306"/>
        <v/>
      </c>
      <c r="AA1189" t="str">
        <f t="shared" si="321"/>
        <v/>
      </c>
      <c r="AB1189" t="str" cm="1">
        <f t="array" ref="AB1189">_xlfn.IFS(Y1189&lt;DATE(1996,1,1),"",Y1189&lt;DATE(1996,4,1),"Q1",Y1189&lt;DATE(1996,7,1),"Q2",Y1189&gt;=DATE(1996,7,1),"")</f>
        <v/>
      </c>
    </row>
    <row r="1190" spans="1:28" ht="14.4" x14ac:dyDescent="0.55000000000000004">
      <c r="A1190" t="str">
        <f>VLOOKUP(L1190,Customers!$A$2:$B$92,2,FALSE)</f>
        <v>Morgenstern Gesundkost</v>
      </c>
      <c r="B1190" t="str">
        <f>VLOOKUP(L1190,Customers!$A$2:$C$92,3,TRUE)</f>
        <v>Alexander Feuer</v>
      </c>
      <c r="C1190" t="str">
        <f t="shared" si="307"/>
        <v>Alexander</v>
      </c>
      <c r="D1190" s="8" t="str">
        <f t="shared" si="308"/>
        <v>Feuer</v>
      </c>
      <c r="E1190" s="8" t="str">
        <f t="shared" si="309"/>
        <v>Feuer, Alexander</v>
      </c>
      <c r="F1190" s="8" t="str">
        <f t="shared" si="310"/>
        <v>Feuer, Alexander</v>
      </c>
      <c r="G1190" s="8" t="str">
        <f t="shared" si="311"/>
        <v>not an outlier</v>
      </c>
      <c r="H1190" s="8" t="str">
        <f t="shared" si="312"/>
        <v>Not</v>
      </c>
      <c r="I1190" s="8" t="str">
        <f t="shared" si="322"/>
        <v>no</v>
      </c>
      <c r="J1190" s="10" t="str">
        <f t="shared" si="313"/>
        <v>no</v>
      </c>
      <c r="K1190" s="10" t="str">
        <f t="shared" si="314"/>
        <v>no</v>
      </c>
      <c r="L1190" t="s">
        <v>403</v>
      </c>
      <c r="M1190">
        <v>10699</v>
      </c>
      <c r="N1190">
        <v>47</v>
      </c>
      <c r="O1190" t="s">
        <v>752</v>
      </c>
      <c r="P1190" t="str">
        <f t="shared" si="315"/>
        <v>MORGK_10699_Zaanse koeken</v>
      </c>
      <c r="Q1190" t="str">
        <f t="shared" si="316"/>
        <v>10699</v>
      </c>
      <c r="R1190" t="str">
        <f t="shared" si="317"/>
        <v>10699</v>
      </c>
      <c r="S1190" t="str">
        <f t="shared" si="318"/>
        <v>Zaanse koeken</v>
      </c>
      <c r="T1190">
        <v>9.5</v>
      </c>
      <c r="U1190">
        <v>12</v>
      </c>
      <c r="V1190">
        <v>0</v>
      </c>
      <c r="W1190">
        <f t="shared" si="319"/>
        <v>114</v>
      </c>
      <c r="X1190" t="str">
        <f t="shared" si="320"/>
        <v>No</v>
      </c>
      <c r="Y1190" s="2">
        <v>35012</v>
      </c>
      <c r="Z1190" t="str">
        <f t="shared" si="306"/>
        <v/>
      </c>
      <c r="AA1190" t="str">
        <f t="shared" si="321"/>
        <v/>
      </c>
      <c r="AB1190" t="str" cm="1">
        <f t="array" ref="AB1190">_xlfn.IFS(Y1190&lt;DATE(1996,1,1),"",Y1190&lt;DATE(1996,4,1),"Q1",Y1190&lt;DATE(1996,7,1),"Q2",Y1190&gt;=DATE(1996,7,1),"")</f>
        <v/>
      </c>
    </row>
    <row r="1191" spans="1:28" ht="14.4" x14ac:dyDescent="0.55000000000000004">
      <c r="A1191" t="str">
        <f>VLOOKUP(L1191,Customers!$A$2:$B$92,2,FALSE)</f>
        <v>Save-a-lot Markets</v>
      </c>
      <c r="B1191" t="str">
        <f>VLOOKUP(L1191,Customers!$A$2:$C$92,3,TRUE)</f>
        <v>Jose Pavarotti</v>
      </c>
      <c r="C1191" t="str">
        <f t="shared" si="307"/>
        <v>Jose</v>
      </c>
      <c r="D1191" s="8" t="str">
        <f t="shared" si="308"/>
        <v>Pavarotti</v>
      </c>
      <c r="E1191" s="8" t="str">
        <f t="shared" si="309"/>
        <v>Pavarotti, Jose</v>
      </c>
      <c r="F1191" s="8" t="str">
        <f t="shared" si="310"/>
        <v>Pavarotti, Jose</v>
      </c>
      <c r="G1191" s="8" t="str">
        <f t="shared" si="311"/>
        <v>not an outlier</v>
      </c>
      <c r="H1191" s="8" t="str">
        <f t="shared" si="312"/>
        <v>Not</v>
      </c>
      <c r="I1191" s="8" t="str">
        <f t="shared" si="322"/>
        <v>no</v>
      </c>
      <c r="J1191" s="10" t="str">
        <f t="shared" si="313"/>
        <v>no</v>
      </c>
      <c r="K1191" s="10" t="str">
        <f t="shared" si="314"/>
        <v>no</v>
      </c>
      <c r="L1191" t="s">
        <v>529</v>
      </c>
      <c r="M1191">
        <v>10700</v>
      </c>
      <c r="N1191">
        <v>1</v>
      </c>
      <c r="O1191" t="s">
        <v>735</v>
      </c>
      <c r="P1191" t="str">
        <f t="shared" si="315"/>
        <v>SAVEA_10700_Chai</v>
      </c>
      <c r="Q1191" t="str">
        <f t="shared" si="316"/>
        <v>10700</v>
      </c>
      <c r="R1191" t="str">
        <f t="shared" si="317"/>
        <v>10700</v>
      </c>
      <c r="S1191" t="str">
        <f t="shared" si="318"/>
        <v>Chai</v>
      </c>
      <c r="T1191">
        <v>18</v>
      </c>
      <c r="U1191">
        <v>5</v>
      </c>
      <c r="V1191">
        <v>0.2</v>
      </c>
      <c r="W1191">
        <f t="shared" si="319"/>
        <v>72</v>
      </c>
      <c r="X1191" t="str">
        <f t="shared" si="320"/>
        <v>No</v>
      </c>
      <c r="Y1191" s="2">
        <v>35013</v>
      </c>
      <c r="Z1191" t="str">
        <f t="shared" si="306"/>
        <v/>
      </c>
      <c r="AA1191" t="str">
        <f t="shared" si="321"/>
        <v/>
      </c>
      <c r="AB1191" t="str" cm="1">
        <f t="array" ref="AB1191">_xlfn.IFS(Y1191&lt;DATE(1996,1,1),"",Y1191&lt;DATE(1996,4,1),"Q1",Y1191&lt;DATE(1996,7,1),"Q2",Y1191&gt;=DATE(1996,7,1),"")</f>
        <v/>
      </c>
    </row>
    <row r="1192" spans="1:28" ht="14.4" x14ac:dyDescent="0.55000000000000004">
      <c r="A1192" t="str">
        <f>VLOOKUP(L1192,Customers!$A$2:$B$92,2,FALSE)</f>
        <v>Save-a-lot Markets</v>
      </c>
      <c r="B1192" t="str">
        <f>VLOOKUP(L1192,Customers!$A$2:$C$92,3,TRUE)</f>
        <v>Jose Pavarotti</v>
      </c>
      <c r="C1192" t="str">
        <f t="shared" si="307"/>
        <v>Jose</v>
      </c>
      <c r="D1192" s="8" t="str">
        <f t="shared" si="308"/>
        <v>Pavarotti</v>
      </c>
      <c r="E1192" s="8" t="str">
        <f t="shared" si="309"/>
        <v>Pavarotti, Jose</v>
      </c>
      <c r="F1192" s="8" t="str">
        <f t="shared" si="310"/>
        <v>Pavarotti, Jose</v>
      </c>
      <c r="G1192" s="8" t="str">
        <f t="shared" si="311"/>
        <v>not an outlier</v>
      </c>
      <c r="H1192" s="8" t="str">
        <f t="shared" si="312"/>
        <v>Not</v>
      </c>
      <c r="I1192" s="8" t="str">
        <f t="shared" si="322"/>
        <v>no</v>
      </c>
      <c r="J1192" s="10" t="str">
        <f t="shared" si="313"/>
        <v>no</v>
      </c>
      <c r="K1192" s="10" t="str">
        <f t="shared" si="314"/>
        <v>no</v>
      </c>
      <c r="L1192" t="s">
        <v>529</v>
      </c>
      <c r="M1192">
        <v>10700</v>
      </c>
      <c r="N1192">
        <v>34</v>
      </c>
      <c r="O1192" t="s">
        <v>736</v>
      </c>
      <c r="P1192" t="str">
        <f t="shared" si="315"/>
        <v>SAVEA_10700_Sasquatch Ale</v>
      </c>
      <c r="Q1192" t="str">
        <f t="shared" si="316"/>
        <v>10700</v>
      </c>
      <c r="R1192" t="str">
        <f t="shared" si="317"/>
        <v>10700</v>
      </c>
      <c r="S1192" t="str">
        <f t="shared" si="318"/>
        <v>Sasquatch Ale</v>
      </c>
      <c r="T1192">
        <v>14</v>
      </c>
      <c r="U1192">
        <v>12</v>
      </c>
      <c r="V1192">
        <v>0.2</v>
      </c>
      <c r="W1192">
        <f t="shared" si="319"/>
        <v>134.4</v>
      </c>
      <c r="X1192" t="str">
        <f t="shared" si="320"/>
        <v>No</v>
      </c>
      <c r="Y1192" s="2">
        <v>35013</v>
      </c>
      <c r="Z1192" t="str">
        <f t="shared" si="306"/>
        <v/>
      </c>
      <c r="AA1192" t="str">
        <f t="shared" si="321"/>
        <v/>
      </c>
      <c r="AB1192" t="str" cm="1">
        <f t="array" ref="AB1192">_xlfn.IFS(Y1192&lt;DATE(1996,1,1),"",Y1192&lt;DATE(1996,4,1),"Q1",Y1192&lt;DATE(1996,7,1),"Q2",Y1192&gt;=DATE(1996,7,1),"")</f>
        <v/>
      </c>
    </row>
    <row r="1193" spans="1:28" ht="14.4" x14ac:dyDescent="0.55000000000000004">
      <c r="A1193" t="str">
        <f>VLOOKUP(L1193,Customers!$A$2:$B$92,2,FALSE)</f>
        <v>Save-a-lot Markets</v>
      </c>
      <c r="B1193" t="str">
        <f>VLOOKUP(L1193,Customers!$A$2:$C$92,3,TRUE)</f>
        <v>Jose Pavarotti</v>
      </c>
      <c r="C1193" t="str">
        <f t="shared" si="307"/>
        <v>Jose</v>
      </c>
      <c r="D1193" s="8" t="str">
        <f t="shared" si="308"/>
        <v>Pavarotti</v>
      </c>
      <c r="E1193" s="8" t="str">
        <f t="shared" si="309"/>
        <v>Pavarotti, Jose</v>
      </c>
      <c r="F1193" s="8" t="str">
        <f t="shared" si="310"/>
        <v>Pavarotti, Jose</v>
      </c>
      <c r="G1193" s="8" t="str">
        <f t="shared" si="311"/>
        <v>not an outlier</v>
      </c>
      <c r="H1193" s="8" t="str">
        <f t="shared" si="312"/>
        <v>Not</v>
      </c>
      <c r="I1193" s="8" t="str">
        <f t="shared" si="322"/>
        <v>no</v>
      </c>
      <c r="J1193" s="10" t="str">
        <f t="shared" si="313"/>
        <v>no</v>
      </c>
      <c r="K1193" s="10" t="str">
        <f t="shared" si="314"/>
        <v>no</v>
      </c>
      <c r="L1193" t="s">
        <v>529</v>
      </c>
      <c r="M1193">
        <v>10700</v>
      </c>
      <c r="N1193">
        <v>68</v>
      </c>
      <c r="O1193" t="s">
        <v>739</v>
      </c>
      <c r="P1193" t="str">
        <f t="shared" si="315"/>
        <v>SAVEA_10700_Scottish Longbreads</v>
      </c>
      <c r="Q1193" t="str">
        <f t="shared" si="316"/>
        <v>10700</v>
      </c>
      <c r="R1193" t="str">
        <f t="shared" si="317"/>
        <v>10700</v>
      </c>
      <c r="S1193" t="str">
        <f t="shared" si="318"/>
        <v>Scottish Longbreads</v>
      </c>
      <c r="T1193">
        <v>12.5</v>
      </c>
      <c r="U1193">
        <v>40</v>
      </c>
      <c r="V1193">
        <v>0.2</v>
      </c>
      <c r="W1193">
        <f t="shared" si="319"/>
        <v>400</v>
      </c>
      <c r="X1193" t="str">
        <f t="shared" si="320"/>
        <v>No</v>
      </c>
      <c r="Y1193" s="2">
        <v>35013</v>
      </c>
      <c r="Z1193" t="str">
        <f t="shared" si="306"/>
        <v/>
      </c>
      <c r="AA1193" t="str">
        <f t="shared" si="321"/>
        <v/>
      </c>
      <c r="AB1193" t="str" cm="1">
        <f t="array" ref="AB1193">_xlfn.IFS(Y1193&lt;DATE(1996,1,1),"",Y1193&lt;DATE(1996,4,1),"Q1",Y1193&lt;DATE(1996,7,1),"Q2",Y1193&gt;=DATE(1996,7,1),"")</f>
        <v/>
      </c>
    </row>
    <row r="1194" spans="1:28" ht="14.4" x14ac:dyDescent="0.55000000000000004">
      <c r="A1194" t="str">
        <f>VLOOKUP(L1194,Customers!$A$2:$B$92,2,FALSE)</f>
        <v>Save-a-lot Markets</v>
      </c>
      <c r="B1194" t="str">
        <f>VLOOKUP(L1194,Customers!$A$2:$C$92,3,TRUE)</f>
        <v>Jose Pavarotti</v>
      </c>
      <c r="C1194" t="str">
        <f t="shared" si="307"/>
        <v>Jose</v>
      </c>
      <c r="D1194" s="8" t="str">
        <f t="shared" si="308"/>
        <v>Pavarotti</v>
      </c>
      <c r="E1194" s="8" t="str">
        <f t="shared" si="309"/>
        <v>Pavarotti, Jose</v>
      </c>
      <c r="F1194" s="8" t="str">
        <f t="shared" si="310"/>
        <v>Pavarotti, Jose</v>
      </c>
      <c r="G1194" s="8" t="str">
        <f t="shared" si="311"/>
        <v>not an outlier</v>
      </c>
      <c r="H1194" s="8" t="str">
        <f t="shared" si="312"/>
        <v>Not</v>
      </c>
      <c r="I1194" s="8" t="str">
        <f t="shared" si="322"/>
        <v>no</v>
      </c>
      <c r="J1194" s="10" t="str">
        <f t="shared" si="313"/>
        <v>no</v>
      </c>
      <c r="K1194" s="10" t="str">
        <f t="shared" si="314"/>
        <v>no</v>
      </c>
      <c r="L1194" t="s">
        <v>529</v>
      </c>
      <c r="M1194">
        <v>10700</v>
      </c>
      <c r="N1194">
        <v>71</v>
      </c>
      <c r="O1194" t="s">
        <v>725</v>
      </c>
      <c r="P1194" t="str">
        <f t="shared" si="315"/>
        <v>SAVEA_10700_Fløtemysost</v>
      </c>
      <c r="Q1194" t="str">
        <f t="shared" si="316"/>
        <v>10700</v>
      </c>
      <c r="R1194" t="str">
        <f t="shared" si="317"/>
        <v>10700</v>
      </c>
      <c r="S1194" t="str">
        <f t="shared" si="318"/>
        <v>Fløtemysost</v>
      </c>
      <c r="T1194">
        <v>21.5</v>
      </c>
      <c r="U1194">
        <v>60</v>
      </c>
      <c r="V1194">
        <v>0.2</v>
      </c>
      <c r="W1194">
        <f t="shared" si="319"/>
        <v>1032</v>
      </c>
      <c r="X1194" t="str">
        <f t="shared" si="320"/>
        <v>No</v>
      </c>
      <c r="Y1194" s="2">
        <v>35013</v>
      </c>
      <c r="Z1194" t="str">
        <f t="shared" si="306"/>
        <v/>
      </c>
      <c r="AA1194" t="str">
        <f t="shared" si="321"/>
        <v/>
      </c>
      <c r="AB1194" t="str" cm="1">
        <f t="array" ref="AB1194">_xlfn.IFS(Y1194&lt;DATE(1996,1,1),"",Y1194&lt;DATE(1996,4,1),"Q1",Y1194&lt;DATE(1996,7,1),"Q2",Y1194&gt;=DATE(1996,7,1),"")</f>
        <v/>
      </c>
    </row>
    <row r="1195" spans="1:28" ht="14.4" x14ac:dyDescent="0.55000000000000004">
      <c r="A1195" t="str">
        <f>VLOOKUP(L1195,Customers!$A$2:$B$92,2,FALSE)</f>
        <v>Hungry Owl All-Night Grocers</v>
      </c>
      <c r="B1195" t="str">
        <f>VLOOKUP(L1195,Customers!$A$2:$C$92,3,TRUE)</f>
        <v>Patricia McKenna</v>
      </c>
      <c r="C1195" t="str">
        <f t="shared" si="307"/>
        <v>Patricia</v>
      </c>
      <c r="D1195" s="8" t="str">
        <f t="shared" si="308"/>
        <v>McKenna</v>
      </c>
      <c r="E1195" s="8" t="str">
        <f t="shared" si="309"/>
        <v>McKenna, Patricia</v>
      </c>
      <c r="F1195" s="8" t="str">
        <f t="shared" si="310"/>
        <v>McKenna, Patricia</v>
      </c>
      <c r="G1195" s="8" t="str">
        <f t="shared" si="311"/>
        <v>not an outlier</v>
      </c>
      <c r="H1195" s="8" t="str">
        <f t="shared" si="312"/>
        <v>Not</v>
      </c>
      <c r="I1195" s="8" t="str">
        <f t="shared" si="322"/>
        <v>no</v>
      </c>
      <c r="J1195" s="10" t="str">
        <f t="shared" si="313"/>
        <v>no</v>
      </c>
      <c r="K1195" s="10" t="str">
        <f t="shared" si="314"/>
        <v>no</v>
      </c>
      <c r="L1195" t="s">
        <v>288</v>
      </c>
      <c r="M1195">
        <v>10701</v>
      </c>
      <c r="N1195">
        <v>59</v>
      </c>
      <c r="O1195" t="s">
        <v>704</v>
      </c>
      <c r="P1195" t="str">
        <f t="shared" si="315"/>
        <v>HUNGO_10701_Raclette Courdavault</v>
      </c>
      <c r="Q1195" t="str">
        <f t="shared" si="316"/>
        <v>10701</v>
      </c>
      <c r="R1195" t="str">
        <f t="shared" si="317"/>
        <v>10701</v>
      </c>
      <c r="S1195" t="str">
        <f t="shared" si="318"/>
        <v>Raclette Courdavault</v>
      </c>
      <c r="T1195">
        <v>55</v>
      </c>
      <c r="U1195">
        <v>42</v>
      </c>
      <c r="V1195">
        <v>0.15</v>
      </c>
      <c r="W1195">
        <f t="shared" si="319"/>
        <v>1963.5</v>
      </c>
      <c r="X1195" t="str">
        <f t="shared" si="320"/>
        <v>No</v>
      </c>
      <c r="Y1195" s="2">
        <v>35016</v>
      </c>
      <c r="Z1195" t="str">
        <f t="shared" si="306"/>
        <v/>
      </c>
      <c r="AA1195" t="str">
        <f t="shared" si="321"/>
        <v/>
      </c>
      <c r="AB1195" t="str" cm="1">
        <f t="array" ref="AB1195">_xlfn.IFS(Y1195&lt;DATE(1996,1,1),"",Y1195&lt;DATE(1996,4,1),"Q1",Y1195&lt;DATE(1996,7,1),"Q2",Y1195&gt;=DATE(1996,7,1),"")</f>
        <v/>
      </c>
    </row>
    <row r="1196" spans="1:28" ht="14.4" x14ac:dyDescent="0.55000000000000004">
      <c r="A1196" t="str">
        <f>VLOOKUP(L1196,Customers!$A$2:$B$92,2,FALSE)</f>
        <v>Hungry Owl All-Night Grocers</v>
      </c>
      <c r="B1196" t="str">
        <f>VLOOKUP(L1196,Customers!$A$2:$C$92,3,TRUE)</f>
        <v>Patricia McKenna</v>
      </c>
      <c r="C1196" t="str">
        <f t="shared" si="307"/>
        <v>Patricia</v>
      </c>
      <c r="D1196" s="8" t="str">
        <f t="shared" si="308"/>
        <v>McKenna</v>
      </c>
      <c r="E1196" s="8" t="str">
        <f t="shared" si="309"/>
        <v>McKenna, Patricia</v>
      </c>
      <c r="F1196" s="8" t="str">
        <f t="shared" si="310"/>
        <v>McKenna, Patricia</v>
      </c>
      <c r="G1196" s="8" t="str">
        <f t="shared" si="311"/>
        <v>not an outlier</v>
      </c>
      <c r="H1196" s="8" t="str">
        <f t="shared" si="312"/>
        <v>Not</v>
      </c>
      <c r="I1196" s="8" t="str">
        <f t="shared" si="322"/>
        <v>no</v>
      </c>
      <c r="J1196" s="10" t="str">
        <f t="shared" si="313"/>
        <v>no</v>
      </c>
      <c r="K1196" s="10" t="str">
        <f t="shared" si="314"/>
        <v>no</v>
      </c>
      <c r="L1196" t="s">
        <v>288</v>
      </c>
      <c r="M1196">
        <v>10701</v>
      </c>
      <c r="N1196">
        <v>71</v>
      </c>
      <c r="O1196" t="s">
        <v>725</v>
      </c>
      <c r="P1196" t="str">
        <f t="shared" si="315"/>
        <v>HUNGO_10701_Fløtemysost</v>
      </c>
      <c r="Q1196" t="str">
        <f t="shared" si="316"/>
        <v>10701</v>
      </c>
      <c r="R1196" t="str">
        <f t="shared" si="317"/>
        <v>10701</v>
      </c>
      <c r="S1196" t="str">
        <f t="shared" si="318"/>
        <v>Fløtemysost</v>
      </c>
      <c r="T1196">
        <v>21.5</v>
      </c>
      <c r="U1196">
        <v>20</v>
      </c>
      <c r="V1196">
        <v>0.15</v>
      </c>
      <c r="W1196">
        <f t="shared" si="319"/>
        <v>365.5</v>
      </c>
      <c r="X1196" t="str">
        <f t="shared" si="320"/>
        <v>No</v>
      </c>
      <c r="Y1196" s="2">
        <v>35016</v>
      </c>
      <c r="Z1196" t="str">
        <f t="shared" si="306"/>
        <v/>
      </c>
      <c r="AA1196" t="str">
        <f t="shared" si="321"/>
        <v/>
      </c>
      <c r="AB1196" t="str" cm="1">
        <f t="array" ref="AB1196">_xlfn.IFS(Y1196&lt;DATE(1996,1,1),"",Y1196&lt;DATE(1996,4,1),"Q1",Y1196&lt;DATE(1996,7,1),"Q2",Y1196&gt;=DATE(1996,7,1),"")</f>
        <v/>
      </c>
    </row>
    <row r="1197" spans="1:28" ht="14.4" x14ac:dyDescent="0.55000000000000004">
      <c r="A1197" t="str">
        <f>VLOOKUP(L1197,Customers!$A$2:$B$92,2,FALSE)</f>
        <v>Hungry Owl All-Night Grocers</v>
      </c>
      <c r="B1197" t="str">
        <f>VLOOKUP(L1197,Customers!$A$2:$C$92,3,TRUE)</f>
        <v>Patricia McKenna</v>
      </c>
      <c r="C1197" t="str">
        <f t="shared" si="307"/>
        <v>Patricia</v>
      </c>
      <c r="D1197" s="8" t="str">
        <f t="shared" si="308"/>
        <v>McKenna</v>
      </c>
      <c r="E1197" s="8" t="str">
        <f t="shared" si="309"/>
        <v>McKenna, Patricia</v>
      </c>
      <c r="F1197" s="8" t="str">
        <f t="shared" si="310"/>
        <v>McKenna, Patricia</v>
      </c>
      <c r="G1197" s="8" t="str">
        <f t="shared" si="311"/>
        <v>not an outlier</v>
      </c>
      <c r="H1197" s="8" t="str">
        <f t="shared" si="312"/>
        <v>Not</v>
      </c>
      <c r="I1197" s="8" t="str">
        <f t="shared" si="322"/>
        <v>no</v>
      </c>
      <c r="J1197" s="10" t="str">
        <f t="shared" si="313"/>
        <v>no</v>
      </c>
      <c r="K1197" s="10" t="str">
        <f t="shared" si="314"/>
        <v>no</v>
      </c>
      <c r="L1197" t="s">
        <v>288</v>
      </c>
      <c r="M1197">
        <v>10701</v>
      </c>
      <c r="N1197">
        <v>76</v>
      </c>
      <c r="O1197" t="s">
        <v>721</v>
      </c>
      <c r="P1197" t="str">
        <f t="shared" si="315"/>
        <v>HUNGO_10701_Lakkalikööri</v>
      </c>
      <c r="Q1197" t="str">
        <f t="shared" si="316"/>
        <v>10701</v>
      </c>
      <c r="R1197" t="str">
        <f t="shared" si="317"/>
        <v>10701</v>
      </c>
      <c r="S1197" t="str">
        <f t="shared" si="318"/>
        <v>Lakkalikööri</v>
      </c>
      <c r="T1197">
        <v>18</v>
      </c>
      <c r="U1197">
        <v>35</v>
      </c>
      <c r="V1197">
        <v>0.15</v>
      </c>
      <c r="W1197">
        <f t="shared" si="319"/>
        <v>535.5</v>
      </c>
      <c r="X1197" t="str">
        <f t="shared" si="320"/>
        <v>No</v>
      </c>
      <c r="Y1197" s="2">
        <v>35016</v>
      </c>
      <c r="Z1197" t="str">
        <f t="shared" si="306"/>
        <v/>
      </c>
      <c r="AA1197" t="str">
        <f t="shared" si="321"/>
        <v/>
      </c>
      <c r="AB1197" t="str" cm="1">
        <f t="array" ref="AB1197">_xlfn.IFS(Y1197&lt;DATE(1996,1,1),"",Y1197&lt;DATE(1996,4,1),"Q1",Y1197&lt;DATE(1996,7,1),"Q2",Y1197&gt;=DATE(1996,7,1),"")</f>
        <v/>
      </c>
    </row>
    <row r="1198" spans="1:28" ht="14.4" x14ac:dyDescent="0.55000000000000004">
      <c r="A1198" t="str">
        <f>VLOOKUP(L1198,Customers!$A$2:$B$92,2,FALSE)</f>
        <v>Alfreds Futterkiste</v>
      </c>
      <c r="B1198" t="str">
        <f>VLOOKUP(L1198,Customers!$A$2:$C$92,3,TRUE)</f>
        <v>Maria Anders</v>
      </c>
      <c r="C1198" t="str">
        <f t="shared" si="307"/>
        <v>Maria</v>
      </c>
      <c r="D1198" s="8" t="str">
        <f t="shared" si="308"/>
        <v>Anders</v>
      </c>
      <c r="E1198" s="8" t="str">
        <f t="shared" si="309"/>
        <v>Anders, Maria</v>
      </c>
      <c r="F1198" s="8" t="str">
        <f t="shared" si="310"/>
        <v>Anders, Maria</v>
      </c>
      <c r="G1198" s="8" t="str">
        <f t="shared" si="311"/>
        <v>not an outlier</v>
      </c>
      <c r="H1198" s="8" t="str">
        <f t="shared" si="312"/>
        <v>Not</v>
      </c>
      <c r="I1198" s="8" t="str">
        <f t="shared" si="322"/>
        <v>no</v>
      </c>
      <c r="J1198" s="10" t="str">
        <f t="shared" si="313"/>
        <v>no</v>
      </c>
      <c r="K1198" s="10" t="str">
        <f t="shared" si="314"/>
        <v>no</v>
      </c>
      <c r="L1198" t="s">
        <v>11</v>
      </c>
      <c r="M1198">
        <v>10702</v>
      </c>
      <c r="N1198">
        <v>3</v>
      </c>
      <c r="O1198" t="s">
        <v>740</v>
      </c>
      <c r="P1198" t="str">
        <f t="shared" si="315"/>
        <v>ALFKI_10702_Aniseed Syrup</v>
      </c>
      <c r="Q1198" t="str">
        <f t="shared" si="316"/>
        <v>10702</v>
      </c>
      <c r="R1198" t="str">
        <f t="shared" si="317"/>
        <v>10702</v>
      </c>
      <c r="S1198" t="str">
        <f t="shared" si="318"/>
        <v>Aniseed Syrup</v>
      </c>
      <c r="T1198">
        <v>10</v>
      </c>
      <c r="U1198">
        <v>6</v>
      </c>
      <c r="V1198">
        <v>0</v>
      </c>
      <c r="W1198">
        <f t="shared" si="319"/>
        <v>60</v>
      </c>
      <c r="X1198" t="str">
        <f t="shared" si="320"/>
        <v>No</v>
      </c>
      <c r="Y1198" s="2">
        <v>35016</v>
      </c>
      <c r="Z1198" t="str">
        <f t="shared" si="306"/>
        <v/>
      </c>
      <c r="AA1198" t="str">
        <f t="shared" si="321"/>
        <v/>
      </c>
      <c r="AB1198" t="str" cm="1">
        <f t="array" ref="AB1198">_xlfn.IFS(Y1198&lt;DATE(1996,1,1),"",Y1198&lt;DATE(1996,4,1),"Q1",Y1198&lt;DATE(1996,7,1),"Q2",Y1198&gt;=DATE(1996,7,1),"")</f>
        <v/>
      </c>
    </row>
    <row r="1199" spans="1:28" ht="14.4" x14ac:dyDescent="0.55000000000000004">
      <c r="A1199" t="str">
        <f>VLOOKUP(L1199,Customers!$A$2:$B$92,2,FALSE)</f>
        <v>Alfreds Futterkiste</v>
      </c>
      <c r="B1199" t="str">
        <f>VLOOKUP(L1199,Customers!$A$2:$C$92,3,TRUE)</f>
        <v>Maria Anders</v>
      </c>
      <c r="C1199" t="str">
        <f t="shared" si="307"/>
        <v>Maria</v>
      </c>
      <c r="D1199" s="8" t="str">
        <f t="shared" si="308"/>
        <v>Anders</v>
      </c>
      <c r="E1199" s="8" t="str">
        <f t="shared" si="309"/>
        <v>Anders, Maria</v>
      </c>
      <c r="F1199" s="8" t="str">
        <f t="shared" si="310"/>
        <v>Anders, Maria</v>
      </c>
      <c r="G1199" s="8" t="str">
        <f t="shared" si="311"/>
        <v>not an outlier</v>
      </c>
      <c r="H1199" s="8" t="str">
        <f t="shared" si="312"/>
        <v>Not</v>
      </c>
      <c r="I1199" s="8" t="str">
        <f t="shared" si="322"/>
        <v>no</v>
      </c>
      <c r="J1199" s="10" t="str">
        <f t="shared" si="313"/>
        <v>no</v>
      </c>
      <c r="K1199" s="10" t="str">
        <f t="shared" si="314"/>
        <v>no</v>
      </c>
      <c r="L1199" t="s">
        <v>11</v>
      </c>
      <c r="M1199">
        <v>10702</v>
      </c>
      <c r="N1199">
        <v>76</v>
      </c>
      <c r="O1199" t="s">
        <v>721</v>
      </c>
      <c r="P1199" t="str">
        <f t="shared" si="315"/>
        <v>ALFKI_10702_Lakkalikööri</v>
      </c>
      <c r="Q1199" t="str">
        <f t="shared" si="316"/>
        <v>10702</v>
      </c>
      <c r="R1199" t="str">
        <f t="shared" si="317"/>
        <v>10702</v>
      </c>
      <c r="S1199" t="str">
        <f t="shared" si="318"/>
        <v>Lakkalikööri</v>
      </c>
      <c r="T1199">
        <v>18</v>
      </c>
      <c r="U1199">
        <v>15</v>
      </c>
      <c r="V1199">
        <v>0</v>
      </c>
      <c r="W1199">
        <f t="shared" si="319"/>
        <v>270</v>
      </c>
      <c r="X1199" t="str">
        <f t="shared" si="320"/>
        <v>No</v>
      </c>
      <c r="Y1199" s="2">
        <v>35016</v>
      </c>
      <c r="Z1199" t="str">
        <f t="shared" si="306"/>
        <v/>
      </c>
      <c r="AA1199" t="str">
        <f t="shared" si="321"/>
        <v/>
      </c>
      <c r="AB1199" t="str" cm="1">
        <f t="array" ref="AB1199">_xlfn.IFS(Y1199&lt;DATE(1996,1,1),"",Y1199&lt;DATE(1996,4,1),"Q1",Y1199&lt;DATE(1996,7,1),"Q2",Y1199&gt;=DATE(1996,7,1),"")</f>
        <v/>
      </c>
    </row>
    <row r="1200" spans="1:28" ht="14.4" x14ac:dyDescent="0.55000000000000004">
      <c r="A1200" t="str">
        <f>VLOOKUP(L1200,Customers!$A$2:$B$92,2,FALSE)</f>
        <v>Folk och fä HB</v>
      </c>
      <c r="B1200" t="str">
        <f>VLOOKUP(L1200,Customers!$A$2:$C$92,3,TRUE)</f>
        <v>Maria Larsson</v>
      </c>
      <c r="C1200" t="str">
        <f t="shared" si="307"/>
        <v>Maria</v>
      </c>
      <c r="D1200" s="8" t="str">
        <f t="shared" si="308"/>
        <v>Larsson</v>
      </c>
      <c r="E1200" s="8" t="str">
        <f t="shared" si="309"/>
        <v>Larsson, Maria</v>
      </c>
      <c r="F1200" s="8" t="str">
        <f t="shared" si="310"/>
        <v>Larsson, Maria</v>
      </c>
      <c r="G1200" s="8" t="str">
        <f t="shared" si="311"/>
        <v>not an outlier</v>
      </c>
      <c r="H1200" s="8" t="str">
        <f t="shared" si="312"/>
        <v>Not</v>
      </c>
      <c r="I1200" s="8" t="str">
        <f t="shared" si="322"/>
        <v>no</v>
      </c>
      <c r="J1200" s="10" t="str">
        <f t="shared" si="313"/>
        <v>no</v>
      </c>
      <c r="K1200" s="10" t="str">
        <f t="shared" si="314"/>
        <v>no</v>
      </c>
      <c r="L1200" t="s">
        <v>191</v>
      </c>
      <c r="M1200">
        <v>10703</v>
      </c>
      <c r="N1200">
        <v>2</v>
      </c>
      <c r="O1200" t="s">
        <v>701</v>
      </c>
      <c r="P1200" t="str">
        <f t="shared" si="315"/>
        <v>FOLKO_10703_Chang</v>
      </c>
      <c r="Q1200" t="str">
        <f t="shared" si="316"/>
        <v>10703</v>
      </c>
      <c r="R1200" t="str">
        <f t="shared" si="317"/>
        <v>10703</v>
      </c>
      <c r="S1200" t="str">
        <f t="shared" si="318"/>
        <v>Chang</v>
      </c>
      <c r="T1200">
        <v>19</v>
      </c>
      <c r="U1200">
        <v>5</v>
      </c>
      <c r="V1200">
        <v>0</v>
      </c>
      <c r="W1200">
        <f t="shared" si="319"/>
        <v>95</v>
      </c>
      <c r="X1200" t="str">
        <f t="shared" si="320"/>
        <v>No</v>
      </c>
      <c r="Y1200" s="2">
        <v>35017</v>
      </c>
      <c r="Z1200" t="str">
        <f t="shared" si="306"/>
        <v/>
      </c>
      <c r="AA1200" t="str">
        <f t="shared" si="321"/>
        <v/>
      </c>
      <c r="AB1200" t="str" cm="1">
        <f t="array" ref="AB1200">_xlfn.IFS(Y1200&lt;DATE(1996,1,1),"",Y1200&lt;DATE(1996,4,1),"Q1",Y1200&lt;DATE(1996,7,1),"Q2",Y1200&gt;=DATE(1996,7,1),"")</f>
        <v/>
      </c>
    </row>
    <row r="1201" spans="1:28" ht="14.4" x14ac:dyDescent="0.55000000000000004">
      <c r="A1201" t="str">
        <f>VLOOKUP(L1201,Customers!$A$2:$B$92,2,FALSE)</f>
        <v>Folk och fä HB</v>
      </c>
      <c r="B1201" t="str">
        <f>VLOOKUP(L1201,Customers!$A$2:$C$92,3,TRUE)</f>
        <v>Maria Larsson</v>
      </c>
      <c r="C1201" t="str">
        <f t="shared" si="307"/>
        <v>Maria</v>
      </c>
      <c r="D1201" s="8" t="str">
        <f t="shared" si="308"/>
        <v>Larsson</v>
      </c>
      <c r="E1201" s="8" t="str">
        <f t="shared" si="309"/>
        <v>Larsson, Maria</v>
      </c>
      <c r="F1201" s="8" t="str">
        <f t="shared" si="310"/>
        <v>Larsson, Maria</v>
      </c>
      <c r="G1201" s="8" t="str">
        <f t="shared" si="311"/>
        <v>not an outlier</v>
      </c>
      <c r="H1201" s="8" t="str">
        <f t="shared" si="312"/>
        <v>Not</v>
      </c>
      <c r="I1201" s="8" t="str">
        <f t="shared" si="322"/>
        <v>no</v>
      </c>
      <c r="J1201" s="10" t="str">
        <f t="shared" si="313"/>
        <v>no</v>
      </c>
      <c r="K1201" s="10" t="str">
        <f t="shared" si="314"/>
        <v>no</v>
      </c>
      <c r="L1201" t="s">
        <v>191</v>
      </c>
      <c r="M1201">
        <v>10703</v>
      </c>
      <c r="N1201">
        <v>59</v>
      </c>
      <c r="O1201" t="s">
        <v>704</v>
      </c>
      <c r="P1201" t="str">
        <f t="shared" si="315"/>
        <v>FOLKO_10703_Raclette Courdavault</v>
      </c>
      <c r="Q1201" t="str">
        <f t="shared" si="316"/>
        <v>10703</v>
      </c>
      <c r="R1201" t="str">
        <f t="shared" si="317"/>
        <v>10703</v>
      </c>
      <c r="S1201" t="str">
        <f t="shared" si="318"/>
        <v>Raclette Courdavault</v>
      </c>
      <c r="T1201">
        <v>55</v>
      </c>
      <c r="U1201">
        <v>35</v>
      </c>
      <c r="V1201">
        <v>0</v>
      </c>
      <c r="W1201">
        <f t="shared" si="319"/>
        <v>1925</v>
      </c>
      <c r="X1201" t="str">
        <f t="shared" si="320"/>
        <v>No</v>
      </c>
      <c r="Y1201" s="2">
        <v>35017</v>
      </c>
      <c r="Z1201" t="str">
        <f t="shared" si="306"/>
        <v/>
      </c>
      <c r="AA1201" t="str">
        <f t="shared" si="321"/>
        <v/>
      </c>
      <c r="AB1201" t="str" cm="1">
        <f t="array" ref="AB1201">_xlfn.IFS(Y1201&lt;DATE(1996,1,1),"",Y1201&lt;DATE(1996,4,1),"Q1",Y1201&lt;DATE(1996,7,1),"Q2",Y1201&gt;=DATE(1996,7,1),"")</f>
        <v/>
      </c>
    </row>
    <row r="1202" spans="1:28" ht="14.4" x14ac:dyDescent="0.55000000000000004">
      <c r="A1202" t="str">
        <f>VLOOKUP(L1202,Customers!$A$2:$B$92,2,FALSE)</f>
        <v>Folk och fä HB</v>
      </c>
      <c r="B1202" t="str">
        <f>VLOOKUP(L1202,Customers!$A$2:$C$92,3,TRUE)</f>
        <v>Maria Larsson</v>
      </c>
      <c r="C1202" t="str">
        <f t="shared" si="307"/>
        <v>Maria</v>
      </c>
      <c r="D1202" s="8" t="str">
        <f t="shared" si="308"/>
        <v>Larsson</v>
      </c>
      <c r="E1202" s="8" t="str">
        <f t="shared" si="309"/>
        <v>Larsson, Maria</v>
      </c>
      <c r="F1202" s="8" t="str">
        <f t="shared" si="310"/>
        <v>Larsson, Maria</v>
      </c>
      <c r="G1202" s="8" t="str">
        <f t="shared" si="311"/>
        <v>not an outlier</v>
      </c>
      <c r="H1202" s="8" t="str">
        <f t="shared" si="312"/>
        <v>Not</v>
      </c>
      <c r="I1202" s="8" t="str">
        <f t="shared" si="322"/>
        <v>no</v>
      </c>
      <c r="J1202" s="10" t="str">
        <f t="shared" si="313"/>
        <v>no</v>
      </c>
      <c r="K1202" s="10" t="str">
        <f t="shared" si="314"/>
        <v>no</v>
      </c>
      <c r="L1202" t="s">
        <v>191</v>
      </c>
      <c r="M1202">
        <v>10703</v>
      </c>
      <c r="N1202">
        <v>73</v>
      </c>
      <c r="O1202" t="s">
        <v>730</v>
      </c>
      <c r="P1202" t="str">
        <f t="shared" si="315"/>
        <v>FOLKO_10703_Röd Kaviar</v>
      </c>
      <c r="Q1202" t="str">
        <f t="shared" si="316"/>
        <v>10703</v>
      </c>
      <c r="R1202" t="str">
        <f t="shared" si="317"/>
        <v>10703</v>
      </c>
      <c r="S1202" t="str">
        <f t="shared" si="318"/>
        <v>Röd Kaviar</v>
      </c>
      <c r="T1202">
        <v>15</v>
      </c>
      <c r="U1202">
        <v>35</v>
      </c>
      <c r="V1202">
        <v>0</v>
      </c>
      <c r="W1202">
        <f t="shared" si="319"/>
        <v>525</v>
      </c>
      <c r="X1202" t="str">
        <f t="shared" si="320"/>
        <v>No</v>
      </c>
      <c r="Y1202" s="2">
        <v>35017</v>
      </c>
      <c r="Z1202" t="str">
        <f t="shared" si="306"/>
        <v/>
      </c>
      <c r="AA1202" t="str">
        <f t="shared" si="321"/>
        <v/>
      </c>
      <c r="AB1202" t="str" cm="1">
        <f t="array" ref="AB1202">_xlfn.IFS(Y1202&lt;DATE(1996,1,1),"",Y1202&lt;DATE(1996,4,1),"Q1",Y1202&lt;DATE(1996,7,1),"Q2",Y1202&gt;=DATE(1996,7,1),"")</f>
        <v/>
      </c>
    </row>
    <row r="1203" spans="1:28" ht="14.4" x14ac:dyDescent="0.55000000000000004">
      <c r="A1203" t="str">
        <f>VLOOKUP(L1203,Customers!$A$2:$B$92,2,FALSE)</f>
        <v>Queen Cozinha</v>
      </c>
      <c r="B1203" t="str">
        <f>VLOOKUP(L1203,Customers!$A$2:$C$92,3,TRUE)</f>
        <v>Lúcia Carvalho</v>
      </c>
      <c r="C1203" t="str">
        <f t="shared" si="307"/>
        <v>Lúcia</v>
      </c>
      <c r="D1203" s="8" t="str">
        <f t="shared" si="308"/>
        <v>Carvalho</v>
      </c>
      <c r="E1203" s="8" t="str">
        <f t="shared" si="309"/>
        <v>Carvalho, Lúcia</v>
      </c>
      <c r="F1203" s="8" t="str">
        <f t="shared" si="310"/>
        <v>Carvalho, Lúcia</v>
      </c>
      <c r="G1203" s="8" t="str">
        <f t="shared" si="311"/>
        <v>not an outlier</v>
      </c>
      <c r="H1203" s="8" t="str">
        <f t="shared" si="312"/>
        <v>Not</v>
      </c>
      <c r="I1203" s="8" t="str">
        <f t="shared" si="322"/>
        <v>no</v>
      </c>
      <c r="J1203" s="10" t="str">
        <f t="shared" si="313"/>
        <v>no</v>
      </c>
      <c r="K1203" s="10" t="str">
        <f t="shared" si="314"/>
        <v>no</v>
      </c>
      <c r="L1203" t="s">
        <v>469</v>
      </c>
      <c r="M1203">
        <v>10704</v>
      </c>
      <c r="N1203">
        <v>4</v>
      </c>
      <c r="O1203" t="s">
        <v>745</v>
      </c>
      <c r="P1203" t="str">
        <f t="shared" si="315"/>
        <v>QUEEN_10704_Chef Anton's Cajun Seasoning</v>
      </c>
      <c r="Q1203" t="str">
        <f t="shared" si="316"/>
        <v>10704</v>
      </c>
      <c r="R1203" t="str">
        <f t="shared" si="317"/>
        <v>10704</v>
      </c>
      <c r="S1203" t="str">
        <f t="shared" si="318"/>
        <v>Chef Anton's Cajun Seasoning</v>
      </c>
      <c r="T1203">
        <v>22</v>
      </c>
      <c r="U1203">
        <v>6</v>
      </c>
      <c r="V1203">
        <v>0</v>
      </c>
      <c r="W1203">
        <f t="shared" si="319"/>
        <v>132</v>
      </c>
      <c r="X1203" t="str">
        <f t="shared" si="320"/>
        <v>No</v>
      </c>
      <c r="Y1203" s="2">
        <v>35017</v>
      </c>
      <c r="Z1203" t="str">
        <f t="shared" si="306"/>
        <v/>
      </c>
      <c r="AA1203" t="str">
        <f t="shared" si="321"/>
        <v/>
      </c>
      <c r="AB1203" t="str" cm="1">
        <f t="array" ref="AB1203">_xlfn.IFS(Y1203&lt;DATE(1996,1,1),"",Y1203&lt;DATE(1996,4,1),"Q1",Y1203&lt;DATE(1996,7,1),"Q2",Y1203&gt;=DATE(1996,7,1),"")</f>
        <v/>
      </c>
    </row>
    <row r="1204" spans="1:28" ht="14.4" x14ac:dyDescent="0.55000000000000004">
      <c r="A1204" t="str">
        <f>VLOOKUP(L1204,Customers!$A$2:$B$92,2,FALSE)</f>
        <v>Queen Cozinha</v>
      </c>
      <c r="B1204" t="str">
        <f>VLOOKUP(L1204,Customers!$A$2:$C$92,3,TRUE)</f>
        <v>Lúcia Carvalho</v>
      </c>
      <c r="C1204" t="str">
        <f t="shared" si="307"/>
        <v>Lúcia</v>
      </c>
      <c r="D1204" s="8" t="str">
        <f t="shared" si="308"/>
        <v>Carvalho</v>
      </c>
      <c r="E1204" s="8" t="str">
        <f t="shared" si="309"/>
        <v>Carvalho, Lúcia</v>
      </c>
      <c r="F1204" s="8" t="str">
        <f t="shared" si="310"/>
        <v>Carvalho, Lúcia</v>
      </c>
      <c r="G1204" s="8" t="str">
        <f t="shared" si="311"/>
        <v>not an outlier</v>
      </c>
      <c r="H1204" s="8" t="str">
        <f t="shared" si="312"/>
        <v>Not</v>
      </c>
      <c r="I1204" s="8" t="str">
        <f t="shared" si="322"/>
        <v>no</v>
      </c>
      <c r="J1204" s="10" t="str">
        <f t="shared" si="313"/>
        <v>no</v>
      </c>
      <c r="K1204" s="10" t="str">
        <f t="shared" si="314"/>
        <v>no</v>
      </c>
      <c r="L1204" t="s">
        <v>469</v>
      </c>
      <c r="M1204">
        <v>10704</v>
      </c>
      <c r="N1204">
        <v>24</v>
      </c>
      <c r="O1204" t="s">
        <v>698</v>
      </c>
      <c r="P1204" t="str">
        <f t="shared" si="315"/>
        <v>QUEEN_10704_Guaraná Fantástica</v>
      </c>
      <c r="Q1204" t="str">
        <f t="shared" si="316"/>
        <v>10704</v>
      </c>
      <c r="R1204" t="str">
        <f t="shared" si="317"/>
        <v>10704</v>
      </c>
      <c r="S1204" t="str">
        <f t="shared" si="318"/>
        <v>Guaraná Fantástica</v>
      </c>
      <c r="T1204">
        <v>4.5</v>
      </c>
      <c r="U1204">
        <v>35</v>
      </c>
      <c r="V1204">
        <v>0</v>
      </c>
      <c r="W1204">
        <f t="shared" si="319"/>
        <v>157.5</v>
      </c>
      <c r="X1204" t="str">
        <f t="shared" si="320"/>
        <v>No</v>
      </c>
      <c r="Y1204" s="2">
        <v>35017</v>
      </c>
      <c r="Z1204" t="str">
        <f t="shared" si="306"/>
        <v/>
      </c>
      <c r="AA1204" t="str">
        <f t="shared" si="321"/>
        <v/>
      </c>
      <c r="AB1204" t="str" cm="1">
        <f t="array" ref="AB1204">_xlfn.IFS(Y1204&lt;DATE(1996,1,1),"",Y1204&lt;DATE(1996,4,1),"Q1",Y1204&lt;DATE(1996,7,1),"Q2",Y1204&gt;=DATE(1996,7,1),"")</f>
        <v/>
      </c>
    </row>
    <row r="1205" spans="1:28" ht="14.4" x14ac:dyDescent="0.55000000000000004">
      <c r="A1205" t="str">
        <f>VLOOKUP(L1205,Customers!$A$2:$B$92,2,FALSE)</f>
        <v>Queen Cozinha</v>
      </c>
      <c r="B1205" t="str">
        <f>VLOOKUP(L1205,Customers!$A$2:$C$92,3,TRUE)</f>
        <v>Lúcia Carvalho</v>
      </c>
      <c r="C1205" t="str">
        <f t="shared" si="307"/>
        <v>Lúcia</v>
      </c>
      <c r="D1205" s="8" t="str">
        <f t="shared" si="308"/>
        <v>Carvalho</v>
      </c>
      <c r="E1205" s="8" t="str">
        <f t="shared" si="309"/>
        <v>Carvalho, Lúcia</v>
      </c>
      <c r="F1205" s="8" t="str">
        <f t="shared" si="310"/>
        <v>Carvalho, Lúcia</v>
      </c>
      <c r="G1205" s="8" t="str">
        <f t="shared" si="311"/>
        <v>not an outlier</v>
      </c>
      <c r="H1205" s="8" t="str">
        <f t="shared" si="312"/>
        <v>Not</v>
      </c>
      <c r="I1205" s="8" t="str">
        <f t="shared" si="322"/>
        <v>no</v>
      </c>
      <c r="J1205" s="10" t="str">
        <f t="shared" si="313"/>
        <v>no</v>
      </c>
      <c r="K1205" s="10" t="str">
        <f t="shared" si="314"/>
        <v>no</v>
      </c>
      <c r="L1205" t="s">
        <v>469</v>
      </c>
      <c r="M1205">
        <v>10704</v>
      </c>
      <c r="N1205">
        <v>48</v>
      </c>
      <c r="O1205" t="s">
        <v>757</v>
      </c>
      <c r="P1205" t="str">
        <f t="shared" si="315"/>
        <v>QUEEN_10704_Chocolade</v>
      </c>
      <c r="Q1205" t="str">
        <f t="shared" si="316"/>
        <v>10704</v>
      </c>
      <c r="R1205" t="str">
        <f t="shared" si="317"/>
        <v>10704</v>
      </c>
      <c r="S1205" t="str">
        <f t="shared" si="318"/>
        <v>Chocolade</v>
      </c>
      <c r="T1205">
        <v>12.75</v>
      </c>
      <c r="U1205">
        <v>24</v>
      </c>
      <c r="V1205">
        <v>0</v>
      </c>
      <c r="W1205">
        <f t="shared" si="319"/>
        <v>306</v>
      </c>
      <c r="X1205" t="str">
        <f t="shared" si="320"/>
        <v>No</v>
      </c>
      <c r="Y1205" s="2">
        <v>35017</v>
      </c>
      <c r="Z1205" t="str">
        <f t="shared" si="306"/>
        <v/>
      </c>
      <c r="AA1205" t="str">
        <f t="shared" si="321"/>
        <v/>
      </c>
      <c r="AB1205" t="str" cm="1">
        <f t="array" ref="AB1205">_xlfn.IFS(Y1205&lt;DATE(1996,1,1),"",Y1205&lt;DATE(1996,4,1),"Q1",Y1205&lt;DATE(1996,7,1),"Q2",Y1205&gt;=DATE(1996,7,1),"")</f>
        <v/>
      </c>
    </row>
    <row r="1206" spans="1:28" ht="14.4" x14ac:dyDescent="0.55000000000000004">
      <c r="A1206" t="str">
        <f>VLOOKUP(L1206,Customers!$A$2:$B$92,2,FALSE)</f>
        <v>HILARIÓN-Abastos</v>
      </c>
      <c r="B1206" t="str">
        <f>VLOOKUP(L1206,Customers!$A$2:$C$92,3,TRUE)</f>
        <v>Carlos Hernández</v>
      </c>
      <c r="C1206" t="str">
        <f t="shared" si="307"/>
        <v>Carlos</v>
      </c>
      <c r="D1206" s="8" t="str">
        <f t="shared" si="308"/>
        <v>Hernández</v>
      </c>
      <c r="E1206" s="8" t="str">
        <f t="shared" si="309"/>
        <v>Hernández, Carlos</v>
      </c>
      <c r="F1206" s="8" t="str">
        <f t="shared" si="310"/>
        <v>Hernández, Carlos</v>
      </c>
      <c r="G1206" s="8" t="str">
        <f t="shared" si="311"/>
        <v>not an outlier</v>
      </c>
      <c r="H1206" s="8" t="str">
        <f t="shared" si="312"/>
        <v>Not</v>
      </c>
      <c r="I1206" s="8" t="str">
        <f t="shared" si="322"/>
        <v>no</v>
      </c>
      <c r="J1206" s="10" t="str">
        <f t="shared" si="313"/>
        <v>no</v>
      </c>
      <c r="K1206" s="10" t="str">
        <f t="shared" si="314"/>
        <v>no</v>
      </c>
      <c r="L1206" t="s">
        <v>273</v>
      </c>
      <c r="M1206">
        <v>10705</v>
      </c>
      <c r="N1206">
        <v>31</v>
      </c>
      <c r="O1206" t="s">
        <v>695</v>
      </c>
      <c r="P1206" t="str">
        <f t="shared" si="315"/>
        <v>HILAA_10705_Gorgonzola Telino</v>
      </c>
      <c r="Q1206" t="str">
        <f t="shared" si="316"/>
        <v>10705</v>
      </c>
      <c r="R1206" t="str">
        <f t="shared" si="317"/>
        <v>10705</v>
      </c>
      <c r="S1206" t="str">
        <f t="shared" si="318"/>
        <v>Gorgonzola Telino</v>
      </c>
      <c r="T1206">
        <v>12.5</v>
      </c>
      <c r="U1206">
        <v>20</v>
      </c>
      <c r="V1206">
        <v>0</v>
      </c>
      <c r="W1206">
        <f t="shared" si="319"/>
        <v>250</v>
      </c>
      <c r="X1206" t="str">
        <f t="shared" si="320"/>
        <v>No</v>
      </c>
      <c r="Y1206" s="2">
        <v>35018</v>
      </c>
      <c r="Z1206" t="str">
        <f t="shared" si="306"/>
        <v/>
      </c>
      <c r="AA1206" t="str">
        <f t="shared" si="321"/>
        <v/>
      </c>
      <c r="AB1206" t="str" cm="1">
        <f t="array" ref="AB1206">_xlfn.IFS(Y1206&lt;DATE(1996,1,1),"",Y1206&lt;DATE(1996,4,1),"Q1",Y1206&lt;DATE(1996,7,1),"Q2",Y1206&gt;=DATE(1996,7,1),"")</f>
        <v/>
      </c>
    </row>
    <row r="1207" spans="1:28" ht="14.4" x14ac:dyDescent="0.55000000000000004">
      <c r="A1207" t="str">
        <f>VLOOKUP(L1207,Customers!$A$2:$B$92,2,FALSE)</f>
        <v>HILARIÓN-Abastos</v>
      </c>
      <c r="B1207" t="str">
        <f>VLOOKUP(L1207,Customers!$A$2:$C$92,3,TRUE)</f>
        <v>Carlos Hernández</v>
      </c>
      <c r="C1207" t="str">
        <f t="shared" si="307"/>
        <v>Carlos</v>
      </c>
      <c r="D1207" s="8" t="str">
        <f t="shared" si="308"/>
        <v>Hernández</v>
      </c>
      <c r="E1207" s="8" t="str">
        <f t="shared" si="309"/>
        <v>Hernández, Carlos</v>
      </c>
      <c r="F1207" s="8" t="str">
        <f t="shared" si="310"/>
        <v>Hernández, Carlos</v>
      </c>
      <c r="G1207" s="8" t="str">
        <f t="shared" si="311"/>
        <v>not an outlier</v>
      </c>
      <c r="H1207" s="8" t="str">
        <f t="shared" si="312"/>
        <v>Not</v>
      </c>
      <c r="I1207" s="8" t="str">
        <f t="shared" si="322"/>
        <v>no</v>
      </c>
      <c r="J1207" s="10" t="str">
        <f t="shared" si="313"/>
        <v>no</v>
      </c>
      <c r="K1207" s="10" t="str">
        <f t="shared" si="314"/>
        <v>no</v>
      </c>
      <c r="L1207" t="s">
        <v>273</v>
      </c>
      <c r="M1207">
        <v>10705</v>
      </c>
      <c r="N1207">
        <v>32</v>
      </c>
      <c r="O1207" t="s">
        <v>709</v>
      </c>
      <c r="P1207" t="str">
        <f t="shared" si="315"/>
        <v>HILAA_10705_Mascarpone Fabioli</v>
      </c>
      <c r="Q1207" t="str">
        <f t="shared" si="316"/>
        <v>10705</v>
      </c>
      <c r="R1207" t="str">
        <f t="shared" si="317"/>
        <v>10705</v>
      </c>
      <c r="S1207" t="str">
        <f t="shared" si="318"/>
        <v>Mascarpone Fabioli</v>
      </c>
      <c r="T1207">
        <v>32</v>
      </c>
      <c r="U1207">
        <v>4</v>
      </c>
      <c r="V1207">
        <v>0</v>
      </c>
      <c r="W1207">
        <f t="shared" si="319"/>
        <v>128</v>
      </c>
      <c r="X1207" t="str">
        <f t="shared" si="320"/>
        <v>No</v>
      </c>
      <c r="Y1207" s="2">
        <v>35018</v>
      </c>
      <c r="Z1207" t="str">
        <f t="shared" si="306"/>
        <v/>
      </c>
      <c r="AA1207" t="str">
        <f t="shared" si="321"/>
        <v/>
      </c>
      <c r="AB1207" t="str" cm="1">
        <f t="array" ref="AB1207">_xlfn.IFS(Y1207&lt;DATE(1996,1,1),"",Y1207&lt;DATE(1996,4,1),"Q1",Y1207&lt;DATE(1996,7,1),"Q2",Y1207&gt;=DATE(1996,7,1),"")</f>
        <v/>
      </c>
    </row>
    <row r="1208" spans="1:28" ht="14.4" x14ac:dyDescent="0.55000000000000004">
      <c r="A1208" t="str">
        <f>VLOOKUP(L1208,Customers!$A$2:$B$92,2,FALSE)</f>
        <v>Old World Delicatessen</v>
      </c>
      <c r="B1208" t="str">
        <f>VLOOKUP(L1208,Customers!$A$2:$C$92,3,TRUE)</f>
        <v>Rene Phillips</v>
      </c>
      <c r="C1208" t="str">
        <f t="shared" si="307"/>
        <v>Rene</v>
      </c>
      <c r="D1208" s="8" t="str">
        <f t="shared" si="308"/>
        <v>Phillips</v>
      </c>
      <c r="E1208" s="8" t="str">
        <f t="shared" si="309"/>
        <v>Phillips, Rene</v>
      </c>
      <c r="F1208" s="8" t="str">
        <f t="shared" si="310"/>
        <v>Phillips, Rene</v>
      </c>
      <c r="G1208" s="8" t="str">
        <f t="shared" si="311"/>
        <v>not an outlier</v>
      </c>
      <c r="H1208" s="8" t="str">
        <f t="shared" si="312"/>
        <v>Not</v>
      </c>
      <c r="I1208" s="8" t="str">
        <f t="shared" si="322"/>
        <v>no</v>
      </c>
      <c r="J1208" s="10" t="str">
        <f t="shared" si="313"/>
        <v>no</v>
      </c>
      <c r="K1208" s="10" t="str">
        <f t="shared" si="314"/>
        <v>no</v>
      </c>
      <c r="L1208" t="s">
        <v>422</v>
      </c>
      <c r="M1208">
        <v>10706</v>
      </c>
      <c r="N1208">
        <v>16</v>
      </c>
      <c r="O1208" t="s">
        <v>702</v>
      </c>
      <c r="P1208" t="str">
        <f t="shared" si="315"/>
        <v>OLDWO_10706_Pavlova</v>
      </c>
      <c r="Q1208" t="str">
        <f t="shared" si="316"/>
        <v>10706</v>
      </c>
      <c r="R1208" t="str">
        <f t="shared" si="317"/>
        <v>10706</v>
      </c>
      <c r="S1208" t="str">
        <f t="shared" si="318"/>
        <v>Pavlova</v>
      </c>
      <c r="T1208">
        <v>17.45</v>
      </c>
      <c r="U1208">
        <v>20</v>
      </c>
      <c r="V1208">
        <v>0</v>
      </c>
      <c r="W1208">
        <f t="shared" si="319"/>
        <v>349</v>
      </c>
      <c r="X1208" t="str">
        <f t="shared" si="320"/>
        <v>No</v>
      </c>
      <c r="Y1208" s="2">
        <v>35019</v>
      </c>
      <c r="Z1208" t="str">
        <f t="shared" si="306"/>
        <v/>
      </c>
      <c r="AA1208" t="str">
        <f t="shared" si="321"/>
        <v/>
      </c>
      <c r="AB1208" t="str" cm="1">
        <f t="array" ref="AB1208">_xlfn.IFS(Y1208&lt;DATE(1996,1,1),"",Y1208&lt;DATE(1996,4,1),"Q1",Y1208&lt;DATE(1996,7,1),"Q2",Y1208&gt;=DATE(1996,7,1),"")</f>
        <v/>
      </c>
    </row>
    <row r="1209" spans="1:28" ht="14.4" x14ac:dyDescent="0.55000000000000004">
      <c r="A1209" t="str">
        <f>VLOOKUP(L1209,Customers!$A$2:$B$92,2,FALSE)</f>
        <v>Old World Delicatessen</v>
      </c>
      <c r="B1209" t="str">
        <f>VLOOKUP(L1209,Customers!$A$2:$C$92,3,TRUE)</f>
        <v>Rene Phillips</v>
      </c>
      <c r="C1209" t="str">
        <f t="shared" si="307"/>
        <v>Rene</v>
      </c>
      <c r="D1209" s="8" t="str">
        <f t="shared" si="308"/>
        <v>Phillips</v>
      </c>
      <c r="E1209" s="8" t="str">
        <f t="shared" si="309"/>
        <v>Phillips, Rene</v>
      </c>
      <c r="F1209" s="8" t="str">
        <f t="shared" si="310"/>
        <v>Phillips, Rene</v>
      </c>
      <c r="G1209" s="8" t="str">
        <f t="shared" si="311"/>
        <v>not an outlier</v>
      </c>
      <c r="H1209" s="8" t="str">
        <f t="shared" si="312"/>
        <v>Not</v>
      </c>
      <c r="I1209" s="8" t="str">
        <f t="shared" si="322"/>
        <v>no</v>
      </c>
      <c r="J1209" s="10" t="str">
        <f t="shared" si="313"/>
        <v>no</v>
      </c>
      <c r="K1209" s="10" t="str">
        <f t="shared" si="314"/>
        <v>no</v>
      </c>
      <c r="L1209" t="s">
        <v>422</v>
      </c>
      <c r="M1209">
        <v>10706</v>
      </c>
      <c r="N1209">
        <v>43</v>
      </c>
      <c r="O1209" t="s">
        <v>723</v>
      </c>
      <c r="P1209" t="str">
        <f t="shared" si="315"/>
        <v>OLDWO_10706_Ipoh Coffee</v>
      </c>
      <c r="Q1209" t="str">
        <f t="shared" si="316"/>
        <v>10706</v>
      </c>
      <c r="R1209" t="str">
        <f t="shared" si="317"/>
        <v>10706</v>
      </c>
      <c r="S1209" t="str">
        <f t="shared" si="318"/>
        <v>Ipoh Coffee</v>
      </c>
      <c r="T1209">
        <v>46</v>
      </c>
      <c r="U1209">
        <v>24</v>
      </c>
      <c r="V1209">
        <v>0</v>
      </c>
      <c r="W1209">
        <f t="shared" si="319"/>
        <v>1104</v>
      </c>
      <c r="X1209" t="str">
        <f t="shared" si="320"/>
        <v>No</v>
      </c>
      <c r="Y1209" s="2">
        <v>35019</v>
      </c>
      <c r="Z1209" t="str">
        <f t="shared" si="306"/>
        <v/>
      </c>
      <c r="AA1209" t="str">
        <f t="shared" si="321"/>
        <v/>
      </c>
      <c r="AB1209" t="str" cm="1">
        <f t="array" ref="AB1209">_xlfn.IFS(Y1209&lt;DATE(1996,1,1),"",Y1209&lt;DATE(1996,4,1),"Q1",Y1209&lt;DATE(1996,7,1),"Q2",Y1209&gt;=DATE(1996,7,1),"")</f>
        <v/>
      </c>
    </row>
    <row r="1210" spans="1:28" ht="14.4" x14ac:dyDescent="0.55000000000000004">
      <c r="A1210" t="str">
        <f>VLOOKUP(L1210,Customers!$A$2:$B$92,2,FALSE)</f>
        <v>Old World Delicatessen</v>
      </c>
      <c r="B1210" t="str">
        <f>VLOOKUP(L1210,Customers!$A$2:$C$92,3,TRUE)</f>
        <v>Rene Phillips</v>
      </c>
      <c r="C1210" t="str">
        <f t="shared" si="307"/>
        <v>Rene</v>
      </c>
      <c r="D1210" s="8" t="str">
        <f t="shared" si="308"/>
        <v>Phillips</v>
      </c>
      <c r="E1210" s="8" t="str">
        <f t="shared" si="309"/>
        <v>Phillips, Rene</v>
      </c>
      <c r="F1210" s="8" t="str">
        <f t="shared" si="310"/>
        <v>Phillips, Rene</v>
      </c>
      <c r="G1210" s="8" t="str">
        <f t="shared" si="311"/>
        <v>not an outlier</v>
      </c>
      <c r="H1210" s="8" t="str">
        <f t="shared" si="312"/>
        <v>Not</v>
      </c>
      <c r="I1210" s="8" t="str">
        <f t="shared" si="322"/>
        <v>no</v>
      </c>
      <c r="J1210" s="10" t="str">
        <f t="shared" si="313"/>
        <v>no</v>
      </c>
      <c r="K1210" s="10" t="str">
        <f t="shared" si="314"/>
        <v>no</v>
      </c>
      <c r="L1210" t="s">
        <v>422</v>
      </c>
      <c r="M1210">
        <v>10706</v>
      </c>
      <c r="N1210">
        <v>59</v>
      </c>
      <c r="O1210" t="s">
        <v>704</v>
      </c>
      <c r="P1210" t="str">
        <f t="shared" si="315"/>
        <v>OLDWO_10706_Raclette Courdavault</v>
      </c>
      <c r="Q1210" t="str">
        <f t="shared" si="316"/>
        <v>10706</v>
      </c>
      <c r="R1210" t="str">
        <f t="shared" si="317"/>
        <v>10706</v>
      </c>
      <c r="S1210" t="str">
        <f t="shared" si="318"/>
        <v>Raclette Courdavault</v>
      </c>
      <c r="T1210">
        <v>55</v>
      </c>
      <c r="U1210">
        <v>8</v>
      </c>
      <c r="V1210">
        <v>0</v>
      </c>
      <c r="W1210">
        <f t="shared" si="319"/>
        <v>440</v>
      </c>
      <c r="X1210" t="str">
        <f t="shared" si="320"/>
        <v>No</v>
      </c>
      <c r="Y1210" s="2">
        <v>35019</v>
      </c>
      <c r="Z1210" t="str">
        <f t="shared" si="306"/>
        <v/>
      </c>
      <c r="AA1210" t="str">
        <f t="shared" si="321"/>
        <v/>
      </c>
      <c r="AB1210" t="str" cm="1">
        <f t="array" ref="AB1210">_xlfn.IFS(Y1210&lt;DATE(1996,1,1),"",Y1210&lt;DATE(1996,4,1),"Q1",Y1210&lt;DATE(1996,7,1),"Q2",Y1210&gt;=DATE(1996,7,1),"")</f>
        <v/>
      </c>
    </row>
    <row r="1211" spans="1:28" ht="14.4" x14ac:dyDescent="0.55000000000000004">
      <c r="A1211" t="str">
        <f>VLOOKUP(L1211,Customers!$A$2:$B$92,2,FALSE)</f>
        <v>Around the Horn</v>
      </c>
      <c r="B1211" t="str">
        <f>VLOOKUP(L1211,Customers!$A$2:$C$92,3,TRUE)</f>
        <v>Thomas Hardy</v>
      </c>
      <c r="C1211" t="str">
        <f t="shared" si="307"/>
        <v>Thomas</v>
      </c>
      <c r="D1211" s="8" t="str">
        <f t="shared" si="308"/>
        <v>Hardy</v>
      </c>
      <c r="E1211" s="8" t="str">
        <f t="shared" si="309"/>
        <v>Hardy, Thomas</v>
      </c>
      <c r="F1211" s="8" t="str">
        <f t="shared" si="310"/>
        <v>Hardy, Thomas</v>
      </c>
      <c r="G1211" s="8" t="str">
        <f t="shared" si="311"/>
        <v>not an outlier</v>
      </c>
      <c r="H1211" s="8" t="str">
        <f t="shared" si="312"/>
        <v>Not</v>
      </c>
      <c r="I1211" s="8" t="str">
        <f t="shared" si="322"/>
        <v>no</v>
      </c>
      <c r="J1211" s="10" t="str">
        <f t="shared" si="313"/>
        <v>no</v>
      </c>
      <c r="K1211" s="10" t="str">
        <f t="shared" si="314"/>
        <v>no</v>
      </c>
      <c r="L1211" t="s">
        <v>34</v>
      </c>
      <c r="M1211">
        <v>10707</v>
      </c>
      <c r="N1211">
        <v>55</v>
      </c>
      <c r="O1211" t="s">
        <v>699</v>
      </c>
      <c r="P1211" t="str">
        <f t="shared" si="315"/>
        <v>AROUT_10707_Pâté chinois</v>
      </c>
      <c r="Q1211" t="str">
        <f t="shared" si="316"/>
        <v>10707</v>
      </c>
      <c r="R1211" t="str">
        <f t="shared" si="317"/>
        <v>10707</v>
      </c>
      <c r="S1211" t="str">
        <f t="shared" si="318"/>
        <v>Pâté chinois</v>
      </c>
      <c r="T1211">
        <v>24</v>
      </c>
      <c r="U1211">
        <v>21</v>
      </c>
      <c r="V1211">
        <v>0</v>
      </c>
      <c r="W1211">
        <f t="shared" si="319"/>
        <v>504</v>
      </c>
      <c r="X1211" t="str">
        <f t="shared" si="320"/>
        <v>No</v>
      </c>
      <c r="Y1211" s="2">
        <v>35019</v>
      </c>
      <c r="Z1211" t="str">
        <f t="shared" si="306"/>
        <v/>
      </c>
      <c r="AA1211" t="str">
        <f t="shared" si="321"/>
        <v/>
      </c>
      <c r="AB1211" t="str" cm="1">
        <f t="array" ref="AB1211">_xlfn.IFS(Y1211&lt;DATE(1996,1,1),"",Y1211&lt;DATE(1996,4,1),"Q1",Y1211&lt;DATE(1996,7,1),"Q2",Y1211&gt;=DATE(1996,7,1),"")</f>
        <v/>
      </c>
    </row>
    <row r="1212" spans="1:28" ht="14.4" x14ac:dyDescent="0.55000000000000004">
      <c r="A1212" t="str">
        <f>VLOOKUP(L1212,Customers!$A$2:$B$92,2,FALSE)</f>
        <v>Around the Horn</v>
      </c>
      <c r="B1212" t="str">
        <f>VLOOKUP(L1212,Customers!$A$2:$C$92,3,TRUE)</f>
        <v>Thomas Hardy</v>
      </c>
      <c r="C1212" t="str">
        <f t="shared" si="307"/>
        <v>Thomas</v>
      </c>
      <c r="D1212" s="8" t="str">
        <f t="shared" si="308"/>
        <v>Hardy</v>
      </c>
      <c r="E1212" s="8" t="str">
        <f t="shared" si="309"/>
        <v>Hardy, Thomas</v>
      </c>
      <c r="F1212" s="8" t="str">
        <f t="shared" si="310"/>
        <v>Hardy, Thomas</v>
      </c>
      <c r="G1212" s="8" t="str">
        <f t="shared" si="311"/>
        <v>not an outlier</v>
      </c>
      <c r="H1212" s="8" t="str">
        <f t="shared" si="312"/>
        <v>Not</v>
      </c>
      <c r="I1212" s="8" t="str">
        <f t="shared" si="322"/>
        <v>no</v>
      </c>
      <c r="J1212" s="10" t="str">
        <f t="shared" si="313"/>
        <v>no</v>
      </c>
      <c r="K1212" s="10" t="str">
        <f t="shared" si="314"/>
        <v>no</v>
      </c>
      <c r="L1212" t="s">
        <v>34</v>
      </c>
      <c r="M1212">
        <v>10707</v>
      </c>
      <c r="N1212">
        <v>57</v>
      </c>
      <c r="O1212" t="s">
        <v>691</v>
      </c>
      <c r="P1212" t="str">
        <f t="shared" si="315"/>
        <v>AROUT_10707_Ravioli Angelo</v>
      </c>
      <c r="Q1212" t="str">
        <f t="shared" si="316"/>
        <v>10707</v>
      </c>
      <c r="R1212" t="str">
        <f t="shared" si="317"/>
        <v>10707</v>
      </c>
      <c r="S1212" t="str">
        <f t="shared" si="318"/>
        <v>Ravioli Angelo</v>
      </c>
      <c r="T1212">
        <v>19.5</v>
      </c>
      <c r="U1212">
        <v>40</v>
      </c>
      <c r="V1212">
        <v>0</v>
      </c>
      <c r="W1212">
        <f t="shared" si="319"/>
        <v>780</v>
      </c>
      <c r="X1212" t="str">
        <f t="shared" si="320"/>
        <v>No</v>
      </c>
      <c r="Y1212" s="2">
        <v>35019</v>
      </c>
      <c r="Z1212" t="str">
        <f t="shared" si="306"/>
        <v/>
      </c>
      <c r="AA1212" t="str">
        <f t="shared" si="321"/>
        <v/>
      </c>
      <c r="AB1212" t="str" cm="1">
        <f t="array" ref="AB1212">_xlfn.IFS(Y1212&lt;DATE(1996,1,1),"",Y1212&lt;DATE(1996,4,1),"Q1",Y1212&lt;DATE(1996,7,1),"Q2",Y1212&gt;=DATE(1996,7,1),"")</f>
        <v/>
      </c>
    </row>
    <row r="1213" spans="1:28" ht="14.4" x14ac:dyDescent="0.55000000000000004">
      <c r="A1213" t="str">
        <f>VLOOKUP(L1213,Customers!$A$2:$B$92,2,FALSE)</f>
        <v>Around the Horn</v>
      </c>
      <c r="B1213" t="str">
        <f>VLOOKUP(L1213,Customers!$A$2:$C$92,3,TRUE)</f>
        <v>Thomas Hardy</v>
      </c>
      <c r="C1213" t="str">
        <f t="shared" si="307"/>
        <v>Thomas</v>
      </c>
      <c r="D1213" s="8" t="str">
        <f t="shared" si="308"/>
        <v>Hardy</v>
      </c>
      <c r="E1213" s="8" t="str">
        <f t="shared" si="309"/>
        <v>Hardy, Thomas</v>
      </c>
      <c r="F1213" s="8" t="str">
        <f t="shared" si="310"/>
        <v>Hardy, Thomas</v>
      </c>
      <c r="G1213" s="8" t="str">
        <f t="shared" si="311"/>
        <v>not an outlier</v>
      </c>
      <c r="H1213" s="8" t="str">
        <f t="shared" si="312"/>
        <v>Not</v>
      </c>
      <c r="I1213" s="8" t="str">
        <f t="shared" si="322"/>
        <v>no</v>
      </c>
      <c r="J1213" s="10" t="str">
        <f t="shared" si="313"/>
        <v>no</v>
      </c>
      <c r="K1213" s="10" t="str">
        <f t="shared" si="314"/>
        <v>no</v>
      </c>
      <c r="L1213" t="s">
        <v>34</v>
      </c>
      <c r="M1213">
        <v>10707</v>
      </c>
      <c r="N1213">
        <v>70</v>
      </c>
      <c r="O1213" t="s">
        <v>713</v>
      </c>
      <c r="P1213" t="str">
        <f t="shared" si="315"/>
        <v>AROUT_10707_Outback Lager</v>
      </c>
      <c r="Q1213" t="str">
        <f t="shared" si="316"/>
        <v>10707</v>
      </c>
      <c r="R1213" t="str">
        <f t="shared" si="317"/>
        <v>10707</v>
      </c>
      <c r="S1213" t="str">
        <f t="shared" si="318"/>
        <v>Outback Lager</v>
      </c>
      <c r="T1213">
        <v>15</v>
      </c>
      <c r="U1213">
        <v>28</v>
      </c>
      <c r="V1213">
        <v>0.15</v>
      </c>
      <c r="W1213">
        <f t="shared" si="319"/>
        <v>357</v>
      </c>
      <c r="X1213" t="str">
        <f t="shared" si="320"/>
        <v>No</v>
      </c>
      <c r="Y1213" s="2">
        <v>35019</v>
      </c>
      <c r="Z1213" t="str">
        <f t="shared" si="306"/>
        <v/>
      </c>
      <c r="AA1213" t="str">
        <f t="shared" si="321"/>
        <v/>
      </c>
      <c r="AB1213" t="str" cm="1">
        <f t="array" ref="AB1213">_xlfn.IFS(Y1213&lt;DATE(1996,1,1),"",Y1213&lt;DATE(1996,4,1),"Q1",Y1213&lt;DATE(1996,7,1),"Q2",Y1213&gt;=DATE(1996,7,1),"")</f>
        <v/>
      </c>
    </row>
    <row r="1214" spans="1:28" ht="14.4" x14ac:dyDescent="0.55000000000000004">
      <c r="A1214" t="str">
        <f>VLOOKUP(L1214,Customers!$A$2:$B$92,2,FALSE)</f>
        <v>The Big Cheese</v>
      </c>
      <c r="B1214" t="str">
        <f>VLOOKUP(L1214,Customers!$A$2:$C$92,3,TRUE)</f>
        <v>Liz Nixon</v>
      </c>
      <c r="C1214" t="str">
        <f t="shared" si="307"/>
        <v>Liz</v>
      </c>
      <c r="D1214" s="8" t="str">
        <f t="shared" si="308"/>
        <v>Nixon</v>
      </c>
      <c r="E1214" s="8" t="str">
        <f t="shared" si="309"/>
        <v>Nixon, Liz</v>
      </c>
      <c r="F1214" s="8" t="str">
        <f t="shared" si="310"/>
        <v>Nixon, Liz</v>
      </c>
      <c r="G1214" s="8" t="str">
        <f t="shared" si="311"/>
        <v>not an outlier</v>
      </c>
      <c r="H1214" s="8" t="str">
        <f t="shared" si="312"/>
        <v>Not</v>
      </c>
      <c r="I1214" s="8" t="str">
        <f t="shared" si="322"/>
        <v>no</v>
      </c>
      <c r="J1214" s="10" t="str">
        <f t="shared" si="313"/>
        <v>no</v>
      </c>
      <c r="K1214" s="10" t="str">
        <f t="shared" si="314"/>
        <v>no</v>
      </c>
      <c r="L1214" t="s">
        <v>573</v>
      </c>
      <c r="M1214">
        <v>10708</v>
      </c>
      <c r="N1214">
        <v>5</v>
      </c>
      <c r="O1214" t="s">
        <v>708</v>
      </c>
      <c r="P1214" t="str">
        <f t="shared" si="315"/>
        <v>THEBI_10708_Chef Anton's Gumbo Mix</v>
      </c>
      <c r="Q1214" t="str">
        <f t="shared" si="316"/>
        <v>10708</v>
      </c>
      <c r="R1214" t="str">
        <f t="shared" si="317"/>
        <v>10708</v>
      </c>
      <c r="S1214" t="str">
        <f t="shared" si="318"/>
        <v>Chef Anton's Gumbo Mix</v>
      </c>
      <c r="T1214">
        <v>21.35</v>
      </c>
      <c r="U1214">
        <v>4</v>
      </c>
      <c r="V1214">
        <v>0</v>
      </c>
      <c r="W1214">
        <f t="shared" si="319"/>
        <v>85.4</v>
      </c>
      <c r="X1214" t="str">
        <f t="shared" si="320"/>
        <v>No</v>
      </c>
      <c r="Y1214" s="2">
        <v>35020</v>
      </c>
      <c r="Z1214" t="str">
        <f t="shared" si="306"/>
        <v/>
      </c>
      <c r="AA1214" t="str">
        <f t="shared" si="321"/>
        <v/>
      </c>
      <c r="AB1214" t="str" cm="1">
        <f t="array" ref="AB1214">_xlfn.IFS(Y1214&lt;DATE(1996,1,1),"",Y1214&lt;DATE(1996,4,1),"Q1",Y1214&lt;DATE(1996,7,1),"Q2",Y1214&gt;=DATE(1996,7,1),"")</f>
        <v/>
      </c>
    </row>
    <row r="1215" spans="1:28" ht="14.4" x14ac:dyDescent="0.55000000000000004">
      <c r="A1215" t="str">
        <f>VLOOKUP(L1215,Customers!$A$2:$B$92,2,FALSE)</f>
        <v>The Big Cheese</v>
      </c>
      <c r="B1215" t="str">
        <f>VLOOKUP(L1215,Customers!$A$2:$C$92,3,TRUE)</f>
        <v>Liz Nixon</v>
      </c>
      <c r="C1215" t="str">
        <f t="shared" si="307"/>
        <v>Liz</v>
      </c>
      <c r="D1215" s="8" t="str">
        <f t="shared" si="308"/>
        <v>Nixon</v>
      </c>
      <c r="E1215" s="8" t="str">
        <f t="shared" si="309"/>
        <v>Nixon, Liz</v>
      </c>
      <c r="F1215" s="8" t="str">
        <f t="shared" si="310"/>
        <v>Nixon, Liz</v>
      </c>
      <c r="G1215" s="8" t="str">
        <f t="shared" si="311"/>
        <v>not an outlier</v>
      </c>
      <c r="H1215" s="8" t="str">
        <f t="shared" si="312"/>
        <v>Not</v>
      </c>
      <c r="I1215" s="8" t="str">
        <f t="shared" si="322"/>
        <v>no</v>
      </c>
      <c r="J1215" s="10" t="str">
        <f t="shared" si="313"/>
        <v>no</v>
      </c>
      <c r="K1215" s="10" t="str">
        <f t="shared" si="314"/>
        <v>no</v>
      </c>
      <c r="L1215" t="s">
        <v>573</v>
      </c>
      <c r="M1215">
        <v>10708</v>
      </c>
      <c r="N1215">
        <v>36</v>
      </c>
      <c r="O1215" t="s">
        <v>703</v>
      </c>
      <c r="P1215" t="str">
        <f t="shared" si="315"/>
        <v>THEBI_10708_Inlagd Sill</v>
      </c>
      <c r="Q1215" t="str">
        <f t="shared" si="316"/>
        <v>10708</v>
      </c>
      <c r="R1215" t="str">
        <f t="shared" si="317"/>
        <v>10708</v>
      </c>
      <c r="S1215" t="str">
        <f t="shared" si="318"/>
        <v>Inlagd Sill</v>
      </c>
      <c r="T1215">
        <v>19</v>
      </c>
      <c r="U1215">
        <v>5</v>
      </c>
      <c r="V1215">
        <v>0</v>
      </c>
      <c r="W1215">
        <f t="shared" si="319"/>
        <v>95</v>
      </c>
      <c r="X1215" t="str">
        <f t="shared" si="320"/>
        <v>No</v>
      </c>
      <c r="Y1215" s="2">
        <v>35020</v>
      </c>
      <c r="Z1215" t="str">
        <f t="shared" si="306"/>
        <v/>
      </c>
      <c r="AA1215" t="str">
        <f t="shared" si="321"/>
        <v/>
      </c>
      <c r="AB1215" t="str" cm="1">
        <f t="array" ref="AB1215">_xlfn.IFS(Y1215&lt;DATE(1996,1,1),"",Y1215&lt;DATE(1996,4,1),"Q1",Y1215&lt;DATE(1996,7,1),"Q2",Y1215&gt;=DATE(1996,7,1),"")</f>
        <v/>
      </c>
    </row>
    <row r="1216" spans="1:28" ht="14.4" x14ac:dyDescent="0.55000000000000004">
      <c r="A1216" t="str">
        <f>VLOOKUP(L1216,Customers!$A$2:$B$92,2,FALSE)</f>
        <v>Gourmet Lanchonetes</v>
      </c>
      <c r="B1216" t="str">
        <f>VLOOKUP(L1216,Customers!$A$2:$C$92,3,TRUE)</f>
        <v>André Fonseca</v>
      </c>
      <c r="C1216" t="str">
        <f t="shared" si="307"/>
        <v>André</v>
      </c>
      <c r="D1216" s="8" t="str">
        <f t="shared" si="308"/>
        <v>Fonseca</v>
      </c>
      <c r="E1216" s="8" t="str">
        <f t="shared" si="309"/>
        <v>Fonseca, André</v>
      </c>
      <c r="F1216" s="8" t="str">
        <f t="shared" si="310"/>
        <v>Fonseca, André</v>
      </c>
      <c r="G1216" s="8" t="str">
        <f t="shared" si="311"/>
        <v>not an outlier</v>
      </c>
      <c r="H1216" s="8" t="str">
        <f t="shared" si="312"/>
        <v>Not</v>
      </c>
      <c r="I1216" s="8" t="str">
        <f t="shared" si="322"/>
        <v>no</v>
      </c>
      <c r="J1216" s="10" t="str">
        <f t="shared" si="313"/>
        <v>no</v>
      </c>
      <c r="K1216" s="10" t="str">
        <f t="shared" si="314"/>
        <v>no</v>
      </c>
      <c r="L1216" t="s">
        <v>240</v>
      </c>
      <c r="M1216">
        <v>10709</v>
      </c>
      <c r="N1216">
        <v>8</v>
      </c>
      <c r="O1216" t="s">
        <v>754</v>
      </c>
      <c r="P1216" t="str">
        <f t="shared" si="315"/>
        <v>GOURL_10709_Northwoods Cranberry Sauce</v>
      </c>
      <c r="Q1216" t="str">
        <f t="shared" si="316"/>
        <v>10709</v>
      </c>
      <c r="R1216" t="str">
        <f t="shared" si="317"/>
        <v>10709</v>
      </c>
      <c r="S1216" t="str">
        <f t="shared" si="318"/>
        <v>Northwoods Cranberry Sauce</v>
      </c>
      <c r="T1216">
        <v>40</v>
      </c>
      <c r="U1216">
        <v>40</v>
      </c>
      <c r="V1216">
        <v>0</v>
      </c>
      <c r="W1216">
        <f t="shared" si="319"/>
        <v>1600</v>
      </c>
      <c r="X1216" t="str">
        <f t="shared" si="320"/>
        <v>No</v>
      </c>
      <c r="Y1216" s="2">
        <v>35020</v>
      </c>
      <c r="Z1216" t="str">
        <f t="shared" si="306"/>
        <v/>
      </c>
      <c r="AA1216" t="str">
        <f t="shared" si="321"/>
        <v/>
      </c>
      <c r="AB1216" t="str" cm="1">
        <f t="array" ref="AB1216">_xlfn.IFS(Y1216&lt;DATE(1996,1,1),"",Y1216&lt;DATE(1996,4,1),"Q1",Y1216&lt;DATE(1996,7,1),"Q2",Y1216&gt;=DATE(1996,7,1),"")</f>
        <v/>
      </c>
    </row>
    <row r="1217" spans="1:28" ht="14.4" x14ac:dyDescent="0.55000000000000004">
      <c r="A1217" t="str">
        <f>VLOOKUP(L1217,Customers!$A$2:$B$92,2,FALSE)</f>
        <v>Gourmet Lanchonetes</v>
      </c>
      <c r="B1217" t="str">
        <f>VLOOKUP(L1217,Customers!$A$2:$C$92,3,TRUE)</f>
        <v>André Fonseca</v>
      </c>
      <c r="C1217" t="str">
        <f t="shared" si="307"/>
        <v>André</v>
      </c>
      <c r="D1217" s="8" t="str">
        <f t="shared" si="308"/>
        <v>Fonseca</v>
      </c>
      <c r="E1217" s="8" t="str">
        <f t="shared" si="309"/>
        <v>Fonseca, André</v>
      </c>
      <c r="F1217" s="8" t="str">
        <f t="shared" si="310"/>
        <v>Fonseca, André</v>
      </c>
      <c r="G1217" s="8" t="str">
        <f t="shared" si="311"/>
        <v>not an outlier</v>
      </c>
      <c r="H1217" s="8" t="str">
        <f t="shared" si="312"/>
        <v>Not</v>
      </c>
      <c r="I1217" s="8" t="str">
        <f t="shared" si="322"/>
        <v>no</v>
      </c>
      <c r="J1217" s="10" t="str">
        <f t="shared" si="313"/>
        <v>no</v>
      </c>
      <c r="K1217" s="10" t="str">
        <f t="shared" si="314"/>
        <v>no</v>
      </c>
      <c r="L1217" t="s">
        <v>240</v>
      </c>
      <c r="M1217">
        <v>10709</v>
      </c>
      <c r="N1217">
        <v>51</v>
      </c>
      <c r="O1217" t="s">
        <v>687</v>
      </c>
      <c r="P1217" t="str">
        <f t="shared" si="315"/>
        <v>GOURL_10709_Manjimup Dried Apples</v>
      </c>
      <c r="Q1217" t="str">
        <f t="shared" si="316"/>
        <v>10709</v>
      </c>
      <c r="R1217" t="str">
        <f t="shared" si="317"/>
        <v>10709</v>
      </c>
      <c r="S1217" t="str">
        <f t="shared" si="318"/>
        <v>Manjimup Dried Apples</v>
      </c>
      <c r="T1217">
        <v>53</v>
      </c>
      <c r="U1217">
        <v>28</v>
      </c>
      <c r="V1217">
        <v>0</v>
      </c>
      <c r="W1217">
        <f t="shared" si="319"/>
        <v>1484</v>
      </c>
      <c r="X1217" t="str">
        <f t="shared" si="320"/>
        <v>No</v>
      </c>
      <c r="Y1217" s="2">
        <v>35020</v>
      </c>
      <c r="Z1217" t="str">
        <f t="shared" ref="Z1217:Z1280" si="323">IF(Y1217&gt;=DATE(1996,1,1), IF(Y1217&lt;DATE(1996,4,1),"1st Q 1996",""),"")</f>
        <v/>
      </c>
      <c r="AA1217" t="str">
        <f t="shared" si="321"/>
        <v/>
      </c>
      <c r="AB1217" t="str" cm="1">
        <f t="array" ref="AB1217">_xlfn.IFS(Y1217&lt;DATE(1996,1,1),"",Y1217&lt;DATE(1996,4,1),"Q1",Y1217&lt;DATE(1996,7,1),"Q2",Y1217&gt;=DATE(1996,7,1),"")</f>
        <v/>
      </c>
    </row>
    <row r="1218" spans="1:28" ht="14.4" x14ac:dyDescent="0.55000000000000004">
      <c r="A1218" t="str">
        <f>VLOOKUP(L1218,Customers!$A$2:$B$92,2,FALSE)</f>
        <v>Gourmet Lanchonetes</v>
      </c>
      <c r="B1218" t="str">
        <f>VLOOKUP(L1218,Customers!$A$2:$C$92,3,TRUE)</f>
        <v>André Fonseca</v>
      </c>
      <c r="C1218" t="str">
        <f t="shared" si="307"/>
        <v>André</v>
      </c>
      <c r="D1218" s="8" t="str">
        <f t="shared" si="308"/>
        <v>Fonseca</v>
      </c>
      <c r="E1218" s="8" t="str">
        <f t="shared" si="309"/>
        <v>Fonseca, André</v>
      </c>
      <c r="F1218" s="8" t="str">
        <f t="shared" si="310"/>
        <v>Fonseca, André</v>
      </c>
      <c r="G1218" s="8" t="str">
        <f t="shared" si="311"/>
        <v>not an outlier</v>
      </c>
      <c r="H1218" s="8" t="str">
        <f t="shared" si="312"/>
        <v>Not</v>
      </c>
      <c r="I1218" s="8" t="str">
        <f t="shared" si="322"/>
        <v>no</v>
      </c>
      <c r="J1218" s="10" t="str">
        <f t="shared" si="313"/>
        <v>no</v>
      </c>
      <c r="K1218" s="10" t="str">
        <f t="shared" si="314"/>
        <v>no</v>
      </c>
      <c r="L1218" t="s">
        <v>240</v>
      </c>
      <c r="M1218">
        <v>10709</v>
      </c>
      <c r="N1218">
        <v>60</v>
      </c>
      <c r="O1218" t="s">
        <v>694</v>
      </c>
      <c r="P1218" t="str">
        <f t="shared" si="315"/>
        <v>GOURL_10709_Camembert Pierrot</v>
      </c>
      <c r="Q1218" t="str">
        <f t="shared" si="316"/>
        <v>10709</v>
      </c>
      <c r="R1218" t="str">
        <f t="shared" si="317"/>
        <v>10709</v>
      </c>
      <c r="S1218" t="str">
        <f t="shared" si="318"/>
        <v>Camembert Pierrot</v>
      </c>
      <c r="T1218">
        <v>34</v>
      </c>
      <c r="U1218">
        <v>10</v>
      </c>
      <c r="V1218">
        <v>0</v>
      </c>
      <c r="W1218">
        <f t="shared" si="319"/>
        <v>340</v>
      </c>
      <c r="X1218" t="str">
        <f t="shared" si="320"/>
        <v>No</v>
      </c>
      <c r="Y1218" s="2">
        <v>35020</v>
      </c>
      <c r="Z1218" t="str">
        <f t="shared" si="323"/>
        <v/>
      </c>
      <c r="AA1218" t="str">
        <f t="shared" si="321"/>
        <v/>
      </c>
      <c r="AB1218" t="str" cm="1">
        <f t="array" ref="AB1218">_xlfn.IFS(Y1218&lt;DATE(1996,1,1),"",Y1218&lt;DATE(1996,4,1),"Q1",Y1218&lt;DATE(1996,7,1),"Q2",Y1218&gt;=DATE(1996,7,1),"")</f>
        <v/>
      </c>
    </row>
    <row r="1219" spans="1:28" ht="14.4" x14ac:dyDescent="0.55000000000000004">
      <c r="A1219" t="str">
        <f>VLOOKUP(L1219,Customers!$A$2:$B$92,2,FALSE)</f>
        <v>Franchi S.p.A.</v>
      </c>
      <c r="B1219" t="str">
        <f>VLOOKUP(L1219,Customers!$A$2:$C$92,3,TRUE)</f>
        <v>Paolo Accorti</v>
      </c>
      <c r="C1219" t="str">
        <f t="shared" ref="C1219:C1282" si="324">LEFT(B1219,FIND(" ",B1219)-1)</f>
        <v>Paolo</v>
      </c>
      <c r="D1219" s="8" t="str">
        <f t="shared" ref="D1219:D1282" si="325">RIGHT(B1219,LEN(B1219)-FIND(" ",B1219))</f>
        <v>Accorti</v>
      </c>
      <c r="E1219" s="8" t="str">
        <f t="shared" ref="E1219:E1282" si="326">_xlfn.CONCAT(D1219,", ",C1219)</f>
        <v>Accorti, Paolo</v>
      </c>
      <c r="F1219" s="8" t="str">
        <f t="shared" ref="F1219:F1282" si="327">D1219&amp;", "&amp;C1219</f>
        <v>Accorti, Paolo</v>
      </c>
      <c r="G1219" s="8" t="str">
        <f t="shared" ref="G1219:G1282" si="328">IF(OR(W1219&gt;$W$2166,W1219&lt;$W$2167),"outlier","not an outlier")</f>
        <v>not an outlier</v>
      </c>
      <c r="H1219" s="8" t="str">
        <f t="shared" ref="H1219:H1282" si="329">IF(OR(W1219&gt;$W$2166,W1219&lt;$W$2167),"outlier",IF(OR(W1219&gt;$W$2168,W1219&lt;$W$2169),"moderate","Not"))</f>
        <v>Not</v>
      </c>
      <c r="I1219" s="8" t="str">
        <f t="shared" si="322"/>
        <v>no</v>
      </c>
      <c r="J1219" s="10" t="str">
        <f t="shared" ref="J1219:J1282" si="330">IF(AND(W1219&lt;=$W$2166,W1219&gt;=$W$2167),"no","yes")</f>
        <v>no</v>
      </c>
      <c r="K1219" s="10" t="str">
        <f t="shared" ref="K1219:K1282" si="331">IF(OR(W1219&gt;$W$2166,W1219&lt;$W$2167),"yes",IF(OR(W1219&gt;$W$2168,W1219&lt;$W$2169),"moderate","no"))</f>
        <v>no</v>
      </c>
      <c r="L1219" t="s">
        <v>211</v>
      </c>
      <c r="M1219">
        <v>10710</v>
      </c>
      <c r="N1219">
        <v>19</v>
      </c>
      <c r="O1219" t="s">
        <v>732</v>
      </c>
      <c r="P1219" t="str">
        <f t="shared" ref="P1219:P1282" si="332">L1219&amp;"_"&amp;M1219&amp;"_"&amp;O1219</f>
        <v>FRANS_10710_Teatime Chocolate Biscuits</v>
      </c>
      <c r="Q1219" t="str">
        <f t="shared" ref="Q1219:Q1282" si="333">LEFT(RIGHT(P1219,LEN(P1219)-FIND("_",P1219)), FIND("_",P1219)-1)</f>
        <v>10710</v>
      </c>
      <c r="R1219" t="str">
        <f t="shared" ref="R1219:R1282" si="334">MID(P1219,FIND("_",P1219)+1,FIND("_",P1219,FIND("_",P1219))-1)</f>
        <v>10710</v>
      </c>
      <c r="S1219" t="str">
        <f t="shared" ref="S1219:S1282" si="335">MID(P1219,FIND("_",P1219,FIND("_",P1219)+1)+1,LEN(P1219))</f>
        <v>Teatime Chocolate Biscuits</v>
      </c>
      <c r="T1219">
        <v>9.1999999999999993</v>
      </c>
      <c r="U1219">
        <v>5</v>
      </c>
      <c r="V1219">
        <v>0</v>
      </c>
      <c r="W1219">
        <f t="shared" ref="W1219:W1282" si="336">T1219*U1219*(1-V1219)</f>
        <v>46</v>
      </c>
      <c r="X1219" t="str">
        <f t="shared" ref="X1219:X1282" si="337">IF(YEAR(Y1219)&gt;=1996,"yes","No")</f>
        <v>No</v>
      </c>
      <c r="Y1219" s="2">
        <v>35023</v>
      </c>
      <c r="Z1219" t="str">
        <f t="shared" si="323"/>
        <v/>
      </c>
      <c r="AA1219" t="str">
        <f t="shared" ref="AA1219:AA1282" si="338">IF(Y1219&lt;DATE(1996,1,1),"", IF(Y1219&lt;DATE(1996,4,1),"1st Q 1996",IF(Y1219&lt;DATE(1996,7,1),"2nd Q 1996","")))</f>
        <v/>
      </c>
      <c r="AB1219" t="str" cm="1">
        <f t="array" ref="AB1219">_xlfn.IFS(Y1219&lt;DATE(1996,1,1),"",Y1219&lt;DATE(1996,4,1),"Q1",Y1219&lt;DATE(1996,7,1),"Q2",Y1219&gt;=DATE(1996,7,1),"")</f>
        <v/>
      </c>
    </row>
    <row r="1220" spans="1:28" ht="14.4" x14ac:dyDescent="0.55000000000000004">
      <c r="A1220" t="str">
        <f>VLOOKUP(L1220,Customers!$A$2:$B$92,2,FALSE)</f>
        <v>Franchi S.p.A.</v>
      </c>
      <c r="B1220" t="str">
        <f>VLOOKUP(L1220,Customers!$A$2:$C$92,3,TRUE)</f>
        <v>Paolo Accorti</v>
      </c>
      <c r="C1220" t="str">
        <f t="shared" si="324"/>
        <v>Paolo</v>
      </c>
      <c r="D1220" s="8" t="str">
        <f t="shared" si="325"/>
        <v>Accorti</v>
      </c>
      <c r="E1220" s="8" t="str">
        <f t="shared" si="326"/>
        <v>Accorti, Paolo</v>
      </c>
      <c r="F1220" s="8" t="str">
        <f t="shared" si="327"/>
        <v>Accorti, Paolo</v>
      </c>
      <c r="G1220" s="8" t="str">
        <f t="shared" si="328"/>
        <v>not an outlier</v>
      </c>
      <c r="H1220" s="8" t="str">
        <f t="shared" si="329"/>
        <v>Not</v>
      </c>
      <c r="I1220" s="8" t="str">
        <f t="shared" ref="I1220:I1283" si="339">IF(OR(W1220&gt;$W$2166,W1220&lt;$W$2167),"yes","no")</f>
        <v>no</v>
      </c>
      <c r="J1220" s="10" t="str">
        <f t="shared" si="330"/>
        <v>no</v>
      </c>
      <c r="K1220" s="10" t="str">
        <f t="shared" si="331"/>
        <v>no</v>
      </c>
      <c r="L1220" t="s">
        <v>211</v>
      </c>
      <c r="M1220">
        <v>10710</v>
      </c>
      <c r="N1220">
        <v>47</v>
      </c>
      <c r="O1220" t="s">
        <v>752</v>
      </c>
      <c r="P1220" t="str">
        <f t="shared" si="332"/>
        <v>FRANS_10710_Zaanse koeken</v>
      </c>
      <c r="Q1220" t="str">
        <f t="shared" si="333"/>
        <v>10710</v>
      </c>
      <c r="R1220" t="str">
        <f t="shared" si="334"/>
        <v>10710</v>
      </c>
      <c r="S1220" t="str">
        <f t="shared" si="335"/>
        <v>Zaanse koeken</v>
      </c>
      <c r="T1220">
        <v>9.5</v>
      </c>
      <c r="U1220">
        <v>5</v>
      </c>
      <c r="V1220">
        <v>0</v>
      </c>
      <c r="W1220">
        <f t="shared" si="336"/>
        <v>47.5</v>
      </c>
      <c r="X1220" t="str">
        <f t="shared" si="337"/>
        <v>No</v>
      </c>
      <c r="Y1220" s="2">
        <v>35023</v>
      </c>
      <c r="Z1220" t="str">
        <f t="shared" si="323"/>
        <v/>
      </c>
      <c r="AA1220" t="str">
        <f t="shared" si="338"/>
        <v/>
      </c>
      <c r="AB1220" t="str" cm="1">
        <f t="array" ref="AB1220">_xlfn.IFS(Y1220&lt;DATE(1996,1,1),"",Y1220&lt;DATE(1996,4,1),"Q1",Y1220&lt;DATE(1996,7,1),"Q2",Y1220&gt;=DATE(1996,7,1),"")</f>
        <v/>
      </c>
    </row>
    <row r="1221" spans="1:28" ht="14.4" x14ac:dyDescent="0.55000000000000004">
      <c r="A1221" t="str">
        <f>VLOOKUP(L1221,Customers!$A$2:$B$92,2,FALSE)</f>
        <v>Save-a-lot Markets</v>
      </c>
      <c r="B1221" t="str">
        <f>VLOOKUP(L1221,Customers!$A$2:$C$92,3,TRUE)</f>
        <v>Jose Pavarotti</v>
      </c>
      <c r="C1221" t="str">
        <f t="shared" si="324"/>
        <v>Jose</v>
      </c>
      <c r="D1221" s="8" t="str">
        <f t="shared" si="325"/>
        <v>Pavarotti</v>
      </c>
      <c r="E1221" s="8" t="str">
        <f t="shared" si="326"/>
        <v>Pavarotti, Jose</v>
      </c>
      <c r="F1221" s="8" t="str">
        <f t="shared" si="327"/>
        <v>Pavarotti, Jose</v>
      </c>
      <c r="G1221" s="8" t="str">
        <f t="shared" si="328"/>
        <v>not an outlier</v>
      </c>
      <c r="H1221" s="8" t="str">
        <f t="shared" si="329"/>
        <v>Not</v>
      </c>
      <c r="I1221" s="8" t="str">
        <f t="shared" si="339"/>
        <v>no</v>
      </c>
      <c r="J1221" s="10" t="str">
        <f t="shared" si="330"/>
        <v>no</v>
      </c>
      <c r="K1221" s="10" t="str">
        <f t="shared" si="331"/>
        <v>no</v>
      </c>
      <c r="L1221" t="s">
        <v>529</v>
      </c>
      <c r="M1221">
        <v>10711</v>
      </c>
      <c r="N1221">
        <v>19</v>
      </c>
      <c r="O1221" t="s">
        <v>732</v>
      </c>
      <c r="P1221" t="str">
        <f t="shared" si="332"/>
        <v>SAVEA_10711_Teatime Chocolate Biscuits</v>
      </c>
      <c r="Q1221" t="str">
        <f t="shared" si="333"/>
        <v>10711</v>
      </c>
      <c r="R1221" t="str">
        <f t="shared" si="334"/>
        <v>10711</v>
      </c>
      <c r="S1221" t="str">
        <f t="shared" si="335"/>
        <v>Teatime Chocolate Biscuits</v>
      </c>
      <c r="T1221">
        <v>9.1999999999999993</v>
      </c>
      <c r="U1221">
        <v>12</v>
      </c>
      <c r="V1221">
        <v>0</v>
      </c>
      <c r="W1221">
        <f t="shared" si="336"/>
        <v>110.39999999999999</v>
      </c>
      <c r="X1221" t="str">
        <f t="shared" si="337"/>
        <v>No</v>
      </c>
      <c r="Y1221" s="2">
        <v>35024</v>
      </c>
      <c r="Z1221" t="str">
        <f t="shared" si="323"/>
        <v/>
      </c>
      <c r="AA1221" t="str">
        <f t="shared" si="338"/>
        <v/>
      </c>
      <c r="AB1221" t="str" cm="1">
        <f t="array" ref="AB1221">_xlfn.IFS(Y1221&lt;DATE(1996,1,1),"",Y1221&lt;DATE(1996,4,1),"Q1",Y1221&lt;DATE(1996,7,1),"Q2",Y1221&gt;=DATE(1996,7,1),"")</f>
        <v/>
      </c>
    </row>
    <row r="1222" spans="1:28" ht="14.4" x14ac:dyDescent="0.55000000000000004">
      <c r="A1222" t="str">
        <f>VLOOKUP(L1222,Customers!$A$2:$B$92,2,FALSE)</f>
        <v>Save-a-lot Markets</v>
      </c>
      <c r="B1222" t="str">
        <f>VLOOKUP(L1222,Customers!$A$2:$C$92,3,TRUE)</f>
        <v>Jose Pavarotti</v>
      </c>
      <c r="C1222" t="str">
        <f t="shared" si="324"/>
        <v>Jose</v>
      </c>
      <c r="D1222" s="8" t="str">
        <f t="shared" si="325"/>
        <v>Pavarotti</v>
      </c>
      <c r="E1222" s="8" t="str">
        <f t="shared" si="326"/>
        <v>Pavarotti, Jose</v>
      </c>
      <c r="F1222" s="8" t="str">
        <f t="shared" si="327"/>
        <v>Pavarotti, Jose</v>
      </c>
      <c r="G1222" s="8" t="str">
        <f t="shared" si="328"/>
        <v>not an outlier</v>
      </c>
      <c r="H1222" s="8" t="str">
        <f t="shared" si="329"/>
        <v>Not</v>
      </c>
      <c r="I1222" s="8" t="str">
        <f t="shared" si="339"/>
        <v>no</v>
      </c>
      <c r="J1222" s="10" t="str">
        <f t="shared" si="330"/>
        <v>no</v>
      </c>
      <c r="K1222" s="10" t="str">
        <f t="shared" si="331"/>
        <v>no</v>
      </c>
      <c r="L1222" t="s">
        <v>529</v>
      </c>
      <c r="M1222">
        <v>10711</v>
      </c>
      <c r="N1222">
        <v>41</v>
      </c>
      <c r="O1222" t="s">
        <v>688</v>
      </c>
      <c r="P1222" t="str">
        <f t="shared" si="332"/>
        <v>SAVEA_10711_Jack's New England Clam Chowder</v>
      </c>
      <c r="Q1222" t="str">
        <f t="shared" si="333"/>
        <v>10711</v>
      </c>
      <c r="R1222" t="str">
        <f t="shared" si="334"/>
        <v>10711</v>
      </c>
      <c r="S1222" t="str">
        <f t="shared" si="335"/>
        <v>Jack's New England Clam Chowder</v>
      </c>
      <c r="T1222">
        <v>9.65</v>
      </c>
      <c r="U1222">
        <v>42</v>
      </c>
      <c r="V1222">
        <v>0</v>
      </c>
      <c r="W1222">
        <f t="shared" si="336"/>
        <v>405.3</v>
      </c>
      <c r="X1222" t="str">
        <f t="shared" si="337"/>
        <v>No</v>
      </c>
      <c r="Y1222" s="2">
        <v>35024</v>
      </c>
      <c r="Z1222" t="str">
        <f t="shared" si="323"/>
        <v/>
      </c>
      <c r="AA1222" t="str">
        <f t="shared" si="338"/>
        <v/>
      </c>
      <c r="AB1222" t="str" cm="1">
        <f t="array" ref="AB1222">_xlfn.IFS(Y1222&lt;DATE(1996,1,1),"",Y1222&lt;DATE(1996,4,1),"Q1",Y1222&lt;DATE(1996,7,1),"Q2",Y1222&gt;=DATE(1996,7,1),"")</f>
        <v/>
      </c>
    </row>
    <row r="1223" spans="1:28" ht="14.4" x14ac:dyDescent="0.55000000000000004">
      <c r="A1223" t="str">
        <f>VLOOKUP(L1223,Customers!$A$2:$B$92,2,FALSE)</f>
        <v>Save-a-lot Markets</v>
      </c>
      <c r="B1223" t="str">
        <f>VLOOKUP(L1223,Customers!$A$2:$C$92,3,TRUE)</f>
        <v>Jose Pavarotti</v>
      </c>
      <c r="C1223" t="str">
        <f t="shared" si="324"/>
        <v>Jose</v>
      </c>
      <c r="D1223" s="8" t="str">
        <f t="shared" si="325"/>
        <v>Pavarotti</v>
      </c>
      <c r="E1223" s="8" t="str">
        <f t="shared" si="326"/>
        <v>Pavarotti, Jose</v>
      </c>
      <c r="F1223" s="8" t="str">
        <f t="shared" si="327"/>
        <v>Pavarotti, Jose</v>
      </c>
      <c r="G1223" s="8" t="str">
        <f t="shared" si="328"/>
        <v>outlier</v>
      </c>
      <c r="H1223" s="8" t="str">
        <f t="shared" si="329"/>
        <v>outlier</v>
      </c>
      <c r="I1223" s="8" t="str">
        <f t="shared" si="339"/>
        <v>yes</v>
      </c>
      <c r="J1223" s="10" t="str">
        <f t="shared" si="330"/>
        <v>yes</v>
      </c>
      <c r="K1223" s="10" t="str">
        <f t="shared" si="331"/>
        <v>yes</v>
      </c>
      <c r="L1223" t="s">
        <v>529</v>
      </c>
      <c r="M1223">
        <v>10711</v>
      </c>
      <c r="N1223">
        <v>53</v>
      </c>
      <c r="O1223" t="s">
        <v>705</v>
      </c>
      <c r="P1223" t="str">
        <f t="shared" si="332"/>
        <v>SAVEA_10711_Perth Pasties</v>
      </c>
      <c r="Q1223" t="str">
        <f t="shared" si="333"/>
        <v>10711</v>
      </c>
      <c r="R1223" t="str">
        <f t="shared" si="334"/>
        <v>10711</v>
      </c>
      <c r="S1223" t="str">
        <f t="shared" si="335"/>
        <v>Perth Pasties</v>
      </c>
      <c r="T1223">
        <v>32.799999999999997</v>
      </c>
      <c r="U1223">
        <v>120</v>
      </c>
      <c r="V1223">
        <v>0</v>
      </c>
      <c r="W1223">
        <f t="shared" si="336"/>
        <v>3935.9999999999995</v>
      </c>
      <c r="X1223" t="str">
        <f t="shared" si="337"/>
        <v>No</v>
      </c>
      <c r="Y1223" s="2">
        <v>35024</v>
      </c>
      <c r="Z1223" t="str">
        <f t="shared" si="323"/>
        <v/>
      </c>
      <c r="AA1223" t="str">
        <f t="shared" si="338"/>
        <v/>
      </c>
      <c r="AB1223" t="str" cm="1">
        <f t="array" ref="AB1223">_xlfn.IFS(Y1223&lt;DATE(1996,1,1),"",Y1223&lt;DATE(1996,4,1),"Q1",Y1223&lt;DATE(1996,7,1),"Q2",Y1223&gt;=DATE(1996,7,1),"")</f>
        <v/>
      </c>
    </row>
    <row r="1224" spans="1:28" ht="14.4" x14ac:dyDescent="0.55000000000000004">
      <c r="A1224" t="str">
        <f>VLOOKUP(L1224,Customers!$A$2:$B$92,2,FALSE)</f>
        <v>Hungry Owl All-Night Grocers</v>
      </c>
      <c r="B1224" t="str">
        <f>VLOOKUP(L1224,Customers!$A$2:$C$92,3,TRUE)</f>
        <v>Patricia McKenna</v>
      </c>
      <c r="C1224" t="str">
        <f t="shared" si="324"/>
        <v>Patricia</v>
      </c>
      <c r="D1224" s="8" t="str">
        <f t="shared" si="325"/>
        <v>McKenna</v>
      </c>
      <c r="E1224" s="8" t="str">
        <f t="shared" si="326"/>
        <v>McKenna, Patricia</v>
      </c>
      <c r="F1224" s="8" t="str">
        <f t="shared" si="327"/>
        <v>McKenna, Patricia</v>
      </c>
      <c r="G1224" s="8" t="str">
        <f t="shared" si="328"/>
        <v>not an outlier</v>
      </c>
      <c r="H1224" s="8" t="str">
        <f t="shared" si="329"/>
        <v>Not</v>
      </c>
      <c r="I1224" s="8" t="str">
        <f t="shared" si="339"/>
        <v>no</v>
      </c>
      <c r="J1224" s="10" t="str">
        <f t="shared" si="330"/>
        <v>no</v>
      </c>
      <c r="K1224" s="10" t="str">
        <f t="shared" si="331"/>
        <v>no</v>
      </c>
      <c r="L1224" t="s">
        <v>288</v>
      </c>
      <c r="M1224">
        <v>10712</v>
      </c>
      <c r="N1224">
        <v>53</v>
      </c>
      <c r="O1224" t="s">
        <v>705</v>
      </c>
      <c r="P1224" t="str">
        <f t="shared" si="332"/>
        <v>HUNGO_10712_Perth Pasties</v>
      </c>
      <c r="Q1224" t="str">
        <f t="shared" si="333"/>
        <v>10712</v>
      </c>
      <c r="R1224" t="str">
        <f t="shared" si="334"/>
        <v>10712</v>
      </c>
      <c r="S1224" t="str">
        <f t="shared" si="335"/>
        <v>Perth Pasties</v>
      </c>
      <c r="T1224">
        <v>32.799999999999997</v>
      </c>
      <c r="U1224">
        <v>3</v>
      </c>
      <c r="V1224">
        <v>0.05</v>
      </c>
      <c r="W1224">
        <f t="shared" si="336"/>
        <v>93.47999999999999</v>
      </c>
      <c r="X1224" t="str">
        <f t="shared" si="337"/>
        <v>No</v>
      </c>
      <c r="Y1224" s="2">
        <v>35024</v>
      </c>
      <c r="Z1224" t="str">
        <f t="shared" si="323"/>
        <v/>
      </c>
      <c r="AA1224" t="str">
        <f t="shared" si="338"/>
        <v/>
      </c>
      <c r="AB1224" t="str" cm="1">
        <f t="array" ref="AB1224">_xlfn.IFS(Y1224&lt;DATE(1996,1,1),"",Y1224&lt;DATE(1996,4,1),"Q1",Y1224&lt;DATE(1996,7,1),"Q2",Y1224&gt;=DATE(1996,7,1),"")</f>
        <v/>
      </c>
    </row>
    <row r="1225" spans="1:28" ht="14.4" x14ac:dyDescent="0.55000000000000004">
      <c r="A1225" t="str">
        <f>VLOOKUP(L1225,Customers!$A$2:$B$92,2,FALSE)</f>
        <v>Hungry Owl All-Night Grocers</v>
      </c>
      <c r="B1225" t="str">
        <f>VLOOKUP(L1225,Customers!$A$2:$C$92,3,TRUE)</f>
        <v>Patricia McKenna</v>
      </c>
      <c r="C1225" t="str">
        <f t="shared" si="324"/>
        <v>Patricia</v>
      </c>
      <c r="D1225" s="8" t="str">
        <f t="shared" si="325"/>
        <v>McKenna</v>
      </c>
      <c r="E1225" s="8" t="str">
        <f t="shared" si="326"/>
        <v>McKenna, Patricia</v>
      </c>
      <c r="F1225" s="8" t="str">
        <f t="shared" si="327"/>
        <v>McKenna, Patricia</v>
      </c>
      <c r="G1225" s="8" t="str">
        <f t="shared" si="328"/>
        <v>not an outlier</v>
      </c>
      <c r="H1225" s="8" t="str">
        <f t="shared" si="329"/>
        <v>Not</v>
      </c>
      <c r="I1225" s="8" t="str">
        <f t="shared" si="339"/>
        <v>no</v>
      </c>
      <c r="J1225" s="10" t="str">
        <f t="shared" si="330"/>
        <v>no</v>
      </c>
      <c r="K1225" s="10" t="str">
        <f t="shared" si="331"/>
        <v>no</v>
      </c>
      <c r="L1225" t="s">
        <v>288</v>
      </c>
      <c r="M1225">
        <v>10712</v>
      </c>
      <c r="N1225">
        <v>56</v>
      </c>
      <c r="O1225" t="s">
        <v>716</v>
      </c>
      <c r="P1225" t="str">
        <f t="shared" si="332"/>
        <v>HUNGO_10712_Gnocchi di nonna Alice</v>
      </c>
      <c r="Q1225" t="str">
        <f t="shared" si="333"/>
        <v>10712</v>
      </c>
      <c r="R1225" t="str">
        <f t="shared" si="334"/>
        <v>10712</v>
      </c>
      <c r="S1225" t="str">
        <f t="shared" si="335"/>
        <v>Gnocchi di nonna Alice</v>
      </c>
      <c r="T1225">
        <v>38</v>
      </c>
      <c r="U1225">
        <v>30</v>
      </c>
      <c r="V1225">
        <v>0</v>
      </c>
      <c r="W1225">
        <f t="shared" si="336"/>
        <v>1140</v>
      </c>
      <c r="X1225" t="str">
        <f t="shared" si="337"/>
        <v>No</v>
      </c>
      <c r="Y1225" s="2">
        <v>35024</v>
      </c>
      <c r="Z1225" t="str">
        <f t="shared" si="323"/>
        <v/>
      </c>
      <c r="AA1225" t="str">
        <f t="shared" si="338"/>
        <v/>
      </c>
      <c r="AB1225" t="str" cm="1">
        <f t="array" ref="AB1225">_xlfn.IFS(Y1225&lt;DATE(1996,1,1),"",Y1225&lt;DATE(1996,4,1),"Q1",Y1225&lt;DATE(1996,7,1),"Q2",Y1225&gt;=DATE(1996,7,1),"")</f>
        <v/>
      </c>
    </row>
    <row r="1226" spans="1:28" ht="14.4" x14ac:dyDescent="0.55000000000000004">
      <c r="A1226" t="str">
        <f>VLOOKUP(L1226,Customers!$A$2:$B$92,2,FALSE)</f>
        <v>Save-a-lot Markets</v>
      </c>
      <c r="B1226" t="str">
        <f>VLOOKUP(L1226,Customers!$A$2:$C$92,3,TRUE)</f>
        <v>Jose Pavarotti</v>
      </c>
      <c r="C1226" t="str">
        <f t="shared" si="324"/>
        <v>Jose</v>
      </c>
      <c r="D1226" s="8" t="str">
        <f t="shared" si="325"/>
        <v>Pavarotti</v>
      </c>
      <c r="E1226" s="8" t="str">
        <f t="shared" si="326"/>
        <v>Pavarotti, Jose</v>
      </c>
      <c r="F1226" s="8" t="str">
        <f t="shared" si="327"/>
        <v>Pavarotti, Jose</v>
      </c>
      <c r="G1226" s="8" t="str">
        <f t="shared" si="328"/>
        <v>not an outlier</v>
      </c>
      <c r="H1226" s="8" t="str">
        <f t="shared" si="329"/>
        <v>Not</v>
      </c>
      <c r="I1226" s="8" t="str">
        <f t="shared" si="339"/>
        <v>no</v>
      </c>
      <c r="J1226" s="10" t="str">
        <f t="shared" si="330"/>
        <v>no</v>
      </c>
      <c r="K1226" s="10" t="str">
        <f t="shared" si="331"/>
        <v>no</v>
      </c>
      <c r="L1226" t="s">
        <v>529</v>
      </c>
      <c r="M1226">
        <v>10713</v>
      </c>
      <c r="N1226">
        <v>10</v>
      </c>
      <c r="O1226" t="s">
        <v>724</v>
      </c>
      <c r="P1226" t="str">
        <f t="shared" si="332"/>
        <v>SAVEA_10713_Ikura</v>
      </c>
      <c r="Q1226" t="str">
        <f t="shared" si="333"/>
        <v>10713</v>
      </c>
      <c r="R1226" t="str">
        <f t="shared" si="334"/>
        <v>10713</v>
      </c>
      <c r="S1226" t="str">
        <f t="shared" si="335"/>
        <v>Ikura</v>
      </c>
      <c r="T1226">
        <v>31</v>
      </c>
      <c r="U1226">
        <v>18</v>
      </c>
      <c r="V1226">
        <v>0</v>
      </c>
      <c r="W1226">
        <f t="shared" si="336"/>
        <v>558</v>
      </c>
      <c r="X1226" t="str">
        <f t="shared" si="337"/>
        <v>No</v>
      </c>
      <c r="Y1226" s="2">
        <v>35025</v>
      </c>
      <c r="Z1226" t="str">
        <f t="shared" si="323"/>
        <v/>
      </c>
      <c r="AA1226" t="str">
        <f t="shared" si="338"/>
        <v/>
      </c>
      <c r="AB1226" t="str" cm="1">
        <f t="array" ref="AB1226">_xlfn.IFS(Y1226&lt;DATE(1996,1,1),"",Y1226&lt;DATE(1996,4,1),"Q1",Y1226&lt;DATE(1996,7,1),"Q2",Y1226&gt;=DATE(1996,7,1),"")</f>
        <v/>
      </c>
    </row>
    <row r="1227" spans="1:28" ht="14.4" x14ac:dyDescent="0.55000000000000004">
      <c r="A1227" t="str">
        <f>VLOOKUP(L1227,Customers!$A$2:$B$92,2,FALSE)</f>
        <v>Save-a-lot Markets</v>
      </c>
      <c r="B1227" t="str">
        <f>VLOOKUP(L1227,Customers!$A$2:$C$92,3,TRUE)</f>
        <v>Jose Pavarotti</v>
      </c>
      <c r="C1227" t="str">
        <f t="shared" si="324"/>
        <v>Jose</v>
      </c>
      <c r="D1227" s="8" t="str">
        <f t="shared" si="325"/>
        <v>Pavarotti</v>
      </c>
      <c r="E1227" s="8" t="str">
        <f t="shared" si="326"/>
        <v>Pavarotti, Jose</v>
      </c>
      <c r="F1227" s="8" t="str">
        <f t="shared" si="327"/>
        <v>Pavarotti, Jose</v>
      </c>
      <c r="G1227" s="8" t="str">
        <f t="shared" si="328"/>
        <v>not an outlier</v>
      </c>
      <c r="H1227" s="8" t="str">
        <f t="shared" si="329"/>
        <v>Not</v>
      </c>
      <c r="I1227" s="8" t="str">
        <f t="shared" si="339"/>
        <v>no</v>
      </c>
      <c r="J1227" s="10" t="str">
        <f t="shared" si="330"/>
        <v>no</v>
      </c>
      <c r="K1227" s="10" t="str">
        <f t="shared" si="331"/>
        <v>no</v>
      </c>
      <c r="L1227" t="s">
        <v>529</v>
      </c>
      <c r="M1227">
        <v>10713</v>
      </c>
      <c r="N1227">
        <v>26</v>
      </c>
      <c r="O1227" t="s">
        <v>751</v>
      </c>
      <c r="P1227" t="str">
        <f t="shared" si="332"/>
        <v>SAVEA_10713_Gumbär Gummibärchen</v>
      </c>
      <c r="Q1227" t="str">
        <f t="shared" si="333"/>
        <v>10713</v>
      </c>
      <c r="R1227" t="str">
        <f t="shared" si="334"/>
        <v>10713</v>
      </c>
      <c r="S1227" t="str">
        <f t="shared" si="335"/>
        <v>Gumbär Gummibärchen</v>
      </c>
      <c r="T1227">
        <v>31.23</v>
      </c>
      <c r="U1227">
        <v>30</v>
      </c>
      <c r="V1227">
        <v>0</v>
      </c>
      <c r="W1227">
        <f t="shared" si="336"/>
        <v>936.9</v>
      </c>
      <c r="X1227" t="str">
        <f t="shared" si="337"/>
        <v>No</v>
      </c>
      <c r="Y1227" s="2">
        <v>35025</v>
      </c>
      <c r="Z1227" t="str">
        <f t="shared" si="323"/>
        <v/>
      </c>
      <c r="AA1227" t="str">
        <f t="shared" si="338"/>
        <v/>
      </c>
      <c r="AB1227" t="str" cm="1">
        <f t="array" ref="AB1227">_xlfn.IFS(Y1227&lt;DATE(1996,1,1),"",Y1227&lt;DATE(1996,4,1),"Q1",Y1227&lt;DATE(1996,7,1),"Q2",Y1227&gt;=DATE(1996,7,1),"")</f>
        <v/>
      </c>
    </row>
    <row r="1228" spans="1:28" ht="14.4" x14ac:dyDescent="0.55000000000000004">
      <c r="A1228" t="str">
        <f>VLOOKUP(L1228,Customers!$A$2:$B$92,2,FALSE)</f>
        <v>Save-a-lot Markets</v>
      </c>
      <c r="B1228" t="str">
        <f>VLOOKUP(L1228,Customers!$A$2:$C$92,3,TRUE)</f>
        <v>Jose Pavarotti</v>
      </c>
      <c r="C1228" t="str">
        <f t="shared" si="324"/>
        <v>Jose</v>
      </c>
      <c r="D1228" s="8" t="str">
        <f t="shared" si="325"/>
        <v>Pavarotti</v>
      </c>
      <c r="E1228" s="8" t="str">
        <f t="shared" si="326"/>
        <v>Pavarotti, Jose</v>
      </c>
      <c r="F1228" s="8" t="str">
        <f t="shared" si="327"/>
        <v>Pavarotti, Jose</v>
      </c>
      <c r="G1228" s="8" t="str">
        <f t="shared" si="328"/>
        <v>not an outlier</v>
      </c>
      <c r="H1228" s="8" t="str">
        <f t="shared" si="329"/>
        <v>Not</v>
      </c>
      <c r="I1228" s="8" t="str">
        <f t="shared" si="339"/>
        <v>no</v>
      </c>
      <c r="J1228" s="10" t="str">
        <f t="shared" si="330"/>
        <v>no</v>
      </c>
      <c r="K1228" s="10" t="str">
        <f t="shared" si="331"/>
        <v>no</v>
      </c>
      <c r="L1228" t="s">
        <v>529</v>
      </c>
      <c r="M1228">
        <v>10713</v>
      </c>
      <c r="N1228">
        <v>45</v>
      </c>
      <c r="O1228" t="s">
        <v>756</v>
      </c>
      <c r="P1228" t="str">
        <f t="shared" si="332"/>
        <v>SAVEA_10713_Røgede sild</v>
      </c>
      <c r="Q1228" t="str">
        <f t="shared" si="333"/>
        <v>10713</v>
      </c>
      <c r="R1228" t="str">
        <f t="shared" si="334"/>
        <v>10713</v>
      </c>
      <c r="S1228" t="str">
        <f t="shared" si="335"/>
        <v>Røgede sild</v>
      </c>
      <c r="T1228">
        <v>9.5</v>
      </c>
      <c r="U1228">
        <v>110</v>
      </c>
      <c r="V1228">
        <v>0</v>
      </c>
      <c r="W1228">
        <f t="shared" si="336"/>
        <v>1045</v>
      </c>
      <c r="X1228" t="str">
        <f t="shared" si="337"/>
        <v>No</v>
      </c>
      <c r="Y1228" s="2">
        <v>35025</v>
      </c>
      <c r="Z1228" t="str">
        <f t="shared" si="323"/>
        <v/>
      </c>
      <c r="AA1228" t="str">
        <f t="shared" si="338"/>
        <v/>
      </c>
      <c r="AB1228" t="str" cm="1">
        <f t="array" ref="AB1228">_xlfn.IFS(Y1228&lt;DATE(1996,1,1),"",Y1228&lt;DATE(1996,4,1),"Q1",Y1228&lt;DATE(1996,7,1),"Q2",Y1228&gt;=DATE(1996,7,1),"")</f>
        <v/>
      </c>
    </row>
    <row r="1229" spans="1:28" ht="14.4" x14ac:dyDescent="0.55000000000000004">
      <c r="A1229" t="str">
        <f>VLOOKUP(L1229,Customers!$A$2:$B$92,2,FALSE)</f>
        <v>Save-a-lot Markets</v>
      </c>
      <c r="B1229" t="str">
        <f>VLOOKUP(L1229,Customers!$A$2:$C$92,3,TRUE)</f>
        <v>Jose Pavarotti</v>
      </c>
      <c r="C1229" t="str">
        <f t="shared" si="324"/>
        <v>Jose</v>
      </c>
      <c r="D1229" s="8" t="str">
        <f t="shared" si="325"/>
        <v>Pavarotti</v>
      </c>
      <c r="E1229" s="8" t="str">
        <f t="shared" si="326"/>
        <v>Pavarotti, Jose</v>
      </c>
      <c r="F1229" s="8" t="str">
        <f t="shared" si="327"/>
        <v>Pavarotti, Jose</v>
      </c>
      <c r="G1229" s="8" t="str">
        <f t="shared" si="328"/>
        <v>not an outlier</v>
      </c>
      <c r="H1229" s="8" t="str">
        <f t="shared" si="329"/>
        <v>Not</v>
      </c>
      <c r="I1229" s="8" t="str">
        <f t="shared" si="339"/>
        <v>no</v>
      </c>
      <c r="J1229" s="10" t="str">
        <f t="shared" si="330"/>
        <v>no</v>
      </c>
      <c r="K1229" s="10" t="str">
        <f t="shared" si="331"/>
        <v>no</v>
      </c>
      <c r="L1229" t="s">
        <v>529</v>
      </c>
      <c r="M1229">
        <v>10713</v>
      </c>
      <c r="N1229">
        <v>46</v>
      </c>
      <c r="O1229" t="s">
        <v>737</v>
      </c>
      <c r="P1229" t="str">
        <f t="shared" si="332"/>
        <v>SAVEA_10713_Spegesild</v>
      </c>
      <c r="Q1229" t="str">
        <f t="shared" si="333"/>
        <v>10713</v>
      </c>
      <c r="R1229" t="str">
        <f t="shared" si="334"/>
        <v>10713</v>
      </c>
      <c r="S1229" t="str">
        <f t="shared" si="335"/>
        <v>Spegesild</v>
      </c>
      <c r="T1229">
        <v>12</v>
      </c>
      <c r="U1229">
        <v>24</v>
      </c>
      <c r="V1229">
        <v>0</v>
      </c>
      <c r="W1229">
        <f t="shared" si="336"/>
        <v>288</v>
      </c>
      <c r="X1229" t="str">
        <f t="shared" si="337"/>
        <v>No</v>
      </c>
      <c r="Y1229" s="2">
        <v>35025</v>
      </c>
      <c r="Z1229" t="str">
        <f t="shared" si="323"/>
        <v/>
      </c>
      <c r="AA1229" t="str">
        <f t="shared" si="338"/>
        <v/>
      </c>
      <c r="AB1229" t="str" cm="1">
        <f t="array" ref="AB1229">_xlfn.IFS(Y1229&lt;DATE(1996,1,1),"",Y1229&lt;DATE(1996,4,1),"Q1",Y1229&lt;DATE(1996,7,1),"Q2",Y1229&gt;=DATE(1996,7,1),"")</f>
        <v/>
      </c>
    </row>
    <row r="1230" spans="1:28" ht="14.4" x14ac:dyDescent="0.55000000000000004">
      <c r="A1230" t="str">
        <f>VLOOKUP(L1230,Customers!$A$2:$B$92,2,FALSE)</f>
        <v>Save-a-lot Markets</v>
      </c>
      <c r="B1230" t="str">
        <f>VLOOKUP(L1230,Customers!$A$2:$C$92,3,TRUE)</f>
        <v>Jose Pavarotti</v>
      </c>
      <c r="C1230" t="str">
        <f t="shared" si="324"/>
        <v>Jose</v>
      </c>
      <c r="D1230" s="8" t="str">
        <f t="shared" si="325"/>
        <v>Pavarotti</v>
      </c>
      <c r="E1230" s="8" t="str">
        <f t="shared" si="326"/>
        <v>Pavarotti, Jose</v>
      </c>
      <c r="F1230" s="8" t="str">
        <f t="shared" si="327"/>
        <v>Pavarotti, Jose</v>
      </c>
      <c r="G1230" s="8" t="str">
        <f t="shared" si="328"/>
        <v>not an outlier</v>
      </c>
      <c r="H1230" s="8" t="str">
        <f t="shared" si="329"/>
        <v>Not</v>
      </c>
      <c r="I1230" s="8" t="str">
        <f t="shared" si="339"/>
        <v>no</v>
      </c>
      <c r="J1230" s="10" t="str">
        <f t="shared" si="330"/>
        <v>no</v>
      </c>
      <c r="K1230" s="10" t="str">
        <f t="shared" si="331"/>
        <v>no</v>
      </c>
      <c r="L1230" t="s">
        <v>529</v>
      </c>
      <c r="M1230">
        <v>10714</v>
      </c>
      <c r="N1230">
        <v>2</v>
      </c>
      <c r="O1230" t="s">
        <v>701</v>
      </c>
      <c r="P1230" t="str">
        <f t="shared" si="332"/>
        <v>SAVEA_10714_Chang</v>
      </c>
      <c r="Q1230" t="str">
        <f t="shared" si="333"/>
        <v>10714</v>
      </c>
      <c r="R1230" t="str">
        <f t="shared" si="334"/>
        <v>10714</v>
      </c>
      <c r="S1230" t="str">
        <f t="shared" si="335"/>
        <v>Chang</v>
      </c>
      <c r="T1230">
        <v>19</v>
      </c>
      <c r="U1230">
        <v>30</v>
      </c>
      <c r="V1230">
        <v>0.25</v>
      </c>
      <c r="W1230">
        <f t="shared" si="336"/>
        <v>427.5</v>
      </c>
      <c r="X1230" t="str">
        <f t="shared" si="337"/>
        <v>No</v>
      </c>
      <c r="Y1230" s="2">
        <v>35025</v>
      </c>
      <c r="Z1230" t="str">
        <f t="shared" si="323"/>
        <v/>
      </c>
      <c r="AA1230" t="str">
        <f t="shared" si="338"/>
        <v/>
      </c>
      <c r="AB1230" t="str" cm="1">
        <f t="array" ref="AB1230">_xlfn.IFS(Y1230&lt;DATE(1996,1,1),"",Y1230&lt;DATE(1996,4,1),"Q1",Y1230&lt;DATE(1996,7,1),"Q2",Y1230&gt;=DATE(1996,7,1),"")</f>
        <v/>
      </c>
    </row>
    <row r="1231" spans="1:28" ht="14.4" x14ac:dyDescent="0.55000000000000004">
      <c r="A1231" t="str">
        <f>VLOOKUP(L1231,Customers!$A$2:$B$92,2,FALSE)</f>
        <v>Save-a-lot Markets</v>
      </c>
      <c r="B1231" t="str">
        <f>VLOOKUP(L1231,Customers!$A$2:$C$92,3,TRUE)</f>
        <v>Jose Pavarotti</v>
      </c>
      <c r="C1231" t="str">
        <f t="shared" si="324"/>
        <v>Jose</v>
      </c>
      <c r="D1231" s="8" t="str">
        <f t="shared" si="325"/>
        <v>Pavarotti</v>
      </c>
      <c r="E1231" s="8" t="str">
        <f t="shared" si="326"/>
        <v>Pavarotti, Jose</v>
      </c>
      <c r="F1231" s="8" t="str">
        <f t="shared" si="327"/>
        <v>Pavarotti, Jose</v>
      </c>
      <c r="G1231" s="8" t="str">
        <f t="shared" si="328"/>
        <v>not an outlier</v>
      </c>
      <c r="H1231" s="8" t="str">
        <f t="shared" si="329"/>
        <v>Not</v>
      </c>
      <c r="I1231" s="8" t="str">
        <f t="shared" si="339"/>
        <v>no</v>
      </c>
      <c r="J1231" s="10" t="str">
        <f t="shared" si="330"/>
        <v>no</v>
      </c>
      <c r="K1231" s="10" t="str">
        <f t="shared" si="331"/>
        <v>no</v>
      </c>
      <c r="L1231" t="s">
        <v>529</v>
      </c>
      <c r="M1231">
        <v>10714</v>
      </c>
      <c r="N1231">
        <v>17</v>
      </c>
      <c r="O1231" t="s">
        <v>718</v>
      </c>
      <c r="P1231" t="str">
        <f t="shared" si="332"/>
        <v>SAVEA_10714_Alice Mutton</v>
      </c>
      <c r="Q1231" t="str">
        <f t="shared" si="333"/>
        <v>10714</v>
      </c>
      <c r="R1231" t="str">
        <f t="shared" si="334"/>
        <v>10714</v>
      </c>
      <c r="S1231" t="str">
        <f t="shared" si="335"/>
        <v>Alice Mutton</v>
      </c>
      <c r="T1231">
        <v>39</v>
      </c>
      <c r="U1231">
        <v>27</v>
      </c>
      <c r="V1231">
        <v>0.25</v>
      </c>
      <c r="W1231">
        <f t="shared" si="336"/>
        <v>789.75</v>
      </c>
      <c r="X1231" t="str">
        <f t="shared" si="337"/>
        <v>No</v>
      </c>
      <c r="Y1231" s="2">
        <v>35025</v>
      </c>
      <c r="Z1231" t="str">
        <f t="shared" si="323"/>
        <v/>
      </c>
      <c r="AA1231" t="str">
        <f t="shared" si="338"/>
        <v/>
      </c>
      <c r="AB1231" t="str" cm="1">
        <f t="array" ref="AB1231">_xlfn.IFS(Y1231&lt;DATE(1996,1,1),"",Y1231&lt;DATE(1996,4,1),"Q1",Y1231&lt;DATE(1996,7,1),"Q2",Y1231&gt;=DATE(1996,7,1),"")</f>
        <v/>
      </c>
    </row>
    <row r="1232" spans="1:28" ht="14.4" x14ac:dyDescent="0.55000000000000004">
      <c r="A1232" t="str">
        <f>VLOOKUP(L1232,Customers!$A$2:$B$92,2,FALSE)</f>
        <v>Save-a-lot Markets</v>
      </c>
      <c r="B1232" t="str">
        <f>VLOOKUP(L1232,Customers!$A$2:$C$92,3,TRUE)</f>
        <v>Jose Pavarotti</v>
      </c>
      <c r="C1232" t="str">
        <f t="shared" si="324"/>
        <v>Jose</v>
      </c>
      <c r="D1232" s="8" t="str">
        <f t="shared" si="325"/>
        <v>Pavarotti</v>
      </c>
      <c r="E1232" s="8" t="str">
        <f t="shared" si="326"/>
        <v>Pavarotti, Jose</v>
      </c>
      <c r="F1232" s="8" t="str">
        <f t="shared" si="327"/>
        <v>Pavarotti, Jose</v>
      </c>
      <c r="G1232" s="8" t="str">
        <f t="shared" si="328"/>
        <v>not an outlier</v>
      </c>
      <c r="H1232" s="8" t="str">
        <f t="shared" si="329"/>
        <v>Not</v>
      </c>
      <c r="I1232" s="8" t="str">
        <f t="shared" si="339"/>
        <v>no</v>
      </c>
      <c r="J1232" s="10" t="str">
        <f t="shared" si="330"/>
        <v>no</v>
      </c>
      <c r="K1232" s="10" t="str">
        <f t="shared" si="331"/>
        <v>no</v>
      </c>
      <c r="L1232" t="s">
        <v>529</v>
      </c>
      <c r="M1232">
        <v>10714</v>
      </c>
      <c r="N1232">
        <v>47</v>
      </c>
      <c r="O1232" t="s">
        <v>752</v>
      </c>
      <c r="P1232" t="str">
        <f t="shared" si="332"/>
        <v>SAVEA_10714_Zaanse koeken</v>
      </c>
      <c r="Q1232" t="str">
        <f t="shared" si="333"/>
        <v>10714</v>
      </c>
      <c r="R1232" t="str">
        <f t="shared" si="334"/>
        <v>10714</v>
      </c>
      <c r="S1232" t="str">
        <f t="shared" si="335"/>
        <v>Zaanse koeken</v>
      </c>
      <c r="T1232">
        <v>9.5</v>
      </c>
      <c r="U1232">
        <v>50</v>
      </c>
      <c r="V1232">
        <v>0.25</v>
      </c>
      <c r="W1232">
        <f t="shared" si="336"/>
        <v>356.25</v>
      </c>
      <c r="X1232" t="str">
        <f t="shared" si="337"/>
        <v>No</v>
      </c>
      <c r="Y1232" s="2">
        <v>35025</v>
      </c>
      <c r="Z1232" t="str">
        <f t="shared" si="323"/>
        <v/>
      </c>
      <c r="AA1232" t="str">
        <f t="shared" si="338"/>
        <v/>
      </c>
      <c r="AB1232" t="str" cm="1">
        <f t="array" ref="AB1232">_xlfn.IFS(Y1232&lt;DATE(1996,1,1),"",Y1232&lt;DATE(1996,4,1),"Q1",Y1232&lt;DATE(1996,7,1),"Q2",Y1232&gt;=DATE(1996,7,1),"")</f>
        <v/>
      </c>
    </row>
    <row r="1233" spans="1:28" ht="14.4" x14ac:dyDescent="0.55000000000000004">
      <c r="A1233" t="str">
        <f>VLOOKUP(L1233,Customers!$A$2:$B$92,2,FALSE)</f>
        <v>Save-a-lot Markets</v>
      </c>
      <c r="B1233" t="str">
        <f>VLOOKUP(L1233,Customers!$A$2:$C$92,3,TRUE)</f>
        <v>Jose Pavarotti</v>
      </c>
      <c r="C1233" t="str">
        <f t="shared" si="324"/>
        <v>Jose</v>
      </c>
      <c r="D1233" s="8" t="str">
        <f t="shared" si="325"/>
        <v>Pavarotti</v>
      </c>
      <c r="E1233" s="8" t="str">
        <f t="shared" si="326"/>
        <v>Pavarotti, Jose</v>
      </c>
      <c r="F1233" s="8" t="str">
        <f t="shared" si="327"/>
        <v>Pavarotti, Jose</v>
      </c>
      <c r="G1233" s="8" t="str">
        <f t="shared" si="328"/>
        <v>not an outlier</v>
      </c>
      <c r="H1233" s="8" t="str">
        <f t="shared" si="329"/>
        <v>Not</v>
      </c>
      <c r="I1233" s="8" t="str">
        <f t="shared" si="339"/>
        <v>no</v>
      </c>
      <c r="J1233" s="10" t="str">
        <f t="shared" si="330"/>
        <v>no</v>
      </c>
      <c r="K1233" s="10" t="str">
        <f t="shared" si="331"/>
        <v>no</v>
      </c>
      <c r="L1233" t="s">
        <v>529</v>
      </c>
      <c r="M1233">
        <v>10714</v>
      </c>
      <c r="N1233">
        <v>56</v>
      </c>
      <c r="O1233" t="s">
        <v>716</v>
      </c>
      <c r="P1233" t="str">
        <f t="shared" si="332"/>
        <v>SAVEA_10714_Gnocchi di nonna Alice</v>
      </c>
      <c r="Q1233" t="str">
        <f t="shared" si="333"/>
        <v>10714</v>
      </c>
      <c r="R1233" t="str">
        <f t="shared" si="334"/>
        <v>10714</v>
      </c>
      <c r="S1233" t="str">
        <f t="shared" si="335"/>
        <v>Gnocchi di nonna Alice</v>
      </c>
      <c r="T1233">
        <v>38</v>
      </c>
      <c r="U1233">
        <v>18</v>
      </c>
      <c r="V1233">
        <v>0.25</v>
      </c>
      <c r="W1233">
        <f t="shared" si="336"/>
        <v>513</v>
      </c>
      <c r="X1233" t="str">
        <f t="shared" si="337"/>
        <v>No</v>
      </c>
      <c r="Y1233" s="2">
        <v>35025</v>
      </c>
      <c r="Z1233" t="str">
        <f t="shared" si="323"/>
        <v/>
      </c>
      <c r="AA1233" t="str">
        <f t="shared" si="338"/>
        <v/>
      </c>
      <c r="AB1233" t="str" cm="1">
        <f t="array" ref="AB1233">_xlfn.IFS(Y1233&lt;DATE(1996,1,1),"",Y1233&lt;DATE(1996,4,1),"Q1",Y1233&lt;DATE(1996,7,1),"Q2",Y1233&gt;=DATE(1996,7,1),"")</f>
        <v/>
      </c>
    </row>
    <row r="1234" spans="1:28" ht="14.4" x14ac:dyDescent="0.55000000000000004">
      <c r="A1234" t="str">
        <f>VLOOKUP(L1234,Customers!$A$2:$B$92,2,FALSE)</f>
        <v>Save-a-lot Markets</v>
      </c>
      <c r="B1234" t="str">
        <f>VLOOKUP(L1234,Customers!$A$2:$C$92,3,TRUE)</f>
        <v>Jose Pavarotti</v>
      </c>
      <c r="C1234" t="str">
        <f t="shared" si="324"/>
        <v>Jose</v>
      </c>
      <c r="D1234" s="8" t="str">
        <f t="shared" si="325"/>
        <v>Pavarotti</v>
      </c>
      <c r="E1234" s="8" t="str">
        <f t="shared" si="326"/>
        <v>Pavarotti, Jose</v>
      </c>
      <c r="F1234" s="8" t="str">
        <f t="shared" si="327"/>
        <v>Pavarotti, Jose</v>
      </c>
      <c r="G1234" s="8" t="str">
        <f t="shared" si="328"/>
        <v>not an outlier</v>
      </c>
      <c r="H1234" s="8" t="str">
        <f t="shared" si="329"/>
        <v>Not</v>
      </c>
      <c r="I1234" s="8" t="str">
        <f t="shared" si="339"/>
        <v>no</v>
      </c>
      <c r="J1234" s="10" t="str">
        <f t="shared" si="330"/>
        <v>no</v>
      </c>
      <c r="K1234" s="10" t="str">
        <f t="shared" si="331"/>
        <v>no</v>
      </c>
      <c r="L1234" t="s">
        <v>529</v>
      </c>
      <c r="M1234">
        <v>10714</v>
      </c>
      <c r="N1234">
        <v>58</v>
      </c>
      <c r="O1234" t="s">
        <v>747</v>
      </c>
      <c r="P1234" t="str">
        <f t="shared" si="332"/>
        <v>SAVEA_10714_Escargots de Bourgogne</v>
      </c>
      <c r="Q1234" t="str">
        <f t="shared" si="333"/>
        <v>10714</v>
      </c>
      <c r="R1234" t="str">
        <f t="shared" si="334"/>
        <v>10714</v>
      </c>
      <c r="S1234" t="str">
        <f t="shared" si="335"/>
        <v>Escargots de Bourgogne</v>
      </c>
      <c r="T1234">
        <v>13.25</v>
      </c>
      <c r="U1234">
        <v>12</v>
      </c>
      <c r="V1234">
        <v>0.25</v>
      </c>
      <c r="W1234">
        <f t="shared" si="336"/>
        <v>119.25</v>
      </c>
      <c r="X1234" t="str">
        <f t="shared" si="337"/>
        <v>No</v>
      </c>
      <c r="Y1234" s="2">
        <v>35025</v>
      </c>
      <c r="Z1234" t="str">
        <f t="shared" si="323"/>
        <v/>
      </c>
      <c r="AA1234" t="str">
        <f t="shared" si="338"/>
        <v/>
      </c>
      <c r="AB1234" t="str" cm="1">
        <f t="array" ref="AB1234">_xlfn.IFS(Y1234&lt;DATE(1996,1,1),"",Y1234&lt;DATE(1996,4,1),"Q1",Y1234&lt;DATE(1996,7,1),"Q2",Y1234&gt;=DATE(1996,7,1),"")</f>
        <v/>
      </c>
    </row>
    <row r="1235" spans="1:28" ht="14.4" x14ac:dyDescent="0.55000000000000004">
      <c r="A1235" t="str">
        <f>VLOOKUP(L1235,Customers!$A$2:$B$92,2,FALSE)</f>
        <v>Bon app'</v>
      </c>
      <c r="B1235" t="str">
        <f>VLOOKUP(L1235,Customers!$A$2:$C$92,3,TRUE)</f>
        <v>Laurence Lebihan</v>
      </c>
      <c r="C1235" t="str">
        <f t="shared" si="324"/>
        <v>Laurence</v>
      </c>
      <c r="D1235" s="8" t="str">
        <f t="shared" si="325"/>
        <v>Lebihan</v>
      </c>
      <c r="E1235" s="8" t="str">
        <f t="shared" si="326"/>
        <v>Lebihan, Laurence</v>
      </c>
      <c r="F1235" s="8" t="str">
        <f t="shared" si="327"/>
        <v>Lebihan, Laurence</v>
      </c>
      <c r="G1235" s="8" t="str">
        <f t="shared" si="328"/>
        <v>not an outlier</v>
      </c>
      <c r="H1235" s="8" t="str">
        <f t="shared" si="329"/>
        <v>Not</v>
      </c>
      <c r="I1235" s="8" t="str">
        <f t="shared" si="339"/>
        <v>no</v>
      </c>
      <c r="J1235" s="10" t="str">
        <f t="shared" si="330"/>
        <v>no</v>
      </c>
      <c r="K1235" s="10" t="str">
        <f t="shared" si="331"/>
        <v>no</v>
      </c>
      <c r="L1235" t="s">
        <v>77</v>
      </c>
      <c r="M1235">
        <v>10715</v>
      </c>
      <c r="N1235">
        <v>10</v>
      </c>
      <c r="O1235" t="s">
        <v>724</v>
      </c>
      <c r="P1235" t="str">
        <f t="shared" si="332"/>
        <v>BONAP_10715_Ikura</v>
      </c>
      <c r="Q1235" t="str">
        <f t="shared" si="333"/>
        <v>10715</v>
      </c>
      <c r="R1235" t="str">
        <f t="shared" si="334"/>
        <v>10715</v>
      </c>
      <c r="S1235" t="str">
        <f t="shared" si="335"/>
        <v>Ikura</v>
      </c>
      <c r="T1235">
        <v>31</v>
      </c>
      <c r="U1235">
        <v>21</v>
      </c>
      <c r="V1235">
        <v>0</v>
      </c>
      <c r="W1235">
        <f t="shared" si="336"/>
        <v>651</v>
      </c>
      <c r="X1235" t="str">
        <f t="shared" si="337"/>
        <v>No</v>
      </c>
      <c r="Y1235" s="2">
        <v>35026</v>
      </c>
      <c r="Z1235" t="str">
        <f t="shared" si="323"/>
        <v/>
      </c>
      <c r="AA1235" t="str">
        <f t="shared" si="338"/>
        <v/>
      </c>
      <c r="AB1235" t="str" cm="1">
        <f t="array" ref="AB1235">_xlfn.IFS(Y1235&lt;DATE(1996,1,1),"",Y1235&lt;DATE(1996,4,1),"Q1",Y1235&lt;DATE(1996,7,1),"Q2",Y1235&gt;=DATE(1996,7,1),"")</f>
        <v/>
      </c>
    </row>
    <row r="1236" spans="1:28" ht="14.4" x14ac:dyDescent="0.55000000000000004">
      <c r="A1236" t="str">
        <f>VLOOKUP(L1236,Customers!$A$2:$B$92,2,FALSE)</f>
        <v>Bon app'</v>
      </c>
      <c r="B1236" t="str">
        <f>VLOOKUP(L1236,Customers!$A$2:$C$92,3,TRUE)</f>
        <v>Laurence Lebihan</v>
      </c>
      <c r="C1236" t="str">
        <f t="shared" si="324"/>
        <v>Laurence</v>
      </c>
      <c r="D1236" s="8" t="str">
        <f t="shared" si="325"/>
        <v>Lebihan</v>
      </c>
      <c r="E1236" s="8" t="str">
        <f t="shared" si="326"/>
        <v>Lebihan, Laurence</v>
      </c>
      <c r="F1236" s="8" t="str">
        <f t="shared" si="327"/>
        <v>Lebihan, Laurence</v>
      </c>
      <c r="G1236" s="8" t="str">
        <f t="shared" si="328"/>
        <v>not an outlier</v>
      </c>
      <c r="H1236" s="8" t="str">
        <f t="shared" si="329"/>
        <v>Not</v>
      </c>
      <c r="I1236" s="8" t="str">
        <f t="shared" si="339"/>
        <v>no</v>
      </c>
      <c r="J1236" s="10" t="str">
        <f t="shared" si="330"/>
        <v>no</v>
      </c>
      <c r="K1236" s="10" t="str">
        <f t="shared" si="331"/>
        <v>no</v>
      </c>
      <c r="L1236" t="s">
        <v>77</v>
      </c>
      <c r="M1236">
        <v>10715</v>
      </c>
      <c r="N1236">
        <v>71</v>
      </c>
      <c r="O1236" t="s">
        <v>725</v>
      </c>
      <c r="P1236" t="str">
        <f t="shared" si="332"/>
        <v>BONAP_10715_Fløtemysost</v>
      </c>
      <c r="Q1236" t="str">
        <f t="shared" si="333"/>
        <v>10715</v>
      </c>
      <c r="R1236" t="str">
        <f t="shared" si="334"/>
        <v>10715</v>
      </c>
      <c r="S1236" t="str">
        <f t="shared" si="335"/>
        <v>Fløtemysost</v>
      </c>
      <c r="T1236">
        <v>21.5</v>
      </c>
      <c r="U1236">
        <v>30</v>
      </c>
      <c r="V1236">
        <v>0</v>
      </c>
      <c r="W1236">
        <f t="shared" si="336"/>
        <v>645</v>
      </c>
      <c r="X1236" t="str">
        <f t="shared" si="337"/>
        <v>No</v>
      </c>
      <c r="Y1236" s="2">
        <v>35026</v>
      </c>
      <c r="Z1236" t="str">
        <f t="shared" si="323"/>
        <v/>
      </c>
      <c r="AA1236" t="str">
        <f t="shared" si="338"/>
        <v/>
      </c>
      <c r="AB1236" t="str" cm="1">
        <f t="array" ref="AB1236">_xlfn.IFS(Y1236&lt;DATE(1996,1,1),"",Y1236&lt;DATE(1996,4,1),"Q1",Y1236&lt;DATE(1996,7,1),"Q2",Y1236&gt;=DATE(1996,7,1),"")</f>
        <v/>
      </c>
    </row>
    <row r="1237" spans="1:28" ht="14.4" x14ac:dyDescent="0.55000000000000004">
      <c r="A1237" t="str">
        <f>VLOOKUP(L1237,Customers!$A$2:$B$92,2,FALSE)</f>
        <v>Rancho grande</v>
      </c>
      <c r="B1237" t="str">
        <f>VLOOKUP(L1237,Customers!$A$2:$C$92,3,TRUE)</f>
        <v>Sergio Gutiérrez</v>
      </c>
      <c r="C1237" t="str">
        <f t="shared" si="324"/>
        <v>Sergio</v>
      </c>
      <c r="D1237" s="8" t="str">
        <f t="shared" si="325"/>
        <v>Gutiérrez</v>
      </c>
      <c r="E1237" s="8" t="str">
        <f t="shared" si="326"/>
        <v>Gutiérrez, Sergio</v>
      </c>
      <c r="F1237" s="8" t="str">
        <f t="shared" si="327"/>
        <v>Gutiérrez, Sergio</v>
      </c>
      <c r="G1237" s="8" t="str">
        <f t="shared" si="328"/>
        <v>not an outlier</v>
      </c>
      <c r="H1237" s="8" t="str">
        <f t="shared" si="329"/>
        <v>Not</v>
      </c>
      <c r="I1237" s="8" t="str">
        <f t="shared" si="339"/>
        <v>no</v>
      </c>
      <c r="J1237" s="10" t="str">
        <f t="shared" si="330"/>
        <v>no</v>
      </c>
      <c r="K1237" s="10" t="str">
        <f t="shared" si="331"/>
        <v>no</v>
      </c>
      <c r="L1237" t="s">
        <v>481</v>
      </c>
      <c r="M1237">
        <v>10716</v>
      </c>
      <c r="N1237">
        <v>21</v>
      </c>
      <c r="O1237" t="s">
        <v>710</v>
      </c>
      <c r="P1237" t="str">
        <f t="shared" si="332"/>
        <v>RANCH_10716_Sir Rodney's Scones</v>
      </c>
      <c r="Q1237" t="str">
        <f t="shared" si="333"/>
        <v>10716</v>
      </c>
      <c r="R1237" t="str">
        <f t="shared" si="334"/>
        <v>10716</v>
      </c>
      <c r="S1237" t="str">
        <f t="shared" si="335"/>
        <v>Sir Rodney's Scones</v>
      </c>
      <c r="T1237">
        <v>10</v>
      </c>
      <c r="U1237">
        <v>5</v>
      </c>
      <c r="V1237">
        <v>0</v>
      </c>
      <c r="W1237">
        <f t="shared" si="336"/>
        <v>50</v>
      </c>
      <c r="X1237" t="str">
        <f t="shared" si="337"/>
        <v>No</v>
      </c>
      <c r="Y1237" s="2">
        <v>35027</v>
      </c>
      <c r="Z1237" t="str">
        <f t="shared" si="323"/>
        <v/>
      </c>
      <c r="AA1237" t="str">
        <f t="shared" si="338"/>
        <v/>
      </c>
      <c r="AB1237" t="str" cm="1">
        <f t="array" ref="AB1237">_xlfn.IFS(Y1237&lt;DATE(1996,1,1),"",Y1237&lt;DATE(1996,4,1),"Q1",Y1237&lt;DATE(1996,7,1),"Q2",Y1237&gt;=DATE(1996,7,1),"")</f>
        <v/>
      </c>
    </row>
    <row r="1238" spans="1:28" ht="14.4" x14ac:dyDescent="0.55000000000000004">
      <c r="A1238" t="str">
        <f>VLOOKUP(L1238,Customers!$A$2:$B$92,2,FALSE)</f>
        <v>Rancho grande</v>
      </c>
      <c r="B1238" t="str">
        <f>VLOOKUP(L1238,Customers!$A$2:$C$92,3,TRUE)</f>
        <v>Sergio Gutiérrez</v>
      </c>
      <c r="C1238" t="str">
        <f t="shared" si="324"/>
        <v>Sergio</v>
      </c>
      <c r="D1238" s="8" t="str">
        <f t="shared" si="325"/>
        <v>Gutiérrez</v>
      </c>
      <c r="E1238" s="8" t="str">
        <f t="shared" si="326"/>
        <v>Gutiérrez, Sergio</v>
      </c>
      <c r="F1238" s="8" t="str">
        <f t="shared" si="327"/>
        <v>Gutiérrez, Sergio</v>
      </c>
      <c r="G1238" s="8" t="str">
        <f t="shared" si="328"/>
        <v>not an outlier</v>
      </c>
      <c r="H1238" s="8" t="str">
        <f t="shared" si="329"/>
        <v>Not</v>
      </c>
      <c r="I1238" s="8" t="str">
        <f t="shared" si="339"/>
        <v>no</v>
      </c>
      <c r="J1238" s="10" t="str">
        <f t="shared" si="330"/>
        <v>no</v>
      </c>
      <c r="K1238" s="10" t="str">
        <f t="shared" si="331"/>
        <v>no</v>
      </c>
      <c r="L1238" t="s">
        <v>481</v>
      </c>
      <c r="M1238">
        <v>10716</v>
      </c>
      <c r="N1238">
        <v>51</v>
      </c>
      <c r="O1238" t="s">
        <v>687</v>
      </c>
      <c r="P1238" t="str">
        <f t="shared" si="332"/>
        <v>RANCH_10716_Manjimup Dried Apples</v>
      </c>
      <c r="Q1238" t="str">
        <f t="shared" si="333"/>
        <v>10716</v>
      </c>
      <c r="R1238" t="str">
        <f t="shared" si="334"/>
        <v>10716</v>
      </c>
      <c r="S1238" t="str">
        <f t="shared" si="335"/>
        <v>Manjimup Dried Apples</v>
      </c>
      <c r="T1238">
        <v>53</v>
      </c>
      <c r="U1238">
        <v>7</v>
      </c>
      <c r="V1238">
        <v>0</v>
      </c>
      <c r="W1238">
        <f t="shared" si="336"/>
        <v>371</v>
      </c>
      <c r="X1238" t="str">
        <f t="shared" si="337"/>
        <v>No</v>
      </c>
      <c r="Y1238" s="2">
        <v>35027</v>
      </c>
      <c r="Z1238" t="str">
        <f t="shared" si="323"/>
        <v/>
      </c>
      <c r="AA1238" t="str">
        <f t="shared" si="338"/>
        <v/>
      </c>
      <c r="AB1238" t="str" cm="1">
        <f t="array" ref="AB1238">_xlfn.IFS(Y1238&lt;DATE(1996,1,1),"",Y1238&lt;DATE(1996,4,1),"Q1",Y1238&lt;DATE(1996,7,1),"Q2",Y1238&gt;=DATE(1996,7,1),"")</f>
        <v/>
      </c>
    </row>
    <row r="1239" spans="1:28" ht="14.4" x14ac:dyDescent="0.55000000000000004">
      <c r="A1239" t="str">
        <f>VLOOKUP(L1239,Customers!$A$2:$B$92,2,FALSE)</f>
        <v>Rancho grande</v>
      </c>
      <c r="B1239" t="str">
        <f>VLOOKUP(L1239,Customers!$A$2:$C$92,3,TRUE)</f>
        <v>Sergio Gutiérrez</v>
      </c>
      <c r="C1239" t="str">
        <f t="shared" si="324"/>
        <v>Sergio</v>
      </c>
      <c r="D1239" s="8" t="str">
        <f t="shared" si="325"/>
        <v>Gutiérrez</v>
      </c>
      <c r="E1239" s="8" t="str">
        <f t="shared" si="326"/>
        <v>Gutiérrez, Sergio</v>
      </c>
      <c r="F1239" s="8" t="str">
        <f t="shared" si="327"/>
        <v>Gutiérrez, Sergio</v>
      </c>
      <c r="G1239" s="8" t="str">
        <f t="shared" si="328"/>
        <v>not an outlier</v>
      </c>
      <c r="H1239" s="8" t="str">
        <f t="shared" si="329"/>
        <v>Not</v>
      </c>
      <c r="I1239" s="8" t="str">
        <f t="shared" si="339"/>
        <v>no</v>
      </c>
      <c r="J1239" s="10" t="str">
        <f t="shared" si="330"/>
        <v>no</v>
      </c>
      <c r="K1239" s="10" t="str">
        <f t="shared" si="331"/>
        <v>no</v>
      </c>
      <c r="L1239" t="s">
        <v>481</v>
      </c>
      <c r="M1239">
        <v>10716</v>
      </c>
      <c r="N1239">
        <v>61</v>
      </c>
      <c r="O1239" t="s">
        <v>758</v>
      </c>
      <c r="P1239" t="str">
        <f t="shared" si="332"/>
        <v>RANCH_10716_Sirop d'érable</v>
      </c>
      <c r="Q1239" t="str">
        <f t="shared" si="333"/>
        <v>10716</v>
      </c>
      <c r="R1239" t="str">
        <f t="shared" si="334"/>
        <v>10716</v>
      </c>
      <c r="S1239" t="str">
        <f t="shared" si="335"/>
        <v>Sirop d'érable</v>
      </c>
      <c r="T1239">
        <v>28.5</v>
      </c>
      <c r="U1239">
        <v>10</v>
      </c>
      <c r="V1239">
        <v>0</v>
      </c>
      <c r="W1239">
        <f t="shared" si="336"/>
        <v>285</v>
      </c>
      <c r="X1239" t="str">
        <f t="shared" si="337"/>
        <v>No</v>
      </c>
      <c r="Y1239" s="2">
        <v>35027</v>
      </c>
      <c r="Z1239" t="str">
        <f t="shared" si="323"/>
        <v/>
      </c>
      <c r="AA1239" t="str">
        <f t="shared" si="338"/>
        <v/>
      </c>
      <c r="AB1239" t="str" cm="1">
        <f t="array" ref="AB1239">_xlfn.IFS(Y1239&lt;DATE(1996,1,1),"",Y1239&lt;DATE(1996,4,1),"Q1",Y1239&lt;DATE(1996,7,1),"Q2",Y1239&gt;=DATE(1996,7,1),"")</f>
        <v/>
      </c>
    </row>
    <row r="1240" spans="1:28" ht="14.4" x14ac:dyDescent="0.55000000000000004">
      <c r="A1240" t="str">
        <f>VLOOKUP(L1240,Customers!$A$2:$B$92,2,FALSE)</f>
        <v>Frankenversand</v>
      </c>
      <c r="B1240" t="str">
        <f>VLOOKUP(L1240,Customers!$A$2:$C$92,3,TRUE)</f>
        <v>Peter Franken</v>
      </c>
      <c r="C1240" t="str">
        <f t="shared" si="324"/>
        <v>Peter</v>
      </c>
      <c r="D1240" s="8" t="str">
        <f t="shared" si="325"/>
        <v>Franken</v>
      </c>
      <c r="E1240" s="8" t="str">
        <f t="shared" si="326"/>
        <v>Franken, Peter</v>
      </c>
      <c r="F1240" s="8" t="str">
        <f t="shared" si="327"/>
        <v>Franken, Peter</v>
      </c>
      <c r="G1240" s="8" t="str">
        <f t="shared" si="328"/>
        <v>not an outlier</v>
      </c>
      <c r="H1240" s="8" t="str">
        <f t="shared" si="329"/>
        <v>Not</v>
      </c>
      <c r="I1240" s="8" t="str">
        <f t="shared" si="339"/>
        <v>no</v>
      </c>
      <c r="J1240" s="10" t="str">
        <f t="shared" si="330"/>
        <v>no</v>
      </c>
      <c r="K1240" s="10" t="str">
        <f t="shared" si="331"/>
        <v>no</v>
      </c>
      <c r="L1240" t="s">
        <v>198</v>
      </c>
      <c r="M1240">
        <v>10717</v>
      </c>
      <c r="N1240">
        <v>21</v>
      </c>
      <c r="O1240" t="s">
        <v>710</v>
      </c>
      <c r="P1240" t="str">
        <f t="shared" si="332"/>
        <v>FRANK_10717_Sir Rodney's Scones</v>
      </c>
      <c r="Q1240" t="str">
        <f t="shared" si="333"/>
        <v>10717</v>
      </c>
      <c r="R1240" t="str">
        <f t="shared" si="334"/>
        <v>10717</v>
      </c>
      <c r="S1240" t="str">
        <f t="shared" si="335"/>
        <v>Sir Rodney's Scones</v>
      </c>
      <c r="T1240">
        <v>10</v>
      </c>
      <c r="U1240">
        <v>32</v>
      </c>
      <c r="V1240">
        <v>0.05</v>
      </c>
      <c r="W1240">
        <f t="shared" si="336"/>
        <v>304</v>
      </c>
      <c r="X1240" t="str">
        <f t="shared" si="337"/>
        <v>No</v>
      </c>
      <c r="Y1240" s="2">
        <v>35027</v>
      </c>
      <c r="Z1240" t="str">
        <f t="shared" si="323"/>
        <v/>
      </c>
      <c r="AA1240" t="str">
        <f t="shared" si="338"/>
        <v/>
      </c>
      <c r="AB1240" t="str" cm="1">
        <f t="array" ref="AB1240">_xlfn.IFS(Y1240&lt;DATE(1996,1,1),"",Y1240&lt;DATE(1996,4,1),"Q1",Y1240&lt;DATE(1996,7,1),"Q2",Y1240&gt;=DATE(1996,7,1),"")</f>
        <v/>
      </c>
    </row>
    <row r="1241" spans="1:28" ht="14.4" x14ac:dyDescent="0.55000000000000004">
      <c r="A1241" t="str">
        <f>VLOOKUP(L1241,Customers!$A$2:$B$92,2,FALSE)</f>
        <v>Frankenversand</v>
      </c>
      <c r="B1241" t="str">
        <f>VLOOKUP(L1241,Customers!$A$2:$C$92,3,TRUE)</f>
        <v>Peter Franken</v>
      </c>
      <c r="C1241" t="str">
        <f t="shared" si="324"/>
        <v>Peter</v>
      </c>
      <c r="D1241" s="8" t="str">
        <f t="shared" si="325"/>
        <v>Franken</v>
      </c>
      <c r="E1241" s="8" t="str">
        <f t="shared" si="326"/>
        <v>Franken, Peter</v>
      </c>
      <c r="F1241" s="8" t="str">
        <f t="shared" si="327"/>
        <v>Franken, Peter</v>
      </c>
      <c r="G1241" s="8" t="str">
        <f t="shared" si="328"/>
        <v>not an outlier</v>
      </c>
      <c r="H1241" s="8" t="str">
        <f t="shared" si="329"/>
        <v>Not</v>
      </c>
      <c r="I1241" s="8" t="str">
        <f t="shared" si="339"/>
        <v>no</v>
      </c>
      <c r="J1241" s="10" t="str">
        <f t="shared" si="330"/>
        <v>no</v>
      </c>
      <c r="K1241" s="10" t="str">
        <f t="shared" si="331"/>
        <v>no</v>
      </c>
      <c r="L1241" t="s">
        <v>198</v>
      </c>
      <c r="M1241">
        <v>10717</v>
      </c>
      <c r="N1241">
        <v>54</v>
      </c>
      <c r="O1241" t="s">
        <v>738</v>
      </c>
      <c r="P1241" t="str">
        <f t="shared" si="332"/>
        <v>FRANK_10717_Tourtière</v>
      </c>
      <c r="Q1241" t="str">
        <f t="shared" si="333"/>
        <v>10717</v>
      </c>
      <c r="R1241" t="str">
        <f t="shared" si="334"/>
        <v>10717</v>
      </c>
      <c r="S1241" t="str">
        <f t="shared" si="335"/>
        <v>Tourtière</v>
      </c>
      <c r="T1241">
        <v>7.45</v>
      </c>
      <c r="U1241">
        <v>15</v>
      </c>
      <c r="V1241">
        <v>0</v>
      </c>
      <c r="W1241">
        <f t="shared" si="336"/>
        <v>111.75</v>
      </c>
      <c r="X1241" t="str">
        <f t="shared" si="337"/>
        <v>No</v>
      </c>
      <c r="Y1241" s="2">
        <v>35027</v>
      </c>
      <c r="Z1241" t="str">
        <f t="shared" si="323"/>
        <v/>
      </c>
      <c r="AA1241" t="str">
        <f t="shared" si="338"/>
        <v/>
      </c>
      <c r="AB1241" t="str" cm="1">
        <f t="array" ref="AB1241">_xlfn.IFS(Y1241&lt;DATE(1996,1,1),"",Y1241&lt;DATE(1996,4,1),"Q1",Y1241&lt;DATE(1996,7,1),"Q2",Y1241&gt;=DATE(1996,7,1),"")</f>
        <v/>
      </c>
    </row>
    <row r="1242" spans="1:28" ht="14.4" x14ac:dyDescent="0.55000000000000004">
      <c r="A1242" t="str">
        <f>VLOOKUP(L1242,Customers!$A$2:$B$92,2,FALSE)</f>
        <v>Frankenversand</v>
      </c>
      <c r="B1242" t="str">
        <f>VLOOKUP(L1242,Customers!$A$2:$C$92,3,TRUE)</f>
        <v>Peter Franken</v>
      </c>
      <c r="C1242" t="str">
        <f t="shared" si="324"/>
        <v>Peter</v>
      </c>
      <c r="D1242" s="8" t="str">
        <f t="shared" si="325"/>
        <v>Franken</v>
      </c>
      <c r="E1242" s="8" t="str">
        <f t="shared" si="326"/>
        <v>Franken, Peter</v>
      </c>
      <c r="F1242" s="8" t="str">
        <f t="shared" si="327"/>
        <v>Franken, Peter</v>
      </c>
      <c r="G1242" s="8" t="str">
        <f t="shared" si="328"/>
        <v>not an outlier</v>
      </c>
      <c r="H1242" s="8" t="str">
        <f t="shared" si="329"/>
        <v>Not</v>
      </c>
      <c r="I1242" s="8" t="str">
        <f t="shared" si="339"/>
        <v>no</v>
      </c>
      <c r="J1242" s="10" t="str">
        <f t="shared" si="330"/>
        <v>no</v>
      </c>
      <c r="K1242" s="10" t="str">
        <f t="shared" si="331"/>
        <v>no</v>
      </c>
      <c r="L1242" t="s">
        <v>198</v>
      </c>
      <c r="M1242">
        <v>10717</v>
      </c>
      <c r="N1242">
        <v>69</v>
      </c>
      <c r="O1242" t="s">
        <v>743</v>
      </c>
      <c r="P1242" t="str">
        <f t="shared" si="332"/>
        <v>FRANK_10717_Gudbrandsdalsost</v>
      </c>
      <c r="Q1242" t="str">
        <f t="shared" si="333"/>
        <v>10717</v>
      </c>
      <c r="R1242" t="str">
        <f t="shared" si="334"/>
        <v>10717</v>
      </c>
      <c r="S1242" t="str">
        <f t="shared" si="335"/>
        <v>Gudbrandsdalsost</v>
      </c>
      <c r="T1242">
        <v>36</v>
      </c>
      <c r="U1242">
        <v>25</v>
      </c>
      <c r="V1242">
        <v>0.05</v>
      </c>
      <c r="W1242">
        <f t="shared" si="336"/>
        <v>855</v>
      </c>
      <c r="X1242" t="str">
        <f t="shared" si="337"/>
        <v>No</v>
      </c>
      <c r="Y1242" s="2">
        <v>35027</v>
      </c>
      <c r="Z1242" t="str">
        <f t="shared" si="323"/>
        <v/>
      </c>
      <c r="AA1242" t="str">
        <f t="shared" si="338"/>
        <v/>
      </c>
      <c r="AB1242" t="str" cm="1">
        <f t="array" ref="AB1242">_xlfn.IFS(Y1242&lt;DATE(1996,1,1),"",Y1242&lt;DATE(1996,4,1),"Q1",Y1242&lt;DATE(1996,7,1),"Q2",Y1242&gt;=DATE(1996,7,1),"")</f>
        <v/>
      </c>
    </row>
    <row r="1243" spans="1:28" ht="14.4" x14ac:dyDescent="0.55000000000000004">
      <c r="A1243" t="str">
        <f>VLOOKUP(L1243,Customers!$A$2:$B$92,2,FALSE)</f>
        <v>Königlich Essen</v>
      </c>
      <c r="B1243" t="str">
        <f>VLOOKUP(L1243,Customers!$A$2:$C$92,3,TRUE)</f>
        <v>Philip Cramer</v>
      </c>
      <c r="C1243" t="str">
        <f t="shared" si="324"/>
        <v>Philip</v>
      </c>
      <c r="D1243" s="8" t="str">
        <f t="shared" si="325"/>
        <v>Cramer</v>
      </c>
      <c r="E1243" s="8" t="str">
        <f t="shared" si="326"/>
        <v>Cramer, Philip</v>
      </c>
      <c r="F1243" s="8" t="str">
        <f t="shared" si="327"/>
        <v>Cramer, Philip</v>
      </c>
      <c r="G1243" s="8" t="str">
        <f t="shared" si="328"/>
        <v>not an outlier</v>
      </c>
      <c r="H1243" s="8" t="str">
        <f t="shared" si="329"/>
        <v>Not</v>
      </c>
      <c r="I1243" s="8" t="str">
        <f t="shared" si="339"/>
        <v>no</v>
      </c>
      <c r="J1243" s="10" t="str">
        <f t="shared" si="330"/>
        <v>no</v>
      </c>
      <c r="K1243" s="10" t="str">
        <f t="shared" si="331"/>
        <v>no</v>
      </c>
      <c r="L1243" t="s">
        <v>305</v>
      </c>
      <c r="M1243">
        <v>10718</v>
      </c>
      <c r="N1243">
        <v>12</v>
      </c>
      <c r="O1243" t="s">
        <v>719</v>
      </c>
      <c r="P1243" t="str">
        <f t="shared" si="332"/>
        <v>KOENE_10718_Queso Manchego La Pastora</v>
      </c>
      <c r="Q1243" t="str">
        <f t="shared" si="333"/>
        <v>10718</v>
      </c>
      <c r="R1243" t="str">
        <f t="shared" si="334"/>
        <v>10718</v>
      </c>
      <c r="S1243" t="str">
        <f t="shared" si="335"/>
        <v>Queso Manchego La Pastora</v>
      </c>
      <c r="T1243">
        <v>38</v>
      </c>
      <c r="U1243">
        <v>36</v>
      </c>
      <c r="V1243">
        <v>0</v>
      </c>
      <c r="W1243">
        <f t="shared" si="336"/>
        <v>1368</v>
      </c>
      <c r="X1243" t="str">
        <f t="shared" si="337"/>
        <v>No</v>
      </c>
      <c r="Y1243" s="2">
        <v>35030</v>
      </c>
      <c r="Z1243" t="str">
        <f t="shared" si="323"/>
        <v/>
      </c>
      <c r="AA1243" t="str">
        <f t="shared" si="338"/>
        <v/>
      </c>
      <c r="AB1243" t="str" cm="1">
        <f t="array" ref="AB1243">_xlfn.IFS(Y1243&lt;DATE(1996,1,1),"",Y1243&lt;DATE(1996,4,1),"Q1",Y1243&lt;DATE(1996,7,1),"Q2",Y1243&gt;=DATE(1996,7,1),"")</f>
        <v/>
      </c>
    </row>
    <row r="1244" spans="1:28" ht="14.4" x14ac:dyDescent="0.55000000000000004">
      <c r="A1244" t="str">
        <f>VLOOKUP(L1244,Customers!$A$2:$B$92,2,FALSE)</f>
        <v>Königlich Essen</v>
      </c>
      <c r="B1244" t="str">
        <f>VLOOKUP(L1244,Customers!$A$2:$C$92,3,TRUE)</f>
        <v>Philip Cramer</v>
      </c>
      <c r="C1244" t="str">
        <f t="shared" si="324"/>
        <v>Philip</v>
      </c>
      <c r="D1244" s="8" t="str">
        <f t="shared" si="325"/>
        <v>Cramer</v>
      </c>
      <c r="E1244" s="8" t="str">
        <f t="shared" si="326"/>
        <v>Cramer, Philip</v>
      </c>
      <c r="F1244" s="8" t="str">
        <f t="shared" si="327"/>
        <v>Cramer, Philip</v>
      </c>
      <c r="G1244" s="8" t="str">
        <f t="shared" si="328"/>
        <v>not an outlier</v>
      </c>
      <c r="H1244" s="8" t="str">
        <f t="shared" si="329"/>
        <v>Not</v>
      </c>
      <c r="I1244" s="8" t="str">
        <f t="shared" si="339"/>
        <v>no</v>
      </c>
      <c r="J1244" s="10" t="str">
        <f t="shared" si="330"/>
        <v>no</v>
      </c>
      <c r="K1244" s="10" t="str">
        <f t="shared" si="331"/>
        <v>no</v>
      </c>
      <c r="L1244" t="s">
        <v>305</v>
      </c>
      <c r="M1244">
        <v>10718</v>
      </c>
      <c r="N1244">
        <v>16</v>
      </c>
      <c r="O1244" t="s">
        <v>702</v>
      </c>
      <c r="P1244" t="str">
        <f t="shared" si="332"/>
        <v>KOENE_10718_Pavlova</v>
      </c>
      <c r="Q1244" t="str">
        <f t="shared" si="333"/>
        <v>10718</v>
      </c>
      <c r="R1244" t="str">
        <f t="shared" si="334"/>
        <v>10718</v>
      </c>
      <c r="S1244" t="str">
        <f t="shared" si="335"/>
        <v>Pavlova</v>
      </c>
      <c r="T1244">
        <v>17.45</v>
      </c>
      <c r="U1244">
        <v>20</v>
      </c>
      <c r="V1244">
        <v>0</v>
      </c>
      <c r="W1244">
        <f t="shared" si="336"/>
        <v>349</v>
      </c>
      <c r="X1244" t="str">
        <f t="shared" si="337"/>
        <v>No</v>
      </c>
      <c r="Y1244" s="2">
        <v>35030</v>
      </c>
      <c r="Z1244" t="str">
        <f t="shared" si="323"/>
        <v/>
      </c>
      <c r="AA1244" t="str">
        <f t="shared" si="338"/>
        <v/>
      </c>
      <c r="AB1244" t="str" cm="1">
        <f t="array" ref="AB1244">_xlfn.IFS(Y1244&lt;DATE(1996,1,1),"",Y1244&lt;DATE(1996,4,1),"Q1",Y1244&lt;DATE(1996,7,1),"Q2",Y1244&gt;=DATE(1996,7,1),"")</f>
        <v/>
      </c>
    </row>
    <row r="1245" spans="1:28" ht="14.4" x14ac:dyDescent="0.55000000000000004">
      <c r="A1245" t="str">
        <f>VLOOKUP(L1245,Customers!$A$2:$B$92,2,FALSE)</f>
        <v>Königlich Essen</v>
      </c>
      <c r="B1245" t="str">
        <f>VLOOKUP(L1245,Customers!$A$2:$C$92,3,TRUE)</f>
        <v>Philip Cramer</v>
      </c>
      <c r="C1245" t="str">
        <f t="shared" si="324"/>
        <v>Philip</v>
      </c>
      <c r="D1245" s="8" t="str">
        <f t="shared" si="325"/>
        <v>Cramer</v>
      </c>
      <c r="E1245" s="8" t="str">
        <f t="shared" si="326"/>
        <v>Cramer, Philip</v>
      </c>
      <c r="F1245" s="8" t="str">
        <f t="shared" si="327"/>
        <v>Cramer, Philip</v>
      </c>
      <c r="G1245" s="8" t="str">
        <f t="shared" si="328"/>
        <v>not an outlier</v>
      </c>
      <c r="H1245" s="8" t="str">
        <f t="shared" si="329"/>
        <v>Not</v>
      </c>
      <c r="I1245" s="8" t="str">
        <f t="shared" si="339"/>
        <v>no</v>
      </c>
      <c r="J1245" s="10" t="str">
        <f t="shared" si="330"/>
        <v>no</v>
      </c>
      <c r="K1245" s="10" t="str">
        <f t="shared" si="331"/>
        <v>no</v>
      </c>
      <c r="L1245" t="s">
        <v>305</v>
      </c>
      <c r="M1245">
        <v>10718</v>
      </c>
      <c r="N1245">
        <v>36</v>
      </c>
      <c r="O1245" t="s">
        <v>703</v>
      </c>
      <c r="P1245" t="str">
        <f t="shared" si="332"/>
        <v>KOENE_10718_Inlagd Sill</v>
      </c>
      <c r="Q1245" t="str">
        <f t="shared" si="333"/>
        <v>10718</v>
      </c>
      <c r="R1245" t="str">
        <f t="shared" si="334"/>
        <v>10718</v>
      </c>
      <c r="S1245" t="str">
        <f t="shared" si="335"/>
        <v>Inlagd Sill</v>
      </c>
      <c r="T1245">
        <v>19</v>
      </c>
      <c r="U1245">
        <v>40</v>
      </c>
      <c r="V1245">
        <v>0</v>
      </c>
      <c r="W1245">
        <f t="shared" si="336"/>
        <v>760</v>
      </c>
      <c r="X1245" t="str">
        <f t="shared" si="337"/>
        <v>No</v>
      </c>
      <c r="Y1245" s="2">
        <v>35030</v>
      </c>
      <c r="Z1245" t="str">
        <f t="shared" si="323"/>
        <v/>
      </c>
      <c r="AA1245" t="str">
        <f t="shared" si="338"/>
        <v/>
      </c>
      <c r="AB1245" t="str" cm="1">
        <f t="array" ref="AB1245">_xlfn.IFS(Y1245&lt;DATE(1996,1,1),"",Y1245&lt;DATE(1996,4,1),"Q1",Y1245&lt;DATE(1996,7,1),"Q2",Y1245&gt;=DATE(1996,7,1),"")</f>
        <v/>
      </c>
    </row>
    <row r="1246" spans="1:28" ht="14.4" x14ac:dyDescent="0.55000000000000004">
      <c r="A1246" t="str">
        <f>VLOOKUP(L1246,Customers!$A$2:$B$92,2,FALSE)</f>
        <v>Königlich Essen</v>
      </c>
      <c r="B1246" t="str">
        <f>VLOOKUP(L1246,Customers!$A$2:$C$92,3,TRUE)</f>
        <v>Philip Cramer</v>
      </c>
      <c r="C1246" t="str">
        <f t="shared" si="324"/>
        <v>Philip</v>
      </c>
      <c r="D1246" s="8" t="str">
        <f t="shared" si="325"/>
        <v>Cramer</v>
      </c>
      <c r="E1246" s="8" t="str">
        <f t="shared" si="326"/>
        <v>Cramer, Philip</v>
      </c>
      <c r="F1246" s="8" t="str">
        <f t="shared" si="327"/>
        <v>Cramer, Philip</v>
      </c>
      <c r="G1246" s="8" t="str">
        <f t="shared" si="328"/>
        <v>not an outlier</v>
      </c>
      <c r="H1246" s="8" t="str">
        <f t="shared" si="329"/>
        <v>Not</v>
      </c>
      <c r="I1246" s="8" t="str">
        <f t="shared" si="339"/>
        <v>no</v>
      </c>
      <c r="J1246" s="10" t="str">
        <f t="shared" si="330"/>
        <v>no</v>
      </c>
      <c r="K1246" s="10" t="str">
        <f t="shared" si="331"/>
        <v>no</v>
      </c>
      <c r="L1246" t="s">
        <v>305</v>
      </c>
      <c r="M1246">
        <v>10718</v>
      </c>
      <c r="N1246">
        <v>62</v>
      </c>
      <c r="O1246" t="s">
        <v>712</v>
      </c>
      <c r="P1246" t="str">
        <f t="shared" si="332"/>
        <v>KOENE_10718_Tarte au sucre</v>
      </c>
      <c r="Q1246" t="str">
        <f t="shared" si="333"/>
        <v>10718</v>
      </c>
      <c r="R1246" t="str">
        <f t="shared" si="334"/>
        <v>10718</v>
      </c>
      <c r="S1246" t="str">
        <f t="shared" si="335"/>
        <v>Tarte au sucre</v>
      </c>
      <c r="T1246">
        <v>49.3</v>
      </c>
      <c r="U1246">
        <v>20</v>
      </c>
      <c r="V1246">
        <v>0</v>
      </c>
      <c r="W1246">
        <f t="shared" si="336"/>
        <v>986</v>
      </c>
      <c r="X1246" t="str">
        <f t="shared" si="337"/>
        <v>No</v>
      </c>
      <c r="Y1246" s="2">
        <v>35030</v>
      </c>
      <c r="Z1246" t="str">
        <f t="shared" si="323"/>
        <v/>
      </c>
      <c r="AA1246" t="str">
        <f t="shared" si="338"/>
        <v/>
      </c>
      <c r="AB1246" t="str" cm="1">
        <f t="array" ref="AB1246">_xlfn.IFS(Y1246&lt;DATE(1996,1,1),"",Y1246&lt;DATE(1996,4,1),"Q1",Y1246&lt;DATE(1996,7,1),"Q2",Y1246&gt;=DATE(1996,7,1),"")</f>
        <v/>
      </c>
    </row>
    <row r="1247" spans="1:28" ht="14.4" x14ac:dyDescent="0.55000000000000004">
      <c r="A1247" t="str">
        <f>VLOOKUP(L1247,Customers!$A$2:$B$92,2,FALSE)</f>
        <v>Let's Stop N Shop</v>
      </c>
      <c r="B1247" t="str">
        <f>VLOOKUP(L1247,Customers!$A$2:$C$92,3,TRUE)</f>
        <v>Jaime Yorres</v>
      </c>
      <c r="C1247" t="str">
        <f t="shared" si="324"/>
        <v>Jaime</v>
      </c>
      <c r="D1247" s="8" t="str">
        <f t="shared" si="325"/>
        <v>Yorres</v>
      </c>
      <c r="E1247" s="8" t="str">
        <f t="shared" si="326"/>
        <v>Yorres, Jaime</v>
      </c>
      <c r="F1247" s="8" t="str">
        <f t="shared" si="327"/>
        <v>Yorres, Jaime</v>
      </c>
      <c r="G1247" s="8" t="str">
        <f t="shared" si="328"/>
        <v>not an outlier</v>
      </c>
      <c r="H1247" s="8" t="str">
        <f t="shared" si="329"/>
        <v>Not</v>
      </c>
      <c r="I1247" s="8" t="str">
        <f t="shared" si="339"/>
        <v>no</v>
      </c>
      <c r="J1247" s="10" t="str">
        <f t="shared" si="330"/>
        <v>no</v>
      </c>
      <c r="K1247" s="10" t="str">
        <f t="shared" si="331"/>
        <v>no</v>
      </c>
      <c r="L1247" t="s">
        <v>348</v>
      </c>
      <c r="M1247">
        <v>10719</v>
      </c>
      <c r="N1247">
        <v>18</v>
      </c>
      <c r="O1247" t="s">
        <v>742</v>
      </c>
      <c r="P1247" t="str">
        <f t="shared" si="332"/>
        <v>LETSS_10719_Carnarvon Tigers</v>
      </c>
      <c r="Q1247" t="str">
        <f t="shared" si="333"/>
        <v>10719</v>
      </c>
      <c r="R1247" t="str">
        <f t="shared" si="334"/>
        <v>10719</v>
      </c>
      <c r="S1247" t="str">
        <f t="shared" si="335"/>
        <v>Carnarvon Tigers</v>
      </c>
      <c r="T1247">
        <v>62.5</v>
      </c>
      <c r="U1247">
        <v>12</v>
      </c>
      <c r="V1247">
        <v>0.25</v>
      </c>
      <c r="W1247">
        <f t="shared" si="336"/>
        <v>562.5</v>
      </c>
      <c r="X1247" t="str">
        <f t="shared" si="337"/>
        <v>No</v>
      </c>
      <c r="Y1247" s="2">
        <v>35030</v>
      </c>
      <c r="Z1247" t="str">
        <f t="shared" si="323"/>
        <v/>
      </c>
      <c r="AA1247" t="str">
        <f t="shared" si="338"/>
        <v/>
      </c>
      <c r="AB1247" t="str" cm="1">
        <f t="array" ref="AB1247">_xlfn.IFS(Y1247&lt;DATE(1996,1,1),"",Y1247&lt;DATE(1996,4,1),"Q1",Y1247&lt;DATE(1996,7,1),"Q2",Y1247&gt;=DATE(1996,7,1),"")</f>
        <v/>
      </c>
    </row>
    <row r="1248" spans="1:28" ht="14.4" x14ac:dyDescent="0.55000000000000004">
      <c r="A1248" t="str">
        <f>VLOOKUP(L1248,Customers!$A$2:$B$92,2,FALSE)</f>
        <v>Let's Stop N Shop</v>
      </c>
      <c r="B1248" t="str">
        <f>VLOOKUP(L1248,Customers!$A$2:$C$92,3,TRUE)</f>
        <v>Jaime Yorres</v>
      </c>
      <c r="C1248" t="str">
        <f t="shared" si="324"/>
        <v>Jaime</v>
      </c>
      <c r="D1248" s="8" t="str">
        <f t="shared" si="325"/>
        <v>Yorres</v>
      </c>
      <c r="E1248" s="8" t="str">
        <f t="shared" si="326"/>
        <v>Yorres, Jaime</v>
      </c>
      <c r="F1248" s="8" t="str">
        <f t="shared" si="327"/>
        <v>Yorres, Jaime</v>
      </c>
      <c r="G1248" s="8" t="str">
        <f t="shared" si="328"/>
        <v>not an outlier</v>
      </c>
      <c r="H1248" s="8" t="str">
        <f t="shared" si="329"/>
        <v>Not</v>
      </c>
      <c r="I1248" s="8" t="str">
        <f t="shared" si="339"/>
        <v>no</v>
      </c>
      <c r="J1248" s="10" t="str">
        <f t="shared" si="330"/>
        <v>no</v>
      </c>
      <c r="K1248" s="10" t="str">
        <f t="shared" si="331"/>
        <v>no</v>
      </c>
      <c r="L1248" t="s">
        <v>348</v>
      </c>
      <c r="M1248">
        <v>10719</v>
      </c>
      <c r="N1248">
        <v>30</v>
      </c>
      <c r="O1248" t="s">
        <v>717</v>
      </c>
      <c r="P1248" t="str">
        <f t="shared" si="332"/>
        <v>LETSS_10719_Nord-Ost Matjeshering</v>
      </c>
      <c r="Q1248" t="str">
        <f t="shared" si="333"/>
        <v>10719</v>
      </c>
      <c r="R1248" t="str">
        <f t="shared" si="334"/>
        <v>10719</v>
      </c>
      <c r="S1248" t="str">
        <f t="shared" si="335"/>
        <v>Nord-Ost Matjeshering</v>
      </c>
      <c r="T1248">
        <v>25.89</v>
      </c>
      <c r="U1248">
        <v>3</v>
      </c>
      <c r="V1248">
        <v>0.25</v>
      </c>
      <c r="W1248">
        <f t="shared" si="336"/>
        <v>58.252499999999998</v>
      </c>
      <c r="X1248" t="str">
        <f t="shared" si="337"/>
        <v>No</v>
      </c>
      <c r="Y1248" s="2">
        <v>35030</v>
      </c>
      <c r="Z1248" t="str">
        <f t="shared" si="323"/>
        <v/>
      </c>
      <c r="AA1248" t="str">
        <f t="shared" si="338"/>
        <v/>
      </c>
      <c r="AB1248" t="str" cm="1">
        <f t="array" ref="AB1248">_xlfn.IFS(Y1248&lt;DATE(1996,1,1),"",Y1248&lt;DATE(1996,4,1),"Q1",Y1248&lt;DATE(1996,7,1),"Q2",Y1248&gt;=DATE(1996,7,1),"")</f>
        <v/>
      </c>
    </row>
    <row r="1249" spans="1:28" ht="14.4" x14ac:dyDescent="0.55000000000000004">
      <c r="A1249" t="str">
        <f>VLOOKUP(L1249,Customers!$A$2:$B$92,2,FALSE)</f>
        <v>Let's Stop N Shop</v>
      </c>
      <c r="B1249" t="str">
        <f>VLOOKUP(L1249,Customers!$A$2:$C$92,3,TRUE)</f>
        <v>Jaime Yorres</v>
      </c>
      <c r="C1249" t="str">
        <f t="shared" si="324"/>
        <v>Jaime</v>
      </c>
      <c r="D1249" s="8" t="str">
        <f t="shared" si="325"/>
        <v>Yorres</v>
      </c>
      <c r="E1249" s="8" t="str">
        <f t="shared" si="326"/>
        <v>Yorres, Jaime</v>
      </c>
      <c r="F1249" s="8" t="str">
        <f t="shared" si="327"/>
        <v>Yorres, Jaime</v>
      </c>
      <c r="G1249" s="8" t="str">
        <f t="shared" si="328"/>
        <v>not an outlier</v>
      </c>
      <c r="H1249" s="8" t="str">
        <f t="shared" si="329"/>
        <v>Not</v>
      </c>
      <c r="I1249" s="8" t="str">
        <f t="shared" si="339"/>
        <v>no</v>
      </c>
      <c r="J1249" s="10" t="str">
        <f t="shared" si="330"/>
        <v>no</v>
      </c>
      <c r="K1249" s="10" t="str">
        <f t="shared" si="331"/>
        <v>no</v>
      </c>
      <c r="L1249" t="s">
        <v>348</v>
      </c>
      <c r="M1249">
        <v>10719</v>
      </c>
      <c r="N1249">
        <v>54</v>
      </c>
      <c r="O1249" t="s">
        <v>738</v>
      </c>
      <c r="P1249" t="str">
        <f t="shared" si="332"/>
        <v>LETSS_10719_Tourtière</v>
      </c>
      <c r="Q1249" t="str">
        <f t="shared" si="333"/>
        <v>10719</v>
      </c>
      <c r="R1249" t="str">
        <f t="shared" si="334"/>
        <v>10719</v>
      </c>
      <c r="S1249" t="str">
        <f t="shared" si="335"/>
        <v>Tourtière</v>
      </c>
      <c r="T1249">
        <v>7.45</v>
      </c>
      <c r="U1249">
        <v>40</v>
      </c>
      <c r="V1249">
        <v>0.25</v>
      </c>
      <c r="W1249">
        <f t="shared" si="336"/>
        <v>223.5</v>
      </c>
      <c r="X1249" t="str">
        <f t="shared" si="337"/>
        <v>No</v>
      </c>
      <c r="Y1249" s="2">
        <v>35030</v>
      </c>
      <c r="Z1249" t="str">
        <f t="shared" si="323"/>
        <v/>
      </c>
      <c r="AA1249" t="str">
        <f t="shared" si="338"/>
        <v/>
      </c>
      <c r="AB1249" t="str" cm="1">
        <f t="array" ref="AB1249">_xlfn.IFS(Y1249&lt;DATE(1996,1,1),"",Y1249&lt;DATE(1996,4,1),"Q1",Y1249&lt;DATE(1996,7,1),"Q2",Y1249&gt;=DATE(1996,7,1),"")</f>
        <v/>
      </c>
    </row>
    <row r="1250" spans="1:28" ht="14.4" x14ac:dyDescent="0.55000000000000004">
      <c r="A1250" t="str">
        <f>VLOOKUP(L1250,Customers!$A$2:$B$92,2,FALSE)</f>
        <v>Que Delícia</v>
      </c>
      <c r="B1250" t="str">
        <f>VLOOKUP(L1250,Customers!$A$2:$C$92,3,TRUE)</f>
        <v>Bernardo Batista</v>
      </c>
      <c r="C1250" t="str">
        <f t="shared" si="324"/>
        <v>Bernardo</v>
      </c>
      <c r="D1250" s="8" t="str">
        <f t="shared" si="325"/>
        <v>Batista</v>
      </c>
      <c r="E1250" s="8" t="str">
        <f t="shared" si="326"/>
        <v>Batista, Bernardo</v>
      </c>
      <c r="F1250" s="8" t="str">
        <f t="shared" si="327"/>
        <v>Batista, Bernardo</v>
      </c>
      <c r="G1250" s="8" t="str">
        <f t="shared" si="328"/>
        <v>not an outlier</v>
      </c>
      <c r="H1250" s="8" t="str">
        <f t="shared" si="329"/>
        <v>Not</v>
      </c>
      <c r="I1250" s="8" t="str">
        <f t="shared" si="339"/>
        <v>no</v>
      </c>
      <c r="J1250" s="10" t="str">
        <f t="shared" si="330"/>
        <v>no</v>
      </c>
      <c r="K1250" s="10" t="str">
        <f t="shared" si="331"/>
        <v>no</v>
      </c>
      <c r="L1250" t="s">
        <v>462</v>
      </c>
      <c r="M1250">
        <v>10720</v>
      </c>
      <c r="N1250">
        <v>35</v>
      </c>
      <c r="O1250" t="s">
        <v>714</v>
      </c>
      <c r="P1250" t="str">
        <f t="shared" si="332"/>
        <v>QUEDE_10720_Steeleye Stout</v>
      </c>
      <c r="Q1250" t="str">
        <f t="shared" si="333"/>
        <v>10720</v>
      </c>
      <c r="R1250" t="str">
        <f t="shared" si="334"/>
        <v>10720</v>
      </c>
      <c r="S1250" t="str">
        <f t="shared" si="335"/>
        <v>Steeleye Stout</v>
      </c>
      <c r="T1250">
        <v>18</v>
      </c>
      <c r="U1250">
        <v>21</v>
      </c>
      <c r="V1250">
        <v>0</v>
      </c>
      <c r="W1250">
        <f t="shared" si="336"/>
        <v>378</v>
      </c>
      <c r="X1250" t="str">
        <f t="shared" si="337"/>
        <v>No</v>
      </c>
      <c r="Y1250" s="2">
        <v>35031</v>
      </c>
      <c r="Z1250" t="str">
        <f t="shared" si="323"/>
        <v/>
      </c>
      <c r="AA1250" t="str">
        <f t="shared" si="338"/>
        <v/>
      </c>
      <c r="AB1250" t="str" cm="1">
        <f t="array" ref="AB1250">_xlfn.IFS(Y1250&lt;DATE(1996,1,1),"",Y1250&lt;DATE(1996,4,1),"Q1",Y1250&lt;DATE(1996,7,1),"Q2",Y1250&gt;=DATE(1996,7,1),"")</f>
        <v/>
      </c>
    </row>
    <row r="1251" spans="1:28" ht="14.4" x14ac:dyDescent="0.55000000000000004">
      <c r="A1251" t="str">
        <f>VLOOKUP(L1251,Customers!$A$2:$B$92,2,FALSE)</f>
        <v>Que Delícia</v>
      </c>
      <c r="B1251" t="str">
        <f>VLOOKUP(L1251,Customers!$A$2:$C$92,3,TRUE)</f>
        <v>Bernardo Batista</v>
      </c>
      <c r="C1251" t="str">
        <f t="shared" si="324"/>
        <v>Bernardo</v>
      </c>
      <c r="D1251" s="8" t="str">
        <f t="shared" si="325"/>
        <v>Batista</v>
      </c>
      <c r="E1251" s="8" t="str">
        <f t="shared" si="326"/>
        <v>Batista, Bernardo</v>
      </c>
      <c r="F1251" s="8" t="str">
        <f t="shared" si="327"/>
        <v>Batista, Bernardo</v>
      </c>
      <c r="G1251" s="8" t="str">
        <f t="shared" si="328"/>
        <v>not an outlier</v>
      </c>
      <c r="H1251" s="8" t="str">
        <f t="shared" si="329"/>
        <v>Not</v>
      </c>
      <c r="I1251" s="8" t="str">
        <f t="shared" si="339"/>
        <v>no</v>
      </c>
      <c r="J1251" s="10" t="str">
        <f t="shared" si="330"/>
        <v>no</v>
      </c>
      <c r="K1251" s="10" t="str">
        <f t="shared" si="331"/>
        <v>no</v>
      </c>
      <c r="L1251" t="s">
        <v>462</v>
      </c>
      <c r="M1251">
        <v>10720</v>
      </c>
      <c r="N1251">
        <v>71</v>
      </c>
      <c r="O1251" t="s">
        <v>725</v>
      </c>
      <c r="P1251" t="str">
        <f t="shared" si="332"/>
        <v>QUEDE_10720_Fløtemysost</v>
      </c>
      <c r="Q1251" t="str">
        <f t="shared" si="333"/>
        <v>10720</v>
      </c>
      <c r="R1251" t="str">
        <f t="shared" si="334"/>
        <v>10720</v>
      </c>
      <c r="S1251" t="str">
        <f t="shared" si="335"/>
        <v>Fløtemysost</v>
      </c>
      <c r="T1251">
        <v>21.5</v>
      </c>
      <c r="U1251">
        <v>8</v>
      </c>
      <c r="V1251">
        <v>0</v>
      </c>
      <c r="W1251">
        <f t="shared" si="336"/>
        <v>172</v>
      </c>
      <c r="X1251" t="str">
        <f t="shared" si="337"/>
        <v>No</v>
      </c>
      <c r="Y1251" s="2">
        <v>35031</v>
      </c>
      <c r="Z1251" t="str">
        <f t="shared" si="323"/>
        <v/>
      </c>
      <c r="AA1251" t="str">
        <f t="shared" si="338"/>
        <v/>
      </c>
      <c r="AB1251" t="str" cm="1">
        <f t="array" ref="AB1251">_xlfn.IFS(Y1251&lt;DATE(1996,1,1),"",Y1251&lt;DATE(1996,4,1),"Q1",Y1251&lt;DATE(1996,7,1),"Q2",Y1251&gt;=DATE(1996,7,1),"")</f>
        <v/>
      </c>
    </row>
    <row r="1252" spans="1:28" ht="14.4" x14ac:dyDescent="0.55000000000000004">
      <c r="A1252" t="str">
        <f>VLOOKUP(L1252,Customers!$A$2:$B$92,2,FALSE)</f>
        <v>QUICK-Stop</v>
      </c>
      <c r="B1252" t="str">
        <f>VLOOKUP(L1252,Customers!$A$2:$C$92,3,TRUE)</f>
        <v>Horst Kloss</v>
      </c>
      <c r="C1252" t="str">
        <f t="shared" si="324"/>
        <v>Horst</v>
      </c>
      <c r="D1252" s="8" t="str">
        <f t="shared" si="325"/>
        <v>Kloss</v>
      </c>
      <c r="E1252" s="8" t="str">
        <f t="shared" si="326"/>
        <v>Kloss, Horst</v>
      </c>
      <c r="F1252" s="8" t="str">
        <f t="shared" si="327"/>
        <v>Kloss, Horst</v>
      </c>
      <c r="G1252" s="8" t="str">
        <f t="shared" si="328"/>
        <v>not an outlier</v>
      </c>
      <c r="H1252" s="8" t="str">
        <f t="shared" si="329"/>
        <v>Not</v>
      </c>
      <c r="I1252" s="8" t="str">
        <f t="shared" si="339"/>
        <v>no</v>
      </c>
      <c r="J1252" s="10" t="str">
        <f t="shared" si="330"/>
        <v>no</v>
      </c>
      <c r="K1252" s="10" t="str">
        <f t="shared" si="331"/>
        <v>no</v>
      </c>
      <c r="L1252" t="s">
        <v>475</v>
      </c>
      <c r="M1252">
        <v>10721</v>
      </c>
      <c r="N1252">
        <v>44</v>
      </c>
      <c r="O1252" t="s">
        <v>728</v>
      </c>
      <c r="P1252" t="str">
        <f t="shared" si="332"/>
        <v>QUICK_10721_Gula Malacca</v>
      </c>
      <c r="Q1252" t="str">
        <f t="shared" si="333"/>
        <v>10721</v>
      </c>
      <c r="R1252" t="str">
        <f t="shared" si="334"/>
        <v>10721</v>
      </c>
      <c r="S1252" t="str">
        <f t="shared" si="335"/>
        <v>Gula Malacca</v>
      </c>
      <c r="T1252">
        <v>19.45</v>
      </c>
      <c r="U1252">
        <v>50</v>
      </c>
      <c r="V1252">
        <v>0.05</v>
      </c>
      <c r="W1252">
        <f t="shared" si="336"/>
        <v>923.875</v>
      </c>
      <c r="X1252" t="str">
        <f t="shared" si="337"/>
        <v>No</v>
      </c>
      <c r="Y1252" s="2">
        <v>35032</v>
      </c>
      <c r="Z1252" t="str">
        <f t="shared" si="323"/>
        <v/>
      </c>
      <c r="AA1252" t="str">
        <f t="shared" si="338"/>
        <v/>
      </c>
      <c r="AB1252" t="str" cm="1">
        <f t="array" ref="AB1252">_xlfn.IFS(Y1252&lt;DATE(1996,1,1),"",Y1252&lt;DATE(1996,4,1),"Q1",Y1252&lt;DATE(1996,7,1),"Q2",Y1252&gt;=DATE(1996,7,1),"")</f>
        <v/>
      </c>
    </row>
    <row r="1253" spans="1:28" ht="14.4" x14ac:dyDescent="0.55000000000000004">
      <c r="A1253" t="str">
        <f>VLOOKUP(L1253,Customers!$A$2:$B$92,2,FALSE)</f>
        <v>Save-a-lot Markets</v>
      </c>
      <c r="B1253" t="str">
        <f>VLOOKUP(L1253,Customers!$A$2:$C$92,3,TRUE)</f>
        <v>Jose Pavarotti</v>
      </c>
      <c r="C1253" t="str">
        <f t="shared" si="324"/>
        <v>Jose</v>
      </c>
      <c r="D1253" s="8" t="str">
        <f t="shared" si="325"/>
        <v>Pavarotti</v>
      </c>
      <c r="E1253" s="8" t="str">
        <f t="shared" si="326"/>
        <v>Pavarotti, Jose</v>
      </c>
      <c r="F1253" s="8" t="str">
        <f t="shared" si="327"/>
        <v>Pavarotti, Jose</v>
      </c>
      <c r="G1253" s="8" t="str">
        <f t="shared" si="328"/>
        <v>not an outlier</v>
      </c>
      <c r="H1253" s="8" t="str">
        <f t="shared" si="329"/>
        <v>Not</v>
      </c>
      <c r="I1253" s="8" t="str">
        <f t="shared" si="339"/>
        <v>no</v>
      </c>
      <c r="J1253" s="10" t="str">
        <f t="shared" si="330"/>
        <v>no</v>
      </c>
      <c r="K1253" s="10" t="str">
        <f t="shared" si="331"/>
        <v>no</v>
      </c>
      <c r="L1253" t="s">
        <v>529</v>
      </c>
      <c r="M1253">
        <v>10722</v>
      </c>
      <c r="N1253">
        <v>2</v>
      </c>
      <c r="O1253" t="s">
        <v>701</v>
      </c>
      <c r="P1253" t="str">
        <f t="shared" si="332"/>
        <v>SAVEA_10722_Chang</v>
      </c>
      <c r="Q1253" t="str">
        <f t="shared" si="333"/>
        <v>10722</v>
      </c>
      <c r="R1253" t="str">
        <f t="shared" si="334"/>
        <v>10722</v>
      </c>
      <c r="S1253" t="str">
        <f t="shared" si="335"/>
        <v>Chang</v>
      </c>
      <c r="T1253">
        <v>19</v>
      </c>
      <c r="U1253">
        <v>3</v>
      </c>
      <c r="V1253">
        <v>0</v>
      </c>
      <c r="W1253">
        <f t="shared" si="336"/>
        <v>57</v>
      </c>
      <c r="X1253" t="str">
        <f t="shared" si="337"/>
        <v>No</v>
      </c>
      <c r="Y1253" s="2">
        <v>35032</v>
      </c>
      <c r="Z1253" t="str">
        <f t="shared" si="323"/>
        <v/>
      </c>
      <c r="AA1253" t="str">
        <f t="shared" si="338"/>
        <v/>
      </c>
      <c r="AB1253" t="str" cm="1">
        <f t="array" ref="AB1253">_xlfn.IFS(Y1253&lt;DATE(1996,1,1),"",Y1253&lt;DATE(1996,4,1),"Q1",Y1253&lt;DATE(1996,7,1),"Q2",Y1253&gt;=DATE(1996,7,1),"")</f>
        <v/>
      </c>
    </row>
    <row r="1254" spans="1:28" ht="14.4" x14ac:dyDescent="0.55000000000000004">
      <c r="A1254" t="str">
        <f>VLOOKUP(L1254,Customers!$A$2:$B$92,2,FALSE)</f>
        <v>Save-a-lot Markets</v>
      </c>
      <c r="B1254" t="str">
        <f>VLOOKUP(L1254,Customers!$A$2:$C$92,3,TRUE)</f>
        <v>Jose Pavarotti</v>
      </c>
      <c r="C1254" t="str">
        <f t="shared" si="324"/>
        <v>Jose</v>
      </c>
      <c r="D1254" s="8" t="str">
        <f t="shared" si="325"/>
        <v>Pavarotti</v>
      </c>
      <c r="E1254" s="8" t="str">
        <f t="shared" si="326"/>
        <v>Pavarotti, Jose</v>
      </c>
      <c r="F1254" s="8" t="str">
        <f t="shared" si="327"/>
        <v>Pavarotti, Jose</v>
      </c>
      <c r="G1254" s="8" t="str">
        <f t="shared" si="328"/>
        <v>not an outlier</v>
      </c>
      <c r="H1254" s="8" t="str">
        <f t="shared" si="329"/>
        <v>Not</v>
      </c>
      <c r="I1254" s="8" t="str">
        <f t="shared" si="339"/>
        <v>no</v>
      </c>
      <c r="J1254" s="10" t="str">
        <f t="shared" si="330"/>
        <v>no</v>
      </c>
      <c r="K1254" s="10" t="str">
        <f t="shared" si="331"/>
        <v>no</v>
      </c>
      <c r="L1254" t="s">
        <v>529</v>
      </c>
      <c r="M1254">
        <v>10722</v>
      </c>
      <c r="N1254">
        <v>31</v>
      </c>
      <c r="O1254" t="s">
        <v>695</v>
      </c>
      <c r="P1254" t="str">
        <f t="shared" si="332"/>
        <v>SAVEA_10722_Gorgonzola Telino</v>
      </c>
      <c r="Q1254" t="str">
        <f t="shared" si="333"/>
        <v>10722</v>
      </c>
      <c r="R1254" t="str">
        <f t="shared" si="334"/>
        <v>10722</v>
      </c>
      <c r="S1254" t="str">
        <f t="shared" si="335"/>
        <v>Gorgonzola Telino</v>
      </c>
      <c r="T1254">
        <v>12.5</v>
      </c>
      <c r="U1254">
        <v>50</v>
      </c>
      <c r="V1254">
        <v>0</v>
      </c>
      <c r="W1254">
        <f t="shared" si="336"/>
        <v>625</v>
      </c>
      <c r="X1254" t="str">
        <f t="shared" si="337"/>
        <v>No</v>
      </c>
      <c r="Y1254" s="2">
        <v>35032</v>
      </c>
      <c r="Z1254" t="str">
        <f t="shared" si="323"/>
        <v/>
      </c>
      <c r="AA1254" t="str">
        <f t="shared" si="338"/>
        <v/>
      </c>
      <c r="AB1254" t="str" cm="1">
        <f t="array" ref="AB1254">_xlfn.IFS(Y1254&lt;DATE(1996,1,1),"",Y1254&lt;DATE(1996,4,1),"Q1",Y1254&lt;DATE(1996,7,1),"Q2",Y1254&gt;=DATE(1996,7,1),"")</f>
        <v/>
      </c>
    </row>
    <row r="1255" spans="1:28" ht="14.4" x14ac:dyDescent="0.55000000000000004">
      <c r="A1255" t="str">
        <f>VLOOKUP(L1255,Customers!$A$2:$B$92,2,FALSE)</f>
        <v>Save-a-lot Markets</v>
      </c>
      <c r="B1255" t="str">
        <f>VLOOKUP(L1255,Customers!$A$2:$C$92,3,TRUE)</f>
        <v>Jose Pavarotti</v>
      </c>
      <c r="C1255" t="str">
        <f t="shared" si="324"/>
        <v>Jose</v>
      </c>
      <c r="D1255" s="8" t="str">
        <f t="shared" si="325"/>
        <v>Pavarotti</v>
      </c>
      <c r="E1255" s="8" t="str">
        <f t="shared" si="326"/>
        <v>Pavarotti, Jose</v>
      </c>
      <c r="F1255" s="8" t="str">
        <f t="shared" si="327"/>
        <v>Pavarotti, Jose</v>
      </c>
      <c r="G1255" s="8" t="str">
        <f t="shared" si="328"/>
        <v>not an outlier</v>
      </c>
      <c r="H1255" s="8" t="str">
        <f t="shared" si="329"/>
        <v>Not</v>
      </c>
      <c r="I1255" s="8" t="str">
        <f t="shared" si="339"/>
        <v>no</v>
      </c>
      <c r="J1255" s="10" t="str">
        <f t="shared" si="330"/>
        <v>no</v>
      </c>
      <c r="K1255" s="10" t="str">
        <f t="shared" si="331"/>
        <v>no</v>
      </c>
      <c r="L1255" t="s">
        <v>529</v>
      </c>
      <c r="M1255">
        <v>10722</v>
      </c>
      <c r="N1255">
        <v>68</v>
      </c>
      <c r="O1255" t="s">
        <v>739</v>
      </c>
      <c r="P1255" t="str">
        <f t="shared" si="332"/>
        <v>SAVEA_10722_Scottish Longbreads</v>
      </c>
      <c r="Q1255" t="str">
        <f t="shared" si="333"/>
        <v>10722</v>
      </c>
      <c r="R1255" t="str">
        <f t="shared" si="334"/>
        <v>10722</v>
      </c>
      <c r="S1255" t="str">
        <f t="shared" si="335"/>
        <v>Scottish Longbreads</v>
      </c>
      <c r="T1255">
        <v>12.5</v>
      </c>
      <c r="U1255">
        <v>45</v>
      </c>
      <c r="V1255">
        <v>0</v>
      </c>
      <c r="W1255">
        <f t="shared" si="336"/>
        <v>562.5</v>
      </c>
      <c r="X1255" t="str">
        <f t="shared" si="337"/>
        <v>No</v>
      </c>
      <c r="Y1255" s="2">
        <v>35032</v>
      </c>
      <c r="Z1255" t="str">
        <f t="shared" si="323"/>
        <v/>
      </c>
      <c r="AA1255" t="str">
        <f t="shared" si="338"/>
        <v/>
      </c>
      <c r="AB1255" t="str" cm="1">
        <f t="array" ref="AB1255">_xlfn.IFS(Y1255&lt;DATE(1996,1,1),"",Y1255&lt;DATE(1996,4,1),"Q1",Y1255&lt;DATE(1996,7,1),"Q2",Y1255&gt;=DATE(1996,7,1),"")</f>
        <v/>
      </c>
    </row>
    <row r="1256" spans="1:28" ht="14.4" x14ac:dyDescent="0.55000000000000004">
      <c r="A1256" t="str">
        <f>VLOOKUP(L1256,Customers!$A$2:$B$92,2,FALSE)</f>
        <v>Save-a-lot Markets</v>
      </c>
      <c r="B1256" t="str">
        <f>VLOOKUP(L1256,Customers!$A$2:$C$92,3,TRUE)</f>
        <v>Jose Pavarotti</v>
      </c>
      <c r="C1256" t="str">
        <f t="shared" si="324"/>
        <v>Jose</v>
      </c>
      <c r="D1256" s="8" t="str">
        <f t="shared" si="325"/>
        <v>Pavarotti</v>
      </c>
      <c r="E1256" s="8" t="str">
        <f t="shared" si="326"/>
        <v>Pavarotti, Jose</v>
      </c>
      <c r="F1256" s="8" t="str">
        <f t="shared" si="327"/>
        <v>Pavarotti, Jose</v>
      </c>
      <c r="G1256" s="8" t="str">
        <f t="shared" si="328"/>
        <v>not an outlier</v>
      </c>
      <c r="H1256" s="8" t="str">
        <f t="shared" si="329"/>
        <v>Not</v>
      </c>
      <c r="I1256" s="8" t="str">
        <f t="shared" si="339"/>
        <v>no</v>
      </c>
      <c r="J1256" s="10" t="str">
        <f t="shared" si="330"/>
        <v>no</v>
      </c>
      <c r="K1256" s="10" t="str">
        <f t="shared" si="331"/>
        <v>no</v>
      </c>
      <c r="L1256" t="s">
        <v>529</v>
      </c>
      <c r="M1256">
        <v>10722</v>
      </c>
      <c r="N1256">
        <v>75</v>
      </c>
      <c r="O1256" t="s">
        <v>731</v>
      </c>
      <c r="P1256" t="str">
        <f t="shared" si="332"/>
        <v>SAVEA_10722_Rhönbräu Klosterbier</v>
      </c>
      <c r="Q1256" t="str">
        <f t="shared" si="333"/>
        <v>10722</v>
      </c>
      <c r="R1256" t="str">
        <f t="shared" si="334"/>
        <v>10722</v>
      </c>
      <c r="S1256" t="str">
        <f t="shared" si="335"/>
        <v>Rhönbräu Klosterbier</v>
      </c>
      <c r="T1256">
        <v>7.75</v>
      </c>
      <c r="U1256">
        <v>42</v>
      </c>
      <c r="V1256">
        <v>0</v>
      </c>
      <c r="W1256">
        <f t="shared" si="336"/>
        <v>325.5</v>
      </c>
      <c r="X1256" t="str">
        <f t="shared" si="337"/>
        <v>No</v>
      </c>
      <c r="Y1256" s="2">
        <v>35032</v>
      </c>
      <c r="Z1256" t="str">
        <f t="shared" si="323"/>
        <v/>
      </c>
      <c r="AA1256" t="str">
        <f t="shared" si="338"/>
        <v/>
      </c>
      <c r="AB1256" t="str" cm="1">
        <f t="array" ref="AB1256">_xlfn.IFS(Y1256&lt;DATE(1996,1,1),"",Y1256&lt;DATE(1996,4,1),"Q1",Y1256&lt;DATE(1996,7,1),"Q2",Y1256&gt;=DATE(1996,7,1),"")</f>
        <v/>
      </c>
    </row>
    <row r="1257" spans="1:28" ht="14.4" x14ac:dyDescent="0.55000000000000004">
      <c r="A1257" t="str">
        <f>VLOOKUP(L1257,Customers!$A$2:$B$92,2,FALSE)</f>
        <v>White Clover Markets</v>
      </c>
      <c r="B1257" t="str">
        <f>VLOOKUP(L1257,Customers!$A$2:$C$92,3,TRUE)</f>
        <v>Karl Jablonski</v>
      </c>
      <c r="C1257" t="str">
        <f t="shared" si="324"/>
        <v>Karl</v>
      </c>
      <c r="D1257" s="8" t="str">
        <f t="shared" si="325"/>
        <v>Jablonski</v>
      </c>
      <c r="E1257" s="8" t="str">
        <f t="shared" si="326"/>
        <v>Jablonski, Karl</v>
      </c>
      <c r="F1257" s="8" t="str">
        <f t="shared" si="327"/>
        <v>Jablonski, Karl</v>
      </c>
      <c r="G1257" s="8" t="str">
        <f t="shared" si="328"/>
        <v>not an outlier</v>
      </c>
      <c r="H1257" s="8" t="str">
        <f t="shared" si="329"/>
        <v>Not</v>
      </c>
      <c r="I1257" s="8" t="str">
        <f t="shared" si="339"/>
        <v>no</v>
      </c>
      <c r="J1257" s="10" t="str">
        <f t="shared" si="330"/>
        <v>no</v>
      </c>
      <c r="K1257" s="10" t="str">
        <f t="shared" si="331"/>
        <v>no</v>
      </c>
      <c r="L1257" t="s">
        <v>654</v>
      </c>
      <c r="M1257">
        <v>10723</v>
      </c>
      <c r="N1257">
        <v>26</v>
      </c>
      <c r="O1257" t="s">
        <v>751</v>
      </c>
      <c r="P1257" t="str">
        <f t="shared" si="332"/>
        <v>WHITC_10723_Gumbär Gummibärchen</v>
      </c>
      <c r="Q1257" t="str">
        <f t="shared" si="333"/>
        <v>10723</v>
      </c>
      <c r="R1257" t="str">
        <f t="shared" si="334"/>
        <v>10723</v>
      </c>
      <c r="S1257" t="str">
        <f t="shared" si="335"/>
        <v>Gumbär Gummibärchen</v>
      </c>
      <c r="T1257">
        <v>31.23</v>
      </c>
      <c r="U1257">
        <v>15</v>
      </c>
      <c r="V1257">
        <v>0</v>
      </c>
      <c r="W1257">
        <f t="shared" si="336"/>
        <v>468.45</v>
      </c>
      <c r="X1257" t="str">
        <f t="shared" si="337"/>
        <v>No</v>
      </c>
      <c r="Y1257" s="2">
        <v>35033</v>
      </c>
      <c r="Z1257" t="str">
        <f t="shared" si="323"/>
        <v/>
      </c>
      <c r="AA1257" t="str">
        <f t="shared" si="338"/>
        <v/>
      </c>
      <c r="AB1257" t="str" cm="1">
        <f t="array" ref="AB1257">_xlfn.IFS(Y1257&lt;DATE(1996,1,1),"",Y1257&lt;DATE(1996,4,1),"Q1",Y1257&lt;DATE(1996,7,1),"Q2",Y1257&gt;=DATE(1996,7,1),"")</f>
        <v/>
      </c>
    </row>
    <row r="1258" spans="1:28" ht="14.4" x14ac:dyDescent="0.55000000000000004">
      <c r="A1258" t="str">
        <f>VLOOKUP(L1258,Customers!$A$2:$B$92,2,FALSE)</f>
        <v>Mère Paillarde</v>
      </c>
      <c r="B1258" t="str">
        <f>VLOOKUP(L1258,Customers!$A$2:$C$92,3,TRUE)</f>
        <v>Jean Fresnière</v>
      </c>
      <c r="C1258" t="str">
        <f t="shared" si="324"/>
        <v>Jean</v>
      </c>
      <c r="D1258" s="8" t="str">
        <f t="shared" si="325"/>
        <v>Fresnière</v>
      </c>
      <c r="E1258" s="8" t="str">
        <f t="shared" si="326"/>
        <v>Fresnière, Jean</v>
      </c>
      <c r="F1258" s="8" t="str">
        <f t="shared" si="327"/>
        <v>Fresnière, Jean</v>
      </c>
      <c r="G1258" s="8" t="str">
        <f t="shared" si="328"/>
        <v>not an outlier</v>
      </c>
      <c r="H1258" s="8" t="str">
        <f t="shared" si="329"/>
        <v>Not</v>
      </c>
      <c r="I1258" s="8" t="str">
        <f t="shared" si="339"/>
        <v>no</v>
      </c>
      <c r="J1258" s="10" t="str">
        <f t="shared" si="330"/>
        <v>no</v>
      </c>
      <c r="K1258" s="10" t="str">
        <f t="shared" si="331"/>
        <v>no</v>
      </c>
      <c r="L1258" t="s">
        <v>394</v>
      </c>
      <c r="M1258">
        <v>10724</v>
      </c>
      <c r="N1258">
        <v>10</v>
      </c>
      <c r="O1258" t="s">
        <v>724</v>
      </c>
      <c r="P1258" t="str">
        <f t="shared" si="332"/>
        <v>MEREP_10724_Ikura</v>
      </c>
      <c r="Q1258" t="str">
        <f t="shared" si="333"/>
        <v>10724</v>
      </c>
      <c r="R1258" t="str">
        <f t="shared" si="334"/>
        <v>10724</v>
      </c>
      <c r="S1258" t="str">
        <f t="shared" si="335"/>
        <v>Ikura</v>
      </c>
      <c r="T1258">
        <v>31</v>
      </c>
      <c r="U1258">
        <v>16</v>
      </c>
      <c r="V1258">
        <v>0</v>
      </c>
      <c r="W1258">
        <f t="shared" si="336"/>
        <v>496</v>
      </c>
      <c r="X1258" t="str">
        <f t="shared" si="337"/>
        <v>No</v>
      </c>
      <c r="Y1258" s="2">
        <v>35033</v>
      </c>
      <c r="Z1258" t="str">
        <f t="shared" si="323"/>
        <v/>
      </c>
      <c r="AA1258" t="str">
        <f t="shared" si="338"/>
        <v/>
      </c>
      <c r="AB1258" t="str" cm="1">
        <f t="array" ref="AB1258">_xlfn.IFS(Y1258&lt;DATE(1996,1,1),"",Y1258&lt;DATE(1996,4,1),"Q1",Y1258&lt;DATE(1996,7,1),"Q2",Y1258&gt;=DATE(1996,7,1),"")</f>
        <v/>
      </c>
    </row>
    <row r="1259" spans="1:28" ht="14.4" x14ac:dyDescent="0.55000000000000004">
      <c r="A1259" t="str">
        <f>VLOOKUP(L1259,Customers!$A$2:$B$92,2,FALSE)</f>
        <v>Mère Paillarde</v>
      </c>
      <c r="B1259" t="str">
        <f>VLOOKUP(L1259,Customers!$A$2:$C$92,3,TRUE)</f>
        <v>Jean Fresnière</v>
      </c>
      <c r="C1259" t="str">
        <f t="shared" si="324"/>
        <v>Jean</v>
      </c>
      <c r="D1259" s="8" t="str">
        <f t="shared" si="325"/>
        <v>Fresnière</v>
      </c>
      <c r="E1259" s="8" t="str">
        <f t="shared" si="326"/>
        <v>Fresnière, Jean</v>
      </c>
      <c r="F1259" s="8" t="str">
        <f t="shared" si="327"/>
        <v>Fresnière, Jean</v>
      </c>
      <c r="G1259" s="8" t="str">
        <f t="shared" si="328"/>
        <v>not an outlier</v>
      </c>
      <c r="H1259" s="8" t="str">
        <f t="shared" si="329"/>
        <v>Not</v>
      </c>
      <c r="I1259" s="8" t="str">
        <f t="shared" si="339"/>
        <v>no</v>
      </c>
      <c r="J1259" s="10" t="str">
        <f t="shared" si="330"/>
        <v>no</v>
      </c>
      <c r="K1259" s="10" t="str">
        <f t="shared" si="331"/>
        <v>no</v>
      </c>
      <c r="L1259" t="s">
        <v>394</v>
      </c>
      <c r="M1259">
        <v>10724</v>
      </c>
      <c r="N1259">
        <v>61</v>
      </c>
      <c r="O1259" t="s">
        <v>758</v>
      </c>
      <c r="P1259" t="str">
        <f t="shared" si="332"/>
        <v>MEREP_10724_Sirop d'érable</v>
      </c>
      <c r="Q1259" t="str">
        <f t="shared" si="333"/>
        <v>10724</v>
      </c>
      <c r="R1259" t="str">
        <f t="shared" si="334"/>
        <v>10724</v>
      </c>
      <c r="S1259" t="str">
        <f t="shared" si="335"/>
        <v>Sirop d'érable</v>
      </c>
      <c r="T1259">
        <v>28.5</v>
      </c>
      <c r="U1259">
        <v>5</v>
      </c>
      <c r="V1259">
        <v>0</v>
      </c>
      <c r="W1259">
        <f t="shared" si="336"/>
        <v>142.5</v>
      </c>
      <c r="X1259" t="str">
        <f t="shared" si="337"/>
        <v>No</v>
      </c>
      <c r="Y1259" s="2">
        <v>35033</v>
      </c>
      <c r="Z1259" t="str">
        <f t="shared" si="323"/>
        <v/>
      </c>
      <c r="AA1259" t="str">
        <f t="shared" si="338"/>
        <v/>
      </c>
      <c r="AB1259" t="str" cm="1">
        <f t="array" ref="AB1259">_xlfn.IFS(Y1259&lt;DATE(1996,1,1),"",Y1259&lt;DATE(1996,4,1),"Q1",Y1259&lt;DATE(1996,7,1),"Q2",Y1259&gt;=DATE(1996,7,1),"")</f>
        <v/>
      </c>
    </row>
    <row r="1260" spans="1:28" ht="14.4" x14ac:dyDescent="0.55000000000000004">
      <c r="A1260" t="str">
        <f>VLOOKUP(L1260,Customers!$A$2:$B$92,2,FALSE)</f>
        <v>Familia Arquibaldo</v>
      </c>
      <c r="B1260" t="str">
        <f>VLOOKUP(L1260,Customers!$A$2:$C$92,3,TRUE)</f>
        <v>Aria Cruz</v>
      </c>
      <c r="C1260" t="str">
        <f t="shared" si="324"/>
        <v>Aria</v>
      </c>
      <c r="D1260" s="8" t="str">
        <f t="shared" si="325"/>
        <v>Cruz</v>
      </c>
      <c r="E1260" s="8" t="str">
        <f t="shared" si="326"/>
        <v>Cruz, Aria</v>
      </c>
      <c r="F1260" s="8" t="str">
        <f t="shared" si="327"/>
        <v>Cruz, Aria</v>
      </c>
      <c r="G1260" s="8" t="str">
        <f t="shared" si="328"/>
        <v>not an outlier</v>
      </c>
      <c r="H1260" s="8" t="str">
        <f t="shared" si="329"/>
        <v>Not</v>
      </c>
      <c r="I1260" s="8" t="str">
        <f t="shared" si="339"/>
        <v>no</v>
      </c>
      <c r="J1260" s="10" t="str">
        <f t="shared" si="330"/>
        <v>no</v>
      </c>
      <c r="K1260" s="10" t="str">
        <f t="shared" si="331"/>
        <v>no</v>
      </c>
      <c r="L1260" t="s">
        <v>170</v>
      </c>
      <c r="M1260">
        <v>10725</v>
      </c>
      <c r="N1260">
        <v>41</v>
      </c>
      <c r="O1260" t="s">
        <v>688</v>
      </c>
      <c r="P1260" t="str">
        <f t="shared" si="332"/>
        <v>FAMIA_10725_Jack's New England Clam Chowder</v>
      </c>
      <c r="Q1260" t="str">
        <f t="shared" si="333"/>
        <v>10725</v>
      </c>
      <c r="R1260" t="str">
        <f t="shared" si="334"/>
        <v>10725</v>
      </c>
      <c r="S1260" t="str">
        <f t="shared" si="335"/>
        <v>Jack's New England Clam Chowder</v>
      </c>
      <c r="T1260">
        <v>9.65</v>
      </c>
      <c r="U1260">
        <v>12</v>
      </c>
      <c r="V1260">
        <v>0</v>
      </c>
      <c r="W1260">
        <f t="shared" si="336"/>
        <v>115.80000000000001</v>
      </c>
      <c r="X1260" t="str">
        <f t="shared" si="337"/>
        <v>No</v>
      </c>
      <c r="Y1260" s="2">
        <v>35034</v>
      </c>
      <c r="Z1260" t="str">
        <f t="shared" si="323"/>
        <v/>
      </c>
      <c r="AA1260" t="str">
        <f t="shared" si="338"/>
        <v/>
      </c>
      <c r="AB1260" t="str" cm="1">
        <f t="array" ref="AB1260">_xlfn.IFS(Y1260&lt;DATE(1996,1,1),"",Y1260&lt;DATE(1996,4,1),"Q1",Y1260&lt;DATE(1996,7,1),"Q2",Y1260&gt;=DATE(1996,7,1),"")</f>
        <v/>
      </c>
    </row>
    <row r="1261" spans="1:28" ht="14.4" x14ac:dyDescent="0.55000000000000004">
      <c r="A1261" t="str">
        <f>VLOOKUP(L1261,Customers!$A$2:$B$92,2,FALSE)</f>
        <v>Familia Arquibaldo</v>
      </c>
      <c r="B1261" t="str">
        <f>VLOOKUP(L1261,Customers!$A$2:$C$92,3,TRUE)</f>
        <v>Aria Cruz</v>
      </c>
      <c r="C1261" t="str">
        <f t="shared" si="324"/>
        <v>Aria</v>
      </c>
      <c r="D1261" s="8" t="str">
        <f t="shared" si="325"/>
        <v>Cruz</v>
      </c>
      <c r="E1261" s="8" t="str">
        <f t="shared" si="326"/>
        <v>Cruz, Aria</v>
      </c>
      <c r="F1261" s="8" t="str">
        <f t="shared" si="327"/>
        <v>Cruz, Aria</v>
      </c>
      <c r="G1261" s="8" t="str">
        <f t="shared" si="328"/>
        <v>not an outlier</v>
      </c>
      <c r="H1261" s="8" t="str">
        <f t="shared" si="329"/>
        <v>Not</v>
      </c>
      <c r="I1261" s="8" t="str">
        <f t="shared" si="339"/>
        <v>no</v>
      </c>
      <c r="J1261" s="10" t="str">
        <f t="shared" si="330"/>
        <v>no</v>
      </c>
      <c r="K1261" s="10" t="str">
        <f t="shared" si="331"/>
        <v>no</v>
      </c>
      <c r="L1261" t="s">
        <v>170</v>
      </c>
      <c r="M1261">
        <v>10725</v>
      </c>
      <c r="N1261">
        <v>52</v>
      </c>
      <c r="O1261" t="s">
        <v>748</v>
      </c>
      <c r="P1261" t="str">
        <f t="shared" si="332"/>
        <v>FAMIA_10725_Filo Mix</v>
      </c>
      <c r="Q1261" t="str">
        <f t="shared" si="333"/>
        <v>10725</v>
      </c>
      <c r="R1261" t="str">
        <f t="shared" si="334"/>
        <v>10725</v>
      </c>
      <c r="S1261" t="str">
        <f t="shared" si="335"/>
        <v>Filo Mix</v>
      </c>
      <c r="T1261">
        <v>7</v>
      </c>
      <c r="U1261">
        <v>4</v>
      </c>
      <c r="V1261">
        <v>0</v>
      </c>
      <c r="W1261">
        <f t="shared" si="336"/>
        <v>28</v>
      </c>
      <c r="X1261" t="str">
        <f t="shared" si="337"/>
        <v>No</v>
      </c>
      <c r="Y1261" s="2">
        <v>35034</v>
      </c>
      <c r="Z1261" t="str">
        <f t="shared" si="323"/>
        <v/>
      </c>
      <c r="AA1261" t="str">
        <f t="shared" si="338"/>
        <v/>
      </c>
      <c r="AB1261" t="str" cm="1">
        <f t="array" ref="AB1261">_xlfn.IFS(Y1261&lt;DATE(1996,1,1),"",Y1261&lt;DATE(1996,4,1),"Q1",Y1261&lt;DATE(1996,7,1),"Q2",Y1261&gt;=DATE(1996,7,1),"")</f>
        <v/>
      </c>
    </row>
    <row r="1262" spans="1:28" ht="14.4" x14ac:dyDescent="0.55000000000000004">
      <c r="A1262" t="str">
        <f>VLOOKUP(L1262,Customers!$A$2:$B$92,2,FALSE)</f>
        <v>Familia Arquibaldo</v>
      </c>
      <c r="B1262" t="str">
        <f>VLOOKUP(L1262,Customers!$A$2:$C$92,3,TRUE)</f>
        <v>Aria Cruz</v>
      </c>
      <c r="C1262" t="str">
        <f t="shared" si="324"/>
        <v>Aria</v>
      </c>
      <c r="D1262" s="8" t="str">
        <f t="shared" si="325"/>
        <v>Cruz</v>
      </c>
      <c r="E1262" s="8" t="str">
        <f t="shared" si="326"/>
        <v>Cruz, Aria</v>
      </c>
      <c r="F1262" s="8" t="str">
        <f t="shared" si="327"/>
        <v>Cruz, Aria</v>
      </c>
      <c r="G1262" s="8" t="str">
        <f t="shared" si="328"/>
        <v>not an outlier</v>
      </c>
      <c r="H1262" s="8" t="str">
        <f t="shared" si="329"/>
        <v>Not</v>
      </c>
      <c r="I1262" s="8" t="str">
        <f t="shared" si="339"/>
        <v>no</v>
      </c>
      <c r="J1262" s="10" t="str">
        <f t="shared" si="330"/>
        <v>no</v>
      </c>
      <c r="K1262" s="10" t="str">
        <f t="shared" si="331"/>
        <v>no</v>
      </c>
      <c r="L1262" t="s">
        <v>170</v>
      </c>
      <c r="M1262">
        <v>10725</v>
      </c>
      <c r="N1262">
        <v>55</v>
      </c>
      <c r="O1262" t="s">
        <v>699</v>
      </c>
      <c r="P1262" t="str">
        <f t="shared" si="332"/>
        <v>FAMIA_10725_Pâté chinois</v>
      </c>
      <c r="Q1262" t="str">
        <f t="shared" si="333"/>
        <v>10725</v>
      </c>
      <c r="R1262" t="str">
        <f t="shared" si="334"/>
        <v>10725</v>
      </c>
      <c r="S1262" t="str">
        <f t="shared" si="335"/>
        <v>Pâté chinois</v>
      </c>
      <c r="T1262">
        <v>24</v>
      </c>
      <c r="U1262">
        <v>6</v>
      </c>
      <c r="V1262">
        <v>0</v>
      </c>
      <c r="W1262">
        <f t="shared" si="336"/>
        <v>144</v>
      </c>
      <c r="X1262" t="str">
        <f t="shared" si="337"/>
        <v>No</v>
      </c>
      <c r="Y1262" s="2">
        <v>35034</v>
      </c>
      <c r="Z1262" t="str">
        <f t="shared" si="323"/>
        <v/>
      </c>
      <c r="AA1262" t="str">
        <f t="shared" si="338"/>
        <v/>
      </c>
      <c r="AB1262" t="str" cm="1">
        <f t="array" ref="AB1262">_xlfn.IFS(Y1262&lt;DATE(1996,1,1),"",Y1262&lt;DATE(1996,4,1),"Q1",Y1262&lt;DATE(1996,7,1),"Q2",Y1262&gt;=DATE(1996,7,1),"")</f>
        <v/>
      </c>
    </row>
    <row r="1263" spans="1:28" ht="14.4" x14ac:dyDescent="0.55000000000000004">
      <c r="A1263" t="str">
        <f>VLOOKUP(L1263,Customers!$A$2:$B$92,2,FALSE)</f>
        <v>Eastern Connection</v>
      </c>
      <c r="B1263" t="str">
        <f>VLOOKUP(L1263,Customers!$A$2:$C$92,3,TRUE)</f>
        <v>Ann Devon</v>
      </c>
      <c r="C1263" t="str">
        <f t="shared" si="324"/>
        <v>Ann</v>
      </c>
      <c r="D1263" s="8" t="str">
        <f t="shared" si="325"/>
        <v>Devon</v>
      </c>
      <c r="E1263" s="8" t="str">
        <f t="shared" si="326"/>
        <v>Devon, Ann</v>
      </c>
      <c r="F1263" s="8" t="str">
        <f t="shared" si="327"/>
        <v>Devon, Ann</v>
      </c>
      <c r="G1263" s="8" t="str">
        <f t="shared" si="328"/>
        <v>not an outlier</v>
      </c>
      <c r="H1263" s="8" t="str">
        <f t="shared" si="329"/>
        <v>Not</v>
      </c>
      <c r="I1263" s="8" t="str">
        <f t="shared" si="339"/>
        <v>no</v>
      </c>
      <c r="J1263" s="10" t="str">
        <f t="shared" si="330"/>
        <v>no</v>
      </c>
      <c r="K1263" s="10" t="str">
        <f t="shared" si="331"/>
        <v>no</v>
      </c>
      <c r="L1263" t="s">
        <v>154</v>
      </c>
      <c r="M1263">
        <v>10726</v>
      </c>
      <c r="N1263">
        <v>4</v>
      </c>
      <c r="O1263" t="s">
        <v>745</v>
      </c>
      <c r="P1263" t="str">
        <f t="shared" si="332"/>
        <v>EASTC_10726_Chef Anton's Cajun Seasoning</v>
      </c>
      <c r="Q1263" t="str">
        <f t="shared" si="333"/>
        <v>10726</v>
      </c>
      <c r="R1263" t="str">
        <f t="shared" si="334"/>
        <v>10726</v>
      </c>
      <c r="S1263" t="str">
        <f t="shared" si="335"/>
        <v>Chef Anton's Cajun Seasoning</v>
      </c>
      <c r="T1263">
        <v>22</v>
      </c>
      <c r="U1263">
        <v>25</v>
      </c>
      <c r="V1263">
        <v>0</v>
      </c>
      <c r="W1263">
        <f t="shared" si="336"/>
        <v>550</v>
      </c>
      <c r="X1263" t="str">
        <f t="shared" si="337"/>
        <v>No</v>
      </c>
      <c r="Y1263" s="2">
        <v>35037</v>
      </c>
      <c r="Z1263" t="str">
        <f t="shared" si="323"/>
        <v/>
      </c>
      <c r="AA1263" t="str">
        <f t="shared" si="338"/>
        <v/>
      </c>
      <c r="AB1263" t="str" cm="1">
        <f t="array" ref="AB1263">_xlfn.IFS(Y1263&lt;DATE(1996,1,1),"",Y1263&lt;DATE(1996,4,1),"Q1",Y1263&lt;DATE(1996,7,1),"Q2",Y1263&gt;=DATE(1996,7,1),"")</f>
        <v/>
      </c>
    </row>
    <row r="1264" spans="1:28" ht="14.4" x14ac:dyDescent="0.55000000000000004">
      <c r="A1264" t="str">
        <f>VLOOKUP(L1264,Customers!$A$2:$B$92,2,FALSE)</f>
        <v>Eastern Connection</v>
      </c>
      <c r="B1264" t="str">
        <f>VLOOKUP(L1264,Customers!$A$2:$C$92,3,TRUE)</f>
        <v>Ann Devon</v>
      </c>
      <c r="C1264" t="str">
        <f t="shared" si="324"/>
        <v>Ann</v>
      </c>
      <c r="D1264" s="8" t="str">
        <f t="shared" si="325"/>
        <v>Devon</v>
      </c>
      <c r="E1264" s="8" t="str">
        <f t="shared" si="326"/>
        <v>Devon, Ann</v>
      </c>
      <c r="F1264" s="8" t="str">
        <f t="shared" si="327"/>
        <v>Devon, Ann</v>
      </c>
      <c r="G1264" s="8" t="str">
        <f t="shared" si="328"/>
        <v>not an outlier</v>
      </c>
      <c r="H1264" s="8" t="str">
        <f t="shared" si="329"/>
        <v>Not</v>
      </c>
      <c r="I1264" s="8" t="str">
        <f t="shared" si="339"/>
        <v>no</v>
      </c>
      <c r="J1264" s="10" t="str">
        <f t="shared" si="330"/>
        <v>no</v>
      </c>
      <c r="K1264" s="10" t="str">
        <f t="shared" si="331"/>
        <v>no</v>
      </c>
      <c r="L1264" t="s">
        <v>154</v>
      </c>
      <c r="M1264">
        <v>10726</v>
      </c>
      <c r="N1264">
        <v>11</v>
      </c>
      <c r="O1264" t="s">
        <v>683</v>
      </c>
      <c r="P1264" t="str">
        <f t="shared" si="332"/>
        <v>EASTC_10726_Queso Cabrales</v>
      </c>
      <c r="Q1264" t="str">
        <f t="shared" si="333"/>
        <v>10726</v>
      </c>
      <c r="R1264" t="str">
        <f t="shared" si="334"/>
        <v>10726</v>
      </c>
      <c r="S1264" t="str">
        <f t="shared" si="335"/>
        <v>Queso Cabrales</v>
      </c>
      <c r="T1264">
        <v>21</v>
      </c>
      <c r="U1264">
        <v>5</v>
      </c>
      <c r="V1264">
        <v>0</v>
      </c>
      <c r="W1264">
        <f t="shared" si="336"/>
        <v>105</v>
      </c>
      <c r="X1264" t="str">
        <f t="shared" si="337"/>
        <v>No</v>
      </c>
      <c r="Y1264" s="2">
        <v>35037</v>
      </c>
      <c r="Z1264" t="str">
        <f t="shared" si="323"/>
        <v/>
      </c>
      <c r="AA1264" t="str">
        <f t="shared" si="338"/>
        <v/>
      </c>
      <c r="AB1264" t="str" cm="1">
        <f t="array" ref="AB1264">_xlfn.IFS(Y1264&lt;DATE(1996,1,1),"",Y1264&lt;DATE(1996,4,1),"Q1",Y1264&lt;DATE(1996,7,1),"Q2",Y1264&gt;=DATE(1996,7,1),"")</f>
        <v/>
      </c>
    </row>
    <row r="1265" spans="1:28" ht="14.4" x14ac:dyDescent="0.55000000000000004">
      <c r="A1265" t="str">
        <f>VLOOKUP(L1265,Customers!$A$2:$B$92,2,FALSE)</f>
        <v>Reggiani Caseifici</v>
      </c>
      <c r="B1265" t="str">
        <f>VLOOKUP(L1265,Customers!$A$2:$C$92,3,TRUE)</f>
        <v>Maurizio Moroni</v>
      </c>
      <c r="C1265" t="str">
        <f t="shared" si="324"/>
        <v>Maurizio</v>
      </c>
      <c r="D1265" s="8" t="str">
        <f t="shared" si="325"/>
        <v>Moroni</v>
      </c>
      <c r="E1265" s="8" t="str">
        <f t="shared" si="326"/>
        <v>Moroni, Maurizio</v>
      </c>
      <c r="F1265" s="8" t="str">
        <f t="shared" si="327"/>
        <v>Moroni, Maurizio</v>
      </c>
      <c r="G1265" s="8" t="str">
        <f t="shared" si="328"/>
        <v>not an outlier</v>
      </c>
      <c r="H1265" s="8" t="str">
        <f t="shared" si="329"/>
        <v>Not</v>
      </c>
      <c r="I1265" s="8" t="str">
        <f t="shared" si="339"/>
        <v>no</v>
      </c>
      <c r="J1265" s="10" t="str">
        <f t="shared" si="330"/>
        <v>no</v>
      </c>
      <c r="K1265" s="10" t="str">
        <f t="shared" si="331"/>
        <v>no</v>
      </c>
      <c r="L1265" t="s">
        <v>496</v>
      </c>
      <c r="M1265">
        <v>10727</v>
      </c>
      <c r="N1265">
        <v>17</v>
      </c>
      <c r="O1265" t="s">
        <v>718</v>
      </c>
      <c r="P1265" t="str">
        <f t="shared" si="332"/>
        <v>REGGC_10727_Alice Mutton</v>
      </c>
      <c r="Q1265" t="str">
        <f t="shared" si="333"/>
        <v>10727</v>
      </c>
      <c r="R1265" t="str">
        <f t="shared" si="334"/>
        <v>10727</v>
      </c>
      <c r="S1265" t="str">
        <f t="shared" si="335"/>
        <v>Alice Mutton</v>
      </c>
      <c r="T1265">
        <v>39</v>
      </c>
      <c r="U1265">
        <v>20</v>
      </c>
      <c r="V1265">
        <v>0.05</v>
      </c>
      <c r="W1265">
        <f t="shared" si="336"/>
        <v>741</v>
      </c>
      <c r="X1265" t="str">
        <f t="shared" si="337"/>
        <v>No</v>
      </c>
      <c r="Y1265" s="2">
        <v>35037</v>
      </c>
      <c r="Z1265" t="str">
        <f t="shared" si="323"/>
        <v/>
      </c>
      <c r="AA1265" t="str">
        <f t="shared" si="338"/>
        <v/>
      </c>
      <c r="AB1265" t="str" cm="1">
        <f t="array" ref="AB1265">_xlfn.IFS(Y1265&lt;DATE(1996,1,1),"",Y1265&lt;DATE(1996,4,1),"Q1",Y1265&lt;DATE(1996,7,1),"Q2",Y1265&gt;=DATE(1996,7,1),"")</f>
        <v/>
      </c>
    </row>
    <row r="1266" spans="1:28" ht="14.4" x14ac:dyDescent="0.55000000000000004">
      <c r="A1266" t="str">
        <f>VLOOKUP(L1266,Customers!$A$2:$B$92,2,FALSE)</f>
        <v>Reggiani Caseifici</v>
      </c>
      <c r="B1266" t="str">
        <f>VLOOKUP(L1266,Customers!$A$2:$C$92,3,TRUE)</f>
        <v>Maurizio Moroni</v>
      </c>
      <c r="C1266" t="str">
        <f t="shared" si="324"/>
        <v>Maurizio</v>
      </c>
      <c r="D1266" s="8" t="str">
        <f t="shared" si="325"/>
        <v>Moroni</v>
      </c>
      <c r="E1266" s="8" t="str">
        <f t="shared" si="326"/>
        <v>Moroni, Maurizio</v>
      </c>
      <c r="F1266" s="8" t="str">
        <f t="shared" si="327"/>
        <v>Moroni, Maurizio</v>
      </c>
      <c r="G1266" s="8" t="str">
        <f t="shared" si="328"/>
        <v>not an outlier</v>
      </c>
      <c r="H1266" s="8" t="str">
        <f t="shared" si="329"/>
        <v>Not</v>
      </c>
      <c r="I1266" s="8" t="str">
        <f t="shared" si="339"/>
        <v>no</v>
      </c>
      <c r="J1266" s="10" t="str">
        <f t="shared" si="330"/>
        <v>no</v>
      </c>
      <c r="K1266" s="10" t="str">
        <f t="shared" si="331"/>
        <v>no</v>
      </c>
      <c r="L1266" t="s">
        <v>496</v>
      </c>
      <c r="M1266">
        <v>10727</v>
      </c>
      <c r="N1266">
        <v>56</v>
      </c>
      <c r="O1266" t="s">
        <v>716</v>
      </c>
      <c r="P1266" t="str">
        <f t="shared" si="332"/>
        <v>REGGC_10727_Gnocchi di nonna Alice</v>
      </c>
      <c r="Q1266" t="str">
        <f t="shared" si="333"/>
        <v>10727</v>
      </c>
      <c r="R1266" t="str">
        <f t="shared" si="334"/>
        <v>10727</v>
      </c>
      <c r="S1266" t="str">
        <f t="shared" si="335"/>
        <v>Gnocchi di nonna Alice</v>
      </c>
      <c r="T1266">
        <v>38</v>
      </c>
      <c r="U1266">
        <v>10</v>
      </c>
      <c r="V1266">
        <v>0.05</v>
      </c>
      <c r="W1266">
        <f t="shared" si="336"/>
        <v>361</v>
      </c>
      <c r="X1266" t="str">
        <f t="shared" si="337"/>
        <v>No</v>
      </c>
      <c r="Y1266" s="2">
        <v>35037</v>
      </c>
      <c r="Z1266" t="str">
        <f t="shared" si="323"/>
        <v/>
      </c>
      <c r="AA1266" t="str">
        <f t="shared" si="338"/>
        <v/>
      </c>
      <c r="AB1266" t="str" cm="1">
        <f t="array" ref="AB1266">_xlfn.IFS(Y1266&lt;DATE(1996,1,1),"",Y1266&lt;DATE(1996,4,1),"Q1",Y1266&lt;DATE(1996,7,1),"Q2",Y1266&gt;=DATE(1996,7,1),"")</f>
        <v/>
      </c>
    </row>
    <row r="1267" spans="1:28" ht="14.4" x14ac:dyDescent="0.55000000000000004">
      <c r="A1267" t="str">
        <f>VLOOKUP(L1267,Customers!$A$2:$B$92,2,FALSE)</f>
        <v>Reggiani Caseifici</v>
      </c>
      <c r="B1267" t="str">
        <f>VLOOKUP(L1267,Customers!$A$2:$C$92,3,TRUE)</f>
        <v>Maurizio Moroni</v>
      </c>
      <c r="C1267" t="str">
        <f t="shared" si="324"/>
        <v>Maurizio</v>
      </c>
      <c r="D1267" s="8" t="str">
        <f t="shared" si="325"/>
        <v>Moroni</v>
      </c>
      <c r="E1267" s="8" t="str">
        <f t="shared" si="326"/>
        <v>Moroni, Maurizio</v>
      </c>
      <c r="F1267" s="8" t="str">
        <f t="shared" si="327"/>
        <v>Moroni, Maurizio</v>
      </c>
      <c r="G1267" s="8" t="str">
        <f t="shared" si="328"/>
        <v>not an outlier</v>
      </c>
      <c r="H1267" s="8" t="str">
        <f t="shared" si="329"/>
        <v>Not</v>
      </c>
      <c r="I1267" s="8" t="str">
        <f t="shared" si="339"/>
        <v>no</v>
      </c>
      <c r="J1267" s="10" t="str">
        <f t="shared" si="330"/>
        <v>no</v>
      </c>
      <c r="K1267" s="10" t="str">
        <f t="shared" si="331"/>
        <v>no</v>
      </c>
      <c r="L1267" t="s">
        <v>496</v>
      </c>
      <c r="M1267">
        <v>10727</v>
      </c>
      <c r="N1267">
        <v>59</v>
      </c>
      <c r="O1267" t="s">
        <v>704</v>
      </c>
      <c r="P1267" t="str">
        <f t="shared" si="332"/>
        <v>REGGC_10727_Raclette Courdavault</v>
      </c>
      <c r="Q1267" t="str">
        <f t="shared" si="333"/>
        <v>10727</v>
      </c>
      <c r="R1267" t="str">
        <f t="shared" si="334"/>
        <v>10727</v>
      </c>
      <c r="S1267" t="str">
        <f t="shared" si="335"/>
        <v>Raclette Courdavault</v>
      </c>
      <c r="T1267">
        <v>55</v>
      </c>
      <c r="U1267">
        <v>10</v>
      </c>
      <c r="V1267">
        <v>0.05</v>
      </c>
      <c r="W1267">
        <f t="shared" si="336"/>
        <v>522.5</v>
      </c>
      <c r="X1267" t="str">
        <f t="shared" si="337"/>
        <v>No</v>
      </c>
      <c r="Y1267" s="2">
        <v>35037</v>
      </c>
      <c r="Z1267" t="str">
        <f t="shared" si="323"/>
        <v/>
      </c>
      <c r="AA1267" t="str">
        <f t="shared" si="338"/>
        <v/>
      </c>
      <c r="AB1267" t="str" cm="1">
        <f t="array" ref="AB1267">_xlfn.IFS(Y1267&lt;DATE(1996,1,1),"",Y1267&lt;DATE(1996,4,1),"Q1",Y1267&lt;DATE(1996,7,1),"Q2",Y1267&gt;=DATE(1996,7,1),"")</f>
        <v/>
      </c>
    </row>
    <row r="1268" spans="1:28" ht="14.4" x14ac:dyDescent="0.55000000000000004">
      <c r="A1268" t="str">
        <f>VLOOKUP(L1268,Customers!$A$2:$B$92,2,FALSE)</f>
        <v>Queen Cozinha</v>
      </c>
      <c r="B1268" t="str">
        <f>VLOOKUP(L1268,Customers!$A$2:$C$92,3,TRUE)</f>
        <v>Lúcia Carvalho</v>
      </c>
      <c r="C1268" t="str">
        <f t="shared" si="324"/>
        <v>Lúcia</v>
      </c>
      <c r="D1268" s="8" t="str">
        <f t="shared" si="325"/>
        <v>Carvalho</v>
      </c>
      <c r="E1268" s="8" t="str">
        <f t="shared" si="326"/>
        <v>Carvalho, Lúcia</v>
      </c>
      <c r="F1268" s="8" t="str">
        <f t="shared" si="327"/>
        <v>Carvalho, Lúcia</v>
      </c>
      <c r="G1268" s="8" t="str">
        <f t="shared" si="328"/>
        <v>not an outlier</v>
      </c>
      <c r="H1268" s="8" t="str">
        <f t="shared" si="329"/>
        <v>Not</v>
      </c>
      <c r="I1268" s="8" t="str">
        <f t="shared" si="339"/>
        <v>no</v>
      </c>
      <c r="J1268" s="10" t="str">
        <f t="shared" si="330"/>
        <v>no</v>
      </c>
      <c r="K1268" s="10" t="str">
        <f t="shared" si="331"/>
        <v>no</v>
      </c>
      <c r="L1268" t="s">
        <v>469</v>
      </c>
      <c r="M1268">
        <v>10728</v>
      </c>
      <c r="N1268">
        <v>30</v>
      </c>
      <c r="O1268" t="s">
        <v>717</v>
      </c>
      <c r="P1268" t="str">
        <f t="shared" si="332"/>
        <v>QUEEN_10728_Nord-Ost Matjeshering</v>
      </c>
      <c r="Q1268" t="str">
        <f t="shared" si="333"/>
        <v>10728</v>
      </c>
      <c r="R1268" t="str">
        <f t="shared" si="334"/>
        <v>10728</v>
      </c>
      <c r="S1268" t="str">
        <f t="shared" si="335"/>
        <v>Nord-Ost Matjeshering</v>
      </c>
      <c r="T1268">
        <v>25.89</v>
      </c>
      <c r="U1268">
        <v>15</v>
      </c>
      <c r="V1268">
        <v>0</v>
      </c>
      <c r="W1268">
        <f t="shared" si="336"/>
        <v>388.35</v>
      </c>
      <c r="X1268" t="str">
        <f t="shared" si="337"/>
        <v>No</v>
      </c>
      <c r="Y1268" s="2">
        <v>35038</v>
      </c>
      <c r="Z1268" t="str">
        <f t="shared" si="323"/>
        <v/>
      </c>
      <c r="AA1268" t="str">
        <f t="shared" si="338"/>
        <v/>
      </c>
      <c r="AB1268" t="str" cm="1">
        <f t="array" ref="AB1268">_xlfn.IFS(Y1268&lt;DATE(1996,1,1),"",Y1268&lt;DATE(1996,4,1),"Q1",Y1268&lt;DATE(1996,7,1),"Q2",Y1268&gt;=DATE(1996,7,1),"")</f>
        <v/>
      </c>
    </row>
    <row r="1269" spans="1:28" ht="14.4" x14ac:dyDescent="0.55000000000000004">
      <c r="A1269" t="str">
        <f>VLOOKUP(L1269,Customers!$A$2:$B$92,2,FALSE)</f>
        <v>Queen Cozinha</v>
      </c>
      <c r="B1269" t="str">
        <f>VLOOKUP(L1269,Customers!$A$2:$C$92,3,TRUE)</f>
        <v>Lúcia Carvalho</v>
      </c>
      <c r="C1269" t="str">
        <f t="shared" si="324"/>
        <v>Lúcia</v>
      </c>
      <c r="D1269" s="8" t="str">
        <f t="shared" si="325"/>
        <v>Carvalho</v>
      </c>
      <c r="E1269" s="8" t="str">
        <f t="shared" si="326"/>
        <v>Carvalho, Lúcia</v>
      </c>
      <c r="F1269" s="8" t="str">
        <f t="shared" si="327"/>
        <v>Carvalho, Lúcia</v>
      </c>
      <c r="G1269" s="8" t="str">
        <f t="shared" si="328"/>
        <v>not an outlier</v>
      </c>
      <c r="H1269" s="8" t="str">
        <f t="shared" si="329"/>
        <v>Not</v>
      </c>
      <c r="I1269" s="8" t="str">
        <f t="shared" si="339"/>
        <v>no</v>
      </c>
      <c r="J1269" s="10" t="str">
        <f t="shared" si="330"/>
        <v>no</v>
      </c>
      <c r="K1269" s="10" t="str">
        <f t="shared" si="331"/>
        <v>no</v>
      </c>
      <c r="L1269" t="s">
        <v>469</v>
      </c>
      <c r="M1269">
        <v>10728</v>
      </c>
      <c r="N1269">
        <v>40</v>
      </c>
      <c r="O1269" t="s">
        <v>720</v>
      </c>
      <c r="P1269" t="str">
        <f t="shared" si="332"/>
        <v>QUEEN_10728_Boston Crab Meat</v>
      </c>
      <c r="Q1269" t="str">
        <f t="shared" si="333"/>
        <v>10728</v>
      </c>
      <c r="R1269" t="str">
        <f t="shared" si="334"/>
        <v>10728</v>
      </c>
      <c r="S1269" t="str">
        <f t="shared" si="335"/>
        <v>Boston Crab Meat</v>
      </c>
      <c r="T1269">
        <v>18.399999999999999</v>
      </c>
      <c r="U1269">
        <v>6</v>
      </c>
      <c r="V1269">
        <v>0</v>
      </c>
      <c r="W1269">
        <f t="shared" si="336"/>
        <v>110.39999999999999</v>
      </c>
      <c r="X1269" t="str">
        <f t="shared" si="337"/>
        <v>No</v>
      </c>
      <c r="Y1269" s="2">
        <v>35038</v>
      </c>
      <c r="Z1269" t="str">
        <f t="shared" si="323"/>
        <v/>
      </c>
      <c r="AA1269" t="str">
        <f t="shared" si="338"/>
        <v/>
      </c>
      <c r="AB1269" t="str" cm="1">
        <f t="array" ref="AB1269">_xlfn.IFS(Y1269&lt;DATE(1996,1,1),"",Y1269&lt;DATE(1996,4,1),"Q1",Y1269&lt;DATE(1996,7,1),"Q2",Y1269&gt;=DATE(1996,7,1),"")</f>
        <v/>
      </c>
    </row>
    <row r="1270" spans="1:28" ht="14.4" x14ac:dyDescent="0.55000000000000004">
      <c r="A1270" t="str">
        <f>VLOOKUP(L1270,Customers!$A$2:$B$92,2,FALSE)</f>
        <v>Queen Cozinha</v>
      </c>
      <c r="B1270" t="str">
        <f>VLOOKUP(L1270,Customers!$A$2:$C$92,3,TRUE)</f>
        <v>Lúcia Carvalho</v>
      </c>
      <c r="C1270" t="str">
        <f t="shared" si="324"/>
        <v>Lúcia</v>
      </c>
      <c r="D1270" s="8" t="str">
        <f t="shared" si="325"/>
        <v>Carvalho</v>
      </c>
      <c r="E1270" s="8" t="str">
        <f t="shared" si="326"/>
        <v>Carvalho, Lúcia</v>
      </c>
      <c r="F1270" s="8" t="str">
        <f t="shared" si="327"/>
        <v>Carvalho, Lúcia</v>
      </c>
      <c r="G1270" s="8" t="str">
        <f t="shared" si="328"/>
        <v>not an outlier</v>
      </c>
      <c r="H1270" s="8" t="str">
        <f t="shared" si="329"/>
        <v>Not</v>
      </c>
      <c r="I1270" s="8" t="str">
        <f t="shared" si="339"/>
        <v>no</v>
      </c>
      <c r="J1270" s="10" t="str">
        <f t="shared" si="330"/>
        <v>no</v>
      </c>
      <c r="K1270" s="10" t="str">
        <f t="shared" si="331"/>
        <v>no</v>
      </c>
      <c r="L1270" t="s">
        <v>469</v>
      </c>
      <c r="M1270">
        <v>10728</v>
      </c>
      <c r="N1270">
        <v>55</v>
      </c>
      <c r="O1270" t="s">
        <v>699</v>
      </c>
      <c r="P1270" t="str">
        <f t="shared" si="332"/>
        <v>QUEEN_10728_Pâté chinois</v>
      </c>
      <c r="Q1270" t="str">
        <f t="shared" si="333"/>
        <v>10728</v>
      </c>
      <c r="R1270" t="str">
        <f t="shared" si="334"/>
        <v>10728</v>
      </c>
      <c r="S1270" t="str">
        <f t="shared" si="335"/>
        <v>Pâté chinois</v>
      </c>
      <c r="T1270">
        <v>24</v>
      </c>
      <c r="U1270">
        <v>12</v>
      </c>
      <c r="V1270">
        <v>0</v>
      </c>
      <c r="W1270">
        <f t="shared" si="336"/>
        <v>288</v>
      </c>
      <c r="X1270" t="str">
        <f t="shared" si="337"/>
        <v>No</v>
      </c>
      <c r="Y1270" s="2">
        <v>35038</v>
      </c>
      <c r="Z1270" t="str">
        <f t="shared" si="323"/>
        <v/>
      </c>
      <c r="AA1270" t="str">
        <f t="shared" si="338"/>
        <v/>
      </c>
      <c r="AB1270" t="str" cm="1">
        <f t="array" ref="AB1270">_xlfn.IFS(Y1270&lt;DATE(1996,1,1),"",Y1270&lt;DATE(1996,4,1),"Q1",Y1270&lt;DATE(1996,7,1),"Q2",Y1270&gt;=DATE(1996,7,1),"")</f>
        <v/>
      </c>
    </row>
    <row r="1271" spans="1:28" ht="14.4" x14ac:dyDescent="0.55000000000000004">
      <c r="A1271" t="str">
        <f>VLOOKUP(L1271,Customers!$A$2:$B$92,2,FALSE)</f>
        <v>Queen Cozinha</v>
      </c>
      <c r="B1271" t="str">
        <f>VLOOKUP(L1271,Customers!$A$2:$C$92,3,TRUE)</f>
        <v>Lúcia Carvalho</v>
      </c>
      <c r="C1271" t="str">
        <f t="shared" si="324"/>
        <v>Lúcia</v>
      </c>
      <c r="D1271" s="8" t="str">
        <f t="shared" si="325"/>
        <v>Carvalho</v>
      </c>
      <c r="E1271" s="8" t="str">
        <f t="shared" si="326"/>
        <v>Carvalho, Lúcia</v>
      </c>
      <c r="F1271" s="8" t="str">
        <f t="shared" si="327"/>
        <v>Carvalho, Lúcia</v>
      </c>
      <c r="G1271" s="8" t="str">
        <f t="shared" si="328"/>
        <v>not an outlier</v>
      </c>
      <c r="H1271" s="8" t="str">
        <f t="shared" si="329"/>
        <v>Not</v>
      </c>
      <c r="I1271" s="8" t="str">
        <f t="shared" si="339"/>
        <v>no</v>
      </c>
      <c r="J1271" s="10" t="str">
        <f t="shared" si="330"/>
        <v>no</v>
      </c>
      <c r="K1271" s="10" t="str">
        <f t="shared" si="331"/>
        <v>no</v>
      </c>
      <c r="L1271" t="s">
        <v>469</v>
      </c>
      <c r="M1271">
        <v>10728</v>
      </c>
      <c r="N1271">
        <v>60</v>
      </c>
      <c r="O1271" t="s">
        <v>694</v>
      </c>
      <c r="P1271" t="str">
        <f t="shared" si="332"/>
        <v>QUEEN_10728_Camembert Pierrot</v>
      </c>
      <c r="Q1271" t="str">
        <f t="shared" si="333"/>
        <v>10728</v>
      </c>
      <c r="R1271" t="str">
        <f t="shared" si="334"/>
        <v>10728</v>
      </c>
      <c r="S1271" t="str">
        <f t="shared" si="335"/>
        <v>Camembert Pierrot</v>
      </c>
      <c r="T1271">
        <v>34</v>
      </c>
      <c r="U1271">
        <v>15</v>
      </c>
      <c r="V1271">
        <v>0</v>
      </c>
      <c r="W1271">
        <f t="shared" si="336"/>
        <v>510</v>
      </c>
      <c r="X1271" t="str">
        <f t="shared" si="337"/>
        <v>No</v>
      </c>
      <c r="Y1271" s="2">
        <v>35038</v>
      </c>
      <c r="Z1271" t="str">
        <f t="shared" si="323"/>
        <v/>
      </c>
      <c r="AA1271" t="str">
        <f t="shared" si="338"/>
        <v/>
      </c>
      <c r="AB1271" t="str" cm="1">
        <f t="array" ref="AB1271">_xlfn.IFS(Y1271&lt;DATE(1996,1,1),"",Y1271&lt;DATE(1996,4,1),"Q1",Y1271&lt;DATE(1996,7,1),"Q2",Y1271&gt;=DATE(1996,7,1),"")</f>
        <v/>
      </c>
    </row>
    <row r="1272" spans="1:28" ht="14.4" x14ac:dyDescent="0.55000000000000004">
      <c r="A1272" t="str">
        <f>VLOOKUP(L1272,Customers!$A$2:$B$92,2,FALSE)</f>
        <v>LINO-Delicateses</v>
      </c>
      <c r="B1272" t="str">
        <f>VLOOKUP(L1272,Customers!$A$2:$C$92,3,TRUE)</f>
        <v>Felipe Izquierdo</v>
      </c>
      <c r="C1272" t="str">
        <f t="shared" si="324"/>
        <v>Felipe</v>
      </c>
      <c r="D1272" s="8" t="str">
        <f t="shared" si="325"/>
        <v>Izquierdo</v>
      </c>
      <c r="E1272" s="8" t="str">
        <f t="shared" si="326"/>
        <v>Izquierdo, Felipe</v>
      </c>
      <c r="F1272" s="8" t="str">
        <f t="shared" si="327"/>
        <v>Izquierdo, Felipe</v>
      </c>
      <c r="G1272" s="8" t="str">
        <f t="shared" si="328"/>
        <v>not an outlier</v>
      </c>
      <c r="H1272" s="8" t="str">
        <f t="shared" si="329"/>
        <v>Not</v>
      </c>
      <c r="I1272" s="8" t="str">
        <f t="shared" si="339"/>
        <v>no</v>
      </c>
      <c r="J1272" s="10" t="str">
        <f t="shared" si="330"/>
        <v>no</v>
      </c>
      <c r="K1272" s="10" t="str">
        <f t="shared" si="331"/>
        <v>no</v>
      </c>
      <c r="L1272" t="s">
        <v>363</v>
      </c>
      <c r="M1272">
        <v>10729</v>
      </c>
      <c r="N1272">
        <v>1</v>
      </c>
      <c r="O1272" t="s">
        <v>735</v>
      </c>
      <c r="P1272" t="str">
        <f t="shared" si="332"/>
        <v>LINOD_10729_Chai</v>
      </c>
      <c r="Q1272" t="str">
        <f t="shared" si="333"/>
        <v>10729</v>
      </c>
      <c r="R1272" t="str">
        <f t="shared" si="334"/>
        <v>10729</v>
      </c>
      <c r="S1272" t="str">
        <f t="shared" si="335"/>
        <v>Chai</v>
      </c>
      <c r="T1272">
        <v>18</v>
      </c>
      <c r="U1272">
        <v>50</v>
      </c>
      <c r="V1272">
        <v>0</v>
      </c>
      <c r="W1272">
        <f t="shared" si="336"/>
        <v>900</v>
      </c>
      <c r="X1272" t="str">
        <f t="shared" si="337"/>
        <v>No</v>
      </c>
      <c r="Y1272" s="2">
        <v>35038</v>
      </c>
      <c r="Z1272" t="str">
        <f t="shared" si="323"/>
        <v/>
      </c>
      <c r="AA1272" t="str">
        <f t="shared" si="338"/>
        <v/>
      </c>
      <c r="AB1272" t="str" cm="1">
        <f t="array" ref="AB1272">_xlfn.IFS(Y1272&lt;DATE(1996,1,1),"",Y1272&lt;DATE(1996,4,1),"Q1",Y1272&lt;DATE(1996,7,1),"Q2",Y1272&gt;=DATE(1996,7,1),"")</f>
        <v/>
      </c>
    </row>
    <row r="1273" spans="1:28" ht="14.4" x14ac:dyDescent="0.55000000000000004">
      <c r="A1273" t="str">
        <f>VLOOKUP(L1273,Customers!$A$2:$B$92,2,FALSE)</f>
        <v>LINO-Delicateses</v>
      </c>
      <c r="B1273" t="str">
        <f>VLOOKUP(L1273,Customers!$A$2:$C$92,3,TRUE)</f>
        <v>Felipe Izquierdo</v>
      </c>
      <c r="C1273" t="str">
        <f t="shared" si="324"/>
        <v>Felipe</v>
      </c>
      <c r="D1273" s="8" t="str">
        <f t="shared" si="325"/>
        <v>Izquierdo</v>
      </c>
      <c r="E1273" s="8" t="str">
        <f t="shared" si="326"/>
        <v>Izquierdo, Felipe</v>
      </c>
      <c r="F1273" s="8" t="str">
        <f t="shared" si="327"/>
        <v>Izquierdo, Felipe</v>
      </c>
      <c r="G1273" s="8" t="str">
        <f t="shared" si="328"/>
        <v>not an outlier</v>
      </c>
      <c r="H1273" s="8" t="str">
        <f t="shared" si="329"/>
        <v>Not</v>
      </c>
      <c r="I1273" s="8" t="str">
        <f t="shared" si="339"/>
        <v>no</v>
      </c>
      <c r="J1273" s="10" t="str">
        <f t="shared" si="330"/>
        <v>no</v>
      </c>
      <c r="K1273" s="10" t="str">
        <f t="shared" si="331"/>
        <v>no</v>
      </c>
      <c r="L1273" t="s">
        <v>363</v>
      </c>
      <c r="M1273">
        <v>10729</v>
      </c>
      <c r="N1273">
        <v>21</v>
      </c>
      <c r="O1273" t="s">
        <v>710</v>
      </c>
      <c r="P1273" t="str">
        <f t="shared" si="332"/>
        <v>LINOD_10729_Sir Rodney's Scones</v>
      </c>
      <c r="Q1273" t="str">
        <f t="shared" si="333"/>
        <v>10729</v>
      </c>
      <c r="R1273" t="str">
        <f t="shared" si="334"/>
        <v>10729</v>
      </c>
      <c r="S1273" t="str">
        <f t="shared" si="335"/>
        <v>Sir Rodney's Scones</v>
      </c>
      <c r="T1273">
        <v>10</v>
      </c>
      <c r="U1273">
        <v>30</v>
      </c>
      <c r="V1273">
        <v>0</v>
      </c>
      <c r="W1273">
        <f t="shared" si="336"/>
        <v>300</v>
      </c>
      <c r="X1273" t="str">
        <f t="shared" si="337"/>
        <v>No</v>
      </c>
      <c r="Y1273" s="2">
        <v>35038</v>
      </c>
      <c r="Z1273" t="str">
        <f t="shared" si="323"/>
        <v/>
      </c>
      <c r="AA1273" t="str">
        <f t="shared" si="338"/>
        <v/>
      </c>
      <c r="AB1273" t="str" cm="1">
        <f t="array" ref="AB1273">_xlfn.IFS(Y1273&lt;DATE(1996,1,1),"",Y1273&lt;DATE(1996,4,1),"Q1",Y1273&lt;DATE(1996,7,1),"Q2",Y1273&gt;=DATE(1996,7,1),"")</f>
        <v/>
      </c>
    </row>
    <row r="1274" spans="1:28" ht="14.4" x14ac:dyDescent="0.55000000000000004">
      <c r="A1274" t="str">
        <f>VLOOKUP(L1274,Customers!$A$2:$B$92,2,FALSE)</f>
        <v>LINO-Delicateses</v>
      </c>
      <c r="B1274" t="str">
        <f>VLOOKUP(L1274,Customers!$A$2:$C$92,3,TRUE)</f>
        <v>Felipe Izquierdo</v>
      </c>
      <c r="C1274" t="str">
        <f t="shared" si="324"/>
        <v>Felipe</v>
      </c>
      <c r="D1274" s="8" t="str">
        <f t="shared" si="325"/>
        <v>Izquierdo</v>
      </c>
      <c r="E1274" s="8" t="str">
        <f t="shared" si="326"/>
        <v>Izquierdo, Felipe</v>
      </c>
      <c r="F1274" s="8" t="str">
        <f t="shared" si="327"/>
        <v>Izquierdo, Felipe</v>
      </c>
      <c r="G1274" s="8" t="str">
        <f t="shared" si="328"/>
        <v>not an outlier</v>
      </c>
      <c r="H1274" s="8" t="str">
        <f t="shared" si="329"/>
        <v>Not</v>
      </c>
      <c r="I1274" s="8" t="str">
        <f t="shared" si="339"/>
        <v>no</v>
      </c>
      <c r="J1274" s="10" t="str">
        <f t="shared" si="330"/>
        <v>no</v>
      </c>
      <c r="K1274" s="10" t="str">
        <f t="shared" si="331"/>
        <v>no</v>
      </c>
      <c r="L1274" t="s">
        <v>363</v>
      </c>
      <c r="M1274">
        <v>10729</v>
      </c>
      <c r="N1274">
        <v>50</v>
      </c>
      <c r="O1274" t="s">
        <v>755</v>
      </c>
      <c r="P1274" t="str">
        <f t="shared" si="332"/>
        <v>LINOD_10729_Valkoinen suklaa</v>
      </c>
      <c r="Q1274" t="str">
        <f t="shared" si="333"/>
        <v>10729</v>
      </c>
      <c r="R1274" t="str">
        <f t="shared" si="334"/>
        <v>10729</v>
      </c>
      <c r="S1274" t="str">
        <f t="shared" si="335"/>
        <v>Valkoinen suklaa</v>
      </c>
      <c r="T1274">
        <v>16.25</v>
      </c>
      <c r="U1274">
        <v>40</v>
      </c>
      <c r="V1274">
        <v>0</v>
      </c>
      <c r="W1274">
        <f t="shared" si="336"/>
        <v>650</v>
      </c>
      <c r="X1274" t="str">
        <f t="shared" si="337"/>
        <v>No</v>
      </c>
      <c r="Y1274" s="2">
        <v>35038</v>
      </c>
      <c r="Z1274" t="str">
        <f t="shared" si="323"/>
        <v/>
      </c>
      <c r="AA1274" t="str">
        <f t="shared" si="338"/>
        <v/>
      </c>
      <c r="AB1274" t="str" cm="1">
        <f t="array" ref="AB1274">_xlfn.IFS(Y1274&lt;DATE(1996,1,1),"",Y1274&lt;DATE(1996,4,1),"Q1",Y1274&lt;DATE(1996,7,1),"Q2",Y1274&gt;=DATE(1996,7,1),"")</f>
        <v/>
      </c>
    </row>
    <row r="1275" spans="1:28" ht="14.4" x14ac:dyDescent="0.55000000000000004">
      <c r="A1275" t="str">
        <f>VLOOKUP(L1275,Customers!$A$2:$B$92,2,FALSE)</f>
        <v>Bon app'</v>
      </c>
      <c r="B1275" t="str">
        <f>VLOOKUP(L1275,Customers!$A$2:$C$92,3,TRUE)</f>
        <v>Laurence Lebihan</v>
      </c>
      <c r="C1275" t="str">
        <f t="shared" si="324"/>
        <v>Laurence</v>
      </c>
      <c r="D1275" s="8" t="str">
        <f t="shared" si="325"/>
        <v>Lebihan</v>
      </c>
      <c r="E1275" s="8" t="str">
        <f t="shared" si="326"/>
        <v>Lebihan, Laurence</v>
      </c>
      <c r="F1275" s="8" t="str">
        <f t="shared" si="327"/>
        <v>Lebihan, Laurence</v>
      </c>
      <c r="G1275" s="8" t="str">
        <f t="shared" si="328"/>
        <v>not an outlier</v>
      </c>
      <c r="H1275" s="8" t="str">
        <f t="shared" si="329"/>
        <v>Not</v>
      </c>
      <c r="I1275" s="8" t="str">
        <f t="shared" si="339"/>
        <v>no</v>
      </c>
      <c r="J1275" s="10" t="str">
        <f t="shared" si="330"/>
        <v>no</v>
      </c>
      <c r="K1275" s="10" t="str">
        <f t="shared" si="331"/>
        <v>no</v>
      </c>
      <c r="L1275" t="s">
        <v>77</v>
      </c>
      <c r="M1275">
        <v>10730</v>
      </c>
      <c r="N1275">
        <v>16</v>
      </c>
      <c r="O1275" t="s">
        <v>702</v>
      </c>
      <c r="P1275" t="str">
        <f t="shared" si="332"/>
        <v>BONAP_10730_Pavlova</v>
      </c>
      <c r="Q1275" t="str">
        <f t="shared" si="333"/>
        <v>10730</v>
      </c>
      <c r="R1275" t="str">
        <f t="shared" si="334"/>
        <v>10730</v>
      </c>
      <c r="S1275" t="str">
        <f t="shared" si="335"/>
        <v>Pavlova</v>
      </c>
      <c r="T1275">
        <v>17.45</v>
      </c>
      <c r="U1275">
        <v>15</v>
      </c>
      <c r="V1275">
        <v>0.05</v>
      </c>
      <c r="W1275">
        <f t="shared" si="336"/>
        <v>248.66249999999999</v>
      </c>
      <c r="X1275" t="str">
        <f t="shared" si="337"/>
        <v>No</v>
      </c>
      <c r="Y1275" s="2">
        <v>35039</v>
      </c>
      <c r="Z1275" t="str">
        <f t="shared" si="323"/>
        <v/>
      </c>
      <c r="AA1275" t="str">
        <f t="shared" si="338"/>
        <v/>
      </c>
      <c r="AB1275" t="str" cm="1">
        <f t="array" ref="AB1275">_xlfn.IFS(Y1275&lt;DATE(1996,1,1),"",Y1275&lt;DATE(1996,4,1),"Q1",Y1275&lt;DATE(1996,7,1),"Q2",Y1275&gt;=DATE(1996,7,1),"")</f>
        <v/>
      </c>
    </row>
    <row r="1276" spans="1:28" ht="14.4" x14ac:dyDescent="0.55000000000000004">
      <c r="A1276" t="str">
        <f>VLOOKUP(L1276,Customers!$A$2:$B$92,2,FALSE)</f>
        <v>Bon app'</v>
      </c>
      <c r="B1276" t="str">
        <f>VLOOKUP(L1276,Customers!$A$2:$C$92,3,TRUE)</f>
        <v>Laurence Lebihan</v>
      </c>
      <c r="C1276" t="str">
        <f t="shared" si="324"/>
        <v>Laurence</v>
      </c>
      <c r="D1276" s="8" t="str">
        <f t="shared" si="325"/>
        <v>Lebihan</v>
      </c>
      <c r="E1276" s="8" t="str">
        <f t="shared" si="326"/>
        <v>Lebihan, Laurence</v>
      </c>
      <c r="F1276" s="8" t="str">
        <f t="shared" si="327"/>
        <v>Lebihan, Laurence</v>
      </c>
      <c r="G1276" s="8" t="str">
        <f t="shared" si="328"/>
        <v>not an outlier</v>
      </c>
      <c r="H1276" s="8" t="str">
        <f t="shared" si="329"/>
        <v>Not</v>
      </c>
      <c r="I1276" s="8" t="str">
        <f t="shared" si="339"/>
        <v>no</v>
      </c>
      <c r="J1276" s="10" t="str">
        <f t="shared" si="330"/>
        <v>no</v>
      </c>
      <c r="K1276" s="10" t="str">
        <f t="shared" si="331"/>
        <v>no</v>
      </c>
      <c r="L1276" t="s">
        <v>77</v>
      </c>
      <c r="M1276">
        <v>10730</v>
      </c>
      <c r="N1276">
        <v>31</v>
      </c>
      <c r="O1276" t="s">
        <v>695</v>
      </c>
      <c r="P1276" t="str">
        <f t="shared" si="332"/>
        <v>BONAP_10730_Gorgonzola Telino</v>
      </c>
      <c r="Q1276" t="str">
        <f t="shared" si="333"/>
        <v>10730</v>
      </c>
      <c r="R1276" t="str">
        <f t="shared" si="334"/>
        <v>10730</v>
      </c>
      <c r="S1276" t="str">
        <f t="shared" si="335"/>
        <v>Gorgonzola Telino</v>
      </c>
      <c r="T1276">
        <v>12.5</v>
      </c>
      <c r="U1276">
        <v>3</v>
      </c>
      <c r="V1276">
        <v>0.05</v>
      </c>
      <c r="W1276">
        <f t="shared" si="336"/>
        <v>35.625</v>
      </c>
      <c r="X1276" t="str">
        <f t="shared" si="337"/>
        <v>No</v>
      </c>
      <c r="Y1276" s="2">
        <v>35039</v>
      </c>
      <c r="Z1276" t="str">
        <f t="shared" si="323"/>
        <v/>
      </c>
      <c r="AA1276" t="str">
        <f t="shared" si="338"/>
        <v/>
      </c>
      <c r="AB1276" t="str" cm="1">
        <f t="array" ref="AB1276">_xlfn.IFS(Y1276&lt;DATE(1996,1,1),"",Y1276&lt;DATE(1996,4,1),"Q1",Y1276&lt;DATE(1996,7,1),"Q2",Y1276&gt;=DATE(1996,7,1),"")</f>
        <v/>
      </c>
    </row>
    <row r="1277" spans="1:28" ht="14.4" x14ac:dyDescent="0.55000000000000004">
      <c r="A1277" t="str">
        <f>VLOOKUP(L1277,Customers!$A$2:$B$92,2,FALSE)</f>
        <v>Bon app'</v>
      </c>
      <c r="B1277" t="str">
        <f>VLOOKUP(L1277,Customers!$A$2:$C$92,3,TRUE)</f>
        <v>Laurence Lebihan</v>
      </c>
      <c r="C1277" t="str">
        <f t="shared" si="324"/>
        <v>Laurence</v>
      </c>
      <c r="D1277" s="8" t="str">
        <f t="shared" si="325"/>
        <v>Lebihan</v>
      </c>
      <c r="E1277" s="8" t="str">
        <f t="shared" si="326"/>
        <v>Lebihan, Laurence</v>
      </c>
      <c r="F1277" s="8" t="str">
        <f t="shared" si="327"/>
        <v>Lebihan, Laurence</v>
      </c>
      <c r="G1277" s="8" t="str">
        <f t="shared" si="328"/>
        <v>not an outlier</v>
      </c>
      <c r="H1277" s="8" t="str">
        <f t="shared" si="329"/>
        <v>Not</v>
      </c>
      <c r="I1277" s="8" t="str">
        <f t="shared" si="339"/>
        <v>no</v>
      </c>
      <c r="J1277" s="10" t="str">
        <f t="shared" si="330"/>
        <v>no</v>
      </c>
      <c r="K1277" s="10" t="str">
        <f t="shared" si="331"/>
        <v>no</v>
      </c>
      <c r="L1277" t="s">
        <v>77</v>
      </c>
      <c r="M1277">
        <v>10730</v>
      </c>
      <c r="N1277">
        <v>65</v>
      </c>
      <c r="O1277" t="s">
        <v>689</v>
      </c>
      <c r="P1277" t="str">
        <f t="shared" si="332"/>
        <v>BONAP_10730_Louisiana Fiery Hot Pepper Sauce</v>
      </c>
      <c r="Q1277" t="str">
        <f t="shared" si="333"/>
        <v>10730</v>
      </c>
      <c r="R1277" t="str">
        <f t="shared" si="334"/>
        <v>10730</v>
      </c>
      <c r="S1277" t="str">
        <f t="shared" si="335"/>
        <v>Louisiana Fiery Hot Pepper Sauce</v>
      </c>
      <c r="T1277">
        <v>21.05</v>
      </c>
      <c r="U1277">
        <v>10</v>
      </c>
      <c r="V1277">
        <v>0.05</v>
      </c>
      <c r="W1277">
        <f t="shared" si="336"/>
        <v>199.97499999999999</v>
      </c>
      <c r="X1277" t="str">
        <f t="shared" si="337"/>
        <v>No</v>
      </c>
      <c r="Y1277" s="2">
        <v>35039</v>
      </c>
      <c r="Z1277" t="str">
        <f t="shared" si="323"/>
        <v/>
      </c>
      <c r="AA1277" t="str">
        <f t="shared" si="338"/>
        <v/>
      </c>
      <c r="AB1277" t="str" cm="1">
        <f t="array" ref="AB1277">_xlfn.IFS(Y1277&lt;DATE(1996,1,1),"",Y1277&lt;DATE(1996,4,1),"Q1",Y1277&lt;DATE(1996,7,1),"Q2",Y1277&gt;=DATE(1996,7,1),"")</f>
        <v/>
      </c>
    </row>
    <row r="1278" spans="1:28" ht="14.4" x14ac:dyDescent="0.55000000000000004">
      <c r="A1278" t="str">
        <f>VLOOKUP(L1278,Customers!$A$2:$B$92,2,FALSE)</f>
        <v>Chop-suey Chinese</v>
      </c>
      <c r="B1278" t="str">
        <f>VLOOKUP(L1278,Customers!$A$2:$C$92,3,TRUE)</f>
        <v>Yang Wang</v>
      </c>
      <c r="C1278" t="str">
        <f t="shared" si="324"/>
        <v>Yang</v>
      </c>
      <c r="D1278" s="8" t="str">
        <f t="shared" si="325"/>
        <v>Wang</v>
      </c>
      <c r="E1278" s="8" t="str">
        <f t="shared" si="326"/>
        <v>Wang, Yang</v>
      </c>
      <c r="F1278" s="8" t="str">
        <f t="shared" si="327"/>
        <v>Wang, Yang</v>
      </c>
      <c r="G1278" s="8" t="str">
        <f t="shared" si="328"/>
        <v>not an outlier</v>
      </c>
      <c r="H1278" s="8" t="str">
        <f t="shared" si="329"/>
        <v>Not</v>
      </c>
      <c r="I1278" s="8" t="str">
        <f t="shared" si="339"/>
        <v>no</v>
      </c>
      <c r="J1278" s="10" t="str">
        <f t="shared" si="330"/>
        <v>no</v>
      </c>
      <c r="K1278" s="10" t="str">
        <f t="shared" si="331"/>
        <v>no</v>
      </c>
      <c r="L1278" t="s">
        <v>116</v>
      </c>
      <c r="M1278">
        <v>10731</v>
      </c>
      <c r="N1278">
        <v>21</v>
      </c>
      <c r="O1278" t="s">
        <v>710</v>
      </c>
      <c r="P1278" t="str">
        <f t="shared" si="332"/>
        <v>CHOPS_10731_Sir Rodney's Scones</v>
      </c>
      <c r="Q1278" t="str">
        <f t="shared" si="333"/>
        <v>10731</v>
      </c>
      <c r="R1278" t="str">
        <f t="shared" si="334"/>
        <v>10731</v>
      </c>
      <c r="S1278" t="str">
        <f t="shared" si="335"/>
        <v>Sir Rodney's Scones</v>
      </c>
      <c r="T1278">
        <v>10</v>
      </c>
      <c r="U1278">
        <v>40</v>
      </c>
      <c r="V1278">
        <v>0.05</v>
      </c>
      <c r="W1278">
        <f t="shared" si="336"/>
        <v>380</v>
      </c>
      <c r="X1278" t="str">
        <f t="shared" si="337"/>
        <v>No</v>
      </c>
      <c r="Y1278" s="2">
        <v>35040</v>
      </c>
      <c r="Z1278" t="str">
        <f t="shared" si="323"/>
        <v/>
      </c>
      <c r="AA1278" t="str">
        <f t="shared" si="338"/>
        <v/>
      </c>
      <c r="AB1278" t="str" cm="1">
        <f t="array" ref="AB1278">_xlfn.IFS(Y1278&lt;DATE(1996,1,1),"",Y1278&lt;DATE(1996,4,1),"Q1",Y1278&lt;DATE(1996,7,1),"Q2",Y1278&gt;=DATE(1996,7,1),"")</f>
        <v/>
      </c>
    </row>
    <row r="1279" spans="1:28" ht="14.4" x14ac:dyDescent="0.55000000000000004">
      <c r="A1279" t="str">
        <f>VLOOKUP(L1279,Customers!$A$2:$B$92,2,FALSE)</f>
        <v>Chop-suey Chinese</v>
      </c>
      <c r="B1279" t="str">
        <f>VLOOKUP(L1279,Customers!$A$2:$C$92,3,TRUE)</f>
        <v>Yang Wang</v>
      </c>
      <c r="C1279" t="str">
        <f t="shared" si="324"/>
        <v>Yang</v>
      </c>
      <c r="D1279" s="8" t="str">
        <f t="shared" si="325"/>
        <v>Wang</v>
      </c>
      <c r="E1279" s="8" t="str">
        <f t="shared" si="326"/>
        <v>Wang, Yang</v>
      </c>
      <c r="F1279" s="8" t="str">
        <f t="shared" si="327"/>
        <v>Wang, Yang</v>
      </c>
      <c r="G1279" s="8" t="str">
        <f t="shared" si="328"/>
        <v>not an outlier</v>
      </c>
      <c r="H1279" s="8" t="str">
        <f t="shared" si="329"/>
        <v>Not</v>
      </c>
      <c r="I1279" s="8" t="str">
        <f t="shared" si="339"/>
        <v>no</v>
      </c>
      <c r="J1279" s="10" t="str">
        <f t="shared" si="330"/>
        <v>no</v>
      </c>
      <c r="K1279" s="10" t="str">
        <f t="shared" si="331"/>
        <v>no</v>
      </c>
      <c r="L1279" t="s">
        <v>116</v>
      </c>
      <c r="M1279">
        <v>10731</v>
      </c>
      <c r="N1279">
        <v>51</v>
      </c>
      <c r="O1279" t="s">
        <v>687</v>
      </c>
      <c r="P1279" t="str">
        <f t="shared" si="332"/>
        <v>CHOPS_10731_Manjimup Dried Apples</v>
      </c>
      <c r="Q1279" t="str">
        <f t="shared" si="333"/>
        <v>10731</v>
      </c>
      <c r="R1279" t="str">
        <f t="shared" si="334"/>
        <v>10731</v>
      </c>
      <c r="S1279" t="str">
        <f t="shared" si="335"/>
        <v>Manjimup Dried Apples</v>
      </c>
      <c r="T1279">
        <v>53</v>
      </c>
      <c r="U1279">
        <v>30</v>
      </c>
      <c r="V1279">
        <v>0.05</v>
      </c>
      <c r="W1279">
        <f t="shared" si="336"/>
        <v>1510.5</v>
      </c>
      <c r="X1279" t="str">
        <f t="shared" si="337"/>
        <v>No</v>
      </c>
      <c r="Y1279" s="2">
        <v>35040</v>
      </c>
      <c r="Z1279" t="str">
        <f t="shared" si="323"/>
        <v/>
      </c>
      <c r="AA1279" t="str">
        <f t="shared" si="338"/>
        <v/>
      </c>
      <c r="AB1279" t="str" cm="1">
        <f t="array" ref="AB1279">_xlfn.IFS(Y1279&lt;DATE(1996,1,1),"",Y1279&lt;DATE(1996,4,1),"Q1",Y1279&lt;DATE(1996,7,1),"Q2",Y1279&gt;=DATE(1996,7,1),"")</f>
        <v/>
      </c>
    </row>
    <row r="1280" spans="1:28" ht="14.4" x14ac:dyDescent="0.55000000000000004">
      <c r="A1280" t="str">
        <f>VLOOKUP(L1280,Customers!$A$2:$B$92,2,FALSE)</f>
        <v>Bon app'</v>
      </c>
      <c r="B1280" t="str">
        <f>VLOOKUP(L1280,Customers!$A$2:$C$92,3,TRUE)</f>
        <v>Laurence Lebihan</v>
      </c>
      <c r="C1280" t="str">
        <f t="shared" si="324"/>
        <v>Laurence</v>
      </c>
      <c r="D1280" s="8" t="str">
        <f t="shared" si="325"/>
        <v>Lebihan</v>
      </c>
      <c r="E1280" s="8" t="str">
        <f t="shared" si="326"/>
        <v>Lebihan, Laurence</v>
      </c>
      <c r="F1280" s="8" t="str">
        <f t="shared" si="327"/>
        <v>Lebihan, Laurence</v>
      </c>
      <c r="G1280" s="8" t="str">
        <f t="shared" si="328"/>
        <v>not an outlier</v>
      </c>
      <c r="H1280" s="8" t="str">
        <f t="shared" si="329"/>
        <v>Not</v>
      </c>
      <c r="I1280" s="8" t="str">
        <f t="shared" si="339"/>
        <v>no</v>
      </c>
      <c r="J1280" s="10" t="str">
        <f t="shared" si="330"/>
        <v>no</v>
      </c>
      <c r="K1280" s="10" t="str">
        <f t="shared" si="331"/>
        <v>no</v>
      </c>
      <c r="L1280" t="s">
        <v>77</v>
      </c>
      <c r="M1280">
        <v>10732</v>
      </c>
      <c r="N1280">
        <v>76</v>
      </c>
      <c r="O1280" t="s">
        <v>721</v>
      </c>
      <c r="P1280" t="str">
        <f t="shared" si="332"/>
        <v>BONAP_10732_Lakkalikööri</v>
      </c>
      <c r="Q1280" t="str">
        <f t="shared" si="333"/>
        <v>10732</v>
      </c>
      <c r="R1280" t="str">
        <f t="shared" si="334"/>
        <v>10732</v>
      </c>
      <c r="S1280" t="str">
        <f t="shared" si="335"/>
        <v>Lakkalikööri</v>
      </c>
      <c r="T1280">
        <v>18</v>
      </c>
      <c r="U1280">
        <v>20</v>
      </c>
      <c r="V1280">
        <v>0</v>
      </c>
      <c r="W1280">
        <f t="shared" si="336"/>
        <v>360</v>
      </c>
      <c r="X1280" t="str">
        <f t="shared" si="337"/>
        <v>No</v>
      </c>
      <c r="Y1280" s="2">
        <v>35040</v>
      </c>
      <c r="Z1280" t="str">
        <f t="shared" si="323"/>
        <v/>
      </c>
      <c r="AA1280" t="str">
        <f t="shared" si="338"/>
        <v/>
      </c>
      <c r="AB1280" t="str" cm="1">
        <f t="array" ref="AB1280">_xlfn.IFS(Y1280&lt;DATE(1996,1,1),"",Y1280&lt;DATE(1996,4,1),"Q1",Y1280&lt;DATE(1996,7,1),"Q2",Y1280&gt;=DATE(1996,7,1),"")</f>
        <v/>
      </c>
    </row>
    <row r="1281" spans="1:28" ht="14.4" x14ac:dyDescent="0.55000000000000004">
      <c r="A1281" t="str">
        <f>VLOOKUP(L1281,Customers!$A$2:$B$92,2,FALSE)</f>
        <v>Berglunds snabbköp</v>
      </c>
      <c r="B1281" t="str">
        <f>VLOOKUP(L1281,Customers!$A$2:$C$92,3,TRUE)</f>
        <v>Christina Berglund</v>
      </c>
      <c r="C1281" t="str">
        <f t="shared" si="324"/>
        <v>Christina</v>
      </c>
      <c r="D1281" s="8" t="str">
        <f t="shared" si="325"/>
        <v>Berglund</v>
      </c>
      <c r="E1281" s="8" t="str">
        <f t="shared" si="326"/>
        <v>Berglund, Christina</v>
      </c>
      <c r="F1281" s="8" t="str">
        <f t="shared" si="327"/>
        <v>Berglund, Christina</v>
      </c>
      <c r="G1281" s="8" t="str">
        <f t="shared" si="328"/>
        <v>not an outlier</v>
      </c>
      <c r="H1281" s="8" t="str">
        <f t="shared" si="329"/>
        <v>Not</v>
      </c>
      <c r="I1281" s="8" t="str">
        <f t="shared" si="339"/>
        <v>no</v>
      </c>
      <c r="J1281" s="10" t="str">
        <f t="shared" si="330"/>
        <v>no</v>
      </c>
      <c r="K1281" s="10" t="str">
        <f t="shared" si="331"/>
        <v>no</v>
      </c>
      <c r="L1281" t="s">
        <v>43</v>
      </c>
      <c r="M1281">
        <v>10733</v>
      </c>
      <c r="N1281">
        <v>14</v>
      </c>
      <c r="O1281" t="s">
        <v>686</v>
      </c>
      <c r="P1281" t="str">
        <f t="shared" si="332"/>
        <v>BERGS_10733_Tofu</v>
      </c>
      <c r="Q1281" t="str">
        <f t="shared" si="333"/>
        <v>10733</v>
      </c>
      <c r="R1281" t="str">
        <f t="shared" si="334"/>
        <v>10733</v>
      </c>
      <c r="S1281" t="str">
        <f t="shared" si="335"/>
        <v>Tofu</v>
      </c>
      <c r="T1281">
        <v>23.25</v>
      </c>
      <c r="U1281">
        <v>16</v>
      </c>
      <c r="V1281">
        <v>0</v>
      </c>
      <c r="W1281">
        <f t="shared" si="336"/>
        <v>372</v>
      </c>
      <c r="X1281" t="str">
        <f t="shared" si="337"/>
        <v>No</v>
      </c>
      <c r="Y1281" s="2">
        <v>35041</v>
      </c>
      <c r="Z1281" t="str">
        <f t="shared" ref="Z1281:Z1344" si="340">IF(Y1281&gt;=DATE(1996,1,1), IF(Y1281&lt;DATE(1996,4,1),"1st Q 1996",""),"")</f>
        <v/>
      </c>
      <c r="AA1281" t="str">
        <f t="shared" si="338"/>
        <v/>
      </c>
      <c r="AB1281" t="str" cm="1">
        <f t="array" ref="AB1281">_xlfn.IFS(Y1281&lt;DATE(1996,1,1),"",Y1281&lt;DATE(1996,4,1),"Q1",Y1281&lt;DATE(1996,7,1),"Q2",Y1281&gt;=DATE(1996,7,1),"")</f>
        <v/>
      </c>
    </row>
    <row r="1282" spans="1:28" ht="14.4" x14ac:dyDescent="0.55000000000000004">
      <c r="A1282" t="str">
        <f>VLOOKUP(L1282,Customers!$A$2:$B$92,2,FALSE)</f>
        <v>Berglunds snabbköp</v>
      </c>
      <c r="B1282" t="str">
        <f>VLOOKUP(L1282,Customers!$A$2:$C$92,3,TRUE)</f>
        <v>Christina Berglund</v>
      </c>
      <c r="C1282" t="str">
        <f t="shared" si="324"/>
        <v>Christina</v>
      </c>
      <c r="D1282" s="8" t="str">
        <f t="shared" si="325"/>
        <v>Berglund</v>
      </c>
      <c r="E1282" s="8" t="str">
        <f t="shared" si="326"/>
        <v>Berglund, Christina</v>
      </c>
      <c r="F1282" s="8" t="str">
        <f t="shared" si="327"/>
        <v>Berglund, Christina</v>
      </c>
      <c r="G1282" s="8" t="str">
        <f t="shared" si="328"/>
        <v>not an outlier</v>
      </c>
      <c r="H1282" s="8" t="str">
        <f t="shared" si="329"/>
        <v>Not</v>
      </c>
      <c r="I1282" s="8" t="str">
        <f t="shared" si="339"/>
        <v>no</v>
      </c>
      <c r="J1282" s="10" t="str">
        <f t="shared" si="330"/>
        <v>no</v>
      </c>
      <c r="K1282" s="10" t="str">
        <f t="shared" si="331"/>
        <v>no</v>
      </c>
      <c r="L1282" t="s">
        <v>43</v>
      </c>
      <c r="M1282">
        <v>10733</v>
      </c>
      <c r="N1282">
        <v>28</v>
      </c>
      <c r="O1282" t="s">
        <v>727</v>
      </c>
      <c r="P1282" t="str">
        <f t="shared" si="332"/>
        <v>BERGS_10733_Rössle Sauerkraut</v>
      </c>
      <c r="Q1282" t="str">
        <f t="shared" si="333"/>
        <v>10733</v>
      </c>
      <c r="R1282" t="str">
        <f t="shared" si="334"/>
        <v>10733</v>
      </c>
      <c r="S1282" t="str">
        <f t="shared" si="335"/>
        <v>Rössle Sauerkraut</v>
      </c>
      <c r="T1282">
        <v>45.6</v>
      </c>
      <c r="U1282">
        <v>20</v>
      </c>
      <c r="V1282">
        <v>0</v>
      </c>
      <c r="W1282">
        <f t="shared" si="336"/>
        <v>912</v>
      </c>
      <c r="X1282" t="str">
        <f t="shared" si="337"/>
        <v>No</v>
      </c>
      <c r="Y1282" s="2">
        <v>35041</v>
      </c>
      <c r="Z1282" t="str">
        <f t="shared" si="340"/>
        <v/>
      </c>
      <c r="AA1282" t="str">
        <f t="shared" si="338"/>
        <v/>
      </c>
      <c r="AB1282" t="str" cm="1">
        <f t="array" ref="AB1282">_xlfn.IFS(Y1282&lt;DATE(1996,1,1),"",Y1282&lt;DATE(1996,4,1),"Q1",Y1282&lt;DATE(1996,7,1),"Q2",Y1282&gt;=DATE(1996,7,1),"")</f>
        <v/>
      </c>
    </row>
    <row r="1283" spans="1:28" ht="14.4" x14ac:dyDescent="0.55000000000000004">
      <c r="A1283" t="str">
        <f>VLOOKUP(L1283,Customers!$A$2:$B$92,2,FALSE)</f>
        <v>Berglunds snabbköp</v>
      </c>
      <c r="B1283" t="str">
        <f>VLOOKUP(L1283,Customers!$A$2:$C$92,3,TRUE)</f>
        <v>Christina Berglund</v>
      </c>
      <c r="C1283" t="str">
        <f t="shared" ref="C1283:C1346" si="341">LEFT(B1283,FIND(" ",B1283)-1)</f>
        <v>Christina</v>
      </c>
      <c r="D1283" s="8" t="str">
        <f t="shared" ref="D1283:D1346" si="342">RIGHT(B1283,LEN(B1283)-FIND(" ",B1283))</f>
        <v>Berglund</v>
      </c>
      <c r="E1283" s="8" t="str">
        <f t="shared" ref="E1283:E1346" si="343">_xlfn.CONCAT(D1283,", ",C1283)</f>
        <v>Berglund, Christina</v>
      </c>
      <c r="F1283" s="8" t="str">
        <f t="shared" ref="F1283:F1346" si="344">D1283&amp;", "&amp;C1283</f>
        <v>Berglund, Christina</v>
      </c>
      <c r="G1283" s="8" t="str">
        <f t="shared" ref="G1283:G1346" si="345">IF(OR(W1283&gt;$W$2166,W1283&lt;$W$2167),"outlier","not an outlier")</f>
        <v>not an outlier</v>
      </c>
      <c r="H1283" s="8" t="str">
        <f t="shared" ref="H1283:H1346" si="346">IF(OR(W1283&gt;$W$2166,W1283&lt;$W$2167),"outlier",IF(OR(W1283&gt;$W$2168,W1283&lt;$W$2169),"moderate","Not"))</f>
        <v>Not</v>
      </c>
      <c r="I1283" s="8" t="str">
        <f t="shared" si="339"/>
        <v>no</v>
      </c>
      <c r="J1283" s="10" t="str">
        <f t="shared" ref="J1283:J1346" si="347">IF(AND(W1283&lt;=$W$2166,W1283&gt;=$W$2167),"no","yes")</f>
        <v>no</v>
      </c>
      <c r="K1283" s="10" t="str">
        <f t="shared" ref="K1283:K1346" si="348">IF(OR(W1283&gt;$W$2166,W1283&lt;$W$2167),"yes",IF(OR(W1283&gt;$W$2168,W1283&lt;$W$2169),"moderate","no"))</f>
        <v>no</v>
      </c>
      <c r="L1283" t="s">
        <v>43</v>
      </c>
      <c r="M1283">
        <v>10733</v>
      </c>
      <c r="N1283">
        <v>52</v>
      </c>
      <c r="O1283" t="s">
        <v>748</v>
      </c>
      <c r="P1283" t="str">
        <f t="shared" ref="P1283:P1346" si="349">L1283&amp;"_"&amp;M1283&amp;"_"&amp;O1283</f>
        <v>BERGS_10733_Filo Mix</v>
      </c>
      <c r="Q1283" t="str">
        <f t="shared" ref="Q1283:Q1346" si="350">LEFT(RIGHT(P1283,LEN(P1283)-FIND("_",P1283)), FIND("_",P1283)-1)</f>
        <v>10733</v>
      </c>
      <c r="R1283" t="str">
        <f t="shared" ref="R1283:R1346" si="351">MID(P1283,FIND("_",P1283)+1,FIND("_",P1283,FIND("_",P1283))-1)</f>
        <v>10733</v>
      </c>
      <c r="S1283" t="str">
        <f t="shared" ref="S1283:S1346" si="352">MID(P1283,FIND("_",P1283,FIND("_",P1283)+1)+1,LEN(P1283))</f>
        <v>Filo Mix</v>
      </c>
      <c r="T1283">
        <v>7</v>
      </c>
      <c r="U1283">
        <v>25</v>
      </c>
      <c r="V1283">
        <v>0</v>
      </c>
      <c r="W1283">
        <f t="shared" ref="W1283:W1346" si="353">T1283*U1283*(1-V1283)</f>
        <v>175</v>
      </c>
      <c r="X1283" t="str">
        <f t="shared" ref="X1283:X1346" si="354">IF(YEAR(Y1283)&gt;=1996,"yes","No")</f>
        <v>No</v>
      </c>
      <c r="Y1283" s="2">
        <v>35041</v>
      </c>
      <c r="Z1283" t="str">
        <f t="shared" si="340"/>
        <v/>
      </c>
      <c r="AA1283" t="str">
        <f t="shared" ref="AA1283:AA1346" si="355">IF(Y1283&lt;DATE(1996,1,1),"", IF(Y1283&lt;DATE(1996,4,1),"1st Q 1996",IF(Y1283&lt;DATE(1996,7,1),"2nd Q 1996","")))</f>
        <v/>
      </c>
      <c r="AB1283" t="str" cm="1">
        <f t="array" ref="AB1283">_xlfn.IFS(Y1283&lt;DATE(1996,1,1),"",Y1283&lt;DATE(1996,4,1),"Q1",Y1283&lt;DATE(1996,7,1),"Q2",Y1283&gt;=DATE(1996,7,1),"")</f>
        <v/>
      </c>
    </row>
    <row r="1284" spans="1:28" ht="14.4" x14ac:dyDescent="0.55000000000000004">
      <c r="A1284" t="str">
        <f>VLOOKUP(L1284,Customers!$A$2:$B$92,2,FALSE)</f>
        <v>Gourmet Lanchonetes</v>
      </c>
      <c r="B1284" t="str">
        <f>VLOOKUP(L1284,Customers!$A$2:$C$92,3,TRUE)</f>
        <v>André Fonseca</v>
      </c>
      <c r="C1284" t="str">
        <f t="shared" si="341"/>
        <v>André</v>
      </c>
      <c r="D1284" s="8" t="str">
        <f t="shared" si="342"/>
        <v>Fonseca</v>
      </c>
      <c r="E1284" s="8" t="str">
        <f t="shared" si="343"/>
        <v>Fonseca, André</v>
      </c>
      <c r="F1284" s="8" t="str">
        <f t="shared" si="344"/>
        <v>Fonseca, André</v>
      </c>
      <c r="G1284" s="8" t="str">
        <f t="shared" si="345"/>
        <v>not an outlier</v>
      </c>
      <c r="H1284" s="8" t="str">
        <f t="shared" si="346"/>
        <v>Not</v>
      </c>
      <c r="I1284" s="8" t="str">
        <f t="shared" ref="I1284:I1347" si="356">IF(OR(W1284&gt;$W$2166,W1284&lt;$W$2167),"yes","no")</f>
        <v>no</v>
      </c>
      <c r="J1284" s="10" t="str">
        <f t="shared" si="347"/>
        <v>no</v>
      </c>
      <c r="K1284" s="10" t="str">
        <f t="shared" si="348"/>
        <v>no</v>
      </c>
      <c r="L1284" t="s">
        <v>240</v>
      </c>
      <c r="M1284">
        <v>10734</v>
      </c>
      <c r="N1284">
        <v>6</v>
      </c>
      <c r="O1284" t="s">
        <v>746</v>
      </c>
      <c r="P1284" t="str">
        <f t="shared" si="349"/>
        <v>GOURL_10734_Grandma's Boysenberry Spread</v>
      </c>
      <c r="Q1284" t="str">
        <f t="shared" si="350"/>
        <v>10734</v>
      </c>
      <c r="R1284" t="str">
        <f t="shared" si="351"/>
        <v>10734</v>
      </c>
      <c r="S1284" t="str">
        <f t="shared" si="352"/>
        <v>Grandma's Boysenberry Spread</v>
      </c>
      <c r="T1284">
        <v>25</v>
      </c>
      <c r="U1284">
        <v>30</v>
      </c>
      <c r="V1284">
        <v>0</v>
      </c>
      <c r="W1284">
        <f t="shared" si="353"/>
        <v>750</v>
      </c>
      <c r="X1284" t="str">
        <f t="shared" si="354"/>
        <v>No</v>
      </c>
      <c r="Y1284" s="2">
        <v>35041</v>
      </c>
      <c r="Z1284" t="str">
        <f t="shared" si="340"/>
        <v/>
      </c>
      <c r="AA1284" t="str">
        <f t="shared" si="355"/>
        <v/>
      </c>
      <c r="AB1284" t="str" cm="1">
        <f t="array" ref="AB1284">_xlfn.IFS(Y1284&lt;DATE(1996,1,1),"",Y1284&lt;DATE(1996,4,1),"Q1",Y1284&lt;DATE(1996,7,1),"Q2",Y1284&gt;=DATE(1996,7,1),"")</f>
        <v/>
      </c>
    </row>
    <row r="1285" spans="1:28" ht="14.4" x14ac:dyDescent="0.55000000000000004">
      <c r="A1285" t="str">
        <f>VLOOKUP(L1285,Customers!$A$2:$B$92,2,FALSE)</f>
        <v>Gourmet Lanchonetes</v>
      </c>
      <c r="B1285" t="str">
        <f>VLOOKUP(L1285,Customers!$A$2:$C$92,3,TRUE)</f>
        <v>André Fonseca</v>
      </c>
      <c r="C1285" t="str">
        <f t="shared" si="341"/>
        <v>André</v>
      </c>
      <c r="D1285" s="8" t="str">
        <f t="shared" si="342"/>
        <v>Fonseca</v>
      </c>
      <c r="E1285" s="8" t="str">
        <f t="shared" si="343"/>
        <v>Fonseca, André</v>
      </c>
      <c r="F1285" s="8" t="str">
        <f t="shared" si="344"/>
        <v>Fonseca, André</v>
      </c>
      <c r="G1285" s="8" t="str">
        <f t="shared" si="345"/>
        <v>not an outlier</v>
      </c>
      <c r="H1285" s="8" t="str">
        <f t="shared" si="346"/>
        <v>Not</v>
      </c>
      <c r="I1285" s="8" t="str">
        <f t="shared" si="356"/>
        <v>no</v>
      </c>
      <c r="J1285" s="10" t="str">
        <f t="shared" si="347"/>
        <v>no</v>
      </c>
      <c r="K1285" s="10" t="str">
        <f t="shared" si="348"/>
        <v>no</v>
      </c>
      <c r="L1285" t="s">
        <v>240</v>
      </c>
      <c r="M1285">
        <v>10734</v>
      </c>
      <c r="N1285">
        <v>30</v>
      </c>
      <c r="O1285" t="s">
        <v>717</v>
      </c>
      <c r="P1285" t="str">
        <f t="shared" si="349"/>
        <v>GOURL_10734_Nord-Ost Matjeshering</v>
      </c>
      <c r="Q1285" t="str">
        <f t="shared" si="350"/>
        <v>10734</v>
      </c>
      <c r="R1285" t="str">
        <f t="shared" si="351"/>
        <v>10734</v>
      </c>
      <c r="S1285" t="str">
        <f t="shared" si="352"/>
        <v>Nord-Ost Matjeshering</v>
      </c>
      <c r="T1285">
        <v>25.89</v>
      </c>
      <c r="U1285">
        <v>15</v>
      </c>
      <c r="V1285">
        <v>0</v>
      </c>
      <c r="W1285">
        <f t="shared" si="353"/>
        <v>388.35</v>
      </c>
      <c r="X1285" t="str">
        <f t="shared" si="354"/>
        <v>No</v>
      </c>
      <c r="Y1285" s="2">
        <v>35041</v>
      </c>
      <c r="Z1285" t="str">
        <f t="shared" si="340"/>
        <v/>
      </c>
      <c r="AA1285" t="str">
        <f t="shared" si="355"/>
        <v/>
      </c>
      <c r="AB1285" t="str" cm="1">
        <f t="array" ref="AB1285">_xlfn.IFS(Y1285&lt;DATE(1996,1,1),"",Y1285&lt;DATE(1996,4,1),"Q1",Y1285&lt;DATE(1996,7,1),"Q2",Y1285&gt;=DATE(1996,7,1),"")</f>
        <v/>
      </c>
    </row>
    <row r="1286" spans="1:28" ht="14.4" x14ac:dyDescent="0.55000000000000004">
      <c r="A1286" t="str">
        <f>VLOOKUP(L1286,Customers!$A$2:$B$92,2,FALSE)</f>
        <v>Gourmet Lanchonetes</v>
      </c>
      <c r="B1286" t="str">
        <f>VLOOKUP(L1286,Customers!$A$2:$C$92,3,TRUE)</f>
        <v>André Fonseca</v>
      </c>
      <c r="C1286" t="str">
        <f t="shared" si="341"/>
        <v>André</v>
      </c>
      <c r="D1286" s="8" t="str">
        <f t="shared" si="342"/>
        <v>Fonseca</v>
      </c>
      <c r="E1286" s="8" t="str">
        <f t="shared" si="343"/>
        <v>Fonseca, André</v>
      </c>
      <c r="F1286" s="8" t="str">
        <f t="shared" si="344"/>
        <v>Fonseca, André</v>
      </c>
      <c r="G1286" s="8" t="str">
        <f t="shared" si="345"/>
        <v>not an outlier</v>
      </c>
      <c r="H1286" s="8" t="str">
        <f t="shared" si="346"/>
        <v>Not</v>
      </c>
      <c r="I1286" s="8" t="str">
        <f t="shared" si="356"/>
        <v>no</v>
      </c>
      <c r="J1286" s="10" t="str">
        <f t="shared" si="347"/>
        <v>no</v>
      </c>
      <c r="K1286" s="10" t="str">
        <f t="shared" si="348"/>
        <v>no</v>
      </c>
      <c r="L1286" t="s">
        <v>240</v>
      </c>
      <c r="M1286">
        <v>10734</v>
      </c>
      <c r="N1286">
        <v>76</v>
      </c>
      <c r="O1286" t="s">
        <v>721</v>
      </c>
      <c r="P1286" t="str">
        <f t="shared" si="349"/>
        <v>GOURL_10734_Lakkalikööri</v>
      </c>
      <c r="Q1286" t="str">
        <f t="shared" si="350"/>
        <v>10734</v>
      </c>
      <c r="R1286" t="str">
        <f t="shared" si="351"/>
        <v>10734</v>
      </c>
      <c r="S1286" t="str">
        <f t="shared" si="352"/>
        <v>Lakkalikööri</v>
      </c>
      <c r="T1286">
        <v>18</v>
      </c>
      <c r="U1286">
        <v>20</v>
      </c>
      <c r="V1286">
        <v>0</v>
      </c>
      <c r="W1286">
        <f t="shared" si="353"/>
        <v>360</v>
      </c>
      <c r="X1286" t="str">
        <f t="shared" si="354"/>
        <v>No</v>
      </c>
      <c r="Y1286" s="2">
        <v>35041</v>
      </c>
      <c r="Z1286" t="str">
        <f t="shared" si="340"/>
        <v/>
      </c>
      <c r="AA1286" t="str">
        <f t="shared" si="355"/>
        <v/>
      </c>
      <c r="AB1286" t="str" cm="1">
        <f t="array" ref="AB1286">_xlfn.IFS(Y1286&lt;DATE(1996,1,1),"",Y1286&lt;DATE(1996,4,1),"Q1",Y1286&lt;DATE(1996,7,1),"Q2",Y1286&gt;=DATE(1996,7,1),"")</f>
        <v/>
      </c>
    </row>
    <row r="1287" spans="1:28" ht="14.4" x14ac:dyDescent="0.55000000000000004">
      <c r="A1287" t="str">
        <f>VLOOKUP(L1287,Customers!$A$2:$B$92,2,FALSE)</f>
        <v>Let's Stop N Shop</v>
      </c>
      <c r="B1287" t="str">
        <f>VLOOKUP(L1287,Customers!$A$2:$C$92,3,TRUE)</f>
        <v>Jaime Yorres</v>
      </c>
      <c r="C1287" t="str">
        <f t="shared" si="341"/>
        <v>Jaime</v>
      </c>
      <c r="D1287" s="8" t="str">
        <f t="shared" si="342"/>
        <v>Yorres</v>
      </c>
      <c r="E1287" s="8" t="str">
        <f t="shared" si="343"/>
        <v>Yorres, Jaime</v>
      </c>
      <c r="F1287" s="8" t="str">
        <f t="shared" si="344"/>
        <v>Yorres, Jaime</v>
      </c>
      <c r="G1287" s="8" t="str">
        <f t="shared" si="345"/>
        <v>not an outlier</v>
      </c>
      <c r="H1287" s="8" t="str">
        <f t="shared" si="346"/>
        <v>Not</v>
      </c>
      <c r="I1287" s="8" t="str">
        <f t="shared" si="356"/>
        <v>no</v>
      </c>
      <c r="J1287" s="10" t="str">
        <f t="shared" si="347"/>
        <v>no</v>
      </c>
      <c r="K1287" s="10" t="str">
        <f t="shared" si="348"/>
        <v>no</v>
      </c>
      <c r="L1287" t="s">
        <v>348</v>
      </c>
      <c r="M1287">
        <v>10735</v>
      </c>
      <c r="N1287">
        <v>61</v>
      </c>
      <c r="O1287" t="s">
        <v>758</v>
      </c>
      <c r="P1287" t="str">
        <f t="shared" si="349"/>
        <v>LETSS_10735_Sirop d'érable</v>
      </c>
      <c r="Q1287" t="str">
        <f t="shared" si="350"/>
        <v>10735</v>
      </c>
      <c r="R1287" t="str">
        <f t="shared" si="351"/>
        <v>10735</v>
      </c>
      <c r="S1287" t="str">
        <f t="shared" si="352"/>
        <v>Sirop d'érable</v>
      </c>
      <c r="T1287">
        <v>28.5</v>
      </c>
      <c r="U1287">
        <v>20</v>
      </c>
      <c r="V1287">
        <v>0.1</v>
      </c>
      <c r="W1287">
        <f t="shared" si="353"/>
        <v>513</v>
      </c>
      <c r="X1287" t="str">
        <f t="shared" si="354"/>
        <v>No</v>
      </c>
      <c r="Y1287" s="2">
        <v>35044</v>
      </c>
      <c r="Z1287" t="str">
        <f t="shared" si="340"/>
        <v/>
      </c>
      <c r="AA1287" t="str">
        <f t="shared" si="355"/>
        <v/>
      </c>
      <c r="AB1287" t="str" cm="1">
        <f t="array" ref="AB1287">_xlfn.IFS(Y1287&lt;DATE(1996,1,1),"",Y1287&lt;DATE(1996,4,1),"Q1",Y1287&lt;DATE(1996,7,1),"Q2",Y1287&gt;=DATE(1996,7,1),"")</f>
        <v/>
      </c>
    </row>
    <row r="1288" spans="1:28" ht="14.4" x14ac:dyDescent="0.55000000000000004">
      <c r="A1288" t="str">
        <f>VLOOKUP(L1288,Customers!$A$2:$B$92,2,FALSE)</f>
        <v>Let's Stop N Shop</v>
      </c>
      <c r="B1288" t="str">
        <f>VLOOKUP(L1288,Customers!$A$2:$C$92,3,TRUE)</f>
        <v>Jaime Yorres</v>
      </c>
      <c r="C1288" t="str">
        <f t="shared" si="341"/>
        <v>Jaime</v>
      </c>
      <c r="D1288" s="8" t="str">
        <f t="shared" si="342"/>
        <v>Yorres</v>
      </c>
      <c r="E1288" s="8" t="str">
        <f t="shared" si="343"/>
        <v>Yorres, Jaime</v>
      </c>
      <c r="F1288" s="8" t="str">
        <f t="shared" si="344"/>
        <v>Yorres, Jaime</v>
      </c>
      <c r="G1288" s="8" t="str">
        <f t="shared" si="345"/>
        <v>not an outlier</v>
      </c>
      <c r="H1288" s="8" t="str">
        <f t="shared" si="346"/>
        <v>Not</v>
      </c>
      <c r="I1288" s="8" t="str">
        <f t="shared" si="356"/>
        <v>no</v>
      </c>
      <c r="J1288" s="10" t="str">
        <f t="shared" si="347"/>
        <v>no</v>
      </c>
      <c r="K1288" s="10" t="str">
        <f t="shared" si="348"/>
        <v>no</v>
      </c>
      <c r="L1288" t="s">
        <v>348</v>
      </c>
      <c r="M1288">
        <v>10735</v>
      </c>
      <c r="N1288">
        <v>77</v>
      </c>
      <c r="O1288" t="s">
        <v>706</v>
      </c>
      <c r="P1288" t="str">
        <f t="shared" si="349"/>
        <v>LETSS_10735_Original Frankfurter grüne Soße</v>
      </c>
      <c r="Q1288" t="str">
        <f t="shared" si="350"/>
        <v>10735</v>
      </c>
      <c r="R1288" t="str">
        <f t="shared" si="351"/>
        <v>10735</v>
      </c>
      <c r="S1288" t="str">
        <f t="shared" si="352"/>
        <v>Original Frankfurter grüne Soße</v>
      </c>
      <c r="T1288">
        <v>13</v>
      </c>
      <c r="U1288">
        <v>2</v>
      </c>
      <c r="V1288">
        <v>0.1</v>
      </c>
      <c r="W1288">
        <f t="shared" si="353"/>
        <v>23.400000000000002</v>
      </c>
      <c r="X1288" t="str">
        <f t="shared" si="354"/>
        <v>No</v>
      </c>
      <c r="Y1288" s="2">
        <v>35044</v>
      </c>
      <c r="Z1288" t="str">
        <f t="shared" si="340"/>
        <v/>
      </c>
      <c r="AA1288" t="str">
        <f t="shared" si="355"/>
        <v/>
      </c>
      <c r="AB1288" t="str" cm="1">
        <f t="array" ref="AB1288">_xlfn.IFS(Y1288&lt;DATE(1996,1,1),"",Y1288&lt;DATE(1996,4,1),"Q1",Y1288&lt;DATE(1996,7,1),"Q2",Y1288&gt;=DATE(1996,7,1),"")</f>
        <v/>
      </c>
    </row>
    <row r="1289" spans="1:28" ht="14.4" x14ac:dyDescent="0.55000000000000004">
      <c r="A1289" t="str">
        <f>VLOOKUP(L1289,Customers!$A$2:$B$92,2,FALSE)</f>
        <v>Hungry Owl All-Night Grocers</v>
      </c>
      <c r="B1289" t="str">
        <f>VLOOKUP(L1289,Customers!$A$2:$C$92,3,TRUE)</f>
        <v>Patricia McKenna</v>
      </c>
      <c r="C1289" t="str">
        <f t="shared" si="341"/>
        <v>Patricia</v>
      </c>
      <c r="D1289" s="8" t="str">
        <f t="shared" si="342"/>
        <v>McKenna</v>
      </c>
      <c r="E1289" s="8" t="str">
        <f t="shared" si="343"/>
        <v>McKenna, Patricia</v>
      </c>
      <c r="F1289" s="8" t="str">
        <f t="shared" si="344"/>
        <v>McKenna, Patricia</v>
      </c>
      <c r="G1289" s="8" t="str">
        <f t="shared" si="345"/>
        <v>not an outlier</v>
      </c>
      <c r="H1289" s="8" t="str">
        <f t="shared" si="346"/>
        <v>Not</v>
      </c>
      <c r="I1289" s="8" t="str">
        <f t="shared" si="356"/>
        <v>no</v>
      </c>
      <c r="J1289" s="10" t="str">
        <f t="shared" si="347"/>
        <v>no</v>
      </c>
      <c r="K1289" s="10" t="str">
        <f t="shared" si="348"/>
        <v>no</v>
      </c>
      <c r="L1289" t="s">
        <v>288</v>
      </c>
      <c r="M1289">
        <v>10736</v>
      </c>
      <c r="N1289">
        <v>65</v>
      </c>
      <c r="O1289" t="s">
        <v>689</v>
      </c>
      <c r="P1289" t="str">
        <f t="shared" si="349"/>
        <v>HUNGO_10736_Louisiana Fiery Hot Pepper Sauce</v>
      </c>
      <c r="Q1289" t="str">
        <f t="shared" si="350"/>
        <v>10736</v>
      </c>
      <c r="R1289" t="str">
        <f t="shared" si="351"/>
        <v>10736</v>
      </c>
      <c r="S1289" t="str">
        <f t="shared" si="352"/>
        <v>Louisiana Fiery Hot Pepper Sauce</v>
      </c>
      <c r="T1289">
        <v>21.05</v>
      </c>
      <c r="U1289">
        <v>40</v>
      </c>
      <c r="V1289">
        <v>0</v>
      </c>
      <c r="W1289">
        <f t="shared" si="353"/>
        <v>842</v>
      </c>
      <c r="X1289" t="str">
        <f t="shared" si="354"/>
        <v>No</v>
      </c>
      <c r="Y1289" s="2">
        <v>35045</v>
      </c>
      <c r="Z1289" t="str">
        <f t="shared" si="340"/>
        <v/>
      </c>
      <c r="AA1289" t="str">
        <f t="shared" si="355"/>
        <v/>
      </c>
      <c r="AB1289" t="str" cm="1">
        <f t="array" ref="AB1289">_xlfn.IFS(Y1289&lt;DATE(1996,1,1),"",Y1289&lt;DATE(1996,4,1),"Q1",Y1289&lt;DATE(1996,7,1),"Q2",Y1289&gt;=DATE(1996,7,1),"")</f>
        <v/>
      </c>
    </row>
    <row r="1290" spans="1:28" ht="14.4" x14ac:dyDescent="0.55000000000000004">
      <c r="A1290" t="str">
        <f>VLOOKUP(L1290,Customers!$A$2:$B$92,2,FALSE)</f>
        <v>Hungry Owl All-Night Grocers</v>
      </c>
      <c r="B1290" t="str">
        <f>VLOOKUP(L1290,Customers!$A$2:$C$92,3,TRUE)</f>
        <v>Patricia McKenna</v>
      </c>
      <c r="C1290" t="str">
        <f t="shared" si="341"/>
        <v>Patricia</v>
      </c>
      <c r="D1290" s="8" t="str">
        <f t="shared" si="342"/>
        <v>McKenna</v>
      </c>
      <c r="E1290" s="8" t="str">
        <f t="shared" si="343"/>
        <v>McKenna, Patricia</v>
      </c>
      <c r="F1290" s="8" t="str">
        <f t="shared" si="344"/>
        <v>McKenna, Patricia</v>
      </c>
      <c r="G1290" s="8" t="str">
        <f t="shared" si="345"/>
        <v>not an outlier</v>
      </c>
      <c r="H1290" s="8" t="str">
        <f t="shared" si="346"/>
        <v>Not</v>
      </c>
      <c r="I1290" s="8" t="str">
        <f t="shared" si="356"/>
        <v>no</v>
      </c>
      <c r="J1290" s="10" t="str">
        <f t="shared" si="347"/>
        <v>no</v>
      </c>
      <c r="K1290" s="10" t="str">
        <f t="shared" si="348"/>
        <v>no</v>
      </c>
      <c r="L1290" t="s">
        <v>288</v>
      </c>
      <c r="M1290">
        <v>10736</v>
      </c>
      <c r="N1290">
        <v>75</v>
      </c>
      <c r="O1290" t="s">
        <v>731</v>
      </c>
      <c r="P1290" t="str">
        <f t="shared" si="349"/>
        <v>HUNGO_10736_Rhönbräu Klosterbier</v>
      </c>
      <c r="Q1290" t="str">
        <f t="shared" si="350"/>
        <v>10736</v>
      </c>
      <c r="R1290" t="str">
        <f t="shared" si="351"/>
        <v>10736</v>
      </c>
      <c r="S1290" t="str">
        <f t="shared" si="352"/>
        <v>Rhönbräu Klosterbier</v>
      </c>
      <c r="T1290">
        <v>7.75</v>
      </c>
      <c r="U1290">
        <v>20</v>
      </c>
      <c r="V1290">
        <v>0</v>
      </c>
      <c r="W1290">
        <f t="shared" si="353"/>
        <v>155</v>
      </c>
      <c r="X1290" t="str">
        <f t="shared" si="354"/>
        <v>No</v>
      </c>
      <c r="Y1290" s="2">
        <v>35045</v>
      </c>
      <c r="Z1290" t="str">
        <f t="shared" si="340"/>
        <v/>
      </c>
      <c r="AA1290" t="str">
        <f t="shared" si="355"/>
        <v/>
      </c>
      <c r="AB1290" t="str" cm="1">
        <f t="array" ref="AB1290">_xlfn.IFS(Y1290&lt;DATE(1996,1,1),"",Y1290&lt;DATE(1996,4,1),"Q1",Y1290&lt;DATE(1996,7,1),"Q2",Y1290&gt;=DATE(1996,7,1),"")</f>
        <v/>
      </c>
    </row>
    <row r="1291" spans="1:28" ht="14.4" x14ac:dyDescent="0.55000000000000004">
      <c r="A1291" t="str">
        <f>VLOOKUP(L1291,Customers!$A$2:$B$92,2,FALSE)</f>
        <v>Vins et alcools Chevalier</v>
      </c>
      <c r="B1291" t="str">
        <f>VLOOKUP(L1291,Customers!$A$2:$C$92,3,TRUE)</f>
        <v>Paul Henriot</v>
      </c>
      <c r="C1291" t="str">
        <f t="shared" si="341"/>
        <v>Paul</v>
      </c>
      <c r="D1291" s="8" t="str">
        <f t="shared" si="342"/>
        <v>Henriot</v>
      </c>
      <c r="E1291" s="8" t="str">
        <f t="shared" si="343"/>
        <v>Henriot, Paul</v>
      </c>
      <c r="F1291" s="8" t="str">
        <f t="shared" si="344"/>
        <v>Henriot, Paul</v>
      </c>
      <c r="G1291" s="8" t="str">
        <f t="shared" si="345"/>
        <v>not an outlier</v>
      </c>
      <c r="H1291" s="8" t="str">
        <f t="shared" si="346"/>
        <v>Not</v>
      </c>
      <c r="I1291" s="8" t="str">
        <f t="shared" si="356"/>
        <v>no</v>
      </c>
      <c r="J1291" s="10" t="str">
        <f t="shared" si="347"/>
        <v>no</v>
      </c>
      <c r="K1291" s="10" t="str">
        <f t="shared" si="348"/>
        <v>no</v>
      </c>
      <c r="L1291" t="s">
        <v>626</v>
      </c>
      <c r="M1291">
        <v>10737</v>
      </c>
      <c r="N1291">
        <v>13</v>
      </c>
      <c r="O1291" t="s">
        <v>726</v>
      </c>
      <c r="P1291" t="str">
        <f t="shared" si="349"/>
        <v>VINET_10737_Konbu</v>
      </c>
      <c r="Q1291" t="str">
        <f t="shared" si="350"/>
        <v>10737</v>
      </c>
      <c r="R1291" t="str">
        <f t="shared" si="351"/>
        <v>10737</v>
      </c>
      <c r="S1291" t="str">
        <f t="shared" si="352"/>
        <v>Konbu</v>
      </c>
      <c r="T1291">
        <v>6</v>
      </c>
      <c r="U1291">
        <v>4</v>
      </c>
      <c r="V1291">
        <v>0</v>
      </c>
      <c r="W1291">
        <f t="shared" si="353"/>
        <v>24</v>
      </c>
      <c r="X1291" t="str">
        <f t="shared" si="354"/>
        <v>No</v>
      </c>
      <c r="Y1291" s="2">
        <v>35045</v>
      </c>
      <c r="Z1291" t="str">
        <f t="shared" si="340"/>
        <v/>
      </c>
      <c r="AA1291" t="str">
        <f t="shared" si="355"/>
        <v/>
      </c>
      <c r="AB1291" t="str" cm="1">
        <f t="array" ref="AB1291">_xlfn.IFS(Y1291&lt;DATE(1996,1,1),"",Y1291&lt;DATE(1996,4,1),"Q1",Y1291&lt;DATE(1996,7,1),"Q2",Y1291&gt;=DATE(1996,7,1),"")</f>
        <v/>
      </c>
    </row>
    <row r="1292" spans="1:28" ht="14.4" x14ac:dyDescent="0.55000000000000004">
      <c r="A1292" t="str">
        <f>VLOOKUP(L1292,Customers!$A$2:$B$92,2,FALSE)</f>
        <v>Vins et alcools Chevalier</v>
      </c>
      <c r="B1292" t="str">
        <f>VLOOKUP(L1292,Customers!$A$2:$C$92,3,TRUE)</f>
        <v>Paul Henriot</v>
      </c>
      <c r="C1292" t="str">
        <f t="shared" si="341"/>
        <v>Paul</v>
      </c>
      <c r="D1292" s="8" t="str">
        <f t="shared" si="342"/>
        <v>Henriot</v>
      </c>
      <c r="E1292" s="8" t="str">
        <f t="shared" si="343"/>
        <v>Henriot, Paul</v>
      </c>
      <c r="F1292" s="8" t="str">
        <f t="shared" si="344"/>
        <v>Henriot, Paul</v>
      </c>
      <c r="G1292" s="8" t="str">
        <f t="shared" si="345"/>
        <v>not an outlier</v>
      </c>
      <c r="H1292" s="8" t="str">
        <f t="shared" si="346"/>
        <v>Not</v>
      </c>
      <c r="I1292" s="8" t="str">
        <f t="shared" si="356"/>
        <v>no</v>
      </c>
      <c r="J1292" s="10" t="str">
        <f t="shared" si="347"/>
        <v>no</v>
      </c>
      <c r="K1292" s="10" t="str">
        <f t="shared" si="348"/>
        <v>no</v>
      </c>
      <c r="L1292" t="s">
        <v>626</v>
      </c>
      <c r="M1292">
        <v>10737</v>
      </c>
      <c r="N1292">
        <v>41</v>
      </c>
      <c r="O1292" t="s">
        <v>688</v>
      </c>
      <c r="P1292" t="str">
        <f t="shared" si="349"/>
        <v>VINET_10737_Jack's New England Clam Chowder</v>
      </c>
      <c r="Q1292" t="str">
        <f t="shared" si="350"/>
        <v>10737</v>
      </c>
      <c r="R1292" t="str">
        <f t="shared" si="351"/>
        <v>10737</v>
      </c>
      <c r="S1292" t="str">
        <f t="shared" si="352"/>
        <v>Jack's New England Clam Chowder</v>
      </c>
      <c r="T1292">
        <v>9.65</v>
      </c>
      <c r="U1292">
        <v>12</v>
      </c>
      <c r="V1292">
        <v>0</v>
      </c>
      <c r="W1292">
        <f t="shared" si="353"/>
        <v>115.80000000000001</v>
      </c>
      <c r="X1292" t="str">
        <f t="shared" si="354"/>
        <v>No</v>
      </c>
      <c r="Y1292" s="2">
        <v>35045</v>
      </c>
      <c r="Z1292" t="str">
        <f t="shared" si="340"/>
        <v/>
      </c>
      <c r="AA1292" t="str">
        <f t="shared" si="355"/>
        <v/>
      </c>
      <c r="AB1292" t="str" cm="1">
        <f t="array" ref="AB1292">_xlfn.IFS(Y1292&lt;DATE(1996,1,1),"",Y1292&lt;DATE(1996,4,1),"Q1",Y1292&lt;DATE(1996,7,1),"Q2",Y1292&gt;=DATE(1996,7,1),"")</f>
        <v/>
      </c>
    </row>
    <row r="1293" spans="1:28" ht="14.4" x14ac:dyDescent="0.55000000000000004">
      <c r="A1293" t="str">
        <f>VLOOKUP(L1293,Customers!$A$2:$B$92,2,FALSE)</f>
        <v>Spécialités du monde</v>
      </c>
      <c r="B1293" t="str">
        <f>VLOOKUP(L1293,Customers!$A$2:$C$92,3,TRUE)</f>
        <v>Dominique Perrier</v>
      </c>
      <c r="C1293" t="str">
        <f t="shared" si="341"/>
        <v>Dominique</v>
      </c>
      <c r="D1293" s="8" t="str">
        <f t="shared" si="342"/>
        <v>Perrier</v>
      </c>
      <c r="E1293" s="8" t="str">
        <f t="shared" si="343"/>
        <v>Perrier, Dominique</v>
      </c>
      <c r="F1293" s="8" t="str">
        <f t="shared" si="344"/>
        <v>Perrier, Dominique</v>
      </c>
      <c r="G1293" s="8" t="str">
        <f t="shared" si="345"/>
        <v>not an outlier</v>
      </c>
      <c r="H1293" s="8" t="str">
        <f t="shared" si="346"/>
        <v>Not</v>
      </c>
      <c r="I1293" s="8" t="str">
        <f t="shared" si="356"/>
        <v>no</v>
      </c>
      <c r="J1293" s="10" t="str">
        <f t="shared" si="347"/>
        <v>no</v>
      </c>
      <c r="K1293" s="10" t="str">
        <f t="shared" si="348"/>
        <v>no</v>
      </c>
      <c r="L1293" t="s">
        <v>551</v>
      </c>
      <c r="M1293">
        <v>10738</v>
      </c>
      <c r="N1293">
        <v>16</v>
      </c>
      <c r="O1293" t="s">
        <v>702</v>
      </c>
      <c r="P1293" t="str">
        <f t="shared" si="349"/>
        <v>SPECD_10738_Pavlova</v>
      </c>
      <c r="Q1293" t="str">
        <f t="shared" si="350"/>
        <v>10738</v>
      </c>
      <c r="R1293" t="str">
        <f t="shared" si="351"/>
        <v>10738</v>
      </c>
      <c r="S1293" t="str">
        <f t="shared" si="352"/>
        <v>Pavlova</v>
      </c>
      <c r="T1293">
        <v>17.45</v>
      </c>
      <c r="U1293">
        <v>3</v>
      </c>
      <c r="V1293">
        <v>0</v>
      </c>
      <c r="W1293">
        <f t="shared" si="353"/>
        <v>52.349999999999994</v>
      </c>
      <c r="X1293" t="str">
        <f t="shared" si="354"/>
        <v>No</v>
      </c>
      <c r="Y1293" s="2">
        <v>35046</v>
      </c>
      <c r="Z1293" t="str">
        <f t="shared" si="340"/>
        <v/>
      </c>
      <c r="AA1293" t="str">
        <f t="shared" si="355"/>
        <v/>
      </c>
      <c r="AB1293" t="str" cm="1">
        <f t="array" ref="AB1293">_xlfn.IFS(Y1293&lt;DATE(1996,1,1),"",Y1293&lt;DATE(1996,4,1),"Q1",Y1293&lt;DATE(1996,7,1),"Q2",Y1293&gt;=DATE(1996,7,1),"")</f>
        <v/>
      </c>
    </row>
    <row r="1294" spans="1:28" ht="14.4" x14ac:dyDescent="0.55000000000000004">
      <c r="A1294" t="str">
        <f>VLOOKUP(L1294,Customers!$A$2:$B$92,2,FALSE)</f>
        <v>Vins et alcools Chevalier</v>
      </c>
      <c r="B1294" t="str">
        <f>VLOOKUP(L1294,Customers!$A$2:$C$92,3,TRUE)</f>
        <v>Paul Henriot</v>
      </c>
      <c r="C1294" t="str">
        <f t="shared" si="341"/>
        <v>Paul</v>
      </c>
      <c r="D1294" s="8" t="str">
        <f t="shared" si="342"/>
        <v>Henriot</v>
      </c>
      <c r="E1294" s="8" t="str">
        <f t="shared" si="343"/>
        <v>Henriot, Paul</v>
      </c>
      <c r="F1294" s="8" t="str">
        <f t="shared" si="344"/>
        <v>Henriot, Paul</v>
      </c>
      <c r="G1294" s="8" t="str">
        <f t="shared" si="345"/>
        <v>not an outlier</v>
      </c>
      <c r="H1294" s="8" t="str">
        <f t="shared" si="346"/>
        <v>Not</v>
      </c>
      <c r="I1294" s="8" t="str">
        <f t="shared" si="356"/>
        <v>no</v>
      </c>
      <c r="J1294" s="10" t="str">
        <f t="shared" si="347"/>
        <v>no</v>
      </c>
      <c r="K1294" s="10" t="str">
        <f t="shared" si="348"/>
        <v>no</v>
      </c>
      <c r="L1294" t="s">
        <v>626</v>
      </c>
      <c r="M1294">
        <v>10739</v>
      </c>
      <c r="N1294">
        <v>36</v>
      </c>
      <c r="O1294" t="s">
        <v>703</v>
      </c>
      <c r="P1294" t="str">
        <f t="shared" si="349"/>
        <v>VINET_10739_Inlagd Sill</v>
      </c>
      <c r="Q1294" t="str">
        <f t="shared" si="350"/>
        <v>10739</v>
      </c>
      <c r="R1294" t="str">
        <f t="shared" si="351"/>
        <v>10739</v>
      </c>
      <c r="S1294" t="str">
        <f t="shared" si="352"/>
        <v>Inlagd Sill</v>
      </c>
      <c r="T1294">
        <v>19</v>
      </c>
      <c r="U1294">
        <v>6</v>
      </c>
      <c r="V1294">
        <v>0</v>
      </c>
      <c r="W1294">
        <f t="shared" si="353"/>
        <v>114</v>
      </c>
      <c r="X1294" t="str">
        <f t="shared" si="354"/>
        <v>No</v>
      </c>
      <c r="Y1294" s="2">
        <v>35046</v>
      </c>
      <c r="Z1294" t="str">
        <f t="shared" si="340"/>
        <v/>
      </c>
      <c r="AA1294" t="str">
        <f t="shared" si="355"/>
        <v/>
      </c>
      <c r="AB1294" t="str" cm="1">
        <f t="array" ref="AB1294">_xlfn.IFS(Y1294&lt;DATE(1996,1,1),"",Y1294&lt;DATE(1996,4,1),"Q1",Y1294&lt;DATE(1996,7,1),"Q2",Y1294&gt;=DATE(1996,7,1),"")</f>
        <v/>
      </c>
    </row>
    <row r="1295" spans="1:28" ht="14.4" x14ac:dyDescent="0.55000000000000004">
      <c r="A1295" t="str">
        <f>VLOOKUP(L1295,Customers!$A$2:$B$92,2,FALSE)</f>
        <v>Vins et alcools Chevalier</v>
      </c>
      <c r="B1295" t="str">
        <f>VLOOKUP(L1295,Customers!$A$2:$C$92,3,TRUE)</f>
        <v>Paul Henriot</v>
      </c>
      <c r="C1295" t="str">
        <f t="shared" si="341"/>
        <v>Paul</v>
      </c>
      <c r="D1295" s="8" t="str">
        <f t="shared" si="342"/>
        <v>Henriot</v>
      </c>
      <c r="E1295" s="8" t="str">
        <f t="shared" si="343"/>
        <v>Henriot, Paul</v>
      </c>
      <c r="F1295" s="8" t="str">
        <f t="shared" si="344"/>
        <v>Henriot, Paul</v>
      </c>
      <c r="G1295" s="8" t="str">
        <f t="shared" si="345"/>
        <v>not an outlier</v>
      </c>
      <c r="H1295" s="8" t="str">
        <f t="shared" si="346"/>
        <v>Not</v>
      </c>
      <c r="I1295" s="8" t="str">
        <f t="shared" si="356"/>
        <v>no</v>
      </c>
      <c r="J1295" s="10" t="str">
        <f t="shared" si="347"/>
        <v>no</v>
      </c>
      <c r="K1295" s="10" t="str">
        <f t="shared" si="348"/>
        <v>no</v>
      </c>
      <c r="L1295" t="s">
        <v>626</v>
      </c>
      <c r="M1295">
        <v>10739</v>
      </c>
      <c r="N1295">
        <v>52</v>
      </c>
      <c r="O1295" t="s">
        <v>748</v>
      </c>
      <c r="P1295" t="str">
        <f t="shared" si="349"/>
        <v>VINET_10739_Filo Mix</v>
      </c>
      <c r="Q1295" t="str">
        <f t="shared" si="350"/>
        <v>10739</v>
      </c>
      <c r="R1295" t="str">
        <f t="shared" si="351"/>
        <v>10739</v>
      </c>
      <c r="S1295" t="str">
        <f t="shared" si="352"/>
        <v>Filo Mix</v>
      </c>
      <c r="T1295">
        <v>7</v>
      </c>
      <c r="U1295">
        <v>18</v>
      </c>
      <c r="V1295">
        <v>0</v>
      </c>
      <c r="W1295">
        <f t="shared" si="353"/>
        <v>126</v>
      </c>
      <c r="X1295" t="str">
        <f t="shared" si="354"/>
        <v>No</v>
      </c>
      <c r="Y1295" s="2">
        <v>35046</v>
      </c>
      <c r="Z1295" t="str">
        <f t="shared" si="340"/>
        <v/>
      </c>
      <c r="AA1295" t="str">
        <f t="shared" si="355"/>
        <v/>
      </c>
      <c r="AB1295" t="str" cm="1">
        <f t="array" ref="AB1295">_xlfn.IFS(Y1295&lt;DATE(1996,1,1),"",Y1295&lt;DATE(1996,4,1),"Q1",Y1295&lt;DATE(1996,7,1),"Q2",Y1295&gt;=DATE(1996,7,1),"")</f>
        <v/>
      </c>
    </row>
    <row r="1296" spans="1:28" ht="14.4" x14ac:dyDescent="0.55000000000000004">
      <c r="A1296" t="str">
        <f>VLOOKUP(L1296,Customers!$A$2:$B$92,2,FALSE)</f>
        <v>White Clover Markets</v>
      </c>
      <c r="B1296" t="str">
        <f>VLOOKUP(L1296,Customers!$A$2:$C$92,3,TRUE)</f>
        <v>Karl Jablonski</v>
      </c>
      <c r="C1296" t="str">
        <f t="shared" si="341"/>
        <v>Karl</v>
      </c>
      <c r="D1296" s="8" t="str">
        <f t="shared" si="342"/>
        <v>Jablonski</v>
      </c>
      <c r="E1296" s="8" t="str">
        <f t="shared" si="343"/>
        <v>Jablonski, Karl</v>
      </c>
      <c r="F1296" s="8" t="str">
        <f t="shared" si="344"/>
        <v>Jablonski, Karl</v>
      </c>
      <c r="G1296" s="8" t="str">
        <f t="shared" si="345"/>
        <v>not an outlier</v>
      </c>
      <c r="H1296" s="8" t="str">
        <f t="shared" si="346"/>
        <v>Not</v>
      </c>
      <c r="I1296" s="8" t="str">
        <f t="shared" si="356"/>
        <v>no</v>
      </c>
      <c r="J1296" s="10" t="str">
        <f t="shared" si="347"/>
        <v>no</v>
      </c>
      <c r="K1296" s="10" t="str">
        <f t="shared" si="348"/>
        <v>no</v>
      </c>
      <c r="L1296" t="s">
        <v>654</v>
      </c>
      <c r="M1296">
        <v>10740</v>
      </c>
      <c r="N1296">
        <v>28</v>
      </c>
      <c r="O1296" t="s">
        <v>727</v>
      </c>
      <c r="P1296" t="str">
        <f t="shared" si="349"/>
        <v>WHITC_10740_Rössle Sauerkraut</v>
      </c>
      <c r="Q1296" t="str">
        <f t="shared" si="350"/>
        <v>10740</v>
      </c>
      <c r="R1296" t="str">
        <f t="shared" si="351"/>
        <v>10740</v>
      </c>
      <c r="S1296" t="str">
        <f t="shared" si="352"/>
        <v>Rössle Sauerkraut</v>
      </c>
      <c r="T1296">
        <v>45.6</v>
      </c>
      <c r="U1296">
        <v>5</v>
      </c>
      <c r="V1296">
        <v>0.2</v>
      </c>
      <c r="W1296">
        <f t="shared" si="353"/>
        <v>182.4</v>
      </c>
      <c r="X1296" t="str">
        <f t="shared" si="354"/>
        <v>No</v>
      </c>
      <c r="Y1296" s="2">
        <v>35047</v>
      </c>
      <c r="Z1296" t="str">
        <f t="shared" si="340"/>
        <v/>
      </c>
      <c r="AA1296" t="str">
        <f t="shared" si="355"/>
        <v/>
      </c>
      <c r="AB1296" t="str" cm="1">
        <f t="array" ref="AB1296">_xlfn.IFS(Y1296&lt;DATE(1996,1,1),"",Y1296&lt;DATE(1996,4,1),"Q1",Y1296&lt;DATE(1996,7,1),"Q2",Y1296&gt;=DATE(1996,7,1),"")</f>
        <v/>
      </c>
    </row>
    <row r="1297" spans="1:28" ht="14.4" x14ac:dyDescent="0.55000000000000004">
      <c r="A1297" t="str">
        <f>VLOOKUP(L1297,Customers!$A$2:$B$92,2,FALSE)</f>
        <v>White Clover Markets</v>
      </c>
      <c r="B1297" t="str">
        <f>VLOOKUP(L1297,Customers!$A$2:$C$92,3,TRUE)</f>
        <v>Karl Jablonski</v>
      </c>
      <c r="C1297" t="str">
        <f t="shared" si="341"/>
        <v>Karl</v>
      </c>
      <c r="D1297" s="8" t="str">
        <f t="shared" si="342"/>
        <v>Jablonski</v>
      </c>
      <c r="E1297" s="8" t="str">
        <f t="shared" si="343"/>
        <v>Jablonski, Karl</v>
      </c>
      <c r="F1297" s="8" t="str">
        <f t="shared" si="344"/>
        <v>Jablonski, Karl</v>
      </c>
      <c r="G1297" s="8" t="str">
        <f t="shared" si="345"/>
        <v>not an outlier</v>
      </c>
      <c r="H1297" s="8" t="str">
        <f t="shared" si="346"/>
        <v>Not</v>
      </c>
      <c r="I1297" s="8" t="str">
        <f t="shared" si="356"/>
        <v>no</v>
      </c>
      <c r="J1297" s="10" t="str">
        <f t="shared" si="347"/>
        <v>no</v>
      </c>
      <c r="K1297" s="10" t="str">
        <f t="shared" si="348"/>
        <v>no</v>
      </c>
      <c r="L1297" t="s">
        <v>654</v>
      </c>
      <c r="M1297">
        <v>10740</v>
      </c>
      <c r="N1297">
        <v>35</v>
      </c>
      <c r="O1297" t="s">
        <v>714</v>
      </c>
      <c r="P1297" t="str">
        <f t="shared" si="349"/>
        <v>WHITC_10740_Steeleye Stout</v>
      </c>
      <c r="Q1297" t="str">
        <f t="shared" si="350"/>
        <v>10740</v>
      </c>
      <c r="R1297" t="str">
        <f t="shared" si="351"/>
        <v>10740</v>
      </c>
      <c r="S1297" t="str">
        <f t="shared" si="352"/>
        <v>Steeleye Stout</v>
      </c>
      <c r="T1297">
        <v>18</v>
      </c>
      <c r="U1297">
        <v>35</v>
      </c>
      <c r="V1297">
        <v>0.2</v>
      </c>
      <c r="W1297">
        <f t="shared" si="353"/>
        <v>504</v>
      </c>
      <c r="X1297" t="str">
        <f t="shared" si="354"/>
        <v>No</v>
      </c>
      <c r="Y1297" s="2">
        <v>35047</v>
      </c>
      <c r="Z1297" t="str">
        <f t="shared" si="340"/>
        <v/>
      </c>
      <c r="AA1297" t="str">
        <f t="shared" si="355"/>
        <v/>
      </c>
      <c r="AB1297" t="str" cm="1">
        <f t="array" ref="AB1297">_xlfn.IFS(Y1297&lt;DATE(1996,1,1),"",Y1297&lt;DATE(1996,4,1),"Q1",Y1297&lt;DATE(1996,7,1),"Q2",Y1297&gt;=DATE(1996,7,1),"")</f>
        <v/>
      </c>
    </row>
    <row r="1298" spans="1:28" ht="14.4" x14ac:dyDescent="0.55000000000000004">
      <c r="A1298" t="str">
        <f>VLOOKUP(L1298,Customers!$A$2:$B$92,2,FALSE)</f>
        <v>White Clover Markets</v>
      </c>
      <c r="B1298" t="str">
        <f>VLOOKUP(L1298,Customers!$A$2:$C$92,3,TRUE)</f>
        <v>Karl Jablonski</v>
      </c>
      <c r="C1298" t="str">
        <f t="shared" si="341"/>
        <v>Karl</v>
      </c>
      <c r="D1298" s="8" t="str">
        <f t="shared" si="342"/>
        <v>Jablonski</v>
      </c>
      <c r="E1298" s="8" t="str">
        <f t="shared" si="343"/>
        <v>Jablonski, Karl</v>
      </c>
      <c r="F1298" s="8" t="str">
        <f t="shared" si="344"/>
        <v>Jablonski, Karl</v>
      </c>
      <c r="G1298" s="8" t="str">
        <f t="shared" si="345"/>
        <v>not an outlier</v>
      </c>
      <c r="H1298" s="8" t="str">
        <f t="shared" si="346"/>
        <v>Not</v>
      </c>
      <c r="I1298" s="8" t="str">
        <f t="shared" si="356"/>
        <v>no</v>
      </c>
      <c r="J1298" s="10" t="str">
        <f t="shared" si="347"/>
        <v>no</v>
      </c>
      <c r="K1298" s="10" t="str">
        <f t="shared" si="348"/>
        <v>no</v>
      </c>
      <c r="L1298" t="s">
        <v>654</v>
      </c>
      <c r="M1298">
        <v>10740</v>
      </c>
      <c r="N1298">
        <v>45</v>
      </c>
      <c r="O1298" t="s">
        <v>756</v>
      </c>
      <c r="P1298" t="str">
        <f t="shared" si="349"/>
        <v>WHITC_10740_Røgede sild</v>
      </c>
      <c r="Q1298" t="str">
        <f t="shared" si="350"/>
        <v>10740</v>
      </c>
      <c r="R1298" t="str">
        <f t="shared" si="351"/>
        <v>10740</v>
      </c>
      <c r="S1298" t="str">
        <f t="shared" si="352"/>
        <v>Røgede sild</v>
      </c>
      <c r="T1298">
        <v>9.5</v>
      </c>
      <c r="U1298">
        <v>40</v>
      </c>
      <c r="V1298">
        <v>0.2</v>
      </c>
      <c r="W1298">
        <f t="shared" si="353"/>
        <v>304</v>
      </c>
      <c r="X1298" t="str">
        <f t="shared" si="354"/>
        <v>No</v>
      </c>
      <c r="Y1298" s="2">
        <v>35047</v>
      </c>
      <c r="Z1298" t="str">
        <f t="shared" si="340"/>
        <v/>
      </c>
      <c r="AA1298" t="str">
        <f t="shared" si="355"/>
        <v/>
      </c>
      <c r="AB1298" t="str" cm="1">
        <f t="array" ref="AB1298">_xlfn.IFS(Y1298&lt;DATE(1996,1,1),"",Y1298&lt;DATE(1996,4,1),"Q1",Y1298&lt;DATE(1996,7,1),"Q2",Y1298&gt;=DATE(1996,7,1),"")</f>
        <v/>
      </c>
    </row>
    <row r="1299" spans="1:28" ht="14.4" x14ac:dyDescent="0.55000000000000004">
      <c r="A1299" t="str">
        <f>VLOOKUP(L1299,Customers!$A$2:$B$92,2,FALSE)</f>
        <v>White Clover Markets</v>
      </c>
      <c r="B1299" t="str">
        <f>VLOOKUP(L1299,Customers!$A$2:$C$92,3,TRUE)</f>
        <v>Karl Jablonski</v>
      </c>
      <c r="C1299" t="str">
        <f t="shared" si="341"/>
        <v>Karl</v>
      </c>
      <c r="D1299" s="8" t="str">
        <f t="shared" si="342"/>
        <v>Jablonski</v>
      </c>
      <c r="E1299" s="8" t="str">
        <f t="shared" si="343"/>
        <v>Jablonski, Karl</v>
      </c>
      <c r="F1299" s="8" t="str">
        <f t="shared" si="344"/>
        <v>Jablonski, Karl</v>
      </c>
      <c r="G1299" s="8" t="str">
        <f t="shared" si="345"/>
        <v>not an outlier</v>
      </c>
      <c r="H1299" s="8" t="str">
        <f t="shared" si="346"/>
        <v>Not</v>
      </c>
      <c r="I1299" s="8" t="str">
        <f t="shared" si="356"/>
        <v>no</v>
      </c>
      <c r="J1299" s="10" t="str">
        <f t="shared" si="347"/>
        <v>no</v>
      </c>
      <c r="K1299" s="10" t="str">
        <f t="shared" si="348"/>
        <v>no</v>
      </c>
      <c r="L1299" t="s">
        <v>654</v>
      </c>
      <c r="M1299">
        <v>10740</v>
      </c>
      <c r="N1299">
        <v>56</v>
      </c>
      <c r="O1299" t="s">
        <v>716</v>
      </c>
      <c r="P1299" t="str">
        <f t="shared" si="349"/>
        <v>WHITC_10740_Gnocchi di nonna Alice</v>
      </c>
      <c r="Q1299" t="str">
        <f t="shared" si="350"/>
        <v>10740</v>
      </c>
      <c r="R1299" t="str">
        <f t="shared" si="351"/>
        <v>10740</v>
      </c>
      <c r="S1299" t="str">
        <f t="shared" si="352"/>
        <v>Gnocchi di nonna Alice</v>
      </c>
      <c r="T1299">
        <v>38</v>
      </c>
      <c r="U1299">
        <v>14</v>
      </c>
      <c r="V1299">
        <v>0.2</v>
      </c>
      <c r="W1299">
        <f t="shared" si="353"/>
        <v>425.6</v>
      </c>
      <c r="X1299" t="str">
        <f t="shared" si="354"/>
        <v>No</v>
      </c>
      <c r="Y1299" s="2">
        <v>35047</v>
      </c>
      <c r="Z1299" t="str">
        <f t="shared" si="340"/>
        <v/>
      </c>
      <c r="AA1299" t="str">
        <f t="shared" si="355"/>
        <v/>
      </c>
      <c r="AB1299" t="str" cm="1">
        <f t="array" ref="AB1299">_xlfn.IFS(Y1299&lt;DATE(1996,1,1),"",Y1299&lt;DATE(1996,4,1),"Q1",Y1299&lt;DATE(1996,7,1),"Q2",Y1299&gt;=DATE(1996,7,1),"")</f>
        <v/>
      </c>
    </row>
    <row r="1300" spans="1:28" ht="14.4" x14ac:dyDescent="0.55000000000000004">
      <c r="A1300" t="str">
        <f>VLOOKUP(L1300,Customers!$A$2:$B$92,2,FALSE)</f>
        <v>Around the Horn</v>
      </c>
      <c r="B1300" t="str">
        <f>VLOOKUP(L1300,Customers!$A$2:$C$92,3,TRUE)</f>
        <v>Thomas Hardy</v>
      </c>
      <c r="C1300" t="str">
        <f t="shared" si="341"/>
        <v>Thomas</v>
      </c>
      <c r="D1300" s="8" t="str">
        <f t="shared" si="342"/>
        <v>Hardy</v>
      </c>
      <c r="E1300" s="8" t="str">
        <f t="shared" si="343"/>
        <v>Hardy, Thomas</v>
      </c>
      <c r="F1300" s="8" t="str">
        <f t="shared" si="344"/>
        <v>Hardy, Thomas</v>
      </c>
      <c r="G1300" s="8" t="str">
        <f t="shared" si="345"/>
        <v>not an outlier</v>
      </c>
      <c r="H1300" s="8" t="str">
        <f t="shared" si="346"/>
        <v>Not</v>
      </c>
      <c r="I1300" s="8" t="str">
        <f t="shared" si="356"/>
        <v>no</v>
      </c>
      <c r="J1300" s="10" t="str">
        <f t="shared" si="347"/>
        <v>no</v>
      </c>
      <c r="K1300" s="10" t="str">
        <f t="shared" si="348"/>
        <v>no</v>
      </c>
      <c r="L1300" t="s">
        <v>34</v>
      </c>
      <c r="M1300">
        <v>10741</v>
      </c>
      <c r="N1300">
        <v>2</v>
      </c>
      <c r="O1300" t="s">
        <v>701</v>
      </c>
      <c r="P1300" t="str">
        <f t="shared" si="349"/>
        <v>AROUT_10741_Chang</v>
      </c>
      <c r="Q1300" t="str">
        <f t="shared" si="350"/>
        <v>10741</v>
      </c>
      <c r="R1300" t="str">
        <f t="shared" si="351"/>
        <v>10741</v>
      </c>
      <c r="S1300" t="str">
        <f t="shared" si="352"/>
        <v>Chang</v>
      </c>
      <c r="T1300">
        <v>19</v>
      </c>
      <c r="U1300">
        <v>15</v>
      </c>
      <c r="V1300">
        <v>0.2</v>
      </c>
      <c r="W1300">
        <f t="shared" si="353"/>
        <v>228</v>
      </c>
      <c r="X1300" t="str">
        <f t="shared" si="354"/>
        <v>No</v>
      </c>
      <c r="Y1300" s="2">
        <v>35048</v>
      </c>
      <c r="Z1300" t="str">
        <f t="shared" si="340"/>
        <v/>
      </c>
      <c r="AA1300" t="str">
        <f t="shared" si="355"/>
        <v/>
      </c>
      <c r="AB1300" t="str" cm="1">
        <f t="array" ref="AB1300">_xlfn.IFS(Y1300&lt;DATE(1996,1,1),"",Y1300&lt;DATE(1996,4,1),"Q1",Y1300&lt;DATE(1996,7,1),"Q2",Y1300&gt;=DATE(1996,7,1),"")</f>
        <v/>
      </c>
    </row>
    <row r="1301" spans="1:28" ht="14.4" x14ac:dyDescent="0.55000000000000004">
      <c r="A1301" t="str">
        <f>VLOOKUP(L1301,Customers!$A$2:$B$92,2,FALSE)</f>
        <v>Bottom-Dollar Markets</v>
      </c>
      <c r="B1301" t="str">
        <f>VLOOKUP(L1301,Customers!$A$2:$C$92,3,TRUE)</f>
        <v>Elizabeth Lincoln</v>
      </c>
      <c r="C1301" t="str">
        <f t="shared" si="341"/>
        <v>Elizabeth</v>
      </c>
      <c r="D1301" s="8" t="str">
        <f t="shared" si="342"/>
        <v>Lincoln</v>
      </c>
      <c r="E1301" s="8" t="str">
        <f t="shared" si="343"/>
        <v>Lincoln, Elizabeth</v>
      </c>
      <c r="F1301" s="8" t="str">
        <f t="shared" si="344"/>
        <v>Lincoln, Elizabeth</v>
      </c>
      <c r="G1301" s="8" t="str">
        <f t="shared" si="345"/>
        <v>not an outlier</v>
      </c>
      <c r="H1301" s="8" t="str">
        <f t="shared" si="346"/>
        <v>Not</v>
      </c>
      <c r="I1301" s="8" t="str">
        <f t="shared" si="356"/>
        <v>no</v>
      </c>
      <c r="J1301" s="10" t="str">
        <f t="shared" si="347"/>
        <v>no</v>
      </c>
      <c r="K1301" s="10" t="str">
        <f t="shared" si="348"/>
        <v>no</v>
      </c>
      <c r="L1301" t="s">
        <v>84</v>
      </c>
      <c r="M1301">
        <v>10742</v>
      </c>
      <c r="N1301">
        <v>3</v>
      </c>
      <c r="O1301" t="s">
        <v>740</v>
      </c>
      <c r="P1301" t="str">
        <f t="shared" si="349"/>
        <v>BOTTM_10742_Aniseed Syrup</v>
      </c>
      <c r="Q1301" t="str">
        <f t="shared" si="350"/>
        <v>10742</v>
      </c>
      <c r="R1301" t="str">
        <f t="shared" si="351"/>
        <v>10742</v>
      </c>
      <c r="S1301" t="str">
        <f t="shared" si="352"/>
        <v>Aniseed Syrup</v>
      </c>
      <c r="T1301">
        <v>10</v>
      </c>
      <c r="U1301">
        <v>20</v>
      </c>
      <c r="V1301">
        <v>0</v>
      </c>
      <c r="W1301">
        <f t="shared" si="353"/>
        <v>200</v>
      </c>
      <c r="X1301" t="str">
        <f t="shared" si="354"/>
        <v>No</v>
      </c>
      <c r="Y1301" s="2">
        <v>35048</v>
      </c>
      <c r="Z1301" t="str">
        <f t="shared" si="340"/>
        <v/>
      </c>
      <c r="AA1301" t="str">
        <f t="shared" si="355"/>
        <v/>
      </c>
      <c r="AB1301" t="str" cm="1">
        <f t="array" ref="AB1301">_xlfn.IFS(Y1301&lt;DATE(1996,1,1),"",Y1301&lt;DATE(1996,4,1),"Q1",Y1301&lt;DATE(1996,7,1),"Q2",Y1301&gt;=DATE(1996,7,1),"")</f>
        <v/>
      </c>
    </row>
    <row r="1302" spans="1:28" ht="14.4" x14ac:dyDescent="0.55000000000000004">
      <c r="A1302" t="str">
        <f>VLOOKUP(L1302,Customers!$A$2:$B$92,2,FALSE)</f>
        <v>Bottom-Dollar Markets</v>
      </c>
      <c r="B1302" t="str">
        <f>VLOOKUP(L1302,Customers!$A$2:$C$92,3,TRUE)</f>
        <v>Elizabeth Lincoln</v>
      </c>
      <c r="C1302" t="str">
        <f t="shared" si="341"/>
        <v>Elizabeth</v>
      </c>
      <c r="D1302" s="8" t="str">
        <f t="shared" si="342"/>
        <v>Lincoln</v>
      </c>
      <c r="E1302" s="8" t="str">
        <f t="shared" si="343"/>
        <v>Lincoln, Elizabeth</v>
      </c>
      <c r="F1302" s="8" t="str">
        <f t="shared" si="344"/>
        <v>Lincoln, Elizabeth</v>
      </c>
      <c r="G1302" s="8" t="str">
        <f t="shared" si="345"/>
        <v>not an outlier</v>
      </c>
      <c r="H1302" s="8" t="str">
        <f t="shared" si="346"/>
        <v>Not</v>
      </c>
      <c r="I1302" s="8" t="str">
        <f t="shared" si="356"/>
        <v>no</v>
      </c>
      <c r="J1302" s="10" t="str">
        <f t="shared" si="347"/>
        <v>no</v>
      </c>
      <c r="K1302" s="10" t="str">
        <f t="shared" si="348"/>
        <v>no</v>
      </c>
      <c r="L1302" t="s">
        <v>84</v>
      </c>
      <c r="M1302">
        <v>10742</v>
      </c>
      <c r="N1302">
        <v>60</v>
      </c>
      <c r="O1302" t="s">
        <v>694</v>
      </c>
      <c r="P1302" t="str">
        <f t="shared" si="349"/>
        <v>BOTTM_10742_Camembert Pierrot</v>
      </c>
      <c r="Q1302" t="str">
        <f t="shared" si="350"/>
        <v>10742</v>
      </c>
      <c r="R1302" t="str">
        <f t="shared" si="351"/>
        <v>10742</v>
      </c>
      <c r="S1302" t="str">
        <f t="shared" si="352"/>
        <v>Camembert Pierrot</v>
      </c>
      <c r="T1302">
        <v>34</v>
      </c>
      <c r="U1302">
        <v>50</v>
      </c>
      <c r="V1302">
        <v>0</v>
      </c>
      <c r="W1302">
        <f t="shared" si="353"/>
        <v>1700</v>
      </c>
      <c r="X1302" t="str">
        <f t="shared" si="354"/>
        <v>No</v>
      </c>
      <c r="Y1302" s="2">
        <v>35048</v>
      </c>
      <c r="Z1302" t="str">
        <f t="shared" si="340"/>
        <v/>
      </c>
      <c r="AA1302" t="str">
        <f t="shared" si="355"/>
        <v/>
      </c>
      <c r="AB1302" t="str" cm="1">
        <f t="array" ref="AB1302">_xlfn.IFS(Y1302&lt;DATE(1996,1,1),"",Y1302&lt;DATE(1996,4,1),"Q1",Y1302&lt;DATE(1996,7,1),"Q2",Y1302&gt;=DATE(1996,7,1),"")</f>
        <v/>
      </c>
    </row>
    <row r="1303" spans="1:28" ht="14.4" x14ac:dyDescent="0.55000000000000004">
      <c r="A1303" t="str">
        <f>VLOOKUP(L1303,Customers!$A$2:$B$92,2,FALSE)</f>
        <v>Bottom-Dollar Markets</v>
      </c>
      <c r="B1303" t="str">
        <f>VLOOKUP(L1303,Customers!$A$2:$C$92,3,TRUE)</f>
        <v>Elizabeth Lincoln</v>
      </c>
      <c r="C1303" t="str">
        <f t="shared" si="341"/>
        <v>Elizabeth</v>
      </c>
      <c r="D1303" s="8" t="str">
        <f t="shared" si="342"/>
        <v>Lincoln</v>
      </c>
      <c r="E1303" s="8" t="str">
        <f t="shared" si="343"/>
        <v>Lincoln, Elizabeth</v>
      </c>
      <c r="F1303" s="8" t="str">
        <f t="shared" si="344"/>
        <v>Lincoln, Elizabeth</v>
      </c>
      <c r="G1303" s="8" t="str">
        <f t="shared" si="345"/>
        <v>not an outlier</v>
      </c>
      <c r="H1303" s="8" t="str">
        <f t="shared" si="346"/>
        <v>Not</v>
      </c>
      <c r="I1303" s="8" t="str">
        <f t="shared" si="356"/>
        <v>no</v>
      </c>
      <c r="J1303" s="10" t="str">
        <f t="shared" si="347"/>
        <v>no</v>
      </c>
      <c r="K1303" s="10" t="str">
        <f t="shared" si="348"/>
        <v>no</v>
      </c>
      <c r="L1303" t="s">
        <v>84</v>
      </c>
      <c r="M1303">
        <v>10742</v>
      </c>
      <c r="N1303">
        <v>72</v>
      </c>
      <c r="O1303" t="s">
        <v>685</v>
      </c>
      <c r="P1303" t="str">
        <f t="shared" si="349"/>
        <v>BOTTM_10742_Mozzarella di Giovanni</v>
      </c>
      <c r="Q1303" t="str">
        <f t="shared" si="350"/>
        <v>10742</v>
      </c>
      <c r="R1303" t="str">
        <f t="shared" si="351"/>
        <v>10742</v>
      </c>
      <c r="S1303" t="str">
        <f t="shared" si="352"/>
        <v>Mozzarella di Giovanni</v>
      </c>
      <c r="T1303">
        <v>34.799999999999997</v>
      </c>
      <c r="U1303">
        <v>35</v>
      </c>
      <c r="V1303">
        <v>0</v>
      </c>
      <c r="W1303">
        <f t="shared" si="353"/>
        <v>1218</v>
      </c>
      <c r="X1303" t="str">
        <f t="shared" si="354"/>
        <v>No</v>
      </c>
      <c r="Y1303" s="2">
        <v>35048</v>
      </c>
      <c r="Z1303" t="str">
        <f t="shared" si="340"/>
        <v/>
      </c>
      <c r="AA1303" t="str">
        <f t="shared" si="355"/>
        <v/>
      </c>
      <c r="AB1303" t="str" cm="1">
        <f t="array" ref="AB1303">_xlfn.IFS(Y1303&lt;DATE(1996,1,1),"",Y1303&lt;DATE(1996,4,1),"Q1",Y1303&lt;DATE(1996,7,1),"Q2",Y1303&gt;=DATE(1996,7,1),"")</f>
        <v/>
      </c>
    </row>
    <row r="1304" spans="1:28" ht="14.4" x14ac:dyDescent="0.55000000000000004">
      <c r="A1304" t="str">
        <f>VLOOKUP(L1304,Customers!$A$2:$B$92,2,FALSE)</f>
        <v>Around the Horn</v>
      </c>
      <c r="B1304" t="str">
        <f>VLOOKUP(L1304,Customers!$A$2:$C$92,3,TRUE)</f>
        <v>Thomas Hardy</v>
      </c>
      <c r="C1304" t="str">
        <f t="shared" si="341"/>
        <v>Thomas</v>
      </c>
      <c r="D1304" s="8" t="str">
        <f t="shared" si="342"/>
        <v>Hardy</v>
      </c>
      <c r="E1304" s="8" t="str">
        <f t="shared" si="343"/>
        <v>Hardy, Thomas</v>
      </c>
      <c r="F1304" s="8" t="str">
        <f t="shared" si="344"/>
        <v>Hardy, Thomas</v>
      </c>
      <c r="G1304" s="8" t="str">
        <f t="shared" si="345"/>
        <v>not an outlier</v>
      </c>
      <c r="H1304" s="8" t="str">
        <f t="shared" si="346"/>
        <v>Not</v>
      </c>
      <c r="I1304" s="8" t="str">
        <f t="shared" si="356"/>
        <v>no</v>
      </c>
      <c r="J1304" s="10" t="str">
        <f t="shared" si="347"/>
        <v>no</v>
      </c>
      <c r="K1304" s="10" t="str">
        <f t="shared" si="348"/>
        <v>no</v>
      </c>
      <c r="L1304" t="s">
        <v>34</v>
      </c>
      <c r="M1304">
        <v>10743</v>
      </c>
      <c r="N1304">
        <v>46</v>
      </c>
      <c r="O1304" t="s">
        <v>737</v>
      </c>
      <c r="P1304" t="str">
        <f t="shared" si="349"/>
        <v>AROUT_10743_Spegesild</v>
      </c>
      <c r="Q1304" t="str">
        <f t="shared" si="350"/>
        <v>10743</v>
      </c>
      <c r="R1304" t="str">
        <f t="shared" si="351"/>
        <v>10743</v>
      </c>
      <c r="S1304" t="str">
        <f t="shared" si="352"/>
        <v>Spegesild</v>
      </c>
      <c r="T1304">
        <v>12</v>
      </c>
      <c r="U1304">
        <v>28</v>
      </c>
      <c r="V1304">
        <v>0.05</v>
      </c>
      <c r="W1304">
        <f t="shared" si="353"/>
        <v>319.2</v>
      </c>
      <c r="X1304" t="str">
        <f t="shared" si="354"/>
        <v>No</v>
      </c>
      <c r="Y1304" s="2">
        <v>35051</v>
      </c>
      <c r="Z1304" t="str">
        <f t="shared" si="340"/>
        <v/>
      </c>
      <c r="AA1304" t="str">
        <f t="shared" si="355"/>
        <v/>
      </c>
      <c r="AB1304" t="str" cm="1">
        <f t="array" ref="AB1304">_xlfn.IFS(Y1304&lt;DATE(1996,1,1),"",Y1304&lt;DATE(1996,4,1),"Q1",Y1304&lt;DATE(1996,7,1),"Q2",Y1304&gt;=DATE(1996,7,1),"")</f>
        <v/>
      </c>
    </row>
    <row r="1305" spans="1:28" ht="14.4" x14ac:dyDescent="0.55000000000000004">
      <c r="A1305" t="str">
        <f>VLOOKUP(L1305,Customers!$A$2:$B$92,2,FALSE)</f>
        <v>Vaffeljernet</v>
      </c>
      <c r="B1305" t="str">
        <f>VLOOKUP(L1305,Customers!$A$2:$C$92,3,TRUE)</f>
        <v>Palle Ibsen</v>
      </c>
      <c r="C1305" t="str">
        <f t="shared" si="341"/>
        <v>Palle</v>
      </c>
      <c r="D1305" s="8" t="str">
        <f t="shared" si="342"/>
        <v>Ibsen</v>
      </c>
      <c r="E1305" s="8" t="str">
        <f t="shared" si="343"/>
        <v>Ibsen, Palle</v>
      </c>
      <c r="F1305" s="8" t="str">
        <f t="shared" si="344"/>
        <v>Ibsen, Palle</v>
      </c>
      <c r="G1305" s="8" t="str">
        <f t="shared" si="345"/>
        <v>not an outlier</v>
      </c>
      <c r="H1305" s="8" t="str">
        <f t="shared" si="346"/>
        <v>Not</v>
      </c>
      <c r="I1305" s="8" t="str">
        <f t="shared" si="356"/>
        <v>no</v>
      </c>
      <c r="J1305" s="10" t="str">
        <f t="shared" si="347"/>
        <v>no</v>
      </c>
      <c r="K1305" s="10" t="str">
        <f t="shared" si="348"/>
        <v>no</v>
      </c>
      <c r="L1305" t="s">
        <v>612</v>
      </c>
      <c r="M1305">
        <v>10744</v>
      </c>
      <c r="N1305">
        <v>40</v>
      </c>
      <c r="O1305" t="s">
        <v>720</v>
      </c>
      <c r="P1305" t="str">
        <f t="shared" si="349"/>
        <v>VAFFE_10744_Boston Crab Meat</v>
      </c>
      <c r="Q1305" t="str">
        <f t="shared" si="350"/>
        <v>10744</v>
      </c>
      <c r="R1305" t="str">
        <f t="shared" si="351"/>
        <v>10744</v>
      </c>
      <c r="S1305" t="str">
        <f t="shared" si="352"/>
        <v>Boston Crab Meat</v>
      </c>
      <c r="T1305">
        <v>18.399999999999999</v>
      </c>
      <c r="U1305">
        <v>50</v>
      </c>
      <c r="V1305">
        <v>0.2</v>
      </c>
      <c r="W1305">
        <f t="shared" si="353"/>
        <v>736</v>
      </c>
      <c r="X1305" t="str">
        <f t="shared" si="354"/>
        <v>No</v>
      </c>
      <c r="Y1305" s="2">
        <v>35051</v>
      </c>
      <c r="Z1305" t="str">
        <f t="shared" si="340"/>
        <v/>
      </c>
      <c r="AA1305" t="str">
        <f t="shared" si="355"/>
        <v/>
      </c>
      <c r="AB1305" t="str" cm="1">
        <f t="array" ref="AB1305">_xlfn.IFS(Y1305&lt;DATE(1996,1,1),"",Y1305&lt;DATE(1996,4,1),"Q1",Y1305&lt;DATE(1996,7,1),"Q2",Y1305&gt;=DATE(1996,7,1),"")</f>
        <v/>
      </c>
    </row>
    <row r="1306" spans="1:28" ht="14.4" x14ac:dyDescent="0.55000000000000004">
      <c r="A1306" t="str">
        <f>VLOOKUP(L1306,Customers!$A$2:$B$92,2,FALSE)</f>
        <v>QUICK-Stop</v>
      </c>
      <c r="B1306" t="str">
        <f>VLOOKUP(L1306,Customers!$A$2:$C$92,3,TRUE)</f>
        <v>Horst Kloss</v>
      </c>
      <c r="C1306" t="str">
        <f t="shared" si="341"/>
        <v>Horst</v>
      </c>
      <c r="D1306" s="8" t="str">
        <f t="shared" si="342"/>
        <v>Kloss</v>
      </c>
      <c r="E1306" s="8" t="str">
        <f t="shared" si="343"/>
        <v>Kloss, Horst</v>
      </c>
      <c r="F1306" s="8" t="str">
        <f t="shared" si="344"/>
        <v>Kloss, Horst</v>
      </c>
      <c r="G1306" s="8" t="str">
        <f t="shared" si="345"/>
        <v>not an outlier</v>
      </c>
      <c r="H1306" s="8" t="str">
        <f t="shared" si="346"/>
        <v>Not</v>
      </c>
      <c r="I1306" s="8" t="str">
        <f t="shared" si="356"/>
        <v>no</v>
      </c>
      <c r="J1306" s="10" t="str">
        <f t="shared" si="347"/>
        <v>no</v>
      </c>
      <c r="K1306" s="10" t="str">
        <f t="shared" si="348"/>
        <v>no</v>
      </c>
      <c r="L1306" t="s">
        <v>475</v>
      </c>
      <c r="M1306">
        <v>10745</v>
      </c>
      <c r="N1306">
        <v>18</v>
      </c>
      <c r="O1306" t="s">
        <v>742</v>
      </c>
      <c r="P1306" t="str">
        <f t="shared" si="349"/>
        <v>QUICK_10745_Carnarvon Tigers</v>
      </c>
      <c r="Q1306" t="str">
        <f t="shared" si="350"/>
        <v>10745</v>
      </c>
      <c r="R1306" t="str">
        <f t="shared" si="351"/>
        <v>10745</v>
      </c>
      <c r="S1306" t="str">
        <f t="shared" si="352"/>
        <v>Carnarvon Tigers</v>
      </c>
      <c r="T1306">
        <v>62.5</v>
      </c>
      <c r="U1306">
        <v>24</v>
      </c>
      <c r="V1306">
        <v>0</v>
      </c>
      <c r="W1306">
        <f t="shared" si="353"/>
        <v>1500</v>
      </c>
      <c r="X1306" t="str">
        <f t="shared" si="354"/>
        <v>No</v>
      </c>
      <c r="Y1306" s="2">
        <v>35052</v>
      </c>
      <c r="Z1306" t="str">
        <f t="shared" si="340"/>
        <v/>
      </c>
      <c r="AA1306" t="str">
        <f t="shared" si="355"/>
        <v/>
      </c>
      <c r="AB1306" t="str" cm="1">
        <f t="array" ref="AB1306">_xlfn.IFS(Y1306&lt;DATE(1996,1,1),"",Y1306&lt;DATE(1996,4,1),"Q1",Y1306&lt;DATE(1996,7,1),"Q2",Y1306&gt;=DATE(1996,7,1),"")</f>
        <v/>
      </c>
    </row>
    <row r="1307" spans="1:28" ht="14.4" x14ac:dyDescent="0.55000000000000004">
      <c r="A1307" t="str">
        <f>VLOOKUP(L1307,Customers!$A$2:$B$92,2,FALSE)</f>
        <v>QUICK-Stop</v>
      </c>
      <c r="B1307" t="str">
        <f>VLOOKUP(L1307,Customers!$A$2:$C$92,3,TRUE)</f>
        <v>Horst Kloss</v>
      </c>
      <c r="C1307" t="str">
        <f t="shared" si="341"/>
        <v>Horst</v>
      </c>
      <c r="D1307" s="8" t="str">
        <f t="shared" si="342"/>
        <v>Kloss</v>
      </c>
      <c r="E1307" s="8" t="str">
        <f t="shared" si="343"/>
        <v>Kloss, Horst</v>
      </c>
      <c r="F1307" s="8" t="str">
        <f t="shared" si="344"/>
        <v>Kloss, Horst</v>
      </c>
      <c r="G1307" s="8" t="str">
        <f t="shared" si="345"/>
        <v>not an outlier</v>
      </c>
      <c r="H1307" s="8" t="str">
        <f t="shared" si="346"/>
        <v>Not</v>
      </c>
      <c r="I1307" s="8" t="str">
        <f t="shared" si="356"/>
        <v>no</v>
      </c>
      <c r="J1307" s="10" t="str">
        <f t="shared" si="347"/>
        <v>no</v>
      </c>
      <c r="K1307" s="10" t="str">
        <f t="shared" si="348"/>
        <v>no</v>
      </c>
      <c r="L1307" t="s">
        <v>475</v>
      </c>
      <c r="M1307">
        <v>10745</v>
      </c>
      <c r="N1307">
        <v>44</v>
      </c>
      <c r="O1307" t="s">
        <v>728</v>
      </c>
      <c r="P1307" t="str">
        <f t="shared" si="349"/>
        <v>QUICK_10745_Gula Malacca</v>
      </c>
      <c r="Q1307" t="str">
        <f t="shared" si="350"/>
        <v>10745</v>
      </c>
      <c r="R1307" t="str">
        <f t="shared" si="351"/>
        <v>10745</v>
      </c>
      <c r="S1307" t="str">
        <f t="shared" si="352"/>
        <v>Gula Malacca</v>
      </c>
      <c r="T1307">
        <v>19.45</v>
      </c>
      <c r="U1307">
        <v>16</v>
      </c>
      <c r="V1307">
        <v>0</v>
      </c>
      <c r="W1307">
        <f t="shared" si="353"/>
        <v>311.2</v>
      </c>
      <c r="X1307" t="str">
        <f t="shared" si="354"/>
        <v>No</v>
      </c>
      <c r="Y1307" s="2">
        <v>35052</v>
      </c>
      <c r="Z1307" t="str">
        <f t="shared" si="340"/>
        <v/>
      </c>
      <c r="AA1307" t="str">
        <f t="shared" si="355"/>
        <v/>
      </c>
      <c r="AB1307" t="str" cm="1">
        <f t="array" ref="AB1307">_xlfn.IFS(Y1307&lt;DATE(1996,1,1),"",Y1307&lt;DATE(1996,4,1),"Q1",Y1307&lt;DATE(1996,7,1),"Q2",Y1307&gt;=DATE(1996,7,1),"")</f>
        <v/>
      </c>
    </row>
    <row r="1308" spans="1:28" ht="14.4" x14ac:dyDescent="0.55000000000000004">
      <c r="A1308" t="str">
        <f>VLOOKUP(L1308,Customers!$A$2:$B$92,2,FALSE)</f>
        <v>QUICK-Stop</v>
      </c>
      <c r="B1308" t="str">
        <f>VLOOKUP(L1308,Customers!$A$2:$C$92,3,TRUE)</f>
        <v>Horst Kloss</v>
      </c>
      <c r="C1308" t="str">
        <f t="shared" si="341"/>
        <v>Horst</v>
      </c>
      <c r="D1308" s="8" t="str">
        <f t="shared" si="342"/>
        <v>Kloss</v>
      </c>
      <c r="E1308" s="8" t="str">
        <f t="shared" si="343"/>
        <v>Kloss, Horst</v>
      </c>
      <c r="F1308" s="8" t="str">
        <f t="shared" si="344"/>
        <v>Kloss, Horst</v>
      </c>
      <c r="G1308" s="8" t="str">
        <f t="shared" si="345"/>
        <v>not an outlier</v>
      </c>
      <c r="H1308" s="8" t="str">
        <f t="shared" si="346"/>
        <v>Not</v>
      </c>
      <c r="I1308" s="8" t="str">
        <f t="shared" si="356"/>
        <v>no</v>
      </c>
      <c r="J1308" s="10" t="str">
        <f t="shared" si="347"/>
        <v>no</v>
      </c>
      <c r="K1308" s="10" t="str">
        <f t="shared" si="348"/>
        <v>no</v>
      </c>
      <c r="L1308" t="s">
        <v>475</v>
      </c>
      <c r="M1308">
        <v>10745</v>
      </c>
      <c r="N1308">
        <v>59</v>
      </c>
      <c r="O1308" t="s">
        <v>704</v>
      </c>
      <c r="P1308" t="str">
        <f t="shared" si="349"/>
        <v>QUICK_10745_Raclette Courdavault</v>
      </c>
      <c r="Q1308" t="str">
        <f t="shared" si="350"/>
        <v>10745</v>
      </c>
      <c r="R1308" t="str">
        <f t="shared" si="351"/>
        <v>10745</v>
      </c>
      <c r="S1308" t="str">
        <f t="shared" si="352"/>
        <v>Raclette Courdavault</v>
      </c>
      <c r="T1308">
        <v>55</v>
      </c>
      <c r="U1308">
        <v>45</v>
      </c>
      <c r="V1308">
        <v>0</v>
      </c>
      <c r="W1308">
        <f t="shared" si="353"/>
        <v>2475</v>
      </c>
      <c r="X1308" t="str">
        <f t="shared" si="354"/>
        <v>No</v>
      </c>
      <c r="Y1308" s="2">
        <v>35052</v>
      </c>
      <c r="Z1308" t="str">
        <f t="shared" si="340"/>
        <v/>
      </c>
      <c r="AA1308" t="str">
        <f t="shared" si="355"/>
        <v/>
      </c>
      <c r="AB1308" t="str" cm="1">
        <f t="array" ref="AB1308">_xlfn.IFS(Y1308&lt;DATE(1996,1,1),"",Y1308&lt;DATE(1996,4,1),"Q1",Y1308&lt;DATE(1996,7,1),"Q2",Y1308&gt;=DATE(1996,7,1),"")</f>
        <v/>
      </c>
    </row>
    <row r="1309" spans="1:28" ht="14.4" x14ac:dyDescent="0.55000000000000004">
      <c r="A1309" t="str">
        <f>VLOOKUP(L1309,Customers!$A$2:$B$92,2,FALSE)</f>
        <v>QUICK-Stop</v>
      </c>
      <c r="B1309" t="str">
        <f>VLOOKUP(L1309,Customers!$A$2:$C$92,3,TRUE)</f>
        <v>Horst Kloss</v>
      </c>
      <c r="C1309" t="str">
        <f t="shared" si="341"/>
        <v>Horst</v>
      </c>
      <c r="D1309" s="8" t="str">
        <f t="shared" si="342"/>
        <v>Kloss</v>
      </c>
      <c r="E1309" s="8" t="str">
        <f t="shared" si="343"/>
        <v>Kloss, Horst</v>
      </c>
      <c r="F1309" s="8" t="str">
        <f t="shared" si="344"/>
        <v>Kloss, Horst</v>
      </c>
      <c r="G1309" s="8" t="str">
        <f t="shared" si="345"/>
        <v>not an outlier</v>
      </c>
      <c r="H1309" s="8" t="str">
        <f t="shared" si="346"/>
        <v>Not</v>
      </c>
      <c r="I1309" s="8" t="str">
        <f t="shared" si="356"/>
        <v>no</v>
      </c>
      <c r="J1309" s="10" t="str">
        <f t="shared" si="347"/>
        <v>no</v>
      </c>
      <c r="K1309" s="10" t="str">
        <f t="shared" si="348"/>
        <v>no</v>
      </c>
      <c r="L1309" t="s">
        <v>475</v>
      </c>
      <c r="M1309">
        <v>10745</v>
      </c>
      <c r="N1309">
        <v>72</v>
      </c>
      <c r="O1309" t="s">
        <v>685</v>
      </c>
      <c r="P1309" t="str">
        <f t="shared" si="349"/>
        <v>QUICK_10745_Mozzarella di Giovanni</v>
      </c>
      <c r="Q1309" t="str">
        <f t="shared" si="350"/>
        <v>10745</v>
      </c>
      <c r="R1309" t="str">
        <f t="shared" si="351"/>
        <v>10745</v>
      </c>
      <c r="S1309" t="str">
        <f t="shared" si="352"/>
        <v>Mozzarella di Giovanni</v>
      </c>
      <c r="T1309">
        <v>34.799999999999997</v>
      </c>
      <c r="U1309">
        <v>7</v>
      </c>
      <c r="V1309">
        <v>0</v>
      </c>
      <c r="W1309">
        <f t="shared" si="353"/>
        <v>243.59999999999997</v>
      </c>
      <c r="X1309" t="str">
        <f t="shared" si="354"/>
        <v>No</v>
      </c>
      <c r="Y1309" s="2">
        <v>35052</v>
      </c>
      <c r="Z1309" t="str">
        <f t="shared" si="340"/>
        <v/>
      </c>
      <c r="AA1309" t="str">
        <f t="shared" si="355"/>
        <v/>
      </c>
      <c r="AB1309" t="str" cm="1">
        <f t="array" ref="AB1309">_xlfn.IFS(Y1309&lt;DATE(1996,1,1),"",Y1309&lt;DATE(1996,4,1),"Q1",Y1309&lt;DATE(1996,7,1),"Q2",Y1309&gt;=DATE(1996,7,1),"")</f>
        <v/>
      </c>
    </row>
    <row r="1310" spans="1:28" ht="14.4" x14ac:dyDescent="0.55000000000000004">
      <c r="A1310" t="str">
        <f>VLOOKUP(L1310,Customers!$A$2:$B$92,2,FALSE)</f>
        <v>Chop-suey Chinese</v>
      </c>
      <c r="B1310" t="str">
        <f>VLOOKUP(L1310,Customers!$A$2:$C$92,3,TRUE)</f>
        <v>Yang Wang</v>
      </c>
      <c r="C1310" t="str">
        <f t="shared" si="341"/>
        <v>Yang</v>
      </c>
      <c r="D1310" s="8" t="str">
        <f t="shared" si="342"/>
        <v>Wang</v>
      </c>
      <c r="E1310" s="8" t="str">
        <f t="shared" si="343"/>
        <v>Wang, Yang</v>
      </c>
      <c r="F1310" s="8" t="str">
        <f t="shared" si="344"/>
        <v>Wang, Yang</v>
      </c>
      <c r="G1310" s="8" t="str">
        <f t="shared" si="345"/>
        <v>not an outlier</v>
      </c>
      <c r="H1310" s="8" t="str">
        <f t="shared" si="346"/>
        <v>Not</v>
      </c>
      <c r="I1310" s="8" t="str">
        <f t="shared" si="356"/>
        <v>no</v>
      </c>
      <c r="J1310" s="10" t="str">
        <f t="shared" si="347"/>
        <v>no</v>
      </c>
      <c r="K1310" s="10" t="str">
        <f t="shared" si="348"/>
        <v>no</v>
      </c>
      <c r="L1310" t="s">
        <v>116</v>
      </c>
      <c r="M1310">
        <v>10746</v>
      </c>
      <c r="N1310">
        <v>13</v>
      </c>
      <c r="O1310" t="s">
        <v>726</v>
      </c>
      <c r="P1310" t="str">
        <f t="shared" si="349"/>
        <v>CHOPS_10746_Konbu</v>
      </c>
      <c r="Q1310" t="str">
        <f t="shared" si="350"/>
        <v>10746</v>
      </c>
      <c r="R1310" t="str">
        <f t="shared" si="351"/>
        <v>10746</v>
      </c>
      <c r="S1310" t="str">
        <f t="shared" si="352"/>
        <v>Konbu</v>
      </c>
      <c r="T1310">
        <v>6</v>
      </c>
      <c r="U1310">
        <v>6</v>
      </c>
      <c r="V1310">
        <v>0</v>
      </c>
      <c r="W1310">
        <f t="shared" si="353"/>
        <v>36</v>
      </c>
      <c r="X1310" t="str">
        <f t="shared" si="354"/>
        <v>No</v>
      </c>
      <c r="Y1310" s="2">
        <v>35053</v>
      </c>
      <c r="Z1310" t="str">
        <f t="shared" si="340"/>
        <v/>
      </c>
      <c r="AA1310" t="str">
        <f t="shared" si="355"/>
        <v/>
      </c>
      <c r="AB1310" t="str" cm="1">
        <f t="array" ref="AB1310">_xlfn.IFS(Y1310&lt;DATE(1996,1,1),"",Y1310&lt;DATE(1996,4,1),"Q1",Y1310&lt;DATE(1996,7,1),"Q2",Y1310&gt;=DATE(1996,7,1),"")</f>
        <v/>
      </c>
    </row>
    <row r="1311" spans="1:28" ht="14.4" x14ac:dyDescent="0.55000000000000004">
      <c r="A1311" t="str">
        <f>VLOOKUP(L1311,Customers!$A$2:$B$92,2,FALSE)</f>
        <v>Chop-suey Chinese</v>
      </c>
      <c r="B1311" t="str">
        <f>VLOOKUP(L1311,Customers!$A$2:$C$92,3,TRUE)</f>
        <v>Yang Wang</v>
      </c>
      <c r="C1311" t="str">
        <f t="shared" si="341"/>
        <v>Yang</v>
      </c>
      <c r="D1311" s="8" t="str">
        <f t="shared" si="342"/>
        <v>Wang</v>
      </c>
      <c r="E1311" s="8" t="str">
        <f t="shared" si="343"/>
        <v>Wang, Yang</v>
      </c>
      <c r="F1311" s="8" t="str">
        <f t="shared" si="344"/>
        <v>Wang, Yang</v>
      </c>
      <c r="G1311" s="8" t="str">
        <f t="shared" si="345"/>
        <v>not an outlier</v>
      </c>
      <c r="H1311" s="8" t="str">
        <f t="shared" si="346"/>
        <v>Not</v>
      </c>
      <c r="I1311" s="8" t="str">
        <f t="shared" si="356"/>
        <v>no</v>
      </c>
      <c r="J1311" s="10" t="str">
        <f t="shared" si="347"/>
        <v>no</v>
      </c>
      <c r="K1311" s="10" t="str">
        <f t="shared" si="348"/>
        <v>no</v>
      </c>
      <c r="L1311" t="s">
        <v>116</v>
      </c>
      <c r="M1311">
        <v>10746</v>
      </c>
      <c r="N1311">
        <v>42</v>
      </c>
      <c r="O1311" t="s">
        <v>684</v>
      </c>
      <c r="P1311" t="str">
        <f t="shared" si="349"/>
        <v>CHOPS_10746_Singaporean Hokkien Fried Mee</v>
      </c>
      <c r="Q1311" t="str">
        <f t="shared" si="350"/>
        <v>10746</v>
      </c>
      <c r="R1311" t="str">
        <f t="shared" si="351"/>
        <v>10746</v>
      </c>
      <c r="S1311" t="str">
        <f t="shared" si="352"/>
        <v>Singaporean Hokkien Fried Mee</v>
      </c>
      <c r="T1311">
        <v>14</v>
      </c>
      <c r="U1311">
        <v>28</v>
      </c>
      <c r="V1311">
        <v>0</v>
      </c>
      <c r="W1311">
        <f t="shared" si="353"/>
        <v>392</v>
      </c>
      <c r="X1311" t="str">
        <f t="shared" si="354"/>
        <v>No</v>
      </c>
      <c r="Y1311" s="2">
        <v>35053</v>
      </c>
      <c r="Z1311" t="str">
        <f t="shared" si="340"/>
        <v/>
      </c>
      <c r="AA1311" t="str">
        <f t="shared" si="355"/>
        <v/>
      </c>
      <c r="AB1311" t="str" cm="1">
        <f t="array" ref="AB1311">_xlfn.IFS(Y1311&lt;DATE(1996,1,1),"",Y1311&lt;DATE(1996,4,1),"Q1",Y1311&lt;DATE(1996,7,1),"Q2",Y1311&gt;=DATE(1996,7,1),"")</f>
        <v/>
      </c>
    </row>
    <row r="1312" spans="1:28" ht="14.4" x14ac:dyDescent="0.55000000000000004">
      <c r="A1312" t="str">
        <f>VLOOKUP(L1312,Customers!$A$2:$B$92,2,FALSE)</f>
        <v>Chop-suey Chinese</v>
      </c>
      <c r="B1312" t="str">
        <f>VLOOKUP(L1312,Customers!$A$2:$C$92,3,TRUE)</f>
        <v>Yang Wang</v>
      </c>
      <c r="C1312" t="str">
        <f t="shared" si="341"/>
        <v>Yang</v>
      </c>
      <c r="D1312" s="8" t="str">
        <f t="shared" si="342"/>
        <v>Wang</v>
      </c>
      <c r="E1312" s="8" t="str">
        <f t="shared" si="343"/>
        <v>Wang, Yang</v>
      </c>
      <c r="F1312" s="8" t="str">
        <f t="shared" si="344"/>
        <v>Wang, Yang</v>
      </c>
      <c r="G1312" s="8" t="str">
        <f t="shared" si="345"/>
        <v>not an outlier</v>
      </c>
      <c r="H1312" s="8" t="str">
        <f t="shared" si="346"/>
        <v>Not</v>
      </c>
      <c r="I1312" s="8" t="str">
        <f t="shared" si="356"/>
        <v>no</v>
      </c>
      <c r="J1312" s="10" t="str">
        <f t="shared" si="347"/>
        <v>no</v>
      </c>
      <c r="K1312" s="10" t="str">
        <f t="shared" si="348"/>
        <v>no</v>
      </c>
      <c r="L1312" t="s">
        <v>116</v>
      </c>
      <c r="M1312">
        <v>10746</v>
      </c>
      <c r="N1312">
        <v>62</v>
      </c>
      <c r="O1312" t="s">
        <v>712</v>
      </c>
      <c r="P1312" t="str">
        <f t="shared" si="349"/>
        <v>CHOPS_10746_Tarte au sucre</v>
      </c>
      <c r="Q1312" t="str">
        <f t="shared" si="350"/>
        <v>10746</v>
      </c>
      <c r="R1312" t="str">
        <f t="shared" si="351"/>
        <v>10746</v>
      </c>
      <c r="S1312" t="str">
        <f t="shared" si="352"/>
        <v>Tarte au sucre</v>
      </c>
      <c r="T1312">
        <v>49.3</v>
      </c>
      <c r="U1312">
        <v>9</v>
      </c>
      <c r="V1312">
        <v>0</v>
      </c>
      <c r="W1312">
        <f t="shared" si="353"/>
        <v>443.7</v>
      </c>
      <c r="X1312" t="str">
        <f t="shared" si="354"/>
        <v>No</v>
      </c>
      <c r="Y1312" s="2">
        <v>35053</v>
      </c>
      <c r="Z1312" t="str">
        <f t="shared" si="340"/>
        <v/>
      </c>
      <c r="AA1312" t="str">
        <f t="shared" si="355"/>
        <v/>
      </c>
      <c r="AB1312" t="str" cm="1">
        <f t="array" ref="AB1312">_xlfn.IFS(Y1312&lt;DATE(1996,1,1),"",Y1312&lt;DATE(1996,4,1),"Q1",Y1312&lt;DATE(1996,7,1),"Q2",Y1312&gt;=DATE(1996,7,1),"")</f>
        <v/>
      </c>
    </row>
    <row r="1313" spans="1:28" ht="14.4" x14ac:dyDescent="0.55000000000000004">
      <c r="A1313" t="str">
        <f>VLOOKUP(L1313,Customers!$A$2:$B$92,2,FALSE)</f>
        <v>Chop-suey Chinese</v>
      </c>
      <c r="B1313" t="str">
        <f>VLOOKUP(L1313,Customers!$A$2:$C$92,3,TRUE)</f>
        <v>Yang Wang</v>
      </c>
      <c r="C1313" t="str">
        <f t="shared" si="341"/>
        <v>Yang</v>
      </c>
      <c r="D1313" s="8" t="str">
        <f t="shared" si="342"/>
        <v>Wang</v>
      </c>
      <c r="E1313" s="8" t="str">
        <f t="shared" si="343"/>
        <v>Wang, Yang</v>
      </c>
      <c r="F1313" s="8" t="str">
        <f t="shared" si="344"/>
        <v>Wang, Yang</v>
      </c>
      <c r="G1313" s="8" t="str">
        <f t="shared" si="345"/>
        <v>not an outlier</v>
      </c>
      <c r="H1313" s="8" t="str">
        <f t="shared" si="346"/>
        <v>Not</v>
      </c>
      <c r="I1313" s="8" t="str">
        <f t="shared" si="356"/>
        <v>no</v>
      </c>
      <c r="J1313" s="10" t="str">
        <f t="shared" si="347"/>
        <v>no</v>
      </c>
      <c r="K1313" s="10" t="str">
        <f t="shared" si="348"/>
        <v>no</v>
      </c>
      <c r="L1313" t="s">
        <v>116</v>
      </c>
      <c r="M1313">
        <v>10746</v>
      </c>
      <c r="N1313">
        <v>69</v>
      </c>
      <c r="O1313" t="s">
        <v>743</v>
      </c>
      <c r="P1313" t="str">
        <f t="shared" si="349"/>
        <v>CHOPS_10746_Gudbrandsdalsost</v>
      </c>
      <c r="Q1313" t="str">
        <f t="shared" si="350"/>
        <v>10746</v>
      </c>
      <c r="R1313" t="str">
        <f t="shared" si="351"/>
        <v>10746</v>
      </c>
      <c r="S1313" t="str">
        <f t="shared" si="352"/>
        <v>Gudbrandsdalsost</v>
      </c>
      <c r="T1313">
        <v>36</v>
      </c>
      <c r="U1313">
        <v>40</v>
      </c>
      <c r="V1313">
        <v>0</v>
      </c>
      <c r="W1313">
        <f t="shared" si="353"/>
        <v>1440</v>
      </c>
      <c r="X1313" t="str">
        <f t="shared" si="354"/>
        <v>No</v>
      </c>
      <c r="Y1313" s="2">
        <v>35053</v>
      </c>
      <c r="Z1313" t="str">
        <f t="shared" si="340"/>
        <v/>
      </c>
      <c r="AA1313" t="str">
        <f t="shared" si="355"/>
        <v/>
      </c>
      <c r="AB1313" t="str" cm="1">
        <f t="array" ref="AB1313">_xlfn.IFS(Y1313&lt;DATE(1996,1,1),"",Y1313&lt;DATE(1996,4,1),"Q1",Y1313&lt;DATE(1996,7,1),"Q2",Y1313&gt;=DATE(1996,7,1),"")</f>
        <v/>
      </c>
    </row>
    <row r="1314" spans="1:28" ht="14.4" x14ac:dyDescent="0.55000000000000004">
      <c r="A1314" t="str">
        <f>VLOOKUP(L1314,Customers!$A$2:$B$92,2,FALSE)</f>
        <v>Piccolo und mehr</v>
      </c>
      <c r="B1314" t="str">
        <f>VLOOKUP(L1314,Customers!$A$2:$C$92,3,TRUE)</f>
        <v>Georg Pipps</v>
      </c>
      <c r="C1314" t="str">
        <f t="shared" si="341"/>
        <v>Georg</v>
      </c>
      <c r="D1314" s="8" t="str">
        <f t="shared" si="342"/>
        <v>Pipps</v>
      </c>
      <c r="E1314" s="8" t="str">
        <f t="shared" si="343"/>
        <v>Pipps, Georg</v>
      </c>
      <c r="F1314" s="8" t="str">
        <f t="shared" si="344"/>
        <v>Pipps, Georg</v>
      </c>
      <c r="G1314" s="8" t="str">
        <f t="shared" si="345"/>
        <v>not an outlier</v>
      </c>
      <c r="H1314" s="8" t="str">
        <f t="shared" si="346"/>
        <v>Not</v>
      </c>
      <c r="I1314" s="8" t="str">
        <f t="shared" si="356"/>
        <v>no</v>
      </c>
      <c r="J1314" s="10" t="str">
        <f t="shared" si="347"/>
        <v>no</v>
      </c>
      <c r="K1314" s="10" t="str">
        <f t="shared" si="348"/>
        <v>no</v>
      </c>
      <c r="L1314" t="s">
        <v>450</v>
      </c>
      <c r="M1314">
        <v>10747</v>
      </c>
      <c r="N1314">
        <v>31</v>
      </c>
      <c r="O1314" t="s">
        <v>695</v>
      </c>
      <c r="P1314" t="str">
        <f t="shared" si="349"/>
        <v>PICCO_10747_Gorgonzola Telino</v>
      </c>
      <c r="Q1314" t="str">
        <f t="shared" si="350"/>
        <v>10747</v>
      </c>
      <c r="R1314" t="str">
        <f t="shared" si="351"/>
        <v>10747</v>
      </c>
      <c r="S1314" t="str">
        <f t="shared" si="352"/>
        <v>Gorgonzola Telino</v>
      </c>
      <c r="T1314">
        <v>12.5</v>
      </c>
      <c r="U1314">
        <v>8</v>
      </c>
      <c r="V1314">
        <v>0</v>
      </c>
      <c r="W1314">
        <f t="shared" si="353"/>
        <v>100</v>
      </c>
      <c r="X1314" t="str">
        <f t="shared" si="354"/>
        <v>No</v>
      </c>
      <c r="Y1314" s="2">
        <v>35053</v>
      </c>
      <c r="Z1314" t="str">
        <f t="shared" si="340"/>
        <v/>
      </c>
      <c r="AA1314" t="str">
        <f t="shared" si="355"/>
        <v/>
      </c>
      <c r="AB1314" t="str" cm="1">
        <f t="array" ref="AB1314">_xlfn.IFS(Y1314&lt;DATE(1996,1,1),"",Y1314&lt;DATE(1996,4,1),"Q1",Y1314&lt;DATE(1996,7,1),"Q2",Y1314&gt;=DATE(1996,7,1),"")</f>
        <v/>
      </c>
    </row>
    <row r="1315" spans="1:28" ht="14.4" x14ac:dyDescent="0.55000000000000004">
      <c r="A1315" t="str">
        <f>VLOOKUP(L1315,Customers!$A$2:$B$92,2,FALSE)</f>
        <v>Piccolo und mehr</v>
      </c>
      <c r="B1315" t="str">
        <f>VLOOKUP(L1315,Customers!$A$2:$C$92,3,TRUE)</f>
        <v>Georg Pipps</v>
      </c>
      <c r="C1315" t="str">
        <f t="shared" si="341"/>
        <v>Georg</v>
      </c>
      <c r="D1315" s="8" t="str">
        <f t="shared" si="342"/>
        <v>Pipps</v>
      </c>
      <c r="E1315" s="8" t="str">
        <f t="shared" si="343"/>
        <v>Pipps, Georg</v>
      </c>
      <c r="F1315" s="8" t="str">
        <f t="shared" si="344"/>
        <v>Pipps, Georg</v>
      </c>
      <c r="G1315" s="8" t="str">
        <f t="shared" si="345"/>
        <v>not an outlier</v>
      </c>
      <c r="H1315" s="8" t="str">
        <f t="shared" si="346"/>
        <v>Not</v>
      </c>
      <c r="I1315" s="8" t="str">
        <f t="shared" si="356"/>
        <v>no</v>
      </c>
      <c r="J1315" s="10" t="str">
        <f t="shared" si="347"/>
        <v>no</v>
      </c>
      <c r="K1315" s="10" t="str">
        <f t="shared" si="348"/>
        <v>no</v>
      </c>
      <c r="L1315" t="s">
        <v>450</v>
      </c>
      <c r="M1315">
        <v>10747</v>
      </c>
      <c r="N1315">
        <v>41</v>
      </c>
      <c r="O1315" t="s">
        <v>688</v>
      </c>
      <c r="P1315" t="str">
        <f t="shared" si="349"/>
        <v>PICCO_10747_Jack's New England Clam Chowder</v>
      </c>
      <c r="Q1315" t="str">
        <f t="shared" si="350"/>
        <v>10747</v>
      </c>
      <c r="R1315" t="str">
        <f t="shared" si="351"/>
        <v>10747</v>
      </c>
      <c r="S1315" t="str">
        <f t="shared" si="352"/>
        <v>Jack's New England Clam Chowder</v>
      </c>
      <c r="T1315">
        <v>9.65</v>
      </c>
      <c r="U1315">
        <v>35</v>
      </c>
      <c r="V1315">
        <v>0</v>
      </c>
      <c r="W1315">
        <f t="shared" si="353"/>
        <v>337.75</v>
      </c>
      <c r="X1315" t="str">
        <f t="shared" si="354"/>
        <v>No</v>
      </c>
      <c r="Y1315" s="2">
        <v>35053</v>
      </c>
      <c r="Z1315" t="str">
        <f t="shared" si="340"/>
        <v/>
      </c>
      <c r="AA1315" t="str">
        <f t="shared" si="355"/>
        <v/>
      </c>
      <c r="AB1315" t="str" cm="1">
        <f t="array" ref="AB1315">_xlfn.IFS(Y1315&lt;DATE(1996,1,1),"",Y1315&lt;DATE(1996,4,1),"Q1",Y1315&lt;DATE(1996,7,1),"Q2",Y1315&gt;=DATE(1996,7,1),"")</f>
        <v/>
      </c>
    </row>
    <row r="1316" spans="1:28" ht="14.4" x14ac:dyDescent="0.55000000000000004">
      <c r="A1316" t="str">
        <f>VLOOKUP(L1316,Customers!$A$2:$B$92,2,FALSE)</f>
        <v>Piccolo und mehr</v>
      </c>
      <c r="B1316" t="str">
        <f>VLOOKUP(L1316,Customers!$A$2:$C$92,3,TRUE)</f>
        <v>Georg Pipps</v>
      </c>
      <c r="C1316" t="str">
        <f t="shared" si="341"/>
        <v>Georg</v>
      </c>
      <c r="D1316" s="8" t="str">
        <f t="shared" si="342"/>
        <v>Pipps</v>
      </c>
      <c r="E1316" s="8" t="str">
        <f t="shared" si="343"/>
        <v>Pipps, Georg</v>
      </c>
      <c r="F1316" s="8" t="str">
        <f t="shared" si="344"/>
        <v>Pipps, Georg</v>
      </c>
      <c r="G1316" s="8" t="str">
        <f t="shared" si="345"/>
        <v>not an outlier</v>
      </c>
      <c r="H1316" s="8" t="str">
        <f t="shared" si="346"/>
        <v>Not</v>
      </c>
      <c r="I1316" s="8" t="str">
        <f t="shared" si="356"/>
        <v>no</v>
      </c>
      <c r="J1316" s="10" t="str">
        <f t="shared" si="347"/>
        <v>no</v>
      </c>
      <c r="K1316" s="10" t="str">
        <f t="shared" si="348"/>
        <v>no</v>
      </c>
      <c r="L1316" t="s">
        <v>450</v>
      </c>
      <c r="M1316">
        <v>10747</v>
      </c>
      <c r="N1316">
        <v>63</v>
      </c>
      <c r="O1316" t="s">
        <v>729</v>
      </c>
      <c r="P1316" t="str">
        <f t="shared" si="349"/>
        <v>PICCO_10747_Vegie-spread</v>
      </c>
      <c r="Q1316" t="str">
        <f t="shared" si="350"/>
        <v>10747</v>
      </c>
      <c r="R1316" t="str">
        <f t="shared" si="351"/>
        <v>10747</v>
      </c>
      <c r="S1316" t="str">
        <f t="shared" si="352"/>
        <v>Vegie-spread</v>
      </c>
      <c r="T1316">
        <v>43.9</v>
      </c>
      <c r="U1316">
        <v>9</v>
      </c>
      <c r="V1316">
        <v>0</v>
      </c>
      <c r="W1316">
        <f t="shared" si="353"/>
        <v>395.09999999999997</v>
      </c>
      <c r="X1316" t="str">
        <f t="shared" si="354"/>
        <v>No</v>
      </c>
      <c r="Y1316" s="2">
        <v>35053</v>
      </c>
      <c r="Z1316" t="str">
        <f t="shared" si="340"/>
        <v/>
      </c>
      <c r="AA1316" t="str">
        <f t="shared" si="355"/>
        <v/>
      </c>
      <c r="AB1316" t="str" cm="1">
        <f t="array" ref="AB1316">_xlfn.IFS(Y1316&lt;DATE(1996,1,1),"",Y1316&lt;DATE(1996,4,1),"Q1",Y1316&lt;DATE(1996,7,1),"Q2",Y1316&gt;=DATE(1996,7,1),"")</f>
        <v/>
      </c>
    </row>
    <row r="1317" spans="1:28" ht="14.4" x14ac:dyDescent="0.55000000000000004">
      <c r="A1317" t="str">
        <f>VLOOKUP(L1317,Customers!$A$2:$B$92,2,FALSE)</f>
        <v>Piccolo und mehr</v>
      </c>
      <c r="B1317" t="str">
        <f>VLOOKUP(L1317,Customers!$A$2:$C$92,3,TRUE)</f>
        <v>Georg Pipps</v>
      </c>
      <c r="C1317" t="str">
        <f t="shared" si="341"/>
        <v>Georg</v>
      </c>
      <c r="D1317" s="8" t="str">
        <f t="shared" si="342"/>
        <v>Pipps</v>
      </c>
      <c r="E1317" s="8" t="str">
        <f t="shared" si="343"/>
        <v>Pipps, Georg</v>
      </c>
      <c r="F1317" s="8" t="str">
        <f t="shared" si="344"/>
        <v>Pipps, Georg</v>
      </c>
      <c r="G1317" s="8" t="str">
        <f t="shared" si="345"/>
        <v>not an outlier</v>
      </c>
      <c r="H1317" s="8" t="str">
        <f t="shared" si="346"/>
        <v>Not</v>
      </c>
      <c r="I1317" s="8" t="str">
        <f t="shared" si="356"/>
        <v>no</v>
      </c>
      <c r="J1317" s="10" t="str">
        <f t="shared" si="347"/>
        <v>no</v>
      </c>
      <c r="K1317" s="10" t="str">
        <f t="shared" si="348"/>
        <v>no</v>
      </c>
      <c r="L1317" t="s">
        <v>450</v>
      </c>
      <c r="M1317">
        <v>10747</v>
      </c>
      <c r="N1317">
        <v>69</v>
      </c>
      <c r="O1317" t="s">
        <v>743</v>
      </c>
      <c r="P1317" t="str">
        <f t="shared" si="349"/>
        <v>PICCO_10747_Gudbrandsdalsost</v>
      </c>
      <c r="Q1317" t="str">
        <f t="shared" si="350"/>
        <v>10747</v>
      </c>
      <c r="R1317" t="str">
        <f t="shared" si="351"/>
        <v>10747</v>
      </c>
      <c r="S1317" t="str">
        <f t="shared" si="352"/>
        <v>Gudbrandsdalsost</v>
      </c>
      <c r="T1317">
        <v>36</v>
      </c>
      <c r="U1317">
        <v>30</v>
      </c>
      <c r="V1317">
        <v>0</v>
      </c>
      <c r="W1317">
        <f t="shared" si="353"/>
        <v>1080</v>
      </c>
      <c r="X1317" t="str">
        <f t="shared" si="354"/>
        <v>No</v>
      </c>
      <c r="Y1317" s="2">
        <v>35053</v>
      </c>
      <c r="Z1317" t="str">
        <f t="shared" si="340"/>
        <v/>
      </c>
      <c r="AA1317" t="str">
        <f t="shared" si="355"/>
        <v/>
      </c>
      <c r="AB1317" t="str" cm="1">
        <f t="array" ref="AB1317">_xlfn.IFS(Y1317&lt;DATE(1996,1,1),"",Y1317&lt;DATE(1996,4,1),"Q1",Y1317&lt;DATE(1996,7,1),"Q2",Y1317&gt;=DATE(1996,7,1),"")</f>
        <v/>
      </c>
    </row>
    <row r="1318" spans="1:28" ht="14.4" x14ac:dyDescent="0.55000000000000004">
      <c r="A1318" t="str">
        <f>VLOOKUP(L1318,Customers!$A$2:$B$92,2,FALSE)</f>
        <v>Save-a-lot Markets</v>
      </c>
      <c r="B1318" t="str">
        <f>VLOOKUP(L1318,Customers!$A$2:$C$92,3,TRUE)</f>
        <v>Jose Pavarotti</v>
      </c>
      <c r="C1318" t="str">
        <f t="shared" si="341"/>
        <v>Jose</v>
      </c>
      <c r="D1318" s="8" t="str">
        <f t="shared" si="342"/>
        <v>Pavarotti</v>
      </c>
      <c r="E1318" s="8" t="str">
        <f t="shared" si="343"/>
        <v>Pavarotti, Jose</v>
      </c>
      <c r="F1318" s="8" t="str">
        <f t="shared" si="344"/>
        <v>Pavarotti, Jose</v>
      </c>
      <c r="G1318" s="8" t="str">
        <f t="shared" si="345"/>
        <v>not an outlier</v>
      </c>
      <c r="H1318" s="8" t="str">
        <f t="shared" si="346"/>
        <v>Not</v>
      </c>
      <c r="I1318" s="8" t="str">
        <f t="shared" si="356"/>
        <v>no</v>
      </c>
      <c r="J1318" s="10" t="str">
        <f t="shared" si="347"/>
        <v>no</v>
      </c>
      <c r="K1318" s="10" t="str">
        <f t="shared" si="348"/>
        <v>no</v>
      </c>
      <c r="L1318" t="s">
        <v>529</v>
      </c>
      <c r="M1318">
        <v>10748</v>
      </c>
      <c r="N1318">
        <v>23</v>
      </c>
      <c r="O1318" t="s">
        <v>753</v>
      </c>
      <c r="P1318" t="str">
        <f t="shared" si="349"/>
        <v>SAVEA_10748_Tunnbröd</v>
      </c>
      <c r="Q1318" t="str">
        <f t="shared" si="350"/>
        <v>10748</v>
      </c>
      <c r="R1318" t="str">
        <f t="shared" si="351"/>
        <v>10748</v>
      </c>
      <c r="S1318" t="str">
        <f t="shared" si="352"/>
        <v>Tunnbröd</v>
      </c>
      <c r="T1318">
        <v>9</v>
      </c>
      <c r="U1318">
        <v>44</v>
      </c>
      <c r="V1318">
        <v>0</v>
      </c>
      <c r="W1318">
        <f t="shared" si="353"/>
        <v>396</v>
      </c>
      <c r="X1318" t="str">
        <f t="shared" si="354"/>
        <v>No</v>
      </c>
      <c r="Y1318" s="2">
        <v>35054</v>
      </c>
      <c r="Z1318" t="str">
        <f t="shared" si="340"/>
        <v/>
      </c>
      <c r="AA1318" t="str">
        <f t="shared" si="355"/>
        <v/>
      </c>
      <c r="AB1318" t="str" cm="1">
        <f t="array" ref="AB1318">_xlfn.IFS(Y1318&lt;DATE(1996,1,1),"",Y1318&lt;DATE(1996,4,1),"Q1",Y1318&lt;DATE(1996,7,1),"Q2",Y1318&gt;=DATE(1996,7,1),"")</f>
        <v/>
      </c>
    </row>
    <row r="1319" spans="1:28" ht="14.4" x14ac:dyDescent="0.55000000000000004">
      <c r="A1319" t="str">
        <f>VLOOKUP(L1319,Customers!$A$2:$B$92,2,FALSE)</f>
        <v>Save-a-lot Markets</v>
      </c>
      <c r="B1319" t="str">
        <f>VLOOKUP(L1319,Customers!$A$2:$C$92,3,TRUE)</f>
        <v>Jose Pavarotti</v>
      </c>
      <c r="C1319" t="str">
        <f t="shared" si="341"/>
        <v>Jose</v>
      </c>
      <c r="D1319" s="8" t="str">
        <f t="shared" si="342"/>
        <v>Pavarotti</v>
      </c>
      <c r="E1319" s="8" t="str">
        <f t="shared" si="343"/>
        <v>Pavarotti, Jose</v>
      </c>
      <c r="F1319" s="8" t="str">
        <f t="shared" si="344"/>
        <v>Pavarotti, Jose</v>
      </c>
      <c r="G1319" s="8" t="str">
        <f t="shared" si="345"/>
        <v>not an outlier</v>
      </c>
      <c r="H1319" s="8" t="str">
        <f t="shared" si="346"/>
        <v>Not</v>
      </c>
      <c r="I1319" s="8" t="str">
        <f t="shared" si="356"/>
        <v>no</v>
      </c>
      <c r="J1319" s="10" t="str">
        <f t="shared" si="347"/>
        <v>no</v>
      </c>
      <c r="K1319" s="10" t="str">
        <f t="shared" si="348"/>
        <v>no</v>
      </c>
      <c r="L1319" t="s">
        <v>529</v>
      </c>
      <c r="M1319">
        <v>10748</v>
      </c>
      <c r="N1319">
        <v>40</v>
      </c>
      <c r="O1319" t="s">
        <v>720</v>
      </c>
      <c r="P1319" t="str">
        <f t="shared" si="349"/>
        <v>SAVEA_10748_Boston Crab Meat</v>
      </c>
      <c r="Q1319" t="str">
        <f t="shared" si="350"/>
        <v>10748</v>
      </c>
      <c r="R1319" t="str">
        <f t="shared" si="351"/>
        <v>10748</v>
      </c>
      <c r="S1319" t="str">
        <f t="shared" si="352"/>
        <v>Boston Crab Meat</v>
      </c>
      <c r="T1319">
        <v>18.399999999999999</v>
      </c>
      <c r="U1319">
        <v>40</v>
      </c>
      <c r="V1319">
        <v>0</v>
      </c>
      <c r="W1319">
        <f t="shared" si="353"/>
        <v>736</v>
      </c>
      <c r="X1319" t="str">
        <f t="shared" si="354"/>
        <v>No</v>
      </c>
      <c r="Y1319" s="2">
        <v>35054</v>
      </c>
      <c r="Z1319" t="str">
        <f t="shared" si="340"/>
        <v/>
      </c>
      <c r="AA1319" t="str">
        <f t="shared" si="355"/>
        <v/>
      </c>
      <c r="AB1319" t="str" cm="1">
        <f t="array" ref="AB1319">_xlfn.IFS(Y1319&lt;DATE(1996,1,1),"",Y1319&lt;DATE(1996,4,1),"Q1",Y1319&lt;DATE(1996,7,1),"Q2",Y1319&gt;=DATE(1996,7,1),"")</f>
        <v/>
      </c>
    </row>
    <row r="1320" spans="1:28" ht="14.4" x14ac:dyDescent="0.55000000000000004">
      <c r="A1320" t="str">
        <f>VLOOKUP(L1320,Customers!$A$2:$B$92,2,FALSE)</f>
        <v>Save-a-lot Markets</v>
      </c>
      <c r="B1320" t="str">
        <f>VLOOKUP(L1320,Customers!$A$2:$C$92,3,TRUE)</f>
        <v>Jose Pavarotti</v>
      </c>
      <c r="C1320" t="str">
        <f t="shared" si="341"/>
        <v>Jose</v>
      </c>
      <c r="D1320" s="8" t="str">
        <f t="shared" si="342"/>
        <v>Pavarotti</v>
      </c>
      <c r="E1320" s="8" t="str">
        <f t="shared" si="343"/>
        <v>Pavarotti, Jose</v>
      </c>
      <c r="F1320" s="8" t="str">
        <f t="shared" si="344"/>
        <v>Pavarotti, Jose</v>
      </c>
      <c r="G1320" s="8" t="str">
        <f t="shared" si="345"/>
        <v>not an outlier</v>
      </c>
      <c r="H1320" s="8" t="str">
        <f t="shared" si="346"/>
        <v>Not</v>
      </c>
      <c r="I1320" s="8" t="str">
        <f t="shared" si="356"/>
        <v>no</v>
      </c>
      <c r="J1320" s="10" t="str">
        <f t="shared" si="347"/>
        <v>no</v>
      </c>
      <c r="K1320" s="10" t="str">
        <f t="shared" si="348"/>
        <v>no</v>
      </c>
      <c r="L1320" t="s">
        <v>529</v>
      </c>
      <c r="M1320">
        <v>10748</v>
      </c>
      <c r="N1320">
        <v>56</v>
      </c>
      <c r="O1320" t="s">
        <v>716</v>
      </c>
      <c r="P1320" t="str">
        <f t="shared" si="349"/>
        <v>SAVEA_10748_Gnocchi di nonna Alice</v>
      </c>
      <c r="Q1320" t="str">
        <f t="shared" si="350"/>
        <v>10748</v>
      </c>
      <c r="R1320" t="str">
        <f t="shared" si="351"/>
        <v>10748</v>
      </c>
      <c r="S1320" t="str">
        <f t="shared" si="352"/>
        <v>Gnocchi di nonna Alice</v>
      </c>
      <c r="T1320">
        <v>38</v>
      </c>
      <c r="U1320">
        <v>28</v>
      </c>
      <c r="V1320">
        <v>0</v>
      </c>
      <c r="W1320">
        <f t="shared" si="353"/>
        <v>1064</v>
      </c>
      <c r="X1320" t="str">
        <f t="shared" si="354"/>
        <v>No</v>
      </c>
      <c r="Y1320" s="2">
        <v>35054</v>
      </c>
      <c r="Z1320" t="str">
        <f t="shared" si="340"/>
        <v/>
      </c>
      <c r="AA1320" t="str">
        <f t="shared" si="355"/>
        <v/>
      </c>
      <c r="AB1320" t="str" cm="1">
        <f t="array" ref="AB1320">_xlfn.IFS(Y1320&lt;DATE(1996,1,1),"",Y1320&lt;DATE(1996,4,1),"Q1",Y1320&lt;DATE(1996,7,1),"Q2",Y1320&gt;=DATE(1996,7,1),"")</f>
        <v/>
      </c>
    </row>
    <row r="1321" spans="1:28" ht="14.4" x14ac:dyDescent="0.55000000000000004">
      <c r="A1321" t="str">
        <f>VLOOKUP(L1321,Customers!$A$2:$B$92,2,FALSE)</f>
        <v>Island Trading</v>
      </c>
      <c r="B1321" t="str">
        <f>VLOOKUP(L1321,Customers!$A$2:$C$92,3,TRUE)</f>
        <v>Helen Bennett</v>
      </c>
      <c r="C1321" t="str">
        <f t="shared" si="341"/>
        <v>Helen</v>
      </c>
      <c r="D1321" s="8" t="str">
        <f t="shared" si="342"/>
        <v>Bennett</v>
      </c>
      <c r="E1321" s="8" t="str">
        <f t="shared" si="343"/>
        <v>Bennett, Helen</v>
      </c>
      <c r="F1321" s="8" t="str">
        <f t="shared" si="344"/>
        <v>Bennett, Helen</v>
      </c>
      <c r="G1321" s="8" t="str">
        <f t="shared" si="345"/>
        <v>not an outlier</v>
      </c>
      <c r="H1321" s="8" t="str">
        <f t="shared" si="346"/>
        <v>Not</v>
      </c>
      <c r="I1321" s="8" t="str">
        <f t="shared" si="356"/>
        <v>no</v>
      </c>
      <c r="J1321" s="10" t="str">
        <f t="shared" si="347"/>
        <v>no</v>
      </c>
      <c r="K1321" s="10" t="str">
        <f t="shared" si="348"/>
        <v>no</v>
      </c>
      <c r="L1321" t="s">
        <v>297</v>
      </c>
      <c r="M1321">
        <v>10749</v>
      </c>
      <c r="N1321">
        <v>56</v>
      </c>
      <c r="O1321" t="s">
        <v>716</v>
      </c>
      <c r="P1321" t="str">
        <f t="shared" si="349"/>
        <v>ISLAT_10749_Gnocchi di nonna Alice</v>
      </c>
      <c r="Q1321" t="str">
        <f t="shared" si="350"/>
        <v>10749</v>
      </c>
      <c r="R1321" t="str">
        <f t="shared" si="351"/>
        <v>10749</v>
      </c>
      <c r="S1321" t="str">
        <f t="shared" si="352"/>
        <v>Gnocchi di nonna Alice</v>
      </c>
      <c r="T1321">
        <v>38</v>
      </c>
      <c r="U1321">
        <v>15</v>
      </c>
      <c r="V1321">
        <v>0</v>
      </c>
      <c r="W1321">
        <f t="shared" si="353"/>
        <v>570</v>
      </c>
      <c r="X1321" t="str">
        <f t="shared" si="354"/>
        <v>No</v>
      </c>
      <c r="Y1321" s="2">
        <v>35054</v>
      </c>
      <c r="Z1321" t="str">
        <f t="shared" si="340"/>
        <v/>
      </c>
      <c r="AA1321" t="str">
        <f t="shared" si="355"/>
        <v/>
      </c>
      <c r="AB1321" t="str" cm="1">
        <f t="array" ref="AB1321">_xlfn.IFS(Y1321&lt;DATE(1996,1,1),"",Y1321&lt;DATE(1996,4,1),"Q1",Y1321&lt;DATE(1996,7,1),"Q2",Y1321&gt;=DATE(1996,7,1),"")</f>
        <v/>
      </c>
    </row>
    <row r="1322" spans="1:28" ht="14.4" x14ac:dyDescent="0.55000000000000004">
      <c r="A1322" t="str">
        <f>VLOOKUP(L1322,Customers!$A$2:$B$92,2,FALSE)</f>
        <v>Island Trading</v>
      </c>
      <c r="B1322" t="str">
        <f>VLOOKUP(L1322,Customers!$A$2:$C$92,3,TRUE)</f>
        <v>Helen Bennett</v>
      </c>
      <c r="C1322" t="str">
        <f t="shared" si="341"/>
        <v>Helen</v>
      </c>
      <c r="D1322" s="8" t="str">
        <f t="shared" si="342"/>
        <v>Bennett</v>
      </c>
      <c r="E1322" s="8" t="str">
        <f t="shared" si="343"/>
        <v>Bennett, Helen</v>
      </c>
      <c r="F1322" s="8" t="str">
        <f t="shared" si="344"/>
        <v>Bennett, Helen</v>
      </c>
      <c r="G1322" s="8" t="str">
        <f t="shared" si="345"/>
        <v>not an outlier</v>
      </c>
      <c r="H1322" s="8" t="str">
        <f t="shared" si="346"/>
        <v>Not</v>
      </c>
      <c r="I1322" s="8" t="str">
        <f t="shared" si="356"/>
        <v>no</v>
      </c>
      <c r="J1322" s="10" t="str">
        <f t="shared" si="347"/>
        <v>no</v>
      </c>
      <c r="K1322" s="10" t="str">
        <f t="shared" si="348"/>
        <v>no</v>
      </c>
      <c r="L1322" t="s">
        <v>297</v>
      </c>
      <c r="M1322">
        <v>10749</v>
      </c>
      <c r="N1322">
        <v>59</v>
      </c>
      <c r="O1322" t="s">
        <v>704</v>
      </c>
      <c r="P1322" t="str">
        <f t="shared" si="349"/>
        <v>ISLAT_10749_Raclette Courdavault</v>
      </c>
      <c r="Q1322" t="str">
        <f t="shared" si="350"/>
        <v>10749</v>
      </c>
      <c r="R1322" t="str">
        <f t="shared" si="351"/>
        <v>10749</v>
      </c>
      <c r="S1322" t="str">
        <f t="shared" si="352"/>
        <v>Raclette Courdavault</v>
      </c>
      <c r="T1322">
        <v>55</v>
      </c>
      <c r="U1322">
        <v>6</v>
      </c>
      <c r="V1322">
        <v>0</v>
      </c>
      <c r="W1322">
        <f t="shared" si="353"/>
        <v>330</v>
      </c>
      <c r="X1322" t="str">
        <f t="shared" si="354"/>
        <v>No</v>
      </c>
      <c r="Y1322" s="2">
        <v>35054</v>
      </c>
      <c r="Z1322" t="str">
        <f t="shared" si="340"/>
        <v/>
      </c>
      <c r="AA1322" t="str">
        <f t="shared" si="355"/>
        <v/>
      </c>
      <c r="AB1322" t="str" cm="1">
        <f t="array" ref="AB1322">_xlfn.IFS(Y1322&lt;DATE(1996,1,1),"",Y1322&lt;DATE(1996,4,1),"Q1",Y1322&lt;DATE(1996,7,1),"Q2",Y1322&gt;=DATE(1996,7,1),"")</f>
        <v/>
      </c>
    </row>
    <row r="1323" spans="1:28" ht="14.4" x14ac:dyDescent="0.55000000000000004">
      <c r="A1323" t="str">
        <f>VLOOKUP(L1323,Customers!$A$2:$B$92,2,FALSE)</f>
        <v>Island Trading</v>
      </c>
      <c r="B1323" t="str">
        <f>VLOOKUP(L1323,Customers!$A$2:$C$92,3,TRUE)</f>
        <v>Helen Bennett</v>
      </c>
      <c r="C1323" t="str">
        <f t="shared" si="341"/>
        <v>Helen</v>
      </c>
      <c r="D1323" s="8" t="str">
        <f t="shared" si="342"/>
        <v>Bennett</v>
      </c>
      <c r="E1323" s="8" t="str">
        <f t="shared" si="343"/>
        <v>Bennett, Helen</v>
      </c>
      <c r="F1323" s="8" t="str">
        <f t="shared" si="344"/>
        <v>Bennett, Helen</v>
      </c>
      <c r="G1323" s="8" t="str">
        <f t="shared" si="345"/>
        <v>not an outlier</v>
      </c>
      <c r="H1323" s="8" t="str">
        <f t="shared" si="346"/>
        <v>Not</v>
      </c>
      <c r="I1323" s="8" t="str">
        <f t="shared" si="356"/>
        <v>no</v>
      </c>
      <c r="J1323" s="10" t="str">
        <f t="shared" si="347"/>
        <v>no</v>
      </c>
      <c r="K1323" s="10" t="str">
        <f t="shared" si="348"/>
        <v>no</v>
      </c>
      <c r="L1323" t="s">
        <v>297</v>
      </c>
      <c r="M1323">
        <v>10749</v>
      </c>
      <c r="N1323">
        <v>76</v>
      </c>
      <c r="O1323" t="s">
        <v>721</v>
      </c>
      <c r="P1323" t="str">
        <f t="shared" si="349"/>
        <v>ISLAT_10749_Lakkalikööri</v>
      </c>
      <c r="Q1323" t="str">
        <f t="shared" si="350"/>
        <v>10749</v>
      </c>
      <c r="R1323" t="str">
        <f t="shared" si="351"/>
        <v>10749</v>
      </c>
      <c r="S1323" t="str">
        <f t="shared" si="352"/>
        <v>Lakkalikööri</v>
      </c>
      <c r="T1323">
        <v>18</v>
      </c>
      <c r="U1323">
        <v>10</v>
      </c>
      <c r="V1323">
        <v>0</v>
      </c>
      <c r="W1323">
        <f t="shared" si="353"/>
        <v>180</v>
      </c>
      <c r="X1323" t="str">
        <f t="shared" si="354"/>
        <v>No</v>
      </c>
      <c r="Y1323" s="2">
        <v>35054</v>
      </c>
      <c r="Z1323" t="str">
        <f t="shared" si="340"/>
        <v/>
      </c>
      <c r="AA1323" t="str">
        <f t="shared" si="355"/>
        <v/>
      </c>
      <c r="AB1323" t="str" cm="1">
        <f t="array" ref="AB1323">_xlfn.IFS(Y1323&lt;DATE(1996,1,1),"",Y1323&lt;DATE(1996,4,1),"Q1",Y1323&lt;DATE(1996,7,1),"Q2",Y1323&gt;=DATE(1996,7,1),"")</f>
        <v/>
      </c>
    </row>
    <row r="1324" spans="1:28" ht="14.4" x14ac:dyDescent="0.55000000000000004">
      <c r="A1324" t="str">
        <f>VLOOKUP(L1324,Customers!$A$2:$B$92,2,FALSE)</f>
        <v>Wartian Herkku</v>
      </c>
      <c r="B1324" t="str">
        <f>VLOOKUP(L1324,Customers!$A$2:$C$92,3,TRUE)</f>
        <v>Pirkko Koskitalo</v>
      </c>
      <c r="C1324" t="str">
        <f t="shared" si="341"/>
        <v>Pirkko</v>
      </c>
      <c r="D1324" s="8" t="str">
        <f t="shared" si="342"/>
        <v>Koskitalo</v>
      </c>
      <c r="E1324" s="8" t="str">
        <f t="shared" si="343"/>
        <v>Koskitalo, Pirkko</v>
      </c>
      <c r="F1324" s="8" t="str">
        <f t="shared" si="344"/>
        <v>Koskitalo, Pirkko</v>
      </c>
      <c r="G1324" s="8" t="str">
        <f t="shared" si="345"/>
        <v>not an outlier</v>
      </c>
      <c r="H1324" s="8" t="str">
        <f t="shared" si="346"/>
        <v>Not</v>
      </c>
      <c r="I1324" s="8" t="str">
        <f t="shared" si="356"/>
        <v>no</v>
      </c>
      <c r="J1324" s="10" t="str">
        <f t="shared" si="347"/>
        <v>no</v>
      </c>
      <c r="K1324" s="10" t="str">
        <f t="shared" si="348"/>
        <v>no</v>
      </c>
      <c r="L1324" t="s">
        <v>640</v>
      </c>
      <c r="M1324">
        <v>10750</v>
      </c>
      <c r="N1324">
        <v>14</v>
      </c>
      <c r="O1324" t="s">
        <v>686</v>
      </c>
      <c r="P1324" t="str">
        <f t="shared" si="349"/>
        <v>WARTH_10750_Tofu</v>
      </c>
      <c r="Q1324" t="str">
        <f t="shared" si="350"/>
        <v>10750</v>
      </c>
      <c r="R1324" t="str">
        <f t="shared" si="351"/>
        <v>10750</v>
      </c>
      <c r="S1324" t="str">
        <f t="shared" si="352"/>
        <v>Tofu</v>
      </c>
      <c r="T1324">
        <v>23.25</v>
      </c>
      <c r="U1324">
        <v>5</v>
      </c>
      <c r="V1324">
        <v>0.15</v>
      </c>
      <c r="W1324">
        <f t="shared" si="353"/>
        <v>98.8125</v>
      </c>
      <c r="X1324" t="str">
        <f t="shared" si="354"/>
        <v>No</v>
      </c>
      <c r="Y1324" s="2">
        <v>35055</v>
      </c>
      <c r="Z1324" t="str">
        <f t="shared" si="340"/>
        <v/>
      </c>
      <c r="AA1324" t="str">
        <f t="shared" si="355"/>
        <v/>
      </c>
      <c r="AB1324" t="str" cm="1">
        <f t="array" ref="AB1324">_xlfn.IFS(Y1324&lt;DATE(1996,1,1),"",Y1324&lt;DATE(1996,4,1),"Q1",Y1324&lt;DATE(1996,7,1),"Q2",Y1324&gt;=DATE(1996,7,1),"")</f>
        <v/>
      </c>
    </row>
    <row r="1325" spans="1:28" ht="14.4" x14ac:dyDescent="0.55000000000000004">
      <c r="A1325" t="str">
        <f>VLOOKUP(L1325,Customers!$A$2:$B$92,2,FALSE)</f>
        <v>Wartian Herkku</v>
      </c>
      <c r="B1325" t="str">
        <f>VLOOKUP(L1325,Customers!$A$2:$C$92,3,TRUE)</f>
        <v>Pirkko Koskitalo</v>
      </c>
      <c r="C1325" t="str">
        <f t="shared" si="341"/>
        <v>Pirkko</v>
      </c>
      <c r="D1325" s="8" t="str">
        <f t="shared" si="342"/>
        <v>Koskitalo</v>
      </c>
      <c r="E1325" s="8" t="str">
        <f t="shared" si="343"/>
        <v>Koskitalo, Pirkko</v>
      </c>
      <c r="F1325" s="8" t="str">
        <f t="shared" si="344"/>
        <v>Koskitalo, Pirkko</v>
      </c>
      <c r="G1325" s="8" t="str">
        <f t="shared" si="345"/>
        <v>not an outlier</v>
      </c>
      <c r="H1325" s="8" t="str">
        <f t="shared" si="346"/>
        <v>Not</v>
      </c>
      <c r="I1325" s="8" t="str">
        <f t="shared" si="356"/>
        <v>no</v>
      </c>
      <c r="J1325" s="10" t="str">
        <f t="shared" si="347"/>
        <v>no</v>
      </c>
      <c r="K1325" s="10" t="str">
        <f t="shared" si="348"/>
        <v>no</v>
      </c>
      <c r="L1325" t="s">
        <v>640</v>
      </c>
      <c r="M1325">
        <v>10750</v>
      </c>
      <c r="N1325">
        <v>45</v>
      </c>
      <c r="O1325" t="s">
        <v>756</v>
      </c>
      <c r="P1325" t="str">
        <f t="shared" si="349"/>
        <v>WARTH_10750_Røgede sild</v>
      </c>
      <c r="Q1325" t="str">
        <f t="shared" si="350"/>
        <v>10750</v>
      </c>
      <c r="R1325" t="str">
        <f t="shared" si="351"/>
        <v>10750</v>
      </c>
      <c r="S1325" t="str">
        <f t="shared" si="352"/>
        <v>Røgede sild</v>
      </c>
      <c r="T1325">
        <v>9.5</v>
      </c>
      <c r="U1325">
        <v>40</v>
      </c>
      <c r="V1325">
        <v>0.15</v>
      </c>
      <c r="W1325">
        <f t="shared" si="353"/>
        <v>323</v>
      </c>
      <c r="X1325" t="str">
        <f t="shared" si="354"/>
        <v>No</v>
      </c>
      <c r="Y1325" s="2">
        <v>35055</v>
      </c>
      <c r="Z1325" t="str">
        <f t="shared" si="340"/>
        <v/>
      </c>
      <c r="AA1325" t="str">
        <f t="shared" si="355"/>
        <v/>
      </c>
      <c r="AB1325" t="str" cm="1">
        <f t="array" ref="AB1325">_xlfn.IFS(Y1325&lt;DATE(1996,1,1),"",Y1325&lt;DATE(1996,4,1),"Q1",Y1325&lt;DATE(1996,7,1),"Q2",Y1325&gt;=DATE(1996,7,1),"")</f>
        <v/>
      </c>
    </row>
    <row r="1326" spans="1:28" ht="14.4" x14ac:dyDescent="0.55000000000000004">
      <c r="A1326" t="str">
        <f>VLOOKUP(L1326,Customers!$A$2:$B$92,2,FALSE)</f>
        <v>Wartian Herkku</v>
      </c>
      <c r="B1326" t="str">
        <f>VLOOKUP(L1326,Customers!$A$2:$C$92,3,TRUE)</f>
        <v>Pirkko Koskitalo</v>
      </c>
      <c r="C1326" t="str">
        <f t="shared" si="341"/>
        <v>Pirkko</v>
      </c>
      <c r="D1326" s="8" t="str">
        <f t="shared" si="342"/>
        <v>Koskitalo</v>
      </c>
      <c r="E1326" s="8" t="str">
        <f t="shared" si="343"/>
        <v>Koskitalo, Pirkko</v>
      </c>
      <c r="F1326" s="8" t="str">
        <f t="shared" si="344"/>
        <v>Koskitalo, Pirkko</v>
      </c>
      <c r="G1326" s="8" t="str">
        <f t="shared" si="345"/>
        <v>not an outlier</v>
      </c>
      <c r="H1326" s="8" t="str">
        <f t="shared" si="346"/>
        <v>Not</v>
      </c>
      <c r="I1326" s="8" t="str">
        <f t="shared" si="356"/>
        <v>no</v>
      </c>
      <c r="J1326" s="10" t="str">
        <f t="shared" si="347"/>
        <v>no</v>
      </c>
      <c r="K1326" s="10" t="str">
        <f t="shared" si="348"/>
        <v>no</v>
      </c>
      <c r="L1326" t="s">
        <v>640</v>
      </c>
      <c r="M1326">
        <v>10750</v>
      </c>
      <c r="N1326">
        <v>59</v>
      </c>
      <c r="O1326" t="s">
        <v>704</v>
      </c>
      <c r="P1326" t="str">
        <f t="shared" si="349"/>
        <v>WARTH_10750_Raclette Courdavault</v>
      </c>
      <c r="Q1326" t="str">
        <f t="shared" si="350"/>
        <v>10750</v>
      </c>
      <c r="R1326" t="str">
        <f t="shared" si="351"/>
        <v>10750</v>
      </c>
      <c r="S1326" t="str">
        <f t="shared" si="352"/>
        <v>Raclette Courdavault</v>
      </c>
      <c r="T1326">
        <v>55</v>
      </c>
      <c r="U1326">
        <v>25</v>
      </c>
      <c r="V1326">
        <v>0.15</v>
      </c>
      <c r="W1326">
        <f t="shared" si="353"/>
        <v>1168.75</v>
      </c>
      <c r="X1326" t="str">
        <f t="shared" si="354"/>
        <v>No</v>
      </c>
      <c r="Y1326" s="2">
        <v>35055</v>
      </c>
      <c r="Z1326" t="str">
        <f t="shared" si="340"/>
        <v/>
      </c>
      <c r="AA1326" t="str">
        <f t="shared" si="355"/>
        <v/>
      </c>
      <c r="AB1326" t="str" cm="1">
        <f t="array" ref="AB1326">_xlfn.IFS(Y1326&lt;DATE(1996,1,1),"",Y1326&lt;DATE(1996,4,1),"Q1",Y1326&lt;DATE(1996,7,1),"Q2",Y1326&gt;=DATE(1996,7,1),"")</f>
        <v/>
      </c>
    </row>
    <row r="1327" spans="1:28" ht="14.4" x14ac:dyDescent="0.55000000000000004">
      <c r="A1327" t="str">
        <f>VLOOKUP(L1327,Customers!$A$2:$B$92,2,FALSE)</f>
        <v>Richter Supermarkt</v>
      </c>
      <c r="B1327" t="str">
        <f>VLOOKUP(L1327,Customers!$A$2:$C$92,3,TRUE)</f>
        <v>Michael Holz</v>
      </c>
      <c r="C1327" t="str">
        <f t="shared" si="341"/>
        <v>Michael</v>
      </c>
      <c r="D1327" s="8" t="str">
        <f t="shared" si="342"/>
        <v>Holz</v>
      </c>
      <c r="E1327" s="8" t="str">
        <f t="shared" si="343"/>
        <v>Holz, Michael</v>
      </c>
      <c r="F1327" s="8" t="str">
        <f t="shared" si="344"/>
        <v>Holz, Michael</v>
      </c>
      <c r="G1327" s="8" t="str">
        <f t="shared" si="345"/>
        <v>not an outlier</v>
      </c>
      <c r="H1327" s="8" t="str">
        <f t="shared" si="346"/>
        <v>Not</v>
      </c>
      <c r="I1327" s="8" t="str">
        <f t="shared" si="356"/>
        <v>no</v>
      </c>
      <c r="J1327" s="10" t="str">
        <f t="shared" si="347"/>
        <v>no</v>
      </c>
      <c r="K1327" s="10" t="str">
        <f t="shared" si="348"/>
        <v>no</v>
      </c>
      <c r="L1327" t="s">
        <v>509</v>
      </c>
      <c r="M1327">
        <v>10751</v>
      </c>
      <c r="N1327">
        <v>26</v>
      </c>
      <c r="O1327" t="s">
        <v>751</v>
      </c>
      <c r="P1327" t="str">
        <f t="shared" si="349"/>
        <v>RICSU_10751_Gumbär Gummibärchen</v>
      </c>
      <c r="Q1327" t="str">
        <f t="shared" si="350"/>
        <v>10751</v>
      </c>
      <c r="R1327" t="str">
        <f t="shared" si="351"/>
        <v>10751</v>
      </c>
      <c r="S1327" t="str">
        <f t="shared" si="352"/>
        <v>Gumbär Gummibärchen</v>
      </c>
      <c r="T1327">
        <v>31.23</v>
      </c>
      <c r="U1327">
        <v>12</v>
      </c>
      <c r="V1327">
        <v>0.1</v>
      </c>
      <c r="W1327">
        <f t="shared" si="353"/>
        <v>337.28399999999999</v>
      </c>
      <c r="X1327" t="str">
        <f t="shared" si="354"/>
        <v>No</v>
      </c>
      <c r="Y1327" s="2">
        <v>35058</v>
      </c>
      <c r="Z1327" t="str">
        <f t="shared" si="340"/>
        <v/>
      </c>
      <c r="AA1327" t="str">
        <f t="shared" si="355"/>
        <v/>
      </c>
      <c r="AB1327" t="str" cm="1">
        <f t="array" ref="AB1327">_xlfn.IFS(Y1327&lt;DATE(1996,1,1),"",Y1327&lt;DATE(1996,4,1),"Q1",Y1327&lt;DATE(1996,7,1),"Q2",Y1327&gt;=DATE(1996,7,1),"")</f>
        <v/>
      </c>
    </row>
    <row r="1328" spans="1:28" ht="14.4" x14ac:dyDescent="0.55000000000000004">
      <c r="A1328" t="str">
        <f>VLOOKUP(L1328,Customers!$A$2:$B$92,2,FALSE)</f>
        <v>Richter Supermarkt</v>
      </c>
      <c r="B1328" t="str">
        <f>VLOOKUP(L1328,Customers!$A$2:$C$92,3,TRUE)</f>
        <v>Michael Holz</v>
      </c>
      <c r="C1328" t="str">
        <f t="shared" si="341"/>
        <v>Michael</v>
      </c>
      <c r="D1328" s="8" t="str">
        <f t="shared" si="342"/>
        <v>Holz</v>
      </c>
      <c r="E1328" s="8" t="str">
        <f t="shared" si="343"/>
        <v>Holz, Michael</v>
      </c>
      <c r="F1328" s="8" t="str">
        <f t="shared" si="344"/>
        <v>Holz, Michael</v>
      </c>
      <c r="G1328" s="8" t="str">
        <f t="shared" si="345"/>
        <v>not an outlier</v>
      </c>
      <c r="H1328" s="8" t="str">
        <f t="shared" si="346"/>
        <v>Not</v>
      </c>
      <c r="I1328" s="8" t="str">
        <f t="shared" si="356"/>
        <v>no</v>
      </c>
      <c r="J1328" s="10" t="str">
        <f t="shared" si="347"/>
        <v>no</v>
      </c>
      <c r="K1328" s="10" t="str">
        <f t="shared" si="348"/>
        <v>no</v>
      </c>
      <c r="L1328" t="s">
        <v>509</v>
      </c>
      <c r="M1328">
        <v>10751</v>
      </c>
      <c r="N1328">
        <v>30</v>
      </c>
      <c r="O1328" t="s">
        <v>717</v>
      </c>
      <c r="P1328" t="str">
        <f t="shared" si="349"/>
        <v>RICSU_10751_Nord-Ost Matjeshering</v>
      </c>
      <c r="Q1328" t="str">
        <f t="shared" si="350"/>
        <v>10751</v>
      </c>
      <c r="R1328" t="str">
        <f t="shared" si="351"/>
        <v>10751</v>
      </c>
      <c r="S1328" t="str">
        <f t="shared" si="352"/>
        <v>Nord-Ost Matjeshering</v>
      </c>
      <c r="T1328">
        <v>25.89</v>
      </c>
      <c r="U1328">
        <v>30</v>
      </c>
      <c r="V1328">
        <v>0</v>
      </c>
      <c r="W1328">
        <f t="shared" si="353"/>
        <v>776.7</v>
      </c>
      <c r="X1328" t="str">
        <f t="shared" si="354"/>
        <v>No</v>
      </c>
      <c r="Y1328" s="2">
        <v>35058</v>
      </c>
      <c r="Z1328" t="str">
        <f t="shared" si="340"/>
        <v/>
      </c>
      <c r="AA1328" t="str">
        <f t="shared" si="355"/>
        <v/>
      </c>
      <c r="AB1328" t="str" cm="1">
        <f t="array" ref="AB1328">_xlfn.IFS(Y1328&lt;DATE(1996,1,1),"",Y1328&lt;DATE(1996,4,1),"Q1",Y1328&lt;DATE(1996,7,1),"Q2",Y1328&gt;=DATE(1996,7,1),"")</f>
        <v/>
      </c>
    </row>
    <row r="1329" spans="1:28" ht="14.4" x14ac:dyDescent="0.55000000000000004">
      <c r="A1329" t="str">
        <f>VLOOKUP(L1329,Customers!$A$2:$B$92,2,FALSE)</f>
        <v>Richter Supermarkt</v>
      </c>
      <c r="B1329" t="str">
        <f>VLOOKUP(L1329,Customers!$A$2:$C$92,3,TRUE)</f>
        <v>Michael Holz</v>
      </c>
      <c r="C1329" t="str">
        <f t="shared" si="341"/>
        <v>Michael</v>
      </c>
      <c r="D1329" s="8" t="str">
        <f t="shared" si="342"/>
        <v>Holz</v>
      </c>
      <c r="E1329" s="8" t="str">
        <f t="shared" si="343"/>
        <v>Holz, Michael</v>
      </c>
      <c r="F1329" s="8" t="str">
        <f t="shared" si="344"/>
        <v>Holz, Michael</v>
      </c>
      <c r="G1329" s="8" t="str">
        <f t="shared" si="345"/>
        <v>not an outlier</v>
      </c>
      <c r="H1329" s="8" t="str">
        <f t="shared" si="346"/>
        <v>Not</v>
      </c>
      <c r="I1329" s="8" t="str">
        <f t="shared" si="356"/>
        <v>no</v>
      </c>
      <c r="J1329" s="10" t="str">
        <f t="shared" si="347"/>
        <v>no</v>
      </c>
      <c r="K1329" s="10" t="str">
        <f t="shared" si="348"/>
        <v>no</v>
      </c>
      <c r="L1329" t="s">
        <v>509</v>
      </c>
      <c r="M1329">
        <v>10751</v>
      </c>
      <c r="N1329">
        <v>50</v>
      </c>
      <c r="O1329" t="s">
        <v>755</v>
      </c>
      <c r="P1329" t="str">
        <f t="shared" si="349"/>
        <v>RICSU_10751_Valkoinen suklaa</v>
      </c>
      <c r="Q1329" t="str">
        <f t="shared" si="350"/>
        <v>10751</v>
      </c>
      <c r="R1329" t="str">
        <f t="shared" si="351"/>
        <v>10751</v>
      </c>
      <c r="S1329" t="str">
        <f t="shared" si="352"/>
        <v>Valkoinen suklaa</v>
      </c>
      <c r="T1329">
        <v>16.25</v>
      </c>
      <c r="U1329">
        <v>20</v>
      </c>
      <c r="V1329">
        <v>0.1</v>
      </c>
      <c r="W1329">
        <f t="shared" si="353"/>
        <v>292.5</v>
      </c>
      <c r="X1329" t="str">
        <f t="shared" si="354"/>
        <v>No</v>
      </c>
      <c r="Y1329" s="2">
        <v>35058</v>
      </c>
      <c r="Z1329" t="str">
        <f t="shared" si="340"/>
        <v/>
      </c>
      <c r="AA1329" t="str">
        <f t="shared" si="355"/>
        <v/>
      </c>
      <c r="AB1329" t="str" cm="1">
        <f t="array" ref="AB1329">_xlfn.IFS(Y1329&lt;DATE(1996,1,1),"",Y1329&lt;DATE(1996,4,1),"Q1",Y1329&lt;DATE(1996,7,1),"Q2",Y1329&gt;=DATE(1996,7,1),"")</f>
        <v/>
      </c>
    </row>
    <row r="1330" spans="1:28" ht="14.4" x14ac:dyDescent="0.55000000000000004">
      <c r="A1330" t="str">
        <f>VLOOKUP(L1330,Customers!$A$2:$B$92,2,FALSE)</f>
        <v>Richter Supermarkt</v>
      </c>
      <c r="B1330" t="str">
        <f>VLOOKUP(L1330,Customers!$A$2:$C$92,3,TRUE)</f>
        <v>Michael Holz</v>
      </c>
      <c r="C1330" t="str">
        <f t="shared" si="341"/>
        <v>Michael</v>
      </c>
      <c r="D1330" s="8" t="str">
        <f t="shared" si="342"/>
        <v>Holz</v>
      </c>
      <c r="E1330" s="8" t="str">
        <f t="shared" si="343"/>
        <v>Holz, Michael</v>
      </c>
      <c r="F1330" s="8" t="str">
        <f t="shared" si="344"/>
        <v>Holz, Michael</v>
      </c>
      <c r="G1330" s="8" t="str">
        <f t="shared" si="345"/>
        <v>not an outlier</v>
      </c>
      <c r="H1330" s="8" t="str">
        <f t="shared" si="346"/>
        <v>Not</v>
      </c>
      <c r="I1330" s="8" t="str">
        <f t="shared" si="356"/>
        <v>no</v>
      </c>
      <c r="J1330" s="10" t="str">
        <f t="shared" si="347"/>
        <v>no</v>
      </c>
      <c r="K1330" s="10" t="str">
        <f t="shared" si="348"/>
        <v>no</v>
      </c>
      <c r="L1330" t="s">
        <v>509</v>
      </c>
      <c r="M1330">
        <v>10751</v>
      </c>
      <c r="N1330">
        <v>73</v>
      </c>
      <c r="O1330" t="s">
        <v>730</v>
      </c>
      <c r="P1330" t="str">
        <f t="shared" si="349"/>
        <v>RICSU_10751_Röd Kaviar</v>
      </c>
      <c r="Q1330" t="str">
        <f t="shared" si="350"/>
        <v>10751</v>
      </c>
      <c r="R1330" t="str">
        <f t="shared" si="351"/>
        <v>10751</v>
      </c>
      <c r="S1330" t="str">
        <f t="shared" si="352"/>
        <v>Röd Kaviar</v>
      </c>
      <c r="T1330">
        <v>15</v>
      </c>
      <c r="U1330">
        <v>15</v>
      </c>
      <c r="V1330">
        <v>0</v>
      </c>
      <c r="W1330">
        <f t="shared" si="353"/>
        <v>225</v>
      </c>
      <c r="X1330" t="str">
        <f t="shared" si="354"/>
        <v>No</v>
      </c>
      <c r="Y1330" s="2">
        <v>35058</v>
      </c>
      <c r="Z1330" t="str">
        <f t="shared" si="340"/>
        <v/>
      </c>
      <c r="AA1330" t="str">
        <f t="shared" si="355"/>
        <v/>
      </c>
      <c r="AB1330" t="str" cm="1">
        <f t="array" ref="AB1330">_xlfn.IFS(Y1330&lt;DATE(1996,1,1),"",Y1330&lt;DATE(1996,4,1),"Q1",Y1330&lt;DATE(1996,7,1),"Q2",Y1330&gt;=DATE(1996,7,1),"")</f>
        <v/>
      </c>
    </row>
    <row r="1331" spans="1:28" ht="14.4" x14ac:dyDescent="0.55000000000000004">
      <c r="A1331" t="str">
        <f>VLOOKUP(L1331,Customers!$A$2:$B$92,2,FALSE)</f>
        <v>North/South</v>
      </c>
      <c r="B1331" t="str">
        <f>VLOOKUP(L1331,Customers!$A$2:$C$92,3,TRUE)</f>
        <v>Simon Crowther</v>
      </c>
      <c r="C1331" t="str">
        <f t="shared" si="341"/>
        <v>Simon</v>
      </c>
      <c r="D1331" s="8" t="str">
        <f t="shared" si="342"/>
        <v>Crowther</v>
      </c>
      <c r="E1331" s="8" t="str">
        <f t="shared" si="343"/>
        <v>Crowther, Simon</v>
      </c>
      <c r="F1331" s="8" t="str">
        <f t="shared" si="344"/>
        <v>Crowther, Simon</v>
      </c>
      <c r="G1331" s="8" t="str">
        <f t="shared" si="345"/>
        <v>not an outlier</v>
      </c>
      <c r="H1331" s="8" t="str">
        <f t="shared" si="346"/>
        <v>Not</v>
      </c>
      <c r="I1331" s="8" t="str">
        <f t="shared" si="356"/>
        <v>no</v>
      </c>
      <c r="J1331" s="10" t="str">
        <f t="shared" si="347"/>
        <v>no</v>
      </c>
      <c r="K1331" s="10" t="str">
        <f t="shared" si="348"/>
        <v>no</v>
      </c>
      <c r="L1331" t="s">
        <v>409</v>
      </c>
      <c r="M1331">
        <v>10752</v>
      </c>
      <c r="N1331">
        <v>1</v>
      </c>
      <c r="O1331" t="s">
        <v>735</v>
      </c>
      <c r="P1331" t="str">
        <f t="shared" si="349"/>
        <v>NORTS_10752_Chai</v>
      </c>
      <c r="Q1331" t="str">
        <f t="shared" si="350"/>
        <v>10752</v>
      </c>
      <c r="R1331" t="str">
        <f t="shared" si="351"/>
        <v>10752</v>
      </c>
      <c r="S1331" t="str">
        <f t="shared" si="352"/>
        <v>Chai</v>
      </c>
      <c r="T1331">
        <v>18</v>
      </c>
      <c r="U1331">
        <v>8</v>
      </c>
      <c r="V1331">
        <v>0</v>
      </c>
      <c r="W1331">
        <f t="shared" si="353"/>
        <v>144</v>
      </c>
      <c r="X1331" t="str">
        <f t="shared" si="354"/>
        <v>No</v>
      </c>
      <c r="Y1331" s="2">
        <v>35058</v>
      </c>
      <c r="Z1331" t="str">
        <f t="shared" si="340"/>
        <v/>
      </c>
      <c r="AA1331" t="str">
        <f t="shared" si="355"/>
        <v/>
      </c>
      <c r="AB1331" t="str" cm="1">
        <f t="array" ref="AB1331">_xlfn.IFS(Y1331&lt;DATE(1996,1,1),"",Y1331&lt;DATE(1996,4,1),"Q1",Y1331&lt;DATE(1996,7,1),"Q2",Y1331&gt;=DATE(1996,7,1),"")</f>
        <v/>
      </c>
    </row>
    <row r="1332" spans="1:28" ht="14.4" x14ac:dyDescent="0.55000000000000004">
      <c r="A1332" t="str">
        <f>VLOOKUP(L1332,Customers!$A$2:$B$92,2,FALSE)</f>
        <v>North/South</v>
      </c>
      <c r="B1332" t="str">
        <f>VLOOKUP(L1332,Customers!$A$2:$C$92,3,TRUE)</f>
        <v>Simon Crowther</v>
      </c>
      <c r="C1332" t="str">
        <f t="shared" si="341"/>
        <v>Simon</v>
      </c>
      <c r="D1332" s="8" t="str">
        <f t="shared" si="342"/>
        <v>Crowther</v>
      </c>
      <c r="E1332" s="8" t="str">
        <f t="shared" si="343"/>
        <v>Crowther, Simon</v>
      </c>
      <c r="F1332" s="8" t="str">
        <f t="shared" si="344"/>
        <v>Crowther, Simon</v>
      </c>
      <c r="G1332" s="8" t="str">
        <f t="shared" si="345"/>
        <v>not an outlier</v>
      </c>
      <c r="H1332" s="8" t="str">
        <f t="shared" si="346"/>
        <v>Not</v>
      </c>
      <c r="I1332" s="8" t="str">
        <f t="shared" si="356"/>
        <v>no</v>
      </c>
      <c r="J1332" s="10" t="str">
        <f t="shared" si="347"/>
        <v>no</v>
      </c>
      <c r="K1332" s="10" t="str">
        <f t="shared" si="348"/>
        <v>no</v>
      </c>
      <c r="L1332" t="s">
        <v>409</v>
      </c>
      <c r="M1332">
        <v>10752</v>
      </c>
      <c r="N1332">
        <v>69</v>
      </c>
      <c r="O1332" t="s">
        <v>743</v>
      </c>
      <c r="P1332" t="str">
        <f t="shared" si="349"/>
        <v>NORTS_10752_Gudbrandsdalsost</v>
      </c>
      <c r="Q1332" t="str">
        <f t="shared" si="350"/>
        <v>10752</v>
      </c>
      <c r="R1332" t="str">
        <f t="shared" si="351"/>
        <v>10752</v>
      </c>
      <c r="S1332" t="str">
        <f t="shared" si="352"/>
        <v>Gudbrandsdalsost</v>
      </c>
      <c r="T1332">
        <v>36</v>
      </c>
      <c r="U1332">
        <v>3</v>
      </c>
      <c r="V1332">
        <v>0</v>
      </c>
      <c r="W1332">
        <f t="shared" si="353"/>
        <v>108</v>
      </c>
      <c r="X1332" t="str">
        <f t="shared" si="354"/>
        <v>No</v>
      </c>
      <c r="Y1332" s="2">
        <v>35058</v>
      </c>
      <c r="Z1332" t="str">
        <f t="shared" si="340"/>
        <v/>
      </c>
      <c r="AA1332" t="str">
        <f t="shared" si="355"/>
        <v/>
      </c>
      <c r="AB1332" t="str" cm="1">
        <f t="array" ref="AB1332">_xlfn.IFS(Y1332&lt;DATE(1996,1,1),"",Y1332&lt;DATE(1996,4,1),"Q1",Y1332&lt;DATE(1996,7,1),"Q2",Y1332&gt;=DATE(1996,7,1),"")</f>
        <v/>
      </c>
    </row>
    <row r="1333" spans="1:28" ht="14.4" x14ac:dyDescent="0.55000000000000004">
      <c r="A1333" t="str">
        <f>VLOOKUP(L1333,Customers!$A$2:$B$92,2,FALSE)</f>
        <v>Franchi S.p.A.</v>
      </c>
      <c r="B1333" t="str">
        <f>VLOOKUP(L1333,Customers!$A$2:$C$92,3,TRUE)</f>
        <v>Paolo Accorti</v>
      </c>
      <c r="C1333" t="str">
        <f t="shared" si="341"/>
        <v>Paolo</v>
      </c>
      <c r="D1333" s="8" t="str">
        <f t="shared" si="342"/>
        <v>Accorti</v>
      </c>
      <c r="E1333" s="8" t="str">
        <f t="shared" si="343"/>
        <v>Accorti, Paolo</v>
      </c>
      <c r="F1333" s="8" t="str">
        <f t="shared" si="344"/>
        <v>Accorti, Paolo</v>
      </c>
      <c r="G1333" s="8" t="str">
        <f t="shared" si="345"/>
        <v>not an outlier</v>
      </c>
      <c r="H1333" s="8" t="str">
        <f t="shared" si="346"/>
        <v>Not</v>
      </c>
      <c r="I1333" s="8" t="str">
        <f t="shared" si="356"/>
        <v>no</v>
      </c>
      <c r="J1333" s="10" t="str">
        <f t="shared" si="347"/>
        <v>no</v>
      </c>
      <c r="K1333" s="10" t="str">
        <f t="shared" si="348"/>
        <v>no</v>
      </c>
      <c r="L1333" t="s">
        <v>211</v>
      </c>
      <c r="M1333">
        <v>10753</v>
      </c>
      <c r="N1333">
        <v>45</v>
      </c>
      <c r="O1333" t="s">
        <v>756</v>
      </c>
      <c r="P1333" t="str">
        <f t="shared" si="349"/>
        <v>FRANS_10753_Røgede sild</v>
      </c>
      <c r="Q1333" t="str">
        <f t="shared" si="350"/>
        <v>10753</v>
      </c>
      <c r="R1333" t="str">
        <f t="shared" si="351"/>
        <v>10753</v>
      </c>
      <c r="S1333" t="str">
        <f t="shared" si="352"/>
        <v>Røgede sild</v>
      </c>
      <c r="T1333">
        <v>9.5</v>
      </c>
      <c r="U1333">
        <v>4</v>
      </c>
      <c r="V1333">
        <v>0</v>
      </c>
      <c r="W1333">
        <f t="shared" si="353"/>
        <v>38</v>
      </c>
      <c r="X1333" t="str">
        <f t="shared" si="354"/>
        <v>No</v>
      </c>
      <c r="Y1333" s="2">
        <v>35059</v>
      </c>
      <c r="Z1333" t="str">
        <f t="shared" si="340"/>
        <v/>
      </c>
      <c r="AA1333" t="str">
        <f t="shared" si="355"/>
        <v/>
      </c>
      <c r="AB1333" t="str" cm="1">
        <f t="array" ref="AB1333">_xlfn.IFS(Y1333&lt;DATE(1996,1,1),"",Y1333&lt;DATE(1996,4,1),"Q1",Y1333&lt;DATE(1996,7,1),"Q2",Y1333&gt;=DATE(1996,7,1),"")</f>
        <v/>
      </c>
    </row>
    <row r="1334" spans="1:28" ht="14.4" x14ac:dyDescent="0.55000000000000004">
      <c r="A1334" t="str">
        <f>VLOOKUP(L1334,Customers!$A$2:$B$92,2,FALSE)</f>
        <v>Franchi S.p.A.</v>
      </c>
      <c r="B1334" t="str">
        <f>VLOOKUP(L1334,Customers!$A$2:$C$92,3,TRUE)</f>
        <v>Paolo Accorti</v>
      </c>
      <c r="C1334" t="str">
        <f t="shared" si="341"/>
        <v>Paolo</v>
      </c>
      <c r="D1334" s="8" t="str">
        <f t="shared" si="342"/>
        <v>Accorti</v>
      </c>
      <c r="E1334" s="8" t="str">
        <f t="shared" si="343"/>
        <v>Accorti, Paolo</v>
      </c>
      <c r="F1334" s="8" t="str">
        <f t="shared" si="344"/>
        <v>Accorti, Paolo</v>
      </c>
      <c r="G1334" s="8" t="str">
        <f t="shared" si="345"/>
        <v>not an outlier</v>
      </c>
      <c r="H1334" s="8" t="str">
        <f t="shared" si="346"/>
        <v>Not</v>
      </c>
      <c r="I1334" s="8" t="str">
        <f t="shared" si="356"/>
        <v>no</v>
      </c>
      <c r="J1334" s="10" t="str">
        <f t="shared" si="347"/>
        <v>no</v>
      </c>
      <c r="K1334" s="10" t="str">
        <f t="shared" si="348"/>
        <v>no</v>
      </c>
      <c r="L1334" t="s">
        <v>211</v>
      </c>
      <c r="M1334">
        <v>10753</v>
      </c>
      <c r="N1334">
        <v>74</v>
      </c>
      <c r="O1334" t="s">
        <v>700</v>
      </c>
      <c r="P1334" t="str">
        <f t="shared" si="349"/>
        <v>FRANS_10753_Longlife Tofu</v>
      </c>
      <c r="Q1334" t="str">
        <f t="shared" si="350"/>
        <v>10753</v>
      </c>
      <c r="R1334" t="str">
        <f t="shared" si="351"/>
        <v>10753</v>
      </c>
      <c r="S1334" t="str">
        <f t="shared" si="352"/>
        <v>Longlife Tofu</v>
      </c>
      <c r="T1334">
        <v>10</v>
      </c>
      <c r="U1334">
        <v>5</v>
      </c>
      <c r="V1334">
        <v>0</v>
      </c>
      <c r="W1334">
        <f t="shared" si="353"/>
        <v>50</v>
      </c>
      <c r="X1334" t="str">
        <f t="shared" si="354"/>
        <v>No</v>
      </c>
      <c r="Y1334" s="2">
        <v>35059</v>
      </c>
      <c r="Z1334" t="str">
        <f t="shared" si="340"/>
        <v/>
      </c>
      <c r="AA1334" t="str">
        <f t="shared" si="355"/>
        <v/>
      </c>
      <c r="AB1334" t="str" cm="1">
        <f t="array" ref="AB1334">_xlfn.IFS(Y1334&lt;DATE(1996,1,1),"",Y1334&lt;DATE(1996,4,1),"Q1",Y1334&lt;DATE(1996,7,1),"Q2",Y1334&gt;=DATE(1996,7,1),"")</f>
        <v/>
      </c>
    </row>
    <row r="1335" spans="1:28" ht="14.4" x14ac:dyDescent="0.55000000000000004">
      <c r="A1335" t="str">
        <f>VLOOKUP(L1335,Customers!$A$2:$B$92,2,FALSE)</f>
        <v>Magazzini Alimentari Riuniti</v>
      </c>
      <c r="B1335" t="str">
        <f>VLOOKUP(L1335,Customers!$A$2:$C$92,3,TRUE)</f>
        <v>Giovanni Rovelli</v>
      </c>
      <c r="C1335" t="str">
        <f t="shared" si="341"/>
        <v>Giovanni</v>
      </c>
      <c r="D1335" s="8" t="str">
        <f t="shared" si="342"/>
        <v>Rovelli</v>
      </c>
      <c r="E1335" s="8" t="str">
        <f t="shared" si="343"/>
        <v>Rovelli, Giovanni</v>
      </c>
      <c r="F1335" s="8" t="str">
        <f t="shared" si="344"/>
        <v>Rovelli, Giovanni</v>
      </c>
      <c r="G1335" s="8" t="str">
        <f t="shared" si="345"/>
        <v>not an outlier</v>
      </c>
      <c r="H1335" s="8" t="str">
        <f t="shared" si="346"/>
        <v>Not</v>
      </c>
      <c r="I1335" s="8" t="str">
        <f t="shared" si="356"/>
        <v>no</v>
      </c>
      <c r="J1335" s="10" t="str">
        <f t="shared" si="347"/>
        <v>no</v>
      </c>
      <c r="K1335" s="10" t="str">
        <f t="shared" si="348"/>
        <v>no</v>
      </c>
      <c r="L1335" t="s">
        <v>378</v>
      </c>
      <c r="M1335">
        <v>10754</v>
      </c>
      <c r="N1335">
        <v>40</v>
      </c>
      <c r="O1335" t="s">
        <v>720</v>
      </c>
      <c r="P1335" t="str">
        <f t="shared" si="349"/>
        <v>MAGAA_10754_Boston Crab Meat</v>
      </c>
      <c r="Q1335" t="str">
        <f t="shared" si="350"/>
        <v>10754</v>
      </c>
      <c r="R1335" t="str">
        <f t="shared" si="351"/>
        <v>10754</v>
      </c>
      <c r="S1335" t="str">
        <f t="shared" si="352"/>
        <v>Boston Crab Meat</v>
      </c>
      <c r="T1335">
        <v>18.399999999999999</v>
      </c>
      <c r="U1335">
        <v>3</v>
      </c>
      <c r="V1335">
        <v>0</v>
      </c>
      <c r="W1335">
        <f t="shared" si="353"/>
        <v>55.199999999999996</v>
      </c>
      <c r="X1335" t="str">
        <f t="shared" si="354"/>
        <v>No</v>
      </c>
      <c r="Y1335" s="2">
        <v>35059</v>
      </c>
      <c r="Z1335" t="str">
        <f t="shared" si="340"/>
        <v/>
      </c>
      <c r="AA1335" t="str">
        <f t="shared" si="355"/>
        <v/>
      </c>
      <c r="AB1335" t="str" cm="1">
        <f t="array" ref="AB1335">_xlfn.IFS(Y1335&lt;DATE(1996,1,1),"",Y1335&lt;DATE(1996,4,1),"Q1",Y1335&lt;DATE(1996,7,1),"Q2",Y1335&gt;=DATE(1996,7,1),"")</f>
        <v/>
      </c>
    </row>
    <row r="1336" spans="1:28" ht="14.4" x14ac:dyDescent="0.55000000000000004">
      <c r="A1336" t="str">
        <f>VLOOKUP(L1336,Customers!$A$2:$B$92,2,FALSE)</f>
        <v>Bon app'</v>
      </c>
      <c r="B1336" t="str">
        <f>VLOOKUP(L1336,Customers!$A$2:$C$92,3,TRUE)</f>
        <v>Laurence Lebihan</v>
      </c>
      <c r="C1336" t="str">
        <f t="shared" si="341"/>
        <v>Laurence</v>
      </c>
      <c r="D1336" s="8" t="str">
        <f t="shared" si="342"/>
        <v>Lebihan</v>
      </c>
      <c r="E1336" s="8" t="str">
        <f t="shared" si="343"/>
        <v>Lebihan, Laurence</v>
      </c>
      <c r="F1336" s="8" t="str">
        <f t="shared" si="344"/>
        <v>Lebihan, Laurence</v>
      </c>
      <c r="G1336" s="8" t="str">
        <f t="shared" si="345"/>
        <v>not an outlier</v>
      </c>
      <c r="H1336" s="8" t="str">
        <f t="shared" si="346"/>
        <v>Not</v>
      </c>
      <c r="I1336" s="8" t="str">
        <f t="shared" si="356"/>
        <v>no</v>
      </c>
      <c r="J1336" s="10" t="str">
        <f t="shared" si="347"/>
        <v>no</v>
      </c>
      <c r="K1336" s="10" t="str">
        <f t="shared" si="348"/>
        <v>no</v>
      </c>
      <c r="L1336" t="s">
        <v>77</v>
      </c>
      <c r="M1336">
        <v>10755</v>
      </c>
      <c r="N1336">
        <v>47</v>
      </c>
      <c r="O1336" t="s">
        <v>752</v>
      </c>
      <c r="P1336" t="str">
        <f t="shared" si="349"/>
        <v>BONAP_10755_Zaanse koeken</v>
      </c>
      <c r="Q1336" t="str">
        <f t="shared" si="350"/>
        <v>10755</v>
      </c>
      <c r="R1336" t="str">
        <f t="shared" si="351"/>
        <v>10755</v>
      </c>
      <c r="S1336" t="str">
        <f t="shared" si="352"/>
        <v>Zaanse koeken</v>
      </c>
      <c r="T1336">
        <v>9.5</v>
      </c>
      <c r="U1336">
        <v>30</v>
      </c>
      <c r="V1336">
        <v>0.25</v>
      </c>
      <c r="W1336">
        <f t="shared" si="353"/>
        <v>213.75</v>
      </c>
      <c r="X1336" t="str">
        <f t="shared" si="354"/>
        <v>No</v>
      </c>
      <c r="Y1336" s="2">
        <v>35060</v>
      </c>
      <c r="Z1336" t="str">
        <f t="shared" si="340"/>
        <v/>
      </c>
      <c r="AA1336" t="str">
        <f t="shared" si="355"/>
        <v/>
      </c>
      <c r="AB1336" t="str" cm="1">
        <f t="array" ref="AB1336">_xlfn.IFS(Y1336&lt;DATE(1996,1,1),"",Y1336&lt;DATE(1996,4,1),"Q1",Y1336&lt;DATE(1996,7,1),"Q2",Y1336&gt;=DATE(1996,7,1),"")</f>
        <v/>
      </c>
    </row>
    <row r="1337" spans="1:28" ht="14.4" x14ac:dyDescent="0.55000000000000004">
      <c r="A1337" t="str">
        <f>VLOOKUP(L1337,Customers!$A$2:$B$92,2,FALSE)</f>
        <v>Bon app'</v>
      </c>
      <c r="B1337" t="str">
        <f>VLOOKUP(L1337,Customers!$A$2:$C$92,3,TRUE)</f>
        <v>Laurence Lebihan</v>
      </c>
      <c r="C1337" t="str">
        <f t="shared" si="341"/>
        <v>Laurence</v>
      </c>
      <c r="D1337" s="8" t="str">
        <f t="shared" si="342"/>
        <v>Lebihan</v>
      </c>
      <c r="E1337" s="8" t="str">
        <f t="shared" si="343"/>
        <v>Lebihan, Laurence</v>
      </c>
      <c r="F1337" s="8" t="str">
        <f t="shared" si="344"/>
        <v>Lebihan, Laurence</v>
      </c>
      <c r="G1337" s="8" t="str">
        <f t="shared" si="345"/>
        <v>not an outlier</v>
      </c>
      <c r="H1337" s="8" t="str">
        <f t="shared" si="346"/>
        <v>Not</v>
      </c>
      <c r="I1337" s="8" t="str">
        <f t="shared" si="356"/>
        <v>no</v>
      </c>
      <c r="J1337" s="10" t="str">
        <f t="shared" si="347"/>
        <v>no</v>
      </c>
      <c r="K1337" s="10" t="str">
        <f t="shared" si="348"/>
        <v>no</v>
      </c>
      <c r="L1337" t="s">
        <v>77</v>
      </c>
      <c r="M1337">
        <v>10755</v>
      </c>
      <c r="N1337">
        <v>56</v>
      </c>
      <c r="O1337" t="s">
        <v>716</v>
      </c>
      <c r="P1337" t="str">
        <f t="shared" si="349"/>
        <v>BONAP_10755_Gnocchi di nonna Alice</v>
      </c>
      <c r="Q1337" t="str">
        <f t="shared" si="350"/>
        <v>10755</v>
      </c>
      <c r="R1337" t="str">
        <f t="shared" si="351"/>
        <v>10755</v>
      </c>
      <c r="S1337" t="str">
        <f t="shared" si="352"/>
        <v>Gnocchi di nonna Alice</v>
      </c>
      <c r="T1337">
        <v>38</v>
      </c>
      <c r="U1337">
        <v>30</v>
      </c>
      <c r="V1337">
        <v>0.25</v>
      </c>
      <c r="W1337">
        <f t="shared" si="353"/>
        <v>855</v>
      </c>
      <c r="X1337" t="str">
        <f t="shared" si="354"/>
        <v>No</v>
      </c>
      <c r="Y1337" s="2">
        <v>35060</v>
      </c>
      <c r="Z1337" t="str">
        <f t="shared" si="340"/>
        <v/>
      </c>
      <c r="AA1337" t="str">
        <f t="shared" si="355"/>
        <v/>
      </c>
      <c r="AB1337" t="str" cm="1">
        <f t="array" ref="AB1337">_xlfn.IFS(Y1337&lt;DATE(1996,1,1),"",Y1337&lt;DATE(1996,4,1),"Q1",Y1337&lt;DATE(1996,7,1),"Q2",Y1337&gt;=DATE(1996,7,1),"")</f>
        <v/>
      </c>
    </row>
    <row r="1338" spans="1:28" ht="14.4" x14ac:dyDescent="0.55000000000000004">
      <c r="A1338" t="str">
        <f>VLOOKUP(L1338,Customers!$A$2:$B$92,2,FALSE)</f>
        <v>Bon app'</v>
      </c>
      <c r="B1338" t="str">
        <f>VLOOKUP(L1338,Customers!$A$2:$C$92,3,TRUE)</f>
        <v>Laurence Lebihan</v>
      </c>
      <c r="C1338" t="str">
        <f t="shared" si="341"/>
        <v>Laurence</v>
      </c>
      <c r="D1338" s="8" t="str">
        <f t="shared" si="342"/>
        <v>Lebihan</v>
      </c>
      <c r="E1338" s="8" t="str">
        <f t="shared" si="343"/>
        <v>Lebihan, Laurence</v>
      </c>
      <c r="F1338" s="8" t="str">
        <f t="shared" si="344"/>
        <v>Lebihan, Laurence</v>
      </c>
      <c r="G1338" s="8" t="str">
        <f t="shared" si="345"/>
        <v>not an outlier</v>
      </c>
      <c r="H1338" s="8" t="str">
        <f t="shared" si="346"/>
        <v>Not</v>
      </c>
      <c r="I1338" s="8" t="str">
        <f t="shared" si="356"/>
        <v>no</v>
      </c>
      <c r="J1338" s="10" t="str">
        <f t="shared" si="347"/>
        <v>no</v>
      </c>
      <c r="K1338" s="10" t="str">
        <f t="shared" si="348"/>
        <v>no</v>
      </c>
      <c r="L1338" t="s">
        <v>77</v>
      </c>
      <c r="M1338">
        <v>10755</v>
      </c>
      <c r="N1338">
        <v>57</v>
      </c>
      <c r="O1338" t="s">
        <v>691</v>
      </c>
      <c r="P1338" t="str">
        <f t="shared" si="349"/>
        <v>BONAP_10755_Ravioli Angelo</v>
      </c>
      <c r="Q1338" t="str">
        <f t="shared" si="350"/>
        <v>10755</v>
      </c>
      <c r="R1338" t="str">
        <f t="shared" si="351"/>
        <v>10755</v>
      </c>
      <c r="S1338" t="str">
        <f t="shared" si="352"/>
        <v>Ravioli Angelo</v>
      </c>
      <c r="T1338">
        <v>19.5</v>
      </c>
      <c r="U1338">
        <v>14</v>
      </c>
      <c r="V1338">
        <v>0.25</v>
      </c>
      <c r="W1338">
        <f t="shared" si="353"/>
        <v>204.75</v>
      </c>
      <c r="X1338" t="str">
        <f t="shared" si="354"/>
        <v>No</v>
      </c>
      <c r="Y1338" s="2">
        <v>35060</v>
      </c>
      <c r="Z1338" t="str">
        <f t="shared" si="340"/>
        <v/>
      </c>
      <c r="AA1338" t="str">
        <f t="shared" si="355"/>
        <v/>
      </c>
      <c r="AB1338" t="str" cm="1">
        <f t="array" ref="AB1338">_xlfn.IFS(Y1338&lt;DATE(1996,1,1),"",Y1338&lt;DATE(1996,4,1),"Q1",Y1338&lt;DATE(1996,7,1),"Q2",Y1338&gt;=DATE(1996,7,1),"")</f>
        <v/>
      </c>
    </row>
    <row r="1339" spans="1:28" ht="14.4" x14ac:dyDescent="0.55000000000000004">
      <c r="A1339" t="str">
        <f>VLOOKUP(L1339,Customers!$A$2:$B$92,2,FALSE)</f>
        <v>Bon app'</v>
      </c>
      <c r="B1339" t="str">
        <f>VLOOKUP(L1339,Customers!$A$2:$C$92,3,TRUE)</f>
        <v>Laurence Lebihan</v>
      </c>
      <c r="C1339" t="str">
        <f t="shared" si="341"/>
        <v>Laurence</v>
      </c>
      <c r="D1339" s="8" t="str">
        <f t="shared" si="342"/>
        <v>Lebihan</v>
      </c>
      <c r="E1339" s="8" t="str">
        <f t="shared" si="343"/>
        <v>Lebihan, Laurence</v>
      </c>
      <c r="F1339" s="8" t="str">
        <f t="shared" si="344"/>
        <v>Lebihan, Laurence</v>
      </c>
      <c r="G1339" s="8" t="str">
        <f t="shared" si="345"/>
        <v>not an outlier</v>
      </c>
      <c r="H1339" s="8" t="str">
        <f t="shared" si="346"/>
        <v>Not</v>
      </c>
      <c r="I1339" s="8" t="str">
        <f t="shared" si="356"/>
        <v>no</v>
      </c>
      <c r="J1339" s="10" t="str">
        <f t="shared" si="347"/>
        <v>no</v>
      </c>
      <c r="K1339" s="10" t="str">
        <f t="shared" si="348"/>
        <v>no</v>
      </c>
      <c r="L1339" t="s">
        <v>77</v>
      </c>
      <c r="M1339">
        <v>10755</v>
      </c>
      <c r="N1339">
        <v>69</v>
      </c>
      <c r="O1339" t="s">
        <v>743</v>
      </c>
      <c r="P1339" t="str">
        <f t="shared" si="349"/>
        <v>BONAP_10755_Gudbrandsdalsost</v>
      </c>
      <c r="Q1339" t="str">
        <f t="shared" si="350"/>
        <v>10755</v>
      </c>
      <c r="R1339" t="str">
        <f t="shared" si="351"/>
        <v>10755</v>
      </c>
      <c r="S1339" t="str">
        <f t="shared" si="352"/>
        <v>Gudbrandsdalsost</v>
      </c>
      <c r="T1339">
        <v>36</v>
      </c>
      <c r="U1339">
        <v>25</v>
      </c>
      <c r="V1339">
        <v>0.25</v>
      </c>
      <c r="W1339">
        <f t="shared" si="353"/>
        <v>675</v>
      </c>
      <c r="X1339" t="str">
        <f t="shared" si="354"/>
        <v>No</v>
      </c>
      <c r="Y1339" s="2">
        <v>35060</v>
      </c>
      <c r="Z1339" t="str">
        <f t="shared" si="340"/>
        <v/>
      </c>
      <c r="AA1339" t="str">
        <f t="shared" si="355"/>
        <v/>
      </c>
      <c r="AB1339" t="str" cm="1">
        <f t="array" ref="AB1339">_xlfn.IFS(Y1339&lt;DATE(1996,1,1),"",Y1339&lt;DATE(1996,4,1),"Q1",Y1339&lt;DATE(1996,7,1),"Q2",Y1339&gt;=DATE(1996,7,1),"")</f>
        <v/>
      </c>
    </row>
    <row r="1340" spans="1:28" ht="14.4" x14ac:dyDescent="0.55000000000000004">
      <c r="A1340" t="str">
        <f>VLOOKUP(L1340,Customers!$A$2:$B$92,2,FALSE)</f>
        <v>Split Rail Beer &amp; Ale</v>
      </c>
      <c r="B1340" t="str">
        <f>VLOOKUP(L1340,Customers!$A$2:$C$92,3,TRUE)</f>
        <v>Art Braunschweiger</v>
      </c>
      <c r="C1340" t="str">
        <f t="shared" si="341"/>
        <v>Art</v>
      </c>
      <c r="D1340" s="8" t="str">
        <f t="shared" si="342"/>
        <v>Braunschweiger</v>
      </c>
      <c r="E1340" s="8" t="str">
        <f t="shared" si="343"/>
        <v>Braunschweiger, Art</v>
      </c>
      <c r="F1340" s="8" t="str">
        <f t="shared" si="344"/>
        <v>Braunschweiger, Art</v>
      </c>
      <c r="G1340" s="8" t="str">
        <f t="shared" si="345"/>
        <v>not an outlier</v>
      </c>
      <c r="H1340" s="8" t="str">
        <f t="shared" si="346"/>
        <v>Not</v>
      </c>
      <c r="I1340" s="8" t="str">
        <f t="shared" si="356"/>
        <v>no</v>
      </c>
      <c r="J1340" s="10" t="str">
        <f t="shared" si="347"/>
        <v>no</v>
      </c>
      <c r="K1340" s="10" t="str">
        <f t="shared" si="348"/>
        <v>no</v>
      </c>
      <c r="L1340" t="s">
        <v>557</v>
      </c>
      <c r="M1340">
        <v>10756</v>
      </c>
      <c r="N1340">
        <v>18</v>
      </c>
      <c r="O1340" t="s">
        <v>742</v>
      </c>
      <c r="P1340" t="str">
        <f t="shared" si="349"/>
        <v>SPLIR_10756_Carnarvon Tigers</v>
      </c>
      <c r="Q1340" t="str">
        <f t="shared" si="350"/>
        <v>10756</v>
      </c>
      <c r="R1340" t="str">
        <f t="shared" si="351"/>
        <v>10756</v>
      </c>
      <c r="S1340" t="str">
        <f t="shared" si="352"/>
        <v>Carnarvon Tigers</v>
      </c>
      <c r="T1340">
        <v>62.5</v>
      </c>
      <c r="U1340">
        <v>21</v>
      </c>
      <c r="V1340">
        <v>0.2</v>
      </c>
      <c r="W1340">
        <f t="shared" si="353"/>
        <v>1050</v>
      </c>
      <c r="X1340" t="str">
        <f t="shared" si="354"/>
        <v>No</v>
      </c>
      <c r="Y1340" s="2">
        <v>35061</v>
      </c>
      <c r="Z1340" t="str">
        <f t="shared" si="340"/>
        <v/>
      </c>
      <c r="AA1340" t="str">
        <f t="shared" si="355"/>
        <v/>
      </c>
      <c r="AB1340" t="str" cm="1">
        <f t="array" ref="AB1340">_xlfn.IFS(Y1340&lt;DATE(1996,1,1),"",Y1340&lt;DATE(1996,4,1),"Q1",Y1340&lt;DATE(1996,7,1),"Q2",Y1340&gt;=DATE(1996,7,1),"")</f>
        <v/>
      </c>
    </row>
    <row r="1341" spans="1:28" ht="14.4" x14ac:dyDescent="0.55000000000000004">
      <c r="A1341" t="str">
        <f>VLOOKUP(L1341,Customers!$A$2:$B$92,2,FALSE)</f>
        <v>Split Rail Beer &amp; Ale</v>
      </c>
      <c r="B1341" t="str">
        <f>VLOOKUP(L1341,Customers!$A$2:$C$92,3,TRUE)</f>
        <v>Art Braunschweiger</v>
      </c>
      <c r="C1341" t="str">
        <f t="shared" si="341"/>
        <v>Art</v>
      </c>
      <c r="D1341" s="8" t="str">
        <f t="shared" si="342"/>
        <v>Braunschweiger</v>
      </c>
      <c r="E1341" s="8" t="str">
        <f t="shared" si="343"/>
        <v>Braunschweiger, Art</v>
      </c>
      <c r="F1341" s="8" t="str">
        <f t="shared" si="344"/>
        <v>Braunschweiger, Art</v>
      </c>
      <c r="G1341" s="8" t="str">
        <f t="shared" si="345"/>
        <v>not an outlier</v>
      </c>
      <c r="H1341" s="8" t="str">
        <f t="shared" si="346"/>
        <v>Not</v>
      </c>
      <c r="I1341" s="8" t="str">
        <f t="shared" si="356"/>
        <v>no</v>
      </c>
      <c r="J1341" s="10" t="str">
        <f t="shared" si="347"/>
        <v>no</v>
      </c>
      <c r="K1341" s="10" t="str">
        <f t="shared" si="348"/>
        <v>no</v>
      </c>
      <c r="L1341" t="s">
        <v>557</v>
      </c>
      <c r="M1341">
        <v>10756</v>
      </c>
      <c r="N1341">
        <v>36</v>
      </c>
      <c r="O1341" t="s">
        <v>703</v>
      </c>
      <c r="P1341" t="str">
        <f t="shared" si="349"/>
        <v>SPLIR_10756_Inlagd Sill</v>
      </c>
      <c r="Q1341" t="str">
        <f t="shared" si="350"/>
        <v>10756</v>
      </c>
      <c r="R1341" t="str">
        <f t="shared" si="351"/>
        <v>10756</v>
      </c>
      <c r="S1341" t="str">
        <f t="shared" si="352"/>
        <v>Inlagd Sill</v>
      </c>
      <c r="T1341">
        <v>19</v>
      </c>
      <c r="U1341">
        <v>20</v>
      </c>
      <c r="V1341">
        <v>0.2</v>
      </c>
      <c r="W1341">
        <f t="shared" si="353"/>
        <v>304</v>
      </c>
      <c r="X1341" t="str">
        <f t="shared" si="354"/>
        <v>No</v>
      </c>
      <c r="Y1341" s="2">
        <v>35061</v>
      </c>
      <c r="Z1341" t="str">
        <f t="shared" si="340"/>
        <v/>
      </c>
      <c r="AA1341" t="str">
        <f t="shared" si="355"/>
        <v/>
      </c>
      <c r="AB1341" t="str" cm="1">
        <f t="array" ref="AB1341">_xlfn.IFS(Y1341&lt;DATE(1996,1,1),"",Y1341&lt;DATE(1996,4,1),"Q1",Y1341&lt;DATE(1996,7,1),"Q2",Y1341&gt;=DATE(1996,7,1),"")</f>
        <v/>
      </c>
    </row>
    <row r="1342" spans="1:28" ht="14.4" x14ac:dyDescent="0.55000000000000004">
      <c r="A1342" t="str">
        <f>VLOOKUP(L1342,Customers!$A$2:$B$92,2,FALSE)</f>
        <v>Split Rail Beer &amp; Ale</v>
      </c>
      <c r="B1342" t="str">
        <f>VLOOKUP(L1342,Customers!$A$2:$C$92,3,TRUE)</f>
        <v>Art Braunschweiger</v>
      </c>
      <c r="C1342" t="str">
        <f t="shared" si="341"/>
        <v>Art</v>
      </c>
      <c r="D1342" s="8" t="str">
        <f t="shared" si="342"/>
        <v>Braunschweiger</v>
      </c>
      <c r="E1342" s="8" t="str">
        <f t="shared" si="343"/>
        <v>Braunschweiger, Art</v>
      </c>
      <c r="F1342" s="8" t="str">
        <f t="shared" si="344"/>
        <v>Braunschweiger, Art</v>
      </c>
      <c r="G1342" s="8" t="str">
        <f t="shared" si="345"/>
        <v>not an outlier</v>
      </c>
      <c r="H1342" s="8" t="str">
        <f t="shared" si="346"/>
        <v>Not</v>
      </c>
      <c r="I1342" s="8" t="str">
        <f t="shared" si="356"/>
        <v>no</v>
      </c>
      <c r="J1342" s="10" t="str">
        <f t="shared" si="347"/>
        <v>no</v>
      </c>
      <c r="K1342" s="10" t="str">
        <f t="shared" si="348"/>
        <v>no</v>
      </c>
      <c r="L1342" t="s">
        <v>557</v>
      </c>
      <c r="M1342">
        <v>10756</v>
      </c>
      <c r="N1342">
        <v>68</v>
      </c>
      <c r="O1342" t="s">
        <v>739</v>
      </c>
      <c r="P1342" t="str">
        <f t="shared" si="349"/>
        <v>SPLIR_10756_Scottish Longbreads</v>
      </c>
      <c r="Q1342" t="str">
        <f t="shared" si="350"/>
        <v>10756</v>
      </c>
      <c r="R1342" t="str">
        <f t="shared" si="351"/>
        <v>10756</v>
      </c>
      <c r="S1342" t="str">
        <f t="shared" si="352"/>
        <v>Scottish Longbreads</v>
      </c>
      <c r="T1342">
        <v>12.5</v>
      </c>
      <c r="U1342">
        <v>6</v>
      </c>
      <c r="V1342">
        <v>0.2</v>
      </c>
      <c r="W1342">
        <f t="shared" si="353"/>
        <v>60</v>
      </c>
      <c r="X1342" t="str">
        <f t="shared" si="354"/>
        <v>No</v>
      </c>
      <c r="Y1342" s="2">
        <v>35061</v>
      </c>
      <c r="Z1342" t="str">
        <f t="shared" si="340"/>
        <v/>
      </c>
      <c r="AA1342" t="str">
        <f t="shared" si="355"/>
        <v/>
      </c>
      <c r="AB1342" t="str" cm="1">
        <f t="array" ref="AB1342">_xlfn.IFS(Y1342&lt;DATE(1996,1,1),"",Y1342&lt;DATE(1996,4,1),"Q1",Y1342&lt;DATE(1996,7,1),"Q2",Y1342&gt;=DATE(1996,7,1),"")</f>
        <v/>
      </c>
    </row>
    <row r="1343" spans="1:28" ht="14.4" x14ac:dyDescent="0.55000000000000004">
      <c r="A1343" t="str">
        <f>VLOOKUP(L1343,Customers!$A$2:$B$92,2,FALSE)</f>
        <v>Split Rail Beer &amp; Ale</v>
      </c>
      <c r="B1343" t="str">
        <f>VLOOKUP(L1343,Customers!$A$2:$C$92,3,TRUE)</f>
        <v>Art Braunschweiger</v>
      </c>
      <c r="C1343" t="str">
        <f t="shared" si="341"/>
        <v>Art</v>
      </c>
      <c r="D1343" s="8" t="str">
        <f t="shared" si="342"/>
        <v>Braunschweiger</v>
      </c>
      <c r="E1343" s="8" t="str">
        <f t="shared" si="343"/>
        <v>Braunschweiger, Art</v>
      </c>
      <c r="F1343" s="8" t="str">
        <f t="shared" si="344"/>
        <v>Braunschweiger, Art</v>
      </c>
      <c r="G1343" s="8" t="str">
        <f t="shared" si="345"/>
        <v>not an outlier</v>
      </c>
      <c r="H1343" s="8" t="str">
        <f t="shared" si="346"/>
        <v>Not</v>
      </c>
      <c r="I1343" s="8" t="str">
        <f t="shared" si="356"/>
        <v>no</v>
      </c>
      <c r="J1343" s="10" t="str">
        <f t="shared" si="347"/>
        <v>no</v>
      </c>
      <c r="K1343" s="10" t="str">
        <f t="shared" si="348"/>
        <v>no</v>
      </c>
      <c r="L1343" t="s">
        <v>557</v>
      </c>
      <c r="M1343">
        <v>10756</v>
      </c>
      <c r="N1343">
        <v>69</v>
      </c>
      <c r="O1343" t="s">
        <v>743</v>
      </c>
      <c r="P1343" t="str">
        <f t="shared" si="349"/>
        <v>SPLIR_10756_Gudbrandsdalsost</v>
      </c>
      <c r="Q1343" t="str">
        <f t="shared" si="350"/>
        <v>10756</v>
      </c>
      <c r="R1343" t="str">
        <f t="shared" si="351"/>
        <v>10756</v>
      </c>
      <c r="S1343" t="str">
        <f t="shared" si="352"/>
        <v>Gudbrandsdalsost</v>
      </c>
      <c r="T1343">
        <v>36</v>
      </c>
      <c r="U1343">
        <v>20</v>
      </c>
      <c r="V1343">
        <v>0.2</v>
      </c>
      <c r="W1343">
        <f t="shared" si="353"/>
        <v>576</v>
      </c>
      <c r="X1343" t="str">
        <f t="shared" si="354"/>
        <v>No</v>
      </c>
      <c r="Y1343" s="2">
        <v>35061</v>
      </c>
      <c r="Z1343" t="str">
        <f t="shared" si="340"/>
        <v/>
      </c>
      <c r="AA1343" t="str">
        <f t="shared" si="355"/>
        <v/>
      </c>
      <c r="AB1343" t="str" cm="1">
        <f t="array" ref="AB1343">_xlfn.IFS(Y1343&lt;DATE(1996,1,1),"",Y1343&lt;DATE(1996,4,1),"Q1",Y1343&lt;DATE(1996,7,1),"Q2",Y1343&gt;=DATE(1996,7,1),"")</f>
        <v/>
      </c>
    </row>
    <row r="1344" spans="1:28" ht="14.4" x14ac:dyDescent="0.55000000000000004">
      <c r="A1344" t="str">
        <f>VLOOKUP(L1344,Customers!$A$2:$B$92,2,FALSE)</f>
        <v>Save-a-lot Markets</v>
      </c>
      <c r="B1344" t="str">
        <f>VLOOKUP(L1344,Customers!$A$2:$C$92,3,TRUE)</f>
        <v>Jose Pavarotti</v>
      </c>
      <c r="C1344" t="str">
        <f t="shared" si="341"/>
        <v>Jose</v>
      </c>
      <c r="D1344" s="8" t="str">
        <f t="shared" si="342"/>
        <v>Pavarotti</v>
      </c>
      <c r="E1344" s="8" t="str">
        <f t="shared" si="343"/>
        <v>Pavarotti, Jose</v>
      </c>
      <c r="F1344" s="8" t="str">
        <f t="shared" si="344"/>
        <v>Pavarotti, Jose</v>
      </c>
      <c r="G1344" s="8" t="str">
        <f t="shared" si="345"/>
        <v>not an outlier</v>
      </c>
      <c r="H1344" s="8" t="str">
        <f t="shared" si="346"/>
        <v>Not</v>
      </c>
      <c r="I1344" s="8" t="str">
        <f t="shared" si="356"/>
        <v>no</v>
      </c>
      <c r="J1344" s="10" t="str">
        <f t="shared" si="347"/>
        <v>no</v>
      </c>
      <c r="K1344" s="10" t="str">
        <f t="shared" si="348"/>
        <v>no</v>
      </c>
      <c r="L1344" t="s">
        <v>529</v>
      </c>
      <c r="M1344">
        <v>10757</v>
      </c>
      <c r="N1344">
        <v>34</v>
      </c>
      <c r="O1344" t="s">
        <v>736</v>
      </c>
      <c r="P1344" t="str">
        <f t="shared" si="349"/>
        <v>SAVEA_10757_Sasquatch Ale</v>
      </c>
      <c r="Q1344" t="str">
        <f t="shared" si="350"/>
        <v>10757</v>
      </c>
      <c r="R1344" t="str">
        <f t="shared" si="351"/>
        <v>10757</v>
      </c>
      <c r="S1344" t="str">
        <f t="shared" si="352"/>
        <v>Sasquatch Ale</v>
      </c>
      <c r="T1344">
        <v>14</v>
      </c>
      <c r="U1344">
        <v>30</v>
      </c>
      <c r="V1344">
        <v>0</v>
      </c>
      <c r="W1344">
        <f t="shared" si="353"/>
        <v>420</v>
      </c>
      <c r="X1344" t="str">
        <f t="shared" si="354"/>
        <v>No</v>
      </c>
      <c r="Y1344" s="2">
        <v>35061</v>
      </c>
      <c r="Z1344" t="str">
        <f t="shared" si="340"/>
        <v/>
      </c>
      <c r="AA1344" t="str">
        <f t="shared" si="355"/>
        <v/>
      </c>
      <c r="AB1344" t="str" cm="1">
        <f t="array" ref="AB1344">_xlfn.IFS(Y1344&lt;DATE(1996,1,1),"",Y1344&lt;DATE(1996,4,1),"Q1",Y1344&lt;DATE(1996,7,1),"Q2",Y1344&gt;=DATE(1996,7,1),"")</f>
        <v/>
      </c>
    </row>
    <row r="1345" spans="1:28" ht="14.4" x14ac:dyDescent="0.55000000000000004">
      <c r="A1345" t="str">
        <f>VLOOKUP(L1345,Customers!$A$2:$B$92,2,FALSE)</f>
        <v>Save-a-lot Markets</v>
      </c>
      <c r="B1345" t="str">
        <f>VLOOKUP(L1345,Customers!$A$2:$C$92,3,TRUE)</f>
        <v>Jose Pavarotti</v>
      </c>
      <c r="C1345" t="str">
        <f t="shared" si="341"/>
        <v>Jose</v>
      </c>
      <c r="D1345" s="8" t="str">
        <f t="shared" si="342"/>
        <v>Pavarotti</v>
      </c>
      <c r="E1345" s="8" t="str">
        <f t="shared" si="343"/>
        <v>Pavarotti, Jose</v>
      </c>
      <c r="F1345" s="8" t="str">
        <f t="shared" si="344"/>
        <v>Pavarotti, Jose</v>
      </c>
      <c r="G1345" s="8" t="str">
        <f t="shared" si="345"/>
        <v>not an outlier</v>
      </c>
      <c r="H1345" s="8" t="str">
        <f t="shared" si="346"/>
        <v>Not</v>
      </c>
      <c r="I1345" s="8" t="str">
        <f t="shared" si="356"/>
        <v>no</v>
      </c>
      <c r="J1345" s="10" t="str">
        <f t="shared" si="347"/>
        <v>no</v>
      </c>
      <c r="K1345" s="10" t="str">
        <f t="shared" si="348"/>
        <v>no</v>
      </c>
      <c r="L1345" t="s">
        <v>529</v>
      </c>
      <c r="M1345">
        <v>10757</v>
      </c>
      <c r="N1345">
        <v>59</v>
      </c>
      <c r="O1345" t="s">
        <v>704</v>
      </c>
      <c r="P1345" t="str">
        <f t="shared" si="349"/>
        <v>SAVEA_10757_Raclette Courdavault</v>
      </c>
      <c r="Q1345" t="str">
        <f t="shared" si="350"/>
        <v>10757</v>
      </c>
      <c r="R1345" t="str">
        <f t="shared" si="351"/>
        <v>10757</v>
      </c>
      <c r="S1345" t="str">
        <f t="shared" si="352"/>
        <v>Raclette Courdavault</v>
      </c>
      <c r="T1345">
        <v>55</v>
      </c>
      <c r="U1345">
        <v>7</v>
      </c>
      <c r="V1345">
        <v>0</v>
      </c>
      <c r="W1345">
        <f t="shared" si="353"/>
        <v>385</v>
      </c>
      <c r="X1345" t="str">
        <f t="shared" si="354"/>
        <v>No</v>
      </c>
      <c r="Y1345" s="2">
        <v>35061</v>
      </c>
      <c r="Z1345" t="str">
        <f t="shared" ref="Z1345:Z1408" si="357">IF(Y1345&gt;=DATE(1996,1,1), IF(Y1345&lt;DATE(1996,4,1),"1st Q 1996",""),"")</f>
        <v/>
      </c>
      <c r="AA1345" t="str">
        <f t="shared" si="355"/>
        <v/>
      </c>
      <c r="AB1345" t="str" cm="1">
        <f t="array" ref="AB1345">_xlfn.IFS(Y1345&lt;DATE(1996,1,1),"",Y1345&lt;DATE(1996,4,1),"Q1",Y1345&lt;DATE(1996,7,1),"Q2",Y1345&gt;=DATE(1996,7,1),"")</f>
        <v/>
      </c>
    </row>
    <row r="1346" spans="1:28" ht="14.4" x14ac:dyDescent="0.55000000000000004">
      <c r="A1346" t="str">
        <f>VLOOKUP(L1346,Customers!$A$2:$B$92,2,FALSE)</f>
        <v>Save-a-lot Markets</v>
      </c>
      <c r="B1346" t="str">
        <f>VLOOKUP(L1346,Customers!$A$2:$C$92,3,TRUE)</f>
        <v>Jose Pavarotti</v>
      </c>
      <c r="C1346" t="str">
        <f t="shared" si="341"/>
        <v>Jose</v>
      </c>
      <c r="D1346" s="8" t="str">
        <f t="shared" si="342"/>
        <v>Pavarotti</v>
      </c>
      <c r="E1346" s="8" t="str">
        <f t="shared" si="343"/>
        <v>Pavarotti, Jose</v>
      </c>
      <c r="F1346" s="8" t="str">
        <f t="shared" si="344"/>
        <v>Pavarotti, Jose</v>
      </c>
      <c r="G1346" s="8" t="str">
        <f t="shared" si="345"/>
        <v>not an outlier</v>
      </c>
      <c r="H1346" s="8" t="str">
        <f t="shared" si="346"/>
        <v>Not</v>
      </c>
      <c r="I1346" s="8" t="str">
        <f t="shared" si="356"/>
        <v>no</v>
      </c>
      <c r="J1346" s="10" t="str">
        <f t="shared" si="347"/>
        <v>no</v>
      </c>
      <c r="K1346" s="10" t="str">
        <f t="shared" si="348"/>
        <v>no</v>
      </c>
      <c r="L1346" t="s">
        <v>529</v>
      </c>
      <c r="M1346">
        <v>10757</v>
      </c>
      <c r="N1346">
        <v>62</v>
      </c>
      <c r="O1346" t="s">
        <v>712</v>
      </c>
      <c r="P1346" t="str">
        <f t="shared" si="349"/>
        <v>SAVEA_10757_Tarte au sucre</v>
      </c>
      <c r="Q1346" t="str">
        <f t="shared" si="350"/>
        <v>10757</v>
      </c>
      <c r="R1346" t="str">
        <f t="shared" si="351"/>
        <v>10757</v>
      </c>
      <c r="S1346" t="str">
        <f t="shared" si="352"/>
        <v>Tarte au sucre</v>
      </c>
      <c r="T1346">
        <v>49.3</v>
      </c>
      <c r="U1346">
        <v>30</v>
      </c>
      <c r="V1346">
        <v>0</v>
      </c>
      <c r="W1346">
        <f t="shared" si="353"/>
        <v>1479</v>
      </c>
      <c r="X1346" t="str">
        <f t="shared" si="354"/>
        <v>No</v>
      </c>
      <c r="Y1346" s="2">
        <v>35061</v>
      </c>
      <c r="Z1346" t="str">
        <f t="shared" si="357"/>
        <v/>
      </c>
      <c r="AA1346" t="str">
        <f t="shared" si="355"/>
        <v/>
      </c>
      <c r="AB1346" t="str" cm="1">
        <f t="array" ref="AB1346">_xlfn.IFS(Y1346&lt;DATE(1996,1,1),"",Y1346&lt;DATE(1996,4,1),"Q1",Y1346&lt;DATE(1996,7,1),"Q2",Y1346&gt;=DATE(1996,7,1),"")</f>
        <v/>
      </c>
    </row>
    <row r="1347" spans="1:28" ht="14.4" x14ac:dyDescent="0.55000000000000004">
      <c r="A1347" t="str">
        <f>VLOOKUP(L1347,Customers!$A$2:$B$92,2,FALSE)</f>
        <v>Save-a-lot Markets</v>
      </c>
      <c r="B1347" t="str">
        <f>VLOOKUP(L1347,Customers!$A$2:$C$92,3,TRUE)</f>
        <v>Jose Pavarotti</v>
      </c>
      <c r="C1347" t="str">
        <f t="shared" ref="C1347:C1410" si="358">LEFT(B1347,FIND(" ",B1347)-1)</f>
        <v>Jose</v>
      </c>
      <c r="D1347" s="8" t="str">
        <f t="shared" ref="D1347:D1410" si="359">RIGHT(B1347,LEN(B1347)-FIND(" ",B1347))</f>
        <v>Pavarotti</v>
      </c>
      <c r="E1347" s="8" t="str">
        <f t="shared" ref="E1347:E1410" si="360">_xlfn.CONCAT(D1347,", ",C1347)</f>
        <v>Pavarotti, Jose</v>
      </c>
      <c r="F1347" s="8" t="str">
        <f t="shared" ref="F1347:F1410" si="361">D1347&amp;", "&amp;C1347</f>
        <v>Pavarotti, Jose</v>
      </c>
      <c r="G1347" s="8" t="str">
        <f t="shared" ref="G1347:G1410" si="362">IF(OR(W1347&gt;$W$2166,W1347&lt;$W$2167),"outlier","not an outlier")</f>
        <v>not an outlier</v>
      </c>
      <c r="H1347" s="8" t="str">
        <f t="shared" ref="H1347:H1410" si="363">IF(OR(W1347&gt;$W$2166,W1347&lt;$W$2167),"outlier",IF(OR(W1347&gt;$W$2168,W1347&lt;$W$2169),"moderate","Not"))</f>
        <v>Not</v>
      </c>
      <c r="I1347" s="8" t="str">
        <f t="shared" si="356"/>
        <v>no</v>
      </c>
      <c r="J1347" s="10" t="str">
        <f t="shared" ref="J1347:J1410" si="364">IF(AND(W1347&lt;=$W$2166,W1347&gt;=$W$2167),"no","yes")</f>
        <v>no</v>
      </c>
      <c r="K1347" s="10" t="str">
        <f t="shared" ref="K1347:K1410" si="365">IF(OR(W1347&gt;$W$2166,W1347&lt;$W$2167),"yes",IF(OR(W1347&gt;$W$2168,W1347&lt;$W$2169),"moderate","no"))</f>
        <v>no</v>
      </c>
      <c r="L1347" t="s">
        <v>529</v>
      </c>
      <c r="M1347">
        <v>10757</v>
      </c>
      <c r="N1347">
        <v>64</v>
      </c>
      <c r="O1347" t="s">
        <v>741</v>
      </c>
      <c r="P1347" t="str">
        <f t="shared" ref="P1347:P1410" si="366">L1347&amp;"_"&amp;M1347&amp;"_"&amp;O1347</f>
        <v>SAVEA_10757_Wimmers gute Semmelknödel</v>
      </c>
      <c r="Q1347" t="str">
        <f t="shared" ref="Q1347:Q1410" si="367">LEFT(RIGHT(P1347,LEN(P1347)-FIND("_",P1347)), FIND("_",P1347)-1)</f>
        <v>10757</v>
      </c>
      <c r="R1347" t="str">
        <f t="shared" ref="R1347:R1410" si="368">MID(P1347,FIND("_",P1347)+1,FIND("_",P1347,FIND("_",P1347))-1)</f>
        <v>10757</v>
      </c>
      <c r="S1347" t="str">
        <f t="shared" ref="S1347:S1410" si="369">MID(P1347,FIND("_",P1347,FIND("_",P1347)+1)+1,LEN(P1347))</f>
        <v>Wimmers gute Semmelknödel</v>
      </c>
      <c r="T1347">
        <v>33.25</v>
      </c>
      <c r="U1347">
        <v>24</v>
      </c>
      <c r="V1347">
        <v>0</v>
      </c>
      <c r="W1347">
        <f t="shared" ref="W1347:W1410" si="370">T1347*U1347*(1-V1347)</f>
        <v>798</v>
      </c>
      <c r="X1347" t="str">
        <f t="shared" ref="X1347:X1410" si="371">IF(YEAR(Y1347)&gt;=1996,"yes","No")</f>
        <v>No</v>
      </c>
      <c r="Y1347" s="2">
        <v>35061</v>
      </c>
      <c r="Z1347" t="str">
        <f t="shared" si="357"/>
        <v/>
      </c>
      <c r="AA1347" t="str">
        <f t="shared" ref="AA1347:AA1410" si="372">IF(Y1347&lt;DATE(1996,1,1),"", IF(Y1347&lt;DATE(1996,4,1),"1st Q 1996",IF(Y1347&lt;DATE(1996,7,1),"2nd Q 1996","")))</f>
        <v/>
      </c>
      <c r="AB1347" t="str" cm="1">
        <f t="array" ref="AB1347">_xlfn.IFS(Y1347&lt;DATE(1996,1,1),"",Y1347&lt;DATE(1996,4,1),"Q1",Y1347&lt;DATE(1996,7,1),"Q2",Y1347&gt;=DATE(1996,7,1),"")</f>
        <v/>
      </c>
    </row>
    <row r="1348" spans="1:28" ht="14.4" x14ac:dyDescent="0.55000000000000004">
      <c r="A1348" t="str">
        <f>VLOOKUP(L1348,Customers!$A$2:$B$92,2,FALSE)</f>
        <v>Richter Supermarkt</v>
      </c>
      <c r="B1348" t="str">
        <f>VLOOKUP(L1348,Customers!$A$2:$C$92,3,TRUE)</f>
        <v>Michael Holz</v>
      </c>
      <c r="C1348" t="str">
        <f t="shared" si="358"/>
        <v>Michael</v>
      </c>
      <c r="D1348" s="8" t="str">
        <f t="shared" si="359"/>
        <v>Holz</v>
      </c>
      <c r="E1348" s="8" t="str">
        <f t="shared" si="360"/>
        <v>Holz, Michael</v>
      </c>
      <c r="F1348" s="8" t="str">
        <f t="shared" si="361"/>
        <v>Holz, Michael</v>
      </c>
      <c r="G1348" s="8" t="str">
        <f t="shared" si="362"/>
        <v>not an outlier</v>
      </c>
      <c r="H1348" s="8" t="str">
        <f t="shared" si="363"/>
        <v>Not</v>
      </c>
      <c r="I1348" s="8" t="str">
        <f t="shared" ref="I1348:I1411" si="373">IF(OR(W1348&gt;$W$2166,W1348&lt;$W$2167),"yes","no")</f>
        <v>no</v>
      </c>
      <c r="J1348" s="10" t="str">
        <f t="shared" si="364"/>
        <v>no</v>
      </c>
      <c r="K1348" s="10" t="str">
        <f t="shared" si="365"/>
        <v>no</v>
      </c>
      <c r="L1348" t="s">
        <v>509</v>
      </c>
      <c r="M1348">
        <v>10758</v>
      </c>
      <c r="N1348">
        <v>26</v>
      </c>
      <c r="O1348" t="s">
        <v>751</v>
      </c>
      <c r="P1348" t="str">
        <f t="shared" si="366"/>
        <v>RICSU_10758_Gumbär Gummibärchen</v>
      </c>
      <c r="Q1348" t="str">
        <f t="shared" si="367"/>
        <v>10758</v>
      </c>
      <c r="R1348" t="str">
        <f t="shared" si="368"/>
        <v>10758</v>
      </c>
      <c r="S1348" t="str">
        <f t="shared" si="369"/>
        <v>Gumbär Gummibärchen</v>
      </c>
      <c r="T1348">
        <v>31.23</v>
      </c>
      <c r="U1348">
        <v>20</v>
      </c>
      <c r="V1348">
        <v>0</v>
      </c>
      <c r="W1348">
        <f t="shared" si="370"/>
        <v>624.6</v>
      </c>
      <c r="X1348" t="str">
        <f t="shared" si="371"/>
        <v>No</v>
      </c>
      <c r="Y1348" s="2">
        <v>35062</v>
      </c>
      <c r="Z1348" t="str">
        <f t="shared" si="357"/>
        <v/>
      </c>
      <c r="AA1348" t="str">
        <f t="shared" si="372"/>
        <v/>
      </c>
      <c r="AB1348" t="str" cm="1">
        <f t="array" ref="AB1348">_xlfn.IFS(Y1348&lt;DATE(1996,1,1),"",Y1348&lt;DATE(1996,4,1),"Q1",Y1348&lt;DATE(1996,7,1),"Q2",Y1348&gt;=DATE(1996,7,1),"")</f>
        <v/>
      </c>
    </row>
    <row r="1349" spans="1:28" ht="14.4" x14ac:dyDescent="0.55000000000000004">
      <c r="A1349" t="str">
        <f>VLOOKUP(L1349,Customers!$A$2:$B$92,2,FALSE)</f>
        <v>Richter Supermarkt</v>
      </c>
      <c r="B1349" t="str">
        <f>VLOOKUP(L1349,Customers!$A$2:$C$92,3,TRUE)</f>
        <v>Michael Holz</v>
      </c>
      <c r="C1349" t="str">
        <f t="shared" si="358"/>
        <v>Michael</v>
      </c>
      <c r="D1349" s="8" t="str">
        <f t="shared" si="359"/>
        <v>Holz</v>
      </c>
      <c r="E1349" s="8" t="str">
        <f t="shared" si="360"/>
        <v>Holz, Michael</v>
      </c>
      <c r="F1349" s="8" t="str">
        <f t="shared" si="361"/>
        <v>Holz, Michael</v>
      </c>
      <c r="G1349" s="8" t="str">
        <f t="shared" si="362"/>
        <v>not an outlier</v>
      </c>
      <c r="H1349" s="8" t="str">
        <f t="shared" si="363"/>
        <v>Not</v>
      </c>
      <c r="I1349" s="8" t="str">
        <f t="shared" si="373"/>
        <v>no</v>
      </c>
      <c r="J1349" s="10" t="str">
        <f t="shared" si="364"/>
        <v>no</v>
      </c>
      <c r="K1349" s="10" t="str">
        <f t="shared" si="365"/>
        <v>no</v>
      </c>
      <c r="L1349" t="s">
        <v>509</v>
      </c>
      <c r="M1349">
        <v>10758</v>
      </c>
      <c r="N1349">
        <v>52</v>
      </c>
      <c r="O1349" t="s">
        <v>748</v>
      </c>
      <c r="P1349" t="str">
        <f t="shared" si="366"/>
        <v>RICSU_10758_Filo Mix</v>
      </c>
      <c r="Q1349" t="str">
        <f t="shared" si="367"/>
        <v>10758</v>
      </c>
      <c r="R1349" t="str">
        <f t="shared" si="368"/>
        <v>10758</v>
      </c>
      <c r="S1349" t="str">
        <f t="shared" si="369"/>
        <v>Filo Mix</v>
      </c>
      <c r="T1349">
        <v>7</v>
      </c>
      <c r="U1349">
        <v>60</v>
      </c>
      <c r="V1349">
        <v>0</v>
      </c>
      <c r="W1349">
        <f t="shared" si="370"/>
        <v>420</v>
      </c>
      <c r="X1349" t="str">
        <f t="shared" si="371"/>
        <v>No</v>
      </c>
      <c r="Y1349" s="2">
        <v>35062</v>
      </c>
      <c r="Z1349" t="str">
        <f t="shared" si="357"/>
        <v/>
      </c>
      <c r="AA1349" t="str">
        <f t="shared" si="372"/>
        <v/>
      </c>
      <c r="AB1349" t="str" cm="1">
        <f t="array" ref="AB1349">_xlfn.IFS(Y1349&lt;DATE(1996,1,1),"",Y1349&lt;DATE(1996,4,1),"Q1",Y1349&lt;DATE(1996,7,1),"Q2",Y1349&gt;=DATE(1996,7,1),"")</f>
        <v/>
      </c>
    </row>
    <row r="1350" spans="1:28" ht="14.4" x14ac:dyDescent="0.55000000000000004">
      <c r="A1350" t="str">
        <f>VLOOKUP(L1350,Customers!$A$2:$B$92,2,FALSE)</f>
        <v>Richter Supermarkt</v>
      </c>
      <c r="B1350" t="str">
        <f>VLOOKUP(L1350,Customers!$A$2:$C$92,3,TRUE)</f>
        <v>Michael Holz</v>
      </c>
      <c r="C1350" t="str">
        <f t="shared" si="358"/>
        <v>Michael</v>
      </c>
      <c r="D1350" s="8" t="str">
        <f t="shared" si="359"/>
        <v>Holz</v>
      </c>
      <c r="E1350" s="8" t="str">
        <f t="shared" si="360"/>
        <v>Holz, Michael</v>
      </c>
      <c r="F1350" s="8" t="str">
        <f t="shared" si="361"/>
        <v>Holz, Michael</v>
      </c>
      <c r="G1350" s="8" t="str">
        <f t="shared" si="362"/>
        <v>not an outlier</v>
      </c>
      <c r="H1350" s="8" t="str">
        <f t="shared" si="363"/>
        <v>Not</v>
      </c>
      <c r="I1350" s="8" t="str">
        <f t="shared" si="373"/>
        <v>no</v>
      </c>
      <c r="J1350" s="10" t="str">
        <f t="shared" si="364"/>
        <v>no</v>
      </c>
      <c r="K1350" s="10" t="str">
        <f t="shared" si="365"/>
        <v>no</v>
      </c>
      <c r="L1350" t="s">
        <v>509</v>
      </c>
      <c r="M1350">
        <v>10758</v>
      </c>
      <c r="N1350">
        <v>70</v>
      </c>
      <c r="O1350" t="s">
        <v>713</v>
      </c>
      <c r="P1350" t="str">
        <f t="shared" si="366"/>
        <v>RICSU_10758_Outback Lager</v>
      </c>
      <c r="Q1350" t="str">
        <f t="shared" si="367"/>
        <v>10758</v>
      </c>
      <c r="R1350" t="str">
        <f t="shared" si="368"/>
        <v>10758</v>
      </c>
      <c r="S1350" t="str">
        <f t="shared" si="369"/>
        <v>Outback Lager</v>
      </c>
      <c r="T1350">
        <v>15</v>
      </c>
      <c r="U1350">
        <v>40</v>
      </c>
      <c r="V1350">
        <v>0</v>
      </c>
      <c r="W1350">
        <f t="shared" si="370"/>
        <v>600</v>
      </c>
      <c r="X1350" t="str">
        <f t="shared" si="371"/>
        <v>No</v>
      </c>
      <c r="Y1350" s="2">
        <v>35062</v>
      </c>
      <c r="Z1350" t="str">
        <f t="shared" si="357"/>
        <v/>
      </c>
      <c r="AA1350" t="str">
        <f t="shared" si="372"/>
        <v/>
      </c>
      <c r="AB1350" t="str" cm="1">
        <f t="array" ref="AB1350">_xlfn.IFS(Y1350&lt;DATE(1996,1,1),"",Y1350&lt;DATE(1996,4,1),"Q1",Y1350&lt;DATE(1996,7,1),"Q2",Y1350&gt;=DATE(1996,7,1),"")</f>
        <v/>
      </c>
    </row>
    <row r="1351" spans="1:28" ht="14.4" x14ac:dyDescent="0.55000000000000004">
      <c r="A1351" t="str">
        <f>VLOOKUP(L1351,Customers!$A$2:$B$92,2,FALSE)</f>
        <v>Ana Trujillo Emparedados y helados</v>
      </c>
      <c r="B1351" t="str">
        <f>VLOOKUP(L1351,Customers!$A$2:$C$92,3,TRUE)</f>
        <v>Ana Trujillo</v>
      </c>
      <c r="C1351" t="str">
        <f t="shared" si="358"/>
        <v>Ana</v>
      </c>
      <c r="D1351" s="8" t="str">
        <f t="shared" si="359"/>
        <v>Trujillo</v>
      </c>
      <c r="E1351" s="8" t="str">
        <f t="shared" si="360"/>
        <v>Trujillo, Ana</v>
      </c>
      <c r="F1351" s="8" t="str">
        <f t="shared" si="361"/>
        <v>Trujillo, Ana</v>
      </c>
      <c r="G1351" s="8" t="str">
        <f t="shared" si="362"/>
        <v>not an outlier</v>
      </c>
      <c r="H1351" s="8" t="str">
        <f t="shared" si="363"/>
        <v>Not</v>
      </c>
      <c r="I1351" s="8" t="str">
        <f t="shared" si="373"/>
        <v>no</v>
      </c>
      <c r="J1351" s="10" t="str">
        <f t="shared" si="364"/>
        <v>no</v>
      </c>
      <c r="K1351" s="10" t="str">
        <f t="shared" si="365"/>
        <v>no</v>
      </c>
      <c r="L1351" t="s">
        <v>20</v>
      </c>
      <c r="M1351">
        <v>10759</v>
      </c>
      <c r="N1351">
        <v>32</v>
      </c>
      <c r="O1351" t="s">
        <v>709</v>
      </c>
      <c r="P1351" t="str">
        <f t="shared" si="366"/>
        <v>ANATR_10759_Mascarpone Fabioli</v>
      </c>
      <c r="Q1351" t="str">
        <f t="shared" si="367"/>
        <v>10759</v>
      </c>
      <c r="R1351" t="str">
        <f t="shared" si="368"/>
        <v>10759</v>
      </c>
      <c r="S1351" t="str">
        <f t="shared" si="369"/>
        <v>Mascarpone Fabioli</v>
      </c>
      <c r="T1351">
        <v>32</v>
      </c>
      <c r="U1351">
        <v>10</v>
      </c>
      <c r="V1351">
        <v>0</v>
      </c>
      <c r="W1351">
        <f t="shared" si="370"/>
        <v>320</v>
      </c>
      <c r="X1351" t="str">
        <f t="shared" si="371"/>
        <v>No</v>
      </c>
      <c r="Y1351" s="2">
        <v>35062</v>
      </c>
      <c r="Z1351" t="str">
        <f t="shared" si="357"/>
        <v/>
      </c>
      <c r="AA1351" t="str">
        <f t="shared" si="372"/>
        <v/>
      </c>
      <c r="AB1351" t="str" cm="1">
        <f t="array" ref="AB1351">_xlfn.IFS(Y1351&lt;DATE(1996,1,1),"",Y1351&lt;DATE(1996,4,1),"Q1",Y1351&lt;DATE(1996,7,1),"Q2",Y1351&gt;=DATE(1996,7,1),"")</f>
        <v/>
      </c>
    </row>
    <row r="1352" spans="1:28" ht="14.4" x14ac:dyDescent="0.55000000000000004">
      <c r="A1352" t="str">
        <f>VLOOKUP(L1352,Customers!$A$2:$B$92,2,FALSE)</f>
        <v>Maison Dewey</v>
      </c>
      <c r="B1352" t="str">
        <f>VLOOKUP(L1352,Customers!$A$2:$C$92,3,TRUE)</f>
        <v>Catherine Dewey</v>
      </c>
      <c r="C1352" t="str">
        <f t="shared" si="358"/>
        <v>Catherine</v>
      </c>
      <c r="D1352" s="8" t="str">
        <f t="shared" si="359"/>
        <v>Dewey</v>
      </c>
      <c r="E1352" s="8" t="str">
        <f t="shared" si="360"/>
        <v>Dewey, Catherine</v>
      </c>
      <c r="F1352" s="8" t="str">
        <f t="shared" si="361"/>
        <v>Dewey, Catherine</v>
      </c>
      <c r="G1352" s="8" t="str">
        <f t="shared" si="362"/>
        <v>not an outlier</v>
      </c>
      <c r="H1352" s="8" t="str">
        <f t="shared" si="363"/>
        <v>Not</v>
      </c>
      <c r="I1352" s="8" t="str">
        <f t="shared" si="373"/>
        <v>no</v>
      </c>
      <c r="J1352" s="10" t="str">
        <f t="shared" si="364"/>
        <v>no</v>
      </c>
      <c r="K1352" s="10" t="str">
        <f t="shared" si="365"/>
        <v>no</v>
      </c>
      <c r="L1352" t="s">
        <v>385</v>
      </c>
      <c r="M1352">
        <v>10760</v>
      </c>
      <c r="N1352">
        <v>25</v>
      </c>
      <c r="O1352" t="s">
        <v>749</v>
      </c>
      <c r="P1352" t="str">
        <f t="shared" si="366"/>
        <v>MAISD_10760_NuNuCa Nuß-Nougat-Creme</v>
      </c>
      <c r="Q1352" t="str">
        <f t="shared" si="367"/>
        <v>10760</v>
      </c>
      <c r="R1352" t="str">
        <f t="shared" si="368"/>
        <v>10760</v>
      </c>
      <c r="S1352" t="str">
        <f t="shared" si="369"/>
        <v>NuNuCa Nuß-Nougat-Creme</v>
      </c>
      <c r="T1352">
        <v>14</v>
      </c>
      <c r="U1352">
        <v>12</v>
      </c>
      <c r="V1352">
        <v>0.25</v>
      </c>
      <c r="W1352">
        <f t="shared" si="370"/>
        <v>126</v>
      </c>
      <c r="X1352" t="str">
        <f t="shared" si="371"/>
        <v>yes</v>
      </c>
      <c r="Y1352" s="2">
        <v>35065</v>
      </c>
      <c r="Z1352" t="str">
        <f t="shared" si="357"/>
        <v>1st Q 1996</v>
      </c>
      <c r="AA1352" t="str">
        <f t="shared" si="372"/>
        <v>1st Q 1996</v>
      </c>
      <c r="AB1352" t="str" cm="1">
        <f t="array" ref="AB1352">_xlfn.IFS(Y1352&lt;DATE(1996,1,1),"",Y1352&lt;DATE(1996,4,1),"Q1",Y1352&lt;DATE(1996,7,1),"Q2",Y1352&gt;=DATE(1996,7,1),"")</f>
        <v>Q1</v>
      </c>
    </row>
    <row r="1353" spans="1:28" ht="14.4" x14ac:dyDescent="0.55000000000000004">
      <c r="A1353" t="str">
        <f>VLOOKUP(L1353,Customers!$A$2:$B$92,2,FALSE)</f>
        <v>Maison Dewey</v>
      </c>
      <c r="B1353" t="str">
        <f>VLOOKUP(L1353,Customers!$A$2:$C$92,3,TRUE)</f>
        <v>Catherine Dewey</v>
      </c>
      <c r="C1353" t="str">
        <f t="shared" si="358"/>
        <v>Catherine</v>
      </c>
      <c r="D1353" s="8" t="str">
        <f t="shared" si="359"/>
        <v>Dewey</v>
      </c>
      <c r="E1353" s="8" t="str">
        <f t="shared" si="360"/>
        <v>Dewey, Catherine</v>
      </c>
      <c r="F1353" s="8" t="str">
        <f t="shared" si="361"/>
        <v>Dewey, Catherine</v>
      </c>
      <c r="G1353" s="8" t="str">
        <f t="shared" si="362"/>
        <v>not an outlier</v>
      </c>
      <c r="H1353" s="8" t="str">
        <f t="shared" si="363"/>
        <v>Not</v>
      </c>
      <c r="I1353" s="8" t="str">
        <f t="shared" si="373"/>
        <v>no</v>
      </c>
      <c r="J1353" s="10" t="str">
        <f t="shared" si="364"/>
        <v>no</v>
      </c>
      <c r="K1353" s="10" t="str">
        <f t="shared" si="365"/>
        <v>no</v>
      </c>
      <c r="L1353" t="s">
        <v>385</v>
      </c>
      <c r="M1353">
        <v>10760</v>
      </c>
      <c r="N1353">
        <v>27</v>
      </c>
      <c r="O1353" t="s">
        <v>707</v>
      </c>
      <c r="P1353" t="str">
        <f t="shared" si="366"/>
        <v>MAISD_10760_Schoggi Schokolade</v>
      </c>
      <c r="Q1353" t="str">
        <f t="shared" si="367"/>
        <v>10760</v>
      </c>
      <c r="R1353" t="str">
        <f t="shared" si="368"/>
        <v>10760</v>
      </c>
      <c r="S1353" t="str">
        <f t="shared" si="369"/>
        <v>Schoggi Schokolade</v>
      </c>
      <c r="T1353">
        <v>43.9</v>
      </c>
      <c r="U1353">
        <v>40</v>
      </c>
      <c r="V1353">
        <v>0</v>
      </c>
      <c r="W1353">
        <f t="shared" si="370"/>
        <v>1756</v>
      </c>
      <c r="X1353" t="str">
        <f t="shared" si="371"/>
        <v>yes</v>
      </c>
      <c r="Y1353" s="2">
        <v>35065</v>
      </c>
      <c r="Z1353" t="str">
        <f t="shared" si="357"/>
        <v>1st Q 1996</v>
      </c>
      <c r="AA1353" t="str">
        <f t="shared" si="372"/>
        <v>1st Q 1996</v>
      </c>
      <c r="AB1353" t="str" cm="1">
        <f t="array" ref="AB1353">_xlfn.IFS(Y1353&lt;DATE(1996,1,1),"",Y1353&lt;DATE(1996,4,1),"Q1",Y1353&lt;DATE(1996,7,1),"Q2",Y1353&gt;=DATE(1996,7,1),"")</f>
        <v>Q1</v>
      </c>
    </row>
    <row r="1354" spans="1:28" ht="14.4" x14ac:dyDescent="0.55000000000000004">
      <c r="A1354" t="str">
        <f>VLOOKUP(L1354,Customers!$A$2:$B$92,2,FALSE)</f>
        <v>Maison Dewey</v>
      </c>
      <c r="B1354" t="str">
        <f>VLOOKUP(L1354,Customers!$A$2:$C$92,3,TRUE)</f>
        <v>Catherine Dewey</v>
      </c>
      <c r="C1354" t="str">
        <f t="shared" si="358"/>
        <v>Catherine</v>
      </c>
      <c r="D1354" s="8" t="str">
        <f t="shared" si="359"/>
        <v>Dewey</v>
      </c>
      <c r="E1354" s="8" t="str">
        <f t="shared" si="360"/>
        <v>Dewey, Catherine</v>
      </c>
      <c r="F1354" s="8" t="str">
        <f t="shared" si="361"/>
        <v>Dewey, Catherine</v>
      </c>
      <c r="G1354" s="8" t="str">
        <f t="shared" si="362"/>
        <v>not an outlier</v>
      </c>
      <c r="H1354" s="8" t="str">
        <f t="shared" si="363"/>
        <v>Not</v>
      </c>
      <c r="I1354" s="8" t="str">
        <f t="shared" si="373"/>
        <v>no</v>
      </c>
      <c r="J1354" s="10" t="str">
        <f t="shared" si="364"/>
        <v>no</v>
      </c>
      <c r="K1354" s="10" t="str">
        <f t="shared" si="365"/>
        <v>no</v>
      </c>
      <c r="L1354" t="s">
        <v>385</v>
      </c>
      <c r="M1354">
        <v>10760</v>
      </c>
      <c r="N1354">
        <v>43</v>
      </c>
      <c r="O1354" t="s">
        <v>723</v>
      </c>
      <c r="P1354" t="str">
        <f t="shared" si="366"/>
        <v>MAISD_10760_Ipoh Coffee</v>
      </c>
      <c r="Q1354" t="str">
        <f t="shared" si="367"/>
        <v>10760</v>
      </c>
      <c r="R1354" t="str">
        <f t="shared" si="368"/>
        <v>10760</v>
      </c>
      <c r="S1354" t="str">
        <f t="shared" si="369"/>
        <v>Ipoh Coffee</v>
      </c>
      <c r="T1354">
        <v>46</v>
      </c>
      <c r="U1354">
        <v>30</v>
      </c>
      <c r="V1354">
        <v>0.25</v>
      </c>
      <c r="W1354">
        <f t="shared" si="370"/>
        <v>1035</v>
      </c>
      <c r="X1354" t="str">
        <f t="shared" si="371"/>
        <v>yes</v>
      </c>
      <c r="Y1354" s="2">
        <v>35065</v>
      </c>
      <c r="Z1354" t="str">
        <f t="shared" si="357"/>
        <v>1st Q 1996</v>
      </c>
      <c r="AA1354" t="str">
        <f t="shared" si="372"/>
        <v>1st Q 1996</v>
      </c>
      <c r="AB1354" t="str" cm="1">
        <f t="array" ref="AB1354">_xlfn.IFS(Y1354&lt;DATE(1996,1,1),"",Y1354&lt;DATE(1996,4,1),"Q1",Y1354&lt;DATE(1996,7,1),"Q2",Y1354&gt;=DATE(1996,7,1),"")</f>
        <v>Q1</v>
      </c>
    </row>
    <row r="1355" spans="1:28" ht="14.4" x14ac:dyDescent="0.55000000000000004">
      <c r="A1355" t="str">
        <f>VLOOKUP(L1355,Customers!$A$2:$B$92,2,FALSE)</f>
        <v>Rattlesnake Canyon Grocery</v>
      </c>
      <c r="B1355" t="str">
        <f>VLOOKUP(L1355,Customers!$A$2:$C$92,3,TRUE)</f>
        <v>Paula Wilson</v>
      </c>
      <c r="C1355" t="str">
        <f t="shared" si="358"/>
        <v>Paula</v>
      </c>
      <c r="D1355" s="8" t="str">
        <f t="shared" si="359"/>
        <v>Wilson</v>
      </c>
      <c r="E1355" s="8" t="str">
        <f t="shared" si="360"/>
        <v>Wilson, Paula</v>
      </c>
      <c r="F1355" s="8" t="str">
        <f t="shared" si="361"/>
        <v>Wilson, Paula</v>
      </c>
      <c r="G1355" s="8" t="str">
        <f t="shared" si="362"/>
        <v>not an outlier</v>
      </c>
      <c r="H1355" s="8" t="str">
        <f t="shared" si="363"/>
        <v>Not</v>
      </c>
      <c r="I1355" s="8" t="str">
        <f t="shared" si="373"/>
        <v>no</v>
      </c>
      <c r="J1355" s="10" t="str">
        <f t="shared" si="364"/>
        <v>no</v>
      </c>
      <c r="K1355" s="10" t="str">
        <f t="shared" si="365"/>
        <v>no</v>
      </c>
      <c r="L1355" t="s">
        <v>487</v>
      </c>
      <c r="M1355">
        <v>10761</v>
      </c>
      <c r="N1355">
        <v>25</v>
      </c>
      <c r="O1355" t="s">
        <v>749</v>
      </c>
      <c r="P1355" t="str">
        <f t="shared" si="366"/>
        <v>RATTC_10761_NuNuCa Nuß-Nougat-Creme</v>
      </c>
      <c r="Q1355" t="str">
        <f t="shared" si="367"/>
        <v>10761</v>
      </c>
      <c r="R1355" t="str">
        <f t="shared" si="368"/>
        <v>10761</v>
      </c>
      <c r="S1355" t="str">
        <f t="shared" si="369"/>
        <v>NuNuCa Nuß-Nougat-Creme</v>
      </c>
      <c r="T1355">
        <v>14</v>
      </c>
      <c r="U1355">
        <v>35</v>
      </c>
      <c r="V1355">
        <v>0.25</v>
      </c>
      <c r="W1355">
        <f t="shared" si="370"/>
        <v>367.5</v>
      </c>
      <c r="X1355" t="str">
        <f t="shared" si="371"/>
        <v>yes</v>
      </c>
      <c r="Y1355" s="2">
        <v>35066</v>
      </c>
      <c r="Z1355" t="str">
        <f t="shared" si="357"/>
        <v>1st Q 1996</v>
      </c>
      <c r="AA1355" t="str">
        <f t="shared" si="372"/>
        <v>1st Q 1996</v>
      </c>
      <c r="AB1355" t="str" cm="1">
        <f t="array" ref="AB1355">_xlfn.IFS(Y1355&lt;DATE(1996,1,1),"",Y1355&lt;DATE(1996,4,1),"Q1",Y1355&lt;DATE(1996,7,1),"Q2",Y1355&gt;=DATE(1996,7,1),"")</f>
        <v>Q1</v>
      </c>
    </row>
    <row r="1356" spans="1:28" ht="14.4" x14ac:dyDescent="0.55000000000000004">
      <c r="A1356" t="str">
        <f>VLOOKUP(L1356,Customers!$A$2:$B$92,2,FALSE)</f>
        <v>Rattlesnake Canyon Grocery</v>
      </c>
      <c r="B1356" t="str">
        <f>VLOOKUP(L1356,Customers!$A$2:$C$92,3,TRUE)</f>
        <v>Paula Wilson</v>
      </c>
      <c r="C1356" t="str">
        <f t="shared" si="358"/>
        <v>Paula</v>
      </c>
      <c r="D1356" s="8" t="str">
        <f t="shared" si="359"/>
        <v>Wilson</v>
      </c>
      <c r="E1356" s="8" t="str">
        <f t="shared" si="360"/>
        <v>Wilson, Paula</v>
      </c>
      <c r="F1356" s="8" t="str">
        <f t="shared" si="361"/>
        <v>Wilson, Paula</v>
      </c>
      <c r="G1356" s="8" t="str">
        <f t="shared" si="362"/>
        <v>not an outlier</v>
      </c>
      <c r="H1356" s="8" t="str">
        <f t="shared" si="363"/>
        <v>Not</v>
      </c>
      <c r="I1356" s="8" t="str">
        <f t="shared" si="373"/>
        <v>no</v>
      </c>
      <c r="J1356" s="10" t="str">
        <f t="shared" si="364"/>
        <v>no</v>
      </c>
      <c r="K1356" s="10" t="str">
        <f t="shared" si="365"/>
        <v>no</v>
      </c>
      <c r="L1356" t="s">
        <v>487</v>
      </c>
      <c r="M1356">
        <v>10761</v>
      </c>
      <c r="N1356">
        <v>75</v>
      </c>
      <c r="O1356" t="s">
        <v>731</v>
      </c>
      <c r="P1356" t="str">
        <f t="shared" si="366"/>
        <v>RATTC_10761_Rhönbräu Klosterbier</v>
      </c>
      <c r="Q1356" t="str">
        <f t="shared" si="367"/>
        <v>10761</v>
      </c>
      <c r="R1356" t="str">
        <f t="shared" si="368"/>
        <v>10761</v>
      </c>
      <c r="S1356" t="str">
        <f t="shared" si="369"/>
        <v>Rhönbräu Klosterbier</v>
      </c>
      <c r="T1356">
        <v>7.75</v>
      </c>
      <c r="U1356">
        <v>18</v>
      </c>
      <c r="V1356">
        <v>0</v>
      </c>
      <c r="W1356">
        <f t="shared" si="370"/>
        <v>139.5</v>
      </c>
      <c r="X1356" t="str">
        <f t="shared" si="371"/>
        <v>yes</v>
      </c>
      <c r="Y1356" s="2">
        <v>35066</v>
      </c>
      <c r="Z1356" t="str">
        <f t="shared" si="357"/>
        <v>1st Q 1996</v>
      </c>
      <c r="AA1356" t="str">
        <f t="shared" si="372"/>
        <v>1st Q 1996</v>
      </c>
      <c r="AB1356" t="str" cm="1">
        <f t="array" ref="AB1356">_xlfn.IFS(Y1356&lt;DATE(1996,1,1),"",Y1356&lt;DATE(1996,4,1),"Q1",Y1356&lt;DATE(1996,7,1),"Q2",Y1356&gt;=DATE(1996,7,1),"")</f>
        <v>Q1</v>
      </c>
    </row>
    <row r="1357" spans="1:28" ht="14.4" x14ac:dyDescent="0.55000000000000004">
      <c r="A1357" t="str">
        <f>VLOOKUP(L1357,Customers!$A$2:$B$92,2,FALSE)</f>
        <v>Folk och fä HB</v>
      </c>
      <c r="B1357" t="str">
        <f>VLOOKUP(L1357,Customers!$A$2:$C$92,3,TRUE)</f>
        <v>Maria Larsson</v>
      </c>
      <c r="C1357" t="str">
        <f t="shared" si="358"/>
        <v>Maria</v>
      </c>
      <c r="D1357" s="8" t="str">
        <f t="shared" si="359"/>
        <v>Larsson</v>
      </c>
      <c r="E1357" s="8" t="str">
        <f t="shared" si="360"/>
        <v>Larsson, Maria</v>
      </c>
      <c r="F1357" s="8" t="str">
        <f t="shared" si="361"/>
        <v>Larsson, Maria</v>
      </c>
      <c r="G1357" s="8" t="str">
        <f t="shared" si="362"/>
        <v>not an outlier</v>
      </c>
      <c r="H1357" s="8" t="str">
        <f t="shared" si="363"/>
        <v>Not</v>
      </c>
      <c r="I1357" s="8" t="str">
        <f t="shared" si="373"/>
        <v>no</v>
      </c>
      <c r="J1357" s="10" t="str">
        <f t="shared" si="364"/>
        <v>no</v>
      </c>
      <c r="K1357" s="10" t="str">
        <f t="shared" si="365"/>
        <v>no</v>
      </c>
      <c r="L1357" t="s">
        <v>191</v>
      </c>
      <c r="M1357">
        <v>10762</v>
      </c>
      <c r="N1357">
        <v>39</v>
      </c>
      <c r="O1357" t="s">
        <v>696</v>
      </c>
      <c r="P1357" t="str">
        <f t="shared" si="366"/>
        <v>FOLKO_10762_Chartreuse verte</v>
      </c>
      <c r="Q1357" t="str">
        <f t="shared" si="367"/>
        <v>10762</v>
      </c>
      <c r="R1357" t="str">
        <f t="shared" si="368"/>
        <v>10762</v>
      </c>
      <c r="S1357" t="str">
        <f t="shared" si="369"/>
        <v>Chartreuse verte</v>
      </c>
      <c r="T1357">
        <v>18</v>
      </c>
      <c r="U1357">
        <v>16</v>
      </c>
      <c r="V1357">
        <v>0</v>
      </c>
      <c r="W1357">
        <f t="shared" si="370"/>
        <v>288</v>
      </c>
      <c r="X1357" t="str">
        <f t="shared" si="371"/>
        <v>yes</v>
      </c>
      <c r="Y1357" s="2">
        <v>35066</v>
      </c>
      <c r="Z1357" t="str">
        <f t="shared" si="357"/>
        <v>1st Q 1996</v>
      </c>
      <c r="AA1357" t="str">
        <f t="shared" si="372"/>
        <v>1st Q 1996</v>
      </c>
      <c r="AB1357" t="str" cm="1">
        <f t="array" ref="AB1357">_xlfn.IFS(Y1357&lt;DATE(1996,1,1),"",Y1357&lt;DATE(1996,4,1),"Q1",Y1357&lt;DATE(1996,7,1),"Q2",Y1357&gt;=DATE(1996,7,1),"")</f>
        <v>Q1</v>
      </c>
    </row>
    <row r="1358" spans="1:28" ht="14.4" x14ac:dyDescent="0.55000000000000004">
      <c r="A1358" t="str">
        <f>VLOOKUP(L1358,Customers!$A$2:$B$92,2,FALSE)</f>
        <v>Folk och fä HB</v>
      </c>
      <c r="B1358" t="str">
        <f>VLOOKUP(L1358,Customers!$A$2:$C$92,3,TRUE)</f>
        <v>Maria Larsson</v>
      </c>
      <c r="C1358" t="str">
        <f t="shared" si="358"/>
        <v>Maria</v>
      </c>
      <c r="D1358" s="8" t="str">
        <f t="shared" si="359"/>
        <v>Larsson</v>
      </c>
      <c r="E1358" s="8" t="str">
        <f t="shared" si="360"/>
        <v>Larsson, Maria</v>
      </c>
      <c r="F1358" s="8" t="str">
        <f t="shared" si="361"/>
        <v>Larsson, Maria</v>
      </c>
      <c r="G1358" s="8" t="str">
        <f t="shared" si="362"/>
        <v>not an outlier</v>
      </c>
      <c r="H1358" s="8" t="str">
        <f t="shared" si="363"/>
        <v>Not</v>
      </c>
      <c r="I1358" s="8" t="str">
        <f t="shared" si="373"/>
        <v>no</v>
      </c>
      <c r="J1358" s="10" t="str">
        <f t="shared" si="364"/>
        <v>no</v>
      </c>
      <c r="K1358" s="10" t="str">
        <f t="shared" si="365"/>
        <v>no</v>
      </c>
      <c r="L1358" t="s">
        <v>191</v>
      </c>
      <c r="M1358">
        <v>10762</v>
      </c>
      <c r="N1358">
        <v>47</v>
      </c>
      <c r="O1358" t="s">
        <v>752</v>
      </c>
      <c r="P1358" t="str">
        <f t="shared" si="366"/>
        <v>FOLKO_10762_Zaanse koeken</v>
      </c>
      <c r="Q1358" t="str">
        <f t="shared" si="367"/>
        <v>10762</v>
      </c>
      <c r="R1358" t="str">
        <f t="shared" si="368"/>
        <v>10762</v>
      </c>
      <c r="S1358" t="str">
        <f t="shared" si="369"/>
        <v>Zaanse koeken</v>
      </c>
      <c r="T1358">
        <v>9.5</v>
      </c>
      <c r="U1358">
        <v>30</v>
      </c>
      <c r="V1358">
        <v>0</v>
      </c>
      <c r="W1358">
        <f t="shared" si="370"/>
        <v>285</v>
      </c>
      <c r="X1358" t="str">
        <f t="shared" si="371"/>
        <v>yes</v>
      </c>
      <c r="Y1358" s="2">
        <v>35066</v>
      </c>
      <c r="Z1358" t="str">
        <f t="shared" si="357"/>
        <v>1st Q 1996</v>
      </c>
      <c r="AA1358" t="str">
        <f t="shared" si="372"/>
        <v>1st Q 1996</v>
      </c>
      <c r="AB1358" t="str" cm="1">
        <f t="array" ref="AB1358">_xlfn.IFS(Y1358&lt;DATE(1996,1,1),"",Y1358&lt;DATE(1996,4,1),"Q1",Y1358&lt;DATE(1996,7,1),"Q2",Y1358&gt;=DATE(1996,7,1),"")</f>
        <v>Q1</v>
      </c>
    </row>
    <row r="1359" spans="1:28" ht="14.4" x14ac:dyDescent="0.55000000000000004">
      <c r="A1359" t="str">
        <f>VLOOKUP(L1359,Customers!$A$2:$B$92,2,FALSE)</f>
        <v>Folk och fä HB</v>
      </c>
      <c r="B1359" t="str">
        <f>VLOOKUP(L1359,Customers!$A$2:$C$92,3,TRUE)</f>
        <v>Maria Larsson</v>
      </c>
      <c r="C1359" t="str">
        <f t="shared" si="358"/>
        <v>Maria</v>
      </c>
      <c r="D1359" s="8" t="str">
        <f t="shared" si="359"/>
        <v>Larsson</v>
      </c>
      <c r="E1359" s="8" t="str">
        <f t="shared" si="360"/>
        <v>Larsson, Maria</v>
      </c>
      <c r="F1359" s="8" t="str">
        <f t="shared" si="361"/>
        <v>Larsson, Maria</v>
      </c>
      <c r="G1359" s="8" t="str">
        <f t="shared" si="362"/>
        <v>not an outlier</v>
      </c>
      <c r="H1359" s="8" t="str">
        <f t="shared" si="363"/>
        <v>Not</v>
      </c>
      <c r="I1359" s="8" t="str">
        <f t="shared" si="373"/>
        <v>no</v>
      </c>
      <c r="J1359" s="10" t="str">
        <f t="shared" si="364"/>
        <v>no</v>
      </c>
      <c r="K1359" s="10" t="str">
        <f t="shared" si="365"/>
        <v>no</v>
      </c>
      <c r="L1359" t="s">
        <v>191</v>
      </c>
      <c r="M1359">
        <v>10762</v>
      </c>
      <c r="N1359">
        <v>51</v>
      </c>
      <c r="O1359" t="s">
        <v>687</v>
      </c>
      <c r="P1359" t="str">
        <f t="shared" si="366"/>
        <v>FOLKO_10762_Manjimup Dried Apples</v>
      </c>
      <c r="Q1359" t="str">
        <f t="shared" si="367"/>
        <v>10762</v>
      </c>
      <c r="R1359" t="str">
        <f t="shared" si="368"/>
        <v>10762</v>
      </c>
      <c r="S1359" t="str">
        <f t="shared" si="369"/>
        <v>Manjimup Dried Apples</v>
      </c>
      <c r="T1359">
        <v>53</v>
      </c>
      <c r="U1359">
        <v>28</v>
      </c>
      <c r="V1359">
        <v>0</v>
      </c>
      <c r="W1359">
        <f t="shared" si="370"/>
        <v>1484</v>
      </c>
      <c r="X1359" t="str">
        <f t="shared" si="371"/>
        <v>yes</v>
      </c>
      <c r="Y1359" s="2">
        <v>35066</v>
      </c>
      <c r="Z1359" t="str">
        <f t="shared" si="357"/>
        <v>1st Q 1996</v>
      </c>
      <c r="AA1359" t="str">
        <f t="shared" si="372"/>
        <v>1st Q 1996</v>
      </c>
      <c r="AB1359" t="str" cm="1">
        <f t="array" ref="AB1359">_xlfn.IFS(Y1359&lt;DATE(1996,1,1),"",Y1359&lt;DATE(1996,4,1),"Q1",Y1359&lt;DATE(1996,7,1),"Q2",Y1359&gt;=DATE(1996,7,1),"")</f>
        <v>Q1</v>
      </c>
    </row>
    <row r="1360" spans="1:28" ht="14.4" x14ac:dyDescent="0.55000000000000004">
      <c r="A1360" t="str">
        <f>VLOOKUP(L1360,Customers!$A$2:$B$92,2,FALSE)</f>
        <v>Folk och fä HB</v>
      </c>
      <c r="B1360" t="str">
        <f>VLOOKUP(L1360,Customers!$A$2:$C$92,3,TRUE)</f>
        <v>Maria Larsson</v>
      </c>
      <c r="C1360" t="str">
        <f t="shared" si="358"/>
        <v>Maria</v>
      </c>
      <c r="D1360" s="8" t="str">
        <f t="shared" si="359"/>
        <v>Larsson</v>
      </c>
      <c r="E1360" s="8" t="str">
        <f t="shared" si="360"/>
        <v>Larsson, Maria</v>
      </c>
      <c r="F1360" s="8" t="str">
        <f t="shared" si="361"/>
        <v>Larsson, Maria</v>
      </c>
      <c r="G1360" s="8" t="str">
        <f t="shared" si="362"/>
        <v>not an outlier</v>
      </c>
      <c r="H1360" s="8" t="str">
        <f t="shared" si="363"/>
        <v>Not</v>
      </c>
      <c r="I1360" s="8" t="str">
        <f t="shared" si="373"/>
        <v>no</v>
      </c>
      <c r="J1360" s="10" t="str">
        <f t="shared" si="364"/>
        <v>no</v>
      </c>
      <c r="K1360" s="10" t="str">
        <f t="shared" si="365"/>
        <v>no</v>
      </c>
      <c r="L1360" t="s">
        <v>191</v>
      </c>
      <c r="M1360">
        <v>10762</v>
      </c>
      <c r="N1360">
        <v>56</v>
      </c>
      <c r="O1360" t="s">
        <v>716</v>
      </c>
      <c r="P1360" t="str">
        <f t="shared" si="366"/>
        <v>FOLKO_10762_Gnocchi di nonna Alice</v>
      </c>
      <c r="Q1360" t="str">
        <f t="shared" si="367"/>
        <v>10762</v>
      </c>
      <c r="R1360" t="str">
        <f t="shared" si="368"/>
        <v>10762</v>
      </c>
      <c r="S1360" t="str">
        <f t="shared" si="369"/>
        <v>Gnocchi di nonna Alice</v>
      </c>
      <c r="T1360">
        <v>38</v>
      </c>
      <c r="U1360">
        <v>60</v>
      </c>
      <c r="V1360">
        <v>0</v>
      </c>
      <c r="W1360">
        <f t="shared" si="370"/>
        <v>2280</v>
      </c>
      <c r="X1360" t="str">
        <f t="shared" si="371"/>
        <v>yes</v>
      </c>
      <c r="Y1360" s="2">
        <v>35066</v>
      </c>
      <c r="Z1360" t="str">
        <f t="shared" si="357"/>
        <v>1st Q 1996</v>
      </c>
      <c r="AA1360" t="str">
        <f t="shared" si="372"/>
        <v>1st Q 1996</v>
      </c>
      <c r="AB1360" t="str" cm="1">
        <f t="array" ref="AB1360">_xlfn.IFS(Y1360&lt;DATE(1996,1,1),"",Y1360&lt;DATE(1996,4,1),"Q1",Y1360&lt;DATE(1996,7,1),"Q2",Y1360&gt;=DATE(1996,7,1),"")</f>
        <v>Q1</v>
      </c>
    </row>
    <row r="1361" spans="1:28" ht="14.4" x14ac:dyDescent="0.55000000000000004">
      <c r="A1361" t="str">
        <f>VLOOKUP(L1361,Customers!$A$2:$B$92,2,FALSE)</f>
        <v>Folies gourmandes</v>
      </c>
      <c r="B1361" t="str">
        <f>VLOOKUP(L1361,Customers!$A$2:$C$92,3,TRUE)</f>
        <v>Martine Rancé</v>
      </c>
      <c r="C1361" t="str">
        <f t="shared" si="358"/>
        <v>Martine</v>
      </c>
      <c r="D1361" s="8" t="str">
        <f t="shared" si="359"/>
        <v>Rancé</v>
      </c>
      <c r="E1361" s="8" t="str">
        <f t="shared" si="360"/>
        <v>Rancé, Martine</v>
      </c>
      <c r="F1361" s="8" t="str">
        <f t="shared" si="361"/>
        <v>Rancé, Martine</v>
      </c>
      <c r="G1361" s="8" t="str">
        <f t="shared" si="362"/>
        <v>not an outlier</v>
      </c>
      <c r="H1361" s="8" t="str">
        <f t="shared" si="363"/>
        <v>Not</v>
      </c>
      <c r="I1361" s="8" t="str">
        <f t="shared" si="373"/>
        <v>no</v>
      </c>
      <c r="J1361" s="10" t="str">
        <f t="shared" si="364"/>
        <v>no</v>
      </c>
      <c r="K1361" s="10" t="str">
        <f t="shared" si="365"/>
        <v>no</v>
      </c>
      <c r="L1361" t="s">
        <v>183</v>
      </c>
      <c r="M1361">
        <v>10763</v>
      </c>
      <c r="N1361">
        <v>21</v>
      </c>
      <c r="O1361" t="s">
        <v>710</v>
      </c>
      <c r="P1361" t="str">
        <f t="shared" si="366"/>
        <v>FOLIG_10763_Sir Rodney's Scones</v>
      </c>
      <c r="Q1361" t="str">
        <f t="shared" si="367"/>
        <v>10763</v>
      </c>
      <c r="R1361" t="str">
        <f t="shared" si="368"/>
        <v>10763</v>
      </c>
      <c r="S1361" t="str">
        <f t="shared" si="369"/>
        <v>Sir Rodney's Scones</v>
      </c>
      <c r="T1361">
        <v>10</v>
      </c>
      <c r="U1361">
        <v>40</v>
      </c>
      <c r="V1361">
        <v>0</v>
      </c>
      <c r="W1361">
        <f t="shared" si="370"/>
        <v>400</v>
      </c>
      <c r="X1361" t="str">
        <f t="shared" si="371"/>
        <v>yes</v>
      </c>
      <c r="Y1361" s="2">
        <v>35067</v>
      </c>
      <c r="Z1361" t="str">
        <f t="shared" si="357"/>
        <v>1st Q 1996</v>
      </c>
      <c r="AA1361" t="str">
        <f t="shared" si="372"/>
        <v>1st Q 1996</v>
      </c>
      <c r="AB1361" t="str" cm="1">
        <f t="array" ref="AB1361">_xlfn.IFS(Y1361&lt;DATE(1996,1,1),"",Y1361&lt;DATE(1996,4,1),"Q1",Y1361&lt;DATE(1996,7,1),"Q2",Y1361&gt;=DATE(1996,7,1),"")</f>
        <v>Q1</v>
      </c>
    </row>
    <row r="1362" spans="1:28" ht="14.4" x14ac:dyDescent="0.55000000000000004">
      <c r="A1362" t="str">
        <f>VLOOKUP(L1362,Customers!$A$2:$B$92,2,FALSE)</f>
        <v>Folies gourmandes</v>
      </c>
      <c r="B1362" t="str">
        <f>VLOOKUP(L1362,Customers!$A$2:$C$92,3,TRUE)</f>
        <v>Martine Rancé</v>
      </c>
      <c r="C1362" t="str">
        <f t="shared" si="358"/>
        <v>Martine</v>
      </c>
      <c r="D1362" s="8" t="str">
        <f t="shared" si="359"/>
        <v>Rancé</v>
      </c>
      <c r="E1362" s="8" t="str">
        <f t="shared" si="360"/>
        <v>Rancé, Martine</v>
      </c>
      <c r="F1362" s="8" t="str">
        <f t="shared" si="361"/>
        <v>Rancé, Martine</v>
      </c>
      <c r="G1362" s="8" t="str">
        <f t="shared" si="362"/>
        <v>not an outlier</v>
      </c>
      <c r="H1362" s="8" t="str">
        <f t="shared" si="363"/>
        <v>Not</v>
      </c>
      <c r="I1362" s="8" t="str">
        <f t="shared" si="373"/>
        <v>no</v>
      </c>
      <c r="J1362" s="10" t="str">
        <f t="shared" si="364"/>
        <v>no</v>
      </c>
      <c r="K1362" s="10" t="str">
        <f t="shared" si="365"/>
        <v>no</v>
      </c>
      <c r="L1362" t="s">
        <v>183</v>
      </c>
      <c r="M1362">
        <v>10763</v>
      </c>
      <c r="N1362">
        <v>22</v>
      </c>
      <c r="O1362" t="s">
        <v>690</v>
      </c>
      <c r="P1362" t="str">
        <f t="shared" si="366"/>
        <v>FOLIG_10763_Gustaf's Knäckebröd</v>
      </c>
      <c r="Q1362" t="str">
        <f t="shared" si="367"/>
        <v>10763</v>
      </c>
      <c r="R1362" t="str">
        <f t="shared" si="368"/>
        <v>10763</v>
      </c>
      <c r="S1362" t="str">
        <f t="shared" si="369"/>
        <v>Gustaf's Knäckebröd</v>
      </c>
      <c r="T1362">
        <v>21</v>
      </c>
      <c r="U1362">
        <v>6</v>
      </c>
      <c r="V1362">
        <v>0</v>
      </c>
      <c r="W1362">
        <f t="shared" si="370"/>
        <v>126</v>
      </c>
      <c r="X1362" t="str">
        <f t="shared" si="371"/>
        <v>yes</v>
      </c>
      <c r="Y1362" s="2">
        <v>35067</v>
      </c>
      <c r="Z1362" t="str">
        <f t="shared" si="357"/>
        <v>1st Q 1996</v>
      </c>
      <c r="AA1362" t="str">
        <f t="shared" si="372"/>
        <v>1st Q 1996</v>
      </c>
      <c r="AB1362" t="str" cm="1">
        <f t="array" ref="AB1362">_xlfn.IFS(Y1362&lt;DATE(1996,1,1),"",Y1362&lt;DATE(1996,4,1),"Q1",Y1362&lt;DATE(1996,7,1),"Q2",Y1362&gt;=DATE(1996,7,1),"")</f>
        <v>Q1</v>
      </c>
    </row>
    <row r="1363" spans="1:28" ht="14.4" x14ac:dyDescent="0.55000000000000004">
      <c r="A1363" t="str">
        <f>VLOOKUP(L1363,Customers!$A$2:$B$92,2,FALSE)</f>
        <v>Folies gourmandes</v>
      </c>
      <c r="B1363" t="str">
        <f>VLOOKUP(L1363,Customers!$A$2:$C$92,3,TRUE)</f>
        <v>Martine Rancé</v>
      </c>
      <c r="C1363" t="str">
        <f t="shared" si="358"/>
        <v>Martine</v>
      </c>
      <c r="D1363" s="8" t="str">
        <f t="shared" si="359"/>
        <v>Rancé</v>
      </c>
      <c r="E1363" s="8" t="str">
        <f t="shared" si="360"/>
        <v>Rancé, Martine</v>
      </c>
      <c r="F1363" s="8" t="str">
        <f t="shared" si="361"/>
        <v>Rancé, Martine</v>
      </c>
      <c r="G1363" s="8" t="str">
        <f t="shared" si="362"/>
        <v>not an outlier</v>
      </c>
      <c r="H1363" s="8" t="str">
        <f t="shared" si="363"/>
        <v>Not</v>
      </c>
      <c r="I1363" s="8" t="str">
        <f t="shared" si="373"/>
        <v>no</v>
      </c>
      <c r="J1363" s="10" t="str">
        <f t="shared" si="364"/>
        <v>no</v>
      </c>
      <c r="K1363" s="10" t="str">
        <f t="shared" si="365"/>
        <v>no</v>
      </c>
      <c r="L1363" t="s">
        <v>183</v>
      </c>
      <c r="M1363">
        <v>10763</v>
      </c>
      <c r="N1363">
        <v>24</v>
      </c>
      <c r="O1363" t="s">
        <v>698</v>
      </c>
      <c r="P1363" t="str">
        <f t="shared" si="366"/>
        <v>FOLIG_10763_Guaraná Fantástica</v>
      </c>
      <c r="Q1363" t="str">
        <f t="shared" si="367"/>
        <v>10763</v>
      </c>
      <c r="R1363" t="str">
        <f t="shared" si="368"/>
        <v>10763</v>
      </c>
      <c r="S1363" t="str">
        <f t="shared" si="369"/>
        <v>Guaraná Fantástica</v>
      </c>
      <c r="T1363">
        <v>4.5</v>
      </c>
      <c r="U1363">
        <v>20</v>
      </c>
      <c r="V1363">
        <v>0</v>
      </c>
      <c r="W1363">
        <f t="shared" si="370"/>
        <v>90</v>
      </c>
      <c r="X1363" t="str">
        <f t="shared" si="371"/>
        <v>yes</v>
      </c>
      <c r="Y1363" s="2">
        <v>35067</v>
      </c>
      <c r="Z1363" t="str">
        <f t="shared" si="357"/>
        <v>1st Q 1996</v>
      </c>
      <c r="AA1363" t="str">
        <f t="shared" si="372"/>
        <v>1st Q 1996</v>
      </c>
      <c r="AB1363" t="str" cm="1">
        <f t="array" ref="AB1363">_xlfn.IFS(Y1363&lt;DATE(1996,1,1),"",Y1363&lt;DATE(1996,4,1),"Q1",Y1363&lt;DATE(1996,7,1),"Q2",Y1363&gt;=DATE(1996,7,1),"")</f>
        <v>Q1</v>
      </c>
    </row>
    <row r="1364" spans="1:28" ht="14.4" x14ac:dyDescent="0.55000000000000004">
      <c r="A1364" t="str">
        <f>VLOOKUP(L1364,Customers!$A$2:$B$92,2,FALSE)</f>
        <v>Ernst Handel</v>
      </c>
      <c r="B1364" t="str">
        <f>VLOOKUP(L1364,Customers!$A$2:$C$92,3,TRUE)</f>
        <v>Roland Mendel</v>
      </c>
      <c r="C1364" t="str">
        <f t="shared" si="358"/>
        <v>Roland</v>
      </c>
      <c r="D1364" s="8" t="str">
        <f t="shared" si="359"/>
        <v>Mendel</v>
      </c>
      <c r="E1364" s="8" t="str">
        <f t="shared" si="360"/>
        <v>Mendel, Roland</v>
      </c>
      <c r="F1364" s="8" t="str">
        <f t="shared" si="361"/>
        <v>Mendel, Roland</v>
      </c>
      <c r="G1364" s="8" t="str">
        <f t="shared" si="362"/>
        <v>not an outlier</v>
      </c>
      <c r="H1364" s="8" t="str">
        <f t="shared" si="363"/>
        <v>Not</v>
      </c>
      <c r="I1364" s="8" t="str">
        <f t="shared" si="373"/>
        <v>no</v>
      </c>
      <c r="J1364" s="10" t="str">
        <f t="shared" si="364"/>
        <v>no</v>
      </c>
      <c r="K1364" s="10" t="str">
        <f t="shared" si="365"/>
        <v>no</v>
      </c>
      <c r="L1364" t="s">
        <v>161</v>
      </c>
      <c r="M1364">
        <v>10764</v>
      </c>
      <c r="N1364">
        <v>3</v>
      </c>
      <c r="O1364" t="s">
        <v>740</v>
      </c>
      <c r="P1364" t="str">
        <f t="shared" si="366"/>
        <v>ERNSH_10764_Aniseed Syrup</v>
      </c>
      <c r="Q1364" t="str">
        <f t="shared" si="367"/>
        <v>10764</v>
      </c>
      <c r="R1364" t="str">
        <f t="shared" si="368"/>
        <v>10764</v>
      </c>
      <c r="S1364" t="str">
        <f t="shared" si="369"/>
        <v>Aniseed Syrup</v>
      </c>
      <c r="T1364">
        <v>10</v>
      </c>
      <c r="U1364">
        <v>20</v>
      </c>
      <c r="V1364">
        <v>0.1</v>
      </c>
      <c r="W1364">
        <f t="shared" si="370"/>
        <v>180</v>
      </c>
      <c r="X1364" t="str">
        <f t="shared" si="371"/>
        <v>yes</v>
      </c>
      <c r="Y1364" s="2">
        <v>35067</v>
      </c>
      <c r="Z1364" t="str">
        <f t="shared" si="357"/>
        <v>1st Q 1996</v>
      </c>
      <c r="AA1364" t="str">
        <f t="shared" si="372"/>
        <v>1st Q 1996</v>
      </c>
      <c r="AB1364" t="str" cm="1">
        <f t="array" ref="AB1364">_xlfn.IFS(Y1364&lt;DATE(1996,1,1),"",Y1364&lt;DATE(1996,4,1),"Q1",Y1364&lt;DATE(1996,7,1),"Q2",Y1364&gt;=DATE(1996,7,1),"")</f>
        <v>Q1</v>
      </c>
    </row>
    <row r="1365" spans="1:28" ht="14.4" x14ac:dyDescent="0.55000000000000004">
      <c r="A1365" t="str">
        <f>VLOOKUP(L1365,Customers!$A$2:$B$92,2,FALSE)</f>
        <v>Ernst Handel</v>
      </c>
      <c r="B1365" t="str">
        <f>VLOOKUP(L1365,Customers!$A$2:$C$92,3,TRUE)</f>
        <v>Roland Mendel</v>
      </c>
      <c r="C1365" t="str">
        <f t="shared" si="358"/>
        <v>Roland</v>
      </c>
      <c r="D1365" s="8" t="str">
        <f t="shared" si="359"/>
        <v>Mendel</v>
      </c>
      <c r="E1365" s="8" t="str">
        <f t="shared" si="360"/>
        <v>Mendel, Roland</v>
      </c>
      <c r="F1365" s="8" t="str">
        <f t="shared" si="361"/>
        <v>Mendel, Roland</v>
      </c>
      <c r="G1365" s="8" t="str">
        <f t="shared" si="362"/>
        <v>not an outlier</v>
      </c>
      <c r="H1365" s="8" t="str">
        <f t="shared" si="363"/>
        <v>Not</v>
      </c>
      <c r="I1365" s="8" t="str">
        <f t="shared" si="373"/>
        <v>no</v>
      </c>
      <c r="J1365" s="10" t="str">
        <f t="shared" si="364"/>
        <v>no</v>
      </c>
      <c r="K1365" s="10" t="str">
        <f t="shared" si="365"/>
        <v>no</v>
      </c>
      <c r="L1365" t="s">
        <v>161</v>
      </c>
      <c r="M1365">
        <v>10764</v>
      </c>
      <c r="N1365">
        <v>39</v>
      </c>
      <c r="O1365" t="s">
        <v>696</v>
      </c>
      <c r="P1365" t="str">
        <f t="shared" si="366"/>
        <v>ERNSH_10764_Chartreuse verte</v>
      </c>
      <c r="Q1365" t="str">
        <f t="shared" si="367"/>
        <v>10764</v>
      </c>
      <c r="R1365" t="str">
        <f t="shared" si="368"/>
        <v>10764</v>
      </c>
      <c r="S1365" t="str">
        <f t="shared" si="369"/>
        <v>Chartreuse verte</v>
      </c>
      <c r="T1365">
        <v>18</v>
      </c>
      <c r="U1365">
        <v>130</v>
      </c>
      <c r="V1365">
        <v>0.1</v>
      </c>
      <c r="W1365">
        <f t="shared" si="370"/>
        <v>2106</v>
      </c>
      <c r="X1365" t="str">
        <f t="shared" si="371"/>
        <v>yes</v>
      </c>
      <c r="Y1365" s="2">
        <v>35067</v>
      </c>
      <c r="Z1365" t="str">
        <f t="shared" si="357"/>
        <v>1st Q 1996</v>
      </c>
      <c r="AA1365" t="str">
        <f t="shared" si="372"/>
        <v>1st Q 1996</v>
      </c>
      <c r="AB1365" t="str" cm="1">
        <f t="array" ref="AB1365">_xlfn.IFS(Y1365&lt;DATE(1996,1,1),"",Y1365&lt;DATE(1996,4,1),"Q1",Y1365&lt;DATE(1996,7,1),"Q2",Y1365&gt;=DATE(1996,7,1),"")</f>
        <v>Q1</v>
      </c>
    </row>
    <row r="1366" spans="1:28" ht="14.4" x14ac:dyDescent="0.55000000000000004">
      <c r="A1366" t="str">
        <f>VLOOKUP(L1366,Customers!$A$2:$B$92,2,FALSE)</f>
        <v>QUICK-Stop</v>
      </c>
      <c r="B1366" t="str">
        <f>VLOOKUP(L1366,Customers!$A$2:$C$92,3,TRUE)</f>
        <v>Horst Kloss</v>
      </c>
      <c r="C1366" t="str">
        <f t="shared" si="358"/>
        <v>Horst</v>
      </c>
      <c r="D1366" s="8" t="str">
        <f t="shared" si="359"/>
        <v>Kloss</v>
      </c>
      <c r="E1366" s="8" t="str">
        <f t="shared" si="360"/>
        <v>Kloss, Horst</v>
      </c>
      <c r="F1366" s="8" t="str">
        <f t="shared" si="361"/>
        <v>Kloss, Horst</v>
      </c>
      <c r="G1366" s="8" t="str">
        <f t="shared" si="362"/>
        <v>not an outlier</v>
      </c>
      <c r="H1366" s="8" t="str">
        <f t="shared" si="363"/>
        <v>Not</v>
      </c>
      <c r="I1366" s="8" t="str">
        <f t="shared" si="373"/>
        <v>no</v>
      </c>
      <c r="J1366" s="10" t="str">
        <f t="shared" si="364"/>
        <v>no</v>
      </c>
      <c r="K1366" s="10" t="str">
        <f t="shared" si="365"/>
        <v>no</v>
      </c>
      <c r="L1366" t="s">
        <v>475</v>
      </c>
      <c r="M1366">
        <v>10765</v>
      </c>
      <c r="N1366">
        <v>65</v>
      </c>
      <c r="O1366" t="s">
        <v>689</v>
      </c>
      <c r="P1366" t="str">
        <f t="shared" si="366"/>
        <v>QUICK_10765_Louisiana Fiery Hot Pepper Sauce</v>
      </c>
      <c r="Q1366" t="str">
        <f t="shared" si="367"/>
        <v>10765</v>
      </c>
      <c r="R1366" t="str">
        <f t="shared" si="368"/>
        <v>10765</v>
      </c>
      <c r="S1366" t="str">
        <f t="shared" si="369"/>
        <v>Louisiana Fiery Hot Pepper Sauce</v>
      </c>
      <c r="T1366">
        <v>21.05</v>
      </c>
      <c r="U1366">
        <v>80</v>
      </c>
      <c r="V1366">
        <v>0.1</v>
      </c>
      <c r="W1366">
        <f t="shared" si="370"/>
        <v>1515.6000000000001</v>
      </c>
      <c r="X1366" t="str">
        <f t="shared" si="371"/>
        <v>yes</v>
      </c>
      <c r="Y1366" s="2">
        <v>35068</v>
      </c>
      <c r="Z1366" t="str">
        <f t="shared" si="357"/>
        <v>1st Q 1996</v>
      </c>
      <c r="AA1366" t="str">
        <f t="shared" si="372"/>
        <v>1st Q 1996</v>
      </c>
      <c r="AB1366" t="str" cm="1">
        <f t="array" ref="AB1366">_xlfn.IFS(Y1366&lt;DATE(1996,1,1),"",Y1366&lt;DATE(1996,4,1),"Q1",Y1366&lt;DATE(1996,7,1),"Q2",Y1366&gt;=DATE(1996,7,1),"")</f>
        <v>Q1</v>
      </c>
    </row>
    <row r="1367" spans="1:28" ht="14.4" x14ac:dyDescent="0.55000000000000004">
      <c r="A1367" t="str">
        <f>VLOOKUP(L1367,Customers!$A$2:$B$92,2,FALSE)</f>
        <v>Ottilies Käseladen</v>
      </c>
      <c r="B1367" t="str">
        <f>VLOOKUP(L1367,Customers!$A$2:$C$92,3,TRUE)</f>
        <v>Henriette Pfalzheim</v>
      </c>
      <c r="C1367" t="str">
        <f t="shared" si="358"/>
        <v>Henriette</v>
      </c>
      <c r="D1367" s="8" t="str">
        <f t="shared" si="359"/>
        <v>Pfalzheim</v>
      </c>
      <c r="E1367" s="8" t="str">
        <f t="shared" si="360"/>
        <v>Pfalzheim, Henriette</v>
      </c>
      <c r="F1367" s="8" t="str">
        <f t="shared" si="361"/>
        <v>Pfalzheim, Henriette</v>
      </c>
      <c r="G1367" s="8" t="str">
        <f t="shared" si="362"/>
        <v>not an outlier</v>
      </c>
      <c r="H1367" s="8" t="str">
        <f t="shared" si="363"/>
        <v>Not</v>
      </c>
      <c r="I1367" s="8" t="str">
        <f t="shared" si="373"/>
        <v>no</v>
      </c>
      <c r="J1367" s="10" t="str">
        <f t="shared" si="364"/>
        <v>no</v>
      </c>
      <c r="K1367" s="10" t="str">
        <f t="shared" si="365"/>
        <v>no</v>
      </c>
      <c r="L1367" t="s">
        <v>430</v>
      </c>
      <c r="M1367">
        <v>10766</v>
      </c>
      <c r="N1367">
        <v>2</v>
      </c>
      <c r="O1367" t="s">
        <v>701</v>
      </c>
      <c r="P1367" t="str">
        <f t="shared" si="366"/>
        <v>OTTIK_10766_Chang</v>
      </c>
      <c r="Q1367" t="str">
        <f t="shared" si="367"/>
        <v>10766</v>
      </c>
      <c r="R1367" t="str">
        <f t="shared" si="368"/>
        <v>10766</v>
      </c>
      <c r="S1367" t="str">
        <f t="shared" si="369"/>
        <v>Chang</v>
      </c>
      <c r="T1367">
        <v>19</v>
      </c>
      <c r="U1367">
        <v>40</v>
      </c>
      <c r="V1367">
        <v>0</v>
      </c>
      <c r="W1367">
        <f t="shared" si="370"/>
        <v>760</v>
      </c>
      <c r="X1367" t="str">
        <f t="shared" si="371"/>
        <v>yes</v>
      </c>
      <c r="Y1367" s="2">
        <v>35069</v>
      </c>
      <c r="Z1367" t="str">
        <f t="shared" si="357"/>
        <v>1st Q 1996</v>
      </c>
      <c r="AA1367" t="str">
        <f t="shared" si="372"/>
        <v>1st Q 1996</v>
      </c>
      <c r="AB1367" t="str" cm="1">
        <f t="array" ref="AB1367">_xlfn.IFS(Y1367&lt;DATE(1996,1,1),"",Y1367&lt;DATE(1996,4,1),"Q1",Y1367&lt;DATE(1996,7,1),"Q2",Y1367&gt;=DATE(1996,7,1),"")</f>
        <v>Q1</v>
      </c>
    </row>
    <row r="1368" spans="1:28" ht="14.4" x14ac:dyDescent="0.55000000000000004">
      <c r="A1368" t="str">
        <f>VLOOKUP(L1368,Customers!$A$2:$B$92,2,FALSE)</f>
        <v>Ottilies Käseladen</v>
      </c>
      <c r="B1368" t="str">
        <f>VLOOKUP(L1368,Customers!$A$2:$C$92,3,TRUE)</f>
        <v>Henriette Pfalzheim</v>
      </c>
      <c r="C1368" t="str">
        <f t="shared" si="358"/>
        <v>Henriette</v>
      </c>
      <c r="D1368" s="8" t="str">
        <f t="shared" si="359"/>
        <v>Pfalzheim</v>
      </c>
      <c r="E1368" s="8" t="str">
        <f t="shared" si="360"/>
        <v>Pfalzheim, Henriette</v>
      </c>
      <c r="F1368" s="8" t="str">
        <f t="shared" si="361"/>
        <v>Pfalzheim, Henriette</v>
      </c>
      <c r="G1368" s="8" t="str">
        <f t="shared" si="362"/>
        <v>not an outlier</v>
      </c>
      <c r="H1368" s="8" t="str">
        <f t="shared" si="363"/>
        <v>Not</v>
      </c>
      <c r="I1368" s="8" t="str">
        <f t="shared" si="373"/>
        <v>no</v>
      </c>
      <c r="J1368" s="10" t="str">
        <f t="shared" si="364"/>
        <v>no</v>
      </c>
      <c r="K1368" s="10" t="str">
        <f t="shared" si="365"/>
        <v>no</v>
      </c>
      <c r="L1368" t="s">
        <v>430</v>
      </c>
      <c r="M1368">
        <v>10766</v>
      </c>
      <c r="N1368">
        <v>7</v>
      </c>
      <c r="O1368" t="s">
        <v>715</v>
      </c>
      <c r="P1368" t="str">
        <f t="shared" si="366"/>
        <v>OTTIK_10766_Uncle Bob's Organic Dried Pears</v>
      </c>
      <c r="Q1368" t="str">
        <f t="shared" si="367"/>
        <v>10766</v>
      </c>
      <c r="R1368" t="str">
        <f t="shared" si="368"/>
        <v>10766</v>
      </c>
      <c r="S1368" t="str">
        <f t="shared" si="369"/>
        <v>Uncle Bob's Organic Dried Pears</v>
      </c>
      <c r="T1368">
        <v>30</v>
      </c>
      <c r="U1368">
        <v>35</v>
      </c>
      <c r="V1368">
        <v>0</v>
      </c>
      <c r="W1368">
        <f t="shared" si="370"/>
        <v>1050</v>
      </c>
      <c r="X1368" t="str">
        <f t="shared" si="371"/>
        <v>yes</v>
      </c>
      <c r="Y1368" s="2">
        <v>35069</v>
      </c>
      <c r="Z1368" t="str">
        <f t="shared" si="357"/>
        <v>1st Q 1996</v>
      </c>
      <c r="AA1368" t="str">
        <f t="shared" si="372"/>
        <v>1st Q 1996</v>
      </c>
      <c r="AB1368" t="str" cm="1">
        <f t="array" ref="AB1368">_xlfn.IFS(Y1368&lt;DATE(1996,1,1),"",Y1368&lt;DATE(1996,4,1),"Q1",Y1368&lt;DATE(1996,7,1),"Q2",Y1368&gt;=DATE(1996,7,1),"")</f>
        <v>Q1</v>
      </c>
    </row>
    <row r="1369" spans="1:28" ht="14.4" x14ac:dyDescent="0.55000000000000004">
      <c r="A1369" t="str">
        <f>VLOOKUP(L1369,Customers!$A$2:$B$92,2,FALSE)</f>
        <v>Ottilies Käseladen</v>
      </c>
      <c r="B1369" t="str">
        <f>VLOOKUP(L1369,Customers!$A$2:$C$92,3,TRUE)</f>
        <v>Henriette Pfalzheim</v>
      </c>
      <c r="C1369" t="str">
        <f t="shared" si="358"/>
        <v>Henriette</v>
      </c>
      <c r="D1369" s="8" t="str">
        <f t="shared" si="359"/>
        <v>Pfalzheim</v>
      </c>
      <c r="E1369" s="8" t="str">
        <f t="shared" si="360"/>
        <v>Pfalzheim, Henriette</v>
      </c>
      <c r="F1369" s="8" t="str">
        <f t="shared" si="361"/>
        <v>Pfalzheim, Henriette</v>
      </c>
      <c r="G1369" s="8" t="str">
        <f t="shared" si="362"/>
        <v>not an outlier</v>
      </c>
      <c r="H1369" s="8" t="str">
        <f t="shared" si="363"/>
        <v>Not</v>
      </c>
      <c r="I1369" s="8" t="str">
        <f t="shared" si="373"/>
        <v>no</v>
      </c>
      <c r="J1369" s="10" t="str">
        <f t="shared" si="364"/>
        <v>no</v>
      </c>
      <c r="K1369" s="10" t="str">
        <f t="shared" si="365"/>
        <v>no</v>
      </c>
      <c r="L1369" t="s">
        <v>430</v>
      </c>
      <c r="M1369">
        <v>10766</v>
      </c>
      <c r="N1369">
        <v>68</v>
      </c>
      <c r="O1369" t="s">
        <v>739</v>
      </c>
      <c r="P1369" t="str">
        <f t="shared" si="366"/>
        <v>OTTIK_10766_Scottish Longbreads</v>
      </c>
      <c r="Q1369" t="str">
        <f t="shared" si="367"/>
        <v>10766</v>
      </c>
      <c r="R1369" t="str">
        <f t="shared" si="368"/>
        <v>10766</v>
      </c>
      <c r="S1369" t="str">
        <f t="shared" si="369"/>
        <v>Scottish Longbreads</v>
      </c>
      <c r="T1369">
        <v>12.5</v>
      </c>
      <c r="U1369">
        <v>40</v>
      </c>
      <c r="V1369">
        <v>0</v>
      </c>
      <c r="W1369">
        <f t="shared" si="370"/>
        <v>500</v>
      </c>
      <c r="X1369" t="str">
        <f t="shared" si="371"/>
        <v>yes</v>
      </c>
      <c r="Y1369" s="2">
        <v>35069</v>
      </c>
      <c r="Z1369" t="str">
        <f t="shared" si="357"/>
        <v>1st Q 1996</v>
      </c>
      <c r="AA1369" t="str">
        <f t="shared" si="372"/>
        <v>1st Q 1996</v>
      </c>
      <c r="AB1369" t="str" cm="1">
        <f t="array" ref="AB1369">_xlfn.IFS(Y1369&lt;DATE(1996,1,1),"",Y1369&lt;DATE(1996,4,1),"Q1",Y1369&lt;DATE(1996,7,1),"Q2",Y1369&gt;=DATE(1996,7,1),"")</f>
        <v>Q1</v>
      </c>
    </row>
    <row r="1370" spans="1:28" ht="14.4" x14ac:dyDescent="0.55000000000000004">
      <c r="A1370" t="str">
        <f>VLOOKUP(L1370,Customers!$A$2:$B$92,2,FALSE)</f>
        <v>Suprêmes délices</v>
      </c>
      <c r="B1370" t="str">
        <f>VLOOKUP(L1370,Customers!$A$2:$C$92,3,TRUE)</f>
        <v>Pascale Cartrain</v>
      </c>
      <c r="C1370" t="str">
        <f t="shared" si="358"/>
        <v>Pascale</v>
      </c>
      <c r="D1370" s="8" t="str">
        <f t="shared" si="359"/>
        <v>Cartrain</v>
      </c>
      <c r="E1370" s="8" t="str">
        <f t="shared" si="360"/>
        <v>Cartrain, Pascale</v>
      </c>
      <c r="F1370" s="8" t="str">
        <f t="shared" si="361"/>
        <v>Cartrain, Pascale</v>
      </c>
      <c r="G1370" s="8" t="str">
        <f t="shared" si="362"/>
        <v>not an outlier</v>
      </c>
      <c r="H1370" s="8" t="str">
        <f t="shared" si="363"/>
        <v>Not</v>
      </c>
      <c r="I1370" s="8" t="str">
        <f t="shared" si="373"/>
        <v>no</v>
      </c>
      <c r="J1370" s="10" t="str">
        <f t="shared" si="364"/>
        <v>no</v>
      </c>
      <c r="K1370" s="10" t="str">
        <f t="shared" si="365"/>
        <v>no</v>
      </c>
      <c r="L1370" t="s">
        <v>565</v>
      </c>
      <c r="M1370">
        <v>10767</v>
      </c>
      <c r="N1370">
        <v>42</v>
      </c>
      <c r="O1370" t="s">
        <v>684</v>
      </c>
      <c r="P1370" t="str">
        <f t="shared" si="366"/>
        <v>SUPRD_10767_Singaporean Hokkien Fried Mee</v>
      </c>
      <c r="Q1370" t="str">
        <f t="shared" si="367"/>
        <v>10767</v>
      </c>
      <c r="R1370" t="str">
        <f t="shared" si="368"/>
        <v>10767</v>
      </c>
      <c r="S1370" t="str">
        <f t="shared" si="369"/>
        <v>Singaporean Hokkien Fried Mee</v>
      </c>
      <c r="T1370">
        <v>14</v>
      </c>
      <c r="U1370">
        <v>2</v>
      </c>
      <c r="V1370">
        <v>0</v>
      </c>
      <c r="W1370">
        <f t="shared" si="370"/>
        <v>28</v>
      </c>
      <c r="X1370" t="str">
        <f t="shared" si="371"/>
        <v>yes</v>
      </c>
      <c r="Y1370" s="2">
        <v>35069</v>
      </c>
      <c r="Z1370" t="str">
        <f t="shared" si="357"/>
        <v>1st Q 1996</v>
      </c>
      <c r="AA1370" t="str">
        <f t="shared" si="372"/>
        <v>1st Q 1996</v>
      </c>
      <c r="AB1370" t="str" cm="1">
        <f t="array" ref="AB1370">_xlfn.IFS(Y1370&lt;DATE(1996,1,1),"",Y1370&lt;DATE(1996,4,1),"Q1",Y1370&lt;DATE(1996,7,1),"Q2",Y1370&gt;=DATE(1996,7,1),"")</f>
        <v>Q1</v>
      </c>
    </row>
    <row r="1371" spans="1:28" ht="14.4" x14ac:dyDescent="0.55000000000000004">
      <c r="A1371" t="str">
        <f>VLOOKUP(L1371,Customers!$A$2:$B$92,2,FALSE)</f>
        <v>Around the Horn</v>
      </c>
      <c r="B1371" t="str">
        <f>VLOOKUP(L1371,Customers!$A$2:$C$92,3,TRUE)</f>
        <v>Thomas Hardy</v>
      </c>
      <c r="C1371" t="str">
        <f t="shared" si="358"/>
        <v>Thomas</v>
      </c>
      <c r="D1371" s="8" t="str">
        <f t="shared" si="359"/>
        <v>Hardy</v>
      </c>
      <c r="E1371" s="8" t="str">
        <f t="shared" si="360"/>
        <v>Hardy, Thomas</v>
      </c>
      <c r="F1371" s="8" t="str">
        <f t="shared" si="361"/>
        <v>Hardy, Thomas</v>
      </c>
      <c r="G1371" s="8" t="str">
        <f t="shared" si="362"/>
        <v>not an outlier</v>
      </c>
      <c r="H1371" s="8" t="str">
        <f t="shared" si="363"/>
        <v>Not</v>
      </c>
      <c r="I1371" s="8" t="str">
        <f t="shared" si="373"/>
        <v>no</v>
      </c>
      <c r="J1371" s="10" t="str">
        <f t="shared" si="364"/>
        <v>no</v>
      </c>
      <c r="K1371" s="10" t="str">
        <f t="shared" si="365"/>
        <v>no</v>
      </c>
      <c r="L1371" t="s">
        <v>34</v>
      </c>
      <c r="M1371">
        <v>10768</v>
      </c>
      <c r="N1371">
        <v>22</v>
      </c>
      <c r="O1371" t="s">
        <v>690</v>
      </c>
      <c r="P1371" t="str">
        <f t="shared" si="366"/>
        <v>AROUT_10768_Gustaf's Knäckebröd</v>
      </c>
      <c r="Q1371" t="str">
        <f t="shared" si="367"/>
        <v>10768</v>
      </c>
      <c r="R1371" t="str">
        <f t="shared" si="368"/>
        <v>10768</v>
      </c>
      <c r="S1371" t="str">
        <f t="shared" si="369"/>
        <v>Gustaf's Knäckebröd</v>
      </c>
      <c r="T1371">
        <v>21</v>
      </c>
      <c r="U1371">
        <v>4</v>
      </c>
      <c r="V1371">
        <v>0</v>
      </c>
      <c r="W1371">
        <f t="shared" si="370"/>
        <v>84</v>
      </c>
      <c r="X1371" t="str">
        <f t="shared" si="371"/>
        <v>yes</v>
      </c>
      <c r="Y1371" s="2">
        <v>35072</v>
      </c>
      <c r="Z1371" t="str">
        <f t="shared" si="357"/>
        <v>1st Q 1996</v>
      </c>
      <c r="AA1371" t="str">
        <f t="shared" si="372"/>
        <v>1st Q 1996</v>
      </c>
      <c r="AB1371" t="str" cm="1">
        <f t="array" ref="AB1371">_xlfn.IFS(Y1371&lt;DATE(1996,1,1),"",Y1371&lt;DATE(1996,4,1),"Q1",Y1371&lt;DATE(1996,7,1),"Q2",Y1371&gt;=DATE(1996,7,1),"")</f>
        <v>Q1</v>
      </c>
    </row>
    <row r="1372" spans="1:28" ht="14.4" x14ac:dyDescent="0.55000000000000004">
      <c r="A1372" t="str">
        <f>VLOOKUP(L1372,Customers!$A$2:$B$92,2,FALSE)</f>
        <v>Around the Horn</v>
      </c>
      <c r="B1372" t="str">
        <f>VLOOKUP(L1372,Customers!$A$2:$C$92,3,TRUE)</f>
        <v>Thomas Hardy</v>
      </c>
      <c r="C1372" t="str">
        <f t="shared" si="358"/>
        <v>Thomas</v>
      </c>
      <c r="D1372" s="8" t="str">
        <f t="shared" si="359"/>
        <v>Hardy</v>
      </c>
      <c r="E1372" s="8" t="str">
        <f t="shared" si="360"/>
        <v>Hardy, Thomas</v>
      </c>
      <c r="F1372" s="8" t="str">
        <f t="shared" si="361"/>
        <v>Hardy, Thomas</v>
      </c>
      <c r="G1372" s="8" t="str">
        <f t="shared" si="362"/>
        <v>not an outlier</v>
      </c>
      <c r="H1372" s="8" t="str">
        <f t="shared" si="363"/>
        <v>Not</v>
      </c>
      <c r="I1372" s="8" t="str">
        <f t="shared" si="373"/>
        <v>no</v>
      </c>
      <c r="J1372" s="10" t="str">
        <f t="shared" si="364"/>
        <v>no</v>
      </c>
      <c r="K1372" s="10" t="str">
        <f t="shared" si="365"/>
        <v>no</v>
      </c>
      <c r="L1372" t="s">
        <v>34</v>
      </c>
      <c r="M1372">
        <v>10768</v>
      </c>
      <c r="N1372">
        <v>31</v>
      </c>
      <c r="O1372" t="s">
        <v>695</v>
      </c>
      <c r="P1372" t="str">
        <f t="shared" si="366"/>
        <v>AROUT_10768_Gorgonzola Telino</v>
      </c>
      <c r="Q1372" t="str">
        <f t="shared" si="367"/>
        <v>10768</v>
      </c>
      <c r="R1372" t="str">
        <f t="shared" si="368"/>
        <v>10768</v>
      </c>
      <c r="S1372" t="str">
        <f t="shared" si="369"/>
        <v>Gorgonzola Telino</v>
      </c>
      <c r="T1372">
        <v>12.5</v>
      </c>
      <c r="U1372">
        <v>50</v>
      </c>
      <c r="V1372">
        <v>0</v>
      </c>
      <c r="W1372">
        <f t="shared" si="370"/>
        <v>625</v>
      </c>
      <c r="X1372" t="str">
        <f t="shared" si="371"/>
        <v>yes</v>
      </c>
      <c r="Y1372" s="2">
        <v>35072</v>
      </c>
      <c r="Z1372" t="str">
        <f t="shared" si="357"/>
        <v>1st Q 1996</v>
      </c>
      <c r="AA1372" t="str">
        <f t="shared" si="372"/>
        <v>1st Q 1996</v>
      </c>
      <c r="AB1372" t="str" cm="1">
        <f t="array" ref="AB1372">_xlfn.IFS(Y1372&lt;DATE(1996,1,1),"",Y1372&lt;DATE(1996,4,1),"Q1",Y1372&lt;DATE(1996,7,1),"Q2",Y1372&gt;=DATE(1996,7,1),"")</f>
        <v>Q1</v>
      </c>
    </row>
    <row r="1373" spans="1:28" ht="14.4" x14ac:dyDescent="0.55000000000000004">
      <c r="A1373" t="str">
        <f>VLOOKUP(L1373,Customers!$A$2:$B$92,2,FALSE)</f>
        <v>Around the Horn</v>
      </c>
      <c r="B1373" t="str">
        <f>VLOOKUP(L1373,Customers!$A$2:$C$92,3,TRUE)</f>
        <v>Thomas Hardy</v>
      </c>
      <c r="C1373" t="str">
        <f t="shared" si="358"/>
        <v>Thomas</v>
      </c>
      <c r="D1373" s="8" t="str">
        <f t="shared" si="359"/>
        <v>Hardy</v>
      </c>
      <c r="E1373" s="8" t="str">
        <f t="shared" si="360"/>
        <v>Hardy, Thomas</v>
      </c>
      <c r="F1373" s="8" t="str">
        <f t="shared" si="361"/>
        <v>Hardy, Thomas</v>
      </c>
      <c r="G1373" s="8" t="str">
        <f t="shared" si="362"/>
        <v>not an outlier</v>
      </c>
      <c r="H1373" s="8" t="str">
        <f t="shared" si="363"/>
        <v>Not</v>
      </c>
      <c r="I1373" s="8" t="str">
        <f t="shared" si="373"/>
        <v>no</v>
      </c>
      <c r="J1373" s="10" t="str">
        <f t="shared" si="364"/>
        <v>no</v>
      </c>
      <c r="K1373" s="10" t="str">
        <f t="shared" si="365"/>
        <v>no</v>
      </c>
      <c r="L1373" t="s">
        <v>34</v>
      </c>
      <c r="M1373">
        <v>10768</v>
      </c>
      <c r="N1373">
        <v>60</v>
      </c>
      <c r="O1373" t="s">
        <v>694</v>
      </c>
      <c r="P1373" t="str">
        <f t="shared" si="366"/>
        <v>AROUT_10768_Camembert Pierrot</v>
      </c>
      <c r="Q1373" t="str">
        <f t="shared" si="367"/>
        <v>10768</v>
      </c>
      <c r="R1373" t="str">
        <f t="shared" si="368"/>
        <v>10768</v>
      </c>
      <c r="S1373" t="str">
        <f t="shared" si="369"/>
        <v>Camembert Pierrot</v>
      </c>
      <c r="T1373">
        <v>34</v>
      </c>
      <c r="U1373">
        <v>15</v>
      </c>
      <c r="V1373">
        <v>0</v>
      </c>
      <c r="W1373">
        <f t="shared" si="370"/>
        <v>510</v>
      </c>
      <c r="X1373" t="str">
        <f t="shared" si="371"/>
        <v>yes</v>
      </c>
      <c r="Y1373" s="2">
        <v>35072</v>
      </c>
      <c r="Z1373" t="str">
        <f t="shared" si="357"/>
        <v>1st Q 1996</v>
      </c>
      <c r="AA1373" t="str">
        <f t="shared" si="372"/>
        <v>1st Q 1996</v>
      </c>
      <c r="AB1373" t="str" cm="1">
        <f t="array" ref="AB1373">_xlfn.IFS(Y1373&lt;DATE(1996,1,1),"",Y1373&lt;DATE(1996,4,1),"Q1",Y1373&lt;DATE(1996,7,1),"Q2",Y1373&gt;=DATE(1996,7,1),"")</f>
        <v>Q1</v>
      </c>
    </row>
    <row r="1374" spans="1:28" ht="14.4" x14ac:dyDescent="0.55000000000000004">
      <c r="A1374" t="str">
        <f>VLOOKUP(L1374,Customers!$A$2:$B$92,2,FALSE)</f>
        <v>Around the Horn</v>
      </c>
      <c r="B1374" t="str">
        <f>VLOOKUP(L1374,Customers!$A$2:$C$92,3,TRUE)</f>
        <v>Thomas Hardy</v>
      </c>
      <c r="C1374" t="str">
        <f t="shared" si="358"/>
        <v>Thomas</v>
      </c>
      <c r="D1374" s="8" t="str">
        <f t="shared" si="359"/>
        <v>Hardy</v>
      </c>
      <c r="E1374" s="8" t="str">
        <f t="shared" si="360"/>
        <v>Hardy, Thomas</v>
      </c>
      <c r="F1374" s="8" t="str">
        <f t="shared" si="361"/>
        <v>Hardy, Thomas</v>
      </c>
      <c r="G1374" s="8" t="str">
        <f t="shared" si="362"/>
        <v>not an outlier</v>
      </c>
      <c r="H1374" s="8" t="str">
        <f t="shared" si="363"/>
        <v>Not</v>
      </c>
      <c r="I1374" s="8" t="str">
        <f t="shared" si="373"/>
        <v>no</v>
      </c>
      <c r="J1374" s="10" t="str">
        <f t="shared" si="364"/>
        <v>no</v>
      </c>
      <c r="K1374" s="10" t="str">
        <f t="shared" si="365"/>
        <v>no</v>
      </c>
      <c r="L1374" t="s">
        <v>34</v>
      </c>
      <c r="M1374">
        <v>10768</v>
      </c>
      <c r="N1374">
        <v>71</v>
      </c>
      <c r="O1374" t="s">
        <v>725</v>
      </c>
      <c r="P1374" t="str">
        <f t="shared" si="366"/>
        <v>AROUT_10768_Fløtemysost</v>
      </c>
      <c r="Q1374" t="str">
        <f t="shared" si="367"/>
        <v>10768</v>
      </c>
      <c r="R1374" t="str">
        <f t="shared" si="368"/>
        <v>10768</v>
      </c>
      <c r="S1374" t="str">
        <f t="shared" si="369"/>
        <v>Fløtemysost</v>
      </c>
      <c r="T1374">
        <v>21.5</v>
      </c>
      <c r="U1374">
        <v>12</v>
      </c>
      <c r="V1374">
        <v>0</v>
      </c>
      <c r="W1374">
        <f t="shared" si="370"/>
        <v>258</v>
      </c>
      <c r="X1374" t="str">
        <f t="shared" si="371"/>
        <v>yes</v>
      </c>
      <c r="Y1374" s="2">
        <v>35072</v>
      </c>
      <c r="Z1374" t="str">
        <f t="shared" si="357"/>
        <v>1st Q 1996</v>
      </c>
      <c r="AA1374" t="str">
        <f t="shared" si="372"/>
        <v>1st Q 1996</v>
      </c>
      <c r="AB1374" t="str" cm="1">
        <f t="array" ref="AB1374">_xlfn.IFS(Y1374&lt;DATE(1996,1,1),"",Y1374&lt;DATE(1996,4,1),"Q1",Y1374&lt;DATE(1996,7,1),"Q2",Y1374&gt;=DATE(1996,7,1),"")</f>
        <v>Q1</v>
      </c>
    </row>
    <row r="1375" spans="1:28" ht="14.4" x14ac:dyDescent="0.55000000000000004">
      <c r="A1375" t="str">
        <f>VLOOKUP(L1375,Customers!$A$2:$B$92,2,FALSE)</f>
        <v>Vaffeljernet</v>
      </c>
      <c r="B1375" t="str">
        <f>VLOOKUP(L1375,Customers!$A$2:$C$92,3,TRUE)</f>
        <v>Palle Ibsen</v>
      </c>
      <c r="C1375" t="str">
        <f t="shared" si="358"/>
        <v>Palle</v>
      </c>
      <c r="D1375" s="8" t="str">
        <f t="shared" si="359"/>
        <v>Ibsen</v>
      </c>
      <c r="E1375" s="8" t="str">
        <f t="shared" si="360"/>
        <v>Ibsen, Palle</v>
      </c>
      <c r="F1375" s="8" t="str">
        <f t="shared" si="361"/>
        <v>Ibsen, Palle</v>
      </c>
      <c r="G1375" s="8" t="str">
        <f t="shared" si="362"/>
        <v>not an outlier</v>
      </c>
      <c r="H1375" s="8" t="str">
        <f t="shared" si="363"/>
        <v>Not</v>
      </c>
      <c r="I1375" s="8" t="str">
        <f t="shared" si="373"/>
        <v>no</v>
      </c>
      <c r="J1375" s="10" t="str">
        <f t="shared" si="364"/>
        <v>no</v>
      </c>
      <c r="K1375" s="10" t="str">
        <f t="shared" si="365"/>
        <v>no</v>
      </c>
      <c r="L1375" t="s">
        <v>612</v>
      </c>
      <c r="M1375">
        <v>10769</v>
      </c>
      <c r="N1375">
        <v>41</v>
      </c>
      <c r="O1375" t="s">
        <v>688</v>
      </c>
      <c r="P1375" t="str">
        <f t="shared" si="366"/>
        <v>VAFFE_10769_Jack's New England Clam Chowder</v>
      </c>
      <c r="Q1375" t="str">
        <f t="shared" si="367"/>
        <v>10769</v>
      </c>
      <c r="R1375" t="str">
        <f t="shared" si="368"/>
        <v>10769</v>
      </c>
      <c r="S1375" t="str">
        <f t="shared" si="369"/>
        <v>Jack's New England Clam Chowder</v>
      </c>
      <c r="T1375">
        <v>9.65</v>
      </c>
      <c r="U1375">
        <v>30</v>
      </c>
      <c r="V1375">
        <v>0.05</v>
      </c>
      <c r="W1375">
        <f t="shared" si="370"/>
        <v>275.02499999999998</v>
      </c>
      <c r="X1375" t="str">
        <f t="shared" si="371"/>
        <v>yes</v>
      </c>
      <c r="Y1375" s="2">
        <v>35072</v>
      </c>
      <c r="Z1375" t="str">
        <f t="shared" si="357"/>
        <v>1st Q 1996</v>
      </c>
      <c r="AA1375" t="str">
        <f t="shared" si="372"/>
        <v>1st Q 1996</v>
      </c>
      <c r="AB1375" t="str" cm="1">
        <f t="array" ref="AB1375">_xlfn.IFS(Y1375&lt;DATE(1996,1,1),"",Y1375&lt;DATE(1996,4,1),"Q1",Y1375&lt;DATE(1996,7,1),"Q2",Y1375&gt;=DATE(1996,7,1),"")</f>
        <v>Q1</v>
      </c>
    </row>
    <row r="1376" spans="1:28" ht="14.4" x14ac:dyDescent="0.55000000000000004">
      <c r="A1376" t="str">
        <f>VLOOKUP(L1376,Customers!$A$2:$B$92,2,FALSE)</f>
        <v>Vaffeljernet</v>
      </c>
      <c r="B1376" t="str">
        <f>VLOOKUP(L1376,Customers!$A$2:$C$92,3,TRUE)</f>
        <v>Palle Ibsen</v>
      </c>
      <c r="C1376" t="str">
        <f t="shared" si="358"/>
        <v>Palle</v>
      </c>
      <c r="D1376" s="8" t="str">
        <f t="shared" si="359"/>
        <v>Ibsen</v>
      </c>
      <c r="E1376" s="8" t="str">
        <f t="shared" si="360"/>
        <v>Ibsen, Palle</v>
      </c>
      <c r="F1376" s="8" t="str">
        <f t="shared" si="361"/>
        <v>Ibsen, Palle</v>
      </c>
      <c r="G1376" s="8" t="str">
        <f t="shared" si="362"/>
        <v>not an outlier</v>
      </c>
      <c r="H1376" s="8" t="str">
        <f t="shared" si="363"/>
        <v>Not</v>
      </c>
      <c r="I1376" s="8" t="str">
        <f t="shared" si="373"/>
        <v>no</v>
      </c>
      <c r="J1376" s="10" t="str">
        <f t="shared" si="364"/>
        <v>no</v>
      </c>
      <c r="K1376" s="10" t="str">
        <f t="shared" si="365"/>
        <v>no</v>
      </c>
      <c r="L1376" t="s">
        <v>612</v>
      </c>
      <c r="M1376">
        <v>10769</v>
      </c>
      <c r="N1376">
        <v>52</v>
      </c>
      <c r="O1376" t="s">
        <v>748</v>
      </c>
      <c r="P1376" t="str">
        <f t="shared" si="366"/>
        <v>VAFFE_10769_Filo Mix</v>
      </c>
      <c r="Q1376" t="str">
        <f t="shared" si="367"/>
        <v>10769</v>
      </c>
      <c r="R1376" t="str">
        <f t="shared" si="368"/>
        <v>10769</v>
      </c>
      <c r="S1376" t="str">
        <f t="shared" si="369"/>
        <v>Filo Mix</v>
      </c>
      <c r="T1376">
        <v>7</v>
      </c>
      <c r="U1376">
        <v>15</v>
      </c>
      <c r="V1376">
        <v>0.05</v>
      </c>
      <c r="W1376">
        <f t="shared" si="370"/>
        <v>99.75</v>
      </c>
      <c r="X1376" t="str">
        <f t="shared" si="371"/>
        <v>yes</v>
      </c>
      <c r="Y1376" s="2">
        <v>35072</v>
      </c>
      <c r="Z1376" t="str">
        <f t="shared" si="357"/>
        <v>1st Q 1996</v>
      </c>
      <c r="AA1376" t="str">
        <f t="shared" si="372"/>
        <v>1st Q 1996</v>
      </c>
      <c r="AB1376" t="str" cm="1">
        <f t="array" ref="AB1376">_xlfn.IFS(Y1376&lt;DATE(1996,1,1),"",Y1376&lt;DATE(1996,4,1),"Q1",Y1376&lt;DATE(1996,7,1),"Q2",Y1376&gt;=DATE(1996,7,1),"")</f>
        <v>Q1</v>
      </c>
    </row>
    <row r="1377" spans="1:28" ht="14.4" x14ac:dyDescent="0.55000000000000004">
      <c r="A1377" t="str">
        <f>VLOOKUP(L1377,Customers!$A$2:$B$92,2,FALSE)</f>
        <v>Vaffeljernet</v>
      </c>
      <c r="B1377" t="str">
        <f>VLOOKUP(L1377,Customers!$A$2:$C$92,3,TRUE)</f>
        <v>Palle Ibsen</v>
      </c>
      <c r="C1377" t="str">
        <f t="shared" si="358"/>
        <v>Palle</v>
      </c>
      <c r="D1377" s="8" t="str">
        <f t="shared" si="359"/>
        <v>Ibsen</v>
      </c>
      <c r="E1377" s="8" t="str">
        <f t="shared" si="360"/>
        <v>Ibsen, Palle</v>
      </c>
      <c r="F1377" s="8" t="str">
        <f t="shared" si="361"/>
        <v>Ibsen, Palle</v>
      </c>
      <c r="G1377" s="8" t="str">
        <f t="shared" si="362"/>
        <v>not an outlier</v>
      </c>
      <c r="H1377" s="8" t="str">
        <f t="shared" si="363"/>
        <v>Not</v>
      </c>
      <c r="I1377" s="8" t="str">
        <f t="shared" si="373"/>
        <v>no</v>
      </c>
      <c r="J1377" s="10" t="str">
        <f t="shared" si="364"/>
        <v>no</v>
      </c>
      <c r="K1377" s="10" t="str">
        <f t="shared" si="365"/>
        <v>no</v>
      </c>
      <c r="L1377" t="s">
        <v>612</v>
      </c>
      <c r="M1377">
        <v>10769</v>
      </c>
      <c r="N1377">
        <v>61</v>
      </c>
      <c r="O1377" t="s">
        <v>758</v>
      </c>
      <c r="P1377" t="str">
        <f t="shared" si="366"/>
        <v>VAFFE_10769_Sirop d'érable</v>
      </c>
      <c r="Q1377" t="str">
        <f t="shared" si="367"/>
        <v>10769</v>
      </c>
      <c r="R1377" t="str">
        <f t="shared" si="368"/>
        <v>10769</v>
      </c>
      <c r="S1377" t="str">
        <f t="shared" si="369"/>
        <v>Sirop d'érable</v>
      </c>
      <c r="T1377">
        <v>28.5</v>
      </c>
      <c r="U1377">
        <v>20</v>
      </c>
      <c r="V1377">
        <v>0</v>
      </c>
      <c r="W1377">
        <f t="shared" si="370"/>
        <v>570</v>
      </c>
      <c r="X1377" t="str">
        <f t="shared" si="371"/>
        <v>yes</v>
      </c>
      <c r="Y1377" s="2">
        <v>35072</v>
      </c>
      <c r="Z1377" t="str">
        <f t="shared" si="357"/>
        <v>1st Q 1996</v>
      </c>
      <c r="AA1377" t="str">
        <f t="shared" si="372"/>
        <v>1st Q 1996</v>
      </c>
      <c r="AB1377" t="str" cm="1">
        <f t="array" ref="AB1377">_xlfn.IFS(Y1377&lt;DATE(1996,1,1),"",Y1377&lt;DATE(1996,4,1),"Q1",Y1377&lt;DATE(1996,7,1),"Q2",Y1377&gt;=DATE(1996,7,1),"")</f>
        <v>Q1</v>
      </c>
    </row>
    <row r="1378" spans="1:28" ht="14.4" x14ac:dyDescent="0.55000000000000004">
      <c r="A1378" t="str">
        <f>VLOOKUP(L1378,Customers!$A$2:$B$92,2,FALSE)</f>
        <v>Vaffeljernet</v>
      </c>
      <c r="B1378" t="str">
        <f>VLOOKUP(L1378,Customers!$A$2:$C$92,3,TRUE)</f>
        <v>Palle Ibsen</v>
      </c>
      <c r="C1378" t="str">
        <f t="shared" si="358"/>
        <v>Palle</v>
      </c>
      <c r="D1378" s="8" t="str">
        <f t="shared" si="359"/>
        <v>Ibsen</v>
      </c>
      <c r="E1378" s="8" t="str">
        <f t="shared" si="360"/>
        <v>Ibsen, Palle</v>
      </c>
      <c r="F1378" s="8" t="str">
        <f t="shared" si="361"/>
        <v>Ibsen, Palle</v>
      </c>
      <c r="G1378" s="8" t="str">
        <f t="shared" si="362"/>
        <v>not an outlier</v>
      </c>
      <c r="H1378" s="8" t="str">
        <f t="shared" si="363"/>
        <v>Not</v>
      </c>
      <c r="I1378" s="8" t="str">
        <f t="shared" si="373"/>
        <v>no</v>
      </c>
      <c r="J1378" s="10" t="str">
        <f t="shared" si="364"/>
        <v>no</v>
      </c>
      <c r="K1378" s="10" t="str">
        <f t="shared" si="365"/>
        <v>no</v>
      </c>
      <c r="L1378" t="s">
        <v>612</v>
      </c>
      <c r="M1378">
        <v>10769</v>
      </c>
      <c r="N1378">
        <v>62</v>
      </c>
      <c r="O1378" t="s">
        <v>712</v>
      </c>
      <c r="P1378" t="str">
        <f t="shared" si="366"/>
        <v>VAFFE_10769_Tarte au sucre</v>
      </c>
      <c r="Q1378" t="str">
        <f t="shared" si="367"/>
        <v>10769</v>
      </c>
      <c r="R1378" t="str">
        <f t="shared" si="368"/>
        <v>10769</v>
      </c>
      <c r="S1378" t="str">
        <f t="shared" si="369"/>
        <v>Tarte au sucre</v>
      </c>
      <c r="T1378">
        <v>49.3</v>
      </c>
      <c r="U1378">
        <v>15</v>
      </c>
      <c r="V1378">
        <v>0</v>
      </c>
      <c r="W1378">
        <f t="shared" si="370"/>
        <v>739.5</v>
      </c>
      <c r="X1378" t="str">
        <f t="shared" si="371"/>
        <v>yes</v>
      </c>
      <c r="Y1378" s="2">
        <v>35072</v>
      </c>
      <c r="Z1378" t="str">
        <f t="shared" si="357"/>
        <v>1st Q 1996</v>
      </c>
      <c r="AA1378" t="str">
        <f t="shared" si="372"/>
        <v>1st Q 1996</v>
      </c>
      <c r="AB1378" t="str" cm="1">
        <f t="array" ref="AB1378">_xlfn.IFS(Y1378&lt;DATE(1996,1,1),"",Y1378&lt;DATE(1996,4,1),"Q1",Y1378&lt;DATE(1996,7,1),"Q2",Y1378&gt;=DATE(1996,7,1),"")</f>
        <v>Q1</v>
      </c>
    </row>
    <row r="1379" spans="1:28" ht="14.4" x14ac:dyDescent="0.55000000000000004">
      <c r="A1379" t="str">
        <f>VLOOKUP(L1379,Customers!$A$2:$B$92,2,FALSE)</f>
        <v>Hanari Carnes</v>
      </c>
      <c r="B1379" t="str">
        <f>VLOOKUP(L1379,Customers!$A$2:$C$92,3,TRUE)</f>
        <v>Mario Pontes</v>
      </c>
      <c r="C1379" t="str">
        <f t="shared" si="358"/>
        <v>Mario</v>
      </c>
      <c r="D1379" s="8" t="str">
        <f t="shared" si="359"/>
        <v>Pontes</v>
      </c>
      <c r="E1379" s="8" t="str">
        <f t="shared" si="360"/>
        <v>Pontes, Mario</v>
      </c>
      <c r="F1379" s="8" t="str">
        <f t="shared" si="361"/>
        <v>Pontes, Mario</v>
      </c>
      <c r="G1379" s="8" t="str">
        <f t="shared" si="362"/>
        <v>not an outlier</v>
      </c>
      <c r="H1379" s="8" t="str">
        <f t="shared" si="363"/>
        <v>Not</v>
      </c>
      <c r="I1379" s="8" t="str">
        <f t="shared" si="373"/>
        <v>no</v>
      </c>
      <c r="J1379" s="10" t="str">
        <f t="shared" si="364"/>
        <v>no</v>
      </c>
      <c r="K1379" s="10" t="str">
        <f t="shared" si="365"/>
        <v>no</v>
      </c>
      <c r="L1379" t="s">
        <v>264</v>
      </c>
      <c r="M1379">
        <v>10770</v>
      </c>
      <c r="N1379">
        <v>11</v>
      </c>
      <c r="O1379" t="s">
        <v>683</v>
      </c>
      <c r="P1379" t="str">
        <f t="shared" si="366"/>
        <v>HANAR_10770_Queso Cabrales</v>
      </c>
      <c r="Q1379" t="str">
        <f t="shared" si="367"/>
        <v>10770</v>
      </c>
      <c r="R1379" t="str">
        <f t="shared" si="368"/>
        <v>10770</v>
      </c>
      <c r="S1379" t="str">
        <f t="shared" si="369"/>
        <v>Queso Cabrales</v>
      </c>
      <c r="T1379">
        <v>21</v>
      </c>
      <c r="U1379">
        <v>15</v>
      </c>
      <c r="V1379">
        <v>0.25</v>
      </c>
      <c r="W1379">
        <f t="shared" si="370"/>
        <v>236.25</v>
      </c>
      <c r="X1379" t="str">
        <f t="shared" si="371"/>
        <v>yes</v>
      </c>
      <c r="Y1379" s="2">
        <v>35073</v>
      </c>
      <c r="Z1379" t="str">
        <f t="shared" si="357"/>
        <v>1st Q 1996</v>
      </c>
      <c r="AA1379" t="str">
        <f t="shared" si="372"/>
        <v>1st Q 1996</v>
      </c>
      <c r="AB1379" t="str" cm="1">
        <f t="array" ref="AB1379">_xlfn.IFS(Y1379&lt;DATE(1996,1,1),"",Y1379&lt;DATE(1996,4,1),"Q1",Y1379&lt;DATE(1996,7,1),"Q2",Y1379&gt;=DATE(1996,7,1),"")</f>
        <v>Q1</v>
      </c>
    </row>
    <row r="1380" spans="1:28" ht="14.4" x14ac:dyDescent="0.55000000000000004">
      <c r="A1380" t="str">
        <f>VLOOKUP(L1380,Customers!$A$2:$B$92,2,FALSE)</f>
        <v>Ernst Handel</v>
      </c>
      <c r="B1380" t="str">
        <f>VLOOKUP(L1380,Customers!$A$2:$C$92,3,TRUE)</f>
        <v>Roland Mendel</v>
      </c>
      <c r="C1380" t="str">
        <f t="shared" si="358"/>
        <v>Roland</v>
      </c>
      <c r="D1380" s="8" t="str">
        <f t="shared" si="359"/>
        <v>Mendel</v>
      </c>
      <c r="E1380" s="8" t="str">
        <f t="shared" si="360"/>
        <v>Mendel, Roland</v>
      </c>
      <c r="F1380" s="8" t="str">
        <f t="shared" si="361"/>
        <v>Mendel, Roland</v>
      </c>
      <c r="G1380" s="8" t="str">
        <f t="shared" si="362"/>
        <v>not an outlier</v>
      </c>
      <c r="H1380" s="8" t="str">
        <f t="shared" si="363"/>
        <v>Not</v>
      </c>
      <c r="I1380" s="8" t="str">
        <f t="shared" si="373"/>
        <v>no</v>
      </c>
      <c r="J1380" s="10" t="str">
        <f t="shared" si="364"/>
        <v>no</v>
      </c>
      <c r="K1380" s="10" t="str">
        <f t="shared" si="365"/>
        <v>no</v>
      </c>
      <c r="L1380" t="s">
        <v>161</v>
      </c>
      <c r="M1380">
        <v>10771</v>
      </c>
      <c r="N1380">
        <v>71</v>
      </c>
      <c r="O1380" t="s">
        <v>725</v>
      </c>
      <c r="P1380" t="str">
        <f t="shared" si="366"/>
        <v>ERNSH_10771_Fløtemysost</v>
      </c>
      <c r="Q1380" t="str">
        <f t="shared" si="367"/>
        <v>10771</v>
      </c>
      <c r="R1380" t="str">
        <f t="shared" si="368"/>
        <v>10771</v>
      </c>
      <c r="S1380" t="str">
        <f t="shared" si="369"/>
        <v>Fløtemysost</v>
      </c>
      <c r="T1380">
        <v>21.5</v>
      </c>
      <c r="U1380">
        <v>16</v>
      </c>
      <c r="V1380">
        <v>0</v>
      </c>
      <c r="W1380">
        <f t="shared" si="370"/>
        <v>344</v>
      </c>
      <c r="X1380" t="str">
        <f t="shared" si="371"/>
        <v>yes</v>
      </c>
      <c r="Y1380" s="2">
        <v>35074</v>
      </c>
      <c r="Z1380" t="str">
        <f t="shared" si="357"/>
        <v>1st Q 1996</v>
      </c>
      <c r="AA1380" t="str">
        <f t="shared" si="372"/>
        <v>1st Q 1996</v>
      </c>
      <c r="AB1380" t="str" cm="1">
        <f t="array" ref="AB1380">_xlfn.IFS(Y1380&lt;DATE(1996,1,1),"",Y1380&lt;DATE(1996,4,1),"Q1",Y1380&lt;DATE(1996,7,1),"Q2",Y1380&gt;=DATE(1996,7,1),"")</f>
        <v>Q1</v>
      </c>
    </row>
    <row r="1381" spans="1:28" ht="14.4" x14ac:dyDescent="0.55000000000000004">
      <c r="A1381" t="str">
        <f>VLOOKUP(L1381,Customers!$A$2:$B$92,2,FALSE)</f>
        <v>Lehmanns Marktstand</v>
      </c>
      <c r="B1381" t="str">
        <f>VLOOKUP(L1381,Customers!$A$2:$C$92,3,TRUE)</f>
        <v>Renate Messner</v>
      </c>
      <c r="C1381" t="str">
        <f t="shared" si="358"/>
        <v>Renate</v>
      </c>
      <c r="D1381" s="8" t="str">
        <f t="shared" si="359"/>
        <v>Messner</v>
      </c>
      <c r="E1381" s="8" t="str">
        <f t="shared" si="360"/>
        <v>Messner, Renate</v>
      </c>
      <c r="F1381" s="8" t="str">
        <f t="shared" si="361"/>
        <v>Messner, Renate</v>
      </c>
      <c r="G1381" s="8" t="str">
        <f t="shared" si="362"/>
        <v>not an outlier</v>
      </c>
      <c r="H1381" s="8" t="str">
        <f t="shared" si="363"/>
        <v>Not</v>
      </c>
      <c r="I1381" s="8" t="str">
        <f t="shared" si="373"/>
        <v>no</v>
      </c>
      <c r="J1381" s="10" t="str">
        <f t="shared" si="364"/>
        <v>no</v>
      </c>
      <c r="K1381" s="10" t="str">
        <f t="shared" si="365"/>
        <v>no</v>
      </c>
      <c r="L1381" t="s">
        <v>341</v>
      </c>
      <c r="M1381">
        <v>10772</v>
      </c>
      <c r="N1381">
        <v>29</v>
      </c>
      <c r="O1381" t="s">
        <v>722</v>
      </c>
      <c r="P1381" t="str">
        <f t="shared" si="366"/>
        <v>LEHMS_10772_Thüringer Rostbratwurst</v>
      </c>
      <c r="Q1381" t="str">
        <f t="shared" si="367"/>
        <v>10772</v>
      </c>
      <c r="R1381" t="str">
        <f t="shared" si="368"/>
        <v>10772</v>
      </c>
      <c r="S1381" t="str">
        <f t="shared" si="369"/>
        <v>Thüringer Rostbratwurst</v>
      </c>
      <c r="T1381">
        <v>123.79</v>
      </c>
      <c r="U1381">
        <v>18</v>
      </c>
      <c r="V1381">
        <v>0</v>
      </c>
      <c r="W1381">
        <f t="shared" si="370"/>
        <v>2228.2200000000003</v>
      </c>
      <c r="X1381" t="str">
        <f t="shared" si="371"/>
        <v>yes</v>
      </c>
      <c r="Y1381" s="2">
        <v>35074</v>
      </c>
      <c r="Z1381" t="str">
        <f t="shared" si="357"/>
        <v>1st Q 1996</v>
      </c>
      <c r="AA1381" t="str">
        <f t="shared" si="372"/>
        <v>1st Q 1996</v>
      </c>
      <c r="AB1381" t="str" cm="1">
        <f t="array" ref="AB1381">_xlfn.IFS(Y1381&lt;DATE(1996,1,1),"",Y1381&lt;DATE(1996,4,1),"Q1",Y1381&lt;DATE(1996,7,1),"Q2",Y1381&gt;=DATE(1996,7,1),"")</f>
        <v>Q1</v>
      </c>
    </row>
    <row r="1382" spans="1:28" ht="14.4" x14ac:dyDescent="0.55000000000000004">
      <c r="A1382" t="str">
        <f>VLOOKUP(L1382,Customers!$A$2:$B$92,2,FALSE)</f>
        <v>Lehmanns Marktstand</v>
      </c>
      <c r="B1382" t="str">
        <f>VLOOKUP(L1382,Customers!$A$2:$C$92,3,TRUE)</f>
        <v>Renate Messner</v>
      </c>
      <c r="C1382" t="str">
        <f t="shared" si="358"/>
        <v>Renate</v>
      </c>
      <c r="D1382" s="8" t="str">
        <f t="shared" si="359"/>
        <v>Messner</v>
      </c>
      <c r="E1382" s="8" t="str">
        <f t="shared" si="360"/>
        <v>Messner, Renate</v>
      </c>
      <c r="F1382" s="8" t="str">
        <f t="shared" si="361"/>
        <v>Messner, Renate</v>
      </c>
      <c r="G1382" s="8" t="str">
        <f t="shared" si="362"/>
        <v>not an outlier</v>
      </c>
      <c r="H1382" s="8" t="str">
        <f t="shared" si="363"/>
        <v>Not</v>
      </c>
      <c r="I1382" s="8" t="str">
        <f t="shared" si="373"/>
        <v>no</v>
      </c>
      <c r="J1382" s="10" t="str">
        <f t="shared" si="364"/>
        <v>no</v>
      </c>
      <c r="K1382" s="10" t="str">
        <f t="shared" si="365"/>
        <v>no</v>
      </c>
      <c r="L1382" t="s">
        <v>341</v>
      </c>
      <c r="M1382">
        <v>10772</v>
      </c>
      <c r="N1382">
        <v>59</v>
      </c>
      <c r="O1382" t="s">
        <v>704</v>
      </c>
      <c r="P1382" t="str">
        <f t="shared" si="366"/>
        <v>LEHMS_10772_Raclette Courdavault</v>
      </c>
      <c r="Q1382" t="str">
        <f t="shared" si="367"/>
        <v>10772</v>
      </c>
      <c r="R1382" t="str">
        <f t="shared" si="368"/>
        <v>10772</v>
      </c>
      <c r="S1382" t="str">
        <f t="shared" si="369"/>
        <v>Raclette Courdavault</v>
      </c>
      <c r="T1382">
        <v>55</v>
      </c>
      <c r="U1382">
        <v>25</v>
      </c>
      <c r="V1382">
        <v>0</v>
      </c>
      <c r="W1382">
        <f t="shared" si="370"/>
        <v>1375</v>
      </c>
      <c r="X1382" t="str">
        <f t="shared" si="371"/>
        <v>yes</v>
      </c>
      <c r="Y1382" s="2">
        <v>35074</v>
      </c>
      <c r="Z1382" t="str">
        <f t="shared" si="357"/>
        <v>1st Q 1996</v>
      </c>
      <c r="AA1382" t="str">
        <f t="shared" si="372"/>
        <v>1st Q 1996</v>
      </c>
      <c r="AB1382" t="str" cm="1">
        <f t="array" ref="AB1382">_xlfn.IFS(Y1382&lt;DATE(1996,1,1),"",Y1382&lt;DATE(1996,4,1),"Q1",Y1382&lt;DATE(1996,7,1),"Q2",Y1382&gt;=DATE(1996,7,1),"")</f>
        <v>Q1</v>
      </c>
    </row>
    <row r="1383" spans="1:28" ht="14.4" x14ac:dyDescent="0.55000000000000004">
      <c r="A1383" t="str">
        <f>VLOOKUP(L1383,Customers!$A$2:$B$92,2,FALSE)</f>
        <v>Ernst Handel</v>
      </c>
      <c r="B1383" t="str">
        <f>VLOOKUP(L1383,Customers!$A$2:$C$92,3,TRUE)</f>
        <v>Roland Mendel</v>
      </c>
      <c r="C1383" t="str">
        <f t="shared" si="358"/>
        <v>Roland</v>
      </c>
      <c r="D1383" s="8" t="str">
        <f t="shared" si="359"/>
        <v>Mendel</v>
      </c>
      <c r="E1383" s="8" t="str">
        <f t="shared" si="360"/>
        <v>Mendel, Roland</v>
      </c>
      <c r="F1383" s="8" t="str">
        <f t="shared" si="361"/>
        <v>Mendel, Roland</v>
      </c>
      <c r="G1383" s="8" t="str">
        <f t="shared" si="362"/>
        <v>not an outlier</v>
      </c>
      <c r="H1383" s="8" t="str">
        <f t="shared" si="363"/>
        <v>Not</v>
      </c>
      <c r="I1383" s="8" t="str">
        <f t="shared" si="373"/>
        <v>no</v>
      </c>
      <c r="J1383" s="10" t="str">
        <f t="shared" si="364"/>
        <v>no</v>
      </c>
      <c r="K1383" s="10" t="str">
        <f t="shared" si="365"/>
        <v>no</v>
      </c>
      <c r="L1383" t="s">
        <v>161</v>
      </c>
      <c r="M1383">
        <v>10773</v>
      </c>
      <c r="N1383">
        <v>17</v>
      </c>
      <c r="O1383" t="s">
        <v>718</v>
      </c>
      <c r="P1383" t="str">
        <f t="shared" si="366"/>
        <v>ERNSH_10773_Alice Mutton</v>
      </c>
      <c r="Q1383" t="str">
        <f t="shared" si="367"/>
        <v>10773</v>
      </c>
      <c r="R1383" t="str">
        <f t="shared" si="368"/>
        <v>10773</v>
      </c>
      <c r="S1383" t="str">
        <f t="shared" si="369"/>
        <v>Alice Mutton</v>
      </c>
      <c r="T1383">
        <v>39</v>
      </c>
      <c r="U1383">
        <v>33</v>
      </c>
      <c r="V1383">
        <v>0</v>
      </c>
      <c r="W1383">
        <f t="shared" si="370"/>
        <v>1287</v>
      </c>
      <c r="X1383" t="str">
        <f t="shared" si="371"/>
        <v>yes</v>
      </c>
      <c r="Y1383" s="2">
        <v>35075</v>
      </c>
      <c r="Z1383" t="str">
        <f t="shared" si="357"/>
        <v>1st Q 1996</v>
      </c>
      <c r="AA1383" t="str">
        <f t="shared" si="372"/>
        <v>1st Q 1996</v>
      </c>
      <c r="AB1383" t="str" cm="1">
        <f t="array" ref="AB1383">_xlfn.IFS(Y1383&lt;DATE(1996,1,1),"",Y1383&lt;DATE(1996,4,1),"Q1",Y1383&lt;DATE(1996,7,1),"Q2",Y1383&gt;=DATE(1996,7,1),"")</f>
        <v>Q1</v>
      </c>
    </row>
    <row r="1384" spans="1:28" ht="14.4" x14ac:dyDescent="0.55000000000000004">
      <c r="A1384" t="str">
        <f>VLOOKUP(L1384,Customers!$A$2:$B$92,2,FALSE)</f>
        <v>Ernst Handel</v>
      </c>
      <c r="B1384" t="str">
        <f>VLOOKUP(L1384,Customers!$A$2:$C$92,3,TRUE)</f>
        <v>Roland Mendel</v>
      </c>
      <c r="C1384" t="str">
        <f t="shared" si="358"/>
        <v>Roland</v>
      </c>
      <c r="D1384" s="8" t="str">
        <f t="shared" si="359"/>
        <v>Mendel</v>
      </c>
      <c r="E1384" s="8" t="str">
        <f t="shared" si="360"/>
        <v>Mendel, Roland</v>
      </c>
      <c r="F1384" s="8" t="str">
        <f t="shared" si="361"/>
        <v>Mendel, Roland</v>
      </c>
      <c r="G1384" s="8" t="str">
        <f t="shared" si="362"/>
        <v>not an outlier</v>
      </c>
      <c r="H1384" s="8" t="str">
        <f t="shared" si="363"/>
        <v>Not</v>
      </c>
      <c r="I1384" s="8" t="str">
        <f t="shared" si="373"/>
        <v>no</v>
      </c>
      <c r="J1384" s="10" t="str">
        <f t="shared" si="364"/>
        <v>no</v>
      </c>
      <c r="K1384" s="10" t="str">
        <f t="shared" si="365"/>
        <v>no</v>
      </c>
      <c r="L1384" t="s">
        <v>161</v>
      </c>
      <c r="M1384">
        <v>10773</v>
      </c>
      <c r="N1384">
        <v>31</v>
      </c>
      <c r="O1384" t="s">
        <v>695</v>
      </c>
      <c r="P1384" t="str">
        <f t="shared" si="366"/>
        <v>ERNSH_10773_Gorgonzola Telino</v>
      </c>
      <c r="Q1384" t="str">
        <f t="shared" si="367"/>
        <v>10773</v>
      </c>
      <c r="R1384" t="str">
        <f t="shared" si="368"/>
        <v>10773</v>
      </c>
      <c r="S1384" t="str">
        <f t="shared" si="369"/>
        <v>Gorgonzola Telino</v>
      </c>
      <c r="T1384">
        <v>12.5</v>
      </c>
      <c r="U1384">
        <v>70</v>
      </c>
      <c r="V1384">
        <v>0.2</v>
      </c>
      <c r="W1384">
        <f t="shared" si="370"/>
        <v>700</v>
      </c>
      <c r="X1384" t="str">
        <f t="shared" si="371"/>
        <v>yes</v>
      </c>
      <c r="Y1384" s="2">
        <v>35075</v>
      </c>
      <c r="Z1384" t="str">
        <f t="shared" si="357"/>
        <v>1st Q 1996</v>
      </c>
      <c r="AA1384" t="str">
        <f t="shared" si="372"/>
        <v>1st Q 1996</v>
      </c>
      <c r="AB1384" t="str" cm="1">
        <f t="array" ref="AB1384">_xlfn.IFS(Y1384&lt;DATE(1996,1,1),"",Y1384&lt;DATE(1996,4,1),"Q1",Y1384&lt;DATE(1996,7,1),"Q2",Y1384&gt;=DATE(1996,7,1),"")</f>
        <v>Q1</v>
      </c>
    </row>
    <row r="1385" spans="1:28" ht="14.4" x14ac:dyDescent="0.55000000000000004">
      <c r="A1385" t="str">
        <f>VLOOKUP(L1385,Customers!$A$2:$B$92,2,FALSE)</f>
        <v>Ernst Handel</v>
      </c>
      <c r="B1385" t="str">
        <f>VLOOKUP(L1385,Customers!$A$2:$C$92,3,TRUE)</f>
        <v>Roland Mendel</v>
      </c>
      <c r="C1385" t="str">
        <f t="shared" si="358"/>
        <v>Roland</v>
      </c>
      <c r="D1385" s="8" t="str">
        <f t="shared" si="359"/>
        <v>Mendel</v>
      </c>
      <c r="E1385" s="8" t="str">
        <f t="shared" si="360"/>
        <v>Mendel, Roland</v>
      </c>
      <c r="F1385" s="8" t="str">
        <f t="shared" si="361"/>
        <v>Mendel, Roland</v>
      </c>
      <c r="G1385" s="8" t="str">
        <f t="shared" si="362"/>
        <v>not an outlier</v>
      </c>
      <c r="H1385" s="8" t="str">
        <f t="shared" si="363"/>
        <v>Not</v>
      </c>
      <c r="I1385" s="8" t="str">
        <f t="shared" si="373"/>
        <v>no</v>
      </c>
      <c r="J1385" s="10" t="str">
        <f t="shared" si="364"/>
        <v>no</v>
      </c>
      <c r="K1385" s="10" t="str">
        <f t="shared" si="365"/>
        <v>no</v>
      </c>
      <c r="L1385" t="s">
        <v>161</v>
      </c>
      <c r="M1385">
        <v>10773</v>
      </c>
      <c r="N1385">
        <v>75</v>
      </c>
      <c r="O1385" t="s">
        <v>731</v>
      </c>
      <c r="P1385" t="str">
        <f t="shared" si="366"/>
        <v>ERNSH_10773_Rhönbräu Klosterbier</v>
      </c>
      <c r="Q1385" t="str">
        <f t="shared" si="367"/>
        <v>10773</v>
      </c>
      <c r="R1385" t="str">
        <f t="shared" si="368"/>
        <v>10773</v>
      </c>
      <c r="S1385" t="str">
        <f t="shared" si="369"/>
        <v>Rhönbräu Klosterbier</v>
      </c>
      <c r="T1385">
        <v>7.75</v>
      </c>
      <c r="U1385">
        <v>7</v>
      </c>
      <c r="V1385">
        <v>0.2</v>
      </c>
      <c r="W1385">
        <f t="shared" si="370"/>
        <v>43.400000000000006</v>
      </c>
      <c r="X1385" t="str">
        <f t="shared" si="371"/>
        <v>yes</v>
      </c>
      <c r="Y1385" s="2">
        <v>35075</v>
      </c>
      <c r="Z1385" t="str">
        <f t="shared" si="357"/>
        <v>1st Q 1996</v>
      </c>
      <c r="AA1385" t="str">
        <f t="shared" si="372"/>
        <v>1st Q 1996</v>
      </c>
      <c r="AB1385" t="str" cm="1">
        <f t="array" ref="AB1385">_xlfn.IFS(Y1385&lt;DATE(1996,1,1),"",Y1385&lt;DATE(1996,4,1),"Q1",Y1385&lt;DATE(1996,7,1),"Q2",Y1385&gt;=DATE(1996,7,1),"")</f>
        <v>Q1</v>
      </c>
    </row>
    <row r="1386" spans="1:28" ht="14.4" x14ac:dyDescent="0.55000000000000004">
      <c r="A1386" t="str">
        <f>VLOOKUP(L1386,Customers!$A$2:$B$92,2,FALSE)</f>
        <v>Folk och fä HB</v>
      </c>
      <c r="B1386" t="str">
        <f>VLOOKUP(L1386,Customers!$A$2:$C$92,3,TRUE)</f>
        <v>Maria Larsson</v>
      </c>
      <c r="C1386" t="str">
        <f t="shared" si="358"/>
        <v>Maria</v>
      </c>
      <c r="D1386" s="8" t="str">
        <f t="shared" si="359"/>
        <v>Larsson</v>
      </c>
      <c r="E1386" s="8" t="str">
        <f t="shared" si="360"/>
        <v>Larsson, Maria</v>
      </c>
      <c r="F1386" s="8" t="str">
        <f t="shared" si="361"/>
        <v>Larsson, Maria</v>
      </c>
      <c r="G1386" s="8" t="str">
        <f t="shared" si="362"/>
        <v>not an outlier</v>
      </c>
      <c r="H1386" s="8" t="str">
        <f t="shared" si="363"/>
        <v>Not</v>
      </c>
      <c r="I1386" s="8" t="str">
        <f t="shared" si="373"/>
        <v>no</v>
      </c>
      <c r="J1386" s="10" t="str">
        <f t="shared" si="364"/>
        <v>no</v>
      </c>
      <c r="K1386" s="10" t="str">
        <f t="shared" si="365"/>
        <v>no</v>
      </c>
      <c r="L1386" t="s">
        <v>191</v>
      </c>
      <c r="M1386">
        <v>10774</v>
      </c>
      <c r="N1386">
        <v>31</v>
      </c>
      <c r="O1386" t="s">
        <v>695</v>
      </c>
      <c r="P1386" t="str">
        <f t="shared" si="366"/>
        <v>FOLKO_10774_Gorgonzola Telino</v>
      </c>
      <c r="Q1386" t="str">
        <f t="shared" si="367"/>
        <v>10774</v>
      </c>
      <c r="R1386" t="str">
        <f t="shared" si="368"/>
        <v>10774</v>
      </c>
      <c r="S1386" t="str">
        <f t="shared" si="369"/>
        <v>Gorgonzola Telino</v>
      </c>
      <c r="T1386">
        <v>12.5</v>
      </c>
      <c r="U1386">
        <v>2</v>
      </c>
      <c r="V1386">
        <v>0.25</v>
      </c>
      <c r="W1386">
        <f t="shared" si="370"/>
        <v>18.75</v>
      </c>
      <c r="X1386" t="str">
        <f t="shared" si="371"/>
        <v>yes</v>
      </c>
      <c r="Y1386" s="2">
        <v>35075</v>
      </c>
      <c r="Z1386" t="str">
        <f t="shared" si="357"/>
        <v>1st Q 1996</v>
      </c>
      <c r="AA1386" t="str">
        <f t="shared" si="372"/>
        <v>1st Q 1996</v>
      </c>
      <c r="AB1386" t="str" cm="1">
        <f t="array" ref="AB1386">_xlfn.IFS(Y1386&lt;DATE(1996,1,1),"",Y1386&lt;DATE(1996,4,1),"Q1",Y1386&lt;DATE(1996,7,1),"Q2",Y1386&gt;=DATE(1996,7,1),"")</f>
        <v>Q1</v>
      </c>
    </row>
    <row r="1387" spans="1:28" ht="14.4" x14ac:dyDescent="0.55000000000000004">
      <c r="A1387" t="str">
        <f>VLOOKUP(L1387,Customers!$A$2:$B$92,2,FALSE)</f>
        <v>Folk och fä HB</v>
      </c>
      <c r="B1387" t="str">
        <f>VLOOKUP(L1387,Customers!$A$2:$C$92,3,TRUE)</f>
        <v>Maria Larsson</v>
      </c>
      <c r="C1387" t="str">
        <f t="shared" si="358"/>
        <v>Maria</v>
      </c>
      <c r="D1387" s="8" t="str">
        <f t="shared" si="359"/>
        <v>Larsson</v>
      </c>
      <c r="E1387" s="8" t="str">
        <f t="shared" si="360"/>
        <v>Larsson, Maria</v>
      </c>
      <c r="F1387" s="8" t="str">
        <f t="shared" si="361"/>
        <v>Larsson, Maria</v>
      </c>
      <c r="G1387" s="8" t="str">
        <f t="shared" si="362"/>
        <v>not an outlier</v>
      </c>
      <c r="H1387" s="8" t="str">
        <f t="shared" si="363"/>
        <v>Not</v>
      </c>
      <c r="I1387" s="8" t="str">
        <f t="shared" si="373"/>
        <v>no</v>
      </c>
      <c r="J1387" s="10" t="str">
        <f t="shared" si="364"/>
        <v>no</v>
      </c>
      <c r="K1387" s="10" t="str">
        <f t="shared" si="365"/>
        <v>no</v>
      </c>
      <c r="L1387" t="s">
        <v>191</v>
      </c>
      <c r="M1387">
        <v>10774</v>
      </c>
      <c r="N1387">
        <v>66</v>
      </c>
      <c r="O1387" t="s">
        <v>744</v>
      </c>
      <c r="P1387" t="str">
        <f t="shared" si="366"/>
        <v>FOLKO_10774_Louisiana Hot Spiced Okra</v>
      </c>
      <c r="Q1387" t="str">
        <f t="shared" si="367"/>
        <v>10774</v>
      </c>
      <c r="R1387" t="str">
        <f t="shared" si="368"/>
        <v>10774</v>
      </c>
      <c r="S1387" t="str">
        <f t="shared" si="369"/>
        <v>Louisiana Hot Spiced Okra</v>
      </c>
      <c r="T1387">
        <v>17</v>
      </c>
      <c r="U1387">
        <v>50</v>
      </c>
      <c r="V1387">
        <v>0</v>
      </c>
      <c r="W1387">
        <f t="shared" si="370"/>
        <v>850</v>
      </c>
      <c r="X1387" t="str">
        <f t="shared" si="371"/>
        <v>yes</v>
      </c>
      <c r="Y1387" s="2">
        <v>35075</v>
      </c>
      <c r="Z1387" t="str">
        <f t="shared" si="357"/>
        <v>1st Q 1996</v>
      </c>
      <c r="AA1387" t="str">
        <f t="shared" si="372"/>
        <v>1st Q 1996</v>
      </c>
      <c r="AB1387" t="str" cm="1">
        <f t="array" ref="AB1387">_xlfn.IFS(Y1387&lt;DATE(1996,1,1),"",Y1387&lt;DATE(1996,4,1),"Q1",Y1387&lt;DATE(1996,7,1),"Q2",Y1387&gt;=DATE(1996,7,1),"")</f>
        <v>Q1</v>
      </c>
    </row>
    <row r="1388" spans="1:28" ht="14.4" x14ac:dyDescent="0.55000000000000004">
      <c r="A1388" t="str">
        <f>VLOOKUP(L1388,Customers!$A$2:$B$92,2,FALSE)</f>
        <v>The Cracker Box</v>
      </c>
      <c r="B1388" t="str">
        <f>VLOOKUP(L1388,Customers!$A$2:$C$92,3,TRUE)</f>
        <v>Liu Wong</v>
      </c>
      <c r="C1388" t="str">
        <f t="shared" si="358"/>
        <v>Liu</v>
      </c>
      <c r="D1388" s="8" t="str">
        <f t="shared" si="359"/>
        <v>Wong</v>
      </c>
      <c r="E1388" s="8" t="str">
        <f t="shared" si="360"/>
        <v>Wong, Liu</v>
      </c>
      <c r="F1388" s="8" t="str">
        <f t="shared" si="361"/>
        <v>Wong, Liu</v>
      </c>
      <c r="G1388" s="8" t="str">
        <f t="shared" si="362"/>
        <v>not an outlier</v>
      </c>
      <c r="H1388" s="8" t="str">
        <f t="shared" si="363"/>
        <v>Not</v>
      </c>
      <c r="I1388" s="8" t="str">
        <f t="shared" si="373"/>
        <v>no</v>
      </c>
      <c r="J1388" s="10" t="str">
        <f t="shared" si="364"/>
        <v>no</v>
      </c>
      <c r="K1388" s="10" t="str">
        <f t="shared" si="365"/>
        <v>no</v>
      </c>
      <c r="L1388" t="s">
        <v>578</v>
      </c>
      <c r="M1388">
        <v>10775</v>
      </c>
      <c r="N1388">
        <v>10</v>
      </c>
      <c r="O1388" t="s">
        <v>724</v>
      </c>
      <c r="P1388" t="str">
        <f t="shared" si="366"/>
        <v>THECR_10775_Ikura</v>
      </c>
      <c r="Q1388" t="str">
        <f t="shared" si="367"/>
        <v>10775</v>
      </c>
      <c r="R1388" t="str">
        <f t="shared" si="368"/>
        <v>10775</v>
      </c>
      <c r="S1388" t="str">
        <f t="shared" si="369"/>
        <v>Ikura</v>
      </c>
      <c r="T1388">
        <v>31</v>
      </c>
      <c r="U1388">
        <v>6</v>
      </c>
      <c r="V1388">
        <v>0</v>
      </c>
      <c r="W1388">
        <f t="shared" si="370"/>
        <v>186</v>
      </c>
      <c r="X1388" t="str">
        <f t="shared" si="371"/>
        <v>yes</v>
      </c>
      <c r="Y1388" s="2">
        <v>35076</v>
      </c>
      <c r="Z1388" t="str">
        <f t="shared" si="357"/>
        <v>1st Q 1996</v>
      </c>
      <c r="AA1388" t="str">
        <f t="shared" si="372"/>
        <v>1st Q 1996</v>
      </c>
      <c r="AB1388" t="str" cm="1">
        <f t="array" ref="AB1388">_xlfn.IFS(Y1388&lt;DATE(1996,1,1),"",Y1388&lt;DATE(1996,4,1),"Q1",Y1388&lt;DATE(1996,7,1),"Q2",Y1388&gt;=DATE(1996,7,1),"")</f>
        <v>Q1</v>
      </c>
    </row>
    <row r="1389" spans="1:28" ht="14.4" x14ac:dyDescent="0.55000000000000004">
      <c r="A1389" t="str">
        <f>VLOOKUP(L1389,Customers!$A$2:$B$92,2,FALSE)</f>
        <v>The Cracker Box</v>
      </c>
      <c r="B1389" t="str">
        <f>VLOOKUP(L1389,Customers!$A$2:$C$92,3,TRUE)</f>
        <v>Liu Wong</v>
      </c>
      <c r="C1389" t="str">
        <f t="shared" si="358"/>
        <v>Liu</v>
      </c>
      <c r="D1389" s="8" t="str">
        <f t="shared" si="359"/>
        <v>Wong</v>
      </c>
      <c r="E1389" s="8" t="str">
        <f t="shared" si="360"/>
        <v>Wong, Liu</v>
      </c>
      <c r="F1389" s="8" t="str">
        <f t="shared" si="361"/>
        <v>Wong, Liu</v>
      </c>
      <c r="G1389" s="8" t="str">
        <f t="shared" si="362"/>
        <v>not an outlier</v>
      </c>
      <c r="H1389" s="8" t="str">
        <f t="shared" si="363"/>
        <v>Not</v>
      </c>
      <c r="I1389" s="8" t="str">
        <f t="shared" si="373"/>
        <v>no</v>
      </c>
      <c r="J1389" s="10" t="str">
        <f t="shared" si="364"/>
        <v>no</v>
      </c>
      <c r="K1389" s="10" t="str">
        <f t="shared" si="365"/>
        <v>no</v>
      </c>
      <c r="L1389" t="s">
        <v>578</v>
      </c>
      <c r="M1389">
        <v>10775</v>
      </c>
      <c r="N1389">
        <v>67</v>
      </c>
      <c r="O1389" t="s">
        <v>734</v>
      </c>
      <c r="P1389" t="str">
        <f t="shared" si="366"/>
        <v>THECR_10775_Laughing Lumberjack Lager</v>
      </c>
      <c r="Q1389" t="str">
        <f t="shared" si="367"/>
        <v>10775</v>
      </c>
      <c r="R1389" t="str">
        <f t="shared" si="368"/>
        <v>10775</v>
      </c>
      <c r="S1389" t="str">
        <f t="shared" si="369"/>
        <v>Laughing Lumberjack Lager</v>
      </c>
      <c r="T1389">
        <v>14</v>
      </c>
      <c r="U1389">
        <v>3</v>
      </c>
      <c r="V1389">
        <v>0</v>
      </c>
      <c r="W1389">
        <f t="shared" si="370"/>
        <v>42</v>
      </c>
      <c r="X1389" t="str">
        <f t="shared" si="371"/>
        <v>yes</v>
      </c>
      <c r="Y1389" s="2">
        <v>35076</v>
      </c>
      <c r="Z1389" t="str">
        <f t="shared" si="357"/>
        <v>1st Q 1996</v>
      </c>
      <c r="AA1389" t="str">
        <f t="shared" si="372"/>
        <v>1st Q 1996</v>
      </c>
      <c r="AB1389" t="str" cm="1">
        <f t="array" ref="AB1389">_xlfn.IFS(Y1389&lt;DATE(1996,1,1),"",Y1389&lt;DATE(1996,4,1),"Q1",Y1389&lt;DATE(1996,7,1),"Q2",Y1389&gt;=DATE(1996,7,1),"")</f>
        <v>Q1</v>
      </c>
    </row>
    <row r="1390" spans="1:28" ht="14.4" x14ac:dyDescent="0.55000000000000004">
      <c r="A1390" t="str">
        <f>VLOOKUP(L1390,Customers!$A$2:$B$92,2,FALSE)</f>
        <v>Ernst Handel</v>
      </c>
      <c r="B1390" t="str">
        <f>VLOOKUP(L1390,Customers!$A$2:$C$92,3,TRUE)</f>
        <v>Roland Mendel</v>
      </c>
      <c r="C1390" t="str">
        <f t="shared" si="358"/>
        <v>Roland</v>
      </c>
      <c r="D1390" s="8" t="str">
        <f t="shared" si="359"/>
        <v>Mendel</v>
      </c>
      <c r="E1390" s="8" t="str">
        <f t="shared" si="360"/>
        <v>Mendel, Roland</v>
      </c>
      <c r="F1390" s="8" t="str">
        <f t="shared" si="361"/>
        <v>Mendel, Roland</v>
      </c>
      <c r="G1390" s="8" t="str">
        <f t="shared" si="362"/>
        <v>not an outlier</v>
      </c>
      <c r="H1390" s="8" t="str">
        <f t="shared" si="363"/>
        <v>Not</v>
      </c>
      <c r="I1390" s="8" t="str">
        <f t="shared" si="373"/>
        <v>no</v>
      </c>
      <c r="J1390" s="10" t="str">
        <f t="shared" si="364"/>
        <v>no</v>
      </c>
      <c r="K1390" s="10" t="str">
        <f t="shared" si="365"/>
        <v>no</v>
      </c>
      <c r="L1390" t="s">
        <v>161</v>
      </c>
      <c r="M1390">
        <v>10776</v>
      </c>
      <c r="N1390">
        <v>31</v>
      </c>
      <c r="O1390" t="s">
        <v>695</v>
      </c>
      <c r="P1390" t="str">
        <f t="shared" si="366"/>
        <v>ERNSH_10776_Gorgonzola Telino</v>
      </c>
      <c r="Q1390" t="str">
        <f t="shared" si="367"/>
        <v>10776</v>
      </c>
      <c r="R1390" t="str">
        <f t="shared" si="368"/>
        <v>10776</v>
      </c>
      <c r="S1390" t="str">
        <f t="shared" si="369"/>
        <v>Gorgonzola Telino</v>
      </c>
      <c r="T1390">
        <v>12.5</v>
      </c>
      <c r="U1390">
        <v>16</v>
      </c>
      <c r="V1390">
        <v>0.05</v>
      </c>
      <c r="W1390">
        <f t="shared" si="370"/>
        <v>190</v>
      </c>
      <c r="X1390" t="str">
        <f t="shared" si="371"/>
        <v>yes</v>
      </c>
      <c r="Y1390" s="2">
        <v>35079</v>
      </c>
      <c r="Z1390" t="str">
        <f t="shared" si="357"/>
        <v>1st Q 1996</v>
      </c>
      <c r="AA1390" t="str">
        <f t="shared" si="372"/>
        <v>1st Q 1996</v>
      </c>
      <c r="AB1390" t="str" cm="1">
        <f t="array" ref="AB1390">_xlfn.IFS(Y1390&lt;DATE(1996,1,1),"",Y1390&lt;DATE(1996,4,1),"Q1",Y1390&lt;DATE(1996,7,1),"Q2",Y1390&gt;=DATE(1996,7,1),"")</f>
        <v>Q1</v>
      </c>
    </row>
    <row r="1391" spans="1:28" ht="14.4" x14ac:dyDescent="0.55000000000000004">
      <c r="A1391" t="str">
        <f>VLOOKUP(L1391,Customers!$A$2:$B$92,2,FALSE)</f>
        <v>Ernst Handel</v>
      </c>
      <c r="B1391" t="str">
        <f>VLOOKUP(L1391,Customers!$A$2:$C$92,3,TRUE)</f>
        <v>Roland Mendel</v>
      </c>
      <c r="C1391" t="str">
        <f t="shared" si="358"/>
        <v>Roland</v>
      </c>
      <c r="D1391" s="8" t="str">
        <f t="shared" si="359"/>
        <v>Mendel</v>
      </c>
      <c r="E1391" s="8" t="str">
        <f t="shared" si="360"/>
        <v>Mendel, Roland</v>
      </c>
      <c r="F1391" s="8" t="str">
        <f t="shared" si="361"/>
        <v>Mendel, Roland</v>
      </c>
      <c r="G1391" s="8" t="str">
        <f t="shared" si="362"/>
        <v>not an outlier</v>
      </c>
      <c r="H1391" s="8" t="str">
        <f t="shared" si="363"/>
        <v>Not</v>
      </c>
      <c r="I1391" s="8" t="str">
        <f t="shared" si="373"/>
        <v>no</v>
      </c>
      <c r="J1391" s="10" t="str">
        <f t="shared" si="364"/>
        <v>no</v>
      </c>
      <c r="K1391" s="10" t="str">
        <f t="shared" si="365"/>
        <v>no</v>
      </c>
      <c r="L1391" t="s">
        <v>161</v>
      </c>
      <c r="M1391">
        <v>10776</v>
      </c>
      <c r="N1391">
        <v>42</v>
      </c>
      <c r="O1391" t="s">
        <v>684</v>
      </c>
      <c r="P1391" t="str">
        <f t="shared" si="366"/>
        <v>ERNSH_10776_Singaporean Hokkien Fried Mee</v>
      </c>
      <c r="Q1391" t="str">
        <f t="shared" si="367"/>
        <v>10776</v>
      </c>
      <c r="R1391" t="str">
        <f t="shared" si="368"/>
        <v>10776</v>
      </c>
      <c r="S1391" t="str">
        <f t="shared" si="369"/>
        <v>Singaporean Hokkien Fried Mee</v>
      </c>
      <c r="T1391">
        <v>14</v>
      </c>
      <c r="U1391">
        <v>12</v>
      </c>
      <c r="V1391">
        <v>0.05</v>
      </c>
      <c r="W1391">
        <f t="shared" si="370"/>
        <v>159.6</v>
      </c>
      <c r="X1391" t="str">
        <f t="shared" si="371"/>
        <v>yes</v>
      </c>
      <c r="Y1391" s="2">
        <v>35079</v>
      </c>
      <c r="Z1391" t="str">
        <f t="shared" si="357"/>
        <v>1st Q 1996</v>
      </c>
      <c r="AA1391" t="str">
        <f t="shared" si="372"/>
        <v>1st Q 1996</v>
      </c>
      <c r="AB1391" t="str" cm="1">
        <f t="array" ref="AB1391">_xlfn.IFS(Y1391&lt;DATE(1996,1,1),"",Y1391&lt;DATE(1996,4,1),"Q1",Y1391&lt;DATE(1996,7,1),"Q2",Y1391&gt;=DATE(1996,7,1),"")</f>
        <v>Q1</v>
      </c>
    </row>
    <row r="1392" spans="1:28" ht="14.4" x14ac:dyDescent="0.55000000000000004">
      <c r="A1392" t="str">
        <f>VLOOKUP(L1392,Customers!$A$2:$B$92,2,FALSE)</f>
        <v>Ernst Handel</v>
      </c>
      <c r="B1392" t="str">
        <f>VLOOKUP(L1392,Customers!$A$2:$C$92,3,TRUE)</f>
        <v>Roland Mendel</v>
      </c>
      <c r="C1392" t="str">
        <f t="shared" si="358"/>
        <v>Roland</v>
      </c>
      <c r="D1392" s="8" t="str">
        <f t="shared" si="359"/>
        <v>Mendel</v>
      </c>
      <c r="E1392" s="8" t="str">
        <f t="shared" si="360"/>
        <v>Mendel, Roland</v>
      </c>
      <c r="F1392" s="8" t="str">
        <f t="shared" si="361"/>
        <v>Mendel, Roland</v>
      </c>
      <c r="G1392" s="8" t="str">
        <f t="shared" si="362"/>
        <v>not an outlier</v>
      </c>
      <c r="H1392" s="8" t="str">
        <f t="shared" si="363"/>
        <v>Not</v>
      </c>
      <c r="I1392" s="8" t="str">
        <f t="shared" si="373"/>
        <v>no</v>
      </c>
      <c r="J1392" s="10" t="str">
        <f t="shared" si="364"/>
        <v>no</v>
      </c>
      <c r="K1392" s="10" t="str">
        <f t="shared" si="365"/>
        <v>no</v>
      </c>
      <c r="L1392" t="s">
        <v>161</v>
      </c>
      <c r="M1392">
        <v>10776</v>
      </c>
      <c r="N1392">
        <v>45</v>
      </c>
      <c r="O1392" t="s">
        <v>756</v>
      </c>
      <c r="P1392" t="str">
        <f t="shared" si="366"/>
        <v>ERNSH_10776_Røgede sild</v>
      </c>
      <c r="Q1392" t="str">
        <f t="shared" si="367"/>
        <v>10776</v>
      </c>
      <c r="R1392" t="str">
        <f t="shared" si="368"/>
        <v>10776</v>
      </c>
      <c r="S1392" t="str">
        <f t="shared" si="369"/>
        <v>Røgede sild</v>
      </c>
      <c r="T1392">
        <v>9.5</v>
      </c>
      <c r="U1392">
        <v>27</v>
      </c>
      <c r="V1392">
        <v>0.05</v>
      </c>
      <c r="W1392">
        <f t="shared" si="370"/>
        <v>243.67499999999998</v>
      </c>
      <c r="X1392" t="str">
        <f t="shared" si="371"/>
        <v>yes</v>
      </c>
      <c r="Y1392" s="2">
        <v>35079</v>
      </c>
      <c r="Z1392" t="str">
        <f t="shared" si="357"/>
        <v>1st Q 1996</v>
      </c>
      <c r="AA1392" t="str">
        <f t="shared" si="372"/>
        <v>1st Q 1996</v>
      </c>
      <c r="AB1392" t="str" cm="1">
        <f t="array" ref="AB1392">_xlfn.IFS(Y1392&lt;DATE(1996,1,1),"",Y1392&lt;DATE(1996,4,1),"Q1",Y1392&lt;DATE(1996,7,1),"Q2",Y1392&gt;=DATE(1996,7,1),"")</f>
        <v>Q1</v>
      </c>
    </row>
    <row r="1393" spans="1:28" ht="14.4" x14ac:dyDescent="0.55000000000000004">
      <c r="A1393" t="str">
        <f>VLOOKUP(L1393,Customers!$A$2:$B$92,2,FALSE)</f>
        <v>Ernst Handel</v>
      </c>
      <c r="B1393" t="str">
        <f>VLOOKUP(L1393,Customers!$A$2:$C$92,3,TRUE)</f>
        <v>Roland Mendel</v>
      </c>
      <c r="C1393" t="str">
        <f t="shared" si="358"/>
        <v>Roland</v>
      </c>
      <c r="D1393" s="8" t="str">
        <f t="shared" si="359"/>
        <v>Mendel</v>
      </c>
      <c r="E1393" s="8" t="str">
        <f t="shared" si="360"/>
        <v>Mendel, Roland</v>
      </c>
      <c r="F1393" s="8" t="str">
        <f t="shared" si="361"/>
        <v>Mendel, Roland</v>
      </c>
      <c r="G1393" s="8" t="str">
        <f t="shared" si="362"/>
        <v>outlier</v>
      </c>
      <c r="H1393" s="8" t="str">
        <f t="shared" si="363"/>
        <v>outlier</v>
      </c>
      <c r="I1393" s="8" t="str">
        <f t="shared" si="373"/>
        <v>yes</v>
      </c>
      <c r="J1393" s="10" t="str">
        <f t="shared" si="364"/>
        <v>yes</v>
      </c>
      <c r="K1393" s="10" t="str">
        <f t="shared" si="365"/>
        <v>yes</v>
      </c>
      <c r="L1393" t="s">
        <v>161</v>
      </c>
      <c r="M1393">
        <v>10776</v>
      </c>
      <c r="N1393">
        <v>51</v>
      </c>
      <c r="O1393" t="s">
        <v>687</v>
      </c>
      <c r="P1393" t="str">
        <f t="shared" si="366"/>
        <v>ERNSH_10776_Manjimup Dried Apples</v>
      </c>
      <c r="Q1393" t="str">
        <f t="shared" si="367"/>
        <v>10776</v>
      </c>
      <c r="R1393" t="str">
        <f t="shared" si="368"/>
        <v>10776</v>
      </c>
      <c r="S1393" t="str">
        <f t="shared" si="369"/>
        <v>Manjimup Dried Apples</v>
      </c>
      <c r="T1393">
        <v>53</v>
      </c>
      <c r="U1393">
        <v>120</v>
      </c>
      <c r="V1393">
        <v>0.05</v>
      </c>
      <c r="W1393">
        <f t="shared" si="370"/>
        <v>6042</v>
      </c>
      <c r="X1393" t="str">
        <f t="shared" si="371"/>
        <v>yes</v>
      </c>
      <c r="Y1393" s="2">
        <v>35079</v>
      </c>
      <c r="Z1393" t="str">
        <f t="shared" si="357"/>
        <v>1st Q 1996</v>
      </c>
      <c r="AA1393" t="str">
        <f t="shared" si="372"/>
        <v>1st Q 1996</v>
      </c>
      <c r="AB1393" t="str" cm="1">
        <f t="array" ref="AB1393">_xlfn.IFS(Y1393&lt;DATE(1996,1,1),"",Y1393&lt;DATE(1996,4,1),"Q1",Y1393&lt;DATE(1996,7,1),"Q2",Y1393&gt;=DATE(1996,7,1),"")</f>
        <v>Q1</v>
      </c>
    </row>
    <row r="1394" spans="1:28" ht="14.4" x14ac:dyDescent="0.55000000000000004">
      <c r="A1394" t="str">
        <f>VLOOKUP(L1394,Customers!$A$2:$B$92,2,FALSE)</f>
        <v>Gourmet Lanchonetes</v>
      </c>
      <c r="B1394" t="str">
        <f>VLOOKUP(L1394,Customers!$A$2:$C$92,3,TRUE)</f>
        <v>André Fonseca</v>
      </c>
      <c r="C1394" t="str">
        <f t="shared" si="358"/>
        <v>André</v>
      </c>
      <c r="D1394" s="8" t="str">
        <f t="shared" si="359"/>
        <v>Fonseca</v>
      </c>
      <c r="E1394" s="8" t="str">
        <f t="shared" si="360"/>
        <v>Fonseca, André</v>
      </c>
      <c r="F1394" s="8" t="str">
        <f t="shared" si="361"/>
        <v>Fonseca, André</v>
      </c>
      <c r="G1394" s="8" t="str">
        <f t="shared" si="362"/>
        <v>not an outlier</v>
      </c>
      <c r="H1394" s="8" t="str">
        <f t="shared" si="363"/>
        <v>Not</v>
      </c>
      <c r="I1394" s="8" t="str">
        <f t="shared" si="373"/>
        <v>no</v>
      </c>
      <c r="J1394" s="10" t="str">
        <f t="shared" si="364"/>
        <v>no</v>
      </c>
      <c r="K1394" s="10" t="str">
        <f t="shared" si="365"/>
        <v>no</v>
      </c>
      <c r="L1394" t="s">
        <v>240</v>
      </c>
      <c r="M1394">
        <v>10777</v>
      </c>
      <c r="N1394">
        <v>42</v>
      </c>
      <c r="O1394" t="s">
        <v>684</v>
      </c>
      <c r="P1394" t="str">
        <f t="shared" si="366"/>
        <v>GOURL_10777_Singaporean Hokkien Fried Mee</v>
      </c>
      <c r="Q1394" t="str">
        <f t="shared" si="367"/>
        <v>10777</v>
      </c>
      <c r="R1394" t="str">
        <f t="shared" si="368"/>
        <v>10777</v>
      </c>
      <c r="S1394" t="str">
        <f t="shared" si="369"/>
        <v>Singaporean Hokkien Fried Mee</v>
      </c>
      <c r="T1394">
        <v>14</v>
      </c>
      <c r="U1394">
        <v>20</v>
      </c>
      <c r="V1394">
        <v>0.2</v>
      </c>
      <c r="W1394">
        <f t="shared" si="370"/>
        <v>224</v>
      </c>
      <c r="X1394" t="str">
        <f t="shared" si="371"/>
        <v>yes</v>
      </c>
      <c r="Y1394" s="2">
        <v>35079</v>
      </c>
      <c r="Z1394" t="str">
        <f t="shared" si="357"/>
        <v>1st Q 1996</v>
      </c>
      <c r="AA1394" t="str">
        <f t="shared" si="372"/>
        <v>1st Q 1996</v>
      </c>
      <c r="AB1394" t="str" cm="1">
        <f t="array" ref="AB1394">_xlfn.IFS(Y1394&lt;DATE(1996,1,1),"",Y1394&lt;DATE(1996,4,1),"Q1",Y1394&lt;DATE(1996,7,1),"Q2",Y1394&gt;=DATE(1996,7,1),"")</f>
        <v>Q1</v>
      </c>
    </row>
    <row r="1395" spans="1:28" ht="14.4" x14ac:dyDescent="0.55000000000000004">
      <c r="A1395" t="str">
        <f>VLOOKUP(L1395,Customers!$A$2:$B$92,2,FALSE)</f>
        <v>Berglunds snabbköp</v>
      </c>
      <c r="B1395" t="str">
        <f>VLOOKUP(L1395,Customers!$A$2:$C$92,3,TRUE)</f>
        <v>Christina Berglund</v>
      </c>
      <c r="C1395" t="str">
        <f t="shared" si="358"/>
        <v>Christina</v>
      </c>
      <c r="D1395" s="8" t="str">
        <f t="shared" si="359"/>
        <v>Berglund</v>
      </c>
      <c r="E1395" s="8" t="str">
        <f t="shared" si="360"/>
        <v>Berglund, Christina</v>
      </c>
      <c r="F1395" s="8" t="str">
        <f t="shared" si="361"/>
        <v>Berglund, Christina</v>
      </c>
      <c r="G1395" s="8" t="str">
        <f t="shared" si="362"/>
        <v>not an outlier</v>
      </c>
      <c r="H1395" s="8" t="str">
        <f t="shared" si="363"/>
        <v>Not</v>
      </c>
      <c r="I1395" s="8" t="str">
        <f t="shared" si="373"/>
        <v>no</v>
      </c>
      <c r="J1395" s="10" t="str">
        <f t="shared" si="364"/>
        <v>no</v>
      </c>
      <c r="K1395" s="10" t="str">
        <f t="shared" si="365"/>
        <v>no</v>
      </c>
      <c r="L1395" t="s">
        <v>43</v>
      </c>
      <c r="M1395">
        <v>10778</v>
      </c>
      <c r="N1395">
        <v>41</v>
      </c>
      <c r="O1395" t="s">
        <v>688</v>
      </c>
      <c r="P1395" t="str">
        <f t="shared" si="366"/>
        <v>BERGS_10778_Jack's New England Clam Chowder</v>
      </c>
      <c r="Q1395" t="str">
        <f t="shared" si="367"/>
        <v>10778</v>
      </c>
      <c r="R1395" t="str">
        <f t="shared" si="368"/>
        <v>10778</v>
      </c>
      <c r="S1395" t="str">
        <f t="shared" si="369"/>
        <v>Jack's New England Clam Chowder</v>
      </c>
      <c r="T1395">
        <v>9.65</v>
      </c>
      <c r="U1395">
        <v>10</v>
      </c>
      <c r="V1395">
        <v>0</v>
      </c>
      <c r="W1395">
        <f t="shared" si="370"/>
        <v>96.5</v>
      </c>
      <c r="X1395" t="str">
        <f t="shared" si="371"/>
        <v>yes</v>
      </c>
      <c r="Y1395" s="2">
        <v>35080</v>
      </c>
      <c r="Z1395" t="str">
        <f t="shared" si="357"/>
        <v>1st Q 1996</v>
      </c>
      <c r="AA1395" t="str">
        <f t="shared" si="372"/>
        <v>1st Q 1996</v>
      </c>
      <c r="AB1395" t="str" cm="1">
        <f t="array" ref="AB1395">_xlfn.IFS(Y1395&lt;DATE(1996,1,1),"",Y1395&lt;DATE(1996,4,1),"Q1",Y1395&lt;DATE(1996,7,1),"Q2",Y1395&gt;=DATE(1996,7,1),"")</f>
        <v>Q1</v>
      </c>
    </row>
    <row r="1396" spans="1:28" ht="14.4" x14ac:dyDescent="0.55000000000000004">
      <c r="A1396" t="str">
        <f>VLOOKUP(L1396,Customers!$A$2:$B$92,2,FALSE)</f>
        <v>Morgenstern Gesundkost</v>
      </c>
      <c r="B1396" t="str">
        <f>VLOOKUP(L1396,Customers!$A$2:$C$92,3,TRUE)</f>
        <v>Alexander Feuer</v>
      </c>
      <c r="C1396" t="str">
        <f t="shared" si="358"/>
        <v>Alexander</v>
      </c>
      <c r="D1396" s="8" t="str">
        <f t="shared" si="359"/>
        <v>Feuer</v>
      </c>
      <c r="E1396" s="8" t="str">
        <f t="shared" si="360"/>
        <v>Feuer, Alexander</v>
      </c>
      <c r="F1396" s="8" t="str">
        <f t="shared" si="361"/>
        <v>Feuer, Alexander</v>
      </c>
      <c r="G1396" s="8" t="str">
        <f t="shared" si="362"/>
        <v>not an outlier</v>
      </c>
      <c r="H1396" s="8" t="str">
        <f t="shared" si="363"/>
        <v>Not</v>
      </c>
      <c r="I1396" s="8" t="str">
        <f t="shared" si="373"/>
        <v>no</v>
      </c>
      <c r="J1396" s="10" t="str">
        <f t="shared" si="364"/>
        <v>no</v>
      </c>
      <c r="K1396" s="10" t="str">
        <f t="shared" si="365"/>
        <v>no</v>
      </c>
      <c r="L1396" t="s">
        <v>403</v>
      </c>
      <c r="M1396">
        <v>10779</v>
      </c>
      <c r="N1396">
        <v>16</v>
      </c>
      <c r="O1396" t="s">
        <v>702</v>
      </c>
      <c r="P1396" t="str">
        <f t="shared" si="366"/>
        <v>MORGK_10779_Pavlova</v>
      </c>
      <c r="Q1396" t="str">
        <f t="shared" si="367"/>
        <v>10779</v>
      </c>
      <c r="R1396" t="str">
        <f t="shared" si="368"/>
        <v>10779</v>
      </c>
      <c r="S1396" t="str">
        <f t="shared" si="369"/>
        <v>Pavlova</v>
      </c>
      <c r="T1396">
        <v>17.45</v>
      </c>
      <c r="U1396">
        <v>20</v>
      </c>
      <c r="V1396">
        <v>0</v>
      </c>
      <c r="W1396">
        <f t="shared" si="370"/>
        <v>349</v>
      </c>
      <c r="X1396" t="str">
        <f t="shared" si="371"/>
        <v>yes</v>
      </c>
      <c r="Y1396" s="2">
        <v>35080</v>
      </c>
      <c r="Z1396" t="str">
        <f t="shared" si="357"/>
        <v>1st Q 1996</v>
      </c>
      <c r="AA1396" t="str">
        <f t="shared" si="372"/>
        <v>1st Q 1996</v>
      </c>
      <c r="AB1396" t="str" cm="1">
        <f t="array" ref="AB1396">_xlfn.IFS(Y1396&lt;DATE(1996,1,1),"",Y1396&lt;DATE(1996,4,1),"Q1",Y1396&lt;DATE(1996,7,1),"Q2",Y1396&gt;=DATE(1996,7,1),"")</f>
        <v>Q1</v>
      </c>
    </row>
    <row r="1397" spans="1:28" ht="14.4" x14ac:dyDescent="0.55000000000000004">
      <c r="A1397" t="str">
        <f>VLOOKUP(L1397,Customers!$A$2:$B$92,2,FALSE)</f>
        <v>Morgenstern Gesundkost</v>
      </c>
      <c r="B1397" t="str">
        <f>VLOOKUP(L1397,Customers!$A$2:$C$92,3,TRUE)</f>
        <v>Alexander Feuer</v>
      </c>
      <c r="C1397" t="str">
        <f t="shared" si="358"/>
        <v>Alexander</v>
      </c>
      <c r="D1397" s="8" t="str">
        <f t="shared" si="359"/>
        <v>Feuer</v>
      </c>
      <c r="E1397" s="8" t="str">
        <f t="shared" si="360"/>
        <v>Feuer, Alexander</v>
      </c>
      <c r="F1397" s="8" t="str">
        <f t="shared" si="361"/>
        <v>Feuer, Alexander</v>
      </c>
      <c r="G1397" s="8" t="str">
        <f t="shared" si="362"/>
        <v>not an outlier</v>
      </c>
      <c r="H1397" s="8" t="str">
        <f t="shared" si="363"/>
        <v>Not</v>
      </c>
      <c r="I1397" s="8" t="str">
        <f t="shared" si="373"/>
        <v>no</v>
      </c>
      <c r="J1397" s="10" t="str">
        <f t="shared" si="364"/>
        <v>no</v>
      </c>
      <c r="K1397" s="10" t="str">
        <f t="shared" si="365"/>
        <v>no</v>
      </c>
      <c r="L1397" t="s">
        <v>403</v>
      </c>
      <c r="M1397">
        <v>10779</v>
      </c>
      <c r="N1397">
        <v>62</v>
      </c>
      <c r="O1397" t="s">
        <v>712</v>
      </c>
      <c r="P1397" t="str">
        <f t="shared" si="366"/>
        <v>MORGK_10779_Tarte au sucre</v>
      </c>
      <c r="Q1397" t="str">
        <f t="shared" si="367"/>
        <v>10779</v>
      </c>
      <c r="R1397" t="str">
        <f t="shared" si="368"/>
        <v>10779</v>
      </c>
      <c r="S1397" t="str">
        <f t="shared" si="369"/>
        <v>Tarte au sucre</v>
      </c>
      <c r="T1397">
        <v>49.3</v>
      </c>
      <c r="U1397">
        <v>20</v>
      </c>
      <c r="V1397">
        <v>0</v>
      </c>
      <c r="W1397">
        <f t="shared" si="370"/>
        <v>986</v>
      </c>
      <c r="X1397" t="str">
        <f t="shared" si="371"/>
        <v>yes</v>
      </c>
      <c r="Y1397" s="2">
        <v>35080</v>
      </c>
      <c r="Z1397" t="str">
        <f t="shared" si="357"/>
        <v>1st Q 1996</v>
      </c>
      <c r="AA1397" t="str">
        <f t="shared" si="372"/>
        <v>1st Q 1996</v>
      </c>
      <c r="AB1397" t="str" cm="1">
        <f t="array" ref="AB1397">_xlfn.IFS(Y1397&lt;DATE(1996,1,1),"",Y1397&lt;DATE(1996,4,1),"Q1",Y1397&lt;DATE(1996,7,1),"Q2",Y1397&gt;=DATE(1996,7,1),"")</f>
        <v>Q1</v>
      </c>
    </row>
    <row r="1398" spans="1:28" ht="14.4" x14ac:dyDescent="0.55000000000000004">
      <c r="A1398" t="str">
        <f>VLOOKUP(L1398,Customers!$A$2:$B$92,2,FALSE)</f>
        <v>LILA-Supermercado</v>
      </c>
      <c r="B1398" t="str">
        <f>VLOOKUP(L1398,Customers!$A$2:$C$92,3,TRUE)</f>
        <v>Carlos González</v>
      </c>
      <c r="C1398" t="str">
        <f t="shared" si="358"/>
        <v>Carlos</v>
      </c>
      <c r="D1398" s="8" t="str">
        <f t="shared" si="359"/>
        <v>González</v>
      </c>
      <c r="E1398" s="8" t="str">
        <f t="shared" si="360"/>
        <v>González, Carlos</v>
      </c>
      <c r="F1398" s="8" t="str">
        <f t="shared" si="361"/>
        <v>González, Carlos</v>
      </c>
      <c r="G1398" s="8" t="str">
        <f t="shared" si="362"/>
        <v>not an outlier</v>
      </c>
      <c r="H1398" s="8" t="str">
        <f t="shared" si="363"/>
        <v>Not</v>
      </c>
      <c r="I1398" s="8" t="str">
        <f t="shared" si="373"/>
        <v>no</v>
      </c>
      <c r="J1398" s="10" t="str">
        <f t="shared" si="364"/>
        <v>no</v>
      </c>
      <c r="K1398" s="10" t="str">
        <f t="shared" si="365"/>
        <v>no</v>
      </c>
      <c r="L1398" t="s">
        <v>355</v>
      </c>
      <c r="M1398">
        <v>10780</v>
      </c>
      <c r="N1398">
        <v>70</v>
      </c>
      <c r="O1398" t="s">
        <v>713</v>
      </c>
      <c r="P1398" t="str">
        <f t="shared" si="366"/>
        <v>LILAS_10780_Outback Lager</v>
      </c>
      <c r="Q1398" t="str">
        <f t="shared" si="367"/>
        <v>10780</v>
      </c>
      <c r="R1398" t="str">
        <f t="shared" si="368"/>
        <v>10780</v>
      </c>
      <c r="S1398" t="str">
        <f t="shared" si="369"/>
        <v>Outback Lager</v>
      </c>
      <c r="T1398">
        <v>15</v>
      </c>
      <c r="U1398">
        <v>35</v>
      </c>
      <c r="V1398">
        <v>0</v>
      </c>
      <c r="W1398">
        <f t="shared" si="370"/>
        <v>525</v>
      </c>
      <c r="X1398" t="str">
        <f t="shared" si="371"/>
        <v>yes</v>
      </c>
      <c r="Y1398" s="2">
        <v>35080</v>
      </c>
      <c r="Z1398" t="str">
        <f t="shared" si="357"/>
        <v>1st Q 1996</v>
      </c>
      <c r="AA1398" t="str">
        <f t="shared" si="372"/>
        <v>1st Q 1996</v>
      </c>
      <c r="AB1398" t="str" cm="1">
        <f t="array" ref="AB1398">_xlfn.IFS(Y1398&lt;DATE(1996,1,1),"",Y1398&lt;DATE(1996,4,1),"Q1",Y1398&lt;DATE(1996,7,1),"Q2",Y1398&gt;=DATE(1996,7,1),"")</f>
        <v>Q1</v>
      </c>
    </row>
    <row r="1399" spans="1:28" ht="14.4" x14ac:dyDescent="0.55000000000000004">
      <c r="A1399" t="str">
        <f>VLOOKUP(L1399,Customers!$A$2:$B$92,2,FALSE)</f>
        <v>LILA-Supermercado</v>
      </c>
      <c r="B1399" t="str">
        <f>VLOOKUP(L1399,Customers!$A$2:$C$92,3,TRUE)</f>
        <v>Carlos González</v>
      </c>
      <c r="C1399" t="str">
        <f t="shared" si="358"/>
        <v>Carlos</v>
      </c>
      <c r="D1399" s="8" t="str">
        <f t="shared" si="359"/>
        <v>González</v>
      </c>
      <c r="E1399" s="8" t="str">
        <f t="shared" si="360"/>
        <v>González, Carlos</v>
      </c>
      <c r="F1399" s="8" t="str">
        <f t="shared" si="361"/>
        <v>González, Carlos</v>
      </c>
      <c r="G1399" s="8" t="str">
        <f t="shared" si="362"/>
        <v>not an outlier</v>
      </c>
      <c r="H1399" s="8" t="str">
        <f t="shared" si="363"/>
        <v>Not</v>
      </c>
      <c r="I1399" s="8" t="str">
        <f t="shared" si="373"/>
        <v>no</v>
      </c>
      <c r="J1399" s="10" t="str">
        <f t="shared" si="364"/>
        <v>no</v>
      </c>
      <c r="K1399" s="10" t="str">
        <f t="shared" si="365"/>
        <v>no</v>
      </c>
      <c r="L1399" t="s">
        <v>355</v>
      </c>
      <c r="M1399">
        <v>10780</v>
      </c>
      <c r="N1399">
        <v>77</v>
      </c>
      <c r="O1399" t="s">
        <v>706</v>
      </c>
      <c r="P1399" t="str">
        <f t="shared" si="366"/>
        <v>LILAS_10780_Original Frankfurter grüne Soße</v>
      </c>
      <c r="Q1399" t="str">
        <f t="shared" si="367"/>
        <v>10780</v>
      </c>
      <c r="R1399" t="str">
        <f t="shared" si="368"/>
        <v>10780</v>
      </c>
      <c r="S1399" t="str">
        <f t="shared" si="369"/>
        <v>Original Frankfurter grüne Soße</v>
      </c>
      <c r="T1399">
        <v>13</v>
      </c>
      <c r="U1399">
        <v>15</v>
      </c>
      <c r="V1399">
        <v>0</v>
      </c>
      <c r="W1399">
        <f t="shared" si="370"/>
        <v>195</v>
      </c>
      <c r="X1399" t="str">
        <f t="shared" si="371"/>
        <v>yes</v>
      </c>
      <c r="Y1399" s="2">
        <v>35080</v>
      </c>
      <c r="Z1399" t="str">
        <f t="shared" si="357"/>
        <v>1st Q 1996</v>
      </c>
      <c r="AA1399" t="str">
        <f t="shared" si="372"/>
        <v>1st Q 1996</v>
      </c>
      <c r="AB1399" t="str" cm="1">
        <f t="array" ref="AB1399">_xlfn.IFS(Y1399&lt;DATE(1996,1,1),"",Y1399&lt;DATE(1996,4,1),"Q1",Y1399&lt;DATE(1996,7,1),"Q2",Y1399&gt;=DATE(1996,7,1),"")</f>
        <v>Q1</v>
      </c>
    </row>
    <row r="1400" spans="1:28" ht="14.4" x14ac:dyDescent="0.55000000000000004">
      <c r="A1400" t="str">
        <f>VLOOKUP(L1400,Customers!$A$2:$B$92,2,FALSE)</f>
        <v>Wartian Herkku</v>
      </c>
      <c r="B1400" t="str">
        <f>VLOOKUP(L1400,Customers!$A$2:$C$92,3,TRUE)</f>
        <v>Pirkko Koskitalo</v>
      </c>
      <c r="C1400" t="str">
        <f t="shared" si="358"/>
        <v>Pirkko</v>
      </c>
      <c r="D1400" s="8" t="str">
        <f t="shared" si="359"/>
        <v>Koskitalo</v>
      </c>
      <c r="E1400" s="8" t="str">
        <f t="shared" si="360"/>
        <v>Koskitalo, Pirkko</v>
      </c>
      <c r="F1400" s="8" t="str">
        <f t="shared" si="361"/>
        <v>Koskitalo, Pirkko</v>
      </c>
      <c r="G1400" s="8" t="str">
        <f t="shared" si="362"/>
        <v>not an outlier</v>
      </c>
      <c r="H1400" s="8" t="str">
        <f t="shared" si="363"/>
        <v>Not</v>
      </c>
      <c r="I1400" s="8" t="str">
        <f t="shared" si="373"/>
        <v>no</v>
      </c>
      <c r="J1400" s="10" t="str">
        <f t="shared" si="364"/>
        <v>no</v>
      </c>
      <c r="K1400" s="10" t="str">
        <f t="shared" si="365"/>
        <v>no</v>
      </c>
      <c r="L1400" t="s">
        <v>640</v>
      </c>
      <c r="M1400">
        <v>10781</v>
      </c>
      <c r="N1400">
        <v>54</v>
      </c>
      <c r="O1400" t="s">
        <v>738</v>
      </c>
      <c r="P1400" t="str">
        <f t="shared" si="366"/>
        <v>WARTH_10781_Tourtière</v>
      </c>
      <c r="Q1400" t="str">
        <f t="shared" si="367"/>
        <v>10781</v>
      </c>
      <c r="R1400" t="str">
        <f t="shared" si="368"/>
        <v>10781</v>
      </c>
      <c r="S1400" t="str">
        <f t="shared" si="369"/>
        <v>Tourtière</v>
      </c>
      <c r="T1400">
        <v>7.45</v>
      </c>
      <c r="U1400">
        <v>3</v>
      </c>
      <c r="V1400">
        <v>0.2</v>
      </c>
      <c r="W1400">
        <f t="shared" si="370"/>
        <v>17.880000000000003</v>
      </c>
      <c r="X1400" t="str">
        <f t="shared" si="371"/>
        <v>yes</v>
      </c>
      <c r="Y1400" s="2">
        <v>35081</v>
      </c>
      <c r="Z1400" t="str">
        <f t="shared" si="357"/>
        <v>1st Q 1996</v>
      </c>
      <c r="AA1400" t="str">
        <f t="shared" si="372"/>
        <v>1st Q 1996</v>
      </c>
      <c r="AB1400" t="str" cm="1">
        <f t="array" ref="AB1400">_xlfn.IFS(Y1400&lt;DATE(1996,1,1),"",Y1400&lt;DATE(1996,4,1),"Q1",Y1400&lt;DATE(1996,7,1),"Q2",Y1400&gt;=DATE(1996,7,1),"")</f>
        <v>Q1</v>
      </c>
    </row>
    <row r="1401" spans="1:28" ht="14.4" x14ac:dyDescent="0.55000000000000004">
      <c r="A1401" t="str">
        <f>VLOOKUP(L1401,Customers!$A$2:$B$92,2,FALSE)</f>
        <v>Wartian Herkku</v>
      </c>
      <c r="B1401" t="str">
        <f>VLOOKUP(L1401,Customers!$A$2:$C$92,3,TRUE)</f>
        <v>Pirkko Koskitalo</v>
      </c>
      <c r="C1401" t="str">
        <f t="shared" si="358"/>
        <v>Pirkko</v>
      </c>
      <c r="D1401" s="8" t="str">
        <f t="shared" si="359"/>
        <v>Koskitalo</v>
      </c>
      <c r="E1401" s="8" t="str">
        <f t="shared" si="360"/>
        <v>Koskitalo, Pirkko</v>
      </c>
      <c r="F1401" s="8" t="str">
        <f t="shared" si="361"/>
        <v>Koskitalo, Pirkko</v>
      </c>
      <c r="G1401" s="8" t="str">
        <f t="shared" si="362"/>
        <v>not an outlier</v>
      </c>
      <c r="H1401" s="8" t="str">
        <f t="shared" si="363"/>
        <v>Not</v>
      </c>
      <c r="I1401" s="8" t="str">
        <f t="shared" si="373"/>
        <v>no</v>
      </c>
      <c r="J1401" s="10" t="str">
        <f t="shared" si="364"/>
        <v>no</v>
      </c>
      <c r="K1401" s="10" t="str">
        <f t="shared" si="365"/>
        <v>no</v>
      </c>
      <c r="L1401" t="s">
        <v>640</v>
      </c>
      <c r="M1401">
        <v>10781</v>
      </c>
      <c r="N1401">
        <v>56</v>
      </c>
      <c r="O1401" t="s">
        <v>716</v>
      </c>
      <c r="P1401" t="str">
        <f t="shared" si="366"/>
        <v>WARTH_10781_Gnocchi di nonna Alice</v>
      </c>
      <c r="Q1401" t="str">
        <f t="shared" si="367"/>
        <v>10781</v>
      </c>
      <c r="R1401" t="str">
        <f t="shared" si="368"/>
        <v>10781</v>
      </c>
      <c r="S1401" t="str">
        <f t="shared" si="369"/>
        <v>Gnocchi di nonna Alice</v>
      </c>
      <c r="T1401">
        <v>38</v>
      </c>
      <c r="U1401">
        <v>20</v>
      </c>
      <c r="V1401">
        <v>0.2</v>
      </c>
      <c r="W1401">
        <f t="shared" si="370"/>
        <v>608</v>
      </c>
      <c r="X1401" t="str">
        <f t="shared" si="371"/>
        <v>yes</v>
      </c>
      <c r="Y1401" s="2">
        <v>35081</v>
      </c>
      <c r="Z1401" t="str">
        <f t="shared" si="357"/>
        <v>1st Q 1996</v>
      </c>
      <c r="AA1401" t="str">
        <f t="shared" si="372"/>
        <v>1st Q 1996</v>
      </c>
      <c r="AB1401" t="str" cm="1">
        <f t="array" ref="AB1401">_xlfn.IFS(Y1401&lt;DATE(1996,1,1),"",Y1401&lt;DATE(1996,4,1),"Q1",Y1401&lt;DATE(1996,7,1),"Q2",Y1401&gt;=DATE(1996,7,1),"")</f>
        <v>Q1</v>
      </c>
    </row>
    <row r="1402" spans="1:28" ht="14.4" x14ac:dyDescent="0.55000000000000004">
      <c r="A1402" t="str">
        <f>VLOOKUP(L1402,Customers!$A$2:$B$92,2,FALSE)</f>
        <v>Wartian Herkku</v>
      </c>
      <c r="B1402" t="str">
        <f>VLOOKUP(L1402,Customers!$A$2:$C$92,3,TRUE)</f>
        <v>Pirkko Koskitalo</v>
      </c>
      <c r="C1402" t="str">
        <f t="shared" si="358"/>
        <v>Pirkko</v>
      </c>
      <c r="D1402" s="8" t="str">
        <f t="shared" si="359"/>
        <v>Koskitalo</v>
      </c>
      <c r="E1402" s="8" t="str">
        <f t="shared" si="360"/>
        <v>Koskitalo, Pirkko</v>
      </c>
      <c r="F1402" s="8" t="str">
        <f t="shared" si="361"/>
        <v>Koskitalo, Pirkko</v>
      </c>
      <c r="G1402" s="8" t="str">
        <f t="shared" si="362"/>
        <v>not an outlier</v>
      </c>
      <c r="H1402" s="8" t="str">
        <f t="shared" si="363"/>
        <v>Not</v>
      </c>
      <c r="I1402" s="8" t="str">
        <f t="shared" si="373"/>
        <v>no</v>
      </c>
      <c r="J1402" s="10" t="str">
        <f t="shared" si="364"/>
        <v>no</v>
      </c>
      <c r="K1402" s="10" t="str">
        <f t="shared" si="365"/>
        <v>no</v>
      </c>
      <c r="L1402" t="s">
        <v>640</v>
      </c>
      <c r="M1402">
        <v>10781</v>
      </c>
      <c r="N1402">
        <v>74</v>
      </c>
      <c r="O1402" t="s">
        <v>700</v>
      </c>
      <c r="P1402" t="str">
        <f t="shared" si="366"/>
        <v>WARTH_10781_Longlife Tofu</v>
      </c>
      <c r="Q1402" t="str">
        <f t="shared" si="367"/>
        <v>10781</v>
      </c>
      <c r="R1402" t="str">
        <f t="shared" si="368"/>
        <v>10781</v>
      </c>
      <c r="S1402" t="str">
        <f t="shared" si="369"/>
        <v>Longlife Tofu</v>
      </c>
      <c r="T1402">
        <v>10</v>
      </c>
      <c r="U1402">
        <v>35</v>
      </c>
      <c r="V1402">
        <v>0</v>
      </c>
      <c r="W1402">
        <f t="shared" si="370"/>
        <v>350</v>
      </c>
      <c r="X1402" t="str">
        <f t="shared" si="371"/>
        <v>yes</v>
      </c>
      <c r="Y1402" s="2">
        <v>35081</v>
      </c>
      <c r="Z1402" t="str">
        <f t="shared" si="357"/>
        <v>1st Q 1996</v>
      </c>
      <c r="AA1402" t="str">
        <f t="shared" si="372"/>
        <v>1st Q 1996</v>
      </c>
      <c r="AB1402" t="str" cm="1">
        <f t="array" ref="AB1402">_xlfn.IFS(Y1402&lt;DATE(1996,1,1),"",Y1402&lt;DATE(1996,4,1),"Q1",Y1402&lt;DATE(1996,7,1),"Q2",Y1402&gt;=DATE(1996,7,1),"")</f>
        <v>Q1</v>
      </c>
    </row>
    <row r="1403" spans="1:28" ht="14.4" x14ac:dyDescent="0.55000000000000004">
      <c r="A1403" t="str">
        <f>VLOOKUP(L1403,Customers!$A$2:$B$92,2,FALSE)</f>
        <v>Cactus Comidas para llevar</v>
      </c>
      <c r="B1403" t="str">
        <f>VLOOKUP(L1403,Customers!$A$2:$C$92,3,TRUE)</f>
        <v>Patricio Simpson</v>
      </c>
      <c r="C1403" t="str">
        <f t="shared" si="358"/>
        <v>Patricio</v>
      </c>
      <c r="D1403" s="8" t="str">
        <f t="shared" si="359"/>
        <v>Simpson</v>
      </c>
      <c r="E1403" s="8" t="str">
        <f t="shared" si="360"/>
        <v>Simpson, Patricio</v>
      </c>
      <c r="F1403" s="8" t="str">
        <f t="shared" si="361"/>
        <v>Simpson, Patricio</v>
      </c>
      <c r="G1403" s="8" t="str">
        <f t="shared" si="362"/>
        <v>not an outlier</v>
      </c>
      <c r="H1403" s="8" t="str">
        <f t="shared" si="363"/>
        <v>Not</v>
      </c>
      <c r="I1403" s="8" t="str">
        <f t="shared" si="373"/>
        <v>no</v>
      </c>
      <c r="J1403" s="10" t="str">
        <f t="shared" si="364"/>
        <v>no</v>
      </c>
      <c r="K1403" s="10" t="str">
        <f t="shared" si="365"/>
        <v>no</v>
      </c>
      <c r="L1403" t="s">
        <v>101</v>
      </c>
      <c r="M1403">
        <v>10782</v>
      </c>
      <c r="N1403">
        <v>31</v>
      </c>
      <c r="O1403" t="s">
        <v>695</v>
      </c>
      <c r="P1403" t="str">
        <f t="shared" si="366"/>
        <v>CACTU_10782_Gorgonzola Telino</v>
      </c>
      <c r="Q1403" t="str">
        <f t="shared" si="367"/>
        <v>10782</v>
      </c>
      <c r="R1403" t="str">
        <f t="shared" si="368"/>
        <v>10782</v>
      </c>
      <c r="S1403" t="str">
        <f t="shared" si="369"/>
        <v>Gorgonzola Telino</v>
      </c>
      <c r="T1403">
        <v>12.5</v>
      </c>
      <c r="U1403">
        <v>1</v>
      </c>
      <c r="V1403">
        <v>0</v>
      </c>
      <c r="W1403">
        <f t="shared" si="370"/>
        <v>12.5</v>
      </c>
      <c r="X1403" t="str">
        <f t="shared" si="371"/>
        <v>yes</v>
      </c>
      <c r="Y1403" s="2">
        <v>35081</v>
      </c>
      <c r="Z1403" t="str">
        <f t="shared" si="357"/>
        <v>1st Q 1996</v>
      </c>
      <c r="AA1403" t="str">
        <f t="shared" si="372"/>
        <v>1st Q 1996</v>
      </c>
      <c r="AB1403" t="str" cm="1">
        <f t="array" ref="AB1403">_xlfn.IFS(Y1403&lt;DATE(1996,1,1),"",Y1403&lt;DATE(1996,4,1),"Q1",Y1403&lt;DATE(1996,7,1),"Q2",Y1403&gt;=DATE(1996,7,1),"")</f>
        <v>Q1</v>
      </c>
    </row>
    <row r="1404" spans="1:28" ht="14.4" x14ac:dyDescent="0.55000000000000004">
      <c r="A1404" t="str">
        <f>VLOOKUP(L1404,Customers!$A$2:$B$92,2,FALSE)</f>
        <v>Hanari Carnes</v>
      </c>
      <c r="B1404" t="str">
        <f>VLOOKUP(L1404,Customers!$A$2:$C$92,3,TRUE)</f>
        <v>Mario Pontes</v>
      </c>
      <c r="C1404" t="str">
        <f t="shared" si="358"/>
        <v>Mario</v>
      </c>
      <c r="D1404" s="8" t="str">
        <f t="shared" si="359"/>
        <v>Pontes</v>
      </c>
      <c r="E1404" s="8" t="str">
        <f t="shared" si="360"/>
        <v>Pontes, Mario</v>
      </c>
      <c r="F1404" s="8" t="str">
        <f t="shared" si="361"/>
        <v>Pontes, Mario</v>
      </c>
      <c r="G1404" s="8" t="str">
        <f t="shared" si="362"/>
        <v>not an outlier</v>
      </c>
      <c r="H1404" s="8" t="str">
        <f t="shared" si="363"/>
        <v>Not</v>
      </c>
      <c r="I1404" s="8" t="str">
        <f t="shared" si="373"/>
        <v>no</v>
      </c>
      <c r="J1404" s="10" t="str">
        <f t="shared" si="364"/>
        <v>no</v>
      </c>
      <c r="K1404" s="10" t="str">
        <f t="shared" si="365"/>
        <v>no</v>
      </c>
      <c r="L1404" t="s">
        <v>264</v>
      </c>
      <c r="M1404">
        <v>10783</v>
      </c>
      <c r="N1404">
        <v>31</v>
      </c>
      <c r="O1404" t="s">
        <v>695</v>
      </c>
      <c r="P1404" t="str">
        <f t="shared" si="366"/>
        <v>HANAR_10783_Gorgonzola Telino</v>
      </c>
      <c r="Q1404" t="str">
        <f t="shared" si="367"/>
        <v>10783</v>
      </c>
      <c r="R1404" t="str">
        <f t="shared" si="368"/>
        <v>10783</v>
      </c>
      <c r="S1404" t="str">
        <f t="shared" si="369"/>
        <v>Gorgonzola Telino</v>
      </c>
      <c r="T1404">
        <v>12.5</v>
      </c>
      <c r="U1404">
        <v>10</v>
      </c>
      <c r="V1404">
        <v>0</v>
      </c>
      <c r="W1404">
        <f t="shared" si="370"/>
        <v>125</v>
      </c>
      <c r="X1404" t="str">
        <f t="shared" si="371"/>
        <v>yes</v>
      </c>
      <c r="Y1404" s="2">
        <v>35082</v>
      </c>
      <c r="Z1404" t="str">
        <f t="shared" si="357"/>
        <v>1st Q 1996</v>
      </c>
      <c r="AA1404" t="str">
        <f t="shared" si="372"/>
        <v>1st Q 1996</v>
      </c>
      <c r="AB1404" t="str" cm="1">
        <f t="array" ref="AB1404">_xlfn.IFS(Y1404&lt;DATE(1996,1,1),"",Y1404&lt;DATE(1996,4,1),"Q1",Y1404&lt;DATE(1996,7,1),"Q2",Y1404&gt;=DATE(1996,7,1),"")</f>
        <v>Q1</v>
      </c>
    </row>
    <row r="1405" spans="1:28" ht="14.4" x14ac:dyDescent="0.55000000000000004">
      <c r="A1405" t="str">
        <f>VLOOKUP(L1405,Customers!$A$2:$B$92,2,FALSE)</f>
        <v>Hanari Carnes</v>
      </c>
      <c r="B1405" t="str">
        <f>VLOOKUP(L1405,Customers!$A$2:$C$92,3,TRUE)</f>
        <v>Mario Pontes</v>
      </c>
      <c r="C1405" t="str">
        <f t="shared" si="358"/>
        <v>Mario</v>
      </c>
      <c r="D1405" s="8" t="str">
        <f t="shared" si="359"/>
        <v>Pontes</v>
      </c>
      <c r="E1405" s="8" t="str">
        <f t="shared" si="360"/>
        <v>Pontes, Mario</v>
      </c>
      <c r="F1405" s="8" t="str">
        <f t="shared" si="361"/>
        <v>Pontes, Mario</v>
      </c>
      <c r="G1405" s="8" t="str">
        <f t="shared" si="362"/>
        <v>not an outlier</v>
      </c>
      <c r="H1405" s="8" t="str">
        <f t="shared" si="363"/>
        <v>Not</v>
      </c>
      <c r="I1405" s="8" t="str">
        <f t="shared" si="373"/>
        <v>no</v>
      </c>
      <c r="J1405" s="10" t="str">
        <f t="shared" si="364"/>
        <v>no</v>
      </c>
      <c r="K1405" s="10" t="str">
        <f t="shared" si="365"/>
        <v>no</v>
      </c>
      <c r="L1405" t="s">
        <v>264</v>
      </c>
      <c r="M1405">
        <v>10783</v>
      </c>
      <c r="N1405">
        <v>38</v>
      </c>
      <c r="O1405" t="s">
        <v>750</v>
      </c>
      <c r="P1405" t="str">
        <f t="shared" si="366"/>
        <v>HANAR_10783_Côte de Blaye</v>
      </c>
      <c r="Q1405" t="str">
        <f t="shared" si="367"/>
        <v>10783</v>
      </c>
      <c r="R1405" t="str">
        <f t="shared" si="368"/>
        <v>10783</v>
      </c>
      <c r="S1405" t="str">
        <f t="shared" si="369"/>
        <v>Côte de Blaye</v>
      </c>
      <c r="T1405">
        <v>263.5</v>
      </c>
      <c r="U1405">
        <v>5</v>
      </c>
      <c r="V1405">
        <v>0</v>
      </c>
      <c r="W1405">
        <f t="shared" si="370"/>
        <v>1317.5</v>
      </c>
      <c r="X1405" t="str">
        <f t="shared" si="371"/>
        <v>yes</v>
      </c>
      <c r="Y1405" s="2">
        <v>35082</v>
      </c>
      <c r="Z1405" t="str">
        <f t="shared" si="357"/>
        <v>1st Q 1996</v>
      </c>
      <c r="AA1405" t="str">
        <f t="shared" si="372"/>
        <v>1st Q 1996</v>
      </c>
      <c r="AB1405" t="str" cm="1">
        <f t="array" ref="AB1405">_xlfn.IFS(Y1405&lt;DATE(1996,1,1),"",Y1405&lt;DATE(1996,4,1),"Q1",Y1405&lt;DATE(1996,7,1),"Q2",Y1405&gt;=DATE(1996,7,1),"")</f>
        <v>Q1</v>
      </c>
    </row>
    <row r="1406" spans="1:28" ht="14.4" x14ac:dyDescent="0.55000000000000004">
      <c r="A1406" t="str">
        <f>VLOOKUP(L1406,Customers!$A$2:$B$92,2,FALSE)</f>
        <v>Magazzini Alimentari Riuniti</v>
      </c>
      <c r="B1406" t="str">
        <f>VLOOKUP(L1406,Customers!$A$2:$C$92,3,TRUE)</f>
        <v>Giovanni Rovelli</v>
      </c>
      <c r="C1406" t="str">
        <f t="shared" si="358"/>
        <v>Giovanni</v>
      </c>
      <c r="D1406" s="8" t="str">
        <f t="shared" si="359"/>
        <v>Rovelli</v>
      </c>
      <c r="E1406" s="8" t="str">
        <f t="shared" si="360"/>
        <v>Rovelli, Giovanni</v>
      </c>
      <c r="F1406" s="8" t="str">
        <f t="shared" si="361"/>
        <v>Rovelli, Giovanni</v>
      </c>
      <c r="G1406" s="8" t="str">
        <f t="shared" si="362"/>
        <v>not an outlier</v>
      </c>
      <c r="H1406" s="8" t="str">
        <f t="shared" si="363"/>
        <v>Not</v>
      </c>
      <c r="I1406" s="8" t="str">
        <f t="shared" si="373"/>
        <v>no</v>
      </c>
      <c r="J1406" s="10" t="str">
        <f t="shared" si="364"/>
        <v>no</v>
      </c>
      <c r="K1406" s="10" t="str">
        <f t="shared" si="365"/>
        <v>no</v>
      </c>
      <c r="L1406" t="s">
        <v>378</v>
      </c>
      <c r="M1406">
        <v>10784</v>
      </c>
      <c r="N1406">
        <v>36</v>
      </c>
      <c r="O1406" t="s">
        <v>703</v>
      </c>
      <c r="P1406" t="str">
        <f t="shared" si="366"/>
        <v>MAGAA_10784_Inlagd Sill</v>
      </c>
      <c r="Q1406" t="str">
        <f t="shared" si="367"/>
        <v>10784</v>
      </c>
      <c r="R1406" t="str">
        <f t="shared" si="368"/>
        <v>10784</v>
      </c>
      <c r="S1406" t="str">
        <f t="shared" si="369"/>
        <v>Inlagd Sill</v>
      </c>
      <c r="T1406">
        <v>19</v>
      </c>
      <c r="U1406">
        <v>30</v>
      </c>
      <c r="V1406">
        <v>0</v>
      </c>
      <c r="W1406">
        <f t="shared" si="370"/>
        <v>570</v>
      </c>
      <c r="X1406" t="str">
        <f t="shared" si="371"/>
        <v>yes</v>
      </c>
      <c r="Y1406" s="2">
        <v>35082</v>
      </c>
      <c r="Z1406" t="str">
        <f t="shared" si="357"/>
        <v>1st Q 1996</v>
      </c>
      <c r="AA1406" t="str">
        <f t="shared" si="372"/>
        <v>1st Q 1996</v>
      </c>
      <c r="AB1406" t="str" cm="1">
        <f t="array" ref="AB1406">_xlfn.IFS(Y1406&lt;DATE(1996,1,1),"",Y1406&lt;DATE(1996,4,1),"Q1",Y1406&lt;DATE(1996,7,1),"Q2",Y1406&gt;=DATE(1996,7,1),"")</f>
        <v>Q1</v>
      </c>
    </row>
    <row r="1407" spans="1:28" ht="14.4" x14ac:dyDescent="0.55000000000000004">
      <c r="A1407" t="str">
        <f>VLOOKUP(L1407,Customers!$A$2:$B$92,2,FALSE)</f>
        <v>Magazzini Alimentari Riuniti</v>
      </c>
      <c r="B1407" t="str">
        <f>VLOOKUP(L1407,Customers!$A$2:$C$92,3,TRUE)</f>
        <v>Giovanni Rovelli</v>
      </c>
      <c r="C1407" t="str">
        <f t="shared" si="358"/>
        <v>Giovanni</v>
      </c>
      <c r="D1407" s="8" t="str">
        <f t="shared" si="359"/>
        <v>Rovelli</v>
      </c>
      <c r="E1407" s="8" t="str">
        <f t="shared" si="360"/>
        <v>Rovelli, Giovanni</v>
      </c>
      <c r="F1407" s="8" t="str">
        <f t="shared" si="361"/>
        <v>Rovelli, Giovanni</v>
      </c>
      <c r="G1407" s="8" t="str">
        <f t="shared" si="362"/>
        <v>not an outlier</v>
      </c>
      <c r="H1407" s="8" t="str">
        <f t="shared" si="363"/>
        <v>Not</v>
      </c>
      <c r="I1407" s="8" t="str">
        <f t="shared" si="373"/>
        <v>no</v>
      </c>
      <c r="J1407" s="10" t="str">
        <f t="shared" si="364"/>
        <v>no</v>
      </c>
      <c r="K1407" s="10" t="str">
        <f t="shared" si="365"/>
        <v>no</v>
      </c>
      <c r="L1407" t="s">
        <v>378</v>
      </c>
      <c r="M1407">
        <v>10784</v>
      </c>
      <c r="N1407">
        <v>39</v>
      </c>
      <c r="O1407" t="s">
        <v>696</v>
      </c>
      <c r="P1407" t="str">
        <f t="shared" si="366"/>
        <v>MAGAA_10784_Chartreuse verte</v>
      </c>
      <c r="Q1407" t="str">
        <f t="shared" si="367"/>
        <v>10784</v>
      </c>
      <c r="R1407" t="str">
        <f t="shared" si="368"/>
        <v>10784</v>
      </c>
      <c r="S1407" t="str">
        <f t="shared" si="369"/>
        <v>Chartreuse verte</v>
      </c>
      <c r="T1407">
        <v>18</v>
      </c>
      <c r="U1407">
        <v>2</v>
      </c>
      <c r="V1407">
        <v>0.15</v>
      </c>
      <c r="W1407">
        <f t="shared" si="370"/>
        <v>30.599999999999998</v>
      </c>
      <c r="X1407" t="str">
        <f t="shared" si="371"/>
        <v>yes</v>
      </c>
      <c r="Y1407" s="2">
        <v>35082</v>
      </c>
      <c r="Z1407" t="str">
        <f t="shared" si="357"/>
        <v>1st Q 1996</v>
      </c>
      <c r="AA1407" t="str">
        <f t="shared" si="372"/>
        <v>1st Q 1996</v>
      </c>
      <c r="AB1407" t="str" cm="1">
        <f t="array" ref="AB1407">_xlfn.IFS(Y1407&lt;DATE(1996,1,1),"",Y1407&lt;DATE(1996,4,1),"Q1",Y1407&lt;DATE(1996,7,1),"Q2",Y1407&gt;=DATE(1996,7,1),"")</f>
        <v>Q1</v>
      </c>
    </row>
    <row r="1408" spans="1:28" ht="14.4" x14ac:dyDescent="0.55000000000000004">
      <c r="A1408" t="str">
        <f>VLOOKUP(L1408,Customers!$A$2:$B$92,2,FALSE)</f>
        <v>Magazzini Alimentari Riuniti</v>
      </c>
      <c r="B1408" t="str">
        <f>VLOOKUP(L1408,Customers!$A$2:$C$92,3,TRUE)</f>
        <v>Giovanni Rovelli</v>
      </c>
      <c r="C1408" t="str">
        <f t="shared" si="358"/>
        <v>Giovanni</v>
      </c>
      <c r="D1408" s="8" t="str">
        <f t="shared" si="359"/>
        <v>Rovelli</v>
      </c>
      <c r="E1408" s="8" t="str">
        <f t="shared" si="360"/>
        <v>Rovelli, Giovanni</v>
      </c>
      <c r="F1408" s="8" t="str">
        <f t="shared" si="361"/>
        <v>Rovelli, Giovanni</v>
      </c>
      <c r="G1408" s="8" t="str">
        <f t="shared" si="362"/>
        <v>not an outlier</v>
      </c>
      <c r="H1408" s="8" t="str">
        <f t="shared" si="363"/>
        <v>Not</v>
      </c>
      <c r="I1408" s="8" t="str">
        <f t="shared" si="373"/>
        <v>no</v>
      </c>
      <c r="J1408" s="10" t="str">
        <f t="shared" si="364"/>
        <v>no</v>
      </c>
      <c r="K1408" s="10" t="str">
        <f t="shared" si="365"/>
        <v>no</v>
      </c>
      <c r="L1408" t="s">
        <v>378</v>
      </c>
      <c r="M1408">
        <v>10784</v>
      </c>
      <c r="N1408">
        <v>72</v>
      </c>
      <c r="O1408" t="s">
        <v>685</v>
      </c>
      <c r="P1408" t="str">
        <f t="shared" si="366"/>
        <v>MAGAA_10784_Mozzarella di Giovanni</v>
      </c>
      <c r="Q1408" t="str">
        <f t="shared" si="367"/>
        <v>10784</v>
      </c>
      <c r="R1408" t="str">
        <f t="shared" si="368"/>
        <v>10784</v>
      </c>
      <c r="S1408" t="str">
        <f t="shared" si="369"/>
        <v>Mozzarella di Giovanni</v>
      </c>
      <c r="T1408">
        <v>34.799999999999997</v>
      </c>
      <c r="U1408">
        <v>30</v>
      </c>
      <c r="V1408">
        <v>0.15</v>
      </c>
      <c r="W1408">
        <f t="shared" si="370"/>
        <v>887.4</v>
      </c>
      <c r="X1408" t="str">
        <f t="shared" si="371"/>
        <v>yes</v>
      </c>
      <c r="Y1408" s="2">
        <v>35082</v>
      </c>
      <c r="Z1408" t="str">
        <f t="shared" si="357"/>
        <v>1st Q 1996</v>
      </c>
      <c r="AA1408" t="str">
        <f t="shared" si="372"/>
        <v>1st Q 1996</v>
      </c>
      <c r="AB1408" t="str" cm="1">
        <f t="array" ref="AB1408">_xlfn.IFS(Y1408&lt;DATE(1996,1,1),"",Y1408&lt;DATE(1996,4,1),"Q1",Y1408&lt;DATE(1996,7,1),"Q2",Y1408&gt;=DATE(1996,7,1),"")</f>
        <v>Q1</v>
      </c>
    </row>
    <row r="1409" spans="1:28" ht="14.4" x14ac:dyDescent="0.55000000000000004">
      <c r="A1409" t="str">
        <f>VLOOKUP(L1409,Customers!$A$2:$B$92,2,FALSE)</f>
        <v>GROSELLA-Restaurante</v>
      </c>
      <c r="B1409" t="str">
        <f>VLOOKUP(L1409,Customers!$A$2:$C$92,3,TRUE)</f>
        <v>Manuel Pereira</v>
      </c>
      <c r="C1409" t="str">
        <f t="shared" si="358"/>
        <v>Manuel</v>
      </c>
      <c r="D1409" s="8" t="str">
        <f t="shared" si="359"/>
        <v>Pereira</v>
      </c>
      <c r="E1409" s="8" t="str">
        <f t="shared" si="360"/>
        <v>Pereira, Manuel</v>
      </c>
      <c r="F1409" s="8" t="str">
        <f t="shared" si="361"/>
        <v>Pereira, Manuel</v>
      </c>
      <c r="G1409" s="8" t="str">
        <f t="shared" si="362"/>
        <v>not an outlier</v>
      </c>
      <c r="H1409" s="8" t="str">
        <f t="shared" si="363"/>
        <v>Not</v>
      </c>
      <c r="I1409" s="8" t="str">
        <f t="shared" si="373"/>
        <v>no</v>
      </c>
      <c r="J1409" s="10" t="str">
        <f t="shared" si="364"/>
        <v>no</v>
      </c>
      <c r="K1409" s="10" t="str">
        <f t="shared" si="365"/>
        <v>no</v>
      </c>
      <c r="L1409" t="s">
        <v>255</v>
      </c>
      <c r="M1409">
        <v>10785</v>
      </c>
      <c r="N1409">
        <v>10</v>
      </c>
      <c r="O1409" t="s">
        <v>724</v>
      </c>
      <c r="P1409" t="str">
        <f t="shared" si="366"/>
        <v>GROSR_10785_Ikura</v>
      </c>
      <c r="Q1409" t="str">
        <f t="shared" si="367"/>
        <v>10785</v>
      </c>
      <c r="R1409" t="str">
        <f t="shared" si="368"/>
        <v>10785</v>
      </c>
      <c r="S1409" t="str">
        <f t="shared" si="369"/>
        <v>Ikura</v>
      </c>
      <c r="T1409">
        <v>31</v>
      </c>
      <c r="U1409">
        <v>10</v>
      </c>
      <c r="V1409">
        <v>0</v>
      </c>
      <c r="W1409">
        <f t="shared" si="370"/>
        <v>310</v>
      </c>
      <c r="X1409" t="str">
        <f t="shared" si="371"/>
        <v>yes</v>
      </c>
      <c r="Y1409" s="2">
        <v>35082</v>
      </c>
      <c r="Z1409" t="str">
        <f t="shared" ref="Z1409:Z1472" si="374">IF(Y1409&gt;=DATE(1996,1,1), IF(Y1409&lt;DATE(1996,4,1),"1st Q 1996",""),"")</f>
        <v>1st Q 1996</v>
      </c>
      <c r="AA1409" t="str">
        <f t="shared" si="372"/>
        <v>1st Q 1996</v>
      </c>
      <c r="AB1409" t="str" cm="1">
        <f t="array" ref="AB1409">_xlfn.IFS(Y1409&lt;DATE(1996,1,1),"",Y1409&lt;DATE(1996,4,1),"Q1",Y1409&lt;DATE(1996,7,1),"Q2",Y1409&gt;=DATE(1996,7,1),"")</f>
        <v>Q1</v>
      </c>
    </row>
    <row r="1410" spans="1:28" ht="14.4" x14ac:dyDescent="0.55000000000000004">
      <c r="A1410" t="str">
        <f>VLOOKUP(L1410,Customers!$A$2:$B$92,2,FALSE)</f>
        <v>GROSELLA-Restaurante</v>
      </c>
      <c r="B1410" t="str">
        <f>VLOOKUP(L1410,Customers!$A$2:$C$92,3,TRUE)</f>
        <v>Manuel Pereira</v>
      </c>
      <c r="C1410" t="str">
        <f t="shared" si="358"/>
        <v>Manuel</v>
      </c>
      <c r="D1410" s="8" t="str">
        <f t="shared" si="359"/>
        <v>Pereira</v>
      </c>
      <c r="E1410" s="8" t="str">
        <f t="shared" si="360"/>
        <v>Pereira, Manuel</v>
      </c>
      <c r="F1410" s="8" t="str">
        <f t="shared" si="361"/>
        <v>Pereira, Manuel</v>
      </c>
      <c r="G1410" s="8" t="str">
        <f t="shared" si="362"/>
        <v>not an outlier</v>
      </c>
      <c r="H1410" s="8" t="str">
        <f t="shared" si="363"/>
        <v>Not</v>
      </c>
      <c r="I1410" s="8" t="str">
        <f t="shared" si="373"/>
        <v>no</v>
      </c>
      <c r="J1410" s="10" t="str">
        <f t="shared" si="364"/>
        <v>no</v>
      </c>
      <c r="K1410" s="10" t="str">
        <f t="shared" si="365"/>
        <v>no</v>
      </c>
      <c r="L1410" t="s">
        <v>255</v>
      </c>
      <c r="M1410">
        <v>10785</v>
      </c>
      <c r="N1410">
        <v>75</v>
      </c>
      <c r="O1410" t="s">
        <v>731</v>
      </c>
      <c r="P1410" t="str">
        <f t="shared" si="366"/>
        <v>GROSR_10785_Rhönbräu Klosterbier</v>
      </c>
      <c r="Q1410" t="str">
        <f t="shared" si="367"/>
        <v>10785</v>
      </c>
      <c r="R1410" t="str">
        <f t="shared" si="368"/>
        <v>10785</v>
      </c>
      <c r="S1410" t="str">
        <f t="shared" si="369"/>
        <v>Rhönbräu Klosterbier</v>
      </c>
      <c r="T1410">
        <v>7.75</v>
      </c>
      <c r="U1410">
        <v>10</v>
      </c>
      <c r="V1410">
        <v>0</v>
      </c>
      <c r="W1410">
        <f t="shared" si="370"/>
        <v>77.5</v>
      </c>
      <c r="X1410" t="str">
        <f t="shared" si="371"/>
        <v>yes</v>
      </c>
      <c r="Y1410" s="2">
        <v>35082</v>
      </c>
      <c r="Z1410" t="str">
        <f t="shared" si="374"/>
        <v>1st Q 1996</v>
      </c>
      <c r="AA1410" t="str">
        <f t="shared" si="372"/>
        <v>1st Q 1996</v>
      </c>
      <c r="AB1410" t="str" cm="1">
        <f t="array" ref="AB1410">_xlfn.IFS(Y1410&lt;DATE(1996,1,1),"",Y1410&lt;DATE(1996,4,1),"Q1",Y1410&lt;DATE(1996,7,1),"Q2",Y1410&gt;=DATE(1996,7,1),"")</f>
        <v>Q1</v>
      </c>
    </row>
    <row r="1411" spans="1:28" ht="14.4" x14ac:dyDescent="0.55000000000000004">
      <c r="A1411" t="str">
        <f>VLOOKUP(L1411,Customers!$A$2:$B$92,2,FALSE)</f>
        <v>Queen Cozinha</v>
      </c>
      <c r="B1411" t="str">
        <f>VLOOKUP(L1411,Customers!$A$2:$C$92,3,TRUE)</f>
        <v>Lúcia Carvalho</v>
      </c>
      <c r="C1411" t="str">
        <f t="shared" ref="C1411:C1474" si="375">LEFT(B1411,FIND(" ",B1411)-1)</f>
        <v>Lúcia</v>
      </c>
      <c r="D1411" s="8" t="str">
        <f t="shared" ref="D1411:D1474" si="376">RIGHT(B1411,LEN(B1411)-FIND(" ",B1411))</f>
        <v>Carvalho</v>
      </c>
      <c r="E1411" s="8" t="str">
        <f t="shared" ref="E1411:E1474" si="377">_xlfn.CONCAT(D1411,", ",C1411)</f>
        <v>Carvalho, Lúcia</v>
      </c>
      <c r="F1411" s="8" t="str">
        <f t="shared" ref="F1411:F1474" si="378">D1411&amp;", "&amp;C1411</f>
        <v>Carvalho, Lúcia</v>
      </c>
      <c r="G1411" s="8" t="str">
        <f t="shared" ref="G1411:G1474" si="379">IF(OR(W1411&gt;$W$2166,W1411&lt;$W$2167),"outlier","not an outlier")</f>
        <v>not an outlier</v>
      </c>
      <c r="H1411" s="8" t="str">
        <f t="shared" ref="H1411:H1474" si="380">IF(OR(W1411&gt;$W$2166,W1411&lt;$W$2167),"outlier",IF(OR(W1411&gt;$W$2168,W1411&lt;$W$2169),"moderate","Not"))</f>
        <v>Not</v>
      </c>
      <c r="I1411" s="8" t="str">
        <f t="shared" si="373"/>
        <v>no</v>
      </c>
      <c r="J1411" s="10" t="str">
        <f t="shared" ref="J1411:J1474" si="381">IF(AND(W1411&lt;=$W$2166,W1411&gt;=$W$2167),"no","yes")</f>
        <v>no</v>
      </c>
      <c r="K1411" s="10" t="str">
        <f t="shared" ref="K1411:K1474" si="382">IF(OR(W1411&gt;$W$2166,W1411&lt;$W$2167),"yes",IF(OR(W1411&gt;$W$2168,W1411&lt;$W$2169),"moderate","no"))</f>
        <v>no</v>
      </c>
      <c r="L1411" t="s">
        <v>469</v>
      </c>
      <c r="M1411">
        <v>10786</v>
      </c>
      <c r="N1411">
        <v>8</v>
      </c>
      <c r="O1411" t="s">
        <v>754</v>
      </c>
      <c r="P1411" t="str">
        <f t="shared" ref="P1411:P1474" si="383">L1411&amp;"_"&amp;M1411&amp;"_"&amp;O1411</f>
        <v>QUEEN_10786_Northwoods Cranberry Sauce</v>
      </c>
      <c r="Q1411" t="str">
        <f t="shared" ref="Q1411:Q1474" si="384">LEFT(RIGHT(P1411,LEN(P1411)-FIND("_",P1411)), FIND("_",P1411)-1)</f>
        <v>10786</v>
      </c>
      <c r="R1411" t="str">
        <f t="shared" ref="R1411:R1474" si="385">MID(P1411,FIND("_",P1411)+1,FIND("_",P1411,FIND("_",P1411))-1)</f>
        <v>10786</v>
      </c>
      <c r="S1411" t="str">
        <f t="shared" ref="S1411:S1474" si="386">MID(P1411,FIND("_",P1411,FIND("_",P1411)+1)+1,LEN(P1411))</f>
        <v>Northwoods Cranberry Sauce</v>
      </c>
      <c r="T1411">
        <v>40</v>
      </c>
      <c r="U1411">
        <v>30</v>
      </c>
      <c r="V1411">
        <v>0.2</v>
      </c>
      <c r="W1411">
        <f t="shared" ref="W1411:W1474" si="387">T1411*U1411*(1-V1411)</f>
        <v>960</v>
      </c>
      <c r="X1411" t="str">
        <f t="shared" ref="X1411:X1474" si="388">IF(YEAR(Y1411)&gt;=1996,"yes","No")</f>
        <v>yes</v>
      </c>
      <c r="Y1411" s="2">
        <v>35083</v>
      </c>
      <c r="Z1411" t="str">
        <f t="shared" si="374"/>
        <v>1st Q 1996</v>
      </c>
      <c r="AA1411" t="str">
        <f t="shared" ref="AA1411:AA1474" si="389">IF(Y1411&lt;DATE(1996,1,1),"", IF(Y1411&lt;DATE(1996,4,1),"1st Q 1996",IF(Y1411&lt;DATE(1996,7,1),"2nd Q 1996","")))</f>
        <v>1st Q 1996</v>
      </c>
      <c r="AB1411" t="str" cm="1">
        <f t="array" ref="AB1411">_xlfn.IFS(Y1411&lt;DATE(1996,1,1),"",Y1411&lt;DATE(1996,4,1),"Q1",Y1411&lt;DATE(1996,7,1),"Q2",Y1411&gt;=DATE(1996,7,1),"")</f>
        <v>Q1</v>
      </c>
    </row>
    <row r="1412" spans="1:28" ht="14.4" x14ac:dyDescent="0.55000000000000004">
      <c r="A1412" t="str">
        <f>VLOOKUP(L1412,Customers!$A$2:$B$92,2,FALSE)</f>
        <v>Queen Cozinha</v>
      </c>
      <c r="B1412" t="str">
        <f>VLOOKUP(L1412,Customers!$A$2:$C$92,3,TRUE)</f>
        <v>Lúcia Carvalho</v>
      </c>
      <c r="C1412" t="str">
        <f t="shared" si="375"/>
        <v>Lúcia</v>
      </c>
      <c r="D1412" s="8" t="str">
        <f t="shared" si="376"/>
        <v>Carvalho</v>
      </c>
      <c r="E1412" s="8" t="str">
        <f t="shared" si="377"/>
        <v>Carvalho, Lúcia</v>
      </c>
      <c r="F1412" s="8" t="str">
        <f t="shared" si="378"/>
        <v>Carvalho, Lúcia</v>
      </c>
      <c r="G1412" s="8" t="str">
        <f t="shared" si="379"/>
        <v>not an outlier</v>
      </c>
      <c r="H1412" s="8" t="str">
        <f t="shared" si="380"/>
        <v>Not</v>
      </c>
      <c r="I1412" s="8" t="str">
        <f t="shared" ref="I1412:I1475" si="390">IF(OR(W1412&gt;$W$2166,W1412&lt;$W$2167),"yes","no")</f>
        <v>no</v>
      </c>
      <c r="J1412" s="10" t="str">
        <f t="shared" si="381"/>
        <v>no</v>
      </c>
      <c r="K1412" s="10" t="str">
        <f t="shared" si="382"/>
        <v>no</v>
      </c>
      <c r="L1412" t="s">
        <v>469</v>
      </c>
      <c r="M1412">
        <v>10786</v>
      </c>
      <c r="N1412">
        <v>30</v>
      </c>
      <c r="O1412" t="s">
        <v>717</v>
      </c>
      <c r="P1412" t="str">
        <f t="shared" si="383"/>
        <v>QUEEN_10786_Nord-Ost Matjeshering</v>
      </c>
      <c r="Q1412" t="str">
        <f t="shared" si="384"/>
        <v>10786</v>
      </c>
      <c r="R1412" t="str">
        <f t="shared" si="385"/>
        <v>10786</v>
      </c>
      <c r="S1412" t="str">
        <f t="shared" si="386"/>
        <v>Nord-Ost Matjeshering</v>
      </c>
      <c r="T1412">
        <v>25.89</v>
      </c>
      <c r="U1412">
        <v>15</v>
      </c>
      <c r="V1412">
        <v>0.2</v>
      </c>
      <c r="W1412">
        <f t="shared" si="387"/>
        <v>310.68000000000006</v>
      </c>
      <c r="X1412" t="str">
        <f t="shared" si="388"/>
        <v>yes</v>
      </c>
      <c r="Y1412" s="2">
        <v>35083</v>
      </c>
      <c r="Z1412" t="str">
        <f t="shared" si="374"/>
        <v>1st Q 1996</v>
      </c>
      <c r="AA1412" t="str">
        <f t="shared" si="389"/>
        <v>1st Q 1996</v>
      </c>
      <c r="AB1412" t="str" cm="1">
        <f t="array" ref="AB1412">_xlfn.IFS(Y1412&lt;DATE(1996,1,1),"",Y1412&lt;DATE(1996,4,1),"Q1",Y1412&lt;DATE(1996,7,1),"Q2",Y1412&gt;=DATE(1996,7,1),"")</f>
        <v>Q1</v>
      </c>
    </row>
    <row r="1413" spans="1:28" ht="14.4" x14ac:dyDescent="0.55000000000000004">
      <c r="A1413" t="str">
        <f>VLOOKUP(L1413,Customers!$A$2:$B$92,2,FALSE)</f>
        <v>Queen Cozinha</v>
      </c>
      <c r="B1413" t="str">
        <f>VLOOKUP(L1413,Customers!$A$2:$C$92,3,TRUE)</f>
        <v>Lúcia Carvalho</v>
      </c>
      <c r="C1413" t="str">
        <f t="shared" si="375"/>
        <v>Lúcia</v>
      </c>
      <c r="D1413" s="8" t="str">
        <f t="shared" si="376"/>
        <v>Carvalho</v>
      </c>
      <c r="E1413" s="8" t="str">
        <f t="shared" si="377"/>
        <v>Carvalho, Lúcia</v>
      </c>
      <c r="F1413" s="8" t="str">
        <f t="shared" si="378"/>
        <v>Carvalho, Lúcia</v>
      </c>
      <c r="G1413" s="8" t="str">
        <f t="shared" si="379"/>
        <v>not an outlier</v>
      </c>
      <c r="H1413" s="8" t="str">
        <f t="shared" si="380"/>
        <v>Not</v>
      </c>
      <c r="I1413" s="8" t="str">
        <f t="shared" si="390"/>
        <v>no</v>
      </c>
      <c r="J1413" s="10" t="str">
        <f t="shared" si="381"/>
        <v>no</v>
      </c>
      <c r="K1413" s="10" t="str">
        <f t="shared" si="382"/>
        <v>no</v>
      </c>
      <c r="L1413" t="s">
        <v>469</v>
      </c>
      <c r="M1413">
        <v>10786</v>
      </c>
      <c r="N1413">
        <v>75</v>
      </c>
      <c r="O1413" t="s">
        <v>731</v>
      </c>
      <c r="P1413" t="str">
        <f t="shared" si="383"/>
        <v>QUEEN_10786_Rhönbräu Klosterbier</v>
      </c>
      <c r="Q1413" t="str">
        <f t="shared" si="384"/>
        <v>10786</v>
      </c>
      <c r="R1413" t="str">
        <f t="shared" si="385"/>
        <v>10786</v>
      </c>
      <c r="S1413" t="str">
        <f t="shared" si="386"/>
        <v>Rhönbräu Klosterbier</v>
      </c>
      <c r="T1413">
        <v>7.75</v>
      </c>
      <c r="U1413">
        <v>42</v>
      </c>
      <c r="V1413">
        <v>0.2</v>
      </c>
      <c r="W1413">
        <f t="shared" si="387"/>
        <v>260.40000000000003</v>
      </c>
      <c r="X1413" t="str">
        <f t="shared" si="388"/>
        <v>yes</v>
      </c>
      <c r="Y1413" s="2">
        <v>35083</v>
      </c>
      <c r="Z1413" t="str">
        <f t="shared" si="374"/>
        <v>1st Q 1996</v>
      </c>
      <c r="AA1413" t="str">
        <f t="shared" si="389"/>
        <v>1st Q 1996</v>
      </c>
      <c r="AB1413" t="str" cm="1">
        <f t="array" ref="AB1413">_xlfn.IFS(Y1413&lt;DATE(1996,1,1),"",Y1413&lt;DATE(1996,4,1),"Q1",Y1413&lt;DATE(1996,7,1),"Q2",Y1413&gt;=DATE(1996,7,1),"")</f>
        <v>Q1</v>
      </c>
    </row>
    <row r="1414" spans="1:28" ht="14.4" x14ac:dyDescent="0.55000000000000004">
      <c r="A1414" t="str">
        <f>VLOOKUP(L1414,Customers!$A$2:$B$92,2,FALSE)</f>
        <v>La maison d'Asie</v>
      </c>
      <c r="B1414" t="str">
        <f>VLOOKUP(L1414,Customers!$A$2:$C$92,3,TRUE)</f>
        <v>Annette Roulet</v>
      </c>
      <c r="C1414" t="str">
        <f t="shared" si="375"/>
        <v>Annette</v>
      </c>
      <c r="D1414" s="8" t="str">
        <f t="shared" si="376"/>
        <v>Roulet</v>
      </c>
      <c r="E1414" s="8" t="str">
        <f t="shared" si="377"/>
        <v>Roulet, Annette</v>
      </c>
      <c r="F1414" s="8" t="str">
        <f t="shared" si="378"/>
        <v>Roulet, Annette</v>
      </c>
      <c r="G1414" s="8" t="str">
        <f t="shared" si="379"/>
        <v>not an outlier</v>
      </c>
      <c r="H1414" s="8" t="str">
        <f t="shared" si="380"/>
        <v>Not</v>
      </c>
      <c r="I1414" s="8" t="str">
        <f t="shared" si="390"/>
        <v>no</v>
      </c>
      <c r="J1414" s="10" t="str">
        <f t="shared" si="381"/>
        <v>no</v>
      </c>
      <c r="K1414" s="10" t="str">
        <f t="shared" si="382"/>
        <v>no</v>
      </c>
      <c r="L1414" t="s">
        <v>318</v>
      </c>
      <c r="M1414">
        <v>10787</v>
      </c>
      <c r="N1414">
        <v>2</v>
      </c>
      <c r="O1414" t="s">
        <v>701</v>
      </c>
      <c r="P1414" t="str">
        <f t="shared" si="383"/>
        <v>LAMAI_10787_Chang</v>
      </c>
      <c r="Q1414" t="str">
        <f t="shared" si="384"/>
        <v>10787</v>
      </c>
      <c r="R1414" t="str">
        <f t="shared" si="385"/>
        <v>10787</v>
      </c>
      <c r="S1414" t="str">
        <f t="shared" si="386"/>
        <v>Chang</v>
      </c>
      <c r="T1414">
        <v>19</v>
      </c>
      <c r="U1414">
        <v>15</v>
      </c>
      <c r="V1414">
        <v>0.05</v>
      </c>
      <c r="W1414">
        <f t="shared" si="387"/>
        <v>270.75</v>
      </c>
      <c r="X1414" t="str">
        <f t="shared" si="388"/>
        <v>yes</v>
      </c>
      <c r="Y1414" s="2">
        <v>35083</v>
      </c>
      <c r="Z1414" t="str">
        <f t="shared" si="374"/>
        <v>1st Q 1996</v>
      </c>
      <c r="AA1414" t="str">
        <f t="shared" si="389"/>
        <v>1st Q 1996</v>
      </c>
      <c r="AB1414" t="str" cm="1">
        <f t="array" ref="AB1414">_xlfn.IFS(Y1414&lt;DATE(1996,1,1),"",Y1414&lt;DATE(1996,4,1),"Q1",Y1414&lt;DATE(1996,7,1),"Q2",Y1414&gt;=DATE(1996,7,1),"")</f>
        <v>Q1</v>
      </c>
    </row>
    <row r="1415" spans="1:28" ht="14.4" x14ac:dyDescent="0.55000000000000004">
      <c r="A1415" t="str">
        <f>VLOOKUP(L1415,Customers!$A$2:$B$92,2,FALSE)</f>
        <v>La maison d'Asie</v>
      </c>
      <c r="B1415" t="str">
        <f>VLOOKUP(L1415,Customers!$A$2:$C$92,3,TRUE)</f>
        <v>Annette Roulet</v>
      </c>
      <c r="C1415" t="str">
        <f t="shared" si="375"/>
        <v>Annette</v>
      </c>
      <c r="D1415" s="8" t="str">
        <f t="shared" si="376"/>
        <v>Roulet</v>
      </c>
      <c r="E1415" s="8" t="str">
        <f t="shared" si="377"/>
        <v>Roulet, Annette</v>
      </c>
      <c r="F1415" s="8" t="str">
        <f t="shared" si="378"/>
        <v>Roulet, Annette</v>
      </c>
      <c r="G1415" s="8" t="str">
        <f t="shared" si="379"/>
        <v>not an outlier</v>
      </c>
      <c r="H1415" s="8" t="str">
        <f t="shared" si="380"/>
        <v>Not</v>
      </c>
      <c r="I1415" s="8" t="str">
        <f t="shared" si="390"/>
        <v>no</v>
      </c>
      <c r="J1415" s="10" t="str">
        <f t="shared" si="381"/>
        <v>no</v>
      </c>
      <c r="K1415" s="10" t="str">
        <f t="shared" si="382"/>
        <v>no</v>
      </c>
      <c r="L1415" t="s">
        <v>318</v>
      </c>
      <c r="M1415">
        <v>10787</v>
      </c>
      <c r="N1415">
        <v>29</v>
      </c>
      <c r="O1415" t="s">
        <v>722</v>
      </c>
      <c r="P1415" t="str">
        <f t="shared" si="383"/>
        <v>LAMAI_10787_Thüringer Rostbratwurst</v>
      </c>
      <c r="Q1415" t="str">
        <f t="shared" si="384"/>
        <v>10787</v>
      </c>
      <c r="R1415" t="str">
        <f t="shared" si="385"/>
        <v>10787</v>
      </c>
      <c r="S1415" t="str">
        <f t="shared" si="386"/>
        <v>Thüringer Rostbratwurst</v>
      </c>
      <c r="T1415">
        <v>123.79</v>
      </c>
      <c r="U1415">
        <v>20</v>
      </c>
      <c r="V1415">
        <v>0.05</v>
      </c>
      <c r="W1415">
        <f t="shared" si="387"/>
        <v>2352.0100000000002</v>
      </c>
      <c r="X1415" t="str">
        <f t="shared" si="388"/>
        <v>yes</v>
      </c>
      <c r="Y1415" s="2">
        <v>35083</v>
      </c>
      <c r="Z1415" t="str">
        <f t="shared" si="374"/>
        <v>1st Q 1996</v>
      </c>
      <c r="AA1415" t="str">
        <f t="shared" si="389"/>
        <v>1st Q 1996</v>
      </c>
      <c r="AB1415" t="str" cm="1">
        <f t="array" ref="AB1415">_xlfn.IFS(Y1415&lt;DATE(1996,1,1),"",Y1415&lt;DATE(1996,4,1),"Q1",Y1415&lt;DATE(1996,7,1),"Q2",Y1415&gt;=DATE(1996,7,1),"")</f>
        <v>Q1</v>
      </c>
    </row>
    <row r="1416" spans="1:28" ht="14.4" x14ac:dyDescent="0.55000000000000004">
      <c r="A1416" t="str">
        <f>VLOOKUP(L1416,Customers!$A$2:$B$92,2,FALSE)</f>
        <v>QUICK-Stop</v>
      </c>
      <c r="B1416" t="str">
        <f>VLOOKUP(L1416,Customers!$A$2:$C$92,3,TRUE)</f>
        <v>Horst Kloss</v>
      </c>
      <c r="C1416" t="str">
        <f t="shared" si="375"/>
        <v>Horst</v>
      </c>
      <c r="D1416" s="8" t="str">
        <f t="shared" si="376"/>
        <v>Kloss</v>
      </c>
      <c r="E1416" s="8" t="str">
        <f t="shared" si="377"/>
        <v>Kloss, Horst</v>
      </c>
      <c r="F1416" s="8" t="str">
        <f t="shared" si="378"/>
        <v>Kloss, Horst</v>
      </c>
      <c r="G1416" s="8" t="str">
        <f t="shared" si="379"/>
        <v>not an outlier</v>
      </c>
      <c r="H1416" s="8" t="str">
        <f t="shared" si="380"/>
        <v>Not</v>
      </c>
      <c r="I1416" s="8" t="str">
        <f t="shared" si="390"/>
        <v>no</v>
      </c>
      <c r="J1416" s="10" t="str">
        <f t="shared" si="381"/>
        <v>no</v>
      </c>
      <c r="K1416" s="10" t="str">
        <f t="shared" si="382"/>
        <v>no</v>
      </c>
      <c r="L1416" t="s">
        <v>475</v>
      </c>
      <c r="M1416">
        <v>10788</v>
      </c>
      <c r="N1416">
        <v>19</v>
      </c>
      <c r="O1416" t="s">
        <v>732</v>
      </c>
      <c r="P1416" t="str">
        <f t="shared" si="383"/>
        <v>QUICK_10788_Teatime Chocolate Biscuits</v>
      </c>
      <c r="Q1416" t="str">
        <f t="shared" si="384"/>
        <v>10788</v>
      </c>
      <c r="R1416" t="str">
        <f t="shared" si="385"/>
        <v>10788</v>
      </c>
      <c r="S1416" t="str">
        <f t="shared" si="386"/>
        <v>Teatime Chocolate Biscuits</v>
      </c>
      <c r="T1416">
        <v>9.1999999999999993</v>
      </c>
      <c r="U1416">
        <v>50</v>
      </c>
      <c r="V1416">
        <v>0.05</v>
      </c>
      <c r="W1416">
        <f t="shared" si="387"/>
        <v>436.99999999999994</v>
      </c>
      <c r="X1416" t="str">
        <f t="shared" si="388"/>
        <v>yes</v>
      </c>
      <c r="Y1416" s="2">
        <v>35086</v>
      </c>
      <c r="Z1416" t="str">
        <f t="shared" si="374"/>
        <v>1st Q 1996</v>
      </c>
      <c r="AA1416" t="str">
        <f t="shared" si="389"/>
        <v>1st Q 1996</v>
      </c>
      <c r="AB1416" t="str" cm="1">
        <f t="array" ref="AB1416">_xlfn.IFS(Y1416&lt;DATE(1996,1,1),"",Y1416&lt;DATE(1996,4,1),"Q1",Y1416&lt;DATE(1996,7,1),"Q2",Y1416&gt;=DATE(1996,7,1),"")</f>
        <v>Q1</v>
      </c>
    </row>
    <row r="1417" spans="1:28" ht="14.4" x14ac:dyDescent="0.55000000000000004">
      <c r="A1417" t="str">
        <f>VLOOKUP(L1417,Customers!$A$2:$B$92,2,FALSE)</f>
        <v>QUICK-Stop</v>
      </c>
      <c r="B1417" t="str">
        <f>VLOOKUP(L1417,Customers!$A$2:$C$92,3,TRUE)</f>
        <v>Horst Kloss</v>
      </c>
      <c r="C1417" t="str">
        <f t="shared" si="375"/>
        <v>Horst</v>
      </c>
      <c r="D1417" s="8" t="str">
        <f t="shared" si="376"/>
        <v>Kloss</v>
      </c>
      <c r="E1417" s="8" t="str">
        <f t="shared" si="377"/>
        <v>Kloss, Horst</v>
      </c>
      <c r="F1417" s="8" t="str">
        <f t="shared" si="378"/>
        <v>Kloss, Horst</v>
      </c>
      <c r="G1417" s="8" t="str">
        <f t="shared" si="379"/>
        <v>not an outlier</v>
      </c>
      <c r="H1417" s="8" t="str">
        <f t="shared" si="380"/>
        <v>Not</v>
      </c>
      <c r="I1417" s="8" t="str">
        <f t="shared" si="390"/>
        <v>no</v>
      </c>
      <c r="J1417" s="10" t="str">
        <f t="shared" si="381"/>
        <v>no</v>
      </c>
      <c r="K1417" s="10" t="str">
        <f t="shared" si="382"/>
        <v>no</v>
      </c>
      <c r="L1417" t="s">
        <v>475</v>
      </c>
      <c r="M1417">
        <v>10788</v>
      </c>
      <c r="N1417">
        <v>75</v>
      </c>
      <c r="O1417" t="s">
        <v>731</v>
      </c>
      <c r="P1417" t="str">
        <f t="shared" si="383"/>
        <v>QUICK_10788_Rhönbräu Klosterbier</v>
      </c>
      <c r="Q1417" t="str">
        <f t="shared" si="384"/>
        <v>10788</v>
      </c>
      <c r="R1417" t="str">
        <f t="shared" si="385"/>
        <v>10788</v>
      </c>
      <c r="S1417" t="str">
        <f t="shared" si="386"/>
        <v>Rhönbräu Klosterbier</v>
      </c>
      <c r="T1417">
        <v>7.75</v>
      </c>
      <c r="U1417">
        <v>40</v>
      </c>
      <c r="V1417">
        <v>0.05</v>
      </c>
      <c r="W1417">
        <f t="shared" si="387"/>
        <v>294.5</v>
      </c>
      <c r="X1417" t="str">
        <f t="shared" si="388"/>
        <v>yes</v>
      </c>
      <c r="Y1417" s="2">
        <v>35086</v>
      </c>
      <c r="Z1417" t="str">
        <f t="shared" si="374"/>
        <v>1st Q 1996</v>
      </c>
      <c r="AA1417" t="str">
        <f t="shared" si="389"/>
        <v>1st Q 1996</v>
      </c>
      <c r="AB1417" t="str" cm="1">
        <f t="array" ref="AB1417">_xlfn.IFS(Y1417&lt;DATE(1996,1,1),"",Y1417&lt;DATE(1996,4,1),"Q1",Y1417&lt;DATE(1996,7,1),"Q2",Y1417&gt;=DATE(1996,7,1),"")</f>
        <v>Q1</v>
      </c>
    </row>
    <row r="1418" spans="1:28" ht="14.4" x14ac:dyDescent="0.55000000000000004">
      <c r="A1418" t="str">
        <f>VLOOKUP(L1418,Customers!$A$2:$B$92,2,FALSE)</f>
        <v>Folies gourmandes</v>
      </c>
      <c r="B1418" t="str">
        <f>VLOOKUP(L1418,Customers!$A$2:$C$92,3,TRUE)</f>
        <v>Martine Rancé</v>
      </c>
      <c r="C1418" t="str">
        <f t="shared" si="375"/>
        <v>Martine</v>
      </c>
      <c r="D1418" s="8" t="str">
        <f t="shared" si="376"/>
        <v>Rancé</v>
      </c>
      <c r="E1418" s="8" t="str">
        <f t="shared" si="377"/>
        <v>Rancé, Martine</v>
      </c>
      <c r="F1418" s="8" t="str">
        <f t="shared" si="378"/>
        <v>Rancé, Martine</v>
      </c>
      <c r="G1418" s="8" t="str">
        <f t="shared" si="379"/>
        <v>not an outlier</v>
      </c>
      <c r="H1418" s="8" t="str">
        <f t="shared" si="380"/>
        <v>Not</v>
      </c>
      <c r="I1418" s="8" t="str">
        <f t="shared" si="390"/>
        <v>no</v>
      </c>
      <c r="J1418" s="10" t="str">
        <f t="shared" si="381"/>
        <v>no</v>
      </c>
      <c r="K1418" s="10" t="str">
        <f t="shared" si="382"/>
        <v>no</v>
      </c>
      <c r="L1418" t="s">
        <v>183</v>
      </c>
      <c r="M1418">
        <v>10789</v>
      </c>
      <c r="N1418">
        <v>18</v>
      </c>
      <c r="O1418" t="s">
        <v>742</v>
      </c>
      <c r="P1418" t="str">
        <f t="shared" si="383"/>
        <v>FOLIG_10789_Carnarvon Tigers</v>
      </c>
      <c r="Q1418" t="str">
        <f t="shared" si="384"/>
        <v>10789</v>
      </c>
      <c r="R1418" t="str">
        <f t="shared" si="385"/>
        <v>10789</v>
      </c>
      <c r="S1418" t="str">
        <f t="shared" si="386"/>
        <v>Carnarvon Tigers</v>
      </c>
      <c r="T1418">
        <v>62.5</v>
      </c>
      <c r="U1418">
        <v>30</v>
      </c>
      <c r="V1418">
        <v>0</v>
      </c>
      <c r="W1418">
        <f t="shared" si="387"/>
        <v>1875</v>
      </c>
      <c r="X1418" t="str">
        <f t="shared" si="388"/>
        <v>yes</v>
      </c>
      <c r="Y1418" s="2">
        <v>35086</v>
      </c>
      <c r="Z1418" t="str">
        <f t="shared" si="374"/>
        <v>1st Q 1996</v>
      </c>
      <c r="AA1418" t="str">
        <f t="shared" si="389"/>
        <v>1st Q 1996</v>
      </c>
      <c r="AB1418" t="str" cm="1">
        <f t="array" ref="AB1418">_xlfn.IFS(Y1418&lt;DATE(1996,1,1),"",Y1418&lt;DATE(1996,4,1),"Q1",Y1418&lt;DATE(1996,7,1),"Q2",Y1418&gt;=DATE(1996,7,1),"")</f>
        <v>Q1</v>
      </c>
    </row>
    <row r="1419" spans="1:28" ht="14.4" x14ac:dyDescent="0.55000000000000004">
      <c r="A1419" t="str">
        <f>VLOOKUP(L1419,Customers!$A$2:$B$92,2,FALSE)</f>
        <v>Folies gourmandes</v>
      </c>
      <c r="B1419" t="str">
        <f>VLOOKUP(L1419,Customers!$A$2:$C$92,3,TRUE)</f>
        <v>Martine Rancé</v>
      </c>
      <c r="C1419" t="str">
        <f t="shared" si="375"/>
        <v>Martine</v>
      </c>
      <c r="D1419" s="8" t="str">
        <f t="shared" si="376"/>
        <v>Rancé</v>
      </c>
      <c r="E1419" s="8" t="str">
        <f t="shared" si="377"/>
        <v>Rancé, Martine</v>
      </c>
      <c r="F1419" s="8" t="str">
        <f t="shared" si="378"/>
        <v>Rancé, Martine</v>
      </c>
      <c r="G1419" s="8" t="str">
        <f t="shared" si="379"/>
        <v>not an outlier</v>
      </c>
      <c r="H1419" s="8" t="str">
        <f t="shared" si="380"/>
        <v>Not</v>
      </c>
      <c r="I1419" s="8" t="str">
        <f t="shared" si="390"/>
        <v>no</v>
      </c>
      <c r="J1419" s="10" t="str">
        <f t="shared" si="381"/>
        <v>no</v>
      </c>
      <c r="K1419" s="10" t="str">
        <f t="shared" si="382"/>
        <v>no</v>
      </c>
      <c r="L1419" t="s">
        <v>183</v>
      </c>
      <c r="M1419">
        <v>10789</v>
      </c>
      <c r="N1419">
        <v>35</v>
      </c>
      <c r="O1419" t="s">
        <v>714</v>
      </c>
      <c r="P1419" t="str">
        <f t="shared" si="383"/>
        <v>FOLIG_10789_Steeleye Stout</v>
      </c>
      <c r="Q1419" t="str">
        <f t="shared" si="384"/>
        <v>10789</v>
      </c>
      <c r="R1419" t="str">
        <f t="shared" si="385"/>
        <v>10789</v>
      </c>
      <c r="S1419" t="str">
        <f t="shared" si="386"/>
        <v>Steeleye Stout</v>
      </c>
      <c r="T1419">
        <v>18</v>
      </c>
      <c r="U1419">
        <v>15</v>
      </c>
      <c r="V1419">
        <v>0</v>
      </c>
      <c r="W1419">
        <f t="shared" si="387"/>
        <v>270</v>
      </c>
      <c r="X1419" t="str">
        <f t="shared" si="388"/>
        <v>yes</v>
      </c>
      <c r="Y1419" s="2">
        <v>35086</v>
      </c>
      <c r="Z1419" t="str">
        <f t="shared" si="374"/>
        <v>1st Q 1996</v>
      </c>
      <c r="AA1419" t="str">
        <f t="shared" si="389"/>
        <v>1st Q 1996</v>
      </c>
      <c r="AB1419" t="str" cm="1">
        <f t="array" ref="AB1419">_xlfn.IFS(Y1419&lt;DATE(1996,1,1),"",Y1419&lt;DATE(1996,4,1),"Q1",Y1419&lt;DATE(1996,7,1),"Q2",Y1419&gt;=DATE(1996,7,1),"")</f>
        <v>Q1</v>
      </c>
    </row>
    <row r="1420" spans="1:28" ht="14.4" x14ac:dyDescent="0.55000000000000004">
      <c r="A1420" t="str">
        <f>VLOOKUP(L1420,Customers!$A$2:$B$92,2,FALSE)</f>
        <v>Folies gourmandes</v>
      </c>
      <c r="B1420" t="str">
        <f>VLOOKUP(L1420,Customers!$A$2:$C$92,3,TRUE)</f>
        <v>Martine Rancé</v>
      </c>
      <c r="C1420" t="str">
        <f t="shared" si="375"/>
        <v>Martine</v>
      </c>
      <c r="D1420" s="8" t="str">
        <f t="shared" si="376"/>
        <v>Rancé</v>
      </c>
      <c r="E1420" s="8" t="str">
        <f t="shared" si="377"/>
        <v>Rancé, Martine</v>
      </c>
      <c r="F1420" s="8" t="str">
        <f t="shared" si="378"/>
        <v>Rancé, Martine</v>
      </c>
      <c r="G1420" s="8" t="str">
        <f t="shared" si="379"/>
        <v>not an outlier</v>
      </c>
      <c r="H1420" s="8" t="str">
        <f t="shared" si="380"/>
        <v>Not</v>
      </c>
      <c r="I1420" s="8" t="str">
        <f t="shared" si="390"/>
        <v>no</v>
      </c>
      <c r="J1420" s="10" t="str">
        <f t="shared" si="381"/>
        <v>no</v>
      </c>
      <c r="K1420" s="10" t="str">
        <f t="shared" si="382"/>
        <v>no</v>
      </c>
      <c r="L1420" t="s">
        <v>183</v>
      </c>
      <c r="M1420">
        <v>10789</v>
      </c>
      <c r="N1420">
        <v>63</v>
      </c>
      <c r="O1420" t="s">
        <v>729</v>
      </c>
      <c r="P1420" t="str">
        <f t="shared" si="383"/>
        <v>FOLIG_10789_Vegie-spread</v>
      </c>
      <c r="Q1420" t="str">
        <f t="shared" si="384"/>
        <v>10789</v>
      </c>
      <c r="R1420" t="str">
        <f t="shared" si="385"/>
        <v>10789</v>
      </c>
      <c r="S1420" t="str">
        <f t="shared" si="386"/>
        <v>Vegie-spread</v>
      </c>
      <c r="T1420">
        <v>43.9</v>
      </c>
      <c r="U1420">
        <v>30</v>
      </c>
      <c r="V1420">
        <v>0</v>
      </c>
      <c r="W1420">
        <f t="shared" si="387"/>
        <v>1317</v>
      </c>
      <c r="X1420" t="str">
        <f t="shared" si="388"/>
        <v>yes</v>
      </c>
      <c r="Y1420" s="2">
        <v>35086</v>
      </c>
      <c r="Z1420" t="str">
        <f t="shared" si="374"/>
        <v>1st Q 1996</v>
      </c>
      <c r="AA1420" t="str">
        <f t="shared" si="389"/>
        <v>1st Q 1996</v>
      </c>
      <c r="AB1420" t="str" cm="1">
        <f t="array" ref="AB1420">_xlfn.IFS(Y1420&lt;DATE(1996,1,1),"",Y1420&lt;DATE(1996,4,1),"Q1",Y1420&lt;DATE(1996,7,1),"Q2",Y1420&gt;=DATE(1996,7,1),"")</f>
        <v>Q1</v>
      </c>
    </row>
    <row r="1421" spans="1:28" ht="14.4" x14ac:dyDescent="0.55000000000000004">
      <c r="A1421" t="str">
        <f>VLOOKUP(L1421,Customers!$A$2:$B$92,2,FALSE)</f>
        <v>Folies gourmandes</v>
      </c>
      <c r="B1421" t="str">
        <f>VLOOKUP(L1421,Customers!$A$2:$C$92,3,TRUE)</f>
        <v>Martine Rancé</v>
      </c>
      <c r="C1421" t="str">
        <f t="shared" si="375"/>
        <v>Martine</v>
      </c>
      <c r="D1421" s="8" t="str">
        <f t="shared" si="376"/>
        <v>Rancé</v>
      </c>
      <c r="E1421" s="8" t="str">
        <f t="shared" si="377"/>
        <v>Rancé, Martine</v>
      </c>
      <c r="F1421" s="8" t="str">
        <f t="shared" si="378"/>
        <v>Rancé, Martine</v>
      </c>
      <c r="G1421" s="8" t="str">
        <f t="shared" si="379"/>
        <v>not an outlier</v>
      </c>
      <c r="H1421" s="8" t="str">
        <f t="shared" si="380"/>
        <v>Not</v>
      </c>
      <c r="I1421" s="8" t="str">
        <f t="shared" si="390"/>
        <v>no</v>
      </c>
      <c r="J1421" s="10" t="str">
        <f t="shared" si="381"/>
        <v>no</v>
      </c>
      <c r="K1421" s="10" t="str">
        <f t="shared" si="382"/>
        <v>no</v>
      </c>
      <c r="L1421" t="s">
        <v>183</v>
      </c>
      <c r="M1421">
        <v>10789</v>
      </c>
      <c r="N1421">
        <v>68</v>
      </c>
      <c r="O1421" t="s">
        <v>739</v>
      </c>
      <c r="P1421" t="str">
        <f t="shared" si="383"/>
        <v>FOLIG_10789_Scottish Longbreads</v>
      </c>
      <c r="Q1421" t="str">
        <f t="shared" si="384"/>
        <v>10789</v>
      </c>
      <c r="R1421" t="str">
        <f t="shared" si="385"/>
        <v>10789</v>
      </c>
      <c r="S1421" t="str">
        <f t="shared" si="386"/>
        <v>Scottish Longbreads</v>
      </c>
      <c r="T1421">
        <v>12.5</v>
      </c>
      <c r="U1421">
        <v>18</v>
      </c>
      <c r="V1421">
        <v>0</v>
      </c>
      <c r="W1421">
        <f t="shared" si="387"/>
        <v>225</v>
      </c>
      <c r="X1421" t="str">
        <f t="shared" si="388"/>
        <v>yes</v>
      </c>
      <c r="Y1421" s="2">
        <v>35086</v>
      </c>
      <c r="Z1421" t="str">
        <f t="shared" si="374"/>
        <v>1st Q 1996</v>
      </c>
      <c r="AA1421" t="str">
        <f t="shared" si="389"/>
        <v>1st Q 1996</v>
      </c>
      <c r="AB1421" t="str" cm="1">
        <f t="array" ref="AB1421">_xlfn.IFS(Y1421&lt;DATE(1996,1,1),"",Y1421&lt;DATE(1996,4,1),"Q1",Y1421&lt;DATE(1996,7,1),"Q2",Y1421&gt;=DATE(1996,7,1),"")</f>
        <v>Q1</v>
      </c>
    </row>
    <row r="1422" spans="1:28" ht="14.4" x14ac:dyDescent="0.55000000000000004">
      <c r="A1422" t="str">
        <f>VLOOKUP(L1422,Customers!$A$2:$B$92,2,FALSE)</f>
        <v>Gourmet Lanchonetes</v>
      </c>
      <c r="B1422" t="str">
        <f>VLOOKUP(L1422,Customers!$A$2:$C$92,3,TRUE)</f>
        <v>André Fonseca</v>
      </c>
      <c r="C1422" t="str">
        <f t="shared" si="375"/>
        <v>André</v>
      </c>
      <c r="D1422" s="8" t="str">
        <f t="shared" si="376"/>
        <v>Fonseca</v>
      </c>
      <c r="E1422" s="8" t="str">
        <f t="shared" si="377"/>
        <v>Fonseca, André</v>
      </c>
      <c r="F1422" s="8" t="str">
        <f t="shared" si="378"/>
        <v>Fonseca, André</v>
      </c>
      <c r="G1422" s="8" t="str">
        <f t="shared" si="379"/>
        <v>not an outlier</v>
      </c>
      <c r="H1422" s="8" t="str">
        <f t="shared" si="380"/>
        <v>Not</v>
      </c>
      <c r="I1422" s="8" t="str">
        <f t="shared" si="390"/>
        <v>no</v>
      </c>
      <c r="J1422" s="10" t="str">
        <f t="shared" si="381"/>
        <v>no</v>
      </c>
      <c r="K1422" s="10" t="str">
        <f t="shared" si="382"/>
        <v>no</v>
      </c>
      <c r="L1422" t="s">
        <v>240</v>
      </c>
      <c r="M1422">
        <v>10790</v>
      </c>
      <c r="N1422">
        <v>7</v>
      </c>
      <c r="O1422" t="s">
        <v>715</v>
      </c>
      <c r="P1422" t="str">
        <f t="shared" si="383"/>
        <v>GOURL_10790_Uncle Bob's Organic Dried Pears</v>
      </c>
      <c r="Q1422" t="str">
        <f t="shared" si="384"/>
        <v>10790</v>
      </c>
      <c r="R1422" t="str">
        <f t="shared" si="385"/>
        <v>10790</v>
      </c>
      <c r="S1422" t="str">
        <f t="shared" si="386"/>
        <v>Uncle Bob's Organic Dried Pears</v>
      </c>
      <c r="T1422">
        <v>30</v>
      </c>
      <c r="U1422">
        <v>3</v>
      </c>
      <c r="V1422">
        <v>0.15</v>
      </c>
      <c r="W1422">
        <f t="shared" si="387"/>
        <v>76.5</v>
      </c>
      <c r="X1422" t="str">
        <f t="shared" si="388"/>
        <v>yes</v>
      </c>
      <c r="Y1422" s="2">
        <v>35086</v>
      </c>
      <c r="Z1422" t="str">
        <f t="shared" si="374"/>
        <v>1st Q 1996</v>
      </c>
      <c r="AA1422" t="str">
        <f t="shared" si="389"/>
        <v>1st Q 1996</v>
      </c>
      <c r="AB1422" t="str" cm="1">
        <f t="array" ref="AB1422">_xlfn.IFS(Y1422&lt;DATE(1996,1,1),"",Y1422&lt;DATE(1996,4,1),"Q1",Y1422&lt;DATE(1996,7,1),"Q2",Y1422&gt;=DATE(1996,7,1),"")</f>
        <v>Q1</v>
      </c>
    </row>
    <row r="1423" spans="1:28" ht="14.4" x14ac:dyDescent="0.55000000000000004">
      <c r="A1423" t="str">
        <f>VLOOKUP(L1423,Customers!$A$2:$B$92,2,FALSE)</f>
        <v>Gourmet Lanchonetes</v>
      </c>
      <c r="B1423" t="str">
        <f>VLOOKUP(L1423,Customers!$A$2:$C$92,3,TRUE)</f>
        <v>André Fonseca</v>
      </c>
      <c r="C1423" t="str">
        <f t="shared" si="375"/>
        <v>André</v>
      </c>
      <c r="D1423" s="8" t="str">
        <f t="shared" si="376"/>
        <v>Fonseca</v>
      </c>
      <c r="E1423" s="8" t="str">
        <f t="shared" si="377"/>
        <v>Fonseca, André</v>
      </c>
      <c r="F1423" s="8" t="str">
        <f t="shared" si="378"/>
        <v>Fonseca, André</v>
      </c>
      <c r="G1423" s="8" t="str">
        <f t="shared" si="379"/>
        <v>not an outlier</v>
      </c>
      <c r="H1423" s="8" t="str">
        <f t="shared" si="380"/>
        <v>Not</v>
      </c>
      <c r="I1423" s="8" t="str">
        <f t="shared" si="390"/>
        <v>no</v>
      </c>
      <c r="J1423" s="10" t="str">
        <f t="shared" si="381"/>
        <v>no</v>
      </c>
      <c r="K1423" s="10" t="str">
        <f t="shared" si="382"/>
        <v>no</v>
      </c>
      <c r="L1423" t="s">
        <v>240</v>
      </c>
      <c r="M1423">
        <v>10790</v>
      </c>
      <c r="N1423">
        <v>56</v>
      </c>
      <c r="O1423" t="s">
        <v>716</v>
      </c>
      <c r="P1423" t="str">
        <f t="shared" si="383"/>
        <v>GOURL_10790_Gnocchi di nonna Alice</v>
      </c>
      <c r="Q1423" t="str">
        <f t="shared" si="384"/>
        <v>10790</v>
      </c>
      <c r="R1423" t="str">
        <f t="shared" si="385"/>
        <v>10790</v>
      </c>
      <c r="S1423" t="str">
        <f t="shared" si="386"/>
        <v>Gnocchi di nonna Alice</v>
      </c>
      <c r="T1423">
        <v>38</v>
      </c>
      <c r="U1423">
        <v>20</v>
      </c>
      <c r="V1423">
        <v>0.15</v>
      </c>
      <c r="W1423">
        <f t="shared" si="387"/>
        <v>646</v>
      </c>
      <c r="X1423" t="str">
        <f t="shared" si="388"/>
        <v>yes</v>
      </c>
      <c r="Y1423" s="2">
        <v>35086</v>
      </c>
      <c r="Z1423" t="str">
        <f t="shared" si="374"/>
        <v>1st Q 1996</v>
      </c>
      <c r="AA1423" t="str">
        <f t="shared" si="389"/>
        <v>1st Q 1996</v>
      </c>
      <c r="AB1423" t="str" cm="1">
        <f t="array" ref="AB1423">_xlfn.IFS(Y1423&lt;DATE(1996,1,1),"",Y1423&lt;DATE(1996,4,1),"Q1",Y1423&lt;DATE(1996,7,1),"Q2",Y1423&gt;=DATE(1996,7,1),"")</f>
        <v>Q1</v>
      </c>
    </row>
    <row r="1424" spans="1:28" ht="14.4" x14ac:dyDescent="0.55000000000000004">
      <c r="A1424" t="str">
        <f>VLOOKUP(L1424,Customers!$A$2:$B$92,2,FALSE)</f>
        <v>Frankenversand</v>
      </c>
      <c r="B1424" t="str">
        <f>VLOOKUP(L1424,Customers!$A$2:$C$92,3,TRUE)</f>
        <v>Peter Franken</v>
      </c>
      <c r="C1424" t="str">
        <f t="shared" si="375"/>
        <v>Peter</v>
      </c>
      <c r="D1424" s="8" t="str">
        <f t="shared" si="376"/>
        <v>Franken</v>
      </c>
      <c r="E1424" s="8" t="str">
        <f t="shared" si="377"/>
        <v>Franken, Peter</v>
      </c>
      <c r="F1424" s="8" t="str">
        <f t="shared" si="378"/>
        <v>Franken, Peter</v>
      </c>
      <c r="G1424" s="8" t="str">
        <f t="shared" si="379"/>
        <v>not an outlier</v>
      </c>
      <c r="H1424" s="8" t="str">
        <f t="shared" si="380"/>
        <v>Not</v>
      </c>
      <c r="I1424" s="8" t="str">
        <f t="shared" si="390"/>
        <v>no</v>
      </c>
      <c r="J1424" s="10" t="str">
        <f t="shared" si="381"/>
        <v>no</v>
      </c>
      <c r="K1424" s="10" t="str">
        <f t="shared" si="382"/>
        <v>no</v>
      </c>
      <c r="L1424" t="s">
        <v>198</v>
      </c>
      <c r="M1424">
        <v>10791</v>
      </c>
      <c r="N1424">
        <v>29</v>
      </c>
      <c r="O1424" t="s">
        <v>722</v>
      </c>
      <c r="P1424" t="str">
        <f t="shared" si="383"/>
        <v>FRANK_10791_Thüringer Rostbratwurst</v>
      </c>
      <c r="Q1424" t="str">
        <f t="shared" si="384"/>
        <v>10791</v>
      </c>
      <c r="R1424" t="str">
        <f t="shared" si="385"/>
        <v>10791</v>
      </c>
      <c r="S1424" t="str">
        <f t="shared" si="386"/>
        <v>Thüringer Rostbratwurst</v>
      </c>
      <c r="T1424">
        <v>123.79</v>
      </c>
      <c r="U1424">
        <v>14</v>
      </c>
      <c r="V1424">
        <v>0.05</v>
      </c>
      <c r="W1424">
        <f t="shared" si="387"/>
        <v>1646.4070000000002</v>
      </c>
      <c r="X1424" t="str">
        <f t="shared" si="388"/>
        <v>yes</v>
      </c>
      <c r="Y1424" s="2">
        <v>35087</v>
      </c>
      <c r="Z1424" t="str">
        <f t="shared" si="374"/>
        <v>1st Q 1996</v>
      </c>
      <c r="AA1424" t="str">
        <f t="shared" si="389"/>
        <v>1st Q 1996</v>
      </c>
      <c r="AB1424" t="str" cm="1">
        <f t="array" ref="AB1424">_xlfn.IFS(Y1424&lt;DATE(1996,1,1),"",Y1424&lt;DATE(1996,4,1),"Q1",Y1424&lt;DATE(1996,7,1),"Q2",Y1424&gt;=DATE(1996,7,1),"")</f>
        <v>Q1</v>
      </c>
    </row>
    <row r="1425" spans="1:28" ht="14.4" x14ac:dyDescent="0.55000000000000004">
      <c r="A1425" t="str">
        <f>VLOOKUP(L1425,Customers!$A$2:$B$92,2,FALSE)</f>
        <v>Frankenversand</v>
      </c>
      <c r="B1425" t="str">
        <f>VLOOKUP(L1425,Customers!$A$2:$C$92,3,TRUE)</f>
        <v>Peter Franken</v>
      </c>
      <c r="C1425" t="str">
        <f t="shared" si="375"/>
        <v>Peter</v>
      </c>
      <c r="D1425" s="8" t="str">
        <f t="shared" si="376"/>
        <v>Franken</v>
      </c>
      <c r="E1425" s="8" t="str">
        <f t="shared" si="377"/>
        <v>Franken, Peter</v>
      </c>
      <c r="F1425" s="8" t="str">
        <f t="shared" si="378"/>
        <v>Franken, Peter</v>
      </c>
      <c r="G1425" s="8" t="str">
        <f t="shared" si="379"/>
        <v>not an outlier</v>
      </c>
      <c r="H1425" s="8" t="str">
        <f t="shared" si="380"/>
        <v>Not</v>
      </c>
      <c r="I1425" s="8" t="str">
        <f t="shared" si="390"/>
        <v>no</v>
      </c>
      <c r="J1425" s="10" t="str">
        <f t="shared" si="381"/>
        <v>no</v>
      </c>
      <c r="K1425" s="10" t="str">
        <f t="shared" si="382"/>
        <v>no</v>
      </c>
      <c r="L1425" t="s">
        <v>198</v>
      </c>
      <c r="M1425">
        <v>10791</v>
      </c>
      <c r="N1425">
        <v>41</v>
      </c>
      <c r="O1425" t="s">
        <v>688</v>
      </c>
      <c r="P1425" t="str">
        <f t="shared" si="383"/>
        <v>FRANK_10791_Jack's New England Clam Chowder</v>
      </c>
      <c r="Q1425" t="str">
        <f t="shared" si="384"/>
        <v>10791</v>
      </c>
      <c r="R1425" t="str">
        <f t="shared" si="385"/>
        <v>10791</v>
      </c>
      <c r="S1425" t="str">
        <f t="shared" si="386"/>
        <v>Jack's New England Clam Chowder</v>
      </c>
      <c r="T1425">
        <v>9.65</v>
      </c>
      <c r="U1425">
        <v>20</v>
      </c>
      <c r="V1425">
        <v>0.05</v>
      </c>
      <c r="W1425">
        <f t="shared" si="387"/>
        <v>183.35</v>
      </c>
      <c r="X1425" t="str">
        <f t="shared" si="388"/>
        <v>yes</v>
      </c>
      <c r="Y1425" s="2">
        <v>35087</v>
      </c>
      <c r="Z1425" t="str">
        <f t="shared" si="374"/>
        <v>1st Q 1996</v>
      </c>
      <c r="AA1425" t="str">
        <f t="shared" si="389"/>
        <v>1st Q 1996</v>
      </c>
      <c r="AB1425" t="str" cm="1">
        <f t="array" ref="AB1425">_xlfn.IFS(Y1425&lt;DATE(1996,1,1),"",Y1425&lt;DATE(1996,4,1),"Q1",Y1425&lt;DATE(1996,7,1),"Q2",Y1425&gt;=DATE(1996,7,1),"")</f>
        <v>Q1</v>
      </c>
    </row>
    <row r="1426" spans="1:28" ht="14.4" x14ac:dyDescent="0.55000000000000004">
      <c r="A1426" t="str">
        <f>VLOOKUP(L1426,Customers!$A$2:$B$92,2,FALSE)</f>
        <v>Wolski  Zajazd</v>
      </c>
      <c r="B1426" t="str">
        <f>VLOOKUP(L1426,Customers!$A$2:$C$92,3,TRUE)</f>
        <v>Zbyszek Piestrzeniewicz</v>
      </c>
      <c r="C1426" t="str">
        <f t="shared" si="375"/>
        <v>Zbyszek</v>
      </c>
      <c r="D1426" s="8" t="str">
        <f t="shared" si="376"/>
        <v>Piestrzeniewicz</v>
      </c>
      <c r="E1426" s="8" t="str">
        <f t="shared" si="377"/>
        <v>Piestrzeniewicz, Zbyszek</v>
      </c>
      <c r="F1426" s="8" t="str">
        <f t="shared" si="378"/>
        <v>Piestrzeniewicz, Zbyszek</v>
      </c>
      <c r="G1426" s="8" t="str">
        <f t="shared" si="379"/>
        <v>not an outlier</v>
      </c>
      <c r="H1426" s="8" t="str">
        <f t="shared" si="380"/>
        <v>Not</v>
      </c>
      <c r="I1426" s="8" t="str">
        <f t="shared" si="390"/>
        <v>no</v>
      </c>
      <c r="J1426" s="10" t="str">
        <f t="shared" si="381"/>
        <v>no</v>
      </c>
      <c r="K1426" s="10" t="str">
        <f t="shared" si="382"/>
        <v>no</v>
      </c>
      <c r="L1426" t="s">
        <v>668</v>
      </c>
      <c r="M1426">
        <v>10792</v>
      </c>
      <c r="N1426">
        <v>2</v>
      </c>
      <c r="O1426" t="s">
        <v>701</v>
      </c>
      <c r="P1426" t="str">
        <f t="shared" si="383"/>
        <v>WOLZA_10792_Chang</v>
      </c>
      <c r="Q1426" t="str">
        <f t="shared" si="384"/>
        <v>10792</v>
      </c>
      <c r="R1426" t="str">
        <f t="shared" si="385"/>
        <v>10792</v>
      </c>
      <c r="S1426" t="str">
        <f t="shared" si="386"/>
        <v>Chang</v>
      </c>
      <c r="T1426">
        <v>19</v>
      </c>
      <c r="U1426">
        <v>10</v>
      </c>
      <c r="V1426">
        <v>0</v>
      </c>
      <c r="W1426">
        <f t="shared" si="387"/>
        <v>190</v>
      </c>
      <c r="X1426" t="str">
        <f t="shared" si="388"/>
        <v>yes</v>
      </c>
      <c r="Y1426" s="2">
        <v>35087</v>
      </c>
      <c r="Z1426" t="str">
        <f t="shared" si="374"/>
        <v>1st Q 1996</v>
      </c>
      <c r="AA1426" t="str">
        <f t="shared" si="389"/>
        <v>1st Q 1996</v>
      </c>
      <c r="AB1426" t="str" cm="1">
        <f t="array" ref="AB1426">_xlfn.IFS(Y1426&lt;DATE(1996,1,1),"",Y1426&lt;DATE(1996,4,1),"Q1",Y1426&lt;DATE(1996,7,1),"Q2",Y1426&gt;=DATE(1996,7,1),"")</f>
        <v>Q1</v>
      </c>
    </row>
    <row r="1427" spans="1:28" ht="14.4" x14ac:dyDescent="0.55000000000000004">
      <c r="A1427" t="str">
        <f>VLOOKUP(L1427,Customers!$A$2:$B$92,2,FALSE)</f>
        <v>Wolski  Zajazd</v>
      </c>
      <c r="B1427" t="str">
        <f>VLOOKUP(L1427,Customers!$A$2:$C$92,3,TRUE)</f>
        <v>Zbyszek Piestrzeniewicz</v>
      </c>
      <c r="C1427" t="str">
        <f t="shared" si="375"/>
        <v>Zbyszek</v>
      </c>
      <c r="D1427" s="8" t="str">
        <f t="shared" si="376"/>
        <v>Piestrzeniewicz</v>
      </c>
      <c r="E1427" s="8" t="str">
        <f t="shared" si="377"/>
        <v>Piestrzeniewicz, Zbyszek</v>
      </c>
      <c r="F1427" s="8" t="str">
        <f t="shared" si="378"/>
        <v>Piestrzeniewicz, Zbyszek</v>
      </c>
      <c r="G1427" s="8" t="str">
        <f t="shared" si="379"/>
        <v>not an outlier</v>
      </c>
      <c r="H1427" s="8" t="str">
        <f t="shared" si="380"/>
        <v>Not</v>
      </c>
      <c r="I1427" s="8" t="str">
        <f t="shared" si="390"/>
        <v>no</v>
      </c>
      <c r="J1427" s="10" t="str">
        <f t="shared" si="381"/>
        <v>no</v>
      </c>
      <c r="K1427" s="10" t="str">
        <f t="shared" si="382"/>
        <v>no</v>
      </c>
      <c r="L1427" t="s">
        <v>668</v>
      </c>
      <c r="M1427">
        <v>10792</v>
      </c>
      <c r="N1427">
        <v>54</v>
      </c>
      <c r="O1427" t="s">
        <v>738</v>
      </c>
      <c r="P1427" t="str">
        <f t="shared" si="383"/>
        <v>WOLZA_10792_Tourtière</v>
      </c>
      <c r="Q1427" t="str">
        <f t="shared" si="384"/>
        <v>10792</v>
      </c>
      <c r="R1427" t="str">
        <f t="shared" si="385"/>
        <v>10792</v>
      </c>
      <c r="S1427" t="str">
        <f t="shared" si="386"/>
        <v>Tourtière</v>
      </c>
      <c r="T1427">
        <v>7.45</v>
      </c>
      <c r="U1427">
        <v>3</v>
      </c>
      <c r="V1427">
        <v>0</v>
      </c>
      <c r="W1427">
        <f t="shared" si="387"/>
        <v>22.35</v>
      </c>
      <c r="X1427" t="str">
        <f t="shared" si="388"/>
        <v>yes</v>
      </c>
      <c r="Y1427" s="2">
        <v>35087</v>
      </c>
      <c r="Z1427" t="str">
        <f t="shared" si="374"/>
        <v>1st Q 1996</v>
      </c>
      <c r="AA1427" t="str">
        <f t="shared" si="389"/>
        <v>1st Q 1996</v>
      </c>
      <c r="AB1427" t="str" cm="1">
        <f t="array" ref="AB1427">_xlfn.IFS(Y1427&lt;DATE(1996,1,1),"",Y1427&lt;DATE(1996,4,1),"Q1",Y1427&lt;DATE(1996,7,1),"Q2",Y1427&gt;=DATE(1996,7,1),"")</f>
        <v>Q1</v>
      </c>
    </row>
    <row r="1428" spans="1:28" ht="14.4" x14ac:dyDescent="0.55000000000000004">
      <c r="A1428" t="str">
        <f>VLOOKUP(L1428,Customers!$A$2:$B$92,2,FALSE)</f>
        <v>Wolski  Zajazd</v>
      </c>
      <c r="B1428" t="str">
        <f>VLOOKUP(L1428,Customers!$A$2:$C$92,3,TRUE)</f>
        <v>Zbyszek Piestrzeniewicz</v>
      </c>
      <c r="C1428" t="str">
        <f t="shared" si="375"/>
        <v>Zbyszek</v>
      </c>
      <c r="D1428" s="8" t="str">
        <f t="shared" si="376"/>
        <v>Piestrzeniewicz</v>
      </c>
      <c r="E1428" s="8" t="str">
        <f t="shared" si="377"/>
        <v>Piestrzeniewicz, Zbyszek</v>
      </c>
      <c r="F1428" s="8" t="str">
        <f t="shared" si="378"/>
        <v>Piestrzeniewicz, Zbyszek</v>
      </c>
      <c r="G1428" s="8" t="str">
        <f t="shared" si="379"/>
        <v>not an outlier</v>
      </c>
      <c r="H1428" s="8" t="str">
        <f t="shared" si="380"/>
        <v>Not</v>
      </c>
      <c r="I1428" s="8" t="str">
        <f t="shared" si="390"/>
        <v>no</v>
      </c>
      <c r="J1428" s="10" t="str">
        <f t="shared" si="381"/>
        <v>no</v>
      </c>
      <c r="K1428" s="10" t="str">
        <f t="shared" si="382"/>
        <v>no</v>
      </c>
      <c r="L1428" t="s">
        <v>668</v>
      </c>
      <c r="M1428">
        <v>10792</v>
      </c>
      <c r="N1428">
        <v>68</v>
      </c>
      <c r="O1428" t="s">
        <v>739</v>
      </c>
      <c r="P1428" t="str">
        <f t="shared" si="383"/>
        <v>WOLZA_10792_Scottish Longbreads</v>
      </c>
      <c r="Q1428" t="str">
        <f t="shared" si="384"/>
        <v>10792</v>
      </c>
      <c r="R1428" t="str">
        <f t="shared" si="385"/>
        <v>10792</v>
      </c>
      <c r="S1428" t="str">
        <f t="shared" si="386"/>
        <v>Scottish Longbreads</v>
      </c>
      <c r="T1428">
        <v>12.5</v>
      </c>
      <c r="U1428">
        <v>15</v>
      </c>
      <c r="V1428">
        <v>0</v>
      </c>
      <c r="W1428">
        <f t="shared" si="387"/>
        <v>187.5</v>
      </c>
      <c r="X1428" t="str">
        <f t="shared" si="388"/>
        <v>yes</v>
      </c>
      <c r="Y1428" s="2">
        <v>35087</v>
      </c>
      <c r="Z1428" t="str">
        <f t="shared" si="374"/>
        <v>1st Q 1996</v>
      </c>
      <c r="AA1428" t="str">
        <f t="shared" si="389"/>
        <v>1st Q 1996</v>
      </c>
      <c r="AB1428" t="str" cm="1">
        <f t="array" ref="AB1428">_xlfn.IFS(Y1428&lt;DATE(1996,1,1),"",Y1428&lt;DATE(1996,4,1),"Q1",Y1428&lt;DATE(1996,7,1),"Q2",Y1428&gt;=DATE(1996,7,1),"")</f>
        <v>Q1</v>
      </c>
    </row>
    <row r="1429" spans="1:28" ht="14.4" x14ac:dyDescent="0.55000000000000004">
      <c r="A1429" t="str">
        <f>VLOOKUP(L1429,Customers!$A$2:$B$92,2,FALSE)</f>
        <v>Around the Horn</v>
      </c>
      <c r="B1429" t="str">
        <f>VLOOKUP(L1429,Customers!$A$2:$C$92,3,TRUE)</f>
        <v>Thomas Hardy</v>
      </c>
      <c r="C1429" t="str">
        <f t="shared" si="375"/>
        <v>Thomas</v>
      </c>
      <c r="D1429" s="8" t="str">
        <f t="shared" si="376"/>
        <v>Hardy</v>
      </c>
      <c r="E1429" s="8" t="str">
        <f t="shared" si="377"/>
        <v>Hardy, Thomas</v>
      </c>
      <c r="F1429" s="8" t="str">
        <f t="shared" si="378"/>
        <v>Hardy, Thomas</v>
      </c>
      <c r="G1429" s="8" t="str">
        <f t="shared" si="379"/>
        <v>not an outlier</v>
      </c>
      <c r="H1429" s="8" t="str">
        <f t="shared" si="380"/>
        <v>Not</v>
      </c>
      <c r="I1429" s="8" t="str">
        <f t="shared" si="390"/>
        <v>no</v>
      </c>
      <c r="J1429" s="10" t="str">
        <f t="shared" si="381"/>
        <v>no</v>
      </c>
      <c r="K1429" s="10" t="str">
        <f t="shared" si="382"/>
        <v>no</v>
      </c>
      <c r="L1429" t="s">
        <v>34</v>
      </c>
      <c r="M1429">
        <v>10793</v>
      </c>
      <c r="N1429">
        <v>41</v>
      </c>
      <c r="O1429" t="s">
        <v>688</v>
      </c>
      <c r="P1429" t="str">
        <f t="shared" si="383"/>
        <v>AROUT_10793_Jack's New England Clam Chowder</v>
      </c>
      <c r="Q1429" t="str">
        <f t="shared" si="384"/>
        <v>10793</v>
      </c>
      <c r="R1429" t="str">
        <f t="shared" si="385"/>
        <v>10793</v>
      </c>
      <c r="S1429" t="str">
        <f t="shared" si="386"/>
        <v>Jack's New England Clam Chowder</v>
      </c>
      <c r="T1429">
        <v>9.65</v>
      </c>
      <c r="U1429">
        <v>14</v>
      </c>
      <c r="V1429">
        <v>0</v>
      </c>
      <c r="W1429">
        <f t="shared" si="387"/>
        <v>135.1</v>
      </c>
      <c r="X1429" t="str">
        <f t="shared" si="388"/>
        <v>yes</v>
      </c>
      <c r="Y1429" s="2">
        <v>35088</v>
      </c>
      <c r="Z1429" t="str">
        <f t="shared" si="374"/>
        <v>1st Q 1996</v>
      </c>
      <c r="AA1429" t="str">
        <f t="shared" si="389"/>
        <v>1st Q 1996</v>
      </c>
      <c r="AB1429" t="str" cm="1">
        <f t="array" ref="AB1429">_xlfn.IFS(Y1429&lt;DATE(1996,1,1),"",Y1429&lt;DATE(1996,4,1),"Q1",Y1429&lt;DATE(1996,7,1),"Q2",Y1429&gt;=DATE(1996,7,1),"")</f>
        <v>Q1</v>
      </c>
    </row>
    <row r="1430" spans="1:28" ht="14.4" x14ac:dyDescent="0.55000000000000004">
      <c r="A1430" t="str">
        <f>VLOOKUP(L1430,Customers!$A$2:$B$92,2,FALSE)</f>
        <v>Around the Horn</v>
      </c>
      <c r="B1430" t="str">
        <f>VLOOKUP(L1430,Customers!$A$2:$C$92,3,TRUE)</f>
        <v>Thomas Hardy</v>
      </c>
      <c r="C1430" t="str">
        <f t="shared" si="375"/>
        <v>Thomas</v>
      </c>
      <c r="D1430" s="8" t="str">
        <f t="shared" si="376"/>
        <v>Hardy</v>
      </c>
      <c r="E1430" s="8" t="str">
        <f t="shared" si="377"/>
        <v>Hardy, Thomas</v>
      </c>
      <c r="F1430" s="8" t="str">
        <f t="shared" si="378"/>
        <v>Hardy, Thomas</v>
      </c>
      <c r="G1430" s="8" t="str">
        <f t="shared" si="379"/>
        <v>not an outlier</v>
      </c>
      <c r="H1430" s="8" t="str">
        <f t="shared" si="380"/>
        <v>Not</v>
      </c>
      <c r="I1430" s="8" t="str">
        <f t="shared" si="390"/>
        <v>no</v>
      </c>
      <c r="J1430" s="10" t="str">
        <f t="shared" si="381"/>
        <v>no</v>
      </c>
      <c r="K1430" s="10" t="str">
        <f t="shared" si="382"/>
        <v>no</v>
      </c>
      <c r="L1430" t="s">
        <v>34</v>
      </c>
      <c r="M1430">
        <v>10793</v>
      </c>
      <c r="N1430">
        <v>52</v>
      </c>
      <c r="O1430" t="s">
        <v>748</v>
      </c>
      <c r="P1430" t="str">
        <f t="shared" si="383"/>
        <v>AROUT_10793_Filo Mix</v>
      </c>
      <c r="Q1430" t="str">
        <f t="shared" si="384"/>
        <v>10793</v>
      </c>
      <c r="R1430" t="str">
        <f t="shared" si="385"/>
        <v>10793</v>
      </c>
      <c r="S1430" t="str">
        <f t="shared" si="386"/>
        <v>Filo Mix</v>
      </c>
      <c r="T1430">
        <v>7</v>
      </c>
      <c r="U1430">
        <v>8</v>
      </c>
      <c r="V1430">
        <v>0</v>
      </c>
      <c r="W1430">
        <f t="shared" si="387"/>
        <v>56</v>
      </c>
      <c r="X1430" t="str">
        <f t="shared" si="388"/>
        <v>yes</v>
      </c>
      <c r="Y1430" s="2">
        <v>35088</v>
      </c>
      <c r="Z1430" t="str">
        <f t="shared" si="374"/>
        <v>1st Q 1996</v>
      </c>
      <c r="AA1430" t="str">
        <f t="shared" si="389"/>
        <v>1st Q 1996</v>
      </c>
      <c r="AB1430" t="str" cm="1">
        <f t="array" ref="AB1430">_xlfn.IFS(Y1430&lt;DATE(1996,1,1),"",Y1430&lt;DATE(1996,4,1),"Q1",Y1430&lt;DATE(1996,7,1),"Q2",Y1430&gt;=DATE(1996,7,1),"")</f>
        <v>Q1</v>
      </c>
    </row>
    <row r="1431" spans="1:28" ht="14.4" x14ac:dyDescent="0.55000000000000004">
      <c r="A1431" t="str">
        <f>VLOOKUP(L1431,Customers!$A$2:$B$92,2,FALSE)</f>
        <v>Que Delícia</v>
      </c>
      <c r="B1431" t="str">
        <f>VLOOKUP(L1431,Customers!$A$2:$C$92,3,TRUE)</f>
        <v>Bernardo Batista</v>
      </c>
      <c r="C1431" t="str">
        <f t="shared" si="375"/>
        <v>Bernardo</v>
      </c>
      <c r="D1431" s="8" t="str">
        <f t="shared" si="376"/>
        <v>Batista</v>
      </c>
      <c r="E1431" s="8" t="str">
        <f t="shared" si="377"/>
        <v>Batista, Bernardo</v>
      </c>
      <c r="F1431" s="8" t="str">
        <f t="shared" si="378"/>
        <v>Batista, Bernardo</v>
      </c>
      <c r="G1431" s="8" t="str">
        <f t="shared" si="379"/>
        <v>not an outlier</v>
      </c>
      <c r="H1431" s="8" t="str">
        <f t="shared" si="380"/>
        <v>Not</v>
      </c>
      <c r="I1431" s="8" t="str">
        <f t="shared" si="390"/>
        <v>no</v>
      </c>
      <c r="J1431" s="10" t="str">
        <f t="shared" si="381"/>
        <v>no</v>
      </c>
      <c r="K1431" s="10" t="str">
        <f t="shared" si="382"/>
        <v>no</v>
      </c>
      <c r="L1431" t="s">
        <v>462</v>
      </c>
      <c r="M1431">
        <v>10794</v>
      </c>
      <c r="N1431">
        <v>14</v>
      </c>
      <c r="O1431" t="s">
        <v>686</v>
      </c>
      <c r="P1431" t="str">
        <f t="shared" si="383"/>
        <v>QUEDE_10794_Tofu</v>
      </c>
      <c r="Q1431" t="str">
        <f t="shared" si="384"/>
        <v>10794</v>
      </c>
      <c r="R1431" t="str">
        <f t="shared" si="385"/>
        <v>10794</v>
      </c>
      <c r="S1431" t="str">
        <f t="shared" si="386"/>
        <v>Tofu</v>
      </c>
      <c r="T1431">
        <v>23.25</v>
      </c>
      <c r="U1431">
        <v>15</v>
      </c>
      <c r="V1431">
        <v>0.2</v>
      </c>
      <c r="W1431">
        <f t="shared" si="387"/>
        <v>279</v>
      </c>
      <c r="X1431" t="str">
        <f t="shared" si="388"/>
        <v>yes</v>
      </c>
      <c r="Y1431" s="2">
        <v>35088</v>
      </c>
      <c r="Z1431" t="str">
        <f t="shared" si="374"/>
        <v>1st Q 1996</v>
      </c>
      <c r="AA1431" t="str">
        <f t="shared" si="389"/>
        <v>1st Q 1996</v>
      </c>
      <c r="AB1431" t="str" cm="1">
        <f t="array" ref="AB1431">_xlfn.IFS(Y1431&lt;DATE(1996,1,1),"",Y1431&lt;DATE(1996,4,1),"Q1",Y1431&lt;DATE(1996,7,1),"Q2",Y1431&gt;=DATE(1996,7,1),"")</f>
        <v>Q1</v>
      </c>
    </row>
    <row r="1432" spans="1:28" ht="14.4" x14ac:dyDescent="0.55000000000000004">
      <c r="A1432" t="str">
        <f>VLOOKUP(L1432,Customers!$A$2:$B$92,2,FALSE)</f>
        <v>Que Delícia</v>
      </c>
      <c r="B1432" t="str">
        <f>VLOOKUP(L1432,Customers!$A$2:$C$92,3,TRUE)</f>
        <v>Bernardo Batista</v>
      </c>
      <c r="C1432" t="str">
        <f t="shared" si="375"/>
        <v>Bernardo</v>
      </c>
      <c r="D1432" s="8" t="str">
        <f t="shared" si="376"/>
        <v>Batista</v>
      </c>
      <c r="E1432" s="8" t="str">
        <f t="shared" si="377"/>
        <v>Batista, Bernardo</v>
      </c>
      <c r="F1432" s="8" t="str">
        <f t="shared" si="378"/>
        <v>Batista, Bernardo</v>
      </c>
      <c r="G1432" s="8" t="str">
        <f t="shared" si="379"/>
        <v>not an outlier</v>
      </c>
      <c r="H1432" s="8" t="str">
        <f t="shared" si="380"/>
        <v>Not</v>
      </c>
      <c r="I1432" s="8" t="str">
        <f t="shared" si="390"/>
        <v>no</v>
      </c>
      <c r="J1432" s="10" t="str">
        <f t="shared" si="381"/>
        <v>no</v>
      </c>
      <c r="K1432" s="10" t="str">
        <f t="shared" si="382"/>
        <v>no</v>
      </c>
      <c r="L1432" t="s">
        <v>462</v>
      </c>
      <c r="M1432">
        <v>10794</v>
      </c>
      <c r="N1432">
        <v>54</v>
      </c>
      <c r="O1432" t="s">
        <v>738</v>
      </c>
      <c r="P1432" t="str">
        <f t="shared" si="383"/>
        <v>QUEDE_10794_Tourtière</v>
      </c>
      <c r="Q1432" t="str">
        <f t="shared" si="384"/>
        <v>10794</v>
      </c>
      <c r="R1432" t="str">
        <f t="shared" si="385"/>
        <v>10794</v>
      </c>
      <c r="S1432" t="str">
        <f t="shared" si="386"/>
        <v>Tourtière</v>
      </c>
      <c r="T1432">
        <v>7.45</v>
      </c>
      <c r="U1432">
        <v>6</v>
      </c>
      <c r="V1432">
        <v>0.2</v>
      </c>
      <c r="W1432">
        <f t="shared" si="387"/>
        <v>35.760000000000005</v>
      </c>
      <c r="X1432" t="str">
        <f t="shared" si="388"/>
        <v>yes</v>
      </c>
      <c r="Y1432" s="2">
        <v>35088</v>
      </c>
      <c r="Z1432" t="str">
        <f t="shared" si="374"/>
        <v>1st Q 1996</v>
      </c>
      <c r="AA1432" t="str">
        <f t="shared" si="389"/>
        <v>1st Q 1996</v>
      </c>
      <c r="AB1432" t="str" cm="1">
        <f t="array" ref="AB1432">_xlfn.IFS(Y1432&lt;DATE(1996,1,1),"",Y1432&lt;DATE(1996,4,1),"Q1",Y1432&lt;DATE(1996,7,1),"Q2",Y1432&gt;=DATE(1996,7,1),"")</f>
        <v>Q1</v>
      </c>
    </row>
    <row r="1433" spans="1:28" ht="14.4" x14ac:dyDescent="0.55000000000000004">
      <c r="A1433" t="str">
        <f>VLOOKUP(L1433,Customers!$A$2:$B$92,2,FALSE)</f>
        <v>Ernst Handel</v>
      </c>
      <c r="B1433" t="str">
        <f>VLOOKUP(L1433,Customers!$A$2:$C$92,3,TRUE)</f>
        <v>Roland Mendel</v>
      </c>
      <c r="C1433" t="str">
        <f t="shared" si="375"/>
        <v>Roland</v>
      </c>
      <c r="D1433" s="8" t="str">
        <f t="shared" si="376"/>
        <v>Mendel</v>
      </c>
      <c r="E1433" s="8" t="str">
        <f t="shared" si="377"/>
        <v>Mendel, Roland</v>
      </c>
      <c r="F1433" s="8" t="str">
        <f t="shared" si="378"/>
        <v>Mendel, Roland</v>
      </c>
      <c r="G1433" s="8" t="str">
        <f t="shared" si="379"/>
        <v>not an outlier</v>
      </c>
      <c r="H1433" s="8" t="str">
        <f t="shared" si="380"/>
        <v>Not</v>
      </c>
      <c r="I1433" s="8" t="str">
        <f t="shared" si="390"/>
        <v>no</v>
      </c>
      <c r="J1433" s="10" t="str">
        <f t="shared" si="381"/>
        <v>no</v>
      </c>
      <c r="K1433" s="10" t="str">
        <f t="shared" si="382"/>
        <v>no</v>
      </c>
      <c r="L1433" t="s">
        <v>161</v>
      </c>
      <c r="M1433">
        <v>10795</v>
      </c>
      <c r="N1433">
        <v>16</v>
      </c>
      <c r="O1433" t="s">
        <v>702</v>
      </c>
      <c r="P1433" t="str">
        <f t="shared" si="383"/>
        <v>ERNSH_10795_Pavlova</v>
      </c>
      <c r="Q1433" t="str">
        <f t="shared" si="384"/>
        <v>10795</v>
      </c>
      <c r="R1433" t="str">
        <f t="shared" si="385"/>
        <v>10795</v>
      </c>
      <c r="S1433" t="str">
        <f t="shared" si="386"/>
        <v>Pavlova</v>
      </c>
      <c r="T1433">
        <v>17.45</v>
      </c>
      <c r="U1433">
        <v>65</v>
      </c>
      <c r="V1433">
        <v>0</v>
      </c>
      <c r="W1433">
        <f t="shared" si="387"/>
        <v>1134.25</v>
      </c>
      <c r="X1433" t="str">
        <f t="shared" si="388"/>
        <v>yes</v>
      </c>
      <c r="Y1433" s="2">
        <v>35088</v>
      </c>
      <c r="Z1433" t="str">
        <f t="shared" si="374"/>
        <v>1st Q 1996</v>
      </c>
      <c r="AA1433" t="str">
        <f t="shared" si="389"/>
        <v>1st Q 1996</v>
      </c>
      <c r="AB1433" t="str" cm="1">
        <f t="array" ref="AB1433">_xlfn.IFS(Y1433&lt;DATE(1996,1,1),"",Y1433&lt;DATE(1996,4,1),"Q1",Y1433&lt;DATE(1996,7,1),"Q2",Y1433&gt;=DATE(1996,7,1),"")</f>
        <v>Q1</v>
      </c>
    </row>
    <row r="1434" spans="1:28" ht="14.4" x14ac:dyDescent="0.55000000000000004">
      <c r="A1434" t="str">
        <f>VLOOKUP(L1434,Customers!$A$2:$B$92,2,FALSE)</f>
        <v>Ernst Handel</v>
      </c>
      <c r="B1434" t="str">
        <f>VLOOKUP(L1434,Customers!$A$2:$C$92,3,TRUE)</f>
        <v>Roland Mendel</v>
      </c>
      <c r="C1434" t="str">
        <f t="shared" si="375"/>
        <v>Roland</v>
      </c>
      <c r="D1434" s="8" t="str">
        <f t="shared" si="376"/>
        <v>Mendel</v>
      </c>
      <c r="E1434" s="8" t="str">
        <f t="shared" si="377"/>
        <v>Mendel, Roland</v>
      </c>
      <c r="F1434" s="8" t="str">
        <f t="shared" si="378"/>
        <v>Mendel, Roland</v>
      </c>
      <c r="G1434" s="8" t="str">
        <f t="shared" si="379"/>
        <v>not an outlier</v>
      </c>
      <c r="H1434" s="8" t="str">
        <f t="shared" si="380"/>
        <v>Not</v>
      </c>
      <c r="I1434" s="8" t="str">
        <f t="shared" si="390"/>
        <v>no</v>
      </c>
      <c r="J1434" s="10" t="str">
        <f t="shared" si="381"/>
        <v>no</v>
      </c>
      <c r="K1434" s="10" t="str">
        <f t="shared" si="382"/>
        <v>no</v>
      </c>
      <c r="L1434" t="s">
        <v>161</v>
      </c>
      <c r="M1434">
        <v>10795</v>
      </c>
      <c r="N1434">
        <v>17</v>
      </c>
      <c r="O1434" t="s">
        <v>718</v>
      </c>
      <c r="P1434" t="str">
        <f t="shared" si="383"/>
        <v>ERNSH_10795_Alice Mutton</v>
      </c>
      <c r="Q1434" t="str">
        <f t="shared" si="384"/>
        <v>10795</v>
      </c>
      <c r="R1434" t="str">
        <f t="shared" si="385"/>
        <v>10795</v>
      </c>
      <c r="S1434" t="str">
        <f t="shared" si="386"/>
        <v>Alice Mutton</v>
      </c>
      <c r="T1434">
        <v>39</v>
      </c>
      <c r="U1434">
        <v>35</v>
      </c>
      <c r="V1434">
        <v>0.25</v>
      </c>
      <c r="W1434">
        <f t="shared" si="387"/>
        <v>1023.75</v>
      </c>
      <c r="X1434" t="str">
        <f t="shared" si="388"/>
        <v>yes</v>
      </c>
      <c r="Y1434" s="2">
        <v>35088</v>
      </c>
      <c r="Z1434" t="str">
        <f t="shared" si="374"/>
        <v>1st Q 1996</v>
      </c>
      <c r="AA1434" t="str">
        <f t="shared" si="389"/>
        <v>1st Q 1996</v>
      </c>
      <c r="AB1434" t="str" cm="1">
        <f t="array" ref="AB1434">_xlfn.IFS(Y1434&lt;DATE(1996,1,1),"",Y1434&lt;DATE(1996,4,1),"Q1",Y1434&lt;DATE(1996,7,1),"Q2",Y1434&gt;=DATE(1996,7,1),"")</f>
        <v>Q1</v>
      </c>
    </row>
    <row r="1435" spans="1:28" ht="14.4" x14ac:dyDescent="0.55000000000000004">
      <c r="A1435" t="str">
        <f>VLOOKUP(L1435,Customers!$A$2:$B$92,2,FALSE)</f>
        <v>HILARIÓN-Abastos</v>
      </c>
      <c r="B1435" t="str">
        <f>VLOOKUP(L1435,Customers!$A$2:$C$92,3,TRUE)</f>
        <v>Carlos Hernández</v>
      </c>
      <c r="C1435" t="str">
        <f t="shared" si="375"/>
        <v>Carlos</v>
      </c>
      <c r="D1435" s="8" t="str">
        <f t="shared" si="376"/>
        <v>Hernández</v>
      </c>
      <c r="E1435" s="8" t="str">
        <f t="shared" si="377"/>
        <v>Hernández, Carlos</v>
      </c>
      <c r="F1435" s="8" t="str">
        <f t="shared" si="378"/>
        <v>Hernández, Carlos</v>
      </c>
      <c r="G1435" s="8" t="str">
        <f t="shared" si="379"/>
        <v>not an outlier</v>
      </c>
      <c r="H1435" s="8" t="str">
        <f t="shared" si="380"/>
        <v>Not</v>
      </c>
      <c r="I1435" s="8" t="str">
        <f t="shared" si="390"/>
        <v>no</v>
      </c>
      <c r="J1435" s="10" t="str">
        <f t="shared" si="381"/>
        <v>no</v>
      </c>
      <c r="K1435" s="10" t="str">
        <f t="shared" si="382"/>
        <v>no</v>
      </c>
      <c r="L1435" t="s">
        <v>273</v>
      </c>
      <c r="M1435">
        <v>10796</v>
      </c>
      <c r="N1435">
        <v>26</v>
      </c>
      <c r="O1435" t="s">
        <v>751</v>
      </c>
      <c r="P1435" t="str">
        <f t="shared" si="383"/>
        <v>HILAA_10796_Gumbär Gummibärchen</v>
      </c>
      <c r="Q1435" t="str">
        <f t="shared" si="384"/>
        <v>10796</v>
      </c>
      <c r="R1435" t="str">
        <f t="shared" si="385"/>
        <v>10796</v>
      </c>
      <c r="S1435" t="str">
        <f t="shared" si="386"/>
        <v>Gumbär Gummibärchen</v>
      </c>
      <c r="T1435">
        <v>31.23</v>
      </c>
      <c r="U1435">
        <v>21</v>
      </c>
      <c r="V1435">
        <v>0.2</v>
      </c>
      <c r="W1435">
        <f t="shared" si="387"/>
        <v>524.6640000000001</v>
      </c>
      <c r="X1435" t="str">
        <f t="shared" si="388"/>
        <v>yes</v>
      </c>
      <c r="Y1435" s="2">
        <v>35089</v>
      </c>
      <c r="Z1435" t="str">
        <f t="shared" si="374"/>
        <v>1st Q 1996</v>
      </c>
      <c r="AA1435" t="str">
        <f t="shared" si="389"/>
        <v>1st Q 1996</v>
      </c>
      <c r="AB1435" t="str" cm="1">
        <f t="array" ref="AB1435">_xlfn.IFS(Y1435&lt;DATE(1996,1,1),"",Y1435&lt;DATE(1996,4,1),"Q1",Y1435&lt;DATE(1996,7,1),"Q2",Y1435&gt;=DATE(1996,7,1),"")</f>
        <v>Q1</v>
      </c>
    </row>
    <row r="1436" spans="1:28" ht="14.4" x14ac:dyDescent="0.55000000000000004">
      <c r="A1436" t="str">
        <f>VLOOKUP(L1436,Customers!$A$2:$B$92,2,FALSE)</f>
        <v>HILARIÓN-Abastos</v>
      </c>
      <c r="B1436" t="str">
        <f>VLOOKUP(L1436,Customers!$A$2:$C$92,3,TRUE)</f>
        <v>Carlos Hernández</v>
      </c>
      <c r="C1436" t="str">
        <f t="shared" si="375"/>
        <v>Carlos</v>
      </c>
      <c r="D1436" s="8" t="str">
        <f t="shared" si="376"/>
        <v>Hernández</v>
      </c>
      <c r="E1436" s="8" t="str">
        <f t="shared" si="377"/>
        <v>Hernández, Carlos</v>
      </c>
      <c r="F1436" s="8" t="str">
        <f t="shared" si="378"/>
        <v>Hernández, Carlos</v>
      </c>
      <c r="G1436" s="8" t="str">
        <f t="shared" si="379"/>
        <v>not an outlier</v>
      </c>
      <c r="H1436" s="8" t="str">
        <f t="shared" si="380"/>
        <v>Not</v>
      </c>
      <c r="I1436" s="8" t="str">
        <f t="shared" si="390"/>
        <v>no</v>
      </c>
      <c r="J1436" s="10" t="str">
        <f t="shared" si="381"/>
        <v>no</v>
      </c>
      <c r="K1436" s="10" t="str">
        <f t="shared" si="382"/>
        <v>no</v>
      </c>
      <c r="L1436" t="s">
        <v>273</v>
      </c>
      <c r="M1436">
        <v>10796</v>
      </c>
      <c r="N1436">
        <v>44</v>
      </c>
      <c r="O1436" t="s">
        <v>728</v>
      </c>
      <c r="P1436" t="str">
        <f t="shared" si="383"/>
        <v>HILAA_10796_Gula Malacca</v>
      </c>
      <c r="Q1436" t="str">
        <f t="shared" si="384"/>
        <v>10796</v>
      </c>
      <c r="R1436" t="str">
        <f t="shared" si="385"/>
        <v>10796</v>
      </c>
      <c r="S1436" t="str">
        <f t="shared" si="386"/>
        <v>Gula Malacca</v>
      </c>
      <c r="T1436">
        <v>19.45</v>
      </c>
      <c r="U1436">
        <v>10</v>
      </c>
      <c r="V1436">
        <v>0</v>
      </c>
      <c r="W1436">
        <f t="shared" si="387"/>
        <v>194.5</v>
      </c>
      <c r="X1436" t="str">
        <f t="shared" si="388"/>
        <v>yes</v>
      </c>
      <c r="Y1436" s="2">
        <v>35089</v>
      </c>
      <c r="Z1436" t="str">
        <f t="shared" si="374"/>
        <v>1st Q 1996</v>
      </c>
      <c r="AA1436" t="str">
        <f t="shared" si="389"/>
        <v>1st Q 1996</v>
      </c>
      <c r="AB1436" t="str" cm="1">
        <f t="array" ref="AB1436">_xlfn.IFS(Y1436&lt;DATE(1996,1,1),"",Y1436&lt;DATE(1996,4,1),"Q1",Y1436&lt;DATE(1996,7,1),"Q2",Y1436&gt;=DATE(1996,7,1),"")</f>
        <v>Q1</v>
      </c>
    </row>
    <row r="1437" spans="1:28" ht="14.4" x14ac:dyDescent="0.55000000000000004">
      <c r="A1437" t="str">
        <f>VLOOKUP(L1437,Customers!$A$2:$B$92,2,FALSE)</f>
        <v>HILARIÓN-Abastos</v>
      </c>
      <c r="B1437" t="str">
        <f>VLOOKUP(L1437,Customers!$A$2:$C$92,3,TRUE)</f>
        <v>Carlos Hernández</v>
      </c>
      <c r="C1437" t="str">
        <f t="shared" si="375"/>
        <v>Carlos</v>
      </c>
      <c r="D1437" s="8" t="str">
        <f t="shared" si="376"/>
        <v>Hernández</v>
      </c>
      <c r="E1437" s="8" t="str">
        <f t="shared" si="377"/>
        <v>Hernández, Carlos</v>
      </c>
      <c r="F1437" s="8" t="str">
        <f t="shared" si="378"/>
        <v>Hernández, Carlos</v>
      </c>
      <c r="G1437" s="8" t="str">
        <f t="shared" si="379"/>
        <v>not an outlier</v>
      </c>
      <c r="H1437" s="8" t="str">
        <f t="shared" si="380"/>
        <v>Not</v>
      </c>
      <c r="I1437" s="8" t="str">
        <f t="shared" si="390"/>
        <v>no</v>
      </c>
      <c r="J1437" s="10" t="str">
        <f t="shared" si="381"/>
        <v>no</v>
      </c>
      <c r="K1437" s="10" t="str">
        <f t="shared" si="382"/>
        <v>no</v>
      </c>
      <c r="L1437" t="s">
        <v>273</v>
      </c>
      <c r="M1437">
        <v>10796</v>
      </c>
      <c r="N1437">
        <v>64</v>
      </c>
      <c r="O1437" t="s">
        <v>741</v>
      </c>
      <c r="P1437" t="str">
        <f t="shared" si="383"/>
        <v>HILAA_10796_Wimmers gute Semmelknödel</v>
      </c>
      <c r="Q1437" t="str">
        <f t="shared" si="384"/>
        <v>10796</v>
      </c>
      <c r="R1437" t="str">
        <f t="shared" si="385"/>
        <v>10796</v>
      </c>
      <c r="S1437" t="str">
        <f t="shared" si="386"/>
        <v>Wimmers gute Semmelknödel</v>
      </c>
      <c r="T1437">
        <v>33.25</v>
      </c>
      <c r="U1437">
        <v>35</v>
      </c>
      <c r="V1437">
        <v>0.2</v>
      </c>
      <c r="W1437">
        <f t="shared" si="387"/>
        <v>931</v>
      </c>
      <c r="X1437" t="str">
        <f t="shared" si="388"/>
        <v>yes</v>
      </c>
      <c r="Y1437" s="2">
        <v>35089</v>
      </c>
      <c r="Z1437" t="str">
        <f t="shared" si="374"/>
        <v>1st Q 1996</v>
      </c>
      <c r="AA1437" t="str">
        <f t="shared" si="389"/>
        <v>1st Q 1996</v>
      </c>
      <c r="AB1437" t="str" cm="1">
        <f t="array" ref="AB1437">_xlfn.IFS(Y1437&lt;DATE(1996,1,1),"",Y1437&lt;DATE(1996,4,1),"Q1",Y1437&lt;DATE(1996,7,1),"Q2",Y1437&gt;=DATE(1996,7,1),"")</f>
        <v>Q1</v>
      </c>
    </row>
    <row r="1438" spans="1:28" ht="14.4" x14ac:dyDescent="0.55000000000000004">
      <c r="A1438" t="str">
        <f>VLOOKUP(L1438,Customers!$A$2:$B$92,2,FALSE)</f>
        <v>HILARIÓN-Abastos</v>
      </c>
      <c r="B1438" t="str">
        <f>VLOOKUP(L1438,Customers!$A$2:$C$92,3,TRUE)</f>
        <v>Carlos Hernández</v>
      </c>
      <c r="C1438" t="str">
        <f t="shared" si="375"/>
        <v>Carlos</v>
      </c>
      <c r="D1438" s="8" t="str">
        <f t="shared" si="376"/>
        <v>Hernández</v>
      </c>
      <c r="E1438" s="8" t="str">
        <f t="shared" si="377"/>
        <v>Hernández, Carlos</v>
      </c>
      <c r="F1438" s="8" t="str">
        <f t="shared" si="378"/>
        <v>Hernández, Carlos</v>
      </c>
      <c r="G1438" s="8" t="str">
        <f t="shared" si="379"/>
        <v>not an outlier</v>
      </c>
      <c r="H1438" s="8" t="str">
        <f t="shared" si="380"/>
        <v>Not</v>
      </c>
      <c r="I1438" s="8" t="str">
        <f t="shared" si="390"/>
        <v>no</v>
      </c>
      <c r="J1438" s="10" t="str">
        <f t="shared" si="381"/>
        <v>no</v>
      </c>
      <c r="K1438" s="10" t="str">
        <f t="shared" si="382"/>
        <v>no</v>
      </c>
      <c r="L1438" t="s">
        <v>273</v>
      </c>
      <c r="M1438">
        <v>10796</v>
      </c>
      <c r="N1438">
        <v>69</v>
      </c>
      <c r="O1438" t="s">
        <v>743</v>
      </c>
      <c r="P1438" t="str">
        <f t="shared" si="383"/>
        <v>HILAA_10796_Gudbrandsdalsost</v>
      </c>
      <c r="Q1438" t="str">
        <f t="shared" si="384"/>
        <v>10796</v>
      </c>
      <c r="R1438" t="str">
        <f t="shared" si="385"/>
        <v>10796</v>
      </c>
      <c r="S1438" t="str">
        <f t="shared" si="386"/>
        <v>Gudbrandsdalsost</v>
      </c>
      <c r="T1438">
        <v>36</v>
      </c>
      <c r="U1438">
        <v>24</v>
      </c>
      <c r="V1438">
        <v>0.2</v>
      </c>
      <c r="W1438">
        <f t="shared" si="387"/>
        <v>691.2</v>
      </c>
      <c r="X1438" t="str">
        <f t="shared" si="388"/>
        <v>yes</v>
      </c>
      <c r="Y1438" s="2">
        <v>35089</v>
      </c>
      <c r="Z1438" t="str">
        <f t="shared" si="374"/>
        <v>1st Q 1996</v>
      </c>
      <c r="AA1438" t="str">
        <f t="shared" si="389"/>
        <v>1st Q 1996</v>
      </c>
      <c r="AB1438" t="str" cm="1">
        <f t="array" ref="AB1438">_xlfn.IFS(Y1438&lt;DATE(1996,1,1),"",Y1438&lt;DATE(1996,4,1),"Q1",Y1438&lt;DATE(1996,7,1),"Q2",Y1438&gt;=DATE(1996,7,1),"")</f>
        <v>Q1</v>
      </c>
    </row>
    <row r="1439" spans="1:28" ht="14.4" x14ac:dyDescent="0.55000000000000004">
      <c r="A1439" t="str">
        <f>VLOOKUP(L1439,Customers!$A$2:$B$92,2,FALSE)</f>
        <v>Drachenblut Delikatessen</v>
      </c>
      <c r="B1439" t="str">
        <f>VLOOKUP(L1439,Customers!$A$2:$C$92,3,TRUE)</f>
        <v>Sven Ottlieb</v>
      </c>
      <c r="C1439" t="str">
        <f t="shared" si="375"/>
        <v>Sven</v>
      </c>
      <c r="D1439" s="8" t="str">
        <f t="shared" si="376"/>
        <v>Ottlieb</v>
      </c>
      <c r="E1439" s="8" t="str">
        <f t="shared" si="377"/>
        <v>Ottlieb, Sven</v>
      </c>
      <c r="F1439" s="8" t="str">
        <f t="shared" si="378"/>
        <v>Ottlieb, Sven</v>
      </c>
      <c r="G1439" s="8" t="str">
        <f t="shared" si="379"/>
        <v>not an outlier</v>
      </c>
      <c r="H1439" s="8" t="str">
        <f t="shared" si="380"/>
        <v>Not</v>
      </c>
      <c r="I1439" s="8" t="str">
        <f t="shared" si="390"/>
        <v>no</v>
      </c>
      <c r="J1439" s="10" t="str">
        <f t="shared" si="381"/>
        <v>no</v>
      </c>
      <c r="K1439" s="10" t="str">
        <f t="shared" si="382"/>
        <v>no</v>
      </c>
      <c r="L1439" t="s">
        <v>140</v>
      </c>
      <c r="M1439">
        <v>10797</v>
      </c>
      <c r="N1439">
        <v>11</v>
      </c>
      <c r="O1439" t="s">
        <v>683</v>
      </c>
      <c r="P1439" t="str">
        <f t="shared" si="383"/>
        <v>DRACD_10797_Queso Cabrales</v>
      </c>
      <c r="Q1439" t="str">
        <f t="shared" si="384"/>
        <v>10797</v>
      </c>
      <c r="R1439" t="str">
        <f t="shared" si="385"/>
        <v>10797</v>
      </c>
      <c r="S1439" t="str">
        <f t="shared" si="386"/>
        <v>Queso Cabrales</v>
      </c>
      <c r="T1439">
        <v>21</v>
      </c>
      <c r="U1439">
        <v>20</v>
      </c>
      <c r="V1439">
        <v>0</v>
      </c>
      <c r="W1439">
        <f t="shared" si="387"/>
        <v>420</v>
      </c>
      <c r="X1439" t="str">
        <f t="shared" si="388"/>
        <v>yes</v>
      </c>
      <c r="Y1439" s="2">
        <v>35089</v>
      </c>
      <c r="Z1439" t="str">
        <f t="shared" si="374"/>
        <v>1st Q 1996</v>
      </c>
      <c r="AA1439" t="str">
        <f t="shared" si="389"/>
        <v>1st Q 1996</v>
      </c>
      <c r="AB1439" t="str" cm="1">
        <f t="array" ref="AB1439">_xlfn.IFS(Y1439&lt;DATE(1996,1,1),"",Y1439&lt;DATE(1996,4,1),"Q1",Y1439&lt;DATE(1996,7,1),"Q2",Y1439&gt;=DATE(1996,7,1),"")</f>
        <v>Q1</v>
      </c>
    </row>
    <row r="1440" spans="1:28" ht="14.4" x14ac:dyDescent="0.55000000000000004">
      <c r="A1440" t="str">
        <f>VLOOKUP(L1440,Customers!$A$2:$B$92,2,FALSE)</f>
        <v>Island Trading</v>
      </c>
      <c r="B1440" t="str">
        <f>VLOOKUP(L1440,Customers!$A$2:$C$92,3,TRUE)</f>
        <v>Helen Bennett</v>
      </c>
      <c r="C1440" t="str">
        <f t="shared" si="375"/>
        <v>Helen</v>
      </c>
      <c r="D1440" s="8" t="str">
        <f t="shared" si="376"/>
        <v>Bennett</v>
      </c>
      <c r="E1440" s="8" t="str">
        <f t="shared" si="377"/>
        <v>Bennett, Helen</v>
      </c>
      <c r="F1440" s="8" t="str">
        <f t="shared" si="378"/>
        <v>Bennett, Helen</v>
      </c>
      <c r="G1440" s="8" t="str">
        <f t="shared" si="379"/>
        <v>not an outlier</v>
      </c>
      <c r="H1440" s="8" t="str">
        <f t="shared" si="380"/>
        <v>Not</v>
      </c>
      <c r="I1440" s="8" t="str">
        <f t="shared" si="390"/>
        <v>no</v>
      </c>
      <c r="J1440" s="10" t="str">
        <f t="shared" si="381"/>
        <v>no</v>
      </c>
      <c r="K1440" s="10" t="str">
        <f t="shared" si="382"/>
        <v>no</v>
      </c>
      <c r="L1440" t="s">
        <v>297</v>
      </c>
      <c r="M1440">
        <v>10798</v>
      </c>
      <c r="N1440">
        <v>62</v>
      </c>
      <c r="O1440" t="s">
        <v>712</v>
      </c>
      <c r="P1440" t="str">
        <f t="shared" si="383"/>
        <v>ISLAT_10798_Tarte au sucre</v>
      </c>
      <c r="Q1440" t="str">
        <f t="shared" si="384"/>
        <v>10798</v>
      </c>
      <c r="R1440" t="str">
        <f t="shared" si="385"/>
        <v>10798</v>
      </c>
      <c r="S1440" t="str">
        <f t="shared" si="386"/>
        <v>Tarte au sucre</v>
      </c>
      <c r="T1440">
        <v>49.3</v>
      </c>
      <c r="U1440">
        <v>2</v>
      </c>
      <c r="V1440">
        <v>0</v>
      </c>
      <c r="W1440">
        <f t="shared" si="387"/>
        <v>98.6</v>
      </c>
      <c r="X1440" t="str">
        <f t="shared" si="388"/>
        <v>yes</v>
      </c>
      <c r="Y1440" s="2">
        <v>35090</v>
      </c>
      <c r="Z1440" t="str">
        <f t="shared" si="374"/>
        <v>1st Q 1996</v>
      </c>
      <c r="AA1440" t="str">
        <f t="shared" si="389"/>
        <v>1st Q 1996</v>
      </c>
      <c r="AB1440" t="str" cm="1">
        <f t="array" ref="AB1440">_xlfn.IFS(Y1440&lt;DATE(1996,1,1),"",Y1440&lt;DATE(1996,4,1),"Q1",Y1440&lt;DATE(1996,7,1),"Q2",Y1440&gt;=DATE(1996,7,1),"")</f>
        <v>Q1</v>
      </c>
    </row>
    <row r="1441" spans="1:28" ht="14.4" x14ac:dyDescent="0.55000000000000004">
      <c r="A1441" t="str">
        <f>VLOOKUP(L1441,Customers!$A$2:$B$92,2,FALSE)</f>
        <v>Island Trading</v>
      </c>
      <c r="B1441" t="str">
        <f>VLOOKUP(L1441,Customers!$A$2:$C$92,3,TRUE)</f>
        <v>Helen Bennett</v>
      </c>
      <c r="C1441" t="str">
        <f t="shared" si="375"/>
        <v>Helen</v>
      </c>
      <c r="D1441" s="8" t="str">
        <f t="shared" si="376"/>
        <v>Bennett</v>
      </c>
      <c r="E1441" s="8" t="str">
        <f t="shared" si="377"/>
        <v>Bennett, Helen</v>
      </c>
      <c r="F1441" s="8" t="str">
        <f t="shared" si="378"/>
        <v>Bennett, Helen</v>
      </c>
      <c r="G1441" s="8" t="str">
        <f t="shared" si="379"/>
        <v>not an outlier</v>
      </c>
      <c r="H1441" s="8" t="str">
        <f t="shared" si="380"/>
        <v>Not</v>
      </c>
      <c r="I1441" s="8" t="str">
        <f t="shared" si="390"/>
        <v>no</v>
      </c>
      <c r="J1441" s="10" t="str">
        <f t="shared" si="381"/>
        <v>no</v>
      </c>
      <c r="K1441" s="10" t="str">
        <f t="shared" si="382"/>
        <v>no</v>
      </c>
      <c r="L1441" t="s">
        <v>297</v>
      </c>
      <c r="M1441">
        <v>10798</v>
      </c>
      <c r="N1441">
        <v>72</v>
      </c>
      <c r="O1441" t="s">
        <v>685</v>
      </c>
      <c r="P1441" t="str">
        <f t="shared" si="383"/>
        <v>ISLAT_10798_Mozzarella di Giovanni</v>
      </c>
      <c r="Q1441" t="str">
        <f t="shared" si="384"/>
        <v>10798</v>
      </c>
      <c r="R1441" t="str">
        <f t="shared" si="385"/>
        <v>10798</v>
      </c>
      <c r="S1441" t="str">
        <f t="shared" si="386"/>
        <v>Mozzarella di Giovanni</v>
      </c>
      <c r="T1441">
        <v>34.799999999999997</v>
      </c>
      <c r="U1441">
        <v>10</v>
      </c>
      <c r="V1441">
        <v>0</v>
      </c>
      <c r="W1441">
        <f t="shared" si="387"/>
        <v>348</v>
      </c>
      <c r="X1441" t="str">
        <f t="shared" si="388"/>
        <v>yes</v>
      </c>
      <c r="Y1441" s="2">
        <v>35090</v>
      </c>
      <c r="Z1441" t="str">
        <f t="shared" si="374"/>
        <v>1st Q 1996</v>
      </c>
      <c r="AA1441" t="str">
        <f t="shared" si="389"/>
        <v>1st Q 1996</v>
      </c>
      <c r="AB1441" t="str" cm="1">
        <f t="array" ref="AB1441">_xlfn.IFS(Y1441&lt;DATE(1996,1,1),"",Y1441&lt;DATE(1996,4,1),"Q1",Y1441&lt;DATE(1996,7,1),"Q2",Y1441&gt;=DATE(1996,7,1),"")</f>
        <v>Q1</v>
      </c>
    </row>
    <row r="1442" spans="1:28" ht="14.4" x14ac:dyDescent="0.55000000000000004">
      <c r="A1442" t="str">
        <f>VLOOKUP(L1442,Customers!$A$2:$B$92,2,FALSE)</f>
        <v>Königlich Essen</v>
      </c>
      <c r="B1442" t="str">
        <f>VLOOKUP(L1442,Customers!$A$2:$C$92,3,TRUE)</f>
        <v>Philip Cramer</v>
      </c>
      <c r="C1442" t="str">
        <f t="shared" si="375"/>
        <v>Philip</v>
      </c>
      <c r="D1442" s="8" t="str">
        <f t="shared" si="376"/>
        <v>Cramer</v>
      </c>
      <c r="E1442" s="8" t="str">
        <f t="shared" si="377"/>
        <v>Cramer, Philip</v>
      </c>
      <c r="F1442" s="8" t="str">
        <f t="shared" si="378"/>
        <v>Cramer, Philip</v>
      </c>
      <c r="G1442" s="8" t="str">
        <f t="shared" si="379"/>
        <v>not an outlier</v>
      </c>
      <c r="H1442" s="8" t="str">
        <f t="shared" si="380"/>
        <v>Not</v>
      </c>
      <c r="I1442" s="8" t="str">
        <f t="shared" si="390"/>
        <v>no</v>
      </c>
      <c r="J1442" s="10" t="str">
        <f t="shared" si="381"/>
        <v>no</v>
      </c>
      <c r="K1442" s="10" t="str">
        <f t="shared" si="382"/>
        <v>no</v>
      </c>
      <c r="L1442" t="s">
        <v>305</v>
      </c>
      <c r="M1442">
        <v>10799</v>
      </c>
      <c r="N1442">
        <v>13</v>
      </c>
      <c r="O1442" t="s">
        <v>726</v>
      </c>
      <c r="P1442" t="str">
        <f t="shared" si="383"/>
        <v>KOENE_10799_Konbu</v>
      </c>
      <c r="Q1442" t="str">
        <f t="shared" si="384"/>
        <v>10799</v>
      </c>
      <c r="R1442" t="str">
        <f t="shared" si="385"/>
        <v>10799</v>
      </c>
      <c r="S1442" t="str">
        <f t="shared" si="386"/>
        <v>Konbu</v>
      </c>
      <c r="T1442">
        <v>6</v>
      </c>
      <c r="U1442">
        <v>20</v>
      </c>
      <c r="V1442">
        <v>0.15</v>
      </c>
      <c r="W1442">
        <f t="shared" si="387"/>
        <v>102</v>
      </c>
      <c r="X1442" t="str">
        <f t="shared" si="388"/>
        <v>yes</v>
      </c>
      <c r="Y1442" s="2">
        <v>35090</v>
      </c>
      <c r="Z1442" t="str">
        <f t="shared" si="374"/>
        <v>1st Q 1996</v>
      </c>
      <c r="AA1442" t="str">
        <f t="shared" si="389"/>
        <v>1st Q 1996</v>
      </c>
      <c r="AB1442" t="str" cm="1">
        <f t="array" ref="AB1442">_xlfn.IFS(Y1442&lt;DATE(1996,1,1),"",Y1442&lt;DATE(1996,4,1),"Q1",Y1442&lt;DATE(1996,7,1),"Q2",Y1442&gt;=DATE(1996,7,1),"")</f>
        <v>Q1</v>
      </c>
    </row>
    <row r="1443" spans="1:28" ht="14.4" x14ac:dyDescent="0.55000000000000004">
      <c r="A1443" t="str">
        <f>VLOOKUP(L1443,Customers!$A$2:$B$92,2,FALSE)</f>
        <v>Königlich Essen</v>
      </c>
      <c r="B1443" t="str">
        <f>VLOOKUP(L1443,Customers!$A$2:$C$92,3,TRUE)</f>
        <v>Philip Cramer</v>
      </c>
      <c r="C1443" t="str">
        <f t="shared" si="375"/>
        <v>Philip</v>
      </c>
      <c r="D1443" s="8" t="str">
        <f t="shared" si="376"/>
        <v>Cramer</v>
      </c>
      <c r="E1443" s="8" t="str">
        <f t="shared" si="377"/>
        <v>Cramer, Philip</v>
      </c>
      <c r="F1443" s="8" t="str">
        <f t="shared" si="378"/>
        <v>Cramer, Philip</v>
      </c>
      <c r="G1443" s="8" t="str">
        <f t="shared" si="379"/>
        <v>not an outlier</v>
      </c>
      <c r="H1443" s="8" t="str">
        <f t="shared" si="380"/>
        <v>Not</v>
      </c>
      <c r="I1443" s="8" t="str">
        <f t="shared" si="390"/>
        <v>no</v>
      </c>
      <c r="J1443" s="10" t="str">
        <f t="shared" si="381"/>
        <v>no</v>
      </c>
      <c r="K1443" s="10" t="str">
        <f t="shared" si="382"/>
        <v>no</v>
      </c>
      <c r="L1443" t="s">
        <v>305</v>
      </c>
      <c r="M1443">
        <v>10799</v>
      </c>
      <c r="N1443">
        <v>24</v>
      </c>
      <c r="O1443" t="s">
        <v>698</v>
      </c>
      <c r="P1443" t="str">
        <f t="shared" si="383"/>
        <v>KOENE_10799_Guaraná Fantástica</v>
      </c>
      <c r="Q1443" t="str">
        <f t="shared" si="384"/>
        <v>10799</v>
      </c>
      <c r="R1443" t="str">
        <f t="shared" si="385"/>
        <v>10799</v>
      </c>
      <c r="S1443" t="str">
        <f t="shared" si="386"/>
        <v>Guaraná Fantástica</v>
      </c>
      <c r="T1443">
        <v>4.5</v>
      </c>
      <c r="U1443">
        <v>20</v>
      </c>
      <c r="V1443">
        <v>0.15</v>
      </c>
      <c r="W1443">
        <f t="shared" si="387"/>
        <v>76.5</v>
      </c>
      <c r="X1443" t="str">
        <f t="shared" si="388"/>
        <v>yes</v>
      </c>
      <c r="Y1443" s="2">
        <v>35090</v>
      </c>
      <c r="Z1443" t="str">
        <f t="shared" si="374"/>
        <v>1st Q 1996</v>
      </c>
      <c r="AA1443" t="str">
        <f t="shared" si="389"/>
        <v>1st Q 1996</v>
      </c>
      <c r="AB1443" t="str" cm="1">
        <f t="array" ref="AB1443">_xlfn.IFS(Y1443&lt;DATE(1996,1,1),"",Y1443&lt;DATE(1996,4,1),"Q1",Y1443&lt;DATE(1996,7,1),"Q2",Y1443&gt;=DATE(1996,7,1),"")</f>
        <v>Q1</v>
      </c>
    </row>
    <row r="1444" spans="1:28" ht="14.4" x14ac:dyDescent="0.55000000000000004">
      <c r="A1444" t="str">
        <f>VLOOKUP(L1444,Customers!$A$2:$B$92,2,FALSE)</f>
        <v>Königlich Essen</v>
      </c>
      <c r="B1444" t="str">
        <f>VLOOKUP(L1444,Customers!$A$2:$C$92,3,TRUE)</f>
        <v>Philip Cramer</v>
      </c>
      <c r="C1444" t="str">
        <f t="shared" si="375"/>
        <v>Philip</v>
      </c>
      <c r="D1444" s="8" t="str">
        <f t="shared" si="376"/>
        <v>Cramer</v>
      </c>
      <c r="E1444" s="8" t="str">
        <f t="shared" si="377"/>
        <v>Cramer, Philip</v>
      </c>
      <c r="F1444" s="8" t="str">
        <f t="shared" si="378"/>
        <v>Cramer, Philip</v>
      </c>
      <c r="G1444" s="8" t="str">
        <f t="shared" si="379"/>
        <v>not an outlier</v>
      </c>
      <c r="H1444" s="8" t="str">
        <f t="shared" si="380"/>
        <v>Not</v>
      </c>
      <c r="I1444" s="8" t="str">
        <f t="shared" si="390"/>
        <v>no</v>
      </c>
      <c r="J1444" s="10" t="str">
        <f t="shared" si="381"/>
        <v>no</v>
      </c>
      <c r="K1444" s="10" t="str">
        <f t="shared" si="382"/>
        <v>no</v>
      </c>
      <c r="L1444" t="s">
        <v>305</v>
      </c>
      <c r="M1444">
        <v>10799</v>
      </c>
      <c r="N1444">
        <v>59</v>
      </c>
      <c r="O1444" t="s">
        <v>704</v>
      </c>
      <c r="P1444" t="str">
        <f t="shared" si="383"/>
        <v>KOENE_10799_Raclette Courdavault</v>
      </c>
      <c r="Q1444" t="str">
        <f t="shared" si="384"/>
        <v>10799</v>
      </c>
      <c r="R1444" t="str">
        <f t="shared" si="385"/>
        <v>10799</v>
      </c>
      <c r="S1444" t="str">
        <f t="shared" si="386"/>
        <v>Raclette Courdavault</v>
      </c>
      <c r="T1444">
        <v>55</v>
      </c>
      <c r="U1444">
        <v>25</v>
      </c>
      <c r="V1444">
        <v>0</v>
      </c>
      <c r="W1444">
        <f t="shared" si="387"/>
        <v>1375</v>
      </c>
      <c r="X1444" t="str">
        <f t="shared" si="388"/>
        <v>yes</v>
      </c>
      <c r="Y1444" s="2">
        <v>35090</v>
      </c>
      <c r="Z1444" t="str">
        <f t="shared" si="374"/>
        <v>1st Q 1996</v>
      </c>
      <c r="AA1444" t="str">
        <f t="shared" si="389"/>
        <v>1st Q 1996</v>
      </c>
      <c r="AB1444" t="str" cm="1">
        <f t="array" ref="AB1444">_xlfn.IFS(Y1444&lt;DATE(1996,1,1),"",Y1444&lt;DATE(1996,4,1),"Q1",Y1444&lt;DATE(1996,7,1),"Q2",Y1444&gt;=DATE(1996,7,1),"")</f>
        <v>Q1</v>
      </c>
    </row>
    <row r="1445" spans="1:28" ht="14.4" x14ac:dyDescent="0.55000000000000004">
      <c r="A1445" t="str">
        <f>VLOOKUP(L1445,Customers!$A$2:$B$92,2,FALSE)</f>
        <v>Seven Seas Imports</v>
      </c>
      <c r="B1445" t="str">
        <f>VLOOKUP(L1445,Customers!$A$2:$C$92,3,TRUE)</f>
        <v>Hari Kumar</v>
      </c>
      <c r="C1445" t="str">
        <f t="shared" si="375"/>
        <v>Hari</v>
      </c>
      <c r="D1445" s="8" t="str">
        <f t="shared" si="376"/>
        <v>Kumar</v>
      </c>
      <c r="E1445" s="8" t="str">
        <f t="shared" si="377"/>
        <v>Kumar, Hari</v>
      </c>
      <c r="F1445" s="8" t="str">
        <f t="shared" si="378"/>
        <v>Kumar, Hari</v>
      </c>
      <c r="G1445" s="8" t="str">
        <f t="shared" si="379"/>
        <v>not an outlier</v>
      </c>
      <c r="H1445" s="8" t="str">
        <f t="shared" si="380"/>
        <v>Not</v>
      </c>
      <c r="I1445" s="8" t="str">
        <f t="shared" si="390"/>
        <v>no</v>
      </c>
      <c r="J1445" s="10" t="str">
        <f t="shared" si="381"/>
        <v>no</v>
      </c>
      <c r="K1445" s="10" t="str">
        <f t="shared" si="382"/>
        <v>no</v>
      </c>
      <c r="L1445" t="s">
        <v>536</v>
      </c>
      <c r="M1445">
        <v>10800</v>
      </c>
      <c r="N1445">
        <v>11</v>
      </c>
      <c r="O1445" t="s">
        <v>683</v>
      </c>
      <c r="P1445" t="str">
        <f t="shared" si="383"/>
        <v>SEVES_10800_Queso Cabrales</v>
      </c>
      <c r="Q1445" t="str">
        <f t="shared" si="384"/>
        <v>10800</v>
      </c>
      <c r="R1445" t="str">
        <f t="shared" si="385"/>
        <v>10800</v>
      </c>
      <c r="S1445" t="str">
        <f t="shared" si="386"/>
        <v>Queso Cabrales</v>
      </c>
      <c r="T1445">
        <v>21</v>
      </c>
      <c r="U1445">
        <v>50</v>
      </c>
      <c r="V1445">
        <v>0.1</v>
      </c>
      <c r="W1445">
        <f t="shared" si="387"/>
        <v>945</v>
      </c>
      <c r="X1445" t="str">
        <f t="shared" si="388"/>
        <v>yes</v>
      </c>
      <c r="Y1445" s="2">
        <v>35090</v>
      </c>
      <c r="Z1445" t="str">
        <f t="shared" si="374"/>
        <v>1st Q 1996</v>
      </c>
      <c r="AA1445" t="str">
        <f t="shared" si="389"/>
        <v>1st Q 1996</v>
      </c>
      <c r="AB1445" t="str" cm="1">
        <f t="array" ref="AB1445">_xlfn.IFS(Y1445&lt;DATE(1996,1,1),"",Y1445&lt;DATE(1996,4,1),"Q1",Y1445&lt;DATE(1996,7,1),"Q2",Y1445&gt;=DATE(1996,7,1),"")</f>
        <v>Q1</v>
      </c>
    </row>
    <row r="1446" spans="1:28" ht="14.4" x14ac:dyDescent="0.55000000000000004">
      <c r="A1446" t="str">
        <f>VLOOKUP(L1446,Customers!$A$2:$B$92,2,FALSE)</f>
        <v>Seven Seas Imports</v>
      </c>
      <c r="B1446" t="str">
        <f>VLOOKUP(L1446,Customers!$A$2:$C$92,3,TRUE)</f>
        <v>Hari Kumar</v>
      </c>
      <c r="C1446" t="str">
        <f t="shared" si="375"/>
        <v>Hari</v>
      </c>
      <c r="D1446" s="8" t="str">
        <f t="shared" si="376"/>
        <v>Kumar</v>
      </c>
      <c r="E1446" s="8" t="str">
        <f t="shared" si="377"/>
        <v>Kumar, Hari</v>
      </c>
      <c r="F1446" s="8" t="str">
        <f t="shared" si="378"/>
        <v>Kumar, Hari</v>
      </c>
      <c r="G1446" s="8" t="str">
        <f t="shared" si="379"/>
        <v>not an outlier</v>
      </c>
      <c r="H1446" s="8" t="str">
        <f t="shared" si="380"/>
        <v>Not</v>
      </c>
      <c r="I1446" s="8" t="str">
        <f t="shared" si="390"/>
        <v>no</v>
      </c>
      <c r="J1446" s="10" t="str">
        <f t="shared" si="381"/>
        <v>no</v>
      </c>
      <c r="K1446" s="10" t="str">
        <f t="shared" si="382"/>
        <v>no</v>
      </c>
      <c r="L1446" t="s">
        <v>536</v>
      </c>
      <c r="M1446">
        <v>10800</v>
      </c>
      <c r="N1446">
        <v>51</v>
      </c>
      <c r="O1446" t="s">
        <v>687</v>
      </c>
      <c r="P1446" t="str">
        <f t="shared" si="383"/>
        <v>SEVES_10800_Manjimup Dried Apples</v>
      </c>
      <c r="Q1446" t="str">
        <f t="shared" si="384"/>
        <v>10800</v>
      </c>
      <c r="R1446" t="str">
        <f t="shared" si="385"/>
        <v>10800</v>
      </c>
      <c r="S1446" t="str">
        <f t="shared" si="386"/>
        <v>Manjimup Dried Apples</v>
      </c>
      <c r="T1446">
        <v>53</v>
      </c>
      <c r="U1446">
        <v>10</v>
      </c>
      <c r="V1446">
        <v>0.1</v>
      </c>
      <c r="W1446">
        <f t="shared" si="387"/>
        <v>477</v>
      </c>
      <c r="X1446" t="str">
        <f t="shared" si="388"/>
        <v>yes</v>
      </c>
      <c r="Y1446" s="2">
        <v>35090</v>
      </c>
      <c r="Z1446" t="str">
        <f t="shared" si="374"/>
        <v>1st Q 1996</v>
      </c>
      <c r="AA1446" t="str">
        <f t="shared" si="389"/>
        <v>1st Q 1996</v>
      </c>
      <c r="AB1446" t="str" cm="1">
        <f t="array" ref="AB1446">_xlfn.IFS(Y1446&lt;DATE(1996,1,1),"",Y1446&lt;DATE(1996,4,1),"Q1",Y1446&lt;DATE(1996,7,1),"Q2",Y1446&gt;=DATE(1996,7,1),"")</f>
        <v>Q1</v>
      </c>
    </row>
    <row r="1447" spans="1:28" ht="14.4" x14ac:dyDescent="0.55000000000000004">
      <c r="A1447" t="str">
        <f>VLOOKUP(L1447,Customers!$A$2:$B$92,2,FALSE)</f>
        <v>Seven Seas Imports</v>
      </c>
      <c r="B1447" t="str">
        <f>VLOOKUP(L1447,Customers!$A$2:$C$92,3,TRUE)</f>
        <v>Hari Kumar</v>
      </c>
      <c r="C1447" t="str">
        <f t="shared" si="375"/>
        <v>Hari</v>
      </c>
      <c r="D1447" s="8" t="str">
        <f t="shared" si="376"/>
        <v>Kumar</v>
      </c>
      <c r="E1447" s="8" t="str">
        <f t="shared" si="377"/>
        <v>Kumar, Hari</v>
      </c>
      <c r="F1447" s="8" t="str">
        <f t="shared" si="378"/>
        <v>Kumar, Hari</v>
      </c>
      <c r="G1447" s="8" t="str">
        <f t="shared" si="379"/>
        <v>not an outlier</v>
      </c>
      <c r="H1447" s="8" t="str">
        <f t="shared" si="380"/>
        <v>Not</v>
      </c>
      <c r="I1447" s="8" t="str">
        <f t="shared" si="390"/>
        <v>no</v>
      </c>
      <c r="J1447" s="10" t="str">
        <f t="shared" si="381"/>
        <v>no</v>
      </c>
      <c r="K1447" s="10" t="str">
        <f t="shared" si="382"/>
        <v>no</v>
      </c>
      <c r="L1447" t="s">
        <v>536</v>
      </c>
      <c r="M1447">
        <v>10800</v>
      </c>
      <c r="N1447">
        <v>54</v>
      </c>
      <c r="O1447" t="s">
        <v>738</v>
      </c>
      <c r="P1447" t="str">
        <f t="shared" si="383"/>
        <v>SEVES_10800_Tourtière</v>
      </c>
      <c r="Q1447" t="str">
        <f t="shared" si="384"/>
        <v>10800</v>
      </c>
      <c r="R1447" t="str">
        <f t="shared" si="385"/>
        <v>10800</v>
      </c>
      <c r="S1447" t="str">
        <f t="shared" si="386"/>
        <v>Tourtière</v>
      </c>
      <c r="T1447">
        <v>7.45</v>
      </c>
      <c r="U1447">
        <v>7</v>
      </c>
      <c r="V1447">
        <v>0.1</v>
      </c>
      <c r="W1447">
        <f t="shared" si="387"/>
        <v>46.935000000000002</v>
      </c>
      <c r="X1447" t="str">
        <f t="shared" si="388"/>
        <v>yes</v>
      </c>
      <c r="Y1447" s="2">
        <v>35090</v>
      </c>
      <c r="Z1447" t="str">
        <f t="shared" si="374"/>
        <v>1st Q 1996</v>
      </c>
      <c r="AA1447" t="str">
        <f t="shared" si="389"/>
        <v>1st Q 1996</v>
      </c>
      <c r="AB1447" t="str" cm="1">
        <f t="array" ref="AB1447">_xlfn.IFS(Y1447&lt;DATE(1996,1,1),"",Y1447&lt;DATE(1996,4,1),"Q1",Y1447&lt;DATE(1996,7,1),"Q2",Y1447&gt;=DATE(1996,7,1),"")</f>
        <v>Q1</v>
      </c>
    </row>
    <row r="1448" spans="1:28" ht="14.4" x14ac:dyDescent="0.55000000000000004">
      <c r="A1448" t="str">
        <f>VLOOKUP(L1448,Customers!$A$2:$B$92,2,FALSE)</f>
        <v>Bólido Comidas preparadas</v>
      </c>
      <c r="B1448" t="str">
        <f>VLOOKUP(L1448,Customers!$A$2:$C$92,3,TRUE)</f>
        <v>Martín Sommer</v>
      </c>
      <c r="C1448" t="str">
        <f t="shared" si="375"/>
        <v>Martín</v>
      </c>
      <c r="D1448" s="8" t="str">
        <f t="shared" si="376"/>
        <v>Sommer</v>
      </c>
      <c r="E1448" s="8" t="str">
        <f t="shared" si="377"/>
        <v>Sommer, Martín</v>
      </c>
      <c r="F1448" s="8" t="str">
        <f t="shared" si="378"/>
        <v>Sommer, Martín</v>
      </c>
      <c r="G1448" s="8" t="str">
        <f t="shared" si="379"/>
        <v>not an outlier</v>
      </c>
      <c r="H1448" s="8" t="str">
        <f t="shared" si="380"/>
        <v>Not</v>
      </c>
      <c r="I1448" s="8" t="str">
        <f t="shared" si="390"/>
        <v>no</v>
      </c>
      <c r="J1448" s="10" t="str">
        <f t="shared" si="381"/>
        <v>no</v>
      </c>
      <c r="K1448" s="10" t="str">
        <f t="shared" si="382"/>
        <v>no</v>
      </c>
      <c r="L1448" t="s">
        <v>69</v>
      </c>
      <c r="M1448">
        <v>10801</v>
      </c>
      <c r="N1448">
        <v>17</v>
      </c>
      <c r="O1448" t="s">
        <v>718</v>
      </c>
      <c r="P1448" t="str">
        <f t="shared" si="383"/>
        <v>BOLID_10801_Alice Mutton</v>
      </c>
      <c r="Q1448" t="str">
        <f t="shared" si="384"/>
        <v>10801</v>
      </c>
      <c r="R1448" t="str">
        <f t="shared" si="385"/>
        <v>10801</v>
      </c>
      <c r="S1448" t="str">
        <f t="shared" si="386"/>
        <v>Alice Mutton</v>
      </c>
      <c r="T1448">
        <v>39</v>
      </c>
      <c r="U1448">
        <v>40</v>
      </c>
      <c r="V1448">
        <v>0.25</v>
      </c>
      <c r="W1448">
        <f t="shared" si="387"/>
        <v>1170</v>
      </c>
      <c r="X1448" t="str">
        <f t="shared" si="388"/>
        <v>yes</v>
      </c>
      <c r="Y1448" s="2">
        <v>35093</v>
      </c>
      <c r="Z1448" t="str">
        <f t="shared" si="374"/>
        <v>1st Q 1996</v>
      </c>
      <c r="AA1448" t="str">
        <f t="shared" si="389"/>
        <v>1st Q 1996</v>
      </c>
      <c r="AB1448" t="str" cm="1">
        <f t="array" ref="AB1448">_xlfn.IFS(Y1448&lt;DATE(1996,1,1),"",Y1448&lt;DATE(1996,4,1),"Q1",Y1448&lt;DATE(1996,7,1),"Q2",Y1448&gt;=DATE(1996,7,1),"")</f>
        <v>Q1</v>
      </c>
    </row>
    <row r="1449" spans="1:28" ht="14.4" x14ac:dyDescent="0.55000000000000004">
      <c r="A1449" t="str">
        <f>VLOOKUP(L1449,Customers!$A$2:$B$92,2,FALSE)</f>
        <v>Bólido Comidas preparadas</v>
      </c>
      <c r="B1449" t="str">
        <f>VLOOKUP(L1449,Customers!$A$2:$C$92,3,TRUE)</f>
        <v>Martín Sommer</v>
      </c>
      <c r="C1449" t="str">
        <f t="shared" si="375"/>
        <v>Martín</v>
      </c>
      <c r="D1449" s="8" t="str">
        <f t="shared" si="376"/>
        <v>Sommer</v>
      </c>
      <c r="E1449" s="8" t="str">
        <f t="shared" si="377"/>
        <v>Sommer, Martín</v>
      </c>
      <c r="F1449" s="8" t="str">
        <f t="shared" si="378"/>
        <v>Sommer, Martín</v>
      </c>
      <c r="G1449" s="8" t="str">
        <f t="shared" si="379"/>
        <v>not an outlier</v>
      </c>
      <c r="H1449" s="8" t="str">
        <f t="shared" si="380"/>
        <v>Not</v>
      </c>
      <c r="I1449" s="8" t="str">
        <f t="shared" si="390"/>
        <v>no</v>
      </c>
      <c r="J1449" s="10" t="str">
        <f t="shared" si="381"/>
        <v>no</v>
      </c>
      <c r="K1449" s="10" t="str">
        <f t="shared" si="382"/>
        <v>no</v>
      </c>
      <c r="L1449" t="s">
        <v>69</v>
      </c>
      <c r="M1449">
        <v>10801</v>
      </c>
      <c r="N1449">
        <v>29</v>
      </c>
      <c r="O1449" t="s">
        <v>722</v>
      </c>
      <c r="P1449" t="str">
        <f t="shared" si="383"/>
        <v>BOLID_10801_Thüringer Rostbratwurst</v>
      </c>
      <c r="Q1449" t="str">
        <f t="shared" si="384"/>
        <v>10801</v>
      </c>
      <c r="R1449" t="str">
        <f t="shared" si="385"/>
        <v>10801</v>
      </c>
      <c r="S1449" t="str">
        <f t="shared" si="386"/>
        <v>Thüringer Rostbratwurst</v>
      </c>
      <c r="T1449">
        <v>123.79</v>
      </c>
      <c r="U1449">
        <v>20</v>
      </c>
      <c r="V1449">
        <v>0.25</v>
      </c>
      <c r="W1449">
        <f t="shared" si="387"/>
        <v>1856.8500000000001</v>
      </c>
      <c r="X1449" t="str">
        <f t="shared" si="388"/>
        <v>yes</v>
      </c>
      <c r="Y1449" s="2">
        <v>35093</v>
      </c>
      <c r="Z1449" t="str">
        <f t="shared" si="374"/>
        <v>1st Q 1996</v>
      </c>
      <c r="AA1449" t="str">
        <f t="shared" si="389"/>
        <v>1st Q 1996</v>
      </c>
      <c r="AB1449" t="str" cm="1">
        <f t="array" ref="AB1449">_xlfn.IFS(Y1449&lt;DATE(1996,1,1),"",Y1449&lt;DATE(1996,4,1),"Q1",Y1449&lt;DATE(1996,7,1),"Q2",Y1449&gt;=DATE(1996,7,1),"")</f>
        <v>Q1</v>
      </c>
    </row>
    <row r="1450" spans="1:28" ht="14.4" x14ac:dyDescent="0.55000000000000004">
      <c r="A1450" t="str">
        <f>VLOOKUP(L1450,Customers!$A$2:$B$92,2,FALSE)</f>
        <v>Simons bistro</v>
      </c>
      <c r="B1450" t="str">
        <f>VLOOKUP(L1450,Customers!$A$2:$C$92,3,TRUE)</f>
        <v>Jytte Petersen</v>
      </c>
      <c r="C1450" t="str">
        <f t="shared" si="375"/>
        <v>Jytte</v>
      </c>
      <c r="D1450" s="8" t="str">
        <f t="shared" si="376"/>
        <v>Petersen</v>
      </c>
      <c r="E1450" s="8" t="str">
        <f t="shared" si="377"/>
        <v>Petersen, Jytte</v>
      </c>
      <c r="F1450" s="8" t="str">
        <f t="shared" si="378"/>
        <v>Petersen, Jytte</v>
      </c>
      <c r="G1450" s="8" t="str">
        <f t="shared" si="379"/>
        <v>not an outlier</v>
      </c>
      <c r="H1450" s="8" t="str">
        <f t="shared" si="380"/>
        <v>Not</v>
      </c>
      <c r="I1450" s="8" t="str">
        <f t="shared" si="390"/>
        <v>no</v>
      </c>
      <c r="J1450" s="10" t="str">
        <f t="shared" si="381"/>
        <v>no</v>
      </c>
      <c r="K1450" s="10" t="str">
        <f t="shared" si="382"/>
        <v>no</v>
      </c>
      <c r="L1450" t="s">
        <v>543</v>
      </c>
      <c r="M1450">
        <v>10802</v>
      </c>
      <c r="N1450">
        <v>30</v>
      </c>
      <c r="O1450" t="s">
        <v>717</v>
      </c>
      <c r="P1450" t="str">
        <f t="shared" si="383"/>
        <v>SIMOB_10802_Nord-Ost Matjeshering</v>
      </c>
      <c r="Q1450" t="str">
        <f t="shared" si="384"/>
        <v>10802</v>
      </c>
      <c r="R1450" t="str">
        <f t="shared" si="385"/>
        <v>10802</v>
      </c>
      <c r="S1450" t="str">
        <f t="shared" si="386"/>
        <v>Nord-Ost Matjeshering</v>
      </c>
      <c r="T1450">
        <v>25.89</v>
      </c>
      <c r="U1450">
        <v>25</v>
      </c>
      <c r="V1450">
        <v>0.25</v>
      </c>
      <c r="W1450">
        <f t="shared" si="387"/>
        <v>485.4375</v>
      </c>
      <c r="X1450" t="str">
        <f t="shared" si="388"/>
        <v>yes</v>
      </c>
      <c r="Y1450" s="2">
        <v>35093</v>
      </c>
      <c r="Z1450" t="str">
        <f t="shared" si="374"/>
        <v>1st Q 1996</v>
      </c>
      <c r="AA1450" t="str">
        <f t="shared" si="389"/>
        <v>1st Q 1996</v>
      </c>
      <c r="AB1450" t="str" cm="1">
        <f t="array" ref="AB1450">_xlfn.IFS(Y1450&lt;DATE(1996,1,1),"",Y1450&lt;DATE(1996,4,1),"Q1",Y1450&lt;DATE(1996,7,1),"Q2",Y1450&gt;=DATE(1996,7,1),"")</f>
        <v>Q1</v>
      </c>
    </row>
    <row r="1451" spans="1:28" ht="14.4" x14ac:dyDescent="0.55000000000000004">
      <c r="A1451" t="str">
        <f>VLOOKUP(L1451,Customers!$A$2:$B$92,2,FALSE)</f>
        <v>Simons bistro</v>
      </c>
      <c r="B1451" t="str">
        <f>VLOOKUP(L1451,Customers!$A$2:$C$92,3,TRUE)</f>
        <v>Jytte Petersen</v>
      </c>
      <c r="C1451" t="str">
        <f t="shared" si="375"/>
        <v>Jytte</v>
      </c>
      <c r="D1451" s="8" t="str">
        <f t="shared" si="376"/>
        <v>Petersen</v>
      </c>
      <c r="E1451" s="8" t="str">
        <f t="shared" si="377"/>
        <v>Petersen, Jytte</v>
      </c>
      <c r="F1451" s="8" t="str">
        <f t="shared" si="378"/>
        <v>Petersen, Jytte</v>
      </c>
      <c r="G1451" s="8" t="str">
        <f t="shared" si="379"/>
        <v>not an outlier</v>
      </c>
      <c r="H1451" s="8" t="str">
        <f t="shared" si="380"/>
        <v>Not</v>
      </c>
      <c r="I1451" s="8" t="str">
        <f t="shared" si="390"/>
        <v>no</v>
      </c>
      <c r="J1451" s="10" t="str">
        <f t="shared" si="381"/>
        <v>no</v>
      </c>
      <c r="K1451" s="10" t="str">
        <f t="shared" si="382"/>
        <v>no</v>
      </c>
      <c r="L1451" t="s">
        <v>543</v>
      </c>
      <c r="M1451">
        <v>10802</v>
      </c>
      <c r="N1451">
        <v>51</v>
      </c>
      <c r="O1451" t="s">
        <v>687</v>
      </c>
      <c r="P1451" t="str">
        <f t="shared" si="383"/>
        <v>SIMOB_10802_Manjimup Dried Apples</v>
      </c>
      <c r="Q1451" t="str">
        <f t="shared" si="384"/>
        <v>10802</v>
      </c>
      <c r="R1451" t="str">
        <f t="shared" si="385"/>
        <v>10802</v>
      </c>
      <c r="S1451" t="str">
        <f t="shared" si="386"/>
        <v>Manjimup Dried Apples</v>
      </c>
      <c r="T1451">
        <v>53</v>
      </c>
      <c r="U1451">
        <v>30</v>
      </c>
      <c r="V1451">
        <v>0.25</v>
      </c>
      <c r="W1451">
        <f t="shared" si="387"/>
        <v>1192.5</v>
      </c>
      <c r="X1451" t="str">
        <f t="shared" si="388"/>
        <v>yes</v>
      </c>
      <c r="Y1451" s="2">
        <v>35093</v>
      </c>
      <c r="Z1451" t="str">
        <f t="shared" si="374"/>
        <v>1st Q 1996</v>
      </c>
      <c r="AA1451" t="str">
        <f t="shared" si="389"/>
        <v>1st Q 1996</v>
      </c>
      <c r="AB1451" t="str" cm="1">
        <f t="array" ref="AB1451">_xlfn.IFS(Y1451&lt;DATE(1996,1,1),"",Y1451&lt;DATE(1996,4,1),"Q1",Y1451&lt;DATE(1996,7,1),"Q2",Y1451&gt;=DATE(1996,7,1),"")</f>
        <v>Q1</v>
      </c>
    </row>
    <row r="1452" spans="1:28" ht="14.4" x14ac:dyDescent="0.55000000000000004">
      <c r="A1452" t="str">
        <f>VLOOKUP(L1452,Customers!$A$2:$B$92,2,FALSE)</f>
        <v>Simons bistro</v>
      </c>
      <c r="B1452" t="str">
        <f>VLOOKUP(L1452,Customers!$A$2:$C$92,3,TRUE)</f>
        <v>Jytte Petersen</v>
      </c>
      <c r="C1452" t="str">
        <f t="shared" si="375"/>
        <v>Jytte</v>
      </c>
      <c r="D1452" s="8" t="str">
        <f t="shared" si="376"/>
        <v>Petersen</v>
      </c>
      <c r="E1452" s="8" t="str">
        <f t="shared" si="377"/>
        <v>Petersen, Jytte</v>
      </c>
      <c r="F1452" s="8" t="str">
        <f t="shared" si="378"/>
        <v>Petersen, Jytte</v>
      </c>
      <c r="G1452" s="8" t="str">
        <f t="shared" si="379"/>
        <v>not an outlier</v>
      </c>
      <c r="H1452" s="8" t="str">
        <f t="shared" si="380"/>
        <v>Not</v>
      </c>
      <c r="I1452" s="8" t="str">
        <f t="shared" si="390"/>
        <v>no</v>
      </c>
      <c r="J1452" s="10" t="str">
        <f t="shared" si="381"/>
        <v>no</v>
      </c>
      <c r="K1452" s="10" t="str">
        <f t="shared" si="382"/>
        <v>no</v>
      </c>
      <c r="L1452" t="s">
        <v>543</v>
      </c>
      <c r="M1452">
        <v>10802</v>
      </c>
      <c r="N1452">
        <v>55</v>
      </c>
      <c r="O1452" t="s">
        <v>699</v>
      </c>
      <c r="P1452" t="str">
        <f t="shared" si="383"/>
        <v>SIMOB_10802_Pâté chinois</v>
      </c>
      <c r="Q1452" t="str">
        <f t="shared" si="384"/>
        <v>10802</v>
      </c>
      <c r="R1452" t="str">
        <f t="shared" si="385"/>
        <v>10802</v>
      </c>
      <c r="S1452" t="str">
        <f t="shared" si="386"/>
        <v>Pâté chinois</v>
      </c>
      <c r="T1452">
        <v>24</v>
      </c>
      <c r="U1452">
        <v>60</v>
      </c>
      <c r="V1452">
        <v>0.25</v>
      </c>
      <c r="W1452">
        <f t="shared" si="387"/>
        <v>1080</v>
      </c>
      <c r="X1452" t="str">
        <f t="shared" si="388"/>
        <v>yes</v>
      </c>
      <c r="Y1452" s="2">
        <v>35093</v>
      </c>
      <c r="Z1452" t="str">
        <f t="shared" si="374"/>
        <v>1st Q 1996</v>
      </c>
      <c r="AA1452" t="str">
        <f t="shared" si="389"/>
        <v>1st Q 1996</v>
      </c>
      <c r="AB1452" t="str" cm="1">
        <f t="array" ref="AB1452">_xlfn.IFS(Y1452&lt;DATE(1996,1,1),"",Y1452&lt;DATE(1996,4,1),"Q1",Y1452&lt;DATE(1996,7,1),"Q2",Y1452&gt;=DATE(1996,7,1),"")</f>
        <v>Q1</v>
      </c>
    </row>
    <row r="1453" spans="1:28" ht="14.4" x14ac:dyDescent="0.55000000000000004">
      <c r="A1453" t="str">
        <f>VLOOKUP(L1453,Customers!$A$2:$B$92,2,FALSE)</f>
        <v>Simons bistro</v>
      </c>
      <c r="B1453" t="str">
        <f>VLOOKUP(L1453,Customers!$A$2:$C$92,3,TRUE)</f>
        <v>Jytte Petersen</v>
      </c>
      <c r="C1453" t="str">
        <f t="shared" si="375"/>
        <v>Jytte</v>
      </c>
      <c r="D1453" s="8" t="str">
        <f t="shared" si="376"/>
        <v>Petersen</v>
      </c>
      <c r="E1453" s="8" t="str">
        <f t="shared" si="377"/>
        <v>Petersen, Jytte</v>
      </c>
      <c r="F1453" s="8" t="str">
        <f t="shared" si="378"/>
        <v>Petersen, Jytte</v>
      </c>
      <c r="G1453" s="8" t="str">
        <f t="shared" si="379"/>
        <v>not an outlier</v>
      </c>
      <c r="H1453" s="8" t="str">
        <f t="shared" si="380"/>
        <v>Not</v>
      </c>
      <c r="I1453" s="8" t="str">
        <f t="shared" si="390"/>
        <v>no</v>
      </c>
      <c r="J1453" s="10" t="str">
        <f t="shared" si="381"/>
        <v>no</v>
      </c>
      <c r="K1453" s="10" t="str">
        <f t="shared" si="382"/>
        <v>no</v>
      </c>
      <c r="L1453" t="s">
        <v>543</v>
      </c>
      <c r="M1453">
        <v>10802</v>
      </c>
      <c r="N1453">
        <v>62</v>
      </c>
      <c r="O1453" t="s">
        <v>712</v>
      </c>
      <c r="P1453" t="str">
        <f t="shared" si="383"/>
        <v>SIMOB_10802_Tarte au sucre</v>
      </c>
      <c r="Q1453" t="str">
        <f t="shared" si="384"/>
        <v>10802</v>
      </c>
      <c r="R1453" t="str">
        <f t="shared" si="385"/>
        <v>10802</v>
      </c>
      <c r="S1453" t="str">
        <f t="shared" si="386"/>
        <v>Tarte au sucre</v>
      </c>
      <c r="T1453">
        <v>49.3</v>
      </c>
      <c r="U1453">
        <v>5</v>
      </c>
      <c r="V1453">
        <v>0.25</v>
      </c>
      <c r="W1453">
        <f t="shared" si="387"/>
        <v>184.875</v>
      </c>
      <c r="X1453" t="str">
        <f t="shared" si="388"/>
        <v>yes</v>
      </c>
      <c r="Y1453" s="2">
        <v>35093</v>
      </c>
      <c r="Z1453" t="str">
        <f t="shared" si="374"/>
        <v>1st Q 1996</v>
      </c>
      <c r="AA1453" t="str">
        <f t="shared" si="389"/>
        <v>1st Q 1996</v>
      </c>
      <c r="AB1453" t="str" cm="1">
        <f t="array" ref="AB1453">_xlfn.IFS(Y1453&lt;DATE(1996,1,1),"",Y1453&lt;DATE(1996,4,1),"Q1",Y1453&lt;DATE(1996,7,1),"Q2",Y1453&gt;=DATE(1996,7,1),"")</f>
        <v>Q1</v>
      </c>
    </row>
    <row r="1454" spans="1:28" ht="14.4" x14ac:dyDescent="0.55000000000000004">
      <c r="A1454" t="str">
        <f>VLOOKUP(L1454,Customers!$A$2:$B$92,2,FALSE)</f>
        <v>Wellington Importadora</v>
      </c>
      <c r="B1454" t="str">
        <f>VLOOKUP(L1454,Customers!$A$2:$C$92,3,TRUE)</f>
        <v>Paula Parente</v>
      </c>
      <c r="C1454" t="str">
        <f t="shared" si="375"/>
        <v>Paula</v>
      </c>
      <c r="D1454" s="8" t="str">
        <f t="shared" si="376"/>
        <v>Parente</v>
      </c>
      <c r="E1454" s="8" t="str">
        <f t="shared" si="377"/>
        <v>Parente, Paula</v>
      </c>
      <c r="F1454" s="8" t="str">
        <f t="shared" si="378"/>
        <v>Parente, Paula</v>
      </c>
      <c r="G1454" s="8" t="str">
        <f t="shared" si="379"/>
        <v>not an outlier</v>
      </c>
      <c r="H1454" s="8" t="str">
        <f t="shared" si="380"/>
        <v>Not</v>
      </c>
      <c r="I1454" s="8" t="str">
        <f t="shared" si="390"/>
        <v>no</v>
      </c>
      <c r="J1454" s="10" t="str">
        <f t="shared" si="381"/>
        <v>no</v>
      </c>
      <c r="K1454" s="10" t="str">
        <f t="shared" si="382"/>
        <v>no</v>
      </c>
      <c r="L1454" t="s">
        <v>647</v>
      </c>
      <c r="M1454">
        <v>10803</v>
      </c>
      <c r="N1454">
        <v>19</v>
      </c>
      <c r="O1454" t="s">
        <v>732</v>
      </c>
      <c r="P1454" t="str">
        <f t="shared" si="383"/>
        <v>WELLI_10803_Teatime Chocolate Biscuits</v>
      </c>
      <c r="Q1454" t="str">
        <f t="shared" si="384"/>
        <v>10803</v>
      </c>
      <c r="R1454" t="str">
        <f t="shared" si="385"/>
        <v>10803</v>
      </c>
      <c r="S1454" t="str">
        <f t="shared" si="386"/>
        <v>Teatime Chocolate Biscuits</v>
      </c>
      <c r="T1454">
        <v>9.1999999999999993</v>
      </c>
      <c r="U1454">
        <v>24</v>
      </c>
      <c r="V1454">
        <v>0.05</v>
      </c>
      <c r="W1454">
        <f t="shared" si="387"/>
        <v>209.75999999999996</v>
      </c>
      <c r="X1454" t="str">
        <f t="shared" si="388"/>
        <v>yes</v>
      </c>
      <c r="Y1454" s="2">
        <v>35094</v>
      </c>
      <c r="Z1454" t="str">
        <f t="shared" si="374"/>
        <v>1st Q 1996</v>
      </c>
      <c r="AA1454" t="str">
        <f t="shared" si="389"/>
        <v>1st Q 1996</v>
      </c>
      <c r="AB1454" t="str" cm="1">
        <f t="array" ref="AB1454">_xlfn.IFS(Y1454&lt;DATE(1996,1,1),"",Y1454&lt;DATE(1996,4,1),"Q1",Y1454&lt;DATE(1996,7,1),"Q2",Y1454&gt;=DATE(1996,7,1),"")</f>
        <v>Q1</v>
      </c>
    </row>
    <row r="1455" spans="1:28" ht="14.4" x14ac:dyDescent="0.55000000000000004">
      <c r="A1455" t="str">
        <f>VLOOKUP(L1455,Customers!$A$2:$B$92,2,FALSE)</f>
        <v>Wellington Importadora</v>
      </c>
      <c r="B1455" t="str">
        <f>VLOOKUP(L1455,Customers!$A$2:$C$92,3,TRUE)</f>
        <v>Paula Parente</v>
      </c>
      <c r="C1455" t="str">
        <f t="shared" si="375"/>
        <v>Paula</v>
      </c>
      <c r="D1455" s="8" t="str">
        <f t="shared" si="376"/>
        <v>Parente</v>
      </c>
      <c r="E1455" s="8" t="str">
        <f t="shared" si="377"/>
        <v>Parente, Paula</v>
      </c>
      <c r="F1455" s="8" t="str">
        <f t="shared" si="378"/>
        <v>Parente, Paula</v>
      </c>
      <c r="G1455" s="8" t="str">
        <f t="shared" si="379"/>
        <v>not an outlier</v>
      </c>
      <c r="H1455" s="8" t="str">
        <f t="shared" si="380"/>
        <v>Not</v>
      </c>
      <c r="I1455" s="8" t="str">
        <f t="shared" si="390"/>
        <v>no</v>
      </c>
      <c r="J1455" s="10" t="str">
        <f t="shared" si="381"/>
        <v>no</v>
      </c>
      <c r="K1455" s="10" t="str">
        <f t="shared" si="382"/>
        <v>no</v>
      </c>
      <c r="L1455" t="s">
        <v>647</v>
      </c>
      <c r="M1455">
        <v>10803</v>
      </c>
      <c r="N1455">
        <v>25</v>
      </c>
      <c r="O1455" t="s">
        <v>749</v>
      </c>
      <c r="P1455" t="str">
        <f t="shared" si="383"/>
        <v>WELLI_10803_NuNuCa Nuß-Nougat-Creme</v>
      </c>
      <c r="Q1455" t="str">
        <f t="shared" si="384"/>
        <v>10803</v>
      </c>
      <c r="R1455" t="str">
        <f t="shared" si="385"/>
        <v>10803</v>
      </c>
      <c r="S1455" t="str">
        <f t="shared" si="386"/>
        <v>NuNuCa Nuß-Nougat-Creme</v>
      </c>
      <c r="T1455">
        <v>14</v>
      </c>
      <c r="U1455">
        <v>15</v>
      </c>
      <c r="V1455">
        <v>0.05</v>
      </c>
      <c r="W1455">
        <f t="shared" si="387"/>
        <v>199.5</v>
      </c>
      <c r="X1455" t="str">
        <f t="shared" si="388"/>
        <v>yes</v>
      </c>
      <c r="Y1455" s="2">
        <v>35094</v>
      </c>
      <c r="Z1455" t="str">
        <f t="shared" si="374"/>
        <v>1st Q 1996</v>
      </c>
      <c r="AA1455" t="str">
        <f t="shared" si="389"/>
        <v>1st Q 1996</v>
      </c>
      <c r="AB1455" t="str" cm="1">
        <f t="array" ref="AB1455">_xlfn.IFS(Y1455&lt;DATE(1996,1,1),"",Y1455&lt;DATE(1996,4,1),"Q1",Y1455&lt;DATE(1996,7,1),"Q2",Y1455&gt;=DATE(1996,7,1),"")</f>
        <v>Q1</v>
      </c>
    </row>
    <row r="1456" spans="1:28" ht="14.4" x14ac:dyDescent="0.55000000000000004">
      <c r="A1456" t="str">
        <f>VLOOKUP(L1456,Customers!$A$2:$B$92,2,FALSE)</f>
        <v>Wellington Importadora</v>
      </c>
      <c r="B1456" t="str">
        <f>VLOOKUP(L1456,Customers!$A$2:$C$92,3,TRUE)</f>
        <v>Paula Parente</v>
      </c>
      <c r="C1456" t="str">
        <f t="shared" si="375"/>
        <v>Paula</v>
      </c>
      <c r="D1456" s="8" t="str">
        <f t="shared" si="376"/>
        <v>Parente</v>
      </c>
      <c r="E1456" s="8" t="str">
        <f t="shared" si="377"/>
        <v>Parente, Paula</v>
      </c>
      <c r="F1456" s="8" t="str">
        <f t="shared" si="378"/>
        <v>Parente, Paula</v>
      </c>
      <c r="G1456" s="8" t="str">
        <f t="shared" si="379"/>
        <v>not an outlier</v>
      </c>
      <c r="H1456" s="8" t="str">
        <f t="shared" si="380"/>
        <v>Not</v>
      </c>
      <c r="I1456" s="8" t="str">
        <f t="shared" si="390"/>
        <v>no</v>
      </c>
      <c r="J1456" s="10" t="str">
        <f t="shared" si="381"/>
        <v>no</v>
      </c>
      <c r="K1456" s="10" t="str">
        <f t="shared" si="382"/>
        <v>no</v>
      </c>
      <c r="L1456" t="s">
        <v>647</v>
      </c>
      <c r="M1456">
        <v>10803</v>
      </c>
      <c r="N1456">
        <v>59</v>
      </c>
      <c r="O1456" t="s">
        <v>704</v>
      </c>
      <c r="P1456" t="str">
        <f t="shared" si="383"/>
        <v>WELLI_10803_Raclette Courdavault</v>
      </c>
      <c r="Q1456" t="str">
        <f t="shared" si="384"/>
        <v>10803</v>
      </c>
      <c r="R1456" t="str">
        <f t="shared" si="385"/>
        <v>10803</v>
      </c>
      <c r="S1456" t="str">
        <f t="shared" si="386"/>
        <v>Raclette Courdavault</v>
      </c>
      <c r="T1456">
        <v>55</v>
      </c>
      <c r="U1456">
        <v>15</v>
      </c>
      <c r="V1456">
        <v>0.05</v>
      </c>
      <c r="W1456">
        <f t="shared" si="387"/>
        <v>783.75</v>
      </c>
      <c r="X1456" t="str">
        <f t="shared" si="388"/>
        <v>yes</v>
      </c>
      <c r="Y1456" s="2">
        <v>35094</v>
      </c>
      <c r="Z1456" t="str">
        <f t="shared" si="374"/>
        <v>1st Q 1996</v>
      </c>
      <c r="AA1456" t="str">
        <f t="shared" si="389"/>
        <v>1st Q 1996</v>
      </c>
      <c r="AB1456" t="str" cm="1">
        <f t="array" ref="AB1456">_xlfn.IFS(Y1456&lt;DATE(1996,1,1),"",Y1456&lt;DATE(1996,4,1),"Q1",Y1456&lt;DATE(1996,7,1),"Q2",Y1456&gt;=DATE(1996,7,1),"")</f>
        <v>Q1</v>
      </c>
    </row>
    <row r="1457" spans="1:28" ht="14.4" x14ac:dyDescent="0.55000000000000004">
      <c r="A1457" t="str">
        <f>VLOOKUP(L1457,Customers!$A$2:$B$92,2,FALSE)</f>
        <v>Seven Seas Imports</v>
      </c>
      <c r="B1457" t="str">
        <f>VLOOKUP(L1457,Customers!$A$2:$C$92,3,TRUE)</f>
        <v>Hari Kumar</v>
      </c>
      <c r="C1457" t="str">
        <f t="shared" si="375"/>
        <v>Hari</v>
      </c>
      <c r="D1457" s="8" t="str">
        <f t="shared" si="376"/>
        <v>Kumar</v>
      </c>
      <c r="E1457" s="8" t="str">
        <f t="shared" si="377"/>
        <v>Kumar, Hari</v>
      </c>
      <c r="F1457" s="8" t="str">
        <f t="shared" si="378"/>
        <v>Kumar, Hari</v>
      </c>
      <c r="G1457" s="8" t="str">
        <f t="shared" si="379"/>
        <v>not an outlier</v>
      </c>
      <c r="H1457" s="8" t="str">
        <f t="shared" si="380"/>
        <v>Not</v>
      </c>
      <c r="I1457" s="8" t="str">
        <f t="shared" si="390"/>
        <v>no</v>
      </c>
      <c r="J1457" s="10" t="str">
        <f t="shared" si="381"/>
        <v>no</v>
      </c>
      <c r="K1457" s="10" t="str">
        <f t="shared" si="382"/>
        <v>no</v>
      </c>
      <c r="L1457" t="s">
        <v>536</v>
      </c>
      <c r="M1457">
        <v>10804</v>
      </c>
      <c r="N1457">
        <v>10</v>
      </c>
      <c r="O1457" t="s">
        <v>724</v>
      </c>
      <c r="P1457" t="str">
        <f t="shared" si="383"/>
        <v>SEVES_10804_Ikura</v>
      </c>
      <c r="Q1457" t="str">
        <f t="shared" si="384"/>
        <v>10804</v>
      </c>
      <c r="R1457" t="str">
        <f t="shared" si="385"/>
        <v>10804</v>
      </c>
      <c r="S1457" t="str">
        <f t="shared" si="386"/>
        <v>Ikura</v>
      </c>
      <c r="T1457">
        <v>31</v>
      </c>
      <c r="U1457">
        <v>36</v>
      </c>
      <c r="V1457">
        <v>0</v>
      </c>
      <c r="W1457">
        <f t="shared" si="387"/>
        <v>1116</v>
      </c>
      <c r="X1457" t="str">
        <f t="shared" si="388"/>
        <v>yes</v>
      </c>
      <c r="Y1457" s="2">
        <v>35094</v>
      </c>
      <c r="Z1457" t="str">
        <f t="shared" si="374"/>
        <v>1st Q 1996</v>
      </c>
      <c r="AA1457" t="str">
        <f t="shared" si="389"/>
        <v>1st Q 1996</v>
      </c>
      <c r="AB1457" t="str" cm="1">
        <f t="array" ref="AB1457">_xlfn.IFS(Y1457&lt;DATE(1996,1,1),"",Y1457&lt;DATE(1996,4,1),"Q1",Y1457&lt;DATE(1996,7,1),"Q2",Y1457&gt;=DATE(1996,7,1),"")</f>
        <v>Q1</v>
      </c>
    </row>
    <row r="1458" spans="1:28" ht="14.4" x14ac:dyDescent="0.55000000000000004">
      <c r="A1458" t="str">
        <f>VLOOKUP(L1458,Customers!$A$2:$B$92,2,FALSE)</f>
        <v>Seven Seas Imports</v>
      </c>
      <c r="B1458" t="str">
        <f>VLOOKUP(L1458,Customers!$A$2:$C$92,3,TRUE)</f>
        <v>Hari Kumar</v>
      </c>
      <c r="C1458" t="str">
        <f t="shared" si="375"/>
        <v>Hari</v>
      </c>
      <c r="D1458" s="8" t="str">
        <f t="shared" si="376"/>
        <v>Kumar</v>
      </c>
      <c r="E1458" s="8" t="str">
        <f t="shared" si="377"/>
        <v>Kumar, Hari</v>
      </c>
      <c r="F1458" s="8" t="str">
        <f t="shared" si="378"/>
        <v>Kumar, Hari</v>
      </c>
      <c r="G1458" s="8" t="str">
        <f t="shared" si="379"/>
        <v>not an outlier</v>
      </c>
      <c r="H1458" s="8" t="str">
        <f t="shared" si="380"/>
        <v>Not</v>
      </c>
      <c r="I1458" s="8" t="str">
        <f t="shared" si="390"/>
        <v>no</v>
      </c>
      <c r="J1458" s="10" t="str">
        <f t="shared" si="381"/>
        <v>no</v>
      </c>
      <c r="K1458" s="10" t="str">
        <f t="shared" si="382"/>
        <v>no</v>
      </c>
      <c r="L1458" t="s">
        <v>536</v>
      </c>
      <c r="M1458">
        <v>10804</v>
      </c>
      <c r="N1458">
        <v>28</v>
      </c>
      <c r="O1458" t="s">
        <v>727</v>
      </c>
      <c r="P1458" t="str">
        <f t="shared" si="383"/>
        <v>SEVES_10804_Rössle Sauerkraut</v>
      </c>
      <c r="Q1458" t="str">
        <f t="shared" si="384"/>
        <v>10804</v>
      </c>
      <c r="R1458" t="str">
        <f t="shared" si="385"/>
        <v>10804</v>
      </c>
      <c r="S1458" t="str">
        <f t="shared" si="386"/>
        <v>Rössle Sauerkraut</v>
      </c>
      <c r="T1458">
        <v>45.6</v>
      </c>
      <c r="U1458">
        <v>24</v>
      </c>
      <c r="V1458">
        <v>0</v>
      </c>
      <c r="W1458">
        <f t="shared" si="387"/>
        <v>1094.4000000000001</v>
      </c>
      <c r="X1458" t="str">
        <f t="shared" si="388"/>
        <v>yes</v>
      </c>
      <c r="Y1458" s="2">
        <v>35094</v>
      </c>
      <c r="Z1458" t="str">
        <f t="shared" si="374"/>
        <v>1st Q 1996</v>
      </c>
      <c r="AA1458" t="str">
        <f t="shared" si="389"/>
        <v>1st Q 1996</v>
      </c>
      <c r="AB1458" t="str" cm="1">
        <f t="array" ref="AB1458">_xlfn.IFS(Y1458&lt;DATE(1996,1,1),"",Y1458&lt;DATE(1996,4,1),"Q1",Y1458&lt;DATE(1996,7,1),"Q2",Y1458&gt;=DATE(1996,7,1),"")</f>
        <v>Q1</v>
      </c>
    </row>
    <row r="1459" spans="1:28" ht="14.4" x14ac:dyDescent="0.55000000000000004">
      <c r="A1459" t="str">
        <f>VLOOKUP(L1459,Customers!$A$2:$B$92,2,FALSE)</f>
        <v>Seven Seas Imports</v>
      </c>
      <c r="B1459" t="str">
        <f>VLOOKUP(L1459,Customers!$A$2:$C$92,3,TRUE)</f>
        <v>Hari Kumar</v>
      </c>
      <c r="C1459" t="str">
        <f t="shared" si="375"/>
        <v>Hari</v>
      </c>
      <c r="D1459" s="8" t="str">
        <f t="shared" si="376"/>
        <v>Kumar</v>
      </c>
      <c r="E1459" s="8" t="str">
        <f t="shared" si="377"/>
        <v>Kumar, Hari</v>
      </c>
      <c r="F1459" s="8" t="str">
        <f t="shared" si="378"/>
        <v>Kumar, Hari</v>
      </c>
      <c r="G1459" s="8" t="str">
        <f t="shared" si="379"/>
        <v>not an outlier</v>
      </c>
      <c r="H1459" s="8" t="str">
        <f t="shared" si="380"/>
        <v>Not</v>
      </c>
      <c r="I1459" s="8" t="str">
        <f t="shared" si="390"/>
        <v>no</v>
      </c>
      <c r="J1459" s="10" t="str">
        <f t="shared" si="381"/>
        <v>no</v>
      </c>
      <c r="K1459" s="10" t="str">
        <f t="shared" si="382"/>
        <v>no</v>
      </c>
      <c r="L1459" t="s">
        <v>536</v>
      </c>
      <c r="M1459">
        <v>10804</v>
      </c>
      <c r="N1459">
        <v>49</v>
      </c>
      <c r="O1459" t="s">
        <v>697</v>
      </c>
      <c r="P1459" t="str">
        <f t="shared" si="383"/>
        <v>SEVES_10804_Maxilaku</v>
      </c>
      <c r="Q1459" t="str">
        <f t="shared" si="384"/>
        <v>10804</v>
      </c>
      <c r="R1459" t="str">
        <f t="shared" si="385"/>
        <v>10804</v>
      </c>
      <c r="S1459" t="str">
        <f t="shared" si="386"/>
        <v>Maxilaku</v>
      </c>
      <c r="T1459">
        <v>20</v>
      </c>
      <c r="U1459">
        <v>4</v>
      </c>
      <c r="V1459">
        <v>0.15</v>
      </c>
      <c r="W1459">
        <f t="shared" si="387"/>
        <v>68</v>
      </c>
      <c r="X1459" t="str">
        <f t="shared" si="388"/>
        <v>yes</v>
      </c>
      <c r="Y1459" s="2">
        <v>35094</v>
      </c>
      <c r="Z1459" t="str">
        <f t="shared" si="374"/>
        <v>1st Q 1996</v>
      </c>
      <c r="AA1459" t="str">
        <f t="shared" si="389"/>
        <v>1st Q 1996</v>
      </c>
      <c r="AB1459" t="str" cm="1">
        <f t="array" ref="AB1459">_xlfn.IFS(Y1459&lt;DATE(1996,1,1),"",Y1459&lt;DATE(1996,4,1),"Q1",Y1459&lt;DATE(1996,7,1),"Q2",Y1459&gt;=DATE(1996,7,1),"")</f>
        <v>Q1</v>
      </c>
    </row>
    <row r="1460" spans="1:28" ht="14.4" x14ac:dyDescent="0.55000000000000004">
      <c r="A1460" t="str">
        <f>VLOOKUP(L1460,Customers!$A$2:$B$92,2,FALSE)</f>
        <v>The Big Cheese</v>
      </c>
      <c r="B1460" t="str">
        <f>VLOOKUP(L1460,Customers!$A$2:$C$92,3,TRUE)</f>
        <v>Liz Nixon</v>
      </c>
      <c r="C1460" t="str">
        <f t="shared" si="375"/>
        <v>Liz</v>
      </c>
      <c r="D1460" s="8" t="str">
        <f t="shared" si="376"/>
        <v>Nixon</v>
      </c>
      <c r="E1460" s="8" t="str">
        <f t="shared" si="377"/>
        <v>Nixon, Liz</v>
      </c>
      <c r="F1460" s="8" t="str">
        <f t="shared" si="378"/>
        <v>Nixon, Liz</v>
      </c>
      <c r="G1460" s="8" t="str">
        <f t="shared" si="379"/>
        <v>not an outlier</v>
      </c>
      <c r="H1460" s="8" t="str">
        <f t="shared" si="380"/>
        <v>Not</v>
      </c>
      <c r="I1460" s="8" t="str">
        <f t="shared" si="390"/>
        <v>no</v>
      </c>
      <c r="J1460" s="10" t="str">
        <f t="shared" si="381"/>
        <v>no</v>
      </c>
      <c r="K1460" s="10" t="str">
        <f t="shared" si="382"/>
        <v>no</v>
      </c>
      <c r="L1460" t="s">
        <v>573</v>
      </c>
      <c r="M1460">
        <v>10805</v>
      </c>
      <c r="N1460">
        <v>34</v>
      </c>
      <c r="O1460" t="s">
        <v>736</v>
      </c>
      <c r="P1460" t="str">
        <f t="shared" si="383"/>
        <v>THEBI_10805_Sasquatch Ale</v>
      </c>
      <c r="Q1460" t="str">
        <f t="shared" si="384"/>
        <v>10805</v>
      </c>
      <c r="R1460" t="str">
        <f t="shared" si="385"/>
        <v>10805</v>
      </c>
      <c r="S1460" t="str">
        <f t="shared" si="386"/>
        <v>Sasquatch Ale</v>
      </c>
      <c r="T1460">
        <v>14</v>
      </c>
      <c r="U1460">
        <v>10</v>
      </c>
      <c r="V1460">
        <v>0</v>
      </c>
      <c r="W1460">
        <f t="shared" si="387"/>
        <v>140</v>
      </c>
      <c r="X1460" t="str">
        <f t="shared" si="388"/>
        <v>yes</v>
      </c>
      <c r="Y1460" s="2">
        <v>35094</v>
      </c>
      <c r="Z1460" t="str">
        <f t="shared" si="374"/>
        <v>1st Q 1996</v>
      </c>
      <c r="AA1460" t="str">
        <f t="shared" si="389"/>
        <v>1st Q 1996</v>
      </c>
      <c r="AB1460" t="str" cm="1">
        <f t="array" ref="AB1460">_xlfn.IFS(Y1460&lt;DATE(1996,1,1),"",Y1460&lt;DATE(1996,4,1),"Q1",Y1460&lt;DATE(1996,7,1),"Q2",Y1460&gt;=DATE(1996,7,1),"")</f>
        <v>Q1</v>
      </c>
    </row>
    <row r="1461" spans="1:28" ht="14.4" x14ac:dyDescent="0.55000000000000004">
      <c r="A1461" t="str">
        <f>VLOOKUP(L1461,Customers!$A$2:$B$92,2,FALSE)</f>
        <v>The Big Cheese</v>
      </c>
      <c r="B1461" t="str">
        <f>VLOOKUP(L1461,Customers!$A$2:$C$92,3,TRUE)</f>
        <v>Liz Nixon</v>
      </c>
      <c r="C1461" t="str">
        <f t="shared" si="375"/>
        <v>Liz</v>
      </c>
      <c r="D1461" s="8" t="str">
        <f t="shared" si="376"/>
        <v>Nixon</v>
      </c>
      <c r="E1461" s="8" t="str">
        <f t="shared" si="377"/>
        <v>Nixon, Liz</v>
      </c>
      <c r="F1461" s="8" t="str">
        <f t="shared" si="378"/>
        <v>Nixon, Liz</v>
      </c>
      <c r="G1461" s="8" t="str">
        <f t="shared" si="379"/>
        <v>not an outlier</v>
      </c>
      <c r="H1461" s="8" t="str">
        <f t="shared" si="380"/>
        <v>moderate</v>
      </c>
      <c r="I1461" s="8" t="str">
        <f t="shared" si="390"/>
        <v>no</v>
      </c>
      <c r="J1461" s="10" t="str">
        <f t="shared" si="381"/>
        <v>no</v>
      </c>
      <c r="K1461" s="10" t="str">
        <f t="shared" si="382"/>
        <v>moderate</v>
      </c>
      <c r="L1461" t="s">
        <v>573</v>
      </c>
      <c r="M1461">
        <v>10805</v>
      </c>
      <c r="N1461">
        <v>38</v>
      </c>
      <c r="O1461" t="s">
        <v>750</v>
      </c>
      <c r="P1461" t="str">
        <f t="shared" si="383"/>
        <v>THEBI_10805_Côte de Blaye</v>
      </c>
      <c r="Q1461" t="str">
        <f t="shared" si="384"/>
        <v>10805</v>
      </c>
      <c r="R1461" t="str">
        <f t="shared" si="385"/>
        <v>10805</v>
      </c>
      <c r="S1461" t="str">
        <f t="shared" si="386"/>
        <v>Côte de Blaye</v>
      </c>
      <c r="T1461">
        <v>263.5</v>
      </c>
      <c r="U1461">
        <v>10</v>
      </c>
      <c r="V1461">
        <v>0</v>
      </c>
      <c r="W1461">
        <f t="shared" si="387"/>
        <v>2635</v>
      </c>
      <c r="X1461" t="str">
        <f t="shared" si="388"/>
        <v>yes</v>
      </c>
      <c r="Y1461" s="2">
        <v>35094</v>
      </c>
      <c r="Z1461" t="str">
        <f t="shared" si="374"/>
        <v>1st Q 1996</v>
      </c>
      <c r="AA1461" t="str">
        <f t="shared" si="389"/>
        <v>1st Q 1996</v>
      </c>
      <c r="AB1461" t="str" cm="1">
        <f t="array" ref="AB1461">_xlfn.IFS(Y1461&lt;DATE(1996,1,1),"",Y1461&lt;DATE(1996,4,1),"Q1",Y1461&lt;DATE(1996,7,1),"Q2",Y1461&gt;=DATE(1996,7,1),"")</f>
        <v>Q1</v>
      </c>
    </row>
    <row r="1462" spans="1:28" ht="14.4" x14ac:dyDescent="0.55000000000000004">
      <c r="A1462" t="str">
        <f>VLOOKUP(L1462,Customers!$A$2:$B$92,2,FALSE)</f>
        <v>Victuailles en stock</v>
      </c>
      <c r="B1462" t="str">
        <f>VLOOKUP(L1462,Customers!$A$2:$C$92,3,TRUE)</f>
        <v>Mary Saveley</v>
      </c>
      <c r="C1462" t="str">
        <f t="shared" si="375"/>
        <v>Mary</v>
      </c>
      <c r="D1462" s="8" t="str">
        <f t="shared" si="376"/>
        <v>Saveley</v>
      </c>
      <c r="E1462" s="8" t="str">
        <f t="shared" si="377"/>
        <v>Saveley, Mary</v>
      </c>
      <c r="F1462" s="8" t="str">
        <f t="shared" si="378"/>
        <v>Saveley, Mary</v>
      </c>
      <c r="G1462" s="8" t="str">
        <f t="shared" si="379"/>
        <v>not an outlier</v>
      </c>
      <c r="H1462" s="8" t="str">
        <f t="shared" si="380"/>
        <v>Not</v>
      </c>
      <c r="I1462" s="8" t="str">
        <f t="shared" si="390"/>
        <v>no</v>
      </c>
      <c r="J1462" s="10" t="str">
        <f t="shared" si="381"/>
        <v>no</v>
      </c>
      <c r="K1462" s="10" t="str">
        <f t="shared" si="382"/>
        <v>no</v>
      </c>
      <c r="L1462" t="s">
        <v>619</v>
      </c>
      <c r="M1462">
        <v>10806</v>
      </c>
      <c r="N1462">
        <v>2</v>
      </c>
      <c r="O1462" t="s">
        <v>701</v>
      </c>
      <c r="P1462" t="str">
        <f t="shared" si="383"/>
        <v>VICTE_10806_Chang</v>
      </c>
      <c r="Q1462" t="str">
        <f t="shared" si="384"/>
        <v>10806</v>
      </c>
      <c r="R1462" t="str">
        <f t="shared" si="385"/>
        <v>10806</v>
      </c>
      <c r="S1462" t="str">
        <f t="shared" si="386"/>
        <v>Chang</v>
      </c>
      <c r="T1462">
        <v>19</v>
      </c>
      <c r="U1462">
        <v>20</v>
      </c>
      <c r="V1462">
        <v>0.25</v>
      </c>
      <c r="W1462">
        <f t="shared" si="387"/>
        <v>285</v>
      </c>
      <c r="X1462" t="str">
        <f t="shared" si="388"/>
        <v>yes</v>
      </c>
      <c r="Y1462" s="2">
        <v>35095</v>
      </c>
      <c r="Z1462" t="str">
        <f t="shared" si="374"/>
        <v>1st Q 1996</v>
      </c>
      <c r="AA1462" t="str">
        <f t="shared" si="389"/>
        <v>1st Q 1996</v>
      </c>
      <c r="AB1462" t="str" cm="1">
        <f t="array" ref="AB1462">_xlfn.IFS(Y1462&lt;DATE(1996,1,1),"",Y1462&lt;DATE(1996,4,1),"Q1",Y1462&lt;DATE(1996,7,1),"Q2",Y1462&gt;=DATE(1996,7,1),"")</f>
        <v>Q1</v>
      </c>
    </row>
    <row r="1463" spans="1:28" ht="14.4" x14ac:dyDescent="0.55000000000000004">
      <c r="A1463" t="str">
        <f>VLOOKUP(L1463,Customers!$A$2:$B$92,2,FALSE)</f>
        <v>Victuailles en stock</v>
      </c>
      <c r="B1463" t="str">
        <f>VLOOKUP(L1463,Customers!$A$2:$C$92,3,TRUE)</f>
        <v>Mary Saveley</v>
      </c>
      <c r="C1463" t="str">
        <f t="shared" si="375"/>
        <v>Mary</v>
      </c>
      <c r="D1463" s="8" t="str">
        <f t="shared" si="376"/>
        <v>Saveley</v>
      </c>
      <c r="E1463" s="8" t="str">
        <f t="shared" si="377"/>
        <v>Saveley, Mary</v>
      </c>
      <c r="F1463" s="8" t="str">
        <f t="shared" si="378"/>
        <v>Saveley, Mary</v>
      </c>
      <c r="G1463" s="8" t="str">
        <f t="shared" si="379"/>
        <v>not an outlier</v>
      </c>
      <c r="H1463" s="8" t="str">
        <f t="shared" si="380"/>
        <v>Not</v>
      </c>
      <c r="I1463" s="8" t="str">
        <f t="shared" si="390"/>
        <v>no</v>
      </c>
      <c r="J1463" s="10" t="str">
        <f t="shared" si="381"/>
        <v>no</v>
      </c>
      <c r="K1463" s="10" t="str">
        <f t="shared" si="382"/>
        <v>no</v>
      </c>
      <c r="L1463" t="s">
        <v>619</v>
      </c>
      <c r="M1463">
        <v>10806</v>
      </c>
      <c r="N1463">
        <v>65</v>
      </c>
      <c r="O1463" t="s">
        <v>689</v>
      </c>
      <c r="P1463" t="str">
        <f t="shared" si="383"/>
        <v>VICTE_10806_Louisiana Fiery Hot Pepper Sauce</v>
      </c>
      <c r="Q1463" t="str">
        <f t="shared" si="384"/>
        <v>10806</v>
      </c>
      <c r="R1463" t="str">
        <f t="shared" si="385"/>
        <v>10806</v>
      </c>
      <c r="S1463" t="str">
        <f t="shared" si="386"/>
        <v>Louisiana Fiery Hot Pepper Sauce</v>
      </c>
      <c r="T1463">
        <v>21.05</v>
      </c>
      <c r="U1463">
        <v>2</v>
      </c>
      <c r="V1463">
        <v>0</v>
      </c>
      <c r="W1463">
        <f t="shared" si="387"/>
        <v>42.1</v>
      </c>
      <c r="X1463" t="str">
        <f t="shared" si="388"/>
        <v>yes</v>
      </c>
      <c r="Y1463" s="2">
        <v>35095</v>
      </c>
      <c r="Z1463" t="str">
        <f t="shared" si="374"/>
        <v>1st Q 1996</v>
      </c>
      <c r="AA1463" t="str">
        <f t="shared" si="389"/>
        <v>1st Q 1996</v>
      </c>
      <c r="AB1463" t="str" cm="1">
        <f t="array" ref="AB1463">_xlfn.IFS(Y1463&lt;DATE(1996,1,1),"",Y1463&lt;DATE(1996,4,1),"Q1",Y1463&lt;DATE(1996,7,1),"Q2",Y1463&gt;=DATE(1996,7,1),"")</f>
        <v>Q1</v>
      </c>
    </row>
    <row r="1464" spans="1:28" ht="14.4" x14ac:dyDescent="0.55000000000000004">
      <c r="A1464" t="str">
        <f>VLOOKUP(L1464,Customers!$A$2:$B$92,2,FALSE)</f>
        <v>Victuailles en stock</v>
      </c>
      <c r="B1464" t="str">
        <f>VLOOKUP(L1464,Customers!$A$2:$C$92,3,TRUE)</f>
        <v>Mary Saveley</v>
      </c>
      <c r="C1464" t="str">
        <f t="shared" si="375"/>
        <v>Mary</v>
      </c>
      <c r="D1464" s="8" t="str">
        <f t="shared" si="376"/>
        <v>Saveley</v>
      </c>
      <c r="E1464" s="8" t="str">
        <f t="shared" si="377"/>
        <v>Saveley, Mary</v>
      </c>
      <c r="F1464" s="8" t="str">
        <f t="shared" si="378"/>
        <v>Saveley, Mary</v>
      </c>
      <c r="G1464" s="8" t="str">
        <f t="shared" si="379"/>
        <v>not an outlier</v>
      </c>
      <c r="H1464" s="8" t="str">
        <f t="shared" si="380"/>
        <v>Not</v>
      </c>
      <c r="I1464" s="8" t="str">
        <f t="shared" si="390"/>
        <v>no</v>
      </c>
      <c r="J1464" s="10" t="str">
        <f t="shared" si="381"/>
        <v>no</v>
      </c>
      <c r="K1464" s="10" t="str">
        <f t="shared" si="382"/>
        <v>no</v>
      </c>
      <c r="L1464" t="s">
        <v>619</v>
      </c>
      <c r="M1464">
        <v>10806</v>
      </c>
      <c r="N1464">
        <v>74</v>
      </c>
      <c r="O1464" t="s">
        <v>700</v>
      </c>
      <c r="P1464" t="str">
        <f t="shared" si="383"/>
        <v>VICTE_10806_Longlife Tofu</v>
      </c>
      <c r="Q1464" t="str">
        <f t="shared" si="384"/>
        <v>10806</v>
      </c>
      <c r="R1464" t="str">
        <f t="shared" si="385"/>
        <v>10806</v>
      </c>
      <c r="S1464" t="str">
        <f t="shared" si="386"/>
        <v>Longlife Tofu</v>
      </c>
      <c r="T1464">
        <v>10</v>
      </c>
      <c r="U1464">
        <v>15</v>
      </c>
      <c r="V1464">
        <v>0.25</v>
      </c>
      <c r="W1464">
        <f t="shared" si="387"/>
        <v>112.5</v>
      </c>
      <c r="X1464" t="str">
        <f t="shared" si="388"/>
        <v>yes</v>
      </c>
      <c r="Y1464" s="2">
        <v>35095</v>
      </c>
      <c r="Z1464" t="str">
        <f t="shared" si="374"/>
        <v>1st Q 1996</v>
      </c>
      <c r="AA1464" t="str">
        <f t="shared" si="389"/>
        <v>1st Q 1996</v>
      </c>
      <c r="AB1464" t="str" cm="1">
        <f t="array" ref="AB1464">_xlfn.IFS(Y1464&lt;DATE(1996,1,1),"",Y1464&lt;DATE(1996,4,1),"Q1",Y1464&lt;DATE(1996,7,1),"Q2",Y1464&gt;=DATE(1996,7,1),"")</f>
        <v>Q1</v>
      </c>
    </row>
    <row r="1465" spans="1:28" ht="14.4" x14ac:dyDescent="0.55000000000000004">
      <c r="A1465" t="str">
        <f>VLOOKUP(L1465,Customers!$A$2:$B$92,2,FALSE)</f>
        <v>Franchi S.p.A.</v>
      </c>
      <c r="B1465" t="str">
        <f>VLOOKUP(L1465,Customers!$A$2:$C$92,3,TRUE)</f>
        <v>Paolo Accorti</v>
      </c>
      <c r="C1465" t="str">
        <f t="shared" si="375"/>
        <v>Paolo</v>
      </c>
      <c r="D1465" s="8" t="str">
        <f t="shared" si="376"/>
        <v>Accorti</v>
      </c>
      <c r="E1465" s="8" t="str">
        <f t="shared" si="377"/>
        <v>Accorti, Paolo</v>
      </c>
      <c r="F1465" s="8" t="str">
        <f t="shared" si="378"/>
        <v>Accorti, Paolo</v>
      </c>
      <c r="G1465" s="8" t="str">
        <f t="shared" si="379"/>
        <v>not an outlier</v>
      </c>
      <c r="H1465" s="8" t="str">
        <f t="shared" si="380"/>
        <v>Not</v>
      </c>
      <c r="I1465" s="8" t="str">
        <f t="shared" si="390"/>
        <v>no</v>
      </c>
      <c r="J1465" s="10" t="str">
        <f t="shared" si="381"/>
        <v>no</v>
      </c>
      <c r="K1465" s="10" t="str">
        <f t="shared" si="382"/>
        <v>no</v>
      </c>
      <c r="L1465" t="s">
        <v>211</v>
      </c>
      <c r="M1465">
        <v>10807</v>
      </c>
      <c r="N1465">
        <v>40</v>
      </c>
      <c r="O1465" t="s">
        <v>720</v>
      </c>
      <c r="P1465" t="str">
        <f t="shared" si="383"/>
        <v>FRANS_10807_Boston Crab Meat</v>
      </c>
      <c r="Q1465" t="str">
        <f t="shared" si="384"/>
        <v>10807</v>
      </c>
      <c r="R1465" t="str">
        <f t="shared" si="385"/>
        <v>10807</v>
      </c>
      <c r="S1465" t="str">
        <f t="shared" si="386"/>
        <v>Boston Crab Meat</v>
      </c>
      <c r="T1465">
        <v>18.399999999999999</v>
      </c>
      <c r="U1465">
        <v>1</v>
      </c>
      <c r="V1465">
        <v>0</v>
      </c>
      <c r="W1465">
        <f t="shared" si="387"/>
        <v>18.399999999999999</v>
      </c>
      <c r="X1465" t="str">
        <f t="shared" si="388"/>
        <v>yes</v>
      </c>
      <c r="Y1465" s="2">
        <v>35095</v>
      </c>
      <c r="Z1465" t="str">
        <f t="shared" si="374"/>
        <v>1st Q 1996</v>
      </c>
      <c r="AA1465" t="str">
        <f t="shared" si="389"/>
        <v>1st Q 1996</v>
      </c>
      <c r="AB1465" t="str" cm="1">
        <f t="array" ref="AB1465">_xlfn.IFS(Y1465&lt;DATE(1996,1,1),"",Y1465&lt;DATE(1996,4,1),"Q1",Y1465&lt;DATE(1996,7,1),"Q2",Y1465&gt;=DATE(1996,7,1),"")</f>
        <v>Q1</v>
      </c>
    </row>
    <row r="1466" spans="1:28" ht="14.4" x14ac:dyDescent="0.55000000000000004">
      <c r="A1466" t="str">
        <f>VLOOKUP(L1466,Customers!$A$2:$B$92,2,FALSE)</f>
        <v>Old World Delicatessen</v>
      </c>
      <c r="B1466" t="str">
        <f>VLOOKUP(L1466,Customers!$A$2:$C$92,3,TRUE)</f>
        <v>Rene Phillips</v>
      </c>
      <c r="C1466" t="str">
        <f t="shared" si="375"/>
        <v>Rene</v>
      </c>
      <c r="D1466" s="8" t="str">
        <f t="shared" si="376"/>
        <v>Phillips</v>
      </c>
      <c r="E1466" s="8" t="str">
        <f t="shared" si="377"/>
        <v>Phillips, Rene</v>
      </c>
      <c r="F1466" s="8" t="str">
        <f t="shared" si="378"/>
        <v>Phillips, Rene</v>
      </c>
      <c r="G1466" s="8" t="str">
        <f t="shared" si="379"/>
        <v>not an outlier</v>
      </c>
      <c r="H1466" s="8" t="str">
        <f t="shared" si="380"/>
        <v>Not</v>
      </c>
      <c r="I1466" s="8" t="str">
        <f t="shared" si="390"/>
        <v>no</v>
      </c>
      <c r="J1466" s="10" t="str">
        <f t="shared" si="381"/>
        <v>no</v>
      </c>
      <c r="K1466" s="10" t="str">
        <f t="shared" si="382"/>
        <v>no</v>
      </c>
      <c r="L1466" t="s">
        <v>422</v>
      </c>
      <c r="M1466">
        <v>10808</v>
      </c>
      <c r="N1466">
        <v>56</v>
      </c>
      <c r="O1466" t="s">
        <v>716</v>
      </c>
      <c r="P1466" t="str">
        <f t="shared" si="383"/>
        <v>OLDWO_10808_Gnocchi di nonna Alice</v>
      </c>
      <c r="Q1466" t="str">
        <f t="shared" si="384"/>
        <v>10808</v>
      </c>
      <c r="R1466" t="str">
        <f t="shared" si="385"/>
        <v>10808</v>
      </c>
      <c r="S1466" t="str">
        <f t="shared" si="386"/>
        <v>Gnocchi di nonna Alice</v>
      </c>
      <c r="T1466">
        <v>38</v>
      </c>
      <c r="U1466">
        <v>20</v>
      </c>
      <c r="V1466">
        <v>0.15</v>
      </c>
      <c r="W1466">
        <f t="shared" si="387"/>
        <v>646</v>
      </c>
      <c r="X1466" t="str">
        <f t="shared" si="388"/>
        <v>yes</v>
      </c>
      <c r="Y1466" s="2">
        <v>35096</v>
      </c>
      <c r="Z1466" t="str">
        <f t="shared" si="374"/>
        <v>1st Q 1996</v>
      </c>
      <c r="AA1466" t="str">
        <f t="shared" si="389"/>
        <v>1st Q 1996</v>
      </c>
      <c r="AB1466" t="str" cm="1">
        <f t="array" ref="AB1466">_xlfn.IFS(Y1466&lt;DATE(1996,1,1),"",Y1466&lt;DATE(1996,4,1),"Q1",Y1466&lt;DATE(1996,7,1),"Q2",Y1466&gt;=DATE(1996,7,1),"")</f>
        <v>Q1</v>
      </c>
    </row>
    <row r="1467" spans="1:28" ht="14.4" x14ac:dyDescent="0.55000000000000004">
      <c r="A1467" t="str">
        <f>VLOOKUP(L1467,Customers!$A$2:$B$92,2,FALSE)</f>
        <v>Old World Delicatessen</v>
      </c>
      <c r="B1467" t="str">
        <f>VLOOKUP(L1467,Customers!$A$2:$C$92,3,TRUE)</f>
        <v>Rene Phillips</v>
      </c>
      <c r="C1467" t="str">
        <f t="shared" si="375"/>
        <v>Rene</v>
      </c>
      <c r="D1467" s="8" t="str">
        <f t="shared" si="376"/>
        <v>Phillips</v>
      </c>
      <c r="E1467" s="8" t="str">
        <f t="shared" si="377"/>
        <v>Phillips, Rene</v>
      </c>
      <c r="F1467" s="8" t="str">
        <f t="shared" si="378"/>
        <v>Phillips, Rene</v>
      </c>
      <c r="G1467" s="8" t="str">
        <f t="shared" si="379"/>
        <v>not an outlier</v>
      </c>
      <c r="H1467" s="8" t="str">
        <f t="shared" si="380"/>
        <v>Not</v>
      </c>
      <c r="I1467" s="8" t="str">
        <f t="shared" si="390"/>
        <v>no</v>
      </c>
      <c r="J1467" s="10" t="str">
        <f t="shared" si="381"/>
        <v>no</v>
      </c>
      <c r="K1467" s="10" t="str">
        <f t="shared" si="382"/>
        <v>no</v>
      </c>
      <c r="L1467" t="s">
        <v>422</v>
      </c>
      <c r="M1467">
        <v>10808</v>
      </c>
      <c r="N1467">
        <v>76</v>
      </c>
      <c r="O1467" t="s">
        <v>721</v>
      </c>
      <c r="P1467" t="str">
        <f t="shared" si="383"/>
        <v>OLDWO_10808_Lakkalikööri</v>
      </c>
      <c r="Q1467" t="str">
        <f t="shared" si="384"/>
        <v>10808</v>
      </c>
      <c r="R1467" t="str">
        <f t="shared" si="385"/>
        <v>10808</v>
      </c>
      <c r="S1467" t="str">
        <f t="shared" si="386"/>
        <v>Lakkalikööri</v>
      </c>
      <c r="T1467">
        <v>18</v>
      </c>
      <c r="U1467">
        <v>50</v>
      </c>
      <c r="V1467">
        <v>0.15</v>
      </c>
      <c r="W1467">
        <f t="shared" si="387"/>
        <v>765</v>
      </c>
      <c r="X1467" t="str">
        <f t="shared" si="388"/>
        <v>yes</v>
      </c>
      <c r="Y1467" s="2">
        <v>35096</v>
      </c>
      <c r="Z1467" t="str">
        <f t="shared" si="374"/>
        <v>1st Q 1996</v>
      </c>
      <c r="AA1467" t="str">
        <f t="shared" si="389"/>
        <v>1st Q 1996</v>
      </c>
      <c r="AB1467" t="str" cm="1">
        <f t="array" ref="AB1467">_xlfn.IFS(Y1467&lt;DATE(1996,1,1),"",Y1467&lt;DATE(1996,4,1),"Q1",Y1467&lt;DATE(1996,7,1),"Q2",Y1467&gt;=DATE(1996,7,1),"")</f>
        <v>Q1</v>
      </c>
    </row>
    <row r="1468" spans="1:28" ht="14.4" x14ac:dyDescent="0.55000000000000004">
      <c r="A1468" t="str">
        <f>VLOOKUP(L1468,Customers!$A$2:$B$92,2,FALSE)</f>
        <v>Wellington Importadora</v>
      </c>
      <c r="B1468" t="str">
        <f>VLOOKUP(L1468,Customers!$A$2:$C$92,3,TRUE)</f>
        <v>Paula Parente</v>
      </c>
      <c r="C1468" t="str">
        <f t="shared" si="375"/>
        <v>Paula</v>
      </c>
      <c r="D1468" s="8" t="str">
        <f t="shared" si="376"/>
        <v>Parente</v>
      </c>
      <c r="E1468" s="8" t="str">
        <f t="shared" si="377"/>
        <v>Parente, Paula</v>
      </c>
      <c r="F1468" s="8" t="str">
        <f t="shared" si="378"/>
        <v>Parente, Paula</v>
      </c>
      <c r="G1468" s="8" t="str">
        <f t="shared" si="379"/>
        <v>not an outlier</v>
      </c>
      <c r="H1468" s="8" t="str">
        <f t="shared" si="380"/>
        <v>Not</v>
      </c>
      <c r="I1468" s="8" t="str">
        <f t="shared" si="390"/>
        <v>no</v>
      </c>
      <c r="J1468" s="10" t="str">
        <f t="shared" si="381"/>
        <v>no</v>
      </c>
      <c r="K1468" s="10" t="str">
        <f t="shared" si="382"/>
        <v>no</v>
      </c>
      <c r="L1468" t="s">
        <v>647</v>
      </c>
      <c r="M1468">
        <v>10809</v>
      </c>
      <c r="N1468">
        <v>52</v>
      </c>
      <c r="O1468" t="s">
        <v>748</v>
      </c>
      <c r="P1468" t="str">
        <f t="shared" si="383"/>
        <v>WELLI_10809_Filo Mix</v>
      </c>
      <c r="Q1468" t="str">
        <f t="shared" si="384"/>
        <v>10809</v>
      </c>
      <c r="R1468" t="str">
        <f t="shared" si="385"/>
        <v>10809</v>
      </c>
      <c r="S1468" t="str">
        <f t="shared" si="386"/>
        <v>Filo Mix</v>
      </c>
      <c r="T1468">
        <v>7</v>
      </c>
      <c r="U1468">
        <v>20</v>
      </c>
      <c r="V1468">
        <v>0</v>
      </c>
      <c r="W1468">
        <f t="shared" si="387"/>
        <v>140</v>
      </c>
      <c r="X1468" t="str">
        <f t="shared" si="388"/>
        <v>yes</v>
      </c>
      <c r="Y1468" s="2">
        <v>35096</v>
      </c>
      <c r="Z1468" t="str">
        <f t="shared" si="374"/>
        <v>1st Q 1996</v>
      </c>
      <c r="AA1468" t="str">
        <f t="shared" si="389"/>
        <v>1st Q 1996</v>
      </c>
      <c r="AB1468" t="str" cm="1">
        <f t="array" ref="AB1468">_xlfn.IFS(Y1468&lt;DATE(1996,1,1),"",Y1468&lt;DATE(1996,4,1),"Q1",Y1468&lt;DATE(1996,7,1),"Q2",Y1468&gt;=DATE(1996,7,1),"")</f>
        <v>Q1</v>
      </c>
    </row>
    <row r="1469" spans="1:28" ht="14.4" x14ac:dyDescent="0.55000000000000004">
      <c r="A1469" t="str">
        <f>VLOOKUP(L1469,Customers!$A$2:$B$92,2,FALSE)</f>
        <v>Laughing Bacchus Wine Cellars</v>
      </c>
      <c r="B1469" t="str">
        <f>VLOOKUP(L1469,Customers!$A$2:$C$92,3,TRUE)</f>
        <v>Yoshi Tannamuri</v>
      </c>
      <c r="C1469" t="str">
        <f t="shared" si="375"/>
        <v>Yoshi</v>
      </c>
      <c r="D1469" s="8" t="str">
        <f t="shared" si="376"/>
        <v>Tannamuri</v>
      </c>
      <c r="E1469" s="8" t="str">
        <f t="shared" si="377"/>
        <v>Tannamuri, Yoshi</v>
      </c>
      <c r="F1469" s="8" t="str">
        <f t="shared" si="378"/>
        <v>Tannamuri, Yoshi</v>
      </c>
      <c r="G1469" s="8" t="str">
        <f t="shared" si="379"/>
        <v>not an outlier</v>
      </c>
      <c r="H1469" s="8" t="str">
        <f t="shared" si="380"/>
        <v>Not</v>
      </c>
      <c r="I1469" s="8" t="str">
        <f t="shared" si="390"/>
        <v>no</v>
      </c>
      <c r="J1469" s="10" t="str">
        <f t="shared" si="381"/>
        <v>no</v>
      </c>
      <c r="K1469" s="10" t="str">
        <f t="shared" si="382"/>
        <v>no</v>
      </c>
      <c r="L1469" t="s">
        <v>325</v>
      </c>
      <c r="M1469">
        <v>10810</v>
      </c>
      <c r="N1469">
        <v>13</v>
      </c>
      <c r="O1469" t="s">
        <v>726</v>
      </c>
      <c r="P1469" t="str">
        <f t="shared" si="383"/>
        <v>LAUGB_10810_Konbu</v>
      </c>
      <c r="Q1469" t="str">
        <f t="shared" si="384"/>
        <v>10810</v>
      </c>
      <c r="R1469" t="str">
        <f t="shared" si="385"/>
        <v>10810</v>
      </c>
      <c r="S1469" t="str">
        <f t="shared" si="386"/>
        <v>Konbu</v>
      </c>
      <c r="T1469">
        <v>6</v>
      </c>
      <c r="U1469">
        <v>7</v>
      </c>
      <c r="V1469">
        <v>0</v>
      </c>
      <c r="W1469">
        <f t="shared" si="387"/>
        <v>42</v>
      </c>
      <c r="X1469" t="str">
        <f t="shared" si="388"/>
        <v>yes</v>
      </c>
      <c r="Y1469" s="2">
        <v>35096</v>
      </c>
      <c r="Z1469" t="str">
        <f t="shared" si="374"/>
        <v>1st Q 1996</v>
      </c>
      <c r="AA1469" t="str">
        <f t="shared" si="389"/>
        <v>1st Q 1996</v>
      </c>
      <c r="AB1469" t="str" cm="1">
        <f t="array" ref="AB1469">_xlfn.IFS(Y1469&lt;DATE(1996,1,1),"",Y1469&lt;DATE(1996,4,1),"Q1",Y1469&lt;DATE(1996,7,1),"Q2",Y1469&gt;=DATE(1996,7,1),"")</f>
        <v>Q1</v>
      </c>
    </row>
    <row r="1470" spans="1:28" ht="14.4" x14ac:dyDescent="0.55000000000000004">
      <c r="A1470" t="str">
        <f>VLOOKUP(L1470,Customers!$A$2:$B$92,2,FALSE)</f>
        <v>Laughing Bacchus Wine Cellars</v>
      </c>
      <c r="B1470" t="str">
        <f>VLOOKUP(L1470,Customers!$A$2:$C$92,3,TRUE)</f>
        <v>Yoshi Tannamuri</v>
      </c>
      <c r="C1470" t="str">
        <f t="shared" si="375"/>
        <v>Yoshi</v>
      </c>
      <c r="D1470" s="8" t="str">
        <f t="shared" si="376"/>
        <v>Tannamuri</v>
      </c>
      <c r="E1470" s="8" t="str">
        <f t="shared" si="377"/>
        <v>Tannamuri, Yoshi</v>
      </c>
      <c r="F1470" s="8" t="str">
        <f t="shared" si="378"/>
        <v>Tannamuri, Yoshi</v>
      </c>
      <c r="G1470" s="8" t="str">
        <f t="shared" si="379"/>
        <v>not an outlier</v>
      </c>
      <c r="H1470" s="8" t="str">
        <f t="shared" si="380"/>
        <v>Not</v>
      </c>
      <c r="I1470" s="8" t="str">
        <f t="shared" si="390"/>
        <v>no</v>
      </c>
      <c r="J1470" s="10" t="str">
        <f t="shared" si="381"/>
        <v>no</v>
      </c>
      <c r="K1470" s="10" t="str">
        <f t="shared" si="382"/>
        <v>no</v>
      </c>
      <c r="L1470" t="s">
        <v>325</v>
      </c>
      <c r="M1470">
        <v>10810</v>
      </c>
      <c r="N1470">
        <v>25</v>
      </c>
      <c r="O1470" t="s">
        <v>749</v>
      </c>
      <c r="P1470" t="str">
        <f t="shared" si="383"/>
        <v>LAUGB_10810_NuNuCa Nuß-Nougat-Creme</v>
      </c>
      <c r="Q1470" t="str">
        <f t="shared" si="384"/>
        <v>10810</v>
      </c>
      <c r="R1470" t="str">
        <f t="shared" si="385"/>
        <v>10810</v>
      </c>
      <c r="S1470" t="str">
        <f t="shared" si="386"/>
        <v>NuNuCa Nuß-Nougat-Creme</v>
      </c>
      <c r="T1470">
        <v>14</v>
      </c>
      <c r="U1470">
        <v>5</v>
      </c>
      <c r="V1470">
        <v>0</v>
      </c>
      <c r="W1470">
        <f t="shared" si="387"/>
        <v>70</v>
      </c>
      <c r="X1470" t="str">
        <f t="shared" si="388"/>
        <v>yes</v>
      </c>
      <c r="Y1470" s="2">
        <v>35096</v>
      </c>
      <c r="Z1470" t="str">
        <f t="shared" si="374"/>
        <v>1st Q 1996</v>
      </c>
      <c r="AA1470" t="str">
        <f t="shared" si="389"/>
        <v>1st Q 1996</v>
      </c>
      <c r="AB1470" t="str" cm="1">
        <f t="array" ref="AB1470">_xlfn.IFS(Y1470&lt;DATE(1996,1,1),"",Y1470&lt;DATE(1996,4,1),"Q1",Y1470&lt;DATE(1996,7,1),"Q2",Y1470&gt;=DATE(1996,7,1),"")</f>
        <v>Q1</v>
      </c>
    </row>
    <row r="1471" spans="1:28" ht="14.4" x14ac:dyDescent="0.55000000000000004">
      <c r="A1471" t="str">
        <f>VLOOKUP(L1471,Customers!$A$2:$B$92,2,FALSE)</f>
        <v>Laughing Bacchus Wine Cellars</v>
      </c>
      <c r="B1471" t="str">
        <f>VLOOKUP(L1471,Customers!$A$2:$C$92,3,TRUE)</f>
        <v>Yoshi Tannamuri</v>
      </c>
      <c r="C1471" t="str">
        <f t="shared" si="375"/>
        <v>Yoshi</v>
      </c>
      <c r="D1471" s="8" t="str">
        <f t="shared" si="376"/>
        <v>Tannamuri</v>
      </c>
      <c r="E1471" s="8" t="str">
        <f t="shared" si="377"/>
        <v>Tannamuri, Yoshi</v>
      </c>
      <c r="F1471" s="8" t="str">
        <f t="shared" si="378"/>
        <v>Tannamuri, Yoshi</v>
      </c>
      <c r="G1471" s="8" t="str">
        <f t="shared" si="379"/>
        <v>not an outlier</v>
      </c>
      <c r="H1471" s="8" t="str">
        <f t="shared" si="380"/>
        <v>Not</v>
      </c>
      <c r="I1471" s="8" t="str">
        <f t="shared" si="390"/>
        <v>no</v>
      </c>
      <c r="J1471" s="10" t="str">
        <f t="shared" si="381"/>
        <v>no</v>
      </c>
      <c r="K1471" s="10" t="str">
        <f t="shared" si="382"/>
        <v>no</v>
      </c>
      <c r="L1471" t="s">
        <v>325</v>
      </c>
      <c r="M1471">
        <v>10810</v>
      </c>
      <c r="N1471">
        <v>70</v>
      </c>
      <c r="O1471" t="s">
        <v>713</v>
      </c>
      <c r="P1471" t="str">
        <f t="shared" si="383"/>
        <v>LAUGB_10810_Outback Lager</v>
      </c>
      <c r="Q1471" t="str">
        <f t="shared" si="384"/>
        <v>10810</v>
      </c>
      <c r="R1471" t="str">
        <f t="shared" si="385"/>
        <v>10810</v>
      </c>
      <c r="S1471" t="str">
        <f t="shared" si="386"/>
        <v>Outback Lager</v>
      </c>
      <c r="T1471">
        <v>15</v>
      </c>
      <c r="U1471">
        <v>5</v>
      </c>
      <c r="V1471">
        <v>0</v>
      </c>
      <c r="W1471">
        <f t="shared" si="387"/>
        <v>75</v>
      </c>
      <c r="X1471" t="str">
        <f t="shared" si="388"/>
        <v>yes</v>
      </c>
      <c r="Y1471" s="2">
        <v>35096</v>
      </c>
      <c r="Z1471" t="str">
        <f t="shared" si="374"/>
        <v>1st Q 1996</v>
      </c>
      <c r="AA1471" t="str">
        <f t="shared" si="389"/>
        <v>1st Q 1996</v>
      </c>
      <c r="AB1471" t="str" cm="1">
        <f t="array" ref="AB1471">_xlfn.IFS(Y1471&lt;DATE(1996,1,1),"",Y1471&lt;DATE(1996,4,1),"Q1",Y1471&lt;DATE(1996,7,1),"Q2",Y1471&gt;=DATE(1996,7,1),"")</f>
        <v>Q1</v>
      </c>
    </row>
    <row r="1472" spans="1:28" ht="14.4" x14ac:dyDescent="0.55000000000000004">
      <c r="A1472" t="str">
        <f>VLOOKUP(L1472,Customers!$A$2:$B$92,2,FALSE)</f>
        <v>LINO-Delicateses</v>
      </c>
      <c r="B1472" t="str">
        <f>VLOOKUP(L1472,Customers!$A$2:$C$92,3,TRUE)</f>
        <v>Felipe Izquierdo</v>
      </c>
      <c r="C1472" t="str">
        <f t="shared" si="375"/>
        <v>Felipe</v>
      </c>
      <c r="D1472" s="8" t="str">
        <f t="shared" si="376"/>
        <v>Izquierdo</v>
      </c>
      <c r="E1472" s="8" t="str">
        <f t="shared" si="377"/>
        <v>Izquierdo, Felipe</v>
      </c>
      <c r="F1472" s="8" t="str">
        <f t="shared" si="378"/>
        <v>Izquierdo, Felipe</v>
      </c>
      <c r="G1472" s="8" t="str">
        <f t="shared" si="379"/>
        <v>not an outlier</v>
      </c>
      <c r="H1472" s="8" t="str">
        <f t="shared" si="380"/>
        <v>Not</v>
      </c>
      <c r="I1472" s="8" t="str">
        <f t="shared" si="390"/>
        <v>no</v>
      </c>
      <c r="J1472" s="10" t="str">
        <f t="shared" si="381"/>
        <v>no</v>
      </c>
      <c r="K1472" s="10" t="str">
        <f t="shared" si="382"/>
        <v>no</v>
      </c>
      <c r="L1472" t="s">
        <v>363</v>
      </c>
      <c r="M1472">
        <v>10811</v>
      </c>
      <c r="N1472">
        <v>19</v>
      </c>
      <c r="O1472" t="s">
        <v>732</v>
      </c>
      <c r="P1472" t="str">
        <f t="shared" si="383"/>
        <v>LINOD_10811_Teatime Chocolate Biscuits</v>
      </c>
      <c r="Q1472" t="str">
        <f t="shared" si="384"/>
        <v>10811</v>
      </c>
      <c r="R1472" t="str">
        <f t="shared" si="385"/>
        <v>10811</v>
      </c>
      <c r="S1472" t="str">
        <f t="shared" si="386"/>
        <v>Teatime Chocolate Biscuits</v>
      </c>
      <c r="T1472">
        <v>9.1999999999999993</v>
      </c>
      <c r="U1472">
        <v>15</v>
      </c>
      <c r="V1472">
        <v>0</v>
      </c>
      <c r="W1472">
        <f t="shared" si="387"/>
        <v>138</v>
      </c>
      <c r="X1472" t="str">
        <f t="shared" si="388"/>
        <v>yes</v>
      </c>
      <c r="Y1472" s="2">
        <v>35097</v>
      </c>
      <c r="Z1472" t="str">
        <f t="shared" si="374"/>
        <v>1st Q 1996</v>
      </c>
      <c r="AA1472" t="str">
        <f t="shared" si="389"/>
        <v>1st Q 1996</v>
      </c>
      <c r="AB1472" t="str" cm="1">
        <f t="array" ref="AB1472">_xlfn.IFS(Y1472&lt;DATE(1996,1,1),"",Y1472&lt;DATE(1996,4,1),"Q1",Y1472&lt;DATE(1996,7,1),"Q2",Y1472&gt;=DATE(1996,7,1),"")</f>
        <v>Q1</v>
      </c>
    </row>
    <row r="1473" spans="1:28" ht="14.4" x14ac:dyDescent="0.55000000000000004">
      <c r="A1473" t="str">
        <f>VLOOKUP(L1473,Customers!$A$2:$B$92,2,FALSE)</f>
        <v>LINO-Delicateses</v>
      </c>
      <c r="B1473" t="str">
        <f>VLOOKUP(L1473,Customers!$A$2:$C$92,3,TRUE)</f>
        <v>Felipe Izquierdo</v>
      </c>
      <c r="C1473" t="str">
        <f t="shared" si="375"/>
        <v>Felipe</v>
      </c>
      <c r="D1473" s="8" t="str">
        <f t="shared" si="376"/>
        <v>Izquierdo</v>
      </c>
      <c r="E1473" s="8" t="str">
        <f t="shared" si="377"/>
        <v>Izquierdo, Felipe</v>
      </c>
      <c r="F1473" s="8" t="str">
        <f t="shared" si="378"/>
        <v>Izquierdo, Felipe</v>
      </c>
      <c r="G1473" s="8" t="str">
        <f t="shared" si="379"/>
        <v>not an outlier</v>
      </c>
      <c r="H1473" s="8" t="str">
        <f t="shared" si="380"/>
        <v>Not</v>
      </c>
      <c r="I1473" s="8" t="str">
        <f t="shared" si="390"/>
        <v>no</v>
      </c>
      <c r="J1473" s="10" t="str">
        <f t="shared" si="381"/>
        <v>no</v>
      </c>
      <c r="K1473" s="10" t="str">
        <f t="shared" si="382"/>
        <v>no</v>
      </c>
      <c r="L1473" t="s">
        <v>363</v>
      </c>
      <c r="M1473">
        <v>10811</v>
      </c>
      <c r="N1473">
        <v>23</v>
      </c>
      <c r="O1473" t="s">
        <v>753</v>
      </c>
      <c r="P1473" t="str">
        <f t="shared" si="383"/>
        <v>LINOD_10811_Tunnbröd</v>
      </c>
      <c r="Q1473" t="str">
        <f t="shared" si="384"/>
        <v>10811</v>
      </c>
      <c r="R1473" t="str">
        <f t="shared" si="385"/>
        <v>10811</v>
      </c>
      <c r="S1473" t="str">
        <f t="shared" si="386"/>
        <v>Tunnbröd</v>
      </c>
      <c r="T1473">
        <v>9</v>
      </c>
      <c r="U1473">
        <v>18</v>
      </c>
      <c r="V1473">
        <v>0</v>
      </c>
      <c r="W1473">
        <f t="shared" si="387"/>
        <v>162</v>
      </c>
      <c r="X1473" t="str">
        <f t="shared" si="388"/>
        <v>yes</v>
      </c>
      <c r="Y1473" s="2">
        <v>35097</v>
      </c>
      <c r="Z1473" t="str">
        <f t="shared" ref="Z1473:Z1536" si="391">IF(Y1473&gt;=DATE(1996,1,1), IF(Y1473&lt;DATE(1996,4,1),"1st Q 1996",""),"")</f>
        <v>1st Q 1996</v>
      </c>
      <c r="AA1473" t="str">
        <f t="shared" si="389"/>
        <v>1st Q 1996</v>
      </c>
      <c r="AB1473" t="str" cm="1">
        <f t="array" ref="AB1473">_xlfn.IFS(Y1473&lt;DATE(1996,1,1),"",Y1473&lt;DATE(1996,4,1),"Q1",Y1473&lt;DATE(1996,7,1),"Q2",Y1473&gt;=DATE(1996,7,1),"")</f>
        <v>Q1</v>
      </c>
    </row>
    <row r="1474" spans="1:28" ht="14.4" x14ac:dyDescent="0.55000000000000004">
      <c r="A1474" t="str">
        <f>VLOOKUP(L1474,Customers!$A$2:$B$92,2,FALSE)</f>
        <v>LINO-Delicateses</v>
      </c>
      <c r="B1474" t="str">
        <f>VLOOKUP(L1474,Customers!$A$2:$C$92,3,TRUE)</f>
        <v>Felipe Izquierdo</v>
      </c>
      <c r="C1474" t="str">
        <f t="shared" si="375"/>
        <v>Felipe</v>
      </c>
      <c r="D1474" s="8" t="str">
        <f t="shared" si="376"/>
        <v>Izquierdo</v>
      </c>
      <c r="E1474" s="8" t="str">
        <f t="shared" si="377"/>
        <v>Izquierdo, Felipe</v>
      </c>
      <c r="F1474" s="8" t="str">
        <f t="shared" si="378"/>
        <v>Izquierdo, Felipe</v>
      </c>
      <c r="G1474" s="8" t="str">
        <f t="shared" si="379"/>
        <v>not an outlier</v>
      </c>
      <c r="H1474" s="8" t="str">
        <f t="shared" si="380"/>
        <v>Not</v>
      </c>
      <c r="I1474" s="8" t="str">
        <f t="shared" si="390"/>
        <v>no</v>
      </c>
      <c r="J1474" s="10" t="str">
        <f t="shared" si="381"/>
        <v>no</v>
      </c>
      <c r="K1474" s="10" t="str">
        <f t="shared" si="382"/>
        <v>no</v>
      </c>
      <c r="L1474" t="s">
        <v>363</v>
      </c>
      <c r="M1474">
        <v>10811</v>
      </c>
      <c r="N1474">
        <v>40</v>
      </c>
      <c r="O1474" t="s">
        <v>720</v>
      </c>
      <c r="P1474" t="str">
        <f t="shared" si="383"/>
        <v>LINOD_10811_Boston Crab Meat</v>
      </c>
      <c r="Q1474" t="str">
        <f t="shared" si="384"/>
        <v>10811</v>
      </c>
      <c r="R1474" t="str">
        <f t="shared" si="385"/>
        <v>10811</v>
      </c>
      <c r="S1474" t="str">
        <f t="shared" si="386"/>
        <v>Boston Crab Meat</v>
      </c>
      <c r="T1474">
        <v>18.399999999999999</v>
      </c>
      <c r="U1474">
        <v>30</v>
      </c>
      <c r="V1474">
        <v>0</v>
      </c>
      <c r="W1474">
        <f t="shared" si="387"/>
        <v>552</v>
      </c>
      <c r="X1474" t="str">
        <f t="shared" si="388"/>
        <v>yes</v>
      </c>
      <c r="Y1474" s="2">
        <v>35097</v>
      </c>
      <c r="Z1474" t="str">
        <f t="shared" si="391"/>
        <v>1st Q 1996</v>
      </c>
      <c r="AA1474" t="str">
        <f t="shared" si="389"/>
        <v>1st Q 1996</v>
      </c>
      <c r="AB1474" t="str" cm="1">
        <f t="array" ref="AB1474">_xlfn.IFS(Y1474&lt;DATE(1996,1,1),"",Y1474&lt;DATE(1996,4,1),"Q1",Y1474&lt;DATE(1996,7,1),"Q2",Y1474&gt;=DATE(1996,7,1),"")</f>
        <v>Q1</v>
      </c>
    </row>
    <row r="1475" spans="1:28" ht="14.4" x14ac:dyDescent="0.55000000000000004">
      <c r="A1475" t="str">
        <f>VLOOKUP(L1475,Customers!$A$2:$B$92,2,FALSE)</f>
        <v>Reggiani Caseifici</v>
      </c>
      <c r="B1475" t="str">
        <f>VLOOKUP(L1475,Customers!$A$2:$C$92,3,TRUE)</f>
        <v>Maurizio Moroni</v>
      </c>
      <c r="C1475" t="str">
        <f t="shared" ref="C1475:C1538" si="392">LEFT(B1475,FIND(" ",B1475)-1)</f>
        <v>Maurizio</v>
      </c>
      <c r="D1475" s="8" t="str">
        <f t="shared" ref="D1475:D1538" si="393">RIGHT(B1475,LEN(B1475)-FIND(" ",B1475))</f>
        <v>Moroni</v>
      </c>
      <c r="E1475" s="8" t="str">
        <f t="shared" ref="E1475:E1538" si="394">_xlfn.CONCAT(D1475,", ",C1475)</f>
        <v>Moroni, Maurizio</v>
      </c>
      <c r="F1475" s="8" t="str">
        <f t="shared" ref="F1475:F1538" si="395">D1475&amp;", "&amp;C1475</f>
        <v>Moroni, Maurizio</v>
      </c>
      <c r="G1475" s="8" t="str">
        <f t="shared" ref="G1475:G1538" si="396">IF(OR(W1475&gt;$W$2166,W1475&lt;$W$2167),"outlier","not an outlier")</f>
        <v>not an outlier</v>
      </c>
      <c r="H1475" s="8" t="str">
        <f t="shared" ref="H1475:H1538" si="397">IF(OR(W1475&gt;$W$2166,W1475&lt;$W$2167),"outlier",IF(OR(W1475&gt;$W$2168,W1475&lt;$W$2169),"moderate","Not"))</f>
        <v>Not</v>
      </c>
      <c r="I1475" s="8" t="str">
        <f t="shared" si="390"/>
        <v>no</v>
      </c>
      <c r="J1475" s="10" t="str">
        <f t="shared" ref="J1475:J1538" si="398">IF(AND(W1475&lt;=$W$2166,W1475&gt;=$W$2167),"no","yes")</f>
        <v>no</v>
      </c>
      <c r="K1475" s="10" t="str">
        <f t="shared" ref="K1475:K1538" si="399">IF(OR(W1475&gt;$W$2166,W1475&lt;$W$2167),"yes",IF(OR(W1475&gt;$W$2168,W1475&lt;$W$2169),"moderate","no"))</f>
        <v>no</v>
      </c>
      <c r="L1475" t="s">
        <v>496</v>
      </c>
      <c r="M1475">
        <v>10812</v>
      </c>
      <c r="N1475">
        <v>31</v>
      </c>
      <c r="O1475" t="s">
        <v>695</v>
      </c>
      <c r="P1475" t="str">
        <f t="shared" ref="P1475:P1538" si="400">L1475&amp;"_"&amp;M1475&amp;"_"&amp;O1475</f>
        <v>REGGC_10812_Gorgonzola Telino</v>
      </c>
      <c r="Q1475" t="str">
        <f t="shared" ref="Q1475:Q1538" si="401">LEFT(RIGHT(P1475,LEN(P1475)-FIND("_",P1475)), FIND("_",P1475)-1)</f>
        <v>10812</v>
      </c>
      <c r="R1475" t="str">
        <f t="shared" ref="R1475:R1538" si="402">MID(P1475,FIND("_",P1475)+1,FIND("_",P1475,FIND("_",P1475))-1)</f>
        <v>10812</v>
      </c>
      <c r="S1475" t="str">
        <f t="shared" ref="S1475:S1538" si="403">MID(P1475,FIND("_",P1475,FIND("_",P1475)+1)+1,LEN(P1475))</f>
        <v>Gorgonzola Telino</v>
      </c>
      <c r="T1475">
        <v>12.5</v>
      </c>
      <c r="U1475">
        <v>16</v>
      </c>
      <c r="V1475">
        <v>0.1</v>
      </c>
      <c r="W1475">
        <f t="shared" ref="W1475:W1538" si="404">T1475*U1475*(1-V1475)</f>
        <v>180</v>
      </c>
      <c r="X1475" t="str">
        <f t="shared" ref="X1475:X1538" si="405">IF(YEAR(Y1475)&gt;=1996,"yes","No")</f>
        <v>yes</v>
      </c>
      <c r="Y1475" s="2">
        <v>35097</v>
      </c>
      <c r="Z1475" t="str">
        <f t="shared" si="391"/>
        <v>1st Q 1996</v>
      </c>
      <c r="AA1475" t="str">
        <f t="shared" ref="AA1475:AA1538" si="406">IF(Y1475&lt;DATE(1996,1,1),"", IF(Y1475&lt;DATE(1996,4,1),"1st Q 1996",IF(Y1475&lt;DATE(1996,7,1),"2nd Q 1996","")))</f>
        <v>1st Q 1996</v>
      </c>
      <c r="AB1475" t="str" cm="1">
        <f t="array" ref="AB1475">_xlfn.IFS(Y1475&lt;DATE(1996,1,1),"",Y1475&lt;DATE(1996,4,1),"Q1",Y1475&lt;DATE(1996,7,1),"Q2",Y1475&gt;=DATE(1996,7,1),"")</f>
        <v>Q1</v>
      </c>
    </row>
    <row r="1476" spans="1:28" ht="14.4" x14ac:dyDescent="0.55000000000000004">
      <c r="A1476" t="str">
        <f>VLOOKUP(L1476,Customers!$A$2:$B$92,2,FALSE)</f>
        <v>Reggiani Caseifici</v>
      </c>
      <c r="B1476" t="str">
        <f>VLOOKUP(L1476,Customers!$A$2:$C$92,3,TRUE)</f>
        <v>Maurizio Moroni</v>
      </c>
      <c r="C1476" t="str">
        <f t="shared" si="392"/>
        <v>Maurizio</v>
      </c>
      <c r="D1476" s="8" t="str">
        <f t="shared" si="393"/>
        <v>Moroni</v>
      </c>
      <c r="E1476" s="8" t="str">
        <f t="shared" si="394"/>
        <v>Moroni, Maurizio</v>
      </c>
      <c r="F1476" s="8" t="str">
        <f t="shared" si="395"/>
        <v>Moroni, Maurizio</v>
      </c>
      <c r="G1476" s="8" t="str">
        <f t="shared" si="396"/>
        <v>not an outlier</v>
      </c>
      <c r="H1476" s="8" t="str">
        <f t="shared" si="397"/>
        <v>Not</v>
      </c>
      <c r="I1476" s="8" t="str">
        <f t="shared" ref="I1476:I1539" si="407">IF(OR(W1476&gt;$W$2166,W1476&lt;$W$2167),"yes","no")</f>
        <v>no</v>
      </c>
      <c r="J1476" s="10" t="str">
        <f t="shared" si="398"/>
        <v>no</v>
      </c>
      <c r="K1476" s="10" t="str">
        <f t="shared" si="399"/>
        <v>no</v>
      </c>
      <c r="L1476" t="s">
        <v>496</v>
      </c>
      <c r="M1476">
        <v>10812</v>
      </c>
      <c r="N1476">
        <v>72</v>
      </c>
      <c r="O1476" t="s">
        <v>685</v>
      </c>
      <c r="P1476" t="str">
        <f t="shared" si="400"/>
        <v>REGGC_10812_Mozzarella di Giovanni</v>
      </c>
      <c r="Q1476" t="str">
        <f t="shared" si="401"/>
        <v>10812</v>
      </c>
      <c r="R1476" t="str">
        <f t="shared" si="402"/>
        <v>10812</v>
      </c>
      <c r="S1476" t="str">
        <f t="shared" si="403"/>
        <v>Mozzarella di Giovanni</v>
      </c>
      <c r="T1476">
        <v>34.799999999999997</v>
      </c>
      <c r="U1476">
        <v>40</v>
      </c>
      <c r="V1476">
        <v>0.1</v>
      </c>
      <c r="W1476">
        <f t="shared" si="404"/>
        <v>1252.8</v>
      </c>
      <c r="X1476" t="str">
        <f t="shared" si="405"/>
        <v>yes</v>
      </c>
      <c r="Y1476" s="2">
        <v>35097</v>
      </c>
      <c r="Z1476" t="str">
        <f t="shared" si="391"/>
        <v>1st Q 1996</v>
      </c>
      <c r="AA1476" t="str">
        <f t="shared" si="406"/>
        <v>1st Q 1996</v>
      </c>
      <c r="AB1476" t="str" cm="1">
        <f t="array" ref="AB1476">_xlfn.IFS(Y1476&lt;DATE(1996,1,1),"",Y1476&lt;DATE(1996,4,1),"Q1",Y1476&lt;DATE(1996,7,1),"Q2",Y1476&gt;=DATE(1996,7,1),"")</f>
        <v>Q1</v>
      </c>
    </row>
    <row r="1477" spans="1:28" ht="14.4" x14ac:dyDescent="0.55000000000000004">
      <c r="A1477" t="str">
        <f>VLOOKUP(L1477,Customers!$A$2:$B$92,2,FALSE)</f>
        <v>Reggiani Caseifici</v>
      </c>
      <c r="B1477" t="str">
        <f>VLOOKUP(L1477,Customers!$A$2:$C$92,3,TRUE)</f>
        <v>Maurizio Moroni</v>
      </c>
      <c r="C1477" t="str">
        <f t="shared" si="392"/>
        <v>Maurizio</v>
      </c>
      <c r="D1477" s="8" t="str">
        <f t="shared" si="393"/>
        <v>Moroni</v>
      </c>
      <c r="E1477" s="8" t="str">
        <f t="shared" si="394"/>
        <v>Moroni, Maurizio</v>
      </c>
      <c r="F1477" s="8" t="str">
        <f t="shared" si="395"/>
        <v>Moroni, Maurizio</v>
      </c>
      <c r="G1477" s="8" t="str">
        <f t="shared" si="396"/>
        <v>not an outlier</v>
      </c>
      <c r="H1477" s="8" t="str">
        <f t="shared" si="397"/>
        <v>Not</v>
      </c>
      <c r="I1477" s="8" t="str">
        <f t="shared" si="407"/>
        <v>no</v>
      </c>
      <c r="J1477" s="10" t="str">
        <f t="shared" si="398"/>
        <v>no</v>
      </c>
      <c r="K1477" s="10" t="str">
        <f t="shared" si="399"/>
        <v>no</v>
      </c>
      <c r="L1477" t="s">
        <v>496</v>
      </c>
      <c r="M1477">
        <v>10812</v>
      </c>
      <c r="N1477">
        <v>77</v>
      </c>
      <c r="O1477" t="s">
        <v>706</v>
      </c>
      <c r="P1477" t="str">
        <f t="shared" si="400"/>
        <v>REGGC_10812_Original Frankfurter grüne Soße</v>
      </c>
      <c r="Q1477" t="str">
        <f t="shared" si="401"/>
        <v>10812</v>
      </c>
      <c r="R1477" t="str">
        <f t="shared" si="402"/>
        <v>10812</v>
      </c>
      <c r="S1477" t="str">
        <f t="shared" si="403"/>
        <v>Original Frankfurter grüne Soße</v>
      </c>
      <c r="T1477">
        <v>13</v>
      </c>
      <c r="U1477">
        <v>20</v>
      </c>
      <c r="V1477">
        <v>0</v>
      </c>
      <c r="W1477">
        <f t="shared" si="404"/>
        <v>260</v>
      </c>
      <c r="X1477" t="str">
        <f t="shared" si="405"/>
        <v>yes</v>
      </c>
      <c r="Y1477" s="2">
        <v>35097</v>
      </c>
      <c r="Z1477" t="str">
        <f t="shared" si="391"/>
        <v>1st Q 1996</v>
      </c>
      <c r="AA1477" t="str">
        <f t="shared" si="406"/>
        <v>1st Q 1996</v>
      </c>
      <c r="AB1477" t="str" cm="1">
        <f t="array" ref="AB1477">_xlfn.IFS(Y1477&lt;DATE(1996,1,1),"",Y1477&lt;DATE(1996,4,1),"Q1",Y1477&lt;DATE(1996,7,1),"Q2",Y1477&gt;=DATE(1996,7,1),"")</f>
        <v>Q1</v>
      </c>
    </row>
    <row r="1478" spans="1:28" ht="14.4" x14ac:dyDescent="0.55000000000000004">
      <c r="A1478" t="str">
        <f>VLOOKUP(L1478,Customers!$A$2:$B$92,2,FALSE)</f>
        <v>Ricardo Adocicados</v>
      </c>
      <c r="B1478" t="str">
        <f>VLOOKUP(L1478,Customers!$A$2:$C$92,3,TRUE)</f>
        <v>Janete Limeira</v>
      </c>
      <c r="C1478" t="str">
        <f t="shared" si="392"/>
        <v>Janete</v>
      </c>
      <c r="D1478" s="8" t="str">
        <f t="shared" si="393"/>
        <v>Limeira</v>
      </c>
      <c r="E1478" s="8" t="str">
        <f t="shared" si="394"/>
        <v>Limeira, Janete</v>
      </c>
      <c r="F1478" s="8" t="str">
        <f t="shared" si="395"/>
        <v>Limeira, Janete</v>
      </c>
      <c r="G1478" s="8" t="str">
        <f t="shared" si="396"/>
        <v>not an outlier</v>
      </c>
      <c r="H1478" s="8" t="str">
        <f t="shared" si="397"/>
        <v>Not</v>
      </c>
      <c r="I1478" s="8" t="str">
        <f t="shared" si="407"/>
        <v>no</v>
      </c>
      <c r="J1478" s="10" t="str">
        <f t="shared" si="398"/>
        <v>no</v>
      </c>
      <c r="K1478" s="10" t="str">
        <f t="shared" si="399"/>
        <v>no</v>
      </c>
      <c r="L1478" t="s">
        <v>503</v>
      </c>
      <c r="M1478">
        <v>10813</v>
      </c>
      <c r="N1478">
        <v>2</v>
      </c>
      <c r="O1478" t="s">
        <v>701</v>
      </c>
      <c r="P1478" t="str">
        <f t="shared" si="400"/>
        <v>RICAR_10813_Chang</v>
      </c>
      <c r="Q1478" t="str">
        <f t="shared" si="401"/>
        <v>10813</v>
      </c>
      <c r="R1478" t="str">
        <f t="shared" si="402"/>
        <v>10813</v>
      </c>
      <c r="S1478" t="str">
        <f t="shared" si="403"/>
        <v>Chang</v>
      </c>
      <c r="T1478">
        <v>19</v>
      </c>
      <c r="U1478">
        <v>12</v>
      </c>
      <c r="V1478">
        <v>0.2</v>
      </c>
      <c r="W1478">
        <f t="shared" si="404"/>
        <v>182.4</v>
      </c>
      <c r="X1478" t="str">
        <f t="shared" si="405"/>
        <v>yes</v>
      </c>
      <c r="Y1478" s="2">
        <v>35100</v>
      </c>
      <c r="Z1478" t="str">
        <f t="shared" si="391"/>
        <v>1st Q 1996</v>
      </c>
      <c r="AA1478" t="str">
        <f t="shared" si="406"/>
        <v>1st Q 1996</v>
      </c>
      <c r="AB1478" t="str" cm="1">
        <f t="array" ref="AB1478">_xlfn.IFS(Y1478&lt;DATE(1996,1,1),"",Y1478&lt;DATE(1996,4,1),"Q1",Y1478&lt;DATE(1996,7,1),"Q2",Y1478&gt;=DATE(1996,7,1),"")</f>
        <v>Q1</v>
      </c>
    </row>
    <row r="1479" spans="1:28" ht="14.4" x14ac:dyDescent="0.55000000000000004">
      <c r="A1479" t="str">
        <f>VLOOKUP(L1479,Customers!$A$2:$B$92,2,FALSE)</f>
        <v>Ricardo Adocicados</v>
      </c>
      <c r="B1479" t="str">
        <f>VLOOKUP(L1479,Customers!$A$2:$C$92,3,TRUE)</f>
        <v>Janete Limeira</v>
      </c>
      <c r="C1479" t="str">
        <f t="shared" si="392"/>
        <v>Janete</v>
      </c>
      <c r="D1479" s="8" t="str">
        <f t="shared" si="393"/>
        <v>Limeira</v>
      </c>
      <c r="E1479" s="8" t="str">
        <f t="shared" si="394"/>
        <v>Limeira, Janete</v>
      </c>
      <c r="F1479" s="8" t="str">
        <f t="shared" si="395"/>
        <v>Limeira, Janete</v>
      </c>
      <c r="G1479" s="8" t="str">
        <f t="shared" si="396"/>
        <v>not an outlier</v>
      </c>
      <c r="H1479" s="8" t="str">
        <f t="shared" si="397"/>
        <v>Not</v>
      </c>
      <c r="I1479" s="8" t="str">
        <f t="shared" si="407"/>
        <v>no</v>
      </c>
      <c r="J1479" s="10" t="str">
        <f t="shared" si="398"/>
        <v>no</v>
      </c>
      <c r="K1479" s="10" t="str">
        <f t="shared" si="399"/>
        <v>no</v>
      </c>
      <c r="L1479" t="s">
        <v>503</v>
      </c>
      <c r="M1479">
        <v>10813</v>
      </c>
      <c r="N1479">
        <v>46</v>
      </c>
      <c r="O1479" t="s">
        <v>737</v>
      </c>
      <c r="P1479" t="str">
        <f t="shared" si="400"/>
        <v>RICAR_10813_Spegesild</v>
      </c>
      <c r="Q1479" t="str">
        <f t="shared" si="401"/>
        <v>10813</v>
      </c>
      <c r="R1479" t="str">
        <f t="shared" si="402"/>
        <v>10813</v>
      </c>
      <c r="S1479" t="str">
        <f t="shared" si="403"/>
        <v>Spegesild</v>
      </c>
      <c r="T1479">
        <v>12</v>
      </c>
      <c r="U1479">
        <v>35</v>
      </c>
      <c r="V1479">
        <v>0</v>
      </c>
      <c r="W1479">
        <f t="shared" si="404"/>
        <v>420</v>
      </c>
      <c r="X1479" t="str">
        <f t="shared" si="405"/>
        <v>yes</v>
      </c>
      <c r="Y1479" s="2">
        <v>35100</v>
      </c>
      <c r="Z1479" t="str">
        <f t="shared" si="391"/>
        <v>1st Q 1996</v>
      </c>
      <c r="AA1479" t="str">
        <f t="shared" si="406"/>
        <v>1st Q 1996</v>
      </c>
      <c r="AB1479" t="str" cm="1">
        <f t="array" ref="AB1479">_xlfn.IFS(Y1479&lt;DATE(1996,1,1),"",Y1479&lt;DATE(1996,4,1),"Q1",Y1479&lt;DATE(1996,7,1),"Q2",Y1479&gt;=DATE(1996,7,1),"")</f>
        <v>Q1</v>
      </c>
    </row>
    <row r="1480" spans="1:28" ht="14.4" x14ac:dyDescent="0.55000000000000004">
      <c r="A1480" t="str">
        <f>VLOOKUP(L1480,Customers!$A$2:$B$92,2,FALSE)</f>
        <v>Victuailles en stock</v>
      </c>
      <c r="B1480" t="str">
        <f>VLOOKUP(L1480,Customers!$A$2:$C$92,3,TRUE)</f>
        <v>Mary Saveley</v>
      </c>
      <c r="C1480" t="str">
        <f t="shared" si="392"/>
        <v>Mary</v>
      </c>
      <c r="D1480" s="8" t="str">
        <f t="shared" si="393"/>
        <v>Saveley</v>
      </c>
      <c r="E1480" s="8" t="str">
        <f t="shared" si="394"/>
        <v>Saveley, Mary</v>
      </c>
      <c r="F1480" s="8" t="str">
        <f t="shared" si="395"/>
        <v>Saveley, Mary</v>
      </c>
      <c r="G1480" s="8" t="str">
        <f t="shared" si="396"/>
        <v>not an outlier</v>
      </c>
      <c r="H1480" s="8" t="str">
        <f t="shared" si="397"/>
        <v>Not</v>
      </c>
      <c r="I1480" s="8" t="str">
        <f t="shared" si="407"/>
        <v>no</v>
      </c>
      <c r="J1480" s="10" t="str">
        <f t="shared" si="398"/>
        <v>no</v>
      </c>
      <c r="K1480" s="10" t="str">
        <f t="shared" si="399"/>
        <v>no</v>
      </c>
      <c r="L1480" t="s">
        <v>619</v>
      </c>
      <c r="M1480">
        <v>10814</v>
      </c>
      <c r="N1480">
        <v>41</v>
      </c>
      <c r="O1480" t="s">
        <v>688</v>
      </c>
      <c r="P1480" t="str">
        <f t="shared" si="400"/>
        <v>VICTE_10814_Jack's New England Clam Chowder</v>
      </c>
      <c r="Q1480" t="str">
        <f t="shared" si="401"/>
        <v>10814</v>
      </c>
      <c r="R1480" t="str">
        <f t="shared" si="402"/>
        <v>10814</v>
      </c>
      <c r="S1480" t="str">
        <f t="shared" si="403"/>
        <v>Jack's New England Clam Chowder</v>
      </c>
      <c r="T1480">
        <v>9.65</v>
      </c>
      <c r="U1480">
        <v>20</v>
      </c>
      <c r="V1480">
        <v>0</v>
      </c>
      <c r="W1480">
        <f t="shared" si="404"/>
        <v>193</v>
      </c>
      <c r="X1480" t="str">
        <f t="shared" si="405"/>
        <v>yes</v>
      </c>
      <c r="Y1480" s="2">
        <v>35100</v>
      </c>
      <c r="Z1480" t="str">
        <f t="shared" si="391"/>
        <v>1st Q 1996</v>
      </c>
      <c r="AA1480" t="str">
        <f t="shared" si="406"/>
        <v>1st Q 1996</v>
      </c>
      <c r="AB1480" t="str" cm="1">
        <f t="array" ref="AB1480">_xlfn.IFS(Y1480&lt;DATE(1996,1,1),"",Y1480&lt;DATE(1996,4,1),"Q1",Y1480&lt;DATE(1996,7,1),"Q2",Y1480&gt;=DATE(1996,7,1),"")</f>
        <v>Q1</v>
      </c>
    </row>
    <row r="1481" spans="1:28" ht="14.4" x14ac:dyDescent="0.55000000000000004">
      <c r="A1481" t="str">
        <f>VLOOKUP(L1481,Customers!$A$2:$B$92,2,FALSE)</f>
        <v>Victuailles en stock</v>
      </c>
      <c r="B1481" t="str">
        <f>VLOOKUP(L1481,Customers!$A$2:$C$92,3,TRUE)</f>
        <v>Mary Saveley</v>
      </c>
      <c r="C1481" t="str">
        <f t="shared" si="392"/>
        <v>Mary</v>
      </c>
      <c r="D1481" s="8" t="str">
        <f t="shared" si="393"/>
        <v>Saveley</v>
      </c>
      <c r="E1481" s="8" t="str">
        <f t="shared" si="394"/>
        <v>Saveley, Mary</v>
      </c>
      <c r="F1481" s="8" t="str">
        <f t="shared" si="395"/>
        <v>Saveley, Mary</v>
      </c>
      <c r="G1481" s="8" t="str">
        <f t="shared" si="396"/>
        <v>not an outlier</v>
      </c>
      <c r="H1481" s="8" t="str">
        <f t="shared" si="397"/>
        <v>Not</v>
      </c>
      <c r="I1481" s="8" t="str">
        <f t="shared" si="407"/>
        <v>no</v>
      </c>
      <c r="J1481" s="10" t="str">
        <f t="shared" si="398"/>
        <v>no</v>
      </c>
      <c r="K1481" s="10" t="str">
        <f t="shared" si="399"/>
        <v>no</v>
      </c>
      <c r="L1481" t="s">
        <v>619</v>
      </c>
      <c r="M1481">
        <v>10814</v>
      </c>
      <c r="N1481">
        <v>43</v>
      </c>
      <c r="O1481" t="s">
        <v>723</v>
      </c>
      <c r="P1481" t="str">
        <f t="shared" si="400"/>
        <v>VICTE_10814_Ipoh Coffee</v>
      </c>
      <c r="Q1481" t="str">
        <f t="shared" si="401"/>
        <v>10814</v>
      </c>
      <c r="R1481" t="str">
        <f t="shared" si="402"/>
        <v>10814</v>
      </c>
      <c r="S1481" t="str">
        <f t="shared" si="403"/>
        <v>Ipoh Coffee</v>
      </c>
      <c r="T1481">
        <v>46</v>
      </c>
      <c r="U1481">
        <v>20</v>
      </c>
      <c r="V1481">
        <v>0.15</v>
      </c>
      <c r="W1481">
        <f t="shared" si="404"/>
        <v>782</v>
      </c>
      <c r="X1481" t="str">
        <f t="shared" si="405"/>
        <v>yes</v>
      </c>
      <c r="Y1481" s="2">
        <v>35100</v>
      </c>
      <c r="Z1481" t="str">
        <f t="shared" si="391"/>
        <v>1st Q 1996</v>
      </c>
      <c r="AA1481" t="str">
        <f t="shared" si="406"/>
        <v>1st Q 1996</v>
      </c>
      <c r="AB1481" t="str" cm="1">
        <f t="array" ref="AB1481">_xlfn.IFS(Y1481&lt;DATE(1996,1,1),"",Y1481&lt;DATE(1996,4,1),"Q1",Y1481&lt;DATE(1996,7,1),"Q2",Y1481&gt;=DATE(1996,7,1),"")</f>
        <v>Q1</v>
      </c>
    </row>
    <row r="1482" spans="1:28" ht="14.4" x14ac:dyDescent="0.55000000000000004">
      <c r="A1482" t="str">
        <f>VLOOKUP(L1482,Customers!$A$2:$B$92,2,FALSE)</f>
        <v>Victuailles en stock</v>
      </c>
      <c r="B1482" t="str">
        <f>VLOOKUP(L1482,Customers!$A$2:$C$92,3,TRUE)</f>
        <v>Mary Saveley</v>
      </c>
      <c r="C1482" t="str">
        <f t="shared" si="392"/>
        <v>Mary</v>
      </c>
      <c r="D1482" s="8" t="str">
        <f t="shared" si="393"/>
        <v>Saveley</v>
      </c>
      <c r="E1482" s="8" t="str">
        <f t="shared" si="394"/>
        <v>Saveley, Mary</v>
      </c>
      <c r="F1482" s="8" t="str">
        <f t="shared" si="395"/>
        <v>Saveley, Mary</v>
      </c>
      <c r="G1482" s="8" t="str">
        <f t="shared" si="396"/>
        <v>not an outlier</v>
      </c>
      <c r="H1482" s="8" t="str">
        <f t="shared" si="397"/>
        <v>Not</v>
      </c>
      <c r="I1482" s="8" t="str">
        <f t="shared" si="407"/>
        <v>no</v>
      </c>
      <c r="J1482" s="10" t="str">
        <f t="shared" si="398"/>
        <v>no</v>
      </c>
      <c r="K1482" s="10" t="str">
        <f t="shared" si="399"/>
        <v>no</v>
      </c>
      <c r="L1482" t="s">
        <v>619</v>
      </c>
      <c r="M1482">
        <v>10814</v>
      </c>
      <c r="N1482">
        <v>48</v>
      </c>
      <c r="O1482" t="s">
        <v>757</v>
      </c>
      <c r="P1482" t="str">
        <f t="shared" si="400"/>
        <v>VICTE_10814_Chocolade</v>
      </c>
      <c r="Q1482" t="str">
        <f t="shared" si="401"/>
        <v>10814</v>
      </c>
      <c r="R1482" t="str">
        <f t="shared" si="402"/>
        <v>10814</v>
      </c>
      <c r="S1482" t="str">
        <f t="shared" si="403"/>
        <v>Chocolade</v>
      </c>
      <c r="T1482">
        <v>12.75</v>
      </c>
      <c r="U1482">
        <v>8</v>
      </c>
      <c r="V1482">
        <v>0.15</v>
      </c>
      <c r="W1482">
        <f t="shared" si="404"/>
        <v>86.7</v>
      </c>
      <c r="X1482" t="str">
        <f t="shared" si="405"/>
        <v>yes</v>
      </c>
      <c r="Y1482" s="2">
        <v>35100</v>
      </c>
      <c r="Z1482" t="str">
        <f t="shared" si="391"/>
        <v>1st Q 1996</v>
      </c>
      <c r="AA1482" t="str">
        <f t="shared" si="406"/>
        <v>1st Q 1996</v>
      </c>
      <c r="AB1482" t="str" cm="1">
        <f t="array" ref="AB1482">_xlfn.IFS(Y1482&lt;DATE(1996,1,1),"",Y1482&lt;DATE(1996,4,1),"Q1",Y1482&lt;DATE(1996,7,1),"Q2",Y1482&gt;=DATE(1996,7,1),"")</f>
        <v>Q1</v>
      </c>
    </row>
    <row r="1483" spans="1:28" ht="14.4" x14ac:dyDescent="0.55000000000000004">
      <c r="A1483" t="str">
        <f>VLOOKUP(L1483,Customers!$A$2:$B$92,2,FALSE)</f>
        <v>Victuailles en stock</v>
      </c>
      <c r="B1483" t="str">
        <f>VLOOKUP(L1483,Customers!$A$2:$C$92,3,TRUE)</f>
        <v>Mary Saveley</v>
      </c>
      <c r="C1483" t="str">
        <f t="shared" si="392"/>
        <v>Mary</v>
      </c>
      <c r="D1483" s="8" t="str">
        <f t="shared" si="393"/>
        <v>Saveley</v>
      </c>
      <c r="E1483" s="8" t="str">
        <f t="shared" si="394"/>
        <v>Saveley, Mary</v>
      </c>
      <c r="F1483" s="8" t="str">
        <f t="shared" si="395"/>
        <v>Saveley, Mary</v>
      </c>
      <c r="G1483" s="8" t="str">
        <f t="shared" si="396"/>
        <v>not an outlier</v>
      </c>
      <c r="H1483" s="8" t="str">
        <f t="shared" si="397"/>
        <v>Not</v>
      </c>
      <c r="I1483" s="8" t="str">
        <f t="shared" si="407"/>
        <v>no</v>
      </c>
      <c r="J1483" s="10" t="str">
        <f t="shared" si="398"/>
        <v>no</v>
      </c>
      <c r="K1483" s="10" t="str">
        <f t="shared" si="399"/>
        <v>no</v>
      </c>
      <c r="L1483" t="s">
        <v>619</v>
      </c>
      <c r="M1483">
        <v>10814</v>
      </c>
      <c r="N1483">
        <v>61</v>
      </c>
      <c r="O1483" t="s">
        <v>758</v>
      </c>
      <c r="P1483" t="str">
        <f t="shared" si="400"/>
        <v>VICTE_10814_Sirop d'érable</v>
      </c>
      <c r="Q1483" t="str">
        <f t="shared" si="401"/>
        <v>10814</v>
      </c>
      <c r="R1483" t="str">
        <f t="shared" si="402"/>
        <v>10814</v>
      </c>
      <c r="S1483" t="str">
        <f t="shared" si="403"/>
        <v>Sirop d'érable</v>
      </c>
      <c r="T1483">
        <v>28.5</v>
      </c>
      <c r="U1483">
        <v>30</v>
      </c>
      <c r="V1483">
        <v>0.15</v>
      </c>
      <c r="W1483">
        <f t="shared" si="404"/>
        <v>726.75</v>
      </c>
      <c r="X1483" t="str">
        <f t="shared" si="405"/>
        <v>yes</v>
      </c>
      <c r="Y1483" s="2">
        <v>35100</v>
      </c>
      <c r="Z1483" t="str">
        <f t="shared" si="391"/>
        <v>1st Q 1996</v>
      </c>
      <c r="AA1483" t="str">
        <f t="shared" si="406"/>
        <v>1st Q 1996</v>
      </c>
      <c r="AB1483" t="str" cm="1">
        <f t="array" ref="AB1483">_xlfn.IFS(Y1483&lt;DATE(1996,1,1),"",Y1483&lt;DATE(1996,4,1),"Q1",Y1483&lt;DATE(1996,7,1),"Q2",Y1483&gt;=DATE(1996,7,1),"")</f>
        <v>Q1</v>
      </c>
    </row>
    <row r="1484" spans="1:28" ht="14.4" x14ac:dyDescent="0.55000000000000004">
      <c r="A1484" t="str">
        <f>VLOOKUP(L1484,Customers!$A$2:$B$92,2,FALSE)</f>
        <v>Save-a-lot Markets</v>
      </c>
      <c r="B1484" t="str">
        <f>VLOOKUP(L1484,Customers!$A$2:$C$92,3,TRUE)</f>
        <v>Jose Pavarotti</v>
      </c>
      <c r="C1484" t="str">
        <f t="shared" si="392"/>
        <v>Jose</v>
      </c>
      <c r="D1484" s="8" t="str">
        <f t="shared" si="393"/>
        <v>Pavarotti</v>
      </c>
      <c r="E1484" s="8" t="str">
        <f t="shared" si="394"/>
        <v>Pavarotti, Jose</v>
      </c>
      <c r="F1484" s="8" t="str">
        <f t="shared" si="395"/>
        <v>Pavarotti, Jose</v>
      </c>
      <c r="G1484" s="8" t="str">
        <f t="shared" si="396"/>
        <v>not an outlier</v>
      </c>
      <c r="H1484" s="8" t="str">
        <f t="shared" si="397"/>
        <v>Not</v>
      </c>
      <c r="I1484" s="8" t="str">
        <f t="shared" si="407"/>
        <v>no</v>
      </c>
      <c r="J1484" s="10" t="str">
        <f t="shared" si="398"/>
        <v>no</v>
      </c>
      <c r="K1484" s="10" t="str">
        <f t="shared" si="399"/>
        <v>no</v>
      </c>
      <c r="L1484" t="s">
        <v>529</v>
      </c>
      <c r="M1484">
        <v>10815</v>
      </c>
      <c r="N1484">
        <v>33</v>
      </c>
      <c r="O1484" t="s">
        <v>693</v>
      </c>
      <c r="P1484" t="str">
        <f t="shared" si="400"/>
        <v>SAVEA_10815_Geitost</v>
      </c>
      <c r="Q1484" t="str">
        <f t="shared" si="401"/>
        <v>10815</v>
      </c>
      <c r="R1484" t="str">
        <f t="shared" si="402"/>
        <v>10815</v>
      </c>
      <c r="S1484" t="str">
        <f t="shared" si="403"/>
        <v>Geitost</v>
      </c>
      <c r="T1484">
        <v>2.5</v>
      </c>
      <c r="U1484">
        <v>16</v>
      </c>
      <c r="V1484">
        <v>0</v>
      </c>
      <c r="W1484">
        <f t="shared" si="404"/>
        <v>40</v>
      </c>
      <c r="X1484" t="str">
        <f t="shared" si="405"/>
        <v>yes</v>
      </c>
      <c r="Y1484" s="2">
        <v>35100</v>
      </c>
      <c r="Z1484" t="str">
        <f t="shared" si="391"/>
        <v>1st Q 1996</v>
      </c>
      <c r="AA1484" t="str">
        <f t="shared" si="406"/>
        <v>1st Q 1996</v>
      </c>
      <c r="AB1484" t="str" cm="1">
        <f t="array" ref="AB1484">_xlfn.IFS(Y1484&lt;DATE(1996,1,1),"",Y1484&lt;DATE(1996,4,1),"Q1",Y1484&lt;DATE(1996,7,1),"Q2",Y1484&gt;=DATE(1996,7,1),"")</f>
        <v>Q1</v>
      </c>
    </row>
    <row r="1485" spans="1:28" ht="14.4" x14ac:dyDescent="0.55000000000000004">
      <c r="A1485" t="str">
        <f>VLOOKUP(L1485,Customers!$A$2:$B$92,2,FALSE)</f>
        <v>Great Lakes Food Market</v>
      </c>
      <c r="B1485" t="str">
        <f>VLOOKUP(L1485,Customers!$A$2:$C$92,3,TRUE)</f>
        <v>Howard Snyder</v>
      </c>
      <c r="C1485" t="str">
        <f t="shared" si="392"/>
        <v>Howard</v>
      </c>
      <c r="D1485" s="8" t="str">
        <f t="shared" si="393"/>
        <v>Snyder</v>
      </c>
      <c r="E1485" s="8" t="str">
        <f t="shared" si="394"/>
        <v>Snyder, Howard</v>
      </c>
      <c r="F1485" s="8" t="str">
        <f t="shared" si="395"/>
        <v>Snyder, Howard</v>
      </c>
      <c r="G1485" s="8" t="str">
        <f t="shared" si="396"/>
        <v>outlier</v>
      </c>
      <c r="H1485" s="8" t="str">
        <f t="shared" si="397"/>
        <v>outlier</v>
      </c>
      <c r="I1485" s="8" t="str">
        <f t="shared" si="407"/>
        <v>yes</v>
      </c>
      <c r="J1485" s="10" t="str">
        <f t="shared" si="398"/>
        <v>yes</v>
      </c>
      <c r="K1485" s="10" t="str">
        <f t="shared" si="399"/>
        <v>yes</v>
      </c>
      <c r="L1485" t="s">
        <v>247</v>
      </c>
      <c r="M1485">
        <v>10816</v>
      </c>
      <c r="N1485">
        <v>38</v>
      </c>
      <c r="O1485" t="s">
        <v>750</v>
      </c>
      <c r="P1485" t="str">
        <f t="shared" si="400"/>
        <v>GREAL_10816_Côte de Blaye</v>
      </c>
      <c r="Q1485" t="str">
        <f t="shared" si="401"/>
        <v>10816</v>
      </c>
      <c r="R1485" t="str">
        <f t="shared" si="402"/>
        <v>10816</v>
      </c>
      <c r="S1485" t="str">
        <f t="shared" si="403"/>
        <v>Côte de Blaye</v>
      </c>
      <c r="T1485">
        <v>263.5</v>
      </c>
      <c r="U1485">
        <v>30</v>
      </c>
      <c r="V1485">
        <v>0.05</v>
      </c>
      <c r="W1485">
        <f t="shared" si="404"/>
        <v>7509.75</v>
      </c>
      <c r="X1485" t="str">
        <f t="shared" si="405"/>
        <v>yes</v>
      </c>
      <c r="Y1485" s="2">
        <v>35101</v>
      </c>
      <c r="Z1485" t="str">
        <f t="shared" si="391"/>
        <v>1st Q 1996</v>
      </c>
      <c r="AA1485" t="str">
        <f t="shared" si="406"/>
        <v>1st Q 1996</v>
      </c>
      <c r="AB1485" t="str" cm="1">
        <f t="array" ref="AB1485">_xlfn.IFS(Y1485&lt;DATE(1996,1,1),"",Y1485&lt;DATE(1996,4,1),"Q1",Y1485&lt;DATE(1996,7,1),"Q2",Y1485&gt;=DATE(1996,7,1),"")</f>
        <v>Q1</v>
      </c>
    </row>
    <row r="1486" spans="1:28" ht="14.4" x14ac:dyDescent="0.55000000000000004">
      <c r="A1486" t="str">
        <f>VLOOKUP(L1486,Customers!$A$2:$B$92,2,FALSE)</f>
        <v>Great Lakes Food Market</v>
      </c>
      <c r="B1486" t="str">
        <f>VLOOKUP(L1486,Customers!$A$2:$C$92,3,TRUE)</f>
        <v>Howard Snyder</v>
      </c>
      <c r="C1486" t="str">
        <f t="shared" si="392"/>
        <v>Howard</v>
      </c>
      <c r="D1486" s="8" t="str">
        <f t="shared" si="393"/>
        <v>Snyder</v>
      </c>
      <c r="E1486" s="8" t="str">
        <f t="shared" si="394"/>
        <v>Snyder, Howard</v>
      </c>
      <c r="F1486" s="8" t="str">
        <f t="shared" si="395"/>
        <v>Snyder, Howard</v>
      </c>
      <c r="G1486" s="8" t="str">
        <f t="shared" si="396"/>
        <v>not an outlier</v>
      </c>
      <c r="H1486" s="8" t="str">
        <f t="shared" si="397"/>
        <v>Not</v>
      </c>
      <c r="I1486" s="8" t="str">
        <f t="shared" si="407"/>
        <v>no</v>
      </c>
      <c r="J1486" s="10" t="str">
        <f t="shared" si="398"/>
        <v>no</v>
      </c>
      <c r="K1486" s="10" t="str">
        <f t="shared" si="399"/>
        <v>no</v>
      </c>
      <c r="L1486" t="s">
        <v>247</v>
      </c>
      <c r="M1486">
        <v>10816</v>
      </c>
      <c r="N1486">
        <v>62</v>
      </c>
      <c r="O1486" t="s">
        <v>712</v>
      </c>
      <c r="P1486" t="str">
        <f t="shared" si="400"/>
        <v>GREAL_10816_Tarte au sucre</v>
      </c>
      <c r="Q1486" t="str">
        <f t="shared" si="401"/>
        <v>10816</v>
      </c>
      <c r="R1486" t="str">
        <f t="shared" si="402"/>
        <v>10816</v>
      </c>
      <c r="S1486" t="str">
        <f t="shared" si="403"/>
        <v>Tarte au sucre</v>
      </c>
      <c r="T1486">
        <v>49.3</v>
      </c>
      <c r="U1486">
        <v>20</v>
      </c>
      <c r="V1486">
        <v>0.05</v>
      </c>
      <c r="W1486">
        <f t="shared" si="404"/>
        <v>936.69999999999993</v>
      </c>
      <c r="X1486" t="str">
        <f t="shared" si="405"/>
        <v>yes</v>
      </c>
      <c r="Y1486" s="2">
        <v>35101</v>
      </c>
      <c r="Z1486" t="str">
        <f t="shared" si="391"/>
        <v>1st Q 1996</v>
      </c>
      <c r="AA1486" t="str">
        <f t="shared" si="406"/>
        <v>1st Q 1996</v>
      </c>
      <c r="AB1486" t="str" cm="1">
        <f t="array" ref="AB1486">_xlfn.IFS(Y1486&lt;DATE(1996,1,1),"",Y1486&lt;DATE(1996,4,1),"Q1",Y1486&lt;DATE(1996,7,1),"Q2",Y1486&gt;=DATE(1996,7,1),"")</f>
        <v>Q1</v>
      </c>
    </row>
    <row r="1487" spans="1:28" ht="14.4" x14ac:dyDescent="0.55000000000000004">
      <c r="A1487" t="str">
        <f>VLOOKUP(L1487,Customers!$A$2:$B$92,2,FALSE)</f>
        <v>Königlich Essen</v>
      </c>
      <c r="B1487" t="str">
        <f>VLOOKUP(L1487,Customers!$A$2:$C$92,3,TRUE)</f>
        <v>Philip Cramer</v>
      </c>
      <c r="C1487" t="str">
        <f t="shared" si="392"/>
        <v>Philip</v>
      </c>
      <c r="D1487" s="8" t="str">
        <f t="shared" si="393"/>
        <v>Cramer</v>
      </c>
      <c r="E1487" s="8" t="str">
        <f t="shared" si="394"/>
        <v>Cramer, Philip</v>
      </c>
      <c r="F1487" s="8" t="str">
        <f t="shared" si="395"/>
        <v>Cramer, Philip</v>
      </c>
      <c r="G1487" s="8" t="str">
        <f t="shared" si="396"/>
        <v>not an outlier</v>
      </c>
      <c r="H1487" s="8" t="str">
        <f t="shared" si="397"/>
        <v>Not</v>
      </c>
      <c r="I1487" s="8" t="str">
        <f t="shared" si="407"/>
        <v>no</v>
      </c>
      <c r="J1487" s="10" t="str">
        <f t="shared" si="398"/>
        <v>no</v>
      </c>
      <c r="K1487" s="10" t="str">
        <f t="shared" si="399"/>
        <v>no</v>
      </c>
      <c r="L1487" t="s">
        <v>305</v>
      </c>
      <c r="M1487">
        <v>10817</v>
      </c>
      <c r="N1487">
        <v>26</v>
      </c>
      <c r="O1487" t="s">
        <v>751</v>
      </c>
      <c r="P1487" t="str">
        <f t="shared" si="400"/>
        <v>KOENE_10817_Gumbär Gummibärchen</v>
      </c>
      <c r="Q1487" t="str">
        <f t="shared" si="401"/>
        <v>10817</v>
      </c>
      <c r="R1487" t="str">
        <f t="shared" si="402"/>
        <v>10817</v>
      </c>
      <c r="S1487" t="str">
        <f t="shared" si="403"/>
        <v>Gumbär Gummibärchen</v>
      </c>
      <c r="T1487">
        <v>31.23</v>
      </c>
      <c r="U1487">
        <v>40</v>
      </c>
      <c r="V1487">
        <v>0.15</v>
      </c>
      <c r="W1487">
        <f t="shared" si="404"/>
        <v>1061.82</v>
      </c>
      <c r="X1487" t="str">
        <f t="shared" si="405"/>
        <v>yes</v>
      </c>
      <c r="Y1487" s="2">
        <v>35101</v>
      </c>
      <c r="Z1487" t="str">
        <f t="shared" si="391"/>
        <v>1st Q 1996</v>
      </c>
      <c r="AA1487" t="str">
        <f t="shared" si="406"/>
        <v>1st Q 1996</v>
      </c>
      <c r="AB1487" t="str" cm="1">
        <f t="array" ref="AB1487">_xlfn.IFS(Y1487&lt;DATE(1996,1,1),"",Y1487&lt;DATE(1996,4,1),"Q1",Y1487&lt;DATE(1996,7,1),"Q2",Y1487&gt;=DATE(1996,7,1),"")</f>
        <v>Q1</v>
      </c>
    </row>
    <row r="1488" spans="1:28" ht="14.4" x14ac:dyDescent="0.55000000000000004">
      <c r="A1488" t="str">
        <f>VLOOKUP(L1488,Customers!$A$2:$B$92,2,FALSE)</f>
        <v>Königlich Essen</v>
      </c>
      <c r="B1488" t="str">
        <f>VLOOKUP(L1488,Customers!$A$2:$C$92,3,TRUE)</f>
        <v>Philip Cramer</v>
      </c>
      <c r="C1488" t="str">
        <f t="shared" si="392"/>
        <v>Philip</v>
      </c>
      <c r="D1488" s="8" t="str">
        <f t="shared" si="393"/>
        <v>Cramer</v>
      </c>
      <c r="E1488" s="8" t="str">
        <f t="shared" si="394"/>
        <v>Cramer, Philip</v>
      </c>
      <c r="F1488" s="8" t="str">
        <f t="shared" si="395"/>
        <v>Cramer, Philip</v>
      </c>
      <c r="G1488" s="8" t="str">
        <f t="shared" si="396"/>
        <v>outlier</v>
      </c>
      <c r="H1488" s="8" t="str">
        <f t="shared" si="397"/>
        <v>outlier</v>
      </c>
      <c r="I1488" s="8" t="str">
        <f t="shared" si="407"/>
        <v>yes</v>
      </c>
      <c r="J1488" s="10" t="str">
        <f t="shared" si="398"/>
        <v>yes</v>
      </c>
      <c r="K1488" s="10" t="str">
        <f t="shared" si="399"/>
        <v>yes</v>
      </c>
      <c r="L1488" t="s">
        <v>305</v>
      </c>
      <c r="M1488">
        <v>10817</v>
      </c>
      <c r="N1488">
        <v>38</v>
      </c>
      <c r="O1488" t="s">
        <v>750</v>
      </c>
      <c r="P1488" t="str">
        <f t="shared" si="400"/>
        <v>KOENE_10817_Côte de Blaye</v>
      </c>
      <c r="Q1488" t="str">
        <f t="shared" si="401"/>
        <v>10817</v>
      </c>
      <c r="R1488" t="str">
        <f t="shared" si="402"/>
        <v>10817</v>
      </c>
      <c r="S1488" t="str">
        <f t="shared" si="403"/>
        <v>Côte de Blaye</v>
      </c>
      <c r="T1488">
        <v>263.5</v>
      </c>
      <c r="U1488">
        <v>30</v>
      </c>
      <c r="V1488">
        <v>0</v>
      </c>
      <c r="W1488">
        <f t="shared" si="404"/>
        <v>7905</v>
      </c>
      <c r="X1488" t="str">
        <f t="shared" si="405"/>
        <v>yes</v>
      </c>
      <c r="Y1488" s="2">
        <v>35101</v>
      </c>
      <c r="Z1488" t="str">
        <f t="shared" si="391"/>
        <v>1st Q 1996</v>
      </c>
      <c r="AA1488" t="str">
        <f t="shared" si="406"/>
        <v>1st Q 1996</v>
      </c>
      <c r="AB1488" t="str" cm="1">
        <f t="array" ref="AB1488">_xlfn.IFS(Y1488&lt;DATE(1996,1,1),"",Y1488&lt;DATE(1996,4,1),"Q1",Y1488&lt;DATE(1996,7,1),"Q2",Y1488&gt;=DATE(1996,7,1),"")</f>
        <v>Q1</v>
      </c>
    </row>
    <row r="1489" spans="1:28" ht="14.4" x14ac:dyDescent="0.55000000000000004">
      <c r="A1489" t="str">
        <f>VLOOKUP(L1489,Customers!$A$2:$B$92,2,FALSE)</f>
        <v>Königlich Essen</v>
      </c>
      <c r="B1489" t="str">
        <f>VLOOKUP(L1489,Customers!$A$2:$C$92,3,TRUE)</f>
        <v>Philip Cramer</v>
      </c>
      <c r="C1489" t="str">
        <f t="shared" si="392"/>
        <v>Philip</v>
      </c>
      <c r="D1489" s="8" t="str">
        <f t="shared" si="393"/>
        <v>Cramer</v>
      </c>
      <c r="E1489" s="8" t="str">
        <f t="shared" si="394"/>
        <v>Cramer, Philip</v>
      </c>
      <c r="F1489" s="8" t="str">
        <f t="shared" si="395"/>
        <v>Cramer, Philip</v>
      </c>
      <c r="G1489" s="8" t="str">
        <f t="shared" si="396"/>
        <v>not an outlier</v>
      </c>
      <c r="H1489" s="8" t="str">
        <f t="shared" si="397"/>
        <v>Not</v>
      </c>
      <c r="I1489" s="8" t="str">
        <f t="shared" si="407"/>
        <v>no</v>
      </c>
      <c r="J1489" s="10" t="str">
        <f t="shared" si="398"/>
        <v>no</v>
      </c>
      <c r="K1489" s="10" t="str">
        <f t="shared" si="399"/>
        <v>no</v>
      </c>
      <c r="L1489" t="s">
        <v>305</v>
      </c>
      <c r="M1489">
        <v>10817</v>
      </c>
      <c r="N1489">
        <v>40</v>
      </c>
      <c r="O1489" t="s">
        <v>720</v>
      </c>
      <c r="P1489" t="str">
        <f t="shared" si="400"/>
        <v>KOENE_10817_Boston Crab Meat</v>
      </c>
      <c r="Q1489" t="str">
        <f t="shared" si="401"/>
        <v>10817</v>
      </c>
      <c r="R1489" t="str">
        <f t="shared" si="402"/>
        <v>10817</v>
      </c>
      <c r="S1489" t="str">
        <f t="shared" si="403"/>
        <v>Boston Crab Meat</v>
      </c>
      <c r="T1489">
        <v>18.399999999999999</v>
      </c>
      <c r="U1489">
        <v>60</v>
      </c>
      <c r="V1489">
        <v>0.15</v>
      </c>
      <c r="W1489">
        <f t="shared" si="404"/>
        <v>938.4</v>
      </c>
      <c r="X1489" t="str">
        <f t="shared" si="405"/>
        <v>yes</v>
      </c>
      <c r="Y1489" s="2">
        <v>35101</v>
      </c>
      <c r="Z1489" t="str">
        <f t="shared" si="391"/>
        <v>1st Q 1996</v>
      </c>
      <c r="AA1489" t="str">
        <f t="shared" si="406"/>
        <v>1st Q 1996</v>
      </c>
      <c r="AB1489" t="str" cm="1">
        <f t="array" ref="AB1489">_xlfn.IFS(Y1489&lt;DATE(1996,1,1),"",Y1489&lt;DATE(1996,4,1),"Q1",Y1489&lt;DATE(1996,7,1),"Q2",Y1489&gt;=DATE(1996,7,1),"")</f>
        <v>Q1</v>
      </c>
    </row>
    <row r="1490" spans="1:28" ht="14.4" x14ac:dyDescent="0.55000000000000004">
      <c r="A1490" t="str">
        <f>VLOOKUP(L1490,Customers!$A$2:$B$92,2,FALSE)</f>
        <v>Königlich Essen</v>
      </c>
      <c r="B1490" t="str">
        <f>VLOOKUP(L1490,Customers!$A$2:$C$92,3,TRUE)</f>
        <v>Philip Cramer</v>
      </c>
      <c r="C1490" t="str">
        <f t="shared" si="392"/>
        <v>Philip</v>
      </c>
      <c r="D1490" s="8" t="str">
        <f t="shared" si="393"/>
        <v>Cramer</v>
      </c>
      <c r="E1490" s="8" t="str">
        <f t="shared" si="394"/>
        <v>Cramer, Philip</v>
      </c>
      <c r="F1490" s="8" t="str">
        <f t="shared" si="395"/>
        <v>Cramer, Philip</v>
      </c>
      <c r="G1490" s="8" t="str">
        <f t="shared" si="396"/>
        <v>not an outlier</v>
      </c>
      <c r="H1490" s="8" t="str">
        <f t="shared" si="397"/>
        <v>Not</v>
      </c>
      <c r="I1490" s="8" t="str">
        <f t="shared" si="407"/>
        <v>no</v>
      </c>
      <c r="J1490" s="10" t="str">
        <f t="shared" si="398"/>
        <v>no</v>
      </c>
      <c r="K1490" s="10" t="str">
        <f t="shared" si="399"/>
        <v>no</v>
      </c>
      <c r="L1490" t="s">
        <v>305</v>
      </c>
      <c r="M1490">
        <v>10817</v>
      </c>
      <c r="N1490">
        <v>62</v>
      </c>
      <c r="O1490" t="s">
        <v>712</v>
      </c>
      <c r="P1490" t="str">
        <f t="shared" si="400"/>
        <v>KOENE_10817_Tarte au sucre</v>
      </c>
      <c r="Q1490" t="str">
        <f t="shared" si="401"/>
        <v>10817</v>
      </c>
      <c r="R1490" t="str">
        <f t="shared" si="402"/>
        <v>10817</v>
      </c>
      <c r="S1490" t="str">
        <f t="shared" si="403"/>
        <v>Tarte au sucre</v>
      </c>
      <c r="T1490">
        <v>49.3</v>
      </c>
      <c r="U1490">
        <v>25</v>
      </c>
      <c r="V1490">
        <v>0.15</v>
      </c>
      <c r="W1490">
        <f t="shared" si="404"/>
        <v>1047.625</v>
      </c>
      <c r="X1490" t="str">
        <f t="shared" si="405"/>
        <v>yes</v>
      </c>
      <c r="Y1490" s="2">
        <v>35101</v>
      </c>
      <c r="Z1490" t="str">
        <f t="shared" si="391"/>
        <v>1st Q 1996</v>
      </c>
      <c r="AA1490" t="str">
        <f t="shared" si="406"/>
        <v>1st Q 1996</v>
      </c>
      <c r="AB1490" t="str" cm="1">
        <f t="array" ref="AB1490">_xlfn.IFS(Y1490&lt;DATE(1996,1,1),"",Y1490&lt;DATE(1996,4,1),"Q1",Y1490&lt;DATE(1996,7,1),"Q2",Y1490&gt;=DATE(1996,7,1),"")</f>
        <v>Q1</v>
      </c>
    </row>
    <row r="1491" spans="1:28" ht="14.4" x14ac:dyDescent="0.55000000000000004">
      <c r="A1491" t="str">
        <f>VLOOKUP(L1491,Customers!$A$2:$B$92,2,FALSE)</f>
        <v>Magazzini Alimentari Riuniti</v>
      </c>
      <c r="B1491" t="str">
        <f>VLOOKUP(L1491,Customers!$A$2:$C$92,3,TRUE)</f>
        <v>Giovanni Rovelli</v>
      </c>
      <c r="C1491" t="str">
        <f t="shared" si="392"/>
        <v>Giovanni</v>
      </c>
      <c r="D1491" s="8" t="str">
        <f t="shared" si="393"/>
        <v>Rovelli</v>
      </c>
      <c r="E1491" s="8" t="str">
        <f t="shared" si="394"/>
        <v>Rovelli, Giovanni</v>
      </c>
      <c r="F1491" s="8" t="str">
        <f t="shared" si="395"/>
        <v>Rovelli, Giovanni</v>
      </c>
      <c r="G1491" s="8" t="str">
        <f t="shared" si="396"/>
        <v>not an outlier</v>
      </c>
      <c r="H1491" s="8" t="str">
        <f t="shared" si="397"/>
        <v>Not</v>
      </c>
      <c r="I1491" s="8" t="str">
        <f t="shared" si="407"/>
        <v>no</v>
      </c>
      <c r="J1491" s="10" t="str">
        <f t="shared" si="398"/>
        <v>no</v>
      </c>
      <c r="K1491" s="10" t="str">
        <f t="shared" si="399"/>
        <v>no</v>
      </c>
      <c r="L1491" t="s">
        <v>378</v>
      </c>
      <c r="M1491">
        <v>10818</v>
      </c>
      <c r="N1491">
        <v>32</v>
      </c>
      <c r="O1491" t="s">
        <v>709</v>
      </c>
      <c r="P1491" t="str">
        <f t="shared" si="400"/>
        <v>MAGAA_10818_Mascarpone Fabioli</v>
      </c>
      <c r="Q1491" t="str">
        <f t="shared" si="401"/>
        <v>10818</v>
      </c>
      <c r="R1491" t="str">
        <f t="shared" si="402"/>
        <v>10818</v>
      </c>
      <c r="S1491" t="str">
        <f t="shared" si="403"/>
        <v>Mascarpone Fabioli</v>
      </c>
      <c r="T1491">
        <v>32</v>
      </c>
      <c r="U1491">
        <v>20</v>
      </c>
      <c r="V1491">
        <v>0</v>
      </c>
      <c r="W1491">
        <f t="shared" si="404"/>
        <v>640</v>
      </c>
      <c r="X1491" t="str">
        <f t="shared" si="405"/>
        <v>yes</v>
      </c>
      <c r="Y1491" s="2">
        <v>35102</v>
      </c>
      <c r="Z1491" t="str">
        <f t="shared" si="391"/>
        <v>1st Q 1996</v>
      </c>
      <c r="AA1491" t="str">
        <f t="shared" si="406"/>
        <v>1st Q 1996</v>
      </c>
      <c r="AB1491" t="str" cm="1">
        <f t="array" ref="AB1491">_xlfn.IFS(Y1491&lt;DATE(1996,1,1),"",Y1491&lt;DATE(1996,4,1),"Q1",Y1491&lt;DATE(1996,7,1),"Q2",Y1491&gt;=DATE(1996,7,1),"")</f>
        <v>Q1</v>
      </c>
    </row>
    <row r="1492" spans="1:28" ht="14.4" x14ac:dyDescent="0.55000000000000004">
      <c r="A1492" t="str">
        <f>VLOOKUP(L1492,Customers!$A$2:$B$92,2,FALSE)</f>
        <v>Magazzini Alimentari Riuniti</v>
      </c>
      <c r="B1492" t="str">
        <f>VLOOKUP(L1492,Customers!$A$2:$C$92,3,TRUE)</f>
        <v>Giovanni Rovelli</v>
      </c>
      <c r="C1492" t="str">
        <f t="shared" si="392"/>
        <v>Giovanni</v>
      </c>
      <c r="D1492" s="8" t="str">
        <f t="shared" si="393"/>
        <v>Rovelli</v>
      </c>
      <c r="E1492" s="8" t="str">
        <f t="shared" si="394"/>
        <v>Rovelli, Giovanni</v>
      </c>
      <c r="F1492" s="8" t="str">
        <f t="shared" si="395"/>
        <v>Rovelli, Giovanni</v>
      </c>
      <c r="G1492" s="8" t="str">
        <f t="shared" si="396"/>
        <v>not an outlier</v>
      </c>
      <c r="H1492" s="8" t="str">
        <f t="shared" si="397"/>
        <v>Not</v>
      </c>
      <c r="I1492" s="8" t="str">
        <f t="shared" si="407"/>
        <v>no</v>
      </c>
      <c r="J1492" s="10" t="str">
        <f t="shared" si="398"/>
        <v>no</v>
      </c>
      <c r="K1492" s="10" t="str">
        <f t="shared" si="399"/>
        <v>no</v>
      </c>
      <c r="L1492" t="s">
        <v>378</v>
      </c>
      <c r="M1492">
        <v>10818</v>
      </c>
      <c r="N1492">
        <v>41</v>
      </c>
      <c r="O1492" t="s">
        <v>688</v>
      </c>
      <c r="P1492" t="str">
        <f t="shared" si="400"/>
        <v>MAGAA_10818_Jack's New England Clam Chowder</v>
      </c>
      <c r="Q1492" t="str">
        <f t="shared" si="401"/>
        <v>10818</v>
      </c>
      <c r="R1492" t="str">
        <f t="shared" si="402"/>
        <v>10818</v>
      </c>
      <c r="S1492" t="str">
        <f t="shared" si="403"/>
        <v>Jack's New England Clam Chowder</v>
      </c>
      <c r="T1492">
        <v>9.65</v>
      </c>
      <c r="U1492">
        <v>20</v>
      </c>
      <c r="V1492">
        <v>0</v>
      </c>
      <c r="W1492">
        <f t="shared" si="404"/>
        <v>193</v>
      </c>
      <c r="X1492" t="str">
        <f t="shared" si="405"/>
        <v>yes</v>
      </c>
      <c r="Y1492" s="2">
        <v>35102</v>
      </c>
      <c r="Z1492" t="str">
        <f t="shared" si="391"/>
        <v>1st Q 1996</v>
      </c>
      <c r="AA1492" t="str">
        <f t="shared" si="406"/>
        <v>1st Q 1996</v>
      </c>
      <c r="AB1492" t="str" cm="1">
        <f t="array" ref="AB1492">_xlfn.IFS(Y1492&lt;DATE(1996,1,1),"",Y1492&lt;DATE(1996,4,1),"Q1",Y1492&lt;DATE(1996,7,1),"Q2",Y1492&gt;=DATE(1996,7,1),"")</f>
        <v>Q1</v>
      </c>
    </row>
    <row r="1493" spans="1:28" ht="14.4" x14ac:dyDescent="0.55000000000000004">
      <c r="A1493" t="str">
        <f>VLOOKUP(L1493,Customers!$A$2:$B$92,2,FALSE)</f>
        <v>Cactus Comidas para llevar</v>
      </c>
      <c r="B1493" t="str">
        <f>VLOOKUP(L1493,Customers!$A$2:$C$92,3,TRUE)</f>
        <v>Patricio Simpson</v>
      </c>
      <c r="C1493" t="str">
        <f t="shared" si="392"/>
        <v>Patricio</v>
      </c>
      <c r="D1493" s="8" t="str">
        <f t="shared" si="393"/>
        <v>Simpson</v>
      </c>
      <c r="E1493" s="8" t="str">
        <f t="shared" si="394"/>
        <v>Simpson, Patricio</v>
      </c>
      <c r="F1493" s="8" t="str">
        <f t="shared" si="395"/>
        <v>Simpson, Patricio</v>
      </c>
      <c r="G1493" s="8" t="str">
        <f t="shared" si="396"/>
        <v>not an outlier</v>
      </c>
      <c r="H1493" s="8" t="str">
        <f t="shared" si="397"/>
        <v>Not</v>
      </c>
      <c r="I1493" s="8" t="str">
        <f t="shared" si="407"/>
        <v>no</v>
      </c>
      <c r="J1493" s="10" t="str">
        <f t="shared" si="398"/>
        <v>no</v>
      </c>
      <c r="K1493" s="10" t="str">
        <f t="shared" si="399"/>
        <v>no</v>
      </c>
      <c r="L1493" t="s">
        <v>101</v>
      </c>
      <c r="M1493">
        <v>10819</v>
      </c>
      <c r="N1493">
        <v>43</v>
      </c>
      <c r="O1493" t="s">
        <v>723</v>
      </c>
      <c r="P1493" t="str">
        <f t="shared" si="400"/>
        <v>CACTU_10819_Ipoh Coffee</v>
      </c>
      <c r="Q1493" t="str">
        <f t="shared" si="401"/>
        <v>10819</v>
      </c>
      <c r="R1493" t="str">
        <f t="shared" si="402"/>
        <v>10819</v>
      </c>
      <c r="S1493" t="str">
        <f t="shared" si="403"/>
        <v>Ipoh Coffee</v>
      </c>
      <c r="T1493">
        <v>46</v>
      </c>
      <c r="U1493">
        <v>7</v>
      </c>
      <c r="V1493">
        <v>0</v>
      </c>
      <c r="W1493">
        <f t="shared" si="404"/>
        <v>322</v>
      </c>
      <c r="X1493" t="str">
        <f t="shared" si="405"/>
        <v>yes</v>
      </c>
      <c r="Y1493" s="2">
        <v>35102</v>
      </c>
      <c r="Z1493" t="str">
        <f t="shared" si="391"/>
        <v>1st Q 1996</v>
      </c>
      <c r="AA1493" t="str">
        <f t="shared" si="406"/>
        <v>1st Q 1996</v>
      </c>
      <c r="AB1493" t="str" cm="1">
        <f t="array" ref="AB1493">_xlfn.IFS(Y1493&lt;DATE(1996,1,1),"",Y1493&lt;DATE(1996,4,1),"Q1",Y1493&lt;DATE(1996,7,1),"Q2",Y1493&gt;=DATE(1996,7,1),"")</f>
        <v>Q1</v>
      </c>
    </row>
    <row r="1494" spans="1:28" ht="14.4" x14ac:dyDescent="0.55000000000000004">
      <c r="A1494" t="str">
        <f>VLOOKUP(L1494,Customers!$A$2:$B$92,2,FALSE)</f>
        <v>Cactus Comidas para llevar</v>
      </c>
      <c r="B1494" t="str">
        <f>VLOOKUP(L1494,Customers!$A$2:$C$92,3,TRUE)</f>
        <v>Patricio Simpson</v>
      </c>
      <c r="C1494" t="str">
        <f t="shared" si="392"/>
        <v>Patricio</v>
      </c>
      <c r="D1494" s="8" t="str">
        <f t="shared" si="393"/>
        <v>Simpson</v>
      </c>
      <c r="E1494" s="8" t="str">
        <f t="shared" si="394"/>
        <v>Simpson, Patricio</v>
      </c>
      <c r="F1494" s="8" t="str">
        <f t="shared" si="395"/>
        <v>Simpson, Patricio</v>
      </c>
      <c r="G1494" s="8" t="str">
        <f t="shared" si="396"/>
        <v>not an outlier</v>
      </c>
      <c r="H1494" s="8" t="str">
        <f t="shared" si="397"/>
        <v>Not</v>
      </c>
      <c r="I1494" s="8" t="str">
        <f t="shared" si="407"/>
        <v>no</v>
      </c>
      <c r="J1494" s="10" t="str">
        <f t="shared" si="398"/>
        <v>no</v>
      </c>
      <c r="K1494" s="10" t="str">
        <f t="shared" si="399"/>
        <v>no</v>
      </c>
      <c r="L1494" t="s">
        <v>101</v>
      </c>
      <c r="M1494">
        <v>10819</v>
      </c>
      <c r="N1494">
        <v>75</v>
      </c>
      <c r="O1494" t="s">
        <v>731</v>
      </c>
      <c r="P1494" t="str">
        <f t="shared" si="400"/>
        <v>CACTU_10819_Rhönbräu Klosterbier</v>
      </c>
      <c r="Q1494" t="str">
        <f t="shared" si="401"/>
        <v>10819</v>
      </c>
      <c r="R1494" t="str">
        <f t="shared" si="402"/>
        <v>10819</v>
      </c>
      <c r="S1494" t="str">
        <f t="shared" si="403"/>
        <v>Rhönbräu Klosterbier</v>
      </c>
      <c r="T1494">
        <v>7.75</v>
      </c>
      <c r="U1494">
        <v>20</v>
      </c>
      <c r="V1494">
        <v>0</v>
      </c>
      <c r="W1494">
        <f t="shared" si="404"/>
        <v>155</v>
      </c>
      <c r="X1494" t="str">
        <f t="shared" si="405"/>
        <v>yes</v>
      </c>
      <c r="Y1494" s="2">
        <v>35102</v>
      </c>
      <c r="Z1494" t="str">
        <f t="shared" si="391"/>
        <v>1st Q 1996</v>
      </c>
      <c r="AA1494" t="str">
        <f t="shared" si="406"/>
        <v>1st Q 1996</v>
      </c>
      <c r="AB1494" t="str" cm="1">
        <f t="array" ref="AB1494">_xlfn.IFS(Y1494&lt;DATE(1996,1,1),"",Y1494&lt;DATE(1996,4,1),"Q1",Y1494&lt;DATE(1996,7,1),"Q2",Y1494&gt;=DATE(1996,7,1),"")</f>
        <v>Q1</v>
      </c>
    </row>
    <row r="1495" spans="1:28" ht="14.4" x14ac:dyDescent="0.55000000000000004">
      <c r="A1495" t="str">
        <f>VLOOKUP(L1495,Customers!$A$2:$B$92,2,FALSE)</f>
        <v>Rattlesnake Canyon Grocery</v>
      </c>
      <c r="B1495" t="str">
        <f>VLOOKUP(L1495,Customers!$A$2:$C$92,3,TRUE)</f>
        <v>Paula Wilson</v>
      </c>
      <c r="C1495" t="str">
        <f t="shared" si="392"/>
        <v>Paula</v>
      </c>
      <c r="D1495" s="8" t="str">
        <f t="shared" si="393"/>
        <v>Wilson</v>
      </c>
      <c r="E1495" s="8" t="str">
        <f t="shared" si="394"/>
        <v>Wilson, Paula</v>
      </c>
      <c r="F1495" s="8" t="str">
        <f t="shared" si="395"/>
        <v>Wilson, Paula</v>
      </c>
      <c r="G1495" s="8" t="str">
        <f t="shared" si="396"/>
        <v>not an outlier</v>
      </c>
      <c r="H1495" s="8" t="str">
        <f t="shared" si="397"/>
        <v>Not</v>
      </c>
      <c r="I1495" s="8" t="str">
        <f t="shared" si="407"/>
        <v>no</v>
      </c>
      <c r="J1495" s="10" t="str">
        <f t="shared" si="398"/>
        <v>no</v>
      </c>
      <c r="K1495" s="10" t="str">
        <f t="shared" si="399"/>
        <v>no</v>
      </c>
      <c r="L1495" t="s">
        <v>487</v>
      </c>
      <c r="M1495">
        <v>10820</v>
      </c>
      <c r="N1495">
        <v>56</v>
      </c>
      <c r="O1495" t="s">
        <v>716</v>
      </c>
      <c r="P1495" t="str">
        <f t="shared" si="400"/>
        <v>RATTC_10820_Gnocchi di nonna Alice</v>
      </c>
      <c r="Q1495" t="str">
        <f t="shared" si="401"/>
        <v>10820</v>
      </c>
      <c r="R1495" t="str">
        <f t="shared" si="402"/>
        <v>10820</v>
      </c>
      <c r="S1495" t="str">
        <f t="shared" si="403"/>
        <v>Gnocchi di nonna Alice</v>
      </c>
      <c r="T1495">
        <v>38</v>
      </c>
      <c r="U1495">
        <v>30</v>
      </c>
      <c r="V1495">
        <v>0</v>
      </c>
      <c r="W1495">
        <f t="shared" si="404"/>
        <v>1140</v>
      </c>
      <c r="X1495" t="str">
        <f t="shared" si="405"/>
        <v>yes</v>
      </c>
      <c r="Y1495" s="2">
        <v>35102</v>
      </c>
      <c r="Z1495" t="str">
        <f t="shared" si="391"/>
        <v>1st Q 1996</v>
      </c>
      <c r="AA1495" t="str">
        <f t="shared" si="406"/>
        <v>1st Q 1996</v>
      </c>
      <c r="AB1495" t="str" cm="1">
        <f t="array" ref="AB1495">_xlfn.IFS(Y1495&lt;DATE(1996,1,1),"",Y1495&lt;DATE(1996,4,1),"Q1",Y1495&lt;DATE(1996,7,1),"Q2",Y1495&gt;=DATE(1996,7,1),"")</f>
        <v>Q1</v>
      </c>
    </row>
    <row r="1496" spans="1:28" ht="14.4" x14ac:dyDescent="0.55000000000000004">
      <c r="A1496" t="str">
        <f>VLOOKUP(L1496,Customers!$A$2:$B$92,2,FALSE)</f>
        <v>Split Rail Beer &amp; Ale</v>
      </c>
      <c r="B1496" t="str">
        <f>VLOOKUP(L1496,Customers!$A$2:$C$92,3,TRUE)</f>
        <v>Art Braunschweiger</v>
      </c>
      <c r="C1496" t="str">
        <f t="shared" si="392"/>
        <v>Art</v>
      </c>
      <c r="D1496" s="8" t="str">
        <f t="shared" si="393"/>
        <v>Braunschweiger</v>
      </c>
      <c r="E1496" s="8" t="str">
        <f t="shared" si="394"/>
        <v>Braunschweiger, Art</v>
      </c>
      <c r="F1496" s="8" t="str">
        <f t="shared" si="395"/>
        <v>Braunschweiger, Art</v>
      </c>
      <c r="G1496" s="8" t="str">
        <f t="shared" si="396"/>
        <v>not an outlier</v>
      </c>
      <c r="H1496" s="8" t="str">
        <f t="shared" si="397"/>
        <v>Not</v>
      </c>
      <c r="I1496" s="8" t="str">
        <f t="shared" si="407"/>
        <v>no</v>
      </c>
      <c r="J1496" s="10" t="str">
        <f t="shared" si="398"/>
        <v>no</v>
      </c>
      <c r="K1496" s="10" t="str">
        <f t="shared" si="399"/>
        <v>no</v>
      </c>
      <c r="L1496" t="s">
        <v>557</v>
      </c>
      <c r="M1496">
        <v>10821</v>
      </c>
      <c r="N1496">
        <v>35</v>
      </c>
      <c r="O1496" t="s">
        <v>714</v>
      </c>
      <c r="P1496" t="str">
        <f t="shared" si="400"/>
        <v>SPLIR_10821_Steeleye Stout</v>
      </c>
      <c r="Q1496" t="str">
        <f t="shared" si="401"/>
        <v>10821</v>
      </c>
      <c r="R1496" t="str">
        <f t="shared" si="402"/>
        <v>10821</v>
      </c>
      <c r="S1496" t="str">
        <f t="shared" si="403"/>
        <v>Steeleye Stout</v>
      </c>
      <c r="T1496">
        <v>18</v>
      </c>
      <c r="U1496">
        <v>20</v>
      </c>
      <c r="V1496">
        <v>0</v>
      </c>
      <c r="W1496">
        <f t="shared" si="404"/>
        <v>360</v>
      </c>
      <c r="X1496" t="str">
        <f t="shared" si="405"/>
        <v>yes</v>
      </c>
      <c r="Y1496" s="2">
        <v>35103</v>
      </c>
      <c r="Z1496" t="str">
        <f t="shared" si="391"/>
        <v>1st Q 1996</v>
      </c>
      <c r="AA1496" t="str">
        <f t="shared" si="406"/>
        <v>1st Q 1996</v>
      </c>
      <c r="AB1496" t="str" cm="1">
        <f t="array" ref="AB1496">_xlfn.IFS(Y1496&lt;DATE(1996,1,1),"",Y1496&lt;DATE(1996,4,1),"Q1",Y1496&lt;DATE(1996,7,1),"Q2",Y1496&gt;=DATE(1996,7,1),"")</f>
        <v>Q1</v>
      </c>
    </row>
    <row r="1497" spans="1:28" ht="14.4" x14ac:dyDescent="0.55000000000000004">
      <c r="A1497" t="str">
        <f>VLOOKUP(L1497,Customers!$A$2:$B$92,2,FALSE)</f>
        <v>Split Rail Beer &amp; Ale</v>
      </c>
      <c r="B1497" t="str">
        <f>VLOOKUP(L1497,Customers!$A$2:$C$92,3,TRUE)</f>
        <v>Art Braunschweiger</v>
      </c>
      <c r="C1497" t="str">
        <f t="shared" si="392"/>
        <v>Art</v>
      </c>
      <c r="D1497" s="8" t="str">
        <f t="shared" si="393"/>
        <v>Braunschweiger</v>
      </c>
      <c r="E1497" s="8" t="str">
        <f t="shared" si="394"/>
        <v>Braunschweiger, Art</v>
      </c>
      <c r="F1497" s="8" t="str">
        <f t="shared" si="395"/>
        <v>Braunschweiger, Art</v>
      </c>
      <c r="G1497" s="8" t="str">
        <f t="shared" si="396"/>
        <v>not an outlier</v>
      </c>
      <c r="H1497" s="8" t="str">
        <f t="shared" si="397"/>
        <v>Not</v>
      </c>
      <c r="I1497" s="8" t="str">
        <f t="shared" si="407"/>
        <v>no</v>
      </c>
      <c r="J1497" s="10" t="str">
        <f t="shared" si="398"/>
        <v>no</v>
      </c>
      <c r="K1497" s="10" t="str">
        <f t="shared" si="399"/>
        <v>no</v>
      </c>
      <c r="L1497" t="s">
        <v>557</v>
      </c>
      <c r="M1497">
        <v>10821</v>
      </c>
      <c r="N1497">
        <v>51</v>
      </c>
      <c r="O1497" t="s">
        <v>687</v>
      </c>
      <c r="P1497" t="str">
        <f t="shared" si="400"/>
        <v>SPLIR_10821_Manjimup Dried Apples</v>
      </c>
      <c r="Q1497" t="str">
        <f t="shared" si="401"/>
        <v>10821</v>
      </c>
      <c r="R1497" t="str">
        <f t="shared" si="402"/>
        <v>10821</v>
      </c>
      <c r="S1497" t="str">
        <f t="shared" si="403"/>
        <v>Manjimup Dried Apples</v>
      </c>
      <c r="T1497">
        <v>53</v>
      </c>
      <c r="U1497">
        <v>6</v>
      </c>
      <c r="V1497">
        <v>0</v>
      </c>
      <c r="W1497">
        <f t="shared" si="404"/>
        <v>318</v>
      </c>
      <c r="X1497" t="str">
        <f t="shared" si="405"/>
        <v>yes</v>
      </c>
      <c r="Y1497" s="2">
        <v>35103</v>
      </c>
      <c r="Z1497" t="str">
        <f t="shared" si="391"/>
        <v>1st Q 1996</v>
      </c>
      <c r="AA1497" t="str">
        <f t="shared" si="406"/>
        <v>1st Q 1996</v>
      </c>
      <c r="AB1497" t="str" cm="1">
        <f t="array" ref="AB1497">_xlfn.IFS(Y1497&lt;DATE(1996,1,1),"",Y1497&lt;DATE(1996,4,1),"Q1",Y1497&lt;DATE(1996,7,1),"Q2",Y1497&gt;=DATE(1996,7,1),"")</f>
        <v>Q1</v>
      </c>
    </row>
    <row r="1498" spans="1:28" ht="14.4" x14ac:dyDescent="0.55000000000000004">
      <c r="A1498" t="str">
        <f>VLOOKUP(L1498,Customers!$A$2:$B$92,2,FALSE)</f>
        <v>Trail's Head Gourmet Provisioners</v>
      </c>
      <c r="B1498" t="str">
        <f>VLOOKUP(L1498,Customers!$A$2:$C$92,3,TRUE)</f>
        <v>Helvetius Nagy</v>
      </c>
      <c r="C1498" t="str">
        <f t="shared" si="392"/>
        <v>Helvetius</v>
      </c>
      <c r="D1498" s="8" t="str">
        <f t="shared" si="393"/>
        <v>Nagy</v>
      </c>
      <c r="E1498" s="8" t="str">
        <f t="shared" si="394"/>
        <v>Nagy, Helvetius</v>
      </c>
      <c r="F1498" s="8" t="str">
        <f t="shared" si="395"/>
        <v>Nagy, Helvetius</v>
      </c>
      <c r="G1498" s="8" t="str">
        <f t="shared" si="396"/>
        <v>not an outlier</v>
      </c>
      <c r="H1498" s="8" t="str">
        <f t="shared" si="397"/>
        <v>Not</v>
      </c>
      <c r="I1498" s="8" t="str">
        <f t="shared" si="407"/>
        <v>no</v>
      </c>
      <c r="J1498" s="10" t="str">
        <f t="shared" si="398"/>
        <v>no</v>
      </c>
      <c r="K1498" s="10" t="str">
        <f t="shared" si="399"/>
        <v>no</v>
      </c>
      <c r="L1498" t="s">
        <v>605</v>
      </c>
      <c r="M1498">
        <v>10822</v>
      </c>
      <c r="N1498">
        <v>62</v>
      </c>
      <c r="O1498" t="s">
        <v>712</v>
      </c>
      <c r="P1498" t="str">
        <f t="shared" si="400"/>
        <v>TRAIH_10822_Tarte au sucre</v>
      </c>
      <c r="Q1498" t="str">
        <f t="shared" si="401"/>
        <v>10822</v>
      </c>
      <c r="R1498" t="str">
        <f t="shared" si="402"/>
        <v>10822</v>
      </c>
      <c r="S1498" t="str">
        <f t="shared" si="403"/>
        <v>Tarte au sucre</v>
      </c>
      <c r="T1498">
        <v>49.3</v>
      </c>
      <c r="U1498">
        <v>3</v>
      </c>
      <c r="V1498">
        <v>0</v>
      </c>
      <c r="W1498">
        <f t="shared" si="404"/>
        <v>147.89999999999998</v>
      </c>
      <c r="X1498" t="str">
        <f t="shared" si="405"/>
        <v>yes</v>
      </c>
      <c r="Y1498" s="2">
        <v>35103</v>
      </c>
      <c r="Z1498" t="str">
        <f t="shared" si="391"/>
        <v>1st Q 1996</v>
      </c>
      <c r="AA1498" t="str">
        <f t="shared" si="406"/>
        <v>1st Q 1996</v>
      </c>
      <c r="AB1498" t="str" cm="1">
        <f t="array" ref="AB1498">_xlfn.IFS(Y1498&lt;DATE(1996,1,1),"",Y1498&lt;DATE(1996,4,1),"Q1",Y1498&lt;DATE(1996,7,1),"Q2",Y1498&gt;=DATE(1996,7,1),"")</f>
        <v>Q1</v>
      </c>
    </row>
    <row r="1499" spans="1:28" ht="14.4" x14ac:dyDescent="0.55000000000000004">
      <c r="A1499" t="str">
        <f>VLOOKUP(L1499,Customers!$A$2:$B$92,2,FALSE)</f>
        <v>Trail's Head Gourmet Provisioners</v>
      </c>
      <c r="B1499" t="str">
        <f>VLOOKUP(L1499,Customers!$A$2:$C$92,3,TRUE)</f>
        <v>Helvetius Nagy</v>
      </c>
      <c r="C1499" t="str">
        <f t="shared" si="392"/>
        <v>Helvetius</v>
      </c>
      <c r="D1499" s="8" t="str">
        <f t="shared" si="393"/>
        <v>Nagy</v>
      </c>
      <c r="E1499" s="8" t="str">
        <f t="shared" si="394"/>
        <v>Nagy, Helvetius</v>
      </c>
      <c r="F1499" s="8" t="str">
        <f t="shared" si="395"/>
        <v>Nagy, Helvetius</v>
      </c>
      <c r="G1499" s="8" t="str">
        <f t="shared" si="396"/>
        <v>not an outlier</v>
      </c>
      <c r="H1499" s="8" t="str">
        <f t="shared" si="397"/>
        <v>Not</v>
      </c>
      <c r="I1499" s="8" t="str">
        <f t="shared" si="407"/>
        <v>no</v>
      </c>
      <c r="J1499" s="10" t="str">
        <f t="shared" si="398"/>
        <v>no</v>
      </c>
      <c r="K1499" s="10" t="str">
        <f t="shared" si="399"/>
        <v>no</v>
      </c>
      <c r="L1499" t="s">
        <v>605</v>
      </c>
      <c r="M1499">
        <v>10822</v>
      </c>
      <c r="N1499">
        <v>70</v>
      </c>
      <c r="O1499" t="s">
        <v>713</v>
      </c>
      <c r="P1499" t="str">
        <f t="shared" si="400"/>
        <v>TRAIH_10822_Outback Lager</v>
      </c>
      <c r="Q1499" t="str">
        <f t="shared" si="401"/>
        <v>10822</v>
      </c>
      <c r="R1499" t="str">
        <f t="shared" si="402"/>
        <v>10822</v>
      </c>
      <c r="S1499" t="str">
        <f t="shared" si="403"/>
        <v>Outback Lager</v>
      </c>
      <c r="T1499">
        <v>15</v>
      </c>
      <c r="U1499">
        <v>6</v>
      </c>
      <c r="V1499">
        <v>0</v>
      </c>
      <c r="W1499">
        <f t="shared" si="404"/>
        <v>90</v>
      </c>
      <c r="X1499" t="str">
        <f t="shared" si="405"/>
        <v>yes</v>
      </c>
      <c r="Y1499" s="2">
        <v>35103</v>
      </c>
      <c r="Z1499" t="str">
        <f t="shared" si="391"/>
        <v>1st Q 1996</v>
      </c>
      <c r="AA1499" t="str">
        <f t="shared" si="406"/>
        <v>1st Q 1996</v>
      </c>
      <c r="AB1499" t="str" cm="1">
        <f t="array" ref="AB1499">_xlfn.IFS(Y1499&lt;DATE(1996,1,1),"",Y1499&lt;DATE(1996,4,1),"Q1",Y1499&lt;DATE(1996,7,1),"Q2",Y1499&gt;=DATE(1996,7,1),"")</f>
        <v>Q1</v>
      </c>
    </row>
    <row r="1500" spans="1:28" ht="14.4" x14ac:dyDescent="0.55000000000000004">
      <c r="A1500" t="str">
        <f>VLOOKUP(L1500,Customers!$A$2:$B$92,2,FALSE)</f>
        <v>LILA-Supermercado</v>
      </c>
      <c r="B1500" t="str">
        <f>VLOOKUP(L1500,Customers!$A$2:$C$92,3,TRUE)</f>
        <v>Carlos González</v>
      </c>
      <c r="C1500" t="str">
        <f t="shared" si="392"/>
        <v>Carlos</v>
      </c>
      <c r="D1500" s="8" t="str">
        <f t="shared" si="393"/>
        <v>González</v>
      </c>
      <c r="E1500" s="8" t="str">
        <f t="shared" si="394"/>
        <v>González, Carlos</v>
      </c>
      <c r="F1500" s="8" t="str">
        <f t="shared" si="395"/>
        <v>González, Carlos</v>
      </c>
      <c r="G1500" s="8" t="str">
        <f t="shared" si="396"/>
        <v>not an outlier</v>
      </c>
      <c r="H1500" s="8" t="str">
        <f t="shared" si="397"/>
        <v>Not</v>
      </c>
      <c r="I1500" s="8" t="str">
        <f t="shared" si="407"/>
        <v>no</v>
      </c>
      <c r="J1500" s="10" t="str">
        <f t="shared" si="398"/>
        <v>no</v>
      </c>
      <c r="K1500" s="10" t="str">
        <f t="shared" si="399"/>
        <v>no</v>
      </c>
      <c r="L1500" t="s">
        <v>355</v>
      </c>
      <c r="M1500">
        <v>10823</v>
      </c>
      <c r="N1500">
        <v>11</v>
      </c>
      <c r="O1500" t="s">
        <v>683</v>
      </c>
      <c r="P1500" t="str">
        <f t="shared" si="400"/>
        <v>LILAS_10823_Queso Cabrales</v>
      </c>
      <c r="Q1500" t="str">
        <f t="shared" si="401"/>
        <v>10823</v>
      </c>
      <c r="R1500" t="str">
        <f t="shared" si="402"/>
        <v>10823</v>
      </c>
      <c r="S1500" t="str">
        <f t="shared" si="403"/>
        <v>Queso Cabrales</v>
      </c>
      <c r="T1500">
        <v>21</v>
      </c>
      <c r="U1500">
        <v>20</v>
      </c>
      <c r="V1500">
        <v>0.1</v>
      </c>
      <c r="W1500">
        <f t="shared" si="404"/>
        <v>378</v>
      </c>
      <c r="X1500" t="str">
        <f t="shared" si="405"/>
        <v>yes</v>
      </c>
      <c r="Y1500" s="2">
        <v>35104</v>
      </c>
      <c r="Z1500" t="str">
        <f t="shared" si="391"/>
        <v>1st Q 1996</v>
      </c>
      <c r="AA1500" t="str">
        <f t="shared" si="406"/>
        <v>1st Q 1996</v>
      </c>
      <c r="AB1500" t="str" cm="1">
        <f t="array" ref="AB1500">_xlfn.IFS(Y1500&lt;DATE(1996,1,1),"",Y1500&lt;DATE(1996,4,1),"Q1",Y1500&lt;DATE(1996,7,1),"Q2",Y1500&gt;=DATE(1996,7,1),"")</f>
        <v>Q1</v>
      </c>
    </row>
    <row r="1501" spans="1:28" ht="14.4" x14ac:dyDescent="0.55000000000000004">
      <c r="A1501" t="str">
        <f>VLOOKUP(L1501,Customers!$A$2:$B$92,2,FALSE)</f>
        <v>LILA-Supermercado</v>
      </c>
      <c r="B1501" t="str">
        <f>VLOOKUP(L1501,Customers!$A$2:$C$92,3,TRUE)</f>
        <v>Carlos González</v>
      </c>
      <c r="C1501" t="str">
        <f t="shared" si="392"/>
        <v>Carlos</v>
      </c>
      <c r="D1501" s="8" t="str">
        <f t="shared" si="393"/>
        <v>González</v>
      </c>
      <c r="E1501" s="8" t="str">
        <f t="shared" si="394"/>
        <v>González, Carlos</v>
      </c>
      <c r="F1501" s="8" t="str">
        <f t="shared" si="395"/>
        <v>González, Carlos</v>
      </c>
      <c r="G1501" s="8" t="str">
        <f t="shared" si="396"/>
        <v>not an outlier</v>
      </c>
      <c r="H1501" s="8" t="str">
        <f t="shared" si="397"/>
        <v>Not</v>
      </c>
      <c r="I1501" s="8" t="str">
        <f t="shared" si="407"/>
        <v>no</v>
      </c>
      <c r="J1501" s="10" t="str">
        <f t="shared" si="398"/>
        <v>no</v>
      </c>
      <c r="K1501" s="10" t="str">
        <f t="shared" si="399"/>
        <v>no</v>
      </c>
      <c r="L1501" t="s">
        <v>355</v>
      </c>
      <c r="M1501">
        <v>10823</v>
      </c>
      <c r="N1501">
        <v>57</v>
      </c>
      <c r="O1501" t="s">
        <v>691</v>
      </c>
      <c r="P1501" t="str">
        <f t="shared" si="400"/>
        <v>LILAS_10823_Ravioli Angelo</v>
      </c>
      <c r="Q1501" t="str">
        <f t="shared" si="401"/>
        <v>10823</v>
      </c>
      <c r="R1501" t="str">
        <f t="shared" si="402"/>
        <v>10823</v>
      </c>
      <c r="S1501" t="str">
        <f t="shared" si="403"/>
        <v>Ravioli Angelo</v>
      </c>
      <c r="T1501">
        <v>19.5</v>
      </c>
      <c r="U1501">
        <v>15</v>
      </c>
      <c r="V1501">
        <v>0</v>
      </c>
      <c r="W1501">
        <f t="shared" si="404"/>
        <v>292.5</v>
      </c>
      <c r="X1501" t="str">
        <f t="shared" si="405"/>
        <v>yes</v>
      </c>
      <c r="Y1501" s="2">
        <v>35104</v>
      </c>
      <c r="Z1501" t="str">
        <f t="shared" si="391"/>
        <v>1st Q 1996</v>
      </c>
      <c r="AA1501" t="str">
        <f t="shared" si="406"/>
        <v>1st Q 1996</v>
      </c>
      <c r="AB1501" t="str" cm="1">
        <f t="array" ref="AB1501">_xlfn.IFS(Y1501&lt;DATE(1996,1,1),"",Y1501&lt;DATE(1996,4,1),"Q1",Y1501&lt;DATE(1996,7,1),"Q2",Y1501&gt;=DATE(1996,7,1),"")</f>
        <v>Q1</v>
      </c>
    </row>
    <row r="1502" spans="1:28" ht="14.4" x14ac:dyDescent="0.55000000000000004">
      <c r="A1502" t="str">
        <f>VLOOKUP(L1502,Customers!$A$2:$B$92,2,FALSE)</f>
        <v>LILA-Supermercado</v>
      </c>
      <c r="B1502" t="str">
        <f>VLOOKUP(L1502,Customers!$A$2:$C$92,3,TRUE)</f>
        <v>Carlos González</v>
      </c>
      <c r="C1502" t="str">
        <f t="shared" si="392"/>
        <v>Carlos</v>
      </c>
      <c r="D1502" s="8" t="str">
        <f t="shared" si="393"/>
        <v>González</v>
      </c>
      <c r="E1502" s="8" t="str">
        <f t="shared" si="394"/>
        <v>González, Carlos</v>
      </c>
      <c r="F1502" s="8" t="str">
        <f t="shared" si="395"/>
        <v>González, Carlos</v>
      </c>
      <c r="G1502" s="8" t="str">
        <f t="shared" si="396"/>
        <v>not an outlier</v>
      </c>
      <c r="H1502" s="8" t="str">
        <f t="shared" si="397"/>
        <v>Not</v>
      </c>
      <c r="I1502" s="8" t="str">
        <f t="shared" si="407"/>
        <v>no</v>
      </c>
      <c r="J1502" s="10" t="str">
        <f t="shared" si="398"/>
        <v>no</v>
      </c>
      <c r="K1502" s="10" t="str">
        <f t="shared" si="399"/>
        <v>no</v>
      </c>
      <c r="L1502" t="s">
        <v>355</v>
      </c>
      <c r="M1502">
        <v>10823</v>
      </c>
      <c r="N1502">
        <v>59</v>
      </c>
      <c r="O1502" t="s">
        <v>704</v>
      </c>
      <c r="P1502" t="str">
        <f t="shared" si="400"/>
        <v>LILAS_10823_Raclette Courdavault</v>
      </c>
      <c r="Q1502" t="str">
        <f t="shared" si="401"/>
        <v>10823</v>
      </c>
      <c r="R1502" t="str">
        <f t="shared" si="402"/>
        <v>10823</v>
      </c>
      <c r="S1502" t="str">
        <f t="shared" si="403"/>
        <v>Raclette Courdavault</v>
      </c>
      <c r="T1502">
        <v>55</v>
      </c>
      <c r="U1502">
        <v>40</v>
      </c>
      <c r="V1502">
        <v>0.1</v>
      </c>
      <c r="W1502">
        <f t="shared" si="404"/>
        <v>1980</v>
      </c>
      <c r="X1502" t="str">
        <f t="shared" si="405"/>
        <v>yes</v>
      </c>
      <c r="Y1502" s="2">
        <v>35104</v>
      </c>
      <c r="Z1502" t="str">
        <f t="shared" si="391"/>
        <v>1st Q 1996</v>
      </c>
      <c r="AA1502" t="str">
        <f t="shared" si="406"/>
        <v>1st Q 1996</v>
      </c>
      <c r="AB1502" t="str" cm="1">
        <f t="array" ref="AB1502">_xlfn.IFS(Y1502&lt;DATE(1996,1,1),"",Y1502&lt;DATE(1996,4,1),"Q1",Y1502&lt;DATE(1996,7,1),"Q2",Y1502&gt;=DATE(1996,7,1),"")</f>
        <v>Q1</v>
      </c>
    </row>
    <row r="1503" spans="1:28" ht="14.4" x14ac:dyDescent="0.55000000000000004">
      <c r="A1503" t="str">
        <f>VLOOKUP(L1503,Customers!$A$2:$B$92,2,FALSE)</f>
        <v>LILA-Supermercado</v>
      </c>
      <c r="B1503" t="str">
        <f>VLOOKUP(L1503,Customers!$A$2:$C$92,3,TRUE)</f>
        <v>Carlos González</v>
      </c>
      <c r="C1503" t="str">
        <f t="shared" si="392"/>
        <v>Carlos</v>
      </c>
      <c r="D1503" s="8" t="str">
        <f t="shared" si="393"/>
        <v>González</v>
      </c>
      <c r="E1503" s="8" t="str">
        <f t="shared" si="394"/>
        <v>González, Carlos</v>
      </c>
      <c r="F1503" s="8" t="str">
        <f t="shared" si="395"/>
        <v>González, Carlos</v>
      </c>
      <c r="G1503" s="8" t="str">
        <f t="shared" si="396"/>
        <v>not an outlier</v>
      </c>
      <c r="H1503" s="8" t="str">
        <f t="shared" si="397"/>
        <v>Not</v>
      </c>
      <c r="I1503" s="8" t="str">
        <f t="shared" si="407"/>
        <v>no</v>
      </c>
      <c r="J1503" s="10" t="str">
        <f t="shared" si="398"/>
        <v>no</v>
      </c>
      <c r="K1503" s="10" t="str">
        <f t="shared" si="399"/>
        <v>no</v>
      </c>
      <c r="L1503" t="s">
        <v>355</v>
      </c>
      <c r="M1503">
        <v>10823</v>
      </c>
      <c r="N1503">
        <v>77</v>
      </c>
      <c r="O1503" t="s">
        <v>706</v>
      </c>
      <c r="P1503" t="str">
        <f t="shared" si="400"/>
        <v>LILAS_10823_Original Frankfurter grüne Soße</v>
      </c>
      <c r="Q1503" t="str">
        <f t="shared" si="401"/>
        <v>10823</v>
      </c>
      <c r="R1503" t="str">
        <f t="shared" si="402"/>
        <v>10823</v>
      </c>
      <c r="S1503" t="str">
        <f t="shared" si="403"/>
        <v>Original Frankfurter grüne Soße</v>
      </c>
      <c r="T1503">
        <v>13</v>
      </c>
      <c r="U1503">
        <v>15</v>
      </c>
      <c r="V1503">
        <v>0.1</v>
      </c>
      <c r="W1503">
        <f t="shared" si="404"/>
        <v>175.5</v>
      </c>
      <c r="X1503" t="str">
        <f t="shared" si="405"/>
        <v>yes</v>
      </c>
      <c r="Y1503" s="2">
        <v>35104</v>
      </c>
      <c r="Z1503" t="str">
        <f t="shared" si="391"/>
        <v>1st Q 1996</v>
      </c>
      <c r="AA1503" t="str">
        <f t="shared" si="406"/>
        <v>1st Q 1996</v>
      </c>
      <c r="AB1503" t="str" cm="1">
        <f t="array" ref="AB1503">_xlfn.IFS(Y1503&lt;DATE(1996,1,1),"",Y1503&lt;DATE(1996,4,1),"Q1",Y1503&lt;DATE(1996,7,1),"Q2",Y1503&gt;=DATE(1996,7,1),"")</f>
        <v>Q1</v>
      </c>
    </row>
    <row r="1504" spans="1:28" ht="14.4" x14ac:dyDescent="0.55000000000000004">
      <c r="A1504" t="str">
        <f>VLOOKUP(L1504,Customers!$A$2:$B$92,2,FALSE)</f>
        <v>Folk och fä HB</v>
      </c>
      <c r="B1504" t="str">
        <f>VLOOKUP(L1504,Customers!$A$2:$C$92,3,TRUE)</f>
        <v>Maria Larsson</v>
      </c>
      <c r="C1504" t="str">
        <f t="shared" si="392"/>
        <v>Maria</v>
      </c>
      <c r="D1504" s="8" t="str">
        <f t="shared" si="393"/>
        <v>Larsson</v>
      </c>
      <c r="E1504" s="8" t="str">
        <f t="shared" si="394"/>
        <v>Larsson, Maria</v>
      </c>
      <c r="F1504" s="8" t="str">
        <f t="shared" si="395"/>
        <v>Larsson, Maria</v>
      </c>
      <c r="G1504" s="8" t="str">
        <f t="shared" si="396"/>
        <v>not an outlier</v>
      </c>
      <c r="H1504" s="8" t="str">
        <f t="shared" si="397"/>
        <v>Not</v>
      </c>
      <c r="I1504" s="8" t="str">
        <f t="shared" si="407"/>
        <v>no</v>
      </c>
      <c r="J1504" s="10" t="str">
        <f t="shared" si="398"/>
        <v>no</v>
      </c>
      <c r="K1504" s="10" t="str">
        <f t="shared" si="399"/>
        <v>no</v>
      </c>
      <c r="L1504" t="s">
        <v>191</v>
      </c>
      <c r="M1504">
        <v>10824</v>
      </c>
      <c r="N1504">
        <v>41</v>
      </c>
      <c r="O1504" t="s">
        <v>688</v>
      </c>
      <c r="P1504" t="str">
        <f t="shared" si="400"/>
        <v>FOLKO_10824_Jack's New England Clam Chowder</v>
      </c>
      <c r="Q1504" t="str">
        <f t="shared" si="401"/>
        <v>10824</v>
      </c>
      <c r="R1504" t="str">
        <f t="shared" si="402"/>
        <v>10824</v>
      </c>
      <c r="S1504" t="str">
        <f t="shared" si="403"/>
        <v>Jack's New England Clam Chowder</v>
      </c>
      <c r="T1504">
        <v>9.65</v>
      </c>
      <c r="U1504">
        <v>12</v>
      </c>
      <c r="V1504">
        <v>0</v>
      </c>
      <c r="W1504">
        <f t="shared" si="404"/>
        <v>115.80000000000001</v>
      </c>
      <c r="X1504" t="str">
        <f t="shared" si="405"/>
        <v>yes</v>
      </c>
      <c r="Y1504" s="2">
        <v>35104</v>
      </c>
      <c r="Z1504" t="str">
        <f t="shared" si="391"/>
        <v>1st Q 1996</v>
      </c>
      <c r="AA1504" t="str">
        <f t="shared" si="406"/>
        <v>1st Q 1996</v>
      </c>
      <c r="AB1504" t="str" cm="1">
        <f t="array" ref="AB1504">_xlfn.IFS(Y1504&lt;DATE(1996,1,1),"",Y1504&lt;DATE(1996,4,1),"Q1",Y1504&lt;DATE(1996,7,1),"Q2",Y1504&gt;=DATE(1996,7,1),"")</f>
        <v>Q1</v>
      </c>
    </row>
    <row r="1505" spans="1:28" ht="14.4" x14ac:dyDescent="0.55000000000000004">
      <c r="A1505" t="str">
        <f>VLOOKUP(L1505,Customers!$A$2:$B$92,2,FALSE)</f>
        <v>Folk och fä HB</v>
      </c>
      <c r="B1505" t="str">
        <f>VLOOKUP(L1505,Customers!$A$2:$C$92,3,TRUE)</f>
        <v>Maria Larsson</v>
      </c>
      <c r="C1505" t="str">
        <f t="shared" si="392"/>
        <v>Maria</v>
      </c>
      <c r="D1505" s="8" t="str">
        <f t="shared" si="393"/>
        <v>Larsson</v>
      </c>
      <c r="E1505" s="8" t="str">
        <f t="shared" si="394"/>
        <v>Larsson, Maria</v>
      </c>
      <c r="F1505" s="8" t="str">
        <f t="shared" si="395"/>
        <v>Larsson, Maria</v>
      </c>
      <c r="G1505" s="8" t="str">
        <f t="shared" si="396"/>
        <v>not an outlier</v>
      </c>
      <c r="H1505" s="8" t="str">
        <f t="shared" si="397"/>
        <v>Not</v>
      </c>
      <c r="I1505" s="8" t="str">
        <f t="shared" si="407"/>
        <v>no</v>
      </c>
      <c r="J1505" s="10" t="str">
        <f t="shared" si="398"/>
        <v>no</v>
      </c>
      <c r="K1505" s="10" t="str">
        <f t="shared" si="399"/>
        <v>no</v>
      </c>
      <c r="L1505" t="s">
        <v>191</v>
      </c>
      <c r="M1505">
        <v>10824</v>
      </c>
      <c r="N1505">
        <v>70</v>
      </c>
      <c r="O1505" t="s">
        <v>713</v>
      </c>
      <c r="P1505" t="str">
        <f t="shared" si="400"/>
        <v>FOLKO_10824_Outback Lager</v>
      </c>
      <c r="Q1505" t="str">
        <f t="shared" si="401"/>
        <v>10824</v>
      </c>
      <c r="R1505" t="str">
        <f t="shared" si="402"/>
        <v>10824</v>
      </c>
      <c r="S1505" t="str">
        <f t="shared" si="403"/>
        <v>Outback Lager</v>
      </c>
      <c r="T1505">
        <v>15</v>
      </c>
      <c r="U1505">
        <v>9</v>
      </c>
      <c r="V1505">
        <v>0</v>
      </c>
      <c r="W1505">
        <f t="shared" si="404"/>
        <v>135</v>
      </c>
      <c r="X1505" t="str">
        <f t="shared" si="405"/>
        <v>yes</v>
      </c>
      <c r="Y1505" s="2">
        <v>35104</v>
      </c>
      <c r="Z1505" t="str">
        <f t="shared" si="391"/>
        <v>1st Q 1996</v>
      </c>
      <c r="AA1505" t="str">
        <f t="shared" si="406"/>
        <v>1st Q 1996</v>
      </c>
      <c r="AB1505" t="str" cm="1">
        <f t="array" ref="AB1505">_xlfn.IFS(Y1505&lt;DATE(1996,1,1),"",Y1505&lt;DATE(1996,4,1),"Q1",Y1505&lt;DATE(1996,7,1),"Q2",Y1505&gt;=DATE(1996,7,1),"")</f>
        <v>Q1</v>
      </c>
    </row>
    <row r="1506" spans="1:28" ht="14.4" x14ac:dyDescent="0.55000000000000004">
      <c r="A1506" t="str">
        <f>VLOOKUP(L1506,Customers!$A$2:$B$92,2,FALSE)</f>
        <v>Drachenblut Delikatessen</v>
      </c>
      <c r="B1506" t="str">
        <f>VLOOKUP(L1506,Customers!$A$2:$C$92,3,TRUE)</f>
        <v>Sven Ottlieb</v>
      </c>
      <c r="C1506" t="str">
        <f t="shared" si="392"/>
        <v>Sven</v>
      </c>
      <c r="D1506" s="8" t="str">
        <f t="shared" si="393"/>
        <v>Ottlieb</v>
      </c>
      <c r="E1506" s="8" t="str">
        <f t="shared" si="394"/>
        <v>Ottlieb, Sven</v>
      </c>
      <c r="F1506" s="8" t="str">
        <f t="shared" si="395"/>
        <v>Ottlieb, Sven</v>
      </c>
      <c r="G1506" s="8" t="str">
        <f t="shared" si="396"/>
        <v>not an outlier</v>
      </c>
      <c r="H1506" s="8" t="str">
        <f t="shared" si="397"/>
        <v>Not</v>
      </c>
      <c r="I1506" s="8" t="str">
        <f t="shared" si="407"/>
        <v>no</v>
      </c>
      <c r="J1506" s="10" t="str">
        <f t="shared" si="398"/>
        <v>no</v>
      </c>
      <c r="K1506" s="10" t="str">
        <f t="shared" si="399"/>
        <v>no</v>
      </c>
      <c r="L1506" t="s">
        <v>140</v>
      </c>
      <c r="M1506">
        <v>10825</v>
      </c>
      <c r="N1506">
        <v>26</v>
      </c>
      <c r="O1506" t="s">
        <v>751</v>
      </c>
      <c r="P1506" t="str">
        <f t="shared" si="400"/>
        <v>DRACD_10825_Gumbär Gummibärchen</v>
      </c>
      <c r="Q1506" t="str">
        <f t="shared" si="401"/>
        <v>10825</v>
      </c>
      <c r="R1506" t="str">
        <f t="shared" si="402"/>
        <v>10825</v>
      </c>
      <c r="S1506" t="str">
        <f t="shared" si="403"/>
        <v>Gumbär Gummibärchen</v>
      </c>
      <c r="T1506">
        <v>31.23</v>
      </c>
      <c r="U1506">
        <v>12</v>
      </c>
      <c r="V1506">
        <v>0</v>
      </c>
      <c r="W1506">
        <f t="shared" si="404"/>
        <v>374.76</v>
      </c>
      <c r="X1506" t="str">
        <f t="shared" si="405"/>
        <v>yes</v>
      </c>
      <c r="Y1506" s="2">
        <v>35104</v>
      </c>
      <c r="Z1506" t="str">
        <f t="shared" si="391"/>
        <v>1st Q 1996</v>
      </c>
      <c r="AA1506" t="str">
        <f t="shared" si="406"/>
        <v>1st Q 1996</v>
      </c>
      <c r="AB1506" t="str" cm="1">
        <f t="array" ref="AB1506">_xlfn.IFS(Y1506&lt;DATE(1996,1,1),"",Y1506&lt;DATE(1996,4,1),"Q1",Y1506&lt;DATE(1996,7,1),"Q2",Y1506&gt;=DATE(1996,7,1),"")</f>
        <v>Q1</v>
      </c>
    </row>
    <row r="1507" spans="1:28" ht="14.4" x14ac:dyDescent="0.55000000000000004">
      <c r="A1507" t="str">
        <f>VLOOKUP(L1507,Customers!$A$2:$B$92,2,FALSE)</f>
        <v>Drachenblut Delikatessen</v>
      </c>
      <c r="B1507" t="str">
        <f>VLOOKUP(L1507,Customers!$A$2:$C$92,3,TRUE)</f>
        <v>Sven Ottlieb</v>
      </c>
      <c r="C1507" t="str">
        <f t="shared" si="392"/>
        <v>Sven</v>
      </c>
      <c r="D1507" s="8" t="str">
        <f t="shared" si="393"/>
        <v>Ottlieb</v>
      </c>
      <c r="E1507" s="8" t="str">
        <f t="shared" si="394"/>
        <v>Ottlieb, Sven</v>
      </c>
      <c r="F1507" s="8" t="str">
        <f t="shared" si="395"/>
        <v>Ottlieb, Sven</v>
      </c>
      <c r="G1507" s="8" t="str">
        <f t="shared" si="396"/>
        <v>not an outlier</v>
      </c>
      <c r="H1507" s="8" t="str">
        <f t="shared" si="397"/>
        <v>Not</v>
      </c>
      <c r="I1507" s="8" t="str">
        <f t="shared" si="407"/>
        <v>no</v>
      </c>
      <c r="J1507" s="10" t="str">
        <f t="shared" si="398"/>
        <v>no</v>
      </c>
      <c r="K1507" s="10" t="str">
        <f t="shared" si="399"/>
        <v>no</v>
      </c>
      <c r="L1507" t="s">
        <v>140</v>
      </c>
      <c r="M1507">
        <v>10825</v>
      </c>
      <c r="N1507">
        <v>53</v>
      </c>
      <c r="O1507" t="s">
        <v>705</v>
      </c>
      <c r="P1507" t="str">
        <f t="shared" si="400"/>
        <v>DRACD_10825_Perth Pasties</v>
      </c>
      <c r="Q1507" t="str">
        <f t="shared" si="401"/>
        <v>10825</v>
      </c>
      <c r="R1507" t="str">
        <f t="shared" si="402"/>
        <v>10825</v>
      </c>
      <c r="S1507" t="str">
        <f t="shared" si="403"/>
        <v>Perth Pasties</v>
      </c>
      <c r="T1507">
        <v>32.799999999999997</v>
      </c>
      <c r="U1507">
        <v>20</v>
      </c>
      <c r="V1507">
        <v>0</v>
      </c>
      <c r="W1507">
        <f t="shared" si="404"/>
        <v>656</v>
      </c>
      <c r="X1507" t="str">
        <f t="shared" si="405"/>
        <v>yes</v>
      </c>
      <c r="Y1507" s="2">
        <v>35104</v>
      </c>
      <c r="Z1507" t="str">
        <f t="shared" si="391"/>
        <v>1st Q 1996</v>
      </c>
      <c r="AA1507" t="str">
        <f t="shared" si="406"/>
        <v>1st Q 1996</v>
      </c>
      <c r="AB1507" t="str" cm="1">
        <f t="array" ref="AB1507">_xlfn.IFS(Y1507&lt;DATE(1996,1,1),"",Y1507&lt;DATE(1996,4,1),"Q1",Y1507&lt;DATE(1996,7,1),"Q2",Y1507&gt;=DATE(1996,7,1),"")</f>
        <v>Q1</v>
      </c>
    </row>
    <row r="1508" spans="1:28" ht="14.4" x14ac:dyDescent="0.55000000000000004">
      <c r="A1508" t="str">
        <f>VLOOKUP(L1508,Customers!$A$2:$B$92,2,FALSE)</f>
        <v>Blondel père et fils</v>
      </c>
      <c r="B1508" t="str">
        <f>VLOOKUP(L1508,Customers!$A$2:$C$92,3,TRUE)</f>
        <v>Frédérique Citeaux</v>
      </c>
      <c r="C1508" t="str">
        <f t="shared" si="392"/>
        <v>Frédérique</v>
      </c>
      <c r="D1508" s="8" t="str">
        <f t="shared" si="393"/>
        <v>Citeaux</v>
      </c>
      <c r="E1508" s="8" t="str">
        <f t="shared" si="394"/>
        <v>Citeaux, Frédérique</v>
      </c>
      <c r="F1508" s="8" t="str">
        <f t="shared" si="395"/>
        <v>Citeaux, Frédérique</v>
      </c>
      <c r="G1508" s="8" t="str">
        <f t="shared" si="396"/>
        <v>not an outlier</v>
      </c>
      <c r="H1508" s="8" t="str">
        <f t="shared" si="397"/>
        <v>Not</v>
      </c>
      <c r="I1508" s="8" t="str">
        <f t="shared" si="407"/>
        <v>no</v>
      </c>
      <c r="J1508" s="10" t="str">
        <f t="shared" si="398"/>
        <v>no</v>
      </c>
      <c r="K1508" s="10" t="str">
        <f t="shared" si="399"/>
        <v>no</v>
      </c>
      <c r="L1508" t="s">
        <v>60</v>
      </c>
      <c r="M1508">
        <v>10826</v>
      </c>
      <c r="N1508">
        <v>31</v>
      </c>
      <c r="O1508" t="s">
        <v>695</v>
      </c>
      <c r="P1508" t="str">
        <f t="shared" si="400"/>
        <v>BLONP_10826_Gorgonzola Telino</v>
      </c>
      <c r="Q1508" t="str">
        <f t="shared" si="401"/>
        <v>10826</v>
      </c>
      <c r="R1508" t="str">
        <f t="shared" si="402"/>
        <v>10826</v>
      </c>
      <c r="S1508" t="str">
        <f t="shared" si="403"/>
        <v>Gorgonzola Telino</v>
      </c>
      <c r="T1508">
        <v>12.5</v>
      </c>
      <c r="U1508">
        <v>35</v>
      </c>
      <c r="V1508">
        <v>0</v>
      </c>
      <c r="W1508">
        <f t="shared" si="404"/>
        <v>437.5</v>
      </c>
      <c r="X1508" t="str">
        <f t="shared" si="405"/>
        <v>yes</v>
      </c>
      <c r="Y1508" s="2">
        <v>35107</v>
      </c>
      <c r="Z1508" t="str">
        <f t="shared" si="391"/>
        <v>1st Q 1996</v>
      </c>
      <c r="AA1508" t="str">
        <f t="shared" si="406"/>
        <v>1st Q 1996</v>
      </c>
      <c r="AB1508" t="str" cm="1">
        <f t="array" ref="AB1508">_xlfn.IFS(Y1508&lt;DATE(1996,1,1),"",Y1508&lt;DATE(1996,4,1),"Q1",Y1508&lt;DATE(1996,7,1),"Q2",Y1508&gt;=DATE(1996,7,1),"")</f>
        <v>Q1</v>
      </c>
    </row>
    <row r="1509" spans="1:28" ht="14.4" x14ac:dyDescent="0.55000000000000004">
      <c r="A1509" t="str">
        <f>VLOOKUP(L1509,Customers!$A$2:$B$92,2,FALSE)</f>
        <v>Blondel père et fils</v>
      </c>
      <c r="B1509" t="str">
        <f>VLOOKUP(L1509,Customers!$A$2:$C$92,3,TRUE)</f>
        <v>Frédérique Citeaux</v>
      </c>
      <c r="C1509" t="str">
        <f t="shared" si="392"/>
        <v>Frédérique</v>
      </c>
      <c r="D1509" s="8" t="str">
        <f t="shared" si="393"/>
        <v>Citeaux</v>
      </c>
      <c r="E1509" s="8" t="str">
        <f t="shared" si="394"/>
        <v>Citeaux, Frédérique</v>
      </c>
      <c r="F1509" s="8" t="str">
        <f t="shared" si="395"/>
        <v>Citeaux, Frédérique</v>
      </c>
      <c r="G1509" s="8" t="str">
        <f t="shared" si="396"/>
        <v>not an outlier</v>
      </c>
      <c r="H1509" s="8" t="str">
        <f t="shared" si="397"/>
        <v>Not</v>
      </c>
      <c r="I1509" s="8" t="str">
        <f t="shared" si="407"/>
        <v>no</v>
      </c>
      <c r="J1509" s="10" t="str">
        <f t="shared" si="398"/>
        <v>no</v>
      </c>
      <c r="K1509" s="10" t="str">
        <f t="shared" si="399"/>
        <v>no</v>
      </c>
      <c r="L1509" t="s">
        <v>60</v>
      </c>
      <c r="M1509">
        <v>10826</v>
      </c>
      <c r="N1509">
        <v>57</v>
      </c>
      <c r="O1509" t="s">
        <v>691</v>
      </c>
      <c r="P1509" t="str">
        <f t="shared" si="400"/>
        <v>BLONP_10826_Ravioli Angelo</v>
      </c>
      <c r="Q1509" t="str">
        <f t="shared" si="401"/>
        <v>10826</v>
      </c>
      <c r="R1509" t="str">
        <f t="shared" si="402"/>
        <v>10826</v>
      </c>
      <c r="S1509" t="str">
        <f t="shared" si="403"/>
        <v>Ravioli Angelo</v>
      </c>
      <c r="T1509">
        <v>19.5</v>
      </c>
      <c r="U1509">
        <v>15</v>
      </c>
      <c r="V1509">
        <v>0</v>
      </c>
      <c r="W1509">
        <f t="shared" si="404"/>
        <v>292.5</v>
      </c>
      <c r="X1509" t="str">
        <f t="shared" si="405"/>
        <v>yes</v>
      </c>
      <c r="Y1509" s="2">
        <v>35107</v>
      </c>
      <c r="Z1509" t="str">
        <f t="shared" si="391"/>
        <v>1st Q 1996</v>
      </c>
      <c r="AA1509" t="str">
        <f t="shared" si="406"/>
        <v>1st Q 1996</v>
      </c>
      <c r="AB1509" t="str" cm="1">
        <f t="array" ref="AB1509">_xlfn.IFS(Y1509&lt;DATE(1996,1,1),"",Y1509&lt;DATE(1996,4,1),"Q1",Y1509&lt;DATE(1996,7,1),"Q2",Y1509&gt;=DATE(1996,7,1),"")</f>
        <v>Q1</v>
      </c>
    </row>
    <row r="1510" spans="1:28" ht="14.4" x14ac:dyDescent="0.55000000000000004">
      <c r="A1510" t="str">
        <f>VLOOKUP(L1510,Customers!$A$2:$B$92,2,FALSE)</f>
        <v>Bon app'</v>
      </c>
      <c r="B1510" t="str">
        <f>VLOOKUP(L1510,Customers!$A$2:$C$92,3,TRUE)</f>
        <v>Laurence Lebihan</v>
      </c>
      <c r="C1510" t="str">
        <f t="shared" si="392"/>
        <v>Laurence</v>
      </c>
      <c r="D1510" s="8" t="str">
        <f t="shared" si="393"/>
        <v>Lebihan</v>
      </c>
      <c r="E1510" s="8" t="str">
        <f t="shared" si="394"/>
        <v>Lebihan, Laurence</v>
      </c>
      <c r="F1510" s="8" t="str">
        <f t="shared" si="395"/>
        <v>Lebihan, Laurence</v>
      </c>
      <c r="G1510" s="8" t="str">
        <f t="shared" si="396"/>
        <v>not an outlier</v>
      </c>
      <c r="H1510" s="8" t="str">
        <f t="shared" si="397"/>
        <v>Not</v>
      </c>
      <c r="I1510" s="8" t="str">
        <f t="shared" si="407"/>
        <v>no</v>
      </c>
      <c r="J1510" s="10" t="str">
        <f t="shared" si="398"/>
        <v>no</v>
      </c>
      <c r="K1510" s="10" t="str">
        <f t="shared" si="399"/>
        <v>no</v>
      </c>
      <c r="L1510" t="s">
        <v>77</v>
      </c>
      <c r="M1510">
        <v>10827</v>
      </c>
      <c r="N1510">
        <v>10</v>
      </c>
      <c r="O1510" t="s">
        <v>724</v>
      </c>
      <c r="P1510" t="str">
        <f t="shared" si="400"/>
        <v>BONAP_10827_Ikura</v>
      </c>
      <c r="Q1510" t="str">
        <f t="shared" si="401"/>
        <v>10827</v>
      </c>
      <c r="R1510" t="str">
        <f t="shared" si="402"/>
        <v>10827</v>
      </c>
      <c r="S1510" t="str">
        <f t="shared" si="403"/>
        <v>Ikura</v>
      </c>
      <c r="T1510">
        <v>31</v>
      </c>
      <c r="U1510">
        <v>15</v>
      </c>
      <c r="V1510">
        <v>0</v>
      </c>
      <c r="W1510">
        <f t="shared" si="404"/>
        <v>465</v>
      </c>
      <c r="X1510" t="str">
        <f t="shared" si="405"/>
        <v>yes</v>
      </c>
      <c r="Y1510" s="2">
        <v>35107</v>
      </c>
      <c r="Z1510" t="str">
        <f t="shared" si="391"/>
        <v>1st Q 1996</v>
      </c>
      <c r="AA1510" t="str">
        <f t="shared" si="406"/>
        <v>1st Q 1996</v>
      </c>
      <c r="AB1510" t="str" cm="1">
        <f t="array" ref="AB1510">_xlfn.IFS(Y1510&lt;DATE(1996,1,1),"",Y1510&lt;DATE(1996,4,1),"Q1",Y1510&lt;DATE(1996,7,1),"Q2",Y1510&gt;=DATE(1996,7,1),"")</f>
        <v>Q1</v>
      </c>
    </row>
    <row r="1511" spans="1:28" ht="14.4" x14ac:dyDescent="0.55000000000000004">
      <c r="A1511" t="str">
        <f>VLOOKUP(L1511,Customers!$A$2:$B$92,2,FALSE)</f>
        <v>Bon app'</v>
      </c>
      <c r="B1511" t="str">
        <f>VLOOKUP(L1511,Customers!$A$2:$C$92,3,TRUE)</f>
        <v>Laurence Lebihan</v>
      </c>
      <c r="C1511" t="str">
        <f t="shared" si="392"/>
        <v>Laurence</v>
      </c>
      <c r="D1511" s="8" t="str">
        <f t="shared" si="393"/>
        <v>Lebihan</v>
      </c>
      <c r="E1511" s="8" t="str">
        <f t="shared" si="394"/>
        <v>Lebihan, Laurence</v>
      </c>
      <c r="F1511" s="8" t="str">
        <f t="shared" si="395"/>
        <v>Lebihan, Laurence</v>
      </c>
      <c r="G1511" s="8" t="str">
        <f t="shared" si="396"/>
        <v>not an outlier</v>
      </c>
      <c r="H1511" s="8" t="str">
        <f t="shared" si="397"/>
        <v>Not</v>
      </c>
      <c r="I1511" s="8" t="str">
        <f t="shared" si="407"/>
        <v>no</v>
      </c>
      <c r="J1511" s="10" t="str">
        <f t="shared" si="398"/>
        <v>no</v>
      </c>
      <c r="K1511" s="10" t="str">
        <f t="shared" si="399"/>
        <v>no</v>
      </c>
      <c r="L1511" t="s">
        <v>77</v>
      </c>
      <c r="M1511">
        <v>10827</v>
      </c>
      <c r="N1511">
        <v>39</v>
      </c>
      <c r="O1511" t="s">
        <v>696</v>
      </c>
      <c r="P1511" t="str">
        <f t="shared" si="400"/>
        <v>BONAP_10827_Chartreuse verte</v>
      </c>
      <c r="Q1511" t="str">
        <f t="shared" si="401"/>
        <v>10827</v>
      </c>
      <c r="R1511" t="str">
        <f t="shared" si="402"/>
        <v>10827</v>
      </c>
      <c r="S1511" t="str">
        <f t="shared" si="403"/>
        <v>Chartreuse verte</v>
      </c>
      <c r="T1511">
        <v>18</v>
      </c>
      <c r="U1511">
        <v>21</v>
      </c>
      <c r="V1511">
        <v>0</v>
      </c>
      <c r="W1511">
        <f t="shared" si="404"/>
        <v>378</v>
      </c>
      <c r="X1511" t="str">
        <f t="shared" si="405"/>
        <v>yes</v>
      </c>
      <c r="Y1511" s="2">
        <v>35107</v>
      </c>
      <c r="Z1511" t="str">
        <f t="shared" si="391"/>
        <v>1st Q 1996</v>
      </c>
      <c r="AA1511" t="str">
        <f t="shared" si="406"/>
        <v>1st Q 1996</v>
      </c>
      <c r="AB1511" t="str" cm="1">
        <f t="array" ref="AB1511">_xlfn.IFS(Y1511&lt;DATE(1996,1,1),"",Y1511&lt;DATE(1996,4,1),"Q1",Y1511&lt;DATE(1996,7,1),"Q2",Y1511&gt;=DATE(1996,7,1),"")</f>
        <v>Q1</v>
      </c>
    </row>
    <row r="1512" spans="1:28" ht="14.4" x14ac:dyDescent="0.55000000000000004">
      <c r="A1512" t="str">
        <f>VLOOKUP(L1512,Customers!$A$2:$B$92,2,FALSE)</f>
        <v>Rancho grande</v>
      </c>
      <c r="B1512" t="str">
        <f>VLOOKUP(L1512,Customers!$A$2:$C$92,3,TRUE)</f>
        <v>Sergio Gutiérrez</v>
      </c>
      <c r="C1512" t="str">
        <f t="shared" si="392"/>
        <v>Sergio</v>
      </c>
      <c r="D1512" s="8" t="str">
        <f t="shared" si="393"/>
        <v>Gutiérrez</v>
      </c>
      <c r="E1512" s="8" t="str">
        <f t="shared" si="394"/>
        <v>Gutiérrez, Sergio</v>
      </c>
      <c r="F1512" s="8" t="str">
        <f t="shared" si="395"/>
        <v>Gutiérrez, Sergio</v>
      </c>
      <c r="G1512" s="8" t="str">
        <f t="shared" si="396"/>
        <v>not an outlier</v>
      </c>
      <c r="H1512" s="8" t="str">
        <f t="shared" si="397"/>
        <v>Not</v>
      </c>
      <c r="I1512" s="8" t="str">
        <f t="shared" si="407"/>
        <v>no</v>
      </c>
      <c r="J1512" s="10" t="str">
        <f t="shared" si="398"/>
        <v>no</v>
      </c>
      <c r="K1512" s="10" t="str">
        <f t="shared" si="399"/>
        <v>no</v>
      </c>
      <c r="L1512" t="s">
        <v>481</v>
      </c>
      <c r="M1512">
        <v>10828</v>
      </c>
      <c r="N1512">
        <v>20</v>
      </c>
      <c r="O1512" t="s">
        <v>692</v>
      </c>
      <c r="P1512" t="str">
        <f t="shared" si="400"/>
        <v>RANCH_10828_Sir Rodney's Marmalade</v>
      </c>
      <c r="Q1512" t="str">
        <f t="shared" si="401"/>
        <v>10828</v>
      </c>
      <c r="R1512" t="str">
        <f t="shared" si="402"/>
        <v>10828</v>
      </c>
      <c r="S1512" t="str">
        <f t="shared" si="403"/>
        <v>Sir Rodney's Marmalade</v>
      </c>
      <c r="T1512">
        <v>81</v>
      </c>
      <c r="U1512">
        <v>5</v>
      </c>
      <c r="V1512">
        <v>0</v>
      </c>
      <c r="W1512">
        <f t="shared" si="404"/>
        <v>405</v>
      </c>
      <c r="X1512" t="str">
        <f t="shared" si="405"/>
        <v>yes</v>
      </c>
      <c r="Y1512" s="2">
        <v>35108</v>
      </c>
      <c r="Z1512" t="str">
        <f t="shared" si="391"/>
        <v>1st Q 1996</v>
      </c>
      <c r="AA1512" t="str">
        <f t="shared" si="406"/>
        <v>1st Q 1996</v>
      </c>
      <c r="AB1512" t="str" cm="1">
        <f t="array" ref="AB1512">_xlfn.IFS(Y1512&lt;DATE(1996,1,1),"",Y1512&lt;DATE(1996,4,1),"Q1",Y1512&lt;DATE(1996,7,1),"Q2",Y1512&gt;=DATE(1996,7,1),"")</f>
        <v>Q1</v>
      </c>
    </row>
    <row r="1513" spans="1:28" ht="14.4" x14ac:dyDescent="0.55000000000000004">
      <c r="A1513" t="str">
        <f>VLOOKUP(L1513,Customers!$A$2:$B$92,2,FALSE)</f>
        <v>Rancho grande</v>
      </c>
      <c r="B1513" t="str">
        <f>VLOOKUP(L1513,Customers!$A$2:$C$92,3,TRUE)</f>
        <v>Sergio Gutiérrez</v>
      </c>
      <c r="C1513" t="str">
        <f t="shared" si="392"/>
        <v>Sergio</v>
      </c>
      <c r="D1513" s="8" t="str">
        <f t="shared" si="393"/>
        <v>Gutiérrez</v>
      </c>
      <c r="E1513" s="8" t="str">
        <f t="shared" si="394"/>
        <v>Gutiérrez, Sergio</v>
      </c>
      <c r="F1513" s="8" t="str">
        <f t="shared" si="395"/>
        <v>Gutiérrez, Sergio</v>
      </c>
      <c r="G1513" s="8" t="str">
        <f t="shared" si="396"/>
        <v>not an outlier</v>
      </c>
      <c r="H1513" s="8" t="str">
        <f t="shared" si="397"/>
        <v>Not</v>
      </c>
      <c r="I1513" s="8" t="str">
        <f t="shared" si="407"/>
        <v>no</v>
      </c>
      <c r="J1513" s="10" t="str">
        <f t="shared" si="398"/>
        <v>no</v>
      </c>
      <c r="K1513" s="10" t="str">
        <f t="shared" si="399"/>
        <v>no</v>
      </c>
      <c r="L1513" t="s">
        <v>481</v>
      </c>
      <c r="M1513">
        <v>10828</v>
      </c>
      <c r="N1513">
        <v>38</v>
      </c>
      <c r="O1513" t="s">
        <v>750</v>
      </c>
      <c r="P1513" t="str">
        <f t="shared" si="400"/>
        <v>RANCH_10828_Côte de Blaye</v>
      </c>
      <c r="Q1513" t="str">
        <f t="shared" si="401"/>
        <v>10828</v>
      </c>
      <c r="R1513" t="str">
        <f t="shared" si="402"/>
        <v>10828</v>
      </c>
      <c r="S1513" t="str">
        <f t="shared" si="403"/>
        <v>Côte de Blaye</v>
      </c>
      <c r="T1513">
        <v>263.5</v>
      </c>
      <c r="U1513">
        <v>2</v>
      </c>
      <c r="V1513">
        <v>0</v>
      </c>
      <c r="W1513">
        <f t="shared" si="404"/>
        <v>527</v>
      </c>
      <c r="X1513" t="str">
        <f t="shared" si="405"/>
        <v>yes</v>
      </c>
      <c r="Y1513" s="2">
        <v>35108</v>
      </c>
      <c r="Z1513" t="str">
        <f t="shared" si="391"/>
        <v>1st Q 1996</v>
      </c>
      <c r="AA1513" t="str">
        <f t="shared" si="406"/>
        <v>1st Q 1996</v>
      </c>
      <c r="AB1513" t="str" cm="1">
        <f t="array" ref="AB1513">_xlfn.IFS(Y1513&lt;DATE(1996,1,1),"",Y1513&lt;DATE(1996,4,1),"Q1",Y1513&lt;DATE(1996,7,1),"Q2",Y1513&gt;=DATE(1996,7,1),"")</f>
        <v>Q1</v>
      </c>
    </row>
    <row r="1514" spans="1:28" ht="14.4" x14ac:dyDescent="0.55000000000000004">
      <c r="A1514" t="str">
        <f>VLOOKUP(L1514,Customers!$A$2:$B$92,2,FALSE)</f>
        <v>Island Trading</v>
      </c>
      <c r="B1514" t="str">
        <f>VLOOKUP(L1514,Customers!$A$2:$C$92,3,TRUE)</f>
        <v>Helen Bennett</v>
      </c>
      <c r="C1514" t="str">
        <f t="shared" si="392"/>
        <v>Helen</v>
      </c>
      <c r="D1514" s="8" t="str">
        <f t="shared" si="393"/>
        <v>Bennett</v>
      </c>
      <c r="E1514" s="8" t="str">
        <f t="shared" si="394"/>
        <v>Bennett, Helen</v>
      </c>
      <c r="F1514" s="8" t="str">
        <f t="shared" si="395"/>
        <v>Bennett, Helen</v>
      </c>
      <c r="G1514" s="8" t="str">
        <f t="shared" si="396"/>
        <v>not an outlier</v>
      </c>
      <c r="H1514" s="8" t="str">
        <f t="shared" si="397"/>
        <v>Not</v>
      </c>
      <c r="I1514" s="8" t="str">
        <f t="shared" si="407"/>
        <v>no</v>
      </c>
      <c r="J1514" s="10" t="str">
        <f t="shared" si="398"/>
        <v>no</v>
      </c>
      <c r="K1514" s="10" t="str">
        <f t="shared" si="399"/>
        <v>no</v>
      </c>
      <c r="L1514" t="s">
        <v>297</v>
      </c>
      <c r="M1514">
        <v>10829</v>
      </c>
      <c r="N1514">
        <v>2</v>
      </c>
      <c r="O1514" t="s">
        <v>701</v>
      </c>
      <c r="P1514" t="str">
        <f t="shared" si="400"/>
        <v>ISLAT_10829_Chang</v>
      </c>
      <c r="Q1514" t="str">
        <f t="shared" si="401"/>
        <v>10829</v>
      </c>
      <c r="R1514" t="str">
        <f t="shared" si="402"/>
        <v>10829</v>
      </c>
      <c r="S1514" t="str">
        <f t="shared" si="403"/>
        <v>Chang</v>
      </c>
      <c r="T1514">
        <v>19</v>
      </c>
      <c r="U1514">
        <v>10</v>
      </c>
      <c r="V1514">
        <v>0</v>
      </c>
      <c r="W1514">
        <f t="shared" si="404"/>
        <v>190</v>
      </c>
      <c r="X1514" t="str">
        <f t="shared" si="405"/>
        <v>yes</v>
      </c>
      <c r="Y1514" s="2">
        <v>35108</v>
      </c>
      <c r="Z1514" t="str">
        <f t="shared" si="391"/>
        <v>1st Q 1996</v>
      </c>
      <c r="AA1514" t="str">
        <f t="shared" si="406"/>
        <v>1st Q 1996</v>
      </c>
      <c r="AB1514" t="str" cm="1">
        <f t="array" ref="AB1514">_xlfn.IFS(Y1514&lt;DATE(1996,1,1),"",Y1514&lt;DATE(1996,4,1),"Q1",Y1514&lt;DATE(1996,7,1),"Q2",Y1514&gt;=DATE(1996,7,1),"")</f>
        <v>Q1</v>
      </c>
    </row>
    <row r="1515" spans="1:28" ht="14.4" x14ac:dyDescent="0.55000000000000004">
      <c r="A1515" t="str">
        <f>VLOOKUP(L1515,Customers!$A$2:$B$92,2,FALSE)</f>
        <v>Island Trading</v>
      </c>
      <c r="B1515" t="str">
        <f>VLOOKUP(L1515,Customers!$A$2:$C$92,3,TRUE)</f>
        <v>Helen Bennett</v>
      </c>
      <c r="C1515" t="str">
        <f t="shared" si="392"/>
        <v>Helen</v>
      </c>
      <c r="D1515" s="8" t="str">
        <f t="shared" si="393"/>
        <v>Bennett</v>
      </c>
      <c r="E1515" s="8" t="str">
        <f t="shared" si="394"/>
        <v>Bennett, Helen</v>
      </c>
      <c r="F1515" s="8" t="str">
        <f t="shared" si="395"/>
        <v>Bennett, Helen</v>
      </c>
      <c r="G1515" s="8" t="str">
        <f t="shared" si="396"/>
        <v>not an outlier</v>
      </c>
      <c r="H1515" s="8" t="str">
        <f t="shared" si="397"/>
        <v>Not</v>
      </c>
      <c r="I1515" s="8" t="str">
        <f t="shared" si="407"/>
        <v>no</v>
      </c>
      <c r="J1515" s="10" t="str">
        <f t="shared" si="398"/>
        <v>no</v>
      </c>
      <c r="K1515" s="10" t="str">
        <f t="shared" si="399"/>
        <v>no</v>
      </c>
      <c r="L1515" t="s">
        <v>297</v>
      </c>
      <c r="M1515">
        <v>10829</v>
      </c>
      <c r="N1515">
        <v>8</v>
      </c>
      <c r="O1515" t="s">
        <v>754</v>
      </c>
      <c r="P1515" t="str">
        <f t="shared" si="400"/>
        <v>ISLAT_10829_Northwoods Cranberry Sauce</v>
      </c>
      <c r="Q1515" t="str">
        <f t="shared" si="401"/>
        <v>10829</v>
      </c>
      <c r="R1515" t="str">
        <f t="shared" si="402"/>
        <v>10829</v>
      </c>
      <c r="S1515" t="str">
        <f t="shared" si="403"/>
        <v>Northwoods Cranberry Sauce</v>
      </c>
      <c r="T1515">
        <v>40</v>
      </c>
      <c r="U1515">
        <v>20</v>
      </c>
      <c r="V1515">
        <v>0</v>
      </c>
      <c r="W1515">
        <f t="shared" si="404"/>
        <v>800</v>
      </c>
      <c r="X1515" t="str">
        <f t="shared" si="405"/>
        <v>yes</v>
      </c>
      <c r="Y1515" s="2">
        <v>35108</v>
      </c>
      <c r="Z1515" t="str">
        <f t="shared" si="391"/>
        <v>1st Q 1996</v>
      </c>
      <c r="AA1515" t="str">
        <f t="shared" si="406"/>
        <v>1st Q 1996</v>
      </c>
      <c r="AB1515" t="str" cm="1">
        <f t="array" ref="AB1515">_xlfn.IFS(Y1515&lt;DATE(1996,1,1),"",Y1515&lt;DATE(1996,4,1),"Q1",Y1515&lt;DATE(1996,7,1),"Q2",Y1515&gt;=DATE(1996,7,1),"")</f>
        <v>Q1</v>
      </c>
    </row>
    <row r="1516" spans="1:28" ht="14.4" x14ac:dyDescent="0.55000000000000004">
      <c r="A1516" t="str">
        <f>VLOOKUP(L1516,Customers!$A$2:$B$92,2,FALSE)</f>
        <v>Island Trading</v>
      </c>
      <c r="B1516" t="str">
        <f>VLOOKUP(L1516,Customers!$A$2:$C$92,3,TRUE)</f>
        <v>Helen Bennett</v>
      </c>
      <c r="C1516" t="str">
        <f t="shared" si="392"/>
        <v>Helen</v>
      </c>
      <c r="D1516" s="8" t="str">
        <f t="shared" si="393"/>
        <v>Bennett</v>
      </c>
      <c r="E1516" s="8" t="str">
        <f t="shared" si="394"/>
        <v>Bennett, Helen</v>
      </c>
      <c r="F1516" s="8" t="str">
        <f t="shared" si="395"/>
        <v>Bennett, Helen</v>
      </c>
      <c r="G1516" s="8" t="str">
        <f t="shared" si="396"/>
        <v>not an outlier</v>
      </c>
      <c r="H1516" s="8" t="str">
        <f t="shared" si="397"/>
        <v>Not</v>
      </c>
      <c r="I1516" s="8" t="str">
        <f t="shared" si="407"/>
        <v>no</v>
      </c>
      <c r="J1516" s="10" t="str">
        <f t="shared" si="398"/>
        <v>no</v>
      </c>
      <c r="K1516" s="10" t="str">
        <f t="shared" si="399"/>
        <v>no</v>
      </c>
      <c r="L1516" t="s">
        <v>297</v>
      </c>
      <c r="M1516">
        <v>10829</v>
      </c>
      <c r="N1516">
        <v>13</v>
      </c>
      <c r="O1516" t="s">
        <v>726</v>
      </c>
      <c r="P1516" t="str">
        <f t="shared" si="400"/>
        <v>ISLAT_10829_Konbu</v>
      </c>
      <c r="Q1516" t="str">
        <f t="shared" si="401"/>
        <v>10829</v>
      </c>
      <c r="R1516" t="str">
        <f t="shared" si="402"/>
        <v>10829</v>
      </c>
      <c r="S1516" t="str">
        <f t="shared" si="403"/>
        <v>Konbu</v>
      </c>
      <c r="T1516">
        <v>6</v>
      </c>
      <c r="U1516">
        <v>10</v>
      </c>
      <c r="V1516">
        <v>0</v>
      </c>
      <c r="W1516">
        <f t="shared" si="404"/>
        <v>60</v>
      </c>
      <c r="X1516" t="str">
        <f t="shared" si="405"/>
        <v>yes</v>
      </c>
      <c r="Y1516" s="2">
        <v>35108</v>
      </c>
      <c r="Z1516" t="str">
        <f t="shared" si="391"/>
        <v>1st Q 1996</v>
      </c>
      <c r="AA1516" t="str">
        <f t="shared" si="406"/>
        <v>1st Q 1996</v>
      </c>
      <c r="AB1516" t="str" cm="1">
        <f t="array" ref="AB1516">_xlfn.IFS(Y1516&lt;DATE(1996,1,1),"",Y1516&lt;DATE(1996,4,1),"Q1",Y1516&lt;DATE(1996,7,1),"Q2",Y1516&gt;=DATE(1996,7,1),"")</f>
        <v>Q1</v>
      </c>
    </row>
    <row r="1517" spans="1:28" ht="14.4" x14ac:dyDescent="0.55000000000000004">
      <c r="A1517" t="str">
        <f>VLOOKUP(L1517,Customers!$A$2:$B$92,2,FALSE)</f>
        <v>Island Trading</v>
      </c>
      <c r="B1517" t="str">
        <f>VLOOKUP(L1517,Customers!$A$2:$C$92,3,TRUE)</f>
        <v>Helen Bennett</v>
      </c>
      <c r="C1517" t="str">
        <f t="shared" si="392"/>
        <v>Helen</v>
      </c>
      <c r="D1517" s="8" t="str">
        <f t="shared" si="393"/>
        <v>Bennett</v>
      </c>
      <c r="E1517" s="8" t="str">
        <f t="shared" si="394"/>
        <v>Bennett, Helen</v>
      </c>
      <c r="F1517" s="8" t="str">
        <f t="shared" si="395"/>
        <v>Bennett, Helen</v>
      </c>
      <c r="G1517" s="8" t="str">
        <f t="shared" si="396"/>
        <v>not an outlier</v>
      </c>
      <c r="H1517" s="8" t="str">
        <f t="shared" si="397"/>
        <v>Not</v>
      </c>
      <c r="I1517" s="8" t="str">
        <f t="shared" si="407"/>
        <v>no</v>
      </c>
      <c r="J1517" s="10" t="str">
        <f t="shared" si="398"/>
        <v>no</v>
      </c>
      <c r="K1517" s="10" t="str">
        <f t="shared" si="399"/>
        <v>no</v>
      </c>
      <c r="L1517" t="s">
        <v>297</v>
      </c>
      <c r="M1517">
        <v>10829</v>
      </c>
      <c r="N1517">
        <v>60</v>
      </c>
      <c r="O1517" t="s">
        <v>694</v>
      </c>
      <c r="P1517" t="str">
        <f t="shared" si="400"/>
        <v>ISLAT_10829_Camembert Pierrot</v>
      </c>
      <c r="Q1517" t="str">
        <f t="shared" si="401"/>
        <v>10829</v>
      </c>
      <c r="R1517" t="str">
        <f t="shared" si="402"/>
        <v>10829</v>
      </c>
      <c r="S1517" t="str">
        <f t="shared" si="403"/>
        <v>Camembert Pierrot</v>
      </c>
      <c r="T1517">
        <v>34</v>
      </c>
      <c r="U1517">
        <v>21</v>
      </c>
      <c r="V1517">
        <v>0</v>
      </c>
      <c r="W1517">
        <f t="shared" si="404"/>
        <v>714</v>
      </c>
      <c r="X1517" t="str">
        <f t="shared" si="405"/>
        <v>yes</v>
      </c>
      <c r="Y1517" s="2">
        <v>35108</v>
      </c>
      <c r="Z1517" t="str">
        <f t="shared" si="391"/>
        <v>1st Q 1996</v>
      </c>
      <c r="AA1517" t="str">
        <f t="shared" si="406"/>
        <v>1st Q 1996</v>
      </c>
      <c r="AB1517" t="str" cm="1">
        <f t="array" ref="AB1517">_xlfn.IFS(Y1517&lt;DATE(1996,1,1),"",Y1517&lt;DATE(1996,4,1),"Q1",Y1517&lt;DATE(1996,7,1),"Q2",Y1517&gt;=DATE(1996,7,1),"")</f>
        <v>Q1</v>
      </c>
    </row>
    <row r="1518" spans="1:28" ht="14.4" x14ac:dyDescent="0.55000000000000004">
      <c r="A1518" t="str">
        <f>VLOOKUP(L1518,Customers!$A$2:$B$92,2,FALSE)</f>
        <v>Tradição Hipermercados</v>
      </c>
      <c r="B1518" t="str">
        <f>VLOOKUP(L1518,Customers!$A$2:$C$92,3,TRUE)</f>
        <v>Anabela Domingues</v>
      </c>
      <c r="C1518" t="str">
        <f t="shared" si="392"/>
        <v>Anabela</v>
      </c>
      <c r="D1518" s="8" t="str">
        <f t="shared" si="393"/>
        <v>Domingues</v>
      </c>
      <c r="E1518" s="8" t="str">
        <f t="shared" si="394"/>
        <v>Domingues, Anabela</v>
      </c>
      <c r="F1518" s="8" t="str">
        <f t="shared" si="395"/>
        <v>Domingues, Anabela</v>
      </c>
      <c r="G1518" s="8" t="str">
        <f t="shared" si="396"/>
        <v>not an outlier</v>
      </c>
      <c r="H1518" s="8" t="str">
        <f t="shared" si="397"/>
        <v>Not</v>
      </c>
      <c r="I1518" s="8" t="str">
        <f t="shared" si="407"/>
        <v>no</v>
      </c>
      <c r="J1518" s="10" t="str">
        <f t="shared" si="398"/>
        <v>no</v>
      </c>
      <c r="K1518" s="10" t="str">
        <f t="shared" si="399"/>
        <v>no</v>
      </c>
      <c r="L1518" t="s">
        <v>598</v>
      </c>
      <c r="M1518">
        <v>10830</v>
      </c>
      <c r="N1518">
        <v>6</v>
      </c>
      <c r="O1518" t="s">
        <v>746</v>
      </c>
      <c r="P1518" t="str">
        <f t="shared" si="400"/>
        <v>TRADH_10830_Grandma's Boysenberry Spread</v>
      </c>
      <c r="Q1518" t="str">
        <f t="shared" si="401"/>
        <v>10830</v>
      </c>
      <c r="R1518" t="str">
        <f t="shared" si="402"/>
        <v>10830</v>
      </c>
      <c r="S1518" t="str">
        <f t="shared" si="403"/>
        <v>Grandma's Boysenberry Spread</v>
      </c>
      <c r="T1518">
        <v>25</v>
      </c>
      <c r="U1518">
        <v>6</v>
      </c>
      <c r="V1518">
        <v>0</v>
      </c>
      <c r="W1518">
        <f t="shared" si="404"/>
        <v>150</v>
      </c>
      <c r="X1518" t="str">
        <f t="shared" si="405"/>
        <v>yes</v>
      </c>
      <c r="Y1518" s="2">
        <v>35108</v>
      </c>
      <c r="Z1518" t="str">
        <f t="shared" si="391"/>
        <v>1st Q 1996</v>
      </c>
      <c r="AA1518" t="str">
        <f t="shared" si="406"/>
        <v>1st Q 1996</v>
      </c>
      <c r="AB1518" t="str" cm="1">
        <f t="array" ref="AB1518">_xlfn.IFS(Y1518&lt;DATE(1996,1,1),"",Y1518&lt;DATE(1996,4,1),"Q1",Y1518&lt;DATE(1996,7,1),"Q2",Y1518&gt;=DATE(1996,7,1),"")</f>
        <v>Q1</v>
      </c>
    </row>
    <row r="1519" spans="1:28" ht="14.4" x14ac:dyDescent="0.55000000000000004">
      <c r="A1519" t="str">
        <f>VLOOKUP(L1519,Customers!$A$2:$B$92,2,FALSE)</f>
        <v>Tradição Hipermercados</v>
      </c>
      <c r="B1519" t="str">
        <f>VLOOKUP(L1519,Customers!$A$2:$C$92,3,TRUE)</f>
        <v>Anabela Domingues</v>
      </c>
      <c r="C1519" t="str">
        <f t="shared" si="392"/>
        <v>Anabela</v>
      </c>
      <c r="D1519" s="8" t="str">
        <f t="shared" si="393"/>
        <v>Domingues</v>
      </c>
      <c r="E1519" s="8" t="str">
        <f t="shared" si="394"/>
        <v>Domingues, Anabela</v>
      </c>
      <c r="F1519" s="8" t="str">
        <f t="shared" si="395"/>
        <v>Domingues, Anabela</v>
      </c>
      <c r="G1519" s="8" t="str">
        <f t="shared" si="396"/>
        <v>not an outlier</v>
      </c>
      <c r="H1519" s="8" t="str">
        <f t="shared" si="397"/>
        <v>Not</v>
      </c>
      <c r="I1519" s="8" t="str">
        <f t="shared" si="407"/>
        <v>no</v>
      </c>
      <c r="J1519" s="10" t="str">
        <f t="shared" si="398"/>
        <v>no</v>
      </c>
      <c r="K1519" s="10" t="str">
        <f t="shared" si="399"/>
        <v>no</v>
      </c>
      <c r="L1519" t="s">
        <v>598</v>
      </c>
      <c r="M1519">
        <v>10830</v>
      </c>
      <c r="N1519">
        <v>39</v>
      </c>
      <c r="O1519" t="s">
        <v>696</v>
      </c>
      <c r="P1519" t="str">
        <f t="shared" si="400"/>
        <v>TRADH_10830_Chartreuse verte</v>
      </c>
      <c r="Q1519" t="str">
        <f t="shared" si="401"/>
        <v>10830</v>
      </c>
      <c r="R1519" t="str">
        <f t="shared" si="402"/>
        <v>10830</v>
      </c>
      <c r="S1519" t="str">
        <f t="shared" si="403"/>
        <v>Chartreuse verte</v>
      </c>
      <c r="T1519">
        <v>18</v>
      </c>
      <c r="U1519">
        <v>28</v>
      </c>
      <c r="V1519">
        <v>0</v>
      </c>
      <c r="W1519">
        <f t="shared" si="404"/>
        <v>504</v>
      </c>
      <c r="X1519" t="str">
        <f t="shared" si="405"/>
        <v>yes</v>
      </c>
      <c r="Y1519" s="2">
        <v>35108</v>
      </c>
      <c r="Z1519" t="str">
        <f t="shared" si="391"/>
        <v>1st Q 1996</v>
      </c>
      <c r="AA1519" t="str">
        <f t="shared" si="406"/>
        <v>1st Q 1996</v>
      </c>
      <c r="AB1519" t="str" cm="1">
        <f t="array" ref="AB1519">_xlfn.IFS(Y1519&lt;DATE(1996,1,1),"",Y1519&lt;DATE(1996,4,1),"Q1",Y1519&lt;DATE(1996,7,1),"Q2",Y1519&gt;=DATE(1996,7,1),"")</f>
        <v>Q1</v>
      </c>
    </row>
    <row r="1520" spans="1:28" ht="14.4" x14ac:dyDescent="0.55000000000000004">
      <c r="A1520" t="str">
        <f>VLOOKUP(L1520,Customers!$A$2:$B$92,2,FALSE)</f>
        <v>Tradição Hipermercados</v>
      </c>
      <c r="B1520" t="str">
        <f>VLOOKUP(L1520,Customers!$A$2:$C$92,3,TRUE)</f>
        <v>Anabela Domingues</v>
      </c>
      <c r="C1520" t="str">
        <f t="shared" si="392"/>
        <v>Anabela</v>
      </c>
      <c r="D1520" s="8" t="str">
        <f t="shared" si="393"/>
        <v>Domingues</v>
      </c>
      <c r="E1520" s="8" t="str">
        <f t="shared" si="394"/>
        <v>Domingues, Anabela</v>
      </c>
      <c r="F1520" s="8" t="str">
        <f t="shared" si="395"/>
        <v>Domingues, Anabela</v>
      </c>
      <c r="G1520" s="8" t="str">
        <f t="shared" si="396"/>
        <v>not an outlier</v>
      </c>
      <c r="H1520" s="8" t="str">
        <f t="shared" si="397"/>
        <v>Not</v>
      </c>
      <c r="I1520" s="8" t="str">
        <f t="shared" si="407"/>
        <v>no</v>
      </c>
      <c r="J1520" s="10" t="str">
        <f t="shared" si="398"/>
        <v>no</v>
      </c>
      <c r="K1520" s="10" t="str">
        <f t="shared" si="399"/>
        <v>no</v>
      </c>
      <c r="L1520" t="s">
        <v>598</v>
      </c>
      <c r="M1520">
        <v>10830</v>
      </c>
      <c r="N1520">
        <v>60</v>
      </c>
      <c r="O1520" t="s">
        <v>694</v>
      </c>
      <c r="P1520" t="str">
        <f t="shared" si="400"/>
        <v>TRADH_10830_Camembert Pierrot</v>
      </c>
      <c r="Q1520" t="str">
        <f t="shared" si="401"/>
        <v>10830</v>
      </c>
      <c r="R1520" t="str">
        <f t="shared" si="402"/>
        <v>10830</v>
      </c>
      <c r="S1520" t="str">
        <f t="shared" si="403"/>
        <v>Camembert Pierrot</v>
      </c>
      <c r="T1520">
        <v>34</v>
      </c>
      <c r="U1520">
        <v>30</v>
      </c>
      <c r="V1520">
        <v>0</v>
      </c>
      <c r="W1520">
        <f t="shared" si="404"/>
        <v>1020</v>
      </c>
      <c r="X1520" t="str">
        <f t="shared" si="405"/>
        <v>yes</v>
      </c>
      <c r="Y1520" s="2">
        <v>35108</v>
      </c>
      <c r="Z1520" t="str">
        <f t="shared" si="391"/>
        <v>1st Q 1996</v>
      </c>
      <c r="AA1520" t="str">
        <f t="shared" si="406"/>
        <v>1st Q 1996</v>
      </c>
      <c r="AB1520" t="str" cm="1">
        <f t="array" ref="AB1520">_xlfn.IFS(Y1520&lt;DATE(1996,1,1),"",Y1520&lt;DATE(1996,4,1),"Q1",Y1520&lt;DATE(1996,7,1),"Q2",Y1520&gt;=DATE(1996,7,1),"")</f>
        <v>Q1</v>
      </c>
    </row>
    <row r="1521" spans="1:28" ht="14.4" x14ac:dyDescent="0.55000000000000004">
      <c r="A1521" t="str">
        <f>VLOOKUP(L1521,Customers!$A$2:$B$92,2,FALSE)</f>
        <v>Tradição Hipermercados</v>
      </c>
      <c r="B1521" t="str">
        <f>VLOOKUP(L1521,Customers!$A$2:$C$92,3,TRUE)</f>
        <v>Anabela Domingues</v>
      </c>
      <c r="C1521" t="str">
        <f t="shared" si="392"/>
        <v>Anabela</v>
      </c>
      <c r="D1521" s="8" t="str">
        <f t="shared" si="393"/>
        <v>Domingues</v>
      </c>
      <c r="E1521" s="8" t="str">
        <f t="shared" si="394"/>
        <v>Domingues, Anabela</v>
      </c>
      <c r="F1521" s="8" t="str">
        <f t="shared" si="395"/>
        <v>Domingues, Anabela</v>
      </c>
      <c r="G1521" s="8" t="str">
        <f t="shared" si="396"/>
        <v>not an outlier</v>
      </c>
      <c r="H1521" s="8" t="str">
        <f t="shared" si="397"/>
        <v>Not</v>
      </c>
      <c r="I1521" s="8" t="str">
        <f t="shared" si="407"/>
        <v>no</v>
      </c>
      <c r="J1521" s="10" t="str">
        <f t="shared" si="398"/>
        <v>no</v>
      </c>
      <c r="K1521" s="10" t="str">
        <f t="shared" si="399"/>
        <v>no</v>
      </c>
      <c r="L1521" t="s">
        <v>598</v>
      </c>
      <c r="M1521">
        <v>10830</v>
      </c>
      <c r="N1521">
        <v>68</v>
      </c>
      <c r="O1521" t="s">
        <v>739</v>
      </c>
      <c r="P1521" t="str">
        <f t="shared" si="400"/>
        <v>TRADH_10830_Scottish Longbreads</v>
      </c>
      <c r="Q1521" t="str">
        <f t="shared" si="401"/>
        <v>10830</v>
      </c>
      <c r="R1521" t="str">
        <f t="shared" si="402"/>
        <v>10830</v>
      </c>
      <c r="S1521" t="str">
        <f t="shared" si="403"/>
        <v>Scottish Longbreads</v>
      </c>
      <c r="T1521">
        <v>12.5</v>
      </c>
      <c r="U1521">
        <v>24</v>
      </c>
      <c r="V1521">
        <v>0</v>
      </c>
      <c r="W1521">
        <f t="shared" si="404"/>
        <v>300</v>
      </c>
      <c r="X1521" t="str">
        <f t="shared" si="405"/>
        <v>yes</v>
      </c>
      <c r="Y1521" s="2">
        <v>35108</v>
      </c>
      <c r="Z1521" t="str">
        <f t="shared" si="391"/>
        <v>1st Q 1996</v>
      </c>
      <c r="AA1521" t="str">
        <f t="shared" si="406"/>
        <v>1st Q 1996</v>
      </c>
      <c r="AB1521" t="str" cm="1">
        <f t="array" ref="AB1521">_xlfn.IFS(Y1521&lt;DATE(1996,1,1),"",Y1521&lt;DATE(1996,4,1),"Q1",Y1521&lt;DATE(1996,7,1),"Q2",Y1521&gt;=DATE(1996,7,1),"")</f>
        <v>Q1</v>
      </c>
    </row>
    <row r="1522" spans="1:28" ht="14.4" x14ac:dyDescent="0.55000000000000004">
      <c r="A1522" t="str">
        <f>VLOOKUP(L1522,Customers!$A$2:$B$92,2,FALSE)</f>
        <v>Santé Gourmet</v>
      </c>
      <c r="B1522" t="str">
        <f>VLOOKUP(L1522,Customers!$A$2:$C$92,3,TRUE)</f>
        <v>Jonas Bergulfsen</v>
      </c>
      <c r="C1522" t="str">
        <f t="shared" si="392"/>
        <v>Jonas</v>
      </c>
      <c r="D1522" s="8" t="str">
        <f t="shared" si="393"/>
        <v>Bergulfsen</v>
      </c>
      <c r="E1522" s="8" t="str">
        <f t="shared" si="394"/>
        <v>Bergulfsen, Jonas</v>
      </c>
      <c r="F1522" s="8" t="str">
        <f t="shared" si="395"/>
        <v>Bergulfsen, Jonas</v>
      </c>
      <c r="G1522" s="8" t="str">
        <f t="shared" si="396"/>
        <v>not an outlier</v>
      </c>
      <c r="H1522" s="8" t="str">
        <f t="shared" si="397"/>
        <v>Not</v>
      </c>
      <c r="I1522" s="8" t="str">
        <f t="shared" si="407"/>
        <v>no</v>
      </c>
      <c r="J1522" s="10" t="str">
        <f t="shared" si="398"/>
        <v>no</v>
      </c>
      <c r="K1522" s="10" t="str">
        <f t="shared" si="399"/>
        <v>no</v>
      </c>
      <c r="L1522" t="s">
        <v>521</v>
      </c>
      <c r="M1522">
        <v>10831</v>
      </c>
      <c r="N1522">
        <v>19</v>
      </c>
      <c r="O1522" t="s">
        <v>732</v>
      </c>
      <c r="P1522" t="str">
        <f t="shared" si="400"/>
        <v>SANTG_10831_Teatime Chocolate Biscuits</v>
      </c>
      <c r="Q1522" t="str">
        <f t="shared" si="401"/>
        <v>10831</v>
      </c>
      <c r="R1522" t="str">
        <f t="shared" si="402"/>
        <v>10831</v>
      </c>
      <c r="S1522" t="str">
        <f t="shared" si="403"/>
        <v>Teatime Chocolate Biscuits</v>
      </c>
      <c r="T1522">
        <v>9.1999999999999993</v>
      </c>
      <c r="U1522">
        <v>2</v>
      </c>
      <c r="V1522">
        <v>0</v>
      </c>
      <c r="W1522">
        <f t="shared" si="404"/>
        <v>18.399999999999999</v>
      </c>
      <c r="X1522" t="str">
        <f t="shared" si="405"/>
        <v>yes</v>
      </c>
      <c r="Y1522" s="2">
        <v>35109</v>
      </c>
      <c r="Z1522" t="str">
        <f t="shared" si="391"/>
        <v>1st Q 1996</v>
      </c>
      <c r="AA1522" t="str">
        <f t="shared" si="406"/>
        <v>1st Q 1996</v>
      </c>
      <c r="AB1522" t="str" cm="1">
        <f t="array" ref="AB1522">_xlfn.IFS(Y1522&lt;DATE(1996,1,1),"",Y1522&lt;DATE(1996,4,1),"Q1",Y1522&lt;DATE(1996,7,1),"Q2",Y1522&gt;=DATE(1996,7,1),"")</f>
        <v>Q1</v>
      </c>
    </row>
    <row r="1523" spans="1:28" ht="14.4" x14ac:dyDescent="0.55000000000000004">
      <c r="A1523" t="str">
        <f>VLOOKUP(L1523,Customers!$A$2:$B$92,2,FALSE)</f>
        <v>Santé Gourmet</v>
      </c>
      <c r="B1523" t="str">
        <f>VLOOKUP(L1523,Customers!$A$2:$C$92,3,TRUE)</f>
        <v>Jonas Bergulfsen</v>
      </c>
      <c r="C1523" t="str">
        <f t="shared" si="392"/>
        <v>Jonas</v>
      </c>
      <c r="D1523" s="8" t="str">
        <f t="shared" si="393"/>
        <v>Bergulfsen</v>
      </c>
      <c r="E1523" s="8" t="str">
        <f t="shared" si="394"/>
        <v>Bergulfsen, Jonas</v>
      </c>
      <c r="F1523" s="8" t="str">
        <f t="shared" si="395"/>
        <v>Bergulfsen, Jonas</v>
      </c>
      <c r="G1523" s="8" t="str">
        <f t="shared" si="396"/>
        <v>not an outlier</v>
      </c>
      <c r="H1523" s="8" t="str">
        <f t="shared" si="397"/>
        <v>Not</v>
      </c>
      <c r="I1523" s="8" t="str">
        <f t="shared" si="407"/>
        <v>no</v>
      </c>
      <c r="J1523" s="10" t="str">
        <f t="shared" si="398"/>
        <v>no</v>
      </c>
      <c r="K1523" s="10" t="str">
        <f t="shared" si="399"/>
        <v>no</v>
      </c>
      <c r="L1523" t="s">
        <v>521</v>
      </c>
      <c r="M1523">
        <v>10831</v>
      </c>
      <c r="N1523">
        <v>35</v>
      </c>
      <c r="O1523" t="s">
        <v>714</v>
      </c>
      <c r="P1523" t="str">
        <f t="shared" si="400"/>
        <v>SANTG_10831_Steeleye Stout</v>
      </c>
      <c r="Q1523" t="str">
        <f t="shared" si="401"/>
        <v>10831</v>
      </c>
      <c r="R1523" t="str">
        <f t="shared" si="402"/>
        <v>10831</v>
      </c>
      <c r="S1523" t="str">
        <f t="shared" si="403"/>
        <v>Steeleye Stout</v>
      </c>
      <c r="T1523">
        <v>18</v>
      </c>
      <c r="U1523">
        <v>8</v>
      </c>
      <c r="V1523">
        <v>0</v>
      </c>
      <c r="W1523">
        <f t="shared" si="404"/>
        <v>144</v>
      </c>
      <c r="X1523" t="str">
        <f t="shared" si="405"/>
        <v>yes</v>
      </c>
      <c r="Y1523" s="2">
        <v>35109</v>
      </c>
      <c r="Z1523" t="str">
        <f t="shared" si="391"/>
        <v>1st Q 1996</v>
      </c>
      <c r="AA1523" t="str">
        <f t="shared" si="406"/>
        <v>1st Q 1996</v>
      </c>
      <c r="AB1523" t="str" cm="1">
        <f t="array" ref="AB1523">_xlfn.IFS(Y1523&lt;DATE(1996,1,1),"",Y1523&lt;DATE(1996,4,1),"Q1",Y1523&lt;DATE(1996,7,1),"Q2",Y1523&gt;=DATE(1996,7,1),"")</f>
        <v>Q1</v>
      </c>
    </row>
    <row r="1524" spans="1:28" ht="14.4" x14ac:dyDescent="0.55000000000000004">
      <c r="A1524" t="str">
        <f>VLOOKUP(L1524,Customers!$A$2:$B$92,2,FALSE)</f>
        <v>Santé Gourmet</v>
      </c>
      <c r="B1524" t="str">
        <f>VLOOKUP(L1524,Customers!$A$2:$C$92,3,TRUE)</f>
        <v>Jonas Bergulfsen</v>
      </c>
      <c r="C1524" t="str">
        <f t="shared" si="392"/>
        <v>Jonas</v>
      </c>
      <c r="D1524" s="8" t="str">
        <f t="shared" si="393"/>
        <v>Bergulfsen</v>
      </c>
      <c r="E1524" s="8" t="str">
        <f t="shared" si="394"/>
        <v>Bergulfsen, Jonas</v>
      </c>
      <c r="F1524" s="8" t="str">
        <f t="shared" si="395"/>
        <v>Bergulfsen, Jonas</v>
      </c>
      <c r="G1524" s="8" t="str">
        <f t="shared" si="396"/>
        <v>not an outlier</v>
      </c>
      <c r="H1524" s="8" t="str">
        <f t="shared" si="397"/>
        <v>Not</v>
      </c>
      <c r="I1524" s="8" t="str">
        <f t="shared" si="407"/>
        <v>no</v>
      </c>
      <c r="J1524" s="10" t="str">
        <f t="shared" si="398"/>
        <v>no</v>
      </c>
      <c r="K1524" s="10" t="str">
        <f t="shared" si="399"/>
        <v>no</v>
      </c>
      <c r="L1524" t="s">
        <v>521</v>
      </c>
      <c r="M1524">
        <v>10831</v>
      </c>
      <c r="N1524">
        <v>38</v>
      </c>
      <c r="O1524" t="s">
        <v>750</v>
      </c>
      <c r="P1524" t="str">
        <f t="shared" si="400"/>
        <v>SANTG_10831_Côte de Blaye</v>
      </c>
      <c r="Q1524" t="str">
        <f t="shared" si="401"/>
        <v>10831</v>
      </c>
      <c r="R1524" t="str">
        <f t="shared" si="402"/>
        <v>10831</v>
      </c>
      <c r="S1524" t="str">
        <f t="shared" si="403"/>
        <v>Côte de Blaye</v>
      </c>
      <c r="T1524">
        <v>263.5</v>
      </c>
      <c r="U1524">
        <v>8</v>
      </c>
      <c r="V1524">
        <v>0</v>
      </c>
      <c r="W1524">
        <f t="shared" si="404"/>
        <v>2108</v>
      </c>
      <c r="X1524" t="str">
        <f t="shared" si="405"/>
        <v>yes</v>
      </c>
      <c r="Y1524" s="2">
        <v>35109</v>
      </c>
      <c r="Z1524" t="str">
        <f t="shared" si="391"/>
        <v>1st Q 1996</v>
      </c>
      <c r="AA1524" t="str">
        <f t="shared" si="406"/>
        <v>1st Q 1996</v>
      </c>
      <c r="AB1524" t="str" cm="1">
        <f t="array" ref="AB1524">_xlfn.IFS(Y1524&lt;DATE(1996,1,1),"",Y1524&lt;DATE(1996,4,1),"Q1",Y1524&lt;DATE(1996,7,1),"Q2",Y1524&gt;=DATE(1996,7,1),"")</f>
        <v>Q1</v>
      </c>
    </row>
    <row r="1525" spans="1:28" ht="14.4" x14ac:dyDescent="0.55000000000000004">
      <c r="A1525" t="str">
        <f>VLOOKUP(L1525,Customers!$A$2:$B$92,2,FALSE)</f>
        <v>Santé Gourmet</v>
      </c>
      <c r="B1525" t="str">
        <f>VLOOKUP(L1525,Customers!$A$2:$C$92,3,TRUE)</f>
        <v>Jonas Bergulfsen</v>
      </c>
      <c r="C1525" t="str">
        <f t="shared" si="392"/>
        <v>Jonas</v>
      </c>
      <c r="D1525" s="8" t="str">
        <f t="shared" si="393"/>
        <v>Bergulfsen</v>
      </c>
      <c r="E1525" s="8" t="str">
        <f t="shared" si="394"/>
        <v>Bergulfsen, Jonas</v>
      </c>
      <c r="F1525" s="8" t="str">
        <f t="shared" si="395"/>
        <v>Bergulfsen, Jonas</v>
      </c>
      <c r="G1525" s="8" t="str">
        <f t="shared" si="396"/>
        <v>not an outlier</v>
      </c>
      <c r="H1525" s="8" t="str">
        <f t="shared" si="397"/>
        <v>Not</v>
      </c>
      <c r="I1525" s="8" t="str">
        <f t="shared" si="407"/>
        <v>no</v>
      </c>
      <c r="J1525" s="10" t="str">
        <f t="shared" si="398"/>
        <v>no</v>
      </c>
      <c r="K1525" s="10" t="str">
        <f t="shared" si="399"/>
        <v>no</v>
      </c>
      <c r="L1525" t="s">
        <v>521</v>
      </c>
      <c r="M1525">
        <v>10831</v>
      </c>
      <c r="N1525">
        <v>43</v>
      </c>
      <c r="O1525" t="s">
        <v>723</v>
      </c>
      <c r="P1525" t="str">
        <f t="shared" si="400"/>
        <v>SANTG_10831_Ipoh Coffee</v>
      </c>
      <c r="Q1525" t="str">
        <f t="shared" si="401"/>
        <v>10831</v>
      </c>
      <c r="R1525" t="str">
        <f t="shared" si="402"/>
        <v>10831</v>
      </c>
      <c r="S1525" t="str">
        <f t="shared" si="403"/>
        <v>Ipoh Coffee</v>
      </c>
      <c r="T1525">
        <v>46</v>
      </c>
      <c r="U1525">
        <v>9</v>
      </c>
      <c r="V1525">
        <v>0</v>
      </c>
      <c r="W1525">
        <f t="shared" si="404"/>
        <v>414</v>
      </c>
      <c r="X1525" t="str">
        <f t="shared" si="405"/>
        <v>yes</v>
      </c>
      <c r="Y1525" s="2">
        <v>35109</v>
      </c>
      <c r="Z1525" t="str">
        <f t="shared" si="391"/>
        <v>1st Q 1996</v>
      </c>
      <c r="AA1525" t="str">
        <f t="shared" si="406"/>
        <v>1st Q 1996</v>
      </c>
      <c r="AB1525" t="str" cm="1">
        <f t="array" ref="AB1525">_xlfn.IFS(Y1525&lt;DATE(1996,1,1),"",Y1525&lt;DATE(1996,4,1),"Q1",Y1525&lt;DATE(1996,7,1),"Q2",Y1525&gt;=DATE(1996,7,1),"")</f>
        <v>Q1</v>
      </c>
    </row>
    <row r="1526" spans="1:28" ht="14.4" x14ac:dyDescent="0.55000000000000004">
      <c r="A1526" t="str">
        <f>VLOOKUP(L1526,Customers!$A$2:$B$92,2,FALSE)</f>
        <v>La maison d'Asie</v>
      </c>
      <c r="B1526" t="str">
        <f>VLOOKUP(L1526,Customers!$A$2:$C$92,3,TRUE)</f>
        <v>Annette Roulet</v>
      </c>
      <c r="C1526" t="str">
        <f t="shared" si="392"/>
        <v>Annette</v>
      </c>
      <c r="D1526" s="8" t="str">
        <f t="shared" si="393"/>
        <v>Roulet</v>
      </c>
      <c r="E1526" s="8" t="str">
        <f t="shared" si="394"/>
        <v>Roulet, Annette</v>
      </c>
      <c r="F1526" s="8" t="str">
        <f t="shared" si="395"/>
        <v>Roulet, Annette</v>
      </c>
      <c r="G1526" s="8" t="str">
        <f t="shared" si="396"/>
        <v>not an outlier</v>
      </c>
      <c r="H1526" s="8" t="str">
        <f t="shared" si="397"/>
        <v>Not</v>
      </c>
      <c r="I1526" s="8" t="str">
        <f t="shared" si="407"/>
        <v>no</v>
      </c>
      <c r="J1526" s="10" t="str">
        <f t="shared" si="398"/>
        <v>no</v>
      </c>
      <c r="K1526" s="10" t="str">
        <f t="shared" si="399"/>
        <v>no</v>
      </c>
      <c r="L1526" t="s">
        <v>318</v>
      </c>
      <c r="M1526">
        <v>10832</v>
      </c>
      <c r="N1526">
        <v>13</v>
      </c>
      <c r="O1526" t="s">
        <v>726</v>
      </c>
      <c r="P1526" t="str">
        <f t="shared" si="400"/>
        <v>LAMAI_10832_Konbu</v>
      </c>
      <c r="Q1526" t="str">
        <f t="shared" si="401"/>
        <v>10832</v>
      </c>
      <c r="R1526" t="str">
        <f t="shared" si="402"/>
        <v>10832</v>
      </c>
      <c r="S1526" t="str">
        <f t="shared" si="403"/>
        <v>Konbu</v>
      </c>
      <c r="T1526">
        <v>6</v>
      </c>
      <c r="U1526">
        <v>3</v>
      </c>
      <c r="V1526">
        <v>0.2</v>
      </c>
      <c r="W1526">
        <f t="shared" si="404"/>
        <v>14.4</v>
      </c>
      <c r="X1526" t="str">
        <f t="shared" si="405"/>
        <v>yes</v>
      </c>
      <c r="Y1526" s="2">
        <v>35109</v>
      </c>
      <c r="Z1526" t="str">
        <f t="shared" si="391"/>
        <v>1st Q 1996</v>
      </c>
      <c r="AA1526" t="str">
        <f t="shared" si="406"/>
        <v>1st Q 1996</v>
      </c>
      <c r="AB1526" t="str" cm="1">
        <f t="array" ref="AB1526">_xlfn.IFS(Y1526&lt;DATE(1996,1,1),"",Y1526&lt;DATE(1996,4,1),"Q1",Y1526&lt;DATE(1996,7,1),"Q2",Y1526&gt;=DATE(1996,7,1),"")</f>
        <v>Q1</v>
      </c>
    </row>
    <row r="1527" spans="1:28" ht="14.4" x14ac:dyDescent="0.55000000000000004">
      <c r="A1527" t="str">
        <f>VLOOKUP(L1527,Customers!$A$2:$B$92,2,FALSE)</f>
        <v>La maison d'Asie</v>
      </c>
      <c r="B1527" t="str">
        <f>VLOOKUP(L1527,Customers!$A$2:$C$92,3,TRUE)</f>
        <v>Annette Roulet</v>
      </c>
      <c r="C1527" t="str">
        <f t="shared" si="392"/>
        <v>Annette</v>
      </c>
      <c r="D1527" s="8" t="str">
        <f t="shared" si="393"/>
        <v>Roulet</v>
      </c>
      <c r="E1527" s="8" t="str">
        <f t="shared" si="394"/>
        <v>Roulet, Annette</v>
      </c>
      <c r="F1527" s="8" t="str">
        <f t="shared" si="395"/>
        <v>Roulet, Annette</v>
      </c>
      <c r="G1527" s="8" t="str">
        <f t="shared" si="396"/>
        <v>not an outlier</v>
      </c>
      <c r="H1527" s="8" t="str">
        <f t="shared" si="397"/>
        <v>Not</v>
      </c>
      <c r="I1527" s="8" t="str">
        <f t="shared" si="407"/>
        <v>no</v>
      </c>
      <c r="J1527" s="10" t="str">
        <f t="shared" si="398"/>
        <v>no</v>
      </c>
      <c r="K1527" s="10" t="str">
        <f t="shared" si="399"/>
        <v>no</v>
      </c>
      <c r="L1527" t="s">
        <v>318</v>
      </c>
      <c r="M1527">
        <v>10832</v>
      </c>
      <c r="N1527">
        <v>25</v>
      </c>
      <c r="O1527" t="s">
        <v>749</v>
      </c>
      <c r="P1527" t="str">
        <f t="shared" si="400"/>
        <v>LAMAI_10832_NuNuCa Nuß-Nougat-Creme</v>
      </c>
      <c r="Q1527" t="str">
        <f t="shared" si="401"/>
        <v>10832</v>
      </c>
      <c r="R1527" t="str">
        <f t="shared" si="402"/>
        <v>10832</v>
      </c>
      <c r="S1527" t="str">
        <f t="shared" si="403"/>
        <v>NuNuCa Nuß-Nougat-Creme</v>
      </c>
      <c r="T1527">
        <v>14</v>
      </c>
      <c r="U1527">
        <v>10</v>
      </c>
      <c r="V1527">
        <v>0.2</v>
      </c>
      <c r="W1527">
        <f t="shared" si="404"/>
        <v>112</v>
      </c>
      <c r="X1527" t="str">
        <f t="shared" si="405"/>
        <v>yes</v>
      </c>
      <c r="Y1527" s="2">
        <v>35109</v>
      </c>
      <c r="Z1527" t="str">
        <f t="shared" si="391"/>
        <v>1st Q 1996</v>
      </c>
      <c r="AA1527" t="str">
        <f t="shared" si="406"/>
        <v>1st Q 1996</v>
      </c>
      <c r="AB1527" t="str" cm="1">
        <f t="array" ref="AB1527">_xlfn.IFS(Y1527&lt;DATE(1996,1,1),"",Y1527&lt;DATE(1996,4,1),"Q1",Y1527&lt;DATE(1996,7,1),"Q2",Y1527&gt;=DATE(1996,7,1),"")</f>
        <v>Q1</v>
      </c>
    </row>
    <row r="1528" spans="1:28" ht="14.4" x14ac:dyDescent="0.55000000000000004">
      <c r="A1528" t="str">
        <f>VLOOKUP(L1528,Customers!$A$2:$B$92,2,FALSE)</f>
        <v>La maison d'Asie</v>
      </c>
      <c r="B1528" t="str">
        <f>VLOOKUP(L1528,Customers!$A$2:$C$92,3,TRUE)</f>
        <v>Annette Roulet</v>
      </c>
      <c r="C1528" t="str">
        <f t="shared" si="392"/>
        <v>Annette</v>
      </c>
      <c r="D1528" s="8" t="str">
        <f t="shared" si="393"/>
        <v>Roulet</v>
      </c>
      <c r="E1528" s="8" t="str">
        <f t="shared" si="394"/>
        <v>Roulet, Annette</v>
      </c>
      <c r="F1528" s="8" t="str">
        <f t="shared" si="395"/>
        <v>Roulet, Annette</v>
      </c>
      <c r="G1528" s="8" t="str">
        <f t="shared" si="396"/>
        <v>not an outlier</v>
      </c>
      <c r="H1528" s="8" t="str">
        <f t="shared" si="397"/>
        <v>Not</v>
      </c>
      <c r="I1528" s="8" t="str">
        <f t="shared" si="407"/>
        <v>no</v>
      </c>
      <c r="J1528" s="10" t="str">
        <f t="shared" si="398"/>
        <v>no</v>
      </c>
      <c r="K1528" s="10" t="str">
        <f t="shared" si="399"/>
        <v>no</v>
      </c>
      <c r="L1528" t="s">
        <v>318</v>
      </c>
      <c r="M1528">
        <v>10832</v>
      </c>
      <c r="N1528">
        <v>44</v>
      </c>
      <c r="O1528" t="s">
        <v>728</v>
      </c>
      <c r="P1528" t="str">
        <f t="shared" si="400"/>
        <v>LAMAI_10832_Gula Malacca</v>
      </c>
      <c r="Q1528" t="str">
        <f t="shared" si="401"/>
        <v>10832</v>
      </c>
      <c r="R1528" t="str">
        <f t="shared" si="402"/>
        <v>10832</v>
      </c>
      <c r="S1528" t="str">
        <f t="shared" si="403"/>
        <v>Gula Malacca</v>
      </c>
      <c r="T1528">
        <v>19.45</v>
      </c>
      <c r="U1528">
        <v>16</v>
      </c>
      <c r="V1528">
        <v>0.2</v>
      </c>
      <c r="W1528">
        <f t="shared" si="404"/>
        <v>248.96</v>
      </c>
      <c r="X1528" t="str">
        <f t="shared" si="405"/>
        <v>yes</v>
      </c>
      <c r="Y1528" s="2">
        <v>35109</v>
      </c>
      <c r="Z1528" t="str">
        <f t="shared" si="391"/>
        <v>1st Q 1996</v>
      </c>
      <c r="AA1528" t="str">
        <f t="shared" si="406"/>
        <v>1st Q 1996</v>
      </c>
      <c r="AB1528" t="str" cm="1">
        <f t="array" ref="AB1528">_xlfn.IFS(Y1528&lt;DATE(1996,1,1),"",Y1528&lt;DATE(1996,4,1),"Q1",Y1528&lt;DATE(1996,7,1),"Q2",Y1528&gt;=DATE(1996,7,1),"")</f>
        <v>Q1</v>
      </c>
    </row>
    <row r="1529" spans="1:28" ht="14.4" x14ac:dyDescent="0.55000000000000004">
      <c r="A1529" t="str">
        <f>VLOOKUP(L1529,Customers!$A$2:$B$92,2,FALSE)</f>
        <v>La maison d'Asie</v>
      </c>
      <c r="B1529" t="str">
        <f>VLOOKUP(L1529,Customers!$A$2:$C$92,3,TRUE)</f>
        <v>Annette Roulet</v>
      </c>
      <c r="C1529" t="str">
        <f t="shared" si="392"/>
        <v>Annette</v>
      </c>
      <c r="D1529" s="8" t="str">
        <f t="shared" si="393"/>
        <v>Roulet</v>
      </c>
      <c r="E1529" s="8" t="str">
        <f t="shared" si="394"/>
        <v>Roulet, Annette</v>
      </c>
      <c r="F1529" s="8" t="str">
        <f t="shared" si="395"/>
        <v>Roulet, Annette</v>
      </c>
      <c r="G1529" s="8" t="str">
        <f t="shared" si="396"/>
        <v>not an outlier</v>
      </c>
      <c r="H1529" s="8" t="str">
        <f t="shared" si="397"/>
        <v>Not</v>
      </c>
      <c r="I1529" s="8" t="str">
        <f t="shared" si="407"/>
        <v>no</v>
      </c>
      <c r="J1529" s="10" t="str">
        <f t="shared" si="398"/>
        <v>no</v>
      </c>
      <c r="K1529" s="10" t="str">
        <f t="shared" si="399"/>
        <v>no</v>
      </c>
      <c r="L1529" t="s">
        <v>318</v>
      </c>
      <c r="M1529">
        <v>10832</v>
      </c>
      <c r="N1529">
        <v>64</v>
      </c>
      <c r="O1529" t="s">
        <v>741</v>
      </c>
      <c r="P1529" t="str">
        <f t="shared" si="400"/>
        <v>LAMAI_10832_Wimmers gute Semmelknödel</v>
      </c>
      <c r="Q1529" t="str">
        <f t="shared" si="401"/>
        <v>10832</v>
      </c>
      <c r="R1529" t="str">
        <f t="shared" si="402"/>
        <v>10832</v>
      </c>
      <c r="S1529" t="str">
        <f t="shared" si="403"/>
        <v>Wimmers gute Semmelknödel</v>
      </c>
      <c r="T1529">
        <v>33.25</v>
      </c>
      <c r="U1529">
        <v>3</v>
      </c>
      <c r="V1529">
        <v>0</v>
      </c>
      <c r="W1529">
        <f t="shared" si="404"/>
        <v>99.75</v>
      </c>
      <c r="X1529" t="str">
        <f t="shared" si="405"/>
        <v>yes</v>
      </c>
      <c r="Y1529" s="2">
        <v>35109</v>
      </c>
      <c r="Z1529" t="str">
        <f t="shared" si="391"/>
        <v>1st Q 1996</v>
      </c>
      <c r="AA1529" t="str">
        <f t="shared" si="406"/>
        <v>1st Q 1996</v>
      </c>
      <c r="AB1529" t="str" cm="1">
        <f t="array" ref="AB1529">_xlfn.IFS(Y1529&lt;DATE(1996,1,1),"",Y1529&lt;DATE(1996,4,1),"Q1",Y1529&lt;DATE(1996,7,1),"Q2",Y1529&gt;=DATE(1996,7,1),"")</f>
        <v>Q1</v>
      </c>
    </row>
    <row r="1530" spans="1:28" ht="14.4" x14ac:dyDescent="0.55000000000000004">
      <c r="A1530" t="str">
        <f>VLOOKUP(L1530,Customers!$A$2:$B$92,2,FALSE)</f>
        <v>Ottilies Käseladen</v>
      </c>
      <c r="B1530" t="str">
        <f>VLOOKUP(L1530,Customers!$A$2:$C$92,3,TRUE)</f>
        <v>Henriette Pfalzheim</v>
      </c>
      <c r="C1530" t="str">
        <f t="shared" si="392"/>
        <v>Henriette</v>
      </c>
      <c r="D1530" s="8" t="str">
        <f t="shared" si="393"/>
        <v>Pfalzheim</v>
      </c>
      <c r="E1530" s="8" t="str">
        <f t="shared" si="394"/>
        <v>Pfalzheim, Henriette</v>
      </c>
      <c r="F1530" s="8" t="str">
        <f t="shared" si="395"/>
        <v>Pfalzheim, Henriette</v>
      </c>
      <c r="G1530" s="8" t="str">
        <f t="shared" si="396"/>
        <v>not an outlier</v>
      </c>
      <c r="H1530" s="8" t="str">
        <f t="shared" si="397"/>
        <v>Not</v>
      </c>
      <c r="I1530" s="8" t="str">
        <f t="shared" si="407"/>
        <v>no</v>
      </c>
      <c r="J1530" s="10" t="str">
        <f t="shared" si="398"/>
        <v>no</v>
      </c>
      <c r="K1530" s="10" t="str">
        <f t="shared" si="399"/>
        <v>no</v>
      </c>
      <c r="L1530" t="s">
        <v>430</v>
      </c>
      <c r="M1530">
        <v>10833</v>
      </c>
      <c r="N1530">
        <v>7</v>
      </c>
      <c r="O1530" t="s">
        <v>715</v>
      </c>
      <c r="P1530" t="str">
        <f t="shared" si="400"/>
        <v>OTTIK_10833_Uncle Bob's Organic Dried Pears</v>
      </c>
      <c r="Q1530" t="str">
        <f t="shared" si="401"/>
        <v>10833</v>
      </c>
      <c r="R1530" t="str">
        <f t="shared" si="402"/>
        <v>10833</v>
      </c>
      <c r="S1530" t="str">
        <f t="shared" si="403"/>
        <v>Uncle Bob's Organic Dried Pears</v>
      </c>
      <c r="T1530">
        <v>30</v>
      </c>
      <c r="U1530">
        <v>20</v>
      </c>
      <c r="V1530">
        <v>0.1</v>
      </c>
      <c r="W1530">
        <f t="shared" si="404"/>
        <v>540</v>
      </c>
      <c r="X1530" t="str">
        <f t="shared" si="405"/>
        <v>yes</v>
      </c>
      <c r="Y1530" s="2">
        <v>35110</v>
      </c>
      <c r="Z1530" t="str">
        <f t="shared" si="391"/>
        <v>1st Q 1996</v>
      </c>
      <c r="AA1530" t="str">
        <f t="shared" si="406"/>
        <v>1st Q 1996</v>
      </c>
      <c r="AB1530" t="str" cm="1">
        <f t="array" ref="AB1530">_xlfn.IFS(Y1530&lt;DATE(1996,1,1),"",Y1530&lt;DATE(1996,4,1),"Q1",Y1530&lt;DATE(1996,7,1),"Q2",Y1530&gt;=DATE(1996,7,1),"")</f>
        <v>Q1</v>
      </c>
    </row>
    <row r="1531" spans="1:28" ht="14.4" x14ac:dyDescent="0.55000000000000004">
      <c r="A1531" t="str">
        <f>VLOOKUP(L1531,Customers!$A$2:$B$92,2,FALSE)</f>
        <v>Ottilies Käseladen</v>
      </c>
      <c r="B1531" t="str">
        <f>VLOOKUP(L1531,Customers!$A$2:$C$92,3,TRUE)</f>
        <v>Henriette Pfalzheim</v>
      </c>
      <c r="C1531" t="str">
        <f t="shared" si="392"/>
        <v>Henriette</v>
      </c>
      <c r="D1531" s="8" t="str">
        <f t="shared" si="393"/>
        <v>Pfalzheim</v>
      </c>
      <c r="E1531" s="8" t="str">
        <f t="shared" si="394"/>
        <v>Pfalzheim, Henriette</v>
      </c>
      <c r="F1531" s="8" t="str">
        <f t="shared" si="395"/>
        <v>Pfalzheim, Henriette</v>
      </c>
      <c r="G1531" s="8" t="str">
        <f t="shared" si="396"/>
        <v>not an outlier</v>
      </c>
      <c r="H1531" s="8" t="str">
        <f t="shared" si="397"/>
        <v>Not</v>
      </c>
      <c r="I1531" s="8" t="str">
        <f t="shared" si="407"/>
        <v>no</v>
      </c>
      <c r="J1531" s="10" t="str">
        <f t="shared" si="398"/>
        <v>no</v>
      </c>
      <c r="K1531" s="10" t="str">
        <f t="shared" si="399"/>
        <v>no</v>
      </c>
      <c r="L1531" t="s">
        <v>430</v>
      </c>
      <c r="M1531">
        <v>10833</v>
      </c>
      <c r="N1531">
        <v>31</v>
      </c>
      <c r="O1531" t="s">
        <v>695</v>
      </c>
      <c r="P1531" t="str">
        <f t="shared" si="400"/>
        <v>OTTIK_10833_Gorgonzola Telino</v>
      </c>
      <c r="Q1531" t="str">
        <f t="shared" si="401"/>
        <v>10833</v>
      </c>
      <c r="R1531" t="str">
        <f t="shared" si="402"/>
        <v>10833</v>
      </c>
      <c r="S1531" t="str">
        <f t="shared" si="403"/>
        <v>Gorgonzola Telino</v>
      </c>
      <c r="T1531">
        <v>12.5</v>
      </c>
      <c r="U1531">
        <v>9</v>
      </c>
      <c r="V1531">
        <v>0.1</v>
      </c>
      <c r="W1531">
        <f t="shared" si="404"/>
        <v>101.25</v>
      </c>
      <c r="X1531" t="str">
        <f t="shared" si="405"/>
        <v>yes</v>
      </c>
      <c r="Y1531" s="2">
        <v>35110</v>
      </c>
      <c r="Z1531" t="str">
        <f t="shared" si="391"/>
        <v>1st Q 1996</v>
      </c>
      <c r="AA1531" t="str">
        <f t="shared" si="406"/>
        <v>1st Q 1996</v>
      </c>
      <c r="AB1531" t="str" cm="1">
        <f t="array" ref="AB1531">_xlfn.IFS(Y1531&lt;DATE(1996,1,1),"",Y1531&lt;DATE(1996,4,1),"Q1",Y1531&lt;DATE(1996,7,1),"Q2",Y1531&gt;=DATE(1996,7,1),"")</f>
        <v>Q1</v>
      </c>
    </row>
    <row r="1532" spans="1:28" ht="14.4" x14ac:dyDescent="0.55000000000000004">
      <c r="A1532" t="str">
        <f>VLOOKUP(L1532,Customers!$A$2:$B$92,2,FALSE)</f>
        <v>Ottilies Käseladen</v>
      </c>
      <c r="B1532" t="str">
        <f>VLOOKUP(L1532,Customers!$A$2:$C$92,3,TRUE)</f>
        <v>Henriette Pfalzheim</v>
      </c>
      <c r="C1532" t="str">
        <f t="shared" si="392"/>
        <v>Henriette</v>
      </c>
      <c r="D1532" s="8" t="str">
        <f t="shared" si="393"/>
        <v>Pfalzheim</v>
      </c>
      <c r="E1532" s="8" t="str">
        <f t="shared" si="394"/>
        <v>Pfalzheim, Henriette</v>
      </c>
      <c r="F1532" s="8" t="str">
        <f t="shared" si="395"/>
        <v>Pfalzheim, Henriette</v>
      </c>
      <c r="G1532" s="8" t="str">
        <f t="shared" si="396"/>
        <v>not an outlier</v>
      </c>
      <c r="H1532" s="8" t="str">
        <f t="shared" si="397"/>
        <v>Not</v>
      </c>
      <c r="I1532" s="8" t="str">
        <f t="shared" si="407"/>
        <v>no</v>
      </c>
      <c r="J1532" s="10" t="str">
        <f t="shared" si="398"/>
        <v>no</v>
      </c>
      <c r="K1532" s="10" t="str">
        <f t="shared" si="399"/>
        <v>no</v>
      </c>
      <c r="L1532" t="s">
        <v>430</v>
      </c>
      <c r="M1532">
        <v>10833</v>
      </c>
      <c r="N1532">
        <v>53</v>
      </c>
      <c r="O1532" t="s">
        <v>705</v>
      </c>
      <c r="P1532" t="str">
        <f t="shared" si="400"/>
        <v>OTTIK_10833_Perth Pasties</v>
      </c>
      <c r="Q1532" t="str">
        <f t="shared" si="401"/>
        <v>10833</v>
      </c>
      <c r="R1532" t="str">
        <f t="shared" si="402"/>
        <v>10833</v>
      </c>
      <c r="S1532" t="str">
        <f t="shared" si="403"/>
        <v>Perth Pasties</v>
      </c>
      <c r="T1532">
        <v>32.799999999999997</v>
      </c>
      <c r="U1532">
        <v>9</v>
      </c>
      <c r="V1532">
        <v>0.1</v>
      </c>
      <c r="W1532">
        <f t="shared" si="404"/>
        <v>265.68</v>
      </c>
      <c r="X1532" t="str">
        <f t="shared" si="405"/>
        <v>yes</v>
      </c>
      <c r="Y1532" s="2">
        <v>35110</v>
      </c>
      <c r="Z1532" t="str">
        <f t="shared" si="391"/>
        <v>1st Q 1996</v>
      </c>
      <c r="AA1532" t="str">
        <f t="shared" si="406"/>
        <v>1st Q 1996</v>
      </c>
      <c r="AB1532" t="str" cm="1">
        <f t="array" ref="AB1532">_xlfn.IFS(Y1532&lt;DATE(1996,1,1),"",Y1532&lt;DATE(1996,4,1),"Q1",Y1532&lt;DATE(1996,7,1),"Q2",Y1532&gt;=DATE(1996,7,1),"")</f>
        <v>Q1</v>
      </c>
    </row>
    <row r="1533" spans="1:28" ht="14.4" x14ac:dyDescent="0.55000000000000004">
      <c r="A1533" t="str">
        <f>VLOOKUP(L1533,Customers!$A$2:$B$92,2,FALSE)</f>
        <v>Tradição Hipermercados</v>
      </c>
      <c r="B1533" t="str">
        <f>VLOOKUP(L1533,Customers!$A$2:$C$92,3,TRUE)</f>
        <v>Anabela Domingues</v>
      </c>
      <c r="C1533" t="str">
        <f t="shared" si="392"/>
        <v>Anabela</v>
      </c>
      <c r="D1533" s="8" t="str">
        <f t="shared" si="393"/>
        <v>Domingues</v>
      </c>
      <c r="E1533" s="8" t="str">
        <f t="shared" si="394"/>
        <v>Domingues, Anabela</v>
      </c>
      <c r="F1533" s="8" t="str">
        <f t="shared" si="395"/>
        <v>Domingues, Anabela</v>
      </c>
      <c r="G1533" s="8" t="str">
        <f t="shared" si="396"/>
        <v>not an outlier</v>
      </c>
      <c r="H1533" s="8" t="str">
        <f t="shared" si="397"/>
        <v>Not</v>
      </c>
      <c r="I1533" s="8" t="str">
        <f t="shared" si="407"/>
        <v>no</v>
      </c>
      <c r="J1533" s="10" t="str">
        <f t="shared" si="398"/>
        <v>no</v>
      </c>
      <c r="K1533" s="10" t="str">
        <f t="shared" si="399"/>
        <v>no</v>
      </c>
      <c r="L1533" t="s">
        <v>598</v>
      </c>
      <c r="M1533">
        <v>10834</v>
      </c>
      <c r="N1533">
        <v>29</v>
      </c>
      <c r="O1533" t="s">
        <v>722</v>
      </c>
      <c r="P1533" t="str">
        <f t="shared" si="400"/>
        <v>TRADH_10834_Thüringer Rostbratwurst</v>
      </c>
      <c r="Q1533" t="str">
        <f t="shared" si="401"/>
        <v>10834</v>
      </c>
      <c r="R1533" t="str">
        <f t="shared" si="402"/>
        <v>10834</v>
      </c>
      <c r="S1533" t="str">
        <f t="shared" si="403"/>
        <v>Thüringer Rostbratwurst</v>
      </c>
      <c r="T1533">
        <v>123.79</v>
      </c>
      <c r="U1533">
        <v>8</v>
      </c>
      <c r="V1533">
        <v>0.05</v>
      </c>
      <c r="W1533">
        <f t="shared" si="404"/>
        <v>940.80399999999997</v>
      </c>
      <c r="X1533" t="str">
        <f t="shared" si="405"/>
        <v>yes</v>
      </c>
      <c r="Y1533" s="2">
        <v>35110</v>
      </c>
      <c r="Z1533" t="str">
        <f t="shared" si="391"/>
        <v>1st Q 1996</v>
      </c>
      <c r="AA1533" t="str">
        <f t="shared" si="406"/>
        <v>1st Q 1996</v>
      </c>
      <c r="AB1533" t="str" cm="1">
        <f t="array" ref="AB1533">_xlfn.IFS(Y1533&lt;DATE(1996,1,1),"",Y1533&lt;DATE(1996,4,1),"Q1",Y1533&lt;DATE(1996,7,1),"Q2",Y1533&gt;=DATE(1996,7,1),"")</f>
        <v>Q1</v>
      </c>
    </row>
    <row r="1534" spans="1:28" ht="14.4" x14ac:dyDescent="0.55000000000000004">
      <c r="A1534" t="str">
        <f>VLOOKUP(L1534,Customers!$A$2:$B$92,2,FALSE)</f>
        <v>Tradição Hipermercados</v>
      </c>
      <c r="B1534" t="str">
        <f>VLOOKUP(L1534,Customers!$A$2:$C$92,3,TRUE)</f>
        <v>Anabela Domingues</v>
      </c>
      <c r="C1534" t="str">
        <f t="shared" si="392"/>
        <v>Anabela</v>
      </c>
      <c r="D1534" s="8" t="str">
        <f t="shared" si="393"/>
        <v>Domingues</v>
      </c>
      <c r="E1534" s="8" t="str">
        <f t="shared" si="394"/>
        <v>Domingues, Anabela</v>
      </c>
      <c r="F1534" s="8" t="str">
        <f t="shared" si="395"/>
        <v>Domingues, Anabela</v>
      </c>
      <c r="G1534" s="8" t="str">
        <f t="shared" si="396"/>
        <v>not an outlier</v>
      </c>
      <c r="H1534" s="8" t="str">
        <f t="shared" si="397"/>
        <v>Not</v>
      </c>
      <c r="I1534" s="8" t="str">
        <f t="shared" si="407"/>
        <v>no</v>
      </c>
      <c r="J1534" s="10" t="str">
        <f t="shared" si="398"/>
        <v>no</v>
      </c>
      <c r="K1534" s="10" t="str">
        <f t="shared" si="399"/>
        <v>no</v>
      </c>
      <c r="L1534" t="s">
        <v>598</v>
      </c>
      <c r="M1534">
        <v>10834</v>
      </c>
      <c r="N1534">
        <v>30</v>
      </c>
      <c r="O1534" t="s">
        <v>717</v>
      </c>
      <c r="P1534" t="str">
        <f t="shared" si="400"/>
        <v>TRADH_10834_Nord-Ost Matjeshering</v>
      </c>
      <c r="Q1534" t="str">
        <f t="shared" si="401"/>
        <v>10834</v>
      </c>
      <c r="R1534" t="str">
        <f t="shared" si="402"/>
        <v>10834</v>
      </c>
      <c r="S1534" t="str">
        <f t="shared" si="403"/>
        <v>Nord-Ost Matjeshering</v>
      </c>
      <c r="T1534">
        <v>25.89</v>
      </c>
      <c r="U1534">
        <v>20</v>
      </c>
      <c r="V1534">
        <v>0.05</v>
      </c>
      <c r="W1534">
        <f t="shared" si="404"/>
        <v>491.90999999999991</v>
      </c>
      <c r="X1534" t="str">
        <f t="shared" si="405"/>
        <v>yes</v>
      </c>
      <c r="Y1534" s="2">
        <v>35110</v>
      </c>
      <c r="Z1534" t="str">
        <f t="shared" si="391"/>
        <v>1st Q 1996</v>
      </c>
      <c r="AA1534" t="str">
        <f t="shared" si="406"/>
        <v>1st Q 1996</v>
      </c>
      <c r="AB1534" t="str" cm="1">
        <f t="array" ref="AB1534">_xlfn.IFS(Y1534&lt;DATE(1996,1,1),"",Y1534&lt;DATE(1996,4,1),"Q1",Y1534&lt;DATE(1996,7,1),"Q2",Y1534&gt;=DATE(1996,7,1),"")</f>
        <v>Q1</v>
      </c>
    </row>
    <row r="1535" spans="1:28" ht="14.4" x14ac:dyDescent="0.55000000000000004">
      <c r="A1535" t="str">
        <f>VLOOKUP(L1535,Customers!$A$2:$B$92,2,FALSE)</f>
        <v>Alfreds Futterkiste</v>
      </c>
      <c r="B1535" t="str">
        <f>VLOOKUP(L1535,Customers!$A$2:$C$92,3,TRUE)</f>
        <v>Maria Anders</v>
      </c>
      <c r="C1535" t="str">
        <f t="shared" si="392"/>
        <v>Maria</v>
      </c>
      <c r="D1535" s="8" t="str">
        <f t="shared" si="393"/>
        <v>Anders</v>
      </c>
      <c r="E1535" s="8" t="str">
        <f t="shared" si="394"/>
        <v>Anders, Maria</v>
      </c>
      <c r="F1535" s="8" t="str">
        <f t="shared" si="395"/>
        <v>Anders, Maria</v>
      </c>
      <c r="G1535" s="8" t="str">
        <f t="shared" si="396"/>
        <v>not an outlier</v>
      </c>
      <c r="H1535" s="8" t="str">
        <f t="shared" si="397"/>
        <v>Not</v>
      </c>
      <c r="I1535" s="8" t="str">
        <f t="shared" si="407"/>
        <v>no</v>
      </c>
      <c r="J1535" s="10" t="str">
        <f t="shared" si="398"/>
        <v>no</v>
      </c>
      <c r="K1535" s="10" t="str">
        <f t="shared" si="399"/>
        <v>no</v>
      </c>
      <c r="L1535" t="s">
        <v>11</v>
      </c>
      <c r="M1535">
        <v>10835</v>
      </c>
      <c r="N1535">
        <v>59</v>
      </c>
      <c r="O1535" t="s">
        <v>704</v>
      </c>
      <c r="P1535" t="str">
        <f t="shared" si="400"/>
        <v>ALFKI_10835_Raclette Courdavault</v>
      </c>
      <c r="Q1535" t="str">
        <f t="shared" si="401"/>
        <v>10835</v>
      </c>
      <c r="R1535" t="str">
        <f t="shared" si="402"/>
        <v>10835</v>
      </c>
      <c r="S1535" t="str">
        <f t="shared" si="403"/>
        <v>Raclette Courdavault</v>
      </c>
      <c r="T1535">
        <v>55</v>
      </c>
      <c r="U1535">
        <v>15</v>
      </c>
      <c r="V1535">
        <v>0</v>
      </c>
      <c r="W1535">
        <f t="shared" si="404"/>
        <v>825</v>
      </c>
      <c r="X1535" t="str">
        <f t="shared" si="405"/>
        <v>yes</v>
      </c>
      <c r="Y1535" s="2">
        <v>35110</v>
      </c>
      <c r="Z1535" t="str">
        <f t="shared" si="391"/>
        <v>1st Q 1996</v>
      </c>
      <c r="AA1535" t="str">
        <f t="shared" si="406"/>
        <v>1st Q 1996</v>
      </c>
      <c r="AB1535" t="str" cm="1">
        <f t="array" ref="AB1535">_xlfn.IFS(Y1535&lt;DATE(1996,1,1),"",Y1535&lt;DATE(1996,4,1),"Q1",Y1535&lt;DATE(1996,7,1),"Q2",Y1535&gt;=DATE(1996,7,1),"")</f>
        <v>Q1</v>
      </c>
    </row>
    <row r="1536" spans="1:28" ht="14.4" x14ac:dyDescent="0.55000000000000004">
      <c r="A1536" t="str">
        <f>VLOOKUP(L1536,Customers!$A$2:$B$92,2,FALSE)</f>
        <v>Alfreds Futterkiste</v>
      </c>
      <c r="B1536" t="str">
        <f>VLOOKUP(L1536,Customers!$A$2:$C$92,3,TRUE)</f>
        <v>Maria Anders</v>
      </c>
      <c r="C1536" t="str">
        <f t="shared" si="392"/>
        <v>Maria</v>
      </c>
      <c r="D1536" s="8" t="str">
        <f t="shared" si="393"/>
        <v>Anders</v>
      </c>
      <c r="E1536" s="8" t="str">
        <f t="shared" si="394"/>
        <v>Anders, Maria</v>
      </c>
      <c r="F1536" s="8" t="str">
        <f t="shared" si="395"/>
        <v>Anders, Maria</v>
      </c>
      <c r="G1536" s="8" t="str">
        <f t="shared" si="396"/>
        <v>not an outlier</v>
      </c>
      <c r="H1536" s="8" t="str">
        <f t="shared" si="397"/>
        <v>Not</v>
      </c>
      <c r="I1536" s="8" t="str">
        <f t="shared" si="407"/>
        <v>no</v>
      </c>
      <c r="J1536" s="10" t="str">
        <f t="shared" si="398"/>
        <v>no</v>
      </c>
      <c r="K1536" s="10" t="str">
        <f t="shared" si="399"/>
        <v>no</v>
      </c>
      <c r="L1536" t="s">
        <v>11</v>
      </c>
      <c r="M1536">
        <v>10835</v>
      </c>
      <c r="N1536">
        <v>77</v>
      </c>
      <c r="O1536" t="s">
        <v>706</v>
      </c>
      <c r="P1536" t="str">
        <f t="shared" si="400"/>
        <v>ALFKI_10835_Original Frankfurter grüne Soße</v>
      </c>
      <c r="Q1536" t="str">
        <f t="shared" si="401"/>
        <v>10835</v>
      </c>
      <c r="R1536" t="str">
        <f t="shared" si="402"/>
        <v>10835</v>
      </c>
      <c r="S1536" t="str">
        <f t="shared" si="403"/>
        <v>Original Frankfurter grüne Soße</v>
      </c>
      <c r="T1536">
        <v>13</v>
      </c>
      <c r="U1536">
        <v>2</v>
      </c>
      <c r="V1536">
        <v>0.2</v>
      </c>
      <c r="W1536">
        <f t="shared" si="404"/>
        <v>20.8</v>
      </c>
      <c r="X1536" t="str">
        <f t="shared" si="405"/>
        <v>yes</v>
      </c>
      <c r="Y1536" s="2">
        <v>35110</v>
      </c>
      <c r="Z1536" t="str">
        <f t="shared" si="391"/>
        <v>1st Q 1996</v>
      </c>
      <c r="AA1536" t="str">
        <f t="shared" si="406"/>
        <v>1st Q 1996</v>
      </c>
      <c r="AB1536" t="str" cm="1">
        <f t="array" ref="AB1536">_xlfn.IFS(Y1536&lt;DATE(1996,1,1),"",Y1536&lt;DATE(1996,4,1),"Q1",Y1536&lt;DATE(1996,7,1),"Q2",Y1536&gt;=DATE(1996,7,1),"")</f>
        <v>Q1</v>
      </c>
    </row>
    <row r="1537" spans="1:28" ht="14.4" x14ac:dyDescent="0.55000000000000004">
      <c r="A1537" t="str">
        <f>VLOOKUP(L1537,Customers!$A$2:$B$92,2,FALSE)</f>
        <v>Ernst Handel</v>
      </c>
      <c r="B1537" t="str">
        <f>VLOOKUP(L1537,Customers!$A$2:$C$92,3,TRUE)</f>
        <v>Roland Mendel</v>
      </c>
      <c r="C1537" t="str">
        <f t="shared" si="392"/>
        <v>Roland</v>
      </c>
      <c r="D1537" s="8" t="str">
        <f t="shared" si="393"/>
        <v>Mendel</v>
      </c>
      <c r="E1537" s="8" t="str">
        <f t="shared" si="394"/>
        <v>Mendel, Roland</v>
      </c>
      <c r="F1537" s="8" t="str">
        <f t="shared" si="395"/>
        <v>Mendel, Roland</v>
      </c>
      <c r="G1537" s="8" t="str">
        <f t="shared" si="396"/>
        <v>not an outlier</v>
      </c>
      <c r="H1537" s="8" t="str">
        <f t="shared" si="397"/>
        <v>Not</v>
      </c>
      <c r="I1537" s="8" t="str">
        <f t="shared" si="407"/>
        <v>no</v>
      </c>
      <c r="J1537" s="10" t="str">
        <f t="shared" si="398"/>
        <v>no</v>
      </c>
      <c r="K1537" s="10" t="str">
        <f t="shared" si="399"/>
        <v>no</v>
      </c>
      <c r="L1537" t="s">
        <v>161</v>
      </c>
      <c r="M1537">
        <v>10836</v>
      </c>
      <c r="N1537">
        <v>22</v>
      </c>
      <c r="O1537" t="s">
        <v>690</v>
      </c>
      <c r="P1537" t="str">
        <f t="shared" si="400"/>
        <v>ERNSH_10836_Gustaf's Knäckebröd</v>
      </c>
      <c r="Q1537" t="str">
        <f t="shared" si="401"/>
        <v>10836</v>
      </c>
      <c r="R1537" t="str">
        <f t="shared" si="402"/>
        <v>10836</v>
      </c>
      <c r="S1537" t="str">
        <f t="shared" si="403"/>
        <v>Gustaf's Knäckebröd</v>
      </c>
      <c r="T1537">
        <v>21</v>
      </c>
      <c r="U1537">
        <v>52</v>
      </c>
      <c r="V1537">
        <v>0</v>
      </c>
      <c r="W1537">
        <f t="shared" si="404"/>
        <v>1092</v>
      </c>
      <c r="X1537" t="str">
        <f t="shared" si="405"/>
        <v>yes</v>
      </c>
      <c r="Y1537" s="2">
        <v>35111</v>
      </c>
      <c r="Z1537" t="str">
        <f t="shared" ref="Z1537:Z1600" si="408">IF(Y1537&gt;=DATE(1996,1,1), IF(Y1537&lt;DATE(1996,4,1),"1st Q 1996",""),"")</f>
        <v>1st Q 1996</v>
      </c>
      <c r="AA1537" t="str">
        <f t="shared" si="406"/>
        <v>1st Q 1996</v>
      </c>
      <c r="AB1537" t="str" cm="1">
        <f t="array" ref="AB1537">_xlfn.IFS(Y1537&lt;DATE(1996,1,1),"",Y1537&lt;DATE(1996,4,1),"Q1",Y1537&lt;DATE(1996,7,1),"Q2",Y1537&gt;=DATE(1996,7,1),"")</f>
        <v>Q1</v>
      </c>
    </row>
    <row r="1538" spans="1:28" ht="14.4" x14ac:dyDescent="0.55000000000000004">
      <c r="A1538" t="str">
        <f>VLOOKUP(L1538,Customers!$A$2:$B$92,2,FALSE)</f>
        <v>Ernst Handel</v>
      </c>
      <c r="B1538" t="str">
        <f>VLOOKUP(L1538,Customers!$A$2:$C$92,3,TRUE)</f>
        <v>Roland Mendel</v>
      </c>
      <c r="C1538" t="str">
        <f t="shared" si="392"/>
        <v>Roland</v>
      </c>
      <c r="D1538" s="8" t="str">
        <f t="shared" si="393"/>
        <v>Mendel</v>
      </c>
      <c r="E1538" s="8" t="str">
        <f t="shared" si="394"/>
        <v>Mendel, Roland</v>
      </c>
      <c r="F1538" s="8" t="str">
        <f t="shared" si="395"/>
        <v>Mendel, Roland</v>
      </c>
      <c r="G1538" s="8" t="str">
        <f t="shared" si="396"/>
        <v>not an outlier</v>
      </c>
      <c r="H1538" s="8" t="str">
        <f t="shared" si="397"/>
        <v>Not</v>
      </c>
      <c r="I1538" s="8" t="str">
        <f t="shared" si="407"/>
        <v>no</v>
      </c>
      <c r="J1538" s="10" t="str">
        <f t="shared" si="398"/>
        <v>no</v>
      </c>
      <c r="K1538" s="10" t="str">
        <f t="shared" si="399"/>
        <v>no</v>
      </c>
      <c r="L1538" t="s">
        <v>161</v>
      </c>
      <c r="M1538">
        <v>10836</v>
      </c>
      <c r="N1538">
        <v>35</v>
      </c>
      <c r="O1538" t="s">
        <v>714</v>
      </c>
      <c r="P1538" t="str">
        <f t="shared" si="400"/>
        <v>ERNSH_10836_Steeleye Stout</v>
      </c>
      <c r="Q1538" t="str">
        <f t="shared" si="401"/>
        <v>10836</v>
      </c>
      <c r="R1538" t="str">
        <f t="shared" si="402"/>
        <v>10836</v>
      </c>
      <c r="S1538" t="str">
        <f t="shared" si="403"/>
        <v>Steeleye Stout</v>
      </c>
      <c r="T1538">
        <v>18</v>
      </c>
      <c r="U1538">
        <v>6</v>
      </c>
      <c r="V1538">
        <v>0</v>
      </c>
      <c r="W1538">
        <f t="shared" si="404"/>
        <v>108</v>
      </c>
      <c r="X1538" t="str">
        <f t="shared" si="405"/>
        <v>yes</v>
      </c>
      <c r="Y1538" s="2">
        <v>35111</v>
      </c>
      <c r="Z1538" t="str">
        <f t="shared" si="408"/>
        <v>1st Q 1996</v>
      </c>
      <c r="AA1538" t="str">
        <f t="shared" si="406"/>
        <v>1st Q 1996</v>
      </c>
      <c r="AB1538" t="str" cm="1">
        <f t="array" ref="AB1538">_xlfn.IFS(Y1538&lt;DATE(1996,1,1),"",Y1538&lt;DATE(1996,4,1),"Q1",Y1538&lt;DATE(1996,7,1),"Q2",Y1538&gt;=DATE(1996,7,1),"")</f>
        <v>Q1</v>
      </c>
    </row>
    <row r="1539" spans="1:28" ht="14.4" x14ac:dyDescent="0.55000000000000004">
      <c r="A1539" t="str">
        <f>VLOOKUP(L1539,Customers!$A$2:$B$92,2,FALSE)</f>
        <v>Ernst Handel</v>
      </c>
      <c r="B1539" t="str">
        <f>VLOOKUP(L1539,Customers!$A$2:$C$92,3,TRUE)</f>
        <v>Roland Mendel</v>
      </c>
      <c r="C1539" t="str">
        <f t="shared" ref="C1539:C1602" si="409">LEFT(B1539,FIND(" ",B1539)-1)</f>
        <v>Roland</v>
      </c>
      <c r="D1539" s="8" t="str">
        <f t="shared" ref="D1539:D1602" si="410">RIGHT(B1539,LEN(B1539)-FIND(" ",B1539))</f>
        <v>Mendel</v>
      </c>
      <c r="E1539" s="8" t="str">
        <f t="shared" ref="E1539:E1602" si="411">_xlfn.CONCAT(D1539,", ",C1539)</f>
        <v>Mendel, Roland</v>
      </c>
      <c r="F1539" s="8" t="str">
        <f t="shared" ref="F1539:F1602" si="412">D1539&amp;", "&amp;C1539</f>
        <v>Mendel, Roland</v>
      </c>
      <c r="G1539" s="8" t="str">
        <f t="shared" ref="G1539:G1602" si="413">IF(OR(W1539&gt;$W$2166,W1539&lt;$W$2167),"outlier","not an outlier")</f>
        <v>not an outlier</v>
      </c>
      <c r="H1539" s="8" t="str">
        <f t="shared" ref="H1539:H1602" si="414">IF(OR(W1539&gt;$W$2166,W1539&lt;$W$2167),"outlier",IF(OR(W1539&gt;$W$2168,W1539&lt;$W$2169),"moderate","Not"))</f>
        <v>Not</v>
      </c>
      <c r="I1539" s="8" t="str">
        <f t="shared" si="407"/>
        <v>no</v>
      </c>
      <c r="J1539" s="10" t="str">
        <f t="shared" ref="J1539:J1602" si="415">IF(AND(W1539&lt;=$W$2166,W1539&gt;=$W$2167),"no","yes")</f>
        <v>no</v>
      </c>
      <c r="K1539" s="10" t="str">
        <f t="shared" ref="K1539:K1602" si="416">IF(OR(W1539&gt;$W$2166,W1539&lt;$W$2167),"yes",IF(OR(W1539&gt;$W$2168,W1539&lt;$W$2169),"moderate","no"))</f>
        <v>no</v>
      </c>
      <c r="L1539" t="s">
        <v>161</v>
      </c>
      <c r="M1539">
        <v>10836</v>
      </c>
      <c r="N1539">
        <v>57</v>
      </c>
      <c r="O1539" t="s">
        <v>691</v>
      </c>
      <c r="P1539" t="str">
        <f t="shared" ref="P1539:P1602" si="417">L1539&amp;"_"&amp;M1539&amp;"_"&amp;O1539</f>
        <v>ERNSH_10836_Ravioli Angelo</v>
      </c>
      <c r="Q1539" t="str">
        <f t="shared" ref="Q1539:Q1602" si="418">LEFT(RIGHT(P1539,LEN(P1539)-FIND("_",P1539)), FIND("_",P1539)-1)</f>
        <v>10836</v>
      </c>
      <c r="R1539" t="str">
        <f t="shared" ref="R1539:R1602" si="419">MID(P1539,FIND("_",P1539)+1,FIND("_",P1539,FIND("_",P1539))-1)</f>
        <v>10836</v>
      </c>
      <c r="S1539" t="str">
        <f t="shared" ref="S1539:S1602" si="420">MID(P1539,FIND("_",P1539,FIND("_",P1539)+1)+1,LEN(P1539))</f>
        <v>Ravioli Angelo</v>
      </c>
      <c r="T1539">
        <v>19.5</v>
      </c>
      <c r="U1539">
        <v>24</v>
      </c>
      <c r="V1539">
        <v>0</v>
      </c>
      <c r="W1539">
        <f t="shared" ref="W1539:W1602" si="421">T1539*U1539*(1-V1539)</f>
        <v>468</v>
      </c>
      <c r="X1539" t="str">
        <f t="shared" ref="X1539:X1602" si="422">IF(YEAR(Y1539)&gt;=1996,"yes","No")</f>
        <v>yes</v>
      </c>
      <c r="Y1539" s="2">
        <v>35111</v>
      </c>
      <c r="Z1539" t="str">
        <f t="shared" si="408"/>
        <v>1st Q 1996</v>
      </c>
      <c r="AA1539" t="str">
        <f t="shared" ref="AA1539:AA1602" si="423">IF(Y1539&lt;DATE(1996,1,1),"", IF(Y1539&lt;DATE(1996,4,1),"1st Q 1996",IF(Y1539&lt;DATE(1996,7,1),"2nd Q 1996","")))</f>
        <v>1st Q 1996</v>
      </c>
      <c r="AB1539" t="str" cm="1">
        <f t="array" ref="AB1539">_xlfn.IFS(Y1539&lt;DATE(1996,1,1),"",Y1539&lt;DATE(1996,4,1),"Q1",Y1539&lt;DATE(1996,7,1),"Q2",Y1539&gt;=DATE(1996,7,1),"")</f>
        <v>Q1</v>
      </c>
    </row>
    <row r="1540" spans="1:28" ht="14.4" x14ac:dyDescent="0.55000000000000004">
      <c r="A1540" t="str">
        <f>VLOOKUP(L1540,Customers!$A$2:$B$92,2,FALSE)</f>
        <v>Ernst Handel</v>
      </c>
      <c r="B1540" t="str">
        <f>VLOOKUP(L1540,Customers!$A$2:$C$92,3,TRUE)</f>
        <v>Roland Mendel</v>
      </c>
      <c r="C1540" t="str">
        <f t="shared" si="409"/>
        <v>Roland</v>
      </c>
      <c r="D1540" s="8" t="str">
        <f t="shared" si="410"/>
        <v>Mendel</v>
      </c>
      <c r="E1540" s="8" t="str">
        <f t="shared" si="411"/>
        <v>Mendel, Roland</v>
      </c>
      <c r="F1540" s="8" t="str">
        <f t="shared" si="412"/>
        <v>Mendel, Roland</v>
      </c>
      <c r="G1540" s="8" t="str">
        <f t="shared" si="413"/>
        <v>not an outlier</v>
      </c>
      <c r="H1540" s="8" t="str">
        <f t="shared" si="414"/>
        <v>Not</v>
      </c>
      <c r="I1540" s="8" t="str">
        <f t="shared" ref="I1540:I1603" si="424">IF(OR(W1540&gt;$W$2166,W1540&lt;$W$2167),"yes","no")</f>
        <v>no</v>
      </c>
      <c r="J1540" s="10" t="str">
        <f t="shared" si="415"/>
        <v>no</v>
      </c>
      <c r="K1540" s="10" t="str">
        <f t="shared" si="416"/>
        <v>no</v>
      </c>
      <c r="L1540" t="s">
        <v>161</v>
      </c>
      <c r="M1540">
        <v>10836</v>
      </c>
      <c r="N1540">
        <v>60</v>
      </c>
      <c r="O1540" t="s">
        <v>694</v>
      </c>
      <c r="P1540" t="str">
        <f t="shared" si="417"/>
        <v>ERNSH_10836_Camembert Pierrot</v>
      </c>
      <c r="Q1540" t="str">
        <f t="shared" si="418"/>
        <v>10836</v>
      </c>
      <c r="R1540" t="str">
        <f t="shared" si="419"/>
        <v>10836</v>
      </c>
      <c r="S1540" t="str">
        <f t="shared" si="420"/>
        <v>Camembert Pierrot</v>
      </c>
      <c r="T1540">
        <v>34</v>
      </c>
      <c r="U1540">
        <v>60</v>
      </c>
      <c r="V1540">
        <v>0</v>
      </c>
      <c r="W1540">
        <f t="shared" si="421"/>
        <v>2040</v>
      </c>
      <c r="X1540" t="str">
        <f t="shared" si="422"/>
        <v>yes</v>
      </c>
      <c r="Y1540" s="2">
        <v>35111</v>
      </c>
      <c r="Z1540" t="str">
        <f t="shared" si="408"/>
        <v>1st Q 1996</v>
      </c>
      <c r="AA1540" t="str">
        <f t="shared" si="423"/>
        <v>1st Q 1996</v>
      </c>
      <c r="AB1540" t="str" cm="1">
        <f t="array" ref="AB1540">_xlfn.IFS(Y1540&lt;DATE(1996,1,1),"",Y1540&lt;DATE(1996,4,1),"Q1",Y1540&lt;DATE(1996,7,1),"Q2",Y1540&gt;=DATE(1996,7,1),"")</f>
        <v>Q1</v>
      </c>
    </row>
    <row r="1541" spans="1:28" ht="14.4" x14ac:dyDescent="0.55000000000000004">
      <c r="A1541" t="str">
        <f>VLOOKUP(L1541,Customers!$A$2:$B$92,2,FALSE)</f>
        <v>Ernst Handel</v>
      </c>
      <c r="B1541" t="str">
        <f>VLOOKUP(L1541,Customers!$A$2:$C$92,3,TRUE)</f>
        <v>Roland Mendel</v>
      </c>
      <c r="C1541" t="str">
        <f t="shared" si="409"/>
        <v>Roland</v>
      </c>
      <c r="D1541" s="8" t="str">
        <f t="shared" si="410"/>
        <v>Mendel</v>
      </c>
      <c r="E1541" s="8" t="str">
        <f t="shared" si="411"/>
        <v>Mendel, Roland</v>
      </c>
      <c r="F1541" s="8" t="str">
        <f t="shared" si="412"/>
        <v>Mendel, Roland</v>
      </c>
      <c r="G1541" s="8" t="str">
        <f t="shared" si="413"/>
        <v>not an outlier</v>
      </c>
      <c r="H1541" s="8" t="str">
        <f t="shared" si="414"/>
        <v>Not</v>
      </c>
      <c r="I1541" s="8" t="str">
        <f t="shared" si="424"/>
        <v>no</v>
      </c>
      <c r="J1541" s="10" t="str">
        <f t="shared" si="415"/>
        <v>no</v>
      </c>
      <c r="K1541" s="10" t="str">
        <f t="shared" si="416"/>
        <v>no</v>
      </c>
      <c r="L1541" t="s">
        <v>161</v>
      </c>
      <c r="M1541">
        <v>10836</v>
      </c>
      <c r="N1541">
        <v>64</v>
      </c>
      <c r="O1541" t="s">
        <v>741</v>
      </c>
      <c r="P1541" t="str">
        <f t="shared" si="417"/>
        <v>ERNSH_10836_Wimmers gute Semmelknödel</v>
      </c>
      <c r="Q1541" t="str">
        <f t="shared" si="418"/>
        <v>10836</v>
      </c>
      <c r="R1541" t="str">
        <f t="shared" si="419"/>
        <v>10836</v>
      </c>
      <c r="S1541" t="str">
        <f t="shared" si="420"/>
        <v>Wimmers gute Semmelknödel</v>
      </c>
      <c r="T1541">
        <v>33.25</v>
      </c>
      <c r="U1541">
        <v>30</v>
      </c>
      <c r="V1541">
        <v>0</v>
      </c>
      <c r="W1541">
        <f t="shared" si="421"/>
        <v>997.5</v>
      </c>
      <c r="X1541" t="str">
        <f t="shared" si="422"/>
        <v>yes</v>
      </c>
      <c r="Y1541" s="2">
        <v>35111</v>
      </c>
      <c r="Z1541" t="str">
        <f t="shared" si="408"/>
        <v>1st Q 1996</v>
      </c>
      <c r="AA1541" t="str">
        <f t="shared" si="423"/>
        <v>1st Q 1996</v>
      </c>
      <c r="AB1541" t="str" cm="1">
        <f t="array" ref="AB1541">_xlfn.IFS(Y1541&lt;DATE(1996,1,1),"",Y1541&lt;DATE(1996,4,1),"Q1",Y1541&lt;DATE(1996,7,1),"Q2",Y1541&gt;=DATE(1996,7,1),"")</f>
        <v>Q1</v>
      </c>
    </row>
    <row r="1542" spans="1:28" ht="14.4" x14ac:dyDescent="0.55000000000000004">
      <c r="A1542" t="str">
        <f>VLOOKUP(L1542,Customers!$A$2:$B$92,2,FALSE)</f>
        <v>Berglunds snabbköp</v>
      </c>
      <c r="B1542" t="str">
        <f>VLOOKUP(L1542,Customers!$A$2:$C$92,3,TRUE)</f>
        <v>Christina Berglund</v>
      </c>
      <c r="C1542" t="str">
        <f t="shared" si="409"/>
        <v>Christina</v>
      </c>
      <c r="D1542" s="8" t="str">
        <f t="shared" si="410"/>
        <v>Berglund</v>
      </c>
      <c r="E1542" s="8" t="str">
        <f t="shared" si="411"/>
        <v>Berglund, Christina</v>
      </c>
      <c r="F1542" s="8" t="str">
        <f t="shared" si="412"/>
        <v>Berglund, Christina</v>
      </c>
      <c r="G1542" s="8" t="str">
        <f t="shared" si="413"/>
        <v>not an outlier</v>
      </c>
      <c r="H1542" s="8" t="str">
        <f t="shared" si="414"/>
        <v>Not</v>
      </c>
      <c r="I1542" s="8" t="str">
        <f t="shared" si="424"/>
        <v>no</v>
      </c>
      <c r="J1542" s="10" t="str">
        <f t="shared" si="415"/>
        <v>no</v>
      </c>
      <c r="K1542" s="10" t="str">
        <f t="shared" si="416"/>
        <v>no</v>
      </c>
      <c r="L1542" t="s">
        <v>43</v>
      </c>
      <c r="M1542">
        <v>10837</v>
      </c>
      <c r="N1542">
        <v>13</v>
      </c>
      <c r="O1542" t="s">
        <v>726</v>
      </c>
      <c r="P1542" t="str">
        <f t="shared" si="417"/>
        <v>BERGS_10837_Konbu</v>
      </c>
      <c r="Q1542" t="str">
        <f t="shared" si="418"/>
        <v>10837</v>
      </c>
      <c r="R1542" t="str">
        <f t="shared" si="419"/>
        <v>10837</v>
      </c>
      <c r="S1542" t="str">
        <f t="shared" si="420"/>
        <v>Konbu</v>
      </c>
      <c r="T1542">
        <v>6</v>
      </c>
      <c r="U1542">
        <v>6</v>
      </c>
      <c r="V1542">
        <v>0</v>
      </c>
      <c r="W1542">
        <f t="shared" si="421"/>
        <v>36</v>
      </c>
      <c r="X1542" t="str">
        <f t="shared" si="422"/>
        <v>yes</v>
      </c>
      <c r="Y1542" s="2">
        <v>35111</v>
      </c>
      <c r="Z1542" t="str">
        <f t="shared" si="408"/>
        <v>1st Q 1996</v>
      </c>
      <c r="AA1542" t="str">
        <f t="shared" si="423"/>
        <v>1st Q 1996</v>
      </c>
      <c r="AB1542" t="str" cm="1">
        <f t="array" ref="AB1542">_xlfn.IFS(Y1542&lt;DATE(1996,1,1),"",Y1542&lt;DATE(1996,4,1),"Q1",Y1542&lt;DATE(1996,7,1),"Q2",Y1542&gt;=DATE(1996,7,1),"")</f>
        <v>Q1</v>
      </c>
    </row>
    <row r="1543" spans="1:28" ht="14.4" x14ac:dyDescent="0.55000000000000004">
      <c r="A1543" t="str">
        <f>VLOOKUP(L1543,Customers!$A$2:$B$92,2,FALSE)</f>
        <v>Berglunds snabbköp</v>
      </c>
      <c r="B1543" t="str">
        <f>VLOOKUP(L1543,Customers!$A$2:$C$92,3,TRUE)</f>
        <v>Christina Berglund</v>
      </c>
      <c r="C1543" t="str">
        <f t="shared" si="409"/>
        <v>Christina</v>
      </c>
      <c r="D1543" s="8" t="str">
        <f t="shared" si="410"/>
        <v>Berglund</v>
      </c>
      <c r="E1543" s="8" t="str">
        <f t="shared" si="411"/>
        <v>Berglund, Christina</v>
      </c>
      <c r="F1543" s="8" t="str">
        <f t="shared" si="412"/>
        <v>Berglund, Christina</v>
      </c>
      <c r="G1543" s="8" t="str">
        <f t="shared" si="413"/>
        <v>not an outlier</v>
      </c>
      <c r="H1543" s="8" t="str">
        <f t="shared" si="414"/>
        <v>Not</v>
      </c>
      <c r="I1543" s="8" t="str">
        <f t="shared" si="424"/>
        <v>no</v>
      </c>
      <c r="J1543" s="10" t="str">
        <f t="shared" si="415"/>
        <v>no</v>
      </c>
      <c r="K1543" s="10" t="str">
        <f t="shared" si="416"/>
        <v>no</v>
      </c>
      <c r="L1543" t="s">
        <v>43</v>
      </c>
      <c r="M1543">
        <v>10837</v>
      </c>
      <c r="N1543">
        <v>40</v>
      </c>
      <c r="O1543" t="s">
        <v>720</v>
      </c>
      <c r="P1543" t="str">
        <f t="shared" si="417"/>
        <v>BERGS_10837_Boston Crab Meat</v>
      </c>
      <c r="Q1543" t="str">
        <f t="shared" si="418"/>
        <v>10837</v>
      </c>
      <c r="R1543" t="str">
        <f t="shared" si="419"/>
        <v>10837</v>
      </c>
      <c r="S1543" t="str">
        <f t="shared" si="420"/>
        <v>Boston Crab Meat</v>
      </c>
      <c r="T1543">
        <v>18.399999999999999</v>
      </c>
      <c r="U1543">
        <v>25</v>
      </c>
      <c r="V1543">
        <v>0</v>
      </c>
      <c r="W1543">
        <f t="shared" si="421"/>
        <v>459.99999999999994</v>
      </c>
      <c r="X1543" t="str">
        <f t="shared" si="422"/>
        <v>yes</v>
      </c>
      <c r="Y1543" s="2">
        <v>35111</v>
      </c>
      <c r="Z1543" t="str">
        <f t="shared" si="408"/>
        <v>1st Q 1996</v>
      </c>
      <c r="AA1543" t="str">
        <f t="shared" si="423"/>
        <v>1st Q 1996</v>
      </c>
      <c r="AB1543" t="str" cm="1">
        <f t="array" ref="AB1543">_xlfn.IFS(Y1543&lt;DATE(1996,1,1),"",Y1543&lt;DATE(1996,4,1),"Q1",Y1543&lt;DATE(1996,7,1),"Q2",Y1543&gt;=DATE(1996,7,1),"")</f>
        <v>Q1</v>
      </c>
    </row>
    <row r="1544" spans="1:28" ht="14.4" x14ac:dyDescent="0.55000000000000004">
      <c r="A1544" t="str">
        <f>VLOOKUP(L1544,Customers!$A$2:$B$92,2,FALSE)</f>
        <v>Berglunds snabbköp</v>
      </c>
      <c r="B1544" t="str">
        <f>VLOOKUP(L1544,Customers!$A$2:$C$92,3,TRUE)</f>
        <v>Christina Berglund</v>
      </c>
      <c r="C1544" t="str">
        <f t="shared" si="409"/>
        <v>Christina</v>
      </c>
      <c r="D1544" s="8" t="str">
        <f t="shared" si="410"/>
        <v>Berglund</v>
      </c>
      <c r="E1544" s="8" t="str">
        <f t="shared" si="411"/>
        <v>Berglund, Christina</v>
      </c>
      <c r="F1544" s="8" t="str">
        <f t="shared" si="412"/>
        <v>Berglund, Christina</v>
      </c>
      <c r="G1544" s="8" t="str">
        <f t="shared" si="413"/>
        <v>not an outlier</v>
      </c>
      <c r="H1544" s="8" t="str">
        <f t="shared" si="414"/>
        <v>Not</v>
      </c>
      <c r="I1544" s="8" t="str">
        <f t="shared" si="424"/>
        <v>no</v>
      </c>
      <c r="J1544" s="10" t="str">
        <f t="shared" si="415"/>
        <v>no</v>
      </c>
      <c r="K1544" s="10" t="str">
        <f t="shared" si="416"/>
        <v>no</v>
      </c>
      <c r="L1544" t="s">
        <v>43</v>
      </c>
      <c r="M1544">
        <v>10837</v>
      </c>
      <c r="N1544">
        <v>47</v>
      </c>
      <c r="O1544" t="s">
        <v>752</v>
      </c>
      <c r="P1544" t="str">
        <f t="shared" si="417"/>
        <v>BERGS_10837_Zaanse koeken</v>
      </c>
      <c r="Q1544" t="str">
        <f t="shared" si="418"/>
        <v>10837</v>
      </c>
      <c r="R1544" t="str">
        <f t="shared" si="419"/>
        <v>10837</v>
      </c>
      <c r="S1544" t="str">
        <f t="shared" si="420"/>
        <v>Zaanse koeken</v>
      </c>
      <c r="T1544">
        <v>9.5</v>
      </c>
      <c r="U1544">
        <v>40</v>
      </c>
      <c r="V1544">
        <v>0.25</v>
      </c>
      <c r="W1544">
        <f t="shared" si="421"/>
        <v>285</v>
      </c>
      <c r="X1544" t="str">
        <f t="shared" si="422"/>
        <v>yes</v>
      </c>
      <c r="Y1544" s="2">
        <v>35111</v>
      </c>
      <c r="Z1544" t="str">
        <f t="shared" si="408"/>
        <v>1st Q 1996</v>
      </c>
      <c r="AA1544" t="str">
        <f t="shared" si="423"/>
        <v>1st Q 1996</v>
      </c>
      <c r="AB1544" t="str" cm="1">
        <f t="array" ref="AB1544">_xlfn.IFS(Y1544&lt;DATE(1996,1,1),"",Y1544&lt;DATE(1996,4,1),"Q1",Y1544&lt;DATE(1996,7,1),"Q2",Y1544&gt;=DATE(1996,7,1),"")</f>
        <v>Q1</v>
      </c>
    </row>
    <row r="1545" spans="1:28" ht="14.4" x14ac:dyDescent="0.55000000000000004">
      <c r="A1545" t="str">
        <f>VLOOKUP(L1545,Customers!$A$2:$B$92,2,FALSE)</f>
        <v>Berglunds snabbköp</v>
      </c>
      <c r="B1545" t="str">
        <f>VLOOKUP(L1545,Customers!$A$2:$C$92,3,TRUE)</f>
        <v>Christina Berglund</v>
      </c>
      <c r="C1545" t="str">
        <f t="shared" si="409"/>
        <v>Christina</v>
      </c>
      <c r="D1545" s="8" t="str">
        <f t="shared" si="410"/>
        <v>Berglund</v>
      </c>
      <c r="E1545" s="8" t="str">
        <f t="shared" si="411"/>
        <v>Berglund, Christina</v>
      </c>
      <c r="F1545" s="8" t="str">
        <f t="shared" si="412"/>
        <v>Berglund, Christina</v>
      </c>
      <c r="G1545" s="8" t="str">
        <f t="shared" si="413"/>
        <v>not an outlier</v>
      </c>
      <c r="H1545" s="8" t="str">
        <f t="shared" si="414"/>
        <v>Not</v>
      </c>
      <c r="I1545" s="8" t="str">
        <f t="shared" si="424"/>
        <v>no</v>
      </c>
      <c r="J1545" s="10" t="str">
        <f t="shared" si="415"/>
        <v>no</v>
      </c>
      <c r="K1545" s="10" t="str">
        <f t="shared" si="416"/>
        <v>no</v>
      </c>
      <c r="L1545" t="s">
        <v>43</v>
      </c>
      <c r="M1545">
        <v>10837</v>
      </c>
      <c r="N1545">
        <v>76</v>
      </c>
      <c r="O1545" t="s">
        <v>721</v>
      </c>
      <c r="P1545" t="str">
        <f t="shared" si="417"/>
        <v>BERGS_10837_Lakkalikööri</v>
      </c>
      <c r="Q1545" t="str">
        <f t="shared" si="418"/>
        <v>10837</v>
      </c>
      <c r="R1545" t="str">
        <f t="shared" si="419"/>
        <v>10837</v>
      </c>
      <c r="S1545" t="str">
        <f t="shared" si="420"/>
        <v>Lakkalikööri</v>
      </c>
      <c r="T1545">
        <v>18</v>
      </c>
      <c r="U1545">
        <v>21</v>
      </c>
      <c r="V1545">
        <v>0.25</v>
      </c>
      <c r="W1545">
        <f t="shared" si="421"/>
        <v>283.5</v>
      </c>
      <c r="X1545" t="str">
        <f t="shared" si="422"/>
        <v>yes</v>
      </c>
      <c r="Y1545" s="2">
        <v>35111</v>
      </c>
      <c r="Z1545" t="str">
        <f t="shared" si="408"/>
        <v>1st Q 1996</v>
      </c>
      <c r="AA1545" t="str">
        <f t="shared" si="423"/>
        <v>1st Q 1996</v>
      </c>
      <c r="AB1545" t="str" cm="1">
        <f t="array" ref="AB1545">_xlfn.IFS(Y1545&lt;DATE(1996,1,1),"",Y1545&lt;DATE(1996,4,1),"Q1",Y1545&lt;DATE(1996,7,1),"Q2",Y1545&gt;=DATE(1996,7,1),"")</f>
        <v>Q1</v>
      </c>
    </row>
    <row r="1546" spans="1:28" ht="14.4" x14ac:dyDescent="0.55000000000000004">
      <c r="A1546" t="str">
        <f>VLOOKUP(L1546,Customers!$A$2:$B$92,2,FALSE)</f>
        <v>LINO-Delicateses</v>
      </c>
      <c r="B1546" t="str">
        <f>VLOOKUP(L1546,Customers!$A$2:$C$92,3,TRUE)</f>
        <v>Felipe Izquierdo</v>
      </c>
      <c r="C1546" t="str">
        <f t="shared" si="409"/>
        <v>Felipe</v>
      </c>
      <c r="D1546" s="8" t="str">
        <f t="shared" si="410"/>
        <v>Izquierdo</v>
      </c>
      <c r="E1546" s="8" t="str">
        <f t="shared" si="411"/>
        <v>Izquierdo, Felipe</v>
      </c>
      <c r="F1546" s="8" t="str">
        <f t="shared" si="412"/>
        <v>Izquierdo, Felipe</v>
      </c>
      <c r="G1546" s="8" t="str">
        <f t="shared" si="413"/>
        <v>not an outlier</v>
      </c>
      <c r="H1546" s="8" t="str">
        <f t="shared" si="414"/>
        <v>Not</v>
      </c>
      <c r="I1546" s="8" t="str">
        <f t="shared" si="424"/>
        <v>no</v>
      </c>
      <c r="J1546" s="10" t="str">
        <f t="shared" si="415"/>
        <v>no</v>
      </c>
      <c r="K1546" s="10" t="str">
        <f t="shared" si="416"/>
        <v>no</v>
      </c>
      <c r="L1546" t="s">
        <v>363</v>
      </c>
      <c r="M1546">
        <v>10838</v>
      </c>
      <c r="N1546">
        <v>1</v>
      </c>
      <c r="O1546" t="s">
        <v>735</v>
      </c>
      <c r="P1546" t="str">
        <f t="shared" si="417"/>
        <v>LINOD_10838_Chai</v>
      </c>
      <c r="Q1546" t="str">
        <f t="shared" si="418"/>
        <v>10838</v>
      </c>
      <c r="R1546" t="str">
        <f t="shared" si="419"/>
        <v>10838</v>
      </c>
      <c r="S1546" t="str">
        <f t="shared" si="420"/>
        <v>Chai</v>
      </c>
      <c r="T1546">
        <v>18</v>
      </c>
      <c r="U1546">
        <v>4</v>
      </c>
      <c r="V1546">
        <v>0.25</v>
      </c>
      <c r="W1546">
        <f t="shared" si="421"/>
        <v>54</v>
      </c>
      <c r="X1546" t="str">
        <f t="shared" si="422"/>
        <v>yes</v>
      </c>
      <c r="Y1546" s="2">
        <v>35114</v>
      </c>
      <c r="Z1546" t="str">
        <f t="shared" si="408"/>
        <v>1st Q 1996</v>
      </c>
      <c r="AA1546" t="str">
        <f t="shared" si="423"/>
        <v>1st Q 1996</v>
      </c>
      <c r="AB1546" t="str" cm="1">
        <f t="array" ref="AB1546">_xlfn.IFS(Y1546&lt;DATE(1996,1,1),"",Y1546&lt;DATE(1996,4,1),"Q1",Y1546&lt;DATE(1996,7,1),"Q2",Y1546&gt;=DATE(1996,7,1),"")</f>
        <v>Q1</v>
      </c>
    </row>
    <row r="1547" spans="1:28" ht="14.4" x14ac:dyDescent="0.55000000000000004">
      <c r="A1547" t="str">
        <f>VLOOKUP(L1547,Customers!$A$2:$B$92,2,FALSE)</f>
        <v>LINO-Delicateses</v>
      </c>
      <c r="B1547" t="str">
        <f>VLOOKUP(L1547,Customers!$A$2:$C$92,3,TRUE)</f>
        <v>Felipe Izquierdo</v>
      </c>
      <c r="C1547" t="str">
        <f t="shared" si="409"/>
        <v>Felipe</v>
      </c>
      <c r="D1547" s="8" t="str">
        <f t="shared" si="410"/>
        <v>Izquierdo</v>
      </c>
      <c r="E1547" s="8" t="str">
        <f t="shared" si="411"/>
        <v>Izquierdo, Felipe</v>
      </c>
      <c r="F1547" s="8" t="str">
        <f t="shared" si="412"/>
        <v>Izquierdo, Felipe</v>
      </c>
      <c r="G1547" s="8" t="str">
        <f t="shared" si="413"/>
        <v>not an outlier</v>
      </c>
      <c r="H1547" s="8" t="str">
        <f t="shared" si="414"/>
        <v>Not</v>
      </c>
      <c r="I1547" s="8" t="str">
        <f t="shared" si="424"/>
        <v>no</v>
      </c>
      <c r="J1547" s="10" t="str">
        <f t="shared" si="415"/>
        <v>no</v>
      </c>
      <c r="K1547" s="10" t="str">
        <f t="shared" si="416"/>
        <v>no</v>
      </c>
      <c r="L1547" t="s">
        <v>363</v>
      </c>
      <c r="M1547">
        <v>10838</v>
      </c>
      <c r="N1547">
        <v>18</v>
      </c>
      <c r="O1547" t="s">
        <v>742</v>
      </c>
      <c r="P1547" t="str">
        <f t="shared" si="417"/>
        <v>LINOD_10838_Carnarvon Tigers</v>
      </c>
      <c r="Q1547" t="str">
        <f t="shared" si="418"/>
        <v>10838</v>
      </c>
      <c r="R1547" t="str">
        <f t="shared" si="419"/>
        <v>10838</v>
      </c>
      <c r="S1547" t="str">
        <f t="shared" si="420"/>
        <v>Carnarvon Tigers</v>
      </c>
      <c r="T1547">
        <v>62.5</v>
      </c>
      <c r="U1547">
        <v>25</v>
      </c>
      <c r="V1547">
        <v>0.25</v>
      </c>
      <c r="W1547">
        <f t="shared" si="421"/>
        <v>1171.875</v>
      </c>
      <c r="X1547" t="str">
        <f t="shared" si="422"/>
        <v>yes</v>
      </c>
      <c r="Y1547" s="2">
        <v>35114</v>
      </c>
      <c r="Z1547" t="str">
        <f t="shared" si="408"/>
        <v>1st Q 1996</v>
      </c>
      <c r="AA1547" t="str">
        <f t="shared" si="423"/>
        <v>1st Q 1996</v>
      </c>
      <c r="AB1547" t="str" cm="1">
        <f t="array" ref="AB1547">_xlfn.IFS(Y1547&lt;DATE(1996,1,1),"",Y1547&lt;DATE(1996,4,1),"Q1",Y1547&lt;DATE(1996,7,1),"Q2",Y1547&gt;=DATE(1996,7,1),"")</f>
        <v>Q1</v>
      </c>
    </row>
    <row r="1548" spans="1:28" ht="14.4" x14ac:dyDescent="0.55000000000000004">
      <c r="A1548" t="str">
        <f>VLOOKUP(L1548,Customers!$A$2:$B$92,2,FALSE)</f>
        <v>LINO-Delicateses</v>
      </c>
      <c r="B1548" t="str">
        <f>VLOOKUP(L1548,Customers!$A$2:$C$92,3,TRUE)</f>
        <v>Felipe Izquierdo</v>
      </c>
      <c r="C1548" t="str">
        <f t="shared" si="409"/>
        <v>Felipe</v>
      </c>
      <c r="D1548" s="8" t="str">
        <f t="shared" si="410"/>
        <v>Izquierdo</v>
      </c>
      <c r="E1548" s="8" t="str">
        <f t="shared" si="411"/>
        <v>Izquierdo, Felipe</v>
      </c>
      <c r="F1548" s="8" t="str">
        <f t="shared" si="412"/>
        <v>Izquierdo, Felipe</v>
      </c>
      <c r="G1548" s="8" t="str">
        <f t="shared" si="413"/>
        <v>not an outlier</v>
      </c>
      <c r="H1548" s="8" t="str">
        <f t="shared" si="414"/>
        <v>Not</v>
      </c>
      <c r="I1548" s="8" t="str">
        <f t="shared" si="424"/>
        <v>no</v>
      </c>
      <c r="J1548" s="10" t="str">
        <f t="shared" si="415"/>
        <v>no</v>
      </c>
      <c r="K1548" s="10" t="str">
        <f t="shared" si="416"/>
        <v>no</v>
      </c>
      <c r="L1548" t="s">
        <v>363</v>
      </c>
      <c r="M1548">
        <v>10838</v>
      </c>
      <c r="N1548">
        <v>36</v>
      </c>
      <c r="O1548" t="s">
        <v>703</v>
      </c>
      <c r="P1548" t="str">
        <f t="shared" si="417"/>
        <v>LINOD_10838_Inlagd Sill</v>
      </c>
      <c r="Q1548" t="str">
        <f t="shared" si="418"/>
        <v>10838</v>
      </c>
      <c r="R1548" t="str">
        <f t="shared" si="419"/>
        <v>10838</v>
      </c>
      <c r="S1548" t="str">
        <f t="shared" si="420"/>
        <v>Inlagd Sill</v>
      </c>
      <c r="T1548">
        <v>19</v>
      </c>
      <c r="U1548">
        <v>50</v>
      </c>
      <c r="V1548">
        <v>0.25</v>
      </c>
      <c r="W1548">
        <f t="shared" si="421"/>
        <v>712.5</v>
      </c>
      <c r="X1548" t="str">
        <f t="shared" si="422"/>
        <v>yes</v>
      </c>
      <c r="Y1548" s="2">
        <v>35114</v>
      </c>
      <c r="Z1548" t="str">
        <f t="shared" si="408"/>
        <v>1st Q 1996</v>
      </c>
      <c r="AA1548" t="str">
        <f t="shared" si="423"/>
        <v>1st Q 1996</v>
      </c>
      <c r="AB1548" t="str" cm="1">
        <f t="array" ref="AB1548">_xlfn.IFS(Y1548&lt;DATE(1996,1,1),"",Y1548&lt;DATE(1996,4,1),"Q1",Y1548&lt;DATE(1996,7,1),"Q2",Y1548&gt;=DATE(1996,7,1),"")</f>
        <v>Q1</v>
      </c>
    </row>
    <row r="1549" spans="1:28" ht="14.4" x14ac:dyDescent="0.55000000000000004">
      <c r="A1549" t="str">
        <f>VLOOKUP(L1549,Customers!$A$2:$B$92,2,FALSE)</f>
        <v>Tradição Hipermercados</v>
      </c>
      <c r="B1549" t="str">
        <f>VLOOKUP(L1549,Customers!$A$2:$C$92,3,TRUE)</f>
        <v>Anabela Domingues</v>
      </c>
      <c r="C1549" t="str">
        <f t="shared" si="409"/>
        <v>Anabela</v>
      </c>
      <c r="D1549" s="8" t="str">
        <f t="shared" si="410"/>
        <v>Domingues</v>
      </c>
      <c r="E1549" s="8" t="str">
        <f t="shared" si="411"/>
        <v>Domingues, Anabela</v>
      </c>
      <c r="F1549" s="8" t="str">
        <f t="shared" si="412"/>
        <v>Domingues, Anabela</v>
      </c>
      <c r="G1549" s="8" t="str">
        <f t="shared" si="413"/>
        <v>not an outlier</v>
      </c>
      <c r="H1549" s="8" t="str">
        <f t="shared" si="414"/>
        <v>Not</v>
      </c>
      <c r="I1549" s="8" t="str">
        <f t="shared" si="424"/>
        <v>no</v>
      </c>
      <c r="J1549" s="10" t="str">
        <f t="shared" si="415"/>
        <v>no</v>
      </c>
      <c r="K1549" s="10" t="str">
        <f t="shared" si="416"/>
        <v>no</v>
      </c>
      <c r="L1549" t="s">
        <v>598</v>
      </c>
      <c r="M1549">
        <v>10839</v>
      </c>
      <c r="N1549">
        <v>58</v>
      </c>
      <c r="O1549" t="s">
        <v>747</v>
      </c>
      <c r="P1549" t="str">
        <f t="shared" si="417"/>
        <v>TRADH_10839_Escargots de Bourgogne</v>
      </c>
      <c r="Q1549" t="str">
        <f t="shared" si="418"/>
        <v>10839</v>
      </c>
      <c r="R1549" t="str">
        <f t="shared" si="419"/>
        <v>10839</v>
      </c>
      <c r="S1549" t="str">
        <f t="shared" si="420"/>
        <v>Escargots de Bourgogne</v>
      </c>
      <c r="T1549">
        <v>13.25</v>
      </c>
      <c r="U1549">
        <v>30</v>
      </c>
      <c r="V1549">
        <v>0.1</v>
      </c>
      <c r="W1549">
        <f t="shared" si="421"/>
        <v>357.75</v>
      </c>
      <c r="X1549" t="str">
        <f t="shared" si="422"/>
        <v>yes</v>
      </c>
      <c r="Y1549" s="2">
        <v>35114</v>
      </c>
      <c r="Z1549" t="str">
        <f t="shared" si="408"/>
        <v>1st Q 1996</v>
      </c>
      <c r="AA1549" t="str">
        <f t="shared" si="423"/>
        <v>1st Q 1996</v>
      </c>
      <c r="AB1549" t="str" cm="1">
        <f t="array" ref="AB1549">_xlfn.IFS(Y1549&lt;DATE(1996,1,1),"",Y1549&lt;DATE(1996,4,1),"Q1",Y1549&lt;DATE(1996,7,1),"Q2",Y1549&gt;=DATE(1996,7,1),"")</f>
        <v>Q1</v>
      </c>
    </row>
    <row r="1550" spans="1:28" ht="14.4" x14ac:dyDescent="0.55000000000000004">
      <c r="A1550" t="str">
        <f>VLOOKUP(L1550,Customers!$A$2:$B$92,2,FALSE)</f>
        <v>Tradição Hipermercados</v>
      </c>
      <c r="B1550" t="str">
        <f>VLOOKUP(L1550,Customers!$A$2:$C$92,3,TRUE)</f>
        <v>Anabela Domingues</v>
      </c>
      <c r="C1550" t="str">
        <f t="shared" si="409"/>
        <v>Anabela</v>
      </c>
      <c r="D1550" s="8" t="str">
        <f t="shared" si="410"/>
        <v>Domingues</v>
      </c>
      <c r="E1550" s="8" t="str">
        <f t="shared" si="411"/>
        <v>Domingues, Anabela</v>
      </c>
      <c r="F1550" s="8" t="str">
        <f t="shared" si="412"/>
        <v>Domingues, Anabela</v>
      </c>
      <c r="G1550" s="8" t="str">
        <f t="shared" si="413"/>
        <v>not an outlier</v>
      </c>
      <c r="H1550" s="8" t="str">
        <f t="shared" si="414"/>
        <v>Not</v>
      </c>
      <c r="I1550" s="8" t="str">
        <f t="shared" si="424"/>
        <v>no</v>
      </c>
      <c r="J1550" s="10" t="str">
        <f t="shared" si="415"/>
        <v>no</v>
      </c>
      <c r="K1550" s="10" t="str">
        <f t="shared" si="416"/>
        <v>no</v>
      </c>
      <c r="L1550" t="s">
        <v>598</v>
      </c>
      <c r="M1550">
        <v>10839</v>
      </c>
      <c r="N1550">
        <v>72</v>
      </c>
      <c r="O1550" t="s">
        <v>685</v>
      </c>
      <c r="P1550" t="str">
        <f t="shared" si="417"/>
        <v>TRADH_10839_Mozzarella di Giovanni</v>
      </c>
      <c r="Q1550" t="str">
        <f t="shared" si="418"/>
        <v>10839</v>
      </c>
      <c r="R1550" t="str">
        <f t="shared" si="419"/>
        <v>10839</v>
      </c>
      <c r="S1550" t="str">
        <f t="shared" si="420"/>
        <v>Mozzarella di Giovanni</v>
      </c>
      <c r="T1550">
        <v>34.799999999999997</v>
      </c>
      <c r="U1550">
        <v>15</v>
      </c>
      <c r="V1550">
        <v>0.1</v>
      </c>
      <c r="W1550">
        <f t="shared" si="421"/>
        <v>469.8</v>
      </c>
      <c r="X1550" t="str">
        <f t="shared" si="422"/>
        <v>yes</v>
      </c>
      <c r="Y1550" s="2">
        <v>35114</v>
      </c>
      <c r="Z1550" t="str">
        <f t="shared" si="408"/>
        <v>1st Q 1996</v>
      </c>
      <c r="AA1550" t="str">
        <f t="shared" si="423"/>
        <v>1st Q 1996</v>
      </c>
      <c r="AB1550" t="str" cm="1">
        <f t="array" ref="AB1550">_xlfn.IFS(Y1550&lt;DATE(1996,1,1),"",Y1550&lt;DATE(1996,4,1),"Q1",Y1550&lt;DATE(1996,7,1),"Q2",Y1550&gt;=DATE(1996,7,1),"")</f>
        <v>Q1</v>
      </c>
    </row>
    <row r="1551" spans="1:28" ht="14.4" x14ac:dyDescent="0.55000000000000004">
      <c r="A1551" t="str">
        <f>VLOOKUP(L1551,Customers!$A$2:$B$92,2,FALSE)</f>
        <v>LINO-Delicateses</v>
      </c>
      <c r="B1551" t="str">
        <f>VLOOKUP(L1551,Customers!$A$2:$C$92,3,TRUE)</f>
        <v>Felipe Izquierdo</v>
      </c>
      <c r="C1551" t="str">
        <f t="shared" si="409"/>
        <v>Felipe</v>
      </c>
      <c r="D1551" s="8" t="str">
        <f t="shared" si="410"/>
        <v>Izquierdo</v>
      </c>
      <c r="E1551" s="8" t="str">
        <f t="shared" si="411"/>
        <v>Izquierdo, Felipe</v>
      </c>
      <c r="F1551" s="8" t="str">
        <f t="shared" si="412"/>
        <v>Izquierdo, Felipe</v>
      </c>
      <c r="G1551" s="8" t="str">
        <f t="shared" si="413"/>
        <v>not an outlier</v>
      </c>
      <c r="H1551" s="8" t="str">
        <f t="shared" si="414"/>
        <v>Not</v>
      </c>
      <c r="I1551" s="8" t="str">
        <f t="shared" si="424"/>
        <v>no</v>
      </c>
      <c r="J1551" s="10" t="str">
        <f t="shared" si="415"/>
        <v>no</v>
      </c>
      <c r="K1551" s="10" t="str">
        <f t="shared" si="416"/>
        <v>no</v>
      </c>
      <c r="L1551" t="s">
        <v>363</v>
      </c>
      <c r="M1551">
        <v>10840</v>
      </c>
      <c r="N1551">
        <v>25</v>
      </c>
      <c r="O1551" t="s">
        <v>749</v>
      </c>
      <c r="P1551" t="str">
        <f t="shared" si="417"/>
        <v>LINOD_10840_NuNuCa Nuß-Nougat-Creme</v>
      </c>
      <c r="Q1551" t="str">
        <f t="shared" si="418"/>
        <v>10840</v>
      </c>
      <c r="R1551" t="str">
        <f t="shared" si="419"/>
        <v>10840</v>
      </c>
      <c r="S1551" t="str">
        <f t="shared" si="420"/>
        <v>NuNuCa Nuß-Nougat-Creme</v>
      </c>
      <c r="T1551">
        <v>14</v>
      </c>
      <c r="U1551">
        <v>6</v>
      </c>
      <c r="V1551">
        <v>0.2</v>
      </c>
      <c r="W1551">
        <f t="shared" si="421"/>
        <v>67.2</v>
      </c>
      <c r="X1551" t="str">
        <f t="shared" si="422"/>
        <v>yes</v>
      </c>
      <c r="Y1551" s="2">
        <v>35114</v>
      </c>
      <c r="Z1551" t="str">
        <f t="shared" si="408"/>
        <v>1st Q 1996</v>
      </c>
      <c r="AA1551" t="str">
        <f t="shared" si="423"/>
        <v>1st Q 1996</v>
      </c>
      <c r="AB1551" t="str" cm="1">
        <f t="array" ref="AB1551">_xlfn.IFS(Y1551&lt;DATE(1996,1,1),"",Y1551&lt;DATE(1996,4,1),"Q1",Y1551&lt;DATE(1996,7,1),"Q2",Y1551&gt;=DATE(1996,7,1),"")</f>
        <v>Q1</v>
      </c>
    </row>
    <row r="1552" spans="1:28" ht="14.4" x14ac:dyDescent="0.55000000000000004">
      <c r="A1552" t="str">
        <f>VLOOKUP(L1552,Customers!$A$2:$B$92,2,FALSE)</f>
        <v>LINO-Delicateses</v>
      </c>
      <c r="B1552" t="str">
        <f>VLOOKUP(L1552,Customers!$A$2:$C$92,3,TRUE)</f>
        <v>Felipe Izquierdo</v>
      </c>
      <c r="C1552" t="str">
        <f t="shared" si="409"/>
        <v>Felipe</v>
      </c>
      <c r="D1552" s="8" t="str">
        <f t="shared" si="410"/>
        <v>Izquierdo</v>
      </c>
      <c r="E1552" s="8" t="str">
        <f t="shared" si="411"/>
        <v>Izquierdo, Felipe</v>
      </c>
      <c r="F1552" s="8" t="str">
        <f t="shared" si="412"/>
        <v>Izquierdo, Felipe</v>
      </c>
      <c r="G1552" s="8" t="str">
        <f t="shared" si="413"/>
        <v>not an outlier</v>
      </c>
      <c r="H1552" s="8" t="str">
        <f t="shared" si="414"/>
        <v>Not</v>
      </c>
      <c r="I1552" s="8" t="str">
        <f t="shared" si="424"/>
        <v>no</v>
      </c>
      <c r="J1552" s="10" t="str">
        <f t="shared" si="415"/>
        <v>no</v>
      </c>
      <c r="K1552" s="10" t="str">
        <f t="shared" si="416"/>
        <v>no</v>
      </c>
      <c r="L1552" t="s">
        <v>363</v>
      </c>
      <c r="M1552">
        <v>10840</v>
      </c>
      <c r="N1552">
        <v>39</v>
      </c>
      <c r="O1552" t="s">
        <v>696</v>
      </c>
      <c r="P1552" t="str">
        <f t="shared" si="417"/>
        <v>LINOD_10840_Chartreuse verte</v>
      </c>
      <c r="Q1552" t="str">
        <f t="shared" si="418"/>
        <v>10840</v>
      </c>
      <c r="R1552" t="str">
        <f t="shared" si="419"/>
        <v>10840</v>
      </c>
      <c r="S1552" t="str">
        <f t="shared" si="420"/>
        <v>Chartreuse verte</v>
      </c>
      <c r="T1552">
        <v>18</v>
      </c>
      <c r="U1552">
        <v>10</v>
      </c>
      <c r="V1552">
        <v>0.2</v>
      </c>
      <c r="W1552">
        <f t="shared" si="421"/>
        <v>144</v>
      </c>
      <c r="X1552" t="str">
        <f t="shared" si="422"/>
        <v>yes</v>
      </c>
      <c r="Y1552" s="2">
        <v>35114</v>
      </c>
      <c r="Z1552" t="str">
        <f t="shared" si="408"/>
        <v>1st Q 1996</v>
      </c>
      <c r="AA1552" t="str">
        <f t="shared" si="423"/>
        <v>1st Q 1996</v>
      </c>
      <c r="AB1552" t="str" cm="1">
        <f t="array" ref="AB1552">_xlfn.IFS(Y1552&lt;DATE(1996,1,1),"",Y1552&lt;DATE(1996,4,1),"Q1",Y1552&lt;DATE(1996,7,1),"Q2",Y1552&gt;=DATE(1996,7,1),"")</f>
        <v>Q1</v>
      </c>
    </row>
    <row r="1553" spans="1:28" ht="14.4" x14ac:dyDescent="0.55000000000000004">
      <c r="A1553" t="str">
        <f>VLOOKUP(L1553,Customers!$A$2:$B$92,2,FALSE)</f>
        <v>Suprêmes délices</v>
      </c>
      <c r="B1553" t="str">
        <f>VLOOKUP(L1553,Customers!$A$2:$C$92,3,TRUE)</f>
        <v>Pascale Cartrain</v>
      </c>
      <c r="C1553" t="str">
        <f t="shared" si="409"/>
        <v>Pascale</v>
      </c>
      <c r="D1553" s="8" t="str">
        <f t="shared" si="410"/>
        <v>Cartrain</v>
      </c>
      <c r="E1553" s="8" t="str">
        <f t="shared" si="411"/>
        <v>Cartrain, Pascale</v>
      </c>
      <c r="F1553" s="8" t="str">
        <f t="shared" si="412"/>
        <v>Cartrain, Pascale</v>
      </c>
      <c r="G1553" s="8" t="str">
        <f t="shared" si="413"/>
        <v>not an outlier</v>
      </c>
      <c r="H1553" s="8" t="str">
        <f t="shared" si="414"/>
        <v>Not</v>
      </c>
      <c r="I1553" s="8" t="str">
        <f t="shared" si="424"/>
        <v>no</v>
      </c>
      <c r="J1553" s="10" t="str">
        <f t="shared" si="415"/>
        <v>no</v>
      </c>
      <c r="K1553" s="10" t="str">
        <f t="shared" si="416"/>
        <v>no</v>
      </c>
      <c r="L1553" t="s">
        <v>565</v>
      </c>
      <c r="M1553">
        <v>10841</v>
      </c>
      <c r="N1553">
        <v>10</v>
      </c>
      <c r="O1553" t="s">
        <v>724</v>
      </c>
      <c r="P1553" t="str">
        <f t="shared" si="417"/>
        <v>SUPRD_10841_Ikura</v>
      </c>
      <c r="Q1553" t="str">
        <f t="shared" si="418"/>
        <v>10841</v>
      </c>
      <c r="R1553" t="str">
        <f t="shared" si="419"/>
        <v>10841</v>
      </c>
      <c r="S1553" t="str">
        <f t="shared" si="420"/>
        <v>Ikura</v>
      </c>
      <c r="T1553">
        <v>31</v>
      </c>
      <c r="U1553">
        <v>16</v>
      </c>
      <c r="V1553">
        <v>0</v>
      </c>
      <c r="W1553">
        <f t="shared" si="421"/>
        <v>496</v>
      </c>
      <c r="X1553" t="str">
        <f t="shared" si="422"/>
        <v>yes</v>
      </c>
      <c r="Y1553" s="2">
        <v>35115</v>
      </c>
      <c r="Z1553" t="str">
        <f t="shared" si="408"/>
        <v>1st Q 1996</v>
      </c>
      <c r="AA1553" t="str">
        <f t="shared" si="423"/>
        <v>1st Q 1996</v>
      </c>
      <c r="AB1553" t="str" cm="1">
        <f t="array" ref="AB1553">_xlfn.IFS(Y1553&lt;DATE(1996,1,1),"",Y1553&lt;DATE(1996,4,1),"Q1",Y1553&lt;DATE(1996,7,1),"Q2",Y1553&gt;=DATE(1996,7,1),"")</f>
        <v>Q1</v>
      </c>
    </row>
    <row r="1554" spans="1:28" ht="14.4" x14ac:dyDescent="0.55000000000000004">
      <c r="A1554" t="str">
        <f>VLOOKUP(L1554,Customers!$A$2:$B$92,2,FALSE)</f>
        <v>Suprêmes délices</v>
      </c>
      <c r="B1554" t="str">
        <f>VLOOKUP(L1554,Customers!$A$2:$C$92,3,TRUE)</f>
        <v>Pascale Cartrain</v>
      </c>
      <c r="C1554" t="str">
        <f t="shared" si="409"/>
        <v>Pascale</v>
      </c>
      <c r="D1554" s="8" t="str">
        <f t="shared" si="410"/>
        <v>Cartrain</v>
      </c>
      <c r="E1554" s="8" t="str">
        <f t="shared" si="411"/>
        <v>Cartrain, Pascale</v>
      </c>
      <c r="F1554" s="8" t="str">
        <f t="shared" si="412"/>
        <v>Cartrain, Pascale</v>
      </c>
      <c r="G1554" s="8" t="str">
        <f t="shared" si="413"/>
        <v>not an outlier</v>
      </c>
      <c r="H1554" s="8" t="str">
        <f t="shared" si="414"/>
        <v>Not</v>
      </c>
      <c r="I1554" s="8" t="str">
        <f t="shared" si="424"/>
        <v>no</v>
      </c>
      <c r="J1554" s="10" t="str">
        <f t="shared" si="415"/>
        <v>no</v>
      </c>
      <c r="K1554" s="10" t="str">
        <f t="shared" si="416"/>
        <v>no</v>
      </c>
      <c r="L1554" t="s">
        <v>565</v>
      </c>
      <c r="M1554">
        <v>10841</v>
      </c>
      <c r="N1554">
        <v>56</v>
      </c>
      <c r="O1554" t="s">
        <v>716</v>
      </c>
      <c r="P1554" t="str">
        <f t="shared" si="417"/>
        <v>SUPRD_10841_Gnocchi di nonna Alice</v>
      </c>
      <c r="Q1554" t="str">
        <f t="shared" si="418"/>
        <v>10841</v>
      </c>
      <c r="R1554" t="str">
        <f t="shared" si="419"/>
        <v>10841</v>
      </c>
      <c r="S1554" t="str">
        <f t="shared" si="420"/>
        <v>Gnocchi di nonna Alice</v>
      </c>
      <c r="T1554">
        <v>38</v>
      </c>
      <c r="U1554">
        <v>30</v>
      </c>
      <c r="V1554">
        <v>0</v>
      </c>
      <c r="W1554">
        <f t="shared" si="421"/>
        <v>1140</v>
      </c>
      <c r="X1554" t="str">
        <f t="shared" si="422"/>
        <v>yes</v>
      </c>
      <c r="Y1554" s="2">
        <v>35115</v>
      </c>
      <c r="Z1554" t="str">
        <f t="shared" si="408"/>
        <v>1st Q 1996</v>
      </c>
      <c r="AA1554" t="str">
        <f t="shared" si="423"/>
        <v>1st Q 1996</v>
      </c>
      <c r="AB1554" t="str" cm="1">
        <f t="array" ref="AB1554">_xlfn.IFS(Y1554&lt;DATE(1996,1,1),"",Y1554&lt;DATE(1996,4,1),"Q1",Y1554&lt;DATE(1996,7,1),"Q2",Y1554&gt;=DATE(1996,7,1),"")</f>
        <v>Q1</v>
      </c>
    </row>
    <row r="1555" spans="1:28" ht="14.4" x14ac:dyDescent="0.55000000000000004">
      <c r="A1555" t="str">
        <f>VLOOKUP(L1555,Customers!$A$2:$B$92,2,FALSE)</f>
        <v>Suprêmes délices</v>
      </c>
      <c r="B1555" t="str">
        <f>VLOOKUP(L1555,Customers!$A$2:$C$92,3,TRUE)</f>
        <v>Pascale Cartrain</v>
      </c>
      <c r="C1555" t="str">
        <f t="shared" si="409"/>
        <v>Pascale</v>
      </c>
      <c r="D1555" s="8" t="str">
        <f t="shared" si="410"/>
        <v>Cartrain</v>
      </c>
      <c r="E1555" s="8" t="str">
        <f t="shared" si="411"/>
        <v>Cartrain, Pascale</v>
      </c>
      <c r="F1555" s="8" t="str">
        <f t="shared" si="412"/>
        <v>Cartrain, Pascale</v>
      </c>
      <c r="G1555" s="8" t="str">
        <f t="shared" si="413"/>
        <v>not an outlier</v>
      </c>
      <c r="H1555" s="8" t="str">
        <f t="shared" si="414"/>
        <v>moderate</v>
      </c>
      <c r="I1555" s="8" t="str">
        <f t="shared" si="424"/>
        <v>no</v>
      </c>
      <c r="J1555" s="10" t="str">
        <f t="shared" si="415"/>
        <v>no</v>
      </c>
      <c r="K1555" s="10" t="str">
        <f t="shared" si="416"/>
        <v>moderate</v>
      </c>
      <c r="L1555" t="s">
        <v>565</v>
      </c>
      <c r="M1555">
        <v>10841</v>
      </c>
      <c r="N1555">
        <v>59</v>
      </c>
      <c r="O1555" t="s">
        <v>704</v>
      </c>
      <c r="P1555" t="str">
        <f t="shared" si="417"/>
        <v>SUPRD_10841_Raclette Courdavault</v>
      </c>
      <c r="Q1555" t="str">
        <f t="shared" si="418"/>
        <v>10841</v>
      </c>
      <c r="R1555" t="str">
        <f t="shared" si="419"/>
        <v>10841</v>
      </c>
      <c r="S1555" t="str">
        <f t="shared" si="420"/>
        <v>Raclette Courdavault</v>
      </c>
      <c r="T1555">
        <v>55</v>
      </c>
      <c r="U1555">
        <v>50</v>
      </c>
      <c r="V1555">
        <v>0</v>
      </c>
      <c r="W1555">
        <f t="shared" si="421"/>
        <v>2750</v>
      </c>
      <c r="X1555" t="str">
        <f t="shared" si="422"/>
        <v>yes</v>
      </c>
      <c r="Y1555" s="2">
        <v>35115</v>
      </c>
      <c r="Z1555" t="str">
        <f t="shared" si="408"/>
        <v>1st Q 1996</v>
      </c>
      <c r="AA1555" t="str">
        <f t="shared" si="423"/>
        <v>1st Q 1996</v>
      </c>
      <c r="AB1555" t="str" cm="1">
        <f t="array" ref="AB1555">_xlfn.IFS(Y1555&lt;DATE(1996,1,1),"",Y1555&lt;DATE(1996,4,1),"Q1",Y1555&lt;DATE(1996,7,1),"Q2",Y1555&gt;=DATE(1996,7,1),"")</f>
        <v>Q1</v>
      </c>
    </row>
    <row r="1556" spans="1:28" ht="14.4" x14ac:dyDescent="0.55000000000000004">
      <c r="A1556" t="str">
        <f>VLOOKUP(L1556,Customers!$A$2:$B$92,2,FALSE)</f>
        <v>Suprêmes délices</v>
      </c>
      <c r="B1556" t="str">
        <f>VLOOKUP(L1556,Customers!$A$2:$C$92,3,TRUE)</f>
        <v>Pascale Cartrain</v>
      </c>
      <c r="C1556" t="str">
        <f t="shared" si="409"/>
        <v>Pascale</v>
      </c>
      <c r="D1556" s="8" t="str">
        <f t="shared" si="410"/>
        <v>Cartrain</v>
      </c>
      <c r="E1556" s="8" t="str">
        <f t="shared" si="411"/>
        <v>Cartrain, Pascale</v>
      </c>
      <c r="F1556" s="8" t="str">
        <f t="shared" si="412"/>
        <v>Cartrain, Pascale</v>
      </c>
      <c r="G1556" s="8" t="str">
        <f t="shared" si="413"/>
        <v>not an outlier</v>
      </c>
      <c r="H1556" s="8" t="str">
        <f t="shared" si="414"/>
        <v>Not</v>
      </c>
      <c r="I1556" s="8" t="str">
        <f t="shared" si="424"/>
        <v>no</v>
      </c>
      <c r="J1556" s="10" t="str">
        <f t="shared" si="415"/>
        <v>no</v>
      </c>
      <c r="K1556" s="10" t="str">
        <f t="shared" si="416"/>
        <v>no</v>
      </c>
      <c r="L1556" t="s">
        <v>565</v>
      </c>
      <c r="M1556">
        <v>10841</v>
      </c>
      <c r="N1556">
        <v>77</v>
      </c>
      <c r="O1556" t="s">
        <v>706</v>
      </c>
      <c r="P1556" t="str">
        <f t="shared" si="417"/>
        <v>SUPRD_10841_Original Frankfurter grüne Soße</v>
      </c>
      <c r="Q1556" t="str">
        <f t="shared" si="418"/>
        <v>10841</v>
      </c>
      <c r="R1556" t="str">
        <f t="shared" si="419"/>
        <v>10841</v>
      </c>
      <c r="S1556" t="str">
        <f t="shared" si="420"/>
        <v>Original Frankfurter grüne Soße</v>
      </c>
      <c r="T1556">
        <v>13</v>
      </c>
      <c r="U1556">
        <v>15</v>
      </c>
      <c r="V1556">
        <v>0</v>
      </c>
      <c r="W1556">
        <f t="shared" si="421"/>
        <v>195</v>
      </c>
      <c r="X1556" t="str">
        <f t="shared" si="422"/>
        <v>yes</v>
      </c>
      <c r="Y1556" s="2">
        <v>35115</v>
      </c>
      <c r="Z1556" t="str">
        <f t="shared" si="408"/>
        <v>1st Q 1996</v>
      </c>
      <c r="AA1556" t="str">
        <f t="shared" si="423"/>
        <v>1st Q 1996</v>
      </c>
      <c r="AB1556" t="str" cm="1">
        <f t="array" ref="AB1556">_xlfn.IFS(Y1556&lt;DATE(1996,1,1),"",Y1556&lt;DATE(1996,4,1),"Q1",Y1556&lt;DATE(1996,7,1),"Q2",Y1556&gt;=DATE(1996,7,1),"")</f>
        <v>Q1</v>
      </c>
    </row>
    <row r="1557" spans="1:28" ht="14.4" x14ac:dyDescent="0.55000000000000004">
      <c r="A1557" t="str">
        <f>VLOOKUP(L1557,Customers!$A$2:$B$92,2,FALSE)</f>
        <v>Tortuga Restaurante</v>
      </c>
      <c r="B1557" t="str">
        <f>VLOOKUP(L1557,Customers!$A$2:$C$92,3,TRUE)</f>
        <v>Miguel Angel Paolino</v>
      </c>
      <c r="C1557" t="str">
        <f t="shared" si="409"/>
        <v>Miguel</v>
      </c>
      <c r="D1557" s="8" t="str">
        <f t="shared" si="410"/>
        <v>Angel Paolino</v>
      </c>
      <c r="E1557" s="8" t="str">
        <f t="shared" si="411"/>
        <v>Angel Paolino, Miguel</v>
      </c>
      <c r="F1557" s="8" t="str">
        <f t="shared" si="412"/>
        <v>Angel Paolino, Miguel</v>
      </c>
      <c r="G1557" s="8" t="str">
        <f t="shared" si="413"/>
        <v>not an outlier</v>
      </c>
      <c r="H1557" s="8" t="str">
        <f t="shared" si="414"/>
        <v>Not</v>
      </c>
      <c r="I1557" s="8" t="str">
        <f t="shared" si="424"/>
        <v>no</v>
      </c>
      <c r="J1557" s="10" t="str">
        <f t="shared" si="415"/>
        <v>no</v>
      </c>
      <c r="K1557" s="10" t="str">
        <f t="shared" si="416"/>
        <v>no</v>
      </c>
      <c r="L1557" t="s">
        <v>593</v>
      </c>
      <c r="M1557">
        <v>10842</v>
      </c>
      <c r="N1557">
        <v>11</v>
      </c>
      <c r="O1557" t="s">
        <v>683</v>
      </c>
      <c r="P1557" t="str">
        <f t="shared" si="417"/>
        <v>TORTU_10842_Queso Cabrales</v>
      </c>
      <c r="Q1557" t="str">
        <f t="shared" si="418"/>
        <v>10842</v>
      </c>
      <c r="R1557" t="str">
        <f t="shared" si="419"/>
        <v>10842</v>
      </c>
      <c r="S1557" t="str">
        <f t="shared" si="420"/>
        <v>Queso Cabrales</v>
      </c>
      <c r="T1557">
        <v>21</v>
      </c>
      <c r="U1557">
        <v>15</v>
      </c>
      <c r="V1557">
        <v>0</v>
      </c>
      <c r="W1557">
        <f t="shared" si="421"/>
        <v>315</v>
      </c>
      <c r="X1557" t="str">
        <f t="shared" si="422"/>
        <v>yes</v>
      </c>
      <c r="Y1557" s="2">
        <v>35115</v>
      </c>
      <c r="Z1557" t="str">
        <f t="shared" si="408"/>
        <v>1st Q 1996</v>
      </c>
      <c r="AA1557" t="str">
        <f t="shared" si="423"/>
        <v>1st Q 1996</v>
      </c>
      <c r="AB1557" t="str" cm="1">
        <f t="array" ref="AB1557">_xlfn.IFS(Y1557&lt;DATE(1996,1,1),"",Y1557&lt;DATE(1996,4,1),"Q1",Y1557&lt;DATE(1996,7,1),"Q2",Y1557&gt;=DATE(1996,7,1),"")</f>
        <v>Q1</v>
      </c>
    </row>
    <row r="1558" spans="1:28" ht="14.4" x14ac:dyDescent="0.55000000000000004">
      <c r="A1558" t="str">
        <f>VLOOKUP(L1558,Customers!$A$2:$B$92,2,FALSE)</f>
        <v>Tortuga Restaurante</v>
      </c>
      <c r="B1558" t="str">
        <f>VLOOKUP(L1558,Customers!$A$2:$C$92,3,TRUE)</f>
        <v>Miguel Angel Paolino</v>
      </c>
      <c r="C1558" t="str">
        <f t="shared" si="409"/>
        <v>Miguel</v>
      </c>
      <c r="D1558" s="8" t="str">
        <f t="shared" si="410"/>
        <v>Angel Paolino</v>
      </c>
      <c r="E1558" s="8" t="str">
        <f t="shared" si="411"/>
        <v>Angel Paolino, Miguel</v>
      </c>
      <c r="F1558" s="8" t="str">
        <f t="shared" si="412"/>
        <v>Angel Paolino, Miguel</v>
      </c>
      <c r="G1558" s="8" t="str">
        <f t="shared" si="413"/>
        <v>not an outlier</v>
      </c>
      <c r="H1558" s="8" t="str">
        <f t="shared" si="414"/>
        <v>Not</v>
      </c>
      <c r="I1558" s="8" t="str">
        <f t="shared" si="424"/>
        <v>no</v>
      </c>
      <c r="J1558" s="10" t="str">
        <f t="shared" si="415"/>
        <v>no</v>
      </c>
      <c r="K1558" s="10" t="str">
        <f t="shared" si="416"/>
        <v>no</v>
      </c>
      <c r="L1558" t="s">
        <v>593</v>
      </c>
      <c r="M1558">
        <v>10842</v>
      </c>
      <c r="N1558">
        <v>43</v>
      </c>
      <c r="O1558" t="s">
        <v>723</v>
      </c>
      <c r="P1558" t="str">
        <f t="shared" si="417"/>
        <v>TORTU_10842_Ipoh Coffee</v>
      </c>
      <c r="Q1558" t="str">
        <f t="shared" si="418"/>
        <v>10842</v>
      </c>
      <c r="R1558" t="str">
        <f t="shared" si="419"/>
        <v>10842</v>
      </c>
      <c r="S1558" t="str">
        <f t="shared" si="420"/>
        <v>Ipoh Coffee</v>
      </c>
      <c r="T1558">
        <v>46</v>
      </c>
      <c r="U1558">
        <v>5</v>
      </c>
      <c r="V1558">
        <v>0</v>
      </c>
      <c r="W1558">
        <f t="shared" si="421"/>
        <v>230</v>
      </c>
      <c r="X1558" t="str">
        <f t="shared" si="422"/>
        <v>yes</v>
      </c>
      <c r="Y1558" s="2">
        <v>35115</v>
      </c>
      <c r="Z1558" t="str">
        <f t="shared" si="408"/>
        <v>1st Q 1996</v>
      </c>
      <c r="AA1558" t="str">
        <f t="shared" si="423"/>
        <v>1st Q 1996</v>
      </c>
      <c r="AB1558" t="str" cm="1">
        <f t="array" ref="AB1558">_xlfn.IFS(Y1558&lt;DATE(1996,1,1),"",Y1558&lt;DATE(1996,4,1),"Q1",Y1558&lt;DATE(1996,7,1),"Q2",Y1558&gt;=DATE(1996,7,1),"")</f>
        <v>Q1</v>
      </c>
    </row>
    <row r="1559" spans="1:28" ht="14.4" x14ac:dyDescent="0.55000000000000004">
      <c r="A1559" t="str">
        <f>VLOOKUP(L1559,Customers!$A$2:$B$92,2,FALSE)</f>
        <v>Tortuga Restaurante</v>
      </c>
      <c r="B1559" t="str">
        <f>VLOOKUP(L1559,Customers!$A$2:$C$92,3,TRUE)</f>
        <v>Miguel Angel Paolino</v>
      </c>
      <c r="C1559" t="str">
        <f t="shared" si="409"/>
        <v>Miguel</v>
      </c>
      <c r="D1559" s="8" t="str">
        <f t="shared" si="410"/>
        <v>Angel Paolino</v>
      </c>
      <c r="E1559" s="8" t="str">
        <f t="shared" si="411"/>
        <v>Angel Paolino, Miguel</v>
      </c>
      <c r="F1559" s="8" t="str">
        <f t="shared" si="412"/>
        <v>Angel Paolino, Miguel</v>
      </c>
      <c r="G1559" s="8" t="str">
        <f t="shared" si="413"/>
        <v>not an outlier</v>
      </c>
      <c r="H1559" s="8" t="str">
        <f t="shared" si="414"/>
        <v>Not</v>
      </c>
      <c r="I1559" s="8" t="str">
        <f t="shared" si="424"/>
        <v>no</v>
      </c>
      <c r="J1559" s="10" t="str">
        <f t="shared" si="415"/>
        <v>no</v>
      </c>
      <c r="K1559" s="10" t="str">
        <f t="shared" si="416"/>
        <v>no</v>
      </c>
      <c r="L1559" t="s">
        <v>593</v>
      </c>
      <c r="M1559">
        <v>10842</v>
      </c>
      <c r="N1559">
        <v>68</v>
      </c>
      <c r="O1559" t="s">
        <v>739</v>
      </c>
      <c r="P1559" t="str">
        <f t="shared" si="417"/>
        <v>TORTU_10842_Scottish Longbreads</v>
      </c>
      <c r="Q1559" t="str">
        <f t="shared" si="418"/>
        <v>10842</v>
      </c>
      <c r="R1559" t="str">
        <f t="shared" si="419"/>
        <v>10842</v>
      </c>
      <c r="S1559" t="str">
        <f t="shared" si="420"/>
        <v>Scottish Longbreads</v>
      </c>
      <c r="T1559">
        <v>12.5</v>
      </c>
      <c r="U1559">
        <v>20</v>
      </c>
      <c r="V1559">
        <v>0</v>
      </c>
      <c r="W1559">
        <f t="shared" si="421"/>
        <v>250</v>
      </c>
      <c r="X1559" t="str">
        <f t="shared" si="422"/>
        <v>yes</v>
      </c>
      <c r="Y1559" s="2">
        <v>35115</v>
      </c>
      <c r="Z1559" t="str">
        <f t="shared" si="408"/>
        <v>1st Q 1996</v>
      </c>
      <c r="AA1559" t="str">
        <f t="shared" si="423"/>
        <v>1st Q 1996</v>
      </c>
      <c r="AB1559" t="str" cm="1">
        <f t="array" ref="AB1559">_xlfn.IFS(Y1559&lt;DATE(1996,1,1),"",Y1559&lt;DATE(1996,4,1),"Q1",Y1559&lt;DATE(1996,7,1),"Q2",Y1559&gt;=DATE(1996,7,1),"")</f>
        <v>Q1</v>
      </c>
    </row>
    <row r="1560" spans="1:28" ht="14.4" x14ac:dyDescent="0.55000000000000004">
      <c r="A1560" t="str">
        <f>VLOOKUP(L1560,Customers!$A$2:$B$92,2,FALSE)</f>
        <v>Tortuga Restaurante</v>
      </c>
      <c r="B1560" t="str">
        <f>VLOOKUP(L1560,Customers!$A$2:$C$92,3,TRUE)</f>
        <v>Miguel Angel Paolino</v>
      </c>
      <c r="C1560" t="str">
        <f t="shared" si="409"/>
        <v>Miguel</v>
      </c>
      <c r="D1560" s="8" t="str">
        <f t="shared" si="410"/>
        <v>Angel Paolino</v>
      </c>
      <c r="E1560" s="8" t="str">
        <f t="shared" si="411"/>
        <v>Angel Paolino, Miguel</v>
      </c>
      <c r="F1560" s="8" t="str">
        <f t="shared" si="412"/>
        <v>Angel Paolino, Miguel</v>
      </c>
      <c r="G1560" s="8" t="str">
        <f t="shared" si="413"/>
        <v>not an outlier</v>
      </c>
      <c r="H1560" s="8" t="str">
        <f t="shared" si="414"/>
        <v>Not</v>
      </c>
      <c r="I1560" s="8" t="str">
        <f t="shared" si="424"/>
        <v>no</v>
      </c>
      <c r="J1560" s="10" t="str">
        <f t="shared" si="415"/>
        <v>no</v>
      </c>
      <c r="K1560" s="10" t="str">
        <f t="shared" si="416"/>
        <v>no</v>
      </c>
      <c r="L1560" t="s">
        <v>593</v>
      </c>
      <c r="M1560">
        <v>10842</v>
      </c>
      <c r="N1560">
        <v>70</v>
      </c>
      <c r="O1560" t="s">
        <v>713</v>
      </c>
      <c r="P1560" t="str">
        <f t="shared" si="417"/>
        <v>TORTU_10842_Outback Lager</v>
      </c>
      <c r="Q1560" t="str">
        <f t="shared" si="418"/>
        <v>10842</v>
      </c>
      <c r="R1560" t="str">
        <f t="shared" si="419"/>
        <v>10842</v>
      </c>
      <c r="S1560" t="str">
        <f t="shared" si="420"/>
        <v>Outback Lager</v>
      </c>
      <c r="T1560">
        <v>15</v>
      </c>
      <c r="U1560">
        <v>12</v>
      </c>
      <c r="V1560">
        <v>0</v>
      </c>
      <c r="W1560">
        <f t="shared" si="421"/>
        <v>180</v>
      </c>
      <c r="X1560" t="str">
        <f t="shared" si="422"/>
        <v>yes</v>
      </c>
      <c r="Y1560" s="2">
        <v>35115</v>
      </c>
      <c r="Z1560" t="str">
        <f t="shared" si="408"/>
        <v>1st Q 1996</v>
      </c>
      <c r="AA1560" t="str">
        <f t="shared" si="423"/>
        <v>1st Q 1996</v>
      </c>
      <c r="AB1560" t="str" cm="1">
        <f t="array" ref="AB1560">_xlfn.IFS(Y1560&lt;DATE(1996,1,1),"",Y1560&lt;DATE(1996,4,1),"Q1",Y1560&lt;DATE(1996,7,1),"Q2",Y1560&gt;=DATE(1996,7,1),"")</f>
        <v>Q1</v>
      </c>
    </row>
    <row r="1561" spans="1:28" ht="14.4" x14ac:dyDescent="0.55000000000000004">
      <c r="A1561" t="str">
        <f>VLOOKUP(L1561,Customers!$A$2:$B$92,2,FALSE)</f>
        <v>Victuailles en stock</v>
      </c>
      <c r="B1561" t="str">
        <f>VLOOKUP(L1561,Customers!$A$2:$C$92,3,TRUE)</f>
        <v>Mary Saveley</v>
      </c>
      <c r="C1561" t="str">
        <f t="shared" si="409"/>
        <v>Mary</v>
      </c>
      <c r="D1561" s="8" t="str">
        <f t="shared" si="410"/>
        <v>Saveley</v>
      </c>
      <c r="E1561" s="8" t="str">
        <f t="shared" si="411"/>
        <v>Saveley, Mary</v>
      </c>
      <c r="F1561" s="8" t="str">
        <f t="shared" si="412"/>
        <v>Saveley, Mary</v>
      </c>
      <c r="G1561" s="8" t="str">
        <f t="shared" si="413"/>
        <v>not an outlier</v>
      </c>
      <c r="H1561" s="8" t="str">
        <f t="shared" si="414"/>
        <v>Not</v>
      </c>
      <c r="I1561" s="8" t="str">
        <f t="shared" si="424"/>
        <v>no</v>
      </c>
      <c r="J1561" s="10" t="str">
        <f t="shared" si="415"/>
        <v>no</v>
      </c>
      <c r="K1561" s="10" t="str">
        <f t="shared" si="416"/>
        <v>no</v>
      </c>
      <c r="L1561" t="s">
        <v>619</v>
      </c>
      <c r="M1561">
        <v>10843</v>
      </c>
      <c r="N1561">
        <v>51</v>
      </c>
      <c r="O1561" t="s">
        <v>687</v>
      </c>
      <c r="P1561" t="str">
        <f t="shared" si="417"/>
        <v>VICTE_10843_Manjimup Dried Apples</v>
      </c>
      <c r="Q1561" t="str">
        <f t="shared" si="418"/>
        <v>10843</v>
      </c>
      <c r="R1561" t="str">
        <f t="shared" si="419"/>
        <v>10843</v>
      </c>
      <c r="S1561" t="str">
        <f t="shared" si="420"/>
        <v>Manjimup Dried Apples</v>
      </c>
      <c r="T1561">
        <v>53</v>
      </c>
      <c r="U1561">
        <v>4</v>
      </c>
      <c r="V1561">
        <v>0.25</v>
      </c>
      <c r="W1561">
        <f t="shared" si="421"/>
        <v>159</v>
      </c>
      <c r="X1561" t="str">
        <f t="shared" si="422"/>
        <v>yes</v>
      </c>
      <c r="Y1561" s="2">
        <v>35116</v>
      </c>
      <c r="Z1561" t="str">
        <f t="shared" si="408"/>
        <v>1st Q 1996</v>
      </c>
      <c r="AA1561" t="str">
        <f t="shared" si="423"/>
        <v>1st Q 1996</v>
      </c>
      <c r="AB1561" t="str" cm="1">
        <f t="array" ref="AB1561">_xlfn.IFS(Y1561&lt;DATE(1996,1,1),"",Y1561&lt;DATE(1996,4,1),"Q1",Y1561&lt;DATE(1996,7,1),"Q2",Y1561&gt;=DATE(1996,7,1),"")</f>
        <v>Q1</v>
      </c>
    </row>
    <row r="1562" spans="1:28" ht="14.4" x14ac:dyDescent="0.55000000000000004">
      <c r="A1562" t="str">
        <f>VLOOKUP(L1562,Customers!$A$2:$B$92,2,FALSE)</f>
        <v>Piccolo und mehr</v>
      </c>
      <c r="B1562" t="str">
        <f>VLOOKUP(L1562,Customers!$A$2:$C$92,3,TRUE)</f>
        <v>Georg Pipps</v>
      </c>
      <c r="C1562" t="str">
        <f t="shared" si="409"/>
        <v>Georg</v>
      </c>
      <c r="D1562" s="8" t="str">
        <f t="shared" si="410"/>
        <v>Pipps</v>
      </c>
      <c r="E1562" s="8" t="str">
        <f t="shared" si="411"/>
        <v>Pipps, Georg</v>
      </c>
      <c r="F1562" s="8" t="str">
        <f t="shared" si="412"/>
        <v>Pipps, Georg</v>
      </c>
      <c r="G1562" s="8" t="str">
        <f t="shared" si="413"/>
        <v>not an outlier</v>
      </c>
      <c r="H1562" s="8" t="str">
        <f t="shared" si="414"/>
        <v>Not</v>
      </c>
      <c r="I1562" s="8" t="str">
        <f t="shared" si="424"/>
        <v>no</v>
      </c>
      <c r="J1562" s="10" t="str">
        <f t="shared" si="415"/>
        <v>no</v>
      </c>
      <c r="K1562" s="10" t="str">
        <f t="shared" si="416"/>
        <v>no</v>
      </c>
      <c r="L1562" t="s">
        <v>450</v>
      </c>
      <c r="M1562">
        <v>10844</v>
      </c>
      <c r="N1562">
        <v>22</v>
      </c>
      <c r="O1562" t="s">
        <v>690</v>
      </c>
      <c r="P1562" t="str">
        <f t="shared" si="417"/>
        <v>PICCO_10844_Gustaf's Knäckebröd</v>
      </c>
      <c r="Q1562" t="str">
        <f t="shared" si="418"/>
        <v>10844</v>
      </c>
      <c r="R1562" t="str">
        <f t="shared" si="419"/>
        <v>10844</v>
      </c>
      <c r="S1562" t="str">
        <f t="shared" si="420"/>
        <v>Gustaf's Knäckebröd</v>
      </c>
      <c r="T1562">
        <v>21</v>
      </c>
      <c r="U1562">
        <v>35</v>
      </c>
      <c r="V1562">
        <v>0</v>
      </c>
      <c r="W1562">
        <f t="shared" si="421"/>
        <v>735</v>
      </c>
      <c r="X1562" t="str">
        <f t="shared" si="422"/>
        <v>yes</v>
      </c>
      <c r="Y1562" s="2">
        <v>35116</v>
      </c>
      <c r="Z1562" t="str">
        <f t="shared" si="408"/>
        <v>1st Q 1996</v>
      </c>
      <c r="AA1562" t="str">
        <f t="shared" si="423"/>
        <v>1st Q 1996</v>
      </c>
      <c r="AB1562" t="str" cm="1">
        <f t="array" ref="AB1562">_xlfn.IFS(Y1562&lt;DATE(1996,1,1),"",Y1562&lt;DATE(1996,4,1),"Q1",Y1562&lt;DATE(1996,7,1),"Q2",Y1562&gt;=DATE(1996,7,1),"")</f>
        <v>Q1</v>
      </c>
    </row>
    <row r="1563" spans="1:28" ht="14.4" x14ac:dyDescent="0.55000000000000004">
      <c r="A1563" t="str">
        <f>VLOOKUP(L1563,Customers!$A$2:$B$92,2,FALSE)</f>
        <v>QUICK-Stop</v>
      </c>
      <c r="B1563" t="str">
        <f>VLOOKUP(L1563,Customers!$A$2:$C$92,3,TRUE)</f>
        <v>Horst Kloss</v>
      </c>
      <c r="C1563" t="str">
        <f t="shared" si="409"/>
        <v>Horst</v>
      </c>
      <c r="D1563" s="8" t="str">
        <f t="shared" si="410"/>
        <v>Kloss</v>
      </c>
      <c r="E1563" s="8" t="str">
        <f t="shared" si="411"/>
        <v>Kloss, Horst</v>
      </c>
      <c r="F1563" s="8" t="str">
        <f t="shared" si="412"/>
        <v>Kloss, Horst</v>
      </c>
      <c r="G1563" s="8" t="str">
        <f t="shared" si="413"/>
        <v>not an outlier</v>
      </c>
      <c r="H1563" s="8" t="str">
        <f t="shared" si="414"/>
        <v>Not</v>
      </c>
      <c r="I1563" s="8" t="str">
        <f t="shared" si="424"/>
        <v>no</v>
      </c>
      <c r="J1563" s="10" t="str">
        <f t="shared" si="415"/>
        <v>no</v>
      </c>
      <c r="K1563" s="10" t="str">
        <f t="shared" si="416"/>
        <v>no</v>
      </c>
      <c r="L1563" t="s">
        <v>475</v>
      </c>
      <c r="M1563">
        <v>10845</v>
      </c>
      <c r="N1563">
        <v>23</v>
      </c>
      <c r="O1563" t="s">
        <v>753</v>
      </c>
      <c r="P1563" t="str">
        <f t="shared" si="417"/>
        <v>QUICK_10845_Tunnbröd</v>
      </c>
      <c r="Q1563" t="str">
        <f t="shared" si="418"/>
        <v>10845</v>
      </c>
      <c r="R1563" t="str">
        <f t="shared" si="419"/>
        <v>10845</v>
      </c>
      <c r="S1563" t="str">
        <f t="shared" si="420"/>
        <v>Tunnbröd</v>
      </c>
      <c r="T1563">
        <v>9</v>
      </c>
      <c r="U1563">
        <v>70</v>
      </c>
      <c r="V1563">
        <v>0.1</v>
      </c>
      <c r="W1563">
        <f t="shared" si="421"/>
        <v>567</v>
      </c>
      <c r="X1563" t="str">
        <f t="shared" si="422"/>
        <v>yes</v>
      </c>
      <c r="Y1563" s="2">
        <v>35116</v>
      </c>
      <c r="Z1563" t="str">
        <f t="shared" si="408"/>
        <v>1st Q 1996</v>
      </c>
      <c r="AA1563" t="str">
        <f t="shared" si="423"/>
        <v>1st Q 1996</v>
      </c>
      <c r="AB1563" t="str" cm="1">
        <f t="array" ref="AB1563">_xlfn.IFS(Y1563&lt;DATE(1996,1,1),"",Y1563&lt;DATE(1996,4,1),"Q1",Y1563&lt;DATE(1996,7,1),"Q2",Y1563&gt;=DATE(1996,7,1),"")</f>
        <v>Q1</v>
      </c>
    </row>
    <row r="1564" spans="1:28" ht="14.4" x14ac:dyDescent="0.55000000000000004">
      <c r="A1564" t="str">
        <f>VLOOKUP(L1564,Customers!$A$2:$B$92,2,FALSE)</f>
        <v>QUICK-Stop</v>
      </c>
      <c r="B1564" t="str">
        <f>VLOOKUP(L1564,Customers!$A$2:$C$92,3,TRUE)</f>
        <v>Horst Kloss</v>
      </c>
      <c r="C1564" t="str">
        <f t="shared" si="409"/>
        <v>Horst</v>
      </c>
      <c r="D1564" s="8" t="str">
        <f t="shared" si="410"/>
        <v>Kloss</v>
      </c>
      <c r="E1564" s="8" t="str">
        <f t="shared" si="411"/>
        <v>Kloss, Horst</v>
      </c>
      <c r="F1564" s="8" t="str">
        <f t="shared" si="412"/>
        <v>Kloss, Horst</v>
      </c>
      <c r="G1564" s="8" t="str">
        <f t="shared" si="413"/>
        <v>not an outlier</v>
      </c>
      <c r="H1564" s="8" t="str">
        <f t="shared" si="414"/>
        <v>Not</v>
      </c>
      <c r="I1564" s="8" t="str">
        <f t="shared" si="424"/>
        <v>no</v>
      </c>
      <c r="J1564" s="10" t="str">
        <f t="shared" si="415"/>
        <v>no</v>
      </c>
      <c r="K1564" s="10" t="str">
        <f t="shared" si="416"/>
        <v>no</v>
      </c>
      <c r="L1564" t="s">
        <v>475</v>
      </c>
      <c r="M1564">
        <v>10845</v>
      </c>
      <c r="N1564">
        <v>35</v>
      </c>
      <c r="O1564" t="s">
        <v>714</v>
      </c>
      <c r="P1564" t="str">
        <f t="shared" si="417"/>
        <v>QUICK_10845_Steeleye Stout</v>
      </c>
      <c r="Q1564" t="str">
        <f t="shared" si="418"/>
        <v>10845</v>
      </c>
      <c r="R1564" t="str">
        <f t="shared" si="419"/>
        <v>10845</v>
      </c>
      <c r="S1564" t="str">
        <f t="shared" si="420"/>
        <v>Steeleye Stout</v>
      </c>
      <c r="T1564">
        <v>18</v>
      </c>
      <c r="U1564">
        <v>25</v>
      </c>
      <c r="V1564">
        <v>0.1</v>
      </c>
      <c r="W1564">
        <f t="shared" si="421"/>
        <v>405</v>
      </c>
      <c r="X1564" t="str">
        <f t="shared" si="422"/>
        <v>yes</v>
      </c>
      <c r="Y1564" s="2">
        <v>35116</v>
      </c>
      <c r="Z1564" t="str">
        <f t="shared" si="408"/>
        <v>1st Q 1996</v>
      </c>
      <c r="AA1564" t="str">
        <f t="shared" si="423"/>
        <v>1st Q 1996</v>
      </c>
      <c r="AB1564" t="str" cm="1">
        <f t="array" ref="AB1564">_xlfn.IFS(Y1564&lt;DATE(1996,1,1),"",Y1564&lt;DATE(1996,4,1),"Q1",Y1564&lt;DATE(1996,7,1),"Q2",Y1564&gt;=DATE(1996,7,1),"")</f>
        <v>Q1</v>
      </c>
    </row>
    <row r="1565" spans="1:28" ht="14.4" x14ac:dyDescent="0.55000000000000004">
      <c r="A1565" t="str">
        <f>VLOOKUP(L1565,Customers!$A$2:$B$92,2,FALSE)</f>
        <v>QUICK-Stop</v>
      </c>
      <c r="B1565" t="str">
        <f>VLOOKUP(L1565,Customers!$A$2:$C$92,3,TRUE)</f>
        <v>Horst Kloss</v>
      </c>
      <c r="C1565" t="str">
        <f t="shared" si="409"/>
        <v>Horst</v>
      </c>
      <c r="D1565" s="8" t="str">
        <f t="shared" si="410"/>
        <v>Kloss</v>
      </c>
      <c r="E1565" s="8" t="str">
        <f t="shared" si="411"/>
        <v>Kloss, Horst</v>
      </c>
      <c r="F1565" s="8" t="str">
        <f t="shared" si="412"/>
        <v>Kloss, Horst</v>
      </c>
      <c r="G1565" s="8" t="str">
        <f t="shared" si="413"/>
        <v>not an outlier</v>
      </c>
      <c r="H1565" s="8" t="str">
        <f t="shared" si="414"/>
        <v>Not</v>
      </c>
      <c r="I1565" s="8" t="str">
        <f t="shared" si="424"/>
        <v>no</v>
      </c>
      <c r="J1565" s="10" t="str">
        <f t="shared" si="415"/>
        <v>no</v>
      </c>
      <c r="K1565" s="10" t="str">
        <f t="shared" si="416"/>
        <v>no</v>
      </c>
      <c r="L1565" t="s">
        <v>475</v>
      </c>
      <c r="M1565">
        <v>10845</v>
      </c>
      <c r="N1565">
        <v>42</v>
      </c>
      <c r="O1565" t="s">
        <v>684</v>
      </c>
      <c r="P1565" t="str">
        <f t="shared" si="417"/>
        <v>QUICK_10845_Singaporean Hokkien Fried Mee</v>
      </c>
      <c r="Q1565" t="str">
        <f t="shared" si="418"/>
        <v>10845</v>
      </c>
      <c r="R1565" t="str">
        <f t="shared" si="419"/>
        <v>10845</v>
      </c>
      <c r="S1565" t="str">
        <f t="shared" si="420"/>
        <v>Singaporean Hokkien Fried Mee</v>
      </c>
      <c r="T1565">
        <v>14</v>
      </c>
      <c r="U1565">
        <v>42</v>
      </c>
      <c r="V1565">
        <v>0.1</v>
      </c>
      <c r="W1565">
        <f t="shared" si="421"/>
        <v>529.20000000000005</v>
      </c>
      <c r="X1565" t="str">
        <f t="shared" si="422"/>
        <v>yes</v>
      </c>
      <c r="Y1565" s="2">
        <v>35116</v>
      </c>
      <c r="Z1565" t="str">
        <f t="shared" si="408"/>
        <v>1st Q 1996</v>
      </c>
      <c r="AA1565" t="str">
        <f t="shared" si="423"/>
        <v>1st Q 1996</v>
      </c>
      <c r="AB1565" t="str" cm="1">
        <f t="array" ref="AB1565">_xlfn.IFS(Y1565&lt;DATE(1996,1,1),"",Y1565&lt;DATE(1996,4,1),"Q1",Y1565&lt;DATE(1996,7,1),"Q2",Y1565&gt;=DATE(1996,7,1),"")</f>
        <v>Q1</v>
      </c>
    </row>
    <row r="1566" spans="1:28" ht="14.4" x14ac:dyDescent="0.55000000000000004">
      <c r="A1566" t="str">
        <f>VLOOKUP(L1566,Customers!$A$2:$B$92,2,FALSE)</f>
        <v>QUICK-Stop</v>
      </c>
      <c r="B1566" t="str">
        <f>VLOOKUP(L1566,Customers!$A$2:$C$92,3,TRUE)</f>
        <v>Horst Kloss</v>
      </c>
      <c r="C1566" t="str">
        <f t="shared" si="409"/>
        <v>Horst</v>
      </c>
      <c r="D1566" s="8" t="str">
        <f t="shared" si="410"/>
        <v>Kloss</v>
      </c>
      <c r="E1566" s="8" t="str">
        <f t="shared" si="411"/>
        <v>Kloss, Horst</v>
      </c>
      <c r="F1566" s="8" t="str">
        <f t="shared" si="412"/>
        <v>Kloss, Horst</v>
      </c>
      <c r="G1566" s="8" t="str">
        <f t="shared" si="413"/>
        <v>not an outlier</v>
      </c>
      <c r="H1566" s="8" t="str">
        <f t="shared" si="414"/>
        <v>Not</v>
      </c>
      <c r="I1566" s="8" t="str">
        <f t="shared" si="424"/>
        <v>no</v>
      </c>
      <c r="J1566" s="10" t="str">
        <f t="shared" si="415"/>
        <v>no</v>
      </c>
      <c r="K1566" s="10" t="str">
        <f t="shared" si="416"/>
        <v>no</v>
      </c>
      <c r="L1566" t="s">
        <v>475</v>
      </c>
      <c r="M1566">
        <v>10845</v>
      </c>
      <c r="N1566">
        <v>58</v>
      </c>
      <c r="O1566" t="s">
        <v>747</v>
      </c>
      <c r="P1566" t="str">
        <f t="shared" si="417"/>
        <v>QUICK_10845_Escargots de Bourgogne</v>
      </c>
      <c r="Q1566" t="str">
        <f t="shared" si="418"/>
        <v>10845</v>
      </c>
      <c r="R1566" t="str">
        <f t="shared" si="419"/>
        <v>10845</v>
      </c>
      <c r="S1566" t="str">
        <f t="shared" si="420"/>
        <v>Escargots de Bourgogne</v>
      </c>
      <c r="T1566">
        <v>13.25</v>
      </c>
      <c r="U1566">
        <v>60</v>
      </c>
      <c r="V1566">
        <v>0.1</v>
      </c>
      <c r="W1566">
        <f t="shared" si="421"/>
        <v>715.5</v>
      </c>
      <c r="X1566" t="str">
        <f t="shared" si="422"/>
        <v>yes</v>
      </c>
      <c r="Y1566" s="2">
        <v>35116</v>
      </c>
      <c r="Z1566" t="str">
        <f t="shared" si="408"/>
        <v>1st Q 1996</v>
      </c>
      <c r="AA1566" t="str">
        <f t="shared" si="423"/>
        <v>1st Q 1996</v>
      </c>
      <c r="AB1566" t="str" cm="1">
        <f t="array" ref="AB1566">_xlfn.IFS(Y1566&lt;DATE(1996,1,1),"",Y1566&lt;DATE(1996,4,1),"Q1",Y1566&lt;DATE(1996,7,1),"Q2",Y1566&gt;=DATE(1996,7,1),"")</f>
        <v>Q1</v>
      </c>
    </row>
    <row r="1567" spans="1:28" ht="14.4" x14ac:dyDescent="0.55000000000000004">
      <c r="A1567" t="str">
        <f>VLOOKUP(L1567,Customers!$A$2:$B$92,2,FALSE)</f>
        <v>QUICK-Stop</v>
      </c>
      <c r="B1567" t="str">
        <f>VLOOKUP(L1567,Customers!$A$2:$C$92,3,TRUE)</f>
        <v>Horst Kloss</v>
      </c>
      <c r="C1567" t="str">
        <f t="shared" si="409"/>
        <v>Horst</v>
      </c>
      <c r="D1567" s="8" t="str">
        <f t="shared" si="410"/>
        <v>Kloss</v>
      </c>
      <c r="E1567" s="8" t="str">
        <f t="shared" si="411"/>
        <v>Kloss, Horst</v>
      </c>
      <c r="F1567" s="8" t="str">
        <f t="shared" si="412"/>
        <v>Kloss, Horst</v>
      </c>
      <c r="G1567" s="8" t="str">
        <f t="shared" si="413"/>
        <v>not an outlier</v>
      </c>
      <c r="H1567" s="8" t="str">
        <f t="shared" si="414"/>
        <v>Not</v>
      </c>
      <c r="I1567" s="8" t="str">
        <f t="shared" si="424"/>
        <v>no</v>
      </c>
      <c r="J1567" s="10" t="str">
        <f t="shared" si="415"/>
        <v>no</v>
      </c>
      <c r="K1567" s="10" t="str">
        <f t="shared" si="416"/>
        <v>no</v>
      </c>
      <c r="L1567" t="s">
        <v>475</v>
      </c>
      <c r="M1567">
        <v>10845</v>
      </c>
      <c r="N1567">
        <v>64</v>
      </c>
      <c r="O1567" t="s">
        <v>741</v>
      </c>
      <c r="P1567" t="str">
        <f t="shared" si="417"/>
        <v>QUICK_10845_Wimmers gute Semmelknödel</v>
      </c>
      <c r="Q1567" t="str">
        <f t="shared" si="418"/>
        <v>10845</v>
      </c>
      <c r="R1567" t="str">
        <f t="shared" si="419"/>
        <v>10845</v>
      </c>
      <c r="S1567" t="str">
        <f t="shared" si="420"/>
        <v>Wimmers gute Semmelknödel</v>
      </c>
      <c r="T1567">
        <v>33.25</v>
      </c>
      <c r="U1567">
        <v>48</v>
      </c>
      <c r="V1567">
        <v>0</v>
      </c>
      <c r="W1567">
        <f t="shared" si="421"/>
        <v>1596</v>
      </c>
      <c r="X1567" t="str">
        <f t="shared" si="422"/>
        <v>yes</v>
      </c>
      <c r="Y1567" s="2">
        <v>35116</v>
      </c>
      <c r="Z1567" t="str">
        <f t="shared" si="408"/>
        <v>1st Q 1996</v>
      </c>
      <c r="AA1567" t="str">
        <f t="shared" si="423"/>
        <v>1st Q 1996</v>
      </c>
      <c r="AB1567" t="str" cm="1">
        <f t="array" ref="AB1567">_xlfn.IFS(Y1567&lt;DATE(1996,1,1),"",Y1567&lt;DATE(1996,4,1),"Q1",Y1567&lt;DATE(1996,7,1),"Q2",Y1567&gt;=DATE(1996,7,1),"")</f>
        <v>Q1</v>
      </c>
    </row>
    <row r="1568" spans="1:28" ht="14.4" x14ac:dyDescent="0.55000000000000004">
      <c r="A1568" t="str">
        <f>VLOOKUP(L1568,Customers!$A$2:$B$92,2,FALSE)</f>
        <v>Suprêmes délices</v>
      </c>
      <c r="B1568" t="str">
        <f>VLOOKUP(L1568,Customers!$A$2:$C$92,3,TRUE)</f>
        <v>Pascale Cartrain</v>
      </c>
      <c r="C1568" t="str">
        <f t="shared" si="409"/>
        <v>Pascale</v>
      </c>
      <c r="D1568" s="8" t="str">
        <f t="shared" si="410"/>
        <v>Cartrain</v>
      </c>
      <c r="E1568" s="8" t="str">
        <f t="shared" si="411"/>
        <v>Cartrain, Pascale</v>
      </c>
      <c r="F1568" s="8" t="str">
        <f t="shared" si="412"/>
        <v>Cartrain, Pascale</v>
      </c>
      <c r="G1568" s="8" t="str">
        <f t="shared" si="413"/>
        <v>not an outlier</v>
      </c>
      <c r="H1568" s="8" t="str">
        <f t="shared" si="414"/>
        <v>Not</v>
      </c>
      <c r="I1568" s="8" t="str">
        <f t="shared" si="424"/>
        <v>no</v>
      </c>
      <c r="J1568" s="10" t="str">
        <f t="shared" si="415"/>
        <v>no</v>
      </c>
      <c r="K1568" s="10" t="str">
        <f t="shared" si="416"/>
        <v>no</v>
      </c>
      <c r="L1568" t="s">
        <v>565</v>
      </c>
      <c r="M1568">
        <v>10846</v>
      </c>
      <c r="N1568">
        <v>4</v>
      </c>
      <c r="O1568" t="s">
        <v>745</v>
      </c>
      <c r="P1568" t="str">
        <f t="shared" si="417"/>
        <v>SUPRD_10846_Chef Anton's Cajun Seasoning</v>
      </c>
      <c r="Q1568" t="str">
        <f t="shared" si="418"/>
        <v>10846</v>
      </c>
      <c r="R1568" t="str">
        <f t="shared" si="419"/>
        <v>10846</v>
      </c>
      <c r="S1568" t="str">
        <f t="shared" si="420"/>
        <v>Chef Anton's Cajun Seasoning</v>
      </c>
      <c r="T1568">
        <v>22</v>
      </c>
      <c r="U1568">
        <v>21</v>
      </c>
      <c r="V1568">
        <v>0</v>
      </c>
      <c r="W1568">
        <f t="shared" si="421"/>
        <v>462</v>
      </c>
      <c r="X1568" t="str">
        <f t="shared" si="422"/>
        <v>yes</v>
      </c>
      <c r="Y1568" s="2">
        <v>35117</v>
      </c>
      <c r="Z1568" t="str">
        <f t="shared" si="408"/>
        <v>1st Q 1996</v>
      </c>
      <c r="AA1568" t="str">
        <f t="shared" si="423"/>
        <v>1st Q 1996</v>
      </c>
      <c r="AB1568" t="str" cm="1">
        <f t="array" ref="AB1568">_xlfn.IFS(Y1568&lt;DATE(1996,1,1),"",Y1568&lt;DATE(1996,4,1),"Q1",Y1568&lt;DATE(1996,7,1),"Q2",Y1568&gt;=DATE(1996,7,1),"")</f>
        <v>Q1</v>
      </c>
    </row>
    <row r="1569" spans="1:28" ht="14.4" x14ac:dyDescent="0.55000000000000004">
      <c r="A1569" t="str">
        <f>VLOOKUP(L1569,Customers!$A$2:$B$92,2,FALSE)</f>
        <v>Suprêmes délices</v>
      </c>
      <c r="B1569" t="str">
        <f>VLOOKUP(L1569,Customers!$A$2:$C$92,3,TRUE)</f>
        <v>Pascale Cartrain</v>
      </c>
      <c r="C1569" t="str">
        <f t="shared" si="409"/>
        <v>Pascale</v>
      </c>
      <c r="D1569" s="8" t="str">
        <f t="shared" si="410"/>
        <v>Cartrain</v>
      </c>
      <c r="E1569" s="8" t="str">
        <f t="shared" si="411"/>
        <v>Cartrain, Pascale</v>
      </c>
      <c r="F1569" s="8" t="str">
        <f t="shared" si="412"/>
        <v>Cartrain, Pascale</v>
      </c>
      <c r="G1569" s="8" t="str">
        <f t="shared" si="413"/>
        <v>not an outlier</v>
      </c>
      <c r="H1569" s="8" t="str">
        <f t="shared" si="414"/>
        <v>Not</v>
      </c>
      <c r="I1569" s="8" t="str">
        <f t="shared" si="424"/>
        <v>no</v>
      </c>
      <c r="J1569" s="10" t="str">
        <f t="shared" si="415"/>
        <v>no</v>
      </c>
      <c r="K1569" s="10" t="str">
        <f t="shared" si="416"/>
        <v>no</v>
      </c>
      <c r="L1569" t="s">
        <v>565</v>
      </c>
      <c r="M1569">
        <v>10846</v>
      </c>
      <c r="N1569">
        <v>70</v>
      </c>
      <c r="O1569" t="s">
        <v>713</v>
      </c>
      <c r="P1569" t="str">
        <f t="shared" si="417"/>
        <v>SUPRD_10846_Outback Lager</v>
      </c>
      <c r="Q1569" t="str">
        <f t="shared" si="418"/>
        <v>10846</v>
      </c>
      <c r="R1569" t="str">
        <f t="shared" si="419"/>
        <v>10846</v>
      </c>
      <c r="S1569" t="str">
        <f t="shared" si="420"/>
        <v>Outback Lager</v>
      </c>
      <c r="T1569">
        <v>15</v>
      </c>
      <c r="U1569">
        <v>30</v>
      </c>
      <c r="V1569">
        <v>0</v>
      </c>
      <c r="W1569">
        <f t="shared" si="421"/>
        <v>450</v>
      </c>
      <c r="X1569" t="str">
        <f t="shared" si="422"/>
        <v>yes</v>
      </c>
      <c r="Y1569" s="2">
        <v>35117</v>
      </c>
      <c r="Z1569" t="str">
        <f t="shared" si="408"/>
        <v>1st Q 1996</v>
      </c>
      <c r="AA1569" t="str">
        <f t="shared" si="423"/>
        <v>1st Q 1996</v>
      </c>
      <c r="AB1569" t="str" cm="1">
        <f t="array" ref="AB1569">_xlfn.IFS(Y1569&lt;DATE(1996,1,1),"",Y1569&lt;DATE(1996,4,1),"Q1",Y1569&lt;DATE(1996,7,1),"Q2",Y1569&gt;=DATE(1996,7,1),"")</f>
        <v>Q1</v>
      </c>
    </row>
    <row r="1570" spans="1:28" ht="14.4" x14ac:dyDescent="0.55000000000000004">
      <c r="A1570" t="str">
        <f>VLOOKUP(L1570,Customers!$A$2:$B$92,2,FALSE)</f>
        <v>Suprêmes délices</v>
      </c>
      <c r="B1570" t="str">
        <f>VLOOKUP(L1570,Customers!$A$2:$C$92,3,TRUE)</f>
        <v>Pascale Cartrain</v>
      </c>
      <c r="C1570" t="str">
        <f t="shared" si="409"/>
        <v>Pascale</v>
      </c>
      <c r="D1570" s="8" t="str">
        <f t="shared" si="410"/>
        <v>Cartrain</v>
      </c>
      <c r="E1570" s="8" t="str">
        <f t="shared" si="411"/>
        <v>Cartrain, Pascale</v>
      </c>
      <c r="F1570" s="8" t="str">
        <f t="shared" si="412"/>
        <v>Cartrain, Pascale</v>
      </c>
      <c r="G1570" s="8" t="str">
        <f t="shared" si="413"/>
        <v>not an outlier</v>
      </c>
      <c r="H1570" s="8" t="str">
        <f t="shared" si="414"/>
        <v>Not</v>
      </c>
      <c r="I1570" s="8" t="str">
        <f t="shared" si="424"/>
        <v>no</v>
      </c>
      <c r="J1570" s="10" t="str">
        <f t="shared" si="415"/>
        <v>no</v>
      </c>
      <c r="K1570" s="10" t="str">
        <f t="shared" si="416"/>
        <v>no</v>
      </c>
      <c r="L1570" t="s">
        <v>565</v>
      </c>
      <c r="M1570">
        <v>10846</v>
      </c>
      <c r="N1570">
        <v>74</v>
      </c>
      <c r="O1570" t="s">
        <v>700</v>
      </c>
      <c r="P1570" t="str">
        <f t="shared" si="417"/>
        <v>SUPRD_10846_Longlife Tofu</v>
      </c>
      <c r="Q1570" t="str">
        <f t="shared" si="418"/>
        <v>10846</v>
      </c>
      <c r="R1570" t="str">
        <f t="shared" si="419"/>
        <v>10846</v>
      </c>
      <c r="S1570" t="str">
        <f t="shared" si="420"/>
        <v>Longlife Tofu</v>
      </c>
      <c r="T1570">
        <v>10</v>
      </c>
      <c r="U1570">
        <v>20</v>
      </c>
      <c r="V1570">
        <v>0</v>
      </c>
      <c r="W1570">
        <f t="shared" si="421"/>
        <v>200</v>
      </c>
      <c r="X1570" t="str">
        <f t="shared" si="422"/>
        <v>yes</v>
      </c>
      <c r="Y1570" s="2">
        <v>35117</v>
      </c>
      <c r="Z1570" t="str">
        <f t="shared" si="408"/>
        <v>1st Q 1996</v>
      </c>
      <c r="AA1570" t="str">
        <f t="shared" si="423"/>
        <v>1st Q 1996</v>
      </c>
      <c r="AB1570" t="str" cm="1">
        <f t="array" ref="AB1570">_xlfn.IFS(Y1570&lt;DATE(1996,1,1),"",Y1570&lt;DATE(1996,4,1),"Q1",Y1570&lt;DATE(1996,7,1),"Q2",Y1570&gt;=DATE(1996,7,1),"")</f>
        <v>Q1</v>
      </c>
    </row>
    <row r="1571" spans="1:28" ht="14.4" x14ac:dyDescent="0.55000000000000004">
      <c r="A1571" t="str">
        <f>VLOOKUP(L1571,Customers!$A$2:$B$92,2,FALSE)</f>
        <v>Save-a-lot Markets</v>
      </c>
      <c r="B1571" t="str">
        <f>VLOOKUP(L1571,Customers!$A$2:$C$92,3,TRUE)</f>
        <v>Jose Pavarotti</v>
      </c>
      <c r="C1571" t="str">
        <f t="shared" si="409"/>
        <v>Jose</v>
      </c>
      <c r="D1571" s="8" t="str">
        <f t="shared" si="410"/>
        <v>Pavarotti</v>
      </c>
      <c r="E1571" s="8" t="str">
        <f t="shared" si="411"/>
        <v>Pavarotti, Jose</v>
      </c>
      <c r="F1571" s="8" t="str">
        <f t="shared" si="412"/>
        <v>Pavarotti, Jose</v>
      </c>
      <c r="G1571" s="8" t="str">
        <f t="shared" si="413"/>
        <v>not an outlier</v>
      </c>
      <c r="H1571" s="8" t="str">
        <f t="shared" si="414"/>
        <v>Not</v>
      </c>
      <c r="I1571" s="8" t="str">
        <f t="shared" si="424"/>
        <v>no</v>
      </c>
      <c r="J1571" s="10" t="str">
        <f t="shared" si="415"/>
        <v>no</v>
      </c>
      <c r="K1571" s="10" t="str">
        <f t="shared" si="416"/>
        <v>no</v>
      </c>
      <c r="L1571" t="s">
        <v>529</v>
      </c>
      <c r="M1571">
        <v>10847</v>
      </c>
      <c r="N1571">
        <v>1</v>
      </c>
      <c r="O1571" t="s">
        <v>735</v>
      </c>
      <c r="P1571" t="str">
        <f t="shared" si="417"/>
        <v>SAVEA_10847_Chai</v>
      </c>
      <c r="Q1571" t="str">
        <f t="shared" si="418"/>
        <v>10847</v>
      </c>
      <c r="R1571" t="str">
        <f t="shared" si="419"/>
        <v>10847</v>
      </c>
      <c r="S1571" t="str">
        <f t="shared" si="420"/>
        <v>Chai</v>
      </c>
      <c r="T1571">
        <v>18</v>
      </c>
      <c r="U1571">
        <v>80</v>
      </c>
      <c r="V1571">
        <v>0.2</v>
      </c>
      <c r="W1571">
        <f t="shared" si="421"/>
        <v>1152</v>
      </c>
      <c r="X1571" t="str">
        <f t="shared" si="422"/>
        <v>yes</v>
      </c>
      <c r="Y1571" s="2">
        <v>35117</v>
      </c>
      <c r="Z1571" t="str">
        <f t="shared" si="408"/>
        <v>1st Q 1996</v>
      </c>
      <c r="AA1571" t="str">
        <f t="shared" si="423"/>
        <v>1st Q 1996</v>
      </c>
      <c r="AB1571" t="str" cm="1">
        <f t="array" ref="AB1571">_xlfn.IFS(Y1571&lt;DATE(1996,1,1),"",Y1571&lt;DATE(1996,4,1),"Q1",Y1571&lt;DATE(1996,7,1),"Q2",Y1571&gt;=DATE(1996,7,1),"")</f>
        <v>Q1</v>
      </c>
    </row>
    <row r="1572" spans="1:28" ht="14.4" x14ac:dyDescent="0.55000000000000004">
      <c r="A1572" t="str">
        <f>VLOOKUP(L1572,Customers!$A$2:$B$92,2,FALSE)</f>
        <v>Save-a-lot Markets</v>
      </c>
      <c r="B1572" t="str">
        <f>VLOOKUP(L1572,Customers!$A$2:$C$92,3,TRUE)</f>
        <v>Jose Pavarotti</v>
      </c>
      <c r="C1572" t="str">
        <f t="shared" si="409"/>
        <v>Jose</v>
      </c>
      <c r="D1572" s="8" t="str">
        <f t="shared" si="410"/>
        <v>Pavarotti</v>
      </c>
      <c r="E1572" s="8" t="str">
        <f t="shared" si="411"/>
        <v>Pavarotti, Jose</v>
      </c>
      <c r="F1572" s="8" t="str">
        <f t="shared" si="412"/>
        <v>Pavarotti, Jose</v>
      </c>
      <c r="G1572" s="8" t="str">
        <f t="shared" si="413"/>
        <v>not an outlier</v>
      </c>
      <c r="H1572" s="8" t="str">
        <f t="shared" si="414"/>
        <v>Not</v>
      </c>
      <c r="I1572" s="8" t="str">
        <f t="shared" si="424"/>
        <v>no</v>
      </c>
      <c r="J1572" s="10" t="str">
        <f t="shared" si="415"/>
        <v>no</v>
      </c>
      <c r="K1572" s="10" t="str">
        <f t="shared" si="416"/>
        <v>no</v>
      </c>
      <c r="L1572" t="s">
        <v>529</v>
      </c>
      <c r="M1572">
        <v>10847</v>
      </c>
      <c r="N1572">
        <v>19</v>
      </c>
      <c r="O1572" t="s">
        <v>732</v>
      </c>
      <c r="P1572" t="str">
        <f t="shared" si="417"/>
        <v>SAVEA_10847_Teatime Chocolate Biscuits</v>
      </c>
      <c r="Q1572" t="str">
        <f t="shared" si="418"/>
        <v>10847</v>
      </c>
      <c r="R1572" t="str">
        <f t="shared" si="419"/>
        <v>10847</v>
      </c>
      <c r="S1572" t="str">
        <f t="shared" si="420"/>
        <v>Teatime Chocolate Biscuits</v>
      </c>
      <c r="T1572">
        <v>9.1999999999999993</v>
      </c>
      <c r="U1572">
        <v>12</v>
      </c>
      <c r="V1572">
        <v>0.2</v>
      </c>
      <c r="W1572">
        <f t="shared" si="421"/>
        <v>88.32</v>
      </c>
      <c r="X1572" t="str">
        <f t="shared" si="422"/>
        <v>yes</v>
      </c>
      <c r="Y1572" s="2">
        <v>35117</v>
      </c>
      <c r="Z1572" t="str">
        <f t="shared" si="408"/>
        <v>1st Q 1996</v>
      </c>
      <c r="AA1572" t="str">
        <f t="shared" si="423"/>
        <v>1st Q 1996</v>
      </c>
      <c r="AB1572" t="str" cm="1">
        <f t="array" ref="AB1572">_xlfn.IFS(Y1572&lt;DATE(1996,1,1),"",Y1572&lt;DATE(1996,4,1),"Q1",Y1572&lt;DATE(1996,7,1),"Q2",Y1572&gt;=DATE(1996,7,1),"")</f>
        <v>Q1</v>
      </c>
    </row>
    <row r="1573" spans="1:28" ht="14.4" x14ac:dyDescent="0.55000000000000004">
      <c r="A1573" t="str">
        <f>VLOOKUP(L1573,Customers!$A$2:$B$92,2,FALSE)</f>
        <v>Save-a-lot Markets</v>
      </c>
      <c r="B1573" t="str">
        <f>VLOOKUP(L1573,Customers!$A$2:$C$92,3,TRUE)</f>
        <v>Jose Pavarotti</v>
      </c>
      <c r="C1573" t="str">
        <f t="shared" si="409"/>
        <v>Jose</v>
      </c>
      <c r="D1573" s="8" t="str">
        <f t="shared" si="410"/>
        <v>Pavarotti</v>
      </c>
      <c r="E1573" s="8" t="str">
        <f t="shared" si="411"/>
        <v>Pavarotti, Jose</v>
      </c>
      <c r="F1573" s="8" t="str">
        <f t="shared" si="412"/>
        <v>Pavarotti, Jose</v>
      </c>
      <c r="G1573" s="8" t="str">
        <f t="shared" si="413"/>
        <v>not an outlier</v>
      </c>
      <c r="H1573" s="8" t="str">
        <f t="shared" si="414"/>
        <v>Not</v>
      </c>
      <c r="I1573" s="8" t="str">
        <f t="shared" si="424"/>
        <v>no</v>
      </c>
      <c r="J1573" s="10" t="str">
        <f t="shared" si="415"/>
        <v>no</v>
      </c>
      <c r="K1573" s="10" t="str">
        <f t="shared" si="416"/>
        <v>no</v>
      </c>
      <c r="L1573" t="s">
        <v>529</v>
      </c>
      <c r="M1573">
        <v>10847</v>
      </c>
      <c r="N1573">
        <v>37</v>
      </c>
      <c r="O1573" t="s">
        <v>711</v>
      </c>
      <c r="P1573" t="str">
        <f t="shared" si="417"/>
        <v>SAVEA_10847_Gravad lax</v>
      </c>
      <c r="Q1573" t="str">
        <f t="shared" si="418"/>
        <v>10847</v>
      </c>
      <c r="R1573" t="str">
        <f t="shared" si="419"/>
        <v>10847</v>
      </c>
      <c r="S1573" t="str">
        <f t="shared" si="420"/>
        <v>Gravad lax</v>
      </c>
      <c r="T1573">
        <v>26</v>
      </c>
      <c r="U1573">
        <v>60</v>
      </c>
      <c r="V1573">
        <v>0.2</v>
      </c>
      <c r="W1573">
        <f t="shared" si="421"/>
        <v>1248</v>
      </c>
      <c r="X1573" t="str">
        <f t="shared" si="422"/>
        <v>yes</v>
      </c>
      <c r="Y1573" s="2">
        <v>35117</v>
      </c>
      <c r="Z1573" t="str">
        <f t="shared" si="408"/>
        <v>1st Q 1996</v>
      </c>
      <c r="AA1573" t="str">
        <f t="shared" si="423"/>
        <v>1st Q 1996</v>
      </c>
      <c r="AB1573" t="str" cm="1">
        <f t="array" ref="AB1573">_xlfn.IFS(Y1573&lt;DATE(1996,1,1),"",Y1573&lt;DATE(1996,4,1),"Q1",Y1573&lt;DATE(1996,7,1),"Q2",Y1573&gt;=DATE(1996,7,1),"")</f>
        <v>Q1</v>
      </c>
    </row>
    <row r="1574" spans="1:28" ht="14.4" x14ac:dyDescent="0.55000000000000004">
      <c r="A1574" t="str">
        <f>VLOOKUP(L1574,Customers!$A$2:$B$92,2,FALSE)</f>
        <v>Save-a-lot Markets</v>
      </c>
      <c r="B1574" t="str">
        <f>VLOOKUP(L1574,Customers!$A$2:$C$92,3,TRUE)</f>
        <v>Jose Pavarotti</v>
      </c>
      <c r="C1574" t="str">
        <f t="shared" si="409"/>
        <v>Jose</v>
      </c>
      <c r="D1574" s="8" t="str">
        <f t="shared" si="410"/>
        <v>Pavarotti</v>
      </c>
      <c r="E1574" s="8" t="str">
        <f t="shared" si="411"/>
        <v>Pavarotti, Jose</v>
      </c>
      <c r="F1574" s="8" t="str">
        <f t="shared" si="412"/>
        <v>Pavarotti, Jose</v>
      </c>
      <c r="G1574" s="8" t="str">
        <f t="shared" si="413"/>
        <v>not an outlier</v>
      </c>
      <c r="H1574" s="8" t="str">
        <f t="shared" si="414"/>
        <v>Not</v>
      </c>
      <c r="I1574" s="8" t="str">
        <f t="shared" si="424"/>
        <v>no</v>
      </c>
      <c r="J1574" s="10" t="str">
        <f t="shared" si="415"/>
        <v>no</v>
      </c>
      <c r="K1574" s="10" t="str">
        <f t="shared" si="416"/>
        <v>no</v>
      </c>
      <c r="L1574" t="s">
        <v>529</v>
      </c>
      <c r="M1574">
        <v>10847</v>
      </c>
      <c r="N1574">
        <v>45</v>
      </c>
      <c r="O1574" t="s">
        <v>756</v>
      </c>
      <c r="P1574" t="str">
        <f t="shared" si="417"/>
        <v>SAVEA_10847_Røgede sild</v>
      </c>
      <c r="Q1574" t="str">
        <f t="shared" si="418"/>
        <v>10847</v>
      </c>
      <c r="R1574" t="str">
        <f t="shared" si="419"/>
        <v>10847</v>
      </c>
      <c r="S1574" t="str">
        <f t="shared" si="420"/>
        <v>Røgede sild</v>
      </c>
      <c r="T1574">
        <v>9.5</v>
      </c>
      <c r="U1574">
        <v>36</v>
      </c>
      <c r="V1574">
        <v>0.2</v>
      </c>
      <c r="W1574">
        <f t="shared" si="421"/>
        <v>273.60000000000002</v>
      </c>
      <c r="X1574" t="str">
        <f t="shared" si="422"/>
        <v>yes</v>
      </c>
      <c r="Y1574" s="2">
        <v>35117</v>
      </c>
      <c r="Z1574" t="str">
        <f t="shared" si="408"/>
        <v>1st Q 1996</v>
      </c>
      <c r="AA1574" t="str">
        <f t="shared" si="423"/>
        <v>1st Q 1996</v>
      </c>
      <c r="AB1574" t="str" cm="1">
        <f t="array" ref="AB1574">_xlfn.IFS(Y1574&lt;DATE(1996,1,1),"",Y1574&lt;DATE(1996,4,1),"Q1",Y1574&lt;DATE(1996,7,1),"Q2",Y1574&gt;=DATE(1996,7,1),"")</f>
        <v>Q1</v>
      </c>
    </row>
    <row r="1575" spans="1:28" ht="14.4" x14ac:dyDescent="0.55000000000000004">
      <c r="A1575" t="str">
        <f>VLOOKUP(L1575,Customers!$A$2:$B$92,2,FALSE)</f>
        <v>Save-a-lot Markets</v>
      </c>
      <c r="B1575" t="str">
        <f>VLOOKUP(L1575,Customers!$A$2:$C$92,3,TRUE)</f>
        <v>Jose Pavarotti</v>
      </c>
      <c r="C1575" t="str">
        <f t="shared" si="409"/>
        <v>Jose</v>
      </c>
      <c r="D1575" s="8" t="str">
        <f t="shared" si="410"/>
        <v>Pavarotti</v>
      </c>
      <c r="E1575" s="8" t="str">
        <f t="shared" si="411"/>
        <v>Pavarotti, Jose</v>
      </c>
      <c r="F1575" s="8" t="str">
        <f t="shared" si="412"/>
        <v>Pavarotti, Jose</v>
      </c>
      <c r="G1575" s="8" t="str">
        <f t="shared" si="413"/>
        <v>not an outlier</v>
      </c>
      <c r="H1575" s="8" t="str">
        <f t="shared" si="414"/>
        <v>Not</v>
      </c>
      <c r="I1575" s="8" t="str">
        <f t="shared" si="424"/>
        <v>no</v>
      </c>
      <c r="J1575" s="10" t="str">
        <f t="shared" si="415"/>
        <v>no</v>
      </c>
      <c r="K1575" s="10" t="str">
        <f t="shared" si="416"/>
        <v>no</v>
      </c>
      <c r="L1575" t="s">
        <v>529</v>
      </c>
      <c r="M1575">
        <v>10847</v>
      </c>
      <c r="N1575">
        <v>60</v>
      </c>
      <c r="O1575" t="s">
        <v>694</v>
      </c>
      <c r="P1575" t="str">
        <f t="shared" si="417"/>
        <v>SAVEA_10847_Camembert Pierrot</v>
      </c>
      <c r="Q1575" t="str">
        <f t="shared" si="418"/>
        <v>10847</v>
      </c>
      <c r="R1575" t="str">
        <f t="shared" si="419"/>
        <v>10847</v>
      </c>
      <c r="S1575" t="str">
        <f t="shared" si="420"/>
        <v>Camembert Pierrot</v>
      </c>
      <c r="T1575">
        <v>34</v>
      </c>
      <c r="U1575">
        <v>45</v>
      </c>
      <c r="V1575">
        <v>0.2</v>
      </c>
      <c r="W1575">
        <f t="shared" si="421"/>
        <v>1224</v>
      </c>
      <c r="X1575" t="str">
        <f t="shared" si="422"/>
        <v>yes</v>
      </c>
      <c r="Y1575" s="2">
        <v>35117</v>
      </c>
      <c r="Z1575" t="str">
        <f t="shared" si="408"/>
        <v>1st Q 1996</v>
      </c>
      <c r="AA1575" t="str">
        <f t="shared" si="423"/>
        <v>1st Q 1996</v>
      </c>
      <c r="AB1575" t="str" cm="1">
        <f t="array" ref="AB1575">_xlfn.IFS(Y1575&lt;DATE(1996,1,1),"",Y1575&lt;DATE(1996,4,1),"Q1",Y1575&lt;DATE(1996,7,1),"Q2",Y1575&gt;=DATE(1996,7,1),"")</f>
        <v>Q1</v>
      </c>
    </row>
    <row r="1576" spans="1:28" ht="14.4" x14ac:dyDescent="0.55000000000000004">
      <c r="A1576" t="str">
        <f>VLOOKUP(L1576,Customers!$A$2:$B$92,2,FALSE)</f>
        <v>Save-a-lot Markets</v>
      </c>
      <c r="B1576" t="str">
        <f>VLOOKUP(L1576,Customers!$A$2:$C$92,3,TRUE)</f>
        <v>Jose Pavarotti</v>
      </c>
      <c r="C1576" t="str">
        <f t="shared" si="409"/>
        <v>Jose</v>
      </c>
      <c r="D1576" s="8" t="str">
        <f t="shared" si="410"/>
        <v>Pavarotti</v>
      </c>
      <c r="E1576" s="8" t="str">
        <f t="shared" si="411"/>
        <v>Pavarotti, Jose</v>
      </c>
      <c r="F1576" s="8" t="str">
        <f t="shared" si="412"/>
        <v>Pavarotti, Jose</v>
      </c>
      <c r="G1576" s="8" t="str">
        <f t="shared" si="413"/>
        <v>not an outlier</v>
      </c>
      <c r="H1576" s="8" t="str">
        <f t="shared" si="414"/>
        <v>Not</v>
      </c>
      <c r="I1576" s="8" t="str">
        <f t="shared" si="424"/>
        <v>no</v>
      </c>
      <c r="J1576" s="10" t="str">
        <f t="shared" si="415"/>
        <v>no</v>
      </c>
      <c r="K1576" s="10" t="str">
        <f t="shared" si="416"/>
        <v>no</v>
      </c>
      <c r="L1576" t="s">
        <v>529</v>
      </c>
      <c r="M1576">
        <v>10847</v>
      </c>
      <c r="N1576">
        <v>71</v>
      </c>
      <c r="O1576" t="s">
        <v>725</v>
      </c>
      <c r="P1576" t="str">
        <f t="shared" si="417"/>
        <v>SAVEA_10847_Fløtemysost</v>
      </c>
      <c r="Q1576" t="str">
        <f t="shared" si="418"/>
        <v>10847</v>
      </c>
      <c r="R1576" t="str">
        <f t="shared" si="419"/>
        <v>10847</v>
      </c>
      <c r="S1576" t="str">
        <f t="shared" si="420"/>
        <v>Fløtemysost</v>
      </c>
      <c r="T1576">
        <v>21.5</v>
      </c>
      <c r="U1576">
        <v>55</v>
      </c>
      <c r="V1576">
        <v>0.2</v>
      </c>
      <c r="W1576">
        <f t="shared" si="421"/>
        <v>946</v>
      </c>
      <c r="X1576" t="str">
        <f t="shared" si="422"/>
        <v>yes</v>
      </c>
      <c r="Y1576" s="2">
        <v>35117</v>
      </c>
      <c r="Z1576" t="str">
        <f t="shared" si="408"/>
        <v>1st Q 1996</v>
      </c>
      <c r="AA1576" t="str">
        <f t="shared" si="423"/>
        <v>1st Q 1996</v>
      </c>
      <c r="AB1576" t="str" cm="1">
        <f t="array" ref="AB1576">_xlfn.IFS(Y1576&lt;DATE(1996,1,1),"",Y1576&lt;DATE(1996,4,1),"Q1",Y1576&lt;DATE(1996,7,1),"Q2",Y1576&gt;=DATE(1996,7,1),"")</f>
        <v>Q1</v>
      </c>
    </row>
    <row r="1577" spans="1:28" ht="14.4" x14ac:dyDescent="0.55000000000000004">
      <c r="A1577" t="str">
        <f>VLOOKUP(L1577,Customers!$A$2:$B$92,2,FALSE)</f>
        <v>Consolidated Holdings</v>
      </c>
      <c r="B1577" t="str">
        <f>VLOOKUP(L1577,Customers!$A$2:$C$92,3,TRUE)</f>
        <v>Elizabeth Brown</v>
      </c>
      <c r="C1577" t="str">
        <f t="shared" si="409"/>
        <v>Elizabeth</v>
      </c>
      <c r="D1577" s="8" t="str">
        <f t="shared" si="410"/>
        <v>Brown</v>
      </c>
      <c r="E1577" s="8" t="str">
        <f t="shared" si="411"/>
        <v>Brown, Elizabeth</v>
      </c>
      <c r="F1577" s="8" t="str">
        <f t="shared" si="412"/>
        <v>Brown, Elizabeth</v>
      </c>
      <c r="G1577" s="8" t="str">
        <f t="shared" si="413"/>
        <v>not an outlier</v>
      </c>
      <c r="H1577" s="8" t="str">
        <f t="shared" si="414"/>
        <v>Not</v>
      </c>
      <c r="I1577" s="8" t="str">
        <f t="shared" si="424"/>
        <v>no</v>
      </c>
      <c r="J1577" s="10" t="str">
        <f t="shared" si="415"/>
        <v>no</v>
      </c>
      <c r="K1577" s="10" t="str">
        <f t="shared" si="416"/>
        <v>no</v>
      </c>
      <c r="L1577" t="s">
        <v>133</v>
      </c>
      <c r="M1577">
        <v>10848</v>
      </c>
      <c r="N1577">
        <v>5</v>
      </c>
      <c r="O1577" t="s">
        <v>708</v>
      </c>
      <c r="P1577" t="str">
        <f t="shared" si="417"/>
        <v>CONSH_10848_Chef Anton's Gumbo Mix</v>
      </c>
      <c r="Q1577" t="str">
        <f t="shared" si="418"/>
        <v>10848</v>
      </c>
      <c r="R1577" t="str">
        <f t="shared" si="419"/>
        <v>10848</v>
      </c>
      <c r="S1577" t="str">
        <f t="shared" si="420"/>
        <v>Chef Anton's Gumbo Mix</v>
      </c>
      <c r="T1577">
        <v>21.35</v>
      </c>
      <c r="U1577">
        <v>30</v>
      </c>
      <c r="V1577">
        <v>0</v>
      </c>
      <c r="W1577">
        <f t="shared" si="421"/>
        <v>640.5</v>
      </c>
      <c r="X1577" t="str">
        <f t="shared" si="422"/>
        <v>yes</v>
      </c>
      <c r="Y1577" s="2">
        <v>35118</v>
      </c>
      <c r="Z1577" t="str">
        <f t="shared" si="408"/>
        <v>1st Q 1996</v>
      </c>
      <c r="AA1577" t="str">
        <f t="shared" si="423"/>
        <v>1st Q 1996</v>
      </c>
      <c r="AB1577" t="str" cm="1">
        <f t="array" ref="AB1577">_xlfn.IFS(Y1577&lt;DATE(1996,1,1),"",Y1577&lt;DATE(1996,4,1),"Q1",Y1577&lt;DATE(1996,7,1),"Q2",Y1577&gt;=DATE(1996,7,1),"")</f>
        <v>Q1</v>
      </c>
    </row>
    <row r="1578" spans="1:28" ht="14.4" x14ac:dyDescent="0.55000000000000004">
      <c r="A1578" t="str">
        <f>VLOOKUP(L1578,Customers!$A$2:$B$92,2,FALSE)</f>
        <v>Consolidated Holdings</v>
      </c>
      <c r="B1578" t="str">
        <f>VLOOKUP(L1578,Customers!$A$2:$C$92,3,TRUE)</f>
        <v>Elizabeth Brown</v>
      </c>
      <c r="C1578" t="str">
        <f t="shared" si="409"/>
        <v>Elizabeth</v>
      </c>
      <c r="D1578" s="8" t="str">
        <f t="shared" si="410"/>
        <v>Brown</v>
      </c>
      <c r="E1578" s="8" t="str">
        <f t="shared" si="411"/>
        <v>Brown, Elizabeth</v>
      </c>
      <c r="F1578" s="8" t="str">
        <f t="shared" si="412"/>
        <v>Brown, Elizabeth</v>
      </c>
      <c r="G1578" s="8" t="str">
        <f t="shared" si="413"/>
        <v>not an outlier</v>
      </c>
      <c r="H1578" s="8" t="str">
        <f t="shared" si="414"/>
        <v>Not</v>
      </c>
      <c r="I1578" s="8" t="str">
        <f t="shared" si="424"/>
        <v>no</v>
      </c>
      <c r="J1578" s="10" t="str">
        <f t="shared" si="415"/>
        <v>no</v>
      </c>
      <c r="K1578" s="10" t="str">
        <f t="shared" si="416"/>
        <v>no</v>
      </c>
      <c r="L1578" t="s">
        <v>133</v>
      </c>
      <c r="M1578">
        <v>10848</v>
      </c>
      <c r="N1578">
        <v>9</v>
      </c>
      <c r="O1578" t="s">
        <v>759</v>
      </c>
      <c r="P1578" t="str">
        <f t="shared" si="417"/>
        <v>CONSH_10848_Mishi Kobe Niku</v>
      </c>
      <c r="Q1578" t="str">
        <f t="shared" si="418"/>
        <v>10848</v>
      </c>
      <c r="R1578" t="str">
        <f t="shared" si="419"/>
        <v>10848</v>
      </c>
      <c r="S1578" t="str">
        <f t="shared" si="420"/>
        <v>Mishi Kobe Niku</v>
      </c>
      <c r="T1578">
        <v>97</v>
      </c>
      <c r="U1578">
        <v>3</v>
      </c>
      <c r="V1578">
        <v>0</v>
      </c>
      <c r="W1578">
        <f t="shared" si="421"/>
        <v>291</v>
      </c>
      <c r="X1578" t="str">
        <f t="shared" si="422"/>
        <v>yes</v>
      </c>
      <c r="Y1578" s="2">
        <v>35118</v>
      </c>
      <c r="Z1578" t="str">
        <f t="shared" si="408"/>
        <v>1st Q 1996</v>
      </c>
      <c r="AA1578" t="str">
        <f t="shared" si="423"/>
        <v>1st Q 1996</v>
      </c>
      <c r="AB1578" t="str" cm="1">
        <f t="array" ref="AB1578">_xlfn.IFS(Y1578&lt;DATE(1996,1,1),"",Y1578&lt;DATE(1996,4,1),"Q1",Y1578&lt;DATE(1996,7,1),"Q2",Y1578&gt;=DATE(1996,7,1),"")</f>
        <v>Q1</v>
      </c>
    </row>
    <row r="1579" spans="1:28" ht="14.4" x14ac:dyDescent="0.55000000000000004">
      <c r="A1579" t="str">
        <f>VLOOKUP(L1579,Customers!$A$2:$B$92,2,FALSE)</f>
        <v>Königlich Essen</v>
      </c>
      <c r="B1579" t="str">
        <f>VLOOKUP(L1579,Customers!$A$2:$C$92,3,TRUE)</f>
        <v>Philip Cramer</v>
      </c>
      <c r="C1579" t="str">
        <f t="shared" si="409"/>
        <v>Philip</v>
      </c>
      <c r="D1579" s="8" t="str">
        <f t="shared" si="410"/>
        <v>Cramer</v>
      </c>
      <c r="E1579" s="8" t="str">
        <f t="shared" si="411"/>
        <v>Cramer, Philip</v>
      </c>
      <c r="F1579" s="8" t="str">
        <f t="shared" si="412"/>
        <v>Cramer, Philip</v>
      </c>
      <c r="G1579" s="8" t="str">
        <f t="shared" si="413"/>
        <v>not an outlier</v>
      </c>
      <c r="H1579" s="8" t="str">
        <f t="shared" si="414"/>
        <v>Not</v>
      </c>
      <c r="I1579" s="8" t="str">
        <f t="shared" si="424"/>
        <v>no</v>
      </c>
      <c r="J1579" s="10" t="str">
        <f t="shared" si="415"/>
        <v>no</v>
      </c>
      <c r="K1579" s="10" t="str">
        <f t="shared" si="416"/>
        <v>no</v>
      </c>
      <c r="L1579" t="s">
        <v>305</v>
      </c>
      <c r="M1579">
        <v>10849</v>
      </c>
      <c r="N1579">
        <v>3</v>
      </c>
      <c r="O1579" t="s">
        <v>740</v>
      </c>
      <c r="P1579" t="str">
        <f t="shared" si="417"/>
        <v>KOENE_10849_Aniseed Syrup</v>
      </c>
      <c r="Q1579" t="str">
        <f t="shared" si="418"/>
        <v>10849</v>
      </c>
      <c r="R1579" t="str">
        <f t="shared" si="419"/>
        <v>10849</v>
      </c>
      <c r="S1579" t="str">
        <f t="shared" si="420"/>
        <v>Aniseed Syrup</v>
      </c>
      <c r="T1579">
        <v>10</v>
      </c>
      <c r="U1579">
        <v>49</v>
      </c>
      <c r="V1579">
        <v>0</v>
      </c>
      <c r="W1579">
        <f t="shared" si="421"/>
        <v>490</v>
      </c>
      <c r="X1579" t="str">
        <f t="shared" si="422"/>
        <v>yes</v>
      </c>
      <c r="Y1579" s="2">
        <v>35118</v>
      </c>
      <c r="Z1579" t="str">
        <f t="shared" si="408"/>
        <v>1st Q 1996</v>
      </c>
      <c r="AA1579" t="str">
        <f t="shared" si="423"/>
        <v>1st Q 1996</v>
      </c>
      <c r="AB1579" t="str" cm="1">
        <f t="array" ref="AB1579">_xlfn.IFS(Y1579&lt;DATE(1996,1,1),"",Y1579&lt;DATE(1996,4,1),"Q1",Y1579&lt;DATE(1996,7,1),"Q2",Y1579&gt;=DATE(1996,7,1),"")</f>
        <v>Q1</v>
      </c>
    </row>
    <row r="1580" spans="1:28" ht="14.4" x14ac:dyDescent="0.55000000000000004">
      <c r="A1580" t="str">
        <f>VLOOKUP(L1580,Customers!$A$2:$B$92,2,FALSE)</f>
        <v>Königlich Essen</v>
      </c>
      <c r="B1580" t="str">
        <f>VLOOKUP(L1580,Customers!$A$2:$C$92,3,TRUE)</f>
        <v>Philip Cramer</v>
      </c>
      <c r="C1580" t="str">
        <f t="shared" si="409"/>
        <v>Philip</v>
      </c>
      <c r="D1580" s="8" t="str">
        <f t="shared" si="410"/>
        <v>Cramer</v>
      </c>
      <c r="E1580" s="8" t="str">
        <f t="shared" si="411"/>
        <v>Cramer, Philip</v>
      </c>
      <c r="F1580" s="8" t="str">
        <f t="shared" si="412"/>
        <v>Cramer, Philip</v>
      </c>
      <c r="G1580" s="8" t="str">
        <f t="shared" si="413"/>
        <v>not an outlier</v>
      </c>
      <c r="H1580" s="8" t="str">
        <f t="shared" si="414"/>
        <v>Not</v>
      </c>
      <c r="I1580" s="8" t="str">
        <f t="shared" si="424"/>
        <v>no</v>
      </c>
      <c r="J1580" s="10" t="str">
        <f t="shared" si="415"/>
        <v>no</v>
      </c>
      <c r="K1580" s="10" t="str">
        <f t="shared" si="416"/>
        <v>no</v>
      </c>
      <c r="L1580" t="s">
        <v>305</v>
      </c>
      <c r="M1580">
        <v>10849</v>
      </c>
      <c r="N1580">
        <v>26</v>
      </c>
      <c r="O1580" t="s">
        <v>751</v>
      </c>
      <c r="P1580" t="str">
        <f t="shared" si="417"/>
        <v>KOENE_10849_Gumbär Gummibärchen</v>
      </c>
      <c r="Q1580" t="str">
        <f t="shared" si="418"/>
        <v>10849</v>
      </c>
      <c r="R1580" t="str">
        <f t="shared" si="419"/>
        <v>10849</v>
      </c>
      <c r="S1580" t="str">
        <f t="shared" si="420"/>
        <v>Gumbär Gummibärchen</v>
      </c>
      <c r="T1580">
        <v>31.23</v>
      </c>
      <c r="U1580">
        <v>18</v>
      </c>
      <c r="V1580">
        <v>0.15</v>
      </c>
      <c r="W1580">
        <f t="shared" si="421"/>
        <v>477.81899999999996</v>
      </c>
      <c r="X1580" t="str">
        <f t="shared" si="422"/>
        <v>yes</v>
      </c>
      <c r="Y1580" s="2">
        <v>35118</v>
      </c>
      <c r="Z1580" t="str">
        <f t="shared" si="408"/>
        <v>1st Q 1996</v>
      </c>
      <c r="AA1580" t="str">
        <f t="shared" si="423"/>
        <v>1st Q 1996</v>
      </c>
      <c r="AB1580" t="str" cm="1">
        <f t="array" ref="AB1580">_xlfn.IFS(Y1580&lt;DATE(1996,1,1),"",Y1580&lt;DATE(1996,4,1),"Q1",Y1580&lt;DATE(1996,7,1),"Q2",Y1580&gt;=DATE(1996,7,1),"")</f>
        <v>Q1</v>
      </c>
    </row>
    <row r="1581" spans="1:28" ht="14.4" x14ac:dyDescent="0.55000000000000004">
      <c r="A1581" t="str">
        <f>VLOOKUP(L1581,Customers!$A$2:$B$92,2,FALSE)</f>
        <v>Victuailles en stock</v>
      </c>
      <c r="B1581" t="str">
        <f>VLOOKUP(L1581,Customers!$A$2:$C$92,3,TRUE)</f>
        <v>Mary Saveley</v>
      </c>
      <c r="C1581" t="str">
        <f t="shared" si="409"/>
        <v>Mary</v>
      </c>
      <c r="D1581" s="8" t="str">
        <f t="shared" si="410"/>
        <v>Saveley</v>
      </c>
      <c r="E1581" s="8" t="str">
        <f t="shared" si="411"/>
        <v>Saveley, Mary</v>
      </c>
      <c r="F1581" s="8" t="str">
        <f t="shared" si="412"/>
        <v>Saveley, Mary</v>
      </c>
      <c r="G1581" s="8" t="str">
        <f t="shared" si="413"/>
        <v>not an outlier</v>
      </c>
      <c r="H1581" s="8" t="str">
        <f t="shared" si="414"/>
        <v>Not</v>
      </c>
      <c r="I1581" s="8" t="str">
        <f t="shared" si="424"/>
        <v>no</v>
      </c>
      <c r="J1581" s="10" t="str">
        <f t="shared" si="415"/>
        <v>no</v>
      </c>
      <c r="K1581" s="10" t="str">
        <f t="shared" si="416"/>
        <v>no</v>
      </c>
      <c r="L1581" t="s">
        <v>619</v>
      </c>
      <c r="M1581">
        <v>10850</v>
      </c>
      <c r="N1581">
        <v>25</v>
      </c>
      <c r="O1581" t="s">
        <v>749</v>
      </c>
      <c r="P1581" t="str">
        <f t="shared" si="417"/>
        <v>VICTE_10850_NuNuCa Nuß-Nougat-Creme</v>
      </c>
      <c r="Q1581" t="str">
        <f t="shared" si="418"/>
        <v>10850</v>
      </c>
      <c r="R1581" t="str">
        <f t="shared" si="419"/>
        <v>10850</v>
      </c>
      <c r="S1581" t="str">
        <f t="shared" si="420"/>
        <v>NuNuCa Nuß-Nougat-Creme</v>
      </c>
      <c r="T1581">
        <v>14</v>
      </c>
      <c r="U1581">
        <v>20</v>
      </c>
      <c r="V1581">
        <v>0.15</v>
      </c>
      <c r="W1581">
        <f t="shared" si="421"/>
        <v>238</v>
      </c>
      <c r="X1581" t="str">
        <f t="shared" si="422"/>
        <v>yes</v>
      </c>
      <c r="Y1581" s="2">
        <v>35118</v>
      </c>
      <c r="Z1581" t="str">
        <f t="shared" si="408"/>
        <v>1st Q 1996</v>
      </c>
      <c r="AA1581" t="str">
        <f t="shared" si="423"/>
        <v>1st Q 1996</v>
      </c>
      <c r="AB1581" t="str" cm="1">
        <f t="array" ref="AB1581">_xlfn.IFS(Y1581&lt;DATE(1996,1,1),"",Y1581&lt;DATE(1996,4,1),"Q1",Y1581&lt;DATE(1996,7,1),"Q2",Y1581&gt;=DATE(1996,7,1),"")</f>
        <v>Q1</v>
      </c>
    </row>
    <row r="1582" spans="1:28" ht="14.4" x14ac:dyDescent="0.55000000000000004">
      <c r="A1582" t="str">
        <f>VLOOKUP(L1582,Customers!$A$2:$B$92,2,FALSE)</f>
        <v>Victuailles en stock</v>
      </c>
      <c r="B1582" t="str">
        <f>VLOOKUP(L1582,Customers!$A$2:$C$92,3,TRUE)</f>
        <v>Mary Saveley</v>
      </c>
      <c r="C1582" t="str">
        <f t="shared" si="409"/>
        <v>Mary</v>
      </c>
      <c r="D1582" s="8" t="str">
        <f t="shared" si="410"/>
        <v>Saveley</v>
      </c>
      <c r="E1582" s="8" t="str">
        <f t="shared" si="411"/>
        <v>Saveley, Mary</v>
      </c>
      <c r="F1582" s="8" t="str">
        <f t="shared" si="412"/>
        <v>Saveley, Mary</v>
      </c>
      <c r="G1582" s="8" t="str">
        <f t="shared" si="413"/>
        <v>not an outlier</v>
      </c>
      <c r="H1582" s="8" t="str">
        <f t="shared" si="414"/>
        <v>Not</v>
      </c>
      <c r="I1582" s="8" t="str">
        <f t="shared" si="424"/>
        <v>no</v>
      </c>
      <c r="J1582" s="10" t="str">
        <f t="shared" si="415"/>
        <v>no</v>
      </c>
      <c r="K1582" s="10" t="str">
        <f t="shared" si="416"/>
        <v>no</v>
      </c>
      <c r="L1582" t="s">
        <v>619</v>
      </c>
      <c r="M1582">
        <v>10850</v>
      </c>
      <c r="N1582">
        <v>33</v>
      </c>
      <c r="O1582" t="s">
        <v>693</v>
      </c>
      <c r="P1582" t="str">
        <f t="shared" si="417"/>
        <v>VICTE_10850_Geitost</v>
      </c>
      <c r="Q1582" t="str">
        <f t="shared" si="418"/>
        <v>10850</v>
      </c>
      <c r="R1582" t="str">
        <f t="shared" si="419"/>
        <v>10850</v>
      </c>
      <c r="S1582" t="str">
        <f t="shared" si="420"/>
        <v>Geitost</v>
      </c>
      <c r="T1582">
        <v>2.5</v>
      </c>
      <c r="U1582">
        <v>4</v>
      </c>
      <c r="V1582">
        <v>0.15</v>
      </c>
      <c r="W1582">
        <f t="shared" si="421"/>
        <v>8.5</v>
      </c>
      <c r="X1582" t="str">
        <f t="shared" si="422"/>
        <v>yes</v>
      </c>
      <c r="Y1582" s="2">
        <v>35118</v>
      </c>
      <c r="Z1582" t="str">
        <f t="shared" si="408"/>
        <v>1st Q 1996</v>
      </c>
      <c r="AA1582" t="str">
        <f t="shared" si="423"/>
        <v>1st Q 1996</v>
      </c>
      <c r="AB1582" t="str" cm="1">
        <f t="array" ref="AB1582">_xlfn.IFS(Y1582&lt;DATE(1996,1,1),"",Y1582&lt;DATE(1996,4,1),"Q1",Y1582&lt;DATE(1996,7,1),"Q2",Y1582&gt;=DATE(1996,7,1),"")</f>
        <v>Q1</v>
      </c>
    </row>
    <row r="1583" spans="1:28" ht="14.4" x14ac:dyDescent="0.55000000000000004">
      <c r="A1583" t="str">
        <f>VLOOKUP(L1583,Customers!$A$2:$B$92,2,FALSE)</f>
        <v>Victuailles en stock</v>
      </c>
      <c r="B1583" t="str">
        <f>VLOOKUP(L1583,Customers!$A$2:$C$92,3,TRUE)</f>
        <v>Mary Saveley</v>
      </c>
      <c r="C1583" t="str">
        <f t="shared" si="409"/>
        <v>Mary</v>
      </c>
      <c r="D1583" s="8" t="str">
        <f t="shared" si="410"/>
        <v>Saveley</v>
      </c>
      <c r="E1583" s="8" t="str">
        <f t="shared" si="411"/>
        <v>Saveley, Mary</v>
      </c>
      <c r="F1583" s="8" t="str">
        <f t="shared" si="412"/>
        <v>Saveley, Mary</v>
      </c>
      <c r="G1583" s="8" t="str">
        <f t="shared" si="413"/>
        <v>not an outlier</v>
      </c>
      <c r="H1583" s="8" t="str">
        <f t="shared" si="414"/>
        <v>Not</v>
      </c>
      <c r="I1583" s="8" t="str">
        <f t="shared" si="424"/>
        <v>no</v>
      </c>
      <c r="J1583" s="10" t="str">
        <f t="shared" si="415"/>
        <v>no</v>
      </c>
      <c r="K1583" s="10" t="str">
        <f t="shared" si="416"/>
        <v>no</v>
      </c>
      <c r="L1583" t="s">
        <v>619</v>
      </c>
      <c r="M1583">
        <v>10850</v>
      </c>
      <c r="N1583">
        <v>70</v>
      </c>
      <c r="O1583" t="s">
        <v>713</v>
      </c>
      <c r="P1583" t="str">
        <f t="shared" si="417"/>
        <v>VICTE_10850_Outback Lager</v>
      </c>
      <c r="Q1583" t="str">
        <f t="shared" si="418"/>
        <v>10850</v>
      </c>
      <c r="R1583" t="str">
        <f t="shared" si="419"/>
        <v>10850</v>
      </c>
      <c r="S1583" t="str">
        <f t="shared" si="420"/>
        <v>Outback Lager</v>
      </c>
      <c r="T1583">
        <v>15</v>
      </c>
      <c r="U1583">
        <v>30</v>
      </c>
      <c r="V1583">
        <v>0.15</v>
      </c>
      <c r="W1583">
        <f t="shared" si="421"/>
        <v>382.5</v>
      </c>
      <c r="X1583" t="str">
        <f t="shared" si="422"/>
        <v>yes</v>
      </c>
      <c r="Y1583" s="2">
        <v>35118</v>
      </c>
      <c r="Z1583" t="str">
        <f t="shared" si="408"/>
        <v>1st Q 1996</v>
      </c>
      <c r="AA1583" t="str">
        <f t="shared" si="423"/>
        <v>1st Q 1996</v>
      </c>
      <c r="AB1583" t="str" cm="1">
        <f t="array" ref="AB1583">_xlfn.IFS(Y1583&lt;DATE(1996,1,1),"",Y1583&lt;DATE(1996,4,1),"Q1",Y1583&lt;DATE(1996,7,1),"Q2",Y1583&gt;=DATE(1996,7,1),"")</f>
        <v>Q1</v>
      </c>
    </row>
    <row r="1584" spans="1:28" ht="14.4" x14ac:dyDescent="0.55000000000000004">
      <c r="A1584" t="str">
        <f>VLOOKUP(L1584,Customers!$A$2:$B$92,2,FALSE)</f>
        <v>Ricardo Adocicados</v>
      </c>
      <c r="B1584" t="str">
        <f>VLOOKUP(L1584,Customers!$A$2:$C$92,3,TRUE)</f>
        <v>Janete Limeira</v>
      </c>
      <c r="C1584" t="str">
        <f t="shared" si="409"/>
        <v>Janete</v>
      </c>
      <c r="D1584" s="8" t="str">
        <f t="shared" si="410"/>
        <v>Limeira</v>
      </c>
      <c r="E1584" s="8" t="str">
        <f t="shared" si="411"/>
        <v>Limeira, Janete</v>
      </c>
      <c r="F1584" s="8" t="str">
        <f t="shared" si="412"/>
        <v>Limeira, Janete</v>
      </c>
      <c r="G1584" s="8" t="str">
        <f t="shared" si="413"/>
        <v>not an outlier</v>
      </c>
      <c r="H1584" s="8" t="str">
        <f t="shared" si="414"/>
        <v>Not</v>
      </c>
      <c r="I1584" s="8" t="str">
        <f t="shared" si="424"/>
        <v>no</v>
      </c>
      <c r="J1584" s="10" t="str">
        <f t="shared" si="415"/>
        <v>no</v>
      </c>
      <c r="K1584" s="10" t="str">
        <f t="shared" si="416"/>
        <v>no</v>
      </c>
      <c r="L1584" t="s">
        <v>503</v>
      </c>
      <c r="M1584">
        <v>10851</v>
      </c>
      <c r="N1584">
        <v>2</v>
      </c>
      <c r="O1584" t="s">
        <v>701</v>
      </c>
      <c r="P1584" t="str">
        <f t="shared" si="417"/>
        <v>RICAR_10851_Chang</v>
      </c>
      <c r="Q1584" t="str">
        <f t="shared" si="418"/>
        <v>10851</v>
      </c>
      <c r="R1584" t="str">
        <f t="shared" si="419"/>
        <v>10851</v>
      </c>
      <c r="S1584" t="str">
        <f t="shared" si="420"/>
        <v>Chang</v>
      </c>
      <c r="T1584">
        <v>19</v>
      </c>
      <c r="U1584">
        <v>5</v>
      </c>
      <c r="V1584">
        <v>0.05</v>
      </c>
      <c r="W1584">
        <f t="shared" si="421"/>
        <v>90.25</v>
      </c>
      <c r="X1584" t="str">
        <f t="shared" si="422"/>
        <v>yes</v>
      </c>
      <c r="Y1584" s="2">
        <v>35121</v>
      </c>
      <c r="Z1584" t="str">
        <f t="shared" si="408"/>
        <v>1st Q 1996</v>
      </c>
      <c r="AA1584" t="str">
        <f t="shared" si="423"/>
        <v>1st Q 1996</v>
      </c>
      <c r="AB1584" t="str" cm="1">
        <f t="array" ref="AB1584">_xlfn.IFS(Y1584&lt;DATE(1996,1,1),"",Y1584&lt;DATE(1996,4,1),"Q1",Y1584&lt;DATE(1996,7,1),"Q2",Y1584&gt;=DATE(1996,7,1),"")</f>
        <v>Q1</v>
      </c>
    </row>
    <row r="1585" spans="1:28" ht="14.4" x14ac:dyDescent="0.55000000000000004">
      <c r="A1585" t="str">
        <f>VLOOKUP(L1585,Customers!$A$2:$B$92,2,FALSE)</f>
        <v>Ricardo Adocicados</v>
      </c>
      <c r="B1585" t="str">
        <f>VLOOKUP(L1585,Customers!$A$2:$C$92,3,TRUE)</f>
        <v>Janete Limeira</v>
      </c>
      <c r="C1585" t="str">
        <f t="shared" si="409"/>
        <v>Janete</v>
      </c>
      <c r="D1585" s="8" t="str">
        <f t="shared" si="410"/>
        <v>Limeira</v>
      </c>
      <c r="E1585" s="8" t="str">
        <f t="shared" si="411"/>
        <v>Limeira, Janete</v>
      </c>
      <c r="F1585" s="8" t="str">
        <f t="shared" si="412"/>
        <v>Limeira, Janete</v>
      </c>
      <c r="G1585" s="8" t="str">
        <f t="shared" si="413"/>
        <v>not an outlier</v>
      </c>
      <c r="H1585" s="8" t="str">
        <f t="shared" si="414"/>
        <v>Not</v>
      </c>
      <c r="I1585" s="8" t="str">
        <f t="shared" si="424"/>
        <v>no</v>
      </c>
      <c r="J1585" s="10" t="str">
        <f t="shared" si="415"/>
        <v>no</v>
      </c>
      <c r="K1585" s="10" t="str">
        <f t="shared" si="416"/>
        <v>no</v>
      </c>
      <c r="L1585" t="s">
        <v>503</v>
      </c>
      <c r="M1585">
        <v>10851</v>
      </c>
      <c r="N1585">
        <v>25</v>
      </c>
      <c r="O1585" t="s">
        <v>749</v>
      </c>
      <c r="P1585" t="str">
        <f t="shared" si="417"/>
        <v>RICAR_10851_NuNuCa Nuß-Nougat-Creme</v>
      </c>
      <c r="Q1585" t="str">
        <f t="shared" si="418"/>
        <v>10851</v>
      </c>
      <c r="R1585" t="str">
        <f t="shared" si="419"/>
        <v>10851</v>
      </c>
      <c r="S1585" t="str">
        <f t="shared" si="420"/>
        <v>NuNuCa Nuß-Nougat-Creme</v>
      </c>
      <c r="T1585">
        <v>14</v>
      </c>
      <c r="U1585">
        <v>10</v>
      </c>
      <c r="V1585">
        <v>0.05</v>
      </c>
      <c r="W1585">
        <f t="shared" si="421"/>
        <v>133</v>
      </c>
      <c r="X1585" t="str">
        <f t="shared" si="422"/>
        <v>yes</v>
      </c>
      <c r="Y1585" s="2">
        <v>35121</v>
      </c>
      <c r="Z1585" t="str">
        <f t="shared" si="408"/>
        <v>1st Q 1996</v>
      </c>
      <c r="AA1585" t="str">
        <f t="shared" si="423"/>
        <v>1st Q 1996</v>
      </c>
      <c r="AB1585" t="str" cm="1">
        <f t="array" ref="AB1585">_xlfn.IFS(Y1585&lt;DATE(1996,1,1),"",Y1585&lt;DATE(1996,4,1),"Q1",Y1585&lt;DATE(1996,7,1),"Q2",Y1585&gt;=DATE(1996,7,1),"")</f>
        <v>Q1</v>
      </c>
    </row>
    <row r="1586" spans="1:28" ht="14.4" x14ac:dyDescent="0.55000000000000004">
      <c r="A1586" t="str">
        <f>VLOOKUP(L1586,Customers!$A$2:$B$92,2,FALSE)</f>
        <v>Ricardo Adocicados</v>
      </c>
      <c r="B1586" t="str">
        <f>VLOOKUP(L1586,Customers!$A$2:$C$92,3,TRUE)</f>
        <v>Janete Limeira</v>
      </c>
      <c r="C1586" t="str">
        <f t="shared" si="409"/>
        <v>Janete</v>
      </c>
      <c r="D1586" s="8" t="str">
        <f t="shared" si="410"/>
        <v>Limeira</v>
      </c>
      <c r="E1586" s="8" t="str">
        <f t="shared" si="411"/>
        <v>Limeira, Janete</v>
      </c>
      <c r="F1586" s="8" t="str">
        <f t="shared" si="412"/>
        <v>Limeira, Janete</v>
      </c>
      <c r="G1586" s="8" t="str">
        <f t="shared" si="413"/>
        <v>not an outlier</v>
      </c>
      <c r="H1586" s="8" t="str">
        <f t="shared" si="414"/>
        <v>Not</v>
      </c>
      <c r="I1586" s="8" t="str">
        <f t="shared" si="424"/>
        <v>no</v>
      </c>
      <c r="J1586" s="10" t="str">
        <f t="shared" si="415"/>
        <v>no</v>
      </c>
      <c r="K1586" s="10" t="str">
        <f t="shared" si="416"/>
        <v>no</v>
      </c>
      <c r="L1586" t="s">
        <v>503</v>
      </c>
      <c r="M1586">
        <v>10851</v>
      </c>
      <c r="N1586">
        <v>57</v>
      </c>
      <c r="O1586" t="s">
        <v>691</v>
      </c>
      <c r="P1586" t="str">
        <f t="shared" si="417"/>
        <v>RICAR_10851_Ravioli Angelo</v>
      </c>
      <c r="Q1586" t="str">
        <f t="shared" si="418"/>
        <v>10851</v>
      </c>
      <c r="R1586" t="str">
        <f t="shared" si="419"/>
        <v>10851</v>
      </c>
      <c r="S1586" t="str">
        <f t="shared" si="420"/>
        <v>Ravioli Angelo</v>
      </c>
      <c r="T1586">
        <v>19.5</v>
      </c>
      <c r="U1586">
        <v>10</v>
      </c>
      <c r="V1586">
        <v>0.05</v>
      </c>
      <c r="W1586">
        <f t="shared" si="421"/>
        <v>185.25</v>
      </c>
      <c r="X1586" t="str">
        <f t="shared" si="422"/>
        <v>yes</v>
      </c>
      <c r="Y1586" s="2">
        <v>35121</v>
      </c>
      <c r="Z1586" t="str">
        <f t="shared" si="408"/>
        <v>1st Q 1996</v>
      </c>
      <c r="AA1586" t="str">
        <f t="shared" si="423"/>
        <v>1st Q 1996</v>
      </c>
      <c r="AB1586" t="str" cm="1">
        <f t="array" ref="AB1586">_xlfn.IFS(Y1586&lt;DATE(1996,1,1),"",Y1586&lt;DATE(1996,4,1),"Q1",Y1586&lt;DATE(1996,7,1),"Q2",Y1586&gt;=DATE(1996,7,1),"")</f>
        <v>Q1</v>
      </c>
    </row>
    <row r="1587" spans="1:28" ht="14.4" x14ac:dyDescent="0.55000000000000004">
      <c r="A1587" t="str">
        <f>VLOOKUP(L1587,Customers!$A$2:$B$92,2,FALSE)</f>
        <v>Ricardo Adocicados</v>
      </c>
      <c r="B1587" t="str">
        <f>VLOOKUP(L1587,Customers!$A$2:$C$92,3,TRUE)</f>
        <v>Janete Limeira</v>
      </c>
      <c r="C1587" t="str">
        <f t="shared" si="409"/>
        <v>Janete</v>
      </c>
      <c r="D1587" s="8" t="str">
        <f t="shared" si="410"/>
        <v>Limeira</v>
      </c>
      <c r="E1587" s="8" t="str">
        <f t="shared" si="411"/>
        <v>Limeira, Janete</v>
      </c>
      <c r="F1587" s="8" t="str">
        <f t="shared" si="412"/>
        <v>Limeira, Janete</v>
      </c>
      <c r="G1587" s="8" t="str">
        <f t="shared" si="413"/>
        <v>not an outlier</v>
      </c>
      <c r="H1587" s="8" t="str">
        <f t="shared" si="414"/>
        <v>Not</v>
      </c>
      <c r="I1587" s="8" t="str">
        <f t="shared" si="424"/>
        <v>no</v>
      </c>
      <c r="J1587" s="10" t="str">
        <f t="shared" si="415"/>
        <v>no</v>
      </c>
      <c r="K1587" s="10" t="str">
        <f t="shared" si="416"/>
        <v>no</v>
      </c>
      <c r="L1587" t="s">
        <v>503</v>
      </c>
      <c r="M1587">
        <v>10851</v>
      </c>
      <c r="N1587">
        <v>59</v>
      </c>
      <c r="O1587" t="s">
        <v>704</v>
      </c>
      <c r="P1587" t="str">
        <f t="shared" si="417"/>
        <v>RICAR_10851_Raclette Courdavault</v>
      </c>
      <c r="Q1587" t="str">
        <f t="shared" si="418"/>
        <v>10851</v>
      </c>
      <c r="R1587" t="str">
        <f t="shared" si="419"/>
        <v>10851</v>
      </c>
      <c r="S1587" t="str">
        <f t="shared" si="420"/>
        <v>Raclette Courdavault</v>
      </c>
      <c r="T1587">
        <v>55</v>
      </c>
      <c r="U1587">
        <v>42</v>
      </c>
      <c r="V1587">
        <v>0.05</v>
      </c>
      <c r="W1587">
        <f t="shared" si="421"/>
        <v>2194.5</v>
      </c>
      <c r="X1587" t="str">
        <f t="shared" si="422"/>
        <v>yes</v>
      </c>
      <c r="Y1587" s="2">
        <v>35121</v>
      </c>
      <c r="Z1587" t="str">
        <f t="shared" si="408"/>
        <v>1st Q 1996</v>
      </c>
      <c r="AA1587" t="str">
        <f t="shared" si="423"/>
        <v>1st Q 1996</v>
      </c>
      <c r="AB1587" t="str" cm="1">
        <f t="array" ref="AB1587">_xlfn.IFS(Y1587&lt;DATE(1996,1,1),"",Y1587&lt;DATE(1996,4,1),"Q1",Y1587&lt;DATE(1996,7,1),"Q2",Y1587&gt;=DATE(1996,7,1),"")</f>
        <v>Q1</v>
      </c>
    </row>
    <row r="1588" spans="1:28" ht="14.4" x14ac:dyDescent="0.55000000000000004">
      <c r="A1588" t="str">
        <f>VLOOKUP(L1588,Customers!$A$2:$B$92,2,FALSE)</f>
        <v>Rattlesnake Canyon Grocery</v>
      </c>
      <c r="B1588" t="str">
        <f>VLOOKUP(L1588,Customers!$A$2:$C$92,3,TRUE)</f>
        <v>Paula Wilson</v>
      </c>
      <c r="C1588" t="str">
        <f t="shared" si="409"/>
        <v>Paula</v>
      </c>
      <c r="D1588" s="8" t="str">
        <f t="shared" si="410"/>
        <v>Wilson</v>
      </c>
      <c r="E1588" s="8" t="str">
        <f t="shared" si="411"/>
        <v>Wilson, Paula</v>
      </c>
      <c r="F1588" s="8" t="str">
        <f t="shared" si="412"/>
        <v>Wilson, Paula</v>
      </c>
      <c r="G1588" s="8" t="str">
        <f t="shared" si="413"/>
        <v>not an outlier</v>
      </c>
      <c r="H1588" s="8" t="str">
        <f t="shared" si="414"/>
        <v>Not</v>
      </c>
      <c r="I1588" s="8" t="str">
        <f t="shared" si="424"/>
        <v>no</v>
      </c>
      <c r="J1588" s="10" t="str">
        <f t="shared" si="415"/>
        <v>no</v>
      </c>
      <c r="K1588" s="10" t="str">
        <f t="shared" si="416"/>
        <v>no</v>
      </c>
      <c r="L1588" t="s">
        <v>487</v>
      </c>
      <c r="M1588">
        <v>10852</v>
      </c>
      <c r="N1588">
        <v>2</v>
      </c>
      <c r="O1588" t="s">
        <v>701</v>
      </c>
      <c r="P1588" t="str">
        <f t="shared" si="417"/>
        <v>RATTC_10852_Chang</v>
      </c>
      <c r="Q1588" t="str">
        <f t="shared" si="418"/>
        <v>10852</v>
      </c>
      <c r="R1588" t="str">
        <f t="shared" si="419"/>
        <v>10852</v>
      </c>
      <c r="S1588" t="str">
        <f t="shared" si="420"/>
        <v>Chang</v>
      </c>
      <c r="T1588">
        <v>19</v>
      </c>
      <c r="U1588">
        <v>15</v>
      </c>
      <c r="V1588">
        <v>0</v>
      </c>
      <c r="W1588">
        <f t="shared" si="421"/>
        <v>285</v>
      </c>
      <c r="X1588" t="str">
        <f t="shared" si="422"/>
        <v>yes</v>
      </c>
      <c r="Y1588" s="2">
        <v>35121</v>
      </c>
      <c r="Z1588" t="str">
        <f t="shared" si="408"/>
        <v>1st Q 1996</v>
      </c>
      <c r="AA1588" t="str">
        <f t="shared" si="423"/>
        <v>1st Q 1996</v>
      </c>
      <c r="AB1588" t="str" cm="1">
        <f t="array" ref="AB1588">_xlfn.IFS(Y1588&lt;DATE(1996,1,1),"",Y1588&lt;DATE(1996,4,1),"Q1",Y1588&lt;DATE(1996,7,1),"Q2",Y1588&gt;=DATE(1996,7,1),"")</f>
        <v>Q1</v>
      </c>
    </row>
    <row r="1589" spans="1:28" ht="14.4" x14ac:dyDescent="0.55000000000000004">
      <c r="A1589" t="str">
        <f>VLOOKUP(L1589,Customers!$A$2:$B$92,2,FALSE)</f>
        <v>Rattlesnake Canyon Grocery</v>
      </c>
      <c r="B1589" t="str">
        <f>VLOOKUP(L1589,Customers!$A$2:$C$92,3,TRUE)</f>
        <v>Paula Wilson</v>
      </c>
      <c r="C1589" t="str">
        <f t="shared" si="409"/>
        <v>Paula</v>
      </c>
      <c r="D1589" s="8" t="str">
        <f t="shared" si="410"/>
        <v>Wilson</v>
      </c>
      <c r="E1589" s="8" t="str">
        <f t="shared" si="411"/>
        <v>Wilson, Paula</v>
      </c>
      <c r="F1589" s="8" t="str">
        <f t="shared" si="412"/>
        <v>Wilson, Paula</v>
      </c>
      <c r="G1589" s="8" t="str">
        <f t="shared" si="413"/>
        <v>not an outlier</v>
      </c>
      <c r="H1589" s="8" t="str">
        <f t="shared" si="414"/>
        <v>Not</v>
      </c>
      <c r="I1589" s="8" t="str">
        <f t="shared" si="424"/>
        <v>no</v>
      </c>
      <c r="J1589" s="10" t="str">
        <f t="shared" si="415"/>
        <v>no</v>
      </c>
      <c r="K1589" s="10" t="str">
        <f t="shared" si="416"/>
        <v>no</v>
      </c>
      <c r="L1589" t="s">
        <v>487</v>
      </c>
      <c r="M1589">
        <v>10852</v>
      </c>
      <c r="N1589">
        <v>17</v>
      </c>
      <c r="O1589" t="s">
        <v>718</v>
      </c>
      <c r="P1589" t="str">
        <f t="shared" si="417"/>
        <v>RATTC_10852_Alice Mutton</v>
      </c>
      <c r="Q1589" t="str">
        <f t="shared" si="418"/>
        <v>10852</v>
      </c>
      <c r="R1589" t="str">
        <f t="shared" si="419"/>
        <v>10852</v>
      </c>
      <c r="S1589" t="str">
        <f t="shared" si="420"/>
        <v>Alice Mutton</v>
      </c>
      <c r="T1589">
        <v>39</v>
      </c>
      <c r="U1589">
        <v>6</v>
      </c>
      <c r="V1589">
        <v>0</v>
      </c>
      <c r="W1589">
        <f t="shared" si="421"/>
        <v>234</v>
      </c>
      <c r="X1589" t="str">
        <f t="shared" si="422"/>
        <v>yes</v>
      </c>
      <c r="Y1589" s="2">
        <v>35121</v>
      </c>
      <c r="Z1589" t="str">
        <f t="shared" si="408"/>
        <v>1st Q 1996</v>
      </c>
      <c r="AA1589" t="str">
        <f t="shared" si="423"/>
        <v>1st Q 1996</v>
      </c>
      <c r="AB1589" t="str" cm="1">
        <f t="array" ref="AB1589">_xlfn.IFS(Y1589&lt;DATE(1996,1,1),"",Y1589&lt;DATE(1996,4,1),"Q1",Y1589&lt;DATE(1996,7,1),"Q2",Y1589&gt;=DATE(1996,7,1),"")</f>
        <v>Q1</v>
      </c>
    </row>
    <row r="1590" spans="1:28" ht="14.4" x14ac:dyDescent="0.55000000000000004">
      <c r="A1590" t="str">
        <f>VLOOKUP(L1590,Customers!$A$2:$B$92,2,FALSE)</f>
        <v>Rattlesnake Canyon Grocery</v>
      </c>
      <c r="B1590" t="str">
        <f>VLOOKUP(L1590,Customers!$A$2:$C$92,3,TRUE)</f>
        <v>Paula Wilson</v>
      </c>
      <c r="C1590" t="str">
        <f t="shared" si="409"/>
        <v>Paula</v>
      </c>
      <c r="D1590" s="8" t="str">
        <f t="shared" si="410"/>
        <v>Wilson</v>
      </c>
      <c r="E1590" s="8" t="str">
        <f t="shared" si="411"/>
        <v>Wilson, Paula</v>
      </c>
      <c r="F1590" s="8" t="str">
        <f t="shared" si="412"/>
        <v>Wilson, Paula</v>
      </c>
      <c r="G1590" s="8" t="str">
        <f t="shared" si="413"/>
        <v>not an outlier</v>
      </c>
      <c r="H1590" s="8" t="str">
        <f t="shared" si="414"/>
        <v>Not</v>
      </c>
      <c r="I1590" s="8" t="str">
        <f t="shared" si="424"/>
        <v>no</v>
      </c>
      <c r="J1590" s="10" t="str">
        <f t="shared" si="415"/>
        <v>no</v>
      </c>
      <c r="K1590" s="10" t="str">
        <f t="shared" si="416"/>
        <v>no</v>
      </c>
      <c r="L1590" t="s">
        <v>487</v>
      </c>
      <c r="M1590">
        <v>10852</v>
      </c>
      <c r="N1590">
        <v>62</v>
      </c>
      <c r="O1590" t="s">
        <v>712</v>
      </c>
      <c r="P1590" t="str">
        <f t="shared" si="417"/>
        <v>RATTC_10852_Tarte au sucre</v>
      </c>
      <c r="Q1590" t="str">
        <f t="shared" si="418"/>
        <v>10852</v>
      </c>
      <c r="R1590" t="str">
        <f t="shared" si="419"/>
        <v>10852</v>
      </c>
      <c r="S1590" t="str">
        <f t="shared" si="420"/>
        <v>Tarte au sucre</v>
      </c>
      <c r="T1590">
        <v>49.3</v>
      </c>
      <c r="U1590">
        <v>50</v>
      </c>
      <c r="V1590">
        <v>0</v>
      </c>
      <c r="W1590">
        <f t="shared" si="421"/>
        <v>2465</v>
      </c>
      <c r="X1590" t="str">
        <f t="shared" si="422"/>
        <v>yes</v>
      </c>
      <c r="Y1590" s="2">
        <v>35121</v>
      </c>
      <c r="Z1590" t="str">
        <f t="shared" si="408"/>
        <v>1st Q 1996</v>
      </c>
      <c r="AA1590" t="str">
        <f t="shared" si="423"/>
        <v>1st Q 1996</v>
      </c>
      <c r="AB1590" t="str" cm="1">
        <f t="array" ref="AB1590">_xlfn.IFS(Y1590&lt;DATE(1996,1,1),"",Y1590&lt;DATE(1996,4,1),"Q1",Y1590&lt;DATE(1996,7,1),"Q2",Y1590&gt;=DATE(1996,7,1),"")</f>
        <v>Q1</v>
      </c>
    </row>
    <row r="1591" spans="1:28" ht="14.4" x14ac:dyDescent="0.55000000000000004">
      <c r="A1591" t="str">
        <f>VLOOKUP(L1591,Customers!$A$2:$B$92,2,FALSE)</f>
        <v>Blauer See Delikatessen</v>
      </c>
      <c r="B1591" t="str">
        <f>VLOOKUP(L1591,Customers!$A$2:$C$92,3,TRUE)</f>
        <v>Hanna Moos</v>
      </c>
      <c r="C1591" t="str">
        <f t="shared" si="409"/>
        <v>Hanna</v>
      </c>
      <c r="D1591" s="8" t="str">
        <f t="shared" si="410"/>
        <v>Moos</v>
      </c>
      <c r="E1591" s="8" t="str">
        <f t="shared" si="411"/>
        <v>Moos, Hanna</v>
      </c>
      <c r="F1591" s="8" t="str">
        <f t="shared" si="412"/>
        <v>Moos, Hanna</v>
      </c>
      <c r="G1591" s="8" t="str">
        <f t="shared" si="413"/>
        <v>not an outlier</v>
      </c>
      <c r="H1591" s="8" t="str">
        <f t="shared" si="414"/>
        <v>Not</v>
      </c>
      <c r="I1591" s="8" t="str">
        <f t="shared" si="424"/>
        <v>no</v>
      </c>
      <c r="J1591" s="10" t="str">
        <f t="shared" si="415"/>
        <v>no</v>
      </c>
      <c r="K1591" s="10" t="str">
        <f t="shared" si="416"/>
        <v>no</v>
      </c>
      <c r="L1591" t="s">
        <v>53</v>
      </c>
      <c r="M1591">
        <v>10853</v>
      </c>
      <c r="N1591">
        <v>18</v>
      </c>
      <c r="O1591" t="s">
        <v>742</v>
      </c>
      <c r="P1591" t="str">
        <f t="shared" si="417"/>
        <v>BLAUS_10853_Carnarvon Tigers</v>
      </c>
      <c r="Q1591" t="str">
        <f t="shared" si="418"/>
        <v>10853</v>
      </c>
      <c r="R1591" t="str">
        <f t="shared" si="419"/>
        <v>10853</v>
      </c>
      <c r="S1591" t="str">
        <f t="shared" si="420"/>
        <v>Carnarvon Tigers</v>
      </c>
      <c r="T1591">
        <v>62.5</v>
      </c>
      <c r="U1591">
        <v>10</v>
      </c>
      <c r="V1591">
        <v>0</v>
      </c>
      <c r="W1591">
        <f t="shared" si="421"/>
        <v>625</v>
      </c>
      <c r="X1591" t="str">
        <f t="shared" si="422"/>
        <v>yes</v>
      </c>
      <c r="Y1591" s="2">
        <v>35122</v>
      </c>
      <c r="Z1591" t="str">
        <f t="shared" si="408"/>
        <v>1st Q 1996</v>
      </c>
      <c r="AA1591" t="str">
        <f t="shared" si="423"/>
        <v>1st Q 1996</v>
      </c>
      <c r="AB1591" t="str" cm="1">
        <f t="array" ref="AB1591">_xlfn.IFS(Y1591&lt;DATE(1996,1,1),"",Y1591&lt;DATE(1996,4,1),"Q1",Y1591&lt;DATE(1996,7,1),"Q2",Y1591&gt;=DATE(1996,7,1),"")</f>
        <v>Q1</v>
      </c>
    </row>
    <row r="1592" spans="1:28" ht="14.4" x14ac:dyDescent="0.55000000000000004">
      <c r="A1592" t="str">
        <f>VLOOKUP(L1592,Customers!$A$2:$B$92,2,FALSE)</f>
        <v>Ernst Handel</v>
      </c>
      <c r="B1592" t="str">
        <f>VLOOKUP(L1592,Customers!$A$2:$C$92,3,TRUE)</f>
        <v>Roland Mendel</v>
      </c>
      <c r="C1592" t="str">
        <f t="shared" si="409"/>
        <v>Roland</v>
      </c>
      <c r="D1592" s="8" t="str">
        <f t="shared" si="410"/>
        <v>Mendel</v>
      </c>
      <c r="E1592" s="8" t="str">
        <f t="shared" si="411"/>
        <v>Mendel, Roland</v>
      </c>
      <c r="F1592" s="8" t="str">
        <f t="shared" si="412"/>
        <v>Mendel, Roland</v>
      </c>
      <c r="G1592" s="8" t="str">
        <f t="shared" si="413"/>
        <v>not an outlier</v>
      </c>
      <c r="H1592" s="8" t="str">
        <f t="shared" si="414"/>
        <v>moderate</v>
      </c>
      <c r="I1592" s="8" t="str">
        <f t="shared" si="424"/>
        <v>no</v>
      </c>
      <c r="J1592" s="10" t="str">
        <f t="shared" si="415"/>
        <v>no</v>
      </c>
      <c r="K1592" s="10" t="str">
        <f t="shared" si="416"/>
        <v>moderate</v>
      </c>
      <c r="L1592" t="s">
        <v>161</v>
      </c>
      <c r="M1592">
        <v>10854</v>
      </c>
      <c r="N1592">
        <v>10</v>
      </c>
      <c r="O1592" t="s">
        <v>724</v>
      </c>
      <c r="P1592" t="str">
        <f t="shared" si="417"/>
        <v>ERNSH_10854_Ikura</v>
      </c>
      <c r="Q1592" t="str">
        <f t="shared" si="418"/>
        <v>10854</v>
      </c>
      <c r="R1592" t="str">
        <f t="shared" si="419"/>
        <v>10854</v>
      </c>
      <c r="S1592" t="str">
        <f t="shared" si="420"/>
        <v>Ikura</v>
      </c>
      <c r="T1592">
        <v>31</v>
      </c>
      <c r="U1592">
        <v>100</v>
      </c>
      <c r="V1592">
        <v>0.15</v>
      </c>
      <c r="W1592">
        <f t="shared" si="421"/>
        <v>2635</v>
      </c>
      <c r="X1592" t="str">
        <f t="shared" si="422"/>
        <v>yes</v>
      </c>
      <c r="Y1592" s="2">
        <v>35122</v>
      </c>
      <c r="Z1592" t="str">
        <f t="shared" si="408"/>
        <v>1st Q 1996</v>
      </c>
      <c r="AA1592" t="str">
        <f t="shared" si="423"/>
        <v>1st Q 1996</v>
      </c>
      <c r="AB1592" t="str" cm="1">
        <f t="array" ref="AB1592">_xlfn.IFS(Y1592&lt;DATE(1996,1,1),"",Y1592&lt;DATE(1996,4,1),"Q1",Y1592&lt;DATE(1996,7,1),"Q2",Y1592&gt;=DATE(1996,7,1),"")</f>
        <v>Q1</v>
      </c>
    </row>
    <row r="1593" spans="1:28" ht="14.4" x14ac:dyDescent="0.55000000000000004">
      <c r="A1593" t="str">
        <f>VLOOKUP(L1593,Customers!$A$2:$B$92,2,FALSE)</f>
        <v>Ernst Handel</v>
      </c>
      <c r="B1593" t="str">
        <f>VLOOKUP(L1593,Customers!$A$2:$C$92,3,TRUE)</f>
        <v>Roland Mendel</v>
      </c>
      <c r="C1593" t="str">
        <f t="shared" si="409"/>
        <v>Roland</v>
      </c>
      <c r="D1593" s="8" t="str">
        <f t="shared" si="410"/>
        <v>Mendel</v>
      </c>
      <c r="E1593" s="8" t="str">
        <f t="shared" si="411"/>
        <v>Mendel, Roland</v>
      </c>
      <c r="F1593" s="8" t="str">
        <f t="shared" si="412"/>
        <v>Mendel, Roland</v>
      </c>
      <c r="G1593" s="8" t="str">
        <f t="shared" si="413"/>
        <v>not an outlier</v>
      </c>
      <c r="H1593" s="8" t="str">
        <f t="shared" si="414"/>
        <v>Not</v>
      </c>
      <c r="I1593" s="8" t="str">
        <f t="shared" si="424"/>
        <v>no</v>
      </c>
      <c r="J1593" s="10" t="str">
        <f t="shared" si="415"/>
        <v>no</v>
      </c>
      <c r="K1593" s="10" t="str">
        <f t="shared" si="416"/>
        <v>no</v>
      </c>
      <c r="L1593" t="s">
        <v>161</v>
      </c>
      <c r="M1593">
        <v>10854</v>
      </c>
      <c r="N1593">
        <v>13</v>
      </c>
      <c r="O1593" t="s">
        <v>726</v>
      </c>
      <c r="P1593" t="str">
        <f t="shared" si="417"/>
        <v>ERNSH_10854_Konbu</v>
      </c>
      <c r="Q1593" t="str">
        <f t="shared" si="418"/>
        <v>10854</v>
      </c>
      <c r="R1593" t="str">
        <f t="shared" si="419"/>
        <v>10854</v>
      </c>
      <c r="S1593" t="str">
        <f t="shared" si="420"/>
        <v>Konbu</v>
      </c>
      <c r="T1593">
        <v>6</v>
      </c>
      <c r="U1593">
        <v>65</v>
      </c>
      <c r="V1593">
        <v>0.15</v>
      </c>
      <c r="W1593">
        <f t="shared" si="421"/>
        <v>331.5</v>
      </c>
      <c r="X1593" t="str">
        <f t="shared" si="422"/>
        <v>yes</v>
      </c>
      <c r="Y1593" s="2">
        <v>35122</v>
      </c>
      <c r="Z1593" t="str">
        <f t="shared" si="408"/>
        <v>1st Q 1996</v>
      </c>
      <c r="AA1593" t="str">
        <f t="shared" si="423"/>
        <v>1st Q 1996</v>
      </c>
      <c r="AB1593" t="str" cm="1">
        <f t="array" ref="AB1593">_xlfn.IFS(Y1593&lt;DATE(1996,1,1),"",Y1593&lt;DATE(1996,4,1),"Q1",Y1593&lt;DATE(1996,7,1),"Q2",Y1593&gt;=DATE(1996,7,1),"")</f>
        <v>Q1</v>
      </c>
    </row>
    <row r="1594" spans="1:28" ht="14.4" x14ac:dyDescent="0.55000000000000004">
      <c r="A1594" t="str">
        <f>VLOOKUP(L1594,Customers!$A$2:$B$92,2,FALSE)</f>
        <v>Old World Delicatessen</v>
      </c>
      <c r="B1594" t="str">
        <f>VLOOKUP(L1594,Customers!$A$2:$C$92,3,TRUE)</f>
        <v>Rene Phillips</v>
      </c>
      <c r="C1594" t="str">
        <f t="shared" si="409"/>
        <v>Rene</v>
      </c>
      <c r="D1594" s="8" t="str">
        <f t="shared" si="410"/>
        <v>Phillips</v>
      </c>
      <c r="E1594" s="8" t="str">
        <f t="shared" si="411"/>
        <v>Phillips, Rene</v>
      </c>
      <c r="F1594" s="8" t="str">
        <f t="shared" si="412"/>
        <v>Phillips, Rene</v>
      </c>
      <c r="G1594" s="8" t="str">
        <f t="shared" si="413"/>
        <v>not an outlier</v>
      </c>
      <c r="H1594" s="8" t="str">
        <f t="shared" si="414"/>
        <v>Not</v>
      </c>
      <c r="I1594" s="8" t="str">
        <f t="shared" si="424"/>
        <v>no</v>
      </c>
      <c r="J1594" s="10" t="str">
        <f t="shared" si="415"/>
        <v>no</v>
      </c>
      <c r="K1594" s="10" t="str">
        <f t="shared" si="416"/>
        <v>no</v>
      </c>
      <c r="L1594" t="s">
        <v>422</v>
      </c>
      <c r="M1594">
        <v>10855</v>
      </c>
      <c r="N1594">
        <v>16</v>
      </c>
      <c r="O1594" t="s">
        <v>702</v>
      </c>
      <c r="P1594" t="str">
        <f t="shared" si="417"/>
        <v>OLDWO_10855_Pavlova</v>
      </c>
      <c r="Q1594" t="str">
        <f t="shared" si="418"/>
        <v>10855</v>
      </c>
      <c r="R1594" t="str">
        <f t="shared" si="419"/>
        <v>10855</v>
      </c>
      <c r="S1594" t="str">
        <f t="shared" si="420"/>
        <v>Pavlova</v>
      </c>
      <c r="T1594">
        <v>17.45</v>
      </c>
      <c r="U1594">
        <v>50</v>
      </c>
      <c r="V1594">
        <v>0</v>
      </c>
      <c r="W1594">
        <f t="shared" si="421"/>
        <v>872.5</v>
      </c>
      <c r="X1594" t="str">
        <f t="shared" si="422"/>
        <v>yes</v>
      </c>
      <c r="Y1594" s="2">
        <v>35122</v>
      </c>
      <c r="Z1594" t="str">
        <f t="shared" si="408"/>
        <v>1st Q 1996</v>
      </c>
      <c r="AA1594" t="str">
        <f t="shared" si="423"/>
        <v>1st Q 1996</v>
      </c>
      <c r="AB1594" t="str" cm="1">
        <f t="array" ref="AB1594">_xlfn.IFS(Y1594&lt;DATE(1996,1,1),"",Y1594&lt;DATE(1996,4,1),"Q1",Y1594&lt;DATE(1996,7,1),"Q2",Y1594&gt;=DATE(1996,7,1),"")</f>
        <v>Q1</v>
      </c>
    </row>
    <row r="1595" spans="1:28" ht="14.4" x14ac:dyDescent="0.55000000000000004">
      <c r="A1595" t="str">
        <f>VLOOKUP(L1595,Customers!$A$2:$B$92,2,FALSE)</f>
        <v>Old World Delicatessen</v>
      </c>
      <c r="B1595" t="str">
        <f>VLOOKUP(L1595,Customers!$A$2:$C$92,3,TRUE)</f>
        <v>Rene Phillips</v>
      </c>
      <c r="C1595" t="str">
        <f t="shared" si="409"/>
        <v>Rene</v>
      </c>
      <c r="D1595" s="8" t="str">
        <f t="shared" si="410"/>
        <v>Phillips</v>
      </c>
      <c r="E1595" s="8" t="str">
        <f t="shared" si="411"/>
        <v>Phillips, Rene</v>
      </c>
      <c r="F1595" s="8" t="str">
        <f t="shared" si="412"/>
        <v>Phillips, Rene</v>
      </c>
      <c r="G1595" s="8" t="str">
        <f t="shared" si="413"/>
        <v>not an outlier</v>
      </c>
      <c r="H1595" s="8" t="str">
        <f t="shared" si="414"/>
        <v>Not</v>
      </c>
      <c r="I1595" s="8" t="str">
        <f t="shared" si="424"/>
        <v>no</v>
      </c>
      <c r="J1595" s="10" t="str">
        <f t="shared" si="415"/>
        <v>no</v>
      </c>
      <c r="K1595" s="10" t="str">
        <f t="shared" si="416"/>
        <v>no</v>
      </c>
      <c r="L1595" t="s">
        <v>422</v>
      </c>
      <c r="M1595">
        <v>10855</v>
      </c>
      <c r="N1595">
        <v>31</v>
      </c>
      <c r="O1595" t="s">
        <v>695</v>
      </c>
      <c r="P1595" t="str">
        <f t="shared" si="417"/>
        <v>OLDWO_10855_Gorgonzola Telino</v>
      </c>
      <c r="Q1595" t="str">
        <f t="shared" si="418"/>
        <v>10855</v>
      </c>
      <c r="R1595" t="str">
        <f t="shared" si="419"/>
        <v>10855</v>
      </c>
      <c r="S1595" t="str">
        <f t="shared" si="420"/>
        <v>Gorgonzola Telino</v>
      </c>
      <c r="T1595">
        <v>12.5</v>
      </c>
      <c r="U1595">
        <v>14</v>
      </c>
      <c r="V1595">
        <v>0</v>
      </c>
      <c r="W1595">
        <f t="shared" si="421"/>
        <v>175</v>
      </c>
      <c r="X1595" t="str">
        <f t="shared" si="422"/>
        <v>yes</v>
      </c>
      <c r="Y1595" s="2">
        <v>35122</v>
      </c>
      <c r="Z1595" t="str">
        <f t="shared" si="408"/>
        <v>1st Q 1996</v>
      </c>
      <c r="AA1595" t="str">
        <f t="shared" si="423"/>
        <v>1st Q 1996</v>
      </c>
      <c r="AB1595" t="str" cm="1">
        <f t="array" ref="AB1595">_xlfn.IFS(Y1595&lt;DATE(1996,1,1),"",Y1595&lt;DATE(1996,4,1),"Q1",Y1595&lt;DATE(1996,7,1),"Q2",Y1595&gt;=DATE(1996,7,1),"")</f>
        <v>Q1</v>
      </c>
    </row>
    <row r="1596" spans="1:28" ht="14.4" x14ac:dyDescent="0.55000000000000004">
      <c r="A1596" t="str">
        <f>VLOOKUP(L1596,Customers!$A$2:$B$92,2,FALSE)</f>
        <v>Old World Delicatessen</v>
      </c>
      <c r="B1596" t="str">
        <f>VLOOKUP(L1596,Customers!$A$2:$C$92,3,TRUE)</f>
        <v>Rene Phillips</v>
      </c>
      <c r="C1596" t="str">
        <f t="shared" si="409"/>
        <v>Rene</v>
      </c>
      <c r="D1596" s="8" t="str">
        <f t="shared" si="410"/>
        <v>Phillips</v>
      </c>
      <c r="E1596" s="8" t="str">
        <f t="shared" si="411"/>
        <v>Phillips, Rene</v>
      </c>
      <c r="F1596" s="8" t="str">
        <f t="shared" si="412"/>
        <v>Phillips, Rene</v>
      </c>
      <c r="G1596" s="8" t="str">
        <f t="shared" si="413"/>
        <v>not an outlier</v>
      </c>
      <c r="H1596" s="8" t="str">
        <f t="shared" si="414"/>
        <v>Not</v>
      </c>
      <c r="I1596" s="8" t="str">
        <f t="shared" si="424"/>
        <v>no</v>
      </c>
      <c r="J1596" s="10" t="str">
        <f t="shared" si="415"/>
        <v>no</v>
      </c>
      <c r="K1596" s="10" t="str">
        <f t="shared" si="416"/>
        <v>no</v>
      </c>
      <c r="L1596" t="s">
        <v>422</v>
      </c>
      <c r="M1596">
        <v>10855</v>
      </c>
      <c r="N1596">
        <v>56</v>
      </c>
      <c r="O1596" t="s">
        <v>716</v>
      </c>
      <c r="P1596" t="str">
        <f t="shared" si="417"/>
        <v>OLDWO_10855_Gnocchi di nonna Alice</v>
      </c>
      <c r="Q1596" t="str">
        <f t="shared" si="418"/>
        <v>10855</v>
      </c>
      <c r="R1596" t="str">
        <f t="shared" si="419"/>
        <v>10855</v>
      </c>
      <c r="S1596" t="str">
        <f t="shared" si="420"/>
        <v>Gnocchi di nonna Alice</v>
      </c>
      <c r="T1596">
        <v>38</v>
      </c>
      <c r="U1596">
        <v>24</v>
      </c>
      <c r="V1596">
        <v>0</v>
      </c>
      <c r="W1596">
        <f t="shared" si="421"/>
        <v>912</v>
      </c>
      <c r="X1596" t="str">
        <f t="shared" si="422"/>
        <v>yes</v>
      </c>
      <c r="Y1596" s="2">
        <v>35122</v>
      </c>
      <c r="Z1596" t="str">
        <f t="shared" si="408"/>
        <v>1st Q 1996</v>
      </c>
      <c r="AA1596" t="str">
        <f t="shared" si="423"/>
        <v>1st Q 1996</v>
      </c>
      <c r="AB1596" t="str" cm="1">
        <f t="array" ref="AB1596">_xlfn.IFS(Y1596&lt;DATE(1996,1,1),"",Y1596&lt;DATE(1996,4,1),"Q1",Y1596&lt;DATE(1996,7,1),"Q2",Y1596&gt;=DATE(1996,7,1),"")</f>
        <v>Q1</v>
      </c>
    </row>
    <row r="1597" spans="1:28" ht="14.4" x14ac:dyDescent="0.55000000000000004">
      <c r="A1597" t="str">
        <f>VLOOKUP(L1597,Customers!$A$2:$B$92,2,FALSE)</f>
        <v>Old World Delicatessen</v>
      </c>
      <c r="B1597" t="str">
        <f>VLOOKUP(L1597,Customers!$A$2:$C$92,3,TRUE)</f>
        <v>Rene Phillips</v>
      </c>
      <c r="C1597" t="str">
        <f t="shared" si="409"/>
        <v>Rene</v>
      </c>
      <c r="D1597" s="8" t="str">
        <f t="shared" si="410"/>
        <v>Phillips</v>
      </c>
      <c r="E1597" s="8" t="str">
        <f t="shared" si="411"/>
        <v>Phillips, Rene</v>
      </c>
      <c r="F1597" s="8" t="str">
        <f t="shared" si="412"/>
        <v>Phillips, Rene</v>
      </c>
      <c r="G1597" s="8" t="str">
        <f t="shared" si="413"/>
        <v>not an outlier</v>
      </c>
      <c r="H1597" s="8" t="str">
        <f t="shared" si="414"/>
        <v>Not</v>
      </c>
      <c r="I1597" s="8" t="str">
        <f t="shared" si="424"/>
        <v>no</v>
      </c>
      <c r="J1597" s="10" t="str">
        <f t="shared" si="415"/>
        <v>no</v>
      </c>
      <c r="K1597" s="10" t="str">
        <f t="shared" si="416"/>
        <v>no</v>
      </c>
      <c r="L1597" t="s">
        <v>422</v>
      </c>
      <c r="M1597">
        <v>10855</v>
      </c>
      <c r="N1597">
        <v>65</v>
      </c>
      <c r="O1597" t="s">
        <v>689</v>
      </c>
      <c r="P1597" t="str">
        <f t="shared" si="417"/>
        <v>OLDWO_10855_Louisiana Fiery Hot Pepper Sauce</v>
      </c>
      <c r="Q1597" t="str">
        <f t="shared" si="418"/>
        <v>10855</v>
      </c>
      <c r="R1597" t="str">
        <f t="shared" si="419"/>
        <v>10855</v>
      </c>
      <c r="S1597" t="str">
        <f t="shared" si="420"/>
        <v>Louisiana Fiery Hot Pepper Sauce</v>
      </c>
      <c r="T1597">
        <v>21.05</v>
      </c>
      <c r="U1597">
        <v>15</v>
      </c>
      <c r="V1597">
        <v>0.15</v>
      </c>
      <c r="W1597">
        <f t="shared" si="421"/>
        <v>268.38749999999999</v>
      </c>
      <c r="X1597" t="str">
        <f t="shared" si="422"/>
        <v>yes</v>
      </c>
      <c r="Y1597" s="2">
        <v>35122</v>
      </c>
      <c r="Z1597" t="str">
        <f t="shared" si="408"/>
        <v>1st Q 1996</v>
      </c>
      <c r="AA1597" t="str">
        <f t="shared" si="423"/>
        <v>1st Q 1996</v>
      </c>
      <c r="AB1597" t="str" cm="1">
        <f t="array" ref="AB1597">_xlfn.IFS(Y1597&lt;DATE(1996,1,1),"",Y1597&lt;DATE(1996,4,1),"Q1",Y1597&lt;DATE(1996,7,1),"Q2",Y1597&gt;=DATE(1996,7,1),"")</f>
        <v>Q1</v>
      </c>
    </row>
    <row r="1598" spans="1:28" ht="14.4" x14ac:dyDescent="0.55000000000000004">
      <c r="A1598" t="str">
        <f>VLOOKUP(L1598,Customers!$A$2:$B$92,2,FALSE)</f>
        <v>Antonio Moreno Taquería</v>
      </c>
      <c r="B1598" t="str">
        <f>VLOOKUP(L1598,Customers!$A$2:$C$92,3,TRUE)</f>
        <v>Antonio Moreno</v>
      </c>
      <c r="C1598" t="str">
        <f t="shared" si="409"/>
        <v>Antonio</v>
      </c>
      <c r="D1598" s="8" t="str">
        <f t="shared" si="410"/>
        <v>Moreno</v>
      </c>
      <c r="E1598" s="8" t="str">
        <f t="shared" si="411"/>
        <v>Moreno, Antonio</v>
      </c>
      <c r="F1598" s="8" t="str">
        <f t="shared" si="412"/>
        <v>Moreno, Antonio</v>
      </c>
      <c r="G1598" s="8" t="str">
        <f t="shared" si="413"/>
        <v>not an outlier</v>
      </c>
      <c r="H1598" s="8" t="str">
        <f t="shared" si="414"/>
        <v>Not</v>
      </c>
      <c r="I1598" s="8" t="str">
        <f t="shared" si="424"/>
        <v>no</v>
      </c>
      <c r="J1598" s="10" t="str">
        <f t="shared" si="415"/>
        <v>no</v>
      </c>
      <c r="K1598" s="10" t="str">
        <f t="shared" si="416"/>
        <v>no</v>
      </c>
      <c r="L1598" t="s">
        <v>29</v>
      </c>
      <c r="M1598">
        <v>10856</v>
      </c>
      <c r="N1598">
        <v>2</v>
      </c>
      <c r="O1598" t="s">
        <v>701</v>
      </c>
      <c r="P1598" t="str">
        <f t="shared" si="417"/>
        <v>ANTON_10856_Chang</v>
      </c>
      <c r="Q1598" t="str">
        <f t="shared" si="418"/>
        <v>10856</v>
      </c>
      <c r="R1598" t="str">
        <f t="shared" si="419"/>
        <v>10856</v>
      </c>
      <c r="S1598" t="str">
        <f t="shared" si="420"/>
        <v>Chang</v>
      </c>
      <c r="T1598">
        <v>19</v>
      </c>
      <c r="U1598">
        <v>20</v>
      </c>
      <c r="V1598">
        <v>0</v>
      </c>
      <c r="W1598">
        <f t="shared" si="421"/>
        <v>380</v>
      </c>
      <c r="X1598" t="str">
        <f t="shared" si="422"/>
        <v>yes</v>
      </c>
      <c r="Y1598" s="2">
        <v>35123</v>
      </c>
      <c r="Z1598" t="str">
        <f t="shared" si="408"/>
        <v>1st Q 1996</v>
      </c>
      <c r="AA1598" t="str">
        <f t="shared" si="423"/>
        <v>1st Q 1996</v>
      </c>
      <c r="AB1598" t="str" cm="1">
        <f t="array" ref="AB1598">_xlfn.IFS(Y1598&lt;DATE(1996,1,1),"",Y1598&lt;DATE(1996,4,1),"Q1",Y1598&lt;DATE(1996,7,1),"Q2",Y1598&gt;=DATE(1996,7,1),"")</f>
        <v>Q1</v>
      </c>
    </row>
    <row r="1599" spans="1:28" ht="14.4" x14ac:dyDescent="0.55000000000000004">
      <c r="A1599" t="str">
        <f>VLOOKUP(L1599,Customers!$A$2:$B$92,2,FALSE)</f>
        <v>Antonio Moreno Taquería</v>
      </c>
      <c r="B1599" t="str">
        <f>VLOOKUP(L1599,Customers!$A$2:$C$92,3,TRUE)</f>
        <v>Antonio Moreno</v>
      </c>
      <c r="C1599" t="str">
        <f t="shared" si="409"/>
        <v>Antonio</v>
      </c>
      <c r="D1599" s="8" t="str">
        <f t="shared" si="410"/>
        <v>Moreno</v>
      </c>
      <c r="E1599" s="8" t="str">
        <f t="shared" si="411"/>
        <v>Moreno, Antonio</v>
      </c>
      <c r="F1599" s="8" t="str">
        <f t="shared" si="412"/>
        <v>Moreno, Antonio</v>
      </c>
      <c r="G1599" s="8" t="str">
        <f t="shared" si="413"/>
        <v>not an outlier</v>
      </c>
      <c r="H1599" s="8" t="str">
        <f t="shared" si="414"/>
        <v>Not</v>
      </c>
      <c r="I1599" s="8" t="str">
        <f t="shared" si="424"/>
        <v>no</v>
      </c>
      <c r="J1599" s="10" t="str">
        <f t="shared" si="415"/>
        <v>no</v>
      </c>
      <c r="K1599" s="10" t="str">
        <f t="shared" si="416"/>
        <v>no</v>
      </c>
      <c r="L1599" t="s">
        <v>29</v>
      </c>
      <c r="M1599">
        <v>10856</v>
      </c>
      <c r="N1599">
        <v>42</v>
      </c>
      <c r="O1599" t="s">
        <v>684</v>
      </c>
      <c r="P1599" t="str">
        <f t="shared" si="417"/>
        <v>ANTON_10856_Singaporean Hokkien Fried Mee</v>
      </c>
      <c r="Q1599" t="str">
        <f t="shared" si="418"/>
        <v>10856</v>
      </c>
      <c r="R1599" t="str">
        <f t="shared" si="419"/>
        <v>10856</v>
      </c>
      <c r="S1599" t="str">
        <f t="shared" si="420"/>
        <v>Singaporean Hokkien Fried Mee</v>
      </c>
      <c r="T1599">
        <v>14</v>
      </c>
      <c r="U1599">
        <v>20</v>
      </c>
      <c r="V1599">
        <v>0</v>
      </c>
      <c r="W1599">
        <f t="shared" si="421"/>
        <v>280</v>
      </c>
      <c r="X1599" t="str">
        <f t="shared" si="422"/>
        <v>yes</v>
      </c>
      <c r="Y1599" s="2">
        <v>35123</v>
      </c>
      <c r="Z1599" t="str">
        <f t="shared" si="408"/>
        <v>1st Q 1996</v>
      </c>
      <c r="AA1599" t="str">
        <f t="shared" si="423"/>
        <v>1st Q 1996</v>
      </c>
      <c r="AB1599" t="str" cm="1">
        <f t="array" ref="AB1599">_xlfn.IFS(Y1599&lt;DATE(1996,1,1),"",Y1599&lt;DATE(1996,4,1),"Q1",Y1599&lt;DATE(1996,7,1),"Q2",Y1599&gt;=DATE(1996,7,1),"")</f>
        <v>Q1</v>
      </c>
    </row>
    <row r="1600" spans="1:28" ht="14.4" x14ac:dyDescent="0.55000000000000004">
      <c r="A1600" t="str">
        <f>VLOOKUP(L1600,Customers!$A$2:$B$92,2,FALSE)</f>
        <v>Berglunds snabbköp</v>
      </c>
      <c r="B1600" t="str">
        <f>VLOOKUP(L1600,Customers!$A$2:$C$92,3,TRUE)</f>
        <v>Christina Berglund</v>
      </c>
      <c r="C1600" t="str">
        <f t="shared" si="409"/>
        <v>Christina</v>
      </c>
      <c r="D1600" s="8" t="str">
        <f t="shared" si="410"/>
        <v>Berglund</v>
      </c>
      <c r="E1600" s="8" t="str">
        <f t="shared" si="411"/>
        <v>Berglund, Christina</v>
      </c>
      <c r="F1600" s="8" t="str">
        <f t="shared" si="412"/>
        <v>Berglund, Christina</v>
      </c>
      <c r="G1600" s="8" t="str">
        <f t="shared" si="413"/>
        <v>not an outlier</v>
      </c>
      <c r="H1600" s="8" t="str">
        <f t="shared" si="414"/>
        <v>Not</v>
      </c>
      <c r="I1600" s="8" t="str">
        <f t="shared" si="424"/>
        <v>no</v>
      </c>
      <c r="J1600" s="10" t="str">
        <f t="shared" si="415"/>
        <v>no</v>
      </c>
      <c r="K1600" s="10" t="str">
        <f t="shared" si="416"/>
        <v>no</v>
      </c>
      <c r="L1600" t="s">
        <v>43</v>
      </c>
      <c r="M1600">
        <v>10857</v>
      </c>
      <c r="N1600">
        <v>3</v>
      </c>
      <c r="O1600" t="s">
        <v>740</v>
      </c>
      <c r="P1600" t="str">
        <f t="shared" si="417"/>
        <v>BERGS_10857_Aniseed Syrup</v>
      </c>
      <c r="Q1600" t="str">
        <f t="shared" si="418"/>
        <v>10857</v>
      </c>
      <c r="R1600" t="str">
        <f t="shared" si="419"/>
        <v>10857</v>
      </c>
      <c r="S1600" t="str">
        <f t="shared" si="420"/>
        <v>Aniseed Syrup</v>
      </c>
      <c r="T1600">
        <v>10</v>
      </c>
      <c r="U1600">
        <v>30</v>
      </c>
      <c r="V1600">
        <v>0</v>
      </c>
      <c r="W1600">
        <f t="shared" si="421"/>
        <v>300</v>
      </c>
      <c r="X1600" t="str">
        <f t="shared" si="422"/>
        <v>yes</v>
      </c>
      <c r="Y1600" s="2">
        <v>35123</v>
      </c>
      <c r="Z1600" t="str">
        <f t="shared" si="408"/>
        <v>1st Q 1996</v>
      </c>
      <c r="AA1600" t="str">
        <f t="shared" si="423"/>
        <v>1st Q 1996</v>
      </c>
      <c r="AB1600" t="str" cm="1">
        <f t="array" ref="AB1600">_xlfn.IFS(Y1600&lt;DATE(1996,1,1),"",Y1600&lt;DATE(1996,4,1),"Q1",Y1600&lt;DATE(1996,7,1),"Q2",Y1600&gt;=DATE(1996,7,1),"")</f>
        <v>Q1</v>
      </c>
    </row>
    <row r="1601" spans="1:28" ht="14.4" x14ac:dyDescent="0.55000000000000004">
      <c r="A1601" t="str">
        <f>VLOOKUP(L1601,Customers!$A$2:$B$92,2,FALSE)</f>
        <v>Berglunds snabbköp</v>
      </c>
      <c r="B1601" t="str">
        <f>VLOOKUP(L1601,Customers!$A$2:$C$92,3,TRUE)</f>
        <v>Christina Berglund</v>
      </c>
      <c r="C1601" t="str">
        <f t="shared" si="409"/>
        <v>Christina</v>
      </c>
      <c r="D1601" s="8" t="str">
        <f t="shared" si="410"/>
        <v>Berglund</v>
      </c>
      <c r="E1601" s="8" t="str">
        <f t="shared" si="411"/>
        <v>Berglund, Christina</v>
      </c>
      <c r="F1601" s="8" t="str">
        <f t="shared" si="412"/>
        <v>Berglund, Christina</v>
      </c>
      <c r="G1601" s="8" t="str">
        <f t="shared" si="413"/>
        <v>not an outlier</v>
      </c>
      <c r="H1601" s="8" t="str">
        <f t="shared" si="414"/>
        <v>Not</v>
      </c>
      <c r="I1601" s="8" t="str">
        <f t="shared" si="424"/>
        <v>no</v>
      </c>
      <c r="J1601" s="10" t="str">
        <f t="shared" si="415"/>
        <v>no</v>
      </c>
      <c r="K1601" s="10" t="str">
        <f t="shared" si="416"/>
        <v>no</v>
      </c>
      <c r="L1601" t="s">
        <v>43</v>
      </c>
      <c r="M1601">
        <v>10857</v>
      </c>
      <c r="N1601">
        <v>26</v>
      </c>
      <c r="O1601" t="s">
        <v>751</v>
      </c>
      <c r="P1601" t="str">
        <f t="shared" si="417"/>
        <v>BERGS_10857_Gumbär Gummibärchen</v>
      </c>
      <c r="Q1601" t="str">
        <f t="shared" si="418"/>
        <v>10857</v>
      </c>
      <c r="R1601" t="str">
        <f t="shared" si="419"/>
        <v>10857</v>
      </c>
      <c r="S1601" t="str">
        <f t="shared" si="420"/>
        <v>Gumbär Gummibärchen</v>
      </c>
      <c r="T1601">
        <v>31.23</v>
      </c>
      <c r="U1601">
        <v>35</v>
      </c>
      <c r="V1601">
        <v>0.25</v>
      </c>
      <c r="W1601">
        <f t="shared" si="421"/>
        <v>819.78749999999991</v>
      </c>
      <c r="X1601" t="str">
        <f t="shared" si="422"/>
        <v>yes</v>
      </c>
      <c r="Y1601" s="2">
        <v>35123</v>
      </c>
      <c r="Z1601" t="str">
        <f t="shared" ref="Z1601:Z1664" si="425">IF(Y1601&gt;=DATE(1996,1,1), IF(Y1601&lt;DATE(1996,4,1),"1st Q 1996",""),"")</f>
        <v>1st Q 1996</v>
      </c>
      <c r="AA1601" t="str">
        <f t="shared" si="423"/>
        <v>1st Q 1996</v>
      </c>
      <c r="AB1601" t="str" cm="1">
        <f t="array" ref="AB1601">_xlfn.IFS(Y1601&lt;DATE(1996,1,1),"",Y1601&lt;DATE(1996,4,1),"Q1",Y1601&lt;DATE(1996,7,1),"Q2",Y1601&gt;=DATE(1996,7,1),"")</f>
        <v>Q1</v>
      </c>
    </row>
    <row r="1602" spans="1:28" ht="14.4" x14ac:dyDescent="0.55000000000000004">
      <c r="A1602" t="str">
        <f>VLOOKUP(L1602,Customers!$A$2:$B$92,2,FALSE)</f>
        <v>Berglunds snabbköp</v>
      </c>
      <c r="B1602" t="str">
        <f>VLOOKUP(L1602,Customers!$A$2:$C$92,3,TRUE)</f>
        <v>Christina Berglund</v>
      </c>
      <c r="C1602" t="str">
        <f t="shared" si="409"/>
        <v>Christina</v>
      </c>
      <c r="D1602" s="8" t="str">
        <f t="shared" si="410"/>
        <v>Berglund</v>
      </c>
      <c r="E1602" s="8" t="str">
        <f t="shared" si="411"/>
        <v>Berglund, Christina</v>
      </c>
      <c r="F1602" s="8" t="str">
        <f t="shared" si="412"/>
        <v>Berglund, Christina</v>
      </c>
      <c r="G1602" s="8" t="str">
        <f t="shared" si="413"/>
        <v>not an outlier</v>
      </c>
      <c r="H1602" s="8" t="str">
        <f t="shared" si="414"/>
        <v>Not</v>
      </c>
      <c r="I1602" s="8" t="str">
        <f t="shared" si="424"/>
        <v>no</v>
      </c>
      <c r="J1602" s="10" t="str">
        <f t="shared" si="415"/>
        <v>no</v>
      </c>
      <c r="K1602" s="10" t="str">
        <f t="shared" si="416"/>
        <v>no</v>
      </c>
      <c r="L1602" t="s">
        <v>43</v>
      </c>
      <c r="M1602">
        <v>10857</v>
      </c>
      <c r="N1602">
        <v>29</v>
      </c>
      <c r="O1602" t="s">
        <v>722</v>
      </c>
      <c r="P1602" t="str">
        <f t="shared" si="417"/>
        <v>BERGS_10857_Thüringer Rostbratwurst</v>
      </c>
      <c r="Q1602" t="str">
        <f t="shared" si="418"/>
        <v>10857</v>
      </c>
      <c r="R1602" t="str">
        <f t="shared" si="419"/>
        <v>10857</v>
      </c>
      <c r="S1602" t="str">
        <f t="shared" si="420"/>
        <v>Thüringer Rostbratwurst</v>
      </c>
      <c r="T1602">
        <v>123.79</v>
      </c>
      <c r="U1602">
        <v>10</v>
      </c>
      <c r="V1602">
        <v>0.25</v>
      </c>
      <c r="W1602">
        <f t="shared" si="421"/>
        <v>928.42500000000007</v>
      </c>
      <c r="X1602" t="str">
        <f t="shared" si="422"/>
        <v>yes</v>
      </c>
      <c r="Y1602" s="2">
        <v>35123</v>
      </c>
      <c r="Z1602" t="str">
        <f t="shared" si="425"/>
        <v>1st Q 1996</v>
      </c>
      <c r="AA1602" t="str">
        <f t="shared" si="423"/>
        <v>1st Q 1996</v>
      </c>
      <c r="AB1602" t="str" cm="1">
        <f t="array" ref="AB1602">_xlfn.IFS(Y1602&lt;DATE(1996,1,1),"",Y1602&lt;DATE(1996,4,1),"Q1",Y1602&lt;DATE(1996,7,1),"Q2",Y1602&gt;=DATE(1996,7,1),"")</f>
        <v>Q1</v>
      </c>
    </row>
    <row r="1603" spans="1:28" ht="14.4" x14ac:dyDescent="0.55000000000000004">
      <c r="A1603" t="str">
        <f>VLOOKUP(L1603,Customers!$A$2:$B$92,2,FALSE)</f>
        <v>La corne d'abondance</v>
      </c>
      <c r="B1603" t="str">
        <f>VLOOKUP(L1603,Customers!$A$2:$C$92,3,TRUE)</f>
        <v>Daniel Tonini</v>
      </c>
      <c r="C1603" t="str">
        <f t="shared" ref="C1603:C1666" si="426">LEFT(B1603,FIND(" ",B1603)-1)</f>
        <v>Daniel</v>
      </c>
      <c r="D1603" s="8" t="str">
        <f t="shared" ref="D1603:D1666" si="427">RIGHT(B1603,LEN(B1603)-FIND(" ",B1603))</f>
        <v>Tonini</v>
      </c>
      <c r="E1603" s="8" t="str">
        <f t="shared" ref="E1603:E1666" si="428">_xlfn.CONCAT(D1603,", ",C1603)</f>
        <v>Tonini, Daniel</v>
      </c>
      <c r="F1603" s="8" t="str">
        <f t="shared" ref="F1603:F1666" si="429">D1603&amp;", "&amp;C1603</f>
        <v>Tonini, Daniel</v>
      </c>
      <c r="G1603" s="8" t="str">
        <f t="shared" ref="G1603:G1666" si="430">IF(OR(W1603&gt;$W$2166,W1603&lt;$W$2167),"outlier","not an outlier")</f>
        <v>not an outlier</v>
      </c>
      <c r="H1603" s="8" t="str">
        <f t="shared" ref="H1603:H1666" si="431">IF(OR(W1603&gt;$W$2166,W1603&lt;$W$2167),"outlier",IF(OR(W1603&gt;$W$2168,W1603&lt;$W$2169),"moderate","Not"))</f>
        <v>Not</v>
      </c>
      <c r="I1603" s="8" t="str">
        <f t="shared" si="424"/>
        <v>no</v>
      </c>
      <c r="J1603" s="10" t="str">
        <f t="shared" ref="J1603:J1666" si="432">IF(AND(W1603&lt;=$W$2166,W1603&gt;=$W$2167),"no","yes")</f>
        <v>no</v>
      </c>
      <c r="K1603" s="10" t="str">
        <f t="shared" ref="K1603:K1666" si="433">IF(OR(W1603&gt;$W$2166,W1603&lt;$W$2167),"yes",IF(OR(W1603&gt;$W$2168,W1603&lt;$W$2169),"moderate","no"))</f>
        <v>no</v>
      </c>
      <c r="L1603" t="s">
        <v>311</v>
      </c>
      <c r="M1603">
        <v>10858</v>
      </c>
      <c r="N1603">
        <v>7</v>
      </c>
      <c r="O1603" t="s">
        <v>715</v>
      </c>
      <c r="P1603" t="str">
        <f t="shared" ref="P1603:P1666" si="434">L1603&amp;"_"&amp;M1603&amp;"_"&amp;O1603</f>
        <v>LACOR_10858_Uncle Bob's Organic Dried Pears</v>
      </c>
      <c r="Q1603" t="str">
        <f t="shared" ref="Q1603:Q1666" si="435">LEFT(RIGHT(P1603,LEN(P1603)-FIND("_",P1603)), FIND("_",P1603)-1)</f>
        <v>10858</v>
      </c>
      <c r="R1603" t="str">
        <f t="shared" ref="R1603:R1666" si="436">MID(P1603,FIND("_",P1603)+1,FIND("_",P1603,FIND("_",P1603))-1)</f>
        <v>10858</v>
      </c>
      <c r="S1603" t="str">
        <f t="shared" ref="S1603:S1666" si="437">MID(P1603,FIND("_",P1603,FIND("_",P1603)+1)+1,LEN(P1603))</f>
        <v>Uncle Bob's Organic Dried Pears</v>
      </c>
      <c r="T1603">
        <v>30</v>
      </c>
      <c r="U1603">
        <v>5</v>
      </c>
      <c r="V1603">
        <v>0</v>
      </c>
      <c r="W1603">
        <f t="shared" ref="W1603:W1666" si="438">T1603*U1603*(1-V1603)</f>
        <v>150</v>
      </c>
      <c r="X1603" t="str">
        <f t="shared" ref="X1603:X1666" si="439">IF(YEAR(Y1603)&gt;=1996,"yes","No")</f>
        <v>yes</v>
      </c>
      <c r="Y1603" s="2">
        <v>35124</v>
      </c>
      <c r="Z1603" t="str">
        <f t="shared" si="425"/>
        <v>1st Q 1996</v>
      </c>
      <c r="AA1603" t="str">
        <f t="shared" ref="AA1603:AA1666" si="440">IF(Y1603&lt;DATE(1996,1,1),"", IF(Y1603&lt;DATE(1996,4,1),"1st Q 1996",IF(Y1603&lt;DATE(1996,7,1),"2nd Q 1996","")))</f>
        <v>1st Q 1996</v>
      </c>
      <c r="AB1603" t="str" cm="1">
        <f t="array" ref="AB1603">_xlfn.IFS(Y1603&lt;DATE(1996,1,1),"",Y1603&lt;DATE(1996,4,1),"Q1",Y1603&lt;DATE(1996,7,1),"Q2",Y1603&gt;=DATE(1996,7,1),"")</f>
        <v>Q1</v>
      </c>
    </row>
    <row r="1604" spans="1:28" ht="14.4" x14ac:dyDescent="0.55000000000000004">
      <c r="A1604" t="str">
        <f>VLOOKUP(L1604,Customers!$A$2:$B$92,2,FALSE)</f>
        <v>La corne d'abondance</v>
      </c>
      <c r="B1604" t="str">
        <f>VLOOKUP(L1604,Customers!$A$2:$C$92,3,TRUE)</f>
        <v>Daniel Tonini</v>
      </c>
      <c r="C1604" t="str">
        <f t="shared" si="426"/>
        <v>Daniel</v>
      </c>
      <c r="D1604" s="8" t="str">
        <f t="shared" si="427"/>
        <v>Tonini</v>
      </c>
      <c r="E1604" s="8" t="str">
        <f t="shared" si="428"/>
        <v>Tonini, Daniel</v>
      </c>
      <c r="F1604" s="8" t="str">
        <f t="shared" si="429"/>
        <v>Tonini, Daniel</v>
      </c>
      <c r="G1604" s="8" t="str">
        <f t="shared" si="430"/>
        <v>not an outlier</v>
      </c>
      <c r="H1604" s="8" t="str">
        <f t="shared" si="431"/>
        <v>Not</v>
      </c>
      <c r="I1604" s="8" t="str">
        <f t="shared" ref="I1604:I1667" si="441">IF(OR(W1604&gt;$W$2166,W1604&lt;$W$2167),"yes","no")</f>
        <v>no</v>
      </c>
      <c r="J1604" s="10" t="str">
        <f t="shared" si="432"/>
        <v>no</v>
      </c>
      <c r="K1604" s="10" t="str">
        <f t="shared" si="433"/>
        <v>no</v>
      </c>
      <c r="L1604" t="s">
        <v>311</v>
      </c>
      <c r="M1604">
        <v>10858</v>
      </c>
      <c r="N1604">
        <v>27</v>
      </c>
      <c r="O1604" t="s">
        <v>707</v>
      </c>
      <c r="P1604" t="str">
        <f t="shared" si="434"/>
        <v>LACOR_10858_Schoggi Schokolade</v>
      </c>
      <c r="Q1604" t="str">
        <f t="shared" si="435"/>
        <v>10858</v>
      </c>
      <c r="R1604" t="str">
        <f t="shared" si="436"/>
        <v>10858</v>
      </c>
      <c r="S1604" t="str">
        <f t="shared" si="437"/>
        <v>Schoggi Schokolade</v>
      </c>
      <c r="T1604">
        <v>43.9</v>
      </c>
      <c r="U1604">
        <v>10</v>
      </c>
      <c r="V1604">
        <v>0</v>
      </c>
      <c r="W1604">
        <f t="shared" si="438"/>
        <v>439</v>
      </c>
      <c r="X1604" t="str">
        <f t="shared" si="439"/>
        <v>yes</v>
      </c>
      <c r="Y1604" s="2">
        <v>35124</v>
      </c>
      <c r="Z1604" t="str">
        <f t="shared" si="425"/>
        <v>1st Q 1996</v>
      </c>
      <c r="AA1604" t="str">
        <f t="shared" si="440"/>
        <v>1st Q 1996</v>
      </c>
      <c r="AB1604" t="str" cm="1">
        <f t="array" ref="AB1604">_xlfn.IFS(Y1604&lt;DATE(1996,1,1),"",Y1604&lt;DATE(1996,4,1),"Q1",Y1604&lt;DATE(1996,7,1),"Q2",Y1604&gt;=DATE(1996,7,1),"")</f>
        <v>Q1</v>
      </c>
    </row>
    <row r="1605" spans="1:28" ht="14.4" x14ac:dyDescent="0.55000000000000004">
      <c r="A1605" t="str">
        <f>VLOOKUP(L1605,Customers!$A$2:$B$92,2,FALSE)</f>
        <v>La corne d'abondance</v>
      </c>
      <c r="B1605" t="str">
        <f>VLOOKUP(L1605,Customers!$A$2:$C$92,3,TRUE)</f>
        <v>Daniel Tonini</v>
      </c>
      <c r="C1605" t="str">
        <f t="shared" si="426"/>
        <v>Daniel</v>
      </c>
      <c r="D1605" s="8" t="str">
        <f t="shared" si="427"/>
        <v>Tonini</v>
      </c>
      <c r="E1605" s="8" t="str">
        <f t="shared" si="428"/>
        <v>Tonini, Daniel</v>
      </c>
      <c r="F1605" s="8" t="str">
        <f t="shared" si="429"/>
        <v>Tonini, Daniel</v>
      </c>
      <c r="G1605" s="8" t="str">
        <f t="shared" si="430"/>
        <v>not an outlier</v>
      </c>
      <c r="H1605" s="8" t="str">
        <f t="shared" si="431"/>
        <v>Not</v>
      </c>
      <c r="I1605" s="8" t="str">
        <f t="shared" si="441"/>
        <v>no</v>
      </c>
      <c r="J1605" s="10" t="str">
        <f t="shared" si="432"/>
        <v>no</v>
      </c>
      <c r="K1605" s="10" t="str">
        <f t="shared" si="433"/>
        <v>no</v>
      </c>
      <c r="L1605" t="s">
        <v>311</v>
      </c>
      <c r="M1605">
        <v>10858</v>
      </c>
      <c r="N1605">
        <v>70</v>
      </c>
      <c r="O1605" t="s">
        <v>713</v>
      </c>
      <c r="P1605" t="str">
        <f t="shared" si="434"/>
        <v>LACOR_10858_Outback Lager</v>
      </c>
      <c r="Q1605" t="str">
        <f t="shared" si="435"/>
        <v>10858</v>
      </c>
      <c r="R1605" t="str">
        <f t="shared" si="436"/>
        <v>10858</v>
      </c>
      <c r="S1605" t="str">
        <f t="shared" si="437"/>
        <v>Outback Lager</v>
      </c>
      <c r="T1605">
        <v>15</v>
      </c>
      <c r="U1605">
        <v>4</v>
      </c>
      <c r="V1605">
        <v>0</v>
      </c>
      <c r="W1605">
        <f t="shared" si="438"/>
        <v>60</v>
      </c>
      <c r="X1605" t="str">
        <f t="shared" si="439"/>
        <v>yes</v>
      </c>
      <c r="Y1605" s="2">
        <v>35124</v>
      </c>
      <c r="Z1605" t="str">
        <f t="shared" si="425"/>
        <v>1st Q 1996</v>
      </c>
      <c r="AA1605" t="str">
        <f t="shared" si="440"/>
        <v>1st Q 1996</v>
      </c>
      <c r="AB1605" t="str" cm="1">
        <f t="array" ref="AB1605">_xlfn.IFS(Y1605&lt;DATE(1996,1,1),"",Y1605&lt;DATE(1996,4,1),"Q1",Y1605&lt;DATE(1996,7,1),"Q2",Y1605&gt;=DATE(1996,7,1),"")</f>
        <v>Q1</v>
      </c>
    </row>
    <row r="1606" spans="1:28" ht="14.4" x14ac:dyDescent="0.55000000000000004">
      <c r="A1606" t="str">
        <f>VLOOKUP(L1606,Customers!$A$2:$B$92,2,FALSE)</f>
        <v>Frankenversand</v>
      </c>
      <c r="B1606" t="str">
        <f>VLOOKUP(L1606,Customers!$A$2:$C$92,3,TRUE)</f>
        <v>Peter Franken</v>
      </c>
      <c r="C1606" t="str">
        <f t="shared" si="426"/>
        <v>Peter</v>
      </c>
      <c r="D1606" s="8" t="str">
        <f t="shared" si="427"/>
        <v>Franken</v>
      </c>
      <c r="E1606" s="8" t="str">
        <f t="shared" si="428"/>
        <v>Franken, Peter</v>
      </c>
      <c r="F1606" s="8" t="str">
        <f t="shared" si="429"/>
        <v>Franken, Peter</v>
      </c>
      <c r="G1606" s="8" t="str">
        <f t="shared" si="430"/>
        <v>not an outlier</v>
      </c>
      <c r="H1606" s="8" t="str">
        <f t="shared" si="431"/>
        <v>Not</v>
      </c>
      <c r="I1606" s="8" t="str">
        <f t="shared" si="441"/>
        <v>no</v>
      </c>
      <c r="J1606" s="10" t="str">
        <f t="shared" si="432"/>
        <v>no</v>
      </c>
      <c r="K1606" s="10" t="str">
        <f t="shared" si="433"/>
        <v>no</v>
      </c>
      <c r="L1606" t="s">
        <v>198</v>
      </c>
      <c r="M1606">
        <v>10859</v>
      </c>
      <c r="N1606">
        <v>24</v>
      </c>
      <c r="O1606" t="s">
        <v>698</v>
      </c>
      <c r="P1606" t="str">
        <f t="shared" si="434"/>
        <v>FRANK_10859_Guaraná Fantástica</v>
      </c>
      <c r="Q1606" t="str">
        <f t="shared" si="435"/>
        <v>10859</v>
      </c>
      <c r="R1606" t="str">
        <f t="shared" si="436"/>
        <v>10859</v>
      </c>
      <c r="S1606" t="str">
        <f t="shared" si="437"/>
        <v>Guaraná Fantástica</v>
      </c>
      <c r="T1606">
        <v>4.5</v>
      </c>
      <c r="U1606">
        <v>40</v>
      </c>
      <c r="V1606">
        <v>0.25</v>
      </c>
      <c r="W1606">
        <f t="shared" si="438"/>
        <v>135</v>
      </c>
      <c r="X1606" t="str">
        <f t="shared" si="439"/>
        <v>yes</v>
      </c>
      <c r="Y1606" s="2">
        <v>35124</v>
      </c>
      <c r="Z1606" t="str">
        <f t="shared" si="425"/>
        <v>1st Q 1996</v>
      </c>
      <c r="AA1606" t="str">
        <f t="shared" si="440"/>
        <v>1st Q 1996</v>
      </c>
      <c r="AB1606" t="str" cm="1">
        <f t="array" ref="AB1606">_xlfn.IFS(Y1606&lt;DATE(1996,1,1),"",Y1606&lt;DATE(1996,4,1),"Q1",Y1606&lt;DATE(1996,7,1),"Q2",Y1606&gt;=DATE(1996,7,1),"")</f>
        <v>Q1</v>
      </c>
    </row>
    <row r="1607" spans="1:28" ht="14.4" x14ac:dyDescent="0.55000000000000004">
      <c r="A1607" t="str">
        <f>VLOOKUP(L1607,Customers!$A$2:$B$92,2,FALSE)</f>
        <v>Frankenversand</v>
      </c>
      <c r="B1607" t="str">
        <f>VLOOKUP(L1607,Customers!$A$2:$C$92,3,TRUE)</f>
        <v>Peter Franken</v>
      </c>
      <c r="C1607" t="str">
        <f t="shared" si="426"/>
        <v>Peter</v>
      </c>
      <c r="D1607" s="8" t="str">
        <f t="shared" si="427"/>
        <v>Franken</v>
      </c>
      <c r="E1607" s="8" t="str">
        <f t="shared" si="428"/>
        <v>Franken, Peter</v>
      </c>
      <c r="F1607" s="8" t="str">
        <f t="shared" si="429"/>
        <v>Franken, Peter</v>
      </c>
      <c r="G1607" s="8" t="str">
        <f t="shared" si="430"/>
        <v>not an outlier</v>
      </c>
      <c r="H1607" s="8" t="str">
        <f t="shared" si="431"/>
        <v>Not</v>
      </c>
      <c r="I1607" s="8" t="str">
        <f t="shared" si="441"/>
        <v>no</v>
      </c>
      <c r="J1607" s="10" t="str">
        <f t="shared" si="432"/>
        <v>no</v>
      </c>
      <c r="K1607" s="10" t="str">
        <f t="shared" si="433"/>
        <v>no</v>
      </c>
      <c r="L1607" t="s">
        <v>198</v>
      </c>
      <c r="M1607">
        <v>10859</v>
      </c>
      <c r="N1607">
        <v>54</v>
      </c>
      <c r="O1607" t="s">
        <v>738</v>
      </c>
      <c r="P1607" t="str">
        <f t="shared" si="434"/>
        <v>FRANK_10859_Tourtière</v>
      </c>
      <c r="Q1607" t="str">
        <f t="shared" si="435"/>
        <v>10859</v>
      </c>
      <c r="R1607" t="str">
        <f t="shared" si="436"/>
        <v>10859</v>
      </c>
      <c r="S1607" t="str">
        <f t="shared" si="437"/>
        <v>Tourtière</v>
      </c>
      <c r="T1607">
        <v>7.45</v>
      </c>
      <c r="U1607">
        <v>35</v>
      </c>
      <c r="V1607">
        <v>0.25</v>
      </c>
      <c r="W1607">
        <f t="shared" si="438"/>
        <v>195.5625</v>
      </c>
      <c r="X1607" t="str">
        <f t="shared" si="439"/>
        <v>yes</v>
      </c>
      <c r="Y1607" s="2">
        <v>35124</v>
      </c>
      <c r="Z1607" t="str">
        <f t="shared" si="425"/>
        <v>1st Q 1996</v>
      </c>
      <c r="AA1607" t="str">
        <f t="shared" si="440"/>
        <v>1st Q 1996</v>
      </c>
      <c r="AB1607" t="str" cm="1">
        <f t="array" ref="AB1607">_xlfn.IFS(Y1607&lt;DATE(1996,1,1),"",Y1607&lt;DATE(1996,4,1),"Q1",Y1607&lt;DATE(1996,7,1),"Q2",Y1607&gt;=DATE(1996,7,1),"")</f>
        <v>Q1</v>
      </c>
    </row>
    <row r="1608" spans="1:28" ht="14.4" x14ac:dyDescent="0.55000000000000004">
      <c r="A1608" t="str">
        <f>VLOOKUP(L1608,Customers!$A$2:$B$92,2,FALSE)</f>
        <v>Frankenversand</v>
      </c>
      <c r="B1608" t="str">
        <f>VLOOKUP(L1608,Customers!$A$2:$C$92,3,TRUE)</f>
        <v>Peter Franken</v>
      </c>
      <c r="C1608" t="str">
        <f t="shared" si="426"/>
        <v>Peter</v>
      </c>
      <c r="D1608" s="8" t="str">
        <f t="shared" si="427"/>
        <v>Franken</v>
      </c>
      <c r="E1608" s="8" t="str">
        <f t="shared" si="428"/>
        <v>Franken, Peter</v>
      </c>
      <c r="F1608" s="8" t="str">
        <f t="shared" si="429"/>
        <v>Franken, Peter</v>
      </c>
      <c r="G1608" s="8" t="str">
        <f t="shared" si="430"/>
        <v>not an outlier</v>
      </c>
      <c r="H1608" s="8" t="str">
        <f t="shared" si="431"/>
        <v>Not</v>
      </c>
      <c r="I1608" s="8" t="str">
        <f t="shared" si="441"/>
        <v>no</v>
      </c>
      <c r="J1608" s="10" t="str">
        <f t="shared" si="432"/>
        <v>no</v>
      </c>
      <c r="K1608" s="10" t="str">
        <f t="shared" si="433"/>
        <v>no</v>
      </c>
      <c r="L1608" t="s">
        <v>198</v>
      </c>
      <c r="M1608">
        <v>10859</v>
      </c>
      <c r="N1608">
        <v>64</v>
      </c>
      <c r="O1608" t="s">
        <v>741</v>
      </c>
      <c r="P1608" t="str">
        <f t="shared" si="434"/>
        <v>FRANK_10859_Wimmers gute Semmelknödel</v>
      </c>
      <c r="Q1608" t="str">
        <f t="shared" si="435"/>
        <v>10859</v>
      </c>
      <c r="R1608" t="str">
        <f t="shared" si="436"/>
        <v>10859</v>
      </c>
      <c r="S1608" t="str">
        <f t="shared" si="437"/>
        <v>Wimmers gute Semmelknödel</v>
      </c>
      <c r="T1608">
        <v>33.25</v>
      </c>
      <c r="U1608">
        <v>30</v>
      </c>
      <c r="V1608">
        <v>0.25</v>
      </c>
      <c r="W1608">
        <f t="shared" si="438"/>
        <v>748.125</v>
      </c>
      <c r="X1608" t="str">
        <f t="shared" si="439"/>
        <v>yes</v>
      </c>
      <c r="Y1608" s="2">
        <v>35124</v>
      </c>
      <c r="Z1608" t="str">
        <f t="shared" si="425"/>
        <v>1st Q 1996</v>
      </c>
      <c r="AA1608" t="str">
        <f t="shared" si="440"/>
        <v>1st Q 1996</v>
      </c>
      <c r="AB1608" t="str" cm="1">
        <f t="array" ref="AB1608">_xlfn.IFS(Y1608&lt;DATE(1996,1,1),"",Y1608&lt;DATE(1996,4,1),"Q1",Y1608&lt;DATE(1996,7,1),"Q2",Y1608&gt;=DATE(1996,7,1),"")</f>
        <v>Q1</v>
      </c>
    </row>
    <row r="1609" spans="1:28" ht="14.4" x14ac:dyDescent="0.55000000000000004">
      <c r="A1609" t="str">
        <f>VLOOKUP(L1609,Customers!$A$2:$B$92,2,FALSE)</f>
        <v>France restauration</v>
      </c>
      <c r="B1609" t="str">
        <f>VLOOKUP(L1609,Customers!$A$2:$C$92,3,TRUE)</f>
        <v>Carine Schmitt</v>
      </c>
      <c r="C1609" t="str">
        <f t="shared" si="426"/>
        <v>Carine</v>
      </c>
      <c r="D1609" s="8" t="str">
        <f t="shared" si="427"/>
        <v>Schmitt</v>
      </c>
      <c r="E1609" s="8" t="str">
        <f t="shared" si="428"/>
        <v>Schmitt, Carine</v>
      </c>
      <c r="F1609" s="8" t="str">
        <f t="shared" si="429"/>
        <v>Schmitt, Carine</v>
      </c>
      <c r="G1609" s="8" t="str">
        <f t="shared" si="430"/>
        <v>not an outlier</v>
      </c>
      <c r="H1609" s="8" t="str">
        <f t="shared" si="431"/>
        <v>Not</v>
      </c>
      <c r="I1609" s="8" t="str">
        <f t="shared" si="441"/>
        <v>no</v>
      </c>
      <c r="J1609" s="10" t="str">
        <f t="shared" si="432"/>
        <v>no</v>
      </c>
      <c r="K1609" s="10" t="str">
        <f t="shared" si="433"/>
        <v>no</v>
      </c>
      <c r="L1609" t="s">
        <v>205</v>
      </c>
      <c r="M1609">
        <v>10860</v>
      </c>
      <c r="N1609">
        <v>51</v>
      </c>
      <c r="O1609" t="s">
        <v>687</v>
      </c>
      <c r="P1609" t="str">
        <f t="shared" si="434"/>
        <v>FRANR_10860_Manjimup Dried Apples</v>
      </c>
      <c r="Q1609" t="str">
        <f t="shared" si="435"/>
        <v>10860</v>
      </c>
      <c r="R1609" t="str">
        <f t="shared" si="436"/>
        <v>10860</v>
      </c>
      <c r="S1609" t="str">
        <f t="shared" si="437"/>
        <v>Manjimup Dried Apples</v>
      </c>
      <c r="T1609">
        <v>53</v>
      </c>
      <c r="U1609">
        <v>3</v>
      </c>
      <c r="V1609">
        <v>0</v>
      </c>
      <c r="W1609">
        <f t="shared" si="438"/>
        <v>159</v>
      </c>
      <c r="X1609" t="str">
        <f t="shared" si="439"/>
        <v>yes</v>
      </c>
      <c r="Y1609" s="2">
        <v>35124</v>
      </c>
      <c r="Z1609" t="str">
        <f t="shared" si="425"/>
        <v>1st Q 1996</v>
      </c>
      <c r="AA1609" t="str">
        <f t="shared" si="440"/>
        <v>1st Q 1996</v>
      </c>
      <c r="AB1609" t="str" cm="1">
        <f t="array" ref="AB1609">_xlfn.IFS(Y1609&lt;DATE(1996,1,1),"",Y1609&lt;DATE(1996,4,1),"Q1",Y1609&lt;DATE(1996,7,1),"Q2",Y1609&gt;=DATE(1996,7,1),"")</f>
        <v>Q1</v>
      </c>
    </row>
    <row r="1610" spans="1:28" ht="14.4" x14ac:dyDescent="0.55000000000000004">
      <c r="A1610" t="str">
        <f>VLOOKUP(L1610,Customers!$A$2:$B$92,2,FALSE)</f>
        <v>France restauration</v>
      </c>
      <c r="B1610" t="str">
        <f>VLOOKUP(L1610,Customers!$A$2:$C$92,3,TRUE)</f>
        <v>Carine Schmitt</v>
      </c>
      <c r="C1610" t="str">
        <f t="shared" si="426"/>
        <v>Carine</v>
      </c>
      <c r="D1610" s="8" t="str">
        <f t="shared" si="427"/>
        <v>Schmitt</v>
      </c>
      <c r="E1610" s="8" t="str">
        <f t="shared" si="428"/>
        <v>Schmitt, Carine</v>
      </c>
      <c r="F1610" s="8" t="str">
        <f t="shared" si="429"/>
        <v>Schmitt, Carine</v>
      </c>
      <c r="G1610" s="8" t="str">
        <f t="shared" si="430"/>
        <v>not an outlier</v>
      </c>
      <c r="H1610" s="8" t="str">
        <f t="shared" si="431"/>
        <v>Not</v>
      </c>
      <c r="I1610" s="8" t="str">
        <f t="shared" si="441"/>
        <v>no</v>
      </c>
      <c r="J1610" s="10" t="str">
        <f t="shared" si="432"/>
        <v>no</v>
      </c>
      <c r="K1610" s="10" t="str">
        <f t="shared" si="433"/>
        <v>no</v>
      </c>
      <c r="L1610" t="s">
        <v>205</v>
      </c>
      <c r="M1610">
        <v>10860</v>
      </c>
      <c r="N1610">
        <v>76</v>
      </c>
      <c r="O1610" t="s">
        <v>721</v>
      </c>
      <c r="P1610" t="str">
        <f t="shared" si="434"/>
        <v>FRANR_10860_Lakkalikööri</v>
      </c>
      <c r="Q1610" t="str">
        <f t="shared" si="435"/>
        <v>10860</v>
      </c>
      <c r="R1610" t="str">
        <f t="shared" si="436"/>
        <v>10860</v>
      </c>
      <c r="S1610" t="str">
        <f t="shared" si="437"/>
        <v>Lakkalikööri</v>
      </c>
      <c r="T1610">
        <v>18</v>
      </c>
      <c r="U1610">
        <v>20</v>
      </c>
      <c r="V1610">
        <v>0</v>
      </c>
      <c r="W1610">
        <f t="shared" si="438"/>
        <v>360</v>
      </c>
      <c r="X1610" t="str">
        <f t="shared" si="439"/>
        <v>yes</v>
      </c>
      <c r="Y1610" s="2">
        <v>35124</v>
      </c>
      <c r="Z1610" t="str">
        <f t="shared" si="425"/>
        <v>1st Q 1996</v>
      </c>
      <c r="AA1610" t="str">
        <f t="shared" si="440"/>
        <v>1st Q 1996</v>
      </c>
      <c r="AB1610" t="str" cm="1">
        <f t="array" ref="AB1610">_xlfn.IFS(Y1610&lt;DATE(1996,1,1),"",Y1610&lt;DATE(1996,4,1),"Q1",Y1610&lt;DATE(1996,7,1),"Q2",Y1610&gt;=DATE(1996,7,1),"")</f>
        <v>Q1</v>
      </c>
    </row>
    <row r="1611" spans="1:28" ht="14.4" x14ac:dyDescent="0.55000000000000004">
      <c r="A1611" t="str">
        <f>VLOOKUP(L1611,Customers!$A$2:$B$92,2,FALSE)</f>
        <v>White Clover Markets</v>
      </c>
      <c r="B1611" t="str">
        <f>VLOOKUP(L1611,Customers!$A$2:$C$92,3,TRUE)</f>
        <v>Karl Jablonski</v>
      </c>
      <c r="C1611" t="str">
        <f t="shared" si="426"/>
        <v>Karl</v>
      </c>
      <c r="D1611" s="8" t="str">
        <f t="shared" si="427"/>
        <v>Jablonski</v>
      </c>
      <c r="E1611" s="8" t="str">
        <f t="shared" si="428"/>
        <v>Jablonski, Karl</v>
      </c>
      <c r="F1611" s="8" t="str">
        <f t="shared" si="429"/>
        <v>Jablonski, Karl</v>
      </c>
      <c r="G1611" s="8" t="str">
        <f t="shared" si="430"/>
        <v>not an outlier</v>
      </c>
      <c r="H1611" s="8" t="str">
        <f t="shared" si="431"/>
        <v>Not</v>
      </c>
      <c r="I1611" s="8" t="str">
        <f t="shared" si="441"/>
        <v>no</v>
      </c>
      <c r="J1611" s="10" t="str">
        <f t="shared" si="432"/>
        <v>no</v>
      </c>
      <c r="K1611" s="10" t="str">
        <f t="shared" si="433"/>
        <v>no</v>
      </c>
      <c r="L1611" t="s">
        <v>654</v>
      </c>
      <c r="M1611">
        <v>10861</v>
      </c>
      <c r="N1611">
        <v>17</v>
      </c>
      <c r="O1611" t="s">
        <v>718</v>
      </c>
      <c r="P1611" t="str">
        <f t="shared" si="434"/>
        <v>WHITC_10861_Alice Mutton</v>
      </c>
      <c r="Q1611" t="str">
        <f t="shared" si="435"/>
        <v>10861</v>
      </c>
      <c r="R1611" t="str">
        <f t="shared" si="436"/>
        <v>10861</v>
      </c>
      <c r="S1611" t="str">
        <f t="shared" si="437"/>
        <v>Alice Mutton</v>
      </c>
      <c r="T1611">
        <v>39</v>
      </c>
      <c r="U1611">
        <v>42</v>
      </c>
      <c r="V1611">
        <v>0</v>
      </c>
      <c r="W1611">
        <f t="shared" si="438"/>
        <v>1638</v>
      </c>
      <c r="X1611" t="str">
        <f t="shared" si="439"/>
        <v>yes</v>
      </c>
      <c r="Y1611" s="2">
        <v>35125</v>
      </c>
      <c r="Z1611" t="str">
        <f t="shared" si="425"/>
        <v>1st Q 1996</v>
      </c>
      <c r="AA1611" t="str">
        <f t="shared" si="440"/>
        <v>1st Q 1996</v>
      </c>
      <c r="AB1611" t="str" cm="1">
        <f t="array" ref="AB1611">_xlfn.IFS(Y1611&lt;DATE(1996,1,1),"",Y1611&lt;DATE(1996,4,1),"Q1",Y1611&lt;DATE(1996,7,1),"Q2",Y1611&gt;=DATE(1996,7,1),"")</f>
        <v>Q1</v>
      </c>
    </row>
    <row r="1612" spans="1:28" ht="14.4" x14ac:dyDescent="0.55000000000000004">
      <c r="A1612" t="str">
        <f>VLOOKUP(L1612,Customers!$A$2:$B$92,2,FALSE)</f>
        <v>White Clover Markets</v>
      </c>
      <c r="B1612" t="str">
        <f>VLOOKUP(L1612,Customers!$A$2:$C$92,3,TRUE)</f>
        <v>Karl Jablonski</v>
      </c>
      <c r="C1612" t="str">
        <f t="shared" si="426"/>
        <v>Karl</v>
      </c>
      <c r="D1612" s="8" t="str">
        <f t="shared" si="427"/>
        <v>Jablonski</v>
      </c>
      <c r="E1612" s="8" t="str">
        <f t="shared" si="428"/>
        <v>Jablonski, Karl</v>
      </c>
      <c r="F1612" s="8" t="str">
        <f t="shared" si="429"/>
        <v>Jablonski, Karl</v>
      </c>
      <c r="G1612" s="8" t="str">
        <f t="shared" si="430"/>
        <v>not an outlier</v>
      </c>
      <c r="H1612" s="8" t="str">
        <f t="shared" si="431"/>
        <v>Not</v>
      </c>
      <c r="I1612" s="8" t="str">
        <f t="shared" si="441"/>
        <v>no</v>
      </c>
      <c r="J1612" s="10" t="str">
        <f t="shared" si="432"/>
        <v>no</v>
      </c>
      <c r="K1612" s="10" t="str">
        <f t="shared" si="433"/>
        <v>no</v>
      </c>
      <c r="L1612" t="s">
        <v>654</v>
      </c>
      <c r="M1612">
        <v>10861</v>
      </c>
      <c r="N1612">
        <v>18</v>
      </c>
      <c r="O1612" t="s">
        <v>742</v>
      </c>
      <c r="P1612" t="str">
        <f t="shared" si="434"/>
        <v>WHITC_10861_Carnarvon Tigers</v>
      </c>
      <c r="Q1612" t="str">
        <f t="shared" si="435"/>
        <v>10861</v>
      </c>
      <c r="R1612" t="str">
        <f t="shared" si="436"/>
        <v>10861</v>
      </c>
      <c r="S1612" t="str">
        <f t="shared" si="437"/>
        <v>Carnarvon Tigers</v>
      </c>
      <c r="T1612">
        <v>62.5</v>
      </c>
      <c r="U1612">
        <v>20</v>
      </c>
      <c r="V1612">
        <v>0</v>
      </c>
      <c r="W1612">
        <f t="shared" si="438"/>
        <v>1250</v>
      </c>
      <c r="X1612" t="str">
        <f t="shared" si="439"/>
        <v>yes</v>
      </c>
      <c r="Y1612" s="2">
        <v>35125</v>
      </c>
      <c r="Z1612" t="str">
        <f t="shared" si="425"/>
        <v>1st Q 1996</v>
      </c>
      <c r="AA1612" t="str">
        <f t="shared" si="440"/>
        <v>1st Q 1996</v>
      </c>
      <c r="AB1612" t="str" cm="1">
        <f t="array" ref="AB1612">_xlfn.IFS(Y1612&lt;DATE(1996,1,1),"",Y1612&lt;DATE(1996,4,1),"Q1",Y1612&lt;DATE(1996,7,1),"Q2",Y1612&gt;=DATE(1996,7,1),"")</f>
        <v>Q1</v>
      </c>
    </row>
    <row r="1613" spans="1:28" ht="14.4" x14ac:dyDescent="0.55000000000000004">
      <c r="A1613" t="str">
        <f>VLOOKUP(L1613,Customers!$A$2:$B$92,2,FALSE)</f>
        <v>White Clover Markets</v>
      </c>
      <c r="B1613" t="str">
        <f>VLOOKUP(L1613,Customers!$A$2:$C$92,3,TRUE)</f>
        <v>Karl Jablonski</v>
      </c>
      <c r="C1613" t="str">
        <f t="shared" si="426"/>
        <v>Karl</v>
      </c>
      <c r="D1613" s="8" t="str">
        <f t="shared" si="427"/>
        <v>Jablonski</v>
      </c>
      <c r="E1613" s="8" t="str">
        <f t="shared" si="428"/>
        <v>Jablonski, Karl</v>
      </c>
      <c r="F1613" s="8" t="str">
        <f t="shared" si="429"/>
        <v>Jablonski, Karl</v>
      </c>
      <c r="G1613" s="8" t="str">
        <f t="shared" si="430"/>
        <v>not an outlier</v>
      </c>
      <c r="H1613" s="8" t="str">
        <f t="shared" si="431"/>
        <v>Not</v>
      </c>
      <c r="I1613" s="8" t="str">
        <f t="shared" si="441"/>
        <v>no</v>
      </c>
      <c r="J1613" s="10" t="str">
        <f t="shared" si="432"/>
        <v>no</v>
      </c>
      <c r="K1613" s="10" t="str">
        <f t="shared" si="433"/>
        <v>no</v>
      </c>
      <c r="L1613" t="s">
        <v>654</v>
      </c>
      <c r="M1613">
        <v>10861</v>
      </c>
      <c r="N1613">
        <v>21</v>
      </c>
      <c r="O1613" t="s">
        <v>710</v>
      </c>
      <c r="P1613" t="str">
        <f t="shared" si="434"/>
        <v>WHITC_10861_Sir Rodney's Scones</v>
      </c>
      <c r="Q1613" t="str">
        <f t="shared" si="435"/>
        <v>10861</v>
      </c>
      <c r="R1613" t="str">
        <f t="shared" si="436"/>
        <v>10861</v>
      </c>
      <c r="S1613" t="str">
        <f t="shared" si="437"/>
        <v>Sir Rodney's Scones</v>
      </c>
      <c r="T1613">
        <v>10</v>
      </c>
      <c r="U1613">
        <v>40</v>
      </c>
      <c r="V1613">
        <v>0</v>
      </c>
      <c r="W1613">
        <f t="shared" si="438"/>
        <v>400</v>
      </c>
      <c r="X1613" t="str">
        <f t="shared" si="439"/>
        <v>yes</v>
      </c>
      <c r="Y1613" s="2">
        <v>35125</v>
      </c>
      <c r="Z1613" t="str">
        <f t="shared" si="425"/>
        <v>1st Q 1996</v>
      </c>
      <c r="AA1613" t="str">
        <f t="shared" si="440"/>
        <v>1st Q 1996</v>
      </c>
      <c r="AB1613" t="str" cm="1">
        <f t="array" ref="AB1613">_xlfn.IFS(Y1613&lt;DATE(1996,1,1),"",Y1613&lt;DATE(1996,4,1),"Q1",Y1613&lt;DATE(1996,7,1),"Q2",Y1613&gt;=DATE(1996,7,1),"")</f>
        <v>Q1</v>
      </c>
    </row>
    <row r="1614" spans="1:28" ht="14.4" x14ac:dyDescent="0.55000000000000004">
      <c r="A1614" t="str">
        <f>VLOOKUP(L1614,Customers!$A$2:$B$92,2,FALSE)</f>
        <v>White Clover Markets</v>
      </c>
      <c r="B1614" t="str">
        <f>VLOOKUP(L1614,Customers!$A$2:$C$92,3,TRUE)</f>
        <v>Karl Jablonski</v>
      </c>
      <c r="C1614" t="str">
        <f t="shared" si="426"/>
        <v>Karl</v>
      </c>
      <c r="D1614" s="8" t="str">
        <f t="shared" si="427"/>
        <v>Jablonski</v>
      </c>
      <c r="E1614" s="8" t="str">
        <f t="shared" si="428"/>
        <v>Jablonski, Karl</v>
      </c>
      <c r="F1614" s="8" t="str">
        <f t="shared" si="429"/>
        <v>Jablonski, Karl</v>
      </c>
      <c r="G1614" s="8" t="str">
        <f t="shared" si="430"/>
        <v>not an outlier</v>
      </c>
      <c r="H1614" s="8" t="str">
        <f t="shared" si="431"/>
        <v>Not</v>
      </c>
      <c r="I1614" s="8" t="str">
        <f t="shared" si="441"/>
        <v>no</v>
      </c>
      <c r="J1614" s="10" t="str">
        <f t="shared" si="432"/>
        <v>no</v>
      </c>
      <c r="K1614" s="10" t="str">
        <f t="shared" si="433"/>
        <v>no</v>
      </c>
      <c r="L1614" t="s">
        <v>654</v>
      </c>
      <c r="M1614">
        <v>10861</v>
      </c>
      <c r="N1614">
        <v>33</v>
      </c>
      <c r="O1614" t="s">
        <v>693</v>
      </c>
      <c r="P1614" t="str">
        <f t="shared" si="434"/>
        <v>WHITC_10861_Geitost</v>
      </c>
      <c r="Q1614" t="str">
        <f t="shared" si="435"/>
        <v>10861</v>
      </c>
      <c r="R1614" t="str">
        <f t="shared" si="436"/>
        <v>10861</v>
      </c>
      <c r="S1614" t="str">
        <f t="shared" si="437"/>
        <v>Geitost</v>
      </c>
      <c r="T1614">
        <v>2.5</v>
      </c>
      <c r="U1614">
        <v>35</v>
      </c>
      <c r="V1614">
        <v>0</v>
      </c>
      <c r="W1614">
        <f t="shared" si="438"/>
        <v>87.5</v>
      </c>
      <c r="X1614" t="str">
        <f t="shared" si="439"/>
        <v>yes</v>
      </c>
      <c r="Y1614" s="2">
        <v>35125</v>
      </c>
      <c r="Z1614" t="str">
        <f t="shared" si="425"/>
        <v>1st Q 1996</v>
      </c>
      <c r="AA1614" t="str">
        <f t="shared" si="440"/>
        <v>1st Q 1996</v>
      </c>
      <c r="AB1614" t="str" cm="1">
        <f t="array" ref="AB1614">_xlfn.IFS(Y1614&lt;DATE(1996,1,1),"",Y1614&lt;DATE(1996,4,1),"Q1",Y1614&lt;DATE(1996,7,1),"Q2",Y1614&gt;=DATE(1996,7,1),"")</f>
        <v>Q1</v>
      </c>
    </row>
    <row r="1615" spans="1:28" ht="14.4" x14ac:dyDescent="0.55000000000000004">
      <c r="A1615" t="str">
        <f>VLOOKUP(L1615,Customers!$A$2:$B$92,2,FALSE)</f>
        <v>White Clover Markets</v>
      </c>
      <c r="B1615" t="str">
        <f>VLOOKUP(L1615,Customers!$A$2:$C$92,3,TRUE)</f>
        <v>Karl Jablonski</v>
      </c>
      <c r="C1615" t="str">
        <f t="shared" si="426"/>
        <v>Karl</v>
      </c>
      <c r="D1615" s="8" t="str">
        <f t="shared" si="427"/>
        <v>Jablonski</v>
      </c>
      <c r="E1615" s="8" t="str">
        <f t="shared" si="428"/>
        <v>Jablonski, Karl</v>
      </c>
      <c r="F1615" s="8" t="str">
        <f t="shared" si="429"/>
        <v>Jablonski, Karl</v>
      </c>
      <c r="G1615" s="8" t="str">
        <f t="shared" si="430"/>
        <v>not an outlier</v>
      </c>
      <c r="H1615" s="8" t="str">
        <f t="shared" si="431"/>
        <v>Not</v>
      </c>
      <c r="I1615" s="8" t="str">
        <f t="shared" si="441"/>
        <v>no</v>
      </c>
      <c r="J1615" s="10" t="str">
        <f t="shared" si="432"/>
        <v>no</v>
      </c>
      <c r="K1615" s="10" t="str">
        <f t="shared" si="433"/>
        <v>no</v>
      </c>
      <c r="L1615" t="s">
        <v>654</v>
      </c>
      <c r="M1615">
        <v>10861</v>
      </c>
      <c r="N1615">
        <v>62</v>
      </c>
      <c r="O1615" t="s">
        <v>712</v>
      </c>
      <c r="P1615" t="str">
        <f t="shared" si="434"/>
        <v>WHITC_10861_Tarte au sucre</v>
      </c>
      <c r="Q1615" t="str">
        <f t="shared" si="435"/>
        <v>10861</v>
      </c>
      <c r="R1615" t="str">
        <f t="shared" si="436"/>
        <v>10861</v>
      </c>
      <c r="S1615" t="str">
        <f t="shared" si="437"/>
        <v>Tarte au sucre</v>
      </c>
      <c r="T1615">
        <v>49.3</v>
      </c>
      <c r="U1615">
        <v>3</v>
      </c>
      <c r="V1615">
        <v>0</v>
      </c>
      <c r="W1615">
        <f t="shared" si="438"/>
        <v>147.89999999999998</v>
      </c>
      <c r="X1615" t="str">
        <f t="shared" si="439"/>
        <v>yes</v>
      </c>
      <c r="Y1615" s="2">
        <v>35125</v>
      </c>
      <c r="Z1615" t="str">
        <f t="shared" si="425"/>
        <v>1st Q 1996</v>
      </c>
      <c r="AA1615" t="str">
        <f t="shared" si="440"/>
        <v>1st Q 1996</v>
      </c>
      <c r="AB1615" t="str" cm="1">
        <f t="array" ref="AB1615">_xlfn.IFS(Y1615&lt;DATE(1996,1,1),"",Y1615&lt;DATE(1996,4,1),"Q1",Y1615&lt;DATE(1996,7,1),"Q2",Y1615&gt;=DATE(1996,7,1),"")</f>
        <v>Q1</v>
      </c>
    </row>
    <row r="1616" spans="1:28" ht="14.4" x14ac:dyDescent="0.55000000000000004">
      <c r="A1616" t="str">
        <f>VLOOKUP(L1616,Customers!$A$2:$B$92,2,FALSE)</f>
        <v>Lehmanns Marktstand</v>
      </c>
      <c r="B1616" t="str">
        <f>VLOOKUP(L1616,Customers!$A$2:$C$92,3,TRUE)</f>
        <v>Renate Messner</v>
      </c>
      <c r="C1616" t="str">
        <f t="shared" si="426"/>
        <v>Renate</v>
      </c>
      <c r="D1616" s="8" t="str">
        <f t="shared" si="427"/>
        <v>Messner</v>
      </c>
      <c r="E1616" s="8" t="str">
        <f t="shared" si="428"/>
        <v>Messner, Renate</v>
      </c>
      <c r="F1616" s="8" t="str">
        <f t="shared" si="429"/>
        <v>Messner, Renate</v>
      </c>
      <c r="G1616" s="8" t="str">
        <f t="shared" si="430"/>
        <v>not an outlier</v>
      </c>
      <c r="H1616" s="8" t="str">
        <f t="shared" si="431"/>
        <v>Not</v>
      </c>
      <c r="I1616" s="8" t="str">
        <f t="shared" si="441"/>
        <v>no</v>
      </c>
      <c r="J1616" s="10" t="str">
        <f t="shared" si="432"/>
        <v>no</v>
      </c>
      <c r="K1616" s="10" t="str">
        <f t="shared" si="433"/>
        <v>no</v>
      </c>
      <c r="L1616" t="s">
        <v>341</v>
      </c>
      <c r="M1616">
        <v>10862</v>
      </c>
      <c r="N1616">
        <v>11</v>
      </c>
      <c r="O1616" t="s">
        <v>683</v>
      </c>
      <c r="P1616" t="str">
        <f t="shared" si="434"/>
        <v>LEHMS_10862_Queso Cabrales</v>
      </c>
      <c r="Q1616" t="str">
        <f t="shared" si="435"/>
        <v>10862</v>
      </c>
      <c r="R1616" t="str">
        <f t="shared" si="436"/>
        <v>10862</v>
      </c>
      <c r="S1616" t="str">
        <f t="shared" si="437"/>
        <v>Queso Cabrales</v>
      </c>
      <c r="T1616">
        <v>21</v>
      </c>
      <c r="U1616">
        <v>25</v>
      </c>
      <c r="V1616">
        <v>0</v>
      </c>
      <c r="W1616">
        <f t="shared" si="438"/>
        <v>525</v>
      </c>
      <c r="X1616" t="str">
        <f t="shared" si="439"/>
        <v>yes</v>
      </c>
      <c r="Y1616" s="2">
        <v>35125</v>
      </c>
      <c r="Z1616" t="str">
        <f t="shared" si="425"/>
        <v>1st Q 1996</v>
      </c>
      <c r="AA1616" t="str">
        <f t="shared" si="440"/>
        <v>1st Q 1996</v>
      </c>
      <c r="AB1616" t="str" cm="1">
        <f t="array" ref="AB1616">_xlfn.IFS(Y1616&lt;DATE(1996,1,1),"",Y1616&lt;DATE(1996,4,1),"Q1",Y1616&lt;DATE(1996,7,1),"Q2",Y1616&gt;=DATE(1996,7,1),"")</f>
        <v>Q1</v>
      </c>
    </row>
    <row r="1617" spans="1:28" ht="14.4" x14ac:dyDescent="0.55000000000000004">
      <c r="A1617" t="str">
        <f>VLOOKUP(L1617,Customers!$A$2:$B$92,2,FALSE)</f>
        <v>Lehmanns Marktstand</v>
      </c>
      <c r="B1617" t="str">
        <f>VLOOKUP(L1617,Customers!$A$2:$C$92,3,TRUE)</f>
        <v>Renate Messner</v>
      </c>
      <c r="C1617" t="str">
        <f t="shared" si="426"/>
        <v>Renate</v>
      </c>
      <c r="D1617" s="8" t="str">
        <f t="shared" si="427"/>
        <v>Messner</v>
      </c>
      <c r="E1617" s="8" t="str">
        <f t="shared" si="428"/>
        <v>Messner, Renate</v>
      </c>
      <c r="F1617" s="8" t="str">
        <f t="shared" si="429"/>
        <v>Messner, Renate</v>
      </c>
      <c r="G1617" s="8" t="str">
        <f t="shared" si="430"/>
        <v>not an outlier</v>
      </c>
      <c r="H1617" s="8" t="str">
        <f t="shared" si="431"/>
        <v>Not</v>
      </c>
      <c r="I1617" s="8" t="str">
        <f t="shared" si="441"/>
        <v>no</v>
      </c>
      <c r="J1617" s="10" t="str">
        <f t="shared" si="432"/>
        <v>no</v>
      </c>
      <c r="K1617" s="10" t="str">
        <f t="shared" si="433"/>
        <v>no</v>
      </c>
      <c r="L1617" t="s">
        <v>341</v>
      </c>
      <c r="M1617">
        <v>10862</v>
      </c>
      <c r="N1617">
        <v>52</v>
      </c>
      <c r="O1617" t="s">
        <v>748</v>
      </c>
      <c r="P1617" t="str">
        <f t="shared" si="434"/>
        <v>LEHMS_10862_Filo Mix</v>
      </c>
      <c r="Q1617" t="str">
        <f t="shared" si="435"/>
        <v>10862</v>
      </c>
      <c r="R1617" t="str">
        <f t="shared" si="436"/>
        <v>10862</v>
      </c>
      <c r="S1617" t="str">
        <f t="shared" si="437"/>
        <v>Filo Mix</v>
      </c>
      <c r="T1617">
        <v>7</v>
      </c>
      <c r="U1617">
        <v>8</v>
      </c>
      <c r="V1617">
        <v>0</v>
      </c>
      <c r="W1617">
        <f t="shared" si="438"/>
        <v>56</v>
      </c>
      <c r="X1617" t="str">
        <f t="shared" si="439"/>
        <v>yes</v>
      </c>
      <c r="Y1617" s="2">
        <v>35125</v>
      </c>
      <c r="Z1617" t="str">
        <f t="shared" si="425"/>
        <v>1st Q 1996</v>
      </c>
      <c r="AA1617" t="str">
        <f t="shared" si="440"/>
        <v>1st Q 1996</v>
      </c>
      <c r="AB1617" t="str" cm="1">
        <f t="array" ref="AB1617">_xlfn.IFS(Y1617&lt;DATE(1996,1,1),"",Y1617&lt;DATE(1996,4,1),"Q1",Y1617&lt;DATE(1996,7,1),"Q2",Y1617&gt;=DATE(1996,7,1),"")</f>
        <v>Q1</v>
      </c>
    </row>
    <row r="1618" spans="1:28" ht="14.4" x14ac:dyDescent="0.55000000000000004">
      <c r="A1618" t="str">
        <f>VLOOKUP(L1618,Customers!$A$2:$B$92,2,FALSE)</f>
        <v>HILARIÓN-Abastos</v>
      </c>
      <c r="B1618" t="str">
        <f>VLOOKUP(L1618,Customers!$A$2:$C$92,3,TRUE)</f>
        <v>Carlos Hernández</v>
      </c>
      <c r="C1618" t="str">
        <f t="shared" si="426"/>
        <v>Carlos</v>
      </c>
      <c r="D1618" s="8" t="str">
        <f t="shared" si="427"/>
        <v>Hernández</v>
      </c>
      <c r="E1618" s="8" t="str">
        <f t="shared" si="428"/>
        <v>Hernández, Carlos</v>
      </c>
      <c r="F1618" s="8" t="str">
        <f t="shared" si="429"/>
        <v>Hernández, Carlos</v>
      </c>
      <c r="G1618" s="8" t="str">
        <f t="shared" si="430"/>
        <v>not an outlier</v>
      </c>
      <c r="H1618" s="8" t="str">
        <f t="shared" si="431"/>
        <v>Not</v>
      </c>
      <c r="I1618" s="8" t="str">
        <f t="shared" si="441"/>
        <v>no</v>
      </c>
      <c r="J1618" s="10" t="str">
        <f t="shared" si="432"/>
        <v>no</v>
      </c>
      <c r="K1618" s="10" t="str">
        <f t="shared" si="433"/>
        <v>no</v>
      </c>
      <c r="L1618" t="s">
        <v>273</v>
      </c>
      <c r="M1618">
        <v>10863</v>
      </c>
      <c r="N1618">
        <v>1</v>
      </c>
      <c r="O1618" t="s">
        <v>735</v>
      </c>
      <c r="P1618" t="str">
        <f t="shared" si="434"/>
        <v>HILAA_10863_Chai</v>
      </c>
      <c r="Q1618" t="str">
        <f t="shared" si="435"/>
        <v>10863</v>
      </c>
      <c r="R1618" t="str">
        <f t="shared" si="436"/>
        <v>10863</v>
      </c>
      <c r="S1618" t="str">
        <f t="shared" si="437"/>
        <v>Chai</v>
      </c>
      <c r="T1618">
        <v>18</v>
      </c>
      <c r="U1618">
        <v>20</v>
      </c>
      <c r="V1618">
        <v>0.15</v>
      </c>
      <c r="W1618">
        <f t="shared" si="438"/>
        <v>306</v>
      </c>
      <c r="X1618" t="str">
        <f t="shared" si="439"/>
        <v>yes</v>
      </c>
      <c r="Y1618" s="2">
        <v>35128</v>
      </c>
      <c r="Z1618" t="str">
        <f t="shared" si="425"/>
        <v>1st Q 1996</v>
      </c>
      <c r="AA1618" t="str">
        <f t="shared" si="440"/>
        <v>1st Q 1996</v>
      </c>
      <c r="AB1618" t="str" cm="1">
        <f t="array" ref="AB1618">_xlfn.IFS(Y1618&lt;DATE(1996,1,1),"",Y1618&lt;DATE(1996,4,1),"Q1",Y1618&lt;DATE(1996,7,1),"Q2",Y1618&gt;=DATE(1996,7,1),"")</f>
        <v>Q1</v>
      </c>
    </row>
    <row r="1619" spans="1:28" ht="14.4" x14ac:dyDescent="0.55000000000000004">
      <c r="A1619" t="str">
        <f>VLOOKUP(L1619,Customers!$A$2:$B$92,2,FALSE)</f>
        <v>HILARIÓN-Abastos</v>
      </c>
      <c r="B1619" t="str">
        <f>VLOOKUP(L1619,Customers!$A$2:$C$92,3,TRUE)</f>
        <v>Carlos Hernández</v>
      </c>
      <c r="C1619" t="str">
        <f t="shared" si="426"/>
        <v>Carlos</v>
      </c>
      <c r="D1619" s="8" t="str">
        <f t="shared" si="427"/>
        <v>Hernández</v>
      </c>
      <c r="E1619" s="8" t="str">
        <f t="shared" si="428"/>
        <v>Hernández, Carlos</v>
      </c>
      <c r="F1619" s="8" t="str">
        <f t="shared" si="429"/>
        <v>Hernández, Carlos</v>
      </c>
      <c r="G1619" s="8" t="str">
        <f t="shared" si="430"/>
        <v>not an outlier</v>
      </c>
      <c r="H1619" s="8" t="str">
        <f t="shared" si="431"/>
        <v>Not</v>
      </c>
      <c r="I1619" s="8" t="str">
        <f t="shared" si="441"/>
        <v>no</v>
      </c>
      <c r="J1619" s="10" t="str">
        <f t="shared" si="432"/>
        <v>no</v>
      </c>
      <c r="K1619" s="10" t="str">
        <f t="shared" si="433"/>
        <v>no</v>
      </c>
      <c r="L1619" t="s">
        <v>273</v>
      </c>
      <c r="M1619">
        <v>10863</v>
      </c>
      <c r="N1619">
        <v>58</v>
      </c>
      <c r="O1619" t="s">
        <v>747</v>
      </c>
      <c r="P1619" t="str">
        <f t="shared" si="434"/>
        <v>HILAA_10863_Escargots de Bourgogne</v>
      </c>
      <c r="Q1619" t="str">
        <f t="shared" si="435"/>
        <v>10863</v>
      </c>
      <c r="R1619" t="str">
        <f t="shared" si="436"/>
        <v>10863</v>
      </c>
      <c r="S1619" t="str">
        <f t="shared" si="437"/>
        <v>Escargots de Bourgogne</v>
      </c>
      <c r="T1619">
        <v>13.25</v>
      </c>
      <c r="U1619">
        <v>12</v>
      </c>
      <c r="V1619">
        <v>0.15</v>
      </c>
      <c r="W1619">
        <f t="shared" si="438"/>
        <v>135.15</v>
      </c>
      <c r="X1619" t="str">
        <f t="shared" si="439"/>
        <v>yes</v>
      </c>
      <c r="Y1619" s="2">
        <v>35128</v>
      </c>
      <c r="Z1619" t="str">
        <f t="shared" si="425"/>
        <v>1st Q 1996</v>
      </c>
      <c r="AA1619" t="str">
        <f t="shared" si="440"/>
        <v>1st Q 1996</v>
      </c>
      <c r="AB1619" t="str" cm="1">
        <f t="array" ref="AB1619">_xlfn.IFS(Y1619&lt;DATE(1996,1,1),"",Y1619&lt;DATE(1996,4,1),"Q1",Y1619&lt;DATE(1996,7,1),"Q2",Y1619&gt;=DATE(1996,7,1),"")</f>
        <v>Q1</v>
      </c>
    </row>
    <row r="1620" spans="1:28" ht="14.4" x14ac:dyDescent="0.55000000000000004">
      <c r="A1620" t="str">
        <f>VLOOKUP(L1620,Customers!$A$2:$B$92,2,FALSE)</f>
        <v>Around the Horn</v>
      </c>
      <c r="B1620" t="str">
        <f>VLOOKUP(L1620,Customers!$A$2:$C$92,3,TRUE)</f>
        <v>Thomas Hardy</v>
      </c>
      <c r="C1620" t="str">
        <f t="shared" si="426"/>
        <v>Thomas</v>
      </c>
      <c r="D1620" s="8" t="str">
        <f t="shared" si="427"/>
        <v>Hardy</v>
      </c>
      <c r="E1620" s="8" t="str">
        <f t="shared" si="428"/>
        <v>Hardy, Thomas</v>
      </c>
      <c r="F1620" s="8" t="str">
        <f t="shared" si="429"/>
        <v>Hardy, Thomas</v>
      </c>
      <c r="G1620" s="8" t="str">
        <f t="shared" si="430"/>
        <v>not an outlier</v>
      </c>
      <c r="H1620" s="8" t="str">
        <f t="shared" si="431"/>
        <v>Not</v>
      </c>
      <c r="I1620" s="8" t="str">
        <f t="shared" si="441"/>
        <v>no</v>
      </c>
      <c r="J1620" s="10" t="str">
        <f t="shared" si="432"/>
        <v>no</v>
      </c>
      <c r="K1620" s="10" t="str">
        <f t="shared" si="433"/>
        <v>no</v>
      </c>
      <c r="L1620" t="s">
        <v>34</v>
      </c>
      <c r="M1620">
        <v>10864</v>
      </c>
      <c r="N1620">
        <v>35</v>
      </c>
      <c r="O1620" t="s">
        <v>714</v>
      </c>
      <c r="P1620" t="str">
        <f t="shared" si="434"/>
        <v>AROUT_10864_Steeleye Stout</v>
      </c>
      <c r="Q1620" t="str">
        <f t="shared" si="435"/>
        <v>10864</v>
      </c>
      <c r="R1620" t="str">
        <f t="shared" si="436"/>
        <v>10864</v>
      </c>
      <c r="S1620" t="str">
        <f t="shared" si="437"/>
        <v>Steeleye Stout</v>
      </c>
      <c r="T1620">
        <v>18</v>
      </c>
      <c r="U1620">
        <v>4</v>
      </c>
      <c r="V1620">
        <v>0</v>
      </c>
      <c r="W1620">
        <f t="shared" si="438"/>
        <v>72</v>
      </c>
      <c r="X1620" t="str">
        <f t="shared" si="439"/>
        <v>yes</v>
      </c>
      <c r="Y1620" s="2">
        <v>35128</v>
      </c>
      <c r="Z1620" t="str">
        <f t="shared" si="425"/>
        <v>1st Q 1996</v>
      </c>
      <c r="AA1620" t="str">
        <f t="shared" si="440"/>
        <v>1st Q 1996</v>
      </c>
      <c r="AB1620" t="str" cm="1">
        <f t="array" ref="AB1620">_xlfn.IFS(Y1620&lt;DATE(1996,1,1),"",Y1620&lt;DATE(1996,4,1),"Q1",Y1620&lt;DATE(1996,7,1),"Q2",Y1620&gt;=DATE(1996,7,1),"")</f>
        <v>Q1</v>
      </c>
    </row>
    <row r="1621" spans="1:28" ht="14.4" x14ac:dyDescent="0.55000000000000004">
      <c r="A1621" t="str">
        <f>VLOOKUP(L1621,Customers!$A$2:$B$92,2,FALSE)</f>
        <v>Around the Horn</v>
      </c>
      <c r="B1621" t="str">
        <f>VLOOKUP(L1621,Customers!$A$2:$C$92,3,TRUE)</f>
        <v>Thomas Hardy</v>
      </c>
      <c r="C1621" t="str">
        <f t="shared" si="426"/>
        <v>Thomas</v>
      </c>
      <c r="D1621" s="8" t="str">
        <f t="shared" si="427"/>
        <v>Hardy</v>
      </c>
      <c r="E1621" s="8" t="str">
        <f t="shared" si="428"/>
        <v>Hardy, Thomas</v>
      </c>
      <c r="F1621" s="8" t="str">
        <f t="shared" si="429"/>
        <v>Hardy, Thomas</v>
      </c>
      <c r="G1621" s="8" t="str">
        <f t="shared" si="430"/>
        <v>not an outlier</v>
      </c>
      <c r="H1621" s="8" t="str">
        <f t="shared" si="431"/>
        <v>Not</v>
      </c>
      <c r="I1621" s="8" t="str">
        <f t="shared" si="441"/>
        <v>no</v>
      </c>
      <c r="J1621" s="10" t="str">
        <f t="shared" si="432"/>
        <v>no</v>
      </c>
      <c r="K1621" s="10" t="str">
        <f t="shared" si="433"/>
        <v>no</v>
      </c>
      <c r="L1621" t="s">
        <v>34</v>
      </c>
      <c r="M1621">
        <v>10864</v>
      </c>
      <c r="N1621">
        <v>67</v>
      </c>
      <c r="O1621" t="s">
        <v>734</v>
      </c>
      <c r="P1621" t="str">
        <f t="shared" si="434"/>
        <v>AROUT_10864_Laughing Lumberjack Lager</v>
      </c>
      <c r="Q1621" t="str">
        <f t="shared" si="435"/>
        <v>10864</v>
      </c>
      <c r="R1621" t="str">
        <f t="shared" si="436"/>
        <v>10864</v>
      </c>
      <c r="S1621" t="str">
        <f t="shared" si="437"/>
        <v>Laughing Lumberjack Lager</v>
      </c>
      <c r="T1621">
        <v>14</v>
      </c>
      <c r="U1621">
        <v>15</v>
      </c>
      <c r="V1621">
        <v>0</v>
      </c>
      <c r="W1621">
        <f t="shared" si="438"/>
        <v>210</v>
      </c>
      <c r="X1621" t="str">
        <f t="shared" si="439"/>
        <v>yes</v>
      </c>
      <c r="Y1621" s="2">
        <v>35128</v>
      </c>
      <c r="Z1621" t="str">
        <f t="shared" si="425"/>
        <v>1st Q 1996</v>
      </c>
      <c r="AA1621" t="str">
        <f t="shared" si="440"/>
        <v>1st Q 1996</v>
      </c>
      <c r="AB1621" t="str" cm="1">
        <f t="array" ref="AB1621">_xlfn.IFS(Y1621&lt;DATE(1996,1,1),"",Y1621&lt;DATE(1996,4,1),"Q1",Y1621&lt;DATE(1996,7,1),"Q2",Y1621&gt;=DATE(1996,7,1),"")</f>
        <v>Q1</v>
      </c>
    </row>
    <row r="1622" spans="1:28" ht="14.4" x14ac:dyDescent="0.55000000000000004">
      <c r="A1622" t="str">
        <f>VLOOKUP(L1622,Customers!$A$2:$B$92,2,FALSE)</f>
        <v>QUICK-Stop</v>
      </c>
      <c r="B1622" t="str">
        <f>VLOOKUP(L1622,Customers!$A$2:$C$92,3,TRUE)</f>
        <v>Horst Kloss</v>
      </c>
      <c r="C1622" t="str">
        <f t="shared" si="426"/>
        <v>Horst</v>
      </c>
      <c r="D1622" s="8" t="str">
        <f t="shared" si="427"/>
        <v>Kloss</v>
      </c>
      <c r="E1622" s="8" t="str">
        <f t="shared" si="428"/>
        <v>Kloss, Horst</v>
      </c>
      <c r="F1622" s="8" t="str">
        <f t="shared" si="429"/>
        <v>Kloss, Horst</v>
      </c>
      <c r="G1622" s="8" t="str">
        <f t="shared" si="430"/>
        <v>outlier</v>
      </c>
      <c r="H1622" s="8" t="str">
        <f t="shared" si="431"/>
        <v>outlier</v>
      </c>
      <c r="I1622" s="8" t="str">
        <f t="shared" si="441"/>
        <v>yes</v>
      </c>
      <c r="J1622" s="10" t="str">
        <f t="shared" si="432"/>
        <v>yes</v>
      </c>
      <c r="K1622" s="10" t="str">
        <f t="shared" si="433"/>
        <v>yes</v>
      </c>
      <c r="L1622" t="s">
        <v>475</v>
      </c>
      <c r="M1622">
        <v>10865</v>
      </c>
      <c r="N1622">
        <v>38</v>
      </c>
      <c r="O1622" t="s">
        <v>750</v>
      </c>
      <c r="P1622" t="str">
        <f t="shared" si="434"/>
        <v>QUICK_10865_Côte de Blaye</v>
      </c>
      <c r="Q1622" t="str">
        <f t="shared" si="435"/>
        <v>10865</v>
      </c>
      <c r="R1622" t="str">
        <f t="shared" si="436"/>
        <v>10865</v>
      </c>
      <c r="S1622" t="str">
        <f t="shared" si="437"/>
        <v>Côte de Blaye</v>
      </c>
      <c r="T1622">
        <v>263.5</v>
      </c>
      <c r="U1622">
        <v>60</v>
      </c>
      <c r="V1622">
        <v>0.05</v>
      </c>
      <c r="W1622">
        <f t="shared" si="438"/>
        <v>15019.5</v>
      </c>
      <c r="X1622" t="str">
        <f t="shared" si="439"/>
        <v>yes</v>
      </c>
      <c r="Y1622" s="2">
        <v>35128</v>
      </c>
      <c r="Z1622" t="str">
        <f t="shared" si="425"/>
        <v>1st Q 1996</v>
      </c>
      <c r="AA1622" t="str">
        <f t="shared" si="440"/>
        <v>1st Q 1996</v>
      </c>
      <c r="AB1622" t="str" cm="1">
        <f t="array" ref="AB1622">_xlfn.IFS(Y1622&lt;DATE(1996,1,1),"",Y1622&lt;DATE(1996,4,1),"Q1",Y1622&lt;DATE(1996,7,1),"Q2",Y1622&gt;=DATE(1996,7,1),"")</f>
        <v>Q1</v>
      </c>
    </row>
    <row r="1623" spans="1:28" ht="14.4" x14ac:dyDescent="0.55000000000000004">
      <c r="A1623" t="str">
        <f>VLOOKUP(L1623,Customers!$A$2:$B$92,2,FALSE)</f>
        <v>QUICK-Stop</v>
      </c>
      <c r="B1623" t="str">
        <f>VLOOKUP(L1623,Customers!$A$2:$C$92,3,TRUE)</f>
        <v>Horst Kloss</v>
      </c>
      <c r="C1623" t="str">
        <f t="shared" si="426"/>
        <v>Horst</v>
      </c>
      <c r="D1623" s="8" t="str">
        <f t="shared" si="427"/>
        <v>Kloss</v>
      </c>
      <c r="E1623" s="8" t="str">
        <f t="shared" si="428"/>
        <v>Kloss, Horst</v>
      </c>
      <c r="F1623" s="8" t="str">
        <f t="shared" si="429"/>
        <v>Kloss, Horst</v>
      </c>
      <c r="G1623" s="8" t="str">
        <f t="shared" si="430"/>
        <v>not an outlier</v>
      </c>
      <c r="H1623" s="8" t="str">
        <f t="shared" si="431"/>
        <v>Not</v>
      </c>
      <c r="I1623" s="8" t="str">
        <f t="shared" si="441"/>
        <v>no</v>
      </c>
      <c r="J1623" s="10" t="str">
        <f t="shared" si="432"/>
        <v>no</v>
      </c>
      <c r="K1623" s="10" t="str">
        <f t="shared" si="433"/>
        <v>no</v>
      </c>
      <c r="L1623" t="s">
        <v>475</v>
      </c>
      <c r="M1623">
        <v>10865</v>
      </c>
      <c r="N1623">
        <v>39</v>
      </c>
      <c r="O1623" t="s">
        <v>696</v>
      </c>
      <c r="P1623" t="str">
        <f t="shared" si="434"/>
        <v>QUICK_10865_Chartreuse verte</v>
      </c>
      <c r="Q1623" t="str">
        <f t="shared" si="435"/>
        <v>10865</v>
      </c>
      <c r="R1623" t="str">
        <f t="shared" si="436"/>
        <v>10865</v>
      </c>
      <c r="S1623" t="str">
        <f t="shared" si="437"/>
        <v>Chartreuse verte</v>
      </c>
      <c r="T1623">
        <v>18</v>
      </c>
      <c r="U1623">
        <v>80</v>
      </c>
      <c r="V1623">
        <v>0.05</v>
      </c>
      <c r="W1623">
        <f t="shared" si="438"/>
        <v>1368</v>
      </c>
      <c r="X1623" t="str">
        <f t="shared" si="439"/>
        <v>yes</v>
      </c>
      <c r="Y1623" s="2">
        <v>35128</v>
      </c>
      <c r="Z1623" t="str">
        <f t="shared" si="425"/>
        <v>1st Q 1996</v>
      </c>
      <c r="AA1623" t="str">
        <f t="shared" si="440"/>
        <v>1st Q 1996</v>
      </c>
      <c r="AB1623" t="str" cm="1">
        <f t="array" ref="AB1623">_xlfn.IFS(Y1623&lt;DATE(1996,1,1),"",Y1623&lt;DATE(1996,4,1),"Q1",Y1623&lt;DATE(1996,7,1),"Q2",Y1623&gt;=DATE(1996,7,1),"")</f>
        <v>Q1</v>
      </c>
    </row>
    <row r="1624" spans="1:28" ht="14.4" x14ac:dyDescent="0.55000000000000004">
      <c r="A1624" t="str">
        <f>VLOOKUP(L1624,Customers!$A$2:$B$92,2,FALSE)</f>
        <v>Berglunds snabbköp</v>
      </c>
      <c r="B1624" t="str">
        <f>VLOOKUP(L1624,Customers!$A$2:$C$92,3,TRUE)</f>
        <v>Christina Berglund</v>
      </c>
      <c r="C1624" t="str">
        <f t="shared" si="426"/>
        <v>Christina</v>
      </c>
      <c r="D1624" s="8" t="str">
        <f t="shared" si="427"/>
        <v>Berglund</v>
      </c>
      <c r="E1624" s="8" t="str">
        <f t="shared" si="428"/>
        <v>Berglund, Christina</v>
      </c>
      <c r="F1624" s="8" t="str">
        <f t="shared" si="429"/>
        <v>Berglund, Christina</v>
      </c>
      <c r="G1624" s="8" t="str">
        <f t="shared" si="430"/>
        <v>not an outlier</v>
      </c>
      <c r="H1624" s="8" t="str">
        <f t="shared" si="431"/>
        <v>Not</v>
      </c>
      <c r="I1624" s="8" t="str">
        <f t="shared" si="441"/>
        <v>no</v>
      </c>
      <c r="J1624" s="10" t="str">
        <f t="shared" si="432"/>
        <v>no</v>
      </c>
      <c r="K1624" s="10" t="str">
        <f t="shared" si="433"/>
        <v>no</v>
      </c>
      <c r="L1624" t="s">
        <v>43</v>
      </c>
      <c r="M1624">
        <v>10866</v>
      </c>
      <c r="N1624">
        <v>2</v>
      </c>
      <c r="O1624" t="s">
        <v>701</v>
      </c>
      <c r="P1624" t="str">
        <f t="shared" si="434"/>
        <v>BERGS_10866_Chang</v>
      </c>
      <c r="Q1624" t="str">
        <f t="shared" si="435"/>
        <v>10866</v>
      </c>
      <c r="R1624" t="str">
        <f t="shared" si="436"/>
        <v>10866</v>
      </c>
      <c r="S1624" t="str">
        <f t="shared" si="437"/>
        <v>Chang</v>
      </c>
      <c r="T1624">
        <v>19</v>
      </c>
      <c r="U1624">
        <v>21</v>
      </c>
      <c r="V1624">
        <v>0.25</v>
      </c>
      <c r="W1624">
        <f t="shared" si="438"/>
        <v>299.25</v>
      </c>
      <c r="X1624" t="str">
        <f t="shared" si="439"/>
        <v>yes</v>
      </c>
      <c r="Y1624" s="2">
        <v>35129</v>
      </c>
      <c r="Z1624" t="str">
        <f t="shared" si="425"/>
        <v>1st Q 1996</v>
      </c>
      <c r="AA1624" t="str">
        <f t="shared" si="440"/>
        <v>1st Q 1996</v>
      </c>
      <c r="AB1624" t="str" cm="1">
        <f t="array" ref="AB1624">_xlfn.IFS(Y1624&lt;DATE(1996,1,1),"",Y1624&lt;DATE(1996,4,1),"Q1",Y1624&lt;DATE(1996,7,1),"Q2",Y1624&gt;=DATE(1996,7,1),"")</f>
        <v>Q1</v>
      </c>
    </row>
    <row r="1625" spans="1:28" ht="14.4" x14ac:dyDescent="0.55000000000000004">
      <c r="A1625" t="str">
        <f>VLOOKUP(L1625,Customers!$A$2:$B$92,2,FALSE)</f>
        <v>Berglunds snabbköp</v>
      </c>
      <c r="B1625" t="str">
        <f>VLOOKUP(L1625,Customers!$A$2:$C$92,3,TRUE)</f>
        <v>Christina Berglund</v>
      </c>
      <c r="C1625" t="str">
        <f t="shared" si="426"/>
        <v>Christina</v>
      </c>
      <c r="D1625" s="8" t="str">
        <f t="shared" si="427"/>
        <v>Berglund</v>
      </c>
      <c r="E1625" s="8" t="str">
        <f t="shared" si="428"/>
        <v>Berglund, Christina</v>
      </c>
      <c r="F1625" s="8" t="str">
        <f t="shared" si="429"/>
        <v>Berglund, Christina</v>
      </c>
      <c r="G1625" s="8" t="str">
        <f t="shared" si="430"/>
        <v>not an outlier</v>
      </c>
      <c r="H1625" s="8" t="str">
        <f t="shared" si="431"/>
        <v>Not</v>
      </c>
      <c r="I1625" s="8" t="str">
        <f t="shared" si="441"/>
        <v>no</v>
      </c>
      <c r="J1625" s="10" t="str">
        <f t="shared" si="432"/>
        <v>no</v>
      </c>
      <c r="K1625" s="10" t="str">
        <f t="shared" si="433"/>
        <v>no</v>
      </c>
      <c r="L1625" t="s">
        <v>43</v>
      </c>
      <c r="M1625">
        <v>10866</v>
      </c>
      <c r="N1625">
        <v>24</v>
      </c>
      <c r="O1625" t="s">
        <v>698</v>
      </c>
      <c r="P1625" t="str">
        <f t="shared" si="434"/>
        <v>BERGS_10866_Guaraná Fantástica</v>
      </c>
      <c r="Q1625" t="str">
        <f t="shared" si="435"/>
        <v>10866</v>
      </c>
      <c r="R1625" t="str">
        <f t="shared" si="436"/>
        <v>10866</v>
      </c>
      <c r="S1625" t="str">
        <f t="shared" si="437"/>
        <v>Guaraná Fantástica</v>
      </c>
      <c r="T1625">
        <v>4.5</v>
      </c>
      <c r="U1625">
        <v>6</v>
      </c>
      <c r="V1625">
        <v>0.25</v>
      </c>
      <c r="W1625">
        <f t="shared" si="438"/>
        <v>20.25</v>
      </c>
      <c r="X1625" t="str">
        <f t="shared" si="439"/>
        <v>yes</v>
      </c>
      <c r="Y1625" s="2">
        <v>35129</v>
      </c>
      <c r="Z1625" t="str">
        <f t="shared" si="425"/>
        <v>1st Q 1996</v>
      </c>
      <c r="AA1625" t="str">
        <f t="shared" si="440"/>
        <v>1st Q 1996</v>
      </c>
      <c r="AB1625" t="str" cm="1">
        <f t="array" ref="AB1625">_xlfn.IFS(Y1625&lt;DATE(1996,1,1),"",Y1625&lt;DATE(1996,4,1),"Q1",Y1625&lt;DATE(1996,7,1),"Q2",Y1625&gt;=DATE(1996,7,1),"")</f>
        <v>Q1</v>
      </c>
    </row>
    <row r="1626" spans="1:28" ht="14.4" x14ac:dyDescent="0.55000000000000004">
      <c r="A1626" t="str">
        <f>VLOOKUP(L1626,Customers!$A$2:$B$92,2,FALSE)</f>
        <v>Berglunds snabbköp</v>
      </c>
      <c r="B1626" t="str">
        <f>VLOOKUP(L1626,Customers!$A$2:$C$92,3,TRUE)</f>
        <v>Christina Berglund</v>
      </c>
      <c r="C1626" t="str">
        <f t="shared" si="426"/>
        <v>Christina</v>
      </c>
      <c r="D1626" s="8" t="str">
        <f t="shared" si="427"/>
        <v>Berglund</v>
      </c>
      <c r="E1626" s="8" t="str">
        <f t="shared" si="428"/>
        <v>Berglund, Christina</v>
      </c>
      <c r="F1626" s="8" t="str">
        <f t="shared" si="429"/>
        <v>Berglund, Christina</v>
      </c>
      <c r="G1626" s="8" t="str">
        <f t="shared" si="430"/>
        <v>not an outlier</v>
      </c>
      <c r="H1626" s="8" t="str">
        <f t="shared" si="431"/>
        <v>Not</v>
      </c>
      <c r="I1626" s="8" t="str">
        <f t="shared" si="441"/>
        <v>no</v>
      </c>
      <c r="J1626" s="10" t="str">
        <f t="shared" si="432"/>
        <v>no</v>
      </c>
      <c r="K1626" s="10" t="str">
        <f t="shared" si="433"/>
        <v>no</v>
      </c>
      <c r="L1626" t="s">
        <v>43</v>
      </c>
      <c r="M1626">
        <v>10866</v>
      </c>
      <c r="N1626">
        <v>30</v>
      </c>
      <c r="O1626" t="s">
        <v>717</v>
      </c>
      <c r="P1626" t="str">
        <f t="shared" si="434"/>
        <v>BERGS_10866_Nord-Ost Matjeshering</v>
      </c>
      <c r="Q1626" t="str">
        <f t="shared" si="435"/>
        <v>10866</v>
      </c>
      <c r="R1626" t="str">
        <f t="shared" si="436"/>
        <v>10866</v>
      </c>
      <c r="S1626" t="str">
        <f t="shared" si="437"/>
        <v>Nord-Ost Matjeshering</v>
      </c>
      <c r="T1626">
        <v>25.89</v>
      </c>
      <c r="U1626">
        <v>40</v>
      </c>
      <c r="V1626">
        <v>0.25</v>
      </c>
      <c r="W1626">
        <f t="shared" si="438"/>
        <v>776.69999999999993</v>
      </c>
      <c r="X1626" t="str">
        <f t="shared" si="439"/>
        <v>yes</v>
      </c>
      <c r="Y1626" s="2">
        <v>35129</v>
      </c>
      <c r="Z1626" t="str">
        <f t="shared" si="425"/>
        <v>1st Q 1996</v>
      </c>
      <c r="AA1626" t="str">
        <f t="shared" si="440"/>
        <v>1st Q 1996</v>
      </c>
      <c r="AB1626" t="str" cm="1">
        <f t="array" ref="AB1626">_xlfn.IFS(Y1626&lt;DATE(1996,1,1),"",Y1626&lt;DATE(1996,4,1),"Q1",Y1626&lt;DATE(1996,7,1),"Q2",Y1626&gt;=DATE(1996,7,1),"")</f>
        <v>Q1</v>
      </c>
    </row>
    <row r="1627" spans="1:28" ht="14.4" x14ac:dyDescent="0.55000000000000004">
      <c r="A1627" t="str">
        <f>VLOOKUP(L1627,Customers!$A$2:$B$92,2,FALSE)</f>
        <v>Lonesome Pine Restaurant</v>
      </c>
      <c r="B1627" t="str">
        <f>VLOOKUP(L1627,Customers!$A$2:$C$92,3,TRUE)</f>
        <v>Fran Wilson</v>
      </c>
      <c r="C1627" t="str">
        <f t="shared" si="426"/>
        <v>Fran</v>
      </c>
      <c r="D1627" s="8" t="str">
        <f t="shared" si="427"/>
        <v>Wilson</v>
      </c>
      <c r="E1627" s="8" t="str">
        <f t="shared" si="428"/>
        <v>Wilson, Fran</v>
      </c>
      <c r="F1627" s="8" t="str">
        <f t="shared" si="429"/>
        <v>Wilson, Fran</v>
      </c>
      <c r="G1627" s="8" t="str">
        <f t="shared" si="430"/>
        <v>not an outlier</v>
      </c>
      <c r="H1627" s="8" t="str">
        <f t="shared" si="431"/>
        <v>Not</v>
      </c>
      <c r="I1627" s="8" t="str">
        <f t="shared" si="441"/>
        <v>no</v>
      </c>
      <c r="J1627" s="10" t="str">
        <f t="shared" si="432"/>
        <v>no</v>
      </c>
      <c r="K1627" s="10" t="str">
        <f t="shared" si="433"/>
        <v>no</v>
      </c>
      <c r="L1627" t="s">
        <v>371</v>
      </c>
      <c r="M1627">
        <v>10867</v>
      </c>
      <c r="N1627">
        <v>53</v>
      </c>
      <c r="O1627" t="s">
        <v>705</v>
      </c>
      <c r="P1627" t="str">
        <f t="shared" si="434"/>
        <v>LONEP_10867_Perth Pasties</v>
      </c>
      <c r="Q1627" t="str">
        <f t="shared" si="435"/>
        <v>10867</v>
      </c>
      <c r="R1627" t="str">
        <f t="shared" si="436"/>
        <v>10867</v>
      </c>
      <c r="S1627" t="str">
        <f t="shared" si="437"/>
        <v>Perth Pasties</v>
      </c>
      <c r="T1627">
        <v>32.799999999999997</v>
      </c>
      <c r="U1627">
        <v>3</v>
      </c>
      <c r="V1627">
        <v>0</v>
      </c>
      <c r="W1627">
        <f t="shared" si="438"/>
        <v>98.399999999999991</v>
      </c>
      <c r="X1627" t="str">
        <f t="shared" si="439"/>
        <v>yes</v>
      </c>
      <c r="Y1627" s="2">
        <v>35129</v>
      </c>
      <c r="Z1627" t="str">
        <f t="shared" si="425"/>
        <v>1st Q 1996</v>
      </c>
      <c r="AA1627" t="str">
        <f t="shared" si="440"/>
        <v>1st Q 1996</v>
      </c>
      <c r="AB1627" t="str" cm="1">
        <f t="array" ref="AB1627">_xlfn.IFS(Y1627&lt;DATE(1996,1,1),"",Y1627&lt;DATE(1996,4,1),"Q1",Y1627&lt;DATE(1996,7,1),"Q2",Y1627&gt;=DATE(1996,7,1),"")</f>
        <v>Q1</v>
      </c>
    </row>
    <row r="1628" spans="1:28" ht="14.4" x14ac:dyDescent="0.55000000000000004">
      <c r="A1628" t="str">
        <f>VLOOKUP(L1628,Customers!$A$2:$B$92,2,FALSE)</f>
        <v>Queen Cozinha</v>
      </c>
      <c r="B1628" t="str">
        <f>VLOOKUP(L1628,Customers!$A$2:$C$92,3,TRUE)</f>
        <v>Lúcia Carvalho</v>
      </c>
      <c r="C1628" t="str">
        <f t="shared" si="426"/>
        <v>Lúcia</v>
      </c>
      <c r="D1628" s="8" t="str">
        <f t="shared" si="427"/>
        <v>Carvalho</v>
      </c>
      <c r="E1628" s="8" t="str">
        <f t="shared" si="428"/>
        <v>Carvalho, Lúcia</v>
      </c>
      <c r="F1628" s="8" t="str">
        <f t="shared" si="429"/>
        <v>Carvalho, Lúcia</v>
      </c>
      <c r="G1628" s="8" t="str">
        <f t="shared" si="430"/>
        <v>not an outlier</v>
      </c>
      <c r="H1628" s="8" t="str">
        <f t="shared" si="431"/>
        <v>Not</v>
      </c>
      <c r="I1628" s="8" t="str">
        <f t="shared" si="441"/>
        <v>no</v>
      </c>
      <c r="J1628" s="10" t="str">
        <f t="shared" si="432"/>
        <v>no</v>
      </c>
      <c r="K1628" s="10" t="str">
        <f t="shared" si="433"/>
        <v>no</v>
      </c>
      <c r="L1628" t="s">
        <v>469</v>
      </c>
      <c r="M1628">
        <v>10868</v>
      </c>
      <c r="N1628">
        <v>26</v>
      </c>
      <c r="O1628" t="s">
        <v>751</v>
      </c>
      <c r="P1628" t="str">
        <f t="shared" si="434"/>
        <v>QUEEN_10868_Gumbär Gummibärchen</v>
      </c>
      <c r="Q1628" t="str">
        <f t="shared" si="435"/>
        <v>10868</v>
      </c>
      <c r="R1628" t="str">
        <f t="shared" si="436"/>
        <v>10868</v>
      </c>
      <c r="S1628" t="str">
        <f t="shared" si="437"/>
        <v>Gumbär Gummibärchen</v>
      </c>
      <c r="T1628">
        <v>31.23</v>
      </c>
      <c r="U1628">
        <v>20</v>
      </c>
      <c r="V1628">
        <v>0</v>
      </c>
      <c r="W1628">
        <f t="shared" si="438"/>
        <v>624.6</v>
      </c>
      <c r="X1628" t="str">
        <f t="shared" si="439"/>
        <v>yes</v>
      </c>
      <c r="Y1628" s="2">
        <v>35130</v>
      </c>
      <c r="Z1628" t="str">
        <f t="shared" si="425"/>
        <v>1st Q 1996</v>
      </c>
      <c r="AA1628" t="str">
        <f t="shared" si="440"/>
        <v>1st Q 1996</v>
      </c>
      <c r="AB1628" t="str" cm="1">
        <f t="array" ref="AB1628">_xlfn.IFS(Y1628&lt;DATE(1996,1,1),"",Y1628&lt;DATE(1996,4,1),"Q1",Y1628&lt;DATE(1996,7,1),"Q2",Y1628&gt;=DATE(1996,7,1),"")</f>
        <v>Q1</v>
      </c>
    </row>
    <row r="1629" spans="1:28" ht="14.4" x14ac:dyDescent="0.55000000000000004">
      <c r="A1629" t="str">
        <f>VLOOKUP(L1629,Customers!$A$2:$B$92,2,FALSE)</f>
        <v>Queen Cozinha</v>
      </c>
      <c r="B1629" t="str">
        <f>VLOOKUP(L1629,Customers!$A$2:$C$92,3,TRUE)</f>
        <v>Lúcia Carvalho</v>
      </c>
      <c r="C1629" t="str">
        <f t="shared" si="426"/>
        <v>Lúcia</v>
      </c>
      <c r="D1629" s="8" t="str">
        <f t="shared" si="427"/>
        <v>Carvalho</v>
      </c>
      <c r="E1629" s="8" t="str">
        <f t="shared" si="428"/>
        <v>Carvalho, Lúcia</v>
      </c>
      <c r="F1629" s="8" t="str">
        <f t="shared" si="429"/>
        <v>Carvalho, Lúcia</v>
      </c>
      <c r="G1629" s="8" t="str">
        <f t="shared" si="430"/>
        <v>not an outlier</v>
      </c>
      <c r="H1629" s="8" t="str">
        <f t="shared" si="431"/>
        <v>Not</v>
      </c>
      <c r="I1629" s="8" t="str">
        <f t="shared" si="441"/>
        <v>no</v>
      </c>
      <c r="J1629" s="10" t="str">
        <f t="shared" si="432"/>
        <v>no</v>
      </c>
      <c r="K1629" s="10" t="str">
        <f t="shared" si="433"/>
        <v>no</v>
      </c>
      <c r="L1629" t="s">
        <v>469</v>
      </c>
      <c r="M1629">
        <v>10868</v>
      </c>
      <c r="N1629">
        <v>35</v>
      </c>
      <c r="O1629" t="s">
        <v>714</v>
      </c>
      <c r="P1629" t="str">
        <f t="shared" si="434"/>
        <v>QUEEN_10868_Steeleye Stout</v>
      </c>
      <c r="Q1629" t="str">
        <f t="shared" si="435"/>
        <v>10868</v>
      </c>
      <c r="R1629" t="str">
        <f t="shared" si="436"/>
        <v>10868</v>
      </c>
      <c r="S1629" t="str">
        <f t="shared" si="437"/>
        <v>Steeleye Stout</v>
      </c>
      <c r="T1629">
        <v>18</v>
      </c>
      <c r="U1629">
        <v>30</v>
      </c>
      <c r="V1629">
        <v>0</v>
      </c>
      <c r="W1629">
        <f t="shared" si="438"/>
        <v>540</v>
      </c>
      <c r="X1629" t="str">
        <f t="shared" si="439"/>
        <v>yes</v>
      </c>
      <c r="Y1629" s="2">
        <v>35130</v>
      </c>
      <c r="Z1629" t="str">
        <f t="shared" si="425"/>
        <v>1st Q 1996</v>
      </c>
      <c r="AA1629" t="str">
        <f t="shared" si="440"/>
        <v>1st Q 1996</v>
      </c>
      <c r="AB1629" t="str" cm="1">
        <f t="array" ref="AB1629">_xlfn.IFS(Y1629&lt;DATE(1996,1,1),"",Y1629&lt;DATE(1996,4,1),"Q1",Y1629&lt;DATE(1996,7,1),"Q2",Y1629&gt;=DATE(1996,7,1),"")</f>
        <v>Q1</v>
      </c>
    </row>
    <row r="1630" spans="1:28" ht="14.4" x14ac:dyDescent="0.55000000000000004">
      <c r="A1630" t="str">
        <f>VLOOKUP(L1630,Customers!$A$2:$B$92,2,FALSE)</f>
        <v>Queen Cozinha</v>
      </c>
      <c r="B1630" t="str">
        <f>VLOOKUP(L1630,Customers!$A$2:$C$92,3,TRUE)</f>
        <v>Lúcia Carvalho</v>
      </c>
      <c r="C1630" t="str">
        <f t="shared" si="426"/>
        <v>Lúcia</v>
      </c>
      <c r="D1630" s="8" t="str">
        <f t="shared" si="427"/>
        <v>Carvalho</v>
      </c>
      <c r="E1630" s="8" t="str">
        <f t="shared" si="428"/>
        <v>Carvalho, Lúcia</v>
      </c>
      <c r="F1630" s="8" t="str">
        <f t="shared" si="429"/>
        <v>Carvalho, Lúcia</v>
      </c>
      <c r="G1630" s="8" t="str">
        <f t="shared" si="430"/>
        <v>not an outlier</v>
      </c>
      <c r="H1630" s="8" t="str">
        <f t="shared" si="431"/>
        <v>Not</v>
      </c>
      <c r="I1630" s="8" t="str">
        <f t="shared" si="441"/>
        <v>no</v>
      </c>
      <c r="J1630" s="10" t="str">
        <f t="shared" si="432"/>
        <v>no</v>
      </c>
      <c r="K1630" s="10" t="str">
        <f t="shared" si="433"/>
        <v>no</v>
      </c>
      <c r="L1630" t="s">
        <v>469</v>
      </c>
      <c r="M1630">
        <v>10868</v>
      </c>
      <c r="N1630">
        <v>49</v>
      </c>
      <c r="O1630" t="s">
        <v>697</v>
      </c>
      <c r="P1630" t="str">
        <f t="shared" si="434"/>
        <v>QUEEN_10868_Maxilaku</v>
      </c>
      <c r="Q1630" t="str">
        <f t="shared" si="435"/>
        <v>10868</v>
      </c>
      <c r="R1630" t="str">
        <f t="shared" si="436"/>
        <v>10868</v>
      </c>
      <c r="S1630" t="str">
        <f t="shared" si="437"/>
        <v>Maxilaku</v>
      </c>
      <c r="T1630">
        <v>20</v>
      </c>
      <c r="U1630">
        <v>42</v>
      </c>
      <c r="V1630">
        <v>0.1</v>
      </c>
      <c r="W1630">
        <f t="shared" si="438"/>
        <v>756</v>
      </c>
      <c r="X1630" t="str">
        <f t="shared" si="439"/>
        <v>yes</v>
      </c>
      <c r="Y1630" s="2">
        <v>35130</v>
      </c>
      <c r="Z1630" t="str">
        <f t="shared" si="425"/>
        <v>1st Q 1996</v>
      </c>
      <c r="AA1630" t="str">
        <f t="shared" si="440"/>
        <v>1st Q 1996</v>
      </c>
      <c r="AB1630" t="str" cm="1">
        <f t="array" ref="AB1630">_xlfn.IFS(Y1630&lt;DATE(1996,1,1),"",Y1630&lt;DATE(1996,4,1),"Q1",Y1630&lt;DATE(1996,7,1),"Q2",Y1630&gt;=DATE(1996,7,1),"")</f>
        <v>Q1</v>
      </c>
    </row>
    <row r="1631" spans="1:28" ht="14.4" x14ac:dyDescent="0.55000000000000004">
      <c r="A1631" t="str">
        <f>VLOOKUP(L1631,Customers!$A$2:$B$92,2,FALSE)</f>
        <v>Seven Seas Imports</v>
      </c>
      <c r="B1631" t="str">
        <f>VLOOKUP(L1631,Customers!$A$2:$C$92,3,TRUE)</f>
        <v>Hari Kumar</v>
      </c>
      <c r="C1631" t="str">
        <f t="shared" si="426"/>
        <v>Hari</v>
      </c>
      <c r="D1631" s="8" t="str">
        <f t="shared" si="427"/>
        <v>Kumar</v>
      </c>
      <c r="E1631" s="8" t="str">
        <f t="shared" si="428"/>
        <v>Kumar, Hari</v>
      </c>
      <c r="F1631" s="8" t="str">
        <f t="shared" si="429"/>
        <v>Kumar, Hari</v>
      </c>
      <c r="G1631" s="8" t="str">
        <f t="shared" si="430"/>
        <v>not an outlier</v>
      </c>
      <c r="H1631" s="8" t="str">
        <f t="shared" si="431"/>
        <v>Not</v>
      </c>
      <c r="I1631" s="8" t="str">
        <f t="shared" si="441"/>
        <v>no</v>
      </c>
      <c r="J1631" s="10" t="str">
        <f t="shared" si="432"/>
        <v>no</v>
      </c>
      <c r="K1631" s="10" t="str">
        <f t="shared" si="433"/>
        <v>no</v>
      </c>
      <c r="L1631" t="s">
        <v>536</v>
      </c>
      <c r="M1631">
        <v>10869</v>
      </c>
      <c r="N1631">
        <v>1</v>
      </c>
      <c r="O1631" t="s">
        <v>735</v>
      </c>
      <c r="P1631" t="str">
        <f t="shared" si="434"/>
        <v>SEVES_10869_Chai</v>
      </c>
      <c r="Q1631" t="str">
        <f t="shared" si="435"/>
        <v>10869</v>
      </c>
      <c r="R1631" t="str">
        <f t="shared" si="436"/>
        <v>10869</v>
      </c>
      <c r="S1631" t="str">
        <f t="shared" si="437"/>
        <v>Chai</v>
      </c>
      <c r="T1631">
        <v>18</v>
      </c>
      <c r="U1631">
        <v>40</v>
      </c>
      <c r="V1631">
        <v>0</v>
      </c>
      <c r="W1631">
        <f t="shared" si="438"/>
        <v>720</v>
      </c>
      <c r="X1631" t="str">
        <f t="shared" si="439"/>
        <v>yes</v>
      </c>
      <c r="Y1631" s="2">
        <v>35130</v>
      </c>
      <c r="Z1631" t="str">
        <f t="shared" si="425"/>
        <v>1st Q 1996</v>
      </c>
      <c r="AA1631" t="str">
        <f t="shared" si="440"/>
        <v>1st Q 1996</v>
      </c>
      <c r="AB1631" t="str" cm="1">
        <f t="array" ref="AB1631">_xlfn.IFS(Y1631&lt;DATE(1996,1,1),"",Y1631&lt;DATE(1996,4,1),"Q1",Y1631&lt;DATE(1996,7,1),"Q2",Y1631&gt;=DATE(1996,7,1),"")</f>
        <v>Q1</v>
      </c>
    </row>
    <row r="1632" spans="1:28" ht="14.4" x14ac:dyDescent="0.55000000000000004">
      <c r="A1632" t="str">
        <f>VLOOKUP(L1632,Customers!$A$2:$B$92,2,FALSE)</f>
        <v>Seven Seas Imports</v>
      </c>
      <c r="B1632" t="str">
        <f>VLOOKUP(L1632,Customers!$A$2:$C$92,3,TRUE)</f>
        <v>Hari Kumar</v>
      </c>
      <c r="C1632" t="str">
        <f t="shared" si="426"/>
        <v>Hari</v>
      </c>
      <c r="D1632" s="8" t="str">
        <f t="shared" si="427"/>
        <v>Kumar</v>
      </c>
      <c r="E1632" s="8" t="str">
        <f t="shared" si="428"/>
        <v>Kumar, Hari</v>
      </c>
      <c r="F1632" s="8" t="str">
        <f t="shared" si="429"/>
        <v>Kumar, Hari</v>
      </c>
      <c r="G1632" s="8" t="str">
        <f t="shared" si="430"/>
        <v>not an outlier</v>
      </c>
      <c r="H1632" s="8" t="str">
        <f t="shared" si="431"/>
        <v>Not</v>
      </c>
      <c r="I1632" s="8" t="str">
        <f t="shared" si="441"/>
        <v>no</v>
      </c>
      <c r="J1632" s="10" t="str">
        <f t="shared" si="432"/>
        <v>no</v>
      </c>
      <c r="K1632" s="10" t="str">
        <f t="shared" si="433"/>
        <v>no</v>
      </c>
      <c r="L1632" t="s">
        <v>536</v>
      </c>
      <c r="M1632">
        <v>10869</v>
      </c>
      <c r="N1632">
        <v>11</v>
      </c>
      <c r="O1632" t="s">
        <v>683</v>
      </c>
      <c r="P1632" t="str">
        <f t="shared" si="434"/>
        <v>SEVES_10869_Queso Cabrales</v>
      </c>
      <c r="Q1632" t="str">
        <f t="shared" si="435"/>
        <v>10869</v>
      </c>
      <c r="R1632" t="str">
        <f t="shared" si="436"/>
        <v>10869</v>
      </c>
      <c r="S1632" t="str">
        <f t="shared" si="437"/>
        <v>Queso Cabrales</v>
      </c>
      <c r="T1632">
        <v>21</v>
      </c>
      <c r="U1632">
        <v>10</v>
      </c>
      <c r="V1632">
        <v>0</v>
      </c>
      <c r="W1632">
        <f t="shared" si="438"/>
        <v>210</v>
      </c>
      <c r="X1632" t="str">
        <f t="shared" si="439"/>
        <v>yes</v>
      </c>
      <c r="Y1632" s="2">
        <v>35130</v>
      </c>
      <c r="Z1632" t="str">
        <f t="shared" si="425"/>
        <v>1st Q 1996</v>
      </c>
      <c r="AA1632" t="str">
        <f t="shared" si="440"/>
        <v>1st Q 1996</v>
      </c>
      <c r="AB1632" t="str" cm="1">
        <f t="array" ref="AB1632">_xlfn.IFS(Y1632&lt;DATE(1996,1,1),"",Y1632&lt;DATE(1996,4,1),"Q1",Y1632&lt;DATE(1996,7,1),"Q2",Y1632&gt;=DATE(1996,7,1),"")</f>
        <v>Q1</v>
      </c>
    </row>
    <row r="1633" spans="1:28" ht="14.4" x14ac:dyDescent="0.55000000000000004">
      <c r="A1633" t="str">
        <f>VLOOKUP(L1633,Customers!$A$2:$B$92,2,FALSE)</f>
        <v>Seven Seas Imports</v>
      </c>
      <c r="B1633" t="str">
        <f>VLOOKUP(L1633,Customers!$A$2:$C$92,3,TRUE)</f>
        <v>Hari Kumar</v>
      </c>
      <c r="C1633" t="str">
        <f t="shared" si="426"/>
        <v>Hari</v>
      </c>
      <c r="D1633" s="8" t="str">
        <f t="shared" si="427"/>
        <v>Kumar</v>
      </c>
      <c r="E1633" s="8" t="str">
        <f t="shared" si="428"/>
        <v>Kumar, Hari</v>
      </c>
      <c r="F1633" s="8" t="str">
        <f t="shared" si="429"/>
        <v>Kumar, Hari</v>
      </c>
      <c r="G1633" s="8" t="str">
        <f t="shared" si="430"/>
        <v>not an outlier</v>
      </c>
      <c r="H1633" s="8" t="str">
        <f t="shared" si="431"/>
        <v>Not</v>
      </c>
      <c r="I1633" s="8" t="str">
        <f t="shared" si="441"/>
        <v>no</v>
      </c>
      <c r="J1633" s="10" t="str">
        <f t="shared" si="432"/>
        <v>no</v>
      </c>
      <c r="K1633" s="10" t="str">
        <f t="shared" si="433"/>
        <v>no</v>
      </c>
      <c r="L1633" t="s">
        <v>536</v>
      </c>
      <c r="M1633">
        <v>10869</v>
      </c>
      <c r="N1633">
        <v>23</v>
      </c>
      <c r="O1633" t="s">
        <v>753</v>
      </c>
      <c r="P1633" t="str">
        <f t="shared" si="434"/>
        <v>SEVES_10869_Tunnbröd</v>
      </c>
      <c r="Q1633" t="str">
        <f t="shared" si="435"/>
        <v>10869</v>
      </c>
      <c r="R1633" t="str">
        <f t="shared" si="436"/>
        <v>10869</v>
      </c>
      <c r="S1633" t="str">
        <f t="shared" si="437"/>
        <v>Tunnbröd</v>
      </c>
      <c r="T1633">
        <v>9</v>
      </c>
      <c r="U1633">
        <v>50</v>
      </c>
      <c r="V1633">
        <v>0</v>
      </c>
      <c r="W1633">
        <f t="shared" si="438"/>
        <v>450</v>
      </c>
      <c r="X1633" t="str">
        <f t="shared" si="439"/>
        <v>yes</v>
      </c>
      <c r="Y1633" s="2">
        <v>35130</v>
      </c>
      <c r="Z1633" t="str">
        <f t="shared" si="425"/>
        <v>1st Q 1996</v>
      </c>
      <c r="AA1633" t="str">
        <f t="shared" si="440"/>
        <v>1st Q 1996</v>
      </c>
      <c r="AB1633" t="str" cm="1">
        <f t="array" ref="AB1633">_xlfn.IFS(Y1633&lt;DATE(1996,1,1),"",Y1633&lt;DATE(1996,4,1),"Q1",Y1633&lt;DATE(1996,7,1),"Q2",Y1633&gt;=DATE(1996,7,1),"")</f>
        <v>Q1</v>
      </c>
    </row>
    <row r="1634" spans="1:28" ht="14.4" x14ac:dyDescent="0.55000000000000004">
      <c r="A1634" t="str">
        <f>VLOOKUP(L1634,Customers!$A$2:$B$92,2,FALSE)</f>
        <v>Seven Seas Imports</v>
      </c>
      <c r="B1634" t="str">
        <f>VLOOKUP(L1634,Customers!$A$2:$C$92,3,TRUE)</f>
        <v>Hari Kumar</v>
      </c>
      <c r="C1634" t="str">
        <f t="shared" si="426"/>
        <v>Hari</v>
      </c>
      <c r="D1634" s="8" t="str">
        <f t="shared" si="427"/>
        <v>Kumar</v>
      </c>
      <c r="E1634" s="8" t="str">
        <f t="shared" si="428"/>
        <v>Kumar, Hari</v>
      </c>
      <c r="F1634" s="8" t="str">
        <f t="shared" si="429"/>
        <v>Kumar, Hari</v>
      </c>
      <c r="G1634" s="8" t="str">
        <f t="shared" si="430"/>
        <v>not an outlier</v>
      </c>
      <c r="H1634" s="8" t="str">
        <f t="shared" si="431"/>
        <v>Not</v>
      </c>
      <c r="I1634" s="8" t="str">
        <f t="shared" si="441"/>
        <v>no</v>
      </c>
      <c r="J1634" s="10" t="str">
        <f t="shared" si="432"/>
        <v>no</v>
      </c>
      <c r="K1634" s="10" t="str">
        <f t="shared" si="433"/>
        <v>no</v>
      </c>
      <c r="L1634" t="s">
        <v>536</v>
      </c>
      <c r="M1634">
        <v>10869</v>
      </c>
      <c r="N1634">
        <v>68</v>
      </c>
      <c r="O1634" t="s">
        <v>739</v>
      </c>
      <c r="P1634" t="str">
        <f t="shared" si="434"/>
        <v>SEVES_10869_Scottish Longbreads</v>
      </c>
      <c r="Q1634" t="str">
        <f t="shared" si="435"/>
        <v>10869</v>
      </c>
      <c r="R1634" t="str">
        <f t="shared" si="436"/>
        <v>10869</v>
      </c>
      <c r="S1634" t="str">
        <f t="shared" si="437"/>
        <v>Scottish Longbreads</v>
      </c>
      <c r="T1634">
        <v>12.5</v>
      </c>
      <c r="U1634">
        <v>20</v>
      </c>
      <c r="V1634">
        <v>0</v>
      </c>
      <c r="W1634">
        <f t="shared" si="438"/>
        <v>250</v>
      </c>
      <c r="X1634" t="str">
        <f t="shared" si="439"/>
        <v>yes</v>
      </c>
      <c r="Y1634" s="2">
        <v>35130</v>
      </c>
      <c r="Z1634" t="str">
        <f t="shared" si="425"/>
        <v>1st Q 1996</v>
      </c>
      <c r="AA1634" t="str">
        <f t="shared" si="440"/>
        <v>1st Q 1996</v>
      </c>
      <c r="AB1634" t="str" cm="1">
        <f t="array" ref="AB1634">_xlfn.IFS(Y1634&lt;DATE(1996,1,1),"",Y1634&lt;DATE(1996,4,1),"Q1",Y1634&lt;DATE(1996,7,1),"Q2",Y1634&gt;=DATE(1996,7,1),"")</f>
        <v>Q1</v>
      </c>
    </row>
    <row r="1635" spans="1:28" ht="14.4" x14ac:dyDescent="0.55000000000000004">
      <c r="A1635" t="str">
        <f>VLOOKUP(L1635,Customers!$A$2:$B$92,2,FALSE)</f>
        <v>Wolski  Zajazd</v>
      </c>
      <c r="B1635" t="str">
        <f>VLOOKUP(L1635,Customers!$A$2:$C$92,3,TRUE)</f>
        <v>Zbyszek Piestrzeniewicz</v>
      </c>
      <c r="C1635" t="str">
        <f t="shared" si="426"/>
        <v>Zbyszek</v>
      </c>
      <c r="D1635" s="8" t="str">
        <f t="shared" si="427"/>
        <v>Piestrzeniewicz</v>
      </c>
      <c r="E1635" s="8" t="str">
        <f t="shared" si="428"/>
        <v>Piestrzeniewicz, Zbyszek</v>
      </c>
      <c r="F1635" s="8" t="str">
        <f t="shared" si="429"/>
        <v>Piestrzeniewicz, Zbyszek</v>
      </c>
      <c r="G1635" s="8" t="str">
        <f t="shared" si="430"/>
        <v>not an outlier</v>
      </c>
      <c r="H1635" s="8" t="str">
        <f t="shared" si="431"/>
        <v>Not</v>
      </c>
      <c r="I1635" s="8" t="str">
        <f t="shared" si="441"/>
        <v>no</v>
      </c>
      <c r="J1635" s="10" t="str">
        <f t="shared" si="432"/>
        <v>no</v>
      </c>
      <c r="K1635" s="10" t="str">
        <f t="shared" si="433"/>
        <v>no</v>
      </c>
      <c r="L1635" t="s">
        <v>668</v>
      </c>
      <c r="M1635">
        <v>10870</v>
      </c>
      <c r="N1635">
        <v>35</v>
      </c>
      <c r="O1635" t="s">
        <v>714</v>
      </c>
      <c r="P1635" t="str">
        <f t="shared" si="434"/>
        <v>WOLZA_10870_Steeleye Stout</v>
      </c>
      <c r="Q1635" t="str">
        <f t="shared" si="435"/>
        <v>10870</v>
      </c>
      <c r="R1635" t="str">
        <f t="shared" si="436"/>
        <v>10870</v>
      </c>
      <c r="S1635" t="str">
        <f t="shared" si="437"/>
        <v>Steeleye Stout</v>
      </c>
      <c r="T1635">
        <v>18</v>
      </c>
      <c r="U1635">
        <v>3</v>
      </c>
      <c r="V1635">
        <v>0</v>
      </c>
      <c r="W1635">
        <f t="shared" si="438"/>
        <v>54</v>
      </c>
      <c r="X1635" t="str">
        <f t="shared" si="439"/>
        <v>yes</v>
      </c>
      <c r="Y1635" s="2">
        <v>35130</v>
      </c>
      <c r="Z1635" t="str">
        <f t="shared" si="425"/>
        <v>1st Q 1996</v>
      </c>
      <c r="AA1635" t="str">
        <f t="shared" si="440"/>
        <v>1st Q 1996</v>
      </c>
      <c r="AB1635" t="str" cm="1">
        <f t="array" ref="AB1635">_xlfn.IFS(Y1635&lt;DATE(1996,1,1),"",Y1635&lt;DATE(1996,4,1),"Q1",Y1635&lt;DATE(1996,7,1),"Q2",Y1635&gt;=DATE(1996,7,1),"")</f>
        <v>Q1</v>
      </c>
    </row>
    <row r="1636" spans="1:28" ht="14.4" x14ac:dyDescent="0.55000000000000004">
      <c r="A1636" t="str">
        <f>VLOOKUP(L1636,Customers!$A$2:$B$92,2,FALSE)</f>
        <v>Wolski  Zajazd</v>
      </c>
      <c r="B1636" t="str">
        <f>VLOOKUP(L1636,Customers!$A$2:$C$92,3,TRUE)</f>
        <v>Zbyszek Piestrzeniewicz</v>
      </c>
      <c r="C1636" t="str">
        <f t="shared" si="426"/>
        <v>Zbyszek</v>
      </c>
      <c r="D1636" s="8" t="str">
        <f t="shared" si="427"/>
        <v>Piestrzeniewicz</v>
      </c>
      <c r="E1636" s="8" t="str">
        <f t="shared" si="428"/>
        <v>Piestrzeniewicz, Zbyszek</v>
      </c>
      <c r="F1636" s="8" t="str">
        <f t="shared" si="429"/>
        <v>Piestrzeniewicz, Zbyszek</v>
      </c>
      <c r="G1636" s="8" t="str">
        <f t="shared" si="430"/>
        <v>not an outlier</v>
      </c>
      <c r="H1636" s="8" t="str">
        <f t="shared" si="431"/>
        <v>Not</v>
      </c>
      <c r="I1636" s="8" t="str">
        <f t="shared" si="441"/>
        <v>no</v>
      </c>
      <c r="J1636" s="10" t="str">
        <f t="shared" si="432"/>
        <v>no</v>
      </c>
      <c r="K1636" s="10" t="str">
        <f t="shared" si="433"/>
        <v>no</v>
      </c>
      <c r="L1636" t="s">
        <v>668</v>
      </c>
      <c r="M1636">
        <v>10870</v>
      </c>
      <c r="N1636">
        <v>51</v>
      </c>
      <c r="O1636" t="s">
        <v>687</v>
      </c>
      <c r="P1636" t="str">
        <f t="shared" si="434"/>
        <v>WOLZA_10870_Manjimup Dried Apples</v>
      </c>
      <c r="Q1636" t="str">
        <f t="shared" si="435"/>
        <v>10870</v>
      </c>
      <c r="R1636" t="str">
        <f t="shared" si="436"/>
        <v>10870</v>
      </c>
      <c r="S1636" t="str">
        <f t="shared" si="437"/>
        <v>Manjimup Dried Apples</v>
      </c>
      <c r="T1636">
        <v>53</v>
      </c>
      <c r="U1636">
        <v>2</v>
      </c>
      <c r="V1636">
        <v>0</v>
      </c>
      <c r="W1636">
        <f t="shared" si="438"/>
        <v>106</v>
      </c>
      <c r="X1636" t="str">
        <f t="shared" si="439"/>
        <v>yes</v>
      </c>
      <c r="Y1636" s="2">
        <v>35130</v>
      </c>
      <c r="Z1636" t="str">
        <f t="shared" si="425"/>
        <v>1st Q 1996</v>
      </c>
      <c r="AA1636" t="str">
        <f t="shared" si="440"/>
        <v>1st Q 1996</v>
      </c>
      <c r="AB1636" t="str" cm="1">
        <f t="array" ref="AB1636">_xlfn.IFS(Y1636&lt;DATE(1996,1,1),"",Y1636&lt;DATE(1996,4,1),"Q1",Y1636&lt;DATE(1996,7,1),"Q2",Y1636&gt;=DATE(1996,7,1),"")</f>
        <v>Q1</v>
      </c>
    </row>
    <row r="1637" spans="1:28" ht="14.4" x14ac:dyDescent="0.55000000000000004">
      <c r="A1637" t="str">
        <f>VLOOKUP(L1637,Customers!$A$2:$B$92,2,FALSE)</f>
        <v>Bon app'</v>
      </c>
      <c r="B1637" t="str">
        <f>VLOOKUP(L1637,Customers!$A$2:$C$92,3,TRUE)</f>
        <v>Laurence Lebihan</v>
      </c>
      <c r="C1637" t="str">
        <f t="shared" si="426"/>
        <v>Laurence</v>
      </c>
      <c r="D1637" s="8" t="str">
        <f t="shared" si="427"/>
        <v>Lebihan</v>
      </c>
      <c r="E1637" s="8" t="str">
        <f t="shared" si="428"/>
        <v>Lebihan, Laurence</v>
      </c>
      <c r="F1637" s="8" t="str">
        <f t="shared" si="429"/>
        <v>Lebihan, Laurence</v>
      </c>
      <c r="G1637" s="8" t="str">
        <f t="shared" si="430"/>
        <v>not an outlier</v>
      </c>
      <c r="H1637" s="8" t="str">
        <f t="shared" si="431"/>
        <v>Not</v>
      </c>
      <c r="I1637" s="8" t="str">
        <f t="shared" si="441"/>
        <v>no</v>
      </c>
      <c r="J1637" s="10" t="str">
        <f t="shared" si="432"/>
        <v>no</v>
      </c>
      <c r="K1637" s="10" t="str">
        <f t="shared" si="433"/>
        <v>no</v>
      </c>
      <c r="L1637" t="s">
        <v>77</v>
      </c>
      <c r="M1637">
        <v>10871</v>
      </c>
      <c r="N1637">
        <v>6</v>
      </c>
      <c r="O1637" t="s">
        <v>746</v>
      </c>
      <c r="P1637" t="str">
        <f t="shared" si="434"/>
        <v>BONAP_10871_Grandma's Boysenberry Spread</v>
      </c>
      <c r="Q1637" t="str">
        <f t="shared" si="435"/>
        <v>10871</v>
      </c>
      <c r="R1637" t="str">
        <f t="shared" si="436"/>
        <v>10871</v>
      </c>
      <c r="S1637" t="str">
        <f t="shared" si="437"/>
        <v>Grandma's Boysenberry Spread</v>
      </c>
      <c r="T1637">
        <v>25</v>
      </c>
      <c r="U1637">
        <v>50</v>
      </c>
      <c r="V1637">
        <v>0.05</v>
      </c>
      <c r="W1637">
        <f t="shared" si="438"/>
        <v>1187.5</v>
      </c>
      <c r="X1637" t="str">
        <f t="shared" si="439"/>
        <v>yes</v>
      </c>
      <c r="Y1637" s="2">
        <v>35131</v>
      </c>
      <c r="Z1637" t="str">
        <f t="shared" si="425"/>
        <v>1st Q 1996</v>
      </c>
      <c r="AA1637" t="str">
        <f t="shared" si="440"/>
        <v>1st Q 1996</v>
      </c>
      <c r="AB1637" t="str" cm="1">
        <f t="array" ref="AB1637">_xlfn.IFS(Y1637&lt;DATE(1996,1,1),"",Y1637&lt;DATE(1996,4,1),"Q1",Y1637&lt;DATE(1996,7,1),"Q2",Y1637&gt;=DATE(1996,7,1),"")</f>
        <v>Q1</v>
      </c>
    </row>
    <row r="1638" spans="1:28" ht="14.4" x14ac:dyDescent="0.55000000000000004">
      <c r="A1638" t="str">
        <f>VLOOKUP(L1638,Customers!$A$2:$B$92,2,FALSE)</f>
        <v>Bon app'</v>
      </c>
      <c r="B1638" t="str">
        <f>VLOOKUP(L1638,Customers!$A$2:$C$92,3,TRUE)</f>
        <v>Laurence Lebihan</v>
      </c>
      <c r="C1638" t="str">
        <f t="shared" si="426"/>
        <v>Laurence</v>
      </c>
      <c r="D1638" s="8" t="str">
        <f t="shared" si="427"/>
        <v>Lebihan</v>
      </c>
      <c r="E1638" s="8" t="str">
        <f t="shared" si="428"/>
        <v>Lebihan, Laurence</v>
      </c>
      <c r="F1638" s="8" t="str">
        <f t="shared" si="429"/>
        <v>Lebihan, Laurence</v>
      </c>
      <c r="G1638" s="8" t="str">
        <f t="shared" si="430"/>
        <v>not an outlier</v>
      </c>
      <c r="H1638" s="8" t="str">
        <f t="shared" si="431"/>
        <v>Not</v>
      </c>
      <c r="I1638" s="8" t="str">
        <f t="shared" si="441"/>
        <v>no</v>
      </c>
      <c r="J1638" s="10" t="str">
        <f t="shared" si="432"/>
        <v>no</v>
      </c>
      <c r="K1638" s="10" t="str">
        <f t="shared" si="433"/>
        <v>no</v>
      </c>
      <c r="L1638" t="s">
        <v>77</v>
      </c>
      <c r="M1638">
        <v>10871</v>
      </c>
      <c r="N1638">
        <v>16</v>
      </c>
      <c r="O1638" t="s">
        <v>702</v>
      </c>
      <c r="P1638" t="str">
        <f t="shared" si="434"/>
        <v>BONAP_10871_Pavlova</v>
      </c>
      <c r="Q1638" t="str">
        <f t="shared" si="435"/>
        <v>10871</v>
      </c>
      <c r="R1638" t="str">
        <f t="shared" si="436"/>
        <v>10871</v>
      </c>
      <c r="S1638" t="str">
        <f t="shared" si="437"/>
        <v>Pavlova</v>
      </c>
      <c r="T1638">
        <v>17.45</v>
      </c>
      <c r="U1638">
        <v>12</v>
      </c>
      <c r="V1638">
        <v>0.05</v>
      </c>
      <c r="W1638">
        <f t="shared" si="438"/>
        <v>198.92999999999998</v>
      </c>
      <c r="X1638" t="str">
        <f t="shared" si="439"/>
        <v>yes</v>
      </c>
      <c r="Y1638" s="2">
        <v>35131</v>
      </c>
      <c r="Z1638" t="str">
        <f t="shared" si="425"/>
        <v>1st Q 1996</v>
      </c>
      <c r="AA1638" t="str">
        <f t="shared" si="440"/>
        <v>1st Q 1996</v>
      </c>
      <c r="AB1638" t="str" cm="1">
        <f t="array" ref="AB1638">_xlfn.IFS(Y1638&lt;DATE(1996,1,1),"",Y1638&lt;DATE(1996,4,1),"Q1",Y1638&lt;DATE(1996,7,1),"Q2",Y1638&gt;=DATE(1996,7,1),"")</f>
        <v>Q1</v>
      </c>
    </row>
    <row r="1639" spans="1:28" ht="14.4" x14ac:dyDescent="0.55000000000000004">
      <c r="A1639" t="str">
        <f>VLOOKUP(L1639,Customers!$A$2:$B$92,2,FALSE)</f>
        <v>Bon app'</v>
      </c>
      <c r="B1639" t="str">
        <f>VLOOKUP(L1639,Customers!$A$2:$C$92,3,TRUE)</f>
        <v>Laurence Lebihan</v>
      </c>
      <c r="C1639" t="str">
        <f t="shared" si="426"/>
        <v>Laurence</v>
      </c>
      <c r="D1639" s="8" t="str">
        <f t="shared" si="427"/>
        <v>Lebihan</v>
      </c>
      <c r="E1639" s="8" t="str">
        <f t="shared" si="428"/>
        <v>Lebihan, Laurence</v>
      </c>
      <c r="F1639" s="8" t="str">
        <f t="shared" si="429"/>
        <v>Lebihan, Laurence</v>
      </c>
      <c r="G1639" s="8" t="str">
        <f t="shared" si="430"/>
        <v>not an outlier</v>
      </c>
      <c r="H1639" s="8" t="str">
        <f t="shared" si="431"/>
        <v>Not</v>
      </c>
      <c r="I1639" s="8" t="str">
        <f t="shared" si="441"/>
        <v>no</v>
      </c>
      <c r="J1639" s="10" t="str">
        <f t="shared" si="432"/>
        <v>no</v>
      </c>
      <c r="K1639" s="10" t="str">
        <f t="shared" si="433"/>
        <v>no</v>
      </c>
      <c r="L1639" t="s">
        <v>77</v>
      </c>
      <c r="M1639">
        <v>10871</v>
      </c>
      <c r="N1639">
        <v>17</v>
      </c>
      <c r="O1639" t="s">
        <v>718</v>
      </c>
      <c r="P1639" t="str">
        <f t="shared" si="434"/>
        <v>BONAP_10871_Alice Mutton</v>
      </c>
      <c r="Q1639" t="str">
        <f t="shared" si="435"/>
        <v>10871</v>
      </c>
      <c r="R1639" t="str">
        <f t="shared" si="436"/>
        <v>10871</v>
      </c>
      <c r="S1639" t="str">
        <f t="shared" si="437"/>
        <v>Alice Mutton</v>
      </c>
      <c r="T1639">
        <v>39</v>
      </c>
      <c r="U1639">
        <v>16</v>
      </c>
      <c r="V1639">
        <v>0.05</v>
      </c>
      <c r="W1639">
        <f t="shared" si="438"/>
        <v>592.79999999999995</v>
      </c>
      <c r="X1639" t="str">
        <f t="shared" si="439"/>
        <v>yes</v>
      </c>
      <c r="Y1639" s="2">
        <v>35131</v>
      </c>
      <c r="Z1639" t="str">
        <f t="shared" si="425"/>
        <v>1st Q 1996</v>
      </c>
      <c r="AA1639" t="str">
        <f t="shared" si="440"/>
        <v>1st Q 1996</v>
      </c>
      <c r="AB1639" t="str" cm="1">
        <f t="array" ref="AB1639">_xlfn.IFS(Y1639&lt;DATE(1996,1,1),"",Y1639&lt;DATE(1996,4,1),"Q1",Y1639&lt;DATE(1996,7,1),"Q2",Y1639&gt;=DATE(1996,7,1),"")</f>
        <v>Q1</v>
      </c>
    </row>
    <row r="1640" spans="1:28" ht="14.4" x14ac:dyDescent="0.55000000000000004">
      <c r="A1640" t="str">
        <f>VLOOKUP(L1640,Customers!$A$2:$B$92,2,FALSE)</f>
        <v>Godos Cocina Típica</v>
      </c>
      <c r="B1640" t="str">
        <f>VLOOKUP(L1640,Customers!$A$2:$C$92,3,TRUE)</f>
        <v>José Pedro Freyre</v>
      </c>
      <c r="C1640" t="str">
        <f t="shared" si="426"/>
        <v>José</v>
      </c>
      <c r="D1640" s="8" t="str">
        <f t="shared" si="427"/>
        <v>Pedro Freyre</v>
      </c>
      <c r="E1640" s="8" t="str">
        <f t="shared" si="428"/>
        <v>Pedro Freyre, José</v>
      </c>
      <c r="F1640" s="8" t="str">
        <f t="shared" si="429"/>
        <v>Pedro Freyre, José</v>
      </c>
      <c r="G1640" s="8" t="str">
        <f t="shared" si="430"/>
        <v>not an outlier</v>
      </c>
      <c r="H1640" s="8" t="str">
        <f t="shared" si="431"/>
        <v>Not</v>
      </c>
      <c r="I1640" s="8" t="str">
        <f t="shared" si="441"/>
        <v>no</v>
      </c>
      <c r="J1640" s="10" t="str">
        <f t="shared" si="432"/>
        <v>no</v>
      </c>
      <c r="K1640" s="10" t="str">
        <f t="shared" si="433"/>
        <v>no</v>
      </c>
      <c r="L1640" t="s">
        <v>234</v>
      </c>
      <c r="M1640">
        <v>10872</v>
      </c>
      <c r="N1640">
        <v>55</v>
      </c>
      <c r="O1640" t="s">
        <v>699</v>
      </c>
      <c r="P1640" t="str">
        <f t="shared" si="434"/>
        <v>GODOS_10872_Pâté chinois</v>
      </c>
      <c r="Q1640" t="str">
        <f t="shared" si="435"/>
        <v>10872</v>
      </c>
      <c r="R1640" t="str">
        <f t="shared" si="436"/>
        <v>10872</v>
      </c>
      <c r="S1640" t="str">
        <f t="shared" si="437"/>
        <v>Pâté chinois</v>
      </c>
      <c r="T1640">
        <v>24</v>
      </c>
      <c r="U1640">
        <v>10</v>
      </c>
      <c r="V1640">
        <v>0.05</v>
      </c>
      <c r="W1640">
        <f t="shared" si="438"/>
        <v>228</v>
      </c>
      <c r="X1640" t="str">
        <f t="shared" si="439"/>
        <v>yes</v>
      </c>
      <c r="Y1640" s="2">
        <v>35131</v>
      </c>
      <c r="Z1640" t="str">
        <f t="shared" si="425"/>
        <v>1st Q 1996</v>
      </c>
      <c r="AA1640" t="str">
        <f t="shared" si="440"/>
        <v>1st Q 1996</v>
      </c>
      <c r="AB1640" t="str" cm="1">
        <f t="array" ref="AB1640">_xlfn.IFS(Y1640&lt;DATE(1996,1,1),"",Y1640&lt;DATE(1996,4,1),"Q1",Y1640&lt;DATE(1996,7,1),"Q2",Y1640&gt;=DATE(1996,7,1),"")</f>
        <v>Q1</v>
      </c>
    </row>
    <row r="1641" spans="1:28" ht="14.4" x14ac:dyDescent="0.55000000000000004">
      <c r="A1641" t="str">
        <f>VLOOKUP(L1641,Customers!$A$2:$B$92,2,FALSE)</f>
        <v>Godos Cocina Típica</v>
      </c>
      <c r="B1641" t="str">
        <f>VLOOKUP(L1641,Customers!$A$2:$C$92,3,TRUE)</f>
        <v>José Pedro Freyre</v>
      </c>
      <c r="C1641" t="str">
        <f t="shared" si="426"/>
        <v>José</v>
      </c>
      <c r="D1641" s="8" t="str">
        <f t="shared" si="427"/>
        <v>Pedro Freyre</v>
      </c>
      <c r="E1641" s="8" t="str">
        <f t="shared" si="428"/>
        <v>Pedro Freyre, José</v>
      </c>
      <c r="F1641" s="8" t="str">
        <f t="shared" si="429"/>
        <v>Pedro Freyre, José</v>
      </c>
      <c r="G1641" s="8" t="str">
        <f t="shared" si="430"/>
        <v>not an outlier</v>
      </c>
      <c r="H1641" s="8" t="str">
        <f t="shared" si="431"/>
        <v>Not</v>
      </c>
      <c r="I1641" s="8" t="str">
        <f t="shared" si="441"/>
        <v>no</v>
      </c>
      <c r="J1641" s="10" t="str">
        <f t="shared" si="432"/>
        <v>no</v>
      </c>
      <c r="K1641" s="10" t="str">
        <f t="shared" si="433"/>
        <v>no</v>
      </c>
      <c r="L1641" t="s">
        <v>234</v>
      </c>
      <c r="M1641">
        <v>10872</v>
      </c>
      <c r="N1641">
        <v>62</v>
      </c>
      <c r="O1641" t="s">
        <v>712</v>
      </c>
      <c r="P1641" t="str">
        <f t="shared" si="434"/>
        <v>GODOS_10872_Tarte au sucre</v>
      </c>
      <c r="Q1641" t="str">
        <f t="shared" si="435"/>
        <v>10872</v>
      </c>
      <c r="R1641" t="str">
        <f t="shared" si="436"/>
        <v>10872</v>
      </c>
      <c r="S1641" t="str">
        <f t="shared" si="437"/>
        <v>Tarte au sucre</v>
      </c>
      <c r="T1641">
        <v>49.3</v>
      </c>
      <c r="U1641">
        <v>20</v>
      </c>
      <c r="V1641">
        <v>0.05</v>
      </c>
      <c r="W1641">
        <f t="shared" si="438"/>
        <v>936.69999999999993</v>
      </c>
      <c r="X1641" t="str">
        <f t="shared" si="439"/>
        <v>yes</v>
      </c>
      <c r="Y1641" s="2">
        <v>35131</v>
      </c>
      <c r="Z1641" t="str">
        <f t="shared" si="425"/>
        <v>1st Q 1996</v>
      </c>
      <c r="AA1641" t="str">
        <f t="shared" si="440"/>
        <v>1st Q 1996</v>
      </c>
      <c r="AB1641" t="str" cm="1">
        <f t="array" ref="AB1641">_xlfn.IFS(Y1641&lt;DATE(1996,1,1),"",Y1641&lt;DATE(1996,4,1),"Q1",Y1641&lt;DATE(1996,7,1),"Q2",Y1641&gt;=DATE(1996,7,1),"")</f>
        <v>Q1</v>
      </c>
    </row>
    <row r="1642" spans="1:28" ht="14.4" x14ac:dyDescent="0.55000000000000004">
      <c r="A1642" t="str">
        <f>VLOOKUP(L1642,Customers!$A$2:$B$92,2,FALSE)</f>
        <v>Godos Cocina Típica</v>
      </c>
      <c r="B1642" t="str">
        <f>VLOOKUP(L1642,Customers!$A$2:$C$92,3,TRUE)</f>
        <v>José Pedro Freyre</v>
      </c>
      <c r="C1642" t="str">
        <f t="shared" si="426"/>
        <v>José</v>
      </c>
      <c r="D1642" s="8" t="str">
        <f t="shared" si="427"/>
        <v>Pedro Freyre</v>
      </c>
      <c r="E1642" s="8" t="str">
        <f t="shared" si="428"/>
        <v>Pedro Freyre, José</v>
      </c>
      <c r="F1642" s="8" t="str">
        <f t="shared" si="429"/>
        <v>Pedro Freyre, José</v>
      </c>
      <c r="G1642" s="8" t="str">
        <f t="shared" si="430"/>
        <v>not an outlier</v>
      </c>
      <c r="H1642" s="8" t="str">
        <f t="shared" si="431"/>
        <v>Not</v>
      </c>
      <c r="I1642" s="8" t="str">
        <f t="shared" si="441"/>
        <v>no</v>
      </c>
      <c r="J1642" s="10" t="str">
        <f t="shared" si="432"/>
        <v>no</v>
      </c>
      <c r="K1642" s="10" t="str">
        <f t="shared" si="433"/>
        <v>no</v>
      </c>
      <c r="L1642" t="s">
        <v>234</v>
      </c>
      <c r="M1642">
        <v>10872</v>
      </c>
      <c r="N1642">
        <v>64</v>
      </c>
      <c r="O1642" t="s">
        <v>741</v>
      </c>
      <c r="P1642" t="str">
        <f t="shared" si="434"/>
        <v>GODOS_10872_Wimmers gute Semmelknödel</v>
      </c>
      <c r="Q1642" t="str">
        <f t="shared" si="435"/>
        <v>10872</v>
      </c>
      <c r="R1642" t="str">
        <f t="shared" si="436"/>
        <v>10872</v>
      </c>
      <c r="S1642" t="str">
        <f t="shared" si="437"/>
        <v>Wimmers gute Semmelknödel</v>
      </c>
      <c r="T1642">
        <v>33.25</v>
      </c>
      <c r="U1642">
        <v>15</v>
      </c>
      <c r="V1642">
        <v>0.05</v>
      </c>
      <c r="W1642">
        <f t="shared" si="438"/>
        <v>473.8125</v>
      </c>
      <c r="X1642" t="str">
        <f t="shared" si="439"/>
        <v>yes</v>
      </c>
      <c r="Y1642" s="2">
        <v>35131</v>
      </c>
      <c r="Z1642" t="str">
        <f t="shared" si="425"/>
        <v>1st Q 1996</v>
      </c>
      <c r="AA1642" t="str">
        <f t="shared" si="440"/>
        <v>1st Q 1996</v>
      </c>
      <c r="AB1642" t="str" cm="1">
        <f t="array" ref="AB1642">_xlfn.IFS(Y1642&lt;DATE(1996,1,1),"",Y1642&lt;DATE(1996,4,1),"Q1",Y1642&lt;DATE(1996,7,1),"Q2",Y1642&gt;=DATE(1996,7,1),"")</f>
        <v>Q1</v>
      </c>
    </row>
    <row r="1643" spans="1:28" ht="14.4" x14ac:dyDescent="0.55000000000000004">
      <c r="A1643" t="str">
        <f>VLOOKUP(L1643,Customers!$A$2:$B$92,2,FALSE)</f>
        <v>Godos Cocina Típica</v>
      </c>
      <c r="B1643" t="str">
        <f>VLOOKUP(L1643,Customers!$A$2:$C$92,3,TRUE)</f>
        <v>José Pedro Freyre</v>
      </c>
      <c r="C1643" t="str">
        <f t="shared" si="426"/>
        <v>José</v>
      </c>
      <c r="D1643" s="8" t="str">
        <f t="shared" si="427"/>
        <v>Pedro Freyre</v>
      </c>
      <c r="E1643" s="8" t="str">
        <f t="shared" si="428"/>
        <v>Pedro Freyre, José</v>
      </c>
      <c r="F1643" s="8" t="str">
        <f t="shared" si="429"/>
        <v>Pedro Freyre, José</v>
      </c>
      <c r="G1643" s="8" t="str">
        <f t="shared" si="430"/>
        <v>not an outlier</v>
      </c>
      <c r="H1643" s="8" t="str">
        <f t="shared" si="431"/>
        <v>Not</v>
      </c>
      <c r="I1643" s="8" t="str">
        <f t="shared" si="441"/>
        <v>no</v>
      </c>
      <c r="J1643" s="10" t="str">
        <f t="shared" si="432"/>
        <v>no</v>
      </c>
      <c r="K1643" s="10" t="str">
        <f t="shared" si="433"/>
        <v>no</v>
      </c>
      <c r="L1643" t="s">
        <v>234</v>
      </c>
      <c r="M1643">
        <v>10872</v>
      </c>
      <c r="N1643">
        <v>65</v>
      </c>
      <c r="O1643" t="s">
        <v>689</v>
      </c>
      <c r="P1643" t="str">
        <f t="shared" si="434"/>
        <v>GODOS_10872_Louisiana Fiery Hot Pepper Sauce</v>
      </c>
      <c r="Q1643" t="str">
        <f t="shared" si="435"/>
        <v>10872</v>
      </c>
      <c r="R1643" t="str">
        <f t="shared" si="436"/>
        <v>10872</v>
      </c>
      <c r="S1643" t="str">
        <f t="shared" si="437"/>
        <v>Louisiana Fiery Hot Pepper Sauce</v>
      </c>
      <c r="T1643">
        <v>21.05</v>
      </c>
      <c r="U1643">
        <v>21</v>
      </c>
      <c r="V1643">
        <v>0.05</v>
      </c>
      <c r="W1643">
        <f t="shared" si="438"/>
        <v>419.94749999999999</v>
      </c>
      <c r="X1643" t="str">
        <f t="shared" si="439"/>
        <v>yes</v>
      </c>
      <c r="Y1643" s="2">
        <v>35131</v>
      </c>
      <c r="Z1643" t="str">
        <f t="shared" si="425"/>
        <v>1st Q 1996</v>
      </c>
      <c r="AA1643" t="str">
        <f t="shared" si="440"/>
        <v>1st Q 1996</v>
      </c>
      <c r="AB1643" t="str" cm="1">
        <f t="array" ref="AB1643">_xlfn.IFS(Y1643&lt;DATE(1996,1,1),"",Y1643&lt;DATE(1996,4,1),"Q1",Y1643&lt;DATE(1996,7,1),"Q2",Y1643&gt;=DATE(1996,7,1),"")</f>
        <v>Q1</v>
      </c>
    </row>
    <row r="1644" spans="1:28" ht="14.4" x14ac:dyDescent="0.55000000000000004">
      <c r="A1644" t="str">
        <f>VLOOKUP(L1644,Customers!$A$2:$B$92,2,FALSE)</f>
        <v>Wilman Kala</v>
      </c>
      <c r="B1644" t="str">
        <f>VLOOKUP(L1644,Customers!$A$2:$C$92,3,TRUE)</f>
        <v>Matti Karttunen</v>
      </c>
      <c r="C1644" t="str">
        <f t="shared" si="426"/>
        <v>Matti</v>
      </c>
      <c r="D1644" s="8" t="str">
        <f t="shared" si="427"/>
        <v>Karttunen</v>
      </c>
      <c r="E1644" s="8" t="str">
        <f t="shared" si="428"/>
        <v>Karttunen, Matti</v>
      </c>
      <c r="F1644" s="8" t="str">
        <f t="shared" si="429"/>
        <v>Karttunen, Matti</v>
      </c>
      <c r="G1644" s="8" t="str">
        <f t="shared" si="430"/>
        <v>not an outlier</v>
      </c>
      <c r="H1644" s="8" t="str">
        <f t="shared" si="431"/>
        <v>Not</v>
      </c>
      <c r="I1644" s="8" t="str">
        <f t="shared" si="441"/>
        <v>no</v>
      </c>
      <c r="J1644" s="10" t="str">
        <f t="shared" si="432"/>
        <v>no</v>
      </c>
      <c r="K1644" s="10" t="str">
        <f t="shared" si="433"/>
        <v>no</v>
      </c>
      <c r="L1644" t="s">
        <v>661</v>
      </c>
      <c r="M1644">
        <v>10873</v>
      </c>
      <c r="N1644">
        <v>21</v>
      </c>
      <c r="O1644" t="s">
        <v>710</v>
      </c>
      <c r="P1644" t="str">
        <f t="shared" si="434"/>
        <v>WILMK_10873_Sir Rodney's Scones</v>
      </c>
      <c r="Q1644" t="str">
        <f t="shared" si="435"/>
        <v>10873</v>
      </c>
      <c r="R1644" t="str">
        <f t="shared" si="436"/>
        <v>10873</v>
      </c>
      <c r="S1644" t="str">
        <f t="shared" si="437"/>
        <v>Sir Rodney's Scones</v>
      </c>
      <c r="T1644">
        <v>10</v>
      </c>
      <c r="U1644">
        <v>20</v>
      </c>
      <c r="V1644">
        <v>0</v>
      </c>
      <c r="W1644">
        <f t="shared" si="438"/>
        <v>200</v>
      </c>
      <c r="X1644" t="str">
        <f t="shared" si="439"/>
        <v>yes</v>
      </c>
      <c r="Y1644" s="2">
        <v>35132</v>
      </c>
      <c r="Z1644" t="str">
        <f t="shared" si="425"/>
        <v>1st Q 1996</v>
      </c>
      <c r="AA1644" t="str">
        <f t="shared" si="440"/>
        <v>1st Q 1996</v>
      </c>
      <c r="AB1644" t="str" cm="1">
        <f t="array" ref="AB1644">_xlfn.IFS(Y1644&lt;DATE(1996,1,1),"",Y1644&lt;DATE(1996,4,1),"Q1",Y1644&lt;DATE(1996,7,1),"Q2",Y1644&gt;=DATE(1996,7,1),"")</f>
        <v>Q1</v>
      </c>
    </row>
    <row r="1645" spans="1:28" ht="14.4" x14ac:dyDescent="0.55000000000000004">
      <c r="A1645" t="str">
        <f>VLOOKUP(L1645,Customers!$A$2:$B$92,2,FALSE)</f>
        <v>Wilman Kala</v>
      </c>
      <c r="B1645" t="str">
        <f>VLOOKUP(L1645,Customers!$A$2:$C$92,3,TRUE)</f>
        <v>Matti Karttunen</v>
      </c>
      <c r="C1645" t="str">
        <f t="shared" si="426"/>
        <v>Matti</v>
      </c>
      <c r="D1645" s="8" t="str">
        <f t="shared" si="427"/>
        <v>Karttunen</v>
      </c>
      <c r="E1645" s="8" t="str">
        <f t="shared" si="428"/>
        <v>Karttunen, Matti</v>
      </c>
      <c r="F1645" s="8" t="str">
        <f t="shared" si="429"/>
        <v>Karttunen, Matti</v>
      </c>
      <c r="G1645" s="8" t="str">
        <f t="shared" si="430"/>
        <v>not an outlier</v>
      </c>
      <c r="H1645" s="8" t="str">
        <f t="shared" si="431"/>
        <v>Not</v>
      </c>
      <c r="I1645" s="8" t="str">
        <f t="shared" si="441"/>
        <v>no</v>
      </c>
      <c r="J1645" s="10" t="str">
        <f t="shared" si="432"/>
        <v>no</v>
      </c>
      <c r="K1645" s="10" t="str">
        <f t="shared" si="433"/>
        <v>no</v>
      </c>
      <c r="L1645" t="s">
        <v>661</v>
      </c>
      <c r="M1645">
        <v>10873</v>
      </c>
      <c r="N1645">
        <v>28</v>
      </c>
      <c r="O1645" t="s">
        <v>727</v>
      </c>
      <c r="P1645" t="str">
        <f t="shared" si="434"/>
        <v>WILMK_10873_Rössle Sauerkraut</v>
      </c>
      <c r="Q1645" t="str">
        <f t="shared" si="435"/>
        <v>10873</v>
      </c>
      <c r="R1645" t="str">
        <f t="shared" si="436"/>
        <v>10873</v>
      </c>
      <c r="S1645" t="str">
        <f t="shared" si="437"/>
        <v>Rössle Sauerkraut</v>
      </c>
      <c r="T1645">
        <v>45.6</v>
      </c>
      <c r="U1645">
        <v>3</v>
      </c>
      <c r="V1645">
        <v>0</v>
      </c>
      <c r="W1645">
        <f t="shared" si="438"/>
        <v>136.80000000000001</v>
      </c>
      <c r="X1645" t="str">
        <f t="shared" si="439"/>
        <v>yes</v>
      </c>
      <c r="Y1645" s="2">
        <v>35132</v>
      </c>
      <c r="Z1645" t="str">
        <f t="shared" si="425"/>
        <v>1st Q 1996</v>
      </c>
      <c r="AA1645" t="str">
        <f t="shared" si="440"/>
        <v>1st Q 1996</v>
      </c>
      <c r="AB1645" t="str" cm="1">
        <f t="array" ref="AB1645">_xlfn.IFS(Y1645&lt;DATE(1996,1,1),"",Y1645&lt;DATE(1996,4,1),"Q1",Y1645&lt;DATE(1996,7,1),"Q2",Y1645&gt;=DATE(1996,7,1),"")</f>
        <v>Q1</v>
      </c>
    </row>
    <row r="1646" spans="1:28" ht="14.4" x14ac:dyDescent="0.55000000000000004">
      <c r="A1646" t="str">
        <f>VLOOKUP(L1646,Customers!$A$2:$B$92,2,FALSE)</f>
        <v>Godos Cocina Típica</v>
      </c>
      <c r="B1646" t="str">
        <f>VLOOKUP(L1646,Customers!$A$2:$C$92,3,TRUE)</f>
        <v>José Pedro Freyre</v>
      </c>
      <c r="C1646" t="str">
        <f t="shared" si="426"/>
        <v>José</v>
      </c>
      <c r="D1646" s="8" t="str">
        <f t="shared" si="427"/>
        <v>Pedro Freyre</v>
      </c>
      <c r="E1646" s="8" t="str">
        <f t="shared" si="428"/>
        <v>Pedro Freyre, José</v>
      </c>
      <c r="F1646" s="8" t="str">
        <f t="shared" si="429"/>
        <v>Pedro Freyre, José</v>
      </c>
      <c r="G1646" s="8" t="str">
        <f t="shared" si="430"/>
        <v>not an outlier</v>
      </c>
      <c r="H1646" s="8" t="str">
        <f t="shared" si="431"/>
        <v>Not</v>
      </c>
      <c r="I1646" s="8" t="str">
        <f t="shared" si="441"/>
        <v>no</v>
      </c>
      <c r="J1646" s="10" t="str">
        <f t="shared" si="432"/>
        <v>no</v>
      </c>
      <c r="K1646" s="10" t="str">
        <f t="shared" si="433"/>
        <v>no</v>
      </c>
      <c r="L1646" t="s">
        <v>234</v>
      </c>
      <c r="M1646">
        <v>10874</v>
      </c>
      <c r="N1646">
        <v>10</v>
      </c>
      <c r="O1646" t="s">
        <v>724</v>
      </c>
      <c r="P1646" t="str">
        <f t="shared" si="434"/>
        <v>GODOS_10874_Ikura</v>
      </c>
      <c r="Q1646" t="str">
        <f t="shared" si="435"/>
        <v>10874</v>
      </c>
      <c r="R1646" t="str">
        <f t="shared" si="436"/>
        <v>10874</v>
      </c>
      <c r="S1646" t="str">
        <f t="shared" si="437"/>
        <v>Ikura</v>
      </c>
      <c r="T1646">
        <v>31</v>
      </c>
      <c r="U1646">
        <v>10</v>
      </c>
      <c r="V1646">
        <v>0</v>
      </c>
      <c r="W1646">
        <f t="shared" si="438"/>
        <v>310</v>
      </c>
      <c r="X1646" t="str">
        <f t="shared" si="439"/>
        <v>yes</v>
      </c>
      <c r="Y1646" s="2">
        <v>35132</v>
      </c>
      <c r="Z1646" t="str">
        <f t="shared" si="425"/>
        <v>1st Q 1996</v>
      </c>
      <c r="AA1646" t="str">
        <f t="shared" si="440"/>
        <v>1st Q 1996</v>
      </c>
      <c r="AB1646" t="str" cm="1">
        <f t="array" ref="AB1646">_xlfn.IFS(Y1646&lt;DATE(1996,1,1),"",Y1646&lt;DATE(1996,4,1),"Q1",Y1646&lt;DATE(1996,7,1),"Q2",Y1646&gt;=DATE(1996,7,1),"")</f>
        <v>Q1</v>
      </c>
    </row>
    <row r="1647" spans="1:28" ht="14.4" x14ac:dyDescent="0.55000000000000004">
      <c r="A1647" t="str">
        <f>VLOOKUP(L1647,Customers!$A$2:$B$92,2,FALSE)</f>
        <v>Berglunds snabbköp</v>
      </c>
      <c r="B1647" t="str">
        <f>VLOOKUP(L1647,Customers!$A$2:$C$92,3,TRUE)</f>
        <v>Christina Berglund</v>
      </c>
      <c r="C1647" t="str">
        <f t="shared" si="426"/>
        <v>Christina</v>
      </c>
      <c r="D1647" s="8" t="str">
        <f t="shared" si="427"/>
        <v>Berglund</v>
      </c>
      <c r="E1647" s="8" t="str">
        <f t="shared" si="428"/>
        <v>Berglund, Christina</v>
      </c>
      <c r="F1647" s="8" t="str">
        <f t="shared" si="429"/>
        <v>Berglund, Christina</v>
      </c>
      <c r="G1647" s="8" t="str">
        <f t="shared" si="430"/>
        <v>not an outlier</v>
      </c>
      <c r="H1647" s="8" t="str">
        <f t="shared" si="431"/>
        <v>Not</v>
      </c>
      <c r="I1647" s="8" t="str">
        <f t="shared" si="441"/>
        <v>no</v>
      </c>
      <c r="J1647" s="10" t="str">
        <f t="shared" si="432"/>
        <v>no</v>
      </c>
      <c r="K1647" s="10" t="str">
        <f t="shared" si="433"/>
        <v>no</v>
      </c>
      <c r="L1647" t="s">
        <v>43</v>
      </c>
      <c r="M1647">
        <v>10875</v>
      </c>
      <c r="N1647">
        <v>19</v>
      </c>
      <c r="O1647" t="s">
        <v>732</v>
      </c>
      <c r="P1647" t="str">
        <f t="shared" si="434"/>
        <v>BERGS_10875_Teatime Chocolate Biscuits</v>
      </c>
      <c r="Q1647" t="str">
        <f t="shared" si="435"/>
        <v>10875</v>
      </c>
      <c r="R1647" t="str">
        <f t="shared" si="436"/>
        <v>10875</v>
      </c>
      <c r="S1647" t="str">
        <f t="shared" si="437"/>
        <v>Teatime Chocolate Biscuits</v>
      </c>
      <c r="T1647">
        <v>9.1999999999999993</v>
      </c>
      <c r="U1647">
        <v>25</v>
      </c>
      <c r="V1647">
        <v>0</v>
      </c>
      <c r="W1647">
        <f t="shared" si="438"/>
        <v>229.99999999999997</v>
      </c>
      <c r="X1647" t="str">
        <f t="shared" si="439"/>
        <v>yes</v>
      </c>
      <c r="Y1647" s="2">
        <v>35132</v>
      </c>
      <c r="Z1647" t="str">
        <f t="shared" si="425"/>
        <v>1st Q 1996</v>
      </c>
      <c r="AA1647" t="str">
        <f t="shared" si="440"/>
        <v>1st Q 1996</v>
      </c>
      <c r="AB1647" t="str" cm="1">
        <f t="array" ref="AB1647">_xlfn.IFS(Y1647&lt;DATE(1996,1,1),"",Y1647&lt;DATE(1996,4,1),"Q1",Y1647&lt;DATE(1996,7,1),"Q2",Y1647&gt;=DATE(1996,7,1),"")</f>
        <v>Q1</v>
      </c>
    </row>
    <row r="1648" spans="1:28" ht="14.4" x14ac:dyDescent="0.55000000000000004">
      <c r="A1648" t="str">
        <f>VLOOKUP(L1648,Customers!$A$2:$B$92,2,FALSE)</f>
        <v>Berglunds snabbköp</v>
      </c>
      <c r="B1648" t="str">
        <f>VLOOKUP(L1648,Customers!$A$2:$C$92,3,TRUE)</f>
        <v>Christina Berglund</v>
      </c>
      <c r="C1648" t="str">
        <f t="shared" si="426"/>
        <v>Christina</v>
      </c>
      <c r="D1648" s="8" t="str">
        <f t="shared" si="427"/>
        <v>Berglund</v>
      </c>
      <c r="E1648" s="8" t="str">
        <f t="shared" si="428"/>
        <v>Berglund, Christina</v>
      </c>
      <c r="F1648" s="8" t="str">
        <f t="shared" si="429"/>
        <v>Berglund, Christina</v>
      </c>
      <c r="G1648" s="8" t="str">
        <f t="shared" si="430"/>
        <v>not an outlier</v>
      </c>
      <c r="H1648" s="8" t="str">
        <f t="shared" si="431"/>
        <v>Not</v>
      </c>
      <c r="I1648" s="8" t="str">
        <f t="shared" si="441"/>
        <v>no</v>
      </c>
      <c r="J1648" s="10" t="str">
        <f t="shared" si="432"/>
        <v>no</v>
      </c>
      <c r="K1648" s="10" t="str">
        <f t="shared" si="433"/>
        <v>no</v>
      </c>
      <c r="L1648" t="s">
        <v>43</v>
      </c>
      <c r="M1648">
        <v>10875</v>
      </c>
      <c r="N1648">
        <v>47</v>
      </c>
      <c r="O1648" t="s">
        <v>752</v>
      </c>
      <c r="P1648" t="str">
        <f t="shared" si="434"/>
        <v>BERGS_10875_Zaanse koeken</v>
      </c>
      <c r="Q1648" t="str">
        <f t="shared" si="435"/>
        <v>10875</v>
      </c>
      <c r="R1648" t="str">
        <f t="shared" si="436"/>
        <v>10875</v>
      </c>
      <c r="S1648" t="str">
        <f t="shared" si="437"/>
        <v>Zaanse koeken</v>
      </c>
      <c r="T1648">
        <v>9.5</v>
      </c>
      <c r="U1648">
        <v>21</v>
      </c>
      <c r="V1648">
        <v>0.1</v>
      </c>
      <c r="W1648">
        <f t="shared" si="438"/>
        <v>179.55</v>
      </c>
      <c r="X1648" t="str">
        <f t="shared" si="439"/>
        <v>yes</v>
      </c>
      <c r="Y1648" s="2">
        <v>35132</v>
      </c>
      <c r="Z1648" t="str">
        <f t="shared" si="425"/>
        <v>1st Q 1996</v>
      </c>
      <c r="AA1648" t="str">
        <f t="shared" si="440"/>
        <v>1st Q 1996</v>
      </c>
      <c r="AB1648" t="str" cm="1">
        <f t="array" ref="AB1648">_xlfn.IFS(Y1648&lt;DATE(1996,1,1),"",Y1648&lt;DATE(1996,4,1),"Q1",Y1648&lt;DATE(1996,7,1),"Q2",Y1648&gt;=DATE(1996,7,1),"")</f>
        <v>Q1</v>
      </c>
    </row>
    <row r="1649" spans="1:28" ht="14.4" x14ac:dyDescent="0.55000000000000004">
      <c r="A1649" t="str">
        <f>VLOOKUP(L1649,Customers!$A$2:$B$92,2,FALSE)</f>
        <v>Berglunds snabbköp</v>
      </c>
      <c r="B1649" t="str">
        <f>VLOOKUP(L1649,Customers!$A$2:$C$92,3,TRUE)</f>
        <v>Christina Berglund</v>
      </c>
      <c r="C1649" t="str">
        <f t="shared" si="426"/>
        <v>Christina</v>
      </c>
      <c r="D1649" s="8" t="str">
        <f t="shared" si="427"/>
        <v>Berglund</v>
      </c>
      <c r="E1649" s="8" t="str">
        <f t="shared" si="428"/>
        <v>Berglund, Christina</v>
      </c>
      <c r="F1649" s="8" t="str">
        <f t="shared" si="429"/>
        <v>Berglund, Christina</v>
      </c>
      <c r="G1649" s="8" t="str">
        <f t="shared" si="430"/>
        <v>not an outlier</v>
      </c>
      <c r="H1649" s="8" t="str">
        <f t="shared" si="431"/>
        <v>Not</v>
      </c>
      <c r="I1649" s="8" t="str">
        <f t="shared" si="441"/>
        <v>no</v>
      </c>
      <c r="J1649" s="10" t="str">
        <f t="shared" si="432"/>
        <v>no</v>
      </c>
      <c r="K1649" s="10" t="str">
        <f t="shared" si="433"/>
        <v>no</v>
      </c>
      <c r="L1649" t="s">
        <v>43</v>
      </c>
      <c r="M1649">
        <v>10875</v>
      </c>
      <c r="N1649">
        <v>49</v>
      </c>
      <c r="O1649" t="s">
        <v>697</v>
      </c>
      <c r="P1649" t="str">
        <f t="shared" si="434"/>
        <v>BERGS_10875_Maxilaku</v>
      </c>
      <c r="Q1649" t="str">
        <f t="shared" si="435"/>
        <v>10875</v>
      </c>
      <c r="R1649" t="str">
        <f t="shared" si="436"/>
        <v>10875</v>
      </c>
      <c r="S1649" t="str">
        <f t="shared" si="437"/>
        <v>Maxilaku</v>
      </c>
      <c r="T1649">
        <v>20</v>
      </c>
      <c r="U1649">
        <v>15</v>
      </c>
      <c r="V1649">
        <v>0</v>
      </c>
      <c r="W1649">
        <f t="shared" si="438"/>
        <v>300</v>
      </c>
      <c r="X1649" t="str">
        <f t="shared" si="439"/>
        <v>yes</v>
      </c>
      <c r="Y1649" s="2">
        <v>35132</v>
      </c>
      <c r="Z1649" t="str">
        <f t="shared" si="425"/>
        <v>1st Q 1996</v>
      </c>
      <c r="AA1649" t="str">
        <f t="shared" si="440"/>
        <v>1st Q 1996</v>
      </c>
      <c r="AB1649" t="str" cm="1">
        <f t="array" ref="AB1649">_xlfn.IFS(Y1649&lt;DATE(1996,1,1),"",Y1649&lt;DATE(1996,4,1),"Q1",Y1649&lt;DATE(1996,7,1),"Q2",Y1649&gt;=DATE(1996,7,1),"")</f>
        <v>Q1</v>
      </c>
    </row>
    <row r="1650" spans="1:28" ht="14.4" x14ac:dyDescent="0.55000000000000004">
      <c r="A1650" t="str">
        <f>VLOOKUP(L1650,Customers!$A$2:$B$92,2,FALSE)</f>
        <v>Bon app'</v>
      </c>
      <c r="B1650" t="str">
        <f>VLOOKUP(L1650,Customers!$A$2:$C$92,3,TRUE)</f>
        <v>Laurence Lebihan</v>
      </c>
      <c r="C1650" t="str">
        <f t="shared" si="426"/>
        <v>Laurence</v>
      </c>
      <c r="D1650" s="8" t="str">
        <f t="shared" si="427"/>
        <v>Lebihan</v>
      </c>
      <c r="E1650" s="8" t="str">
        <f t="shared" si="428"/>
        <v>Lebihan, Laurence</v>
      </c>
      <c r="F1650" s="8" t="str">
        <f t="shared" si="429"/>
        <v>Lebihan, Laurence</v>
      </c>
      <c r="G1650" s="8" t="str">
        <f t="shared" si="430"/>
        <v>not an outlier</v>
      </c>
      <c r="H1650" s="8" t="str">
        <f t="shared" si="431"/>
        <v>Not</v>
      </c>
      <c r="I1650" s="8" t="str">
        <f t="shared" si="441"/>
        <v>no</v>
      </c>
      <c r="J1650" s="10" t="str">
        <f t="shared" si="432"/>
        <v>no</v>
      </c>
      <c r="K1650" s="10" t="str">
        <f t="shared" si="433"/>
        <v>no</v>
      </c>
      <c r="L1650" t="s">
        <v>77</v>
      </c>
      <c r="M1650">
        <v>10876</v>
      </c>
      <c r="N1650">
        <v>46</v>
      </c>
      <c r="O1650" t="s">
        <v>737</v>
      </c>
      <c r="P1650" t="str">
        <f t="shared" si="434"/>
        <v>BONAP_10876_Spegesild</v>
      </c>
      <c r="Q1650" t="str">
        <f t="shared" si="435"/>
        <v>10876</v>
      </c>
      <c r="R1650" t="str">
        <f t="shared" si="436"/>
        <v>10876</v>
      </c>
      <c r="S1650" t="str">
        <f t="shared" si="437"/>
        <v>Spegesild</v>
      </c>
      <c r="T1650">
        <v>12</v>
      </c>
      <c r="U1650">
        <v>21</v>
      </c>
      <c r="V1650">
        <v>0</v>
      </c>
      <c r="W1650">
        <f t="shared" si="438"/>
        <v>252</v>
      </c>
      <c r="X1650" t="str">
        <f t="shared" si="439"/>
        <v>yes</v>
      </c>
      <c r="Y1650" s="2">
        <v>35135</v>
      </c>
      <c r="Z1650" t="str">
        <f t="shared" si="425"/>
        <v>1st Q 1996</v>
      </c>
      <c r="AA1650" t="str">
        <f t="shared" si="440"/>
        <v>1st Q 1996</v>
      </c>
      <c r="AB1650" t="str" cm="1">
        <f t="array" ref="AB1650">_xlfn.IFS(Y1650&lt;DATE(1996,1,1),"",Y1650&lt;DATE(1996,4,1),"Q1",Y1650&lt;DATE(1996,7,1),"Q2",Y1650&gt;=DATE(1996,7,1),"")</f>
        <v>Q1</v>
      </c>
    </row>
    <row r="1651" spans="1:28" ht="14.4" x14ac:dyDescent="0.55000000000000004">
      <c r="A1651" t="str">
        <f>VLOOKUP(L1651,Customers!$A$2:$B$92,2,FALSE)</f>
        <v>Bon app'</v>
      </c>
      <c r="B1651" t="str">
        <f>VLOOKUP(L1651,Customers!$A$2:$C$92,3,TRUE)</f>
        <v>Laurence Lebihan</v>
      </c>
      <c r="C1651" t="str">
        <f t="shared" si="426"/>
        <v>Laurence</v>
      </c>
      <c r="D1651" s="8" t="str">
        <f t="shared" si="427"/>
        <v>Lebihan</v>
      </c>
      <c r="E1651" s="8" t="str">
        <f t="shared" si="428"/>
        <v>Lebihan, Laurence</v>
      </c>
      <c r="F1651" s="8" t="str">
        <f t="shared" si="429"/>
        <v>Lebihan, Laurence</v>
      </c>
      <c r="G1651" s="8" t="str">
        <f t="shared" si="430"/>
        <v>not an outlier</v>
      </c>
      <c r="H1651" s="8" t="str">
        <f t="shared" si="431"/>
        <v>Not</v>
      </c>
      <c r="I1651" s="8" t="str">
        <f t="shared" si="441"/>
        <v>no</v>
      </c>
      <c r="J1651" s="10" t="str">
        <f t="shared" si="432"/>
        <v>no</v>
      </c>
      <c r="K1651" s="10" t="str">
        <f t="shared" si="433"/>
        <v>no</v>
      </c>
      <c r="L1651" t="s">
        <v>77</v>
      </c>
      <c r="M1651">
        <v>10876</v>
      </c>
      <c r="N1651">
        <v>64</v>
      </c>
      <c r="O1651" t="s">
        <v>741</v>
      </c>
      <c r="P1651" t="str">
        <f t="shared" si="434"/>
        <v>BONAP_10876_Wimmers gute Semmelknödel</v>
      </c>
      <c r="Q1651" t="str">
        <f t="shared" si="435"/>
        <v>10876</v>
      </c>
      <c r="R1651" t="str">
        <f t="shared" si="436"/>
        <v>10876</v>
      </c>
      <c r="S1651" t="str">
        <f t="shared" si="437"/>
        <v>Wimmers gute Semmelknödel</v>
      </c>
      <c r="T1651">
        <v>33.25</v>
      </c>
      <c r="U1651">
        <v>20</v>
      </c>
      <c r="V1651">
        <v>0</v>
      </c>
      <c r="W1651">
        <f t="shared" si="438"/>
        <v>665</v>
      </c>
      <c r="X1651" t="str">
        <f t="shared" si="439"/>
        <v>yes</v>
      </c>
      <c r="Y1651" s="2">
        <v>35135</v>
      </c>
      <c r="Z1651" t="str">
        <f t="shared" si="425"/>
        <v>1st Q 1996</v>
      </c>
      <c r="AA1651" t="str">
        <f t="shared" si="440"/>
        <v>1st Q 1996</v>
      </c>
      <c r="AB1651" t="str" cm="1">
        <f t="array" ref="AB1651">_xlfn.IFS(Y1651&lt;DATE(1996,1,1),"",Y1651&lt;DATE(1996,4,1),"Q1",Y1651&lt;DATE(1996,7,1),"Q2",Y1651&gt;=DATE(1996,7,1),"")</f>
        <v>Q1</v>
      </c>
    </row>
    <row r="1652" spans="1:28" ht="14.4" x14ac:dyDescent="0.55000000000000004">
      <c r="A1652" t="str">
        <f>VLOOKUP(L1652,Customers!$A$2:$B$92,2,FALSE)</f>
        <v>Ricardo Adocicados</v>
      </c>
      <c r="B1652" t="str">
        <f>VLOOKUP(L1652,Customers!$A$2:$C$92,3,TRUE)</f>
        <v>Janete Limeira</v>
      </c>
      <c r="C1652" t="str">
        <f t="shared" si="426"/>
        <v>Janete</v>
      </c>
      <c r="D1652" s="8" t="str">
        <f t="shared" si="427"/>
        <v>Limeira</v>
      </c>
      <c r="E1652" s="8" t="str">
        <f t="shared" si="428"/>
        <v>Limeira, Janete</v>
      </c>
      <c r="F1652" s="8" t="str">
        <f t="shared" si="429"/>
        <v>Limeira, Janete</v>
      </c>
      <c r="G1652" s="8" t="str">
        <f t="shared" si="430"/>
        <v>not an outlier</v>
      </c>
      <c r="H1652" s="8" t="str">
        <f t="shared" si="431"/>
        <v>Not</v>
      </c>
      <c r="I1652" s="8" t="str">
        <f t="shared" si="441"/>
        <v>no</v>
      </c>
      <c r="J1652" s="10" t="str">
        <f t="shared" si="432"/>
        <v>no</v>
      </c>
      <c r="K1652" s="10" t="str">
        <f t="shared" si="433"/>
        <v>no</v>
      </c>
      <c r="L1652" t="s">
        <v>503</v>
      </c>
      <c r="M1652">
        <v>10877</v>
      </c>
      <c r="N1652">
        <v>16</v>
      </c>
      <c r="O1652" t="s">
        <v>702</v>
      </c>
      <c r="P1652" t="str">
        <f t="shared" si="434"/>
        <v>RICAR_10877_Pavlova</v>
      </c>
      <c r="Q1652" t="str">
        <f t="shared" si="435"/>
        <v>10877</v>
      </c>
      <c r="R1652" t="str">
        <f t="shared" si="436"/>
        <v>10877</v>
      </c>
      <c r="S1652" t="str">
        <f t="shared" si="437"/>
        <v>Pavlova</v>
      </c>
      <c r="T1652">
        <v>17.45</v>
      </c>
      <c r="U1652">
        <v>30</v>
      </c>
      <c r="V1652">
        <v>0.25</v>
      </c>
      <c r="W1652">
        <f t="shared" si="438"/>
        <v>392.625</v>
      </c>
      <c r="X1652" t="str">
        <f t="shared" si="439"/>
        <v>yes</v>
      </c>
      <c r="Y1652" s="2">
        <v>35135</v>
      </c>
      <c r="Z1652" t="str">
        <f t="shared" si="425"/>
        <v>1st Q 1996</v>
      </c>
      <c r="AA1652" t="str">
        <f t="shared" si="440"/>
        <v>1st Q 1996</v>
      </c>
      <c r="AB1652" t="str" cm="1">
        <f t="array" ref="AB1652">_xlfn.IFS(Y1652&lt;DATE(1996,1,1),"",Y1652&lt;DATE(1996,4,1),"Q1",Y1652&lt;DATE(1996,7,1),"Q2",Y1652&gt;=DATE(1996,7,1),"")</f>
        <v>Q1</v>
      </c>
    </row>
    <row r="1653" spans="1:28" ht="14.4" x14ac:dyDescent="0.55000000000000004">
      <c r="A1653" t="str">
        <f>VLOOKUP(L1653,Customers!$A$2:$B$92,2,FALSE)</f>
        <v>Ricardo Adocicados</v>
      </c>
      <c r="B1653" t="str">
        <f>VLOOKUP(L1653,Customers!$A$2:$C$92,3,TRUE)</f>
        <v>Janete Limeira</v>
      </c>
      <c r="C1653" t="str">
        <f t="shared" si="426"/>
        <v>Janete</v>
      </c>
      <c r="D1653" s="8" t="str">
        <f t="shared" si="427"/>
        <v>Limeira</v>
      </c>
      <c r="E1653" s="8" t="str">
        <f t="shared" si="428"/>
        <v>Limeira, Janete</v>
      </c>
      <c r="F1653" s="8" t="str">
        <f t="shared" si="429"/>
        <v>Limeira, Janete</v>
      </c>
      <c r="G1653" s="8" t="str">
        <f t="shared" si="430"/>
        <v>not an outlier</v>
      </c>
      <c r="H1653" s="8" t="str">
        <f t="shared" si="431"/>
        <v>Not</v>
      </c>
      <c r="I1653" s="8" t="str">
        <f t="shared" si="441"/>
        <v>no</v>
      </c>
      <c r="J1653" s="10" t="str">
        <f t="shared" si="432"/>
        <v>no</v>
      </c>
      <c r="K1653" s="10" t="str">
        <f t="shared" si="433"/>
        <v>no</v>
      </c>
      <c r="L1653" t="s">
        <v>503</v>
      </c>
      <c r="M1653">
        <v>10877</v>
      </c>
      <c r="N1653">
        <v>18</v>
      </c>
      <c r="O1653" t="s">
        <v>742</v>
      </c>
      <c r="P1653" t="str">
        <f t="shared" si="434"/>
        <v>RICAR_10877_Carnarvon Tigers</v>
      </c>
      <c r="Q1653" t="str">
        <f t="shared" si="435"/>
        <v>10877</v>
      </c>
      <c r="R1653" t="str">
        <f t="shared" si="436"/>
        <v>10877</v>
      </c>
      <c r="S1653" t="str">
        <f t="shared" si="437"/>
        <v>Carnarvon Tigers</v>
      </c>
      <c r="T1653">
        <v>62.5</v>
      </c>
      <c r="U1653">
        <v>25</v>
      </c>
      <c r="V1653">
        <v>0</v>
      </c>
      <c r="W1653">
        <f t="shared" si="438"/>
        <v>1562.5</v>
      </c>
      <c r="X1653" t="str">
        <f t="shared" si="439"/>
        <v>yes</v>
      </c>
      <c r="Y1653" s="2">
        <v>35135</v>
      </c>
      <c r="Z1653" t="str">
        <f t="shared" si="425"/>
        <v>1st Q 1996</v>
      </c>
      <c r="AA1653" t="str">
        <f t="shared" si="440"/>
        <v>1st Q 1996</v>
      </c>
      <c r="AB1653" t="str" cm="1">
        <f t="array" ref="AB1653">_xlfn.IFS(Y1653&lt;DATE(1996,1,1),"",Y1653&lt;DATE(1996,4,1),"Q1",Y1653&lt;DATE(1996,7,1),"Q2",Y1653&gt;=DATE(1996,7,1),"")</f>
        <v>Q1</v>
      </c>
    </row>
    <row r="1654" spans="1:28" ht="14.4" x14ac:dyDescent="0.55000000000000004">
      <c r="A1654" t="str">
        <f>VLOOKUP(L1654,Customers!$A$2:$B$92,2,FALSE)</f>
        <v>QUICK-Stop</v>
      </c>
      <c r="B1654" t="str">
        <f>VLOOKUP(L1654,Customers!$A$2:$C$92,3,TRUE)</f>
        <v>Horst Kloss</v>
      </c>
      <c r="C1654" t="str">
        <f t="shared" si="426"/>
        <v>Horst</v>
      </c>
      <c r="D1654" s="8" t="str">
        <f t="shared" si="427"/>
        <v>Kloss</v>
      </c>
      <c r="E1654" s="8" t="str">
        <f t="shared" si="428"/>
        <v>Kloss, Horst</v>
      </c>
      <c r="F1654" s="8" t="str">
        <f t="shared" si="429"/>
        <v>Kloss, Horst</v>
      </c>
      <c r="G1654" s="8" t="str">
        <f t="shared" si="430"/>
        <v>not an outlier</v>
      </c>
      <c r="H1654" s="8" t="str">
        <f t="shared" si="431"/>
        <v>Not</v>
      </c>
      <c r="I1654" s="8" t="str">
        <f t="shared" si="441"/>
        <v>no</v>
      </c>
      <c r="J1654" s="10" t="str">
        <f t="shared" si="432"/>
        <v>no</v>
      </c>
      <c r="K1654" s="10" t="str">
        <f t="shared" si="433"/>
        <v>no</v>
      </c>
      <c r="L1654" t="s">
        <v>475</v>
      </c>
      <c r="M1654">
        <v>10878</v>
      </c>
      <c r="N1654">
        <v>20</v>
      </c>
      <c r="O1654" t="s">
        <v>692</v>
      </c>
      <c r="P1654" t="str">
        <f t="shared" si="434"/>
        <v>QUICK_10878_Sir Rodney's Marmalade</v>
      </c>
      <c r="Q1654" t="str">
        <f t="shared" si="435"/>
        <v>10878</v>
      </c>
      <c r="R1654" t="str">
        <f t="shared" si="436"/>
        <v>10878</v>
      </c>
      <c r="S1654" t="str">
        <f t="shared" si="437"/>
        <v>Sir Rodney's Marmalade</v>
      </c>
      <c r="T1654">
        <v>81</v>
      </c>
      <c r="U1654">
        <v>20</v>
      </c>
      <c r="V1654">
        <v>0.05</v>
      </c>
      <c r="W1654">
        <f t="shared" si="438"/>
        <v>1539</v>
      </c>
      <c r="X1654" t="str">
        <f t="shared" si="439"/>
        <v>yes</v>
      </c>
      <c r="Y1654" s="2">
        <v>35136</v>
      </c>
      <c r="Z1654" t="str">
        <f t="shared" si="425"/>
        <v>1st Q 1996</v>
      </c>
      <c r="AA1654" t="str">
        <f t="shared" si="440"/>
        <v>1st Q 1996</v>
      </c>
      <c r="AB1654" t="str" cm="1">
        <f t="array" ref="AB1654">_xlfn.IFS(Y1654&lt;DATE(1996,1,1),"",Y1654&lt;DATE(1996,4,1),"Q1",Y1654&lt;DATE(1996,7,1),"Q2",Y1654&gt;=DATE(1996,7,1),"")</f>
        <v>Q1</v>
      </c>
    </row>
    <row r="1655" spans="1:28" ht="14.4" x14ac:dyDescent="0.55000000000000004">
      <c r="A1655" t="str">
        <f>VLOOKUP(L1655,Customers!$A$2:$B$92,2,FALSE)</f>
        <v>Wilman Kala</v>
      </c>
      <c r="B1655" t="str">
        <f>VLOOKUP(L1655,Customers!$A$2:$C$92,3,TRUE)</f>
        <v>Matti Karttunen</v>
      </c>
      <c r="C1655" t="str">
        <f t="shared" si="426"/>
        <v>Matti</v>
      </c>
      <c r="D1655" s="8" t="str">
        <f t="shared" si="427"/>
        <v>Karttunen</v>
      </c>
      <c r="E1655" s="8" t="str">
        <f t="shared" si="428"/>
        <v>Karttunen, Matti</v>
      </c>
      <c r="F1655" s="8" t="str">
        <f t="shared" si="429"/>
        <v>Karttunen, Matti</v>
      </c>
      <c r="G1655" s="8" t="str">
        <f t="shared" si="430"/>
        <v>not an outlier</v>
      </c>
      <c r="H1655" s="8" t="str">
        <f t="shared" si="431"/>
        <v>Not</v>
      </c>
      <c r="I1655" s="8" t="str">
        <f t="shared" si="441"/>
        <v>no</v>
      </c>
      <c r="J1655" s="10" t="str">
        <f t="shared" si="432"/>
        <v>no</v>
      </c>
      <c r="K1655" s="10" t="str">
        <f t="shared" si="433"/>
        <v>no</v>
      </c>
      <c r="L1655" t="s">
        <v>661</v>
      </c>
      <c r="M1655">
        <v>10879</v>
      </c>
      <c r="N1655">
        <v>40</v>
      </c>
      <c r="O1655" t="s">
        <v>720</v>
      </c>
      <c r="P1655" t="str">
        <f t="shared" si="434"/>
        <v>WILMK_10879_Boston Crab Meat</v>
      </c>
      <c r="Q1655" t="str">
        <f t="shared" si="435"/>
        <v>10879</v>
      </c>
      <c r="R1655" t="str">
        <f t="shared" si="436"/>
        <v>10879</v>
      </c>
      <c r="S1655" t="str">
        <f t="shared" si="437"/>
        <v>Boston Crab Meat</v>
      </c>
      <c r="T1655">
        <v>18.399999999999999</v>
      </c>
      <c r="U1655">
        <v>12</v>
      </c>
      <c r="V1655">
        <v>0</v>
      </c>
      <c r="W1655">
        <f t="shared" si="438"/>
        <v>220.79999999999998</v>
      </c>
      <c r="X1655" t="str">
        <f t="shared" si="439"/>
        <v>yes</v>
      </c>
      <c r="Y1655" s="2">
        <v>35136</v>
      </c>
      <c r="Z1655" t="str">
        <f t="shared" si="425"/>
        <v>1st Q 1996</v>
      </c>
      <c r="AA1655" t="str">
        <f t="shared" si="440"/>
        <v>1st Q 1996</v>
      </c>
      <c r="AB1655" t="str" cm="1">
        <f t="array" ref="AB1655">_xlfn.IFS(Y1655&lt;DATE(1996,1,1),"",Y1655&lt;DATE(1996,4,1),"Q1",Y1655&lt;DATE(1996,7,1),"Q2",Y1655&gt;=DATE(1996,7,1),"")</f>
        <v>Q1</v>
      </c>
    </row>
    <row r="1656" spans="1:28" ht="14.4" x14ac:dyDescent="0.55000000000000004">
      <c r="A1656" t="str">
        <f>VLOOKUP(L1656,Customers!$A$2:$B$92,2,FALSE)</f>
        <v>Wilman Kala</v>
      </c>
      <c r="B1656" t="str">
        <f>VLOOKUP(L1656,Customers!$A$2:$C$92,3,TRUE)</f>
        <v>Matti Karttunen</v>
      </c>
      <c r="C1656" t="str">
        <f t="shared" si="426"/>
        <v>Matti</v>
      </c>
      <c r="D1656" s="8" t="str">
        <f t="shared" si="427"/>
        <v>Karttunen</v>
      </c>
      <c r="E1656" s="8" t="str">
        <f t="shared" si="428"/>
        <v>Karttunen, Matti</v>
      </c>
      <c r="F1656" s="8" t="str">
        <f t="shared" si="429"/>
        <v>Karttunen, Matti</v>
      </c>
      <c r="G1656" s="8" t="str">
        <f t="shared" si="430"/>
        <v>not an outlier</v>
      </c>
      <c r="H1656" s="8" t="str">
        <f t="shared" si="431"/>
        <v>Not</v>
      </c>
      <c r="I1656" s="8" t="str">
        <f t="shared" si="441"/>
        <v>no</v>
      </c>
      <c r="J1656" s="10" t="str">
        <f t="shared" si="432"/>
        <v>no</v>
      </c>
      <c r="K1656" s="10" t="str">
        <f t="shared" si="433"/>
        <v>no</v>
      </c>
      <c r="L1656" t="s">
        <v>661</v>
      </c>
      <c r="M1656">
        <v>10879</v>
      </c>
      <c r="N1656">
        <v>65</v>
      </c>
      <c r="O1656" t="s">
        <v>689</v>
      </c>
      <c r="P1656" t="str">
        <f t="shared" si="434"/>
        <v>WILMK_10879_Louisiana Fiery Hot Pepper Sauce</v>
      </c>
      <c r="Q1656" t="str">
        <f t="shared" si="435"/>
        <v>10879</v>
      </c>
      <c r="R1656" t="str">
        <f t="shared" si="436"/>
        <v>10879</v>
      </c>
      <c r="S1656" t="str">
        <f t="shared" si="437"/>
        <v>Louisiana Fiery Hot Pepper Sauce</v>
      </c>
      <c r="T1656">
        <v>21.05</v>
      </c>
      <c r="U1656">
        <v>10</v>
      </c>
      <c r="V1656">
        <v>0</v>
      </c>
      <c r="W1656">
        <f t="shared" si="438"/>
        <v>210.5</v>
      </c>
      <c r="X1656" t="str">
        <f t="shared" si="439"/>
        <v>yes</v>
      </c>
      <c r="Y1656" s="2">
        <v>35136</v>
      </c>
      <c r="Z1656" t="str">
        <f t="shared" si="425"/>
        <v>1st Q 1996</v>
      </c>
      <c r="AA1656" t="str">
        <f t="shared" si="440"/>
        <v>1st Q 1996</v>
      </c>
      <c r="AB1656" t="str" cm="1">
        <f t="array" ref="AB1656">_xlfn.IFS(Y1656&lt;DATE(1996,1,1),"",Y1656&lt;DATE(1996,4,1),"Q1",Y1656&lt;DATE(1996,7,1),"Q2",Y1656&gt;=DATE(1996,7,1),"")</f>
        <v>Q1</v>
      </c>
    </row>
    <row r="1657" spans="1:28" ht="14.4" x14ac:dyDescent="0.55000000000000004">
      <c r="A1657" t="str">
        <f>VLOOKUP(L1657,Customers!$A$2:$B$92,2,FALSE)</f>
        <v>Wilman Kala</v>
      </c>
      <c r="B1657" t="str">
        <f>VLOOKUP(L1657,Customers!$A$2:$C$92,3,TRUE)</f>
        <v>Matti Karttunen</v>
      </c>
      <c r="C1657" t="str">
        <f t="shared" si="426"/>
        <v>Matti</v>
      </c>
      <c r="D1657" s="8" t="str">
        <f t="shared" si="427"/>
        <v>Karttunen</v>
      </c>
      <c r="E1657" s="8" t="str">
        <f t="shared" si="428"/>
        <v>Karttunen, Matti</v>
      </c>
      <c r="F1657" s="8" t="str">
        <f t="shared" si="429"/>
        <v>Karttunen, Matti</v>
      </c>
      <c r="G1657" s="8" t="str">
        <f t="shared" si="430"/>
        <v>not an outlier</v>
      </c>
      <c r="H1657" s="8" t="str">
        <f t="shared" si="431"/>
        <v>Not</v>
      </c>
      <c r="I1657" s="8" t="str">
        <f t="shared" si="441"/>
        <v>no</v>
      </c>
      <c r="J1657" s="10" t="str">
        <f t="shared" si="432"/>
        <v>no</v>
      </c>
      <c r="K1657" s="10" t="str">
        <f t="shared" si="433"/>
        <v>no</v>
      </c>
      <c r="L1657" t="s">
        <v>661</v>
      </c>
      <c r="M1657">
        <v>10879</v>
      </c>
      <c r="N1657">
        <v>76</v>
      </c>
      <c r="O1657" t="s">
        <v>721</v>
      </c>
      <c r="P1657" t="str">
        <f t="shared" si="434"/>
        <v>WILMK_10879_Lakkalikööri</v>
      </c>
      <c r="Q1657" t="str">
        <f t="shared" si="435"/>
        <v>10879</v>
      </c>
      <c r="R1657" t="str">
        <f t="shared" si="436"/>
        <v>10879</v>
      </c>
      <c r="S1657" t="str">
        <f t="shared" si="437"/>
        <v>Lakkalikööri</v>
      </c>
      <c r="T1657">
        <v>18</v>
      </c>
      <c r="U1657">
        <v>10</v>
      </c>
      <c r="V1657">
        <v>0</v>
      </c>
      <c r="W1657">
        <f t="shared" si="438"/>
        <v>180</v>
      </c>
      <c r="X1657" t="str">
        <f t="shared" si="439"/>
        <v>yes</v>
      </c>
      <c r="Y1657" s="2">
        <v>35136</v>
      </c>
      <c r="Z1657" t="str">
        <f t="shared" si="425"/>
        <v>1st Q 1996</v>
      </c>
      <c r="AA1657" t="str">
        <f t="shared" si="440"/>
        <v>1st Q 1996</v>
      </c>
      <c r="AB1657" t="str" cm="1">
        <f t="array" ref="AB1657">_xlfn.IFS(Y1657&lt;DATE(1996,1,1),"",Y1657&lt;DATE(1996,4,1),"Q1",Y1657&lt;DATE(1996,7,1),"Q2",Y1657&gt;=DATE(1996,7,1),"")</f>
        <v>Q1</v>
      </c>
    </row>
    <row r="1658" spans="1:28" ht="14.4" x14ac:dyDescent="0.55000000000000004">
      <c r="A1658" t="str">
        <f>VLOOKUP(L1658,Customers!$A$2:$B$92,2,FALSE)</f>
        <v>Folk och fä HB</v>
      </c>
      <c r="B1658" t="str">
        <f>VLOOKUP(L1658,Customers!$A$2:$C$92,3,TRUE)</f>
        <v>Maria Larsson</v>
      </c>
      <c r="C1658" t="str">
        <f t="shared" si="426"/>
        <v>Maria</v>
      </c>
      <c r="D1658" s="8" t="str">
        <f t="shared" si="427"/>
        <v>Larsson</v>
      </c>
      <c r="E1658" s="8" t="str">
        <f t="shared" si="428"/>
        <v>Larsson, Maria</v>
      </c>
      <c r="F1658" s="8" t="str">
        <f t="shared" si="429"/>
        <v>Larsson, Maria</v>
      </c>
      <c r="G1658" s="8" t="str">
        <f t="shared" si="430"/>
        <v>not an outlier</v>
      </c>
      <c r="H1658" s="8" t="str">
        <f t="shared" si="431"/>
        <v>Not</v>
      </c>
      <c r="I1658" s="8" t="str">
        <f t="shared" si="441"/>
        <v>no</v>
      </c>
      <c r="J1658" s="10" t="str">
        <f t="shared" si="432"/>
        <v>no</v>
      </c>
      <c r="K1658" s="10" t="str">
        <f t="shared" si="433"/>
        <v>no</v>
      </c>
      <c r="L1658" t="s">
        <v>191</v>
      </c>
      <c r="M1658">
        <v>10880</v>
      </c>
      <c r="N1658">
        <v>23</v>
      </c>
      <c r="O1658" t="s">
        <v>753</v>
      </c>
      <c r="P1658" t="str">
        <f t="shared" si="434"/>
        <v>FOLKO_10880_Tunnbröd</v>
      </c>
      <c r="Q1658" t="str">
        <f t="shared" si="435"/>
        <v>10880</v>
      </c>
      <c r="R1658" t="str">
        <f t="shared" si="436"/>
        <v>10880</v>
      </c>
      <c r="S1658" t="str">
        <f t="shared" si="437"/>
        <v>Tunnbröd</v>
      </c>
      <c r="T1658">
        <v>9</v>
      </c>
      <c r="U1658">
        <v>30</v>
      </c>
      <c r="V1658">
        <v>0.2</v>
      </c>
      <c r="W1658">
        <f t="shared" si="438"/>
        <v>216</v>
      </c>
      <c r="X1658" t="str">
        <f t="shared" si="439"/>
        <v>yes</v>
      </c>
      <c r="Y1658" s="2">
        <v>35136</v>
      </c>
      <c r="Z1658" t="str">
        <f t="shared" si="425"/>
        <v>1st Q 1996</v>
      </c>
      <c r="AA1658" t="str">
        <f t="shared" si="440"/>
        <v>1st Q 1996</v>
      </c>
      <c r="AB1658" t="str" cm="1">
        <f t="array" ref="AB1658">_xlfn.IFS(Y1658&lt;DATE(1996,1,1),"",Y1658&lt;DATE(1996,4,1),"Q1",Y1658&lt;DATE(1996,7,1),"Q2",Y1658&gt;=DATE(1996,7,1),"")</f>
        <v>Q1</v>
      </c>
    </row>
    <row r="1659" spans="1:28" ht="14.4" x14ac:dyDescent="0.55000000000000004">
      <c r="A1659" t="str">
        <f>VLOOKUP(L1659,Customers!$A$2:$B$92,2,FALSE)</f>
        <v>Folk och fä HB</v>
      </c>
      <c r="B1659" t="str">
        <f>VLOOKUP(L1659,Customers!$A$2:$C$92,3,TRUE)</f>
        <v>Maria Larsson</v>
      </c>
      <c r="C1659" t="str">
        <f t="shared" si="426"/>
        <v>Maria</v>
      </c>
      <c r="D1659" s="8" t="str">
        <f t="shared" si="427"/>
        <v>Larsson</v>
      </c>
      <c r="E1659" s="8" t="str">
        <f t="shared" si="428"/>
        <v>Larsson, Maria</v>
      </c>
      <c r="F1659" s="8" t="str">
        <f t="shared" si="429"/>
        <v>Larsson, Maria</v>
      </c>
      <c r="G1659" s="8" t="str">
        <f t="shared" si="430"/>
        <v>not an outlier</v>
      </c>
      <c r="H1659" s="8" t="str">
        <f t="shared" si="431"/>
        <v>Not</v>
      </c>
      <c r="I1659" s="8" t="str">
        <f t="shared" si="441"/>
        <v>no</v>
      </c>
      <c r="J1659" s="10" t="str">
        <f t="shared" si="432"/>
        <v>no</v>
      </c>
      <c r="K1659" s="10" t="str">
        <f t="shared" si="433"/>
        <v>no</v>
      </c>
      <c r="L1659" t="s">
        <v>191</v>
      </c>
      <c r="M1659">
        <v>10880</v>
      </c>
      <c r="N1659">
        <v>61</v>
      </c>
      <c r="O1659" t="s">
        <v>758</v>
      </c>
      <c r="P1659" t="str">
        <f t="shared" si="434"/>
        <v>FOLKO_10880_Sirop d'érable</v>
      </c>
      <c r="Q1659" t="str">
        <f t="shared" si="435"/>
        <v>10880</v>
      </c>
      <c r="R1659" t="str">
        <f t="shared" si="436"/>
        <v>10880</v>
      </c>
      <c r="S1659" t="str">
        <f t="shared" si="437"/>
        <v>Sirop d'érable</v>
      </c>
      <c r="T1659">
        <v>28.5</v>
      </c>
      <c r="U1659">
        <v>30</v>
      </c>
      <c r="V1659">
        <v>0.2</v>
      </c>
      <c r="W1659">
        <f t="shared" si="438"/>
        <v>684</v>
      </c>
      <c r="X1659" t="str">
        <f t="shared" si="439"/>
        <v>yes</v>
      </c>
      <c r="Y1659" s="2">
        <v>35136</v>
      </c>
      <c r="Z1659" t="str">
        <f t="shared" si="425"/>
        <v>1st Q 1996</v>
      </c>
      <c r="AA1659" t="str">
        <f t="shared" si="440"/>
        <v>1st Q 1996</v>
      </c>
      <c r="AB1659" t="str" cm="1">
        <f t="array" ref="AB1659">_xlfn.IFS(Y1659&lt;DATE(1996,1,1),"",Y1659&lt;DATE(1996,4,1),"Q1",Y1659&lt;DATE(1996,7,1),"Q2",Y1659&gt;=DATE(1996,7,1),"")</f>
        <v>Q1</v>
      </c>
    </row>
    <row r="1660" spans="1:28" ht="14.4" x14ac:dyDescent="0.55000000000000004">
      <c r="A1660" t="str">
        <f>VLOOKUP(L1660,Customers!$A$2:$B$92,2,FALSE)</f>
        <v>Folk och fä HB</v>
      </c>
      <c r="B1660" t="str">
        <f>VLOOKUP(L1660,Customers!$A$2:$C$92,3,TRUE)</f>
        <v>Maria Larsson</v>
      </c>
      <c r="C1660" t="str">
        <f t="shared" si="426"/>
        <v>Maria</v>
      </c>
      <c r="D1660" s="8" t="str">
        <f t="shared" si="427"/>
        <v>Larsson</v>
      </c>
      <c r="E1660" s="8" t="str">
        <f t="shared" si="428"/>
        <v>Larsson, Maria</v>
      </c>
      <c r="F1660" s="8" t="str">
        <f t="shared" si="429"/>
        <v>Larsson, Maria</v>
      </c>
      <c r="G1660" s="8" t="str">
        <f t="shared" si="430"/>
        <v>not an outlier</v>
      </c>
      <c r="H1660" s="8" t="str">
        <f t="shared" si="431"/>
        <v>Not</v>
      </c>
      <c r="I1660" s="8" t="str">
        <f t="shared" si="441"/>
        <v>no</v>
      </c>
      <c r="J1660" s="10" t="str">
        <f t="shared" si="432"/>
        <v>no</v>
      </c>
      <c r="K1660" s="10" t="str">
        <f t="shared" si="433"/>
        <v>no</v>
      </c>
      <c r="L1660" t="s">
        <v>191</v>
      </c>
      <c r="M1660">
        <v>10880</v>
      </c>
      <c r="N1660">
        <v>70</v>
      </c>
      <c r="O1660" t="s">
        <v>713</v>
      </c>
      <c r="P1660" t="str">
        <f t="shared" si="434"/>
        <v>FOLKO_10880_Outback Lager</v>
      </c>
      <c r="Q1660" t="str">
        <f t="shared" si="435"/>
        <v>10880</v>
      </c>
      <c r="R1660" t="str">
        <f t="shared" si="436"/>
        <v>10880</v>
      </c>
      <c r="S1660" t="str">
        <f t="shared" si="437"/>
        <v>Outback Lager</v>
      </c>
      <c r="T1660">
        <v>15</v>
      </c>
      <c r="U1660">
        <v>50</v>
      </c>
      <c r="V1660">
        <v>0.2</v>
      </c>
      <c r="W1660">
        <f t="shared" si="438"/>
        <v>600</v>
      </c>
      <c r="X1660" t="str">
        <f t="shared" si="439"/>
        <v>yes</v>
      </c>
      <c r="Y1660" s="2">
        <v>35136</v>
      </c>
      <c r="Z1660" t="str">
        <f t="shared" si="425"/>
        <v>1st Q 1996</v>
      </c>
      <c r="AA1660" t="str">
        <f t="shared" si="440"/>
        <v>1st Q 1996</v>
      </c>
      <c r="AB1660" t="str" cm="1">
        <f t="array" ref="AB1660">_xlfn.IFS(Y1660&lt;DATE(1996,1,1),"",Y1660&lt;DATE(1996,4,1),"Q1",Y1660&lt;DATE(1996,7,1),"Q2",Y1660&gt;=DATE(1996,7,1),"")</f>
        <v>Q1</v>
      </c>
    </row>
    <row r="1661" spans="1:28" ht="14.4" x14ac:dyDescent="0.55000000000000004">
      <c r="A1661" t="str">
        <f>VLOOKUP(L1661,Customers!$A$2:$B$92,2,FALSE)</f>
        <v>Cactus Comidas para llevar</v>
      </c>
      <c r="B1661" t="str">
        <f>VLOOKUP(L1661,Customers!$A$2:$C$92,3,TRUE)</f>
        <v>Patricio Simpson</v>
      </c>
      <c r="C1661" t="str">
        <f t="shared" si="426"/>
        <v>Patricio</v>
      </c>
      <c r="D1661" s="8" t="str">
        <f t="shared" si="427"/>
        <v>Simpson</v>
      </c>
      <c r="E1661" s="8" t="str">
        <f t="shared" si="428"/>
        <v>Simpson, Patricio</v>
      </c>
      <c r="F1661" s="8" t="str">
        <f t="shared" si="429"/>
        <v>Simpson, Patricio</v>
      </c>
      <c r="G1661" s="8" t="str">
        <f t="shared" si="430"/>
        <v>not an outlier</v>
      </c>
      <c r="H1661" s="8" t="str">
        <f t="shared" si="431"/>
        <v>Not</v>
      </c>
      <c r="I1661" s="8" t="str">
        <f t="shared" si="441"/>
        <v>no</v>
      </c>
      <c r="J1661" s="10" t="str">
        <f t="shared" si="432"/>
        <v>no</v>
      </c>
      <c r="K1661" s="10" t="str">
        <f t="shared" si="433"/>
        <v>no</v>
      </c>
      <c r="L1661" t="s">
        <v>101</v>
      </c>
      <c r="M1661">
        <v>10881</v>
      </c>
      <c r="N1661">
        <v>73</v>
      </c>
      <c r="O1661" t="s">
        <v>730</v>
      </c>
      <c r="P1661" t="str">
        <f t="shared" si="434"/>
        <v>CACTU_10881_Röd Kaviar</v>
      </c>
      <c r="Q1661" t="str">
        <f t="shared" si="435"/>
        <v>10881</v>
      </c>
      <c r="R1661" t="str">
        <f t="shared" si="436"/>
        <v>10881</v>
      </c>
      <c r="S1661" t="str">
        <f t="shared" si="437"/>
        <v>Röd Kaviar</v>
      </c>
      <c r="T1661">
        <v>15</v>
      </c>
      <c r="U1661">
        <v>10</v>
      </c>
      <c r="V1661">
        <v>0</v>
      </c>
      <c r="W1661">
        <f t="shared" si="438"/>
        <v>150</v>
      </c>
      <c r="X1661" t="str">
        <f t="shared" si="439"/>
        <v>yes</v>
      </c>
      <c r="Y1661" s="2">
        <v>35137</v>
      </c>
      <c r="Z1661" t="str">
        <f t="shared" si="425"/>
        <v>1st Q 1996</v>
      </c>
      <c r="AA1661" t="str">
        <f t="shared" si="440"/>
        <v>1st Q 1996</v>
      </c>
      <c r="AB1661" t="str" cm="1">
        <f t="array" ref="AB1661">_xlfn.IFS(Y1661&lt;DATE(1996,1,1),"",Y1661&lt;DATE(1996,4,1),"Q1",Y1661&lt;DATE(1996,7,1),"Q2",Y1661&gt;=DATE(1996,7,1),"")</f>
        <v>Q1</v>
      </c>
    </row>
    <row r="1662" spans="1:28" ht="14.4" x14ac:dyDescent="0.55000000000000004">
      <c r="A1662" t="str">
        <f>VLOOKUP(L1662,Customers!$A$2:$B$92,2,FALSE)</f>
        <v>Save-a-lot Markets</v>
      </c>
      <c r="B1662" t="str">
        <f>VLOOKUP(L1662,Customers!$A$2:$C$92,3,TRUE)</f>
        <v>Jose Pavarotti</v>
      </c>
      <c r="C1662" t="str">
        <f t="shared" si="426"/>
        <v>Jose</v>
      </c>
      <c r="D1662" s="8" t="str">
        <f t="shared" si="427"/>
        <v>Pavarotti</v>
      </c>
      <c r="E1662" s="8" t="str">
        <f t="shared" si="428"/>
        <v>Pavarotti, Jose</v>
      </c>
      <c r="F1662" s="8" t="str">
        <f t="shared" si="429"/>
        <v>Pavarotti, Jose</v>
      </c>
      <c r="G1662" s="8" t="str">
        <f t="shared" si="430"/>
        <v>not an outlier</v>
      </c>
      <c r="H1662" s="8" t="str">
        <f t="shared" si="431"/>
        <v>Not</v>
      </c>
      <c r="I1662" s="8" t="str">
        <f t="shared" si="441"/>
        <v>no</v>
      </c>
      <c r="J1662" s="10" t="str">
        <f t="shared" si="432"/>
        <v>no</v>
      </c>
      <c r="K1662" s="10" t="str">
        <f t="shared" si="433"/>
        <v>no</v>
      </c>
      <c r="L1662" t="s">
        <v>529</v>
      </c>
      <c r="M1662">
        <v>10882</v>
      </c>
      <c r="N1662">
        <v>42</v>
      </c>
      <c r="O1662" t="s">
        <v>684</v>
      </c>
      <c r="P1662" t="str">
        <f t="shared" si="434"/>
        <v>SAVEA_10882_Singaporean Hokkien Fried Mee</v>
      </c>
      <c r="Q1662" t="str">
        <f t="shared" si="435"/>
        <v>10882</v>
      </c>
      <c r="R1662" t="str">
        <f t="shared" si="436"/>
        <v>10882</v>
      </c>
      <c r="S1662" t="str">
        <f t="shared" si="437"/>
        <v>Singaporean Hokkien Fried Mee</v>
      </c>
      <c r="T1662">
        <v>14</v>
      </c>
      <c r="U1662">
        <v>25</v>
      </c>
      <c r="V1662">
        <v>0</v>
      </c>
      <c r="W1662">
        <f t="shared" si="438"/>
        <v>350</v>
      </c>
      <c r="X1662" t="str">
        <f t="shared" si="439"/>
        <v>yes</v>
      </c>
      <c r="Y1662" s="2">
        <v>35137</v>
      </c>
      <c r="Z1662" t="str">
        <f t="shared" si="425"/>
        <v>1st Q 1996</v>
      </c>
      <c r="AA1662" t="str">
        <f t="shared" si="440"/>
        <v>1st Q 1996</v>
      </c>
      <c r="AB1662" t="str" cm="1">
        <f t="array" ref="AB1662">_xlfn.IFS(Y1662&lt;DATE(1996,1,1),"",Y1662&lt;DATE(1996,4,1),"Q1",Y1662&lt;DATE(1996,7,1),"Q2",Y1662&gt;=DATE(1996,7,1),"")</f>
        <v>Q1</v>
      </c>
    </row>
    <row r="1663" spans="1:28" ht="14.4" x14ac:dyDescent="0.55000000000000004">
      <c r="A1663" t="str">
        <f>VLOOKUP(L1663,Customers!$A$2:$B$92,2,FALSE)</f>
        <v>Save-a-lot Markets</v>
      </c>
      <c r="B1663" t="str">
        <f>VLOOKUP(L1663,Customers!$A$2:$C$92,3,TRUE)</f>
        <v>Jose Pavarotti</v>
      </c>
      <c r="C1663" t="str">
        <f t="shared" si="426"/>
        <v>Jose</v>
      </c>
      <c r="D1663" s="8" t="str">
        <f t="shared" si="427"/>
        <v>Pavarotti</v>
      </c>
      <c r="E1663" s="8" t="str">
        <f t="shared" si="428"/>
        <v>Pavarotti, Jose</v>
      </c>
      <c r="F1663" s="8" t="str">
        <f t="shared" si="429"/>
        <v>Pavarotti, Jose</v>
      </c>
      <c r="G1663" s="8" t="str">
        <f t="shared" si="430"/>
        <v>not an outlier</v>
      </c>
      <c r="H1663" s="8" t="str">
        <f t="shared" si="431"/>
        <v>Not</v>
      </c>
      <c r="I1663" s="8" t="str">
        <f t="shared" si="441"/>
        <v>no</v>
      </c>
      <c r="J1663" s="10" t="str">
        <f t="shared" si="432"/>
        <v>no</v>
      </c>
      <c r="K1663" s="10" t="str">
        <f t="shared" si="433"/>
        <v>no</v>
      </c>
      <c r="L1663" t="s">
        <v>529</v>
      </c>
      <c r="M1663">
        <v>10882</v>
      </c>
      <c r="N1663">
        <v>49</v>
      </c>
      <c r="O1663" t="s">
        <v>697</v>
      </c>
      <c r="P1663" t="str">
        <f t="shared" si="434"/>
        <v>SAVEA_10882_Maxilaku</v>
      </c>
      <c r="Q1663" t="str">
        <f t="shared" si="435"/>
        <v>10882</v>
      </c>
      <c r="R1663" t="str">
        <f t="shared" si="436"/>
        <v>10882</v>
      </c>
      <c r="S1663" t="str">
        <f t="shared" si="437"/>
        <v>Maxilaku</v>
      </c>
      <c r="T1663">
        <v>20</v>
      </c>
      <c r="U1663">
        <v>20</v>
      </c>
      <c r="V1663">
        <v>0.15</v>
      </c>
      <c r="W1663">
        <f t="shared" si="438"/>
        <v>340</v>
      </c>
      <c r="X1663" t="str">
        <f t="shared" si="439"/>
        <v>yes</v>
      </c>
      <c r="Y1663" s="2">
        <v>35137</v>
      </c>
      <c r="Z1663" t="str">
        <f t="shared" si="425"/>
        <v>1st Q 1996</v>
      </c>
      <c r="AA1663" t="str">
        <f t="shared" si="440"/>
        <v>1st Q 1996</v>
      </c>
      <c r="AB1663" t="str" cm="1">
        <f t="array" ref="AB1663">_xlfn.IFS(Y1663&lt;DATE(1996,1,1),"",Y1663&lt;DATE(1996,4,1),"Q1",Y1663&lt;DATE(1996,7,1),"Q2",Y1663&gt;=DATE(1996,7,1),"")</f>
        <v>Q1</v>
      </c>
    </row>
    <row r="1664" spans="1:28" ht="14.4" x14ac:dyDescent="0.55000000000000004">
      <c r="A1664" t="str">
        <f>VLOOKUP(L1664,Customers!$A$2:$B$92,2,FALSE)</f>
        <v>Save-a-lot Markets</v>
      </c>
      <c r="B1664" t="str">
        <f>VLOOKUP(L1664,Customers!$A$2:$C$92,3,TRUE)</f>
        <v>Jose Pavarotti</v>
      </c>
      <c r="C1664" t="str">
        <f t="shared" si="426"/>
        <v>Jose</v>
      </c>
      <c r="D1664" s="8" t="str">
        <f t="shared" si="427"/>
        <v>Pavarotti</v>
      </c>
      <c r="E1664" s="8" t="str">
        <f t="shared" si="428"/>
        <v>Pavarotti, Jose</v>
      </c>
      <c r="F1664" s="8" t="str">
        <f t="shared" si="429"/>
        <v>Pavarotti, Jose</v>
      </c>
      <c r="G1664" s="8" t="str">
        <f t="shared" si="430"/>
        <v>not an outlier</v>
      </c>
      <c r="H1664" s="8" t="str">
        <f t="shared" si="431"/>
        <v>Not</v>
      </c>
      <c r="I1664" s="8" t="str">
        <f t="shared" si="441"/>
        <v>no</v>
      </c>
      <c r="J1664" s="10" t="str">
        <f t="shared" si="432"/>
        <v>no</v>
      </c>
      <c r="K1664" s="10" t="str">
        <f t="shared" si="433"/>
        <v>no</v>
      </c>
      <c r="L1664" t="s">
        <v>529</v>
      </c>
      <c r="M1664">
        <v>10882</v>
      </c>
      <c r="N1664">
        <v>54</v>
      </c>
      <c r="O1664" t="s">
        <v>738</v>
      </c>
      <c r="P1664" t="str">
        <f t="shared" si="434"/>
        <v>SAVEA_10882_Tourtière</v>
      </c>
      <c r="Q1664" t="str">
        <f t="shared" si="435"/>
        <v>10882</v>
      </c>
      <c r="R1664" t="str">
        <f t="shared" si="436"/>
        <v>10882</v>
      </c>
      <c r="S1664" t="str">
        <f t="shared" si="437"/>
        <v>Tourtière</v>
      </c>
      <c r="T1664">
        <v>7.45</v>
      </c>
      <c r="U1664">
        <v>32</v>
      </c>
      <c r="V1664">
        <v>0.15</v>
      </c>
      <c r="W1664">
        <f t="shared" si="438"/>
        <v>202.64</v>
      </c>
      <c r="X1664" t="str">
        <f t="shared" si="439"/>
        <v>yes</v>
      </c>
      <c r="Y1664" s="2">
        <v>35137</v>
      </c>
      <c r="Z1664" t="str">
        <f t="shared" si="425"/>
        <v>1st Q 1996</v>
      </c>
      <c r="AA1664" t="str">
        <f t="shared" si="440"/>
        <v>1st Q 1996</v>
      </c>
      <c r="AB1664" t="str" cm="1">
        <f t="array" ref="AB1664">_xlfn.IFS(Y1664&lt;DATE(1996,1,1),"",Y1664&lt;DATE(1996,4,1),"Q1",Y1664&lt;DATE(1996,7,1),"Q2",Y1664&gt;=DATE(1996,7,1),"")</f>
        <v>Q1</v>
      </c>
    </row>
    <row r="1665" spans="1:28" ht="14.4" x14ac:dyDescent="0.55000000000000004">
      <c r="A1665" t="str">
        <f>VLOOKUP(L1665,Customers!$A$2:$B$92,2,FALSE)</f>
        <v>Lonesome Pine Restaurant</v>
      </c>
      <c r="B1665" t="str">
        <f>VLOOKUP(L1665,Customers!$A$2:$C$92,3,TRUE)</f>
        <v>Fran Wilson</v>
      </c>
      <c r="C1665" t="str">
        <f t="shared" si="426"/>
        <v>Fran</v>
      </c>
      <c r="D1665" s="8" t="str">
        <f t="shared" si="427"/>
        <v>Wilson</v>
      </c>
      <c r="E1665" s="8" t="str">
        <f t="shared" si="428"/>
        <v>Wilson, Fran</v>
      </c>
      <c r="F1665" s="8" t="str">
        <f t="shared" si="429"/>
        <v>Wilson, Fran</v>
      </c>
      <c r="G1665" s="8" t="str">
        <f t="shared" si="430"/>
        <v>not an outlier</v>
      </c>
      <c r="H1665" s="8" t="str">
        <f t="shared" si="431"/>
        <v>Not</v>
      </c>
      <c r="I1665" s="8" t="str">
        <f t="shared" si="441"/>
        <v>no</v>
      </c>
      <c r="J1665" s="10" t="str">
        <f t="shared" si="432"/>
        <v>no</v>
      </c>
      <c r="K1665" s="10" t="str">
        <f t="shared" si="433"/>
        <v>no</v>
      </c>
      <c r="L1665" t="s">
        <v>371</v>
      </c>
      <c r="M1665">
        <v>10883</v>
      </c>
      <c r="N1665">
        <v>24</v>
      </c>
      <c r="O1665" t="s">
        <v>698</v>
      </c>
      <c r="P1665" t="str">
        <f t="shared" si="434"/>
        <v>LONEP_10883_Guaraná Fantástica</v>
      </c>
      <c r="Q1665" t="str">
        <f t="shared" si="435"/>
        <v>10883</v>
      </c>
      <c r="R1665" t="str">
        <f t="shared" si="436"/>
        <v>10883</v>
      </c>
      <c r="S1665" t="str">
        <f t="shared" si="437"/>
        <v>Guaraná Fantástica</v>
      </c>
      <c r="T1665">
        <v>4.5</v>
      </c>
      <c r="U1665">
        <v>8</v>
      </c>
      <c r="V1665">
        <v>0</v>
      </c>
      <c r="W1665">
        <f t="shared" si="438"/>
        <v>36</v>
      </c>
      <c r="X1665" t="str">
        <f t="shared" si="439"/>
        <v>yes</v>
      </c>
      <c r="Y1665" s="2">
        <v>35138</v>
      </c>
      <c r="Z1665" t="str">
        <f t="shared" ref="Z1665:Z1712" si="442">IF(Y1665&gt;=DATE(1996,1,1), IF(Y1665&lt;DATE(1996,4,1),"1st Q 1996",""),"")</f>
        <v>1st Q 1996</v>
      </c>
      <c r="AA1665" t="str">
        <f t="shared" si="440"/>
        <v>1st Q 1996</v>
      </c>
      <c r="AB1665" t="str" cm="1">
        <f t="array" ref="AB1665">_xlfn.IFS(Y1665&lt;DATE(1996,1,1),"",Y1665&lt;DATE(1996,4,1),"Q1",Y1665&lt;DATE(1996,7,1),"Q2",Y1665&gt;=DATE(1996,7,1),"")</f>
        <v>Q1</v>
      </c>
    </row>
    <row r="1666" spans="1:28" ht="14.4" x14ac:dyDescent="0.55000000000000004">
      <c r="A1666" t="str">
        <f>VLOOKUP(L1666,Customers!$A$2:$B$92,2,FALSE)</f>
        <v>Let's Stop N Shop</v>
      </c>
      <c r="B1666" t="str">
        <f>VLOOKUP(L1666,Customers!$A$2:$C$92,3,TRUE)</f>
        <v>Jaime Yorres</v>
      </c>
      <c r="C1666" t="str">
        <f t="shared" si="426"/>
        <v>Jaime</v>
      </c>
      <c r="D1666" s="8" t="str">
        <f t="shared" si="427"/>
        <v>Yorres</v>
      </c>
      <c r="E1666" s="8" t="str">
        <f t="shared" si="428"/>
        <v>Yorres, Jaime</v>
      </c>
      <c r="F1666" s="8" t="str">
        <f t="shared" si="429"/>
        <v>Yorres, Jaime</v>
      </c>
      <c r="G1666" s="8" t="str">
        <f t="shared" si="430"/>
        <v>not an outlier</v>
      </c>
      <c r="H1666" s="8" t="str">
        <f t="shared" si="431"/>
        <v>Not</v>
      </c>
      <c r="I1666" s="8" t="str">
        <f t="shared" si="441"/>
        <v>no</v>
      </c>
      <c r="J1666" s="10" t="str">
        <f t="shared" si="432"/>
        <v>no</v>
      </c>
      <c r="K1666" s="10" t="str">
        <f t="shared" si="433"/>
        <v>no</v>
      </c>
      <c r="L1666" t="s">
        <v>348</v>
      </c>
      <c r="M1666">
        <v>10884</v>
      </c>
      <c r="N1666">
        <v>21</v>
      </c>
      <c r="O1666" t="s">
        <v>710</v>
      </c>
      <c r="P1666" t="str">
        <f t="shared" si="434"/>
        <v>LETSS_10884_Sir Rodney's Scones</v>
      </c>
      <c r="Q1666" t="str">
        <f t="shared" si="435"/>
        <v>10884</v>
      </c>
      <c r="R1666" t="str">
        <f t="shared" si="436"/>
        <v>10884</v>
      </c>
      <c r="S1666" t="str">
        <f t="shared" si="437"/>
        <v>Sir Rodney's Scones</v>
      </c>
      <c r="T1666">
        <v>10</v>
      </c>
      <c r="U1666">
        <v>40</v>
      </c>
      <c r="V1666">
        <v>0.05</v>
      </c>
      <c r="W1666">
        <f t="shared" si="438"/>
        <v>380</v>
      </c>
      <c r="X1666" t="str">
        <f t="shared" si="439"/>
        <v>yes</v>
      </c>
      <c r="Y1666" s="2">
        <v>35138</v>
      </c>
      <c r="Z1666" t="str">
        <f t="shared" si="442"/>
        <v>1st Q 1996</v>
      </c>
      <c r="AA1666" t="str">
        <f t="shared" si="440"/>
        <v>1st Q 1996</v>
      </c>
      <c r="AB1666" t="str" cm="1">
        <f t="array" ref="AB1666">_xlfn.IFS(Y1666&lt;DATE(1996,1,1),"",Y1666&lt;DATE(1996,4,1),"Q1",Y1666&lt;DATE(1996,7,1),"Q2",Y1666&gt;=DATE(1996,7,1),"")</f>
        <v>Q1</v>
      </c>
    </row>
    <row r="1667" spans="1:28" ht="14.4" x14ac:dyDescent="0.55000000000000004">
      <c r="A1667" t="str">
        <f>VLOOKUP(L1667,Customers!$A$2:$B$92,2,FALSE)</f>
        <v>Let's Stop N Shop</v>
      </c>
      <c r="B1667" t="str">
        <f>VLOOKUP(L1667,Customers!$A$2:$C$92,3,TRUE)</f>
        <v>Jaime Yorres</v>
      </c>
      <c r="C1667" t="str">
        <f t="shared" ref="C1667:C1730" si="443">LEFT(B1667,FIND(" ",B1667)-1)</f>
        <v>Jaime</v>
      </c>
      <c r="D1667" s="8" t="str">
        <f t="shared" ref="D1667:D1730" si="444">RIGHT(B1667,LEN(B1667)-FIND(" ",B1667))</f>
        <v>Yorres</v>
      </c>
      <c r="E1667" s="8" t="str">
        <f t="shared" ref="E1667:E1730" si="445">_xlfn.CONCAT(D1667,", ",C1667)</f>
        <v>Yorres, Jaime</v>
      </c>
      <c r="F1667" s="8" t="str">
        <f t="shared" ref="F1667:F1730" si="446">D1667&amp;", "&amp;C1667</f>
        <v>Yorres, Jaime</v>
      </c>
      <c r="G1667" s="8" t="str">
        <f t="shared" ref="G1667:G1730" si="447">IF(OR(W1667&gt;$W$2166,W1667&lt;$W$2167),"outlier","not an outlier")</f>
        <v>not an outlier</v>
      </c>
      <c r="H1667" s="8" t="str">
        <f t="shared" ref="H1667:H1730" si="448">IF(OR(W1667&gt;$W$2166,W1667&lt;$W$2167),"outlier",IF(OR(W1667&gt;$W$2168,W1667&lt;$W$2169),"moderate","Not"))</f>
        <v>Not</v>
      </c>
      <c r="I1667" s="8" t="str">
        <f t="shared" si="441"/>
        <v>no</v>
      </c>
      <c r="J1667" s="10" t="str">
        <f t="shared" ref="J1667:J1730" si="449">IF(AND(W1667&lt;=$W$2166,W1667&gt;=$W$2167),"no","yes")</f>
        <v>no</v>
      </c>
      <c r="K1667" s="10" t="str">
        <f t="shared" ref="K1667:K1730" si="450">IF(OR(W1667&gt;$W$2166,W1667&lt;$W$2167),"yes",IF(OR(W1667&gt;$W$2168,W1667&lt;$W$2169),"moderate","no"))</f>
        <v>no</v>
      </c>
      <c r="L1667" t="s">
        <v>348</v>
      </c>
      <c r="M1667">
        <v>10884</v>
      </c>
      <c r="N1667">
        <v>56</v>
      </c>
      <c r="O1667" t="s">
        <v>716</v>
      </c>
      <c r="P1667" t="str">
        <f t="shared" ref="P1667:P1730" si="451">L1667&amp;"_"&amp;M1667&amp;"_"&amp;O1667</f>
        <v>LETSS_10884_Gnocchi di nonna Alice</v>
      </c>
      <c r="Q1667" t="str">
        <f t="shared" ref="Q1667:Q1730" si="452">LEFT(RIGHT(P1667,LEN(P1667)-FIND("_",P1667)), FIND("_",P1667)-1)</f>
        <v>10884</v>
      </c>
      <c r="R1667" t="str">
        <f t="shared" ref="R1667:R1730" si="453">MID(P1667,FIND("_",P1667)+1,FIND("_",P1667,FIND("_",P1667))-1)</f>
        <v>10884</v>
      </c>
      <c r="S1667" t="str">
        <f t="shared" ref="S1667:S1730" si="454">MID(P1667,FIND("_",P1667,FIND("_",P1667)+1)+1,LEN(P1667))</f>
        <v>Gnocchi di nonna Alice</v>
      </c>
      <c r="T1667">
        <v>38</v>
      </c>
      <c r="U1667">
        <v>21</v>
      </c>
      <c r="V1667">
        <v>0.05</v>
      </c>
      <c r="W1667">
        <f t="shared" ref="W1667:W1730" si="455">T1667*U1667*(1-V1667)</f>
        <v>758.09999999999991</v>
      </c>
      <c r="X1667" t="str">
        <f t="shared" ref="X1667:X1730" si="456">IF(YEAR(Y1667)&gt;=1996,"yes","No")</f>
        <v>yes</v>
      </c>
      <c r="Y1667" s="2">
        <v>35138</v>
      </c>
      <c r="Z1667" t="str">
        <f t="shared" si="442"/>
        <v>1st Q 1996</v>
      </c>
      <c r="AA1667" t="str">
        <f t="shared" ref="AA1667:AA1730" si="457">IF(Y1667&lt;DATE(1996,1,1),"", IF(Y1667&lt;DATE(1996,4,1),"1st Q 1996",IF(Y1667&lt;DATE(1996,7,1),"2nd Q 1996","")))</f>
        <v>1st Q 1996</v>
      </c>
      <c r="AB1667" t="str" cm="1">
        <f t="array" ref="AB1667">_xlfn.IFS(Y1667&lt;DATE(1996,1,1),"",Y1667&lt;DATE(1996,4,1),"Q1",Y1667&lt;DATE(1996,7,1),"Q2",Y1667&gt;=DATE(1996,7,1),"")</f>
        <v>Q1</v>
      </c>
    </row>
    <row r="1668" spans="1:28" ht="14.4" x14ac:dyDescent="0.55000000000000004">
      <c r="A1668" t="str">
        <f>VLOOKUP(L1668,Customers!$A$2:$B$92,2,FALSE)</f>
        <v>Let's Stop N Shop</v>
      </c>
      <c r="B1668" t="str">
        <f>VLOOKUP(L1668,Customers!$A$2:$C$92,3,TRUE)</f>
        <v>Jaime Yorres</v>
      </c>
      <c r="C1668" t="str">
        <f t="shared" si="443"/>
        <v>Jaime</v>
      </c>
      <c r="D1668" s="8" t="str">
        <f t="shared" si="444"/>
        <v>Yorres</v>
      </c>
      <c r="E1668" s="8" t="str">
        <f t="shared" si="445"/>
        <v>Yorres, Jaime</v>
      </c>
      <c r="F1668" s="8" t="str">
        <f t="shared" si="446"/>
        <v>Yorres, Jaime</v>
      </c>
      <c r="G1668" s="8" t="str">
        <f t="shared" si="447"/>
        <v>not an outlier</v>
      </c>
      <c r="H1668" s="8" t="str">
        <f t="shared" si="448"/>
        <v>Not</v>
      </c>
      <c r="I1668" s="8" t="str">
        <f t="shared" ref="I1668:I1731" si="458">IF(OR(W1668&gt;$W$2166,W1668&lt;$W$2167),"yes","no")</f>
        <v>no</v>
      </c>
      <c r="J1668" s="10" t="str">
        <f t="shared" si="449"/>
        <v>no</v>
      </c>
      <c r="K1668" s="10" t="str">
        <f t="shared" si="450"/>
        <v>no</v>
      </c>
      <c r="L1668" t="s">
        <v>348</v>
      </c>
      <c r="M1668">
        <v>10884</v>
      </c>
      <c r="N1668">
        <v>65</v>
      </c>
      <c r="O1668" t="s">
        <v>689</v>
      </c>
      <c r="P1668" t="str">
        <f t="shared" si="451"/>
        <v>LETSS_10884_Louisiana Fiery Hot Pepper Sauce</v>
      </c>
      <c r="Q1668" t="str">
        <f t="shared" si="452"/>
        <v>10884</v>
      </c>
      <c r="R1668" t="str">
        <f t="shared" si="453"/>
        <v>10884</v>
      </c>
      <c r="S1668" t="str">
        <f t="shared" si="454"/>
        <v>Louisiana Fiery Hot Pepper Sauce</v>
      </c>
      <c r="T1668">
        <v>21.05</v>
      </c>
      <c r="U1668">
        <v>12</v>
      </c>
      <c r="V1668">
        <v>0.05</v>
      </c>
      <c r="W1668">
        <f t="shared" si="455"/>
        <v>239.97</v>
      </c>
      <c r="X1668" t="str">
        <f t="shared" si="456"/>
        <v>yes</v>
      </c>
      <c r="Y1668" s="2">
        <v>35138</v>
      </c>
      <c r="Z1668" t="str">
        <f t="shared" si="442"/>
        <v>1st Q 1996</v>
      </c>
      <c r="AA1668" t="str">
        <f t="shared" si="457"/>
        <v>1st Q 1996</v>
      </c>
      <c r="AB1668" t="str" cm="1">
        <f t="array" ref="AB1668">_xlfn.IFS(Y1668&lt;DATE(1996,1,1),"",Y1668&lt;DATE(1996,4,1),"Q1",Y1668&lt;DATE(1996,7,1),"Q2",Y1668&gt;=DATE(1996,7,1),"")</f>
        <v>Q1</v>
      </c>
    </row>
    <row r="1669" spans="1:28" ht="14.4" x14ac:dyDescent="0.55000000000000004">
      <c r="A1669" t="str">
        <f>VLOOKUP(L1669,Customers!$A$2:$B$92,2,FALSE)</f>
        <v>Suprêmes délices</v>
      </c>
      <c r="B1669" t="str">
        <f>VLOOKUP(L1669,Customers!$A$2:$C$92,3,TRUE)</f>
        <v>Pascale Cartrain</v>
      </c>
      <c r="C1669" t="str">
        <f t="shared" si="443"/>
        <v>Pascale</v>
      </c>
      <c r="D1669" s="8" t="str">
        <f t="shared" si="444"/>
        <v>Cartrain</v>
      </c>
      <c r="E1669" s="8" t="str">
        <f t="shared" si="445"/>
        <v>Cartrain, Pascale</v>
      </c>
      <c r="F1669" s="8" t="str">
        <f t="shared" si="446"/>
        <v>Cartrain, Pascale</v>
      </c>
      <c r="G1669" s="8" t="str">
        <f t="shared" si="447"/>
        <v>not an outlier</v>
      </c>
      <c r="H1669" s="8" t="str">
        <f t="shared" si="448"/>
        <v>Not</v>
      </c>
      <c r="I1669" s="8" t="str">
        <f t="shared" si="458"/>
        <v>no</v>
      </c>
      <c r="J1669" s="10" t="str">
        <f t="shared" si="449"/>
        <v>no</v>
      </c>
      <c r="K1669" s="10" t="str">
        <f t="shared" si="450"/>
        <v>no</v>
      </c>
      <c r="L1669" t="s">
        <v>565</v>
      </c>
      <c r="M1669">
        <v>10885</v>
      </c>
      <c r="N1669">
        <v>2</v>
      </c>
      <c r="O1669" t="s">
        <v>701</v>
      </c>
      <c r="P1669" t="str">
        <f t="shared" si="451"/>
        <v>SUPRD_10885_Chang</v>
      </c>
      <c r="Q1669" t="str">
        <f t="shared" si="452"/>
        <v>10885</v>
      </c>
      <c r="R1669" t="str">
        <f t="shared" si="453"/>
        <v>10885</v>
      </c>
      <c r="S1669" t="str">
        <f t="shared" si="454"/>
        <v>Chang</v>
      </c>
      <c r="T1669">
        <v>19</v>
      </c>
      <c r="U1669">
        <v>20</v>
      </c>
      <c r="V1669">
        <v>0</v>
      </c>
      <c r="W1669">
        <f t="shared" si="455"/>
        <v>380</v>
      </c>
      <c r="X1669" t="str">
        <f t="shared" si="456"/>
        <v>yes</v>
      </c>
      <c r="Y1669" s="2">
        <v>35138</v>
      </c>
      <c r="Z1669" t="str">
        <f t="shared" si="442"/>
        <v>1st Q 1996</v>
      </c>
      <c r="AA1669" t="str">
        <f t="shared" si="457"/>
        <v>1st Q 1996</v>
      </c>
      <c r="AB1669" t="str" cm="1">
        <f t="array" ref="AB1669">_xlfn.IFS(Y1669&lt;DATE(1996,1,1),"",Y1669&lt;DATE(1996,4,1),"Q1",Y1669&lt;DATE(1996,7,1),"Q2",Y1669&gt;=DATE(1996,7,1),"")</f>
        <v>Q1</v>
      </c>
    </row>
    <row r="1670" spans="1:28" ht="14.4" x14ac:dyDescent="0.55000000000000004">
      <c r="A1670" t="str">
        <f>VLOOKUP(L1670,Customers!$A$2:$B$92,2,FALSE)</f>
        <v>Suprêmes délices</v>
      </c>
      <c r="B1670" t="str">
        <f>VLOOKUP(L1670,Customers!$A$2:$C$92,3,TRUE)</f>
        <v>Pascale Cartrain</v>
      </c>
      <c r="C1670" t="str">
        <f t="shared" si="443"/>
        <v>Pascale</v>
      </c>
      <c r="D1670" s="8" t="str">
        <f t="shared" si="444"/>
        <v>Cartrain</v>
      </c>
      <c r="E1670" s="8" t="str">
        <f t="shared" si="445"/>
        <v>Cartrain, Pascale</v>
      </c>
      <c r="F1670" s="8" t="str">
        <f t="shared" si="446"/>
        <v>Cartrain, Pascale</v>
      </c>
      <c r="G1670" s="8" t="str">
        <f t="shared" si="447"/>
        <v>not an outlier</v>
      </c>
      <c r="H1670" s="8" t="str">
        <f t="shared" si="448"/>
        <v>Not</v>
      </c>
      <c r="I1670" s="8" t="str">
        <f t="shared" si="458"/>
        <v>no</v>
      </c>
      <c r="J1670" s="10" t="str">
        <f t="shared" si="449"/>
        <v>no</v>
      </c>
      <c r="K1670" s="10" t="str">
        <f t="shared" si="450"/>
        <v>no</v>
      </c>
      <c r="L1670" t="s">
        <v>565</v>
      </c>
      <c r="M1670">
        <v>10885</v>
      </c>
      <c r="N1670">
        <v>24</v>
      </c>
      <c r="O1670" t="s">
        <v>698</v>
      </c>
      <c r="P1670" t="str">
        <f t="shared" si="451"/>
        <v>SUPRD_10885_Guaraná Fantástica</v>
      </c>
      <c r="Q1670" t="str">
        <f t="shared" si="452"/>
        <v>10885</v>
      </c>
      <c r="R1670" t="str">
        <f t="shared" si="453"/>
        <v>10885</v>
      </c>
      <c r="S1670" t="str">
        <f t="shared" si="454"/>
        <v>Guaraná Fantástica</v>
      </c>
      <c r="T1670">
        <v>4.5</v>
      </c>
      <c r="U1670">
        <v>12</v>
      </c>
      <c r="V1670">
        <v>0</v>
      </c>
      <c r="W1670">
        <f t="shared" si="455"/>
        <v>54</v>
      </c>
      <c r="X1670" t="str">
        <f t="shared" si="456"/>
        <v>yes</v>
      </c>
      <c r="Y1670" s="2">
        <v>35138</v>
      </c>
      <c r="Z1670" t="str">
        <f t="shared" si="442"/>
        <v>1st Q 1996</v>
      </c>
      <c r="AA1670" t="str">
        <f t="shared" si="457"/>
        <v>1st Q 1996</v>
      </c>
      <c r="AB1670" t="str" cm="1">
        <f t="array" ref="AB1670">_xlfn.IFS(Y1670&lt;DATE(1996,1,1),"",Y1670&lt;DATE(1996,4,1),"Q1",Y1670&lt;DATE(1996,7,1),"Q2",Y1670&gt;=DATE(1996,7,1),"")</f>
        <v>Q1</v>
      </c>
    </row>
    <row r="1671" spans="1:28" ht="14.4" x14ac:dyDescent="0.55000000000000004">
      <c r="A1671" t="str">
        <f>VLOOKUP(L1671,Customers!$A$2:$B$92,2,FALSE)</f>
        <v>Suprêmes délices</v>
      </c>
      <c r="B1671" t="str">
        <f>VLOOKUP(L1671,Customers!$A$2:$C$92,3,TRUE)</f>
        <v>Pascale Cartrain</v>
      </c>
      <c r="C1671" t="str">
        <f t="shared" si="443"/>
        <v>Pascale</v>
      </c>
      <c r="D1671" s="8" t="str">
        <f t="shared" si="444"/>
        <v>Cartrain</v>
      </c>
      <c r="E1671" s="8" t="str">
        <f t="shared" si="445"/>
        <v>Cartrain, Pascale</v>
      </c>
      <c r="F1671" s="8" t="str">
        <f t="shared" si="446"/>
        <v>Cartrain, Pascale</v>
      </c>
      <c r="G1671" s="8" t="str">
        <f t="shared" si="447"/>
        <v>not an outlier</v>
      </c>
      <c r="H1671" s="8" t="str">
        <f t="shared" si="448"/>
        <v>Not</v>
      </c>
      <c r="I1671" s="8" t="str">
        <f t="shared" si="458"/>
        <v>no</v>
      </c>
      <c r="J1671" s="10" t="str">
        <f t="shared" si="449"/>
        <v>no</v>
      </c>
      <c r="K1671" s="10" t="str">
        <f t="shared" si="450"/>
        <v>no</v>
      </c>
      <c r="L1671" t="s">
        <v>565</v>
      </c>
      <c r="M1671">
        <v>10885</v>
      </c>
      <c r="N1671">
        <v>70</v>
      </c>
      <c r="O1671" t="s">
        <v>713</v>
      </c>
      <c r="P1671" t="str">
        <f t="shared" si="451"/>
        <v>SUPRD_10885_Outback Lager</v>
      </c>
      <c r="Q1671" t="str">
        <f t="shared" si="452"/>
        <v>10885</v>
      </c>
      <c r="R1671" t="str">
        <f t="shared" si="453"/>
        <v>10885</v>
      </c>
      <c r="S1671" t="str">
        <f t="shared" si="454"/>
        <v>Outback Lager</v>
      </c>
      <c r="T1671">
        <v>15</v>
      </c>
      <c r="U1671">
        <v>30</v>
      </c>
      <c r="V1671">
        <v>0</v>
      </c>
      <c r="W1671">
        <f t="shared" si="455"/>
        <v>450</v>
      </c>
      <c r="X1671" t="str">
        <f t="shared" si="456"/>
        <v>yes</v>
      </c>
      <c r="Y1671" s="2">
        <v>35138</v>
      </c>
      <c r="Z1671" t="str">
        <f t="shared" si="442"/>
        <v>1st Q 1996</v>
      </c>
      <c r="AA1671" t="str">
        <f t="shared" si="457"/>
        <v>1st Q 1996</v>
      </c>
      <c r="AB1671" t="str" cm="1">
        <f t="array" ref="AB1671">_xlfn.IFS(Y1671&lt;DATE(1996,1,1),"",Y1671&lt;DATE(1996,4,1),"Q1",Y1671&lt;DATE(1996,7,1),"Q2",Y1671&gt;=DATE(1996,7,1),"")</f>
        <v>Q1</v>
      </c>
    </row>
    <row r="1672" spans="1:28" ht="14.4" x14ac:dyDescent="0.55000000000000004">
      <c r="A1672" t="str">
        <f>VLOOKUP(L1672,Customers!$A$2:$B$92,2,FALSE)</f>
        <v>Suprêmes délices</v>
      </c>
      <c r="B1672" t="str">
        <f>VLOOKUP(L1672,Customers!$A$2:$C$92,3,TRUE)</f>
        <v>Pascale Cartrain</v>
      </c>
      <c r="C1672" t="str">
        <f t="shared" si="443"/>
        <v>Pascale</v>
      </c>
      <c r="D1672" s="8" t="str">
        <f t="shared" si="444"/>
        <v>Cartrain</v>
      </c>
      <c r="E1672" s="8" t="str">
        <f t="shared" si="445"/>
        <v>Cartrain, Pascale</v>
      </c>
      <c r="F1672" s="8" t="str">
        <f t="shared" si="446"/>
        <v>Cartrain, Pascale</v>
      </c>
      <c r="G1672" s="8" t="str">
        <f t="shared" si="447"/>
        <v>not an outlier</v>
      </c>
      <c r="H1672" s="8" t="str">
        <f t="shared" si="448"/>
        <v>Not</v>
      </c>
      <c r="I1672" s="8" t="str">
        <f t="shared" si="458"/>
        <v>no</v>
      </c>
      <c r="J1672" s="10" t="str">
        <f t="shared" si="449"/>
        <v>no</v>
      </c>
      <c r="K1672" s="10" t="str">
        <f t="shared" si="450"/>
        <v>no</v>
      </c>
      <c r="L1672" t="s">
        <v>565</v>
      </c>
      <c r="M1672">
        <v>10885</v>
      </c>
      <c r="N1672">
        <v>77</v>
      </c>
      <c r="O1672" t="s">
        <v>706</v>
      </c>
      <c r="P1672" t="str">
        <f t="shared" si="451"/>
        <v>SUPRD_10885_Original Frankfurter grüne Soße</v>
      </c>
      <c r="Q1672" t="str">
        <f t="shared" si="452"/>
        <v>10885</v>
      </c>
      <c r="R1672" t="str">
        <f t="shared" si="453"/>
        <v>10885</v>
      </c>
      <c r="S1672" t="str">
        <f t="shared" si="454"/>
        <v>Original Frankfurter grüne Soße</v>
      </c>
      <c r="T1672">
        <v>13</v>
      </c>
      <c r="U1672">
        <v>25</v>
      </c>
      <c r="V1672">
        <v>0</v>
      </c>
      <c r="W1672">
        <f t="shared" si="455"/>
        <v>325</v>
      </c>
      <c r="X1672" t="str">
        <f t="shared" si="456"/>
        <v>yes</v>
      </c>
      <c r="Y1672" s="2">
        <v>35138</v>
      </c>
      <c r="Z1672" t="str">
        <f t="shared" si="442"/>
        <v>1st Q 1996</v>
      </c>
      <c r="AA1672" t="str">
        <f t="shared" si="457"/>
        <v>1st Q 1996</v>
      </c>
      <c r="AB1672" t="str" cm="1">
        <f t="array" ref="AB1672">_xlfn.IFS(Y1672&lt;DATE(1996,1,1),"",Y1672&lt;DATE(1996,4,1),"Q1",Y1672&lt;DATE(1996,7,1),"Q2",Y1672&gt;=DATE(1996,7,1),"")</f>
        <v>Q1</v>
      </c>
    </row>
    <row r="1673" spans="1:28" ht="14.4" x14ac:dyDescent="0.55000000000000004">
      <c r="A1673" t="str">
        <f>VLOOKUP(L1673,Customers!$A$2:$B$92,2,FALSE)</f>
        <v>Hanari Carnes</v>
      </c>
      <c r="B1673" t="str">
        <f>VLOOKUP(L1673,Customers!$A$2:$C$92,3,TRUE)</f>
        <v>Mario Pontes</v>
      </c>
      <c r="C1673" t="str">
        <f t="shared" si="443"/>
        <v>Mario</v>
      </c>
      <c r="D1673" s="8" t="str">
        <f t="shared" si="444"/>
        <v>Pontes</v>
      </c>
      <c r="E1673" s="8" t="str">
        <f t="shared" si="445"/>
        <v>Pontes, Mario</v>
      </c>
      <c r="F1673" s="8" t="str">
        <f t="shared" si="446"/>
        <v>Pontes, Mario</v>
      </c>
      <c r="G1673" s="8" t="str">
        <f t="shared" si="447"/>
        <v>not an outlier</v>
      </c>
      <c r="H1673" s="8" t="str">
        <f t="shared" si="448"/>
        <v>Not</v>
      </c>
      <c r="I1673" s="8" t="str">
        <f t="shared" si="458"/>
        <v>no</v>
      </c>
      <c r="J1673" s="10" t="str">
        <f t="shared" si="449"/>
        <v>no</v>
      </c>
      <c r="K1673" s="10" t="str">
        <f t="shared" si="450"/>
        <v>no</v>
      </c>
      <c r="L1673" t="s">
        <v>264</v>
      </c>
      <c r="M1673">
        <v>10886</v>
      </c>
      <c r="N1673">
        <v>10</v>
      </c>
      <c r="O1673" t="s">
        <v>724</v>
      </c>
      <c r="P1673" t="str">
        <f t="shared" si="451"/>
        <v>HANAR_10886_Ikura</v>
      </c>
      <c r="Q1673" t="str">
        <f t="shared" si="452"/>
        <v>10886</v>
      </c>
      <c r="R1673" t="str">
        <f t="shared" si="453"/>
        <v>10886</v>
      </c>
      <c r="S1673" t="str">
        <f t="shared" si="454"/>
        <v>Ikura</v>
      </c>
      <c r="T1673">
        <v>31</v>
      </c>
      <c r="U1673">
        <v>70</v>
      </c>
      <c r="V1673">
        <v>0</v>
      </c>
      <c r="W1673">
        <f t="shared" si="455"/>
        <v>2170</v>
      </c>
      <c r="X1673" t="str">
        <f t="shared" si="456"/>
        <v>yes</v>
      </c>
      <c r="Y1673" s="2">
        <v>35139</v>
      </c>
      <c r="Z1673" t="str">
        <f t="shared" si="442"/>
        <v>1st Q 1996</v>
      </c>
      <c r="AA1673" t="str">
        <f t="shared" si="457"/>
        <v>1st Q 1996</v>
      </c>
      <c r="AB1673" t="str" cm="1">
        <f t="array" ref="AB1673">_xlfn.IFS(Y1673&lt;DATE(1996,1,1),"",Y1673&lt;DATE(1996,4,1),"Q1",Y1673&lt;DATE(1996,7,1),"Q2",Y1673&gt;=DATE(1996,7,1),"")</f>
        <v>Q1</v>
      </c>
    </row>
    <row r="1674" spans="1:28" ht="14.4" x14ac:dyDescent="0.55000000000000004">
      <c r="A1674" t="str">
        <f>VLOOKUP(L1674,Customers!$A$2:$B$92,2,FALSE)</f>
        <v>Hanari Carnes</v>
      </c>
      <c r="B1674" t="str">
        <f>VLOOKUP(L1674,Customers!$A$2:$C$92,3,TRUE)</f>
        <v>Mario Pontes</v>
      </c>
      <c r="C1674" t="str">
        <f t="shared" si="443"/>
        <v>Mario</v>
      </c>
      <c r="D1674" s="8" t="str">
        <f t="shared" si="444"/>
        <v>Pontes</v>
      </c>
      <c r="E1674" s="8" t="str">
        <f t="shared" si="445"/>
        <v>Pontes, Mario</v>
      </c>
      <c r="F1674" s="8" t="str">
        <f t="shared" si="446"/>
        <v>Pontes, Mario</v>
      </c>
      <c r="G1674" s="8" t="str">
        <f t="shared" si="447"/>
        <v>not an outlier</v>
      </c>
      <c r="H1674" s="8" t="str">
        <f t="shared" si="448"/>
        <v>Not</v>
      </c>
      <c r="I1674" s="8" t="str">
        <f t="shared" si="458"/>
        <v>no</v>
      </c>
      <c r="J1674" s="10" t="str">
        <f t="shared" si="449"/>
        <v>no</v>
      </c>
      <c r="K1674" s="10" t="str">
        <f t="shared" si="450"/>
        <v>no</v>
      </c>
      <c r="L1674" t="s">
        <v>264</v>
      </c>
      <c r="M1674">
        <v>10886</v>
      </c>
      <c r="N1674">
        <v>31</v>
      </c>
      <c r="O1674" t="s">
        <v>695</v>
      </c>
      <c r="P1674" t="str">
        <f t="shared" si="451"/>
        <v>HANAR_10886_Gorgonzola Telino</v>
      </c>
      <c r="Q1674" t="str">
        <f t="shared" si="452"/>
        <v>10886</v>
      </c>
      <c r="R1674" t="str">
        <f t="shared" si="453"/>
        <v>10886</v>
      </c>
      <c r="S1674" t="str">
        <f t="shared" si="454"/>
        <v>Gorgonzola Telino</v>
      </c>
      <c r="T1674">
        <v>12.5</v>
      </c>
      <c r="U1674">
        <v>35</v>
      </c>
      <c r="V1674">
        <v>0</v>
      </c>
      <c r="W1674">
        <f t="shared" si="455"/>
        <v>437.5</v>
      </c>
      <c r="X1674" t="str">
        <f t="shared" si="456"/>
        <v>yes</v>
      </c>
      <c r="Y1674" s="2">
        <v>35139</v>
      </c>
      <c r="Z1674" t="str">
        <f t="shared" si="442"/>
        <v>1st Q 1996</v>
      </c>
      <c r="AA1674" t="str">
        <f t="shared" si="457"/>
        <v>1st Q 1996</v>
      </c>
      <c r="AB1674" t="str" cm="1">
        <f t="array" ref="AB1674">_xlfn.IFS(Y1674&lt;DATE(1996,1,1),"",Y1674&lt;DATE(1996,4,1),"Q1",Y1674&lt;DATE(1996,7,1),"Q2",Y1674&gt;=DATE(1996,7,1),"")</f>
        <v>Q1</v>
      </c>
    </row>
    <row r="1675" spans="1:28" ht="14.4" x14ac:dyDescent="0.55000000000000004">
      <c r="A1675" t="str">
        <f>VLOOKUP(L1675,Customers!$A$2:$B$92,2,FALSE)</f>
        <v>Hanari Carnes</v>
      </c>
      <c r="B1675" t="str">
        <f>VLOOKUP(L1675,Customers!$A$2:$C$92,3,TRUE)</f>
        <v>Mario Pontes</v>
      </c>
      <c r="C1675" t="str">
        <f t="shared" si="443"/>
        <v>Mario</v>
      </c>
      <c r="D1675" s="8" t="str">
        <f t="shared" si="444"/>
        <v>Pontes</v>
      </c>
      <c r="E1675" s="8" t="str">
        <f t="shared" si="445"/>
        <v>Pontes, Mario</v>
      </c>
      <c r="F1675" s="8" t="str">
        <f t="shared" si="446"/>
        <v>Pontes, Mario</v>
      </c>
      <c r="G1675" s="8" t="str">
        <f t="shared" si="447"/>
        <v>not an outlier</v>
      </c>
      <c r="H1675" s="8" t="str">
        <f t="shared" si="448"/>
        <v>Not</v>
      </c>
      <c r="I1675" s="8" t="str">
        <f t="shared" si="458"/>
        <v>no</v>
      </c>
      <c r="J1675" s="10" t="str">
        <f t="shared" si="449"/>
        <v>no</v>
      </c>
      <c r="K1675" s="10" t="str">
        <f t="shared" si="450"/>
        <v>no</v>
      </c>
      <c r="L1675" t="s">
        <v>264</v>
      </c>
      <c r="M1675">
        <v>10886</v>
      </c>
      <c r="N1675">
        <v>77</v>
      </c>
      <c r="O1675" t="s">
        <v>706</v>
      </c>
      <c r="P1675" t="str">
        <f t="shared" si="451"/>
        <v>HANAR_10886_Original Frankfurter grüne Soße</v>
      </c>
      <c r="Q1675" t="str">
        <f t="shared" si="452"/>
        <v>10886</v>
      </c>
      <c r="R1675" t="str">
        <f t="shared" si="453"/>
        <v>10886</v>
      </c>
      <c r="S1675" t="str">
        <f t="shared" si="454"/>
        <v>Original Frankfurter grüne Soße</v>
      </c>
      <c r="T1675">
        <v>13</v>
      </c>
      <c r="U1675">
        <v>40</v>
      </c>
      <c r="V1675">
        <v>0</v>
      </c>
      <c r="W1675">
        <f t="shared" si="455"/>
        <v>520</v>
      </c>
      <c r="X1675" t="str">
        <f t="shared" si="456"/>
        <v>yes</v>
      </c>
      <c r="Y1675" s="2">
        <v>35139</v>
      </c>
      <c r="Z1675" t="str">
        <f t="shared" si="442"/>
        <v>1st Q 1996</v>
      </c>
      <c r="AA1675" t="str">
        <f t="shared" si="457"/>
        <v>1st Q 1996</v>
      </c>
      <c r="AB1675" t="str" cm="1">
        <f t="array" ref="AB1675">_xlfn.IFS(Y1675&lt;DATE(1996,1,1),"",Y1675&lt;DATE(1996,4,1),"Q1",Y1675&lt;DATE(1996,7,1),"Q2",Y1675&gt;=DATE(1996,7,1),"")</f>
        <v>Q1</v>
      </c>
    </row>
    <row r="1676" spans="1:28" ht="14.4" x14ac:dyDescent="0.55000000000000004">
      <c r="A1676" t="str">
        <f>VLOOKUP(L1676,Customers!$A$2:$B$92,2,FALSE)</f>
        <v>Galería del gastrónomo</v>
      </c>
      <c r="B1676" t="str">
        <f>VLOOKUP(L1676,Customers!$A$2:$C$92,3,TRUE)</f>
        <v>Eduardo Saavedra</v>
      </c>
      <c r="C1676" t="str">
        <f t="shared" si="443"/>
        <v>Eduardo</v>
      </c>
      <c r="D1676" s="8" t="str">
        <f t="shared" si="444"/>
        <v>Saavedra</v>
      </c>
      <c r="E1676" s="8" t="str">
        <f t="shared" si="445"/>
        <v>Saavedra, Eduardo</v>
      </c>
      <c r="F1676" s="8" t="str">
        <f t="shared" si="446"/>
        <v>Saavedra, Eduardo</v>
      </c>
      <c r="G1676" s="8" t="str">
        <f t="shared" si="447"/>
        <v>not an outlier</v>
      </c>
      <c r="H1676" s="8" t="str">
        <f t="shared" si="448"/>
        <v>Not</v>
      </c>
      <c r="I1676" s="8" t="str">
        <f t="shared" si="458"/>
        <v>no</v>
      </c>
      <c r="J1676" s="10" t="str">
        <f t="shared" si="449"/>
        <v>no</v>
      </c>
      <c r="K1676" s="10" t="str">
        <f t="shared" si="450"/>
        <v>no</v>
      </c>
      <c r="L1676" t="s">
        <v>227</v>
      </c>
      <c r="M1676">
        <v>10887</v>
      </c>
      <c r="N1676">
        <v>25</v>
      </c>
      <c r="O1676" t="s">
        <v>749</v>
      </c>
      <c r="P1676" t="str">
        <f t="shared" si="451"/>
        <v>GALED_10887_NuNuCa Nuß-Nougat-Creme</v>
      </c>
      <c r="Q1676" t="str">
        <f t="shared" si="452"/>
        <v>10887</v>
      </c>
      <c r="R1676" t="str">
        <f t="shared" si="453"/>
        <v>10887</v>
      </c>
      <c r="S1676" t="str">
        <f t="shared" si="454"/>
        <v>NuNuCa Nuß-Nougat-Creme</v>
      </c>
      <c r="T1676">
        <v>14</v>
      </c>
      <c r="U1676">
        <v>5</v>
      </c>
      <c r="V1676">
        <v>0</v>
      </c>
      <c r="W1676">
        <f t="shared" si="455"/>
        <v>70</v>
      </c>
      <c r="X1676" t="str">
        <f t="shared" si="456"/>
        <v>yes</v>
      </c>
      <c r="Y1676" s="2">
        <v>35139</v>
      </c>
      <c r="Z1676" t="str">
        <f t="shared" si="442"/>
        <v>1st Q 1996</v>
      </c>
      <c r="AA1676" t="str">
        <f t="shared" si="457"/>
        <v>1st Q 1996</v>
      </c>
      <c r="AB1676" t="str" cm="1">
        <f t="array" ref="AB1676">_xlfn.IFS(Y1676&lt;DATE(1996,1,1),"",Y1676&lt;DATE(1996,4,1),"Q1",Y1676&lt;DATE(1996,7,1),"Q2",Y1676&gt;=DATE(1996,7,1),"")</f>
        <v>Q1</v>
      </c>
    </row>
    <row r="1677" spans="1:28" ht="14.4" x14ac:dyDescent="0.55000000000000004">
      <c r="A1677" t="str">
        <f>VLOOKUP(L1677,Customers!$A$2:$B$92,2,FALSE)</f>
        <v>Godos Cocina Típica</v>
      </c>
      <c r="B1677" t="str">
        <f>VLOOKUP(L1677,Customers!$A$2:$C$92,3,TRUE)</f>
        <v>José Pedro Freyre</v>
      </c>
      <c r="C1677" t="str">
        <f t="shared" si="443"/>
        <v>José</v>
      </c>
      <c r="D1677" s="8" t="str">
        <f t="shared" si="444"/>
        <v>Pedro Freyre</v>
      </c>
      <c r="E1677" s="8" t="str">
        <f t="shared" si="445"/>
        <v>Pedro Freyre, José</v>
      </c>
      <c r="F1677" s="8" t="str">
        <f t="shared" si="446"/>
        <v>Pedro Freyre, José</v>
      </c>
      <c r="G1677" s="8" t="str">
        <f t="shared" si="447"/>
        <v>not an outlier</v>
      </c>
      <c r="H1677" s="8" t="str">
        <f t="shared" si="448"/>
        <v>Not</v>
      </c>
      <c r="I1677" s="8" t="str">
        <f t="shared" si="458"/>
        <v>no</v>
      </c>
      <c r="J1677" s="10" t="str">
        <f t="shared" si="449"/>
        <v>no</v>
      </c>
      <c r="K1677" s="10" t="str">
        <f t="shared" si="450"/>
        <v>no</v>
      </c>
      <c r="L1677" t="s">
        <v>234</v>
      </c>
      <c r="M1677">
        <v>10888</v>
      </c>
      <c r="N1677">
        <v>2</v>
      </c>
      <c r="O1677" t="s">
        <v>701</v>
      </c>
      <c r="P1677" t="str">
        <f t="shared" si="451"/>
        <v>GODOS_10888_Chang</v>
      </c>
      <c r="Q1677" t="str">
        <f t="shared" si="452"/>
        <v>10888</v>
      </c>
      <c r="R1677" t="str">
        <f t="shared" si="453"/>
        <v>10888</v>
      </c>
      <c r="S1677" t="str">
        <f t="shared" si="454"/>
        <v>Chang</v>
      </c>
      <c r="T1677">
        <v>19</v>
      </c>
      <c r="U1677">
        <v>20</v>
      </c>
      <c r="V1677">
        <v>0</v>
      </c>
      <c r="W1677">
        <f t="shared" si="455"/>
        <v>380</v>
      </c>
      <c r="X1677" t="str">
        <f t="shared" si="456"/>
        <v>yes</v>
      </c>
      <c r="Y1677" s="2">
        <v>35142</v>
      </c>
      <c r="Z1677" t="str">
        <f t="shared" si="442"/>
        <v>1st Q 1996</v>
      </c>
      <c r="AA1677" t="str">
        <f t="shared" si="457"/>
        <v>1st Q 1996</v>
      </c>
      <c r="AB1677" t="str" cm="1">
        <f t="array" ref="AB1677">_xlfn.IFS(Y1677&lt;DATE(1996,1,1),"",Y1677&lt;DATE(1996,4,1),"Q1",Y1677&lt;DATE(1996,7,1),"Q2",Y1677&gt;=DATE(1996,7,1),"")</f>
        <v>Q1</v>
      </c>
    </row>
    <row r="1678" spans="1:28" ht="14.4" x14ac:dyDescent="0.55000000000000004">
      <c r="A1678" t="str">
        <f>VLOOKUP(L1678,Customers!$A$2:$B$92,2,FALSE)</f>
        <v>Godos Cocina Típica</v>
      </c>
      <c r="B1678" t="str">
        <f>VLOOKUP(L1678,Customers!$A$2:$C$92,3,TRUE)</f>
        <v>José Pedro Freyre</v>
      </c>
      <c r="C1678" t="str">
        <f t="shared" si="443"/>
        <v>José</v>
      </c>
      <c r="D1678" s="8" t="str">
        <f t="shared" si="444"/>
        <v>Pedro Freyre</v>
      </c>
      <c r="E1678" s="8" t="str">
        <f t="shared" si="445"/>
        <v>Pedro Freyre, José</v>
      </c>
      <c r="F1678" s="8" t="str">
        <f t="shared" si="446"/>
        <v>Pedro Freyre, José</v>
      </c>
      <c r="G1678" s="8" t="str">
        <f t="shared" si="447"/>
        <v>not an outlier</v>
      </c>
      <c r="H1678" s="8" t="str">
        <f t="shared" si="448"/>
        <v>Not</v>
      </c>
      <c r="I1678" s="8" t="str">
        <f t="shared" si="458"/>
        <v>no</v>
      </c>
      <c r="J1678" s="10" t="str">
        <f t="shared" si="449"/>
        <v>no</v>
      </c>
      <c r="K1678" s="10" t="str">
        <f t="shared" si="450"/>
        <v>no</v>
      </c>
      <c r="L1678" t="s">
        <v>234</v>
      </c>
      <c r="M1678">
        <v>10888</v>
      </c>
      <c r="N1678">
        <v>68</v>
      </c>
      <c r="O1678" t="s">
        <v>739</v>
      </c>
      <c r="P1678" t="str">
        <f t="shared" si="451"/>
        <v>GODOS_10888_Scottish Longbreads</v>
      </c>
      <c r="Q1678" t="str">
        <f t="shared" si="452"/>
        <v>10888</v>
      </c>
      <c r="R1678" t="str">
        <f t="shared" si="453"/>
        <v>10888</v>
      </c>
      <c r="S1678" t="str">
        <f t="shared" si="454"/>
        <v>Scottish Longbreads</v>
      </c>
      <c r="T1678">
        <v>12.5</v>
      </c>
      <c r="U1678">
        <v>18</v>
      </c>
      <c r="V1678">
        <v>0</v>
      </c>
      <c r="W1678">
        <f t="shared" si="455"/>
        <v>225</v>
      </c>
      <c r="X1678" t="str">
        <f t="shared" si="456"/>
        <v>yes</v>
      </c>
      <c r="Y1678" s="2">
        <v>35142</v>
      </c>
      <c r="Z1678" t="str">
        <f t="shared" si="442"/>
        <v>1st Q 1996</v>
      </c>
      <c r="AA1678" t="str">
        <f t="shared" si="457"/>
        <v>1st Q 1996</v>
      </c>
      <c r="AB1678" t="str" cm="1">
        <f t="array" ref="AB1678">_xlfn.IFS(Y1678&lt;DATE(1996,1,1),"",Y1678&lt;DATE(1996,4,1),"Q1",Y1678&lt;DATE(1996,7,1),"Q2",Y1678&gt;=DATE(1996,7,1),"")</f>
        <v>Q1</v>
      </c>
    </row>
    <row r="1679" spans="1:28" ht="14.4" x14ac:dyDescent="0.55000000000000004">
      <c r="A1679" t="str">
        <f>VLOOKUP(L1679,Customers!$A$2:$B$92,2,FALSE)</f>
        <v>Rattlesnake Canyon Grocery</v>
      </c>
      <c r="B1679" t="str">
        <f>VLOOKUP(L1679,Customers!$A$2:$C$92,3,TRUE)</f>
        <v>Paula Wilson</v>
      </c>
      <c r="C1679" t="str">
        <f t="shared" si="443"/>
        <v>Paula</v>
      </c>
      <c r="D1679" s="8" t="str">
        <f t="shared" si="444"/>
        <v>Wilson</v>
      </c>
      <c r="E1679" s="8" t="str">
        <f t="shared" si="445"/>
        <v>Wilson, Paula</v>
      </c>
      <c r="F1679" s="8" t="str">
        <f t="shared" si="446"/>
        <v>Wilson, Paula</v>
      </c>
      <c r="G1679" s="8" t="str">
        <f t="shared" si="447"/>
        <v>not an outlier</v>
      </c>
      <c r="H1679" s="8" t="str">
        <f t="shared" si="448"/>
        <v>Not</v>
      </c>
      <c r="I1679" s="8" t="str">
        <f t="shared" si="458"/>
        <v>no</v>
      </c>
      <c r="J1679" s="10" t="str">
        <f t="shared" si="449"/>
        <v>no</v>
      </c>
      <c r="K1679" s="10" t="str">
        <f t="shared" si="450"/>
        <v>no</v>
      </c>
      <c r="L1679" t="s">
        <v>487</v>
      </c>
      <c r="M1679">
        <v>10889</v>
      </c>
      <c r="N1679">
        <v>11</v>
      </c>
      <c r="O1679" t="s">
        <v>683</v>
      </c>
      <c r="P1679" t="str">
        <f t="shared" si="451"/>
        <v>RATTC_10889_Queso Cabrales</v>
      </c>
      <c r="Q1679" t="str">
        <f t="shared" si="452"/>
        <v>10889</v>
      </c>
      <c r="R1679" t="str">
        <f t="shared" si="453"/>
        <v>10889</v>
      </c>
      <c r="S1679" t="str">
        <f t="shared" si="454"/>
        <v>Queso Cabrales</v>
      </c>
      <c r="T1679">
        <v>21</v>
      </c>
      <c r="U1679">
        <v>40</v>
      </c>
      <c r="V1679">
        <v>0</v>
      </c>
      <c r="W1679">
        <f t="shared" si="455"/>
        <v>840</v>
      </c>
      <c r="X1679" t="str">
        <f t="shared" si="456"/>
        <v>yes</v>
      </c>
      <c r="Y1679" s="2">
        <v>35142</v>
      </c>
      <c r="Z1679" t="str">
        <f t="shared" si="442"/>
        <v>1st Q 1996</v>
      </c>
      <c r="AA1679" t="str">
        <f t="shared" si="457"/>
        <v>1st Q 1996</v>
      </c>
      <c r="AB1679" t="str" cm="1">
        <f t="array" ref="AB1679">_xlfn.IFS(Y1679&lt;DATE(1996,1,1),"",Y1679&lt;DATE(1996,4,1),"Q1",Y1679&lt;DATE(1996,7,1),"Q2",Y1679&gt;=DATE(1996,7,1),"")</f>
        <v>Q1</v>
      </c>
    </row>
    <row r="1680" spans="1:28" ht="14.4" x14ac:dyDescent="0.55000000000000004">
      <c r="A1680" t="str">
        <f>VLOOKUP(L1680,Customers!$A$2:$B$92,2,FALSE)</f>
        <v>Rattlesnake Canyon Grocery</v>
      </c>
      <c r="B1680" t="str">
        <f>VLOOKUP(L1680,Customers!$A$2:$C$92,3,TRUE)</f>
        <v>Paula Wilson</v>
      </c>
      <c r="C1680" t="str">
        <f t="shared" si="443"/>
        <v>Paula</v>
      </c>
      <c r="D1680" s="8" t="str">
        <f t="shared" si="444"/>
        <v>Wilson</v>
      </c>
      <c r="E1680" s="8" t="str">
        <f t="shared" si="445"/>
        <v>Wilson, Paula</v>
      </c>
      <c r="F1680" s="8" t="str">
        <f t="shared" si="446"/>
        <v>Wilson, Paula</v>
      </c>
      <c r="G1680" s="8" t="str">
        <f t="shared" si="447"/>
        <v>outlier</v>
      </c>
      <c r="H1680" s="8" t="str">
        <f t="shared" si="448"/>
        <v>outlier</v>
      </c>
      <c r="I1680" s="8" t="str">
        <f t="shared" si="458"/>
        <v>yes</v>
      </c>
      <c r="J1680" s="10" t="str">
        <f t="shared" si="449"/>
        <v>yes</v>
      </c>
      <c r="K1680" s="10" t="str">
        <f t="shared" si="450"/>
        <v>yes</v>
      </c>
      <c r="L1680" t="s">
        <v>487</v>
      </c>
      <c r="M1680">
        <v>10889</v>
      </c>
      <c r="N1680">
        <v>38</v>
      </c>
      <c r="O1680" t="s">
        <v>750</v>
      </c>
      <c r="P1680" t="str">
        <f t="shared" si="451"/>
        <v>RATTC_10889_Côte de Blaye</v>
      </c>
      <c r="Q1680" t="str">
        <f t="shared" si="452"/>
        <v>10889</v>
      </c>
      <c r="R1680" t="str">
        <f t="shared" si="453"/>
        <v>10889</v>
      </c>
      <c r="S1680" t="str">
        <f t="shared" si="454"/>
        <v>Côte de Blaye</v>
      </c>
      <c r="T1680">
        <v>263.5</v>
      </c>
      <c r="U1680">
        <v>40</v>
      </c>
      <c r="V1680">
        <v>0</v>
      </c>
      <c r="W1680">
        <f t="shared" si="455"/>
        <v>10540</v>
      </c>
      <c r="X1680" t="str">
        <f t="shared" si="456"/>
        <v>yes</v>
      </c>
      <c r="Y1680" s="2">
        <v>35142</v>
      </c>
      <c r="Z1680" t="str">
        <f t="shared" si="442"/>
        <v>1st Q 1996</v>
      </c>
      <c r="AA1680" t="str">
        <f t="shared" si="457"/>
        <v>1st Q 1996</v>
      </c>
      <c r="AB1680" t="str" cm="1">
        <f t="array" ref="AB1680">_xlfn.IFS(Y1680&lt;DATE(1996,1,1),"",Y1680&lt;DATE(1996,4,1),"Q1",Y1680&lt;DATE(1996,7,1),"Q2",Y1680&gt;=DATE(1996,7,1),"")</f>
        <v>Q1</v>
      </c>
    </row>
    <row r="1681" spans="1:28" ht="14.4" x14ac:dyDescent="0.55000000000000004">
      <c r="A1681" t="str">
        <f>VLOOKUP(L1681,Customers!$A$2:$B$92,2,FALSE)</f>
        <v>Du monde entier</v>
      </c>
      <c r="B1681" t="str">
        <f>VLOOKUP(L1681,Customers!$A$2:$C$92,3,TRUE)</f>
        <v>Janine Labrune</v>
      </c>
      <c r="C1681" t="str">
        <f t="shared" si="443"/>
        <v>Janine</v>
      </c>
      <c r="D1681" s="8" t="str">
        <f t="shared" si="444"/>
        <v>Labrune</v>
      </c>
      <c r="E1681" s="8" t="str">
        <f t="shared" si="445"/>
        <v>Labrune, Janine</v>
      </c>
      <c r="F1681" s="8" t="str">
        <f t="shared" si="446"/>
        <v>Labrune, Janine</v>
      </c>
      <c r="G1681" s="8" t="str">
        <f t="shared" si="447"/>
        <v>not an outlier</v>
      </c>
      <c r="H1681" s="8" t="str">
        <f t="shared" si="448"/>
        <v>Not</v>
      </c>
      <c r="I1681" s="8" t="str">
        <f t="shared" si="458"/>
        <v>no</v>
      </c>
      <c r="J1681" s="10" t="str">
        <f t="shared" si="449"/>
        <v>no</v>
      </c>
      <c r="K1681" s="10" t="str">
        <f t="shared" si="450"/>
        <v>no</v>
      </c>
      <c r="L1681" t="s">
        <v>147</v>
      </c>
      <c r="M1681">
        <v>10890</v>
      </c>
      <c r="N1681">
        <v>17</v>
      </c>
      <c r="O1681" t="s">
        <v>718</v>
      </c>
      <c r="P1681" t="str">
        <f t="shared" si="451"/>
        <v>DUMON_10890_Alice Mutton</v>
      </c>
      <c r="Q1681" t="str">
        <f t="shared" si="452"/>
        <v>10890</v>
      </c>
      <c r="R1681" t="str">
        <f t="shared" si="453"/>
        <v>10890</v>
      </c>
      <c r="S1681" t="str">
        <f t="shared" si="454"/>
        <v>Alice Mutton</v>
      </c>
      <c r="T1681">
        <v>39</v>
      </c>
      <c r="U1681">
        <v>15</v>
      </c>
      <c r="V1681">
        <v>0</v>
      </c>
      <c r="W1681">
        <f t="shared" si="455"/>
        <v>585</v>
      </c>
      <c r="X1681" t="str">
        <f t="shared" si="456"/>
        <v>yes</v>
      </c>
      <c r="Y1681" s="2">
        <v>35142</v>
      </c>
      <c r="Z1681" t="str">
        <f t="shared" si="442"/>
        <v>1st Q 1996</v>
      </c>
      <c r="AA1681" t="str">
        <f t="shared" si="457"/>
        <v>1st Q 1996</v>
      </c>
      <c r="AB1681" t="str" cm="1">
        <f t="array" ref="AB1681">_xlfn.IFS(Y1681&lt;DATE(1996,1,1),"",Y1681&lt;DATE(1996,4,1),"Q1",Y1681&lt;DATE(1996,7,1),"Q2",Y1681&gt;=DATE(1996,7,1),"")</f>
        <v>Q1</v>
      </c>
    </row>
    <row r="1682" spans="1:28" ht="14.4" x14ac:dyDescent="0.55000000000000004">
      <c r="A1682" t="str">
        <f>VLOOKUP(L1682,Customers!$A$2:$B$92,2,FALSE)</f>
        <v>Du monde entier</v>
      </c>
      <c r="B1682" t="str">
        <f>VLOOKUP(L1682,Customers!$A$2:$C$92,3,TRUE)</f>
        <v>Janine Labrune</v>
      </c>
      <c r="C1682" t="str">
        <f t="shared" si="443"/>
        <v>Janine</v>
      </c>
      <c r="D1682" s="8" t="str">
        <f t="shared" si="444"/>
        <v>Labrune</v>
      </c>
      <c r="E1682" s="8" t="str">
        <f t="shared" si="445"/>
        <v>Labrune, Janine</v>
      </c>
      <c r="F1682" s="8" t="str">
        <f t="shared" si="446"/>
        <v>Labrune, Janine</v>
      </c>
      <c r="G1682" s="8" t="str">
        <f t="shared" si="447"/>
        <v>not an outlier</v>
      </c>
      <c r="H1682" s="8" t="str">
        <f t="shared" si="448"/>
        <v>Not</v>
      </c>
      <c r="I1682" s="8" t="str">
        <f t="shared" si="458"/>
        <v>no</v>
      </c>
      <c r="J1682" s="10" t="str">
        <f t="shared" si="449"/>
        <v>no</v>
      </c>
      <c r="K1682" s="10" t="str">
        <f t="shared" si="450"/>
        <v>no</v>
      </c>
      <c r="L1682" t="s">
        <v>147</v>
      </c>
      <c r="M1682">
        <v>10890</v>
      </c>
      <c r="N1682">
        <v>34</v>
      </c>
      <c r="O1682" t="s">
        <v>736</v>
      </c>
      <c r="P1682" t="str">
        <f t="shared" si="451"/>
        <v>DUMON_10890_Sasquatch Ale</v>
      </c>
      <c r="Q1682" t="str">
        <f t="shared" si="452"/>
        <v>10890</v>
      </c>
      <c r="R1682" t="str">
        <f t="shared" si="453"/>
        <v>10890</v>
      </c>
      <c r="S1682" t="str">
        <f t="shared" si="454"/>
        <v>Sasquatch Ale</v>
      </c>
      <c r="T1682">
        <v>14</v>
      </c>
      <c r="U1682">
        <v>10</v>
      </c>
      <c r="V1682">
        <v>0</v>
      </c>
      <c r="W1682">
        <f t="shared" si="455"/>
        <v>140</v>
      </c>
      <c r="X1682" t="str">
        <f t="shared" si="456"/>
        <v>yes</v>
      </c>
      <c r="Y1682" s="2">
        <v>35142</v>
      </c>
      <c r="Z1682" t="str">
        <f t="shared" si="442"/>
        <v>1st Q 1996</v>
      </c>
      <c r="AA1682" t="str">
        <f t="shared" si="457"/>
        <v>1st Q 1996</v>
      </c>
      <c r="AB1682" t="str" cm="1">
        <f t="array" ref="AB1682">_xlfn.IFS(Y1682&lt;DATE(1996,1,1),"",Y1682&lt;DATE(1996,4,1),"Q1",Y1682&lt;DATE(1996,7,1),"Q2",Y1682&gt;=DATE(1996,7,1),"")</f>
        <v>Q1</v>
      </c>
    </row>
    <row r="1683" spans="1:28" ht="14.4" x14ac:dyDescent="0.55000000000000004">
      <c r="A1683" t="str">
        <f>VLOOKUP(L1683,Customers!$A$2:$B$92,2,FALSE)</f>
        <v>Du monde entier</v>
      </c>
      <c r="B1683" t="str">
        <f>VLOOKUP(L1683,Customers!$A$2:$C$92,3,TRUE)</f>
        <v>Janine Labrune</v>
      </c>
      <c r="C1683" t="str">
        <f t="shared" si="443"/>
        <v>Janine</v>
      </c>
      <c r="D1683" s="8" t="str">
        <f t="shared" si="444"/>
        <v>Labrune</v>
      </c>
      <c r="E1683" s="8" t="str">
        <f t="shared" si="445"/>
        <v>Labrune, Janine</v>
      </c>
      <c r="F1683" s="8" t="str">
        <f t="shared" si="446"/>
        <v>Labrune, Janine</v>
      </c>
      <c r="G1683" s="8" t="str">
        <f t="shared" si="447"/>
        <v>not an outlier</v>
      </c>
      <c r="H1683" s="8" t="str">
        <f t="shared" si="448"/>
        <v>Not</v>
      </c>
      <c r="I1683" s="8" t="str">
        <f t="shared" si="458"/>
        <v>no</v>
      </c>
      <c r="J1683" s="10" t="str">
        <f t="shared" si="449"/>
        <v>no</v>
      </c>
      <c r="K1683" s="10" t="str">
        <f t="shared" si="450"/>
        <v>no</v>
      </c>
      <c r="L1683" t="s">
        <v>147</v>
      </c>
      <c r="M1683">
        <v>10890</v>
      </c>
      <c r="N1683">
        <v>41</v>
      </c>
      <c r="O1683" t="s">
        <v>688</v>
      </c>
      <c r="P1683" t="str">
        <f t="shared" si="451"/>
        <v>DUMON_10890_Jack's New England Clam Chowder</v>
      </c>
      <c r="Q1683" t="str">
        <f t="shared" si="452"/>
        <v>10890</v>
      </c>
      <c r="R1683" t="str">
        <f t="shared" si="453"/>
        <v>10890</v>
      </c>
      <c r="S1683" t="str">
        <f t="shared" si="454"/>
        <v>Jack's New England Clam Chowder</v>
      </c>
      <c r="T1683">
        <v>9.65</v>
      </c>
      <c r="U1683">
        <v>14</v>
      </c>
      <c r="V1683">
        <v>0</v>
      </c>
      <c r="W1683">
        <f t="shared" si="455"/>
        <v>135.1</v>
      </c>
      <c r="X1683" t="str">
        <f t="shared" si="456"/>
        <v>yes</v>
      </c>
      <c r="Y1683" s="2">
        <v>35142</v>
      </c>
      <c r="Z1683" t="str">
        <f t="shared" si="442"/>
        <v>1st Q 1996</v>
      </c>
      <c r="AA1683" t="str">
        <f t="shared" si="457"/>
        <v>1st Q 1996</v>
      </c>
      <c r="AB1683" t="str" cm="1">
        <f t="array" ref="AB1683">_xlfn.IFS(Y1683&lt;DATE(1996,1,1),"",Y1683&lt;DATE(1996,4,1),"Q1",Y1683&lt;DATE(1996,7,1),"Q2",Y1683&gt;=DATE(1996,7,1),"")</f>
        <v>Q1</v>
      </c>
    </row>
    <row r="1684" spans="1:28" ht="14.4" x14ac:dyDescent="0.55000000000000004">
      <c r="A1684" t="str">
        <f>VLOOKUP(L1684,Customers!$A$2:$B$92,2,FALSE)</f>
        <v>Lehmanns Marktstand</v>
      </c>
      <c r="B1684" t="str">
        <f>VLOOKUP(L1684,Customers!$A$2:$C$92,3,TRUE)</f>
        <v>Renate Messner</v>
      </c>
      <c r="C1684" t="str">
        <f t="shared" si="443"/>
        <v>Renate</v>
      </c>
      <c r="D1684" s="8" t="str">
        <f t="shared" si="444"/>
        <v>Messner</v>
      </c>
      <c r="E1684" s="8" t="str">
        <f t="shared" si="445"/>
        <v>Messner, Renate</v>
      </c>
      <c r="F1684" s="8" t="str">
        <f t="shared" si="446"/>
        <v>Messner, Renate</v>
      </c>
      <c r="G1684" s="8" t="str">
        <f t="shared" si="447"/>
        <v>not an outlier</v>
      </c>
      <c r="H1684" s="8" t="str">
        <f t="shared" si="448"/>
        <v>Not</v>
      </c>
      <c r="I1684" s="8" t="str">
        <f t="shared" si="458"/>
        <v>no</v>
      </c>
      <c r="J1684" s="10" t="str">
        <f t="shared" si="449"/>
        <v>no</v>
      </c>
      <c r="K1684" s="10" t="str">
        <f t="shared" si="450"/>
        <v>no</v>
      </c>
      <c r="L1684" t="s">
        <v>341</v>
      </c>
      <c r="M1684">
        <v>10891</v>
      </c>
      <c r="N1684">
        <v>30</v>
      </c>
      <c r="O1684" t="s">
        <v>717</v>
      </c>
      <c r="P1684" t="str">
        <f t="shared" si="451"/>
        <v>LEHMS_10891_Nord-Ost Matjeshering</v>
      </c>
      <c r="Q1684" t="str">
        <f t="shared" si="452"/>
        <v>10891</v>
      </c>
      <c r="R1684" t="str">
        <f t="shared" si="453"/>
        <v>10891</v>
      </c>
      <c r="S1684" t="str">
        <f t="shared" si="454"/>
        <v>Nord-Ost Matjeshering</v>
      </c>
      <c r="T1684">
        <v>25.89</v>
      </c>
      <c r="U1684">
        <v>15</v>
      </c>
      <c r="V1684">
        <v>0.05</v>
      </c>
      <c r="W1684">
        <f t="shared" si="455"/>
        <v>368.9325</v>
      </c>
      <c r="X1684" t="str">
        <f t="shared" si="456"/>
        <v>yes</v>
      </c>
      <c r="Y1684" s="2">
        <v>35143</v>
      </c>
      <c r="Z1684" t="str">
        <f t="shared" si="442"/>
        <v>1st Q 1996</v>
      </c>
      <c r="AA1684" t="str">
        <f t="shared" si="457"/>
        <v>1st Q 1996</v>
      </c>
      <c r="AB1684" t="str" cm="1">
        <f t="array" ref="AB1684">_xlfn.IFS(Y1684&lt;DATE(1996,1,1),"",Y1684&lt;DATE(1996,4,1),"Q1",Y1684&lt;DATE(1996,7,1),"Q2",Y1684&gt;=DATE(1996,7,1),"")</f>
        <v>Q1</v>
      </c>
    </row>
    <row r="1685" spans="1:28" ht="14.4" x14ac:dyDescent="0.55000000000000004">
      <c r="A1685" t="str">
        <f>VLOOKUP(L1685,Customers!$A$2:$B$92,2,FALSE)</f>
        <v>Maison Dewey</v>
      </c>
      <c r="B1685" t="str">
        <f>VLOOKUP(L1685,Customers!$A$2:$C$92,3,TRUE)</f>
        <v>Catherine Dewey</v>
      </c>
      <c r="C1685" t="str">
        <f t="shared" si="443"/>
        <v>Catherine</v>
      </c>
      <c r="D1685" s="8" t="str">
        <f t="shared" si="444"/>
        <v>Dewey</v>
      </c>
      <c r="E1685" s="8" t="str">
        <f t="shared" si="445"/>
        <v>Dewey, Catherine</v>
      </c>
      <c r="F1685" s="8" t="str">
        <f t="shared" si="446"/>
        <v>Dewey, Catherine</v>
      </c>
      <c r="G1685" s="8" t="str">
        <f t="shared" si="447"/>
        <v>not an outlier</v>
      </c>
      <c r="H1685" s="8" t="str">
        <f t="shared" si="448"/>
        <v>Not</v>
      </c>
      <c r="I1685" s="8" t="str">
        <f t="shared" si="458"/>
        <v>no</v>
      </c>
      <c r="J1685" s="10" t="str">
        <f t="shared" si="449"/>
        <v>no</v>
      </c>
      <c r="K1685" s="10" t="str">
        <f t="shared" si="450"/>
        <v>no</v>
      </c>
      <c r="L1685" t="s">
        <v>385</v>
      </c>
      <c r="M1685">
        <v>10892</v>
      </c>
      <c r="N1685">
        <v>59</v>
      </c>
      <c r="O1685" t="s">
        <v>704</v>
      </c>
      <c r="P1685" t="str">
        <f t="shared" si="451"/>
        <v>MAISD_10892_Raclette Courdavault</v>
      </c>
      <c r="Q1685" t="str">
        <f t="shared" si="452"/>
        <v>10892</v>
      </c>
      <c r="R1685" t="str">
        <f t="shared" si="453"/>
        <v>10892</v>
      </c>
      <c r="S1685" t="str">
        <f t="shared" si="454"/>
        <v>Raclette Courdavault</v>
      </c>
      <c r="T1685">
        <v>55</v>
      </c>
      <c r="U1685">
        <v>40</v>
      </c>
      <c r="V1685">
        <v>0.05</v>
      </c>
      <c r="W1685">
        <f t="shared" si="455"/>
        <v>2090</v>
      </c>
      <c r="X1685" t="str">
        <f t="shared" si="456"/>
        <v>yes</v>
      </c>
      <c r="Y1685" s="2">
        <v>35143</v>
      </c>
      <c r="Z1685" t="str">
        <f t="shared" si="442"/>
        <v>1st Q 1996</v>
      </c>
      <c r="AA1685" t="str">
        <f t="shared" si="457"/>
        <v>1st Q 1996</v>
      </c>
      <c r="AB1685" t="str" cm="1">
        <f t="array" ref="AB1685">_xlfn.IFS(Y1685&lt;DATE(1996,1,1),"",Y1685&lt;DATE(1996,4,1),"Q1",Y1685&lt;DATE(1996,7,1),"Q2",Y1685&gt;=DATE(1996,7,1),"")</f>
        <v>Q1</v>
      </c>
    </row>
    <row r="1686" spans="1:28" ht="14.4" x14ac:dyDescent="0.55000000000000004">
      <c r="A1686" t="str">
        <f>VLOOKUP(L1686,Customers!$A$2:$B$92,2,FALSE)</f>
        <v>Königlich Essen</v>
      </c>
      <c r="B1686" t="str">
        <f>VLOOKUP(L1686,Customers!$A$2:$C$92,3,TRUE)</f>
        <v>Philip Cramer</v>
      </c>
      <c r="C1686" t="str">
        <f t="shared" si="443"/>
        <v>Philip</v>
      </c>
      <c r="D1686" s="8" t="str">
        <f t="shared" si="444"/>
        <v>Cramer</v>
      </c>
      <c r="E1686" s="8" t="str">
        <f t="shared" si="445"/>
        <v>Cramer, Philip</v>
      </c>
      <c r="F1686" s="8" t="str">
        <f t="shared" si="446"/>
        <v>Cramer, Philip</v>
      </c>
      <c r="G1686" s="8" t="str">
        <f t="shared" si="447"/>
        <v>not an outlier</v>
      </c>
      <c r="H1686" s="8" t="str">
        <f t="shared" si="448"/>
        <v>Not</v>
      </c>
      <c r="I1686" s="8" t="str">
        <f t="shared" si="458"/>
        <v>no</v>
      </c>
      <c r="J1686" s="10" t="str">
        <f t="shared" si="449"/>
        <v>no</v>
      </c>
      <c r="K1686" s="10" t="str">
        <f t="shared" si="450"/>
        <v>no</v>
      </c>
      <c r="L1686" t="s">
        <v>305</v>
      </c>
      <c r="M1686">
        <v>10893</v>
      </c>
      <c r="N1686">
        <v>8</v>
      </c>
      <c r="O1686" t="s">
        <v>754</v>
      </c>
      <c r="P1686" t="str">
        <f t="shared" si="451"/>
        <v>KOENE_10893_Northwoods Cranberry Sauce</v>
      </c>
      <c r="Q1686" t="str">
        <f t="shared" si="452"/>
        <v>10893</v>
      </c>
      <c r="R1686" t="str">
        <f t="shared" si="453"/>
        <v>10893</v>
      </c>
      <c r="S1686" t="str">
        <f t="shared" si="454"/>
        <v>Northwoods Cranberry Sauce</v>
      </c>
      <c r="T1686">
        <v>40</v>
      </c>
      <c r="U1686">
        <v>30</v>
      </c>
      <c r="V1686">
        <v>0</v>
      </c>
      <c r="W1686">
        <f t="shared" si="455"/>
        <v>1200</v>
      </c>
      <c r="X1686" t="str">
        <f t="shared" si="456"/>
        <v>yes</v>
      </c>
      <c r="Y1686" s="2">
        <v>35144</v>
      </c>
      <c r="Z1686" t="str">
        <f t="shared" si="442"/>
        <v>1st Q 1996</v>
      </c>
      <c r="AA1686" t="str">
        <f t="shared" si="457"/>
        <v>1st Q 1996</v>
      </c>
      <c r="AB1686" t="str" cm="1">
        <f t="array" ref="AB1686">_xlfn.IFS(Y1686&lt;DATE(1996,1,1),"",Y1686&lt;DATE(1996,4,1),"Q1",Y1686&lt;DATE(1996,7,1),"Q2",Y1686&gt;=DATE(1996,7,1),"")</f>
        <v>Q1</v>
      </c>
    </row>
    <row r="1687" spans="1:28" ht="14.4" x14ac:dyDescent="0.55000000000000004">
      <c r="A1687" t="str">
        <f>VLOOKUP(L1687,Customers!$A$2:$B$92,2,FALSE)</f>
        <v>Königlich Essen</v>
      </c>
      <c r="B1687" t="str">
        <f>VLOOKUP(L1687,Customers!$A$2:$C$92,3,TRUE)</f>
        <v>Philip Cramer</v>
      </c>
      <c r="C1687" t="str">
        <f t="shared" si="443"/>
        <v>Philip</v>
      </c>
      <c r="D1687" s="8" t="str">
        <f t="shared" si="444"/>
        <v>Cramer</v>
      </c>
      <c r="E1687" s="8" t="str">
        <f t="shared" si="445"/>
        <v>Cramer, Philip</v>
      </c>
      <c r="F1687" s="8" t="str">
        <f t="shared" si="446"/>
        <v>Cramer, Philip</v>
      </c>
      <c r="G1687" s="8" t="str">
        <f t="shared" si="447"/>
        <v>not an outlier</v>
      </c>
      <c r="H1687" s="8" t="str">
        <f t="shared" si="448"/>
        <v>Not</v>
      </c>
      <c r="I1687" s="8" t="str">
        <f t="shared" si="458"/>
        <v>no</v>
      </c>
      <c r="J1687" s="10" t="str">
        <f t="shared" si="449"/>
        <v>no</v>
      </c>
      <c r="K1687" s="10" t="str">
        <f t="shared" si="450"/>
        <v>no</v>
      </c>
      <c r="L1687" t="s">
        <v>305</v>
      </c>
      <c r="M1687">
        <v>10893</v>
      </c>
      <c r="N1687">
        <v>24</v>
      </c>
      <c r="O1687" t="s">
        <v>698</v>
      </c>
      <c r="P1687" t="str">
        <f t="shared" si="451"/>
        <v>KOENE_10893_Guaraná Fantástica</v>
      </c>
      <c r="Q1687" t="str">
        <f t="shared" si="452"/>
        <v>10893</v>
      </c>
      <c r="R1687" t="str">
        <f t="shared" si="453"/>
        <v>10893</v>
      </c>
      <c r="S1687" t="str">
        <f t="shared" si="454"/>
        <v>Guaraná Fantástica</v>
      </c>
      <c r="T1687">
        <v>4.5</v>
      </c>
      <c r="U1687">
        <v>10</v>
      </c>
      <c r="V1687">
        <v>0</v>
      </c>
      <c r="W1687">
        <f t="shared" si="455"/>
        <v>45</v>
      </c>
      <c r="X1687" t="str">
        <f t="shared" si="456"/>
        <v>yes</v>
      </c>
      <c r="Y1687" s="2">
        <v>35144</v>
      </c>
      <c r="Z1687" t="str">
        <f t="shared" si="442"/>
        <v>1st Q 1996</v>
      </c>
      <c r="AA1687" t="str">
        <f t="shared" si="457"/>
        <v>1st Q 1996</v>
      </c>
      <c r="AB1687" t="str" cm="1">
        <f t="array" ref="AB1687">_xlfn.IFS(Y1687&lt;DATE(1996,1,1),"",Y1687&lt;DATE(1996,4,1),"Q1",Y1687&lt;DATE(1996,7,1),"Q2",Y1687&gt;=DATE(1996,7,1),"")</f>
        <v>Q1</v>
      </c>
    </row>
    <row r="1688" spans="1:28" ht="14.4" x14ac:dyDescent="0.55000000000000004">
      <c r="A1688" t="str">
        <f>VLOOKUP(L1688,Customers!$A$2:$B$92,2,FALSE)</f>
        <v>Königlich Essen</v>
      </c>
      <c r="B1688" t="str">
        <f>VLOOKUP(L1688,Customers!$A$2:$C$92,3,TRUE)</f>
        <v>Philip Cramer</v>
      </c>
      <c r="C1688" t="str">
        <f t="shared" si="443"/>
        <v>Philip</v>
      </c>
      <c r="D1688" s="8" t="str">
        <f t="shared" si="444"/>
        <v>Cramer</v>
      </c>
      <c r="E1688" s="8" t="str">
        <f t="shared" si="445"/>
        <v>Cramer, Philip</v>
      </c>
      <c r="F1688" s="8" t="str">
        <f t="shared" si="446"/>
        <v>Cramer, Philip</v>
      </c>
      <c r="G1688" s="8" t="str">
        <f t="shared" si="447"/>
        <v>not an outlier</v>
      </c>
      <c r="H1688" s="8" t="str">
        <f t="shared" si="448"/>
        <v>moderate</v>
      </c>
      <c r="I1688" s="8" t="str">
        <f t="shared" si="458"/>
        <v>no</v>
      </c>
      <c r="J1688" s="10" t="str">
        <f t="shared" si="449"/>
        <v>no</v>
      </c>
      <c r="K1688" s="10" t="str">
        <f t="shared" si="450"/>
        <v>moderate</v>
      </c>
      <c r="L1688" t="s">
        <v>305</v>
      </c>
      <c r="M1688">
        <v>10893</v>
      </c>
      <c r="N1688">
        <v>29</v>
      </c>
      <c r="O1688" t="s">
        <v>722</v>
      </c>
      <c r="P1688" t="str">
        <f t="shared" si="451"/>
        <v>KOENE_10893_Thüringer Rostbratwurst</v>
      </c>
      <c r="Q1688" t="str">
        <f t="shared" si="452"/>
        <v>10893</v>
      </c>
      <c r="R1688" t="str">
        <f t="shared" si="453"/>
        <v>10893</v>
      </c>
      <c r="S1688" t="str">
        <f t="shared" si="454"/>
        <v>Thüringer Rostbratwurst</v>
      </c>
      <c r="T1688">
        <v>123.79</v>
      </c>
      <c r="U1688">
        <v>24</v>
      </c>
      <c r="V1688">
        <v>0</v>
      </c>
      <c r="W1688">
        <f t="shared" si="455"/>
        <v>2970.96</v>
      </c>
      <c r="X1688" t="str">
        <f t="shared" si="456"/>
        <v>yes</v>
      </c>
      <c r="Y1688" s="2">
        <v>35144</v>
      </c>
      <c r="Z1688" t="str">
        <f t="shared" si="442"/>
        <v>1st Q 1996</v>
      </c>
      <c r="AA1688" t="str">
        <f t="shared" si="457"/>
        <v>1st Q 1996</v>
      </c>
      <c r="AB1688" t="str" cm="1">
        <f t="array" ref="AB1688">_xlfn.IFS(Y1688&lt;DATE(1996,1,1),"",Y1688&lt;DATE(1996,4,1),"Q1",Y1688&lt;DATE(1996,7,1),"Q2",Y1688&gt;=DATE(1996,7,1),"")</f>
        <v>Q1</v>
      </c>
    </row>
    <row r="1689" spans="1:28" ht="14.4" x14ac:dyDescent="0.55000000000000004">
      <c r="A1689" t="str">
        <f>VLOOKUP(L1689,Customers!$A$2:$B$92,2,FALSE)</f>
        <v>Königlich Essen</v>
      </c>
      <c r="B1689" t="str">
        <f>VLOOKUP(L1689,Customers!$A$2:$C$92,3,TRUE)</f>
        <v>Philip Cramer</v>
      </c>
      <c r="C1689" t="str">
        <f t="shared" si="443"/>
        <v>Philip</v>
      </c>
      <c r="D1689" s="8" t="str">
        <f t="shared" si="444"/>
        <v>Cramer</v>
      </c>
      <c r="E1689" s="8" t="str">
        <f t="shared" si="445"/>
        <v>Cramer, Philip</v>
      </c>
      <c r="F1689" s="8" t="str">
        <f t="shared" si="446"/>
        <v>Cramer, Philip</v>
      </c>
      <c r="G1689" s="8" t="str">
        <f t="shared" si="447"/>
        <v>not an outlier</v>
      </c>
      <c r="H1689" s="8" t="str">
        <f t="shared" si="448"/>
        <v>Not</v>
      </c>
      <c r="I1689" s="8" t="str">
        <f t="shared" si="458"/>
        <v>no</v>
      </c>
      <c r="J1689" s="10" t="str">
        <f t="shared" si="449"/>
        <v>no</v>
      </c>
      <c r="K1689" s="10" t="str">
        <f t="shared" si="450"/>
        <v>no</v>
      </c>
      <c r="L1689" t="s">
        <v>305</v>
      </c>
      <c r="M1689">
        <v>10893</v>
      </c>
      <c r="N1689">
        <v>30</v>
      </c>
      <c r="O1689" t="s">
        <v>717</v>
      </c>
      <c r="P1689" t="str">
        <f t="shared" si="451"/>
        <v>KOENE_10893_Nord-Ost Matjeshering</v>
      </c>
      <c r="Q1689" t="str">
        <f t="shared" si="452"/>
        <v>10893</v>
      </c>
      <c r="R1689" t="str">
        <f t="shared" si="453"/>
        <v>10893</v>
      </c>
      <c r="S1689" t="str">
        <f t="shared" si="454"/>
        <v>Nord-Ost Matjeshering</v>
      </c>
      <c r="T1689">
        <v>25.89</v>
      </c>
      <c r="U1689">
        <v>35</v>
      </c>
      <c r="V1689">
        <v>0</v>
      </c>
      <c r="W1689">
        <f t="shared" si="455"/>
        <v>906.15</v>
      </c>
      <c r="X1689" t="str">
        <f t="shared" si="456"/>
        <v>yes</v>
      </c>
      <c r="Y1689" s="2">
        <v>35144</v>
      </c>
      <c r="Z1689" t="str">
        <f t="shared" si="442"/>
        <v>1st Q 1996</v>
      </c>
      <c r="AA1689" t="str">
        <f t="shared" si="457"/>
        <v>1st Q 1996</v>
      </c>
      <c r="AB1689" t="str" cm="1">
        <f t="array" ref="AB1689">_xlfn.IFS(Y1689&lt;DATE(1996,1,1),"",Y1689&lt;DATE(1996,4,1),"Q1",Y1689&lt;DATE(1996,7,1),"Q2",Y1689&gt;=DATE(1996,7,1),"")</f>
        <v>Q1</v>
      </c>
    </row>
    <row r="1690" spans="1:28" ht="14.4" x14ac:dyDescent="0.55000000000000004">
      <c r="A1690" t="str">
        <f>VLOOKUP(L1690,Customers!$A$2:$B$92,2,FALSE)</f>
        <v>Königlich Essen</v>
      </c>
      <c r="B1690" t="str">
        <f>VLOOKUP(L1690,Customers!$A$2:$C$92,3,TRUE)</f>
        <v>Philip Cramer</v>
      </c>
      <c r="C1690" t="str">
        <f t="shared" si="443"/>
        <v>Philip</v>
      </c>
      <c r="D1690" s="8" t="str">
        <f t="shared" si="444"/>
        <v>Cramer</v>
      </c>
      <c r="E1690" s="8" t="str">
        <f t="shared" si="445"/>
        <v>Cramer, Philip</v>
      </c>
      <c r="F1690" s="8" t="str">
        <f t="shared" si="446"/>
        <v>Cramer, Philip</v>
      </c>
      <c r="G1690" s="8" t="str">
        <f t="shared" si="447"/>
        <v>not an outlier</v>
      </c>
      <c r="H1690" s="8" t="str">
        <f t="shared" si="448"/>
        <v>Not</v>
      </c>
      <c r="I1690" s="8" t="str">
        <f t="shared" si="458"/>
        <v>no</v>
      </c>
      <c r="J1690" s="10" t="str">
        <f t="shared" si="449"/>
        <v>no</v>
      </c>
      <c r="K1690" s="10" t="str">
        <f t="shared" si="450"/>
        <v>no</v>
      </c>
      <c r="L1690" t="s">
        <v>305</v>
      </c>
      <c r="M1690">
        <v>10893</v>
      </c>
      <c r="N1690">
        <v>36</v>
      </c>
      <c r="O1690" t="s">
        <v>703</v>
      </c>
      <c r="P1690" t="str">
        <f t="shared" si="451"/>
        <v>KOENE_10893_Inlagd Sill</v>
      </c>
      <c r="Q1690" t="str">
        <f t="shared" si="452"/>
        <v>10893</v>
      </c>
      <c r="R1690" t="str">
        <f t="shared" si="453"/>
        <v>10893</v>
      </c>
      <c r="S1690" t="str">
        <f t="shared" si="454"/>
        <v>Inlagd Sill</v>
      </c>
      <c r="T1690">
        <v>19</v>
      </c>
      <c r="U1690">
        <v>20</v>
      </c>
      <c r="V1690">
        <v>0</v>
      </c>
      <c r="W1690">
        <f t="shared" si="455"/>
        <v>380</v>
      </c>
      <c r="X1690" t="str">
        <f t="shared" si="456"/>
        <v>yes</v>
      </c>
      <c r="Y1690" s="2">
        <v>35144</v>
      </c>
      <c r="Z1690" t="str">
        <f t="shared" si="442"/>
        <v>1st Q 1996</v>
      </c>
      <c r="AA1690" t="str">
        <f t="shared" si="457"/>
        <v>1st Q 1996</v>
      </c>
      <c r="AB1690" t="str" cm="1">
        <f t="array" ref="AB1690">_xlfn.IFS(Y1690&lt;DATE(1996,1,1),"",Y1690&lt;DATE(1996,4,1),"Q1",Y1690&lt;DATE(1996,7,1),"Q2",Y1690&gt;=DATE(1996,7,1),"")</f>
        <v>Q1</v>
      </c>
    </row>
    <row r="1691" spans="1:28" ht="14.4" x14ac:dyDescent="0.55000000000000004">
      <c r="A1691" t="str">
        <f>VLOOKUP(L1691,Customers!$A$2:$B$92,2,FALSE)</f>
        <v>Save-a-lot Markets</v>
      </c>
      <c r="B1691" t="str">
        <f>VLOOKUP(L1691,Customers!$A$2:$C$92,3,TRUE)</f>
        <v>Jose Pavarotti</v>
      </c>
      <c r="C1691" t="str">
        <f t="shared" si="443"/>
        <v>Jose</v>
      </c>
      <c r="D1691" s="8" t="str">
        <f t="shared" si="444"/>
        <v>Pavarotti</v>
      </c>
      <c r="E1691" s="8" t="str">
        <f t="shared" si="445"/>
        <v>Pavarotti, Jose</v>
      </c>
      <c r="F1691" s="8" t="str">
        <f t="shared" si="446"/>
        <v>Pavarotti, Jose</v>
      </c>
      <c r="G1691" s="8" t="str">
        <f t="shared" si="447"/>
        <v>not an outlier</v>
      </c>
      <c r="H1691" s="8" t="str">
        <f t="shared" si="448"/>
        <v>Not</v>
      </c>
      <c r="I1691" s="8" t="str">
        <f t="shared" si="458"/>
        <v>no</v>
      </c>
      <c r="J1691" s="10" t="str">
        <f t="shared" si="449"/>
        <v>no</v>
      </c>
      <c r="K1691" s="10" t="str">
        <f t="shared" si="450"/>
        <v>no</v>
      </c>
      <c r="L1691" t="s">
        <v>529</v>
      </c>
      <c r="M1691">
        <v>10894</v>
      </c>
      <c r="N1691">
        <v>13</v>
      </c>
      <c r="O1691" t="s">
        <v>726</v>
      </c>
      <c r="P1691" t="str">
        <f t="shared" si="451"/>
        <v>SAVEA_10894_Konbu</v>
      </c>
      <c r="Q1691" t="str">
        <f t="shared" si="452"/>
        <v>10894</v>
      </c>
      <c r="R1691" t="str">
        <f t="shared" si="453"/>
        <v>10894</v>
      </c>
      <c r="S1691" t="str">
        <f t="shared" si="454"/>
        <v>Konbu</v>
      </c>
      <c r="T1691">
        <v>6</v>
      </c>
      <c r="U1691">
        <v>28</v>
      </c>
      <c r="V1691">
        <v>0.05</v>
      </c>
      <c r="W1691">
        <f t="shared" si="455"/>
        <v>159.6</v>
      </c>
      <c r="X1691" t="str">
        <f t="shared" si="456"/>
        <v>yes</v>
      </c>
      <c r="Y1691" s="2">
        <v>35144</v>
      </c>
      <c r="Z1691" t="str">
        <f t="shared" si="442"/>
        <v>1st Q 1996</v>
      </c>
      <c r="AA1691" t="str">
        <f t="shared" si="457"/>
        <v>1st Q 1996</v>
      </c>
      <c r="AB1691" t="str" cm="1">
        <f t="array" ref="AB1691">_xlfn.IFS(Y1691&lt;DATE(1996,1,1),"",Y1691&lt;DATE(1996,4,1),"Q1",Y1691&lt;DATE(1996,7,1),"Q2",Y1691&gt;=DATE(1996,7,1),"")</f>
        <v>Q1</v>
      </c>
    </row>
    <row r="1692" spans="1:28" ht="14.4" x14ac:dyDescent="0.55000000000000004">
      <c r="A1692" t="str">
        <f>VLOOKUP(L1692,Customers!$A$2:$B$92,2,FALSE)</f>
        <v>Save-a-lot Markets</v>
      </c>
      <c r="B1692" t="str">
        <f>VLOOKUP(L1692,Customers!$A$2:$C$92,3,TRUE)</f>
        <v>Jose Pavarotti</v>
      </c>
      <c r="C1692" t="str">
        <f t="shared" si="443"/>
        <v>Jose</v>
      </c>
      <c r="D1692" s="8" t="str">
        <f t="shared" si="444"/>
        <v>Pavarotti</v>
      </c>
      <c r="E1692" s="8" t="str">
        <f t="shared" si="445"/>
        <v>Pavarotti, Jose</v>
      </c>
      <c r="F1692" s="8" t="str">
        <f t="shared" si="446"/>
        <v>Pavarotti, Jose</v>
      </c>
      <c r="G1692" s="8" t="str">
        <f t="shared" si="447"/>
        <v>not an outlier</v>
      </c>
      <c r="H1692" s="8" t="str">
        <f t="shared" si="448"/>
        <v>Not</v>
      </c>
      <c r="I1692" s="8" t="str">
        <f t="shared" si="458"/>
        <v>no</v>
      </c>
      <c r="J1692" s="10" t="str">
        <f t="shared" si="449"/>
        <v>no</v>
      </c>
      <c r="K1692" s="10" t="str">
        <f t="shared" si="450"/>
        <v>no</v>
      </c>
      <c r="L1692" t="s">
        <v>529</v>
      </c>
      <c r="M1692">
        <v>10894</v>
      </c>
      <c r="N1692">
        <v>69</v>
      </c>
      <c r="O1692" t="s">
        <v>743</v>
      </c>
      <c r="P1692" t="str">
        <f t="shared" si="451"/>
        <v>SAVEA_10894_Gudbrandsdalsost</v>
      </c>
      <c r="Q1692" t="str">
        <f t="shared" si="452"/>
        <v>10894</v>
      </c>
      <c r="R1692" t="str">
        <f t="shared" si="453"/>
        <v>10894</v>
      </c>
      <c r="S1692" t="str">
        <f t="shared" si="454"/>
        <v>Gudbrandsdalsost</v>
      </c>
      <c r="T1692">
        <v>36</v>
      </c>
      <c r="U1692">
        <v>50</v>
      </c>
      <c r="V1692">
        <v>0.05</v>
      </c>
      <c r="W1692">
        <f t="shared" si="455"/>
        <v>1710</v>
      </c>
      <c r="X1692" t="str">
        <f t="shared" si="456"/>
        <v>yes</v>
      </c>
      <c r="Y1692" s="2">
        <v>35144</v>
      </c>
      <c r="Z1692" t="str">
        <f t="shared" si="442"/>
        <v>1st Q 1996</v>
      </c>
      <c r="AA1692" t="str">
        <f t="shared" si="457"/>
        <v>1st Q 1996</v>
      </c>
      <c r="AB1692" t="str" cm="1">
        <f t="array" ref="AB1692">_xlfn.IFS(Y1692&lt;DATE(1996,1,1),"",Y1692&lt;DATE(1996,4,1),"Q1",Y1692&lt;DATE(1996,7,1),"Q2",Y1692&gt;=DATE(1996,7,1),"")</f>
        <v>Q1</v>
      </c>
    </row>
    <row r="1693" spans="1:28" ht="14.4" x14ac:dyDescent="0.55000000000000004">
      <c r="A1693" t="str">
        <f>VLOOKUP(L1693,Customers!$A$2:$B$92,2,FALSE)</f>
        <v>Save-a-lot Markets</v>
      </c>
      <c r="B1693" t="str">
        <f>VLOOKUP(L1693,Customers!$A$2:$C$92,3,TRUE)</f>
        <v>Jose Pavarotti</v>
      </c>
      <c r="C1693" t="str">
        <f t="shared" si="443"/>
        <v>Jose</v>
      </c>
      <c r="D1693" s="8" t="str">
        <f t="shared" si="444"/>
        <v>Pavarotti</v>
      </c>
      <c r="E1693" s="8" t="str">
        <f t="shared" si="445"/>
        <v>Pavarotti, Jose</v>
      </c>
      <c r="F1693" s="8" t="str">
        <f t="shared" si="446"/>
        <v>Pavarotti, Jose</v>
      </c>
      <c r="G1693" s="8" t="str">
        <f t="shared" si="447"/>
        <v>not an outlier</v>
      </c>
      <c r="H1693" s="8" t="str">
        <f t="shared" si="448"/>
        <v>Not</v>
      </c>
      <c r="I1693" s="8" t="str">
        <f t="shared" si="458"/>
        <v>no</v>
      </c>
      <c r="J1693" s="10" t="str">
        <f t="shared" si="449"/>
        <v>no</v>
      </c>
      <c r="K1693" s="10" t="str">
        <f t="shared" si="450"/>
        <v>no</v>
      </c>
      <c r="L1693" t="s">
        <v>529</v>
      </c>
      <c r="M1693">
        <v>10894</v>
      </c>
      <c r="N1693">
        <v>75</v>
      </c>
      <c r="O1693" t="s">
        <v>731</v>
      </c>
      <c r="P1693" t="str">
        <f t="shared" si="451"/>
        <v>SAVEA_10894_Rhönbräu Klosterbier</v>
      </c>
      <c r="Q1693" t="str">
        <f t="shared" si="452"/>
        <v>10894</v>
      </c>
      <c r="R1693" t="str">
        <f t="shared" si="453"/>
        <v>10894</v>
      </c>
      <c r="S1693" t="str">
        <f t="shared" si="454"/>
        <v>Rhönbräu Klosterbier</v>
      </c>
      <c r="T1693">
        <v>7.75</v>
      </c>
      <c r="U1693">
        <v>120</v>
      </c>
      <c r="V1693">
        <v>0.05</v>
      </c>
      <c r="W1693">
        <f t="shared" si="455"/>
        <v>883.5</v>
      </c>
      <c r="X1693" t="str">
        <f t="shared" si="456"/>
        <v>yes</v>
      </c>
      <c r="Y1693" s="2">
        <v>35144</v>
      </c>
      <c r="Z1693" t="str">
        <f t="shared" si="442"/>
        <v>1st Q 1996</v>
      </c>
      <c r="AA1693" t="str">
        <f t="shared" si="457"/>
        <v>1st Q 1996</v>
      </c>
      <c r="AB1693" t="str" cm="1">
        <f t="array" ref="AB1693">_xlfn.IFS(Y1693&lt;DATE(1996,1,1),"",Y1693&lt;DATE(1996,4,1),"Q1",Y1693&lt;DATE(1996,7,1),"Q2",Y1693&gt;=DATE(1996,7,1),"")</f>
        <v>Q1</v>
      </c>
    </row>
    <row r="1694" spans="1:28" ht="14.4" x14ac:dyDescent="0.55000000000000004">
      <c r="A1694" t="str">
        <f>VLOOKUP(L1694,Customers!$A$2:$B$92,2,FALSE)</f>
        <v>Ernst Handel</v>
      </c>
      <c r="B1694" t="str">
        <f>VLOOKUP(L1694,Customers!$A$2:$C$92,3,TRUE)</f>
        <v>Roland Mendel</v>
      </c>
      <c r="C1694" t="str">
        <f t="shared" si="443"/>
        <v>Roland</v>
      </c>
      <c r="D1694" s="8" t="str">
        <f t="shared" si="444"/>
        <v>Mendel</v>
      </c>
      <c r="E1694" s="8" t="str">
        <f t="shared" si="445"/>
        <v>Mendel, Roland</v>
      </c>
      <c r="F1694" s="8" t="str">
        <f t="shared" si="446"/>
        <v>Mendel, Roland</v>
      </c>
      <c r="G1694" s="8" t="str">
        <f t="shared" si="447"/>
        <v>not an outlier</v>
      </c>
      <c r="H1694" s="8" t="str">
        <f t="shared" si="448"/>
        <v>Not</v>
      </c>
      <c r="I1694" s="8" t="str">
        <f t="shared" si="458"/>
        <v>no</v>
      </c>
      <c r="J1694" s="10" t="str">
        <f t="shared" si="449"/>
        <v>no</v>
      </c>
      <c r="K1694" s="10" t="str">
        <f t="shared" si="450"/>
        <v>no</v>
      </c>
      <c r="L1694" t="s">
        <v>161</v>
      </c>
      <c r="M1694">
        <v>10895</v>
      </c>
      <c r="N1694">
        <v>24</v>
      </c>
      <c r="O1694" t="s">
        <v>698</v>
      </c>
      <c r="P1694" t="str">
        <f t="shared" si="451"/>
        <v>ERNSH_10895_Guaraná Fantástica</v>
      </c>
      <c r="Q1694" t="str">
        <f t="shared" si="452"/>
        <v>10895</v>
      </c>
      <c r="R1694" t="str">
        <f t="shared" si="453"/>
        <v>10895</v>
      </c>
      <c r="S1694" t="str">
        <f t="shared" si="454"/>
        <v>Guaraná Fantástica</v>
      </c>
      <c r="T1694">
        <v>4.5</v>
      </c>
      <c r="U1694">
        <v>110</v>
      </c>
      <c r="V1694">
        <v>0</v>
      </c>
      <c r="W1694">
        <f t="shared" si="455"/>
        <v>495</v>
      </c>
      <c r="X1694" t="str">
        <f t="shared" si="456"/>
        <v>yes</v>
      </c>
      <c r="Y1694" s="2">
        <v>35144</v>
      </c>
      <c r="Z1694" t="str">
        <f t="shared" si="442"/>
        <v>1st Q 1996</v>
      </c>
      <c r="AA1694" t="str">
        <f t="shared" si="457"/>
        <v>1st Q 1996</v>
      </c>
      <c r="AB1694" t="str" cm="1">
        <f t="array" ref="AB1694">_xlfn.IFS(Y1694&lt;DATE(1996,1,1),"",Y1694&lt;DATE(1996,4,1),"Q1",Y1694&lt;DATE(1996,7,1),"Q2",Y1694&gt;=DATE(1996,7,1),"")</f>
        <v>Q1</v>
      </c>
    </row>
    <row r="1695" spans="1:28" ht="14.4" x14ac:dyDescent="0.55000000000000004">
      <c r="A1695" t="str">
        <f>VLOOKUP(L1695,Customers!$A$2:$B$92,2,FALSE)</f>
        <v>Ernst Handel</v>
      </c>
      <c r="B1695" t="str">
        <f>VLOOKUP(L1695,Customers!$A$2:$C$92,3,TRUE)</f>
        <v>Roland Mendel</v>
      </c>
      <c r="C1695" t="str">
        <f t="shared" si="443"/>
        <v>Roland</v>
      </c>
      <c r="D1695" s="8" t="str">
        <f t="shared" si="444"/>
        <v>Mendel</v>
      </c>
      <c r="E1695" s="8" t="str">
        <f t="shared" si="445"/>
        <v>Mendel, Roland</v>
      </c>
      <c r="F1695" s="8" t="str">
        <f t="shared" si="446"/>
        <v>Mendel, Roland</v>
      </c>
      <c r="G1695" s="8" t="str">
        <f t="shared" si="447"/>
        <v>not an outlier</v>
      </c>
      <c r="H1695" s="8" t="str">
        <f t="shared" si="448"/>
        <v>Not</v>
      </c>
      <c r="I1695" s="8" t="str">
        <f t="shared" si="458"/>
        <v>no</v>
      </c>
      <c r="J1695" s="10" t="str">
        <f t="shared" si="449"/>
        <v>no</v>
      </c>
      <c r="K1695" s="10" t="str">
        <f t="shared" si="450"/>
        <v>no</v>
      </c>
      <c r="L1695" t="s">
        <v>161</v>
      </c>
      <c r="M1695">
        <v>10895</v>
      </c>
      <c r="N1695">
        <v>39</v>
      </c>
      <c r="O1695" t="s">
        <v>696</v>
      </c>
      <c r="P1695" t="str">
        <f t="shared" si="451"/>
        <v>ERNSH_10895_Chartreuse verte</v>
      </c>
      <c r="Q1695" t="str">
        <f t="shared" si="452"/>
        <v>10895</v>
      </c>
      <c r="R1695" t="str">
        <f t="shared" si="453"/>
        <v>10895</v>
      </c>
      <c r="S1695" t="str">
        <f t="shared" si="454"/>
        <v>Chartreuse verte</v>
      </c>
      <c r="T1695">
        <v>18</v>
      </c>
      <c r="U1695">
        <v>45</v>
      </c>
      <c r="V1695">
        <v>0</v>
      </c>
      <c r="W1695">
        <f t="shared" si="455"/>
        <v>810</v>
      </c>
      <c r="X1695" t="str">
        <f t="shared" si="456"/>
        <v>yes</v>
      </c>
      <c r="Y1695" s="2">
        <v>35144</v>
      </c>
      <c r="Z1695" t="str">
        <f t="shared" si="442"/>
        <v>1st Q 1996</v>
      </c>
      <c r="AA1695" t="str">
        <f t="shared" si="457"/>
        <v>1st Q 1996</v>
      </c>
      <c r="AB1695" t="str" cm="1">
        <f t="array" ref="AB1695">_xlfn.IFS(Y1695&lt;DATE(1996,1,1),"",Y1695&lt;DATE(1996,4,1),"Q1",Y1695&lt;DATE(1996,7,1),"Q2",Y1695&gt;=DATE(1996,7,1),"")</f>
        <v>Q1</v>
      </c>
    </row>
    <row r="1696" spans="1:28" ht="14.4" x14ac:dyDescent="0.55000000000000004">
      <c r="A1696" t="str">
        <f>VLOOKUP(L1696,Customers!$A$2:$B$92,2,FALSE)</f>
        <v>Ernst Handel</v>
      </c>
      <c r="B1696" t="str">
        <f>VLOOKUP(L1696,Customers!$A$2:$C$92,3,TRUE)</f>
        <v>Roland Mendel</v>
      </c>
      <c r="C1696" t="str">
        <f t="shared" si="443"/>
        <v>Roland</v>
      </c>
      <c r="D1696" s="8" t="str">
        <f t="shared" si="444"/>
        <v>Mendel</v>
      </c>
      <c r="E1696" s="8" t="str">
        <f t="shared" si="445"/>
        <v>Mendel, Roland</v>
      </c>
      <c r="F1696" s="8" t="str">
        <f t="shared" si="446"/>
        <v>Mendel, Roland</v>
      </c>
      <c r="G1696" s="8" t="str">
        <f t="shared" si="447"/>
        <v>not an outlier</v>
      </c>
      <c r="H1696" s="8" t="str">
        <f t="shared" si="448"/>
        <v>Not</v>
      </c>
      <c r="I1696" s="8" t="str">
        <f t="shared" si="458"/>
        <v>no</v>
      </c>
      <c r="J1696" s="10" t="str">
        <f t="shared" si="449"/>
        <v>no</v>
      </c>
      <c r="K1696" s="10" t="str">
        <f t="shared" si="450"/>
        <v>no</v>
      </c>
      <c r="L1696" t="s">
        <v>161</v>
      </c>
      <c r="M1696">
        <v>10895</v>
      </c>
      <c r="N1696">
        <v>40</v>
      </c>
      <c r="O1696" t="s">
        <v>720</v>
      </c>
      <c r="P1696" t="str">
        <f t="shared" si="451"/>
        <v>ERNSH_10895_Boston Crab Meat</v>
      </c>
      <c r="Q1696" t="str">
        <f t="shared" si="452"/>
        <v>10895</v>
      </c>
      <c r="R1696" t="str">
        <f t="shared" si="453"/>
        <v>10895</v>
      </c>
      <c r="S1696" t="str">
        <f t="shared" si="454"/>
        <v>Boston Crab Meat</v>
      </c>
      <c r="T1696">
        <v>18.399999999999999</v>
      </c>
      <c r="U1696">
        <v>91</v>
      </c>
      <c r="V1696">
        <v>0</v>
      </c>
      <c r="W1696">
        <f t="shared" si="455"/>
        <v>1674.3999999999999</v>
      </c>
      <c r="X1696" t="str">
        <f t="shared" si="456"/>
        <v>yes</v>
      </c>
      <c r="Y1696" s="2">
        <v>35144</v>
      </c>
      <c r="Z1696" t="str">
        <f t="shared" si="442"/>
        <v>1st Q 1996</v>
      </c>
      <c r="AA1696" t="str">
        <f t="shared" si="457"/>
        <v>1st Q 1996</v>
      </c>
      <c r="AB1696" t="str" cm="1">
        <f t="array" ref="AB1696">_xlfn.IFS(Y1696&lt;DATE(1996,1,1),"",Y1696&lt;DATE(1996,4,1),"Q1",Y1696&lt;DATE(1996,7,1),"Q2",Y1696&gt;=DATE(1996,7,1),"")</f>
        <v>Q1</v>
      </c>
    </row>
    <row r="1697" spans="1:28" ht="14.4" x14ac:dyDescent="0.55000000000000004">
      <c r="A1697" t="str">
        <f>VLOOKUP(L1697,Customers!$A$2:$B$92,2,FALSE)</f>
        <v>Ernst Handel</v>
      </c>
      <c r="B1697" t="str">
        <f>VLOOKUP(L1697,Customers!$A$2:$C$92,3,TRUE)</f>
        <v>Roland Mendel</v>
      </c>
      <c r="C1697" t="str">
        <f t="shared" si="443"/>
        <v>Roland</v>
      </c>
      <c r="D1697" s="8" t="str">
        <f t="shared" si="444"/>
        <v>Mendel</v>
      </c>
      <c r="E1697" s="8" t="str">
        <f t="shared" si="445"/>
        <v>Mendel, Roland</v>
      </c>
      <c r="F1697" s="8" t="str">
        <f t="shared" si="446"/>
        <v>Mendel, Roland</v>
      </c>
      <c r="G1697" s="8" t="str">
        <f t="shared" si="447"/>
        <v>not an outlier</v>
      </c>
      <c r="H1697" s="8" t="str">
        <f t="shared" si="448"/>
        <v>moderate</v>
      </c>
      <c r="I1697" s="8" t="str">
        <f t="shared" si="458"/>
        <v>no</v>
      </c>
      <c r="J1697" s="10" t="str">
        <f t="shared" si="449"/>
        <v>no</v>
      </c>
      <c r="K1697" s="10" t="str">
        <f t="shared" si="450"/>
        <v>moderate</v>
      </c>
      <c r="L1697" t="s">
        <v>161</v>
      </c>
      <c r="M1697">
        <v>10895</v>
      </c>
      <c r="N1697">
        <v>60</v>
      </c>
      <c r="O1697" t="s">
        <v>694</v>
      </c>
      <c r="P1697" t="str">
        <f t="shared" si="451"/>
        <v>ERNSH_10895_Camembert Pierrot</v>
      </c>
      <c r="Q1697" t="str">
        <f t="shared" si="452"/>
        <v>10895</v>
      </c>
      <c r="R1697" t="str">
        <f t="shared" si="453"/>
        <v>10895</v>
      </c>
      <c r="S1697" t="str">
        <f t="shared" si="454"/>
        <v>Camembert Pierrot</v>
      </c>
      <c r="T1697">
        <v>34</v>
      </c>
      <c r="U1697">
        <v>100</v>
      </c>
      <c r="V1697">
        <v>0</v>
      </c>
      <c r="W1697">
        <f t="shared" si="455"/>
        <v>3400</v>
      </c>
      <c r="X1697" t="str">
        <f t="shared" si="456"/>
        <v>yes</v>
      </c>
      <c r="Y1697" s="2">
        <v>35144</v>
      </c>
      <c r="Z1697" t="str">
        <f t="shared" si="442"/>
        <v>1st Q 1996</v>
      </c>
      <c r="AA1697" t="str">
        <f t="shared" si="457"/>
        <v>1st Q 1996</v>
      </c>
      <c r="AB1697" t="str" cm="1">
        <f t="array" ref="AB1697">_xlfn.IFS(Y1697&lt;DATE(1996,1,1),"",Y1697&lt;DATE(1996,4,1),"Q1",Y1697&lt;DATE(1996,7,1),"Q2",Y1697&gt;=DATE(1996,7,1),"")</f>
        <v>Q1</v>
      </c>
    </row>
    <row r="1698" spans="1:28" ht="14.4" x14ac:dyDescent="0.55000000000000004">
      <c r="A1698" t="str">
        <f>VLOOKUP(L1698,Customers!$A$2:$B$92,2,FALSE)</f>
        <v>Maison Dewey</v>
      </c>
      <c r="B1698" t="str">
        <f>VLOOKUP(L1698,Customers!$A$2:$C$92,3,TRUE)</f>
        <v>Catherine Dewey</v>
      </c>
      <c r="C1698" t="str">
        <f t="shared" si="443"/>
        <v>Catherine</v>
      </c>
      <c r="D1698" s="8" t="str">
        <f t="shared" si="444"/>
        <v>Dewey</v>
      </c>
      <c r="E1698" s="8" t="str">
        <f t="shared" si="445"/>
        <v>Dewey, Catherine</v>
      </c>
      <c r="F1698" s="8" t="str">
        <f t="shared" si="446"/>
        <v>Dewey, Catherine</v>
      </c>
      <c r="G1698" s="8" t="str">
        <f t="shared" si="447"/>
        <v>not an outlier</v>
      </c>
      <c r="H1698" s="8" t="str">
        <f t="shared" si="448"/>
        <v>Not</v>
      </c>
      <c r="I1698" s="8" t="str">
        <f t="shared" si="458"/>
        <v>no</v>
      </c>
      <c r="J1698" s="10" t="str">
        <f t="shared" si="449"/>
        <v>no</v>
      </c>
      <c r="K1698" s="10" t="str">
        <f t="shared" si="450"/>
        <v>no</v>
      </c>
      <c r="L1698" t="s">
        <v>385</v>
      </c>
      <c r="M1698">
        <v>10896</v>
      </c>
      <c r="N1698">
        <v>45</v>
      </c>
      <c r="O1698" t="s">
        <v>756</v>
      </c>
      <c r="P1698" t="str">
        <f t="shared" si="451"/>
        <v>MAISD_10896_Røgede sild</v>
      </c>
      <c r="Q1698" t="str">
        <f t="shared" si="452"/>
        <v>10896</v>
      </c>
      <c r="R1698" t="str">
        <f t="shared" si="453"/>
        <v>10896</v>
      </c>
      <c r="S1698" t="str">
        <f t="shared" si="454"/>
        <v>Røgede sild</v>
      </c>
      <c r="T1698">
        <v>9.5</v>
      </c>
      <c r="U1698">
        <v>15</v>
      </c>
      <c r="V1698">
        <v>0</v>
      </c>
      <c r="W1698">
        <f t="shared" si="455"/>
        <v>142.5</v>
      </c>
      <c r="X1698" t="str">
        <f t="shared" si="456"/>
        <v>yes</v>
      </c>
      <c r="Y1698" s="2">
        <v>35145</v>
      </c>
      <c r="Z1698" t="str">
        <f t="shared" si="442"/>
        <v>1st Q 1996</v>
      </c>
      <c r="AA1698" t="str">
        <f t="shared" si="457"/>
        <v>1st Q 1996</v>
      </c>
      <c r="AB1698" t="str" cm="1">
        <f t="array" ref="AB1698">_xlfn.IFS(Y1698&lt;DATE(1996,1,1),"",Y1698&lt;DATE(1996,4,1),"Q1",Y1698&lt;DATE(1996,7,1),"Q2",Y1698&gt;=DATE(1996,7,1),"")</f>
        <v>Q1</v>
      </c>
    </row>
    <row r="1699" spans="1:28" ht="14.4" x14ac:dyDescent="0.55000000000000004">
      <c r="A1699" t="str">
        <f>VLOOKUP(L1699,Customers!$A$2:$B$92,2,FALSE)</f>
        <v>Maison Dewey</v>
      </c>
      <c r="B1699" t="str">
        <f>VLOOKUP(L1699,Customers!$A$2:$C$92,3,TRUE)</f>
        <v>Catherine Dewey</v>
      </c>
      <c r="C1699" t="str">
        <f t="shared" si="443"/>
        <v>Catherine</v>
      </c>
      <c r="D1699" s="8" t="str">
        <f t="shared" si="444"/>
        <v>Dewey</v>
      </c>
      <c r="E1699" s="8" t="str">
        <f t="shared" si="445"/>
        <v>Dewey, Catherine</v>
      </c>
      <c r="F1699" s="8" t="str">
        <f t="shared" si="446"/>
        <v>Dewey, Catherine</v>
      </c>
      <c r="G1699" s="8" t="str">
        <f t="shared" si="447"/>
        <v>not an outlier</v>
      </c>
      <c r="H1699" s="8" t="str">
        <f t="shared" si="448"/>
        <v>Not</v>
      </c>
      <c r="I1699" s="8" t="str">
        <f t="shared" si="458"/>
        <v>no</v>
      </c>
      <c r="J1699" s="10" t="str">
        <f t="shared" si="449"/>
        <v>no</v>
      </c>
      <c r="K1699" s="10" t="str">
        <f t="shared" si="450"/>
        <v>no</v>
      </c>
      <c r="L1699" t="s">
        <v>385</v>
      </c>
      <c r="M1699">
        <v>10896</v>
      </c>
      <c r="N1699">
        <v>56</v>
      </c>
      <c r="O1699" t="s">
        <v>716</v>
      </c>
      <c r="P1699" t="str">
        <f t="shared" si="451"/>
        <v>MAISD_10896_Gnocchi di nonna Alice</v>
      </c>
      <c r="Q1699" t="str">
        <f t="shared" si="452"/>
        <v>10896</v>
      </c>
      <c r="R1699" t="str">
        <f t="shared" si="453"/>
        <v>10896</v>
      </c>
      <c r="S1699" t="str">
        <f t="shared" si="454"/>
        <v>Gnocchi di nonna Alice</v>
      </c>
      <c r="T1699">
        <v>38</v>
      </c>
      <c r="U1699">
        <v>16</v>
      </c>
      <c r="V1699">
        <v>0</v>
      </c>
      <c r="W1699">
        <f t="shared" si="455"/>
        <v>608</v>
      </c>
      <c r="X1699" t="str">
        <f t="shared" si="456"/>
        <v>yes</v>
      </c>
      <c r="Y1699" s="2">
        <v>35145</v>
      </c>
      <c r="Z1699" t="str">
        <f t="shared" si="442"/>
        <v>1st Q 1996</v>
      </c>
      <c r="AA1699" t="str">
        <f t="shared" si="457"/>
        <v>1st Q 1996</v>
      </c>
      <c r="AB1699" t="str" cm="1">
        <f t="array" ref="AB1699">_xlfn.IFS(Y1699&lt;DATE(1996,1,1),"",Y1699&lt;DATE(1996,4,1),"Q1",Y1699&lt;DATE(1996,7,1),"Q2",Y1699&gt;=DATE(1996,7,1),"")</f>
        <v>Q1</v>
      </c>
    </row>
    <row r="1700" spans="1:28" ht="14.4" x14ac:dyDescent="0.55000000000000004">
      <c r="A1700" t="str">
        <f>VLOOKUP(L1700,Customers!$A$2:$B$92,2,FALSE)</f>
        <v>Hungry Owl All-Night Grocers</v>
      </c>
      <c r="B1700" t="str">
        <f>VLOOKUP(L1700,Customers!$A$2:$C$92,3,TRUE)</f>
        <v>Patricia McKenna</v>
      </c>
      <c r="C1700" t="str">
        <f t="shared" si="443"/>
        <v>Patricia</v>
      </c>
      <c r="D1700" s="8" t="str">
        <f t="shared" si="444"/>
        <v>McKenna</v>
      </c>
      <c r="E1700" s="8" t="str">
        <f t="shared" si="445"/>
        <v>McKenna, Patricia</v>
      </c>
      <c r="F1700" s="8" t="str">
        <f t="shared" si="446"/>
        <v>McKenna, Patricia</v>
      </c>
      <c r="G1700" s="8" t="str">
        <f t="shared" si="447"/>
        <v>outlier</v>
      </c>
      <c r="H1700" s="8" t="str">
        <f t="shared" si="448"/>
        <v>outlier</v>
      </c>
      <c r="I1700" s="8" t="str">
        <f t="shared" si="458"/>
        <v>yes</v>
      </c>
      <c r="J1700" s="10" t="str">
        <f t="shared" si="449"/>
        <v>yes</v>
      </c>
      <c r="K1700" s="10" t="str">
        <f t="shared" si="450"/>
        <v>yes</v>
      </c>
      <c r="L1700" t="s">
        <v>288</v>
      </c>
      <c r="M1700">
        <v>10897</v>
      </c>
      <c r="N1700">
        <v>29</v>
      </c>
      <c r="O1700" t="s">
        <v>722</v>
      </c>
      <c r="P1700" t="str">
        <f t="shared" si="451"/>
        <v>HUNGO_10897_Thüringer Rostbratwurst</v>
      </c>
      <c r="Q1700" t="str">
        <f t="shared" si="452"/>
        <v>10897</v>
      </c>
      <c r="R1700" t="str">
        <f t="shared" si="453"/>
        <v>10897</v>
      </c>
      <c r="S1700" t="str">
        <f t="shared" si="454"/>
        <v>Thüringer Rostbratwurst</v>
      </c>
      <c r="T1700">
        <v>123.79</v>
      </c>
      <c r="U1700">
        <v>80</v>
      </c>
      <c r="V1700">
        <v>0</v>
      </c>
      <c r="W1700">
        <f t="shared" si="455"/>
        <v>9903.2000000000007</v>
      </c>
      <c r="X1700" t="str">
        <f t="shared" si="456"/>
        <v>yes</v>
      </c>
      <c r="Y1700" s="2">
        <v>35145</v>
      </c>
      <c r="Z1700" t="str">
        <f t="shared" si="442"/>
        <v>1st Q 1996</v>
      </c>
      <c r="AA1700" t="str">
        <f t="shared" si="457"/>
        <v>1st Q 1996</v>
      </c>
      <c r="AB1700" t="str" cm="1">
        <f t="array" ref="AB1700">_xlfn.IFS(Y1700&lt;DATE(1996,1,1),"",Y1700&lt;DATE(1996,4,1),"Q1",Y1700&lt;DATE(1996,7,1),"Q2",Y1700&gt;=DATE(1996,7,1),"")</f>
        <v>Q1</v>
      </c>
    </row>
    <row r="1701" spans="1:28" ht="14.4" x14ac:dyDescent="0.55000000000000004">
      <c r="A1701" t="str">
        <f>VLOOKUP(L1701,Customers!$A$2:$B$92,2,FALSE)</f>
        <v>Hungry Owl All-Night Grocers</v>
      </c>
      <c r="B1701" t="str">
        <f>VLOOKUP(L1701,Customers!$A$2:$C$92,3,TRUE)</f>
        <v>Patricia McKenna</v>
      </c>
      <c r="C1701" t="str">
        <f t="shared" si="443"/>
        <v>Patricia</v>
      </c>
      <c r="D1701" s="8" t="str">
        <f t="shared" si="444"/>
        <v>McKenna</v>
      </c>
      <c r="E1701" s="8" t="str">
        <f t="shared" si="445"/>
        <v>McKenna, Patricia</v>
      </c>
      <c r="F1701" s="8" t="str">
        <f t="shared" si="446"/>
        <v>McKenna, Patricia</v>
      </c>
      <c r="G1701" s="8" t="str">
        <f t="shared" si="447"/>
        <v>not an outlier</v>
      </c>
      <c r="H1701" s="8" t="str">
        <f t="shared" si="448"/>
        <v>Not</v>
      </c>
      <c r="I1701" s="8" t="str">
        <f t="shared" si="458"/>
        <v>no</v>
      </c>
      <c r="J1701" s="10" t="str">
        <f t="shared" si="449"/>
        <v>no</v>
      </c>
      <c r="K1701" s="10" t="str">
        <f t="shared" si="450"/>
        <v>no</v>
      </c>
      <c r="L1701" t="s">
        <v>288</v>
      </c>
      <c r="M1701">
        <v>10897</v>
      </c>
      <c r="N1701">
        <v>30</v>
      </c>
      <c r="O1701" t="s">
        <v>717</v>
      </c>
      <c r="P1701" t="str">
        <f t="shared" si="451"/>
        <v>HUNGO_10897_Nord-Ost Matjeshering</v>
      </c>
      <c r="Q1701" t="str">
        <f t="shared" si="452"/>
        <v>10897</v>
      </c>
      <c r="R1701" t="str">
        <f t="shared" si="453"/>
        <v>10897</v>
      </c>
      <c r="S1701" t="str">
        <f t="shared" si="454"/>
        <v>Nord-Ost Matjeshering</v>
      </c>
      <c r="T1701">
        <v>25.89</v>
      </c>
      <c r="U1701">
        <v>36</v>
      </c>
      <c r="V1701">
        <v>0</v>
      </c>
      <c r="W1701">
        <f t="shared" si="455"/>
        <v>932.04</v>
      </c>
      <c r="X1701" t="str">
        <f t="shared" si="456"/>
        <v>yes</v>
      </c>
      <c r="Y1701" s="2">
        <v>35145</v>
      </c>
      <c r="Z1701" t="str">
        <f t="shared" si="442"/>
        <v>1st Q 1996</v>
      </c>
      <c r="AA1701" t="str">
        <f t="shared" si="457"/>
        <v>1st Q 1996</v>
      </c>
      <c r="AB1701" t="str" cm="1">
        <f t="array" ref="AB1701">_xlfn.IFS(Y1701&lt;DATE(1996,1,1),"",Y1701&lt;DATE(1996,4,1),"Q1",Y1701&lt;DATE(1996,7,1),"Q2",Y1701&gt;=DATE(1996,7,1),"")</f>
        <v>Q1</v>
      </c>
    </row>
    <row r="1702" spans="1:28" ht="14.4" x14ac:dyDescent="0.55000000000000004">
      <c r="A1702" t="str">
        <f>VLOOKUP(L1702,Customers!$A$2:$B$92,2,FALSE)</f>
        <v>Océano Atlántico Ltda.</v>
      </c>
      <c r="B1702" t="str">
        <f>VLOOKUP(L1702,Customers!$A$2:$C$92,3,TRUE)</f>
        <v>Yvonne Moncada</v>
      </c>
      <c r="C1702" t="str">
        <f t="shared" si="443"/>
        <v>Yvonne</v>
      </c>
      <c r="D1702" s="8" t="str">
        <f t="shared" si="444"/>
        <v>Moncada</v>
      </c>
      <c r="E1702" s="8" t="str">
        <f t="shared" si="445"/>
        <v>Moncada, Yvonne</v>
      </c>
      <c r="F1702" s="8" t="str">
        <f t="shared" si="446"/>
        <v>Moncada, Yvonne</v>
      </c>
      <c r="G1702" s="8" t="str">
        <f t="shared" si="447"/>
        <v>not an outlier</v>
      </c>
      <c r="H1702" s="8" t="str">
        <f t="shared" si="448"/>
        <v>Not</v>
      </c>
      <c r="I1702" s="8" t="str">
        <f t="shared" si="458"/>
        <v>no</v>
      </c>
      <c r="J1702" s="10" t="str">
        <f t="shared" si="449"/>
        <v>no</v>
      </c>
      <c r="K1702" s="10" t="str">
        <f t="shared" si="450"/>
        <v>no</v>
      </c>
      <c r="L1702" t="s">
        <v>416</v>
      </c>
      <c r="M1702">
        <v>10898</v>
      </c>
      <c r="N1702">
        <v>13</v>
      </c>
      <c r="O1702" t="s">
        <v>726</v>
      </c>
      <c r="P1702" t="str">
        <f t="shared" si="451"/>
        <v>OCEAN_10898_Konbu</v>
      </c>
      <c r="Q1702" t="str">
        <f t="shared" si="452"/>
        <v>10898</v>
      </c>
      <c r="R1702" t="str">
        <f t="shared" si="453"/>
        <v>10898</v>
      </c>
      <c r="S1702" t="str">
        <f t="shared" si="454"/>
        <v>Konbu</v>
      </c>
      <c r="T1702">
        <v>6</v>
      </c>
      <c r="U1702">
        <v>5</v>
      </c>
      <c r="V1702">
        <v>0</v>
      </c>
      <c r="W1702">
        <f t="shared" si="455"/>
        <v>30</v>
      </c>
      <c r="X1702" t="str">
        <f t="shared" si="456"/>
        <v>yes</v>
      </c>
      <c r="Y1702" s="2">
        <v>35146</v>
      </c>
      <c r="Z1702" t="str">
        <f t="shared" si="442"/>
        <v>1st Q 1996</v>
      </c>
      <c r="AA1702" t="str">
        <f t="shared" si="457"/>
        <v>1st Q 1996</v>
      </c>
      <c r="AB1702" t="str" cm="1">
        <f t="array" ref="AB1702">_xlfn.IFS(Y1702&lt;DATE(1996,1,1),"",Y1702&lt;DATE(1996,4,1),"Q1",Y1702&lt;DATE(1996,7,1),"Q2",Y1702&gt;=DATE(1996,7,1),"")</f>
        <v>Q1</v>
      </c>
    </row>
    <row r="1703" spans="1:28" ht="14.4" x14ac:dyDescent="0.55000000000000004">
      <c r="A1703" t="str">
        <f>VLOOKUP(L1703,Customers!$A$2:$B$92,2,FALSE)</f>
        <v>LILA-Supermercado</v>
      </c>
      <c r="B1703" t="str">
        <f>VLOOKUP(L1703,Customers!$A$2:$C$92,3,TRUE)</f>
        <v>Carlos González</v>
      </c>
      <c r="C1703" t="str">
        <f t="shared" si="443"/>
        <v>Carlos</v>
      </c>
      <c r="D1703" s="8" t="str">
        <f t="shared" si="444"/>
        <v>González</v>
      </c>
      <c r="E1703" s="8" t="str">
        <f t="shared" si="445"/>
        <v>González, Carlos</v>
      </c>
      <c r="F1703" s="8" t="str">
        <f t="shared" si="446"/>
        <v>González, Carlos</v>
      </c>
      <c r="G1703" s="8" t="str">
        <f t="shared" si="447"/>
        <v>not an outlier</v>
      </c>
      <c r="H1703" s="8" t="str">
        <f t="shared" si="448"/>
        <v>Not</v>
      </c>
      <c r="I1703" s="8" t="str">
        <f t="shared" si="458"/>
        <v>no</v>
      </c>
      <c r="J1703" s="10" t="str">
        <f t="shared" si="449"/>
        <v>no</v>
      </c>
      <c r="K1703" s="10" t="str">
        <f t="shared" si="450"/>
        <v>no</v>
      </c>
      <c r="L1703" t="s">
        <v>355</v>
      </c>
      <c r="M1703">
        <v>10899</v>
      </c>
      <c r="N1703">
        <v>39</v>
      </c>
      <c r="O1703" t="s">
        <v>696</v>
      </c>
      <c r="P1703" t="str">
        <f t="shared" si="451"/>
        <v>LILAS_10899_Chartreuse verte</v>
      </c>
      <c r="Q1703" t="str">
        <f t="shared" si="452"/>
        <v>10899</v>
      </c>
      <c r="R1703" t="str">
        <f t="shared" si="453"/>
        <v>10899</v>
      </c>
      <c r="S1703" t="str">
        <f t="shared" si="454"/>
        <v>Chartreuse verte</v>
      </c>
      <c r="T1703">
        <v>18</v>
      </c>
      <c r="U1703">
        <v>8</v>
      </c>
      <c r="V1703">
        <v>0.15</v>
      </c>
      <c r="W1703">
        <f t="shared" si="455"/>
        <v>122.39999999999999</v>
      </c>
      <c r="X1703" t="str">
        <f t="shared" si="456"/>
        <v>yes</v>
      </c>
      <c r="Y1703" s="2">
        <v>35146</v>
      </c>
      <c r="Z1703" t="str">
        <f t="shared" si="442"/>
        <v>1st Q 1996</v>
      </c>
      <c r="AA1703" t="str">
        <f t="shared" si="457"/>
        <v>1st Q 1996</v>
      </c>
      <c r="AB1703" t="str" cm="1">
        <f t="array" ref="AB1703">_xlfn.IFS(Y1703&lt;DATE(1996,1,1),"",Y1703&lt;DATE(1996,4,1),"Q1",Y1703&lt;DATE(1996,7,1),"Q2",Y1703&gt;=DATE(1996,7,1),"")</f>
        <v>Q1</v>
      </c>
    </row>
    <row r="1704" spans="1:28" ht="14.4" x14ac:dyDescent="0.55000000000000004">
      <c r="A1704" t="str">
        <f>VLOOKUP(L1704,Customers!$A$2:$B$92,2,FALSE)</f>
        <v>Wellington Importadora</v>
      </c>
      <c r="B1704" t="str">
        <f>VLOOKUP(L1704,Customers!$A$2:$C$92,3,TRUE)</f>
        <v>Paula Parente</v>
      </c>
      <c r="C1704" t="str">
        <f t="shared" si="443"/>
        <v>Paula</v>
      </c>
      <c r="D1704" s="8" t="str">
        <f t="shared" si="444"/>
        <v>Parente</v>
      </c>
      <c r="E1704" s="8" t="str">
        <f t="shared" si="445"/>
        <v>Parente, Paula</v>
      </c>
      <c r="F1704" s="8" t="str">
        <f t="shared" si="446"/>
        <v>Parente, Paula</v>
      </c>
      <c r="G1704" s="8" t="str">
        <f t="shared" si="447"/>
        <v>not an outlier</v>
      </c>
      <c r="H1704" s="8" t="str">
        <f t="shared" si="448"/>
        <v>Not</v>
      </c>
      <c r="I1704" s="8" t="str">
        <f t="shared" si="458"/>
        <v>no</v>
      </c>
      <c r="J1704" s="10" t="str">
        <f t="shared" si="449"/>
        <v>no</v>
      </c>
      <c r="K1704" s="10" t="str">
        <f t="shared" si="450"/>
        <v>no</v>
      </c>
      <c r="L1704" t="s">
        <v>647</v>
      </c>
      <c r="M1704">
        <v>10900</v>
      </c>
      <c r="N1704">
        <v>70</v>
      </c>
      <c r="O1704" t="s">
        <v>713</v>
      </c>
      <c r="P1704" t="str">
        <f t="shared" si="451"/>
        <v>WELLI_10900_Outback Lager</v>
      </c>
      <c r="Q1704" t="str">
        <f t="shared" si="452"/>
        <v>10900</v>
      </c>
      <c r="R1704" t="str">
        <f t="shared" si="453"/>
        <v>10900</v>
      </c>
      <c r="S1704" t="str">
        <f t="shared" si="454"/>
        <v>Outback Lager</v>
      </c>
      <c r="T1704">
        <v>15</v>
      </c>
      <c r="U1704">
        <v>3</v>
      </c>
      <c r="V1704">
        <v>0.25</v>
      </c>
      <c r="W1704">
        <f t="shared" si="455"/>
        <v>33.75</v>
      </c>
      <c r="X1704" t="str">
        <f t="shared" si="456"/>
        <v>yes</v>
      </c>
      <c r="Y1704" s="2">
        <v>35146</v>
      </c>
      <c r="Z1704" t="str">
        <f t="shared" si="442"/>
        <v>1st Q 1996</v>
      </c>
      <c r="AA1704" t="str">
        <f t="shared" si="457"/>
        <v>1st Q 1996</v>
      </c>
      <c r="AB1704" t="str" cm="1">
        <f t="array" ref="AB1704">_xlfn.IFS(Y1704&lt;DATE(1996,1,1),"",Y1704&lt;DATE(1996,4,1),"Q1",Y1704&lt;DATE(1996,7,1),"Q2",Y1704&gt;=DATE(1996,7,1),"")</f>
        <v>Q1</v>
      </c>
    </row>
    <row r="1705" spans="1:28" ht="14.4" x14ac:dyDescent="0.55000000000000004">
      <c r="A1705" t="str">
        <f>VLOOKUP(L1705,Customers!$A$2:$B$92,2,FALSE)</f>
        <v>HILARIÓN-Abastos</v>
      </c>
      <c r="B1705" t="str">
        <f>VLOOKUP(L1705,Customers!$A$2:$C$92,3,TRUE)</f>
        <v>Carlos Hernández</v>
      </c>
      <c r="C1705" t="str">
        <f t="shared" si="443"/>
        <v>Carlos</v>
      </c>
      <c r="D1705" s="8" t="str">
        <f t="shared" si="444"/>
        <v>Hernández</v>
      </c>
      <c r="E1705" s="8" t="str">
        <f t="shared" si="445"/>
        <v>Hernández, Carlos</v>
      </c>
      <c r="F1705" s="8" t="str">
        <f t="shared" si="446"/>
        <v>Hernández, Carlos</v>
      </c>
      <c r="G1705" s="8" t="str">
        <f t="shared" si="447"/>
        <v>not an outlier</v>
      </c>
      <c r="H1705" s="8" t="str">
        <f t="shared" si="448"/>
        <v>Not</v>
      </c>
      <c r="I1705" s="8" t="str">
        <f t="shared" si="458"/>
        <v>no</v>
      </c>
      <c r="J1705" s="10" t="str">
        <f t="shared" si="449"/>
        <v>no</v>
      </c>
      <c r="K1705" s="10" t="str">
        <f t="shared" si="450"/>
        <v>no</v>
      </c>
      <c r="L1705" t="s">
        <v>273</v>
      </c>
      <c r="M1705">
        <v>10901</v>
      </c>
      <c r="N1705">
        <v>41</v>
      </c>
      <c r="O1705" t="s">
        <v>688</v>
      </c>
      <c r="P1705" t="str">
        <f t="shared" si="451"/>
        <v>HILAA_10901_Jack's New England Clam Chowder</v>
      </c>
      <c r="Q1705" t="str">
        <f t="shared" si="452"/>
        <v>10901</v>
      </c>
      <c r="R1705" t="str">
        <f t="shared" si="453"/>
        <v>10901</v>
      </c>
      <c r="S1705" t="str">
        <f t="shared" si="454"/>
        <v>Jack's New England Clam Chowder</v>
      </c>
      <c r="T1705">
        <v>9.65</v>
      </c>
      <c r="U1705">
        <v>30</v>
      </c>
      <c r="V1705">
        <v>0</v>
      </c>
      <c r="W1705">
        <f t="shared" si="455"/>
        <v>289.5</v>
      </c>
      <c r="X1705" t="str">
        <f t="shared" si="456"/>
        <v>yes</v>
      </c>
      <c r="Y1705" s="2">
        <v>35149</v>
      </c>
      <c r="Z1705" t="str">
        <f t="shared" si="442"/>
        <v>1st Q 1996</v>
      </c>
      <c r="AA1705" t="str">
        <f t="shared" si="457"/>
        <v>1st Q 1996</v>
      </c>
      <c r="AB1705" t="str" cm="1">
        <f t="array" ref="AB1705">_xlfn.IFS(Y1705&lt;DATE(1996,1,1),"",Y1705&lt;DATE(1996,4,1),"Q1",Y1705&lt;DATE(1996,7,1),"Q2",Y1705&gt;=DATE(1996,7,1),"")</f>
        <v>Q1</v>
      </c>
    </row>
    <row r="1706" spans="1:28" ht="14.4" x14ac:dyDescent="0.55000000000000004">
      <c r="A1706" t="str">
        <f>VLOOKUP(L1706,Customers!$A$2:$B$92,2,FALSE)</f>
        <v>HILARIÓN-Abastos</v>
      </c>
      <c r="B1706" t="str">
        <f>VLOOKUP(L1706,Customers!$A$2:$C$92,3,TRUE)</f>
        <v>Carlos Hernández</v>
      </c>
      <c r="C1706" t="str">
        <f t="shared" si="443"/>
        <v>Carlos</v>
      </c>
      <c r="D1706" s="8" t="str">
        <f t="shared" si="444"/>
        <v>Hernández</v>
      </c>
      <c r="E1706" s="8" t="str">
        <f t="shared" si="445"/>
        <v>Hernández, Carlos</v>
      </c>
      <c r="F1706" s="8" t="str">
        <f t="shared" si="446"/>
        <v>Hernández, Carlos</v>
      </c>
      <c r="G1706" s="8" t="str">
        <f t="shared" si="447"/>
        <v>not an outlier</v>
      </c>
      <c r="H1706" s="8" t="str">
        <f t="shared" si="448"/>
        <v>Not</v>
      </c>
      <c r="I1706" s="8" t="str">
        <f t="shared" si="458"/>
        <v>no</v>
      </c>
      <c r="J1706" s="10" t="str">
        <f t="shared" si="449"/>
        <v>no</v>
      </c>
      <c r="K1706" s="10" t="str">
        <f t="shared" si="450"/>
        <v>no</v>
      </c>
      <c r="L1706" t="s">
        <v>273</v>
      </c>
      <c r="M1706">
        <v>10901</v>
      </c>
      <c r="N1706">
        <v>71</v>
      </c>
      <c r="O1706" t="s">
        <v>725</v>
      </c>
      <c r="P1706" t="str">
        <f t="shared" si="451"/>
        <v>HILAA_10901_Fløtemysost</v>
      </c>
      <c r="Q1706" t="str">
        <f t="shared" si="452"/>
        <v>10901</v>
      </c>
      <c r="R1706" t="str">
        <f t="shared" si="453"/>
        <v>10901</v>
      </c>
      <c r="S1706" t="str">
        <f t="shared" si="454"/>
        <v>Fløtemysost</v>
      </c>
      <c r="T1706">
        <v>21.5</v>
      </c>
      <c r="U1706">
        <v>30</v>
      </c>
      <c r="V1706">
        <v>0</v>
      </c>
      <c r="W1706">
        <f t="shared" si="455"/>
        <v>645</v>
      </c>
      <c r="X1706" t="str">
        <f t="shared" si="456"/>
        <v>yes</v>
      </c>
      <c r="Y1706" s="2">
        <v>35149</v>
      </c>
      <c r="Z1706" t="str">
        <f t="shared" si="442"/>
        <v>1st Q 1996</v>
      </c>
      <c r="AA1706" t="str">
        <f t="shared" si="457"/>
        <v>1st Q 1996</v>
      </c>
      <c r="AB1706" t="str" cm="1">
        <f t="array" ref="AB1706">_xlfn.IFS(Y1706&lt;DATE(1996,1,1),"",Y1706&lt;DATE(1996,4,1),"Q1",Y1706&lt;DATE(1996,7,1),"Q2",Y1706&gt;=DATE(1996,7,1),"")</f>
        <v>Q1</v>
      </c>
    </row>
    <row r="1707" spans="1:28" ht="14.4" x14ac:dyDescent="0.55000000000000004">
      <c r="A1707" t="str">
        <f>VLOOKUP(L1707,Customers!$A$2:$B$92,2,FALSE)</f>
        <v>Folk och fä HB</v>
      </c>
      <c r="B1707" t="str">
        <f>VLOOKUP(L1707,Customers!$A$2:$C$92,3,TRUE)</f>
        <v>Maria Larsson</v>
      </c>
      <c r="C1707" t="str">
        <f t="shared" si="443"/>
        <v>Maria</v>
      </c>
      <c r="D1707" s="8" t="str">
        <f t="shared" si="444"/>
        <v>Larsson</v>
      </c>
      <c r="E1707" s="8" t="str">
        <f t="shared" si="445"/>
        <v>Larsson, Maria</v>
      </c>
      <c r="F1707" s="8" t="str">
        <f t="shared" si="446"/>
        <v>Larsson, Maria</v>
      </c>
      <c r="G1707" s="8" t="str">
        <f t="shared" si="447"/>
        <v>not an outlier</v>
      </c>
      <c r="H1707" s="8" t="str">
        <f t="shared" si="448"/>
        <v>Not</v>
      </c>
      <c r="I1707" s="8" t="str">
        <f t="shared" si="458"/>
        <v>no</v>
      </c>
      <c r="J1707" s="10" t="str">
        <f t="shared" si="449"/>
        <v>no</v>
      </c>
      <c r="K1707" s="10" t="str">
        <f t="shared" si="450"/>
        <v>no</v>
      </c>
      <c r="L1707" t="s">
        <v>191</v>
      </c>
      <c r="M1707">
        <v>10902</v>
      </c>
      <c r="N1707">
        <v>55</v>
      </c>
      <c r="O1707" t="s">
        <v>699</v>
      </c>
      <c r="P1707" t="str">
        <f t="shared" si="451"/>
        <v>FOLKO_10902_Pâté chinois</v>
      </c>
      <c r="Q1707" t="str">
        <f t="shared" si="452"/>
        <v>10902</v>
      </c>
      <c r="R1707" t="str">
        <f t="shared" si="453"/>
        <v>10902</v>
      </c>
      <c r="S1707" t="str">
        <f t="shared" si="454"/>
        <v>Pâté chinois</v>
      </c>
      <c r="T1707">
        <v>24</v>
      </c>
      <c r="U1707">
        <v>30</v>
      </c>
      <c r="V1707">
        <v>0.15</v>
      </c>
      <c r="W1707">
        <f t="shared" si="455"/>
        <v>612</v>
      </c>
      <c r="X1707" t="str">
        <f t="shared" si="456"/>
        <v>yes</v>
      </c>
      <c r="Y1707" s="2">
        <v>35149</v>
      </c>
      <c r="Z1707" t="str">
        <f t="shared" si="442"/>
        <v>1st Q 1996</v>
      </c>
      <c r="AA1707" t="str">
        <f t="shared" si="457"/>
        <v>1st Q 1996</v>
      </c>
      <c r="AB1707" t="str" cm="1">
        <f t="array" ref="AB1707">_xlfn.IFS(Y1707&lt;DATE(1996,1,1),"",Y1707&lt;DATE(1996,4,1),"Q1",Y1707&lt;DATE(1996,7,1),"Q2",Y1707&gt;=DATE(1996,7,1),"")</f>
        <v>Q1</v>
      </c>
    </row>
    <row r="1708" spans="1:28" ht="14.4" x14ac:dyDescent="0.55000000000000004">
      <c r="A1708" t="str">
        <f>VLOOKUP(L1708,Customers!$A$2:$B$92,2,FALSE)</f>
        <v>Folk och fä HB</v>
      </c>
      <c r="B1708" t="str">
        <f>VLOOKUP(L1708,Customers!$A$2:$C$92,3,TRUE)</f>
        <v>Maria Larsson</v>
      </c>
      <c r="C1708" t="str">
        <f t="shared" si="443"/>
        <v>Maria</v>
      </c>
      <c r="D1708" s="8" t="str">
        <f t="shared" si="444"/>
        <v>Larsson</v>
      </c>
      <c r="E1708" s="8" t="str">
        <f t="shared" si="445"/>
        <v>Larsson, Maria</v>
      </c>
      <c r="F1708" s="8" t="str">
        <f t="shared" si="446"/>
        <v>Larsson, Maria</v>
      </c>
      <c r="G1708" s="8" t="str">
        <f t="shared" si="447"/>
        <v>not an outlier</v>
      </c>
      <c r="H1708" s="8" t="str">
        <f t="shared" si="448"/>
        <v>Not</v>
      </c>
      <c r="I1708" s="8" t="str">
        <f t="shared" si="458"/>
        <v>no</v>
      </c>
      <c r="J1708" s="10" t="str">
        <f t="shared" si="449"/>
        <v>no</v>
      </c>
      <c r="K1708" s="10" t="str">
        <f t="shared" si="450"/>
        <v>no</v>
      </c>
      <c r="L1708" t="s">
        <v>191</v>
      </c>
      <c r="M1708">
        <v>10902</v>
      </c>
      <c r="N1708">
        <v>62</v>
      </c>
      <c r="O1708" t="s">
        <v>712</v>
      </c>
      <c r="P1708" t="str">
        <f t="shared" si="451"/>
        <v>FOLKO_10902_Tarte au sucre</v>
      </c>
      <c r="Q1708" t="str">
        <f t="shared" si="452"/>
        <v>10902</v>
      </c>
      <c r="R1708" t="str">
        <f t="shared" si="453"/>
        <v>10902</v>
      </c>
      <c r="S1708" t="str">
        <f t="shared" si="454"/>
        <v>Tarte au sucre</v>
      </c>
      <c r="T1708">
        <v>49.3</v>
      </c>
      <c r="U1708">
        <v>6</v>
      </c>
      <c r="V1708">
        <v>0.15</v>
      </c>
      <c r="W1708">
        <f t="shared" si="455"/>
        <v>251.42999999999995</v>
      </c>
      <c r="X1708" t="str">
        <f t="shared" si="456"/>
        <v>yes</v>
      </c>
      <c r="Y1708" s="2">
        <v>35149</v>
      </c>
      <c r="Z1708" t="str">
        <f t="shared" si="442"/>
        <v>1st Q 1996</v>
      </c>
      <c r="AA1708" t="str">
        <f t="shared" si="457"/>
        <v>1st Q 1996</v>
      </c>
      <c r="AB1708" t="str" cm="1">
        <f t="array" ref="AB1708">_xlfn.IFS(Y1708&lt;DATE(1996,1,1),"",Y1708&lt;DATE(1996,4,1),"Q1",Y1708&lt;DATE(1996,7,1),"Q2",Y1708&gt;=DATE(1996,7,1),"")</f>
        <v>Q1</v>
      </c>
    </row>
    <row r="1709" spans="1:28" ht="14.4" x14ac:dyDescent="0.55000000000000004">
      <c r="A1709" t="str">
        <f>VLOOKUP(L1709,Customers!$A$2:$B$92,2,FALSE)</f>
        <v>Hanari Carnes</v>
      </c>
      <c r="B1709" t="str">
        <f>VLOOKUP(L1709,Customers!$A$2:$C$92,3,TRUE)</f>
        <v>Mario Pontes</v>
      </c>
      <c r="C1709" t="str">
        <f t="shared" si="443"/>
        <v>Mario</v>
      </c>
      <c r="D1709" s="8" t="str">
        <f t="shared" si="444"/>
        <v>Pontes</v>
      </c>
      <c r="E1709" s="8" t="str">
        <f t="shared" si="445"/>
        <v>Pontes, Mario</v>
      </c>
      <c r="F1709" s="8" t="str">
        <f t="shared" si="446"/>
        <v>Pontes, Mario</v>
      </c>
      <c r="G1709" s="8" t="str">
        <f t="shared" si="447"/>
        <v>not an outlier</v>
      </c>
      <c r="H1709" s="8" t="str">
        <f t="shared" si="448"/>
        <v>Not</v>
      </c>
      <c r="I1709" s="8" t="str">
        <f t="shared" si="458"/>
        <v>no</v>
      </c>
      <c r="J1709" s="10" t="str">
        <f t="shared" si="449"/>
        <v>no</v>
      </c>
      <c r="K1709" s="10" t="str">
        <f t="shared" si="450"/>
        <v>no</v>
      </c>
      <c r="L1709" t="s">
        <v>264</v>
      </c>
      <c r="M1709">
        <v>10903</v>
      </c>
      <c r="N1709">
        <v>13</v>
      </c>
      <c r="O1709" t="s">
        <v>726</v>
      </c>
      <c r="P1709" t="str">
        <f t="shared" si="451"/>
        <v>HANAR_10903_Konbu</v>
      </c>
      <c r="Q1709" t="str">
        <f t="shared" si="452"/>
        <v>10903</v>
      </c>
      <c r="R1709" t="str">
        <f t="shared" si="453"/>
        <v>10903</v>
      </c>
      <c r="S1709" t="str">
        <f t="shared" si="454"/>
        <v>Konbu</v>
      </c>
      <c r="T1709">
        <v>6</v>
      </c>
      <c r="U1709">
        <v>40</v>
      </c>
      <c r="V1709">
        <v>0</v>
      </c>
      <c r="W1709">
        <f t="shared" si="455"/>
        <v>240</v>
      </c>
      <c r="X1709" t="str">
        <f t="shared" si="456"/>
        <v>yes</v>
      </c>
      <c r="Y1709" s="2">
        <v>35150</v>
      </c>
      <c r="Z1709" t="str">
        <f t="shared" si="442"/>
        <v>1st Q 1996</v>
      </c>
      <c r="AA1709" t="str">
        <f t="shared" si="457"/>
        <v>1st Q 1996</v>
      </c>
      <c r="AB1709" t="str" cm="1">
        <f t="array" ref="AB1709">_xlfn.IFS(Y1709&lt;DATE(1996,1,1),"",Y1709&lt;DATE(1996,4,1),"Q1",Y1709&lt;DATE(1996,7,1),"Q2",Y1709&gt;=DATE(1996,7,1),"")</f>
        <v>Q1</v>
      </c>
    </row>
    <row r="1710" spans="1:28" ht="14.4" x14ac:dyDescent="0.55000000000000004">
      <c r="A1710" t="str">
        <f>VLOOKUP(L1710,Customers!$A$2:$B$92,2,FALSE)</f>
        <v>Hanari Carnes</v>
      </c>
      <c r="B1710" t="str">
        <f>VLOOKUP(L1710,Customers!$A$2:$C$92,3,TRUE)</f>
        <v>Mario Pontes</v>
      </c>
      <c r="C1710" t="str">
        <f t="shared" si="443"/>
        <v>Mario</v>
      </c>
      <c r="D1710" s="8" t="str">
        <f t="shared" si="444"/>
        <v>Pontes</v>
      </c>
      <c r="E1710" s="8" t="str">
        <f t="shared" si="445"/>
        <v>Pontes, Mario</v>
      </c>
      <c r="F1710" s="8" t="str">
        <f t="shared" si="446"/>
        <v>Pontes, Mario</v>
      </c>
      <c r="G1710" s="8" t="str">
        <f t="shared" si="447"/>
        <v>not an outlier</v>
      </c>
      <c r="H1710" s="8" t="str">
        <f t="shared" si="448"/>
        <v>Not</v>
      </c>
      <c r="I1710" s="8" t="str">
        <f t="shared" si="458"/>
        <v>no</v>
      </c>
      <c r="J1710" s="10" t="str">
        <f t="shared" si="449"/>
        <v>no</v>
      </c>
      <c r="K1710" s="10" t="str">
        <f t="shared" si="450"/>
        <v>no</v>
      </c>
      <c r="L1710" t="s">
        <v>264</v>
      </c>
      <c r="M1710">
        <v>10903</v>
      </c>
      <c r="N1710">
        <v>65</v>
      </c>
      <c r="O1710" t="s">
        <v>689</v>
      </c>
      <c r="P1710" t="str">
        <f t="shared" si="451"/>
        <v>HANAR_10903_Louisiana Fiery Hot Pepper Sauce</v>
      </c>
      <c r="Q1710" t="str">
        <f t="shared" si="452"/>
        <v>10903</v>
      </c>
      <c r="R1710" t="str">
        <f t="shared" si="453"/>
        <v>10903</v>
      </c>
      <c r="S1710" t="str">
        <f t="shared" si="454"/>
        <v>Louisiana Fiery Hot Pepper Sauce</v>
      </c>
      <c r="T1710">
        <v>21.05</v>
      </c>
      <c r="U1710">
        <v>21</v>
      </c>
      <c r="V1710">
        <v>0</v>
      </c>
      <c r="W1710">
        <f t="shared" si="455"/>
        <v>442.05</v>
      </c>
      <c r="X1710" t="str">
        <f t="shared" si="456"/>
        <v>yes</v>
      </c>
      <c r="Y1710" s="2">
        <v>35150</v>
      </c>
      <c r="Z1710" t="str">
        <f t="shared" si="442"/>
        <v>1st Q 1996</v>
      </c>
      <c r="AA1710" t="str">
        <f t="shared" si="457"/>
        <v>1st Q 1996</v>
      </c>
      <c r="AB1710" t="str" cm="1">
        <f t="array" ref="AB1710">_xlfn.IFS(Y1710&lt;DATE(1996,1,1),"",Y1710&lt;DATE(1996,4,1),"Q1",Y1710&lt;DATE(1996,7,1),"Q2",Y1710&gt;=DATE(1996,7,1),"")</f>
        <v>Q1</v>
      </c>
    </row>
    <row r="1711" spans="1:28" ht="14.4" x14ac:dyDescent="0.55000000000000004">
      <c r="A1711" t="str">
        <f>VLOOKUP(L1711,Customers!$A$2:$B$92,2,FALSE)</f>
        <v>Hanari Carnes</v>
      </c>
      <c r="B1711" t="str">
        <f>VLOOKUP(L1711,Customers!$A$2:$C$92,3,TRUE)</f>
        <v>Mario Pontes</v>
      </c>
      <c r="C1711" t="str">
        <f t="shared" si="443"/>
        <v>Mario</v>
      </c>
      <c r="D1711" s="8" t="str">
        <f t="shared" si="444"/>
        <v>Pontes</v>
      </c>
      <c r="E1711" s="8" t="str">
        <f t="shared" si="445"/>
        <v>Pontes, Mario</v>
      </c>
      <c r="F1711" s="8" t="str">
        <f t="shared" si="446"/>
        <v>Pontes, Mario</v>
      </c>
      <c r="G1711" s="8" t="str">
        <f t="shared" si="447"/>
        <v>not an outlier</v>
      </c>
      <c r="H1711" s="8" t="str">
        <f t="shared" si="448"/>
        <v>Not</v>
      </c>
      <c r="I1711" s="8" t="str">
        <f t="shared" si="458"/>
        <v>no</v>
      </c>
      <c r="J1711" s="10" t="str">
        <f t="shared" si="449"/>
        <v>no</v>
      </c>
      <c r="K1711" s="10" t="str">
        <f t="shared" si="450"/>
        <v>no</v>
      </c>
      <c r="L1711" t="s">
        <v>264</v>
      </c>
      <c r="M1711">
        <v>10903</v>
      </c>
      <c r="N1711">
        <v>68</v>
      </c>
      <c r="O1711" t="s">
        <v>739</v>
      </c>
      <c r="P1711" t="str">
        <f t="shared" si="451"/>
        <v>HANAR_10903_Scottish Longbreads</v>
      </c>
      <c r="Q1711" t="str">
        <f t="shared" si="452"/>
        <v>10903</v>
      </c>
      <c r="R1711" t="str">
        <f t="shared" si="453"/>
        <v>10903</v>
      </c>
      <c r="S1711" t="str">
        <f t="shared" si="454"/>
        <v>Scottish Longbreads</v>
      </c>
      <c r="T1711">
        <v>12.5</v>
      </c>
      <c r="U1711">
        <v>20</v>
      </c>
      <c r="V1711">
        <v>0</v>
      </c>
      <c r="W1711">
        <f t="shared" si="455"/>
        <v>250</v>
      </c>
      <c r="X1711" t="str">
        <f t="shared" si="456"/>
        <v>yes</v>
      </c>
      <c r="Y1711" s="2">
        <v>35150</v>
      </c>
      <c r="Z1711" t="str">
        <f t="shared" si="442"/>
        <v>1st Q 1996</v>
      </c>
      <c r="AA1711" t="str">
        <f t="shared" si="457"/>
        <v>1st Q 1996</v>
      </c>
      <c r="AB1711" t="str" cm="1">
        <f t="array" ref="AB1711">_xlfn.IFS(Y1711&lt;DATE(1996,1,1),"",Y1711&lt;DATE(1996,4,1),"Q1",Y1711&lt;DATE(1996,7,1),"Q2",Y1711&gt;=DATE(1996,7,1),"")</f>
        <v>Q1</v>
      </c>
    </row>
    <row r="1712" spans="1:28" ht="14.4" x14ac:dyDescent="0.55000000000000004">
      <c r="A1712" t="str">
        <f>VLOOKUP(L1712,Customers!$A$2:$B$92,2,FALSE)</f>
        <v>White Clover Markets</v>
      </c>
      <c r="B1712" t="str">
        <f>VLOOKUP(L1712,Customers!$A$2:$C$92,3,TRUE)</f>
        <v>Karl Jablonski</v>
      </c>
      <c r="C1712" t="str">
        <f t="shared" si="443"/>
        <v>Karl</v>
      </c>
      <c r="D1712" s="8" t="str">
        <f t="shared" si="444"/>
        <v>Jablonski</v>
      </c>
      <c r="E1712" s="8" t="str">
        <f t="shared" si="445"/>
        <v>Jablonski, Karl</v>
      </c>
      <c r="F1712" s="8" t="str">
        <f t="shared" si="446"/>
        <v>Jablonski, Karl</v>
      </c>
      <c r="G1712" s="8" t="str">
        <f t="shared" si="447"/>
        <v>not an outlier</v>
      </c>
      <c r="H1712" s="8" t="str">
        <f t="shared" si="448"/>
        <v>Not</v>
      </c>
      <c r="I1712" s="8" t="str">
        <f t="shared" si="458"/>
        <v>no</v>
      </c>
      <c r="J1712" s="10" t="str">
        <f t="shared" si="449"/>
        <v>no</v>
      </c>
      <c r="K1712" s="10" t="str">
        <f t="shared" si="450"/>
        <v>no</v>
      </c>
      <c r="L1712" t="s">
        <v>654</v>
      </c>
      <c r="M1712">
        <v>10904</v>
      </c>
      <c r="N1712">
        <v>58</v>
      </c>
      <c r="O1712" t="s">
        <v>747</v>
      </c>
      <c r="P1712" t="str">
        <f t="shared" si="451"/>
        <v>WHITC_10904_Escargots de Bourgogne</v>
      </c>
      <c r="Q1712" t="str">
        <f t="shared" si="452"/>
        <v>10904</v>
      </c>
      <c r="R1712" t="str">
        <f t="shared" si="453"/>
        <v>10904</v>
      </c>
      <c r="S1712" t="str">
        <f t="shared" si="454"/>
        <v>Escargots de Bourgogne</v>
      </c>
      <c r="T1712">
        <v>13.25</v>
      </c>
      <c r="U1712">
        <v>15</v>
      </c>
      <c r="V1712">
        <v>0</v>
      </c>
      <c r="W1712">
        <f t="shared" si="455"/>
        <v>198.75</v>
      </c>
      <c r="X1712" t="str">
        <f t="shared" si="456"/>
        <v>yes</v>
      </c>
      <c r="Y1712" s="2">
        <v>35150</v>
      </c>
      <c r="Z1712" t="str">
        <f t="shared" si="442"/>
        <v>1st Q 1996</v>
      </c>
      <c r="AA1712" t="str">
        <f t="shared" si="457"/>
        <v>1st Q 1996</v>
      </c>
      <c r="AB1712" t="str" cm="1">
        <f t="array" ref="AB1712">_xlfn.IFS(Y1712&lt;DATE(1996,1,1),"",Y1712&lt;DATE(1996,4,1),"Q1",Y1712&lt;DATE(1996,7,1),"Q2",Y1712&gt;=DATE(1996,7,1),"")</f>
        <v>Q1</v>
      </c>
    </row>
    <row r="1713" spans="1:28" ht="14.4" x14ac:dyDescent="0.55000000000000004">
      <c r="A1713" t="str">
        <f>VLOOKUP(L1713,Customers!$A$2:$B$92,2,FALSE)</f>
        <v>White Clover Markets</v>
      </c>
      <c r="B1713" t="str">
        <f>VLOOKUP(L1713,Customers!$A$2:$C$92,3,TRUE)</f>
        <v>Karl Jablonski</v>
      </c>
      <c r="C1713" t="str">
        <f t="shared" si="443"/>
        <v>Karl</v>
      </c>
      <c r="D1713" s="8" t="str">
        <f t="shared" si="444"/>
        <v>Jablonski</v>
      </c>
      <c r="E1713" s="8" t="str">
        <f t="shared" si="445"/>
        <v>Jablonski, Karl</v>
      </c>
      <c r="F1713" s="8" t="str">
        <f t="shared" si="446"/>
        <v>Jablonski, Karl</v>
      </c>
      <c r="G1713" s="8" t="str">
        <f t="shared" si="447"/>
        <v>not an outlier</v>
      </c>
      <c r="H1713" s="8" t="str">
        <f t="shared" si="448"/>
        <v>Not</v>
      </c>
      <c r="I1713" s="8" t="str">
        <f t="shared" si="458"/>
        <v>no</v>
      </c>
      <c r="J1713" s="10" t="str">
        <f t="shared" si="449"/>
        <v>no</v>
      </c>
      <c r="K1713" s="10" t="str">
        <f t="shared" si="450"/>
        <v>no</v>
      </c>
      <c r="L1713" t="s">
        <v>654</v>
      </c>
      <c r="M1713">
        <v>10904</v>
      </c>
      <c r="N1713">
        <v>62</v>
      </c>
      <c r="O1713" t="s">
        <v>712</v>
      </c>
      <c r="P1713" t="str">
        <f t="shared" si="451"/>
        <v>WHITC_10904_Tarte au sucre</v>
      </c>
      <c r="Q1713" t="str">
        <f t="shared" si="452"/>
        <v>10904</v>
      </c>
      <c r="R1713" t="str">
        <f t="shared" si="453"/>
        <v>10904</v>
      </c>
      <c r="S1713" t="str">
        <f t="shared" si="454"/>
        <v>Tarte au sucre</v>
      </c>
      <c r="T1713">
        <v>49.3</v>
      </c>
      <c r="U1713">
        <v>35</v>
      </c>
      <c r="V1713">
        <v>0</v>
      </c>
      <c r="W1713">
        <f t="shared" si="455"/>
        <v>1725.5</v>
      </c>
      <c r="X1713" t="str">
        <f t="shared" si="456"/>
        <v>yes</v>
      </c>
      <c r="Y1713" s="2">
        <v>35150</v>
      </c>
      <c r="Z1713" t="str">
        <f>IF(Y1713&gt;=DATE(1996,1,1), IF(Y1713&lt;DATE(1996,4,1),"1st Q 1996",""),"")</f>
        <v>1st Q 1996</v>
      </c>
      <c r="AA1713" t="str">
        <f t="shared" si="457"/>
        <v>1st Q 1996</v>
      </c>
      <c r="AB1713" t="str" cm="1">
        <f t="array" ref="AB1713">_xlfn.IFS(Y1713&lt;DATE(1996,1,1),"",Y1713&lt;DATE(1996,4,1),"Q1",Y1713&lt;DATE(1996,7,1),"Q2",Y1713&gt;=DATE(1996,7,1),"")</f>
        <v>Q1</v>
      </c>
    </row>
    <row r="1714" spans="1:28" ht="14.4" x14ac:dyDescent="0.55000000000000004">
      <c r="A1714" t="str">
        <f>VLOOKUP(L1714,Customers!$A$2:$B$92,2,FALSE)</f>
        <v>Wellington Importadora</v>
      </c>
      <c r="B1714" t="str">
        <f>VLOOKUP(L1714,Customers!$A$2:$C$92,3,TRUE)</f>
        <v>Paula Parente</v>
      </c>
      <c r="C1714" t="str">
        <f t="shared" si="443"/>
        <v>Paula</v>
      </c>
      <c r="D1714" s="8" t="str">
        <f t="shared" si="444"/>
        <v>Parente</v>
      </c>
      <c r="E1714" s="8" t="str">
        <f t="shared" si="445"/>
        <v>Parente, Paula</v>
      </c>
      <c r="F1714" s="8" t="str">
        <f t="shared" si="446"/>
        <v>Parente, Paula</v>
      </c>
      <c r="G1714" s="8" t="str">
        <f t="shared" si="447"/>
        <v>not an outlier</v>
      </c>
      <c r="H1714" s="8" t="str">
        <f t="shared" si="448"/>
        <v>Not</v>
      </c>
      <c r="I1714" s="8" t="str">
        <f t="shared" si="458"/>
        <v>no</v>
      </c>
      <c r="J1714" s="10" t="str">
        <f t="shared" si="449"/>
        <v>no</v>
      </c>
      <c r="K1714" s="10" t="str">
        <f t="shared" si="450"/>
        <v>no</v>
      </c>
      <c r="L1714" t="s">
        <v>647</v>
      </c>
      <c r="M1714">
        <v>10905</v>
      </c>
      <c r="N1714">
        <v>1</v>
      </c>
      <c r="O1714" t="s">
        <v>735</v>
      </c>
      <c r="P1714" t="str">
        <f t="shared" si="451"/>
        <v>WELLI_10905_Chai</v>
      </c>
      <c r="Q1714" t="str">
        <f t="shared" si="452"/>
        <v>10905</v>
      </c>
      <c r="R1714" t="str">
        <f t="shared" si="453"/>
        <v>10905</v>
      </c>
      <c r="S1714" t="str">
        <f t="shared" si="454"/>
        <v>Chai</v>
      </c>
      <c r="T1714">
        <v>18</v>
      </c>
      <c r="U1714">
        <v>20</v>
      </c>
      <c r="V1714">
        <v>0.05</v>
      </c>
      <c r="W1714">
        <f t="shared" si="455"/>
        <v>342</v>
      </c>
      <c r="X1714" t="str">
        <f t="shared" si="456"/>
        <v>yes</v>
      </c>
      <c r="Y1714" s="2">
        <v>35150</v>
      </c>
      <c r="Z1714" t="str">
        <f t="shared" ref="Z1714:Z1777" si="459">IF(Y1714&gt;=DATE(1996,1,1), IF(Y1714&lt;DATE(1996,4,1),"1st Q 1996",""),"")</f>
        <v>1st Q 1996</v>
      </c>
      <c r="AA1714" t="str">
        <f t="shared" si="457"/>
        <v>1st Q 1996</v>
      </c>
      <c r="AB1714" t="str" cm="1">
        <f t="array" ref="AB1714">_xlfn.IFS(Y1714&lt;DATE(1996,1,1),"",Y1714&lt;DATE(1996,4,1),"Q1",Y1714&lt;DATE(1996,7,1),"Q2",Y1714&gt;=DATE(1996,7,1),"")</f>
        <v>Q1</v>
      </c>
    </row>
    <row r="1715" spans="1:28" ht="14.4" x14ac:dyDescent="0.55000000000000004">
      <c r="A1715" t="str">
        <f>VLOOKUP(L1715,Customers!$A$2:$B$92,2,FALSE)</f>
        <v>Wolski  Zajazd</v>
      </c>
      <c r="B1715" t="str">
        <f>VLOOKUP(L1715,Customers!$A$2:$C$92,3,TRUE)</f>
        <v>Zbyszek Piestrzeniewicz</v>
      </c>
      <c r="C1715" t="str">
        <f t="shared" si="443"/>
        <v>Zbyszek</v>
      </c>
      <c r="D1715" s="8" t="str">
        <f t="shared" si="444"/>
        <v>Piestrzeniewicz</v>
      </c>
      <c r="E1715" s="8" t="str">
        <f t="shared" si="445"/>
        <v>Piestrzeniewicz, Zbyszek</v>
      </c>
      <c r="F1715" s="8" t="str">
        <f t="shared" si="446"/>
        <v>Piestrzeniewicz, Zbyszek</v>
      </c>
      <c r="G1715" s="8" t="str">
        <f t="shared" si="447"/>
        <v>not an outlier</v>
      </c>
      <c r="H1715" s="8" t="str">
        <f t="shared" si="448"/>
        <v>Not</v>
      </c>
      <c r="I1715" s="8" t="str">
        <f t="shared" si="458"/>
        <v>no</v>
      </c>
      <c r="J1715" s="10" t="str">
        <f t="shared" si="449"/>
        <v>no</v>
      </c>
      <c r="K1715" s="10" t="str">
        <f t="shared" si="450"/>
        <v>no</v>
      </c>
      <c r="L1715" t="s">
        <v>668</v>
      </c>
      <c r="M1715">
        <v>10906</v>
      </c>
      <c r="N1715">
        <v>61</v>
      </c>
      <c r="O1715" t="s">
        <v>758</v>
      </c>
      <c r="P1715" t="str">
        <f t="shared" si="451"/>
        <v>WOLZA_10906_Sirop d'érable</v>
      </c>
      <c r="Q1715" t="str">
        <f t="shared" si="452"/>
        <v>10906</v>
      </c>
      <c r="R1715" t="str">
        <f t="shared" si="453"/>
        <v>10906</v>
      </c>
      <c r="S1715" t="str">
        <f t="shared" si="454"/>
        <v>Sirop d'érable</v>
      </c>
      <c r="T1715">
        <v>28.5</v>
      </c>
      <c r="U1715">
        <v>15</v>
      </c>
      <c r="V1715">
        <v>0</v>
      </c>
      <c r="W1715">
        <f t="shared" si="455"/>
        <v>427.5</v>
      </c>
      <c r="X1715" t="str">
        <f t="shared" si="456"/>
        <v>yes</v>
      </c>
      <c r="Y1715" s="2">
        <v>35151</v>
      </c>
      <c r="Z1715" t="str">
        <f t="shared" si="459"/>
        <v>1st Q 1996</v>
      </c>
      <c r="AA1715" t="str">
        <f t="shared" si="457"/>
        <v>1st Q 1996</v>
      </c>
      <c r="AB1715" t="str" cm="1">
        <f t="array" ref="AB1715">_xlfn.IFS(Y1715&lt;DATE(1996,1,1),"",Y1715&lt;DATE(1996,4,1),"Q1",Y1715&lt;DATE(1996,7,1),"Q2",Y1715&gt;=DATE(1996,7,1),"")</f>
        <v>Q1</v>
      </c>
    </row>
    <row r="1716" spans="1:28" ht="14.4" x14ac:dyDescent="0.55000000000000004">
      <c r="A1716" t="str">
        <f>VLOOKUP(L1716,Customers!$A$2:$B$92,2,FALSE)</f>
        <v>Spécialités du monde</v>
      </c>
      <c r="B1716" t="str">
        <f>VLOOKUP(L1716,Customers!$A$2:$C$92,3,TRUE)</f>
        <v>Dominique Perrier</v>
      </c>
      <c r="C1716" t="str">
        <f t="shared" si="443"/>
        <v>Dominique</v>
      </c>
      <c r="D1716" s="8" t="str">
        <f t="shared" si="444"/>
        <v>Perrier</v>
      </c>
      <c r="E1716" s="8" t="str">
        <f t="shared" si="445"/>
        <v>Perrier, Dominique</v>
      </c>
      <c r="F1716" s="8" t="str">
        <f t="shared" si="446"/>
        <v>Perrier, Dominique</v>
      </c>
      <c r="G1716" s="8" t="str">
        <f t="shared" si="447"/>
        <v>not an outlier</v>
      </c>
      <c r="H1716" s="8" t="str">
        <f t="shared" si="448"/>
        <v>Not</v>
      </c>
      <c r="I1716" s="8" t="str">
        <f t="shared" si="458"/>
        <v>no</v>
      </c>
      <c r="J1716" s="10" t="str">
        <f t="shared" si="449"/>
        <v>no</v>
      </c>
      <c r="K1716" s="10" t="str">
        <f t="shared" si="450"/>
        <v>no</v>
      </c>
      <c r="L1716" t="s">
        <v>551</v>
      </c>
      <c r="M1716">
        <v>10907</v>
      </c>
      <c r="N1716">
        <v>75</v>
      </c>
      <c r="O1716" t="s">
        <v>731</v>
      </c>
      <c r="P1716" t="str">
        <f t="shared" si="451"/>
        <v>SPECD_10907_Rhönbräu Klosterbier</v>
      </c>
      <c r="Q1716" t="str">
        <f t="shared" si="452"/>
        <v>10907</v>
      </c>
      <c r="R1716" t="str">
        <f t="shared" si="453"/>
        <v>10907</v>
      </c>
      <c r="S1716" t="str">
        <f t="shared" si="454"/>
        <v>Rhönbräu Klosterbier</v>
      </c>
      <c r="T1716">
        <v>7.75</v>
      </c>
      <c r="U1716">
        <v>14</v>
      </c>
      <c r="V1716">
        <v>0</v>
      </c>
      <c r="W1716">
        <f t="shared" si="455"/>
        <v>108.5</v>
      </c>
      <c r="X1716" t="str">
        <f t="shared" si="456"/>
        <v>yes</v>
      </c>
      <c r="Y1716" s="2">
        <v>35151</v>
      </c>
      <c r="Z1716" t="str">
        <f t="shared" si="459"/>
        <v>1st Q 1996</v>
      </c>
      <c r="AA1716" t="str">
        <f t="shared" si="457"/>
        <v>1st Q 1996</v>
      </c>
      <c r="AB1716" t="str" cm="1">
        <f t="array" ref="AB1716">_xlfn.IFS(Y1716&lt;DATE(1996,1,1),"",Y1716&lt;DATE(1996,4,1),"Q1",Y1716&lt;DATE(1996,7,1),"Q2",Y1716&gt;=DATE(1996,7,1),"")</f>
        <v>Q1</v>
      </c>
    </row>
    <row r="1717" spans="1:28" ht="14.4" x14ac:dyDescent="0.55000000000000004">
      <c r="A1717" t="str">
        <f>VLOOKUP(L1717,Customers!$A$2:$B$92,2,FALSE)</f>
        <v>Reggiani Caseifici</v>
      </c>
      <c r="B1717" t="str">
        <f>VLOOKUP(L1717,Customers!$A$2:$C$92,3,TRUE)</f>
        <v>Maurizio Moroni</v>
      </c>
      <c r="C1717" t="str">
        <f t="shared" si="443"/>
        <v>Maurizio</v>
      </c>
      <c r="D1717" s="8" t="str">
        <f t="shared" si="444"/>
        <v>Moroni</v>
      </c>
      <c r="E1717" s="8" t="str">
        <f t="shared" si="445"/>
        <v>Moroni, Maurizio</v>
      </c>
      <c r="F1717" s="8" t="str">
        <f t="shared" si="446"/>
        <v>Moroni, Maurizio</v>
      </c>
      <c r="G1717" s="8" t="str">
        <f t="shared" si="447"/>
        <v>not an outlier</v>
      </c>
      <c r="H1717" s="8" t="str">
        <f t="shared" si="448"/>
        <v>Not</v>
      </c>
      <c r="I1717" s="8" t="str">
        <f t="shared" si="458"/>
        <v>no</v>
      </c>
      <c r="J1717" s="10" t="str">
        <f t="shared" si="449"/>
        <v>no</v>
      </c>
      <c r="K1717" s="10" t="str">
        <f t="shared" si="450"/>
        <v>no</v>
      </c>
      <c r="L1717" t="s">
        <v>496</v>
      </c>
      <c r="M1717">
        <v>10908</v>
      </c>
      <c r="N1717">
        <v>7</v>
      </c>
      <c r="O1717" t="s">
        <v>715</v>
      </c>
      <c r="P1717" t="str">
        <f t="shared" si="451"/>
        <v>REGGC_10908_Uncle Bob's Organic Dried Pears</v>
      </c>
      <c r="Q1717" t="str">
        <f t="shared" si="452"/>
        <v>10908</v>
      </c>
      <c r="R1717" t="str">
        <f t="shared" si="453"/>
        <v>10908</v>
      </c>
      <c r="S1717" t="str">
        <f t="shared" si="454"/>
        <v>Uncle Bob's Organic Dried Pears</v>
      </c>
      <c r="T1717">
        <v>30</v>
      </c>
      <c r="U1717">
        <v>20</v>
      </c>
      <c r="V1717">
        <v>0.05</v>
      </c>
      <c r="W1717">
        <f t="shared" si="455"/>
        <v>570</v>
      </c>
      <c r="X1717" t="str">
        <f t="shared" si="456"/>
        <v>yes</v>
      </c>
      <c r="Y1717" s="2">
        <v>35152</v>
      </c>
      <c r="Z1717" t="str">
        <f t="shared" si="459"/>
        <v>1st Q 1996</v>
      </c>
      <c r="AA1717" t="str">
        <f t="shared" si="457"/>
        <v>1st Q 1996</v>
      </c>
      <c r="AB1717" t="str" cm="1">
        <f t="array" ref="AB1717">_xlfn.IFS(Y1717&lt;DATE(1996,1,1),"",Y1717&lt;DATE(1996,4,1),"Q1",Y1717&lt;DATE(1996,7,1),"Q2",Y1717&gt;=DATE(1996,7,1),"")</f>
        <v>Q1</v>
      </c>
    </row>
    <row r="1718" spans="1:28" ht="14.4" x14ac:dyDescent="0.55000000000000004">
      <c r="A1718" t="str">
        <f>VLOOKUP(L1718,Customers!$A$2:$B$92,2,FALSE)</f>
        <v>Reggiani Caseifici</v>
      </c>
      <c r="B1718" t="str">
        <f>VLOOKUP(L1718,Customers!$A$2:$C$92,3,TRUE)</f>
        <v>Maurizio Moroni</v>
      </c>
      <c r="C1718" t="str">
        <f t="shared" si="443"/>
        <v>Maurizio</v>
      </c>
      <c r="D1718" s="8" t="str">
        <f t="shared" si="444"/>
        <v>Moroni</v>
      </c>
      <c r="E1718" s="8" t="str">
        <f t="shared" si="445"/>
        <v>Moroni, Maurizio</v>
      </c>
      <c r="F1718" s="8" t="str">
        <f t="shared" si="446"/>
        <v>Moroni, Maurizio</v>
      </c>
      <c r="G1718" s="8" t="str">
        <f t="shared" si="447"/>
        <v>not an outlier</v>
      </c>
      <c r="H1718" s="8" t="str">
        <f t="shared" si="448"/>
        <v>Not</v>
      </c>
      <c r="I1718" s="8" t="str">
        <f t="shared" si="458"/>
        <v>no</v>
      </c>
      <c r="J1718" s="10" t="str">
        <f t="shared" si="449"/>
        <v>no</v>
      </c>
      <c r="K1718" s="10" t="str">
        <f t="shared" si="450"/>
        <v>no</v>
      </c>
      <c r="L1718" t="s">
        <v>496</v>
      </c>
      <c r="M1718">
        <v>10908</v>
      </c>
      <c r="N1718">
        <v>52</v>
      </c>
      <c r="O1718" t="s">
        <v>748</v>
      </c>
      <c r="P1718" t="str">
        <f t="shared" si="451"/>
        <v>REGGC_10908_Filo Mix</v>
      </c>
      <c r="Q1718" t="str">
        <f t="shared" si="452"/>
        <v>10908</v>
      </c>
      <c r="R1718" t="str">
        <f t="shared" si="453"/>
        <v>10908</v>
      </c>
      <c r="S1718" t="str">
        <f t="shared" si="454"/>
        <v>Filo Mix</v>
      </c>
      <c r="T1718">
        <v>7</v>
      </c>
      <c r="U1718">
        <v>14</v>
      </c>
      <c r="V1718">
        <v>0.05</v>
      </c>
      <c r="W1718">
        <f t="shared" si="455"/>
        <v>93.1</v>
      </c>
      <c r="X1718" t="str">
        <f t="shared" si="456"/>
        <v>yes</v>
      </c>
      <c r="Y1718" s="2">
        <v>35152</v>
      </c>
      <c r="Z1718" t="str">
        <f t="shared" si="459"/>
        <v>1st Q 1996</v>
      </c>
      <c r="AA1718" t="str">
        <f t="shared" si="457"/>
        <v>1st Q 1996</v>
      </c>
      <c r="AB1718" t="str" cm="1">
        <f t="array" ref="AB1718">_xlfn.IFS(Y1718&lt;DATE(1996,1,1),"",Y1718&lt;DATE(1996,4,1),"Q1",Y1718&lt;DATE(1996,7,1),"Q2",Y1718&gt;=DATE(1996,7,1),"")</f>
        <v>Q1</v>
      </c>
    </row>
    <row r="1719" spans="1:28" ht="14.4" x14ac:dyDescent="0.55000000000000004">
      <c r="A1719" t="str">
        <f>VLOOKUP(L1719,Customers!$A$2:$B$92,2,FALSE)</f>
        <v>Santé Gourmet</v>
      </c>
      <c r="B1719" t="str">
        <f>VLOOKUP(L1719,Customers!$A$2:$C$92,3,TRUE)</f>
        <v>Jonas Bergulfsen</v>
      </c>
      <c r="C1719" t="str">
        <f t="shared" si="443"/>
        <v>Jonas</v>
      </c>
      <c r="D1719" s="8" t="str">
        <f t="shared" si="444"/>
        <v>Bergulfsen</v>
      </c>
      <c r="E1719" s="8" t="str">
        <f t="shared" si="445"/>
        <v>Bergulfsen, Jonas</v>
      </c>
      <c r="F1719" s="8" t="str">
        <f t="shared" si="446"/>
        <v>Bergulfsen, Jonas</v>
      </c>
      <c r="G1719" s="8" t="str">
        <f t="shared" si="447"/>
        <v>not an outlier</v>
      </c>
      <c r="H1719" s="8" t="str">
        <f t="shared" si="448"/>
        <v>Not</v>
      </c>
      <c r="I1719" s="8" t="str">
        <f t="shared" si="458"/>
        <v>no</v>
      </c>
      <c r="J1719" s="10" t="str">
        <f t="shared" si="449"/>
        <v>no</v>
      </c>
      <c r="K1719" s="10" t="str">
        <f t="shared" si="450"/>
        <v>no</v>
      </c>
      <c r="L1719" t="s">
        <v>521</v>
      </c>
      <c r="M1719">
        <v>10909</v>
      </c>
      <c r="N1719">
        <v>7</v>
      </c>
      <c r="O1719" t="s">
        <v>715</v>
      </c>
      <c r="P1719" t="str">
        <f t="shared" si="451"/>
        <v>SANTG_10909_Uncle Bob's Organic Dried Pears</v>
      </c>
      <c r="Q1719" t="str">
        <f t="shared" si="452"/>
        <v>10909</v>
      </c>
      <c r="R1719" t="str">
        <f t="shared" si="453"/>
        <v>10909</v>
      </c>
      <c r="S1719" t="str">
        <f t="shared" si="454"/>
        <v>Uncle Bob's Organic Dried Pears</v>
      </c>
      <c r="T1719">
        <v>30</v>
      </c>
      <c r="U1719">
        <v>12</v>
      </c>
      <c r="V1719">
        <v>0</v>
      </c>
      <c r="W1719">
        <f t="shared" si="455"/>
        <v>360</v>
      </c>
      <c r="X1719" t="str">
        <f t="shared" si="456"/>
        <v>yes</v>
      </c>
      <c r="Y1719" s="2">
        <v>35152</v>
      </c>
      <c r="Z1719" t="str">
        <f t="shared" si="459"/>
        <v>1st Q 1996</v>
      </c>
      <c r="AA1719" t="str">
        <f t="shared" si="457"/>
        <v>1st Q 1996</v>
      </c>
      <c r="AB1719" t="str" cm="1">
        <f t="array" ref="AB1719">_xlfn.IFS(Y1719&lt;DATE(1996,1,1),"",Y1719&lt;DATE(1996,4,1),"Q1",Y1719&lt;DATE(1996,7,1),"Q2",Y1719&gt;=DATE(1996,7,1),"")</f>
        <v>Q1</v>
      </c>
    </row>
    <row r="1720" spans="1:28" ht="14.4" x14ac:dyDescent="0.55000000000000004">
      <c r="A1720" t="str">
        <f>VLOOKUP(L1720,Customers!$A$2:$B$92,2,FALSE)</f>
        <v>Santé Gourmet</v>
      </c>
      <c r="B1720" t="str">
        <f>VLOOKUP(L1720,Customers!$A$2:$C$92,3,TRUE)</f>
        <v>Jonas Bergulfsen</v>
      </c>
      <c r="C1720" t="str">
        <f t="shared" si="443"/>
        <v>Jonas</v>
      </c>
      <c r="D1720" s="8" t="str">
        <f t="shared" si="444"/>
        <v>Bergulfsen</v>
      </c>
      <c r="E1720" s="8" t="str">
        <f t="shared" si="445"/>
        <v>Bergulfsen, Jonas</v>
      </c>
      <c r="F1720" s="8" t="str">
        <f t="shared" si="446"/>
        <v>Bergulfsen, Jonas</v>
      </c>
      <c r="G1720" s="8" t="str">
        <f t="shared" si="447"/>
        <v>not an outlier</v>
      </c>
      <c r="H1720" s="8" t="str">
        <f t="shared" si="448"/>
        <v>Not</v>
      </c>
      <c r="I1720" s="8" t="str">
        <f t="shared" si="458"/>
        <v>no</v>
      </c>
      <c r="J1720" s="10" t="str">
        <f t="shared" si="449"/>
        <v>no</v>
      </c>
      <c r="K1720" s="10" t="str">
        <f t="shared" si="450"/>
        <v>no</v>
      </c>
      <c r="L1720" t="s">
        <v>521</v>
      </c>
      <c r="M1720">
        <v>10909</v>
      </c>
      <c r="N1720">
        <v>16</v>
      </c>
      <c r="O1720" t="s">
        <v>702</v>
      </c>
      <c r="P1720" t="str">
        <f t="shared" si="451"/>
        <v>SANTG_10909_Pavlova</v>
      </c>
      <c r="Q1720" t="str">
        <f t="shared" si="452"/>
        <v>10909</v>
      </c>
      <c r="R1720" t="str">
        <f t="shared" si="453"/>
        <v>10909</v>
      </c>
      <c r="S1720" t="str">
        <f t="shared" si="454"/>
        <v>Pavlova</v>
      </c>
      <c r="T1720">
        <v>17.45</v>
      </c>
      <c r="U1720">
        <v>15</v>
      </c>
      <c r="V1720">
        <v>0</v>
      </c>
      <c r="W1720">
        <f t="shared" si="455"/>
        <v>261.75</v>
      </c>
      <c r="X1720" t="str">
        <f t="shared" si="456"/>
        <v>yes</v>
      </c>
      <c r="Y1720" s="2">
        <v>35152</v>
      </c>
      <c r="Z1720" t="str">
        <f t="shared" si="459"/>
        <v>1st Q 1996</v>
      </c>
      <c r="AA1720" t="str">
        <f t="shared" si="457"/>
        <v>1st Q 1996</v>
      </c>
      <c r="AB1720" t="str" cm="1">
        <f t="array" ref="AB1720">_xlfn.IFS(Y1720&lt;DATE(1996,1,1),"",Y1720&lt;DATE(1996,4,1),"Q1",Y1720&lt;DATE(1996,7,1),"Q2",Y1720&gt;=DATE(1996,7,1),"")</f>
        <v>Q1</v>
      </c>
    </row>
    <row r="1721" spans="1:28" ht="14.4" x14ac:dyDescent="0.55000000000000004">
      <c r="A1721" t="str">
        <f>VLOOKUP(L1721,Customers!$A$2:$B$92,2,FALSE)</f>
        <v>Santé Gourmet</v>
      </c>
      <c r="B1721" t="str">
        <f>VLOOKUP(L1721,Customers!$A$2:$C$92,3,TRUE)</f>
        <v>Jonas Bergulfsen</v>
      </c>
      <c r="C1721" t="str">
        <f t="shared" si="443"/>
        <v>Jonas</v>
      </c>
      <c r="D1721" s="8" t="str">
        <f t="shared" si="444"/>
        <v>Bergulfsen</v>
      </c>
      <c r="E1721" s="8" t="str">
        <f t="shared" si="445"/>
        <v>Bergulfsen, Jonas</v>
      </c>
      <c r="F1721" s="8" t="str">
        <f t="shared" si="446"/>
        <v>Bergulfsen, Jonas</v>
      </c>
      <c r="G1721" s="8" t="str">
        <f t="shared" si="447"/>
        <v>not an outlier</v>
      </c>
      <c r="H1721" s="8" t="str">
        <f t="shared" si="448"/>
        <v>Not</v>
      </c>
      <c r="I1721" s="8" t="str">
        <f t="shared" si="458"/>
        <v>no</v>
      </c>
      <c r="J1721" s="10" t="str">
        <f t="shared" si="449"/>
        <v>no</v>
      </c>
      <c r="K1721" s="10" t="str">
        <f t="shared" si="450"/>
        <v>no</v>
      </c>
      <c r="L1721" t="s">
        <v>521</v>
      </c>
      <c r="M1721">
        <v>10909</v>
      </c>
      <c r="N1721">
        <v>41</v>
      </c>
      <c r="O1721" t="s">
        <v>688</v>
      </c>
      <c r="P1721" t="str">
        <f t="shared" si="451"/>
        <v>SANTG_10909_Jack's New England Clam Chowder</v>
      </c>
      <c r="Q1721" t="str">
        <f t="shared" si="452"/>
        <v>10909</v>
      </c>
      <c r="R1721" t="str">
        <f t="shared" si="453"/>
        <v>10909</v>
      </c>
      <c r="S1721" t="str">
        <f t="shared" si="454"/>
        <v>Jack's New England Clam Chowder</v>
      </c>
      <c r="T1721">
        <v>9.65</v>
      </c>
      <c r="U1721">
        <v>5</v>
      </c>
      <c r="V1721">
        <v>0</v>
      </c>
      <c r="W1721">
        <f t="shared" si="455"/>
        <v>48.25</v>
      </c>
      <c r="X1721" t="str">
        <f t="shared" si="456"/>
        <v>yes</v>
      </c>
      <c r="Y1721" s="2">
        <v>35152</v>
      </c>
      <c r="Z1721" t="str">
        <f t="shared" si="459"/>
        <v>1st Q 1996</v>
      </c>
      <c r="AA1721" t="str">
        <f t="shared" si="457"/>
        <v>1st Q 1996</v>
      </c>
      <c r="AB1721" t="str" cm="1">
        <f t="array" ref="AB1721">_xlfn.IFS(Y1721&lt;DATE(1996,1,1),"",Y1721&lt;DATE(1996,4,1),"Q1",Y1721&lt;DATE(1996,7,1),"Q2",Y1721&gt;=DATE(1996,7,1),"")</f>
        <v>Q1</v>
      </c>
    </row>
    <row r="1722" spans="1:28" ht="14.4" x14ac:dyDescent="0.55000000000000004">
      <c r="A1722" t="str">
        <f>VLOOKUP(L1722,Customers!$A$2:$B$92,2,FALSE)</f>
        <v>Wilman Kala</v>
      </c>
      <c r="B1722" t="str">
        <f>VLOOKUP(L1722,Customers!$A$2:$C$92,3,TRUE)</f>
        <v>Matti Karttunen</v>
      </c>
      <c r="C1722" t="str">
        <f t="shared" si="443"/>
        <v>Matti</v>
      </c>
      <c r="D1722" s="8" t="str">
        <f t="shared" si="444"/>
        <v>Karttunen</v>
      </c>
      <c r="E1722" s="8" t="str">
        <f t="shared" si="445"/>
        <v>Karttunen, Matti</v>
      </c>
      <c r="F1722" s="8" t="str">
        <f t="shared" si="446"/>
        <v>Karttunen, Matti</v>
      </c>
      <c r="G1722" s="8" t="str">
        <f t="shared" si="447"/>
        <v>not an outlier</v>
      </c>
      <c r="H1722" s="8" t="str">
        <f t="shared" si="448"/>
        <v>Not</v>
      </c>
      <c r="I1722" s="8" t="str">
        <f t="shared" si="458"/>
        <v>no</v>
      </c>
      <c r="J1722" s="10" t="str">
        <f t="shared" si="449"/>
        <v>no</v>
      </c>
      <c r="K1722" s="10" t="str">
        <f t="shared" si="450"/>
        <v>no</v>
      </c>
      <c r="L1722" t="s">
        <v>661</v>
      </c>
      <c r="M1722">
        <v>10910</v>
      </c>
      <c r="N1722">
        <v>19</v>
      </c>
      <c r="O1722" t="s">
        <v>732</v>
      </c>
      <c r="P1722" t="str">
        <f t="shared" si="451"/>
        <v>WILMK_10910_Teatime Chocolate Biscuits</v>
      </c>
      <c r="Q1722" t="str">
        <f t="shared" si="452"/>
        <v>10910</v>
      </c>
      <c r="R1722" t="str">
        <f t="shared" si="453"/>
        <v>10910</v>
      </c>
      <c r="S1722" t="str">
        <f t="shared" si="454"/>
        <v>Teatime Chocolate Biscuits</v>
      </c>
      <c r="T1722">
        <v>9.1999999999999993</v>
      </c>
      <c r="U1722">
        <v>12</v>
      </c>
      <c r="V1722">
        <v>0</v>
      </c>
      <c r="W1722">
        <f t="shared" si="455"/>
        <v>110.39999999999999</v>
      </c>
      <c r="X1722" t="str">
        <f t="shared" si="456"/>
        <v>yes</v>
      </c>
      <c r="Y1722" s="2">
        <v>35152</v>
      </c>
      <c r="Z1722" t="str">
        <f t="shared" si="459"/>
        <v>1st Q 1996</v>
      </c>
      <c r="AA1722" t="str">
        <f t="shared" si="457"/>
        <v>1st Q 1996</v>
      </c>
      <c r="AB1722" t="str" cm="1">
        <f t="array" ref="AB1722">_xlfn.IFS(Y1722&lt;DATE(1996,1,1),"",Y1722&lt;DATE(1996,4,1),"Q1",Y1722&lt;DATE(1996,7,1),"Q2",Y1722&gt;=DATE(1996,7,1),"")</f>
        <v>Q1</v>
      </c>
    </row>
    <row r="1723" spans="1:28" ht="14.4" x14ac:dyDescent="0.55000000000000004">
      <c r="A1723" t="str">
        <f>VLOOKUP(L1723,Customers!$A$2:$B$92,2,FALSE)</f>
        <v>Wilman Kala</v>
      </c>
      <c r="B1723" t="str">
        <f>VLOOKUP(L1723,Customers!$A$2:$C$92,3,TRUE)</f>
        <v>Matti Karttunen</v>
      </c>
      <c r="C1723" t="str">
        <f t="shared" si="443"/>
        <v>Matti</v>
      </c>
      <c r="D1723" s="8" t="str">
        <f t="shared" si="444"/>
        <v>Karttunen</v>
      </c>
      <c r="E1723" s="8" t="str">
        <f t="shared" si="445"/>
        <v>Karttunen, Matti</v>
      </c>
      <c r="F1723" s="8" t="str">
        <f t="shared" si="446"/>
        <v>Karttunen, Matti</v>
      </c>
      <c r="G1723" s="8" t="str">
        <f t="shared" si="447"/>
        <v>not an outlier</v>
      </c>
      <c r="H1723" s="8" t="str">
        <f t="shared" si="448"/>
        <v>Not</v>
      </c>
      <c r="I1723" s="8" t="str">
        <f t="shared" si="458"/>
        <v>no</v>
      </c>
      <c r="J1723" s="10" t="str">
        <f t="shared" si="449"/>
        <v>no</v>
      </c>
      <c r="K1723" s="10" t="str">
        <f t="shared" si="450"/>
        <v>no</v>
      </c>
      <c r="L1723" t="s">
        <v>661</v>
      </c>
      <c r="M1723">
        <v>10910</v>
      </c>
      <c r="N1723">
        <v>49</v>
      </c>
      <c r="O1723" t="s">
        <v>697</v>
      </c>
      <c r="P1723" t="str">
        <f t="shared" si="451"/>
        <v>WILMK_10910_Maxilaku</v>
      </c>
      <c r="Q1723" t="str">
        <f t="shared" si="452"/>
        <v>10910</v>
      </c>
      <c r="R1723" t="str">
        <f t="shared" si="453"/>
        <v>10910</v>
      </c>
      <c r="S1723" t="str">
        <f t="shared" si="454"/>
        <v>Maxilaku</v>
      </c>
      <c r="T1723">
        <v>20</v>
      </c>
      <c r="U1723">
        <v>10</v>
      </c>
      <c r="V1723">
        <v>0</v>
      </c>
      <c r="W1723">
        <f t="shared" si="455"/>
        <v>200</v>
      </c>
      <c r="X1723" t="str">
        <f t="shared" si="456"/>
        <v>yes</v>
      </c>
      <c r="Y1723" s="2">
        <v>35152</v>
      </c>
      <c r="Z1723" t="str">
        <f t="shared" si="459"/>
        <v>1st Q 1996</v>
      </c>
      <c r="AA1723" t="str">
        <f t="shared" si="457"/>
        <v>1st Q 1996</v>
      </c>
      <c r="AB1723" t="str" cm="1">
        <f t="array" ref="AB1723">_xlfn.IFS(Y1723&lt;DATE(1996,1,1),"",Y1723&lt;DATE(1996,4,1),"Q1",Y1723&lt;DATE(1996,7,1),"Q2",Y1723&gt;=DATE(1996,7,1),"")</f>
        <v>Q1</v>
      </c>
    </row>
    <row r="1724" spans="1:28" ht="14.4" x14ac:dyDescent="0.55000000000000004">
      <c r="A1724" t="str">
        <f>VLOOKUP(L1724,Customers!$A$2:$B$92,2,FALSE)</f>
        <v>Wilman Kala</v>
      </c>
      <c r="B1724" t="str">
        <f>VLOOKUP(L1724,Customers!$A$2:$C$92,3,TRUE)</f>
        <v>Matti Karttunen</v>
      </c>
      <c r="C1724" t="str">
        <f t="shared" si="443"/>
        <v>Matti</v>
      </c>
      <c r="D1724" s="8" t="str">
        <f t="shared" si="444"/>
        <v>Karttunen</v>
      </c>
      <c r="E1724" s="8" t="str">
        <f t="shared" si="445"/>
        <v>Karttunen, Matti</v>
      </c>
      <c r="F1724" s="8" t="str">
        <f t="shared" si="446"/>
        <v>Karttunen, Matti</v>
      </c>
      <c r="G1724" s="8" t="str">
        <f t="shared" si="447"/>
        <v>not an outlier</v>
      </c>
      <c r="H1724" s="8" t="str">
        <f t="shared" si="448"/>
        <v>Not</v>
      </c>
      <c r="I1724" s="8" t="str">
        <f t="shared" si="458"/>
        <v>no</v>
      </c>
      <c r="J1724" s="10" t="str">
        <f t="shared" si="449"/>
        <v>no</v>
      </c>
      <c r="K1724" s="10" t="str">
        <f t="shared" si="450"/>
        <v>no</v>
      </c>
      <c r="L1724" t="s">
        <v>661</v>
      </c>
      <c r="M1724">
        <v>10910</v>
      </c>
      <c r="N1724">
        <v>61</v>
      </c>
      <c r="O1724" t="s">
        <v>758</v>
      </c>
      <c r="P1724" t="str">
        <f t="shared" si="451"/>
        <v>WILMK_10910_Sirop d'érable</v>
      </c>
      <c r="Q1724" t="str">
        <f t="shared" si="452"/>
        <v>10910</v>
      </c>
      <c r="R1724" t="str">
        <f t="shared" si="453"/>
        <v>10910</v>
      </c>
      <c r="S1724" t="str">
        <f t="shared" si="454"/>
        <v>Sirop d'érable</v>
      </c>
      <c r="T1724">
        <v>28.5</v>
      </c>
      <c r="U1724">
        <v>5</v>
      </c>
      <c r="V1724">
        <v>0</v>
      </c>
      <c r="W1724">
        <f t="shared" si="455"/>
        <v>142.5</v>
      </c>
      <c r="X1724" t="str">
        <f t="shared" si="456"/>
        <v>yes</v>
      </c>
      <c r="Y1724" s="2">
        <v>35152</v>
      </c>
      <c r="Z1724" t="str">
        <f t="shared" si="459"/>
        <v>1st Q 1996</v>
      </c>
      <c r="AA1724" t="str">
        <f t="shared" si="457"/>
        <v>1st Q 1996</v>
      </c>
      <c r="AB1724" t="str" cm="1">
        <f t="array" ref="AB1724">_xlfn.IFS(Y1724&lt;DATE(1996,1,1),"",Y1724&lt;DATE(1996,4,1),"Q1",Y1724&lt;DATE(1996,7,1),"Q2",Y1724&gt;=DATE(1996,7,1),"")</f>
        <v>Q1</v>
      </c>
    </row>
    <row r="1725" spans="1:28" ht="14.4" x14ac:dyDescent="0.55000000000000004">
      <c r="A1725" t="str">
        <f>VLOOKUP(L1725,Customers!$A$2:$B$92,2,FALSE)</f>
        <v>Godos Cocina Típica</v>
      </c>
      <c r="B1725" t="str">
        <f>VLOOKUP(L1725,Customers!$A$2:$C$92,3,TRUE)</f>
        <v>José Pedro Freyre</v>
      </c>
      <c r="C1725" t="str">
        <f t="shared" si="443"/>
        <v>José</v>
      </c>
      <c r="D1725" s="8" t="str">
        <f t="shared" si="444"/>
        <v>Pedro Freyre</v>
      </c>
      <c r="E1725" s="8" t="str">
        <f t="shared" si="445"/>
        <v>Pedro Freyre, José</v>
      </c>
      <c r="F1725" s="8" t="str">
        <f t="shared" si="446"/>
        <v>Pedro Freyre, José</v>
      </c>
      <c r="G1725" s="8" t="str">
        <f t="shared" si="447"/>
        <v>not an outlier</v>
      </c>
      <c r="H1725" s="8" t="str">
        <f t="shared" si="448"/>
        <v>Not</v>
      </c>
      <c r="I1725" s="8" t="str">
        <f t="shared" si="458"/>
        <v>no</v>
      </c>
      <c r="J1725" s="10" t="str">
        <f t="shared" si="449"/>
        <v>no</v>
      </c>
      <c r="K1725" s="10" t="str">
        <f t="shared" si="450"/>
        <v>no</v>
      </c>
      <c r="L1725" t="s">
        <v>234</v>
      </c>
      <c r="M1725">
        <v>10911</v>
      </c>
      <c r="N1725">
        <v>1</v>
      </c>
      <c r="O1725" t="s">
        <v>735</v>
      </c>
      <c r="P1725" t="str">
        <f t="shared" si="451"/>
        <v>GODOS_10911_Chai</v>
      </c>
      <c r="Q1725" t="str">
        <f t="shared" si="452"/>
        <v>10911</v>
      </c>
      <c r="R1725" t="str">
        <f t="shared" si="453"/>
        <v>10911</v>
      </c>
      <c r="S1725" t="str">
        <f t="shared" si="454"/>
        <v>Chai</v>
      </c>
      <c r="T1725">
        <v>18</v>
      </c>
      <c r="U1725">
        <v>10</v>
      </c>
      <c r="V1725">
        <v>0</v>
      </c>
      <c r="W1725">
        <f t="shared" si="455"/>
        <v>180</v>
      </c>
      <c r="X1725" t="str">
        <f t="shared" si="456"/>
        <v>yes</v>
      </c>
      <c r="Y1725" s="2">
        <v>35152</v>
      </c>
      <c r="Z1725" t="str">
        <f t="shared" si="459"/>
        <v>1st Q 1996</v>
      </c>
      <c r="AA1725" t="str">
        <f t="shared" si="457"/>
        <v>1st Q 1996</v>
      </c>
      <c r="AB1725" t="str" cm="1">
        <f t="array" ref="AB1725">_xlfn.IFS(Y1725&lt;DATE(1996,1,1),"",Y1725&lt;DATE(1996,4,1),"Q1",Y1725&lt;DATE(1996,7,1),"Q2",Y1725&gt;=DATE(1996,7,1),"")</f>
        <v>Q1</v>
      </c>
    </row>
    <row r="1726" spans="1:28" ht="14.4" x14ac:dyDescent="0.55000000000000004">
      <c r="A1726" t="str">
        <f>VLOOKUP(L1726,Customers!$A$2:$B$92,2,FALSE)</f>
        <v>Godos Cocina Típica</v>
      </c>
      <c r="B1726" t="str">
        <f>VLOOKUP(L1726,Customers!$A$2:$C$92,3,TRUE)</f>
        <v>José Pedro Freyre</v>
      </c>
      <c r="C1726" t="str">
        <f t="shared" si="443"/>
        <v>José</v>
      </c>
      <c r="D1726" s="8" t="str">
        <f t="shared" si="444"/>
        <v>Pedro Freyre</v>
      </c>
      <c r="E1726" s="8" t="str">
        <f t="shared" si="445"/>
        <v>Pedro Freyre, José</v>
      </c>
      <c r="F1726" s="8" t="str">
        <f t="shared" si="446"/>
        <v>Pedro Freyre, José</v>
      </c>
      <c r="G1726" s="8" t="str">
        <f t="shared" si="447"/>
        <v>not an outlier</v>
      </c>
      <c r="H1726" s="8" t="str">
        <f t="shared" si="448"/>
        <v>Not</v>
      </c>
      <c r="I1726" s="8" t="str">
        <f t="shared" si="458"/>
        <v>no</v>
      </c>
      <c r="J1726" s="10" t="str">
        <f t="shared" si="449"/>
        <v>no</v>
      </c>
      <c r="K1726" s="10" t="str">
        <f t="shared" si="450"/>
        <v>no</v>
      </c>
      <c r="L1726" t="s">
        <v>234</v>
      </c>
      <c r="M1726">
        <v>10911</v>
      </c>
      <c r="N1726">
        <v>17</v>
      </c>
      <c r="O1726" t="s">
        <v>718</v>
      </c>
      <c r="P1726" t="str">
        <f t="shared" si="451"/>
        <v>GODOS_10911_Alice Mutton</v>
      </c>
      <c r="Q1726" t="str">
        <f t="shared" si="452"/>
        <v>10911</v>
      </c>
      <c r="R1726" t="str">
        <f t="shared" si="453"/>
        <v>10911</v>
      </c>
      <c r="S1726" t="str">
        <f t="shared" si="454"/>
        <v>Alice Mutton</v>
      </c>
      <c r="T1726">
        <v>39</v>
      </c>
      <c r="U1726">
        <v>12</v>
      </c>
      <c r="V1726">
        <v>0</v>
      </c>
      <c r="W1726">
        <f t="shared" si="455"/>
        <v>468</v>
      </c>
      <c r="X1726" t="str">
        <f t="shared" si="456"/>
        <v>yes</v>
      </c>
      <c r="Y1726" s="2">
        <v>35152</v>
      </c>
      <c r="Z1726" t="str">
        <f t="shared" si="459"/>
        <v>1st Q 1996</v>
      </c>
      <c r="AA1726" t="str">
        <f t="shared" si="457"/>
        <v>1st Q 1996</v>
      </c>
      <c r="AB1726" t="str" cm="1">
        <f t="array" ref="AB1726">_xlfn.IFS(Y1726&lt;DATE(1996,1,1),"",Y1726&lt;DATE(1996,4,1),"Q1",Y1726&lt;DATE(1996,7,1),"Q2",Y1726&gt;=DATE(1996,7,1),"")</f>
        <v>Q1</v>
      </c>
    </row>
    <row r="1727" spans="1:28" ht="14.4" x14ac:dyDescent="0.55000000000000004">
      <c r="A1727" t="str">
        <f>VLOOKUP(L1727,Customers!$A$2:$B$92,2,FALSE)</f>
        <v>Godos Cocina Típica</v>
      </c>
      <c r="B1727" t="str">
        <f>VLOOKUP(L1727,Customers!$A$2:$C$92,3,TRUE)</f>
        <v>José Pedro Freyre</v>
      </c>
      <c r="C1727" t="str">
        <f t="shared" si="443"/>
        <v>José</v>
      </c>
      <c r="D1727" s="8" t="str">
        <f t="shared" si="444"/>
        <v>Pedro Freyre</v>
      </c>
      <c r="E1727" s="8" t="str">
        <f t="shared" si="445"/>
        <v>Pedro Freyre, José</v>
      </c>
      <c r="F1727" s="8" t="str">
        <f t="shared" si="446"/>
        <v>Pedro Freyre, José</v>
      </c>
      <c r="G1727" s="8" t="str">
        <f t="shared" si="447"/>
        <v>not an outlier</v>
      </c>
      <c r="H1727" s="8" t="str">
        <f t="shared" si="448"/>
        <v>Not</v>
      </c>
      <c r="I1727" s="8" t="str">
        <f t="shared" si="458"/>
        <v>no</v>
      </c>
      <c r="J1727" s="10" t="str">
        <f t="shared" si="449"/>
        <v>no</v>
      </c>
      <c r="K1727" s="10" t="str">
        <f t="shared" si="450"/>
        <v>no</v>
      </c>
      <c r="L1727" t="s">
        <v>234</v>
      </c>
      <c r="M1727">
        <v>10911</v>
      </c>
      <c r="N1727">
        <v>67</v>
      </c>
      <c r="O1727" t="s">
        <v>734</v>
      </c>
      <c r="P1727" t="str">
        <f t="shared" si="451"/>
        <v>GODOS_10911_Laughing Lumberjack Lager</v>
      </c>
      <c r="Q1727" t="str">
        <f t="shared" si="452"/>
        <v>10911</v>
      </c>
      <c r="R1727" t="str">
        <f t="shared" si="453"/>
        <v>10911</v>
      </c>
      <c r="S1727" t="str">
        <f t="shared" si="454"/>
        <v>Laughing Lumberjack Lager</v>
      </c>
      <c r="T1727">
        <v>14</v>
      </c>
      <c r="U1727">
        <v>15</v>
      </c>
      <c r="V1727">
        <v>0</v>
      </c>
      <c r="W1727">
        <f t="shared" si="455"/>
        <v>210</v>
      </c>
      <c r="X1727" t="str">
        <f t="shared" si="456"/>
        <v>yes</v>
      </c>
      <c r="Y1727" s="2">
        <v>35152</v>
      </c>
      <c r="Z1727" t="str">
        <f t="shared" si="459"/>
        <v>1st Q 1996</v>
      </c>
      <c r="AA1727" t="str">
        <f t="shared" si="457"/>
        <v>1st Q 1996</v>
      </c>
      <c r="AB1727" t="str" cm="1">
        <f t="array" ref="AB1727">_xlfn.IFS(Y1727&lt;DATE(1996,1,1),"",Y1727&lt;DATE(1996,4,1),"Q1",Y1727&lt;DATE(1996,7,1),"Q2",Y1727&gt;=DATE(1996,7,1),"")</f>
        <v>Q1</v>
      </c>
    </row>
    <row r="1728" spans="1:28" ht="14.4" x14ac:dyDescent="0.55000000000000004">
      <c r="A1728" t="str">
        <f>VLOOKUP(L1728,Customers!$A$2:$B$92,2,FALSE)</f>
        <v>Hungry Owl All-Night Grocers</v>
      </c>
      <c r="B1728" t="str">
        <f>VLOOKUP(L1728,Customers!$A$2:$C$92,3,TRUE)</f>
        <v>Patricia McKenna</v>
      </c>
      <c r="C1728" t="str">
        <f t="shared" si="443"/>
        <v>Patricia</v>
      </c>
      <c r="D1728" s="8" t="str">
        <f t="shared" si="444"/>
        <v>McKenna</v>
      </c>
      <c r="E1728" s="8" t="str">
        <f t="shared" si="445"/>
        <v>McKenna, Patricia</v>
      </c>
      <c r="F1728" s="8" t="str">
        <f t="shared" si="446"/>
        <v>McKenna, Patricia</v>
      </c>
      <c r="G1728" s="8" t="str">
        <f t="shared" si="447"/>
        <v>not an outlier</v>
      </c>
      <c r="H1728" s="8" t="str">
        <f t="shared" si="448"/>
        <v>Not</v>
      </c>
      <c r="I1728" s="8" t="str">
        <f t="shared" si="458"/>
        <v>no</v>
      </c>
      <c r="J1728" s="10" t="str">
        <f t="shared" si="449"/>
        <v>no</v>
      </c>
      <c r="K1728" s="10" t="str">
        <f t="shared" si="450"/>
        <v>no</v>
      </c>
      <c r="L1728" t="s">
        <v>288</v>
      </c>
      <c r="M1728">
        <v>10912</v>
      </c>
      <c r="N1728">
        <v>11</v>
      </c>
      <c r="O1728" t="s">
        <v>683</v>
      </c>
      <c r="P1728" t="str">
        <f t="shared" si="451"/>
        <v>HUNGO_10912_Queso Cabrales</v>
      </c>
      <c r="Q1728" t="str">
        <f t="shared" si="452"/>
        <v>10912</v>
      </c>
      <c r="R1728" t="str">
        <f t="shared" si="453"/>
        <v>10912</v>
      </c>
      <c r="S1728" t="str">
        <f t="shared" si="454"/>
        <v>Queso Cabrales</v>
      </c>
      <c r="T1728">
        <v>21</v>
      </c>
      <c r="U1728">
        <v>40</v>
      </c>
      <c r="V1728">
        <v>0.25</v>
      </c>
      <c r="W1728">
        <f t="shared" si="455"/>
        <v>630</v>
      </c>
      <c r="X1728" t="str">
        <f t="shared" si="456"/>
        <v>yes</v>
      </c>
      <c r="Y1728" s="2">
        <v>35152</v>
      </c>
      <c r="Z1728" t="str">
        <f t="shared" si="459"/>
        <v>1st Q 1996</v>
      </c>
      <c r="AA1728" t="str">
        <f t="shared" si="457"/>
        <v>1st Q 1996</v>
      </c>
      <c r="AB1728" t="str" cm="1">
        <f t="array" ref="AB1728">_xlfn.IFS(Y1728&lt;DATE(1996,1,1),"",Y1728&lt;DATE(1996,4,1),"Q1",Y1728&lt;DATE(1996,7,1),"Q2",Y1728&gt;=DATE(1996,7,1),"")</f>
        <v>Q1</v>
      </c>
    </row>
    <row r="1729" spans="1:28" ht="14.4" x14ac:dyDescent="0.55000000000000004">
      <c r="A1729" t="str">
        <f>VLOOKUP(L1729,Customers!$A$2:$B$92,2,FALSE)</f>
        <v>Hungry Owl All-Night Grocers</v>
      </c>
      <c r="B1729" t="str">
        <f>VLOOKUP(L1729,Customers!$A$2:$C$92,3,TRUE)</f>
        <v>Patricia McKenna</v>
      </c>
      <c r="C1729" t="str">
        <f t="shared" si="443"/>
        <v>Patricia</v>
      </c>
      <c r="D1729" s="8" t="str">
        <f t="shared" si="444"/>
        <v>McKenna</v>
      </c>
      <c r="E1729" s="8" t="str">
        <f t="shared" si="445"/>
        <v>McKenna, Patricia</v>
      </c>
      <c r="F1729" s="8" t="str">
        <f t="shared" si="446"/>
        <v>McKenna, Patricia</v>
      </c>
      <c r="G1729" s="8" t="str">
        <f t="shared" si="447"/>
        <v>outlier</v>
      </c>
      <c r="H1729" s="8" t="str">
        <f t="shared" si="448"/>
        <v>outlier</v>
      </c>
      <c r="I1729" s="8" t="str">
        <f t="shared" si="458"/>
        <v>yes</v>
      </c>
      <c r="J1729" s="10" t="str">
        <f t="shared" si="449"/>
        <v>yes</v>
      </c>
      <c r="K1729" s="10" t="str">
        <f t="shared" si="450"/>
        <v>yes</v>
      </c>
      <c r="L1729" t="s">
        <v>288</v>
      </c>
      <c r="M1729">
        <v>10912</v>
      </c>
      <c r="N1729">
        <v>29</v>
      </c>
      <c r="O1729" t="s">
        <v>722</v>
      </c>
      <c r="P1729" t="str">
        <f t="shared" si="451"/>
        <v>HUNGO_10912_Thüringer Rostbratwurst</v>
      </c>
      <c r="Q1729" t="str">
        <f t="shared" si="452"/>
        <v>10912</v>
      </c>
      <c r="R1729" t="str">
        <f t="shared" si="453"/>
        <v>10912</v>
      </c>
      <c r="S1729" t="str">
        <f t="shared" si="454"/>
        <v>Thüringer Rostbratwurst</v>
      </c>
      <c r="T1729">
        <v>123.79</v>
      </c>
      <c r="U1729">
        <v>60</v>
      </c>
      <c r="V1729">
        <v>0.25</v>
      </c>
      <c r="W1729">
        <f t="shared" si="455"/>
        <v>5570.55</v>
      </c>
      <c r="X1729" t="str">
        <f t="shared" si="456"/>
        <v>yes</v>
      </c>
      <c r="Y1729" s="2">
        <v>35152</v>
      </c>
      <c r="Z1729" t="str">
        <f t="shared" si="459"/>
        <v>1st Q 1996</v>
      </c>
      <c r="AA1729" t="str">
        <f t="shared" si="457"/>
        <v>1st Q 1996</v>
      </c>
      <c r="AB1729" t="str" cm="1">
        <f t="array" ref="AB1729">_xlfn.IFS(Y1729&lt;DATE(1996,1,1),"",Y1729&lt;DATE(1996,4,1),"Q1",Y1729&lt;DATE(1996,7,1),"Q2",Y1729&gt;=DATE(1996,7,1),"")</f>
        <v>Q1</v>
      </c>
    </row>
    <row r="1730" spans="1:28" ht="14.4" x14ac:dyDescent="0.55000000000000004">
      <c r="A1730" t="str">
        <f>VLOOKUP(L1730,Customers!$A$2:$B$92,2,FALSE)</f>
        <v>Queen Cozinha</v>
      </c>
      <c r="B1730" t="str">
        <f>VLOOKUP(L1730,Customers!$A$2:$C$92,3,TRUE)</f>
        <v>Lúcia Carvalho</v>
      </c>
      <c r="C1730" t="str">
        <f t="shared" si="443"/>
        <v>Lúcia</v>
      </c>
      <c r="D1730" s="8" t="str">
        <f t="shared" si="444"/>
        <v>Carvalho</v>
      </c>
      <c r="E1730" s="8" t="str">
        <f t="shared" si="445"/>
        <v>Carvalho, Lúcia</v>
      </c>
      <c r="F1730" s="8" t="str">
        <f t="shared" si="446"/>
        <v>Carvalho, Lúcia</v>
      </c>
      <c r="G1730" s="8" t="str">
        <f t="shared" si="447"/>
        <v>not an outlier</v>
      </c>
      <c r="H1730" s="8" t="str">
        <f t="shared" si="448"/>
        <v>Not</v>
      </c>
      <c r="I1730" s="8" t="str">
        <f t="shared" si="458"/>
        <v>no</v>
      </c>
      <c r="J1730" s="10" t="str">
        <f t="shared" si="449"/>
        <v>no</v>
      </c>
      <c r="K1730" s="10" t="str">
        <f t="shared" si="450"/>
        <v>no</v>
      </c>
      <c r="L1730" t="s">
        <v>469</v>
      </c>
      <c r="M1730">
        <v>10913</v>
      </c>
      <c r="N1730">
        <v>4</v>
      </c>
      <c r="O1730" t="s">
        <v>745</v>
      </c>
      <c r="P1730" t="str">
        <f t="shared" si="451"/>
        <v>QUEEN_10913_Chef Anton's Cajun Seasoning</v>
      </c>
      <c r="Q1730" t="str">
        <f t="shared" si="452"/>
        <v>10913</v>
      </c>
      <c r="R1730" t="str">
        <f t="shared" si="453"/>
        <v>10913</v>
      </c>
      <c r="S1730" t="str">
        <f t="shared" si="454"/>
        <v>Chef Anton's Cajun Seasoning</v>
      </c>
      <c r="T1730">
        <v>22</v>
      </c>
      <c r="U1730">
        <v>30</v>
      </c>
      <c r="V1730">
        <v>0.25</v>
      </c>
      <c r="W1730">
        <f t="shared" si="455"/>
        <v>495</v>
      </c>
      <c r="X1730" t="str">
        <f t="shared" si="456"/>
        <v>yes</v>
      </c>
      <c r="Y1730" s="2">
        <v>35152</v>
      </c>
      <c r="Z1730" t="str">
        <f t="shared" si="459"/>
        <v>1st Q 1996</v>
      </c>
      <c r="AA1730" t="str">
        <f t="shared" si="457"/>
        <v>1st Q 1996</v>
      </c>
      <c r="AB1730" t="str" cm="1">
        <f t="array" ref="AB1730">_xlfn.IFS(Y1730&lt;DATE(1996,1,1),"",Y1730&lt;DATE(1996,4,1),"Q1",Y1730&lt;DATE(1996,7,1),"Q2",Y1730&gt;=DATE(1996,7,1),"")</f>
        <v>Q1</v>
      </c>
    </row>
    <row r="1731" spans="1:28" ht="14.4" x14ac:dyDescent="0.55000000000000004">
      <c r="A1731" t="str">
        <f>VLOOKUP(L1731,Customers!$A$2:$B$92,2,FALSE)</f>
        <v>Queen Cozinha</v>
      </c>
      <c r="B1731" t="str">
        <f>VLOOKUP(L1731,Customers!$A$2:$C$92,3,TRUE)</f>
        <v>Lúcia Carvalho</v>
      </c>
      <c r="C1731" t="str">
        <f t="shared" ref="C1731:C1794" si="460">LEFT(B1731,FIND(" ",B1731)-1)</f>
        <v>Lúcia</v>
      </c>
      <c r="D1731" s="8" t="str">
        <f t="shared" ref="D1731:D1794" si="461">RIGHT(B1731,LEN(B1731)-FIND(" ",B1731))</f>
        <v>Carvalho</v>
      </c>
      <c r="E1731" s="8" t="str">
        <f t="shared" ref="E1731:E1794" si="462">_xlfn.CONCAT(D1731,", ",C1731)</f>
        <v>Carvalho, Lúcia</v>
      </c>
      <c r="F1731" s="8" t="str">
        <f t="shared" ref="F1731:F1794" si="463">D1731&amp;", "&amp;C1731</f>
        <v>Carvalho, Lúcia</v>
      </c>
      <c r="G1731" s="8" t="str">
        <f t="shared" ref="G1731:G1794" si="464">IF(OR(W1731&gt;$W$2166,W1731&lt;$W$2167),"outlier","not an outlier")</f>
        <v>not an outlier</v>
      </c>
      <c r="H1731" s="8" t="str">
        <f t="shared" ref="H1731:H1794" si="465">IF(OR(W1731&gt;$W$2166,W1731&lt;$W$2167),"outlier",IF(OR(W1731&gt;$W$2168,W1731&lt;$W$2169),"moderate","Not"))</f>
        <v>Not</v>
      </c>
      <c r="I1731" s="8" t="str">
        <f t="shared" si="458"/>
        <v>no</v>
      </c>
      <c r="J1731" s="10" t="str">
        <f t="shared" ref="J1731:J1794" si="466">IF(AND(W1731&lt;=$W$2166,W1731&gt;=$W$2167),"no","yes")</f>
        <v>no</v>
      </c>
      <c r="K1731" s="10" t="str">
        <f t="shared" ref="K1731:K1794" si="467">IF(OR(W1731&gt;$W$2166,W1731&lt;$W$2167),"yes",IF(OR(W1731&gt;$W$2168,W1731&lt;$W$2169),"moderate","no"))</f>
        <v>no</v>
      </c>
      <c r="L1731" t="s">
        <v>469</v>
      </c>
      <c r="M1731">
        <v>10913</v>
      </c>
      <c r="N1731">
        <v>33</v>
      </c>
      <c r="O1731" t="s">
        <v>693</v>
      </c>
      <c r="P1731" t="str">
        <f t="shared" ref="P1731:P1794" si="468">L1731&amp;"_"&amp;M1731&amp;"_"&amp;O1731</f>
        <v>QUEEN_10913_Geitost</v>
      </c>
      <c r="Q1731" t="str">
        <f t="shared" ref="Q1731:Q1794" si="469">LEFT(RIGHT(P1731,LEN(P1731)-FIND("_",P1731)), FIND("_",P1731)-1)</f>
        <v>10913</v>
      </c>
      <c r="R1731" t="str">
        <f t="shared" ref="R1731:R1794" si="470">MID(P1731,FIND("_",P1731)+1,FIND("_",P1731,FIND("_",P1731))-1)</f>
        <v>10913</v>
      </c>
      <c r="S1731" t="str">
        <f t="shared" ref="S1731:S1794" si="471">MID(P1731,FIND("_",P1731,FIND("_",P1731)+1)+1,LEN(P1731))</f>
        <v>Geitost</v>
      </c>
      <c r="T1731">
        <v>2.5</v>
      </c>
      <c r="U1731">
        <v>40</v>
      </c>
      <c r="V1731">
        <v>0.25</v>
      </c>
      <c r="W1731">
        <f t="shared" ref="W1731:W1794" si="472">T1731*U1731*(1-V1731)</f>
        <v>75</v>
      </c>
      <c r="X1731" t="str">
        <f t="shared" ref="X1731:X1794" si="473">IF(YEAR(Y1731)&gt;=1996,"yes","No")</f>
        <v>yes</v>
      </c>
      <c r="Y1731" s="2">
        <v>35152</v>
      </c>
      <c r="Z1731" t="str">
        <f t="shared" si="459"/>
        <v>1st Q 1996</v>
      </c>
      <c r="AA1731" t="str">
        <f t="shared" ref="AA1731:AA1794" si="474">IF(Y1731&lt;DATE(1996,1,1),"", IF(Y1731&lt;DATE(1996,4,1),"1st Q 1996",IF(Y1731&lt;DATE(1996,7,1),"2nd Q 1996","")))</f>
        <v>1st Q 1996</v>
      </c>
      <c r="AB1731" t="str" cm="1">
        <f t="array" ref="AB1731">_xlfn.IFS(Y1731&lt;DATE(1996,1,1),"",Y1731&lt;DATE(1996,4,1),"Q1",Y1731&lt;DATE(1996,7,1),"Q2",Y1731&gt;=DATE(1996,7,1),"")</f>
        <v>Q1</v>
      </c>
    </row>
    <row r="1732" spans="1:28" ht="14.4" x14ac:dyDescent="0.55000000000000004">
      <c r="A1732" t="str">
        <f>VLOOKUP(L1732,Customers!$A$2:$B$92,2,FALSE)</f>
        <v>Queen Cozinha</v>
      </c>
      <c r="B1732" t="str">
        <f>VLOOKUP(L1732,Customers!$A$2:$C$92,3,TRUE)</f>
        <v>Lúcia Carvalho</v>
      </c>
      <c r="C1732" t="str">
        <f t="shared" si="460"/>
        <v>Lúcia</v>
      </c>
      <c r="D1732" s="8" t="str">
        <f t="shared" si="461"/>
        <v>Carvalho</v>
      </c>
      <c r="E1732" s="8" t="str">
        <f t="shared" si="462"/>
        <v>Carvalho, Lúcia</v>
      </c>
      <c r="F1732" s="8" t="str">
        <f t="shared" si="463"/>
        <v>Carvalho, Lúcia</v>
      </c>
      <c r="G1732" s="8" t="str">
        <f t="shared" si="464"/>
        <v>not an outlier</v>
      </c>
      <c r="H1732" s="8" t="str">
        <f t="shared" si="465"/>
        <v>Not</v>
      </c>
      <c r="I1732" s="8" t="str">
        <f t="shared" ref="I1732:I1795" si="475">IF(OR(W1732&gt;$W$2166,W1732&lt;$W$2167),"yes","no")</f>
        <v>no</v>
      </c>
      <c r="J1732" s="10" t="str">
        <f t="shared" si="466"/>
        <v>no</v>
      </c>
      <c r="K1732" s="10" t="str">
        <f t="shared" si="467"/>
        <v>no</v>
      </c>
      <c r="L1732" t="s">
        <v>469</v>
      </c>
      <c r="M1732">
        <v>10913</v>
      </c>
      <c r="N1732">
        <v>58</v>
      </c>
      <c r="O1732" t="s">
        <v>747</v>
      </c>
      <c r="P1732" t="str">
        <f t="shared" si="468"/>
        <v>QUEEN_10913_Escargots de Bourgogne</v>
      </c>
      <c r="Q1732" t="str">
        <f t="shared" si="469"/>
        <v>10913</v>
      </c>
      <c r="R1732" t="str">
        <f t="shared" si="470"/>
        <v>10913</v>
      </c>
      <c r="S1732" t="str">
        <f t="shared" si="471"/>
        <v>Escargots de Bourgogne</v>
      </c>
      <c r="T1732">
        <v>13.25</v>
      </c>
      <c r="U1732">
        <v>15</v>
      </c>
      <c r="V1732">
        <v>0</v>
      </c>
      <c r="W1732">
        <f t="shared" si="472"/>
        <v>198.75</v>
      </c>
      <c r="X1732" t="str">
        <f t="shared" si="473"/>
        <v>yes</v>
      </c>
      <c r="Y1732" s="2">
        <v>35152</v>
      </c>
      <c r="Z1732" t="str">
        <f t="shared" si="459"/>
        <v>1st Q 1996</v>
      </c>
      <c r="AA1732" t="str">
        <f t="shared" si="474"/>
        <v>1st Q 1996</v>
      </c>
      <c r="AB1732" t="str" cm="1">
        <f t="array" ref="AB1732">_xlfn.IFS(Y1732&lt;DATE(1996,1,1),"",Y1732&lt;DATE(1996,4,1),"Q1",Y1732&lt;DATE(1996,7,1),"Q2",Y1732&gt;=DATE(1996,7,1),"")</f>
        <v>Q1</v>
      </c>
    </row>
    <row r="1733" spans="1:28" ht="14.4" x14ac:dyDescent="0.55000000000000004">
      <c r="A1733" t="str">
        <f>VLOOKUP(L1733,Customers!$A$2:$B$92,2,FALSE)</f>
        <v>Queen Cozinha</v>
      </c>
      <c r="B1733" t="str">
        <f>VLOOKUP(L1733,Customers!$A$2:$C$92,3,TRUE)</f>
        <v>Lúcia Carvalho</v>
      </c>
      <c r="C1733" t="str">
        <f t="shared" si="460"/>
        <v>Lúcia</v>
      </c>
      <c r="D1733" s="8" t="str">
        <f t="shared" si="461"/>
        <v>Carvalho</v>
      </c>
      <c r="E1733" s="8" t="str">
        <f t="shared" si="462"/>
        <v>Carvalho, Lúcia</v>
      </c>
      <c r="F1733" s="8" t="str">
        <f t="shared" si="463"/>
        <v>Carvalho, Lúcia</v>
      </c>
      <c r="G1733" s="8" t="str">
        <f t="shared" si="464"/>
        <v>not an outlier</v>
      </c>
      <c r="H1733" s="8" t="str">
        <f t="shared" si="465"/>
        <v>Not</v>
      </c>
      <c r="I1733" s="8" t="str">
        <f t="shared" si="475"/>
        <v>no</v>
      </c>
      <c r="J1733" s="10" t="str">
        <f t="shared" si="466"/>
        <v>no</v>
      </c>
      <c r="K1733" s="10" t="str">
        <f t="shared" si="467"/>
        <v>no</v>
      </c>
      <c r="L1733" t="s">
        <v>469</v>
      </c>
      <c r="M1733">
        <v>10914</v>
      </c>
      <c r="N1733">
        <v>71</v>
      </c>
      <c r="O1733" t="s">
        <v>725</v>
      </c>
      <c r="P1733" t="str">
        <f t="shared" si="468"/>
        <v>QUEEN_10914_Fløtemysost</v>
      </c>
      <c r="Q1733" t="str">
        <f t="shared" si="469"/>
        <v>10914</v>
      </c>
      <c r="R1733" t="str">
        <f t="shared" si="470"/>
        <v>10914</v>
      </c>
      <c r="S1733" t="str">
        <f t="shared" si="471"/>
        <v>Fløtemysost</v>
      </c>
      <c r="T1733">
        <v>21.5</v>
      </c>
      <c r="U1733">
        <v>25</v>
      </c>
      <c r="V1733">
        <v>0</v>
      </c>
      <c r="W1733">
        <f t="shared" si="472"/>
        <v>537.5</v>
      </c>
      <c r="X1733" t="str">
        <f t="shared" si="473"/>
        <v>yes</v>
      </c>
      <c r="Y1733" s="2">
        <v>35153</v>
      </c>
      <c r="Z1733" t="str">
        <f t="shared" si="459"/>
        <v>1st Q 1996</v>
      </c>
      <c r="AA1733" t="str">
        <f t="shared" si="474"/>
        <v>1st Q 1996</v>
      </c>
      <c r="AB1733" t="str" cm="1">
        <f t="array" ref="AB1733">_xlfn.IFS(Y1733&lt;DATE(1996,1,1),"",Y1733&lt;DATE(1996,4,1),"Q1",Y1733&lt;DATE(1996,7,1),"Q2",Y1733&gt;=DATE(1996,7,1),"")</f>
        <v>Q1</v>
      </c>
    </row>
    <row r="1734" spans="1:28" ht="14.4" x14ac:dyDescent="0.55000000000000004">
      <c r="A1734" t="str">
        <f>VLOOKUP(L1734,Customers!$A$2:$B$92,2,FALSE)</f>
        <v>Tortuga Restaurante</v>
      </c>
      <c r="B1734" t="str">
        <f>VLOOKUP(L1734,Customers!$A$2:$C$92,3,TRUE)</f>
        <v>Miguel Angel Paolino</v>
      </c>
      <c r="C1734" t="str">
        <f t="shared" si="460"/>
        <v>Miguel</v>
      </c>
      <c r="D1734" s="8" t="str">
        <f t="shared" si="461"/>
        <v>Angel Paolino</v>
      </c>
      <c r="E1734" s="8" t="str">
        <f t="shared" si="462"/>
        <v>Angel Paolino, Miguel</v>
      </c>
      <c r="F1734" s="8" t="str">
        <f t="shared" si="463"/>
        <v>Angel Paolino, Miguel</v>
      </c>
      <c r="G1734" s="8" t="str">
        <f t="shared" si="464"/>
        <v>not an outlier</v>
      </c>
      <c r="H1734" s="8" t="str">
        <f t="shared" si="465"/>
        <v>Not</v>
      </c>
      <c r="I1734" s="8" t="str">
        <f t="shared" si="475"/>
        <v>no</v>
      </c>
      <c r="J1734" s="10" t="str">
        <f t="shared" si="466"/>
        <v>no</v>
      </c>
      <c r="K1734" s="10" t="str">
        <f t="shared" si="467"/>
        <v>no</v>
      </c>
      <c r="L1734" t="s">
        <v>593</v>
      </c>
      <c r="M1734">
        <v>10915</v>
      </c>
      <c r="N1734">
        <v>17</v>
      </c>
      <c r="O1734" t="s">
        <v>718</v>
      </c>
      <c r="P1734" t="str">
        <f t="shared" si="468"/>
        <v>TORTU_10915_Alice Mutton</v>
      </c>
      <c r="Q1734" t="str">
        <f t="shared" si="469"/>
        <v>10915</v>
      </c>
      <c r="R1734" t="str">
        <f t="shared" si="470"/>
        <v>10915</v>
      </c>
      <c r="S1734" t="str">
        <f t="shared" si="471"/>
        <v>Alice Mutton</v>
      </c>
      <c r="T1734">
        <v>39</v>
      </c>
      <c r="U1734">
        <v>10</v>
      </c>
      <c r="V1734">
        <v>0</v>
      </c>
      <c r="W1734">
        <f t="shared" si="472"/>
        <v>390</v>
      </c>
      <c r="X1734" t="str">
        <f t="shared" si="473"/>
        <v>yes</v>
      </c>
      <c r="Y1734" s="2">
        <v>35153</v>
      </c>
      <c r="Z1734" t="str">
        <f t="shared" si="459"/>
        <v>1st Q 1996</v>
      </c>
      <c r="AA1734" t="str">
        <f t="shared" si="474"/>
        <v>1st Q 1996</v>
      </c>
      <c r="AB1734" t="str" cm="1">
        <f t="array" ref="AB1734">_xlfn.IFS(Y1734&lt;DATE(1996,1,1),"",Y1734&lt;DATE(1996,4,1),"Q1",Y1734&lt;DATE(1996,7,1),"Q2",Y1734&gt;=DATE(1996,7,1),"")</f>
        <v>Q1</v>
      </c>
    </row>
    <row r="1735" spans="1:28" ht="14.4" x14ac:dyDescent="0.55000000000000004">
      <c r="A1735" t="str">
        <f>VLOOKUP(L1735,Customers!$A$2:$B$92,2,FALSE)</f>
        <v>Tortuga Restaurante</v>
      </c>
      <c r="B1735" t="str">
        <f>VLOOKUP(L1735,Customers!$A$2:$C$92,3,TRUE)</f>
        <v>Miguel Angel Paolino</v>
      </c>
      <c r="C1735" t="str">
        <f t="shared" si="460"/>
        <v>Miguel</v>
      </c>
      <c r="D1735" s="8" t="str">
        <f t="shared" si="461"/>
        <v>Angel Paolino</v>
      </c>
      <c r="E1735" s="8" t="str">
        <f t="shared" si="462"/>
        <v>Angel Paolino, Miguel</v>
      </c>
      <c r="F1735" s="8" t="str">
        <f t="shared" si="463"/>
        <v>Angel Paolino, Miguel</v>
      </c>
      <c r="G1735" s="8" t="str">
        <f t="shared" si="464"/>
        <v>not an outlier</v>
      </c>
      <c r="H1735" s="8" t="str">
        <f t="shared" si="465"/>
        <v>Not</v>
      </c>
      <c r="I1735" s="8" t="str">
        <f t="shared" si="475"/>
        <v>no</v>
      </c>
      <c r="J1735" s="10" t="str">
        <f t="shared" si="466"/>
        <v>no</v>
      </c>
      <c r="K1735" s="10" t="str">
        <f t="shared" si="467"/>
        <v>no</v>
      </c>
      <c r="L1735" t="s">
        <v>593</v>
      </c>
      <c r="M1735">
        <v>10915</v>
      </c>
      <c r="N1735">
        <v>33</v>
      </c>
      <c r="O1735" t="s">
        <v>693</v>
      </c>
      <c r="P1735" t="str">
        <f t="shared" si="468"/>
        <v>TORTU_10915_Geitost</v>
      </c>
      <c r="Q1735" t="str">
        <f t="shared" si="469"/>
        <v>10915</v>
      </c>
      <c r="R1735" t="str">
        <f t="shared" si="470"/>
        <v>10915</v>
      </c>
      <c r="S1735" t="str">
        <f t="shared" si="471"/>
        <v>Geitost</v>
      </c>
      <c r="T1735">
        <v>2.5</v>
      </c>
      <c r="U1735">
        <v>30</v>
      </c>
      <c r="V1735">
        <v>0</v>
      </c>
      <c r="W1735">
        <f t="shared" si="472"/>
        <v>75</v>
      </c>
      <c r="X1735" t="str">
        <f t="shared" si="473"/>
        <v>yes</v>
      </c>
      <c r="Y1735" s="2">
        <v>35153</v>
      </c>
      <c r="Z1735" t="str">
        <f t="shared" si="459"/>
        <v>1st Q 1996</v>
      </c>
      <c r="AA1735" t="str">
        <f t="shared" si="474"/>
        <v>1st Q 1996</v>
      </c>
      <c r="AB1735" t="str" cm="1">
        <f t="array" ref="AB1735">_xlfn.IFS(Y1735&lt;DATE(1996,1,1),"",Y1735&lt;DATE(1996,4,1),"Q1",Y1735&lt;DATE(1996,7,1),"Q2",Y1735&gt;=DATE(1996,7,1),"")</f>
        <v>Q1</v>
      </c>
    </row>
    <row r="1736" spans="1:28" ht="14.4" x14ac:dyDescent="0.55000000000000004">
      <c r="A1736" t="str">
        <f>VLOOKUP(L1736,Customers!$A$2:$B$92,2,FALSE)</f>
        <v>Tortuga Restaurante</v>
      </c>
      <c r="B1736" t="str">
        <f>VLOOKUP(L1736,Customers!$A$2:$C$92,3,TRUE)</f>
        <v>Miguel Angel Paolino</v>
      </c>
      <c r="C1736" t="str">
        <f t="shared" si="460"/>
        <v>Miguel</v>
      </c>
      <c r="D1736" s="8" t="str">
        <f t="shared" si="461"/>
        <v>Angel Paolino</v>
      </c>
      <c r="E1736" s="8" t="str">
        <f t="shared" si="462"/>
        <v>Angel Paolino, Miguel</v>
      </c>
      <c r="F1736" s="8" t="str">
        <f t="shared" si="463"/>
        <v>Angel Paolino, Miguel</v>
      </c>
      <c r="G1736" s="8" t="str">
        <f t="shared" si="464"/>
        <v>not an outlier</v>
      </c>
      <c r="H1736" s="8" t="str">
        <f t="shared" si="465"/>
        <v>Not</v>
      </c>
      <c r="I1736" s="8" t="str">
        <f t="shared" si="475"/>
        <v>no</v>
      </c>
      <c r="J1736" s="10" t="str">
        <f t="shared" si="466"/>
        <v>no</v>
      </c>
      <c r="K1736" s="10" t="str">
        <f t="shared" si="467"/>
        <v>no</v>
      </c>
      <c r="L1736" t="s">
        <v>593</v>
      </c>
      <c r="M1736">
        <v>10915</v>
      </c>
      <c r="N1736">
        <v>54</v>
      </c>
      <c r="O1736" t="s">
        <v>738</v>
      </c>
      <c r="P1736" t="str">
        <f t="shared" si="468"/>
        <v>TORTU_10915_Tourtière</v>
      </c>
      <c r="Q1736" t="str">
        <f t="shared" si="469"/>
        <v>10915</v>
      </c>
      <c r="R1736" t="str">
        <f t="shared" si="470"/>
        <v>10915</v>
      </c>
      <c r="S1736" t="str">
        <f t="shared" si="471"/>
        <v>Tourtière</v>
      </c>
      <c r="T1736">
        <v>7.45</v>
      </c>
      <c r="U1736">
        <v>10</v>
      </c>
      <c r="V1736">
        <v>0</v>
      </c>
      <c r="W1736">
        <f t="shared" si="472"/>
        <v>74.5</v>
      </c>
      <c r="X1736" t="str">
        <f t="shared" si="473"/>
        <v>yes</v>
      </c>
      <c r="Y1736" s="2">
        <v>35153</v>
      </c>
      <c r="Z1736" t="str">
        <f t="shared" si="459"/>
        <v>1st Q 1996</v>
      </c>
      <c r="AA1736" t="str">
        <f t="shared" si="474"/>
        <v>1st Q 1996</v>
      </c>
      <c r="AB1736" t="str" cm="1">
        <f t="array" ref="AB1736">_xlfn.IFS(Y1736&lt;DATE(1996,1,1),"",Y1736&lt;DATE(1996,4,1),"Q1",Y1736&lt;DATE(1996,7,1),"Q2",Y1736&gt;=DATE(1996,7,1),"")</f>
        <v>Q1</v>
      </c>
    </row>
    <row r="1737" spans="1:28" ht="14.4" x14ac:dyDescent="0.55000000000000004">
      <c r="A1737" t="str">
        <f>VLOOKUP(L1737,Customers!$A$2:$B$92,2,FALSE)</f>
        <v>Rancho grande</v>
      </c>
      <c r="B1737" t="str">
        <f>VLOOKUP(L1737,Customers!$A$2:$C$92,3,TRUE)</f>
        <v>Sergio Gutiérrez</v>
      </c>
      <c r="C1737" t="str">
        <f t="shared" si="460"/>
        <v>Sergio</v>
      </c>
      <c r="D1737" s="8" t="str">
        <f t="shared" si="461"/>
        <v>Gutiérrez</v>
      </c>
      <c r="E1737" s="8" t="str">
        <f t="shared" si="462"/>
        <v>Gutiérrez, Sergio</v>
      </c>
      <c r="F1737" s="8" t="str">
        <f t="shared" si="463"/>
        <v>Gutiérrez, Sergio</v>
      </c>
      <c r="G1737" s="8" t="str">
        <f t="shared" si="464"/>
        <v>not an outlier</v>
      </c>
      <c r="H1737" s="8" t="str">
        <f t="shared" si="465"/>
        <v>Not</v>
      </c>
      <c r="I1737" s="8" t="str">
        <f t="shared" si="475"/>
        <v>no</v>
      </c>
      <c r="J1737" s="10" t="str">
        <f t="shared" si="466"/>
        <v>no</v>
      </c>
      <c r="K1737" s="10" t="str">
        <f t="shared" si="467"/>
        <v>no</v>
      </c>
      <c r="L1737" t="s">
        <v>481</v>
      </c>
      <c r="M1737">
        <v>10916</v>
      </c>
      <c r="N1737">
        <v>16</v>
      </c>
      <c r="O1737" t="s">
        <v>702</v>
      </c>
      <c r="P1737" t="str">
        <f t="shared" si="468"/>
        <v>RANCH_10916_Pavlova</v>
      </c>
      <c r="Q1737" t="str">
        <f t="shared" si="469"/>
        <v>10916</v>
      </c>
      <c r="R1737" t="str">
        <f t="shared" si="470"/>
        <v>10916</v>
      </c>
      <c r="S1737" t="str">
        <f t="shared" si="471"/>
        <v>Pavlova</v>
      </c>
      <c r="T1737">
        <v>17.45</v>
      </c>
      <c r="U1737">
        <v>6</v>
      </c>
      <c r="V1737">
        <v>0</v>
      </c>
      <c r="W1737">
        <f t="shared" si="472"/>
        <v>104.69999999999999</v>
      </c>
      <c r="X1737" t="str">
        <f t="shared" si="473"/>
        <v>yes</v>
      </c>
      <c r="Y1737" s="2">
        <v>35153</v>
      </c>
      <c r="Z1737" t="str">
        <f t="shared" si="459"/>
        <v>1st Q 1996</v>
      </c>
      <c r="AA1737" t="str">
        <f t="shared" si="474"/>
        <v>1st Q 1996</v>
      </c>
      <c r="AB1737" t="str" cm="1">
        <f t="array" ref="AB1737">_xlfn.IFS(Y1737&lt;DATE(1996,1,1),"",Y1737&lt;DATE(1996,4,1),"Q1",Y1737&lt;DATE(1996,7,1),"Q2",Y1737&gt;=DATE(1996,7,1),"")</f>
        <v>Q1</v>
      </c>
    </row>
    <row r="1738" spans="1:28" ht="14.4" x14ac:dyDescent="0.55000000000000004">
      <c r="A1738" t="str">
        <f>VLOOKUP(L1738,Customers!$A$2:$B$92,2,FALSE)</f>
        <v>Rancho grande</v>
      </c>
      <c r="B1738" t="str">
        <f>VLOOKUP(L1738,Customers!$A$2:$C$92,3,TRUE)</f>
        <v>Sergio Gutiérrez</v>
      </c>
      <c r="C1738" t="str">
        <f t="shared" si="460"/>
        <v>Sergio</v>
      </c>
      <c r="D1738" s="8" t="str">
        <f t="shared" si="461"/>
        <v>Gutiérrez</v>
      </c>
      <c r="E1738" s="8" t="str">
        <f t="shared" si="462"/>
        <v>Gutiérrez, Sergio</v>
      </c>
      <c r="F1738" s="8" t="str">
        <f t="shared" si="463"/>
        <v>Gutiérrez, Sergio</v>
      </c>
      <c r="G1738" s="8" t="str">
        <f t="shared" si="464"/>
        <v>not an outlier</v>
      </c>
      <c r="H1738" s="8" t="str">
        <f t="shared" si="465"/>
        <v>Not</v>
      </c>
      <c r="I1738" s="8" t="str">
        <f t="shared" si="475"/>
        <v>no</v>
      </c>
      <c r="J1738" s="10" t="str">
        <f t="shared" si="466"/>
        <v>no</v>
      </c>
      <c r="K1738" s="10" t="str">
        <f t="shared" si="467"/>
        <v>no</v>
      </c>
      <c r="L1738" t="s">
        <v>481</v>
      </c>
      <c r="M1738">
        <v>10916</v>
      </c>
      <c r="N1738">
        <v>32</v>
      </c>
      <c r="O1738" t="s">
        <v>709</v>
      </c>
      <c r="P1738" t="str">
        <f t="shared" si="468"/>
        <v>RANCH_10916_Mascarpone Fabioli</v>
      </c>
      <c r="Q1738" t="str">
        <f t="shared" si="469"/>
        <v>10916</v>
      </c>
      <c r="R1738" t="str">
        <f t="shared" si="470"/>
        <v>10916</v>
      </c>
      <c r="S1738" t="str">
        <f t="shared" si="471"/>
        <v>Mascarpone Fabioli</v>
      </c>
      <c r="T1738">
        <v>32</v>
      </c>
      <c r="U1738">
        <v>6</v>
      </c>
      <c r="V1738">
        <v>0</v>
      </c>
      <c r="W1738">
        <f t="shared" si="472"/>
        <v>192</v>
      </c>
      <c r="X1738" t="str">
        <f t="shared" si="473"/>
        <v>yes</v>
      </c>
      <c r="Y1738" s="2">
        <v>35153</v>
      </c>
      <c r="Z1738" t="str">
        <f t="shared" si="459"/>
        <v>1st Q 1996</v>
      </c>
      <c r="AA1738" t="str">
        <f t="shared" si="474"/>
        <v>1st Q 1996</v>
      </c>
      <c r="AB1738" t="str" cm="1">
        <f t="array" ref="AB1738">_xlfn.IFS(Y1738&lt;DATE(1996,1,1),"",Y1738&lt;DATE(1996,4,1),"Q1",Y1738&lt;DATE(1996,7,1),"Q2",Y1738&gt;=DATE(1996,7,1),"")</f>
        <v>Q1</v>
      </c>
    </row>
    <row r="1739" spans="1:28" ht="14.4" x14ac:dyDescent="0.55000000000000004">
      <c r="A1739" t="str">
        <f>VLOOKUP(L1739,Customers!$A$2:$B$92,2,FALSE)</f>
        <v>Rancho grande</v>
      </c>
      <c r="B1739" t="str">
        <f>VLOOKUP(L1739,Customers!$A$2:$C$92,3,TRUE)</f>
        <v>Sergio Gutiérrez</v>
      </c>
      <c r="C1739" t="str">
        <f t="shared" si="460"/>
        <v>Sergio</v>
      </c>
      <c r="D1739" s="8" t="str">
        <f t="shared" si="461"/>
        <v>Gutiérrez</v>
      </c>
      <c r="E1739" s="8" t="str">
        <f t="shared" si="462"/>
        <v>Gutiérrez, Sergio</v>
      </c>
      <c r="F1739" s="8" t="str">
        <f t="shared" si="463"/>
        <v>Gutiérrez, Sergio</v>
      </c>
      <c r="G1739" s="8" t="str">
        <f t="shared" si="464"/>
        <v>not an outlier</v>
      </c>
      <c r="H1739" s="8" t="str">
        <f t="shared" si="465"/>
        <v>Not</v>
      </c>
      <c r="I1739" s="8" t="str">
        <f t="shared" si="475"/>
        <v>no</v>
      </c>
      <c r="J1739" s="10" t="str">
        <f t="shared" si="466"/>
        <v>no</v>
      </c>
      <c r="K1739" s="10" t="str">
        <f t="shared" si="467"/>
        <v>no</v>
      </c>
      <c r="L1739" t="s">
        <v>481</v>
      </c>
      <c r="M1739">
        <v>10916</v>
      </c>
      <c r="N1739">
        <v>57</v>
      </c>
      <c r="O1739" t="s">
        <v>691</v>
      </c>
      <c r="P1739" t="str">
        <f t="shared" si="468"/>
        <v>RANCH_10916_Ravioli Angelo</v>
      </c>
      <c r="Q1739" t="str">
        <f t="shared" si="469"/>
        <v>10916</v>
      </c>
      <c r="R1739" t="str">
        <f t="shared" si="470"/>
        <v>10916</v>
      </c>
      <c r="S1739" t="str">
        <f t="shared" si="471"/>
        <v>Ravioli Angelo</v>
      </c>
      <c r="T1739">
        <v>19.5</v>
      </c>
      <c r="U1739">
        <v>20</v>
      </c>
      <c r="V1739">
        <v>0</v>
      </c>
      <c r="W1739">
        <f t="shared" si="472"/>
        <v>390</v>
      </c>
      <c r="X1739" t="str">
        <f t="shared" si="473"/>
        <v>yes</v>
      </c>
      <c r="Y1739" s="2">
        <v>35153</v>
      </c>
      <c r="Z1739" t="str">
        <f t="shared" si="459"/>
        <v>1st Q 1996</v>
      </c>
      <c r="AA1739" t="str">
        <f t="shared" si="474"/>
        <v>1st Q 1996</v>
      </c>
      <c r="AB1739" t="str" cm="1">
        <f t="array" ref="AB1739">_xlfn.IFS(Y1739&lt;DATE(1996,1,1),"",Y1739&lt;DATE(1996,4,1),"Q1",Y1739&lt;DATE(1996,7,1),"Q2",Y1739&gt;=DATE(1996,7,1),"")</f>
        <v>Q1</v>
      </c>
    </row>
    <row r="1740" spans="1:28" ht="14.4" x14ac:dyDescent="0.55000000000000004">
      <c r="A1740" t="str">
        <f>VLOOKUP(L1740,Customers!$A$2:$B$92,2,FALSE)</f>
        <v>Romero y tomillo</v>
      </c>
      <c r="B1740" t="str">
        <f>VLOOKUP(L1740,Customers!$A$2:$C$92,3,TRUE)</f>
        <v>Alejandra Camino</v>
      </c>
      <c r="C1740" t="str">
        <f t="shared" si="460"/>
        <v>Alejandra</v>
      </c>
      <c r="D1740" s="8" t="str">
        <f t="shared" si="461"/>
        <v>Camino</v>
      </c>
      <c r="E1740" s="8" t="str">
        <f t="shared" si="462"/>
        <v>Camino, Alejandra</v>
      </c>
      <c r="F1740" s="8" t="str">
        <f t="shared" si="463"/>
        <v>Camino, Alejandra</v>
      </c>
      <c r="G1740" s="8" t="str">
        <f t="shared" si="464"/>
        <v>not an outlier</v>
      </c>
      <c r="H1740" s="8" t="str">
        <f t="shared" si="465"/>
        <v>Not</v>
      </c>
      <c r="I1740" s="8" t="str">
        <f t="shared" si="475"/>
        <v>no</v>
      </c>
      <c r="J1740" s="10" t="str">
        <f t="shared" si="466"/>
        <v>no</v>
      </c>
      <c r="K1740" s="10" t="str">
        <f t="shared" si="467"/>
        <v>no</v>
      </c>
      <c r="L1740" t="s">
        <v>515</v>
      </c>
      <c r="M1740">
        <v>10917</v>
      </c>
      <c r="N1740">
        <v>30</v>
      </c>
      <c r="O1740" t="s">
        <v>717</v>
      </c>
      <c r="P1740" t="str">
        <f t="shared" si="468"/>
        <v>ROMEY_10917_Nord-Ost Matjeshering</v>
      </c>
      <c r="Q1740" t="str">
        <f t="shared" si="469"/>
        <v>10917</v>
      </c>
      <c r="R1740" t="str">
        <f t="shared" si="470"/>
        <v>10917</v>
      </c>
      <c r="S1740" t="str">
        <f t="shared" si="471"/>
        <v>Nord-Ost Matjeshering</v>
      </c>
      <c r="T1740">
        <v>25.89</v>
      </c>
      <c r="U1740">
        <v>1</v>
      </c>
      <c r="V1740">
        <v>0</v>
      </c>
      <c r="W1740">
        <f t="shared" si="472"/>
        <v>25.89</v>
      </c>
      <c r="X1740" t="str">
        <f t="shared" si="473"/>
        <v>yes</v>
      </c>
      <c r="Y1740" s="2">
        <v>35156</v>
      </c>
      <c r="Z1740" t="str">
        <f t="shared" si="459"/>
        <v/>
      </c>
      <c r="AA1740" t="str">
        <f t="shared" si="474"/>
        <v>2nd Q 1996</v>
      </c>
      <c r="AB1740" t="str" cm="1">
        <f t="array" ref="AB1740">_xlfn.IFS(Y1740&lt;DATE(1996,1,1),"",Y1740&lt;DATE(1996,4,1),"Q1",Y1740&lt;DATE(1996,7,1),"Q2",Y1740&gt;=DATE(1996,7,1),"")</f>
        <v>Q2</v>
      </c>
    </row>
    <row r="1741" spans="1:28" ht="14.4" x14ac:dyDescent="0.55000000000000004">
      <c r="A1741" t="str">
        <f>VLOOKUP(L1741,Customers!$A$2:$B$92,2,FALSE)</f>
        <v>Romero y tomillo</v>
      </c>
      <c r="B1741" t="str">
        <f>VLOOKUP(L1741,Customers!$A$2:$C$92,3,TRUE)</f>
        <v>Alejandra Camino</v>
      </c>
      <c r="C1741" t="str">
        <f t="shared" si="460"/>
        <v>Alejandra</v>
      </c>
      <c r="D1741" s="8" t="str">
        <f t="shared" si="461"/>
        <v>Camino</v>
      </c>
      <c r="E1741" s="8" t="str">
        <f t="shared" si="462"/>
        <v>Camino, Alejandra</v>
      </c>
      <c r="F1741" s="8" t="str">
        <f t="shared" si="463"/>
        <v>Camino, Alejandra</v>
      </c>
      <c r="G1741" s="8" t="str">
        <f t="shared" si="464"/>
        <v>not an outlier</v>
      </c>
      <c r="H1741" s="8" t="str">
        <f t="shared" si="465"/>
        <v>Not</v>
      </c>
      <c r="I1741" s="8" t="str">
        <f t="shared" si="475"/>
        <v>no</v>
      </c>
      <c r="J1741" s="10" t="str">
        <f t="shared" si="466"/>
        <v>no</v>
      </c>
      <c r="K1741" s="10" t="str">
        <f t="shared" si="467"/>
        <v>no</v>
      </c>
      <c r="L1741" t="s">
        <v>515</v>
      </c>
      <c r="M1741">
        <v>10917</v>
      </c>
      <c r="N1741">
        <v>60</v>
      </c>
      <c r="O1741" t="s">
        <v>694</v>
      </c>
      <c r="P1741" t="str">
        <f t="shared" si="468"/>
        <v>ROMEY_10917_Camembert Pierrot</v>
      </c>
      <c r="Q1741" t="str">
        <f t="shared" si="469"/>
        <v>10917</v>
      </c>
      <c r="R1741" t="str">
        <f t="shared" si="470"/>
        <v>10917</v>
      </c>
      <c r="S1741" t="str">
        <f t="shared" si="471"/>
        <v>Camembert Pierrot</v>
      </c>
      <c r="T1741">
        <v>34</v>
      </c>
      <c r="U1741">
        <v>10</v>
      </c>
      <c r="V1741">
        <v>0</v>
      </c>
      <c r="W1741">
        <f t="shared" si="472"/>
        <v>340</v>
      </c>
      <c r="X1741" t="str">
        <f t="shared" si="473"/>
        <v>yes</v>
      </c>
      <c r="Y1741" s="2">
        <v>35156</v>
      </c>
      <c r="Z1741" t="str">
        <f t="shared" si="459"/>
        <v/>
      </c>
      <c r="AA1741" t="str">
        <f t="shared" si="474"/>
        <v>2nd Q 1996</v>
      </c>
      <c r="AB1741" t="str" cm="1">
        <f t="array" ref="AB1741">_xlfn.IFS(Y1741&lt;DATE(1996,1,1),"",Y1741&lt;DATE(1996,4,1),"Q1",Y1741&lt;DATE(1996,7,1),"Q2",Y1741&gt;=DATE(1996,7,1),"")</f>
        <v>Q2</v>
      </c>
    </row>
    <row r="1742" spans="1:28" ht="14.4" x14ac:dyDescent="0.55000000000000004">
      <c r="A1742" t="str">
        <f>VLOOKUP(L1742,Customers!$A$2:$B$92,2,FALSE)</f>
        <v>Bottom-Dollar Markets</v>
      </c>
      <c r="B1742" t="str">
        <f>VLOOKUP(L1742,Customers!$A$2:$C$92,3,TRUE)</f>
        <v>Elizabeth Lincoln</v>
      </c>
      <c r="C1742" t="str">
        <f t="shared" si="460"/>
        <v>Elizabeth</v>
      </c>
      <c r="D1742" s="8" t="str">
        <f t="shared" si="461"/>
        <v>Lincoln</v>
      </c>
      <c r="E1742" s="8" t="str">
        <f t="shared" si="462"/>
        <v>Lincoln, Elizabeth</v>
      </c>
      <c r="F1742" s="8" t="str">
        <f t="shared" si="463"/>
        <v>Lincoln, Elizabeth</v>
      </c>
      <c r="G1742" s="8" t="str">
        <f t="shared" si="464"/>
        <v>not an outlier</v>
      </c>
      <c r="H1742" s="8" t="str">
        <f t="shared" si="465"/>
        <v>Not</v>
      </c>
      <c r="I1742" s="8" t="str">
        <f t="shared" si="475"/>
        <v>no</v>
      </c>
      <c r="J1742" s="10" t="str">
        <f t="shared" si="466"/>
        <v>no</v>
      </c>
      <c r="K1742" s="10" t="str">
        <f t="shared" si="467"/>
        <v>no</v>
      </c>
      <c r="L1742" t="s">
        <v>84</v>
      </c>
      <c r="M1742">
        <v>10918</v>
      </c>
      <c r="N1742">
        <v>1</v>
      </c>
      <c r="O1742" t="s">
        <v>735</v>
      </c>
      <c r="P1742" t="str">
        <f t="shared" si="468"/>
        <v>BOTTM_10918_Chai</v>
      </c>
      <c r="Q1742" t="str">
        <f t="shared" si="469"/>
        <v>10918</v>
      </c>
      <c r="R1742" t="str">
        <f t="shared" si="470"/>
        <v>10918</v>
      </c>
      <c r="S1742" t="str">
        <f t="shared" si="471"/>
        <v>Chai</v>
      </c>
      <c r="T1742">
        <v>18</v>
      </c>
      <c r="U1742">
        <v>60</v>
      </c>
      <c r="V1742">
        <v>0.25</v>
      </c>
      <c r="W1742">
        <f t="shared" si="472"/>
        <v>810</v>
      </c>
      <c r="X1742" t="str">
        <f t="shared" si="473"/>
        <v>yes</v>
      </c>
      <c r="Y1742" s="2">
        <v>35156</v>
      </c>
      <c r="Z1742" t="str">
        <f t="shared" si="459"/>
        <v/>
      </c>
      <c r="AA1742" t="str">
        <f t="shared" si="474"/>
        <v>2nd Q 1996</v>
      </c>
      <c r="AB1742" t="str" cm="1">
        <f t="array" ref="AB1742">_xlfn.IFS(Y1742&lt;DATE(1996,1,1),"",Y1742&lt;DATE(1996,4,1),"Q1",Y1742&lt;DATE(1996,7,1),"Q2",Y1742&gt;=DATE(1996,7,1),"")</f>
        <v>Q2</v>
      </c>
    </row>
    <row r="1743" spans="1:28" ht="14.4" x14ac:dyDescent="0.55000000000000004">
      <c r="A1743" t="str">
        <f>VLOOKUP(L1743,Customers!$A$2:$B$92,2,FALSE)</f>
        <v>Bottom-Dollar Markets</v>
      </c>
      <c r="B1743" t="str">
        <f>VLOOKUP(L1743,Customers!$A$2:$C$92,3,TRUE)</f>
        <v>Elizabeth Lincoln</v>
      </c>
      <c r="C1743" t="str">
        <f t="shared" si="460"/>
        <v>Elizabeth</v>
      </c>
      <c r="D1743" s="8" t="str">
        <f t="shared" si="461"/>
        <v>Lincoln</v>
      </c>
      <c r="E1743" s="8" t="str">
        <f t="shared" si="462"/>
        <v>Lincoln, Elizabeth</v>
      </c>
      <c r="F1743" s="8" t="str">
        <f t="shared" si="463"/>
        <v>Lincoln, Elizabeth</v>
      </c>
      <c r="G1743" s="8" t="str">
        <f t="shared" si="464"/>
        <v>not an outlier</v>
      </c>
      <c r="H1743" s="8" t="str">
        <f t="shared" si="465"/>
        <v>Not</v>
      </c>
      <c r="I1743" s="8" t="str">
        <f t="shared" si="475"/>
        <v>no</v>
      </c>
      <c r="J1743" s="10" t="str">
        <f t="shared" si="466"/>
        <v>no</v>
      </c>
      <c r="K1743" s="10" t="str">
        <f t="shared" si="467"/>
        <v>no</v>
      </c>
      <c r="L1743" t="s">
        <v>84</v>
      </c>
      <c r="M1743">
        <v>10918</v>
      </c>
      <c r="N1743">
        <v>60</v>
      </c>
      <c r="O1743" t="s">
        <v>694</v>
      </c>
      <c r="P1743" t="str">
        <f t="shared" si="468"/>
        <v>BOTTM_10918_Camembert Pierrot</v>
      </c>
      <c r="Q1743" t="str">
        <f t="shared" si="469"/>
        <v>10918</v>
      </c>
      <c r="R1743" t="str">
        <f t="shared" si="470"/>
        <v>10918</v>
      </c>
      <c r="S1743" t="str">
        <f t="shared" si="471"/>
        <v>Camembert Pierrot</v>
      </c>
      <c r="T1743">
        <v>34</v>
      </c>
      <c r="U1743">
        <v>25</v>
      </c>
      <c r="V1743">
        <v>0.25</v>
      </c>
      <c r="W1743">
        <f t="shared" si="472"/>
        <v>637.5</v>
      </c>
      <c r="X1743" t="str">
        <f t="shared" si="473"/>
        <v>yes</v>
      </c>
      <c r="Y1743" s="2">
        <v>35156</v>
      </c>
      <c r="Z1743" t="str">
        <f t="shared" si="459"/>
        <v/>
      </c>
      <c r="AA1743" t="str">
        <f t="shared" si="474"/>
        <v>2nd Q 1996</v>
      </c>
      <c r="AB1743" t="str" cm="1">
        <f t="array" ref="AB1743">_xlfn.IFS(Y1743&lt;DATE(1996,1,1),"",Y1743&lt;DATE(1996,4,1),"Q1",Y1743&lt;DATE(1996,7,1),"Q2",Y1743&gt;=DATE(1996,7,1),"")</f>
        <v>Q2</v>
      </c>
    </row>
    <row r="1744" spans="1:28" ht="14.4" x14ac:dyDescent="0.55000000000000004">
      <c r="A1744" t="str">
        <f>VLOOKUP(L1744,Customers!$A$2:$B$92,2,FALSE)</f>
        <v>LINO-Delicateses</v>
      </c>
      <c r="B1744" t="str">
        <f>VLOOKUP(L1744,Customers!$A$2:$C$92,3,TRUE)</f>
        <v>Felipe Izquierdo</v>
      </c>
      <c r="C1744" t="str">
        <f t="shared" si="460"/>
        <v>Felipe</v>
      </c>
      <c r="D1744" s="8" t="str">
        <f t="shared" si="461"/>
        <v>Izquierdo</v>
      </c>
      <c r="E1744" s="8" t="str">
        <f t="shared" si="462"/>
        <v>Izquierdo, Felipe</v>
      </c>
      <c r="F1744" s="8" t="str">
        <f t="shared" si="463"/>
        <v>Izquierdo, Felipe</v>
      </c>
      <c r="G1744" s="8" t="str">
        <f t="shared" si="464"/>
        <v>not an outlier</v>
      </c>
      <c r="H1744" s="8" t="str">
        <f t="shared" si="465"/>
        <v>Not</v>
      </c>
      <c r="I1744" s="8" t="str">
        <f t="shared" si="475"/>
        <v>no</v>
      </c>
      <c r="J1744" s="10" t="str">
        <f t="shared" si="466"/>
        <v>no</v>
      </c>
      <c r="K1744" s="10" t="str">
        <f t="shared" si="467"/>
        <v>no</v>
      </c>
      <c r="L1744" t="s">
        <v>363</v>
      </c>
      <c r="M1744">
        <v>10919</v>
      </c>
      <c r="N1744">
        <v>16</v>
      </c>
      <c r="O1744" t="s">
        <v>702</v>
      </c>
      <c r="P1744" t="str">
        <f t="shared" si="468"/>
        <v>LINOD_10919_Pavlova</v>
      </c>
      <c r="Q1744" t="str">
        <f t="shared" si="469"/>
        <v>10919</v>
      </c>
      <c r="R1744" t="str">
        <f t="shared" si="470"/>
        <v>10919</v>
      </c>
      <c r="S1744" t="str">
        <f t="shared" si="471"/>
        <v>Pavlova</v>
      </c>
      <c r="T1744">
        <v>17.45</v>
      </c>
      <c r="U1744">
        <v>24</v>
      </c>
      <c r="V1744">
        <v>0</v>
      </c>
      <c r="W1744">
        <f t="shared" si="472"/>
        <v>418.79999999999995</v>
      </c>
      <c r="X1744" t="str">
        <f t="shared" si="473"/>
        <v>yes</v>
      </c>
      <c r="Y1744" s="2">
        <v>35156</v>
      </c>
      <c r="Z1744" t="str">
        <f t="shared" si="459"/>
        <v/>
      </c>
      <c r="AA1744" t="str">
        <f t="shared" si="474"/>
        <v>2nd Q 1996</v>
      </c>
      <c r="AB1744" t="str" cm="1">
        <f t="array" ref="AB1744">_xlfn.IFS(Y1744&lt;DATE(1996,1,1),"",Y1744&lt;DATE(1996,4,1),"Q1",Y1744&lt;DATE(1996,7,1),"Q2",Y1744&gt;=DATE(1996,7,1),"")</f>
        <v>Q2</v>
      </c>
    </row>
    <row r="1745" spans="1:28" ht="14.4" x14ac:dyDescent="0.55000000000000004">
      <c r="A1745" t="str">
        <f>VLOOKUP(L1745,Customers!$A$2:$B$92,2,FALSE)</f>
        <v>LINO-Delicateses</v>
      </c>
      <c r="B1745" t="str">
        <f>VLOOKUP(L1745,Customers!$A$2:$C$92,3,TRUE)</f>
        <v>Felipe Izquierdo</v>
      </c>
      <c r="C1745" t="str">
        <f t="shared" si="460"/>
        <v>Felipe</v>
      </c>
      <c r="D1745" s="8" t="str">
        <f t="shared" si="461"/>
        <v>Izquierdo</v>
      </c>
      <c r="E1745" s="8" t="str">
        <f t="shared" si="462"/>
        <v>Izquierdo, Felipe</v>
      </c>
      <c r="F1745" s="8" t="str">
        <f t="shared" si="463"/>
        <v>Izquierdo, Felipe</v>
      </c>
      <c r="G1745" s="8" t="str">
        <f t="shared" si="464"/>
        <v>not an outlier</v>
      </c>
      <c r="H1745" s="8" t="str">
        <f t="shared" si="465"/>
        <v>Not</v>
      </c>
      <c r="I1745" s="8" t="str">
        <f t="shared" si="475"/>
        <v>no</v>
      </c>
      <c r="J1745" s="10" t="str">
        <f t="shared" si="466"/>
        <v>no</v>
      </c>
      <c r="K1745" s="10" t="str">
        <f t="shared" si="467"/>
        <v>no</v>
      </c>
      <c r="L1745" t="s">
        <v>363</v>
      </c>
      <c r="M1745">
        <v>10919</v>
      </c>
      <c r="N1745">
        <v>25</v>
      </c>
      <c r="O1745" t="s">
        <v>749</v>
      </c>
      <c r="P1745" t="str">
        <f t="shared" si="468"/>
        <v>LINOD_10919_NuNuCa Nuß-Nougat-Creme</v>
      </c>
      <c r="Q1745" t="str">
        <f t="shared" si="469"/>
        <v>10919</v>
      </c>
      <c r="R1745" t="str">
        <f t="shared" si="470"/>
        <v>10919</v>
      </c>
      <c r="S1745" t="str">
        <f t="shared" si="471"/>
        <v>NuNuCa Nuß-Nougat-Creme</v>
      </c>
      <c r="T1745">
        <v>14</v>
      </c>
      <c r="U1745">
        <v>24</v>
      </c>
      <c r="V1745">
        <v>0</v>
      </c>
      <c r="W1745">
        <f t="shared" si="472"/>
        <v>336</v>
      </c>
      <c r="X1745" t="str">
        <f t="shared" si="473"/>
        <v>yes</v>
      </c>
      <c r="Y1745" s="2">
        <v>35156</v>
      </c>
      <c r="Z1745" t="str">
        <f t="shared" si="459"/>
        <v/>
      </c>
      <c r="AA1745" t="str">
        <f t="shared" si="474"/>
        <v>2nd Q 1996</v>
      </c>
      <c r="AB1745" t="str" cm="1">
        <f t="array" ref="AB1745">_xlfn.IFS(Y1745&lt;DATE(1996,1,1),"",Y1745&lt;DATE(1996,4,1),"Q1",Y1745&lt;DATE(1996,7,1),"Q2",Y1745&gt;=DATE(1996,7,1),"")</f>
        <v>Q2</v>
      </c>
    </row>
    <row r="1746" spans="1:28" ht="14.4" x14ac:dyDescent="0.55000000000000004">
      <c r="A1746" t="str">
        <f>VLOOKUP(L1746,Customers!$A$2:$B$92,2,FALSE)</f>
        <v>LINO-Delicateses</v>
      </c>
      <c r="B1746" t="str">
        <f>VLOOKUP(L1746,Customers!$A$2:$C$92,3,TRUE)</f>
        <v>Felipe Izquierdo</v>
      </c>
      <c r="C1746" t="str">
        <f t="shared" si="460"/>
        <v>Felipe</v>
      </c>
      <c r="D1746" s="8" t="str">
        <f t="shared" si="461"/>
        <v>Izquierdo</v>
      </c>
      <c r="E1746" s="8" t="str">
        <f t="shared" si="462"/>
        <v>Izquierdo, Felipe</v>
      </c>
      <c r="F1746" s="8" t="str">
        <f t="shared" si="463"/>
        <v>Izquierdo, Felipe</v>
      </c>
      <c r="G1746" s="8" t="str">
        <f t="shared" si="464"/>
        <v>not an outlier</v>
      </c>
      <c r="H1746" s="8" t="str">
        <f t="shared" si="465"/>
        <v>Not</v>
      </c>
      <c r="I1746" s="8" t="str">
        <f t="shared" si="475"/>
        <v>no</v>
      </c>
      <c r="J1746" s="10" t="str">
        <f t="shared" si="466"/>
        <v>no</v>
      </c>
      <c r="K1746" s="10" t="str">
        <f t="shared" si="467"/>
        <v>no</v>
      </c>
      <c r="L1746" t="s">
        <v>363</v>
      </c>
      <c r="M1746">
        <v>10919</v>
      </c>
      <c r="N1746">
        <v>40</v>
      </c>
      <c r="O1746" t="s">
        <v>720</v>
      </c>
      <c r="P1746" t="str">
        <f t="shared" si="468"/>
        <v>LINOD_10919_Boston Crab Meat</v>
      </c>
      <c r="Q1746" t="str">
        <f t="shared" si="469"/>
        <v>10919</v>
      </c>
      <c r="R1746" t="str">
        <f t="shared" si="470"/>
        <v>10919</v>
      </c>
      <c r="S1746" t="str">
        <f t="shared" si="471"/>
        <v>Boston Crab Meat</v>
      </c>
      <c r="T1746">
        <v>18.399999999999999</v>
      </c>
      <c r="U1746">
        <v>20</v>
      </c>
      <c r="V1746">
        <v>0</v>
      </c>
      <c r="W1746">
        <f t="shared" si="472"/>
        <v>368</v>
      </c>
      <c r="X1746" t="str">
        <f t="shared" si="473"/>
        <v>yes</v>
      </c>
      <c r="Y1746" s="2">
        <v>35156</v>
      </c>
      <c r="Z1746" t="str">
        <f t="shared" si="459"/>
        <v/>
      </c>
      <c r="AA1746" t="str">
        <f t="shared" si="474"/>
        <v>2nd Q 1996</v>
      </c>
      <c r="AB1746" t="str" cm="1">
        <f t="array" ref="AB1746">_xlfn.IFS(Y1746&lt;DATE(1996,1,1),"",Y1746&lt;DATE(1996,4,1),"Q1",Y1746&lt;DATE(1996,7,1),"Q2",Y1746&gt;=DATE(1996,7,1),"")</f>
        <v>Q2</v>
      </c>
    </row>
    <row r="1747" spans="1:28" ht="14.4" x14ac:dyDescent="0.55000000000000004">
      <c r="A1747" t="str">
        <f>VLOOKUP(L1747,Customers!$A$2:$B$92,2,FALSE)</f>
        <v>Around the Horn</v>
      </c>
      <c r="B1747" t="str">
        <f>VLOOKUP(L1747,Customers!$A$2:$C$92,3,TRUE)</f>
        <v>Thomas Hardy</v>
      </c>
      <c r="C1747" t="str">
        <f t="shared" si="460"/>
        <v>Thomas</v>
      </c>
      <c r="D1747" s="8" t="str">
        <f t="shared" si="461"/>
        <v>Hardy</v>
      </c>
      <c r="E1747" s="8" t="str">
        <f t="shared" si="462"/>
        <v>Hardy, Thomas</v>
      </c>
      <c r="F1747" s="8" t="str">
        <f t="shared" si="463"/>
        <v>Hardy, Thomas</v>
      </c>
      <c r="G1747" s="8" t="str">
        <f t="shared" si="464"/>
        <v>not an outlier</v>
      </c>
      <c r="H1747" s="8" t="str">
        <f t="shared" si="465"/>
        <v>Not</v>
      </c>
      <c r="I1747" s="8" t="str">
        <f t="shared" si="475"/>
        <v>no</v>
      </c>
      <c r="J1747" s="10" t="str">
        <f t="shared" si="466"/>
        <v>no</v>
      </c>
      <c r="K1747" s="10" t="str">
        <f t="shared" si="467"/>
        <v>no</v>
      </c>
      <c r="L1747" t="s">
        <v>34</v>
      </c>
      <c r="M1747">
        <v>10920</v>
      </c>
      <c r="N1747">
        <v>50</v>
      </c>
      <c r="O1747" t="s">
        <v>755</v>
      </c>
      <c r="P1747" t="str">
        <f t="shared" si="468"/>
        <v>AROUT_10920_Valkoinen suklaa</v>
      </c>
      <c r="Q1747" t="str">
        <f t="shared" si="469"/>
        <v>10920</v>
      </c>
      <c r="R1747" t="str">
        <f t="shared" si="470"/>
        <v>10920</v>
      </c>
      <c r="S1747" t="str">
        <f t="shared" si="471"/>
        <v>Valkoinen suklaa</v>
      </c>
      <c r="T1747">
        <v>16.25</v>
      </c>
      <c r="U1747">
        <v>24</v>
      </c>
      <c r="V1747">
        <v>0</v>
      </c>
      <c r="W1747">
        <f t="shared" si="472"/>
        <v>390</v>
      </c>
      <c r="X1747" t="str">
        <f t="shared" si="473"/>
        <v>yes</v>
      </c>
      <c r="Y1747" s="2">
        <v>35157</v>
      </c>
      <c r="Z1747" t="str">
        <f t="shared" si="459"/>
        <v/>
      </c>
      <c r="AA1747" t="str">
        <f t="shared" si="474"/>
        <v>2nd Q 1996</v>
      </c>
      <c r="AB1747" t="str" cm="1">
        <f t="array" ref="AB1747">_xlfn.IFS(Y1747&lt;DATE(1996,1,1),"",Y1747&lt;DATE(1996,4,1),"Q1",Y1747&lt;DATE(1996,7,1),"Q2",Y1747&gt;=DATE(1996,7,1),"")</f>
        <v>Q2</v>
      </c>
    </row>
    <row r="1748" spans="1:28" ht="14.4" x14ac:dyDescent="0.55000000000000004">
      <c r="A1748" t="str">
        <f>VLOOKUP(L1748,Customers!$A$2:$B$92,2,FALSE)</f>
        <v>Vaffeljernet</v>
      </c>
      <c r="B1748" t="str">
        <f>VLOOKUP(L1748,Customers!$A$2:$C$92,3,TRUE)</f>
        <v>Palle Ibsen</v>
      </c>
      <c r="C1748" t="str">
        <f t="shared" si="460"/>
        <v>Palle</v>
      </c>
      <c r="D1748" s="8" t="str">
        <f t="shared" si="461"/>
        <v>Ibsen</v>
      </c>
      <c r="E1748" s="8" t="str">
        <f t="shared" si="462"/>
        <v>Ibsen, Palle</v>
      </c>
      <c r="F1748" s="8" t="str">
        <f t="shared" si="463"/>
        <v>Ibsen, Palle</v>
      </c>
      <c r="G1748" s="8" t="str">
        <f t="shared" si="464"/>
        <v>not an outlier</v>
      </c>
      <c r="H1748" s="8" t="str">
        <f t="shared" si="465"/>
        <v>Not</v>
      </c>
      <c r="I1748" s="8" t="str">
        <f t="shared" si="475"/>
        <v>no</v>
      </c>
      <c r="J1748" s="10" t="str">
        <f t="shared" si="466"/>
        <v>no</v>
      </c>
      <c r="K1748" s="10" t="str">
        <f t="shared" si="467"/>
        <v>no</v>
      </c>
      <c r="L1748" t="s">
        <v>612</v>
      </c>
      <c r="M1748">
        <v>10921</v>
      </c>
      <c r="N1748">
        <v>35</v>
      </c>
      <c r="O1748" t="s">
        <v>714</v>
      </c>
      <c r="P1748" t="str">
        <f t="shared" si="468"/>
        <v>VAFFE_10921_Steeleye Stout</v>
      </c>
      <c r="Q1748" t="str">
        <f t="shared" si="469"/>
        <v>10921</v>
      </c>
      <c r="R1748" t="str">
        <f t="shared" si="470"/>
        <v>10921</v>
      </c>
      <c r="S1748" t="str">
        <f t="shared" si="471"/>
        <v>Steeleye Stout</v>
      </c>
      <c r="T1748">
        <v>18</v>
      </c>
      <c r="U1748">
        <v>10</v>
      </c>
      <c r="V1748">
        <v>0</v>
      </c>
      <c r="W1748">
        <f t="shared" si="472"/>
        <v>180</v>
      </c>
      <c r="X1748" t="str">
        <f t="shared" si="473"/>
        <v>yes</v>
      </c>
      <c r="Y1748" s="2">
        <v>35157</v>
      </c>
      <c r="Z1748" t="str">
        <f t="shared" si="459"/>
        <v/>
      </c>
      <c r="AA1748" t="str">
        <f t="shared" si="474"/>
        <v>2nd Q 1996</v>
      </c>
      <c r="AB1748" t="str" cm="1">
        <f t="array" ref="AB1748">_xlfn.IFS(Y1748&lt;DATE(1996,1,1),"",Y1748&lt;DATE(1996,4,1),"Q1",Y1748&lt;DATE(1996,7,1),"Q2",Y1748&gt;=DATE(1996,7,1),"")</f>
        <v>Q2</v>
      </c>
    </row>
    <row r="1749" spans="1:28" ht="14.4" x14ac:dyDescent="0.55000000000000004">
      <c r="A1749" t="str">
        <f>VLOOKUP(L1749,Customers!$A$2:$B$92,2,FALSE)</f>
        <v>Vaffeljernet</v>
      </c>
      <c r="B1749" t="str">
        <f>VLOOKUP(L1749,Customers!$A$2:$C$92,3,TRUE)</f>
        <v>Palle Ibsen</v>
      </c>
      <c r="C1749" t="str">
        <f t="shared" si="460"/>
        <v>Palle</v>
      </c>
      <c r="D1749" s="8" t="str">
        <f t="shared" si="461"/>
        <v>Ibsen</v>
      </c>
      <c r="E1749" s="8" t="str">
        <f t="shared" si="462"/>
        <v>Ibsen, Palle</v>
      </c>
      <c r="F1749" s="8" t="str">
        <f t="shared" si="463"/>
        <v>Ibsen, Palle</v>
      </c>
      <c r="G1749" s="8" t="str">
        <f t="shared" si="464"/>
        <v>not an outlier</v>
      </c>
      <c r="H1749" s="8" t="str">
        <f t="shared" si="465"/>
        <v>Not</v>
      </c>
      <c r="I1749" s="8" t="str">
        <f t="shared" si="475"/>
        <v>no</v>
      </c>
      <c r="J1749" s="10" t="str">
        <f t="shared" si="466"/>
        <v>no</v>
      </c>
      <c r="K1749" s="10" t="str">
        <f t="shared" si="467"/>
        <v>no</v>
      </c>
      <c r="L1749" t="s">
        <v>612</v>
      </c>
      <c r="M1749">
        <v>10921</v>
      </c>
      <c r="N1749">
        <v>63</v>
      </c>
      <c r="O1749" t="s">
        <v>729</v>
      </c>
      <c r="P1749" t="str">
        <f t="shared" si="468"/>
        <v>VAFFE_10921_Vegie-spread</v>
      </c>
      <c r="Q1749" t="str">
        <f t="shared" si="469"/>
        <v>10921</v>
      </c>
      <c r="R1749" t="str">
        <f t="shared" si="470"/>
        <v>10921</v>
      </c>
      <c r="S1749" t="str">
        <f t="shared" si="471"/>
        <v>Vegie-spread</v>
      </c>
      <c r="T1749">
        <v>43.9</v>
      </c>
      <c r="U1749">
        <v>40</v>
      </c>
      <c r="V1749">
        <v>0</v>
      </c>
      <c r="W1749">
        <f t="shared" si="472"/>
        <v>1756</v>
      </c>
      <c r="X1749" t="str">
        <f t="shared" si="473"/>
        <v>yes</v>
      </c>
      <c r="Y1749" s="2">
        <v>35157</v>
      </c>
      <c r="Z1749" t="str">
        <f t="shared" si="459"/>
        <v/>
      </c>
      <c r="AA1749" t="str">
        <f t="shared" si="474"/>
        <v>2nd Q 1996</v>
      </c>
      <c r="AB1749" t="str" cm="1">
        <f t="array" ref="AB1749">_xlfn.IFS(Y1749&lt;DATE(1996,1,1),"",Y1749&lt;DATE(1996,4,1),"Q1",Y1749&lt;DATE(1996,7,1),"Q2",Y1749&gt;=DATE(1996,7,1),"")</f>
        <v>Q2</v>
      </c>
    </row>
    <row r="1750" spans="1:28" ht="14.4" x14ac:dyDescent="0.55000000000000004">
      <c r="A1750" t="str">
        <f>VLOOKUP(L1750,Customers!$A$2:$B$92,2,FALSE)</f>
        <v>Hanari Carnes</v>
      </c>
      <c r="B1750" t="str">
        <f>VLOOKUP(L1750,Customers!$A$2:$C$92,3,TRUE)</f>
        <v>Mario Pontes</v>
      </c>
      <c r="C1750" t="str">
        <f t="shared" si="460"/>
        <v>Mario</v>
      </c>
      <c r="D1750" s="8" t="str">
        <f t="shared" si="461"/>
        <v>Pontes</v>
      </c>
      <c r="E1750" s="8" t="str">
        <f t="shared" si="462"/>
        <v>Pontes, Mario</v>
      </c>
      <c r="F1750" s="8" t="str">
        <f t="shared" si="463"/>
        <v>Pontes, Mario</v>
      </c>
      <c r="G1750" s="8" t="str">
        <f t="shared" si="464"/>
        <v>not an outlier</v>
      </c>
      <c r="H1750" s="8" t="str">
        <f t="shared" si="465"/>
        <v>Not</v>
      </c>
      <c r="I1750" s="8" t="str">
        <f t="shared" si="475"/>
        <v>no</v>
      </c>
      <c r="J1750" s="10" t="str">
        <f t="shared" si="466"/>
        <v>no</v>
      </c>
      <c r="K1750" s="10" t="str">
        <f t="shared" si="467"/>
        <v>no</v>
      </c>
      <c r="L1750" t="s">
        <v>264</v>
      </c>
      <c r="M1750">
        <v>10922</v>
      </c>
      <c r="N1750">
        <v>17</v>
      </c>
      <c r="O1750" t="s">
        <v>718</v>
      </c>
      <c r="P1750" t="str">
        <f t="shared" si="468"/>
        <v>HANAR_10922_Alice Mutton</v>
      </c>
      <c r="Q1750" t="str">
        <f t="shared" si="469"/>
        <v>10922</v>
      </c>
      <c r="R1750" t="str">
        <f t="shared" si="470"/>
        <v>10922</v>
      </c>
      <c r="S1750" t="str">
        <f t="shared" si="471"/>
        <v>Alice Mutton</v>
      </c>
      <c r="T1750">
        <v>39</v>
      </c>
      <c r="U1750">
        <v>15</v>
      </c>
      <c r="V1750">
        <v>0</v>
      </c>
      <c r="W1750">
        <f t="shared" si="472"/>
        <v>585</v>
      </c>
      <c r="X1750" t="str">
        <f t="shared" si="473"/>
        <v>yes</v>
      </c>
      <c r="Y1750" s="2">
        <v>35157</v>
      </c>
      <c r="Z1750" t="str">
        <f t="shared" si="459"/>
        <v/>
      </c>
      <c r="AA1750" t="str">
        <f t="shared" si="474"/>
        <v>2nd Q 1996</v>
      </c>
      <c r="AB1750" t="str" cm="1">
        <f t="array" ref="AB1750">_xlfn.IFS(Y1750&lt;DATE(1996,1,1),"",Y1750&lt;DATE(1996,4,1),"Q1",Y1750&lt;DATE(1996,7,1),"Q2",Y1750&gt;=DATE(1996,7,1),"")</f>
        <v>Q2</v>
      </c>
    </row>
    <row r="1751" spans="1:28" ht="14.4" x14ac:dyDescent="0.55000000000000004">
      <c r="A1751" t="str">
        <f>VLOOKUP(L1751,Customers!$A$2:$B$92,2,FALSE)</f>
        <v>Hanari Carnes</v>
      </c>
      <c r="B1751" t="str">
        <f>VLOOKUP(L1751,Customers!$A$2:$C$92,3,TRUE)</f>
        <v>Mario Pontes</v>
      </c>
      <c r="C1751" t="str">
        <f t="shared" si="460"/>
        <v>Mario</v>
      </c>
      <c r="D1751" s="8" t="str">
        <f t="shared" si="461"/>
        <v>Pontes</v>
      </c>
      <c r="E1751" s="8" t="str">
        <f t="shared" si="462"/>
        <v>Pontes, Mario</v>
      </c>
      <c r="F1751" s="8" t="str">
        <f t="shared" si="463"/>
        <v>Pontes, Mario</v>
      </c>
      <c r="G1751" s="8" t="str">
        <f t="shared" si="464"/>
        <v>not an outlier</v>
      </c>
      <c r="H1751" s="8" t="str">
        <f t="shared" si="465"/>
        <v>Not</v>
      </c>
      <c r="I1751" s="8" t="str">
        <f t="shared" si="475"/>
        <v>no</v>
      </c>
      <c r="J1751" s="10" t="str">
        <f t="shared" si="466"/>
        <v>no</v>
      </c>
      <c r="K1751" s="10" t="str">
        <f t="shared" si="467"/>
        <v>no</v>
      </c>
      <c r="L1751" t="s">
        <v>264</v>
      </c>
      <c r="M1751">
        <v>10922</v>
      </c>
      <c r="N1751">
        <v>24</v>
      </c>
      <c r="O1751" t="s">
        <v>698</v>
      </c>
      <c r="P1751" t="str">
        <f t="shared" si="468"/>
        <v>HANAR_10922_Guaraná Fantástica</v>
      </c>
      <c r="Q1751" t="str">
        <f t="shared" si="469"/>
        <v>10922</v>
      </c>
      <c r="R1751" t="str">
        <f t="shared" si="470"/>
        <v>10922</v>
      </c>
      <c r="S1751" t="str">
        <f t="shared" si="471"/>
        <v>Guaraná Fantástica</v>
      </c>
      <c r="T1751">
        <v>4.5</v>
      </c>
      <c r="U1751">
        <v>35</v>
      </c>
      <c r="V1751">
        <v>0</v>
      </c>
      <c r="W1751">
        <f t="shared" si="472"/>
        <v>157.5</v>
      </c>
      <c r="X1751" t="str">
        <f t="shared" si="473"/>
        <v>yes</v>
      </c>
      <c r="Y1751" s="2">
        <v>35157</v>
      </c>
      <c r="Z1751" t="str">
        <f t="shared" si="459"/>
        <v/>
      </c>
      <c r="AA1751" t="str">
        <f t="shared" si="474"/>
        <v>2nd Q 1996</v>
      </c>
      <c r="AB1751" t="str" cm="1">
        <f t="array" ref="AB1751">_xlfn.IFS(Y1751&lt;DATE(1996,1,1),"",Y1751&lt;DATE(1996,4,1),"Q1",Y1751&lt;DATE(1996,7,1),"Q2",Y1751&gt;=DATE(1996,7,1),"")</f>
        <v>Q2</v>
      </c>
    </row>
    <row r="1752" spans="1:28" ht="14.4" x14ac:dyDescent="0.55000000000000004">
      <c r="A1752" t="str">
        <f>VLOOKUP(L1752,Customers!$A$2:$B$92,2,FALSE)</f>
        <v>La maison d'Asie</v>
      </c>
      <c r="B1752" t="str">
        <f>VLOOKUP(L1752,Customers!$A$2:$C$92,3,TRUE)</f>
        <v>Annette Roulet</v>
      </c>
      <c r="C1752" t="str">
        <f t="shared" si="460"/>
        <v>Annette</v>
      </c>
      <c r="D1752" s="8" t="str">
        <f t="shared" si="461"/>
        <v>Roulet</v>
      </c>
      <c r="E1752" s="8" t="str">
        <f t="shared" si="462"/>
        <v>Roulet, Annette</v>
      </c>
      <c r="F1752" s="8" t="str">
        <f t="shared" si="463"/>
        <v>Roulet, Annette</v>
      </c>
      <c r="G1752" s="8" t="str">
        <f t="shared" si="464"/>
        <v>not an outlier</v>
      </c>
      <c r="H1752" s="8" t="str">
        <f t="shared" si="465"/>
        <v>Not</v>
      </c>
      <c r="I1752" s="8" t="str">
        <f t="shared" si="475"/>
        <v>no</v>
      </c>
      <c r="J1752" s="10" t="str">
        <f t="shared" si="466"/>
        <v>no</v>
      </c>
      <c r="K1752" s="10" t="str">
        <f t="shared" si="467"/>
        <v>no</v>
      </c>
      <c r="L1752" t="s">
        <v>318</v>
      </c>
      <c r="M1752">
        <v>10923</v>
      </c>
      <c r="N1752">
        <v>42</v>
      </c>
      <c r="O1752" t="s">
        <v>684</v>
      </c>
      <c r="P1752" t="str">
        <f t="shared" si="468"/>
        <v>LAMAI_10923_Singaporean Hokkien Fried Mee</v>
      </c>
      <c r="Q1752" t="str">
        <f t="shared" si="469"/>
        <v>10923</v>
      </c>
      <c r="R1752" t="str">
        <f t="shared" si="470"/>
        <v>10923</v>
      </c>
      <c r="S1752" t="str">
        <f t="shared" si="471"/>
        <v>Singaporean Hokkien Fried Mee</v>
      </c>
      <c r="T1752">
        <v>14</v>
      </c>
      <c r="U1752">
        <v>10</v>
      </c>
      <c r="V1752">
        <v>0.2</v>
      </c>
      <c r="W1752">
        <f t="shared" si="472"/>
        <v>112</v>
      </c>
      <c r="X1752" t="str">
        <f t="shared" si="473"/>
        <v>yes</v>
      </c>
      <c r="Y1752" s="2">
        <v>35157</v>
      </c>
      <c r="Z1752" t="str">
        <f t="shared" si="459"/>
        <v/>
      </c>
      <c r="AA1752" t="str">
        <f t="shared" si="474"/>
        <v>2nd Q 1996</v>
      </c>
      <c r="AB1752" t="str" cm="1">
        <f t="array" ref="AB1752">_xlfn.IFS(Y1752&lt;DATE(1996,1,1),"",Y1752&lt;DATE(1996,4,1),"Q1",Y1752&lt;DATE(1996,7,1),"Q2",Y1752&gt;=DATE(1996,7,1),"")</f>
        <v>Q2</v>
      </c>
    </row>
    <row r="1753" spans="1:28" ht="14.4" x14ac:dyDescent="0.55000000000000004">
      <c r="A1753" t="str">
        <f>VLOOKUP(L1753,Customers!$A$2:$B$92,2,FALSE)</f>
        <v>La maison d'Asie</v>
      </c>
      <c r="B1753" t="str">
        <f>VLOOKUP(L1753,Customers!$A$2:$C$92,3,TRUE)</f>
        <v>Annette Roulet</v>
      </c>
      <c r="C1753" t="str">
        <f t="shared" si="460"/>
        <v>Annette</v>
      </c>
      <c r="D1753" s="8" t="str">
        <f t="shared" si="461"/>
        <v>Roulet</v>
      </c>
      <c r="E1753" s="8" t="str">
        <f t="shared" si="462"/>
        <v>Roulet, Annette</v>
      </c>
      <c r="F1753" s="8" t="str">
        <f t="shared" si="463"/>
        <v>Roulet, Annette</v>
      </c>
      <c r="G1753" s="8" t="str">
        <f t="shared" si="464"/>
        <v>not an outlier</v>
      </c>
      <c r="H1753" s="8" t="str">
        <f t="shared" si="465"/>
        <v>Not</v>
      </c>
      <c r="I1753" s="8" t="str">
        <f t="shared" si="475"/>
        <v>no</v>
      </c>
      <c r="J1753" s="10" t="str">
        <f t="shared" si="466"/>
        <v>no</v>
      </c>
      <c r="K1753" s="10" t="str">
        <f t="shared" si="467"/>
        <v>no</v>
      </c>
      <c r="L1753" t="s">
        <v>318</v>
      </c>
      <c r="M1753">
        <v>10923</v>
      </c>
      <c r="N1753">
        <v>43</v>
      </c>
      <c r="O1753" t="s">
        <v>723</v>
      </c>
      <c r="P1753" t="str">
        <f t="shared" si="468"/>
        <v>LAMAI_10923_Ipoh Coffee</v>
      </c>
      <c r="Q1753" t="str">
        <f t="shared" si="469"/>
        <v>10923</v>
      </c>
      <c r="R1753" t="str">
        <f t="shared" si="470"/>
        <v>10923</v>
      </c>
      <c r="S1753" t="str">
        <f t="shared" si="471"/>
        <v>Ipoh Coffee</v>
      </c>
      <c r="T1753">
        <v>46</v>
      </c>
      <c r="U1753">
        <v>10</v>
      </c>
      <c r="V1753">
        <v>0.2</v>
      </c>
      <c r="W1753">
        <f t="shared" si="472"/>
        <v>368</v>
      </c>
      <c r="X1753" t="str">
        <f t="shared" si="473"/>
        <v>yes</v>
      </c>
      <c r="Y1753" s="2">
        <v>35157</v>
      </c>
      <c r="Z1753" t="str">
        <f t="shared" si="459"/>
        <v/>
      </c>
      <c r="AA1753" t="str">
        <f t="shared" si="474"/>
        <v>2nd Q 1996</v>
      </c>
      <c r="AB1753" t="str" cm="1">
        <f t="array" ref="AB1753">_xlfn.IFS(Y1753&lt;DATE(1996,1,1),"",Y1753&lt;DATE(1996,4,1),"Q1",Y1753&lt;DATE(1996,7,1),"Q2",Y1753&gt;=DATE(1996,7,1),"")</f>
        <v>Q2</v>
      </c>
    </row>
    <row r="1754" spans="1:28" ht="14.4" x14ac:dyDescent="0.55000000000000004">
      <c r="A1754" t="str">
        <f>VLOOKUP(L1754,Customers!$A$2:$B$92,2,FALSE)</f>
        <v>La maison d'Asie</v>
      </c>
      <c r="B1754" t="str">
        <f>VLOOKUP(L1754,Customers!$A$2:$C$92,3,TRUE)</f>
        <v>Annette Roulet</v>
      </c>
      <c r="C1754" t="str">
        <f t="shared" si="460"/>
        <v>Annette</v>
      </c>
      <c r="D1754" s="8" t="str">
        <f t="shared" si="461"/>
        <v>Roulet</v>
      </c>
      <c r="E1754" s="8" t="str">
        <f t="shared" si="462"/>
        <v>Roulet, Annette</v>
      </c>
      <c r="F1754" s="8" t="str">
        <f t="shared" si="463"/>
        <v>Roulet, Annette</v>
      </c>
      <c r="G1754" s="8" t="str">
        <f t="shared" si="464"/>
        <v>not an outlier</v>
      </c>
      <c r="H1754" s="8" t="str">
        <f t="shared" si="465"/>
        <v>Not</v>
      </c>
      <c r="I1754" s="8" t="str">
        <f t="shared" si="475"/>
        <v>no</v>
      </c>
      <c r="J1754" s="10" t="str">
        <f t="shared" si="466"/>
        <v>no</v>
      </c>
      <c r="K1754" s="10" t="str">
        <f t="shared" si="467"/>
        <v>no</v>
      </c>
      <c r="L1754" t="s">
        <v>318</v>
      </c>
      <c r="M1754">
        <v>10923</v>
      </c>
      <c r="N1754">
        <v>67</v>
      </c>
      <c r="O1754" t="s">
        <v>734</v>
      </c>
      <c r="P1754" t="str">
        <f t="shared" si="468"/>
        <v>LAMAI_10923_Laughing Lumberjack Lager</v>
      </c>
      <c r="Q1754" t="str">
        <f t="shared" si="469"/>
        <v>10923</v>
      </c>
      <c r="R1754" t="str">
        <f t="shared" si="470"/>
        <v>10923</v>
      </c>
      <c r="S1754" t="str">
        <f t="shared" si="471"/>
        <v>Laughing Lumberjack Lager</v>
      </c>
      <c r="T1754">
        <v>14</v>
      </c>
      <c r="U1754">
        <v>24</v>
      </c>
      <c r="V1754">
        <v>0.2</v>
      </c>
      <c r="W1754">
        <f t="shared" si="472"/>
        <v>268.8</v>
      </c>
      <c r="X1754" t="str">
        <f t="shared" si="473"/>
        <v>yes</v>
      </c>
      <c r="Y1754" s="2">
        <v>35157</v>
      </c>
      <c r="Z1754" t="str">
        <f t="shared" si="459"/>
        <v/>
      </c>
      <c r="AA1754" t="str">
        <f t="shared" si="474"/>
        <v>2nd Q 1996</v>
      </c>
      <c r="AB1754" t="str" cm="1">
        <f t="array" ref="AB1754">_xlfn.IFS(Y1754&lt;DATE(1996,1,1),"",Y1754&lt;DATE(1996,4,1),"Q1",Y1754&lt;DATE(1996,7,1),"Q2",Y1754&gt;=DATE(1996,7,1),"")</f>
        <v>Q2</v>
      </c>
    </row>
    <row r="1755" spans="1:28" ht="14.4" x14ac:dyDescent="0.55000000000000004">
      <c r="A1755" t="str">
        <f>VLOOKUP(L1755,Customers!$A$2:$B$92,2,FALSE)</f>
        <v>Berglunds snabbköp</v>
      </c>
      <c r="B1755" t="str">
        <f>VLOOKUP(L1755,Customers!$A$2:$C$92,3,TRUE)</f>
        <v>Christina Berglund</v>
      </c>
      <c r="C1755" t="str">
        <f t="shared" si="460"/>
        <v>Christina</v>
      </c>
      <c r="D1755" s="8" t="str">
        <f t="shared" si="461"/>
        <v>Berglund</v>
      </c>
      <c r="E1755" s="8" t="str">
        <f t="shared" si="462"/>
        <v>Berglund, Christina</v>
      </c>
      <c r="F1755" s="8" t="str">
        <f t="shared" si="463"/>
        <v>Berglund, Christina</v>
      </c>
      <c r="G1755" s="8" t="str">
        <f t="shared" si="464"/>
        <v>not an outlier</v>
      </c>
      <c r="H1755" s="8" t="str">
        <f t="shared" si="465"/>
        <v>Not</v>
      </c>
      <c r="I1755" s="8" t="str">
        <f t="shared" si="475"/>
        <v>no</v>
      </c>
      <c r="J1755" s="10" t="str">
        <f t="shared" si="466"/>
        <v>no</v>
      </c>
      <c r="K1755" s="10" t="str">
        <f t="shared" si="467"/>
        <v>no</v>
      </c>
      <c r="L1755" t="s">
        <v>43</v>
      </c>
      <c r="M1755">
        <v>10924</v>
      </c>
      <c r="N1755">
        <v>10</v>
      </c>
      <c r="O1755" t="s">
        <v>724</v>
      </c>
      <c r="P1755" t="str">
        <f t="shared" si="468"/>
        <v>BERGS_10924_Ikura</v>
      </c>
      <c r="Q1755" t="str">
        <f t="shared" si="469"/>
        <v>10924</v>
      </c>
      <c r="R1755" t="str">
        <f t="shared" si="470"/>
        <v>10924</v>
      </c>
      <c r="S1755" t="str">
        <f t="shared" si="471"/>
        <v>Ikura</v>
      </c>
      <c r="T1755">
        <v>31</v>
      </c>
      <c r="U1755">
        <v>20</v>
      </c>
      <c r="V1755">
        <v>0.1</v>
      </c>
      <c r="W1755">
        <f t="shared" si="472"/>
        <v>558</v>
      </c>
      <c r="X1755" t="str">
        <f t="shared" si="473"/>
        <v>yes</v>
      </c>
      <c r="Y1755" s="2">
        <v>35158</v>
      </c>
      <c r="Z1755" t="str">
        <f t="shared" si="459"/>
        <v/>
      </c>
      <c r="AA1755" t="str">
        <f t="shared" si="474"/>
        <v>2nd Q 1996</v>
      </c>
      <c r="AB1755" t="str" cm="1">
        <f t="array" ref="AB1755">_xlfn.IFS(Y1755&lt;DATE(1996,1,1),"",Y1755&lt;DATE(1996,4,1),"Q1",Y1755&lt;DATE(1996,7,1),"Q2",Y1755&gt;=DATE(1996,7,1),"")</f>
        <v>Q2</v>
      </c>
    </row>
    <row r="1756" spans="1:28" ht="14.4" x14ac:dyDescent="0.55000000000000004">
      <c r="A1756" t="str">
        <f>VLOOKUP(L1756,Customers!$A$2:$B$92,2,FALSE)</f>
        <v>Berglunds snabbköp</v>
      </c>
      <c r="B1756" t="str">
        <f>VLOOKUP(L1756,Customers!$A$2:$C$92,3,TRUE)</f>
        <v>Christina Berglund</v>
      </c>
      <c r="C1756" t="str">
        <f t="shared" si="460"/>
        <v>Christina</v>
      </c>
      <c r="D1756" s="8" t="str">
        <f t="shared" si="461"/>
        <v>Berglund</v>
      </c>
      <c r="E1756" s="8" t="str">
        <f t="shared" si="462"/>
        <v>Berglund, Christina</v>
      </c>
      <c r="F1756" s="8" t="str">
        <f t="shared" si="463"/>
        <v>Berglund, Christina</v>
      </c>
      <c r="G1756" s="8" t="str">
        <f t="shared" si="464"/>
        <v>not an outlier</v>
      </c>
      <c r="H1756" s="8" t="str">
        <f t="shared" si="465"/>
        <v>Not</v>
      </c>
      <c r="I1756" s="8" t="str">
        <f t="shared" si="475"/>
        <v>no</v>
      </c>
      <c r="J1756" s="10" t="str">
        <f t="shared" si="466"/>
        <v>no</v>
      </c>
      <c r="K1756" s="10" t="str">
        <f t="shared" si="467"/>
        <v>no</v>
      </c>
      <c r="L1756" t="s">
        <v>43</v>
      </c>
      <c r="M1756">
        <v>10924</v>
      </c>
      <c r="N1756">
        <v>28</v>
      </c>
      <c r="O1756" t="s">
        <v>727</v>
      </c>
      <c r="P1756" t="str">
        <f t="shared" si="468"/>
        <v>BERGS_10924_Rössle Sauerkraut</v>
      </c>
      <c r="Q1756" t="str">
        <f t="shared" si="469"/>
        <v>10924</v>
      </c>
      <c r="R1756" t="str">
        <f t="shared" si="470"/>
        <v>10924</v>
      </c>
      <c r="S1756" t="str">
        <f t="shared" si="471"/>
        <v>Rössle Sauerkraut</v>
      </c>
      <c r="T1756">
        <v>45.6</v>
      </c>
      <c r="U1756">
        <v>30</v>
      </c>
      <c r="V1756">
        <v>0.1</v>
      </c>
      <c r="W1756">
        <f t="shared" si="472"/>
        <v>1231.2</v>
      </c>
      <c r="X1756" t="str">
        <f t="shared" si="473"/>
        <v>yes</v>
      </c>
      <c r="Y1756" s="2">
        <v>35158</v>
      </c>
      <c r="Z1756" t="str">
        <f t="shared" si="459"/>
        <v/>
      </c>
      <c r="AA1756" t="str">
        <f t="shared" si="474"/>
        <v>2nd Q 1996</v>
      </c>
      <c r="AB1756" t="str" cm="1">
        <f t="array" ref="AB1756">_xlfn.IFS(Y1756&lt;DATE(1996,1,1),"",Y1756&lt;DATE(1996,4,1),"Q1",Y1756&lt;DATE(1996,7,1),"Q2",Y1756&gt;=DATE(1996,7,1),"")</f>
        <v>Q2</v>
      </c>
    </row>
    <row r="1757" spans="1:28" ht="14.4" x14ac:dyDescent="0.55000000000000004">
      <c r="A1757" t="str">
        <f>VLOOKUP(L1757,Customers!$A$2:$B$92,2,FALSE)</f>
        <v>Berglunds snabbköp</v>
      </c>
      <c r="B1757" t="str">
        <f>VLOOKUP(L1757,Customers!$A$2:$C$92,3,TRUE)</f>
        <v>Christina Berglund</v>
      </c>
      <c r="C1757" t="str">
        <f t="shared" si="460"/>
        <v>Christina</v>
      </c>
      <c r="D1757" s="8" t="str">
        <f t="shared" si="461"/>
        <v>Berglund</v>
      </c>
      <c r="E1757" s="8" t="str">
        <f t="shared" si="462"/>
        <v>Berglund, Christina</v>
      </c>
      <c r="F1757" s="8" t="str">
        <f t="shared" si="463"/>
        <v>Berglund, Christina</v>
      </c>
      <c r="G1757" s="8" t="str">
        <f t="shared" si="464"/>
        <v>not an outlier</v>
      </c>
      <c r="H1757" s="8" t="str">
        <f t="shared" si="465"/>
        <v>Not</v>
      </c>
      <c r="I1757" s="8" t="str">
        <f t="shared" si="475"/>
        <v>no</v>
      </c>
      <c r="J1757" s="10" t="str">
        <f t="shared" si="466"/>
        <v>no</v>
      </c>
      <c r="K1757" s="10" t="str">
        <f t="shared" si="467"/>
        <v>no</v>
      </c>
      <c r="L1757" t="s">
        <v>43</v>
      </c>
      <c r="M1757">
        <v>10924</v>
      </c>
      <c r="N1757">
        <v>75</v>
      </c>
      <c r="O1757" t="s">
        <v>731</v>
      </c>
      <c r="P1757" t="str">
        <f t="shared" si="468"/>
        <v>BERGS_10924_Rhönbräu Klosterbier</v>
      </c>
      <c r="Q1757" t="str">
        <f t="shared" si="469"/>
        <v>10924</v>
      </c>
      <c r="R1757" t="str">
        <f t="shared" si="470"/>
        <v>10924</v>
      </c>
      <c r="S1757" t="str">
        <f t="shared" si="471"/>
        <v>Rhönbräu Klosterbier</v>
      </c>
      <c r="T1757">
        <v>7.75</v>
      </c>
      <c r="U1757">
        <v>6</v>
      </c>
      <c r="V1757">
        <v>0</v>
      </c>
      <c r="W1757">
        <f t="shared" si="472"/>
        <v>46.5</v>
      </c>
      <c r="X1757" t="str">
        <f t="shared" si="473"/>
        <v>yes</v>
      </c>
      <c r="Y1757" s="2">
        <v>35158</v>
      </c>
      <c r="Z1757" t="str">
        <f t="shared" si="459"/>
        <v/>
      </c>
      <c r="AA1757" t="str">
        <f t="shared" si="474"/>
        <v>2nd Q 1996</v>
      </c>
      <c r="AB1757" t="str" cm="1">
        <f t="array" ref="AB1757">_xlfn.IFS(Y1757&lt;DATE(1996,1,1),"",Y1757&lt;DATE(1996,4,1),"Q1",Y1757&lt;DATE(1996,7,1),"Q2",Y1757&gt;=DATE(1996,7,1),"")</f>
        <v>Q2</v>
      </c>
    </row>
    <row r="1758" spans="1:28" ht="14.4" x14ac:dyDescent="0.55000000000000004">
      <c r="A1758" t="str">
        <f>VLOOKUP(L1758,Customers!$A$2:$B$92,2,FALSE)</f>
        <v>Hanari Carnes</v>
      </c>
      <c r="B1758" t="str">
        <f>VLOOKUP(L1758,Customers!$A$2:$C$92,3,TRUE)</f>
        <v>Mario Pontes</v>
      </c>
      <c r="C1758" t="str">
        <f t="shared" si="460"/>
        <v>Mario</v>
      </c>
      <c r="D1758" s="8" t="str">
        <f t="shared" si="461"/>
        <v>Pontes</v>
      </c>
      <c r="E1758" s="8" t="str">
        <f t="shared" si="462"/>
        <v>Pontes, Mario</v>
      </c>
      <c r="F1758" s="8" t="str">
        <f t="shared" si="463"/>
        <v>Pontes, Mario</v>
      </c>
      <c r="G1758" s="8" t="str">
        <f t="shared" si="464"/>
        <v>not an outlier</v>
      </c>
      <c r="H1758" s="8" t="str">
        <f t="shared" si="465"/>
        <v>Not</v>
      </c>
      <c r="I1758" s="8" t="str">
        <f t="shared" si="475"/>
        <v>no</v>
      </c>
      <c r="J1758" s="10" t="str">
        <f t="shared" si="466"/>
        <v>no</v>
      </c>
      <c r="K1758" s="10" t="str">
        <f t="shared" si="467"/>
        <v>no</v>
      </c>
      <c r="L1758" t="s">
        <v>264</v>
      </c>
      <c r="M1758">
        <v>10925</v>
      </c>
      <c r="N1758">
        <v>36</v>
      </c>
      <c r="O1758" t="s">
        <v>703</v>
      </c>
      <c r="P1758" t="str">
        <f t="shared" si="468"/>
        <v>HANAR_10925_Inlagd Sill</v>
      </c>
      <c r="Q1758" t="str">
        <f t="shared" si="469"/>
        <v>10925</v>
      </c>
      <c r="R1758" t="str">
        <f t="shared" si="470"/>
        <v>10925</v>
      </c>
      <c r="S1758" t="str">
        <f t="shared" si="471"/>
        <v>Inlagd Sill</v>
      </c>
      <c r="T1758">
        <v>19</v>
      </c>
      <c r="U1758">
        <v>25</v>
      </c>
      <c r="V1758">
        <v>0.15</v>
      </c>
      <c r="W1758">
        <f t="shared" si="472"/>
        <v>403.75</v>
      </c>
      <c r="X1758" t="str">
        <f t="shared" si="473"/>
        <v>yes</v>
      </c>
      <c r="Y1758" s="2">
        <v>35158</v>
      </c>
      <c r="Z1758" t="str">
        <f t="shared" si="459"/>
        <v/>
      </c>
      <c r="AA1758" t="str">
        <f t="shared" si="474"/>
        <v>2nd Q 1996</v>
      </c>
      <c r="AB1758" t="str" cm="1">
        <f t="array" ref="AB1758">_xlfn.IFS(Y1758&lt;DATE(1996,1,1),"",Y1758&lt;DATE(1996,4,1),"Q1",Y1758&lt;DATE(1996,7,1),"Q2",Y1758&gt;=DATE(1996,7,1),"")</f>
        <v>Q2</v>
      </c>
    </row>
    <row r="1759" spans="1:28" ht="14.4" x14ac:dyDescent="0.55000000000000004">
      <c r="A1759" t="str">
        <f>VLOOKUP(L1759,Customers!$A$2:$B$92,2,FALSE)</f>
        <v>Hanari Carnes</v>
      </c>
      <c r="B1759" t="str">
        <f>VLOOKUP(L1759,Customers!$A$2:$C$92,3,TRUE)</f>
        <v>Mario Pontes</v>
      </c>
      <c r="C1759" t="str">
        <f t="shared" si="460"/>
        <v>Mario</v>
      </c>
      <c r="D1759" s="8" t="str">
        <f t="shared" si="461"/>
        <v>Pontes</v>
      </c>
      <c r="E1759" s="8" t="str">
        <f t="shared" si="462"/>
        <v>Pontes, Mario</v>
      </c>
      <c r="F1759" s="8" t="str">
        <f t="shared" si="463"/>
        <v>Pontes, Mario</v>
      </c>
      <c r="G1759" s="8" t="str">
        <f t="shared" si="464"/>
        <v>not an outlier</v>
      </c>
      <c r="H1759" s="8" t="str">
        <f t="shared" si="465"/>
        <v>Not</v>
      </c>
      <c r="I1759" s="8" t="str">
        <f t="shared" si="475"/>
        <v>no</v>
      </c>
      <c r="J1759" s="10" t="str">
        <f t="shared" si="466"/>
        <v>no</v>
      </c>
      <c r="K1759" s="10" t="str">
        <f t="shared" si="467"/>
        <v>no</v>
      </c>
      <c r="L1759" t="s">
        <v>264</v>
      </c>
      <c r="M1759">
        <v>10925</v>
      </c>
      <c r="N1759">
        <v>52</v>
      </c>
      <c r="O1759" t="s">
        <v>748</v>
      </c>
      <c r="P1759" t="str">
        <f t="shared" si="468"/>
        <v>HANAR_10925_Filo Mix</v>
      </c>
      <c r="Q1759" t="str">
        <f t="shared" si="469"/>
        <v>10925</v>
      </c>
      <c r="R1759" t="str">
        <f t="shared" si="470"/>
        <v>10925</v>
      </c>
      <c r="S1759" t="str">
        <f t="shared" si="471"/>
        <v>Filo Mix</v>
      </c>
      <c r="T1759">
        <v>7</v>
      </c>
      <c r="U1759">
        <v>12</v>
      </c>
      <c r="V1759">
        <v>0.15</v>
      </c>
      <c r="W1759">
        <f t="shared" si="472"/>
        <v>71.399999999999991</v>
      </c>
      <c r="X1759" t="str">
        <f t="shared" si="473"/>
        <v>yes</v>
      </c>
      <c r="Y1759" s="2">
        <v>35158</v>
      </c>
      <c r="Z1759" t="str">
        <f t="shared" si="459"/>
        <v/>
      </c>
      <c r="AA1759" t="str">
        <f t="shared" si="474"/>
        <v>2nd Q 1996</v>
      </c>
      <c r="AB1759" t="str" cm="1">
        <f t="array" ref="AB1759">_xlfn.IFS(Y1759&lt;DATE(1996,1,1),"",Y1759&lt;DATE(1996,4,1),"Q1",Y1759&lt;DATE(1996,7,1),"Q2",Y1759&gt;=DATE(1996,7,1),"")</f>
        <v>Q2</v>
      </c>
    </row>
    <row r="1760" spans="1:28" ht="14.4" x14ac:dyDescent="0.55000000000000004">
      <c r="A1760" t="str">
        <f>VLOOKUP(L1760,Customers!$A$2:$B$92,2,FALSE)</f>
        <v>Ana Trujillo Emparedados y helados</v>
      </c>
      <c r="B1760" t="str">
        <f>VLOOKUP(L1760,Customers!$A$2:$C$92,3,TRUE)</f>
        <v>Ana Trujillo</v>
      </c>
      <c r="C1760" t="str">
        <f t="shared" si="460"/>
        <v>Ana</v>
      </c>
      <c r="D1760" s="8" t="str">
        <f t="shared" si="461"/>
        <v>Trujillo</v>
      </c>
      <c r="E1760" s="8" t="str">
        <f t="shared" si="462"/>
        <v>Trujillo, Ana</v>
      </c>
      <c r="F1760" s="8" t="str">
        <f t="shared" si="463"/>
        <v>Trujillo, Ana</v>
      </c>
      <c r="G1760" s="8" t="str">
        <f t="shared" si="464"/>
        <v>not an outlier</v>
      </c>
      <c r="H1760" s="8" t="str">
        <f t="shared" si="465"/>
        <v>Not</v>
      </c>
      <c r="I1760" s="8" t="str">
        <f t="shared" si="475"/>
        <v>no</v>
      </c>
      <c r="J1760" s="10" t="str">
        <f t="shared" si="466"/>
        <v>no</v>
      </c>
      <c r="K1760" s="10" t="str">
        <f t="shared" si="467"/>
        <v>no</v>
      </c>
      <c r="L1760" t="s">
        <v>20</v>
      </c>
      <c r="M1760">
        <v>10926</v>
      </c>
      <c r="N1760">
        <v>11</v>
      </c>
      <c r="O1760" t="s">
        <v>683</v>
      </c>
      <c r="P1760" t="str">
        <f t="shared" si="468"/>
        <v>ANATR_10926_Queso Cabrales</v>
      </c>
      <c r="Q1760" t="str">
        <f t="shared" si="469"/>
        <v>10926</v>
      </c>
      <c r="R1760" t="str">
        <f t="shared" si="470"/>
        <v>10926</v>
      </c>
      <c r="S1760" t="str">
        <f t="shared" si="471"/>
        <v>Queso Cabrales</v>
      </c>
      <c r="T1760">
        <v>21</v>
      </c>
      <c r="U1760">
        <v>2</v>
      </c>
      <c r="V1760">
        <v>0</v>
      </c>
      <c r="W1760">
        <f t="shared" si="472"/>
        <v>42</v>
      </c>
      <c r="X1760" t="str">
        <f t="shared" si="473"/>
        <v>yes</v>
      </c>
      <c r="Y1760" s="2">
        <v>35158</v>
      </c>
      <c r="Z1760" t="str">
        <f t="shared" si="459"/>
        <v/>
      </c>
      <c r="AA1760" t="str">
        <f t="shared" si="474"/>
        <v>2nd Q 1996</v>
      </c>
      <c r="AB1760" t="str" cm="1">
        <f t="array" ref="AB1760">_xlfn.IFS(Y1760&lt;DATE(1996,1,1),"",Y1760&lt;DATE(1996,4,1),"Q1",Y1760&lt;DATE(1996,7,1),"Q2",Y1760&gt;=DATE(1996,7,1),"")</f>
        <v>Q2</v>
      </c>
    </row>
    <row r="1761" spans="1:28" ht="14.4" x14ac:dyDescent="0.55000000000000004">
      <c r="A1761" t="str">
        <f>VLOOKUP(L1761,Customers!$A$2:$B$92,2,FALSE)</f>
        <v>Ana Trujillo Emparedados y helados</v>
      </c>
      <c r="B1761" t="str">
        <f>VLOOKUP(L1761,Customers!$A$2:$C$92,3,TRUE)</f>
        <v>Ana Trujillo</v>
      </c>
      <c r="C1761" t="str">
        <f t="shared" si="460"/>
        <v>Ana</v>
      </c>
      <c r="D1761" s="8" t="str">
        <f t="shared" si="461"/>
        <v>Trujillo</v>
      </c>
      <c r="E1761" s="8" t="str">
        <f t="shared" si="462"/>
        <v>Trujillo, Ana</v>
      </c>
      <c r="F1761" s="8" t="str">
        <f t="shared" si="463"/>
        <v>Trujillo, Ana</v>
      </c>
      <c r="G1761" s="8" t="str">
        <f t="shared" si="464"/>
        <v>not an outlier</v>
      </c>
      <c r="H1761" s="8" t="str">
        <f t="shared" si="465"/>
        <v>Not</v>
      </c>
      <c r="I1761" s="8" t="str">
        <f t="shared" si="475"/>
        <v>no</v>
      </c>
      <c r="J1761" s="10" t="str">
        <f t="shared" si="466"/>
        <v>no</v>
      </c>
      <c r="K1761" s="10" t="str">
        <f t="shared" si="467"/>
        <v>no</v>
      </c>
      <c r="L1761" t="s">
        <v>20</v>
      </c>
      <c r="M1761">
        <v>10926</v>
      </c>
      <c r="N1761">
        <v>13</v>
      </c>
      <c r="O1761" t="s">
        <v>726</v>
      </c>
      <c r="P1761" t="str">
        <f t="shared" si="468"/>
        <v>ANATR_10926_Konbu</v>
      </c>
      <c r="Q1761" t="str">
        <f t="shared" si="469"/>
        <v>10926</v>
      </c>
      <c r="R1761" t="str">
        <f t="shared" si="470"/>
        <v>10926</v>
      </c>
      <c r="S1761" t="str">
        <f t="shared" si="471"/>
        <v>Konbu</v>
      </c>
      <c r="T1761">
        <v>6</v>
      </c>
      <c r="U1761">
        <v>10</v>
      </c>
      <c r="V1761">
        <v>0</v>
      </c>
      <c r="W1761">
        <f t="shared" si="472"/>
        <v>60</v>
      </c>
      <c r="X1761" t="str">
        <f t="shared" si="473"/>
        <v>yes</v>
      </c>
      <c r="Y1761" s="2">
        <v>35158</v>
      </c>
      <c r="Z1761" t="str">
        <f t="shared" si="459"/>
        <v/>
      </c>
      <c r="AA1761" t="str">
        <f t="shared" si="474"/>
        <v>2nd Q 1996</v>
      </c>
      <c r="AB1761" t="str" cm="1">
        <f t="array" ref="AB1761">_xlfn.IFS(Y1761&lt;DATE(1996,1,1),"",Y1761&lt;DATE(1996,4,1),"Q1",Y1761&lt;DATE(1996,7,1),"Q2",Y1761&gt;=DATE(1996,7,1),"")</f>
        <v>Q2</v>
      </c>
    </row>
    <row r="1762" spans="1:28" ht="14.4" x14ac:dyDescent="0.55000000000000004">
      <c r="A1762" t="str">
        <f>VLOOKUP(L1762,Customers!$A$2:$B$92,2,FALSE)</f>
        <v>Ana Trujillo Emparedados y helados</v>
      </c>
      <c r="B1762" t="str">
        <f>VLOOKUP(L1762,Customers!$A$2:$C$92,3,TRUE)</f>
        <v>Ana Trujillo</v>
      </c>
      <c r="C1762" t="str">
        <f t="shared" si="460"/>
        <v>Ana</v>
      </c>
      <c r="D1762" s="8" t="str">
        <f t="shared" si="461"/>
        <v>Trujillo</v>
      </c>
      <c r="E1762" s="8" t="str">
        <f t="shared" si="462"/>
        <v>Trujillo, Ana</v>
      </c>
      <c r="F1762" s="8" t="str">
        <f t="shared" si="463"/>
        <v>Trujillo, Ana</v>
      </c>
      <c r="G1762" s="8" t="str">
        <f t="shared" si="464"/>
        <v>not an outlier</v>
      </c>
      <c r="H1762" s="8" t="str">
        <f t="shared" si="465"/>
        <v>Not</v>
      </c>
      <c r="I1762" s="8" t="str">
        <f t="shared" si="475"/>
        <v>no</v>
      </c>
      <c r="J1762" s="10" t="str">
        <f t="shared" si="466"/>
        <v>no</v>
      </c>
      <c r="K1762" s="10" t="str">
        <f t="shared" si="467"/>
        <v>no</v>
      </c>
      <c r="L1762" t="s">
        <v>20</v>
      </c>
      <c r="M1762">
        <v>10926</v>
      </c>
      <c r="N1762">
        <v>19</v>
      </c>
      <c r="O1762" t="s">
        <v>732</v>
      </c>
      <c r="P1762" t="str">
        <f t="shared" si="468"/>
        <v>ANATR_10926_Teatime Chocolate Biscuits</v>
      </c>
      <c r="Q1762" t="str">
        <f t="shared" si="469"/>
        <v>10926</v>
      </c>
      <c r="R1762" t="str">
        <f t="shared" si="470"/>
        <v>10926</v>
      </c>
      <c r="S1762" t="str">
        <f t="shared" si="471"/>
        <v>Teatime Chocolate Biscuits</v>
      </c>
      <c r="T1762">
        <v>9.1999999999999993</v>
      </c>
      <c r="U1762">
        <v>7</v>
      </c>
      <c r="V1762">
        <v>0</v>
      </c>
      <c r="W1762">
        <f t="shared" si="472"/>
        <v>64.399999999999991</v>
      </c>
      <c r="X1762" t="str">
        <f t="shared" si="473"/>
        <v>yes</v>
      </c>
      <c r="Y1762" s="2">
        <v>35158</v>
      </c>
      <c r="Z1762" t="str">
        <f t="shared" si="459"/>
        <v/>
      </c>
      <c r="AA1762" t="str">
        <f t="shared" si="474"/>
        <v>2nd Q 1996</v>
      </c>
      <c r="AB1762" t="str" cm="1">
        <f t="array" ref="AB1762">_xlfn.IFS(Y1762&lt;DATE(1996,1,1),"",Y1762&lt;DATE(1996,4,1),"Q1",Y1762&lt;DATE(1996,7,1),"Q2",Y1762&gt;=DATE(1996,7,1),"")</f>
        <v>Q2</v>
      </c>
    </row>
    <row r="1763" spans="1:28" ht="14.4" x14ac:dyDescent="0.55000000000000004">
      <c r="A1763" t="str">
        <f>VLOOKUP(L1763,Customers!$A$2:$B$92,2,FALSE)</f>
        <v>Ana Trujillo Emparedados y helados</v>
      </c>
      <c r="B1763" t="str">
        <f>VLOOKUP(L1763,Customers!$A$2:$C$92,3,TRUE)</f>
        <v>Ana Trujillo</v>
      </c>
      <c r="C1763" t="str">
        <f t="shared" si="460"/>
        <v>Ana</v>
      </c>
      <c r="D1763" s="8" t="str">
        <f t="shared" si="461"/>
        <v>Trujillo</v>
      </c>
      <c r="E1763" s="8" t="str">
        <f t="shared" si="462"/>
        <v>Trujillo, Ana</v>
      </c>
      <c r="F1763" s="8" t="str">
        <f t="shared" si="463"/>
        <v>Trujillo, Ana</v>
      </c>
      <c r="G1763" s="8" t="str">
        <f t="shared" si="464"/>
        <v>not an outlier</v>
      </c>
      <c r="H1763" s="8" t="str">
        <f t="shared" si="465"/>
        <v>Not</v>
      </c>
      <c r="I1763" s="8" t="str">
        <f t="shared" si="475"/>
        <v>no</v>
      </c>
      <c r="J1763" s="10" t="str">
        <f t="shared" si="466"/>
        <v>no</v>
      </c>
      <c r="K1763" s="10" t="str">
        <f t="shared" si="467"/>
        <v>no</v>
      </c>
      <c r="L1763" t="s">
        <v>20</v>
      </c>
      <c r="M1763">
        <v>10926</v>
      </c>
      <c r="N1763">
        <v>72</v>
      </c>
      <c r="O1763" t="s">
        <v>685</v>
      </c>
      <c r="P1763" t="str">
        <f t="shared" si="468"/>
        <v>ANATR_10926_Mozzarella di Giovanni</v>
      </c>
      <c r="Q1763" t="str">
        <f t="shared" si="469"/>
        <v>10926</v>
      </c>
      <c r="R1763" t="str">
        <f t="shared" si="470"/>
        <v>10926</v>
      </c>
      <c r="S1763" t="str">
        <f t="shared" si="471"/>
        <v>Mozzarella di Giovanni</v>
      </c>
      <c r="T1763">
        <v>34.799999999999997</v>
      </c>
      <c r="U1763">
        <v>10</v>
      </c>
      <c r="V1763">
        <v>0</v>
      </c>
      <c r="W1763">
        <f t="shared" si="472"/>
        <v>348</v>
      </c>
      <c r="X1763" t="str">
        <f t="shared" si="473"/>
        <v>yes</v>
      </c>
      <c r="Y1763" s="2">
        <v>35158</v>
      </c>
      <c r="Z1763" t="str">
        <f t="shared" si="459"/>
        <v/>
      </c>
      <c r="AA1763" t="str">
        <f t="shared" si="474"/>
        <v>2nd Q 1996</v>
      </c>
      <c r="AB1763" t="str" cm="1">
        <f t="array" ref="AB1763">_xlfn.IFS(Y1763&lt;DATE(1996,1,1),"",Y1763&lt;DATE(1996,4,1),"Q1",Y1763&lt;DATE(1996,7,1),"Q2",Y1763&gt;=DATE(1996,7,1),"")</f>
        <v>Q2</v>
      </c>
    </row>
    <row r="1764" spans="1:28" ht="14.4" x14ac:dyDescent="0.55000000000000004">
      <c r="A1764" t="str">
        <f>VLOOKUP(L1764,Customers!$A$2:$B$92,2,FALSE)</f>
        <v>La corne d'abondance</v>
      </c>
      <c r="B1764" t="str">
        <f>VLOOKUP(L1764,Customers!$A$2:$C$92,3,TRUE)</f>
        <v>Daniel Tonini</v>
      </c>
      <c r="C1764" t="str">
        <f t="shared" si="460"/>
        <v>Daniel</v>
      </c>
      <c r="D1764" s="8" t="str">
        <f t="shared" si="461"/>
        <v>Tonini</v>
      </c>
      <c r="E1764" s="8" t="str">
        <f t="shared" si="462"/>
        <v>Tonini, Daniel</v>
      </c>
      <c r="F1764" s="8" t="str">
        <f t="shared" si="463"/>
        <v>Tonini, Daniel</v>
      </c>
      <c r="G1764" s="8" t="str">
        <f t="shared" si="464"/>
        <v>not an outlier</v>
      </c>
      <c r="H1764" s="8" t="str">
        <f t="shared" si="465"/>
        <v>Not</v>
      </c>
      <c r="I1764" s="8" t="str">
        <f t="shared" si="475"/>
        <v>no</v>
      </c>
      <c r="J1764" s="10" t="str">
        <f t="shared" si="466"/>
        <v>no</v>
      </c>
      <c r="K1764" s="10" t="str">
        <f t="shared" si="467"/>
        <v>no</v>
      </c>
      <c r="L1764" t="s">
        <v>311</v>
      </c>
      <c r="M1764">
        <v>10927</v>
      </c>
      <c r="N1764">
        <v>20</v>
      </c>
      <c r="O1764" t="s">
        <v>692</v>
      </c>
      <c r="P1764" t="str">
        <f t="shared" si="468"/>
        <v>LACOR_10927_Sir Rodney's Marmalade</v>
      </c>
      <c r="Q1764" t="str">
        <f t="shared" si="469"/>
        <v>10927</v>
      </c>
      <c r="R1764" t="str">
        <f t="shared" si="470"/>
        <v>10927</v>
      </c>
      <c r="S1764" t="str">
        <f t="shared" si="471"/>
        <v>Sir Rodney's Marmalade</v>
      </c>
      <c r="T1764">
        <v>81</v>
      </c>
      <c r="U1764">
        <v>5</v>
      </c>
      <c r="V1764">
        <v>0</v>
      </c>
      <c r="W1764">
        <f t="shared" si="472"/>
        <v>405</v>
      </c>
      <c r="X1764" t="str">
        <f t="shared" si="473"/>
        <v>yes</v>
      </c>
      <c r="Y1764" s="2">
        <v>35159</v>
      </c>
      <c r="Z1764" t="str">
        <f t="shared" si="459"/>
        <v/>
      </c>
      <c r="AA1764" t="str">
        <f t="shared" si="474"/>
        <v>2nd Q 1996</v>
      </c>
      <c r="AB1764" t="str" cm="1">
        <f t="array" ref="AB1764">_xlfn.IFS(Y1764&lt;DATE(1996,1,1),"",Y1764&lt;DATE(1996,4,1),"Q1",Y1764&lt;DATE(1996,7,1),"Q2",Y1764&gt;=DATE(1996,7,1),"")</f>
        <v>Q2</v>
      </c>
    </row>
    <row r="1765" spans="1:28" ht="14.4" x14ac:dyDescent="0.55000000000000004">
      <c r="A1765" t="str">
        <f>VLOOKUP(L1765,Customers!$A$2:$B$92,2,FALSE)</f>
        <v>La corne d'abondance</v>
      </c>
      <c r="B1765" t="str">
        <f>VLOOKUP(L1765,Customers!$A$2:$C$92,3,TRUE)</f>
        <v>Daniel Tonini</v>
      </c>
      <c r="C1765" t="str">
        <f t="shared" si="460"/>
        <v>Daniel</v>
      </c>
      <c r="D1765" s="8" t="str">
        <f t="shared" si="461"/>
        <v>Tonini</v>
      </c>
      <c r="E1765" s="8" t="str">
        <f t="shared" si="462"/>
        <v>Tonini, Daniel</v>
      </c>
      <c r="F1765" s="8" t="str">
        <f t="shared" si="463"/>
        <v>Tonini, Daniel</v>
      </c>
      <c r="G1765" s="8" t="str">
        <f t="shared" si="464"/>
        <v>not an outlier</v>
      </c>
      <c r="H1765" s="8" t="str">
        <f t="shared" si="465"/>
        <v>Not</v>
      </c>
      <c r="I1765" s="8" t="str">
        <f t="shared" si="475"/>
        <v>no</v>
      </c>
      <c r="J1765" s="10" t="str">
        <f t="shared" si="466"/>
        <v>no</v>
      </c>
      <c r="K1765" s="10" t="str">
        <f t="shared" si="467"/>
        <v>no</v>
      </c>
      <c r="L1765" t="s">
        <v>311</v>
      </c>
      <c r="M1765">
        <v>10927</v>
      </c>
      <c r="N1765">
        <v>52</v>
      </c>
      <c r="O1765" t="s">
        <v>748</v>
      </c>
      <c r="P1765" t="str">
        <f t="shared" si="468"/>
        <v>LACOR_10927_Filo Mix</v>
      </c>
      <c r="Q1765" t="str">
        <f t="shared" si="469"/>
        <v>10927</v>
      </c>
      <c r="R1765" t="str">
        <f t="shared" si="470"/>
        <v>10927</v>
      </c>
      <c r="S1765" t="str">
        <f t="shared" si="471"/>
        <v>Filo Mix</v>
      </c>
      <c r="T1765">
        <v>7</v>
      </c>
      <c r="U1765">
        <v>5</v>
      </c>
      <c r="V1765">
        <v>0</v>
      </c>
      <c r="W1765">
        <f t="shared" si="472"/>
        <v>35</v>
      </c>
      <c r="X1765" t="str">
        <f t="shared" si="473"/>
        <v>yes</v>
      </c>
      <c r="Y1765" s="2">
        <v>35159</v>
      </c>
      <c r="Z1765" t="str">
        <f t="shared" si="459"/>
        <v/>
      </c>
      <c r="AA1765" t="str">
        <f t="shared" si="474"/>
        <v>2nd Q 1996</v>
      </c>
      <c r="AB1765" t="str" cm="1">
        <f t="array" ref="AB1765">_xlfn.IFS(Y1765&lt;DATE(1996,1,1),"",Y1765&lt;DATE(1996,4,1),"Q1",Y1765&lt;DATE(1996,7,1),"Q2",Y1765&gt;=DATE(1996,7,1),"")</f>
        <v>Q2</v>
      </c>
    </row>
    <row r="1766" spans="1:28" ht="14.4" x14ac:dyDescent="0.55000000000000004">
      <c r="A1766" t="str">
        <f>VLOOKUP(L1766,Customers!$A$2:$B$92,2,FALSE)</f>
        <v>La corne d'abondance</v>
      </c>
      <c r="B1766" t="str">
        <f>VLOOKUP(L1766,Customers!$A$2:$C$92,3,TRUE)</f>
        <v>Daniel Tonini</v>
      </c>
      <c r="C1766" t="str">
        <f t="shared" si="460"/>
        <v>Daniel</v>
      </c>
      <c r="D1766" s="8" t="str">
        <f t="shared" si="461"/>
        <v>Tonini</v>
      </c>
      <c r="E1766" s="8" t="str">
        <f t="shared" si="462"/>
        <v>Tonini, Daniel</v>
      </c>
      <c r="F1766" s="8" t="str">
        <f t="shared" si="463"/>
        <v>Tonini, Daniel</v>
      </c>
      <c r="G1766" s="8" t="str">
        <f t="shared" si="464"/>
        <v>not an outlier</v>
      </c>
      <c r="H1766" s="8" t="str">
        <f t="shared" si="465"/>
        <v>Not</v>
      </c>
      <c r="I1766" s="8" t="str">
        <f t="shared" si="475"/>
        <v>no</v>
      </c>
      <c r="J1766" s="10" t="str">
        <f t="shared" si="466"/>
        <v>no</v>
      </c>
      <c r="K1766" s="10" t="str">
        <f t="shared" si="467"/>
        <v>no</v>
      </c>
      <c r="L1766" t="s">
        <v>311</v>
      </c>
      <c r="M1766">
        <v>10927</v>
      </c>
      <c r="N1766">
        <v>76</v>
      </c>
      <c r="O1766" t="s">
        <v>721</v>
      </c>
      <c r="P1766" t="str">
        <f t="shared" si="468"/>
        <v>LACOR_10927_Lakkalikööri</v>
      </c>
      <c r="Q1766" t="str">
        <f t="shared" si="469"/>
        <v>10927</v>
      </c>
      <c r="R1766" t="str">
        <f t="shared" si="470"/>
        <v>10927</v>
      </c>
      <c r="S1766" t="str">
        <f t="shared" si="471"/>
        <v>Lakkalikööri</v>
      </c>
      <c r="T1766">
        <v>18</v>
      </c>
      <c r="U1766">
        <v>20</v>
      </c>
      <c r="V1766">
        <v>0</v>
      </c>
      <c r="W1766">
        <f t="shared" si="472"/>
        <v>360</v>
      </c>
      <c r="X1766" t="str">
        <f t="shared" si="473"/>
        <v>yes</v>
      </c>
      <c r="Y1766" s="2">
        <v>35159</v>
      </c>
      <c r="Z1766" t="str">
        <f t="shared" si="459"/>
        <v/>
      </c>
      <c r="AA1766" t="str">
        <f t="shared" si="474"/>
        <v>2nd Q 1996</v>
      </c>
      <c r="AB1766" t="str" cm="1">
        <f t="array" ref="AB1766">_xlfn.IFS(Y1766&lt;DATE(1996,1,1),"",Y1766&lt;DATE(1996,4,1),"Q1",Y1766&lt;DATE(1996,7,1),"Q2",Y1766&gt;=DATE(1996,7,1),"")</f>
        <v>Q2</v>
      </c>
    </row>
    <row r="1767" spans="1:28" ht="14.4" x14ac:dyDescent="0.55000000000000004">
      <c r="A1767" t="str">
        <f>VLOOKUP(L1767,Customers!$A$2:$B$92,2,FALSE)</f>
        <v>Galería del gastrónomo</v>
      </c>
      <c r="B1767" t="str">
        <f>VLOOKUP(L1767,Customers!$A$2:$C$92,3,TRUE)</f>
        <v>Eduardo Saavedra</v>
      </c>
      <c r="C1767" t="str">
        <f t="shared" si="460"/>
        <v>Eduardo</v>
      </c>
      <c r="D1767" s="8" t="str">
        <f t="shared" si="461"/>
        <v>Saavedra</v>
      </c>
      <c r="E1767" s="8" t="str">
        <f t="shared" si="462"/>
        <v>Saavedra, Eduardo</v>
      </c>
      <c r="F1767" s="8" t="str">
        <f t="shared" si="463"/>
        <v>Saavedra, Eduardo</v>
      </c>
      <c r="G1767" s="8" t="str">
        <f t="shared" si="464"/>
        <v>not an outlier</v>
      </c>
      <c r="H1767" s="8" t="str">
        <f t="shared" si="465"/>
        <v>Not</v>
      </c>
      <c r="I1767" s="8" t="str">
        <f t="shared" si="475"/>
        <v>no</v>
      </c>
      <c r="J1767" s="10" t="str">
        <f t="shared" si="466"/>
        <v>no</v>
      </c>
      <c r="K1767" s="10" t="str">
        <f t="shared" si="467"/>
        <v>no</v>
      </c>
      <c r="L1767" t="s">
        <v>227</v>
      </c>
      <c r="M1767">
        <v>10928</v>
      </c>
      <c r="N1767">
        <v>47</v>
      </c>
      <c r="O1767" t="s">
        <v>752</v>
      </c>
      <c r="P1767" t="str">
        <f t="shared" si="468"/>
        <v>GALED_10928_Zaanse koeken</v>
      </c>
      <c r="Q1767" t="str">
        <f t="shared" si="469"/>
        <v>10928</v>
      </c>
      <c r="R1767" t="str">
        <f t="shared" si="470"/>
        <v>10928</v>
      </c>
      <c r="S1767" t="str">
        <f t="shared" si="471"/>
        <v>Zaanse koeken</v>
      </c>
      <c r="T1767">
        <v>9.5</v>
      </c>
      <c r="U1767">
        <v>5</v>
      </c>
      <c r="V1767">
        <v>0</v>
      </c>
      <c r="W1767">
        <f t="shared" si="472"/>
        <v>47.5</v>
      </c>
      <c r="X1767" t="str">
        <f t="shared" si="473"/>
        <v>yes</v>
      </c>
      <c r="Y1767" s="2">
        <v>35159</v>
      </c>
      <c r="Z1767" t="str">
        <f t="shared" si="459"/>
        <v/>
      </c>
      <c r="AA1767" t="str">
        <f t="shared" si="474"/>
        <v>2nd Q 1996</v>
      </c>
      <c r="AB1767" t="str" cm="1">
        <f t="array" ref="AB1767">_xlfn.IFS(Y1767&lt;DATE(1996,1,1),"",Y1767&lt;DATE(1996,4,1),"Q1",Y1767&lt;DATE(1996,7,1),"Q2",Y1767&gt;=DATE(1996,7,1),"")</f>
        <v>Q2</v>
      </c>
    </row>
    <row r="1768" spans="1:28" ht="14.4" x14ac:dyDescent="0.55000000000000004">
      <c r="A1768" t="str">
        <f>VLOOKUP(L1768,Customers!$A$2:$B$92,2,FALSE)</f>
        <v>Galería del gastrónomo</v>
      </c>
      <c r="B1768" t="str">
        <f>VLOOKUP(L1768,Customers!$A$2:$C$92,3,TRUE)</f>
        <v>Eduardo Saavedra</v>
      </c>
      <c r="C1768" t="str">
        <f t="shared" si="460"/>
        <v>Eduardo</v>
      </c>
      <c r="D1768" s="8" t="str">
        <f t="shared" si="461"/>
        <v>Saavedra</v>
      </c>
      <c r="E1768" s="8" t="str">
        <f t="shared" si="462"/>
        <v>Saavedra, Eduardo</v>
      </c>
      <c r="F1768" s="8" t="str">
        <f t="shared" si="463"/>
        <v>Saavedra, Eduardo</v>
      </c>
      <c r="G1768" s="8" t="str">
        <f t="shared" si="464"/>
        <v>not an outlier</v>
      </c>
      <c r="H1768" s="8" t="str">
        <f t="shared" si="465"/>
        <v>Not</v>
      </c>
      <c r="I1768" s="8" t="str">
        <f t="shared" si="475"/>
        <v>no</v>
      </c>
      <c r="J1768" s="10" t="str">
        <f t="shared" si="466"/>
        <v>no</v>
      </c>
      <c r="K1768" s="10" t="str">
        <f t="shared" si="467"/>
        <v>no</v>
      </c>
      <c r="L1768" t="s">
        <v>227</v>
      </c>
      <c r="M1768">
        <v>10928</v>
      </c>
      <c r="N1768">
        <v>76</v>
      </c>
      <c r="O1768" t="s">
        <v>721</v>
      </c>
      <c r="P1768" t="str">
        <f t="shared" si="468"/>
        <v>GALED_10928_Lakkalikööri</v>
      </c>
      <c r="Q1768" t="str">
        <f t="shared" si="469"/>
        <v>10928</v>
      </c>
      <c r="R1768" t="str">
        <f t="shared" si="470"/>
        <v>10928</v>
      </c>
      <c r="S1768" t="str">
        <f t="shared" si="471"/>
        <v>Lakkalikööri</v>
      </c>
      <c r="T1768">
        <v>18</v>
      </c>
      <c r="U1768">
        <v>5</v>
      </c>
      <c r="V1768">
        <v>0</v>
      </c>
      <c r="W1768">
        <f t="shared" si="472"/>
        <v>90</v>
      </c>
      <c r="X1768" t="str">
        <f t="shared" si="473"/>
        <v>yes</v>
      </c>
      <c r="Y1768" s="2">
        <v>35159</v>
      </c>
      <c r="Z1768" t="str">
        <f t="shared" si="459"/>
        <v/>
      </c>
      <c r="AA1768" t="str">
        <f t="shared" si="474"/>
        <v>2nd Q 1996</v>
      </c>
      <c r="AB1768" t="str" cm="1">
        <f t="array" ref="AB1768">_xlfn.IFS(Y1768&lt;DATE(1996,1,1),"",Y1768&lt;DATE(1996,4,1),"Q1",Y1768&lt;DATE(1996,7,1),"Q2",Y1768&gt;=DATE(1996,7,1),"")</f>
        <v>Q2</v>
      </c>
    </row>
    <row r="1769" spans="1:28" ht="14.4" x14ac:dyDescent="0.55000000000000004">
      <c r="A1769" t="str">
        <f>VLOOKUP(L1769,Customers!$A$2:$B$92,2,FALSE)</f>
        <v>Frankenversand</v>
      </c>
      <c r="B1769" t="str">
        <f>VLOOKUP(L1769,Customers!$A$2:$C$92,3,TRUE)</f>
        <v>Peter Franken</v>
      </c>
      <c r="C1769" t="str">
        <f t="shared" si="460"/>
        <v>Peter</v>
      </c>
      <c r="D1769" s="8" t="str">
        <f t="shared" si="461"/>
        <v>Franken</v>
      </c>
      <c r="E1769" s="8" t="str">
        <f t="shared" si="462"/>
        <v>Franken, Peter</v>
      </c>
      <c r="F1769" s="8" t="str">
        <f t="shared" si="463"/>
        <v>Franken, Peter</v>
      </c>
      <c r="G1769" s="8" t="str">
        <f t="shared" si="464"/>
        <v>not an outlier</v>
      </c>
      <c r="H1769" s="8" t="str">
        <f t="shared" si="465"/>
        <v>Not</v>
      </c>
      <c r="I1769" s="8" t="str">
        <f t="shared" si="475"/>
        <v>no</v>
      </c>
      <c r="J1769" s="10" t="str">
        <f t="shared" si="466"/>
        <v>no</v>
      </c>
      <c r="K1769" s="10" t="str">
        <f t="shared" si="467"/>
        <v>no</v>
      </c>
      <c r="L1769" t="s">
        <v>198</v>
      </c>
      <c r="M1769">
        <v>10929</v>
      </c>
      <c r="N1769">
        <v>21</v>
      </c>
      <c r="O1769" t="s">
        <v>710</v>
      </c>
      <c r="P1769" t="str">
        <f t="shared" si="468"/>
        <v>FRANK_10929_Sir Rodney's Scones</v>
      </c>
      <c r="Q1769" t="str">
        <f t="shared" si="469"/>
        <v>10929</v>
      </c>
      <c r="R1769" t="str">
        <f t="shared" si="470"/>
        <v>10929</v>
      </c>
      <c r="S1769" t="str">
        <f t="shared" si="471"/>
        <v>Sir Rodney's Scones</v>
      </c>
      <c r="T1769">
        <v>10</v>
      </c>
      <c r="U1769">
        <v>60</v>
      </c>
      <c r="V1769">
        <v>0</v>
      </c>
      <c r="W1769">
        <f t="shared" si="472"/>
        <v>600</v>
      </c>
      <c r="X1769" t="str">
        <f t="shared" si="473"/>
        <v>yes</v>
      </c>
      <c r="Y1769" s="2">
        <v>35159</v>
      </c>
      <c r="Z1769" t="str">
        <f t="shared" si="459"/>
        <v/>
      </c>
      <c r="AA1769" t="str">
        <f t="shared" si="474"/>
        <v>2nd Q 1996</v>
      </c>
      <c r="AB1769" t="str" cm="1">
        <f t="array" ref="AB1769">_xlfn.IFS(Y1769&lt;DATE(1996,1,1),"",Y1769&lt;DATE(1996,4,1),"Q1",Y1769&lt;DATE(1996,7,1),"Q2",Y1769&gt;=DATE(1996,7,1),"")</f>
        <v>Q2</v>
      </c>
    </row>
    <row r="1770" spans="1:28" ht="14.4" x14ac:dyDescent="0.55000000000000004">
      <c r="A1770" t="str">
        <f>VLOOKUP(L1770,Customers!$A$2:$B$92,2,FALSE)</f>
        <v>Frankenversand</v>
      </c>
      <c r="B1770" t="str">
        <f>VLOOKUP(L1770,Customers!$A$2:$C$92,3,TRUE)</f>
        <v>Peter Franken</v>
      </c>
      <c r="C1770" t="str">
        <f t="shared" si="460"/>
        <v>Peter</v>
      </c>
      <c r="D1770" s="8" t="str">
        <f t="shared" si="461"/>
        <v>Franken</v>
      </c>
      <c r="E1770" s="8" t="str">
        <f t="shared" si="462"/>
        <v>Franken, Peter</v>
      </c>
      <c r="F1770" s="8" t="str">
        <f t="shared" si="463"/>
        <v>Franken, Peter</v>
      </c>
      <c r="G1770" s="8" t="str">
        <f t="shared" si="464"/>
        <v>not an outlier</v>
      </c>
      <c r="H1770" s="8" t="str">
        <f t="shared" si="465"/>
        <v>Not</v>
      </c>
      <c r="I1770" s="8" t="str">
        <f t="shared" si="475"/>
        <v>no</v>
      </c>
      <c r="J1770" s="10" t="str">
        <f t="shared" si="466"/>
        <v>no</v>
      </c>
      <c r="K1770" s="10" t="str">
        <f t="shared" si="467"/>
        <v>no</v>
      </c>
      <c r="L1770" t="s">
        <v>198</v>
      </c>
      <c r="M1770">
        <v>10929</v>
      </c>
      <c r="N1770">
        <v>75</v>
      </c>
      <c r="O1770" t="s">
        <v>731</v>
      </c>
      <c r="P1770" t="str">
        <f t="shared" si="468"/>
        <v>FRANK_10929_Rhönbräu Klosterbier</v>
      </c>
      <c r="Q1770" t="str">
        <f t="shared" si="469"/>
        <v>10929</v>
      </c>
      <c r="R1770" t="str">
        <f t="shared" si="470"/>
        <v>10929</v>
      </c>
      <c r="S1770" t="str">
        <f t="shared" si="471"/>
        <v>Rhönbräu Klosterbier</v>
      </c>
      <c r="T1770">
        <v>7.75</v>
      </c>
      <c r="U1770">
        <v>49</v>
      </c>
      <c r="V1770">
        <v>0</v>
      </c>
      <c r="W1770">
        <f t="shared" si="472"/>
        <v>379.75</v>
      </c>
      <c r="X1770" t="str">
        <f t="shared" si="473"/>
        <v>yes</v>
      </c>
      <c r="Y1770" s="2">
        <v>35159</v>
      </c>
      <c r="Z1770" t="str">
        <f t="shared" si="459"/>
        <v/>
      </c>
      <c r="AA1770" t="str">
        <f t="shared" si="474"/>
        <v>2nd Q 1996</v>
      </c>
      <c r="AB1770" t="str" cm="1">
        <f t="array" ref="AB1770">_xlfn.IFS(Y1770&lt;DATE(1996,1,1),"",Y1770&lt;DATE(1996,4,1),"Q1",Y1770&lt;DATE(1996,7,1),"Q2",Y1770&gt;=DATE(1996,7,1),"")</f>
        <v>Q2</v>
      </c>
    </row>
    <row r="1771" spans="1:28" ht="14.4" x14ac:dyDescent="0.55000000000000004">
      <c r="A1771" t="str">
        <f>VLOOKUP(L1771,Customers!$A$2:$B$92,2,FALSE)</f>
        <v>Frankenversand</v>
      </c>
      <c r="B1771" t="str">
        <f>VLOOKUP(L1771,Customers!$A$2:$C$92,3,TRUE)</f>
        <v>Peter Franken</v>
      </c>
      <c r="C1771" t="str">
        <f t="shared" si="460"/>
        <v>Peter</v>
      </c>
      <c r="D1771" s="8" t="str">
        <f t="shared" si="461"/>
        <v>Franken</v>
      </c>
      <c r="E1771" s="8" t="str">
        <f t="shared" si="462"/>
        <v>Franken, Peter</v>
      </c>
      <c r="F1771" s="8" t="str">
        <f t="shared" si="463"/>
        <v>Franken, Peter</v>
      </c>
      <c r="G1771" s="8" t="str">
        <f t="shared" si="464"/>
        <v>not an outlier</v>
      </c>
      <c r="H1771" s="8" t="str">
        <f t="shared" si="465"/>
        <v>Not</v>
      </c>
      <c r="I1771" s="8" t="str">
        <f t="shared" si="475"/>
        <v>no</v>
      </c>
      <c r="J1771" s="10" t="str">
        <f t="shared" si="466"/>
        <v>no</v>
      </c>
      <c r="K1771" s="10" t="str">
        <f t="shared" si="467"/>
        <v>no</v>
      </c>
      <c r="L1771" t="s">
        <v>198</v>
      </c>
      <c r="M1771">
        <v>10929</v>
      </c>
      <c r="N1771">
        <v>77</v>
      </c>
      <c r="O1771" t="s">
        <v>706</v>
      </c>
      <c r="P1771" t="str">
        <f t="shared" si="468"/>
        <v>FRANK_10929_Original Frankfurter grüne Soße</v>
      </c>
      <c r="Q1771" t="str">
        <f t="shared" si="469"/>
        <v>10929</v>
      </c>
      <c r="R1771" t="str">
        <f t="shared" si="470"/>
        <v>10929</v>
      </c>
      <c r="S1771" t="str">
        <f t="shared" si="471"/>
        <v>Original Frankfurter grüne Soße</v>
      </c>
      <c r="T1771">
        <v>13</v>
      </c>
      <c r="U1771">
        <v>15</v>
      </c>
      <c r="V1771">
        <v>0</v>
      </c>
      <c r="W1771">
        <f t="shared" si="472"/>
        <v>195</v>
      </c>
      <c r="X1771" t="str">
        <f t="shared" si="473"/>
        <v>yes</v>
      </c>
      <c r="Y1771" s="2">
        <v>35159</v>
      </c>
      <c r="Z1771" t="str">
        <f t="shared" si="459"/>
        <v/>
      </c>
      <c r="AA1771" t="str">
        <f t="shared" si="474"/>
        <v>2nd Q 1996</v>
      </c>
      <c r="AB1771" t="str" cm="1">
        <f t="array" ref="AB1771">_xlfn.IFS(Y1771&lt;DATE(1996,1,1),"",Y1771&lt;DATE(1996,4,1),"Q1",Y1771&lt;DATE(1996,7,1),"Q2",Y1771&gt;=DATE(1996,7,1),"")</f>
        <v>Q2</v>
      </c>
    </row>
    <row r="1772" spans="1:28" ht="14.4" x14ac:dyDescent="0.55000000000000004">
      <c r="A1772" t="str">
        <f>VLOOKUP(L1772,Customers!$A$2:$B$92,2,FALSE)</f>
        <v>Suprêmes délices</v>
      </c>
      <c r="B1772" t="str">
        <f>VLOOKUP(L1772,Customers!$A$2:$C$92,3,TRUE)</f>
        <v>Pascale Cartrain</v>
      </c>
      <c r="C1772" t="str">
        <f t="shared" si="460"/>
        <v>Pascale</v>
      </c>
      <c r="D1772" s="8" t="str">
        <f t="shared" si="461"/>
        <v>Cartrain</v>
      </c>
      <c r="E1772" s="8" t="str">
        <f t="shared" si="462"/>
        <v>Cartrain, Pascale</v>
      </c>
      <c r="F1772" s="8" t="str">
        <f t="shared" si="463"/>
        <v>Cartrain, Pascale</v>
      </c>
      <c r="G1772" s="8" t="str">
        <f t="shared" si="464"/>
        <v>not an outlier</v>
      </c>
      <c r="H1772" s="8" t="str">
        <f t="shared" si="465"/>
        <v>Not</v>
      </c>
      <c r="I1772" s="8" t="str">
        <f t="shared" si="475"/>
        <v>no</v>
      </c>
      <c r="J1772" s="10" t="str">
        <f t="shared" si="466"/>
        <v>no</v>
      </c>
      <c r="K1772" s="10" t="str">
        <f t="shared" si="467"/>
        <v>no</v>
      </c>
      <c r="L1772" t="s">
        <v>565</v>
      </c>
      <c r="M1772">
        <v>10930</v>
      </c>
      <c r="N1772">
        <v>21</v>
      </c>
      <c r="O1772" t="s">
        <v>710</v>
      </c>
      <c r="P1772" t="str">
        <f t="shared" si="468"/>
        <v>SUPRD_10930_Sir Rodney's Scones</v>
      </c>
      <c r="Q1772" t="str">
        <f t="shared" si="469"/>
        <v>10930</v>
      </c>
      <c r="R1772" t="str">
        <f t="shared" si="470"/>
        <v>10930</v>
      </c>
      <c r="S1772" t="str">
        <f t="shared" si="471"/>
        <v>Sir Rodney's Scones</v>
      </c>
      <c r="T1772">
        <v>10</v>
      </c>
      <c r="U1772">
        <v>36</v>
      </c>
      <c r="V1772">
        <v>0</v>
      </c>
      <c r="W1772">
        <f t="shared" si="472"/>
        <v>360</v>
      </c>
      <c r="X1772" t="str">
        <f t="shared" si="473"/>
        <v>yes</v>
      </c>
      <c r="Y1772" s="2">
        <v>35160</v>
      </c>
      <c r="Z1772" t="str">
        <f t="shared" si="459"/>
        <v/>
      </c>
      <c r="AA1772" t="str">
        <f t="shared" si="474"/>
        <v>2nd Q 1996</v>
      </c>
      <c r="AB1772" t="str" cm="1">
        <f t="array" ref="AB1772">_xlfn.IFS(Y1772&lt;DATE(1996,1,1),"",Y1772&lt;DATE(1996,4,1),"Q1",Y1772&lt;DATE(1996,7,1),"Q2",Y1772&gt;=DATE(1996,7,1),"")</f>
        <v>Q2</v>
      </c>
    </row>
    <row r="1773" spans="1:28" ht="14.4" x14ac:dyDescent="0.55000000000000004">
      <c r="A1773" t="str">
        <f>VLOOKUP(L1773,Customers!$A$2:$B$92,2,FALSE)</f>
        <v>Suprêmes délices</v>
      </c>
      <c r="B1773" t="str">
        <f>VLOOKUP(L1773,Customers!$A$2:$C$92,3,TRUE)</f>
        <v>Pascale Cartrain</v>
      </c>
      <c r="C1773" t="str">
        <f t="shared" si="460"/>
        <v>Pascale</v>
      </c>
      <c r="D1773" s="8" t="str">
        <f t="shared" si="461"/>
        <v>Cartrain</v>
      </c>
      <c r="E1773" s="8" t="str">
        <f t="shared" si="462"/>
        <v>Cartrain, Pascale</v>
      </c>
      <c r="F1773" s="8" t="str">
        <f t="shared" si="463"/>
        <v>Cartrain, Pascale</v>
      </c>
      <c r="G1773" s="8" t="str">
        <f t="shared" si="464"/>
        <v>not an outlier</v>
      </c>
      <c r="H1773" s="8" t="str">
        <f t="shared" si="465"/>
        <v>Not</v>
      </c>
      <c r="I1773" s="8" t="str">
        <f t="shared" si="475"/>
        <v>no</v>
      </c>
      <c r="J1773" s="10" t="str">
        <f t="shared" si="466"/>
        <v>no</v>
      </c>
      <c r="K1773" s="10" t="str">
        <f t="shared" si="467"/>
        <v>no</v>
      </c>
      <c r="L1773" t="s">
        <v>565</v>
      </c>
      <c r="M1773">
        <v>10930</v>
      </c>
      <c r="N1773">
        <v>27</v>
      </c>
      <c r="O1773" t="s">
        <v>707</v>
      </c>
      <c r="P1773" t="str">
        <f t="shared" si="468"/>
        <v>SUPRD_10930_Schoggi Schokolade</v>
      </c>
      <c r="Q1773" t="str">
        <f t="shared" si="469"/>
        <v>10930</v>
      </c>
      <c r="R1773" t="str">
        <f t="shared" si="470"/>
        <v>10930</v>
      </c>
      <c r="S1773" t="str">
        <f t="shared" si="471"/>
        <v>Schoggi Schokolade</v>
      </c>
      <c r="T1773">
        <v>43.9</v>
      </c>
      <c r="U1773">
        <v>25</v>
      </c>
      <c r="V1773">
        <v>0</v>
      </c>
      <c r="W1773">
        <f t="shared" si="472"/>
        <v>1097.5</v>
      </c>
      <c r="X1773" t="str">
        <f t="shared" si="473"/>
        <v>yes</v>
      </c>
      <c r="Y1773" s="2">
        <v>35160</v>
      </c>
      <c r="Z1773" t="str">
        <f t="shared" si="459"/>
        <v/>
      </c>
      <c r="AA1773" t="str">
        <f t="shared" si="474"/>
        <v>2nd Q 1996</v>
      </c>
      <c r="AB1773" t="str" cm="1">
        <f t="array" ref="AB1773">_xlfn.IFS(Y1773&lt;DATE(1996,1,1),"",Y1773&lt;DATE(1996,4,1),"Q1",Y1773&lt;DATE(1996,7,1),"Q2",Y1773&gt;=DATE(1996,7,1),"")</f>
        <v>Q2</v>
      </c>
    </row>
    <row r="1774" spans="1:28" ht="14.4" x14ac:dyDescent="0.55000000000000004">
      <c r="A1774" t="str">
        <f>VLOOKUP(L1774,Customers!$A$2:$B$92,2,FALSE)</f>
        <v>Suprêmes délices</v>
      </c>
      <c r="B1774" t="str">
        <f>VLOOKUP(L1774,Customers!$A$2:$C$92,3,TRUE)</f>
        <v>Pascale Cartrain</v>
      </c>
      <c r="C1774" t="str">
        <f t="shared" si="460"/>
        <v>Pascale</v>
      </c>
      <c r="D1774" s="8" t="str">
        <f t="shared" si="461"/>
        <v>Cartrain</v>
      </c>
      <c r="E1774" s="8" t="str">
        <f t="shared" si="462"/>
        <v>Cartrain, Pascale</v>
      </c>
      <c r="F1774" s="8" t="str">
        <f t="shared" si="463"/>
        <v>Cartrain, Pascale</v>
      </c>
      <c r="G1774" s="8" t="str">
        <f t="shared" si="464"/>
        <v>not an outlier</v>
      </c>
      <c r="H1774" s="8" t="str">
        <f t="shared" si="465"/>
        <v>Not</v>
      </c>
      <c r="I1774" s="8" t="str">
        <f t="shared" si="475"/>
        <v>no</v>
      </c>
      <c r="J1774" s="10" t="str">
        <f t="shared" si="466"/>
        <v>no</v>
      </c>
      <c r="K1774" s="10" t="str">
        <f t="shared" si="467"/>
        <v>no</v>
      </c>
      <c r="L1774" t="s">
        <v>565</v>
      </c>
      <c r="M1774">
        <v>10930</v>
      </c>
      <c r="N1774">
        <v>55</v>
      </c>
      <c r="O1774" t="s">
        <v>699</v>
      </c>
      <c r="P1774" t="str">
        <f t="shared" si="468"/>
        <v>SUPRD_10930_Pâté chinois</v>
      </c>
      <c r="Q1774" t="str">
        <f t="shared" si="469"/>
        <v>10930</v>
      </c>
      <c r="R1774" t="str">
        <f t="shared" si="470"/>
        <v>10930</v>
      </c>
      <c r="S1774" t="str">
        <f t="shared" si="471"/>
        <v>Pâté chinois</v>
      </c>
      <c r="T1774">
        <v>24</v>
      </c>
      <c r="U1774">
        <v>25</v>
      </c>
      <c r="V1774">
        <v>0.2</v>
      </c>
      <c r="W1774">
        <f t="shared" si="472"/>
        <v>480</v>
      </c>
      <c r="X1774" t="str">
        <f t="shared" si="473"/>
        <v>yes</v>
      </c>
      <c r="Y1774" s="2">
        <v>35160</v>
      </c>
      <c r="Z1774" t="str">
        <f t="shared" si="459"/>
        <v/>
      </c>
      <c r="AA1774" t="str">
        <f t="shared" si="474"/>
        <v>2nd Q 1996</v>
      </c>
      <c r="AB1774" t="str" cm="1">
        <f t="array" ref="AB1774">_xlfn.IFS(Y1774&lt;DATE(1996,1,1),"",Y1774&lt;DATE(1996,4,1),"Q1",Y1774&lt;DATE(1996,7,1),"Q2",Y1774&gt;=DATE(1996,7,1),"")</f>
        <v>Q2</v>
      </c>
    </row>
    <row r="1775" spans="1:28" ht="14.4" x14ac:dyDescent="0.55000000000000004">
      <c r="A1775" t="str">
        <f>VLOOKUP(L1775,Customers!$A$2:$B$92,2,FALSE)</f>
        <v>Suprêmes délices</v>
      </c>
      <c r="B1775" t="str">
        <f>VLOOKUP(L1775,Customers!$A$2:$C$92,3,TRUE)</f>
        <v>Pascale Cartrain</v>
      </c>
      <c r="C1775" t="str">
        <f t="shared" si="460"/>
        <v>Pascale</v>
      </c>
      <c r="D1775" s="8" t="str">
        <f t="shared" si="461"/>
        <v>Cartrain</v>
      </c>
      <c r="E1775" s="8" t="str">
        <f t="shared" si="462"/>
        <v>Cartrain, Pascale</v>
      </c>
      <c r="F1775" s="8" t="str">
        <f t="shared" si="463"/>
        <v>Cartrain, Pascale</v>
      </c>
      <c r="G1775" s="8" t="str">
        <f t="shared" si="464"/>
        <v>not an outlier</v>
      </c>
      <c r="H1775" s="8" t="str">
        <f t="shared" si="465"/>
        <v>Not</v>
      </c>
      <c r="I1775" s="8" t="str">
        <f t="shared" si="475"/>
        <v>no</v>
      </c>
      <c r="J1775" s="10" t="str">
        <f t="shared" si="466"/>
        <v>no</v>
      </c>
      <c r="K1775" s="10" t="str">
        <f t="shared" si="467"/>
        <v>no</v>
      </c>
      <c r="L1775" t="s">
        <v>565</v>
      </c>
      <c r="M1775">
        <v>10930</v>
      </c>
      <c r="N1775">
        <v>58</v>
      </c>
      <c r="O1775" t="s">
        <v>747</v>
      </c>
      <c r="P1775" t="str">
        <f t="shared" si="468"/>
        <v>SUPRD_10930_Escargots de Bourgogne</v>
      </c>
      <c r="Q1775" t="str">
        <f t="shared" si="469"/>
        <v>10930</v>
      </c>
      <c r="R1775" t="str">
        <f t="shared" si="470"/>
        <v>10930</v>
      </c>
      <c r="S1775" t="str">
        <f t="shared" si="471"/>
        <v>Escargots de Bourgogne</v>
      </c>
      <c r="T1775">
        <v>13.25</v>
      </c>
      <c r="U1775">
        <v>30</v>
      </c>
      <c r="V1775">
        <v>0.2</v>
      </c>
      <c r="W1775">
        <f t="shared" si="472"/>
        <v>318</v>
      </c>
      <c r="X1775" t="str">
        <f t="shared" si="473"/>
        <v>yes</v>
      </c>
      <c r="Y1775" s="2">
        <v>35160</v>
      </c>
      <c r="Z1775" t="str">
        <f t="shared" si="459"/>
        <v/>
      </c>
      <c r="AA1775" t="str">
        <f t="shared" si="474"/>
        <v>2nd Q 1996</v>
      </c>
      <c r="AB1775" t="str" cm="1">
        <f t="array" ref="AB1775">_xlfn.IFS(Y1775&lt;DATE(1996,1,1),"",Y1775&lt;DATE(1996,4,1),"Q1",Y1775&lt;DATE(1996,7,1),"Q2",Y1775&gt;=DATE(1996,7,1),"")</f>
        <v>Q2</v>
      </c>
    </row>
    <row r="1776" spans="1:28" ht="14.4" x14ac:dyDescent="0.55000000000000004">
      <c r="A1776" t="str">
        <f>VLOOKUP(L1776,Customers!$A$2:$B$92,2,FALSE)</f>
        <v>Richter Supermarkt</v>
      </c>
      <c r="B1776" t="str">
        <f>VLOOKUP(L1776,Customers!$A$2:$C$92,3,TRUE)</f>
        <v>Michael Holz</v>
      </c>
      <c r="C1776" t="str">
        <f t="shared" si="460"/>
        <v>Michael</v>
      </c>
      <c r="D1776" s="8" t="str">
        <f t="shared" si="461"/>
        <v>Holz</v>
      </c>
      <c r="E1776" s="8" t="str">
        <f t="shared" si="462"/>
        <v>Holz, Michael</v>
      </c>
      <c r="F1776" s="8" t="str">
        <f t="shared" si="463"/>
        <v>Holz, Michael</v>
      </c>
      <c r="G1776" s="8" t="str">
        <f t="shared" si="464"/>
        <v>not an outlier</v>
      </c>
      <c r="H1776" s="8" t="str">
        <f t="shared" si="465"/>
        <v>Not</v>
      </c>
      <c r="I1776" s="8" t="str">
        <f t="shared" si="475"/>
        <v>no</v>
      </c>
      <c r="J1776" s="10" t="str">
        <f t="shared" si="466"/>
        <v>no</v>
      </c>
      <c r="K1776" s="10" t="str">
        <f t="shared" si="467"/>
        <v>no</v>
      </c>
      <c r="L1776" t="s">
        <v>509</v>
      </c>
      <c r="M1776">
        <v>10931</v>
      </c>
      <c r="N1776">
        <v>13</v>
      </c>
      <c r="O1776" t="s">
        <v>726</v>
      </c>
      <c r="P1776" t="str">
        <f t="shared" si="468"/>
        <v>RICSU_10931_Konbu</v>
      </c>
      <c r="Q1776" t="str">
        <f t="shared" si="469"/>
        <v>10931</v>
      </c>
      <c r="R1776" t="str">
        <f t="shared" si="470"/>
        <v>10931</v>
      </c>
      <c r="S1776" t="str">
        <f t="shared" si="471"/>
        <v>Konbu</v>
      </c>
      <c r="T1776">
        <v>6</v>
      </c>
      <c r="U1776">
        <v>42</v>
      </c>
      <c r="V1776">
        <v>0.15</v>
      </c>
      <c r="W1776">
        <f t="shared" si="472"/>
        <v>214.2</v>
      </c>
      <c r="X1776" t="str">
        <f t="shared" si="473"/>
        <v>yes</v>
      </c>
      <c r="Y1776" s="2">
        <v>35160</v>
      </c>
      <c r="Z1776" t="str">
        <f t="shared" si="459"/>
        <v/>
      </c>
      <c r="AA1776" t="str">
        <f t="shared" si="474"/>
        <v>2nd Q 1996</v>
      </c>
      <c r="AB1776" t="str" cm="1">
        <f t="array" ref="AB1776">_xlfn.IFS(Y1776&lt;DATE(1996,1,1),"",Y1776&lt;DATE(1996,4,1),"Q1",Y1776&lt;DATE(1996,7,1),"Q2",Y1776&gt;=DATE(1996,7,1),"")</f>
        <v>Q2</v>
      </c>
    </row>
    <row r="1777" spans="1:28" ht="14.4" x14ac:dyDescent="0.55000000000000004">
      <c r="A1777" t="str">
        <f>VLOOKUP(L1777,Customers!$A$2:$B$92,2,FALSE)</f>
        <v>Richter Supermarkt</v>
      </c>
      <c r="B1777" t="str">
        <f>VLOOKUP(L1777,Customers!$A$2:$C$92,3,TRUE)</f>
        <v>Michael Holz</v>
      </c>
      <c r="C1777" t="str">
        <f t="shared" si="460"/>
        <v>Michael</v>
      </c>
      <c r="D1777" s="8" t="str">
        <f t="shared" si="461"/>
        <v>Holz</v>
      </c>
      <c r="E1777" s="8" t="str">
        <f t="shared" si="462"/>
        <v>Holz, Michael</v>
      </c>
      <c r="F1777" s="8" t="str">
        <f t="shared" si="463"/>
        <v>Holz, Michael</v>
      </c>
      <c r="G1777" s="8" t="str">
        <f t="shared" si="464"/>
        <v>not an outlier</v>
      </c>
      <c r="H1777" s="8" t="str">
        <f t="shared" si="465"/>
        <v>Not</v>
      </c>
      <c r="I1777" s="8" t="str">
        <f t="shared" si="475"/>
        <v>no</v>
      </c>
      <c r="J1777" s="10" t="str">
        <f t="shared" si="466"/>
        <v>no</v>
      </c>
      <c r="K1777" s="10" t="str">
        <f t="shared" si="467"/>
        <v>no</v>
      </c>
      <c r="L1777" t="s">
        <v>509</v>
      </c>
      <c r="M1777">
        <v>10931</v>
      </c>
      <c r="N1777">
        <v>57</v>
      </c>
      <c r="O1777" t="s">
        <v>691</v>
      </c>
      <c r="P1777" t="str">
        <f t="shared" si="468"/>
        <v>RICSU_10931_Ravioli Angelo</v>
      </c>
      <c r="Q1777" t="str">
        <f t="shared" si="469"/>
        <v>10931</v>
      </c>
      <c r="R1777" t="str">
        <f t="shared" si="470"/>
        <v>10931</v>
      </c>
      <c r="S1777" t="str">
        <f t="shared" si="471"/>
        <v>Ravioli Angelo</v>
      </c>
      <c r="T1777">
        <v>19.5</v>
      </c>
      <c r="U1777">
        <v>30</v>
      </c>
      <c r="V1777">
        <v>0</v>
      </c>
      <c r="W1777">
        <f t="shared" si="472"/>
        <v>585</v>
      </c>
      <c r="X1777" t="str">
        <f t="shared" si="473"/>
        <v>yes</v>
      </c>
      <c r="Y1777" s="2">
        <v>35160</v>
      </c>
      <c r="Z1777" t="str">
        <f t="shared" si="459"/>
        <v/>
      </c>
      <c r="AA1777" t="str">
        <f t="shared" si="474"/>
        <v>2nd Q 1996</v>
      </c>
      <c r="AB1777" t="str" cm="1">
        <f t="array" ref="AB1777">_xlfn.IFS(Y1777&lt;DATE(1996,1,1),"",Y1777&lt;DATE(1996,4,1),"Q1",Y1777&lt;DATE(1996,7,1),"Q2",Y1777&gt;=DATE(1996,7,1),"")</f>
        <v>Q2</v>
      </c>
    </row>
    <row r="1778" spans="1:28" ht="14.4" x14ac:dyDescent="0.55000000000000004">
      <c r="A1778" t="str">
        <f>VLOOKUP(L1778,Customers!$A$2:$B$92,2,FALSE)</f>
        <v>Bon app'</v>
      </c>
      <c r="B1778" t="str">
        <f>VLOOKUP(L1778,Customers!$A$2:$C$92,3,TRUE)</f>
        <v>Laurence Lebihan</v>
      </c>
      <c r="C1778" t="str">
        <f t="shared" si="460"/>
        <v>Laurence</v>
      </c>
      <c r="D1778" s="8" t="str">
        <f t="shared" si="461"/>
        <v>Lebihan</v>
      </c>
      <c r="E1778" s="8" t="str">
        <f t="shared" si="462"/>
        <v>Lebihan, Laurence</v>
      </c>
      <c r="F1778" s="8" t="str">
        <f t="shared" si="463"/>
        <v>Lebihan, Laurence</v>
      </c>
      <c r="G1778" s="8" t="str">
        <f t="shared" si="464"/>
        <v>not an outlier</v>
      </c>
      <c r="H1778" s="8" t="str">
        <f t="shared" si="465"/>
        <v>Not</v>
      </c>
      <c r="I1778" s="8" t="str">
        <f t="shared" si="475"/>
        <v>no</v>
      </c>
      <c r="J1778" s="10" t="str">
        <f t="shared" si="466"/>
        <v>no</v>
      </c>
      <c r="K1778" s="10" t="str">
        <f t="shared" si="467"/>
        <v>no</v>
      </c>
      <c r="L1778" t="s">
        <v>77</v>
      </c>
      <c r="M1778">
        <v>10932</v>
      </c>
      <c r="N1778">
        <v>16</v>
      </c>
      <c r="O1778" t="s">
        <v>702</v>
      </c>
      <c r="P1778" t="str">
        <f t="shared" si="468"/>
        <v>BONAP_10932_Pavlova</v>
      </c>
      <c r="Q1778" t="str">
        <f t="shared" si="469"/>
        <v>10932</v>
      </c>
      <c r="R1778" t="str">
        <f t="shared" si="470"/>
        <v>10932</v>
      </c>
      <c r="S1778" t="str">
        <f t="shared" si="471"/>
        <v>Pavlova</v>
      </c>
      <c r="T1778">
        <v>17.45</v>
      </c>
      <c r="U1778">
        <v>30</v>
      </c>
      <c r="V1778">
        <v>0.1</v>
      </c>
      <c r="W1778">
        <f t="shared" si="472"/>
        <v>471.15000000000003</v>
      </c>
      <c r="X1778" t="str">
        <f t="shared" si="473"/>
        <v>yes</v>
      </c>
      <c r="Y1778" s="2">
        <v>35160</v>
      </c>
      <c r="Z1778" t="str">
        <f t="shared" ref="Z1778:Z1841" si="476">IF(Y1778&gt;=DATE(1996,1,1), IF(Y1778&lt;DATE(1996,4,1),"1st Q 1996",""),"")</f>
        <v/>
      </c>
      <c r="AA1778" t="str">
        <f t="shared" si="474"/>
        <v>2nd Q 1996</v>
      </c>
      <c r="AB1778" t="str" cm="1">
        <f t="array" ref="AB1778">_xlfn.IFS(Y1778&lt;DATE(1996,1,1),"",Y1778&lt;DATE(1996,4,1),"Q1",Y1778&lt;DATE(1996,7,1),"Q2",Y1778&gt;=DATE(1996,7,1),"")</f>
        <v>Q2</v>
      </c>
    </row>
    <row r="1779" spans="1:28" ht="14.4" x14ac:dyDescent="0.55000000000000004">
      <c r="A1779" t="str">
        <f>VLOOKUP(L1779,Customers!$A$2:$B$92,2,FALSE)</f>
        <v>Bon app'</v>
      </c>
      <c r="B1779" t="str">
        <f>VLOOKUP(L1779,Customers!$A$2:$C$92,3,TRUE)</f>
        <v>Laurence Lebihan</v>
      </c>
      <c r="C1779" t="str">
        <f t="shared" si="460"/>
        <v>Laurence</v>
      </c>
      <c r="D1779" s="8" t="str">
        <f t="shared" si="461"/>
        <v>Lebihan</v>
      </c>
      <c r="E1779" s="8" t="str">
        <f t="shared" si="462"/>
        <v>Lebihan, Laurence</v>
      </c>
      <c r="F1779" s="8" t="str">
        <f t="shared" si="463"/>
        <v>Lebihan, Laurence</v>
      </c>
      <c r="G1779" s="8" t="str">
        <f t="shared" si="464"/>
        <v>not an outlier</v>
      </c>
      <c r="H1779" s="8" t="str">
        <f t="shared" si="465"/>
        <v>Not</v>
      </c>
      <c r="I1779" s="8" t="str">
        <f t="shared" si="475"/>
        <v>no</v>
      </c>
      <c r="J1779" s="10" t="str">
        <f t="shared" si="466"/>
        <v>no</v>
      </c>
      <c r="K1779" s="10" t="str">
        <f t="shared" si="467"/>
        <v>no</v>
      </c>
      <c r="L1779" t="s">
        <v>77</v>
      </c>
      <c r="M1779">
        <v>10932</v>
      </c>
      <c r="N1779">
        <v>62</v>
      </c>
      <c r="O1779" t="s">
        <v>712</v>
      </c>
      <c r="P1779" t="str">
        <f t="shared" si="468"/>
        <v>BONAP_10932_Tarte au sucre</v>
      </c>
      <c r="Q1779" t="str">
        <f t="shared" si="469"/>
        <v>10932</v>
      </c>
      <c r="R1779" t="str">
        <f t="shared" si="470"/>
        <v>10932</v>
      </c>
      <c r="S1779" t="str">
        <f t="shared" si="471"/>
        <v>Tarte au sucre</v>
      </c>
      <c r="T1779">
        <v>49.3</v>
      </c>
      <c r="U1779">
        <v>14</v>
      </c>
      <c r="V1779">
        <v>0.1</v>
      </c>
      <c r="W1779">
        <f t="shared" si="472"/>
        <v>621.17999999999995</v>
      </c>
      <c r="X1779" t="str">
        <f t="shared" si="473"/>
        <v>yes</v>
      </c>
      <c r="Y1779" s="2">
        <v>35160</v>
      </c>
      <c r="Z1779" t="str">
        <f t="shared" si="476"/>
        <v/>
      </c>
      <c r="AA1779" t="str">
        <f t="shared" si="474"/>
        <v>2nd Q 1996</v>
      </c>
      <c r="AB1779" t="str" cm="1">
        <f t="array" ref="AB1779">_xlfn.IFS(Y1779&lt;DATE(1996,1,1),"",Y1779&lt;DATE(1996,4,1),"Q1",Y1779&lt;DATE(1996,7,1),"Q2",Y1779&gt;=DATE(1996,7,1),"")</f>
        <v>Q2</v>
      </c>
    </row>
    <row r="1780" spans="1:28" ht="14.4" x14ac:dyDescent="0.55000000000000004">
      <c r="A1780" t="str">
        <f>VLOOKUP(L1780,Customers!$A$2:$B$92,2,FALSE)</f>
        <v>Bon app'</v>
      </c>
      <c r="B1780" t="str">
        <f>VLOOKUP(L1780,Customers!$A$2:$C$92,3,TRUE)</f>
        <v>Laurence Lebihan</v>
      </c>
      <c r="C1780" t="str">
        <f t="shared" si="460"/>
        <v>Laurence</v>
      </c>
      <c r="D1780" s="8" t="str">
        <f t="shared" si="461"/>
        <v>Lebihan</v>
      </c>
      <c r="E1780" s="8" t="str">
        <f t="shared" si="462"/>
        <v>Lebihan, Laurence</v>
      </c>
      <c r="F1780" s="8" t="str">
        <f t="shared" si="463"/>
        <v>Lebihan, Laurence</v>
      </c>
      <c r="G1780" s="8" t="str">
        <f t="shared" si="464"/>
        <v>not an outlier</v>
      </c>
      <c r="H1780" s="8" t="str">
        <f t="shared" si="465"/>
        <v>Not</v>
      </c>
      <c r="I1780" s="8" t="str">
        <f t="shared" si="475"/>
        <v>no</v>
      </c>
      <c r="J1780" s="10" t="str">
        <f t="shared" si="466"/>
        <v>no</v>
      </c>
      <c r="K1780" s="10" t="str">
        <f t="shared" si="467"/>
        <v>no</v>
      </c>
      <c r="L1780" t="s">
        <v>77</v>
      </c>
      <c r="M1780">
        <v>10932</v>
      </c>
      <c r="N1780">
        <v>72</v>
      </c>
      <c r="O1780" t="s">
        <v>685</v>
      </c>
      <c r="P1780" t="str">
        <f t="shared" si="468"/>
        <v>BONAP_10932_Mozzarella di Giovanni</v>
      </c>
      <c r="Q1780" t="str">
        <f t="shared" si="469"/>
        <v>10932</v>
      </c>
      <c r="R1780" t="str">
        <f t="shared" si="470"/>
        <v>10932</v>
      </c>
      <c r="S1780" t="str">
        <f t="shared" si="471"/>
        <v>Mozzarella di Giovanni</v>
      </c>
      <c r="T1780">
        <v>34.799999999999997</v>
      </c>
      <c r="U1780">
        <v>16</v>
      </c>
      <c r="V1780">
        <v>0</v>
      </c>
      <c r="W1780">
        <f t="shared" si="472"/>
        <v>556.79999999999995</v>
      </c>
      <c r="X1780" t="str">
        <f t="shared" si="473"/>
        <v>yes</v>
      </c>
      <c r="Y1780" s="2">
        <v>35160</v>
      </c>
      <c r="Z1780" t="str">
        <f t="shared" si="476"/>
        <v/>
      </c>
      <c r="AA1780" t="str">
        <f t="shared" si="474"/>
        <v>2nd Q 1996</v>
      </c>
      <c r="AB1780" t="str" cm="1">
        <f t="array" ref="AB1780">_xlfn.IFS(Y1780&lt;DATE(1996,1,1),"",Y1780&lt;DATE(1996,4,1),"Q1",Y1780&lt;DATE(1996,7,1),"Q2",Y1780&gt;=DATE(1996,7,1),"")</f>
        <v>Q2</v>
      </c>
    </row>
    <row r="1781" spans="1:28" ht="14.4" x14ac:dyDescent="0.55000000000000004">
      <c r="A1781" t="str">
        <f>VLOOKUP(L1781,Customers!$A$2:$B$92,2,FALSE)</f>
        <v>Bon app'</v>
      </c>
      <c r="B1781" t="str">
        <f>VLOOKUP(L1781,Customers!$A$2:$C$92,3,TRUE)</f>
        <v>Laurence Lebihan</v>
      </c>
      <c r="C1781" t="str">
        <f t="shared" si="460"/>
        <v>Laurence</v>
      </c>
      <c r="D1781" s="8" t="str">
        <f t="shared" si="461"/>
        <v>Lebihan</v>
      </c>
      <c r="E1781" s="8" t="str">
        <f t="shared" si="462"/>
        <v>Lebihan, Laurence</v>
      </c>
      <c r="F1781" s="8" t="str">
        <f t="shared" si="463"/>
        <v>Lebihan, Laurence</v>
      </c>
      <c r="G1781" s="8" t="str">
        <f t="shared" si="464"/>
        <v>not an outlier</v>
      </c>
      <c r="H1781" s="8" t="str">
        <f t="shared" si="465"/>
        <v>Not</v>
      </c>
      <c r="I1781" s="8" t="str">
        <f t="shared" si="475"/>
        <v>no</v>
      </c>
      <c r="J1781" s="10" t="str">
        <f t="shared" si="466"/>
        <v>no</v>
      </c>
      <c r="K1781" s="10" t="str">
        <f t="shared" si="467"/>
        <v>no</v>
      </c>
      <c r="L1781" t="s">
        <v>77</v>
      </c>
      <c r="M1781">
        <v>10932</v>
      </c>
      <c r="N1781">
        <v>75</v>
      </c>
      <c r="O1781" t="s">
        <v>731</v>
      </c>
      <c r="P1781" t="str">
        <f t="shared" si="468"/>
        <v>BONAP_10932_Rhönbräu Klosterbier</v>
      </c>
      <c r="Q1781" t="str">
        <f t="shared" si="469"/>
        <v>10932</v>
      </c>
      <c r="R1781" t="str">
        <f t="shared" si="470"/>
        <v>10932</v>
      </c>
      <c r="S1781" t="str">
        <f t="shared" si="471"/>
        <v>Rhönbräu Klosterbier</v>
      </c>
      <c r="T1781">
        <v>7.75</v>
      </c>
      <c r="U1781">
        <v>20</v>
      </c>
      <c r="V1781">
        <v>0.1</v>
      </c>
      <c r="W1781">
        <f t="shared" si="472"/>
        <v>139.5</v>
      </c>
      <c r="X1781" t="str">
        <f t="shared" si="473"/>
        <v>yes</v>
      </c>
      <c r="Y1781" s="2">
        <v>35160</v>
      </c>
      <c r="Z1781" t="str">
        <f t="shared" si="476"/>
        <v/>
      </c>
      <c r="AA1781" t="str">
        <f t="shared" si="474"/>
        <v>2nd Q 1996</v>
      </c>
      <c r="AB1781" t="str" cm="1">
        <f t="array" ref="AB1781">_xlfn.IFS(Y1781&lt;DATE(1996,1,1),"",Y1781&lt;DATE(1996,4,1),"Q1",Y1781&lt;DATE(1996,7,1),"Q2",Y1781&gt;=DATE(1996,7,1),"")</f>
        <v>Q2</v>
      </c>
    </row>
    <row r="1782" spans="1:28" ht="14.4" x14ac:dyDescent="0.55000000000000004">
      <c r="A1782" t="str">
        <f>VLOOKUP(L1782,Customers!$A$2:$B$92,2,FALSE)</f>
        <v>Island Trading</v>
      </c>
      <c r="B1782" t="str">
        <f>VLOOKUP(L1782,Customers!$A$2:$C$92,3,TRUE)</f>
        <v>Helen Bennett</v>
      </c>
      <c r="C1782" t="str">
        <f t="shared" si="460"/>
        <v>Helen</v>
      </c>
      <c r="D1782" s="8" t="str">
        <f t="shared" si="461"/>
        <v>Bennett</v>
      </c>
      <c r="E1782" s="8" t="str">
        <f t="shared" si="462"/>
        <v>Bennett, Helen</v>
      </c>
      <c r="F1782" s="8" t="str">
        <f t="shared" si="463"/>
        <v>Bennett, Helen</v>
      </c>
      <c r="G1782" s="8" t="str">
        <f t="shared" si="464"/>
        <v>not an outlier</v>
      </c>
      <c r="H1782" s="8" t="str">
        <f t="shared" si="465"/>
        <v>Not</v>
      </c>
      <c r="I1782" s="8" t="str">
        <f t="shared" si="475"/>
        <v>no</v>
      </c>
      <c r="J1782" s="10" t="str">
        <f t="shared" si="466"/>
        <v>no</v>
      </c>
      <c r="K1782" s="10" t="str">
        <f t="shared" si="467"/>
        <v>no</v>
      </c>
      <c r="L1782" t="s">
        <v>297</v>
      </c>
      <c r="M1782">
        <v>10933</v>
      </c>
      <c r="N1782">
        <v>53</v>
      </c>
      <c r="O1782" t="s">
        <v>705</v>
      </c>
      <c r="P1782" t="str">
        <f t="shared" si="468"/>
        <v>ISLAT_10933_Perth Pasties</v>
      </c>
      <c r="Q1782" t="str">
        <f t="shared" si="469"/>
        <v>10933</v>
      </c>
      <c r="R1782" t="str">
        <f t="shared" si="470"/>
        <v>10933</v>
      </c>
      <c r="S1782" t="str">
        <f t="shared" si="471"/>
        <v>Perth Pasties</v>
      </c>
      <c r="T1782">
        <v>32.799999999999997</v>
      </c>
      <c r="U1782">
        <v>2</v>
      </c>
      <c r="V1782">
        <v>0</v>
      </c>
      <c r="W1782">
        <f t="shared" si="472"/>
        <v>65.599999999999994</v>
      </c>
      <c r="X1782" t="str">
        <f t="shared" si="473"/>
        <v>yes</v>
      </c>
      <c r="Y1782" s="2">
        <v>35160</v>
      </c>
      <c r="Z1782" t="str">
        <f t="shared" si="476"/>
        <v/>
      </c>
      <c r="AA1782" t="str">
        <f t="shared" si="474"/>
        <v>2nd Q 1996</v>
      </c>
      <c r="AB1782" t="str" cm="1">
        <f t="array" ref="AB1782">_xlfn.IFS(Y1782&lt;DATE(1996,1,1),"",Y1782&lt;DATE(1996,4,1),"Q1",Y1782&lt;DATE(1996,7,1),"Q2",Y1782&gt;=DATE(1996,7,1),"")</f>
        <v>Q2</v>
      </c>
    </row>
    <row r="1783" spans="1:28" ht="14.4" x14ac:dyDescent="0.55000000000000004">
      <c r="A1783" t="str">
        <f>VLOOKUP(L1783,Customers!$A$2:$B$92,2,FALSE)</f>
        <v>Island Trading</v>
      </c>
      <c r="B1783" t="str">
        <f>VLOOKUP(L1783,Customers!$A$2:$C$92,3,TRUE)</f>
        <v>Helen Bennett</v>
      </c>
      <c r="C1783" t="str">
        <f t="shared" si="460"/>
        <v>Helen</v>
      </c>
      <c r="D1783" s="8" t="str">
        <f t="shared" si="461"/>
        <v>Bennett</v>
      </c>
      <c r="E1783" s="8" t="str">
        <f t="shared" si="462"/>
        <v>Bennett, Helen</v>
      </c>
      <c r="F1783" s="8" t="str">
        <f t="shared" si="463"/>
        <v>Bennett, Helen</v>
      </c>
      <c r="G1783" s="8" t="str">
        <f t="shared" si="464"/>
        <v>not an outlier</v>
      </c>
      <c r="H1783" s="8" t="str">
        <f t="shared" si="465"/>
        <v>Not</v>
      </c>
      <c r="I1783" s="8" t="str">
        <f t="shared" si="475"/>
        <v>no</v>
      </c>
      <c r="J1783" s="10" t="str">
        <f t="shared" si="466"/>
        <v>no</v>
      </c>
      <c r="K1783" s="10" t="str">
        <f t="shared" si="467"/>
        <v>no</v>
      </c>
      <c r="L1783" t="s">
        <v>297</v>
      </c>
      <c r="M1783">
        <v>10933</v>
      </c>
      <c r="N1783">
        <v>61</v>
      </c>
      <c r="O1783" t="s">
        <v>758</v>
      </c>
      <c r="P1783" t="str">
        <f t="shared" si="468"/>
        <v>ISLAT_10933_Sirop d'érable</v>
      </c>
      <c r="Q1783" t="str">
        <f t="shared" si="469"/>
        <v>10933</v>
      </c>
      <c r="R1783" t="str">
        <f t="shared" si="470"/>
        <v>10933</v>
      </c>
      <c r="S1783" t="str">
        <f t="shared" si="471"/>
        <v>Sirop d'érable</v>
      </c>
      <c r="T1783">
        <v>28.5</v>
      </c>
      <c r="U1783">
        <v>30</v>
      </c>
      <c r="V1783">
        <v>0</v>
      </c>
      <c r="W1783">
        <f t="shared" si="472"/>
        <v>855</v>
      </c>
      <c r="X1783" t="str">
        <f t="shared" si="473"/>
        <v>yes</v>
      </c>
      <c r="Y1783" s="2">
        <v>35160</v>
      </c>
      <c r="Z1783" t="str">
        <f t="shared" si="476"/>
        <v/>
      </c>
      <c r="AA1783" t="str">
        <f t="shared" si="474"/>
        <v>2nd Q 1996</v>
      </c>
      <c r="AB1783" t="str" cm="1">
        <f t="array" ref="AB1783">_xlfn.IFS(Y1783&lt;DATE(1996,1,1),"",Y1783&lt;DATE(1996,4,1),"Q1",Y1783&lt;DATE(1996,7,1),"Q2",Y1783&gt;=DATE(1996,7,1),"")</f>
        <v>Q2</v>
      </c>
    </row>
    <row r="1784" spans="1:28" ht="14.4" x14ac:dyDescent="0.55000000000000004">
      <c r="A1784" t="str">
        <f>VLOOKUP(L1784,Customers!$A$2:$B$92,2,FALSE)</f>
        <v>Lehmanns Marktstand</v>
      </c>
      <c r="B1784" t="str">
        <f>VLOOKUP(L1784,Customers!$A$2:$C$92,3,TRUE)</f>
        <v>Renate Messner</v>
      </c>
      <c r="C1784" t="str">
        <f t="shared" si="460"/>
        <v>Renate</v>
      </c>
      <c r="D1784" s="8" t="str">
        <f t="shared" si="461"/>
        <v>Messner</v>
      </c>
      <c r="E1784" s="8" t="str">
        <f t="shared" si="462"/>
        <v>Messner, Renate</v>
      </c>
      <c r="F1784" s="8" t="str">
        <f t="shared" si="463"/>
        <v>Messner, Renate</v>
      </c>
      <c r="G1784" s="8" t="str">
        <f t="shared" si="464"/>
        <v>not an outlier</v>
      </c>
      <c r="H1784" s="8" t="str">
        <f t="shared" si="465"/>
        <v>Not</v>
      </c>
      <c r="I1784" s="8" t="str">
        <f t="shared" si="475"/>
        <v>no</v>
      </c>
      <c r="J1784" s="10" t="str">
        <f t="shared" si="466"/>
        <v>no</v>
      </c>
      <c r="K1784" s="10" t="str">
        <f t="shared" si="467"/>
        <v>no</v>
      </c>
      <c r="L1784" t="s">
        <v>341</v>
      </c>
      <c r="M1784">
        <v>10934</v>
      </c>
      <c r="N1784">
        <v>6</v>
      </c>
      <c r="O1784" t="s">
        <v>746</v>
      </c>
      <c r="P1784" t="str">
        <f t="shared" si="468"/>
        <v>LEHMS_10934_Grandma's Boysenberry Spread</v>
      </c>
      <c r="Q1784" t="str">
        <f t="shared" si="469"/>
        <v>10934</v>
      </c>
      <c r="R1784" t="str">
        <f t="shared" si="470"/>
        <v>10934</v>
      </c>
      <c r="S1784" t="str">
        <f t="shared" si="471"/>
        <v>Grandma's Boysenberry Spread</v>
      </c>
      <c r="T1784">
        <v>25</v>
      </c>
      <c r="U1784">
        <v>20</v>
      </c>
      <c r="V1784">
        <v>0</v>
      </c>
      <c r="W1784">
        <f t="shared" si="472"/>
        <v>500</v>
      </c>
      <c r="X1784" t="str">
        <f t="shared" si="473"/>
        <v>yes</v>
      </c>
      <c r="Y1784" s="2">
        <v>35163</v>
      </c>
      <c r="Z1784" t="str">
        <f t="shared" si="476"/>
        <v/>
      </c>
      <c r="AA1784" t="str">
        <f t="shared" si="474"/>
        <v>2nd Q 1996</v>
      </c>
      <c r="AB1784" t="str" cm="1">
        <f t="array" ref="AB1784">_xlfn.IFS(Y1784&lt;DATE(1996,1,1),"",Y1784&lt;DATE(1996,4,1),"Q1",Y1784&lt;DATE(1996,7,1),"Q2",Y1784&gt;=DATE(1996,7,1),"")</f>
        <v>Q2</v>
      </c>
    </row>
    <row r="1785" spans="1:28" ht="14.4" x14ac:dyDescent="0.55000000000000004">
      <c r="A1785" t="str">
        <f>VLOOKUP(L1785,Customers!$A$2:$B$92,2,FALSE)</f>
        <v>Wellington Importadora</v>
      </c>
      <c r="B1785" t="str">
        <f>VLOOKUP(L1785,Customers!$A$2:$C$92,3,TRUE)</f>
        <v>Paula Parente</v>
      </c>
      <c r="C1785" t="str">
        <f t="shared" si="460"/>
        <v>Paula</v>
      </c>
      <c r="D1785" s="8" t="str">
        <f t="shared" si="461"/>
        <v>Parente</v>
      </c>
      <c r="E1785" s="8" t="str">
        <f t="shared" si="462"/>
        <v>Parente, Paula</v>
      </c>
      <c r="F1785" s="8" t="str">
        <f t="shared" si="463"/>
        <v>Parente, Paula</v>
      </c>
      <c r="G1785" s="8" t="str">
        <f t="shared" si="464"/>
        <v>not an outlier</v>
      </c>
      <c r="H1785" s="8" t="str">
        <f t="shared" si="465"/>
        <v>Not</v>
      </c>
      <c r="I1785" s="8" t="str">
        <f t="shared" si="475"/>
        <v>no</v>
      </c>
      <c r="J1785" s="10" t="str">
        <f t="shared" si="466"/>
        <v>no</v>
      </c>
      <c r="K1785" s="10" t="str">
        <f t="shared" si="467"/>
        <v>no</v>
      </c>
      <c r="L1785" t="s">
        <v>647</v>
      </c>
      <c r="M1785">
        <v>10935</v>
      </c>
      <c r="N1785">
        <v>1</v>
      </c>
      <c r="O1785" t="s">
        <v>735</v>
      </c>
      <c r="P1785" t="str">
        <f t="shared" si="468"/>
        <v>WELLI_10935_Chai</v>
      </c>
      <c r="Q1785" t="str">
        <f t="shared" si="469"/>
        <v>10935</v>
      </c>
      <c r="R1785" t="str">
        <f t="shared" si="470"/>
        <v>10935</v>
      </c>
      <c r="S1785" t="str">
        <f t="shared" si="471"/>
        <v>Chai</v>
      </c>
      <c r="T1785">
        <v>18</v>
      </c>
      <c r="U1785">
        <v>21</v>
      </c>
      <c r="V1785">
        <v>0</v>
      </c>
      <c r="W1785">
        <f t="shared" si="472"/>
        <v>378</v>
      </c>
      <c r="X1785" t="str">
        <f t="shared" si="473"/>
        <v>yes</v>
      </c>
      <c r="Y1785" s="2">
        <v>35163</v>
      </c>
      <c r="Z1785" t="str">
        <f t="shared" si="476"/>
        <v/>
      </c>
      <c r="AA1785" t="str">
        <f t="shared" si="474"/>
        <v>2nd Q 1996</v>
      </c>
      <c r="AB1785" t="str" cm="1">
        <f t="array" ref="AB1785">_xlfn.IFS(Y1785&lt;DATE(1996,1,1),"",Y1785&lt;DATE(1996,4,1),"Q1",Y1785&lt;DATE(1996,7,1),"Q2",Y1785&gt;=DATE(1996,7,1),"")</f>
        <v>Q2</v>
      </c>
    </row>
    <row r="1786" spans="1:28" ht="14.4" x14ac:dyDescent="0.55000000000000004">
      <c r="A1786" t="str">
        <f>VLOOKUP(L1786,Customers!$A$2:$B$92,2,FALSE)</f>
        <v>Wellington Importadora</v>
      </c>
      <c r="B1786" t="str">
        <f>VLOOKUP(L1786,Customers!$A$2:$C$92,3,TRUE)</f>
        <v>Paula Parente</v>
      </c>
      <c r="C1786" t="str">
        <f t="shared" si="460"/>
        <v>Paula</v>
      </c>
      <c r="D1786" s="8" t="str">
        <f t="shared" si="461"/>
        <v>Parente</v>
      </c>
      <c r="E1786" s="8" t="str">
        <f t="shared" si="462"/>
        <v>Parente, Paula</v>
      </c>
      <c r="F1786" s="8" t="str">
        <f t="shared" si="463"/>
        <v>Parente, Paula</v>
      </c>
      <c r="G1786" s="8" t="str">
        <f t="shared" si="464"/>
        <v>not an outlier</v>
      </c>
      <c r="H1786" s="8" t="str">
        <f t="shared" si="465"/>
        <v>Not</v>
      </c>
      <c r="I1786" s="8" t="str">
        <f t="shared" si="475"/>
        <v>no</v>
      </c>
      <c r="J1786" s="10" t="str">
        <f t="shared" si="466"/>
        <v>no</v>
      </c>
      <c r="K1786" s="10" t="str">
        <f t="shared" si="467"/>
        <v>no</v>
      </c>
      <c r="L1786" t="s">
        <v>647</v>
      </c>
      <c r="M1786">
        <v>10935</v>
      </c>
      <c r="N1786">
        <v>18</v>
      </c>
      <c r="O1786" t="s">
        <v>742</v>
      </c>
      <c r="P1786" t="str">
        <f t="shared" si="468"/>
        <v>WELLI_10935_Carnarvon Tigers</v>
      </c>
      <c r="Q1786" t="str">
        <f t="shared" si="469"/>
        <v>10935</v>
      </c>
      <c r="R1786" t="str">
        <f t="shared" si="470"/>
        <v>10935</v>
      </c>
      <c r="S1786" t="str">
        <f t="shared" si="471"/>
        <v>Carnarvon Tigers</v>
      </c>
      <c r="T1786">
        <v>62.5</v>
      </c>
      <c r="U1786">
        <v>4</v>
      </c>
      <c r="V1786">
        <v>0.25</v>
      </c>
      <c r="W1786">
        <f t="shared" si="472"/>
        <v>187.5</v>
      </c>
      <c r="X1786" t="str">
        <f t="shared" si="473"/>
        <v>yes</v>
      </c>
      <c r="Y1786" s="2">
        <v>35163</v>
      </c>
      <c r="Z1786" t="str">
        <f t="shared" si="476"/>
        <v/>
      </c>
      <c r="AA1786" t="str">
        <f t="shared" si="474"/>
        <v>2nd Q 1996</v>
      </c>
      <c r="AB1786" t="str" cm="1">
        <f t="array" ref="AB1786">_xlfn.IFS(Y1786&lt;DATE(1996,1,1),"",Y1786&lt;DATE(1996,4,1),"Q1",Y1786&lt;DATE(1996,7,1),"Q2",Y1786&gt;=DATE(1996,7,1),"")</f>
        <v>Q2</v>
      </c>
    </row>
    <row r="1787" spans="1:28" ht="14.4" x14ac:dyDescent="0.55000000000000004">
      <c r="A1787" t="str">
        <f>VLOOKUP(L1787,Customers!$A$2:$B$92,2,FALSE)</f>
        <v>Wellington Importadora</v>
      </c>
      <c r="B1787" t="str">
        <f>VLOOKUP(L1787,Customers!$A$2:$C$92,3,TRUE)</f>
        <v>Paula Parente</v>
      </c>
      <c r="C1787" t="str">
        <f t="shared" si="460"/>
        <v>Paula</v>
      </c>
      <c r="D1787" s="8" t="str">
        <f t="shared" si="461"/>
        <v>Parente</v>
      </c>
      <c r="E1787" s="8" t="str">
        <f t="shared" si="462"/>
        <v>Parente, Paula</v>
      </c>
      <c r="F1787" s="8" t="str">
        <f t="shared" si="463"/>
        <v>Parente, Paula</v>
      </c>
      <c r="G1787" s="8" t="str">
        <f t="shared" si="464"/>
        <v>not an outlier</v>
      </c>
      <c r="H1787" s="8" t="str">
        <f t="shared" si="465"/>
        <v>Not</v>
      </c>
      <c r="I1787" s="8" t="str">
        <f t="shared" si="475"/>
        <v>no</v>
      </c>
      <c r="J1787" s="10" t="str">
        <f t="shared" si="466"/>
        <v>no</v>
      </c>
      <c r="K1787" s="10" t="str">
        <f t="shared" si="467"/>
        <v>no</v>
      </c>
      <c r="L1787" t="s">
        <v>647</v>
      </c>
      <c r="M1787">
        <v>10935</v>
      </c>
      <c r="N1787">
        <v>23</v>
      </c>
      <c r="O1787" t="s">
        <v>753</v>
      </c>
      <c r="P1787" t="str">
        <f t="shared" si="468"/>
        <v>WELLI_10935_Tunnbröd</v>
      </c>
      <c r="Q1787" t="str">
        <f t="shared" si="469"/>
        <v>10935</v>
      </c>
      <c r="R1787" t="str">
        <f t="shared" si="470"/>
        <v>10935</v>
      </c>
      <c r="S1787" t="str">
        <f t="shared" si="471"/>
        <v>Tunnbröd</v>
      </c>
      <c r="T1787">
        <v>9</v>
      </c>
      <c r="U1787">
        <v>8</v>
      </c>
      <c r="V1787">
        <v>0.25</v>
      </c>
      <c r="W1787">
        <f t="shared" si="472"/>
        <v>54</v>
      </c>
      <c r="X1787" t="str">
        <f t="shared" si="473"/>
        <v>yes</v>
      </c>
      <c r="Y1787" s="2">
        <v>35163</v>
      </c>
      <c r="Z1787" t="str">
        <f t="shared" si="476"/>
        <v/>
      </c>
      <c r="AA1787" t="str">
        <f t="shared" si="474"/>
        <v>2nd Q 1996</v>
      </c>
      <c r="AB1787" t="str" cm="1">
        <f t="array" ref="AB1787">_xlfn.IFS(Y1787&lt;DATE(1996,1,1),"",Y1787&lt;DATE(1996,4,1),"Q1",Y1787&lt;DATE(1996,7,1),"Q2",Y1787&gt;=DATE(1996,7,1),"")</f>
        <v>Q2</v>
      </c>
    </row>
    <row r="1788" spans="1:28" ht="14.4" x14ac:dyDescent="0.55000000000000004">
      <c r="A1788" t="str">
        <f>VLOOKUP(L1788,Customers!$A$2:$B$92,2,FALSE)</f>
        <v>Great Lakes Food Market</v>
      </c>
      <c r="B1788" t="str">
        <f>VLOOKUP(L1788,Customers!$A$2:$C$92,3,TRUE)</f>
        <v>Howard Snyder</v>
      </c>
      <c r="C1788" t="str">
        <f t="shared" si="460"/>
        <v>Howard</v>
      </c>
      <c r="D1788" s="8" t="str">
        <f t="shared" si="461"/>
        <v>Snyder</v>
      </c>
      <c r="E1788" s="8" t="str">
        <f t="shared" si="462"/>
        <v>Snyder, Howard</v>
      </c>
      <c r="F1788" s="8" t="str">
        <f t="shared" si="463"/>
        <v>Snyder, Howard</v>
      </c>
      <c r="G1788" s="8" t="str">
        <f t="shared" si="464"/>
        <v>not an outlier</v>
      </c>
      <c r="H1788" s="8" t="str">
        <f t="shared" si="465"/>
        <v>Not</v>
      </c>
      <c r="I1788" s="8" t="str">
        <f t="shared" si="475"/>
        <v>no</v>
      </c>
      <c r="J1788" s="10" t="str">
        <f t="shared" si="466"/>
        <v>no</v>
      </c>
      <c r="K1788" s="10" t="str">
        <f t="shared" si="467"/>
        <v>no</v>
      </c>
      <c r="L1788" t="s">
        <v>247</v>
      </c>
      <c r="M1788">
        <v>10936</v>
      </c>
      <c r="N1788">
        <v>36</v>
      </c>
      <c r="O1788" t="s">
        <v>703</v>
      </c>
      <c r="P1788" t="str">
        <f t="shared" si="468"/>
        <v>GREAL_10936_Inlagd Sill</v>
      </c>
      <c r="Q1788" t="str">
        <f t="shared" si="469"/>
        <v>10936</v>
      </c>
      <c r="R1788" t="str">
        <f t="shared" si="470"/>
        <v>10936</v>
      </c>
      <c r="S1788" t="str">
        <f t="shared" si="471"/>
        <v>Inlagd Sill</v>
      </c>
      <c r="T1788">
        <v>19</v>
      </c>
      <c r="U1788">
        <v>30</v>
      </c>
      <c r="V1788">
        <v>0.2</v>
      </c>
      <c r="W1788">
        <f t="shared" si="472"/>
        <v>456</v>
      </c>
      <c r="X1788" t="str">
        <f t="shared" si="473"/>
        <v>yes</v>
      </c>
      <c r="Y1788" s="2">
        <v>35163</v>
      </c>
      <c r="Z1788" t="str">
        <f t="shared" si="476"/>
        <v/>
      </c>
      <c r="AA1788" t="str">
        <f t="shared" si="474"/>
        <v>2nd Q 1996</v>
      </c>
      <c r="AB1788" t="str" cm="1">
        <f t="array" ref="AB1788">_xlfn.IFS(Y1788&lt;DATE(1996,1,1),"",Y1788&lt;DATE(1996,4,1),"Q1",Y1788&lt;DATE(1996,7,1),"Q2",Y1788&gt;=DATE(1996,7,1),"")</f>
        <v>Q2</v>
      </c>
    </row>
    <row r="1789" spans="1:28" ht="14.4" x14ac:dyDescent="0.55000000000000004">
      <c r="A1789" t="str">
        <f>VLOOKUP(L1789,Customers!$A$2:$B$92,2,FALSE)</f>
        <v>Cactus Comidas para llevar</v>
      </c>
      <c r="B1789" t="str">
        <f>VLOOKUP(L1789,Customers!$A$2:$C$92,3,TRUE)</f>
        <v>Patricio Simpson</v>
      </c>
      <c r="C1789" t="str">
        <f t="shared" si="460"/>
        <v>Patricio</v>
      </c>
      <c r="D1789" s="8" t="str">
        <f t="shared" si="461"/>
        <v>Simpson</v>
      </c>
      <c r="E1789" s="8" t="str">
        <f t="shared" si="462"/>
        <v>Simpson, Patricio</v>
      </c>
      <c r="F1789" s="8" t="str">
        <f t="shared" si="463"/>
        <v>Simpson, Patricio</v>
      </c>
      <c r="G1789" s="8" t="str">
        <f t="shared" si="464"/>
        <v>not an outlier</v>
      </c>
      <c r="H1789" s="8" t="str">
        <f t="shared" si="465"/>
        <v>Not</v>
      </c>
      <c r="I1789" s="8" t="str">
        <f t="shared" si="475"/>
        <v>no</v>
      </c>
      <c r="J1789" s="10" t="str">
        <f t="shared" si="466"/>
        <v>no</v>
      </c>
      <c r="K1789" s="10" t="str">
        <f t="shared" si="467"/>
        <v>no</v>
      </c>
      <c r="L1789" t="s">
        <v>101</v>
      </c>
      <c r="M1789">
        <v>10937</v>
      </c>
      <c r="N1789">
        <v>28</v>
      </c>
      <c r="O1789" t="s">
        <v>727</v>
      </c>
      <c r="P1789" t="str">
        <f t="shared" si="468"/>
        <v>CACTU_10937_Rössle Sauerkraut</v>
      </c>
      <c r="Q1789" t="str">
        <f t="shared" si="469"/>
        <v>10937</v>
      </c>
      <c r="R1789" t="str">
        <f t="shared" si="470"/>
        <v>10937</v>
      </c>
      <c r="S1789" t="str">
        <f t="shared" si="471"/>
        <v>Rössle Sauerkraut</v>
      </c>
      <c r="T1789">
        <v>45.6</v>
      </c>
      <c r="U1789">
        <v>8</v>
      </c>
      <c r="V1789">
        <v>0</v>
      </c>
      <c r="W1789">
        <f t="shared" si="472"/>
        <v>364.8</v>
      </c>
      <c r="X1789" t="str">
        <f t="shared" si="473"/>
        <v>yes</v>
      </c>
      <c r="Y1789" s="2">
        <v>35164</v>
      </c>
      <c r="Z1789" t="str">
        <f t="shared" si="476"/>
        <v/>
      </c>
      <c r="AA1789" t="str">
        <f t="shared" si="474"/>
        <v>2nd Q 1996</v>
      </c>
      <c r="AB1789" t="str" cm="1">
        <f t="array" ref="AB1789">_xlfn.IFS(Y1789&lt;DATE(1996,1,1),"",Y1789&lt;DATE(1996,4,1),"Q1",Y1789&lt;DATE(1996,7,1),"Q2",Y1789&gt;=DATE(1996,7,1),"")</f>
        <v>Q2</v>
      </c>
    </row>
    <row r="1790" spans="1:28" ht="14.4" x14ac:dyDescent="0.55000000000000004">
      <c r="A1790" t="str">
        <f>VLOOKUP(L1790,Customers!$A$2:$B$92,2,FALSE)</f>
        <v>Cactus Comidas para llevar</v>
      </c>
      <c r="B1790" t="str">
        <f>VLOOKUP(L1790,Customers!$A$2:$C$92,3,TRUE)</f>
        <v>Patricio Simpson</v>
      </c>
      <c r="C1790" t="str">
        <f t="shared" si="460"/>
        <v>Patricio</v>
      </c>
      <c r="D1790" s="8" t="str">
        <f t="shared" si="461"/>
        <v>Simpson</v>
      </c>
      <c r="E1790" s="8" t="str">
        <f t="shared" si="462"/>
        <v>Simpson, Patricio</v>
      </c>
      <c r="F1790" s="8" t="str">
        <f t="shared" si="463"/>
        <v>Simpson, Patricio</v>
      </c>
      <c r="G1790" s="8" t="str">
        <f t="shared" si="464"/>
        <v>not an outlier</v>
      </c>
      <c r="H1790" s="8" t="str">
        <f t="shared" si="465"/>
        <v>Not</v>
      </c>
      <c r="I1790" s="8" t="str">
        <f t="shared" si="475"/>
        <v>no</v>
      </c>
      <c r="J1790" s="10" t="str">
        <f t="shared" si="466"/>
        <v>no</v>
      </c>
      <c r="K1790" s="10" t="str">
        <f t="shared" si="467"/>
        <v>no</v>
      </c>
      <c r="L1790" t="s">
        <v>101</v>
      </c>
      <c r="M1790">
        <v>10937</v>
      </c>
      <c r="N1790">
        <v>34</v>
      </c>
      <c r="O1790" t="s">
        <v>736</v>
      </c>
      <c r="P1790" t="str">
        <f t="shared" si="468"/>
        <v>CACTU_10937_Sasquatch Ale</v>
      </c>
      <c r="Q1790" t="str">
        <f t="shared" si="469"/>
        <v>10937</v>
      </c>
      <c r="R1790" t="str">
        <f t="shared" si="470"/>
        <v>10937</v>
      </c>
      <c r="S1790" t="str">
        <f t="shared" si="471"/>
        <v>Sasquatch Ale</v>
      </c>
      <c r="T1790">
        <v>14</v>
      </c>
      <c r="U1790">
        <v>20</v>
      </c>
      <c r="V1790">
        <v>0</v>
      </c>
      <c r="W1790">
        <f t="shared" si="472"/>
        <v>280</v>
      </c>
      <c r="X1790" t="str">
        <f t="shared" si="473"/>
        <v>yes</v>
      </c>
      <c r="Y1790" s="2">
        <v>35164</v>
      </c>
      <c r="Z1790" t="str">
        <f t="shared" si="476"/>
        <v/>
      </c>
      <c r="AA1790" t="str">
        <f t="shared" si="474"/>
        <v>2nd Q 1996</v>
      </c>
      <c r="AB1790" t="str" cm="1">
        <f t="array" ref="AB1790">_xlfn.IFS(Y1790&lt;DATE(1996,1,1),"",Y1790&lt;DATE(1996,4,1),"Q1",Y1790&lt;DATE(1996,7,1),"Q2",Y1790&gt;=DATE(1996,7,1),"")</f>
        <v>Q2</v>
      </c>
    </row>
    <row r="1791" spans="1:28" ht="14.4" x14ac:dyDescent="0.55000000000000004">
      <c r="A1791" t="str">
        <f>VLOOKUP(L1791,Customers!$A$2:$B$92,2,FALSE)</f>
        <v>QUICK-Stop</v>
      </c>
      <c r="B1791" t="str">
        <f>VLOOKUP(L1791,Customers!$A$2:$C$92,3,TRUE)</f>
        <v>Horst Kloss</v>
      </c>
      <c r="C1791" t="str">
        <f t="shared" si="460"/>
        <v>Horst</v>
      </c>
      <c r="D1791" s="8" t="str">
        <f t="shared" si="461"/>
        <v>Kloss</v>
      </c>
      <c r="E1791" s="8" t="str">
        <f t="shared" si="462"/>
        <v>Kloss, Horst</v>
      </c>
      <c r="F1791" s="8" t="str">
        <f t="shared" si="463"/>
        <v>Kloss, Horst</v>
      </c>
      <c r="G1791" s="8" t="str">
        <f t="shared" si="464"/>
        <v>not an outlier</v>
      </c>
      <c r="H1791" s="8" t="str">
        <f t="shared" si="465"/>
        <v>Not</v>
      </c>
      <c r="I1791" s="8" t="str">
        <f t="shared" si="475"/>
        <v>no</v>
      </c>
      <c r="J1791" s="10" t="str">
        <f t="shared" si="466"/>
        <v>no</v>
      </c>
      <c r="K1791" s="10" t="str">
        <f t="shared" si="467"/>
        <v>no</v>
      </c>
      <c r="L1791" t="s">
        <v>475</v>
      </c>
      <c r="M1791">
        <v>10938</v>
      </c>
      <c r="N1791">
        <v>13</v>
      </c>
      <c r="O1791" t="s">
        <v>726</v>
      </c>
      <c r="P1791" t="str">
        <f t="shared" si="468"/>
        <v>QUICK_10938_Konbu</v>
      </c>
      <c r="Q1791" t="str">
        <f t="shared" si="469"/>
        <v>10938</v>
      </c>
      <c r="R1791" t="str">
        <f t="shared" si="470"/>
        <v>10938</v>
      </c>
      <c r="S1791" t="str">
        <f t="shared" si="471"/>
        <v>Konbu</v>
      </c>
      <c r="T1791">
        <v>6</v>
      </c>
      <c r="U1791">
        <v>20</v>
      </c>
      <c r="V1791">
        <v>0.25</v>
      </c>
      <c r="W1791">
        <f t="shared" si="472"/>
        <v>90</v>
      </c>
      <c r="X1791" t="str">
        <f t="shared" si="473"/>
        <v>yes</v>
      </c>
      <c r="Y1791" s="2">
        <v>35164</v>
      </c>
      <c r="Z1791" t="str">
        <f t="shared" si="476"/>
        <v/>
      </c>
      <c r="AA1791" t="str">
        <f t="shared" si="474"/>
        <v>2nd Q 1996</v>
      </c>
      <c r="AB1791" t="str" cm="1">
        <f t="array" ref="AB1791">_xlfn.IFS(Y1791&lt;DATE(1996,1,1),"",Y1791&lt;DATE(1996,4,1),"Q1",Y1791&lt;DATE(1996,7,1),"Q2",Y1791&gt;=DATE(1996,7,1),"")</f>
        <v>Q2</v>
      </c>
    </row>
    <row r="1792" spans="1:28" ht="14.4" x14ac:dyDescent="0.55000000000000004">
      <c r="A1792" t="str">
        <f>VLOOKUP(L1792,Customers!$A$2:$B$92,2,FALSE)</f>
        <v>QUICK-Stop</v>
      </c>
      <c r="B1792" t="str">
        <f>VLOOKUP(L1792,Customers!$A$2:$C$92,3,TRUE)</f>
        <v>Horst Kloss</v>
      </c>
      <c r="C1792" t="str">
        <f t="shared" si="460"/>
        <v>Horst</v>
      </c>
      <c r="D1792" s="8" t="str">
        <f t="shared" si="461"/>
        <v>Kloss</v>
      </c>
      <c r="E1792" s="8" t="str">
        <f t="shared" si="462"/>
        <v>Kloss, Horst</v>
      </c>
      <c r="F1792" s="8" t="str">
        <f t="shared" si="463"/>
        <v>Kloss, Horst</v>
      </c>
      <c r="G1792" s="8" t="str">
        <f t="shared" si="464"/>
        <v>not an outlier</v>
      </c>
      <c r="H1792" s="8" t="str">
        <f t="shared" si="465"/>
        <v>Not</v>
      </c>
      <c r="I1792" s="8" t="str">
        <f t="shared" si="475"/>
        <v>no</v>
      </c>
      <c r="J1792" s="10" t="str">
        <f t="shared" si="466"/>
        <v>no</v>
      </c>
      <c r="K1792" s="10" t="str">
        <f t="shared" si="467"/>
        <v>no</v>
      </c>
      <c r="L1792" t="s">
        <v>475</v>
      </c>
      <c r="M1792">
        <v>10938</v>
      </c>
      <c r="N1792">
        <v>43</v>
      </c>
      <c r="O1792" t="s">
        <v>723</v>
      </c>
      <c r="P1792" t="str">
        <f t="shared" si="468"/>
        <v>QUICK_10938_Ipoh Coffee</v>
      </c>
      <c r="Q1792" t="str">
        <f t="shared" si="469"/>
        <v>10938</v>
      </c>
      <c r="R1792" t="str">
        <f t="shared" si="470"/>
        <v>10938</v>
      </c>
      <c r="S1792" t="str">
        <f t="shared" si="471"/>
        <v>Ipoh Coffee</v>
      </c>
      <c r="T1792">
        <v>46</v>
      </c>
      <c r="U1792">
        <v>24</v>
      </c>
      <c r="V1792">
        <v>0.25</v>
      </c>
      <c r="W1792">
        <f t="shared" si="472"/>
        <v>828</v>
      </c>
      <c r="X1792" t="str">
        <f t="shared" si="473"/>
        <v>yes</v>
      </c>
      <c r="Y1792" s="2">
        <v>35164</v>
      </c>
      <c r="Z1792" t="str">
        <f t="shared" si="476"/>
        <v/>
      </c>
      <c r="AA1792" t="str">
        <f t="shared" si="474"/>
        <v>2nd Q 1996</v>
      </c>
      <c r="AB1792" t="str" cm="1">
        <f t="array" ref="AB1792">_xlfn.IFS(Y1792&lt;DATE(1996,1,1),"",Y1792&lt;DATE(1996,4,1),"Q1",Y1792&lt;DATE(1996,7,1),"Q2",Y1792&gt;=DATE(1996,7,1),"")</f>
        <v>Q2</v>
      </c>
    </row>
    <row r="1793" spans="1:28" ht="14.4" x14ac:dyDescent="0.55000000000000004">
      <c r="A1793" t="str">
        <f>VLOOKUP(L1793,Customers!$A$2:$B$92,2,FALSE)</f>
        <v>QUICK-Stop</v>
      </c>
      <c r="B1793" t="str">
        <f>VLOOKUP(L1793,Customers!$A$2:$C$92,3,TRUE)</f>
        <v>Horst Kloss</v>
      </c>
      <c r="C1793" t="str">
        <f t="shared" si="460"/>
        <v>Horst</v>
      </c>
      <c r="D1793" s="8" t="str">
        <f t="shared" si="461"/>
        <v>Kloss</v>
      </c>
      <c r="E1793" s="8" t="str">
        <f t="shared" si="462"/>
        <v>Kloss, Horst</v>
      </c>
      <c r="F1793" s="8" t="str">
        <f t="shared" si="463"/>
        <v>Kloss, Horst</v>
      </c>
      <c r="G1793" s="8" t="str">
        <f t="shared" si="464"/>
        <v>not an outlier</v>
      </c>
      <c r="H1793" s="8" t="str">
        <f t="shared" si="465"/>
        <v>Not</v>
      </c>
      <c r="I1793" s="8" t="str">
        <f t="shared" si="475"/>
        <v>no</v>
      </c>
      <c r="J1793" s="10" t="str">
        <f t="shared" si="466"/>
        <v>no</v>
      </c>
      <c r="K1793" s="10" t="str">
        <f t="shared" si="467"/>
        <v>no</v>
      </c>
      <c r="L1793" t="s">
        <v>475</v>
      </c>
      <c r="M1793">
        <v>10938</v>
      </c>
      <c r="N1793">
        <v>60</v>
      </c>
      <c r="O1793" t="s">
        <v>694</v>
      </c>
      <c r="P1793" t="str">
        <f t="shared" si="468"/>
        <v>QUICK_10938_Camembert Pierrot</v>
      </c>
      <c r="Q1793" t="str">
        <f t="shared" si="469"/>
        <v>10938</v>
      </c>
      <c r="R1793" t="str">
        <f t="shared" si="470"/>
        <v>10938</v>
      </c>
      <c r="S1793" t="str">
        <f t="shared" si="471"/>
        <v>Camembert Pierrot</v>
      </c>
      <c r="T1793">
        <v>34</v>
      </c>
      <c r="U1793">
        <v>49</v>
      </c>
      <c r="V1793">
        <v>0.25</v>
      </c>
      <c r="W1793">
        <f t="shared" si="472"/>
        <v>1249.5</v>
      </c>
      <c r="X1793" t="str">
        <f t="shared" si="473"/>
        <v>yes</v>
      </c>
      <c r="Y1793" s="2">
        <v>35164</v>
      </c>
      <c r="Z1793" t="str">
        <f t="shared" si="476"/>
        <v/>
      </c>
      <c r="AA1793" t="str">
        <f t="shared" si="474"/>
        <v>2nd Q 1996</v>
      </c>
      <c r="AB1793" t="str" cm="1">
        <f t="array" ref="AB1793">_xlfn.IFS(Y1793&lt;DATE(1996,1,1),"",Y1793&lt;DATE(1996,4,1),"Q1",Y1793&lt;DATE(1996,7,1),"Q2",Y1793&gt;=DATE(1996,7,1),"")</f>
        <v>Q2</v>
      </c>
    </row>
    <row r="1794" spans="1:28" ht="14.4" x14ac:dyDescent="0.55000000000000004">
      <c r="A1794" t="str">
        <f>VLOOKUP(L1794,Customers!$A$2:$B$92,2,FALSE)</f>
        <v>QUICK-Stop</v>
      </c>
      <c r="B1794" t="str">
        <f>VLOOKUP(L1794,Customers!$A$2:$C$92,3,TRUE)</f>
        <v>Horst Kloss</v>
      </c>
      <c r="C1794" t="str">
        <f t="shared" si="460"/>
        <v>Horst</v>
      </c>
      <c r="D1794" s="8" t="str">
        <f t="shared" si="461"/>
        <v>Kloss</v>
      </c>
      <c r="E1794" s="8" t="str">
        <f t="shared" si="462"/>
        <v>Kloss, Horst</v>
      </c>
      <c r="F1794" s="8" t="str">
        <f t="shared" si="463"/>
        <v>Kloss, Horst</v>
      </c>
      <c r="G1794" s="8" t="str">
        <f t="shared" si="464"/>
        <v>not an outlier</v>
      </c>
      <c r="H1794" s="8" t="str">
        <f t="shared" si="465"/>
        <v>Not</v>
      </c>
      <c r="I1794" s="8" t="str">
        <f t="shared" si="475"/>
        <v>no</v>
      </c>
      <c r="J1794" s="10" t="str">
        <f t="shared" si="466"/>
        <v>no</v>
      </c>
      <c r="K1794" s="10" t="str">
        <f t="shared" si="467"/>
        <v>no</v>
      </c>
      <c r="L1794" t="s">
        <v>475</v>
      </c>
      <c r="M1794">
        <v>10938</v>
      </c>
      <c r="N1794">
        <v>71</v>
      </c>
      <c r="O1794" t="s">
        <v>725</v>
      </c>
      <c r="P1794" t="str">
        <f t="shared" si="468"/>
        <v>QUICK_10938_Fløtemysost</v>
      </c>
      <c r="Q1794" t="str">
        <f t="shared" si="469"/>
        <v>10938</v>
      </c>
      <c r="R1794" t="str">
        <f t="shared" si="470"/>
        <v>10938</v>
      </c>
      <c r="S1794" t="str">
        <f t="shared" si="471"/>
        <v>Fløtemysost</v>
      </c>
      <c r="T1794">
        <v>21.5</v>
      </c>
      <c r="U1794">
        <v>35</v>
      </c>
      <c r="V1794">
        <v>0.25</v>
      </c>
      <c r="W1794">
        <f t="shared" si="472"/>
        <v>564.375</v>
      </c>
      <c r="X1794" t="str">
        <f t="shared" si="473"/>
        <v>yes</v>
      </c>
      <c r="Y1794" s="2">
        <v>35164</v>
      </c>
      <c r="Z1794" t="str">
        <f t="shared" si="476"/>
        <v/>
      </c>
      <c r="AA1794" t="str">
        <f t="shared" si="474"/>
        <v>2nd Q 1996</v>
      </c>
      <c r="AB1794" t="str" cm="1">
        <f t="array" ref="AB1794">_xlfn.IFS(Y1794&lt;DATE(1996,1,1),"",Y1794&lt;DATE(1996,4,1),"Q1",Y1794&lt;DATE(1996,7,1),"Q2",Y1794&gt;=DATE(1996,7,1),"")</f>
        <v>Q2</v>
      </c>
    </row>
    <row r="1795" spans="1:28" ht="14.4" x14ac:dyDescent="0.55000000000000004">
      <c r="A1795" t="str">
        <f>VLOOKUP(L1795,Customers!$A$2:$B$92,2,FALSE)</f>
        <v>Magazzini Alimentari Riuniti</v>
      </c>
      <c r="B1795" t="str">
        <f>VLOOKUP(L1795,Customers!$A$2:$C$92,3,TRUE)</f>
        <v>Giovanni Rovelli</v>
      </c>
      <c r="C1795" t="str">
        <f t="shared" ref="C1795:C1858" si="477">LEFT(B1795,FIND(" ",B1795)-1)</f>
        <v>Giovanni</v>
      </c>
      <c r="D1795" s="8" t="str">
        <f t="shared" ref="D1795:D1858" si="478">RIGHT(B1795,LEN(B1795)-FIND(" ",B1795))</f>
        <v>Rovelli</v>
      </c>
      <c r="E1795" s="8" t="str">
        <f t="shared" ref="E1795:E1858" si="479">_xlfn.CONCAT(D1795,", ",C1795)</f>
        <v>Rovelli, Giovanni</v>
      </c>
      <c r="F1795" s="8" t="str">
        <f t="shared" ref="F1795:F1858" si="480">D1795&amp;", "&amp;C1795</f>
        <v>Rovelli, Giovanni</v>
      </c>
      <c r="G1795" s="8" t="str">
        <f t="shared" ref="G1795:G1858" si="481">IF(OR(W1795&gt;$W$2166,W1795&lt;$W$2167),"outlier","not an outlier")</f>
        <v>not an outlier</v>
      </c>
      <c r="H1795" s="8" t="str">
        <f t="shared" ref="H1795:H1858" si="482">IF(OR(W1795&gt;$W$2166,W1795&lt;$W$2167),"outlier",IF(OR(W1795&gt;$W$2168,W1795&lt;$W$2169),"moderate","Not"))</f>
        <v>Not</v>
      </c>
      <c r="I1795" s="8" t="str">
        <f t="shared" si="475"/>
        <v>no</v>
      </c>
      <c r="J1795" s="10" t="str">
        <f t="shared" ref="J1795:J1858" si="483">IF(AND(W1795&lt;=$W$2166,W1795&gt;=$W$2167),"no","yes")</f>
        <v>no</v>
      </c>
      <c r="K1795" s="10" t="str">
        <f t="shared" ref="K1795:K1858" si="484">IF(OR(W1795&gt;$W$2166,W1795&lt;$W$2167),"yes",IF(OR(W1795&gt;$W$2168,W1795&lt;$W$2169),"moderate","no"))</f>
        <v>no</v>
      </c>
      <c r="L1795" t="s">
        <v>378</v>
      </c>
      <c r="M1795">
        <v>10939</v>
      </c>
      <c r="N1795">
        <v>2</v>
      </c>
      <c r="O1795" t="s">
        <v>701</v>
      </c>
      <c r="P1795" t="str">
        <f t="shared" ref="P1795:P1858" si="485">L1795&amp;"_"&amp;M1795&amp;"_"&amp;O1795</f>
        <v>MAGAA_10939_Chang</v>
      </c>
      <c r="Q1795" t="str">
        <f t="shared" ref="Q1795:Q1858" si="486">LEFT(RIGHT(P1795,LEN(P1795)-FIND("_",P1795)), FIND("_",P1795)-1)</f>
        <v>10939</v>
      </c>
      <c r="R1795" t="str">
        <f t="shared" ref="R1795:R1858" si="487">MID(P1795,FIND("_",P1795)+1,FIND("_",P1795,FIND("_",P1795))-1)</f>
        <v>10939</v>
      </c>
      <c r="S1795" t="str">
        <f t="shared" ref="S1795:S1858" si="488">MID(P1795,FIND("_",P1795,FIND("_",P1795)+1)+1,LEN(P1795))</f>
        <v>Chang</v>
      </c>
      <c r="T1795">
        <v>19</v>
      </c>
      <c r="U1795">
        <v>10</v>
      </c>
      <c r="V1795">
        <v>0.15</v>
      </c>
      <c r="W1795">
        <f t="shared" ref="W1795:W1858" si="489">T1795*U1795*(1-V1795)</f>
        <v>161.5</v>
      </c>
      <c r="X1795" t="str">
        <f t="shared" ref="X1795:X1858" si="490">IF(YEAR(Y1795)&gt;=1996,"yes","No")</f>
        <v>yes</v>
      </c>
      <c r="Y1795" s="2">
        <v>35164</v>
      </c>
      <c r="Z1795" t="str">
        <f t="shared" si="476"/>
        <v/>
      </c>
      <c r="AA1795" t="str">
        <f t="shared" ref="AA1795:AA1858" si="491">IF(Y1795&lt;DATE(1996,1,1),"", IF(Y1795&lt;DATE(1996,4,1),"1st Q 1996",IF(Y1795&lt;DATE(1996,7,1),"2nd Q 1996","")))</f>
        <v>2nd Q 1996</v>
      </c>
      <c r="AB1795" t="str" cm="1">
        <f t="array" ref="AB1795">_xlfn.IFS(Y1795&lt;DATE(1996,1,1),"",Y1795&lt;DATE(1996,4,1),"Q1",Y1795&lt;DATE(1996,7,1),"Q2",Y1795&gt;=DATE(1996,7,1),"")</f>
        <v>Q2</v>
      </c>
    </row>
    <row r="1796" spans="1:28" ht="14.4" x14ac:dyDescent="0.55000000000000004">
      <c r="A1796" t="str">
        <f>VLOOKUP(L1796,Customers!$A$2:$B$92,2,FALSE)</f>
        <v>Magazzini Alimentari Riuniti</v>
      </c>
      <c r="B1796" t="str">
        <f>VLOOKUP(L1796,Customers!$A$2:$C$92,3,TRUE)</f>
        <v>Giovanni Rovelli</v>
      </c>
      <c r="C1796" t="str">
        <f t="shared" si="477"/>
        <v>Giovanni</v>
      </c>
      <c r="D1796" s="8" t="str">
        <f t="shared" si="478"/>
        <v>Rovelli</v>
      </c>
      <c r="E1796" s="8" t="str">
        <f t="shared" si="479"/>
        <v>Rovelli, Giovanni</v>
      </c>
      <c r="F1796" s="8" t="str">
        <f t="shared" si="480"/>
        <v>Rovelli, Giovanni</v>
      </c>
      <c r="G1796" s="8" t="str">
        <f t="shared" si="481"/>
        <v>not an outlier</v>
      </c>
      <c r="H1796" s="8" t="str">
        <f t="shared" si="482"/>
        <v>Not</v>
      </c>
      <c r="I1796" s="8" t="str">
        <f t="shared" ref="I1796:I1859" si="492">IF(OR(W1796&gt;$W$2166,W1796&lt;$W$2167),"yes","no")</f>
        <v>no</v>
      </c>
      <c r="J1796" s="10" t="str">
        <f t="shared" si="483"/>
        <v>no</v>
      </c>
      <c r="K1796" s="10" t="str">
        <f t="shared" si="484"/>
        <v>no</v>
      </c>
      <c r="L1796" t="s">
        <v>378</v>
      </c>
      <c r="M1796">
        <v>10939</v>
      </c>
      <c r="N1796">
        <v>67</v>
      </c>
      <c r="O1796" t="s">
        <v>734</v>
      </c>
      <c r="P1796" t="str">
        <f t="shared" si="485"/>
        <v>MAGAA_10939_Laughing Lumberjack Lager</v>
      </c>
      <c r="Q1796" t="str">
        <f t="shared" si="486"/>
        <v>10939</v>
      </c>
      <c r="R1796" t="str">
        <f t="shared" si="487"/>
        <v>10939</v>
      </c>
      <c r="S1796" t="str">
        <f t="shared" si="488"/>
        <v>Laughing Lumberjack Lager</v>
      </c>
      <c r="T1796">
        <v>14</v>
      </c>
      <c r="U1796">
        <v>40</v>
      </c>
      <c r="V1796">
        <v>0.15</v>
      </c>
      <c r="W1796">
        <f t="shared" si="489"/>
        <v>476</v>
      </c>
      <c r="X1796" t="str">
        <f t="shared" si="490"/>
        <v>yes</v>
      </c>
      <c r="Y1796" s="2">
        <v>35164</v>
      </c>
      <c r="Z1796" t="str">
        <f t="shared" si="476"/>
        <v/>
      </c>
      <c r="AA1796" t="str">
        <f t="shared" si="491"/>
        <v>2nd Q 1996</v>
      </c>
      <c r="AB1796" t="str" cm="1">
        <f t="array" ref="AB1796">_xlfn.IFS(Y1796&lt;DATE(1996,1,1),"",Y1796&lt;DATE(1996,4,1),"Q1",Y1796&lt;DATE(1996,7,1),"Q2",Y1796&gt;=DATE(1996,7,1),"")</f>
        <v>Q2</v>
      </c>
    </row>
    <row r="1797" spans="1:28" ht="14.4" x14ac:dyDescent="0.55000000000000004">
      <c r="A1797" t="str">
        <f>VLOOKUP(L1797,Customers!$A$2:$B$92,2,FALSE)</f>
        <v>Bon app'</v>
      </c>
      <c r="B1797" t="str">
        <f>VLOOKUP(L1797,Customers!$A$2:$C$92,3,TRUE)</f>
        <v>Laurence Lebihan</v>
      </c>
      <c r="C1797" t="str">
        <f t="shared" si="477"/>
        <v>Laurence</v>
      </c>
      <c r="D1797" s="8" t="str">
        <f t="shared" si="478"/>
        <v>Lebihan</v>
      </c>
      <c r="E1797" s="8" t="str">
        <f t="shared" si="479"/>
        <v>Lebihan, Laurence</v>
      </c>
      <c r="F1797" s="8" t="str">
        <f t="shared" si="480"/>
        <v>Lebihan, Laurence</v>
      </c>
      <c r="G1797" s="8" t="str">
        <f t="shared" si="481"/>
        <v>not an outlier</v>
      </c>
      <c r="H1797" s="8" t="str">
        <f t="shared" si="482"/>
        <v>Not</v>
      </c>
      <c r="I1797" s="8" t="str">
        <f t="shared" si="492"/>
        <v>no</v>
      </c>
      <c r="J1797" s="10" t="str">
        <f t="shared" si="483"/>
        <v>no</v>
      </c>
      <c r="K1797" s="10" t="str">
        <f t="shared" si="484"/>
        <v>no</v>
      </c>
      <c r="L1797" t="s">
        <v>77</v>
      </c>
      <c r="M1797">
        <v>10940</v>
      </c>
      <c r="N1797">
        <v>7</v>
      </c>
      <c r="O1797" t="s">
        <v>715</v>
      </c>
      <c r="P1797" t="str">
        <f t="shared" si="485"/>
        <v>BONAP_10940_Uncle Bob's Organic Dried Pears</v>
      </c>
      <c r="Q1797" t="str">
        <f t="shared" si="486"/>
        <v>10940</v>
      </c>
      <c r="R1797" t="str">
        <f t="shared" si="487"/>
        <v>10940</v>
      </c>
      <c r="S1797" t="str">
        <f t="shared" si="488"/>
        <v>Uncle Bob's Organic Dried Pears</v>
      </c>
      <c r="T1797">
        <v>30</v>
      </c>
      <c r="U1797">
        <v>8</v>
      </c>
      <c r="V1797">
        <v>0</v>
      </c>
      <c r="W1797">
        <f t="shared" si="489"/>
        <v>240</v>
      </c>
      <c r="X1797" t="str">
        <f t="shared" si="490"/>
        <v>yes</v>
      </c>
      <c r="Y1797" s="2">
        <v>35165</v>
      </c>
      <c r="Z1797" t="str">
        <f t="shared" si="476"/>
        <v/>
      </c>
      <c r="AA1797" t="str">
        <f t="shared" si="491"/>
        <v>2nd Q 1996</v>
      </c>
      <c r="AB1797" t="str" cm="1">
        <f t="array" ref="AB1797">_xlfn.IFS(Y1797&lt;DATE(1996,1,1),"",Y1797&lt;DATE(1996,4,1),"Q1",Y1797&lt;DATE(1996,7,1),"Q2",Y1797&gt;=DATE(1996,7,1),"")</f>
        <v>Q2</v>
      </c>
    </row>
    <row r="1798" spans="1:28" ht="14.4" x14ac:dyDescent="0.55000000000000004">
      <c r="A1798" t="str">
        <f>VLOOKUP(L1798,Customers!$A$2:$B$92,2,FALSE)</f>
        <v>Bon app'</v>
      </c>
      <c r="B1798" t="str">
        <f>VLOOKUP(L1798,Customers!$A$2:$C$92,3,TRUE)</f>
        <v>Laurence Lebihan</v>
      </c>
      <c r="C1798" t="str">
        <f t="shared" si="477"/>
        <v>Laurence</v>
      </c>
      <c r="D1798" s="8" t="str">
        <f t="shared" si="478"/>
        <v>Lebihan</v>
      </c>
      <c r="E1798" s="8" t="str">
        <f t="shared" si="479"/>
        <v>Lebihan, Laurence</v>
      </c>
      <c r="F1798" s="8" t="str">
        <f t="shared" si="480"/>
        <v>Lebihan, Laurence</v>
      </c>
      <c r="G1798" s="8" t="str">
        <f t="shared" si="481"/>
        <v>not an outlier</v>
      </c>
      <c r="H1798" s="8" t="str">
        <f t="shared" si="482"/>
        <v>Not</v>
      </c>
      <c r="I1798" s="8" t="str">
        <f t="shared" si="492"/>
        <v>no</v>
      </c>
      <c r="J1798" s="10" t="str">
        <f t="shared" si="483"/>
        <v>no</v>
      </c>
      <c r="K1798" s="10" t="str">
        <f t="shared" si="484"/>
        <v>no</v>
      </c>
      <c r="L1798" t="s">
        <v>77</v>
      </c>
      <c r="M1798">
        <v>10940</v>
      </c>
      <c r="N1798">
        <v>13</v>
      </c>
      <c r="O1798" t="s">
        <v>726</v>
      </c>
      <c r="P1798" t="str">
        <f t="shared" si="485"/>
        <v>BONAP_10940_Konbu</v>
      </c>
      <c r="Q1798" t="str">
        <f t="shared" si="486"/>
        <v>10940</v>
      </c>
      <c r="R1798" t="str">
        <f t="shared" si="487"/>
        <v>10940</v>
      </c>
      <c r="S1798" t="str">
        <f t="shared" si="488"/>
        <v>Konbu</v>
      </c>
      <c r="T1798">
        <v>6</v>
      </c>
      <c r="U1798">
        <v>20</v>
      </c>
      <c r="V1798">
        <v>0</v>
      </c>
      <c r="W1798">
        <f t="shared" si="489"/>
        <v>120</v>
      </c>
      <c r="X1798" t="str">
        <f t="shared" si="490"/>
        <v>yes</v>
      </c>
      <c r="Y1798" s="2">
        <v>35165</v>
      </c>
      <c r="Z1798" t="str">
        <f t="shared" si="476"/>
        <v/>
      </c>
      <c r="AA1798" t="str">
        <f t="shared" si="491"/>
        <v>2nd Q 1996</v>
      </c>
      <c r="AB1798" t="str" cm="1">
        <f t="array" ref="AB1798">_xlfn.IFS(Y1798&lt;DATE(1996,1,1),"",Y1798&lt;DATE(1996,4,1),"Q1",Y1798&lt;DATE(1996,7,1),"Q2",Y1798&gt;=DATE(1996,7,1),"")</f>
        <v>Q2</v>
      </c>
    </row>
    <row r="1799" spans="1:28" ht="14.4" x14ac:dyDescent="0.55000000000000004">
      <c r="A1799" t="str">
        <f>VLOOKUP(L1799,Customers!$A$2:$B$92,2,FALSE)</f>
        <v>Save-a-lot Markets</v>
      </c>
      <c r="B1799" t="str">
        <f>VLOOKUP(L1799,Customers!$A$2:$C$92,3,TRUE)</f>
        <v>Jose Pavarotti</v>
      </c>
      <c r="C1799" t="str">
        <f t="shared" si="477"/>
        <v>Jose</v>
      </c>
      <c r="D1799" s="8" t="str">
        <f t="shared" si="478"/>
        <v>Pavarotti</v>
      </c>
      <c r="E1799" s="8" t="str">
        <f t="shared" si="479"/>
        <v>Pavarotti, Jose</v>
      </c>
      <c r="F1799" s="8" t="str">
        <f t="shared" si="480"/>
        <v>Pavarotti, Jose</v>
      </c>
      <c r="G1799" s="8" t="str">
        <f t="shared" si="481"/>
        <v>not an outlier</v>
      </c>
      <c r="H1799" s="8" t="str">
        <f t="shared" si="482"/>
        <v>Not</v>
      </c>
      <c r="I1799" s="8" t="str">
        <f t="shared" si="492"/>
        <v>no</v>
      </c>
      <c r="J1799" s="10" t="str">
        <f t="shared" si="483"/>
        <v>no</v>
      </c>
      <c r="K1799" s="10" t="str">
        <f t="shared" si="484"/>
        <v>no</v>
      </c>
      <c r="L1799" t="s">
        <v>529</v>
      </c>
      <c r="M1799">
        <v>10941</v>
      </c>
      <c r="N1799">
        <v>31</v>
      </c>
      <c r="O1799" t="s">
        <v>695</v>
      </c>
      <c r="P1799" t="str">
        <f t="shared" si="485"/>
        <v>SAVEA_10941_Gorgonzola Telino</v>
      </c>
      <c r="Q1799" t="str">
        <f t="shared" si="486"/>
        <v>10941</v>
      </c>
      <c r="R1799" t="str">
        <f t="shared" si="487"/>
        <v>10941</v>
      </c>
      <c r="S1799" t="str">
        <f t="shared" si="488"/>
        <v>Gorgonzola Telino</v>
      </c>
      <c r="T1799">
        <v>12.5</v>
      </c>
      <c r="U1799">
        <v>44</v>
      </c>
      <c r="V1799">
        <v>0.25</v>
      </c>
      <c r="W1799">
        <f t="shared" si="489"/>
        <v>412.5</v>
      </c>
      <c r="X1799" t="str">
        <f t="shared" si="490"/>
        <v>yes</v>
      </c>
      <c r="Y1799" s="2">
        <v>35165</v>
      </c>
      <c r="Z1799" t="str">
        <f t="shared" si="476"/>
        <v/>
      </c>
      <c r="AA1799" t="str">
        <f t="shared" si="491"/>
        <v>2nd Q 1996</v>
      </c>
      <c r="AB1799" t="str" cm="1">
        <f t="array" ref="AB1799">_xlfn.IFS(Y1799&lt;DATE(1996,1,1),"",Y1799&lt;DATE(1996,4,1),"Q1",Y1799&lt;DATE(1996,7,1),"Q2",Y1799&gt;=DATE(1996,7,1),"")</f>
        <v>Q2</v>
      </c>
    </row>
    <row r="1800" spans="1:28" ht="14.4" x14ac:dyDescent="0.55000000000000004">
      <c r="A1800" t="str">
        <f>VLOOKUP(L1800,Customers!$A$2:$B$92,2,FALSE)</f>
        <v>Save-a-lot Markets</v>
      </c>
      <c r="B1800" t="str">
        <f>VLOOKUP(L1800,Customers!$A$2:$C$92,3,TRUE)</f>
        <v>Jose Pavarotti</v>
      </c>
      <c r="C1800" t="str">
        <f t="shared" si="477"/>
        <v>Jose</v>
      </c>
      <c r="D1800" s="8" t="str">
        <f t="shared" si="478"/>
        <v>Pavarotti</v>
      </c>
      <c r="E1800" s="8" t="str">
        <f t="shared" si="479"/>
        <v>Pavarotti, Jose</v>
      </c>
      <c r="F1800" s="8" t="str">
        <f t="shared" si="480"/>
        <v>Pavarotti, Jose</v>
      </c>
      <c r="G1800" s="8" t="str">
        <f t="shared" si="481"/>
        <v>not an outlier</v>
      </c>
      <c r="H1800" s="8" t="str">
        <f t="shared" si="482"/>
        <v>Not</v>
      </c>
      <c r="I1800" s="8" t="str">
        <f t="shared" si="492"/>
        <v>no</v>
      </c>
      <c r="J1800" s="10" t="str">
        <f t="shared" si="483"/>
        <v>no</v>
      </c>
      <c r="K1800" s="10" t="str">
        <f t="shared" si="484"/>
        <v>no</v>
      </c>
      <c r="L1800" t="s">
        <v>529</v>
      </c>
      <c r="M1800">
        <v>10941</v>
      </c>
      <c r="N1800">
        <v>62</v>
      </c>
      <c r="O1800" t="s">
        <v>712</v>
      </c>
      <c r="P1800" t="str">
        <f t="shared" si="485"/>
        <v>SAVEA_10941_Tarte au sucre</v>
      </c>
      <c r="Q1800" t="str">
        <f t="shared" si="486"/>
        <v>10941</v>
      </c>
      <c r="R1800" t="str">
        <f t="shared" si="487"/>
        <v>10941</v>
      </c>
      <c r="S1800" t="str">
        <f t="shared" si="488"/>
        <v>Tarte au sucre</v>
      </c>
      <c r="T1800">
        <v>49.3</v>
      </c>
      <c r="U1800">
        <v>30</v>
      </c>
      <c r="V1800">
        <v>0.25</v>
      </c>
      <c r="W1800">
        <f t="shared" si="489"/>
        <v>1109.25</v>
      </c>
      <c r="X1800" t="str">
        <f t="shared" si="490"/>
        <v>yes</v>
      </c>
      <c r="Y1800" s="2">
        <v>35165</v>
      </c>
      <c r="Z1800" t="str">
        <f t="shared" si="476"/>
        <v/>
      </c>
      <c r="AA1800" t="str">
        <f t="shared" si="491"/>
        <v>2nd Q 1996</v>
      </c>
      <c r="AB1800" t="str" cm="1">
        <f t="array" ref="AB1800">_xlfn.IFS(Y1800&lt;DATE(1996,1,1),"",Y1800&lt;DATE(1996,4,1),"Q1",Y1800&lt;DATE(1996,7,1),"Q2",Y1800&gt;=DATE(1996,7,1),"")</f>
        <v>Q2</v>
      </c>
    </row>
    <row r="1801" spans="1:28" ht="14.4" x14ac:dyDescent="0.55000000000000004">
      <c r="A1801" t="str">
        <f>VLOOKUP(L1801,Customers!$A$2:$B$92,2,FALSE)</f>
        <v>Save-a-lot Markets</v>
      </c>
      <c r="B1801" t="str">
        <f>VLOOKUP(L1801,Customers!$A$2:$C$92,3,TRUE)</f>
        <v>Jose Pavarotti</v>
      </c>
      <c r="C1801" t="str">
        <f t="shared" si="477"/>
        <v>Jose</v>
      </c>
      <c r="D1801" s="8" t="str">
        <f t="shared" si="478"/>
        <v>Pavarotti</v>
      </c>
      <c r="E1801" s="8" t="str">
        <f t="shared" si="479"/>
        <v>Pavarotti, Jose</v>
      </c>
      <c r="F1801" s="8" t="str">
        <f t="shared" si="480"/>
        <v>Pavarotti, Jose</v>
      </c>
      <c r="G1801" s="8" t="str">
        <f t="shared" si="481"/>
        <v>not an outlier</v>
      </c>
      <c r="H1801" s="8" t="str">
        <f t="shared" si="482"/>
        <v>Not</v>
      </c>
      <c r="I1801" s="8" t="str">
        <f t="shared" si="492"/>
        <v>no</v>
      </c>
      <c r="J1801" s="10" t="str">
        <f t="shared" si="483"/>
        <v>no</v>
      </c>
      <c r="K1801" s="10" t="str">
        <f t="shared" si="484"/>
        <v>no</v>
      </c>
      <c r="L1801" t="s">
        <v>529</v>
      </c>
      <c r="M1801">
        <v>10941</v>
      </c>
      <c r="N1801">
        <v>68</v>
      </c>
      <c r="O1801" t="s">
        <v>739</v>
      </c>
      <c r="P1801" t="str">
        <f t="shared" si="485"/>
        <v>SAVEA_10941_Scottish Longbreads</v>
      </c>
      <c r="Q1801" t="str">
        <f t="shared" si="486"/>
        <v>10941</v>
      </c>
      <c r="R1801" t="str">
        <f t="shared" si="487"/>
        <v>10941</v>
      </c>
      <c r="S1801" t="str">
        <f t="shared" si="488"/>
        <v>Scottish Longbreads</v>
      </c>
      <c r="T1801">
        <v>12.5</v>
      </c>
      <c r="U1801">
        <v>80</v>
      </c>
      <c r="V1801">
        <v>0.25</v>
      </c>
      <c r="W1801">
        <f t="shared" si="489"/>
        <v>750</v>
      </c>
      <c r="X1801" t="str">
        <f t="shared" si="490"/>
        <v>yes</v>
      </c>
      <c r="Y1801" s="2">
        <v>35165</v>
      </c>
      <c r="Z1801" t="str">
        <f t="shared" si="476"/>
        <v/>
      </c>
      <c r="AA1801" t="str">
        <f t="shared" si="491"/>
        <v>2nd Q 1996</v>
      </c>
      <c r="AB1801" t="str" cm="1">
        <f t="array" ref="AB1801">_xlfn.IFS(Y1801&lt;DATE(1996,1,1),"",Y1801&lt;DATE(1996,4,1),"Q1",Y1801&lt;DATE(1996,7,1),"Q2",Y1801&gt;=DATE(1996,7,1),"")</f>
        <v>Q2</v>
      </c>
    </row>
    <row r="1802" spans="1:28" ht="14.4" x14ac:dyDescent="0.55000000000000004">
      <c r="A1802" t="str">
        <f>VLOOKUP(L1802,Customers!$A$2:$B$92,2,FALSE)</f>
        <v>Save-a-lot Markets</v>
      </c>
      <c r="B1802" t="str">
        <f>VLOOKUP(L1802,Customers!$A$2:$C$92,3,TRUE)</f>
        <v>Jose Pavarotti</v>
      </c>
      <c r="C1802" t="str">
        <f t="shared" si="477"/>
        <v>Jose</v>
      </c>
      <c r="D1802" s="8" t="str">
        <f t="shared" si="478"/>
        <v>Pavarotti</v>
      </c>
      <c r="E1802" s="8" t="str">
        <f t="shared" si="479"/>
        <v>Pavarotti, Jose</v>
      </c>
      <c r="F1802" s="8" t="str">
        <f t="shared" si="480"/>
        <v>Pavarotti, Jose</v>
      </c>
      <c r="G1802" s="8" t="str">
        <f t="shared" si="481"/>
        <v>not an outlier</v>
      </c>
      <c r="H1802" s="8" t="str">
        <f t="shared" si="482"/>
        <v>Not</v>
      </c>
      <c r="I1802" s="8" t="str">
        <f t="shared" si="492"/>
        <v>no</v>
      </c>
      <c r="J1802" s="10" t="str">
        <f t="shared" si="483"/>
        <v>no</v>
      </c>
      <c r="K1802" s="10" t="str">
        <f t="shared" si="484"/>
        <v>no</v>
      </c>
      <c r="L1802" t="s">
        <v>529</v>
      </c>
      <c r="M1802">
        <v>10941</v>
      </c>
      <c r="N1802">
        <v>72</v>
      </c>
      <c r="O1802" t="s">
        <v>685</v>
      </c>
      <c r="P1802" t="str">
        <f t="shared" si="485"/>
        <v>SAVEA_10941_Mozzarella di Giovanni</v>
      </c>
      <c r="Q1802" t="str">
        <f t="shared" si="486"/>
        <v>10941</v>
      </c>
      <c r="R1802" t="str">
        <f t="shared" si="487"/>
        <v>10941</v>
      </c>
      <c r="S1802" t="str">
        <f t="shared" si="488"/>
        <v>Mozzarella di Giovanni</v>
      </c>
      <c r="T1802">
        <v>34.799999999999997</v>
      </c>
      <c r="U1802">
        <v>50</v>
      </c>
      <c r="V1802">
        <v>0</v>
      </c>
      <c r="W1802">
        <f t="shared" si="489"/>
        <v>1739.9999999999998</v>
      </c>
      <c r="X1802" t="str">
        <f t="shared" si="490"/>
        <v>yes</v>
      </c>
      <c r="Y1802" s="2">
        <v>35165</v>
      </c>
      <c r="Z1802" t="str">
        <f t="shared" si="476"/>
        <v/>
      </c>
      <c r="AA1802" t="str">
        <f t="shared" si="491"/>
        <v>2nd Q 1996</v>
      </c>
      <c r="AB1802" t="str" cm="1">
        <f t="array" ref="AB1802">_xlfn.IFS(Y1802&lt;DATE(1996,1,1),"",Y1802&lt;DATE(1996,4,1),"Q1",Y1802&lt;DATE(1996,7,1),"Q2",Y1802&gt;=DATE(1996,7,1),"")</f>
        <v>Q2</v>
      </c>
    </row>
    <row r="1803" spans="1:28" ht="14.4" x14ac:dyDescent="0.55000000000000004">
      <c r="A1803" t="str">
        <f>VLOOKUP(L1803,Customers!$A$2:$B$92,2,FALSE)</f>
        <v>Reggiani Caseifici</v>
      </c>
      <c r="B1803" t="str">
        <f>VLOOKUP(L1803,Customers!$A$2:$C$92,3,TRUE)</f>
        <v>Maurizio Moroni</v>
      </c>
      <c r="C1803" t="str">
        <f t="shared" si="477"/>
        <v>Maurizio</v>
      </c>
      <c r="D1803" s="8" t="str">
        <f t="shared" si="478"/>
        <v>Moroni</v>
      </c>
      <c r="E1803" s="8" t="str">
        <f t="shared" si="479"/>
        <v>Moroni, Maurizio</v>
      </c>
      <c r="F1803" s="8" t="str">
        <f t="shared" si="480"/>
        <v>Moroni, Maurizio</v>
      </c>
      <c r="G1803" s="8" t="str">
        <f t="shared" si="481"/>
        <v>not an outlier</v>
      </c>
      <c r="H1803" s="8" t="str">
        <f t="shared" si="482"/>
        <v>Not</v>
      </c>
      <c r="I1803" s="8" t="str">
        <f t="shared" si="492"/>
        <v>no</v>
      </c>
      <c r="J1803" s="10" t="str">
        <f t="shared" si="483"/>
        <v>no</v>
      </c>
      <c r="K1803" s="10" t="str">
        <f t="shared" si="484"/>
        <v>no</v>
      </c>
      <c r="L1803" t="s">
        <v>496</v>
      </c>
      <c r="M1803">
        <v>10942</v>
      </c>
      <c r="N1803">
        <v>49</v>
      </c>
      <c r="O1803" t="s">
        <v>697</v>
      </c>
      <c r="P1803" t="str">
        <f t="shared" si="485"/>
        <v>REGGC_10942_Maxilaku</v>
      </c>
      <c r="Q1803" t="str">
        <f t="shared" si="486"/>
        <v>10942</v>
      </c>
      <c r="R1803" t="str">
        <f t="shared" si="487"/>
        <v>10942</v>
      </c>
      <c r="S1803" t="str">
        <f t="shared" si="488"/>
        <v>Maxilaku</v>
      </c>
      <c r="T1803">
        <v>20</v>
      </c>
      <c r="U1803">
        <v>28</v>
      </c>
      <c r="V1803">
        <v>0</v>
      </c>
      <c r="W1803">
        <f t="shared" si="489"/>
        <v>560</v>
      </c>
      <c r="X1803" t="str">
        <f t="shared" si="490"/>
        <v>yes</v>
      </c>
      <c r="Y1803" s="2">
        <v>35165</v>
      </c>
      <c r="Z1803" t="str">
        <f t="shared" si="476"/>
        <v/>
      </c>
      <c r="AA1803" t="str">
        <f t="shared" si="491"/>
        <v>2nd Q 1996</v>
      </c>
      <c r="AB1803" t="str" cm="1">
        <f t="array" ref="AB1803">_xlfn.IFS(Y1803&lt;DATE(1996,1,1),"",Y1803&lt;DATE(1996,4,1),"Q1",Y1803&lt;DATE(1996,7,1),"Q2",Y1803&gt;=DATE(1996,7,1),"")</f>
        <v>Q2</v>
      </c>
    </row>
    <row r="1804" spans="1:28" ht="14.4" x14ac:dyDescent="0.55000000000000004">
      <c r="A1804" t="str">
        <f>VLOOKUP(L1804,Customers!$A$2:$B$92,2,FALSE)</f>
        <v>B's Beverages</v>
      </c>
      <c r="B1804" t="str">
        <f>VLOOKUP(L1804,Customers!$A$2:$C$92,3,TRUE)</f>
        <v>Victoria Ashworth</v>
      </c>
      <c r="C1804" t="str">
        <f t="shared" si="477"/>
        <v>Victoria</v>
      </c>
      <c r="D1804" s="8" t="str">
        <f t="shared" si="478"/>
        <v>Ashworth</v>
      </c>
      <c r="E1804" s="8" t="str">
        <f t="shared" si="479"/>
        <v>Ashworth, Victoria</v>
      </c>
      <c r="F1804" s="8" t="str">
        <f t="shared" si="480"/>
        <v>Ashworth, Victoria</v>
      </c>
      <c r="G1804" s="8" t="str">
        <f t="shared" si="481"/>
        <v>not an outlier</v>
      </c>
      <c r="H1804" s="8" t="str">
        <f t="shared" si="482"/>
        <v>Not</v>
      </c>
      <c r="I1804" s="8" t="str">
        <f t="shared" si="492"/>
        <v>no</v>
      </c>
      <c r="J1804" s="10" t="str">
        <f t="shared" si="483"/>
        <v>no</v>
      </c>
      <c r="K1804" s="10" t="str">
        <f t="shared" si="484"/>
        <v>no</v>
      </c>
      <c r="L1804" t="s">
        <v>95</v>
      </c>
      <c r="M1804">
        <v>10943</v>
      </c>
      <c r="N1804">
        <v>13</v>
      </c>
      <c r="O1804" t="s">
        <v>726</v>
      </c>
      <c r="P1804" t="str">
        <f t="shared" si="485"/>
        <v>BSBEV_10943_Konbu</v>
      </c>
      <c r="Q1804" t="str">
        <f t="shared" si="486"/>
        <v>10943</v>
      </c>
      <c r="R1804" t="str">
        <f t="shared" si="487"/>
        <v>10943</v>
      </c>
      <c r="S1804" t="str">
        <f t="shared" si="488"/>
        <v>Konbu</v>
      </c>
      <c r="T1804">
        <v>6</v>
      </c>
      <c r="U1804">
        <v>15</v>
      </c>
      <c r="V1804">
        <v>0</v>
      </c>
      <c r="W1804">
        <f t="shared" si="489"/>
        <v>90</v>
      </c>
      <c r="X1804" t="str">
        <f t="shared" si="490"/>
        <v>yes</v>
      </c>
      <c r="Y1804" s="2">
        <v>35165</v>
      </c>
      <c r="Z1804" t="str">
        <f t="shared" si="476"/>
        <v/>
      </c>
      <c r="AA1804" t="str">
        <f t="shared" si="491"/>
        <v>2nd Q 1996</v>
      </c>
      <c r="AB1804" t="str" cm="1">
        <f t="array" ref="AB1804">_xlfn.IFS(Y1804&lt;DATE(1996,1,1),"",Y1804&lt;DATE(1996,4,1),"Q1",Y1804&lt;DATE(1996,7,1),"Q2",Y1804&gt;=DATE(1996,7,1),"")</f>
        <v>Q2</v>
      </c>
    </row>
    <row r="1805" spans="1:28" ht="14.4" x14ac:dyDescent="0.55000000000000004">
      <c r="A1805" t="str">
        <f>VLOOKUP(L1805,Customers!$A$2:$B$92,2,FALSE)</f>
        <v>B's Beverages</v>
      </c>
      <c r="B1805" t="str">
        <f>VLOOKUP(L1805,Customers!$A$2:$C$92,3,TRUE)</f>
        <v>Victoria Ashworth</v>
      </c>
      <c r="C1805" t="str">
        <f t="shared" si="477"/>
        <v>Victoria</v>
      </c>
      <c r="D1805" s="8" t="str">
        <f t="shared" si="478"/>
        <v>Ashworth</v>
      </c>
      <c r="E1805" s="8" t="str">
        <f t="shared" si="479"/>
        <v>Ashworth, Victoria</v>
      </c>
      <c r="F1805" s="8" t="str">
        <f t="shared" si="480"/>
        <v>Ashworth, Victoria</v>
      </c>
      <c r="G1805" s="8" t="str">
        <f t="shared" si="481"/>
        <v>not an outlier</v>
      </c>
      <c r="H1805" s="8" t="str">
        <f t="shared" si="482"/>
        <v>Not</v>
      </c>
      <c r="I1805" s="8" t="str">
        <f t="shared" si="492"/>
        <v>no</v>
      </c>
      <c r="J1805" s="10" t="str">
        <f t="shared" si="483"/>
        <v>no</v>
      </c>
      <c r="K1805" s="10" t="str">
        <f t="shared" si="484"/>
        <v>no</v>
      </c>
      <c r="L1805" t="s">
        <v>95</v>
      </c>
      <c r="M1805">
        <v>10943</v>
      </c>
      <c r="N1805">
        <v>22</v>
      </c>
      <c r="O1805" t="s">
        <v>690</v>
      </c>
      <c r="P1805" t="str">
        <f t="shared" si="485"/>
        <v>BSBEV_10943_Gustaf's Knäckebröd</v>
      </c>
      <c r="Q1805" t="str">
        <f t="shared" si="486"/>
        <v>10943</v>
      </c>
      <c r="R1805" t="str">
        <f t="shared" si="487"/>
        <v>10943</v>
      </c>
      <c r="S1805" t="str">
        <f t="shared" si="488"/>
        <v>Gustaf's Knäckebröd</v>
      </c>
      <c r="T1805">
        <v>21</v>
      </c>
      <c r="U1805">
        <v>21</v>
      </c>
      <c r="V1805">
        <v>0</v>
      </c>
      <c r="W1805">
        <f t="shared" si="489"/>
        <v>441</v>
      </c>
      <c r="X1805" t="str">
        <f t="shared" si="490"/>
        <v>yes</v>
      </c>
      <c r="Y1805" s="2">
        <v>35165</v>
      </c>
      <c r="Z1805" t="str">
        <f t="shared" si="476"/>
        <v/>
      </c>
      <c r="AA1805" t="str">
        <f t="shared" si="491"/>
        <v>2nd Q 1996</v>
      </c>
      <c r="AB1805" t="str" cm="1">
        <f t="array" ref="AB1805">_xlfn.IFS(Y1805&lt;DATE(1996,1,1),"",Y1805&lt;DATE(1996,4,1),"Q1",Y1805&lt;DATE(1996,7,1),"Q2",Y1805&gt;=DATE(1996,7,1),"")</f>
        <v>Q2</v>
      </c>
    </row>
    <row r="1806" spans="1:28" ht="14.4" x14ac:dyDescent="0.55000000000000004">
      <c r="A1806" t="str">
        <f>VLOOKUP(L1806,Customers!$A$2:$B$92,2,FALSE)</f>
        <v>B's Beverages</v>
      </c>
      <c r="B1806" t="str">
        <f>VLOOKUP(L1806,Customers!$A$2:$C$92,3,TRUE)</f>
        <v>Victoria Ashworth</v>
      </c>
      <c r="C1806" t="str">
        <f t="shared" si="477"/>
        <v>Victoria</v>
      </c>
      <c r="D1806" s="8" t="str">
        <f t="shared" si="478"/>
        <v>Ashworth</v>
      </c>
      <c r="E1806" s="8" t="str">
        <f t="shared" si="479"/>
        <v>Ashworth, Victoria</v>
      </c>
      <c r="F1806" s="8" t="str">
        <f t="shared" si="480"/>
        <v>Ashworth, Victoria</v>
      </c>
      <c r="G1806" s="8" t="str">
        <f t="shared" si="481"/>
        <v>not an outlier</v>
      </c>
      <c r="H1806" s="8" t="str">
        <f t="shared" si="482"/>
        <v>Not</v>
      </c>
      <c r="I1806" s="8" t="str">
        <f t="shared" si="492"/>
        <v>no</v>
      </c>
      <c r="J1806" s="10" t="str">
        <f t="shared" si="483"/>
        <v>no</v>
      </c>
      <c r="K1806" s="10" t="str">
        <f t="shared" si="484"/>
        <v>no</v>
      </c>
      <c r="L1806" t="s">
        <v>95</v>
      </c>
      <c r="M1806">
        <v>10943</v>
      </c>
      <c r="N1806">
        <v>46</v>
      </c>
      <c r="O1806" t="s">
        <v>737</v>
      </c>
      <c r="P1806" t="str">
        <f t="shared" si="485"/>
        <v>BSBEV_10943_Spegesild</v>
      </c>
      <c r="Q1806" t="str">
        <f t="shared" si="486"/>
        <v>10943</v>
      </c>
      <c r="R1806" t="str">
        <f t="shared" si="487"/>
        <v>10943</v>
      </c>
      <c r="S1806" t="str">
        <f t="shared" si="488"/>
        <v>Spegesild</v>
      </c>
      <c r="T1806">
        <v>12</v>
      </c>
      <c r="U1806">
        <v>15</v>
      </c>
      <c r="V1806">
        <v>0</v>
      </c>
      <c r="W1806">
        <f t="shared" si="489"/>
        <v>180</v>
      </c>
      <c r="X1806" t="str">
        <f t="shared" si="490"/>
        <v>yes</v>
      </c>
      <c r="Y1806" s="2">
        <v>35165</v>
      </c>
      <c r="Z1806" t="str">
        <f t="shared" si="476"/>
        <v/>
      </c>
      <c r="AA1806" t="str">
        <f t="shared" si="491"/>
        <v>2nd Q 1996</v>
      </c>
      <c r="AB1806" t="str" cm="1">
        <f t="array" ref="AB1806">_xlfn.IFS(Y1806&lt;DATE(1996,1,1),"",Y1806&lt;DATE(1996,4,1),"Q1",Y1806&lt;DATE(1996,7,1),"Q2",Y1806&gt;=DATE(1996,7,1),"")</f>
        <v>Q2</v>
      </c>
    </row>
    <row r="1807" spans="1:28" ht="14.4" x14ac:dyDescent="0.55000000000000004">
      <c r="A1807" t="str">
        <f>VLOOKUP(L1807,Customers!$A$2:$B$92,2,FALSE)</f>
        <v>Bottom-Dollar Markets</v>
      </c>
      <c r="B1807" t="str">
        <f>VLOOKUP(L1807,Customers!$A$2:$C$92,3,TRUE)</f>
        <v>Elizabeth Lincoln</v>
      </c>
      <c r="C1807" t="str">
        <f t="shared" si="477"/>
        <v>Elizabeth</v>
      </c>
      <c r="D1807" s="8" t="str">
        <f t="shared" si="478"/>
        <v>Lincoln</v>
      </c>
      <c r="E1807" s="8" t="str">
        <f t="shared" si="479"/>
        <v>Lincoln, Elizabeth</v>
      </c>
      <c r="F1807" s="8" t="str">
        <f t="shared" si="480"/>
        <v>Lincoln, Elizabeth</v>
      </c>
      <c r="G1807" s="8" t="str">
        <f t="shared" si="481"/>
        <v>not an outlier</v>
      </c>
      <c r="H1807" s="8" t="str">
        <f t="shared" si="482"/>
        <v>Not</v>
      </c>
      <c r="I1807" s="8" t="str">
        <f t="shared" si="492"/>
        <v>no</v>
      </c>
      <c r="J1807" s="10" t="str">
        <f t="shared" si="483"/>
        <v>no</v>
      </c>
      <c r="K1807" s="10" t="str">
        <f t="shared" si="484"/>
        <v>no</v>
      </c>
      <c r="L1807" t="s">
        <v>84</v>
      </c>
      <c r="M1807">
        <v>10944</v>
      </c>
      <c r="N1807">
        <v>11</v>
      </c>
      <c r="O1807" t="s">
        <v>683</v>
      </c>
      <c r="P1807" t="str">
        <f t="shared" si="485"/>
        <v>BOTTM_10944_Queso Cabrales</v>
      </c>
      <c r="Q1807" t="str">
        <f t="shared" si="486"/>
        <v>10944</v>
      </c>
      <c r="R1807" t="str">
        <f t="shared" si="487"/>
        <v>10944</v>
      </c>
      <c r="S1807" t="str">
        <f t="shared" si="488"/>
        <v>Queso Cabrales</v>
      </c>
      <c r="T1807">
        <v>21</v>
      </c>
      <c r="U1807">
        <v>5</v>
      </c>
      <c r="V1807">
        <v>0.25</v>
      </c>
      <c r="W1807">
        <f t="shared" si="489"/>
        <v>78.75</v>
      </c>
      <c r="X1807" t="str">
        <f t="shared" si="490"/>
        <v>yes</v>
      </c>
      <c r="Y1807" s="2">
        <v>35166</v>
      </c>
      <c r="Z1807" t="str">
        <f t="shared" si="476"/>
        <v/>
      </c>
      <c r="AA1807" t="str">
        <f t="shared" si="491"/>
        <v>2nd Q 1996</v>
      </c>
      <c r="AB1807" t="str" cm="1">
        <f t="array" ref="AB1807">_xlfn.IFS(Y1807&lt;DATE(1996,1,1),"",Y1807&lt;DATE(1996,4,1),"Q1",Y1807&lt;DATE(1996,7,1),"Q2",Y1807&gt;=DATE(1996,7,1),"")</f>
        <v>Q2</v>
      </c>
    </row>
    <row r="1808" spans="1:28" ht="14.4" x14ac:dyDescent="0.55000000000000004">
      <c r="A1808" t="str">
        <f>VLOOKUP(L1808,Customers!$A$2:$B$92,2,FALSE)</f>
        <v>Bottom-Dollar Markets</v>
      </c>
      <c r="B1808" t="str">
        <f>VLOOKUP(L1808,Customers!$A$2:$C$92,3,TRUE)</f>
        <v>Elizabeth Lincoln</v>
      </c>
      <c r="C1808" t="str">
        <f t="shared" si="477"/>
        <v>Elizabeth</v>
      </c>
      <c r="D1808" s="8" t="str">
        <f t="shared" si="478"/>
        <v>Lincoln</v>
      </c>
      <c r="E1808" s="8" t="str">
        <f t="shared" si="479"/>
        <v>Lincoln, Elizabeth</v>
      </c>
      <c r="F1808" s="8" t="str">
        <f t="shared" si="480"/>
        <v>Lincoln, Elizabeth</v>
      </c>
      <c r="G1808" s="8" t="str">
        <f t="shared" si="481"/>
        <v>not an outlier</v>
      </c>
      <c r="H1808" s="8" t="str">
        <f t="shared" si="482"/>
        <v>Not</v>
      </c>
      <c r="I1808" s="8" t="str">
        <f t="shared" si="492"/>
        <v>no</v>
      </c>
      <c r="J1808" s="10" t="str">
        <f t="shared" si="483"/>
        <v>no</v>
      </c>
      <c r="K1808" s="10" t="str">
        <f t="shared" si="484"/>
        <v>no</v>
      </c>
      <c r="L1808" t="s">
        <v>84</v>
      </c>
      <c r="M1808">
        <v>10944</v>
      </c>
      <c r="N1808">
        <v>44</v>
      </c>
      <c r="O1808" t="s">
        <v>728</v>
      </c>
      <c r="P1808" t="str">
        <f t="shared" si="485"/>
        <v>BOTTM_10944_Gula Malacca</v>
      </c>
      <c r="Q1808" t="str">
        <f t="shared" si="486"/>
        <v>10944</v>
      </c>
      <c r="R1808" t="str">
        <f t="shared" si="487"/>
        <v>10944</v>
      </c>
      <c r="S1808" t="str">
        <f t="shared" si="488"/>
        <v>Gula Malacca</v>
      </c>
      <c r="T1808">
        <v>19.45</v>
      </c>
      <c r="U1808">
        <v>18</v>
      </c>
      <c r="V1808">
        <v>0.25</v>
      </c>
      <c r="W1808">
        <f t="shared" si="489"/>
        <v>262.57499999999999</v>
      </c>
      <c r="X1808" t="str">
        <f t="shared" si="490"/>
        <v>yes</v>
      </c>
      <c r="Y1808" s="2">
        <v>35166</v>
      </c>
      <c r="Z1808" t="str">
        <f t="shared" si="476"/>
        <v/>
      </c>
      <c r="AA1808" t="str">
        <f t="shared" si="491"/>
        <v>2nd Q 1996</v>
      </c>
      <c r="AB1808" t="str" cm="1">
        <f t="array" ref="AB1808">_xlfn.IFS(Y1808&lt;DATE(1996,1,1),"",Y1808&lt;DATE(1996,4,1),"Q1",Y1808&lt;DATE(1996,7,1),"Q2",Y1808&gt;=DATE(1996,7,1),"")</f>
        <v>Q2</v>
      </c>
    </row>
    <row r="1809" spans="1:28" ht="14.4" x14ac:dyDescent="0.55000000000000004">
      <c r="A1809" t="str">
        <f>VLOOKUP(L1809,Customers!$A$2:$B$92,2,FALSE)</f>
        <v>Bottom-Dollar Markets</v>
      </c>
      <c r="B1809" t="str">
        <f>VLOOKUP(L1809,Customers!$A$2:$C$92,3,TRUE)</f>
        <v>Elizabeth Lincoln</v>
      </c>
      <c r="C1809" t="str">
        <f t="shared" si="477"/>
        <v>Elizabeth</v>
      </c>
      <c r="D1809" s="8" t="str">
        <f t="shared" si="478"/>
        <v>Lincoln</v>
      </c>
      <c r="E1809" s="8" t="str">
        <f t="shared" si="479"/>
        <v>Lincoln, Elizabeth</v>
      </c>
      <c r="F1809" s="8" t="str">
        <f t="shared" si="480"/>
        <v>Lincoln, Elizabeth</v>
      </c>
      <c r="G1809" s="8" t="str">
        <f t="shared" si="481"/>
        <v>not an outlier</v>
      </c>
      <c r="H1809" s="8" t="str">
        <f t="shared" si="482"/>
        <v>Not</v>
      </c>
      <c r="I1809" s="8" t="str">
        <f t="shared" si="492"/>
        <v>no</v>
      </c>
      <c r="J1809" s="10" t="str">
        <f t="shared" si="483"/>
        <v>no</v>
      </c>
      <c r="K1809" s="10" t="str">
        <f t="shared" si="484"/>
        <v>no</v>
      </c>
      <c r="L1809" t="s">
        <v>84</v>
      </c>
      <c r="M1809">
        <v>10944</v>
      </c>
      <c r="N1809">
        <v>56</v>
      </c>
      <c r="O1809" t="s">
        <v>716</v>
      </c>
      <c r="P1809" t="str">
        <f t="shared" si="485"/>
        <v>BOTTM_10944_Gnocchi di nonna Alice</v>
      </c>
      <c r="Q1809" t="str">
        <f t="shared" si="486"/>
        <v>10944</v>
      </c>
      <c r="R1809" t="str">
        <f t="shared" si="487"/>
        <v>10944</v>
      </c>
      <c r="S1809" t="str">
        <f t="shared" si="488"/>
        <v>Gnocchi di nonna Alice</v>
      </c>
      <c r="T1809">
        <v>38</v>
      </c>
      <c r="U1809">
        <v>18</v>
      </c>
      <c r="V1809">
        <v>0</v>
      </c>
      <c r="W1809">
        <f t="shared" si="489"/>
        <v>684</v>
      </c>
      <c r="X1809" t="str">
        <f t="shared" si="490"/>
        <v>yes</v>
      </c>
      <c r="Y1809" s="2">
        <v>35166</v>
      </c>
      <c r="Z1809" t="str">
        <f t="shared" si="476"/>
        <v/>
      </c>
      <c r="AA1809" t="str">
        <f t="shared" si="491"/>
        <v>2nd Q 1996</v>
      </c>
      <c r="AB1809" t="str" cm="1">
        <f t="array" ref="AB1809">_xlfn.IFS(Y1809&lt;DATE(1996,1,1),"",Y1809&lt;DATE(1996,4,1),"Q1",Y1809&lt;DATE(1996,7,1),"Q2",Y1809&gt;=DATE(1996,7,1),"")</f>
        <v>Q2</v>
      </c>
    </row>
    <row r="1810" spans="1:28" ht="14.4" x14ac:dyDescent="0.55000000000000004">
      <c r="A1810" t="str">
        <f>VLOOKUP(L1810,Customers!$A$2:$B$92,2,FALSE)</f>
        <v>Morgenstern Gesundkost</v>
      </c>
      <c r="B1810" t="str">
        <f>VLOOKUP(L1810,Customers!$A$2:$C$92,3,TRUE)</f>
        <v>Alexander Feuer</v>
      </c>
      <c r="C1810" t="str">
        <f t="shared" si="477"/>
        <v>Alexander</v>
      </c>
      <c r="D1810" s="8" t="str">
        <f t="shared" si="478"/>
        <v>Feuer</v>
      </c>
      <c r="E1810" s="8" t="str">
        <f t="shared" si="479"/>
        <v>Feuer, Alexander</v>
      </c>
      <c r="F1810" s="8" t="str">
        <f t="shared" si="480"/>
        <v>Feuer, Alexander</v>
      </c>
      <c r="G1810" s="8" t="str">
        <f t="shared" si="481"/>
        <v>not an outlier</v>
      </c>
      <c r="H1810" s="8" t="str">
        <f t="shared" si="482"/>
        <v>Not</v>
      </c>
      <c r="I1810" s="8" t="str">
        <f t="shared" si="492"/>
        <v>no</v>
      </c>
      <c r="J1810" s="10" t="str">
        <f t="shared" si="483"/>
        <v>no</v>
      </c>
      <c r="K1810" s="10" t="str">
        <f t="shared" si="484"/>
        <v>no</v>
      </c>
      <c r="L1810" t="s">
        <v>403</v>
      </c>
      <c r="M1810">
        <v>10945</v>
      </c>
      <c r="N1810">
        <v>13</v>
      </c>
      <c r="O1810" t="s">
        <v>726</v>
      </c>
      <c r="P1810" t="str">
        <f t="shared" si="485"/>
        <v>MORGK_10945_Konbu</v>
      </c>
      <c r="Q1810" t="str">
        <f t="shared" si="486"/>
        <v>10945</v>
      </c>
      <c r="R1810" t="str">
        <f t="shared" si="487"/>
        <v>10945</v>
      </c>
      <c r="S1810" t="str">
        <f t="shared" si="488"/>
        <v>Konbu</v>
      </c>
      <c r="T1810">
        <v>6</v>
      </c>
      <c r="U1810">
        <v>20</v>
      </c>
      <c r="V1810">
        <v>0</v>
      </c>
      <c r="W1810">
        <f t="shared" si="489"/>
        <v>120</v>
      </c>
      <c r="X1810" t="str">
        <f t="shared" si="490"/>
        <v>yes</v>
      </c>
      <c r="Y1810" s="2">
        <v>35166</v>
      </c>
      <c r="Z1810" t="str">
        <f t="shared" si="476"/>
        <v/>
      </c>
      <c r="AA1810" t="str">
        <f t="shared" si="491"/>
        <v>2nd Q 1996</v>
      </c>
      <c r="AB1810" t="str" cm="1">
        <f t="array" ref="AB1810">_xlfn.IFS(Y1810&lt;DATE(1996,1,1),"",Y1810&lt;DATE(1996,4,1),"Q1",Y1810&lt;DATE(1996,7,1),"Q2",Y1810&gt;=DATE(1996,7,1),"")</f>
        <v>Q2</v>
      </c>
    </row>
    <row r="1811" spans="1:28" ht="14.4" x14ac:dyDescent="0.55000000000000004">
      <c r="A1811" t="str">
        <f>VLOOKUP(L1811,Customers!$A$2:$B$92,2,FALSE)</f>
        <v>Morgenstern Gesundkost</v>
      </c>
      <c r="B1811" t="str">
        <f>VLOOKUP(L1811,Customers!$A$2:$C$92,3,TRUE)</f>
        <v>Alexander Feuer</v>
      </c>
      <c r="C1811" t="str">
        <f t="shared" si="477"/>
        <v>Alexander</v>
      </c>
      <c r="D1811" s="8" t="str">
        <f t="shared" si="478"/>
        <v>Feuer</v>
      </c>
      <c r="E1811" s="8" t="str">
        <f t="shared" si="479"/>
        <v>Feuer, Alexander</v>
      </c>
      <c r="F1811" s="8" t="str">
        <f t="shared" si="480"/>
        <v>Feuer, Alexander</v>
      </c>
      <c r="G1811" s="8" t="str">
        <f t="shared" si="481"/>
        <v>not an outlier</v>
      </c>
      <c r="H1811" s="8" t="str">
        <f t="shared" si="482"/>
        <v>Not</v>
      </c>
      <c r="I1811" s="8" t="str">
        <f t="shared" si="492"/>
        <v>no</v>
      </c>
      <c r="J1811" s="10" t="str">
        <f t="shared" si="483"/>
        <v>no</v>
      </c>
      <c r="K1811" s="10" t="str">
        <f t="shared" si="484"/>
        <v>no</v>
      </c>
      <c r="L1811" t="s">
        <v>403</v>
      </c>
      <c r="M1811">
        <v>10945</v>
      </c>
      <c r="N1811">
        <v>31</v>
      </c>
      <c r="O1811" t="s">
        <v>695</v>
      </c>
      <c r="P1811" t="str">
        <f t="shared" si="485"/>
        <v>MORGK_10945_Gorgonzola Telino</v>
      </c>
      <c r="Q1811" t="str">
        <f t="shared" si="486"/>
        <v>10945</v>
      </c>
      <c r="R1811" t="str">
        <f t="shared" si="487"/>
        <v>10945</v>
      </c>
      <c r="S1811" t="str">
        <f t="shared" si="488"/>
        <v>Gorgonzola Telino</v>
      </c>
      <c r="T1811">
        <v>12.5</v>
      </c>
      <c r="U1811">
        <v>10</v>
      </c>
      <c r="V1811">
        <v>0</v>
      </c>
      <c r="W1811">
        <f t="shared" si="489"/>
        <v>125</v>
      </c>
      <c r="X1811" t="str">
        <f t="shared" si="490"/>
        <v>yes</v>
      </c>
      <c r="Y1811" s="2">
        <v>35166</v>
      </c>
      <c r="Z1811" t="str">
        <f t="shared" si="476"/>
        <v/>
      </c>
      <c r="AA1811" t="str">
        <f t="shared" si="491"/>
        <v>2nd Q 1996</v>
      </c>
      <c r="AB1811" t="str" cm="1">
        <f t="array" ref="AB1811">_xlfn.IFS(Y1811&lt;DATE(1996,1,1),"",Y1811&lt;DATE(1996,4,1),"Q1",Y1811&lt;DATE(1996,7,1),"Q2",Y1811&gt;=DATE(1996,7,1),"")</f>
        <v>Q2</v>
      </c>
    </row>
    <row r="1812" spans="1:28" ht="14.4" x14ac:dyDescent="0.55000000000000004">
      <c r="A1812" t="str">
        <f>VLOOKUP(L1812,Customers!$A$2:$B$92,2,FALSE)</f>
        <v>Vaffeljernet</v>
      </c>
      <c r="B1812" t="str">
        <f>VLOOKUP(L1812,Customers!$A$2:$C$92,3,TRUE)</f>
        <v>Palle Ibsen</v>
      </c>
      <c r="C1812" t="str">
        <f t="shared" si="477"/>
        <v>Palle</v>
      </c>
      <c r="D1812" s="8" t="str">
        <f t="shared" si="478"/>
        <v>Ibsen</v>
      </c>
      <c r="E1812" s="8" t="str">
        <f t="shared" si="479"/>
        <v>Ibsen, Palle</v>
      </c>
      <c r="F1812" s="8" t="str">
        <f t="shared" si="480"/>
        <v>Ibsen, Palle</v>
      </c>
      <c r="G1812" s="8" t="str">
        <f t="shared" si="481"/>
        <v>not an outlier</v>
      </c>
      <c r="H1812" s="8" t="str">
        <f t="shared" si="482"/>
        <v>Not</v>
      </c>
      <c r="I1812" s="8" t="str">
        <f t="shared" si="492"/>
        <v>no</v>
      </c>
      <c r="J1812" s="10" t="str">
        <f t="shared" si="483"/>
        <v>no</v>
      </c>
      <c r="K1812" s="10" t="str">
        <f t="shared" si="484"/>
        <v>no</v>
      </c>
      <c r="L1812" t="s">
        <v>612</v>
      </c>
      <c r="M1812">
        <v>10946</v>
      </c>
      <c r="N1812">
        <v>10</v>
      </c>
      <c r="O1812" t="s">
        <v>724</v>
      </c>
      <c r="P1812" t="str">
        <f t="shared" si="485"/>
        <v>VAFFE_10946_Ikura</v>
      </c>
      <c r="Q1812" t="str">
        <f t="shared" si="486"/>
        <v>10946</v>
      </c>
      <c r="R1812" t="str">
        <f t="shared" si="487"/>
        <v>10946</v>
      </c>
      <c r="S1812" t="str">
        <f t="shared" si="488"/>
        <v>Ikura</v>
      </c>
      <c r="T1812">
        <v>31</v>
      </c>
      <c r="U1812">
        <v>25</v>
      </c>
      <c r="V1812">
        <v>0</v>
      </c>
      <c r="W1812">
        <f t="shared" si="489"/>
        <v>775</v>
      </c>
      <c r="X1812" t="str">
        <f t="shared" si="490"/>
        <v>yes</v>
      </c>
      <c r="Y1812" s="2">
        <v>35166</v>
      </c>
      <c r="Z1812" t="str">
        <f t="shared" si="476"/>
        <v/>
      </c>
      <c r="AA1812" t="str">
        <f t="shared" si="491"/>
        <v>2nd Q 1996</v>
      </c>
      <c r="AB1812" t="str" cm="1">
        <f t="array" ref="AB1812">_xlfn.IFS(Y1812&lt;DATE(1996,1,1),"",Y1812&lt;DATE(1996,4,1),"Q1",Y1812&lt;DATE(1996,7,1),"Q2",Y1812&gt;=DATE(1996,7,1),"")</f>
        <v>Q2</v>
      </c>
    </row>
    <row r="1813" spans="1:28" ht="14.4" x14ac:dyDescent="0.55000000000000004">
      <c r="A1813" t="str">
        <f>VLOOKUP(L1813,Customers!$A$2:$B$92,2,FALSE)</f>
        <v>Vaffeljernet</v>
      </c>
      <c r="B1813" t="str">
        <f>VLOOKUP(L1813,Customers!$A$2:$C$92,3,TRUE)</f>
        <v>Palle Ibsen</v>
      </c>
      <c r="C1813" t="str">
        <f t="shared" si="477"/>
        <v>Palle</v>
      </c>
      <c r="D1813" s="8" t="str">
        <f t="shared" si="478"/>
        <v>Ibsen</v>
      </c>
      <c r="E1813" s="8" t="str">
        <f t="shared" si="479"/>
        <v>Ibsen, Palle</v>
      </c>
      <c r="F1813" s="8" t="str">
        <f t="shared" si="480"/>
        <v>Ibsen, Palle</v>
      </c>
      <c r="G1813" s="8" t="str">
        <f t="shared" si="481"/>
        <v>not an outlier</v>
      </c>
      <c r="H1813" s="8" t="str">
        <f t="shared" si="482"/>
        <v>Not</v>
      </c>
      <c r="I1813" s="8" t="str">
        <f t="shared" si="492"/>
        <v>no</v>
      </c>
      <c r="J1813" s="10" t="str">
        <f t="shared" si="483"/>
        <v>no</v>
      </c>
      <c r="K1813" s="10" t="str">
        <f t="shared" si="484"/>
        <v>no</v>
      </c>
      <c r="L1813" t="s">
        <v>612</v>
      </c>
      <c r="M1813">
        <v>10946</v>
      </c>
      <c r="N1813">
        <v>24</v>
      </c>
      <c r="O1813" t="s">
        <v>698</v>
      </c>
      <c r="P1813" t="str">
        <f t="shared" si="485"/>
        <v>VAFFE_10946_Guaraná Fantástica</v>
      </c>
      <c r="Q1813" t="str">
        <f t="shared" si="486"/>
        <v>10946</v>
      </c>
      <c r="R1813" t="str">
        <f t="shared" si="487"/>
        <v>10946</v>
      </c>
      <c r="S1813" t="str">
        <f t="shared" si="488"/>
        <v>Guaraná Fantástica</v>
      </c>
      <c r="T1813">
        <v>4.5</v>
      </c>
      <c r="U1813">
        <v>25</v>
      </c>
      <c r="V1813">
        <v>0</v>
      </c>
      <c r="W1813">
        <f t="shared" si="489"/>
        <v>112.5</v>
      </c>
      <c r="X1813" t="str">
        <f t="shared" si="490"/>
        <v>yes</v>
      </c>
      <c r="Y1813" s="2">
        <v>35166</v>
      </c>
      <c r="Z1813" t="str">
        <f t="shared" si="476"/>
        <v/>
      </c>
      <c r="AA1813" t="str">
        <f t="shared" si="491"/>
        <v>2nd Q 1996</v>
      </c>
      <c r="AB1813" t="str" cm="1">
        <f t="array" ref="AB1813">_xlfn.IFS(Y1813&lt;DATE(1996,1,1),"",Y1813&lt;DATE(1996,4,1),"Q1",Y1813&lt;DATE(1996,7,1),"Q2",Y1813&gt;=DATE(1996,7,1),"")</f>
        <v>Q2</v>
      </c>
    </row>
    <row r="1814" spans="1:28" ht="14.4" x14ac:dyDescent="0.55000000000000004">
      <c r="A1814" t="str">
        <f>VLOOKUP(L1814,Customers!$A$2:$B$92,2,FALSE)</f>
        <v>Vaffeljernet</v>
      </c>
      <c r="B1814" t="str">
        <f>VLOOKUP(L1814,Customers!$A$2:$C$92,3,TRUE)</f>
        <v>Palle Ibsen</v>
      </c>
      <c r="C1814" t="str">
        <f t="shared" si="477"/>
        <v>Palle</v>
      </c>
      <c r="D1814" s="8" t="str">
        <f t="shared" si="478"/>
        <v>Ibsen</v>
      </c>
      <c r="E1814" s="8" t="str">
        <f t="shared" si="479"/>
        <v>Ibsen, Palle</v>
      </c>
      <c r="F1814" s="8" t="str">
        <f t="shared" si="480"/>
        <v>Ibsen, Palle</v>
      </c>
      <c r="G1814" s="8" t="str">
        <f t="shared" si="481"/>
        <v>not an outlier</v>
      </c>
      <c r="H1814" s="8" t="str">
        <f t="shared" si="482"/>
        <v>Not</v>
      </c>
      <c r="I1814" s="8" t="str">
        <f t="shared" si="492"/>
        <v>no</v>
      </c>
      <c r="J1814" s="10" t="str">
        <f t="shared" si="483"/>
        <v>no</v>
      </c>
      <c r="K1814" s="10" t="str">
        <f t="shared" si="484"/>
        <v>no</v>
      </c>
      <c r="L1814" t="s">
        <v>612</v>
      </c>
      <c r="M1814">
        <v>10946</v>
      </c>
      <c r="N1814">
        <v>77</v>
      </c>
      <c r="O1814" t="s">
        <v>706</v>
      </c>
      <c r="P1814" t="str">
        <f t="shared" si="485"/>
        <v>VAFFE_10946_Original Frankfurter grüne Soße</v>
      </c>
      <c r="Q1814" t="str">
        <f t="shared" si="486"/>
        <v>10946</v>
      </c>
      <c r="R1814" t="str">
        <f t="shared" si="487"/>
        <v>10946</v>
      </c>
      <c r="S1814" t="str">
        <f t="shared" si="488"/>
        <v>Original Frankfurter grüne Soße</v>
      </c>
      <c r="T1814">
        <v>13</v>
      </c>
      <c r="U1814">
        <v>40</v>
      </c>
      <c r="V1814">
        <v>0</v>
      </c>
      <c r="W1814">
        <f t="shared" si="489"/>
        <v>520</v>
      </c>
      <c r="X1814" t="str">
        <f t="shared" si="490"/>
        <v>yes</v>
      </c>
      <c r="Y1814" s="2">
        <v>35166</v>
      </c>
      <c r="Z1814" t="str">
        <f t="shared" si="476"/>
        <v/>
      </c>
      <c r="AA1814" t="str">
        <f t="shared" si="491"/>
        <v>2nd Q 1996</v>
      </c>
      <c r="AB1814" t="str" cm="1">
        <f t="array" ref="AB1814">_xlfn.IFS(Y1814&lt;DATE(1996,1,1),"",Y1814&lt;DATE(1996,4,1),"Q1",Y1814&lt;DATE(1996,7,1),"Q2",Y1814&gt;=DATE(1996,7,1),"")</f>
        <v>Q2</v>
      </c>
    </row>
    <row r="1815" spans="1:28" ht="14.4" x14ac:dyDescent="0.55000000000000004">
      <c r="A1815" t="str">
        <f>VLOOKUP(L1815,Customers!$A$2:$B$92,2,FALSE)</f>
        <v>B's Beverages</v>
      </c>
      <c r="B1815" t="str">
        <f>VLOOKUP(L1815,Customers!$A$2:$C$92,3,TRUE)</f>
        <v>Victoria Ashworth</v>
      </c>
      <c r="C1815" t="str">
        <f t="shared" si="477"/>
        <v>Victoria</v>
      </c>
      <c r="D1815" s="8" t="str">
        <f t="shared" si="478"/>
        <v>Ashworth</v>
      </c>
      <c r="E1815" s="8" t="str">
        <f t="shared" si="479"/>
        <v>Ashworth, Victoria</v>
      </c>
      <c r="F1815" s="8" t="str">
        <f t="shared" si="480"/>
        <v>Ashworth, Victoria</v>
      </c>
      <c r="G1815" s="8" t="str">
        <f t="shared" si="481"/>
        <v>not an outlier</v>
      </c>
      <c r="H1815" s="8" t="str">
        <f t="shared" si="482"/>
        <v>Not</v>
      </c>
      <c r="I1815" s="8" t="str">
        <f t="shared" si="492"/>
        <v>no</v>
      </c>
      <c r="J1815" s="10" t="str">
        <f t="shared" si="483"/>
        <v>no</v>
      </c>
      <c r="K1815" s="10" t="str">
        <f t="shared" si="484"/>
        <v>no</v>
      </c>
      <c r="L1815" t="s">
        <v>95</v>
      </c>
      <c r="M1815">
        <v>10947</v>
      </c>
      <c r="N1815">
        <v>59</v>
      </c>
      <c r="O1815" t="s">
        <v>704</v>
      </c>
      <c r="P1815" t="str">
        <f t="shared" si="485"/>
        <v>BSBEV_10947_Raclette Courdavault</v>
      </c>
      <c r="Q1815" t="str">
        <f t="shared" si="486"/>
        <v>10947</v>
      </c>
      <c r="R1815" t="str">
        <f t="shared" si="487"/>
        <v>10947</v>
      </c>
      <c r="S1815" t="str">
        <f t="shared" si="488"/>
        <v>Raclette Courdavault</v>
      </c>
      <c r="T1815">
        <v>55</v>
      </c>
      <c r="U1815">
        <v>4</v>
      </c>
      <c r="V1815">
        <v>0</v>
      </c>
      <c r="W1815">
        <f t="shared" si="489"/>
        <v>220</v>
      </c>
      <c r="X1815" t="str">
        <f t="shared" si="490"/>
        <v>yes</v>
      </c>
      <c r="Y1815" s="2">
        <v>35167</v>
      </c>
      <c r="Z1815" t="str">
        <f t="shared" si="476"/>
        <v/>
      </c>
      <c r="AA1815" t="str">
        <f t="shared" si="491"/>
        <v>2nd Q 1996</v>
      </c>
      <c r="AB1815" t="str" cm="1">
        <f t="array" ref="AB1815">_xlfn.IFS(Y1815&lt;DATE(1996,1,1),"",Y1815&lt;DATE(1996,4,1),"Q1",Y1815&lt;DATE(1996,7,1),"Q2",Y1815&gt;=DATE(1996,7,1),"")</f>
        <v>Q2</v>
      </c>
    </row>
    <row r="1816" spans="1:28" ht="14.4" x14ac:dyDescent="0.55000000000000004">
      <c r="A1816" t="str">
        <f>VLOOKUP(L1816,Customers!$A$2:$B$92,2,FALSE)</f>
        <v>Godos Cocina Típica</v>
      </c>
      <c r="B1816" t="str">
        <f>VLOOKUP(L1816,Customers!$A$2:$C$92,3,TRUE)</f>
        <v>José Pedro Freyre</v>
      </c>
      <c r="C1816" t="str">
        <f t="shared" si="477"/>
        <v>José</v>
      </c>
      <c r="D1816" s="8" t="str">
        <f t="shared" si="478"/>
        <v>Pedro Freyre</v>
      </c>
      <c r="E1816" s="8" t="str">
        <f t="shared" si="479"/>
        <v>Pedro Freyre, José</v>
      </c>
      <c r="F1816" s="8" t="str">
        <f t="shared" si="480"/>
        <v>Pedro Freyre, José</v>
      </c>
      <c r="G1816" s="8" t="str">
        <f t="shared" si="481"/>
        <v>not an outlier</v>
      </c>
      <c r="H1816" s="8" t="str">
        <f t="shared" si="482"/>
        <v>Not</v>
      </c>
      <c r="I1816" s="8" t="str">
        <f t="shared" si="492"/>
        <v>no</v>
      </c>
      <c r="J1816" s="10" t="str">
        <f t="shared" si="483"/>
        <v>no</v>
      </c>
      <c r="K1816" s="10" t="str">
        <f t="shared" si="484"/>
        <v>no</v>
      </c>
      <c r="L1816" t="s">
        <v>234</v>
      </c>
      <c r="M1816">
        <v>10948</v>
      </c>
      <c r="N1816">
        <v>50</v>
      </c>
      <c r="O1816" t="s">
        <v>755</v>
      </c>
      <c r="P1816" t="str">
        <f t="shared" si="485"/>
        <v>GODOS_10948_Valkoinen suklaa</v>
      </c>
      <c r="Q1816" t="str">
        <f t="shared" si="486"/>
        <v>10948</v>
      </c>
      <c r="R1816" t="str">
        <f t="shared" si="487"/>
        <v>10948</v>
      </c>
      <c r="S1816" t="str">
        <f t="shared" si="488"/>
        <v>Valkoinen suklaa</v>
      </c>
      <c r="T1816">
        <v>16.25</v>
      </c>
      <c r="U1816">
        <v>9</v>
      </c>
      <c r="V1816">
        <v>0</v>
      </c>
      <c r="W1816">
        <f t="shared" si="489"/>
        <v>146.25</v>
      </c>
      <c r="X1816" t="str">
        <f t="shared" si="490"/>
        <v>yes</v>
      </c>
      <c r="Y1816" s="2">
        <v>35167</v>
      </c>
      <c r="Z1816" t="str">
        <f t="shared" si="476"/>
        <v/>
      </c>
      <c r="AA1816" t="str">
        <f t="shared" si="491"/>
        <v>2nd Q 1996</v>
      </c>
      <c r="AB1816" t="str" cm="1">
        <f t="array" ref="AB1816">_xlfn.IFS(Y1816&lt;DATE(1996,1,1),"",Y1816&lt;DATE(1996,4,1),"Q1",Y1816&lt;DATE(1996,7,1),"Q2",Y1816&gt;=DATE(1996,7,1),"")</f>
        <v>Q2</v>
      </c>
    </row>
    <row r="1817" spans="1:28" ht="14.4" x14ac:dyDescent="0.55000000000000004">
      <c r="A1817" t="str">
        <f>VLOOKUP(L1817,Customers!$A$2:$B$92,2,FALSE)</f>
        <v>Godos Cocina Típica</v>
      </c>
      <c r="B1817" t="str">
        <f>VLOOKUP(L1817,Customers!$A$2:$C$92,3,TRUE)</f>
        <v>José Pedro Freyre</v>
      </c>
      <c r="C1817" t="str">
        <f t="shared" si="477"/>
        <v>José</v>
      </c>
      <c r="D1817" s="8" t="str">
        <f t="shared" si="478"/>
        <v>Pedro Freyre</v>
      </c>
      <c r="E1817" s="8" t="str">
        <f t="shared" si="479"/>
        <v>Pedro Freyre, José</v>
      </c>
      <c r="F1817" s="8" t="str">
        <f t="shared" si="480"/>
        <v>Pedro Freyre, José</v>
      </c>
      <c r="G1817" s="8" t="str">
        <f t="shared" si="481"/>
        <v>not an outlier</v>
      </c>
      <c r="H1817" s="8" t="str">
        <f t="shared" si="482"/>
        <v>Not</v>
      </c>
      <c r="I1817" s="8" t="str">
        <f t="shared" si="492"/>
        <v>no</v>
      </c>
      <c r="J1817" s="10" t="str">
        <f t="shared" si="483"/>
        <v>no</v>
      </c>
      <c r="K1817" s="10" t="str">
        <f t="shared" si="484"/>
        <v>no</v>
      </c>
      <c r="L1817" t="s">
        <v>234</v>
      </c>
      <c r="M1817">
        <v>10948</v>
      </c>
      <c r="N1817">
        <v>51</v>
      </c>
      <c r="O1817" t="s">
        <v>687</v>
      </c>
      <c r="P1817" t="str">
        <f t="shared" si="485"/>
        <v>GODOS_10948_Manjimup Dried Apples</v>
      </c>
      <c r="Q1817" t="str">
        <f t="shared" si="486"/>
        <v>10948</v>
      </c>
      <c r="R1817" t="str">
        <f t="shared" si="487"/>
        <v>10948</v>
      </c>
      <c r="S1817" t="str">
        <f t="shared" si="488"/>
        <v>Manjimup Dried Apples</v>
      </c>
      <c r="T1817">
        <v>53</v>
      </c>
      <c r="U1817">
        <v>40</v>
      </c>
      <c r="V1817">
        <v>0</v>
      </c>
      <c r="W1817">
        <f t="shared" si="489"/>
        <v>2120</v>
      </c>
      <c r="X1817" t="str">
        <f t="shared" si="490"/>
        <v>yes</v>
      </c>
      <c r="Y1817" s="2">
        <v>35167</v>
      </c>
      <c r="Z1817" t="str">
        <f t="shared" si="476"/>
        <v/>
      </c>
      <c r="AA1817" t="str">
        <f t="shared" si="491"/>
        <v>2nd Q 1996</v>
      </c>
      <c r="AB1817" t="str" cm="1">
        <f t="array" ref="AB1817">_xlfn.IFS(Y1817&lt;DATE(1996,1,1),"",Y1817&lt;DATE(1996,4,1),"Q1",Y1817&lt;DATE(1996,7,1),"Q2",Y1817&gt;=DATE(1996,7,1),"")</f>
        <v>Q2</v>
      </c>
    </row>
    <row r="1818" spans="1:28" ht="14.4" x14ac:dyDescent="0.55000000000000004">
      <c r="A1818" t="str">
        <f>VLOOKUP(L1818,Customers!$A$2:$B$92,2,FALSE)</f>
        <v>Godos Cocina Típica</v>
      </c>
      <c r="B1818" t="str">
        <f>VLOOKUP(L1818,Customers!$A$2:$C$92,3,TRUE)</f>
        <v>José Pedro Freyre</v>
      </c>
      <c r="C1818" t="str">
        <f t="shared" si="477"/>
        <v>José</v>
      </c>
      <c r="D1818" s="8" t="str">
        <f t="shared" si="478"/>
        <v>Pedro Freyre</v>
      </c>
      <c r="E1818" s="8" t="str">
        <f t="shared" si="479"/>
        <v>Pedro Freyre, José</v>
      </c>
      <c r="F1818" s="8" t="str">
        <f t="shared" si="480"/>
        <v>Pedro Freyre, José</v>
      </c>
      <c r="G1818" s="8" t="str">
        <f t="shared" si="481"/>
        <v>not an outlier</v>
      </c>
      <c r="H1818" s="8" t="str">
        <f t="shared" si="482"/>
        <v>Not</v>
      </c>
      <c r="I1818" s="8" t="str">
        <f t="shared" si="492"/>
        <v>no</v>
      </c>
      <c r="J1818" s="10" t="str">
        <f t="shared" si="483"/>
        <v>no</v>
      </c>
      <c r="K1818" s="10" t="str">
        <f t="shared" si="484"/>
        <v>no</v>
      </c>
      <c r="L1818" t="s">
        <v>234</v>
      </c>
      <c r="M1818">
        <v>10948</v>
      </c>
      <c r="N1818">
        <v>55</v>
      </c>
      <c r="O1818" t="s">
        <v>699</v>
      </c>
      <c r="P1818" t="str">
        <f t="shared" si="485"/>
        <v>GODOS_10948_Pâté chinois</v>
      </c>
      <c r="Q1818" t="str">
        <f t="shared" si="486"/>
        <v>10948</v>
      </c>
      <c r="R1818" t="str">
        <f t="shared" si="487"/>
        <v>10948</v>
      </c>
      <c r="S1818" t="str">
        <f t="shared" si="488"/>
        <v>Pâté chinois</v>
      </c>
      <c r="T1818">
        <v>24</v>
      </c>
      <c r="U1818">
        <v>4</v>
      </c>
      <c r="V1818">
        <v>0</v>
      </c>
      <c r="W1818">
        <f t="shared" si="489"/>
        <v>96</v>
      </c>
      <c r="X1818" t="str">
        <f t="shared" si="490"/>
        <v>yes</v>
      </c>
      <c r="Y1818" s="2">
        <v>35167</v>
      </c>
      <c r="Z1818" t="str">
        <f t="shared" si="476"/>
        <v/>
      </c>
      <c r="AA1818" t="str">
        <f t="shared" si="491"/>
        <v>2nd Q 1996</v>
      </c>
      <c r="AB1818" t="str" cm="1">
        <f t="array" ref="AB1818">_xlfn.IFS(Y1818&lt;DATE(1996,1,1),"",Y1818&lt;DATE(1996,4,1),"Q1",Y1818&lt;DATE(1996,7,1),"Q2",Y1818&gt;=DATE(1996,7,1),"")</f>
        <v>Q2</v>
      </c>
    </row>
    <row r="1819" spans="1:28" ht="14.4" x14ac:dyDescent="0.55000000000000004">
      <c r="A1819" t="str">
        <f>VLOOKUP(L1819,Customers!$A$2:$B$92,2,FALSE)</f>
        <v>Bottom-Dollar Markets</v>
      </c>
      <c r="B1819" t="str">
        <f>VLOOKUP(L1819,Customers!$A$2:$C$92,3,TRUE)</f>
        <v>Elizabeth Lincoln</v>
      </c>
      <c r="C1819" t="str">
        <f t="shared" si="477"/>
        <v>Elizabeth</v>
      </c>
      <c r="D1819" s="8" t="str">
        <f t="shared" si="478"/>
        <v>Lincoln</v>
      </c>
      <c r="E1819" s="8" t="str">
        <f t="shared" si="479"/>
        <v>Lincoln, Elizabeth</v>
      </c>
      <c r="F1819" s="8" t="str">
        <f t="shared" si="480"/>
        <v>Lincoln, Elizabeth</v>
      </c>
      <c r="G1819" s="8" t="str">
        <f t="shared" si="481"/>
        <v>not an outlier</v>
      </c>
      <c r="H1819" s="8" t="str">
        <f t="shared" si="482"/>
        <v>Not</v>
      </c>
      <c r="I1819" s="8" t="str">
        <f t="shared" si="492"/>
        <v>no</v>
      </c>
      <c r="J1819" s="10" t="str">
        <f t="shared" si="483"/>
        <v>no</v>
      </c>
      <c r="K1819" s="10" t="str">
        <f t="shared" si="484"/>
        <v>no</v>
      </c>
      <c r="L1819" t="s">
        <v>84</v>
      </c>
      <c r="M1819">
        <v>10949</v>
      </c>
      <c r="N1819">
        <v>6</v>
      </c>
      <c r="O1819" t="s">
        <v>746</v>
      </c>
      <c r="P1819" t="str">
        <f t="shared" si="485"/>
        <v>BOTTM_10949_Grandma's Boysenberry Spread</v>
      </c>
      <c r="Q1819" t="str">
        <f t="shared" si="486"/>
        <v>10949</v>
      </c>
      <c r="R1819" t="str">
        <f t="shared" si="487"/>
        <v>10949</v>
      </c>
      <c r="S1819" t="str">
        <f t="shared" si="488"/>
        <v>Grandma's Boysenberry Spread</v>
      </c>
      <c r="T1819">
        <v>25</v>
      </c>
      <c r="U1819">
        <v>12</v>
      </c>
      <c r="V1819">
        <v>0</v>
      </c>
      <c r="W1819">
        <f t="shared" si="489"/>
        <v>300</v>
      </c>
      <c r="X1819" t="str">
        <f t="shared" si="490"/>
        <v>yes</v>
      </c>
      <c r="Y1819" s="2">
        <v>35167</v>
      </c>
      <c r="Z1819" t="str">
        <f t="shared" si="476"/>
        <v/>
      </c>
      <c r="AA1819" t="str">
        <f t="shared" si="491"/>
        <v>2nd Q 1996</v>
      </c>
      <c r="AB1819" t="str" cm="1">
        <f t="array" ref="AB1819">_xlfn.IFS(Y1819&lt;DATE(1996,1,1),"",Y1819&lt;DATE(1996,4,1),"Q1",Y1819&lt;DATE(1996,7,1),"Q2",Y1819&gt;=DATE(1996,7,1),"")</f>
        <v>Q2</v>
      </c>
    </row>
    <row r="1820" spans="1:28" ht="14.4" x14ac:dyDescent="0.55000000000000004">
      <c r="A1820" t="str">
        <f>VLOOKUP(L1820,Customers!$A$2:$B$92,2,FALSE)</f>
        <v>Bottom-Dollar Markets</v>
      </c>
      <c r="B1820" t="str">
        <f>VLOOKUP(L1820,Customers!$A$2:$C$92,3,TRUE)</f>
        <v>Elizabeth Lincoln</v>
      </c>
      <c r="C1820" t="str">
        <f t="shared" si="477"/>
        <v>Elizabeth</v>
      </c>
      <c r="D1820" s="8" t="str">
        <f t="shared" si="478"/>
        <v>Lincoln</v>
      </c>
      <c r="E1820" s="8" t="str">
        <f t="shared" si="479"/>
        <v>Lincoln, Elizabeth</v>
      </c>
      <c r="F1820" s="8" t="str">
        <f t="shared" si="480"/>
        <v>Lincoln, Elizabeth</v>
      </c>
      <c r="G1820" s="8" t="str">
        <f t="shared" si="481"/>
        <v>not an outlier</v>
      </c>
      <c r="H1820" s="8" t="str">
        <f t="shared" si="482"/>
        <v>Not</v>
      </c>
      <c r="I1820" s="8" t="str">
        <f t="shared" si="492"/>
        <v>no</v>
      </c>
      <c r="J1820" s="10" t="str">
        <f t="shared" si="483"/>
        <v>no</v>
      </c>
      <c r="K1820" s="10" t="str">
        <f t="shared" si="484"/>
        <v>no</v>
      </c>
      <c r="L1820" t="s">
        <v>84</v>
      </c>
      <c r="M1820">
        <v>10949</v>
      </c>
      <c r="N1820">
        <v>10</v>
      </c>
      <c r="O1820" t="s">
        <v>724</v>
      </c>
      <c r="P1820" t="str">
        <f t="shared" si="485"/>
        <v>BOTTM_10949_Ikura</v>
      </c>
      <c r="Q1820" t="str">
        <f t="shared" si="486"/>
        <v>10949</v>
      </c>
      <c r="R1820" t="str">
        <f t="shared" si="487"/>
        <v>10949</v>
      </c>
      <c r="S1820" t="str">
        <f t="shared" si="488"/>
        <v>Ikura</v>
      </c>
      <c r="T1820">
        <v>31</v>
      </c>
      <c r="U1820">
        <v>30</v>
      </c>
      <c r="V1820">
        <v>0</v>
      </c>
      <c r="W1820">
        <f t="shared" si="489"/>
        <v>930</v>
      </c>
      <c r="X1820" t="str">
        <f t="shared" si="490"/>
        <v>yes</v>
      </c>
      <c r="Y1820" s="2">
        <v>35167</v>
      </c>
      <c r="Z1820" t="str">
        <f t="shared" si="476"/>
        <v/>
      </c>
      <c r="AA1820" t="str">
        <f t="shared" si="491"/>
        <v>2nd Q 1996</v>
      </c>
      <c r="AB1820" t="str" cm="1">
        <f t="array" ref="AB1820">_xlfn.IFS(Y1820&lt;DATE(1996,1,1),"",Y1820&lt;DATE(1996,4,1),"Q1",Y1820&lt;DATE(1996,7,1),"Q2",Y1820&gt;=DATE(1996,7,1),"")</f>
        <v>Q2</v>
      </c>
    </row>
    <row r="1821" spans="1:28" ht="14.4" x14ac:dyDescent="0.55000000000000004">
      <c r="A1821" t="str">
        <f>VLOOKUP(L1821,Customers!$A$2:$B$92,2,FALSE)</f>
        <v>Bottom-Dollar Markets</v>
      </c>
      <c r="B1821" t="str">
        <f>VLOOKUP(L1821,Customers!$A$2:$C$92,3,TRUE)</f>
        <v>Elizabeth Lincoln</v>
      </c>
      <c r="C1821" t="str">
        <f t="shared" si="477"/>
        <v>Elizabeth</v>
      </c>
      <c r="D1821" s="8" t="str">
        <f t="shared" si="478"/>
        <v>Lincoln</v>
      </c>
      <c r="E1821" s="8" t="str">
        <f t="shared" si="479"/>
        <v>Lincoln, Elizabeth</v>
      </c>
      <c r="F1821" s="8" t="str">
        <f t="shared" si="480"/>
        <v>Lincoln, Elizabeth</v>
      </c>
      <c r="G1821" s="8" t="str">
        <f t="shared" si="481"/>
        <v>not an outlier</v>
      </c>
      <c r="H1821" s="8" t="str">
        <f t="shared" si="482"/>
        <v>Not</v>
      </c>
      <c r="I1821" s="8" t="str">
        <f t="shared" si="492"/>
        <v>no</v>
      </c>
      <c r="J1821" s="10" t="str">
        <f t="shared" si="483"/>
        <v>no</v>
      </c>
      <c r="K1821" s="10" t="str">
        <f t="shared" si="484"/>
        <v>no</v>
      </c>
      <c r="L1821" t="s">
        <v>84</v>
      </c>
      <c r="M1821">
        <v>10949</v>
      </c>
      <c r="N1821">
        <v>17</v>
      </c>
      <c r="O1821" t="s">
        <v>718</v>
      </c>
      <c r="P1821" t="str">
        <f t="shared" si="485"/>
        <v>BOTTM_10949_Alice Mutton</v>
      </c>
      <c r="Q1821" t="str">
        <f t="shared" si="486"/>
        <v>10949</v>
      </c>
      <c r="R1821" t="str">
        <f t="shared" si="487"/>
        <v>10949</v>
      </c>
      <c r="S1821" t="str">
        <f t="shared" si="488"/>
        <v>Alice Mutton</v>
      </c>
      <c r="T1821">
        <v>39</v>
      </c>
      <c r="U1821">
        <v>6</v>
      </c>
      <c r="V1821">
        <v>0</v>
      </c>
      <c r="W1821">
        <f t="shared" si="489"/>
        <v>234</v>
      </c>
      <c r="X1821" t="str">
        <f t="shared" si="490"/>
        <v>yes</v>
      </c>
      <c r="Y1821" s="2">
        <v>35167</v>
      </c>
      <c r="Z1821" t="str">
        <f t="shared" si="476"/>
        <v/>
      </c>
      <c r="AA1821" t="str">
        <f t="shared" si="491"/>
        <v>2nd Q 1996</v>
      </c>
      <c r="AB1821" t="str" cm="1">
        <f t="array" ref="AB1821">_xlfn.IFS(Y1821&lt;DATE(1996,1,1),"",Y1821&lt;DATE(1996,4,1),"Q1",Y1821&lt;DATE(1996,7,1),"Q2",Y1821&gt;=DATE(1996,7,1),"")</f>
        <v>Q2</v>
      </c>
    </row>
    <row r="1822" spans="1:28" ht="14.4" x14ac:dyDescent="0.55000000000000004">
      <c r="A1822" t="str">
        <f>VLOOKUP(L1822,Customers!$A$2:$B$92,2,FALSE)</f>
        <v>Bottom-Dollar Markets</v>
      </c>
      <c r="B1822" t="str">
        <f>VLOOKUP(L1822,Customers!$A$2:$C$92,3,TRUE)</f>
        <v>Elizabeth Lincoln</v>
      </c>
      <c r="C1822" t="str">
        <f t="shared" si="477"/>
        <v>Elizabeth</v>
      </c>
      <c r="D1822" s="8" t="str">
        <f t="shared" si="478"/>
        <v>Lincoln</v>
      </c>
      <c r="E1822" s="8" t="str">
        <f t="shared" si="479"/>
        <v>Lincoln, Elizabeth</v>
      </c>
      <c r="F1822" s="8" t="str">
        <f t="shared" si="480"/>
        <v>Lincoln, Elizabeth</v>
      </c>
      <c r="G1822" s="8" t="str">
        <f t="shared" si="481"/>
        <v>not an outlier</v>
      </c>
      <c r="H1822" s="8" t="str">
        <f t="shared" si="482"/>
        <v>moderate</v>
      </c>
      <c r="I1822" s="8" t="str">
        <f t="shared" si="492"/>
        <v>no</v>
      </c>
      <c r="J1822" s="10" t="str">
        <f t="shared" si="483"/>
        <v>no</v>
      </c>
      <c r="K1822" s="10" t="str">
        <f t="shared" si="484"/>
        <v>moderate</v>
      </c>
      <c r="L1822" t="s">
        <v>84</v>
      </c>
      <c r="M1822">
        <v>10949</v>
      </c>
      <c r="N1822">
        <v>62</v>
      </c>
      <c r="O1822" t="s">
        <v>712</v>
      </c>
      <c r="P1822" t="str">
        <f t="shared" si="485"/>
        <v>BOTTM_10949_Tarte au sucre</v>
      </c>
      <c r="Q1822" t="str">
        <f t="shared" si="486"/>
        <v>10949</v>
      </c>
      <c r="R1822" t="str">
        <f t="shared" si="487"/>
        <v>10949</v>
      </c>
      <c r="S1822" t="str">
        <f t="shared" si="488"/>
        <v>Tarte au sucre</v>
      </c>
      <c r="T1822">
        <v>49.3</v>
      </c>
      <c r="U1822">
        <v>60</v>
      </c>
      <c r="V1822">
        <v>0</v>
      </c>
      <c r="W1822">
        <f t="shared" si="489"/>
        <v>2958</v>
      </c>
      <c r="X1822" t="str">
        <f t="shared" si="490"/>
        <v>yes</v>
      </c>
      <c r="Y1822" s="2">
        <v>35167</v>
      </c>
      <c r="Z1822" t="str">
        <f t="shared" si="476"/>
        <v/>
      </c>
      <c r="AA1822" t="str">
        <f t="shared" si="491"/>
        <v>2nd Q 1996</v>
      </c>
      <c r="AB1822" t="str" cm="1">
        <f t="array" ref="AB1822">_xlfn.IFS(Y1822&lt;DATE(1996,1,1),"",Y1822&lt;DATE(1996,4,1),"Q1",Y1822&lt;DATE(1996,7,1),"Q2",Y1822&gt;=DATE(1996,7,1),"")</f>
        <v>Q2</v>
      </c>
    </row>
    <row r="1823" spans="1:28" ht="14.4" x14ac:dyDescent="0.55000000000000004">
      <c r="A1823" t="str">
        <f>VLOOKUP(L1823,Customers!$A$2:$B$92,2,FALSE)</f>
        <v>Magazzini Alimentari Riuniti</v>
      </c>
      <c r="B1823" t="str">
        <f>VLOOKUP(L1823,Customers!$A$2:$C$92,3,TRUE)</f>
        <v>Giovanni Rovelli</v>
      </c>
      <c r="C1823" t="str">
        <f t="shared" si="477"/>
        <v>Giovanni</v>
      </c>
      <c r="D1823" s="8" t="str">
        <f t="shared" si="478"/>
        <v>Rovelli</v>
      </c>
      <c r="E1823" s="8" t="str">
        <f t="shared" si="479"/>
        <v>Rovelli, Giovanni</v>
      </c>
      <c r="F1823" s="8" t="str">
        <f t="shared" si="480"/>
        <v>Rovelli, Giovanni</v>
      </c>
      <c r="G1823" s="8" t="str">
        <f t="shared" si="481"/>
        <v>not an outlier</v>
      </c>
      <c r="H1823" s="8" t="str">
        <f t="shared" si="482"/>
        <v>Not</v>
      </c>
      <c r="I1823" s="8" t="str">
        <f t="shared" si="492"/>
        <v>no</v>
      </c>
      <c r="J1823" s="10" t="str">
        <f t="shared" si="483"/>
        <v>no</v>
      </c>
      <c r="K1823" s="10" t="str">
        <f t="shared" si="484"/>
        <v>no</v>
      </c>
      <c r="L1823" t="s">
        <v>378</v>
      </c>
      <c r="M1823">
        <v>10950</v>
      </c>
      <c r="N1823">
        <v>4</v>
      </c>
      <c r="O1823" t="s">
        <v>745</v>
      </c>
      <c r="P1823" t="str">
        <f t="shared" si="485"/>
        <v>MAGAA_10950_Chef Anton's Cajun Seasoning</v>
      </c>
      <c r="Q1823" t="str">
        <f t="shared" si="486"/>
        <v>10950</v>
      </c>
      <c r="R1823" t="str">
        <f t="shared" si="487"/>
        <v>10950</v>
      </c>
      <c r="S1823" t="str">
        <f t="shared" si="488"/>
        <v>Chef Anton's Cajun Seasoning</v>
      </c>
      <c r="T1823">
        <v>22</v>
      </c>
      <c r="U1823">
        <v>5</v>
      </c>
      <c r="V1823">
        <v>0</v>
      </c>
      <c r="W1823">
        <f t="shared" si="489"/>
        <v>110</v>
      </c>
      <c r="X1823" t="str">
        <f t="shared" si="490"/>
        <v>yes</v>
      </c>
      <c r="Y1823" s="2">
        <v>35170</v>
      </c>
      <c r="Z1823" t="str">
        <f t="shared" si="476"/>
        <v/>
      </c>
      <c r="AA1823" t="str">
        <f t="shared" si="491"/>
        <v>2nd Q 1996</v>
      </c>
      <c r="AB1823" t="str" cm="1">
        <f t="array" ref="AB1823">_xlfn.IFS(Y1823&lt;DATE(1996,1,1),"",Y1823&lt;DATE(1996,4,1),"Q1",Y1823&lt;DATE(1996,7,1),"Q2",Y1823&gt;=DATE(1996,7,1),"")</f>
        <v>Q2</v>
      </c>
    </row>
    <row r="1824" spans="1:28" ht="14.4" x14ac:dyDescent="0.55000000000000004">
      <c r="A1824" t="str">
        <f>VLOOKUP(L1824,Customers!$A$2:$B$92,2,FALSE)</f>
        <v>Richter Supermarkt</v>
      </c>
      <c r="B1824" t="str">
        <f>VLOOKUP(L1824,Customers!$A$2:$C$92,3,TRUE)</f>
        <v>Michael Holz</v>
      </c>
      <c r="C1824" t="str">
        <f t="shared" si="477"/>
        <v>Michael</v>
      </c>
      <c r="D1824" s="8" t="str">
        <f t="shared" si="478"/>
        <v>Holz</v>
      </c>
      <c r="E1824" s="8" t="str">
        <f t="shared" si="479"/>
        <v>Holz, Michael</v>
      </c>
      <c r="F1824" s="8" t="str">
        <f t="shared" si="480"/>
        <v>Holz, Michael</v>
      </c>
      <c r="G1824" s="8" t="str">
        <f t="shared" si="481"/>
        <v>not an outlier</v>
      </c>
      <c r="H1824" s="8" t="str">
        <f t="shared" si="482"/>
        <v>Not</v>
      </c>
      <c r="I1824" s="8" t="str">
        <f t="shared" si="492"/>
        <v>no</v>
      </c>
      <c r="J1824" s="10" t="str">
        <f t="shared" si="483"/>
        <v>no</v>
      </c>
      <c r="K1824" s="10" t="str">
        <f t="shared" si="484"/>
        <v>no</v>
      </c>
      <c r="L1824" t="s">
        <v>509</v>
      </c>
      <c r="M1824">
        <v>10951</v>
      </c>
      <c r="N1824">
        <v>33</v>
      </c>
      <c r="O1824" t="s">
        <v>693</v>
      </c>
      <c r="P1824" t="str">
        <f t="shared" si="485"/>
        <v>RICSU_10951_Geitost</v>
      </c>
      <c r="Q1824" t="str">
        <f t="shared" si="486"/>
        <v>10951</v>
      </c>
      <c r="R1824" t="str">
        <f t="shared" si="487"/>
        <v>10951</v>
      </c>
      <c r="S1824" t="str">
        <f t="shared" si="488"/>
        <v>Geitost</v>
      </c>
      <c r="T1824">
        <v>2.5</v>
      </c>
      <c r="U1824">
        <v>15</v>
      </c>
      <c r="V1824">
        <v>0.05</v>
      </c>
      <c r="W1824">
        <f t="shared" si="489"/>
        <v>35.625</v>
      </c>
      <c r="X1824" t="str">
        <f t="shared" si="490"/>
        <v>yes</v>
      </c>
      <c r="Y1824" s="2">
        <v>35170</v>
      </c>
      <c r="Z1824" t="str">
        <f t="shared" si="476"/>
        <v/>
      </c>
      <c r="AA1824" t="str">
        <f t="shared" si="491"/>
        <v>2nd Q 1996</v>
      </c>
      <c r="AB1824" t="str" cm="1">
        <f t="array" ref="AB1824">_xlfn.IFS(Y1824&lt;DATE(1996,1,1),"",Y1824&lt;DATE(1996,4,1),"Q1",Y1824&lt;DATE(1996,7,1),"Q2",Y1824&gt;=DATE(1996,7,1),"")</f>
        <v>Q2</v>
      </c>
    </row>
    <row r="1825" spans="1:28" ht="14.4" x14ac:dyDescent="0.55000000000000004">
      <c r="A1825" t="str">
        <f>VLOOKUP(L1825,Customers!$A$2:$B$92,2,FALSE)</f>
        <v>Richter Supermarkt</v>
      </c>
      <c r="B1825" t="str">
        <f>VLOOKUP(L1825,Customers!$A$2:$C$92,3,TRUE)</f>
        <v>Michael Holz</v>
      </c>
      <c r="C1825" t="str">
        <f t="shared" si="477"/>
        <v>Michael</v>
      </c>
      <c r="D1825" s="8" t="str">
        <f t="shared" si="478"/>
        <v>Holz</v>
      </c>
      <c r="E1825" s="8" t="str">
        <f t="shared" si="479"/>
        <v>Holz, Michael</v>
      </c>
      <c r="F1825" s="8" t="str">
        <f t="shared" si="480"/>
        <v>Holz, Michael</v>
      </c>
      <c r="G1825" s="8" t="str">
        <f t="shared" si="481"/>
        <v>not an outlier</v>
      </c>
      <c r="H1825" s="8" t="str">
        <f t="shared" si="482"/>
        <v>Not</v>
      </c>
      <c r="I1825" s="8" t="str">
        <f t="shared" si="492"/>
        <v>no</v>
      </c>
      <c r="J1825" s="10" t="str">
        <f t="shared" si="483"/>
        <v>no</v>
      </c>
      <c r="K1825" s="10" t="str">
        <f t="shared" si="484"/>
        <v>no</v>
      </c>
      <c r="L1825" t="s">
        <v>509</v>
      </c>
      <c r="M1825">
        <v>10951</v>
      </c>
      <c r="N1825">
        <v>41</v>
      </c>
      <c r="O1825" t="s">
        <v>688</v>
      </c>
      <c r="P1825" t="str">
        <f t="shared" si="485"/>
        <v>RICSU_10951_Jack's New England Clam Chowder</v>
      </c>
      <c r="Q1825" t="str">
        <f t="shared" si="486"/>
        <v>10951</v>
      </c>
      <c r="R1825" t="str">
        <f t="shared" si="487"/>
        <v>10951</v>
      </c>
      <c r="S1825" t="str">
        <f t="shared" si="488"/>
        <v>Jack's New England Clam Chowder</v>
      </c>
      <c r="T1825">
        <v>9.65</v>
      </c>
      <c r="U1825">
        <v>6</v>
      </c>
      <c r="V1825">
        <v>0.05</v>
      </c>
      <c r="W1825">
        <f t="shared" si="489"/>
        <v>55.005000000000003</v>
      </c>
      <c r="X1825" t="str">
        <f t="shared" si="490"/>
        <v>yes</v>
      </c>
      <c r="Y1825" s="2">
        <v>35170</v>
      </c>
      <c r="Z1825" t="str">
        <f t="shared" si="476"/>
        <v/>
      </c>
      <c r="AA1825" t="str">
        <f t="shared" si="491"/>
        <v>2nd Q 1996</v>
      </c>
      <c r="AB1825" t="str" cm="1">
        <f t="array" ref="AB1825">_xlfn.IFS(Y1825&lt;DATE(1996,1,1),"",Y1825&lt;DATE(1996,4,1),"Q1",Y1825&lt;DATE(1996,7,1),"Q2",Y1825&gt;=DATE(1996,7,1),"")</f>
        <v>Q2</v>
      </c>
    </row>
    <row r="1826" spans="1:28" ht="14.4" x14ac:dyDescent="0.55000000000000004">
      <c r="A1826" t="str">
        <f>VLOOKUP(L1826,Customers!$A$2:$B$92,2,FALSE)</f>
        <v>Richter Supermarkt</v>
      </c>
      <c r="B1826" t="str">
        <f>VLOOKUP(L1826,Customers!$A$2:$C$92,3,TRUE)</f>
        <v>Michael Holz</v>
      </c>
      <c r="C1826" t="str">
        <f t="shared" si="477"/>
        <v>Michael</v>
      </c>
      <c r="D1826" s="8" t="str">
        <f t="shared" si="478"/>
        <v>Holz</v>
      </c>
      <c r="E1826" s="8" t="str">
        <f t="shared" si="479"/>
        <v>Holz, Michael</v>
      </c>
      <c r="F1826" s="8" t="str">
        <f t="shared" si="480"/>
        <v>Holz, Michael</v>
      </c>
      <c r="G1826" s="8" t="str">
        <f t="shared" si="481"/>
        <v>not an outlier</v>
      </c>
      <c r="H1826" s="8" t="str">
        <f t="shared" si="482"/>
        <v>Not</v>
      </c>
      <c r="I1826" s="8" t="str">
        <f t="shared" si="492"/>
        <v>no</v>
      </c>
      <c r="J1826" s="10" t="str">
        <f t="shared" si="483"/>
        <v>no</v>
      </c>
      <c r="K1826" s="10" t="str">
        <f t="shared" si="484"/>
        <v>no</v>
      </c>
      <c r="L1826" t="s">
        <v>509</v>
      </c>
      <c r="M1826">
        <v>10951</v>
      </c>
      <c r="N1826">
        <v>75</v>
      </c>
      <c r="O1826" t="s">
        <v>731</v>
      </c>
      <c r="P1826" t="str">
        <f t="shared" si="485"/>
        <v>RICSU_10951_Rhönbräu Klosterbier</v>
      </c>
      <c r="Q1826" t="str">
        <f t="shared" si="486"/>
        <v>10951</v>
      </c>
      <c r="R1826" t="str">
        <f t="shared" si="487"/>
        <v>10951</v>
      </c>
      <c r="S1826" t="str">
        <f t="shared" si="488"/>
        <v>Rhönbräu Klosterbier</v>
      </c>
      <c r="T1826">
        <v>7.75</v>
      </c>
      <c r="U1826">
        <v>50</v>
      </c>
      <c r="V1826">
        <v>0.05</v>
      </c>
      <c r="W1826">
        <f t="shared" si="489"/>
        <v>368.125</v>
      </c>
      <c r="X1826" t="str">
        <f t="shared" si="490"/>
        <v>yes</v>
      </c>
      <c r="Y1826" s="2">
        <v>35170</v>
      </c>
      <c r="Z1826" t="str">
        <f t="shared" si="476"/>
        <v/>
      </c>
      <c r="AA1826" t="str">
        <f t="shared" si="491"/>
        <v>2nd Q 1996</v>
      </c>
      <c r="AB1826" t="str" cm="1">
        <f t="array" ref="AB1826">_xlfn.IFS(Y1826&lt;DATE(1996,1,1),"",Y1826&lt;DATE(1996,4,1),"Q1",Y1826&lt;DATE(1996,7,1),"Q2",Y1826&gt;=DATE(1996,7,1),"")</f>
        <v>Q2</v>
      </c>
    </row>
    <row r="1827" spans="1:28" ht="14.4" x14ac:dyDescent="0.55000000000000004">
      <c r="A1827" t="str">
        <f>VLOOKUP(L1827,Customers!$A$2:$B$92,2,FALSE)</f>
        <v>Alfreds Futterkiste</v>
      </c>
      <c r="B1827" t="str">
        <f>VLOOKUP(L1827,Customers!$A$2:$C$92,3,TRUE)</f>
        <v>Maria Anders</v>
      </c>
      <c r="C1827" t="str">
        <f t="shared" si="477"/>
        <v>Maria</v>
      </c>
      <c r="D1827" s="8" t="str">
        <f t="shared" si="478"/>
        <v>Anders</v>
      </c>
      <c r="E1827" s="8" t="str">
        <f t="shared" si="479"/>
        <v>Anders, Maria</v>
      </c>
      <c r="F1827" s="8" t="str">
        <f t="shared" si="480"/>
        <v>Anders, Maria</v>
      </c>
      <c r="G1827" s="8" t="str">
        <f t="shared" si="481"/>
        <v>not an outlier</v>
      </c>
      <c r="H1827" s="8" t="str">
        <f t="shared" si="482"/>
        <v>Not</v>
      </c>
      <c r="I1827" s="8" t="str">
        <f t="shared" si="492"/>
        <v>no</v>
      </c>
      <c r="J1827" s="10" t="str">
        <f t="shared" si="483"/>
        <v>no</v>
      </c>
      <c r="K1827" s="10" t="str">
        <f t="shared" si="484"/>
        <v>no</v>
      </c>
      <c r="L1827" t="s">
        <v>11</v>
      </c>
      <c r="M1827">
        <v>10952</v>
      </c>
      <c r="N1827">
        <v>6</v>
      </c>
      <c r="O1827" t="s">
        <v>746</v>
      </c>
      <c r="P1827" t="str">
        <f t="shared" si="485"/>
        <v>ALFKI_10952_Grandma's Boysenberry Spread</v>
      </c>
      <c r="Q1827" t="str">
        <f t="shared" si="486"/>
        <v>10952</v>
      </c>
      <c r="R1827" t="str">
        <f t="shared" si="487"/>
        <v>10952</v>
      </c>
      <c r="S1827" t="str">
        <f t="shared" si="488"/>
        <v>Grandma's Boysenberry Spread</v>
      </c>
      <c r="T1827">
        <v>25</v>
      </c>
      <c r="U1827">
        <v>16</v>
      </c>
      <c r="V1827">
        <v>0.05</v>
      </c>
      <c r="W1827">
        <f t="shared" si="489"/>
        <v>380</v>
      </c>
      <c r="X1827" t="str">
        <f t="shared" si="490"/>
        <v>yes</v>
      </c>
      <c r="Y1827" s="2">
        <v>35170</v>
      </c>
      <c r="Z1827" t="str">
        <f t="shared" si="476"/>
        <v/>
      </c>
      <c r="AA1827" t="str">
        <f t="shared" si="491"/>
        <v>2nd Q 1996</v>
      </c>
      <c r="AB1827" t="str" cm="1">
        <f t="array" ref="AB1827">_xlfn.IFS(Y1827&lt;DATE(1996,1,1),"",Y1827&lt;DATE(1996,4,1),"Q1",Y1827&lt;DATE(1996,7,1),"Q2",Y1827&gt;=DATE(1996,7,1),"")</f>
        <v>Q2</v>
      </c>
    </row>
    <row r="1828" spans="1:28" ht="14.4" x14ac:dyDescent="0.55000000000000004">
      <c r="A1828" t="str">
        <f>VLOOKUP(L1828,Customers!$A$2:$B$92,2,FALSE)</f>
        <v>Alfreds Futterkiste</v>
      </c>
      <c r="B1828" t="str">
        <f>VLOOKUP(L1828,Customers!$A$2:$C$92,3,TRUE)</f>
        <v>Maria Anders</v>
      </c>
      <c r="C1828" t="str">
        <f t="shared" si="477"/>
        <v>Maria</v>
      </c>
      <c r="D1828" s="8" t="str">
        <f t="shared" si="478"/>
        <v>Anders</v>
      </c>
      <c r="E1828" s="8" t="str">
        <f t="shared" si="479"/>
        <v>Anders, Maria</v>
      </c>
      <c r="F1828" s="8" t="str">
        <f t="shared" si="480"/>
        <v>Anders, Maria</v>
      </c>
      <c r="G1828" s="8" t="str">
        <f t="shared" si="481"/>
        <v>not an outlier</v>
      </c>
      <c r="H1828" s="8" t="str">
        <f t="shared" si="482"/>
        <v>Not</v>
      </c>
      <c r="I1828" s="8" t="str">
        <f t="shared" si="492"/>
        <v>no</v>
      </c>
      <c r="J1828" s="10" t="str">
        <f t="shared" si="483"/>
        <v>no</v>
      </c>
      <c r="K1828" s="10" t="str">
        <f t="shared" si="484"/>
        <v>no</v>
      </c>
      <c r="L1828" t="s">
        <v>11</v>
      </c>
      <c r="M1828">
        <v>10952</v>
      </c>
      <c r="N1828">
        <v>28</v>
      </c>
      <c r="O1828" t="s">
        <v>727</v>
      </c>
      <c r="P1828" t="str">
        <f t="shared" si="485"/>
        <v>ALFKI_10952_Rössle Sauerkraut</v>
      </c>
      <c r="Q1828" t="str">
        <f t="shared" si="486"/>
        <v>10952</v>
      </c>
      <c r="R1828" t="str">
        <f t="shared" si="487"/>
        <v>10952</v>
      </c>
      <c r="S1828" t="str">
        <f t="shared" si="488"/>
        <v>Rössle Sauerkraut</v>
      </c>
      <c r="T1828">
        <v>45.6</v>
      </c>
      <c r="U1828">
        <v>2</v>
      </c>
      <c r="V1828">
        <v>0</v>
      </c>
      <c r="W1828">
        <f t="shared" si="489"/>
        <v>91.2</v>
      </c>
      <c r="X1828" t="str">
        <f t="shared" si="490"/>
        <v>yes</v>
      </c>
      <c r="Y1828" s="2">
        <v>35170</v>
      </c>
      <c r="Z1828" t="str">
        <f t="shared" si="476"/>
        <v/>
      </c>
      <c r="AA1828" t="str">
        <f t="shared" si="491"/>
        <v>2nd Q 1996</v>
      </c>
      <c r="AB1828" t="str" cm="1">
        <f t="array" ref="AB1828">_xlfn.IFS(Y1828&lt;DATE(1996,1,1),"",Y1828&lt;DATE(1996,4,1),"Q1",Y1828&lt;DATE(1996,7,1),"Q2",Y1828&gt;=DATE(1996,7,1),"")</f>
        <v>Q2</v>
      </c>
    </row>
    <row r="1829" spans="1:28" ht="14.4" x14ac:dyDescent="0.55000000000000004">
      <c r="A1829" t="str">
        <f>VLOOKUP(L1829,Customers!$A$2:$B$92,2,FALSE)</f>
        <v>Around the Horn</v>
      </c>
      <c r="B1829" t="str">
        <f>VLOOKUP(L1829,Customers!$A$2:$C$92,3,TRUE)</f>
        <v>Thomas Hardy</v>
      </c>
      <c r="C1829" t="str">
        <f t="shared" si="477"/>
        <v>Thomas</v>
      </c>
      <c r="D1829" s="8" t="str">
        <f t="shared" si="478"/>
        <v>Hardy</v>
      </c>
      <c r="E1829" s="8" t="str">
        <f t="shared" si="479"/>
        <v>Hardy, Thomas</v>
      </c>
      <c r="F1829" s="8" t="str">
        <f t="shared" si="480"/>
        <v>Hardy, Thomas</v>
      </c>
      <c r="G1829" s="8" t="str">
        <f t="shared" si="481"/>
        <v>outlier</v>
      </c>
      <c r="H1829" s="8" t="str">
        <f t="shared" si="482"/>
        <v>outlier</v>
      </c>
      <c r="I1829" s="8" t="str">
        <f t="shared" si="492"/>
        <v>yes</v>
      </c>
      <c r="J1829" s="10" t="str">
        <f t="shared" si="483"/>
        <v>yes</v>
      </c>
      <c r="K1829" s="10" t="str">
        <f t="shared" si="484"/>
        <v>yes</v>
      </c>
      <c r="L1829" t="s">
        <v>34</v>
      </c>
      <c r="M1829">
        <v>10953</v>
      </c>
      <c r="N1829">
        <v>20</v>
      </c>
      <c r="O1829" t="s">
        <v>692</v>
      </c>
      <c r="P1829" t="str">
        <f t="shared" si="485"/>
        <v>AROUT_10953_Sir Rodney's Marmalade</v>
      </c>
      <c r="Q1829" t="str">
        <f t="shared" si="486"/>
        <v>10953</v>
      </c>
      <c r="R1829" t="str">
        <f t="shared" si="487"/>
        <v>10953</v>
      </c>
      <c r="S1829" t="str">
        <f t="shared" si="488"/>
        <v>Sir Rodney's Marmalade</v>
      </c>
      <c r="T1829">
        <v>81</v>
      </c>
      <c r="U1829">
        <v>50</v>
      </c>
      <c r="V1829">
        <v>0.05</v>
      </c>
      <c r="W1829">
        <f t="shared" si="489"/>
        <v>3847.5</v>
      </c>
      <c r="X1829" t="str">
        <f t="shared" si="490"/>
        <v>yes</v>
      </c>
      <c r="Y1829" s="2">
        <v>35170</v>
      </c>
      <c r="Z1829" t="str">
        <f t="shared" si="476"/>
        <v/>
      </c>
      <c r="AA1829" t="str">
        <f t="shared" si="491"/>
        <v>2nd Q 1996</v>
      </c>
      <c r="AB1829" t="str" cm="1">
        <f t="array" ref="AB1829">_xlfn.IFS(Y1829&lt;DATE(1996,1,1),"",Y1829&lt;DATE(1996,4,1),"Q1",Y1829&lt;DATE(1996,7,1),"Q2",Y1829&gt;=DATE(1996,7,1),"")</f>
        <v>Q2</v>
      </c>
    </row>
    <row r="1830" spans="1:28" ht="14.4" x14ac:dyDescent="0.55000000000000004">
      <c r="A1830" t="str">
        <f>VLOOKUP(L1830,Customers!$A$2:$B$92,2,FALSE)</f>
        <v>Around the Horn</v>
      </c>
      <c r="B1830" t="str">
        <f>VLOOKUP(L1830,Customers!$A$2:$C$92,3,TRUE)</f>
        <v>Thomas Hardy</v>
      </c>
      <c r="C1830" t="str">
        <f t="shared" si="477"/>
        <v>Thomas</v>
      </c>
      <c r="D1830" s="8" t="str">
        <f t="shared" si="478"/>
        <v>Hardy</v>
      </c>
      <c r="E1830" s="8" t="str">
        <f t="shared" si="479"/>
        <v>Hardy, Thomas</v>
      </c>
      <c r="F1830" s="8" t="str">
        <f t="shared" si="480"/>
        <v>Hardy, Thomas</v>
      </c>
      <c r="G1830" s="8" t="str">
        <f t="shared" si="481"/>
        <v>not an outlier</v>
      </c>
      <c r="H1830" s="8" t="str">
        <f t="shared" si="482"/>
        <v>Not</v>
      </c>
      <c r="I1830" s="8" t="str">
        <f t="shared" si="492"/>
        <v>no</v>
      </c>
      <c r="J1830" s="10" t="str">
        <f t="shared" si="483"/>
        <v>no</v>
      </c>
      <c r="K1830" s="10" t="str">
        <f t="shared" si="484"/>
        <v>no</v>
      </c>
      <c r="L1830" t="s">
        <v>34</v>
      </c>
      <c r="M1830">
        <v>10953</v>
      </c>
      <c r="N1830">
        <v>31</v>
      </c>
      <c r="O1830" t="s">
        <v>695</v>
      </c>
      <c r="P1830" t="str">
        <f t="shared" si="485"/>
        <v>AROUT_10953_Gorgonzola Telino</v>
      </c>
      <c r="Q1830" t="str">
        <f t="shared" si="486"/>
        <v>10953</v>
      </c>
      <c r="R1830" t="str">
        <f t="shared" si="487"/>
        <v>10953</v>
      </c>
      <c r="S1830" t="str">
        <f t="shared" si="488"/>
        <v>Gorgonzola Telino</v>
      </c>
      <c r="T1830">
        <v>12.5</v>
      </c>
      <c r="U1830">
        <v>50</v>
      </c>
      <c r="V1830">
        <v>0.05</v>
      </c>
      <c r="W1830">
        <f t="shared" si="489"/>
        <v>593.75</v>
      </c>
      <c r="X1830" t="str">
        <f t="shared" si="490"/>
        <v>yes</v>
      </c>
      <c r="Y1830" s="2">
        <v>35170</v>
      </c>
      <c r="Z1830" t="str">
        <f t="shared" si="476"/>
        <v/>
      </c>
      <c r="AA1830" t="str">
        <f t="shared" si="491"/>
        <v>2nd Q 1996</v>
      </c>
      <c r="AB1830" t="str" cm="1">
        <f t="array" ref="AB1830">_xlfn.IFS(Y1830&lt;DATE(1996,1,1),"",Y1830&lt;DATE(1996,4,1),"Q1",Y1830&lt;DATE(1996,7,1),"Q2",Y1830&gt;=DATE(1996,7,1),"")</f>
        <v>Q2</v>
      </c>
    </row>
    <row r="1831" spans="1:28" ht="14.4" x14ac:dyDescent="0.55000000000000004">
      <c r="A1831" t="str">
        <f>VLOOKUP(L1831,Customers!$A$2:$B$92,2,FALSE)</f>
        <v>LINO-Delicateses</v>
      </c>
      <c r="B1831" t="str">
        <f>VLOOKUP(L1831,Customers!$A$2:$C$92,3,TRUE)</f>
        <v>Felipe Izquierdo</v>
      </c>
      <c r="C1831" t="str">
        <f t="shared" si="477"/>
        <v>Felipe</v>
      </c>
      <c r="D1831" s="8" t="str">
        <f t="shared" si="478"/>
        <v>Izquierdo</v>
      </c>
      <c r="E1831" s="8" t="str">
        <f t="shared" si="479"/>
        <v>Izquierdo, Felipe</v>
      </c>
      <c r="F1831" s="8" t="str">
        <f t="shared" si="480"/>
        <v>Izquierdo, Felipe</v>
      </c>
      <c r="G1831" s="8" t="str">
        <f t="shared" si="481"/>
        <v>not an outlier</v>
      </c>
      <c r="H1831" s="8" t="str">
        <f t="shared" si="482"/>
        <v>Not</v>
      </c>
      <c r="I1831" s="8" t="str">
        <f t="shared" si="492"/>
        <v>no</v>
      </c>
      <c r="J1831" s="10" t="str">
        <f t="shared" si="483"/>
        <v>no</v>
      </c>
      <c r="K1831" s="10" t="str">
        <f t="shared" si="484"/>
        <v>no</v>
      </c>
      <c r="L1831" t="s">
        <v>363</v>
      </c>
      <c r="M1831">
        <v>10954</v>
      </c>
      <c r="N1831">
        <v>16</v>
      </c>
      <c r="O1831" t="s">
        <v>702</v>
      </c>
      <c r="P1831" t="str">
        <f t="shared" si="485"/>
        <v>LINOD_10954_Pavlova</v>
      </c>
      <c r="Q1831" t="str">
        <f t="shared" si="486"/>
        <v>10954</v>
      </c>
      <c r="R1831" t="str">
        <f t="shared" si="487"/>
        <v>10954</v>
      </c>
      <c r="S1831" t="str">
        <f t="shared" si="488"/>
        <v>Pavlova</v>
      </c>
      <c r="T1831">
        <v>17.45</v>
      </c>
      <c r="U1831">
        <v>28</v>
      </c>
      <c r="V1831">
        <v>0.15</v>
      </c>
      <c r="W1831">
        <f t="shared" si="489"/>
        <v>415.30999999999995</v>
      </c>
      <c r="X1831" t="str">
        <f t="shared" si="490"/>
        <v>yes</v>
      </c>
      <c r="Y1831" s="2">
        <v>35171</v>
      </c>
      <c r="Z1831" t="str">
        <f t="shared" si="476"/>
        <v/>
      </c>
      <c r="AA1831" t="str">
        <f t="shared" si="491"/>
        <v>2nd Q 1996</v>
      </c>
      <c r="AB1831" t="str" cm="1">
        <f t="array" ref="AB1831">_xlfn.IFS(Y1831&lt;DATE(1996,1,1),"",Y1831&lt;DATE(1996,4,1),"Q1",Y1831&lt;DATE(1996,7,1),"Q2",Y1831&gt;=DATE(1996,7,1),"")</f>
        <v>Q2</v>
      </c>
    </row>
    <row r="1832" spans="1:28" ht="14.4" x14ac:dyDescent="0.55000000000000004">
      <c r="A1832" t="str">
        <f>VLOOKUP(L1832,Customers!$A$2:$B$92,2,FALSE)</f>
        <v>LINO-Delicateses</v>
      </c>
      <c r="B1832" t="str">
        <f>VLOOKUP(L1832,Customers!$A$2:$C$92,3,TRUE)</f>
        <v>Felipe Izquierdo</v>
      </c>
      <c r="C1832" t="str">
        <f t="shared" si="477"/>
        <v>Felipe</v>
      </c>
      <c r="D1832" s="8" t="str">
        <f t="shared" si="478"/>
        <v>Izquierdo</v>
      </c>
      <c r="E1832" s="8" t="str">
        <f t="shared" si="479"/>
        <v>Izquierdo, Felipe</v>
      </c>
      <c r="F1832" s="8" t="str">
        <f t="shared" si="480"/>
        <v>Izquierdo, Felipe</v>
      </c>
      <c r="G1832" s="8" t="str">
        <f t="shared" si="481"/>
        <v>not an outlier</v>
      </c>
      <c r="H1832" s="8" t="str">
        <f t="shared" si="482"/>
        <v>Not</v>
      </c>
      <c r="I1832" s="8" t="str">
        <f t="shared" si="492"/>
        <v>no</v>
      </c>
      <c r="J1832" s="10" t="str">
        <f t="shared" si="483"/>
        <v>no</v>
      </c>
      <c r="K1832" s="10" t="str">
        <f t="shared" si="484"/>
        <v>no</v>
      </c>
      <c r="L1832" t="s">
        <v>363</v>
      </c>
      <c r="M1832">
        <v>10954</v>
      </c>
      <c r="N1832">
        <v>31</v>
      </c>
      <c r="O1832" t="s">
        <v>695</v>
      </c>
      <c r="P1832" t="str">
        <f t="shared" si="485"/>
        <v>LINOD_10954_Gorgonzola Telino</v>
      </c>
      <c r="Q1832" t="str">
        <f t="shared" si="486"/>
        <v>10954</v>
      </c>
      <c r="R1832" t="str">
        <f t="shared" si="487"/>
        <v>10954</v>
      </c>
      <c r="S1832" t="str">
        <f t="shared" si="488"/>
        <v>Gorgonzola Telino</v>
      </c>
      <c r="T1832">
        <v>12.5</v>
      </c>
      <c r="U1832">
        <v>25</v>
      </c>
      <c r="V1832">
        <v>0.15</v>
      </c>
      <c r="W1832">
        <f t="shared" si="489"/>
        <v>265.625</v>
      </c>
      <c r="X1832" t="str">
        <f t="shared" si="490"/>
        <v>yes</v>
      </c>
      <c r="Y1832" s="2">
        <v>35171</v>
      </c>
      <c r="Z1832" t="str">
        <f t="shared" si="476"/>
        <v/>
      </c>
      <c r="AA1832" t="str">
        <f t="shared" si="491"/>
        <v>2nd Q 1996</v>
      </c>
      <c r="AB1832" t="str" cm="1">
        <f t="array" ref="AB1832">_xlfn.IFS(Y1832&lt;DATE(1996,1,1),"",Y1832&lt;DATE(1996,4,1),"Q1",Y1832&lt;DATE(1996,7,1),"Q2",Y1832&gt;=DATE(1996,7,1),"")</f>
        <v>Q2</v>
      </c>
    </row>
    <row r="1833" spans="1:28" ht="14.4" x14ac:dyDescent="0.55000000000000004">
      <c r="A1833" t="str">
        <f>VLOOKUP(L1833,Customers!$A$2:$B$92,2,FALSE)</f>
        <v>LINO-Delicateses</v>
      </c>
      <c r="B1833" t="str">
        <f>VLOOKUP(L1833,Customers!$A$2:$C$92,3,TRUE)</f>
        <v>Felipe Izquierdo</v>
      </c>
      <c r="C1833" t="str">
        <f t="shared" si="477"/>
        <v>Felipe</v>
      </c>
      <c r="D1833" s="8" t="str">
        <f t="shared" si="478"/>
        <v>Izquierdo</v>
      </c>
      <c r="E1833" s="8" t="str">
        <f t="shared" si="479"/>
        <v>Izquierdo, Felipe</v>
      </c>
      <c r="F1833" s="8" t="str">
        <f t="shared" si="480"/>
        <v>Izquierdo, Felipe</v>
      </c>
      <c r="G1833" s="8" t="str">
        <f t="shared" si="481"/>
        <v>not an outlier</v>
      </c>
      <c r="H1833" s="8" t="str">
        <f t="shared" si="482"/>
        <v>Not</v>
      </c>
      <c r="I1833" s="8" t="str">
        <f t="shared" si="492"/>
        <v>no</v>
      </c>
      <c r="J1833" s="10" t="str">
        <f t="shared" si="483"/>
        <v>no</v>
      </c>
      <c r="K1833" s="10" t="str">
        <f t="shared" si="484"/>
        <v>no</v>
      </c>
      <c r="L1833" t="s">
        <v>363</v>
      </c>
      <c r="M1833">
        <v>10954</v>
      </c>
      <c r="N1833">
        <v>45</v>
      </c>
      <c r="O1833" t="s">
        <v>756</v>
      </c>
      <c r="P1833" t="str">
        <f t="shared" si="485"/>
        <v>LINOD_10954_Røgede sild</v>
      </c>
      <c r="Q1833" t="str">
        <f t="shared" si="486"/>
        <v>10954</v>
      </c>
      <c r="R1833" t="str">
        <f t="shared" si="487"/>
        <v>10954</v>
      </c>
      <c r="S1833" t="str">
        <f t="shared" si="488"/>
        <v>Røgede sild</v>
      </c>
      <c r="T1833">
        <v>9.5</v>
      </c>
      <c r="U1833">
        <v>30</v>
      </c>
      <c r="V1833">
        <v>0</v>
      </c>
      <c r="W1833">
        <f t="shared" si="489"/>
        <v>285</v>
      </c>
      <c r="X1833" t="str">
        <f t="shared" si="490"/>
        <v>yes</v>
      </c>
      <c r="Y1833" s="2">
        <v>35171</v>
      </c>
      <c r="Z1833" t="str">
        <f t="shared" si="476"/>
        <v/>
      </c>
      <c r="AA1833" t="str">
        <f t="shared" si="491"/>
        <v>2nd Q 1996</v>
      </c>
      <c r="AB1833" t="str" cm="1">
        <f t="array" ref="AB1833">_xlfn.IFS(Y1833&lt;DATE(1996,1,1),"",Y1833&lt;DATE(1996,4,1),"Q1",Y1833&lt;DATE(1996,7,1),"Q2",Y1833&gt;=DATE(1996,7,1),"")</f>
        <v>Q2</v>
      </c>
    </row>
    <row r="1834" spans="1:28" ht="14.4" x14ac:dyDescent="0.55000000000000004">
      <c r="A1834" t="str">
        <f>VLOOKUP(L1834,Customers!$A$2:$B$92,2,FALSE)</f>
        <v>LINO-Delicateses</v>
      </c>
      <c r="B1834" t="str">
        <f>VLOOKUP(L1834,Customers!$A$2:$C$92,3,TRUE)</f>
        <v>Felipe Izquierdo</v>
      </c>
      <c r="C1834" t="str">
        <f t="shared" si="477"/>
        <v>Felipe</v>
      </c>
      <c r="D1834" s="8" t="str">
        <f t="shared" si="478"/>
        <v>Izquierdo</v>
      </c>
      <c r="E1834" s="8" t="str">
        <f t="shared" si="479"/>
        <v>Izquierdo, Felipe</v>
      </c>
      <c r="F1834" s="8" t="str">
        <f t="shared" si="480"/>
        <v>Izquierdo, Felipe</v>
      </c>
      <c r="G1834" s="8" t="str">
        <f t="shared" si="481"/>
        <v>not an outlier</v>
      </c>
      <c r="H1834" s="8" t="str">
        <f t="shared" si="482"/>
        <v>Not</v>
      </c>
      <c r="I1834" s="8" t="str">
        <f t="shared" si="492"/>
        <v>no</v>
      </c>
      <c r="J1834" s="10" t="str">
        <f t="shared" si="483"/>
        <v>no</v>
      </c>
      <c r="K1834" s="10" t="str">
        <f t="shared" si="484"/>
        <v>no</v>
      </c>
      <c r="L1834" t="s">
        <v>363</v>
      </c>
      <c r="M1834">
        <v>10954</v>
      </c>
      <c r="N1834">
        <v>60</v>
      </c>
      <c r="O1834" t="s">
        <v>694</v>
      </c>
      <c r="P1834" t="str">
        <f t="shared" si="485"/>
        <v>LINOD_10954_Camembert Pierrot</v>
      </c>
      <c r="Q1834" t="str">
        <f t="shared" si="486"/>
        <v>10954</v>
      </c>
      <c r="R1834" t="str">
        <f t="shared" si="487"/>
        <v>10954</v>
      </c>
      <c r="S1834" t="str">
        <f t="shared" si="488"/>
        <v>Camembert Pierrot</v>
      </c>
      <c r="T1834">
        <v>34</v>
      </c>
      <c r="U1834">
        <v>24</v>
      </c>
      <c r="V1834">
        <v>0.15</v>
      </c>
      <c r="W1834">
        <f t="shared" si="489"/>
        <v>693.6</v>
      </c>
      <c r="X1834" t="str">
        <f t="shared" si="490"/>
        <v>yes</v>
      </c>
      <c r="Y1834" s="2">
        <v>35171</v>
      </c>
      <c r="Z1834" t="str">
        <f t="shared" si="476"/>
        <v/>
      </c>
      <c r="AA1834" t="str">
        <f t="shared" si="491"/>
        <v>2nd Q 1996</v>
      </c>
      <c r="AB1834" t="str" cm="1">
        <f t="array" ref="AB1834">_xlfn.IFS(Y1834&lt;DATE(1996,1,1),"",Y1834&lt;DATE(1996,4,1),"Q1",Y1834&lt;DATE(1996,7,1),"Q2",Y1834&gt;=DATE(1996,7,1),"")</f>
        <v>Q2</v>
      </c>
    </row>
    <row r="1835" spans="1:28" ht="14.4" x14ac:dyDescent="0.55000000000000004">
      <c r="A1835" t="str">
        <f>VLOOKUP(L1835,Customers!$A$2:$B$92,2,FALSE)</f>
        <v>Folk och fä HB</v>
      </c>
      <c r="B1835" t="str">
        <f>VLOOKUP(L1835,Customers!$A$2:$C$92,3,TRUE)</f>
        <v>Maria Larsson</v>
      </c>
      <c r="C1835" t="str">
        <f t="shared" si="477"/>
        <v>Maria</v>
      </c>
      <c r="D1835" s="8" t="str">
        <f t="shared" si="478"/>
        <v>Larsson</v>
      </c>
      <c r="E1835" s="8" t="str">
        <f t="shared" si="479"/>
        <v>Larsson, Maria</v>
      </c>
      <c r="F1835" s="8" t="str">
        <f t="shared" si="480"/>
        <v>Larsson, Maria</v>
      </c>
      <c r="G1835" s="8" t="str">
        <f t="shared" si="481"/>
        <v>not an outlier</v>
      </c>
      <c r="H1835" s="8" t="str">
        <f t="shared" si="482"/>
        <v>Not</v>
      </c>
      <c r="I1835" s="8" t="str">
        <f t="shared" si="492"/>
        <v>no</v>
      </c>
      <c r="J1835" s="10" t="str">
        <f t="shared" si="483"/>
        <v>no</v>
      </c>
      <c r="K1835" s="10" t="str">
        <f t="shared" si="484"/>
        <v>no</v>
      </c>
      <c r="L1835" t="s">
        <v>191</v>
      </c>
      <c r="M1835">
        <v>10955</v>
      </c>
      <c r="N1835">
        <v>75</v>
      </c>
      <c r="O1835" t="s">
        <v>731</v>
      </c>
      <c r="P1835" t="str">
        <f t="shared" si="485"/>
        <v>FOLKO_10955_Rhönbräu Klosterbier</v>
      </c>
      <c r="Q1835" t="str">
        <f t="shared" si="486"/>
        <v>10955</v>
      </c>
      <c r="R1835" t="str">
        <f t="shared" si="487"/>
        <v>10955</v>
      </c>
      <c r="S1835" t="str">
        <f t="shared" si="488"/>
        <v>Rhönbräu Klosterbier</v>
      </c>
      <c r="T1835">
        <v>7.75</v>
      </c>
      <c r="U1835">
        <v>12</v>
      </c>
      <c r="V1835">
        <v>0.2</v>
      </c>
      <c r="W1835">
        <f t="shared" si="489"/>
        <v>74.400000000000006</v>
      </c>
      <c r="X1835" t="str">
        <f t="shared" si="490"/>
        <v>yes</v>
      </c>
      <c r="Y1835" s="2">
        <v>35171</v>
      </c>
      <c r="Z1835" t="str">
        <f t="shared" si="476"/>
        <v/>
      </c>
      <c r="AA1835" t="str">
        <f t="shared" si="491"/>
        <v>2nd Q 1996</v>
      </c>
      <c r="AB1835" t="str" cm="1">
        <f t="array" ref="AB1835">_xlfn.IFS(Y1835&lt;DATE(1996,1,1),"",Y1835&lt;DATE(1996,4,1),"Q1",Y1835&lt;DATE(1996,7,1),"Q2",Y1835&gt;=DATE(1996,7,1),"")</f>
        <v>Q2</v>
      </c>
    </row>
    <row r="1836" spans="1:28" ht="14.4" x14ac:dyDescent="0.55000000000000004">
      <c r="A1836" t="str">
        <f>VLOOKUP(L1836,Customers!$A$2:$B$92,2,FALSE)</f>
        <v>Blauer See Delikatessen</v>
      </c>
      <c r="B1836" t="str">
        <f>VLOOKUP(L1836,Customers!$A$2:$C$92,3,TRUE)</f>
        <v>Hanna Moos</v>
      </c>
      <c r="C1836" t="str">
        <f t="shared" si="477"/>
        <v>Hanna</v>
      </c>
      <c r="D1836" s="8" t="str">
        <f t="shared" si="478"/>
        <v>Moos</v>
      </c>
      <c r="E1836" s="8" t="str">
        <f t="shared" si="479"/>
        <v>Moos, Hanna</v>
      </c>
      <c r="F1836" s="8" t="str">
        <f t="shared" si="480"/>
        <v>Moos, Hanna</v>
      </c>
      <c r="G1836" s="8" t="str">
        <f t="shared" si="481"/>
        <v>not an outlier</v>
      </c>
      <c r="H1836" s="8" t="str">
        <f t="shared" si="482"/>
        <v>Not</v>
      </c>
      <c r="I1836" s="8" t="str">
        <f t="shared" si="492"/>
        <v>no</v>
      </c>
      <c r="J1836" s="10" t="str">
        <f t="shared" si="483"/>
        <v>no</v>
      </c>
      <c r="K1836" s="10" t="str">
        <f t="shared" si="484"/>
        <v>no</v>
      </c>
      <c r="L1836" t="s">
        <v>53</v>
      </c>
      <c r="M1836">
        <v>10956</v>
      </c>
      <c r="N1836">
        <v>21</v>
      </c>
      <c r="O1836" t="s">
        <v>710</v>
      </c>
      <c r="P1836" t="str">
        <f t="shared" si="485"/>
        <v>BLAUS_10956_Sir Rodney's Scones</v>
      </c>
      <c r="Q1836" t="str">
        <f t="shared" si="486"/>
        <v>10956</v>
      </c>
      <c r="R1836" t="str">
        <f t="shared" si="487"/>
        <v>10956</v>
      </c>
      <c r="S1836" t="str">
        <f t="shared" si="488"/>
        <v>Sir Rodney's Scones</v>
      </c>
      <c r="T1836">
        <v>10</v>
      </c>
      <c r="U1836">
        <v>12</v>
      </c>
      <c r="V1836">
        <v>0</v>
      </c>
      <c r="W1836">
        <f t="shared" si="489"/>
        <v>120</v>
      </c>
      <c r="X1836" t="str">
        <f t="shared" si="490"/>
        <v>yes</v>
      </c>
      <c r="Y1836" s="2">
        <v>35171</v>
      </c>
      <c r="Z1836" t="str">
        <f t="shared" si="476"/>
        <v/>
      </c>
      <c r="AA1836" t="str">
        <f t="shared" si="491"/>
        <v>2nd Q 1996</v>
      </c>
      <c r="AB1836" t="str" cm="1">
        <f t="array" ref="AB1836">_xlfn.IFS(Y1836&lt;DATE(1996,1,1),"",Y1836&lt;DATE(1996,4,1),"Q1",Y1836&lt;DATE(1996,7,1),"Q2",Y1836&gt;=DATE(1996,7,1),"")</f>
        <v>Q2</v>
      </c>
    </row>
    <row r="1837" spans="1:28" ht="14.4" x14ac:dyDescent="0.55000000000000004">
      <c r="A1837" t="str">
        <f>VLOOKUP(L1837,Customers!$A$2:$B$92,2,FALSE)</f>
        <v>Blauer See Delikatessen</v>
      </c>
      <c r="B1837" t="str">
        <f>VLOOKUP(L1837,Customers!$A$2:$C$92,3,TRUE)</f>
        <v>Hanna Moos</v>
      </c>
      <c r="C1837" t="str">
        <f t="shared" si="477"/>
        <v>Hanna</v>
      </c>
      <c r="D1837" s="8" t="str">
        <f t="shared" si="478"/>
        <v>Moos</v>
      </c>
      <c r="E1837" s="8" t="str">
        <f t="shared" si="479"/>
        <v>Moos, Hanna</v>
      </c>
      <c r="F1837" s="8" t="str">
        <f t="shared" si="480"/>
        <v>Moos, Hanna</v>
      </c>
      <c r="G1837" s="8" t="str">
        <f t="shared" si="481"/>
        <v>not an outlier</v>
      </c>
      <c r="H1837" s="8" t="str">
        <f t="shared" si="482"/>
        <v>Not</v>
      </c>
      <c r="I1837" s="8" t="str">
        <f t="shared" si="492"/>
        <v>no</v>
      </c>
      <c r="J1837" s="10" t="str">
        <f t="shared" si="483"/>
        <v>no</v>
      </c>
      <c r="K1837" s="10" t="str">
        <f t="shared" si="484"/>
        <v>no</v>
      </c>
      <c r="L1837" t="s">
        <v>53</v>
      </c>
      <c r="M1837">
        <v>10956</v>
      </c>
      <c r="N1837">
        <v>47</v>
      </c>
      <c r="O1837" t="s">
        <v>752</v>
      </c>
      <c r="P1837" t="str">
        <f t="shared" si="485"/>
        <v>BLAUS_10956_Zaanse koeken</v>
      </c>
      <c r="Q1837" t="str">
        <f t="shared" si="486"/>
        <v>10956</v>
      </c>
      <c r="R1837" t="str">
        <f t="shared" si="487"/>
        <v>10956</v>
      </c>
      <c r="S1837" t="str">
        <f t="shared" si="488"/>
        <v>Zaanse koeken</v>
      </c>
      <c r="T1837">
        <v>9.5</v>
      </c>
      <c r="U1837">
        <v>14</v>
      </c>
      <c r="V1837">
        <v>0</v>
      </c>
      <c r="W1837">
        <f t="shared" si="489"/>
        <v>133</v>
      </c>
      <c r="X1837" t="str">
        <f t="shared" si="490"/>
        <v>yes</v>
      </c>
      <c r="Y1837" s="2">
        <v>35171</v>
      </c>
      <c r="Z1837" t="str">
        <f t="shared" si="476"/>
        <v/>
      </c>
      <c r="AA1837" t="str">
        <f t="shared" si="491"/>
        <v>2nd Q 1996</v>
      </c>
      <c r="AB1837" t="str" cm="1">
        <f t="array" ref="AB1837">_xlfn.IFS(Y1837&lt;DATE(1996,1,1),"",Y1837&lt;DATE(1996,4,1),"Q1",Y1837&lt;DATE(1996,7,1),"Q2",Y1837&gt;=DATE(1996,7,1),"")</f>
        <v>Q2</v>
      </c>
    </row>
    <row r="1838" spans="1:28" ht="14.4" x14ac:dyDescent="0.55000000000000004">
      <c r="A1838" t="str">
        <f>VLOOKUP(L1838,Customers!$A$2:$B$92,2,FALSE)</f>
        <v>Blauer See Delikatessen</v>
      </c>
      <c r="B1838" t="str">
        <f>VLOOKUP(L1838,Customers!$A$2:$C$92,3,TRUE)</f>
        <v>Hanna Moos</v>
      </c>
      <c r="C1838" t="str">
        <f t="shared" si="477"/>
        <v>Hanna</v>
      </c>
      <c r="D1838" s="8" t="str">
        <f t="shared" si="478"/>
        <v>Moos</v>
      </c>
      <c r="E1838" s="8" t="str">
        <f t="shared" si="479"/>
        <v>Moos, Hanna</v>
      </c>
      <c r="F1838" s="8" t="str">
        <f t="shared" si="480"/>
        <v>Moos, Hanna</v>
      </c>
      <c r="G1838" s="8" t="str">
        <f t="shared" si="481"/>
        <v>not an outlier</v>
      </c>
      <c r="H1838" s="8" t="str">
        <f t="shared" si="482"/>
        <v>Not</v>
      </c>
      <c r="I1838" s="8" t="str">
        <f t="shared" si="492"/>
        <v>no</v>
      </c>
      <c r="J1838" s="10" t="str">
        <f t="shared" si="483"/>
        <v>no</v>
      </c>
      <c r="K1838" s="10" t="str">
        <f t="shared" si="484"/>
        <v>no</v>
      </c>
      <c r="L1838" t="s">
        <v>53</v>
      </c>
      <c r="M1838">
        <v>10956</v>
      </c>
      <c r="N1838">
        <v>51</v>
      </c>
      <c r="O1838" t="s">
        <v>687</v>
      </c>
      <c r="P1838" t="str">
        <f t="shared" si="485"/>
        <v>BLAUS_10956_Manjimup Dried Apples</v>
      </c>
      <c r="Q1838" t="str">
        <f t="shared" si="486"/>
        <v>10956</v>
      </c>
      <c r="R1838" t="str">
        <f t="shared" si="487"/>
        <v>10956</v>
      </c>
      <c r="S1838" t="str">
        <f t="shared" si="488"/>
        <v>Manjimup Dried Apples</v>
      </c>
      <c r="T1838">
        <v>53</v>
      </c>
      <c r="U1838">
        <v>8</v>
      </c>
      <c r="V1838">
        <v>0</v>
      </c>
      <c r="W1838">
        <f t="shared" si="489"/>
        <v>424</v>
      </c>
      <c r="X1838" t="str">
        <f t="shared" si="490"/>
        <v>yes</v>
      </c>
      <c r="Y1838" s="2">
        <v>35171</v>
      </c>
      <c r="Z1838" t="str">
        <f t="shared" si="476"/>
        <v/>
      </c>
      <c r="AA1838" t="str">
        <f t="shared" si="491"/>
        <v>2nd Q 1996</v>
      </c>
      <c r="AB1838" t="str" cm="1">
        <f t="array" ref="AB1838">_xlfn.IFS(Y1838&lt;DATE(1996,1,1),"",Y1838&lt;DATE(1996,4,1),"Q1",Y1838&lt;DATE(1996,7,1),"Q2",Y1838&gt;=DATE(1996,7,1),"")</f>
        <v>Q2</v>
      </c>
    </row>
    <row r="1839" spans="1:28" ht="14.4" x14ac:dyDescent="0.55000000000000004">
      <c r="A1839" t="str">
        <f>VLOOKUP(L1839,Customers!$A$2:$B$92,2,FALSE)</f>
        <v>HILARIÓN-Abastos</v>
      </c>
      <c r="B1839" t="str">
        <f>VLOOKUP(L1839,Customers!$A$2:$C$92,3,TRUE)</f>
        <v>Carlos Hernández</v>
      </c>
      <c r="C1839" t="str">
        <f t="shared" si="477"/>
        <v>Carlos</v>
      </c>
      <c r="D1839" s="8" t="str">
        <f t="shared" si="478"/>
        <v>Hernández</v>
      </c>
      <c r="E1839" s="8" t="str">
        <f t="shared" si="479"/>
        <v>Hernández, Carlos</v>
      </c>
      <c r="F1839" s="8" t="str">
        <f t="shared" si="480"/>
        <v>Hernández, Carlos</v>
      </c>
      <c r="G1839" s="8" t="str">
        <f t="shared" si="481"/>
        <v>not an outlier</v>
      </c>
      <c r="H1839" s="8" t="str">
        <f t="shared" si="482"/>
        <v>Not</v>
      </c>
      <c r="I1839" s="8" t="str">
        <f t="shared" si="492"/>
        <v>no</v>
      </c>
      <c r="J1839" s="10" t="str">
        <f t="shared" si="483"/>
        <v>no</v>
      </c>
      <c r="K1839" s="10" t="str">
        <f t="shared" si="484"/>
        <v>no</v>
      </c>
      <c r="L1839" t="s">
        <v>273</v>
      </c>
      <c r="M1839">
        <v>10957</v>
      </c>
      <c r="N1839">
        <v>30</v>
      </c>
      <c r="O1839" t="s">
        <v>717</v>
      </c>
      <c r="P1839" t="str">
        <f t="shared" si="485"/>
        <v>HILAA_10957_Nord-Ost Matjeshering</v>
      </c>
      <c r="Q1839" t="str">
        <f t="shared" si="486"/>
        <v>10957</v>
      </c>
      <c r="R1839" t="str">
        <f t="shared" si="487"/>
        <v>10957</v>
      </c>
      <c r="S1839" t="str">
        <f t="shared" si="488"/>
        <v>Nord-Ost Matjeshering</v>
      </c>
      <c r="T1839">
        <v>25.89</v>
      </c>
      <c r="U1839">
        <v>30</v>
      </c>
      <c r="V1839">
        <v>0</v>
      </c>
      <c r="W1839">
        <f t="shared" si="489"/>
        <v>776.7</v>
      </c>
      <c r="X1839" t="str">
        <f t="shared" si="490"/>
        <v>yes</v>
      </c>
      <c r="Y1839" s="2">
        <v>35172</v>
      </c>
      <c r="Z1839" t="str">
        <f t="shared" si="476"/>
        <v/>
      </c>
      <c r="AA1839" t="str">
        <f t="shared" si="491"/>
        <v>2nd Q 1996</v>
      </c>
      <c r="AB1839" t="str" cm="1">
        <f t="array" ref="AB1839">_xlfn.IFS(Y1839&lt;DATE(1996,1,1),"",Y1839&lt;DATE(1996,4,1),"Q1",Y1839&lt;DATE(1996,7,1),"Q2",Y1839&gt;=DATE(1996,7,1),"")</f>
        <v>Q2</v>
      </c>
    </row>
    <row r="1840" spans="1:28" ht="14.4" x14ac:dyDescent="0.55000000000000004">
      <c r="A1840" t="str">
        <f>VLOOKUP(L1840,Customers!$A$2:$B$92,2,FALSE)</f>
        <v>HILARIÓN-Abastos</v>
      </c>
      <c r="B1840" t="str">
        <f>VLOOKUP(L1840,Customers!$A$2:$C$92,3,TRUE)</f>
        <v>Carlos Hernández</v>
      </c>
      <c r="C1840" t="str">
        <f t="shared" si="477"/>
        <v>Carlos</v>
      </c>
      <c r="D1840" s="8" t="str">
        <f t="shared" si="478"/>
        <v>Hernández</v>
      </c>
      <c r="E1840" s="8" t="str">
        <f t="shared" si="479"/>
        <v>Hernández, Carlos</v>
      </c>
      <c r="F1840" s="8" t="str">
        <f t="shared" si="480"/>
        <v>Hernández, Carlos</v>
      </c>
      <c r="G1840" s="8" t="str">
        <f t="shared" si="481"/>
        <v>not an outlier</v>
      </c>
      <c r="H1840" s="8" t="str">
        <f t="shared" si="482"/>
        <v>Not</v>
      </c>
      <c r="I1840" s="8" t="str">
        <f t="shared" si="492"/>
        <v>no</v>
      </c>
      <c r="J1840" s="10" t="str">
        <f t="shared" si="483"/>
        <v>no</v>
      </c>
      <c r="K1840" s="10" t="str">
        <f t="shared" si="484"/>
        <v>no</v>
      </c>
      <c r="L1840" t="s">
        <v>273</v>
      </c>
      <c r="M1840">
        <v>10957</v>
      </c>
      <c r="N1840">
        <v>35</v>
      </c>
      <c r="O1840" t="s">
        <v>714</v>
      </c>
      <c r="P1840" t="str">
        <f t="shared" si="485"/>
        <v>HILAA_10957_Steeleye Stout</v>
      </c>
      <c r="Q1840" t="str">
        <f t="shared" si="486"/>
        <v>10957</v>
      </c>
      <c r="R1840" t="str">
        <f t="shared" si="487"/>
        <v>10957</v>
      </c>
      <c r="S1840" t="str">
        <f t="shared" si="488"/>
        <v>Steeleye Stout</v>
      </c>
      <c r="T1840">
        <v>18</v>
      </c>
      <c r="U1840">
        <v>40</v>
      </c>
      <c r="V1840">
        <v>0</v>
      </c>
      <c r="W1840">
        <f t="shared" si="489"/>
        <v>720</v>
      </c>
      <c r="X1840" t="str">
        <f t="shared" si="490"/>
        <v>yes</v>
      </c>
      <c r="Y1840" s="2">
        <v>35172</v>
      </c>
      <c r="Z1840" t="str">
        <f t="shared" si="476"/>
        <v/>
      </c>
      <c r="AA1840" t="str">
        <f t="shared" si="491"/>
        <v>2nd Q 1996</v>
      </c>
      <c r="AB1840" t="str" cm="1">
        <f t="array" ref="AB1840">_xlfn.IFS(Y1840&lt;DATE(1996,1,1),"",Y1840&lt;DATE(1996,4,1),"Q1",Y1840&lt;DATE(1996,7,1),"Q2",Y1840&gt;=DATE(1996,7,1),"")</f>
        <v>Q2</v>
      </c>
    </row>
    <row r="1841" spans="1:28" ht="14.4" x14ac:dyDescent="0.55000000000000004">
      <c r="A1841" t="str">
        <f>VLOOKUP(L1841,Customers!$A$2:$B$92,2,FALSE)</f>
        <v>HILARIÓN-Abastos</v>
      </c>
      <c r="B1841" t="str">
        <f>VLOOKUP(L1841,Customers!$A$2:$C$92,3,TRUE)</f>
        <v>Carlos Hernández</v>
      </c>
      <c r="C1841" t="str">
        <f t="shared" si="477"/>
        <v>Carlos</v>
      </c>
      <c r="D1841" s="8" t="str">
        <f t="shared" si="478"/>
        <v>Hernández</v>
      </c>
      <c r="E1841" s="8" t="str">
        <f t="shared" si="479"/>
        <v>Hernández, Carlos</v>
      </c>
      <c r="F1841" s="8" t="str">
        <f t="shared" si="480"/>
        <v>Hernández, Carlos</v>
      </c>
      <c r="G1841" s="8" t="str">
        <f t="shared" si="481"/>
        <v>not an outlier</v>
      </c>
      <c r="H1841" s="8" t="str">
        <f t="shared" si="482"/>
        <v>Not</v>
      </c>
      <c r="I1841" s="8" t="str">
        <f t="shared" si="492"/>
        <v>no</v>
      </c>
      <c r="J1841" s="10" t="str">
        <f t="shared" si="483"/>
        <v>no</v>
      </c>
      <c r="K1841" s="10" t="str">
        <f t="shared" si="484"/>
        <v>no</v>
      </c>
      <c r="L1841" t="s">
        <v>273</v>
      </c>
      <c r="M1841">
        <v>10957</v>
      </c>
      <c r="N1841">
        <v>64</v>
      </c>
      <c r="O1841" t="s">
        <v>741</v>
      </c>
      <c r="P1841" t="str">
        <f t="shared" si="485"/>
        <v>HILAA_10957_Wimmers gute Semmelknödel</v>
      </c>
      <c r="Q1841" t="str">
        <f t="shared" si="486"/>
        <v>10957</v>
      </c>
      <c r="R1841" t="str">
        <f t="shared" si="487"/>
        <v>10957</v>
      </c>
      <c r="S1841" t="str">
        <f t="shared" si="488"/>
        <v>Wimmers gute Semmelknödel</v>
      </c>
      <c r="T1841">
        <v>33.25</v>
      </c>
      <c r="U1841">
        <v>8</v>
      </c>
      <c r="V1841">
        <v>0</v>
      </c>
      <c r="W1841">
        <f t="shared" si="489"/>
        <v>266</v>
      </c>
      <c r="X1841" t="str">
        <f t="shared" si="490"/>
        <v>yes</v>
      </c>
      <c r="Y1841" s="2">
        <v>35172</v>
      </c>
      <c r="Z1841" t="str">
        <f t="shared" si="476"/>
        <v/>
      </c>
      <c r="AA1841" t="str">
        <f t="shared" si="491"/>
        <v>2nd Q 1996</v>
      </c>
      <c r="AB1841" t="str" cm="1">
        <f t="array" ref="AB1841">_xlfn.IFS(Y1841&lt;DATE(1996,1,1),"",Y1841&lt;DATE(1996,4,1),"Q1",Y1841&lt;DATE(1996,7,1),"Q2",Y1841&gt;=DATE(1996,7,1),"")</f>
        <v>Q2</v>
      </c>
    </row>
    <row r="1842" spans="1:28" ht="14.4" x14ac:dyDescent="0.55000000000000004">
      <c r="A1842" t="str">
        <f>VLOOKUP(L1842,Customers!$A$2:$B$92,2,FALSE)</f>
        <v>Océano Atlántico Ltda.</v>
      </c>
      <c r="B1842" t="str">
        <f>VLOOKUP(L1842,Customers!$A$2:$C$92,3,TRUE)</f>
        <v>Yvonne Moncada</v>
      </c>
      <c r="C1842" t="str">
        <f t="shared" si="477"/>
        <v>Yvonne</v>
      </c>
      <c r="D1842" s="8" t="str">
        <f t="shared" si="478"/>
        <v>Moncada</v>
      </c>
      <c r="E1842" s="8" t="str">
        <f t="shared" si="479"/>
        <v>Moncada, Yvonne</v>
      </c>
      <c r="F1842" s="8" t="str">
        <f t="shared" si="480"/>
        <v>Moncada, Yvonne</v>
      </c>
      <c r="G1842" s="8" t="str">
        <f t="shared" si="481"/>
        <v>not an outlier</v>
      </c>
      <c r="H1842" s="8" t="str">
        <f t="shared" si="482"/>
        <v>Not</v>
      </c>
      <c r="I1842" s="8" t="str">
        <f t="shared" si="492"/>
        <v>no</v>
      </c>
      <c r="J1842" s="10" t="str">
        <f t="shared" si="483"/>
        <v>no</v>
      </c>
      <c r="K1842" s="10" t="str">
        <f t="shared" si="484"/>
        <v>no</v>
      </c>
      <c r="L1842" t="s">
        <v>416</v>
      </c>
      <c r="M1842">
        <v>10958</v>
      </c>
      <c r="N1842">
        <v>5</v>
      </c>
      <c r="O1842" t="s">
        <v>708</v>
      </c>
      <c r="P1842" t="str">
        <f t="shared" si="485"/>
        <v>OCEAN_10958_Chef Anton's Gumbo Mix</v>
      </c>
      <c r="Q1842" t="str">
        <f t="shared" si="486"/>
        <v>10958</v>
      </c>
      <c r="R1842" t="str">
        <f t="shared" si="487"/>
        <v>10958</v>
      </c>
      <c r="S1842" t="str">
        <f t="shared" si="488"/>
        <v>Chef Anton's Gumbo Mix</v>
      </c>
      <c r="T1842">
        <v>21.35</v>
      </c>
      <c r="U1842">
        <v>20</v>
      </c>
      <c r="V1842">
        <v>0</v>
      </c>
      <c r="W1842">
        <f t="shared" si="489"/>
        <v>427</v>
      </c>
      <c r="X1842" t="str">
        <f t="shared" si="490"/>
        <v>yes</v>
      </c>
      <c r="Y1842" s="2">
        <v>35172</v>
      </c>
      <c r="Z1842" t="str">
        <f t="shared" ref="Z1842:Z1905" si="493">IF(Y1842&gt;=DATE(1996,1,1), IF(Y1842&lt;DATE(1996,4,1),"1st Q 1996",""),"")</f>
        <v/>
      </c>
      <c r="AA1842" t="str">
        <f t="shared" si="491"/>
        <v>2nd Q 1996</v>
      </c>
      <c r="AB1842" t="str" cm="1">
        <f t="array" ref="AB1842">_xlfn.IFS(Y1842&lt;DATE(1996,1,1),"",Y1842&lt;DATE(1996,4,1),"Q1",Y1842&lt;DATE(1996,7,1),"Q2",Y1842&gt;=DATE(1996,7,1),"")</f>
        <v>Q2</v>
      </c>
    </row>
    <row r="1843" spans="1:28" ht="14.4" x14ac:dyDescent="0.55000000000000004">
      <c r="A1843" t="str">
        <f>VLOOKUP(L1843,Customers!$A$2:$B$92,2,FALSE)</f>
        <v>Océano Atlántico Ltda.</v>
      </c>
      <c r="B1843" t="str">
        <f>VLOOKUP(L1843,Customers!$A$2:$C$92,3,TRUE)</f>
        <v>Yvonne Moncada</v>
      </c>
      <c r="C1843" t="str">
        <f t="shared" si="477"/>
        <v>Yvonne</v>
      </c>
      <c r="D1843" s="8" t="str">
        <f t="shared" si="478"/>
        <v>Moncada</v>
      </c>
      <c r="E1843" s="8" t="str">
        <f t="shared" si="479"/>
        <v>Moncada, Yvonne</v>
      </c>
      <c r="F1843" s="8" t="str">
        <f t="shared" si="480"/>
        <v>Moncada, Yvonne</v>
      </c>
      <c r="G1843" s="8" t="str">
        <f t="shared" si="481"/>
        <v>not an outlier</v>
      </c>
      <c r="H1843" s="8" t="str">
        <f t="shared" si="482"/>
        <v>Not</v>
      </c>
      <c r="I1843" s="8" t="str">
        <f t="shared" si="492"/>
        <v>no</v>
      </c>
      <c r="J1843" s="10" t="str">
        <f t="shared" si="483"/>
        <v>no</v>
      </c>
      <c r="K1843" s="10" t="str">
        <f t="shared" si="484"/>
        <v>no</v>
      </c>
      <c r="L1843" t="s">
        <v>416</v>
      </c>
      <c r="M1843">
        <v>10958</v>
      </c>
      <c r="N1843">
        <v>7</v>
      </c>
      <c r="O1843" t="s">
        <v>715</v>
      </c>
      <c r="P1843" t="str">
        <f t="shared" si="485"/>
        <v>OCEAN_10958_Uncle Bob's Organic Dried Pears</v>
      </c>
      <c r="Q1843" t="str">
        <f t="shared" si="486"/>
        <v>10958</v>
      </c>
      <c r="R1843" t="str">
        <f t="shared" si="487"/>
        <v>10958</v>
      </c>
      <c r="S1843" t="str">
        <f t="shared" si="488"/>
        <v>Uncle Bob's Organic Dried Pears</v>
      </c>
      <c r="T1843">
        <v>30</v>
      </c>
      <c r="U1843">
        <v>6</v>
      </c>
      <c r="V1843">
        <v>0</v>
      </c>
      <c r="W1843">
        <f t="shared" si="489"/>
        <v>180</v>
      </c>
      <c r="X1843" t="str">
        <f t="shared" si="490"/>
        <v>yes</v>
      </c>
      <c r="Y1843" s="2">
        <v>35172</v>
      </c>
      <c r="Z1843" t="str">
        <f t="shared" si="493"/>
        <v/>
      </c>
      <c r="AA1843" t="str">
        <f t="shared" si="491"/>
        <v>2nd Q 1996</v>
      </c>
      <c r="AB1843" t="str" cm="1">
        <f t="array" ref="AB1843">_xlfn.IFS(Y1843&lt;DATE(1996,1,1),"",Y1843&lt;DATE(1996,4,1),"Q1",Y1843&lt;DATE(1996,7,1),"Q2",Y1843&gt;=DATE(1996,7,1),"")</f>
        <v>Q2</v>
      </c>
    </row>
    <row r="1844" spans="1:28" ht="14.4" x14ac:dyDescent="0.55000000000000004">
      <c r="A1844" t="str">
        <f>VLOOKUP(L1844,Customers!$A$2:$B$92,2,FALSE)</f>
        <v>Océano Atlántico Ltda.</v>
      </c>
      <c r="B1844" t="str">
        <f>VLOOKUP(L1844,Customers!$A$2:$C$92,3,TRUE)</f>
        <v>Yvonne Moncada</v>
      </c>
      <c r="C1844" t="str">
        <f t="shared" si="477"/>
        <v>Yvonne</v>
      </c>
      <c r="D1844" s="8" t="str">
        <f t="shared" si="478"/>
        <v>Moncada</v>
      </c>
      <c r="E1844" s="8" t="str">
        <f t="shared" si="479"/>
        <v>Moncada, Yvonne</v>
      </c>
      <c r="F1844" s="8" t="str">
        <f t="shared" si="480"/>
        <v>Moncada, Yvonne</v>
      </c>
      <c r="G1844" s="8" t="str">
        <f t="shared" si="481"/>
        <v>not an outlier</v>
      </c>
      <c r="H1844" s="8" t="str">
        <f t="shared" si="482"/>
        <v>Not</v>
      </c>
      <c r="I1844" s="8" t="str">
        <f t="shared" si="492"/>
        <v>no</v>
      </c>
      <c r="J1844" s="10" t="str">
        <f t="shared" si="483"/>
        <v>no</v>
      </c>
      <c r="K1844" s="10" t="str">
        <f t="shared" si="484"/>
        <v>no</v>
      </c>
      <c r="L1844" t="s">
        <v>416</v>
      </c>
      <c r="M1844">
        <v>10958</v>
      </c>
      <c r="N1844">
        <v>72</v>
      </c>
      <c r="O1844" t="s">
        <v>685</v>
      </c>
      <c r="P1844" t="str">
        <f t="shared" si="485"/>
        <v>OCEAN_10958_Mozzarella di Giovanni</v>
      </c>
      <c r="Q1844" t="str">
        <f t="shared" si="486"/>
        <v>10958</v>
      </c>
      <c r="R1844" t="str">
        <f t="shared" si="487"/>
        <v>10958</v>
      </c>
      <c r="S1844" t="str">
        <f t="shared" si="488"/>
        <v>Mozzarella di Giovanni</v>
      </c>
      <c r="T1844">
        <v>34.799999999999997</v>
      </c>
      <c r="U1844">
        <v>5</v>
      </c>
      <c r="V1844">
        <v>0</v>
      </c>
      <c r="W1844">
        <f t="shared" si="489"/>
        <v>174</v>
      </c>
      <c r="X1844" t="str">
        <f t="shared" si="490"/>
        <v>yes</v>
      </c>
      <c r="Y1844" s="2">
        <v>35172</v>
      </c>
      <c r="Z1844" t="str">
        <f t="shared" si="493"/>
        <v/>
      </c>
      <c r="AA1844" t="str">
        <f t="shared" si="491"/>
        <v>2nd Q 1996</v>
      </c>
      <c r="AB1844" t="str" cm="1">
        <f t="array" ref="AB1844">_xlfn.IFS(Y1844&lt;DATE(1996,1,1),"",Y1844&lt;DATE(1996,4,1),"Q1",Y1844&lt;DATE(1996,7,1),"Q2",Y1844&gt;=DATE(1996,7,1),"")</f>
        <v>Q2</v>
      </c>
    </row>
    <row r="1845" spans="1:28" ht="14.4" x14ac:dyDescent="0.55000000000000004">
      <c r="A1845" t="str">
        <f>VLOOKUP(L1845,Customers!$A$2:$B$92,2,FALSE)</f>
        <v>Gourmet Lanchonetes</v>
      </c>
      <c r="B1845" t="str">
        <f>VLOOKUP(L1845,Customers!$A$2:$C$92,3,TRUE)</f>
        <v>André Fonseca</v>
      </c>
      <c r="C1845" t="str">
        <f t="shared" si="477"/>
        <v>André</v>
      </c>
      <c r="D1845" s="8" t="str">
        <f t="shared" si="478"/>
        <v>Fonseca</v>
      </c>
      <c r="E1845" s="8" t="str">
        <f t="shared" si="479"/>
        <v>Fonseca, André</v>
      </c>
      <c r="F1845" s="8" t="str">
        <f t="shared" si="480"/>
        <v>Fonseca, André</v>
      </c>
      <c r="G1845" s="8" t="str">
        <f t="shared" si="481"/>
        <v>not an outlier</v>
      </c>
      <c r="H1845" s="8" t="str">
        <f t="shared" si="482"/>
        <v>Not</v>
      </c>
      <c r="I1845" s="8" t="str">
        <f t="shared" si="492"/>
        <v>no</v>
      </c>
      <c r="J1845" s="10" t="str">
        <f t="shared" si="483"/>
        <v>no</v>
      </c>
      <c r="K1845" s="10" t="str">
        <f t="shared" si="484"/>
        <v>no</v>
      </c>
      <c r="L1845" t="s">
        <v>240</v>
      </c>
      <c r="M1845">
        <v>10959</v>
      </c>
      <c r="N1845">
        <v>75</v>
      </c>
      <c r="O1845" t="s">
        <v>731</v>
      </c>
      <c r="P1845" t="str">
        <f t="shared" si="485"/>
        <v>GOURL_10959_Rhönbräu Klosterbier</v>
      </c>
      <c r="Q1845" t="str">
        <f t="shared" si="486"/>
        <v>10959</v>
      </c>
      <c r="R1845" t="str">
        <f t="shared" si="487"/>
        <v>10959</v>
      </c>
      <c r="S1845" t="str">
        <f t="shared" si="488"/>
        <v>Rhönbräu Klosterbier</v>
      </c>
      <c r="T1845">
        <v>7.75</v>
      </c>
      <c r="U1845">
        <v>20</v>
      </c>
      <c r="V1845">
        <v>0.15</v>
      </c>
      <c r="W1845">
        <f t="shared" si="489"/>
        <v>131.75</v>
      </c>
      <c r="X1845" t="str">
        <f t="shared" si="490"/>
        <v>yes</v>
      </c>
      <c r="Y1845" s="2">
        <v>35172</v>
      </c>
      <c r="Z1845" t="str">
        <f t="shared" si="493"/>
        <v/>
      </c>
      <c r="AA1845" t="str">
        <f t="shared" si="491"/>
        <v>2nd Q 1996</v>
      </c>
      <c r="AB1845" t="str" cm="1">
        <f t="array" ref="AB1845">_xlfn.IFS(Y1845&lt;DATE(1996,1,1),"",Y1845&lt;DATE(1996,4,1),"Q1",Y1845&lt;DATE(1996,7,1),"Q2",Y1845&gt;=DATE(1996,7,1),"")</f>
        <v>Q2</v>
      </c>
    </row>
    <row r="1846" spans="1:28" ht="14.4" x14ac:dyDescent="0.55000000000000004">
      <c r="A1846" t="str">
        <f>VLOOKUP(L1846,Customers!$A$2:$B$92,2,FALSE)</f>
        <v>HILARIÓN-Abastos</v>
      </c>
      <c r="B1846" t="str">
        <f>VLOOKUP(L1846,Customers!$A$2:$C$92,3,TRUE)</f>
        <v>Carlos Hernández</v>
      </c>
      <c r="C1846" t="str">
        <f t="shared" si="477"/>
        <v>Carlos</v>
      </c>
      <c r="D1846" s="8" t="str">
        <f t="shared" si="478"/>
        <v>Hernández</v>
      </c>
      <c r="E1846" s="8" t="str">
        <f t="shared" si="479"/>
        <v>Hernández, Carlos</v>
      </c>
      <c r="F1846" s="8" t="str">
        <f t="shared" si="480"/>
        <v>Hernández, Carlos</v>
      </c>
      <c r="G1846" s="8" t="str">
        <f t="shared" si="481"/>
        <v>not an outlier</v>
      </c>
      <c r="H1846" s="8" t="str">
        <f t="shared" si="482"/>
        <v>Not</v>
      </c>
      <c r="I1846" s="8" t="str">
        <f t="shared" si="492"/>
        <v>no</v>
      </c>
      <c r="J1846" s="10" t="str">
        <f t="shared" si="483"/>
        <v>no</v>
      </c>
      <c r="K1846" s="10" t="str">
        <f t="shared" si="484"/>
        <v>no</v>
      </c>
      <c r="L1846" t="s">
        <v>273</v>
      </c>
      <c r="M1846">
        <v>10960</v>
      </c>
      <c r="N1846">
        <v>24</v>
      </c>
      <c r="O1846" t="s">
        <v>698</v>
      </c>
      <c r="P1846" t="str">
        <f t="shared" si="485"/>
        <v>HILAA_10960_Guaraná Fantástica</v>
      </c>
      <c r="Q1846" t="str">
        <f t="shared" si="486"/>
        <v>10960</v>
      </c>
      <c r="R1846" t="str">
        <f t="shared" si="487"/>
        <v>10960</v>
      </c>
      <c r="S1846" t="str">
        <f t="shared" si="488"/>
        <v>Guaraná Fantástica</v>
      </c>
      <c r="T1846">
        <v>4.5</v>
      </c>
      <c r="U1846">
        <v>10</v>
      </c>
      <c r="V1846">
        <v>0.25</v>
      </c>
      <c r="W1846">
        <f t="shared" si="489"/>
        <v>33.75</v>
      </c>
      <c r="X1846" t="str">
        <f t="shared" si="490"/>
        <v>yes</v>
      </c>
      <c r="Y1846" s="2">
        <v>35173</v>
      </c>
      <c r="Z1846" t="str">
        <f t="shared" si="493"/>
        <v/>
      </c>
      <c r="AA1846" t="str">
        <f t="shared" si="491"/>
        <v>2nd Q 1996</v>
      </c>
      <c r="AB1846" t="str" cm="1">
        <f t="array" ref="AB1846">_xlfn.IFS(Y1846&lt;DATE(1996,1,1),"",Y1846&lt;DATE(1996,4,1),"Q1",Y1846&lt;DATE(1996,7,1),"Q2",Y1846&gt;=DATE(1996,7,1),"")</f>
        <v>Q2</v>
      </c>
    </row>
    <row r="1847" spans="1:28" ht="14.4" x14ac:dyDescent="0.55000000000000004">
      <c r="A1847" t="str">
        <f>VLOOKUP(L1847,Customers!$A$2:$B$92,2,FALSE)</f>
        <v>HILARIÓN-Abastos</v>
      </c>
      <c r="B1847" t="str">
        <f>VLOOKUP(L1847,Customers!$A$2:$C$92,3,TRUE)</f>
        <v>Carlos Hernández</v>
      </c>
      <c r="C1847" t="str">
        <f t="shared" si="477"/>
        <v>Carlos</v>
      </c>
      <c r="D1847" s="8" t="str">
        <f t="shared" si="478"/>
        <v>Hernández</v>
      </c>
      <c r="E1847" s="8" t="str">
        <f t="shared" si="479"/>
        <v>Hernández, Carlos</v>
      </c>
      <c r="F1847" s="8" t="str">
        <f t="shared" si="480"/>
        <v>Hernández, Carlos</v>
      </c>
      <c r="G1847" s="8" t="str">
        <f t="shared" si="481"/>
        <v>not an outlier</v>
      </c>
      <c r="H1847" s="8" t="str">
        <f t="shared" si="482"/>
        <v>Not</v>
      </c>
      <c r="I1847" s="8" t="str">
        <f t="shared" si="492"/>
        <v>no</v>
      </c>
      <c r="J1847" s="10" t="str">
        <f t="shared" si="483"/>
        <v>no</v>
      </c>
      <c r="K1847" s="10" t="str">
        <f t="shared" si="484"/>
        <v>no</v>
      </c>
      <c r="L1847" t="s">
        <v>273</v>
      </c>
      <c r="M1847">
        <v>10960</v>
      </c>
      <c r="N1847">
        <v>41</v>
      </c>
      <c r="O1847" t="s">
        <v>688</v>
      </c>
      <c r="P1847" t="str">
        <f t="shared" si="485"/>
        <v>HILAA_10960_Jack's New England Clam Chowder</v>
      </c>
      <c r="Q1847" t="str">
        <f t="shared" si="486"/>
        <v>10960</v>
      </c>
      <c r="R1847" t="str">
        <f t="shared" si="487"/>
        <v>10960</v>
      </c>
      <c r="S1847" t="str">
        <f t="shared" si="488"/>
        <v>Jack's New England Clam Chowder</v>
      </c>
      <c r="T1847">
        <v>9.65</v>
      </c>
      <c r="U1847">
        <v>24</v>
      </c>
      <c r="V1847">
        <v>0</v>
      </c>
      <c r="W1847">
        <f t="shared" si="489"/>
        <v>231.60000000000002</v>
      </c>
      <c r="X1847" t="str">
        <f t="shared" si="490"/>
        <v>yes</v>
      </c>
      <c r="Y1847" s="2">
        <v>35173</v>
      </c>
      <c r="Z1847" t="str">
        <f t="shared" si="493"/>
        <v/>
      </c>
      <c r="AA1847" t="str">
        <f t="shared" si="491"/>
        <v>2nd Q 1996</v>
      </c>
      <c r="AB1847" t="str" cm="1">
        <f t="array" ref="AB1847">_xlfn.IFS(Y1847&lt;DATE(1996,1,1),"",Y1847&lt;DATE(1996,4,1),"Q1",Y1847&lt;DATE(1996,7,1),"Q2",Y1847&gt;=DATE(1996,7,1),"")</f>
        <v>Q2</v>
      </c>
    </row>
    <row r="1848" spans="1:28" ht="14.4" x14ac:dyDescent="0.55000000000000004">
      <c r="A1848" t="str">
        <f>VLOOKUP(L1848,Customers!$A$2:$B$92,2,FALSE)</f>
        <v>Queen Cozinha</v>
      </c>
      <c r="B1848" t="str">
        <f>VLOOKUP(L1848,Customers!$A$2:$C$92,3,TRUE)</f>
        <v>Lúcia Carvalho</v>
      </c>
      <c r="C1848" t="str">
        <f t="shared" si="477"/>
        <v>Lúcia</v>
      </c>
      <c r="D1848" s="8" t="str">
        <f t="shared" si="478"/>
        <v>Carvalho</v>
      </c>
      <c r="E1848" s="8" t="str">
        <f t="shared" si="479"/>
        <v>Carvalho, Lúcia</v>
      </c>
      <c r="F1848" s="8" t="str">
        <f t="shared" si="480"/>
        <v>Carvalho, Lúcia</v>
      </c>
      <c r="G1848" s="8" t="str">
        <f t="shared" si="481"/>
        <v>not an outlier</v>
      </c>
      <c r="H1848" s="8" t="str">
        <f t="shared" si="482"/>
        <v>Not</v>
      </c>
      <c r="I1848" s="8" t="str">
        <f t="shared" si="492"/>
        <v>no</v>
      </c>
      <c r="J1848" s="10" t="str">
        <f t="shared" si="483"/>
        <v>no</v>
      </c>
      <c r="K1848" s="10" t="str">
        <f t="shared" si="484"/>
        <v>no</v>
      </c>
      <c r="L1848" t="s">
        <v>469</v>
      </c>
      <c r="M1848">
        <v>10961</v>
      </c>
      <c r="N1848">
        <v>52</v>
      </c>
      <c r="O1848" t="s">
        <v>748</v>
      </c>
      <c r="P1848" t="str">
        <f t="shared" si="485"/>
        <v>QUEEN_10961_Filo Mix</v>
      </c>
      <c r="Q1848" t="str">
        <f t="shared" si="486"/>
        <v>10961</v>
      </c>
      <c r="R1848" t="str">
        <f t="shared" si="487"/>
        <v>10961</v>
      </c>
      <c r="S1848" t="str">
        <f t="shared" si="488"/>
        <v>Filo Mix</v>
      </c>
      <c r="T1848">
        <v>7</v>
      </c>
      <c r="U1848">
        <v>6</v>
      </c>
      <c r="V1848">
        <v>0.05</v>
      </c>
      <c r="W1848">
        <f t="shared" si="489"/>
        <v>39.9</v>
      </c>
      <c r="X1848" t="str">
        <f t="shared" si="490"/>
        <v>yes</v>
      </c>
      <c r="Y1848" s="2">
        <v>35173</v>
      </c>
      <c r="Z1848" t="str">
        <f t="shared" si="493"/>
        <v/>
      </c>
      <c r="AA1848" t="str">
        <f t="shared" si="491"/>
        <v>2nd Q 1996</v>
      </c>
      <c r="AB1848" t="str" cm="1">
        <f t="array" ref="AB1848">_xlfn.IFS(Y1848&lt;DATE(1996,1,1),"",Y1848&lt;DATE(1996,4,1),"Q1",Y1848&lt;DATE(1996,7,1),"Q2",Y1848&gt;=DATE(1996,7,1),"")</f>
        <v>Q2</v>
      </c>
    </row>
    <row r="1849" spans="1:28" ht="14.4" x14ac:dyDescent="0.55000000000000004">
      <c r="A1849" t="str">
        <f>VLOOKUP(L1849,Customers!$A$2:$B$92,2,FALSE)</f>
        <v>Queen Cozinha</v>
      </c>
      <c r="B1849" t="str">
        <f>VLOOKUP(L1849,Customers!$A$2:$C$92,3,TRUE)</f>
        <v>Lúcia Carvalho</v>
      </c>
      <c r="C1849" t="str">
        <f t="shared" si="477"/>
        <v>Lúcia</v>
      </c>
      <c r="D1849" s="8" t="str">
        <f t="shared" si="478"/>
        <v>Carvalho</v>
      </c>
      <c r="E1849" s="8" t="str">
        <f t="shared" si="479"/>
        <v>Carvalho, Lúcia</v>
      </c>
      <c r="F1849" s="8" t="str">
        <f t="shared" si="480"/>
        <v>Carvalho, Lúcia</v>
      </c>
      <c r="G1849" s="8" t="str">
        <f t="shared" si="481"/>
        <v>not an outlier</v>
      </c>
      <c r="H1849" s="8" t="str">
        <f t="shared" si="482"/>
        <v>Not</v>
      </c>
      <c r="I1849" s="8" t="str">
        <f t="shared" si="492"/>
        <v>no</v>
      </c>
      <c r="J1849" s="10" t="str">
        <f t="shared" si="483"/>
        <v>no</v>
      </c>
      <c r="K1849" s="10" t="str">
        <f t="shared" si="484"/>
        <v>no</v>
      </c>
      <c r="L1849" t="s">
        <v>469</v>
      </c>
      <c r="M1849">
        <v>10961</v>
      </c>
      <c r="N1849">
        <v>76</v>
      </c>
      <c r="O1849" t="s">
        <v>721</v>
      </c>
      <c r="P1849" t="str">
        <f t="shared" si="485"/>
        <v>QUEEN_10961_Lakkalikööri</v>
      </c>
      <c r="Q1849" t="str">
        <f t="shared" si="486"/>
        <v>10961</v>
      </c>
      <c r="R1849" t="str">
        <f t="shared" si="487"/>
        <v>10961</v>
      </c>
      <c r="S1849" t="str">
        <f t="shared" si="488"/>
        <v>Lakkalikööri</v>
      </c>
      <c r="T1849">
        <v>18</v>
      </c>
      <c r="U1849">
        <v>60</v>
      </c>
      <c r="V1849">
        <v>0</v>
      </c>
      <c r="W1849">
        <f t="shared" si="489"/>
        <v>1080</v>
      </c>
      <c r="X1849" t="str">
        <f t="shared" si="490"/>
        <v>yes</v>
      </c>
      <c r="Y1849" s="2">
        <v>35173</v>
      </c>
      <c r="Z1849" t="str">
        <f t="shared" si="493"/>
        <v/>
      </c>
      <c r="AA1849" t="str">
        <f t="shared" si="491"/>
        <v>2nd Q 1996</v>
      </c>
      <c r="AB1849" t="str" cm="1">
        <f t="array" ref="AB1849">_xlfn.IFS(Y1849&lt;DATE(1996,1,1),"",Y1849&lt;DATE(1996,4,1),"Q1",Y1849&lt;DATE(1996,7,1),"Q2",Y1849&gt;=DATE(1996,7,1),"")</f>
        <v>Q2</v>
      </c>
    </row>
    <row r="1850" spans="1:28" ht="14.4" x14ac:dyDescent="0.55000000000000004">
      <c r="A1850" t="str">
        <f>VLOOKUP(L1850,Customers!$A$2:$B$92,2,FALSE)</f>
        <v>QUICK-Stop</v>
      </c>
      <c r="B1850" t="str">
        <f>VLOOKUP(L1850,Customers!$A$2:$C$92,3,TRUE)</f>
        <v>Horst Kloss</v>
      </c>
      <c r="C1850" t="str">
        <f t="shared" si="477"/>
        <v>Horst</v>
      </c>
      <c r="D1850" s="8" t="str">
        <f t="shared" si="478"/>
        <v>Kloss</v>
      </c>
      <c r="E1850" s="8" t="str">
        <f t="shared" si="479"/>
        <v>Kloss, Horst</v>
      </c>
      <c r="F1850" s="8" t="str">
        <f t="shared" si="480"/>
        <v>Kloss, Horst</v>
      </c>
      <c r="G1850" s="8" t="str">
        <f t="shared" si="481"/>
        <v>not an outlier</v>
      </c>
      <c r="H1850" s="8" t="str">
        <f t="shared" si="482"/>
        <v>Not</v>
      </c>
      <c r="I1850" s="8" t="str">
        <f t="shared" si="492"/>
        <v>no</v>
      </c>
      <c r="J1850" s="10" t="str">
        <f t="shared" si="483"/>
        <v>no</v>
      </c>
      <c r="K1850" s="10" t="str">
        <f t="shared" si="484"/>
        <v>no</v>
      </c>
      <c r="L1850" t="s">
        <v>475</v>
      </c>
      <c r="M1850">
        <v>10962</v>
      </c>
      <c r="N1850">
        <v>7</v>
      </c>
      <c r="O1850" t="s">
        <v>715</v>
      </c>
      <c r="P1850" t="str">
        <f t="shared" si="485"/>
        <v>QUICK_10962_Uncle Bob's Organic Dried Pears</v>
      </c>
      <c r="Q1850" t="str">
        <f t="shared" si="486"/>
        <v>10962</v>
      </c>
      <c r="R1850" t="str">
        <f t="shared" si="487"/>
        <v>10962</v>
      </c>
      <c r="S1850" t="str">
        <f t="shared" si="488"/>
        <v>Uncle Bob's Organic Dried Pears</v>
      </c>
      <c r="T1850">
        <v>30</v>
      </c>
      <c r="U1850">
        <v>45</v>
      </c>
      <c r="V1850">
        <v>0</v>
      </c>
      <c r="W1850">
        <f t="shared" si="489"/>
        <v>1350</v>
      </c>
      <c r="X1850" t="str">
        <f t="shared" si="490"/>
        <v>yes</v>
      </c>
      <c r="Y1850" s="2">
        <v>35173</v>
      </c>
      <c r="Z1850" t="str">
        <f t="shared" si="493"/>
        <v/>
      </c>
      <c r="AA1850" t="str">
        <f t="shared" si="491"/>
        <v>2nd Q 1996</v>
      </c>
      <c r="AB1850" t="str" cm="1">
        <f t="array" ref="AB1850">_xlfn.IFS(Y1850&lt;DATE(1996,1,1),"",Y1850&lt;DATE(1996,4,1),"Q1",Y1850&lt;DATE(1996,7,1),"Q2",Y1850&gt;=DATE(1996,7,1),"")</f>
        <v>Q2</v>
      </c>
    </row>
    <row r="1851" spans="1:28" ht="14.4" x14ac:dyDescent="0.55000000000000004">
      <c r="A1851" t="str">
        <f>VLOOKUP(L1851,Customers!$A$2:$B$92,2,FALSE)</f>
        <v>QUICK-Stop</v>
      </c>
      <c r="B1851" t="str">
        <f>VLOOKUP(L1851,Customers!$A$2:$C$92,3,TRUE)</f>
        <v>Horst Kloss</v>
      </c>
      <c r="C1851" t="str">
        <f t="shared" si="477"/>
        <v>Horst</v>
      </c>
      <c r="D1851" s="8" t="str">
        <f t="shared" si="478"/>
        <v>Kloss</v>
      </c>
      <c r="E1851" s="8" t="str">
        <f t="shared" si="479"/>
        <v>Kloss, Horst</v>
      </c>
      <c r="F1851" s="8" t="str">
        <f t="shared" si="480"/>
        <v>Kloss, Horst</v>
      </c>
      <c r="G1851" s="8" t="str">
        <f t="shared" si="481"/>
        <v>not an outlier</v>
      </c>
      <c r="H1851" s="8" t="str">
        <f t="shared" si="482"/>
        <v>Not</v>
      </c>
      <c r="I1851" s="8" t="str">
        <f t="shared" si="492"/>
        <v>no</v>
      </c>
      <c r="J1851" s="10" t="str">
        <f t="shared" si="483"/>
        <v>no</v>
      </c>
      <c r="K1851" s="10" t="str">
        <f t="shared" si="484"/>
        <v>no</v>
      </c>
      <c r="L1851" t="s">
        <v>475</v>
      </c>
      <c r="M1851">
        <v>10962</v>
      </c>
      <c r="N1851">
        <v>13</v>
      </c>
      <c r="O1851" t="s">
        <v>726</v>
      </c>
      <c r="P1851" t="str">
        <f t="shared" si="485"/>
        <v>QUICK_10962_Konbu</v>
      </c>
      <c r="Q1851" t="str">
        <f t="shared" si="486"/>
        <v>10962</v>
      </c>
      <c r="R1851" t="str">
        <f t="shared" si="487"/>
        <v>10962</v>
      </c>
      <c r="S1851" t="str">
        <f t="shared" si="488"/>
        <v>Konbu</v>
      </c>
      <c r="T1851">
        <v>6</v>
      </c>
      <c r="U1851">
        <v>77</v>
      </c>
      <c r="V1851">
        <v>0</v>
      </c>
      <c r="W1851">
        <f t="shared" si="489"/>
        <v>462</v>
      </c>
      <c r="X1851" t="str">
        <f t="shared" si="490"/>
        <v>yes</v>
      </c>
      <c r="Y1851" s="2">
        <v>35173</v>
      </c>
      <c r="Z1851" t="str">
        <f t="shared" si="493"/>
        <v/>
      </c>
      <c r="AA1851" t="str">
        <f t="shared" si="491"/>
        <v>2nd Q 1996</v>
      </c>
      <c r="AB1851" t="str" cm="1">
        <f t="array" ref="AB1851">_xlfn.IFS(Y1851&lt;DATE(1996,1,1),"",Y1851&lt;DATE(1996,4,1),"Q1",Y1851&lt;DATE(1996,7,1),"Q2",Y1851&gt;=DATE(1996,7,1),"")</f>
        <v>Q2</v>
      </c>
    </row>
    <row r="1852" spans="1:28" ht="14.4" x14ac:dyDescent="0.55000000000000004">
      <c r="A1852" t="str">
        <f>VLOOKUP(L1852,Customers!$A$2:$B$92,2,FALSE)</f>
        <v>QUICK-Stop</v>
      </c>
      <c r="B1852" t="str">
        <f>VLOOKUP(L1852,Customers!$A$2:$C$92,3,TRUE)</f>
        <v>Horst Kloss</v>
      </c>
      <c r="C1852" t="str">
        <f t="shared" si="477"/>
        <v>Horst</v>
      </c>
      <c r="D1852" s="8" t="str">
        <f t="shared" si="478"/>
        <v>Kloss</v>
      </c>
      <c r="E1852" s="8" t="str">
        <f t="shared" si="479"/>
        <v>Kloss, Horst</v>
      </c>
      <c r="F1852" s="8" t="str">
        <f t="shared" si="480"/>
        <v>Kloss, Horst</v>
      </c>
      <c r="G1852" s="8" t="str">
        <f t="shared" si="481"/>
        <v>not an outlier</v>
      </c>
      <c r="H1852" s="8" t="str">
        <f t="shared" si="482"/>
        <v>Not</v>
      </c>
      <c r="I1852" s="8" t="str">
        <f t="shared" si="492"/>
        <v>no</v>
      </c>
      <c r="J1852" s="10" t="str">
        <f t="shared" si="483"/>
        <v>no</v>
      </c>
      <c r="K1852" s="10" t="str">
        <f t="shared" si="484"/>
        <v>no</v>
      </c>
      <c r="L1852" t="s">
        <v>475</v>
      </c>
      <c r="M1852">
        <v>10962</v>
      </c>
      <c r="N1852">
        <v>53</v>
      </c>
      <c r="O1852" t="s">
        <v>705</v>
      </c>
      <c r="P1852" t="str">
        <f t="shared" si="485"/>
        <v>QUICK_10962_Perth Pasties</v>
      </c>
      <c r="Q1852" t="str">
        <f t="shared" si="486"/>
        <v>10962</v>
      </c>
      <c r="R1852" t="str">
        <f t="shared" si="487"/>
        <v>10962</v>
      </c>
      <c r="S1852" t="str">
        <f t="shared" si="488"/>
        <v>Perth Pasties</v>
      </c>
      <c r="T1852">
        <v>32.799999999999997</v>
      </c>
      <c r="U1852">
        <v>20</v>
      </c>
      <c r="V1852">
        <v>0</v>
      </c>
      <c r="W1852">
        <f t="shared" si="489"/>
        <v>656</v>
      </c>
      <c r="X1852" t="str">
        <f t="shared" si="490"/>
        <v>yes</v>
      </c>
      <c r="Y1852" s="2">
        <v>35173</v>
      </c>
      <c r="Z1852" t="str">
        <f t="shared" si="493"/>
        <v/>
      </c>
      <c r="AA1852" t="str">
        <f t="shared" si="491"/>
        <v>2nd Q 1996</v>
      </c>
      <c r="AB1852" t="str" cm="1">
        <f t="array" ref="AB1852">_xlfn.IFS(Y1852&lt;DATE(1996,1,1),"",Y1852&lt;DATE(1996,4,1),"Q1",Y1852&lt;DATE(1996,7,1),"Q2",Y1852&gt;=DATE(1996,7,1),"")</f>
        <v>Q2</v>
      </c>
    </row>
    <row r="1853" spans="1:28" ht="14.4" x14ac:dyDescent="0.55000000000000004">
      <c r="A1853" t="str">
        <f>VLOOKUP(L1853,Customers!$A$2:$B$92,2,FALSE)</f>
        <v>QUICK-Stop</v>
      </c>
      <c r="B1853" t="str">
        <f>VLOOKUP(L1853,Customers!$A$2:$C$92,3,TRUE)</f>
        <v>Horst Kloss</v>
      </c>
      <c r="C1853" t="str">
        <f t="shared" si="477"/>
        <v>Horst</v>
      </c>
      <c r="D1853" s="8" t="str">
        <f t="shared" si="478"/>
        <v>Kloss</v>
      </c>
      <c r="E1853" s="8" t="str">
        <f t="shared" si="479"/>
        <v>Kloss, Horst</v>
      </c>
      <c r="F1853" s="8" t="str">
        <f t="shared" si="480"/>
        <v>Kloss, Horst</v>
      </c>
      <c r="G1853" s="8" t="str">
        <f t="shared" si="481"/>
        <v>not an outlier</v>
      </c>
      <c r="H1853" s="8" t="str">
        <f t="shared" si="482"/>
        <v>Not</v>
      </c>
      <c r="I1853" s="8" t="str">
        <f t="shared" si="492"/>
        <v>no</v>
      </c>
      <c r="J1853" s="10" t="str">
        <f t="shared" si="483"/>
        <v>no</v>
      </c>
      <c r="K1853" s="10" t="str">
        <f t="shared" si="484"/>
        <v>no</v>
      </c>
      <c r="L1853" t="s">
        <v>475</v>
      </c>
      <c r="M1853">
        <v>10962</v>
      </c>
      <c r="N1853">
        <v>69</v>
      </c>
      <c r="O1853" t="s">
        <v>743</v>
      </c>
      <c r="P1853" t="str">
        <f t="shared" si="485"/>
        <v>QUICK_10962_Gudbrandsdalsost</v>
      </c>
      <c r="Q1853" t="str">
        <f t="shared" si="486"/>
        <v>10962</v>
      </c>
      <c r="R1853" t="str">
        <f t="shared" si="487"/>
        <v>10962</v>
      </c>
      <c r="S1853" t="str">
        <f t="shared" si="488"/>
        <v>Gudbrandsdalsost</v>
      </c>
      <c r="T1853">
        <v>36</v>
      </c>
      <c r="U1853">
        <v>9</v>
      </c>
      <c r="V1853">
        <v>0</v>
      </c>
      <c r="W1853">
        <f t="shared" si="489"/>
        <v>324</v>
      </c>
      <c r="X1853" t="str">
        <f t="shared" si="490"/>
        <v>yes</v>
      </c>
      <c r="Y1853" s="2">
        <v>35173</v>
      </c>
      <c r="Z1853" t="str">
        <f t="shared" si="493"/>
        <v/>
      </c>
      <c r="AA1853" t="str">
        <f t="shared" si="491"/>
        <v>2nd Q 1996</v>
      </c>
      <c r="AB1853" t="str" cm="1">
        <f t="array" ref="AB1853">_xlfn.IFS(Y1853&lt;DATE(1996,1,1),"",Y1853&lt;DATE(1996,4,1),"Q1",Y1853&lt;DATE(1996,7,1),"Q2",Y1853&gt;=DATE(1996,7,1),"")</f>
        <v>Q2</v>
      </c>
    </row>
    <row r="1854" spans="1:28" ht="14.4" x14ac:dyDescent="0.55000000000000004">
      <c r="A1854" t="str">
        <f>VLOOKUP(L1854,Customers!$A$2:$B$92,2,FALSE)</f>
        <v>QUICK-Stop</v>
      </c>
      <c r="B1854" t="str">
        <f>VLOOKUP(L1854,Customers!$A$2:$C$92,3,TRUE)</f>
        <v>Horst Kloss</v>
      </c>
      <c r="C1854" t="str">
        <f t="shared" si="477"/>
        <v>Horst</v>
      </c>
      <c r="D1854" s="8" t="str">
        <f t="shared" si="478"/>
        <v>Kloss</v>
      </c>
      <c r="E1854" s="8" t="str">
        <f t="shared" si="479"/>
        <v>Kloss, Horst</v>
      </c>
      <c r="F1854" s="8" t="str">
        <f t="shared" si="480"/>
        <v>Kloss, Horst</v>
      </c>
      <c r="G1854" s="8" t="str">
        <f t="shared" si="481"/>
        <v>not an outlier</v>
      </c>
      <c r="H1854" s="8" t="str">
        <f t="shared" si="482"/>
        <v>Not</v>
      </c>
      <c r="I1854" s="8" t="str">
        <f t="shared" si="492"/>
        <v>no</v>
      </c>
      <c r="J1854" s="10" t="str">
        <f t="shared" si="483"/>
        <v>no</v>
      </c>
      <c r="K1854" s="10" t="str">
        <f t="shared" si="484"/>
        <v>no</v>
      </c>
      <c r="L1854" t="s">
        <v>475</v>
      </c>
      <c r="M1854">
        <v>10962</v>
      </c>
      <c r="N1854">
        <v>76</v>
      </c>
      <c r="O1854" t="s">
        <v>721</v>
      </c>
      <c r="P1854" t="str">
        <f t="shared" si="485"/>
        <v>QUICK_10962_Lakkalikööri</v>
      </c>
      <c r="Q1854" t="str">
        <f t="shared" si="486"/>
        <v>10962</v>
      </c>
      <c r="R1854" t="str">
        <f t="shared" si="487"/>
        <v>10962</v>
      </c>
      <c r="S1854" t="str">
        <f t="shared" si="488"/>
        <v>Lakkalikööri</v>
      </c>
      <c r="T1854">
        <v>18</v>
      </c>
      <c r="U1854">
        <v>44</v>
      </c>
      <c r="V1854">
        <v>0</v>
      </c>
      <c r="W1854">
        <f t="shared" si="489"/>
        <v>792</v>
      </c>
      <c r="X1854" t="str">
        <f t="shared" si="490"/>
        <v>yes</v>
      </c>
      <c r="Y1854" s="2">
        <v>35173</v>
      </c>
      <c r="Z1854" t="str">
        <f t="shared" si="493"/>
        <v/>
      </c>
      <c r="AA1854" t="str">
        <f t="shared" si="491"/>
        <v>2nd Q 1996</v>
      </c>
      <c r="AB1854" t="str" cm="1">
        <f t="array" ref="AB1854">_xlfn.IFS(Y1854&lt;DATE(1996,1,1),"",Y1854&lt;DATE(1996,4,1),"Q1",Y1854&lt;DATE(1996,7,1),"Q2",Y1854&gt;=DATE(1996,7,1),"")</f>
        <v>Q2</v>
      </c>
    </row>
    <row r="1855" spans="1:28" ht="14.4" x14ac:dyDescent="0.55000000000000004">
      <c r="A1855" t="str">
        <f>VLOOKUP(L1855,Customers!$A$2:$B$92,2,FALSE)</f>
        <v>Furia Bacalhau e Frutos do Mar</v>
      </c>
      <c r="B1855" t="str">
        <f>VLOOKUP(L1855,Customers!$A$2:$C$92,3,TRUE)</f>
        <v>Lino Rodriguez</v>
      </c>
      <c r="C1855" t="str">
        <f t="shared" si="477"/>
        <v>Lino</v>
      </c>
      <c r="D1855" s="8" t="str">
        <f t="shared" si="478"/>
        <v>Rodriguez</v>
      </c>
      <c r="E1855" s="8" t="str">
        <f t="shared" si="479"/>
        <v>Rodriguez, Lino</v>
      </c>
      <c r="F1855" s="8" t="str">
        <f t="shared" si="480"/>
        <v>Rodriguez, Lino</v>
      </c>
      <c r="G1855" s="8" t="str">
        <f t="shared" si="481"/>
        <v>not an outlier</v>
      </c>
      <c r="H1855" s="8" t="str">
        <f t="shared" si="482"/>
        <v>Not</v>
      </c>
      <c r="I1855" s="8" t="str">
        <f t="shared" si="492"/>
        <v>no</v>
      </c>
      <c r="J1855" s="10" t="str">
        <f t="shared" si="483"/>
        <v>no</v>
      </c>
      <c r="K1855" s="10" t="str">
        <f t="shared" si="484"/>
        <v>no</v>
      </c>
      <c r="L1855" t="s">
        <v>219</v>
      </c>
      <c r="M1855">
        <v>10963</v>
      </c>
      <c r="N1855">
        <v>60</v>
      </c>
      <c r="O1855" t="s">
        <v>694</v>
      </c>
      <c r="P1855" t="str">
        <f t="shared" si="485"/>
        <v>FURIB_10963_Camembert Pierrot</v>
      </c>
      <c r="Q1855" t="str">
        <f t="shared" si="486"/>
        <v>10963</v>
      </c>
      <c r="R1855" t="str">
        <f t="shared" si="487"/>
        <v>10963</v>
      </c>
      <c r="S1855" t="str">
        <f t="shared" si="488"/>
        <v>Camembert Pierrot</v>
      </c>
      <c r="T1855">
        <v>34</v>
      </c>
      <c r="U1855">
        <v>2</v>
      </c>
      <c r="V1855">
        <v>0.15</v>
      </c>
      <c r="W1855">
        <f t="shared" si="489"/>
        <v>57.8</v>
      </c>
      <c r="X1855" t="str">
        <f t="shared" si="490"/>
        <v>yes</v>
      </c>
      <c r="Y1855" s="2">
        <v>35173</v>
      </c>
      <c r="Z1855" t="str">
        <f t="shared" si="493"/>
        <v/>
      </c>
      <c r="AA1855" t="str">
        <f t="shared" si="491"/>
        <v>2nd Q 1996</v>
      </c>
      <c r="AB1855" t="str" cm="1">
        <f t="array" ref="AB1855">_xlfn.IFS(Y1855&lt;DATE(1996,1,1),"",Y1855&lt;DATE(1996,4,1),"Q1",Y1855&lt;DATE(1996,7,1),"Q2",Y1855&gt;=DATE(1996,7,1),"")</f>
        <v>Q2</v>
      </c>
    </row>
    <row r="1856" spans="1:28" ht="14.4" x14ac:dyDescent="0.55000000000000004">
      <c r="A1856" t="str">
        <f>VLOOKUP(L1856,Customers!$A$2:$B$92,2,FALSE)</f>
        <v>Spécialités du monde</v>
      </c>
      <c r="B1856" t="str">
        <f>VLOOKUP(L1856,Customers!$A$2:$C$92,3,TRUE)</f>
        <v>Dominique Perrier</v>
      </c>
      <c r="C1856" t="str">
        <f t="shared" si="477"/>
        <v>Dominique</v>
      </c>
      <c r="D1856" s="8" t="str">
        <f t="shared" si="478"/>
        <v>Perrier</v>
      </c>
      <c r="E1856" s="8" t="str">
        <f t="shared" si="479"/>
        <v>Perrier, Dominique</v>
      </c>
      <c r="F1856" s="8" t="str">
        <f t="shared" si="480"/>
        <v>Perrier, Dominique</v>
      </c>
      <c r="G1856" s="8" t="str">
        <f t="shared" si="481"/>
        <v>not an outlier</v>
      </c>
      <c r="H1856" s="8" t="str">
        <f t="shared" si="482"/>
        <v>Not</v>
      </c>
      <c r="I1856" s="8" t="str">
        <f t="shared" si="492"/>
        <v>no</v>
      </c>
      <c r="J1856" s="10" t="str">
        <f t="shared" si="483"/>
        <v>no</v>
      </c>
      <c r="K1856" s="10" t="str">
        <f t="shared" si="484"/>
        <v>no</v>
      </c>
      <c r="L1856" t="s">
        <v>551</v>
      </c>
      <c r="M1856">
        <v>10964</v>
      </c>
      <c r="N1856">
        <v>18</v>
      </c>
      <c r="O1856" t="s">
        <v>742</v>
      </c>
      <c r="P1856" t="str">
        <f t="shared" si="485"/>
        <v>SPECD_10964_Carnarvon Tigers</v>
      </c>
      <c r="Q1856" t="str">
        <f t="shared" si="486"/>
        <v>10964</v>
      </c>
      <c r="R1856" t="str">
        <f t="shared" si="487"/>
        <v>10964</v>
      </c>
      <c r="S1856" t="str">
        <f t="shared" si="488"/>
        <v>Carnarvon Tigers</v>
      </c>
      <c r="T1856">
        <v>62.5</v>
      </c>
      <c r="U1856">
        <v>6</v>
      </c>
      <c r="V1856">
        <v>0</v>
      </c>
      <c r="W1856">
        <f t="shared" si="489"/>
        <v>375</v>
      </c>
      <c r="X1856" t="str">
        <f t="shared" si="490"/>
        <v>yes</v>
      </c>
      <c r="Y1856" s="2">
        <v>35174</v>
      </c>
      <c r="Z1856" t="str">
        <f t="shared" si="493"/>
        <v/>
      </c>
      <c r="AA1856" t="str">
        <f t="shared" si="491"/>
        <v>2nd Q 1996</v>
      </c>
      <c r="AB1856" t="str" cm="1">
        <f t="array" ref="AB1856">_xlfn.IFS(Y1856&lt;DATE(1996,1,1),"",Y1856&lt;DATE(1996,4,1),"Q1",Y1856&lt;DATE(1996,7,1),"Q2",Y1856&gt;=DATE(1996,7,1),"")</f>
        <v>Q2</v>
      </c>
    </row>
    <row r="1857" spans="1:28" ht="14.4" x14ac:dyDescent="0.55000000000000004">
      <c r="A1857" t="str">
        <f>VLOOKUP(L1857,Customers!$A$2:$B$92,2,FALSE)</f>
        <v>Spécialités du monde</v>
      </c>
      <c r="B1857" t="str">
        <f>VLOOKUP(L1857,Customers!$A$2:$C$92,3,TRUE)</f>
        <v>Dominique Perrier</v>
      </c>
      <c r="C1857" t="str">
        <f t="shared" si="477"/>
        <v>Dominique</v>
      </c>
      <c r="D1857" s="8" t="str">
        <f t="shared" si="478"/>
        <v>Perrier</v>
      </c>
      <c r="E1857" s="8" t="str">
        <f t="shared" si="479"/>
        <v>Perrier, Dominique</v>
      </c>
      <c r="F1857" s="8" t="str">
        <f t="shared" si="480"/>
        <v>Perrier, Dominique</v>
      </c>
      <c r="G1857" s="8" t="str">
        <f t="shared" si="481"/>
        <v>not an outlier</v>
      </c>
      <c r="H1857" s="8" t="str">
        <f t="shared" si="482"/>
        <v>Not</v>
      </c>
      <c r="I1857" s="8" t="str">
        <f t="shared" si="492"/>
        <v>no</v>
      </c>
      <c r="J1857" s="10" t="str">
        <f t="shared" si="483"/>
        <v>no</v>
      </c>
      <c r="K1857" s="10" t="str">
        <f t="shared" si="484"/>
        <v>no</v>
      </c>
      <c r="L1857" t="s">
        <v>551</v>
      </c>
      <c r="M1857">
        <v>10964</v>
      </c>
      <c r="N1857">
        <v>38</v>
      </c>
      <c r="O1857" t="s">
        <v>750</v>
      </c>
      <c r="P1857" t="str">
        <f t="shared" si="485"/>
        <v>SPECD_10964_Côte de Blaye</v>
      </c>
      <c r="Q1857" t="str">
        <f t="shared" si="486"/>
        <v>10964</v>
      </c>
      <c r="R1857" t="str">
        <f t="shared" si="487"/>
        <v>10964</v>
      </c>
      <c r="S1857" t="str">
        <f t="shared" si="488"/>
        <v>Côte de Blaye</v>
      </c>
      <c r="T1857">
        <v>263.5</v>
      </c>
      <c r="U1857">
        <v>5</v>
      </c>
      <c r="V1857">
        <v>0</v>
      </c>
      <c r="W1857">
        <f t="shared" si="489"/>
        <v>1317.5</v>
      </c>
      <c r="X1857" t="str">
        <f t="shared" si="490"/>
        <v>yes</v>
      </c>
      <c r="Y1857" s="2">
        <v>35174</v>
      </c>
      <c r="Z1857" t="str">
        <f t="shared" si="493"/>
        <v/>
      </c>
      <c r="AA1857" t="str">
        <f t="shared" si="491"/>
        <v>2nd Q 1996</v>
      </c>
      <c r="AB1857" t="str" cm="1">
        <f t="array" ref="AB1857">_xlfn.IFS(Y1857&lt;DATE(1996,1,1),"",Y1857&lt;DATE(1996,4,1),"Q1",Y1857&lt;DATE(1996,7,1),"Q2",Y1857&gt;=DATE(1996,7,1),"")</f>
        <v>Q2</v>
      </c>
    </row>
    <row r="1858" spans="1:28" ht="14.4" x14ac:dyDescent="0.55000000000000004">
      <c r="A1858" t="str">
        <f>VLOOKUP(L1858,Customers!$A$2:$B$92,2,FALSE)</f>
        <v>Spécialités du monde</v>
      </c>
      <c r="B1858" t="str">
        <f>VLOOKUP(L1858,Customers!$A$2:$C$92,3,TRUE)</f>
        <v>Dominique Perrier</v>
      </c>
      <c r="C1858" t="str">
        <f t="shared" si="477"/>
        <v>Dominique</v>
      </c>
      <c r="D1858" s="8" t="str">
        <f t="shared" si="478"/>
        <v>Perrier</v>
      </c>
      <c r="E1858" s="8" t="str">
        <f t="shared" si="479"/>
        <v>Perrier, Dominique</v>
      </c>
      <c r="F1858" s="8" t="str">
        <f t="shared" si="480"/>
        <v>Perrier, Dominique</v>
      </c>
      <c r="G1858" s="8" t="str">
        <f t="shared" si="481"/>
        <v>not an outlier</v>
      </c>
      <c r="H1858" s="8" t="str">
        <f t="shared" si="482"/>
        <v>Not</v>
      </c>
      <c r="I1858" s="8" t="str">
        <f t="shared" si="492"/>
        <v>no</v>
      </c>
      <c r="J1858" s="10" t="str">
        <f t="shared" si="483"/>
        <v>no</v>
      </c>
      <c r="K1858" s="10" t="str">
        <f t="shared" si="484"/>
        <v>no</v>
      </c>
      <c r="L1858" t="s">
        <v>551</v>
      </c>
      <c r="M1858">
        <v>10964</v>
      </c>
      <c r="N1858">
        <v>69</v>
      </c>
      <c r="O1858" t="s">
        <v>743</v>
      </c>
      <c r="P1858" t="str">
        <f t="shared" si="485"/>
        <v>SPECD_10964_Gudbrandsdalsost</v>
      </c>
      <c r="Q1858" t="str">
        <f t="shared" si="486"/>
        <v>10964</v>
      </c>
      <c r="R1858" t="str">
        <f t="shared" si="487"/>
        <v>10964</v>
      </c>
      <c r="S1858" t="str">
        <f t="shared" si="488"/>
        <v>Gudbrandsdalsost</v>
      </c>
      <c r="T1858">
        <v>36</v>
      </c>
      <c r="U1858">
        <v>10</v>
      </c>
      <c r="V1858">
        <v>0</v>
      </c>
      <c r="W1858">
        <f t="shared" si="489"/>
        <v>360</v>
      </c>
      <c r="X1858" t="str">
        <f t="shared" si="490"/>
        <v>yes</v>
      </c>
      <c r="Y1858" s="2">
        <v>35174</v>
      </c>
      <c r="Z1858" t="str">
        <f t="shared" si="493"/>
        <v/>
      </c>
      <c r="AA1858" t="str">
        <f t="shared" si="491"/>
        <v>2nd Q 1996</v>
      </c>
      <c r="AB1858" t="str" cm="1">
        <f t="array" ref="AB1858">_xlfn.IFS(Y1858&lt;DATE(1996,1,1),"",Y1858&lt;DATE(1996,4,1),"Q1",Y1858&lt;DATE(1996,7,1),"Q2",Y1858&gt;=DATE(1996,7,1),"")</f>
        <v>Q2</v>
      </c>
    </row>
    <row r="1859" spans="1:28" ht="14.4" x14ac:dyDescent="0.55000000000000004">
      <c r="A1859" t="str">
        <f>VLOOKUP(L1859,Customers!$A$2:$B$92,2,FALSE)</f>
        <v>Old World Delicatessen</v>
      </c>
      <c r="B1859" t="str">
        <f>VLOOKUP(L1859,Customers!$A$2:$C$92,3,TRUE)</f>
        <v>Rene Phillips</v>
      </c>
      <c r="C1859" t="str">
        <f t="shared" ref="C1859:C1922" si="494">LEFT(B1859,FIND(" ",B1859)-1)</f>
        <v>Rene</v>
      </c>
      <c r="D1859" s="8" t="str">
        <f t="shared" ref="D1859:D1922" si="495">RIGHT(B1859,LEN(B1859)-FIND(" ",B1859))</f>
        <v>Phillips</v>
      </c>
      <c r="E1859" s="8" t="str">
        <f t="shared" ref="E1859:E1922" si="496">_xlfn.CONCAT(D1859,", ",C1859)</f>
        <v>Phillips, Rene</v>
      </c>
      <c r="F1859" s="8" t="str">
        <f t="shared" ref="F1859:F1922" si="497">D1859&amp;", "&amp;C1859</f>
        <v>Phillips, Rene</v>
      </c>
      <c r="G1859" s="8" t="str">
        <f t="shared" ref="G1859:G1922" si="498">IF(OR(W1859&gt;$W$2166,W1859&lt;$W$2167),"outlier","not an outlier")</f>
        <v>not an outlier</v>
      </c>
      <c r="H1859" s="8" t="str">
        <f t="shared" ref="H1859:H1922" si="499">IF(OR(W1859&gt;$W$2166,W1859&lt;$W$2167),"outlier",IF(OR(W1859&gt;$W$2168,W1859&lt;$W$2169),"moderate","Not"))</f>
        <v>Not</v>
      </c>
      <c r="I1859" s="8" t="str">
        <f t="shared" si="492"/>
        <v>no</v>
      </c>
      <c r="J1859" s="10" t="str">
        <f t="shared" ref="J1859:J1922" si="500">IF(AND(W1859&lt;=$W$2166,W1859&gt;=$W$2167),"no","yes")</f>
        <v>no</v>
      </c>
      <c r="K1859" s="10" t="str">
        <f t="shared" ref="K1859:K1922" si="501">IF(OR(W1859&gt;$W$2166,W1859&lt;$W$2167),"yes",IF(OR(W1859&gt;$W$2168,W1859&lt;$W$2169),"moderate","no"))</f>
        <v>no</v>
      </c>
      <c r="L1859" t="s">
        <v>422</v>
      </c>
      <c r="M1859">
        <v>10965</v>
      </c>
      <c r="N1859">
        <v>51</v>
      </c>
      <c r="O1859" t="s">
        <v>687</v>
      </c>
      <c r="P1859" t="str">
        <f t="shared" ref="P1859:P1922" si="502">L1859&amp;"_"&amp;M1859&amp;"_"&amp;O1859</f>
        <v>OLDWO_10965_Manjimup Dried Apples</v>
      </c>
      <c r="Q1859" t="str">
        <f t="shared" ref="Q1859:Q1922" si="503">LEFT(RIGHT(P1859,LEN(P1859)-FIND("_",P1859)), FIND("_",P1859)-1)</f>
        <v>10965</v>
      </c>
      <c r="R1859" t="str">
        <f t="shared" ref="R1859:R1922" si="504">MID(P1859,FIND("_",P1859)+1,FIND("_",P1859,FIND("_",P1859))-1)</f>
        <v>10965</v>
      </c>
      <c r="S1859" t="str">
        <f t="shared" ref="S1859:S1922" si="505">MID(P1859,FIND("_",P1859,FIND("_",P1859)+1)+1,LEN(P1859))</f>
        <v>Manjimup Dried Apples</v>
      </c>
      <c r="T1859">
        <v>53</v>
      </c>
      <c r="U1859">
        <v>16</v>
      </c>
      <c r="V1859">
        <v>0</v>
      </c>
      <c r="W1859">
        <f t="shared" ref="W1859:W1922" si="506">T1859*U1859*(1-V1859)</f>
        <v>848</v>
      </c>
      <c r="X1859" t="str">
        <f t="shared" ref="X1859:X1922" si="507">IF(YEAR(Y1859)&gt;=1996,"yes","No")</f>
        <v>yes</v>
      </c>
      <c r="Y1859" s="2">
        <v>35174</v>
      </c>
      <c r="Z1859" t="str">
        <f t="shared" si="493"/>
        <v/>
      </c>
      <c r="AA1859" t="str">
        <f t="shared" ref="AA1859:AA1922" si="508">IF(Y1859&lt;DATE(1996,1,1),"", IF(Y1859&lt;DATE(1996,4,1),"1st Q 1996",IF(Y1859&lt;DATE(1996,7,1),"2nd Q 1996","")))</f>
        <v>2nd Q 1996</v>
      </c>
      <c r="AB1859" t="str" cm="1">
        <f t="array" ref="AB1859">_xlfn.IFS(Y1859&lt;DATE(1996,1,1),"",Y1859&lt;DATE(1996,4,1),"Q1",Y1859&lt;DATE(1996,7,1),"Q2",Y1859&gt;=DATE(1996,7,1),"")</f>
        <v>Q2</v>
      </c>
    </row>
    <row r="1860" spans="1:28" ht="14.4" x14ac:dyDescent="0.55000000000000004">
      <c r="A1860" t="str">
        <f>VLOOKUP(L1860,Customers!$A$2:$B$92,2,FALSE)</f>
        <v>Chop-suey Chinese</v>
      </c>
      <c r="B1860" t="str">
        <f>VLOOKUP(L1860,Customers!$A$2:$C$92,3,TRUE)</f>
        <v>Yang Wang</v>
      </c>
      <c r="C1860" t="str">
        <f t="shared" si="494"/>
        <v>Yang</v>
      </c>
      <c r="D1860" s="8" t="str">
        <f t="shared" si="495"/>
        <v>Wang</v>
      </c>
      <c r="E1860" s="8" t="str">
        <f t="shared" si="496"/>
        <v>Wang, Yang</v>
      </c>
      <c r="F1860" s="8" t="str">
        <f t="shared" si="497"/>
        <v>Wang, Yang</v>
      </c>
      <c r="G1860" s="8" t="str">
        <f t="shared" si="498"/>
        <v>not an outlier</v>
      </c>
      <c r="H1860" s="8" t="str">
        <f t="shared" si="499"/>
        <v>Not</v>
      </c>
      <c r="I1860" s="8" t="str">
        <f t="shared" ref="I1860:I1923" si="509">IF(OR(W1860&gt;$W$2166,W1860&lt;$W$2167),"yes","no")</f>
        <v>no</v>
      </c>
      <c r="J1860" s="10" t="str">
        <f t="shared" si="500"/>
        <v>no</v>
      </c>
      <c r="K1860" s="10" t="str">
        <f t="shared" si="501"/>
        <v>no</v>
      </c>
      <c r="L1860" t="s">
        <v>116</v>
      </c>
      <c r="M1860">
        <v>10966</v>
      </c>
      <c r="N1860">
        <v>37</v>
      </c>
      <c r="O1860" t="s">
        <v>711</v>
      </c>
      <c r="P1860" t="str">
        <f t="shared" si="502"/>
        <v>CHOPS_10966_Gravad lax</v>
      </c>
      <c r="Q1860" t="str">
        <f t="shared" si="503"/>
        <v>10966</v>
      </c>
      <c r="R1860" t="str">
        <f t="shared" si="504"/>
        <v>10966</v>
      </c>
      <c r="S1860" t="str">
        <f t="shared" si="505"/>
        <v>Gravad lax</v>
      </c>
      <c r="T1860">
        <v>26</v>
      </c>
      <c r="U1860">
        <v>8</v>
      </c>
      <c r="V1860">
        <v>0</v>
      </c>
      <c r="W1860">
        <f t="shared" si="506"/>
        <v>208</v>
      </c>
      <c r="X1860" t="str">
        <f t="shared" si="507"/>
        <v>yes</v>
      </c>
      <c r="Y1860" s="2">
        <v>35174</v>
      </c>
      <c r="Z1860" t="str">
        <f t="shared" si="493"/>
        <v/>
      </c>
      <c r="AA1860" t="str">
        <f t="shared" si="508"/>
        <v>2nd Q 1996</v>
      </c>
      <c r="AB1860" t="str" cm="1">
        <f t="array" ref="AB1860">_xlfn.IFS(Y1860&lt;DATE(1996,1,1),"",Y1860&lt;DATE(1996,4,1),"Q1",Y1860&lt;DATE(1996,7,1),"Q2",Y1860&gt;=DATE(1996,7,1),"")</f>
        <v>Q2</v>
      </c>
    </row>
    <row r="1861" spans="1:28" ht="14.4" x14ac:dyDescent="0.55000000000000004">
      <c r="A1861" t="str">
        <f>VLOOKUP(L1861,Customers!$A$2:$B$92,2,FALSE)</f>
        <v>Chop-suey Chinese</v>
      </c>
      <c r="B1861" t="str">
        <f>VLOOKUP(L1861,Customers!$A$2:$C$92,3,TRUE)</f>
        <v>Yang Wang</v>
      </c>
      <c r="C1861" t="str">
        <f t="shared" si="494"/>
        <v>Yang</v>
      </c>
      <c r="D1861" s="8" t="str">
        <f t="shared" si="495"/>
        <v>Wang</v>
      </c>
      <c r="E1861" s="8" t="str">
        <f t="shared" si="496"/>
        <v>Wang, Yang</v>
      </c>
      <c r="F1861" s="8" t="str">
        <f t="shared" si="497"/>
        <v>Wang, Yang</v>
      </c>
      <c r="G1861" s="8" t="str">
        <f t="shared" si="498"/>
        <v>not an outlier</v>
      </c>
      <c r="H1861" s="8" t="str">
        <f t="shared" si="499"/>
        <v>Not</v>
      </c>
      <c r="I1861" s="8" t="str">
        <f t="shared" si="509"/>
        <v>no</v>
      </c>
      <c r="J1861" s="10" t="str">
        <f t="shared" si="500"/>
        <v>no</v>
      </c>
      <c r="K1861" s="10" t="str">
        <f t="shared" si="501"/>
        <v>no</v>
      </c>
      <c r="L1861" t="s">
        <v>116</v>
      </c>
      <c r="M1861">
        <v>10966</v>
      </c>
      <c r="N1861">
        <v>56</v>
      </c>
      <c r="O1861" t="s">
        <v>716</v>
      </c>
      <c r="P1861" t="str">
        <f t="shared" si="502"/>
        <v>CHOPS_10966_Gnocchi di nonna Alice</v>
      </c>
      <c r="Q1861" t="str">
        <f t="shared" si="503"/>
        <v>10966</v>
      </c>
      <c r="R1861" t="str">
        <f t="shared" si="504"/>
        <v>10966</v>
      </c>
      <c r="S1861" t="str">
        <f t="shared" si="505"/>
        <v>Gnocchi di nonna Alice</v>
      </c>
      <c r="T1861">
        <v>38</v>
      </c>
      <c r="U1861">
        <v>12</v>
      </c>
      <c r="V1861">
        <v>0.15</v>
      </c>
      <c r="W1861">
        <f t="shared" si="506"/>
        <v>387.59999999999997</v>
      </c>
      <c r="X1861" t="str">
        <f t="shared" si="507"/>
        <v>yes</v>
      </c>
      <c r="Y1861" s="2">
        <v>35174</v>
      </c>
      <c r="Z1861" t="str">
        <f t="shared" si="493"/>
        <v/>
      </c>
      <c r="AA1861" t="str">
        <f t="shared" si="508"/>
        <v>2nd Q 1996</v>
      </c>
      <c r="AB1861" t="str" cm="1">
        <f t="array" ref="AB1861">_xlfn.IFS(Y1861&lt;DATE(1996,1,1),"",Y1861&lt;DATE(1996,4,1),"Q1",Y1861&lt;DATE(1996,7,1),"Q2",Y1861&gt;=DATE(1996,7,1),"")</f>
        <v>Q2</v>
      </c>
    </row>
    <row r="1862" spans="1:28" ht="14.4" x14ac:dyDescent="0.55000000000000004">
      <c r="A1862" t="str">
        <f>VLOOKUP(L1862,Customers!$A$2:$B$92,2,FALSE)</f>
        <v>Chop-suey Chinese</v>
      </c>
      <c r="B1862" t="str">
        <f>VLOOKUP(L1862,Customers!$A$2:$C$92,3,TRUE)</f>
        <v>Yang Wang</v>
      </c>
      <c r="C1862" t="str">
        <f t="shared" si="494"/>
        <v>Yang</v>
      </c>
      <c r="D1862" s="8" t="str">
        <f t="shared" si="495"/>
        <v>Wang</v>
      </c>
      <c r="E1862" s="8" t="str">
        <f t="shared" si="496"/>
        <v>Wang, Yang</v>
      </c>
      <c r="F1862" s="8" t="str">
        <f t="shared" si="497"/>
        <v>Wang, Yang</v>
      </c>
      <c r="G1862" s="8" t="str">
        <f t="shared" si="498"/>
        <v>not an outlier</v>
      </c>
      <c r="H1862" s="8" t="str">
        <f t="shared" si="499"/>
        <v>Not</v>
      </c>
      <c r="I1862" s="8" t="str">
        <f t="shared" si="509"/>
        <v>no</v>
      </c>
      <c r="J1862" s="10" t="str">
        <f t="shared" si="500"/>
        <v>no</v>
      </c>
      <c r="K1862" s="10" t="str">
        <f t="shared" si="501"/>
        <v>no</v>
      </c>
      <c r="L1862" t="s">
        <v>116</v>
      </c>
      <c r="M1862">
        <v>10966</v>
      </c>
      <c r="N1862">
        <v>62</v>
      </c>
      <c r="O1862" t="s">
        <v>712</v>
      </c>
      <c r="P1862" t="str">
        <f t="shared" si="502"/>
        <v>CHOPS_10966_Tarte au sucre</v>
      </c>
      <c r="Q1862" t="str">
        <f t="shared" si="503"/>
        <v>10966</v>
      </c>
      <c r="R1862" t="str">
        <f t="shared" si="504"/>
        <v>10966</v>
      </c>
      <c r="S1862" t="str">
        <f t="shared" si="505"/>
        <v>Tarte au sucre</v>
      </c>
      <c r="T1862">
        <v>49.3</v>
      </c>
      <c r="U1862">
        <v>12</v>
      </c>
      <c r="V1862">
        <v>0.15</v>
      </c>
      <c r="W1862">
        <f t="shared" si="506"/>
        <v>502.8599999999999</v>
      </c>
      <c r="X1862" t="str">
        <f t="shared" si="507"/>
        <v>yes</v>
      </c>
      <c r="Y1862" s="2">
        <v>35174</v>
      </c>
      <c r="Z1862" t="str">
        <f t="shared" si="493"/>
        <v/>
      </c>
      <c r="AA1862" t="str">
        <f t="shared" si="508"/>
        <v>2nd Q 1996</v>
      </c>
      <c r="AB1862" t="str" cm="1">
        <f t="array" ref="AB1862">_xlfn.IFS(Y1862&lt;DATE(1996,1,1),"",Y1862&lt;DATE(1996,4,1),"Q1",Y1862&lt;DATE(1996,7,1),"Q2",Y1862&gt;=DATE(1996,7,1),"")</f>
        <v>Q2</v>
      </c>
    </row>
    <row r="1863" spans="1:28" ht="14.4" x14ac:dyDescent="0.55000000000000004">
      <c r="A1863" t="str">
        <f>VLOOKUP(L1863,Customers!$A$2:$B$92,2,FALSE)</f>
        <v>Toms Spezialitäten</v>
      </c>
      <c r="B1863" t="str">
        <f>VLOOKUP(L1863,Customers!$A$2:$C$92,3,TRUE)</f>
        <v>Karin Josephs</v>
      </c>
      <c r="C1863" t="str">
        <f t="shared" si="494"/>
        <v>Karin</v>
      </c>
      <c r="D1863" s="8" t="str">
        <f t="shared" si="495"/>
        <v>Josephs</v>
      </c>
      <c r="E1863" s="8" t="str">
        <f t="shared" si="496"/>
        <v>Josephs, Karin</v>
      </c>
      <c r="F1863" s="8" t="str">
        <f t="shared" si="497"/>
        <v>Josephs, Karin</v>
      </c>
      <c r="G1863" s="8" t="str">
        <f t="shared" si="498"/>
        <v>not an outlier</v>
      </c>
      <c r="H1863" s="8" t="str">
        <f t="shared" si="499"/>
        <v>Not</v>
      </c>
      <c r="I1863" s="8" t="str">
        <f t="shared" si="509"/>
        <v>no</v>
      </c>
      <c r="J1863" s="10" t="str">
        <f t="shared" si="500"/>
        <v>no</v>
      </c>
      <c r="K1863" s="10" t="str">
        <f t="shared" si="501"/>
        <v>no</v>
      </c>
      <c r="L1863" t="s">
        <v>586</v>
      </c>
      <c r="M1863">
        <v>10967</v>
      </c>
      <c r="N1863">
        <v>19</v>
      </c>
      <c r="O1863" t="s">
        <v>732</v>
      </c>
      <c r="P1863" t="str">
        <f t="shared" si="502"/>
        <v>TOMSP_10967_Teatime Chocolate Biscuits</v>
      </c>
      <c r="Q1863" t="str">
        <f t="shared" si="503"/>
        <v>10967</v>
      </c>
      <c r="R1863" t="str">
        <f t="shared" si="504"/>
        <v>10967</v>
      </c>
      <c r="S1863" t="str">
        <f t="shared" si="505"/>
        <v>Teatime Chocolate Biscuits</v>
      </c>
      <c r="T1863">
        <v>9.1999999999999993</v>
      </c>
      <c r="U1863">
        <v>12</v>
      </c>
      <c r="V1863">
        <v>0</v>
      </c>
      <c r="W1863">
        <f t="shared" si="506"/>
        <v>110.39999999999999</v>
      </c>
      <c r="X1863" t="str">
        <f t="shared" si="507"/>
        <v>yes</v>
      </c>
      <c r="Y1863" s="2">
        <v>35177</v>
      </c>
      <c r="Z1863" t="str">
        <f t="shared" si="493"/>
        <v/>
      </c>
      <c r="AA1863" t="str">
        <f t="shared" si="508"/>
        <v>2nd Q 1996</v>
      </c>
      <c r="AB1863" t="str" cm="1">
        <f t="array" ref="AB1863">_xlfn.IFS(Y1863&lt;DATE(1996,1,1),"",Y1863&lt;DATE(1996,4,1),"Q1",Y1863&lt;DATE(1996,7,1),"Q2",Y1863&gt;=DATE(1996,7,1),"")</f>
        <v>Q2</v>
      </c>
    </row>
    <row r="1864" spans="1:28" ht="14.4" x14ac:dyDescent="0.55000000000000004">
      <c r="A1864" t="str">
        <f>VLOOKUP(L1864,Customers!$A$2:$B$92,2,FALSE)</f>
        <v>Toms Spezialitäten</v>
      </c>
      <c r="B1864" t="str">
        <f>VLOOKUP(L1864,Customers!$A$2:$C$92,3,TRUE)</f>
        <v>Karin Josephs</v>
      </c>
      <c r="C1864" t="str">
        <f t="shared" si="494"/>
        <v>Karin</v>
      </c>
      <c r="D1864" s="8" t="str">
        <f t="shared" si="495"/>
        <v>Josephs</v>
      </c>
      <c r="E1864" s="8" t="str">
        <f t="shared" si="496"/>
        <v>Josephs, Karin</v>
      </c>
      <c r="F1864" s="8" t="str">
        <f t="shared" si="497"/>
        <v>Josephs, Karin</v>
      </c>
      <c r="G1864" s="8" t="str">
        <f t="shared" si="498"/>
        <v>not an outlier</v>
      </c>
      <c r="H1864" s="8" t="str">
        <f t="shared" si="499"/>
        <v>Not</v>
      </c>
      <c r="I1864" s="8" t="str">
        <f t="shared" si="509"/>
        <v>no</v>
      </c>
      <c r="J1864" s="10" t="str">
        <f t="shared" si="500"/>
        <v>no</v>
      </c>
      <c r="K1864" s="10" t="str">
        <f t="shared" si="501"/>
        <v>no</v>
      </c>
      <c r="L1864" t="s">
        <v>586</v>
      </c>
      <c r="M1864">
        <v>10967</v>
      </c>
      <c r="N1864">
        <v>49</v>
      </c>
      <c r="O1864" t="s">
        <v>697</v>
      </c>
      <c r="P1864" t="str">
        <f t="shared" si="502"/>
        <v>TOMSP_10967_Maxilaku</v>
      </c>
      <c r="Q1864" t="str">
        <f t="shared" si="503"/>
        <v>10967</v>
      </c>
      <c r="R1864" t="str">
        <f t="shared" si="504"/>
        <v>10967</v>
      </c>
      <c r="S1864" t="str">
        <f t="shared" si="505"/>
        <v>Maxilaku</v>
      </c>
      <c r="T1864">
        <v>20</v>
      </c>
      <c r="U1864">
        <v>40</v>
      </c>
      <c r="V1864">
        <v>0</v>
      </c>
      <c r="W1864">
        <f t="shared" si="506"/>
        <v>800</v>
      </c>
      <c r="X1864" t="str">
        <f t="shared" si="507"/>
        <v>yes</v>
      </c>
      <c r="Y1864" s="2">
        <v>35177</v>
      </c>
      <c r="Z1864" t="str">
        <f t="shared" si="493"/>
        <v/>
      </c>
      <c r="AA1864" t="str">
        <f t="shared" si="508"/>
        <v>2nd Q 1996</v>
      </c>
      <c r="AB1864" t="str" cm="1">
        <f t="array" ref="AB1864">_xlfn.IFS(Y1864&lt;DATE(1996,1,1),"",Y1864&lt;DATE(1996,4,1),"Q1",Y1864&lt;DATE(1996,7,1),"Q2",Y1864&gt;=DATE(1996,7,1),"")</f>
        <v>Q2</v>
      </c>
    </row>
    <row r="1865" spans="1:28" ht="14.4" x14ac:dyDescent="0.55000000000000004">
      <c r="A1865" t="str">
        <f>VLOOKUP(L1865,Customers!$A$2:$B$92,2,FALSE)</f>
        <v>Ernst Handel</v>
      </c>
      <c r="B1865" t="str">
        <f>VLOOKUP(L1865,Customers!$A$2:$C$92,3,TRUE)</f>
        <v>Roland Mendel</v>
      </c>
      <c r="C1865" t="str">
        <f t="shared" si="494"/>
        <v>Roland</v>
      </c>
      <c r="D1865" s="8" t="str">
        <f t="shared" si="495"/>
        <v>Mendel</v>
      </c>
      <c r="E1865" s="8" t="str">
        <f t="shared" si="496"/>
        <v>Mendel, Roland</v>
      </c>
      <c r="F1865" s="8" t="str">
        <f t="shared" si="497"/>
        <v>Mendel, Roland</v>
      </c>
      <c r="G1865" s="8" t="str">
        <f t="shared" si="498"/>
        <v>not an outlier</v>
      </c>
      <c r="H1865" s="8" t="str">
        <f t="shared" si="499"/>
        <v>Not</v>
      </c>
      <c r="I1865" s="8" t="str">
        <f t="shared" si="509"/>
        <v>no</v>
      </c>
      <c r="J1865" s="10" t="str">
        <f t="shared" si="500"/>
        <v>no</v>
      </c>
      <c r="K1865" s="10" t="str">
        <f t="shared" si="501"/>
        <v>no</v>
      </c>
      <c r="L1865" t="s">
        <v>161</v>
      </c>
      <c r="M1865">
        <v>10968</v>
      </c>
      <c r="N1865">
        <v>12</v>
      </c>
      <c r="O1865" t="s">
        <v>719</v>
      </c>
      <c r="P1865" t="str">
        <f t="shared" si="502"/>
        <v>ERNSH_10968_Queso Manchego La Pastora</v>
      </c>
      <c r="Q1865" t="str">
        <f t="shared" si="503"/>
        <v>10968</v>
      </c>
      <c r="R1865" t="str">
        <f t="shared" si="504"/>
        <v>10968</v>
      </c>
      <c r="S1865" t="str">
        <f t="shared" si="505"/>
        <v>Queso Manchego La Pastora</v>
      </c>
      <c r="T1865">
        <v>38</v>
      </c>
      <c r="U1865">
        <v>30</v>
      </c>
      <c r="V1865">
        <v>0</v>
      </c>
      <c r="W1865">
        <f t="shared" si="506"/>
        <v>1140</v>
      </c>
      <c r="X1865" t="str">
        <f t="shared" si="507"/>
        <v>yes</v>
      </c>
      <c r="Y1865" s="2">
        <v>35177</v>
      </c>
      <c r="Z1865" t="str">
        <f t="shared" si="493"/>
        <v/>
      </c>
      <c r="AA1865" t="str">
        <f t="shared" si="508"/>
        <v>2nd Q 1996</v>
      </c>
      <c r="AB1865" t="str" cm="1">
        <f t="array" ref="AB1865">_xlfn.IFS(Y1865&lt;DATE(1996,1,1),"",Y1865&lt;DATE(1996,4,1),"Q1",Y1865&lt;DATE(1996,7,1),"Q2",Y1865&gt;=DATE(1996,7,1),"")</f>
        <v>Q2</v>
      </c>
    </row>
    <row r="1866" spans="1:28" ht="14.4" x14ac:dyDescent="0.55000000000000004">
      <c r="A1866" t="str">
        <f>VLOOKUP(L1866,Customers!$A$2:$B$92,2,FALSE)</f>
        <v>Ernst Handel</v>
      </c>
      <c r="B1866" t="str">
        <f>VLOOKUP(L1866,Customers!$A$2:$C$92,3,TRUE)</f>
        <v>Roland Mendel</v>
      </c>
      <c r="C1866" t="str">
        <f t="shared" si="494"/>
        <v>Roland</v>
      </c>
      <c r="D1866" s="8" t="str">
        <f t="shared" si="495"/>
        <v>Mendel</v>
      </c>
      <c r="E1866" s="8" t="str">
        <f t="shared" si="496"/>
        <v>Mendel, Roland</v>
      </c>
      <c r="F1866" s="8" t="str">
        <f t="shared" si="497"/>
        <v>Mendel, Roland</v>
      </c>
      <c r="G1866" s="8" t="str">
        <f t="shared" si="498"/>
        <v>not an outlier</v>
      </c>
      <c r="H1866" s="8" t="str">
        <f t="shared" si="499"/>
        <v>Not</v>
      </c>
      <c r="I1866" s="8" t="str">
        <f t="shared" si="509"/>
        <v>no</v>
      </c>
      <c r="J1866" s="10" t="str">
        <f t="shared" si="500"/>
        <v>no</v>
      </c>
      <c r="K1866" s="10" t="str">
        <f t="shared" si="501"/>
        <v>no</v>
      </c>
      <c r="L1866" t="s">
        <v>161</v>
      </c>
      <c r="M1866">
        <v>10968</v>
      </c>
      <c r="N1866">
        <v>24</v>
      </c>
      <c r="O1866" t="s">
        <v>698</v>
      </c>
      <c r="P1866" t="str">
        <f t="shared" si="502"/>
        <v>ERNSH_10968_Guaraná Fantástica</v>
      </c>
      <c r="Q1866" t="str">
        <f t="shared" si="503"/>
        <v>10968</v>
      </c>
      <c r="R1866" t="str">
        <f t="shared" si="504"/>
        <v>10968</v>
      </c>
      <c r="S1866" t="str">
        <f t="shared" si="505"/>
        <v>Guaraná Fantástica</v>
      </c>
      <c r="T1866">
        <v>4.5</v>
      </c>
      <c r="U1866">
        <v>30</v>
      </c>
      <c r="V1866">
        <v>0</v>
      </c>
      <c r="W1866">
        <f t="shared" si="506"/>
        <v>135</v>
      </c>
      <c r="X1866" t="str">
        <f t="shared" si="507"/>
        <v>yes</v>
      </c>
      <c r="Y1866" s="2">
        <v>35177</v>
      </c>
      <c r="Z1866" t="str">
        <f t="shared" si="493"/>
        <v/>
      </c>
      <c r="AA1866" t="str">
        <f t="shared" si="508"/>
        <v>2nd Q 1996</v>
      </c>
      <c r="AB1866" t="str" cm="1">
        <f t="array" ref="AB1866">_xlfn.IFS(Y1866&lt;DATE(1996,1,1),"",Y1866&lt;DATE(1996,4,1),"Q1",Y1866&lt;DATE(1996,7,1),"Q2",Y1866&gt;=DATE(1996,7,1),"")</f>
        <v>Q2</v>
      </c>
    </row>
    <row r="1867" spans="1:28" ht="14.4" x14ac:dyDescent="0.55000000000000004">
      <c r="A1867" t="str">
        <f>VLOOKUP(L1867,Customers!$A$2:$B$92,2,FALSE)</f>
        <v>Ernst Handel</v>
      </c>
      <c r="B1867" t="str">
        <f>VLOOKUP(L1867,Customers!$A$2:$C$92,3,TRUE)</f>
        <v>Roland Mendel</v>
      </c>
      <c r="C1867" t="str">
        <f t="shared" si="494"/>
        <v>Roland</v>
      </c>
      <c r="D1867" s="8" t="str">
        <f t="shared" si="495"/>
        <v>Mendel</v>
      </c>
      <c r="E1867" s="8" t="str">
        <f t="shared" si="496"/>
        <v>Mendel, Roland</v>
      </c>
      <c r="F1867" s="8" t="str">
        <f t="shared" si="497"/>
        <v>Mendel, Roland</v>
      </c>
      <c r="G1867" s="8" t="str">
        <f t="shared" si="498"/>
        <v>not an outlier</v>
      </c>
      <c r="H1867" s="8" t="str">
        <f t="shared" si="499"/>
        <v>Not</v>
      </c>
      <c r="I1867" s="8" t="str">
        <f t="shared" si="509"/>
        <v>no</v>
      </c>
      <c r="J1867" s="10" t="str">
        <f t="shared" si="500"/>
        <v>no</v>
      </c>
      <c r="K1867" s="10" t="str">
        <f t="shared" si="501"/>
        <v>no</v>
      </c>
      <c r="L1867" t="s">
        <v>161</v>
      </c>
      <c r="M1867">
        <v>10968</v>
      </c>
      <c r="N1867">
        <v>64</v>
      </c>
      <c r="O1867" t="s">
        <v>741</v>
      </c>
      <c r="P1867" t="str">
        <f t="shared" si="502"/>
        <v>ERNSH_10968_Wimmers gute Semmelknödel</v>
      </c>
      <c r="Q1867" t="str">
        <f t="shared" si="503"/>
        <v>10968</v>
      </c>
      <c r="R1867" t="str">
        <f t="shared" si="504"/>
        <v>10968</v>
      </c>
      <c r="S1867" t="str">
        <f t="shared" si="505"/>
        <v>Wimmers gute Semmelknödel</v>
      </c>
      <c r="T1867">
        <v>33.25</v>
      </c>
      <c r="U1867">
        <v>4</v>
      </c>
      <c r="V1867">
        <v>0</v>
      </c>
      <c r="W1867">
        <f t="shared" si="506"/>
        <v>133</v>
      </c>
      <c r="X1867" t="str">
        <f t="shared" si="507"/>
        <v>yes</v>
      </c>
      <c r="Y1867" s="2">
        <v>35177</v>
      </c>
      <c r="Z1867" t="str">
        <f t="shared" si="493"/>
        <v/>
      </c>
      <c r="AA1867" t="str">
        <f t="shared" si="508"/>
        <v>2nd Q 1996</v>
      </c>
      <c r="AB1867" t="str" cm="1">
        <f t="array" ref="AB1867">_xlfn.IFS(Y1867&lt;DATE(1996,1,1),"",Y1867&lt;DATE(1996,4,1),"Q1",Y1867&lt;DATE(1996,7,1),"Q2",Y1867&gt;=DATE(1996,7,1),"")</f>
        <v>Q2</v>
      </c>
    </row>
    <row r="1868" spans="1:28" ht="14.4" x14ac:dyDescent="0.55000000000000004">
      <c r="A1868" t="str">
        <f>VLOOKUP(L1868,Customers!$A$2:$B$92,2,FALSE)</f>
        <v>Comércio Mineiro</v>
      </c>
      <c r="B1868" t="str">
        <f>VLOOKUP(L1868,Customers!$A$2:$C$92,3,TRUE)</f>
        <v>Pedro Afonso</v>
      </c>
      <c r="C1868" t="str">
        <f t="shared" si="494"/>
        <v>Pedro</v>
      </c>
      <c r="D1868" s="8" t="str">
        <f t="shared" si="495"/>
        <v>Afonso</v>
      </c>
      <c r="E1868" s="8" t="str">
        <f t="shared" si="496"/>
        <v>Afonso, Pedro</v>
      </c>
      <c r="F1868" s="8" t="str">
        <f t="shared" si="497"/>
        <v>Afonso, Pedro</v>
      </c>
      <c r="G1868" s="8" t="str">
        <f t="shared" si="498"/>
        <v>not an outlier</v>
      </c>
      <c r="H1868" s="8" t="str">
        <f t="shared" si="499"/>
        <v>Not</v>
      </c>
      <c r="I1868" s="8" t="str">
        <f t="shared" si="509"/>
        <v>no</v>
      </c>
      <c r="J1868" s="10" t="str">
        <f t="shared" si="500"/>
        <v>no</v>
      </c>
      <c r="K1868" s="10" t="str">
        <f t="shared" si="501"/>
        <v>no</v>
      </c>
      <c r="L1868" t="s">
        <v>123</v>
      </c>
      <c r="M1868">
        <v>10969</v>
      </c>
      <c r="N1868">
        <v>46</v>
      </c>
      <c r="O1868" t="s">
        <v>737</v>
      </c>
      <c r="P1868" t="str">
        <f t="shared" si="502"/>
        <v>COMMI_10969_Spegesild</v>
      </c>
      <c r="Q1868" t="str">
        <f t="shared" si="503"/>
        <v>10969</v>
      </c>
      <c r="R1868" t="str">
        <f t="shared" si="504"/>
        <v>10969</v>
      </c>
      <c r="S1868" t="str">
        <f t="shared" si="505"/>
        <v>Spegesild</v>
      </c>
      <c r="T1868">
        <v>12</v>
      </c>
      <c r="U1868">
        <v>9</v>
      </c>
      <c r="V1868">
        <v>0</v>
      </c>
      <c r="W1868">
        <f t="shared" si="506"/>
        <v>108</v>
      </c>
      <c r="X1868" t="str">
        <f t="shared" si="507"/>
        <v>yes</v>
      </c>
      <c r="Y1868" s="2">
        <v>35177</v>
      </c>
      <c r="Z1868" t="str">
        <f t="shared" si="493"/>
        <v/>
      </c>
      <c r="AA1868" t="str">
        <f t="shared" si="508"/>
        <v>2nd Q 1996</v>
      </c>
      <c r="AB1868" t="str" cm="1">
        <f t="array" ref="AB1868">_xlfn.IFS(Y1868&lt;DATE(1996,1,1),"",Y1868&lt;DATE(1996,4,1),"Q1",Y1868&lt;DATE(1996,7,1),"Q2",Y1868&gt;=DATE(1996,7,1),"")</f>
        <v>Q2</v>
      </c>
    </row>
    <row r="1869" spans="1:28" ht="14.4" x14ac:dyDescent="0.55000000000000004">
      <c r="A1869" t="str">
        <f>VLOOKUP(L1869,Customers!$A$2:$B$92,2,FALSE)</f>
        <v>Bólido Comidas preparadas</v>
      </c>
      <c r="B1869" t="str">
        <f>VLOOKUP(L1869,Customers!$A$2:$C$92,3,TRUE)</f>
        <v>Martín Sommer</v>
      </c>
      <c r="C1869" t="str">
        <f t="shared" si="494"/>
        <v>Martín</v>
      </c>
      <c r="D1869" s="8" t="str">
        <f t="shared" si="495"/>
        <v>Sommer</v>
      </c>
      <c r="E1869" s="8" t="str">
        <f t="shared" si="496"/>
        <v>Sommer, Martín</v>
      </c>
      <c r="F1869" s="8" t="str">
        <f t="shared" si="497"/>
        <v>Sommer, Martín</v>
      </c>
      <c r="G1869" s="8" t="str">
        <f t="shared" si="498"/>
        <v>not an outlier</v>
      </c>
      <c r="H1869" s="8" t="str">
        <f t="shared" si="499"/>
        <v>Not</v>
      </c>
      <c r="I1869" s="8" t="str">
        <f t="shared" si="509"/>
        <v>no</v>
      </c>
      <c r="J1869" s="10" t="str">
        <f t="shared" si="500"/>
        <v>no</v>
      </c>
      <c r="K1869" s="10" t="str">
        <f t="shared" si="501"/>
        <v>no</v>
      </c>
      <c r="L1869" t="s">
        <v>69</v>
      </c>
      <c r="M1869">
        <v>10970</v>
      </c>
      <c r="N1869">
        <v>52</v>
      </c>
      <c r="O1869" t="s">
        <v>748</v>
      </c>
      <c r="P1869" t="str">
        <f t="shared" si="502"/>
        <v>BOLID_10970_Filo Mix</v>
      </c>
      <c r="Q1869" t="str">
        <f t="shared" si="503"/>
        <v>10970</v>
      </c>
      <c r="R1869" t="str">
        <f t="shared" si="504"/>
        <v>10970</v>
      </c>
      <c r="S1869" t="str">
        <f t="shared" si="505"/>
        <v>Filo Mix</v>
      </c>
      <c r="T1869">
        <v>7</v>
      </c>
      <c r="U1869">
        <v>40</v>
      </c>
      <c r="V1869">
        <v>0.2</v>
      </c>
      <c r="W1869">
        <f t="shared" si="506"/>
        <v>224</v>
      </c>
      <c r="X1869" t="str">
        <f t="shared" si="507"/>
        <v>yes</v>
      </c>
      <c r="Y1869" s="2">
        <v>35178</v>
      </c>
      <c r="Z1869" t="str">
        <f t="shared" si="493"/>
        <v/>
      </c>
      <c r="AA1869" t="str">
        <f t="shared" si="508"/>
        <v>2nd Q 1996</v>
      </c>
      <c r="AB1869" t="str" cm="1">
        <f t="array" ref="AB1869">_xlfn.IFS(Y1869&lt;DATE(1996,1,1),"",Y1869&lt;DATE(1996,4,1),"Q1",Y1869&lt;DATE(1996,7,1),"Q2",Y1869&gt;=DATE(1996,7,1),"")</f>
        <v>Q2</v>
      </c>
    </row>
    <row r="1870" spans="1:28" ht="14.4" x14ac:dyDescent="0.55000000000000004">
      <c r="A1870" t="str">
        <f>VLOOKUP(L1870,Customers!$A$2:$B$92,2,FALSE)</f>
        <v>France restauration</v>
      </c>
      <c r="B1870" t="str">
        <f>VLOOKUP(L1870,Customers!$A$2:$C$92,3,TRUE)</f>
        <v>Carine Schmitt</v>
      </c>
      <c r="C1870" t="str">
        <f t="shared" si="494"/>
        <v>Carine</v>
      </c>
      <c r="D1870" s="8" t="str">
        <f t="shared" si="495"/>
        <v>Schmitt</v>
      </c>
      <c r="E1870" s="8" t="str">
        <f t="shared" si="496"/>
        <v>Schmitt, Carine</v>
      </c>
      <c r="F1870" s="8" t="str">
        <f t="shared" si="497"/>
        <v>Schmitt, Carine</v>
      </c>
      <c r="G1870" s="8" t="str">
        <f t="shared" si="498"/>
        <v>not an outlier</v>
      </c>
      <c r="H1870" s="8" t="str">
        <f t="shared" si="499"/>
        <v>Not</v>
      </c>
      <c r="I1870" s="8" t="str">
        <f t="shared" si="509"/>
        <v>no</v>
      </c>
      <c r="J1870" s="10" t="str">
        <f t="shared" si="500"/>
        <v>no</v>
      </c>
      <c r="K1870" s="10" t="str">
        <f t="shared" si="501"/>
        <v>no</v>
      </c>
      <c r="L1870" t="s">
        <v>205</v>
      </c>
      <c r="M1870">
        <v>10971</v>
      </c>
      <c r="N1870">
        <v>29</v>
      </c>
      <c r="O1870" t="s">
        <v>722</v>
      </c>
      <c r="P1870" t="str">
        <f t="shared" si="502"/>
        <v>FRANR_10971_Thüringer Rostbratwurst</v>
      </c>
      <c r="Q1870" t="str">
        <f t="shared" si="503"/>
        <v>10971</v>
      </c>
      <c r="R1870" t="str">
        <f t="shared" si="504"/>
        <v>10971</v>
      </c>
      <c r="S1870" t="str">
        <f t="shared" si="505"/>
        <v>Thüringer Rostbratwurst</v>
      </c>
      <c r="T1870">
        <v>123.79</v>
      </c>
      <c r="U1870">
        <v>14</v>
      </c>
      <c r="V1870">
        <v>0</v>
      </c>
      <c r="W1870">
        <f t="shared" si="506"/>
        <v>1733.0600000000002</v>
      </c>
      <c r="X1870" t="str">
        <f t="shared" si="507"/>
        <v>yes</v>
      </c>
      <c r="Y1870" s="2">
        <v>35178</v>
      </c>
      <c r="Z1870" t="str">
        <f t="shared" si="493"/>
        <v/>
      </c>
      <c r="AA1870" t="str">
        <f t="shared" si="508"/>
        <v>2nd Q 1996</v>
      </c>
      <c r="AB1870" t="str" cm="1">
        <f t="array" ref="AB1870">_xlfn.IFS(Y1870&lt;DATE(1996,1,1),"",Y1870&lt;DATE(1996,4,1),"Q1",Y1870&lt;DATE(1996,7,1),"Q2",Y1870&gt;=DATE(1996,7,1),"")</f>
        <v>Q2</v>
      </c>
    </row>
    <row r="1871" spans="1:28" ht="14.4" x14ac:dyDescent="0.55000000000000004">
      <c r="A1871" t="str">
        <f>VLOOKUP(L1871,Customers!$A$2:$B$92,2,FALSE)</f>
        <v>La corne d'abondance</v>
      </c>
      <c r="B1871" t="str">
        <f>VLOOKUP(L1871,Customers!$A$2:$C$92,3,TRUE)</f>
        <v>Daniel Tonini</v>
      </c>
      <c r="C1871" t="str">
        <f t="shared" si="494"/>
        <v>Daniel</v>
      </c>
      <c r="D1871" s="8" t="str">
        <f t="shared" si="495"/>
        <v>Tonini</v>
      </c>
      <c r="E1871" s="8" t="str">
        <f t="shared" si="496"/>
        <v>Tonini, Daniel</v>
      </c>
      <c r="F1871" s="8" t="str">
        <f t="shared" si="497"/>
        <v>Tonini, Daniel</v>
      </c>
      <c r="G1871" s="8" t="str">
        <f t="shared" si="498"/>
        <v>not an outlier</v>
      </c>
      <c r="H1871" s="8" t="str">
        <f t="shared" si="499"/>
        <v>Not</v>
      </c>
      <c r="I1871" s="8" t="str">
        <f t="shared" si="509"/>
        <v>no</v>
      </c>
      <c r="J1871" s="10" t="str">
        <f t="shared" si="500"/>
        <v>no</v>
      </c>
      <c r="K1871" s="10" t="str">
        <f t="shared" si="501"/>
        <v>no</v>
      </c>
      <c r="L1871" t="s">
        <v>311</v>
      </c>
      <c r="M1871">
        <v>10972</v>
      </c>
      <c r="N1871">
        <v>17</v>
      </c>
      <c r="O1871" t="s">
        <v>718</v>
      </c>
      <c r="P1871" t="str">
        <f t="shared" si="502"/>
        <v>LACOR_10972_Alice Mutton</v>
      </c>
      <c r="Q1871" t="str">
        <f t="shared" si="503"/>
        <v>10972</v>
      </c>
      <c r="R1871" t="str">
        <f t="shared" si="504"/>
        <v>10972</v>
      </c>
      <c r="S1871" t="str">
        <f t="shared" si="505"/>
        <v>Alice Mutton</v>
      </c>
      <c r="T1871">
        <v>39</v>
      </c>
      <c r="U1871">
        <v>6</v>
      </c>
      <c r="V1871">
        <v>0</v>
      </c>
      <c r="W1871">
        <f t="shared" si="506"/>
        <v>234</v>
      </c>
      <c r="X1871" t="str">
        <f t="shared" si="507"/>
        <v>yes</v>
      </c>
      <c r="Y1871" s="2">
        <v>35178</v>
      </c>
      <c r="Z1871" t="str">
        <f t="shared" si="493"/>
        <v/>
      </c>
      <c r="AA1871" t="str">
        <f t="shared" si="508"/>
        <v>2nd Q 1996</v>
      </c>
      <c r="AB1871" t="str" cm="1">
        <f t="array" ref="AB1871">_xlfn.IFS(Y1871&lt;DATE(1996,1,1),"",Y1871&lt;DATE(1996,4,1),"Q1",Y1871&lt;DATE(1996,7,1),"Q2",Y1871&gt;=DATE(1996,7,1),"")</f>
        <v>Q2</v>
      </c>
    </row>
    <row r="1872" spans="1:28" ht="14.4" x14ac:dyDescent="0.55000000000000004">
      <c r="A1872" t="str">
        <f>VLOOKUP(L1872,Customers!$A$2:$B$92,2,FALSE)</f>
        <v>La corne d'abondance</v>
      </c>
      <c r="B1872" t="str">
        <f>VLOOKUP(L1872,Customers!$A$2:$C$92,3,TRUE)</f>
        <v>Daniel Tonini</v>
      </c>
      <c r="C1872" t="str">
        <f t="shared" si="494"/>
        <v>Daniel</v>
      </c>
      <c r="D1872" s="8" t="str">
        <f t="shared" si="495"/>
        <v>Tonini</v>
      </c>
      <c r="E1872" s="8" t="str">
        <f t="shared" si="496"/>
        <v>Tonini, Daniel</v>
      </c>
      <c r="F1872" s="8" t="str">
        <f t="shared" si="497"/>
        <v>Tonini, Daniel</v>
      </c>
      <c r="G1872" s="8" t="str">
        <f t="shared" si="498"/>
        <v>not an outlier</v>
      </c>
      <c r="H1872" s="8" t="str">
        <f t="shared" si="499"/>
        <v>Not</v>
      </c>
      <c r="I1872" s="8" t="str">
        <f t="shared" si="509"/>
        <v>no</v>
      </c>
      <c r="J1872" s="10" t="str">
        <f t="shared" si="500"/>
        <v>no</v>
      </c>
      <c r="K1872" s="10" t="str">
        <f t="shared" si="501"/>
        <v>no</v>
      </c>
      <c r="L1872" t="s">
        <v>311</v>
      </c>
      <c r="M1872">
        <v>10972</v>
      </c>
      <c r="N1872">
        <v>33</v>
      </c>
      <c r="O1872" t="s">
        <v>693</v>
      </c>
      <c r="P1872" t="str">
        <f t="shared" si="502"/>
        <v>LACOR_10972_Geitost</v>
      </c>
      <c r="Q1872" t="str">
        <f t="shared" si="503"/>
        <v>10972</v>
      </c>
      <c r="R1872" t="str">
        <f t="shared" si="504"/>
        <v>10972</v>
      </c>
      <c r="S1872" t="str">
        <f t="shared" si="505"/>
        <v>Geitost</v>
      </c>
      <c r="T1872">
        <v>2.5</v>
      </c>
      <c r="U1872">
        <v>7</v>
      </c>
      <c r="V1872">
        <v>0</v>
      </c>
      <c r="W1872">
        <f t="shared" si="506"/>
        <v>17.5</v>
      </c>
      <c r="X1872" t="str">
        <f t="shared" si="507"/>
        <v>yes</v>
      </c>
      <c r="Y1872" s="2">
        <v>35178</v>
      </c>
      <c r="Z1872" t="str">
        <f t="shared" si="493"/>
        <v/>
      </c>
      <c r="AA1872" t="str">
        <f t="shared" si="508"/>
        <v>2nd Q 1996</v>
      </c>
      <c r="AB1872" t="str" cm="1">
        <f t="array" ref="AB1872">_xlfn.IFS(Y1872&lt;DATE(1996,1,1),"",Y1872&lt;DATE(1996,4,1),"Q1",Y1872&lt;DATE(1996,7,1),"Q2",Y1872&gt;=DATE(1996,7,1),"")</f>
        <v>Q2</v>
      </c>
    </row>
    <row r="1873" spans="1:28" ht="14.4" x14ac:dyDescent="0.55000000000000004">
      <c r="A1873" t="str">
        <f>VLOOKUP(L1873,Customers!$A$2:$B$92,2,FALSE)</f>
        <v>La corne d'abondance</v>
      </c>
      <c r="B1873" t="str">
        <f>VLOOKUP(L1873,Customers!$A$2:$C$92,3,TRUE)</f>
        <v>Daniel Tonini</v>
      </c>
      <c r="C1873" t="str">
        <f t="shared" si="494"/>
        <v>Daniel</v>
      </c>
      <c r="D1873" s="8" t="str">
        <f t="shared" si="495"/>
        <v>Tonini</v>
      </c>
      <c r="E1873" s="8" t="str">
        <f t="shared" si="496"/>
        <v>Tonini, Daniel</v>
      </c>
      <c r="F1873" s="8" t="str">
        <f t="shared" si="497"/>
        <v>Tonini, Daniel</v>
      </c>
      <c r="G1873" s="8" t="str">
        <f t="shared" si="498"/>
        <v>not an outlier</v>
      </c>
      <c r="H1873" s="8" t="str">
        <f t="shared" si="499"/>
        <v>Not</v>
      </c>
      <c r="I1873" s="8" t="str">
        <f t="shared" si="509"/>
        <v>no</v>
      </c>
      <c r="J1873" s="10" t="str">
        <f t="shared" si="500"/>
        <v>no</v>
      </c>
      <c r="K1873" s="10" t="str">
        <f t="shared" si="501"/>
        <v>no</v>
      </c>
      <c r="L1873" t="s">
        <v>311</v>
      </c>
      <c r="M1873">
        <v>10973</v>
      </c>
      <c r="N1873">
        <v>26</v>
      </c>
      <c r="O1873" t="s">
        <v>751</v>
      </c>
      <c r="P1873" t="str">
        <f t="shared" si="502"/>
        <v>LACOR_10973_Gumbär Gummibärchen</v>
      </c>
      <c r="Q1873" t="str">
        <f t="shared" si="503"/>
        <v>10973</v>
      </c>
      <c r="R1873" t="str">
        <f t="shared" si="504"/>
        <v>10973</v>
      </c>
      <c r="S1873" t="str">
        <f t="shared" si="505"/>
        <v>Gumbär Gummibärchen</v>
      </c>
      <c r="T1873">
        <v>31.23</v>
      </c>
      <c r="U1873">
        <v>5</v>
      </c>
      <c r="V1873">
        <v>0</v>
      </c>
      <c r="W1873">
        <f t="shared" si="506"/>
        <v>156.15</v>
      </c>
      <c r="X1873" t="str">
        <f t="shared" si="507"/>
        <v>yes</v>
      </c>
      <c r="Y1873" s="2">
        <v>35178</v>
      </c>
      <c r="Z1873" t="str">
        <f t="shared" si="493"/>
        <v/>
      </c>
      <c r="AA1873" t="str">
        <f t="shared" si="508"/>
        <v>2nd Q 1996</v>
      </c>
      <c r="AB1873" t="str" cm="1">
        <f t="array" ref="AB1873">_xlfn.IFS(Y1873&lt;DATE(1996,1,1),"",Y1873&lt;DATE(1996,4,1),"Q1",Y1873&lt;DATE(1996,7,1),"Q2",Y1873&gt;=DATE(1996,7,1),"")</f>
        <v>Q2</v>
      </c>
    </row>
    <row r="1874" spans="1:28" ht="14.4" x14ac:dyDescent="0.55000000000000004">
      <c r="A1874" t="str">
        <f>VLOOKUP(L1874,Customers!$A$2:$B$92,2,FALSE)</f>
        <v>La corne d'abondance</v>
      </c>
      <c r="B1874" t="str">
        <f>VLOOKUP(L1874,Customers!$A$2:$C$92,3,TRUE)</f>
        <v>Daniel Tonini</v>
      </c>
      <c r="C1874" t="str">
        <f t="shared" si="494"/>
        <v>Daniel</v>
      </c>
      <c r="D1874" s="8" t="str">
        <f t="shared" si="495"/>
        <v>Tonini</v>
      </c>
      <c r="E1874" s="8" t="str">
        <f t="shared" si="496"/>
        <v>Tonini, Daniel</v>
      </c>
      <c r="F1874" s="8" t="str">
        <f t="shared" si="497"/>
        <v>Tonini, Daniel</v>
      </c>
      <c r="G1874" s="8" t="str">
        <f t="shared" si="498"/>
        <v>not an outlier</v>
      </c>
      <c r="H1874" s="8" t="str">
        <f t="shared" si="499"/>
        <v>Not</v>
      </c>
      <c r="I1874" s="8" t="str">
        <f t="shared" si="509"/>
        <v>no</v>
      </c>
      <c r="J1874" s="10" t="str">
        <f t="shared" si="500"/>
        <v>no</v>
      </c>
      <c r="K1874" s="10" t="str">
        <f t="shared" si="501"/>
        <v>no</v>
      </c>
      <c r="L1874" t="s">
        <v>311</v>
      </c>
      <c r="M1874">
        <v>10973</v>
      </c>
      <c r="N1874">
        <v>41</v>
      </c>
      <c r="O1874" t="s">
        <v>688</v>
      </c>
      <c r="P1874" t="str">
        <f t="shared" si="502"/>
        <v>LACOR_10973_Jack's New England Clam Chowder</v>
      </c>
      <c r="Q1874" t="str">
        <f t="shared" si="503"/>
        <v>10973</v>
      </c>
      <c r="R1874" t="str">
        <f t="shared" si="504"/>
        <v>10973</v>
      </c>
      <c r="S1874" t="str">
        <f t="shared" si="505"/>
        <v>Jack's New England Clam Chowder</v>
      </c>
      <c r="T1874">
        <v>9.65</v>
      </c>
      <c r="U1874">
        <v>6</v>
      </c>
      <c r="V1874">
        <v>0</v>
      </c>
      <c r="W1874">
        <f t="shared" si="506"/>
        <v>57.900000000000006</v>
      </c>
      <c r="X1874" t="str">
        <f t="shared" si="507"/>
        <v>yes</v>
      </c>
      <c r="Y1874" s="2">
        <v>35178</v>
      </c>
      <c r="Z1874" t="str">
        <f t="shared" si="493"/>
        <v/>
      </c>
      <c r="AA1874" t="str">
        <f t="shared" si="508"/>
        <v>2nd Q 1996</v>
      </c>
      <c r="AB1874" t="str" cm="1">
        <f t="array" ref="AB1874">_xlfn.IFS(Y1874&lt;DATE(1996,1,1),"",Y1874&lt;DATE(1996,4,1),"Q1",Y1874&lt;DATE(1996,7,1),"Q2",Y1874&gt;=DATE(1996,7,1),"")</f>
        <v>Q2</v>
      </c>
    </row>
    <row r="1875" spans="1:28" ht="14.4" x14ac:dyDescent="0.55000000000000004">
      <c r="A1875" t="str">
        <f>VLOOKUP(L1875,Customers!$A$2:$B$92,2,FALSE)</f>
        <v>La corne d'abondance</v>
      </c>
      <c r="B1875" t="str">
        <f>VLOOKUP(L1875,Customers!$A$2:$C$92,3,TRUE)</f>
        <v>Daniel Tonini</v>
      </c>
      <c r="C1875" t="str">
        <f t="shared" si="494"/>
        <v>Daniel</v>
      </c>
      <c r="D1875" s="8" t="str">
        <f t="shared" si="495"/>
        <v>Tonini</v>
      </c>
      <c r="E1875" s="8" t="str">
        <f t="shared" si="496"/>
        <v>Tonini, Daniel</v>
      </c>
      <c r="F1875" s="8" t="str">
        <f t="shared" si="497"/>
        <v>Tonini, Daniel</v>
      </c>
      <c r="G1875" s="8" t="str">
        <f t="shared" si="498"/>
        <v>not an outlier</v>
      </c>
      <c r="H1875" s="8" t="str">
        <f t="shared" si="499"/>
        <v>Not</v>
      </c>
      <c r="I1875" s="8" t="str">
        <f t="shared" si="509"/>
        <v>no</v>
      </c>
      <c r="J1875" s="10" t="str">
        <f t="shared" si="500"/>
        <v>no</v>
      </c>
      <c r="K1875" s="10" t="str">
        <f t="shared" si="501"/>
        <v>no</v>
      </c>
      <c r="L1875" t="s">
        <v>311</v>
      </c>
      <c r="M1875">
        <v>10973</v>
      </c>
      <c r="N1875">
        <v>75</v>
      </c>
      <c r="O1875" t="s">
        <v>731</v>
      </c>
      <c r="P1875" t="str">
        <f t="shared" si="502"/>
        <v>LACOR_10973_Rhönbräu Klosterbier</v>
      </c>
      <c r="Q1875" t="str">
        <f t="shared" si="503"/>
        <v>10973</v>
      </c>
      <c r="R1875" t="str">
        <f t="shared" si="504"/>
        <v>10973</v>
      </c>
      <c r="S1875" t="str">
        <f t="shared" si="505"/>
        <v>Rhönbräu Klosterbier</v>
      </c>
      <c r="T1875">
        <v>7.75</v>
      </c>
      <c r="U1875">
        <v>10</v>
      </c>
      <c r="V1875">
        <v>0</v>
      </c>
      <c r="W1875">
        <f t="shared" si="506"/>
        <v>77.5</v>
      </c>
      <c r="X1875" t="str">
        <f t="shared" si="507"/>
        <v>yes</v>
      </c>
      <c r="Y1875" s="2">
        <v>35178</v>
      </c>
      <c r="Z1875" t="str">
        <f t="shared" si="493"/>
        <v/>
      </c>
      <c r="AA1875" t="str">
        <f t="shared" si="508"/>
        <v>2nd Q 1996</v>
      </c>
      <c r="AB1875" t="str" cm="1">
        <f t="array" ref="AB1875">_xlfn.IFS(Y1875&lt;DATE(1996,1,1),"",Y1875&lt;DATE(1996,4,1),"Q1",Y1875&lt;DATE(1996,7,1),"Q2",Y1875&gt;=DATE(1996,7,1),"")</f>
        <v>Q2</v>
      </c>
    </row>
    <row r="1876" spans="1:28" ht="14.4" x14ac:dyDescent="0.55000000000000004">
      <c r="A1876" t="str">
        <f>VLOOKUP(L1876,Customers!$A$2:$B$92,2,FALSE)</f>
        <v>Split Rail Beer &amp; Ale</v>
      </c>
      <c r="B1876" t="str">
        <f>VLOOKUP(L1876,Customers!$A$2:$C$92,3,TRUE)</f>
        <v>Art Braunschweiger</v>
      </c>
      <c r="C1876" t="str">
        <f t="shared" si="494"/>
        <v>Art</v>
      </c>
      <c r="D1876" s="8" t="str">
        <f t="shared" si="495"/>
        <v>Braunschweiger</v>
      </c>
      <c r="E1876" s="8" t="str">
        <f t="shared" si="496"/>
        <v>Braunschweiger, Art</v>
      </c>
      <c r="F1876" s="8" t="str">
        <f t="shared" si="497"/>
        <v>Braunschweiger, Art</v>
      </c>
      <c r="G1876" s="8" t="str">
        <f t="shared" si="498"/>
        <v>not an outlier</v>
      </c>
      <c r="H1876" s="8" t="str">
        <f t="shared" si="499"/>
        <v>Not</v>
      </c>
      <c r="I1876" s="8" t="str">
        <f t="shared" si="509"/>
        <v>no</v>
      </c>
      <c r="J1876" s="10" t="str">
        <f t="shared" si="500"/>
        <v>no</v>
      </c>
      <c r="K1876" s="10" t="str">
        <f t="shared" si="501"/>
        <v>no</v>
      </c>
      <c r="L1876" t="s">
        <v>557</v>
      </c>
      <c r="M1876">
        <v>10974</v>
      </c>
      <c r="N1876">
        <v>63</v>
      </c>
      <c r="O1876" t="s">
        <v>729</v>
      </c>
      <c r="P1876" t="str">
        <f t="shared" si="502"/>
        <v>SPLIR_10974_Vegie-spread</v>
      </c>
      <c r="Q1876" t="str">
        <f t="shared" si="503"/>
        <v>10974</v>
      </c>
      <c r="R1876" t="str">
        <f t="shared" si="504"/>
        <v>10974</v>
      </c>
      <c r="S1876" t="str">
        <f t="shared" si="505"/>
        <v>Vegie-spread</v>
      </c>
      <c r="T1876">
        <v>43.9</v>
      </c>
      <c r="U1876">
        <v>10</v>
      </c>
      <c r="V1876">
        <v>0</v>
      </c>
      <c r="W1876">
        <f t="shared" si="506"/>
        <v>439</v>
      </c>
      <c r="X1876" t="str">
        <f t="shared" si="507"/>
        <v>yes</v>
      </c>
      <c r="Y1876" s="2">
        <v>35179</v>
      </c>
      <c r="Z1876" t="str">
        <f t="shared" si="493"/>
        <v/>
      </c>
      <c r="AA1876" t="str">
        <f t="shared" si="508"/>
        <v>2nd Q 1996</v>
      </c>
      <c r="AB1876" t="str" cm="1">
        <f t="array" ref="AB1876">_xlfn.IFS(Y1876&lt;DATE(1996,1,1),"",Y1876&lt;DATE(1996,4,1),"Q1",Y1876&lt;DATE(1996,7,1),"Q2",Y1876&gt;=DATE(1996,7,1),"")</f>
        <v>Q2</v>
      </c>
    </row>
    <row r="1877" spans="1:28" ht="14.4" x14ac:dyDescent="0.55000000000000004">
      <c r="A1877" t="str">
        <f>VLOOKUP(L1877,Customers!$A$2:$B$92,2,FALSE)</f>
        <v>Bottom-Dollar Markets</v>
      </c>
      <c r="B1877" t="str">
        <f>VLOOKUP(L1877,Customers!$A$2:$C$92,3,TRUE)</f>
        <v>Elizabeth Lincoln</v>
      </c>
      <c r="C1877" t="str">
        <f t="shared" si="494"/>
        <v>Elizabeth</v>
      </c>
      <c r="D1877" s="8" t="str">
        <f t="shared" si="495"/>
        <v>Lincoln</v>
      </c>
      <c r="E1877" s="8" t="str">
        <f t="shared" si="496"/>
        <v>Lincoln, Elizabeth</v>
      </c>
      <c r="F1877" s="8" t="str">
        <f t="shared" si="497"/>
        <v>Lincoln, Elizabeth</v>
      </c>
      <c r="G1877" s="8" t="str">
        <f t="shared" si="498"/>
        <v>not an outlier</v>
      </c>
      <c r="H1877" s="8" t="str">
        <f t="shared" si="499"/>
        <v>Not</v>
      </c>
      <c r="I1877" s="8" t="str">
        <f t="shared" si="509"/>
        <v>no</v>
      </c>
      <c r="J1877" s="10" t="str">
        <f t="shared" si="500"/>
        <v>no</v>
      </c>
      <c r="K1877" s="10" t="str">
        <f t="shared" si="501"/>
        <v>no</v>
      </c>
      <c r="L1877" t="s">
        <v>84</v>
      </c>
      <c r="M1877">
        <v>10975</v>
      </c>
      <c r="N1877">
        <v>8</v>
      </c>
      <c r="O1877" t="s">
        <v>754</v>
      </c>
      <c r="P1877" t="str">
        <f t="shared" si="502"/>
        <v>BOTTM_10975_Northwoods Cranberry Sauce</v>
      </c>
      <c r="Q1877" t="str">
        <f t="shared" si="503"/>
        <v>10975</v>
      </c>
      <c r="R1877" t="str">
        <f t="shared" si="504"/>
        <v>10975</v>
      </c>
      <c r="S1877" t="str">
        <f t="shared" si="505"/>
        <v>Northwoods Cranberry Sauce</v>
      </c>
      <c r="T1877">
        <v>40</v>
      </c>
      <c r="U1877">
        <v>16</v>
      </c>
      <c r="V1877">
        <v>0</v>
      </c>
      <c r="W1877">
        <f t="shared" si="506"/>
        <v>640</v>
      </c>
      <c r="X1877" t="str">
        <f t="shared" si="507"/>
        <v>yes</v>
      </c>
      <c r="Y1877" s="2">
        <v>35179</v>
      </c>
      <c r="Z1877" t="str">
        <f t="shared" si="493"/>
        <v/>
      </c>
      <c r="AA1877" t="str">
        <f t="shared" si="508"/>
        <v>2nd Q 1996</v>
      </c>
      <c r="AB1877" t="str" cm="1">
        <f t="array" ref="AB1877">_xlfn.IFS(Y1877&lt;DATE(1996,1,1),"",Y1877&lt;DATE(1996,4,1),"Q1",Y1877&lt;DATE(1996,7,1),"Q2",Y1877&gt;=DATE(1996,7,1),"")</f>
        <v>Q2</v>
      </c>
    </row>
    <row r="1878" spans="1:28" ht="14.4" x14ac:dyDescent="0.55000000000000004">
      <c r="A1878" t="str">
        <f>VLOOKUP(L1878,Customers!$A$2:$B$92,2,FALSE)</f>
        <v>Bottom-Dollar Markets</v>
      </c>
      <c r="B1878" t="str">
        <f>VLOOKUP(L1878,Customers!$A$2:$C$92,3,TRUE)</f>
        <v>Elizabeth Lincoln</v>
      </c>
      <c r="C1878" t="str">
        <f t="shared" si="494"/>
        <v>Elizabeth</v>
      </c>
      <c r="D1878" s="8" t="str">
        <f t="shared" si="495"/>
        <v>Lincoln</v>
      </c>
      <c r="E1878" s="8" t="str">
        <f t="shared" si="496"/>
        <v>Lincoln, Elizabeth</v>
      </c>
      <c r="F1878" s="8" t="str">
        <f t="shared" si="497"/>
        <v>Lincoln, Elizabeth</v>
      </c>
      <c r="G1878" s="8" t="str">
        <f t="shared" si="498"/>
        <v>not an outlier</v>
      </c>
      <c r="H1878" s="8" t="str">
        <f t="shared" si="499"/>
        <v>Not</v>
      </c>
      <c r="I1878" s="8" t="str">
        <f t="shared" si="509"/>
        <v>no</v>
      </c>
      <c r="J1878" s="10" t="str">
        <f t="shared" si="500"/>
        <v>no</v>
      </c>
      <c r="K1878" s="10" t="str">
        <f t="shared" si="501"/>
        <v>no</v>
      </c>
      <c r="L1878" t="s">
        <v>84</v>
      </c>
      <c r="M1878">
        <v>10975</v>
      </c>
      <c r="N1878">
        <v>75</v>
      </c>
      <c r="O1878" t="s">
        <v>731</v>
      </c>
      <c r="P1878" t="str">
        <f t="shared" si="502"/>
        <v>BOTTM_10975_Rhönbräu Klosterbier</v>
      </c>
      <c r="Q1878" t="str">
        <f t="shared" si="503"/>
        <v>10975</v>
      </c>
      <c r="R1878" t="str">
        <f t="shared" si="504"/>
        <v>10975</v>
      </c>
      <c r="S1878" t="str">
        <f t="shared" si="505"/>
        <v>Rhönbräu Klosterbier</v>
      </c>
      <c r="T1878">
        <v>7.75</v>
      </c>
      <c r="U1878">
        <v>10</v>
      </c>
      <c r="V1878">
        <v>0</v>
      </c>
      <c r="W1878">
        <f t="shared" si="506"/>
        <v>77.5</v>
      </c>
      <c r="X1878" t="str">
        <f t="shared" si="507"/>
        <v>yes</v>
      </c>
      <c r="Y1878" s="2">
        <v>35179</v>
      </c>
      <c r="Z1878" t="str">
        <f t="shared" si="493"/>
        <v/>
      </c>
      <c r="AA1878" t="str">
        <f t="shared" si="508"/>
        <v>2nd Q 1996</v>
      </c>
      <c r="AB1878" t="str" cm="1">
        <f t="array" ref="AB1878">_xlfn.IFS(Y1878&lt;DATE(1996,1,1),"",Y1878&lt;DATE(1996,4,1),"Q1",Y1878&lt;DATE(1996,7,1),"Q2",Y1878&gt;=DATE(1996,7,1),"")</f>
        <v>Q2</v>
      </c>
    </row>
    <row r="1879" spans="1:28" ht="14.4" x14ac:dyDescent="0.55000000000000004">
      <c r="A1879" t="str">
        <f>VLOOKUP(L1879,Customers!$A$2:$B$92,2,FALSE)</f>
        <v>HILARIÓN-Abastos</v>
      </c>
      <c r="B1879" t="str">
        <f>VLOOKUP(L1879,Customers!$A$2:$C$92,3,TRUE)</f>
        <v>Carlos Hernández</v>
      </c>
      <c r="C1879" t="str">
        <f t="shared" si="494"/>
        <v>Carlos</v>
      </c>
      <c r="D1879" s="8" t="str">
        <f t="shared" si="495"/>
        <v>Hernández</v>
      </c>
      <c r="E1879" s="8" t="str">
        <f t="shared" si="496"/>
        <v>Hernández, Carlos</v>
      </c>
      <c r="F1879" s="8" t="str">
        <f t="shared" si="497"/>
        <v>Hernández, Carlos</v>
      </c>
      <c r="G1879" s="8" t="str">
        <f t="shared" si="498"/>
        <v>not an outlier</v>
      </c>
      <c r="H1879" s="8" t="str">
        <f t="shared" si="499"/>
        <v>Not</v>
      </c>
      <c r="I1879" s="8" t="str">
        <f t="shared" si="509"/>
        <v>no</v>
      </c>
      <c r="J1879" s="10" t="str">
        <f t="shared" si="500"/>
        <v>no</v>
      </c>
      <c r="K1879" s="10" t="str">
        <f t="shared" si="501"/>
        <v>no</v>
      </c>
      <c r="L1879" t="s">
        <v>273</v>
      </c>
      <c r="M1879">
        <v>10976</v>
      </c>
      <c r="N1879">
        <v>28</v>
      </c>
      <c r="O1879" t="s">
        <v>727</v>
      </c>
      <c r="P1879" t="str">
        <f t="shared" si="502"/>
        <v>HILAA_10976_Rössle Sauerkraut</v>
      </c>
      <c r="Q1879" t="str">
        <f t="shared" si="503"/>
        <v>10976</v>
      </c>
      <c r="R1879" t="str">
        <f t="shared" si="504"/>
        <v>10976</v>
      </c>
      <c r="S1879" t="str">
        <f t="shared" si="505"/>
        <v>Rössle Sauerkraut</v>
      </c>
      <c r="T1879">
        <v>45.6</v>
      </c>
      <c r="U1879">
        <v>20</v>
      </c>
      <c r="V1879">
        <v>0</v>
      </c>
      <c r="W1879">
        <f t="shared" si="506"/>
        <v>912</v>
      </c>
      <c r="X1879" t="str">
        <f t="shared" si="507"/>
        <v>yes</v>
      </c>
      <c r="Y1879" s="2">
        <v>35179</v>
      </c>
      <c r="Z1879" t="str">
        <f t="shared" si="493"/>
        <v/>
      </c>
      <c r="AA1879" t="str">
        <f t="shared" si="508"/>
        <v>2nd Q 1996</v>
      </c>
      <c r="AB1879" t="str" cm="1">
        <f t="array" ref="AB1879">_xlfn.IFS(Y1879&lt;DATE(1996,1,1),"",Y1879&lt;DATE(1996,4,1),"Q1",Y1879&lt;DATE(1996,7,1),"Q2",Y1879&gt;=DATE(1996,7,1),"")</f>
        <v>Q2</v>
      </c>
    </row>
    <row r="1880" spans="1:28" ht="14.4" x14ac:dyDescent="0.55000000000000004">
      <c r="A1880" t="str">
        <f>VLOOKUP(L1880,Customers!$A$2:$B$92,2,FALSE)</f>
        <v>Folk och fä HB</v>
      </c>
      <c r="B1880" t="str">
        <f>VLOOKUP(L1880,Customers!$A$2:$C$92,3,TRUE)</f>
        <v>Maria Larsson</v>
      </c>
      <c r="C1880" t="str">
        <f t="shared" si="494"/>
        <v>Maria</v>
      </c>
      <c r="D1880" s="8" t="str">
        <f t="shared" si="495"/>
        <v>Larsson</v>
      </c>
      <c r="E1880" s="8" t="str">
        <f t="shared" si="496"/>
        <v>Larsson, Maria</v>
      </c>
      <c r="F1880" s="8" t="str">
        <f t="shared" si="497"/>
        <v>Larsson, Maria</v>
      </c>
      <c r="G1880" s="8" t="str">
        <f t="shared" si="498"/>
        <v>not an outlier</v>
      </c>
      <c r="H1880" s="8" t="str">
        <f t="shared" si="499"/>
        <v>Not</v>
      </c>
      <c r="I1880" s="8" t="str">
        <f t="shared" si="509"/>
        <v>no</v>
      </c>
      <c r="J1880" s="10" t="str">
        <f t="shared" si="500"/>
        <v>no</v>
      </c>
      <c r="K1880" s="10" t="str">
        <f t="shared" si="501"/>
        <v>no</v>
      </c>
      <c r="L1880" t="s">
        <v>191</v>
      </c>
      <c r="M1880">
        <v>10977</v>
      </c>
      <c r="N1880">
        <v>39</v>
      </c>
      <c r="O1880" t="s">
        <v>696</v>
      </c>
      <c r="P1880" t="str">
        <f t="shared" si="502"/>
        <v>FOLKO_10977_Chartreuse verte</v>
      </c>
      <c r="Q1880" t="str">
        <f t="shared" si="503"/>
        <v>10977</v>
      </c>
      <c r="R1880" t="str">
        <f t="shared" si="504"/>
        <v>10977</v>
      </c>
      <c r="S1880" t="str">
        <f t="shared" si="505"/>
        <v>Chartreuse verte</v>
      </c>
      <c r="T1880">
        <v>18</v>
      </c>
      <c r="U1880">
        <v>30</v>
      </c>
      <c r="V1880">
        <v>0</v>
      </c>
      <c r="W1880">
        <f t="shared" si="506"/>
        <v>540</v>
      </c>
      <c r="X1880" t="str">
        <f t="shared" si="507"/>
        <v>yes</v>
      </c>
      <c r="Y1880" s="2">
        <v>35180</v>
      </c>
      <c r="Z1880" t="str">
        <f t="shared" si="493"/>
        <v/>
      </c>
      <c r="AA1880" t="str">
        <f t="shared" si="508"/>
        <v>2nd Q 1996</v>
      </c>
      <c r="AB1880" t="str" cm="1">
        <f t="array" ref="AB1880">_xlfn.IFS(Y1880&lt;DATE(1996,1,1),"",Y1880&lt;DATE(1996,4,1),"Q1",Y1880&lt;DATE(1996,7,1),"Q2",Y1880&gt;=DATE(1996,7,1),"")</f>
        <v>Q2</v>
      </c>
    </row>
    <row r="1881" spans="1:28" ht="14.4" x14ac:dyDescent="0.55000000000000004">
      <c r="A1881" t="str">
        <f>VLOOKUP(L1881,Customers!$A$2:$B$92,2,FALSE)</f>
        <v>Folk och fä HB</v>
      </c>
      <c r="B1881" t="str">
        <f>VLOOKUP(L1881,Customers!$A$2:$C$92,3,TRUE)</f>
        <v>Maria Larsson</v>
      </c>
      <c r="C1881" t="str">
        <f t="shared" si="494"/>
        <v>Maria</v>
      </c>
      <c r="D1881" s="8" t="str">
        <f t="shared" si="495"/>
        <v>Larsson</v>
      </c>
      <c r="E1881" s="8" t="str">
        <f t="shared" si="496"/>
        <v>Larsson, Maria</v>
      </c>
      <c r="F1881" s="8" t="str">
        <f t="shared" si="497"/>
        <v>Larsson, Maria</v>
      </c>
      <c r="G1881" s="8" t="str">
        <f t="shared" si="498"/>
        <v>not an outlier</v>
      </c>
      <c r="H1881" s="8" t="str">
        <f t="shared" si="499"/>
        <v>Not</v>
      </c>
      <c r="I1881" s="8" t="str">
        <f t="shared" si="509"/>
        <v>no</v>
      </c>
      <c r="J1881" s="10" t="str">
        <f t="shared" si="500"/>
        <v>no</v>
      </c>
      <c r="K1881" s="10" t="str">
        <f t="shared" si="501"/>
        <v>no</v>
      </c>
      <c r="L1881" t="s">
        <v>191</v>
      </c>
      <c r="M1881">
        <v>10977</v>
      </c>
      <c r="N1881">
        <v>47</v>
      </c>
      <c r="O1881" t="s">
        <v>752</v>
      </c>
      <c r="P1881" t="str">
        <f t="shared" si="502"/>
        <v>FOLKO_10977_Zaanse koeken</v>
      </c>
      <c r="Q1881" t="str">
        <f t="shared" si="503"/>
        <v>10977</v>
      </c>
      <c r="R1881" t="str">
        <f t="shared" si="504"/>
        <v>10977</v>
      </c>
      <c r="S1881" t="str">
        <f t="shared" si="505"/>
        <v>Zaanse koeken</v>
      </c>
      <c r="T1881">
        <v>9.5</v>
      </c>
      <c r="U1881">
        <v>30</v>
      </c>
      <c r="V1881">
        <v>0</v>
      </c>
      <c r="W1881">
        <f t="shared" si="506"/>
        <v>285</v>
      </c>
      <c r="X1881" t="str">
        <f t="shared" si="507"/>
        <v>yes</v>
      </c>
      <c r="Y1881" s="2">
        <v>35180</v>
      </c>
      <c r="Z1881" t="str">
        <f t="shared" si="493"/>
        <v/>
      </c>
      <c r="AA1881" t="str">
        <f t="shared" si="508"/>
        <v>2nd Q 1996</v>
      </c>
      <c r="AB1881" t="str" cm="1">
        <f t="array" ref="AB1881">_xlfn.IFS(Y1881&lt;DATE(1996,1,1),"",Y1881&lt;DATE(1996,4,1),"Q1",Y1881&lt;DATE(1996,7,1),"Q2",Y1881&gt;=DATE(1996,7,1),"")</f>
        <v>Q2</v>
      </c>
    </row>
    <row r="1882" spans="1:28" ht="14.4" x14ac:dyDescent="0.55000000000000004">
      <c r="A1882" t="str">
        <f>VLOOKUP(L1882,Customers!$A$2:$B$92,2,FALSE)</f>
        <v>Folk och fä HB</v>
      </c>
      <c r="B1882" t="str">
        <f>VLOOKUP(L1882,Customers!$A$2:$C$92,3,TRUE)</f>
        <v>Maria Larsson</v>
      </c>
      <c r="C1882" t="str">
        <f t="shared" si="494"/>
        <v>Maria</v>
      </c>
      <c r="D1882" s="8" t="str">
        <f t="shared" si="495"/>
        <v>Larsson</v>
      </c>
      <c r="E1882" s="8" t="str">
        <f t="shared" si="496"/>
        <v>Larsson, Maria</v>
      </c>
      <c r="F1882" s="8" t="str">
        <f t="shared" si="497"/>
        <v>Larsson, Maria</v>
      </c>
      <c r="G1882" s="8" t="str">
        <f t="shared" si="498"/>
        <v>not an outlier</v>
      </c>
      <c r="H1882" s="8" t="str">
        <f t="shared" si="499"/>
        <v>Not</v>
      </c>
      <c r="I1882" s="8" t="str">
        <f t="shared" si="509"/>
        <v>no</v>
      </c>
      <c r="J1882" s="10" t="str">
        <f t="shared" si="500"/>
        <v>no</v>
      </c>
      <c r="K1882" s="10" t="str">
        <f t="shared" si="501"/>
        <v>no</v>
      </c>
      <c r="L1882" t="s">
        <v>191</v>
      </c>
      <c r="M1882">
        <v>10977</v>
      </c>
      <c r="N1882">
        <v>51</v>
      </c>
      <c r="O1882" t="s">
        <v>687</v>
      </c>
      <c r="P1882" t="str">
        <f t="shared" si="502"/>
        <v>FOLKO_10977_Manjimup Dried Apples</v>
      </c>
      <c r="Q1882" t="str">
        <f t="shared" si="503"/>
        <v>10977</v>
      </c>
      <c r="R1882" t="str">
        <f t="shared" si="504"/>
        <v>10977</v>
      </c>
      <c r="S1882" t="str">
        <f t="shared" si="505"/>
        <v>Manjimup Dried Apples</v>
      </c>
      <c r="T1882">
        <v>53</v>
      </c>
      <c r="U1882">
        <v>10</v>
      </c>
      <c r="V1882">
        <v>0</v>
      </c>
      <c r="W1882">
        <f t="shared" si="506"/>
        <v>530</v>
      </c>
      <c r="X1882" t="str">
        <f t="shared" si="507"/>
        <v>yes</v>
      </c>
      <c r="Y1882" s="2">
        <v>35180</v>
      </c>
      <c r="Z1882" t="str">
        <f t="shared" si="493"/>
        <v/>
      </c>
      <c r="AA1882" t="str">
        <f t="shared" si="508"/>
        <v>2nd Q 1996</v>
      </c>
      <c r="AB1882" t="str" cm="1">
        <f t="array" ref="AB1882">_xlfn.IFS(Y1882&lt;DATE(1996,1,1),"",Y1882&lt;DATE(1996,4,1),"Q1",Y1882&lt;DATE(1996,7,1),"Q2",Y1882&gt;=DATE(1996,7,1),"")</f>
        <v>Q2</v>
      </c>
    </row>
    <row r="1883" spans="1:28" ht="14.4" x14ac:dyDescent="0.55000000000000004">
      <c r="A1883" t="str">
        <f>VLOOKUP(L1883,Customers!$A$2:$B$92,2,FALSE)</f>
        <v>Folk och fä HB</v>
      </c>
      <c r="B1883" t="str">
        <f>VLOOKUP(L1883,Customers!$A$2:$C$92,3,TRUE)</f>
        <v>Maria Larsson</v>
      </c>
      <c r="C1883" t="str">
        <f t="shared" si="494"/>
        <v>Maria</v>
      </c>
      <c r="D1883" s="8" t="str">
        <f t="shared" si="495"/>
        <v>Larsson</v>
      </c>
      <c r="E1883" s="8" t="str">
        <f t="shared" si="496"/>
        <v>Larsson, Maria</v>
      </c>
      <c r="F1883" s="8" t="str">
        <f t="shared" si="497"/>
        <v>Larsson, Maria</v>
      </c>
      <c r="G1883" s="8" t="str">
        <f t="shared" si="498"/>
        <v>not an outlier</v>
      </c>
      <c r="H1883" s="8" t="str">
        <f t="shared" si="499"/>
        <v>Not</v>
      </c>
      <c r="I1883" s="8" t="str">
        <f t="shared" si="509"/>
        <v>no</v>
      </c>
      <c r="J1883" s="10" t="str">
        <f t="shared" si="500"/>
        <v>no</v>
      </c>
      <c r="K1883" s="10" t="str">
        <f t="shared" si="501"/>
        <v>no</v>
      </c>
      <c r="L1883" t="s">
        <v>191</v>
      </c>
      <c r="M1883">
        <v>10977</v>
      </c>
      <c r="N1883">
        <v>63</v>
      </c>
      <c r="O1883" t="s">
        <v>729</v>
      </c>
      <c r="P1883" t="str">
        <f t="shared" si="502"/>
        <v>FOLKO_10977_Vegie-spread</v>
      </c>
      <c r="Q1883" t="str">
        <f t="shared" si="503"/>
        <v>10977</v>
      </c>
      <c r="R1883" t="str">
        <f t="shared" si="504"/>
        <v>10977</v>
      </c>
      <c r="S1883" t="str">
        <f t="shared" si="505"/>
        <v>Vegie-spread</v>
      </c>
      <c r="T1883">
        <v>43.9</v>
      </c>
      <c r="U1883">
        <v>20</v>
      </c>
      <c r="V1883">
        <v>0</v>
      </c>
      <c r="W1883">
        <f t="shared" si="506"/>
        <v>878</v>
      </c>
      <c r="X1883" t="str">
        <f t="shared" si="507"/>
        <v>yes</v>
      </c>
      <c r="Y1883" s="2">
        <v>35180</v>
      </c>
      <c r="Z1883" t="str">
        <f t="shared" si="493"/>
        <v/>
      </c>
      <c r="AA1883" t="str">
        <f t="shared" si="508"/>
        <v>2nd Q 1996</v>
      </c>
      <c r="AB1883" t="str" cm="1">
        <f t="array" ref="AB1883">_xlfn.IFS(Y1883&lt;DATE(1996,1,1),"",Y1883&lt;DATE(1996,4,1),"Q1",Y1883&lt;DATE(1996,7,1),"Q2",Y1883&gt;=DATE(1996,7,1),"")</f>
        <v>Q2</v>
      </c>
    </row>
    <row r="1884" spans="1:28" ht="14.4" x14ac:dyDescent="0.55000000000000004">
      <c r="A1884" t="str">
        <f>VLOOKUP(L1884,Customers!$A$2:$B$92,2,FALSE)</f>
        <v>Maison Dewey</v>
      </c>
      <c r="B1884" t="str">
        <f>VLOOKUP(L1884,Customers!$A$2:$C$92,3,TRUE)</f>
        <v>Catherine Dewey</v>
      </c>
      <c r="C1884" t="str">
        <f t="shared" si="494"/>
        <v>Catherine</v>
      </c>
      <c r="D1884" s="8" t="str">
        <f t="shared" si="495"/>
        <v>Dewey</v>
      </c>
      <c r="E1884" s="8" t="str">
        <f t="shared" si="496"/>
        <v>Dewey, Catherine</v>
      </c>
      <c r="F1884" s="8" t="str">
        <f t="shared" si="497"/>
        <v>Dewey, Catherine</v>
      </c>
      <c r="G1884" s="8" t="str">
        <f t="shared" si="498"/>
        <v>not an outlier</v>
      </c>
      <c r="H1884" s="8" t="str">
        <f t="shared" si="499"/>
        <v>Not</v>
      </c>
      <c r="I1884" s="8" t="str">
        <f t="shared" si="509"/>
        <v>no</v>
      </c>
      <c r="J1884" s="10" t="str">
        <f t="shared" si="500"/>
        <v>no</v>
      </c>
      <c r="K1884" s="10" t="str">
        <f t="shared" si="501"/>
        <v>no</v>
      </c>
      <c r="L1884" t="s">
        <v>385</v>
      </c>
      <c r="M1884">
        <v>10978</v>
      </c>
      <c r="N1884">
        <v>8</v>
      </c>
      <c r="O1884" t="s">
        <v>754</v>
      </c>
      <c r="P1884" t="str">
        <f t="shared" si="502"/>
        <v>MAISD_10978_Northwoods Cranberry Sauce</v>
      </c>
      <c r="Q1884" t="str">
        <f t="shared" si="503"/>
        <v>10978</v>
      </c>
      <c r="R1884" t="str">
        <f t="shared" si="504"/>
        <v>10978</v>
      </c>
      <c r="S1884" t="str">
        <f t="shared" si="505"/>
        <v>Northwoods Cranberry Sauce</v>
      </c>
      <c r="T1884">
        <v>40</v>
      </c>
      <c r="U1884">
        <v>20</v>
      </c>
      <c r="V1884">
        <v>0.15</v>
      </c>
      <c r="W1884">
        <f t="shared" si="506"/>
        <v>680</v>
      </c>
      <c r="X1884" t="str">
        <f t="shared" si="507"/>
        <v>yes</v>
      </c>
      <c r="Y1884" s="2">
        <v>35180</v>
      </c>
      <c r="Z1884" t="str">
        <f t="shared" si="493"/>
        <v/>
      </c>
      <c r="AA1884" t="str">
        <f t="shared" si="508"/>
        <v>2nd Q 1996</v>
      </c>
      <c r="AB1884" t="str" cm="1">
        <f t="array" ref="AB1884">_xlfn.IFS(Y1884&lt;DATE(1996,1,1),"",Y1884&lt;DATE(1996,4,1),"Q1",Y1884&lt;DATE(1996,7,1),"Q2",Y1884&gt;=DATE(1996,7,1),"")</f>
        <v>Q2</v>
      </c>
    </row>
    <row r="1885" spans="1:28" ht="14.4" x14ac:dyDescent="0.55000000000000004">
      <c r="A1885" t="str">
        <f>VLOOKUP(L1885,Customers!$A$2:$B$92,2,FALSE)</f>
        <v>Maison Dewey</v>
      </c>
      <c r="B1885" t="str">
        <f>VLOOKUP(L1885,Customers!$A$2:$C$92,3,TRUE)</f>
        <v>Catherine Dewey</v>
      </c>
      <c r="C1885" t="str">
        <f t="shared" si="494"/>
        <v>Catherine</v>
      </c>
      <c r="D1885" s="8" t="str">
        <f t="shared" si="495"/>
        <v>Dewey</v>
      </c>
      <c r="E1885" s="8" t="str">
        <f t="shared" si="496"/>
        <v>Dewey, Catherine</v>
      </c>
      <c r="F1885" s="8" t="str">
        <f t="shared" si="497"/>
        <v>Dewey, Catherine</v>
      </c>
      <c r="G1885" s="8" t="str">
        <f t="shared" si="498"/>
        <v>not an outlier</v>
      </c>
      <c r="H1885" s="8" t="str">
        <f t="shared" si="499"/>
        <v>Not</v>
      </c>
      <c r="I1885" s="8" t="str">
        <f t="shared" si="509"/>
        <v>no</v>
      </c>
      <c r="J1885" s="10" t="str">
        <f t="shared" si="500"/>
        <v>no</v>
      </c>
      <c r="K1885" s="10" t="str">
        <f t="shared" si="501"/>
        <v>no</v>
      </c>
      <c r="L1885" t="s">
        <v>385</v>
      </c>
      <c r="M1885">
        <v>10978</v>
      </c>
      <c r="N1885">
        <v>21</v>
      </c>
      <c r="O1885" t="s">
        <v>710</v>
      </c>
      <c r="P1885" t="str">
        <f t="shared" si="502"/>
        <v>MAISD_10978_Sir Rodney's Scones</v>
      </c>
      <c r="Q1885" t="str">
        <f t="shared" si="503"/>
        <v>10978</v>
      </c>
      <c r="R1885" t="str">
        <f t="shared" si="504"/>
        <v>10978</v>
      </c>
      <c r="S1885" t="str">
        <f t="shared" si="505"/>
        <v>Sir Rodney's Scones</v>
      </c>
      <c r="T1885">
        <v>10</v>
      </c>
      <c r="U1885">
        <v>40</v>
      </c>
      <c r="V1885">
        <v>0.15</v>
      </c>
      <c r="W1885">
        <f t="shared" si="506"/>
        <v>340</v>
      </c>
      <c r="X1885" t="str">
        <f t="shared" si="507"/>
        <v>yes</v>
      </c>
      <c r="Y1885" s="2">
        <v>35180</v>
      </c>
      <c r="Z1885" t="str">
        <f t="shared" si="493"/>
        <v/>
      </c>
      <c r="AA1885" t="str">
        <f t="shared" si="508"/>
        <v>2nd Q 1996</v>
      </c>
      <c r="AB1885" t="str" cm="1">
        <f t="array" ref="AB1885">_xlfn.IFS(Y1885&lt;DATE(1996,1,1),"",Y1885&lt;DATE(1996,4,1),"Q1",Y1885&lt;DATE(1996,7,1),"Q2",Y1885&gt;=DATE(1996,7,1),"")</f>
        <v>Q2</v>
      </c>
    </row>
    <row r="1886" spans="1:28" ht="14.4" x14ac:dyDescent="0.55000000000000004">
      <c r="A1886" t="str">
        <f>VLOOKUP(L1886,Customers!$A$2:$B$92,2,FALSE)</f>
        <v>Maison Dewey</v>
      </c>
      <c r="B1886" t="str">
        <f>VLOOKUP(L1886,Customers!$A$2:$C$92,3,TRUE)</f>
        <v>Catherine Dewey</v>
      </c>
      <c r="C1886" t="str">
        <f t="shared" si="494"/>
        <v>Catherine</v>
      </c>
      <c r="D1886" s="8" t="str">
        <f t="shared" si="495"/>
        <v>Dewey</v>
      </c>
      <c r="E1886" s="8" t="str">
        <f t="shared" si="496"/>
        <v>Dewey, Catherine</v>
      </c>
      <c r="F1886" s="8" t="str">
        <f t="shared" si="497"/>
        <v>Dewey, Catherine</v>
      </c>
      <c r="G1886" s="8" t="str">
        <f t="shared" si="498"/>
        <v>not an outlier</v>
      </c>
      <c r="H1886" s="8" t="str">
        <f t="shared" si="499"/>
        <v>Not</v>
      </c>
      <c r="I1886" s="8" t="str">
        <f t="shared" si="509"/>
        <v>no</v>
      </c>
      <c r="J1886" s="10" t="str">
        <f t="shared" si="500"/>
        <v>no</v>
      </c>
      <c r="K1886" s="10" t="str">
        <f t="shared" si="501"/>
        <v>no</v>
      </c>
      <c r="L1886" t="s">
        <v>385</v>
      </c>
      <c r="M1886">
        <v>10978</v>
      </c>
      <c r="N1886">
        <v>40</v>
      </c>
      <c r="O1886" t="s">
        <v>720</v>
      </c>
      <c r="P1886" t="str">
        <f t="shared" si="502"/>
        <v>MAISD_10978_Boston Crab Meat</v>
      </c>
      <c r="Q1886" t="str">
        <f t="shared" si="503"/>
        <v>10978</v>
      </c>
      <c r="R1886" t="str">
        <f t="shared" si="504"/>
        <v>10978</v>
      </c>
      <c r="S1886" t="str">
        <f t="shared" si="505"/>
        <v>Boston Crab Meat</v>
      </c>
      <c r="T1886">
        <v>18.399999999999999</v>
      </c>
      <c r="U1886">
        <v>10</v>
      </c>
      <c r="V1886">
        <v>0</v>
      </c>
      <c r="W1886">
        <f t="shared" si="506"/>
        <v>184</v>
      </c>
      <c r="X1886" t="str">
        <f t="shared" si="507"/>
        <v>yes</v>
      </c>
      <c r="Y1886" s="2">
        <v>35180</v>
      </c>
      <c r="Z1886" t="str">
        <f t="shared" si="493"/>
        <v/>
      </c>
      <c r="AA1886" t="str">
        <f t="shared" si="508"/>
        <v>2nd Q 1996</v>
      </c>
      <c r="AB1886" t="str" cm="1">
        <f t="array" ref="AB1886">_xlfn.IFS(Y1886&lt;DATE(1996,1,1),"",Y1886&lt;DATE(1996,4,1),"Q1",Y1886&lt;DATE(1996,7,1),"Q2",Y1886&gt;=DATE(1996,7,1),"")</f>
        <v>Q2</v>
      </c>
    </row>
    <row r="1887" spans="1:28" ht="14.4" x14ac:dyDescent="0.55000000000000004">
      <c r="A1887" t="str">
        <f>VLOOKUP(L1887,Customers!$A$2:$B$92,2,FALSE)</f>
        <v>Maison Dewey</v>
      </c>
      <c r="B1887" t="str">
        <f>VLOOKUP(L1887,Customers!$A$2:$C$92,3,TRUE)</f>
        <v>Catherine Dewey</v>
      </c>
      <c r="C1887" t="str">
        <f t="shared" si="494"/>
        <v>Catherine</v>
      </c>
      <c r="D1887" s="8" t="str">
        <f t="shared" si="495"/>
        <v>Dewey</v>
      </c>
      <c r="E1887" s="8" t="str">
        <f t="shared" si="496"/>
        <v>Dewey, Catherine</v>
      </c>
      <c r="F1887" s="8" t="str">
        <f t="shared" si="497"/>
        <v>Dewey, Catherine</v>
      </c>
      <c r="G1887" s="8" t="str">
        <f t="shared" si="498"/>
        <v>not an outlier</v>
      </c>
      <c r="H1887" s="8" t="str">
        <f t="shared" si="499"/>
        <v>Not</v>
      </c>
      <c r="I1887" s="8" t="str">
        <f t="shared" si="509"/>
        <v>no</v>
      </c>
      <c r="J1887" s="10" t="str">
        <f t="shared" si="500"/>
        <v>no</v>
      </c>
      <c r="K1887" s="10" t="str">
        <f t="shared" si="501"/>
        <v>no</v>
      </c>
      <c r="L1887" t="s">
        <v>385</v>
      </c>
      <c r="M1887">
        <v>10978</v>
      </c>
      <c r="N1887">
        <v>44</v>
      </c>
      <c r="O1887" t="s">
        <v>728</v>
      </c>
      <c r="P1887" t="str">
        <f t="shared" si="502"/>
        <v>MAISD_10978_Gula Malacca</v>
      </c>
      <c r="Q1887" t="str">
        <f t="shared" si="503"/>
        <v>10978</v>
      </c>
      <c r="R1887" t="str">
        <f t="shared" si="504"/>
        <v>10978</v>
      </c>
      <c r="S1887" t="str">
        <f t="shared" si="505"/>
        <v>Gula Malacca</v>
      </c>
      <c r="T1887">
        <v>19.45</v>
      </c>
      <c r="U1887">
        <v>6</v>
      </c>
      <c r="V1887">
        <v>0.15</v>
      </c>
      <c r="W1887">
        <f t="shared" si="506"/>
        <v>99.194999999999993</v>
      </c>
      <c r="X1887" t="str">
        <f t="shared" si="507"/>
        <v>yes</v>
      </c>
      <c r="Y1887" s="2">
        <v>35180</v>
      </c>
      <c r="Z1887" t="str">
        <f t="shared" si="493"/>
        <v/>
      </c>
      <c r="AA1887" t="str">
        <f t="shared" si="508"/>
        <v>2nd Q 1996</v>
      </c>
      <c r="AB1887" t="str" cm="1">
        <f t="array" ref="AB1887">_xlfn.IFS(Y1887&lt;DATE(1996,1,1),"",Y1887&lt;DATE(1996,4,1),"Q1",Y1887&lt;DATE(1996,7,1),"Q2",Y1887&gt;=DATE(1996,7,1),"")</f>
        <v>Q2</v>
      </c>
    </row>
    <row r="1888" spans="1:28" ht="14.4" x14ac:dyDescent="0.55000000000000004">
      <c r="A1888" t="str">
        <f>VLOOKUP(L1888,Customers!$A$2:$B$92,2,FALSE)</f>
        <v>Ernst Handel</v>
      </c>
      <c r="B1888" t="str">
        <f>VLOOKUP(L1888,Customers!$A$2:$C$92,3,TRUE)</f>
        <v>Roland Mendel</v>
      </c>
      <c r="C1888" t="str">
        <f t="shared" si="494"/>
        <v>Roland</v>
      </c>
      <c r="D1888" s="8" t="str">
        <f t="shared" si="495"/>
        <v>Mendel</v>
      </c>
      <c r="E1888" s="8" t="str">
        <f t="shared" si="496"/>
        <v>Mendel, Roland</v>
      </c>
      <c r="F1888" s="8" t="str">
        <f t="shared" si="497"/>
        <v>Mendel, Roland</v>
      </c>
      <c r="G1888" s="8" t="str">
        <f t="shared" si="498"/>
        <v>not an outlier</v>
      </c>
      <c r="H1888" s="8" t="str">
        <f t="shared" si="499"/>
        <v>Not</v>
      </c>
      <c r="I1888" s="8" t="str">
        <f t="shared" si="509"/>
        <v>no</v>
      </c>
      <c r="J1888" s="10" t="str">
        <f t="shared" si="500"/>
        <v>no</v>
      </c>
      <c r="K1888" s="10" t="str">
        <f t="shared" si="501"/>
        <v>no</v>
      </c>
      <c r="L1888" t="s">
        <v>161</v>
      </c>
      <c r="M1888">
        <v>10979</v>
      </c>
      <c r="N1888">
        <v>7</v>
      </c>
      <c r="O1888" t="s">
        <v>715</v>
      </c>
      <c r="P1888" t="str">
        <f t="shared" si="502"/>
        <v>ERNSH_10979_Uncle Bob's Organic Dried Pears</v>
      </c>
      <c r="Q1888" t="str">
        <f t="shared" si="503"/>
        <v>10979</v>
      </c>
      <c r="R1888" t="str">
        <f t="shared" si="504"/>
        <v>10979</v>
      </c>
      <c r="S1888" t="str">
        <f t="shared" si="505"/>
        <v>Uncle Bob's Organic Dried Pears</v>
      </c>
      <c r="T1888">
        <v>30</v>
      </c>
      <c r="U1888">
        <v>18</v>
      </c>
      <c r="V1888">
        <v>0</v>
      </c>
      <c r="W1888">
        <f t="shared" si="506"/>
        <v>540</v>
      </c>
      <c r="X1888" t="str">
        <f t="shared" si="507"/>
        <v>yes</v>
      </c>
      <c r="Y1888" s="2">
        <v>35180</v>
      </c>
      <c r="Z1888" t="str">
        <f t="shared" si="493"/>
        <v/>
      </c>
      <c r="AA1888" t="str">
        <f t="shared" si="508"/>
        <v>2nd Q 1996</v>
      </c>
      <c r="AB1888" t="str" cm="1">
        <f t="array" ref="AB1888">_xlfn.IFS(Y1888&lt;DATE(1996,1,1),"",Y1888&lt;DATE(1996,4,1),"Q1",Y1888&lt;DATE(1996,7,1),"Q2",Y1888&gt;=DATE(1996,7,1),"")</f>
        <v>Q2</v>
      </c>
    </row>
    <row r="1889" spans="1:28" ht="14.4" x14ac:dyDescent="0.55000000000000004">
      <c r="A1889" t="str">
        <f>VLOOKUP(L1889,Customers!$A$2:$B$92,2,FALSE)</f>
        <v>Ernst Handel</v>
      </c>
      <c r="B1889" t="str">
        <f>VLOOKUP(L1889,Customers!$A$2:$C$92,3,TRUE)</f>
        <v>Roland Mendel</v>
      </c>
      <c r="C1889" t="str">
        <f t="shared" si="494"/>
        <v>Roland</v>
      </c>
      <c r="D1889" s="8" t="str">
        <f t="shared" si="495"/>
        <v>Mendel</v>
      </c>
      <c r="E1889" s="8" t="str">
        <f t="shared" si="496"/>
        <v>Mendel, Roland</v>
      </c>
      <c r="F1889" s="8" t="str">
        <f t="shared" si="497"/>
        <v>Mendel, Roland</v>
      </c>
      <c r="G1889" s="8" t="str">
        <f t="shared" si="498"/>
        <v>not an outlier</v>
      </c>
      <c r="H1889" s="8" t="str">
        <f t="shared" si="499"/>
        <v>Not</v>
      </c>
      <c r="I1889" s="8" t="str">
        <f t="shared" si="509"/>
        <v>no</v>
      </c>
      <c r="J1889" s="10" t="str">
        <f t="shared" si="500"/>
        <v>no</v>
      </c>
      <c r="K1889" s="10" t="str">
        <f t="shared" si="501"/>
        <v>no</v>
      </c>
      <c r="L1889" t="s">
        <v>161</v>
      </c>
      <c r="M1889">
        <v>10979</v>
      </c>
      <c r="N1889">
        <v>12</v>
      </c>
      <c r="O1889" t="s">
        <v>719</v>
      </c>
      <c r="P1889" t="str">
        <f t="shared" si="502"/>
        <v>ERNSH_10979_Queso Manchego La Pastora</v>
      </c>
      <c r="Q1889" t="str">
        <f t="shared" si="503"/>
        <v>10979</v>
      </c>
      <c r="R1889" t="str">
        <f t="shared" si="504"/>
        <v>10979</v>
      </c>
      <c r="S1889" t="str">
        <f t="shared" si="505"/>
        <v>Queso Manchego La Pastora</v>
      </c>
      <c r="T1889">
        <v>38</v>
      </c>
      <c r="U1889">
        <v>20</v>
      </c>
      <c r="V1889">
        <v>0</v>
      </c>
      <c r="W1889">
        <f t="shared" si="506"/>
        <v>760</v>
      </c>
      <c r="X1889" t="str">
        <f t="shared" si="507"/>
        <v>yes</v>
      </c>
      <c r="Y1889" s="2">
        <v>35180</v>
      </c>
      <c r="Z1889" t="str">
        <f t="shared" si="493"/>
        <v/>
      </c>
      <c r="AA1889" t="str">
        <f t="shared" si="508"/>
        <v>2nd Q 1996</v>
      </c>
      <c r="AB1889" t="str" cm="1">
        <f t="array" ref="AB1889">_xlfn.IFS(Y1889&lt;DATE(1996,1,1),"",Y1889&lt;DATE(1996,4,1),"Q1",Y1889&lt;DATE(1996,7,1),"Q2",Y1889&gt;=DATE(1996,7,1),"")</f>
        <v>Q2</v>
      </c>
    </row>
    <row r="1890" spans="1:28" ht="14.4" x14ac:dyDescent="0.55000000000000004">
      <c r="A1890" t="str">
        <f>VLOOKUP(L1890,Customers!$A$2:$B$92,2,FALSE)</f>
        <v>Ernst Handel</v>
      </c>
      <c r="B1890" t="str">
        <f>VLOOKUP(L1890,Customers!$A$2:$C$92,3,TRUE)</f>
        <v>Roland Mendel</v>
      </c>
      <c r="C1890" t="str">
        <f t="shared" si="494"/>
        <v>Roland</v>
      </c>
      <c r="D1890" s="8" t="str">
        <f t="shared" si="495"/>
        <v>Mendel</v>
      </c>
      <c r="E1890" s="8" t="str">
        <f t="shared" si="496"/>
        <v>Mendel, Roland</v>
      </c>
      <c r="F1890" s="8" t="str">
        <f t="shared" si="497"/>
        <v>Mendel, Roland</v>
      </c>
      <c r="G1890" s="8" t="str">
        <f t="shared" si="498"/>
        <v>not an outlier</v>
      </c>
      <c r="H1890" s="8" t="str">
        <f t="shared" si="499"/>
        <v>Not</v>
      </c>
      <c r="I1890" s="8" t="str">
        <f t="shared" si="509"/>
        <v>no</v>
      </c>
      <c r="J1890" s="10" t="str">
        <f t="shared" si="500"/>
        <v>no</v>
      </c>
      <c r="K1890" s="10" t="str">
        <f t="shared" si="501"/>
        <v>no</v>
      </c>
      <c r="L1890" t="s">
        <v>161</v>
      </c>
      <c r="M1890">
        <v>10979</v>
      </c>
      <c r="N1890">
        <v>24</v>
      </c>
      <c r="O1890" t="s">
        <v>698</v>
      </c>
      <c r="P1890" t="str">
        <f t="shared" si="502"/>
        <v>ERNSH_10979_Guaraná Fantástica</v>
      </c>
      <c r="Q1890" t="str">
        <f t="shared" si="503"/>
        <v>10979</v>
      </c>
      <c r="R1890" t="str">
        <f t="shared" si="504"/>
        <v>10979</v>
      </c>
      <c r="S1890" t="str">
        <f t="shared" si="505"/>
        <v>Guaraná Fantástica</v>
      </c>
      <c r="T1890">
        <v>4.5</v>
      </c>
      <c r="U1890">
        <v>80</v>
      </c>
      <c r="V1890">
        <v>0</v>
      </c>
      <c r="W1890">
        <f t="shared" si="506"/>
        <v>360</v>
      </c>
      <c r="X1890" t="str">
        <f t="shared" si="507"/>
        <v>yes</v>
      </c>
      <c r="Y1890" s="2">
        <v>35180</v>
      </c>
      <c r="Z1890" t="str">
        <f t="shared" si="493"/>
        <v/>
      </c>
      <c r="AA1890" t="str">
        <f t="shared" si="508"/>
        <v>2nd Q 1996</v>
      </c>
      <c r="AB1890" t="str" cm="1">
        <f t="array" ref="AB1890">_xlfn.IFS(Y1890&lt;DATE(1996,1,1),"",Y1890&lt;DATE(1996,4,1),"Q1",Y1890&lt;DATE(1996,7,1),"Q2",Y1890&gt;=DATE(1996,7,1),"")</f>
        <v>Q2</v>
      </c>
    </row>
    <row r="1891" spans="1:28" ht="14.4" x14ac:dyDescent="0.55000000000000004">
      <c r="A1891" t="str">
        <f>VLOOKUP(L1891,Customers!$A$2:$B$92,2,FALSE)</f>
        <v>Ernst Handel</v>
      </c>
      <c r="B1891" t="str">
        <f>VLOOKUP(L1891,Customers!$A$2:$C$92,3,TRUE)</f>
        <v>Roland Mendel</v>
      </c>
      <c r="C1891" t="str">
        <f t="shared" si="494"/>
        <v>Roland</v>
      </c>
      <c r="D1891" s="8" t="str">
        <f t="shared" si="495"/>
        <v>Mendel</v>
      </c>
      <c r="E1891" s="8" t="str">
        <f t="shared" si="496"/>
        <v>Mendel, Roland</v>
      </c>
      <c r="F1891" s="8" t="str">
        <f t="shared" si="497"/>
        <v>Mendel, Roland</v>
      </c>
      <c r="G1891" s="8" t="str">
        <f t="shared" si="498"/>
        <v>not an outlier</v>
      </c>
      <c r="H1891" s="8" t="str">
        <f t="shared" si="499"/>
        <v>Not</v>
      </c>
      <c r="I1891" s="8" t="str">
        <f t="shared" si="509"/>
        <v>no</v>
      </c>
      <c r="J1891" s="10" t="str">
        <f t="shared" si="500"/>
        <v>no</v>
      </c>
      <c r="K1891" s="10" t="str">
        <f t="shared" si="501"/>
        <v>no</v>
      </c>
      <c r="L1891" t="s">
        <v>161</v>
      </c>
      <c r="M1891">
        <v>10979</v>
      </c>
      <c r="N1891">
        <v>27</v>
      </c>
      <c r="O1891" t="s">
        <v>707</v>
      </c>
      <c r="P1891" t="str">
        <f t="shared" si="502"/>
        <v>ERNSH_10979_Schoggi Schokolade</v>
      </c>
      <c r="Q1891" t="str">
        <f t="shared" si="503"/>
        <v>10979</v>
      </c>
      <c r="R1891" t="str">
        <f t="shared" si="504"/>
        <v>10979</v>
      </c>
      <c r="S1891" t="str">
        <f t="shared" si="505"/>
        <v>Schoggi Schokolade</v>
      </c>
      <c r="T1891">
        <v>43.9</v>
      </c>
      <c r="U1891">
        <v>30</v>
      </c>
      <c r="V1891">
        <v>0</v>
      </c>
      <c r="W1891">
        <f t="shared" si="506"/>
        <v>1317</v>
      </c>
      <c r="X1891" t="str">
        <f t="shared" si="507"/>
        <v>yes</v>
      </c>
      <c r="Y1891" s="2">
        <v>35180</v>
      </c>
      <c r="Z1891" t="str">
        <f t="shared" si="493"/>
        <v/>
      </c>
      <c r="AA1891" t="str">
        <f t="shared" si="508"/>
        <v>2nd Q 1996</v>
      </c>
      <c r="AB1891" t="str" cm="1">
        <f t="array" ref="AB1891">_xlfn.IFS(Y1891&lt;DATE(1996,1,1),"",Y1891&lt;DATE(1996,4,1),"Q1",Y1891&lt;DATE(1996,7,1),"Q2",Y1891&gt;=DATE(1996,7,1),"")</f>
        <v>Q2</v>
      </c>
    </row>
    <row r="1892" spans="1:28" ht="14.4" x14ac:dyDescent="0.55000000000000004">
      <c r="A1892" t="str">
        <f>VLOOKUP(L1892,Customers!$A$2:$B$92,2,FALSE)</f>
        <v>Ernst Handel</v>
      </c>
      <c r="B1892" t="str">
        <f>VLOOKUP(L1892,Customers!$A$2:$C$92,3,TRUE)</f>
        <v>Roland Mendel</v>
      </c>
      <c r="C1892" t="str">
        <f t="shared" si="494"/>
        <v>Roland</v>
      </c>
      <c r="D1892" s="8" t="str">
        <f t="shared" si="495"/>
        <v>Mendel</v>
      </c>
      <c r="E1892" s="8" t="str">
        <f t="shared" si="496"/>
        <v>Mendel, Roland</v>
      </c>
      <c r="F1892" s="8" t="str">
        <f t="shared" si="497"/>
        <v>Mendel, Roland</v>
      </c>
      <c r="G1892" s="8" t="str">
        <f t="shared" si="498"/>
        <v>not an outlier</v>
      </c>
      <c r="H1892" s="8" t="str">
        <f t="shared" si="499"/>
        <v>Not</v>
      </c>
      <c r="I1892" s="8" t="str">
        <f t="shared" si="509"/>
        <v>no</v>
      </c>
      <c r="J1892" s="10" t="str">
        <f t="shared" si="500"/>
        <v>no</v>
      </c>
      <c r="K1892" s="10" t="str">
        <f t="shared" si="501"/>
        <v>no</v>
      </c>
      <c r="L1892" t="s">
        <v>161</v>
      </c>
      <c r="M1892">
        <v>10979</v>
      </c>
      <c r="N1892">
        <v>31</v>
      </c>
      <c r="O1892" t="s">
        <v>695</v>
      </c>
      <c r="P1892" t="str">
        <f t="shared" si="502"/>
        <v>ERNSH_10979_Gorgonzola Telino</v>
      </c>
      <c r="Q1892" t="str">
        <f t="shared" si="503"/>
        <v>10979</v>
      </c>
      <c r="R1892" t="str">
        <f t="shared" si="504"/>
        <v>10979</v>
      </c>
      <c r="S1892" t="str">
        <f t="shared" si="505"/>
        <v>Gorgonzola Telino</v>
      </c>
      <c r="T1892">
        <v>12.5</v>
      </c>
      <c r="U1892">
        <v>24</v>
      </c>
      <c r="V1892">
        <v>0</v>
      </c>
      <c r="W1892">
        <f t="shared" si="506"/>
        <v>300</v>
      </c>
      <c r="X1892" t="str">
        <f t="shared" si="507"/>
        <v>yes</v>
      </c>
      <c r="Y1892" s="2">
        <v>35180</v>
      </c>
      <c r="Z1892" t="str">
        <f t="shared" si="493"/>
        <v/>
      </c>
      <c r="AA1892" t="str">
        <f t="shared" si="508"/>
        <v>2nd Q 1996</v>
      </c>
      <c r="AB1892" t="str" cm="1">
        <f t="array" ref="AB1892">_xlfn.IFS(Y1892&lt;DATE(1996,1,1),"",Y1892&lt;DATE(1996,4,1),"Q1",Y1892&lt;DATE(1996,7,1),"Q2",Y1892&gt;=DATE(1996,7,1),"")</f>
        <v>Q2</v>
      </c>
    </row>
    <row r="1893" spans="1:28" ht="14.4" x14ac:dyDescent="0.55000000000000004">
      <c r="A1893" t="str">
        <f>VLOOKUP(L1893,Customers!$A$2:$B$92,2,FALSE)</f>
        <v>Ernst Handel</v>
      </c>
      <c r="B1893" t="str">
        <f>VLOOKUP(L1893,Customers!$A$2:$C$92,3,TRUE)</f>
        <v>Roland Mendel</v>
      </c>
      <c r="C1893" t="str">
        <f t="shared" si="494"/>
        <v>Roland</v>
      </c>
      <c r="D1893" s="8" t="str">
        <f t="shared" si="495"/>
        <v>Mendel</v>
      </c>
      <c r="E1893" s="8" t="str">
        <f t="shared" si="496"/>
        <v>Mendel, Roland</v>
      </c>
      <c r="F1893" s="8" t="str">
        <f t="shared" si="497"/>
        <v>Mendel, Roland</v>
      </c>
      <c r="G1893" s="8" t="str">
        <f t="shared" si="498"/>
        <v>not an outlier</v>
      </c>
      <c r="H1893" s="8" t="str">
        <f t="shared" si="499"/>
        <v>Not</v>
      </c>
      <c r="I1893" s="8" t="str">
        <f t="shared" si="509"/>
        <v>no</v>
      </c>
      <c r="J1893" s="10" t="str">
        <f t="shared" si="500"/>
        <v>no</v>
      </c>
      <c r="K1893" s="10" t="str">
        <f t="shared" si="501"/>
        <v>no</v>
      </c>
      <c r="L1893" t="s">
        <v>161</v>
      </c>
      <c r="M1893">
        <v>10979</v>
      </c>
      <c r="N1893">
        <v>63</v>
      </c>
      <c r="O1893" t="s">
        <v>729</v>
      </c>
      <c r="P1893" t="str">
        <f t="shared" si="502"/>
        <v>ERNSH_10979_Vegie-spread</v>
      </c>
      <c r="Q1893" t="str">
        <f t="shared" si="503"/>
        <v>10979</v>
      </c>
      <c r="R1893" t="str">
        <f t="shared" si="504"/>
        <v>10979</v>
      </c>
      <c r="S1893" t="str">
        <f t="shared" si="505"/>
        <v>Vegie-spread</v>
      </c>
      <c r="T1893">
        <v>43.9</v>
      </c>
      <c r="U1893">
        <v>35</v>
      </c>
      <c r="V1893">
        <v>0</v>
      </c>
      <c r="W1893">
        <f t="shared" si="506"/>
        <v>1536.5</v>
      </c>
      <c r="X1893" t="str">
        <f t="shared" si="507"/>
        <v>yes</v>
      </c>
      <c r="Y1893" s="2">
        <v>35180</v>
      </c>
      <c r="Z1893" t="str">
        <f t="shared" si="493"/>
        <v/>
      </c>
      <c r="AA1893" t="str">
        <f t="shared" si="508"/>
        <v>2nd Q 1996</v>
      </c>
      <c r="AB1893" t="str" cm="1">
        <f t="array" ref="AB1893">_xlfn.IFS(Y1893&lt;DATE(1996,1,1),"",Y1893&lt;DATE(1996,4,1),"Q1",Y1893&lt;DATE(1996,7,1),"Q2",Y1893&gt;=DATE(1996,7,1),"")</f>
        <v>Q2</v>
      </c>
    </row>
    <row r="1894" spans="1:28" ht="14.4" x14ac:dyDescent="0.55000000000000004">
      <c r="A1894" t="str">
        <f>VLOOKUP(L1894,Customers!$A$2:$B$92,2,FALSE)</f>
        <v>Folk och fä HB</v>
      </c>
      <c r="B1894" t="str">
        <f>VLOOKUP(L1894,Customers!$A$2:$C$92,3,TRUE)</f>
        <v>Maria Larsson</v>
      </c>
      <c r="C1894" t="str">
        <f t="shared" si="494"/>
        <v>Maria</v>
      </c>
      <c r="D1894" s="8" t="str">
        <f t="shared" si="495"/>
        <v>Larsson</v>
      </c>
      <c r="E1894" s="8" t="str">
        <f t="shared" si="496"/>
        <v>Larsson, Maria</v>
      </c>
      <c r="F1894" s="8" t="str">
        <f t="shared" si="497"/>
        <v>Larsson, Maria</v>
      </c>
      <c r="G1894" s="8" t="str">
        <f t="shared" si="498"/>
        <v>not an outlier</v>
      </c>
      <c r="H1894" s="8" t="str">
        <f t="shared" si="499"/>
        <v>Not</v>
      </c>
      <c r="I1894" s="8" t="str">
        <f t="shared" si="509"/>
        <v>no</v>
      </c>
      <c r="J1894" s="10" t="str">
        <f t="shared" si="500"/>
        <v>no</v>
      </c>
      <c r="K1894" s="10" t="str">
        <f t="shared" si="501"/>
        <v>no</v>
      </c>
      <c r="L1894" t="s">
        <v>191</v>
      </c>
      <c r="M1894">
        <v>10980</v>
      </c>
      <c r="N1894">
        <v>75</v>
      </c>
      <c r="O1894" t="s">
        <v>731</v>
      </c>
      <c r="P1894" t="str">
        <f t="shared" si="502"/>
        <v>FOLKO_10980_Rhönbräu Klosterbier</v>
      </c>
      <c r="Q1894" t="str">
        <f t="shared" si="503"/>
        <v>10980</v>
      </c>
      <c r="R1894" t="str">
        <f t="shared" si="504"/>
        <v>10980</v>
      </c>
      <c r="S1894" t="str">
        <f t="shared" si="505"/>
        <v>Rhönbräu Klosterbier</v>
      </c>
      <c r="T1894">
        <v>7.75</v>
      </c>
      <c r="U1894">
        <v>40</v>
      </c>
      <c r="V1894">
        <v>0.2</v>
      </c>
      <c r="W1894">
        <f t="shared" si="506"/>
        <v>248</v>
      </c>
      <c r="X1894" t="str">
        <f t="shared" si="507"/>
        <v>yes</v>
      </c>
      <c r="Y1894" s="2">
        <v>35181</v>
      </c>
      <c r="Z1894" t="str">
        <f t="shared" si="493"/>
        <v/>
      </c>
      <c r="AA1894" t="str">
        <f t="shared" si="508"/>
        <v>2nd Q 1996</v>
      </c>
      <c r="AB1894" t="str" cm="1">
        <f t="array" ref="AB1894">_xlfn.IFS(Y1894&lt;DATE(1996,1,1),"",Y1894&lt;DATE(1996,4,1),"Q1",Y1894&lt;DATE(1996,7,1),"Q2",Y1894&gt;=DATE(1996,7,1),"")</f>
        <v>Q2</v>
      </c>
    </row>
    <row r="1895" spans="1:28" ht="14.4" x14ac:dyDescent="0.55000000000000004">
      <c r="A1895" t="str">
        <f>VLOOKUP(L1895,Customers!$A$2:$B$92,2,FALSE)</f>
        <v>Hanari Carnes</v>
      </c>
      <c r="B1895" t="str">
        <f>VLOOKUP(L1895,Customers!$A$2:$C$92,3,TRUE)</f>
        <v>Mario Pontes</v>
      </c>
      <c r="C1895" t="str">
        <f t="shared" si="494"/>
        <v>Mario</v>
      </c>
      <c r="D1895" s="8" t="str">
        <f t="shared" si="495"/>
        <v>Pontes</v>
      </c>
      <c r="E1895" s="8" t="str">
        <f t="shared" si="496"/>
        <v>Pontes, Mario</v>
      </c>
      <c r="F1895" s="8" t="str">
        <f t="shared" si="497"/>
        <v>Pontes, Mario</v>
      </c>
      <c r="G1895" s="8" t="str">
        <f t="shared" si="498"/>
        <v>outlier</v>
      </c>
      <c r="H1895" s="8" t="str">
        <f t="shared" si="499"/>
        <v>outlier</v>
      </c>
      <c r="I1895" s="8" t="str">
        <f t="shared" si="509"/>
        <v>yes</v>
      </c>
      <c r="J1895" s="10" t="str">
        <f t="shared" si="500"/>
        <v>yes</v>
      </c>
      <c r="K1895" s="10" t="str">
        <f t="shared" si="501"/>
        <v>yes</v>
      </c>
      <c r="L1895" t="s">
        <v>264</v>
      </c>
      <c r="M1895">
        <v>10981</v>
      </c>
      <c r="N1895">
        <v>38</v>
      </c>
      <c r="O1895" t="s">
        <v>750</v>
      </c>
      <c r="P1895" t="str">
        <f t="shared" si="502"/>
        <v>HANAR_10981_Côte de Blaye</v>
      </c>
      <c r="Q1895" t="str">
        <f t="shared" si="503"/>
        <v>10981</v>
      </c>
      <c r="R1895" t="str">
        <f t="shared" si="504"/>
        <v>10981</v>
      </c>
      <c r="S1895" t="str">
        <f t="shared" si="505"/>
        <v>Côte de Blaye</v>
      </c>
      <c r="T1895">
        <v>263.5</v>
      </c>
      <c r="U1895">
        <v>60</v>
      </c>
      <c r="V1895">
        <v>0</v>
      </c>
      <c r="W1895">
        <f t="shared" si="506"/>
        <v>15810</v>
      </c>
      <c r="X1895" t="str">
        <f t="shared" si="507"/>
        <v>yes</v>
      </c>
      <c r="Y1895" s="2">
        <v>35181</v>
      </c>
      <c r="Z1895" t="str">
        <f t="shared" si="493"/>
        <v/>
      </c>
      <c r="AA1895" t="str">
        <f t="shared" si="508"/>
        <v>2nd Q 1996</v>
      </c>
      <c r="AB1895" t="str" cm="1">
        <f t="array" ref="AB1895">_xlfn.IFS(Y1895&lt;DATE(1996,1,1),"",Y1895&lt;DATE(1996,4,1),"Q1",Y1895&lt;DATE(1996,7,1),"Q2",Y1895&gt;=DATE(1996,7,1),"")</f>
        <v>Q2</v>
      </c>
    </row>
    <row r="1896" spans="1:28" ht="14.4" x14ac:dyDescent="0.55000000000000004">
      <c r="A1896" t="str">
        <f>VLOOKUP(L1896,Customers!$A$2:$B$92,2,FALSE)</f>
        <v>Bottom-Dollar Markets</v>
      </c>
      <c r="B1896" t="str">
        <f>VLOOKUP(L1896,Customers!$A$2:$C$92,3,TRUE)</f>
        <v>Elizabeth Lincoln</v>
      </c>
      <c r="C1896" t="str">
        <f t="shared" si="494"/>
        <v>Elizabeth</v>
      </c>
      <c r="D1896" s="8" t="str">
        <f t="shared" si="495"/>
        <v>Lincoln</v>
      </c>
      <c r="E1896" s="8" t="str">
        <f t="shared" si="496"/>
        <v>Lincoln, Elizabeth</v>
      </c>
      <c r="F1896" s="8" t="str">
        <f t="shared" si="497"/>
        <v>Lincoln, Elizabeth</v>
      </c>
      <c r="G1896" s="8" t="str">
        <f t="shared" si="498"/>
        <v>not an outlier</v>
      </c>
      <c r="H1896" s="8" t="str">
        <f t="shared" si="499"/>
        <v>Not</v>
      </c>
      <c r="I1896" s="8" t="str">
        <f t="shared" si="509"/>
        <v>no</v>
      </c>
      <c r="J1896" s="10" t="str">
        <f t="shared" si="500"/>
        <v>no</v>
      </c>
      <c r="K1896" s="10" t="str">
        <f t="shared" si="501"/>
        <v>no</v>
      </c>
      <c r="L1896" t="s">
        <v>84</v>
      </c>
      <c r="M1896">
        <v>10982</v>
      </c>
      <c r="N1896">
        <v>7</v>
      </c>
      <c r="O1896" t="s">
        <v>715</v>
      </c>
      <c r="P1896" t="str">
        <f t="shared" si="502"/>
        <v>BOTTM_10982_Uncle Bob's Organic Dried Pears</v>
      </c>
      <c r="Q1896" t="str">
        <f t="shared" si="503"/>
        <v>10982</v>
      </c>
      <c r="R1896" t="str">
        <f t="shared" si="504"/>
        <v>10982</v>
      </c>
      <c r="S1896" t="str">
        <f t="shared" si="505"/>
        <v>Uncle Bob's Organic Dried Pears</v>
      </c>
      <c r="T1896">
        <v>30</v>
      </c>
      <c r="U1896">
        <v>20</v>
      </c>
      <c r="V1896">
        <v>0</v>
      </c>
      <c r="W1896">
        <f t="shared" si="506"/>
        <v>600</v>
      </c>
      <c r="X1896" t="str">
        <f t="shared" si="507"/>
        <v>yes</v>
      </c>
      <c r="Y1896" s="2">
        <v>35181</v>
      </c>
      <c r="Z1896" t="str">
        <f t="shared" si="493"/>
        <v/>
      </c>
      <c r="AA1896" t="str">
        <f t="shared" si="508"/>
        <v>2nd Q 1996</v>
      </c>
      <c r="AB1896" t="str" cm="1">
        <f t="array" ref="AB1896">_xlfn.IFS(Y1896&lt;DATE(1996,1,1),"",Y1896&lt;DATE(1996,4,1),"Q1",Y1896&lt;DATE(1996,7,1),"Q2",Y1896&gt;=DATE(1996,7,1),"")</f>
        <v>Q2</v>
      </c>
    </row>
    <row r="1897" spans="1:28" ht="14.4" x14ac:dyDescent="0.55000000000000004">
      <c r="A1897" t="str">
        <f>VLOOKUP(L1897,Customers!$A$2:$B$92,2,FALSE)</f>
        <v>Bottom-Dollar Markets</v>
      </c>
      <c r="B1897" t="str">
        <f>VLOOKUP(L1897,Customers!$A$2:$C$92,3,TRUE)</f>
        <v>Elizabeth Lincoln</v>
      </c>
      <c r="C1897" t="str">
        <f t="shared" si="494"/>
        <v>Elizabeth</v>
      </c>
      <c r="D1897" s="8" t="str">
        <f t="shared" si="495"/>
        <v>Lincoln</v>
      </c>
      <c r="E1897" s="8" t="str">
        <f t="shared" si="496"/>
        <v>Lincoln, Elizabeth</v>
      </c>
      <c r="F1897" s="8" t="str">
        <f t="shared" si="497"/>
        <v>Lincoln, Elizabeth</v>
      </c>
      <c r="G1897" s="8" t="str">
        <f t="shared" si="498"/>
        <v>not an outlier</v>
      </c>
      <c r="H1897" s="8" t="str">
        <f t="shared" si="499"/>
        <v>Not</v>
      </c>
      <c r="I1897" s="8" t="str">
        <f t="shared" si="509"/>
        <v>no</v>
      </c>
      <c r="J1897" s="10" t="str">
        <f t="shared" si="500"/>
        <v>no</v>
      </c>
      <c r="K1897" s="10" t="str">
        <f t="shared" si="501"/>
        <v>no</v>
      </c>
      <c r="L1897" t="s">
        <v>84</v>
      </c>
      <c r="M1897">
        <v>10982</v>
      </c>
      <c r="N1897">
        <v>43</v>
      </c>
      <c r="O1897" t="s">
        <v>723</v>
      </c>
      <c r="P1897" t="str">
        <f t="shared" si="502"/>
        <v>BOTTM_10982_Ipoh Coffee</v>
      </c>
      <c r="Q1897" t="str">
        <f t="shared" si="503"/>
        <v>10982</v>
      </c>
      <c r="R1897" t="str">
        <f t="shared" si="504"/>
        <v>10982</v>
      </c>
      <c r="S1897" t="str">
        <f t="shared" si="505"/>
        <v>Ipoh Coffee</v>
      </c>
      <c r="T1897">
        <v>46</v>
      </c>
      <c r="U1897">
        <v>9</v>
      </c>
      <c r="V1897">
        <v>0</v>
      </c>
      <c r="W1897">
        <f t="shared" si="506"/>
        <v>414</v>
      </c>
      <c r="X1897" t="str">
        <f t="shared" si="507"/>
        <v>yes</v>
      </c>
      <c r="Y1897" s="2">
        <v>35181</v>
      </c>
      <c r="Z1897" t="str">
        <f t="shared" si="493"/>
        <v/>
      </c>
      <c r="AA1897" t="str">
        <f t="shared" si="508"/>
        <v>2nd Q 1996</v>
      </c>
      <c r="AB1897" t="str" cm="1">
        <f t="array" ref="AB1897">_xlfn.IFS(Y1897&lt;DATE(1996,1,1),"",Y1897&lt;DATE(1996,4,1),"Q1",Y1897&lt;DATE(1996,7,1),"Q2",Y1897&gt;=DATE(1996,7,1),"")</f>
        <v>Q2</v>
      </c>
    </row>
    <row r="1898" spans="1:28" ht="14.4" x14ac:dyDescent="0.55000000000000004">
      <c r="A1898" t="str">
        <f>VLOOKUP(L1898,Customers!$A$2:$B$92,2,FALSE)</f>
        <v>Save-a-lot Markets</v>
      </c>
      <c r="B1898" t="str">
        <f>VLOOKUP(L1898,Customers!$A$2:$C$92,3,TRUE)</f>
        <v>Jose Pavarotti</v>
      </c>
      <c r="C1898" t="str">
        <f t="shared" si="494"/>
        <v>Jose</v>
      </c>
      <c r="D1898" s="8" t="str">
        <f t="shared" si="495"/>
        <v>Pavarotti</v>
      </c>
      <c r="E1898" s="8" t="str">
        <f t="shared" si="496"/>
        <v>Pavarotti, Jose</v>
      </c>
      <c r="F1898" s="8" t="str">
        <f t="shared" si="497"/>
        <v>Pavarotti, Jose</v>
      </c>
      <c r="G1898" s="8" t="str">
        <f t="shared" si="498"/>
        <v>not an outlier</v>
      </c>
      <c r="H1898" s="8" t="str">
        <f t="shared" si="499"/>
        <v>Not</v>
      </c>
      <c r="I1898" s="8" t="str">
        <f t="shared" si="509"/>
        <v>no</v>
      </c>
      <c r="J1898" s="10" t="str">
        <f t="shared" si="500"/>
        <v>no</v>
      </c>
      <c r="K1898" s="10" t="str">
        <f t="shared" si="501"/>
        <v>no</v>
      </c>
      <c r="L1898" t="s">
        <v>529</v>
      </c>
      <c r="M1898">
        <v>10983</v>
      </c>
      <c r="N1898">
        <v>13</v>
      </c>
      <c r="O1898" t="s">
        <v>726</v>
      </c>
      <c r="P1898" t="str">
        <f t="shared" si="502"/>
        <v>SAVEA_10983_Konbu</v>
      </c>
      <c r="Q1898" t="str">
        <f t="shared" si="503"/>
        <v>10983</v>
      </c>
      <c r="R1898" t="str">
        <f t="shared" si="504"/>
        <v>10983</v>
      </c>
      <c r="S1898" t="str">
        <f t="shared" si="505"/>
        <v>Konbu</v>
      </c>
      <c r="T1898">
        <v>6</v>
      </c>
      <c r="U1898">
        <v>84</v>
      </c>
      <c r="V1898">
        <v>0.15</v>
      </c>
      <c r="W1898">
        <f t="shared" si="506"/>
        <v>428.4</v>
      </c>
      <c r="X1898" t="str">
        <f t="shared" si="507"/>
        <v>yes</v>
      </c>
      <c r="Y1898" s="2">
        <v>35181</v>
      </c>
      <c r="Z1898" t="str">
        <f t="shared" si="493"/>
        <v/>
      </c>
      <c r="AA1898" t="str">
        <f t="shared" si="508"/>
        <v>2nd Q 1996</v>
      </c>
      <c r="AB1898" t="str" cm="1">
        <f t="array" ref="AB1898">_xlfn.IFS(Y1898&lt;DATE(1996,1,1),"",Y1898&lt;DATE(1996,4,1),"Q1",Y1898&lt;DATE(1996,7,1),"Q2",Y1898&gt;=DATE(1996,7,1),"")</f>
        <v>Q2</v>
      </c>
    </row>
    <row r="1899" spans="1:28" ht="14.4" x14ac:dyDescent="0.55000000000000004">
      <c r="A1899" t="str">
        <f>VLOOKUP(L1899,Customers!$A$2:$B$92,2,FALSE)</f>
        <v>Save-a-lot Markets</v>
      </c>
      <c r="B1899" t="str">
        <f>VLOOKUP(L1899,Customers!$A$2:$C$92,3,TRUE)</f>
        <v>Jose Pavarotti</v>
      </c>
      <c r="C1899" t="str">
        <f t="shared" si="494"/>
        <v>Jose</v>
      </c>
      <c r="D1899" s="8" t="str">
        <f t="shared" si="495"/>
        <v>Pavarotti</v>
      </c>
      <c r="E1899" s="8" t="str">
        <f t="shared" si="496"/>
        <v>Pavarotti, Jose</v>
      </c>
      <c r="F1899" s="8" t="str">
        <f t="shared" si="497"/>
        <v>Pavarotti, Jose</v>
      </c>
      <c r="G1899" s="8" t="str">
        <f t="shared" si="498"/>
        <v>not an outlier</v>
      </c>
      <c r="H1899" s="8" t="str">
        <f t="shared" si="499"/>
        <v>Not</v>
      </c>
      <c r="I1899" s="8" t="str">
        <f t="shared" si="509"/>
        <v>no</v>
      </c>
      <c r="J1899" s="10" t="str">
        <f t="shared" si="500"/>
        <v>no</v>
      </c>
      <c r="K1899" s="10" t="str">
        <f t="shared" si="501"/>
        <v>no</v>
      </c>
      <c r="L1899" t="s">
        <v>529</v>
      </c>
      <c r="M1899">
        <v>10983</v>
      </c>
      <c r="N1899">
        <v>57</v>
      </c>
      <c r="O1899" t="s">
        <v>691</v>
      </c>
      <c r="P1899" t="str">
        <f t="shared" si="502"/>
        <v>SAVEA_10983_Ravioli Angelo</v>
      </c>
      <c r="Q1899" t="str">
        <f t="shared" si="503"/>
        <v>10983</v>
      </c>
      <c r="R1899" t="str">
        <f t="shared" si="504"/>
        <v>10983</v>
      </c>
      <c r="S1899" t="str">
        <f t="shared" si="505"/>
        <v>Ravioli Angelo</v>
      </c>
      <c r="T1899">
        <v>19.5</v>
      </c>
      <c r="U1899">
        <v>15</v>
      </c>
      <c r="V1899">
        <v>0</v>
      </c>
      <c r="W1899">
        <f t="shared" si="506"/>
        <v>292.5</v>
      </c>
      <c r="X1899" t="str">
        <f t="shared" si="507"/>
        <v>yes</v>
      </c>
      <c r="Y1899" s="2">
        <v>35181</v>
      </c>
      <c r="Z1899" t="str">
        <f t="shared" si="493"/>
        <v/>
      </c>
      <c r="AA1899" t="str">
        <f t="shared" si="508"/>
        <v>2nd Q 1996</v>
      </c>
      <c r="AB1899" t="str" cm="1">
        <f t="array" ref="AB1899">_xlfn.IFS(Y1899&lt;DATE(1996,1,1),"",Y1899&lt;DATE(1996,4,1),"Q1",Y1899&lt;DATE(1996,7,1),"Q2",Y1899&gt;=DATE(1996,7,1),"")</f>
        <v>Q2</v>
      </c>
    </row>
    <row r="1900" spans="1:28" ht="14.4" x14ac:dyDescent="0.55000000000000004">
      <c r="A1900" t="str">
        <f>VLOOKUP(L1900,Customers!$A$2:$B$92,2,FALSE)</f>
        <v>Save-a-lot Markets</v>
      </c>
      <c r="B1900" t="str">
        <f>VLOOKUP(L1900,Customers!$A$2:$C$92,3,TRUE)</f>
        <v>Jose Pavarotti</v>
      </c>
      <c r="C1900" t="str">
        <f t="shared" si="494"/>
        <v>Jose</v>
      </c>
      <c r="D1900" s="8" t="str">
        <f t="shared" si="495"/>
        <v>Pavarotti</v>
      </c>
      <c r="E1900" s="8" t="str">
        <f t="shared" si="496"/>
        <v>Pavarotti, Jose</v>
      </c>
      <c r="F1900" s="8" t="str">
        <f t="shared" si="497"/>
        <v>Pavarotti, Jose</v>
      </c>
      <c r="G1900" s="8" t="str">
        <f t="shared" si="498"/>
        <v>not an outlier</v>
      </c>
      <c r="H1900" s="8" t="str">
        <f t="shared" si="499"/>
        <v>Not</v>
      </c>
      <c r="I1900" s="8" t="str">
        <f t="shared" si="509"/>
        <v>no</v>
      </c>
      <c r="J1900" s="10" t="str">
        <f t="shared" si="500"/>
        <v>no</v>
      </c>
      <c r="K1900" s="10" t="str">
        <f t="shared" si="501"/>
        <v>no</v>
      </c>
      <c r="L1900" t="s">
        <v>529</v>
      </c>
      <c r="M1900">
        <v>10984</v>
      </c>
      <c r="N1900">
        <v>16</v>
      </c>
      <c r="O1900" t="s">
        <v>702</v>
      </c>
      <c r="P1900" t="str">
        <f t="shared" si="502"/>
        <v>SAVEA_10984_Pavlova</v>
      </c>
      <c r="Q1900" t="str">
        <f t="shared" si="503"/>
        <v>10984</v>
      </c>
      <c r="R1900" t="str">
        <f t="shared" si="504"/>
        <v>10984</v>
      </c>
      <c r="S1900" t="str">
        <f t="shared" si="505"/>
        <v>Pavlova</v>
      </c>
      <c r="T1900">
        <v>17.45</v>
      </c>
      <c r="U1900">
        <v>55</v>
      </c>
      <c r="V1900">
        <v>0</v>
      </c>
      <c r="W1900">
        <f t="shared" si="506"/>
        <v>959.75</v>
      </c>
      <c r="X1900" t="str">
        <f t="shared" si="507"/>
        <v>yes</v>
      </c>
      <c r="Y1900" s="2">
        <v>35184</v>
      </c>
      <c r="Z1900" t="str">
        <f t="shared" si="493"/>
        <v/>
      </c>
      <c r="AA1900" t="str">
        <f t="shared" si="508"/>
        <v>2nd Q 1996</v>
      </c>
      <c r="AB1900" t="str" cm="1">
        <f t="array" ref="AB1900">_xlfn.IFS(Y1900&lt;DATE(1996,1,1),"",Y1900&lt;DATE(1996,4,1),"Q1",Y1900&lt;DATE(1996,7,1),"Q2",Y1900&gt;=DATE(1996,7,1),"")</f>
        <v>Q2</v>
      </c>
    </row>
    <row r="1901" spans="1:28" ht="14.4" x14ac:dyDescent="0.55000000000000004">
      <c r="A1901" t="str">
        <f>VLOOKUP(L1901,Customers!$A$2:$B$92,2,FALSE)</f>
        <v>Save-a-lot Markets</v>
      </c>
      <c r="B1901" t="str">
        <f>VLOOKUP(L1901,Customers!$A$2:$C$92,3,TRUE)</f>
        <v>Jose Pavarotti</v>
      </c>
      <c r="C1901" t="str">
        <f t="shared" si="494"/>
        <v>Jose</v>
      </c>
      <c r="D1901" s="8" t="str">
        <f t="shared" si="495"/>
        <v>Pavarotti</v>
      </c>
      <c r="E1901" s="8" t="str">
        <f t="shared" si="496"/>
        <v>Pavarotti, Jose</v>
      </c>
      <c r="F1901" s="8" t="str">
        <f t="shared" si="497"/>
        <v>Pavarotti, Jose</v>
      </c>
      <c r="G1901" s="8" t="str">
        <f t="shared" si="498"/>
        <v>not an outlier</v>
      </c>
      <c r="H1901" s="8" t="str">
        <f t="shared" si="499"/>
        <v>Not</v>
      </c>
      <c r="I1901" s="8" t="str">
        <f t="shared" si="509"/>
        <v>no</v>
      </c>
      <c r="J1901" s="10" t="str">
        <f t="shared" si="500"/>
        <v>no</v>
      </c>
      <c r="K1901" s="10" t="str">
        <f t="shared" si="501"/>
        <v>no</v>
      </c>
      <c r="L1901" t="s">
        <v>529</v>
      </c>
      <c r="M1901">
        <v>10984</v>
      </c>
      <c r="N1901">
        <v>24</v>
      </c>
      <c r="O1901" t="s">
        <v>698</v>
      </c>
      <c r="P1901" t="str">
        <f t="shared" si="502"/>
        <v>SAVEA_10984_Guaraná Fantástica</v>
      </c>
      <c r="Q1901" t="str">
        <f t="shared" si="503"/>
        <v>10984</v>
      </c>
      <c r="R1901" t="str">
        <f t="shared" si="504"/>
        <v>10984</v>
      </c>
      <c r="S1901" t="str">
        <f t="shared" si="505"/>
        <v>Guaraná Fantástica</v>
      </c>
      <c r="T1901">
        <v>4.5</v>
      </c>
      <c r="U1901">
        <v>20</v>
      </c>
      <c r="V1901">
        <v>0</v>
      </c>
      <c r="W1901">
        <f t="shared" si="506"/>
        <v>90</v>
      </c>
      <c r="X1901" t="str">
        <f t="shared" si="507"/>
        <v>yes</v>
      </c>
      <c r="Y1901" s="2">
        <v>35184</v>
      </c>
      <c r="Z1901" t="str">
        <f t="shared" si="493"/>
        <v/>
      </c>
      <c r="AA1901" t="str">
        <f t="shared" si="508"/>
        <v>2nd Q 1996</v>
      </c>
      <c r="AB1901" t="str" cm="1">
        <f t="array" ref="AB1901">_xlfn.IFS(Y1901&lt;DATE(1996,1,1),"",Y1901&lt;DATE(1996,4,1),"Q1",Y1901&lt;DATE(1996,7,1),"Q2",Y1901&gt;=DATE(1996,7,1),"")</f>
        <v>Q2</v>
      </c>
    </row>
    <row r="1902" spans="1:28" ht="14.4" x14ac:dyDescent="0.55000000000000004">
      <c r="A1902" t="str">
        <f>VLOOKUP(L1902,Customers!$A$2:$B$92,2,FALSE)</f>
        <v>Save-a-lot Markets</v>
      </c>
      <c r="B1902" t="str">
        <f>VLOOKUP(L1902,Customers!$A$2:$C$92,3,TRUE)</f>
        <v>Jose Pavarotti</v>
      </c>
      <c r="C1902" t="str">
        <f t="shared" si="494"/>
        <v>Jose</v>
      </c>
      <c r="D1902" s="8" t="str">
        <f t="shared" si="495"/>
        <v>Pavarotti</v>
      </c>
      <c r="E1902" s="8" t="str">
        <f t="shared" si="496"/>
        <v>Pavarotti, Jose</v>
      </c>
      <c r="F1902" s="8" t="str">
        <f t="shared" si="497"/>
        <v>Pavarotti, Jose</v>
      </c>
      <c r="G1902" s="8" t="str">
        <f t="shared" si="498"/>
        <v>not an outlier</v>
      </c>
      <c r="H1902" s="8" t="str">
        <f t="shared" si="499"/>
        <v>Not</v>
      </c>
      <c r="I1902" s="8" t="str">
        <f t="shared" si="509"/>
        <v>no</v>
      </c>
      <c r="J1902" s="10" t="str">
        <f t="shared" si="500"/>
        <v>no</v>
      </c>
      <c r="K1902" s="10" t="str">
        <f t="shared" si="501"/>
        <v>no</v>
      </c>
      <c r="L1902" t="s">
        <v>529</v>
      </c>
      <c r="M1902">
        <v>10984</v>
      </c>
      <c r="N1902">
        <v>36</v>
      </c>
      <c r="O1902" t="s">
        <v>703</v>
      </c>
      <c r="P1902" t="str">
        <f t="shared" si="502"/>
        <v>SAVEA_10984_Inlagd Sill</v>
      </c>
      <c r="Q1902" t="str">
        <f t="shared" si="503"/>
        <v>10984</v>
      </c>
      <c r="R1902" t="str">
        <f t="shared" si="504"/>
        <v>10984</v>
      </c>
      <c r="S1902" t="str">
        <f t="shared" si="505"/>
        <v>Inlagd Sill</v>
      </c>
      <c r="T1902">
        <v>19</v>
      </c>
      <c r="U1902">
        <v>40</v>
      </c>
      <c r="V1902">
        <v>0</v>
      </c>
      <c r="W1902">
        <f t="shared" si="506"/>
        <v>760</v>
      </c>
      <c r="X1902" t="str">
        <f t="shared" si="507"/>
        <v>yes</v>
      </c>
      <c r="Y1902" s="2">
        <v>35184</v>
      </c>
      <c r="Z1902" t="str">
        <f t="shared" si="493"/>
        <v/>
      </c>
      <c r="AA1902" t="str">
        <f t="shared" si="508"/>
        <v>2nd Q 1996</v>
      </c>
      <c r="AB1902" t="str" cm="1">
        <f t="array" ref="AB1902">_xlfn.IFS(Y1902&lt;DATE(1996,1,1),"",Y1902&lt;DATE(1996,4,1),"Q1",Y1902&lt;DATE(1996,7,1),"Q2",Y1902&gt;=DATE(1996,7,1),"")</f>
        <v>Q2</v>
      </c>
    </row>
    <row r="1903" spans="1:28" ht="14.4" x14ac:dyDescent="0.55000000000000004">
      <c r="A1903" t="str">
        <f>VLOOKUP(L1903,Customers!$A$2:$B$92,2,FALSE)</f>
        <v>Hungry Owl All-Night Grocers</v>
      </c>
      <c r="B1903" t="str">
        <f>VLOOKUP(L1903,Customers!$A$2:$C$92,3,TRUE)</f>
        <v>Patricia McKenna</v>
      </c>
      <c r="C1903" t="str">
        <f t="shared" si="494"/>
        <v>Patricia</v>
      </c>
      <c r="D1903" s="8" t="str">
        <f t="shared" si="495"/>
        <v>McKenna</v>
      </c>
      <c r="E1903" s="8" t="str">
        <f t="shared" si="496"/>
        <v>McKenna, Patricia</v>
      </c>
      <c r="F1903" s="8" t="str">
        <f t="shared" si="497"/>
        <v>McKenna, Patricia</v>
      </c>
      <c r="G1903" s="8" t="str">
        <f t="shared" si="498"/>
        <v>not an outlier</v>
      </c>
      <c r="H1903" s="8" t="str">
        <f t="shared" si="499"/>
        <v>Not</v>
      </c>
      <c r="I1903" s="8" t="str">
        <f t="shared" si="509"/>
        <v>no</v>
      </c>
      <c r="J1903" s="10" t="str">
        <f t="shared" si="500"/>
        <v>no</v>
      </c>
      <c r="K1903" s="10" t="str">
        <f t="shared" si="501"/>
        <v>no</v>
      </c>
      <c r="L1903" t="s">
        <v>288</v>
      </c>
      <c r="M1903">
        <v>10985</v>
      </c>
      <c r="N1903">
        <v>16</v>
      </c>
      <c r="O1903" t="s">
        <v>702</v>
      </c>
      <c r="P1903" t="str">
        <f t="shared" si="502"/>
        <v>HUNGO_10985_Pavlova</v>
      </c>
      <c r="Q1903" t="str">
        <f t="shared" si="503"/>
        <v>10985</v>
      </c>
      <c r="R1903" t="str">
        <f t="shared" si="504"/>
        <v>10985</v>
      </c>
      <c r="S1903" t="str">
        <f t="shared" si="505"/>
        <v>Pavlova</v>
      </c>
      <c r="T1903">
        <v>17.45</v>
      </c>
      <c r="U1903">
        <v>36</v>
      </c>
      <c r="V1903">
        <v>0.1</v>
      </c>
      <c r="W1903">
        <f t="shared" si="506"/>
        <v>565.38</v>
      </c>
      <c r="X1903" t="str">
        <f t="shared" si="507"/>
        <v>yes</v>
      </c>
      <c r="Y1903" s="2">
        <v>35184</v>
      </c>
      <c r="Z1903" t="str">
        <f t="shared" si="493"/>
        <v/>
      </c>
      <c r="AA1903" t="str">
        <f t="shared" si="508"/>
        <v>2nd Q 1996</v>
      </c>
      <c r="AB1903" t="str" cm="1">
        <f t="array" ref="AB1903">_xlfn.IFS(Y1903&lt;DATE(1996,1,1),"",Y1903&lt;DATE(1996,4,1),"Q1",Y1903&lt;DATE(1996,7,1),"Q2",Y1903&gt;=DATE(1996,7,1),"")</f>
        <v>Q2</v>
      </c>
    </row>
    <row r="1904" spans="1:28" ht="14.4" x14ac:dyDescent="0.55000000000000004">
      <c r="A1904" t="str">
        <f>VLOOKUP(L1904,Customers!$A$2:$B$92,2,FALSE)</f>
        <v>Hungry Owl All-Night Grocers</v>
      </c>
      <c r="B1904" t="str">
        <f>VLOOKUP(L1904,Customers!$A$2:$C$92,3,TRUE)</f>
        <v>Patricia McKenna</v>
      </c>
      <c r="C1904" t="str">
        <f t="shared" si="494"/>
        <v>Patricia</v>
      </c>
      <c r="D1904" s="8" t="str">
        <f t="shared" si="495"/>
        <v>McKenna</v>
      </c>
      <c r="E1904" s="8" t="str">
        <f t="shared" si="496"/>
        <v>McKenna, Patricia</v>
      </c>
      <c r="F1904" s="8" t="str">
        <f t="shared" si="497"/>
        <v>McKenna, Patricia</v>
      </c>
      <c r="G1904" s="8" t="str">
        <f t="shared" si="498"/>
        <v>not an outlier</v>
      </c>
      <c r="H1904" s="8" t="str">
        <f t="shared" si="499"/>
        <v>Not</v>
      </c>
      <c r="I1904" s="8" t="str">
        <f t="shared" si="509"/>
        <v>no</v>
      </c>
      <c r="J1904" s="10" t="str">
        <f t="shared" si="500"/>
        <v>no</v>
      </c>
      <c r="K1904" s="10" t="str">
        <f t="shared" si="501"/>
        <v>no</v>
      </c>
      <c r="L1904" t="s">
        <v>288</v>
      </c>
      <c r="M1904">
        <v>10985</v>
      </c>
      <c r="N1904">
        <v>18</v>
      </c>
      <c r="O1904" t="s">
        <v>742</v>
      </c>
      <c r="P1904" t="str">
        <f t="shared" si="502"/>
        <v>HUNGO_10985_Carnarvon Tigers</v>
      </c>
      <c r="Q1904" t="str">
        <f t="shared" si="503"/>
        <v>10985</v>
      </c>
      <c r="R1904" t="str">
        <f t="shared" si="504"/>
        <v>10985</v>
      </c>
      <c r="S1904" t="str">
        <f t="shared" si="505"/>
        <v>Carnarvon Tigers</v>
      </c>
      <c r="T1904">
        <v>62.5</v>
      </c>
      <c r="U1904">
        <v>8</v>
      </c>
      <c r="V1904">
        <v>0.1</v>
      </c>
      <c r="W1904">
        <f t="shared" si="506"/>
        <v>450</v>
      </c>
      <c r="X1904" t="str">
        <f t="shared" si="507"/>
        <v>yes</v>
      </c>
      <c r="Y1904" s="2">
        <v>35184</v>
      </c>
      <c r="Z1904" t="str">
        <f t="shared" si="493"/>
        <v/>
      </c>
      <c r="AA1904" t="str">
        <f t="shared" si="508"/>
        <v>2nd Q 1996</v>
      </c>
      <c r="AB1904" t="str" cm="1">
        <f t="array" ref="AB1904">_xlfn.IFS(Y1904&lt;DATE(1996,1,1),"",Y1904&lt;DATE(1996,4,1),"Q1",Y1904&lt;DATE(1996,7,1),"Q2",Y1904&gt;=DATE(1996,7,1),"")</f>
        <v>Q2</v>
      </c>
    </row>
    <row r="1905" spans="1:28" ht="14.4" x14ac:dyDescent="0.55000000000000004">
      <c r="A1905" t="str">
        <f>VLOOKUP(L1905,Customers!$A$2:$B$92,2,FALSE)</f>
        <v>Hungry Owl All-Night Grocers</v>
      </c>
      <c r="B1905" t="str">
        <f>VLOOKUP(L1905,Customers!$A$2:$C$92,3,TRUE)</f>
        <v>Patricia McKenna</v>
      </c>
      <c r="C1905" t="str">
        <f t="shared" si="494"/>
        <v>Patricia</v>
      </c>
      <c r="D1905" s="8" t="str">
        <f t="shared" si="495"/>
        <v>McKenna</v>
      </c>
      <c r="E1905" s="8" t="str">
        <f t="shared" si="496"/>
        <v>McKenna, Patricia</v>
      </c>
      <c r="F1905" s="8" t="str">
        <f t="shared" si="497"/>
        <v>McKenna, Patricia</v>
      </c>
      <c r="G1905" s="8" t="str">
        <f t="shared" si="498"/>
        <v>not an outlier</v>
      </c>
      <c r="H1905" s="8" t="str">
        <f t="shared" si="499"/>
        <v>Not</v>
      </c>
      <c r="I1905" s="8" t="str">
        <f t="shared" si="509"/>
        <v>no</v>
      </c>
      <c r="J1905" s="10" t="str">
        <f t="shared" si="500"/>
        <v>no</v>
      </c>
      <c r="K1905" s="10" t="str">
        <f t="shared" si="501"/>
        <v>no</v>
      </c>
      <c r="L1905" t="s">
        <v>288</v>
      </c>
      <c r="M1905">
        <v>10985</v>
      </c>
      <c r="N1905">
        <v>32</v>
      </c>
      <c r="O1905" t="s">
        <v>709</v>
      </c>
      <c r="P1905" t="str">
        <f t="shared" si="502"/>
        <v>HUNGO_10985_Mascarpone Fabioli</v>
      </c>
      <c r="Q1905" t="str">
        <f t="shared" si="503"/>
        <v>10985</v>
      </c>
      <c r="R1905" t="str">
        <f t="shared" si="504"/>
        <v>10985</v>
      </c>
      <c r="S1905" t="str">
        <f t="shared" si="505"/>
        <v>Mascarpone Fabioli</v>
      </c>
      <c r="T1905">
        <v>32</v>
      </c>
      <c r="U1905">
        <v>35</v>
      </c>
      <c r="V1905">
        <v>0.1</v>
      </c>
      <c r="W1905">
        <f t="shared" si="506"/>
        <v>1008</v>
      </c>
      <c r="X1905" t="str">
        <f t="shared" si="507"/>
        <v>yes</v>
      </c>
      <c r="Y1905" s="2">
        <v>35184</v>
      </c>
      <c r="Z1905" t="str">
        <f t="shared" si="493"/>
        <v/>
      </c>
      <c r="AA1905" t="str">
        <f t="shared" si="508"/>
        <v>2nd Q 1996</v>
      </c>
      <c r="AB1905" t="str" cm="1">
        <f t="array" ref="AB1905">_xlfn.IFS(Y1905&lt;DATE(1996,1,1),"",Y1905&lt;DATE(1996,4,1),"Q1",Y1905&lt;DATE(1996,7,1),"Q2",Y1905&gt;=DATE(1996,7,1),"")</f>
        <v>Q2</v>
      </c>
    </row>
    <row r="1906" spans="1:28" ht="14.4" x14ac:dyDescent="0.55000000000000004">
      <c r="A1906" t="str">
        <f>VLOOKUP(L1906,Customers!$A$2:$B$92,2,FALSE)</f>
        <v>Océano Atlántico Ltda.</v>
      </c>
      <c r="B1906" t="str">
        <f>VLOOKUP(L1906,Customers!$A$2:$C$92,3,TRUE)</f>
        <v>Yvonne Moncada</v>
      </c>
      <c r="C1906" t="str">
        <f t="shared" si="494"/>
        <v>Yvonne</v>
      </c>
      <c r="D1906" s="8" t="str">
        <f t="shared" si="495"/>
        <v>Moncada</v>
      </c>
      <c r="E1906" s="8" t="str">
        <f t="shared" si="496"/>
        <v>Moncada, Yvonne</v>
      </c>
      <c r="F1906" s="8" t="str">
        <f t="shared" si="497"/>
        <v>Moncada, Yvonne</v>
      </c>
      <c r="G1906" s="8" t="str">
        <f t="shared" si="498"/>
        <v>not an outlier</v>
      </c>
      <c r="H1906" s="8" t="str">
        <f t="shared" si="499"/>
        <v>Not</v>
      </c>
      <c r="I1906" s="8" t="str">
        <f t="shared" si="509"/>
        <v>no</v>
      </c>
      <c r="J1906" s="10" t="str">
        <f t="shared" si="500"/>
        <v>no</v>
      </c>
      <c r="K1906" s="10" t="str">
        <f t="shared" si="501"/>
        <v>no</v>
      </c>
      <c r="L1906" t="s">
        <v>416</v>
      </c>
      <c r="M1906">
        <v>10986</v>
      </c>
      <c r="N1906">
        <v>11</v>
      </c>
      <c r="O1906" t="s">
        <v>683</v>
      </c>
      <c r="P1906" t="str">
        <f t="shared" si="502"/>
        <v>OCEAN_10986_Queso Cabrales</v>
      </c>
      <c r="Q1906" t="str">
        <f t="shared" si="503"/>
        <v>10986</v>
      </c>
      <c r="R1906" t="str">
        <f t="shared" si="504"/>
        <v>10986</v>
      </c>
      <c r="S1906" t="str">
        <f t="shared" si="505"/>
        <v>Queso Cabrales</v>
      </c>
      <c r="T1906">
        <v>21</v>
      </c>
      <c r="U1906">
        <v>30</v>
      </c>
      <c r="V1906">
        <v>0</v>
      </c>
      <c r="W1906">
        <f t="shared" si="506"/>
        <v>630</v>
      </c>
      <c r="X1906" t="str">
        <f t="shared" si="507"/>
        <v>yes</v>
      </c>
      <c r="Y1906" s="2">
        <v>35184</v>
      </c>
      <c r="Z1906" t="str">
        <f t="shared" ref="Z1906:Z1969" si="510">IF(Y1906&gt;=DATE(1996,1,1), IF(Y1906&lt;DATE(1996,4,1),"1st Q 1996",""),"")</f>
        <v/>
      </c>
      <c r="AA1906" t="str">
        <f t="shared" si="508"/>
        <v>2nd Q 1996</v>
      </c>
      <c r="AB1906" t="str" cm="1">
        <f t="array" ref="AB1906">_xlfn.IFS(Y1906&lt;DATE(1996,1,1),"",Y1906&lt;DATE(1996,4,1),"Q1",Y1906&lt;DATE(1996,7,1),"Q2",Y1906&gt;=DATE(1996,7,1),"")</f>
        <v>Q2</v>
      </c>
    </row>
    <row r="1907" spans="1:28" ht="14.4" x14ac:dyDescent="0.55000000000000004">
      <c r="A1907" t="str">
        <f>VLOOKUP(L1907,Customers!$A$2:$B$92,2,FALSE)</f>
        <v>Océano Atlántico Ltda.</v>
      </c>
      <c r="B1907" t="str">
        <f>VLOOKUP(L1907,Customers!$A$2:$C$92,3,TRUE)</f>
        <v>Yvonne Moncada</v>
      </c>
      <c r="C1907" t="str">
        <f t="shared" si="494"/>
        <v>Yvonne</v>
      </c>
      <c r="D1907" s="8" t="str">
        <f t="shared" si="495"/>
        <v>Moncada</v>
      </c>
      <c r="E1907" s="8" t="str">
        <f t="shared" si="496"/>
        <v>Moncada, Yvonne</v>
      </c>
      <c r="F1907" s="8" t="str">
        <f t="shared" si="497"/>
        <v>Moncada, Yvonne</v>
      </c>
      <c r="G1907" s="8" t="str">
        <f t="shared" si="498"/>
        <v>not an outlier</v>
      </c>
      <c r="H1907" s="8" t="str">
        <f t="shared" si="499"/>
        <v>Not</v>
      </c>
      <c r="I1907" s="8" t="str">
        <f t="shared" si="509"/>
        <v>no</v>
      </c>
      <c r="J1907" s="10" t="str">
        <f t="shared" si="500"/>
        <v>no</v>
      </c>
      <c r="K1907" s="10" t="str">
        <f t="shared" si="501"/>
        <v>no</v>
      </c>
      <c r="L1907" t="s">
        <v>416</v>
      </c>
      <c r="M1907">
        <v>10986</v>
      </c>
      <c r="N1907">
        <v>20</v>
      </c>
      <c r="O1907" t="s">
        <v>692</v>
      </c>
      <c r="P1907" t="str">
        <f t="shared" si="502"/>
        <v>OCEAN_10986_Sir Rodney's Marmalade</v>
      </c>
      <c r="Q1907" t="str">
        <f t="shared" si="503"/>
        <v>10986</v>
      </c>
      <c r="R1907" t="str">
        <f t="shared" si="504"/>
        <v>10986</v>
      </c>
      <c r="S1907" t="str">
        <f t="shared" si="505"/>
        <v>Sir Rodney's Marmalade</v>
      </c>
      <c r="T1907">
        <v>81</v>
      </c>
      <c r="U1907">
        <v>15</v>
      </c>
      <c r="V1907">
        <v>0</v>
      </c>
      <c r="W1907">
        <f t="shared" si="506"/>
        <v>1215</v>
      </c>
      <c r="X1907" t="str">
        <f t="shared" si="507"/>
        <v>yes</v>
      </c>
      <c r="Y1907" s="2">
        <v>35184</v>
      </c>
      <c r="Z1907" t="str">
        <f t="shared" si="510"/>
        <v/>
      </c>
      <c r="AA1907" t="str">
        <f t="shared" si="508"/>
        <v>2nd Q 1996</v>
      </c>
      <c r="AB1907" t="str" cm="1">
        <f t="array" ref="AB1907">_xlfn.IFS(Y1907&lt;DATE(1996,1,1),"",Y1907&lt;DATE(1996,4,1),"Q1",Y1907&lt;DATE(1996,7,1),"Q2",Y1907&gt;=DATE(1996,7,1),"")</f>
        <v>Q2</v>
      </c>
    </row>
    <row r="1908" spans="1:28" ht="14.4" x14ac:dyDescent="0.55000000000000004">
      <c r="A1908" t="str">
        <f>VLOOKUP(L1908,Customers!$A$2:$B$92,2,FALSE)</f>
        <v>Océano Atlántico Ltda.</v>
      </c>
      <c r="B1908" t="str">
        <f>VLOOKUP(L1908,Customers!$A$2:$C$92,3,TRUE)</f>
        <v>Yvonne Moncada</v>
      </c>
      <c r="C1908" t="str">
        <f t="shared" si="494"/>
        <v>Yvonne</v>
      </c>
      <c r="D1908" s="8" t="str">
        <f t="shared" si="495"/>
        <v>Moncada</v>
      </c>
      <c r="E1908" s="8" t="str">
        <f t="shared" si="496"/>
        <v>Moncada, Yvonne</v>
      </c>
      <c r="F1908" s="8" t="str">
        <f t="shared" si="497"/>
        <v>Moncada, Yvonne</v>
      </c>
      <c r="G1908" s="8" t="str">
        <f t="shared" si="498"/>
        <v>not an outlier</v>
      </c>
      <c r="H1908" s="8" t="str">
        <f t="shared" si="499"/>
        <v>Not</v>
      </c>
      <c r="I1908" s="8" t="str">
        <f t="shared" si="509"/>
        <v>no</v>
      </c>
      <c r="J1908" s="10" t="str">
        <f t="shared" si="500"/>
        <v>no</v>
      </c>
      <c r="K1908" s="10" t="str">
        <f t="shared" si="501"/>
        <v>no</v>
      </c>
      <c r="L1908" t="s">
        <v>416</v>
      </c>
      <c r="M1908">
        <v>10986</v>
      </c>
      <c r="N1908">
        <v>76</v>
      </c>
      <c r="O1908" t="s">
        <v>721</v>
      </c>
      <c r="P1908" t="str">
        <f t="shared" si="502"/>
        <v>OCEAN_10986_Lakkalikööri</v>
      </c>
      <c r="Q1908" t="str">
        <f t="shared" si="503"/>
        <v>10986</v>
      </c>
      <c r="R1908" t="str">
        <f t="shared" si="504"/>
        <v>10986</v>
      </c>
      <c r="S1908" t="str">
        <f t="shared" si="505"/>
        <v>Lakkalikööri</v>
      </c>
      <c r="T1908">
        <v>18</v>
      </c>
      <c r="U1908">
        <v>10</v>
      </c>
      <c r="V1908">
        <v>0</v>
      </c>
      <c r="W1908">
        <f t="shared" si="506"/>
        <v>180</v>
      </c>
      <c r="X1908" t="str">
        <f t="shared" si="507"/>
        <v>yes</v>
      </c>
      <c r="Y1908" s="2">
        <v>35184</v>
      </c>
      <c r="Z1908" t="str">
        <f t="shared" si="510"/>
        <v/>
      </c>
      <c r="AA1908" t="str">
        <f t="shared" si="508"/>
        <v>2nd Q 1996</v>
      </c>
      <c r="AB1908" t="str" cm="1">
        <f t="array" ref="AB1908">_xlfn.IFS(Y1908&lt;DATE(1996,1,1),"",Y1908&lt;DATE(1996,4,1),"Q1",Y1908&lt;DATE(1996,7,1),"Q2",Y1908&gt;=DATE(1996,7,1),"")</f>
        <v>Q2</v>
      </c>
    </row>
    <row r="1909" spans="1:28" ht="14.4" x14ac:dyDescent="0.55000000000000004">
      <c r="A1909" t="str">
        <f>VLOOKUP(L1909,Customers!$A$2:$B$92,2,FALSE)</f>
        <v>Océano Atlántico Ltda.</v>
      </c>
      <c r="B1909" t="str">
        <f>VLOOKUP(L1909,Customers!$A$2:$C$92,3,TRUE)</f>
        <v>Yvonne Moncada</v>
      </c>
      <c r="C1909" t="str">
        <f t="shared" si="494"/>
        <v>Yvonne</v>
      </c>
      <c r="D1909" s="8" t="str">
        <f t="shared" si="495"/>
        <v>Moncada</v>
      </c>
      <c r="E1909" s="8" t="str">
        <f t="shared" si="496"/>
        <v>Moncada, Yvonne</v>
      </c>
      <c r="F1909" s="8" t="str">
        <f t="shared" si="497"/>
        <v>Moncada, Yvonne</v>
      </c>
      <c r="G1909" s="8" t="str">
        <f t="shared" si="498"/>
        <v>not an outlier</v>
      </c>
      <c r="H1909" s="8" t="str">
        <f t="shared" si="499"/>
        <v>Not</v>
      </c>
      <c r="I1909" s="8" t="str">
        <f t="shared" si="509"/>
        <v>no</v>
      </c>
      <c r="J1909" s="10" t="str">
        <f t="shared" si="500"/>
        <v>no</v>
      </c>
      <c r="K1909" s="10" t="str">
        <f t="shared" si="501"/>
        <v>no</v>
      </c>
      <c r="L1909" t="s">
        <v>416</v>
      </c>
      <c r="M1909">
        <v>10986</v>
      </c>
      <c r="N1909">
        <v>77</v>
      </c>
      <c r="O1909" t="s">
        <v>706</v>
      </c>
      <c r="P1909" t="str">
        <f t="shared" si="502"/>
        <v>OCEAN_10986_Original Frankfurter grüne Soße</v>
      </c>
      <c r="Q1909" t="str">
        <f t="shared" si="503"/>
        <v>10986</v>
      </c>
      <c r="R1909" t="str">
        <f t="shared" si="504"/>
        <v>10986</v>
      </c>
      <c r="S1909" t="str">
        <f t="shared" si="505"/>
        <v>Original Frankfurter grüne Soße</v>
      </c>
      <c r="T1909">
        <v>13</v>
      </c>
      <c r="U1909">
        <v>15</v>
      </c>
      <c r="V1909">
        <v>0</v>
      </c>
      <c r="W1909">
        <f t="shared" si="506"/>
        <v>195</v>
      </c>
      <c r="X1909" t="str">
        <f t="shared" si="507"/>
        <v>yes</v>
      </c>
      <c r="Y1909" s="2">
        <v>35184</v>
      </c>
      <c r="Z1909" t="str">
        <f t="shared" si="510"/>
        <v/>
      </c>
      <c r="AA1909" t="str">
        <f t="shared" si="508"/>
        <v>2nd Q 1996</v>
      </c>
      <c r="AB1909" t="str" cm="1">
        <f t="array" ref="AB1909">_xlfn.IFS(Y1909&lt;DATE(1996,1,1),"",Y1909&lt;DATE(1996,4,1),"Q1",Y1909&lt;DATE(1996,7,1),"Q2",Y1909&gt;=DATE(1996,7,1),"")</f>
        <v>Q2</v>
      </c>
    </row>
    <row r="1910" spans="1:28" ht="14.4" x14ac:dyDescent="0.55000000000000004">
      <c r="A1910" t="str">
        <f>VLOOKUP(L1910,Customers!$A$2:$B$92,2,FALSE)</f>
        <v>Eastern Connection</v>
      </c>
      <c r="B1910" t="str">
        <f>VLOOKUP(L1910,Customers!$A$2:$C$92,3,TRUE)</f>
        <v>Ann Devon</v>
      </c>
      <c r="C1910" t="str">
        <f t="shared" si="494"/>
        <v>Ann</v>
      </c>
      <c r="D1910" s="8" t="str">
        <f t="shared" si="495"/>
        <v>Devon</v>
      </c>
      <c r="E1910" s="8" t="str">
        <f t="shared" si="496"/>
        <v>Devon, Ann</v>
      </c>
      <c r="F1910" s="8" t="str">
        <f t="shared" si="497"/>
        <v>Devon, Ann</v>
      </c>
      <c r="G1910" s="8" t="str">
        <f t="shared" si="498"/>
        <v>not an outlier</v>
      </c>
      <c r="H1910" s="8" t="str">
        <f t="shared" si="499"/>
        <v>Not</v>
      </c>
      <c r="I1910" s="8" t="str">
        <f t="shared" si="509"/>
        <v>no</v>
      </c>
      <c r="J1910" s="10" t="str">
        <f t="shared" si="500"/>
        <v>no</v>
      </c>
      <c r="K1910" s="10" t="str">
        <f t="shared" si="501"/>
        <v>no</v>
      </c>
      <c r="L1910" t="s">
        <v>154</v>
      </c>
      <c r="M1910">
        <v>10987</v>
      </c>
      <c r="N1910">
        <v>7</v>
      </c>
      <c r="O1910" t="s">
        <v>715</v>
      </c>
      <c r="P1910" t="str">
        <f t="shared" si="502"/>
        <v>EASTC_10987_Uncle Bob's Organic Dried Pears</v>
      </c>
      <c r="Q1910" t="str">
        <f t="shared" si="503"/>
        <v>10987</v>
      </c>
      <c r="R1910" t="str">
        <f t="shared" si="504"/>
        <v>10987</v>
      </c>
      <c r="S1910" t="str">
        <f t="shared" si="505"/>
        <v>Uncle Bob's Organic Dried Pears</v>
      </c>
      <c r="T1910">
        <v>30</v>
      </c>
      <c r="U1910">
        <v>60</v>
      </c>
      <c r="V1910">
        <v>0</v>
      </c>
      <c r="W1910">
        <f t="shared" si="506"/>
        <v>1800</v>
      </c>
      <c r="X1910" t="str">
        <f t="shared" si="507"/>
        <v>yes</v>
      </c>
      <c r="Y1910" s="2">
        <v>35185</v>
      </c>
      <c r="Z1910" t="str">
        <f t="shared" si="510"/>
        <v/>
      </c>
      <c r="AA1910" t="str">
        <f t="shared" si="508"/>
        <v>2nd Q 1996</v>
      </c>
      <c r="AB1910" t="str" cm="1">
        <f t="array" ref="AB1910">_xlfn.IFS(Y1910&lt;DATE(1996,1,1),"",Y1910&lt;DATE(1996,4,1),"Q1",Y1910&lt;DATE(1996,7,1),"Q2",Y1910&gt;=DATE(1996,7,1),"")</f>
        <v>Q2</v>
      </c>
    </row>
    <row r="1911" spans="1:28" ht="14.4" x14ac:dyDescent="0.55000000000000004">
      <c r="A1911" t="str">
        <f>VLOOKUP(L1911,Customers!$A$2:$B$92,2,FALSE)</f>
        <v>Eastern Connection</v>
      </c>
      <c r="B1911" t="str">
        <f>VLOOKUP(L1911,Customers!$A$2:$C$92,3,TRUE)</f>
        <v>Ann Devon</v>
      </c>
      <c r="C1911" t="str">
        <f t="shared" si="494"/>
        <v>Ann</v>
      </c>
      <c r="D1911" s="8" t="str">
        <f t="shared" si="495"/>
        <v>Devon</v>
      </c>
      <c r="E1911" s="8" t="str">
        <f t="shared" si="496"/>
        <v>Devon, Ann</v>
      </c>
      <c r="F1911" s="8" t="str">
        <f t="shared" si="497"/>
        <v>Devon, Ann</v>
      </c>
      <c r="G1911" s="8" t="str">
        <f t="shared" si="498"/>
        <v>not an outlier</v>
      </c>
      <c r="H1911" s="8" t="str">
        <f t="shared" si="499"/>
        <v>Not</v>
      </c>
      <c r="I1911" s="8" t="str">
        <f t="shared" si="509"/>
        <v>no</v>
      </c>
      <c r="J1911" s="10" t="str">
        <f t="shared" si="500"/>
        <v>no</v>
      </c>
      <c r="K1911" s="10" t="str">
        <f t="shared" si="501"/>
        <v>no</v>
      </c>
      <c r="L1911" t="s">
        <v>154</v>
      </c>
      <c r="M1911">
        <v>10987</v>
      </c>
      <c r="N1911">
        <v>43</v>
      </c>
      <c r="O1911" t="s">
        <v>723</v>
      </c>
      <c r="P1911" t="str">
        <f t="shared" si="502"/>
        <v>EASTC_10987_Ipoh Coffee</v>
      </c>
      <c r="Q1911" t="str">
        <f t="shared" si="503"/>
        <v>10987</v>
      </c>
      <c r="R1911" t="str">
        <f t="shared" si="504"/>
        <v>10987</v>
      </c>
      <c r="S1911" t="str">
        <f t="shared" si="505"/>
        <v>Ipoh Coffee</v>
      </c>
      <c r="T1911">
        <v>46</v>
      </c>
      <c r="U1911">
        <v>6</v>
      </c>
      <c r="V1911">
        <v>0</v>
      </c>
      <c r="W1911">
        <f t="shared" si="506"/>
        <v>276</v>
      </c>
      <c r="X1911" t="str">
        <f t="shared" si="507"/>
        <v>yes</v>
      </c>
      <c r="Y1911" s="2">
        <v>35185</v>
      </c>
      <c r="Z1911" t="str">
        <f t="shared" si="510"/>
        <v/>
      </c>
      <c r="AA1911" t="str">
        <f t="shared" si="508"/>
        <v>2nd Q 1996</v>
      </c>
      <c r="AB1911" t="str" cm="1">
        <f t="array" ref="AB1911">_xlfn.IFS(Y1911&lt;DATE(1996,1,1),"",Y1911&lt;DATE(1996,4,1),"Q1",Y1911&lt;DATE(1996,7,1),"Q2",Y1911&gt;=DATE(1996,7,1),"")</f>
        <v>Q2</v>
      </c>
    </row>
    <row r="1912" spans="1:28" ht="14.4" x14ac:dyDescent="0.55000000000000004">
      <c r="A1912" t="str">
        <f>VLOOKUP(L1912,Customers!$A$2:$B$92,2,FALSE)</f>
        <v>Eastern Connection</v>
      </c>
      <c r="B1912" t="str">
        <f>VLOOKUP(L1912,Customers!$A$2:$C$92,3,TRUE)</f>
        <v>Ann Devon</v>
      </c>
      <c r="C1912" t="str">
        <f t="shared" si="494"/>
        <v>Ann</v>
      </c>
      <c r="D1912" s="8" t="str">
        <f t="shared" si="495"/>
        <v>Devon</v>
      </c>
      <c r="E1912" s="8" t="str">
        <f t="shared" si="496"/>
        <v>Devon, Ann</v>
      </c>
      <c r="F1912" s="8" t="str">
        <f t="shared" si="497"/>
        <v>Devon, Ann</v>
      </c>
      <c r="G1912" s="8" t="str">
        <f t="shared" si="498"/>
        <v>not an outlier</v>
      </c>
      <c r="H1912" s="8" t="str">
        <f t="shared" si="499"/>
        <v>Not</v>
      </c>
      <c r="I1912" s="8" t="str">
        <f t="shared" si="509"/>
        <v>no</v>
      </c>
      <c r="J1912" s="10" t="str">
        <f t="shared" si="500"/>
        <v>no</v>
      </c>
      <c r="K1912" s="10" t="str">
        <f t="shared" si="501"/>
        <v>no</v>
      </c>
      <c r="L1912" t="s">
        <v>154</v>
      </c>
      <c r="M1912">
        <v>10987</v>
      </c>
      <c r="N1912">
        <v>72</v>
      </c>
      <c r="O1912" t="s">
        <v>685</v>
      </c>
      <c r="P1912" t="str">
        <f t="shared" si="502"/>
        <v>EASTC_10987_Mozzarella di Giovanni</v>
      </c>
      <c r="Q1912" t="str">
        <f t="shared" si="503"/>
        <v>10987</v>
      </c>
      <c r="R1912" t="str">
        <f t="shared" si="504"/>
        <v>10987</v>
      </c>
      <c r="S1912" t="str">
        <f t="shared" si="505"/>
        <v>Mozzarella di Giovanni</v>
      </c>
      <c r="T1912">
        <v>34.799999999999997</v>
      </c>
      <c r="U1912">
        <v>20</v>
      </c>
      <c r="V1912">
        <v>0</v>
      </c>
      <c r="W1912">
        <f t="shared" si="506"/>
        <v>696</v>
      </c>
      <c r="X1912" t="str">
        <f t="shared" si="507"/>
        <v>yes</v>
      </c>
      <c r="Y1912" s="2">
        <v>35185</v>
      </c>
      <c r="Z1912" t="str">
        <f t="shared" si="510"/>
        <v/>
      </c>
      <c r="AA1912" t="str">
        <f t="shared" si="508"/>
        <v>2nd Q 1996</v>
      </c>
      <c r="AB1912" t="str" cm="1">
        <f t="array" ref="AB1912">_xlfn.IFS(Y1912&lt;DATE(1996,1,1),"",Y1912&lt;DATE(1996,4,1),"Q1",Y1912&lt;DATE(1996,7,1),"Q2",Y1912&gt;=DATE(1996,7,1),"")</f>
        <v>Q2</v>
      </c>
    </row>
    <row r="1913" spans="1:28" ht="14.4" x14ac:dyDescent="0.55000000000000004">
      <c r="A1913" t="str">
        <f>VLOOKUP(L1913,Customers!$A$2:$B$92,2,FALSE)</f>
        <v>Rattlesnake Canyon Grocery</v>
      </c>
      <c r="B1913" t="str">
        <f>VLOOKUP(L1913,Customers!$A$2:$C$92,3,TRUE)</f>
        <v>Paula Wilson</v>
      </c>
      <c r="C1913" t="str">
        <f t="shared" si="494"/>
        <v>Paula</v>
      </c>
      <c r="D1913" s="8" t="str">
        <f t="shared" si="495"/>
        <v>Wilson</v>
      </c>
      <c r="E1913" s="8" t="str">
        <f t="shared" si="496"/>
        <v>Wilson, Paula</v>
      </c>
      <c r="F1913" s="8" t="str">
        <f t="shared" si="497"/>
        <v>Wilson, Paula</v>
      </c>
      <c r="G1913" s="8" t="str">
        <f t="shared" si="498"/>
        <v>not an outlier</v>
      </c>
      <c r="H1913" s="8" t="str">
        <f t="shared" si="499"/>
        <v>Not</v>
      </c>
      <c r="I1913" s="8" t="str">
        <f t="shared" si="509"/>
        <v>no</v>
      </c>
      <c r="J1913" s="10" t="str">
        <f t="shared" si="500"/>
        <v>no</v>
      </c>
      <c r="K1913" s="10" t="str">
        <f t="shared" si="501"/>
        <v>no</v>
      </c>
      <c r="L1913" t="s">
        <v>487</v>
      </c>
      <c r="M1913">
        <v>10988</v>
      </c>
      <c r="N1913">
        <v>7</v>
      </c>
      <c r="O1913" t="s">
        <v>715</v>
      </c>
      <c r="P1913" t="str">
        <f t="shared" si="502"/>
        <v>RATTC_10988_Uncle Bob's Organic Dried Pears</v>
      </c>
      <c r="Q1913" t="str">
        <f t="shared" si="503"/>
        <v>10988</v>
      </c>
      <c r="R1913" t="str">
        <f t="shared" si="504"/>
        <v>10988</v>
      </c>
      <c r="S1913" t="str">
        <f t="shared" si="505"/>
        <v>Uncle Bob's Organic Dried Pears</v>
      </c>
      <c r="T1913">
        <v>30</v>
      </c>
      <c r="U1913">
        <v>60</v>
      </c>
      <c r="V1913">
        <v>0</v>
      </c>
      <c r="W1913">
        <f t="shared" si="506"/>
        <v>1800</v>
      </c>
      <c r="X1913" t="str">
        <f t="shared" si="507"/>
        <v>yes</v>
      </c>
      <c r="Y1913" s="2">
        <v>35185</v>
      </c>
      <c r="Z1913" t="str">
        <f t="shared" si="510"/>
        <v/>
      </c>
      <c r="AA1913" t="str">
        <f t="shared" si="508"/>
        <v>2nd Q 1996</v>
      </c>
      <c r="AB1913" t="str" cm="1">
        <f t="array" ref="AB1913">_xlfn.IFS(Y1913&lt;DATE(1996,1,1),"",Y1913&lt;DATE(1996,4,1),"Q1",Y1913&lt;DATE(1996,7,1),"Q2",Y1913&gt;=DATE(1996,7,1),"")</f>
        <v>Q2</v>
      </c>
    </row>
    <row r="1914" spans="1:28" ht="14.4" x14ac:dyDescent="0.55000000000000004">
      <c r="A1914" t="str">
        <f>VLOOKUP(L1914,Customers!$A$2:$B$92,2,FALSE)</f>
        <v>Rattlesnake Canyon Grocery</v>
      </c>
      <c r="B1914" t="str">
        <f>VLOOKUP(L1914,Customers!$A$2:$C$92,3,TRUE)</f>
        <v>Paula Wilson</v>
      </c>
      <c r="C1914" t="str">
        <f t="shared" si="494"/>
        <v>Paula</v>
      </c>
      <c r="D1914" s="8" t="str">
        <f t="shared" si="495"/>
        <v>Wilson</v>
      </c>
      <c r="E1914" s="8" t="str">
        <f t="shared" si="496"/>
        <v>Wilson, Paula</v>
      </c>
      <c r="F1914" s="8" t="str">
        <f t="shared" si="497"/>
        <v>Wilson, Paula</v>
      </c>
      <c r="G1914" s="8" t="str">
        <f t="shared" si="498"/>
        <v>not an outlier</v>
      </c>
      <c r="H1914" s="8" t="str">
        <f t="shared" si="499"/>
        <v>Not</v>
      </c>
      <c r="I1914" s="8" t="str">
        <f t="shared" si="509"/>
        <v>no</v>
      </c>
      <c r="J1914" s="10" t="str">
        <f t="shared" si="500"/>
        <v>no</v>
      </c>
      <c r="K1914" s="10" t="str">
        <f t="shared" si="501"/>
        <v>no</v>
      </c>
      <c r="L1914" t="s">
        <v>487</v>
      </c>
      <c r="M1914">
        <v>10988</v>
      </c>
      <c r="N1914">
        <v>62</v>
      </c>
      <c r="O1914" t="s">
        <v>712</v>
      </c>
      <c r="P1914" t="str">
        <f t="shared" si="502"/>
        <v>RATTC_10988_Tarte au sucre</v>
      </c>
      <c r="Q1914" t="str">
        <f t="shared" si="503"/>
        <v>10988</v>
      </c>
      <c r="R1914" t="str">
        <f t="shared" si="504"/>
        <v>10988</v>
      </c>
      <c r="S1914" t="str">
        <f t="shared" si="505"/>
        <v>Tarte au sucre</v>
      </c>
      <c r="T1914">
        <v>49.3</v>
      </c>
      <c r="U1914">
        <v>40</v>
      </c>
      <c r="V1914">
        <v>0.1</v>
      </c>
      <c r="W1914">
        <f t="shared" si="506"/>
        <v>1774.8</v>
      </c>
      <c r="X1914" t="str">
        <f t="shared" si="507"/>
        <v>yes</v>
      </c>
      <c r="Y1914" s="2">
        <v>35185</v>
      </c>
      <c r="Z1914" t="str">
        <f t="shared" si="510"/>
        <v/>
      </c>
      <c r="AA1914" t="str">
        <f t="shared" si="508"/>
        <v>2nd Q 1996</v>
      </c>
      <c r="AB1914" t="str" cm="1">
        <f t="array" ref="AB1914">_xlfn.IFS(Y1914&lt;DATE(1996,1,1),"",Y1914&lt;DATE(1996,4,1),"Q1",Y1914&lt;DATE(1996,7,1),"Q2",Y1914&gt;=DATE(1996,7,1),"")</f>
        <v>Q2</v>
      </c>
    </row>
    <row r="1915" spans="1:28" ht="14.4" x14ac:dyDescent="0.55000000000000004">
      <c r="A1915" t="str">
        <f>VLOOKUP(L1915,Customers!$A$2:$B$92,2,FALSE)</f>
        <v>Que Delícia</v>
      </c>
      <c r="B1915" t="str">
        <f>VLOOKUP(L1915,Customers!$A$2:$C$92,3,TRUE)</f>
        <v>Bernardo Batista</v>
      </c>
      <c r="C1915" t="str">
        <f t="shared" si="494"/>
        <v>Bernardo</v>
      </c>
      <c r="D1915" s="8" t="str">
        <f t="shared" si="495"/>
        <v>Batista</v>
      </c>
      <c r="E1915" s="8" t="str">
        <f t="shared" si="496"/>
        <v>Batista, Bernardo</v>
      </c>
      <c r="F1915" s="8" t="str">
        <f t="shared" si="497"/>
        <v>Batista, Bernardo</v>
      </c>
      <c r="G1915" s="8" t="str">
        <f t="shared" si="498"/>
        <v>not an outlier</v>
      </c>
      <c r="H1915" s="8" t="str">
        <f t="shared" si="499"/>
        <v>Not</v>
      </c>
      <c r="I1915" s="8" t="str">
        <f t="shared" si="509"/>
        <v>no</v>
      </c>
      <c r="J1915" s="10" t="str">
        <f t="shared" si="500"/>
        <v>no</v>
      </c>
      <c r="K1915" s="10" t="str">
        <f t="shared" si="501"/>
        <v>no</v>
      </c>
      <c r="L1915" t="s">
        <v>462</v>
      </c>
      <c r="M1915">
        <v>10989</v>
      </c>
      <c r="N1915">
        <v>6</v>
      </c>
      <c r="O1915" t="s">
        <v>746</v>
      </c>
      <c r="P1915" t="str">
        <f t="shared" si="502"/>
        <v>QUEDE_10989_Grandma's Boysenberry Spread</v>
      </c>
      <c r="Q1915" t="str">
        <f t="shared" si="503"/>
        <v>10989</v>
      </c>
      <c r="R1915" t="str">
        <f t="shared" si="504"/>
        <v>10989</v>
      </c>
      <c r="S1915" t="str">
        <f t="shared" si="505"/>
        <v>Grandma's Boysenberry Spread</v>
      </c>
      <c r="T1915">
        <v>25</v>
      </c>
      <c r="U1915">
        <v>40</v>
      </c>
      <c r="V1915">
        <v>0</v>
      </c>
      <c r="W1915">
        <f t="shared" si="506"/>
        <v>1000</v>
      </c>
      <c r="X1915" t="str">
        <f t="shared" si="507"/>
        <v>yes</v>
      </c>
      <c r="Y1915" s="2">
        <v>35185</v>
      </c>
      <c r="Z1915" t="str">
        <f t="shared" si="510"/>
        <v/>
      </c>
      <c r="AA1915" t="str">
        <f t="shared" si="508"/>
        <v>2nd Q 1996</v>
      </c>
      <c r="AB1915" t="str" cm="1">
        <f t="array" ref="AB1915">_xlfn.IFS(Y1915&lt;DATE(1996,1,1),"",Y1915&lt;DATE(1996,4,1),"Q1",Y1915&lt;DATE(1996,7,1),"Q2",Y1915&gt;=DATE(1996,7,1),"")</f>
        <v>Q2</v>
      </c>
    </row>
    <row r="1916" spans="1:28" ht="14.4" x14ac:dyDescent="0.55000000000000004">
      <c r="A1916" t="str">
        <f>VLOOKUP(L1916,Customers!$A$2:$B$92,2,FALSE)</f>
        <v>Que Delícia</v>
      </c>
      <c r="B1916" t="str">
        <f>VLOOKUP(L1916,Customers!$A$2:$C$92,3,TRUE)</f>
        <v>Bernardo Batista</v>
      </c>
      <c r="C1916" t="str">
        <f t="shared" si="494"/>
        <v>Bernardo</v>
      </c>
      <c r="D1916" s="8" t="str">
        <f t="shared" si="495"/>
        <v>Batista</v>
      </c>
      <c r="E1916" s="8" t="str">
        <f t="shared" si="496"/>
        <v>Batista, Bernardo</v>
      </c>
      <c r="F1916" s="8" t="str">
        <f t="shared" si="497"/>
        <v>Batista, Bernardo</v>
      </c>
      <c r="G1916" s="8" t="str">
        <f t="shared" si="498"/>
        <v>not an outlier</v>
      </c>
      <c r="H1916" s="8" t="str">
        <f t="shared" si="499"/>
        <v>Not</v>
      </c>
      <c r="I1916" s="8" t="str">
        <f t="shared" si="509"/>
        <v>no</v>
      </c>
      <c r="J1916" s="10" t="str">
        <f t="shared" si="500"/>
        <v>no</v>
      </c>
      <c r="K1916" s="10" t="str">
        <f t="shared" si="501"/>
        <v>no</v>
      </c>
      <c r="L1916" t="s">
        <v>462</v>
      </c>
      <c r="M1916">
        <v>10989</v>
      </c>
      <c r="N1916">
        <v>11</v>
      </c>
      <c r="O1916" t="s">
        <v>683</v>
      </c>
      <c r="P1916" t="str">
        <f t="shared" si="502"/>
        <v>QUEDE_10989_Queso Cabrales</v>
      </c>
      <c r="Q1916" t="str">
        <f t="shared" si="503"/>
        <v>10989</v>
      </c>
      <c r="R1916" t="str">
        <f t="shared" si="504"/>
        <v>10989</v>
      </c>
      <c r="S1916" t="str">
        <f t="shared" si="505"/>
        <v>Queso Cabrales</v>
      </c>
      <c r="T1916">
        <v>21</v>
      </c>
      <c r="U1916">
        <v>15</v>
      </c>
      <c r="V1916">
        <v>0</v>
      </c>
      <c r="W1916">
        <f t="shared" si="506"/>
        <v>315</v>
      </c>
      <c r="X1916" t="str">
        <f t="shared" si="507"/>
        <v>yes</v>
      </c>
      <c r="Y1916" s="2">
        <v>35185</v>
      </c>
      <c r="Z1916" t="str">
        <f t="shared" si="510"/>
        <v/>
      </c>
      <c r="AA1916" t="str">
        <f t="shared" si="508"/>
        <v>2nd Q 1996</v>
      </c>
      <c r="AB1916" t="str" cm="1">
        <f t="array" ref="AB1916">_xlfn.IFS(Y1916&lt;DATE(1996,1,1),"",Y1916&lt;DATE(1996,4,1),"Q1",Y1916&lt;DATE(1996,7,1),"Q2",Y1916&gt;=DATE(1996,7,1),"")</f>
        <v>Q2</v>
      </c>
    </row>
    <row r="1917" spans="1:28" ht="14.4" x14ac:dyDescent="0.55000000000000004">
      <c r="A1917" t="str">
        <f>VLOOKUP(L1917,Customers!$A$2:$B$92,2,FALSE)</f>
        <v>Que Delícia</v>
      </c>
      <c r="B1917" t="str">
        <f>VLOOKUP(L1917,Customers!$A$2:$C$92,3,TRUE)</f>
        <v>Bernardo Batista</v>
      </c>
      <c r="C1917" t="str">
        <f t="shared" si="494"/>
        <v>Bernardo</v>
      </c>
      <c r="D1917" s="8" t="str">
        <f t="shared" si="495"/>
        <v>Batista</v>
      </c>
      <c r="E1917" s="8" t="str">
        <f t="shared" si="496"/>
        <v>Batista, Bernardo</v>
      </c>
      <c r="F1917" s="8" t="str">
        <f t="shared" si="497"/>
        <v>Batista, Bernardo</v>
      </c>
      <c r="G1917" s="8" t="str">
        <f t="shared" si="498"/>
        <v>not an outlier</v>
      </c>
      <c r="H1917" s="8" t="str">
        <f t="shared" si="499"/>
        <v>Not</v>
      </c>
      <c r="I1917" s="8" t="str">
        <f t="shared" si="509"/>
        <v>no</v>
      </c>
      <c r="J1917" s="10" t="str">
        <f t="shared" si="500"/>
        <v>no</v>
      </c>
      <c r="K1917" s="10" t="str">
        <f t="shared" si="501"/>
        <v>no</v>
      </c>
      <c r="L1917" t="s">
        <v>462</v>
      </c>
      <c r="M1917">
        <v>10989</v>
      </c>
      <c r="N1917">
        <v>41</v>
      </c>
      <c r="O1917" t="s">
        <v>688</v>
      </c>
      <c r="P1917" t="str">
        <f t="shared" si="502"/>
        <v>QUEDE_10989_Jack's New England Clam Chowder</v>
      </c>
      <c r="Q1917" t="str">
        <f t="shared" si="503"/>
        <v>10989</v>
      </c>
      <c r="R1917" t="str">
        <f t="shared" si="504"/>
        <v>10989</v>
      </c>
      <c r="S1917" t="str">
        <f t="shared" si="505"/>
        <v>Jack's New England Clam Chowder</v>
      </c>
      <c r="T1917">
        <v>9.65</v>
      </c>
      <c r="U1917">
        <v>4</v>
      </c>
      <c r="V1917">
        <v>0</v>
      </c>
      <c r="W1917">
        <f t="shared" si="506"/>
        <v>38.6</v>
      </c>
      <c r="X1917" t="str">
        <f t="shared" si="507"/>
        <v>yes</v>
      </c>
      <c r="Y1917" s="2">
        <v>35185</v>
      </c>
      <c r="Z1917" t="str">
        <f t="shared" si="510"/>
        <v/>
      </c>
      <c r="AA1917" t="str">
        <f t="shared" si="508"/>
        <v>2nd Q 1996</v>
      </c>
      <c r="AB1917" t="str" cm="1">
        <f t="array" ref="AB1917">_xlfn.IFS(Y1917&lt;DATE(1996,1,1),"",Y1917&lt;DATE(1996,4,1),"Q1",Y1917&lt;DATE(1996,7,1),"Q2",Y1917&gt;=DATE(1996,7,1),"")</f>
        <v>Q2</v>
      </c>
    </row>
    <row r="1918" spans="1:28" ht="14.4" x14ac:dyDescent="0.55000000000000004">
      <c r="A1918" t="str">
        <f>VLOOKUP(L1918,Customers!$A$2:$B$92,2,FALSE)</f>
        <v>Ernst Handel</v>
      </c>
      <c r="B1918" t="str">
        <f>VLOOKUP(L1918,Customers!$A$2:$C$92,3,TRUE)</f>
        <v>Roland Mendel</v>
      </c>
      <c r="C1918" t="str">
        <f t="shared" si="494"/>
        <v>Roland</v>
      </c>
      <c r="D1918" s="8" t="str">
        <f t="shared" si="495"/>
        <v>Mendel</v>
      </c>
      <c r="E1918" s="8" t="str">
        <f t="shared" si="496"/>
        <v>Mendel, Roland</v>
      </c>
      <c r="F1918" s="8" t="str">
        <f t="shared" si="497"/>
        <v>Mendel, Roland</v>
      </c>
      <c r="G1918" s="8" t="str">
        <f t="shared" si="498"/>
        <v>not an outlier</v>
      </c>
      <c r="H1918" s="8" t="str">
        <f t="shared" si="499"/>
        <v>Not</v>
      </c>
      <c r="I1918" s="8" t="str">
        <f t="shared" si="509"/>
        <v>no</v>
      </c>
      <c r="J1918" s="10" t="str">
        <f t="shared" si="500"/>
        <v>no</v>
      </c>
      <c r="K1918" s="10" t="str">
        <f t="shared" si="501"/>
        <v>no</v>
      </c>
      <c r="L1918" t="s">
        <v>161</v>
      </c>
      <c r="M1918">
        <v>10990</v>
      </c>
      <c r="N1918">
        <v>21</v>
      </c>
      <c r="O1918" t="s">
        <v>710</v>
      </c>
      <c r="P1918" t="str">
        <f t="shared" si="502"/>
        <v>ERNSH_10990_Sir Rodney's Scones</v>
      </c>
      <c r="Q1918" t="str">
        <f t="shared" si="503"/>
        <v>10990</v>
      </c>
      <c r="R1918" t="str">
        <f t="shared" si="504"/>
        <v>10990</v>
      </c>
      <c r="S1918" t="str">
        <f t="shared" si="505"/>
        <v>Sir Rodney's Scones</v>
      </c>
      <c r="T1918">
        <v>10</v>
      </c>
      <c r="U1918">
        <v>65</v>
      </c>
      <c r="V1918">
        <v>0</v>
      </c>
      <c r="W1918">
        <f t="shared" si="506"/>
        <v>650</v>
      </c>
      <c r="X1918" t="str">
        <f t="shared" si="507"/>
        <v>yes</v>
      </c>
      <c r="Y1918" s="2">
        <v>35186</v>
      </c>
      <c r="Z1918" t="str">
        <f t="shared" si="510"/>
        <v/>
      </c>
      <c r="AA1918" t="str">
        <f t="shared" si="508"/>
        <v>2nd Q 1996</v>
      </c>
      <c r="AB1918" t="str" cm="1">
        <f t="array" ref="AB1918">_xlfn.IFS(Y1918&lt;DATE(1996,1,1),"",Y1918&lt;DATE(1996,4,1),"Q1",Y1918&lt;DATE(1996,7,1),"Q2",Y1918&gt;=DATE(1996,7,1),"")</f>
        <v>Q2</v>
      </c>
    </row>
    <row r="1919" spans="1:28" ht="14.4" x14ac:dyDescent="0.55000000000000004">
      <c r="A1919" t="str">
        <f>VLOOKUP(L1919,Customers!$A$2:$B$92,2,FALSE)</f>
        <v>Ernst Handel</v>
      </c>
      <c r="B1919" t="str">
        <f>VLOOKUP(L1919,Customers!$A$2:$C$92,3,TRUE)</f>
        <v>Roland Mendel</v>
      </c>
      <c r="C1919" t="str">
        <f t="shared" si="494"/>
        <v>Roland</v>
      </c>
      <c r="D1919" s="8" t="str">
        <f t="shared" si="495"/>
        <v>Mendel</v>
      </c>
      <c r="E1919" s="8" t="str">
        <f t="shared" si="496"/>
        <v>Mendel, Roland</v>
      </c>
      <c r="F1919" s="8" t="str">
        <f t="shared" si="497"/>
        <v>Mendel, Roland</v>
      </c>
      <c r="G1919" s="8" t="str">
        <f t="shared" si="498"/>
        <v>not an outlier</v>
      </c>
      <c r="H1919" s="8" t="str">
        <f t="shared" si="499"/>
        <v>Not</v>
      </c>
      <c r="I1919" s="8" t="str">
        <f t="shared" si="509"/>
        <v>no</v>
      </c>
      <c r="J1919" s="10" t="str">
        <f t="shared" si="500"/>
        <v>no</v>
      </c>
      <c r="K1919" s="10" t="str">
        <f t="shared" si="501"/>
        <v>no</v>
      </c>
      <c r="L1919" t="s">
        <v>161</v>
      </c>
      <c r="M1919">
        <v>10990</v>
      </c>
      <c r="N1919">
        <v>34</v>
      </c>
      <c r="O1919" t="s">
        <v>736</v>
      </c>
      <c r="P1919" t="str">
        <f t="shared" si="502"/>
        <v>ERNSH_10990_Sasquatch Ale</v>
      </c>
      <c r="Q1919" t="str">
        <f t="shared" si="503"/>
        <v>10990</v>
      </c>
      <c r="R1919" t="str">
        <f t="shared" si="504"/>
        <v>10990</v>
      </c>
      <c r="S1919" t="str">
        <f t="shared" si="505"/>
        <v>Sasquatch Ale</v>
      </c>
      <c r="T1919">
        <v>14</v>
      </c>
      <c r="U1919">
        <v>60</v>
      </c>
      <c r="V1919">
        <v>0.15</v>
      </c>
      <c r="W1919">
        <f t="shared" si="506"/>
        <v>714</v>
      </c>
      <c r="X1919" t="str">
        <f t="shared" si="507"/>
        <v>yes</v>
      </c>
      <c r="Y1919" s="2">
        <v>35186</v>
      </c>
      <c r="Z1919" t="str">
        <f t="shared" si="510"/>
        <v/>
      </c>
      <c r="AA1919" t="str">
        <f t="shared" si="508"/>
        <v>2nd Q 1996</v>
      </c>
      <c r="AB1919" t="str" cm="1">
        <f t="array" ref="AB1919">_xlfn.IFS(Y1919&lt;DATE(1996,1,1),"",Y1919&lt;DATE(1996,4,1),"Q1",Y1919&lt;DATE(1996,7,1),"Q2",Y1919&gt;=DATE(1996,7,1),"")</f>
        <v>Q2</v>
      </c>
    </row>
    <row r="1920" spans="1:28" ht="14.4" x14ac:dyDescent="0.55000000000000004">
      <c r="A1920" t="str">
        <f>VLOOKUP(L1920,Customers!$A$2:$B$92,2,FALSE)</f>
        <v>Ernst Handel</v>
      </c>
      <c r="B1920" t="str">
        <f>VLOOKUP(L1920,Customers!$A$2:$C$92,3,TRUE)</f>
        <v>Roland Mendel</v>
      </c>
      <c r="C1920" t="str">
        <f t="shared" si="494"/>
        <v>Roland</v>
      </c>
      <c r="D1920" s="8" t="str">
        <f t="shared" si="495"/>
        <v>Mendel</v>
      </c>
      <c r="E1920" s="8" t="str">
        <f t="shared" si="496"/>
        <v>Mendel, Roland</v>
      </c>
      <c r="F1920" s="8" t="str">
        <f t="shared" si="497"/>
        <v>Mendel, Roland</v>
      </c>
      <c r="G1920" s="8" t="str">
        <f t="shared" si="498"/>
        <v>not an outlier</v>
      </c>
      <c r="H1920" s="8" t="str">
        <f t="shared" si="499"/>
        <v>Not</v>
      </c>
      <c r="I1920" s="8" t="str">
        <f t="shared" si="509"/>
        <v>no</v>
      </c>
      <c r="J1920" s="10" t="str">
        <f t="shared" si="500"/>
        <v>no</v>
      </c>
      <c r="K1920" s="10" t="str">
        <f t="shared" si="501"/>
        <v>no</v>
      </c>
      <c r="L1920" t="s">
        <v>161</v>
      </c>
      <c r="M1920">
        <v>10990</v>
      </c>
      <c r="N1920">
        <v>55</v>
      </c>
      <c r="O1920" t="s">
        <v>699</v>
      </c>
      <c r="P1920" t="str">
        <f t="shared" si="502"/>
        <v>ERNSH_10990_Pâté chinois</v>
      </c>
      <c r="Q1920" t="str">
        <f t="shared" si="503"/>
        <v>10990</v>
      </c>
      <c r="R1920" t="str">
        <f t="shared" si="504"/>
        <v>10990</v>
      </c>
      <c r="S1920" t="str">
        <f t="shared" si="505"/>
        <v>Pâté chinois</v>
      </c>
      <c r="T1920">
        <v>24</v>
      </c>
      <c r="U1920">
        <v>65</v>
      </c>
      <c r="V1920">
        <v>0.15</v>
      </c>
      <c r="W1920">
        <f t="shared" si="506"/>
        <v>1326</v>
      </c>
      <c r="X1920" t="str">
        <f t="shared" si="507"/>
        <v>yes</v>
      </c>
      <c r="Y1920" s="2">
        <v>35186</v>
      </c>
      <c r="Z1920" t="str">
        <f t="shared" si="510"/>
        <v/>
      </c>
      <c r="AA1920" t="str">
        <f t="shared" si="508"/>
        <v>2nd Q 1996</v>
      </c>
      <c r="AB1920" t="str" cm="1">
        <f t="array" ref="AB1920">_xlfn.IFS(Y1920&lt;DATE(1996,1,1),"",Y1920&lt;DATE(1996,4,1),"Q1",Y1920&lt;DATE(1996,7,1),"Q2",Y1920&gt;=DATE(1996,7,1),"")</f>
        <v>Q2</v>
      </c>
    </row>
    <row r="1921" spans="1:28" ht="14.4" x14ac:dyDescent="0.55000000000000004">
      <c r="A1921" t="str">
        <f>VLOOKUP(L1921,Customers!$A$2:$B$92,2,FALSE)</f>
        <v>Ernst Handel</v>
      </c>
      <c r="B1921" t="str">
        <f>VLOOKUP(L1921,Customers!$A$2:$C$92,3,TRUE)</f>
        <v>Roland Mendel</v>
      </c>
      <c r="C1921" t="str">
        <f t="shared" si="494"/>
        <v>Roland</v>
      </c>
      <c r="D1921" s="8" t="str">
        <f t="shared" si="495"/>
        <v>Mendel</v>
      </c>
      <c r="E1921" s="8" t="str">
        <f t="shared" si="496"/>
        <v>Mendel, Roland</v>
      </c>
      <c r="F1921" s="8" t="str">
        <f t="shared" si="497"/>
        <v>Mendel, Roland</v>
      </c>
      <c r="G1921" s="8" t="str">
        <f t="shared" si="498"/>
        <v>not an outlier</v>
      </c>
      <c r="H1921" s="8" t="str">
        <f t="shared" si="499"/>
        <v>Not</v>
      </c>
      <c r="I1921" s="8" t="str">
        <f t="shared" si="509"/>
        <v>no</v>
      </c>
      <c r="J1921" s="10" t="str">
        <f t="shared" si="500"/>
        <v>no</v>
      </c>
      <c r="K1921" s="10" t="str">
        <f t="shared" si="501"/>
        <v>no</v>
      </c>
      <c r="L1921" t="s">
        <v>161</v>
      </c>
      <c r="M1921">
        <v>10990</v>
      </c>
      <c r="N1921">
        <v>61</v>
      </c>
      <c r="O1921" t="s">
        <v>758</v>
      </c>
      <c r="P1921" t="str">
        <f t="shared" si="502"/>
        <v>ERNSH_10990_Sirop d'érable</v>
      </c>
      <c r="Q1921" t="str">
        <f t="shared" si="503"/>
        <v>10990</v>
      </c>
      <c r="R1921" t="str">
        <f t="shared" si="504"/>
        <v>10990</v>
      </c>
      <c r="S1921" t="str">
        <f t="shared" si="505"/>
        <v>Sirop d'érable</v>
      </c>
      <c r="T1921">
        <v>28.5</v>
      </c>
      <c r="U1921">
        <v>66</v>
      </c>
      <c r="V1921">
        <v>0.15</v>
      </c>
      <c r="W1921">
        <f t="shared" si="506"/>
        <v>1598.85</v>
      </c>
      <c r="X1921" t="str">
        <f t="shared" si="507"/>
        <v>yes</v>
      </c>
      <c r="Y1921" s="2">
        <v>35186</v>
      </c>
      <c r="Z1921" t="str">
        <f t="shared" si="510"/>
        <v/>
      </c>
      <c r="AA1921" t="str">
        <f t="shared" si="508"/>
        <v>2nd Q 1996</v>
      </c>
      <c r="AB1921" t="str" cm="1">
        <f t="array" ref="AB1921">_xlfn.IFS(Y1921&lt;DATE(1996,1,1),"",Y1921&lt;DATE(1996,4,1),"Q1",Y1921&lt;DATE(1996,7,1),"Q2",Y1921&gt;=DATE(1996,7,1),"")</f>
        <v>Q2</v>
      </c>
    </row>
    <row r="1922" spans="1:28" ht="14.4" x14ac:dyDescent="0.55000000000000004">
      <c r="A1922" t="str">
        <f>VLOOKUP(L1922,Customers!$A$2:$B$92,2,FALSE)</f>
        <v>QUICK-Stop</v>
      </c>
      <c r="B1922" t="str">
        <f>VLOOKUP(L1922,Customers!$A$2:$C$92,3,TRUE)</f>
        <v>Horst Kloss</v>
      </c>
      <c r="C1922" t="str">
        <f t="shared" si="494"/>
        <v>Horst</v>
      </c>
      <c r="D1922" s="8" t="str">
        <f t="shared" si="495"/>
        <v>Kloss</v>
      </c>
      <c r="E1922" s="8" t="str">
        <f t="shared" si="496"/>
        <v>Kloss, Horst</v>
      </c>
      <c r="F1922" s="8" t="str">
        <f t="shared" si="497"/>
        <v>Kloss, Horst</v>
      </c>
      <c r="G1922" s="8" t="str">
        <f t="shared" si="498"/>
        <v>not an outlier</v>
      </c>
      <c r="H1922" s="8" t="str">
        <f t="shared" si="499"/>
        <v>Not</v>
      </c>
      <c r="I1922" s="8" t="str">
        <f t="shared" si="509"/>
        <v>no</v>
      </c>
      <c r="J1922" s="10" t="str">
        <f t="shared" si="500"/>
        <v>no</v>
      </c>
      <c r="K1922" s="10" t="str">
        <f t="shared" si="501"/>
        <v>no</v>
      </c>
      <c r="L1922" t="s">
        <v>475</v>
      </c>
      <c r="M1922">
        <v>10991</v>
      </c>
      <c r="N1922">
        <v>2</v>
      </c>
      <c r="O1922" t="s">
        <v>701</v>
      </c>
      <c r="P1922" t="str">
        <f t="shared" si="502"/>
        <v>QUICK_10991_Chang</v>
      </c>
      <c r="Q1922" t="str">
        <f t="shared" si="503"/>
        <v>10991</v>
      </c>
      <c r="R1922" t="str">
        <f t="shared" si="504"/>
        <v>10991</v>
      </c>
      <c r="S1922" t="str">
        <f t="shared" si="505"/>
        <v>Chang</v>
      </c>
      <c r="T1922">
        <v>19</v>
      </c>
      <c r="U1922">
        <v>50</v>
      </c>
      <c r="V1922">
        <v>0.2</v>
      </c>
      <c r="W1922">
        <f t="shared" si="506"/>
        <v>760</v>
      </c>
      <c r="X1922" t="str">
        <f t="shared" si="507"/>
        <v>yes</v>
      </c>
      <c r="Y1922" s="2">
        <v>35186</v>
      </c>
      <c r="Z1922" t="str">
        <f t="shared" si="510"/>
        <v/>
      </c>
      <c r="AA1922" t="str">
        <f t="shared" si="508"/>
        <v>2nd Q 1996</v>
      </c>
      <c r="AB1922" t="str" cm="1">
        <f t="array" ref="AB1922">_xlfn.IFS(Y1922&lt;DATE(1996,1,1),"",Y1922&lt;DATE(1996,4,1),"Q1",Y1922&lt;DATE(1996,7,1),"Q2",Y1922&gt;=DATE(1996,7,1),"")</f>
        <v>Q2</v>
      </c>
    </row>
    <row r="1923" spans="1:28" ht="14.4" x14ac:dyDescent="0.55000000000000004">
      <c r="A1923" t="str">
        <f>VLOOKUP(L1923,Customers!$A$2:$B$92,2,FALSE)</f>
        <v>QUICK-Stop</v>
      </c>
      <c r="B1923" t="str">
        <f>VLOOKUP(L1923,Customers!$A$2:$C$92,3,TRUE)</f>
        <v>Horst Kloss</v>
      </c>
      <c r="C1923" t="str">
        <f t="shared" ref="C1923:C1986" si="511">LEFT(B1923,FIND(" ",B1923)-1)</f>
        <v>Horst</v>
      </c>
      <c r="D1923" s="8" t="str">
        <f t="shared" ref="D1923:D1986" si="512">RIGHT(B1923,LEN(B1923)-FIND(" ",B1923))</f>
        <v>Kloss</v>
      </c>
      <c r="E1923" s="8" t="str">
        <f t="shared" ref="E1923:E1986" si="513">_xlfn.CONCAT(D1923,", ",C1923)</f>
        <v>Kloss, Horst</v>
      </c>
      <c r="F1923" s="8" t="str">
        <f t="shared" ref="F1923:F1986" si="514">D1923&amp;", "&amp;C1923</f>
        <v>Kloss, Horst</v>
      </c>
      <c r="G1923" s="8" t="str">
        <f t="shared" ref="G1923:G1986" si="515">IF(OR(W1923&gt;$W$2166,W1923&lt;$W$2167),"outlier","not an outlier")</f>
        <v>not an outlier</v>
      </c>
      <c r="H1923" s="8" t="str">
        <f t="shared" ref="H1923:H1986" si="516">IF(OR(W1923&gt;$W$2166,W1923&lt;$W$2167),"outlier",IF(OR(W1923&gt;$W$2168,W1923&lt;$W$2169),"moderate","Not"))</f>
        <v>Not</v>
      </c>
      <c r="I1923" s="8" t="str">
        <f t="shared" si="509"/>
        <v>no</v>
      </c>
      <c r="J1923" s="10" t="str">
        <f t="shared" ref="J1923:J1986" si="517">IF(AND(W1923&lt;=$W$2166,W1923&gt;=$W$2167),"no","yes")</f>
        <v>no</v>
      </c>
      <c r="K1923" s="10" t="str">
        <f t="shared" ref="K1923:K1986" si="518">IF(OR(W1923&gt;$W$2166,W1923&lt;$W$2167),"yes",IF(OR(W1923&gt;$W$2168,W1923&lt;$W$2169),"moderate","no"))</f>
        <v>no</v>
      </c>
      <c r="L1923" t="s">
        <v>475</v>
      </c>
      <c r="M1923">
        <v>10991</v>
      </c>
      <c r="N1923">
        <v>70</v>
      </c>
      <c r="O1923" t="s">
        <v>713</v>
      </c>
      <c r="P1923" t="str">
        <f t="shared" ref="P1923:P1986" si="519">L1923&amp;"_"&amp;M1923&amp;"_"&amp;O1923</f>
        <v>QUICK_10991_Outback Lager</v>
      </c>
      <c r="Q1923" t="str">
        <f t="shared" ref="Q1923:Q1986" si="520">LEFT(RIGHT(P1923,LEN(P1923)-FIND("_",P1923)), FIND("_",P1923)-1)</f>
        <v>10991</v>
      </c>
      <c r="R1923" t="str">
        <f t="shared" ref="R1923:R1986" si="521">MID(P1923,FIND("_",P1923)+1,FIND("_",P1923,FIND("_",P1923))-1)</f>
        <v>10991</v>
      </c>
      <c r="S1923" t="str">
        <f t="shared" ref="S1923:S1986" si="522">MID(P1923,FIND("_",P1923,FIND("_",P1923)+1)+1,LEN(P1923))</f>
        <v>Outback Lager</v>
      </c>
      <c r="T1923">
        <v>15</v>
      </c>
      <c r="U1923">
        <v>20</v>
      </c>
      <c r="V1923">
        <v>0.2</v>
      </c>
      <c r="W1923">
        <f t="shared" ref="W1923:W1986" si="523">T1923*U1923*(1-V1923)</f>
        <v>240</v>
      </c>
      <c r="X1923" t="str">
        <f t="shared" ref="X1923:X1986" si="524">IF(YEAR(Y1923)&gt;=1996,"yes","No")</f>
        <v>yes</v>
      </c>
      <c r="Y1923" s="2">
        <v>35186</v>
      </c>
      <c r="Z1923" t="str">
        <f t="shared" si="510"/>
        <v/>
      </c>
      <c r="AA1923" t="str">
        <f t="shared" ref="AA1923:AA1986" si="525">IF(Y1923&lt;DATE(1996,1,1),"", IF(Y1923&lt;DATE(1996,4,1),"1st Q 1996",IF(Y1923&lt;DATE(1996,7,1),"2nd Q 1996","")))</f>
        <v>2nd Q 1996</v>
      </c>
      <c r="AB1923" t="str" cm="1">
        <f t="array" ref="AB1923">_xlfn.IFS(Y1923&lt;DATE(1996,1,1),"",Y1923&lt;DATE(1996,4,1),"Q1",Y1923&lt;DATE(1996,7,1),"Q2",Y1923&gt;=DATE(1996,7,1),"")</f>
        <v>Q2</v>
      </c>
    </row>
    <row r="1924" spans="1:28" ht="14.4" x14ac:dyDescent="0.55000000000000004">
      <c r="A1924" t="str">
        <f>VLOOKUP(L1924,Customers!$A$2:$B$92,2,FALSE)</f>
        <v>QUICK-Stop</v>
      </c>
      <c r="B1924" t="str">
        <f>VLOOKUP(L1924,Customers!$A$2:$C$92,3,TRUE)</f>
        <v>Horst Kloss</v>
      </c>
      <c r="C1924" t="str">
        <f t="shared" si="511"/>
        <v>Horst</v>
      </c>
      <c r="D1924" s="8" t="str">
        <f t="shared" si="512"/>
        <v>Kloss</v>
      </c>
      <c r="E1924" s="8" t="str">
        <f t="shared" si="513"/>
        <v>Kloss, Horst</v>
      </c>
      <c r="F1924" s="8" t="str">
        <f t="shared" si="514"/>
        <v>Kloss, Horst</v>
      </c>
      <c r="G1924" s="8" t="str">
        <f t="shared" si="515"/>
        <v>not an outlier</v>
      </c>
      <c r="H1924" s="8" t="str">
        <f t="shared" si="516"/>
        <v>Not</v>
      </c>
      <c r="I1924" s="8" t="str">
        <f t="shared" ref="I1924:I1987" si="526">IF(OR(W1924&gt;$W$2166,W1924&lt;$W$2167),"yes","no")</f>
        <v>no</v>
      </c>
      <c r="J1924" s="10" t="str">
        <f t="shared" si="517"/>
        <v>no</v>
      </c>
      <c r="K1924" s="10" t="str">
        <f t="shared" si="518"/>
        <v>no</v>
      </c>
      <c r="L1924" t="s">
        <v>475</v>
      </c>
      <c r="M1924">
        <v>10991</v>
      </c>
      <c r="N1924">
        <v>76</v>
      </c>
      <c r="O1924" t="s">
        <v>721</v>
      </c>
      <c r="P1924" t="str">
        <f t="shared" si="519"/>
        <v>QUICK_10991_Lakkalikööri</v>
      </c>
      <c r="Q1924" t="str">
        <f t="shared" si="520"/>
        <v>10991</v>
      </c>
      <c r="R1924" t="str">
        <f t="shared" si="521"/>
        <v>10991</v>
      </c>
      <c r="S1924" t="str">
        <f t="shared" si="522"/>
        <v>Lakkalikööri</v>
      </c>
      <c r="T1924">
        <v>18</v>
      </c>
      <c r="U1924">
        <v>90</v>
      </c>
      <c r="V1924">
        <v>0.2</v>
      </c>
      <c r="W1924">
        <f t="shared" si="523"/>
        <v>1296</v>
      </c>
      <c r="X1924" t="str">
        <f t="shared" si="524"/>
        <v>yes</v>
      </c>
      <c r="Y1924" s="2">
        <v>35186</v>
      </c>
      <c r="Z1924" t="str">
        <f t="shared" si="510"/>
        <v/>
      </c>
      <c r="AA1924" t="str">
        <f t="shared" si="525"/>
        <v>2nd Q 1996</v>
      </c>
      <c r="AB1924" t="str" cm="1">
        <f t="array" ref="AB1924">_xlfn.IFS(Y1924&lt;DATE(1996,1,1),"",Y1924&lt;DATE(1996,4,1),"Q1",Y1924&lt;DATE(1996,7,1),"Q2",Y1924&gt;=DATE(1996,7,1),"")</f>
        <v>Q2</v>
      </c>
    </row>
    <row r="1925" spans="1:28" ht="14.4" x14ac:dyDescent="0.55000000000000004">
      <c r="A1925" t="str">
        <f>VLOOKUP(L1925,Customers!$A$2:$B$92,2,FALSE)</f>
        <v>The Big Cheese</v>
      </c>
      <c r="B1925" t="str">
        <f>VLOOKUP(L1925,Customers!$A$2:$C$92,3,TRUE)</f>
        <v>Liz Nixon</v>
      </c>
      <c r="C1925" t="str">
        <f t="shared" si="511"/>
        <v>Liz</v>
      </c>
      <c r="D1925" s="8" t="str">
        <f t="shared" si="512"/>
        <v>Nixon</v>
      </c>
      <c r="E1925" s="8" t="str">
        <f t="shared" si="513"/>
        <v>Nixon, Liz</v>
      </c>
      <c r="F1925" s="8" t="str">
        <f t="shared" si="514"/>
        <v>Nixon, Liz</v>
      </c>
      <c r="G1925" s="8" t="str">
        <f t="shared" si="515"/>
        <v>not an outlier</v>
      </c>
      <c r="H1925" s="8" t="str">
        <f t="shared" si="516"/>
        <v>Not</v>
      </c>
      <c r="I1925" s="8" t="str">
        <f t="shared" si="526"/>
        <v>no</v>
      </c>
      <c r="J1925" s="10" t="str">
        <f t="shared" si="517"/>
        <v>no</v>
      </c>
      <c r="K1925" s="10" t="str">
        <f t="shared" si="518"/>
        <v>no</v>
      </c>
      <c r="L1925" t="s">
        <v>573</v>
      </c>
      <c r="M1925">
        <v>10992</v>
      </c>
      <c r="N1925">
        <v>72</v>
      </c>
      <c r="O1925" t="s">
        <v>685</v>
      </c>
      <c r="P1925" t="str">
        <f t="shared" si="519"/>
        <v>THEBI_10992_Mozzarella di Giovanni</v>
      </c>
      <c r="Q1925" t="str">
        <f t="shared" si="520"/>
        <v>10992</v>
      </c>
      <c r="R1925" t="str">
        <f t="shared" si="521"/>
        <v>10992</v>
      </c>
      <c r="S1925" t="str">
        <f t="shared" si="522"/>
        <v>Mozzarella di Giovanni</v>
      </c>
      <c r="T1925">
        <v>34.799999999999997</v>
      </c>
      <c r="U1925">
        <v>2</v>
      </c>
      <c r="V1925">
        <v>0</v>
      </c>
      <c r="W1925">
        <f t="shared" si="523"/>
        <v>69.599999999999994</v>
      </c>
      <c r="X1925" t="str">
        <f t="shared" si="524"/>
        <v>yes</v>
      </c>
      <c r="Y1925" s="2">
        <v>35186</v>
      </c>
      <c r="Z1925" t="str">
        <f t="shared" si="510"/>
        <v/>
      </c>
      <c r="AA1925" t="str">
        <f t="shared" si="525"/>
        <v>2nd Q 1996</v>
      </c>
      <c r="AB1925" t="str" cm="1">
        <f t="array" ref="AB1925">_xlfn.IFS(Y1925&lt;DATE(1996,1,1),"",Y1925&lt;DATE(1996,4,1),"Q1",Y1925&lt;DATE(1996,7,1),"Q2",Y1925&gt;=DATE(1996,7,1),"")</f>
        <v>Q2</v>
      </c>
    </row>
    <row r="1926" spans="1:28" ht="14.4" x14ac:dyDescent="0.55000000000000004">
      <c r="A1926" t="str">
        <f>VLOOKUP(L1926,Customers!$A$2:$B$92,2,FALSE)</f>
        <v>Folk och fä HB</v>
      </c>
      <c r="B1926" t="str">
        <f>VLOOKUP(L1926,Customers!$A$2:$C$92,3,TRUE)</f>
        <v>Maria Larsson</v>
      </c>
      <c r="C1926" t="str">
        <f t="shared" si="511"/>
        <v>Maria</v>
      </c>
      <c r="D1926" s="8" t="str">
        <f t="shared" si="512"/>
        <v>Larsson</v>
      </c>
      <c r="E1926" s="8" t="str">
        <f t="shared" si="513"/>
        <v>Larsson, Maria</v>
      </c>
      <c r="F1926" s="8" t="str">
        <f t="shared" si="514"/>
        <v>Larsson, Maria</v>
      </c>
      <c r="G1926" s="8" t="str">
        <f t="shared" si="515"/>
        <v>outlier</v>
      </c>
      <c r="H1926" s="8" t="str">
        <f t="shared" si="516"/>
        <v>outlier</v>
      </c>
      <c r="I1926" s="8" t="str">
        <f t="shared" si="526"/>
        <v>yes</v>
      </c>
      <c r="J1926" s="10" t="str">
        <f t="shared" si="517"/>
        <v>yes</v>
      </c>
      <c r="K1926" s="10" t="str">
        <f t="shared" si="518"/>
        <v>yes</v>
      </c>
      <c r="L1926" t="s">
        <v>191</v>
      </c>
      <c r="M1926">
        <v>10993</v>
      </c>
      <c r="N1926">
        <v>29</v>
      </c>
      <c r="O1926" t="s">
        <v>722</v>
      </c>
      <c r="P1926" t="str">
        <f t="shared" si="519"/>
        <v>FOLKO_10993_Thüringer Rostbratwurst</v>
      </c>
      <c r="Q1926" t="str">
        <f t="shared" si="520"/>
        <v>10993</v>
      </c>
      <c r="R1926" t="str">
        <f t="shared" si="521"/>
        <v>10993</v>
      </c>
      <c r="S1926" t="str">
        <f t="shared" si="522"/>
        <v>Thüringer Rostbratwurst</v>
      </c>
      <c r="T1926">
        <v>123.79</v>
      </c>
      <c r="U1926">
        <v>50</v>
      </c>
      <c r="V1926">
        <v>0.25</v>
      </c>
      <c r="W1926">
        <f t="shared" si="523"/>
        <v>4642.125</v>
      </c>
      <c r="X1926" t="str">
        <f t="shared" si="524"/>
        <v>yes</v>
      </c>
      <c r="Y1926" s="2">
        <v>35186</v>
      </c>
      <c r="Z1926" t="str">
        <f t="shared" si="510"/>
        <v/>
      </c>
      <c r="AA1926" t="str">
        <f t="shared" si="525"/>
        <v>2nd Q 1996</v>
      </c>
      <c r="AB1926" t="str" cm="1">
        <f t="array" ref="AB1926">_xlfn.IFS(Y1926&lt;DATE(1996,1,1),"",Y1926&lt;DATE(1996,4,1),"Q1",Y1926&lt;DATE(1996,7,1),"Q2",Y1926&gt;=DATE(1996,7,1),"")</f>
        <v>Q2</v>
      </c>
    </row>
    <row r="1927" spans="1:28" ht="14.4" x14ac:dyDescent="0.55000000000000004">
      <c r="A1927" t="str">
        <f>VLOOKUP(L1927,Customers!$A$2:$B$92,2,FALSE)</f>
        <v>Folk och fä HB</v>
      </c>
      <c r="B1927" t="str">
        <f>VLOOKUP(L1927,Customers!$A$2:$C$92,3,TRUE)</f>
        <v>Maria Larsson</v>
      </c>
      <c r="C1927" t="str">
        <f t="shared" si="511"/>
        <v>Maria</v>
      </c>
      <c r="D1927" s="8" t="str">
        <f t="shared" si="512"/>
        <v>Larsson</v>
      </c>
      <c r="E1927" s="8" t="str">
        <f t="shared" si="513"/>
        <v>Larsson, Maria</v>
      </c>
      <c r="F1927" s="8" t="str">
        <f t="shared" si="514"/>
        <v>Larsson, Maria</v>
      </c>
      <c r="G1927" s="8" t="str">
        <f t="shared" si="515"/>
        <v>not an outlier</v>
      </c>
      <c r="H1927" s="8" t="str">
        <f t="shared" si="516"/>
        <v>Not</v>
      </c>
      <c r="I1927" s="8" t="str">
        <f t="shared" si="526"/>
        <v>no</v>
      </c>
      <c r="J1927" s="10" t="str">
        <f t="shared" si="517"/>
        <v>no</v>
      </c>
      <c r="K1927" s="10" t="str">
        <f t="shared" si="518"/>
        <v>no</v>
      </c>
      <c r="L1927" t="s">
        <v>191</v>
      </c>
      <c r="M1927">
        <v>10993</v>
      </c>
      <c r="N1927">
        <v>41</v>
      </c>
      <c r="O1927" t="s">
        <v>688</v>
      </c>
      <c r="P1927" t="str">
        <f t="shared" si="519"/>
        <v>FOLKO_10993_Jack's New England Clam Chowder</v>
      </c>
      <c r="Q1927" t="str">
        <f t="shared" si="520"/>
        <v>10993</v>
      </c>
      <c r="R1927" t="str">
        <f t="shared" si="521"/>
        <v>10993</v>
      </c>
      <c r="S1927" t="str">
        <f t="shared" si="522"/>
        <v>Jack's New England Clam Chowder</v>
      </c>
      <c r="T1927">
        <v>9.65</v>
      </c>
      <c r="U1927">
        <v>35</v>
      </c>
      <c r="V1927">
        <v>0.25</v>
      </c>
      <c r="W1927">
        <f t="shared" si="523"/>
        <v>253.3125</v>
      </c>
      <c r="X1927" t="str">
        <f t="shared" si="524"/>
        <v>yes</v>
      </c>
      <c r="Y1927" s="2">
        <v>35186</v>
      </c>
      <c r="Z1927" t="str">
        <f t="shared" si="510"/>
        <v/>
      </c>
      <c r="AA1927" t="str">
        <f t="shared" si="525"/>
        <v>2nd Q 1996</v>
      </c>
      <c r="AB1927" t="str" cm="1">
        <f t="array" ref="AB1927">_xlfn.IFS(Y1927&lt;DATE(1996,1,1),"",Y1927&lt;DATE(1996,4,1),"Q1",Y1927&lt;DATE(1996,7,1),"Q2",Y1927&gt;=DATE(1996,7,1),"")</f>
        <v>Q2</v>
      </c>
    </row>
    <row r="1928" spans="1:28" ht="14.4" x14ac:dyDescent="0.55000000000000004">
      <c r="A1928" t="str">
        <f>VLOOKUP(L1928,Customers!$A$2:$B$92,2,FALSE)</f>
        <v>Vaffeljernet</v>
      </c>
      <c r="B1928" t="str">
        <f>VLOOKUP(L1928,Customers!$A$2:$C$92,3,TRUE)</f>
        <v>Palle Ibsen</v>
      </c>
      <c r="C1928" t="str">
        <f t="shared" si="511"/>
        <v>Palle</v>
      </c>
      <c r="D1928" s="8" t="str">
        <f t="shared" si="512"/>
        <v>Ibsen</v>
      </c>
      <c r="E1928" s="8" t="str">
        <f t="shared" si="513"/>
        <v>Ibsen, Palle</v>
      </c>
      <c r="F1928" s="8" t="str">
        <f t="shared" si="514"/>
        <v>Ibsen, Palle</v>
      </c>
      <c r="G1928" s="8" t="str">
        <f t="shared" si="515"/>
        <v>not an outlier</v>
      </c>
      <c r="H1928" s="8" t="str">
        <f t="shared" si="516"/>
        <v>Not</v>
      </c>
      <c r="I1928" s="8" t="str">
        <f t="shared" si="526"/>
        <v>no</v>
      </c>
      <c r="J1928" s="10" t="str">
        <f t="shared" si="517"/>
        <v>no</v>
      </c>
      <c r="K1928" s="10" t="str">
        <f t="shared" si="518"/>
        <v>no</v>
      </c>
      <c r="L1928" t="s">
        <v>612</v>
      </c>
      <c r="M1928">
        <v>10994</v>
      </c>
      <c r="N1928">
        <v>59</v>
      </c>
      <c r="O1928" t="s">
        <v>704</v>
      </c>
      <c r="P1928" t="str">
        <f t="shared" si="519"/>
        <v>VAFFE_10994_Raclette Courdavault</v>
      </c>
      <c r="Q1928" t="str">
        <f t="shared" si="520"/>
        <v>10994</v>
      </c>
      <c r="R1928" t="str">
        <f t="shared" si="521"/>
        <v>10994</v>
      </c>
      <c r="S1928" t="str">
        <f t="shared" si="522"/>
        <v>Raclette Courdavault</v>
      </c>
      <c r="T1928">
        <v>55</v>
      </c>
      <c r="U1928">
        <v>18</v>
      </c>
      <c r="V1928">
        <v>0.05</v>
      </c>
      <c r="W1928">
        <f t="shared" si="523"/>
        <v>940.5</v>
      </c>
      <c r="X1928" t="str">
        <f t="shared" si="524"/>
        <v>yes</v>
      </c>
      <c r="Y1928" s="2">
        <v>35187</v>
      </c>
      <c r="Z1928" t="str">
        <f t="shared" si="510"/>
        <v/>
      </c>
      <c r="AA1928" t="str">
        <f t="shared" si="525"/>
        <v>2nd Q 1996</v>
      </c>
      <c r="AB1928" t="str" cm="1">
        <f t="array" ref="AB1928">_xlfn.IFS(Y1928&lt;DATE(1996,1,1),"",Y1928&lt;DATE(1996,4,1),"Q1",Y1928&lt;DATE(1996,7,1),"Q2",Y1928&gt;=DATE(1996,7,1),"")</f>
        <v>Q2</v>
      </c>
    </row>
    <row r="1929" spans="1:28" ht="14.4" x14ac:dyDescent="0.55000000000000004">
      <c r="A1929" t="str">
        <f>VLOOKUP(L1929,Customers!$A$2:$B$92,2,FALSE)</f>
        <v>Pericles Comidas clásicas</v>
      </c>
      <c r="B1929" t="str">
        <f>VLOOKUP(L1929,Customers!$A$2:$C$92,3,TRUE)</f>
        <v>Guillermo Fernández</v>
      </c>
      <c r="C1929" t="str">
        <f t="shared" si="511"/>
        <v>Guillermo</v>
      </c>
      <c r="D1929" s="8" t="str">
        <f t="shared" si="512"/>
        <v>Fernández</v>
      </c>
      <c r="E1929" s="8" t="str">
        <f t="shared" si="513"/>
        <v>Fernández, Guillermo</v>
      </c>
      <c r="F1929" s="8" t="str">
        <f t="shared" si="514"/>
        <v>Fernández, Guillermo</v>
      </c>
      <c r="G1929" s="8" t="str">
        <f t="shared" si="515"/>
        <v>not an outlier</v>
      </c>
      <c r="H1929" s="8" t="str">
        <f t="shared" si="516"/>
        <v>Not</v>
      </c>
      <c r="I1929" s="8" t="str">
        <f t="shared" si="526"/>
        <v>no</v>
      </c>
      <c r="J1929" s="10" t="str">
        <f t="shared" si="517"/>
        <v>no</v>
      </c>
      <c r="K1929" s="10" t="str">
        <f t="shared" si="518"/>
        <v>no</v>
      </c>
      <c r="L1929" t="s">
        <v>444</v>
      </c>
      <c r="M1929">
        <v>10995</v>
      </c>
      <c r="N1929">
        <v>51</v>
      </c>
      <c r="O1929" t="s">
        <v>687</v>
      </c>
      <c r="P1929" t="str">
        <f t="shared" si="519"/>
        <v>PERIC_10995_Manjimup Dried Apples</v>
      </c>
      <c r="Q1929" t="str">
        <f t="shared" si="520"/>
        <v>10995</v>
      </c>
      <c r="R1929" t="str">
        <f t="shared" si="521"/>
        <v>10995</v>
      </c>
      <c r="S1929" t="str">
        <f t="shared" si="522"/>
        <v>Manjimup Dried Apples</v>
      </c>
      <c r="T1929">
        <v>53</v>
      </c>
      <c r="U1929">
        <v>20</v>
      </c>
      <c r="V1929">
        <v>0</v>
      </c>
      <c r="W1929">
        <f t="shared" si="523"/>
        <v>1060</v>
      </c>
      <c r="X1929" t="str">
        <f t="shared" si="524"/>
        <v>yes</v>
      </c>
      <c r="Y1929" s="2">
        <v>35187</v>
      </c>
      <c r="Z1929" t="str">
        <f t="shared" si="510"/>
        <v/>
      </c>
      <c r="AA1929" t="str">
        <f t="shared" si="525"/>
        <v>2nd Q 1996</v>
      </c>
      <c r="AB1929" t="str" cm="1">
        <f t="array" ref="AB1929">_xlfn.IFS(Y1929&lt;DATE(1996,1,1),"",Y1929&lt;DATE(1996,4,1),"Q1",Y1929&lt;DATE(1996,7,1),"Q2",Y1929&gt;=DATE(1996,7,1),"")</f>
        <v>Q2</v>
      </c>
    </row>
    <row r="1930" spans="1:28" ht="14.4" x14ac:dyDescent="0.55000000000000004">
      <c r="A1930" t="str">
        <f>VLOOKUP(L1930,Customers!$A$2:$B$92,2,FALSE)</f>
        <v>Pericles Comidas clásicas</v>
      </c>
      <c r="B1930" t="str">
        <f>VLOOKUP(L1930,Customers!$A$2:$C$92,3,TRUE)</f>
        <v>Guillermo Fernández</v>
      </c>
      <c r="C1930" t="str">
        <f t="shared" si="511"/>
        <v>Guillermo</v>
      </c>
      <c r="D1930" s="8" t="str">
        <f t="shared" si="512"/>
        <v>Fernández</v>
      </c>
      <c r="E1930" s="8" t="str">
        <f t="shared" si="513"/>
        <v>Fernández, Guillermo</v>
      </c>
      <c r="F1930" s="8" t="str">
        <f t="shared" si="514"/>
        <v>Fernández, Guillermo</v>
      </c>
      <c r="G1930" s="8" t="str">
        <f t="shared" si="515"/>
        <v>not an outlier</v>
      </c>
      <c r="H1930" s="8" t="str">
        <f t="shared" si="516"/>
        <v>Not</v>
      </c>
      <c r="I1930" s="8" t="str">
        <f t="shared" si="526"/>
        <v>no</v>
      </c>
      <c r="J1930" s="10" t="str">
        <f t="shared" si="517"/>
        <v>no</v>
      </c>
      <c r="K1930" s="10" t="str">
        <f t="shared" si="518"/>
        <v>no</v>
      </c>
      <c r="L1930" t="s">
        <v>444</v>
      </c>
      <c r="M1930">
        <v>10995</v>
      </c>
      <c r="N1930">
        <v>60</v>
      </c>
      <c r="O1930" t="s">
        <v>694</v>
      </c>
      <c r="P1930" t="str">
        <f t="shared" si="519"/>
        <v>PERIC_10995_Camembert Pierrot</v>
      </c>
      <c r="Q1930" t="str">
        <f t="shared" si="520"/>
        <v>10995</v>
      </c>
      <c r="R1930" t="str">
        <f t="shared" si="521"/>
        <v>10995</v>
      </c>
      <c r="S1930" t="str">
        <f t="shared" si="522"/>
        <v>Camembert Pierrot</v>
      </c>
      <c r="T1930">
        <v>34</v>
      </c>
      <c r="U1930">
        <v>4</v>
      </c>
      <c r="V1930">
        <v>0</v>
      </c>
      <c r="W1930">
        <f t="shared" si="523"/>
        <v>136</v>
      </c>
      <c r="X1930" t="str">
        <f t="shared" si="524"/>
        <v>yes</v>
      </c>
      <c r="Y1930" s="2">
        <v>35187</v>
      </c>
      <c r="Z1930" t="str">
        <f t="shared" si="510"/>
        <v/>
      </c>
      <c r="AA1930" t="str">
        <f t="shared" si="525"/>
        <v>2nd Q 1996</v>
      </c>
      <c r="AB1930" t="str" cm="1">
        <f t="array" ref="AB1930">_xlfn.IFS(Y1930&lt;DATE(1996,1,1),"",Y1930&lt;DATE(1996,4,1),"Q1",Y1930&lt;DATE(1996,7,1),"Q2",Y1930&gt;=DATE(1996,7,1),"")</f>
        <v>Q2</v>
      </c>
    </row>
    <row r="1931" spans="1:28" ht="14.4" x14ac:dyDescent="0.55000000000000004">
      <c r="A1931" t="str">
        <f>VLOOKUP(L1931,Customers!$A$2:$B$92,2,FALSE)</f>
        <v>QUICK-Stop</v>
      </c>
      <c r="B1931" t="str">
        <f>VLOOKUP(L1931,Customers!$A$2:$C$92,3,TRUE)</f>
        <v>Horst Kloss</v>
      </c>
      <c r="C1931" t="str">
        <f t="shared" si="511"/>
        <v>Horst</v>
      </c>
      <c r="D1931" s="8" t="str">
        <f t="shared" si="512"/>
        <v>Kloss</v>
      </c>
      <c r="E1931" s="8" t="str">
        <f t="shared" si="513"/>
        <v>Kloss, Horst</v>
      </c>
      <c r="F1931" s="8" t="str">
        <f t="shared" si="514"/>
        <v>Kloss, Horst</v>
      </c>
      <c r="G1931" s="8" t="str">
        <f t="shared" si="515"/>
        <v>not an outlier</v>
      </c>
      <c r="H1931" s="8" t="str">
        <f t="shared" si="516"/>
        <v>Not</v>
      </c>
      <c r="I1931" s="8" t="str">
        <f t="shared" si="526"/>
        <v>no</v>
      </c>
      <c r="J1931" s="10" t="str">
        <f t="shared" si="517"/>
        <v>no</v>
      </c>
      <c r="K1931" s="10" t="str">
        <f t="shared" si="518"/>
        <v>no</v>
      </c>
      <c r="L1931" t="s">
        <v>475</v>
      </c>
      <c r="M1931">
        <v>10996</v>
      </c>
      <c r="N1931">
        <v>42</v>
      </c>
      <c r="O1931" t="s">
        <v>684</v>
      </c>
      <c r="P1931" t="str">
        <f t="shared" si="519"/>
        <v>QUICK_10996_Singaporean Hokkien Fried Mee</v>
      </c>
      <c r="Q1931" t="str">
        <f t="shared" si="520"/>
        <v>10996</v>
      </c>
      <c r="R1931" t="str">
        <f t="shared" si="521"/>
        <v>10996</v>
      </c>
      <c r="S1931" t="str">
        <f t="shared" si="522"/>
        <v>Singaporean Hokkien Fried Mee</v>
      </c>
      <c r="T1931">
        <v>14</v>
      </c>
      <c r="U1931">
        <v>40</v>
      </c>
      <c r="V1931">
        <v>0</v>
      </c>
      <c r="W1931">
        <f t="shared" si="523"/>
        <v>560</v>
      </c>
      <c r="X1931" t="str">
        <f t="shared" si="524"/>
        <v>yes</v>
      </c>
      <c r="Y1931" s="2">
        <v>35187</v>
      </c>
      <c r="Z1931" t="str">
        <f t="shared" si="510"/>
        <v/>
      </c>
      <c r="AA1931" t="str">
        <f t="shared" si="525"/>
        <v>2nd Q 1996</v>
      </c>
      <c r="AB1931" t="str" cm="1">
        <f t="array" ref="AB1931">_xlfn.IFS(Y1931&lt;DATE(1996,1,1),"",Y1931&lt;DATE(1996,4,1),"Q1",Y1931&lt;DATE(1996,7,1),"Q2",Y1931&gt;=DATE(1996,7,1),"")</f>
        <v>Q2</v>
      </c>
    </row>
    <row r="1932" spans="1:28" ht="14.4" x14ac:dyDescent="0.55000000000000004">
      <c r="A1932" t="str">
        <f>VLOOKUP(L1932,Customers!$A$2:$B$92,2,FALSE)</f>
        <v>LILA-Supermercado</v>
      </c>
      <c r="B1932" t="str">
        <f>VLOOKUP(L1932,Customers!$A$2:$C$92,3,TRUE)</f>
        <v>Carlos González</v>
      </c>
      <c r="C1932" t="str">
        <f t="shared" si="511"/>
        <v>Carlos</v>
      </c>
      <c r="D1932" s="8" t="str">
        <f t="shared" si="512"/>
        <v>González</v>
      </c>
      <c r="E1932" s="8" t="str">
        <f t="shared" si="513"/>
        <v>González, Carlos</v>
      </c>
      <c r="F1932" s="8" t="str">
        <f t="shared" si="514"/>
        <v>González, Carlos</v>
      </c>
      <c r="G1932" s="8" t="str">
        <f t="shared" si="515"/>
        <v>not an outlier</v>
      </c>
      <c r="H1932" s="8" t="str">
        <f t="shared" si="516"/>
        <v>Not</v>
      </c>
      <c r="I1932" s="8" t="str">
        <f t="shared" si="526"/>
        <v>no</v>
      </c>
      <c r="J1932" s="10" t="str">
        <f t="shared" si="517"/>
        <v>no</v>
      </c>
      <c r="K1932" s="10" t="str">
        <f t="shared" si="518"/>
        <v>no</v>
      </c>
      <c r="L1932" t="s">
        <v>355</v>
      </c>
      <c r="M1932">
        <v>10997</v>
      </c>
      <c r="N1932">
        <v>32</v>
      </c>
      <c r="O1932" t="s">
        <v>709</v>
      </c>
      <c r="P1932" t="str">
        <f t="shared" si="519"/>
        <v>LILAS_10997_Mascarpone Fabioli</v>
      </c>
      <c r="Q1932" t="str">
        <f t="shared" si="520"/>
        <v>10997</v>
      </c>
      <c r="R1932" t="str">
        <f t="shared" si="521"/>
        <v>10997</v>
      </c>
      <c r="S1932" t="str">
        <f t="shared" si="522"/>
        <v>Mascarpone Fabioli</v>
      </c>
      <c r="T1932">
        <v>32</v>
      </c>
      <c r="U1932">
        <v>50</v>
      </c>
      <c r="V1932">
        <v>0</v>
      </c>
      <c r="W1932">
        <f t="shared" si="523"/>
        <v>1600</v>
      </c>
      <c r="X1932" t="str">
        <f t="shared" si="524"/>
        <v>yes</v>
      </c>
      <c r="Y1932" s="2">
        <v>35188</v>
      </c>
      <c r="Z1932" t="str">
        <f t="shared" si="510"/>
        <v/>
      </c>
      <c r="AA1932" t="str">
        <f t="shared" si="525"/>
        <v>2nd Q 1996</v>
      </c>
      <c r="AB1932" t="str" cm="1">
        <f t="array" ref="AB1932">_xlfn.IFS(Y1932&lt;DATE(1996,1,1),"",Y1932&lt;DATE(1996,4,1),"Q1",Y1932&lt;DATE(1996,7,1),"Q2",Y1932&gt;=DATE(1996,7,1),"")</f>
        <v>Q2</v>
      </c>
    </row>
    <row r="1933" spans="1:28" ht="14.4" x14ac:dyDescent="0.55000000000000004">
      <c r="A1933" t="str">
        <f>VLOOKUP(L1933,Customers!$A$2:$B$92,2,FALSE)</f>
        <v>LILA-Supermercado</v>
      </c>
      <c r="B1933" t="str">
        <f>VLOOKUP(L1933,Customers!$A$2:$C$92,3,TRUE)</f>
        <v>Carlos González</v>
      </c>
      <c r="C1933" t="str">
        <f t="shared" si="511"/>
        <v>Carlos</v>
      </c>
      <c r="D1933" s="8" t="str">
        <f t="shared" si="512"/>
        <v>González</v>
      </c>
      <c r="E1933" s="8" t="str">
        <f t="shared" si="513"/>
        <v>González, Carlos</v>
      </c>
      <c r="F1933" s="8" t="str">
        <f t="shared" si="514"/>
        <v>González, Carlos</v>
      </c>
      <c r="G1933" s="8" t="str">
        <f t="shared" si="515"/>
        <v>not an outlier</v>
      </c>
      <c r="H1933" s="8" t="str">
        <f t="shared" si="516"/>
        <v>Not</v>
      </c>
      <c r="I1933" s="8" t="str">
        <f t="shared" si="526"/>
        <v>no</v>
      </c>
      <c r="J1933" s="10" t="str">
        <f t="shared" si="517"/>
        <v>no</v>
      </c>
      <c r="K1933" s="10" t="str">
        <f t="shared" si="518"/>
        <v>no</v>
      </c>
      <c r="L1933" t="s">
        <v>355</v>
      </c>
      <c r="M1933">
        <v>10997</v>
      </c>
      <c r="N1933">
        <v>46</v>
      </c>
      <c r="O1933" t="s">
        <v>737</v>
      </c>
      <c r="P1933" t="str">
        <f t="shared" si="519"/>
        <v>LILAS_10997_Spegesild</v>
      </c>
      <c r="Q1933" t="str">
        <f t="shared" si="520"/>
        <v>10997</v>
      </c>
      <c r="R1933" t="str">
        <f t="shared" si="521"/>
        <v>10997</v>
      </c>
      <c r="S1933" t="str">
        <f t="shared" si="522"/>
        <v>Spegesild</v>
      </c>
      <c r="T1933">
        <v>12</v>
      </c>
      <c r="U1933">
        <v>20</v>
      </c>
      <c r="V1933">
        <v>0.25</v>
      </c>
      <c r="W1933">
        <f t="shared" si="523"/>
        <v>180</v>
      </c>
      <c r="X1933" t="str">
        <f t="shared" si="524"/>
        <v>yes</v>
      </c>
      <c r="Y1933" s="2">
        <v>35188</v>
      </c>
      <c r="Z1933" t="str">
        <f t="shared" si="510"/>
        <v/>
      </c>
      <c r="AA1933" t="str">
        <f t="shared" si="525"/>
        <v>2nd Q 1996</v>
      </c>
      <c r="AB1933" t="str" cm="1">
        <f t="array" ref="AB1933">_xlfn.IFS(Y1933&lt;DATE(1996,1,1),"",Y1933&lt;DATE(1996,4,1),"Q1",Y1933&lt;DATE(1996,7,1),"Q2",Y1933&gt;=DATE(1996,7,1),"")</f>
        <v>Q2</v>
      </c>
    </row>
    <row r="1934" spans="1:28" ht="14.4" x14ac:dyDescent="0.55000000000000004">
      <c r="A1934" t="str">
        <f>VLOOKUP(L1934,Customers!$A$2:$B$92,2,FALSE)</f>
        <v>LILA-Supermercado</v>
      </c>
      <c r="B1934" t="str">
        <f>VLOOKUP(L1934,Customers!$A$2:$C$92,3,TRUE)</f>
        <v>Carlos González</v>
      </c>
      <c r="C1934" t="str">
        <f t="shared" si="511"/>
        <v>Carlos</v>
      </c>
      <c r="D1934" s="8" t="str">
        <f t="shared" si="512"/>
        <v>González</v>
      </c>
      <c r="E1934" s="8" t="str">
        <f t="shared" si="513"/>
        <v>González, Carlos</v>
      </c>
      <c r="F1934" s="8" t="str">
        <f t="shared" si="514"/>
        <v>González, Carlos</v>
      </c>
      <c r="G1934" s="8" t="str">
        <f t="shared" si="515"/>
        <v>not an outlier</v>
      </c>
      <c r="H1934" s="8" t="str">
        <f t="shared" si="516"/>
        <v>Not</v>
      </c>
      <c r="I1934" s="8" t="str">
        <f t="shared" si="526"/>
        <v>no</v>
      </c>
      <c r="J1934" s="10" t="str">
        <f t="shared" si="517"/>
        <v>no</v>
      </c>
      <c r="K1934" s="10" t="str">
        <f t="shared" si="518"/>
        <v>no</v>
      </c>
      <c r="L1934" t="s">
        <v>355</v>
      </c>
      <c r="M1934">
        <v>10997</v>
      </c>
      <c r="N1934">
        <v>52</v>
      </c>
      <c r="O1934" t="s">
        <v>748</v>
      </c>
      <c r="P1934" t="str">
        <f t="shared" si="519"/>
        <v>LILAS_10997_Filo Mix</v>
      </c>
      <c r="Q1934" t="str">
        <f t="shared" si="520"/>
        <v>10997</v>
      </c>
      <c r="R1934" t="str">
        <f t="shared" si="521"/>
        <v>10997</v>
      </c>
      <c r="S1934" t="str">
        <f t="shared" si="522"/>
        <v>Filo Mix</v>
      </c>
      <c r="T1934">
        <v>7</v>
      </c>
      <c r="U1934">
        <v>20</v>
      </c>
      <c r="V1934">
        <v>0.25</v>
      </c>
      <c r="W1934">
        <f t="shared" si="523"/>
        <v>105</v>
      </c>
      <c r="X1934" t="str">
        <f t="shared" si="524"/>
        <v>yes</v>
      </c>
      <c r="Y1934" s="2">
        <v>35188</v>
      </c>
      <c r="Z1934" t="str">
        <f t="shared" si="510"/>
        <v/>
      </c>
      <c r="AA1934" t="str">
        <f t="shared" si="525"/>
        <v>2nd Q 1996</v>
      </c>
      <c r="AB1934" t="str" cm="1">
        <f t="array" ref="AB1934">_xlfn.IFS(Y1934&lt;DATE(1996,1,1),"",Y1934&lt;DATE(1996,4,1),"Q1",Y1934&lt;DATE(1996,7,1),"Q2",Y1934&gt;=DATE(1996,7,1),"")</f>
        <v>Q2</v>
      </c>
    </row>
    <row r="1935" spans="1:28" ht="14.4" x14ac:dyDescent="0.55000000000000004">
      <c r="A1935" t="str">
        <f>VLOOKUP(L1935,Customers!$A$2:$B$92,2,FALSE)</f>
        <v>Wolski  Zajazd</v>
      </c>
      <c r="B1935" t="str">
        <f>VLOOKUP(L1935,Customers!$A$2:$C$92,3,TRUE)</f>
        <v>Zbyszek Piestrzeniewicz</v>
      </c>
      <c r="C1935" t="str">
        <f t="shared" si="511"/>
        <v>Zbyszek</v>
      </c>
      <c r="D1935" s="8" t="str">
        <f t="shared" si="512"/>
        <v>Piestrzeniewicz</v>
      </c>
      <c r="E1935" s="8" t="str">
        <f t="shared" si="513"/>
        <v>Piestrzeniewicz, Zbyszek</v>
      </c>
      <c r="F1935" s="8" t="str">
        <f t="shared" si="514"/>
        <v>Piestrzeniewicz, Zbyszek</v>
      </c>
      <c r="G1935" s="8" t="str">
        <f t="shared" si="515"/>
        <v>not an outlier</v>
      </c>
      <c r="H1935" s="8" t="str">
        <f t="shared" si="516"/>
        <v>Not</v>
      </c>
      <c r="I1935" s="8" t="str">
        <f t="shared" si="526"/>
        <v>no</v>
      </c>
      <c r="J1935" s="10" t="str">
        <f t="shared" si="517"/>
        <v>no</v>
      </c>
      <c r="K1935" s="10" t="str">
        <f t="shared" si="518"/>
        <v>no</v>
      </c>
      <c r="L1935" t="s">
        <v>668</v>
      </c>
      <c r="M1935">
        <v>10998</v>
      </c>
      <c r="N1935">
        <v>24</v>
      </c>
      <c r="O1935" t="s">
        <v>698</v>
      </c>
      <c r="P1935" t="str">
        <f t="shared" si="519"/>
        <v>WOLZA_10998_Guaraná Fantástica</v>
      </c>
      <c r="Q1935" t="str">
        <f t="shared" si="520"/>
        <v>10998</v>
      </c>
      <c r="R1935" t="str">
        <f t="shared" si="521"/>
        <v>10998</v>
      </c>
      <c r="S1935" t="str">
        <f t="shared" si="522"/>
        <v>Guaraná Fantástica</v>
      </c>
      <c r="T1935">
        <v>4.5</v>
      </c>
      <c r="U1935">
        <v>12</v>
      </c>
      <c r="V1935">
        <v>0</v>
      </c>
      <c r="W1935">
        <f t="shared" si="523"/>
        <v>54</v>
      </c>
      <c r="X1935" t="str">
        <f t="shared" si="524"/>
        <v>yes</v>
      </c>
      <c r="Y1935" s="2">
        <v>35188</v>
      </c>
      <c r="Z1935" t="str">
        <f t="shared" si="510"/>
        <v/>
      </c>
      <c r="AA1935" t="str">
        <f t="shared" si="525"/>
        <v>2nd Q 1996</v>
      </c>
      <c r="AB1935" t="str" cm="1">
        <f t="array" ref="AB1935">_xlfn.IFS(Y1935&lt;DATE(1996,1,1),"",Y1935&lt;DATE(1996,4,1),"Q1",Y1935&lt;DATE(1996,7,1),"Q2",Y1935&gt;=DATE(1996,7,1),"")</f>
        <v>Q2</v>
      </c>
    </row>
    <row r="1936" spans="1:28" ht="14.4" x14ac:dyDescent="0.55000000000000004">
      <c r="A1936" t="str">
        <f>VLOOKUP(L1936,Customers!$A$2:$B$92,2,FALSE)</f>
        <v>Wolski  Zajazd</v>
      </c>
      <c r="B1936" t="str">
        <f>VLOOKUP(L1936,Customers!$A$2:$C$92,3,TRUE)</f>
        <v>Zbyszek Piestrzeniewicz</v>
      </c>
      <c r="C1936" t="str">
        <f t="shared" si="511"/>
        <v>Zbyszek</v>
      </c>
      <c r="D1936" s="8" t="str">
        <f t="shared" si="512"/>
        <v>Piestrzeniewicz</v>
      </c>
      <c r="E1936" s="8" t="str">
        <f t="shared" si="513"/>
        <v>Piestrzeniewicz, Zbyszek</v>
      </c>
      <c r="F1936" s="8" t="str">
        <f t="shared" si="514"/>
        <v>Piestrzeniewicz, Zbyszek</v>
      </c>
      <c r="G1936" s="8" t="str">
        <f t="shared" si="515"/>
        <v>not an outlier</v>
      </c>
      <c r="H1936" s="8" t="str">
        <f t="shared" si="516"/>
        <v>Not</v>
      </c>
      <c r="I1936" s="8" t="str">
        <f t="shared" si="526"/>
        <v>no</v>
      </c>
      <c r="J1936" s="10" t="str">
        <f t="shared" si="517"/>
        <v>no</v>
      </c>
      <c r="K1936" s="10" t="str">
        <f t="shared" si="518"/>
        <v>no</v>
      </c>
      <c r="L1936" t="s">
        <v>668</v>
      </c>
      <c r="M1936">
        <v>10998</v>
      </c>
      <c r="N1936">
        <v>61</v>
      </c>
      <c r="O1936" t="s">
        <v>758</v>
      </c>
      <c r="P1936" t="str">
        <f t="shared" si="519"/>
        <v>WOLZA_10998_Sirop d'érable</v>
      </c>
      <c r="Q1936" t="str">
        <f t="shared" si="520"/>
        <v>10998</v>
      </c>
      <c r="R1936" t="str">
        <f t="shared" si="521"/>
        <v>10998</v>
      </c>
      <c r="S1936" t="str">
        <f t="shared" si="522"/>
        <v>Sirop d'érable</v>
      </c>
      <c r="T1936">
        <v>28.5</v>
      </c>
      <c r="U1936">
        <v>7</v>
      </c>
      <c r="V1936">
        <v>0</v>
      </c>
      <c r="W1936">
        <f t="shared" si="523"/>
        <v>199.5</v>
      </c>
      <c r="X1936" t="str">
        <f t="shared" si="524"/>
        <v>yes</v>
      </c>
      <c r="Y1936" s="2">
        <v>35188</v>
      </c>
      <c r="Z1936" t="str">
        <f t="shared" si="510"/>
        <v/>
      </c>
      <c r="AA1936" t="str">
        <f t="shared" si="525"/>
        <v>2nd Q 1996</v>
      </c>
      <c r="AB1936" t="str" cm="1">
        <f t="array" ref="AB1936">_xlfn.IFS(Y1936&lt;DATE(1996,1,1),"",Y1936&lt;DATE(1996,4,1),"Q1",Y1936&lt;DATE(1996,7,1),"Q2",Y1936&gt;=DATE(1996,7,1),"")</f>
        <v>Q2</v>
      </c>
    </row>
    <row r="1937" spans="1:28" ht="14.4" x14ac:dyDescent="0.55000000000000004">
      <c r="A1937" t="str">
        <f>VLOOKUP(L1937,Customers!$A$2:$B$92,2,FALSE)</f>
        <v>Wolski  Zajazd</v>
      </c>
      <c r="B1937" t="str">
        <f>VLOOKUP(L1937,Customers!$A$2:$C$92,3,TRUE)</f>
        <v>Zbyszek Piestrzeniewicz</v>
      </c>
      <c r="C1937" t="str">
        <f t="shared" si="511"/>
        <v>Zbyszek</v>
      </c>
      <c r="D1937" s="8" t="str">
        <f t="shared" si="512"/>
        <v>Piestrzeniewicz</v>
      </c>
      <c r="E1937" s="8" t="str">
        <f t="shared" si="513"/>
        <v>Piestrzeniewicz, Zbyszek</v>
      </c>
      <c r="F1937" s="8" t="str">
        <f t="shared" si="514"/>
        <v>Piestrzeniewicz, Zbyszek</v>
      </c>
      <c r="G1937" s="8" t="str">
        <f t="shared" si="515"/>
        <v>not an outlier</v>
      </c>
      <c r="H1937" s="8" t="str">
        <f t="shared" si="516"/>
        <v>Not</v>
      </c>
      <c r="I1937" s="8" t="str">
        <f t="shared" si="526"/>
        <v>no</v>
      </c>
      <c r="J1937" s="10" t="str">
        <f t="shared" si="517"/>
        <v>no</v>
      </c>
      <c r="K1937" s="10" t="str">
        <f t="shared" si="518"/>
        <v>no</v>
      </c>
      <c r="L1937" t="s">
        <v>668</v>
      </c>
      <c r="M1937">
        <v>10998</v>
      </c>
      <c r="N1937">
        <v>74</v>
      </c>
      <c r="O1937" t="s">
        <v>700</v>
      </c>
      <c r="P1937" t="str">
        <f t="shared" si="519"/>
        <v>WOLZA_10998_Longlife Tofu</v>
      </c>
      <c r="Q1937" t="str">
        <f t="shared" si="520"/>
        <v>10998</v>
      </c>
      <c r="R1937" t="str">
        <f t="shared" si="521"/>
        <v>10998</v>
      </c>
      <c r="S1937" t="str">
        <f t="shared" si="522"/>
        <v>Longlife Tofu</v>
      </c>
      <c r="T1937">
        <v>10</v>
      </c>
      <c r="U1937">
        <v>20</v>
      </c>
      <c r="V1937">
        <v>0</v>
      </c>
      <c r="W1937">
        <f t="shared" si="523"/>
        <v>200</v>
      </c>
      <c r="X1937" t="str">
        <f t="shared" si="524"/>
        <v>yes</v>
      </c>
      <c r="Y1937" s="2">
        <v>35188</v>
      </c>
      <c r="Z1937" t="str">
        <f t="shared" si="510"/>
        <v/>
      </c>
      <c r="AA1937" t="str">
        <f t="shared" si="525"/>
        <v>2nd Q 1996</v>
      </c>
      <c r="AB1937" t="str" cm="1">
        <f t="array" ref="AB1937">_xlfn.IFS(Y1937&lt;DATE(1996,1,1),"",Y1937&lt;DATE(1996,4,1),"Q1",Y1937&lt;DATE(1996,7,1),"Q2",Y1937&gt;=DATE(1996,7,1),"")</f>
        <v>Q2</v>
      </c>
    </row>
    <row r="1938" spans="1:28" ht="14.4" x14ac:dyDescent="0.55000000000000004">
      <c r="A1938" t="str">
        <f>VLOOKUP(L1938,Customers!$A$2:$B$92,2,FALSE)</f>
        <v>Wolski  Zajazd</v>
      </c>
      <c r="B1938" t="str">
        <f>VLOOKUP(L1938,Customers!$A$2:$C$92,3,TRUE)</f>
        <v>Zbyszek Piestrzeniewicz</v>
      </c>
      <c r="C1938" t="str">
        <f t="shared" si="511"/>
        <v>Zbyszek</v>
      </c>
      <c r="D1938" s="8" t="str">
        <f t="shared" si="512"/>
        <v>Piestrzeniewicz</v>
      </c>
      <c r="E1938" s="8" t="str">
        <f t="shared" si="513"/>
        <v>Piestrzeniewicz, Zbyszek</v>
      </c>
      <c r="F1938" s="8" t="str">
        <f t="shared" si="514"/>
        <v>Piestrzeniewicz, Zbyszek</v>
      </c>
      <c r="G1938" s="8" t="str">
        <f t="shared" si="515"/>
        <v>not an outlier</v>
      </c>
      <c r="H1938" s="8" t="str">
        <f t="shared" si="516"/>
        <v>Not</v>
      </c>
      <c r="I1938" s="8" t="str">
        <f t="shared" si="526"/>
        <v>no</v>
      </c>
      <c r="J1938" s="10" t="str">
        <f t="shared" si="517"/>
        <v>no</v>
      </c>
      <c r="K1938" s="10" t="str">
        <f t="shared" si="518"/>
        <v>no</v>
      </c>
      <c r="L1938" t="s">
        <v>668</v>
      </c>
      <c r="M1938">
        <v>10998</v>
      </c>
      <c r="N1938">
        <v>75</v>
      </c>
      <c r="O1938" t="s">
        <v>731</v>
      </c>
      <c r="P1938" t="str">
        <f t="shared" si="519"/>
        <v>WOLZA_10998_Rhönbräu Klosterbier</v>
      </c>
      <c r="Q1938" t="str">
        <f t="shared" si="520"/>
        <v>10998</v>
      </c>
      <c r="R1938" t="str">
        <f t="shared" si="521"/>
        <v>10998</v>
      </c>
      <c r="S1938" t="str">
        <f t="shared" si="522"/>
        <v>Rhönbräu Klosterbier</v>
      </c>
      <c r="T1938">
        <v>7.75</v>
      </c>
      <c r="U1938">
        <v>30</v>
      </c>
      <c r="V1938">
        <v>0</v>
      </c>
      <c r="W1938">
        <f t="shared" si="523"/>
        <v>232.5</v>
      </c>
      <c r="X1938" t="str">
        <f t="shared" si="524"/>
        <v>yes</v>
      </c>
      <c r="Y1938" s="2">
        <v>35188</v>
      </c>
      <c r="Z1938" t="str">
        <f t="shared" si="510"/>
        <v/>
      </c>
      <c r="AA1938" t="str">
        <f t="shared" si="525"/>
        <v>2nd Q 1996</v>
      </c>
      <c r="AB1938" t="str" cm="1">
        <f t="array" ref="AB1938">_xlfn.IFS(Y1938&lt;DATE(1996,1,1),"",Y1938&lt;DATE(1996,4,1),"Q1",Y1938&lt;DATE(1996,7,1),"Q2",Y1938&gt;=DATE(1996,7,1),"")</f>
        <v>Q2</v>
      </c>
    </row>
    <row r="1939" spans="1:28" ht="14.4" x14ac:dyDescent="0.55000000000000004">
      <c r="A1939" t="str">
        <f>VLOOKUP(L1939,Customers!$A$2:$B$92,2,FALSE)</f>
        <v>Ottilies Käseladen</v>
      </c>
      <c r="B1939" t="str">
        <f>VLOOKUP(L1939,Customers!$A$2:$C$92,3,TRUE)</f>
        <v>Henriette Pfalzheim</v>
      </c>
      <c r="C1939" t="str">
        <f t="shared" si="511"/>
        <v>Henriette</v>
      </c>
      <c r="D1939" s="8" t="str">
        <f t="shared" si="512"/>
        <v>Pfalzheim</v>
      </c>
      <c r="E1939" s="8" t="str">
        <f t="shared" si="513"/>
        <v>Pfalzheim, Henriette</v>
      </c>
      <c r="F1939" s="8" t="str">
        <f t="shared" si="514"/>
        <v>Pfalzheim, Henriette</v>
      </c>
      <c r="G1939" s="8" t="str">
        <f t="shared" si="515"/>
        <v>not an outlier</v>
      </c>
      <c r="H1939" s="8" t="str">
        <f t="shared" si="516"/>
        <v>Not</v>
      </c>
      <c r="I1939" s="8" t="str">
        <f t="shared" si="526"/>
        <v>no</v>
      </c>
      <c r="J1939" s="10" t="str">
        <f t="shared" si="517"/>
        <v>no</v>
      </c>
      <c r="K1939" s="10" t="str">
        <f t="shared" si="518"/>
        <v>no</v>
      </c>
      <c r="L1939" t="s">
        <v>430</v>
      </c>
      <c r="M1939">
        <v>10999</v>
      </c>
      <c r="N1939">
        <v>41</v>
      </c>
      <c r="O1939" t="s">
        <v>688</v>
      </c>
      <c r="P1939" t="str">
        <f t="shared" si="519"/>
        <v>OTTIK_10999_Jack's New England Clam Chowder</v>
      </c>
      <c r="Q1939" t="str">
        <f t="shared" si="520"/>
        <v>10999</v>
      </c>
      <c r="R1939" t="str">
        <f t="shared" si="521"/>
        <v>10999</v>
      </c>
      <c r="S1939" t="str">
        <f t="shared" si="522"/>
        <v>Jack's New England Clam Chowder</v>
      </c>
      <c r="T1939">
        <v>9.65</v>
      </c>
      <c r="U1939">
        <v>20</v>
      </c>
      <c r="V1939">
        <v>0.05</v>
      </c>
      <c r="W1939">
        <f t="shared" si="523"/>
        <v>183.35</v>
      </c>
      <c r="X1939" t="str">
        <f t="shared" si="524"/>
        <v>yes</v>
      </c>
      <c r="Y1939" s="2">
        <v>35188</v>
      </c>
      <c r="Z1939" t="str">
        <f t="shared" si="510"/>
        <v/>
      </c>
      <c r="AA1939" t="str">
        <f t="shared" si="525"/>
        <v>2nd Q 1996</v>
      </c>
      <c r="AB1939" t="str" cm="1">
        <f t="array" ref="AB1939">_xlfn.IFS(Y1939&lt;DATE(1996,1,1),"",Y1939&lt;DATE(1996,4,1),"Q1",Y1939&lt;DATE(1996,7,1),"Q2",Y1939&gt;=DATE(1996,7,1),"")</f>
        <v>Q2</v>
      </c>
    </row>
    <row r="1940" spans="1:28" ht="14.4" x14ac:dyDescent="0.55000000000000004">
      <c r="A1940" t="str">
        <f>VLOOKUP(L1940,Customers!$A$2:$B$92,2,FALSE)</f>
        <v>Ottilies Käseladen</v>
      </c>
      <c r="B1940" t="str">
        <f>VLOOKUP(L1940,Customers!$A$2:$C$92,3,TRUE)</f>
        <v>Henriette Pfalzheim</v>
      </c>
      <c r="C1940" t="str">
        <f t="shared" si="511"/>
        <v>Henriette</v>
      </c>
      <c r="D1940" s="8" t="str">
        <f t="shared" si="512"/>
        <v>Pfalzheim</v>
      </c>
      <c r="E1940" s="8" t="str">
        <f t="shared" si="513"/>
        <v>Pfalzheim, Henriette</v>
      </c>
      <c r="F1940" s="8" t="str">
        <f t="shared" si="514"/>
        <v>Pfalzheim, Henriette</v>
      </c>
      <c r="G1940" s="8" t="str">
        <f t="shared" si="515"/>
        <v>not an outlier</v>
      </c>
      <c r="H1940" s="8" t="str">
        <f t="shared" si="516"/>
        <v>Not</v>
      </c>
      <c r="I1940" s="8" t="str">
        <f t="shared" si="526"/>
        <v>no</v>
      </c>
      <c r="J1940" s="10" t="str">
        <f t="shared" si="517"/>
        <v>no</v>
      </c>
      <c r="K1940" s="10" t="str">
        <f t="shared" si="518"/>
        <v>no</v>
      </c>
      <c r="L1940" t="s">
        <v>430</v>
      </c>
      <c r="M1940">
        <v>10999</v>
      </c>
      <c r="N1940">
        <v>51</v>
      </c>
      <c r="O1940" t="s">
        <v>687</v>
      </c>
      <c r="P1940" t="str">
        <f t="shared" si="519"/>
        <v>OTTIK_10999_Manjimup Dried Apples</v>
      </c>
      <c r="Q1940" t="str">
        <f t="shared" si="520"/>
        <v>10999</v>
      </c>
      <c r="R1940" t="str">
        <f t="shared" si="521"/>
        <v>10999</v>
      </c>
      <c r="S1940" t="str">
        <f t="shared" si="522"/>
        <v>Manjimup Dried Apples</v>
      </c>
      <c r="T1940">
        <v>53</v>
      </c>
      <c r="U1940">
        <v>15</v>
      </c>
      <c r="V1940">
        <v>0.05</v>
      </c>
      <c r="W1940">
        <f t="shared" si="523"/>
        <v>755.25</v>
      </c>
      <c r="X1940" t="str">
        <f t="shared" si="524"/>
        <v>yes</v>
      </c>
      <c r="Y1940" s="2">
        <v>35188</v>
      </c>
      <c r="Z1940" t="str">
        <f t="shared" si="510"/>
        <v/>
      </c>
      <c r="AA1940" t="str">
        <f t="shared" si="525"/>
        <v>2nd Q 1996</v>
      </c>
      <c r="AB1940" t="str" cm="1">
        <f t="array" ref="AB1940">_xlfn.IFS(Y1940&lt;DATE(1996,1,1),"",Y1940&lt;DATE(1996,4,1),"Q1",Y1940&lt;DATE(1996,7,1),"Q2",Y1940&gt;=DATE(1996,7,1),"")</f>
        <v>Q2</v>
      </c>
    </row>
    <row r="1941" spans="1:28" ht="14.4" x14ac:dyDescent="0.55000000000000004">
      <c r="A1941" t="str">
        <f>VLOOKUP(L1941,Customers!$A$2:$B$92,2,FALSE)</f>
        <v>Ottilies Käseladen</v>
      </c>
      <c r="B1941" t="str">
        <f>VLOOKUP(L1941,Customers!$A$2:$C$92,3,TRUE)</f>
        <v>Henriette Pfalzheim</v>
      </c>
      <c r="C1941" t="str">
        <f t="shared" si="511"/>
        <v>Henriette</v>
      </c>
      <c r="D1941" s="8" t="str">
        <f t="shared" si="512"/>
        <v>Pfalzheim</v>
      </c>
      <c r="E1941" s="8" t="str">
        <f t="shared" si="513"/>
        <v>Pfalzheim, Henriette</v>
      </c>
      <c r="F1941" s="8" t="str">
        <f t="shared" si="514"/>
        <v>Pfalzheim, Henriette</v>
      </c>
      <c r="G1941" s="8" t="str">
        <f t="shared" si="515"/>
        <v>not an outlier</v>
      </c>
      <c r="H1941" s="8" t="str">
        <f t="shared" si="516"/>
        <v>Not</v>
      </c>
      <c r="I1941" s="8" t="str">
        <f t="shared" si="526"/>
        <v>no</v>
      </c>
      <c r="J1941" s="10" t="str">
        <f t="shared" si="517"/>
        <v>no</v>
      </c>
      <c r="K1941" s="10" t="str">
        <f t="shared" si="518"/>
        <v>no</v>
      </c>
      <c r="L1941" t="s">
        <v>430</v>
      </c>
      <c r="M1941">
        <v>10999</v>
      </c>
      <c r="N1941">
        <v>77</v>
      </c>
      <c r="O1941" t="s">
        <v>706</v>
      </c>
      <c r="P1941" t="str">
        <f t="shared" si="519"/>
        <v>OTTIK_10999_Original Frankfurter grüne Soße</v>
      </c>
      <c r="Q1941" t="str">
        <f t="shared" si="520"/>
        <v>10999</v>
      </c>
      <c r="R1941" t="str">
        <f t="shared" si="521"/>
        <v>10999</v>
      </c>
      <c r="S1941" t="str">
        <f t="shared" si="522"/>
        <v>Original Frankfurter grüne Soße</v>
      </c>
      <c r="T1941">
        <v>13</v>
      </c>
      <c r="U1941">
        <v>21</v>
      </c>
      <c r="V1941">
        <v>0.05</v>
      </c>
      <c r="W1941">
        <f t="shared" si="523"/>
        <v>259.34999999999997</v>
      </c>
      <c r="X1941" t="str">
        <f t="shared" si="524"/>
        <v>yes</v>
      </c>
      <c r="Y1941" s="2">
        <v>35188</v>
      </c>
      <c r="Z1941" t="str">
        <f t="shared" si="510"/>
        <v/>
      </c>
      <c r="AA1941" t="str">
        <f t="shared" si="525"/>
        <v>2nd Q 1996</v>
      </c>
      <c r="AB1941" t="str" cm="1">
        <f t="array" ref="AB1941">_xlfn.IFS(Y1941&lt;DATE(1996,1,1),"",Y1941&lt;DATE(1996,4,1),"Q1",Y1941&lt;DATE(1996,7,1),"Q2",Y1941&gt;=DATE(1996,7,1),"")</f>
        <v>Q2</v>
      </c>
    </row>
    <row r="1942" spans="1:28" ht="14.4" x14ac:dyDescent="0.55000000000000004">
      <c r="A1942" t="str">
        <f>VLOOKUP(L1942,Customers!$A$2:$B$92,2,FALSE)</f>
        <v>Rattlesnake Canyon Grocery</v>
      </c>
      <c r="B1942" t="str">
        <f>VLOOKUP(L1942,Customers!$A$2:$C$92,3,TRUE)</f>
        <v>Paula Wilson</v>
      </c>
      <c r="C1942" t="str">
        <f t="shared" si="511"/>
        <v>Paula</v>
      </c>
      <c r="D1942" s="8" t="str">
        <f t="shared" si="512"/>
        <v>Wilson</v>
      </c>
      <c r="E1942" s="8" t="str">
        <f t="shared" si="513"/>
        <v>Wilson, Paula</v>
      </c>
      <c r="F1942" s="8" t="str">
        <f t="shared" si="514"/>
        <v>Wilson, Paula</v>
      </c>
      <c r="G1942" s="8" t="str">
        <f t="shared" si="515"/>
        <v>not an outlier</v>
      </c>
      <c r="H1942" s="8" t="str">
        <f t="shared" si="516"/>
        <v>Not</v>
      </c>
      <c r="I1942" s="8" t="str">
        <f t="shared" si="526"/>
        <v>no</v>
      </c>
      <c r="J1942" s="10" t="str">
        <f t="shared" si="517"/>
        <v>no</v>
      </c>
      <c r="K1942" s="10" t="str">
        <f t="shared" si="518"/>
        <v>no</v>
      </c>
      <c r="L1942" t="s">
        <v>487</v>
      </c>
      <c r="M1942">
        <v>11000</v>
      </c>
      <c r="N1942">
        <v>4</v>
      </c>
      <c r="O1942" t="s">
        <v>745</v>
      </c>
      <c r="P1942" t="str">
        <f t="shared" si="519"/>
        <v>RATTC_11000_Chef Anton's Cajun Seasoning</v>
      </c>
      <c r="Q1942" t="str">
        <f t="shared" si="520"/>
        <v>11000</v>
      </c>
      <c r="R1942" t="str">
        <f t="shared" si="521"/>
        <v>11000</v>
      </c>
      <c r="S1942" t="str">
        <f t="shared" si="522"/>
        <v>Chef Anton's Cajun Seasoning</v>
      </c>
      <c r="T1942">
        <v>22</v>
      </c>
      <c r="U1942">
        <v>25</v>
      </c>
      <c r="V1942">
        <v>0.25</v>
      </c>
      <c r="W1942">
        <f t="shared" si="523"/>
        <v>412.5</v>
      </c>
      <c r="X1942" t="str">
        <f t="shared" si="524"/>
        <v>yes</v>
      </c>
      <c r="Y1942" s="2">
        <v>35191</v>
      </c>
      <c r="Z1942" t="str">
        <f t="shared" si="510"/>
        <v/>
      </c>
      <c r="AA1942" t="str">
        <f t="shared" si="525"/>
        <v>2nd Q 1996</v>
      </c>
      <c r="AB1942" t="str" cm="1">
        <f t="array" ref="AB1942">_xlfn.IFS(Y1942&lt;DATE(1996,1,1),"",Y1942&lt;DATE(1996,4,1),"Q1",Y1942&lt;DATE(1996,7,1),"Q2",Y1942&gt;=DATE(1996,7,1),"")</f>
        <v>Q2</v>
      </c>
    </row>
    <row r="1943" spans="1:28" ht="14.4" x14ac:dyDescent="0.55000000000000004">
      <c r="A1943" t="str">
        <f>VLOOKUP(L1943,Customers!$A$2:$B$92,2,FALSE)</f>
        <v>Rattlesnake Canyon Grocery</v>
      </c>
      <c r="B1943" t="str">
        <f>VLOOKUP(L1943,Customers!$A$2:$C$92,3,TRUE)</f>
        <v>Paula Wilson</v>
      </c>
      <c r="C1943" t="str">
        <f t="shared" si="511"/>
        <v>Paula</v>
      </c>
      <c r="D1943" s="8" t="str">
        <f t="shared" si="512"/>
        <v>Wilson</v>
      </c>
      <c r="E1943" s="8" t="str">
        <f t="shared" si="513"/>
        <v>Wilson, Paula</v>
      </c>
      <c r="F1943" s="8" t="str">
        <f t="shared" si="514"/>
        <v>Wilson, Paula</v>
      </c>
      <c r="G1943" s="8" t="str">
        <f t="shared" si="515"/>
        <v>not an outlier</v>
      </c>
      <c r="H1943" s="8" t="str">
        <f t="shared" si="516"/>
        <v>Not</v>
      </c>
      <c r="I1943" s="8" t="str">
        <f t="shared" si="526"/>
        <v>no</v>
      </c>
      <c r="J1943" s="10" t="str">
        <f t="shared" si="517"/>
        <v>no</v>
      </c>
      <c r="K1943" s="10" t="str">
        <f t="shared" si="518"/>
        <v>no</v>
      </c>
      <c r="L1943" t="s">
        <v>487</v>
      </c>
      <c r="M1943">
        <v>11000</v>
      </c>
      <c r="N1943">
        <v>24</v>
      </c>
      <c r="O1943" t="s">
        <v>698</v>
      </c>
      <c r="P1943" t="str">
        <f t="shared" si="519"/>
        <v>RATTC_11000_Guaraná Fantástica</v>
      </c>
      <c r="Q1943" t="str">
        <f t="shared" si="520"/>
        <v>11000</v>
      </c>
      <c r="R1943" t="str">
        <f t="shared" si="521"/>
        <v>11000</v>
      </c>
      <c r="S1943" t="str">
        <f t="shared" si="522"/>
        <v>Guaraná Fantástica</v>
      </c>
      <c r="T1943">
        <v>4.5</v>
      </c>
      <c r="U1943">
        <v>30</v>
      </c>
      <c r="V1943">
        <v>0.25</v>
      </c>
      <c r="W1943">
        <f t="shared" si="523"/>
        <v>101.25</v>
      </c>
      <c r="X1943" t="str">
        <f t="shared" si="524"/>
        <v>yes</v>
      </c>
      <c r="Y1943" s="2">
        <v>35191</v>
      </c>
      <c r="Z1943" t="str">
        <f t="shared" si="510"/>
        <v/>
      </c>
      <c r="AA1943" t="str">
        <f t="shared" si="525"/>
        <v>2nd Q 1996</v>
      </c>
      <c r="AB1943" t="str" cm="1">
        <f t="array" ref="AB1943">_xlfn.IFS(Y1943&lt;DATE(1996,1,1),"",Y1943&lt;DATE(1996,4,1),"Q1",Y1943&lt;DATE(1996,7,1),"Q2",Y1943&gt;=DATE(1996,7,1),"")</f>
        <v>Q2</v>
      </c>
    </row>
    <row r="1944" spans="1:28" ht="14.4" x14ac:dyDescent="0.55000000000000004">
      <c r="A1944" t="str">
        <f>VLOOKUP(L1944,Customers!$A$2:$B$92,2,FALSE)</f>
        <v>Rattlesnake Canyon Grocery</v>
      </c>
      <c r="B1944" t="str">
        <f>VLOOKUP(L1944,Customers!$A$2:$C$92,3,TRUE)</f>
        <v>Paula Wilson</v>
      </c>
      <c r="C1944" t="str">
        <f t="shared" si="511"/>
        <v>Paula</v>
      </c>
      <c r="D1944" s="8" t="str">
        <f t="shared" si="512"/>
        <v>Wilson</v>
      </c>
      <c r="E1944" s="8" t="str">
        <f t="shared" si="513"/>
        <v>Wilson, Paula</v>
      </c>
      <c r="F1944" s="8" t="str">
        <f t="shared" si="514"/>
        <v>Wilson, Paula</v>
      </c>
      <c r="G1944" s="8" t="str">
        <f t="shared" si="515"/>
        <v>not an outlier</v>
      </c>
      <c r="H1944" s="8" t="str">
        <f t="shared" si="516"/>
        <v>Not</v>
      </c>
      <c r="I1944" s="8" t="str">
        <f t="shared" si="526"/>
        <v>no</v>
      </c>
      <c r="J1944" s="10" t="str">
        <f t="shared" si="517"/>
        <v>no</v>
      </c>
      <c r="K1944" s="10" t="str">
        <f t="shared" si="518"/>
        <v>no</v>
      </c>
      <c r="L1944" t="s">
        <v>487</v>
      </c>
      <c r="M1944">
        <v>11000</v>
      </c>
      <c r="N1944">
        <v>77</v>
      </c>
      <c r="O1944" t="s">
        <v>706</v>
      </c>
      <c r="P1944" t="str">
        <f t="shared" si="519"/>
        <v>RATTC_11000_Original Frankfurter grüne Soße</v>
      </c>
      <c r="Q1944" t="str">
        <f t="shared" si="520"/>
        <v>11000</v>
      </c>
      <c r="R1944" t="str">
        <f t="shared" si="521"/>
        <v>11000</v>
      </c>
      <c r="S1944" t="str">
        <f t="shared" si="522"/>
        <v>Original Frankfurter grüne Soße</v>
      </c>
      <c r="T1944">
        <v>13</v>
      </c>
      <c r="U1944">
        <v>30</v>
      </c>
      <c r="V1944">
        <v>0</v>
      </c>
      <c r="W1944">
        <f t="shared" si="523"/>
        <v>390</v>
      </c>
      <c r="X1944" t="str">
        <f t="shared" si="524"/>
        <v>yes</v>
      </c>
      <c r="Y1944" s="2">
        <v>35191</v>
      </c>
      <c r="Z1944" t="str">
        <f t="shared" si="510"/>
        <v/>
      </c>
      <c r="AA1944" t="str">
        <f t="shared" si="525"/>
        <v>2nd Q 1996</v>
      </c>
      <c r="AB1944" t="str" cm="1">
        <f t="array" ref="AB1944">_xlfn.IFS(Y1944&lt;DATE(1996,1,1),"",Y1944&lt;DATE(1996,4,1),"Q1",Y1944&lt;DATE(1996,7,1),"Q2",Y1944&gt;=DATE(1996,7,1),"")</f>
        <v>Q2</v>
      </c>
    </row>
    <row r="1945" spans="1:28" ht="14.4" x14ac:dyDescent="0.55000000000000004">
      <c r="A1945" t="str">
        <f>VLOOKUP(L1945,Customers!$A$2:$B$92,2,FALSE)</f>
        <v>Folk och fä HB</v>
      </c>
      <c r="B1945" t="str">
        <f>VLOOKUP(L1945,Customers!$A$2:$C$92,3,TRUE)</f>
        <v>Maria Larsson</v>
      </c>
      <c r="C1945" t="str">
        <f t="shared" si="511"/>
        <v>Maria</v>
      </c>
      <c r="D1945" s="8" t="str">
        <f t="shared" si="512"/>
        <v>Larsson</v>
      </c>
      <c r="E1945" s="8" t="str">
        <f t="shared" si="513"/>
        <v>Larsson, Maria</v>
      </c>
      <c r="F1945" s="8" t="str">
        <f t="shared" si="514"/>
        <v>Larsson, Maria</v>
      </c>
      <c r="G1945" s="8" t="str">
        <f t="shared" si="515"/>
        <v>not an outlier</v>
      </c>
      <c r="H1945" s="8" t="str">
        <f t="shared" si="516"/>
        <v>Not</v>
      </c>
      <c r="I1945" s="8" t="str">
        <f t="shared" si="526"/>
        <v>no</v>
      </c>
      <c r="J1945" s="10" t="str">
        <f t="shared" si="517"/>
        <v>no</v>
      </c>
      <c r="K1945" s="10" t="str">
        <f t="shared" si="518"/>
        <v>no</v>
      </c>
      <c r="L1945" t="s">
        <v>191</v>
      </c>
      <c r="M1945">
        <v>11001</v>
      </c>
      <c r="N1945">
        <v>7</v>
      </c>
      <c r="O1945" t="s">
        <v>715</v>
      </c>
      <c r="P1945" t="str">
        <f t="shared" si="519"/>
        <v>FOLKO_11001_Uncle Bob's Organic Dried Pears</v>
      </c>
      <c r="Q1945" t="str">
        <f t="shared" si="520"/>
        <v>11001</v>
      </c>
      <c r="R1945" t="str">
        <f t="shared" si="521"/>
        <v>11001</v>
      </c>
      <c r="S1945" t="str">
        <f t="shared" si="522"/>
        <v>Uncle Bob's Organic Dried Pears</v>
      </c>
      <c r="T1945">
        <v>30</v>
      </c>
      <c r="U1945">
        <v>60</v>
      </c>
      <c r="V1945">
        <v>0</v>
      </c>
      <c r="W1945">
        <f t="shared" si="523"/>
        <v>1800</v>
      </c>
      <c r="X1945" t="str">
        <f t="shared" si="524"/>
        <v>yes</v>
      </c>
      <c r="Y1945" s="2">
        <v>35191</v>
      </c>
      <c r="Z1945" t="str">
        <f t="shared" si="510"/>
        <v/>
      </c>
      <c r="AA1945" t="str">
        <f t="shared" si="525"/>
        <v>2nd Q 1996</v>
      </c>
      <c r="AB1945" t="str" cm="1">
        <f t="array" ref="AB1945">_xlfn.IFS(Y1945&lt;DATE(1996,1,1),"",Y1945&lt;DATE(1996,4,1),"Q1",Y1945&lt;DATE(1996,7,1),"Q2",Y1945&gt;=DATE(1996,7,1),"")</f>
        <v>Q2</v>
      </c>
    </row>
    <row r="1946" spans="1:28" ht="14.4" x14ac:dyDescent="0.55000000000000004">
      <c r="A1946" t="str">
        <f>VLOOKUP(L1946,Customers!$A$2:$B$92,2,FALSE)</f>
        <v>Folk och fä HB</v>
      </c>
      <c r="B1946" t="str">
        <f>VLOOKUP(L1946,Customers!$A$2:$C$92,3,TRUE)</f>
        <v>Maria Larsson</v>
      </c>
      <c r="C1946" t="str">
        <f t="shared" si="511"/>
        <v>Maria</v>
      </c>
      <c r="D1946" s="8" t="str">
        <f t="shared" si="512"/>
        <v>Larsson</v>
      </c>
      <c r="E1946" s="8" t="str">
        <f t="shared" si="513"/>
        <v>Larsson, Maria</v>
      </c>
      <c r="F1946" s="8" t="str">
        <f t="shared" si="514"/>
        <v>Larsson, Maria</v>
      </c>
      <c r="G1946" s="8" t="str">
        <f t="shared" si="515"/>
        <v>not an outlier</v>
      </c>
      <c r="H1946" s="8" t="str">
        <f t="shared" si="516"/>
        <v>Not</v>
      </c>
      <c r="I1946" s="8" t="str">
        <f t="shared" si="526"/>
        <v>no</v>
      </c>
      <c r="J1946" s="10" t="str">
        <f t="shared" si="517"/>
        <v>no</v>
      </c>
      <c r="K1946" s="10" t="str">
        <f t="shared" si="518"/>
        <v>no</v>
      </c>
      <c r="L1946" t="s">
        <v>191</v>
      </c>
      <c r="M1946">
        <v>11001</v>
      </c>
      <c r="N1946">
        <v>22</v>
      </c>
      <c r="O1946" t="s">
        <v>690</v>
      </c>
      <c r="P1946" t="str">
        <f t="shared" si="519"/>
        <v>FOLKO_11001_Gustaf's Knäckebröd</v>
      </c>
      <c r="Q1946" t="str">
        <f t="shared" si="520"/>
        <v>11001</v>
      </c>
      <c r="R1946" t="str">
        <f t="shared" si="521"/>
        <v>11001</v>
      </c>
      <c r="S1946" t="str">
        <f t="shared" si="522"/>
        <v>Gustaf's Knäckebröd</v>
      </c>
      <c r="T1946">
        <v>21</v>
      </c>
      <c r="U1946">
        <v>25</v>
      </c>
      <c r="V1946">
        <v>0</v>
      </c>
      <c r="W1946">
        <f t="shared" si="523"/>
        <v>525</v>
      </c>
      <c r="X1946" t="str">
        <f t="shared" si="524"/>
        <v>yes</v>
      </c>
      <c r="Y1946" s="2">
        <v>35191</v>
      </c>
      <c r="Z1946" t="str">
        <f t="shared" si="510"/>
        <v/>
      </c>
      <c r="AA1946" t="str">
        <f t="shared" si="525"/>
        <v>2nd Q 1996</v>
      </c>
      <c r="AB1946" t="str" cm="1">
        <f t="array" ref="AB1946">_xlfn.IFS(Y1946&lt;DATE(1996,1,1),"",Y1946&lt;DATE(1996,4,1),"Q1",Y1946&lt;DATE(1996,7,1),"Q2",Y1946&gt;=DATE(1996,7,1),"")</f>
        <v>Q2</v>
      </c>
    </row>
    <row r="1947" spans="1:28" ht="14.4" x14ac:dyDescent="0.55000000000000004">
      <c r="A1947" t="str">
        <f>VLOOKUP(L1947,Customers!$A$2:$B$92,2,FALSE)</f>
        <v>Folk och fä HB</v>
      </c>
      <c r="B1947" t="str">
        <f>VLOOKUP(L1947,Customers!$A$2:$C$92,3,TRUE)</f>
        <v>Maria Larsson</v>
      </c>
      <c r="C1947" t="str">
        <f t="shared" si="511"/>
        <v>Maria</v>
      </c>
      <c r="D1947" s="8" t="str">
        <f t="shared" si="512"/>
        <v>Larsson</v>
      </c>
      <c r="E1947" s="8" t="str">
        <f t="shared" si="513"/>
        <v>Larsson, Maria</v>
      </c>
      <c r="F1947" s="8" t="str">
        <f t="shared" si="514"/>
        <v>Larsson, Maria</v>
      </c>
      <c r="G1947" s="8" t="str">
        <f t="shared" si="515"/>
        <v>not an outlier</v>
      </c>
      <c r="H1947" s="8" t="str">
        <f t="shared" si="516"/>
        <v>Not</v>
      </c>
      <c r="I1947" s="8" t="str">
        <f t="shared" si="526"/>
        <v>no</v>
      </c>
      <c r="J1947" s="10" t="str">
        <f t="shared" si="517"/>
        <v>no</v>
      </c>
      <c r="K1947" s="10" t="str">
        <f t="shared" si="518"/>
        <v>no</v>
      </c>
      <c r="L1947" t="s">
        <v>191</v>
      </c>
      <c r="M1947">
        <v>11001</v>
      </c>
      <c r="N1947">
        <v>46</v>
      </c>
      <c r="O1947" t="s">
        <v>737</v>
      </c>
      <c r="P1947" t="str">
        <f t="shared" si="519"/>
        <v>FOLKO_11001_Spegesild</v>
      </c>
      <c r="Q1947" t="str">
        <f t="shared" si="520"/>
        <v>11001</v>
      </c>
      <c r="R1947" t="str">
        <f t="shared" si="521"/>
        <v>11001</v>
      </c>
      <c r="S1947" t="str">
        <f t="shared" si="522"/>
        <v>Spegesild</v>
      </c>
      <c r="T1947">
        <v>12</v>
      </c>
      <c r="U1947">
        <v>25</v>
      </c>
      <c r="V1947">
        <v>0</v>
      </c>
      <c r="W1947">
        <f t="shared" si="523"/>
        <v>300</v>
      </c>
      <c r="X1947" t="str">
        <f t="shared" si="524"/>
        <v>yes</v>
      </c>
      <c r="Y1947" s="2">
        <v>35191</v>
      </c>
      <c r="Z1947" t="str">
        <f t="shared" si="510"/>
        <v/>
      </c>
      <c r="AA1947" t="str">
        <f t="shared" si="525"/>
        <v>2nd Q 1996</v>
      </c>
      <c r="AB1947" t="str" cm="1">
        <f t="array" ref="AB1947">_xlfn.IFS(Y1947&lt;DATE(1996,1,1),"",Y1947&lt;DATE(1996,4,1),"Q1",Y1947&lt;DATE(1996,7,1),"Q2",Y1947&gt;=DATE(1996,7,1),"")</f>
        <v>Q2</v>
      </c>
    </row>
    <row r="1948" spans="1:28" ht="14.4" x14ac:dyDescent="0.55000000000000004">
      <c r="A1948" t="str">
        <f>VLOOKUP(L1948,Customers!$A$2:$B$92,2,FALSE)</f>
        <v>Folk och fä HB</v>
      </c>
      <c r="B1948" t="str">
        <f>VLOOKUP(L1948,Customers!$A$2:$C$92,3,TRUE)</f>
        <v>Maria Larsson</v>
      </c>
      <c r="C1948" t="str">
        <f t="shared" si="511"/>
        <v>Maria</v>
      </c>
      <c r="D1948" s="8" t="str">
        <f t="shared" si="512"/>
        <v>Larsson</v>
      </c>
      <c r="E1948" s="8" t="str">
        <f t="shared" si="513"/>
        <v>Larsson, Maria</v>
      </c>
      <c r="F1948" s="8" t="str">
        <f t="shared" si="514"/>
        <v>Larsson, Maria</v>
      </c>
      <c r="G1948" s="8" t="str">
        <f t="shared" si="515"/>
        <v>not an outlier</v>
      </c>
      <c r="H1948" s="8" t="str">
        <f t="shared" si="516"/>
        <v>Not</v>
      </c>
      <c r="I1948" s="8" t="str">
        <f t="shared" si="526"/>
        <v>no</v>
      </c>
      <c r="J1948" s="10" t="str">
        <f t="shared" si="517"/>
        <v>no</v>
      </c>
      <c r="K1948" s="10" t="str">
        <f t="shared" si="518"/>
        <v>no</v>
      </c>
      <c r="L1948" t="s">
        <v>191</v>
      </c>
      <c r="M1948">
        <v>11001</v>
      </c>
      <c r="N1948">
        <v>55</v>
      </c>
      <c r="O1948" t="s">
        <v>699</v>
      </c>
      <c r="P1948" t="str">
        <f t="shared" si="519"/>
        <v>FOLKO_11001_Pâté chinois</v>
      </c>
      <c r="Q1948" t="str">
        <f t="shared" si="520"/>
        <v>11001</v>
      </c>
      <c r="R1948" t="str">
        <f t="shared" si="521"/>
        <v>11001</v>
      </c>
      <c r="S1948" t="str">
        <f t="shared" si="522"/>
        <v>Pâté chinois</v>
      </c>
      <c r="T1948">
        <v>24</v>
      </c>
      <c r="U1948">
        <v>6</v>
      </c>
      <c r="V1948">
        <v>0</v>
      </c>
      <c r="W1948">
        <f t="shared" si="523"/>
        <v>144</v>
      </c>
      <c r="X1948" t="str">
        <f t="shared" si="524"/>
        <v>yes</v>
      </c>
      <c r="Y1948" s="2">
        <v>35191</v>
      </c>
      <c r="Z1948" t="str">
        <f t="shared" si="510"/>
        <v/>
      </c>
      <c r="AA1948" t="str">
        <f t="shared" si="525"/>
        <v>2nd Q 1996</v>
      </c>
      <c r="AB1948" t="str" cm="1">
        <f t="array" ref="AB1948">_xlfn.IFS(Y1948&lt;DATE(1996,1,1),"",Y1948&lt;DATE(1996,4,1),"Q1",Y1948&lt;DATE(1996,7,1),"Q2",Y1948&gt;=DATE(1996,7,1),"")</f>
        <v>Q2</v>
      </c>
    </row>
    <row r="1949" spans="1:28" ht="14.4" x14ac:dyDescent="0.55000000000000004">
      <c r="A1949" t="str">
        <f>VLOOKUP(L1949,Customers!$A$2:$B$92,2,FALSE)</f>
        <v>Save-a-lot Markets</v>
      </c>
      <c r="B1949" t="str">
        <f>VLOOKUP(L1949,Customers!$A$2:$C$92,3,TRUE)</f>
        <v>Jose Pavarotti</v>
      </c>
      <c r="C1949" t="str">
        <f t="shared" si="511"/>
        <v>Jose</v>
      </c>
      <c r="D1949" s="8" t="str">
        <f t="shared" si="512"/>
        <v>Pavarotti</v>
      </c>
      <c r="E1949" s="8" t="str">
        <f t="shared" si="513"/>
        <v>Pavarotti, Jose</v>
      </c>
      <c r="F1949" s="8" t="str">
        <f t="shared" si="514"/>
        <v>Pavarotti, Jose</v>
      </c>
      <c r="G1949" s="8" t="str">
        <f t="shared" si="515"/>
        <v>not an outlier</v>
      </c>
      <c r="H1949" s="8" t="str">
        <f t="shared" si="516"/>
        <v>Not</v>
      </c>
      <c r="I1949" s="8" t="str">
        <f t="shared" si="526"/>
        <v>no</v>
      </c>
      <c r="J1949" s="10" t="str">
        <f t="shared" si="517"/>
        <v>no</v>
      </c>
      <c r="K1949" s="10" t="str">
        <f t="shared" si="518"/>
        <v>no</v>
      </c>
      <c r="L1949" t="s">
        <v>529</v>
      </c>
      <c r="M1949">
        <v>11002</v>
      </c>
      <c r="N1949">
        <v>13</v>
      </c>
      <c r="O1949" t="s">
        <v>726</v>
      </c>
      <c r="P1949" t="str">
        <f t="shared" si="519"/>
        <v>SAVEA_11002_Konbu</v>
      </c>
      <c r="Q1949" t="str">
        <f t="shared" si="520"/>
        <v>11002</v>
      </c>
      <c r="R1949" t="str">
        <f t="shared" si="521"/>
        <v>11002</v>
      </c>
      <c r="S1949" t="str">
        <f t="shared" si="522"/>
        <v>Konbu</v>
      </c>
      <c r="T1949">
        <v>6</v>
      </c>
      <c r="U1949">
        <v>56</v>
      </c>
      <c r="V1949">
        <v>0</v>
      </c>
      <c r="W1949">
        <f t="shared" si="523"/>
        <v>336</v>
      </c>
      <c r="X1949" t="str">
        <f t="shared" si="524"/>
        <v>yes</v>
      </c>
      <c r="Y1949" s="2">
        <v>35191</v>
      </c>
      <c r="Z1949" t="str">
        <f t="shared" si="510"/>
        <v/>
      </c>
      <c r="AA1949" t="str">
        <f t="shared" si="525"/>
        <v>2nd Q 1996</v>
      </c>
      <c r="AB1949" t="str" cm="1">
        <f t="array" ref="AB1949">_xlfn.IFS(Y1949&lt;DATE(1996,1,1),"",Y1949&lt;DATE(1996,4,1),"Q1",Y1949&lt;DATE(1996,7,1),"Q2",Y1949&gt;=DATE(1996,7,1),"")</f>
        <v>Q2</v>
      </c>
    </row>
    <row r="1950" spans="1:28" ht="14.4" x14ac:dyDescent="0.55000000000000004">
      <c r="A1950" t="str">
        <f>VLOOKUP(L1950,Customers!$A$2:$B$92,2,FALSE)</f>
        <v>Save-a-lot Markets</v>
      </c>
      <c r="B1950" t="str">
        <f>VLOOKUP(L1950,Customers!$A$2:$C$92,3,TRUE)</f>
        <v>Jose Pavarotti</v>
      </c>
      <c r="C1950" t="str">
        <f t="shared" si="511"/>
        <v>Jose</v>
      </c>
      <c r="D1950" s="8" t="str">
        <f t="shared" si="512"/>
        <v>Pavarotti</v>
      </c>
      <c r="E1950" s="8" t="str">
        <f t="shared" si="513"/>
        <v>Pavarotti, Jose</v>
      </c>
      <c r="F1950" s="8" t="str">
        <f t="shared" si="514"/>
        <v>Pavarotti, Jose</v>
      </c>
      <c r="G1950" s="8" t="str">
        <f t="shared" si="515"/>
        <v>not an outlier</v>
      </c>
      <c r="H1950" s="8" t="str">
        <f t="shared" si="516"/>
        <v>Not</v>
      </c>
      <c r="I1950" s="8" t="str">
        <f t="shared" si="526"/>
        <v>no</v>
      </c>
      <c r="J1950" s="10" t="str">
        <f t="shared" si="517"/>
        <v>no</v>
      </c>
      <c r="K1950" s="10" t="str">
        <f t="shared" si="518"/>
        <v>no</v>
      </c>
      <c r="L1950" t="s">
        <v>529</v>
      </c>
      <c r="M1950">
        <v>11002</v>
      </c>
      <c r="N1950">
        <v>35</v>
      </c>
      <c r="O1950" t="s">
        <v>714</v>
      </c>
      <c r="P1950" t="str">
        <f t="shared" si="519"/>
        <v>SAVEA_11002_Steeleye Stout</v>
      </c>
      <c r="Q1950" t="str">
        <f t="shared" si="520"/>
        <v>11002</v>
      </c>
      <c r="R1950" t="str">
        <f t="shared" si="521"/>
        <v>11002</v>
      </c>
      <c r="S1950" t="str">
        <f t="shared" si="522"/>
        <v>Steeleye Stout</v>
      </c>
      <c r="T1950">
        <v>18</v>
      </c>
      <c r="U1950">
        <v>15</v>
      </c>
      <c r="V1950">
        <v>0.15</v>
      </c>
      <c r="W1950">
        <f t="shared" si="523"/>
        <v>229.5</v>
      </c>
      <c r="X1950" t="str">
        <f t="shared" si="524"/>
        <v>yes</v>
      </c>
      <c r="Y1950" s="2">
        <v>35191</v>
      </c>
      <c r="Z1950" t="str">
        <f t="shared" si="510"/>
        <v/>
      </c>
      <c r="AA1950" t="str">
        <f t="shared" si="525"/>
        <v>2nd Q 1996</v>
      </c>
      <c r="AB1950" t="str" cm="1">
        <f t="array" ref="AB1950">_xlfn.IFS(Y1950&lt;DATE(1996,1,1),"",Y1950&lt;DATE(1996,4,1),"Q1",Y1950&lt;DATE(1996,7,1),"Q2",Y1950&gt;=DATE(1996,7,1),"")</f>
        <v>Q2</v>
      </c>
    </row>
    <row r="1951" spans="1:28" ht="14.4" x14ac:dyDescent="0.55000000000000004">
      <c r="A1951" t="str">
        <f>VLOOKUP(L1951,Customers!$A$2:$B$92,2,FALSE)</f>
        <v>Save-a-lot Markets</v>
      </c>
      <c r="B1951" t="str">
        <f>VLOOKUP(L1951,Customers!$A$2:$C$92,3,TRUE)</f>
        <v>Jose Pavarotti</v>
      </c>
      <c r="C1951" t="str">
        <f t="shared" si="511"/>
        <v>Jose</v>
      </c>
      <c r="D1951" s="8" t="str">
        <f t="shared" si="512"/>
        <v>Pavarotti</v>
      </c>
      <c r="E1951" s="8" t="str">
        <f t="shared" si="513"/>
        <v>Pavarotti, Jose</v>
      </c>
      <c r="F1951" s="8" t="str">
        <f t="shared" si="514"/>
        <v>Pavarotti, Jose</v>
      </c>
      <c r="G1951" s="8" t="str">
        <f t="shared" si="515"/>
        <v>not an outlier</v>
      </c>
      <c r="H1951" s="8" t="str">
        <f t="shared" si="516"/>
        <v>Not</v>
      </c>
      <c r="I1951" s="8" t="str">
        <f t="shared" si="526"/>
        <v>no</v>
      </c>
      <c r="J1951" s="10" t="str">
        <f t="shared" si="517"/>
        <v>no</v>
      </c>
      <c r="K1951" s="10" t="str">
        <f t="shared" si="518"/>
        <v>no</v>
      </c>
      <c r="L1951" t="s">
        <v>529</v>
      </c>
      <c r="M1951">
        <v>11002</v>
      </c>
      <c r="N1951">
        <v>42</v>
      </c>
      <c r="O1951" t="s">
        <v>684</v>
      </c>
      <c r="P1951" t="str">
        <f t="shared" si="519"/>
        <v>SAVEA_11002_Singaporean Hokkien Fried Mee</v>
      </c>
      <c r="Q1951" t="str">
        <f t="shared" si="520"/>
        <v>11002</v>
      </c>
      <c r="R1951" t="str">
        <f t="shared" si="521"/>
        <v>11002</v>
      </c>
      <c r="S1951" t="str">
        <f t="shared" si="522"/>
        <v>Singaporean Hokkien Fried Mee</v>
      </c>
      <c r="T1951">
        <v>14</v>
      </c>
      <c r="U1951">
        <v>24</v>
      </c>
      <c r="V1951">
        <v>0.15</v>
      </c>
      <c r="W1951">
        <f t="shared" si="523"/>
        <v>285.59999999999997</v>
      </c>
      <c r="X1951" t="str">
        <f t="shared" si="524"/>
        <v>yes</v>
      </c>
      <c r="Y1951" s="2">
        <v>35191</v>
      </c>
      <c r="Z1951" t="str">
        <f t="shared" si="510"/>
        <v/>
      </c>
      <c r="AA1951" t="str">
        <f t="shared" si="525"/>
        <v>2nd Q 1996</v>
      </c>
      <c r="AB1951" t="str" cm="1">
        <f t="array" ref="AB1951">_xlfn.IFS(Y1951&lt;DATE(1996,1,1),"",Y1951&lt;DATE(1996,4,1),"Q1",Y1951&lt;DATE(1996,7,1),"Q2",Y1951&gt;=DATE(1996,7,1),"")</f>
        <v>Q2</v>
      </c>
    </row>
    <row r="1952" spans="1:28" ht="14.4" x14ac:dyDescent="0.55000000000000004">
      <c r="A1952" t="str">
        <f>VLOOKUP(L1952,Customers!$A$2:$B$92,2,FALSE)</f>
        <v>Save-a-lot Markets</v>
      </c>
      <c r="B1952" t="str">
        <f>VLOOKUP(L1952,Customers!$A$2:$C$92,3,TRUE)</f>
        <v>Jose Pavarotti</v>
      </c>
      <c r="C1952" t="str">
        <f t="shared" si="511"/>
        <v>Jose</v>
      </c>
      <c r="D1952" s="8" t="str">
        <f t="shared" si="512"/>
        <v>Pavarotti</v>
      </c>
      <c r="E1952" s="8" t="str">
        <f t="shared" si="513"/>
        <v>Pavarotti, Jose</v>
      </c>
      <c r="F1952" s="8" t="str">
        <f t="shared" si="514"/>
        <v>Pavarotti, Jose</v>
      </c>
      <c r="G1952" s="8" t="str">
        <f t="shared" si="515"/>
        <v>not an outlier</v>
      </c>
      <c r="H1952" s="8" t="str">
        <f t="shared" si="516"/>
        <v>Not</v>
      </c>
      <c r="I1952" s="8" t="str">
        <f t="shared" si="526"/>
        <v>no</v>
      </c>
      <c r="J1952" s="10" t="str">
        <f t="shared" si="517"/>
        <v>no</v>
      </c>
      <c r="K1952" s="10" t="str">
        <f t="shared" si="518"/>
        <v>no</v>
      </c>
      <c r="L1952" t="s">
        <v>529</v>
      </c>
      <c r="M1952">
        <v>11002</v>
      </c>
      <c r="N1952">
        <v>55</v>
      </c>
      <c r="O1952" t="s">
        <v>699</v>
      </c>
      <c r="P1952" t="str">
        <f t="shared" si="519"/>
        <v>SAVEA_11002_Pâté chinois</v>
      </c>
      <c r="Q1952" t="str">
        <f t="shared" si="520"/>
        <v>11002</v>
      </c>
      <c r="R1952" t="str">
        <f t="shared" si="521"/>
        <v>11002</v>
      </c>
      <c r="S1952" t="str">
        <f t="shared" si="522"/>
        <v>Pâté chinois</v>
      </c>
      <c r="T1952">
        <v>24</v>
      </c>
      <c r="U1952">
        <v>40</v>
      </c>
      <c r="V1952">
        <v>0</v>
      </c>
      <c r="W1952">
        <f t="shared" si="523"/>
        <v>960</v>
      </c>
      <c r="X1952" t="str">
        <f t="shared" si="524"/>
        <v>yes</v>
      </c>
      <c r="Y1952" s="2">
        <v>35191</v>
      </c>
      <c r="Z1952" t="str">
        <f t="shared" si="510"/>
        <v/>
      </c>
      <c r="AA1952" t="str">
        <f t="shared" si="525"/>
        <v>2nd Q 1996</v>
      </c>
      <c r="AB1952" t="str" cm="1">
        <f t="array" ref="AB1952">_xlfn.IFS(Y1952&lt;DATE(1996,1,1),"",Y1952&lt;DATE(1996,4,1),"Q1",Y1952&lt;DATE(1996,7,1),"Q2",Y1952&gt;=DATE(1996,7,1),"")</f>
        <v>Q2</v>
      </c>
    </row>
    <row r="1953" spans="1:28" ht="14.4" x14ac:dyDescent="0.55000000000000004">
      <c r="A1953" t="str">
        <f>VLOOKUP(L1953,Customers!$A$2:$B$92,2,FALSE)</f>
        <v>The Cracker Box</v>
      </c>
      <c r="B1953" t="str">
        <f>VLOOKUP(L1953,Customers!$A$2:$C$92,3,TRUE)</f>
        <v>Liu Wong</v>
      </c>
      <c r="C1953" t="str">
        <f t="shared" si="511"/>
        <v>Liu</v>
      </c>
      <c r="D1953" s="8" t="str">
        <f t="shared" si="512"/>
        <v>Wong</v>
      </c>
      <c r="E1953" s="8" t="str">
        <f t="shared" si="513"/>
        <v>Wong, Liu</v>
      </c>
      <c r="F1953" s="8" t="str">
        <f t="shared" si="514"/>
        <v>Wong, Liu</v>
      </c>
      <c r="G1953" s="8" t="str">
        <f t="shared" si="515"/>
        <v>not an outlier</v>
      </c>
      <c r="H1953" s="8" t="str">
        <f t="shared" si="516"/>
        <v>Not</v>
      </c>
      <c r="I1953" s="8" t="str">
        <f t="shared" si="526"/>
        <v>no</v>
      </c>
      <c r="J1953" s="10" t="str">
        <f t="shared" si="517"/>
        <v>no</v>
      </c>
      <c r="K1953" s="10" t="str">
        <f t="shared" si="518"/>
        <v>no</v>
      </c>
      <c r="L1953" t="s">
        <v>578</v>
      </c>
      <c r="M1953">
        <v>11003</v>
      </c>
      <c r="N1953">
        <v>1</v>
      </c>
      <c r="O1953" t="s">
        <v>735</v>
      </c>
      <c r="P1953" t="str">
        <f t="shared" si="519"/>
        <v>THECR_11003_Chai</v>
      </c>
      <c r="Q1953" t="str">
        <f t="shared" si="520"/>
        <v>11003</v>
      </c>
      <c r="R1953" t="str">
        <f t="shared" si="521"/>
        <v>11003</v>
      </c>
      <c r="S1953" t="str">
        <f t="shared" si="522"/>
        <v>Chai</v>
      </c>
      <c r="T1953">
        <v>18</v>
      </c>
      <c r="U1953">
        <v>4</v>
      </c>
      <c r="V1953">
        <v>0</v>
      </c>
      <c r="W1953">
        <f t="shared" si="523"/>
        <v>72</v>
      </c>
      <c r="X1953" t="str">
        <f t="shared" si="524"/>
        <v>yes</v>
      </c>
      <c r="Y1953" s="2">
        <v>35191</v>
      </c>
      <c r="Z1953" t="str">
        <f t="shared" si="510"/>
        <v/>
      </c>
      <c r="AA1953" t="str">
        <f t="shared" si="525"/>
        <v>2nd Q 1996</v>
      </c>
      <c r="AB1953" t="str" cm="1">
        <f t="array" ref="AB1953">_xlfn.IFS(Y1953&lt;DATE(1996,1,1),"",Y1953&lt;DATE(1996,4,1),"Q1",Y1953&lt;DATE(1996,7,1),"Q2",Y1953&gt;=DATE(1996,7,1),"")</f>
        <v>Q2</v>
      </c>
    </row>
    <row r="1954" spans="1:28" ht="14.4" x14ac:dyDescent="0.55000000000000004">
      <c r="A1954" t="str">
        <f>VLOOKUP(L1954,Customers!$A$2:$B$92,2,FALSE)</f>
        <v>The Cracker Box</v>
      </c>
      <c r="B1954" t="str">
        <f>VLOOKUP(L1954,Customers!$A$2:$C$92,3,TRUE)</f>
        <v>Liu Wong</v>
      </c>
      <c r="C1954" t="str">
        <f t="shared" si="511"/>
        <v>Liu</v>
      </c>
      <c r="D1954" s="8" t="str">
        <f t="shared" si="512"/>
        <v>Wong</v>
      </c>
      <c r="E1954" s="8" t="str">
        <f t="shared" si="513"/>
        <v>Wong, Liu</v>
      </c>
      <c r="F1954" s="8" t="str">
        <f t="shared" si="514"/>
        <v>Wong, Liu</v>
      </c>
      <c r="G1954" s="8" t="str">
        <f t="shared" si="515"/>
        <v>not an outlier</v>
      </c>
      <c r="H1954" s="8" t="str">
        <f t="shared" si="516"/>
        <v>Not</v>
      </c>
      <c r="I1954" s="8" t="str">
        <f t="shared" si="526"/>
        <v>no</v>
      </c>
      <c r="J1954" s="10" t="str">
        <f t="shared" si="517"/>
        <v>no</v>
      </c>
      <c r="K1954" s="10" t="str">
        <f t="shared" si="518"/>
        <v>no</v>
      </c>
      <c r="L1954" t="s">
        <v>578</v>
      </c>
      <c r="M1954">
        <v>11003</v>
      </c>
      <c r="N1954">
        <v>40</v>
      </c>
      <c r="O1954" t="s">
        <v>720</v>
      </c>
      <c r="P1954" t="str">
        <f t="shared" si="519"/>
        <v>THECR_11003_Boston Crab Meat</v>
      </c>
      <c r="Q1954" t="str">
        <f t="shared" si="520"/>
        <v>11003</v>
      </c>
      <c r="R1954" t="str">
        <f t="shared" si="521"/>
        <v>11003</v>
      </c>
      <c r="S1954" t="str">
        <f t="shared" si="522"/>
        <v>Boston Crab Meat</v>
      </c>
      <c r="T1954">
        <v>18.399999999999999</v>
      </c>
      <c r="U1954">
        <v>10</v>
      </c>
      <c r="V1954">
        <v>0</v>
      </c>
      <c r="W1954">
        <f t="shared" si="523"/>
        <v>184</v>
      </c>
      <c r="X1954" t="str">
        <f t="shared" si="524"/>
        <v>yes</v>
      </c>
      <c r="Y1954" s="2">
        <v>35191</v>
      </c>
      <c r="Z1954" t="str">
        <f t="shared" si="510"/>
        <v/>
      </c>
      <c r="AA1954" t="str">
        <f t="shared" si="525"/>
        <v>2nd Q 1996</v>
      </c>
      <c r="AB1954" t="str" cm="1">
        <f t="array" ref="AB1954">_xlfn.IFS(Y1954&lt;DATE(1996,1,1),"",Y1954&lt;DATE(1996,4,1),"Q1",Y1954&lt;DATE(1996,7,1),"Q2",Y1954&gt;=DATE(1996,7,1),"")</f>
        <v>Q2</v>
      </c>
    </row>
    <row r="1955" spans="1:28" ht="14.4" x14ac:dyDescent="0.55000000000000004">
      <c r="A1955" t="str">
        <f>VLOOKUP(L1955,Customers!$A$2:$B$92,2,FALSE)</f>
        <v>The Cracker Box</v>
      </c>
      <c r="B1955" t="str">
        <f>VLOOKUP(L1955,Customers!$A$2:$C$92,3,TRUE)</f>
        <v>Liu Wong</v>
      </c>
      <c r="C1955" t="str">
        <f t="shared" si="511"/>
        <v>Liu</v>
      </c>
      <c r="D1955" s="8" t="str">
        <f t="shared" si="512"/>
        <v>Wong</v>
      </c>
      <c r="E1955" s="8" t="str">
        <f t="shared" si="513"/>
        <v>Wong, Liu</v>
      </c>
      <c r="F1955" s="8" t="str">
        <f t="shared" si="514"/>
        <v>Wong, Liu</v>
      </c>
      <c r="G1955" s="8" t="str">
        <f t="shared" si="515"/>
        <v>not an outlier</v>
      </c>
      <c r="H1955" s="8" t="str">
        <f t="shared" si="516"/>
        <v>Not</v>
      </c>
      <c r="I1955" s="8" t="str">
        <f t="shared" si="526"/>
        <v>no</v>
      </c>
      <c r="J1955" s="10" t="str">
        <f t="shared" si="517"/>
        <v>no</v>
      </c>
      <c r="K1955" s="10" t="str">
        <f t="shared" si="518"/>
        <v>no</v>
      </c>
      <c r="L1955" t="s">
        <v>578</v>
      </c>
      <c r="M1955">
        <v>11003</v>
      </c>
      <c r="N1955">
        <v>52</v>
      </c>
      <c r="O1955" t="s">
        <v>748</v>
      </c>
      <c r="P1955" t="str">
        <f t="shared" si="519"/>
        <v>THECR_11003_Filo Mix</v>
      </c>
      <c r="Q1955" t="str">
        <f t="shared" si="520"/>
        <v>11003</v>
      </c>
      <c r="R1955" t="str">
        <f t="shared" si="521"/>
        <v>11003</v>
      </c>
      <c r="S1955" t="str">
        <f t="shared" si="522"/>
        <v>Filo Mix</v>
      </c>
      <c r="T1955">
        <v>7</v>
      </c>
      <c r="U1955">
        <v>10</v>
      </c>
      <c r="V1955">
        <v>0</v>
      </c>
      <c r="W1955">
        <f t="shared" si="523"/>
        <v>70</v>
      </c>
      <c r="X1955" t="str">
        <f t="shared" si="524"/>
        <v>yes</v>
      </c>
      <c r="Y1955" s="2">
        <v>35191</v>
      </c>
      <c r="Z1955" t="str">
        <f t="shared" si="510"/>
        <v/>
      </c>
      <c r="AA1955" t="str">
        <f t="shared" si="525"/>
        <v>2nd Q 1996</v>
      </c>
      <c r="AB1955" t="str" cm="1">
        <f t="array" ref="AB1955">_xlfn.IFS(Y1955&lt;DATE(1996,1,1),"",Y1955&lt;DATE(1996,4,1),"Q1",Y1955&lt;DATE(1996,7,1),"Q2",Y1955&gt;=DATE(1996,7,1),"")</f>
        <v>Q2</v>
      </c>
    </row>
    <row r="1956" spans="1:28" ht="14.4" x14ac:dyDescent="0.55000000000000004">
      <c r="A1956" t="str">
        <f>VLOOKUP(L1956,Customers!$A$2:$B$92,2,FALSE)</f>
        <v>Maison Dewey</v>
      </c>
      <c r="B1956" t="str">
        <f>VLOOKUP(L1956,Customers!$A$2:$C$92,3,TRUE)</f>
        <v>Catherine Dewey</v>
      </c>
      <c r="C1956" t="str">
        <f t="shared" si="511"/>
        <v>Catherine</v>
      </c>
      <c r="D1956" s="8" t="str">
        <f t="shared" si="512"/>
        <v>Dewey</v>
      </c>
      <c r="E1956" s="8" t="str">
        <f t="shared" si="513"/>
        <v>Dewey, Catherine</v>
      </c>
      <c r="F1956" s="8" t="str">
        <f t="shared" si="514"/>
        <v>Dewey, Catherine</v>
      </c>
      <c r="G1956" s="8" t="str">
        <f t="shared" si="515"/>
        <v>not an outlier</v>
      </c>
      <c r="H1956" s="8" t="str">
        <f t="shared" si="516"/>
        <v>Not</v>
      </c>
      <c r="I1956" s="8" t="str">
        <f t="shared" si="526"/>
        <v>no</v>
      </c>
      <c r="J1956" s="10" t="str">
        <f t="shared" si="517"/>
        <v>no</v>
      </c>
      <c r="K1956" s="10" t="str">
        <f t="shared" si="518"/>
        <v>no</v>
      </c>
      <c r="L1956" t="s">
        <v>385</v>
      </c>
      <c r="M1956">
        <v>11004</v>
      </c>
      <c r="N1956">
        <v>26</v>
      </c>
      <c r="O1956" t="s">
        <v>751</v>
      </c>
      <c r="P1956" t="str">
        <f t="shared" si="519"/>
        <v>MAISD_11004_Gumbär Gummibärchen</v>
      </c>
      <c r="Q1956" t="str">
        <f t="shared" si="520"/>
        <v>11004</v>
      </c>
      <c r="R1956" t="str">
        <f t="shared" si="521"/>
        <v>11004</v>
      </c>
      <c r="S1956" t="str">
        <f t="shared" si="522"/>
        <v>Gumbär Gummibärchen</v>
      </c>
      <c r="T1956">
        <v>31.23</v>
      </c>
      <c r="U1956">
        <v>6</v>
      </c>
      <c r="V1956">
        <v>0</v>
      </c>
      <c r="W1956">
        <f t="shared" si="523"/>
        <v>187.38</v>
      </c>
      <c r="X1956" t="str">
        <f t="shared" si="524"/>
        <v>yes</v>
      </c>
      <c r="Y1956" s="2">
        <v>35192</v>
      </c>
      <c r="Z1956" t="str">
        <f t="shared" si="510"/>
        <v/>
      </c>
      <c r="AA1956" t="str">
        <f t="shared" si="525"/>
        <v>2nd Q 1996</v>
      </c>
      <c r="AB1956" t="str" cm="1">
        <f t="array" ref="AB1956">_xlfn.IFS(Y1956&lt;DATE(1996,1,1),"",Y1956&lt;DATE(1996,4,1),"Q1",Y1956&lt;DATE(1996,7,1),"Q2",Y1956&gt;=DATE(1996,7,1),"")</f>
        <v>Q2</v>
      </c>
    </row>
    <row r="1957" spans="1:28" ht="14.4" x14ac:dyDescent="0.55000000000000004">
      <c r="A1957" t="str">
        <f>VLOOKUP(L1957,Customers!$A$2:$B$92,2,FALSE)</f>
        <v>Maison Dewey</v>
      </c>
      <c r="B1957" t="str">
        <f>VLOOKUP(L1957,Customers!$A$2:$C$92,3,TRUE)</f>
        <v>Catherine Dewey</v>
      </c>
      <c r="C1957" t="str">
        <f t="shared" si="511"/>
        <v>Catherine</v>
      </c>
      <c r="D1957" s="8" t="str">
        <f t="shared" si="512"/>
        <v>Dewey</v>
      </c>
      <c r="E1957" s="8" t="str">
        <f t="shared" si="513"/>
        <v>Dewey, Catherine</v>
      </c>
      <c r="F1957" s="8" t="str">
        <f t="shared" si="514"/>
        <v>Dewey, Catherine</v>
      </c>
      <c r="G1957" s="8" t="str">
        <f t="shared" si="515"/>
        <v>not an outlier</v>
      </c>
      <c r="H1957" s="8" t="str">
        <f t="shared" si="516"/>
        <v>Not</v>
      </c>
      <c r="I1957" s="8" t="str">
        <f t="shared" si="526"/>
        <v>no</v>
      </c>
      <c r="J1957" s="10" t="str">
        <f t="shared" si="517"/>
        <v>no</v>
      </c>
      <c r="K1957" s="10" t="str">
        <f t="shared" si="518"/>
        <v>no</v>
      </c>
      <c r="L1957" t="s">
        <v>385</v>
      </c>
      <c r="M1957">
        <v>11004</v>
      </c>
      <c r="N1957">
        <v>76</v>
      </c>
      <c r="O1957" t="s">
        <v>721</v>
      </c>
      <c r="P1957" t="str">
        <f t="shared" si="519"/>
        <v>MAISD_11004_Lakkalikööri</v>
      </c>
      <c r="Q1957" t="str">
        <f t="shared" si="520"/>
        <v>11004</v>
      </c>
      <c r="R1957" t="str">
        <f t="shared" si="521"/>
        <v>11004</v>
      </c>
      <c r="S1957" t="str">
        <f t="shared" si="522"/>
        <v>Lakkalikööri</v>
      </c>
      <c r="T1957">
        <v>18</v>
      </c>
      <c r="U1957">
        <v>6</v>
      </c>
      <c r="V1957">
        <v>0</v>
      </c>
      <c r="W1957">
        <f t="shared" si="523"/>
        <v>108</v>
      </c>
      <c r="X1957" t="str">
        <f t="shared" si="524"/>
        <v>yes</v>
      </c>
      <c r="Y1957" s="2">
        <v>35192</v>
      </c>
      <c r="Z1957" t="str">
        <f t="shared" si="510"/>
        <v/>
      </c>
      <c r="AA1957" t="str">
        <f t="shared" si="525"/>
        <v>2nd Q 1996</v>
      </c>
      <c r="AB1957" t="str" cm="1">
        <f t="array" ref="AB1957">_xlfn.IFS(Y1957&lt;DATE(1996,1,1),"",Y1957&lt;DATE(1996,4,1),"Q1",Y1957&lt;DATE(1996,7,1),"Q2",Y1957&gt;=DATE(1996,7,1),"")</f>
        <v>Q2</v>
      </c>
    </row>
    <row r="1958" spans="1:28" ht="14.4" x14ac:dyDescent="0.55000000000000004">
      <c r="A1958" t="str">
        <f>VLOOKUP(L1958,Customers!$A$2:$B$92,2,FALSE)</f>
        <v>Wilman Kala</v>
      </c>
      <c r="B1958" t="str">
        <f>VLOOKUP(L1958,Customers!$A$2:$C$92,3,TRUE)</f>
        <v>Matti Karttunen</v>
      </c>
      <c r="C1958" t="str">
        <f t="shared" si="511"/>
        <v>Matti</v>
      </c>
      <c r="D1958" s="8" t="str">
        <f t="shared" si="512"/>
        <v>Karttunen</v>
      </c>
      <c r="E1958" s="8" t="str">
        <f t="shared" si="513"/>
        <v>Karttunen, Matti</v>
      </c>
      <c r="F1958" s="8" t="str">
        <f t="shared" si="514"/>
        <v>Karttunen, Matti</v>
      </c>
      <c r="G1958" s="8" t="str">
        <f t="shared" si="515"/>
        <v>not an outlier</v>
      </c>
      <c r="H1958" s="8" t="str">
        <f t="shared" si="516"/>
        <v>Not</v>
      </c>
      <c r="I1958" s="8" t="str">
        <f t="shared" si="526"/>
        <v>no</v>
      </c>
      <c r="J1958" s="10" t="str">
        <f t="shared" si="517"/>
        <v>no</v>
      </c>
      <c r="K1958" s="10" t="str">
        <f t="shared" si="518"/>
        <v>no</v>
      </c>
      <c r="L1958" t="s">
        <v>661</v>
      </c>
      <c r="M1958">
        <v>11005</v>
      </c>
      <c r="N1958">
        <v>1</v>
      </c>
      <c r="O1958" t="s">
        <v>735</v>
      </c>
      <c r="P1958" t="str">
        <f t="shared" si="519"/>
        <v>WILMK_11005_Chai</v>
      </c>
      <c r="Q1958" t="str">
        <f t="shared" si="520"/>
        <v>11005</v>
      </c>
      <c r="R1958" t="str">
        <f t="shared" si="521"/>
        <v>11005</v>
      </c>
      <c r="S1958" t="str">
        <f t="shared" si="522"/>
        <v>Chai</v>
      </c>
      <c r="T1958">
        <v>18</v>
      </c>
      <c r="U1958">
        <v>2</v>
      </c>
      <c r="V1958">
        <v>0</v>
      </c>
      <c r="W1958">
        <f t="shared" si="523"/>
        <v>36</v>
      </c>
      <c r="X1958" t="str">
        <f t="shared" si="524"/>
        <v>yes</v>
      </c>
      <c r="Y1958" s="2">
        <v>35192</v>
      </c>
      <c r="Z1958" t="str">
        <f t="shared" si="510"/>
        <v/>
      </c>
      <c r="AA1958" t="str">
        <f t="shared" si="525"/>
        <v>2nd Q 1996</v>
      </c>
      <c r="AB1958" t="str" cm="1">
        <f t="array" ref="AB1958">_xlfn.IFS(Y1958&lt;DATE(1996,1,1),"",Y1958&lt;DATE(1996,4,1),"Q1",Y1958&lt;DATE(1996,7,1),"Q2",Y1958&gt;=DATE(1996,7,1),"")</f>
        <v>Q2</v>
      </c>
    </row>
    <row r="1959" spans="1:28" ht="14.4" x14ac:dyDescent="0.55000000000000004">
      <c r="A1959" t="str">
        <f>VLOOKUP(L1959,Customers!$A$2:$B$92,2,FALSE)</f>
        <v>Wilman Kala</v>
      </c>
      <c r="B1959" t="str">
        <f>VLOOKUP(L1959,Customers!$A$2:$C$92,3,TRUE)</f>
        <v>Matti Karttunen</v>
      </c>
      <c r="C1959" t="str">
        <f t="shared" si="511"/>
        <v>Matti</v>
      </c>
      <c r="D1959" s="8" t="str">
        <f t="shared" si="512"/>
        <v>Karttunen</v>
      </c>
      <c r="E1959" s="8" t="str">
        <f t="shared" si="513"/>
        <v>Karttunen, Matti</v>
      </c>
      <c r="F1959" s="8" t="str">
        <f t="shared" si="514"/>
        <v>Karttunen, Matti</v>
      </c>
      <c r="G1959" s="8" t="str">
        <f t="shared" si="515"/>
        <v>not an outlier</v>
      </c>
      <c r="H1959" s="8" t="str">
        <f t="shared" si="516"/>
        <v>Not</v>
      </c>
      <c r="I1959" s="8" t="str">
        <f t="shared" si="526"/>
        <v>no</v>
      </c>
      <c r="J1959" s="10" t="str">
        <f t="shared" si="517"/>
        <v>no</v>
      </c>
      <c r="K1959" s="10" t="str">
        <f t="shared" si="518"/>
        <v>no</v>
      </c>
      <c r="L1959" t="s">
        <v>661</v>
      </c>
      <c r="M1959">
        <v>11005</v>
      </c>
      <c r="N1959">
        <v>59</v>
      </c>
      <c r="O1959" t="s">
        <v>704</v>
      </c>
      <c r="P1959" t="str">
        <f t="shared" si="519"/>
        <v>WILMK_11005_Raclette Courdavault</v>
      </c>
      <c r="Q1959" t="str">
        <f t="shared" si="520"/>
        <v>11005</v>
      </c>
      <c r="R1959" t="str">
        <f t="shared" si="521"/>
        <v>11005</v>
      </c>
      <c r="S1959" t="str">
        <f t="shared" si="522"/>
        <v>Raclette Courdavault</v>
      </c>
      <c r="T1959">
        <v>55</v>
      </c>
      <c r="U1959">
        <v>10</v>
      </c>
      <c r="V1959">
        <v>0</v>
      </c>
      <c r="W1959">
        <f t="shared" si="523"/>
        <v>550</v>
      </c>
      <c r="X1959" t="str">
        <f t="shared" si="524"/>
        <v>yes</v>
      </c>
      <c r="Y1959" s="2">
        <v>35192</v>
      </c>
      <c r="Z1959" t="str">
        <f t="shared" si="510"/>
        <v/>
      </c>
      <c r="AA1959" t="str">
        <f t="shared" si="525"/>
        <v>2nd Q 1996</v>
      </c>
      <c r="AB1959" t="str" cm="1">
        <f t="array" ref="AB1959">_xlfn.IFS(Y1959&lt;DATE(1996,1,1),"",Y1959&lt;DATE(1996,4,1),"Q1",Y1959&lt;DATE(1996,7,1),"Q2",Y1959&gt;=DATE(1996,7,1),"")</f>
        <v>Q2</v>
      </c>
    </row>
    <row r="1960" spans="1:28" ht="14.4" x14ac:dyDescent="0.55000000000000004">
      <c r="A1960" t="str">
        <f>VLOOKUP(L1960,Customers!$A$2:$B$92,2,FALSE)</f>
        <v>Great Lakes Food Market</v>
      </c>
      <c r="B1960" t="str">
        <f>VLOOKUP(L1960,Customers!$A$2:$C$92,3,TRUE)</f>
        <v>Howard Snyder</v>
      </c>
      <c r="C1960" t="str">
        <f t="shared" si="511"/>
        <v>Howard</v>
      </c>
      <c r="D1960" s="8" t="str">
        <f t="shared" si="512"/>
        <v>Snyder</v>
      </c>
      <c r="E1960" s="8" t="str">
        <f t="shared" si="513"/>
        <v>Snyder, Howard</v>
      </c>
      <c r="F1960" s="8" t="str">
        <f t="shared" si="514"/>
        <v>Snyder, Howard</v>
      </c>
      <c r="G1960" s="8" t="str">
        <f t="shared" si="515"/>
        <v>not an outlier</v>
      </c>
      <c r="H1960" s="8" t="str">
        <f t="shared" si="516"/>
        <v>Not</v>
      </c>
      <c r="I1960" s="8" t="str">
        <f t="shared" si="526"/>
        <v>no</v>
      </c>
      <c r="J1960" s="10" t="str">
        <f t="shared" si="517"/>
        <v>no</v>
      </c>
      <c r="K1960" s="10" t="str">
        <f t="shared" si="518"/>
        <v>no</v>
      </c>
      <c r="L1960" t="s">
        <v>247</v>
      </c>
      <c r="M1960">
        <v>11006</v>
      </c>
      <c r="N1960">
        <v>1</v>
      </c>
      <c r="O1960" t="s">
        <v>735</v>
      </c>
      <c r="P1960" t="str">
        <f t="shared" si="519"/>
        <v>GREAL_11006_Chai</v>
      </c>
      <c r="Q1960" t="str">
        <f t="shared" si="520"/>
        <v>11006</v>
      </c>
      <c r="R1960" t="str">
        <f t="shared" si="521"/>
        <v>11006</v>
      </c>
      <c r="S1960" t="str">
        <f t="shared" si="522"/>
        <v>Chai</v>
      </c>
      <c r="T1960">
        <v>18</v>
      </c>
      <c r="U1960">
        <v>8</v>
      </c>
      <c r="V1960">
        <v>0</v>
      </c>
      <c r="W1960">
        <f t="shared" si="523"/>
        <v>144</v>
      </c>
      <c r="X1960" t="str">
        <f t="shared" si="524"/>
        <v>yes</v>
      </c>
      <c r="Y1960" s="2">
        <v>35192</v>
      </c>
      <c r="Z1960" t="str">
        <f t="shared" si="510"/>
        <v/>
      </c>
      <c r="AA1960" t="str">
        <f t="shared" si="525"/>
        <v>2nd Q 1996</v>
      </c>
      <c r="AB1960" t="str" cm="1">
        <f t="array" ref="AB1960">_xlfn.IFS(Y1960&lt;DATE(1996,1,1),"",Y1960&lt;DATE(1996,4,1),"Q1",Y1960&lt;DATE(1996,7,1),"Q2",Y1960&gt;=DATE(1996,7,1),"")</f>
        <v>Q2</v>
      </c>
    </row>
    <row r="1961" spans="1:28" ht="14.4" x14ac:dyDescent="0.55000000000000004">
      <c r="A1961" t="str">
        <f>VLOOKUP(L1961,Customers!$A$2:$B$92,2,FALSE)</f>
        <v>Great Lakes Food Market</v>
      </c>
      <c r="B1961" t="str">
        <f>VLOOKUP(L1961,Customers!$A$2:$C$92,3,TRUE)</f>
        <v>Howard Snyder</v>
      </c>
      <c r="C1961" t="str">
        <f t="shared" si="511"/>
        <v>Howard</v>
      </c>
      <c r="D1961" s="8" t="str">
        <f t="shared" si="512"/>
        <v>Snyder</v>
      </c>
      <c r="E1961" s="8" t="str">
        <f t="shared" si="513"/>
        <v>Snyder, Howard</v>
      </c>
      <c r="F1961" s="8" t="str">
        <f t="shared" si="514"/>
        <v>Snyder, Howard</v>
      </c>
      <c r="G1961" s="8" t="str">
        <f t="shared" si="515"/>
        <v>not an outlier</v>
      </c>
      <c r="H1961" s="8" t="str">
        <f t="shared" si="516"/>
        <v>Not</v>
      </c>
      <c r="I1961" s="8" t="str">
        <f t="shared" si="526"/>
        <v>no</v>
      </c>
      <c r="J1961" s="10" t="str">
        <f t="shared" si="517"/>
        <v>no</v>
      </c>
      <c r="K1961" s="10" t="str">
        <f t="shared" si="518"/>
        <v>no</v>
      </c>
      <c r="L1961" t="s">
        <v>247</v>
      </c>
      <c r="M1961">
        <v>11006</v>
      </c>
      <c r="N1961">
        <v>29</v>
      </c>
      <c r="O1961" t="s">
        <v>722</v>
      </c>
      <c r="P1961" t="str">
        <f t="shared" si="519"/>
        <v>GREAL_11006_Thüringer Rostbratwurst</v>
      </c>
      <c r="Q1961" t="str">
        <f t="shared" si="520"/>
        <v>11006</v>
      </c>
      <c r="R1961" t="str">
        <f t="shared" si="521"/>
        <v>11006</v>
      </c>
      <c r="S1961" t="str">
        <f t="shared" si="522"/>
        <v>Thüringer Rostbratwurst</v>
      </c>
      <c r="T1961">
        <v>123.79</v>
      </c>
      <c r="U1961">
        <v>2</v>
      </c>
      <c r="V1961">
        <v>0.25</v>
      </c>
      <c r="W1961">
        <f t="shared" si="523"/>
        <v>185.685</v>
      </c>
      <c r="X1961" t="str">
        <f t="shared" si="524"/>
        <v>yes</v>
      </c>
      <c r="Y1961" s="2">
        <v>35192</v>
      </c>
      <c r="Z1961" t="str">
        <f t="shared" si="510"/>
        <v/>
      </c>
      <c r="AA1961" t="str">
        <f t="shared" si="525"/>
        <v>2nd Q 1996</v>
      </c>
      <c r="AB1961" t="str" cm="1">
        <f t="array" ref="AB1961">_xlfn.IFS(Y1961&lt;DATE(1996,1,1),"",Y1961&lt;DATE(1996,4,1),"Q1",Y1961&lt;DATE(1996,7,1),"Q2",Y1961&gt;=DATE(1996,7,1),"")</f>
        <v>Q2</v>
      </c>
    </row>
    <row r="1962" spans="1:28" ht="14.4" x14ac:dyDescent="0.55000000000000004">
      <c r="A1962" t="str">
        <f>VLOOKUP(L1962,Customers!$A$2:$B$92,2,FALSE)</f>
        <v>Princesa Isabel Vinhos</v>
      </c>
      <c r="B1962" t="str">
        <f>VLOOKUP(L1962,Customers!$A$2:$C$92,3,TRUE)</f>
        <v>Isabel de Castro</v>
      </c>
      <c r="C1962" t="str">
        <f t="shared" si="511"/>
        <v>Isabel</v>
      </c>
      <c r="D1962" s="8" t="str">
        <f t="shared" si="512"/>
        <v>de Castro</v>
      </c>
      <c r="E1962" s="8" t="str">
        <f t="shared" si="513"/>
        <v>de Castro, Isabel</v>
      </c>
      <c r="F1962" s="8" t="str">
        <f t="shared" si="514"/>
        <v>de Castro, Isabel</v>
      </c>
      <c r="G1962" s="8" t="str">
        <f t="shared" si="515"/>
        <v>not an outlier</v>
      </c>
      <c r="H1962" s="8" t="str">
        <f t="shared" si="516"/>
        <v>Not</v>
      </c>
      <c r="I1962" s="8" t="str">
        <f t="shared" si="526"/>
        <v>no</v>
      </c>
      <c r="J1962" s="10" t="str">
        <f t="shared" si="517"/>
        <v>no</v>
      </c>
      <c r="K1962" s="10" t="str">
        <f t="shared" si="518"/>
        <v>no</v>
      </c>
      <c r="L1962" t="s">
        <v>457</v>
      </c>
      <c r="M1962">
        <v>11007</v>
      </c>
      <c r="N1962">
        <v>8</v>
      </c>
      <c r="O1962" t="s">
        <v>754</v>
      </c>
      <c r="P1962" t="str">
        <f t="shared" si="519"/>
        <v>PRINI_11007_Northwoods Cranberry Sauce</v>
      </c>
      <c r="Q1962" t="str">
        <f t="shared" si="520"/>
        <v>11007</v>
      </c>
      <c r="R1962" t="str">
        <f t="shared" si="521"/>
        <v>11007</v>
      </c>
      <c r="S1962" t="str">
        <f t="shared" si="522"/>
        <v>Northwoods Cranberry Sauce</v>
      </c>
      <c r="T1962">
        <v>40</v>
      </c>
      <c r="U1962">
        <v>30</v>
      </c>
      <c r="V1962">
        <v>0</v>
      </c>
      <c r="W1962">
        <f t="shared" si="523"/>
        <v>1200</v>
      </c>
      <c r="X1962" t="str">
        <f t="shared" si="524"/>
        <v>yes</v>
      </c>
      <c r="Y1962" s="2">
        <v>35193</v>
      </c>
      <c r="Z1962" t="str">
        <f t="shared" si="510"/>
        <v/>
      </c>
      <c r="AA1962" t="str">
        <f t="shared" si="525"/>
        <v>2nd Q 1996</v>
      </c>
      <c r="AB1962" t="str" cm="1">
        <f t="array" ref="AB1962">_xlfn.IFS(Y1962&lt;DATE(1996,1,1),"",Y1962&lt;DATE(1996,4,1),"Q1",Y1962&lt;DATE(1996,7,1),"Q2",Y1962&gt;=DATE(1996,7,1),"")</f>
        <v>Q2</v>
      </c>
    </row>
    <row r="1963" spans="1:28" ht="14.4" x14ac:dyDescent="0.55000000000000004">
      <c r="A1963" t="str">
        <f>VLOOKUP(L1963,Customers!$A$2:$B$92,2,FALSE)</f>
        <v>Princesa Isabel Vinhos</v>
      </c>
      <c r="B1963" t="str">
        <f>VLOOKUP(L1963,Customers!$A$2:$C$92,3,TRUE)</f>
        <v>Isabel de Castro</v>
      </c>
      <c r="C1963" t="str">
        <f t="shared" si="511"/>
        <v>Isabel</v>
      </c>
      <c r="D1963" s="8" t="str">
        <f t="shared" si="512"/>
        <v>de Castro</v>
      </c>
      <c r="E1963" s="8" t="str">
        <f t="shared" si="513"/>
        <v>de Castro, Isabel</v>
      </c>
      <c r="F1963" s="8" t="str">
        <f t="shared" si="514"/>
        <v>de Castro, Isabel</v>
      </c>
      <c r="G1963" s="8" t="str">
        <f t="shared" si="515"/>
        <v>not an outlier</v>
      </c>
      <c r="H1963" s="8" t="str">
        <f t="shared" si="516"/>
        <v>Not</v>
      </c>
      <c r="I1963" s="8" t="str">
        <f t="shared" si="526"/>
        <v>no</v>
      </c>
      <c r="J1963" s="10" t="str">
        <f t="shared" si="517"/>
        <v>no</v>
      </c>
      <c r="K1963" s="10" t="str">
        <f t="shared" si="518"/>
        <v>no</v>
      </c>
      <c r="L1963" t="s">
        <v>457</v>
      </c>
      <c r="M1963">
        <v>11007</v>
      </c>
      <c r="N1963">
        <v>29</v>
      </c>
      <c r="O1963" t="s">
        <v>722</v>
      </c>
      <c r="P1963" t="str">
        <f t="shared" si="519"/>
        <v>PRINI_11007_Thüringer Rostbratwurst</v>
      </c>
      <c r="Q1963" t="str">
        <f t="shared" si="520"/>
        <v>11007</v>
      </c>
      <c r="R1963" t="str">
        <f t="shared" si="521"/>
        <v>11007</v>
      </c>
      <c r="S1963" t="str">
        <f t="shared" si="522"/>
        <v>Thüringer Rostbratwurst</v>
      </c>
      <c r="T1963">
        <v>123.79</v>
      </c>
      <c r="U1963">
        <v>10</v>
      </c>
      <c r="V1963">
        <v>0</v>
      </c>
      <c r="W1963">
        <f t="shared" si="523"/>
        <v>1237.9000000000001</v>
      </c>
      <c r="X1963" t="str">
        <f t="shared" si="524"/>
        <v>yes</v>
      </c>
      <c r="Y1963" s="2">
        <v>35193</v>
      </c>
      <c r="Z1963" t="str">
        <f t="shared" si="510"/>
        <v/>
      </c>
      <c r="AA1963" t="str">
        <f t="shared" si="525"/>
        <v>2nd Q 1996</v>
      </c>
      <c r="AB1963" t="str" cm="1">
        <f t="array" ref="AB1963">_xlfn.IFS(Y1963&lt;DATE(1996,1,1),"",Y1963&lt;DATE(1996,4,1),"Q1",Y1963&lt;DATE(1996,7,1),"Q2",Y1963&gt;=DATE(1996,7,1),"")</f>
        <v>Q2</v>
      </c>
    </row>
    <row r="1964" spans="1:28" ht="14.4" x14ac:dyDescent="0.55000000000000004">
      <c r="A1964" t="str">
        <f>VLOOKUP(L1964,Customers!$A$2:$B$92,2,FALSE)</f>
        <v>Princesa Isabel Vinhos</v>
      </c>
      <c r="B1964" t="str">
        <f>VLOOKUP(L1964,Customers!$A$2:$C$92,3,TRUE)</f>
        <v>Isabel de Castro</v>
      </c>
      <c r="C1964" t="str">
        <f t="shared" si="511"/>
        <v>Isabel</v>
      </c>
      <c r="D1964" s="8" t="str">
        <f t="shared" si="512"/>
        <v>de Castro</v>
      </c>
      <c r="E1964" s="8" t="str">
        <f t="shared" si="513"/>
        <v>de Castro, Isabel</v>
      </c>
      <c r="F1964" s="8" t="str">
        <f t="shared" si="514"/>
        <v>de Castro, Isabel</v>
      </c>
      <c r="G1964" s="8" t="str">
        <f t="shared" si="515"/>
        <v>not an outlier</v>
      </c>
      <c r="H1964" s="8" t="str">
        <f t="shared" si="516"/>
        <v>Not</v>
      </c>
      <c r="I1964" s="8" t="str">
        <f t="shared" si="526"/>
        <v>no</v>
      </c>
      <c r="J1964" s="10" t="str">
        <f t="shared" si="517"/>
        <v>no</v>
      </c>
      <c r="K1964" s="10" t="str">
        <f t="shared" si="518"/>
        <v>no</v>
      </c>
      <c r="L1964" t="s">
        <v>457</v>
      </c>
      <c r="M1964">
        <v>11007</v>
      </c>
      <c r="N1964">
        <v>42</v>
      </c>
      <c r="O1964" t="s">
        <v>684</v>
      </c>
      <c r="P1964" t="str">
        <f t="shared" si="519"/>
        <v>PRINI_11007_Singaporean Hokkien Fried Mee</v>
      </c>
      <c r="Q1964" t="str">
        <f t="shared" si="520"/>
        <v>11007</v>
      </c>
      <c r="R1964" t="str">
        <f t="shared" si="521"/>
        <v>11007</v>
      </c>
      <c r="S1964" t="str">
        <f t="shared" si="522"/>
        <v>Singaporean Hokkien Fried Mee</v>
      </c>
      <c r="T1964">
        <v>14</v>
      </c>
      <c r="U1964">
        <v>14</v>
      </c>
      <c r="V1964">
        <v>0</v>
      </c>
      <c r="W1964">
        <f t="shared" si="523"/>
        <v>196</v>
      </c>
      <c r="X1964" t="str">
        <f t="shared" si="524"/>
        <v>yes</v>
      </c>
      <c r="Y1964" s="2">
        <v>35193</v>
      </c>
      <c r="Z1964" t="str">
        <f t="shared" si="510"/>
        <v/>
      </c>
      <c r="AA1964" t="str">
        <f t="shared" si="525"/>
        <v>2nd Q 1996</v>
      </c>
      <c r="AB1964" t="str" cm="1">
        <f t="array" ref="AB1964">_xlfn.IFS(Y1964&lt;DATE(1996,1,1),"",Y1964&lt;DATE(1996,4,1),"Q1",Y1964&lt;DATE(1996,7,1),"Q2",Y1964&gt;=DATE(1996,7,1),"")</f>
        <v>Q2</v>
      </c>
    </row>
    <row r="1965" spans="1:28" ht="14.4" x14ac:dyDescent="0.55000000000000004">
      <c r="A1965" t="str">
        <f>VLOOKUP(L1965,Customers!$A$2:$B$92,2,FALSE)</f>
        <v>Ernst Handel</v>
      </c>
      <c r="B1965" t="str">
        <f>VLOOKUP(L1965,Customers!$A$2:$C$92,3,TRUE)</f>
        <v>Roland Mendel</v>
      </c>
      <c r="C1965" t="str">
        <f t="shared" si="511"/>
        <v>Roland</v>
      </c>
      <c r="D1965" s="8" t="str">
        <f t="shared" si="512"/>
        <v>Mendel</v>
      </c>
      <c r="E1965" s="8" t="str">
        <f t="shared" si="513"/>
        <v>Mendel, Roland</v>
      </c>
      <c r="F1965" s="8" t="str">
        <f t="shared" si="514"/>
        <v>Mendel, Roland</v>
      </c>
      <c r="G1965" s="8" t="str">
        <f t="shared" si="515"/>
        <v>not an outlier</v>
      </c>
      <c r="H1965" s="8" t="str">
        <f t="shared" si="516"/>
        <v>moderate</v>
      </c>
      <c r="I1965" s="8" t="str">
        <f t="shared" si="526"/>
        <v>no</v>
      </c>
      <c r="J1965" s="10" t="str">
        <f t="shared" si="517"/>
        <v>no</v>
      </c>
      <c r="K1965" s="10" t="str">
        <f t="shared" si="518"/>
        <v>moderate</v>
      </c>
      <c r="L1965" t="s">
        <v>161</v>
      </c>
      <c r="M1965">
        <v>11008</v>
      </c>
      <c r="N1965">
        <v>28</v>
      </c>
      <c r="O1965" t="s">
        <v>727</v>
      </c>
      <c r="P1965" t="str">
        <f t="shared" si="519"/>
        <v>ERNSH_11008_Rössle Sauerkraut</v>
      </c>
      <c r="Q1965" t="str">
        <f t="shared" si="520"/>
        <v>11008</v>
      </c>
      <c r="R1965" t="str">
        <f t="shared" si="521"/>
        <v>11008</v>
      </c>
      <c r="S1965" t="str">
        <f t="shared" si="522"/>
        <v>Rössle Sauerkraut</v>
      </c>
      <c r="T1965">
        <v>45.6</v>
      </c>
      <c r="U1965">
        <v>70</v>
      </c>
      <c r="V1965">
        <v>0.05</v>
      </c>
      <c r="W1965">
        <f t="shared" si="523"/>
        <v>3032.3999999999996</v>
      </c>
      <c r="X1965" t="str">
        <f t="shared" si="524"/>
        <v>yes</v>
      </c>
      <c r="Y1965" s="2">
        <v>35193</v>
      </c>
      <c r="Z1965" t="str">
        <f t="shared" si="510"/>
        <v/>
      </c>
      <c r="AA1965" t="str">
        <f t="shared" si="525"/>
        <v>2nd Q 1996</v>
      </c>
      <c r="AB1965" t="str" cm="1">
        <f t="array" ref="AB1965">_xlfn.IFS(Y1965&lt;DATE(1996,1,1),"",Y1965&lt;DATE(1996,4,1),"Q1",Y1965&lt;DATE(1996,7,1),"Q2",Y1965&gt;=DATE(1996,7,1),"")</f>
        <v>Q2</v>
      </c>
    </row>
    <row r="1966" spans="1:28" ht="14.4" x14ac:dyDescent="0.55000000000000004">
      <c r="A1966" t="str">
        <f>VLOOKUP(L1966,Customers!$A$2:$B$92,2,FALSE)</f>
        <v>Ernst Handel</v>
      </c>
      <c r="B1966" t="str">
        <f>VLOOKUP(L1966,Customers!$A$2:$C$92,3,TRUE)</f>
        <v>Roland Mendel</v>
      </c>
      <c r="C1966" t="str">
        <f t="shared" si="511"/>
        <v>Roland</v>
      </c>
      <c r="D1966" s="8" t="str">
        <f t="shared" si="512"/>
        <v>Mendel</v>
      </c>
      <c r="E1966" s="8" t="str">
        <f t="shared" si="513"/>
        <v>Mendel, Roland</v>
      </c>
      <c r="F1966" s="8" t="str">
        <f t="shared" si="514"/>
        <v>Mendel, Roland</v>
      </c>
      <c r="G1966" s="8" t="str">
        <f t="shared" si="515"/>
        <v>not an outlier</v>
      </c>
      <c r="H1966" s="8" t="str">
        <f t="shared" si="516"/>
        <v>Not</v>
      </c>
      <c r="I1966" s="8" t="str">
        <f t="shared" si="526"/>
        <v>no</v>
      </c>
      <c r="J1966" s="10" t="str">
        <f t="shared" si="517"/>
        <v>no</v>
      </c>
      <c r="K1966" s="10" t="str">
        <f t="shared" si="518"/>
        <v>no</v>
      </c>
      <c r="L1966" t="s">
        <v>161</v>
      </c>
      <c r="M1966">
        <v>11008</v>
      </c>
      <c r="N1966">
        <v>34</v>
      </c>
      <c r="O1966" t="s">
        <v>736</v>
      </c>
      <c r="P1966" t="str">
        <f t="shared" si="519"/>
        <v>ERNSH_11008_Sasquatch Ale</v>
      </c>
      <c r="Q1966" t="str">
        <f t="shared" si="520"/>
        <v>11008</v>
      </c>
      <c r="R1966" t="str">
        <f t="shared" si="521"/>
        <v>11008</v>
      </c>
      <c r="S1966" t="str">
        <f t="shared" si="522"/>
        <v>Sasquatch Ale</v>
      </c>
      <c r="T1966">
        <v>14</v>
      </c>
      <c r="U1966">
        <v>90</v>
      </c>
      <c r="V1966">
        <v>0.05</v>
      </c>
      <c r="W1966">
        <f t="shared" si="523"/>
        <v>1197</v>
      </c>
      <c r="X1966" t="str">
        <f t="shared" si="524"/>
        <v>yes</v>
      </c>
      <c r="Y1966" s="2">
        <v>35193</v>
      </c>
      <c r="Z1966" t="str">
        <f t="shared" si="510"/>
        <v/>
      </c>
      <c r="AA1966" t="str">
        <f t="shared" si="525"/>
        <v>2nd Q 1996</v>
      </c>
      <c r="AB1966" t="str" cm="1">
        <f t="array" ref="AB1966">_xlfn.IFS(Y1966&lt;DATE(1996,1,1),"",Y1966&lt;DATE(1996,4,1),"Q1",Y1966&lt;DATE(1996,7,1),"Q2",Y1966&gt;=DATE(1996,7,1),"")</f>
        <v>Q2</v>
      </c>
    </row>
    <row r="1967" spans="1:28" ht="14.4" x14ac:dyDescent="0.55000000000000004">
      <c r="A1967" t="str">
        <f>VLOOKUP(L1967,Customers!$A$2:$B$92,2,FALSE)</f>
        <v>Ernst Handel</v>
      </c>
      <c r="B1967" t="str">
        <f>VLOOKUP(L1967,Customers!$A$2:$C$92,3,TRUE)</f>
        <v>Roland Mendel</v>
      </c>
      <c r="C1967" t="str">
        <f t="shared" si="511"/>
        <v>Roland</v>
      </c>
      <c r="D1967" s="8" t="str">
        <f t="shared" si="512"/>
        <v>Mendel</v>
      </c>
      <c r="E1967" s="8" t="str">
        <f t="shared" si="513"/>
        <v>Mendel, Roland</v>
      </c>
      <c r="F1967" s="8" t="str">
        <f t="shared" si="514"/>
        <v>Mendel, Roland</v>
      </c>
      <c r="G1967" s="8" t="str">
        <f t="shared" si="515"/>
        <v>not an outlier</v>
      </c>
      <c r="H1967" s="8" t="str">
        <f t="shared" si="516"/>
        <v>Not</v>
      </c>
      <c r="I1967" s="8" t="str">
        <f t="shared" si="526"/>
        <v>no</v>
      </c>
      <c r="J1967" s="10" t="str">
        <f t="shared" si="517"/>
        <v>no</v>
      </c>
      <c r="K1967" s="10" t="str">
        <f t="shared" si="518"/>
        <v>no</v>
      </c>
      <c r="L1967" t="s">
        <v>161</v>
      </c>
      <c r="M1967">
        <v>11008</v>
      </c>
      <c r="N1967">
        <v>71</v>
      </c>
      <c r="O1967" t="s">
        <v>725</v>
      </c>
      <c r="P1967" t="str">
        <f t="shared" si="519"/>
        <v>ERNSH_11008_Fløtemysost</v>
      </c>
      <c r="Q1967" t="str">
        <f t="shared" si="520"/>
        <v>11008</v>
      </c>
      <c r="R1967" t="str">
        <f t="shared" si="521"/>
        <v>11008</v>
      </c>
      <c r="S1967" t="str">
        <f t="shared" si="522"/>
        <v>Fløtemysost</v>
      </c>
      <c r="T1967">
        <v>21.5</v>
      </c>
      <c r="U1967">
        <v>21</v>
      </c>
      <c r="V1967">
        <v>0</v>
      </c>
      <c r="W1967">
        <f t="shared" si="523"/>
        <v>451.5</v>
      </c>
      <c r="X1967" t="str">
        <f t="shared" si="524"/>
        <v>yes</v>
      </c>
      <c r="Y1967" s="2">
        <v>35193</v>
      </c>
      <c r="Z1967" t="str">
        <f t="shared" si="510"/>
        <v/>
      </c>
      <c r="AA1967" t="str">
        <f t="shared" si="525"/>
        <v>2nd Q 1996</v>
      </c>
      <c r="AB1967" t="str" cm="1">
        <f t="array" ref="AB1967">_xlfn.IFS(Y1967&lt;DATE(1996,1,1),"",Y1967&lt;DATE(1996,4,1),"Q1",Y1967&lt;DATE(1996,7,1),"Q2",Y1967&gt;=DATE(1996,7,1),"")</f>
        <v>Q2</v>
      </c>
    </row>
    <row r="1968" spans="1:28" ht="14.4" x14ac:dyDescent="0.55000000000000004">
      <c r="A1968" t="str">
        <f>VLOOKUP(L1968,Customers!$A$2:$B$92,2,FALSE)</f>
        <v>Godos Cocina Típica</v>
      </c>
      <c r="B1968" t="str">
        <f>VLOOKUP(L1968,Customers!$A$2:$C$92,3,TRUE)</f>
        <v>José Pedro Freyre</v>
      </c>
      <c r="C1968" t="str">
        <f t="shared" si="511"/>
        <v>José</v>
      </c>
      <c r="D1968" s="8" t="str">
        <f t="shared" si="512"/>
        <v>Pedro Freyre</v>
      </c>
      <c r="E1968" s="8" t="str">
        <f t="shared" si="513"/>
        <v>Pedro Freyre, José</v>
      </c>
      <c r="F1968" s="8" t="str">
        <f t="shared" si="514"/>
        <v>Pedro Freyre, José</v>
      </c>
      <c r="G1968" s="8" t="str">
        <f t="shared" si="515"/>
        <v>not an outlier</v>
      </c>
      <c r="H1968" s="8" t="str">
        <f t="shared" si="516"/>
        <v>Not</v>
      </c>
      <c r="I1968" s="8" t="str">
        <f t="shared" si="526"/>
        <v>no</v>
      </c>
      <c r="J1968" s="10" t="str">
        <f t="shared" si="517"/>
        <v>no</v>
      </c>
      <c r="K1968" s="10" t="str">
        <f t="shared" si="518"/>
        <v>no</v>
      </c>
      <c r="L1968" t="s">
        <v>234</v>
      </c>
      <c r="M1968">
        <v>11009</v>
      </c>
      <c r="N1968">
        <v>24</v>
      </c>
      <c r="O1968" t="s">
        <v>698</v>
      </c>
      <c r="P1968" t="str">
        <f t="shared" si="519"/>
        <v>GODOS_11009_Guaraná Fantástica</v>
      </c>
      <c r="Q1968" t="str">
        <f t="shared" si="520"/>
        <v>11009</v>
      </c>
      <c r="R1968" t="str">
        <f t="shared" si="521"/>
        <v>11009</v>
      </c>
      <c r="S1968" t="str">
        <f t="shared" si="522"/>
        <v>Guaraná Fantástica</v>
      </c>
      <c r="T1968">
        <v>4.5</v>
      </c>
      <c r="U1968">
        <v>12</v>
      </c>
      <c r="V1968">
        <v>0</v>
      </c>
      <c r="W1968">
        <f t="shared" si="523"/>
        <v>54</v>
      </c>
      <c r="X1968" t="str">
        <f t="shared" si="524"/>
        <v>yes</v>
      </c>
      <c r="Y1968" s="2">
        <v>35193</v>
      </c>
      <c r="Z1968" t="str">
        <f t="shared" si="510"/>
        <v/>
      </c>
      <c r="AA1968" t="str">
        <f t="shared" si="525"/>
        <v>2nd Q 1996</v>
      </c>
      <c r="AB1968" t="str" cm="1">
        <f t="array" ref="AB1968">_xlfn.IFS(Y1968&lt;DATE(1996,1,1),"",Y1968&lt;DATE(1996,4,1),"Q1",Y1968&lt;DATE(1996,7,1),"Q2",Y1968&gt;=DATE(1996,7,1),"")</f>
        <v>Q2</v>
      </c>
    </row>
    <row r="1969" spans="1:28" ht="14.4" x14ac:dyDescent="0.55000000000000004">
      <c r="A1969" t="str">
        <f>VLOOKUP(L1969,Customers!$A$2:$B$92,2,FALSE)</f>
        <v>Godos Cocina Típica</v>
      </c>
      <c r="B1969" t="str">
        <f>VLOOKUP(L1969,Customers!$A$2:$C$92,3,TRUE)</f>
        <v>José Pedro Freyre</v>
      </c>
      <c r="C1969" t="str">
        <f t="shared" si="511"/>
        <v>José</v>
      </c>
      <c r="D1969" s="8" t="str">
        <f t="shared" si="512"/>
        <v>Pedro Freyre</v>
      </c>
      <c r="E1969" s="8" t="str">
        <f t="shared" si="513"/>
        <v>Pedro Freyre, José</v>
      </c>
      <c r="F1969" s="8" t="str">
        <f t="shared" si="514"/>
        <v>Pedro Freyre, José</v>
      </c>
      <c r="G1969" s="8" t="str">
        <f t="shared" si="515"/>
        <v>not an outlier</v>
      </c>
      <c r="H1969" s="8" t="str">
        <f t="shared" si="516"/>
        <v>Not</v>
      </c>
      <c r="I1969" s="8" t="str">
        <f t="shared" si="526"/>
        <v>no</v>
      </c>
      <c r="J1969" s="10" t="str">
        <f t="shared" si="517"/>
        <v>no</v>
      </c>
      <c r="K1969" s="10" t="str">
        <f t="shared" si="518"/>
        <v>no</v>
      </c>
      <c r="L1969" t="s">
        <v>234</v>
      </c>
      <c r="M1969">
        <v>11009</v>
      </c>
      <c r="N1969">
        <v>36</v>
      </c>
      <c r="O1969" t="s">
        <v>703</v>
      </c>
      <c r="P1969" t="str">
        <f t="shared" si="519"/>
        <v>GODOS_11009_Inlagd Sill</v>
      </c>
      <c r="Q1969" t="str">
        <f t="shared" si="520"/>
        <v>11009</v>
      </c>
      <c r="R1969" t="str">
        <f t="shared" si="521"/>
        <v>11009</v>
      </c>
      <c r="S1969" t="str">
        <f t="shared" si="522"/>
        <v>Inlagd Sill</v>
      </c>
      <c r="T1969">
        <v>19</v>
      </c>
      <c r="U1969">
        <v>18</v>
      </c>
      <c r="V1969">
        <v>0.25</v>
      </c>
      <c r="W1969">
        <f t="shared" si="523"/>
        <v>256.5</v>
      </c>
      <c r="X1969" t="str">
        <f t="shared" si="524"/>
        <v>yes</v>
      </c>
      <c r="Y1969" s="2">
        <v>35193</v>
      </c>
      <c r="Z1969" t="str">
        <f t="shared" si="510"/>
        <v/>
      </c>
      <c r="AA1969" t="str">
        <f t="shared" si="525"/>
        <v>2nd Q 1996</v>
      </c>
      <c r="AB1969" t="str" cm="1">
        <f t="array" ref="AB1969">_xlfn.IFS(Y1969&lt;DATE(1996,1,1),"",Y1969&lt;DATE(1996,4,1),"Q1",Y1969&lt;DATE(1996,7,1),"Q2",Y1969&gt;=DATE(1996,7,1),"")</f>
        <v>Q2</v>
      </c>
    </row>
    <row r="1970" spans="1:28" ht="14.4" x14ac:dyDescent="0.55000000000000004">
      <c r="A1970" t="str">
        <f>VLOOKUP(L1970,Customers!$A$2:$B$92,2,FALSE)</f>
        <v>Godos Cocina Típica</v>
      </c>
      <c r="B1970" t="str">
        <f>VLOOKUP(L1970,Customers!$A$2:$C$92,3,TRUE)</f>
        <v>José Pedro Freyre</v>
      </c>
      <c r="C1970" t="str">
        <f t="shared" si="511"/>
        <v>José</v>
      </c>
      <c r="D1970" s="8" t="str">
        <f t="shared" si="512"/>
        <v>Pedro Freyre</v>
      </c>
      <c r="E1970" s="8" t="str">
        <f t="shared" si="513"/>
        <v>Pedro Freyre, José</v>
      </c>
      <c r="F1970" s="8" t="str">
        <f t="shared" si="514"/>
        <v>Pedro Freyre, José</v>
      </c>
      <c r="G1970" s="8" t="str">
        <f t="shared" si="515"/>
        <v>not an outlier</v>
      </c>
      <c r="H1970" s="8" t="str">
        <f t="shared" si="516"/>
        <v>Not</v>
      </c>
      <c r="I1970" s="8" t="str">
        <f t="shared" si="526"/>
        <v>no</v>
      </c>
      <c r="J1970" s="10" t="str">
        <f t="shared" si="517"/>
        <v>no</v>
      </c>
      <c r="K1970" s="10" t="str">
        <f t="shared" si="518"/>
        <v>no</v>
      </c>
      <c r="L1970" t="s">
        <v>234</v>
      </c>
      <c r="M1970">
        <v>11009</v>
      </c>
      <c r="N1970">
        <v>60</v>
      </c>
      <c r="O1970" t="s">
        <v>694</v>
      </c>
      <c r="P1970" t="str">
        <f t="shared" si="519"/>
        <v>GODOS_11009_Camembert Pierrot</v>
      </c>
      <c r="Q1970" t="str">
        <f t="shared" si="520"/>
        <v>11009</v>
      </c>
      <c r="R1970" t="str">
        <f t="shared" si="521"/>
        <v>11009</v>
      </c>
      <c r="S1970" t="str">
        <f t="shared" si="522"/>
        <v>Camembert Pierrot</v>
      </c>
      <c r="T1970">
        <v>34</v>
      </c>
      <c r="U1970">
        <v>9</v>
      </c>
      <c r="V1970">
        <v>0</v>
      </c>
      <c r="W1970">
        <f t="shared" si="523"/>
        <v>306</v>
      </c>
      <c r="X1970" t="str">
        <f t="shared" si="524"/>
        <v>yes</v>
      </c>
      <c r="Y1970" s="2">
        <v>35193</v>
      </c>
      <c r="Z1970" t="str">
        <f t="shared" ref="Z1970:Z2033" si="527">IF(Y1970&gt;=DATE(1996,1,1), IF(Y1970&lt;DATE(1996,4,1),"1st Q 1996",""),"")</f>
        <v/>
      </c>
      <c r="AA1970" t="str">
        <f t="shared" si="525"/>
        <v>2nd Q 1996</v>
      </c>
      <c r="AB1970" t="str" cm="1">
        <f t="array" ref="AB1970">_xlfn.IFS(Y1970&lt;DATE(1996,1,1),"",Y1970&lt;DATE(1996,4,1),"Q1",Y1970&lt;DATE(1996,7,1),"Q2",Y1970&gt;=DATE(1996,7,1),"")</f>
        <v>Q2</v>
      </c>
    </row>
    <row r="1971" spans="1:28" ht="14.4" x14ac:dyDescent="0.55000000000000004">
      <c r="A1971" t="str">
        <f>VLOOKUP(L1971,Customers!$A$2:$B$92,2,FALSE)</f>
        <v>Reggiani Caseifici</v>
      </c>
      <c r="B1971" t="str">
        <f>VLOOKUP(L1971,Customers!$A$2:$C$92,3,TRUE)</f>
        <v>Maurizio Moroni</v>
      </c>
      <c r="C1971" t="str">
        <f t="shared" si="511"/>
        <v>Maurizio</v>
      </c>
      <c r="D1971" s="8" t="str">
        <f t="shared" si="512"/>
        <v>Moroni</v>
      </c>
      <c r="E1971" s="8" t="str">
        <f t="shared" si="513"/>
        <v>Moroni, Maurizio</v>
      </c>
      <c r="F1971" s="8" t="str">
        <f t="shared" si="514"/>
        <v>Moroni, Maurizio</v>
      </c>
      <c r="G1971" s="8" t="str">
        <f t="shared" si="515"/>
        <v>not an outlier</v>
      </c>
      <c r="H1971" s="8" t="str">
        <f t="shared" si="516"/>
        <v>Not</v>
      </c>
      <c r="I1971" s="8" t="str">
        <f t="shared" si="526"/>
        <v>no</v>
      </c>
      <c r="J1971" s="10" t="str">
        <f t="shared" si="517"/>
        <v>no</v>
      </c>
      <c r="K1971" s="10" t="str">
        <f t="shared" si="518"/>
        <v>no</v>
      </c>
      <c r="L1971" t="s">
        <v>496</v>
      </c>
      <c r="M1971">
        <v>11010</v>
      </c>
      <c r="N1971">
        <v>7</v>
      </c>
      <c r="O1971" t="s">
        <v>715</v>
      </c>
      <c r="P1971" t="str">
        <f t="shared" si="519"/>
        <v>REGGC_11010_Uncle Bob's Organic Dried Pears</v>
      </c>
      <c r="Q1971" t="str">
        <f t="shared" si="520"/>
        <v>11010</v>
      </c>
      <c r="R1971" t="str">
        <f t="shared" si="521"/>
        <v>11010</v>
      </c>
      <c r="S1971" t="str">
        <f t="shared" si="522"/>
        <v>Uncle Bob's Organic Dried Pears</v>
      </c>
      <c r="T1971">
        <v>30</v>
      </c>
      <c r="U1971">
        <v>20</v>
      </c>
      <c r="V1971">
        <v>0</v>
      </c>
      <c r="W1971">
        <f t="shared" si="523"/>
        <v>600</v>
      </c>
      <c r="X1971" t="str">
        <f t="shared" si="524"/>
        <v>yes</v>
      </c>
      <c r="Y1971" s="2">
        <v>35194</v>
      </c>
      <c r="Z1971" t="str">
        <f t="shared" si="527"/>
        <v/>
      </c>
      <c r="AA1971" t="str">
        <f t="shared" si="525"/>
        <v>2nd Q 1996</v>
      </c>
      <c r="AB1971" t="str" cm="1">
        <f t="array" ref="AB1971">_xlfn.IFS(Y1971&lt;DATE(1996,1,1),"",Y1971&lt;DATE(1996,4,1),"Q1",Y1971&lt;DATE(1996,7,1),"Q2",Y1971&gt;=DATE(1996,7,1),"")</f>
        <v>Q2</v>
      </c>
    </row>
    <row r="1972" spans="1:28" ht="14.4" x14ac:dyDescent="0.55000000000000004">
      <c r="A1972" t="str">
        <f>VLOOKUP(L1972,Customers!$A$2:$B$92,2,FALSE)</f>
        <v>Reggiani Caseifici</v>
      </c>
      <c r="B1972" t="str">
        <f>VLOOKUP(L1972,Customers!$A$2:$C$92,3,TRUE)</f>
        <v>Maurizio Moroni</v>
      </c>
      <c r="C1972" t="str">
        <f t="shared" si="511"/>
        <v>Maurizio</v>
      </c>
      <c r="D1972" s="8" t="str">
        <f t="shared" si="512"/>
        <v>Moroni</v>
      </c>
      <c r="E1972" s="8" t="str">
        <f t="shared" si="513"/>
        <v>Moroni, Maurizio</v>
      </c>
      <c r="F1972" s="8" t="str">
        <f t="shared" si="514"/>
        <v>Moroni, Maurizio</v>
      </c>
      <c r="G1972" s="8" t="str">
        <f t="shared" si="515"/>
        <v>not an outlier</v>
      </c>
      <c r="H1972" s="8" t="str">
        <f t="shared" si="516"/>
        <v>Not</v>
      </c>
      <c r="I1972" s="8" t="str">
        <f t="shared" si="526"/>
        <v>no</v>
      </c>
      <c r="J1972" s="10" t="str">
        <f t="shared" si="517"/>
        <v>no</v>
      </c>
      <c r="K1972" s="10" t="str">
        <f t="shared" si="518"/>
        <v>no</v>
      </c>
      <c r="L1972" t="s">
        <v>496</v>
      </c>
      <c r="M1972">
        <v>11010</v>
      </c>
      <c r="N1972">
        <v>24</v>
      </c>
      <c r="O1972" t="s">
        <v>698</v>
      </c>
      <c r="P1972" t="str">
        <f t="shared" si="519"/>
        <v>REGGC_11010_Guaraná Fantástica</v>
      </c>
      <c r="Q1972" t="str">
        <f t="shared" si="520"/>
        <v>11010</v>
      </c>
      <c r="R1972" t="str">
        <f t="shared" si="521"/>
        <v>11010</v>
      </c>
      <c r="S1972" t="str">
        <f t="shared" si="522"/>
        <v>Guaraná Fantástica</v>
      </c>
      <c r="T1972">
        <v>4.5</v>
      </c>
      <c r="U1972">
        <v>10</v>
      </c>
      <c r="V1972">
        <v>0</v>
      </c>
      <c r="W1972">
        <f t="shared" si="523"/>
        <v>45</v>
      </c>
      <c r="X1972" t="str">
        <f t="shared" si="524"/>
        <v>yes</v>
      </c>
      <c r="Y1972" s="2">
        <v>35194</v>
      </c>
      <c r="Z1972" t="str">
        <f t="shared" si="527"/>
        <v/>
      </c>
      <c r="AA1972" t="str">
        <f t="shared" si="525"/>
        <v>2nd Q 1996</v>
      </c>
      <c r="AB1972" t="str" cm="1">
        <f t="array" ref="AB1972">_xlfn.IFS(Y1972&lt;DATE(1996,1,1),"",Y1972&lt;DATE(1996,4,1),"Q1",Y1972&lt;DATE(1996,7,1),"Q2",Y1972&gt;=DATE(1996,7,1),"")</f>
        <v>Q2</v>
      </c>
    </row>
    <row r="1973" spans="1:28" ht="14.4" x14ac:dyDescent="0.55000000000000004">
      <c r="A1973" t="str">
        <f>VLOOKUP(L1973,Customers!$A$2:$B$92,2,FALSE)</f>
        <v>Alfreds Futterkiste</v>
      </c>
      <c r="B1973" t="str">
        <f>VLOOKUP(L1973,Customers!$A$2:$C$92,3,TRUE)</f>
        <v>Maria Anders</v>
      </c>
      <c r="C1973" t="str">
        <f t="shared" si="511"/>
        <v>Maria</v>
      </c>
      <c r="D1973" s="8" t="str">
        <f t="shared" si="512"/>
        <v>Anders</v>
      </c>
      <c r="E1973" s="8" t="str">
        <f t="shared" si="513"/>
        <v>Anders, Maria</v>
      </c>
      <c r="F1973" s="8" t="str">
        <f t="shared" si="514"/>
        <v>Anders, Maria</v>
      </c>
      <c r="G1973" s="8" t="str">
        <f t="shared" si="515"/>
        <v>not an outlier</v>
      </c>
      <c r="H1973" s="8" t="str">
        <f t="shared" si="516"/>
        <v>Not</v>
      </c>
      <c r="I1973" s="8" t="str">
        <f t="shared" si="526"/>
        <v>no</v>
      </c>
      <c r="J1973" s="10" t="str">
        <f t="shared" si="517"/>
        <v>no</v>
      </c>
      <c r="K1973" s="10" t="str">
        <f t="shared" si="518"/>
        <v>no</v>
      </c>
      <c r="L1973" t="s">
        <v>11</v>
      </c>
      <c r="M1973">
        <v>11011</v>
      </c>
      <c r="N1973">
        <v>58</v>
      </c>
      <c r="O1973" t="s">
        <v>747</v>
      </c>
      <c r="P1973" t="str">
        <f t="shared" si="519"/>
        <v>ALFKI_11011_Escargots de Bourgogne</v>
      </c>
      <c r="Q1973" t="str">
        <f t="shared" si="520"/>
        <v>11011</v>
      </c>
      <c r="R1973" t="str">
        <f t="shared" si="521"/>
        <v>11011</v>
      </c>
      <c r="S1973" t="str">
        <f t="shared" si="522"/>
        <v>Escargots de Bourgogne</v>
      </c>
      <c r="T1973">
        <v>13.25</v>
      </c>
      <c r="U1973">
        <v>40</v>
      </c>
      <c r="V1973">
        <v>0.05</v>
      </c>
      <c r="W1973">
        <f t="shared" si="523"/>
        <v>503.5</v>
      </c>
      <c r="X1973" t="str">
        <f t="shared" si="524"/>
        <v>yes</v>
      </c>
      <c r="Y1973" s="2">
        <v>35194</v>
      </c>
      <c r="Z1973" t="str">
        <f t="shared" si="527"/>
        <v/>
      </c>
      <c r="AA1973" t="str">
        <f t="shared" si="525"/>
        <v>2nd Q 1996</v>
      </c>
      <c r="AB1973" t="str" cm="1">
        <f t="array" ref="AB1973">_xlfn.IFS(Y1973&lt;DATE(1996,1,1),"",Y1973&lt;DATE(1996,4,1),"Q1",Y1973&lt;DATE(1996,7,1),"Q2",Y1973&gt;=DATE(1996,7,1),"")</f>
        <v>Q2</v>
      </c>
    </row>
    <row r="1974" spans="1:28" ht="14.4" x14ac:dyDescent="0.55000000000000004">
      <c r="A1974" t="str">
        <f>VLOOKUP(L1974,Customers!$A$2:$B$92,2,FALSE)</f>
        <v>Alfreds Futterkiste</v>
      </c>
      <c r="B1974" t="str">
        <f>VLOOKUP(L1974,Customers!$A$2:$C$92,3,TRUE)</f>
        <v>Maria Anders</v>
      </c>
      <c r="C1974" t="str">
        <f t="shared" si="511"/>
        <v>Maria</v>
      </c>
      <c r="D1974" s="8" t="str">
        <f t="shared" si="512"/>
        <v>Anders</v>
      </c>
      <c r="E1974" s="8" t="str">
        <f t="shared" si="513"/>
        <v>Anders, Maria</v>
      </c>
      <c r="F1974" s="8" t="str">
        <f t="shared" si="514"/>
        <v>Anders, Maria</v>
      </c>
      <c r="G1974" s="8" t="str">
        <f t="shared" si="515"/>
        <v>not an outlier</v>
      </c>
      <c r="H1974" s="8" t="str">
        <f t="shared" si="516"/>
        <v>Not</v>
      </c>
      <c r="I1974" s="8" t="str">
        <f t="shared" si="526"/>
        <v>no</v>
      </c>
      <c r="J1974" s="10" t="str">
        <f t="shared" si="517"/>
        <v>no</v>
      </c>
      <c r="K1974" s="10" t="str">
        <f t="shared" si="518"/>
        <v>no</v>
      </c>
      <c r="L1974" t="s">
        <v>11</v>
      </c>
      <c r="M1974">
        <v>11011</v>
      </c>
      <c r="N1974">
        <v>71</v>
      </c>
      <c r="O1974" t="s">
        <v>725</v>
      </c>
      <c r="P1974" t="str">
        <f t="shared" si="519"/>
        <v>ALFKI_11011_Fløtemysost</v>
      </c>
      <c r="Q1974" t="str">
        <f t="shared" si="520"/>
        <v>11011</v>
      </c>
      <c r="R1974" t="str">
        <f t="shared" si="521"/>
        <v>11011</v>
      </c>
      <c r="S1974" t="str">
        <f t="shared" si="522"/>
        <v>Fløtemysost</v>
      </c>
      <c r="T1974">
        <v>21.5</v>
      </c>
      <c r="U1974">
        <v>20</v>
      </c>
      <c r="V1974">
        <v>0</v>
      </c>
      <c r="W1974">
        <f t="shared" si="523"/>
        <v>430</v>
      </c>
      <c r="X1974" t="str">
        <f t="shared" si="524"/>
        <v>yes</v>
      </c>
      <c r="Y1974" s="2">
        <v>35194</v>
      </c>
      <c r="Z1974" t="str">
        <f t="shared" si="527"/>
        <v/>
      </c>
      <c r="AA1974" t="str">
        <f t="shared" si="525"/>
        <v>2nd Q 1996</v>
      </c>
      <c r="AB1974" t="str" cm="1">
        <f t="array" ref="AB1974">_xlfn.IFS(Y1974&lt;DATE(1996,1,1),"",Y1974&lt;DATE(1996,4,1),"Q1",Y1974&lt;DATE(1996,7,1),"Q2",Y1974&gt;=DATE(1996,7,1),"")</f>
        <v>Q2</v>
      </c>
    </row>
    <row r="1975" spans="1:28" ht="14.4" x14ac:dyDescent="0.55000000000000004">
      <c r="A1975" t="str">
        <f>VLOOKUP(L1975,Customers!$A$2:$B$92,2,FALSE)</f>
        <v>Frankenversand</v>
      </c>
      <c r="B1975" t="str">
        <f>VLOOKUP(L1975,Customers!$A$2:$C$92,3,TRUE)</f>
        <v>Peter Franken</v>
      </c>
      <c r="C1975" t="str">
        <f t="shared" si="511"/>
        <v>Peter</v>
      </c>
      <c r="D1975" s="8" t="str">
        <f t="shared" si="512"/>
        <v>Franken</v>
      </c>
      <c r="E1975" s="8" t="str">
        <f t="shared" si="513"/>
        <v>Franken, Peter</v>
      </c>
      <c r="F1975" s="8" t="str">
        <f t="shared" si="514"/>
        <v>Franken, Peter</v>
      </c>
      <c r="G1975" s="8" t="str">
        <f t="shared" si="515"/>
        <v>not an outlier</v>
      </c>
      <c r="H1975" s="8" t="str">
        <f t="shared" si="516"/>
        <v>Not</v>
      </c>
      <c r="I1975" s="8" t="str">
        <f t="shared" si="526"/>
        <v>no</v>
      </c>
      <c r="J1975" s="10" t="str">
        <f t="shared" si="517"/>
        <v>no</v>
      </c>
      <c r="K1975" s="10" t="str">
        <f t="shared" si="518"/>
        <v>no</v>
      </c>
      <c r="L1975" t="s">
        <v>198</v>
      </c>
      <c r="M1975">
        <v>11012</v>
      </c>
      <c r="N1975">
        <v>19</v>
      </c>
      <c r="O1975" t="s">
        <v>732</v>
      </c>
      <c r="P1975" t="str">
        <f t="shared" si="519"/>
        <v>FRANK_11012_Teatime Chocolate Biscuits</v>
      </c>
      <c r="Q1975" t="str">
        <f t="shared" si="520"/>
        <v>11012</v>
      </c>
      <c r="R1975" t="str">
        <f t="shared" si="521"/>
        <v>11012</v>
      </c>
      <c r="S1975" t="str">
        <f t="shared" si="522"/>
        <v>Teatime Chocolate Biscuits</v>
      </c>
      <c r="T1975">
        <v>9.1999999999999993</v>
      </c>
      <c r="U1975">
        <v>50</v>
      </c>
      <c r="V1975">
        <v>0.05</v>
      </c>
      <c r="W1975">
        <f t="shared" si="523"/>
        <v>436.99999999999994</v>
      </c>
      <c r="X1975" t="str">
        <f t="shared" si="524"/>
        <v>yes</v>
      </c>
      <c r="Y1975" s="2">
        <v>35194</v>
      </c>
      <c r="Z1975" t="str">
        <f t="shared" si="527"/>
        <v/>
      </c>
      <c r="AA1975" t="str">
        <f t="shared" si="525"/>
        <v>2nd Q 1996</v>
      </c>
      <c r="AB1975" t="str" cm="1">
        <f t="array" ref="AB1975">_xlfn.IFS(Y1975&lt;DATE(1996,1,1),"",Y1975&lt;DATE(1996,4,1),"Q1",Y1975&lt;DATE(1996,7,1),"Q2",Y1975&gt;=DATE(1996,7,1),"")</f>
        <v>Q2</v>
      </c>
    </row>
    <row r="1976" spans="1:28" ht="14.4" x14ac:dyDescent="0.55000000000000004">
      <c r="A1976" t="str">
        <f>VLOOKUP(L1976,Customers!$A$2:$B$92,2,FALSE)</f>
        <v>Frankenversand</v>
      </c>
      <c r="B1976" t="str">
        <f>VLOOKUP(L1976,Customers!$A$2:$C$92,3,TRUE)</f>
        <v>Peter Franken</v>
      </c>
      <c r="C1976" t="str">
        <f t="shared" si="511"/>
        <v>Peter</v>
      </c>
      <c r="D1976" s="8" t="str">
        <f t="shared" si="512"/>
        <v>Franken</v>
      </c>
      <c r="E1976" s="8" t="str">
        <f t="shared" si="513"/>
        <v>Franken, Peter</v>
      </c>
      <c r="F1976" s="8" t="str">
        <f t="shared" si="514"/>
        <v>Franken, Peter</v>
      </c>
      <c r="G1976" s="8" t="str">
        <f t="shared" si="515"/>
        <v>not an outlier</v>
      </c>
      <c r="H1976" s="8" t="str">
        <f t="shared" si="516"/>
        <v>Not</v>
      </c>
      <c r="I1976" s="8" t="str">
        <f t="shared" si="526"/>
        <v>no</v>
      </c>
      <c r="J1976" s="10" t="str">
        <f t="shared" si="517"/>
        <v>no</v>
      </c>
      <c r="K1976" s="10" t="str">
        <f t="shared" si="518"/>
        <v>no</v>
      </c>
      <c r="L1976" t="s">
        <v>198</v>
      </c>
      <c r="M1976">
        <v>11012</v>
      </c>
      <c r="N1976">
        <v>60</v>
      </c>
      <c r="O1976" t="s">
        <v>694</v>
      </c>
      <c r="P1976" t="str">
        <f t="shared" si="519"/>
        <v>FRANK_11012_Camembert Pierrot</v>
      </c>
      <c r="Q1976" t="str">
        <f t="shared" si="520"/>
        <v>11012</v>
      </c>
      <c r="R1976" t="str">
        <f t="shared" si="521"/>
        <v>11012</v>
      </c>
      <c r="S1976" t="str">
        <f t="shared" si="522"/>
        <v>Camembert Pierrot</v>
      </c>
      <c r="T1976">
        <v>34</v>
      </c>
      <c r="U1976">
        <v>36</v>
      </c>
      <c r="V1976">
        <v>0.05</v>
      </c>
      <c r="W1976">
        <f t="shared" si="523"/>
        <v>1162.8</v>
      </c>
      <c r="X1976" t="str">
        <f t="shared" si="524"/>
        <v>yes</v>
      </c>
      <c r="Y1976" s="2">
        <v>35194</v>
      </c>
      <c r="Z1976" t="str">
        <f t="shared" si="527"/>
        <v/>
      </c>
      <c r="AA1976" t="str">
        <f t="shared" si="525"/>
        <v>2nd Q 1996</v>
      </c>
      <c r="AB1976" t="str" cm="1">
        <f t="array" ref="AB1976">_xlfn.IFS(Y1976&lt;DATE(1996,1,1),"",Y1976&lt;DATE(1996,4,1),"Q1",Y1976&lt;DATE(1996,7,1),"Q2",Y1976&gt;=DATE(1996,7,1),"")</f>
        <v>Q2</v>
      </c>
    </row>
    <row r="1977" spans="1:28" ht="14.4" x14ac:dyDescent="0.55000000000000004">
      <c r="A1977" t="str">
        <f>VLOOKUP(L1977,Customers!$A$2:$B$92,2,FALSE)</f>
        <v>Frankenversand</v>
      </c>
      <c r="B1977" t="str">
        <f>VLOOKUP(L1977,Customers!$A$2:$C$92,3,TRUE)</f>
        <v>Peter Franken</v>
      </c>
      <c r="C1977" t="str">
        <f t="shared" si="511"/>
        <v>Peter</v>
      </c>
      <c r="D1977" s="8" t="str">
        <f t="shared" si="512"/>
        <v>Franken</v>
      </c>
      <c r="E1977" s="8" t="str">
        <f t="shared" si="513"/>
        <v>Franken, Peter</v>
      </c>
      <c r="F1977" s="8" t="str">
        <f t="shared" si="514"/>
        <v>Franken, Peter</v>
      </c>
      <c r="G1977" s="8" t="str">
        <f t="shared" si="515"/>
        <v>not an outlier</v>
      </c>
      <c r="H1977" s="8" t="str">
        <f t="shared" si="516"/>
        <v>Not</v>
      </c>
      <c r="I1977" s="8" t="str">
        <f t="shared" si="526"/>
        <v>no</v>
      </c>
      <c r="J1977" s="10" t="str">
        <f t="shared" si="517"/>
        <v>no</v>
      </c>
      <c r="K1977" s="10" t="str">
        <f t="shared" si="518"/>
        <v>no</v>
      </c>
      <c r="L1977" t="s">
        <v>198</v>
      </c>
      <c r="M1977">
        <v>11012</v>
      </c>
      <c r="N1977">
        <v>71</v>
      </c>
      <c r="O1977" t="s">
        <v>725</v>
      </c>
      <c r="P1977" t="str">
        <f t="shared" si="519"/>
        <v>FRANK_11012_Fløtemysost</v>
      </c>
      <c r="Q1977" t="str">
        <f t="shared" si="520"/>
        <v>11012</v>
      </c>
      <c r="R1977" t="str">
        <f t="shared" si="521"/>
        <v>11012</v>
      </c>
      <c r="S1977" t="str">
        <f t="shared" si="522"/>
        <v>Fløtemysost</v>
      </c>
      <c r="T1977">
        <v>21.5</v>
      </c>
      <c r="U1977">
        <v>60</v>
      </c>
      <c r="V1977">
        <v>0.05</v>
      </c>
      <c r="W1977">
        <f t="shared" si="523"/>
        <v>1225.5</v>
      </c>
      <c r="X1977" t="str">
        <f t="shared" si="524"/>
        <v>yes</v>
      </c>
      <c r="Y1977" s="2">
        <v>35194</v>
      </c>
      <c r="Z1977" t="str">
        <f t="shared" si="527"/>
        <v/>
      </c>
      <c r="AA1977" t="str">
        <f t="shared" si="525"/>
        <v>2nd Q 1996</v>
      </c>
      <c r="AB1977" t="str" cm="1">
        <f t="array" ref="AB1977">_xlfn.IFS(Y1977&lt;DATE(1996,1,1),"",Y1977&lt;DATE(1996,4,1),"Q1",Y1977&lt;DATE(1996,7,1),"Q2",Y1977&gt;=DATE(1996,7,1),"")</f>
        <v>Q2</v>
      </c>
    </row>
    <row r="1978" spans="1:28" ht="14.4" x14ac:dyDescent="0.55000000000000004">
      <c r="A1978" t="str">
        <f>VLOOKUP(L1978,Customers!$A$2:$B$92,2,FALSE)</f>
        <v>Romero y tomillo</v>
      </c>
      <c r="B1978" t="str">
        <f>VLOOKUP(L1978,Customers!$A$2:$C$92,3,TRUE)</f>
        <v>Alejandra Camino</v>
      </c>
      <c r="C1978" t="str">
        <f t="shared" si="511"/>
        <v>Alejandra</v>
      </c>
      <c r="D1978" s="8" t="str">
        <f t="shared" si="512"/>
        <v>Camino</v>
      </c>
      <c r="E1978" s="8" t="str">
        <f t="shared" si="513"/>
        <v>Camino, Alejandra</v>
      </c>
      <c r="F1978" s="8" t="str">
        <f t="shared" si="514"/>
        <v>Camino, Alejandra</v>
      </c>
      <c r="G1978" s="8" t="str">
        <f t="shared" si="515"/>
        <v>not an outlier</v>
      </c>
      <c r="H1978" s="8" t="str">
        <f t="shared" si="516"/>
        <v>Not</v>
      </c>
      <c r="I1978" s="8" t="str">
        <f t="shared" si="526"/>
        <v>no</v>
      </c>
      <c r="J1978" s="10" t="str">
        <f t="shared" si="517"/>
        <v>no</v>
      </c>
      <c r="K1978" s="10" t="str">
        <f t="shared" si="518"/>
        <v>no</v>
      </c>
      <c r="L1978" t="s">
        <v>515</v>
      </c>
      <c r="M1978">
        <v>11013</v>
      </c>
      <c r="N1978">
        <v>23</v>
      </c>
      <c r="O1978" t="s">
        <v>753</v>
      </c>
      <c r="P1978" t="str">
        <f t="shared" si="519"/>
        <v>ROMEY_11013_Tunnbröd</v>
      </c>
      <c r="Q1978" t="str">
        <f t="shared" si="520"/>
        <v>11013</v>
      </c>
      <c r="R1978" t="str">
        <f t="shared" si="521"/>
        <v>11013</v>
      </c>
      <c r="S1978" t="str">
        <f t="shared" si="522"/>
        <v>Tunnbröd</v>
      </c>
      <c r="T1978">
        <v>9</v>
      </c>
      <c r="U1978">
        <v>10</v>
      </c>
      <c r="V1978">
        <v>0</v>
      </c>
      <c r="W1978">
        <f t="shared" si="523"/>
        <v>90</v>
      </c>
      <c r="X1978" t="str">
        <f t="shared" si="524"/>
        <v>yes</v>
      </c>
      <c r="Y1978" s="2">
        <v>35194</v>
      </c>
      <c r="Z1978" t="str">
        <f t="shared" si="527"/>
        <v/>
      </c>
      <c r="AA1978" t="str">
        <f t="shared" si="525"/>
        <v>2nd Q 1996</v>
      </c>
      <c r="AB1978" t="str" cm="1">
        <f t="array" ref="AB1978">_xlfn.IFS(Y1978&lt;DATE(1996,1,1),"",Y1978&lt;DATE(1996,4,1),"Q1",Y1978&lt;DATE(1996,7,1),"Q2",Y1978&gt;=DATE(1996,7,1),"")</f>
        <v>Q2</v>
      </c>
    </row>
    <row r="1979" spans="1:28" ht="14.4" x14ac:dyDescent="0.55000000000000004">
      <c r="A1979" t="str">
        <f>VLOOKUP(L1979,Customers!$A$2:$B$92,2,FALSE)</f>
        <v>Romero y tomillo</v>
      </c>
      <c r="B1979" t="str">
        <f>VLOOKUP(L1979,Customers!$A$2:$C$92,3,TRUE)</f>
        <v>Alejandra Camino</v>
      </c>
      <c r="C1979" t="str">
        <f t="shared" si="511"/>
        <v>Alejandra</v>
      </c>
      <c r="D1979" s="8" t="str">
        <f t="shared" si="512"/>
        <v>Camino</v>
      </c>
      <c r="E1979" s="8" t="str">
        <f t="shared" si="513"/>
        <v>Camino, Alejandra</v>
      </c>
      <c r="F1979" s="8" t="str">
        <f t="shared" si="514"/>
        <v>Camino, Alejandra</v>
      </c>
      <c r="G1979" s="8" t="str">
        <f t="shared" si="515"/>
        <v>not an outlier</v>
      </c>
      <c r="H1979" s="8" t="str">
        <f t="shared" si="516"/>
        <v>Not</v>
      </c>
      <c r="I1979" s="8" t="str">
        <f t="shared" si="526"/>
        <v>no</v>
      </c>
      <c r="J1979" s="10" t="str">
        <f t="shared" si="517"/>
        <v>no</v>
      </c>
      <c r="K1979" s="10" t="str">
        <f t="shared" si="518"/>
        <v>no</v>
      </c>
      <c r="L1979" t="s">
        <v>515</v>
      </c>
      <c r="M1979">
        <v>11013</v>
      </c>
      <c r="N1979">
        <v>42</v>
      </c>
      <c r="O1979" t="s">
        <v>684</v>
      </c>
      <c r="P1979" t="str">
        <f t="shared" si="519"/>
        <v>ROMEY_11013_Singaporean Hokkien Fried Mee</v>
      </c>
      <c r="Q1979" t="str">
        <f t="shared" si="520"/>
        <v>11013</v>
      </c>
      <c r="R1979" t="str">
        <f t="shared" si="521"/>
        <v>11013</v>
      </c>
      <c r="S1979" t="str">
        <f t="shared" si="522"/>
        <v>Singaporean Hokkien Fried Mee</v>
      </c>
      <c r="T1979">
        <v>14</v>
      </c>
      <c r="U1979">
        <v>4</v>
      </c>
      <c r="V1979">
        <v>0</v>
      </c>
      <c r="W1979">
        <f t="shared" si="523"/>
        <v>56</v>
      </c>
      <c r="X1979" t="str">
        <f t="shared" si="524"/>
        <v>yes</v>
      </c>
      <c r="Y1979" s="2">
        <v>35194</v>
      </c>
      <c r="Z1979" t="str">
        <f t="shared" si="527"/>
        <v/>
      </c>
      <c r="AA1979" t="str">
        <f t="shared" si="525"/>
        <v>2nd Q 1996</v>
      </c>
      <c r="AB1979" t="str" cm="1">
        <f t="array" ref="AB1979">_xlfn.IFS(Y1979&lt;DATE(1996,1,1),"",Y1979&lt;DATE(1996,4,1),"Q1",Y1979&lt;DATE(1996,7,1),"Q2",Y1979&gt;=DATE(1996,7,1),"")</f>
        <v>Q2</v>
      </c>
    </row>
    <row r="1980" spans="1:28" ht="14.4" x14ac:dyDescent="0.55000000000000004">
      <c r="A1980" t="str">
        <f>VLOOKUP(L1980,Customers!$A$2:$B$92,2,FALSE)</f>
        <v>Romero y tomillo</v>
      </c>
      <c r="B1980" t="str">
        <f>VLOOKUP(L1980,Customers!$A$2:$C$92,3,TRUE)</f>
        <v>Alejandra Camino</v>
      </c>
      <c r="C1980" t="str">
        <f t="shared" si="511"/>
        <v>Alejandra</v>
      </c>
      <c r="D1980" s="8" t="str">
        <f t="shared" si="512"/>
        <v>Camino</v>
      </c>
      <c r="E1980" s="8" t="str">
        <f t="shared" si="513"/>
        <v>Camino, Alejandra</v>
      </c>
      <c r="F1980" s="8" t="str">
        <f t="shared" si="514"/>
        <v>Camino, Alejandra</v>
      </c>
      <c r="G1980" s="8" t="str">
        <f t="shared" si="515"/>
        <v>not an outlier</v>
      </c>
      <c r="H1980" s="8" t="str">
        <f t="shared" si="516"/>
        <v>Not</v>
      </c>
      <c r="I1980" s="8" t="str">
        <f t="shared" si="526"/>
        <v>no</v>
      </c>
      <c r="J1980" s="10" t="str">
        <f t="shared" si="517"/>
        <v>no</v>
      </c>
      <c r="K1980" s="10" t="str">
        <f t="shared" si="518"/>
        <v>no</v>
      </c>
      <c r="L1980" t="s">
        <v>515</v>
      </c>
      <c r="M1980">
        <v>11013</v>
      </c>
      <c r="N1980">
        <v>45</v>
      </c>
      <c r="O1980" t="s">
        <v>756</v>
      </c>
      <c r="P1980" t="str">
        <f t="shared" si="519"/>
        <v>ROMEY_11013_Røgede sild</v>
      </c>
      <c r="Q1980" t="str">
        <f t="shared" si="520"/>
        <v>11013</v>
      </c>
      <c r="R1980" t="str">
        <f t="shared" si="521"/>
        <v>11013</v>
      </c>
      <c r="S1980" t="str">
        <f t="shared" si="522"/>
        <v>Røgede sild</v>
      </c>
      <c r="T1980">
        <v>9.5</v>
      </c>
      <c r="U1980">
        <v>20</v>
      </c>
      <c r="V1980">
        <v>0</v>
      </c>
      <c r="W1980">
        <f t="shared" si="523"/>
        <v>190</v>
      </c>
      <c r="X1980" t="str">
        <f t="shared" si="524"/>
        <v>yes</v>
      </c>
      <c r="Y1980" s="2">
        <v>35194</v>
      </c>
      <c r="Z1980" t="str">
        <f t="shared" si="527"/>
        <v/>
      </c>
      <c r="AA1980" t="str">
        <f t="shared" si="525"/>
        <v>2nd Q 1996</v>
      </c>
      <c r="AB1980" t="str" cm="1">
        <f t="array" ref="AB1980">_xlfn.IFS(Y1980&lt;DATE(1996,1,1),"",Y1980&lt;DATE(1996,4,1),"Q1",Y1980&lt;DATE(1996,7,1),"Q2",Y1980&gt;=DATE(1996,7,1),"")</f>
        <v>Q2</v>
      </c>
    </row>
    <row r="1981" spans="1:28" ht="14.4" x14ac:dyDescent="0.55000000000000004">
      <c r="A1981" t="str">
        <f>VLOOKUP(L1981,Customers!$A$2:$B$92,2,FALSE)</f>
        <v>Romero y tomillo</v>
      </c>
      <c r="B1981" t="str">
        <f>VLOOKUP(L1981,Customers!$A$2:$C$92,3,TRUE)</f>
        <v>Alejandra Camino</v>
      </c>
      <c r="C1981" t="str">
        <f t="shared" si="511"/>
        <v>Alejandra</v>
      </c>
      <c r="D1981" s="8" t="str">
        <f t="shared" si="512"/>
        <v>Camino</v>
      </c>
      <c r="E1981" s="8" t="str">
        <f t="shared" si="513"/>
        <v>Camino, Alejandra</v>
      </c>
      <c r="F1981" s="8" t="str">
        <f t="shared" si="514"/>
        <v>Camino, Alejandra</v>
      </c>
      <c r="G1981" s="8" t="str">
        <f t="shared" si="515"/>
        <v>not an outlier</v>
      </c>
      <c r="H1981" s="8" t="str">
        <f t="shared" si="516"/>
        <v>Not</v>
      </c>
      <c r="I1981" s="8" t="str">
        <f t="shared" si="526"/>
        <v>no</v>
      </c>
      <c r="J1981" s="10" t="str">
        <f t="shared" si="517"/>
        <v>no</v>
      </c>
      <c r="K1981" s="10" t="str">
        <f t="shared" si="518"/>
        <v>no</v>
      </c>
      <c r="L1981" t="s">
        <v>515</v>
      </c>
      <c r="M1981">
        <v>11013</v>
      </c>
      <c r="N1981">
        <v>68</v>
      </c>
      <c r="O1981" t="s">
        <v>739</v>
      </c>
      <c r="P1981" t="str">
        <f t="shared" si="519"/>
        <v>ROMEY_11013_Scottish Longbreads</v>
      </c>
      <c r="Q1981" t="str">
        <f t="shared" si="520"/>
        <v>11013</v>
      </c>
      <c r="R1981" t="str">
        <f t="shared" si="521"/>
        <v>11013</v>
      </c>
      <c r="S1981" t="str">
        <f t="shared" si="522"/>
        <v>Scottish Longbreads</v>
      </c>
      <c r="T1981">
        <v>12.5</v>
      </c>
      <c r="U1981">
        <v>2</v>
      </c>
      <c r="V1981">
        <v>0</v>
      </c>
      <c r="W1981">
        <f t="shared" si="523"/>
        <v>25</v>
      </c>
      <c r="X1981" t="str">
        <f t="shared" si="524"/>
        <v>yes</v>
      </c>
      <c r="Y1981" s="2">
        <v>35194</v>
      </c>
      <c r="Z1981" t="str">
        <f t="shared" si="527"/>
        <v/>
      </c>
      <c r="AA1981" t="str">
        <f t="shared" si="525"/>
        <v>2nd Q 1996</v>
      </c>
      <c r="AB1981" t="str" cm="1">
        <f t="array" ref="AB1981">_xlfn.IFS(Y1981&lt;DATE(1996,1,1),"",Y1981&lt;DATE(1996,4,1),"Q1",Y1981&lt;DATE(1996,7,1),"Q2",Y1981&gt;=DATE(1996,7,1),"")</f>
        <v>Q2</v>
      </c>
    </row>
    <row r="1982" spans="1:28" ht="14.4" x14ac:dyDescent="0.55000000000000004">
      <c r="A1982" t="str">
        <f>VLOOKUP(L1982,Customers!$A$2:$B$92,2,FALSE)</f>
        <v>LINO-Delicateses</v>
      </c>
      <c r="B1982" t="str">
        <f>VLOOKUP(L1982,Customers!$A$2:$C$92,3,TRUE)</f>
        <v>Felipe Izquierdo</v>
      </c>
      <c r="C1982" t="str">
        <f t="shared" si="511"/>
        <v>Felipe</v>
      </c>
      <c r="D1982" s="8" t="str">
        <f t="shared" si="512"/>
        <v>Izquierdo</v>
      </c>
      <c r="E1982" s="8" t="str">
        <f t="shared" si="513"/>
        <v>Izquierdo, Felipe</v>
      </c>
      <c r="F1982" s="8" t="str">
        <f t="shared" si="514"/>
        <v>Izquierdo, Felipe</v>
      </c>
      <c r="G1982" s="8" t="str">
        <f t="shared" si="515"/>
        <v>not an outlier</v>
      </c>
      <c r="H1982" s="8" t="str">
        <f t="shared" si="516"/>
        <v>Not</v>
      </c>
      <c r="I1982" s="8" t="str">
        <f t="shared" si="526"/>
        <v>no</v>
      </c>
      <c r="J1982" s="10" t="str">
        <f t="shared" si="517"/>
        <v>no</v>
      </c>
      <c r="K1982" s="10" t="str">
        <f t="shared" si="518"/>
        <v>no</v>
      </c>
      <c r="L1982" t="s">
        <v>363</v>
      </c>
      <c r="M1982">
        <v>11014</v>
      </c>
      <c r="N1982">
        <v>41</v>
      </c>
      <c r="O1982" t="s">
        <v>688</v>
      </c>
      <c r="P1982" t="str">
        <f t="shared" si="519"/>
        <v>LINOD_11014_Jack's New England Clam Chowder</v>
      </c>
      <c r="Q1982" t="str">
        <f t="shared" si="520"/>
        <v>11014</v>
      </c>
      <c r="R1982" t="str">
        <f t="shared" si="521"/>
        <v>11014</v>
      </c>
      <c r="S1982" t="str">
        <f t="shared" si="522"/>
        <v>Jack's New England Clam Chowder</v>
      </c>
      <c r="T1982">
        <v>9.65</v>
      </c>
      <c r="U1982">
        <v>28</v>
      </c>
      <c r="V1982">
        <v>0.1</v>
      </c>
      <c r="W1982">
        <f t="shared" si="523"/>
        <v>243.18</v>
      </c>
      <c r="X1982" t="str">
        <f t="shared" si="524"/>
        <v>yes</v>
      </c>
      <c r="Y1982" s="2">
        <v>35195</v>
      </c>
      <c r="Z1982" t="str">
        <f t="shared" si="527"/>
        <v/>
      </c>
      <c r="AA1982" t="str">
        <f t="shared" si="525"/>
        <v>2nd Q 1996</v>
      </c>
      <c r="AB1982" t="str" cm="1">
        <f t="array" ref="AB1982">_xlfn.IFS(Y1982&lt;DATE(1996,1,1),"",Y1982&lt;DATE(1996,4,1),"Q1",Y1982&lt;DATE(1996,7,1),"Q2",Y1982&gt;=DATE(1996,7,1),"")</f>
        <v>Q2</v>
      </c>
    </row>
    <row r="1983" spans="1:28" ht="14.4" x14ac:dyDescent="0.55000000000000004">
      <c r="A1983" t="str">
        <f>VLOOKUP(L1983,Customers!$A$2:$B$92,2,FALSE)</f>
        <v>Santé Gourmet</v>
      </c>
      <c r="B1983" t="str">
        <f>VLOOKUP(L1983,Customers!$A$2:$C$92,3,TRUE)</f>
        <v>Jonas Bergulfsen</v>
      </c>
      <c r="C1983" t="str">
        <f t="shared" si="511"/>
        <v>Jonas</v>
      </c>
      <c r="D1983" s="8" t="str">
        <f t="shared" si="512"/>
        <v>Bergulfsen</v>
      </c>
      <c r="E1983" s="8" t="str">
        <f t="shared" si="513"/>
        <v>Bergulfsen, Jonas</v>
      </c>
      <c r="F1983" s="8" t="str">
        <f t="shared" si="514"/>
        <v>Bergulfsen, Jonas</v>
      </c>
      <c r="G1983" s="8" t="str">
        <f t="shared" si="515"/>
        <v>not an outlier</v>
      </c>
      <c r="H1983" s="8" t="str">
        <f t="shared" si="516"/>
        <v>Not</v>
      </c>
      <c r="I1983" s="8" t="str">
        <f t="shared" si="526"/>
        <v>no</v>
      </c>
      <c r="J1983" s="10" t="str">
        <f t="shared" si="517"/>
        <v>no</v>
      </c>
      <c r="K1983" s="10" t="str">
        <f t="shared" si="518"/>
        <v>no</v>
      </c>
      <c r="L1983" t="s">
        <v>521</v>
      </c>
      <c r="M1983">
        <v>11015</v>
      </c>
      <c r="N1983">
        <v>30</v>
      </c>
      <c r="O1983" t="s">
        <v>717</v>
      </c>
      <c r="P1983" t="str">
        <f t="shared" si="519"/>
        <v>SANTG_11015_Nord-Ost Matjeshering</v>
      </c>
      <c r="Q1983" t="str">
        <f t="shared" si="520"/>
        <v>11015</v>
      </c>
      <c r="R1983" t="str">
        <f t="shared" si="521"/>
        <v>11015</v>
      </c>
      <c r="S1983" t="str">
        <f t="shared" si="522"/>
        <v>Nord-Ost Matjeshering</v>
      </c>
      <c r="T1983">
        <v>25.89</v>
      </c>
      <c r="U1983">
        <v>15</v>
      </c>
      <c r="V1983">
        <v>0</v>
      </c>
      <c r="W1983">
        <f t="shared" si="523"/>
        <v>388.35</v>
      </c>
      <c r="X1983" t="str">
        <f t="shared" si="524"/>
        <v>yes</v>
      </c>
      <c r="Y1983" s="2">
        <v>35195</v>
      </c>
      <c r="Z1983" t="str">
        <f t="shared" si="527"/>
        <v/>
      </c>
      <c r="AA1983" t="str">
        <f t="shared" si="525"/>
        <v>2nd Q 1996</v>
      </c>
      <c r="AB1983" t="str" cm="1">
        <f t="array" ref="AB1983">_xlfn.IFS(Y1983&lt;DATE(1996,1,1),"",Y1983&lt;DATE(1996,4,1),"Q1",Y1983&lt;DATE(1996,7,1),"Q2",Y1983&gt;=DATE(1996,7,1),"")</f>
        <v>Q2</v>
      </c>
    </row>
    <row r="1984" spans="1:28" ht="14.4" x14ac:dyDescent="0.55000000000000004">
      <c r="A1984" t="str">
        <f>VLOOKUP(L1984,Customers!$A$2:$B$92,2,FALSE)</f>
        <v>Santé Gourmet</v>
      </c>
      <c r="B1984" t="str">
        <f>VLOOKUP(L1984,Customers!$A$2:$C$92,3,TRUE)</f>
        <v>Jonas Bergulfsen</v>
      </c>
      <c r="C1984" t="str">
        <f t="shared" si="511"/>
        <v>Jonas</v>
      </c>
      <c r="D1984" s="8" t="str">
        <f t="shared" si="512"/>
        <v>Bergulfsen</v>
      </c>
      <c r="E1984" s="8" t="str">
        <f t="shared" si="513"/>
        <v>Bergulfsen, Jonas</v>
      </c>
      <c r="F1984" s="8" t="str">
        <f t="shared" si="514"/>
        <v>Bergulfsen, Jonas</v>
      </c>
      <c r="G1984" s="8" t="str">
        <f t="shared" si="515"/>
        <v>not an outlier</v>
      </c>
      <c r="H1984" s="8" t="str">
        <f t="shared" si="516"/>
        <v>Not</v>
      </c>
      <c r="I1984" s="8" t="str">
        <f t="shared" si="526"/>
        <v>no</v>
      </c>
      <c r="J1984" s="10" t="str">
        <f t="shared" si="517"/>
        <v>no</v>
      </c>
      <c r="K1984" s="10" t="str">
        <f t="shared" si="518"/>
        <v>no</v>
      </c>
      <c r="L1984" t="s">
        <v>521</v>
      </c>
      <c r="M1984">
        <v>11015</v>
      </c>
      <c r="N1984">
        <v>77</v>
      </c>
      <c r="O1984" t="s">
        <v>706</v>
      </c>
      <c r="P1984" t="str">
        <f t="shared" si="519"/>
        <v>SANTG_11015_Original Frankfurter grüne Soße</v>
      </c>
      <c r="Q1984" t="str">
        <f t="shared" si="520"/>
        <v>11015</v>
      </c>
      <c r="R1984" t="str">
        <f t="shared" si="521"/>
        <v>11015</v>
      </c>
      <c r="S1984" t="str">
        <f t="shared" si="522"/>
        <v>Original Frankfurter grüne Soße</v>
      </c>
      <c r="T1984">
        <v>13</v>
      </c>
      <c r="U1984">
        <v>18</v>
      </c>
      <c r="V1984">
        <v>0</v>
      </c>
      <c r="W1984">
        <f t="shared" si="523"/>
        <v>234</v>
      </c>
      <c r="X1984" t="str">
        <f t="shared" si="524"/>
        <v>yes</v>
      </c>
      <c r="Y1984" s="2">
        <v>35195</v>
      </c>
      <c r="Z1984" t="str">
        <f t="shared" si="527"/>
        <v/>
      </c>
      <c r="AA1984" t="str">
        <f t="shared" si="525"/>
        <v>2nd Q 1996</v>
      </c>
      <c r="AB1984" t="str" cm="1">
        <f t="array" ref="AB1984">_xlfn.IFS(Y1984&lt;DATE(1996,1,1),"",Y1984&lt;DATE(1996,4,1),"Q1",Y1984&lt;DATE(1996,7,1),"Q2",Y1984&gt;=DATE(1996,7,1),"")</f>
        <v>Q2</v>
      </c>
    </row>
    <row r="1985" spans="1:28" ht="14.4" x14ac:dyDescent="0.55000000000000004">
      <c r="A1985" t="str">
        <f>VLOOKUP(L1985,Customers!$A$2:$B$92,2,FALSE)</f>
        <v>Around the Horn</v>
      </c>
      <c r="B1985" t="str">
        <f>VLOOKUP(L1985,Customers!$A$2:$C$92,3,TRUE)</f>
        <v>Thomas Hardy</v>
      </c>
      <c r="C1985" t="str">
        <f t="shared" si="511"/>
        <v>Thomas</v>
      </c>
      <c r="D1985" s="8" t="str">
        <f t="shared" si="512"/>
        <v>Hardy</v>
      </c>
      <c r="E1985" s="8" t="str">
        <f t="shared" si="513"/>
        <v>Hardy, Thomas</v>
      </c>
      <c r="F1985" s="8" t="str">
        <f t="shared" si="514"/>
        <v>Hardy, Thomas</v>
      </c>
      <c r="G1985" s="8" t="str">
        <f t="shared" si="515"/>
        <v>not an outlier</v>
      </c>
      <c r="H1985" s="8" t="str">
        <f t="shared" si="516"/>
        <v>Not</v>
      </c>
      <c r="I1985" s="8" t="str">
        <f t="shared" si="526"/>
        <v>no</v>
      </c>
      <c r="J1985" s="10" t="str">
        <f t="shared" si="517"/>
        <v>no</v>
      </c>
      <c r="K1985" s="10" t="str">
        <f t="shared" si="518"/>
        <v>no</v>
      </c>
      <c r="L1985" t="s">
        <v>34</v>
      </c>
      <c r="M1985">
        <v>11016</v>
      </c>
      <c r="N1985">
        <v>31</v>
      </c>
      <c r="O1985" t="s">
        <v>695</v>
      </c>
      <c r="P1985" t="str">
        <f t="shared" si="519"/>
        <v>AROUT_11016_Gorgonzola Telino</v>
      </c>
      <c r="Q1985" t="str">
        <f t="shared" si="520"/>
        <v>11016</v>
      </c>
      <c r="R1985" t="str">
        <f t="shared" si="521"/>
        <v>11016</v>
      </c>
      <c r="S1985" t="str">
        <f t="shared" si="522"/>
        <v>Gorgonzola Telino</v>
      </c>
      <c r="T1985">
        <v>12.5</v>
      </c>
      <c r="U1985">
        <v>15</v>
      </c>
      <c r="V1985">
        <v>0</v>
      </c>
      <c r="W1985">
        <f t="shared" si="523"/>
        <v>187.5</v>
      </c>
      <c r="X1985" t="str">
        <f t="shared" si="524"/>
        <v>yes</v>
      </c>
      <c r="Y1985" s="2">
        <v>35195</v>
      </c>
      <c r="Z1985" t="str">
        <f t="shared" si="527"/>
        <v/>
      </c>
      <c r="AA1985" t="str">
        <f t="shared" si="525"/>
        <v>2nd Q 1996</v>
      </c>
      <c r="AB1985" t="str" cm="1">
        <f t="array" ref="AB1985">_xlfn.IFS(Y1985&lt;DATE(1996,1,1),"",Y1985&lt;DATE(1996,4,1),"Q1",Y1985&lt;DATE(1996,7,1),"Q2",Y1985&gt;=DATE(1996,7,1),"")</f>
        <v>Q2</v>
      </c>
    </row>
    <row r="1986" spans="1:28" ht="14.4" x14ac:dyDescent="0.55000000000000004">
      <c r="A1986" t="str">
        <f>VLOOKUP(L1986,Customers!$A$2:$B$92,2,FALSE)</f>
        <v>Around the Horn</v>
      </c>
      <c r="B1986" t="str">
        <f>VLOOKUP(L1986,Customers!$A$2:$C$92,3,TRUE)</f>
        <v>Thomas Hardy</v>
      </c>
      <c r="C1986" t="str">
        <f t="shared" si="511"/>
        <v>Thomas</v>
      </c>
      <c r="D1986" s="8" t="str">
        <f t="shared" si="512"/>
        <v>Hardy</v>
      </c>
      <c r="E1986" s="8" t="str">
        <f t="shared" si="513"/>
        <v>Hardy, Thomas</v>
      </c>
      <c r="F1986" s="8" t="str">
        <f t="shared" si="514"/>
        <v>Hardy, Thomas</v>
      </c>
      <c r="G1986" s="8" t="str">
        <f t="shared" si="515"/>
        <v>not an outlier</v>
      </c>
      <c r="H1986" s="8" t="str">
        <f t="shared" si="516"/>
        <v>Not</v>
      </c>
      <c r="I1986" s="8" t="str">
        <f t="shared" si="526"/>
        <v>no</v>
      </c>
      <c r="J1986" s="10" t="str">
        <f t="shared" si="517"/>
        <v>no</v>
      </c>
      <c r="K1986" s="10" t="str">
        <f t="shared" si="518"/>
        <v>no</v>
      </c>
      <c r="L1986" t="s">
        <v>34</v>
      </c>
      <c r="M1986">
        <v>11016</v>
      </c>
      <c r="N1986">
        <v>36</v>
      </c>
      <c r="O1986" t="s">
        <v>703</v>
      </c>
      <c r="P1986" t="str">
        <f t="shared" si="519"/>
        <v>AROUT_11016_Inlagd Sill</v>
      </c>
      <c r="Q1986" t="str">
        <f t="shared" si="520"/>
        <v>11016</v>
      </c>
      <c r="R1986" t="str">
        <f t="shared" si="521"/>
        <v>11016</v>
      </c>
      <c r="S1986" t="str">
        <f t="shared" si="522"/>
        <v>Inlagd Sill</v>
      </c>
      <c r="T1986">
        <v>19</v>
      </c>
      <c r="U1986">
        <v>16</v>
      </c>
      <c r="V1986">
        <v>0</v>
      </c>
      <c r="W1986">
        <f t="shared" si="523"/>
        <v>304</v>
      </c>
      <c r="X1986" t="str">
        <f t="shared" si="524"/>
        <v>yes</v>
      </c>
      <c r="Y1986" s="2">
        <v>35195</v>
      </c>
      <c r="Z1986" t="str">
        <f t="shared" si="527"/>
        <v/>
      </c>
      <c r="AA1986" t="str">
        <f t="shared" si="525"/>
        <v>2nd Q 1996</v>
      </c>
      <c r="AB1986" t="str" cm="1">
        <f t="array" ref="AB1986">_xlfn.IFS(Y1986&lt;DATE(1996,1,1),"",Y1986&lt;DATE(1996,4,1),"Q1",Y1986&lt;DATE(1996,7,1),"Q2",Y1986&gt;=DATE(1996,7,1),"")</f>
        <v>Q2</v>
      </c>
    </row>
    <row r="1987" spans="1:28" ht="14.4" x14ac:dyDescent="0.55000000000000004">
      <c r="A1987" t="str">
        <f>VLOOKUP(L1987,Customers!$A$2:$B$92,2,FALSE)</f>
        <v>Ernst Handel</v>
      </c>
      <c r="B1987" t="str">
        <f>VLOOKUP(L1987,Customers!$A$2:$C$92,3,TRUE)</f>
        <v>Roland Mendel</v>
      </c>
      <c r="C1987" t="str">
        <f t="shared" ref="C1987:C2050" si="528">LEFT(B1987,FIND(" ",B1987)-1)</f>
        <v>Roland</v>
      </c>
      <c r="D1987" s="8" t="str">
        <f t="shared" ref="D1987:D2050" si="529">RIGHT(B1987,LEN(B1987)-FIND(" ",B1987))</f>
        <v>Mendel</v>
      </c>
      <c r="E1987" s="8" t="str">
        <f t="shared" ref="E1987:E2050" si="530">_xlfn.CONCAT(D1987,", ",C1987)</f>
        <v>Mendel, Roland</v>
      </c>
      <c r="F1987" s="8" t="str">
        <f t="shared" ref="F1987:F2050" si="531">D1987&amp;", "&amp;C1987</f>
        <v>Mendel, Roland</v>
      </c>
      <c r="G1987" s="8" t="str">
        <f t="shared" ref="G1987:G2050" si="532">IF(OR(W1987&gt;$W$2166,W1987&lt;$W$2167),"outlier","not an outlier")</f>
        <v>not an outlier</v>
      </c>
      <c r="H1987" s="8" t="str">
        <f t="shared" ref="H1987:H2050" si="533">IF(OR(W1987&gt;$W$2166,W1987&lt;$W$2167),"outlier",IF(OR(W1987&gt;$W$2168,W1987&lt;$W$2169),"moderate","Not"))</f>
        <v>Not</v>
      </c>
      <c r="I1987" s="8" t="str">
        <f t="shared" si="526"/>
        <v>no</v>
      </c>
      <c r="J1987" s="10" t="str">
        <f t="shared" ref="J1987:J2050" si="534">IF(AND(W1987&lt;=$W$2166,W1987&gt;=$W$2167),"no","yes")</f>
        <v>no</v>
      </c>
      <c r="K1987" s="10" t="str">
        <f t="shared" ref="K1987:K2050" si="535">IF(OR(W1987&gt;$W$2166,W1987&lt;$W$2167),"yes",IF(OR(W1987&gt;$W$2168,W1987&lt;$W$2169),"moderate","no"))</f>
        <v>no</v>
      </c>
      <c r="L1987" t="s">
        <v>161</v>
      </c>
      <c r="M1987">
        <v>11017</v>
      </c>
      <c r="N1987">
        <v>3</v>
      </c>
      <c r="O1987" t="s">
        <v>740</v>
      </c>
      <c r="P1987" t="str">
        <f t="shared" ref="P1987:P2050" si="536">L1987&amp;"_"&amp;M1987&amp;"_"&amp;O1987</f>
        <v>ERNSH_11017_Aniseed Syrup</v>
      </c>
      <c r="Q1987" t="str">
        <f t="shared" ref="Q1987:Q2050" si="537">LEFT(RIGHT(P1987,LEN(P1987)-FIND("_",P1987)), FIND("_",P1987)-1)</f>
        <v>11017</v>
      </c>
      <c r="R1987" t="str">
        <f t="shared" ref="R1987:R2050" si="538">MID(P1987,FIND("_",P1987)+1,FIND("_",P1987,FIND("_",P1987))-1)</f>
        <v>11017</v>
      </c>
      <c r="S1987" t="str">
        <f t="shared" ref="S1987:S2050" si="539">MID(P1987,FIND("_",P1987,FIND("_",P1987)+1)+1,LEN(P1987))</f>
        <v>Aniseed Syrup</v>
      </c>
      <c r="T1987">
        <v>10</v>
      </c>
      <c r="U1987">
        <v>25</v>
      </c>
      <c r="V1987">
        <v>0</v>
      </c>
      <c r="W1987">
        <f t="shared" ref="W1987:W2050" si="540">T1987*U1987*(1-V1987)</f>
        <v>250</v>
      </c>
      <c r="X1987" t="str">
        <f t="shared" ref="X1987:X2050" si="541">IF(YEAR(Y1987)&gt;=1996,"yes","No")</f>
        <v>yes</v>
      </c>
      <c r="Y1987" s="2">
        <v>35198</v>
      </c>
      <c r="Z1987" t="str">
        <f t="shared" si="527"/>
        <v/>
      </c>
      <c r="AA1987" t="str">
        <f t="shared" ref="AA1987:AA2050" si="542">IF(Y1987&lt;DATE(1996,1,1),"", IF(Y1987&lt;DATE(1996,4,1),"1st Q 1996",IF(Y1987&lt;DATE(1996,7,1),"2nd Q 1996","")))</f>
        <v>2nd Q 1996</v>
      </c>
      <c r="AB1987" t="str" cm="1">
        <f t="array" ref="AB1987">_xlfn.IFS(Y1987&lt;DATE(1996,1,1),"",Y1987&lt;DATE(1996,4,1),"Q1",Y1987&lt;DATE(1996,7,1),"Q2",Y1987&gt;=DATE(1996,7,1),"")</f>
        <v>Q2</v>
      </c>
    </row>
    <row r="1988" spans="1:28" ht="14.4" x14ac:dyDescent="0.55000000000000004">
      <c r="A1988" t="str">
        <f>VLOOKUP(L1988,Customers!$A$2:$B$92,2,FALSE)</f>
        <v>Ernst Handel</v>
      </c>
      <c r="B1988" t="str">
        <f>VLOOKUP(L1988,Customers!$A$2:$C$92,3,TRUE)</f>
        <v>Roland Mendel</v>
      </c>
      <c r="C1988" t="str">
        <f t="shared" si="528"/>
        <v>Roland</v>
      </c>
      <c r="D1988" s="8" t="str">
        <f t="shared" si="529"/>
        <v>Mendel</v>
      </c>
      <c r="E1988" s="8" t="str">
        <f t="shared" si="530"/>
        <v>Mendel, Roland</v>
      </c>
      <c r="F1988" s="8" t="str">
        <f t="shared" si="531"/>
        <v>Mendel, Roland</v>
      </c>
      <c r="G1988" s="8" t="str">
        <f t="shared" si="532"/>
        <v>outlier</v>
      </c>
      <c r="H1988" s="8" t="str">
        <f t="shared" si="533"/>
        <v>outlier</v>
      </c>
      <c r="I1988" s="8" t="str">
        <f t="shared" ref="I1988:I2051" si="543">IF(OR(W1988&gt;$W$2166,W1988&lt;$W$2167),"yes","no")</f>
        <v>yes</v>
      </c>
      <c r="J1988" s="10" t="str">
        <f t="shared" si="534"/>
        <v>yes</v>
      </c>
      <c r="K1988" s="10" t="str">
        <f t="shared" si="535"/>
        <v>yes</v>
      </c>
      <c r="L1988" t="s">
        <v>161</v>
      </c>
      <c r="M1988">
        <v>11017</v>
      </c>
      <c r="N1988">
        <v>59</v>
      </c>
      <c r="O1988" t="s">
        <v>704</v>
      </c>
      <c r="P1988" t="str">
        <f t="shared" si="536"/>
        <v>ERNSH_11017_Raclette Courdavault</v>
      </c>
      <c r="Q1988" t="str">
        <f t="shared" si="537"/>
        <v>11017</v>
      </c>
      <c r="R1988" t="str">
        <f t="shared" si="538"/>
        <v>11017</v>
      </c>
      <c r="S1988" t="str">
        <f t="shared" si="539"/>
        <v>Raclette Courdavault</v>
      </c>
      <c r="T1988">
        <v>55</v>
      </c>
      <c r="U1988">
        <v>110</v>
      </c>
      <c r="V1988">
        <v>0</v>
      </c>
      <c r="W1988">
        <f t="shared" si="540"/>
        <v>6050</v>
      </c>
      <c r="X1988" t="str">
        <f t="shared" si="541"/>
        <v>yes</v>
      </c>
      <c r="Y1988" s="2">
        <v>35198</v>
      </c>
      <c r="Z1988" t="str">
        <f t="shared" si="527"/>
        <v/>
      </c>
      <c r="AA1988" t="str">
        <f t="shared" si="542"/>
        <v>2nd Q 1996</v>
      </c>
      <c r="AB1988" t="str" cm="1">
        <f t="array" ref="AB1988">_xlfn.IFS(Y1988&lt;DATE(1996,1,1),"",Y1988&lt;DATE(1996,4,1),"Q1",Y1988&lt;DATE(1996,7,1),"Q2",Y1988&gt;=DATE(1996,7,1),"")</f>
        <v>Q2</v>
      </c>
    </row>
    <row r="1989" spans="1:28" ht="14.4" x14ac:dyDescent="0.55000000000000004">
      <c r="A1989" t="str">
        <f>VLOOKUP(L1989,Customers!$A$2:$B$92,2,FALSE)</f>
        <v>Ernst Handel</v>
      </c>
      <c r="B1989" t="str">
        <f>VLOOKUP(L1989,Customers!$A$2:$C$92,3,TRUE)</f>
        <v>Roland Mendel</v>
      </c>
      <c r="C1989" t="str">
        <f t="shared" si="528"/>
        <v>Roland</v>
      </c>
      <c r="D1989" s="8" t="str">
        <f t="shared" si="529"/>
        <v>Mendel</v>
      </c>
      <c r="E1989" s="8" t="str">
        <f t="shared" si="530"/>
        <v>Mendel, Roland</v>
      </c>
      <c r="F1989" s="8" t="str">
        <f t="shared" si="531"/>
        <v>Mendel, Roland</v>
      </c>
      <c r="G1989" s="8" t="str">
        <f t="shared" si="532"/>
        <v>not an outlier</v>
      </c>
      <c r="H1989" s="8" t="str">
        <f t="shared" si="533"/>
        <v>Not</v>
      </c>
      <c r="I1989" s="8" t="str">
        <f t="shared" si="543"/>
        <v>no</v>
      </c>
      <c r="J1989" s="10" t="str">
        <f t="shared" si="534"/>
        <v>no</v>
      </c>
      <c r="K1989" s="10" t="str">
        <f t="shared" si="535"/>
        <v>no</v>
      </c>
      <c r="L1989" t="s">
        <v>161</v>
      </c>
      <c r="M1989">
        <v>11017</v>
      </c>
      <c r="N1989">
        <v>70</v>
      </c>
      <c r="O1989" t="s">
        <v>713</v>
      </c>
      <c r="P1989" t="str">
        <f t="shared" si="536"/>
        <v>ERNSH_11017_Outback Lager</v>
      </c>
      <c r="Q1989" t="str">
        <f t="shared" si="537"/>
        <v>11017</v>
      </c>
      <c r="R1989" t="str">
        <f t="shared" si="538"/>
        <v>11017</v>
      </c>
      <c r="S1989" t="str">
        <f t="shared" si="539"/>
        <v>Outback Lager</v>
      </c>
      <c r="T1989">
        <v>15</v>
      </c>
      <c r="U1989">
        <v>30</v>
      </c>
      <c r="V1989">
        <v>0</v>
      </c>
      <c r="W1989">
        <f t="shared" si="540"/>
        <v>450</v>
      </c>
      <c r="X1989" t="str">
        <f t="shared" si="541"/>
        <v>yes</v>
      </c>
      <c r="Y1989" s="2">
        <v>35198</v>
      </c>
      <c r="Z1989" t="str">
        <f t="shared" si="527"/>
        <v/>
      </c>
      <c r="AA1989" t="str">
        <f t="shared" si="542"/>
        <v>2nd Q 1996</v>
      </c>
      <c r="AB1989" t="str" cm="1">
        <f t="array" ref="AB1989">_xlfn.IFS(Y1989&lt;DATE(1996,1,1),"",Y1989&lt;DATE(1996,4,1),"Q1",Y1989&lt;DATE(1996,7,1),"Q2",Y1989&gt;=DATE(1996,7,1),"")</f>
        <v>Q2</v>
      </c>
    </row>
    <row r="1990" spans="1:28" ht="14.4" x14ac:dyDescent="0.55000000000000004">
      <c r="A1990" t="str">
        <f>VLOOKUP(L1990,Customers!$A$2:$B$92,2,FALSE)</f>
        <v>Lonesome Pine Restaurant</v>
      </c>
      <c r="B1990" t="str">
        <f>VLOOKUP(L1990,Customers!$A$2:$C$92,3,TRUE)</f>
        <v>Fran Wilson</v>
      </c>
      <c r="C1990" t="str">
        <f t="shared" si="528"/>
        <v>Fran</v>
      </c>
      <c r="D1990" s="8" t="str">
        <f t="shared" si="529"/>
        <v>Wilson</v>
      </c>
      <c r="E1990" s="8" t="str">
        <f t="shared" si="530"/>
        <v>Wilson, Fran</v>
      </c>
      <c r="F1990" s="8" t="str">
        <f t="shared" si="531"/>
        <v>Wilson, Fran</v>
      </c>
      <c r="G1990" s="8" t="str">
        <f t="shared" si="532"/>
        <v>not an outlier</v>
      </c>
      <c r="H1990" s="8" t="str">
        <f t="shared" si="533"/>
        <v>Not</v>
      </c>
      <c r="I1990" s="8" t="str">
        <f t="shared" si="543"/>
        <v>no</v>
      </c>
      <c r="J1990" s="10" t="str">
        <f t="shared" si="534"/>
        <v>no</v>
      </c>
      <c r="K1990" s="10" t="str">
        <f t="shared" si="535"/>
        <v>no</v>
      </c>
      <c r="L1990" t="s">
        <v>371</v>
      </c>
      <c r="M1990">
        <v>11018</v>
      </c>
      <c r="N1990">
        <v>12</v>
      </c>
      <c r="O1990" t="s">
        <v>719</v>
      </c>
      <c r="P1990" t="str">
        <f t="shared" si="536"/>
        <v>LONEP_11018_Queso Manchego La Pastora</v>
      </c>
      <c r="Q1990" t="str">
        <f t="shared" si="537"/>
        <v>11018</v>
      </c>
      <c r="R1990" t="str">
        <f t="shared" si="538"/>
        <v>11018</v>
      </c>
      <c r="S1990" t="str">
        <f t="shared" si="539"/>
        <v>Queso Manchego La Pastora</v>
      </c>
      <c r="T1990">
        <v>38</v>
      </c>
      <c r="U1990">
        <v>20</v>
      </c>
      <c r="V1990">
        <v>0</v>
      </c>
      <c r="W1990">
        <f t="shared" si="540"/>
        <v>760</v>
      </c>
      <c r="X1990" t="str">
        <f t="shared" si="541"/>
        <v>yes</v>
      </c>
      <c r="Y1990" s="2">
        <v>35198</v>
      </c>
      <c r="Z1990" t="str">
        <f t="shared" si="527"/>
        <v/>
      </c>
      <c r="AA1990" t="str">
        <f t="shared" si="542"/>
        <v>2nd Q 1996</v>
      </c>
      <c r="AB1990" t="str" cm="1">
        <f t="array" ref="AB1990">_xlfn.IFS(Y1990&lt;DATE(1996,1,1),"",Y1990&lt;DATE(1996,4,1),"Q1",Y1990&lt;DATE(1996,7,1),"Q2",Y1990&gt;=DATE(1996,7,1),"")</f>
        <v>Q2</v>
      </c>
    </row>
    <row r="1991" spans="1:28" ht="14.4" x14ac:dyDescent="0.55000000000000004">
      <c r="A1991" t="str">
        <f>VLOOKUP(L1991,Customers!$A$2:$B$92,2,FALSE)</f>
        <v>Lonesome Pine Restaurant</v>
      </c>
      <c r="B1991" t="str">
        <f>VLOOKUP(L1991,Customers!$A$2:$C$92,3,TRUE)</f>
        <v>Fran Wilson</v>
      </c>
      <c r="C1991" t="str">
        <f t="shared" si="528"/>
        <v>Fran</v>
      </c>
      <c r="D1991" s="8" t="str">
        <f t="shared" si="529"/>
        <v>Wilson</v>
      </c>
      <c r="E1991" s="8" t="str">
        <f t="shared" si="530"/>
        <v>Wilson, Fran</v>
      </c>
      <c r="F1991" s="8" t="str">
        <f t="shared" si="531"/>
        <v>Wilson, Fran</v>
      </c>
      <c r="G1991" s="8" t="str">
        <f t="shared" si="532"/>
        <v>not an outlier</v>
      </c>
      <c r="H1991" s="8" t="str">
        <f t="shared" si="533"/>
        <v>Not</v>
      </c>
      <c r="I1991" s="8" t="str">
        <f t="shared" si="543"/>
        <v>no</v>
      </c>
      <c r="J1991" s="10" t="str">
        <f t="shared" si="534"/>
        <v>no</v>
      </c>
      <c r="K1991" s="10" t="str">
        <f t="shared" si="535"/>
        <v>no</v>
      </c>
      <c r="L1991" t="s">
        <v>371</v>
      </c>
      <c r="M1991">
        <v>11018</v>
      </c>
      <c r="N1991">
        <v>18</v>
      </c>
      <c r="O1991" t="s">
        <v>742</v>
      </c>
      <c r="P1991" t="str">
        <f t="shared" si="536"/>
        <v>LONEP_11018_Carnarvon Tigers</v>
      </c>
      <c r="Q1991" t="str">
        <f t="shared" si="537"/>
        <v>11018</v>
      </c>
      <c r="R1991" t="str">
        <f t="shared" si="538"/>
        <v>11018</v>
      </c>
      <c r="S1991" t="str">
        <f t="shared" si="539"/>
        <v>Carnarvon Tigers</v>
      </c>
      <c r="T1991">
        <v>62.5</v>
      </c>
      <c r="U1991">
        <v>10</v>
      </c>
      <c r="V1991">
        <v>0</v>
      </c>
      <c r="W1991">
        <f t="shared" si="540"/>
        <v>625</v>
      </c>
      <c r="X1991" t="str">
        <f t="shared" si="541"/>
        <v>yes</v>
      </c>
      <c r="Y1991" s="2">
        <v>35198</v>
      </c>
      <c r="Z1991" t="str">
        <f t="shared" si="527"/>
        <v/>
      </c>
      <c r="AA1991" t="str">
        <f t="shared" si="542"/>
        <v>2nd Q 1996</v>
      </c>
      <c r="AB1991" t="str" cm="1">
        <f t="array" ref="AB1991">_xlfn.IFS(Y1991&lt;DATE(1996,1,1),"",Y1991&lt;DATE(1996,4,1),"Q1",Y1991&lt;DATE(1996,7,1),"Q2",Y1991&gt;=DATE(1996,7,1),"")</f>
        <v>Q2</v>
      </c>
    </row>
    <row r="1992" spans="1:28" ht="14.4" x14ac:dyDescent="0.55000000000000004">
      <c r="A1992" t="str">
        <f>VLOOKUP(L1992,Customers!$A$2:$B$92,2,FALSE)</f>
        <v>Lonesome Pine Restaurant</v>
      </c>
      <c r="B1992" t="str">
        <f>VLOOKUP(L1992,Customers!$A$2:$C$92,3,TRUE)</f>
        <v>Fran Wilson</v>
      </c>
      <c r="C1992" t="str">
        <f t="shared" si="528"/>
        <v>Fran</v>
      </c>
      <c r="D1992" s="8" t="str">
        <f t="shared" si="529"/>
        <v>Wilson</v>
      </c>
      <c r="E1992" s="8" t="str">
        <f t="shared" si="530"/>
        <v>Wilson, Fran</v>
      </c>
      <c r="F1992" s="8" t="str">
        <f t="shared" si="531"/>
        <v>Wilson, Fran</v>
      </c>
      <c r="G1992" s="8" t="str">
        <f t="shared" si="532"/>
        <v>not an outlier</v>
      </c>
      <c r="H1992" s="8" t="str">
        <f t="shared" si="533"/>
        <v>Not</v>
      </c>
      <c r="I1992" s="8" t="str">
        <f t="shared" si="543"/>
        <v>no</v>
      </c>
      <c r="J1992" s="10" t="str">
        <f t="shared" si="534"/>
        <v>no</v>
      </c>
      <c r="K1992" s="10" t="str">
        <f t="shared" si="535"/>
        <v>no</v>
      </c>
      <c r="L1992" t="s">
        <v>371</v>
      </c>
      <c r="M1992">
        <v>11018</v>
      </c>
      <c r="N1992">
        <v>56</v>
      </c>
      <c r="O1992" t="s">
        <v>716</v>
      </c>
      <c r="P1992" t="str">
        <f t="shared" si="536"/>
        <v>LONEP_11018_Gnocchi di nonna Alice</v>
      </c>
      <c r="Q1992" t="str">
        <f t="shared" si="537"/>
        <v>11018</v>
      </c>
      <c r="R1992" t="str">
        <f t="shared" si="538"/>
        <v>11018</v>
      </c>
      <c r="S1992" t="str">
        <f t="shared" si="539"/>
        <v>Gnocchi di nonna Alice</v>
      </c>
      <c r="T1992">
        <v>38</v>
      </c>
      <c r="U1992">
        <v>5</v>
      </c>
      <c r="V1992">
        <v>0</v>
      </c>
      <c r="W1992">
        <f t="shared" si="540"/>
        <v>190</v>
      </c>
      <c r="X1992" t="str">
        <f t="shared" si="541"/>
        <v>yes</v>
      </c>
      <c r="Y1992" s="2">
        <v>35198</v>
      </c>
      <c r="Z1992" t="str">
        <f t="shared" si="527"/>
        <v/>
      </c>
      <c r="AA1992" t="str">
        <f t="shared" si="542"/>
        <v>2nd Q 1996</v>
      </c>
      <c r="AB1992" t="str" cm="1">
        <f t="array" ref="AB1992">_xlfn.IFS(Y1992&lt;DATE(1996,1,1),"",Y1992&lt;DATE(1996,4,1),"Q1",Y1992&lt;DATE(1996,7,1),"Q2",Y1992&gt;=DATE(1996,7,1),"")</f>
        <v>Q2</v>
      </c>
    </row>
    <row r="1993" spans="1:28" ht="14.4" x14ac:dyDescent="0.55000000000000004">
      <c r="A1993" t="str">
        <f>VLOOKUP(L1993,Customers!$A$2:$B$92,2,FALSE)</f>
        <v>Rancho grande</v>
      </c>
      <c r="B1993" t="str">
        <f>VLOOKUP(L1993,Customers!$A$2:$C$92,3,TRUE)</f>
        <v>Sergio Gutiérrez</v>
      </c>
      <c r="C1993" t="str">
        <f t="shared" si="528"/>
        <v>Sergio</v>
      </c>
      <c r="D1993" s="8" t="str">
        <f t="shared" si="529"/>
        <v>Gutiérrez</v>
      </c>
      <c r="E1993" s="8" t="str">
        <f t="shared" si="530"/>
        <v>Gutiérrez, Sergio</v>
      </c>
      <c r="F1993" s="8" t="str">
        <f t="shared" si="531"/>
        <v>Gutiérrez, Sergio</v>
      </c>
      <c r="G1993" s="8" t="str">
        <f t="shared" si="532"/>
        <v>not an outlier</v>
      </c>
      <c r="H1993" s="8" t="str">
        <f t="shared" si="533"/>
        <v>Not</v>
      </c>
      <c r="I1993" s="8" t="str">
        <f t="shared" si="543"/>
        <v>no</v>
      </c>
      <c r="J1993" s="10" t="str">
        <f t="shared" si="534"/>
        <v>no</v>
      </c>
      <c r="K1993" s="10" t="str">
        <f t="shared" si="535"/>
        <v>no</v>
      </c>
      <c r="L1993" t="s">
        <v>481</v>
      </c>
      <c r="M1993">
        <v>11019</v>
      </c>
      <c r="N1993">
        <v>46</v>
      </c>
      <c r="O1993" t="s">
        <v>737</v>
      </c>
      <c r="P1993" t="str">
        <f t="shared" si="536"/>
        <v>RANCH_11019_Spegesild</v>
      </c>
      <c r="Q1993" t="str">
        <f t="shared" si="537"/>
        <v>11019</v>
      </c>
      <c r="R1993" t="str">
        <f t="shared" si="538"/>
        <v>11019</v>
      </c>
      <c r="S1993" t="str">
        <f t="shared" si="539"/>
        <v>Spegesild</v>
      </c>
      <c r="T1993">
        <v>12</v>
      </c>
      <c r="U1993">
        <v>3</v>
      </c>
      <c r="V1993">
        <v>0</v>
      </c>
      <c r="W1993">
        <f t="shared" si="540"/>
        <v>36</v>
      </c>
      <c r="X1993" t="str">
        <f t="shared" si="541"/>
        <v>yes</v>
      </c>
      <c r="Y1993" s="2">
        <v>35198</v>
      </c>
      <c r="Z1993" t="str">
        <f t="shared" si="527"/>
        <v/>
      </c>
      <c r="AA1993" t="str">
        <f t="shared" si="542"/>
        <v>2nd Q 1996</v>
      </c>
      <c r="AB1993" t="str" cm="1">
        <f t="array" ref="AB1993">_xlfn.IFS(Y1993&lt;DATE(1996,1,1),"",Y1993&lt;DATE(1996,4,1),"Q1",Y1993&lt;DATE(1996,7,1),"Q2",Y1993&gt;=DATE(1996,7,1),"")</f>
        <v>Q2</v>
      </c>
    </row>
    <row r="1994" spans="1:28" ht="14.4" x14ac:dyDescent="0.55000000000000004">
      <c r="A1994" t="str">
        <f>VLOOKUP(L1994,Customers!$A$2:$B$92,2,FALSE)</f>
        <v>Rancho grande</v>
      </c>
      <c r="B1994" t="str">
        <f>VLOOKUP(L1994,Customers!$A$2:$C$92,3,TRUE)</f>
        <v>Sergio Gutiérrez</v>
      </c>
      <c r="C1994" t="str">
        <f t="shared" si="528"/>
        <v>Sergio</v>
      </c>
      <c r="D1994" s="8" t="str">
        <f t="shared" si="529"/>
        <v>Gutiérrez</v>
      </c>
      <c r="E1994" s="8" t="str">
        <f t="shared" si="530"/>
        <v>Gutiérrez, Sergio</v>
      </c>
      <c r="F1994" s="8" t="str">
        <f t="shared" si="531"/>
        <v>Gutiérrez, Sergio</v>
      </c>
      <c r="G1994" s="8" t="str">
        <f t="shared" si="532"/>
        <v>not an outlier</v>
      </c>
      <c r="H1994" s="8" t="str">
        <f t="shared" si="533"/>
        <v>Not</v>
      </c>
      <c r="I1994" s="8" t="str">
        <f t="shared" si="543"/>
        <v>no</v>
      </c>
      <c r="J1994" s="10" t="str">
        <f t="shared" si="534"/>
        <v>no</v>
      </c>
      <c r="K1994" s="10" t="str">
        <f t="shared" si="535"/>
        <v>no</v>
      </c>
      <c r="L1994" t="s">
        <v>481</v>
      </c>
      <c r="M1994">
        <v>11019</v>
      </c>
      <c r="N1994">
        <v>49</v>
      </c>
      <c r="O1994" t="s">
        <v>697</v>
      </c>
      <c r="P1994" t="str">
        <f t="shared" si="536"/>
        <v>RANCH_11019_Maxilaku</v>
      </c>
      <c r="Q1994" t="str">
        <f t="shared" si="537"/>
        <v>11019</v>
      </c>
      <c r="R1994" t="str">
        <f t="shared" si="538"/>
        <v>11019</v>
      </c>
      <c r="S1994" t="str">
        <f t="shared" si="539"/>
        <v>Maxilaku</v>
      </c>
      <c r="T1994">
        <v>20</v>
      </c>
      <c r="U1994">
        <v>2</v>
      </c>
      <c r="V1994">
        <v>0</v>
      </c>
      <c r="W1994">
        <f t="shared" si="540"/>
        <v>40</v>
      </c>
      <c r="X1994" t="str">
        <f t="shared" si="541"/>
        <v>yes</v>
      </c>
      <c r="Y1994" s="2">
        <v>35198</v>
      </c>
      <c r="Z1994" t="str">
        <f t="shared" si="527"/>
        <v/>
      </c>
      <c r="AA1994" t="str">
        <f t="shared" si="542"/>
        <v>2nd Q 1996</v>
      </c>
      <c r="AB1994" t="str" cm="1">
        <f t="array" ref="AB1994">_xlfn.IFS(Y1994&lt;DATE(1996,1,1),"",Y1994&lt;DATE(1996,4,1),"Q1",Y1994&lt;DATE(1996,7,1),"Q2",Y1994&gt;=DATE(1996,7,1),"")</f>
        <v>Q2</v>
      </c>
    </row>
    <row r="1995" spans="1:28" ht="14.4" x14ac:dyDescent="0.55000000000000004">
      <c r="A1995" t="str">
        <f>VLOOKUP(L1995,Customers!$A$2:$B$92,2,FALSE)</f>
        <v>Ottilies Käseladen</v>
      </c>
      <c r="B1995" t="str">
        <f>VLOOKUP(L1995,Customers!$A$2:$C$92,3,TRUE)</f>
        <v>Henriette Pfalzheim</v>
      </c>
      <c r="C1995" t="str">
        <f t="shared" si="528"/>
        <v>Henriette</v>
      </c>
      <c r="D1995" s="8" t="str">
        <f t="shared" si="529"/>
        <v>Pfalzheim</v>
      </c>
      <c r="E1995" s="8" t="str">
        <f t="shared" si="530"/>
        <v>Pfalzheim, Henriette</v>
      </c>
      <c r="F1995" s="8" t="str">
        <f t="shared" si="531"/>
        <v>Pfalzheim, Henriette</v>
      </c>
      <c r="G1995" s="8" t="str">
        <f t="shared" si="532"/>
        <v>not an outlier</v>
      </c>
      <c r="H1995" s="8" t="str">
        <f t="shared" si="533"/>
        <v>Not</v>
      </c>
      <c r="I1995" s="8" t="str">
        <f t="shared" si="543"/>
        <v>no</v>
      </c>
      <c r="J1995" s="10" t="str">
        <f t="shared" si="534"/>
        <v>no</v>
      </c>
      <c r="K1995" s="10" t="str">
        <f t="shared" si="535"/>
        <v>no</v>
      </c>
      <c r="L1995" t="s">
        <v>430</v>
      </c>
      <c r="M1995">
        <v>11020</v>
      </c>
      <c r="N1995">
        <v>10</v>
      </c>
      <c r="O1995" t="s">
        <v>724</v>
      </c>
      <c r="P1995" t="str">
        <f t="shared" si="536"/>
        <v>OTTIK_11020_Ikura</v>
      </c>
      <c r="Q1995" t="str">
        <f t="shared" si="537"/>
        <v>11020</v>
      </c>
      <c r="R1995" t="str">
        <f t="shared" si="538"/>
        <v>11020</v>
      </c>
      <c r="S1995" t="str">
        <f t="shared" si="539"/>
        <v>Ikura</v>
      </c>
      <c r="T1995">
        <v>31</v>
      </c>
      <c r="U1995">
        <v>24</v>
      </c>
      <c r="V1995">
        <v>0.15</v>
      </c>
      <c r="W1995">
        <f t="shared" si="540"/>
        <v>632.4</v>
      </c>
      <c r="X1995" t="str">
        <f t="shared" si="541"/>
        <v>yes</v>
      </c>
      <c r="Y1995" s="2">
        <v>35199</v>
      </c>
      <c r="Z1995" t="str">
        <f t="shared" si="527"/>
        <v/>
      </c>
      <c r="AA1995" t="str">
        <f t="shared" si="542"/>
        <v>2nd Q 1996</v>
      </c>
      <c r="AB1995" t="str" cm="1">
        <f t="array" ref="AB1995">_xlfn.IFS(Y1995&lt;DATE(1996,1,1),"",Y1995&lt;DATE(1996,4,1),"Q1",Y1995&lt;DATE(1996,7,1),"Q2",Y1995&gt;=DATE(1996,7,1),"")</f>
        <v>Q2</v>
      </c>
    </row>
    <row r="1996" spans="1:28" ht="14.4" x14ac:dyDescent="0.55000000000000004">
      <c r="A1996" t="str">
        <f>VLOOKUP(L1996,Customers!$A$2:$B$92,2,FALSE)</f>
        <v>QUICK-Stop</v>
      </c>
      <c r="B1996" t="str">
        <f>VLOOKUP(L1996,Customers!$A$2:$C$92,3,TRUE)</f>
        <v>Horst Kloss</v>
      </c>
      <c r="C1996" t="str">
        <f t="shared" si="528"/>
        <v>Horst</v>
      </c>
      <c r="D1996" s="8" t="str">
        <f t="shared" si="529"/>
        <v>Kloss</v>
      </c>
      <c r="E1996" s="8" t="str">
        <f t="shared" si="530"/>
        <v>Kloss, Horst</v>
      </c>
      <c r="F1996" s="8" t="str">
        <f t="shared" si="531"/>
        <v>Kloss, Horst</v>
      </c>
      <c r="G1996" s="8" t="str">
        <f t="shared" si="532"/>
        <v>not an outlier</v>
      </c>
      <c r="H1996" s="8" t="str">
        <f t="shared" si="533"/>
        <v>Not</v>
      </c>
      <c r="I1996" s="8" t="str">
        <f t="shared" si="543"/>
        <v>no</v>
      </c>
      <c r="J1996" s="10" t="str">
        <f t="shared" si="534"/>
        <v>no</v>
      </c>
      <c r="K1996" s="10" t="str">
        <f t="shared" si="535"/>
        <v>no</v>
      </c>
      <c r="L1996" t="s">
        <v>475</v>
      </c>
      <c r="M1996">
        <v>11021</v>
      </c>
      <c r="N1996">
        <v>2</v>
      </c>
      <c r="O1996" t="s">
        <v>701</v>
      </c>
      <c r="P1996" t="str">
        <f t="shared" si="536"/>
        <v>QUICK_11021_Chang</v>
      </c>
      <c r="Q1996" t="str">
        <f t="shared" si="537"/>
        <v>11021</v>
      </c>
      <c r="R1996" t="str">
        <f t="shared" si="538"/>
        <v>11021</v>
      </c>
      <c r="S1996" t="str">
        <f t="shared" si="539"/>
        <v>Chang</v>
      </c>
      <c r="T1996">
        <v>19</v>
      </c>
      <c r="U1996">
        <v>11</v>
      </c>
      <c r="V1996">
        <v>0.25</v>
      </c>
      <c r="W1996">
        <f t="shared" si="540"/>
        <v>156.75</v>
      </c>
      <c r="X1996" t="str">
        <f t="shared" si="541"/>
        <v>yes</v>
      </c>
      <c r="Y1996" s="2">
        <v>35199</v>
      </c>
      <c r="Z1996" t="str">
        <f t="shared" si="527"/>
        <v/>
      </c>
      <c r="AA1996" t="str">
        <f t="shared" si="542"/>
        <v>2nd Q 1996</v>
      </c>
      <c r="AB1996" t="str" cm="1">
        <f t="array" ref="AB1996">_xlfn.IFS(Y1996&lt;DATE(1996,1,1),"",Y1996&lt;DATE(1996,4,1),"Q1",Y1996&lt;DATE(1996,7,1),"Q2",Y1996&gt;=DATE(1996,7,1),"")</f>
        <v>Q2</v>
      </c>
    </row>
    <row r="1997" spans="1:28" ht="14.4" x14ac:dyDescent="0.55000000000000004">
      <c r="A1997" t="str">
        <f>VLOOKUP(L1997,Customers!$A$2:$B$92,2,FALSE)</f>
        <v>QUICK-Stop</v>
      </c>
      <c r="B1997" t="str">
        <f>VLOOKUP(L1997,Customers!$A$2:$C$92,3,TRUE)</f>
        <v>Horst Kloss</v>
      </c>
      <c r="C1997" t="str">
        <f t="shared" si="528"/>
        <v>Horst</v>
      </c>
      <c r="D1997" s="8" t="str">
        <f t="shared" si="529"/>
        <v>Kloss</v>
      </c>
      <c r="E1997" s="8" t="str">
        <f t="shared" si="530"/>
        <v>Kloss, Horst</v>
      </c>
      <c r="F1997" s="8" t="str">
        <f t="shared" si="531"/>
        <v>Kloss, Horst</v>
      </c>
      <c r="G1997" s="8" t="str">
        <f t="shared" si="532"/>
        <v>not an outlier</v>
      </c>
      <c r="H1997" s="8" t="str">
        <f t="shared" si="533"/>
        <v>Not</v>
      </c>
      <c r="I1997" s="8" t="str">
        <f t="shared" si="543"/>
        <v>no</v>
      </c>
      <c r="J1997" s="10" t="str">
        <f t="shared" si="534"/>
        <v>no</v>
      </c>
      <c r="K1997" s="10" t="str">
        <f t="shared" si="535"/>
        <v>no</v>
      </c>
      <c r="L1997" t="s">
        <v>475</v>
      </c>
      <c r="M1997">
        <v>11021</v>
      </c>
      <c r="N1997">
        <v>20</v>
      </c>
      <c r="O1997" t="s">
        <v>692</v>
      </c>
      <c r="P1997" t="str">
        <f t="shared" si="536"/>
        <v>QUICK_11021_Sir Rodney's Marmalade</v>
      </c>
      <c r="Q1997" t="str">
        <f t="shared" si="537"/>
        <v>11021</v>
      </c>
      <c r="R1997" t="str">
        <f t="shared" si="538"/>
        <v>11021</v>
      </c>
      <c r="S1997" t="str">
        <f t="shared" si="539"/>
        <v>Sir Rodney's Marmalade</v>
      </c>
      <c r="T1997">
        <v>81</v>
      </c>
      <c r="U1997">
        <v>15</v>
      </c>
      <c r="V1997">
        <v>0</v>
      </c>
      <c r="W1997">
        <f t="shared" si="540"/>
        <v>1215</v>
      </c>
      <c r="X1997" t="str">
        <f t="shared" si="541"/>
        <v>yes</v>
      </c>
      <c r="Y1997" s="2">
        <v>35199</v>
      </c>
      <c r="Z1997" t="str">
        <f t="shared" si="527"/>
        <v/>
      </c>
      <c r="AA1997" t="str">
        <f t="shared" si="542"/>
        <v>2nd Q 1996</v>
      </c>
      <c r="AB1997" t="str" cm="1">
        <f t="array" ref="AB1997">_xlfn.IFS(Y1997&lt;DATE(1996,1,1),"",Y1997&lt;DATE(1996,4,1),"Q1",Y1997&lt;DATE(1996,7,1),"Q2",Y1997&gt;=DATE(1996,7,1),"")</f>
        <v>Q2</v>
      </c>
    </row>
    <row r="1998" spans="1:28" ht="14.4" x14ac:dyDescent="0.55000000000000004">
      <c r="A1998" t="str">
        <f>VLOOKUP(L1998,Customers!$A$2:$B$92,2,FALSE)</f>
        <v>QUICK-Stop</v>
      </c>
      <c r="B1998" t="str">
        <f>VLOOKUP(L1998,Customers!$A$2:$C$92,3,TRUE)</f>
        <v>Horst Kloss</v>
      </c>
      <c r="C1998" t="str">
        <f t="shared" si="528"/>
        <v>Horst</v>
      </c>
      <c r="D1998" s="8" t="str">
        <f t="shared" si="529"/>
        <v>Kloss</v>
      </c>
      <c r="E1998" s="8" t="str">
        <f t="shared" si="530"/>
        <v>Kloss, Horst</v>
      </c>
      <c r="F1998" s="8" t="str">
        <f t="shared" si="531"/>
        <v>Kloss, Horst</v>
      </c>
      <c r="G1998" s="8" t="str">
        <f t="shared" si="532"/>
        <v>not an outlier</v>
      </c>
      <c r="H1998" s="8" t="str">
        <f t="shared" si="533"/>
        <v>Not</v>
      </c>
      <c r="I1998" s="8" t="str">
        <f t="shared" si="543"/>
        <v>no</v>
      </c>
      <c r="J1998" s="10" t="str">
        <f t="shared" si="534"/>
        <v>no</v>
      </c>
      <c r="K1998" s="10" t="str">
        <f t="shared" si="535"/>
        <v>no</v>
      </c>
      <c r="L1998" t="s">
        <v>475</v>
      </c>
      <c r="M1998">
        <v>11021</v>
      </c>
      <c r="N1998">
        <v>26</v>
      </c>
      <c r="O1998" t="s">
        <v>751</v>
      </c>
      <c r="P1998" t="str">
        <f t="shared" si="536"/>
        <v>QUICK_11021_Gumbär Gummibärchen</v>
      </c>
      <c r="Q1998" t="str">
        <f t="shared" si="537"/>
        <v>11021</v>
      </c>
      <c r="R1998" t="str">
        <f t="shared" si="538"/>
        <v>11021</v>
      </c>
      <c r="S1998" t="str">
        <f t="shared" si="539"/>
        <v>Gumbär Gummibärchen</v>
      </c>
      <c r="T1998">
        <v>31.23</v>
      </c>
      <c r="U1998">
        <v>63</v>
      </c>
      <c r="V1998">
        <v>0</v>
      </c>
      <c r="W1998">
        <f t="shared" si="540"/>
        <v>1967.49</v>
      </c>
      <c r="X1998" t="str">
        <f t="shared" si="541"/>
        <v>yes</v>
      </c>
      <c r="Y1998" s="2">
        <v>35199</v>
      </c>
      <c r="Z1998" t="str">
        <f t="shared" si="527"/>
        <v/>
      </c>
      <c r="AA1998" t="str">
        <f t="shared" si="542"/>
        <v>2nd Q 1996</v>
      </c>
      <c r="AB1998" t="str" cm="1">
        <f t="array" ref="AB1998">_xlfn.IFS(Y1998&lt;DATE(1996,1,1),"",Y1998&lt;DATE(1996,4,1),"Q1",Y1998&lt;DATE(1996,7,1),"Q2",Y1998&gt;=DATE(1996,7,1),"")</f>
        <v>Q2</v>
      </c>
    </row>
    <row r="1999" spans="1:28" ht="14.4" x14ac:dyDescent="0.55000000000000004">
      <c r="A1999" t="str">
        <f>VLOOKUP(L1999,Customers!$A$2:$B$92,2,FALSE)</f>
        <v>QUICK-Stop</v>
      </c>
      <c r="B1999" t="str">
        <f>VLOOKUP(L1999,Customers!$A$2:$C$92,3,TRUE)</f>
        <v>Horst Kloss</v>
      </c>
      <c r="C1999" t="str">
        <f t="shared" si="528"/>
        <v>Horst</v>
      </c>
      <c r="D1999" s="8" t="str">
        <f t="shared" si="529"/>
        <v>Kloss</v>
      </c>
      <c r="E1999" s="8" t="str">
        <f t="shared" si="530"/>
        <v>Kloss, Horst</v>
      </c>
      <c r="F1999" s="8" t="str">
        <f t="shared" si="531"/>
        <v>Kloss, Horst</v>
      </c>
      <c r="G1999" s="8" t="str">
        <f t="shared" si="532"/>
        <v>not an outlier</v>
      </c>
      <c r="H1999" s="8" t="str">
        <f t="shared" si="533"/>
        <v>Not</v>
      </c>
      <c r="I1999" s="8" t="str">
        <f t="shared" si="543"/>
        <v>no</v>
      </c>
      <c r="J1999" s="10" t="str">
        <f t="shared" si="534"/>
        <v>no</v>
      </c>
      <c r="K1999" s="10" t="str">
        <f t="shared" si="535"/>
        <v>no</v>
      </c>
      <c r="L1999" t="s">
        <v>475</v>
      </c>
      <c r="M1999">
        <v>11021</v>
      </c>
      <c r="N1999">
        <v>51</v>
      </c>
      <c r="O1999" t="s">
        <v>687</v>
      </c>
      <c r="P1999" t="str">
        <f t="shared" si="536"/>
        <v>QUICK_11021_Manjimup Dried Apples</v>
      </c>
      <c r="Q1999" t="str">
        <f t="shared" si="537"/>
        <v>11021</v>
      </c>
      <c r="R1999" t="str">
        <f t="shared" si="538"/>
        <v>11021</v>
      </c>
      <c r="S1999" t="str">
        <f t="shared" si="539"/>
        <v>Manjimup Dried Apples</v>
      </c>
      <c r="T1999">
        <v>53</v>
      </c>
      <c r="U1999">
        <v>44</v>
      </c>
      <c r="V1999">
        <v>0.25</v>
      </c>
      <c r="W1999">
        <f t="shared" si="540"/>
        <v>1749</v>
      </c>
      <c r="X1999" t="str">
        <f t="shared" si="541"/>
        <v>yes</v>
      </c>
      <c r="Y1999" s="2">
        <v>35199</v>
      </c>
      <c r="Z1999" t="str">
        <f t="shared" si="527"/>
        <v/>
      </c>
      <c r="AA1999" t="str">
        <f t="shared" si="542"/>
        <v>2nd Q 1996</v>
      </c>
      <c r="AB1999" t="str" cm="1">
        <f t="array" ref="AB1999">_xlfn.IFS(Y1999&lt;DATE(1996,1,1),"",Y1999&lt;DATE(1996,4,1),"Q1",Y1999&lt;DATE(1996,7,1),"Q2",Y1999&gt;=DATE(1996,7,1),"")</f>
        <v>Q2</v>
      </c>
    </row>
    <row r="2000" spans="1:28" ht="14.4" x14ac:dyDescent="0.55000000000000004">
      <c r="A2000" t="str">
        <f>VLOOKUP(L2000,Customers!$A$2:$B$92,2,FALSE)</f>
        <v>QUICK-Stop</v>
      </c>
      <c r="B2000" t="str">
        <f>VLOOKUP(L2000,Customers!$A$2:$C$92,3,TRUE)</f>
        <v>Horst Kloss</v>
      </c>
      <c r="C2000" t="str">
        <f t="shared" si="528"/>
        <v>Horst</v>
      </c>
      <c r="D2000" s="8" t="str">
        <f t="shared" si="529"/>
        <v>Kloss</v>
      </c>
      <c r="E2000" s="8" t="str">
        <f t="shared" si="530"/>
        <v>Kloss, Horst</v>
      </c>
      <c r="F2000" s="8" t="str">
        <f t="shared" si="531"/>
        <v>Kloss, Horst</v>
      </c>
      <c r="G2000" s="8" t="str">
        <f t="shared" si="532"/>
        <v>not an outlier</v>
      </c>
      <c r="H2000" s="8" t="str">
        <f t="shared" si="533"/>
        <v>Not</v>
      </c>
      <c r="I2000" s="8" t="str">
        <f t="shared" si="543"/>
        <v>no</v>
      </c>
      <c r="J2000" s="10" t="str">
        <f t="shared" si="534"/>
        <v>no</v>
      </c>
      <c r="K2000" s="10" t="str">
        <f t="shared" si="535"/>
        <v>no</v>
      </c>
      <c r="L2000" t="s">
        <v>475</v>
      </c>
      <c r="M2000">
        <v>11021</v>
      </c>
      <c r="N2000">
        <v>72</v>
      </c>
      <c r="O2000" t="s">
        <v>685</v>
      </c>
      <c r="P2000" t="str">
        <f t="shared" si="536"/>
        <v>QUICK_11021_Mozzarella di Giovanni</v>
      </c>
      <c r="Q2000" t="str">
        <f t="shared" si="537"/>
        <v>11021</v>
      </c>
      <c r="R2000" t="str">
        <f t="shared" si="538"/>
        <v>11021</v>
      </c>
      <c r="S2000" t="str">
        <f t="shared" si="539"/>
        <v>Mozzarella di Giovanni</v>
      </c>
      <c r="T2000">
        <v>34.799999999999997</v>
      </c>
      <c r="U2000">
        <v>35</v>
      </c>
      <c r="V2000">
        <v>0</v>
      </c>
      <c r="W2000">
        <f t="shared" si="540"/>
        <v>1218</v>
      </c>
      <c r="X2000" t="str">
        <f t="shared" si="541"/>
        <v>yes</v>
      </c>
      <c r="Y2000" s="2">
        <v>35199</v>
      </c>
      <c r="Z2000" t="str">
        <f t="shared" si="527"/>
        <v/>
      </c>
      <c r="AA2000" t="str">
        <f t="shared" si="542"/>
        <v>2nd Q 1996</v>
      </c>
      <c r="AB2000" t="str" cm="1">
        <f t="array" ref="AB2000">_xlfn.IFS(Y2000&lt;DATE(1996,1,1),"",Y2000&lt;DATE(1996,4,1),"Q1",Y2000&lt;DATE(1996,7,1),"Q2",Y2000&gt;=DATE(1996,7,1),"")</f>
        <v>Q2</v>
      </c>
    </row>
    <row r="2001" spans="1:28" ht="14.4" x14ac:dyDescent="0.55000000000000004">
      <c r="A2001" t="str">
        <f>VLOOKUP(L2001,Customers!$A$2:$B$92,2,FALSE)</f>
        <v>Hanari Carnes</v>
      </c>
      <c r="B2001" t="str">
        <f>VLOOKUP(L2001,Customers!$A$2:$C$92,3,TRUE)</f>
        <v>Mario Pontes</v>
      </c>
      <c r="C2001" t="str">
        <f t="shared" si="528"/>
        <v>Mario</v>
      </c>
      <c r="D2001" s="8" t="str">
        <f t="shared" si="529"/>
        <v>Pontes</v>
      </c>
      <c r="E2001" s="8" t="str">
        <f t="shared" si="530"/>
        <v>Pontes, Mario</v>
      </c>
      <c r="F2001" s="8" t="str">
        <f t="shared" si="531"/>
        <v>Pontes, Mario</v>
      </c>
      <c r="G2001" s="8" t="str">
        <f t="shared" si="532"/>
        <v>not an outlier</v>
      </c>
      <c r="H2001" s="8" t="str">
        <f t="shared" si="533"/>
        <v>Not</v>
      </c>
      <c r="I2001" s="8" t="str">
        <f t="shared" si="543"/>
        <v>no</v>
      </c>
      <c r="J2001" s="10" t="str">
        <f t="shared" si="534"/>
        <v>no</v>
      </c>
      <c r="K2001" s="10" t="str">
        <f t="shared" si="535"/>
        <v>no</v>
      </c>
      <c r="L2001" t="s">
        <v>264</v>
      </c>
      <c r="M2001">
        <v>11022</v>
      </c>
      <c r="N2001">
        <v>19</v>
      </c>
      <c r="O2001" t="s">
        <v>732</v>
      </c>
      <c r="P2001" t="str">
        <f t="shared" si="536"/>
        <v>HANAR_11022_Teatime Chocolate Biscuits</v>
      </c>
      <c r="Q2001" t="str">
        <f t="shared" si="537"/>
        <v>11022</v>
      </c>
      <c r="R2001" t="str">
        <f t="shared" si="538"/>
        <v>11022</v>
      </c>
      <c r="S2001" t="str">
        <f t="shared" si="539"/>
        <v>Teatime Chocolate Biscuits</v>
      </c>
      <c r="T2001">
        <v>9.1999999999999993</v>
      </c>
      <c r="U2001">
        <v>35</v>
      </c>
      <c r="V2001">
        <v>0</v>
      </c>
      <c r="W2001">
        <f t="shared" si="540"/>
        <v>322</v>
      </c>
      <c r="X2001" t="str">
        <f t="shared" si="541"/>
        <v>yes</v>
      </c>
      <c r="Y2001" s="2">
        <v>35199</v>
      </c>
      <c r="Z2001" t="str">
        <f t="shared" si="527"/>
        <v/>
      </c>
      <c r="AA2001" t="str">
        <f t="shared" si="542"/>
        <v>2nd Q 1996</v>
      </c>
      <c r="AB2001" t="str" cm="1">
        <f t="array" ref="AB2001">_xlfn.IFS(Y2001&lt;DATE(1996,1,1),"",Y2001&lt;DATE(1996,4,1),"Q1",Y2001&lt;DATE(1996,7,1),"Q2",Y2001&gt;=DATE(1996,7,1),"")</f>
        <v>Q2</v>
      </c>
    </row>
    <row r="2002" spans="1:28" ht="14.4" x14ac:dyDescent="0.55000000000000004">
      <c r="A2002" t="str">
        <f>VLOOKUP(L2002,Customers!$A$2:$B$92,2,FALSE)</f>
        <v>Hanari Carnes</v>
      </c>
      <c r="B2002" t="str">
        <f>VLOOKUP(L2002,Customers!$A$2:$C$92,3,TRUE)</f>
        <v>Mario Pontes</v>
      </c>
      <c r="C2002" t="str">
        <f t="shared" si="528"/>
        <v>Mario</v>
      </c>
      <c r="D2002" s="8" t="str">
        <f t="shared" si="529"/>
        <v>Pontes</v>
      </c>
      <c r="E2002" s="8" t="str">
        <f t="shared" si="530"/>
        <v>Pontes, Mario</v>
      </c>
      <c r="F2002" s="8" t="str">
        <f t="shared" si="531"/>
        <v>Pontes, Mario</v>
      </c>
      <c r="G2002" s="8" t="str">
        <f t="shared" si="532"/>
        <v>not an outlier</v>
      </c>
      <c r="H2002" s="8" t="str">
        <f t="shared" si="533"/>
        <v>Not</v>
      </c>
      <c r="I2002" s="8" t="str">
        <f t="shared" si="543"/>
        <v>no</v>
      </c>
      <c r="J2002" s="10" t="str">
        <f t="shared" si="534"/>
        <v>no</v>
      </c>
      <c r="K2002" s="10" t="str">
        <f t="shared" si="535"/>
        <v>no</v>
      </c>
      <c r="L2002" t="s">
        <v>264</v>
      </c>
      <c r="M2002">
        <v>11022</v>
      </c>
      <c r="N2002">
        <v>69</v>
      </c>
      <c r="O2002" t="s">
        <v>743</v>
      </c>
      <c r="P2002" t="str">
        <f t="shared" si="536"/>
        <v>HANAR_11022_Gudbrandsdalsost</v>
      </c>
      <c r="Q2002" t="str">
        <f t="shared" si="537"/>
        <v>11022</v>
      </c>
      <c r="R2002" t="str">
        <f t="shared" si="538"/>
        <v>11022</v>
      </c>
      <c r="S2002" t="str">
        <f t="shared" si="539"/>
        <v>Gudbrandsdalsost</v>
      </c>
      <c r="T2002">
        <v>36</v>
      </c>
      <c r="U2002">
        <v>30</v>
      </c>
      <c r="V2002">
        <v>0</v>
      </c>
      <c r="W2002">
        <f t="shared" si="540"/>
        <v>1080</v>
      </c>
      <c r="X2002" t="str">
        <f t="shared" si="541"/>
        <v>yes</v>
      </c>
      <c r="Y2002" s="2">
        <v>35199</v>
      </c>
      <c r="Z2002" t="str">
        <f t="shared" si="527"/>
        <v/>
      </c>
      <c r="AA2002" t="str">
        <f t="shared" si="542"/>
        <v>2nd Q 1996</v>
      </c>
      <c r="AB2002" t="str" cm="1">
        <f t="array" ref="AB2002">_xlfn.IFS(Y2002&lt;DATE(1996,1,1),"",Y2002&lt;DATE(1996,4,1),"Q1",Y2002&lt;DATE(1996,7,1),"Q2",Y2002&gt;=DATE(1996,7,1),"")</f>
        <v>Q2</v>
      </c>
    </row>
    <row r="2003" spans="1:28" ht="14.4" x14ac:dyDescent="0.55000000000000004">
      <c r="A2003" t="str">
        <f>VLOOKUP(L2003,Customers!$A$2:$B$92,2,FALSE)</f>
        <v>B's Beverages</v>
      </c>
      <c r="B2003" t="str">
        <f>VLOOKUP(L2003,Customers!$A$2:$C$92,3,TRUE)</f>
        <v>Victoria Ashworth</v>
      </c>
      <c r="C2003" t="str">
        <f t="shared" si="528"/>
        <v>Victoria</v>
      </c>
      <c r="D2003" s="8" t="str">
        <f t="shared" si="529"/>
        <v>Ashworth</v>
      </c>
      <c r="E2003" s="8" t="str">
        <f t="shared" si="530"/>
        <v>Ashworth, Victoria</v>
      </c>
      <c r="F2003" s="8" t="str">
        <f t="shared" si="531"/>
        <v>Ashworth, Victoria</v>
      </c>
      <c r="G2003" s="8" t="str">
        <f t="shared" si="532"/>
        <v>not an outlier</v>
      </c>
      <c r="H2003" s="8" t="str">
        <f t="shared" si="533"/>
        <v>Not</v>
      </c>
      <c r="I2003" s="8" t="str">
        <f t="shared" si="543"/>
        <v>no</v>
      </c>
      <c r="J2003" s="10" t="str">
        <f t="shared" si="534"/>
        <v>no</v>
      </c>
      <c r="K2003" s="10" t="str">
        <f t="shared" si="535"/>
        <v>no</v>
      </c>
      <c r="L2003" t="s">
        <v>95</v>
      </c>
      <c r="M2003">
        <v>11023</v>
      </c>
      <c r="N2003">
        <v>7</v>
      </c>
      <c r="O2003" t="s">
        <v>715</v>
      </c>
      <c r="P2003" t="str">
        <f t="shared" si="536"/>
        <v>BSBEV_11023_Uncle Bob's Organic Dried Pears</v>
      </c>
      <c r="Q2003" t="str">
        <f t="shared" si="537"/>
        <v>11023</v>
      </c>
      <c r="R2003" t="str">
        <f t="shared" si="538"/>
        <v>11023</v>
      </c>
      <c r="S2003" t="str">
        <f t="shared" si="539"/>
        <v>Uncle Bob's Organic Dried Pears</v>
      </c>
      <c r="T2003">
        <v>30</v>
      </c>
      <c r="U2003">
        <v>4</v>
      </c>
      <c r="V2003">
        <v>0</v>
      </c>
      <c r="W2003">
        <f t="shared" si="540"/>
        <v>120</v>
      </c>
      <c r="X2003" t="str">
        <f t="shared" si="541"/>
        <v>yes</v>
      </c>
      <c r="Y2003" s="2">
        <v>35199</v>
      </c>
      <c r="Z2003" t="str">
        <f t="shared" si="527"/>
        <v/>
      </c>
      <c r="AA2003" t="str">
        <f t="shared" si="542"/>
        <v>2nd Q 1996</v>
      </c>
      <c r="AB2003" t="str" cm="1">
        <f t="array" ref="AB2003">_xlfn.IFS(Y2003&lt;DATE(1996,1,1),"",Y2003&lt;DATE(1996,4,1),"Q1",Y2003&lt;DATE(1996,7,1),"Q2",Y2003&gt;=DATE(1996,7,1),"")</f>
        <v>Q2</v>
      </c>
    </row>
    <row r="2004" spans="1:28" ht="14.4" x14ac:dyDescent="0.55000000000000004">
      <c r="A2004" t="str">
        <f>VLOOKUP(L2004,Customers!$A$2:$B$92,2,FALSE)</f>
        <v>B's Beverages</v>
      </c>
      <c r="B2004" t="str">
        <f>VLOOKUP(L2004,Customers!$A$2:$C$92,3,TRUE)</f>
        <v>Victoria Ashworth</v>
      </c>
      <c r="C2004" t="str">
        <f t="shared" si="528"/>
        <v>Victoria</v>
      </c>
      <c r="D2004" s="8" t="str">
        <f t="shared" si="529"/>
        <v>Ashworth</v>
      </c>
      <c r="E2004" s="8" t="str">
        <f t="shared" si="530"/>
        <v>Ashworth, Victoria</v>
      </c>
      <c r="F2004" s="8" t="str">
        <f t="shared" si="531"/>
        <v>Ashworth, Victoria</v>
      </c>
      <c r="G2004" s="8" t="str">
        <f t="shared" si="532"/>
        <v>not an outlier</v>
      </c>
      <c r="H2004" s="8" t="str">
        <f t="shared" si="533"/>
        <v>Not</v>
      </c>
      <c r="I2004" s="8" t="str">
        <f t="shared" si="543"/>
        <v>no</v>
      </c>
      <c r="J2004" s="10" t="str">
        <f t="shared" si="534"/>
        <v>no</v>
      </c>
      <c r="K2004" s="10" t="str">
        <f t="shared" si="535"/>
        <v>no</v>
      </c>
      <c r="L2004" t="s">
        <v>95</v>
      </c>
      <c r="M2004">
        <v>11023</v>
      </c>
      <c r="N2004">
        <v>43</v>
      </c>
      <c r="O2004" t="s">
        <v>723</v>
      </c>
      <c r="P2004" t="str">
        <f t="shared" si="536"/>
        <v>BSBEV_11023_Ipoh Coffee</v>
      </c>
      <c r="Q2004" t="str">
        <f t="shared" si="537"/>
        <v>11023</v>
      </c>
      <c r="R2004" t="str">
        <f t="shared" si="538"/>
        <v>11023</v>
      </c>
      <c r="S2004" t="str">
        <f t="shared" si="539"/>
        <v>Ipoh Coffee</v>
      </c>
      <c r="T2004">
        <v>46</v>
      </c>
      <c r="U2004">
        <v>30</v>
      </c>
      <c r="V2004">
        <v>0</v>
      </c>
      <c r="W2004">
        <f t="shared" si="540"/>
        <v>1380</v>
      </c>
      <c r="X2004" t="str">
        <f t="shared" si="541"/>
        <v>yes</v>
      </c>
      <c r="Y2004" s="2">
        <v>35199</v>
      </c>
      <c r="Z2004" t="str">
        <f t="shared" si="527"/>
        <v/>
      </c>
      <c r="AA2004" t="str">
        <f t="shared" si="542"/>
        <v>2nd Q 1996</v>
      </c>
      <c r="AB2004" t="str" cm="1">
        <f t="array" ref="AB2004">_xlfn.IFS(Y2004&lt;DATE(1996,1,1),"",Y2004&lt;DATE(1996,4,1),"Q1",Y2004&lt;DATE(1996,7,1),"Q2",Y2004&gt;=DATE(1996,7,1),"")</f>
        <v>Q2</v>
      </c>
    </row>
    <row r="2005" spans="1:28" ht="14.4" x14ac:dyDescent="0.55000000000000004">
      <c r="A2005" t="str">
        <f>VLOOKUP(L2005,Customers!$A$2:$B$92,2,FALSE)</f>
        <v>Eastern Connection</v>
      </c>
      <c r="B2005" t="str">
        <f>VLOOKUP(L2005,Customers!$A$2:$C$92,3,TRUE)</f>
        <v>Ann Devon</v>
      </c>
      <c r="C2005" t="str">
        <f t="shared" si="528"/>
        <v>Ann</v>
      </c>
      <c r="D2005" s="8" t="str">
        <f t="shared" si="529"/>
        <v>Devon</v>
      </c>
      <c r="E2005" s="8" t="str">
        <f t="shared" si="530"/>
        <v>Devon, Ann</v>
      </c>
      <c r="F2005" s="8" t="str">
        <f t="shared" si="531"/>
        <v>Devon, Ann</v>
      </c>
      <c r="G2005" s="8" t="str">
        <f t="shared" si="532"/>
        <v>not an outlier</v>
      </c>
      <c r="H2005" s="8" t="str">
        <f t="shared" si="533"/>
        <v>Not</v>
      </c>
      <c r="I2005" s="8" t="str">
        <f t="shared" si="543"/>
        <v>no</v>
      </c>
      <c r="J2005" s="10" t="str">
        <f t="shared" si="534"/>
        <v>no</v>
      </c>
      <c r="K2005" s="10" t="str">
        <f t="shared" si="535"/>
        <v>no</v>
      </c>
      <c r="L2005" t="s">
        <v>154</v>
      </c>
      <c r="M2005">
        <v>11024</v>
      </c>
      <c r="N2005">
        <v>26</v>
      </c>
      <c r="O2005" t="s">
        <v>751</v>
      </c>
      <c r="P2005" t="str">
        <f t="shared" si="536"/>
        <v>EASTC_11024_Gumbär Gummibärchen</v>
      </c>
      <c r="Q2005" t="str">
        <f t="shared" si="537"/>
        <v>11024</v>
      </c>
      <c r="R2005" t="str">
        <f t="shared" si="538"/>
        <v>11024</v>
      </c>
      <c r="S2005" t="str">
        <f t="shared" si="539"/>
        <v>Gumbär Gummibärchen</v>
      </c>
      <c r="T2005">
        <v>31.23</v>
      </c>
      <c r="U2005">
        <v>12</v>
      </c>
      <c r="V2005">
        <v>0</v>
      </c>
      <c r="W2005">
        <f t="shared" si="540"/>
        <v>374.76</v>
      </c>
      <c r="X2005" t="str">
        <f t="shared" si="541"/>
        <v>yes</v>
      </c>
      <c r="Y2005" s="2">
        <v>35200</v>
      </c>
      <c r="Z2005" t="str">
        <f t="shared" si="527"/>
        <v/>
      </c>
      <c r="AA2005" t="str">
        <f t="shared" si="542"/>
        <v>2nd Q 1996</v>
      </c>
      <c r="AB2005" t="str" cm="1">
        <f t="array" ref="AB2005">_xlfn.IFS(Y2005&lt;DATE(1996,1,1),"",Y2005&lt;DATE(1996,4,1),"Q1",Y2005&lt;DATE(1996,7,1),"Q2",Y2005&gt;=DATE(1996,7,1),"")</f>
        <v>Q2</v>
      </c>
    </row>
    <row r="2006" spans="1:28" ht="14.4" x14ac:dyDescent="0.55000000000000004">
      <c r="A2006" t="str">
        <f>VLOOKUP(L2006,Customers!$A$2:$B$92,2,FALSE)</f>
        <v>Eastern Connection</v>
      </c>
      <c r="B2006" t="str">
        <f>VLOOKUP(L2006,Customers!$A$2:$C$92,3,TRUE)</f>
        <v>Ann Devon</v>
      </c>
      <c r="C2006" t="str">
        <f t="shared" si="528"/>
        <v>Ann</v>
      </c>
      <c r="D2006" s="8" t="str">
        <f t="shared" si="529"/>
        <v>Devon</v>
      </c>
      <c r="E2006" s="8" t="str">
        <f t="shared" si="530"/>
        <v>Devon, Ann</v>
      </c>
      <c r="F2006" s="8" t="str">
        <f t="shared" si="531"/>
        <v>Devon, Ann</v>
      </c>
      <c r="G2006" s="8" t="str">
        <f t="shared" si="532"/>
        <v>not an outlier</v>
      </c>
      <c r="H2006" s="8" t="str">
        <f t="shared" si="533"/>
        <v>Not</v>
      </c>
      <c r="I2006" s="8" t="str">
        <f t="shared" si="543"/>
        <v>no</v>
      </c>
      <c r="J2006" s="10" t="str">
        <f t="shared" si="534"/>
        <v>no</v>
      </c>
      <c r="K2006" s="10" t="str">
        <f t="shared" si="535"/>
        <v>no</v>
      </c>
      <c r="L2006" t="s">
        <v>154</v>
      </c>
      <c r="M2006">
        <v>11024</v>
      </c>
      <c r="N2006">
        <v>33</v>
      </c>
      <c r="O2006" t="s">
        <v>693</v>
      </c>
      <c r="P2006" t="str">
        <f t="shared" si="536"/>
        <v>EASTC_11024_Geitost</v>
      </c>
      <c r="Q2006" t="str">
        <f t="shared" si="537"/>
        <v>11024</v>
      </c>
      <c r="R2006" t="str">
        <f t="shared" si="538"/>
        <v>11024</v>
      </c>
      <c r="S2006" t="str">
        <f t="shared" si="539"/>
        <v>Geitost</v>
      </c>
      <c r="T2006">
        <v>2.5</v>
      </c>
      <c r="U2006">
        <v>30</v>
      </c>
      <c r="V2006">
        <v>0</v>
      </c>
      <c r="W2006">
        <f t="shared" si="540"/>
        <v>75</v>
      </c>
      <c r="X2006" t="str">
        <f t="shared" si="541"/>
        <v>yes</v>
      </c>
      <c r="Y2006" s="2">
        <v>35200</v>
      </c>
      <c r="Z2006" t="str">
        <f t="shared" si="527"/>
        <v/>
      </c>
      <c r="AA2006" t="str">
        <f t="shared" si="542"/>
        <v>2nd Q 1996</v>
      </c>
      <c r="AB2006" t="str" cm="1">
        <f t="array" ref="AB2006">_xlfn.IFS(Y2006&lt;DATE(1996,1,1),"",Y2006&lt;DATE(1996,4,1),"Q1",Y2006&lt;DATE(1996,7,1),"Q2",Y2006&gt;=DATE(1996,7,1),"")</f>
        <v>Q2</v>
      </c>
    </row>
    <row r="2007" spans="1:28" ht="14.4" x14ac:dyDescent="0.55000000000000004">
      <c r="A2007" t="str">
        <f>VLOOKUP(L2007,Customers!$A$2:$B$92,2,FALSE)</f>
        <v>Eastern Connection</v>
      </c>
      <c r="B2007" t="str">
        <f>VLOOKUP(L2007,Customers!$A$2:$C$92,3,TRUE)</f>
        <v>Ann Devon</v>
      </c>
      <c r="C2007" t="str">
        <f t="shared" si="528"/>
        <v>Ann</v>
      </c>
      <c r="D2007" s="8" t="str">
        <f t="shared" si="529"/>
        <v>Devon</v>
      </c>
      <c r="E2007" s="8" t="str">
        <f t="shared" si="530"/>
        <v>Devon, Ann</v>
      </c>
      <c r="F2007" s="8" t="str">
        <f t="shared" si="531"/>
        <v>Devon, Ann</v>
      </c>
      <c r="G2007" s="8" t="str">
        <f t="shared" si="532"/>
        <v>not an outlier</v>
      </c>
      <c r="H2007" s="8" t="str">
        <f t="shared" si="533"/>
        <v>Not</v>
      </c>
      <c r="I2007" s="8" t="str">
        <f t="shared" si="543"/>
        <v>no</v>
      </c>
      <c r="J2007" s="10" t="str">
        <f t="shared" si="534"/>
        <v>no</v>
      </c>
      <c r="K2007" s="10" t="str">
        <f t="shared" si="535"/>
        <v>no</v>
      </c>
      <c r="L2007" t="s">
        <v>154</v>
      </c>
      <c r="M2007">
        <v>11024</v>
      </c>
      <c r="N2007">
        <v>65</v>
      </c>
      <c r="O2007" t="s">
        <v>689</v>
      </c>
      <c r="P2007" t="str">
        <f t="shared" si="536"/>
        <v>EASTC_11024_Louisiana Fiery Hot Pepper Sauce</v>
      </c>
      <c r="Q2007" t="str">
        <f t="shared" si="537"/>
        <v>11024</v>
      </c>
      <c r="R2007" t="str">
        <f t="shared" si="538"/>
        <v>11024</v>
      </c>
      <c r="S2007" t="str">
        <f t="shared" si="539"/>
        <v>Louisiana Fiery Hot Pepper Sauce</v>
      </c>
      <c r="T2007">
        <v>21.05</v>
      </c>
      <c r="U2007">
        <v>21</v>
      </c>
      <c r="V2007">
        <v>0</v>
      </c>
      <c r="W2007">
        <f t="shared" si="540"/>
        <v>442.05</v>
      </c>
      <c r="X2007" t="str">
        <f t="shared" si="541"/>
        <v>yes</v>
      </c>
      <c r="Y2007" s="2">
        <v>35200</v>
      </c>
      <c r="Z2007" t="str">
        <f t="shared" si="527"/>
        <v/>
      </c>
      <c r="AA2007" t="str">
        <f t="shared" si="542"/>
        <v>2nd Q 1996</v>
      </c>
      <c r="AB2007" t="str" cm="1">
        <f t="array" ref="AB2007">_xlfn.IFS(Y2007&lt;DATE(1996,1,1),"",Y2007&lt;DATE(1996,4,1),"Q1",Y2007&lt;DATE(1996,7,1),"Q2",Y2007&gt;=DATE(1996,7,1),"")</f>
        <v>Q2</v>
      </c>
    </row>
    <row r="2008" spans="1:28" ht="14.4" x14ac:dyDescent="0.55000000000000004">
      <c r="A2008" t="str">
        <f>VLOOKUP(L2008,Customers!$A$2:$B$92,2,FALSE)</f>
        <v>Eastern Connection</v>
      </c>
      <c r="B2008" t="str">
        <f>VLOOKUP(L2008,Customers!$A$2:$C$92,3,TRUE)</f>
        <v>Ann Devon</v>
      </c>
      <c r="C2008" t="str">
        <f t="shared" si="528"/>
        <v>Ann</v>
      </c>
      <c r="D2008" s="8" t="str">
        <f t="shared" si="529"/>
        <v>Devon</v>
      </c>
      <c r="E2008" s="8" t="str">
        <f t="shared" si="530"/>
        <v>Devon, Ann</v>
      </c>
      <c r="F2008" s="8" t="str">
        <f t="shared" si="531"/>
        <v>Devon, Ann</v>
      </c>
      <c r="G2008" s="8" t="str">
        <f t="shared" si="532"/>
        <v>not an outlier</v>
      </c>
      <c r="H2008" s="8" t="str">
        <f t="shared" si="533"/>
        <v>Not</v>
      </c>
      <c r="I2008" s="8" t="str">
        <f t="shared" si="543"/>
        <v>no</v>
      </c>
      <c r="J2008" s="10" t="str">
        <f t="shared" si="534"/>
        <v>no</v>
      </c>
      <c r="K2008" s="10" t="str">
        <f t="shared" si="535"/>
        <v>no</v>
      </c>
      <c r="L2008" t="s">
        <v>154</v>
      </c>
      <c r="M2008">
        <v>11024</v>
      </c>
      <c r="N2008">
        <v>71</v>
      </c>
      <c r="O2008" t="s">
        <v>725</v>
      </c>
      <c r="P2008" t="str">
        <f t="shared" si="536"/>
        <v>EASTC_11024_Fløtemysost</v>
      </c>
      <c r="Q2008" t="str">
        <f t="shared" si="537"/>
        <v>11024</v>
      </c>
      <c r="R2008" t="str">
        <f t="shared" si="538"/>
        <v>11024</v>
      </c>
      <c r="S2008" t="str">
        <f t="shared" si="539"/>
        <v>Fløtemysost</v>
      </c>
      <c r="T2008">
        <v>21.5</v>
      </c>
      <c r="U2008">
        <v>50</v>
      </c>
      <c r="V2008">
        <v>0</v>
      </c>
      <c r="W2008">
        <f t="shared" si="540"/>
        <v>1075</v>
      </c>
      <c r="X2008" t="str">
        <f t="shared" si="541"/>
        <v>yes</v>
      </c>
      <c r="Y2008" s="2">
        <v>35200</v>
      </c>
      <c r="Z2008" t="str">
        <f t="shared" si="527"/>
        <v/>
      </c>
      <c r="AA2008" t="str">
        <f t="shared" si="542"/>
        <v>2nd Q 1996</v>
      </c>
      <c r="AB2008" t="str" cm="1">
        <f t="array" ref="AB2008">_xlfn.IFS(Y2008&lt;DATE(1996,1,1),"",Y2008&lt;DATE(1996,4,1),"Q1",Y2008&lt;DATE(1996,7,1),"Q2",Y2008&gt;=DATE(1996,7,1),"")</f>
        <v>Q2</v>
      </c>
    </row>
    <row r="2009" spans="1:28" ht="14.4" x14ac:dyDescent="0.55000000000000004">
      <c r="A2009" t="str">
        <f>VLOOKUP(L2009,Customers!$A$2:$B$92,2,FALSE)</f>
        <v>Wartian Herkku</v>
      </c>
      <c r="B2009" t="str">
        <f>VLOOKUP(L2009,Customers!$A$2:$C$92,3,TRUE)</f>
        <v>Pirkko Koskitalo</v>
      </c>
      <c r="C2009" t="str">
        <f t="shared" si="528"/>
        <v>Pirkko</v>
      </c>
      <c r="D2009" s="8" t="str">
        <f t="shared" si="529"/>
        <v>Koskitalo</v>
      </c>
      <c r="E2009" s="8" t="str">
        <f t="shared" si="530"/>
        <v>Koskitalo, Pirkko</v>
      </c>
      <c r="F2009" s="8" t="str">
        <f t="shared" si="531"/>
        <v>Koskitalo, Pirkko</v>
      </c>
      <c r="G2009" s="8" t="str">
        <f t="shared" si="532"/>
        <v>not an outlier</v>
      </c>
      <c r="H2009" s="8" t="str">
        <f t="shared" si="533"/>
        <v>Not</v>
      </c>
      <c r="I2009" s="8" t="str">
        <f t="shared" si="543"/>
        <v>no</v>
      </c>
      <c r="J2009" s="10" t="str">
        <f t="shared" si="534"/>
        <v>no</v>
      </c>
      <c r="K2009" s="10" t="str">
        <f t="shared" si="535"/>
        <v>no</v>
      </c>
      <c r="L2009" t="s">
        <v>640</v>
      </c>
      <c r="M2009">
        <v>11025</v>
      </c>
      <c r="N2009">
        <v>1</v>
      </c>
      <c r="O2009" t="s">
        <v>735</v>
      </c>
      <c r="P2009" t="str">
        <f t="shared" si="536"/>
        <v>WARTH_11025_Chai</v>
      </c>
      <c r="Q2009" t="str">
        <f t="shared" si="537"/>
        <v>11025</v>
      </c>
      <c r="R2009" t="str">
        <f t="shared" si="538"/>
        <v>11025</v>
      </c>
      <c r="S2009" t="str">
        <f t="shared" si="539"/>
        <v>Chai</v>
      </c>
      <c r="T2009">
        <v>18</v>
      </c>
      <c r="U2009">
        <v>10</v>
      </c>
      <c r="V2009">
        <v>0.1</v>
      </c>
      <c r="W2009">
        <f t="shared" si="540"/>
        <v>162</v>
      </c>
      <c r="X2009" t="str">
        <f t="shared" si="541"/>
        <v>yes</v>
      </c>
      <c r="Y2009" s="2">
        <v>35200</v>
      </c>
      <c r="Z2009" t="str">
        <f t="shared" si="527"/>
        <v/>
      </c>
      <c r="AA2009" t="str">
        <f t="shared" si="542"/>
        <v>2nd Q 1996</v>
      </c>
      <c r="AB2009" t="str" cm="1">
        <f t="array" ref="AB2009">_xlfn.IFS(Y2009&lt;DATE(1996,1,1),"",Y2009&lt;DATE(1996,4,1),"Q1",Y2009&lt;DATE(1996,7,1),"Q2",Y2009&gt;=DATE(1996,7,1),"")</f>
        <v>Q2</v>
      </c>
    </row>
    <row r="2010" spans="1:28" ht="14.4" x14ac:dyDescent="0.55000000000000004">
      <c r="A2010" t="str">
        <f>VLOOKUP(L2010,Customers!$A$2:$B$92,2,FALSE)</f>
        <v>Wartian Herkku</v>
      </c>
      <c r="B2010" t="str">
        <f>VLOOKUP(L2010,Customers!$A$2:$C$92,3,TRUE)</f>
        <v>Pirkko Koskitalo</v>
      </c>
      <c r="C2010" t="str">
        <f t="shared" si="528"/>
        <v>Pirkko</v>
      </c>
      <c r="D2010" s="8" t="str">
        <f t="shared" si="529"/>
        <v>Koskitalo</v>
      </c>
      <c r="E2010" s="8" t="str">
        <f t="shared" si="530"/>
        <v>Koskitalo, Pirkko</v>
      </c>
      <c r="F2010" s="8" t="str">
        <f t="shared" si="531"/>
        <v>Koskitalo, Pirkko</v>
      </c>
      <c r="G2010" s="8" t="str">
        <f t="shared" si="532"/>
        <v>not an outlier</v>
      </c>
      <c r="H2010" s="8" t="str">
        <f t="shared" si="533"/>
        <v>Not</v>
      </c>
      <c r="I2010" s="8" t="str">
        <f t="shared" si="543"/>
        <v>no</v>
      </c>
      <c r="J2010" s="10" t="str">
        <f t="shared" si="534"/>
        <v>no</v>
      </c>
      <c r="K2010" s="10" t="str">
        <f t="shared" si="535"/>
        <v>no</v>
      </c>
      <c r="L2010" t="s">
        <v>640</v>
      </c>
      <c r="M2010">
        <v>11025</v>
      </c>
      <c r="N2010">
        <v>13</v>
      </c>
      <c r="O2010" t="s">
        <v>726</v>
      </c>
      <c r="P2010" t="str">
        <f t="shared" si="536"/>
        <v>WARTH_11025_Konbu</v>
      </c>
      <c r="Q2010" t="str">
        <f t="shared" si="537"/>
        <v>11025</v>
      </c>
      <c r="R2010" t="str">
        <f t="shared" si="538"/>
        <v>11025</v>
      </c>
      <c r="S2010" t="str">
        <f t="shared" si="539"/>
        <v>Konbu</v>
      </c>
      <c r="T2010">
        <v>6</v>
      </c>
      <c r="U2010">
        <v>20</v>
      </c>
      <c r="V2010">
        <v>0.1</v>
      </c>
      <c r="W2010">
        <f t="shared" si="540"/>
        <v>108</v>
      </c>
      <c r="X2010" t="str">
        <f t="shared" si="541"/>
        <v>yes</v>
      </c>
      <c r="Y2010" s="2">
        <v>35200</v>
      </c>
      <c r="Z2010" t="str">
        <f t="shared" si="527"/>
        <v/>
      </c>
      <c r="AA2010" t="str">
        <f t="shared" si="542"/>
        <v>2nd Q 1996</v>
      </c>
      <c r="AB2010" t="str" cm="1">
        <f t="array" ref="AB2010">_xlfn.IFS(Y2010&lt;DATE(1996,1,1),"",Y2010&lt;DATE(1996,4,1),"Q1",Y2010&lt;DATE(1996,7,1),"Q2",Y2010&gt;=DATE(1996,7,1),"")</f>
        <v>Q2</v>
      </c>
    </row>
    <row r="2011" spans="1:28" ht="14.4" x14ac:dyDescent="0.55000000000000004">
      <c r="A2011" t="str">
        <f>VLOOKUP(L2011,Customers!$A$2:$B$92,2,FALSE)</f>
        <v>Franchi S.p.A.</v>
      </c>
      <c r="B2011" t="str">
        <f>VLOOKUP(L2011,Customers!$A$2:$C$92,3,TRUE)</f>
        <v>Paolo Accorti</v>
      </c>
      <c r="C2011" t="str">
        <f t="shared" si="528"/>
        <v>Paolo</v>
      </c>
      <c r="D2011" s="8" t="str">
        <f t="shared" si="529"/>
        <v>Accorti</v>
      </c>
      <c r="E2011" s="8" t="str">
        <f t="shared" si="530"/>
        <v>Accorti, Paolo</v>
      </c>
      <c r="F2011" s="8" t="str">
        <f t="shared" si="531"/>
        <v>Accorti, Paolo</v>
      </c>
      <c r="G2011" s="8" t="str">
        <f t="shared" si="532"/>
        <v>not an outlier</v>
      </c>
      <c r="H2011" s="8" t="str">
        <f t="shared" si="533"/>
        <v>Not</v>
      </c>
      <c r="I2011" s="8" t="str">
        <f t="shared" si="543"/>
        <v>no</v>
      </c>
      <c r="J2011" s="10" t="str">
        <f t="shared" si="534"/>
        <v>no</v>
      </c>
      <c r="K2011" s="10" t="str">
        <f t="shared" si="535"/>
        <v>no</v>
      </c>
      <c r="L2011" t="s">
        <v>211</v>
      </c>
      <c r="M2011">
        <v>11026</v>
      </c>
      <c r="N2011">
        <v>18</v>
      </c>
      <c r="O2011" t="s">
        <v>742</v>
      </c>
      <c r="P2011" t="str">
        <f t="shared" si="536"/>
        <v>FRANS_11026_Carnarvon Tigers</v>
      </c>
      <c r="Q2011" t="str">
        <f t="shared" si="537"/>
        <v>11026</v>
      </c>
      <c r="R2011" t="str">
        <f t="shared" si="538"/>
        <v>11026</v>
      </c>
      <c r="S2011" t="str">
        <f t="shared" si="539"/>
        <v>Carnarvon Tigers</v>
      </c>
      <c r="T2011">
        <v>62.5</v>
      </c>
      <c r="U2011">
        <v>8</v>
      </c>
      <c r="V2011">
        <v>0</v>
      </c>
      <c r="W2011">
        <f t="shared" si="540"/>
        <v>500</v>
      </c>
      <c r="X2011" t="str">
        <f t="shared" si="541"/>
        <v>yes</v>
      </c>
      <c r="Y2011" s="2">
        <v>35200</v>
      </c>
      <c r="Z2011" t="str">
        <f t="shared" si="527"/>
        <v/>
      </c>
      <c r="AA2011" t="str">
        <f t="shared" si="542"/>
        <v>2nd Q 1996</v>
      </c>
      <c r="AB2011" t="str" cm="1">
        <f t="array" ref="AB2011">_xlfn.IFS(Y2011&lt;DATE(1996,1,1),"",Y2011&lt;DATE(1996,4,1),"Q1",Y2011&lt;DATE(1996,7,1),"Q2",Y2011&gt;=DATE(1996,7,1),"")</f>
        <v>Q2</v>
      </c>
    </row>
    <row r="2012" spans="1:28" ht="14.4" x14ac:dyDescent="0.55000000000000004">
      <c r="A2012" t="str">
        <f>VLOOKUP(L2012,Customers!$A$2:$B$92,2,FALSE)</f>
        <v>Franchi S.p.A.</v>
      </c>
      <c r="B2012" t="str">
        <f>VLOOKUP(L2012,Customers!$A$2:$C$92,3,TRUE)</f>
        <v>Paolo Accorti</v>
      </c>
      <c r="C2012" t="str">
        <f t="shared" si="528"/>
        <v>Paolo</v>
      </c>
      <c r="D2012" s="8" t="str">
        <f t="shared" si="529"/>
        <v>Accorti</v>
      </c>
      <c r="E2012" s="8" t="str">
        <f t="shared" si="530"/>
        <v>Accorti, Paolo</v>
      </c>
      <c r="F2012" s="8" t="str">
        <f t="shared" si="531"/>
        <v>Accorti, Paolo</v>
      </c>
      <c r="G2012" s="8" t="str">
        <f t="shared" si="532"/>
        <v>not an outlier</v>
      </c>
      <c r="H2012" s="8" t="str">
        <f t="shared" si="533"/>
        <v>Not</v>
      </c>
      <c r="I2012" s="8" t="str">
        <f t="shared" si="543"/>
        <v>no</v>
      </c>
      <c r="J2012" s="10" t="str">
        <f t="shared" si="534"/>
        <v>no</v>
      </c>
      <c r="K2012" s="10" t="str">
        <f t="shared" si="535"/>
        <v>no</v>
      </c>
      <c r="L2012" t="s">
        <v>211</v>
      </c>
      <c r="M2012">
        <v>11026</v>
      </c>
      <c r="N2012">
        <v>51</v>
      </c>
      <c r="O2012" t="s">
        <v>687</v>
      </c>
      <c r="P2012" t="str">
        <f t="shared" si="536"/>
        <v>FRANS_11026_Manjimup Dried Apples</v>
      </c>
      <c r="Q2012" t="str">
        <f t="shared" si="537"/>
        <v>11026</v>
      </c>
      <c r="R2012" t="str">
        <f t="shared" si="538"/>
        <v>11026</v>
      </c>
      <c r="S2012" t="str">
        <f t="shared" si="539"/>
        <v>Manjimup Dried Apples</v>
      </c>
      <c r="T2012">
        <v>53</v>
      </c>
      <c r="U2012">
        <v>10</v>
      </c>
      <c r="V2012">
        <v>0</v>
      </c>
      <c r="W2012">
        <f t="shared" si="540"/>
        <v>530</v>
      </c>
      <c r="X2012" t="str">
        <f t="shared" si="541"/>
        <v>yes</v>
      </c>
      <c r="Y2012" s="2">
        <v>35200</v>
      </c>
      <c r="Z2012" t="str">
        <f t="shared" si="527"/>
        <v/>
      </c>
      <c r="AA2012" t="str">
        <f t="shared" si="542"/>
        <v>2nd Q 1996</v>
      </c>
      <c r="AB2012" t="str" cm="1">
        <f t="array" ref="AB2012">_xlfn.IFS(Y2012&lt;DATE(1996,1,1),"",Y2012&lt;DATE(1996,4,1),"Q1",Y2012&lt;DATE(1996,7,1),"Q2",Y2012&gt;=DATE(1996,7,1),"")</f>
        <v>Q2</v>
      </c>
    </row>
    <row r="2013" spans="1:28" ht="14.4" x14ac:dyDescent="0.55000000000000004">
      <c r="A2013" t="str">
        <f>VLOOKUP(L2013,Customers!$A$2:$B$92,2,FALSE)</f>
        <v>Bottom-Dollar Markets</v>
      </c>
      <c r="B2013" t="str">
        <f>VLOOKUP(L2013,Customers!$A$2:$C$92,3,TRUE)</f>
        <v>Elizabeth Lincoln</v>
      </c>
      <c r="C2013" t="str">
        <f t="shared" si="528"/>
        <v>Elizabeth</v>
      </c>
      <c r="D2013" s="8" t="str">
        <f t="shared" si="529"/>
        <v>Lincoln</v>
      </c>
      <c r="E2013" s="8" t="str">
        <f t="shared" si="530"/>
        <v>Lincoln, Elizabeth</v>
      </c>
      <c r="F2013" s="8" t="str">
        <f t="shared" si="531"/>
        <v>Lincoln, Elizabeth</v>
      </c>
      <c r="G2013" s="8" t="str">
        <f t="shared" si="532"/>
        <v>not an outlier</v>
      </c>
      <c r="H2013" s="8" t="str">
        <f t="shared" si="533"/>
        <v>Not</v>
      </c>
      <c r="I2013" s="8" t="str">
        <f t="shared" si="543"/>
        <v>no</v>
      </c>
      <c r="J2013" s="10" t="str">
        <f t="shared" si="534"/>
        <v>no</v>
      </c>
      <c r="K2013" s="10" t="str">
        <f t="shared" si="535"/>
        <v>no</v>
      </c>
      <c r="L2013" t="s">
        <v>84</v>
      </c>
      <c r="M2013">
        <v>11027</v>
      </c>
      <c r="N2013">
        <v>24</v>
      </c>
      <c r="O2013" t="s">
        <v>698</v>
      </c>
      <c r="P2013" t="str">
        <f t="shared" si="536"/>
        <v>BOTTM_11027_Guaraná Fantástica</v>
      </c>
      <c r="Q2013" t="str">
        <f t="shared" si="537"/>
        <v>11027</v>
      </c>
      <c r="R2013" t="str">
        <f t="shared" si="538"/>
        <v>11027</v>
      </c>
      <c r="S2013" t="str">
        <f t="shared" si="539"/>
        <v>Guaraná Fantástica</v>
      </c>
      <c r="T2013">
        <v>4.5</v>
      </c>
      <c r="U2013">
        <v>30</v>
      </c>
      <c r="V2013">
        <v>0.25</v>
      </c>
      <c r="W2013">
        <f t="shared" si="540"/>
        <v>101.25</v>
      </c>
      <c r="X2013" t="str">
        <f t="shared" si="541"/>
        <v>yes</v>
      </c>
      <c r="Y2013" s="2">
        <v>35201</v>
      </c>
      <c r="Z2013" t="str">
        <f t="shared" si="527"/>
        <v/>
      </c>
      <c r="AA2013" t="str">
        <f t="shared" si="542"/>
        <v>2nd Q 1996</v>
      </c>
      <c r="AB2013" t="str" cm="1">
        <f t="array" ref="AB2013">_xlfn.IFS(Y2013&lt;DATE(1996,1,1),"",Y2013&lt;DATE(1996,4,1),"Q1",Y2013&lt;DATE(1996,7,1),"Q2",Y2013&gt;=DATE(1996,7,1),"")</f>
        <v>Q2</v>
      </c>
    </row>
    <row r="2014" spans="1:28" ht="14.4" x14ac:dyDescent="0.55000000000000004">
      <c r="A2014" t="str">
        <f>VLOOKUP(L2014,Customers!$A$2:$B$92,2,FALSE)</f>
        <v>Bottom-Dollar Markets</v>
      </c>
      <c r="B2014" t="str">
        <f>VLOOKUP(L2014,Customers!$A$2:$C$92,3,TRUE)</f>
        <v>Elizabeth Lincoln</v>
      </c>
      <c r="C2014" t="str">
        <f t="shared" si="528"/>
        <v>Elizabeth</v>
      </c>
      <c r="D2014" s="8" t="str">
        <f t="shared" si="529"/>
        <v>Lincoln</v>
      </c>
      <c r="E2014" s="8" t="str">
        <f t="shared" si="530"/>
        <v>Lincoln, Elizabeth</v>
      </c>
      <c r="F2014" s="8" t="str">
        <f t="shared" si="531"/>
        <v>Lincoln, Elizabeth</v>
      </c>
      <c r="G2014" s="8" t="str">
        <f t="shared" si="532"/>
        <v>not an outlier</v>
      </c>
      <c r="H2014" s="8" t="str">
        <f t="shared" si="533"/>
        <v>Not</v>
      </c>
      <c r="I2014" s="8" t="str">
        <f t="shared" si="543"/>
        <v>no</v>
      </c>
      <c r="J2014" s="10" t="str">
        <f t="shared" si="534"/>
        <v>no</v>
      </c>
      <c r="K2014" s="10" t="str">
        <f t="shared" si="535"/>
        <v>no</v>
      </c>
      <c r="L2014" t="s">
        <v>84</v>
      </c>
      <c r="M2014">
        <v>11027</v>
      </c>
      <c r="N2014">
        <v>62</v>
      </c>
      <c r="O2014" t="s">
        <v>712</v>
      </c>
      <c r="P2014" t="str">
        <f t="shared" si="536"/>
        <v>BOTTM_11027_Tarte au sucre</v>
      </c>
      <c r="Q2014" t="str">
        <f t="shared" si="537"/>
        <v>11027</v>
      </c>
      <c r="R2014" t="str">
        <f t="shared" si="538"/>
        <v>11027</v>
      </c>
      <c r="S2014" t="str">
        <f t="shared" si="539"/>
        <v>Tarte au sucre</v>
      </c>
      <c r="T2014">
        <v>49.3</v>
      </c>
      <c r="U2014">
        <v>21</v>
      </c>
      <c r="V2014">
        <v>0.25</v>
      </c>
      <c r="W2014">
        <f t="shared" si="540"/>
        <v>776.47499999999991</v>
      </c>
      <c r="X2014" t="str">
        <f t="shared" si="541"/>
        <v>yes</v>
      </c>
      <c r="Y2014" s="2">
        <v>35201</v>
      </c>
      <c r="Z2014" t="str">
        <f t="shared" si="527"/>
        <v/>
      </c>
      <c r="AA2014" t="str">
        <f t="shared" si="542"/>
        <v>2nd Q 1996</v>
      </c>
      <c r="AB2014" t="str" cm="1">
        <f t="array" ref="AB2014">_xlfn.IFS(Y2014&lt;DATE(1996,1,1),"",Y2014&lt;DATE(1996,4,1),"Q1",Y2014&lt;DATE(1996,7,1),"Q2",Y2014&gt;=DATE(1996,7,1),"")</f>
        <v>Q2</v>
      </c>
    </row>
    <row r="2015" spans="1:28" ht="14.4" x14ac:dyDescent="0.55000000000000004">
      <c r="A2015" t="str">
        <f>VLOOKUP(L2015,Customers!$A$2:$B$92,2,FALSE)</f>
        <v>Königlich Essen</v>
      </c>
      <c r="B2015" t="str">
        <f>VLOOKUP(L2015,Customers!$A$2:$C$92,3,TRUE)</f>
        <v>Philip Cramer</v>
      </c>
      <c r="C2015" t="str">
        <f t="shared" si="528"/>
        <v>Philip</v>
      </c>
      <c r="D2015" s="8" t="str">
        <f t="shared" si="529"/>
        <v>Cramer</v>
      </c>
      <c r="E2015" s="8" t="str">
        <f t="shared" si="530"/>
        <v>Cramer, Philip</v>
      </c>
      <c r="F2015" s="8" t="str">
        <f t="shared" si="531"/>
        <v>Cramer, Philip</v>
      </c>
      <c r="G2015" s="8" t="str">
        <f t="shared" si="532"/>
        <v>not an outlier</v>
      </c>
      <c r="H2015" s="8" t="str">
        <f t="shared" si="533"/>
        <v>Not</v>
      </c>
      <c r="I2015" s="8" t="str">
        <f t="shared" si="543"/>
        <v>no</v>
      </c>
      <c r="J2015" s="10" t="str">
        <f t="shared" si="534"/>
        <v>no</v>
      </c>
      <c r="K2015" s="10" t="str">
        <f t="shared" si="535"/>
        <v>no</v>
      </c>
      <c r="L2015" t="s">
        <v>305</v>
      </c>
      <c r="M2015">
        <v>11028</v>
      </c>
      <c r="N2015">
        <v>55</v>
      </c>
      <c r="O2015" t="s">
        <v>699</v>
      </c>
      <c r="P2015" t="str">
        <f t="shared" si="536"/>
        <v>KOENE_11028_Pâté chinois</v>
      </c>
      <c r="Q2015" t="str">
        <f t="shared" si="537"/>
        <v>11028</v>
      </c>
      <c r="R2015" t="str">
        <f t="shared" si="538"/>
        <v>11028</v>
      </c>
      <c r="S2015" t="str">
        <f t="shared" si="539"/>
        <v>Pâté chinois</v>
      </c>
      <c r="T2015">
        <v>24</v>
      </c>
      <c r="U2015">
        <v>35</v>
      </c>
      <c r="V2015">
        <v>0</v>
      </c>
      <c r="W2015">
        <f t="shared" si="540"/>
        <v>840</v>
      </c>
      <c r="X2015" t="str">
        <f t="shared" si="541"/>
        <v>yes</v>
      </c>
      <c r="Y2015" s="2">
        <v>35201</v>
      </c>
      <c r="Z2015" t="str">
        <f t="shared" si="527"/>
        <v/>
      </c>
      <c r="AA2015" t="str">
        <f t="shared" si="542"/>
        <v>2nd Q 1996</v>
      </c>
      <c r="AB2015" t="str" cm="1">
        <f t="array" ref="AB2015">_xlfn.IFS(Y2015&lt;DATE(1996,1,1),"",Y2015&lt;DATE(1996,4,1),"Q1",Y2015&lt;DATE(1996,7,1),"Q2",Y2015&gt;=DATE(1996,7,1),"")</f>
        <v>Q2</v>
      </c>
    </row>
    <row r="2016" spans="1:28" ht="14.4" x14ac:dyDescent="0.55000000000000004">
      <c r="A2016" t="str">
        <f>VLOOKUP(L2016,Customers!$A$2:$B$92,2,FALSE)</f>
        <v>Königlich Essen</v>
      </c>
      <c r="B2016" t="str">
        <f>VLOOKUP(L2016,Customers!$A$2:$C$92,3,TRUE)</f>
        <v>Philip Cramer</v>
      </c>
      <c r="C2016" t="str">
        <f t="shared" si="528"/>
        <v>Philip</v>
      </c>
      <c r="D2016" s="8" t="str">
        <f t="shared" si="529"/>
        <v>Cramer</v>
      </c>
      <c r="E2016" s="8" t="str">
        <f t="shared" si="530"/>
        <v>Cramer, Philip</v>
      </c>
      <c r="F2016" s="8" t="str">
        <f t="shared" si="531"/>
        <v>Cramer, Philip</v>
      </c>
      <c r="G2016" s="8" t="str">
        <f t="shared" si="532"/>
        <v>not an outlier</v>
      </c>
      <c r="H2016" s="8" t="str">
        <f t="shared" si="533"/>
        <v>Not</v>
      </c>
      <c r="I2016" s="8" t="str">
        <f t="shared" si="543"/>
        <v>no</v>
      </c>
      <c r="J2016" s="10" t="str">
        <f t="shared" si="534"/>
        <v>no</v>
      </c>
      <c r="K2016" s="10" t="str">
        <f t="shared" si="535"/>
        <v>no</v>
      </c>
      <c r="L2016" t="s">
        <v>305</v>
      </c>
      <c r="M2016">
        <v>11028</v>
      </c>
      <c r="N2016">
        <v>59</v>
      </c>
      <c r="O2016" t="s">
        <v>704</v>
      </c>
      <c r="P2016" t="str">
        <f t="shared" si="536"/>
        <v>KOENE_11028_Raclette Courdavault</v>
      </c>
      <c r="Q2016" t="str">
        <f t="shared" si="537"/>
        <v>11028</v>
      </c>
      <c r="R2016" t="str">
        <f t="shared" si="538"/>
        <v>11028</v>
      </c>
      <c r="S2016" t="str">
        <f t="shared" si="539"/>
        <v>Raclette Courdavault</v>
      </c>
      <c r="T2016">
        <v>55</v>
      </c>
      <c r="U2016">
        <v>24</v>
      </c>
      <c r="V2016">
        <v>0</v>
      </c>
      <c r="W2016">
        <f t="shared" si="540"/>
        <v>1320</v>
      </c>
      <c r="X2016" t="str">
        <f t="shared" si="541"/>
        <v>yes</v>
      </c>
      <c r="Y2016" s="2">
        <v>35201</v>
      </c>
      <c r="Z2016" t="str">
        <f t="shared" si="527"/>
        <v/>
      </c>
      <c r="AA2016" t="str">
        <f t="shared" si="542"/>
        <v>2nd Q 1996</v>
      </c>
      <c r="AB2016" t="str" cm="1">
        <f t="array" ref="AB2016">_xlfn.IFS(Y2016&lt;DATE(1996,1,1),"",Y2016&lt;DATE(1996,4,1),"Q1",Y2016&lt;DATE(1996,7,1),"Q2",Y2016&gt;=DATE(1996,7,1),"")</f>
        <v>Q2</v>
      </c>
    </row>
    <row r="2017" spans="1:28" ht="14.4" x14ac:dyDescent="0.55000000000000004">
      <c r="A2017" t="str">
        <f>VLOOKUP(L2017,Customers!$A$2:$B$92,2,FALSE)</f>
        <v>Chop-suey Chinese</v>
      </c>
      <c r="B2017" t="str">
        <f>VLOOKUP(L2017,Customers!$A$2:$C$92,3,TRUE)</f>
        <v>Yang Wang</v>
      </c>
      <c r="C2017" t="str">
        <f t="shared" si="528"/>
        <v>Yang</v>
      </c>
      <c r="D2017" s="8" t="str">
        <f t="shared" si="529"/>
        <v>Wang</v>
      </c>
      <c r="E2017" s="8" t="str">
        <f t="shared" si="530"/>
        <v>Wang, Yang</v>
      </c>
      <c r="F2017" s="8" t="str">
        <f t="shared" si="531"/>
        <v>Wang, Yang</v>
      </c>
      <c r="G2017" s="8" t="str">
        <f t="shared" si="532"/>
        <v>not an outlier</v>
      </c>
      <c r="H2017" s="8" t="str">
        <f t="shared" si="533"/>
        <v>Not</v>
      </c>
      <c r="I2017" s="8" t="str">
        <f t="shared" si="543"/>
        <v>no</v>
      </c>
      <c r="J2017" s="10" t="str">
        <f t="shared" si="534"/>
        <v>no</v>
      </c>
      <c r="K2017" s="10" t="str">
        <f t="shared" si="535"/>
        <v>no</v>
      </c>
      <c r="L2017" t="s">
        <v>116</v>
      </c>
      <c r="M2017">
        <v>11029</v>
      </c>
      <c r="N2017">
        <v>56</v>
      </c>
      <c r="O2017" t="s">
        <v>716</v>
      </c>
      <c r="P2017" t="str">
        <f t="shared" si="536"/>
        <v>CHOPS_11029_Gnocchi di nonna Alice</v>
      </c>
      <c r="Q2017" t="str">
        <f t="shared" si="537"/>
        <v>11029</v>
      </c>
      <c r="R2017" t="str">
        <f t="shared" si="538"/>
        <v>11029</v>
      </c>
      <c r="S2017" t="str">
        <f t="shared" si="539"/>
        <v>Gnocchi di nonna Alice</v>
      </c>
      <c r="T2017">
        <v>38</v>
      </c>
      <c r="U2017">
        <v>20</v>
      </c>
      <c r="V2017">
        <v>0</v>
      </c>
      <c r="W2017">
        <f t="shared" si="540"/>
        <v>760</v>
      </c>
      <c r="X2017" t="str">
        <f t="shared" si="541"/>
        <v>yes</v>
      </c>
      <c r="Y2017" s="2">
        <v>35201</v>
      </c>
      <c r="Z2017" t="str">
        <f t="shared" si="527"/>
        <v/>
      </c>
      <c r="AA2017" t="str">
        <f t="shared" si="542"/>
        <v>2nd Q 1996</v>
      </c>
      <c r="AB2017" t="str" cm="1">
        <f t="array" ref="AB2017">_xlfn.IFS(Y2017&lt;DATE(1996,1,1),"",Y2017&lt;DATE(1996,4,1),"Q1",Y2017&lt;DATE(1996,7,1),"Q2",Y2017&gt;=DATE(1996,7,1),"")</f>
        <v>Q2</v>
      </c>
    </row>
    <row r="2018" spans="1:28" ht="14.4" x14ac:dyDescent="0.55000000000000004">
      <c r="A2018" t="str">
        <f>VLOOKUP(L2018,Customers!$A$2:$B$92,2,FALSE)</f>
        <v>Chop-suey Chinese</v>
      </c>
      <c r="B2018" t="str">
        <f>VLOOKUP(L2018,Customers!$A$2:$C$92,3,TRUE)</f>
        <v>Yang Wang</v>
      </c>
      <c r="C2018" t="str">
        <f t="shared" si="528"/>
        <v>Yang</v>
      </c>
      <c r="D2018" s="8" t="str">
        <f t="shared" si="529"/>
        <v>Wang</v>
      </c>
      <c r="E2018" s="8" t="str">
        <f t="shared" si="530"/>
        <v>Wang, Yang</v>
      </c>
      <c r="F2018" s="8" t="str">
        <f t="shared" si="531"/>
        <v>Wang, Yang</v>
      </c>
      <c r="G2018" s="8" t="str">
        <f t="shared" si="532"/>
        <v>not an outlier</v>
      </c>
      <c r="H2018" s="8" t="str">
        <f t="shared" si="533"/>
        <v>Not</v>
      </c>
      <c r="I2018" s="8" t="str">
        <f t="shared" si="543"/>
        <v>no</v>
      </c>
      <c r="J2018" s="10" t="str">
        <f t="shared" si="534"/>
        <v>no</v>
      </c>
      <c r="K2018" s="10" t="str">
        <f t="shared" si="535"/>
        <v>no</v>
      </c>
      <c r="L2018" t="s">
        <v>116</v>
      </c>
      <c r="M2018">
        <v>11029</v>
      </c>
      <c r="N2018">
        <v>63</v>
      </c>
      <c r="O2018" t="s">
        <v>729</v>
      </c>
      <c r="P2018" t="str">
        <f t="shared" si="536"/>
        <v>CHOPS_11029_Vegie-spread</v>
      </c>
      <c r="Q2018" t="str">
        <f t="shared" si="537"/>
        <v>11029</v>
      </c>
      <c r="R2018" t="str">
        <f t="shared" si="538"/>
        <v>11029</v>
      </c>
      <c r="S2018" t="str">
        <f t="shared" si="539"/>
        <v>Vegie-spread</v>
      </c>
      <c r="T2018">
        <v>43.9</v>
      </c>
      <c r="U2018">
        <v>12</v>
      </c>
      <c r="V2018">
        <v>0</v>
      </c>
      <c r="W2018">
        <f t="shared" si="540"/>
        <v>526.79999999999995</v>
      </c>
      <c r="X2018" t="str">
        <f t="shared" si="541"/>
        <v>yes</v>
      </c>
      <c r="Y2018" s="2">
        <v>35201</v>
      </c>
      <c r="Z2018" t="str">
        <f t="shared" si="527"/>
        <v/>
      </c>
      <c r="AA2018" t="str">
        <f t="shared" si="542"/>
        <v>2nd Q 1996</v>
      </c>
      <c r="AB2018" t="str" cm="1">
        <f t="array" ref="AB2018">_xlfn.IFS(Y2018&lt;DATE(1996,1,1),"",Y2018&lt;DATE(1996,4,1),"Q1",Y2018&lt;DATE(1996,7,1),"Q2",Y2018&gt;=DATE(1996,7,1),"")</f>
        <v>Q2</v>
      </c>
    </row>
    <row r="2019" spans="1:28" ht="14.4" x14ac:dyDescent="0.55000000000000004">
      <c r="A2019" t="str">
        <f>VLOOKUP(L2019,Customers!$A$2:$B$92,2,FALSE)</f>
        <v>Save-a-lot Markets</v>
      </c>
      <c r="B2019" t="str">
        <f>VLOOKUP(L2019,Customers!$A$2:$C$92,3,TRUE)</f>
        <v>Jose Pavarotti</v>
      </c>
      <c r="C2019" t="str">
        <f t="shared" si="528"/>
        <v>Jose</v>
      </c>
      <c r="D2019" s="8" t="str">
        <f t="shared" si="529"/>
        <v>Pavarotti</v>
      </c>
      <c r="E2019" s="8" t="str">
        <f t="shared" si="530"/>
        <v>Pavarotti, Jose</v>
      </c>
      <c r="F2019" s="8" t="str">
        <f t="shared" si="531"/>
        <v>Pavarotti, Jose</v>
      </c>
      <c r="G2019" s="8" t="str">
        <f t="shared" si="532"/>
        <v>not an outlier</v>
      </c>
      <c r="H2019" s="8" t="str">
        <f t="shared" si="533"/>
        <v>Not</v>
      </c>
      <c r="I2019" s="8" t="str">
        <f t="shared" si="543"/>
        <v>no</v>
      </c>
      <c r="J2019" s="10" t="str">
        <f t="shared" si="534"/>
        <v>no</v>
      </c>
      <c r="K2019" s="10" t="str">
        <f t="shared" si="535"/>
        <v>no</v>
      </c>
      <c r="L2019" t="s">
        <v>529</v>
      </c>
      <c r="M2019">
        <v>11030</v>
      </c>
      <c r="N2019">
        <v>2</v>
      </c>
      <c r="O2019" t="s">
        <v>701</v>
      </c>
      <c r="P2019" t="str">
        <f t="shared" si="536"/>
        <v>SAVEA_11030_Chang</v>
      </c>
      <c r="Q2019" t="str">
        <f t="shared" si="537"/>
        <v>11030</v>
      </c>
      <c r="R2019" t="str">
        <f t="shared" si="538"/>
        <v>11030</v>
      </c>
      <c r="S2019" t="str">
        <f t="shared" si="539"/>
        <v>Chang</v>
      </c>
      <c r="T2019">
        <v>19</v>
      </c>
      <c r="U2019">
        <v>100</v>
      </c>
      <c r="V2019">
        <v>0.25</v>
      </c>
      <c r="W2019">
        <f t="shared" si="540"/>
        <v>1425</v>
      </c>
      <c r="X2019" t="str">
        <f t="shared" si="541"/>
        <v>yes</v>
      </c>
      <c r="Y2019" s="2">
        <v>35202</v>
      </c>
      <c r="Z2019" t="str">
        <f t="shared" si="527"/>
        <v/>
      </c>
      <c r="AA2019" t="str">
        <f t="shared" si="542"/>
        <v>2nd Q 1996</v>
      </c>
      <c r="AB2019" t="str" cm="1">
        <f t="array" ref="AB2019">_xlfn.IFS(Y2019&lt;DATE(1996,1,1),"",Y2019&lt;DATE(1996,4,1),"Q1",Y2019&lt;DATE(1996,7,1),"Q2",Y2019&gt;=DATE(1996,7,1),"")</f>
        <v>Q2</v>
      </c>
    </row>
    <row r="2020" spans="1:28" ht="14.4" x14ac:dyDescent="0.55000000000000004">
      <c r="A2020" t="str">
        <f>VLOOKUP(L2020,Customers!$A$2:$B$92,2,FALSE)</f>
        <v>Save-a-lot Markets</v>
      </c>
      <c r="B2020" t="str">
        <f>VLOOKUP(L2020,Customers!$A$2:$C$92,3,TRUE)</f>
        <v>Jose Pavarotti</v>
      </c>
      <c r="C2020" t="str">
        <f t="shared" si="528"/>
        <v>Jose</v>
      </c>
      <c r="D2020" s="8" t="str">
        <f t="shared" si="529"/>
        <v>Pavarotti</v>
      </c>
      <c r="E2020" s="8" t="str">
        <f t="shared" si="530"/>
        <v>Pavarotti, Jose</v>
      </c>
      <c r="F2020" s="8" t="str">
        <f t="shared" si="531"/>
        <v>Pavarotti, Jose</v>
      </c>
      <c r="G2020" s="8" t="str">
        <f t="shared" si="532"/>
        <v>not an outlier</v>
      </c>
      <c r="H2020" s="8" t="str">
        <f t="shared" si="533"/>
        <v>Not</v>
      </c>
      <c r="I2020" s="8" t="str">
        <f t="shared" si="543"/>
        <v>no</v>
      </c>
      <c r="J2020" s="10" t="str">
        <f t="shared" si="534"/>
        <v>no</v>
      </c>
      <c r="K2020" s="10" t="str">
        <f t="shared" si="535"/>
        <v>no</v>
      </c>
      <c r="L2020" t="s">
        <v>529</v>
      </c>
      <c r="M2020">
        <v>11030</v>
      </c>
      <c r="N2020">
        <v>5</v>
      </c>
      <c r="O2020" t="s">
        <v>708</v>
      </c>
      <c r="P2020" t="str">
        <f t="shared" si="536"/>
        <v>SAVEA_11030_Chef Anton's Gumbo Mix</v>
      </c>
      <c r="Q2020" t="str">
        <f t="shared" si="537"/>
        <v>11030</v>
      </c>
      <c r="R2020" t="str">
        <f t="shared" si="538"/>
        <v>11030</v>
      </c>
      <c r="S2020" t="str">
        <f t="shared" si="539"/>
        <v>Chef Anton's Gumbo Mix</v>
      </c>
      <c r="T2020">
        <v>21.35</v>
      </c>
      <c r="U2020">
        <v>70</v>
      </c>
      <c r="V2020">
        <v>0</v>
      </c>
      <c r="W2020">
        <f t="shared" si="540"/>
        <v>1494.5</v>
      </c>
      <c r="X2020" t="str">
        <f t="shared" si="541"/>
        <v>yes</v>
      </c>
      <c r="Y2020" s="2">
        <v>35202</v>
      </c>
      <c r="Z2020" t="str">
        <f t="shared" si="527"/>
        <v/>
      </c>
      <c r="AA2020" t="str">
        <f t="shared" si="542"/>
        <v>2nd Q 1996</v>
      </c>
      <c r="AB2020" t="str" cm="1">
        <f t="array" ref="AB2020">_xlfn.IFS(Y2020&lt;DATE(1996,1,1),"",Y2020&lt;DATE(1996,4,1),"Q1",Y2020&lt;DATE(1996,7,1),"Q2",Y2020&gt;=DATE(1996,7,1),"")</f>
        <v>Q2</v>
      </c>
    </row>
    <row r="2021" spans="1:28" ht="14.4" x14ac:dyDescent="0.55000000000000004">
      <c r="A2021" t="str">
        <f>VLOOKUP(L2021,Customers!$A$2:$B$92,2,FALSE)</f>
        <v>Save-a-lot Markets</v>
      </c>
      <c r="B2021" t="str">
        <f>VLOOKUP(L2021,Customers!$A$2:$C$92,3,TRUE)</f>
        <v>Jose Pavarotti</v>
      </c>
      <c r="C2021" t="str">
        <f t="shared" si="528"/>
        <v>Jose</v>
      </c>
      <c r="D2021" s="8" t="str">
        <f t="shared" si="529"/>
        <v>Pavarotti</v>
      </c>
      <c r="E2021" s="8" t="str">
        <f t="shared" si="530"/>
        <v>Pavarotti, Jose</v>
      </c>
      <c r="F2021" s="8" t="str">
        <f t="shared" si="531"/>
        <v>Pavarotti, Jose</v>
      </c>
      <c r="G2021" s="8" t="str">
        <f t="shared" si="532"/>
        <v>outlier</v>
      </c>
      <c r="H2021" s="8" t="str">
        <f t="shared" si="533"/>
        <v>outlier</v>
      </c>
      <c r="I2021" s="8" t="str">
        <f t="shared" si="543"/>
        <v>yes</v>
      </c>
      <c r="J2021" s="10" t="str">
        <f t="shared" si="534"/>
        <v>yes</v>
      </c>
      <c r="K2021" s="10" t="str">
        <f t="shared" si="535"/>
        <v>yes</v>
      </c>
      <c r="L2021" t="s">
        <v>529</v>
      </c>
      <c r="M2021">
        <v>11030</v>
      </c>
      <c r="N2021">
        <v>29</v>
      </c>
      <c r="O2021" t="s">
        <v>722</v>
      </c>
      <c r="P2021" t="str">
        <f t="shared" si="536"/>
        <v>SAVEA_11030_Thüringer Rostbratwurst</v>
      </c>
      <c r="Q2021" t="str">
        <f t="shared" si="537"/>
        <v>11030</v>
      </c>
      <c r="R2021" t="str">
        <f t="shared" si="538"/>
        <v>11030</v>
      </c>
      <c r="S2021" t="str">
        <f t="shared" si="539"/>
        <v>Thüringer Rostbratwurst</v>
      </c>
      <c r="T2021">
        <v>123.79</v>
      </c>
      <c r="U2021">
        <v>60</v>
      </c>
      <c r="V2021">
        <v>0.25</v>
      </c>
      <c r="W2021">
        <f t="shared" si="540"/>
        <v>5570.55</v>
      </c>
      <c r="X2021" t="str">
        <f t="shared" si="541"/>
        <v>yes</v>
      </c>
      <c r="Y2021" s="2">
        <v>35202</v>
      </c>
      <c r="Z2021" t="str">
        <f t="shared" si="527"/>
        <v/>
      </c>
      <c r="AA2021" t="str">
        <f t="shared" si="542"/>
        <v>2nd Q 1996</v>
      </c>
      <c r="AB2021" t="str" cm="1">
        <f t="array" ref="AB2021">_xlfn.IFS(Y2021&lt;DATE(1996,1,1),"",Y2021&lt;DATE(1996,4,1),"Q1",Y2021&lt;DATE(1996,7,1),"Q2",Y2021&gt;=DATE(1996,7,1),"")</f>
        <v>Q2</v>
      </c>
    </row>
    <row r="2022" spans="1:28" ht="14.4" x14ac:dyDescent="0.55000000000000004">
      <c r="A2022" t="str">
        <f>VLOOKUP(L2022,Customers!$A$2:$B$92,2,FALSE)</f>
        <v>Save-a-lot Markets</v>
      </c>
      <c r="B2022" t="str">
        <f>VLOOKUP(L2022,Customers!$A$2:$C$92,3,TRUE)</f>
        <v>Jose Pavarotti</v>
      </c>
      <c r="C2022" t="str">
        <f t="shared" si="528"/>
        <v>Jose</v>
      </c>
      <c r="D2022" s="8" t="str">
        <f t="shared" si="529"/>
        <v>Pavarotti</v>
      </c>
      <c r="E2022" s="8" t="str">
        <f t="shared" si="530"/>
        <v>Pavarotti, Jose</v>
      </c>
      <c r="F2022" s="8" t="str">
        <f t="shared" si="531"/>
        <v>Pavarotti, Jose</v>
      </c>
      <c r="G2022" s="8" t="str">
        <f t="shared" si="532"/>
        <v>outlier</v>
      </c>
      <c r="H2022" s="8" t="str">
        <f t="shared" si="533"/>
        <v>outlier</v>
      </c>
      <c r="I2022" s="8" t="str">
        <f t="shared" si="543"/>
        <v>yes</v>
      </c>
      <c r="J2022" s="10" t="str">
        <f t="shared" si="534"/>
        <v>yes</v>
      </c>
      <c r="K2022" s="10" t="str">
        <f t="shared" si="535"/>
        <v>yes</v>
      </c>
      <c r="L2022" t="s">
        <v>529</v>
      </c>
      <c r="M2022">
        <v>11030</v>
      </c>
      <c r="N2022">
        <v>59</v>
      </c>
      <c r="O2022" t="s">
        <v>704</v>
      </c>
      <c r="P2022" t="str">
        <f t="shared" si="536"/>
        <v>SAVEA_11030_Raclette Courdavault</v>
      </c>
      <c r="Q2022" t="str">
        <f t="shared" si="537"/>
        <v>11030</v>
      </c>
      <c r="R2022" t="str">
        <f t="shared" si="538"/>
        <v>11030</v>
      </c>
      <c r="S2022" t="str">
        <f t="shared" si="539"/>
        <v>Raclette Courdavault</v>
      </c>
      <c r="T2022">
        <v>55</v>
      </c>
      <c r="U2022">
        <v>100</v>
      </c>
      <c r="V2022">
        <v>0.25</v>
      </c>
      <c r="W2022">
        <f t="shared" si="540"/>
        <v>4125</v>
      </c>
      <c r="X2022" t="str">
        <f t="shared" si="541"/>
        <v>yes</v>
      </c>
      <c r="Y2022" s="2">
        <v>35202</v>
      </c>
      <c r="Z2022" t="str">
        <f t="shared" si="527"/>
        <v/>
      </c>
      <c r="AA2022" t="str">
        <f t="shared" si="542"/>
        <v>2nd Q 1996</v>
      </c>
      <c r="AB2022" t="str" cm="1">
        <f t="array" ref="AB2022">_xlfn.IFS(Y2022&lt;DATE(1996,1,1),"",Y2022&lt;DATE(1996,4,1),"Q1",Y2022&lt;DATE(1996,7,1),"Q2",Y2022&gt;=DATE(1996,7,1),"")</f>
        <v>Q2</v>
      </c>
    </row>
    <row r="2023" spans="1:28" ht="14.4" x14ac:dyDescent="0.55000000000000004">
      <c r="A2023" t="str">
        <f>VLOOKUP(L2023,Customers!$A$2:$B$92,2,FALSE)</f>
        <v>Save-a-lot Markets</v>
      </c>
      <c r="B2023" t="str">
        <f>VLOOKUP(L2023,Customers!$A$2:$C$92,3,TRUE)</f>
        <v>Jose Pavarotti</v>
      </c>
      <c r="C2023" t="str">
        <f t="shared" si="528"/>
        <v>Jose</v>
      </c>
      <c r="D2023" s="8" t="str">
        <f t="shared" si="529"/>
        <v>Pavarotti</v>
      </c>
      <c r="E2023" s="8" t="str">
        <f t="shared" si="530"/>
        <v>Pavarotti, Jose</v>
      </c>
      <c r="F2023" s="8" t="str">
        <f t="shared" si="531"/>
        <v>Pavarotti, Jose</v>
      </c>
      <c r="G2023" s="8" t="str">
        <f t="shared" si="532"/>
        <v>not an outlier</v>
      </c>
      <c r="H2023" s="8" t="str">
        <f t="shared" si="533"/>
        <v>Not</v>
      </c>
      <c r="I2023" s="8" t="str">
        <f t="shared" si="543"/>
        <v>no</v>
      </c>
      <c r="J2023" s="10" t="str">
        <f t="shared" si="534"/>
        <v>no</v>
      </c>
      <c r="K2023" s="10" t="str">
        <f t="shared" si="535"/>
        <v>no</v>
      </c>
      <c r="L2023" t="s">
        <v>529</v>
      </c>
      <c r="M2023">
        <v>11031</v>
      </c>
      <c r="N2023">
        <v>1</v>
      </c>
      <c r="O2023" t="s">
        <v>735</v>
      </c>
      <c r="P2023" t="str">
        <f t="shared" si="536"/>
        <v>SAVEA_11031_Chai</v>
      </c>
      <c r="Q2023" t="str">
        <f t="shared" si="537"/>
        <v>11031</v>
      </c>
      <c r="R2023" t="str">
        <f t="shared" si="538"/>
        <v>11031</v>
      </c>
      <c r="S2023" t="str">
        <f t="shared" si="539"/>
        <v>Chai</v>
      </c>
      <c r="T2023">
        <v>18</v>
      </c>
      <c r="U2023">
        <v>45</v>
      </c>
      <c r="V2023">
        <v>0</v>
      </c>
      <c r="W2023">
        <f t="shared" si="540"/>
        <v>810</v>
      </c>
      <c r="X2023" t="str">
        <f t="shared" si="541"/>
        <v>yes</v>
      </c>
      <c r="Y2023" s="2">
        <v>35202</v>
      </c>
      <c r="Z2023" t="str">
        <f t="shared" si="527"/>
        <v/>
      </c>
      <c r="AA2023" t="str">
        <f t="shared" si="542"/>
        <v>2nd Q 1996</v>
      </c>
      <c r="AB2023" t="str" cm="1">
        <f t="array" ref="AB2023">_xlfn.IFS(Y2023&lt;DATE(1996,1,1),"",Y2023&lt;DATE(1996,4,1),"Q1",Y2023&lt;DATE(1996,7,1),"Q2",Y2023&gt;=DATE(1996,7,1),"")</f>
        <v>Q2</v>
      </c>
    </row>
    <row r="2024" spans="1:28" ht="14.4" x14ac:dyDescent="0.55000000000000004">
      <c r="A2024" t="str">
        <f>VLOOKUP(L2024,Customers!$A$2:$B$92,2,FALSE)</f>
        <v>Save-a-lot Markets</v>
      </c>
      <c r="B2024" t="str">
        <f>VLOOKUP(L2024,Customers!$A$2:$C$92,3,TRUE)</f>
        <v>Jose Pavarotti</v>
      </c>
      <c r="C2024" t="str">
        <f t="shared" si="528"/>
        <v>Jose</v>
      </c>
      <c r="D2024" s="8" t="str">
        <f t="shared" si="529"/>
        <v>Pavarotti</v>
      </c>
      <c r="E2024" s="8" t="str">
        <f t="shared" si="530"/>
        <v>Pavarotti, Jose</v>
      </c>
      <c r="F2024" s="8" t="str">
        <f t="shared" si="531"/>
        <v>Pavarotti, Jose</v>
      </c>
      <c r="G2024" s="8" t="str">
        <f t="shared" si="532"/>
        <v>not an outlier</v>
      </c>
      <c r="H2024" s="8" t="str">
        <f t="shared" si="533"/>
        <v>Not</v>
      </c>
      <c r="I2024" s="8" t="str">
        <f t="shared" si="543"/>
        <v>no</v>
      </c>
      <c r="J2024" s="10" t="str">
        <f t="shared" si="534"/>
        <v>no</v>
      </c>
      <c r="K2024" s="10" t="str">
        <f t="shared" si="535"/>
        <v>no</v>
      </c>
      <c r="L2024" t="s">
        <v>529</v>
      </c>
      <c r="M2024">
        <v>11031</v>
      </c>
      <c r="N2024">
        <v>13</v>
      </c>
      <c r="O2024" t="s">
        <v>726</v>
      </c>
      <c r="P2024" t="str">
        <f t="shared" si="536"/>
        <v>SAVEA_11031_Konbu</v>
      </c>
      <c r="Q2024" t="str">
        <f t="shared" si="537"/>
        <v>11031</v>
      </c>
      <c r="R2024" t="str">
        <f t="shared" si="538"/>
        <v>11031</v>
      </c>
      <c r="S2024" t="str">
        <f t="shared" si="539"/>
        <v>Konbu</v>
      </c>
      <c r="T2024">
        <v>6</v>
      </c>
      <c r="U2024">
        <v>80</v>
      </c>
      <c r="V2024">
        <v>0</v>
      </c>
      <c r="W2024">
        <f t="shared" si="540"/>
        <v>480</v>
      </c>
      <c r="X2024" t="str">
        <f t="shared" si="541"/>
        <v>yes</v>
      </c>
      <c r="Y2024" s="2">
        <v>35202</v>
      </c>
      <c r="Z2024" t="str">
        <f t="shared" si="527"/>
        <v/>
      </c>
      <c r="AA2024" t="str">
        <f t="shared" si="542"/>
        <v>2nd Q 1996</v>
      </c>
      <c r="AB2024" t="str" cm="1">
        <f t="array" ref="AB2024">_xlfn.IFS(Y2024&lt;DATE(1996,1,1),"",Y2024&lt;DATE(1996,4,1),"Q1",Y2024&lt;DATE(1996,7,1),"Q2",Y2024&gt;=DATE(1996,7,1),"")</f>
        <v>Q2</v>
      </c>
    </row>
    <row r="2025" spans="1:28" ht="14.4" x14ac:dyDescent="0.55000000000000004">
      <c r="A2025" t="str">
        <f>VLOOKUP(L2025,Customers!$A$2:$B$92,2,FALSE)</f>
        <v>Save-a-lot Markets</v>
      </c>
      <c r="B2025" t="str">
        <f>VLOOKUP(L2025,Customers!$A$2:$C$92,3,TRUE)</f>
        <v>Jose Pavarotti</v>
      </c>
      <c r="C2025" t="str">
        <f t="shared" si="528"/>
        <v>Jose</v>
      </c>
      <c r="D2025" s="8" t="str">
        <f t="shared" si="529"/>
        <v>Pavarotti</v>
      </c>
      <c r="E2025" s="8" t="str">
        <f t="shared" si="530"/>
        <v>Pavarotti, Jose</v>
      </c>
      <c r="F2025" s="8" t="str">
        <f t="shared" si="531"/>
        <v>Pavarotti, Jose</v>
      </c>
      <c r="G2025" s="8" t="str">
        <f t="shared" si="532"/>
        <v>not an outlier</v>
      </c>
      <c r="H2025" s="8" t="str">
        <f t="shared" si="533"/>
        <v>Not</v>
      </c>
      <c r="I2025" s="8" t="str">
        <f t="shared" si="543"/>
        <v>no</v>
      </c>
      <c r="J2025" s="10" t="str">
        <f t="shared" si="534"/>
        <v>no</v>
      </c>
      <c r="K2025" s="10" t="str">
        <f t="shared" si="535"/>
        <v>no</v>
      </c>
      <c r="L2025" t="s">
        <v>529</v>
      </c>
      <c r="M2025">
        <v>11031</v>
      </c>
      <c r="N2025">
        <v>24</v>
      </c>
      <c r="O2025" t="s">
        <v>698</v>
      </c>
      <c r="P2025" t="str">
        <f t="shared" si="536"/>
        <v>SAVEA_11031_Guaraná Fantástica</v>
      </c>
      <c r="Q2025" t="str">
        <f t="shared" si="537"/>
        <v>11031</v>
      </c>
      <c r="R2025" t="str">
        <f t="shared" si="538"/>
        <v>11031</v>
      </c>
      <c r="S2025" t="str">
        <f t="shared" si="539"/>
        <v>Guaraná Fantástica</v>
      </c>
      <c r="T2025">
        <v>4.5</v>
      </c>
      <c r="U2025">
        <v>21</v>
      </c>
      <c r="V2025">
        <v>0</v>
      </c>
      <c r="W2025">
        <f t="shared" si="540"/>
        <v>94.5</v>
      </c>
      <c r="X2025" t="str">
        <f t="shared" si="541"/>
        <v>yes</v>
      </c>
      <c r="Y2025" s="2">
        <v>35202</v>
      </c>
      <c r="Z2025" t="str">
        <f t="shared" si="527"/>
        <v/>
      </c>
      <c r="AA2025" t="str">
        <f t="shared" si="542"/>
        <v>2nd Q 1996</v>
      </c>
      <c r="AB2025" t="str" cm="1">
        <f t="array" ref="AB2025">_xlfn.IFS(Y2025&lt;DATE(1996,1,1),"",Y2025&lt;DATE(1996,4,1),"Q1",Y2025&lt;DATE(1996,7,1),"Q2",Y2025&gt;=DATE(1996,7,1),"")</f>
        <v>Q2</v>
      </c>
    </row>
    <row r="2026" spans="1:28" ht="14.4" x14ac:dyDescent="0.55000000000000004">
      <c r="A2026" t="str">
        <f>VLOOKUP(L2026,Customers!$A$2:$B$92,2,FALSE)</f>
        <v>Save-a-lot Markets</v>
      </c>
      <c r="B2026" t="str">
        <f>VLOOKUP(L2026,Customers!$A$2:$C$92,3,TRUE)</f>
        <v>Jose Pavarotti</v>
      </c>
      <c r="C2026" t="str">
        <f t="shared" si="528"/>
        <v>Jose</v>
      </c>
      <c r="D2026" s="8" t="str">
        <f t="shared" si="529"/>
        <v>Pavarotti</v>
      </c>
      <c r="E2026" s="8" t="str">
        <f t="shared" si="530"/>
        <v>Pavarotti, Jose</v>
      </c>
      <c r="F2026" s="8" t="str">
        <f t="shared" si="531"/>
        <v>Pavarotti, Jose</v>
      </c>
      <c r="G2026" s="8" t="str">
        <f t="shared" si="532"/>
        <v>not an outlier</v>
      </c>
      <c r="H2026" s="8" t="str">
        <f t="shared" si="533"/>
        <v>Not</v>
      </c>
      <c r="I2026" s="8" t="str">
        <f t="shared" si="543"/>
        <v>no</v>
      </c>
      <c r="J2026" s="10" t="str">
        <f t="shared" si="534"/>
        <v>no</v>
      </c>
      <c r="K2026" s="10" t="str">
        <f t="shared" si="535"/>
        <v>no</v>
      </c>
      <c r="L2026" t="s">
        <v>529</v>
      </c>
      <c r="M2026">
        <v>11031</v>
      </c>
      <c r="N2026">
        <v>64</v>
      </c>
      <c r="O2026" t="s">
        <v>741</v>
      </c>
      <c r="P2026" t="str">
        <f t="shared" si="536"/>
        <v>SAVEA_11031_Wimmers gute Semmelknödel</v>
      </c>
      <c r="Q2026" t="str">
        <f t="shared" si="537"/>
        <v>11031</v>
      </c>
      <c r="R2026" t="str">
        <f t="shared" si="538"/>
        <v>11031</v>
      </c>
      <c r="S2026" t="str">
        <f t="shared" si="539"/>
        <v>Wimmers gute Semmelknödel</v>
      </c>
      <c r="T2026">
        <v>33.25</v>
      </c>
      <c r="U2026">
        <v>20</v>
      </c>
      <c r="V2026">
        <v>0</v>
      </c>
      <c r="W2026">
        <f t="shared" si="540"/>
        <v>665</v>
      </c>
      <c r="X2026" t="str">
        <f t="shared" si="541"/>
        <v>yes</v>
      </c>
      <c r="Y2026" s="2">
        <v>35202</v>
      </c>
      <c r="Z2026" t="str">
        <f t="shared" si="527"/>
        <v/>
      </c>
      <c r="AA2026" t="str">
        <f t="shared" si="542"/>
        <v>2nd Q 1996</v>
      </c>
      <c r="AB2026" t="str" cm="1">
        <f t="array" ref="AB2026">_xlfn.IFS(Y2026&lt;DATE(1996,1,1),"",Y2026&lt;DATE(1996,4,1),"Q1",Y2026&lt;DATE(1996,7,1),"Q2",Y2026&gt;=DATE(1996,7,1),"")</f>
        <v>Q2</v>
      </c>
    </row>
    <row r="2027" spans="1:28" ht="14.4" x14ac:dyDescent="0.55000000000000004">
      <c r="A2027" t="str">
        <f>VLOOKUP(L2027,Customers!$A$2:$B$92,2,FALSE)</f>
        <v>Save-a-lot Markets</v>
      </c>
      <c r="B2027" t="str">
        <f>VLOOKUP(L2027,Customers!$A$2:$C$92,3,TRUE)</f>
        <v>Jose Pavarotti</v>
      </c>
      <c r="C2027" t="str">
        <f t="shared" si="528"/>
        <v>Jose</v>
      </c>
      <c r="D2027" s="8" t="str">
        <f t="shared" si="529"/>
        <v>Pavarotti</v>
      </c>
      <c r="E2027" s="8" t="str">
        <f t="shared" si="530"/>
        <v>Pavarotti, Jose</v>
      </c>
      <c r="F2027" s="8" t="str">
        <f t="shared" si="531"/>
        <v>Pavarotti, Jose</v>
      </c>
      <c r="G2027" s="8" t="str">
        <f t="shared" si="532"/>
        <v>not an outlier</v>
      </c>
      <c r="H2027" s="8" t="str">
        <f t="shared" si="533"/>
        <v>Not</v>
      </c>
      <c r="I2027" s="8" t="str">
        <f t="shared" si="543"/>
        <v>no</v>
      </c>
      <c r="J2027" s="10" t="str">
        <f t="shared" si="534"/>
        <v>no</v>
      </c>
      <c r="K2027" s="10" t="str">
        <f t="shared" si="535"/>
        <v>no</v>
      </c>
      <c r="L2027" t="s">
        <v>529</v>
      </c>
      <c r="M2027">
        <v>11031</v>
      </c>
      <c r="N2027">
        <v>71</v>
      </c>
      <c r="O2027" t="s">
        <v>725</v>
      </c>
      <c r="P2027" t="str">
        <f t="shared" si="536"/>
        <v>SAVEA_11031_Fløtemysost</v>
      </c>
      <c r="Q2027" t="str">
        <f t="shared" si="537"/>
        <v>11031</v>
      </c>
      <c r="R2027" t="str">
        <f t="shared" si="538"/>
        <v>11031</v>
      </c>
      <c r="S2027" t="str">
        <f t="shared" si="539"/>
        <v>Fløtemysost</v>
      </c>
      <c r="T2027">
        <v>21.5</v>
      </c>
      <c r="U2027">
        <v>16</v>
      </c>
      <c r="V2027">
        <v>0</v>
      </c>
      <c r="W2027">
        <f t="shared" si="540"/>
        <v>344</v>
      </c>
      <c r="X2027" t="str">
        <f t="shared" si="541"/>
        <v>yes</v>
      </c>
      <c r="Y2027" s="2">
        <v>35202</v>
      </c>
      <c r="Z2027" t="str">
        <f t="shared" si="527"/>
        <v/>
      </c>
      <c r="AA2027" t="str">
        <f t="shared" si="542"/>
        <v>2nd Q 1996</v>
      </c>
      <c r="AB2027" t="str" cm="1">
        <f t="array" ref="AB2027">_xlfn.IFS(Y2027&lt;DATE(1996,1,1),"",Y2027&lt;DATE(1996,4,1),"Q1",Y2027&lt;DATE(1996,7,1),"Q2",Y2027&gt;=DATE(1996,7,1),"")</f>
        <v>Q2</v>
      </c>
    </row>
    <row r="2028" spans="1:28" ht="14.4" x14ac:dyDescent="0.55000000000000004">
      <c r="A2028" t="str">
        <f>VLOOKUP(L2028,Customers!$A$2:$B$92,2,FALSE)</f>
        <v>White Clover Markets</v>
      </c>
      <c r="B2028" t="str">
        <f>VLOOKUP(L2028,Customers!$A$2:$C$92,3,TRUE)</f>
        <v>Karl Jablonski</v>
      </c>
      <c r="C2028" t="str">
        <f t="shared" si="528"/>
        <v>Karl</v>
      </c>
      <c r="D2028" s="8" t="str">
        <f t="shared" si="529"/>
        <v>Jablonski</v>
      </c>
      <c r="E2028" s="8" t="str">
        <f t="shared" si="530"/>
        <v>Jablonski, Karl</v>
      </c>
      <c r="F2028" s="8" t="str">
        <f t="shared" si="531"/>
        <v>Jablonski, Karl</v>
      </c>
      <c r="G2028" s="8" t="str">
        <f t="shared" si="532"/>
        <v>not an outlier</v>
      </c>
      <c r="H2028" s="8" t="str">
        <f t="shared" si="533"/>
        <v>Not</v>
      </c>
      <c r="I2028" s="8" t="str">
        <f t="shared" si="543"/>
        <v>no</v>
      </c>
      <c r="J2028" s="10" t="str">
        <f t="shared" si="534"/>
        <v>no</v>
      </c>
      <c r="K2028" s="10" t="str">
        <f t="shared" si="535"/>
        <v>no</v>
      </c>
      <c r="L2028" t="s">
        <v>654</v>
      </c>
      <c r="M2028">
        <v>11032</v>
      </c>
      <c r="N2028">
        <v>36</v>
      </c>
      <c r="O2028" t="s">
        <v>703</v>
      </c>
      <c r="P2028" t="str">
        <f t="shared" si="536"/>
        <v>WHITC_11032_Inlagd Sill</v>
      </c>
      <c r="Q2028" t="str">
        <f t="shared" si="537"/>
        <v>11032</v>
      </c>
      <c r="R2028" t="str">
        <f t="shared" si="538"/>
        <v>11032</v>
      </c>
      <c r="S2028" t="str">
        <f t="shared" si="539"/>
        <v>Inlagd Sill</v>
      </c>
      <c r="T2028">
        <v>19</v>
      </c>
      <c r="U2028">
        <v>35</v>
      </c>
      <c r="V2028">
        <v>0</v>
      </c>
      <c r="W2028">
        <f t="shared" si="540"/>
        <v>665</v>
      </c>
      <c r="X2028" t="str">
        <f t="shared" si="541"/>
        <v>yes</v>
      </c>
      <c r="Y2028" s="2">
        <v>35202</v>
      </c>
      <c r="Z2028" t="str">
        <f t="shared" si="527"/>
        <v/>
      </c>
      <c r="AA2028" t="str">
        <f t="shared" si="542"/>
        <v>2nd Q 1996</v>
      </c>
      <c r="AB2028" t="str" cm="1">
        <f t="array" ref="AB2028">_xlfn.IFS(Y2028&lt;DATE(1996,1,1),"",Y2028&lt;DATE(1996,4,1),"Q1",Y2028&lt;DATE(1996,7,1),"Q2",Y2028&gt;=DATE(1996,7,1),"")</f>
        <v>Q2</v>
      </c>
    </row>
    <row r="2029" spans="1:28" ht="14.4" x14ac:dyDescent="0.55000000000000004">
      <c r="A2029" t="str">
        <f>VLOOKUP(L2029,Customers!$A$2:$B$92,2,FALSE)</f>
        <v>White Clover Markets</v>
      </c>
      <c r="B2029" t="str">
        <f>VLOOKUP(L2029,Customers!$A$2:$C$92,3,TRUE)</f>
        <v>Karl Jablonski</v>
      </c>
      <c r="C2029" t="str">
        <f t="shared" si="528"/>
        <v>Karl</v>
      </c>
      <c r="D2029" s="8" t="str">
        <f t="shared" si="529"/>
        <v>Jablonski</v>
      </c>
      <c r="E2029" s="8" t="str">
        <f t="shared" si="530"/>
        <v>Jablonski, Karl</v>
      </c>
      <c r="F2029" s="8" t="str">
        <f t="shared" si="531"/>
        <v>Jablonski, Karl</v>
      </c>
      <c r="G2029" s="8" t="str">
        <f t="shared" si="532"/>
        <v>outlier</v>
      </c>
      <c r="H2029" s="8" t="str">
        <f t="shared" si="533"/>
        <v>outlier</v>
      </c>
      <c r="I2029" s="8" t="str">
        <f t="shared" si="543"/>
        <v>yes</v>
      </c>
      <c r="J2029" s="10" t="str">
        <f t="shared" si="534"/>
        <v>yes</v>
      </c>
      <c r="K2029" s="10" t="str">
        <f t="shared" si="535"/>
        <v>yes</v>
      </c>
      <c r="L2029" t="s">
        <v>654</v>
      </c>
      <c r="M2029">
        <v>11032</v>
      </c>
      <c r="N2029">
        <v>38</v>
      </c>
      <c r="O2029" t="s">
        <v>750</v>
      </c>
      <c r="P2029" t="str">
        <f t="shared" si="536"/>
        <v>WHITC_11032_Côte de Blaye</v>
      </c>
      <c r="Q2029" t="str">
        <f t="shared" si="537"/>
        <v>11032</v>
      </c>
      <c r="R2029" t="str">
        <f t="shared" si="538"/>
        <v>11032</v>
      </c>
      <c r="S2029" t="str">
        <f t="shared" si="539"/>
        <v>Côte de Blaye</v>
      </c>
      <c r="T2029">
        <v>263.5</v>
      </c>
      <c r="U2029">
        <v>25</v>
      </c>
      <c r="V2029">
        <v>0</v>
      </c>
      <c r="W2029">
        <f t="shared" si="540"/>
        <v>6587.5</v>
      </c>
      <c r="X2029" t="str">
        <f t="shared" si="541"/>
        <v>yes</v>
      </c>
      <c r="Y2029" s="2">
        <v>35202</v>
      </c>
      <c r="Z2029" t="str">
        <f t="shared" si="527"/>
        <v/>
      </c>
      <c r="AA2029" t="str">
        <f t="shared" si="542"/>
        <v>2nd Q 1996</v>
      </c>
      <c r="AB2029" t="str" cm="1">
        <f t="array" ref="AB2029">_xlfn.IFS(Y2029&lt;DATE(1996,1,1),"",Y2029&lt;DATE(1996,4,1),"Q1",Y2029&lt;DATE(1996,7,1),"Q2",Y2029&gt;=DATE(1996,7,1),"")</f>
        <v>Q2</v>
      </c>
    </row>
    <row r="2030" spans="1:28" ht="14.4" x14ac:dyDescent="0.55000000000000004">
      <c r="A2030" t="str">
        <f>VLOOKUP(L2030,Customers!$A$2:$B$92,2,FALSE)</f>
        <v>White Clover Markets</v>
      </c>
      <c r="B2030" t="str">
        <f>VLOOKUP(L2030,Customers!$A$2:$C$92,3,TRUE)</f>
        <v>Karl Jablonski</v>
      </c>
      <c r="C2030" t="str">
        <f t="shared" si="528"/>
        <v>Karl</v>
      </c>
      <c r="D2030" s="8" t="str">
        <f t="shared" si="529"/>
        <v>Jablonski</v>
      </c>
      <c r="E2030" s="8" t="str">
        <f t="shared" si="530"/>
        <v>Jablonski, Karl</v>
      </c>
      <c r="F2030" s="8" t="str">
        <f t="shared" si="531"/>
        <v>Jablonski, Karl</v>
      </c>
      <c r="G2030" s="8" t="str">
        <f t="shared" si="532"/>
        <v>not an outlier</v>
      </c>
      <c r="H2030" s="8" t="str">
        <f t="shared" si="533"/>
        <v>Not</v>
      </c>
      <c r="I2030" s="8" t="str">
        <f t="shared" si="543"/>
        <v>no</v>
      </c>
      <c r="J2030" s="10" t="str">
        <f t="shared" si="534"/>
        <v>no</v>
      </c>
      <c r="K2030" s="10" t="str">
        <f t="shared" si="535"/>
        <v>no</v>
      </c>
      <c r="L2030" t="s">
        <v>654</v>
      </c>
      <c r="M2030">
        <v>11032</v>
      </c>
      <c r="N2030">
        <v>59</v>
      </c>
      <c r="O2030" t="s">
        <v>704</v>
      </c>
      <c r="P2030" t="str">
        <f t="shared" si="536"/>
        <v>WHITC_11032_Raclette Courdavault</v>
      </c>
      <c r="Q2030" t="str">
        <f t="shared" si="537"/>
        <v>11032</v>
      </c>
      <c r="R2030" t="str">
        <f t="shared" si="538"/>
        <v>11032</v>
      </c>
      <c r="S2030" t="str">
        <f t="shared" si="539"/>
        <v>Raclette Courdavault</v>
      </c>
      <c r="T2030">
        <v>55</v>
      </c>
      <c r="U2030">
        <v>30</v>
      </c>
      <c r="V2030">
        <v>0</v>
      </c>
      <c r="W2030">
        <f t="shared" si="540"/>
        <v>1650</v>
      </c>
      <c r="X2030" t="str">
        <f t="shared" si="541"/>
        <v>yes</v>
      </c>
      <c r="Y2030" s="2">
        <v>35202</v>
      </c>
      <c r="Z2030" t="str">
        <f t="shared" si="527"/>
        <v/>
      </c>
      <c r="AA2030" t="str">
        <f t="shared" si="542"/>
        <v>2nd Q 1996</v>
      </c>
      <c r="AB2030" t="str" cm="1">
        <f t="array" ref="AB2030">_xlfn.IFS(Y2030&lt;DATE(1996,1,1),"",Y2030&lt;DATE(1996,4,1),"Q1",Y2030&lt;DATE(1996,7,1),"Q2",Y2030&gt;=DATE(1996,7,1),"")</f>
        <v>Q2</v>
      </c>
    </row>
    <row r="2031" spans="1:28" ht="14.4" x14ac:dyDescent="0.55000000000000004">
      <c r="A2031" t="str">
        <f>VLOOKUP(L2031,Customers!$A$2:$B$92,2,FALSE)</f>
        <v>Richter Supermarkt</v>
      </c>
      <c r="B2031" t="str">
        <f>VLOOKUP(L2031,Customers!$A$2:$C$92,3,TRUE)</f>
        <v>Michael Holz</v>
      </c>
      <c r="C2031" t="str">
        <f t="shared" si="528"/>
        <v>Michael</v>
      </c>
      <c r="D2031" s="8" t="str">
        <f t="shared" si="529"/>
        <v>Holz</v>
      </c>
      <c r="E2031" s="8" t="str">
        <f t="shared" si="530"/>
        <v>Holz, Michael</v>
      </c>
      <c r="F2031" s="8" t="str">
        <f t="shared" si="531"/>
        <v>Holz, Michael</v>
      </c>
      <c r="G2031" s="8" t="str">
        <f t="shared" si="532"/>
        <v>not an outlier</v>
      </c>
      <c r="H2031" s="8" t="str">
        <f t="shared" si="533"/>
        <v>Not</v>
      </c>
      <c r="I2031" s="8" t="str">
        <f t="shared" si="543"/>
        <v>no</v>
      </c>
      <c r="J2031" s="10" t="str">
        <f t="shared" si="534"/>
        <v>no</v>
      </c>
      <c r="K2031" s="10" t="str">
        <f t="shared" si="535"/>
        <v>no</v>
      </c>
      <c r="L2031" t="s">
        <v>509</v>
      </c>
      <c r="M2031">
        <v>11033</v>
      </c>
      <c r="N2031">
        <v>53</v>
      </c>
      <c r="O2031" t="s">
        <v>705</v>
      </c>
      <c r="P2031" t="str">
        <f t="shared" si="536"/>
        <v>RICSU_11033_Perth Pasties</v>
      </c>
      <c r="Q2031" t="str">
        <f t="shared" si="537"/>
        <v>11033</v>
      </c>
      <c r="R2031" t="str">
        <f t="shared" si="538"/>
        <v>11033</v>
      </c>
      <c r="S2031" t="str">
        <f t="shared" si="539"/>
        <v>Perth Pasties</v>
      </c>
      <c r="T2031">
        <v>32.799999999999997</v>
      </c>
      <c r="U2031">
        <v>70</v>
      </c>
      <c r="V2031">
        <v>0.1</v>
      </c>
      <c r="W2031">
        <f t="shared" si="540"/>
        <v>2066.4</v>
      </c>
      <c r="X2031" t="str">
        <f t="shared" si="541"/>
        <v>yes</v>
      </c>
      <c r="Y2031" s="2">
        <v>35202</v>
      </c>
      <c r="Z2031" t="str">
        <f t="shared" si="527"/>
        <v/>
      </c>
      <c r="AA2031" t="str">
        <f t="shared" si="542"/>
        <v>2nd Q 1996</v>
      </c>
      <c r="AB2031" t="str" cm="1">
        <f t="array" ref="AB2031">_xlfn.IFS(Y2031&lt;DATE(1996,1,1),"",Y2031&lt;DATE(1996,4,1),"Q1",Y2031&lt;DATE(1996,7,1),"Q2",Y2031&gt;=DATE(1996,7,1),"")</f>
        <v>Q2</v>
      </c>
    </row>
    <row r="2032" spans="1:28" ht="14.4" x14ac:dyDescent="0.55000000000000004">
      <c r="A2032" t="str">
        <f>VLOOKUP(L2032,Customers!$A$2:$B$92,2,FALSE)</f>
        <v>Richter Supermarkt</v>
      </c>
      <c r="B2032" t="str">
        <f>VLOOKUP(L2032,Customers!$A$2:$C$92,3,TRUE)</f>
        <v>Michael Holz</v>
      </c>
      <c r="C2032" t="str">
        <f t="shared" si="528"/>
        <v>Michael</v>
      </c>
      <c r="D2032" s="8" t="str">
        <f t="shared" si="529"/>
        <v>Holz</v>
      </c>
      <c r="E2032" s="8" t="str">
        <f t="shared" si="530"/>
        <v>Holz, Michael</v>
      </c>
      <c r="F2032" s="8" t="str">
        <f t="shared" si="531"/>
        <v>Holz, Michael</v>
      </c>
      <c r="G2032" s="8" t="str">
        <f t="shared" si="532"/>
        <v>not an outlier</v>
      </c>
      <c r="H2032" s="8" t="str">
        <f t="shared" si="533"/>
        <v>Not</v>
      </c>
      <c r="I2032" s="8" t="str">
        <f t="shared" si="543"/>
        <v>no</v>
      </c>
      <c r="J2032" s="10" t="str">
        <f t="shared" si="534"/>
        <v>no</v>
      </c>
      <c r="K2032" s="10" t="str">
        <f t="shared" si="535"/>
        <v>no</v>
      </c>
      <c r="L2032" t="s">
        <v>509</v>
      </c>
      <c r="M2032">
        <v>11033</v>
      </c>
      <c r="N2032">
        <v>69</v>
      </c>
      <c r="O2032" t="s">
        <v>743</v>
      </c>
      <c r="P2032" t="str">
        <f t="shared" si="536"/>
        <v>RICSU_11033_Gudbrandsdalsost</v>
      </c>
      <c r="Q2032" t="str">
        <f t="shared" si="537"/>
        <v>11033</v>
      </c>
      <c r="R2032" t="str">
        <f t="shared" si="538"/>
        <v>11033</v>
      </c>
      <c r="S2032" t="str">
        <f t="shared" si="539"/>
        <v>Gudbrandsdalsost</v>
      </c>
      <c r="T2032">
        <v>36</v>
      </c>
      <c r="U2032">
        <v>36</v>
      </c>
      <c r="V2032">
        <v>0.1</v>
      </c>
      <c r="W2032">
        <f t="shared" si="540"/>
        <v>1166.4000000000001</v>
      </c>
      <c r="X2032" t="str">
        <f t="shared" si="541"/>
        <v>yes</v>
      </c>
      <c r="Y2032" s="2">
        <v>35202</v>
      </c>
      <c r="Z2032" t="str">
        <f t="shared" si="527"/>
        <v/>
      </c>
      <c r="AA2032" t="str">
        <f t="shared" si="542"/>
        <v>2nd Q 1996</v>
      </c>
      <c r="AB2032" t="str" cm="1">
        <f t="array" ref="AB2032">_xlfn.IFS(Y2032&lt;DATE(1996,1,1),"",Y2032&lt;DATE(1996,4,1),"Q1",Y2032&lt;DATE(1996,7,1),"Q2",Y2032&gt;=DATE(1996,7,1),"")</f>
        <v>Q2</v>
      </c>
    </row>
    <row r="2033" spans="1:28" ht="14.4" x14ac:dyDescent="0.55000000000000004">
      <c r="A2033" t="str">
        <f>VLOOKUP(L2033,Customers!$A$2:$B$92,2,FALSE)</f>
        <v>Old World Delicatessen</v>
      </c>
      <c r="B2033" t="str">
        <f>VLOOKUP(L2033,Customers!$A$2:$C$92,3,TRUE)</f>
        <v>Rene Phillips</v>
      </c>
      <c r="C2033" t="str">
        <f t="shared" si="528"/>
        <v>Rene</v>
      </c>
      <c r="D2033" s="8" t="str">
        <f t="shared" si="529"/>
        <v>Phillips</v>
      </c>
      <c r="E2033" s="8" t="str">
        <f t="shared" si="530"/>
        <v>Phillips, Rene</v>
      </c>
      <c r="F2033" s="8" t="str">
        <f t="shared" si="531"/>
        <v>Phillips, Rene</v>
      </c>
      <c r="G2033" s="8" t="str">
        <f t="shared" si="532"/>
        <v>not an outlier</v>
      </c>
      <c r="H2033" s="8" t="str">
        <f t="shared" si="533"/>
        <v>Not</v>
      </c>
      <c r="I2033" s="8" t="str">
        <f t="shared" si="543"/>
        <v>no</v>
      </c>
      <c r="J2033" s="10" t="str">
        <f t="shared" si="534"/>
        <v>no</v>
      </c>
      <c r="K2033" s="10" t="str">
        <f t="shared" si="535"/>
        <v>no</v>
      </c>
      <c r="L2033" t="s">
        <v>422</v>
      </c>
      <c r="M2033">
        <v>11034</v>
      </c>
      <c r="N2033">
        <v>21</v>
      </c>
      <c r="O2033" t="s">
        <v>710</v>
      </c>
      <c r="P2033" t="str">
        <f t="shared" si="536"/>
        <v>OLDWO_11034_Sir Rodney's Scones</v>
      </c>
      <c r="Q2033" t="str">
        <f t="shared" si="537"/>
        <v>11034</v>
      </c>
      <c r="R2033" t="str">
        <f t="shared" si="538"/>
        <v>11034</v>
      </c>
      <c r="S2033" t="str">
        <f t="shared" si="539"/>
        <v>Sir Rodney's Scones</v>
      </c>
      <c r="T2033">
        <v>10</v>
      </c>
      <c r="U2033">
        <v>15</v>
      </c>
      <c r="V2033">
        <v>0.1</v>
      </c>
      <c r="W2033">
        <f t="shared" si="540"/>
        <v>135</v>
      </c>
      <c r="X2033" t="str">
        <f t="shared" si="541"/>
        <v>yes</v>
      </c>
      <c r="Y2033" s="2">
        <v>35205</v>
      </c>
      <c r="Z2033" t="str">
        <f t="shared" si="527"/>
        <v/>
      </c>
      <c r="AA2033" t="str">
        <f t="shared" si="542"/>
        <v>2nd Q 1996</v>
      </c>
      <c r="AB2033" t="str" cm="1">
        <f t="array" ref="AB2033">_xlfn.IFS(Y2033&lt;DATE(1996,1,1),"",Y2033&lt;DATE(1996,4,1),"Q1",Y2033&lt;DATE(1996,7,1),"Q2",Y2033&gt;=DATE(1996,7,1),"")</f>
        <v>Q2</v>
      </c>
    </row>
    <row r="2034" spans="1:28" ht="14.4" x14ac:dyDescent="0.55000000000000004">
      <c r="A2034" t="str">
        <f>VLOOKUP(L2034,Customers!$A$2:$B$92,2,FALSE)</f>
        <v>Old World Delicatessen</v>
      </c>
      <c r="B2034" t="str">
        <f>VLOOKUP(L2034,Customers!$A$2:$C$92,3,TRUE)</f>
        <v>Rene Phillips</v>
      </c>
      <c r="C2034" t="str">
        <f t="shared" si="528"/>
        <v>Rene</v>
      </c>
      <c r="D2034" s="8" t="str">
        <f t="shared" si="529"/>
        <v>Phillips</v>
      </c>
      <c r="E2034" s="8" t="str">
        <f t="shared" si="530"/>
        <v>Phillips, Rene</v>
      </c>
      <c r="F2034" s="8" t="str">
        <f t="shared" si="531"/>
        <v>Phillips, Rene</v>
      </c>
      <c r="G2034" s="8" t="str">
        <f t="shared" si="532"/>
        <v>not an outlier</v>
      </c>
      <c r="H2034" s="8" t="str">
        <f t="shared" si="533"/>
        <v>Not</v>
      </c>
      <c r="I2034" s="8" t="str">
        <f t="shared" si="543"/>
        <v>no</v>
      </c>
      <c r="J2034" s="10" t="str">
        <f t="shared" si="534"/>
        <v>no</v>
      </c>
      <c r="K2034" s="10" t="str">
        <f t="shared" si="535"/>
        <v>no</v>
      </c>
      <c r="L2034" t="s">
        <v>422</v>
      </c>
      <c r="M2034">
        <v>11034</v>
      </c>
      <c r="N2034">
        <v>44</v>
      </c>
      <c r="O2034" t="s">
        <v>728</v>
      </c>
      <c r="P2034" t="str">
        <f t="shared" si="536"/>
        <v>OLDWO_11034_Gula Malacca</v>
      </c>
      <c r="Q2034" t="str">
        <f t="shared" si="537"/>
        <v>11034</v>
      </c>
      <c r="R2034" t="str">
        <f t="shared" si="538"/>
        <v>11034</v>
      </c>
      <c r="S2034" t="str">
        <f t="shared" si="539"/>
        <v>Gula Malacca</v>
      </c>
      <c r="T2034">
        <v>19.45</v>
      </c>
      <c r="U2034">
        <v>12</v>
      </c>
      <c r="V2034">
        <v>0</v>
      </c>
      <c r="W2034">
        <f t="shared" si="540"/>
        <v>233.39999999999998</v>
      </c>
      <c r="X2034" t="str">
        <f t="shared" si="541"/>
        <v>yes</v>
      </c>
      <c r="Y2034" s="2">
        <v>35205</v>
      </c>
      <c r="Z2034" t="str">
        <f t="shared" ref="Z2034:Z2097" si="544">IF(Y2034&gt;=DATE(1996,1,1), IF(Y2034&lt;DATE(1996,4,1),"1st Q 1996",""),"")</f>
        <v/>
      </c>
      <c r="AA2034" t="str">
        <f t="shared" si="542"/>
        <v>2nd Q 1996</v>
      </c>
      <c r="AB2034" t="str" cm="1">
        <f t="array" ref="AB2034">_xlfn.IFS(Y2034&lt;DATE(1996,1,1),"",Y2034&lt;DATE(1996,4,1),"Q1",Y2034&lt;DATE(1996,7,1),"Q2",Y2034&gt;=DATE(1996,7,1),"")</f>
        <v>Q2</v>
      </c>
    </row>
    <row r="2035" spans="1:28" ht="14.4" x14ac:dyDescent="0.55000000000000004">
      <c r="A2035" t="str">
        <f>VLOOKUP(L2035,Customers!$A$2:$B$92,2,FALSE)</f>
        <v>Old World Delicatessen</v>
      </c>
      <c r="B2035" t="str">
        <f>VLOOKUP(L2035,Customers!$A$2:$C$92,3,TRUE)</f>
        <v>Rene Phillips</v>
      </c>
      <c r="C2035" t="str">
        <f t="shared" si="528"/>
        <v>Rene</v>
      </c>
      <c r="D2035" s="8" t="str">
        <f t="shared" si="529"/>
        <v>Phillips</v>
      </c>
      <c r="E2035" s="8" t="str">
        <f t="shared" si="530"/>
        <v>Phillips, Rene</v>
      </c>
      <c r="F2035" s="8" t="str">
        <f t="shared" si="531"/>
        <v>Phillips, Rene</v>
      </c>
      <c r="G2035" s="8" t="str">
        <f t="shared" si="532"/>
        <v>not an outlier</v>
      </c>
      <c r="H2035" s="8" t="str">
        <f t="shared" si="533"/>
        <v>Not</v>
      </c>
      <c r="I2035" s="8" t="str">
        <f t="shared" si="543"/>
        <v>no</v>
      </c>
      <c r="J2035" s="10" t="str">
        <f t="shared" si="534"/>
        <v>no</v>
      </c>
      <c r="K2035" s="10" t="str">
        <f t="shared" si="535"/>
        <v>no</v>
      </c>
      <c r="L2035" t="s">
        <v>422</v>
      </c>
      <c r="M2035">
        <v>11034</v>
      </c>
      <c r="N2035">
        <v>61</v>
      </c>
      <c r="O2035" t="s">
        <v>758</v>
      </c>
      <c r="P2035" t="str">
        <f t="shared" si="536"/>
        <v>OLDWO_11034_Sirop d'érable</v>
      </c>
      <c r="Q2035" t="str">
        <f t="shared" si="537"/>
        <v>11034</v>
      </c>
      <c r="R2035" t="str">
        <f t="shared" si="538"/>
        <v>11034</v>
      </c>
      <c r="S2035" t="str">
        <f t="shared" si="539"/>
        <v>Sirop d'érable</v>
      </c>
      <c r="T2035">
        <v>28.5</v>
      </c>
      <c r="U2035">
        <v>6</v>
      </c>
      <c r="V2035">
        <v>0</v>
      </c>
      <c r="W2035">
        <f t="shared" si="540"/>
        <v>171</v>
      </c>
      <c r="X2035" t="str">
        <f t="shared" si="541"/>
        <v>yes</v>
      </c>
      <c r="Y2035" s="2">
        <v>35205</v>
      </c>
      <c r="Z2035" t="str">
        <f t="shared" si="544"/>
        <v/>
      </c>
      <c r="AA2035" t="str">
        <f t="shared" si="542"/>
        <v>2nd Q 1996</v>
      </c>
      <c r="AB2035" t="str" cm="1">
        <f t="array" ref="AB2035">_xlfn.IFS(Y2035&lt;DATE(1996,1,1),"",Y2035&lt;DATE(1996,4,1),"Q1",Y2035&lt;DATE(1996,7,1),"Q2",Y2035&gt;=DATE(1996,7,1),"")</f>
        <v>Q2</v>
      </c>
    </row>
    <row r="2036" spans="1:28" ht="14.4" x14ac:dyDescent="0.55000000000000004">
      <c r="A2036" t="str">
        <f>VLOOKUP(L2036,Customers!$A$2:$B$92,2,FALSE)</f>
        <v>Suprêmes délices</v>
      </c>
      <c r="B2036" t="str">
        <f>VLOOKUP(L2036,Customers!$A$2:$C$92,3,TRUE)</f>
        <v>Pascale Cartrain</v>
      </c>
      <c r="C2036" t="str">
        <f t="shared" si="528"/>
        <v>Pascale</v>
      </c>
      <c r="D2036" s="8" t="str">
        <f t="shared" si="529"/>
        <v>Cartrain</v>
      </c>
      <c r="E2036" s="8" t="str">
        <f t="shared" si="530"/>
        <v>Cartrain, Pascale</v>
      </c>
      <c r="F2036" s="8" t="str">
        <f t="shared" si="531"/>
        <v>Cartrain, Pascale</v>
      </c>
      <c r="G2036" s="8" t="str">
        <f t="shared" si="532"/>
        <v>not an outlier</v>
      </c>
      <c r="H2036" s="8" t="str">
        <f t="shared" si="533"/>
        <v>Not</v>
      </c>
      <c r="I2036" s="8" t="str">
        <f t="shared" si="543"/>
        <v>no</v>
      </c>
      <c r="J2036" s="10" t="str">
        <f t="shared" si="534"/>
        <v>no</v>
      </c>
      <c r="K2036" s="10" t="str">
        <f t="shared" si="535"/>
        <v>no</v>
      </c>
      <c r="L2036" t="s">
        <v>565</v>
      </c>
      <c r="M2036">
        <v>11035</v>
      </c>
      <c r="N2036">
        <v>1</v>
      </c>
      <c r="O2036" t="s">
        <v>735</v>
      </c>
      <c r="P2036" t="str">
        <f t="shared" si="536"/>
        <v>SUPRD_11035_Chai</v>
      </c>
      <c r="Q2036" t="str">
        <f t="shared" si="537"/>
        <v>11035</v>
      </c>
      <c r="R2036" t="str">
        <f t="shared" si="538"/>
        <v>11035</v>
      </c>
      <c r="S2036" t="str">
        <f t="shared" si="539"/>
        <v>Chai</v>
      </c>
      <c r="T2036">
        <v>18</v>
      </c>
      <c r="U2036">
        <v>10</v>
      </c>
      <c r="V2036">
        <v>0</v>
      </c>
      <c r="W2036">
        <f t="shared" si="540"/>
        <v>180</v>
      </c>
      <c r="X2036" t="str">
        <f t="shared" si="541"/>
        <v>yes</v>
      </c>
      <c r="Y2036" s="2">
        <v>35205</v>
      </c>
      <c r="Z2036" t="str">
        <f t="shared" si="544"/>
        <v/>
      </c>
      <c r="AA2036" t="str">
        <f t="shared" si="542"/>
        <v>2nd Q 1996</v>
      </c>
      <c r="AB2036" t="str" cm="1">
        <f t="array" ref="AB2036">_xlfn.IFS(Y2036&lt;DATE(1996,1,1),"",Y2036&lt;DATE(1996,4,1),"Q1",Y2036&lt;DATE(1996,7,1),"Q2",Y2036&gt;=DATE(1996,7,1),"")</f>
        <v>Q2</v>
      </c>
    </row>
    <row r="2037" spans="1:28" ht="14.4" x14ac:dyDescent="0.55000000000000004">
      <c r="A2037" t="str">
        <f>VLOOKUP(L2037,Customers!$A$2:$B$92,2,FALSE)</f>
        <v>Suprêmes délices</v>
      </c>
      <c r="B2037" t="str">
        <f>VLOOKUP(L2037,Customers!$A$2:$C$92,3,TRUE)</f>
        <v>Pascale Cartrain</v>
      </c>
      <c r="C2037" t="str">
        <f t="shared" si="528"/>
        <v>Pascale</v>
      </c>
      <c r="D2037" s="8" t="str">
        <f t="shared" si="529"/>
        <v>Cartrain</v>
      </c>
      <c r="E2037" s="8" t="str">
        <f t="shared" si="530"/>
        <v>Cartrain, Pascale</v>
      </c>
      <c r="F2037" s="8" t="str">
        <f t="shared" si="531"/>
        <v>Cartrain, Pascale</v>
      </c>
      <c r="G2037" s="8" t="str">
        <f t="shared" si="532"/>
        <v>not an outlier</v>
      </c>
      <c r="H2037" s="8" t="str">
        <f t="shared" si="533"/>
        <v>Not</v>
      </c>
      <c r="I2037" s="8" t="str">
        <f t="shared" si="543"/>
        <v>no</v>
      </c>
      <c r="J2037" s="10" t="str">
        <f t="shared" si="534"/>
        <v>no</v>
      </c>
      <c r="K2037" s="10" t="str">
        <f t="shared" si="535"/>
        <v>no</v>
      </c>
      <c r="L2037" t="s">
        <v>565</v>
      </c>
      <c r="M2037">
        <v>11035</v>
      </c>
      <c r="N2037">
        <v>35</v>
      </c>
      <c r="O2037" t="s">
        <v>714</v>
      </c>
      <c r="P2037" t="str">
        <f t="shared" si="536"/>
        <v>SUPRD_11035_Steeleye Stout</v>
      </c>
      <c r="Q2037" t="str">
        <f t="shared" si="537"/>
        <v>11035</v>
      </c>
      <c r="R2037" t="str">
        <f t="shared" si="538"/>
        <v>11035</v>
      </c>
      <c r="S2037" t="str">
        <f t="shared" si="539"/>
        <v>Steeleye Stout</v>
      </c>
      <c r="T2037">
        <v>18</v>
      </c>
      <c r="U2037">
        <v>60</v>
      </c>
      <c r="V2037">
        <v>0</v>
      </c>
      <c r="W2037">
        <f t="shared" si="540"/>
        <v>1080</v>
      </c>
      <c r="X2037" t="str">
        <f t="shared" si="541"/>
        <v>yes</v>
      </c>
      <c r="Y2037" s="2">
        <v>35205</v>
      </c>
      <c r="Z2037" t="str">
        <f t="shared" si="544"/>
        <v/>
      </c>
      <c r="AA2037" t="str">
        <f t="shared" si="542"/>
        <v>2nd Q 1996</v>
      </c>
      <c r="AB2037" t="str" cm="1">
        <f t="array" ref="AB2037">_xlfn.IFS(Y2037&lt;DATE(1996,1,1),"",Y2037&lt;DATE(1996,4,1),"Q1",Y2037&lt;DATE(1996,7,1),"Q2",Y2037&gt;=DATE(1996,7,1),"")</f>
        <v>Q2</v>
      </c>
    </row>
    <row r="2038" spans="1:28" ht="14.4" x14ac:dyDescent="0.55000000000000004">
      <c r="A2038" t="str">
        <f>VLOOKUP(L2038,Customers!$A$2:$B$92,2,FALSE)</f>
        <v>Suprêmes délices</v>
      </c>
      <c r="B2038" t="str">
        <f>VLOOKUP(L2038,Customers!$A$2:$C$92,3,TRUE)</f>
        <v>Pascale Cartrain</v>
      </c>
      <c r="C2038" t="str">
        <f t="shared" si="528"/>
        <v>Pascale</v>
      </c>
      <c r="D2038" s="8" t="str">
        <f t="shared" si="529"/>
        <v>Cartrain</v>
      </c>
      <c r="E2038" s="8" t="str">
        <f t="shared" si="530"/>
        <v>Cartrain, Pascale</v>
      </c>
      <c r="F2038" s="8" t="str">
        <f t="shared" si="531"/>
        <v>Cartrain, Pascale</v>
      </c>
      <c r="G2038" s="8" t="str">
        <f t="shared" si="532"/>
        <v>not an outlier</v>
      </c>
      <c r="H2038" s="8" t="str">
        <f t="shared" si="533"/>
        <v>Not</v>
      </c>
      <c r="I2038" s="8" t="str">
        <f t="shared" si="543"/>
        <v>no</v>
      </c>
      <c r="J2038" s="10" t="str">
        <f t="shared" si="534"/>
        <v>no</v>
      </c>
      <c r="K2038" s="10" t="str">
        <f t="shared" si="535"/>
        <v>no</v>
      </c>
      <c r="L2038" t="s">
        <v>565</v>
      </c>
      <c r="M2038">
        <v>11035</v>
      </c>
      <c r="N2038">
        <v>42</v>
      </c>
      <c r="O2038" t="s">
        <v>684</v>
      </c>
      <c r="P2038" t="str">
        <f t="shared" si="536"/>
        <v>SUPRD_11035_Singaporean Hokkien Fried Mee</v>
      </c>
      <c r="Q2038" t="str">
        <f t="shared" si="537"/>
        <v>11035</v>
      </c>
      <c r="R2038" t="str">
        <f t="shared" si="538"/>
        <v>11035</v>
      </c>
      <c r="S2038" t="str">
        <f t="shared" si="539"/>
        <v>Singaporean Hokkien Fried Mee</v>
      </c>
      <c r="T2038">
        <v>14</v>
      </c>
      <c r="U2038">
        <v>30</v>
      </c>
      <c r="V2038">
        <v>0</v>
      </c>
      <c r="W2038">
        <f t="shared" si="540"/>
        <v>420</v>
      </c>
      <c r="X2038" t="str">
        <f t="shared" si="541"/>
        <v>yes</v>
      </c>
      <c r="Y2038" s="2">
        <v>35205</v>
      </c>
      <c r="Z2038" t="str">
        <f t="shared" si="544"/>
        <v/>
      </c>
      <c r="AA2038" t="str">
        <f t="shared" si="542"/>
        <v>2nd Q 1996</v>
      </c>
      <c r="AB2038" t="str" cm="1">
        <f t="array" ref="AB2038">_xlfn.IFS(Y2038&lt;DATE(1996,1,1),"",Y2038&lt;DATE(1996,4,1),"Q1",Y2038&lt;DATE(1996,7,1),"Q2",Y2038&gt;=DATE(1996,7,1),"")</f>
        <v>Q2</v>
      </c>
    </row>
    <row r="2039" spans="1:28" ht="14.4" x14ac:dyDescent="0.55000000000000004">
      <c r="A2039" t="str">
        <f>VLOOKUP(L2039,Customers!$A$2:$B$92,2,FALSE)</f>
        <v>Suprêmes délices</v>
      </c>
      <c r="B2039" t="str">
        <f>VLOOKUP(L2039,Customers!$A$2:$C$92,3,TRUE)</f>
        <v>Pascale Cartrain</v>
      </c>
      <c r="C2039" t="str">
        <f t="shared" si="528"/>
        <v>Pascale</v>
      </c>
      <c r="D2039" s="8" t="str">
        <f t="shared" si="529"/>
        <v>Cartrain</v>
      </c>
      <c r="E2039" s="8" t="str">
        <f t="shared" si="530"/>
        <v>Cartrain, Pascale</v>
      </c>
      <c r="F2039" s="8" t="str">
        <f t="shared" si="531"/>
        <v>Cartrain, Pascale</v>
      </c>
      <c r="G2039" s="8" t="str">
        <f t="shared" si="532"/>
        <v>not an outlier</v>
      </c>
      <c r="H2039" s="8" t="str">
        <f t="shared" si="533"/>
        <v>Not</v>
      </c>
      <c r="I2039" s="8" t="str">
        <f t="shared" si="543"/>
        <v>no</v>
      </c>
      <c r="J2039" s="10" t="str">
        <f t="shared" si="534"/>
        <v>no</v>
      </c>
      <c r="K2039" s="10" t="str">
        <f t="shared" si="535"/>
        <v>no</v>
      </c>
      <c r="L2039" t="s">
        <v>565</v>
      </c>
      <c r="M2039">
        <v>11035</v>
      </c>
      <c r="N2039">
        <v>54</v>
      </c>
      <c r="O2039" t="s">
        <v>738</v>
      </c>
      <c r="P2039" t="str">
        <f t="shared" si="536"/>
        <v>SUPRD_11035_Tourtière</v>
      </c>
      <c r="Q2039" t="str">
        <f t="shared" si="537"/>
        <v>11035</v>
      </c>
      <c r="R2039" t="str">
        <f t="shared" si="538"/>
        <v>11035</v>
      </c>
      <c r="S2039" t="str">
        <f t="shared" si="539"/>
        <v>Tourtière</v>
      </c>
      <c r="T2039">
        <v>7.45</v>
      </c>
      <c r="U2039">
        <v>10</v>
      </c>
      <c r="V2039">
        <v>0</v>
      </c>
      <c r="W2039">
        <f t="shared" si="540"/>
        <v>74.5</v>
      </c>
      <c r="X2039" t="str">
        <f t="shared" si="541"/>
        <v>yes</v>
      </c>
      <c r="Y2039" s="2">
        <v>35205</v>
      </c>
      <c r="Z2039" t="str">
        <f t="shared" si="544"/>
        <v/>
      </c>
      <c r="AA2039" t="str">
        <f t="shared" si="542"/>
        <v>2nd Q 1996</v>
      </c>
      <c r="AB2039" t="str" cm="1">
        <f t="array" ref="AB2039">_xlfn.IFS(Y2039&lt;DATE(1996,1,1),"",Y2039&lt;DATE(1996,4,1),"Q1",Y2039&lt;DATE(1996,7,1),"Q2",Y2039&gt;=DATE(1996,7,1),"")</f>
        <v>Q2</v>
      </c>
    </row>
    <row r="2040" spans="1:28" ht="14.4" x14ac:dyDescent="0.55000000000000004">
      <c r="A2040" t="str">
        <f>VLOOKUP(L2040,Customers!$A$2:$B$92,2,FALSE)</f>
        <v>Drachenblut Delikatessen</v>
      </c>
      <c r="B2040" t="str">
        <f>VLOOKUP(L2040,Customers!$A$2:$C$92,3,TRUE)</f>
        <v>Sven Ottlieb</v>
      </c>
      <c r="C2040" t="str">
        <f t="shared" si="528"/>
        <v>Sven</v>
      </c>
      <c r="D2040" s="8" t="str">
        <f t="shared" si="529"/>
        <v>Ottlieb</v>
      </c>
      <c r="E2040" s="8" t="str">
        <f t="shared" si="530"/>
        <v>Ottlieb, Sven</v>
      </c>
      <c r="F2040" s="8" t="str">
        <f t="shared" si="531"/>
        <v>Ottlieb, Sven</v>
      </c>
      <c r="G2040" s="8" t="str">
        <f t="shared" si="532"/>
        <v>not an outlier</v>
      </c>
      <c r="H2040" s="8" t="str">
        <f t="shared" si="533"/>
        <v>Not</v>
      </c>
      <c r="I2040" s="8" t="str">
        <f t="shared" si="543"/>
        <v>no</v>
      </c>
      <c r="J2040" s="10" t="str">
        <f t="shared" si="534"/>
        <v>no</v>
      </c>
      <c r="K2040" s="10" t="str">
        <f t="shared" si="535"/>
        <v>no</v>
      </c>
      <c r="L2040" t="s">
        <v>140</v>
      </c>
      <c r="M2040">
        <v>11036</v>
      </c>
      <c r="N2040">
        <v>13</v>
      </c>
      <c r="O2040" t="s">
        <v>726</v>
      </c>
      <c r="P2040" t="str">
        <f t="shared" si="536"/>
        <v>DRACD_11036_Konbu</v>
      </c>
      <c r="Q2040" t="str">
        <f t="shared" si="537"/>
        <v>11036</v>
      </c>
      <c r="R2040" t="str">
        <f t="shared" si="538"/>
        <v>11036</v>
      </c>
      <c r="S2040" t="str">
        <f t="shared" si="539"/>
        <v>Konbu</v>
      </c>
      <c r="T2040">
        <v>6</v>
      </c>
      <c r="U2040">
        <v>7</v>
      </c>
      <c r="V2040">
        <v>0</v>
      </c>
      <c r="W2040">
        <f t="shared" si="540"/>
        <v>42</v>
      </c>
      <c r="X2040" t="str">
        <f t="shared" si="541"/>
        <v>yes</v>
      </c>
      <c r="Y2040" s="2">
        <v>35205</v>
      </c>
      <c r="Z2040" t="str">
        <f t="shared" si="544"/>
        <v/>
      </c>
      <c r="AA2040" t="str">
        <f t="shared" si="542"/>
        <v>2nd Q 1996</v>
      </c>
      <c r="AB2040" t="str" cm="1">
        <f t="array" ref="AB2040">_xlfn.IFS(Y2040&lt;DATE(1996,1,1),"",Y2040&lt;DATE(1996,4,1),"Q1",Y2040&lt;DATE(1996,7,1),"Q2",Y2040&gt;=DATE(1996,7,1),"")</f>
        <v>Q2</v>
      </c>
    </row>
    <row r="2041" spans="1:28" ht="14.4" x14ac:dyDescent="0.55000000000000004">
      <c r="A2041" t="str">
        <f>VLOOKUP(L2041,Customers!$A$2:$B$92,2,FALSE)</f>
        <v>Drachenblut Delikatessen</v>
      </c>
      <c r="B2041" t="str">
        <f>VLOOKUP(L2041,Customers!$A$2:$C$92,3,TRUE)</f>
        <v>Sven Ottlieb</v>
      </c>
      <c r="C2041" t="str">
        <f t="shared" si="528"/>
        <v>Sven</v>
      </c>
      <c r="D2041" s="8" t="str">
        <f t="shared" si="529"/>
        <v>Ottlieb</v>
      </c>
      <c r="E2041" s="8" t="str">
        <f t="shared" si="530"/>
        <v>Ottlieb, Sven</v>
      </c>
      <c r="F2041" s="8" t="str">
        <f t="shared" si="531"/>
        <v>Ottlieb, Sven</v>
      </c>
      <c r="G2041" s="8" t="str">
        <f t="shared" si="532"/>
        <v>not an outlier</v>
      </c>
      <c r="H2041" s="8" t="str">
        <f t="shared" si="533"/>
        <v>Not</v>
      </c>
      <c r="I2041" s="8" t="str">
        <f t="shared" si="543"/>
        <v>no</v>
      </c>
      <c r="J2041" s="10" t="str">
        <f t="shared" si="534"/>
        <v>no</v>
      </c>
      <c r="K2041" s="10" t="str">
        <f t="shared" si="535"/>
        <v>no</v>
      </c>
      <c r="L2041" t="s">
        <v>140</v>
      </c>
      <c r="M2041">
        <v>11036</v>
      </c>
      <c r="N2041">
        <v>59</v>
      </c>
      <c r="O2041" t="s">
        <v>704</v>
      </c>
      <c r="P2041" t="str">
        <f t="shared" si="536"/>
        <v>DRACD_11036_Raclette Courdavault</v>
      </c>
      <c r="Q2041" t="str">
        <f t="shared" si="537"/>
        <v>11036</v>
      </c>
      <c r="R2041" t="str">
        <f t="shared" si="538"/>
        <v>11036</v>
      </c>
      <c r="S2041" t="str">
        <f t="shared" si="539"/>
        <v>Raclette Courdavault</v>
      </c>
      <c r="T2041">
        <v>55</v>
      </c>
      <c r="U2041">
        <v>30</v>
      </c>
      <c r="V2041">
        <v>0</v>
      </c>
      <c r="W2041">
        <f t="shared" si="540"/>
        <v>1650</v>
      </c>
      <c r="X2041" t="str">
        <f t="shared" si="541"/>
        <v>yes</v>
      </c>
      <c r="Y2041" s="2">
        <v>35205</v>
      </c>
      <c r="Z2041" t="str">
        <f t="shared" si="544"/>
        <v/>
      </c>
      <c r="AA2041" t="str">
        <f t="shared" si="542"/>
        <v>2nd Q 1996</v>
      </c>
      <c r="AB2041" t="str" cm="1">
        <f t="array" ref="AB2041">_xlfn.IFS(Y2041&lt;DATE(1996,1,1),"",Y2041&lt;DATE(1996,4,1),"Q1",Y2041&lt;DATE(1996,7,1),"Q2",Y2041&gt;=DATE(1996,7,1),"")</f>
        <v>Q2</v>
      </c>
    </row>
    <row r="2042" spans="1:28" ht="14.4" x14ac:dyDescent="0.55000000000000004">
      <c r="A2042" t="str">
        <f>VLOOKUP(L2042,Customers!$A$2:$B$92,2,FALSE)</f>
        <v>Godos Cocina Típica</v>
      </c>
      <c r="B2042" t="str">
        <f>VLOOKUP(L2042,Customers!$A$2:$C$92,3,TRUE)</f>
        <v>José Pedro Freyre</v>
      </c>
      <c r="C2042" t="str">
        <f t="shared" si="528"/>
        <v>José</v>
      </c>
      <c r="D2042" s="8" t="str">
        <f t="shared" si="529"/>
        <v>Pedro Freyre</v>
      </c>
      <c r="E2042" s="8" t="str">
        <f t="shared" si="530"/>
        <v>Pedro Freyre, José</v>
      </c>
      <c r="F2042" s="8" t="str">
        <f t="shared" si="531"/>
        <v>Pedro Freyre, José</v>
      </c>
      <c r="G2042" s="8" t="str">
        <f t="shared" si="532"/>
        <v>not an outlier</v>
      </c>
      <c r="H2042" s="8" t="str">
        <f t="shared" si="533"/>
        <v>Not</v>
      </c>
      <c r="I2042" s="8" t="str">
        <f t="shared" si="543"/>
        <v>no</v>
      </c>
      <c r="J2042" s="10" t="str">
        <f t="shared" si="534"/>
        <v>no</v>
      </c>
      <c r="K2042" s="10" t="str">
        <f t="shared" si="535"/>
        <v>no</v>
      </c>
      <c r="L2042" t="s">
        <v>234</v>
      </c>
      <c r="M2042">
        <v>11037</v>
      </c>
      <c r="N2042">
        <v>70</v>
      </c>
      <c r="O2042" t="s">
        <v>713</v>
      </c>
      <c r="P2042" t="str">
        <f t="shared" si="536"/>
        <v>GODOS_11037_Outback Lager</v>
      </c>
      <c r="Q2042" t="str">
        <f t="shared" si="537"/>
        <v>11037</v>
      </c>
      <c r="R2042" t="str">
        <f t="shared" si="538"/>
        <v>11037</v>
      </c>
      <c r="S2042" t="str">
        <f t="shared" si="539"/>
        <v>Outback Lager</v>
      </c>
      <c r="T2042">
        <v>15</v>
      </c>
      <c r="U2042">
        <v>4</v>
      </c>
      <c r="V2042">
        <v>0</v>
      </c>
      <c r="W2042">
        <f t="shared" si="540"/>
        <v>60</v>
      </c>
      <c r="X2042" t="str">
        <f t="shared" si="541"/>
        <v>yes</v>
      </c>
      <c r="Y2042" s="2">
        <v>35206</v>
      </c>
      <c r="Z2042" t="str">
        <f t="shared" si="544"/>
        <v/>
      </c>
      <c r="AA2042" t="str">
        <f t="shared" si="542"/>
        <v>2nd Q 1996</v>
      </c>
      <c r="AB2042" t="str" cm="1">
        <f t="array" ref="AB2042">_xlfn.IFS(Y2042&lt;DATE(1996,1,1),"",Y2042&lt;DATE(1996,4,1),"Q1",Y2042&lt;DATE(1996,7,1),"Q2",Y2042&gt;=DATE(1996,7,1),"")</f>
        <v>Q2</v>
      </c>
    </row>
    <row r="2043" spans="1:28" ht="14.4" x14ac:dyDescent="0.55000000000000004">
      <c r="A2043" t="str">
        <f>VLOOKUP(L2043,Customers!$A$2:$B$92,2,FALSE)</f>
        <v>Suprêmes délices</v>
      </c>
      <c r="B2043" t="str">
        <f>VLOOKUP(L2043,Customers!$A$2:$C$92,3,TRUE)</f>
        <v>Pascale Cartrain</v>
      </c>
      <c r="C2043" t="str">
        <f t="shared" si="528"/>
        <v>Pascale</v>
      </c>
      <c r="D2043" s="8" t="str">
        <f t="shared" si="529"/>
        <v>Cartrain</v>
      </c>
      <c r="E2043" s="8" t="str">
        <f t="shared" si="530"/>
        <v>Cartrain, Pascale</v>
      </c>
      <c r="F2043" s="8" t="str">
        <f t="shared" si="531"/>
        <v>Cartrain, Pascale</v>
      </c>
      <c r="G2043" s="8" t="str">
        <f t="shared" si="532"/>
        <v>not an outlier</v>
      </c>
      <c r="H2043" s="8" t="str">
        <f t="shared" si="533"/>
        <v>Not</v>
      </c>
      <c r="I2043" s="8" t="str">
        <f t="shared" si="543"/>
        <v>no</v>
      </c>
      <c r="J2043" s="10" t="str">
        <f t="shared" si="534"/>
        <v>no</v>
      </c>
      <c r="K2043" s="10" t="str">
        <f t="shared" si="535"/>
        <v>no</v>
      </c>
      <c r="L2043" t="s">
        <v>565</v>
      </c>
      <c r="M2043">
        <v>11038</v>
      </c>
      <c r="N2043">
        <v>40</v>
      </c>
      <c r="O2043" t="s">
        <v>720</v>
      </c>
      <c r="P2043" t="str">
        <f t="shared" si="536"/>
        <v>SUPRD_11038_Boston Crab Meat</v>
      </c>
      <c r="Q2043" t="str">
        <f t="shared" si="537"/>
        <v>11038</v>
      </c>
      <c r="R2043" t="str">
        <f t="shared" si="538"/>
        <v>11038</v>
      </c>
      <c r="S2043" t="str">
        <f t="shared" si="539"/>
        <v>Boston Crab Meat</v>
      </c>
      <c r="T2043">
        <v>18.399999999999999</v>
      </c>
      <c r="U2043">
        <v>5</v>
      </c>
      <c r="V2043">
        <v>0.2</v>
      </c>
      <c r="W2043">
        <f t="shared" si="540"/>
        <v>73.600000000000009</v>
      </c>
      <c r="X2043" t="str">
        <f t="shared" si="541"/>
        <v>yes</v>
      </c>
      <c r="Y2043" s="2">
        <v>35206</v>
      </c>
      <c r="Z2043" t="str">
        <f t="shared" si="544"/>
        <v/>
      </c>
      <c r="AA2043" t="str">
        <f t="shared" si="542"/>
        <v>2nd Q 1996</v>
      </c>
      <c r="AB2043" t="str" cm="1">
        <f t="array" ref="AB2043">_xlfn.IFS(Y2043&lt;DATE(1996,1,1),"",Y2043&lt;DATE(1996,4,1),"Q1",Y2043&lt;DATE(1996,7,1),"Q2",Y2043&gt;=DATE(1996,7,1),"")</f>
        <v>Q2</v>
      </c>
    </row>
    <row r="2044" spans="1:28" ht="14.4" x14ac:dyDescent="0.55000000000000004">
      <c r="A2044" t="str">
        <f>VLOOKUP(L2044,Customers!$A$2:$B$92,2,FALSE)</f>
        <v>Suprêmes délices</v>
      </c>
      <c r="B2044" t="str">
        <f>VLOOKUP(L2044,Customers!$A$2:$C$92,3,TRUE)</f>
        <v>Pascale Cartrain</v>
      </c>
      <c r="C2044" t="str">
        <f t="shared" si="528"/>
        <v>Pascale</v>
      </c>
      <c r="D2044" s="8" t="str">
        <f t="shared" si="529"/>
        <v>Cartrain</v>
      </c>
      <c r="E2044" s="8" t="str">
        <f t="shared" si="530"/>
        <v>Cartrain, Pascale</v>
      </c>
      <c r="F2044" s="8" t="str">
        <f t="shared" si="531"/>
        <v>Cartrain, Pascale</v>
      </c>
      <c r="G2044" s="8" t="str">
        <f t="shared" si="532"/>
        <v>not an outlier</v>
      </c>
      <c r="H2044" s="8" t="str">
        <f t="shared" si="533"/>
        <v>Not</v>
      </c>
      <c r="I2044" s="8" t="str">
        <f t="shared" si="543"/>
        <v>no</v>
      </c>
      <c r="J2044" s="10" t="str">
        <f t="shared" si="534"/>
        <v>no</v>
      </c>
      <c r="K2044" s="10" t="str">
        <f t="shared" si="535"/>
        <v>no</v>
      </c>
      <c r="L2044" t="s">
        <v>565</v>
      </c>
      <c r="M2044">
        <v>11038</v>
      </c>
      <c r="N2044">
        <v>52</v>
      </c>
      <c r="O2044" t="s">
        <v>748</v>
      </c>
      <c r="P2044" t="str">
        <f t="shared" si="536"/>
        <v>SUPRD_11038_Filo Mix</v>
      </c>
      <c r="Q2044" t="str">
        <f t="shared" si="537"/>
        <v>11038</v>
      </c>
      <c r="R2044" t="str">
        <f t="shared" si="538"/>
        <v>11038</v>
      </c>
      <c r="S2044" t="str">
        <f t="shared" si="539"/>
        <v>Filo Mix</v>
      </c>
      <c r="T2044">
        <v>7</v>
      </c>
      <c r="U2044">
        <v>2</v>
      </c>
      <c r="V2044">
        <v>0</v>
      </c>
      <c r="W2044">
        <f t="shared" si="540"/>
        <v>14</v>
      </c>
      <c r="X2044" t="str">
        <f t="shared" si="541"/>
        <v>yes</v>
      </c>
      <c r="Y2044" s="2">
        <v>35206</v>
      </c>
      <c r="Z2044" t="str">
        <f t="shared" si="544"/>
        <v/>
      </c>
      <c r="AA2044" t="str">
        <f t="shared" si="542"/>
        <v>2nd Q 1996</v>
      </c>
      <c r="AB2044" t="str" cm="1">
        <f t="array" ref="AB2044">_xlfn.IFS(Y2044&lt;DATE(1996,1,1),"",Y2044&lt;DATE(1996,4,1),"Q1",Y2044&lt;DATE(1996,7,1),"Q2",Y2044&gt;=DATE(1996,7,1),"")</f>
        <v>Q2</v>
      </c>
    </row>
    <row r="2045" spans="1:28" ht="14.4" x14ac:dyDescent="0.55000000000000004">
      <c r="A2045" t="str">
        <f>VLOOKUP(L2045,Customers!$A$2:$B$92,2,FALSE)</f>
        <v>Suprêmes délices</v>
      </c>
      <c r="B2045" t="str">
        <f>VLOOKUP(L2045,Customers!$A$2:$C$92,3,TRUE)</f>
        <v>Pascale Cartrain</v>
      </c>
      <c r="C2045" t="str">
        <f t="shared" si="528"/>
        <v>Pascale</v>
      </c>
      <c r="D2045" s="8" t="str">
        <f t="shared" si="529"/>
        <v>Cartrain</v>
      </c>
      <c r="E2045" s="8" t="str">
        <f t="shared" si="530"/>
        <v>Cartrain, Pascale</v>
      </c>
      <c r="F2045" s="8" t="str">
        <f t="shared" si="531"/>
        <v>Cartrain, Pascale</v>
      </c>
      <c r="G2045" s="8" t="str">
        <f t="shared" si="532"/>
        <v>not an outlier</v>
      </c>
      <c r="H2045" s="8" t="str">
        <f t="shared" si="533"/>
        <v>Not</v>
      </c>
      <c r="I2045" s="8" t="str">
        <f t="shared" si="543"/>
        <v>no</v>
      </c>
      <c r="J2045" s="10" t="str">
        <f t="shared" si="534"/>
        <v>no</v>
      </c>
      <c r="K2045" s="10" t="str">
        <f t="shared" si="535"/>
        <v>no</v>
      </c>
      <c r="L2045" t="s">
        <v>565</v>
      </c>
      <c r="M2045">
        <v>11038</v>
      </c>
      <c r="N2045">
        <v>71</v>
      </c>
      <c r="O2045" t="s">
        <v>725</v>
      </c>
      <c r="P2045" t="str">
        <f t="shared" si="536"/>
        <v>SUPRD_11038_Fløtemysost</v>
      </c>
      <c r="Q2045" t="str">
        <f t="shared" si="537"/>
        <v>11038</v>
      </c>
      <c r="R2045" t="str">
        <f t="shared" si="538"/>
        <v>11038</v>
      </c>
      <c r="S2045" t="str">
        <f t="shared" si="539"/>
        <v>Fløtemysost</v>
      </c>
      <c r="T2045">
        <v>21.5</v>
      </c>
      <c r="U2045">
        <v>30</v>
      </c>
      <c r="V2045">
        <v>0</v>
      </c>
      <c r="W2045">
        <f t="shared" si="540"/>
        <v>645</v>
      </c>
      <c r="X2045" t="str">
        <f t="shared" si="541"/>
        <v>yes</v>
      </c>
      <c r="Y2045" s="2">
        <v>35206</v>
      </c>
      <c r="Z2045" t="str">
        <f t="shared" si="544"/>
        <v/>
      </c>
      <c r="AA2045" t="str">
        <f t="shared" si="542"/>
        <v>2nd Q 1996</v>
      </c>
      <c r="AB2045" t="str" cm="1">
        <f t="array" ref="AB2045">_xlfn.IFS(Y2045&lt;DATE(1996,1,1),"",Y2045&lt;DATE(1996,4,1),"Q1",Y2045&lt;DATE(1996,7,1),"Q2",Y2045&gt;=DATE(1996,7,1),"")</f>
        <v>Q2</v>
      </c>
    </row>
    <row r="2046" spans="1:28" ht="14.4" x14ac:dyDescent="0.55000000000000004">
      <c r="A2046" t="str">
        <f>VLOOKUP(L2046,Customers!$A$2:$B$92,2,FALSE)</f>
        <v>LINO-Delicateses</v>
      </c>
      <c r="B2046" t="str">
        <f>VLOOKUP(L2046,Customers!$A$2:$C$92,3,TRUE)</f>
        <v>Felipe Izquierdo</v>
      </c>
      <c r="C2046" t="str">
        <f t="shared" si="528"/>
        <v>Felipe</v>
      </c>
      <c r="D2046" s="8" t="str">
        <f t="shared" si="529"/>
        <v>Izquierdo</v>
      </c>
      <c r="E2046" s="8" t="str">
        <f t="shared" si="530"/>
        <v>Izquierdo, Felipe</v>
      </c>
      <c r="F2046" s="8" t="str">
        <f t="shared" si="531"/>
        <v>Izquierdo, Felipe</v>
      </c>
      <c r="G2046" s="8" t="str">
        <f t="shared" si="532"/>
        <v>not an outlier</v>
      </c>
      <c r="H2046" s="8" t="str">
        <f t="shared" si="533"/>
        <v>Not</v>
      </c>
      <c r="I2046" s="8" t="str">
        <f t="shared" si="543"/>
        <v>no</v>
      </c>
      <c r="J2046" s="10" t="str">
        <f t="shared" si="534"/>
        <v>no</v>
      </c>
      <c r="K2046" s="10" t="str">
        <f t="shared" si="535"/>
        <v>no</v>
      </c>
      <c r="L2046" t="s">
        <v>363</v>
      </c>
      <c r="M2046">
        <v>11039</v>
      </c>
      <c r="N2046">
        <v>28</v>
      </c>
      <c r="O2046" t="s">
        <v>727</v>
      </c>
      <c r="P2046" t="str">
        <f t="shared" si="536"/>
        <v>LINOD_11039_Rössle Sauerkraut</v>
      </c>
      <c r="Q2046" t="str">
        <f t="shared" si="537"/>
        <v>11039</v>
      </c>
      <c r="R2046" t="str">
        <f t="shared" si="538"/>
        <v>11039</v>
      </c>
      <c r="S2046" t="str">
        <f t="shared" si="539"/>
        <v>Rössle Sauerkraut</v>
      </c>
      <c r="T2046">
        <v>45.6</v>
      </c>
      <c r="U2046">
        <v>20</v>
      </c>
      <c r="V2046">
        <v>0</v>
      </c>
      <c r="W2046">
        <f t="shared" si="540"/>
        <v>912</v>
      </c>
      <c r="X2046" t="str">
        <f t="shared" si="541"/>
        <v>yes</v>
      </c>
      <c r="Y2046" s="2">
        <v>35206</v>
      </c>
      <c r="Z2046" t="str">
        <f t="shared" si="544"/>
        <v/>
      </c>
      <c r="AA2046" t="str">
        <f t="shared" si="542"/>
        <v>2nd Q 1996</v>
      </c>
      <c r="AB2046" t="str" cm="1">
        <f t="array" ref="AB2046">_xlfn.IFS(Y2046&lt;DATE(1996,1,1),"",Y2046&lt;DATE(1996,4,1),"Q1",Y2046&lt;DATE(1996,7,1),"Q2",Y2046&gt;=DATE(1996,7,1),"")</f>
        <v>Q2</v>
      </c>
    </row>
    <row r="2047" spans="1:28" ht="14.4" x14ac:dyDescent="0.55000000000000004">
      <c r="A2047" t="str">
        <f>VLOOKUP(L2047,Customers!$A$2:$B$92,2,FALSE)</f>
        <v>LINO-Delicateses</v>
      </c>
      <c r="B2047" t="str">
        <f>VLOOKUP(L2047,Customers!$A$2:$C$92,3,TRUE)</f>
        <v>Felipe Izquierdo</v>
      </c>
      <c r="C2047" t="str">
        <f t="shared" si="528"/>
        <v>Felipe</v>
      </c>
      <c r="D2047" s="8" t="str">
        <f t="shared" si="529"/>
        <v>Izquierdo</v>
      </c>
      <c r="E2047" s="8" t="str">
        <f t="shared" si="530"/>
        <v>Izquierdo, Felipe</v>
      </c>
      <c r="F2047" s="8" t="str">
        <f t="shared" si="531"/>
        <v>Izquierdo, Felipe</v>
      </c>
      <c r="G2047" s="8" t="str">
        <f t="shared" si="532"/>
        <v>not an outlier</v>
      </c>
      <c r="H2047" s="8" t="str">
        <f t="shared" si="533"/>
        <v>Not</v>
      </c>
      <c r="I2047" s="8" t="str">
        <f t="shared" si="543"/>
        <v>no</v>
      </c>
      <c r="J2047" s="10" t="str">
        <f t="shared" si="534"/>
        <v>no</v>
      </c>
      <c r="K2047" s="10" t="str">
        <f t="shared" si="535"/>
        <v>no</v>
      </c>
      <c r="L2047" t="s">
        <v>363</v>
      </c>
      <c r="M2047">
        <v>11039</v>
      </c>
      <c r="N2047">
        <v>35</v>
      </c>
      <c r="O2047" t="s">
        <v>714</v>
      </c>
      <c r="P2047" t="str">
        <f t="shared" si="536"/>
        <v>LINOD_11039_Steeleye Stout</v>
      </c>
      <c r="Q2047" t="str">
        <f t="shared" si="537"/>
        <v>11039</v>
      </c>
      <c r="R2047" t="str">
        <f t="shared" si="538"/>
        <v>11039</v>
      </c>
      <c r="S2047" t="str">
        <f t="shared" si="539"/>
        <v>Steeleye Stout</v>
      </c>
      <c r="T2047">
        <v>18</v>
      </c>
      <c r="U2047">
        <v>24</v>
      </c>
      <c r="V2047">
        <v>0</v>
      </c>
      <c r="W2047">
        <f t="shared" si="540"/>
        <v>432</v>
      </c>
      <c r="X2047" t="str">
        <f t="shared" si="541"/>
        <v>yes</v>
      </c>
      <c r="Y2047" s="2">
        <v>35206</v>
      </c>
      <c r="Z2047" t="str">
        <f t="shared" si="544"/>
        <v/>
      </c>
      <c r="AA2047" t="str">
        <f t="shared" si="542"/>
        <v>2nd Q 1996</v>
      </c>
      <c r="AB2047" t="str" cm="1">
        <f t="array" ref="AB2047">_xlfn.IFS(Y2047&lt;DATE(1996,1,1),"",Y2047&lt;DATE(1996,4,1),"Q1",Y2047&lt;DATE(1996,7,1),"Q2",Y2047&gt;=DATE(1996,7,1),"")</f>
        <v>Q2</v>
      </c>
    </row>
    <row r="2048" spans="1:28" ht="14.4" x14ac:dyDescent="0.55000000000000004">
      <c r="A2048" t="str">
        <f>VLOOKUP(L2048,Customers!$A$2:$B$92,2,FALSE)</f>
        <v>LINO-Delicateses</v>
      </c>
      <c r="B2048" t="str">
        <f>VLOOKUP(L2048,Customers!$A$2:$C$92,3,TRUE)</f>
        <v>Felipe Izquierdo</v>
      </c>
      <c r="C2048" t="str">
        <f t="shared" si="528"/>
        <v>Felipe</v>
      </c>
      <c r="D2048" s="8" t="str">
        <f t="shared" si="529"/>
        <v>Izquierdo</v>
      </c>
      <c r="E2048" s="8" t="str">
        <f t="shared" si="530"/>
        <v>Izquierdo, Felipe</v>
      </c>
      <c r="F2048" s="8" t="str">
        <f t="shared" si="531"/>
        <v>Izquierdo, Felipe</v>
      </c>
      <c r="G2048" s="8" t="str">
        <f t="shared" si="532"/>
        <v>not an outlier</v>
      </c>
      <c r="H2048" s="8" t="str">
        <f t="shared" si="533"/>
        <v>Not</v>
      </c>
      <c r="I2048" s="8" t="str">
        <f t="shared" si="543"/>
        <v>no</v>
      </c>
      <c r="J2048" s="10" t="str">
        <f t="shared" si="534"/>
        <v>no</v>
      </c>
      <c r="K2048" s="10" t="str">
        <f t="shared" si="535"/>
        <v>no</v>
      </c>
      <c r="L2048" t="s">
        <v>363</v>
      </c>
      <c r="M2048">
        <v>11039</v>
      </c>
      <c r="N2048">
        <v>49</v>
      </c>
      <c r="O2048" t="s">
        <v>697</v>
      </c>
      <c r="P2048" t="str">
        <f t="shared" si="536"/>
        <v>LINOD_11039_Maxilaku</v>
      </c>
      <c r="Q2048" t="str">
        <f t="shared" si="537"/>
        <v>11039</v>
      </c>
      <c r="R2048" t="str">
        <f t="shared" si="538"/>
        <v>11039</v>
      </c>
      <c r="S2048" t="str">
        <f t="shared" si="539"/>
        <v>Maxilaku</v>
      </c>
      <c r="T2048">
        <v>20</v>
      </c>
      <c r="U2048">
        <v>60</v>
      </c>
      <c r="V2048">
        <v>0</v>
      </c>
      <c r="W2048">
        <f t="shared" si="540"/>
        <v>1200</v>
      </c>
      <c r="X2048" t="str">
        <f t="shared" si="541"/>
        <v>yes</v>
      </c>
      <c r="Y2048" s="2">
        <v>35206</v>
      </c>
      <c r="Z2048" t="str">
        <f t="shared" si="544"/>
        <v/>
      </c>
      <c r="AA2048" t="str">
        <f t="shared" si="542"/>
        <v>2nd Q 1996</v>
      </c>
      <c r="AB2048" t="str" cm="1">
        <f t="array" ref="AB2048">_xlfn.IFS(Y2048&lt;DATE(1996,1,1),"",Y2048&lt;DATE(1996,4,1),"Q1",Y2048&lt;DATE(1996,7,1),"Q2",Y2048&gt;=DATE(1996,7,1),"")</f>
        <v>Q2</v>
      </c>
    </row>
    <row r="2049" spans="1:28" ht="14.4" x14ac:dyDescent="0.55000000000000004">
      <c r="A2049" t="str">
        <f>VLOOKUP(L2049,Customers!$A$2:$B$92,2,FALSE)</f>
        <v>LINO-Delicateses</v>
      </c>
      <c r="B2049" t="str">
        <f>VLOOKUP(L2049,Customers!$A$2:$C$92,3,TRUE)</f>
        <v>Felipe Izquierdo</v>
      </c>
      <c r="C2049" t="str">
        <f t="shared" si="528"/>
        <v>Felipe</v>
      </c>
      <c r="D2049" s="8" t="str">
        <f t="shared" si="529"/>
        <v>Izquierdo</v>
      </c>
      <c r="E2049" s="8" t="str">
        <f t="shared" si="530"/>
        <v>Izquierdo, Felipe</v>
      </c>
      <c r="F2049" s="8" t="str">
        <f t="shared" si="531"/>
        <v>Izquierdo, Felipe</v>
      </c>
      <c r="G2049" s="8" t="str">
        <f t="shared" si="532"/>
        <v>not an outlier</v>
      </c>
      <c r="H2049" s="8" t="str">
        <f t="shared" si="533"/>
        <v>Not</v>
      </c>
      <c r="I2049" s="8" t="str">
        <f t="shared" si="543"/>
        <v>no</v>
      </c>
      <c r="J2049" s="10" t="str">
        <f t="shared" si="534"/>
        <v>no</v>
      </c>
      <c r="K2049" s="10" t="str">
        <f t="shared" si="535"/>
        <v>no</v>
      </c>
      <c r="L2049" t="s">
        <v>363</v>
      </c>
      <c r="M2049">
        <v>11039</v>
      </c>
      <c r="N2049">
        <v>57</v>
      </c>
      <c r="O2049" t="s">
        <v>691</v>
      </c>
      <c r="P2049" t="str">
        <f t="shared" si="536"/>
        <v>LINOD_11039_Ravioli Angelo</v>
      </c>
      <c r="Q2049" t="str">
        <f t="shared" si="537"/>
        <v>11039</v>
      </c>
      <c r="R2049" t="str">
        <f t="shared" si="538"/>
        <v>11039</v>
      </c>
      <c r="S2049" t="str">
        <f t="shared" si="539"/>
        <v>Ravioli Angelo</v>
      </c>
      <c r="T2049">
        <v>19.5</v>
      </c>
      <c r="U2049">
        <v>28</v>
      </c>
      <c r="V2049">
        <v>0</v>
      </c>
      <c r="W2049">
        <f t="shared" si="540"/>
        <v>546</v>
      </c>
      <c r="X2049" t="str">
        <f t="shared" si="541"/>
        <v>yes</v>
      </c>
      <c r="Y2049" s="2">
        <v>35206</v>
      </c>
      <c r="Z2049" t="str">
        <f t="shared" si="544"/>
        <v/>
      </c>
      <c r="AA2049" t="str">
        <f t="shared" si="542"/>
        <v>2nd Q 1996</v>
      </c>
      <c r="AB2049" t="str" cm="1">
        <f t="array" ref="AB2049">_xlfn.IFS(Y2049&lt;DATE(1996,1,1),"",Y2049&lt;DATE(1996,4,1),"Q1",Y2049&lt;DATE(1996,7,1),"Q2",Y2049&gt;=DATE(1996,7,1),"")</f>
        <v>Q2</v>
      </c>
    </row>
    <row r="2050" spans="1:28" ht="14.4" x14ac:dyDescent="0.55000000000000004">
      <c r="A2050" t="str">
        <f>VLOOKUP(L2050,Customers!$A$2:$B$92,2,FALSE)</f>
        <v>Great Lakes Food Market</v>
      </c>
      <c r="B2050" t="str">
        <f>VLOOKUP(L2050,Customers!$A$2:$C$92,3,TRUE)</f>
        <v>Howard Snyder</v>
      </c>
      <c r="C2050" t="str">
        <f t="shared" si="528"/>
        <v>Howard</v>
      </c>
      <c r="D2050" s="8" t="str">
        <f t="shared" si="529"/>
        <v>Snyder</v>
      </c>
      <c r="E2050" s="8" t="str">
        <f t="shared" si="530"/>
        <v>Snyder, Howard</v>
      </c>
      <c r="F2050" s="8" t="str">
        <f t="shared" si="531"/>
        <v>Snyder, Howard</v>
      </c>
      <c r="G2050" s="8" t="str">
        <f t="shared" si="532"/>
        <v>not an outlier</v>
      </c>
      <c r="H2050" s="8" t="str">
        <f t="shared" si="533"/>
        <v>Not</v>
      </c>
      <c r="I2050" s="8" t="str">
        <f t="shared" si="543"/>
        <v>no</v>
      </c>
      <c r="J2050" s="10" t="str">
        <f t="shared" si="534"/>
        <v>no</v>
      </c>
      <c r="K2050" s="10" t="str">
        <f t="shared" si="535"/>
        <v>no</v>
      </c>
      <c r="L2050" t="s">
        <v>247</v>
      </c>
      <c r="M2050">
        <v>11040</v>
      </c>
      <c r="N2050">
        <v>21</v>
      </c>
      <c r="O2050" t="s">
        <v>710</v>
      </c>
      <c r="P2050" t="str">
        <f t="shared" si="536"/>
        <v>GREAL_11040_Sir Rodney's Scones</v>
      </c>
      <c r="Q2050" t="str">
        <f t="shared" si="537"/>
        <v>11040</v>
      </c>
      <c r="R2050" t="str">
        <f t="shared" si="538"/>
        <v>11040</v>
      </c>
      <c r="S2050" t="str">
        <f t="shared" si="539"/>
        <v>Sir Rodney's Scones</v>
      </c>
      <c r="T2050">
        <v>10</v>
      </c>
      <c r="U2050">
        <v>20</v>
      </c>
      <c r="V2050">
        <v>0</v>
      </c>
      <c r="W2050">
        <f t="shared" si="540"/>
        <v>200</v>
      </c>
      <c r="X2050" t="str">
        <f t="shared" si="541"/>
        <v>yes</v>
      </c>
      <c r="Y2050" s="2">
        <v>35207</v>
      </c>
      <c r="Z2050" t="str">
        <f t="shared" si="544"/>
        <v/>
      </c>
      <c r="AA2050" t="str">
        <f t="shared" si="542"/>
        <v>2nd Q 1996</v>
      </c>
      <c r="AB2050" t="str" cm="1">
        <f t="array" ref="AB2050">_xlfn.IFS(Y2050&lt;DATE(1996,1,1),"",Y2050&lt;DATE(1996,4,1),"Q1",Y2050&lt;DATE(1996,7,1),"Q2",Y2050&gt;=DATE(1996,7,1),"")</f>
        <v>Q2</v>
      </c>
    </row>
    <row r="2051" spans="1:28" ht="14.4" x14ac:dyDescent="0.55000000000000004">
      <c r="A2051" t="str">
        <f>VLOOKUP(L2051,Customers!$A$2:$B$92,2,FALSE)</f>
        <v>Chop-suey Chinese</v>
      </c>
      <c r="B2051" t="str">
        <f>VLOOKUP(L2051,Customers!$A$2:$C$92,3,TRUE)</f>
        <v>Yang Wang</v>
      </c>
      <c r="C2051" t="str">
        <f t="shared" ref="C2051:C2114" si="545">LEFT(B2051,FIND(" ",B2051)-1)</f>
        <v>Yang</v>
      </c>
      <c r="D2051" s="8" t="str">
        <f t="shared" ref="D2051:D2114" si="546">RIGHT(B2051,LEN(B2051)-FIND(" ",B2051))</f>
        <v>Wang</v>
      </c>
      <c r="E2051" s="8" t="str">
        <f t="shared" ref="E2051:E2114" si="547">_xlfn.CONCAT(D2051,", ",C2051)</f>
        <v>Wang, Yang</v>
      </c>
      <c r="F2051" s="8" t="str">
        <f t="shared" ref="F2051:F2114" si="548">D2051&amp;", "&amp;C2051</f>
        <v>Wang, Yang</v>
      </c>
      <c r="G2051" s="8" t="str">
        <f t="shared" ref="G2051:G2114" si="549">IF(OR(W2051&gt;$W$2166,W2051&lt;$W$2167),"outlier","not an outlier")</f>
        <v>not an outlier</v>
      </c>
      <c r="H2051" s="8" t="str">
        <f t="shared" ref="H2051:H2114" si="550">IF(OR(W2051&gt;$W$2166,W2051&lt;$W$2167),"outlier",IF(OR(W2051&gt;$W$2168,W2051&lt;$W$2169),"moderate","Not"))</f>
        <v>Not</v>
      </c>
      <c r="I2051" s="8" t="str">
        <f t="shared" si="543"/>
        <v>no</v>
      </c>
      <c r="J2051" s="10" t="str">
        <f t="shared" ref="J2051:J2114" si="551">IF(AND(W2051&lt;=$W$2166,W2051&gt;=$W$2167),"no","yes")</f>
        <v>no</v>
      </c>
      <c r="K2051" s="10" t="str">
        <f t="shared" ref="K2051:K2114" si="552">IF(OR(W2051&gt;$W$2166,W2051&lt;$W$2167),"yes",IF(OR(W2051&gt;$W$2168,W2051&lt;$W$2169),"moderate","no"))</f>
        <v>no</v>
      </c>
      <c r="L2051" t="s">
        <v>116</v>
      </c>
      <c r="M2051">
        <v>11041</v>
      </c>
      <c r="N2051">
        <v>2</v>
      </c>
      <c r="O2051" t="s">
        <v>701</v>
      </c>
      <c r="P2051" t="str">
        <f t="shared" ref="P2051:P2114" si="553">L2051&amp;"_"&amp;M2051&amp;"_"&amp;O2051</f>
        <v>CHOPS_11041_Chang</v>
      </c>
      <c r="Q2051" t="str">
        <f t="shared" ref="Q2051:Q2114" si="554">LEFT(RIGHT(P2051,LEN(P2051)-FIND("_",P2051)), FIND("_",P2051)-1)</f>
        <v>11041</v>
      </c>
      <c r="R2051" t="str">
        <f t="shared" ref="R2051:R2114" si="555">MID(P2051,FIND("_",P2051)+1,FIND("_",P2051,FIND("_",P2051))-1)</f>
        <v>11041</v>
      </c>
      <c r="S2051" t="str">
        <f t="shared" ref="S2051:S2114" si="556">MID(P2051,FIND("_",P2051,FIND("_",P2051)+1)+1,LEN(P2051))</f>
        <v>Chang</v>
      </c>
      <c r="T2051">
        <v>19</v>
      </c>
      <c r="U2051">
        <v>30</v>
      </c>
      <c r="V2051">
        <v>0.2</v>
      </c>
      <c r="W2051">
        <f t="shared" ref="W2051:W2114" si="557">T2051*U2051*(1-V2051)</f>
        <v>456</v>
      </c>
      <c r="X2051" t="str">
        <f t="shared" ref="X2051:X2114" si="558">IF(YEAR(Y2051)&gt;=1996,"yes","No")</f>
        <v>yes</v>
      </c>
      <c r="Y2051" s="2">
        <v>35207</v>
      </c>
      <c r="Z2051" t="str">
        <f t="shared" si="544"/>
        <v/>
      </c>
      <c r="AA2051" t="str">
        <f t="shared" ref="AA2051:AA2114" si="559">IF(Y2051&lt;DATE(1996,1,1),"", IF(Y2051&lt;DATE(1996,4,1),"1st Q 1996",IF(Y2051&lt;DATE(1996,7,1),"2nd Q 1996","")))</f>
        <v>2nd Q 1996</v>
      </c>
      <c r="AB2051" t="str" cm="1">
        <f t="array" ref="AB2051">_xlfn.IFS(Y2051&lt;DATE(1996,1,1),"",Y2051&lt;DATE(1996,4,1),"Q1",Y2051&lt;DATE(1996,7,1),"Q2",Y2051&gt;=DATE(1996,7,1),"")</f>
        <v>Q2</v>
      </c>
    </row>
    <row r="2052" spans="1:28" ht="14.4" x14ac:dyDescent="0.55000000000000004">
      <c r="A2052" t="str">
        <f>VLOOKUP(L2052,Customers!$A$2:$B$92,2,FALSE)</f>
        <v>Chop-suey Chinese</v>
      </c>
      <c r="B2052" t="str">
        <f>VLOOKUP(L2052,Customers!$A$2:$C$92,3,TRUE)</f>
        <v>Yang Wang</v>
      </c>
      <c r="C2052" t="str">
        <f t="shared" si="545"/>
        <v>Yang</v>
      </c>
      <c r="D2052" s="8" t="str">
        <f t="shared" si="546"/>
        <v>Wang</v>
      </c>
      <c r="E2052" s="8" t="str">
        <f t="shared" si="547"/>
        <v>Wang, Yang</v>
      </c>
      <c r="F2052" s="8" t="str">
        <f t="shared" si="548"/>
        <v>Wang, Yang</v>
      </c>
      <c r="G2052" s="8" t="str">
        <f t="shared" si="549"/>
        <v>not an outlier</v>
      </c>
      <c r="H2052" s="8" t="str">
        <f t="shared" si="550"/>
        <v>Not</v>
      </c>
      <c r="I2052" s="8" t="str">
        <f t="shared" ref="I2052:I2115" si="560">IF(OR(W2052&gt;$W$2166,W2052&lt;$W$2167),"yes","no")</f>
        <v>no</v>
      </c>
      <c r="J2052" s="10" t="str">
        <f t="shared" si="551"/>
        <v>no</v>
      </c>
      <c r="K2052" s="10" t="str">
        <f t="shared" si="552"/>
        <v>no</v>
      </c>
      <c r="L2052" t="s">
        <v>116</v>
      </c>
      <c r="M2052">
        <v>11041</v>
      </c>
      <c r="N2052">
        <v>63</v>
      </c>
      <c r="O2052" t="s">
        <v>729</v>
      </c>
      <c r="P2052" t="str">
        <f t="shared" si="553"/>
        <v>CHOPS_11041_Vegie-spread</v>
      </c>
      <c r="Q2052" t="str">
        <f t="shared" si="554"/>
        <v>11041</v>
      </c>
      <c r="R2052" t="str">
        <f t="shared" si="555"/>
        <v>11041</v>
      </c>
      <c r="S2052" t="str">
        <f t="shared" si="556"/>
        <v>Vegie-spread</v>
      </c>
      <c r="T2052">
        <v>43.9</v>
      </c>
      <c r="U2052">
        <v>30</v>
      </c>
      <c r="V2052">
        <v>0</v>
      </c>
      <c r="W2052">
        <f t="shared" si="557"/>
        <v>1317</v>
      </c>
      <c r="X2052" t="str">
        <f t="shared" si="558"/>
        <v>yes</v>
      </c>
      <c r="Y2052" s="2">
        <v>35207</v>
      </c>
      <c r="Z2052" t="str">
        <f t="shared" si="544"/>
        <v/>
      </c>
      <c r="AA2052" t="str">
        <f t="shared" si="559"/>
        <v>2nd Q 1996</v>
      </c>
      <c r="AB2052" t="str" cm="1">
        <f t="array" ref="AB2052">_xlfn.IFS(Y2052&lt;DATE(1996,1,1),"",Y2052&lt;DATE(1996,4,1),"Q1",Y2052&lt;DATE(1996,7,1),"Q2",Y2052&gt;=DATE(1996,7,1),"")</f>
        <v>Q2</v>
      </c>
    </row>
    <row r="2053" spans="1:28" ht="14.4" x14ac:dyDescent="0.55000000000000004">
      <c r="A2053" t="str">
        <f>VLOOKUP(L2053,Customers!$A$2:$B$92,2,FALSE)</f>
        <v>Comércio Mineiro</v>
      </c>
      <c r="B2053" t="str">
        <f>VLOOKUP(L2053,Customers!$A$2:$C$92,3,TRUE)</f>
        <v>Pedro Afonso</v>
      </c>
      <c r="C2053" t="str">
        <f t="shared" si="545"/>
        <v>Pedro</v>
      </c>
      <c r="D2053" s="8" t="str">
        <f t="shared" si="546"/>
        <v>Afonso</v>
      </c>
      <c r="E2053" s="8" t="str">
        <f t="shared" si="547"/>
        <v>Afonso, Pedro</v>
      </c>
      <c r="F2053" s="8" t="str">
        <f t="shared" si="548"/>
        <v>Afonso, Pedro</v>
      </c>
      <c r="G2053" s="8" t="str">
        <f t="shared" si="549"/>
        <v>not an outlier</v>
      </c>
      <c r="H2053" s="8" t="str">
        <f t="shared" si="550"/>
        <v>Not</v>
      </c>
      <c r="I2053" s="8" t="str">
        <f t="shared" si="560"/>
        <v>no</v>
      </c>
      <c r="J2053" s="10" t="str">
        <f t="shared" si="551"/>
        <v>no</v>
      </c>
      <c r="K2053" s="10" t="str">
        <f t="shared" si="552"/>
        <v>no</v>
      </c>
      <c r="L2053" t="s">
        <v>123</v>
      </c>
      <c r="M2053">
        <v>11042</v>
      </c>
      <c r="N2053">
        <v>44</v>
      </c>
      <c r="O2053" t="s">
        <v>728</v>
      </c>
      <c r="P2053" t="str">
        <f t="shared" si="553"/>
        <v>COMMI_11042_Gula Malacca</v>
      </c>
      <c r="Q2053" t="str">
        <f t="shared" si="554"/>
        <v>11042</v>
      </c>
      <c r="R2053" t="str">
        <f t="shared" si="555"/>
        <v>11042</v>
      </c>
      <c r="S2053" t="str">
        <f t="shared" si="556"/>
        <v>Gula Malacca</v>
      </c>
      <c r="T2053">
        <v>19.45</v>
      </c>
      <c r="U2053">
        <v>15</v>
      </c>
      <c r="V2053">
        <v>0</v>
      </c>
      <c r="W2053">
        <f t="shared" si="557"/>
        <v>291.75</v>
      </c>
      <c r="X2053" t="str">
        <f t="shared" si="558"/>
        <v>yes</v>
      </c>
      <c r="Y2053" s="2">
        <v>35207</v>
      </c>
      <c r="Z2053" t="str">
        <f t="shared" si="544"/>
        <v/>
      </c>
      <c r="AA2053" t="str">
        <f t="shared" si="559"/>
        <v>2nd Q 1996</v>
      </c>
      <c r="AB2053" t="str" cm="1">
        <f t="array" ref="AB2053">_xlfn.IFS(Y2053&lt;DATE(1996,1,1),"",Y2053&lt;DATE(1996,4,1),"Q1",Y2053&lt;DATE(1996,7,1),"Q2",Y2053&gt;=DATE(1996,7,1),"")</f>
        <v>Q2</v>
      </c>
    </row>
    <row r="2054" spans="1:28" ht="14.4" x14ac:dyDescent="0.55000000000000004">
      <c r="A2054" t="str">
        <f>VLOOKUP(L2054,Customers!$A$2:$B$92,2,FALSE)</f>
        <v>Comércio Mineiro</v>
      </c>
      <c r="B2054" t="str">
        <f>VLOOKUP(L2054,Customers!$A$2:$C$92,3,TRUE)</f>
        <v>Pedro Afonso</v>
      </c>
      <c r="C2054" t="str">
        <f t="shared" si="545"/>
        <v>Pedro</v>
      </c>
      <c r="D2054" s="8" t="str">
        <f t="shared" si="546"/>
        <v>Afonso</v>
      </c>
      <c r="E2054" s="8" t="str">
        <f t="shared" si="547"/>
        <v>Afonso, Pedro</v>
      </c>
      <c r="F2054" s="8" t="str">
        <f t="shared" si="548"/>
        <v>Afonso, Pedro</v>
      </c>
      <c r="G2054" s="8" t="str">
        <f t="shared" si="549"/>
        <v>not an outlier</v>
      </c>
      <c r="H2054" s="8" t="str">
        <f t="shared" si="550"/>
        <v>Not</v>
      </c>
      <c r="I2054" s="8" t="str">
        <f t="shared" si="560"/>
        <v>no</v>
      </c>
      <c r="J2054" s="10" t="str">
        <f t="shared" si="551"/>
        <v>no</v>
      </c>
      <c r="K2054" s="10" t="str">
        <f t="shared" si="552"/>
        <v>no</v>
      </c>
      <c r="L2054" t="s">
        <v>123</v>
      </c>
      <c r="M2054">
        <v>11042</v>
      </c>
      <c r="N2054">
        <v>61</v>
      </c>
      <c r="O2054" t="s">
        <v>758</v>
      </c>
      <c r="P2054" t="str">
        <f t="shared" si="553"/>
        <v>COMMI_11042_Sirop d'érable</v>
      </c>
      <c r="Q2054" t="str">
        <f t="shared" si="554"/>
        <v>11042</v>
      </c>
      <c r="R2054" t="str">
        <f t="shared" si="555"/>
        <v>11042</v>
      </c>
      <c r="S2054" t="str">
        <f t="shared" si="556"/>
        <v>Sirop d'érable</v>
      </c>
      <c r="T2054">
        <v>28.5</v>
      </c>
      <c r="U2054">
        <v>4</v>
      </c>
      <c r="V2054">
        <v>0</v>
      </c>
      <c r="W2054">
        <f t="shared" si="557"/>
        <v>114</v>
      </c>
      <c r="X2054" t="str">
        <f t="shared" si="558"/>
        <v>yes</v>
      </c>
      <c r="Y2054" s="2">
        <v>35207</v>
      </c>
      <c r="Z2054" t="str">
        <f t="shared" si="544"/>
        <v/>
      </c>
      <c r="AA2054" t="str">
        <f t="shared" si="559"/>
        <v>2nd Q 1996</v>
      </c>
      <c r="AB2054" t="str" cm="1">
        <f t="array" ref="AB2054">_xlfn.IFS(Y2054&lt;DATE(1996,1,1),"",Y2054&lt;DATE(1996,4,1),"Q1",Y2054&lt;DATE(1996,7,1),"Q2",Y2054&gt;=DATE(1996,7,1),"")</f>
        <v>Q2</v>
      </c>
    </row>
    <row r="2055" spans="1:28" ht="14.4" x14ac:dyDescent="0.55000000000000004">
      <c r="A2055" t="str">
        <f>VLOOKUP(L2055,Customers!$A$2:$B$92,2,FALSE)</f>
        <v>Spécialités du monde</v>
      </c>
      <c r="B2055" t="str">
        <f>VLOOKUP(L2055,Customers!$A$2:$C$92,3,TRUE)</f>
        <v>Dominique Perrier</v>
      </c>
      <c r="C2055" t="str">
        <f t="shared" si="545"/>
        <v>Dominique</v>
      </c>
      <c r="D2055" s="8" t="str">
        <f t="shared" si="546"/>
        <v>Perrier</v>
      </c>
      <c r="E2055" s="8" t="str">
        <f t="shared" si="547"/>
        <v>Perrier, Dominique</v>
      </c>
      <c r="F2055" s="8" t="str">
        <f t="shared" si="548"/>
        <v>Perrier, Dominique</v>
      </c>
      <c r="G2055" s="8" t="str">
        <f t="shared" si="549"/>
        <v>not an outlier</v>
      </c>
      <c r="H2055" s="8" t="str">
        <f t="shared" si="550"/>
        <v>Not</v>
      </c>
      <c r="I2055" s="8" t="str">
        <f t="shared" si="560"/>
        <v>no</v>
      </c>
      <c r="J2055" s="10" t="str">
        <f t="shared" si="551"/>
        <v>no</v>
      </c>
      <c r="K2055" s="10" t="str">
        <f t="shared" si="552"/>
        <v>no</v>
      </c>
      <c r="L2055" t="s">
        <v>551</v>
      </c>
      <c r="M2055">
        <v>11043</v>
      </c>
      <c r="N2055">
        <v>11</v>
      </c>
      <c r="O2055" t="s">
        <v>683</v>
      </c>
      <c r="P2055" t="str">
        <f t="shared" si="553"/>
        <v>SPECD_11043_Queso Cabrales</v>
      </c>
      <c r="Q2055" t="str">
        <f t="shared" si="554"/>
        <v>11043</v>
      </c>
      <c r="R2055" t="str">
        <f t="shared" si="555"/>
        <v>11043</v>
      </c>
      <c r="S2055" t="str">
        <f t="shared" si="556"/>
        <v>Queso Cabrales</v>
      </c>
      <c r="T2055">
        <v>21</v>
      </c>
      <c r="U2055">
        <v>10</v>
      </c>
      <c r="V2055">
        <v>0</v>
      </c>
      <c r="W2055">
        <f t="shared" si="557"/>
        <v>210</v>
      </c>
      <c r="X2055" t="str">
        <f t="shared" si="558"/>
        <v>yes</v>
      </c>
      <c r="Y2055" s="2">
        <v>35207</v>
      </c>
      <c r="Z2055" t="str">
        <f t="shared" si="544"/>
        <v/>
      </c>
      <c r="AA2055" t="str">
        <f t="shared" si="559"/>
        <v>2nd Q 1996</v>
      </c>
      <c r="AB2055" t="str" cm="1">
        <f t="array" ref="AB2055">_xlfn.IFS(Y2055&lt;DATE(1996,1,1),"",Y2055&lt;DATE(1996,4,1),"Q1",Y2055&lt;DATE(1996,7,1),"Q2",Y2055&gt;=DATE(1996,7,1),"")</f>
        <v>Q2</v>
      </c>
    </row>
    <row r="2056" spans="1:28" ht="14.4" x14ac:dyDescent="0.55000000000000004">
      <c r="A2056" t="str">
        <f>VLOOKUP(L2056,Customers!$A$2:$B$92,2,FALSE)</f>
        <v>Wolski  Zajazd</v>
      </c>
      <c r="B2056" t="str">
        <f>VLOOKUP(L2056,Customers!$A$2:$C$92,3,TRUE)</f>
        <v>Zbyszek Piestrzeniewicz</v>
      </c>
      <c r="C2056" t="str">
        <f t="shared" si="545"/>
        <v>Zbyszek</v>
      </c>
      <c r="D2056" s="8" t="str">
        <f t="shared" si="546"/>
        <v>Piestrzeniewicz</v>
      </c>
      <c r="E2056" s="8" t="str">
        <f t="shared" si="547"/>
        <v>Piestrzeniewicz, Zbyszek</v>
      </c>
      <c r="F2056" s="8" t="str">
        <f t="shared" si="548"/>
        <v>Piestrzeniewicz, Zbyszek</v>
      </c>
      <c r="G2056" s="8" t="str">
        <f t="shared" si="549"/>
        <v>not an outlier</v>
      </c>
      <c r="H2056" s="8" t="str">
        <f t="shared" si="550"/>
        <v>Not</v>
      </c>
      <c r="I2056" s="8" t="str">
        <f t="shared" si="560"/>
        <v>no</v>
      </c>
      <c r="J2056" s="10" t="str">
        <f t="shared" si="551"/>
        <v>no</v>
      </c>
      <c r="K2056" s="10" t="str">
        <f t="shared" si="552"/>
        <v>no</v>
      </c>
      <c r="L2056" t="s">
        <v>668</v>
      </c>
      <c r="M2056">
        <v>11044</v>
      </c>
      <c r="N2056">
        <v>62</v>
      </c>
      <c r="O2056" t="s">
        <v>712</v>
      </c>
      <c r="P2056" t="str">
        <f t="shared" si="553"/>
        <v>WOLZA_11044_Tarte au sucre</v>
      </c>
      <c r="Q2056" t="str">
        <f t="shared" si="554"/>
        <v>11044</v>
      </c>
      <c r="R2056" t="str">
        <f t="shared" si="555"/>
        <v>11044</v>
      </c>
      <c r="S2056" t="str">
        <f t="shared" si="556"/>
        <v>Tarte au sucre</v>
      </c>
      <c r="T2056">
        <v>49.3</v>
      </c>
      <c r="U2056">
        <v>12</v>
      </c>
      <c r="V2056">
        <v>0</v>
      </c>
      <c r="W2056">
        <f t="shared" si="557"/>
        <v>591.59999999999991</v>
      </c>
      <c r="X2056" t="str">
        <f t="shared" si="558"/>
        <v>yes</v>
      </c>
      <c r="Y2056" s="2">
        <v>35208</v>
      </c>
      <c r="Z2056" t="str">
        <f t="shared" si="544"/>
        <v/>
      </c>
      <c r="AA2056" t="str">
        <f t="shared" si="559"/>
        <v>2nd Q 1996</v>
      </c>
      <c r="AB2056" t="str" cm="1">
        <f t="array" ref="AB2056">_xlfn.IFS(Y2056&lt;DATE(1996,1,1),"",Y2056&lt;DATE(1996,4,1),"Q1",Y2056&lt;DATE(1996,7,1),"Q2",Y2056&gt;=DATE(1996,7,1),"")</f>
        <v>Q2</v>
      </c>
    </row>
    <row r="2057" spans="1:28" ht="14.4" x14ac:dyDescent="0.55000000000000004">
      <c r="A2057" t="str">
        <f>VLOOKUP(L2057,Customers!$A$2:$B$92,2,FALSE)</f>
        <v>Bottom-Dollar Markets</v>
      </c>
      <c r="B2057" t="str">
        <f>VLOOKUP(L2057,Customers!$A$2:$C$92,3,TRUE)</f>
        <v>Elizabeth Lincoln</v>
      </c>
      <c r="C2057" t="str">
        <f t="shared" si="545"/>
        <v>Elizabeth</v>
      </c>
      <c r="D2057" s="8" t="str">
        <f t="shared" si="546"/>
        <v>Lincoln</v>
      </c>
      <c r="E2057" s="8" t="str">
        <f t="shared" si="547"/>
        <v>Lincoln, Elizabeth</v>
      </c>
      <c r="F2057" s="8" t="str">
        <f t="shared" si="548"/>
        <v>Lincoln, Elizabeth</v>
      </c>
      <c r="G2057" s="8" t="str">
        <f t="shared" si="549"/>
        <v>not an outlier</v>
      </c>
      <c r="H2057" s="8" t="str">
        <f t="shared" si="550"/>
        <v>Not</v>
      </c>
      <c r="I2057" s="8" t="str">
        <f t="shared" si="560"/>
        <v>no</v>
      </c>
      <c r="J2057" s="10" t="str">
        <f t="shared" si="551"/>
        <v>no</v>
      </c>
      <c r="K2057" s="10" t="str">
        <f t="shared" si="552"/>
        <v>no</v>
      </c>
      <c r="L2057" t="s">
        <v>84</v>
      </c>
      <c r="M2057">
        <v>11045</v>
      </c>
      <c r="N2057">
        <v>33</v>
      </c>
      <c r="O2057" t="s">
        <v>693</v>
      </c>
      <c r="P2057" t="str">
        <f t="shared" si="553"/>
        <v>BOTTM_11045_Geitost</v>
      </c>
      <c r="Q2057" t="str">
        <f t="shared" si="554"/>
        <v>11045</v>
      </c>
      <c r="R2057" t="str">
        <f t="shared" si="555"/>
        <v>11045</v>
      </c>
      <c r="S2057" t="str">
        <f t="shared" si="556"/>
        <v>Geitost</v>
      </c>
      <c r="T2057">
        <v>2.5</v>
      </c>
      <c r="U2057">
        <v>15</v>
      </c>
      <c r="V2057">
        <v>0</v>
      </c>
      <c r="W2057">
        <f t="shared" si="557"/>
        <v>37.5</v>
      </c>
      <c r="X2057" t="str">
        <f t="shared" si="558"/>
        <v>yes</v>
      </c>
      <c r="Y2057" s="2">
        <v>35208</v>
      </c>
      <c r="Z2057" t="str">
        <f t="shared" si="544"/>
        <v/>
      </c>
      <c r="AA2057" t="str">
        <f t="shared" si="559"/>
        <v>2nd Q 1996</v>
      </c>
      <c r="AB2057" t="str" cm="1">
        <f t="array" ref="AB2057">_xlfn.IFS(Y2057&lt;DATE(1996,1,1),"",Y2057&lt;DATE(1996,4,1),"Q1",Y2057&lt;DATE(1996,7,1),"Q2",Y2057&gt;=DATE(1996,7,1),"")</f>
        <v>Q2</v>
      </c>
    </row>
    <row r="2058" spans="1:28" ht="14.4" x14ac:dyDescent="0.55000000000000004">
      <c r="A2058" t="str">
        <f>VLOOKUP(L2058,Customers!$A$2:$B$92,2,FALSE)</f>
        <v>Bottom-Dollar Markets</v>
      </c>
      <c r="B2058" t="str">
        <f>VLOOKUP(L2058,Customers!$A$2:$C$92,3,TRUE)</f>
        <v>Elizabeth Lincoln</v>
      </c>
      <c r="C2058" t="str">
        <f t="shared" si="545"/>
        <v>Elizabeth</v>
      </c>
      <c r="D2058" s="8" t="str">
        <f t="shared" si="546"/>
        <v>Lincoln</v>
      </c>
      <c r="E2058" s="8" t="str">
        <f t="shared" si="547"/>
        <v>Lincoln, Elizabeth</v>
      </c>
      <c r="F2058" s="8" t="str">
        <f t="shared" si="548"/>
        <v>Lincoln, Elizabeth</v>
      </c>
      <c r="G2058" s="8" t="str">
        <f t="shared" si="549"/>
        <v>not an outlier</v>
      </c>
      <c r="H2058" s="8" t="str">
        <f t="shared" si="550"/>
        <v>Not</v>
      </c>
      <c r="I2058" s="8" t="str">
        <f t="shared" si="560"/>
        <v>no</v>
      </c>
      <c r="J2058" s="10" t="str">
        <f t="shared" si="551"/>
        <v>no</v>
      </c>
      <c r="K2058" s="10" t="str">
        <f t="shared" si="552"/>
        <v>no</v>
      </c>
      <c r="L2058" t="s">
        <v>84</v>
      </c>
      <c r="M2058">
        <v>11045</v>
      </c>
      <c r="N2058">
        <v>51</v>
      </c>
      <c r="O2058" t="s">
        <v>687</v>
      </c>
      <c r="P2058" t="str">
        <f t="shared" si="553"/>
        <v>BOTTM_11045_Manjimup Dried Apples</v>
      </c>
      <c r="Q2058" t="str">
        <f t="shared" si="554"/>
        <v>11045</v>
      </c>
      <c r="R2058" t="str">
        <f t="shared" si="555"/>
        <v>11045</v>
      </c>
      <c r="S2058" t="str">
        <f t="shared" si="556"/>
        <v>Manjimup Dried Apples</v>
      </c>
      <c r="T2058">
        <v>53</v>
      </c>
      <c r="U2058">
        <v>24</v>
      </c>
      <c r="V2058">
        <v>0</v>
      </c>
      <c r="W2058">
        <f t="shared" si="557"/>
        <v>1272</v>
      </c>
      <c r="X2058" t="str">
        <f t="shared" si="558"/>
        <v>yes</v>
      </c>
      <c r="Y2058" s="2">
        <v>35208</v>
      </c>
      <c r="Z2058" t="str">
        <f t="shared" si="544"/>
        <v/>
      </c>
      <c r="AA2058" t="str">
        <f t="shared" si="559"/>
        <v>2nd Q 1996</v>
      </c>
      <c r="AB2058" t="str" cm="1">
        <f t="array" ref="AB2058">_xlfn.IFS(Y2058&lt;DATE(1996,1,1),"",Y2058&lt;DATE(1996,4,1),"Q1",Y2058&lt;DATE(1996,7,1),"Q2",Y2058&gt;=DATE(1996,7,1),"")</f>
        <v>Q2</v>
      </c>
    </row>
    <row r="2059" spans="1:28" ht="14.4" x14ac:dyDescent="0.55000000000000004">
      <c r="A2059" t="str">
        <f>VLOOKUP(L2059,Customers!$A$2:$B$92,2,FALSE)</f>
        <v>Die Wandernde Kuh</v>
      </c>
      <c r="B2059" t="str">
        <f>VLOOKUP(L2059,Customers!$A$2:$C$92,3,TRUE)</f>
        <v>Rita Müller</v>
      </c>
      <c r="C2059" t="str">
        <f t="shared" si="545"/>
        <v>Rita</v>
      </c>
      <c r="D2059" s="8" t="str">
        <f t="shared" si="546"/>
        <v>Müller</v>
      </c>
      <c r="E2059" s="8" t="str">
        <f t="shared" si="547"/>
        <v>Müller, Rita</v>
      </c>
      <c r="F2059" s="8" t="str">
        <f t="shared" si="548"/>
        <v>Müller, Rita</v>
      </c>
      <c r="G2059" s="8" t="str">
        <f t="shared" si="549"/>
        <v>not an outlier</v>
      </c>
      <c r="H2059" s="8" t="str">
        <f t="shared" si="550"/>
        <v>Not</v>
      </c>
      <c r="I2059" s="8" t="str">
        <f t="shared" si="560"/>
        <v>no</v>
      </c>
      <c r="J2059" s="10" t="str">
        <f t="shared" si="551"/>
        <v>no</v>
      </c>
      <c r="K2059" s="10" t="str">
        <f t="shared" si="552"/>
        <v>no</v>
      </c>
      <c r="L2059" t="s">
        <v>633</v>
      </c>
      <c r="M2059">
        <v>11046</v>
      </c>
      <c r="N2059">
        <v>12</v>
      </c>
      <c r="O2059" t="s">
        <v>719</v>
      </c>
      <c r="P2059" t="str">
        <f t="shared" si="553"/>
        <v>WANDK_11046_Queso Manchego La Pastora</v>
      </c>
      <c r="Q2059" t="str">
        <f t="shared" si="554"/>
        <v>11046</v>
      </c>
      <c r="R2059" t="str">
        <f t="shared" si="555"/>
        <v>11046</v>
      </c>
      <c r="S2059" t="str">
        <f t="shared" si="556"/>
        <v>Queso Manchego La Pastora</v>
      </c>
      <c r="T2059">
        <v>38</v>
      </c>
      <c r="U2059">
        <v>20</v>
      </c>
      <c r="V2059">
        <v>0.05</v>
      </c>
      <c r="W2059">
        <f t="shared" si="557"/>
        <v>722</v>
      </c>
      <c r="X2059" t="str">
        <f t="shared" si="558"/>
        <v>yes</v>
      </c>
      <c r="Y2059" s="2">
        <v>35208</v>
      </c>
      <c r="Z2059" t="str">
        <f t="shared" si="544"/>
        <v/>
      </c>
      <c r="AA2059" t="str">
        <f t="shared" si="559"/>
        <v>2nd Q 1996</v>
      </c>
      <c r="AB2059" t="str" cm="1">
        <f t="array" ref="AB2059">_xlfn.IFS(Y2059&lt;DATE(1996,1,1),"",Y2059&lt;DATE(1996,4,1),"Q1",Y2059&lt;DATE(1996,7,1),"Q2",Y2059&gt;=DATE(1996,7,1),"")</f>
        <v>Q2</v>
      </c>
    </row>
    <row r="2060" spans="1:28" ht="14.4" x14ac:dyDescent="0.55000000000000004">
      <c r="A2060" t="str">
        <f>VLOOKUP(L2060,Customers!$A$2:$B$92,2,FALSE)</f>
        <v>Die Wandernde Kuh</v>
      </c>
      <c r="B2060" t="str">
        <f>VLOOKUP(L2060,Customers!$A$2:$C$92,3,TRUE)</f>
        <v>Rita Müller</v>
      </c>
      <c r="C2060" t="str">
        <f t="shared" si="545"/>
        <v>Rita</v>
      </c>
      <c r="D2060" s="8" t="str">
        <f t="shared" si="546"/>
        <v>Müller</v>
      </c>
      <c r="E2060" s="8" t="str">
        <f t="shared" si="547"/>
        <v>Müller, Rita</v>
      </c>
      <c r="F2060" s="8" t="str">
        <f t="shared" si="548"/>
        <v>Müller, Rita</v>
      </c>
      <c r="G2060" s="8" t="str">
        <f t="shared" si="549"/>
        <v>not an outlier</v>
      </c>
      <c r="H2060" s="8" t="str">
        <f t="shared" si="550"/>
        <v>Not</v>
      </c>
      <c r="I2060" s="8" t="str">
        <f t="shared" si="560"/>
        <v>no</v>
      </c>
      <c r="J2060" s="10" t="str">
        <f t="shared" si="551"/>
        <v>no</v>
      </c>
      <c r="K2060" s="10" t="str">
        <f t="shared" si="552"/>
        <v>no</v>
      </c>
      <c r="L2060" t="s">
        <v>633</v>
      </c>
      <c r="M2060">
        <v>11046</v>
      </c>
      <c r="N2060">
        <v>32</v>
      </c>
      <c r="O2060" t="s">
        <v>709</v>
      </c>
      <c r="P2060" t="str">
        <f t="shared" si="553"/>
        <v>WANDK_11046_Mascarpone Fabioli</v>
      </c>
      <c r="Q2060" t="str">
        <f t="shared" si="554"/>
        <v>11046</v>
      </c>
      <c r="R2060" t="str">
        <f t="shared" si="555"/>
        <v>11046</v>
      </c>
      <c r="S2060" t="str">
        <f t="shared" si="556"/>
        <v>Mascarpone Fabioli</v>
      </c>
      <c r="T2060">
        <v>32</v>
      </c>
      <c r="U2060">
        <v>15</v>
      </c>
      <c r="V2060">
        <v>0.05</v>
      </c>
      <c r="W2060">
        <f t="shared" si="557"/>
        <v>456</v>
      </c>
      <c r="X2060" t="str">
        <f t="shared" si="558"/>
        <v>yes</v>
      </c>
      <c r="Y2060" s="2">
        <v>35208</v>
      </c>
      <c r="Z2060" t="str">
        <f t="shared" si="544"/>
        <v/>
      </c>
      <c r="AA2060" t="str">
        <f t="shared" si="559"/>
        <v>2nd Q 1996</v>
      </c>
      <c r="AB2060" t="str" cm="1">
        <f t="array" ref="AB2060">_xlfn.IFS(Y2060&lt;DATE(1996,1,1),"",Y2060&lt;DATE(1996,4,1),"Q1",Y2060&lt;DATE(1996,7,1),"Q2",Y2060&gt;=DATE(1996,7,1),"")</f>
        <v>Q2</v>
      </c>
    </row>
    <row r="2061" spans="1:28" ht="14.4" x14ac:dyDescent="0.55000000000000004">
      <c r="A2061" t="str">
        <f>VLOOKUP(L2061,Customers!$A$2:$B$92,2,FALSE)</f>
        <v>Die Wandernde Kuh</v>
      </c>
      <c r="B2061" t="str">
        <f>VLOOKUP(L2061,Customers!$A$2:$C$92,3,TRUE)</f>
        <v>Rita Müller</v>
      </c>
      <c r="C2061" t="str">
        <f t="shared" si="545"/>
        <v>Rita</v>
      </c>
      <c r="D2061" s="8" t="str">
        <f t="shared" si="546"/>
        <v>Müller</v>
      </c>
      <c r="E2061" s="8" t="str">
        <f t="shared" si="547"/>
        <v>Müller, Rita</v>
      </c>
      <c r="F2061" s="8" t="str">
        <f t="shared" si="548"/>
        <v>Müller, Rita</v>
      </c>
      <c r="G2061" s="8" t="str">
        <f t="shared" si="549"/>
        <v>not an outlier</v>
      </c>
      <c r="H2061" s="8" t="str">
        <f t="shared" si="550"/>
        <v>Not</v>
      </c>
      <c r="I2061" s="8" t="str">
        <f t="shared" si="560"/>
        <v>no</v>
      </c>
      <c r="J2061" s="10" t="str">
        <f t="shared" si="551"/>
        <v>no</v>
      </c>
      <c r="K2061" s="10" t="str">
        <f t="shared" si="552"/>
        <v>no</v>
      </c>
      <c r="L2061" t="s">
        <v>633</v>
      </c>
      <c r="M2061">
        <v>11046</v>
      </c>
      <c r="N2061">
        <v>35</v>
      </c>
      <c r="O2061" t="s">
        <v>714</v>
      </c>
      <c r="P2061" t="str">
        <f t="shared" si="553"/>
        <v>WANDK_11046_Steeleye Stout</v>
      </c>
      <c r="Q2061" t="str">
        <f t="shared" si="554"/>
        <v>11046</v>
      </c>
      <c r="R2061" t="str">
        <f t="shared" si="555"/>
        <v>11046</v>
      </c>
      <c r="S2061" t="str">
        <f t="shared" si="556"/>
        <v>Steeleye Stout</v>
      </c>
      <c r="T2061">
        <v>18</v>
      </c>
      <c r="U2061">
        <v>18</v>
      </c>
      <c r="V2061">
        <v>0.05</v>
      </c>
      <c r="W2061">
        <f t="shared" si="557"/>
        <v>307.8</v>
      </c>
      <c r="X2061" t="str">
        <f t="shared" si="558"/>
        <v>yes</v>
      </c>
      <c r="Y2061" s="2">
        <v>35208</v>
      </c>
      <c r="Z2061" t="str">
        <f t="shared" si="544"/>
        <v/>
      </c>
      <c r="AA2061" t="str">
        <f t="shared" si="559"/>
        <v>2nd Q 1996</v>
      </c>
      <c r="AB2061" t="str" cm="1">
        <f t="array" ref="AB2061">_xlfn.IFS(Y2061&lt;DATE(1996,1,1),"",Y2061&lt;DATE(1996,4,1),"Q1",Y2061&lt;DATE(1996,7,1),"Q2",Y2061&gt;=DATE(1996,7,1),"")</f>
        <v>Q2</v>
      </c>
    </row>
    <row r="2062" spans="1:28" ht="14.4" x14ac:dyDescent="0.55000000000000004">
      <c r="A2062" t="str">
        <f>VLOOKUP(L2062,Customers!$A$2:$B$92,2,FALSE)</f>
        <v>Eastern Connection</v>
      </c>
      <c r="B2062" t="str">
        <f>VLOOKUP(L2062,Customers!$A$2:$C$92,3,TRUE)</f>
        <v>Ann Devon</v>
      </c>
      <c r="C2062" t="str">
        <f t="shared" si="545"/>
        <v>Ann</v>
      </c>
      <c r="D2062" s="8" t="str">
        <f t="shared" si="546"/>
        <v>Devon</v>
      </c>
      <c r="E2062" s="8" t="str">
        <f t="shared" si="547"/>
        <v>Devon, Ann</v>
      </c>
      <c r="F2062" s="8" t="str">
        <f t="shared" si="548"/>
        <v>Devon, Ann</v>
      </c>
      <c r="G2062" s="8" t="str">
        <f t="shared" si="549"/>
        <v>not an outlier</v>
      </c>
      <c r="H2062" s="8" t="str">
        <f t="shared" si="550"/>
        <v>Not</v>
      </c>
      <c r="I2062" s="8" t="str">
        <f t="shared" si="560"/>
        <v>no</v>
      </c>
      <c r="J2062" s="10" t="str">
        <f t="shared" si="551"/>
        <v>no</v>
      </c>
      <c r="K2062" s="10" t="str">
        <f t="shared" si="552"/>
        <v>no</v>
      </c>
      <c r="L2062" t="s">
        <v>154</v>
      </c>
      <c r="M2062">
        <v>11047</v>
      </c>
      <c r="N2062">
        <v>1</v>
      </c>
      <c r="O2062" t="s">
        <v>735</v>
      </c>
      <c r="P2062" t="str">
        <f t="shared" si="553"/>
        <v>EASTC_11047_Chai</v>
      </c>
      <c r="Q2062" t="str">
        <f t="shared" si="554"/>
        <v>11047</v>
      </c>
      <c r="R2062" t="str">
        <f t="shared" si="555"/>
        <v>11047</v>
      </c>
      <c r="S2062" t="str">
        <f t="shared" si="556"/>
        <v>Chai</v>
      </c>
      <c r="T2062">
        <v>18</v>
      </c>
      <c r="U2062">
        <v>25</v>
      </c>
      <c r="V2062">
        <v>0.25</v>
      </c>
      <c r="W2062">
        <f t="shared" si="557"/>
        <v>337.5</v>
      </c>
      <c r="X2062" t="str">
        <f t="shared" si="558"/>
        <v>yes</v>
      </c>
      <c r="Y2062" s="2">
        <v>35209</v>
      </c>
      <c r="Z2062" t="str">
        <f t="shared" si="544"/>
        <v/>
      </c>
      <c r="AA2062" t="str">
        <f t="shared" si="559"/>
        <v>2nd Q 1996</v>
      </c>
      <c r="AB2062" t="str" cm="1">
        <f t="array" ref="AB2062">_xlfn.IFS(Y2062&lt;DATE(1996,1,1),"",Y2062&lt;DATE(1996,4,1),"Q1",Y2062&lt;DATE(1996,7,1),"Q2",Y2062&gt;=DATE(1996,7,1),"")</f>
        <v>Q2</v>
      </c>
    </row>
    <row r="2063" spans="1:28" ht="14.4" x14ac:dyDescent="0.55000000000000004">
      <c r="A2063" t="str">
        <f>VLOOKUP(L2063,Customers!$A$2:$B$92,2,FALSE)</f>
        <v>Eastern Connection</v>
      </c>
      <c r="B2063" t="str">
        <f>VLOOKUP(L2063,Customers!$A$2:$C$92,3,TRUE)</f>
        <v>Ann Devon</v>
      </c>
      <c r="C2063" t="str">
        <f t="shared" si="545"/>
        <v>Ann</v>
      </c>
      <c r="D2063" s="8" t="str">
        <f t="shared" si="546"/>
        <v>Devon</v>
      </c>
      <c r="E2063" s="8" t="str">
        <f t="shared" si="547"/>
        <v>Devon, Ann</v>
      </c>
      <c r="F2063" s="8" t="str">
        <f t="shared" si="548"/>
        <v>Devon, Ann</v>
      </c>
      <c r="G2063" s="8" t="str">
        <f t="shared" si="549"/>
        <v>not an outlier</v>
      </c>
      <c r="H2063" s="8" t="str">
        <f t="shared" si="550"/>
        <v>Not</v>
      </c>
      <c r="I2063" s="8" t="str">
        <f t="shared" si="560"/>
        <v>no</v>
      </c>
      <c r="J2063" s="10" t="str">
        <f t="shared" si="551"/>
        <v>no</v>
      </c>
      <c r="K2063" s="10" t="str">
        <f t="shared" si="552"/>
        <v>no</v>
      </c>
      <c r="L2063" t="s">
        <v>154</v>
      </c>
      <c r="M2063">
        <v>11047</v>
      </c>
      <c r="N2063">
        <v>5</v>
      </c>
      <c r="O2063" t="s">
        <v>708</v>
      </c>
      <c r="P2063" t="str">
        <f t="shared" si="553"/>
        <v>EASTC_11047_Chef Anton's Gumbo Mix</v>
      </c>
      <c r="Q2063" t="str">
        <f t="shared" si="554"/>
        <v>11047</v>
      </c>
      <c r="R2063" t="str">
        <f t="shared" si="555"/>
        <v>11047</v>
      </c>
      <c r="S2063" t="str">
        <f t="shared" si="556"/>
        <v>Chef Anton's Gumbo Mix</v>
      </c>
      <c r="T2063">
        <v>21.35</v>
      </c>
      <c r="U2063">
        <v>30</v>
      </c>
      <c r="V2063">
        <v>0.25</v>
      </c>
      <c r="W2063">
        <f t="shared" si="557"/>
        <v>480.375</v>
      </c>
      <c r="X2063" t="str">
        <f t="shared" si="558"/>
        <v>yes</v>
      </c>
      <c r="Y2063" s="2">
        <v>35209</v>
      </c>
      <c r="Z2063" t="str">
        <f t="shared" si="544"/>
        <v/>
      </c>
      <c r="AA2063" t="str">
        <f t="shared" si="559"/>
        <v>2nd Q 1996</v>
      </c>
      <c r="AB2063" t="str" cm="1">
        <f t="array" ref="AB2063">_xlfn.IFS(Y2063&lt;DATE(1996,1,1),"",Y2063&lt;DATE(1996,4,1),"Q1",Y2063&lt;DATE(1996,7,1),"Q2",Y2063&gt;=DATE(1996,7,1),"")</f>
        <v>Q2</v>
      </c>
    </row>
    <row r="2064" spans="1:28" ht="14.4" x14ac:dyDescent="0.55000000000000004">
      <c r="A2064" t="str">
        <f>VLOOKUP(L2064,Customers!$A$2:$B$92,2,FALSE)</f>
        <v>Bottom-Dollar Markets</v>
      </c>
      <c r="B2064" t="str">
        <f>VLOOKUP(L2064,Customers!$A$2:$C$92,3,TRUE)</f>
        <v>Elizabeth Lincoln</v>
      </c>
      <c r="C2064" t="str">
        <f t="shared" si="545"/>
        <v>Elizabeth</v>
      </c>
      <c r="D2064" s="8" t="str">
        <f t="shared" si="546"/>
        <v>Lincoln</v>
      </c>
      <c r="E2064" s="8" t="str">
        <f t="shared" si="547"/>
        <v>Lincoln, Elizabeth</v>
      </c>
      <c r="F2064" s="8" t="str">
        <f t="shared" si="548"/>
        <v>Lincoln, Elizabeth</v>
      </c>
      <c r="G2064" s="8" t="str">
        <f t="shared" si="549"/>
        <v>not an outlier</v>
      </c>
      <c r="H2064" s="8" t="str">
        <f t="shared" si="550"/>
        <v>Not</v>
      </c>
      <c r="I2064" s="8" t="str">
        <f t="shared" si="560"/>
        <v>no</v>
      </c>
      <c r="J2064" s="10" t="str">
        <f t="shared" si="551"/>
        <v>no</v>
      </c>
      <c r="K2064" s="10" t="str">
        <f t="shared" si="552"/>
        <v>no</v>
      </c>
      <c r="L2064" t="s">
        <v>84</v>
      </c>
      <c r="M2064">
        <v>11048</v>
      </c>
      <c r="N2064">
        <v>68</v>
      </c>
      <c r="O2064" t="s">
        <v>739</v>
      </c>
      <c r="P2064" t="str">
        <f t="shared" si="553"/>
        <v>BOTTM_11048_Scottish Longbreads</v>
      </c>
      <c r="Q2064" t="str">
        <f t="shared" si="554"/>
        <v>11048</v>
      </c>
      <c r="R2064" t="str">
        <f t="shared" si="555"/>
        <v>11048</v>
      </c>
      <c r="S2064" t="str">
        <f t="shared" si="556"/>
        <v>Scottish Longbreads</v>
      </c>
      <c r="T2064">
        <v>12.5</v>
      </c>
      <c r="U2064">
        <v>42</v>
      </c>
      <c r="V2064">
        <v>0</v>
      </c>
      <c r="W2064">
        <f t="shared" si="557"/>
        <v>525</v>
      </c>
      <c r="X2064" t="str">
        <f t="shared" si="558"/>
        <v>yes</v>
      </c>
      <c r="Y2064" s="2">
        <v>35209</v>
      </c>
      <c r="Z2064" t="str">
        <f t="shared" si="544"/>
        <v/>
      </c>
      <c r="AA2064" t="str">
        <f t="shared" si="559"/>
        <v>2nd Q 1996</v>
      </c>
      <c r="AB2064" t="str" cm="1">
        <f t="array" ref="AB2064">_xlfn.IFS(Y2064&lt;DATE(1996,1,1),"",Y2064&lt;DATE(1996,4,1),"Q1",Y2064&lt;DATE(1996,7,1),"Q2",Y2064&gt;=DATE(1996,7,1),"")</f>
        <v>Q2</v>
      </c>
    </row>
    <row r="2065" spans="1:28" ht="14.4" x14ac:dyDescent="0.55000000000000004">
      <c r="A2065" t="str">
        <f>VLOOKUP(L2065,Customers!$A$2:$B$92,2,FALSE)</f>
        <v>Gourmet Lanchonetes</v>
      </c>
      <c r="B2065" t="str">
        <f>VLOOKUP(L2065,Customers!$A$2:$C$92,3,TRUE)</f>
        <v>André Fonseca</v>
      </c>
      <c r="C2065" t="str">
        <f t="shared" si="545"/>
        <v>André</v>
      </c>
      <c r="D2065" s="8" t="str">
        <f t="shared" si="546"/>
        <v>Fonseca</v>
      </c>
      <c r="E2065" s="8" t="str">
        <f t="shared" si="547"/>
        <v>Fonseca, André</v>
      </c>
      <c r="F2065" s="8" t="str">
        <f t="shared" si="548"/>
        <v>Fonseca, André</v>
      </c>
      <c r="G2065" s="8" t="str">
        <f t="shared" si="549"/>
        <v>not an outlier</v>
      </c>
      <c r="H2065" s="8" t="str">
        <f t="shared" si="550"/>
        <v>Not</v>
      </c>
      <c r="I2065" s="8" t="str">
        <f t="shared" si="560"/>
        <v>no</v>
      </c>
      <c r="J2065" s="10" t="str">
        <f t="shared" si="551"/>
        <v>no</v>
      </c>
      <c r="K2065" s="10" t="str">
        <f t="shared" si="552"/>
        <v>no</v>
      </c>
      <c r="L2065" t="s">
        <v>240</v>
      </c>
      <c r="M2065">
        <v>11049</v>
      </c>
      <c r="N2065">
        <v>2</v>
      </c>
      <c r="O2065" t="s">
        <v>701</v>
      </c>
      <c r="P2065" t="str">
        <f t="shared" si="553"/>
        <v>GOURL_11049_Chang</v>
      </c>
      <c r="Q2065" t="str">
        <f t="shared" si="554"/>
        <v>11049</v>
      </c>
      <c r="R2065" t="str">
        <f t="shared" si="555"/>
        <v>11049</v>
      </c>
      <c r="S2065" t="str">
        <f t="shared" si="556"/>
        <v>Chang</v>
      </c>
      <c r="T2065">
        <v>19</v>
      </c>
      <c r="U2065">
        <v>10</v>
      </c>
      <c r="V2065">
        <v>0.2</v>
      </c>
      <c r="W2065">
        <f t="shared" si="557"/>
        <v>152</v>
      </c>
      <c r="X2065" t="str">
        <f t="shared" si="558"/>
        <v>yes</v>
      </c>
      <c r="Y2065" s="2">
        <v>35209</v>
      </c>
      <c r="Z2065" t="str">
        <f t="shared" si="544"/>
        <v/>
      </c>
      <c r="AA2065" t="str">
        <f t="shared" si="559"/>
        <v>2nd Q 1996</v>
      </c>
      <c r="AB2065" t="str" cm="1">
        <f t="array" ref="AB2065">_xlfn.IFS(Y2065&lt;DATE(1996,1,1),"",Y2065&lt;DATE(1996,4,1),"Q1",Y2065&lt;DATE(1996,7,1),"Q2",Y2065&gt;=DATE(1996,7,1),"")</f>
        <v>Q2</v>
      </c>
    </row>
    <row r="2066" spans="1:28" ht="14.4" x14ac:dyDescent="0.55000000000000004">
      <c r="A2066" t="str">
        <f>VLOOKUP(L2066,Customers!$A$2:$B$92,2,FALSE)</f>
        <v>Gourmet Lanchonetes</v>
      </c>
      <c r="B2066" t="str">
        <f>VLOOKUP(L2066,Customers!$A$2:$C$92,3,TRUE)</f>
        <v>André Fonseca</v>
      </c>
      <c r="C2066" t="str">
        <f t="shared" si="545"/>
        <v>André</v>
      </c>
      <c r="D2066" s="8" t="str">
        <f t="shared" si="546"/>
        <v>Fonseca</v>
      </c>
      <c r="E2066" s="8" t="str">
        <f t="shared" si="547"/>
        <v>Fonseca, André</v>
      </c>
      <c r="F2066" s="8" t="str">
        <f t="shared" si="548"/>
        <v>Fonseca, André</v>
      </c>
      <c r="G2066" s="8" t="str">
        <f t="shared" si="549"/>
        <v>not an outlier</v>
      </c>
      <c r="H2066" s="8" t="str">
        <f t="shared" si="550"/>
        <v>Not</v>
      </c>
      <c r="I2066" s="8" t="str">
        <f t="shared" si="560"/>
        <v>no</v>
      </c>
      <c r="J2066" s="10" t="str">
        <f t="shared" si="551"/>
        <v>no</v>
      </c>
      <c r="K2066" s="10" t="str">
        <f t="shared" si="552"/>
        <v>no</v>
      </c>
      <c r="L2066" t="s">
        <v>240</v>
      </c>
      <c r="M2066">
        <v>11049</v>
      </c>
      <c r="N2066">
        <v>12</v>
      </c>
      <c r="O2066" t="s">
        <v>719</v>
      </c>
      <c r="P2066" t="str">
        <f t="shared" si="553"/>
        <v>GOURL_11049_Queso Manchego La Pastora</v>
      </c>
      <c r="Q2066" t="str">
        <f t="shared" si="554"/>
        <v>11049</v>
      </c>
      <c r="R2066" t="str">
        <f t="shared" si="555"/>
        <v>11049</v>
      </c>
      <c r="S2066" t="str">
        <f t="shared" si="556"/>
        <v>Queso Manchego La Pastora</v>
      </c>
      <c r="T2066">
        <v>38</v>
      </c>
      <c r="U2066">
        <v>4</v>
      </c>
      <c r="V2066">
        <v>0.2</v>
      </c>
      <c r="W2066">
        <f t="shared" si="557"/>
        <v>121.60000000000001</v>
      </c>
      <c r="X2066" t="str">
        <f t="shared" si="558"/>
        <v>yes</v>
      </c>
      <c r="Y2066" s="2">
        <v>35209</v>
      </c>
      <c r="Z2066" t="str">
        <f t="shared" si="544"/>
        <v/>
      </c>
      <c r="AA2066" t="str">
        <f t="shared" si="559"/>
        <v>2nd Q 1996</v>
      </c>
      <c r="AB2066" t="str" cm="1">
        <f t="array" ref="AB2066">_xlfn.IFS(Y2066&lt;DATE(1996,1,1),"",Y2066&lt;DATE(1996,4,1),"Q1",Y2066&lt;DATE(1996,7,1),"Q2",Y2066&gt;=DATE(1996,7,1),"")</f>
        <v>Q2</v>
      </c>
    </row>
    <row r="2067" spans="1:28" ht="14.4" x14ac:dyDescent="0.55000000000000004">
      <c r="A2067" t="str">
        <f>VLOOKUP(L2067,Customers!$A$2:$B$92,2,FALSE)</f>
        <v>Folk och fä HB</v>
      </c>
      <c r="B2067" t="str">
        <f>VLOOKUP(L2067,Customers!$A$2:$C$92,3,TRUE)</f>
        <v>Maria Larsson</v>
      </c>
      <c r="C2067" t="str">
        <f t="shared" si="545"/>
        <v>Maria</v>
      </c>
      <c r="D2067" s="8" t="str">
        <f t="shared" si="546"/>
        <v>Larsson</v>
      </c>
      <c r="E2067" s="8" t="str">
        <f t="shared" si="547"/>
        <v>Larsson, Maria</v>
      </c>
      <c r="F2067" s="8" t="str">
        <f t="shared" si="548"/>
        <v>Larsson, Maria</v>
      </c>
      <c r="G2067" s="8" t="str">
        <f t="shared" si="549"/>
        <v>not an outlier</v>
      </c>
      <c r="H2067" s="8" t="str">
        <f t="shared" si="550"/>
        <v>Not</v>
      </c>
      <c r="I2067" s="8" t="str">
        <f t="shared" si="560"/>
        <v>no</v>
      </c>
      <c r="J2067" s="10" t="str">
        <f t="shared" si="551"/>
        <v>no</v>
      </c>
      <c r="K2067" s="10" t="str">
        <f t="shared" si="552"/>
        <v>no</v>
      </c>
      <c r="L2067" t="s">
        <v>191</v>
      </c>
      <c r="M2067">
        <v>11050</v>
      </c>
      <c r="N2067">
        <v>76</v>
      </c>
      <c r="O2067" t="s">
        <v>721</v>
      </c>
      <c r="P2067" t="str">
        <f t="shared" si="553"/>
        <v>FOLKO_11050_Lakkalikööri</v>
      </c>
      <c r="Q2067" t="str">
        <f t="shared" si="554"/>
        <v>11050</v>
      </c>
      <c r="R2067" t="str">
        <f t="shared" si="555"/>
        <v>11050</v>
      </c>
      <c r="S2067" t="str">
        <f t="shared" si="556"/>
        <v>Lakkalikööri</v>
      </c>
      <c r="T2067">
        <v>18</v>
      </c>
      <c r="U2067">
        <v>50</v>
      </c>
      <c r="V2067">
        <v>0.1</v>
      </c>
      <c r="W2067">
        <f t="shared" si="557"/>
        <v>810</v>
      </c>
      <c r="X2067" t="str">
        <f t="shared" si="558"/>
        <v>yes</v>
      </c>
      <c r="Y2067" s="2">
        <v>35212</v>
      </c>
      <c r="Z2067" t="str">
        <f t="shared" si="544"/>
        <v/>
      </c>
      <c r="AA2067" t="str">
        <f t="shared" si="559"/>
        <v>2nd Q 1996</v>
      </c>
      <c r="AB2067" t="str" cm="1">
        <f t="array" ref="AB2067">_xlfn.IFS(Y2067&lt;DATE(1996,1,1),"",Y2067&lt;DATE(1996,4,1),"Q1",Y2067&lt;DATE(1996,7,1),"Q2",Y2067&gt;=DATE(1996,7,1),"")</f>
        <v>Q2</v>
      </c>
    </row>
    <row r="2068" spans="1:28" ht="14.4" x14ac:dyDescent="0.55000000000000004">
      <c r="A2068" t="str">
        <f>VLOOKUP(L2068,Customers!$A$2:$B$92,2,FALSE)</f>
        <v>La maison d'Asie</v>
      </c>
      <c r="B2068" t="str">
        <f>VLOOKUP(L2068,Customers!$A$2:$C$92,3,TRUE)</f>
        <v>Annette Roulet</v>
      </c>
      <c r="C2068" t="str">
        <f t="shared" si="545"/>
        <v>Annette</v>
      </c>
      <c r="D2068" s="8" t="str">
        <f t="shared" si="546"/>
        <v>Roulet</v>
      </c>
      <c r="E2068" s="8" t="str">
        <f t="shared" si="547"/>
        <v>Roulet, Annette</v>
      </c>
      <c r="F2068" s="8" t="str">
        <f t="shared" si="548"/>
        <v>Roulet, Annette</v>
      </c>
      <c r="G2068" s="8" t="str">
        <f t="shared" si="549"/>
        <v>not an outlier</v>
      </c>
      <c r="H2068" s="8" t="str">
        <f t="shared" si="550"/>
        <v>Not</v>
      </c>
      <c r="I2068" s="8" t="str">
        <f t="shared" si="560"/>
        <v>no</v>
      </c>
      <c r="J2068" s="10" t="str">
        <f t="shared" si="551"/>
        <v>no</v>
      </c>
      <c r="K2068" s="10" t="str">
        <f t="shared" si="552"/>
        <v>no</v>
      </c>
      <c r="L2068" t="s">
        <v>318</v>
      </c>
      <c r="M2068">
        <v>11051</v>
      </c>
      <c r="N2068">
        <v>24</v>
      </c>
      <c r="O2068" t="s">
        <v>698</v>
      </c>
      <c r="P2068" t="str">
        <f t="shared" si="553"/>
        <v>LAMAI_11051_Guaraná Fantástica</v>
      </c>
      <c r="Q2068" t="str">
        <f t="shared" si="554"/>
        <v>11051</v>
      </c>
      <c r="R2068" t="str">
        <f t="shared" si="555"/>
        <v>11051</v>
      </c>
      <c r="S2068" t="str">
        <f t="shared" si="556"/>
        <v>Guaraná Fantástica</v>
      </c>
      <c r="T2068">
        <v>4.5</v>
      </c>
      <c r="U2068">
        <v>10</v>
      </c>
      <c r="V2068">
        <v>0.2</v>
      </c>
      <c r="W2068">
        <f t="shared" si="557"/>
        <v>36</v>
      </c>
      <c r="X2068" t="str">
        <f t="shared" si="558"/>
        <v>yes</v>
      </c>
      <c r="Y2068" s="2">
        <v>35212</v>
      </c>
      <c r="Z2068" t="str">
        <f t="shared" si="544"/>
        <v/>
      </c>
      <c r="AA2068" t="str">
        <f t="shared" si="559"/>
        <v>2nd Q 1996</v>
      </c>
      <c r="AB2068" t="str" cm="1">
        <f t="array" ref="AB2068">_xlfn.IFS(Y2068&lt;DATE(1996,1,1),"",Y2068&lt;DATE(1996,4,1),"Q1",Y2068&lt;DATE(1996,7,1),"Q2",Y2068&gt;=DATE(1996,7,1),"")</f>
        <v>Q2</v>
      </c>
    </row>
    <row r="2069" spans="1:28" ht="14.4" x14ac:dyDescent="0.55000000000000004">
      <c r="A2069" t="str">
        <f>VLOOKUP(L2069,Customers!$A$2:$B$92,2,FALSE)</f>
        <v>Hanari Carnes</v>
      </c>
      <c r="B2069" t="str">
        <f>VLOOKUP(L2069,Customers!$A$2:$C$92,3,TRUE)</f>
        <v>Mario Pontes</v>
      </c>
      <c r="C2069" t="str">
        <f t="shared" si="545"/>
        <v>Mario</v>
      </c>
      <c r="D2069" s="8" t="str">
        <f t="shared" si="546"/>
        <v>Pontes</v>
      </c>
      <c r="E2069" s="8" t="str">
        <f t="shared" si="547"/>
        <v>Pontes, Mario</v>
      </c>
      <c r="F2069" s="8" t="str">
        <f t="shared" si="548"/>
        <v>Pontes, Mario</v>
      </c>
      <c r="G2069" s="8" t="str">
        <f t="shared" si="549"/>
        <v>not an outlier</v>
      </c>
      <c r="H2069" s="8" t="str">
        <f t="shared" si="550"/>
        <v>Not</v>
      </c>
      <c r="I2069" s="8" t="str">
        <f t="shared" si="560"/>
        <v>no</v>
      </c>
      <c r="J2069" s="10" t="str">
        <f t="shared" si="551"/>
        <v>no</v>
      </c>
      <c r="K2069" s="10" t="str">
        <f t="shared" si="552"/>
        <v>no</v>
      </c>
      <c r="L2069" t="s">
        <v>264</v>
      </c>
      <c r="M2069">
        <v>11052</v>
      </c>
      <c r="N2069">
        <v>43</v>
      </c>
      <c r="O2069" t="s">
        <v>723</v>
      </c>
      <c r="P2069" t="str">
        <f t="shared" si="553"/>
        <v>HANAR_11052_Ipoh Coffee</v>
      </c>
      <c r="Q2069" t="str">
        <f t="shared" si="554"/>
        <v>11052</v>
      </c>
      <c r="R2069" t="str">
        <f t="shared" si="555"/>
        <v>11052</v>
      </c>
      <c r="S2069" t="str">
        <f t="shared" si="556"/>
        <v>Ipoh Coffee</v>
      </c>
      <c r="T2069">
        <v>46</v>
      </c>
      <c r="U2069">
        <v>30</v>
      </c>
      <c r="V2069">
        <v>0.2</v>
      </c>
      <c r="W2069">
        <f t="shared" si="557"/>
        <v>1104</v>
      </c>
      <c r="X2069" t="str">
        <f t="shared" si="558"/>
        <v>yes</v>
      </c>
      <c r="Y2069" s="2">
        <v>35212</v>
      </c>
      <c r="Z2069" t="str">
        <f t="shared" si="544"/>
        <v/>
      </c>
      <c r="AA2069" t="str">
        <f t="shared" si="559"/>
        <v>2nd Q 1996</v>
      </c>
      <c r="AB2069" t="str" cm="1">
        <f t="array" ref="AB2069">_xlfn.IFS(Y2069&lt;DATE(1996,1,1),"",Y2069&lt;DATE(1996,4,1),"Q1",Y2069&lt;DATE(1996,7,1),"Q2",Y2069&gt;=DATE(1996,7,1),"")</f>
        <v>Q2</v>
      </c>
    </row>
    <row r="2070" spans="1:28" ht="14.4" x14ac:dyDescent="0.55000000000000004">
      <c r="A2070" t="str">
        <f>VLOOKUP(L2070,Customers!$A$2:$B$92,2,FALSE)</f>
        <v>Hanari Carnes</v>
      </c>
      <c r="B2070" t="str">
        <f>VLOOKUP(L2070,Customers!$A$2:$C$92,3,TRUE)</f>
        <v>Mario Pontes</v>
      </c>
      <c r="C2070" t="str">
        <f t="shared" si="545"/>
        <v>Mario</v>
      </c>
      <c r="D2070" s="8" t="str">
        <f t="shared" si="546"/>
        <v>Pontes</v>
      </c>
      <c r="E2070" s="8" t="str">
        <f t="shared" si="547"/>
        <v>Pontes, Mario</v>
      </c>
      <c r="F2070" s="8" t="str">
        <f t="shared" si="548"/>
        <v>Pontes, Mario</v>
      </c>
      <c r="G2070" s="8" t="str">
        <f t="shared" si="549"/>
        <v>not an outlier</v>
      </c>
      <c r="H2070" s="8" t="str">
        <f t="shared" si="550"/>
        <v>Not</v>
      </c>
      <c r="I2070" s="8" t="str">
        <f t="shared" si="560"/>
        <v>no</v>
      </c>
      <c r="J2070" s="10" t="str">
        <f t="shared" si="551"/>
        <v>no</v>
      </c>
      <c r="K2070" s="10" t="str">
        <f t="shared" si="552"/>
        <v>no</v>
      </c>
      <c r="L2070" t="s">
        <v>264</v>
      </c>
      <c r="M2070">
        <v>11052</v>
      </c>
      <c r="N2070">
        <v>61</v>
      </c>
      <c r="O2070" t="s">
        <v>758</v>
      </c>
      <c r="P2070" t="str">
        <f t="shared" si="553"/>
        <v>HANAR_11052_Sirop d'érable</v>
      </c>
      <c r="Q2070" t="str">
        <f t="shared" si="554"/>
        <v>11052</v>
      </c>
      <c r="R2070" t="str">
        <f t="shared" si="555"/>
        <v>11052</v>
      </c>
      <c r="S2070" t="str">
        <f t="shared" si="556"/>
        <v>Sirop d'érable</v>
      </c>
      <c r="T2070">
        <v>28.5</v>
      </c>
      <c r="U2070">
        <v>10</v>
      </c>
      <c r="V2070">
        <v>0.2</v>
      </c>
      <c r="W2070">
        <f t="shared" si="557"/>
        <v>228</v>
      </c>
      <c r="X2070" t="str">
        <f t="shared" si="558"/>
        <v>yes</v>
      </c>
      <c r="Y2070" s="2">
        <v>35212</v>
      </c>
      <c r="Z2070" t="str">
        <f t="shared" si="544"/>
        <v/>
      </c>
      <c r="AA2070" t="str">
        <f t="shared" si="559"/>
        <v>2nd Q 1996</v>
      </c>
      <c r="AB2070" t="str" cm="1">
        <f t="array" ref="AB2070">_xlfn.IFS(Y2070&lt;DATE(1996,1,1),"",Y2070&lt;DATE(1996,4,1),"Q1",Y2070&lt;DATE(1996,7,1),"Q2",Y2070&gt;=DATE(1996,7,1),"")</f>
        <v>Q2</v>
      </c>
    </row>
    <row r="2071" spans="1:28" ht="14.4" x14ac:dyDescent="0.55000000000000004">
      <c r="A2071" t="str">
        <f>VLOOKUP(L2071,Customers!$A$2:$B$92,2,FALSE)</f>
        <v>Piccolo und mehr</v>
      </c>
      <c r="B2071" t="str">
        <f>VLOOKUP(L2071,Customers!$A$2:$C$92,3,TRUE)</f>
        <v>Georg Pipps</v>
      </c>
      <c r="C2071" t="str">
        <f t="shared" si="545"/>
        <v>Georg</v>
      </c>
      <c r="D2071" s="8" t="str">
        <f t="shared" si="546"/>
        <v>Pipps</v>
      </c>
      <c r="E2071" s="8" t="str">
        <f t="shared" si="547"/>
        <v>Pipps, Georg</v>
      </c>
      <c r="F2071" s="8" t="str">
        <f t="shared" si="548"/>
        <v>Pipps, Georg</v>
      </c>
      <c r="G2071" s="8" t="str">
        <f t="shared" si="549"/>
        <v>not an outlier</v>
      </c>
      <c r="H2071" s="8" t="str">
        <f t="shared" si="550"/>
        <v>Not</v>
      </c>
      <c r="I2071" s="8" t="str">
        <f t="shared" si="560"/>
        <v>no</v>
      </c>
      <c r="J2071" s="10" t="str">
        <f t="shared" si="551"/>
        <v>no</v>
      </c>
      <c r="K2071" s="10" t="str">
        <f t="shared" si="552"/>
        <v>no</v>
      </c>
      <c r="L2071" t="s">
        <v>450</v>
      </c>
      <c r="M2071">
        <v>11053</v>
      </c>
      <c r="N2071">
        <v>18</v>
      </c>
      <c r="O2071" t="s">
        <v>742</v>
      </c>
      <c r="P2071" t="str">
        <f t="shared" si="553"/>
        <v>PICCO_11053_Carnarvon Tigers</v>
      </c>
      <c r="Q2071" t="str">
        <f t="shared" si="554"/>
        <v>11053</v>
      </c>
      <c r="R2071" t="str">
        <f t="shared" si="555"/>
        <v>11053</v>
      </c>
      <c r="S2071" t="str">
        <f t="shared" si="556"/>
        <v>Carnarvon Tigers</v>
      </c>
      <c r="T2071">
        <v>62.5</v>
      </c>
      <c r="U2071">
        <v>35</v>
      </c>
      <c r="V2071">
        <v>0.2</v>
      </c>
      <c r="W2071">
        <f t="shared" si="557"/>
        <v>1750</v>
      </c>
      <c r="X2071" t="str">
        <f t="shared" si="558"/>
        <v>yes</v>
      </c>
      <c r="Y2071" s="2">
        <v>35212</v>
      </c>
      <c r="Z2071" t="str">
        <f t="shared" si="544"/>
        <v/>
      </c>
      <c r="AA2071" t="str">
        <f t="shared" si="559"/>
        <v>2nd Q 1996</v>
      </c>
      <c r="AB2071" t="str" cm="1">
        <f t="array" ref="AB2071">_xlfn.IFS(Y2071&lt;DATE(1996,1,1),"",Y2071&lt;DATE(1996,4,1),"Q1",Y2071&lt;DATE(1996,7,1),"Q2",Y2071&gt;=DATE(1996,7,1),"")</f>
        <v>Q2</v>
      </c>
    </row>
    <row r="2072" spans="1:28" ht="14.4" x14ac:dyDescent="0.55000000000000004">
      <c r="A2072" t="str">
        <f>VLOOKUP(L2072,Customers!$A$2:$B$92,2,FALSE)</f>
        <v>Piccolo und mehr</v>
      </c>
      <c r="B2072" t="str">
        <f>VLOOKUP(L2072,Customers!$A$2:$C$92,3,TRUE)</f>
        <v>Georg Pipps</v>
      </c>
      <c r="C2072" t="str">
        <f t="shared" si="545"/>
        <v>Georg</v>
      </c>
      <c r="D2072" s="8" t="str">
        <f t="shared" si="546"/>
        <v>Pipps</v>
      </c>
      <c r="E2072" s="8" t="str">
        <f t="shared" si="547"/>
        <v>Pipps, Georg</v>
      </c>
      <c r="F2072" s="8" t="str">
        <f t="shared" si="548"/>
        <v>Pipps, Georg</v>
      </c>
      <c r="G2072" s="8" t="str">
        <f t="shared" si="549"/>
        <v>not an outlier</v>
      </c>
      <c r="H2072" s="8" t="str">
        <f t="shared" si="550"/>
        <v>Not</v>
      </c>
      <c r="I2072" s="8" t="str">
        <f t="shared" si="560"/>
        <v>no</v>
      </c>
      <c r="J2072" s="10" t="str">
        <f t="shared" si="551"/>
        <v>no</v>
      </c>
      <c r="K2072" s="10" t="str">
        <f t="shared" si="552"/>
        <v>no</v>
      </c>
      <c r="L2072" t="s">
        <v>450</v>
      </c>
      <c r="M2072">
        <v>11053</v>
      </c>
      <c r="N2072">
        <v>32</v>
      </c>
      <c r="O2072" t="s">
        <v>709</v>
      </c>
      <c r="P2072" t="str">
        <f t="shared" si="553"/>
        <v>PICCO_11053_Mascarpone Fabioli</v>
      </c>
      <c r="Q2072" t="str">
        <f t="shared" si="554"/>
        <v>11053</v>
      </c>
      <c r="R2072" t="str">
        <f t="shared" si="555"/>
        <v>11053</v>
      </c>
      <c r="S2072" t="str">
        <f t="shared" si="556"/>
        <v>Mascarpone Fabioli</v>
      </c>
      <c r="T2072">
        <v>32</v>
      </c>
      <c r="U2072">
        <v>20</v>
      </c>
      <c r="V2072">
        <v>0</v>
      </c>
      <c r="W2072">
        <f t="shared" si="557"/>
        <v>640</v>
      </c>
      <c r="X2072" t="str">
        <f t="shared" si="558"/>
        <v>yes</v>
      </c>
      <c r="Y2072" s="2">
        <v>35212</v>
      </c>
      <c r="Z2072" t="str">
        <f t="shared" si="544"/>
        <v/>
      </c>
      <c r="AA2072" t="str">
        <f t="shared" si="559"/>
        <v>2nd Q 1996</v>
      </c>
      <c r="AB2072" t="str" cm="1">
        <f t="array" ref="AB2072">_xlfn.IFS(Y2072&lt;DATE(1996,1,1),"",Y2072&lt;DATE(1996,4,1),"Q1",Y2072&lt;DATE(1996,7,1),"Q2",Y2072&gt;=DATE(1996,7,1),"")</f>
        <v>Q2</v>
      </c>
    </row>
    <row r="2073" spans="1:28" ht="14.4" x14ac:dyDescent="0.55000000000000004">
      <c r="A2073" t="str">
        <f>VLOOKUP(L2073,Customers!$A$2:$B$92,2,FALSE)</f>
        <v>Piccolo und mehr</v>
      </c>
      <c r="B2073" t="str">
        <f>VLOOKUP(L2073,Customers!$A$2:$C$92,3,TRUE)</f>
        <v>Georg Pipps</v>
      </c>
      <c r="C2073" t="str">
        <f t="shared" si="545"/>
        <v>Georg</v>
      </c>
      <c r="D2073" s="8" t="str">
        <f t="shared" si="546"/>
        <v>Pipps</v>
      </c>
      <c r="E2073" s="8" t="str">
        <f t="shared" si="547"/>
        <v>Pipps, Georg</v>
      </c>
      <c r="F2073" s="8" t="str">
        <f t="shared" si="548"/>
        <v>Pipps, Georg</v>
      </c>
      <c r="G2073" s="8" t="str">
        <f t="shared" si="549"/>
        <v>not an outlier</v>
      </c>
      <c r="H2073" s="8" t="str">
        <f t="shared" si="550"/>
        <v>Not</v>
      </c>
      <c r="I2073" s="8" t="str">
        <f t="shared" si="560"/>
        <v>no</v>
      </c>
      <c r="J2073" s="10" t="str">
        <f t="shared" si="551"/>
        <v>no</v>
      </c>
      <c r="K2073" s="10" t="str">
        <f t="shared" si="552"/>
        <v>no</v>
      </c>
      <c r="L2073" t="s">
        <v>450</v>
      </c>
      <c r="M2073">
        <v>11053</v>
      </c>
      <c r="N2073">
        <v>64</v>
      </c>
      <c r="O2073" t="s">
        <v>741</v>
      </c>
      <c r="P2073" t="str">
        <f t="shared" si="553"/>
        <v>PICCO_11053_Wimmers gute Semmelknödel</v>
      </c>
      <c r="Q2073" t="str">
        <f t="shared" si="554"/>
        <v>11053</v>
      </c>
      <c r="R2073" t="str">
        <f t="shared" si="555"/>
        <v>11053</v>
      </c>
      <c r="S2073" t="str">
        <f t="shared" si="556"/>
        <v>Wimmers gute Semmelknödel</v>
      </c>
      <c r="T2073">
        <v>33.25</v>
      </c>
      <c r="U2073">
        <v>25</v>
      </c>
      <c r="V2073">
        <v>0.2</v>
      </c>
      <c r="W2073">
        <f t="shared" si="557"/>
        <v>665</v>
      </c>
      <c r="X2073" t="str">
        <f t="shared" si="558"/>
        <v>yes</v>
      </c>
      <c r="Y2073" s="2">
        <v>35212</v>
      </c>
      <c r="Z2073" t="str">
        <f t="shared" si="544"/>
        <v/>
      </c>
      <c r="AA2073" t="str">
        <f t="shared" si="559"/>
        <v>2nd Q 1996</v>
      </c>
      <c r="AB2073" t="str" cm="1">
        <f t="array" ref="AB2073">_xlfn.IFS(Y2073&lt;DATE(1996,1,1),"",Y2073&lt;DATE(1996,4,1),"Q1",Y2073&lt;DATE(1996,7,1),"Q2",Y2073&gt;=DATE(1996,7,1),"")</f>
        <v>Q2</v>
      </c>
    </row>
    <row r="2074" spans="1:28" ht="14.4" x14ac:dyDescent="0.55000000000000004">
      <c r="A2074" t="str">
        <f>VLOOKUP(L2074,Customers!$A$2:$B$92,2,FALSE)</f>
        <v>Cactus Comidas para llevar</v>
      </c>
      <c r="B2074" t="str">
        <f>VLOOKUP(L2074,Customers!$A$2:$C$92,3,TRUE)</f>
        <v>Patricio Simpson</v>
      </c>
      <c r="C2074" t="str">
        <f t="shared" si="545"/>
        <v>Patricio</v>
      </c>
      <c r="D2074" s="8" t="str">
        <f t="shared" si="546"/>
        <v>Simpson</v>
      </c>
      <c r="E2074" s="8" t="str">
        <f t="shared" si="547"/>
        <v>Simpson, Patricio</v>
      </c>
      <c r="F2074" s="8" t="str">
        <f t="shared" si="548"/>
        <v>Simpson, Patricio</v>
      </c>
      <c r="G2074" s="8" t="str">
        <f t="shared" si="549"/>
        <v>not an outlier</v>
      </c>
      <c r="H2074" s="8" t="str">
        <f t="shared" si="550"/>
        <v>Not</v>
      </c>
      <c r="I2074" s="8" t="str">
        <f t="shared" si="560"/>
        <v>no</v>
      </c>
      <c r="J2074" s="10" t="str">
        <f t="shared" si="551"/>
        <v>no</v>
      </c>
      <c r="K2074" s="10" t="str">
        <f t="shared" si="552"/>
        <v>no</v>
      </c>
      <c r="L2074" t="s">
        <v>101</v>
      </c>
      <c r="M2074">
        <v>11054</v>
      </c>
      <c r="N2074">
        <v>33</v>
      </c>
      <c r="O2074" t="s">
        <v>693</v>
      </c>
      <c r="P2074" t="str">
        <f t="shared" si="553"/>
        <v>CACTU_11054_Geitost</v>
      </c>
      <c r="Q2074" t="str">
        <f t="shared" si="554"/>
        <v>11054</v>
      </c>
      <c r="R2074" t="str">
        <f t="shared" si="555"/>
        <v>11054</v>
      </c>
      <c r="S2074" t="str">
        <f t="shared" si="556"/>
        <v>Geitost</v>
      </c>
      <c r="T2074">
        <v>2.5</v>
      </c>
      <c r="U2074">
        <v>10</v>
      </c>
      <c r="V2074">
        <v>0</v>
      </c>
      <c r="W2074">
        <f t="shared" si="557"/>
        <v>25</v>
      </c>
      <c r="X2074" t="str">
        <f t="shared" si="558"/>
        <v>yes</v>
      </c>
      <c r="Y2074" s="2">
        <v>35213</v>
      </c>
      <c r="Z2074" t="str">
        <f t="shared" si="544"/>
        <v/>
      </c>
      <c r="AA2074" t="str">
        <f t="shared" si="559"/>
        <v>2nd Q 1996</v>
      </c>
      <c r="AB2074" t="str" cm="1">
        <f t="array" ref="AB2074">_xlfn.IFS(Y2074&lt;DATE(1996,1,1),"",Y2074&lt;DATE(1996,4,1),"Q1",Y2074&lt;DATE(1996,7,1),"Q2",Y2074&gt;=DATE(1996,7,1),"")</f>
        <v>Q2</v>
      </c>
    </row>
    <row r="2075" spans="1:28" ht="14.4" x14ac:dyDescent="0.55000000000000004">
      <c r="A2075" t="str">
        <f>VLOOKUP(L2075,Customers!$A$2:$B$92,2,FALSE)</f>
        <v>Cactus Comidas para llevar</v>
      </c>
      <c r="B2075" t="str">
        <f>VLOOKUP(L2075,Customers!$A$2:$C$92,3,TRUE)</f>
        <v>Patricio Simpson</v>
      </c>
      <c r="C2075" t="str">
        <f t="shared" si="545"/>
        <v>Patricio</v>
      </c>
      <c r="D2075" s="8" t="str">
        <f t="shared" si="546"/>
        <v>Simpson</v>
      </c>
      <c r="E2075" s="8" t="str">
        <f t="shared" si="547"/>
        <v>Simpson, Patricio</v>
      </c>
      <c r="F2075" s="8" t="str">
        <f t="shared" si="548"/>
        <v>Simpson, Patricio</v>
      </c>
      <c r="G2075" s="8" t="str">
        <f t="shared" si="549"/>
        <v>not an outlier</v>
      </c>
      <c r="H2075" s="8" t="str">
        <f t="shared" si="550"/>
        <v>Not</v>
      </c>
      <c r="I2075" s="8" t="str">
        <f t="shared" si="560"/>
        <v>no</v>
      </c>
      <c r="J2075" s="10" t="str">
        <f t="shared" si="551"/>
        <v>no</v>
      </c>
      <c r="K2075" s="10" t="str">
        <f t="shared" si="552"/>
        <v>no</v>
      </c>
      <c r="L2075" t="s">
        <v>101</v>
      </c>
      <c r="M2075">
        <v>11054</v>
      </c>
      <c r="N2075">
        <v>67</v>
      </c>
      <c r="O2075" t="s">
        <v>734</v>
      </c>
      <c r="P2075" t="str">
        <f t="shared" si="553"/>
        <v>CACTU_11054_Laughing Lumberjack Lager</v>
      </c>
      <c r="Q2075" t="str">
        <f t="shared" si="554"/>
        <v>11054</v>
      </c>
      <c r="R2075" t="str">
        <f t="shared" si="555"/>
        <v>11054</v>
      </c>
      <c r="S2075" t="str">
        <f t="shared" si="556"/>
        <v>Laughing Lumberjack Lager</v>
      </c>
      <c r="T2075">
        <v>14</v>
      </c>
      <c r="U2075">
        <v>20</v>
      </c>
      <c r="V2075">
        <v>0</v>
      </c>
      <c r="W2075">
        <f t="shared" si="557"/>
        <v>280</v>
      </c>
      <c r="X2075" t="str">
        <f t="shared" si="558"/>
        <v>yes</v>
      </c>
      <c r="Y2075" s="2">
        <v>35213</v>
      </c>
      <c r="Z2075" t="str">
        <f t="shared" si="544"/>
        <v/>
      </c>
      <c r="AA2075" t="str">
        <f t="shared" si="559"/>
        <v>2nd Q 1996</v>
      </c>
      <c r="AB2075" t="str" cm="1">
        <f t="array" ref="AB2075">_xlfn.IFS(Y2075&lt;DATE(1996,1,1),"",Y2075&lt;DATE(1996,4,1),"Q1",Y2075&lt;DATE(1996,7,1),"Q2",Y2075&gt;=DATE(1996,7,1),"")</f>
        <v>Q2</v>
      </c>
    </row>
    <row r="2076" spans="1:28" ht="14.4" x14ac:dyDescent="0.55000000000000004">
      <c r="A2076" t="str">
        <f>VLOOKUP(L2076,Customers!$A$2:$B$92,2,FALSE)</f>
        <v>HILARIÓN-Abastos</v>
      </c>
      <c r="B2076" t="str">
        <f>VLOOKUP(L2076,Customers!$A$2:$C$92,3,TRUE)</f>
        <v>Carlos Hernández</v>
      </c>
      <c r="C2076" t="str">
        <f t="shared" si="545"/>
        <v>Carlos</v>
      </c>
      <c r="D2076" s="8" t="str">
        <f t="shared" si="546"/>
        <v>Hernández</v>
      </c>
      <c r="E2076" s="8" t="str">
        <f t="shared" si="547"/>
        <v>Hernández, Carlos</v>
      </c>
      <c r="F2076" s="8" t="str">
        <f t="shared" si="548"/>
        <v>Hernández, Carlos</v>
      </c>
      <c r="G2076" s="8" t="str">
        <f t="shared" si="549"/>
        <v>not an outlier</v>
      </c>
      <c r="H2076" s="8" t="str">
        <f t="shared" si="550"/>
        <v>Not</v>
      </c>
      <c r="I2076" s="8" t="str">
        <f t="shared" si="560"/>
        <v>no</v>
      </c>
      <c r="J2076" s="10" t="str">
        <f t="shared" si="551"/>
        <v>no</v>
      </c>
      <c r="K2076" s="10" t="str">
        <f t="shared" si="552"/>
        <v>no</v>
      </c>
      <c r="L2076" t="s">
        <v>273</v>
      </c>
      <c r="M2076">
        <v>11055</v>
      </c>
      <c r="N2076">
        <v>24</v>
      </c>
      <c r="O2076" t="s">
        <v>698</v>
      </c>
      <c r="P2076" t="str">
        <f t="shared" si="553"/>
        <v>HILAA_11055_Guaraná Fantástica</v>
      </c>
      <c r="Q2076" t="str">
        <f t="shared" si="554"/>
        <v>11055</v>
      </c>
      <c r="R2076" t="str">
        <f t="shared" si="555"/>
        <v>11055</v>
      </c>
      <c r="S2076" t="str">
        <f t="shared" si="556"/>
        <v>Guaraná Fantástica</v>
      </c>
      <c r="T2076">
        <v>4.5</v>
      </c>
      <c r="U2076">
        <v>15</v>
      </c>
      <c r="V2076">
        <v>0</v>
      </c>
      <c r="W2076">
        <f t="shared" si="557"/>
        <v>67.5</v>
      </c>
      <c r="X2076" t="str">
        <f t="shared" si="558"/>
        <v>yes</v>
      </c>
      <c r="Y2076" s="2">
        <v>35213</v>
      </c>
      <c r="Z2076" t="str">
        <f t="shared" si="544"/>
        <v/>
      </c>
      <c r="AA2076" t="str">
        <f t="shared" si="559"/>
        <v>2nd Q 1996</v>
      </c>
      <c r="AB2076" t="str" cm="1">
        <f t="array" ref="AB2076">_xlfn.IFS(Y2076&lt;DATE(1996,1,1),"",Y2076&lt;DATE(1996,4,1),"Q1",Y2076&lt;DATE(1996,7,1),"Q2",Y2076&gt;=DATE(1996,7,1),"")</f>
        <v>Q2</v>
      </c>
    </row>
    <row r="2077" spans="1:28" ht="14.4" x14ac:dyDescent="0.55000000000000004">
      <c r="A2077" t="str">
        <f>VLOOKUP(L2077,Customers!$A$2:$B$92,2,FALSE)</f>
        <v>HILARIÓN-Abastos</v>
      </c>
      <c r="B2077" t="str">
        <f>VLOOKUP(L2077,Customers!$A$2:$C$92,3,TRUE)</f>
        <v>Carlos Hernández</v>
      </c>
      <c r="C2077" t="str">
        <f t="shared" si="545"/>
        <v>Carlos</v>
      </c>
      <c r="D2077" s="8" t="str">
        <f t="shared" si="546"/>
        <v>Hernández</v>
      </c>
      <c r="E2077" s="8" t="str">
        <f t="shared" si="547"/>
        <v>Hernández, Carlos</v>
      </c>
      <c r="F2077" s="8" t="str">
        <f t="shared" si="548"/>
        <v>Hernández, Carlos</v>
      </c>
      <c r="G2077" s="8" t="str">
        <f t="shared" si="549"/>
        <v>not an outlier</v>
      </c>
      <c r="H2077" s="8" t="str">
        <f t="shared" si="550"/>
        <v>Not</v>
      </c>
      <c r="I2077" s="8" t="str">
        <f t="shared" si="560"/>
        <v>no</v>
      </c>
      <c r="J2077" s="10" t="str">
        <f t="shared" si="551"/>
        <v>no</v>
      </c>
      <c r="K2077" s="10" t="str">
        <f t="shared" si="552"/>
        <v>no</v>
      </c>
      <c r="L2077" t="s">
        <v>273</v>
      </c>
      <c r="M2077">
        <v>11055</v>
      </c>
      <c r="N2077">
        <v>25</v>
      </c>
      <c r="O2077" t="s">
        <v>749</v>
      </c>
      <c r="P2077" t="str">
        <f t="shared" si="553"/>
        <v>HILAA_11055_NuNuCa Nuß-Nougat-Creme</v>
      </c>
      <c r="Q2077" t="str">
        <f t="shared" si="554"/>
        <v>11055</v>
      </c>
      <c r="R2077" t="str">
        <f t="shared" si="555"/>
        <v>11055</v>
      </c>
      <c r="S2077" t="str">
        <f t="shared" si="556"/>
        <v>NuNuCa Nuß-Nougat-Creme</v>
      </c>
      <c r="T2077">
        <v>14</v>
      </c>
      <c r="U2077">
        <v>15</v>
      </c>
      <c r="V2077">
        <v>0</v>
      </c>
      <c r="W2077">
        <f t="shared" si="557"/>
        <v>210</v>
      </c>
      <c r="X2077" t="str">
        <f t="shared" si="558"/>
        <v>yes</v>
      </c>
      <c r="Y2077" s="2">
        <v>35213</v>
      </c>
      <c r="Z2077" t="str">
        <f t="shared" si="544"/>
        <v/>
      </c>
      <c r="AA2077" t="str">
        <f t="shared" si="559"/>
        <v>2nd Q 1996</v>
      </c>
      <c r="AB2077" t="str" cm="1">
        <f t="array" ref="AB2077">_xlfn.IFS(Y2077&lt;DATE(1996,1,1),"",Y2077&lt;DATE(1996,4,1),"Q1",Y2077&lt;DATE(1996,7,1),"Q2",Y2077&gt;=DATE(1996,7,1),"")</f>
        <v>Q2</v>
      </c>
    </row>
    <row r="2078" spans="1:28" ht="14.4" x14ac:dyDescent="0.55000000000000004">
      <c r="A2078" t="str">
        <f>VLOOKUP(L2078,Customers!$A$2:$B$92,2,FALSE)</f>
        <v>HILARIÓN-Abastos</v>
      </c>
      <c r="B2078" t="str">
        <f>VLOOKUP(L2078,Customers!$A$2:$C$92,3,TRUE)</f>
        <v>Carlos Hernández</v>
      </c>
      <c r="C2078" t="str">
        <f t="shared" si="545"/>
        <v>Carlos</v>
      </c>
      <c r="D2078" s="8" t="str">
        <f t="shared" si="546"/>
        <v>Hernández</v>
      </c>
      <c r="E2078" s="8" t="str">
        <f t="shared" si="547"/>
        <v>Hernández, Carlos</v>
      </c>
      <c r="F2078" s="8" t="str">
        <f t="shared" si="548"/>
        <v>Hernández, Carlos</v>
      </c>
      <c r="G2078" s="8" t="str">
        <f t="shared" si="549"/>
        <v>not an outlier</v>
      </c>
      <c r="H2078" s="8" t="str">
        <f t="shared" si="550"/>
        <v>Not</v>
      </c>
      <c r="I2078" s="8" t="str">
        <f t="shared" si="560"/>
        <v>no</v>
      </c>
      <c r="J2078" s="10" t="str">
        <f t="shared" si="551"/>
        <v>no</v>
      </c>
      <c r="K2078" s="10" t="str">
        <f t="shared" si="552"/>
        <v>no</v>
      </c>
      <c r="L2078" t="s">
        <v>273</v>
      </c>
      <c r="M2078">
        <v>11055</v>
      </c>
      <c r="N2078">
        <v>51</v>
      </c>
      <c r="O2078" t="s">
        <v>687</v>
      </c>
      <c r="P2078" t="str">
        <f t="shared" si="553"/>
        <v>HILAA_11055_Manjimup Dried Apples</v>
      </c>
      <c r="Q2078" t="str">
        <f t="shared" si="554"/>
        <v>11055</v>
      </c>
      <c r="R2078" t="str">
        <f t="shared" si="555"/>
        <v>11055</v>
      </c>
      <c r="S2078" t="str">
        <f t="shared" si="556"/>
        <v>Manjimup Dried Apples</v>
      </c>
      <c r="T2078">
        <v>53</v>
      </c>
      <c r="U2078">
        <v>20</v>
      </c>
      <c r="V2078">
        <v>0</v>
      </c>
      <c r="W2078">
        <f t="shared" si="557"/>
        <v>1060</v>
      </c>
      <c r="X2078" t="str">
        <f t="shared" si="558"/>
        <v>yes</v>
      </c>
      <c r="Y2078" s="2">
        <v>35213</v>
      </c>
      <c r="Z2078" t="str">
        <f t="shared" si="544"/>
        <v/>
      </c>
      <c r="AA2078" t="str">
        <f t="shared" si="559"/>
        <v>2nd Q 1996</v>
      </c>
      <c r="AB2078" t="str" cm="1">
        <f t="array" ref="AB2078">_xlfn.IFS(Y2078&lt;DATE(1996,1,1),"",Y2078&lt;DATE(1996,4,1),"Q1",Y2078&lt;DATE(1996,7,1),"Q2",Y2078&gt;=DATE(1996,7,1),"")</f>
        <v>Q2</v>
      </c>
    </row>
    <row r="2079" spans="1:28" ht="14.4" x14ac:dyDescent="0.55000000000000004">
      <c r="A2079" t="str">
        <f>VLOOKUP(L2079,Customers!$A$2:$B$92,2,FALSE)</f>
        <v>HILARIÓN-Abastos</v>
      </c>
      <c r="B2079" t="str">
        <f>VLOOKUP(L2079,Customers!$A$2:$C$92,3,TRUE)</f>
        <v>Carlos Hernández</v>
      </c>
      <c r="C2079" t="str">
        <f t="shared" si="545"/>
        <v>Carlos</v>
      </c>
      <c r="D2079" s="8" t="str">
        <f t="shared" si="546"/>
        <v>Hernández</v>
      </c>
      <c r="E2079" s="8" t="str">
        <f t="shared" si="547"/>
        <v>Hernández, Carlos</v>
      </c>
      <c r="F2079" s="8" t="str">
        <f t="shared" si="548"/>
        <v>Hernández, Carlos</v>
      </c>
      <c r="G2079" s="8" t="str">
        <f t="shared" si="549"/>
        <v>not an outlier</v>
      </c>
      <c r="H2079" s="8" t="str">
        <f t="shared" si="550"/>
        <v>Not</v>
      </c>
      <c r="I2079" s="8" t="str">
        <f t="shared" si="560"/>
        <v>no</v>
      </c>
      <c r="J2079" s="10" t="str">
        <f t="shared" si="551"/>
        <v>no</v>
      </c>
      <c r="K2079" s="10" t="str">
        <f t="shared" si="552"/>
        <v>no</v>
      </c>
      <c r="L2079" t="s">
        <v>273</v>
      </c>
      <c r="M2079">
        <v>11055</v>
      </c>
      <c r="N2079">
        <v>57</v>
      </c>
      <c r="O2079" t="s">
        <v>691</v>
      </c>
      <c r="P2079" t="str">
        <f t="shared" si="553"/>
        <v>HILAA_11055_Ravioli Angelo</v>
      </c>
      <c r="Q2079" t="str">
        <f t="shared" si="554"/>
        <v>11055</v>
      </c>
      <c r="R2079" t="str">
        <f t="shared" si="555"/>
        <v>11055</v>
      </c>
      <c r="S2079" t="str">
        <f t="shared" si="556"/>
        <v>Ravioli Angelo</v>
      </c>
      <c r="T2079">
        <v>19.5</v>
      </c>
      <c r="U2079">
        <v>20</v>
      </c>
      <c r="V2079">
        <v>0</v>
      </c>
      <c r="W2079">
        <f t="shared" si="557"/>
        <v>390</v>
      </c>
      <c r="X2079" t="str">
        <f t="shared" si="558"/>
        <v>yes</v>
      </c>
      <c r="Y2079" s="2">
        <v>35213</v>
      </c>
      <c r="Z2079" t="str">
        <f t="shared" si="544"/>
        <v/>
      </c>
      <c r="AA2079" t="str">
        <f t="shared" si="559"/>
        <v>2nd Q 1996</v>
      </c>
      <c r="AB2079" t="str" cm="1">
        <f t="array" ref="AB2079">_xlfn.IFS(Y2079&lt;DATE(1996,1,1),"",Y2079&lt;DATE(1996,4,1),"Q1",Y2079&lt;DATE(1996,7,1),"Q2",Y2079&gt;=DATE(1996,7,1),"")</f>
        <v>Q2</v>
      </c>
    </row>
    <row r="2080" spans="1:28" ht="14.4" x14ac:dyDescent="0.55000000000000004">
      <c r="A2080" t="str">
        <f>VLOOKUP(L2080,Customers!$A$2:$B$92,2,FALSE)</f>
        <v>Eastern Connection</v>
      </c>
      <c r="B2080" t="str">
        <f>VLOOKUP(L2080,Customers!$A$2:$C$92,3,TRUE)</f>
        <v>Ann Devon</v>
      </c>
      <c r="C2080" t="str">
        <f t="shared" si="545"/>
        <v>Ann</v>
      </c>
      <c r="D2080" s="8" t="str">
        <f t="shared" si="546"/>
        <v>Devon</v>
      </c>
      <c r="E2080" s="8" t="str">
        <f t="shared" si="547"/>
        <v>Devon, Ann</v>
      </c>
      <c r="F2080" s="8" t="str">
        <f t="shared" si="548"/>
        <v>Devon, Ann</v>
      </c>
      <c r="G2080" s="8" t="str">
        <f t="shared" si="549"/>
        <v>not an outlier</v>
      </c>
      <c r="H2080" s="8" t="str">
        <f t="shared" si="550"/>
        <v>Not</v>
      </c>
      <c r="I2080" s="8" t="str">
        <f t="shared" si="560"/>
        <v>no</v>
      </c>
      <c r="J2080" s="10" t="str">
        <f t="shared" si="551"/>
        <v>no</v>
      </c>
      <c r="K2080" s="10" t="str">
        <f t="shared" si="552"/>
        <v>no</v>
      </c>
      <c r="L2080" t="s">
        <v>154</v>
      </c>
      <c r="M2080">
        <v>11056</v>
      </c>
      <c r="N2080">
        <v>7</v>
      </c>
      <c r="O2080" t="s">
        <v>715</v>
      </c>
      <c r="P2080" t="str">
        <f t="shared" si="553"/>
        <v>EASTC_11056_Uncle Bob's Organic Dried Pears</v>
      </c>
      <c r="Q2080" t="str">
        <f t="shared" si="554"/>
        <v>11056</v>
      </c>
      <c r="R2080" t="str">
        <f t="shared" si="555"/>
        <v>11056</v>
      </c>
      <c r="S2080" t="str">
        <f t="shared" si="556"/>
        <v>Uncle Bob's Organic Dried Pears</v>
      </c>
      <c r="T2080">
        <v>30</v>
      </c>
      <c r="U2080">
        <v>40</v>
      </c>
      <c r="V2080">
        <v>0</v>
      </c>
      <c r="W2080">
        <f t="shared" si="557"/>
        <v>1200</v>
      </c>
      <c r="X2080" t="str">
        <f t="shared" si="558"/>
        <v>yes</v>
      </c>
      <c r="Y2080" s="2">
        <v>35213</v>
      </c>
      <c r="Z2080" t="str">
        <f t="shared" si="544"/>
        <v/>
      </c>
      <c r="AA2080" t="str">
        <f t="shared" si="559"/>
        <v>2nd Q 1996</v>
      </c>
      <c r="AB2080" t="str" cm="1">
        <f t="array" ref="AB2080">_xlfn.IFS(Y2080&lt;DATE(1996,1,1),"",Y2080&lt;DATE(1996,4,1),"Q1",Y2080&lt;DATE(1996,7,1),"Q2",Y2080&gt;=DATE(1996,7,1),"")</f>
        <v>Q2</v>
      </c>
    </row>
    <row r="2081" spans="1:28" ht="14.4" x14ac:dyDescent="0.55000000000000004">
      <c r="A2081" t="str">
        <f>VLOOKUP(L2081,Customers!$A$2:$B$92,2,FALSE)</f>
        <v>Eastern Connection</v>
      </c>
      <c r="B2081" t="str">
        <f>VLOOKUP(L2081,Customers!$A$2:$C$92,3,TRUE)</f>
        <v>Ann Devon</v>
      </c>
      <c r="C2081" t="str">
        <f t="shared" si="545"/>
        <v>Ann</v>
      </c>
      <c r="D2081" s="8" t="str">
        <f t="shared" si="546"/>
        <v>Devon</v>
      </c>
      <c r="E2081" s="8" t="str">
        <f t="shared" si="547"/>
        <v>Devon, Ann</v>
      </c>
      <c r="F2081" s="8" t="str">
        <f t="shared" si="548"/>
        <v>Devon, Ann</v>
      </c>
      <c r="G2081" s="8" t="str">
        <f t="shared" si="549"/>
        <v>not an outlier</v>
      </c>
      <c r="H2081" s="8" t="str">
        <f t="shared" si="550"/>
        <v>Not</v>
      </c>
      <c r="I2081" s="8" t="str">
        <f t="shared" si="560"/>
        <v>no</v>
      </c>
      <c r="J2081" s="10" t="str">
        <f t="shared" si="551"/>
        <v>no</v>
      </c>
      <c r="K2081" s="10" t="str">
        <f t="shared" si="552"/>
        <v>no</v>
      </c>
      <c r="L2081" t="s">
        <v>154</v>
      </c>
      <c r="M2081">
        <v>11056</v>
      </c>
      <c r="N2081">
        <v>55</v>
      </c>
      <c r="O2081" t="s">
        <v>699</v>
      </c>
      <c r="P2081" t="str">
        <f t="shared" si="553"/>
        <v>EASTC_11056_Pâté chinois</v>
      </c>
      <c r="Q2081" t="str">
        <f t="shared" si="554"/>
        <v>11056</v>
      </c>
      <c r="R2081" t="str">
        <f t="shared" si="555"/>
        <v>11056</v>
      </c>
      <c r="S2081" t="str">
        <f t="shared" si="556"/>
        <v>Pâté chinois</v>
      </c>
      <c r="T2081">
        <v>24</v>
      </c>
      <c r="U2081">
        <v>35</v>
      </c>
      <c r="V2081">
        <v>0</v>
      </c>
      <c r="W2081">
        <f t="shared" si="557"/>
        <v>840</v>
      </c>
      <c r="X2081" t="str">
        <f t="shared" si="558"/>
        <v>yes</v>
      </c>
      <c r="Y2081" s="2">
        <v>35213</v>
      </c>
      <c r="Z2081" t="str">
        <f t="shared" si="544"/>
        <v/>
      </c>
      <c r="AA2081" t="str">
        <f t="shared" si="559"/>
        <v>2nd Q 1996</v>
      </c>
      <c r="AB2081" t="str" cm="1">
        <f t="array" ref="AB2081">_xlfn.IFS(Y2081&lt;DATE(1996,1,1),"",Y2081&lt;DATE(1996,4,1),"Q1",Y2081&lt;DATE(1996,7,1),"Q2",Y2081&gt;=DATE(1996,7,1),"")</f>
        <v>Q2</v>
      </c>
    </row>
    <row r="2082" spans="1:28" ht="14.4" x14ac:dyDescent="0.55000000000000004">
      <c r="A2082" t="str">
        <f>VLOOKUP(L2082,Customers!$A$2:$B$92,2,FALSE)</f>
        <v>Eastern Connection</v>
      </c>
      <c r="B2082" t="str">
        <f>VLOOKUP(L2082,Customers!$A$2:$C$92,3,TRUE)</f>
        <v>Ann Devon</v>
      </c>
      <c r="C2082" t="str">
        <f t="shared" si="545"/>
        <v>Ann</v>
      </c>
      <c r="D2082" s="8" t="str">
        <f t="shared" si="546"/>
        <v>Devon</v>
      </c>
      <c r="E2082" s="8" t="str">
        <f t="shared" si="547"/>
        <v>Devon, Ann</v>
      </c>
      <c r="F2082" s="8" t="str">
        <f t="shared" si="548"/>
        <v>Devon, Ann</v>
      </c>
      <c r="G2082" s="8" t="str">
        <f t="shared" si="549"/>
        <v>not an outlier</v>
      </c>
      <c r="H2082" s="8" t="str">
        <f t="shared" si="550"/>
        <v>Not</v>
      </c>
      <c r="I2082" s="8" t="str">
        <f t="shared" si="560"/>
        <v>no</v>
      </c>
      <c r="J2082" s="10" t="str">
        <f t="shared" si="551"/>
        <v>no</v>
      </c>
      <c r="K2082" s="10" t="str">
        <f t="shared" si="552"/>
        <v>no</v>
      </c>
      <c r="L2082" t="s">
        <v>154</v>
      </c>
      <c r="M2082">
        <v>11056</v>
      </c>
      <c r="N2082">
        <v>60</v>
      </c>
      <c r="O2082" t="s">
        <v>694</v>
      </c>
      <c r="P2082" t="str">
        <f t="shared" si="553"/>
        <v>EASTC_11056_Camembert Pierrot</v>
      </c>
      <c r="Q2082" t="str">
        <f t="shared" si="554"/>
        <v>11056</v>
      </c>
      <c r="R2082" t="str">
        <f t="shared" si="555"/>
        <v>11056</v>
      </c>
      <c r="S2082" t="str">
        <f t="shared" si="556"/>
        <v>Camembert Pierrot</v>
      </c>
      <c r="T2082">
        <v>34</v>
      </c>
      <c r="U2082">
        <v>50</v>
      </c>
      <c r="V2082">
        <v>0</v>
      </c>
      <c r="W2082">
        <f t="shared" si="557"/>
        <v>1700</v>
      </c>
      <c r="X2082" t="str">
        <f t="shared" si="558"/>
        <v>yes</v>
      </c>
      <c r="Y2082" s="2">
        <v>35213</v>
      </c>
      <c r="Z2082" t="str">
        <f t="shared" si="544"/>
        <v/>
      </c>
      <c r="AA2082" t="str">
        <f t="shared" si="559"/>
        <v>2nd Q 1996</v>
      </c>
      <c r="AB2082" t="str" cm="1">
        <f t="array" ref="AB2082">_xlfn.IFS(Y2082&lt;DATE(1996,1,1),"",Y2082&lt;DATE(1996,4,1),"Q1",Y2082&lt;DATE(1996,7,1),"Q2",Y2082&gt;=DATE(1996,7,1),"")</f>
        <v>Q2</v>
      </c>
    </row>
    <row r="2083" spans="1:28" ht="14.4" x14ac:dyDescent="0.55000000000000004">
      <c r="A2083" t="str">
        <f>VLOOKUP(L2083,Customers!$A$2:$B$92,2,FALSE)</f>
        <v>North/South</v>
      </c>
      <c r="B2083" t="str">
        <f>VLOOKUP(L2083,Customers!$A$2:$C$92,3,TRUE)</f>
        <v>Simon Crowther</v>
      </c>
      <c r="C2083" t="str">
        <f t="shared" si="545"/>
        <v>Simon</v>
      </c>
      <c r="D2083" s="8" t="str">
        <f t="shared" si="546"/>
        <v>Crowther</v>
      </c>
      <c r="E2083" s="8" t="str">
        <f t="shared" si="547"/>
        <v>Crowther, Simon</v>
      </c>
      <c r="F2083" s="8" t="str">
        <f t="shared" si="548"/>
        <v>Crowther, Simon</v>
      </c>
      <c r="G2083" s="8" t="str">
        <f t="shared" si="549"/>
        <v>not an outlier</v>
      </c>
      <c r="H2083" s="8" t="str">
        <f t="shared" si="550"/>
        <v>Not</v>
      </c>
      <c r="I2083" s="8" t="str">
        <f t="shared" si="560"/>
        <v>no</v>
      </c>
      <c r="J2083" s="10" t="str">
        <f t="shared" si="551"/>
        <v>no</v>
      </c>
      <c r="K2083" s="10" t="str">
        <f t="shared" si="552"/>
        <v>no</v>
      </c>
      <c r="L2083" t="s">
        <v>409</v>
      </c>
      <c r="M2083">
        <v>11057</v>
      </c>
      <c r="N2083">
        <v>70</v>
      </c>
      <c r="O2083" t="s">
        <v>713</v>
      </c>
      <c r="P2083" t="str">
        <f t="shared" si="553"/>
        <v>NORTS_11057_Outback Lager</v>
      </c>
      <c r="Q2083" t="str">
        <f t="shared" si="554"/>
        <v>11057</v>
      </c>
      <c r="R2083" t="str">
        <f t="shared" si="555"/>
        <v>11057</v>
      </c>
      <c r="S2083" t="str">
        <f t="shared" si="556"/>
        <v>Outback Lager</v>
      </c>
      <c r="T2083">
        <v>15</v>
      </c>
      <c r="U2083">
        <v>3</v>
      </c>
      <c r="V2083">
        <v>0</v>
      </c>
      <c r="W2083">
        <f t="shared" si="557"/>
        <v>45</v>
      </c>
      <c r="X2083" t="str">
        <f t="shared" si="558"/>
        <v>yes</v>
      </c>
      <c r="Y2083" s="2">
        <v>35214</v>
      </c>
      <c r="Z2083" t="str">
        <f t="shared" si="544"/>
        <v/>
      </c>
      <c r="AA2083" t="str">
        <f t="shared" si="559"/>
        <v>2nd Q 1996</v>
      </c>
      <c r="AB2083" t="str" cm="1">
        <f t="array" ref="AB2083">_xlfn.IFS(Y2083&lt;DATE(1996,1,1),"",Y2083&lt;DATE(1996,4,1),"Q1",Y2083&lt;DATE(1996,7,1),"Q2",Y2083&gt;=DATE(1996,7,1),"")</f>
        <v>Q2</v>
      </c>
    </row>
    <row r="2084" spans="1:28" ht="14.4" x14ac:dyDescent="0.55000000000000004">
      <c r="A2084" t="str">
        <f>VLOOKUP(L2084,Customers!$A$2:$B$92,2,FALSE)</f>
        <v>Blauer See Delikatessen</v>
      </c>
      <c r="B2084" t="str">
        <f>VLOOKUP(L2084,Customers!$A$2:$C$92,3,TRUE)</f>
        <v>Hanna Moos</v>
      </c>
      <c r="C2084" t="str">
        <f t="shared" si="545"/>
        <v>Hanna</v>
      </c>
      <c r="D2084" s="8" t="str">
        <f t="shared" si="546"/>
        <v>Moos</v>
      </c>
      <c r="E2084" s="8" t="str">
        <f t="shared" si="547"/>
        <v>Moos, Hanna</v>
      </c>
      <c r="F2084" s="8" t="str">
        <f t="shared" si="548"/>
        <v>Moos, Hanna</v>
      </c>
      <c r="G2084" s="8" t="str">
        <f t="shared" si="549"/>
        <v>not an outlier</v>
      </c>
      <c r="H2084" s="8" t="str">
        <f t="shared" si="550"/>
        <v>Not</v>
      </c>
      <c r="I2084" s="8" t="str">
        <f t="shared" si="560"/>
        <v>no</v>
      </c>
      <c r="J2084" s="10" t="str">
        <f t="shared" si="551"/>
        <v>no</v>
      </c>
      <c r="K2084" s="10" t="str">
        <f t="shared" si="552"/>
        <v>no</v>
      </c>
      <c r="L2084" t="s">
        <v>53</v>
      </c>
      <c r="M2084">
        <v>11058</v>
      </c>
      <c r="N2084">
        <v>21</v>
      </c>
      <c r="O2084" t="s">
        <v>710</v>
      </c>
      <c r="P2084" t="str">
        <f t="shared" si="553"/>
        <v>BLAUS_11058_Sir Rodney's Scones</v>
      </c>
      <c r="Q2084" t="str">
        <f t="shared" si="554"/>
        <v>11058</v>
      </c>
      <c r="R2084" t="str">
        <f t="shared" si="555"/>
        <v>11058</v>
      </c>
      <c r="S2084" t="str">
        <f t="shared" si="556"/>
        <v>Sir Rodney's Scones</v>
      </c>
      <c r="T2084">
        <v>10</v>
      </c>
      <c r="U2084">
        <v>3</v>
      </c>
      <c r="V2084">
        <v>0</v>
      </c>
      <c r="W2084">
        <f t="shared" si="557"/>
        <v>30</v>
      </c>
      <c r="X2084" t="str">
        <f t="shared" si="558"/>
        <v>yes</v>
      </c>
      <c r="Y2084" s="2">
        <v>35214</v>
      </c>
      <c r="Z2084" t="str">
        <f t="shared" si="544"/>
        <v/>
      </c>
      <c r="AA2084" t="str">
        <f t="shared" si="559"/>
        <v>2nd Q 1996</v>
      </c>
      <c r="AB2084" t="str" cm="1">
        <f t="array" ref="AB2084">_xlfn.IFS(Y2084&lt;DATE(1996,1,1),"",Y2084&lt;DATE(1996,4,1),"Q1",Y2084&lt;DATE(1996,7,1),"Q2",Y2084&gt;=DATE(1996,7,1),"")</f>
        <v>Q2</v>
      </c>
    </row>
    <row r="2085" spans="1:28" ht="14.4" x14ac:dyDescent="0.55000000000000004">
      <c r="A2085" t="str">
        <f>VLOOKUP(L2085,Customers!$A$2:$B$92,2,FALSE)</f>
        <v>Blauer See Delikatessen</v>
      </c>
      <c r="B2085" t="str">
        <f>VLOOKUP(L2085,Customers!$A$2:$C$92,3,TRUE)</f>
        <v>Hanna Moos</v>
      </c>
      <c r="C2085" t="str">
        <f t="shared" si="545"/>
        <v>Hanna</v>
      </c>
      <c r="D2085" s="8" t="str">
        <f t="shared" si="546"/>
        <v>Moos</v>
      </c>
      <c r="E2085" s="8" t="str">
        <f t="shared" si="547"/>
        <v>Moos, Hanna</v>
      </c>
      <c r="F2085" s="8" t="str">
        <f t="shared" si="548"/>
        <v>Moos, Hanna</v>
      </c>
      <c r="G2085" s="8" t="str">
        <f t="shared" si="549"/>
        <v>not an outlier</v>
      </c>
      <c r="H2085" s="8" t="str">
        <f t="shared" si="550"/>
        <v>Not</v>
      </c>
      <c r="I2085" s="8" t="str">
        <f t="shared" si="560"/>
        <v>no</v>
      </c>
      <c r="J2085" s="10" t="str">
        <f t="shared" si="551"/>
        <v>no</v>
      </c>
      <c r="K2085" s="10" t="str">
        <f t="shared" si="552"/>
        <v>no</v>
      </c>
      <c r="L2085" t="s">
        <v>53</v>
      </c>
      <c r="M2085">
        <v>11058</v>
      </c>
      <c r="N2085">
        <v>60</v>
      </c>
      <c r="O2085" t="s">
        <v>694</v>
      </c>
      <c r="P2085" t="str">
        <f t="shared" si="553"/>
        <v>BLAUS_11058_Camembert Pierrot</v>
      </c>
      <c r="Q2085" t="str">
        <f t="shared" si="554"/>
        <v>11058</v>
      </c>
      <c r="R2085" t="str">
        <f t="shared" si="555"/>
        <v>11058</v>
      </c>
      <c r="S2085" t="str">
        <f t="shared" si="556"/>
        <v>Camembert Pierrot</v>
      </c>
      <c r="T2085">
        <v>34</v>
      </c>
      <c r="U2085">
        <v>21</v>
      </c>
      <c r="V2085">
        <v>0</v>
      </c>
      <c r="W2085">
        <f t="shared" si="557"/>
        <v>714</v>
      </c>
      <c r="X2085" t="str">
        <f t="shared" si="558"/>
        <v>yes</v>
      </c>
      <c r="Y2085" s="2">
        <v>35214</v>
      </c>
      <c r="Z2085" t="str">
        <f t="shared" si="544"/>
        <v/>
      </c>
      <c r="AA2085" t="str">
        <f t="shared" si="559"/>
        <v>2nd Q 1996</v>
      </c>
      <c r="AB2085" t="str" cm="1">
        <f t="array" ref="AB2085">_xlfn.IFS(Y2085&lt;DATE(1996,1,1),"",Y2085&lt;DATE(1996,4,1),"Q1",Y2085&lt;DATE(1996,7,1),"Q2",Y2085&gt;=DATE(1996,7,1),"")</f>
        <v>Q2</v>
      </c>
    </row>
    <row r="2086" spans="1:28" ht="14.4" x14ac:dyDescent="0.55000000000000004">
      <c r="A2086" t="str">
        <f>VLOOKUP(L2086,Customers!$A$2:$B$92,2,FALSE)</f>
        <v>Blauer See Delikatessen</v>
      </c>
      <c r="B2086" t="str">
        <f>VLOOKUP(L2086,Customers!$A$2:$C$92,3,TRUE)</f>
        <v>Hanna Moos</v>
      </c>
      <c r="C2086" t="str">
        <f t="shared" si="545"/>
        <v>Hanna</v>
      </c>
      <c r="D2086" s="8" t="str">
        <f t="shared" si="546"/>
        <v>Moos</v>
      </c>
      <c r="E2086" s="8" t="str">
        <f t="shared" si="547"/>
        <v>Moos, Hanna</v>
      </c>
      <c r="F2086" s="8" t="str">
        <f t="shared" si="548"/>
        <v>Moos, Hanna</v>
      </c>
      <c r="G2086" s="8" t="str">
        <f t="shared" si="549"/>
        <v>not an outlier</v>
      </c>
      <c r="H2086" s="8" t="str">
        <f t="shared" si="550"/>
        <v>Not</v>
      </c>
      <c r="I2086" s="8" t="str">
        <f t="shared" si="560"/>
        <v>no</v>
      </c>
      <c r="J2086" s="10" t="str">
        <f t="shared" si="551"/>
        <v>no</v>
      </c>
      <c r="K2086" s="10" t="str">
        <f t="shared" si="552"/>
        <v>no</v>
      </c>
      <c r="L2086" t="s">
        <v>53</v>
      </c>
      <c r="M2086">
        <v>11058</v>
      </c>
      <c r="N2086">
        <v>61</v>
      </c>
      <c r="O2086" t="s">
        <v>758</v>
      </c>
      <c r="P2086" t="str">
        <f t="shared" si="553"/>
        <v>BLAUS_11058_Sirop d'érable</v>
      </c>
      <c r="Q2086" t="str">
        <f t="shared" si="554"/>
        <v>11058</v>
      </c>
      <c r="R2086" t="str">
        <f t="shared" si="555"/>
        <v>11058</v>
      </c>
      <c r="S2086" t="str">
        <f t="shared" si="556"/>
        <v>Sirop d'érable</v>
      </c>
      <c r="T2086">
        <v>28.5</v>
      </c>
      <c r="U2086">
        <v>4</v>
      </c>
      <c r="V2086">
        <v>0</v>
      </c>
      <c r="W2086">
        <f t="shared" si="557"/>
        <v>114</v>
      </c>
      <c r="X2086" t="str">
        <f t="shared" si="558"/>
        <v>yes</v>
      </c>
      <c r="Y2086" s="2">
        <v>35214</v>
      </c>
      <c r="Z2086" t="str">
        <f t="shared" si="544"/>
        <v/>
      </c>
      <c r="AA2086" t="str">
        <f t="shared" si="559"/>
        <v>2nd Q 1996</v>
      </c>
      <c r="AB2086" t="str" cm="1">
        <f t="array" ref="AB2086">_xlfn.IFS(Y2086&lt;DATE(1996,1,1),"",Y2086&lt;DATE(1996,4,1),"Q1",Y2086&lt;DATE(1996,7,1),"Q2",Y2086&gt;=DATE(1996,7,1),"")</f>
        <v>Q2</v>
      </c>
    </row>
    <row r="2087" spans="1:28" ht="14.4" x14ac:dyDescent="0.55000000000000004">
      <c r="A2087" t="str">
        <f>VLOOKUP(L2087,Customers!$A$2:$B$92,2,FALSE)</f>
        <v>Ricardo Adocicados</v>
      </c>
      <c r="B2087" t="str">
        <f>VLOOKUP(L2087,Customers!$A$2:$C$92,3,TRUE)</f>
        <v>Janete Limeira</v>
      </c>
      <c r="C2087" t="str">
        <f t="shared" si="545"/>
        <v>Janete</v>
      </c>
      <c r="D2087" s="8" t="str">
        <f t="shared" si="546"/>
        <v>Limeira</v>
      </c>
      <c r="E2087" s="8" t="str">
        <f t="shared" si="547"/>
        <v>Limeira, Janete</v>
      </c>
      <c r="F2087" s="8" t="str">
        <f t="shared" si="548"/>
        <v>Limeira, Janete</v>
      </c>
      <c r="G2087" s="8" t="str">
        <f t="shared" si="549"/>
        <v>not an outlier</v>
      </c>
      <c r="H2087" s="8" t="str">
        <f t="shared" si="550"/>
        <v>Not</v>
      </c>
      <c r="I2087" s="8" t="str">
        <f t="shared" si="560"/>
        <v>no</v>
      </c>
      <c r="J2087" s="10" t="str">
        <f t="shared" si="551"/>
        <v>no</v>
      </c>
      <c r="K2087" s="10" t="str">
        <f t="shared" si="552"/>
        <v>no</v>
      </c>
      <c r="L2087" t="s">
        <v>503</v>
      </c>
      <c r="M2087">
        <v>11059</v>
      </c>
      <c r="N2087">
        <v>13</v>
      </c>
      <c r="O2087" t="s">
        <v>726</v>
      </c>
      <c r="P2087" t="str">
        <f t="shared" si="553"/>
        <v>RICAR_11059_Konbu</v>
      </c>
      <c r="Q2087" t="str">
        <f t="shared" si="554"/>
        <v>11059</v>
      </c>
      <c r="R2087" t="str">
        <f t="shared" si="555"/>
        <v>11059</v>
      </c>
      <c r="S2087" t="str">
        <f t="shared" si="556"/>
        <v>Konbu</v>
      </c>
      <c r="T2087">
        <v>6</v>
      </c>
      <c r="U2087">
        <v>30</v>
      </c>
      <c r="V2087">
        <v>0</v>
      </c>
      <c r="W2087">
        <f t="shared" si="557"/>
        <v>180</v>
      </c>
      <c r="X2087" t="str">
        <f t="shared" si="558"/>
        <v>yes</v>
      </c>
      <c r="Y2087" s="2">
        <v>35214</v>
      </c>
      <c r="Z2087" t="str">
        <f t="shared" si="544"/>
        <v/>
      </c>
      <c r="AA2087" t="str">
        <f t="shared" si="559"/>
        <v>2nd Q 1996</v>
      </c>
      <c r="AB2087" t="str" cm="1">
        <f t="array" ref="AB2087">_xlfn.IFS(Y2087&lt;DATE(1996,1,1),"",Y2087&lt;DATE(1996,4,1),"Q1",Y2087&lt;DATE(1996,7,1),"Q2",Y2087&gt;=DATE(1996,7,1),"")</f>
        <v>Q2</v>
      </c>
    </row>
    <row r="2088" spans="1:28" ht="14.4" x14ac:dyDescent="0.55000000000000004">
      <c r="A2088" t="str">
        <f>VLOOKUP(L2088,Customers!$A$2:$B$92,2,FALSE)</f>
        <v>Ricardo Adocicados</v>
      </c>
      <c r="B2088" t="str">
        <f>VLOOKUP(L2088,Customers!$A$2:$C$92,3,TRUE)</f>
        <v>Janete Limeira</v>
      </c>
      <c r="C2088" t="str">
        <f t="shared" si="545"/>
        <v>Janete</v>
      </c>
      <c r="D2088" s="8" t="str">
        <f t="shared" si="546"/>
        <v>Limeira</v>
      </c>
      <c r="E2088" s="8" t="str">
        <f t="shared" si="547"/>
        <v>Limeira, Janete</v>
      </c>
      <c r="F2088" s="8" t="str">
        <f t="shared" si="548"/>
        <v>Limeira, Janete</v>
      </c>
      <c r="G2088" s="8" t="str">
        <f t="shared" si="549"/>
        <v>not an outlier</v>
      </c>
      <c r="H2088" s="8" t="str">
        <f t="shared" si="550"/>
        <v>Not</v>
      </c>
      <c r="I2088" s="8" t="str">
        <f t="shared" si="560"/>
        <v>no</v>
      </c>
      <c r="J2088" s="10" t="str">
        <f t="shared" si="551"/>
        <v>no</v>
      </c>
      <c r="K2088" s="10" t="str">
        <f t="shared" si="552"/>
        <v>no</v>
      </c>
      <c r="L2088" t="s">
        <v>503</v>
      </c>
      <c r="M2088">
        <v>11059</v>
      </c>
      <c r="N2088">
        <v>17</v>
      </c>
      <c r="O2088" t="s">
        <v>718</v>
      </c>
      <c r="P2088" t="str">
        <f t="shared" si="553"/>
        <v>RICAR_11059_Alice Mutton</v>
      </c>
      <c r="Q2088" t="str">
        <f t="shared" si="554"/>
        <v>11059</v>
      </c>
      <c r="R2088" t="str">
        <f t="shared" si="555"/>
        <v>11059</v>
      </c>
      <c r="S2088" t="str">
        <f t="shared" si="556"/>
        <v>Alice Mutton</v>
      </c>
      <c r="T2088">
        <v>39</v>
      </c>
      <c r="U2088">
        <v>12</v>
      </c>
      <c r="V2088">
        <v>0</v>
      </c>
      <c r="W2088">
        <f t="shared" si="557"/>
        <v>468</v>
      </c>
      <c r="X2088" t="str">
        <f t="shared" si="558"/>
        <v>yes</v>
      </c>
      <c r="Y2088" s="2">
        <v>35214</v>
      </c>
      <c r="Z2088" t="str">
        <f t="shared" si="544"/>
        <v/>
      </c>
      <c r="AA2088" t="str">
        <f t="shared" si="559"/>
        <v>2nd Q 1996</v>
      </c>
      <c r="AB2088" t="str" cm="1">
        <f t="array" ref="AB2088">_xlfn.IFS(Y2088&lt;DATE(1996,1,1),"",Y2088&lt;DATE(1996,4,1),"Q1",Y2088&lt;DATE(1996,7,1),"Q2",Y2088&gt;=DATE(1996,7,1),"")</f>
        <v>Q2</v>
      </c>
    </row>
    <row r="2089" spans="1:28" ht="14.4" x14ac:dyDescent="0.55000000000000004">
      <c r="A2089" t="str">
        <f>VLOOKUP(L2089,Customers!$A$2:$B$92,2,FALSE)</f>
        <v>Ricardo Adocicados</v>
      </c>
      <c r="B2089" t="str">
        <f>VLOOKUP(L2089,Customers!$A$2:$C$92,3,TRUE)</f>
        <v>Janete Limeira</v>
      </c>
      <c r="C2089" t="str">
        <f t="shared" si="545"/>
        <v>Janete</v>
      </c>
      <c r="D2089" s="8" t="str">
        <f t="shared" si="546"/>
        <v>Limeira</v>
      </c>
      <c r="E2089" s="8" t="str">
        <f t="shared" si="547"/>
        <v>Limeira, Janete</v>
      </c>
      <c r="F2089" s="8" t="str">
        <f t="shared" si="548"/>
        <v>Limeira, Janete</v>
      </c>
      <c r="G2089" s="8" t="str">
        <f t="shared" si="549"/>
        <v>not an outlier</v>
      </c>
      <c r="H2089" s="8" t="str">
        <f t="shared" si="550"/>
        <v>Not</v>
      </c>
      <c r="I2089" s="8" t="str">
        <f t="shared" si="560"/>
        <v>no</v>
      </c>
      <c r="J2089" s="10" t="str">
        <f t="shared" si="551"/>
        <v>no</v>
      </c>
      <c r="K2089" s="10" t="str">
        <f t="shared" si="552"/>
        <v>no</v>
      </c>
      <c r="L2089" t="s">
        <v>503</v>
      </c>
      <c r="M2089">
        <v>11059</v>
      </c>
      <c r="N2089">
        <v>60</v>
      </c>
      <c r="O2089" t="s">
        <v>694</v>
      </c>
      <c r="P2089" t="str">
        <f t="shared" si="553"/>
        <v>RICAR_11059_Camembert Pierrot</v>
      </c>
      <c r="Q2089" t="str">
        <f t="shared" si="554"/>
        <v>11059</v>
      </c>
      <c r="R2089" t="str">
        <f t="shared" si="555"/>
        <v>11059</v>
      </c>
      <c r="S2089" t="str">
        <f t="shared" si="556"/>
        <v>Camembert Pierrot</v>
      </c>
      <c r="T2089">
        <v>34</v>
      </c>
      <c r="U2089">
        <v>35</v>
      </c>
      <c r="V2089">
        <v>0</v>
      </c>
      <c r="W2089">
        <f t="shared" si="557"/>
        <v>1190</v>
      </c>
      <c r="X2089" t="str">
        <f t="shared" si="558"/>
        <v>yes</v>
      </c>
      <c r="Y2089" s="2">
        <v>35214</v>
      </c>
      <c r="Z2089" t="str">
        <f t="shared" si="544"/>
        <v/>
      </c>
      <c r="AA2089" t="str">
        <f t="shared" si="559"/>
        <v>2nd Q 1996</v>
      </c>
      <c r="AB2089" t="str" cm="1">
        <f t="array" ref="AB2089">_xlfn.IFS(Y2089&lt;DATE(1996,1,1),"",Y2089&lt;DATE(1996,4,1),"Q1",Y2089&lt;DATE(1996,7,1),"Q2",Y2089&gt;=DATE(1996,7,1),"")</f>
        <v>Q2</v>
      </c>
    </row>
    <row r="2090" spans="1:28" ht="14.4" x14ac:dyDescent="0.55000000000000004">
      <c r="A2090" t="str">
        <f>VLOOKUP(L2090,Customers!$A$2:$B$92,2,FALSE)</f>
        <v>Franchi S.p.A.</v>
      </c>
      <c r="B2090" t="str">
        <f>VLOOKUP(L2090,Customers!$A$2:$C$92,3,TRUE)</f>
        <v>Paolo Accorti</v>
      </c>
      <c r="C2090" t="str">
        <f t="shared" si="545"/>
        <v>Paolo</v>
      </c>
      <c r="D2090" s="8" t="str">
        <f t="shared" si="546"/>
        <v>Accorti</v>
      </c>
      <c r="E2090" s="8" t="str">
        <f t="shared" si="547"/>
        <v>Accorti, Paolo</v>
      </c>
      <c r="F2090" s="8" t="str">
        <f t="shared" si="548"/>
        <v>Accorti, Paolo</v>
      </c>
      <c r="G2090" s="8" t="str">
        <f t="shared" si="549"/>
        <v>not an outlier</v>
      </c>
      <c r="H2090" s="8" t="str">
        <f t="shared" si="550"/>
        <v>Not</v>
      </c>
      <c r="I2090" s="8" t="str">
        <f t="shared" si="560"/>
        <v>no</v>
      </c>
      <c r="J2090" s="10" t="str">
        <f t="shared" si="551"/>
        <v>no</v>
      </c>
      <c r="K2090" s="10" t="str">
        <f t="shared" si="552"/>
        <v>no</v>
      </c>
      <c r="L2090" t="s">
        <v>211</v>
      </c>
      <c r="M2090">
        <v>11060</v>
      </c>
      <c r="N2090">
        <v>60</v>
      </c>
      <c r="O2090" t="s">
        <v>694</v>
      </c>
      <c r="P2090" t="str">
        <f t="shared" si="553"/>
        <v>FRANS_11060_Camembert Pierrot</v>
      </c>
      <c r="Q2090" t="str">
        <f t="shared" si="554"/>
        <v>11060</v>
      </c>
      <c r="R2090" t="str">
        <f t="shared" si="555"/>
        <v>11060</v>
      </c>
      <c r="S2090" t="str">
        <f t="shared" si="556"/>
        <v>Camembert Pierrot</v>
      </c>
      <c r="T2090">
        <v>34</v>
      </c>
      <c r="U2090">
        <v>4</v>
      </c>
      <c r="V2090">
        <v>0</v>
      </c>
      <c r="W2090">
        <f t="shared" si="557"/>
        <v>136</v>
      </c>
      <c r="X2090" t="str">
        <f t="shared" si="558"/>
        <v>yes</v>
      </c>
      <c r="Y2090" s="2">
        <v>35215</v>
      </c>
      <c r="Z2090" t="str">
        <f t="shared" si="544"/>
        <v/>
      </c>
      <c r="AA2090" t="str">
        <f t="shared" si="559"/>
        <v>2nd Q 1996</v>
      </c>
      <c r="AB2090" t="str" cm="1">
        <f t="array" ref="AB2090">_xlfn.IFS(Y2090&lt;DATE(1996,1,1),"",Y2090&lt;DATE(1996,4,1),"Q1",Y2090&lt;DATE(1996,7,1),"Q2",Y2090&gt;=DATE(1996,7,1),"")</f>
        <v>Q2</v>
      </c>
    </row>
    <row r="2091" spans="1:28" ht="14.4" x14ac:dyDescent="0.55000000000000004">
      <c r="A2091" t="str">
        <f>VLOOKUP(L2091,Customers!$A$2:$B$92,2,FALSE)</f>
        <v>Franchi S.p.A.</v>
      </c>
      <c r="B2091" t="str">
        <f>VLOOKUP(L2091,Customers!$A$2:$C$92,3,TRUE)</f>
        <v>Paolo Accorti</v>
      </c>
      <c r="C2091" t="str">
        <f t="shared" si="545"/>
        <v>Paolo</v>
      </c>
      <c r="D2091" s="8" t="str">
        <f t="shared" si="546"/>
        <v>Accorti</v>
      </c>
      <c r="E2091" s="8" t="str">
        <f t="shared" si="547"/>
        <v>Accorti, Paolo</v>
      </c>
      <c r="F2091" s="8" t="str">
        <f t="shared" si="548"/>
        <v>Accorti, Paolo</v>
      </c>
      <c r="G2091" s="8" t="str">
        <f t="shared" si="549"/>
        <v>not an outlier</v>
      </c>
      <c r="H2091" s="8" t="str">
        <f t="shared" si="550"/>
        <v>Not</v>
      </c>
      <c r="I2091" s="8" t="str">
        <f t="shared" si="560"/>
        <v>no</v>
      </c>
      <c r="J2091" s="10" t="str">
        <f t="shared" si="551"/>
        <v>no</v>
      </c>
      <c r="K2091" s="10" t="str">
        <f t="shared" si="552"/>
        <v>no</v>
      </c>
      <c r="L2091" t="s">
        <v>211</v>
      </c>
      <c r="M2091">
        <v>11060</v>
      </c>
      <c r="N2091">
        <v>77</v>
      </c>
      <c r="O2091" t="s">
        <v>706</v>
      </c>
      <c r="P2091" t="str">
        <f t="shared" si="553"/>
        <v>FRANS_11060_Original Frankfurter grüne Soße</v>
      </c>
      <c r="Q2091" t="str">
        <f t="shared" si="554"/>
        <v>11060</v>
      </c>
      <c r="R2091" t="str">
        <f t="shared" si="555"/>
        <v>11060</v>
      </c>
      <c r="S2091" t="str">
        <f t="shared" si="556"/>
        <v>Original Frankfurter grüne Soße</v>
      </c>
      <c r="T2091">
        <v>13</v>
      </c>
      <c r="U2091">
        <v>10</v>
      </c>
      <c r="V2091">
        <v>0</v>
      </c>
      <c r="W2091">
        <f t="shared" si="557"/>
        <v>130</v>
      </c>
      <c r="X2091" t="str">
        <f t="shared" si="558"/>
        <v>yes</v>
      </c>
      <c r="Y2091" s="2">
        <v>35215</v>
      </c>
      <c r="Z2091" t="str">
        <f t="shared" si="544"/>
        <v/>
      </c>
      <c r="AA2091" t="str">
        <f t="shared" si="559"/>
        <v>2nd Q 1996</v>
      </c>
      <c r="AB2091" t="str" cm="1">
        <f t="array" ref="AB2091">_xlfn.IFS(Y2091&lt;DATE(1996,1,1),"",Y2091&lt;DATE(1996,4,1),"Q1",Y2091&lt;DATE(1996,7,1),"Q2",Y2091&gt;=DATE(1996,7,1),"")</f>
        <v>Q2</v>
      </c>
    </row>
    <row r="2092" spans="1:28" ht="14.4" x14ac:dyDescent="0.55000000000000004">
      <c r="A2092" t="str">
        <f>VLOOKUP(L2092,Customers!$A$2:$B$92,2,FALSE)</f>
        <v>Great Lakes Food Market</v>
      </c>
      <c r="B2092" t="str">
        <f>VLOOKUP(L2092,Customers!$A$2:$C$92,3,TRUE)</f>
        <v>Howard Snyder</v>
      </c>
      <c r="C2092" t="str">
        <f t="shared" si="545"/>
        <v>Howard</v>
      </c>
      <c r="D2092" s="8" t="str">
        <f t="shared" si="546"/>
        <v>Snyder</v>
      </c>
      <c r="E2092" s="8" t="str">
        <f t="shared" si="547"/>
        <v>Snyder, Howard</v>
      </c>
      <c r="F2092" s="8" t="str">
        <f t="shared" si="548"/>
        <v>Snyder, Howard</v>
      </c>
      <c r="G2092" s="8" t="str">
        <f t="shared" si="549"/>
        <v>not an outlier</v>
      </c>
      <c r="H2092" s="8" t="str">
        <f t="shared" si="550"/>
        <v>Not</v>
      </c>
      <c r="I2092" s="8" t="str">
        <f t="shared" si="560"/>
        <v>no</v>
      </c>
      <c r="J2092" s="10" t="str">
        <f t="shared" si="551"/>
        <v>no</v>
      </c>
      <c r="K2092" s="10" t="str">
        <f t="shared" si="552"/>
        <v>no</v>
      </c>
      <c r="L2092" t="s">
        <v>247</v>
      </c>
      <c r="M2092">
        <v>11061</v>
      </c>
      <c r="N2092">
        <v>60</v>
      </c>
      <c r="O2092" t="s">
        <v>694</v>
      </c>
      <c r="P2092" t="str">
        <f t="shared" si="553"/>
        <v>GREAL_11061_Camembert Pierrot</v>
      </c>
      <c r="Q2092" t="str">
        <f t="shared" si="554"/>
        <v>11061</v>
      </c>
      <c r="R2092" t="str">
        <f t="shared" si="555"/>
        <v>11061</v>
      </c>
      <c r="S2092" t="str">
        <f t="shared" si="556"/>
        <v>Camembert Pierrot</v>
      </c>
      <c r="T2092">
        <v>34</v>
      </c>
      <c r="U2092">
        <v>15</v>
      </c>
      <c r="V2092">
        <v>0</v>
      </c>
      <c r="W2092">
        <f t="shared" si="557"/>
        <v>510</v>
      </c>
      <c r="X2092" t="str">
        <f t="shared" si="558"/>
        <v>yes</v>
      </c>
      <c r="Y2092" s="2">
        <v>35215</v>
      </c>
      <c r="Z2092" t="str">
        <f t="shared" si="544"/>
        <v/>
      </c>
      <c r="AA2092" t="str">
        <f t="shared" si="559"/>
        <v>2nd Q 1996</v>
      </c>
      <c r="AB2092" t="str" cm="1">
        <f t="array" ref="AB2092">_xlfn.IFS(Y2092&lt;DATE(1996,1,1),"",Y2092&lt;DATE(1996,4,1),"Q1",Y2092&lt;DATE(1996,7,1),"Q2",Y2092&gt;=DATE(1996,7,1),"")</f>
        <v>Q2</v>
      </c>
    </row>
    <row r="2093" spans="1:28" ht="14.4" x14ac:dyDescent="0.55000000000000004">
      <c r="A2093" t="str">
        <f>VLOOKUP(L2093,Customers!$A$2:$B$92,2,FALSE)</f>
        <v>Reggiani Caseifici</v>
      </c>
      <c r="B2093" t="str">
        <f>VLOOKUP(L2093,Customers!$A$2:$C$92,3,TRUE)</f>
        <v>Maurizio Moroni</v>
      </c>
      <c r="C2093" t="str">
        <f t="shared" si="545"/>
        <v>Maurizio</v>
      </c>
      <c r="D2093" s="8" t="str">
        <f t="shared" si="546"/>
        <v>Moroni</v>
      </c>
      <c r="E2093" s="8" t="str">
        <f t="shared" si="547"/>
        <v>Moroni, Maurizio</v>
      </c>
      <c r="F2093" s="8" t="str">
        <f t="shared" si="548"/>
        <v>Moroni, Maurizio</v>
      </c>
      <c r="G2093" s="8" t="str">
        <f t="shared" si="549"/>
        <v>not an outlier</v>
      </c>
      <c r="H2093" s="8" t="str">
        <f t="shared" si="550"/>
        <v>Not</v>
      </c>
      <c r="I2093" s="8" t="str">
        <f t="shared" si="560"/>
        <v>no</v>
      </c>
      <c r="J2093" s="10" t="str">
        <f t="shared" si="551"/>
        <v>no</v>
      </c>
      <c r="K2093" s="10" t="str">
        <f t="shared" si="552"/>
        <v>no</v>
      </c>
      <c r="L2093" t="s">
        <v>496</v>
      </c>
      <c r="M2093">
        <v>11062</v>
      </c>
      <c r="N2093">
        <v>53</v>
      </c>
      <c r="O2093" t="s">
        <v>705</v>
      </c>
      <c r="P2093" t="str">
        <f t="shared" si="553"/>
        <v>REGGC_11062_Perth Pasties</v>
      </c>
      <c r="Q2093" t="str">
        <f t="shared" si="554"/>
        <v>11062</v>
      </c>
      <c r="R2093" t="str">
        <f t="shared" si="555"/>
        <v>11062</v>
      </c>
      <c r="S2093" t="str">
        <f t="shared" si="556"/>
        <v>Perth Pasties</v>
      </c>
      <c r="T2093">
        <v>32.799999999999997</v>
      </c>
      <c r="U2093">
        <v>10</v>
      </c>
      <c r="V2093">
        <v>0.2</v>
      </c>
      <c r="W2093">
        <f t="shared" si="557"/>
        <v>262.40000000000003</v>
      </c>
      <c r="X2093" t="str">
        <f t="shared" si="558"/>
        <v>yes</v>
      </c>
      <c r="Y2093" s="2">
        <v>35215</v>
      </c>
      <c r="Z2093" t="str">
        <f t="shared" si="544"/>
        <v/>
      </c>
      <c r="AA2093" t="str">
        <f t="shared" si="559"/>
        <v>2nd Q 1996</v>
      </c>
      <c r="AB2093" t="str" cm="1">
        <f t="array" ref="AB2093">_xlfn.IFS(Y2093&lt;DATE(1996,1,1),"",Y2093&lt;DATE(1996,4,1),"Q1",Y2093&lt;DATE(1996,7,1),"Q2",Y2093&gt;=DATE(1996,7,1),"")</f>
        <v>Q2</v>
      </c>
    </row>
    <row r="2094" spans="1:28" ht="14.4" x14ac:dyDescent="0.55000000000000004">
      <c r="A2094" t="str">
        <f>VLOOKUP(L2094,Customers!$A$2:$B$92,2,FALSE)</f>
        <v>Reggiani Caseifici</v>
      </c>
      <c r="B2094" t="str">
        <f>VLOOKUP(L2094,Customers!$A$2:$C$92,3,TRUE)</f>
        <v>Maurizio Moroni</v>
      </c>
      <c r="C2094" t="str">
        <f t="shared" si="545"/>
        <v>Maurizio</v>
      </c>
      <c r="D2094" s="8" t="str">
        <f t="shared" si="546"/>
        <v>Moroni</v>
      </c>
      <c r="E2094" s="8" t="str">
        <f t="shared" si="547"/>
        <v>Moroni, Maurizio</v>
      </c>
      <c r="F2094" s="8" t="str">
        <f t="shared" si="548"/>
        <v>Moroni, Maurizio</v>
      </c>
      <c r="G2094" s="8" t="str">
        <f t="shared" si="549"/>
        <v>not an outlier</v>
      </c>
      <c r="H2094" s="8" t="str">
        <f t="shared" si="550"/>
        <v>Not</v>
      </c>
      <c r="I2094" s="8" t="str">
        <f t="shared" si="560"/>
        <v>no</v>
      </c>
      <c r="J2094" s="10" t="str">
        <f t="shared" si="551"/>
        <v>no</v>
      </c>
      <c r="K2094" s="10" t="str">
        <f t="shared" si="552"/>
        <v>no</v>
      </c>
      <c r="L2094" t="s">
        <v>496</v>
      </c>
      <c r="M2094">
        <v>11062</v>
      </c>
      <c r="N2094">
        <v>70</v>
      </c>
      <c r="O2094" t="s">
        <v>713</v>
      </c>
      <c r="P2094" t="str">
        <f t="shared" si="553"/>
        <v>REGGC_11062_Outback Lager</v>
      </c>
      <c r="Q2094" t="str">
        <f t="shared" si="554"/>
        <v>11062</v>
      </c>
      <c r="R2094" t="str">
        <f t="shared" si="555"/>
        <v>11062</v>
      </c>
      <c r="S2094" t="str">
        <f t="shared" si="556"/>
        <v>Outback Lager</v>
      </c>
      <c r="T2094">
        <v>15</v>
      </c>
      <c r="U2094">
        <v>12</v>
      </c>
      <c r="V2094">
        <v>0.2</v>
      </c>
      <c r="W2094">
        <f t="shared" si="557"/>
        <v>144</v>
      </c>
      <c r="X2094" t="str">
        <f t="shared" si="558"/>
        <v>yes</v>
      </c>
      <c r="Y2094" s="2">
        <v>35215</v>
      </c>
      <c r="Z2094" t="str">
        <f t="shared" si="544"/>
        <v/>
      </c>
      <c r="AA2094" t="str">
        <f t="shared" si="559"/>
        <v>2nd Q 1996</v>
      </c>
      <c r="AB2094" t="str" cm="1">
        <f t="array" ref="AB2094">_xlfn.IFS(Y2094&lt;DATE(1996,1,1),"",Y2094&lt;DATE(1996,4,1),"Q1",Y2094&lt;DATE(1996,7,1),"Q2",Y2094&gt;=DATE(1996,7,1),"")</f>
        <v>Q2</v>
      </c>
    </row>
    <row r="2095" spans="1:28" ht="14.4" x14ac:dyDescent="0.55000000000000004">
      <c r="A2095" t="str">
        <f>VLOOKUP(L2095,Customers!$A$2:$B$92,2,FALSE)</f>
        <v>Hungry Owl All-Night Grocers</v>
      </c>
      <c r="B2095" t="str">
        <f>VLOOKUP(L2095,Customers!$A$2:$C$92,3,TRUE)</f>
        <v>Patricia McKenna</v>
      </c>
      <c r="C2095" t="str">
        <f t="shared" si="545"/>
        <v>Patricia</v>
      </c>
      <c r="D2095" s="8" t="str">
        <f t="shared" si="546"/>
        <v>McKenna</v>
      </c>
      <c r="E2095" s="8" t="str">
        <f t="shared" si="547"/>
        <v>McKenna, Patricia</v>
      </c>
      <c r="F2095" s="8" t="str">
        <f t="shared" si="548"/>
        <v>McKenna, Patricia</v>
      </c>
      <c r="G2095" s="8" t="str">
        <f t="shared" si="549"/>
        <v>not an outlier</v>
      </c>
      <c r="H2095" s="8" t="str">
        <f t="shared" si="550"/>
        <v>Not</v>
      </c>
      <c r="I2095" s="8" t="str">
        <f t="shared" si="560"/>
        <v>no</v>
      </c>
      <c r="J2095" s="10" t="str">
        <f t="shared" si="551"/>
        <v>no</v>
      </c>
      <c r="K2095" s="10" t="str">
        <f t="shared" si="552"/>
        <v>no</v>
      </c>
      <c r="L2095" t="s">
        <v>288</v>
      </c>
      <c r="M2095">
        <v>11063</v>
      </c>
      <c r="N2095">
        <v>34</v>
      </c>
      <c r="O2095" t="s">
        <v>736</v>
      </c>
      <c r="P2095" t="str">
        <f t="shared" si="553"/>
        <v>HUNGO_11063_Sasquatch Ale</v>
      </c>
      <c r="Q2095" t="str">
        <f t="shared" si="554"/>
        <v>11063</v>
      </c>
      <c r="R2095" t="str">
        <f t="shared" si="555"/>
        <v>11063</v>
      </c>
      <c r="S2095" t="str">
        <f t="shared" si="556"/>
        <v>Sasquatch Ale</v>
      </c>
      <c r="T2095">
        <v>14</v>
      </c>
      <c r="U2095">
        <v>30</v>
      </c>
      <c r="V2095">
        <v>0</v>
      </c>
      <c r="W2095">
        <f t="shared" si="557"/>
        <v>420</v>
      </c>
      <c r="X2095" t="str">
        <f t="shared" si="558"/>
        <v>yes</v>
      </c>
      <c r="Y2095" s="2">
        <v>35215</v>
      </c>
      <c r="Z2095" t="str">
        <f t="shared" si="544"/>
        <v/>
      </c>
      <c r="AA2095" t="str">
        <f t="shared" si="559"/>
        <v>2nd Q 1996</v>
      </c>
      <c r="AB2095" t="str" cm="1">
        <f t="array" ref="AB2095">_xlfn.IFS(Y2095&lt;DATE(1996,1,1),"",Y2095&lt;DATE(1996,4,1),"Q1",Y2095&lt;DATE(1996,7,1),"Q2",Y2095&gt;=DATE(1996,7,1),"")</f>
        <v>Q2</v>
      </c>
    </row>
    <row r="2096" spans="1:28" ht="14.4" x14ac:dyDescent="0.55000000000000004">
      <c r="A2096" t="str">
        <f>VLOOKUP(L2096,Customers!$A$2:$B$92,2,FALSE)</f>
        <v>Hungry Owl All-Night Grocers</v>
      </c>
      <c r="B2096" t="str">
        <f>VLOOKUP(L2096,Customers!$A$2:$C$92,3,TRUE)</f>
        <v>Patricia McKenna</v>
      </c>
      <c r="C2096" t="str">
        <f t="shared" si="545"/>
        <v>Patricia</v>
      </c>
      <c r="D2096" s="8" t="str">
        <f t="shared" si="546"/>
        <v>McKenna</v>
      </c>
      <c r="E2096" s="8" t="str">
        <f t="shared" si="547"/>
        <v>McKenna, Patricia</v>
      </c>
      <c r="F2096" s="8" t="str">
        <f t="shared" si="548"/>
        <v>McKenna, Patricia</v>
      </c>
      <c r="G2096" s="8" t="str">
        <f t="shared" si="549"/>
        <v>not an outlier</v>
      </c>
      <c r="H2096" s="8" t="str">
        <f t="shared" si="550"/>
        <v>Not</v>
      </c>
      <c r="I2096" s="8" t="str">
        <f t="shared" si="560"/>
        <v>no</v>
      </c>
      <c r="J2096" s="10" t="str">
        <f t="shared" si="551"/>
        <v>no</v>
      </c>
      <c r="K2096" s="10" t="str">
        <f t="shared" si="552"/>
        <v>no</v>
      </c>
      <c r="L2096" t="s">
        <v>288</v>
      </c>
      <c r="M2096">
        <v>11063</v>
      </c>
      <c r="N2096">
        <v>40</v>
      </c>
      <c r="O2096" t="s">
        <v>720</v>
      </c>
      <c r="P2096" t="str">
        <f t="shared" si="553"/>
        <v>HUNGO_11063_Boston Crab Meat</v>
      </c>
      <c r="Q2096" t="str">
        <f t="shared" si="554"/>
        <v>11063</v>
      </c>
      <c r="R2096" t="str">
        <f t="shared" si="555"/>
        <v>11063</v>
      </c>
      <c r="S2096" t="str">
        <f t="shared" si="556"/>
        <v>Boston Crab Meat</v>
      </c>
      <c r="T2096">
        <v>18.399999999999999</v>
      </c>
      <c r="U2096">
        <v>40</v>
      </c>
      <c r="V2096">
        <v>0.1</v>
      </c>
      <c r="W2096">
        <f t="shared" si="557"/>
        <v>662.4</v>
      </c>
      <c r="X2096" t="str">
        <f t="shared" si="558"/>
        <v>yes</v>
      </c>
      <c r="Y2096" s="2">
        <v>35215</v>
      </c>
      <c r="Z2096" t="str">
        <f t="shared" si="544"/>
        <v/>
      </c>
      <c r="AA2096" t="str">
        <f t="shared" si="559"/>
        <v>2nd Q 1996</v>
      </c>
      <c r="AB2096" t="str" cm="1">
        <f t="array" ref="AB2096">_xlfn.IFS(Y2096&lt;DATE(1996,1,1),"",Y2096&lt;DATE(1996,4,1),"Q1",Y2096&lt;DATE(1996,7,1),"Q2",Y2096&gt;=DATE(1996,7,1),"")</f>
        <v>Q2</v>
      </c>
    </row>
    <row r="2097" spans="1:28" ht="14.4" x14ac:dyDescent="0.55000000000000004">
      <c r="A2097" t="str">
        <f>VLOOKUP(L2097,Customers!$A$2:$B$92,2,FALSE)</f>
        <v>Hungry Owl All-Night Grocers</v>
      </c>
      <c r="B2097" t="str">
        <f>VLOOKUP(L2097,Customers!$A$2:$C$92,3,TRUE)</f>
        <v>Patricia McKenna</v>
      </c>
      <c r="C2097" t="str">
        <f t="shared" si="545"/>
        <v>Patricia</v>
      </c>
      <c r="D2097" s="8" t="str">
        <f t="shared" si="546"/>
        <v>McKenna</v>
      </c>
      <c r="E2097" s="8" t="str">
        <f t="shared" si="547"/>
        <v>McKenna, Patricia</v>
      </c>
      <c r="F2097" s="8" t="str">
        <f t="shared" si="548"/>
        <v>McKenna, Patricia</v>
      </c>
      <c r="G2097" s="8" t="str">
        <f t="shared" si="549"/>
        <v>not an outlier</v>
      </c>
      <c r="H2097" s="8" t="str">
        <f t="shared" si="550"/>
        <v>Not</v>
      </c>
      <c r="I2097" s="8" t="str">
        <f t="shared" si="560"/>
        <v>no</v>
      </c>
      <c r="J2097" s="10" t="str">
        <f t="shared" si="551"/>
        <v>no</v>
      </c>
      <c r="K2097" s="10" t="str">
        <f t="shared" si="552"/>
        <v>no</v>
      </c>
      <c r="L2097" t="s">
        <v>288</v>
      </c>
      <c r="M2097">
        <v>11063</v>
      </c>
      <c r="N2097">
        <v>41</v>
      </c>
      <c r="O2097" t="s">
        <v>688</v>
      </c>
      <c r="P2097" t="str">
        <f t="shared" si="553"/>
        <v>HUNGO_11063_Jack's New England Clam Chowder</v>
      </c>
      <c r="Q2097" t="str">
        <f t="shared" si="554"/>
        <v>11063</v>
      </c>
      <c r="R2097" t="str">
        <f t="shared" si="555"/>
        <v>11063</v>
      </c>
      <c r="S2097" t="str">
        <f t="shared" si="556"/>
        <v>Jack's New England Clam Chowder</v>
      </c>
      <c r="T2097">
        <v>9.65</v>
      </c>
      <c r="U2097">
        <v>30</v>
      </c>
      <c r="V2097">
        <v>0.1</v>
      </c>
      <c r="W2097">
        <f t="shared" si="557"/>
        <v>260.55</v>
      </c>
      <c r="X2097" t="str">
        <f t="shared" si="558"/>
        <v>yes</v>
      </c>
      <c r="Y2097" s="2">
        <v>35215</v>
      </c>
      <c r="Z2097" t="str">
        <f t="shared" si="544"/>
        <v/>
      </c>
      <c r="AA2097" t="str">
        <f t="shared" si="559"/>
        <v>2nd Q 1996</v>
      </c>
      <c r="AB2097" t="str" cm="1">
        <f t="array" ref="AB2097">_xlfn.IFS(Y2097&lt;DATE(1996,1,1),"",Y2097&lt;DATE(1996,4,1),"Q1",Y2097&lt;DATE(1996,7,1),"Q2",Y2097&gt;=DATE(1996,7,1),"")</f>
        <v>Q2</v>
      </c>
    </row>
    <row r="2098" spans="1:28" ht="14.4" x14ac:dyDescent="0.55000000000000004">
      <c r="A2098" t="str">
        <f>VLOOKUP(L2098,Customers!$A$2:$B$92,2,FALSE)</f>
        <v>Save-a-lot Markets</v>
      </c>
      <c r="B2098" t="str">
        <f>VLOOKUP(L2098,Customers!$A$2:$C$92,3,TRUE)</f>
        <v>Jose Pavarotti</v>
      </c>
      <c r="C2098" t="str">
        <f t="shared" si="545"/>
        <v>Jose</v>
      </c>
      <c r="D2098" s="8" t="str">
        <f t="shared" si="546"/>
        <v>Pavarotti</v>
      </c>
      <c r="E2098" s="8" t="str">
        <f t="shared" si="547"/>
        <v>Pavarotti, Jose</v>
      </c>
      <c r="F2098" s="8" t="str">
        <f t="shared" si="548"/>
        <v>Pavarotti, Jose</v>
      </c>
      <c r="G2098" s="8" t="str">
        <f t="shared" si="549"/>
        <v>not an outlier</v>
      </c>
      <c r="H2098" s="8" t="str">
        <f t="shared" si="550"/>
        <v>moderate</v>
      </c>
      <c r="I2098" s="8" t="str">
        <f t="shared" si="560"/>
        <v>no</v>
      </c>
      <c r="J2098" s="10" t="str">
        <f t="shared" si="551"/>
        <v>no</v>
      </c>
      <c r="K2098" s="10" t="str">
        <f t="shared" si="552"/>
        <v>moderate</v>
      </c>
      <c r="L2098" t="s">
        <v>529</v>
      </c>
      <c r="M2098">
        <v>11064</v>
      </c>
      <c r="N2098">
        <v>17</v>
      </c>
      <c r="O2098" t="s">
        <v>718</v>
      </c>
      <c r="P2098" t="str">
        <f t="shared" si="553"/>
        <v>SAVEA_11064_Alice Mutton</v>
      </c>
      <c r="Q2098" t="str">
        <f t="shared" si="554"/>
        <v>11064</v>
      </c>
      <c r="R2098" t="str">
        <f t="shared" si="555"/>
        <v>11064</v>
      </c>
      <c r="S2098" t="str">
        <f t="shared" si="556"/>
        <v>Alice Mutton</v>
      </c>
      <c r="T2098">
        <v>39</v>
      </c>
      <c r="U2098">
        <v>77</v>
      </c>
      <c r="V2098">
        <v>0.1</v>
      </c>
      <c r="W2098">
        <f t="shared" si="557"/>
        <v>2702.7000000000003</v>
      </c>
      <c r="X2098" t="str">
        <f t="shared" si="558"/>
        <v>yes</v>
      </c>
      <c r="Y2098" s="2">
        <v>35216</v>
      </c>
      <c r="Z2098" t="str">
        <f t="shared" ref="Z2098:Z2158" si="561">IF(Y2098&gt;=DATE(1996,1,1), IF(Y2098&lt;DATE(1996,4,1),"1st Q 1996",""),"")</f>
        <v/>
      </c>
      <c r="AA2098" t="str">
        <f t="shared" si="559"/>
        <v>2nd Q 1996</v>
      </c>
      <c r="AB2098" t="str" cm="1">
        <f t="array" ref="AB2098">_xlfn.IFS(Y2098&lt;DATE(1996,1,1),"",Y2098&lt;DATE(1996,4,1),"Q1",Y2098&lt;DATE(1996,7,1),"Q2",Y2098&gt;=DATE(1996,7,1),"")</f>
        <v>Q2</v>
      </c>
    </row>
    <row r="2099" spans="1:28" ht="14.4" x14ac:dyDescent="0.55000000000000004">
      <c r="A2099" t="str">
        <f>VLOOKUP(L2099,Customers!$A$2:$B$92,2,FALSE)</f>
        <v>Save-a-lot Markets</v>
      </c>
      <c r="B2099" t="str">
        <f>VLOOKUP(L2099,Customers!$A$2:$C$92,3,TRUE)</f>
        <v>Jose Pavarotti</v>
      </c>
      <c r="C2099" t="str">
        <f t="shared" si="545"/>
        <v>Jose</v>
      </c>
      <c r="D2099" s="8" t="str">
        <f t="shared" si="546"/>
        <v>Pavarotti</v>
      </c>
      <c r="E2099" s="8" t="str">
        <f t="shared" si="547"/>
        <v>Pavarotti, Jose</v>
      </c>
      <c r="F2099" s="8" t="str">
        <f t="shared" si="548"/>
        <v>Pavarotti, Jose</v>
      </c>
      <c r="G2099" s="8" t="str">
        <f t="shared" si="549"/>
        <v>not an outlier</v>
      </c>
      <c r="H2099" s="8" t="str">
        <f t="shared" si="550"/>
        <v>Not</v>
      </c>
      <c r="I2099" s="8" t="str">
        <f t="shared" si="560"/>
        <v>no</v>
      </c>
      <c r="J2099" s="10" t="str">
        <f t="shared" si="551"/>
        <v>no</v>
      </c>
      <c r="K2099" s="10" t="str">
        <f t="shared" si="552"/>
        <v>no</v>
      </c>
      <c r="L2099" t="s">
        <v>529</v>
      </c>
      <c r="M2099">
        <v>11064</v>
      </c>
      <c r="N2099">
        <v>41</v>
      </c>
      <c r="O2099" t="s">
        <v>688</v>
      </c>
      <c r="P2099" t="str">
        <f t="shared" si="553"/>
        <v>SAVEA_11064_Jack's New England Clam Chowder</v>
      </c>
      <c r="Q2099" t="str">
        <f t="shared" si="554"/>
        <v>11064</v>
      </c>
      <c r="R2099" t="str">
        <f t="shared" si="555"/>
        <v>11064</v>
      </c>
      <c r="S2099" t="str">
        <f t="shared" si="556"/>
        <v>Jack's New England Clam Chowder</v>
      </c>
      <c r="T2099">
        <v>9.65</v>
      </c>
      <c r="U2099">
        <v>12</v>
      </c>
      <c r="V2099">
        <v>0</v>
      </c>
      <c r="W2099">
        <f t="shared" si="557"/>
        <v>115.80000000000001</v>
      </c>
      <c r="X2099" t="str">
        <f t="shared" si="558"/>
        <v>yes</v>
      </c>
      <c r="Y2099" s="2">
        <v>35216</v>
      </c>
      <c r="Z2099" t="str">
        <f t="shared" si="561"/>
        <v/>
      </c>
      <c r="AA2099" t="str">
        <f t="shared" si="559"/>
        <v>2nd Q 1996</v>
      </c>
      <c r="AB2099" t="str" cm="1">
        <f t="array" ref="AB2099">_xlfn.IFS(Y2099&lt;DATE(1996,1,1),"",Y2099&lt;DATE(1996,4,1),"Q1",Y2099&lt;DATE(1996,7,1),"Q2",Y2099&gt;=DATE(1996,7,1),"")</f>
        <v>Q2</v>
      </c>
    </row>
    <row r="2100" spans="1:28" ht="14.4" x14ac:dyDescent="0.55000000000000004">
      <c r="A2100" t="str">
        <f>VLOOKUP(L2100,Customers!$A$2:$B$92,2,FALSE)</f>
        <v>Save-a-lot Markets</v>
      </c>
      <c r="B2100" t="str">
        <f>VLOOKUP(L2100,Customers!$A$2:$C$92,3,TRUE)</f>
        <v>Jose Pavarotti</v>
      </c>
      <c r="C2100" t="str">
        <f t="shared" si="545"/>
        <v>Jose</v>
      </c>
      <c r="D2100" s="8" t="str">
        <f t="shared" si="546"/>
        <v>Pavarotti</v>
      </c>
      <c r="E2100" s="8" t="str">
        <f t="shared" si="547"/>
        <v>Pavarotti, Jose</v>
      </c>
      <c r="F2100" s="8" t="str">
        <f t="shared" si="548"/>
        <v>Pavarotti, Jose</v>
      </c>
      <c r="G2100" s="8" t="str">
        <f t="shared" si="549"/>
        <v>not an outlier</v>
      </c>
      <c r="H2100" s="8" t="str">
        <f t="shared" si="550"/>
        <v>Not</v>
      </c>
      <c r="I2100" s="8" t="str">
        <f t="shared" si="560"/>
        <v>no</v>
      </c>
      <c r="J2100" s="10" t="str">
        <f t="shared" si="551"/>
        <v>no</v>
      </c>
      <c r="K2100" s="10" t="str">
        <f t="shared" si="552"/>
        <v>no</v>
      </c>
      <c r="L2100" t="s">
        <v>529</v>
      </c>
      <c r="M2100">
        <v>11064</v>
      </c>
      <c r="N2100">
        <v>53</v>
      </c>
      <c r="O2100" t="s">
        <v>705</v>
      </c>
      <c r="P2100" t="str">
        <f t="shared" si="553"/>
        <v>SAVEA_11064_Perth Pasties</v>
      </c>
      <c r="Q2100" t="str">
        <f t="shared" si="554"/>
        <v>11064</v>
      </c>
      <c r="R2100" t="str">
        <f t="shared" si="555"/>
        <v>11064</v>
      </c>
      <c r="S2100" t="str">
        <f t="shared" si="556"/>
        <v>Perth Pasties</v>
      </c>
      <c r="T2100">
        <v>32.799999999999997</v>
      </c>
      <c r="U2100">
        <v>25</v>
      </c>
      <c r="V2100">
        <v>0.1</v>
      </c>
      <c r="W2100">
        <f t="shared" si="557"/>
        <v>737.99999999999989</v>
      </c>
      <c r="X2100" t="str">
        <f t="shared" si="558"/>
        <v>yes</v>
      </c>
      <c r="Y2100" s="2">
        <v>35216</v>
      </c>
      <c r="Z2100" t="str">
        <f t="shared" si="561"/>
        <v/>
      </c>
      <c r="AA2100" t="str">
        <f t="shared" si="559"/>
        <v>2nd Q 1996</v>
      </c>
      <c r="AB2100" t="str" cm="1">
        <f t="array" ref="AB2100">_xlfn.IFS(Y2100&lt;DATE(1996,1,1),"",Y2100&lt;DATE(1996,4,1),"Q1",Y2100&lt;DATE(1996,7,1),"Q2",Y2100&gt;=DATE(1996,7,1),"")</f>
        <v>Q2</v>
      </c>
    </row>
    <row r="2101" spans="1:28" ht="14.4" x14ac:dyDescent="0.55000000000000004">
      <c r="A2101" t="str">
        <f>VLOOKUP(L2101,Customers!$A$2:$B$92,2,FALSE)</f>
        <v>Save-a-lot Markets</v>
      </c>
      <c r="B2101" t="str">
        <f>VLOOKUP(L2101,Customers!$A$2:$C$92,3,TRUE)</f>
        <v>Jose Pavarotti</v>
      </c>
      <c r="C2101" t="str">
        <f t="shared" si="545"/>
        <v>Jose</v>
      </c>
      <c r="D2101" s="8" t="str">
        <f t="shared" si="546"/>
        <v>Pavarotti</v>
      </c>
      <c r="E2101" s="8" t="str">
        <f t="shared" si="547"/>
        <v>Pavarotti, Jose</v>
      </c>
      <c r="F2101" s="8" t="str">
        <f t="shared" si="548"/>
        <v>Pavarotti, Jose</v>
      </c>
      <c r="G2101" s="8" t="str">
        <f t="shared" si="549"/>
        <v>not an outlier</v>
      </c>
      <c r="H2101" s="8" t="str">
        <f t="shared" si="550"/>
        <v>Not</v>
      </c>
      <c r="I2101" s="8" t="str">
        <f t="shared" si="560"/>
        <v>no</v>
      </c>
      <c r="J2101" s="10" t="str">
        <f t="shared" si="551"/>
        <v>no</v>
      </c>
      <c r="K2101" s="10" t="str">
        <f t="shared" si="552"/>
        <v>no</v>
      </c>
      <c r="L2101" t="s">
        <v>529</v>
      </c>
      <c r="M2101">
        <v>11064</v>
      </c>
      <c r="N2101">
        <v>55</v>
      </c>
      <c r="O2101" t="s">
        <v>699</v>
      </c>
      <c r="P2101" t="str">
        <f t="shared" si="553"/>
        <v>SAVEA_11064_Pâté chinois</v>
      </c>
      <c r="Q2101" t="str">
        <f t="shared" si="554"/>
        <v>11064</v>
      </c>
      <c r="R2101" t="str">
        <f t="shared" si="555"/>
        <v>11064</v>
      </c>
      <c r="S2101" t="str">
        <f t="shared" si="556"/>
        <v>Pâté chinois</v>
      </c>
      <c r="T2101">
        <v>24</v>
      </c>
      <c r="U2101">
        <v>4</v>
      </c>
      <c r="V2101">
        <v>0.1</v>
      </c>
      <c r="W2101">
        <f t="shared" si="557"/>
        <v>86.4</v>
      </c>
      <c r="X2101" t="str">
        <f t="shared" si="558"/>
        <v>yes</v>
      </c>
      <c r="Y2101" s="2">
        <v>35216</v>
      </c>
      <c r="Z2101" t="str">
        <f t="shared" si="561"/>
        <v/>
      </c>
      <c r="AA2101" t="str">
        <f t="shared" si="559"/>
        <v>2nd Q 1996</v>
      </c>
      <c r="AB2101" t="str" cm="1">
        <f t="array" ref="AB2101">_xlfn.IFS(Y2101&lt;DATE(1996,1,1),"",Y2101&lt;DATE(1996,4,1),"Q1",Y2101&lt;DATE(1996,7,1),"Q2",Y2101&gt;=DATE(1996,7,1),"")</f>
        <v>Q2</v>
      </c>
    </row>
    <row r="2102" spans="1:28" ht="14.4" x14ac:dyDescent="0.55000000000000004">
      <c r="A2102" t="str">
        <f>VLOOKUP(L2102,Customers!$A$2:$B$92,2,FALSE)</f>
        <v>Save-a-lot Markets</v>
      </c>
      <c r="B2102" t="str">
        <f>VLOOKUP(L2102,Customers!$A$2:$C$92,3,TRUE)</f>
        <v>Jose Pavarotti</v>
      </c>
      <c r="C2102" t="str">
        <f t="shared" si="545"/>
        <v>Jose</v>
      </c>
      <c r="D2102" s="8" t="str">
        <f t="shared" si="546"/>
        <v>Pavarotti</v>
      </c>
      <c r="E2102" s="8" t="str">
        <f t="shared" si="547"/>
        <v>Pavarotti, Jose</v>
      </c>
      <c r="F2102" s="8" t="str">
        <f t="shared" si="548"/>
        <v>Pavarotti, Jose</v>
      </c>
      <c r="G2102" s="8" t="str">
        <f t="shared" si="549"/>
        <v>not an outlier</v>
      </c>
      <c r="H2102" s="8" t="str">
        <f t="shared" si="550"/>
        <v>Not</v>
      </c>
      <c r="I2102" s="8" t="str">
        <f t="shared" si="560"/>
        <v>no</v>
      </c>
      <c r="J2102" s="10" t="str">
        <f t="shared" si="551"/>
        <v>no</v>
      </c>
      <c r="K2102" s="10" t="str">
        <f t="shared" si="552"/>
        <v>no</v>
      </c>
      <c r="L2102" t="s">
        <v>529</v>
      </c>
      <c r="M2102">
        <v>11064</v>
      </c>
      <c r="N2102">
        <v>68</v>
      </c>
      <c r="O2102" t="s">
        <v>739</v>
      </c>
      <c r="P2102" t="str">
        <f t="shared" si="553"/>
        <v>SAVEA_11064_Scottish Longbreads</v>
      </c>
      <c r="Q2102" t="str">
        <f t="shared" si="554"/>
        <v>11064</v>
      </c>
      <c r="R2102" t="str">
        <f t="shared" si="555"/>
        <v>11064</v>
      </c>
      <c r="S2102" t="str">
        <f t="shared" si="556"/>
        <v>Scottish Longbreads</v>
      </c>
      <c r="T2102">
        <v>12.5</v>
      </c>
      <c r="U2102">
        <v>55</v>
      </c>
      <c r="V2102">
        <v>0</v>
      </c>
      <c r="W2102">
        <f t="shared" si="557"/>
        <v>687.5</v>
      </c>
      <c r="X2102" t="str">
        <f t="shared" si="558"/>
        <v>yes</v>
      </c>
      <c r="Y2102" s="2">
        <v>35216</v>
      </c>
      <c r="Z2102" t="str">
        <f t="shared" si="561"/>
        <v/>
      </c>
      <c r="AA2102" t="str">
        <f t="shared" si="559"/>
        <v>2nd Q 1996</v>
      </c>
      <c r="AB2102" t="str" cm="1">
        <f t="array" ref="AB2102">_xlfn.IFS(Y2102&lt;DATE(1996,1,1),"",Y2102&lt;DATE(1996,4,1),"Q1",Y2102&lt;DATE(1996,7,1),"Q2",Y2102&gt;=DATE(1996,7,1),"")</f>
        <v>Q2</v>
      </c>
    </row>
    <row r="2103" spans="1:28" ht="14.4" x14ac:dyDescent="0.55000000000000004">
      <c r="A2103" t="str">
        <f>VLOOKUP(L2103,Customers!$A$2:$B$92,2,FALSE)</f>
        <v>LILA-Supermercado</v>
      </c>
      <c r="B2103" t="str">
        <f>VLOOKUP(L2103,Customers!$A$2:$C$92,3,TRUE)</f>
        <v>Carlos González</v>
      </c>
      <c r="C2103" t="str">
        <f t="shared" si="545"/>
        <v>Carlos</v>
      </c>
      <c r="D2103" s="8" t="str">
        <f t="shared" si="546"/>
        <v>González</v>
      </c>
      <c r="E2103" s="8" t="str">
        <f t="shared" si="547"/>
        <v>González, Carlos</v>
      </c>
      <c r="F2103" s="8" t="str">
        <f t="shared" si="548"/>
        <v>González, Carlos</v>
      </c>
      <c r="G2103" s="8" t="str">
        <f t="shared" si="549"/>
        <v>not an outlier</v>
      </c>
      <c r="H2103" s="8" t="str">
        <f t="shared" si="550"/>
        <v>Not</v>
      </c>
      <c r="I2103" s="8" t="str">
        <f t="shared" si="560"/>
        <v>no</v>
      </c>
      <c r="J2103" s="10" t="str">
        <f t="shared" si="551"/>
        <v>no</v>
      </c>
      <c r="K2103" s="10" t="str">
        <f t="shared" si="552"/>
        <v>no</v>
      </c>
      <c r="L2103" t="s">
        <v>355</v>
      </c>
      <c r="M2103">
        <v>11065</v>
      </c>
      <c r="N2103">
        <v>30</v>
      </c>
      <c r="O2103" t="s">
        <v>717</v>
      </c>
      <c r="P2103" t="str">
        <f t="shared" si="553"/>
        <v>LILAS_11065_Nord-Ost Matjeshering</v>
      </c>
      <c r="Q2103" t="str">
        <f t="shared" si="554"/>
        <v>11065</v>
      </c>
      <c r="R2103" t="str">
        <f t="shared" si="555"/>
        <v>11065</v>
      </c>
      <c r="S2103" t="str">
        <f t="shared" si="556"/>
        <v>Nord-Ost Matjeshering</v>
      </c>
      <c r="T2103">
        <v>25.89</v>
      </c>
      <c r="U2103">
        <v>4</v>
      </c>
      <c r="V2103">
        <v>0.25</v>
      </c>
      <c r="W2103">
        <f t="shared" si="557"/>
        <v>77.67</v>
      </c>
      <c r="X2103" t="str">
        <f t="shared" si="558"/>
        <v>yes</v>
      </c>
      <c r="Y2103" s="2">
        <v>35216</v>
      </c>
      <c r="Z2103" t="str">
        <f t="shared" si="561"/>
        <v/>
      </c>
      <c r="AA2103" t="str">
        <f t="shared" si="559"/>
        <v>2nd Q 1996</v>
      </c>
      <c r="AB2103" t="str" cm="1">
        <f t="array" ref="AB2103">_xlfn.IFS(Y2103&lt;DATE(1996,1,1),"",Y2103&lt;DATE(1996,4,1),"Q1",Y2103&lt;DATE(1996,7,1),"Q2",Y2103&gt;=DATE(1996,7,1),"")</f>
        <v>Q2</v>
      </c>
    </row>
    <row r="2104" spans="1:28" ht="14.4" x14ac:dyDescent="0.55000000000000004">
      <c r="A2104" t="str">
        <f>VLOOKUP(L2104,Customers!$A$2:$B$92,2,FALSE)</f>
        <v>LILA-Supermercado</v>
      </c>
      <c r="B2104" t="str">
        <f>VLOOKUP(L2104,Customers!$A$2:$C$92,3,TRUE)</f>
        <v>Carlos González</v>
      </c>
      <c r="C2104" t="str">
        <f t="shared" si="545"/>
        <v>Carlos</v>
      </c>
      <c r="D2104" s="8" t="str">
        <f t="shared" si="546"/>
        <v>González</v>
      </c>
      <c r="E2104" s="8" t="str">
        <f t="shared" si="547"/>
        <v>González, Carlos</v>
      </c>
      <c r="F2104" s="8" t="str">
        <f t="shared" si="548"/>
        <v>González, Carlos</v>
      </c>
      <c r="G2104" s="8" t="str">
        <f t="shared" si="549"/>
        <v>not an outlier</v>
      </c>
      <c r="H2104" s="8" t="str">
        <f t="shared" si="550"/>
        <v>Not</v>
      </c>
      <c r="I2104" s="8" t="str">
        <f t="shared" si="560"/>
        <v>no</v>
      </c>
      <c r="J2104" s="10" t="str">
        <f t="shared" si="551"/>
        <v>no</v>
      </c>
      <c r="K2104" s="10" t="str">
        <f t="shared" si="552"/>
        <v>no</v>
      </c>
      <c r="L2104" t="s">
        <v>355</v>
      </c>
      <c r="M2104">
        <v>11065</v>
      </c>
      <c r="N2104">
        <v>54</v>
      </c>
      <c r="O2104" t="s">
        <v>738</v>
      </c>
      <c r="P2104" t="str">
        <f t="shared" si="553"/>
        <v>LILAS_11065_Tourtière</v>
      </c>
      <c r="Q2104" t="str">
        <f t="shared" si="554"/>
        <v>11065</v>
      </c>
      <c r="R2104" t="str">
        <f t="shared" si="555"/>
        <v>11065</v>
      </c>
      <c r="S2104" t="str">
        <f t="shared" si="556"/>
        <v>Tourtière</v>
      </c>
      <c r="T2104">
        <v>7.45</v>
      </c>
      <c r="U2104">
        <v>20</v>
      </c>
      <c r="V2104">
        <v>0.25</v>
      </c>
      <c r="W2104">
        <f t="shared" si="557"/>
        <v>111.75</v>
      </c>
      <c r="X2104" t="str">
        <f t="shared" si="558"/>
        <v>yes</v>
      </c>
      <c r="Y2104" s="2">
        <v>35216</v>
      </c>
      <c r="Z2104" t="str">
        <f t="shared" si="561"/>
        <v/>
      </c>
      <c r="AA2104" t="str">
        <f t="shared" si="559"/>
        <v>2nd Q 1996</v>
      </c>
      <c r="AB2104" t="str" cm="1">
        <f t="array" ref="AB2104">_xlfn.IFS(Y2104&lt;DATE(1996,1,1),"",Y2104&lt;DATE(1996,4,1),"Q1",Y2104&lt;DATE(1996,7,1),"Q2",Y2104&gt;=DATE(1996,7,1),"")</f>
        <v>Q2</v>
      </c>
    </row>
    <row r="2105" spans="1:28" ht="14.4" x14ac:dyDescent="0.55000000000000004">
      <c r="A2105" t="str">
        <f>VLOOKUP(L2105,Customers!$A$2:$B$92,2,FALSE)</f>
        <v>White Clover Markets</v>
      </c>
      <c r="B2105" t="str">
        <f>VLOOKUP(L2105,Customers!$A$2:$C$92,3,TRUE)</f>
        <v>Karl Jablonski</v>
      </c>
      <c r="C2105" t="str">
        <f t="shared" si="545"/>
        <v>Karl</v>
      </c>
      <c r="D2105" s="8" t="str">
        <f t="shared" si="546"/>
        <v>Jablonski</v>
      </c>
      <c r="E2105" s="8" t="str">
        <f t="shared" si="547"/>
        <v>Jablonski, Karl</v>
      </c>
      <c r="F2105" s="8" t="str">
        <f t="shared" si="548"/>
        <v>Jablonski, Karl</v>
      </c>
      <c r="G2105" s="8" t="str">
        <f t="shared" si="549"/>
        <v>not an outlier</v>
      </c>
      <c r="H2105" s="8" t="str">
        <f t="shared" si="550"/>
        <v>Not</v>
      </c>
      <c r="I2105" s="8" t="str">
        <f t="shared" si="560"/>
        <v>no</v>
      </c>
      <c r="J2105" s="10" t="str">
        <f t="shared" si="551"/>
        <v>no</v>
      </c>
      <c r="K2105" s="10" t="str">
        <f t="shared" si="552"/>
        <v>no</v>
      </c>
      <c r="L2105" t="s">
        <v>654</v>
      </c>
      <c r="M2105">
        <v>11066</v>
      </c>
      <c r="N2105">
        <v>16</v>
      </c>
      <c r="O2105" t="s">
        <v>702</v>
      </c>
      <c r="P2105" t="str">
        <f t="shared" si="553"/>
        <v>WHITC_11066_Pavlova</v>
      </c>
      <c r="Q2105" t="str">
        <f t="shared" si="554"/>
        <v>11066</v>
      </c>
      <c r="R2105" t="str">
        <f t="shared" si="555"/>
        <v>11066</v>
      </c>
      <c r="S2105" t="str">
        <f t="shared" si="556"/>
        <v>Pavlova</v>
      </c>
      <c r="T2105">
        <v>17.45</v>
      </c>
      <c r="U2105">
        <v>3</v>
      </c>
      <c r="V2105">
        <v>0</v>
      </c>
      <c r="W2105">
        <f t="shared" si="557"/>
        <v>52.349999999999994</v>
      </c>
      <c r="X2105" t="str">
        <f t="shared" si="558"/>
        <v>yes</v>
      </c>
      <c r="Y2105" s="2">
        <v>35216</v>
      </c>
      <c r="Z2105" t="str">
        <f t="shared" si="561"/>
        <v/>
      </c>
      <c r="AA2105" t="str">
        <f t="shared" si="559"/>
        <v>2nd Q 1996</v>
      </c>
      <c r="AB2105" t="str" cm="1">
        <f t="array" ref="AB2105">_xlfn.IFS(Y2105&lt;DATE(1996,1,1),"",Y2105&lt;DATE(1996,4,1),"Q1",Y2105&lt;DATE(1996,7,1),"Q2",Y2105&gt;=DATE(1996,7,1),"")</f>
        <v>Q2</v>
      </c>
    </row>
    <row r="2106" spans="1:28" ht="14.4" x14ac:dyDescent="0.55000000000000004">
      <c r="A2106" t="str">
        <f>VLOOKUP(L2106,Customers!$A$2:$B$92,2,FALSE)</f>
        <v>White Clover Markets</v>
      </c>
      <c r="B2106" t="str">
        <f>VLOOKUP(L2106,Customers!$A$2:$C$92,3,TRUE)</f>
        <v>Karl Jablonski</v>
      </c>
      <c r="C2106" t="str">
        <f t="shared" si="545"/>
        <v>Karl</v>
      </c>
      <c r="D2106" s="8" t="str">
        <f t="shared" si="546"/>
        <v>Jablonski</v>
      </c>
      <c r="E2106" s="8" t="str">
        <f t="shared" si="547"/>
        <v>Jablonski, Karl</v>
      </c>
      <c r="F2106" s="8" t="str">
        <f t="shared" si="548"/>
        <v>Jablonski, Karl</v>
      </c>
      <c r="G2106" s="8" t="str">
        <f t="shared" si="549"/>
        <v>not an outlier</v>
      </c>
      <c r="H2106" s="8" t="str">
        <f t="shared" si="550"/>
        <v>Not</v>
      </c>
      <c r="I2106" s="8" t="str">
        <f t="shared" si="560"/>
        <v>no</v>
      </c>
      <c r="J2106" s="10" t="str">
        <f t="shared" si="551"/>
        <v>no</v>
      </c>
      <c r="K2106" s="10" t="str">
        <f t="shared" si="552"/>
        <v>no</v>
      </c>
      <c r="L2106" t="s">
        <v>654</v>
      </c>
      <c r="M2106">
        <v>11066</v>
      </c>
      <c r="N2106">
        <v>19</v>
      </c>
      <c r="O2106" t="s">
        <v>732</v>
      </c>
      <c r="P2106" t="str">
        <f t="shared" si="553"/>
        <v>WHITC_11066_Teatime Chocolate Biscuits</v>
      </c>
      <c r="Q2106" t="str">
        <f t="shared" si="554"/>
        <v>11066</v>
      </c>
      <c r="R2106" t="str">
        <f t="shared" si="555"/>
        <v>11066</v>
      </c>
      <c r="S2106" t="str">
        <f t="shared" si="556"/>
        <v>Teatime Chocolate Biscuits</v>
      </c>
      <c r="T2106">
        <v>9.1999999999999993</v>
      </c>
      <c r="U2106">
        <v>42</v>
      </c>
      <c r="V2106">
        <v>0</v>
      </c>
      <c r="W2106">
        <f t="shared" si="557"/>
        <v>386.4</v>
      </c>
      <c r="X2106" t="str">
        <f t="shared" si="558"/>
        <v>yes</v>
      </c>
      <c r="Y2106" s="2">
        <v>35216</v>
      </c>
      <c r="Z2106" t="str">
        <f t="shared" si="561"/>
        <v/>
      </c>
      <c r="AA2106" t="str">
        <f t="shared" si="559"/>
        <v>2nd Q 1996</v>
      </c>
      <c r="AB2106" t="str" cm="1">
        <f t="array" ref="AB2106">_xlfn.IFS(Y2106&lt;DATE(1996,1,1),"",Y2106&lt;DATE(1996,4,1),"Q1",Y2106&lt;DATE(1996,7,1),"Q2",Y2106&gt;=DATE(1996,7,1),"")</f>
        <v>Q2</v>
      </c>
    </row>
    <row r="2107" spans="1:28" ht="14.4" x14ac:dyDescent="0.55000000000000004">
      <c r="A2107" t="str">
        <f>VLOOKUP(L2107,Customers!$A$2:$B$92,2,FALSE)</f>
        <v>White Clover Markets</v>
      </c>
      <c r="B2107" t="str">
        <f>VLOOKUP(L2107,Customers!$A$2:$C$92,3,TRUE)</f>
        <v>Karl Jablonski</v>
      </c>
      <c r="C2107" t="str">
        <f t="shared" si="545"/>
        <v>Karl</v>
      </c>
      <c r="D2107" s="8" t="str">
        <f t="shared" si="546"/>
        <v>Jablonski</v>
      </c>
      <c r="E2107" s="8" t="str">
        <f t="shared" si="547"/>
        <v>Jablonski, Karl</v>
      </c>
      <c r="F2107" s="8" t="str">
        <f t="shared" si="548"/>
        <v>Jablonski, Karl</v>
      </c>
      <c r="G2107" s="8" t="str">
        <f t="shared" si="549"/>
        <v>not an outlier</v>
      </c>
      <c r="H2107" s="8" t="str">
        <f t="shared" si="550"/>
        <v>Not</v>
      </c>
      <c r="I2107" s="8" t="str">
        <f t="shared" si="560"/>
        <v>no</v>
      </c>
      <c r="J2107" s="10" t="str">
        <f t="shared" si="551"/>
        <v>no</v>
      </c>
      <c r="K2107" s="10" t="str">
        <f t="shared" si="552"/>
        <v>no</v>
      </c>
      <c r="L2107" t="s">
        <v>654</v>
      </c>
      <c r="M2107">
        <v>11066</v>
      </c>
      <c r="N2107">
        <v>34</v>
      </c>
      <c r="O2107" t="s">
        <v>736</v>
      </c>
      <c r="P2107" t="str">
        <f t="shared" si="553"/>
        <v>WHITC_11066_Sasquatch Ale</v>
      </c>
      <c r="Q2107" t="str">
        <f t="shared" si="554"/>
        <v>11066</v>
      </c>
      <c r="R2107" t="str">
        <f t="shared" si="555"/>
        <v>11066</v>
      </c>
      <c r="S2107" t="str">
        <f t="shared" si="556"/>
        <v>Sasquatch Ale</v>
      </c>
      <c r="T2107">
        <v>14</v>
      </c>
      <c r="U2107">
        <v>35</v>
      </c>
      <c r="V2107">
        <v>0</v>
      </c>
      <c r="W2107">
        <f t="shared" si="557"/>
        <v>490</v>
      </c>
      <c r="X2107" t="str">
        <f t="shared" si="558"/>
        <v>yes</v>
      </c>
      <c r="Y2107" s="2">
        <v>35216</v>
      </c>
      <c r="Z2107" t="str">
        <f t="shared" si="561"/>
        <v/>
      </c>
      <c r="AA2107" t="str">
        <f t="shared" si="559"/>
        <v>2nd Q 1996</v>
      </c>
      <c r="AB2107" t="str" cm="1">
        <f t="array" ref="AB2107">_xlfn.IFS(Y2107&lt;DATE(1996,1,1),"",Y2107&lt;DATE(1996,4,1),"Q1",Y2107&lt;DATE(1996,7,1),"Q2",Y2107&gt;=DATE(1996,7,1),"")</f>
        <v>Q2</v>
      </c>
    </row>
    <row r="2108" spans="1:28" ht="14.4" x14ac:dyDescent="0.55000000000000004">
      <c r="A2108" t="str">
        <f>VLOOKUP(L2108,Customers!$A$2:$B$92,2,FALSE)</f>
        <v>Drachenblut Delikatessen</v>
      </c>
      <c r="B2108" t="str">
        <f>VLOOKUP(L2108,Customers!$A$2:$C$92,3,TRUE)</f>
        <v>Sven Ottlieb</v>
      </c>
      <c r="C2108" t="str">
        <f t="shared" si="545"/>
        <v>Sven</v>
      </c>
      <c r="D2108" s="8" t="str">
        <f t="shared" si="546"/>
        <v>Ottlieb</v>
      </c>
      <c r="E2108" s="8" t="str">
        <f t="shared" si="547"/>
        <v>Ottlieb, Sven</v>
      </c>
      <c r="F2108" s="8" t="str">
        <f t="shared" si="548"/>
        <v>Ottlieb, Sven</v>
      </c>
      <c r="G2108" s="8" t="str">
        <f t="shared" si="549"/>
        <v>not an outlier</v>
      </c>
      <c r="H2108" s="8" t="str">
        <f t="shared" si="550"/>
        <v>Not</v>
      </c>
      <c r="I2108" s="8" t="str">
        <f t="shared" si="560"/>
        <v>no</v>
      </c>
      <c r="J2108" s="10" t="str">
        <f t="shared" si="551"/>
        <v>no</v>
      </c>
      <c r="K2108" s="10" t="str">
        <f t="shared" si="552"/>
        <v>no</v>
      </c>
      <c r="L2108" t="s">
        <v>140</v>
      </c>
      <c r="M2108">
        <v>11067</v>
      </c>
      <c r="N2108">
        <v>41</v>
      </c>
      <c r="O2108" t="s">
        <v>688</v>
      </c>
      <c r="P2108" t="str">
        <f t="shared" si="553"/>
        <v>DRACD_11067_Jack's New England Clam Chowder</v>
      </c>
      <c r="Q2108" t="str">
        <f t="shared" si="554"/>
        <v>11067</v>
      </c>
      <c r="R2108" t="str">
        <f t="shared" si="555"/>
        <v>11067</v>
      </c>
      <c r="S2108" t="str">
        <f t="shared" si="556"/>
        <v>Jack's New England Clam Chowder</v>
      </c>
      <c r="T2108">
        <v>9.65</v>
      </c>
      <c r="U2108">
        <v>9</v>
      </c>
      <c r="V2108">
        <v>0</v>
      </c>
      <c r="W2108">
        <f t="shared" si="557"/>
        <v>86.850000000000009</v>
      </c>
      <c r="X2108" t="str">
        <f t="shared" si="558"/>
        <v>yes</v>
      </c>
      <c r="Y2108" s="2">
        <v>35219</v>
      </c>
      <c r="Z2108" t="str">
        <f t="shared" si="561"/>
        <v/>
      </c>
      <c r="AA2108" t="str">
        <f t="shared" si="559"/>
        <v>2nd Q 1996</v>
      </c>
      <c r="AB2108" t="str" cm="1">
        <f t="array" ref="AB2108">_xlfn.IFS(Y2108&lt;DATE(1996,1,1),"",Y2108&lt;DATE(1996,4,1),"Q1",Y2108&lt;DATE(1996,7,1),"Q2",Y2108&gt;=DATE(1996,7,1),"")</f>
        <v>Q2</v>
      </c>
    </row>
    <row r="2109" spans="1:28" ht="14.4" x14ac:dyDescent="0.55000000000000004">
      <c r="A2109" t="str">
        <f>VLOOKUP(L2109,Customers!$A$2:$B$92,2,FALSE)</f>
        <v>Queen Cozinha</v>
      </c>
      <c r="B2109" t="str">
        <f>VLOOKUP(L2109,Customers!$A$2:$C$92,3,TRUE)</f>
        <v>Lúcia Carvalho</v>
      </c>
      <c r="C2109" t="str">
        <f t="shared" si="545"/>
        <v>Lúcia</v>
      </c>
      <c r="D2109" s="8" t="str">
        <f t="shared" si="546"/>
        <v>Carvalho</v>
      </c>
      <c r="E2109" s="8" t="str">
        <f t="shared" si="547"/>
        <v>Carvalho, Lúcia</v>
      </c>
      <c r="F2109" s="8" t="str">
        <f t="shared" si="548"/>
        <v>Carvalho, Lúcia</v>
      </c>
      <c r="G2109" s="8" t="str">
        <f t="shared" si="549"/>
        <v>not an outlier</v>
      </c>
      <c r="H2109" s="8" t="str">
        <f t="shared" si="550"/>
        <v>Not</v>
      </c>
      <c r="I2109" s="8" t="str">
        <f t="shared" si="560"/>
        <v>no</v>
      </c>
      <c r="J2109" s="10" t="str">
        <f t="shared" si="551"/>
        <v>no</v>
      </c>
      <c r="K2109" s="10" t="str">
        <f t="shared" si="552"/>
        <v>no</v>
      </c>
      <c r="L2109" t="s">
        <v>469</v>
      </c>
      <c r="M2109">
        <v>11068</v>
      </c>
      <c r="N2109">
        <v>28</v>
      </c>
      <c r="O2109" t="s">
        <v>727</v>
      </c>
      <c r="P2109" t="str">
        <f t="shared" si="553"/>
        <v>QUEEN_11068_Rössle Sauerkraut</v>
      </c>
      <c r="Q2109" t="str">
        <f t="shared" si="554"/>
        <v>11068</v>
      </c>
      <c r="R2109" t="str">
        <f t="shared" si="555"/>
        <v>11068</v>
      </c>
      <c r="S2109" t="str">
        <f t="shared" si="556"/>
        <v>Rössle Sauerkraut</v>
      </c>
      <c r="T2109">
        <v>45.6</v>
      </c>
      <c r="U2109">
        <v>8</v>
      </c>
      <c r="V2109">
        <v>0.15</v>
      </c>
      <c r="W2109">
        <f t="shared" si="557"/>
        <v>310.08</v>
      </c>
      <c r="X2109" t="str">
        <f t="shared" si="558"/>
        <v>yes</v>
      </c>
      <c r="Y2109" s="2">
        <v>35219</v>
      </c>
      <c r="Z2109" t="str">
        <f t="shared" si="561"/>
        <v/>
      </c>
      <c r="AA2109" t="str">
        <f t="shared" si="559"/>
        <v>2nd Q 1996</v>
      </c>
      <c r="AB2109" t="str" cm="1">
        <f t="array" ref="AB2109">_xlfn.IFS(Y2109&lt;DATE(1996,1,1),"",Y2109&lt;DATE(1996,4,1),"Q1",Y2109&lt;DATE(1996,7,1),"Q2",Y2109&gt;=DATE(1996,7,1),"")</f>
        <v>Q2</v>
      </c>
    </row>
    <row r="2110" spans="1:28" ht="14.4" x14ac:dyDescent="0.55000000000000004">
      <c r="A2110" t="str">
        <f>VLOOKUP(L2110,Customers!$A$2:$B$92,2,FALSE)</f>
        <v>Queen Cozinha</v>
      </c>
      <c r="B2110" t="str">
        <f>VLOOKUP(L2110,Customers!$A$2:$C$92,3,TRUE)</f>
        <v>Lúcia Carvalho</v>
      </c>
      <c r="C2110" t="str">
        <f t="shared" si="545"/>
        <v>Lúcia</v>
      </c>
      <c r="D2110" s="8" t="str">
        <f t="shared" si="546"/>
        <v>Carvalho</v>
      </c>
      <c r="E2110" s="8" t="str">
        <f t="shared" si="547"/>
        <v>Carvalho, Lúcia</v>
      </c>
      <c r="F2110" s="8" t="str">
        <f t="shared" si="548"/>
        <v>Carvalho, Lúcia</v>
      </c>
      <c r="G2110" s="8" t="str">
        <f t="shared" si="549"/>
        <v>not an outlier</v>
      </c>
      <c r="H2110" s="8" t="str">
        <f t="shared" si="550"/>
        <v>Not</v>
      </c>
      <c r="I2110" s="8" t="str">
        <f t="shared" si="560"/>
        <v>no</v>
      </c>
      <c r="J2110" s="10" t="str">
        <f t="shared" si="551"/>
        <v>no</v>
      </c>
      <c r="K2110" s="10" t="str">
        <f t="shared" si="552"/>
        <v>no</v>
      </c>
      <c r="L2110" t="s">
        <v>469</v>
      </c>
      <c r="M2110">
        <v>11068</v>
      </c>
      <c r="N2110">
        <v>43</v>
      </c>
      <c r="O2110" t="s">
        <v>723</v>
      </c>
      <c r="P2110" t="str">
        <f t="shared" si="553"/>
        <v>QUEEN_11068_Ipoh Coffee</v>
      </c>
      <c r="Q2110" t="str">
        <f t="shared" si="554"/>
        <v>11068</v>
      </c>
      <c r="R2110" t="str">
        <f t="shared" si="555"/>
        <v>11068</v>
      </c>
      <c r="S2110" t="str">
        <f t="shared" si="556"/>
        <v>Ipoh Coffee</v>
      </c>
      <c r="T2110">
        <v>46</v>
      </c>
      <c r="U2110">
        <v>36</v>
      </c>
      <c r="V2110">
        <v>0.15</v>
      </c>
      <c r="W2110">
        <f t="shared" si="557"/>
        <v>1407.6</v>
      </c>
      <c r="X2110" t="str">
        <f t="shared" si="558"/>
        <v>yes</v>
      </c>
      <c r="Y2110" s="2">
        <v>35219</v>
      </c>
      <c r="Z2110" t="str">
        <f t="shared" si="561"/>
        <v/>
      </c>
      <c r="AA2110" t="str">
        <f t="shared" si="559"/>
        <v>2nd Q 1996</v>
      </c>
      <c r="AB2110" t="str" cm="1">
        <f t="array" ref="AB2110">_xlfn.IFS(Y2110&lt;DATE(1996,1,1),"",Y2110&lt;DATE(1996,4,1),"Q1",Y2110&lt;DATE(1996,7,1),"Q2",Y2110&gt;=DATE(1996,7,1),"")</f>
        <v>Q2</v>
      </c>
    </row>
    <row r="2111" spans="1:28" ht="14.4" x14ac:dyDescent="0.55000000000000004">
      <c r="A2111" t="str">
        <f>VLOOKUP(L2111,Customers!$A$2:$B$92,2,FALSE)</f>
        <v>Queen Cozinha</v>
      </c>
      <c r="B2111" t="str">
        <f>VLOOKUP(L2111,Customers!$A$2:$C$92,3,TRUE)</f>
        <v>Lúcia Carvalho</v>
      </c>
      <c r="C2111" t="str">
        <f t="shared" si="545"/>
        <v>Lúcia</v>
      </c>
      <c r="D2111" s="8" t="str">
        <f t="shared" si="546"/>
        <v>Carvalho</v>
      </c>
      <c r="E2111" s="8" t="str">
        <f t="shared" si="547"/>
        <v>Carvalho, Lúcia</v>
      </c>
      <c r="F2111" s="8" t="str">
        <f t="shared" si="548"/>
        <v>Carvalho, Lúcia</v>
      </c>
      <c r="G2111" s="8" t="str">
        <f t="shared" si="549"/>
        <v>not an outlier</v>
      </c>
      <c r="H2111" s="8" t="str">
        <f t="shared" si="550"/>
        <v>Not</v>
      </c>
      <c r="I2111" s="8" t="str">
        <f t="shared" si="560"/>
        <v>no</v>
      </c>
      <c r="J2111" s="10" t="str">
        <f t="shared" si="551"/>
        <v>no</v>
      </c>
      <c r="K2111" s="10" t="str">
        <f t="shared" si="552"/>
        <v>no</v>
      </c>
      <c r="L2111" t="s">
        <v>469</v>
      </c>
      <c r="M2111">
        <v>11068</v>
      </c>
      <c r="N2111">
        <v>77</v>
      </c>
      <c r="O2111" t="s">
        <v>706</v>
      </c>
      <c r="P2111" t="str">
        <f t="shared" si="553"/>
        <v>QUEEN_11068_Original Frankfurter grüne Soße</v>
      </c>
      <c r="Q2111" t="str">
        <f t="shared" si="554"/>
        <v>11068</v>
      </c>
      <c r="R2111" t="str">
        <f t="shared" si="555"/>
        <v>11068</v>
      </c>
      <c r="S2111" t="str">
        <f t="shared" si="556"/>
        <v>Original Frankfurter grüne Soße</v>
      </c>
      <c r="T2111">
        <v>13</v>
      </c>
      <c r="U2111">
        <v>28</v>
      </c>
      <c r="V2111">
        <v>0.15</v>
      </c>
      <c r="W2111">
        <f t="shared" si="557"/>
        <v>309.39999999999998</v>
      </c>
      <c r="X2111" t="str">
        <f t="shared" si="558"/>
        <v>yes</v>
      </c>
      <c r="Y2111" s="2">
        <v>35219</v>
      </c>
      <c r="Z2111" t="str">
        <f t="shared" si="561"/>
        <v/>
      </c>
      <c r="AA2111" t="str">
        <f t="shared" si="559"/>
        <v>2nd Q 1996</v>
      </c>
      <c r="AB2111" t="str" cm="1">
        <f t="array" ref="AB2111">_xlfn.IFS(Y2111&lt;DATE(1996,1,1),"",Y2111&lt;DATE(1996,4,1),"Q1",Y2111&lt;DATE(1996,7,1),"Q2",Y2111&gt;=DATE(1996,7,1),"")</f>
        <v>Q2</v>
      </c>
    </row>
    <row r="2112" spans="1:28" ht="14.4" x14ac:dyDescent="0.55000000000000004">
      <c r="A2112" t="str">
        <f>VLOOKUP(L2112,Customers!$A$2:$B$92,2,FALSE)</f>
        <v>Tortuga Restaurante</v>
      </c>
      <c r="B2112" t="str">
        <f>VLOOKUP(L2112,Customers!$A$2:$C$92,3,TRUE)</f>
        <v>Miguel Angel Paolino</v>
      </c>
      <c r="C2112" t="str">
        <f t="shared" si="545"/>
        <v>Miguel</v>
      </c>
      <c r="D2112" s="8" t="str">
        <f t="shared" si="546"/>
        <v>Angel Paolino</v>
      </c>
      <c r="E2112" s="8" t="str">
        <f t="shared" si="547"/>
        <v>Angel Paolino, Miguel</v>
      </c>
      <c r="F2112" s="8" t="str">
        <f t="shared" si="548"/>
        <v>Angel Paolino, Miguel</v>
      </c>
      <c r="G2112" s="8" t="str">
        <f t="shared" si="549"/>
        <v>not an outlier</v>
      </c>
      <c r="H2112" s="8" t="str">
        <f t="shared" si="550"/>
        <v>Not</v>
      </c>
      <c r="I2112" s="8" t="str">
        <f t="shared" si="560"/>
        <v>no</v>
      </c>
      <c r="J2112" s="10" t="str">
        <f t="shared" si="551"/>
        <v>no</v>
      </c>
      <c r="K2112" s="10" t="str">
        <f t="shared" si="552"/>
        <v>no</v>
      </c>
      <c r="L2112" t="s">
        <v>593</v>
      </c>
      <c r="M2112">
        <v>11069</v>
      </c>
      <c r="N2112">
        <v>39</v>
      </c>
      <c r="O2112" t="s">
        <v>696</v>
      </c>
      <c r="P2112" t="str">
        <f t="shared" si="553"/>
        <v>TORTU_11069_Chartreuse verte</v>
      </c>
      <c r="Q2112" t="str">
        <f t="shared" si="554"/>
        <v>11069</v>
      </c>
      <c r="R2112" t="str">
        <f t="shared" si="555"/>
        <v>11069</v>
      </c>
      <c r="S2112" t="str">
        <f t="shared" si="556"/>
        <v>Chartreuse verte</v>
      </c>
      <c r="T2112">
        <v>18</v>
      </c>
      <c r="U2112">
        <v>20</v>
      </c>
      <c r="V2112">
        <v>0</v>
      </c>
      <c r="W2112">
        <f t="shared" si="557"/>
        <v>360</v>
      </c>
      <c r="X2112" t="str">
        <f t="shared" si="558"/>
        <v>yes</v>
      </c>
      <c r="Y2112" s="2">
        <v>35219</v>
      </c>
      <c r="Z2112" t="str">
        <f t="shared" si="561"/>
        <v/>
      </c>
      <c r="AA2112" t="str">
        <f t="shared" si="559"/>
        <v>2nd Q 1996</v>
      </c>
      <c r="AB2112" t="str" cm="1">
        <f t="array" ref="AB2112">_xlfn.IFS(Y2112&lt;DATE(1996,1,1),"",Y2112&lt;DATE(1996,4,1),"Q1",Y2112&lt;DATE(1996,7,1),"Q2",Y2112&gt;=DATE(1996,7,1),"")</f>
        <v>Q2</v>
      </c>
    </row>
    <row r="2113" spans="1:28" ht="14.4" x14ac:dyDescent="0.55000000000000004">
      <c r="A2113" t="str">
        <f>VLOOKUP(L2113,Customers!$A$2:$B$92,2,FALSE)</f>
        <v>Lehmanns Marktstand</v>
      </c>
      <c r="B2113" t="str">
        <f>VLOOKUP(L2113,Customers!$A$2:$C$92,3,TRUE)</f>
        <v>Renate Messner</v>
      </c>
      <c r="C2113" t="str">
        <f t="shared" si="545"/>
        <v>Renate</v>
      </c>
      <c r="D2113" s="8" t="str">
        <f t="shared" si="546"/>
        <v>Messner</v>
      </c>
      <c r="E2113" s="8" t="str">
        <f t="shared" si="547"/>
        <v>Messner, Renate</v>
      </c>
      <c r="F2113" s="8" t="str">
        <f t="shared" si="548"/>
        <v>Messner, Renate</v>
      </c>
      <c r="G2113" s="8" t="str">
        <f t="shared" si="549"/>
        <v>not an outlier</v>
      </c>
      <c r="H2113" s="8" t="str">
        <f t="shared" si="550"/>
        <v>Not</v>
      </c>
      <c r="I2113" s="8" t="str">
        <f t="shared" si="560"/>
        <v>no</v>
      </c>
      <c r="J2113" s="10" t="str">
        <f t="shared" si="551"/>
        <v>no</v>
      </c>
      <c r="K2113" s="10" t="str">
        <f t="shared" si="552"/>
        <v>no</v>
      </c>
      <c r="L2113" t="s">
        <v>341</v>
      </c>
      <c r="M2113">
        <v>11070</v>
      </c>
      <c r="N2113">
        <v>1</v>
      </c>
      <c r="O2113" t="s">
        <v>735</v>
      </c>
      <c r="P2113" t="str">
        <f t="shared" si="553"/>
        <v>LEHMS_11070_Chai</v>
      </c>
      <c r="Q2113" t="str">
        <f t="shared" si="554"/>
        <v>11070</v>
      </c>
      <c r="R2113" t="str">
        <f t="shared" si="555"/>
        <v>11070</v>
      </c>
      <c r="S2113" t="str">
        <f t="shared" si="556"/>
        <v>Chai</v>
      </c>
      <c r="T2113">
        <v>18</v>
      </c>
      <c r="U2113">
        <v>40</v>
      </c>
      <c r="V2113">
        <v>0.15</v>
      </c>
      <c r="W2113">
        <f t="shared" si="557"/>
        <v>612</v>
      </c>
      <c r="X2113" t="str">
        <f t="shared" si="558"/>
        <v>yes</v>
      </c>
      <c r="Y2113" s="2">
        <v>35220</v>
      </c>
      <c r="Z2113" t="str">
        <f t="shared" si="561"/>
        <v/>
      </c>
      <c r="AA2113" t="str">
        <f t="shared" si="559"/>
        <v>2nd Q 1996</v>
      </c>
      <c r="AB2113" t="str" cm="1">
        <f t="array" ref="AB2113">_xlfn.IFS(Y2113&lt;DATE(1996,1,1),"",Y2113&lt;DATE(1996,4,1),"Q1",Y2113&lt;DATE(1996,7,1),"Q2",Y2113&gt;=DATE(1996,7,1),"")</f>
        <v>Q2</v>
      </c>
    </row>
    <row r="2114" spans="1:28" ht="14.4" x14ac:dyDescent="0.55000000000000004">
      <c r="A2114" t="str">
        <f>VLOOKUP(L2114,Customers!$A$2:$B$92,2,FALSE)</f>
        <v>Lehmanns Marktstand</v>
      </c>
      <c r="B2114" t="str">
        <f>VLOOKUP(L2114,Customers!$A$2:$C$92,3,TRUE)</f>
        <v>Renate Messner</v>
      </c>
      <c r="C2114" t="str">
        <f t="shared" si="545"/>
        <v>Renate</v>
      </c>
      <c r="D2114" s="8" t="str">
        <f t="shared" si="546"/>
        <v>Messner</v>
      </c>
      <c r="E2114" s="8" t="str">
        <f t="shared" si="547"/>
        <v>Messner, Renate</v>
      </c>
      <c r="F2114" s="8" t="str">
        <f t="shared" si="548"/>
        <v>Messner, Renate</v>
      </c>
      <c r="G2114" s="8" t="str">
        <f t="shared" si="549"/>
        <v>not an outlier</v>
      </c>
      <c r="H2114" s="8" t="str">
        <f t="shared" si="550"/>
        <v>Not</v>
      </c>
      <c r="I2114" s="8" t="str">
        <f t="shared" si="560"/>
        <v>no</v>
      </c>
      <c r="J2114" s="10" t="str">
        <f t="shared" si="551"/>
        <v>no</v>
      </c>
      <c r="K2114" s="10" t="str">
        <f t="shared" si="552"/>
        <v>no</v>
      </c>
      <c r="L2114" t="s">
        <v>341</v>
      </c>
      <c r="M2114">
        <v>11070</v>
      </c>
      <c r="N2114">
        <v>2</v>
      </c>
      <c r="O2114" t="s">
        <v>701</v>
      </c>
      <c r="P2114" t="str">
        <f t="shared" si="553"/>
        <v>LEHMS_11070_Chang</v>
      </c>
      <c r="Q2114" t="str">
        <f t="shared" si="554"/>
        <v>11070</v>
      </c>
      <c r="R2114" t="str">
        <f t="shared" si="555"/>
        <v>11070</v>
      </c>
      <c r="S2114" t="str">
        <f t="shared" si="556"/>
        <v>Chang</v>
      </c>
      <c r="T2114">
        <v>19</v>
      </c>
      <c r="U2114">
        <v>20</v>
      </c>
      <c r="V2114">
        <v>0.15</v>
      </c>
      <c r="W2114">
        <f t="shared" si="557"/>
        <v>323</v>
      </c>
      <c r="X2114" t="str">
        <f t="shared" si="558"/>
        <v>yes</v>
      </c>
      <c r="Y2114" s="2">
        <v>35220</v>
      </c>
      <c r="Z2114" t="str">
        <f t="shared" si="561"/>
        <v/>
      </c>
      <c r="AA2114" t="str">
        <f t="shared" si="559"/>
        <v>2nd Q 1996</v>
      </c>
      <c r="AB2114" t="str" cm="1">
        <f t="array" ref="AB2114">_xlfn.IFS(Y2114&lt;DATE(1996,1,1),"",Y2114&lt;DATE(1996,4,1),"Q1",Y2114&lt;DATE(1996,7,1),"Q2",Y2114&gt;=DATE(1996,7,1),"")</f>
        <v>Q2</v>
      </c>
    </row>
    <row r="2115" spans="1:28" ht="14.4" x14ac:dyDescent="0.55000000000000004">
      <c r="A2115" t="str">
        <f>VLOOKUP(L2115,Customers!$A$2:$B$92,2,FALSE)</f>
        <v>Lehmanns Marktstand</v>
      </c>
      <c r="B2115" t="str">
        <f>VLOOKUP(L2115,Customers!$A$2:$C$92,3,TRUE)</f>
        <v>Renate Messner</v>
      </c>
      <c r="C2115" t="str">
        <f t="shared" ref="C2115:C2158" si="562">LEFT(B2115,FIND(" ",B2115)-1)</f>
        <v>Renate</v>
      </c>
      <c r="D2115" s="8" t="str">
        <f t="shared" ref="D2115:D2158" si="563">RIGHT(B2115,LEN(B2115)-FIND(" ",B2115))</f>
        <v>Messner</v>
      </c>
      <c r="E2115" s="8" t="str">
        <f t="shared" ref="E2115:E2158" si="564">_xlfn.CONCAT(D2115,", ",C2115)</f>
        <v>Messner, Renate</v>
      </c>
      <c r="F2115" s="8" t="str">
        <f t="shared" ref="F2115:F2158" si="565">D2115&amp;", "&amp;C2115</f>
        <v>Messner, Renate</v>
      </c>
      <c r="G2115" s="8" t="str">
        <f t="shared" ref="G2115:G2158" si="566">IF(OR(W2115&gt;$W$2166,W2115&lt;$W$2167),"outlier","not an outlier")</f>
        <v>not an outlier</v>
      </c>
      <c r="H2115" s="8" t="str">
        <f t="shared" ref="H2115:H2158" si="567">IF(OR(W2115&gt;$W$2166,W2115&lt;$W$2167),"outlier",IF(OR(W2115&gt;$W$2168,W2115&lt;$W$2169),"moderate","Not"))</f>
        <v>Not</v>
      </c>
      <c r="I2115" s="8" t="str">
        <f t="shared" si="560"/>
        <v>no</v>
      </c>
      <c r="J2115" s="10" t="str">
        <f t="shared" ref="J2115:J2158" si="568">IF(AND(W2115&lt;=$W$2166,W2115&gt;=$W$2167),"no","yes")</f>
        <v>no</v>
      </c>
      <c r="K2115" s="10" t="str">
        <f t="shared" ref="K2115:K2158" si="569">IF(OR(W2115&gt;$W$2166,W2115&lt;$W$2167),"yes",IF(OR(W2115&gt;$W$2168,W2115&lt;$W$2169),"moderate","no"))</f>
        <v>no</v>
      </c>
      <c r="L2115" t="s">
        <v>341</v>
      </c>
      <c r="M2115">
        <v>11070</v>
      </c>
      <c r="N2115">
        <v>16</v>
      </c>
      <c r="O2115" t="s">
        <v>702</v>
      </c>
      <c r="P2115" t="str">
        <f t="shared" ref="P2115:P2158" si="570">L2115&amp;"_"&amp;M2115&amp;"_"&amp;O2115</f>
        <v>LEHMS_11070_Pavlova</v>
      </c>
      <c r="Q2115" t="str">
        <f t="shared" ref="Q2115:Q2158" si="571">LEFT(RIGHT(P2115,LEN(P2115)-FIND("_",P2115)), FIND("_",P2115)-1)</f>
        <v>11070</v>
      </c>
      <c r="R2115" t="str">
        <f t="shared" ref="R2115:R2158" si="572">MID(P2115,FIND("_",P2115)+1,FIND("_",P2115,FIND("_",P2115))-1)</f>
        <v>11070</v>
      </c>
      <c r="S2115" t="str">
        <f t="shared" ref="S2115:S2158" si="573">MID(P2115,FIND("_",P2115,FIND("_",P2115)+1)+1,LEN(P2115))</f>
        <v>Pavlova</v>
      </c>
      <c r="T2115">
        <v>17.45</v>
      </c>
      <c r="U2115">
        <v>30</v>
      </c>
      <c r="V2115">
        <v>0.15</v>
      </c>
      <c r="W2115">
        <f t="shared" ref="W2115:W2158" si="574">T2115*U2115*(1-V2115)</f>
        <v>444.97499999999997</v>
      </c>
      <c r="X2115" t="str">
        <f t="shared" ref="X2115:X2158" si="575">IF(YEAR(Y2115)&gt;=1996,"yes","No")</f>
        <v>yes</v>
      </c>
      <c r="Y2115" s="2">
        <v>35220</v>
      </c>
      <c r="Z2115" t="str">
        <f t="shared" si="561"/>
        <v/>
      </c>
      <c r="AA2115" t="str">
        <f t="shared" ref="AA2115:AA2158" si="576">IF(Y2115&lt;DATE(1996,1,1),"", IF(Y2115&lt;DATE(1996,4,1),"1st Q 1996",IF(Y2115&lt;DATE(1996,7,1),"2nd Q 1996","")))</f>
        <v>2nd Q 1996</v>
      </c>
      <c r="AB2115" t="str" cm="1">
        <f t="array" ref="AB2115">_xlfn.IFS(Y2115&lt;DATE(1996,1,1),"",Y2115&lt;DATE(1996,4,1),"Q1",Y2115&lt;DATE(1996,7,1),"Q2",Y2115&gt;=DATE(1996,7,1),"")</f>
        <v>Q2</v>
      </c>
    </row>
    <row r="2116" spans="1:28" ht="14.4" x14ac:dyDescent="0.55000000000000004">
      <c r="A2116" t="str">
        <f>VLOOKUP(L2116,Customers!$A$2:$B$92,2,FALSE)</f>
        <v>Lehmanns Marktstand</v>
      </c>
      <c r="B2116" t="str">
        <f>VLOOKUP(L2116,Customers!$A$2:$C$92,3,TRUE)</f>
        <v>Renate Messner</v>
      </c>
      <c r="C2116" t="str">
        <f t="shared" si="562"/>
        <v>Renate</v>
      </c>
      <c r="D2116" s="8" t="str">
        <f t="shared" si="563"/>
        <v>Messner</v>
      </c>
      <c r="E2116" s="8" t="str">
        <f t="shared" si="564"/>
        <v>Messner, Renate</v>
      </c>
      <c r="F2116" s="8" t="str">
        <f t="shared" si="565"/>
        <v>Messner, Renate</v>
      </c>
      <c r="G2116" s="8" t="str">
        <f t="shared" si="566"/>
        <v>not an outlier</v>
      </c>
      <c r="H2116" s="8" t="str">
        <f t="shared" si="567"/>
        <v>Not</v>
      </c>
      <c r="I2116" s="8" t="str">
        <f t="shared" ref="I2116:I2158" si="577">IF(OR(W2116&gt;$W$2166,W2116&lt;$W$2167),"yes","no")</f>
        <v>no</v>
      </c>
      <c r="J2116" s="10" t="str">
        <f t="shared" si="568"/>
        <v>no</v>
      </c>
      <c r="K2116" s="10" t="str">
        <f t="shared" si="569"/>
        <v>no</v>
      </c>
      <c r="L2116" t="s">
        <v>341</v>
      </c>
      <c r="M2116">
        <v>11070</v>
      </c>
      <c r="N2116">
        <v>31</v>
      </c>
      <c r="O2116" t="s">
        <v>695</v>
      </c>
      <c r="P2116" t="str">
        <f t="shared" si="570"/>
        <v>LEHMS_11070_Gorgonzola Telino</v>
      </c>
      <c r="Q2116" t="str">
        <f t="shared" si="571"/>
        <v>11070</v>
      </c>
      <c r="R2116" t="str">
        <f t="shared" si="572"/>
        <v>11070</v>
      </c>
      <c r="S2116" t="str">
        <f t="shared" si="573"/>
        <v>Gorgonzola Telino</v>
      </c>
      <c r="T2116">
        <v>12.5</v>
      </c>
      <c r="U2116">
        <v>20</v>
      </c>
      <c r="V2116">
        <v>0</v>
      </c>
      <c r="W2116">
        <f t="shared" si="574"/>
        <v>250</v>
      </c>
      <c r="X2116" t="str">
        <f t="shared" si="575"/>
        <v>yes</v>
      </c>
      <c r="Y2116" s="2">
        <v>35220</v>
      </c>
      <c r="Z2116" t="str">
        <f t="shared" si="561"/>
        <v/>
      </c>
      <c r="AA2116" t="str">
        <f t="shared" si="576"/>
        <v>2nd Q 1996</v>
      </c>
      <c r="AB2116" t="str" cm="1">
        <f t="array" ref="AB2116">_xlfn.IFS(Y2116&lt;DATE(1996,1,1),"",Y2116&lt;DATE(1996,4,1),"Q1",Y2116&lt;DATE(1996,7,1),"Q2",Y2116&gt;=DATE(1996,7,1),"")</f>
        <v>Q2</v>
      </c>
    </row>
    <row r="2117" spans="1:28" ht="14.4" x14ac:dyDescent="0.55000000000000004">
      <c r="A2117" t="str">
        <f>VLOOKUP(L2117,Customers!$A$2:$B$92,2,FALSE)</f>
        <v>LILA-Supermercado</v>
      </c>
      <c r="B2117" t="str">
        <f>VLOOKUP(L2117,Customers!$A$2:$C$92,3,TRUE)</f>
        <v>Carlos González</v>
      </c>
      <c r="C2117" t="str">
        <f t="shared" si="562"/>
        <v>Carlos</v>
      </c>
      <c r="D2117" s="8" t="str">
        <f t="shared" si="563"/>
        <v>González</v>
      </c>
      <c r="E2117" s="8" t="str">
        <f t="shared" si="564"/>
        <v>González, Carlos</v>
      </c>
      <c r="F2117" s="8" t="str">
        <f t="shared" si="565"/>
        <v>González, Carlos</v>
      </c>
      <c r="G2117" s="8" t="str">
        <f t="shared" si="566"/>
        <v>not an outlier</v>
      </c>
      <c r="H2117" s="8" t="str">
        <f t="shared" si="567"/>
        <v>Not</v>
      </c>
      <c r="I2117" s="8" t="str">
        <f t="shared" si="577"/>
        <v>no</v>
      </c>
      <c r="J2117" s="10" t="str">
        <f t="shared" si="568"/>
        <v>no</v>
      </c>
      <c r="K2117" s="10" t="str">
        <f t="shared" si="569"/>
        <v>no</v>
      </c>
      <c r="L2117" t="s">
        <v>355</v>
      </c>
      <c r="M2117">
        <v>11071</v>
      </c>
      <c r="N2117">
        <v>7</v>
      </c>
      <c r="O2117" t="s">
        <v>715</v>
      </c>
      <c r="P2117" t="str">
        <f t="shared" si="570"/>
        <v>LILAS_11071_Uncle Bob's Organic Dried Pears</v>
      </c>
      <c r="Q2117" t="str">
        <f t="shared" si="571"/>
        <v>11071</v>
      </c>
      <c r="R2117" t="str">
        <f t="shared" si="572"/>
        <v>11071</v>
      </c>
      <c r="S2117" t="str">
        <f t="shared" si="573"/>
        <v>Uncle Bob's Organic Dried Pears</v>
      </c>
      <c r="T2117">
        <v>30</v>
      </c>
      <c r="U2117">
        <v>15</v>
      </c>
      <c r="V2117">
        <v>0.05</v>
      </c>
      <c r="W2117">
        <f t="shared" si="574"/>
        <v>427.5</v>
      </c>
      <c r="X2117" t="str">
        <f t="shared" si="575"/>
        <v>yes</v>
      </c>
      <c r="Y2117" s="2">
        <v>35220</v>
      </c>
      <c r="Z2117" t="str">
        <f t="shared" si="561"/>
        <v/>
      </c>
      <c r="AA2117" t="str">
        <f t="shared" si="576"/>
        <v>2nd Q 1996</v>
      </c>
      <c r="AB2117" t="str" cm="1">
        <f t="array" ref="AB2117">_xlfn.IFS(Y2117&lt;DATE(1996,1,1),"",Y2117&lt;DATE(1996,4,1),"Q1",Y2117&lt;DATE(1996,7,1),"Q2",Y2117&gt;=DATE(1996,7,1),"")</f>
        <v>Q2</v>
      </c>
    </row>
    <row r="2118" spans="1:28" ht="14.4" x14ac:dyDescent="0.55000000000000004">
      <c r="A2118" t="str">
        <f>VLOOKUP(L2118,Customers!$A$2:$B$92,2,FALSE)</f>
        <v>LILA-Supermercado</v>
      </c>
      <c r="B2118" t="str">
        <f>VLOOKUP(L2118,Customers!$A$2:$C$92,3,TRUE)</f>
        <v>Carlos González</v>
      </c>
      <c r="C2118" t="str">
        <f t="shared" si="562"/>
        <v>Carlos</v>
      </c>
      <c r="D2118" s="8" t="str">
        <f t="shared" si="563"/>
        <v>González</v>
      </c>
      <c r="E2118" s="8" t="str">
        <f t="shared" si="564"/>
        <v>González, Carlos</v>
      </c>
      <c r="F2118" s="8" t="str">
        <f t="shared" si="565"/>
        <v>González, Carlos</v>
      </c>
      <c r="G2118" s="8" t="str">
        <f t="shared" si="566"/>
        <v>not an outlier</v>
      </c>
      <c r="H2118" s="8" t="str">
        <f t="shared" si="567"/>
        <v>Not</v>
      </c>
      <c r="I2118" s="8" t="str">
        <f t="shared" si="577"/>
        <v>no</v>
      </c>
      <c r="J2118" s="10" t="str">
        <f t="shared" si="568"/>
        <v>no</v>
      </c>
      <c r="K2118" s="10" t="str">
        <f t="shared" si="569"/>
        <v>no</v>
      </c>
      <c r="L2118" t="s">
        <v>355</v>
      </c>
      <c r="M2118">
        <v>11071</v>
      </c>
      <c r="N2118">
        <v>13</v>
      </c>
      <c r="O2118" t="s">
        <v>726</v>
      </c>
      <c r="P2118" t="str">
        <f t="shared" si="570"/>
        <v>LILAS_11071_Konbu</v>
      </c>
      <c r="Q2118" t="str">
        <f t="shared" si="571"/>
        <v>11071</v>
      </c>
      <c r="R2118" t="str">
        <f t="shared" si="572"/>
        <v>11071</v>
      </c>
      <c r="S2118" t="str">
        <f t="shared" si="573"/>
        <v>Konbu</v>
      </c>
      <c r="T2118">
        <v>6</v>
      </c>
      <c r="U2118">
        <v>10</v>
      </c>
      <c r="V2118">
        <v>0.05</v>
      </c>
      <c r="W2118">
        <f t="shared" si="574"/>
        <v>57</v>
      </c>
      <c r="X2118" t="str">
        <f t="shared" si="575"/>
        <v>yes</v>
      </c>
      <c r="Y2118" s="2">
        <v>35220</v>
      </c>
      <c r="Z2118" t="str">
        <f t="shared" si="561"/>
        <v/>
      </c>
      <c r="AA2118" t="str">
        <f t="shared" si="576"/>
        <v>2nd Q 1996</v>
      </c>
      <c r="AB2118" t="str" cm="1">
        <f t="array" ref="AB2118">_xlfn.IFS(Y2118&lt;DATE(1996,1,1),"",Y2118&lt;DATE(1996,4,1),"Q1",Y2118&lt;DATE(1996,7,1),"Q2",Y2118&gt;=DATE(1996,7,1),"")</f>
        <v>Q2</v>
      </c>
    </row>
    <row r="2119" spans="1:28" ht="14.4" x14ac:dyDescent="0.55000000000000004">
      <c r="A2119" t="str">
        <f>VLOOKUP(L2119,Customers!$A$2:$B$92,2,FALSE)</f>
        <v>Ernst Handel</v>
      </c>
      <c r="B2119" t="str">
        <f>VLOOKUP(L2119,Customers!$A$2:$C$92,3,TRUE)</f>
        <v>Roland Mendel</v>
      </c>
      <c r="C2119" t="str">
        <f t="shared" si="562"/>
        <v>Roland</v>
      </c>
      <c r="D2119" s="8" t="str">
        <f t="shared" si="563"/>
        <v>Mendel</v>
      </c>
      <c r="E2119" s="8" t="str">
        <f t="shared" si="564"/>
        <v>Mendel, Roland</v>
      </c>
      <c r="F2119" s="8" t="str">
        <f t="shared" si="565"/>
        <v>Mendel, Roland</v>
      </c>
      <c r="G2119" s="8" t="str">
        <f t="shared" si="566"/>
        <v>not an outlier</v>
      </c>
      <c r="H2119" s="8" t="str">
        <f t="shared" si="567"/>
        <v>Not</v>
      </c>
      <c r="I2119" s="8" t="str">
        <f t="shared" si="577"/>
        <v>no</v>
      </c>
      <c r="J2119" s="10" t="str">
        <f t="shared" si="568"/>
        <v>no</v>
      </c>
      <c r="K2119" s="10" t="str">
        <f t="shared" si="569"/>
        <v>no</v>
      </c>
      <c r="L2119" t="s">
        <v>161</v>
      </c>
      <c r="M2119">
        <v>11072</v>
      </c>
      <c r="N2119">
        <v>2</v>
      </c>
      <c r="O2119" t="s">
        <v>701</v>
      </c>
      <c r="P2119" t="str">
        <f t="shared" si="570"/>
        <v>ERNSH_11072_Chang</v>
      </c>
      <c r="Q2119" t="str">
        <f t="shared" si="571"/>
        <v>11072</v>
      </c>
      <c r="R2119" t="str">
        <f t="shared" si="572"/>
        <v>11072</v>
      </c>
      <c r="S2119" t="str">
        <f t="shared" si="573"/>
        <v>Chang</v>
      </c>
      <c r="T2119">
        <v>19</v>
      </c>
      <c r="U2119">
        <v>8</v>
      </c>
      <c r="V2119">
        <v>0</v>
      </c>
      <c r="W2119">
        <f t="shared" si="574"/>
        <v>152</v>
      </c>
      <c r="X2119" t="str">
        <f t="shared" si="575"/>
        <v>yes</v>
      </c>
      <c r="Y2119" s="2">
        <v>35220</v>
      </c>
      <c r="Z2119" t="str">
        <f t="shared" si="561"/>
        <v/>
      </c>
      <c r="AA2119" t="str">
        <f t="shared" si="576"/>
        <v>2nd Q 1996</v>
      </c>
      <c r="AB2119" t="str" cm="1">
        <f t="array" ref="AB2119">_xlfn.IFS(Y2119&lt;DATE(1996,1,1),"",Y2119&lt;DATE(1996,4,1),"Q1",Y2119&lt;DATE(1996,7,1),"Q2",Y2119&gt;=DATE(1996,7,1),"")</f>
        <v>Q2</v>
      </c>
    </row>
    <row r="2120" spans="1:28" ht="14.4" x14ac:dyDescent="0.55000000000000004">
      <c r="A2120" t="str">
        <f>VLOOKUP(L2120,Customers!$A$2:$B$92,2,FALSE)</f>
        <v>Ernst Handel</v>
      </c>
      <c r="B2120" t="str">
        <f>VLOOKUP(L2120,Customers!$A$2:$C$92,3,TRUE)</f>
        <v>Roland Mendel</v>
      </c>
      <c r="C2120" t="str">
        <f t="shared" si="562"/>
        <v>Roland</v>
      </c>
      <c r="D2120" s="8" t="str">
        <f t="shared" si="563"/>
        <v>Mendel</v>
      </c>
      <c r="E2120" s="8" t="str">
        <f t="shared" si="564"/>
        <v>Mendel, Roland</v>
      </c>
      <c r="F2120" s="8" t="str">
        <f t="shared" si="565"/>
        <v>Mendel, Roland</v>
      </c>
      <c r="G2120" s="8" t="str">
        <f t="shared" si="566"/>
        <v>not an outlier</v>
      </c>
      <c r="H2120" s="8" t="str">
        <f t="shared" si="567"/>
        <v>Not</v>
      </c>
      <c r="I2120" s="8" t="str">
        <f t="shared" si="577"/>
        <v>no</v>
      </c>
      <c r="J2120" s="10" t="str">
        <f t="shared" si="568"/>
        <v>no</v>
      </c>
      <c r="K2120" s="10" t="str">
        <f t="shared" si="569"/>
        <v>no</v>
      </c>
      <c r="L2120" t="s">
        <v>161</v>
      </c>
      <c r="M2120">
        <v>11072</v>
      </c>
      <c r="N2120">
        <v>41</v>
      </c>
      <c r="O2120" t="s">
        <v>688</v>
      </c>
      <c r="P2120" t="str">
        <f t="shared" si="570"/>
        <v>ERNSH_11072_Jack's New England Clam Chowder</v>
      </c>
      <c r="Q2120" t="str">
        <f t="shared" si="571"/>
        <v>11072</v>
      </c>
      <c r="R2120" t="str">
        <f t="shared" si="572"/>
        <v>11072</v>
      </c>
      <c r="S2120" t="str">
        <f t="shared" si="573"/>
        <v>Jack's New England Clam Chowder</v>
      </c>
      <c r="T2120">
        <v>9.65</v>
      </c>
      <c r="U2120">
        <v>40</v>
      </c>
      <c r="V2120">
        <v>0</v>
      </c>
      <c r="W2120">
        <f t="shared" si="574"/>
        <v>386</v>
      </c>
      <c r="X2120" t="str">
        <f t="shared" si="575"/>
        <v>yes</v>
      </c>
      <c r="Y2120" s="2">
        <v>35220</v>
      </c>
      <c r="Z2120" t="str">
        <f t="shared" si="561"/>
        <v/>
      </c>
      <c r="AA2120" t="str">
        <f t="shared" si="576"/>
        <v>2nd Q 1996</v>
      </c>
      <c r="AB2120" t="str" cm="1">
        <f t="array" ref="AB2120">_xlfn.IFS(Y2120&lt;DATE(1996,1,1),"",Y2120&lt;DATE(1996,4,1),"Q1",Y2120&lt;DATE(1996,7,1),"Q2",Y2120&gt;=DATE(1996,7,1),"")</f>
        <v>Q2</v>
      </c>
    </row>
    <row r="2121" spans="1:28" ht="14.4" x14ac:dyDescent="0.55000000000000004">
      <c r="A2121" t="str">
        <f>VLOOKUP(L2121,Customers!$A$2:$B$92,2,FALSE)</f>
        <v>Ernst Handel</v>
      </c>
      <c r="B2121" t="str">
        <f>VLOOKUP(L2121,Customers!$A$2:$C$92,3,TRUE)</f>
        <v>Roland Mendel</v>
      </c>
      <c r="C2121" t="str">
        <f t="shared" si="562"/>
        <v>Roland</v>
      </c>
      <c r="D2121" s="8" t="str">
        <f t="shared" si="563"/>
        <v>Mendel</v>
      </c>
      <c r="E2121" s="8" t="str">
        <f t="shared" si="564"/>
        <v>Mendel, Roland</v>
      </c>
      <c r="F2121" s="8" t="str">
        <f t="shared" si="565"/>
        <v>Mendel, Roland</v>
      </c>
      <c r="G2121" s="8" t="str">
        <f t="shared" si="566"/>
        <v>not an outlier</v>
      </c>
      <c r="H2121" s="8" t="str">
        <f t="shared" si="567"/>
        <v>Not</v>
      </c>
      <c r="I2121" s="8" t="str">
        <f t="shared" si="577"/>
        <v>no</v>
      </c>
      <c r="J2121" s="10" t="str">
        <f t="shared" si="568"/>
        <v>no</v>
      </c>
      <c r="K2121" s="10" t="str">
        <f t="shared" si="569"/>
        <v>no</v>
      </c>
      <c r="L2121" t="s">
        <v>161</v>
      </c>
      <c r="M2121">
        <v>11072</v>
      </c>
      <c r="N2121">
        <v>50</v>
      </c>
      <c r="O2121" t="s">
        <v>755</v>
      </c>
      <c r="P2121" t="str">
        <f t="shared" si="570"/>
        <v>ERNSH_11072_Valkoinen suklaa</v>
      </c>
      <c r="Q2121" t="str">
        <f t="shared" si="571"/>
        <v>11072</v>
      </c>
      <c r="R2121" t="str">
        <f t="shared" si="572"/>
        <v>11072</v>
      </c>
      <c r="S2121" t="str">
        <f t="shared" si="573"/>
        <v>Valkoinen suklaa</v>
      </c>
      <c r="T2121">
        <v>16.25</v>
      </c>
      <c r="U2121">
        <v>22</v>
      </c>
      <c r="V2121">
        <v>0</v>
      </c>
      <c r="W2121">
        <f t="shared" si="574"/>
        <v>357.5</v>
      </c>
      <c r="X2121" t="str">
        <f t="shared" si="575"/>
        <v>yes</v>
      </c>
      <c r="Y2121" s="2">
        <v>35220</v>
      </c>
      <c r="Z2121" t="str">
        <f t="shared" si="561"/>
        <v/>
      </c>
      <c r="AA2121" t="str">
        <f t="shared" si="576"/>
        <v>2nd Q 1996</v>
      </c>
      <c r="AB2121" t="str" cm="1">
        <f t="array" ref="AB2121">_xlfn.IFS(Y2121&lt;DATE(1996,1,1),"",Y2121&lt;DATE(1996,4,1),"Q1",Y2121&lt;DATE(1996,7,1),"Q2",Y2121&gt;=DATE(1996,7,1),"")</f>
        <v>Q2</v>
      </c>
    </row>
    <row r="2122" spans="1:28" ht="14.4" x14ac:dyDescent="0.55000000000000004">
      <c r="A2122" t="str">
        <f>VLOOKUP(L2122,Customers!$A$2:$B$92,2,FALSE)</f>
        <v>Ernst Handel</v>
      </c>
      <c r="B2122" t="str">
        <f>VLOOKUP(L2122,Customers!$A$2:$C$92,3,TRUE)</f>
        <v>Roland Mendel</v>
      </c>
      <c r="C2122" t="str">
        <f t="shared" si="562"/>
        <v>Roland</v>
      </c>
      <c r="D2122" s="8" t="str">
        <f t="shared" si="563"/>
        <v>Mendel</v>
      </c>
      <c r="E2122" s="8" t="str">
        <f t="shared" si="564"/>
        <v>Mendel, Roland</v>
      </c>
      <c r="F2122" s="8" t="str">
        <f t="shared" si="565"/>
        <v>Mendel, Roland</v>
      </c>
      <c r="G2122" s="8" t="str">
        <f t="shared" si="566"/>
        <v>outlier</v>
      </c>
      <c r="H2122" s="8" t="str">
        <f t="shared" si="567"/>
        <v>outlier</v>
      </c>
      <c r="I2122" s="8" t="str">
        <f t="shared" si="577"/>
        <v>yes</v>
      </c>
      <c r="J2122" s="10" t="str">
        <f t="shared" si="568"/>
        <v>yes</v>
      </c>
      <c r="K2122" s="10" t="str">
        <f t="shared" si="569"/>
        <v>yes</v>
      </c>
      <c r="L2122" t="s">
        <v>161</v>
      </c>
      <c r="M2122">
        <v>11072</v>
      </c>
      <c r="N2122">
        <v>64</v>
      </c>
      <c r="O2122" t="s">
        <v>741</v>
      </c>
      <c r="P2122" t="str">
        <f t="shared" si="570"/>
        <v>ERNSH_11072_Wimmers gute Semmelknödel</v>
      </c>
      <c r="Q2122" t="str">
        <f t="shared" si="571"/>
        <v>11072</v>
      </c>
      <c r="R2122" t="str">
        <f t="shared" si="572"/>
        <v>11072</v>
      </c>
      <c r="S2122" t="str">
        <f t="shared" si="573"/>
        <v>Wimmers gute Semmelknödel</v>
      </c>
      <c r="T2122">
        <v>33.25</v>
      </c>
      <c r="U2122">
        <v>130</v>
      </c>
      <c r="V2122">
        <v>0</v>
      </c>
      <c r="W2122">
        <f t="shared" si="574"/>
        <v>4322.5</v>
      </c>
      <c r="X2122" t="str">
        <f t="shared" si="575"/>
        <v>yes</v>
      </c>
      <c r="Y2122" s="2">
        <v>35220</v>
      </c>
      <c r="Z2122" t="str">
        <f t="shared" si="561"/>
        <v/>
      </c>
      <c r="AA2122" t="str">
        <f t="shared" si="576"/>
        <v>2nd Q 1996</v>
      </c>
      <c r="AB2122" t="str" cm="1">
        <f t="array" ref="AB2122">_xlfn.IFS(Y2122&lt;DATE(1996,1,1),"",Y2122&lt;DATE(1996,4,1),"Q1",Y2122&lt;DATE(1996,7,1),"Q2",Y2122&gt;=DATE(1996,7,1),"")</f>
        <v>Q2</v>
      </c>
    </row>
    <row r="2123" spans="1:28" ht="14.4" x14ac:dyDescent="0.55000000000000004">
      <c r="A2123" t="str">
        <f>VLOOKUP(L2123,Customers!$A$2:$B$92,2,FALSE)</f>
        <v>Pericles Comidas clásicas</v>
      </c>
      <c r="B2123" t="str">
        <f>VLOOKUP(L2123,Customers!$A$2:$C$92,3,TRUE)</f>
        <v>Guillermo Fernández</v>
      </c>
      <c r="C2123" t="str">
        <f t="shared" si="562"/>
        <v>Guillermo</v>
      </c>
      <c r="D2123" s="8" t="str">
        <f t="shared" si="563"/>
        <v>Fernández</v>
      </c>
      <c r="E2123" s="8" t="str">
        <f t="shared" si="564"/>
        <v>Fernández, Guillermo</v>
      </c>
      <c r="F2123" s="8" t="str">
        <f t="shared" si="565"/>
        <v>Fernández, Guillermo</v>
      </c>
      <c r="G2123" s="8" t="str">
        <f t="shared" si="566"/>
        <v>not an outlier</v>
      </c>
      <c r="H2123" s="8" t="str">
        <f t="shared" si="567"/>
        <v>Not</v>
      </c>
      <c r="I2123" s="8" t="str">
        <f t="shared" si="577"/>
        <v>no</v>
      </c>
      <c r="J2123" s="10" t="str">
        <f t="shared" si="568"/>
        <v>no</v>
      </c>
      <c r="K2123" s="10" t="str">
        <f t="shared" si="569"/>
        <v>no</v>
      </c>
      <c r="L2123" t="s">
        <v>444</v>
      </c>
      <c r="M2123">
        <v>11073</v>
      </c>
      <c r="N2123">
        <v>11</v>
      </c>
      <c r="O2123" t="s">
        <v>683</v>
      </c>
      <c r="P2123" t="str">
        <f t="shared" si="570"/>
        <v>PERIC_11073_Queso Cabrales</v>
      </c>
      <c r="Q2123" t="str">
        <f t="shared" si="571"/>
        <v>11073</v>
      </c>
      <c r="R2123" t="str">
        <f t="shared" si="572"/>
        <v>11073</v>
      </c>
      <c r="S2123" t="str">
        <f t="shared" si="573"/>
        <v>Queso Cabrales</v>
      </c>
      <c r="T2123">
        <v>21</v>
      </c>
      <c r="U2123">
        <v>10</v>
      </c>
      <c r="V2123">
        <v>0</v>
      </c>
      <c r="W2123">
        <f t="shared" si="574"/>
        <v>210</v>
      </c>
      <c r="X2123" t="str">
        <f t="shared" si="575"/>
        <v>yes</v>
      </c>
      <c r="Y2123" s="2">
        <v>35220</v>
      </c>
      <c r="Z2123" t="str">
        <f t="shared" si="561"/>
        <v/>
      </c>
      <c r="AA2123" t="str">
        <f t="shared" si="576"/>
        <v>2nd Q 1996</v>
      </c>
      <c r="AB2123" t="str" cm="1">
        <f t="array" ref="AB2123">_xlfn.IFS(Y2123&lt;DATE(1996,1,1),"",Y2123&lt;DATE(1996,4,1),"Q1",Y2123&lt;DATE(1996,7,1),"Q2",Y2123&gt;=DATE(1996,7,1),"")</f>
        <v>Q2</v>
      </c>
    </row>
    <row r="2124" spans="1:28" ht="14.4" x14ac:dyDescent="0.55000000000000004">
      <c r="A2124" t="str">
        <f>VLOOKUP(L2124,Customers!$A$2:$B$92,2,FALSE)</f>
        <v>Pericles Comidas clásicas</v>
      </c>
      <c r="B2124" t="str">
        <f>VLOOKUP(L2124,Customers!$A$2:$C$92,3,TRUE)</f>
        <v>Guillermo Fernández</v>
      </c>
      <c r="C2124" t="str">
        <f t="shared" si="562"/>
        <v>Guillermo</v>
      </c>
      <c r="D2124" s="8" t="str">
        <f t="shared" si="563"/>
        <v>Fernández</v>
      </c>
      <c r="E2124" s="8" t="str">
        <f t="shared" si="564"/>
        <v>Fernández, Guillermo</v>
      </c>
      <c r="F2124" s="8" t="str">
        <f t="shared" si="565"/>
        <v>Fernández, Guillermo</v>
      </c>
      <c r="G2124" s="8" t="str">
        <f t="shared" si="566"/>
        <v>not an outlier</v>
      </c>
      <c r="H2124" s="8" t="str">
        <f t="shared" si="567"/>
        <v>Not</v>
      </c>
      <c r="I2124" s="8" t="str">
        <f t="shared" si="577"/>
        <v>no</v>
      </c>
      <c r="J2124" s="10" t="str">
        <f t="shared" si="568"/>
        <v>no</v>
      </c>
      <c r="K2124" s="10" t="str">
        <f t="shared" si="569"/>
        <v>no</v>
      </c>
      <c r="L2124" t="s">
        <v>444</v>
      </c>
      <c r="M2124">
        <v>11073</v>
      </c>
      <c r="N2124">
        <v>24</v>
      </c>
      <c r="O2124" t="s">
        <v>698</v>
      </c>
      <c r="P2124" t="str">
        <f t="shared" si="570"/>
        <v>PERIC_11073_Guaraná Fantástica</v>
      </c>
      <c r="Q2124" t="str">
        <f t="shared" si="571"/>
        <v>11073</v>
      </c>
      <c r="R2124" t="str">
        <f t="shared" si="572"/>
        <v>11073</v>
      </c>
      <c r="S2124" t="str">
        <f t="shared" si="573"/>
        <v>Guaraná Fantástica</v>
      </c>
      <c r="T2124">
        <v>4.5</v>
      </c>
      <c r="U2124">
        <v>20</v>
      </c>
      <c r="V2124">
        <v>0</v>
      </c>
      <c r="W2124">
        <f t="shared" si="574"/>
        <v>90</v>
      </c>
      <c r="X2124" t="str">
        <f t="shared" si="575"/>
        <v>yes</v>
      </c>
      <c r="Y2124" s="2">
        <v>35220</v>
      </c>
      <c r="Z2124" t="str">
        <f t="shared" si="561"/>
        <v/>
      </c>
      <c r="AA2124" t="str">
        <f t="shared" si="576"/>
        <v>2nd Q 1996</v>
      </c>
      <c r="AB2124" t="str" cm="1">
        <f t="array" ref="AB2124">_xlfn.IFS(Y2124&lt;DATE(1996,1,1),"",Y2124&lt;DATE(1996,4,1),"Q1",Y2124&lt;DATE(1996,7,1),"Q2",Y2124&gt;=DATE(1996,7,1),"")</f>
        <v>Q2</v>
      </c>
    </row>
    <row r="2125" spans="1:28" ht="14.4" x14ac:dyDescent="0.55000000000000004">
      <c r="A2125" t="str">
        <f>VLOOKUP(L2125,Customers!$A$2:$B$92,2,FALSE)</f>
        <v>Simons bistro</v>
      </c>
      <c r="B2125" t="str">
        <f>VLOOKUP(L2125,Customers!$A$2:$C$92,3,TRUE)</f>
        <v>Jytte Petersen</v>
      </c>
      <c r="C2125" t="str">
        <f t="shared" si="562"/>
        <v>Jytte</v>
      </c>
      <c r="D2125" s="8" t="str">
        <f t="shared" si="563"/>
        <v>Petersen</v>
      </c>
      <c r="E2125" s="8" t="str">
        <f t="shared" si="564"/>
        <v>Petersen, Jytte</v>
      </c>
      <c r="F2125" s="8" t="str">
        <f t="shared" si="565"/>
        <v>Petersen, Jytte</v>
      </c>
      <c r="G2125" s="8" t="str">
        <f t="shared" si="566"/>
        <v>not an outlier</v>
      </c>
      <c r="H2125" s="8" t="str">
        <f t="shared" si="567"/>
        <v>Not</v>
      </c>
      <c r="I2125" s="8" t="str">
        <f t="shared" si="577"/>
        <v>no</v>
      </c>
      <c r="J2125" s="10" t="str">
        <f t="shared" si="568"/>
        <v>no</v>
      </c>
      <c r="K2125" s="10" t="str">
        <f t="shared" si="569"/>
        <v>no</v>
      </c>
      <c r="L2125" t="s">
        <v>543</v>
      </c>
      <c r="M2125">
        <v>11074</v>
      </c>
      <c r="N2125">
        <v>16</v>
      </c>
      <c r="O2125" t="s">
        <v>702</v>
      </c>
      <c r="P2125" t="str">
        <f t="shared" si="570"/>
        <v>SIMOB_11074_Pavlova</v>
      </c>
      <c r="Q2125" t="str">
        <f t="shared" si="571"/>
        <v>11074</v>
      </c>
      <c r="R2125" t="str">
        <f t="shared" si="572"/>
        <v>11074</v>
      </c>
      <c r="S2125" t="str">
        <f t="shared" si="573"/>
        <v>Pavlova</v>
      </c>
      <c r="T2125">
        <v>17.45</v>
      </c>
      <c r="U2125">
        <v>14</v>
      </c>
      <c r="V2125">
        <v>0.05</v>
      </c>
      <c r="W2125">
        <f t="shared" si="574"/>
        <v>232.08499999999998</v>
      </c>
      <c r="X2125" t="str">
        <f t="shared" si="575"/>
        <v>yes</v>
      </c>
      <c r="Y2125" s="2">
        <v>35221</v>
      </c>
      <c r="Z2125" t="str">
        <f t="shared" si="561"/>
        <v/>
      </c>
      <c r="AA2125" t="str">
        <f t="shared" si="576"/>
        <v>2nd Q 1996</v>
      </c>
      <c r="AB2125" t="str" cm="1">
        <f t="array" ref="AB2125">_xlfn.IFS(Y2125&lt;DATE(1996,1,1),"",Y2125&lt;DATE(1996,4,1),"Q1",Y2125&lt;DATE(1996,7,1),"Q2",Y2125&gt;=DATE(1996,7,1),"")</f>
        <v>Q2</v>
      </c>
    </row>
    <row r="2126" spans="1:28" ht="14.4" x14ac:dyDescent="0.55000000000000004">
      <c r="A2126" t="str">
        <f>VLOOKUP(L2126,Customers!$A$2:$B$92,2,FALSE)</f>
        <v>Richter Supermarkt</v>
      </c>
      <c r="B2126" t="str">
        <f>VLOOKUP(L2126,Customers!$A$2:$C$92,3,TRUE)</f>
        <v>Michael Holz</v>
      </c>
      <c r="C2126" t="str">
        <f t="shared" si="562"/>
        <v>Michael</v>
      </c>
      <c r="D2126" s="8" t="str">
        <f t="shared" si="563"/>
        <v>Holz</v>
      </c>
      <c r="E2126" s="8" t="str">
        <f t="shared" si="564"/>
        <v>Holz, Michael</v>
      </c>
      <c r="F2126" s="8" t="str">
        <f t="shared" si="565"/>
        <v>Holz, Michael</v>
      </c>
      <c r="G2126" s="8" t="str">
        <f t="shared" si="566"/>
        <v>not an outlier</v>
      </c>
      <c r="H2126" s="8" t="str">
        <f t="shared" si="567"/>
        <v>Not</v>
      </c>
      <c r="I2126" s="8" t="str">
        <f t="shared" si="577"/>
        <v>no</v>
      </c>
      <c r="J2126" s="10" t="str">
        <f t="shared" si="568"/>
        <v>no</v>
      </c>
      <c r="K2126" s="10" t="str">
        <f t="shared" si="569"/>
        <v>no</v>
      </c>
      <c r="L2126" t="s">
        <v>509</v>
      </c>
      <c r="M2126">
        <v>11075</v>
      </c>
      <c r="N2126">
        <v>2</v>
      </c>
      <c r="O2126" t="s">
        <v>701</v>
      </c>
      <c r="P2126" t="str">
        <f t="shared" si="570"/>
        <v>RICSU_11075_Chang</v>
      </c>
      <c r="Q2126" t="str">
        <f t="shared" si="571"/>
        <v>11075</v>
      </c>
      <c r="R2126" t="str">
        <f t="shared" si="572"/>
        <v>11075</v>
      </c>
      <c r="S2126" t="str">
        <f t="shared" si="573"/>
        <v>Chang</v>
      </c>
      <c r="T2126">
        <v>19</v>
      </c>
      <c r="U2126">
        <v>10</v>
      </c>
      <c r="V2126">
        <v>0.15</v>
      </c>
      <c r="W2126">
        <f t="shared" si="574"/>
        <v>161.5</v>
      </c>
      <c r="X2126" t="str">
        <f t="shared" si="575"/>
        <v>yes</v>
      </c>
      <c r="Y2126" s="2">
        <v>35221</v>
      </c>
      <c r="Z2126" t="str">
        <f t="shared" si="561"/>
        <v/>
      </c>
      <c r="AA2126" t="str">
        <f t="shared" si="576"/>
        <v>2nd Q 1996</v>
      </c>
      <c r="AB2126" t="str" cm="1">
        <f t="array" ref="AB2126">_xlfn.IFS(Y2126&lt;DATE(1996,1,1),"",Y2126&lt;DATE(1996,4,1),"Q1",Y2126&lt;DATE(1996,7,1),"Q2",Y2126&gt;=DATE(1996,7,1),"")</f>
        <v>Q2</v>
      </c>
    </row>
    <row r="2127" spans="1:28" ht="14.4" x14ac:dyDescent="0.55000000000000004">
      <c r="A2127" t="str">
        <f>VLOOKUP(L2127,Customers!$A$2:$B$92,2,FALSE)</f>
        <v>Richter Supermarkt</v>
      </c>
      <c r="B2127" t="str">
        <f>VLOOKUP(L2127,Customers!$A$2:$C$92,3,TRUE)</f>
        <v>Michael Holz</v>
      </c>
      <c r="C2127" t="str">
        <f t="shared" si="562"/>
        <v>Michael</v>
      </c>
      <c r="D2127" s="8" t="str">
        <f t="shared" si="563"/>
        <v>Holz</v>
      </c>
      <c r="E2127" s="8" t="str">
        <f t="shared" si="564"/>
        <v>Holz, Michael</v>
      </c>
      <c r="F2127" s="8" t="str">
        <f t="shared" si="565"/>
        <v>Holz, Michael</v>
      </c>
      <c r="G2127" s="8" t="str">
        <f t="shared" si="566"/>
        <v>not an outlier</v>
      </c>
      <c r="H2127" s="8" t="str">
        <f t="shared" si="567"/>
        <v>Not</v>
      </c>
      <c r="I2127" s="8" t="str">
        <f t="shared" si="577"/>
        <v>no</v>
      </c>
      <c r="J2127" s="10" t="str">
        <f t="shared" si="568"/>
        <v>no</v>
      </c>
      <c r="K2127" s="10" t="str">
        <f t="shared" si="569"/>
        <v>no</v>
      </c>
      <c r="L2127" t="s">
        <v>509</v>
      </c>
      <c r="M2127">
        <v>11075</v>
      </c>
      <c r="N2127">
        <v>46</v>
      </c>
      <c r="O2127" t="s">
        <v>737</v>
      </c>
      <c r="P2127" t="str">
        <f t="shared" si="570"/>
        <v>RICSU_11075_Spegesild</v>
      </c>
      <c r="Q2127" t="str">
        <f t="shared" si="571"/>
        <v>11075</v>
      </c>
      <c r="R2127" t="str">
        <f t="shared" si="572"/>
        <v>11075</v>
      </c>
      <c r="S2127" t="str">
        <f t="shared" si="573"/>
        <v>Spegesild</v>
      </c>
      <c r="T2127">
        <v>12</v>
      </c>
      <c r="U2127">
        <v>30</v>
      </c>
      <c r="V2127">
        <v>0.15</v>
      </c>
      <c r="W2127">
        <f t="shared" si="574"/>
        <v>306</v>
      </c>
      <c r="X2127" t="str">
        <f t="shared" si="575"/>
        <v>yes</v>
      </c>
      <c r="Y2127" s="2">
        <v>35221</v>
      </c>
      <c r="Z2127" t="str">
        <f t="shared" si="561"/>
        <v/>
      </c>
      <c r="AA2127" t="str">
        <f t="shared" si="576"/>
        <v>2nd Q 1996</v>
      </c>
      <c r="AB2127" t="str" cm="1">
        <f t="array" ref="AB2127">_xlfn.IFS(Y2127&lt;DATE(1996,1,1),"",Y2127&lt;DATE(1996,4,1),"Q1",Y2127&lt;DATE(1996,7,1),"Q2",Y2127&gt;=DATE(1996,7,1),"")</f>
        <v>Q2</v>
      </c>
    </row>
    <row r="2128" spans="1:28" ht="14.4" x14ac:dyDescent="0.55000000000000004">
      <c r="A2128" t="str">
        <f>VLOOKUP(L2128,Customers!$A$2:$B$92,2,FALSE)</f>
        <v>Richter Supermarkt</v>
      </c>
      <c r="B2128" t="str">
        <f>VLOOKUP(L2128,Customers!$A$2:$C$92,3,TRUE)</f>
        <v>Michael Holz</v>
      </c>
      <c r="C2128" t="str">
        <f t="shared" si="562"/>
        <v>Michael</v>
      </c>
      <c r="D2128" s="8" t="str">
        <f t="shared" si="563"/>
        <v>Holz</v>
      </c>
      <c r="E2128" s="8" t="str">
        <f t="shared" si="564"/>
        <v>Holz, Michael</v>
      </c>
      <c r="F2128" s="8" t="str">
        <f t="shared" si="565"/>
        <v>Holz, Michael</v>
      </c>
      <c r="G2128" s="8" t="str">
        <f t="shared" si="566"/>
        <v>not an outlier</v>
      </c>
      <c r="H2128" s="8" t="str">
        <f t="shared" si="567"/>
        <v>Not</v>
      </c>
      <c r="I2128" s="8" t="str">
        <f t="shared" si="577"/>
        <v>no</v>
      </c>
      <c r="J2128" s="10" t="str">
        <f t="shared" si="568"/>
        <v>no</v>
      </c>
      <c r="K2128" s="10" t="str">
        <f t="shared" si="569"/>
        <v>no</v>
      </c>
      <c r="L2128" t="s">
        <v>509</v>
      </c>
      <c r="M2128">
        <v>11075</v>
      </c>
      <c r="N2128">
        <v>76</v>
      </c>
      <c r="O2128" t="s">
        <v>721</v>
      </c>
      <c r="P2128" t="str">
        <f t="shared" si="570"/>
        <v>RICSU_11075_Lakkalikööri</v>
      </c>
      <c r="Q2128" t="str">
        <f t="shared" si="571"/>
        <v>11075</v>
      </c>
      <c r="R2128" t="str">
        <f t="shared" si="572"/>
        <v>11075</v>
      </c>
      <c r="S2128" t="str">
        <f t="shared" si="573"/>
        <v>Lakkalikööri</v>
      </c>
      <c r="T2128">
        <v>18</v>
      </c>
      <c r="U2128">
        <v>2</v>
      </c>
      <c r="V2128">
        <v>0.15</v>
      </c>
      <c r="W2128">
        <f t="shared" si="574"/>
        <v>30.599999999999998</v>
      </c>
      <c r="X2128" t="str">
        <f t="shared" si="575"/>
        <v>yes</v>
      </c>
      <c r="Y2128" s="2">
        <v>35221</v>
      </c>
      <c r="Z2128" t="str">
        <f t="shared" si="561"/>
        <v/>
      </c>
      <c r="AA2128" t="str">
        <f t="shared" si="576"/>
        <v>2nd Q 1996</v>
      </c>
      <c r="AB2128" t="str" cm="1">
        <f t="array" ref="AB2128">_xlfn.IFS(Y2128&lt;DATE(1996,1,1),"",Y2128&lt;DATE(1996,4,1),"Q1",Y2128&lt;DATE(1996,7,1),"Q2",Y2128&gt;=DATE(1996,7,1),"")</f>
        <v>Q2</v>
      </c>
    </row>
    <row r="2129" spans="1:28" ht="14.4" x14ac:dyDescent="0.55000000000000004">
      <c r="A2129" t="str">
        <f>VLOOKUP(L2129,Customers!$A$2:$B$92,2,FALSE)</f>
        <v>Bon app'</v>
      </c>
      <c r="B2129" t="str">
        <f>VLOOKUP(L2129,Customers!$A$2:$C$92,3,TRUE)</f>
        <v>Laurence Lebihan</v>
      </c>
      <c r="C2129" t="str">
        <f t="shared" si="562"/>
        <v>Laurence</v>
      </c>
      <c r="D2129" s="8" t="str">
        <f t="shared" si="563"/>
        <v>Lebihan</v>
      </c>
      <c r="E2129" s="8" t="str">
        <f t="shared" si="564"/>
        <v>Lebihan, Laurence</v>
      </c>
      <c r="F2129" s="8" t="str">
        <f t="shared" si="565"/>
        <v>Lebihan, Laurence</v>
      </c>
      <c r="G2129" s="8" t="str">
        <f t="shared" si="566"/>
        <v>not an outlier</v>
      </c>
      <c r="H2129" s="8" t="str">
        <f t="shared" si="567"/>
        <v>Not</v>
      </c>
      <c r="I2129" s="8" t="str">
        <f t="shared" si="577"/>
        <v>no</v>
      </c>
      <c r="J2129" s="10" t="str">
        <f t="shared" si="568"/>
        <v>no</v>
      </c>
      <c r="K2129" s="10" t="str">
        <f t="shared" si="569"/>
        <v>no</v>
      </c>
      <c r="L2129" t="s">
        <v>77</v>
      </c>
      <c r="M2129">
        <v>11076</v>
      </c>
      <c r="N2129">
        <v>6</v>
      </c>
      <c r="O2129" t="s">
        <v>746</v>
      </c>
      <c r="P2129" t="str">
        <f t="shared" si="570"/>
        <v>BONAP_11076_Grandma's Boysenberry Spread</v>
      </c>
      <c r="Q2129" t="str">
        <f t="shared" si="571"/>
        <v>11076</v>
      </c>
      <c r="R2129" t="str">
        <f t="shared" si="572"/>
        <v>11076</v>
      </c>
      <c r="S2129" t="str">
        <f t="shared" si="573"/>
        <v>Grandma's Boysenberry Spread</v>
      </c>
      <c r="T2129">
        <v>25</v>
      </c>
      <c r="U2129">
        <v>20</v>
      </c>
      <c r="V2129">
        <v>0.25</v>
      </c>
      <c r="W2129">
        <f t="shared" si="574"/>
        <v>375</v>
      </c>
      <c r="X2129" t="str">
        <f t="shared" si="575"/>
        <v>yes</v>
      </c>
      <c r="Y2129" s="2">
        <v>35221</v>
      </c>
      <c r="Z2129" t="str">
        <f t="shared" si="561"/>
        <v/>
      </c>
      <c r="AA2129" t="str">
        <f t="shared" si="576"/>
        <v>2nd Q 1996</v>
      </c>
      <c r="AB2129" t="str" cm="1">
        <f t="array" ref="AB2129">_xlfn.IFS(Y2129&lt;DATE(1996,1,1),"",Y2129&lt;DATE(1996,4,1),"Q1",Y2129&lt;DATE(1996,7,1),"Q2",Y2129&gt;=DATE(1996,7,1),"")</f>
        <v>Q2</v>
      </c>
    </row>
    <row r="2130" spans="1:28" ht="14.4" x14ac:dyDescent="0.55000000000000004">
      <c r="A2130" t="str">
        <f>VLOOKUP(L2130,Customers!$A$2:$B$92,2,FALSE)</f>
        <v>Bon app'</v>
      </c>
      <c r="B2130" t="str">
        <f>VLOOKUP(L2130,Customers!$A$2:$C$92,3,TRUE)</f>
        <v>Laurence Lebihan</v>
      </c>
      <c r="C2130" t="str">
        <f t="shared" si="562"/>
        <v>Laurence</v>
      </c>
      <c r="D2130" s="8" t="str">
        <f t="shared" si="563"/>
        <v>Lebihan</v>
      </c>
      <c r="E2130" s="8" t="str">
        <f t="shared" si="564"/>
        <v>Lebihan, Laurence</v>
      </c>
      <c r="F2130" s="8" t="str">
        <f t="shared" si="565"/>
        <v>Lebihan, Laurence</v>
      </c>
      <c r="G2130" s="8" t="str">
        <f t="shared" si="566"/>
        <v>not an outlier</v>
      </c>
      <c r="H2130" s="8" t="str">
        <f t="shared" si="567"/>
        <v>Not</v>
      </c>
      <c r="I2130" s="8" t="str">
        <f t="shared" si="577"/>
        <v>no</v>
      </c>
      <c r="J2130" s="10" t="str">
        <f t="shared" si="568"/>
        <v>no</v>
      </c>
      <c r="K2130" s="10" t="str">
        <f t="shared" si="569"/>
        <v>no</v>
      </c>
      <c r="L2130" t="s">
        <v>77</v>
      </c>
      <c r="M2130">
        <v>11076</v>
      </c>
      <c r="N2130">
        <v>14</v>
      </c>
      <c r="O2130" t="s">
        <v>686</v>
      </c>
      <c r="P2130" t="str">
        <f t="shared" si="570"/>
        <v>BONAP_11076_Tofu</v>
      </c>
      <c r="Q2130" t="str">
        <f t="shared" si="571"/>
        <v>11076</v>
      </c>
      <c r="R2130" t="str">
        <f t="shared" si="572"/>
        <v>11076</v>
      </c>
      <c r="S2130" t="str">
        <f t="shared" si="573"/>
        <v>Tofu</v>
      </c>
      <c r="T2130">
        <v>23.25</v>
      </c>
      <c r="U2130">
        <v>20</v>
      </c>
      <c r="V2130">
        <v>0.25</v>
      </c>
      <c r="W2130">
        <f t="shared" si="574"/>
        <v>348.75</v>
      </c>
      <c r="X2130" t="str">
        <f t="shared" si="575"/>
        <v>yes</v>
      </c>
      <c r="Y2130" s="2">
        <v>35221</v>
      </c>
      <c r="Z2130" t="str">
        <f t="shared" si="561"/>
        <v/>
      </c>
      <c r="AA2130" t="str">
        <f t="shared" si="576"/>
        <v>2nd Q 1996</v>
      </c>
      <c r="AB2130" t="str" cm="1">
        <f t="array" ref="AB2130">_xlfn.IFS(Y2130&lt;DATE(1996,1,1),"",Y2130&lt;DATE(1996,4,1),"Q1",Y2130&lt;DATE(1996,7,1),"Q2",Y2130&gt;=DATE(1996,7,1),"")</f>
        <v>Q2</v>
      </c>
    </row>
    <row r="2131" spans="1:28" ht="14.4" x14ac:dyDescent="0.55000000000000004">
      <c r="A2131" t="str">
        <f>VLOOKUP(L2131,Customers!$A$2:$B$92,2,FALSE)</f>
        <v>Bon app'</v>
      </c>
      <c r="B2131" t="str">
        <f>VLOOKUP(L2131,Customers!$A$2:$C$92,3,TRUE)</f>
        <v>Laurence Lebihan</v>
      </c>
      <c r="C2131" t="str">
        <f t="shared" si="562"/>
        <v>Laurence</v>
      </c>
      <c r="D2131" s="8" t="str">
        <f t="shared" si="563"/>
        <v>Lebihan</v>
      </c>
      <c r="E2131" s="8" t="str">
        <f t="shared" si="564"/>
        <v>Lebihan, Laurence</v>
      </c>
      <c r="F2131" s="8" t="str">
        <f t="shared" si="565"/>
        <v>Lebihan, Laurence</v>
      </c>
      <c r="G2131" s="8" t="str">
        <f t="shared" si="566"/>
        <v>not an outlier</v>
      </c>
      <c r="H2131" s="8" t="str">
        <f t="shared" si="567"/>
        <v>Not</v>
      </c>
      <c r="I2131" s="8" t="str">
        <f t="shared" si="577"/>
        <v>no</v>
      </c>
      <c r="J2131" s="10" t="str">
        <f t="shared" si="568"/>
        <v>no</v>
      </c>
      <c r="K2131" s="10" t="str">
        <f t="shared" si="569"/>
        <v>no</v>
      </c>
      <c r="L2131" t="s">
        <v>77</v>
      </c>
      <c r="M2131">
        <v>11076</v>
      </c>
      <c r="N2131">
        <v>19</v>
      </c>
      <c r="O2131" t="s">
        <v>732</v>
      </c>
      <c r="P2131" t="str">
        <f t="shared" si="570"/>
        <v>BONAP_11076_Teatime Chocolate Biscuits</v>
      </c>
      <c r="Q2131" t="str">
        <f t="shared" si="571"/>
        <v>11076</v>
      </c>
      <c r="R2131" t="str">
        <f t="shared" si="572"/>
        <v>11076</v>
      </c>
      <c r="S2131" t="str">
        <f t="shared" si="573"/>
        <v>Teatime Chocolate Biscuits</v>
      </c>
      <c r="T2131">
        <v>9.1999999999999993</v>
      </c>
      <c r="U2131">
        <v>10</v>
      </c>
      <c r="V2131">
        <v>0.25</v>
      </c>
      <c r="W2131">
        <f t="shared" si="574"/>
        <v>69</v>
      </c>
      <c r="X2131" t="str">
        <f t="shared" si="575"/>
        <v>yes</v>
      </c>
      <c r="Y2131" s="2">
        <v>35221</v>
      </c>
      <c r="Z2131" t="str">
        <f t="shared" si="561"/>
        <v/>
      </c>
      <c r="AA2131" t="str">
        <f t="shared" si="576"/>
        <v>2nd Q 1996</v>
      </c>
      <c r="AB2131" t="str" cm="1">
        <f t="array" ref="AB2131">_xlfn.IFS(Y2131&lt;DATE(1996,1,1),"",Y2131&lt;DATE(1996,4,1),"Q1",Y2131&lt;DATE(1996,7,1),"Q2",Y2131&gt;=DATE(1996,7,1),"")</f>
        <v>Q2</v>
      </c>
    </row>
    <row r="2132" spans="1:28" ht="14.4" x14ac:dyDescent="0.55000000000000004">
      <c r="A2132" t="str">
        <f>VLOOKUP(L2132,Customers!$A$2:$B$92,2,FALSE)</f>
        <v>Rattlesnake Canyon Grocery</v>
      </c>
      <c r="B2132" t="str">
        <f>VLOOKUP(L2132,Customers!$A$2:$C$92,3,TRUE)</f>
        <v>Paula Wilson</v>
      </c>
      <c r="C2132" t="str">
        <f t="shared" si="562"/>
        <v>Paula</v>
      </c>
      <c r="D2132" s="8" t="str">
        <f t="shared" si="563"/>
        <v>Wilson</v>
      </c>
      <c r="E2132" s="8" t="str">
        <f t="shared" si="564"/>
        <v>Wilson, Paula</v>
      </c>
      <c r="F2132" s="8" t="str">
        <f t="shared" si="565"/>
        <v>Wilson, Paula</v>
      </c>
      <c r="G2132" s="8" t="str">
        <f t="shared" si="566"/>
        <v>not an outlier</v>
      </c>
      <c r="H2132" s="8" t="str">
        <f t="shared" si="567"/>
        <v>Not</v>
      </c>
      <c r="I2132" s="8" t="str">
        <f t="shared" si="577"/>
        <v>no</v>
      </c>
      <c r="J2132" s="10" t="str">
        <f t="shared" si="568"/>
        <v>no</v>
      </c>
      <c r="K2132" s="10" t="str">
        <f t="shared" si="569"/>
        <v>no</v>
      </c>
      <c r="L2132" t="s">
        <v>487</v>
      </c>
      <c r="M2132">
        <v>11077</v>
      </c>
      <c r="N2132">
        <v>2</v>
      </c>
      <c r="O2132" t="s">
        <v>701</v>
      </c>
      <c r="P2132" t="str">
        <f t="shared" si="570"/>
        <v>RATTC_11077_Chang</v>
      </c>
      <c r="Q2132" t="str">
        <f t="shared" si="571"/>
        <v>11077</v>
      </c>
      <c r="R2132" t="str">
        <f t="shared" si="572"/>
        <v>11077</v>
      </c>
      <c r="S2132" t="str">
        <f t="shared" si="573"/>
        <v>Chang</v>
      </c>
      <c r="T2132">
        <v>19</v>
      </c>
      <c r="U2132">
        <v>24</v>
      </c>
      <c r="V2132">
        <v>0.2</v>
      </c>
      <c r="W2132">
        <f t="shared" si="574"/>
        <v>364.8</v>
      </c>
      <c r="X2132" t="str">
        <f t="shared" si="575"/>
        <v>yes</v>
      </c>
      <c r="Y2132" s="2">
        <v>35221</v>
      </c>
      <c r="Z2132" t="str">
        <f t="shared" si="561"/>
        <v/>
      </c>
      <c r="AA2132" t="str">
        <f t="shared" si="576"/>
        <v>2nd Q 1996</v>
      </c>
      <c r="AB2132" t="str" cm="1">
        <f t="array" ref="AB2132">_xlfn.IFS(Y2132&lt;DATE(1996,1,1),"",Y2132&lt;DATE(1996,4,1),"Q1",Y2132&lt;DATE(1996,7,1),"Q2",Y2132&gt;=DATE(1996,7,1),"")</f>
        <v>Q2</v>
      </c>
    </row>
    <row r="2133" spans="1:28" ht="14.4" x14ac:dyDescent="0.55000000000000004">
      <c r="A2133" t="str">
        <f>VLOOKUP(L2133,Customers!$A$2:$B$92,2,FALSE)</f>
        <v>Rattlesnake Canyon Grocery</v>
      </c>
      <c r="B2133" t="str">
        <f>VLOOKUP(L2133,Customers!$A$2:$C$92,3,TRUE)</f>
        <v>Paula Wilson</v>
      </c>
      <c r="C2133" t="str">
        <f t="shared" si="562"/>
        <v>Paula</v>
      </c>
      <c r="D2133" s="8" t="str">
        <f t="shared" si="563"/>
        <v>Wilson</v>
      </c>
      <c r="E2133" s="8" t="str">
        <f t="shared" si="564"/>
        <v>Wilson, Paula</v>
      </c>
      <c r="F2133" s="8" t="str">
        <f t="shared" si="565"/>
        <v>Wilson, Paula</v>
      </c>
      <c r="G2133" s="8" t="str">
        <f t="shared" si="566"/>
        <v>not an outlier</v>
      </c>
      <c r="H2133" s="8" t="str">
        <f t="shared" si="567"/>
        <v>Not</v>
      </c>
      <c r="I2133" s="8" t="str">
        <f t="shared" si="577"/>
        <v>no</v>
      </c>
      <c r="J2133" s="10" t="str">
        <f t="shared" si="568"/>
        <v>no</v>
      </c>
      <c r="K2133" s="10" t="str">
        <f t="shared" si="569"/>
        <v>no</v>
      </c>
      <c r="L2133" t="s">
        <v>487</v>
      </c>
      <c r="M2133">
        <v>11077</v>
      </c>
      <c r="N2133">
        <v>3</v>
      </c>
      <c r="O2133" t="s">
        <v>740</v>
      </c>
      <c r="P2133" t="str">
        <f t="shared" si="570"/>
        <v>RATTC_11077_Aniseed Syrup</v>
      </c>
      <c r="Q2133" t="str">
        <f t="shared" si="571"/>
        <v>11077</v>
      </c>
      <c r="R2133" t="str">
        <f t="shared" si="572"/>
        <v>11077</v>
      </c>
      <c r="S2133" t="str">
        <f t="shared" si="573"/>
        <v>Aniseed Syrup</v>
      </c>
      <c r="T2133">
        <v>10</v>
      </c>
      <c r="U2133">
        <v>4</v>
      </c>
      <c r="V2133">
        <v>0</v>
      </c>
      <c r="W2133">
        <f t="shared" si="574"/>
        <v>40</v>
      </c>
      <c r="X2133" t="str">
        <f t="shared" si="575"/>
        <v>yes</v>
      </c>
      <c r="Y2133" s="2">
        <v>35221</v>
      </c>
      <c r="Z2133" t="str">
        <f t="shared" si="561"/>
        <v/>
      </c>
      <c r="AA2133" t="str">
        <f t="shared" si="576"/>
        <v>2nd Q 1996</v>
      </c>
      <c r="AB2133" t="str" cm="1">
        <f t="array" ref="AB2133">_xlfn.IFS(Y2133&lt;DATE(1996,1,1),"",Y2133&lt;DATE(1996,4,1),"Q1",Y2133&lt;DATE(1996,7,1),"Q2",Y2133&gt;=DATE(1996,7,1),"")</f>
        <v>Q2</v>
      </c>
    </row>
    <row r="2134" spans="1:28" ht="14.4" x14ac:dyDescent="0.55000000000000004">
      <c r="A2134" t="str">
        <f>VLOOKUP(L2134,Customers!$A$2:$B$92,2,FALSE)</f>
        <v>Rattlesnake Canyon Grocery</v>
      </c>
      <c r="B2134" t="str">
        <f>VLOOKUP(L2134,Customers!$A$2:$C$92,3,TRUE)</f>
        <v>Paula Wilson</v>
      </c>
      <c r="C2134" t="str">
        <f t="shared" si="562"/>
        <v>Paula</v>
      </c>
      <c r="D2134" s="8" t="str">
        <f t="shared" si="563"/>
        <v>Wilson</v>
      </c>
      <c r="E2134" s="8" t="str">
        <f t="shared" si="564"/>
        <v>Wilson, Paula</v>
      </c>
      <c r="F2134" s="8" t="str">
        <f t="shared" si="565"/>
        <v>Wilson, Paula</v>
      </c>
      <c r="G2134" s="8" t="str">
        <f t="shared" si="566"/>
        <v>not an outlier</v>
      </c>
      <c r="H2134" s="8" t="str">
        <f t="shared" si="567"/>
        <v>Not</v>
      </c>
      <c r="I2134" s="8" t="str">
        <f t="shared" si="577"/>
        <v>no</v>
      </c>
      <c r="J2134" s="10" t="str">
        <f t="shared" si="568"/>
        <v>no</v>
      </c>
      <c r="K2134" s="10" t="str">
        <f t="shared" si="569"/>
        <v>no</v>
      </c>
      <c r="L2134" t="s">
        <v>487</v>
      </c>
      <c r="M2134">
        <v>11077</v>
      </c>
      <c r="N2134">
        <v>4</v>
      </c>
      <c r="O2134" t="s">
        <v>745</v>
      </c>
      <c r="P2134" t="str">
        <f t="shared" si="570"/>
        <v>RATTC_11077_Chef Anton's Cajun Seasoning</v>
      </c>
      <c r="Q2134" t="str">
        <f t="shared" si="571"/>
        <v>11077</v>
      </c>
      <c r="R2134" t="str">
        <f t="shared" si="572"/>
        <v>11077</v>
      </c>
      <c r="S2134" t="str">
        <f t="shared" si="573"/>
        <v>Chef Anton's Cajun Seasoning</v>
      </c>
      <c r="T2134">
        <v>22</v>
      </c>
      <c r="U2134">
        <v>1</v>
      </c>
      <c r="V2134">
        <v>0</v>
      </c>
      <c r="W2134">
        <f t="shared" si="574"/>
        <v>22</v>
      </c>
      <c r="X2134" t="str">
        <f t="shared" si="575"/>
        <v>yes</v>
      </c>
      <c r="Y2134" s="2">
        <v>35221</v>
      </c>
      <c r="Z2134" t="str">
        <f t="shared" si="561"/>
        <v/>
      </c>
      <c r="AA2134" t="str">
        <f t="shared" si="576"/>
        <v>2nd Q 1996</v>
      </c>
      <c r="AB2134" t="str" cm="1">
        <f t="array" ref="AB2134">_xlfn.IFS(Y2134&lt;DATE(1996,1,1),"",Y2134&lt;DATE(1996,4,1),"Q1",Y2134&lt;DATE(1996,7,1),"Q2",Y2134&gt;=DATE(1996,7,1),"")</f>
        <v>Q2</v>
      </c>
    </row>
    <row r="2135" spans="1:28" ht="14.4" x14ac:dyDescent="0.55000000000000004">
      <c r="A2135" t="str">
        <f>VLOOKUP(L2135,Customers!$A$2:$B$92,2,FALSE)</f>
        <v>Rattlesnake Canyon Grocery</v>
      </c>
      <c r="B2135" t="str">
        <f>VLOOKUP(L2135,Customers!$A$2:$C$92,3,TRUE)</f>
        <v>Paula Wilson</v>
      </c>
      <c r="C2135" t="str">
        <f t="shared" si="562"/>
        <v>Paula</v>
      </c>
      <c r="D2135" s="8" t="str">
        <f t="shared" si="563"/>
        <v>Wilson</v>
      </c>
      <c r="E2135" s="8" t="str">
        <f t="shared" si="564"/>
        <v>Wilson, Paula</v>
      </c>
      <c r="F2135" s="8" t="str">
        <f t="shared" si="565"/>
        <v>Wilson, Paula</v>
      </c>
      <c r="G2135" s="8" t="str">
        <f t="shared" si="566"/>
        <v>not an outlier</v>
      </c>
      <c r="H2135" s="8" t="str">
        <f t="shared" si="567"/>
        <v>Not</v>
      </c>
      <c r="I2135" s="8" t="str">
        <f t="shared" si="577"/>
        <v>no</v>
      </c>
      <c r="J2135" s="10" t="str">
        <f t="shared" si="568"/>
        <v>no</v>
      </c>
      <c r="K2135" s="10" t="str">
        <f t="shared" si="569"/>
        <v>no</v>
      </c>
      <c r="L2135" t="s">
        <v>487</v>
      </c>
      <c r="M2135">
        <v>11077</v>
      </c>
      <c r="N2135">
        <v>6</v>
      </c>
      <c r="O2135" t="s">
        <v>746</v>
      </c>
      <c r="P2135" t="str">
        <f t="shared" si="570"/>
        <v>RATTC_11077_Grandma's Boysenberry Spread</v>
      </c>
      <c r="Q2135" t="str">
        <f t="shared" si="571"/>
        <v>11077</v>
      </c>
      <c r="R2135" t="str">
        <f t="shared" si="572"/>
        <v>11077</v>
      </c>
      <c r="S2135" t="str">
        <f t="shared" si="573"/>
        <v>Grandma's Boysenberry Spread</v>
      </c>
      <c r="T2135">
        <v>25</v>
      </c>
      <c r="U2135">
        <v>1</v>
      </c>
      <c r="V2135">
        <v>0.02</v>
      </c>
      <c r="W2135">
        <f t="shared" si="574"/>
        <v>24.5</v>
      </c>
      <c r="X2135" t="str">
        <f t="shared" si="575"/>
        <v>yes</v>
      </c>
      <c r="Y2135" s="2">
        <v>35221</v>
      </c>
      <c r="Z2135" t="str">
        <f t="shared" si="561"/>
        <v/>
      </c>
      <c r="AA2135" t="str">
        <f t="shared" si="576"/>
        <v>2nd Q 1996</v>
      </c>
      <c r="AB2135" t="str" cm="1">
        <f t="array" ref="AB2135">_xlfn.IFS(Y2135&lt;DATE(1996,1,1),"",Y2135&lt;DATE(1996,4,1),"Q1",Y2135&lt;DATE(1996,7,1),"Q2",Y2135&gt;=DATE(1996,7,1),"")</f>
        <v>Q2</v>
      </c>
    </row>
    <row r="2136" spans="1:28" ht="14.4" x14ac:dyDescent="0.55000000000000004">
      <c r="A2136" t="str">
        <f>VLOOKUP(L2136,Customers!$A$2:$B$92,2,FALSE)</f>
        <v>Rattlesnake Canyon Grocery</v>
      </c>
      <c r="B2136" t="str">
        <f>VLOOKUP(L2136,Customers!$A$2:$C$92,3,TRUE)</f>
        <v>Paula Wilson</v>
      </c>
      <c r="C2136" t="str">
        <f t="shared" si="562"/>
        <v>Paula</v>
      </c>
      <c r="D2136" s="8" t="str">
        <f t="shared" si="563"/>
        <v>Wilson</v>
      </c>
      <c r="E2136" s="8" t="str">
        <f t="shared" si="564"/>
        <v>Wilson, Paula</v>
      </c>
      <c r="F2136" s="8" t="str">
        <f t="shared" si="565"/>
        <v>Wilson, Paula</v>
      </c>
      <c r="G2136" s="8" t="str">
        <f t="shared" si="566"/>
        <v>not an outlier</v>
      </c>
      <c r="H2136" s="8" t="str">
        <f t="shared" si="567"/>
        <v>Not</v>
      </c>
      <c r="I2136" s="8" t="str">
        <f t="shared" si="577"/>
        <v>no</v>
      </c>
      <c r="J2136" s="10" t="str">
        <f t="shared" si="568"/>
        <v>no</v>
      </c>
      <c r="K2136" s="10" t="str">
        <f t="shared" si="569"/>
        <v>no</v>
      </c>
      <c r="L2136" t="s">
        <v>487</v>
      </c>
      <c r="M2136">
        <v>11077</v>
      </c>
      <c r="N2136">
        <v>7</v>
      </c>
      <c r="O2136" t="s">
        <v>715</v>
      </c>
      <c r="P2136" t="str">
        <f t="shared" si="570"/>
        <v>RATTC_11077_Uncle Bob's Organic Dried Pears</v>
      </c>
      <c r="Q2136" t="str">
        <f t="shared" si="571"/>
        <v>11077</v>
      </c>
      <c r="R2136" t="str">
        <f t="shared" si="572"/>
        <v>11077</v>
      </c>
      <c r="S2136" t="str">
        <f t="shared" si="573"/>
        <v>Uncle Bob's Organic Dried Pears</v>
      </c>
      <c r="T2136">
        <v>30</v>
      </c>
      <c r="U2136">
        <v>1</v>
      </c>
      <c r="V2136">
        <v>0.05</v>
      </c>
      <c r="W2136">
        <f t="shared" si="574"/>
        <v>28.5</v>
      </c>
      <c r="X2136" t="str">
        <f t="shared" si="575"/>
        <v>yes</v>
      </c>
      <c r="Y2136" s="2">
        <v>35221</v>
      </c>
      <c r="Z2136" t="str">
        <f t="shared" si="561"/>
        <v/>
      </c>
      <c r="AA2136" t="str">
        <f t="shared" si="576"/>
        <v>2nd Q 1996</v>
      </c>
      <c r="AB2136" t="str" cm="1">
        <f t="array" ref="AB2136">_xlfn.IFS(Y2136&lt;DATE(1996,1,1),"",Y2136&lt;DATE(1996,4,1),"Q1",Y2136&lt;DATE(1996,7,1),"Q2",Y2136&gt;=DATE(1996,7,1),"")</f>
        <v>Q2</v>
      </c>
    </row>
    <row r="2137" spans="1:28" ht="14.4" x14ac:dyDescent="0.55000000000000004">
      <c r="A2137" t="str">
        <f>VLOOKUP(L2137,Customers!$A$2:$B$92,2,FALSE)</f>
        <v>Rattlesnake Canyon Grocery</v>
      </c>
      <c r="B2137" t="str">
        <f>VLOOKUP(L2137,Customers!$A$2:$C$92,3,TRUE)</f>
        <v>Paula Wilson</v>
      </c>
      <c r="C2137" t="str">
        <f t="shared" si="562"/>
        <v>Paula</v>
      </c>
      <c r="D2137" s="8" t="str">
        <f t="shared" si="563"/>
        <v>Wilson</v>
      </c>
      <c r="E2137" s="8" t="str">
        <f t="shared" si="564"/>
        <v>Wilson, Paula</v>
      </c>
      <c r="F2137" s="8" t="str">
        <f t="shared" si="565"/>
        <v>Wilson, Paula</v>
      </c>
      <c r="G2137" s="8" t="str">
        <f t="shared" si="566"/>
        <v>not an outlier</v>
      </c>
      <c r="H2137" s="8" t="str">
        <f t="shared" si="567"/>
        <v>Not</v>
      </c>
      <c r="I2137" s="8" t="str">
        <f t="shared" si="577"/>
        <v>no</v>
      </c>
      <c r="J2137" s="10" t="str">
        <f t="shared" si="568"/>
        <v>no</v>
      </c>
      <c r="K2137" s="10" t="str">
        <f t="shared" si="569"/>
        <v>no</v>
      </c>
      <c r="L2137" t="s">
        <v>487</v>
      </c>
      <c r="M2137">
        <v>11077</v>
      </c>
      <c r="N2137">
        <v>8</v>
      </c>
      <c r="O2137" t="s">
        <v>754</v>
      </c>
      <c r="P2137" t="str">
        <f t="shared" si="570"/>
        <v>RATTC_11077_Northwoods Cranberry Sauce</v>
      </c>
      <c r="Q2137" t="str">
        <f t="shared" si="571"/>
        <v>11077</v>
      </c>
      <c r="R2137" t="str">
        <f t="shared" si="572"/>
        <v>11077</v>
      </c>
      <c r="S2137" t="str">
        <f t="shared" si="573"/>
        <v>Northwoods Cranberry Sauce</v>
      </c>
      <c r="T2137">
        <v>40</v>
      </c>
      <c r="U2137">
        <v>2</v>
      </c>
      <c r="V2137">
        <v>0.1</v>
      </c>
      <c r="W2137">
        <f t="shared" si="574"/>
        <v>72</v>
      </c>
      <c r="X2137" t="str">
        <f t="shared" si="575"/>
        <v>yes</v>
      </c>
      <c r="Y2137" s="2">
        <v>35221</v>
      </c>
      <c r="Z2137" t="str">
        <f t="shared" si="561"/>
        <v/>
      </c>
      <c r="AA2137" t="str">
        <f t="shared" si="576"/>
        <v>2nd Q 1996</v>
      </c>
      <c r="AB2137" t="str" cm="1">
        <f t="array" ref="AB2137">_xlfn.IFS(Y2137&lt;DATE(1996,1,1),"",Y2137&lt;DATE(1996,4,1),"Q1",Y2137&lt;DATE(1996,7,1),"Q2",Y2137&gt;=DATE(1996,7,1),"")</f>
        <v>Q2</v>
      </c>
    </row>
    <row r="2138" spans="1:28" ht="14.4" x14ac:dyDescent="0.55000000000000004">
      <c r="A2138" t="str">
        <f>VLOOKUP(L2138,Customers!$A$2:$B$92,2,FALSE)</f>
        <v>Rattlesnake Canyon Grocery</v>
      </c>
      <c r="B2138" t="str">
        <f>VLOOKUP(L2138,Customers!$A$2:$C$92,3,TRUE)</f>
        <v>Paula Wilson</v>
      </c>
      <c r="C2138" t="str">
        <f t="shared" si="562"/>
        <v>Paula</v>
      </c>
      <c r="D2138" s="8" t="str">
        <f t="shared" si="563"/>
        <v>Wilson</v>
      </c>
      <c r="E2138" s="8" t="str">
        <f t="shared" si="564"/>
        <v>Wilson, Paula</v>
      </c>
      <c r="F2138" s="8" t="str">
        <f t="shared" si="565"/>
        <v>Wilson, Paula</v>
      </c>
      <c r="G2138" s="8" t="str">
        <f t="shared" si="566"/>
        <v>not an outlier</v>
      </c>
      <c r="H2138" s="8" t="str">
        <f t="shared" si="567"/>
        <v>Not</v>
      </c>
      <c r="I2138" s="8" t="str">
        <f t="shared" si="577"/>
        <v>no</v>
      </c>
      <c r="J2138" s="10" t="str">
        <f t="shared" si="568"/>
        <v>no</v>
      </c>
      <c r="K2138" s="10" t="str">
        <f t="shared" si="569"/>
        <v>no</v>
      </c>
      <c r="L2138" t="s">
        <v>487</v>
      </c>
      <c r="M2138">
        <v>11077</v>
      </c>
      <c r="N2138">
        <v>10</v>
      </c>
      <c r="O2138" t="s">
        <v>724</v>
      </c>
      <c r="P2138" t="str">
        <f t="shared" si="570"/>
        <v>RATTC_11077_Ikura</v>
      </c>
      <c r="Q2138" t="str">
        <f t="shared" si="571"/>
        <v>11077</v>
      </c>
      <c r="R2138" t="str">
        <f t="shared" si="572"/>
        <v>11077</v>
      </c>
      <c r="S2138" t="str">
        <f t="shared" si="573"/>
        <v>Ikura</v>
      </c>
      <c r="T2138">
        <v>31</v>
      </c>
      <c r="U2138">
        <v>1</v>
      </c>
      <c r="V2138">
        <v>0</v>
      </c>
      <c r="W2138">
        <f t="shared" si="574"/>
        <v>31</v>
      </c>
      <c r="X2138" t="str">
        <f t="shared" si="575"/>
        <v>yes</v>
      </c>
      <c r="Y2138" s="2">
        <v>35221</v>
      </c>
      <c r="Z2138" t="str">
        <f t="shared" si="561"/>
        <v/>
      </c>
      <c r="AA2138" t="str">
        <f t="shared" si="576"/>
        <v>2nd Q 1996</v>
      </c>
      <c r="AB2138" t="str" cm="1">
        <f t="array" ref="AB2138">_xlfn.IFS(Y2138&lt;DATE(1996,1,1),"",Y2138&lt;DATE(1996,4,1),"Q1",Y2138&lt;DATE(1996,7,1),"Q2",Y2138&gt;=DATE(1996,7,1),"")</f>
        <v>Q2</v>
      </c>
    </row>
    <row r="2139" spans="1:28" ht="14.4" x14ac:dyDescent="0.55000000000000004">
      <c r="A2139" t="str">
        <f>VLOOKUP(L2139,Customers!$A$2:$B$92,2,FALSE)</f>
        <v>Rattlesnake Canyon Grocery</v>
      </c>
      <c r="B2139" t="str">
        <f>VLOOKUP(L2139,Customers!$A$2:$C$92,3,TRUE)</f>
        <v>Paula Wilson</v>
      </c>
      <c r="C2139" t="str">
        <f t="shared" si="562"/>
        <v>Paula</v>
      </c>
      <c r="D2139" s="8" t="str">
        <f t="shared" si="563"/>
        <v>Wilson</v>
      </c>
      <c r="E2139" s="8" t="str">
        <f t="shared" si="564"/>
        <v>Wilson, Paula</v>
      </c>
      <c r="F2139" s="8" t="str">
        <f t="shared" si="565"/>
        <v>Wilson, Paula</v>
      </c>
      <c r="G2139" s="8" t="str">
        <f t="shared" si="566"/>
        <v>not an outlier</v>
      </c>
      <c r="H2139" s="8" t="str">
        <f t="shared" si="567"/>
        <v>Not</v>
      </c>
      <c r="I2139" s="8" t="str">
        <f t="shared" si="577"/>
        <v>no</v>
      </c>
      <c r="J2139" s="10" t="str">
        <f t="shared" si="568"/>
        <v>no</v>
      </c>
      <c r="K2139" s="10" t="str">
        <f t="shared" si="569"/>
        <v>no</v>
      </c>
      <c r="L2139" t="s">
        <v>487</v>
      </c>
      <c r="M2139">
        <v>11077</v>
      </c>
      <c r="N2139">
        <v>12</v>
      </c>
      <c r="O2139" t="s">
        <v>719</v>
      </c>
      <c r="P2139" t="str">
        <f t="shared" si="570"/>
        <v>RATTC_11077_Queso Manchego La Pastora</v>
      </c>
      <c r="Q2139" t="str">
        <f t="shared" si="571"/>
        <v>11077</v>
      </c>
      <c r="R2139" t="str">
        <f t="shared" si="572"/>
        <v>11077</v>
      </c>
      <c r="S2139" t="str">
        <f t="shared" si="573"/>
        <v>Queso Manchego La Pastora</v>
      </c>
      <c r="T2139">
        <v>38</v>
      </c>
      <c r="U2139">
        <v>2</v>
      </c>
      <c r="V2139">
        <v>0.05</v>
      </c>
      <c r="W2139">
        <f t="shared" si="574"/>
        <v>72.2</v>
      </c>
      <c r="X2139" t="str">
        <f t="shared" si="575"/>
        <v>yes</v>
      </c>
      <c r="Y2139" s="2">
        <v>35221</v>
      </c>
      <c r="Z2139" t="str">
        <f t="shared" si="561"/>
        <v/>
      </c>
      <c r="AA2139" t="str">
        <f t="shared" si="576"/>
        <v>2nd Q 1996</v>
      </c>
      <c r="AB2139" t="str" cm="1">
        <f t="array" ref="AB2139">_xlfn.IFS(Y2139&lt;DATE(1996,1,1),"",Y2139&lt;DATE(1996,4,1),"Q1",Y2139&lt;DATE(1996,7,1),"Q2",Y2139&gt;=DATE(1996,7,1),"")</f>
        <v>Q2</v>
      </c>
    </row>
    <row r="2140" spans="1:28" ht="14.4" x14ac:dyDescent="0.55000000000000004">
      <c r="A2140" t="str">
        <f>VLOOKUP(L2140,Customers!$A$2:$B$92,2,FALSE)</f>
        <v>Rattlesnake Canyon Grocery</v>
      </c>
      <c r="B2140" t="str">
        <f>VLOOKUP(L2140,Customers!$A$2:$C$92,3,TRUE)</f>
        <v>Paula Wilson</v>
      </c>
      <c r="C2140" t="str">
        <f t="shared" si="562"/>
        <v>Paula</v>
      </c>
      <c r="D2140" s="8" t="str">
        <f t="shared" si="563"/>
        <v>Wilson</v>
      </c>
      <c r="E2140" s="8" t="str">
        <f t="shared" si="564"/>
        <v>Wilson, Paula</v>
      </c>
      <c r="F2140" s="8" t="str">
        <f t="shared" si="565"/>
        <v>Wilson, Paula</v>
      </c>
      <c r="G2140" s="8" t="str">
        <f t="shared" si="566"/>
        <v>not an outlier</v>
      </c>
      <c r="H2140" s="8" t="str">
        <f t="shared" si="567"/>
        <v>Not</v>
      </c>
      <c r="I2140" s="8" t="str">
        <f t="shared" si="577"/>
        <v>no</v>
      </c>
      <c r="J2140" s="10" t="str">
        <f t="shared" si="568"/>
        <v>no</v>
      </c>
      <c r="K2140" s="10" t="str">
        <f t="shared" si="569"/>
        <v>no</v>
      </c>
      <c r="L2140" t="s">
        <v>487</v>
      </c>
      <c r="M2140">
        <v>11077</v>
      </c>
      <c r="N2140">
        <v>13</v>
      </c>
      <c r="O2140" t="s">
        <v>726</v>
      </c>
      <c r="P2140" t="str">
        <f t="shared" si="570"/>
        <v>RATTC_11077_Konbu</v>
      </c>
      <c r="Q2140" t="str">
        <f t="shared" si="571"/>
        <v>11077</v>
      </c>
      <c r="R2140" t="str">
        <f t="shared" si="572"/>
        <v>11077</v>
      </c>
      <c r="S2140" t="str">
        <f t="shared" si="573"/>
        <v>Konbu</v>
      </c>
      <c r="T2140">
        <v>6</v>
      </c>
      <c r="U2140">
        <v>4</v>
      </c>
      <c r="V2140">
        <v>0</v>
      </c>
      <c r="W2140">
        <f t="shared" si="574"/>
        <v>24</v>
      </c>
      <c r="X2140" t="str">
        <f t="shared" si="575"/>
        <v>yes</v>
      </c>
      <c r="Y2140" s="2">
        <v>35221</v>
      </c>
      <c r="Z2140" t="str">
        <f t="shared" si="561"/>
        <v/>
      </c>
      <c r="AA2140" t="str">
        <f t="shared" si="576"/>
        <v>2nd Q 1996</v>
      </c>
      <c r="AB2140" t="str" cm="1">
        <f t="array" ref="AB2140">_xlfn.IFS(Y2140&lt;DATE(1996,1,1),"",Y2140&lt;DATE(1996,4,1),"Q1",Y2140&lt;DATE(1996,7,1),"Q2",Y2140&gt;=DATE(1996,7,1),"")</f>
        <v>Q2</v>
      </c>
    </row>
    <row r="2141" spans="1:28" ht="14.4" x14ac:dyDescent="0.55000000000000004">
      <c r="A2141" t="str">
        <f>VLOOKUP(L2141,Customers!$A$2:$B$92,2,FALSE)</f>
        <v>Rattlesnake Canyon Grocery</v>
      </c>
      <c r="B2141" t="str">
        <f>VLOOKUP(L2141,Customers!$A$2:$C$92,3,TRUE)</f>
        <v>Paula Wilson</v>
      </c>
      <c r="C2141" t="str">
        <f t="shared" si="562"/>
        <v>Paula</v>
      </c>
      <c r="D2141" s="8" t="str">
        <f t="shared" si="563"/>
        <v>Wilson</v>
      </c>
      <c r="E2141" s="8" t="str">
        <f t="shared" si="564"/>
        <v>Wilson, Paula</v>
      </c>
      <c r="F2141" s="8" t="str">
        <f t="shared" si="565"/>
        <v>Wilson, Paula</v>
      </c>
      <c r="G2141" s="8" t="str">
        <f t="shared" si="566"/>
        <v>not an outlier</v>
      </c>
      <c r="H2141" s="8" t="str">
        <f t="shared" si="567"/>
        <v>Not</v>
      </c>
      <c r="I2141" s="8" t="str">
        <f t="shared" si="577"/>
        <v>no</v>
      </c>
      <c r="J2141" s="10" t="str">
        <f t="shared" si="568"/>
        <v>no</v>
      </c>
      <c r="K2141" s="10" t="str">
        <f t="shared" si="569"/>
        <v>no</v>
      </c>
      <c r="L2141" t="s">
        <v>487</v>
      </c>
      <c r="M2141">
        <v>11077</v>
      </c>
      <c r="N2141">
        <v>14</v>
      </c>
      <c r="O2141" t="s">
        <v>686</v>
      </c>
      <c r="P2141" t="str">
        <f t="shared" si="570"/>
        <v>RATTC_11077_Tofu</v>
      </c>
      <c r="Q2141" t="str">
        <f t="shared" si="571"/>
        <v>11077</v>
      </c>
      <c r="R2141" t="str">
        <f t="shared" si="572"/>
        <v>11077</v>
      </c>
      <c r="S2141" t="str">
        <f t="shared" si="573"/>
        <v>Tofu</v>
      </c>
      <c r="T2141">
        <v>23.25</v>
      </c>
      <c r="U2141">
        <v>1</v>
      </c>
      <c r="V2141">
        <v>0.03</v>
      </c>
      <c r="W2141">
        <f t="shared" si="574"/>
        <v>22.552499999999998</v>
      </c>
      <c r="X2141" t="str">
        <f t="shared" si="575"/>
        <v>yes</v>
      </c>
      <c r="Y2141" s="2">
        <v>35221</v>
      </c>
      <c r="Z2141" t="str">
        <f t="shared" si="561"/>
        <v/>
      </c>
      <c r="AA2141" t="str">
        <f t="shared" si="576"/>
        <v>2nd Q 1996</v>
      </c>
      <c r="AB2141" t="str" cm="1">
        <f t="array" ref="AB2141">_xlfn.IFS(Y2141&lt;DATE(1996,1,1),"",Y2141&lt;DATE(1996,4,1),"Q1",Y2141&lt;DATE(1996,7,1),"Q2",Y2141&gt;=DATE(1996,7,1),"")</f>
        <v>Q2</v>
      </c>
    </row>
    <row r="2142" spans="1:28" ht="14.4" x14ac:dyDescent="0.55000000000000004">
      <c r="A2142" t="str">
        <f>VLOOKUP(L2142,Customers!$A$2:$B$92,2,FALSE)</f>
        <v>Rattlesnake Canyon Grocery</v>
      </c>
      <c r="B2142" t="str">
        <f>VLOOKUP(L2142,Customers!$A$2:$C$92,3,TRUE)</f>
        <v>Paula Wilson</v>
      </c>
      <c r="C2142" t="str">
        <f t="shared" si="562"/>
        <v>Paula</v>
      </c>
      <c r="D2142" s="8" t="str">
        <f t="shared" si="563"/>
        <v>Wilson</v>
      </c>
      <c r="E2142" s="8" t="str">
        <f t="shared" si="564"/>
        <v>Wilson, Paula</v>
      </c>
      <c r="F2142" s="8" t="str">
        <f t="shared" si="565"/>
        <v>Wilson, Paula</v>
      </c>
      <c r="G2142" s="8" t="str">
        <f t="shared" si="566"/>
        <v>not an outlier</v>
      </c>
      <c r="H2142" s="8" t="str">
        <f t="shared" si="567"/>
        <v>Not</v>
      </c>
      <c r="I2142" s="8" t="str">
        <f t="shared" si="577"/>
        <v>no</v>
      </c>
      <c r="J2142" s="10" t="str">
        <f t="shared" si="568"/>
        <v>no</v>
      </c>
      <c r="K2142" s="10" t="str">
        <f t="shared" si="569"/>
        <v>no</v>
      </c>
      <c r="L2142" t="s">
        <v>487</v>
      </c>
      <c r="M2142">
        <v>11077</v>
      </c>
      <c r="N2142">
        <v>16</v>
      </c>
      <c r="O2142" t="s">
        <v>702</v>
      </c>
      <c r="P2142" t="str">
        <f t="shared" si="570"/>
        <v>RATTC_11077_Pavlova</v>
      </c>
      <c r="Q2142" t="str">
        <f t="shared" si="571"/>
        <v>11077</v>
      </c>
      <c r="R2142" t="str">
        <f t="shared" si="572"/>
        <v>11077</v>
      </c>
      <c r="S2142" t="str">
        <f t="shared" si="573"/>
        <v>Pavlova</v>
      </c>
      <c r="T2142">
        <v>17.45</v>
      </c>
      <c r="U2142">
        <v>2</v>
      </c>
      <c r="V2142">
        <v>0.03</v>
      </c>
      <c r="W2142">
        <f t="shared" si="574"/>
        <v>33.852999999999994</v>
      </c>
      <c r="X2142" t="str">
        <f t="shared" si="575"/>
        <v>yes</v>
      </c>
      <c r="Y2142" s="2">
        <v>35221</v>
      </c>
      <c r="Z2142" t="str">
        <f t="shared" si="561"/>
        <v/>
      </c>
      <c r="AA2142" t="str">
        <f t="shared" si="576"/>
        <v>2nd Q 1996</v>
      </c>
      <c r="AB2142" t="str" cm="1">
        <f t="array" ref="AB2142">_xlfn.IFS(Y2142&lt;DATE(1996,1,1),"",Y2142&lt;DATE(1996,4,1),"Q1",Y2142&lt;DATE(1996,7,1),"Q2",Y2142&gt;=DATE(1996,7,1),"")</f>
        <v>Q2</v>
      </c>
    </row>
    <row r="2143" spans="1:28" ht="14.4" x14ac:dyDescent="0.55000000000000004">
      <c r="A2143" t="str">
        <f>VLOOKUP(L2143,Customers!$A$2:$B$92,2,FALSE)</f>
        <v>Rattlesnake Canyon Grocery</v>
      </c>
      <c r="B2143" t="str">
        <f>VLOOKUP(L2143,Customers!$A$2:$C$92,3,TRUE)</f>
        <v>Paula Wilson</v>
      </c>
      <c r="C2143" t="str">
        <f t="shared" si="562"/>
        <v>Paula</v>
      </c>
      <c r="D2143" s="8" t="str">
        <f t="shared" si="563"/>
        <v>Wilson</v>
      </c>
      <c r="E2143" s="8" t="str">
        <f t="shared" si="564"/>
        <v>Wilson, Paula</v>
      </c>
      <c r="F2143" s="8" t="str">
        <f t="shared" si="565"/>
        <v>Wilson, Paula</v>
      </c>
      <c r="G2143" s="8" t="str">
        <f t="shared" si="566"/>
        <v>not an outlier</v>
      </c>
      <c r="H2143" s="8" t="str">
        <f t="shared" si="567"/>
        <v>Not</v>
      </c>
      <c r="I2143" s="8" t="str">
        <f t="shared" si="577"/>
        <v>no</v>
      </c>
      <c r="J2143" s="10" t="str">
        <f t="shared" si="568"/>
        <v>no</v>
      </c>
      <c r="K2143" s="10" t="str">
        <f t="shared" si="569"/>
        <v>no</v>
      </c>
      <c r="L2143" t="s">
        <v>487</v>
      </c>
      <c r="M2143">
        <v>11077</v>
      </c>
      <c r="N2143">
        <v>20</v>
      </c>
      <c r="O2143" t="s">
        <v>692</v>
      </c>
      <c r="P2143" t="str">
        <f t="shared" si="570"/>
        <v>RATTC_11077_Sir Rodney's Marmalade</v>
      </c>
      <c r="Q2143" t="str">
        <f t="shared" si="571"/>
        <v>11077</v>
      </c>
      <c r="R2143" t="str">
        <f t="shared" si="572"/>
        <v>11077</v>
      </c>
      <c r="S2143" t="str">
        <f t="shared" si="573"/>
        <v>Sir Rodney's Marmalade</v>
      </c>
      <c r="T2143">
        <v>81</v>
      </c>
      <c r="U2143">
        <v>1</v>
      </c>
      <c r="V2143">
        <v>0.04</v>
      </c>
      <c r="W2143">
        <f t="shared" si="574"/>
        <v>77.759999999999991</v>
      </c>
      <c r="X2143" t="str">
        <f t="shared" si="575"/>
        <v>yes</v>
      </c>
      <c r="Y2143" s="2">
        <v>35221</v>
      </c>
      <c r="Z2143" t="str">
        <f t="shared" si="561"/>
        <v/>
      </c>
      <c r="AA2143" t="str">
        <f t="shared" si="576"/>
        <v>2nd Q 1996</v>
      </c>
      <c r="AB2143" t="str" cm="1">
        <f t="array" ref="AB2143">_xlfn.IFS(Y2143&lt;DATE(1996,1,1),"",Y2143&lt;DATE(1996,4,1),"Q1",Y2143&lt;DATE(1996,7,1),"Q2",Y2143&gt;=DATE(1996,7,1),"")</f>
        <v>Q2</v>
      </c>
    </row>
    <row r="2144" spans="1:28" ht="14.4" x14ac:dyDescent="0.55000000000000004">
      <c r="A2144" t="str">
        <f>VLOOKUP(L2144,Customers!$A$2:$B$92,2,FALSE)</f>
        <v>Rattlesnake Canyon Grocery</v>
      </c>
      <c r="B2144" t="str">
        <f>VLOOKUP(L2144,Customers!$A$2:$C$92,3,TRUE)</f>
        <v>Paula Wilson</v>
      </c>
      <c r="C2144" t="str">
        <f t="shared" si="562"/>
        <v>Paula</v>
      </c>
      <c r="D2144" s="8" t="str">
        <f t="shared" si="563"/>
        <v>Wilson</v>
      </c>
      <c r="E2144" s="8" t="str">
        <f t="shared" si="564"/>
        <v>Wilson, Paula</v>
      </c>
      <c r="F2144" s="8" t="str">
        <f t="shared" si="565"/>
        <v>Wilson, Paula</v>
      </c>
      <c r="G2144" s="8" t="str">
        <f t="shared" si="566"/>
        <v>not an outlier</v>
      </c>
      <c r="H2144" s="8" t="str">
        <f t="shared" si="567"/>
        <v>Not</v>
      </c>
      <c r="I2144" s="8" t="str">
        <f t="shared" si="577"/>
        <v>no</v>
      </c>
      <c r="J2144" s="10" t="str">
        <f t="shared" si="568"/>
        <v>no</v>
      </c>
      <c r="K2144" s="10" t="str">
        <f t="shared" si="569"/>
        <v>no</v>
      </c>
      <c r="L2144" t="s">
        <v>487</v>
      </c>
      <c r="M2144">
        <v>11077</v>
      </c>
      <c r="N2144">
        <v>23</v>
      </c>
      <c r="O2144" t="s">
        <v>753</v>
      </c>
      <c r="P2144" t="str">
        <f t="shared" si="570"/>
        <v>RATTC_11077_Tunnbröd</v>
      </c>
      <c r="Q2144" t="str">
        <f t="shared" si="571"/>
        <v>11077</v>
      </c>
      <c r="R2144" t="str">
        <f t="shared" si="572"/>
        <v>11077</v>
      </c>
      <c r="S2144" t="str">
        <f t="shared" si="573"/>
        <v>Tunnbröd</v>
      </c>
      <c r="T2144">
        <v>9</v>
      </c>
      <c r="U2144">
        <v>2</v>
      </c>
      <c r="V2144">
        <v>0</v>
      </c>
      <c r="W2144">
        <f t="shared" si="574"/>
        <v>18</v>
      </c>
      <c r="X2144" t="str">
        <f t="shared" si="575"/>
        <v>yes</v>
      </c>
      <c r="Y2144" s="2">
        <v>35221</v>
      </c>
      <c r="Z2144" t="str">
        <f t="shared" si="561"/>
        <v/>
      </c>
      <c r="AA2144" t="str">
        <f t="shared" si="576"/>
        <v>2nd Q 1996</v>
      </c>
      <c r="AB2144" t="str" cm="1">
        <f t="array" ref="AB2144">_xlfn.IFS(Y2144&lt;DATE(1996,1,1),"",Y2144&lt;DATE(1996,4,1),"Q1",Y2144&lt;DATE(1996,7,1),"Q2",Y2144&gt;=DATE(1996,7,1),"")</f>
        <v>Q2</v>
      </c>
    </row>
    <row r="2145" spans="1:28" ht="14.4" x14ac:dyDescent="0.55000000000000004">
      <c r="A2145" t="str">
        <f>VLOOKUP(L2145,Customers!$A$2:$B$92,2,FALSE)</f>
        <v>Rattlesnake Canyon Grocery</v>
      </c>
      <c r="B2145" t="str">
        <f>VLOOKUP(L2145,Customers!$A$2:$C$92,3,TRUE)</f>
        <v>Paula Wilson</v>
      </c>
      <c r="C2145" t="str">
        <f t="shared" si="562"/>
        <v>Paula</v>
      </c>
      <c r="D2145" s="8" t="str">
        <f t="shared" si="563"/>
        <v>Wilson</v>
      </c>
      <c r="E2145" s="8" t="str">
        <f t="shared" si="564"/>
        <v>Wilson, Paula</v>
      </c>
      <c r="F2145" s="8" t="str">
        <f t="shared" si="565"/>
        <v>Wilson, Paula</v>
      </c>
      <c r="G2145" s="8" t="str">
        <f t="shared" si="566"/>
        <v>not an outlier</v>
      </c>
      <c r="H2145" s="8" t="str">
        <f t="shared" si="567"/>
        <v>Not</v>
      </c>
      <c r="I2145" s="8" t="str">
        <f t="shared" si="577"/>
        <v>no</v>
      </c>
      <c r="J2145" s="10" t="str">
        <f t="shared" si="568"/>
        <v>no</v>
      </c>
      <c r="K2145" s="10" t="str">
        <f t="shared" si="569"/>
        <v>no</v>
      </c>
      <c r="L2145" t="s">
        <v>487</v>
      </c>
      <c r="M2145">
        <v>11077</v>
      </c>
      <c r="N2145">
        <v>32</v>
      </c>
      <c r="O2145" t="s">
        <v>709</v>
      </c>
      <c r="P2145" t="str">
        <f t="shared" si="570"/>
        <v>RATTC_11077_Mascarpone Fabioli</v>
      </c>
      <c r="Q2145" t="str">
        <f t="shared" si="571"/>
        <v>11077</v>
      </c>
      <c r="R2145" t="str">
        <f t="shared" si="572"/>
        <v>11077</v>
      </c>
      <c r="S2145" t="str">
        <f t="shared" si="573"/>
        <v>Mascarpone Fabioli</v>
      </c>
      <c r="T2145">
        <v>32</v>
      </c>
      <c r="U2145">
        <v>1</v>
      </c>
      <c r="V2145">
        <v>0</v>
      </c>
      <c r="W2145">
        <f t="shared" si="574"/>
        <v>32</v>
      </c>
      <c r="X2145" t="str">
        <f t="shared" si="575"/>
        <v>yes</v>
      </c>
      <c r="Y2145" s="2">
        <v>35221</v>
      </c>
      <c r="Z2145" t="str">
        <f t="shared" si="561"/>
        <v/>
      </c>
      <c r="AA2145" t="str">
        <f t="shared" si="576"/>
        <v>2nd Q 1996</v>
      </c>
      <c r="AB2145" t="str" cm="1">
        <f t="array" ref="AB2145">_xlfn.IFS(Y2145&lt;DATE(1996,1,1),"",Y2145&lt;DATE(1996,4,1),"Q1",Y2145&lt;DATE(1996,7,1),"Q2",Y2145&gt;=DATE(1996,7,1),"")</f>
        <v>Q2</v>
      </c>
    </row>
    <row r="2146" spans="1:28" ht="14.4" x14ac:dyDescent="0.55000000000000004">
      <c r="A2146" t="str">
        <f>VLOOKUP(L2146,Customers!$A$2:$B$92,2,FALSE)</f>
        <v>Rattlesnake Canyon Grocery</v>
      </c>
      <c r="B2146" t="str">
        <f>VLOOKUP(L2146,Customers!$A$2:$C$92,3,TRUE)</f>
        <v>Paula Wilson</v>
      </c>
      <c r="C2146" t="str">
        <f t="shared" si="562"/>
        <v>Paula</v>
      </c>
      <c r="D2146" s="8" t="str">
        <f t="shared" si="563"/>
        <v>Wilson</v>
      </c>
      <c r="E2146" s="8" t="str">
        <f t="shared" si="564"/>
        <v>Wilson, Paula</v>
      </c>
      <c r="F2146" s="8" t="str">
        <f t="shared" si="565"/>
        <v>Wilson, Paula</v>
      </c>
      <c r="G2146" s="8" t="str">
        <f t="shared" si="566"/>
        <v>not an outlier</v>
      </c>
      <c r="H2146" s="8" t="str">
        <f t="shared" si="567"/>
        <v>Not</v>
      </c>
      <c r="I2146" s="8" t="str">
        <f t="shared" si="577"/>
        <v>no</v>
      </c>
      <c r="J2146" s="10" t="str">
        <f t="shared" si="568"/>
        <v>no</v>
      </c>
      <c r="K2146" s="10" t="str">
        <f t="shared" si="569"/>
        <v>no</v>
      </c>
      <c r="L2146" t="s">
        <v>487</v>
      </c>
      <c r="M2146">
        <v>11077</v>
      </c>
      <c r="N2146">
        <v>39</v>
      </c>
      <c r="O2146" t="s">
        <v>696</v>
      </c>
      <c r="P2146" t="str">
        <f t="shared" si="570"/>
        <v>RATTC_11077_Chartreuse verte</v>
      </c>
      <c r="Q2146" t="str">
        <f t="shared" si="571"/>
        <v>11077</v>
      </c>
      <c r="R2146" t="str">
        <f t="shared" si="572"/>
        <v>11077</v>
      </c>
      <c r="S2146" t="str">
        <f t="shared" si="573"/>
        <v>Chartreuse verte</v>
      </c>
      <c r="T2146">
        <v>18</v>
      </c>
      <c r="U2146">
        <v>2</v>
      </c>
      <c r="V2146">
        <v>0.05</v>
      </c>
      <c r="W2146">
        <f t="shared" si="574"/>
        <v>34.199999999999996</v>
      </c>
      <c r="X2146" t="str">
        <f t="shared" si="575"/>
        <v>yes</v>
      </c>
      <c r="Y2146" s="2">
        <v>35221</v>
      </c>
      <c r="Z2146" t="str">
        <f t="shared" si="561"/>
        <v/>
      </c>
      <c r="AA2146" t="str">
        <f t="shared" si="576"/>
        <v>2nd Q 1996</v>
      </c>
      <c r="AB2146" t="str" cm="1">
        <f t="array" ref="AB2146">_xlfn.IFS(Y2146&lt;DATE(1996,1,1),"",Y2146&lt;DATE(1996,4,1),"Q1",Y2146&lt;DATE(1996,7,1),"Q2",Y2146&gt;=DATE(1996,7,1),"")</f>
        <v>Q2</v>
      </c>
    </row>
    <row r="2147" spans="1:28" ht="14.4" x14ac:dyDescent="0.55000000000000004">
      <c r="A2147" t="str">
        <f>VLOOKUP(L2147,Customers!$A$2:$B$92,2,FALSE)</f>
        <v>Rattlesnake Canyon Grocery</v>
      </c>
      <c r="B2147" t="str">
        <f>VLOOKUP(L2147,Customers!$A$2:$C$92,3,TRUE)</f>
        <v>Paula Wilson</v>
      </c>
      <c r="C2147" t="str">
        <f t="shared" si="562"/>
        <v>Paula</v>
      </c>
      <c r="D2147" s="8" t="str">
        <f t="shared" si="563"/>
        <v>Wilson</v>
      </c>
      <c r="E2147" s="8" t="str">
        <f t="shared" si="564"/>
        <v>Wilson, Paula</v>
      </c>
      <c r="F2147" s="8" t="str">
        <f t="shared" si="565"/>
        <v>Wilson, Paula</v>
      </c>
      <c r="G2147" s="8" t="str">
        <f t="shared" si="566"/>
        <v>not an outlier</v>
      </c>
      <c r="H2147" s="8" t="str">
        <f t="shared" si="567"/>
        <v>Not</v>
      </c>
      <c r="I2147" s="8" t="str">
        <f t="shared" si="577"/>
        <v>no</v>
      </c>
      <c r="J2147" s="10" t="str">
        <f t="shared" si="568"/>
        <v>no</v>
      </c>
      <c r="K2147" s="10" t="str">
        <f t="shared" si="569"/>
        <v>no</v>
      </c>
      <c r="L2147" t="s">
        <v>487</v>
      </c>
      <c r="M2147">
        <v>11077</v>
      </c>
      <c r="N2147">
        <v>41</v>
      </c>
      <c r="O2147" t="s">
        <v>688</v>
      </c>
      <c r="P2147" t="str">
        <f t="shared" si="570"/>
        <v>RATTC_11077_Jack's New England Clam Chowder</v>
      </c>
      <c r="Q2147" t="str">
        <f t="shared" si="571"/>
        <v>11077</v>
      </c>
      <c r="R2147" t="str">
        <f t="shared" si="572"/>
        <v>11077</v>
      </c>
      <c r="S2147" t="str">
        <f t="shared" si="573"/>
        <v>Jack's New England Clam Chowder</v>
      </c>
      <c r="T2147">
        <v>9.65</v>
      </c>
      <c r="U2147">
        <v>3</v>
      </c>
      <c r="V2147">
        <v>0</v>
      </c>
      <c r="W2147">
        <f t="shared" si="574"/>
        <v>28.950000000000003</v>
      </c>
      <c r="X2147" t="str">
        <f t="shared" si="575"/>
        <v>yes</v>
      </c>
      <c r="Y2147" s="2">
        <v>35221</v>
      </c>
      <c r="Z2147" t="str">
        <f t="shared" si="561"/>
        <v/>
      </c>
      <c r="AA2147" t="str">
        <f t="shared" si="576"/>
        <v>2nd Q 1996</v>
      </c>
      <c r="AB2147" t="str" cm="1">
        <f t="array" ref="AB2147">_xlfn.IFS(Y2147&lt;DATE(1996,1,1),"",Y2147&lt;DATE(1996,4,1),"Q1",Y2147&lt;DATE(1996,7,1),"Q2",Y2147&gt;=DATE(1996,7,1),"")</f>
        <v>Q2</v>
      </c>
    </row>
    <row r="2148" spans="1:28" ht="14.4" x14ac:dyDescent="0.55000000000000004">
      <c r="A2148" t="str">
        <f>VLOOKUP(L2148,Customers!$A$2:$B$92,2,FALSE)</f>
        <v>Rattlesnake Canyon Grocery</v>
      </c>
      <c r="B2148" t="str">
        <f>VLOOKUP(L2148,Customers!$A$2:$C$92,3,TRUE)</f>
        <v>Paula Wilson</v>
      </c>
      <c r="C2148" t="str">
        <f t="shared" si="562"/>
        <v>Paula</v>
      </c>
      <c r="D2148" s="8" t="str">
        <f t="shared" si="563"/>
        <v>Wilson</v>
      </c>
      <c r="E2148" s="8" t="str">
        <f t="shared" si="564"/>
        <v>Wilson, Paula</v>
      </c>
      <c r="F2148" s="8" t="str">
        <f t="shared" si="565"/>
        <v>Wilson, Paula</v>
      </c>
      <c r="G2148" s="8" t="str">
        <f t="shared" si="566"/>
        <v>not an outlier</v>
      </c>
      <c r="H2148" s="8" t="str">
        <f t="shared" si="567"/>
        <v>Not</v>
      </c>
      <c r="I2148" s="8" t="str">
        <f t="shared" si="577"/>
        <v>no</v>
      </c>
      <c r="J2148" s="10" t="str">
        <f t="shared" si="568"/>
        <v>no</v>
      </c>
      <c r="K2148" s="10" t="str">
        <f t="shared" si="569"/>
        <v>no</v>
      </c>
      <c r="L2148" t="s">
        <v>487</v>
      </c>
      <c r="M2148">
        <v>11077</v>
      </c>
      <c r="N2148">
        <v>46</v>
      </c>
      <c r="O2148" t="s">
        <v>737</v>
      </c>
      <c r="P2148" t="str">
        <f t="shared" si="570"/>
        <v>RATTC_11077_Spegesild</v>
      </c>
      <c r="Q2148" t="str">
        <f t="shared" si="571"/>
        <v>11077</v>
      </c>
      <c r="R2148" t="str">
        <f t="shared" si="572"/>
        <v>11077</v>
      </c>
      <c r="S2148" t="str">
        <f t="shared" si="573"/>
        <v>Spegesild</v>
      </c>
      <c r="T2148">
        <v>12</v>
      </c>
      <c r="U2148">
        <v>3</v>
      </c>
      <c r="V2148">
        <v>0.02</v>
      </c>
      <c r="W2148">
        <f t="shared" si="574"/>
        <v>35.28</v>
      </c>
      <c r="X2148" t="str">
        <f t="shared" si="575"/>
        <v>yes</v>
      </c>
      <c r="Y2148" s="2">
        <v>35221</v>
      </c>
      <c r="Z2148" t="str">
        <f t="shared" si="561"/>
        <v/>
      </c>
      <c r="AA2148" t="str">
        <f t="shared" si="576"/>
        <v>2nd Q 1996</v>
      </c>
      <c r="AB2148" t="str" cm="1">
        <f t="array" ref="AB2148">_xlfn.IFS(Y2148&lt;DATE(1996,1,1),"",Y2148&lt;DATE(1996,4,1),"Q1",Y2148&lt;DATE(1996,7,1),"Q2",Y2148&gt;=DATE(1996,7,1),"")</f>
        <v>Q2</v>
      </c>
    </row>
    <row r="2149" spans="1:28" ht="14.4" x14ac:dyDescent="0.55000000000000004">
      <c r="A2149" t="str">
        <f>VLOOKUP(L2149,Customers!$A$2:$B$92,2,FALSE)</f>
        <v>Rattlesnake Canyon Grocery</v>
      </c>
      <c r="B2149" t="str">
        <f>VLOOKUP(L2149,Customers!$A$2:$C$92,3,TRUE)</f>
        <v>Paula Wilson</v>
      </c>
      <c r="C2149" t="str">
        <f t="shared" si="562"/>
        <v>Paula</v>
      </c>
      <c r="D2149" s="8" t="str">
        <f t="shared" si="563"/>
        <v>Wilson</v>
      </c>
      <c r="E2149" s="8" t="str">
        <f t="shared" si="564"/>
        <v>Wilson, Paula</v>
      </c>
      <c r="F2149" s="8" t="str">
        <f t="shared" si="565"/>
        <v>Wilson, Paula</v>
      </c>
      <c r="G2149" s="8" t="str">
        <f t="shared" si="566"/>
        <v>not an outlier</v>
      </c>
      <c r="H2149" s="8" t="str">
        <f t="shared" si="567"/>
        <v>Not</v>
      </c>
      <c r="I2149" s="8" t="str">
        <f t="shared" si="577"/>
        <v>no</v>
      </c>
      <c r="J2149" s="10" t="str">
        <f t="shared" si="568"/>
        <v>no</v>
      </c>
      <c r="K2149" s="10" t="str">
        <f t="shared" si="569"/>
        <v>no</v>
      </c>
      <c r="L2149" t="s">
        <v>487</v>
      </c>
      <c r="M2149">
        <v>11077</v>
      </c>
      <c r="N2149">
        <v>52</v>
      </c>
      <c r="O2149" t="s">
        <v>748</v>
      </c>
      <c r="P2149" t="str">
        <f t="shared" si="570"/>
        <v>RATTC_11077_Filo Mix</v>
      </c>
      <c r="Q2149" t="str">
        <f t="shared" si="571"/>
        <v>11077</v>
      </c>
      <c r="R2149" t="str">
        <f t="shared" si="572"/>
        <v>11077</v>
      </c>
      <c r="S2149" t="str">
        <f t="shared" si="573"/>
        <v>Filo Mix</v>
      </c>
      <c r="T2149">
        <v>7</v>
      </c>
      <c r="U2149">
        <v>2</v>
      </c>
      <c r="V2149">
        <v>0</v>
      </c>
      <c r="W2149">
        <f t="shared" si="574"/>
        <v>14</v>
      </c>
      <c r="X2149" t="str">
        <f t="shared" si="575"/>
        <v>yes</v>
      </c>
      <c r="Y2149" s="2">
        <v>35221</v>
      </c>
      <c r="Z2149" t="str">
        <f t="shared" si="561"/>
        <v/>
      </c>
      <c r="AA2149" t="str">
        <f t="shared" si="576"/>
        <v>2nd Q 1996</v>
      </c>
      <c r="AB2149" t="str" cm="1">
        <f t="array" ref="AB2149">_xlfn.IFS(Y2149&lt;DATE(1996,1,1),"",Y2149&lt;DATE(1996,4,1),"Q1",Y2149&lt;DATE(1996,7,1),"Q2",Y2149&gt;=DATE(1996,7,1),"")</f>
        <v>Q2</v>
      </c>
    </row>
    <row r="2150" spans="1:28" ht="14.4" x14ac:dyDescent="0.55000000000000004">
      <c r="A2150" t="str">
        <f>VLOOKUP(L2150,Customers!$A$2:$B$92,2,FALSE)</f>
        <v>Rattlesnake Canyon Grocery</v>
      </c>
      <c r="B2150" t="str">
        <f>VLOOKUP(L2150,Customers!$A$2:$C$92,3,TRUE)</f>
        <v>Paula Wilson</v>
      </c>
      <c r="C2150" t="str">
        <f t="shared" si="562"/>
        <v>Paula</v>
      </c>
      <c r="D2150" s="8" t="str">
        <f t="shared" si="563"/>
        <v>Wilson</v>
      </c>
      <c r="E2150" s="8" t="str">
        <f t="shared" si="564"/>
        <v>Wilson, Paula</v>
      </c>
      <c r="F2150" s="8" t="str">
        <f t="shared" si="565"/>
        <v>Wilson, Paula</v>
      </c>
      <c r="G2150" s="8" t="str">
        <f t="shared" si="566"/>
        <v>not an outlier</v>
      </c>
      <c r="H2150" s="8" t="str">
        <f t="shared" si="567"/>
        <v>Not</v>
      </c>
      <c r="I2150" s="8" t="str">
        <f t="shared" si="577"/>
        <v>no</v>
      </c>
      <c r="J2150" s="10" t="str">
        <f t="shared" si="568"/>
        <v>no</v>
      </c>
      <c r="K2150" s="10" t="str">
        <f t="shared" si="569"/>
        <v>no</v>
      </c>
      <c r="L2150" t="s">
        <v>487</v>
      </c>
      <c r="M2150">
        <v>11077</v>
      </c>
      <c r="N2150">
        <v>55</v>
      </c>
      <c r="O2150" t="s">
        <v>699</v>
      </c>
      <c r="P2150" t="str">
        <f t="shared" si="570"/>
        <v>RATTC_11077_Pâté chinois</v>
      </c>
      <c r="Q2150" t="str">
        <f t="shared" si="571"/>
        <v>11077</v>
      </c>
      <c r="R2150" t="str">
        <f t="shared" si="572"/>
        <v>11077</v>
      </c>
      <c r="S2150" t="str">
        <f t="shared" si="573"/>
        <v>Pâté chinois</v>
      </c>
      <c r="T2150">
        <v>24</v>
      </c>
      <c r="U2150">
        <v>2</v>
      </c>
      <c r="V2150">
        <v>0</v>
      </c>
      <c r="W2150">
        <f t="shared" si="574"/>
        <v>48</v>
      </c>
      <c r="X2150" t="str">
        <f t="shared" si="575"/>
        <v>yes</v>
      </c>
      <c r="Y2150" s="2">
        <v>35221</v>
      </c>
      <c r="Z2150" t="str">
        <f t="shared" si="561"/>
        <v/>
      </c>
      <c r="AA2150" t="str">
        <f t="shared" si="576"/>
        <v>2nd Q 1996</v>
      </c>
      <c r="AB2150" t="str" cm="1">
        <f t="array" ref="AB2150">_xlfn.IFS(Y2150&lt;DATE(1996,1,1),"",Y2150&lt;DATE(1996,4,1),"Q1",Y2150&lt;DATE(1996,7,1),"Q2",Y2150&gt;=DATE(1996,7,1),"")</f>
        <v>Q2</v>
      </c>
    </row>
    <row r="2151" spans="1:28" ht="14.4" x14ac:dyDescent="0.55000000000000004">
      <c r="A2151" t="str">
        <f>VLOOKUP(L2151,Customers!$A$2:$B$92,2,FALSE)</f>
        <v>Rattlesnake Canyon Grocery</v>
      </c>
      <c r="B2151" t="str">
        <f>VLOOKUP(L2151,Customers!$A$2:$C$92,3,TRUE)</f>
        <v>Paula Wilson</v>
      </c>
      <c r="C2151" t="str">
        <f t="shared" si="562"/>
        <v>Paula</v>
      </c>
      <c r="D2151" s="8" t="str">
        <f t="shared" si="563"/>
        <v>Wilson</v>
      </c>
      <c r="E2151" s="8" t="str">
        <f t="shared" si="564"/>
        <v>Wilson, Paula</v>
      </c>
      <c r="F2151" s="8" t="str">
        <f t="shared" si="565"/>
        <v>Wilson, Paula</v>
      </c>
      <c r="G2151" s="8" t="str">
        <f t="shared" si="566"/>
        <v>not an outlier</v>
      </c>
      <c r="H2151" s="8" t="str">
        <f t="shared" si="567"/>
        <v>Not</v>
      </c>
      <c r="I2151" s="8" t="str">
        <f t="shared" si="577"/>
        <v>no</v>
      </c>
      <c r="J2151" s="10" t="str">
        <f t="shared" si="568"/>
        <v>no</v>
      </c>
      <c r="K2151" s="10" t="str">
        <f t="shared" si="569"/>
        <v>no</v>
      </c>
      <c r="L2151" t="s">
        <v>487</v>
      </c>
      <c r="M2151">
        <v>11077</v>
      </c>
      <c r="N2151">
        <v>60</v>
      </c>
      <c r="O2151" t="s">
        <v>694</v>
      </c>
      <c r="P2151" t="str">
        <f t="shared" si="570"/>
        <v>RATTC_11077_Camembert Pierrot</v>
      </c>
      <c r="Q2151" t="str">
        <f t="shared" si="571"/>
        <v>11077</v>
      </c>
      <c r="R2151" t="str">
        <f t="shared" si="572"/>
        <v>11077</v>
      </c>
      <c r="S2151" t="str">
        <f t="shared" si="573"/>
        <v>Camembert Pierrot</v>
      </c>
      <c r="T2151">
        <v>34</v>
      </c>
      <c r="U2151">
        <v>2</v>
      </c>
      <c r="V2151">
        <v>0.06</v>
      </c>
      <c r="W2151">
        <f t="shared" si="574"/>
        <v>63.919999999999995</v>
      </c>
      <c r="X2151" t="str">
        <f t="shared" si="575"/>
        <v>yes</v>
      </c>
      <c r="Y2151" s="2">
        <v>35221</v>
      </c>
      <c r="Z2151" t="str">
        <f t="shared" si="561"/>
        <v/>
      </c>
      <c r="AA2151" t="str">
        <f t="shared" si="576"/>
        <v>2nd Q 1996</v>
      </c>
      <c r="AB2151" t="str" cm="1">
        <f t="array" ref="AB2151">_xlfn.IFS(Y2151&lt;DATE(1996,1,1),"",Y2151&lt;DATE(1996,4,1),"Q1",Y2151&lt;DATE(1996,7,1),"Q2",Y2151&gt;=DATE(1996,7,1),"")</f>
        <v>Q2</v>
      </c>
    </row>
    <row r="2152" spans="1:28" ht="14.4" x14ac:dyDescent="0.55000000000000004">
      <c r="A2152" t="str">
        <f>VLOOKUP(L2152,Customers!$A$2:$B$92,2,FALSE)</f>
        <v>Rattlesnake Canyon Grocery</v>
      </c>
      <c r="B2152" t="str">
        <f>VLOOKUP(L2152,Customers!$A$2:$C$92,3,TRUE)</f>
        <v>Paula Wilson</v>
      </c>
      <c r="C2152" t="str">
        <f t="shared" si="562"/>
        <v>Paula</v>
      </c>
      <c r="D2152" s="8" t="str">
        <f t="shared" si="563"/>
        <v>Wilson</v>
      </c>
      <c r="E2152" s="8" t="str">
        <f t="shared" si="564"/>
        <v>Wilson, Paula</v>
      </c>
      <c r="F2152" s="8" t="str">
        <f t="shared" si="565"/>
        <v>Wilson, Paula</v>
      </c>
      <c r="G2152" s="8" t="str">
        <f t="shared" si="566"/>
        <v>not an outlier</v>
      </c>
      <c r="H2152" s="8" t="str">
        <f t="shared" si="567"/>
        <v>Not</v>
      </c>
      <c r="I2152" s="8" t="str">
        <f t="shared" si="577"/>
        <v>no</v>
      </c>
      <c r="J2152" s="10" t="str">
        <f t="shared" si="568"/>
        <v>no</v>
      </c>
      <c r="K2152" s="10" t="str">
        <f t="shared" si="569"/>
        <v>no</v>
      </c>
      <c r="L2152" t="s">
        <v>487</v>
      </c>
      <c r="M2152">
        <v>11077</v>
      </c>
      <c r="N2152">
        <v>64</v>
      </c>
      <c r="O2152" t="s">
        <v>741</v>
      </c>
      <c r="P2152" t="str">
        <f t="shared" si="570"/>
        <v>RATTC_11077_Wimmers gute Semmelknödel</v>
      </c>
      <c r="Q2152" t="str">
        <f t="shared" si="571"/>
        <v>11077</v>
      </c>
      <c r="R2152" t="str">
        <f t="shared" si="572"/>
        <v>11077</v>
      </c>
      <c r="S2152" t="str">
        <f t="shared" si="573"/>
        <v>Wimmers gute Semmelknödel</v>
      </c>
      <c r="T2152">
        <v>33.25</v>
      </c>
      <c r="U2152">
        <v>2</v>
      </c>
      <c r="V2152">
        <v>0.03</v>
      </c>
      <c r="W2152">
        <f t="shared" si="574"/>
        <v>64.504999999999995</v>
      </c>
      <c r="X2152" t="str">
        <f t="shared" si="575"/>
        <v>yes</v>
      </c>
      <c r="Y2152" s="2">
        <v>35221</v>
      </c>
      <c r="Z2152" t="str">
        <f t="shared" si="561"/>
        <v/>
      </c>
      <c r="AA2152" t="str">
        <f t="shared" si="576"/>
        <v>2nd Q 1996</v>
      </c>
      <c r="AB2152" t="str" cm="1">
        <f t="array" ref="AB2152">_xlfn.IFS(Y2152&lt;DATE(1996,1,1),"",Y2152&lt;DATE(1996,4,1),"Q1",Y2152&lt;DATE(1996,7,1),"Q2",Y2152&gt;=DATE(1996,7,1),"")</f>
        <v>Q2</v>
      </c>
    </row>
    <row r="2153" spans="1:28" ht="14.4" x14ac:dyDescent="0.55000000000000004">
      <c r="A2153" t="str">
        <f>VLOOKUP(L2153,Customers!$A$2:$B$92,2,FALSE)</f>
        <v>Rattlesnake Canyon Grocery</v>
      </c>
      <c r="B2153" t="str">
        <f>VLOOKUP(L2153,Customers!$A$2:$C$92,3,TRUE)</f>
        <v>Paula Wilson</v>
      </c>
      <c r="C2153" t="str">
        <f t="shared" si="562"/>
        <v>Paula</v>
      </c>
      <c r="D2153" s="8" t="str">
        <f t="shared" si="563"/>
        <v>Wilson</v>
      </c>
      <c r="E2153" s="8" t="str">
        <f t="shared" si="564"/>
        <v>Wilson, Paula</v>
      </c>
      <c r="F2153" s="8" t="str">
        <f t="shared" si="565"/>
        <v>Wilson, Paula</v>
      </c>
      <c r="G2153" s="8" t="str">
        <f t="shared" si="566"/>
        <v>not an outlier</v>
      </c>
      <c r="H2153" s="8" t="str">
        <f t="shared" si="567"/>
        <v>Not</v>
      </c>
      <c r="I2153" s="8" t="str">
        <f t="shared" si="577"/>
        <v>no</v>
      </c>
      <c r="J2153" s="10" t="str">
        <f t="shared" si="568"/>
        <v>no</v>
      </c>
      <c r="K2153" s="10" t="str">
        <f t="shared" si="569"/>
        <v>no</v>
      </c>
      <c r="L2153" t="s">
        <v>487</v>
      </c>
      <c r="M2153">
        <v>11077</v>
      </c>
      <c r="N2153">
        <v>66</v>
      </c>
      <c r="O2153" t="s">
        <v>744</v>
      </c>
      <c r="P2153" t="str">
        <f t="shared" si="570"/>
        <v>RATTC_11077_Louisiana Hot Spiced Okra</v>
      </c>
      <c r="Q2153" t="str">
        <f t="shared" si="571"/>
        <v>11077</v>
      </c>
      <c r="R2153" t="str">
        <f t="shared" si="572"/>
        <v>11077</v>
      </c>
      <c r="S2153" t="str">
        <f t="shared" si="573"/>
        <v>Louisiana Hot Spiced Okra</v>
      </c>
      <c r="T2153">
        <v>17</v>
      </c>
      <c r="U2153">
        <v>1</v>
      </c>
      <c r="V2153">
        <v>0</v>
      </c>
      <c r="W2153">
        <f t="shared" si="574"/>
        <v>17</v>
      </c>
      <c r="X2153" t="str">
        <f t="shared" si="575"/>
        <v>yes</v>
      </c>
      <c r="Y2153" s="2">
        <v>35221</v>
      </c>
      <c r="Z2153" t="str">
        <f t="shared" si="561"/>
        <v/>
      </c>
      <c r="AA2153" t="str">
        <f t="shared" si="576"/>
        <v>2nd Q 1996</v>
      </c>
      <c r="AB2153" t="str" cm="1">
        <f t="array" ref="AB2153">_xlfn.IFS(Y2153&lt;DATE(1996,1,1),"",Y2153&lt;DATE(1996,4,1),"Q1",Y2153&lt;DATE(1996,7,1),"Q2",Y2153&gt;=DATE(1996,7,1),"")</f>
        <v>Q2</v>
      </c>
    </row>
    <row r="2154" spans="1:28" ht="14.4" x14ac:dyDescent="0.55000000000000004">
      <c r="A2154" t="str">
        <f>VLOOKUP(L2154,Customers!$A$2:$B$92,2,FALSE)</f>
        <v>Rattlesnake Canyon Grocery</v>
      </c>
      <c r="B2154" t="str">
        <f>VLOOKUP(L2154,Customers!$A$2:$C$92,3,TRUE)</f>
        <v>Paula Wilson</v>
      </c>
      <c r="C2154" t="str">
        <f t="shared" si="562"/>
        <v>Paula</v>
      </c>
      <c r="D2154" s="8" t="str">
        <f t="shared" si="563"/>
        <v>Wilson</v>
      </c>
      <c r="E2154" s="8" t="str">
        <f t="shared" si="564"/>
        <v>Wilson, Paula</v>
      </c>
      <c r="F2154" s="8" t="str">
        <f t="shared" si="565"/>
        <v>Wilson, Paula</v>
      </c>
      <c r="G2154" s="8" t="str">
        <f t="shared" si="566"/>
        <v>not an outlier</v>
      </c>
      <c r="H2154" s="8" t="str">
        <f t="shared" si="567"/>
        <v>Not</v>
      </c>
      <c r="I2154" s="8" t="str">
        <f t="shared" si="577"/>
        <v>no</v>
      </c>
      <c r="J2154" s="10" t="str">
        <f t="shared" si="568"/>
        <v>no</v>
      </c>
      <c r="K2154" s="10" t="str">
        <f t="shared" si="569"/>
        <v>no</v>
      </c>
      <c r="L2154" t="s">
        <v>487</v>
      </c>
      <c r="M2154">
        <v>11077</v>
      </c>
      <c r="N2154">
        <v>73</v>
      </c>
      <c r="O2154" t="s">
        <v>730</v>
      </c>
      <c r="P2154" t="str">
        <f t="shared" si="570"/>
        <v>RATTC_11077_Röd Kaviar</v>
      </c>
      <c r="Q2154" t="str">
        <f t="shared" si="571"/>
        <v>11077</v>
      </c>
      <c r="R2154" t="str">
        <f t="shared" si="572"/>
        <v>11077</v>
      </c>
      <c r="S2154" t="str">
        <f t="shared" si="573"/>
        <v>Röd Kaviar</v>
      </c>
      <c r="T2154">
        <v>15</v>
      </c>
      <c r="U2154">
        <v>2</v>
      </c>
      <c r="V2154">
        <v>0.01</v>
      </c>
      <c r="W2154">
        <f t="shared" si="574"/>
        <v>29.7</v>
      </c>
      <c r="X2154" t="str">
        <f t="shared" si="575"/>
        <v>yes</v>
      </c>
      <c r="Y2154" s="2">
        <v>35221</v>
      </c>
      <c r="Z2154" t="str">
        <f t="shared" si="561"/>
        <v/>
      </c>
      <c r="AA2154" t="str">
        <f t="shared" si="576"/>
        <v>2nd Q 1996</v>
      </c>
      <c r="AB2154" t="str" cm="1">
        <f t="array" ref="AB2154">_xlfn.IFS(Y2154&lt;DATE(1996,1,1),"",Y2154&lt;DATE(1996,4,1),"Q1",Y2154&lt;DATE(1996,7,1),"Q2",Y2154&gt;=DATE(1996,7,1),"")</f>
        <v>Q2</v>
      </c>
    </row>
    <row r="2155" spans="1:28" ht="14.4" x14ac:dyDescent="0.55000000000000004">
      <c r="A2155" t="str">
        <f>VLOOKUP(L2155,Customers!$A$2:$B$92,2,FALSE)</f>
        <v>Rattlesnake Canyon Grocery</v>
      </c>
      <c r="B2155" t="str">
        <f>VLOOKUP(L2155,Customers!$A$2:$C$92,3,TRUE)</f>
        <v>Paula Wilson</v>
      </c>
      <c r="C2155" t="str">
        <f t="shared" si="562"/>
        <v>Paula</v>
      </c>
      <c r="D2155" s="8" t="str">
        <f t="shared" si="563"/>
        <v>Wilson</v>
      </c>
      <c r="E2155" s="8" t="str">
        <f t="shared" si="564"/>
        <v>Wilson, Paula</v>
      </c>
      <c r="F2155" s="8" t="str">
        <f t="shared" si="565"/>
        <v>Wilson, Paula</v>
      </c>
      <c r="G2155" s="8" t="str">
        <f t="shared" si="566"/>
        <v>not an outlier</v>
      </c>
      <c r="H2155" s="8" t="str">
        <f t="shared" si="567"/>
        <v>Not</v>
      </c>
      <c r="I2155" s="8" t="str">
        <f t="shared" si="577"/>
        <v>no</v>
      </c>
      <c r="J2155" s="10" t="str">
        <f t="shared" si="568"/>
        <v>no</v>
      </c>
      <c r="K2155" s="10" t="str">
        <f t="shared" si="569"/>
        <v>no</v>
      </c>
      <c r="L2155" t="s">
        <v>487</v>
      </c>
      <c r="M2155">
        <v>11077</v>
      </c>
      <c r="N2155">
        <v>75</v>
      </c>
      <c r="O2155" t="s">
        <v>731</v>
      </c>
      <c r="P2155" t="str">
        <f t="shared" si="570"/>
        <v>RATTC_11077_Rhönbräu Klosterbier</v>
      </c>
      <c r="Q2155" t="str">
        <f t="shared" si="571"/>
        <v>11077</v>
      </c>
      <c r="R2155" t="str">
        <f t="shared" si="572"/>
        <v>11077</v>
      </c>
      <c r="S2155" t="str">
        <f t="shared" si="573"/>
        <v>Rhönbräu Klosterbier</v>
      </c>
      <c r="T2155">
        <v>7.75</v>
      </c>
      <c r="U2155">
        <v>4</v>
      </c>
      <c r="V2155">
        <v>0</v>
      </c>
      <c r="W2155">
        <f t="shared" si="574"/>
        <v>31</v>
      </c>
      <c r="X2155" t="str">
        <f t="shared" si="575"/>
        <v>yes</v>
      </c>
      <c r="Y2155" s="2">
        <v>35221</v>
      </c>
      <c r="Z2155" t="str">
        <f t="shared" si="561"/>
        <v/>
      </c>
      <c r="AA2155" t="str">
        <f t="shared" si="576"/>
        <v>2nd Q 1996</v>
      </c>
      <c r="AB2155" t="str" cm="1">
        <f t="array" ref="AB2155">_xlfn.IFS(Y2155&lt;DATE(1996,1,1),"",Y2155&lt;DATE(1996,4,1),"Q1",Y2155&lt;DATE(1996,7,1),"Q2",Y2155&gt;=DATE(1996,7,1),"")</f>
        <v>Q2</v>
      </c>
    </row>
    <row r="2156" spans="1:28" ht="14.4" x14ac:dyDescent="0.55000000000000004">
      <c r="A2156" t="str">
        <f>VLOOKUP(L2156,Customers!$A$2:$B$92,2,FALSE)</f>
        <v>Rattlesnake Canyon Grocery</v>
      </c>
      <c r="B2156" t="str">
        <f>VLOOKUP(L2156,Customers!$A$2:$C$92,3,TRUE)</f>
        <v>Paula Wilson</v>
      </c>
      <c r="C2156" t="str">
        <f t="shared" si="562"/>
        <v>Paula</v>
      </c>
      <c r="D2156" s="8" t="str">
        <f t="shared" si="563"/>
        <v>Wilson</v>
      </c>
      <c r="E2156" s="8" t="str">
        <f t="shared" si="564"/>
        <v>Wilson, Paula</v>
      </c>
      <c r="F2156" s="8" t="str">
        <f t="shared" si="565"/>
        <v>Wilson, Paula</v>
      </c>
      <c r="G2156" s="8" t="str">
        <f t="shared" si="566"/>
        <v>not an outlier</v>
      </c>
      <c r="H2156" s="8" t="str">
        <f t="shared" si="567"/>
        <v>Not</v>
      </c>
      <c r="I2156" s="8" t="str">
        <f t="shared" si="577"/>
        <v>no</v>
      </c>
      <c r="J2156" s="10" t="str">
        <f t="shared" si="568"/>
        <v>no</v>
      </c>
      <c r="K2156" s="10" t="str">
        <f t="shared" si="569"/>
        <v>no</v>
      </c>
      <c r="L2156" t="s">
        <v>487</v>
      </c>
      <c r="M2156">
        <v>11077</v>
      </c>
      <c r="N2156">
        <v>77</v>
      </c>
      <c r="O2156" t="s">
        <v>706</v>
      </c>
      <c r="P2156" t="str">
        <f t="shared" si="570"/>
        <v>RATTC_11077_Original Frankfurter grüne Soße</v>
      </c>
      <c r="Q2156" t="str">
        <f t="shared" si="571"/>
        <v>11077</v>
      </c>
      <c r="R2156" t="str">
        <f t="shared" si="572"/>
        <v>11077</v>
      </c>
      <c r="S2156" t="str">
        <f t="shared" si="573"/>
        <v>Original Frankfurter grüne Soße</v>
      </c>
      <c r="T2156">
        <v>13</v>
      </c>
      <c r="U2156">
        <v>2</v>
      </c>
      <c r="V2156">
        <v>0</v>
      </c>
      <c r="W2156">
        <f t="shared" si="574"/>
        <v>26</v>
      </c>
      <c r="X2156" t="str">
        <f t="shared" si="575"/>
        <v>yes</v>
      </c>
      <c r="Y2156" s="2">
        <v>35221</v>
      </c>
      <c r="Z2156" t="str">
        <f t="shared" si="561"/>
        <v/>
      </c>
      <c r="AA2156" t="str">
        <f t="shared" si="576"/>
        <v>2nd Q 1996</v>
      </c>
      <c r="AB2156" t="str" cm="1">
        <f t="array" ref="AB2156">_xlfn.IFS(Y2156&lt;DATE(1996,1,1),"",Y2156&lt;DATE(1996,4,1),"Q1",Y2156&lt;DATE(1996,7,1),"Q2",Y2156&gt;=DATE(1996,7,1),"")</f>
        <v>Q2</v>
      </c>
    </row>
    <row r="2157" spans="1:28" ht="14.4" x14ac:dyDescent="0.55000000000000004">
      <c r="A2157" t="str">
        <f>VLOOKUP(L2157,Customers!$A$2:$B$92,2,FALSE)</f>
        <v>Blondel père et fils</v>
      </c>
      <c r="B2157" t="str">
        <f>VLOOKUP(L2157,Customers!$A$2:$C$92,3,TRUE)</f>
        <v>Frédérique Citeaux</v>
      </c>
      <c r="C2157" t="str">
        <f t="shared" si="562"/>
        <v>Frédérique</v>
      </c>
      <c r="D2157" s="8" t="str">
        <f t="shared" si="563"/>
        <v>Citeaux</v>
      </c>
      <c r="E2157" s="8" t="str">
        <f t="shared" si="564"/>
        <v>Citeaux, Frédérique</v>
      </c>
      <c r="F2157" s="8" t="str">
        <f t="shared" si="565"/>
        <v>Citeaux, Frédérique</v>
      </c>
      <c r="G2157" s="8" t="str">
        <f t="shared" si="566"/>
        <v>not an outlier</v>
      </c>
      <c r="H2157" s="8" t="str">
        <f t="shared" si="567"/>
        <v>Not</v>
      </c>
      <c r="I2157" s="8" t="str">
        <f t="shared" si="577"/>
        <v>no</v>
      </c>
      <c r="J2157" s="10" t="str">
        <f t="shared" si="568"/>
        <v>no</v>
      </c>
      <c r="K2157" s="10" t="str">
        <f t="shared" si="569"/>
        <v>no</v>
      </c>
      <c r="L2157" t="s">
        <v>60</v>
      </c>
      <c r="M2157">
        <v>11079</v>
      </c>
      <c r="N2157">
        <v>1</v>
      </c>
      <c r="O2157" t="s">
        <v>735</v>
      </c>
      <c r="P2157" t="str">
        <f t="shared" si="570"/>
        <v>BLONP_11079_Chai</v>
      </c>
      <c r="Q2157" t="str">
        <f t="shared" si="571"/>
        <v>11079</v>
      </c>
      <c r="R2157" t="str">
        <f t="shared" si="572"/>
        <v>11079</v>
      </c>
      <c r="S2157" t="str">
        <f t="shared" si="573"/>
        <v>Chai</v>
      </c>
      <c r="T2157">
        <v>18</v>
      </c>
      <c r="U2157">
        <v>5</v>
      </c>
      <c r="V2157">
        <v>0</v>
      </c>
      <c r="W2157">
        <f t="shared" si="574"/>
        <v>90</v>
      </c>
      <c r="X2157" t="str">
        <f t="shared" si="575"/>
        <v>yes</v>
      </c>
      <c r="Y2157" s="2">
        <v>36208</v>
      </c>
      <c r="Z2157" t="str">
        <f t="shared" si="561"/>
        <v/>
      </c>
      <c r="AA2157" t="str">
        <f t="shared" si="576"/>
        <v/>
      </c>
      <c r="AB2157" t="str" cm="1">
        <f t="array" ref="AB2157">_xlfn.IFS(Y2157&lt;DATE(1996,1,1),"",Y2157&lt;DATE(1996,4,1),"Q1",Y2157&lt;DATE(1996,7,1),"Q2",Y2157&gt;=DATE(1996,7,1),"")</f>
        <v/>
      </c>
    </row>
    <row r="2158" spans="1:28" ht="14.4" x14ac:dyDescent="0.55000000000000004">
      <c r="A2158" t="str">
        <f>VLOOKUP(L2158,Customers!$A$2:$B$92,2,FALSE)</f>
        <v>Blondel père et fils</v>
      </c>
      <c r="B2158" t="str">
        <f>VLOOKUP(L2158,Customers!$A$2:$C$92,3,TRUE)</f>
        <v>Frédérique Citeaux</v>
      </c>
      <c r="C2158" t="str">
        <f t="shared" si="562"/>
        <v>Frédérique</v>
      </c>
      <c r="D2158" s="8" t="str">
        <f t="shared" si="563"/>
        <v>Citeaux</v>
      </c>
      <c r="E2158" s="8" t="str">
        <f t="shared" si="564"/>
        <v>Citeaux, Frédérique</v>
      </c>
      <c r="F2158" s="8" t="str">
        <f t="shared" si="565"/>
        <v>Citeaux, Frédérique</v>
      </c>
      <c r="G2158" s="8" t="str">
        <f t="shared" si="566"/>
        <v>not an outlier</v>
      </c>
      <c r="H2158" s="8" t="str">
        <f t="shared" si="567"/>
        <v>Not</v>
      </c>
      <c r="I2158" s="8" t="str">
        <f t="shared" si="577"/>
        <v>no</v>
      </c>
      <c r="J2158" s="10" t="str">
        <f t="shared" si="568"/>
        <v>no</v>
      </c>
      <c r="K2158" s="10" t="str">
        <f t="shared" si="569"/>
        <v>no</v>
      </c>
      <c r="L2158" t="s">
        <v>60</v>
      </c>
      <c r="M2158">
        <v>11079</v>
      </c>
      <c r="N2158">
        <v>40</v>
      </c>
      <c r="O2158" t="s">
        <v>720</v>
      </c>
      <c r="P2158" t="str">
        <f t="shared" si="570"/>
        <v>BLONP_11079_Boston Crab Meat</v>
      </c>
      <c r="Q2158" t="str">
        <f t="shared" si="571"/>
        <v>11079</v>
      </c>
      <c r="R2158" t="str">
        <f t="shared" si="572"/>
        <v>11079</v>
      </c>
      <c r="S2158" t="str">
        <f t="shared" si="573"/>
        <v>Boston Crab Meat</v>
      </c>
      <c r="T2158">
        <v>18.399999999999999</v>
      </c>
      <c r="U2158">
        <v>2</v>
      </c>
      <c r="V2158">
        <v>0</v>
      </c>
      <c r="W2158">
        <f t="shared" si="574"/>
        <v>36.799999999999997</v>
      </c>
      <c r="X2158" t="str">
        <f t="shared" si="575"/>
        <v>yes</v>
      </c>
      <c r="Y2158" s="2">
        <v>36208</v>
      </c>
      <c r="Z2158" t="str">
        <f t="shared" si="561"/>
        <v/>
      </c>
      <c r="AA2158" t="str">
        <f t="shared" si="576"/>
        <v/>
      </c>
      <c r="AB2158" t="str" cm="1">
        <f t="array" ref="AB2158">_xlfn.IFS(Y2158&lt;DATE(1996,1,1),"",Y2158&lt;DATE(1996,4,1),"Q1",Y2158&lt;DATE(1996,7,1),"Q2",Y2158&gt;=DATE(1996,7,1),"")</f>
        <v/>
      </c>
    </row>
    <row r="2160" spans="1:28" x14ac:dyDescent="0.4">
      <c r="S2160" t="s">
        <v>802</v>
      </c>
      <c r="W2160">
        <f>AVERAGE(W2:W2158)</f>
        <v>592.79222971720003</v>
      </c>
    </row>
    <row r="2161" spans="19:23" x14ac:dyDescent="0.4">
      <c r="S2161" t="s">
        <v>803</v>
      </c>
      <c r="W2161">
        <f>MIN(W2:W2158)</f>
        <v>4.8</v>
      </c>
    </row>
    <row r="2162" spans="19:23" x14ac:dyDescent="0.4">
      <c r="S2162" t="s">
        <v>804</v>
      </c>
      <c r="W2162">
        <f>MAX(W2:W2158)</f>
        <v>15810</v>
      </c>
    </row>
    <row r="2163" spans="19:23" x14ac:dyDescent="0.4">
      <c r="S2163" t="s">
        <v>805</v>
      </c>
      <c r="W2163">
        <f>SUMIF(V2:V2158,"&gt;=0.25",W2:W2158)</f>
        <v>98938.567500000005</v>
      </c>
    </row>
    <row r="2164" spans="19:23" x14ac:dyDescent="0.4">
      <c r="S2164" t="s">
        <v>806</v>
      </c>
      <c r="W2164">
        <f>COUNTIF(V2:V2158,"&gt;=0.25")</f>
        <v>154</v>
      </c>
    </row>
    <row r="2165" spans="19:23" x14ac:dyDescent="0.4">
      <c r="S2165" t="s">
        <v>807</v>
      </c>
      <c r="W2165">
        <f>_xlfn.STDEV.P(W2:W2158)</f>
        <v>990.90192652943426</v>
      </c>
    </row>
    <row r="2166" spans="19:23" x14ac:dyDescent="0.4">
      <c r="S2166" t="s">
        <v>808</v>
      </c>
      <c r="W2166">
        <f>$W$2160+3*$W$2165</f>
        <v>3565.4980093055028</v>
      </c>
    </row>
    <row r="2167" spans="19:23" x14ac:dyDescent="0.4">
      <c r="S2167" t="s">
        <v>809</v>
      </c>
      <c r="W2167" s="9">
        <f>$W$2160-3*$W$2165</f>
        <v>-2379.913549871103</v>
      </c>
    </row>
    <row r="2168" spans="19:23" x14ac:dyDescent="0.4">
      <c r="S2168" t="s">
        <v>810</v>
      </c>
      <c r="W2168">
        <f>$W$2160+2*$W$2165</f>
        <v>2574.5960827760687</v>
      </c>
    </row>
    <row r="2169" spans="19:23" x14ac:dyDescent="0.4">
      <c r="S2169" t="s">
        <v>811</v>
      </c>
      <c r="W2169" s="9">
        <f>$W$2160-2*$W$2165</f>
        <v>-1389.0116233416684</v>
      </c>
    </row>
  </sheetData>
  <conditionalFormatting sqref="V1:V1048576">
    <cfRule type="cellIs" dxfId="1" priority="3" operator="greaterThanOrEqual">
      <formula>0.25</formula>
    </cfRule>
  </conditionalFormatting>
  <conditionalFormatting sqref="W1:W2166 X2162 W2168 W2170:W1048576">
    <cfRule type="cellIs" dxfId="0" priority="2" operator="greaterThan">
      <formula>2000</formula>
    </cfRule>
  </conditionalFormatting>
  <conditionalFormatting sqref="T1:T1048576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DEC3F-179B-4A33-A829-A8EF3735A482}">
  <sheetPr codeName="Sheet5"/>
  <dimension ref="A2:D1779"/>
  <sheetViews>
    <sheetView workbookViewId="0">
      <selection activeCell="E23" sqref="E23"/>
    </sheetView>
  </sheetViews>
  <sheetFormatPr defaultRowHeight="12.3" x14ac:dyDescent="0.4"/>
  <cols>
    <col min="1" max="1" width="31.27734375" bestFit="1" customWidth="1"/>
    <col min="2" max="2" width="29.38671875" bestFit="1" customWidth="1"/>
    <col min="3" max="4" width="11.71875" bestFit="1" customWidth="1"/>
    <col min="5" max="5" width="12.1640625" bestFit="1" customWidth="1"/>
  </cols>
  <sheetData>
    <row r="2" spans="1:4" x14ac:dyDescent="0.4">
      <c r="A2" s="12" t="s">
        <v>904</v>
      </c>
      <c r="C2" s="12" t="s">
        <v>799</v>
      </c>
    </row>
    <row r="3" spans="1:4" x14ac:dyDescent="0.4">
      <c r="A3" s="12" t="s">
        <v>785</v>
      </c>
      <c r="B3" s="12" t="s">
        <v>678</v>
      </c>
      <c r="C3" t="s">
        <v>812</v>
      </c>
      <c r="D3" t="s">
        <v>813</v>
      </c>
    </row>
    <row r="4" spans="1:4" x14ac:dyDescent="0.4">
      <c r="A4" t="s">
        <v>12</v>
      </c>
      <c r="B4" t="s">
        <v>740</v>
      </c>
      <c r="C4" s="11">
        <v>60</v>
      </c>
      <c r="D4" s="11"/>
    </row>
    <row r="5" spans="1:4" x14ac:dyDescent="0.4">
      <c r="B5" t="s">
        <v>696</v>
      </c>
      <c r="C5" s="11">
        <v>283.5</v>
      </c>
      <c r="D5" s="11"/>
    </row>
    <row r="6" spans="1:4" x14ac:dyDescent="0.4">
      <c r="B6" t="s">
        <v>747</v>
      </c>
      <c r="C6" s="11"/>
      <c r="D6" s="11">
        <v>503.5</v>
      </c>
    </row>
    <row r="7" spans="1:4" x14ac:dyDescent="0.4">
      <c r="B7" t="s">
        <v>725</v>
      </c>
      <c r="C7" s="11"/>
      <c r="D7" s="11">
        <v>430</v>
      </c>
    </row>
    <row r="8" spans="1:4" x14ac:dyDescent="0.4">
      <c r="B8" t="s">
        <v>746</v>
      </c>
      <c r="C8" s="11"/>
      <c r="D8" s="11">
        <v>380</v>
      </c>
    </row>
    <row r="9" spans="1:4" x14ac:dyDescent="0.4">
      <c r="B9" t="s">
        <v>721</v>
      </c>
      <c r="C9" s="11">
        <v>270</v>
      </c>
      <c r="D9" s="11"/>
    </row>
    <row r="10" spans="1:4" x14ac:dyDescent="0.4">
      <c r="B10" t="s">
        <v>706</v>
      </c>
      <c r="C10" s="11"/>
      <c r="D10" s="11">
        <v>20.8</v>
      </c>
    </row>
    <row r="11" spans="1:4" x14ac:dyDescent="0.4">
      <c r="B11" t="s">
        <v>704</v>
      </c>
      <c r="C11" s="11"/>
      <c r="D11" s="11">
        <v>825</v>
      </c>
    </row>
    <row r="12" spans="1:4" x14ac:dyDescent="0.4">
      <c r="B12" t="s">
        <v>727</v>
      </c>
      <c r="C12" s="11">
        <v>513</v>
      </c>
      <c r="D12" s="11">
        <v>91.2</v>
      </c>
    </row>
    <row r="13" spans="1:4" x14ac:dyDescent="0.4">
      <c r="B13" t="s">
        <v>737</v>
      </c>
      <c r="C13" s="11">
        <v>18</v>
      </c>
      <c r="D13" s="11"/>
    </row>
    <row r="14" spans="1:4" x14ac:dyDescent="0.4">
      <c r="B14" t="s">
        <v>729</v>
      </c>
      <c r="C14" s="11">
        <v>878</v>
      </c>
      <c r="D14" s="11"/>
    </row>
    <row r="15" spans="1:4" x14ac:dyDescent="0.4">
      <c r="A15" t="s">
        <v>815</v>
      </c>
      <c r="C15" s="11">
        <v>337.08333333333331</v>
      </c>
      <c r="D15" s="11">
        <v>375.08333333333331</v>
      </c>
    </row>
    <row r="16" spans="1:4" x14ac:dyDescent="0.4">
      <c r="A16" t="s">
        <v>21</v>
      </c>
      <c r="B16" t="s">
        <v>694</v>
      </c>
      <c r="C16" s="11">
        <v>340</v>
      </c>
      <c r="D16" s="11"/>
    </row>
    <row r="17" spans="1:4" x14ac:dyDescent="0.4">
      <c r="B17" t="s">
        <v>743</v>
      </c>
      <c r="C17" s="11">
        <v>28.8</v>
      </c>
      <c r="D17" s="11"/>
    </row>
    <row r="18" spans="1:4" x14ac:dyDescent="0.4">
      <c r="B18" t="s">
        <v>726</v>
      </c>
      <c r="C18" s="11"/>
      <c r="D18" s="11">
        <v>60</v>
      </c>
    </row>
    <row r="19" spans="1:4" x14ac:dyDescent="0.4">
      <c r="B19" t="s">
        <v>709</v>
      </c>
      <c r="C19" s="11">
        <v>320</v>
      </c>
      <c r="D19" s="11"/>
    </row>
    <row r="20" spans="1:4" x14ac:dyDescent="0.4">
      <c r="B20" t="s">
        <v>685</v>
      </c>
      <c r="C20" s="11"/>
      <c r="D20" s="11">
        <v>348</v>
      </c>
    </row>
    <row r="21" spans="1:4" x14ac:dyDescent="0.4">
      <c r="B21" t="s">
        <v>713</v>
      </c>
      <c r="C21" s="11">
        <v>60</v>
      </c>
      <c r="D21" s="11"/>
    </row>
    <row r="22" spans="1:4" x14ac:dyDescent="0.4">
      <c r="B22" t="s">
        <v>683</v>
      </c>
      <c r="C22" s="11"/>
      <c r="D22" s="11">
        <v>42</v>
      </c>
    </row>
    <row r="23" spans="1:4" x14ac:dyDescent="0.4">
      <c r="B23" t="s">
        <v>684</v>
      </c>
      <c r="C23" s="11">
        <v>70</v>
      </c>
      <c r="D23" s="11"/>
    </row>
    <row r="24" spans="1:4" x14ac:dyDescent="0.4">
      <c r="B24" t="s">
        <v>732</v>
      </c>
      <c r="C24" s="11"/>
      <c r="D24" s="11">
        <v>64.399999999999991</v>
      </c>
    </row>
    <row r="25" spans="1:4" x14ac:dyDescent="0.4">
      <c r="B25" t="s">
        <v>686</v>
      </c>
      <c r="C25" s="11">
        <v>69.75</v>
      </c>
      <c r="D25" s="11"/>
    </row>
    <row r="26" spans="1:4" x14ac:dyDescent="0.4">
      <c r="A26" t="s">
        <v>816</v>
      </c>
      <c r="C26" s="11">
        <v>148.09166666666667</v>
      </c>
      <c r="D26" s="11">
        <v>128.6</v>
      </c>
    </row>
    <row r="27" spans="1:4" x14ac:dyDescent="0.4">
      <c r="A27" t="s">
        <v>30</v>
      </c>
      <c r="B27" t="s">
        <v>718</v>
      </c>
      <c r="C27" s="11">
        <v>702</v>
      </c>
      <c r="D27" s="11"/>
    </row>
    <row r="28" spans="1:4" x14ac:dyDescent="0.4">
      <c r="B28" t="s">
        <v>720</v>
      </c>
      <c r="C28" s="11">
        <v>165.6</v>
      </c>
      <c r="D28" s="11"/>
    </row>
    <row r="29" spans="1:4" x14ac:dyDescent="0.4">
      <c r="B29" t="s">
        <v>701</v>
      </c>
      <c r="C29" s="11"/>
      <c r="D29" s="11">
        <v>380</v>
      </c>
    </row>
    <row r="30" spans="1:4" x14ac:dyDescent="0.4">
      <c r="B30" t="s">
        <v>757</v>
      </c>
      <c r="C30" s="11">
        <v>162.5625</v>
      </c>
      <c r="D30" s="11"/>
    </row>
    <row r="31" spans="1:4" x14ac:dyDescent="0.4">
      <c r="B31" t="s">
        <v>693</v>
      </c>
      <c r="C31" s="11">
        <v>46</v>
      </c>
      <c r="D31" s="11"/>
    </row>
    <row r="32" spans="1:4" x14ac:dyDescent="0.4">
      <c r="B32" t="s">
        <v>751</v>
      </c>
      <c r="C32" s="11">
        <v>796.36500000000001</v>
      </c>
      <c r="D32" s="11"/>
    </row>
    <row r="33" spans="1:4" x14ac:dyDescent="0.4">
      <c r="B33" t="s">
        <v>723</v>
      </c>
      <c r="C33" s="11">
        <v>586.5</v>
      </c>
      <c r="D33" s="11"/>
    </row>
    <row r="34" spans="1:4" x14ac:dyDescent="0.4">
      <c r="B34" t="s">
        <v>744</v>
      </c>
      <c r="C34" s="11">
        <v>68</v>
      </c>
      <c r="D34" s="11"/>
    </row>
    <row r="35" spans="1:4" x14ac:dyDescent="0.4">
      <c r="B35" t="s">
        <v>705</v>
      </c>
      <c r="C35" s="11">
        <v>819.99999999999989</v>
      </c>
      <c r="D35" s="11"/>
    </row>
    <row r="36" spans="1:4" x14ac:dyDescent="0.4">
      <c r="B36" t="s">
        <v>683</v>
      </c>
      <c r="C36" s="11">
        <v>674.1</v>
      </c>
      <c r="D36" s="11"/>
    </row>
    <row r="37" spans="1:4" x14ac:dyDescent="0.4">
      <c r="B37" t="s">
        <v>704</v>
      </c>
      <c r="C37" s="11">
        <v>742.5</v>
      </c>
      <c r="D37" s="11"/>
    </row>
    <row r="38" spans="1:4" x14ac:dyDescent="0.4">
      <c r="B38" t="s">
        <v>691</v>
      </c>
      <c r="C38" s="11">
        <v>87.75</v>
      </c>
      <c r="D38" s="11"/>
    </row>
    <row r="39" spans="1:4" x14ac:dyDescent="0.4">
      <c r="B39" t="s">
        <v>731</v>
      </c>
      <c r="C39" s="11">
        <v>232.5</v>
      </c>
      <c r="D39" s="11"/>
    </row>
    <row r="40" spans="1:4" x14ac:dyDescent="0.4">
      <c r="B40" t="s">
        <v>736</v>
      </c>
      <c r="C40" s="11">
        <v>560</v>
      </c>
      <c r="D40" s="11"/>
    </row>
    <row r="41" spans="1:4" x14ac:dyDescent="0.4">
      <c r="B41" t="s">
        <v>684</v>
      </c>
      <c r="C41" s="11"/>
      <c r="D41" s="11">
        <v>280</v>
      </c>
    </row>
    <row r="42" spans="1:4" x14ac:dyDescent="0.4">
      <c r="A42" t="s">
        <v>817</v>
      </c>
      <c r="C42" s="11">
        <v>424.26516666666669</v>
      </c>
      <c r="D42" s="11">
        <v>330</v>
      </c>
    </row>
    <row r="43" spans="1:4" x14ac:dyDescent="0.4">
      <c r="A43" t="s">
        <v>35</v>
      </c>
      <c r="B43" t="s">
        <v>694</v>
      </c>
      <c r="C43" s="11"/>
      <c r="D43" s="11">
        <v>510</v>
      </c>
    </row>
    <row r="44" spans="1:4" x14ac:dyDescent="0.4">
      <c r="B44" t="s">
        <v>701</v>
      </c>
      <c r="C44" s="11">
        <v>228</v>
      </c>
      <c r="D44" s="11"/>
    </row>
    <row r="45" spans="1:4" x14ac:dyDescent="0.4">
      <c r="B45" t="s">
        <v>757</v>
      </c>
      <c r="C45" s="11">
        <v>137.70000000000002</v>
      </c>
      <c r="D45" s="11"/>
    </row>
    <row r="46" spans="1:4" x14ac:dyDescent="0.4">
      <c r="B46" t="s">
        <v>748</v>
      </c>
      <c r="C46" s="11">
        <v>210</v>
      </c>
      <c r="D46" s="11">
        <v>56</v>
      </c>
    </row>
    <row r="47" spans="1:4" x14ac:dyDescent="0.4">
      <c r="B47" t="s">
        <v>725</v>
      </c>
      <c r="C47" s="11"/>
      <c r="D47" s="11">
        <v>258</v>
      </c>
    </row>
    <row r="48" spans="1:4" x14ac:dyDescent="0.4">
      <c r="B48" t="s">
        <v>716</v>
      </c>
      <c r="C48" s="11">
        <v>608</v>
      </c>
      <c r="D48" s="11"/>
    </row>
    <row r="49" spans="2:4" x14ac:dyDescent="0.4">
      <c r="B49" t="s">
        <v>695</v>
      </c>
      <c r="C49" s="11"/>
      <c r="D49" s="11">
        <v>468.75</v>
      </c>
    </row>
    <row r="50" spans="2:4" x14ac:dyDescent="0.4">
      <c r="B50" t="s">
        <v>698</v>
      </c>
      <c r="C50" s="11">
        <v>90</v>
      </c>
      <c r="D50" s="11"/>
    </row>
    <row r="51" spans="2:4" x14ac:dyDescent="0.4">
      <c r="B51" t="s">
        <v>690</v>
      </c>
      <c r="C51" s="11"/>
      <c r="D51" s="11">
        <v>84</v>
      </c>
    </row>
    <row r="52" spans="2:4" x14ac:dyDescent="0.4">
      <c r="B52" t="s">
        <v>703</v>
      </c>
      <c r="C52" s="11"/>
      <c r="D52" s="11">
        <v>304</v>
      </c>
    </row>
    <row r="53" spans="2:4" x14ac:dyDescent="0.4">
      <c r="B53" t="s">
        <v>688</v>
      </c>
      <c r="C53" s="11"/>
      <c r="D53" s="11">
        <v>135.1</v>
      </c>
    </row>
    <row r="54" spans="2:4" x14ac:dyDescent="0.4">
      <c r="B54" t="s">
        <v>726</v>
      </c>
      <c r="C54" s="11">
        <v>96</v>
      </c>
      <c r="D54" s="11"/>
    </row>
    <row r="55" spans="2:4" x14ac:dyDescent="0.4">
      <c r="B55" t="s">
        <v>734</v>
      </c>
      <c r="C55" s="11"/>
      <c r="D55" s="11">
        <v>210</v>
      </c>
    </row>
    <row r="56" spans="2:4" x14ac:dyDescent="0.4">
      <c r="B56" t="s">
        <v>687</v>
      </c>
      <c r="C56" s="11">
        <v>1060</v>
      </c>
      <c r="D56" s="11"/>
    </row>
    <row r="57" spans="2:4" x14ac:dyDescent="0.4">
      <c r="B57" t="s">
        <v>713</v>
      </c>
      <c r="C57" s="11">
        <v>313.5</v>
      </c>
      <c r="D57" s="11"/>
    </row>
    <row r="58" spans="2:4" x14ac:dyDescent="0.4">
      <c r="B58" t="s">
        <v>699</v>
      </c>
      <c r="C58" s="11">
        <v>504</v>
      </c>
      <c r="D58" s="11"/>
    </row>
    <row r="59" spans="2:4" x14ac:dyDescent="0.4">
      <c r="B59" t="s">
        <v>705</v>
      </c>
      <c r="C59" s="11">
        <v>590.4</v>
      </c>
      <c r="D59" s="11"/>
    </row>
    <row r="60" spans="2:4" x14ac:dyDescent="0.4">
      <c r="B60" t="s">
        <v>691</v>
      </c>
      <c r="C60" s="11">
        <v>585</v>
      </c>
      <c r="D60" s="11"/>
    </row>
    <row r="61" spans="2:4" x14ac:dyDescent="0.4">
      <c r="B61" t="s">
        <v>730</v>
      </c>
      <c r="C61" s="11">
        <v>45</v>
      </c>
      <c r="D61" s="11"/>
    </row>
    <row r="62" spans="2:4" x14ac:dyDescent="0.4">
      <c r="B62" t="s">
        <v>692</v>
      </c>
      <c r="C62" s="11"/>
      <c r="D62" s="11">
        <v>3847.5</v>
      </c>
    </row>
    <row r="63" spans="2:4" x14ac:dyDescent="0.4">
      <c r="B63" t="s">
        <v>737</v>
      </c>
      <c r="C63" s="11">
        <v>319.2</v>
      </c>
      <c r="D63" s="11"/>
    </row>
    <row r="64" spans="2:4" x14ac:dyDescent="0.4">
      <c r="B64" t="s">
        <v>714</v>
      </c>
      <c r="C64" s="11"/>
      <c r="D64" s="11">
        <v>72</v>
      </c>
    </row>
    <row r="65" spans="1:4" x14ac:dyDescent="0.4">
      <c r="B65" t="s">
        <v>755</v>
      </c>
      <c r="C65" s="11">
        <v>195</v>
      </c>
      <c r="D65" s="11">
        <v>390</v>
      </c>
    </row>
    <row r="66" spans="1:4" x14ac:dyDescent="0.4">
      <c r="B66" t="s">
        <v>752</v>
      </c>
      <c r="C66" s="11">
        <v>237.5</v>
      </c>
      <c r="D66" s="11"/>
    </row>
    <row r="67" spans="1:4" x14ac:dyDescent="0.4">
      <c r="A67" t="s">
        <v>818</v>
      </c>
      <c r="C67" s="11">
        <v>359.87058823529406</v>
      </c>
      <c r="D67" s="11">
        <v>559.45000000000005</v>
      </c>
    </row>
    <row r="68" spans="1:4" x14ac:dyDescent="0.4">
      <c r="A68" t="s">
        <v>44</v>
      </c>
      <c r="B68" t="s">
        <v>718</v>
      </c>
      <c r="C68" s="11">
        <v>312</v>
      </c>
      <c r="D68" s="11"/>
    </row>
    <row r="69" spans="1:4" x14ac:dyDescent="0.4">
      <c r="B69" t="s">
        <v>740</v>
      </c>
      <c r="C69" s="11"/>
      <c r="D69" s="11">
        <v>300</v>
      </c>
    </row>
    <row r="70" spans="1:4" x14ac:dyDescent="0.4">
      <c r="B70" t="s">
        <v>720</v>
      </c>
      <c r="C70" s="11">
        <v>919.99999999999989</v>
      </c>
      <c r="D70" s="11">
        <v>459.99999999999994</v>
      </c>
    </row>
    <row r="71" spans="1:4" x14ac:dyDescent="0.4">
      <c r="B71" t="s">
        <v>694</v>
      </c>
      <c r="C71" s="11">
        <v>544</v>
      </c>
      <c r="D71" s="11"/>
    </row>
    <row r="72" spans="1:4" x14ac:dyDescent="0.4">
      <c r="B72" t="s">
        <v>735</v>
      </c>
      <c r="C72" s="11">
        <v>472.5</v>
      </c>
      <c r="D72" s="11"/>
    </row>
    <row r="73" spans="1:4" x14ac:dyDescent="0.4">
      <c r="B73" t="s">
        <v>701</v>
      </c>
      <c r="C73" s="11"/>
      <c r="D73" s="11">
        <v>299.25</v>
      </c>
    </row>
    <row r="74" spans="1:4" x14ac:dyDescent="0.4">
      <c r="B74" t="s">
        <v>696</v>
      </c>
      <c r="C74" s="11">
        <v>205.2</v>
      </c>
      <c r="D74" s="11"/>
    </row>
    <row r="75" spans="1:4" x14ac:dyDescent="0.4">
      <c r="B75" t="s">
        <v>745</v>
      </c>
      <c r="C75" s="11">
        <v>237.6</v>
      </c>
      <c r="D75" s="11"/>
    </row>
    <row r="76" spans="1:4" x14ac:dyDescent="0.4">
      <c r="B76" t="s">
        <v>750</v>
      </c>
      <c r="C76" s="11">
        <v>3557.25</v>
      </c>
      <c r="D76" s="11"/>
    </row>
    <row r="77" spans="1:4" x14ac:dyDescent="0.4">
      <c r="B77" t="s">
        <v>748</v>
      </c>
      <c r="C77" s="11">
        <v>175</v>
      </c>
      <c r="D77" s="11"/>
    </row>
    <row r="78" spans="1:4" x14ac:dyDescent="0.4">
      <c r="B78" t="s">
        <v>725</v>
      </c>
      <c r="C78" s="11">
        <v>344</v>
      </c>
      <c r="D78" s="11"/>
    </row>
    <row r="79" spans="1:4" x14ac:dyDescent="0.4">
      <c r="B79" t="s">
        <v>698</v>
      </c>
      <c r="C79" s="11">
        <v>43.2</v>
      </c>
      <c r="D79" s="11">
        <v>20.25</v>
      </c>
    </row>
    <row r="80" spans="1:4" x14ac:dyDescent="0.4">
      <c r="B80" t="s">
        <v>728</v>
      </c>
      <c r="C80" s="11">
        <v>248</v>
      </c>
      <c r="D80" s="11"/>
    </row>
    <row r="81" spans="2:4" x14ac:dyDescent="0.4">
      <c r="B81" t="s">
        <v>751</v>
      </c>
      <c r="C81" s="11">
        <v>373.5</v>
      </c>
      <c r="D81" s="11">
        <v>819.78749999999991</v>
      </c>
    </row>
    <row r="82" spans="2:4" x14ac:dyDescent="0.4">
      <c r="B82" t="s">
        <v>724</v>
      </c>
      <c r="C82" s="11">
        <v>62</v>
      </c>
      <c r="D82" s="11">
        <v>558</v>
      </c>
    </row>
    <row r="83" spans="2:4" x14ac:dyDescent="0.4">
      <c r="B83" t="s">
        <v>723</v>
      </c>
      <c r="C83" s="11">
        <v>2760</v>
      </c>
      <c r="D83" s="11"/>
    </row>
    <row r="84" spans="2:4" x14ac:dyDescent="0.4">
      <c r="B84" t="s">
        <v>688</v>
      </c>
      <c r="C84" s="11">
        <v>231</v>
      </c>
      <c r="D84" s="11">
        <v>96.5</v>
      </c>
    </row>
    <row r="85" spans="2:4" x14ac:dyDescent="0.4">
      <c r="B85" t="s">
        <v>726</v>
      </c>
      <c r="C85" s="11"/>
      <c r="D85" s="11">
        <v>36</v>
      </c>
    </row>
    <row r="86" spans="2:4" x14ac:dyDescent="0.4">
      <c r="B86" t="s">
        <v>721</v>
      </c>
      <c r="C86" s="11"/>
      <c r="D86" s="11">
        <v>283.5</v>
      </c>
    </row>
    <row r="87" spans="2:4" x14ac:dyDescent="0.4">
      <c r="B87" t="s">
        <v>709</v>
      </c>
      <c r="C87" s="11">
        <v>288</v>
      </c>
      <c r="D87" s="11"/>
    </row>
    <row r="88" spans="2:4" x14ac:dyDescent="0.4">
      <c r="B88" t="s">
        <v>697</v>
      </c>
      <c r="C88" s="11"/>
      <c r="D88" s="11">
        <v>300</v>
      </c>
    </row>
    <row r="89" spans="2:4" x14ac:dyDescent="0.4">
      <c r="B89" t="s">
        <v>717</v>
      </c>
      <c r="C89" s="11">
        <v>258.89999999999998</v>
      </c>
      <c r="D89" s="11">
        <v>776.69999999999993</v>
      </c>
    </row>
    <row r="90" spans="2:4" x14ac:dyDescent="0.4">
      <c r="B90" t="s">
        <v>699</v>
      </c>
      <c r="C90" s="11">
        <v>384</v>
      </c>
      <c r="D90" s="11"/>
    </row>
    <row r="91" spans="2:4" x14ac:dyDescent="0.4">
      <c r="B91" t="s">
        <v>702</v>
      </c>
      <c r="C91" s="11">
        <v>188.45999999999998</v>
      </c>
      <c r="D91" s="11"/>
    </row>
    <row r="92" spans="2:4" x14ac:dyDescent="0.4">
      <c r="B92" t="s">
        <v>705</v>
      </c>
      <c r="C92" s="11">
        <v>393.59999999999997</v>
      </c>
      <c r="D92" s="11"/>
    </row>
    <row r="93" spans="2:4" x14ac:dyDescent="0.4">
      <c r="B93" t="s">
        <v>704</v>
      </c>
      <c r="C93" s="11">
        <v>660</v>
      </c>
      <c r="D93" s="11"/>
    </row>
    <row r="94" spans="2:4" x14ac:dyDescent="0.4">
      <c r="B94" t="s">
        <v>731</v>
      </c>
      <c r="C94" s="11">
        <v>145.3125</v>
      </c>
      <c r="D94" s="11">
        <v>46.5</v>
      </c>
    </row>
    <row r="95" spans="2:4" x14ac:dyDescent="0.4">
      <c r="B95" t="s">
        <v>730</v>
      </c>
      <c r="C95" s="11">
        <v>300</v>
      </c>
      <c r="D95" s="11"/>
    </row>
    <row r="96" spans="2:4" x14ac:dyDescent="0.4">
      <c r="B96" t="s">
        <v>727</v>
      </c>
      <c r="C96" s="11">
        <v>912</v>
      </c>
      <c r="D96" s="11">
        <v>1231.2</v>
      </c>
    </row>
    <row r="97" spans="1:4" x14ac:dyDescent="0.4">
      <c r="B97" t="s">
        <v>692</v>
      </c>
      <c r="C97" s="11">
        <v>1814.3999999999999</v>
      </c>
      <c r="D97" s="11"/>
    </row>
    <row r="98" spans="1:4" x14ac:dyDescent="0.4">
      <c r="B98" t="s">
        <v>714</v>
      </c>
      <c r="C98" s="11">
        <v>115.2</v>
      </c>
      <c r="D98" s="11"/>
    </row>
    <row r="99" spans="1:4" x14ac:dyDescent="0.4">
      <c r="B99" t="s">
        <v>732</v>
      </c>
      <c r="C99" s="11"/>
      <c r="D99" s="11">
        <v>229.99999999999997</v>
      </c>
    </row>
    <row r="100" spans="1:4" x14ac:dyDescent="0.4">
      <c r="B100" t="s">
        <v>722</v>
      </c>
      <c r="C100" s="11"/>
      <c r="D100" s="11">
        <v>928.42500000000007</v>
      </c>
    </row>
    <row r="101" spans="1:4" x14ac:dyDescent="0.4">
      <c r="B101" t="s">
        <v>686</v>
      </c>
      <c r="C101" s="11">
        <v>372</v>
      </c>
      <c r="D101" s="11"/>
    </row>
    <row r="102" spans="1:4" x14ac:dyDescent="0.4">
      <c r="B102" t="s">
        <v>738</v>
      </c>
      <c r="C102" s="11">
        <v>80.160000000000011</v>
      </c>
      <c r="D102" s="11"/>
    </row>
    <row r="103" spans="1:4" x14ac:dyDescent="0.4">
      <c r="B103" t="s">
        <v>729</v>
      </c>
      <c r="C103" s="11">
        <v>280.8</v>
      </c>
      <c r="D103" s="11"/>
    </row>
    <row r="104" spans="1:4" x14ac:dyDescent="0.4">
      <c r="B104" t="s">
        <v>752</v>
      </c>
      <c r="C104" s="11"/>
      <c r="D104" s="11">
        <v>232.27500000000001</v>
      </c>
    </row>
    <row r="105" spans="1:4" x14ac:dyDescent="0.4">
      <c r="A105" t="s">
        <v>819</v>
      </c>
      <c r="C105" s="11">
        <v>516.48328571428578</v>
      </c>
      <c r="D105" s="11">
        <v>402.98014705882355</v>
      </c>
    </row>
    <row r="106" spans="1:4" x14ac:dyDescent="0.4">
      <c r="A106" t="s">
        <v>54</v>
      </c>
      <c r="B106" t="s">
        <v>694</v>
      </c>
      <c r="C106" s="11"/>
      <c r="D106" s="11">
        <v>714</v>
      </c>
    </row>
    <row r="107" spans="1:4" x14ac:dyDescent="0.4">
      <c r="B107" t="s">
        <v>742</v>
      </c>
      <c r="C107" s="11"/>
      <c r="D107" s="11">
        <v>625</v>
      </c>
    </row>
    <row r="108" spans="1:4" x14ac:dyDescent="0.4">
      <c r="B108" t="s">
        <v>696</v>
      </c>
      <c r="C108" s="11">
        <v>90</v>
      </c>
      <c r="D108" s="11"/>
    </row>
    <row r="109" spans="1:4" x14ac:dyDescent="0.4">
      <c r="B109" t="s">
        <v>721</v>
      </c>
      <c r="C109" s="11">
        <v>252</v>
      </c>
      <c r="D109" s="11"/>
    </row>
    <row r="110" spans="1:4" x14ac:dyDescent="0.4">
      <c r="B110" t="s">
        <v>687</v>
      </c>
      <c r="C110" s="11"/>
      <c r="D110" s="11">
        <v>424</v>
      </c>
    </row>
    <row r="111" spans="1:4" x14ac:dyDescent="0.4">
      <c r="B111" t="s">
        <v>683</v>
      </c>
      <c r="C111" s="11">
        <v>294</v>
      </c>
      <c r="D111" s="11"/>
    </row>
    <row r="112" spans="1:4" x14ac:dyDescent="0.4">
      <c r="B112" t="s">
        <v>691</v>
      </c>
      <c r="C112" s="11">
        <v>78</v>
      </c>
      <c r="D112" s="11"/>
    </row>
    <row r="113" spans="1:4" x14ac:dyDescent="0.4">
      <c r="B113" t="s">
        <v>727</v>
      </c>
      <c r="C113" s="11">
        <v>136.80000000000001</v>
      </c>
      <c r="D113" s="11"/>
    </row>
    <row r="114" spans="1:4" x14ac:dyDescent="0.4">
      <c r="B114" t="s">
        <v>710</v>
      </c>
      <c r="C114" s="11">
        <v>80</v>
      </c>
      <c r="D114" s="11">
        <v>75</v>
      </c>
    </row>
    <row r="115" spans="1:4" x14ac:dyDescent="0.4">
      <c r="B115" t="s">
        <v>758</v>
      </c>
      <c r="C115" s="11"/>
      <c r="D115" s="11">
        <v>114</v>
      </c>
    </row>
    <row r="116" spans="1:4" x14ac:dyDescent="0.4">
      <c r="B116" t="s">
        <v>738</v>
      </c>
      <c r="C116" s="11">
        <v>149</v>
      </c>
      <c r="D116" s="11"/>
    </row>
    <row r="117" spans="1:4" x14ac:dyDescent="0.4">
      <c r="B117" t="s">
        <v>752</v>
      </c>
      <c r="C117" s="11"/>
      <c r="D117" s="11">
        <v>133</v>
      </c>
    </row>
    <row r="118" spans="1:4" x14ac:dyDescent="0.4">
      <c r="A118" t="s">
        <v>820</v>
      </c>
      <c r="C118" s="11">
        <v>154.25714285714284</v>
      </c>
      <c r="D118" s="11">
        <v>308.57142857142856</v>
      </c>
    </row>
    <row r="119" spans="1:4" x14ac:dyDescent="0.4">
      <c r="A119" t="s">
        <v>61</v>
      </c>
      <c r="B119" t="s">
        <v>718</v>
      </c>
      <c r="C119" s="11">
        <v>936</v>
      </c>
      <c r="D119" s="11"/>
    </row>
    <row r="120" spans="1:4" x14ac:dyDescent="0.4">
      <c r="B120" t="s">
        <v>720</v>
      </c>
      <c r="C120" s="11"/>
      <c r="D120" s="11">
        <v>36.799999999999997</v>
      </c>
    </row>
    <row r="121" spans="1:4" x14ac:dyDescent="0.4">
      <c r="B121" t="s">
        <v>742</v>
      </c>
      <c r="C121" s="11">
        <v>956.25</v>
      </c>
      <c r="D121" s="11"/>
    </row>
    <row r="122" spans="1:4" x14ac:dyDescent="0.4">
      <c r="B122" t="s">
        <v>735</v>
      </c>
      <c r="C122" s="11">
        <v>450</v>
      </c>
      <c r="D122" s="11">
        <v>90</v>
      </c>
    </row>
    <row r="123" spans="1:4" x14ac:dyDescent="0.4">
      <c r="B123" t="s">
        <v>696</v>
      </c>
      <c r="C123" s="11">
        <v>864</v>
      </c>
      <c r="D123" s="11"/>
    </row>
    <row r="124" spans="1:4" x14ac:dyDescent="0.4">
      <c r="B124" t="s">
        <v>750</v>
      </c>
      <c r="C124" s="11">
        <v>2108</v>
      </c>
      <c r="D124" s="11"/>
    </row>
    <row r="125" spans="1:4" x14ac:dyDescent="0.4">
      <c r="B125" t="s">
        <v>748</v>
      </c>
      <c r="C125" s="11">
        <v>112</v>
      </c>
      <c r="D125" s="11"/>
    </row>
    <row r="126" spans="1:4" x14ac:dyDescent="0.4">
      <c r="B126" t="s">
        <v>716</v>
      </c>
      <c r="C126" s="11">
        <v>1094.4000000000001</v>
      </c>
      <c r="D126" s="11"/>
    </row>
    <row r="127" spans="1:4" x14ac:dyDescent="0.4">
      <c r="B127" t="s">
        <v>695</v>
      </c>
      <c r="C127" s="11">
        <v>593.75</v>
      </c>
      <c r="D127" s="11">
        <v>437.5</v>
      </c>
    </row>
    <row r="128" spans="1:4" x14ac:dyDescent="0.4">
      <c r="B128" t="s">
        <v>724</v>
      </c>
      <c r="C128" s="11">
        <v>347.2</v>
      </c>
      <c r="D128" s="11"/>
    </row>
    <row r="129" spans="2:4" x14ac:dyDescent="0.4">
      <c r="B129" t="s">
        <v>688</v>
      </c>
      <c r="C129" s="11">
        <v>110.01</v>
      </c>
      <c r="D129" s="11"/>
    </row>
    <row r="130" spans="2:4" x14ac:dyDescent="0.4">
      <c r="B130" t="s">
        <v>721</v>
      </c>
      <c r="C130" s="11">
        <v>180</v>
      </c>
      <c r="D130" s="11"/>
    </row>
    <row r="131" spans="2:4" x14ac:dyDescent="0.4">
      <c r="B131" t="s">
        <v>697</v>
      </c>
      <c r="C131" s="11">
        <v>560</v>
      </c>
      <c r="D131" s="11"/>
    </row>
    <row r="132" spans="2:4" x14ac:dyDescent="0.4">
      <c r="B132" t="s">
        <v>685</v>
      </c>
      <c r="C132" s="11">
        <v>556</v>
      </c>
      <c r="D132" s="11"/>
    </row>
    <row r="133" spans="2:4" x14ac:dyDescent="0.4">
      <c r="B133" t="s">
        <v>713</v>
      </c>
      <c r="C133" s="11">
        <v>240</v>
      </c>
      <c r="D133" s="11"/>
    </row>
    <row r="134" spans="2:4" x14ac:dyDescent="0.4">
      <c r="B134" t="s">
        <v>699</v>
      </c>
      <c r="C134" s="11">
        <v>410.4</v>
      </c>
      <c r="D134" s="11"/>
    </row>
    <row r="135" spans="2:4" x14ac:dyDescent="0.4">
      <c r="B135" t="s">
        <v>683</v>
      </c>
      <c r="C135" s="11">
        <v>624.75</v>
      </c>
      <c r="D135" s="11"/>
    </row>
    <row r="136" spans="2:4" x14ac:dyDescent="0.4">
      <c r="B136" t="s">
        <v>704</v>
      </c>
      <c r="C136" s="11">
        <v>660</v>
      </c>
      <c r="D136" s="11"/>
    </row>
    <row r="137" spans="2:4" x14ac:dyDescent="0.4">
      <c r="B137" t="s">
        <v>691</v>
      </c>
      <c r="C137" s="11"/>
      <c r="D137" s="11">
        <v>292.5</v>
      </c>
    </row>
    <row r="138" spans="2:4" x14ac:dyDescent="0.4">
      <c r="B138" t="s">
        <v>731</v>
      </c>
      <c r="C138" s="11">
        <v>133.92000000000002</v>
      </c>
      <c r="D138" s="11"/>
    </row>
    <row r="139" spans="2:4" x14ac:dyDescent="0.4">
      <c r="B139" t="s">
        <v>727</v>
      </c>
      <c r="C139" s="11">
        <v>1092</v>
      </c>
      <c r="D139" s="11"/>
    </row>
    <row r="140" spans="2:4" x14ac:dyDescent="0.4">
      <c r="B140" t="s">
        <v>737</v>
      </c>
      <c r="C140" s="11">
        <v>48</v>
      </c>
      <c r="D140" s="11"/>
    </row>
    <row r="141" spans="2:4" x14ac:dyDescent="0.4">
      <c r="B141" t="s">
        <v>712</v>
      </c>
      <c r="C141" s="11">
        <v>1379</v>
      </c>
      <c r="D141" s="11"/>
    </row>
    <row r="142" spans="2:4" x14ac:dyDescent="0.4">
      <c r="B142" t="s">
        <v>722</v>
      </c>
      <c r="C142" s="11">
        <v>3465</v>
      </c>
      <c r="D142" s="11"/>
    </row>
    <row r="143" spans="2:4" x14ac:dyDescent="0.4">
      <c r="B143" t="s">
        <v>738</v>
      </c>
      <c r="C143" s="11">
        <v>165.20000000000002</v>
      </c>
      <c r="D143" s="11"/>
    </row>
    <row r="144" spans="2:4" x14ac:dyDescent="0.4">
      <c r="B144" t="s">
        <v>741</v>
      </c>
      <c r="C144" s="11">
        <v>718.2</v>
      </c>
      <c r="D144" s="11"/>
    </row>
    <row r="145" spans="1:4" x14ac:dyDescent="0.4">
      <c r="A145" t="s">
        <v>821</v>
      </c>
      <c r="C145" s="11">
        <v>741.8366666666667</v>
      </c>
      <c r="D145" s="11">
        <v>214.2</v>
      </c>
    </row>
    <row r="146" spans="1:4" x14ac:dyDescent="0.4">
      <c r="A146" t="s">
        <v>70</v>
      </c>
      <c r="B146" t="s">
        <v>718</v>
      </c>
      <c r="C146" s="11"/>
      <c r="D146" s="11">
        <v>1170</v>
      </c>
    </row>
    <row r="147" spans="1:4" x14ac:dyDescent="0.4">
      <c r="B147" t="s">
        <v>745</v>
      </c>
      <c r="C147" s="11">
        <v>422.40000000000003</v>
      </c>
      <c r="D147" s="11"/>
    </row>
    <row r="148" spans="1:4" x14ac:dyDescent="0.4">
      <c r="B148" t="s">
        <v>748</v>
      </c>
      <c r="C148" s="11"/>
      <c r="D148" s="11">
        <v>224</v>
      </c>
    </row>
    <row r="149" spans="1:4" x14ac:dyDescent="0.4">
      <c r="B149" t="s">
        <v>691</v>
      </c>
      <c r="C149" s="11">
        <v>249.6</v>
      </c>
      <c r="D149" s="11"/>
    </row>
    <row r="150" spans="1:4" x14ac:dyDescent="0.4">
      <c r="B150" t="s">
        <v>731</v>
      </c>
      <c r="C150" s="11">
        <v>310</v>
      </c>
      <c r="D150" s="11"/>
    </row>
    <row r="151" spans="1:4" x14ac:dyDescent="0.4">
      <c r="B151" t="s">
        <v>722</v>
      </c>
      <c r="C151" s="11"/>
      <c r="D151" s="11">
        <v>1856.8500000000001</v>
      </c>
    </row>
    <row r="152" spans="1:4" x14ac:dyDescent="0.4">
      <c r="A152" t="s">
        <v>822</v>
      </c>
      <c r="C152" s="11">
        <v>327.33333333333331</v>
      </c>
      <c r="D152" s="11">
        <v>1083.6166666666668</v>
      </c>
    </row>
    <row r="153" spans="1:4" x14ac:dyDescent="0.4">
      <c r="A153" t="s">
        <v>78</v>
      </c>
      <c r="B153" t="s">
        <v>718</v>
      </c>
      <c r="C153" s="11"/>
      <c r="D153" s="11">
        <v>592.79999999999995</v>
      </c>
    </row>
    <row r="154" spans="1:4" x14ac:dyDescent="0.4">
      <c r="B154" t="s">
        <v>720</v>
      </c>
      <c r="C154" s="11">
        <v>386.4</v>
      </c>
      <c r="D154" s="11"/>
    </row>
    <row r="155" spans="1:4" x14ac:dyDescent="0.4">
      <c r="B155" t="s">
        <v>742</v>
      </c>
      <c r="C155" s="11">
        <v>1225</v>
      </c>
      <c r="D155" s="11"/>
    </row>
    <row r="156" spans="1:4" x14ac:dyDescent="0.4">
      <c r="B156" t="s">
        <v>696</v>
      </c>
      <c r="C156" s="11"/>
      <c r="D156" s="11">
        <v>378</v>
      </c>
    </row>
    <row r="157" spans="1:4" x14ac:dyDescent="0.4">
      <c r="B157" t="s">
        <v>745</v>
      </c>
      <c r="C157" s="11">
        <v>935</v>
      </c>
      <c r="D157" s="11"/>
    </row>
    <row r="158" spans="1:4" x14ac:dyDescent="0.4">
      <c r="B158" t="s">
        <v>725</v>
      </c>
      <c r="C158" s="11">
        <v>645</v>
      </c>
      <c r="D158" s="11"/>
    </row>
    <row r="159" spans="1:4" x14ac:dyDescent="0.4">
      <c r="B159" t="s">
        <v>716</v>
      </c>
      <c r="C159" s="11">
        <v>855</v>
      </c>
      <c r="D159" s="11"/>
    </row>
    <row r="160" spans="1:4" x14ac:dyDescent="0.4">
      <c r="B160" t="s">
        <v>695</v>
      </c>
      <c r="C160" s="11">
        <v>35.625</v>
      </c>
      <c r="D160" s="11"/>
    </row>
    <row r="161" spans="2:4" x14ac:dyDescent="0.4">
      <c r="B161" t="s">
        <v>746</v>
      </c>
      <c r="C161" s="11"/>
      <c r="D161" s="11">
        <v>781.25</v>
      </c>
    </row>
    <row r="162" spans="2:4" x14ac:dyDescent="0.4">
      <c r="B162" t="s">
        <v>743</v>
      </c>
      <c r="C162" s="11">
        <v>675</v>
      </c>
      <c r="D162" s="11"/>
    </row>
    <row r="163" spans="2:4" x14ac:dyDescent="0.4">
      <c r="B163" t="s">
        <v>724</v>
      </c>
      <c r="C163" s="11">
        <v>651</v>
      </c>
      <c r="D163" s="11">
        <v>465</v>
      </c>
    </row>
    <row r="164" spans="2:4" x14ac:dyDescent="0.4">
      <c r="B164" t="s">
        <v>703</v>
      </c>
      <c r="C164" s="11">
        <v>570</v>
      </c>
      <c r="D164" s="11"/>
    </row>
    <row r="165" spans="2:4" x14ac:dyDescent="0.4">
      <c r="B165" t="s">
        <v>723</v>
      </c>
      <c r="C165" s="11">
        <v>1398.3999999999999</v>
      </c>
      <c r="D165" s="11"/>
    </row>
    <row r="166" spans="2:4" x14ac:dyDescent="0.4">
      <c r="B166" t="s">
        <v>688</v>
      </c>
      <c r="C166" s="11">
        <v>87.78</v>
      </c>
      <c r="D166" s="11"/>
    </row>
    <row r="167" spans="2:4" x14ac:dyDescent="0.4">
      <c r="B167" t="s">
        <v>726</v>
      </c>
      <c r="C167" s="11"/>
      <c r="D167" s="11">
        <v>120</v>
      </c>
    </row>
    <row r="168" spans="2:4" x14ac:dyDescent="0.4">
      <c r="B168" t="s">
        <v>721</v>
      </c>
      <c r="C168" s="11">
        <v>360</v>
      </c>
      <c r="D168" s="11"/>
    </row>
    <row r="169" spans="2:4" x14ac:dyDescent="0.4">
      <c r="B169" t="s">
        <v>689</v>
      </c>
      <c r="C169" s="11">
        <v>199.97499999999999</v>
      </c>
      <c r="D169" s="11"/>
    </row>
    <row r="170" spans="2:4" x14ac:dyDescent="0.4">
      <c r="B170" t="s">
        <v>687</v>
      </c>
      <c r="C170" s="11">
        <v>927.5</v>
      </c>
      <c r="D170" s="11"/>
    </row>
    <row r="171" spans="2:4" x14ac:dyDescent="0.4">
      <c r="B171" t="s">
        <v>685</v>
      </c>
      <c r="C171" s="11"/>
      <c r="D171" s="11">
        <v>556.79999999999995</v>
      </c>
    </row>
    <row r="172" spans="2:4" x14ac:dyDescent="0.4">
      <c r="B172" t="s">
        <v>754</v>
      </c>
      <c r="C172" s="11">
        <v>340</v>
      </c>
      <c r="D172" s="11"/>
    </row>
    <row r="173" spans="2:4" x14ac:dyDescent="0.4">
      <c r="B173" t="s">
        <v>749</v>
      </c>
      <c r="C173" s="11">
        <v>560</v>
      </c>
      <c r="D173" s="11"/>
    </row>
    <row r="174" spans="2:4" x14ac:dyDescent="0.4">
      <c r="B174" t="s">
        <v>702</v>
      </c>
      <c r="C174" s="11">
        <v>248.66249999999999</v>
      </c>
      <c r="D174" s="11">
        <v>335.04</v>
      </c>
    </row>
    <row r="175" spans="2:4" x14ac:dyDescent="0.4">
      <c r="B175" t="s">
        <v>691</v>
      </c>
      <c r="C175" s="11">
        <v>204.75</v>
      </c>
      <c r="D175" s="11"/>
    </row>
    <row r="176" spans="2:4" x14ac:dyDescent="0.4">
      <c r="B176" t="s">
        <v>731</v>
      </c>
      <c r="C176" s="11"/>
      <c r="D176" s="11">
        <v>139.5</v>
      </c>
    </row>
    <row r="177" spans="1:4" x14ac:dyDescent="0.4">
      <c r="B177" t="s">
        <v>684</v>
      </c>
      <c r="C177" s="11">
        <v>399</v>
      </c>
      <c r="D177" s="11"/>
    </row>
    <row r="178" spans="1:4" x14ac:dyDescent="0.4">
      <c r="B178" t="s">
        <v>737</v>
      </c>
      <c r="C178" s="11"/>
      <c r="D178" s="11">
        <v>252</v>
      </c>
    </row>
    <row r="179" spans="1:4" x14ac:dyDescent="0.4">
      <c r="B179" t="s">
        <v>712</v>
      </c>
      <c r="C179" s="11"/>
      <c r="D179" s="11">
        <v>621.17999999999995</v>
      </c>
    </row>
    <row r="180" spans="1:4" x14ac:dyDescent="0.4">
      <c r="B180" t="s">
        <v>732</v>
      </c>
      <c r="C180" s="11"/>
      <c r="D180" s="11">
        <v>69</v>
      </c>
    </row>
    <row r="181" spans="1:4" x14ac:dyDescent="0.4">
      <c r="B181" t="s">
        <v>686</v>
      </c>
      <c r="C181" s="11"/>
      <c r="D181" s="11">
        <v>348.75</v>
      </c>
    </row>
    <row r="182" spans="1:4" x14ac:dyDescent="0.4">
      <c r="B182" t="s">
        <v>738</v>
      </c>
      <c r="C182" s="11">
        <v>115.05000000000001</v>
      </c>
      <c r="D182" s="11"/>
    </row>
    <row r="183" spans="1:4" x14ac:dyDescent="0.4">
      <c r="B183" t="s">
        <v>753</v>
      </c>
      <c r="C183" s="11">
        <v>108</v>
      </c>
      <c r="D183" s="11"/>
    </row>
    <row r="184" spans="1:4" x14ac:dyDescent="0.4">
      <c r="B184" t="s">
        <v>715</v>
      </c>
      <c r="C184" s="11">
        <v>1275</v>
      </c>
      <c r="D184" s="11">
        <v>240</v>
      </c>
    </row>
    <row r="185" spans="1:4" x14ac:dyDescent="0.4">
      <c r="B185" t="s">
        <v>741</v>
      </c>
      <c r="C185" s="11">
        <v>212.8</v>
      </c>
      <c r="D185" s="11">
        <v>665</v>
      </c>
    </row>
    <row r="186" spans="1:4" x14ac:dyDescent="0.4">
      <c r="B186" t="s">
        <v>752</v>
      </c>
      <c r="C186" s="11">
        <v>213.75</v>
      </c>
      <c r="D186" s="11"/>
    </row>
    <row r="187" spans="1:4" x14ac:dyDescent="0.4">
      <c r="A187" t="s">
        <v>823</v>
      </c>
      <c r="C187" s="11">
        <v>545.80866071428579</v>
      </c>
      <c r="D187" s="11">
        <v>417.53812500000004</v>
      </c>
    </row>
    <row r="188" spans="1:4" x14ac:dyDescent="0.4">
      <c r="A188" t="s">
        <v>85</v>
      </c>
      <c r="B188" t="s">
        <v>718</v>
      </c>
      <c r="C188" s="11">
        <v>1170</v>
      </c>
      <c r="D188" s="11">
        <v>234</v>
      </c>
    </row>
    <row r="189" spans="1:4" x14ac:dyDescent="0.4">
      <c r="B189" t="s">
        <v>740</v>
      </c>
      <c r="C189" s="11">
        <v>200</v>
      </c>
      <c r="D189" s="11"/>
    </row>
    <row r="190" spans="1:4" x14ac:dyDescent="0.4">
      <c r="B190" t="s">
        <v>720</v>
      </c>
      <c r="C190" s="11">
        <v>551.25</v>
      </c>
      <c r="D190" s="11"/>
    </row>
    <row r="191" spans="1:4" x14ac:dyDescent="0.4">
      <c r="B191" t="s">
        <v>694</v>
      </c>
      <c r="C191" s="11">
        <v>1700</v>
      </c>
      <c r="D191" s="11">
        <v>637.5</v>
      </c>
    </row>
    <row r="192" spans="1:4" x14ac:dyDescent="0.4">
      <c r="B192" t="s">
        <v>735</v>
      </c>
      <c r="C192" s="11"/>
      <c r="D192" s="11">
        <v>810</v>
      </c>
    </row>
    <row r="193" spans="2:4" x14ac:dyDescent="0.4">
      <c r="B193" t="s">
        <v>693</v>
      </c>
      <c r="C193" s="11">
        <v>98</v>
      </c>
      <c r="D193" s="11">
        <v>37.5</v>
      </c>
    </row>
    <row r="194" spans="2:4" x14ac:dyDescent="0.4">
      <c r="B194" t="s">
        <v>716</v>
      </c>
      <c r="C194" s="11"/>
      <c r="D194" s="11">
        <v>684</v>
      </c>
    </row>
    <row r="195" spans="2:4" x14ac:dyDescent="0.4">
      <c r="B195" t="s">
        <v>746</v>
      </c>
      <c r="C195" s="11"/>
      <c r="D195" s="11">
        <v>300</v>
      </c>
    </row>
    <row r="196" spans="2:4" x14ac:dyDescent="0.4">
      <c r="B196" t="s">
        <v>698</v>
      </c>
      <c r="C196" s="11"/>
      <c r="D196" s="11">
        <v>101.25</v>
      </c>
    </row>
    <row r="197" spans="2:4" x14ac:dyDescent="0.4">
      <c r="B197" t="s">
        <v>728</v>
      </c>
      <c r="C197" s="11">
        <v>496</v>
      </c>
      <c r="D197" s="11">
        <v>262.57499999999999</v>
      </c>
    </row>
    <row r="198" spans="2:4" x14ac:dyDescent="0.4">
      <c r="B198" t="s">
        <v>724</v>
      </c>
      <c r="C198" s="11">
        <v>396.8</v>
      </c>
      <c r="D198" s="11">
        <v>930</v>
      </c>
    </row>
    <row r="199" spans="2:4" x14ac:dyDescent="0.4">
      <c r="B199" t="s">
        <v>723</v>
      </c>
      <c r="C199" s="11"/>
      <c r="D199" s="11">
        <v>414</v>
      </c>
    </row>
    <row r="200" spans="2:4" x14ac:dyDescent="0.4">
      <c r="B200" t="s">
        <v>688</v>
      </c>
      <c r="C200" s="11">
        <v>154</v>
      </c>
      <c r="D200" s="11"/>
    </row>
    <row r="201" spans="2:4" x14ac:dyDescent="0.4">
      <c r="B201" t="s">
        <v>687</v>
      </c>
      <c r="C201" s="11"/>
      <c r="D201" s="11">
        <v>1272</v>
      </c>
    </row>
    <row r="202" spans="2:4" x14ac:dyDescent="0.4">
      <c r="B202" t="s">
        <v>685</v>
      </c>
      <c r="C202" s="11">
        <v>1218</v>
      </c>
      <c r="D202" s="11"/>
    </row>
    <row r="203" spans="2:4" x14ac:dyDescent="0.4">
      <c r="B203" t="s">
        <v>754</v>
      </c>
      <c r="C203" s="11"/>
      <c r="D203" s="11">
        <v>640</v>
      </c>
    </row>
    <row r="204" spans="2:4" x14ac:dyDescent="0.4">
      <c r="B204" t="s">
        <v>749</v>
      </c>
      <c r="C204" s="11">
        <v>638.4</v>
      </c>
      <c r="D204" s="11"/>
    </row>
    <row r="205" spans="2:4" x14ac:dyDescent="0.4">
      <c r="B205" t="s">
        <v>713</v>
      </c>
      <c r="C205" s="11">
        <v>360</v>
      </c>
      <c r="D205" s="11"/>
    </row>
    <row r="206" spans="2:4" x14ac:dyDescent="0.4">
      <c r="B206" t="s">
        <v>699</v>
      </c>
      <c r="C206" s="11">
        <v>288</v>
      </c>
      <c r="D206" s="11"/>
    </row>
    <row r="207" spans="2:4" x14ac:dyDescent="0.4">
      <c r="B207" t="s">
        <v>683</v>
      </c>
      <c r="C207" s="11"/>
      <c r="D207" s="11">
        <v>78.75</v>
      </c>
    </row>
    <row r="208" spans="2:4" x14ac:dyDescent="0.4">
      <c r="B208" t="s">
        <v>704</v>
      </c>
      <c r="C208" s="11">
        <v>510.4</v>
      </c>
      <c r="D208" s="11"/>
    </row>
    <row r="209" spans="1:4" x14ac:dyDescent="0.4">
      <c r="B209" t="s">
        <v>731</v>
      </c>
      <c r="C209" s="11"/>
      <c r="D209" s="11">
        <v>77.5</v>
      </c>
    </row>
    <row r="210" spans="1:4" x14ac:dyDescent="0.4">
      <c r="B210" t="s">
        <v>739</v>
      </c>
      <c r="C210" s="11"/>
      <c r="D210" s="11">
        <v>525</v>
      </c>
    </row>
    <row r="211" spans="1:4" x14ac:dyDescent="0.4">
      <c r="B211" t="s">
        <v>684</v>
      </c>
      <c r="C211" s="11">
        <v>212.79999999999998</v>
      </c>
      <c r="D211" s="11"/>
    </row>
    <row r="212" spans="1:4" x14ac:dyDescent="0.4">
      <c r="B212" t="s">
        <v>712</v>
      </c>
      <c r="C212" s="11">
        <v>788</v>
      </c>
      <c r="D212" s="11">
        <v>1867.2375</v>
      </c>
    </row>
    <row r="213" spans="1:4" x14ac:dyDescent="0.4">
      <c r="B213" t="s">
        <v>715</v>
      </c>
      <c r="C213" s="11"/>
      <c r="D213" s="11">
        <v>600</v>
      </c>
    </row>
    <row r="214" spans="1:4" x14ac:dyDescent="0.4">
      <c r="B214" t="s">
        <v>752</v>
      </c>
      <c r="C214" s="11">
        <v>171</v>
      </c>
      <c r="D214" s="11"/>
    </row>
    <row r="215" spans="1:4" x14ac:dyDescent="0.4">
      <c r="A215" t="s">
        <v>824</v>
      </c>
      <c r="C215" s="11">
        <v>556.65</v>
      </c>
      <c r="D215" s="11">
        <v>629.91944444444448</v>
      </c>
    </row>
    <row r="216" spans="1:4" x14ac:dyDescent="0.4">
      <c r="A216" t="s">
        <v>96</v>
      </c>
      <c r="B216" t="s">
        <v>740</v>
      </c>
      <c r="C216" s="11">
        <v>240</v>
      </c>
      <c r="D216" s="11"/>
    </row>
    <row r="217" spans="1:4" x14ac:dyDescent="0.4">
      <c r="B217" t="s">
        <v>720</v>
      </c>
      <c r="C217" s="11">
        <v>147</v>
      </c>
      <c r="D217" s="11"/>
    </row>
    <row r="218" spans="1:4" x14ac:dyDescent="0.4">
      <c r="B218" t="s">
        <v>693</v>
      </c>
      <c r="C218" s="11">
        <v>37.5</v>
      </c>
      <c r="D218" s="11"/>
    </row>
    <row r="219" spans="1:4" x14ac:dyDescent="0.4">
      <c r="B219" t="s">
        <v>716</v>
      </c>
      <c r="C219" s="11">
        <v>608</v>
      </c>
      <c r="D219" s="11"/>
    </row>
    <row r="220" spans="1:4" x14ac:dyDescent="0.4">
      <c r="B220" t="s">
        <v>690</v>
      </c>
      <c r="C220" s="11"/>
      <c r="D220" s="11">
        <v>441</v>
      </c>
    </row>
    <row r="221" spans="1:4" x14ac:dyDescent="0.4">
      <c r="B221" t="s">
        <v>723</v>
      </c>
      <c r="C221" s="11"/>
      <c r="D221" s="11">
        <v>1380</v>
      </c>
    </row>
    <row r="222" spans="1:4" x14ac:dyDescent="0.4">
      <c r="B222" t="s">
        <v>726</v>
      </c>
      <c r="C222" s="11">
        <v>48</v>
      </c>
      <c r="D222" s="11">
        <v>90</v>
      </c>
    </row>
    <row r="223" spans="1:4" x14ac:dyDescent="0.4">
      <c r="B223" t="s">
        <v>687</v>
      </c>
      <c r="C223" s="11">
        <v>127.19999999999999</v>
      </c>
      <c r="D223" s="11"/>
    </row>
    <row r="224" spans="1:4" x14ac:dyDescent="0.4">
      <c r="B224" t="s">
        <v>697</v>
      </c>
      <c r="C224" s="11">
        <v>120</v>
      </c>
      <c r="D224" s="11"/>
    </row>
    <row r="225" spans="1:4" x14ac:dyDescent="0.4">
      <c r="B225" t="s">
        <v>685</v>
      </c>
      <c r="C225" s="11">
        <v>34.799999999999997</v>
      </c>
      <c r="D225" s="11"/>
    </row>
    <row r="226" spans="1:4" x14ac:dyDescent="0.4">
      <c r="B226" t="s">
        <v>713</v>
      </c>
      <c r="C226" s="11">
        <v>105</v>
      </c>
      <c r="D226" s="11"/>
    </row>
    <row r="227" spans="1:4" x14ac:dyDescent="0.4">
      <c r="B227" t="s">
        <v>704</v>
      </c>
      <c r="C227" s="11"/>
      <c r="D227" s="11">
        <v>220</v>
      </c>
    </row>
    <row r="228" spans="1:4" x14ac:dyDescent="0.4">
      <c r="B228" t="s">
        <v>691</v>
      </c>
      <c r="C228" s="11">
        <v>117</v>
      </c>
      <c r="D228" s="11"/>
    </row>
    <row r="229" spans="1:4" x14ac:dyDescent="0.4">
      <c r="B229" t="s">
        <v>710</v>
      </c>
      <c r="C229" s="11">
        <v>131</v>
      </c>
      <c r="D229" s="11"/>
    </row>
    <row r="230" spans="1:4" x14ac:dyDescent="0.4">
      <c r="B230" t="s">
        <v>737</v>
      </c>
      <c r="C230" s="11"/>
      <c r="D230" s="11">
        <v>180</v>
      </c>
    </row>
    <row r="231" spans="1:4" x14ac:dyDescent="0.4">
      <c r="B231" t="s">
        <v>714</v>
      </c>
      <c r="C231" s="11">
        <v>360</v>
      </c>
      <c r="D231" s="11"/>
    </row>
    <row r="232" spans="1:4" x14ac:dyDescent="0.4">
      <c r="B232" t="s">
        <v>712</v>
      </c>
      <c r="C232" s="11">
        <v>493</v>
      </c>
      <c r="D232" s="11"/>
    </row>
    <row r="233" spans="1:4" x14ac:dyDescent="0.4">
      <c r="B233" t="s">
        <v>715</v>
      </c>
      <c r="C233" s="11">
        <v>720</v>
      </c>
      <c r="D233" s="11">
        <v>120</v>
      </c>
    </row>
    <row r="234" spans="1:4" x14ac:dyDescent="0.4">
      <c r="B234" t="s">
        <v>741</v>
      </c>
      <c r="C234" s="11">
        <v>239.4</v>
      </c>
      <c r="D234" s="11"/>
    </row>
    <row r="235" spans="1:4" x14ac:dyDescent="0.4">
      <c r="A235" t="s">
        <v>825</v>
      </c>
      <c r="C235" s="11">
        <v>228.68125000000001</v>
      </c>
      <c r="D235" s="11">
        <v>405.16666666666669</v>
      </c>
    </row>
    <row r="236" spans="1:4" x14ac:dyDescent="0.4">
      <c r="A236" t="s">
        <v>102</v>
      </c>
      <c r="B236" t="s">
        <v>693</v>
      </c>
      <c r="C236" s="11"/>
      <c r="D236" s="11">
        <v>25</v>
      </c>
    </row>
    <row r="237" spans="1:4" x14ac:dyDescent="0.4">
      <c r="B237" t="s">
        <v>695</v>
      </c>
      <c r="C237" s="11"/>
      <c r="D237" s="11">
        <v>12.5</v>
      </c>
    </row>
    <row r="238" spans="1:4" x14ac:dyDescent="0.4">
      <c r="B238" t="s">
        <v>723</v>
      </c>
      <c r="C238" s="11"/>
      <c r="D238" s="11">
        <v>322</v>
      </c>
    </row>
    <row r="239" spans="1:4" x14ac:dyDescent="0.4">
      <c r="B239" t="s">
        <v>688</v>
      </c>
      <c r="C239" s="11">
        <v>96.5</v>
      </c>
      <c r="D239" s="11"/>
    </row>
    <row r="240" spans="1:4" x14ac:dyDescent="0.4">
      <c r="B240" t="s">
        <v>734</v>
      </c>
      <c r="C240" s="11"/>
      <c r="D240" s="11">
        <v>280</v>
      </c>
    </row>
    <row r="241" spans="1:4" x14ac:dyDescent="0.4">
      <c r="B241" t="s">
        <v>731</v>
      </c>
      <c r="C241" s="11"/>
      <c r="D241" s="11">
        <v>155</v>
      </c>
    </row>
    <row r="242" spans="1:4" x14ac:dyDescent="0.4">
      <c r="B242" t="s">
        <v>730</v>
      </c>
      <c r="C242" s="11"/>
      <c r="D242" s="11">
        <v>150</v>
      </c>
    </row>
    <row r="243" spans="1:4" x14ac:dyDescent="0.4">
      <c r="B243" t="s">
        <v>727</v>
      </c>
      <c r="C243" s="11"/>
      <c r="D243" s="11">
        <v>364.8</v>
      </c>
    </row>
    <row r="244" spans="1:4" x14ac:dyDescent="0.4">
      <c r="B244" t="s">
        <v>736</v>
      </c>
      <c r="C244" s="11"/>
      <c r="D244" s="11">
        <v>280</v>
      </c>
    </row>
    <row r="245" spans="1:4" x14ac:dyDescent="0.4">
      <c r="B245" t="s">
        <v>739</v>
      </c>
      <c r="C245" s="11">
        <v>75</v>
      </c>
      <c r="D245" s="11"/>
    </row>
    <row r="246" spans="1:4" x14ac:dyDescent="0.4">
      <c r="B246" t="s">
        <v>714</v>
      </c>
      <c r="C246" s="11">
        <v>54</v>
      </c>
      <c r="D246" s="11"/>
    </row>
    <row r="247" spans="1:4" x14ac:dyDescent="0.4">
      <c r="A247" t="s">
        <v>826</v>
      </c>
      <c r="C247" s="11">
        <v>75.166666666666671</v>
      </c>
      <c r="D247" s="11">
        <v>198.66249999999999</v>
      </c>
    </row>
    <row r="248" spans="1:4" x14ac:dyDescent="0.4">
      <c r="A248" t="s">
        <v>111</v>
      </c>
      <c r="B248" t="s">
        <v>711</v>
      </c>
      <c r="C248" s="11">
        <v>20.8</v>
      </c>
      <c r="D248" s="11"/>
    </row>
    <row r="249" spans="1:4" x14ac:dyDescent="0.4">
      <c r="B249" t="s">
        <v>710</v>
      </c>
      <c r="C249" s="11">
        <v>80</v>
      </c>
      <c r="D249" s="11"/>
    </row>
    <row r="250" spans="1:4" x14ac:dyDescent="0.4">
      <c r="A250" t="s">
        <v>827</v>
      </c>
      <c r="C250" s="11">
        <v>50.4</v>
      </c>
      <c r="D250" s="11"/>
    </row>
    <row r="251" spans="1:4" x14ac:dyDescent="0.4">
      <c r="A251" t="s">
        <v>117</v>
      </c>
      <c r="B251" t="s">
        <v>694</v>
      </c>
      <c r="C251" s="11">
        <v>323</v>
      </c>
      <c r="D251" s="11"/>
    </row>
    <row r="252" spans="1:4" x14ac:dyDescent="0.4">
      <c r="B252" t="s">
        <v>735</v>
      </c>
      <c r="C252" s="11">
        <v>183.6</v>
      </c>
      <c r="D252" s="11"/>
    </row>
    <row r="253" spans="1:4" x14ac:dyDescent="0.4">
      <c r="B253" t="s">
        <v>701</v>
      </c>
      <c r="C253" s="11"/>
      <c r="D253" s="11">
        <v>456</v>
      </c>
    </row>
    <row r="254" spans="1:4" x14ac:dyDescent="0.4">
      <c r="B254" t="s">
        <v>716</v>
      </c>
      <c r="C254" s="11">
        <v>1520</v>
      </c>
      <c r="D254" s="11">
        <v>573.79999999999995</v>
      </c>
    </row>
    <row r="255" spans="1:4" x14ac:dyDescent="0.4">
      <c r="B255" t="s">
        <v>711</v>
      </c>
      <c r="C255" s="11"/>
      <c r="D255" s="11">
        <v>208</v>
      </c>
    </row>
    <row r="256" spans="1:4" x14ac:dyDescent="0.4">
      <c r="B256" t="s">
        <v>698</v>
      </c>
      <c r="C256" s="11">
        <v>45.9</v>
      </c>
      <c r="D256" s="11"/>
    </row>
    <row r="257" spans="1:4" x14ac:dyDescent="0.4">
      <c r="B257" t="s">
        <v>743</v>
      </c>
      <c r="C257" s="11">
        <v>1440</v>
      </c>
      <c r="D257" s="11"/>
    </row>
    <row r="258" spans="1:4" x14ac:dyDescent="0.4">
      <c r="B258" t="s">
        <v>724</v>
      </c>
      <c r="C258" s="11">
        <v>471.2</v>
      </c>
      <c r="D258" s="11"/>
    </row>
    <row r="259" spans="1:4" x14ac:dyDescent="0.4">
      <c r="B259" t="s">
        <v>726</v>
      </c>
      <c r="C259" s="11">
        <v>36</v>
      </c>
      <c r="D259" s="11"/>
    </row>
    <row r="260" spans="1:4" x14ac:dyDescent="0.4">
      <c r="B260" t="s">
        <v>700</v>
      </c>
      <c r="C260" s="11">
        <v>152</v>
      </c>
      <c r="D260" s="11"/>
    </row>
    <row r="261" spans="1:4" x14ac:dyDescent="0.4">
      <c r="B261" t="s">
        <v>687</v>
      </c>
      <c r="C261" s="11">
        <v>1510.5</v>
      </c>
      <c r="D261" s="11"/>
    </row>
    <row r="262" spans="1:4" x14ac:dyDescent="0.4">
      <c r="B262" t="s">
        <v>699</v>
      </c>
      <c r="C262" s="11">
        <v>342.71999999999997</v>
      </c>
      <c r="D262" s="11"/>
    </row>
    <row r="263" spans="1:4" x14ac:dyDescent="0.4">
      <c r="B263" t="s">
        <v>684</v>
      </c>
      <c r="C263" s="11">
        <v>392</v>
      </c>
      <c r="D263" s="11"/>
    </row>
    <row r="264" spans="1:4" x14ac:dyDescent="0.4">
      <c r="B264" t="s">
        <v>710</v>
      </c>
      <c r="C264" s="11">
        <v>380</v>
      </c>
      <c r="D264" s="11"/>
    </row>
    <row r="265" spans="1:4" x14ac:dyDescent="0.4">
      <c r="B265" t="s">
        <v>712</v>
      </c>
      <c r="C265" s="11">
        <v>443.7</v>
      </c>
      <c r="D265" s="11">
        <v>502.8599999999999</v>
      </c>
    </row>
    <row r="266" spans="1:4" x14ac:dyDescent="0.4">
      <c r="B266" t="s">
        <v>729</v>
      </c>
      <c r="C266" s="11"/>
      <c r="D266" s="11">
        <v>921.9</v>
      </c>
    </row>
    <row r="267" spans="1:4" x14ac:dyDescent="0.4">
      <c r="B267" t="s">
        <v>741</v>
      </c>
      <c r="C267" s="11">
        <v>798</v>
      </c>
      <c r="D267" s="11"/>
    </row>
    <row r="268" spans="1:4" x14ac:dyDescent="0.4">
      <c r="A268" t="s">
        <v>828</v>
      </c>
      <c r="C268" s="11">
        <v>546.04133333333334</v>
      </c>
      <c r="D268" s="11">
        <v>594.03714285714284</v>
      </c>
    </row>
    <row r="269" spans="1:4" x14ac:dyDescent="0.4">
      <c r="A269" t="s">
        <v>124</v>
      </c>
      <c r="B269" t="s">
        <v>708</v>
      </c>
      <c r="C269" s="11">
        <v>340</v>
      </c>
      <c r="D269" s="11"/>
    </row>
    <row r="270" spans="1:4" x14ac:dyDescent="0.4">
      <c r="B270" t="s">
        <v>716</v>
      </c>
      <c r="C270" s="11">
        <v>912</v>
      </c>
      <c r="D270" s="11"/>
    </row>
    <row r="271" spans="1:4" x14ac:dyDescent="0.4">
      <c r="B271" t="s">
        <v>728</v>
      </c>
      <c r="C271" s="11"/>
      <c r="D271" s="11">
        <v>291.75</v>
      </c>
    </row>
    <row r="272" spans="1:4" x14ac:dyDescent="0.4">
      <c r="B272" t="s">
        <v>697</v>
      </c>
      <c r="C272" s="11">
        <v>240</v>
      </c>
      <c r="D272" s="11"/>
    </row>
    <row r="273" spans="1:4" x14ac:dyDescent="0.4">
      <c r="B273" t="s">
        <v>706</v>
      </c>
      <c r="C273" s="11">
        <v>104</v>
      </c>
      <c r="D273" s="11"/>
    </row>
    <row r="274" spans="1:4" x14ac:dyDescent="0.4">
      <c r="B274" t="s">
        <v>683</v>
      </c>
      <c r="C274" s="11">
        <v>168</v>
      </c>
      <c r="D274" s="11"/>
    </row>
    <row r="275" spans="1:4" x14ac:dyDescent="0.4">
      <c r="B275" t="s">
        <v>758</v>
      </c>
      <c r="C275" s="11"/>
      <c r="D275" s="11">
        <v>114</v>
      </c>
    </row>
    <row r="276" spans="1:4" x14ac:dyDescent="0.4">
      <c r="B276" t="s">
        <v>737</v>
      </c>
      <c r="C276" s="11">
        <v>48</v>
      </c>
      <c r="D276" s="11">
        <v>108</v>
      </c>
    </row>
    <row r="277" spans="1:4" x14ac:dyDescent="0.4">
      <c r="B277" t="s">
        <v>722</v>
      </c>
      <c r="C277" s="11">
        <v>1485</v>
      </c>
      <c r="D277" s="11"/>
    </row>
    <row r="278" spans="1:4" x14ac:dyDescent="0.4">
      <c r="A278" t="s">
        <v>829</v>
      </c>
      <c r="C278" s="11">
        <v>471</v>
      </c>
      <c r="D278" s="11">
        <v>171.25</v>
      </c>
    </row>
    <row r="279" spans="1:4" x14ac:dyDescent="0.4">
      <c r="A279" t="s">
        <v>134</v>
      </c>
      <c r="B279" t="s">
        <v>701</v>
      </c>
      <c r="C279" s="11">
        <v>152</v>
      </c>
      <c r="D279" s="11"/>
    </row>
    <row r="280" spans="1:4" x14ac:dyDescent="0.4">
      <c r="B280" t="s">
        <v>708</v>
      </c>
      <c r="C280" s="11"/>
      <c r="D280" s="11">
        <v>640.5</v>
      </c>
    </row>
    <row r="281" spans="1:4" x14ac:dyDescent="0.4">
      <c r="B281" t="s">
        <v>690</v>
      </c>
      <c r="C281" s="11">
        <v>201.60000000000002</v>
      </c>
      <c r="D281" s="11"/>
    </row>
    <row r="282" spans="1:4" x14ac:dyDescent="0.4">
      <c r="B282" t="s">
        <v>726</v>
      </c>
      <c r="C282" s="11">
        <v>4.8</v>
      </c>
      <c r="D282" s="11"/>
    </row>
    <row r="283" spans="1:4" x14ac:dyDescent="0.4">
      <c r="B283" t="s">
        <v>759</v>
      </c>
      <c r="C283" s="11"/>
      <c r="D283" s="11">
        <v>291</v>
      </c>
    </row>
    <row r="284" spans="1:4" x14ac:dyDescent="0.4">
      <c r="B284" t="s">
        <v>685</v>
      </c>
      <c r="C284" s="11">
        <v>278</v>
      </c>
      <c r="D284" s="11"/>
    </row>
    <row r="285" spans="1:4" x14ac:dyDescent="0.4">
      <c r="B285" t="s">
        <v>753</v>
      </c>
      <c r="C285" s="11">
        <v>151.20000000000002</v>
      </c>
      <c r="D285" s="11"/>
    </row>
    <row r="286" spans="1:4" x14ac:dyDescent="0.4">
      <c r="A286" t="s">
        <v>830</v>
      </c>
      <c r="C286" s="11">
        <v>157.52000000000004</v>
      </c>
      <c r="D286" s="11">
        <v>465.75</v>
      </c>
    </row>
    <row r="287" spans="1:4" x14ac:dyDescent="0.4">
      <c r="A287" t="s">
        <v>634</v>
      </c>
      <c r="B287" t="s">
        <v>720</v>
      </c>
      <c r="C287" s="11">
        <v>147</v>
      </c>
      <c r="D287" s="11"/>
    </row>
    <row r="288" spans="1:4" x14ac:dyDescent="0.4">
      <c r="B288" t="s">
        <v>735</v>
      </c>
      <c r="C288" s="11">
        <v>183.6</v>
      </c>
      <c r="D288" s="11"/>
    </row>
    <row r="289" spans="2:4" x14ac:dyDescent="0.4">
      <c r="B289" t="s">
        <v>701</v>
      </c>
      <c r="C289" s="11">
        <v>541.5</v>
      </c>
      <c r="D289" s="11"/>
    </row>
    <row r="290" spans="2:4" x14ac:dyDescent="0.4">
      <c r="B290" t="s">
        <v>693</v>
      </c>
      <c r="C290" s="11">
        <v>47.5</v>
      </c>
      <c r="D290" s="11"/>
    </row>
    <row r="291" spans="2:4" x14ac:dyDescent="0.4">
      <c r="B291" t="s">
        <v>716</v>
      </c>
      <c r="C291" s="11">
        <v>608</v>
      </c>
      <c r="D291" s="11"/>
    </row>
    <row r="292" spans="2:4" x14ac:dyDescent="0.4">
      <c r="B292" t="s">
        <v>695</v>
      </c>
      <c r="C292" s="11">
        <v>195</v>
      </c>
      <c r="D292" s="11"/>
    </row>
    <row r="293" spans="2:4" x14ac:dyDescent="0.4">
      <c r="B293" t="s">
        <v>743</v>
      </c>
      <c r="C293" s="11">
        <v>558</v>
      </c>
      <c r="D293" s="11"/>
    </row>
    <row r="294" spans="2:4" x14ac:dyDescent="0.4">
      <c r="B294" t="s">
        <v>690</v>
      </c>
      <c r="C294" s="11">
        <v>315</v>
      </c>
      <c r="D294" s="11"/>
    </row>
    <row r="295" spans="2:4" x14ac:dyDescent="0.4">
      <c r="B295" t="s">
        <v>723</v>
      </c>
      <c r="C295" s="11">
        <v>883.19999999999993</v>
      </c>
      <c r="D295" s="11"/>
    </row>
    <row r="296" spans="2:4" x14ac:dyDescent="0.4">
      <c r="B296" t="s">
        <v>709</v>
      </c>
      <c r="C296" s="11">
        <v>1280</v>
      </c>
      <c r="D296" s="11">
        <v>456</v>
      </c>
    </row>
    <row r="297" spans="2:4" x14ac:dyDescent="0.4">
      <c r="B297" t="s">
        <v>713</v>
      </c>
      <c r="C297" s="11">
        <v>168.75</v>
      </c>
      <c r="D297" s="11"/>
    </row>
    <row r="298" spans="2:4" x14ac:dyDescent="0.4">
      <c r="B298" t="s">
        <v>699</v>
      </c>
      <c r="C298" s="11">
        <v>158.39999999999998</v>
      </c>
      <c r="D298" s="11"/>
    </row>
    <row r="299" spans="2:4" x14ac:dyDescent="0.4">
      <c r="B299" t="s">
        <v>705</v>
      </c>
      <c r="C299" s="11">
        <v>524</v>
      </c>
      <c r="D299" s="11"/>
    </row>
    <row r="300" spans="2:4" x14ac:dyDescent="0.4">
      <c r="B300" t="s">
        <v>719</v>
      </c>
      <c r="C300" s="11"/>
      <c r="D300" s="11">
        <v>722</v>
      </c>
    </row>
    <row r="301" spans="2:4" x14ac:dyDescent="0.4">
      <c r="B301" t="s">
        <v>731</v>
      </c>
      <c r="C301" s="11">
        <v>62</v>
      </c>
      <c r="D301" s="11"/>
    </row>
    <row r="302" spans="2:4" x14ac:dyDescent="0.4">
      <c r="B302" t="s">
        <v>727</v>
      </c>
      <c r="C302" s="11">
        <v>145.6</v>
      </c>
      <c r="D302" s="11"/>
    </row>
    <row r="303" spans="2:4" x14ac:dyDescent="0.4">
      <c r="B303" t="s">
        <v>710</v>
      </c>
      <c r="C303" s="11">
        <v>320</v>
      </c>
      <c r="D303" s="11"/>
    </row>
    <row r="304" spans="2:4" x14ac:dyDescent="0.4">
      <c r="B304" t="s">
        <v>758</v>
      </c>
      <c r="C304" s="11">
        <v>342</v>
      </c>
      <c r="D304" s="11"/>
    </row>
    <row r="305" spans="1:4" x14ac:dyDescent="0.4">
      <c r="B305" t="s">
        <v>714</v>
      </c>
      <c r="C305" s="11"/>
      <c r="D305" s="11">
        <v>307.8</v>
      </c>
    </row>
    <row r="306" spans="1:4" x14ac:dyDescent="0.4">
      <c r="B306" t="s">
        <v>732</v>
      </c>
      <c r="C306" s="11">
        <v>82.8</v>
      </c>
      <c r="D306" s="11"/>
    </row>
    <row r="307" spans="1:4" x14ac:dyDescent="0.4">
      <c r="B307" t="s">
        <v>753</v>
      </c>
      <c r="C307" s="11">
        <v>180</v>
      </c>
      <c r="D307" s="11"/>
    </row>
    <row r="308" spans="1:4" x14ac:dyDescent="0.4">
      <c r="B308" t="s">
        <v>741</v>
      </c>
      <c r="C308" s="11">
        <v>448.875</v>
      </c>
      <c r="D308" s="11"/>
    </row>
    <row r="309" spans="1:4" x14ac:dyDescent="0.4">
      <c r="A309" t="s">
        <v>831</v>
      </c>
      <c r="C309" s="11">
        <v>352.28804347826087</v>
      </c>
      <c r="D309" s="11">
        <v>495.26666666666665</v>
      </c>
    </row>
    <row r="310" spans="1:4" x14ac:dyDescent="0.4">
      <c r="A310" t="s">
        <v>141</v>
      </c>
      <c r="B310" t="s">
        <v>695</v>
      </c>
      <c r="C310" s="11">
        <v>200</v>
      </c>
      <c r="D310" s="11"/>
    </row>
    <row r="311" spans="1:4" x14ac:dyDescent="0.4">
      <c r="B311" t="s">
        <v>751</v>
      </c>
      <c r="C311" s="11"/>
      <c r="D311" s="11">
        <v>374.76</v>
      </c>
    </row>
    <row r="312" spans="1:4" x14ac:dyDescent="0.4">
      <c r="B312" t="s">
        <v>688</v>
      </c>
      <c r="C312" s="11"/>
      <c r="D312" s="11">
        <v>86.850000000000009</v>
      </c>
    </row>
    <row r="313" spans="1:4" x14ac:dyDescent="0.4">
      <c r="B313" t="s">
        <v>726</v>
      </c>
      <c r="C313" s="11">
        <v>86.399999999999991</v>
      </c>
      <c r="D313" s="11">
        <v>42</v>
      </c>
    </row>
    <row r="314" spans="1:4" x14ac:dyDescent="0.4">
      <c r="B314" t="s">
        <v>721</v>
      </c>
      <c r="C314" s="11">
        <v>172.8</v>
      </c>
      <c r="D314" s="11"/>
    </row>
    <row r="315" spans="1:4" x14ac:dyDescent="0.4">
      <c r="B315" t="s">
        <v>705</v>
      </c>
      <c r="C315" s="11"/>
      <c r="D315" s="11">
        <v>656</v>
      </c>
    </row>
    <row r="316" spans="1:4" x14ac:dyDescent="0.4">
      <c r="B316" t="s">
        <v>683</v>
      </c>
      <c r="C316" s="11"/>
      <c r="D316" s="11">
        <v>420</v>
      </c>
    </row>
    <row r="317" spans="1:4" x14ac:dyDescent="0.4">
      <c r="B317" t="s">
        <v>704</v>
      </c>
      <c r="C317" s="11"/>
      <c r="D317" s="11">
        <v>1650</v>
      </c>
    </row>
    <row r="318" spans="1:4" x14ac:dyDescent="0.4">
      <c r="B318" t="s">
        <v>731</v>
      </c>
      <c r="C318" s="11">
        <v>74.400000000000006</v>
      </c>
      <c r="D318" s="11"/>
    </row>
    <row r="319" spans="1:4" x14ac:dyDescent="0.4">
      <c r="A319" t="s">
        <v>832</v>
      </c>
      <c r="C319" s="11">
        <v>133.4</v>
      </c>
      <c r="D319" s="11">
        <v>538.26833333333332</v>
      </c>
    </row>
    <row r="320" spans="1:4" x14ac:dyDescent="0.4">
      <c r="A320" t="s">
        <v>148</v>
      </c>
      <c r="B320" t="s">
        <v>718</v>
      </c>
      <c r="C320" s="11"/>
      <c r="D320" s="11">
        <v>585</v>
      </c>
    </row>
    <row r="321" spans="1:4" x14ac:dyDescent="0.4">
      <c r="B321" t="s">
        <v>735</v>
      </c>
      <c r="C321" s="11">
        <v>54</v>
      </c>
      <c r="D321" s="11"/>
    </row>
    <row r="322" spans="1:4" x14ac:dyDescent="0.4">
      <c r="B322" t="s">
        <v>748</v>
      </c>
      <c r="C322" s="11">
        <v>63</v>
      </c>
      <c r="D322" s="11"/>
    </row>
    <row r="323" spans="1:4" x14ac:dyDescent="0.4">
      <c r="B323" t="s">
        <v>743</v>
      </c>
      <c r="C323" s="11">
        <v>201.6</v>
      </c>
      <c r="D323" s="11"/>
    </row>
    <row r="324" spans="1:4" x14ac:dyDescent="0.4">
      <c r="B324" t="s">
        <v>724</v>
      </c>
      <c r="C324" s="11">
        <v>310</v>
      </c>
      <c r="D324" s="11"/>
    </row>
    <row r="325" spans="1:4" x14ac:dyDescent="0.4">
      <c r="B325" t="s">
        <v>688</v>
      </c>
      <c r="C325" s="11"/>
      <c r="D325" s="11">
        <v>135.1</v>
      </c>
    </row>
    <row r="326" spans="1:4" x14ac:dyDescent="0.4">
      <c r="B326" t="s">
        <v>736</v>
      </c>
      <c r="C326" s="11"/>
      <c r="D326" s="11">
        <v>140</v>
      </c>
    </row>
    <row r="327" spans="1:4" x14ac:dyDescent="0.4">
      <c r="B327" t="s">
        <v>684</v>
      </c>
      <c r="C327" s="11">
        <v>67.199999999999989</v>
      </c>
      <c r="D327" s="11"/>
    </row>
    <row r="328" spans="1:4" x14ac:dyDescent="0.4">
      <c r="B328" t="s">
        <v>710</v>
      </c>
      <c r="C328" s="11">
        <v>60</v>
      </c>
      <c r="D328" s="11"/>
    </row>
    <row r="329" spans="1:4" x14ac:dyDescent="0.4">
      <c r="A329" t="s">
        <v>833</v>
      </c>
      <c r="C329" s="11">
        <v>125.96666666666665</v>
      </c>
      <c r="D329" s="11">
        <v>286.7</v>
      </c>
    </row>
    <row r="330" spans="1:4" x14ac:dyDescent="0.4">
      <c r="A330" t="s">
        <v>155</v>
      </c>
      <c r="B330" t="s">
        <v>694</v>
      </c>
      <c r="C330" s="11"/>
      <c r="D330" s="11">
        <v>1700</v>
      </c>
    </row>
    <row r="331" spans="1:4" x14ac:dyDescent="0.4">
      <c r="B331" t="s">
        <v>735</v>
      </c>
      <c r="C331" s="11"/>
      <c r="D331" s="11">
        <v>337.5</v>
      </c>
    </row>
    <row r="332" spans="1:4" x14ac:dyDescent="0.4">
      <c r="B332" t="s">
        <v>745</v>
      </c>
      <c r="C332" s="11">
        <v>550</v>
      </c>
      <c r="D332" s="11"/>
    </row>
    <row r="333" spans="1:4" x14ac:dyDescent="0.4">
      <c r="B333" t="s">
        <v>708</v>
      </c>
      <c r="C333" s="11"/>
      <c r="D333" s="11">
        <v>480.375</v>
      </c>
    </row>
    <row r="334" spans="1:4" x14ac:dyDescent="0.4">
      <c r="B334" t="s">
        <v>725</v>
      </c>
      <c r="C334" s="11">
        <v>86</v>
      </c>
      <c r="D334" s="11">
        <v>1075</v>
      </c>
    </row>
    <row r="335" spans="1:4" x14ac:dyDescent="0.4">
      <c r="B335" t="s">
        <v>693</v>
      </c>
      <c r="C335" s="11"/>
      <c r="D335" s="11">
        <v>75</v>
      </c>
    </row>
    <row r="336" spans="1:4" x14ac:dyDescent="0.4">
      <c r="B336" t="s">
        <v>743</v>
      </c>
      <c r="C336" s="11">
        <v>864</v>
      </c>
      <c r="D336" s="11"/>
    </row>
    <row r="337" spans="1:4" x14ac:dyDescent="0.4">
      <c r="B337" t="s">
        <v>751</v>
      </c>
      <c r="C337" s="11"/>
      <c r="D337" s="11">
        <v>374.76</v>
      </c>
    </row>
    <row r="338" spans="1:4" x14ac:dyDescent="0.4">
      <c r="B338" t="s">
        <v>723</v>
      </c>
      <c r="C338" s="11"/>
      <c r="D338" s="11">
        <v>276</v>
      </c>
    </row>
    <row r="339" spans="1:4" x14ac:dyDescent="0.4">
      <c r="B339" t="s">
        <v>689</v>
      </c>
      <c r="C339" s="11"/>
      <c r="D339" s="11">
        <v>442.05</v>
      </c>
    </row>
    <row r="340" spans="1:4" x14ac:dyDescent="0.4">
      <c r="B340" t="s">
        <v>744</v>
      </c>
      <c r="C340" s="11">
        <v>408</v>
      </c>
      <c r="D340" s="11"/>
    </row>
    <row r="341" spans="1:4" x14ac:dyDescent="0.4">
      <c r="B341" t="s">
        <v>697</v>
      </c>
      <c r="C341" s="11">
        <v>480</v>
      </c>
      <c r="D341" s="11"/>
    </row>
    <row r="342" spans="1:4" x14ac:dyDescent="0.4">
      <c r="B342" t="s">
        <v>685</v>
      </c>
      <c r="C342" s="11"/>
      <c r="D342" s="11">
        <v>696</v>
      </c>
    </row>
    <row r="343" spans="1:4" x14ac:dyDescent="0.4">
      <c r="B343" t="s">
        <v>717</v>
      </c>
      <c r="C343" s="11">
        <v>388.35</v>
      </c>
      <c r="D343" s="11"/>
    </row>
    <row r="344" spans="1:4" x14ac:dyDescent="0.4">
      <c r="B344" t="s">
        <v>699</v>
      </c>
      <c r="C344" s="11"/>
      <c r="D344" s="11">
        <v>840</v>
      </c>
    </row>
    <row r="345" spans="1:4" x14ac:dyDescent="0.4">
      <c r="B345" t="s">
        <v>683</v>
      </c>
      <c r="C345" s="11">
        <v>105</v>
      </c>
      <c r="D345" s="11"/>
    </row>
    <row r="346" spans="1:4" x14ac:dyDescent="0.4">
      <c r="B346" t="s">
        <v>714</v>
      </c>
      <c r="C346" s="11">
        <v>504</v>
      </c>
      <c r="D346" s="11"/>
    </row>
    <row r="347" spans="1:4" x14ac:dyDescent="0.4">
      <c r="B347" t="s">
        <v>722</v>
      </c>
      <c r="C347" s="11">
        <v>2079</v>
      </c>
      <c r="D347" s="11"/>
    </row>
    <row r="348" spans="1:4" x14ac:dyDescent="0.4">
      <c r="B348" t="s">
        <v>715</v>
      </c>
      <c r="C348" s="11"/>
      <c r="D348" s="11">
        <v>1500</v>
      </c>
    </row>
    <row r="349" spans="1:4" x14ac:dyDescent="0.4">
      <c r="A349" t="s">
        <v>834</v>
      </c>
      <c r="C349" s="11">
        <v>607.15000000000009</v>
      </c>
      <c r="D349" s="11">
        <v>774.72375000000011</v>
      </c>
    </row>
    <row r="350" spans="1:4" x14ac:dyDescent="0.4">
      <c r="A350" t="s">
        <v>162</v>
      </c>
      <c r="B350" t="s">
        <v>718</v>
      </c>
      <c r="C350" s="11">
        <v>709.8</v>
      </c>
      <c r="D350" s="11">
        <v>1155.375</v>
      </c>
    </row>
    <row r="351" spans="1:4" x14ac:dyDescent="0.4">
      <c r="B351" t="s">
        <v>740</v>
      </c>
      <c r="C351" s="11"/>
      <c r="D351" s="11">
        <v>215</v>
      </c>
    </row>
    <row r="352" spans="1:4" x14ac:dyDescent="0.4">
      <c r="B352" t="s">
        <v>720</v>
      </c>
      <c r="C352" s="11"/>
      <c r="D352" s="11">
        <v>1674.3999999999999</v>
      </c>
    </row>
    <row r="353" spans="2:4" x14ac:dyDescent="0.4">
      <c r="B353" t="s">
        <v>694</v>
      </c>
      <c r="C353" s="11"/>
      <c r="D353" s="11">
        <v>2720</v>
      </c>
    </row>
    <row r="354" spans="2:4" x14ac:dyDescent="0.4">
      <c r="B354" t="s">
        <v>742</v>
      </c>
      <c r="C354" s="11">
        <v>450</v>
      </c>
      <c r="D354" s="11"/>
    </row>
    <row r="355" spans="2:4" x14ac:dyDescent="0.4">
      <c r="B355" t="s">
        <v>701</v>
      </c>
      <c r="C355" s="11">
        <v>608</v>
      </c>
      <c r="D355" s="11">
        <v>152</v>
      </c>
    </row>
    <row r="356" spans="2:4" x14ac:dyDescent="0.4">
      <c r="B356" t="s">
        <v>696</v>
      </c>
      <c r="C356" s="11"/>
      <c r="D356" s="11">
        <v>1458</v>
      </c>
    </row>
    <row r="357" spans="2:4" x14ac:dyDescent="0.4">
      <c r="B357" t="s">
        <v>708</v>
      </c>
      <c r="C357" s="11">
        <v>714</v>
      </c>
      <c r="D357" s="11"/>
    </row>
    <row r="358" spans="2:4" x14ac:dyDescent="0.4">
      <c r="B358" t="s">
        <v>757</v>
      </c>
      <c r="C358" s="11">
        <v>606.9</v>
      </c>
      <c r="D358" s="11"/>
    </row>
    <row r="359" spans="2:4" x14ac:dyDescent="0.4">
      <c r="B359" t="s">
        <v>750</v>
      </c>
      <c r="C359" s="11">
        <v>4005.2</v>
      </c>
      <c r="D359" s="11"/>
    </row>
    <row r="360" spans="2:4" x14ac:dyDescent="0.4">
      <c r="B360" t="s">
        <v>725</v>
      </c>
      <c r="C360" s="11">
        <v>240.8</v>
      </c>
      <c r="D360" s="11">
        <v>397.75</v>
      </c>
    </row>
    <row r="361" spans="2:4" x14ac:dyDescent="0.4">
      <c r="B361" t="s">
        <v>693</v>
      </c>
      <c r="C361" s="11">
        <v>120</v>
      </c>
      <c r="D361" s="11"/>
    </row>
    <row r="362" spans="2:4" x14ac:dyDescent="0.4">
      <c r="B362" t="s">
        <v>716</v>
      </c>
      <c r="C362" s="11">
        <v>1786</v>
      </c>
      <c r="D362" s="11"/>
    </row>
    <row r="363" spans="2:4" x14ac:dyDescent="0.4">
      <c r="B363" t="s">
        <v>695</v>
      </c>
      <c r="C363" s="11">
        <v>540</v>
      </c>
      <c r="D363" s="11">
        <v>396.66666666666669</v>
      </c>
    </row>
    <row r="364" spans="2:4" x14ac:dyDescent="0.4">
      <c r="B364" t="s">
        <v>698</v>
      </c>
      <c r="C364" s="11">
        <v>100.8</v>
      </c>
      <c r="D364" s="11">
        <v>330</v>
      </c>
    </row>
    <row r="365" spans="2:4" x14ac:dyDescent="0.4">
      <c r="B365" t="s">
        <v>743</v>
      </c>
      <c r="C365" s="11">
        <v>1525.5</v>
      </c>
      <c r="D365" s="11"/>
    </row>
    <row r="366" spans="2:4" x14ac:dyDescent="0.4">
      <c r="B366" t="s">
        <v>728</v>
      </c>
      <c r="C366" s="11">
        <v>1133.825</v>
      </c>
      <c r="D366" s="11"/>
    </row>
    <row r="367" spans="2:4" x14ac:dyDescent="0.4">
      <c r="B367" t="s">
        <v>751</v>
      </c>
      <c r="C367" s="11">
        <v>929.09249999999997</v>
      </c>
      <c r="D367" s="11"/>
    </row>
    <row r="368" spans="2:4" x14ac:dyDescent="0.4">
      <c r="B368" t="s">
        <v>690</v>
      </c>
      <c r="C368" s="11"/>
      <c r="D368" s="11">
        <v>1092</v>
      </c>
    </row>
    <row r="369" spans="2:4" x14ac:dyDescent="0.4">
      <c r="B369" t="s">
        <v>724</v>
      </c>
      <c r="C369" s="11"/>
      <c r="D369" s="11">
        <v>2635</v>
      </c>
    </row>
    <row r="370" spans="2:4" x14ac:dyDescent="0.4">
      <c r="B370" t="s">
        <v>688</v>
      </c>
      <c r="C370" s="11">
        <v>100.10000000000001</v>
      </c>
      <c r="D370" s="11">
        <v>386</v>
      </c>
    </row>
    <row r="371" spans="2:4" x14ac:dyDescent="0.4">
      <c r="B371" t="s">
        <v>726</v>
      </c>
      <c r="C371" s="11">
        <v>66.3</v>
      </c>
      <c r="D371" s="11">
        <v>331.5</v>
      </c>
    </row>
    <row r="372" spans="2:4" x14ac:dyDescent="0.4">
      <c r="B372" t="s">
        <v>700</v>
      </c>
      <c r="C372" s="11">
        <v>308</v>
      </c>
      <c r="D372" s="11"/>
    </row>
    <row r="373" spans="2:4" x14ac:dyDescent="0.4">
      <c r="B373" t="s">
        <v>689</v>
      </c>
      <c r="C373" s="11">
        <v>760.12916666666661</v>
      </c>
      <c r="D373" s="11"/>
    </row>
    <row r="374" spans="2:4" x14ac:dyDescent="0.4">
      <c r="B374" t="s">
        <v>744</v>
      </c>
      <c r="C374" s="11">
        <v>816</v>
      </c>
      <c r="D374" s="11"/>
    </row>
    <row r="375" spans="2:4" x14ac:dyDescent="0.4">
      <c r="B375" t="s">
        <v>687</v>
      </c>
      <c r="C375" s="11"/>
      <c r="D375" s="11">
        <v>6042</v>
      </c>
    </row>
    <row r="376" spans="2:4" x14ac:dyDescent="0.4">
      <c r="B376" t="s">
        <v>709</v>
      </c>
      <c r="C376" s="11">
        <v>122.88000000000002</v>
      </c>
      <c r="D376" s="11"/>
    </row>
    <row r="377" spans="2:4" x14ac:dyDescent="0.4">
      <c r="B377" t="s">
        <v>685</v>
      </c>
      <c r="C377" s="11">
        <v>600.48</v>
      </c>
      <c r="D377" s="11"/>
    </row>
    <row r="378" spans="2:4" x14ac:dyDescent="0.4">
      <c r="B378" t="s">
        <v>717</v>
      </c>
      <c r="C378" s="11">
        <v>931.5</v>
      </c>
      <c r="D378" s="11"/>
    </row>
    <row r="379" spans="2:4" x14ac:dyDescent="0.4">
      <c r="B379" t="s">
        <v>713</v>
      </c>
      <c r="C379" s="11">
        <v>114</v>
      </c>
      <c r="D379" s="11">
        <v>450</v>
      </c>
    </row>
    <row r="380" spans="2:4" x14ac:dyDescent="0.4">
      <c r="B380" t="s">
        <v>699</v>
      </c>
      <c r="C380" s="11"/>
      <c r="D380" s="11">
        <v>1326</v>
      </c>
    </row>
    <row r="381" spans="2:4" x14ac:dyDescent="0.4">
      <c r="B381" t="s">
        <v>702</v>
      </c>
      <c r="C381" s="11">
        <v>436.8075</v>
      </c>
      <c r="D381" s="11">
        <v>1134.25</v>
      </c>
    </row>
    <row r="382" spans="2:4" x14ac:dyDescent="0.4">
      <c r="B382" t="s">
        <v>683</v>
      </c>
      <c r="C382" s="11">
        <v>409.5</v>
      </c>
      <c r="D382" s="11"/>
    </row>
    <row r="383" spans="2:4" x14ac:dyDescent="0.4">
      <c r="B383" t="s">
        <v>719</v>
      </c>
      <c r="C383" s="11">
        <v>1162.8</v>
      </c>
      <c r="D383" s="11">
        <v>950</v>
      </c>
    </row>
    <row r="384" spans="2:4" x14ac:dyDescent="0.4">
      <c r="B384" t="s">
        <v>704</v>
      </c>
      <c r="C384" s="11">
        <v>2464</v>
      </c>
      <c r="D384" s="11">
        <v>6050</v>
      </c>
    </row>
    <row r="385" spans="2:4" x14ac:dyDescent="0.4">
      <c r="B385" t="s">
        <v>691</v>
      </c>
      <c r="C385" s="11">
        <v>390</v>
      </c>
      <c r="D385" s="11">
        <v>468</v>
      </c>
    </row>
    <row r="386" spans="2:4" x14ac:dyDescent="0.4">
      <c r="B386" t="s">
        <v>731</v>
      </c>
      <c r="C386" s="11">
        <v>387.5</v>
      </c>
      <c r="D386" s="11">
        <v>43.400000000000006</v>
      </c>
    </row>
    <row r="387" spans="2:4" x14ac:dyDescent="0.4">
      <c r="B387" t="s">
        <v>756</v>
      </c>
      <c r="C387" s="11"/>
      <c r="D387" s="11">
        <v>243.67499999999998</v>
      </c>
    </row>
    <row r="388" spans="2:4" x14ac:dyDescent="0.4">
      <c r="B388" t="s">
        <v>727</v>
      </c>
      <c r="C388" s="11">
        <v>1010.94</v>
      </c>
      <c r="D388" s="11">
        <v>3032.3999999999996</v>
      </c>
    </row>
    <row r="389" spans="2:4" x14ac:dyDescent="0.4">
      <c r="B389" t="s">
        <v>736</v>
      </c>
      <c r="C389" s="11"/>
      <c r="D389" s="11">
        <v>955.5</v>
      </c>
    </row>
    <row r="390" spans="2:4" x14ac:dyDescent="0.4">
      <c r="B390" t="s">
        <v>707</v>
      </c>
      <c r="C390" s="11"/>
      <c r="D390" s="11">
        <v>1317</v>
      </c>
    </row>
    <row r="391" spans="2:4" x14ac:dyDescent="0.4">
      <c r="B391" t="s">
        <v>684</v>
      </c>
      <c r="C391" s="11">
        <v>333.2</v>
      </c>
      <c r="D391" s="11">
        <v>159.6</v>
      </c>
    </row>
    <row r="392" spans="2:4" x14ac:dyDescent="0.4">
      <c r="B392" t="s">
        <v>692</v>
      </c>
      <c r="C392" s="11">
        <v>3159</v>
      </c>
      <c r="D392" s="11"/>
    </row>
    <row r="393" spans="2:4" x14ac:dyDescent="0.4">
      <c r="B393" t="s">
        <v>710</v>
      </c>
      <c r="C393" s="11">
        <v>218</v>
      </c>
      <c r="D393" s="11">
        <v>650</v>
      </c>
    </row>
    <row r="394" spans="2:4" x14ac:dyDescent="0.4">
      <c r="B394" t="s">
        <v>758</v>
      </c>
      <c r="C394" s="11">
        <v>2565</v>
      </c>
      <c r="D394" s="11">
        <v>1598.85</v>
      </c>
    </row>
    <row r="395" spans="2:4" x14ac:dyDescent="0.4">
      <c r="B395" t="s">
        <v>737</v>
      </c>
      <c r="C395" s="11">
        <v>432</v>
      </c>
      <c r="D395" s="11"/>
    </row>
    <row r="396" spans="2:4" x14ac:dyDescent="0.4">
      <c r="B396" t="s">
        <v>714</v>
      </c>
      <c r="C396" s="11">
        <v>461.7</v>
      </c>
      <c r="D396" s="11">
        <v>108</v>
      </c>
    </row>
    <row r="397" spans="2:4" x14ac:dyDescent="0.4">
      <c r="B397" t="s">
        <v>712</v>
      </c>
      <c r="C397" s="11">
        <v>3352.4</v>
      </c>
      <c r="D397" s="11"/>
    </row>
    <row r="398" spans="2:4" x14ac:dyDescent="0.4">
      <c r="B398" t="s">
        <v>722</v>
      </c>
      <c r="C398" s="11">
        <v>1398.6030000000001</v>
      </c>
      <c r="D398" s="11"/>
    </row>
    <row r="399" spans="2:4" x14ac:dyDescent="0.4">
      <c r="B399" t="s">
        <v>686</v>
      </c>
      <c r="C399" s="11">
        <v>217.38749999999999</v>
      </c>
      <c r="D399" s="11"/>
    </row>
    <row r="400" spans="2:4" x14ac:dyDescent="0.4">
      <c r="B400" t="s">
        <v>738</v>
      </c>
      <c r="C400" s="11">
        <v>472</v>
      </c>
      <c r="D400" s="11"/>
    </row>
    <row r="401" spans="1:4" x14ac:dyDescent="0.4">
      <c r="B401" t="s">
        <v>753</v>
      </c>
      <c r="C401" s="11">
        <v>432</v>
      </c>
      <c r="D401" s="11"/>
    </row>
    <row r="402" spans="1:4" x14ac:dyDescent="0.4">
      <c r="B402" t="s">
        <v>715</v>
      </c>
      <c r="C402" s="11"/>
      <c r="D402" s="11">
        <v>540</v>
      </c>
    </row>
    <row r="403" spans="1:4" x14ac:dyDescent="0.4">
      <c r="B403" t="s">
        <v>755</v>
      </c>
      <c r="C403" s="11"/>
      <c r="D403" s="11">
        <v>357.5</v>
      </c>
    </row>
    <row r="404" spans="1:4" x14ac:dyDescent="0.4">
      <c r="B404" t="s">
        <v>729</v>
      </c>
      <c r="C404" s="11">
        <v>2281.5</v>
      </c>
      <c r="D404" s="11">
        <v>1536.5</v>
      </c>
    </row>
    <row r="405" spans="1:4" x14ac:dyDescent="0.4">
      <c r="B405" t="s">
        <v>741</v>
      </c>
      <c r="C405" s="11">
        <v>837.9</v>
      </c>
      <c r="D405" s="11">
        <v>1817.6666666666667</v>
      </c>
    </row>
    <row r="406" spans="1:4" x14ac:dyDescent="0.4">
      <c r="A406" t="s">
        <v>835</v>
      </c>
      <c r="C406" s="11">
        <v>896.61881249999999</v>
      </c>
      <c r="D406" s="11">
        <v>1188.354891304348</v>
      </c>
    </row>
    <row r="407" spans="1:4" x14ac:dyDescent="0.4">
      <c r="A407" t="s">
        <v>171</v>
      </c>
      <c r="B407" t="s">
        <v>720</v>
      </c>
      <c r="C407" s="11">
        <v>58.8</v>
      </c>
      <c r="D407" s="11"/>
    </row>
    <row r="408" spans="1:4" x14ac:dyDescent="0.4">
      <c r="B408" t="s">
        <v>694</v>
      </c>
      <c r="C408" s="11">
        <v>346.8</v>
      </c>
      <c r="D408" s="11"/>
    </row>
    <row r="409" spans="1:4" x14ac:dyDescent="0.4">
      <c r="B409" t="s">
        <v>696</v>
      </c>
      <c r="C409" s="11">
        <v>612</v>
      </c>
      <c r="D409" s="11"/>
    </row>
    <row r="410" spans="1:4" x14ac:dyDescent="0.4">
      <c r="B410" t="s">
        <v>748</v>
      </c>
      <c r="C410" s="11">
        <v>28</v>
      </c>
      <c r="D410" s="11"/>
    </row>
    <row r="411" spans="1:4" x14ac:dyDescent="0.4">
      <c r="B411" t="s">
        <v>693</v>
      </c>
      <c r="C411" s="11">
        <v>100</v>
      </c>
      <c r="D411" s="11"/>
    </row>
    <row r="412" spans="1:4" x14ac:dyDescent="0.4">
      <c r="B412" t="s">
        <v>698</v>
      </c>
      <c r="C412" s="11">
        <v>46.125</v>
      </c>
      <c r="D412" s="11"/>
    </row>
    <row r="413" spans="1:4" x14ac:dyDescent="0.4">
      <c r="B413" t="s">
        <v>688</v>
      </c>
      <c r="C413" s="11">
        <v>115.80000000000001</v>
      </c>
      <c r="D413" s="11"/>
    </row>
    <row r="414" spans="1:4" x14ac:dyDescent="0.4">
      <c r="B414" t="s">
        <v>717</v>
      </c>
      <c r="C414" s="11">
        <v>776.7</v>
      </c>
      <c r="D414" s="11"/>
    </row>
    <row r="415" spans="1:4" x14ac:dyDescent="0.4">
      <c r="B415" t="s">
        <v>749</v>
      </c>
      <c r="C415" s="11">
        <v>112</v>
      </c>
      <c r="D415" s="11"/>
    </row>
    <row r="416" spans="1:4" x14ac:dyDescent="0.4">
      <c r="B416" t="s">
        <v>699</v>
      </c>
      <c r="C416" s="11">
        <v>144</v>
      </c>
      <c r="D416" s="11"/>
    </row>
    <row r="417" spans="1:4" x14ac:dyDescent="0.4">
      <c r="B417" t="s">
        <v>705</v>
      </c>
      <c r="C417" s="11">
        <v>778.99999999999989</v>
      </c>
      <c r="D417" s="11"/>
    </row>
    <row r="418" spans="1:4" x14ac:dyDescent="0.4">
      <c r="B418" t="s">
        <v>731</v>
      </c>
      <c r="C418" s="11">
        <v>170.81</v>
      </c>
      <c r="D418" s="11"/>
    </row>
    <row r="419" spans="1:4" x14ac:dyDescent="0.4">
      <c r="B419" t="s">
        <v>736</v>
      </c>
      <c r="C419" s="11">
        <v>112</v>
      </c>
      <c r="D419" s="11"/>
    </row>
    <row r="420" spans="1:4" x14ac:dyDescent="0.4">
      <c r="B420" t="s">
        <v>737</v>
      </c>
      <c r="C420" s="11">
        <v>91.8</v>
      </c>
      <c r="D420" s="11"/>
    </row>
    <row r="421" spans="1:4" x14ac:dyDescent="0.4">
      <c r="B421" t="s">
        <v>732</v>
      </c>
      <c r="C421" s="11">
        <v>124.83</v>
      </c>
      <c r="D421" s="11"/>
    </row>
    <row r="422" spans="1:4" x14ac:dyDescent="0.4">
      <c r="B422" t="s">
        <v>738</v>
      </c>
      <c r="C422" s="11">
        <v>223.5</v>
      </c>
      <c r="D422" s="11"/>
    </row>
    <row r="423" spans="1:4" x14ac:dyDescent="0.4">
      <c r="B423" t="s">
        <v>752</v>
      </c>
      <c r="C423" s="11">
        <v>48.449999999999996</v>
      </c>
      <c r="D423" s="11"/>
    </row>
    <row r="424" spans="1:4" x14ac:dyDescent="0.4">
      <c r="A424" t="s">
        <v>836</v>
      </c>
      <c r="C424" s="11">
        <v>216.18684210526317</v>
      </c>
      <c r="D424" s="11"/>
    </row>
    <row r="425" spans="1:4" x14ac:dyDescent="0.4">
      <c r="A425" t="s">
        <v>184</v>
      </c>
      <c r="B425" t="s">
        <v>742</v>
      </c>
      <c r="C425" s="11">
        <v>3125</v>
      </c>
      <c r="D425" s="11">
        <v>1875</v>
      </c>
    </row>
    <row r="426" spans="1:4" x14ac:dyDescent="0.4">
      <c r="B426" t="s">
        <v>711</v>
      </c>
      <c r="C426" s="11">
        <v>208</v>
      </c>
      <c r="D426" s="11"/>
    </row>
    <row r="427" spans="1:4" x14ac:dyDescent="0.4">
      <c r="B427" t="s">
        <v>698</v>
      </c>
      <c r="C427" s="11"/>
      <c r="D427" s="11">
        <v>90</v>
      </c>
    </row>
    <row r="428" spans="1:4" x14ac:dyDescent="0.4">
      <c r="B428" t="s">
        <v>690</v>
      </c>
      <c r="C428" s="11"/>
      <c r="D428" s="11">
        <v>126</v>
      </c>
    </row>
    <row r="429" spans="1:4" x14ac:dyDescent="0.4">
      <c r="B429" t="s">
        <v>687</v>
      </c>
      <c r="C429" s="11">
        <v>795</v>
      </c>
      <c r="D429" s="11"/>
    </row>
    <row r="430" spans="1:4" x14ac:dyDescent="0.4">
      <c r="B430" t="s">
        <v>704</v>
      </c>
      <c r="C430" s="11">
        <v>528</v>
      </c>
      <c r="D430" s="11"/>
    </row>
    <row r="431" spans="1:4" x14ac:dyDescent="0.4">
      <c r="B431" t="s">
        <v>731</v>
      </c>
      <c r="C431" s="11">
        <v>15.5</v>
      </c>
      <c r="D431" s="11"/>
    </row>
    <row r="432" spans="1:4" x14ac:dyDescent="0.4">
      <c r="B432" t="s">
        <v>739</v>
      </c>
      <c r="C432" s="11"/>
      <c r="D432" s="11">
        <v>225</v>
      </c>
    </row>
    <row r="433" spans="1:4" x14ac:dyDescent="0.4">
      <c r="B433" t="s">
        <v>710</v>
      </c>
      <c r="C433" s="11"/>
      <c r="D433" s="11">
        <v>400</v>
      </c>
    </row>
    <row r="434" spans="1:4" x14ac:dyDescent="0.4">
      <c r="B434" t="s">
        <v>714</v>
      </c>
      <c r="C434" s="11"/>
      <c r="D434" s="11">
        <v>270</v>
      </c>
    </row>
    <row r="435" spans="1:4" x14ac:dyDescent="0.4">
      <c r="B435" t="s">
        <v>712</v>
      </c>
      <c r="C435" s="11">
        <v>1379</v>
      </c>
      <c r="D435" s="11"/>
    </row>
    <row r="436" spans="1:4" x14ac:dyDescent="0.4">
      <c r="B436" t="s">
        <v>738</v>
      </c>
      <c r="C436" s="11">
        <v>35.400000000000006</v>
      </c>
      <c r="D436" s="11"/>
    </row>
    <row r="437" spans="1:4" x14ac:dyDescent="0.4">
      <c r="B437" t="s">
        <v>715</v>
      </c>
      <c r="C437" s="11">
        <v>1050</v>
      </c>
      <c r="D437" s="11"/>
    </row>
    <row r="438" spans="1:4" x14ac:dyDescent="0.4">
      <c r="B438" t="s">
        <v>729</v>
      </c>
      <c r="C438" s="11"/>
      <c r="D438" s="11">
        <v>1317</v>
      </c>
    </row>
    <row r="439" spans="1:4" x14ac:dyDescent="0.4">
      <c r="B439" t="s">
        <v>752</v>
      </c>
      <c r="C439" s="11">
        <v>228</v>
      </c>
      <c r="D439" s="11"/>
    </row>
    <row r="440" spans="1:4" x14ac:dyDescent="0.4">
      <c r="A440" t="s">
        <v>837</v>
      </c>
      <c r="C440" s="11">
        <v>818.21111111111111</v>
      </c>
      <c r="D440" s="11">
        <v>614.71428571428567</v>
      </c>
    </row>
    <row r="441" spans="1:4" x14ac:dyDescent="0.4">
      <c r="A441" t="s">
        <v>192</v>
      </c>
      <c r="B441" t="s">
        <v>701</v>
      </c>
      <c r="C441" s="11">
        <v>310.33333333333331</v>
      </c>
      <c r="D441" s="11"/>
    </row>
    <row r="442" spans="1:4" x14ac:dyDescent="0.4">
      <c r="B442" t="s">
        <v>696</v>
      </c>
      <c r="C442" s="11"/>
      <c r="D442" s="11">
        <v>414</v>
      </c>
    </row>
    <row r="443" spans="1:4" x14ac:dyDescent="0.4">
      <c r="B443" t="s">
        <v>745</v>
      </c>
      <c r="C443" s="11">
        <v>1045</v>
      </c>
      <c r="D443" s="11"/>
    </row>
    <row r="444" spans="1:4" x14ac:dyDescent="0.4">
      <c r="B444" t="s">
        <v>747</v>
      </c>
      <c r="C444" s="11">
        <v>254.4</v>
      </c>
      <c r="D444" s="11"/>
    </row>
    <row r="445" spans="1:4" x14ac:dyDescent="0.4">
      <c r="B445" t="s">
        <v>725</v>
      </c>
      <c r="C445" s="11">
        <v>103.19999999999999</v>
      </c>
      <c r="D445" s="11"/>
    </row>
    <row r="446" spans="1:4" x14ac:dyDescent="0.4">
      <c r="B446" t="s">
        <v>716</v>
      </c>
      <c r="C446" s="11"/>
      <c r="D446" s="11">
        <v>2280</v>
      </c>
    </row>
    <row r="447" spans="1:4" x14ac:dyDescent="0.4">
      <c r="B447" t="s">
        <v>695</v>
      </c>
      <c r="C447" s="11"/>
      <c r="D447" s="11">
        <v>18.75</v>
      </c>
    </row>
    <row r="448" spans="1:4" x14ac:dyDescent="0.4">
      <c r="B448" t="s">
        <v>728</v>
      </c>
      <c r="C448" s="11">
        <v>194.5</v>
      </c>
      <c r="D448" s="11"/>
    </row>
    <row r="449" spans="2:4" x14ac:dyDescent="0.4">
      <c r="B449" t="s">
        <v>690</v>
      </c>
      <c r="C449" s="11"/>
      <c r="D449" s="11">
        <v>525</v>
      </c>
    </row>
    <row r="450" spans="2:4" x14ac:dyDescent="0.4">
      <c r="B450" t="s">
        <v>688</v>
      </c>
      <c r="C450" s="11">
        <v>163.625</v>
      </c>
      <c r="D450" s="11">
        <v>184.55625000000001</v>
      </c>
    </row>
    <row r="451" spans="2:4" x14ac:dyDescent="0.4">
      <c r="B451" t="s">
        <v>721</v>
      </c>
      <c r="C451" s="11">
        <v>220.32</v>
      </c>
      <c r="D451" s="11">
        <v>810</v>
      </c>
    </row>
    <row r="452" spans="2:4" x14ac:dyDescent="0.4">
      <c r="B452" t="s">
        <v>744</v>
      </c>
      <c r="C452" s="11"/>
      <c r="D452" s="11">
        <v>850</v>
      </c>
    </row>
    <row r="453" spans="2:4" x14ac:dyDescent="0.4">
      <c r="B453" t="s">
        <v>687</v>
      </c>
      <c r="C453" s="11">
        <v>2650</v>
      </c>
      <c r="D453" s="11">
        <v>1007</v>
      </c>
    </row>
    <row r="454" spans="2:4" x14ac:dyDescent="0.4">
      <c r="B454" t="s">
        <v>685</v>
      </c>
      <c r="C454" s="11">
        <v>835.19999999999993</v>
      </c>
      <c r="D454" s="11"/>
    </row>
    <row r="455" spans="2:4" x14ac:dyDescent="0.4">
      <c r="B455" t="s">
        <v>717</v>
      </c>
      <c r="C455" s="11">
        <v>579.6</v>
      </c>
      <c r="D455" s="11"/>
    </row>
    <row r="456" spans="2:4" x14ac:dyDescent="0.4">
      <c r="B456" t="s">
        <v>713</v>
      </c>
      <c r="C456" s="11"/>
      <c r="D456" s="11">
        <v>367.5</v>
      </c>
    </row>
    <row r="457" spans="2:4" x14ac:dyDescent="0.4">
      <c r="B457" t="s">
        <v>699</v>
      </c>
      <c r="C457" s="11"/>
      <c r="D457" s="11">
        <v>378</v>
      </c>
    </row>
    <row r="458" spans="2:4" x14ac:dyDescent="0.4">
      <c r="B458" t="s">
        <v>683</v>
      </c>
      <c r="C458" s="11">
        <v>386.4</v>
      </c>
      <c r="D458" s="11"/>
    </row>
    <row r="459" spans="2:4" x14ac:dyDescent="0.4">
      <c r="B459" t="s">
        <v>704</v>
      </c>
      <c r="C459" s="11">
        <v>1925</v>
      </c>
      <c r="D459" s="11"/>
    </row>
    <row r="460" spans="2:4" x14ac:dyDescent="0.4">
      <c r="B460" t="s">
        <v>731</v>
      </c>
      <c r="C460" s="11">
        <v>18.600000000000001</v>
      </c>
      <c r="D460" s="11">
        <v>161.19999999999999</v>
      </c>
    </row>
    <row r="461" spans="2:4" x14ac:dyDescent="0.4">
      <c r="B461" t="s">
        <v>730</v>
      </c>
      <c r="C461" s="11">
        <v>433.5</v>
      </c>
      <c r="D461" s="11"/>
    </row>
    <row r="462" spans="2:4" x14ac:dyDescent="0.4">
      <c r="B462" t="s">
        <v>739</v>
      </c>
      <c r="C462" s="11">
        <v>157.5</v>
      </c>
      <c r="D462" s="11"/>
    </row>
    <row r="463" spans="2:4" x14ac:dyDescent="0.4">
      <c r="B463" t="s">
        <v>758</v>
      </c>
      <c r="C463" s="11"/>
      <c r="D463" s="11">
        <v>684</v>
      </c>
    </row>
    <row r="464" spans="2:4" x14ac:dyDescent="0.4">
      <c r="B464" t="s">
        <v>737</v>
      </c>
      <c r="C464" s="11"/>
      <c r="D464" s="11">
        <v>300</v>
      </c>
    </row>
    <row r="465" spans="1:4" x14ac:dyDescent="0.4">
      <c r="B465" t="s">
        <v>712</v>
      </c>
      <c r="C465" s="11"/>
      <c r="D465" s="11">
        <v>251.42999999999995</v>
      </c>
    </row>
    <row r="466" spans="1:4" x14ac:dyDescent="0.4">
      <c r="B466" t="s">
        <v>722</v>
      </c>
      <c r="C466" s="11"/>
      <c r="D466" s="11">
        <v>4642.125</v>
      </c>
    </row>
    <row r="467" spans="1:4" x14ac:dyDescent="0.4">
      <c r="B467" t="s">
        <v>753</v>
      </c>
      <c r="C467" s="11"/>
      <c r="D467" s="11">
        <v>216</v>
      </c>
    </row>
    <row r="468" spans="1:4" x14ac:dyDescent="0.4">
      <c r="B468" t="s">
        <v>715</v>
      </c>
      <c r="C468" s="11"/>
      <c r="D468" s="11">
        <v>1800</v>
      </c>
    </row>
    <row r="469" spans="1:4" x14ac:dyDescent="0.4">
      <c r="B469" t="s">
        <v>729</v>
      </c>
      <c r="C469" s="11"/>
      <c r="D469" s="11">
        <v>878</v>
      </c>
    </row>
    <row r="470" spans="1:4" x14ac:dyDescent="0.4">
      <c r="B470" t="s">
        <v>752</v>
      </c>
      <c r="C470" s="11"/>
      <c r="D470" s="11">
        <v>285</v>
      </c>
    </row>
    <row r="471" spans="1:4" x14ac:dyDescent="0.4">
      <c r="A471" t="s">
        <v>838</v>
      </c>
      <c r="C471" s="11">
        <v>564.09184210526325</v>
      </c>
      <c r="D471" s="11">
        <v>724.99298076923071</v>
      </c>
    </row>
    <row r="472" spans="1:4" x14ac:dyDescent="0.4">
      <c r="A472" t="s">
        <v>206</v>
      </c>
      <c r="B472" t="s">
        <v>721</v>
      </c>
      <c r="C472" s="11"/>
      <c r="D472" s="11">
        <v>360</v>
      </c>
    </row>
    <row r="473" spans="1:4" x14ac:dyDescent="0.4">
      <c r="B473" t="s">
        <v>689</v>
      </c>
      <c r="C473" s="11">
        <v>252.60000000000002</v>
      </c>
      <c r="D473" s="11"/>
    </row>
    <row r="474" spans="1:4" x14ac:dyDescent="0.4">
      <c r="B474" t="s">
        <v>687</v>
      </c>
      <c r="C474" s="11"/>
      <c r="D474" s="11">
        <v>159</v>
      </c>
    </row>
    <row r="475" spans="1:4" x14ac:dyDescent="0.4">
      <c r="B475" t="s">
        <v>702</v>
      </c>
      <c r="C475" s="11">
        <v>174.5</v>
      </c>
      <c r="D475" s="11"/>
    </row>
    <row r="476" spans="1:4" x14ac:dyDescent="0.4">
      <c r="B476" t="s">
        <v>712</v>
      </c>
      <c r="C476" s="11">
        <v>493</v>
      </c>
      <c r="D476" s="11"/>
    </row>
    <row r="477" spans="1:4" x14ac:dyDescent="0.4">
      <c r="B477" t="s">
        <v>722</v>
      </c>
      <c r="C477" s="11"/>
      <c r="D477" s="11">
        <v>1733.0600000000002</v>
      </c>
    </row>
    <row r="478" spans="1:4" x14ac:dyDescent="0.4">
      <c r="A478" t="s">
        <v>839</v>
      </c>
      <c r="C478" s="11">
        <v>306.7</v>
      </c>
      <c r="D478" s="11">
        <v>750.68666666666684</v>
      </c>
    </row>
    <row r="479" spans="1:4" x14ac:dyDescent="0.4">
      <c r="A479" t="s">
        <v>212</v>
      </c>
      <c r="B479" t="s">
        <v>720</v>
      </c>
      <c r="C479" s="11"/>
      <c r="D479" s="11">
        <v>18.399999999999999</v>
      </c>
    </row>
    <row r="480" spans="1:4" x14ac:dyDescent="0.4">
      <c r="B480" t="s">
        <v>694</v>
      </c>
      <c r="C480" s="11"/>
      <c r="D480" s="11">
        <v>136</v>
      </c>
    </row>
    <row r="481" spans="1:4" x14ac:dyDescent="0.4">
      <c r="B481" t="s">
        <v>742</v>
      </c>
      <c r="C481" s="11"/>
      <c r="D481" s="11">
        <v>500</v>
      </c>
    </row>
    <row r="482" spans="1:4" x14ac:dyDescent="0.4">
      <c r="B482" t="s">
        <v>751</v>
      </c>
      <c r="C482" s="11">
        <v>49.8</v>
      </c>
      <c r="D482" s="11"/>
    </row>
    <row r="483" spans="1:4" x14ac:dyDescent="0.4">
      <c r="B483" t="s">
        <v>700</v>
      </c>
      <c r="C483" s="11">
        <v>50</v>
      </c>
      <c r="D483" s="11"/>
    </row>
    <row r="484" spans="1:4" x14ac:dyDescent="0.4">
      <c r="B484" t="s">
        <v>687</v>
      </c>
      <c r="C484" s="11"/>
      <c r="D484" s="11">
        <v>530</v>
      </c>
    </row>
    <row r="485" spans="1:4" x14ac:dyDescent="0.4">
      <c r="B485" t="s">
        <v>706</v>
      </c>
      <c r="C485" s="11"/>
      <c r="D485" s="11">
        <v>130</v>
      </c>
    </row>
    <row r="486" spans="1:4" x14ac:dyDescent="0.4">
      <c r="B486" t="s">
        <v>756</v>
      </c>
      <c r="C486" s="11">
        <v>38</v>
      </c>
      <c r="D486" s="11"/>
    </row>
    <row r="487" spans="1:4" x14ac:dyDescent="0.4">
      <c r="B487" t="s">
        <v>732</v>
      </c>
      <c r="C487" s="11">
        <v>46</v>
      </c>
      <c r="D487" s="11"/>
    </row>
    <row r="488" spans="1:4" x14ac:dyDescent="0.4">
      <c r="B488" t="s">
        <v>752</v>
      </c>
      <c r="C488" s="11">
        <v>47.5</v>
      </c>
      <c r="D488" s="11"/>
    </row>
    <row r="489" spans="1:4" x14ac:dyDescent="0.4">
      <c r="A489" t="s">
        <v>840</v>
      </c>
      <c r="C489" s="11">
        <v>46.260000000000005</v>
      </c>
      <c r="D489" s="11">
        <v>262.88</v>
      </c>
    </row>
    <row r="490" spans="1:4" x14ac:dyDescent="0.4">
      <c r="A490" t="s">
        <v>199</v>
      </c>
      <c r="B490" t="s">
        <v>720</v>
      </c>
      <c r="C490" s="11">
        <v>735</v>
      </c>
      <c r="D490" s="11"/>
    </row>
    <row r="491" spans="1:4" x14ac:dyDescent="0.4">
      <c r="B491" t="s">
        <v>694</v>
      </c>
      <c r="C491" s="11">
        <v>612</v>
      </c>
      <c r="D491" s="11">
        <v>1162.8</v>
      </c>
    </row>
    <row r="492" spans="1:4" x14ac:dyDescent="0.4">
      <c r="B492" t="s">
        <v>701</v>
      </c>
      <c r="C492" s="11">
        <v>291.83999999999997</v>
      </c>
      <c r="D492" s="11"/>
    </row>
    <row r="493" spans="1:4" x14ac:dyDescent="0.4">
      <c r="B493" t="s">
        <v>747</v>
      </c>
      <c r="C493" s="11">
        <v>397.5</v>
      </c>
      <c r="D493" s="11"/>
    </row>
    <row r="494" spans="1:4" x14ac:dyDescent="0.4">
      <c r="B494" t="s">
        <v>725</v>
      </c>
      <c r="C494" s="11">
        <v>1032</v>
      </c>
      <c r="D494" s="11">
        <v>1225.5</v>
      </c>
    </row>
    <row r="495" spans="1:4" x14ac:dyDescent="0.4">
      <c r="B495" t="s">
        <v>695</v>
      </c>
      <c r="C495" s="11">
        <v>448</v>
      </c>
      <c r="D495" s="11"/>
    </row>
    <row r="496" spans="1:4" x14ac:dyDescent="0.4">
      <c r="B496" t="s">
        <v>711</v>
      </c>
      <c r="C496" s="11">
        <v>582.4</v>
      </c>
      <c r="D496" s="11"/>
    </row>
    <row r="497" spans="2:4" x14ac:dyDescent="0.4">
      <c r="B497" t="s">
        <v>698</v>
      </c>
      <c r="C497" s="11">
        <v>13.5</v>
      </c>
      <c r="D497" s="11">
        <v>135</v>
      </c>
    </row>
    <row r="498" spans="2:4" x14ac:dyDescent="0.4">
      <c r="B498" t="s">
        <v>743</v>
      </c>
      <c r="C498" s="11">
        <v>855</v>
      </c>
      <c r="D498" s="11"/>
    </row>
    <row r="499" spans="2:4" x14ac:dyDescent="0.4">
      <c r="B499" t="s">
        <v>751</v>
      </c>
      <c r="C499" s="11">
        <v>597.59999999999991</v>
      </c>
      <c r="D499" s="11"/>
    </row>
    <row r="500" spans="2:4" x14ac:dyDescent="0.4">
      <c r="B500" t="s">
        <v>703</v>
      </c>
      <c r="C500" s="11">
        <v>395.20000000000005</v>
      </c>
      <c r="D500" s="11"/>
    </row>
    <row r="501" spans="2:4" x14ac:dyDescent="0.4">
      <c r="B501" t="s">
        <v>688</v>
      </c>
      <c r="C501" s="11"/>
      <c r="D501" s="11">
        <v>183.35</v>
      </c>
    </row>
    <row r="502" spans="2:4" x14ac:dyDescent="0.4">
      <c r="B502" t="s">
        <v>721</v>
      </c>
      <c r="C502" s="11">
        <v>183.6</v>
      </c>
      <c r="D502" s="11"/>
    </row>
    <row r="503" spans="2:4" x14ac:dyDescent="0.4">
      <c r="B503" t="s">
        <v>734</v>
      </c>
      <c r="C503" s="11">
        <v>350</v>
      </c>
      <c r="D503" s="11"/>
    </row>
    <row r="504" spans="2:4" x14ac:dyDescent="0.4">
      <c r="B504" t="s">
        <v>685</v>
      </c>
      <c r="C504" s="11">
        <v>639.40000000000009</v>
      </c>
      <c r="D504" s="11"/>
    </row>
    <row r="505" spans="2:4" x14ac:dyDescent="0.4">
      <c r="B505" t="s">
        <v>717</v>
      </c>
      <c r="C505" s="11">
        <v>517.79999999999995</v>
      </c>
      <c r="D505" s="11"/>
    </row>
    <row r="506" spans="2:4" x14ac:dyDescent="0.4">
      <c r="B506" t="s">
        <v>706</v>
      </c>
      <c r="C506" s="11"/>
      <c r="D506" s="11">
        <v>195</v>
      </c>
    </row>
    <row r="507" spans="2:4" x14ac:dyDescent="0.4">
      <c r="B507" t="s">
        <v>699</v>
      </c>
      <c r="C507" s="11">
        <v>614.40000000000009</v>
      </c>
      <c r="D507" s="11"/>
    </row>
    <row r="508" spans="2:4" x14ac:dyDescent="0.4">
      <c r="B508" t="s">
        <v>702</v>
      </c>
      <c r="C508" s="11">
        <v>471.15000000000003</v>
      </c>
      <c r="D508" s="11"/>
    </row>
    <row r="509" spans="2:4" x14ac:dyDescent="0.4">
      <c r="B509" t="s">
        <v>705</v>
      </c>
      <c r="C509" s="11">
        <v>328</v>
      </c>
      <c r="D509" s="11"/>
    </row>
    <row r="510" spans="2:4" x14ac:dyDescent="0.4">
      <c r="B510" t="s">
        <v>704</v>
      </c>
      <c r="C510" s="11">
        <v>1969</v>
      </c>
      <c r="D510" s="11"/>
    </row>
    <row r="511" spans="2:4" x14ac:dyDescent="0.4">
      <c r="B511" t="s">
        <v>731</v>
      </c>
      <c r="C511" s="11">
        <v>193.75</v>
      </c>
      <c r="D511" s="11">
        <v>379.75</v>
      </c>
    </row>
    <row r="512" spans="2:4" x14ac:dyDescent="0.4">
      <c r="B512" t="s">
        <v>730</v>
      </c>
      <c r="C512" s="11">
        <v>471</v>
      </c>
      <c r="D512" s="11"/>
    </row>
    <row r="513" spans="1:4" x14ac:dyDescent="0.4">
      <c r="B513" t="s">
        <v>710</v>
      </c>
      <c r="C513" s="11">
        <v>264.5</v>
      </c>
      <c r="D513" s="11">
        <v>600</v>
      </c>
    </row>
    <row r="514" spans="1:4" x14ac:dyDescent="0.4">
      <c r="B514" t="s">
        <v>737</v>
      </c>
      <c r="C514" s="11">
        <v>720</v>
      </c>
      <c r="D514" s="11"/>
    </row>
    <row r="515" spans="1:4" x14ac:dyDescent="0.4">
      <c r="B515" t="s">
        <v>714</v>
      </c>
      <c r="C515" s="11">
        <v>486</v>
      </c>
      <c r="D515" s="11"/>
    </row>
    <row r="516" spans="1:4" x14ac:dyDescent="0.4">
      <c r="B516" t="s">
        <v>712</v>
      </c>
      <c r="C516" s="11">
        <v>554.625</v>
      </c>
      <c r="D516" s="11"/>
    </row>
    <row r="517" spans="1:4" x14ac:dyDescent="0.4">
      <c r="B517" t="s">
        <v>732</v>
      </c>
      <c r="C517" s="11">
        <v>124.2</v>
      </c>
      <c r="D517" s="11">
        <v>436.99999999999994</v>
      </c>
    </row>
    <row r="518" spans="1:4" x14ac:dyDescent="0.4">
      <c r="B518" t="s">
        <v>722</v>
      </c>
      <c r="C518" s="11"/>
      <c r="D518" s="11">
        <v>1646.4070000000002</v>
      </c>
    </row>
    <row r="519" spans="1:4" x14ac:dyDescent="0.4">
      <c r="B519" t="s">
        <v>686</v>
      </c>
      <c r="C519" s="11">
        <v>592.875</v>
      </c>
      <c r="D519" s="11"/>
    </row>
    <row r="520" spans="1:4" x14ac:dyDescent="0.4">
      <c r="B520" t="s">
        <v>738</v>
      </c>
      <c r="C520" s="11">
        <v>111.75</v>
      </c>
      <c r="D520" s="11">
        <v>195.5625</v>
      </c>
    </row>
    <row r="521" spans="1:4" x14ac:dyDescent="0.4">
      <c r="B521" t="s">
        <v>753</v>
      </c>
      <c r="C521" s="11">
        <v>288</v>
      </c>
      <c r="D521" s="11"/>
    </row>
    <row r="522" spans="1:4" x14ac:dyDescent="0.4">
      <c r="B522" t="s">
        <v>741</v>
      </c>
      <c r="C522" s="11"/>
      <c r="D522" s="11">
        <v>748.125</v>
      </c>
    </row>
    <row r="523" spans="1:4" x14ac:dyDescent="0.4">
      <c r="A523" t="s">
        <v>841</v>
      </c>
      <c r="C523" s="11">
        <v>533.73148648648646</v>
      </c>
      <c r="D523" s="11">
        <v>628.04495454545452</v>
      </c>
    </row>
    <row r="524" spans="1:4" x14ac:dyDescent="0.4">
      <c r="A524" t="s">
        <v>220</v>
      </c>
      <c r="B524" t="s">
        <v>694</v>
      </c>
      <c r="C524" s="11">
        <v>544</v>
      </c>
      <c r="D524" s="11">
        <v>57.8</v>
      </c>
    </row>
    <row r="525" spans="1:4" x14ac:dyDescent="0.4">
      <c r="B525" t="s">
        <v>745</v>
      </c>
      <c r="C525" s="11">
        <v>225.28000000000003</v>
      </c>
      <c r="D525" s="11"/>
    </row>
    <row r="526" spans="1:4" x14ac:dyDescent="0.4">
      <c r="B526" t="s">
        <v>757</v>
      </c>
      <c r="C526" s="11">
        <v>68.850000000000009</v>
      </c>
      <c r="D526" s="11"/>
    </row>
    <row r="527" spans="1:4" x14ac:dyDescent="0.4">
      <c r="B527" t="s">
        <v>716</v>
      </c>
      <c r="C527" s="11">
        <v>558.6</v>
      </c>
      <c r="D527" s="11"/>
    </row>
    <row r="528" spans="1:4" x14ac:dyDescent="0.4">
      <c r="B528" t="s">
        <v>698</v>
      </c>
      <c r="C528" s="11">
        <v>36</v>
      </c>
      <c r="D528" s="11"/>
    </row>
    <row r="529" spans="1:4" x14ac:dyDescent="0.4">
      <c r="B529" t="s">
        <v>728</v>
      </c>
      <c r="C529" s="11">
        <v>487.8125</v>
      </c>
      <c r="D529" s="11"/>
    </row>
    <row r="530" spans="1:4" x14ac:dyDescent="0.4">
      <c r="B530" t="s">
        <v>724</v>
      </c>
      <c r="C530" s="11">
        <v>632.4</v>
      </c>
      <c r="D530" s="11"/>
    </row>
    <row r="531" spans="1:4" x14ac:dyDescent="0.4">
      <c r="B531" t="s">
        <v>723</v>
      </c>
      <c r="C531" s="11">
        <v>110.39999999999999</v>
      </c>
      <c r="D531" s="11"/>
    </row>
    <row r="532" spans="1:4" x14ac:dyDescent="0.4">
      <c r="B532" t="s">
        <v>721</v>
      </c>
      <c r="C532" s="11">
        <v>162</v>
      </c>
      <c r="D532" s="11"/>
    </row>
    <row r="533" spans="1:4" x14ac:dyDescent="0.4">
      <c r="B533" t="s">
        <v>689</v>
      </c>
      <c r="C533" s="11">
        <v>470.19375000000002</v>
      </c>
      <c r="D533" s="11"/>
    </row>
    <row r="534" spans="1:4" x14ac:dyDescent="0.4">
      <c r="B534" t="s">
        <v>706</v>
      </c>
      <c r="C534" s="11">
        <v>61.879999999999995</v>
      </c>
      <c r="D534" s="11"/>
    </row>
    <row r="535" spans="1:4" x14ac:dyDescent="0.4">
      <c r="B535" t="s">
        <v>702</v>
      </c>
      <c r="C535" s="11">
        <v>593.29999999999995</v>
      </c>
      <c r="D535" s="11"/>
    </row>
    <row r="536" spans="1:4" x14ac:dyDescent="0.4">
      <c r="B536" t="s">
        <v>704</v>
      </c>
      <c r="C536" s="11">
        <v>396</v>
      </c>
      <c r="D536" s="11"/>
    </row>
    <row r="537" spans="1:4" x14ac:dyDescent="0.4">
      <c r="B537" t="s">
        <v>739</v>
      </c>
      <c r="C537" s="11">
        <v>100</v>
      </c>
      <c r="D537" s="11"/>
    </row>
    <row r="538" spans="1:4" x14ac:dyDescent="0.4">
      <c r="B538" t="s">
        <v>714</v>
      </c>
      <c r="C538" s="11">
        <v>306</v>
      </c>
      <c r="D538" s="11"/>
    </row>
    <row r="539" spans="1:4" x14ac:dyDescent="0.4">
      <c r="B539" t="s">
        <v>738</v>
      </c>
      <c r="C539" s="11">
        <v>100.3</v>
      </c>
      <c r="D539" s="11"/>
    </row>
    <row r="540" spans="1:4" x14ac:dyDescent="0.4">
      <c r="A540" t="s">
        <v>842</v>
      </c>
      <c r="C540" s="11">
        <v>335.24328947368423</v>
      </c>
      <c r="D540" s="11">
        <v>57.8</v>
      </c>
    </row>
    <row r="541" spans="1:4" x14ac:dyDescent="0.4">
      <c r="A541" t="s">
        <v>228</v>
      </c>
      <c r="B541" t="s">
        <v>716</v>
      </c>
      <c r="C541" s="11">
        <v>152</v>
      </c>
      <c r="D541" s="11"/>
    </row>
    <row r="542" spans="1:4" x14ac:dyDescent="0.4">
      <c r="B542" t="s">
        <v>724</v>
      </c>
      <c r="C542" s="11">
        <v>155</v>
      </c>
      <c r="D542" s="11"/>
    </row>
    <row r="543" spans="1:4" x14ac:dyDescent="0.4">
      <c r="B543" t="s">
        <v>721</v>
      </c>
      <c r="C543" s="11"/>
      <c r="D543" s="11">
        <v>90</v>
      </c>
    </row>
    <row r="544" spans="1:4" x14ac:dyDescent="0.4">
      <c r="B544" t="s">
        <v>689</v>
      </c>
      <c r="C544" s="11">
        <v>84</v>
      </c>
      <c r="D544" s="11"/>
    </row>
    <row r="545" spans="1:4" x14ac:dyDescent="0.4">
      <c r="B545" t="s">
        <v>749</v>
      </c>
      <c r="C545" s="11"/>
      <c r="D545" s="11">
        <v>70</v>
      </c>
    </row>
    <row r="546" spans="1:4" x14ac:dyDescent="0.4">
      <c r="B546" t="s">
        <v>706</v>
      </c>
      <c r="C546" s="11">
        <v>52</v>
      </c>
      <c r="D546" s="11"/>
    </row>
    <row r="547" spans="1:4" x14ac:dyDescent="0.4">
      <c r="B547" t="s">
        <v>741</v>
      </c>
      <c r="C547" s="11">
        <v>186.20000000000002</v>
      </c>
      <c r="D547" s="11"/>
    </row>
    <row r="548" spans="1:4" x14ac:dyDescent="0.4">
      <c r="B548" t="s">
        <v>752</v>
      </c>
      <c r="C548" s="11"/>
      <c r="D548" s="11">
        <v>47.5</v>
      </c>
    </row>
    <row r="549" spans="1:4" x14ac:dyDescent="0.4">
      <c r="A549" t="s">
        <v>843</v>
      </c>
      <c r="C549" s="11">
        <v>125.84</v>
      </c>
      <c r="D549" s="11">
        <v>69.166666666666671</v>
      </c>
    </row>
    <row r="550" spans="1:4" x14ac:dyDescent="0.4">
      <c r="A550" t="s">
        <v>235</v>
      </c>
      <c r="B550" t="s">
        <v>718</v>
      </c>
      <c r="C550" s="11">
        <v>280.8</v>
      </c>
      <c r="D550" s="11">
        <v>468</v>
      </c>
    </row>
    <row r="551" spans="1:4" x14ac:dyDescent="0.4">
      <c r="B551" t="s">
        <v>720</v>
      </c>
      <c r="C551" s="11">
        <v>529.20000000000005</v>
      </c>
      <c r="D551" s="11"/>
    </row>
    <row r="552" spans="1:4" x14ac:dyDescent="0.4">
      <c r="B552" t="s">
        <v>694</v>
      </c>
      <c r="C552" s="11"/>
      <c r="D552" s="11">
        <v>306</v>
      </c>
    </row>
    <row r="553" spans="1:4" x14ac:dyDescent="0.4">
      <c r="B553" t="s">
        <v>735</v>
      </c>
      <c r="C553" s="11"/>
      <c r="D553" s="11">
        <v>180</v>
      </c>
    </row>
    <row r="554" spans="1:4" x14ac:dyDescent="0.4">
      <c r="B554" t="s">
        <v>701</v>
      </c>
      <c r="C554" s="11"/>
      <c r="D554" s="11">
        <v>380</v>
      </c>
    </row>
    <row r="555" spans="1:4" x14ac:dyDescent="0.4">
      <c r="B555" t="s">
        <v>698</v>
      </c>
      <c r="C555" s="11"/>
      <c r="D555" s="11">
        <v>54</v>
      </c>
    </row>
    <row r="556" spans="1:4" x14ac:dyDescent="0.4">
      <c r="B556" t="s">
        <v>724</v>
      </c>
      <c r="C556" s="11"/>
      <c r="D556" s="11">
        <v>310</v>
      </c>
    </row>
    <row r="557" spans="1:4" x14ac:dyDescent="0.4">
      <c r="B557" t="s">
        <v>703</v>
      </c>
      <c r="C557" s="11"/>
      <c r="D557" s="11">
        <v>256.5</v>
      </c>
    </row>
    <row r="558" spans="1:4" x14ac:dyDescent="0.4">
      <c r="B558" t="s">
        <v>734</v>
      </c>
      <c r="C558" s="11"/>
      <c r="D558" s="11">
        <v>210</v>
      </c>
    </row>
    <row r="559" spans="1:4" x14ac:dyDescent="0.4">
      <c r="B559" t="s">
        <v>689</v>
      </c>
      <c r="C559" s="11">
        <v>453.6</v>
      </c>
      <c r="D559" s="11">
        <v>419.94749999999999</v>
      </c>
    </row>
    <row r="560" spans="1:4" x14ac:dyDescent="0.4">
      <c r="B560" t="s">
        <v>687</v>
      </c>
      <c r="C560" s="11"/>
      <c r="D560" s="11">
        <v>2120</v>
      </c>
    </row>
    <row r="561" spans="1:4" x14ac:dyDescent="0.4">
      <c r="B561" t="s">
        <v>713</v>
      </c>
      <c r="C561" s="11"/>
      <c r="D561" s="11">
        <v>60</v>
      </c>
    </row>
    <row r="562" spans="1:4" x14ac:dyDescent="0.4">
      <c r="B562" t="s">
        <v>699</v>
      </c>
      <c r="C562" s="11"/>
      <c r="D562" s="11">
        <v>162</v>
      </c>
    </row>
    <row r="563" spans="1:4" x14ac:dyDescent="0.4">
      <c r="B563" t="s">
        <v>739</v>
      </c>
      <c r="C563" s="11">
        <v>135</v>
      </c>
      <c r="D563" s="11">
        <v>225</v>
      </c>
    </row>
    <row r="564" spans="1:4" x14ac:dyDescent="0.4">
      <c r="B564" t="s">
        <v>710</v>
      </c>
      <c r="C564" s="11">
        <v>54</v>
      </c>
      <c r="D564" s="11"/>
    </row>
    <row r="565" spans="1:4" x14ac:dyDescent="0.4">
      <c r="B565" t="s">
        <v>758</v>
      </c>
      <c r="C565" s="11">
        <v>256.5</v>
      </c>
      <c r="D565" s="11"/>
    </row>
    <row r="566" spans="1:4" x14ac:dyDescent="0.4">
      <c r="B566" t="s">
        <v>712</v>
      </c>
      <c r="C566" s="11"/>
      <c r="D566" s="11">
        <v>936.69999999999993</v>
      </c>
    </row>
    <row r="567" spans="1:4" x14ac:dyDescent="0.4">
      <c r="B567" t="s">
        <v>732</v>
      </c>
      <c r="C567" s="11">
        <v>92</v>
      </c>
      <c r="D567" s="11"/>
    </row>
    <row r="568" spans="1:4" x14ac:dyDescent="0.4">
      <c r="B568" t="s">
        <v>722</v>
      </c>
      <c r="C568" s="11">
        <v>2475.8000000000002</v>
      </c>
      <c r="D568" s="11"/>
    </row>
    <row r="569" spans="1:4" x14ac:dyDescent="0.4">
      <c r="B569" t="s">
        <v>755</v>
      </c>
      <c r="C569" s="11"/>
      <c r="D569" s="11">
        <v>146.25</v>
      </c>
    </row>
    <row r="570" spans="1:4" x14ac:dyDescent="0.4">
      <c r="B570" t="s">
        <v>741</v>
      </c>
      <c r="C570" s="11">
        <v>299.25</v>
      </c>
      <c r="D570" s="11">
        <v>473.8125</v>
      </c>
    </row>
    <row r="571" spans="1:4" x14ac:dyDescent="0.4">
      <c r="A571" t="s">
        <v>844</v>
      </c>
      <c r="C571" s="11">
        <v>508.46111111111105</v>
      </c>
      <c r="D571" s="11">
        <v>404.13</v>
      </c>
    </row>
    <row r="572" spans="1:4" x14ac:dyDescent="0.4">
      <c r="A572" t="s">
        <v>241</v>
      </c>
      <c r="B572" t="s">
        <v>694</v>
      </c>
      <c r="C572" s="11">
        <v>340</v>
      </c>
      <c r="D572" s="11"/>
    </row>
    <row r="573" spans="1:4" x14ac:dyDescent="0.4">
      <c r="B573" t="s">
        <v>701</v>
      </c>
      <c r="C573" s="11"/>
      <c r="D573" s="11">
        <v>152</v>
      </c>
    </row>
    <row r="574" spans="1:4" x14ac:dyDescent="0.4">
      <c r="B574" t="s">
        <v>716</v>
      </c>
      <c r="C574" s="11"/>
      <c r="D574" s="11">
        <v>646</v>
      </c>
    </row>
    <row r="575" spans="1:4" x14ac:dyDescent="0.4">
      <c r="B575" t="s">
        <v>695</v>
      </c>
      <c r="C575" s="11">
        <v>140</v>
      </c>
      <c r="D575" s="11"/>
    </row>
    <row r="576" spans="1:4" x14ac:dyDescent="0.4">
      <c r="B576" t="s">
        <v>746</v>
      </c>
      <c r="C576" s="11">
        <v>750</v>
      </c>
      <c r="D576" s="11"/>
    </row>
    <row r="577" spans="1:4" x14ac:dyDescent="0.4">
      <c r="B577" t="s">
        <v>724</v>
      </c>
      <c r="C577" s="11">
        <v>620</v>
      </c>
      <c r="D577" s="11"/>
    </row>
    <row r="578" spans="1:4" x14ac:dyDescent="0.4">
      <c r="B578" t="s">
        <v>688</v>
      </c>
      <c r="C578" s="11">
        <v>38.6</v>
      </c>
      <c r="D578" s="11"/>
    </row>
    <row r="579" spans="1:4" x14ac:dyDescent="0.4">
      <c r="B579" t="s">
        <v>721</v>
      </c>
      <c r="C579" s="11">
        <v>360</v>
      </c>
      <c r="D579" s="11"/>
    </row>
    <row r="580" spans="1:4" x14ac:dyDescent="0.4">
      <c r="B580" t="s">
        <v>687</v>
      </c>
      <c r="C580" s="11">
        <v>1484</v>
      </c>
      <c r="D580" s="11"/>
    </row>
    <row r="581" spans="1:4" x14ac:dyDescent="0.4">
      <c r="B581" t="s">
        <v>717</v>
      </c>
      <c r="C581" s="11">
        <v>213.5925</v>
      </c>
      <c r="D581" s="11"/>
    </row>
    <row r="582" spans="1:4" x14ac:dyDescent="0.4">
      <c r="B582" t="s">
        <v>754</v>
      </c>
      <c r="C582" s="11">
        <v>1600</v>
      </c>
      <c r="D582" s="11"/>
    </row>
    <row r="583" spans="1:4" x14ac:dyDescent="0.4">
      <c r="B583" t="s">
        <v>719</v>
      </c>
      <c r="C583" s="11"/>
      <c r="D583" s="11">
        <v>121.60000000000001</v>
      </c>
    </row>
    <row r="584" spans="1:4" x14ac:dyDescent="0.4">
      <c r="B584" t="s">
        <v>704</v>
      </c>
      <c r="C584" s="11">
        <v>880</v>
      </c>
      <c r="D584" s="11"/>
    </row>
    <row r="585" spans="1:4" x14ac:dyDescent="0.4">
      <c r="B585" t="s">
        <v>731</v>
      </c>
      <c r="C585" s="11"/>
      <c r="D585" s="11">
        <v>131.75</v>
      </c>
    </row>
    <row r="586" spans="1:4" x14ac:dyDescent="0.4">
      <c r="B586" t="s">
        <v>684</v>
      </c>
      <c r="C586" s="11">
        <v>280</v>
      </c>
      <c r="D586" s="11">
        <v>224</v>
      </c>
    </row>
    <row r="587" spans="1:4" x14ac:dyDescent="0.4">
      <c r="B587" t="s">
        <v>715</v>
      </c>
      <c r="C587" s="11"/>
      <c r="D587" s="11">
        <v>76.5</v>
      </c>
    </row>
    <row r="588" spans="1:4" x14ac:dyDescent="0.4">
      <c r="B588" t="s">
        <v>752</v>
      </c>
      <c r="C588" s="11">
        <v>142.5</v>
      </c>
      <c r="D588" s="11"/>
    </row>
    <row r="589" spans="1:4" x14ac:dyDescent="0.4">
      <c r="A589" t="s">
        <v>845</v>
      </c>
      <c r="C589" s="11">
        <v>543.25269230769231</v>
      </c>
      <c r="D589" s="11">
        <v>225.30833333333331</v>
      </c>
    </row>
    <row r="590" spans="1:4" x14ac:dyDescent="0.4">
      <c r="A590" t="s">
        <v>248</v>
      </c>
      <c r="B590" t="s">
        <v>694</v>
      </c>
      <c r="C590" s="11"/>
      <c r="D590" s="11">
        <v>510</v>
      </c>
    </row>
    <row r="591" spans="1:4" x14ac:dyDescent="0.4">
      <c r="B591" t="s">
        <v>735</v>
      </c>
      <c r="C591" s="11"/>
      <c r="D591" s="11">
        <v>144</v>
      </c>
    </row>
    <row r="592" spans="1:4" x14ac:dyDescent="0.4">
      <c r="B592" t="s">
        <v>750</v>
      </c>
      <c r="C592" s="11">
        <v>3754.875</v>
      </c>
      <c r="D592" s="11">
        <v>7509.75</v>
      </c>
    </row>
    <row r="593" spans="2:4" x14ac:dyDescent="0.4">
      <c r="B593" t="s">
        <v>725</v>
      </c>
      <c r="C593" s="11">
        <v>306.375</v>
      </c>
      <c r="D593" s="11"/>
    </row>
    <row r="594" spans="2:4" x14ac:dyDescent="0.4">
      <c r="B594" t="s">
        <v>693</v>
      </c>
      <c r="C594" s="11">
        <v>16</v>
      </c>
      <c r="D594" s="11"/>
    </row>
    <row r="595" spans="2:4" x14ac:dyDescent="0.4">
      <c r="B595" t="s">
        <v>716</v>
      </c>
      <c r="C595" s="11">
        <v>532</v>
      </c>
      <c r="D595" s="11"/>
    </row>
    <row r="596" spans="2:4" x14ac:dyDescent="0.4">
      <c r="B596" t="s">
        <v>728</v>
      </c>
      <c r="C596" s="11">
        <v>490.14000000000004</v>
      </c>
      <c r="D596" s="11"/>
    </row>
    <row r="597" spans="2:4" x14ac:dyDescent="0.4">
      <c r="B597" t="s">
        <v>703</v>
      </c>
      <c r="C597" s="11"/>
      <c r="D597" s="11">
        <v>456</v>
      </c>
    </row>
    <row r="598" spans="2:4" x14ac:dyDescent="0.4">
      <c r="B598" t="s">
        <v>685</v>
      </c>
      <c r="C598" s="11">
        <v>313.2</v>
      </c>
      <c r="D598" s="11"/>
    </row>
    <row r="599" spans="2:4" x14ac:dyDescent="0.4">
      <c r="B599" t="s">
        <v>713</v>
      </c>
      <c r="C599" s="11">
        <v>213.75</v>
      </c>
      <c r="D599" s="11"/>
    </row>
    <row r="600" spans="2:4" x14ac:dyDescent="0.4">
      <c r="B600" t="s">
        <v>683</v>
      </c>
      <c r="C600" s="11">
        <v>63</v>
      </c>
      <c r="D600" s="11"/>
    </row>
    <row r="601" spans="2:4" x14ac:dyDescent="0.4">
      <c r="B601" t="s">
        <v>704</v>
      </c>
      <c r="C601" s="11">
        <v>1402.5</v>
      </c>
      <c r="D601" s="11"/>
    </row>
    <row r="602" spans="2:4" x14ac:dyDescent="0.4">
      <c r="B602" t="s">
        <v>710</v>
      </c>
      <c r="C602" s="11">
        <v>108</v>
      </c>
      <c r="D602" s="11">
        <v>200</v>
      </c>
    </row>
    <row r="603" spans="2:4" x14ac:dyDescent="0.4">
      <c r="B603" t="s">
        <v>714</v>
      </c>
      <c r="C603" s="11">
        <v>72</v>
      </c>
      <c r="D603" s="11"/>
    </row>
    <row r="604" spans="2:4" x14ac:dyDescent="0.4">
      <c r="B604" t="s">
        <v>712</v>
      </c>
      <c r="C604" s="11"/>
      <c r="D604" s="11">
        <v>936.69999999999993</v>
      </c>
    </row>
    <row r="605" spans="2:4" x14ac:dyDescent="0.4">
      <c r="B605" t="s">
        <v>732</v>
      </c>
      <c r="C605" s="11">
        <v>248.4</v>
      </c>
      <c r="D605" s="11"/>
    </row>
    <row r="606" spans="2:4" x14ac:dyDescent="0.4">
      <c r="B606" t="s">
        <v>722</v>
      </c>
      <c r="C606" s="11"/>
      <c r="D606" s="11">
        <v>185.685</v>
      </c>
    </row>
    <row r="607" spans="2:4" x14ac:dyDescent="0.4">
      <c r="B607" t="s">
        <v>686</v>
      </c>
      <c r="C607" s="11">
        <v>62.774999999999999</v>
      </c>
      <c r="D607" s="11"/>
    </row>
    <row r="608" spans="2:4" x14ac:dyDescent="0.4">
      <c r="B608" t="s">
        <v>741</v>
      </c>
      <c r="C608" s="11">
        <v>931</v>
      </c>
      <c r="D608" s="11"/>
    </row>
    <row r="609" spans="1:4" x14ac:dyDescent="0.4">
      <c r="B609" t="s">
        <v>752</v>
      </c>
      <c r="C609" s="11">
        <v>51.300000000000004</v>
      </c>
      <c r="D609" s="11"/>
    </row>
    <row r="610" spans="1:4" x14ac:dyDescent="0.4">
      <c r="A610" t="s">
        <v>846</v>
      </c>
      <c r="C610" s="11">
        <v>571.02099999999996</v>
      </c>
      <c r="D610" s="11">
        <v>1420.3050000000001</v>
      </c>
    </row>
    <row r="611" spans="1:4" x14ac:dyDescent="0.4">
      <c r="A611" t="s">
        <v>256</v>
      </c>
      <c r="B611" t="s">
        <v>724</v>
      </c>
      <c r="C611" s="11"/>
      <c r="D611" s="11">
        <v>310</v>
      </c>
    </row>
    <row r="612" spans="1:4" x14ac:dyDescent="0.4">
      <c r="B612" t="s">
        <v>685</v>
      </c>
      <c r="C612" s="11">
        <v>111.2</v>
      </c>
      <c r="D612" s="11"/>
    </row>
    <row r="613" spans="1:4" x14ac:dyDescent="0.4">
      <c r="B613" t="s">
        <v>731</v>
      </c>
      <c r="C613" s="11"/>
      <c r="D613" s="11">
        <v>77.5</v>
      </c>
    </row>
    <row r="614" spans="1:4" x14ac:dyDescent="0.4">
      <c r="B614" t="s">
        <v>722</v>
      </c>
      <c r="C614" s="11">
        <v>990</v>
      </c>
      <c r="D614" s="11"/>
    </row>
    <row r="615" spans="1:4" x14ac:dyDescent="0.4">
      <c r="A615" t="s">
        <v>847</v>
      </c>
      <c r="C615" s="11">
        <v>550.6</v>
      </c>
      <c r="D615" s="11">
        <v>193.75</v>
      </c>
    </row>
    <row r="616" spans="1:4" x14ac:dyDescent="0.4">
      <c r="A616" t="s">
        <v>265</v>
      </c>
      <c r="B616" t="s">
        <v>718</v>
      </c>
      <c r="C616" s="11"/>
      <c r="D616" s="11">
        <v>585</v>
      </c>
    </row>
    <row r="617" spans="1:4" x14ac:dyDescent="0.4">
      <c r="B617" t="s">
        <v>742</v>
      </c>
      <c r="C617" s="11">
        <v>1250</v>
      </c>
      <c r="D617" s="11"/>
    </row>
    <row r="618" spans="1:4" x14ac:dyDescent="0.4">
      <c r="B618" t="s">
        <v>696</v>
      </c>
      <c r="C618" s="11">
        <v>604.80000000000007</v>
      </c>
      <c r="D618" s="11"/>
    </row>
    <row r="619" spans="1:4" x14ac:dyDescent="0.4">
      <c r="B619" t="s">
        <v>750</v>
      </c>
      <c r="C619" s="11">
        <v>948.6</v>
      </c>
      <c r="D619" s="11">
        <v>8563.75</v>
      </c>
    </row>
    <row r="620" spans="1:4" x14ac:dyDescent="0.4">
      <c r="B620" t="s">
        <v>748</v>
      </c>
      <c r="C620" s="11"/>
      <c r="D620" s="11">
        <v>71.399999999999991</v>
      </c>
    </row>
    <row r="621" spans="1:4" x14ac:dyDescent="0.4">
      <c r="B621" t="s">
        <v>725</v>
      </c>
      <c r="C621" s="11">
        <v>174.15</v>
      </c>
      <c r="D621" s="11"/>
    </row>
    <row r="622" spans="1:4" x14ac:dyDescent="0.4">
      <c r="B622" t="s">
        <v>716</v>
      </c>
      <c r="C622" s="11">
        <v>570</v>
      </c>
      <c r="D622" s="11"/>
    </row>
    <row r="623" spans="1:4" x14ac:dyDescent="0.4">
      <c r="B623" t="s">
        <v>695</v>
      </c>
      <c r="C623" s="11">
        <v>200</v>
      </c>
      <c r="D623" s="11">
        <v>281.25</v>
      </c>
    </row>
    <row r="624" spans="1:4" x14ac:dyDescent="0.4">
      <c r="B624" t="s">
        <v>698</v>
      </c>
      <c r="C624" s="11">
        <v>141.75</v>
      </c>
      <c r="D624" s="11">
        <v>157.5</v>
      </c>
    </row>
    <row r="625" spans="1:4" x14ac:dyDescent="0.4">
      <c r="B625" t="s">
        <v>743</v>
      </c>
      <c r="C625" s="11"/>
      <c r="D625" s="11">
        <v>1080</v>
      </c>
    </row>
    <row r="626" spans="1:4" x14ac:dyDescent="0.4">
      <c r="B626" t="s">
        <v>724</v>
      </c>
      <c r="C626" s="11"/>
      <c r="D626" s="11">
        <v>2170</v>
      </c>
    </row>
    <row r="627" spans="1:4" x14ac:dyDescent="0.4">
      <c r="B627" t="s">
        <v>703</v>
      </c>
      <c r="C627" s="11">
        <v>285</v>
      </c>
      <c r="D627" s="11">
        <v>403.75</v>
      </c>
    </row>
    <row r="628" spans="1:4" x14ac:dyDescent="0.4">
      <c r="B628" t="s">
        <v>723</v>
      </c>
      <c r="C628" s="11"/>
      <c r="D628" s="11">
        <v>1104</v>
      </c>
    </row>
    <row r="629" spans="1:4" x14ac:dyDescent="0.4">
      <c r="B629" t="s">
        <v>688</v>
      </c>
      <c r="C629" s="11">
        <v>77</v>
      </c>
      <c r="D629" s="11"/>
    </row>
    <row r="630" spans="1:4" x14ac:dyDescent="0.4">
      <c r="B630" t="s">
        <v>726</v>
      </c>
      <c r="C630" s="11"/>
      <c r="D630" s="11">
        <v>240</v>
      </c>
    </row>
    <row r="631" spans="1:4" x14ac:dyDescent="0.4">
      <c r="B631" t="s">
        <v>689</v>
      </c>
      <c r="C631" s="11">
        <v>448.11</v>
      </c>
      <c r="D631" s="11">
        <v>442.05</v>
      </c>
    </row>
    <row r="632" spans="1:4" x14ac:dyDescent="0.4">
      <c r="B632" t="s">
        <v>687</v>
      </c>
      <c r="C632" s="11">
        <v>1261.3999999999999</v>
      </c>
      <c r="D632" s="11"/>
    </row>
    <row r="633" spans="1:4" x14ac:dyDescent="0.4">
      <c r="B633" t="s">
        <v>697</v>
      </c>
      <c r="C633" s="11">
        <v>640</v>
      </c>
      <c r="D633" s="11"/>
    </row>
    <row r="634" spans="1:4" x14ac:dyDescent="0.4">
      <c r="B634" t="s">
        <v>706</v>
      </c>
      <c r="C634" s="11">
        <v>292.5</v>
      </c>
      <c r="D634" s="11">
        <v>520</v>
      </c>
    </row>
    <row r="635" spans="1:4" x14ac:dyDescent="0.4">
      <c r="B635" t="s">
        <v>683</v>
      </c>
      <c r="C635" s="11"/>
      <c r="D635" s="11">
        <v>236.25</v>
      </c>
    </row>
    <row r="636" spans="1:4" x14ac:dyDescent="0.4">
      <c r="B636" t="s">
        <v>739</v>
      </c>
      <c r="C636" s="11"/>
      <c r="D636" s="11">
        <v>250</v>
      </c>
    </row>
    <row r="637" spans="1:4" x14ac:dyDescent="0.4">
      <c r="B637" t="s">
        <v>758</v>
      </c>
      <c r="C637" s="11"/>
      <c r="D637" s="11">
        <v>228</v>
      </c>
    </row>
    <row r="638" spans="1:4" x14ac:dyDescent="0.4">
      <c r="B638" t="s">
        <v>732</v>
      </c>
      <c r="C638" s="11"/>
      <c r="D638" s="11">
        <v>322</v>
      </c>
    </row>
    <row r="639" spans="1:4" x14ac:dyDescent="0.4">
      <c r="A639" t="s">
        <v>848</v>
      </c>
      <c r="C639" s="11">
        <v>524.38714285714286</v>
      </c>
      <c r="D639" s="11">
        <v>1416.663888888889</v>
      </c>
    </row>
    <row r="640" spans="1:4" x14ac:dyDescent="0.4">
      <c r="A640" t="s">
        <v>274</v>
      </c>
      <c r="B640" t="s">
        <v>720</v>
      </c>
      <c r="C640" s="11">
        <v>598</v>
      </c>
      <c r="D640" s="11"/>
    </row>
    <row r="641" spans="2:4" x14ac:dyDescent="0.4">
      <c r="B641" t="s">
        <v>735</v>
      </c>
      <c r="C641" s="11"/>
      <c r="D641" s="11">
        <v>306</v>
      </c>
    </row>
    <row r="642" spans="2:4" x14ac:dyDescent="0.4">
      <c r="B642" t="s">
        <v>701</v>
      </c>
      <c r="C642" s="11">
        <v>950</v>
      </c>
      <c r="D642" s="11"/>
    </row>
    <row r="643" spans="2:4" x14ac:dyDescent="0.4">
      <c r="B643" t="s">
        <v>696</v>
      </c>
      <c r="C643" s="11">
        <v>86.4</v>
      </c>
      <c r="D643" s="11"/>
    </row>
    <row r="644" spans="2:4" x14ac:dyDescent="0.4">
      <c r="B644" t="s">
        <v>747</v>
      </c>
      <c r="C644" s="11"/>
      <c r="D644" s="11">
        <v>135.15</v>
      </c>
    </row>
    <row r="645" spans="2:4" x14ac:dyDescent="0.4">
      <c r="B645" t="s">
        <v>725</v>
      </c>
      <c r="C645" s="11"/>
      <c r="D645" s="11">
        <v>645</v>
      </c>
    </row>
    <row r="646" spans="2:4" x14ac:dyDescent="0.4">
      <c r="B646" t="s">
        <v>695</v>
      </c>
      <c r="C646" s="11">
        <v>250</v>
      </c>
      <c r="D646" s="11"/>
    </row>
    <row r="647" spans="2:4" x14ac:dyDescent="0.4">
      <c r="B647" t="s">
        <v>698</v>
      </c>
      <c r="C647" s="11">
        <v>63</v>
      </c>
      <c r="D647" s="11">
        <v>50.625</v>
      </c>
    </row>
    <row r="648" spans="2:4" x14ac:dyDescent="0.4">
      <c r="B648" t="s">
        <v>743</v>
      </c>
      <c r="C648" s="11">
        <v>439.2</v>
      </c>
      <c r="D648" s="11">
        <v>691.2</v>
      </c>
    </row>
    <row r="649" spans="2:4" x14ac:dyDescent="0.4">
      <c r="B649" t="s">
        <v>728</v>
      </c>
      <c r="C649" s="11"/>
      <c r="D649" s="11">
        <v>194.5</v>
      </c>
    </row>
    <row r="650" spans="2:4" x14ac:dyDescent="0.4">
      <c r="B650" t="s">
        <v>751</v>
      </c>
      <c r="C650" s="11"/>
      <c r="D650" s="11">
        <v>524.6640000000001</v>
      </c>
    </row>
    <row r="651" spans="2:4" x14ac:dyDescent="0.4">
      <c r="B651" t="s">
        <v>688</v>
      </c>
      <c r="C651" s="11"/>
      <c r="D651" s="11">
        <v>260.55</v>
      </c>
    </row>
    <row r="652" spans="2:4" x14ac:dyDescent="0.4">
      <c r="B652" t="s">
        <v>726</v>
      </c>
      <c r="C652" s="11">
        <v>201.6</v>
      </c>
      <c r="D652" s="11"/>
    </row>
    <row r="653" spans="2:4" x14ac:dyDescent="0.4">
      <c r="B653" t="s">
        <v>700</v>
      </c>
      <c r="C653" s="11">
        <v>128</v>
      </c>
      <c r="D653" s="11"/>
    </row>
    <row r="654" spans="2:4" x14ac:dyDescent="0.4">
      <c r="B654" t="s">
        <v>687</v>
      </c>
      <c r="C654" s="11">
        <v>1060</v>
      </c>
      <c r="D654" s="11">
        <v>1060</v>
      </c>
    </row>
    <row r="655" spans="2:4" x14ac:dyDescent="0.4">
      <c r="B655" t="s">
        <v>709</v>
      </c>
      <c r="C655" s="11">
        <v>128</v>
      </c>
      <c r="D655" s="11"/>
    </row>
    <row r="656" spans="2:4" x14ac:dyDescent="0.4">
      <c r="B656" t="s">
        <v>717</v>
      </c>
      <c r="C656" s="11"/>
      <c r="D656" s="11">
        <v>776.7</v>
      </c>
    </row>
    <row r="657" spans="2:4" x14ac:dyDescent="0.4">
      <c r="B657" t="s">
        <v>749</v>
      </c>
      <c r="C657" s="11"/>
      <c r="D657" s="11">
        <v>210</v>
      </c>
    </row>
    <row r="658" spans="2:4" x14ac:dyDescent="0.4">
      <c r="B658" t="s">
        <v>706</v>
      </c>
      <c r="C658" s="11">
        <v>156</v>
      </c>
      <c r="D658" s="11"/>
    </row>
    <row r="659" spans="2:4" x14ac:dyDescent="0.4">
      <c r="B659" t="s">
        <v>713</v>
      </c>
      <c r="C659" s="11">
        <v>144</v>
      </c>
      <c r="D659" s="11"/>
    </row>
    <row r="660" spans="2:4" x14ac:dyDescent="0.4">
      <c r="B660" t="s">
        <v>699</v>
      </c>
      <c r="C660" s="11">
        <v>36.479999999999997</v>
      </c>
      <c r="D660" s="11"/>
    </row>
    <row r="661" spans="2:4" x14ac:dyDescent="0.4">
      <c r="B661" t="s">
        <v>705</v>
      </c>
      <c r="C661" s="11">
        <v>1650.6000000000001</v>
      </c>
      <c r="D661" s="11"/>
    </row>
    <row r="662" spans="2:4" x14ac:dyDescent="0.4">
      <c r="B662" t="s">
        <v>683</v>
      </c>
      <c r="C662" s="11">
        <v>84</v>
      </c>
      <c r="D662" s="11"/>
    </row>
    <row r="663" spans="2:4" x14ac:dyDescent="0.4">
      <c r="B663" t="s">
        <v>704</v>
      </c>
      <c r="C663" s="11">
        <v>2282.5</v>
      </c>
      <c r="D663" s="11"/>
    </row>
    <row r="664" spans="2:4" x14ac:dyDescent="0.4">
      <c r="B664" t="s">
        <v>691</v>
      </c>
      <c r="C664" s="11"/>
      <c r="D664" s="11">
        <v>390</v>
      </c>
    </row>
    <row r="665" spans="2:4" x14ac:dyDescent="0.4">
      <c r="B665" t="s">
        <v>731</v>
      </c>
      <c r="C665" s="11">
        <v>255.23333333333335</v>
      </c>
      <c r="D665" s="11"/>
    </row>
    <row r="666" spans="2:4" x14ac:dyDescent="0.4">
      <c r="B666" t="s">
        <v>727</v>
      </c>
      <c r="C666" s="11"/>
      <c r="D666" s="11">
        <v>912</v>
      </c>
    </row>
    <row r="667" spans="2:4" x14ac:dyDescent="0.4">
      <c r="B667" t="s">
        <v>707</v>
      </c>
      <c r="C667" s="11">
        <v>877.5</v>
      </c>
      <c r="D667" s="11"/>
    </row>
    <row r="668" spans="2:4" x14ac:dyDescent="0.4">
      <c r="B668" t="s">
        <v>739</v>
      </c>
      <c r="C668" s="11">
        <v>300</v>
      </c>
      <c r="D668" s="11"/>
    </row>
    <row r="669" spans="2:4" x14ac:dyDescent="0.4">
      <c r="B669" t="s">
        <v>684</v>
      </c>
      <c r="C669" s="11">
        <v>420</v>
      </c>
      <c r="D669" s="11"/>
    </row>
    <row r="670" spans="2:4" x14ac:dyDescent="0.4">
      <c r="B670" t="s">
        <v>737</v>
      </c>
      <c r="C670" s="11">
        <v>241.92000000000002</v>
      </c>
      <c r="D670" s="11"/>
    </row>
    <row r="671" spans="2:4" x14ac:dyDescent="0.4">
      <c r="B671" t="s">
        <v>714</v>
      </c>
      <c r="C671" s="11"/>
      <c r="D671" s="11">
        <v>720</v>
      </c>
    </row>
    <row r="672" spans="2:4" x14ac:dyDescent="0.4">
      <c r="B672" t="s">
        <v>741</v>
      </c>
      <c r="C672" s="11"/>
      <c r="D672" s="11">
        <v>598.5</v>
      </c>
    </row>
    <row r="673" spans="1:4" x14ac:dyDescent="0.4">
      <c r="A673" t="s">
        <v>849</v>
      </c>
      <c r="C673" s="11">
        <v>532.74814814814818</v>
      </c>
      <c r="D673" s="11">
        <v>465.80911111111112</v>
      </c>
    </row>
    <row r="674" spans="1:4" x14ac:dyDescent="0.4">
      <c r="A674" t="s">
        <v>282</v>
      </c>
      <c r="B674" t="s">
        <v>718</v>
      </c>
      <c r="C674" s="11">
        <v>62.4</v>
      </c>
      <c r="D674" s="11"/>
    </row>
    <row r="675" spans="1:4" x14ac:dyDescent="0.4">
      <c r="B675" t="s">
        <v>693</v>
      </c>
      <c r="C675" s="11">
        <v>40</v>
      </c>
      <c r="D675" s="11"/>
    </row>
    <row r="676" spans="1:4" x14ac:dyDescent="0.4">
      <c r="B676" t="s">
        <v>726</v>
      </c>
      <c r="C676" s="11">
        <v>48</v>
      </c>
      <c r="D676" s="11"/>
    </row>
    <row r="677" spans="1:4" x14ac:dyDescent="0.4">
      <c r="B677" t="s">
        <v>730</v>
      </c>
      <c r="C677" s="11">
        <v>450</v>
      </c>
      <c r="D677" s="11"/>
    </row>
    <row r="678" spans="1:4" x14ac:dyDescent="0.4">
      <c r="B678" t="s">
        <v>692</v>
      </c>
      <c r="C678" s="11">
        <v>1701</v>
      </c>
      <c r="D678" s="11"/>
    </row>
    <row r="679" spans="1:4" x14ac:dyDescent="0.4">
      <c r="B679" t="s">
        <v>712</v>
      </c>
      <c r="C679" s="11">
        <v>394</v>
      </c>
      <c r="D679" s="11"/>
    </row>
    <row r="680" spans="1:4" x14ac:dyDescent="0.4">
      <c r="B680" t="s">
        <v>686</v>
      </c>
      <c r="C680" s="11">
        <v>279</v>
      </c>
      <c r="D680" s="11"/>
    </row>
    <row r="681" spans="1:4" x14ac:dyDescent="0.4">
      <c r="B681" t="s">
        <v>738</v>
      </c>
      <c r="C681" s="11">
        <v>44.4</v>
      </c>
      <c r="D681" s="11"/>
    </row>
    <row r="682" spans="1:4" x14ac:dyDescent="0.4">
      <c r="A682" t="s">
        <v>850</v>
      </c>
      <c r="C682" s="11">
        <v>340.35555555555561</v>
      </c>
      <c r="D682" s="11"/>
    </row>
    <row r="683" spans="1:4" x14ac:dyDescent="0.4">
      <c r="A683" t="s">
        <v>289</v>
      </c>
      <c r="B683" t="s">
        <v>720</v>
      </c>
      <c r="C683" s="11"/>
      <c r="D683" s="11">
        <v>662.4</v>
      </c>
    </row>
    <row r="684" spans="1:4" x14ac:dyDescent="0.4">
      <c r="B684" t="s">
        <v>694</v>
      </c>
      <c r="C684" s="11">
        <v>146.88</v>
      </c>
      <c r="D684" s="11"/>
    </row>
    <row r="685" spans="1:4" x14ac:dyDescent="0.4">
      <c r="B685" t="s">
        <v>742</v>
      </c>
      <c r="C685" s="11">
        <v>1406.25</v>
      </c>
      <c r="D685" s="11">
        <v>450</v>
      </c>
    </row>
    <row r="686" spans="1:4" x14ac:dyDescent="0.4">
      <c r="B686" t="s">
        <v>735</v>
      </c>
      <c r="C686" s="11">
        <v>202.5</v>
      </c>
      <c r="D686" s="11"/>
    </row>
    <row r="687" spans="1:4" x14ac:dyDescent="0.4">
      <c r="B687" t="s">
        <v>701</v>
      </c>
      <c r="C687" s="11">
        <v>346.56</v>
      </c>
      <c r="D687" s="11"/>
    </row>
    <row r="688" spans="1:4" x14ac:dyDescent="0.4">
      <c r="B688" t="s">
        <v>696</v>
      </c>
      <c r="C688" s="11">
        <v>43.2</v>
      </c>
      <c r="D688" s="11"/>
    </row>
    <row r="689" spans="2:4" x14ac:dyDescent="0.4">
      <c r="B689" t="s">
        <v>745</v>
      </c>
      <c r="C689" s="11">
        <v>352</v>
      </c>
      <c r="D689" s="11"/>
    </row>
    <row r="690" spans="2:4" x14ac:dyDescent="0.4">
      <c r="B690" t="s">
        <v>747</v>
      </c>
      <c r="C690" s="11">
        <v>598.90000000000009</v>
      </c>
      <c r="D690" s="11"/>
    </row>
    <row r="691" spans="2:4" x14ac:dyDescent="0.4">
      <c r="B691" t="s">
        <v>725</v>
      </c>
      <c r="C691" s="11">
        <v>397.21249999999998</v>
      </c>
      <c r="D691" s="11"/>
    </row>
    <row r="692" spans="2:4" x14ac:dyDescent="0.4">
      <c r="B692" t="s">
        <v>716</v>
      </c>
      <c r="C692" s="11">
        <v>1140</v>
      </c>
      <c r="D692" s="11"/>
    </row>
    <row r="693" spans="2:4" x14ac:dyDescent="0.4">
      <c r="B693" t="s">
        <v>695</v>
      </c>
      <c r="C693" s="11">
        <v>400</v>
      </c>
      <c r="D693" s="11"/>
    </row>
    <row r="694" spans="2:4" x14ac:dyDescent="0.4">
      <c r="B694" t="s">
        <v>746</v>
      </c>
      <c r="C694" s="11">
        <v>600</v>
      </c>
      <c r="D694" s="11"/>
    </row>
    <row r="695" spans="2:4" x14ac:dyDescent="0.4">
      <c r="B695" t="s">
        <v>724</v>
      </c>
      <c r="C695" s="11">
        <v>418.5</v>
      </c>
      <c r="D695" s="11"/>
    </row>
    <row r="696" spans="2:4" x14ac:dyDescent="0.4">
      <c r="B696" t="s">
        <v>703</v>
      </c>
      <c r="C696" s="11">
        <v>270.75</v>
      </c>
      <c r="D696" s="11"/>
    </row>
    <row r="697" spans="2:4" x14ac:dyDescent="0.4">
      <c r="B697" t="s">
        <v>723</v>
      </c>
      <c r="C697" s="11">
        <v>736</v>
      </c>
      <c r="D697" s="11"/>
    </row>
    <row r="698" spans="2:4" x14ac:dyDescent="0.4">
      <c r="B698" t="s">
        <v>688</v>
      </c>
      <c r="C698" s="11">
        <v>694.80000000000007</v>
      </c>
      <c r="D698" s="11">
        <v>260.55</v>
      </c>
    </row>
    <row r="699" spans="2:4" x14ac:dyDescent="0.4">
      <c r="B699" t="s">
        <v>721</v>
      </c>
      <c r="C699" s="11">
        <v>535.5</v>
      </c>
      <c r="D699" s="11"/>
    </row>
    <row r="700" spans="2:4" x14ac:dyDescent="0.4">
      <c r="B700" t="s">
        <v>689</v>
      </c>
      <c r="C700" s="11">
        <v>631.5</v>
      </c>
      <c r="D700" s="11"/>
    </row>
    <row r="701" spans="2:4" x14ac:dyDescent="0.4">
      <c r="B701" t="s">
        <v>687</v>
      </c>
      <c r="C701" s="11">
        <v>893.57999999999993</v>
      </c>
      <c r="D701" s="11"/>
    </row>
    <row r="702" spans="2:4" x14ac:dyDescent="0.4">
      <c r="B702" t="s">
        <v>709</v>
      </c>
      <c r="C702" s="11">
        <v>122.88000000000002</v>
      </c>
      <c r="D702" s="11">
        <v>1008</v>
      </c>
    </row>
    <row r="703" spans="2:4" x14ac:dyDescent="0.4">
      <c r="B703" t="s">
        <v>759</v>
      </c>
      <c r="C703" s="11">
        <v>3637.5</v>
      </c>
      <c r="D703" s="11"/>
    </row>
    <row r="704" spans="2:4" x14ac:dyDescent="0.4">
      <c r="B704" t="s">
        <v>717</v>
      </c>
      <c r="C704" s="11">
        <v>335.34</v>
      </c>
      <c r="D704" s="11">
        <v>932.04</v>
      </c>
    </row>
    <row r="705" spans="1:4" x14ac:dyDescent="0.4">
      <c r="B705" t="s">
        <v>706</v>
      </c>
      <c r="C705" s="11">
        <v>341.25</v>
      </c>
      <c r="D705" s="11"/>
    </row>
    <row r="706" spans="1:4" x14ac:dyDescent="0.4">
      <c r="B706" t="s">
        <v>713</v>
      </c>
      <c r="C706" s="11">
        <v>360</v>
      </c>
      <c r="D706" s="11"/>
    </row>
    <row r="707" spans="1:4" x14ac:dyDescent="0.4">
      <c r="B707" t="s">
        <v>702</v>
      </c>
      <c r="C707" s="11"/>
      <c r="D707" s="11">
        <v>565.38</v>
      </c>
    </row>
    <row r="708" spans="1:4" x14ac:dyDescent="0.4">
      <c r="B708" t="s">
        <v>705</v>
      </c>
      <c r="C708" s="11">
        <v>282.54000000000002</v>
      </c>
      <c r="D708" s="11"/>
    </row>
    <row r="709" spans="1:4" x14ac:dyDescent="0.4">
      <c r="B709" t="s">
        <v>683</v>
      </c>
      <c r="C709" s="11"/>
      <c r="D709" s="11">
        <v>630</v>
      </c>
    </row>
    <row r="710" spans="1:4" x14ac:dyDescent="0.4">
      <c r="B710" t="s">
        <v>704</v>
      </c>
      <c r="C710" s="11">
        <v>1571.1666666666667</v>
      </c>
      <c r="D710" s="11"/>
    </row>
    <row r="711" spans="1:4" x14ac:dyDescent="0.4">
      <c r="B711" t="s">
        <v>731</v>
      </c>
      <c r="C711" s="11">
        <v>155</v>
      </c>
      <c r="D711" s="11"/>
    </row>
    <row r="712" spans="1:4" x14ac:dyDescent="0.4">
      <c r="B712" t="s">
        <v>736</v>
      </c>
      <c r="C712" s="11"/>
      <c r="D712" s="11">
        <v>420</v>
      </c>
    </row>
    <row r="713" spans="1:4" x14ac:dyDescent="0.4">
      <c r="B713" t="s">
        <v>684</v>
      </c>
      <c r="C713" s="11">
        <v>151.19999999999999</v>
      </c>
      <c r="D713" s="11"/>
    </row>
    <row r="714" spans="1:4" x14ac:dyDescent="0.4">
      <c r="B714" t="s">
        <v>712</v>
      </c>
      <c r="C714" s="11">
        <v>591</v>
      </c>
      <c r="D714" s="11"/>
    </row>
    <row r="715" spans="1:4" x14ac:dyDescent="0.4">
      <c r="B715" t="s">
        <v>722</v>
      </c>
      <c r="C715" s="11">
        <v>1237.9000000000001</v>
      </c>
      <c r="D715" s="11">
        <v>7736.875</v>
      </c>
    </row>
    <row r="716" spans="1:4" x14ac:dyDescent="0.4">
      <c r="B716" t="s">
        <v>686</v>
      </c>
      <c r="C716" s="11">
        <v>1627.5</v>
      </c>
      <c r="D716" s="11"/>
    </row>
    <row r="717" spans="1:4" x14ac:dyDescent="0.4">
      <c r="B717" t="s">
        <v>755</v>
      </c>
      <c r="C717" s="11">
        <v>520</v>
      </c>
      <c r="D717" s="11"/>
    </row>
    <row r="718" spans="1:4" x14ac:dyDescent="0.4">
      <c r="B718" t="s">
        <v>729</v>
      </c>
      <c r="C718" s="11">
        <v>921.375</v>
      </c>
      <c r="D718" s="11"/>
    </row>
    <row r="719" spans="1:4" x14ac:dyDescent="0.4">
      <c r="A719" t="s">
        <v>851</v>
      </c>
      <c r="C719" s="11">
        <v>657.28411111111109</v>
      </c>
      <c r="D719" s="11">
        <v>2040.212</v>
      </c>
    </row>
    <row r="720" spans="1:4" x14ac:dyDescent="0.4">
      <c r="A720" t="s">
        <v>298</v>
      </c>
      <c r="B720" t="s">
        <v>694</v>
      </c>
      <c r="C720" s="11"/>
      <c r="D720" s="11">
        <v>714</v>
      </c>
    </row>
    <row r="721" spans="2:4" x14ac:dyDescent="0.4">
      <c r="B721" t="s">
        <v>701</v>
      </c>
      <c r="C721" s="11"/>
      <c r="D721" s="11">
        <v>190</v>
      </c>
    </row>
    <row r="722" spans="2:4" x14ac:dyDescent="0.4">
      <c r="B722" t="s">
        <v>725</v>
      </c>
      <c r="C722" s="11">
        <v>264.45</v>
      </c>
      <c r="D722" s="11"/>
    </row>
    <row r="723" spans="2:4" x14ac:dyDescent="0.4">
      <c r="B723" t="s">
        <v>693</v>
      </c>
      <c r="C723" s="11">
        <v>24</v>
      </c>
      <c r="D723" s="11"/>
    </row>
    <row r="724" spans="2:4" x14ac:dyDescent="0.4">
      <c r="B724" t="s">
        <v>716</v>
      </c>
      <c r="C724" s="11">
        <v>570</v>
      </c>
      <c r="D724" s="11"/>
    </row>
    <row r="725" spans="2:4" x14ac:dyDescent="0.4">
      <c r="B725" t="s">
        <v>688</v>
      </c>
      <c r="C725" s="11">
        <v>154</v>
      </c>
      <c r="D725" s="11"/>
    </row>
    <row r="726" spans="2:4" x14ac:dyDescent="0.4">
      <c r="B726" t="s">
        <v>726</v>
      </c>
      <c r="C726" s="11"/>
      <c r="D726" s="11">
        <v>60</v>
      </c>
    </row>
    <row r="727" spans="2:4" x14ac:dyDescent="0.4">
      <c r="B727" t="s">
        <v>721</v>
      </c>
      <c r="C727" s="11">
        <v>133.19999999999999</v>
      </c>
      <c r="D727" s="11"/>
    </row>
    <row r="728" spans="2:4" x14ac:dyDescent="0.4">
      <c r="B728" t="s">
        <v>685</v>
      </c>
      <c r="C728" s="11"/>
      <c r="D728" s="11">
        <v>348</v>
      </c>
    </row>
    <row r="729" spans="2:4" x14ac:dyDescent="0.4">
      <c r="B729" t="s">
        <v>754</v>
      </c>
      <c r="C729" s="11"/>
      <c r="D729" s="11">
        <v>800</v>
      </c>
    </row>
    <row r="730" spans="2:4" x14ac:dyDescent="0.4">
      <c r="B730" t="s">
        <v>713</v>
      </c>
      <c r="C730" s="11">
        <v>330</v>
      </c>
      <c r="D730" s="11"/>
    </row>
    <row r="731" spans="2:4" x14ac:dyDescent="0.4">
      <c r="B731" t="s">
        <v>705</v>
      </c>
      <c r="C731" s="11"/>
      <c r="D731" s="11">
        <v>65.599999999999994</v>
      </c>
    </row>
    <row r="732" spans="2:4" x14ac:dyDescent="0.4">
      <c r="B732" t="s">
        <v>704</v>
      </c>
      <c r="C732" s="11">
        <v>330</v>
      </c>
      <c r="D732" s="11"/>
    </row>
    <row r="733" spans="2:4" x14ac:dyDescent="0.4">
      <c r="B733" t="s">
        <v>736</v>
      </c>
      <c r="C733" s="11">
        <v>156.79999999999998</v>
      </c>
      <c r="D733" s="11"/>
    </row>
    <row r="734" spans="2:4" x14ac:dyDescent="0.4">
      <c r="B734" t="s">
        <v>758</v>
      </c>
      <c r="C734" s="11"/>
      <c r="D734" s="11">
        <v>855</v>
      </c>
    </row>
    <row r="735" spans="2:4" x14ac:dyDescent="0.4">
      <c r="B735" t="s">
        <v>714</v>
      </c>
      <c r="C735" s="11">
        <v>144</v>
      </c>
      <c r="D735" s="11"/>
    </row>
    <row r="736" spans="2:4" x14ac:dyDescent="0.4">
      <c r="B736" t="s">
        <v>712</v>
      </c>
      <c r="C736" s="11"/>
      <c r="D736" s="11">
        <v>98.6</v>
      </c>
    </row>
    <row r="737" spans="1:4" x14ac:dyDescent="0.4">
      <c r="B737" t="s">
        <v>732</v>
      </c>
      <c r="C737" s="11">
        <v>46</v>
      </c>
      <c r="D737" s="11"/>
    </row>
    <row r="738" spans="1:4" x14ac:dyDescent="0.4">
      <c r="B738" t="s">
        <v>753</v>
      </c>
      <c r="C738" s="11">
        <v>67.5</v>
      </c>
      <c r="D738" s="11"/>
    </row>
    <row r="739" spans="1:4" x14ac:dyDescent="0.4">
      <c r="A739" t="s">
        <v>852</v>
      </c>
      <c r="C739" s="11">
        <v>201.00666666666669</v>
      </c>
      <c r="D739" s="11">
        <v>391.4</v>
      </c>
    </row>
    <row r="740" spans="1:4" x14ac:dyDescent="0.4">
      <c r="A740" t="s">
        <v>306</v>
      </c>
      <c r="B740" t="s">
        <v>740</v>
      </c>
      <c r="C740" s="11"/>
      <c r="D740" s="11">
        <v>490</v>
      </c>
    </row>
    <row r="741" spans="1:4" x14ac:dyDescent="0.4">
      <c r="B741" t="s">
        <v>720</v>
      </c>
      <c r="C741" s="11"/>
      <c r="D741" s="11">
        <v>938.4</v>
      </c>
    </row>
    <row r="742" spans="1:4" x14ac:dyDescent="0.4">
      <c r="B742" t="s">
        <v>696</v>
      </c>
      <c r="C742" s="11">
        <v>57.6</v>
      </c>
      <c r="D742" s="11"/>
    </row>
    <row r="743" spans="1:4" x14ac:dyDescent="0.4">
      <c r="B743" t="s">
        <v>750</v>
      </c>
      <c r="C743" s="11"/>
      <c r="D743" s="11">
        <v>7905</v>
      </c>
    </row>
    <row r="744" spans="1:4" x14ac:dyDescent="0.4">
      <c r="B744" t="s">
        <v>733</v>
      </c>
      <c r="C744" s="11">
        <v>62</v>
      </c>
      <c r="D744" s="11"/>
    </row>
    <row r="745" spans="1:4" x14ac:dyDescent="0.4">
      <c r="B745" t="s">
        <v>695</v>
      </c>
      <c r="C745" s="11">
        <v>40</v>
      </c>
      <c r="D745" s="11"/>
    </row>
    <row r="746" spans="1:4" x14ac:dyDescent="0.4">
      <c r="B746" t="s">
        <v>746</v>
      </c>
      <c r="C746" s="11">
        <v>120</v>
      </c>
      <c r="D746" s="11"/>
    </row>
    <row r="747" spans="1:4" x14ac:dyDescent="0.4">
      <c r="B747" t="s">
        <v>698</v>
      </c>
      <c r="C747" s="11"/>
      <c r="D747" s="11">
        <v>60.75</v>
      </c>
    </row>
    <row r="748" spans="1:4" x14ac:dyDescent="0.4">
      <c r="B748" t="s">
        <v>751</v>
      </c>
      <c r="C748" s="11"/>
      <c r="D748" s="11">
        <v>769.81949999999995</v>
      </c>
    </row>
    <row r="749" spans="1:4" x14ac:dyDescent="0.4">
      <c r="B749" t="s">
        <v>703</v>
      </c>
      <c r="C749" s="11">
        <v>760</v>
      </c>
      <c r="D749" s="11">
        <v>380</v>
      </c>
    </row>
    <row r="750" spans="1:4" x14ac:dyDescent="0.4">
      <c r="B750" t="s">
        <v>723</v>
      </c>
      <c r="C750" s="11">
        <v>552</v>
      </c>
      <c r="D750" s="11"/>
    </row>
    <row r="751" spans="1:4" x14ac:dyDescent="0.4">
      <c r="B751" t="s">
        <v>726</v>
      </c>
      <c r="C751" s="11">
        <v>57.599999999999994</v>
      </c>
      <c r="D751" s="11">
        <v>102</v>
      </c>
    </row>
    <row r="752" spans="1:4" x14ac:dyDescent="0.4">
      <c r="B752" t="s">
        <v>721</v>
      </c>
      <c r="C752" s="11">
        <v>630</v>
      </c>
      <c r="D752" s="11"/>
    </row>
    <row r="753" spans="2:4" x14ac:dyDescent="0.4">
      <c r="B753" t="s">
        <v>697</v>
      </c>
      <c r="C753" s="11">
        <v>285.59999999999997</v>
      </c>
      <c r="D753" s="11"/>
    </row>
    <row r="754" spans="2:4" x14ac:dyDescent="0.4">
      <c r="B754" t="s">
        <v>685</v>
      </c>
      <c r="C754" s="11">
        <v>1112</v>
      </c>
      <c r="D754" s="11"/>
    </row>
    <row r="755" spans="2:4" x14ac:dyDescent="0.4">
      <c r="B755" t="s">
        <v>717</v>
      </c>
      <c r="C755" s="11">
        <v>165.6</v>
      </c>
      <c r="D755" s="11">
        <v>906.15</v>
      </c>
    </row>
    <row r="756" spans="2:4" x14ac:dyDescent="0.4">
      <c r="B756" t="s">
        <v>754</v>
      </c>
      <c r="C756" s="11"/>
      <c r="D756" s="11">
        <v>1200</v>
      </c>
    </row>
    <row r="757" spans="2:4" x14ac:dyDescent="0.4">
      <c r="B757" t="s">
        <v>749</v>
      </c>
      <c r="C757" s="11">
        <v>135.80000000000001</v>
      </c>
      <c r="D757" s="11"/>
    </row>
    <row r="758" spans="2:4" x14ac:dyDescent="0.4">
      <c r="B758" t="s">
        <v>713</v>
      </c>
      <c r="C758" s="11">
        <v>189</v>
      </c>
      <c r="D758" s="11"/>
    </row>
    <row r="759" spans="2:4" x14ac:dyDescent="0.4">
      <c r="B759" t="s">
        <v>699</v>
      </c>
      <c r="C759" s="11">
        <v>273.59999999999997</v>
      </c>
      <c r="D759" s="11">
        <v>840</v>
      </c>
    </row>
    <row r="760" spans="2:4" x14ac:dyDescent="0.4">
      <c r="B760" t="s">
        <v>702</v>
      </c>
      <c r="C760" s="11">
        <v>349</v>
      </c>
      <c r="D760" s="11"/>
    </row>
    <row r="761" spans="2:4" x14ac:dyDescent="0.4">
      <c r="B761" t="s">
        <v>683</v>
      </c>
      <c r="C761" s="11">
        <v>299.25</v>
      </c>
      <c r="D761" s="11"/>
    </row>
    <row r="762" spans="2:4" x14ac:dyDescent="0.4">
      <c r="B762" t="s">
        <v>719</v>
      </c>
      <c r="C762" s="11">
        <v>1368</v>
      </c>
      <c r="D762" s="11"/>
    </row>
    <row r="763" spans="2:4" x14ac:dyDescent="0.4">
      <c r="B763" t="s">
        <v>704</v>
      </c>
      <c r="C763" s="11">
        <v>1584</v>
      </c>
      <c r="D763" s="11">
        <v>1347.5</v>
      </c>
    </row>
    <row r="764" spans="2:4" x14ac:dyDescent="0.4">
      <c r="B764" t="s">
        <v>710</v>
      </c>
      <c r="C764" s="11">
        <v>272</v>
      </c>
      <c r="D764" s="11"/>
    </row>
    <row r="765" spans="2:4" x14ac:dyDescent="0.4">
      <c r="B765" t="s">
        <v>712</v>
      </c>
      <c r="C765" s="11">
        <v>986</v>
      </c>
      <c r="D765" s="11">
        <v>1047.625</v>
      </c>
    </row>
    <row r="766" spans="2:4" x14ac:dyDescent="0.4">
      <c r="B766" t="s">
        <v>722</v>
      </c>
      <c r="C766" s="11"/>
      <c r="D766" s="11">
        <v>2970.96</v>
      </c>
    </row>
    <row r="767" spans="2:4" x14ac:dyDescent="0.4">
      <c r="B767" t="s">
        <v>686</v>
      </c>
      <c r="C767" s="11">
        <v>167.4</v>
      </c>
      <c r="D767" s="11"/>
    </row>
    <row r="768" spans="2:4" x14ac:dyDescent="0.4">
      <c r="B768" t="s">
        <v>738</v>
      </c>
      <c r="C768" s="11">
        <v>169.86</v>
      </c>
      <c r="D768" s="11"/>
    </row>
    <row r="769" spans="1:4" x14ac:dyDescent="0.4">
      <c r="A769" t="s">
        <v>853</v>
      </c>
      <c r="C769" s="11">
        <v>424.87434782608699</v>
      </c>
      <c r="D769" s="11">
        <v>1321.0171249999999</v>
      </c>
    </row>
    <row r="770" spans="1:4" x14ac:dyDescent="0.4">
      <c r="A770" t="s">
        <v>312</v>
      </c>
      <c r="B770" t="s">
        <v>718</v>
      </c>
      <c r="C770" s="11"/>
      <c r="D770" s="11">
        <v>234</v>
      </c>
    </row>
    <row r="771" spans="1:4" x14ac:dyDescent="0.4">
      <c r="B771" t="s">
        <v>748</v>
      </c>
      <c r="C771" s="11"/>
      <c r="D771" s="11">
        <v>35</v>
      </c>
    </row>
    <row r="772" spans="1:4" x14ac:dyDescent="0.4">
      <c r="B772" t="s">
        <v>693</v>
      </c>
      <c r="C772" s="11"/>
      <c r="D772" s="11">
        <v>17.5</v>
      </c>
    </row>
    <row r="773" spans="1:4" x14ac:dyDescent="0.4">
      <c r="B773" t="s">
        <v>751</v>
      </c>
      <c r="C773" s="11"/>
      <c r="D773" s="11">
        <v>156.15</v>
      </c>
    </row>
    <row r="774" spans="1:4" x14ac:dyDescent="0.4">
      <c r="B774" t="s">
        <v>688</v>
      </c>
      <c r="C774" s="11"/>
      <c r="D774" s="11">
        <v>57.900000000000006</v>
      </c>
    </row>
    <row r="775" spans="1:4" x14ac:dyDescent="0.4">
      <c r="B775" t="s">
        <v>721</v>
      </c>
      <c r="C775" s="11"/>
      <c r="D775" s="11">
        <v>360</v>
      </c>
    </row>
    <row r="776" spans="1:4" x14ac:dyDescent="0.4">
      <c r="B776" t="s">
        <v>713</v>
      </c>
      <c r="C776" s="11"/>
      <c r="D776" s="11">
        <v>60</v>
      </c>
    </row>
    <row r="777" spans="1:4" x14ac:dyDescent="0.4">
      <c r="B777" t="s">
        <v>731</v>
      </c>
      <c r="C777" s="11"/>
      <c r="D777" s="11">
        <v>77.5</v>
      </c>
    </row>
    <row r="778" spans="1:4" x14ac:dyDescent="0.4">
      <c r="B778" t="s">
        <v>707</v>
      </c>
      <c r="C778" s="11"/>
      <c r="D778" s="11">
        <v>439</v>
      </c>
    </row>
    <row r="779" spans="1:4" x14ac:dyDescent="0.4">
      <c r="B779" t="s">
        <v>692</v>
      </c>
      <c r="C779" s="11"/>
      <c r="D779" s="11">
        <v>405</v>
      </c>
    </row>
    <row r="780" spans="1:4" x14ac:dyDescent="0.4">
      <c r="B780" t="s">
        <v>715</v>
      </c>
      <c r="C780" s="11"/>
      <c r="D780" s="11">
        <v>150</v>
      </c>
    </row>
    <row r="781" spans="1:4" x14ac:dyDescent="0.4">
      <c r="A781" t="s">
        <v>854</v>
      </c>
      <c r="C781" s="11"/>
      <c r="D781" s="11">
        <v>181.09545454545454</v>
      </c>
    </row>
    <row r="782" spans="1:4" x14ac:dyDescent="0.4">
      <c r="A782" t="s">
        <v>319</v>
      </c>
      <c r="B782" t="s">
        <v>735</v>
      </c>
      <c r="C782" s="11">
        <v>345.6</v>
      </c>
      <c r="D782" s="11"/>
    </row>
    <row r="783" spans="1:4" x14ac:dyDescent="0.4">
      <c r="B783" t="s">
        <v>701</v>
      </c>
      <c r="C783" s="11"/>
      <c r="D783" s="11">
        <v>270.75</v>
      </c>
    </row>
    <row r="784" spans="1:4" x14ac:dyDescent="0.4">
      <c r="B784" t="s">
        <v>693</v>
      </c>
      <c r="C784" s="11">
        <v>32</v>
      </c>
      <c r="D784" s="11"/>
    </row>
    <row r="785" spans="2:4" x14ac:dyDescent="0.4">
      <c r="B785" t="s">
        <v>733</v>
      </c>
      <c r="C785" s="11">
        <v>176.7</v>
      </c>
      <c r="D785" s="11"/>
    </row>
    <row r="786" spans="2:4" x14ac:dyDescent="0.4">
      <c r="B786" t="s">
        <v>698</v>
      </c>
      <c r="C786" s="11">
        <v>34.199999999999996</v>
      </c>
      <c r="D786" s="11">
        <v>36</v>
      </c>
    </row>
    <row r="787" spans="2:4" x14ac:dyDescent="0.4">
      <c r="B787" t="s">
        <v>743</v>
      </c>
      <c r="C787" s="11">
        <v>362.88</v>
      </c>
      <c r="D787" s="11"/>
    </row>
    <row r="788" spans="2:4" x14ac:dyDescent="0.4">
      <c r="B788" t="s">
        <v>728</v>
      </c>
      <c r="C788" s="11"/>
      <c r="D788" s="11">
        <v>248.96</v>
      </c>
    </row>
    <row r="789" spans="2:4" x14ac:dyDescent="0.4">
      <c r="B789" t="s">
        <v>703</v>
      </c>
      <c r="C789" s="11">
        <v>220.33666666666667</v>
      </c>
      <c r="D789" s="11"/>
    </row>
    <row r="790" spans="2:4" x14ac:dyDescent="0.4">
      <c r="B790" t="s">
        <v>723</v>
      </c>
      <c r="C790" s="11"/>
      <c r="D790" s="11">
        <v>368</v>
      </c>
    </row>
    <row r="791" spans="2:4" x14ac:dyDescent="0.4">
      <c r="B791" t="s">
        <v>726</v>
      </c>
      <c r="C791" s="11"/>
      <c r="D791" s="11">
        <v>14.4</v>
      </c>
    </row>
    <row r="792" spans="2:4" x14ac:dyDescent="0.4">
      <c r="B792" t="s">
        <v>721</v>
      </c>
      <c r="C792" s="11">
        <v>208.8</v>
      </c>
      <c r="D792" s="11"/>
    </row>
    <row r="793" spans="2:4" x14ac:dyDescent="0.4">
      <c r="B793" t="s">
        <v>734</v>
      </c>
      <c r="C793" s="11"/>
      <c r="D793" s="11">
        <v>268.8</v>
      </c>
    </row>
    <row r="794" spans="2:4" x14ac:dyDescent="0.4">
      <c r="B794" t="s">
        <v>689</v>
      </c>
      <c r="C794" s="11">
        <v>226.8</v>
      </c>
      <c r="D794" s="11"/>
    </row>
    <row r="795" spans="2:4" x14ac:dyDescent="0.4">
      <c r="B795" t="s">
        <v>744</v>
      </c>
      <c r="C795" s="11">
        <v>122.4</v>
      </c>
      <c r="D795" s="11"/>
    </row>
    <row r="796" spans="2:4" x14ac:dyDescent="0.4">
      <c r="B796" t="s">
        <v>749</v>
      </c>
      <c r="C796" s="11"/>
      <c r="D796" s="11">
        <v>112</v>
      </c>
    </row>
    <row r="797" spans="2:4" x14ac:dyDescent="0.4">
      <c r="B797" t="s">
        <v>699</v>
      </c>
      <c r="C797" s="11">
        <v>144</v>
      </c>
      <c r="D797" s="11"/>
    </row>
    <row r="798" spans="2:4" x14ac:dyDescent="0.4">
      <c r="B798" t="s">
        <v>702</v>
      </c>
      <c r="C798" s="11">
        <v>222.4</v>
      </c>
      <c r="D798" s="11"/>
    </row>
    <row r="799" spans="2:4" x14ac:dyDescent="0.4">
      <c r="B799" t="s">
        <v>731</v>
      </c>
      <c r="C799" s="11">
        <v>55.800000000000004</v>
      </c>
      <c r="D799" s="11"/>
    </row>
    <row r="800" spans="2:4" x14ac:dyDescent="0.4">
      <c r="B800" t="s">
        <v>727</v>
      </c>
      <c r="C800" s="11">
        <v>346.56</v>
      </c>
      <c r="D800" s="11"/>
    </row>
    <row r="801" spans="1:4" x14ac:dyDescent="0.4">
      <c r="B801" t="s">
        <v>736</v>
      </c>
      <c r="C801" s="11">
        <v>106.39999999999999</v>
      </c>
      <c r="D801" s="11"/>
    </row>
    <row r="802" spans="1:4" x14ac:dyDescent="0.4">
      <c r="B802" t="s">
        <v>684</v>
      </c>
      <c r="C802" s="11"/>
      <c r="D802" s="11">
        <v>112</v>
      </c>
    </row>
    <row r="803" spans="1:4" x14ac:dyDescent="0.4">
      <c r="B803" t="s">
        <v>737</v>
      </c>
      <c r="C803" s="11">
        <v>76.800000000000011</v>
      </c>
      <c r="D803" s="11"/>
    </row>
    <row r="804" spans="1:4" x14ac:dyDescent="0.4">
      <c r="B804" t="s">
        <v>712</v>
      </c>
      <c r="C804" s="11">
        <v>1576</v>
      </c>
      <c r="D804" s="11"/>
    </row>
    <row r="805" spans="1:4" x14ac:dyDescent="0.4">
      <c r="B805" t="s">
        <v>722</v>
      </c>
      <c r="C805" s="11"/>
      <c r="D805" s="11">
        <v>2352.0100000000002</v>
      </c>
    </row>
    <row r="806" spans="1:4" x14ac:dyDescent="0.4">
      <c r="B806" t="s">
        <v>755</v>
      </c>
      <c r="C806" s="11">
        <v>175.5</v>
      </c>
      <c r="D806" s="11"/>
    </row>
    <row r="807" spans="1:4" x14ac:dyDescent="0.4">
      <c r="B807" t="s">
        <v>741</v>
      </c>
      <c r="C807" s="11"/>
      <c r="D807" s="11">
        <v>99.75</v>
      </c>
    </row>
    <row r="808" spans="1:4" x14ac:dyDescent="0.4">
      <c r="A808" t="s">
        <v>855</v>
      </c>
      <c r="C808" s="11">
        <v>259.31095238095241</v>
      </c>
      <c r="D808" s="11">
        <v>388.267</v>
      </c>
    </row>
    <row r="809" spans="1:4" x14ac:dyDescent="0.4">
      <c r="A809" t="s">
        <v>326</v>
      </c>
      <c r="B809" t="s">
        <v>748</v>
      </c>
      <c r="C809" s="11">
        <v>35</v>
      </c>
      <c r="D809" s="11"/>
    </row>
    <row r="810" spans="1:4" x14ac:dyDescent="0.4">
      <c r="B810" t="s">
        <v>698</v>
      </c>
      <c r="C810" s="11">
        <v>22.5</v>
      </c>
      <c r="D810" s="11"/>
    </row>
    <row r="811" spans="1:4" x14ac:dyDescent="0.4">
      <c r="B811" t="s">
        <v>688</v>
      </c>
      <c r="C811" s="11">
        <v>154</v>
      </c>
      <c r="D811" s="11"/>
    </row>
    <row r="812" spans="1:4" x14ac:dyDescent="0.4">
      <c r="B812" t="s">
        <v>726</v>
      </c>
      <c r="C812" s="11"/>
      <c r="D812" s="11">
        <v>42</v>
      </c>
    </row>
    <row r="813" spans="1:4" x14ac:dyDescent="0.4">
      <c r="B813" t="s">
        <v>749</v>
      </c>
      <c r="C813" s="11"/>
      <c r="D813" s="11">
        <v>70</v>
      </c>
    </row>
    <row r="814" spans="1:4" x14ac:dyDescent="0.4">
      <c r="B814" t="s">
        <v>706</v>
      </c>
      <c r="C814" s="11">
        <v>52</v>
      </c>
      <c r="D814" s="11"/>
    </row>
    <row r="815" spans="1:4" x14ac:dyDescent="0.4">
      <c r="B815" t="s">
        <v>713</v>
      </c>
      <c r="C815" s="11"/>
      <c r="D815" s="11">
        <v>75</v>
      </c>
    </row>
    <row r="816" spans="1:4" x14ac:dyDescent="0.4">
      <c r="B816" t="s">
        <v>753</v>
      </c>
      <c r="C816" s="11">
        <v>72</v>
      </c>
      <c r="D816" s="11"/>
    </row>
    <row r="817" spans="1:4" x14ac:dyDescent="0.4">
      <c r="A817" t="s">
        <v>856</v>
      </c>
      <c r="C817" s="11">
        <v>67.099999999999994</v>
      </c>
      <c r="D817" s="11">
        <v>62.333333333333336</v>
      </c>
    </row>
    <row r="818" spans="1:4" x14ac:dyDescent="0.4">
      <c r="A818" t="s">
        <v>334</v>
      </c>
      <c r="B818" t="s">
        <v>720</v>
      </c>
      <c r="C818" s="11">
        <v>147</v>
      </c>
      <c r="D818" s="11"/>
    </row>
    <row r="819" spans="1:4" x14ac:dyDescent="0.4">
      <c r="B819" t="s">
        <v>683</v>
      </c>
      <c r="C819" s="11">
        <v>210</v>
      </c>
      <c r="D819" s="11"/>
    </row>
    <row r="820" spans="1:4" x14ac:dyDescent="0.4">
      <c r="A820" t="s">
        <v>857</v>
      </c>
      <c r="C820" s="11">
        <v>178.5</v>
      </c>
      <c r="D820" s="11"/>
    </row>
    <row r="821" spans="1:4" x14ac:dyDescent="0.4">
      <c r="A821" t="s">
        <v>342</v>
      </c>
      <c r="B821" t="s">
        <v>718</v>
      </c>
      <c r="C821" s="11">
        <v>351</v>
      </c>
      <c r="D821" s="11"/>
    </row>
    <row r="822" spans="1:4" x14ac:dyDescent="0.4">
      <c r="B822" t="s">
        <v>720</v>
      </c>
      <c r="C822" s="11">
        <v>257.60000000000002</v>
      </c>
      <c r="D822" s="11"/>
    </row>
    <row r="823" spans="1:4" x14ac:dyDescent="0.4">
      <c r="B823" t="s">
        <v>694</v>
      </c>
      <c r="C823" s="11">
        <v>650.25</v>
      </c>
      <c r="D823" s="11"/>
    </row>
    <row r="824" spans="1:4" x14ac:dyDescent="0.4">
      <c r="B824" t="s">
        <v>735</v>
      </c>
      <c r="C824" s="11">
        <v>576</v>
      </c>
      <c r="D824" s="11">
        <v>612</v>
      </c>
    </row>
    <row r="825" spans="1:4" x14ac:dyDescent="0.4">
      <c r="B825" t="s">
        <v>701</v>
      </c>
      <c r="C825" s="11"/>
      <c r="D825" s="11">
        <v>323</v>
      </c>
    </row>
    <row r="826" spans="1:4" x14ac:dyDescent="0.4">
      <c r="B826" t="s">
        <v>748</v>
      </c>
      <c r="C826" s="11"/>
      <c r="D826" s="11">
        <v>56</v>
      </c>
    </row>
    <row r="827" spans="1:4" x14ac:dyDescent="0.4">
      <c r="B827" t="s">
        <v>693</v>
      </c>
      <c r="C827" s="11">
        <v>75</v>
      </c>
      <c r="D827" s="11"/>
    </row>
    <row r="828" spans="1:4" x14ac:dyDescent="0.4">
      <c r="B828" t="s">
        <v>733</v>
      </c>
      <c r="C828" s="11">
        <v>368.125</v>
      </c>
      <c r="D828" s="11"/>
    </row>
    <row r="829" spans="1:4" x14ac:dyDescent="0.4">
      <c r="B829" t="s">
        <v>716</v>
      </c>
      <c r="C829" s="11">
        <v>425.59999999999997</v>
      </c>
      <c r="D829" s="11"/>
    </row>
    <row r="830" spans="1:4" x14ac:dyDescent="0.4">
      <c r="B830" t="s">
        <v>695</v>
      </c>
      <c r="C830" s="11">
        <v>250</v>
      </c>
      <c r="D830" s="11">
        <v>250</v>
      </c>
    </row>
    <row r="831" spans="1:4" x14ac:dyDescent="0.4">
      <c r="B831" t="s">
        <v>746</v>
      </c>
      <c r="C831" s="11"/>
      <c r="D831" s="11">
        <v>500</v>
      </c>
    </row>
    <row r="832" spans="1:4" x14ac:dyDescent="0.4">
      <c r="B832" t="s">
        <v>743</v>
      </c>
      <c r="C832" s="11">
        <v>576</v>
      </c>
      <c r="D832" s="11"/>
    </row>
    <row r="833" spans="2:4" x14ac:dyDescent="0.4">
      <c r="B833" t="s">
        <v>728</v>
      </c>
      <c r="C833" s="11">
        <v>325.5</v>
      </c>
      <c r="D833" s="11"/>
    </row>
    <row r="834" spans="2:4" x14ac:dyDescent="0.4">
      <c r="B834" t="s">
        <v>751</v>
      </c>
      <c r="C834" s="11">
        <v>148.3425</v>
      </c>
      <c r="D834" s="11"/>
    </row>
    <row r="835" spans="2:4" x14ac:dyDescent="0.4">
      <c r="B835" t="s">
        <v>721</v>
      </c>
      <c r="C835" s="11">
        <v>136.80000000000001</v>
      </c>
      <c r="D835" s="11"/>
    </row>
    <row r="836" spans="2:4" x14ac:dyDescent="0.4">
      <c r="B836" t="s">
        <v>734</v>
      </c>
      <c r="C836" s="11">
        <v>42</v>
      </c>
      <c r="D836" s="11"/>
    </row>
    <row r="837" spans="2:4" x14ac:dyDescent="0.4">
      <c r="B837" t="s">
        <v>685</v>
      </c>
      <c r="C837" s="11">
        <v>695</v>
      </c>
      <c r="D837" s="11"/>
    </row>
    <row r="838" spans="2:4" x14ac:dyDescent="0.4">
      <c r="B838" t="s">
        <v>717</v>
      </c>
      <c r="C838" s="11">
        <v>336.57</v>
      </c>
      <c r="D838" s="11">
        <v>368.9325</v>
      </c>
    </row>
    <row r="839" spans="2:4" x14ac:dyDescent="0.4">
      <c r="B839" t="s">
        <v>754</v>
      </c>
      <c r="C839" s="11">
        <v>960</v>
      </c>
      <c r="D839" s="11"/>
    </row>
    <row r="840" spans="2:4" x14ac:dyDescent="0.4">
      <c r="B840" t="s">
        <v>706</v>
      </c>
      <c r="C840" s="11">
        <v>260</v>
      </c>
      <c r="D840" s="11"/>
    </row>
    <row r="841" spans="2:4" x14ac:dyDescent="0.4">
      <c r="B841" t="s">
        <v>702</v>
      </c>
      <c r="C841" s="11"/>
      <c r="D841" s="11">
        <v>444.97499999999997</v>
      </c>
    </row>
    <row r="842" spans="2:4" x14ac:dyDescent="0.4">
      <c r="B842" t="s">
        <v>683</v>
      </c>
      <c r="C842" s="11"/>
      <c r="D842" s="11">
        <v>525</v>
      </c>
    </row>
    <row r="843" spans="2:4" x14ac:dyDescent="0.4">
      <c r="B843" t="s">
        <v>719</v>
      </c>
      <c r="C843" s="11">
        <v>427.5</v>
      </c>
      <c r="D843" s="11"/>
    </row>
    <row r="844" spans="2:4" x14ac:dyDescent="0.4">
      <c r="B844" t="s">
        <v>704</v>
      </c>
      <c r="C844" s="11"/>
      <c r="D844" s="11">
        <v>1375</v>
      </c>
    </row>
    <row r="845" spans="2:4" x14ac:dyDescent="0.4">
      <c r="B845" t="s">
        <v>731</v>
      </c>
      <c r="C845" s="11">
        <v>155</v>
      </c>
      <c r="D845" s="11"/>
    </row>
    <row r="846" spans="2:4" x14ac:dyDescent="0.4">
      <c r="B846" t="s">
        <v>707</v>
      </c>
      <c r="C846" s="11">
        <v>394.875</v>
      </c>
      <c r="D846" s="11"/>
    </row>
    <row r="847" spans="2:4" x14ac:dyDescent="0.4">
      <c r="B847" t="s">
        <v>739</v>
      </c>
      <c r="C847" s="11">
        <v>38</v>
      </c>
      <c r="D847" s="11"/>
    </row>
    <row r="848" spans="2:4" x14ac:dyDescent="0.4">
      <c r="B848" t="s">
        <v>692</v>
      </c>
      <c r="C848" s="11">
        <v>1360.8000000000002</v>
      </c>
      <c r="D848" s="11"/>
    </row>
    <row r="849" spans="1:4" x14ac:dyDescent="0.4">
      <c r="B849" t="s">
        <v>722</v>
      </c>
      <c r="C849" s="11"/>
      <c r="D849" s="11">
        <v>2228.2200000000003</v>
      </c>
    </row>
    <row r="850" spans="1:4" x14ac:dyDescent="0.4">
      <c r="B850" t="s">
        <v>738</v>
      </c>
      <c r="C850" s="11">
        <v>59.6</v>
      </c>
      <c r="D850" s="11"/>
    </row>
    <row r="851" spans="1:4" x14ac:dyDescent="0.4">
      <c r="B851" t="s">
        <v>741</v>
      </c>
      <c r="C851" s="11">
        <v>1163.75</v>
      </c>
      <c r="D851" s="11"/>
    </row>
    <row r="852" spans="1:4" x14ac:dyDescent="0.4">
      <c r="A852" t="s">
        <v>858</v>
      </c>
      <c r="C852" s="11">
        <v>433.73387931034483</v>
      </c>
      <c r="D852" s="11">
        <v>668.31274999999994</v>
      </c>
    </row>
    <row r="853" spans="1:4" x14ac:dyDescent="0.4">
      <c r="A853" t="s">
        <v>349</v>
      </c>
      <c r="B853" t="s">
        <v>742</v>
      </c>
      <c r="C853" s="11">
        <v>562.5</v>
      </c>
      <c r="D853" s="11"/>
    </row>
    <row r="854" spans="1:4" x14ac:dyDescent="0.4">
      <c r="B854" t="s">
        <v>733</v>
      </c>
      <c r="C854" s="11">
        <v>155</v>
      </c>
      <c r="D854" s="11"/>
    </row>
    <row r="855" spans="1:4" x14ac:dyDescent="0.4">
      <c r="B855" t="s">
        <v>716</v>
      </c>
      <c r="C855" s="11"/>
      <c r="D855" s="11">
        <v>758.09999999999991</v>
      </c>
    </row>
    <row r="856" spans="1:4" x14ac:dyDescent="0.4">
      <c r="B856" t="s">
        <v>689</v>
      </c>
      <c r="C856" s="11"/>
      <c r="D856" s="11">
        <v>239.97</v>
      </c>
    </row>
    <row r="857" spans="1:4" x14ac:dyDescent="0.4">
      <c r="B857" t="s">
        <v>717</v>
      </c>
      <c r="C857" s="11">
        <v>58.252499999999998</v>
      </c>
      <c r="D857" s="11"/>
    </row>
    <row r="858" spans="1:4" x14ac:dyDescent="0.4">
      <c r="B858" t="s">
        <v>706</v>
      </c>
      <c r="C858" s="11">
        <v>23.400000000000002</v>
      </c>
      <c r="D858" s="11"/>
    </row>
    <row r="859" spans="1:4" x14ac:dyDescent="0.4">
      <c r="B859" t="s">
        <v>731</v>
      </c>
      <c r="C859" s="11">
        <v>162.75</v>
      </c>
      <c r="D859" s="11"/>
    </row>
    <row r="860" spans="1:4" x14ac:dyDescent="0.4">
      <c r="B860" t="s">
        <v>710</v>
      </c>
      <c r="C860" s="11"/>
      <c r="D860" s="11">
        <v>380</v>
      </c>
    </row>
    <row r="861" spans="1:4" x14ac:dyDescent="0.4">
      <c r="B861" t="s">
        <v>758</v>
      </c>
      <c r="C861" s="11">
        <v>513</v>
      </c>
      <c r="D861" s="11"/>
    </row>
    <row r="862" spans="1:4" x14ac:dyDescent="0.4">
      <c r="B862" t="s">
        <v>738</v>
      </c>
      <c r="C862" s="11">
        <v>223.5</v>
      </c>
      <c r="D862" s="11"/>
    </row>
    <row r="863" spans="1:4" x14ac:dyDescent="0.4">
      <c r="A863" t="s">
        <v>859</v>
      </c>
      <c r="C863" s="11">
        <v>242.62892857142859</v>
      </c>
      <c r="D863" s="11">
        <v>459.35666666666663</v>
      </c>
    </row>
    <row r="864" spans="1:4" x14ac:dyDescent="0.4">
      <c r="A864" t="s">
        <v>356</v>
      </c>
      <c r="B864" t="s">
        <v>694</v>
      </c>
      <c r="C864" s="11">
        <v>563.04</v>
      </c>
      <c r="D864" s="11"/>
    </row>
    <row r="865" spans="2:4" x14ac:dyDescent="0.4">
      <c r="B865" t="s">
        <v>696</v>
      </c>
      <c r="C865" s="11"/>
      <c r="D865" s="11">
        <v>122.39999999999999</v>
      </c>
    </row>
    <row r="866" spans="2:4" x14ac:dyDescent="0.4">
      <c r="B866" t="s">
        <v>748</v>
      </c>
      <c r="C866" s="11"/>
      <c r="D866" s="11">
        <v>105</v>
      </c>
    </row>
    <row r="867" spans="2:4" x14ac:dyDescent="0.4">
      <c r="B867" t="s">
        <v>733</v>
      </c>
      <c r="C867" s="11">
        <v>248</v>
      </c>
      <c r="D867" s="11"/>
    </row>
    <row r="868" spans="2:4" x14ac:dyDescent="0.4">
      <c r="B868" t="s">
        <v>743</v>
      </c>
      <c r="C868" s="11">
        <v>432</v>
      </c>
      <c r="D868" s="11"/>
    </row>
    <row r="869" spans="2:4" x14ac:dyDescent="0.4">
      <c r="B869" t="s">
        <v>751</v>
      </c>
      <c r="C869" s="11">
        <v>728.32500000000005</v>
      </c>
      <c r="D869" s="11"/>
    </row>
    <row r="870" spans="2:4" x14ac:dyDescent="0.4">
      <c r="B870" t="s">
        <v>724</v>
      </c>
      <c r="C870" s="11">
        <v>595.20000000000005</v>
      </c>
      <c r="D870" s="11"/>
    </row>
    <row r="871" spans="2:4" x14ac:dyDescent="0.4">
      <c r="B871" t="s">
        <v>726</v>
      </c>
      <c r="C871" s="11"/>
      <c r="D871" s="11">
        <v>57</v>
      </c>
    </row>
    <row r="872" spans="2:4" x14ac:dyDescent="0.4">
      <c r="B872" t="s">
        <v>700</v>
      </c>
      <c r="C872" s="11">
        <v>112</v>
      </c>
      <c r="D872" s="11"/>
    </row>
    <row r="873" spans="2:4" x14ac:dyDescent="0.4">
      <c r="B873" t="s">
        <v>709</v>
      </c>
      <c r="C873" s="11"/>
      <c r="D873" s="11">
        <v>1600</v>
      </c>
    </row>
    <row r="874" spans="2:4" x14ac:dyDescent="0.4">
      <c r="B874" t="s">
        <v>697</v>
      </c>
      <c r="C874" s="11">
        <v>500</v>
      </c>
      <c r="D874" s="11"/>
    </row>
    <row r="875" spans="2:4" x14ac:dyDescent="0.4">
      <c r="B875" t="s">
        <v>685</v>
      </c>
      <c r="C875" s="11">
        <v>337.07499999999999</v>
      </c>
      <c r="D875" s="11"/>
    </row>
    <row r="876" spans="2:4" x14ac:dyDescent="0.4">
      <c r="B876" t="s">
        <v>717</v>
      </c>
      <c r="C876" s="11">
        <v>434.70000000000005</v>
      </c>
      <c r="D876" s="11">
        <v>77.67</v>
      </c>
    </row>
    <row r="877" spans="2:4" x14ac:dyDescent="0.4">
      <c r="B877" t="s">
        <v>706</v>
      </c>
      <c r="C877" s="11"/>
      <c r="D877" s="11">
        <v>185.25</v>
      </c>
    </row>
    <row r="878" spans="2:4" x14ac:dyDescent="0.4">
      <c r="B878" t="s">
        <v>713</v>
      </c>
      <c r="C878" s="11"/>
      <c r="D878" s="11">
        <v>525</v>
      </c>
    </row>
    <row r="879" spans="2:4" x14ac:dyDescent="0.4">
      <c r="B879" t="s">
        <v>699</v>
      </c>
      <c r="C879" s="11">
        <v>864</v>
      </c>
      <c r="D879" s="11"/>
    </row>
    <row r="880" spans="2:4" x14ac:dyDescent="0.4">
      <c r="B880" t="s">
        <v>702</v>
      </c>
      <c r="C880" s="11">
        <v>417</v>
      </c>
      <c r="D880" s="11"/>
    </row>
    <row r="881" spans="1:4" x14ac:dyDescent="0.4">
      <c r="B881" t="s">
        <v>683</v>
      </c>
      <c r="C881" s="11">
        <v>201.60000000000002</v>
      </c>
      <c r="D881" s="11">
        <v>378</v>
      </c>
    </row>
    <row r="882" spans="1:4" x14ac:dyDescent="0.4">
      <c r="B882" t="s">
        <v>719</v>
      </c>
      <c r="C882" s="11">
        <v>969</v>
      </c>
      <c r="D882" s="11"/>
    </row>
    <row r="883" spans="1:4" x14ac:dyDescent="0.4">
      <c r="B883" t="s">
        <v>704</v>
      </c>
      <c r="C883" s="11"/>
      <c r="D883" s="11">
        <v>1980</v>
      </c>
    </row>
    <row r="884" spans="1:4" x14ac:dyDescent="0.4">
      <c r="B884" t="s">
        <v>691</v>
      </c>
      <c r="C884" s="11"/>
      <c r="D884" s="11">
        <v>292.5</v>
      </c>
    </row>
    <row r="885" spans="1:4" x14ac:dyDescent="0.4">
      <c r="B885" t="s">
        <v>727</v>
      </c>
      <c r="C885" s="11">
        <v>912</v>
      </c>
      <c r="D885" s="11"/>
    </row>
    <row r="886" spans="1:4" x14ac:dyDescent="0.4">
      <c r="B886" t="s">
        <v>710</v>
      </c>
      <c r="C886" s="11">
        <v>240</v>
      </c>
      <c r="D886" s="11"/>
    </row>
    <row r="887" spans="1:4" x14ac:dyDescent="0.4">
      <c r="B887" t="s">
        <v>737</v>
      </c>
      <c r="C887" s="11"/>
      <c r="D887" s="11">
        <v>180</v>
      </c>
    </row>
    <row r="888" spans="1:4" x14ac:dyDescent="0.4">
      <c r="B888" t="s">
        <v>732</v>
      </c>
      <c r="C888" s="11">
        <v>131.4</v>
      </c>
      <c r="D888" s="11"/>
    </row>
    <row r="889" spans="1:4" x14ac:dyDescent="0.4">
      <c r="B889" t="s">
        <v>738</v>
      </c>
      <c r="C889" s="11"/>
      <c r="D889" s="11">
        <v>111.75</v>
      </c>
    </row>
    <row r="890" spans="1:4" x14ac:dyDescent="0.4">
      <c r="B890" t="s">
        <v>753</v>
      </c>
      <c r="C890" s="11">
        <v>535.5</v>
      </c>
      <c r="D890" s="11"/>
    </row>
    <row r="891" spans="1:4" x14ac:dyDescent="0.4">
      <c r="B891" t="s">
        <v>715</v>
      </c>
      <c r="C891" s="11"/>
      <c r="D891" s="11">
        <v>427.5</v>
      </c>
    </row>
    <row r="892" spans="1:4" x14ac:dyDescent="0.4">
      <c r="A892" t="s">
        <v>860</v>
      </c>
      <c r="C892" s="11">
        <v>492.46400000000006</v>
      </c>
      <c r="D892" s="11">
        <v>444.80857142857138</v>
      </c>
    </row>
    <row r="893" spans="1:4" x14ac:dyDescent="0.4">
      <c r="A893" t="s">
        <v>364</v>
      </c>
      <c r="B893" t="s">
        <v>740</v>
      </c>
      <c r="C893" s="11">
        <v>272</v>
      </c>
      <c r="D893" s="11"/>
    </row>
    <row r="894" spans="1:4" x14ac:dyDescent="0.4">
      <c r="B894" t="s">
        <v>720</v>
      </c>
      <c r="C894" s="11"/>
      <c r="D894" s="11">
        <v>460</v>
      </c>
    </row>
    <row r="895" spans="1:4" x14ac:dyDescent="0.4">
      <c r="B895" t="s">
        <v>694</v>
      </c>
      <c r="C895" s="11"/>
      <c r="D895" s="11">
        <v>693.6</v>
      </c>
    </row>
    <row r="896" spans="1:4" x14ac:dyDescent="0.4">
      <c r="B896" t="s">
        <v>742</v>
      </c>
      <c r="C896" s="11"/>
      <c r="D896" s="11">
        <v>1171.875</v>
      </c>
    </row>
    <row r="897" spans="2:4" x14ac:dyDescent="0.4">
      <c r="B897" t="s">
        <v>735</v>
      </c>
      <c r="C897" s="11">
        <v>900</v>
      </c>
      <c r="D897" s="11">
        <v>54</v>
      </c>
    </row>
    <row r="898" spans="2:4" x14ac:dyDescent="0.4">
      <c r="B898" t="s">
        <v>701</v>
      </c>
      <c r="C898" s="11">
        <v>273.60000000000002</v>
      </c>
      <c r="D898" s="11"/>
    </row>
    <row r="899" spans="2:4" x14ac:dyDescent="0.4">
      <c r="B899" t="s">
        <v>696</v>
      </c>
      <c r="C899" s="11"/>
      <c r="D899" s="11">
        <v>144</v>
      </c>
    </row>
    <row r="900" spans="2:4" x14ac:dyDescent="0.4">
      <c r="B900" t="s">
        <v>747</v>
      </c>
      <c r="C900" s="11">
        <v>298.125</v>
      </c>
      <c r="D900" s="11"/>
    </row>
    <row r="901" spans="2:4" x14ac:dyDescent="0.4">
      <c r="B901" t="s">
        <v>695</v>
      </c>
      <c r="C901" s="11"/>
      <c r="D901" s="11">
        <v>265.625</v>
      </c>
    </row>
    <row r="902" spans="2:4" x14ac:dyDescent="0.4">
      <c r="B902" t="s">
        <v>703</v>
      </c>
      <c r="C902" s="11"/>
      <c r="D902" s="11">
        <v>712.5</v>
      </c>
    </row>
    <row r="903" spans="2:4" x14ac:dyDescent="0.4">
      <c r="B903" t="s">
        <v>688</v>
      </c>
      <c r="C903" s="11"/>
      <c r="D903" s="11">
        <v>243.18</v>
      </c>
    </row>
    <row r="904" spans="2:4" x14ac:dyDescent="0.4">
      <c r="B904" t="s">
        <v>689</v>
      </c>
      <c r="C904" s="11">
        <v>442.05</v>
      </c>
      <c r="D904" s="11"/>
    </row>
    <row r="905" spans="2:4" x14ac:dyDescent="0.4">
      <c r="B905" t="s">
        <v>697</v>
      </c>
      <c r="C905" s="11"/>
      <c r="D905" s="11">
        <v>1200</v>
      </c>
    </row>
    <row r="906" spans="2:4" x14ac:dyDescent="0.4">
      <c r="B906" t="s">
        <v>685</v>
      </c>
      <c r="C906" s="11">
        <v>2088</v>
      </c>
      <c r="D906" s="11"/>
    </row>
    <row r="907" spans="2:4" x14ac:dyDescent="0.4">
      <c r="B907" t="s">
        <v>749</v>
      </c>
      <c r="C907" s="11"/>
      <c r="D907" s="11">
        <v>201.6</v>
      </c>
    </row>
    <row r="908" spans="2:4" x14ac:dyDescent="0.4">
      <c r="B908" t="s">
        <v>713</v>
      </c>
      <c r="C908" s="11">
        <v>492.75</v>
      </c>
      <c r="D908" s="11"/>
    </row>
    <row r="909" spans="2:4" x14ac:dyDescent="0.4">
      <c r="B909" t="s">
        <v>699</v>
      </c>
      <c r="C909" s="11">
        <v>518.4</v>
      </c>
      <c r="D909" s="11"/>
    </row>
    <row r="910" spans="2:4" x14ac:dyDescent="0.4">
      <c r="B910" t="s">
        <v>702</v>
      </c>
      <c r="C910" s="11"/>
      <c r="D910" s="11">
        <v>417.05499999999995</v>
      </c>
    </row>
    <row r="911" spans="2:4" x14ac:dyDescent="0.4">
      <c r="B911" t="s">
        <v>691</v>
      </c>
      <c r="C911" s="11"/>
      <c r="D911" s="11">
        <v>546</v>
      </c>
    </row>
    <row r="912" spans="2:4" x14ac:dyDescent="0.4">
      <c r="B912" t="s">
        <v>756</v>
      </c>
      <c r="C912" s="11">
        <v>190</v>
      </c>
      <c r="D912" s="11">
        <v>285</v>
      </c>
    </row>
    <row r="913" spans="1:4" x14ac:dyDescent="0.4">
      <c r="B913" t="s">
        <v>727</v>
      </c>
      <c r="C913" s="11"/>
      <c r="D913" s="11">
        <v>912</v>
      </c>
    </row>
    <row r="914" spans="1:4" x14ac:dyDescent="0.4">
      <c r="B914" t="s">
        <v>710</v>
      </c>
      <c r="C914" s="11">
        <v>300</v>
      </c>
      <c r="D914" s="11"/>
    </row>
    <row r="915" spans="1:4" x14ac:dyDescent="0.4">
      <c r="B915" t="s">
        <v>714</v>
      </c>
      <c r="C915" s="11">
        <v>121.5</v>
      </c>
      <c r="D915" s="11">
        <v>432</v>
      </c>
    </row>
    <row r="916" spans="1:4" x14ac:dyDescent="0.4">
      <c r="B916" t="s">
        <v>732</v>
      </c>
      <c r="C916" s="11">
        <v>48.3</v>
      </c>
      <c r="D916" s="11">
        <v>138</v>
      </c>
    </row>
    <row r="917" spans="1:4" x14ac:dyDescent="0.4">
      <c r="B917" t="s">
        <v>753</v>
      </c>
      <c r="C917" s="11"/>
      <c r="D917" s="11">
        <v>162</v>
      </c>
    </row>
    <row r="918" spans="1:4" x14ac:dyDescent="0.4">
      <c r="B918" t="s">
        <v>755</v>
      </c>
      <c r="C918" s="11">
        <v>650</v>
      </c>
      <c r="D918" s="11"/>
    </row>
    <row r="919" spans="1:4" x14ac:dyDescent="0.4">
      <c r="A919" t="s">
        <v>861</v>
      </c>
      <c r="C919" s="11">
        <v>490.6316666666666</v>
      </c>
      <c r="D919" s="11">
        <v>455.85450000000003</v>
      </c>
    </row>
    <row r="920" spans="1:4" x14ac:dyDescent="0.4">
      <c r="A920" t="s">
        <v>372</v>
      </c>
      <c r="B920" t="s">
        <v>742</v>
      </c>
      <c r="C920" s="11"/>
      <c r="D920" s="11">
        <v>625</v>
      </c>
    </row>
    <row r="921" spans="1:4" x14ac:dyDescent="0.4">
      <c r="B921" t="s">
        <v>735</v>
      </c>
      <c r="C921" s="11">
        <v>288</v>
      </c>
      <c r="D921" s="11"/>
    </row>
    <row r="922" spans="1:4" x14ac:dyDescent="0.4">
      <c r="B922" t="s">
        <v>716</v>
      </c>
      <c r="C922" s="11"/>
      <c r="D922" s="11">
        <v>190</v>
      </c>
    </row>
    <row r="923" spans="1:4" x14ac:dyDescent="0.4">
      <c r="B923" t="s">
        <v>698</v>
      </c>
      <c r="C923" s="11"/>
      <c r="D923" s="11">
        <v>36</v>
      </c>
    </row>
    <row r="924" spans="1:4" x14ac:dyDescent="0.4">
      <c r="B924" t="s">
        <v>721</v>
      </c>
      <c r="C924" s="11">
        <v>180</v>
      </c>
      <c r="D924" s="11"/>
    </row>
    <row r="925" spans="1:4" x14ac:dyDescent="0.4">
      <c r="B925" t="s">
        <v>734</v>
      </c>
      <c r="C925" s="11">
        <v>98</v>
      </c>
      <c r="D925" s="11"/>
    </row>
    <row r="926" spans="1:4" x14ac:dyDescent="0.4">
      <c r="B926" t="s">
        <v>687</v>
      </c>
      <c r="C926" s="11">
        <v>1060</v>
      </c>
      <c r="D926" s="11"/>
    </row>
    <row r="927" spans="1:4" x14ac:dyDescent="0.4">
      <c r="B927" t="s">
        <v>705</v>
      </c>
      <c r="C927" s="11"/>
      <c r="D927" s="11">
        <v>98.399999999999991</v>
      </c>
    </row>
    <row r="928" spans="1:4" x14ac:dyDescent="0.4">
      <c r="B928" t="s">
        <v>719</v>
      </c>
      <c r="C928" s="11"/>
      <c r="D928" s="11">
        <v>760</v>
      </c>
    </row>
    <row r="929" spans="1:4" x14ac:dyDescent="0.4">
      <c r="B929" t="s">
        <v>704</v>
      </c>
      <c r="C929" s="11">
        <v>55</v>
      </c>
      <c r="D929" s="11"/>
    </row>
    <row r="930" spans="1:4" x14ac:dyDescent="0.4">
      <c r="B930" t="s">
        <v>727</v>
      </c>
      <c r="C930" s="11">
        <v>319.2</v>
      </c>
      <c r="D930" s="11"/>
    </row>
    <row r="931" spans="1:4" x14ac:dyDescent="0.4">
      <c r="B931" t="s">
        <v>739</v>
      </c>
      <c r="C931" s="11">
        <v>77.5</v>
      </c>
      <c r="D931" s="11"/>
    </row>
    <row r="932" spans="1:4" x14ac:dyDescent="0.4">
      <c r="B932" t="s">
        <v>712</v>
      </c>
      <c r="C932" s="11">
        <v>394</v>
      </c>
      <c r="D932" s="11"/>
    </row>
    <row r="933" spans="1:4" x14ac:dyDescent="0.4">
      <c r="A933" t="s">
        <v>862</v>
      </c>
      <c r="C933" s="11">
        <v>283.24444444444441</v>
      </c>
      <c r="D933" s="11">
        <v>341.88</v>
      </c>
    </row>
    <row r="934" spans="1:4" x14ac:dyDescent="0.4">
      <c r="A934" t="s">
        <v>379</v>
      </c>
      <c r="B934" t="s">
        <v>720</v>
      </c>
      <c r="C934" s="11">
        <v>55.199999999999996</v>
      </c>
      <c r="D934" s="11"/>
    </row>
    <row r="935" spans="1:4" x14ac:dyDescent="0.4">
      <c r="B935" t="s">
        <v>701</v>
      </c>
      <c r="C935" s="11"/>
      <c r="D935" s="11">
        <v>161.5</v>
      </c>
    </row>
    <row r="936" spans="1:4" x14ac:dyDescent="0.4">
      <c r="B936" t="s">
        <v>696</v>
      </c>
      <c r="C936" s="11"/>
      <c r="D936" s="11">
        <v>30.599999999999998</v>
      </c>
    </row>
    <row r="937" spans="1:4" x14ac:dyDescent="0.4">
      <c r="B937" t="s">
        <v>745</v>
      </c>
      <c r="C937" s="11">
        <v>198</v>
      </c>
      <c r="D937" s="11">
        <v>110</v>
      </c>
    </row>
    <row r="938" spans="1:4" x14ac:dyDescent="0.4">
      <c r="B938" t="s">
        <v>708</v>
      </c>
      <c r="C938" s="11">
        <v>288.22500000000002</v>
      </c>
      <c r="D938" s="11"/>
    </row>
    <row r="939" spans="1:4" x14ac:dyDescent="0.4">
      <c r="B939" t="s">
        <v>698</v>
      </c>
      <c r="C939" s="11">
        <v>70.92</v>
      </c>
      <c r="D939" s="11"/>
    </row>
    <row r="940" spans="1:4" x14ac:dyDescent="0.4">
      <c r="B940" t="s">
        <v>751</v>
      </c>
      <c r="C940" s="11">
        <v>709.65</v>
      </c>
      <c r="D940" s="11"/>
    </row>
    <row r="941" spans="1:4" x14ac:dyDescent="0.4">
      <c r="B941" t="s">
        <v>690</v>
      </c>
      <c r="C941" s="11">
        <v>840</v>
      </c>
      <c r="D941" s="11"/>
    </row>
    <row r="942" spans="1:4" x14ac:dyDescent="0.4">
      <c r="B942" t="s">
        <v>703</v>
      </c>
      <c r="C942" s="11"/>
      <c r="D942" s="11">
        <v>570</v>
      </c>
    </row>
    <row r="943" spans="1:4" x14ac:dyDescent="0.4">
      <c r="B943" t="s">
        <v>688</v>
      </c>
      <c r="C943" s="11"/>
      <c r="D943" s="11">
        <v>193</v>
      </c>
    </row>
    <row r="944" spans="1:4" x14ac:dyDescent="0.4">
      <c r="B944" t="s">
        <v>734</v>
      </c>
      <c r="C944" s="11"/>
      <c r="D944" s="11">
        <v>476</v>
      </c>
    </row>
    <row r="945" spans="1:4" x14ac:dyDescent="0.4">
      <c r="B945" t="s">
        <v>744</v>
      </c>
      <c r="C945" s="11">
        <v>408</v>
      </c>
      <c r="D945" s="11"/>
    </row>
    <row r="946" spans="1:4" x14ac:dyDescent="0.4">
      <c r="B946" t="s">
        <v>709</v>
      </c>
      <c r="C946" s="11"/>
      <c r="D946" s="11">
        <v>640</v>
      </c>
    </row>
    <row r="947" spans="1:4" x14ac:dyDescent="0.4">
      <c r="B947" t="s">
        <v>697</v>
      </c>
      <c r="C947" s="11">
        <v>456</v>
      </c>
      <c r="D947" s="11"/>
    </row>
    <row r="948" spans="1:4" x14ac:dyDescent="0.4">
      <c r="B948" t="s">
        <v>685</v>
      </c>
      <c r="C948" s="11"/>
      <c r="D948" s="11">
        <v>887.4</v>
      </c>
    </row>
    <row r="949" spans="1:4" x14ac:dyDescent="0.4">
      <c r="B949" t="s">
        <v>749</v>
      </c>
      <c r="C949" s="11">
        <v>134.39999999999998</v>
      </c>
      <c r="D949" s="11"/>
    </row>
    <row r="950" spans="1:4" x14ac:dyDescent="0.4">
      <c r="B950" t="s">
        <v>704</v>
      </c>
      <c r="C950" s="11">
        <v>250.79999999999998</v>
      </c>
      <c r="D950" s="11"/>
    </row>
    <row r="951" spans="1:4" x14ac:dyDescent="0.4">
      <c r="B951" t="s">
        <v>739</v>
      </c>
      <c r="C951" s="11">
        <v>200</v>
      </c>
      <c r="D951" s="11"/>
    </row>
    <row r="952" spans="1:4" x14ac:dyDescent="0.4">
      <c r="B952" t="s">
        <v>684</v>
      </c>
      <c r="C952" s="11">
        <v>425.59999999999997</v>
      </c>
      <c r="D952" s="11"/>
    </row>
    <row r="953" spans="1:4" x14ac:dyDescent="0.4">
      <c r="A953" t="s">
        <v>863</v>
      </c>
      <c r="C953" s="11">
        <v>315.97807692307691</v>
      </c>
      <c r="D953" s="11">
        <v>383.5625</v>
      </c>
    </row>
    <row r="954" spans="1:4" x14ac:dyDescent="0.4">
      <c r="A954" t="s">
        <v>386</v>
      </c>
      <c r="B954" t="s">
        <v>720</v>
      </c>
      <c r="C954" s="11"/>
      <c r="D954" s="11">
        <v>184</v>
      </c>
    </row>
    <row r="955" spans="1:4" x14ac:dyDescent="0.4">
      <c r="B955" t="s">
        <v>716</v>
      </c>
      <c r="C955" s="11"/>
      <c r="D955" s="11">
        <v>608</v>
      </c>
    </row>
    <row r="956" spans="1:4" x14ac:dyDescent="0.4">
      <c r="B956" t="s">
        <v>743</v>
      </c>
      <c r="C956" s="11">
        <v>360</v>
      </c>
      <c r="D956" s="11"/>
    </row>
    <row r="957" spans="1:4" x14ac:dyDescent="0.4">
      <c r="B957" t="s">
        <v>728</v>
      </c>
      <c r="C957" s="11"/>
      <c r="D957" s="11">
        <v>99.194999999999993</v>
      </c>
    </row>
    <row r="958" spans="1:4" x14ac:dyDescent="0.4">
      <c r="B958" t="s">
        <v>751</v>
      </c>
      <c r="C958" s="11"/>
      <c r="D958" s="11">
        <v>187.38</v>
      </c>
    </row>
    <row r="959" spans="1:4" x14ac:dyDescent="0.4">
      <c r="B959" t="s">
        <v>723</v>
      </c>
      <c r="C959" s="11"/>
      <c r="D959" s="11">
        <v>1035</v>
      </c>
    </row>
    <row r="960" spans="1:4" x14ac:dyDescent="0.4">
      <c r="B960" t="s">
        <v>721</v>
      </c>
      <c r="C960" s="11"/>
      <c r="D960" s="11">
        <v>108</v>
      </c>
    </row>
    <row r="961" spans="1:4" x14ac:dyDescent="0.4">
      <c r="B961" t="s">
        <v>685</v>
      </c>
      <c r="C961" s="11">
        <v>522</v>
      </c>
      <c r="D961" s="11"/>
    </row>
    <row r="962" spans="1:4" x14ac:dyDescent="0.4">
      <c r="B962" t="s">
        <v>754</v>
      </c>
      <c r="C962" s="11"/>
      <c r="D962" s="11">
        <v>680</v>
      </c>
    </row>
    <row r="963" spans="1:4" x14ac:dyDescent="0.4">
      <c r="B963" t="s">
        <v>749</v>
      </c>
      <c r="C963" s="11"/>
      <c r="D963" s="11">
        <v>126</v>
      </c>
    </row>
    <row r="964" spans="1:4" x14ac:dyDescent="0.4">
      <c r="B964" t="s">
        <v>699</v>
      </c>
      <c r="C964" s="11">
        <v>336</v>
      </c>
      <c r="D964" s="11"/>
    </row>
    <row r="965" spans="1:4" x14ac:dyDescent="0.4">
      <c r="B965" t="s">
        <v>704</v>
      </c>
      <c r="C965" s="11"/>
      <c r="D965" s="11">
        <v>2090</v>
      </c>
    </row>
    <row r="966" spans="1:4" x14ac:dyDescent="0.4">
      <c r="B966" t="s">
        <v>756</v>
      </c>
      <c r="C966" s="11"/>
      <c r="D966" s="11">
        <v>142.5</v>
      </c>
    </row>
    <row r="967" spans="1:4" x14ac:dyDescent="0.4">
      <c r="B967" t="s">
        <v>727</v>
      </c>
      <c r="C967" s="11">
        <v>912</v>
      </c>
      <c r="D967" s="11"/>
    </row>
    <row r="968" spans="1:4" x14ac:dyDescent="0.4">
      <c r="B968" t="s">
        <v>707</v>
      </c>
      <c r="C968" s="11"/>
      <c r="D968" s="11">
        <v>1756</v>
      </c>
    </row>
    <row r="969" spans="1:4" x14ac:dyDescent="0.4">
      <c r="B969" t="s">
        <v>739</v>
      </c>
      <c r="C969" s="11">
        <v>250</v>
      </c>
      <c r="D969" s="11"/>
    </row>
    <row r="970" spans="1:4" x14ac:dyDescent="0.4">
      <c r="B970" t="s">
        <v>710</v>
      </c>
      <c r="C970" s="11"/>
      <c r="D970" s="11">
        <v>340</v>
      </c>
    </row>
    <row r="971" spans="1:4" x14ac:dyDescent="0.4">
      <c r="A971" t="s">
        <v>864</v>
      </c>
      <c r="C971" s="11">
        <v>476</v>
      </c>
      <c r="D971" s="11">
        <v>613.00625000000002</v>
      </c>
    </row>
    <row r="972" spans="1:4" x14ac:dyDescent="0.4">
      <c r="A972" t="s">
        <v>395</v>
      </c>
      <c r="B972" t="s">
        <v>718</v>
      </c>
      <c r="C972" s="11">
        <v>2074.7999999999997</v>
      </c>
      <c r="D972" s="11"/>
    </row>
    <row r="973" spans="1:4" x14ac:dyDescent="0.4">
      <c r="B973" t="s">
        <v>694</v>
      </c>
      <c r="C973" s="11">
        <v>2261</v>
      </c>
      <c r="D973" s="11"/>
    </row>
    <row r="974" spans="1:4" x14ac:dyDescent="0.4">
      <c r="B974" t="s">
        <v>742</v>
      </c>
      <c r="C974" s="11">
        <v>1600</v>
      </c>
      <c r="D974" s="11"/>
    </row>
    <row r="975" spans="1:4" x14ac:dyDescent="0.4">
      <c r="B975" t="s">
        <v>735</v>
      </c>
      <c r="C975" s="11">
        <v>360</v>
      </c>
      <c r="D975" s="11"/>
    </row>
    <row r="976" spans="1:4" x14ac:dyDescent="0.4">
      <c r="B976" t="s">
        <v>745</v>
      </c>
      <c r="C976" s="11">
        <v>176</v>
      </c>
      <c r="D976" s="11"/>
    </row>
    <row r="977" spans="2:4" x14ac:dyDescent="0.4">
      <c r="B977" t="s">
        <v>750</v>
      </c>
      <c r="C977" s="11">
        <v>8263.36</v>
      </c>
      <c r="D977" s="11"/>
    </row>
    <row r="978" spans="2:4" x14ac:dyDescent="0.4">
      <c r="B978" t="s">
        <v>725</v>
      </c>
      <c r="C978" s="11">
        <v>306.375</v>
      </c>
      <c r="D978" s="11"/>
    </row>
    <row r="979" spans="2:4" x14ac:dyDescent="0.4">
      <c r="B979" t="s">
        <v>716</v>
      </c>
      <c r="C979" s="11">
        <v>1463</v>
      </c>
      <c r="D979" s="11"/>
    </row>
    <row r="980" spans="2:4" x14ac:dyDescent="0.4">
      <c r="B980" t="s">
        <v>695</v>
      </c>
      <c r="C980" s="11">
        <v>399</v>
      </c>
      <c r="D980" s="11"/>
    </row>
    <row r="981" spans="2:4" x14ac:dyDescent="0.4">
      <c r="B981" t="s">
        <v>746</v>
      </c>
      <c r="C981" s="11">
        <v>1750</v>
      </c>
      <c r="D981" s="11"/>
    </row>
    <row r="982" spans="2:4" x14ac:dyDescent="0.4">
      <c r="B982" t="s">
        <v>698</v>
      </c>
      <c r="C982" s="11">
        <v>101.25</v>
      </c>
      <c r="D982" s="11"/>
    </row>
    <row r="983" spans="2:4" x14ac:dyDescent="0.4">
      <c r="B983" t="s">
        <v>690</v>
      </c>
      <c r="C983" s="11">
        <v>840</v>
      </c>
      <c r="D983" s="11"/>
    </row>
    <row r="984" spans="2:4" x14ac:dyDescent="0.4">
      <c r="B984" t="s">
        <v>724</v>
      </c>
      <c r="C984" s="11">
        <v>496</v>
      </c>
      <c r="D984" s="11"/>
    </row>
    <row r="985" spans="2:4" x14ac:dyDescent="0.4">
      <c r="B985" t="s">
        <v>700</v>
      </c>
      <c r="C985" s="11">
        <v>240</v>
      </c>
      <c r="D985" s="11"/>
    </row>
    <row r="986" spans="2:4" x14ac:dyDescent="0.4">
      <c r="B986" t="s">
        <v>706</v>
      </c>
      <c r="C986" s="11">
        <v>741</v>
      </c>
      <c r="D986" s="11"/>
    </row>
    <row r="987" spans="2:4" x14ac:dyDescent="0.4">
      <c r="B987" t="s">
        <v>702</v>
      </c>
      <c r="C987" s="11">
        <v>359.86250000000001</v>
      </c>
      <c r="D987" s="11"/>
    </row>
    <row r="988" spans="2:4" x14ac:dyDescent="0.4">
      <c r="B988" t="s">
        <v>683</v>
      </c>
      <c r="C988" s="11">
        <v>299.25</v>
      </c>
      <c r="D988" s="11"/>
    </row>
    <row r="989" spans="2:4" x14ac:dyDescent="0.4">
      <c r="B989" t="s">
        <v>719</v>
      </c>
      <c r="C989" s="11">
        <v>456</v>
      </c>
      <c r="D989" s="11"/>
    </row>
    <row r="990" spans="2:4" x14ac:dyDescent="0.4">
      <c r="B990" t="s">
        <v>704</v>
      </c>
      <c r="C990" s="11">
        <v>1045</v>
      </c>
      <c r="D990" s="11"/>
    </row>
    <row r="991" spans="2:4" x14ac:dyDescent="0.4">
      <c r="B991" t="s">
        <v>739</v>
      </c>
      <c r="C991" s="11">
        <v>213.75</v>
      </c>
      <c r="D991" s="11"/>
    </row>
    <row r="992" spans="2:4" x14ac:dyDescent="0.4">
      <c r="B992" t="s">
        <v>684</v>
      </c>
      <c r="C992" s="11">
        <v>89.600000000000009</v>
      </c>
      <c r="D992" s="11"/>
    </row>
    <row r="993" spans="1:4" x14ac:dyDescent="0.4">
      <c r="B993" t="s">
        <v>710</v>
      </c>
      <c r="C993" s="11">
        <v>420</v>
      </c>
      <c r="D993" s="11"/>
    </row>
    <row r="994" spans="1:4" x14ac:dyDescent="0.4">
      <c r="B994" t="s">
        <v>758</v>
      </c>
      <c r="C994" s="11">
        <v>142.5</v>
      </c>
      <c r="D994" s="11"/>
    </row>
    <row r="995" spans="1:4" x14ac:dyDescent="0.4">
      <c r="B995" t="s">
        <v>714</v>
      </c>
      <c r="C995" s="11">
        <v>691.2</v>
      </c>
      <c r="D995" s="11"/>
    </row>
    <row r="996" spans="1:4" x14ac:dyDescent="0.4">
      <c r="B996" t="s">
        <v>712</v>
      </c>
      <c r="C996" s="11">
        <v>625.54999999999995</v>
      </c>
      <c r="D996" s="11"/>
    </row>
    <row r="997" spans="1:4" x14ac:dyDescent="0.4">
      <c r="B997" t="s">
        <v>741</v>
      </c>
      <c r="C997" s="11">
        <v>349.125</v>
      </c>
      <c r="D997" s="11"/>
    </row>
    <row r="998" spans="1:4" x14ac:dyDescent="0.4">
      <c r="B998" t="s">
        <v>752</v>
      </c>
      <c r="C998" s="11">
        <v>97.28</v>
      </c>
      <c r="D998" s="11"/>
    </row>
    <row r="999" spans="1:4" x14ac:dyDescent="0.4">
      <c r="A999" t="s">
        <v>865</v>
      </c>
      <c r="C999" s="11">
        <v>902.25593750000007</v>
      </c>
      <c r="D999" s="11"/>
    </row>
    <row r="1000" spans="1:4" x14ac:dyDescent="0.4">
      <c r="A1000" t="s">
        <v>404</v>
      </c>
      <c r="B1000" t="s">
        <v>695</v>
      </c>
      <c r="C1000" s="11"/>
      <c r="D1000" s="11">
        <v>125</v>
      </c>
    </row>
    <row r="1001" spans="1:4" x14ac:dyDescent="0.4">
      <c r="B1001" t="s">
        <v>726</v>
      </c>
      <c r="C1001" s="11"/>
      <c r="D1001" s="11">
        <v>120</v>
      </c>
    </row>
    <row r="1002" spans="1:4" x14ac:dyDescent="0.4">
      <c r="B1002" t="s">
        <v>721</v>
      </c>
      <c r="C1002" s="11">
        <v>180</v>
      </c>
      <c r="D1002" s="11"/>
    </row>
    <row r="1003" spans="1:4" x14ac:dyDescent="0.4">
      <c r="B1003" t="s">
        <v>685</v>
      </c>
      <c r="C1003" s="11">
        <v>1044</v>
      </c>
      <c r="D1003" s="11"/>
    </row>
    <row r="1004" spans="1:4" x14ac:dyDescent="0.4">
      <c r="B1004" t="s">
        <v>702</v>
      </c>
      <c r="C1004" s="11"/>
      <c r="D1004" s="11">
        <v>349</v>
      </c>
    </row>
    <row r="1005" spans="1:4" x14ac:dyDescent="0.4">
      <c r="B1005" t="s">
        <v>704</v>
      </c>
      <c r="C1005" s="11">
        <v>660</v>
      </c>
      <c r="D1005" s="11"/>
    </row>
    <row r="1006" spans="1:4" x14ac:dyDescent="0.4">
      <c r="B1006" t="s">
        <v>727</v>
      </c>
      <c r="C1006" s="11">
        <v>728</v>
      </c>
      <c r="D1006" s="11"/>
    </row>
    <row r="1007" spans="1:4" x14ac:dyDescent="0.4">
      <c r="B1007" t="s">
        <v>712</v>
      </c>
      <c r="C1007" s="11">
        <v>472.79999999999995</v>
      </c>
      <c r="D1007" s="11">
        <v>986</v>
      </c>
    </row>
    <row r="1008" spans="1:4" x14ac:dyDescent="0.4">
      <c r="B1008" t="s">
        <v>729</v>
      </c>
      <c r="C1008" s="11">
        <v>263.39999999999998</v>
      </c>
      <c r="D1008" s="11"/>
    </row>
    <row r="1009" spans="1:4" x14ac:dyDescent="0.4">
      <c r="B1009" t="s">
        <v>752</v>
      </c>
      <c r="C1009" s="11">
        <v>114</v>
      </c>
      <c r="D1009" s="11"/>
    </row>
    <row r="1010" spans="1:4" x14ac:dyDescent="0.4">
      <c r="A1010" t="s">
        <v>866</v>
      </c>
      <c r="C1010" s="11">
        <v>494.6</v>
      </c>
      <c r="D1010" s="11">
        <v>395</v>
      </c>
    </row>
    <row r="1011" spans="1:4" x14ac:dyDescent="0.4">
      <c r="A1011" t="s">
        <v>410</v>
      </c>
      <c r="B1011" t="s">
        <v>735</v>
      </c>
      <c r="C1011" s="11">
        <v>144</v>
      </c>
      <c r="D1011" s="11"/>
    </row>
    <row r="1012" spans="1:4" x14ac:dyDescent="0.4">
      <c r="B1012" t="s">
        <v>748</v>
      </c>
      <c r="C1012" s="11">
        <v>42</v>
      </c>
      <c r="D1012" s="11"/>
    </row>
    <row r="1013" spans="1:4" x14ac:dyDescent="0.4">
      <c r="B1013" t="s">
        <v>743</v>
      </c>
      <c r="C1013" s="11">
        <v>108</v>
      </c>
      <c r="D1013" s="11"/>
    </row>
    <row r="1014" spans="1:4" x14ac:dyDescent="0.4">
      <c r="B1014" t="s">
        <v>713</v>
      </c>
      <c r="C1014" s="11">
        <v>90</v>
      </c>
      <c r="D1014" s="11">
        <v>45</v>
      </c>
    </row>
    <row r="1015" spans="1:4" x14ac:dyDescent="0.4">
      <c r="B1015" t="s">
        <v>704</v>
      </c>
      <c r="C1015" s="11">
        <v>220</v>
      </c>
      <c r="D1015" s="11"/>
    </row>
    <row r="1016" spans="1:4" x14ac:dyDescent="0.4">
      <c r="A1016" t="s">
        <v>867</v>
      </c>
      <c r="C1016" s="11">
        <v>120.8</v>
      </c>
      <c r="D1016" s="11">
        <v>45</v>
      </c>
    </row>
    <row r="1017" spans="1:4" x14ac:dyDescent="0.4">
      <c r="A1017" t="s">
        <v>417</v>
      </c>
      <c r="B1017" t="s">
        <v>708</v>
      </c>
      <c r="C1017" s="11"/>
      <c r="D1017" s="11">
        <v>427</v>
      </c>
    </row>
    <row r="1018" spans="1:4" x14ac:dyDescent="0.4">
      <c r="B1018" t="s">
        <v>726</v>
      </c>
      <c r="C1018" s="11"/>
      <c r="D1018" s="11">
        <v>30</v>
      </c>
    </row>
    <row r="1019" spans="1:4" x14ac:dyDescent="0.4">
      <c r="B1019" t="s">
        <v>721</v>
      </c>
      <c r="C1019" s="11"/>
      <c r="D1019" s="11">
        <v>180</v>
      </c>
    </row>
    <row r="1020" spans="1:4" x14ac:dyDescent="0.4">
      <c r="B1020" t="s">
        <v>685</v>
      </c>
      <c r="C1020" s="11"/>
      <c r="D1020" s="11">
        <v>174</v>
      </c>
    </row>
    <row r="1021" spans="1:4" x14ac:dyDescent="0.4">
      <c r="B1021" t="s">
        <v>706</v>
      </c>
      <c r="C1021" s="11"/>
      <c r="D1021" s="11">
        <v>195</v>
      </c>
    </row>
    <row r="1022" spans="1:4" x14ac:dyDescent="0.4">
      <c r="B1022" t="s">
        <v>683</v>
      </c>
      <c r="C1022" s="11"/>
      <c r="D1022" s="11">
        <v>630</v>
      </c>
    </row>
    <row r="1023" spans="1:4" x14ac:dyDescent="0.4">
      <c r="B1023" t="s">
        <v>704</v>
      </c>
      <c r="C1023" s="11">
        <v>110</v>
      </c>
      <c r="D1023" s="11"/>
    </row>
    <row r="1024" spans="1:4" x14ac:dyDescent="0.4">
      <c r="B1024" t="s">
        <v>692</v>
      </c>
      <c r="C1024" s="11"/>
      <c r="D1024" s="11">
        <v>1215</v>
      </c>
    </row>
    <row r="1025" spans="1:4" x14ac:dyDescent="0.4">
      <c r="B1025" t="s">
        <v>710</v>
      </c>
      <c r="C1025" s="11">
        <v>96</v>
      </c>
      <c r="D1025" s="11"/>
    </row>
    <row r="1026" spans="1:4" x14ac:dyDescent="0.4">
      <c r="B1026" t="s">
        <v>686</v>
      </c>
      <c r="C1026" s="11">
        <v>223.20000000000002</v>
      </c>
      <c r="D1026" s="11"/>
    </row>
    <row r="1027" spans="1:4" x14ac:dyDescent="0.4">
      <c r="B1027" t="s">
        <v>715</v>
      </c>
      <c r="C1027" s="11"/>
      <c r="D1027" s="11">
        <v>180</v>
      </c>
    </row>
    <row r="1028" spans="1:4" x14ac:dyDescent="0.4">
      <c r="A1028" t="s">
        <v>868</v>
      </c>
      <c r="C1028" s="11">
        <v>143.06666666666669</v>
      </c>
      <c r="D1028" s="11">
        <v>378.875</v>
      </c>
    </row>
    <row r="1029" spans="1:4" x14ac:dyDescent="0.4">
      <c r="A1029" t="s">
        <v>423</v>
      </c>
      <c r="B1029" t="s">
        <v>718</v>
      </c>
      <c r="C1029" s="11">
        <v>624</v>
      </c>
      <c r="D1029" s="11"/>
    </row>
    <row r="1030" spans="1:4" x14ac:dyDescent="0.4">
      <c r="B1030" t="s">
        <v>742</v>
      </c>
      <c r="C1030" s="11">
        <v>1125</v>
      </c>
      <c r="D1030" s="11"/>
    </row>
    <row r="1031" spans="1:4" x14ac:dyDescent="0.4">
      <c r="B1031" t="s">
        <v>696</v>
      </c>
      <c r="C1031" s="11">
        <v>388.8</v>
      </c>
      <c r="D1031" s="11"/>
    </row>
    <row r="1032" spans="1:4" x14ac:dyDescent="0.4">
      <c r="B1032" t="s">
        <v>747</v>
      </c>
      <c r="C1032" s="11">
        <v>397.5</v>
      </c>
      <c r="D1032" s="11"/>
    </row>
    <row r="1033" spans="1:4" x14ac:dyDescent="0.4">
      <c r="B1033" t="s">
        <v>748</v>
      </c>
      <c r="C1033" s="11">
        <v>168</v>
      </c>
      <c r="D1033" s="11"/>
    </row>
    <row r="1034" spans="1:4" x14ac:dyDescent="0.4">
      <c r="B1034" t="s">
        <v>716</v>
      </c>
      <c r="C1034" s="11"/>
      <c r="D1034" s="11">
        <v>779</v>
      </c>
    </row>
    <row r="1035" spans="1:4" x14ac:dyDescent="0.4">
      <c r="B1035" t="s">
        <v>695</v>
      </c>
      <c r="C1035" s="11">
        <v>187.5</v>
      </c>
      <c r="D1035" s="11">
        <v>175</v>
      </c>
    </row>
    <row r="1036" spans="1:4" x14ac:dyDescent="0.4">
      <c r="B1036" t="s">
        <v>728</v>
      </c>
      <c r="C1036" s="11"/>
      <c r="D1036" s="11">
        <v>233.39999999999998</v>
      </c>
    </row>
    <row r="1037" spans="1:4" x14ac:dyDescent="0.4">
      <c r="B1037" t="s">
        <v>723</v>
      </c>
      <c r="C1037" s="11">
        <v>1104</v>
      </c>
      <c r="D1037" s="11"/>
    </row>
    <row r="1038" spans="1:4" x14ac:dyDescent="0.4">
      <c r="B1038" t="s">
        <v>721</v>
      </c>
      <c r="C1038" s="11"/>
      <c r="D1038" s="11">
        <v>765</v>
      </c>
    </row>
    <row r="1039" spans="1:4" x14ac:dyDescent="0.4">
      <c r="B1039" t="s">
        <v>689</v>
      </c>
      <c r="C1039" s="11"/>
      <c r="D1039" s="11">
        <v>268.38749999999999</v>
      </c>
    </row>
    <row r="1040" spans="1:4" x14ac:dyDescent="0.4">
      <c r="B1040" t="s">
        <v>687</v>
      </c>
      <c r="C1040" s="11"/>
      <c r="D1040" s="11">
        <v>848</v>
      </c>
    </row>
    <row r="1041" spans="1:4" x14ac:dyDescent="0.4">
      <c r="B1041" t="s">
        <v>717</v>
      </c>
      <c r="C1041" s="11">
        <v>310.5</v>
      </c>
      <c r="D1041" s="11"/>
    </row>
    <row r="1042" spans="1:4" x14ac:dyDescent="0.4">
      <c r="B1042" t="s">
        <v>702</v>
      </c>
      <c r="C1042" s="11">
        <v>501.6875</v>
      </c>
      <c r="D1042" s="11">
        <v>872.5</v>
      </c>
    </row>
    <row r="1043" spans="1:4" x14ac:dyDescent="0.4">
      <c r="B1043" t="s">
        <v>704</v>
      </c>
      <c r="C1043" s="11">
        <v>440</v>
      </c>
      <c r="D1043" s="11"/>
    </row>
    <row r="1044" spans="1:4" x14ac:dyDescent="0.4">
      <c r="B1044" t="s">
        <v>707</v>
      </c>
      <c r="C1044" s="11">
        <v>1755</v>
      </c>
      <c r="D1044" s="11"/>
    </row>
    <row r="1045" spans="1:4" x14ac:dyDescent="0.4">
      <c r="B1045" t="s">
        <v>684</v>
      </c>
      <c r="C1045" s="11">
        <v>420</v>
      </c>
      <c r="D1045" s="11"/>
    </row>
    <row r="1046" spans="1:4" x14ac:dyDescent="0.4">
      <c r="B1046" t="s">
        <v>710</v>
      </c>
      <c r="C1046" s="11"/>
      <c r="D1046" s="11">
        <v>135</v>
      </c>
    </row>
    <row r="1047" spans="1:4" x14ac:dyDescent="0.4">
      <c r="B1047" t="s">
        <v>758</v>
      </c>
      <c r="C1047" s="11"/>
      <c r="D1047" s="11">
        <v>171</v>
      </c>
    </row>
    <row r="1048" spans="1:4" x14ac:dyDescent="0.4">
      <c r="B1048" t="s">
        <v>722</v>
      </c>
      <c r="C1048" s="11">
        <v>2227.5</v>
      </c>
      <c r="D1048" s="11"/>
    </row>
    <row r="1049" spans="1:4" x14ac:dyDescent="0.4">
      <c r="A1049" t="s">
        <v>869</v>
      </c>
      <c r="C1049" s="11">
        <v>725.08392857142849</v>
      </c>
      <c r="D1049" s="11">
        <v>502.62875000000003</v>
      </c>
    </row>
    <row r="1050" spans="1:4" x14ac:dyDescent="0.4">
      <c r="A1050" t="s">
        <v>431</v>
      </c>
      <c r="B1050" t="s">
        <v>720</v>
      </c>
      <c r="C1050" s="11">
        <v>368</v>
      </c>
      <c r="D1050" s="11"/>
    </row>
    <row r="1051" spans="1:4" x14ac:dyDescent="0.4">
      <c r="B1051" t="s">
        <v>694</v>
      </c>
      <c r="C1051" s="11">
        <v>1020</v>
      </c>
      <c r="D1051" s="11"/>
    </row>
    <row r="1052" spans="1:4" x14ac:dyDescent="0.4">
      <c r="B1052" t="s">
        <v>701</v>
      </c>
      <c r="C1052" s="11"/>
      <c r="D1052" s="11">
        <v>760</v>
      </c>
    </row>
    <row r="1053" spans="1:4" x14ac:dyDescent="0.4">
      <c r="B1053" t="s">
        <v>696</v>
      </c>
      <c r="C1053" s="11">
        <v>180</v>
      </c>
      <c r="D1053" s="11"/>
    </row>
    <row r="1054" spans="1:4" x14ac:dyDescent="0.4">
      <c r="B1054" t="s">
        <v>725</v>
      </c>
      <c r="C1054" s="11">
        <v>258</v>
      </c>
      <c r="D1054" s="11"/>
    </row>
    <row r="1055" spans="1:4" x14ac:dyDescent="0.4">
      <c r="B1055" t="s">
        <v>695</v>
      </c>
      <c r="C1055" s="11"/>
      <c r="D1055" s="11">
        <v>101.25</v>
      </c>
    </row>
    <row r="1056" spans="1:4" x14ac:dyDescent="0.4">
      <c r="B1056" t="s">
        <v>743</v>
      </c>
      <c r="C1056" s="11">
        <v>432</v>
      </c>
      <c r="D1056" s="11"/>
    </row>
    <row r="1057" spans="2:4" x14ac:dyDescent="0.4">
      <c r="B1057" t="s">
        <v>724</v>
      </c>
      <c r="C1057" s="11"/>
      <c r="D1057" s="11">
        <v>632.4</v>
      </c>
    </row>
    <row r="1058" spans="2:4" x14ac:dyDescent="0.4">
      <c r="B1058" t="s">
        <v>688</v>
      </c>
      <c r="C1058" s="11">
        <v>87.453750000000014</v>
      </c>
      <c r="D1058" s="11">
        <v>183.35</v>
      </c>
    </row>
    <row r="1059" spans="2:4" x14ac:dyDescent="0.4">
      <c r="B1059" t="s">
        <v>726</v>
      </c>
      <c r="C1059" s="11">
        <v>60</v>
      </c>
      <c r="D1059" s="11"/>
    </row>
    <row r="1060" spans="2:4" x14ac:dyDescent="0.4">
      <c r="B1060" t="s">
        <v>689</v>
      </c>
      <c r="C1060" s="11">
        <v>599.92499999999995</v>
      </c>
      <c r="D1060" s="11"/>
    </row>
    <row r="1061" spans="2:4" x14ac:dyDescent="0.4">
      <c r="B1061" t="s">
        <v>687</v>
      </c>
      <c r="C1061" s="11"/>
      <c r="D1061" s="11">
        <v>755.25</v>
      </c>
    </row>
    <row r="1062" spans="2:4" x14ac:dyDescent="0.4">
      <c r="B1062" t="s">
        <v>706</v>
      </c>
      <c r="C1062" s="11">
        <v>123.5</v>
      </c>
      <c r="D1062" s="11">
        <v>259.34999999999997</v>
      </c>
    </row>
    <row r="1063" spans="2:4" x14ac:dyDescent="0.4">
      <c r="B1063" t="s">
        <v>713</v>
      </c>
      <c r="C1063" s="11">
        <v>189</v>
      </c>
      <c r="D1063" s="11"/>
    </row>
    <row r="1064" spans="2:4" x14ac:dyDescent="0.4">
      <c r="B1064" t="s">
        <v>702</v>
      </c>
      <c r="C1064" s="11">
        <v>497.32499999999999</v>
      </c>
      <c r="D1064" s="11"/>
    </row>
    <row r="1065" spans="2:4" x14ac:dyDescent="0.4">
      <c r="B1065" t="s">
        <v>705</v>
      </c>
      <c r="C1065" s="11"/>
      <c r="D1065" s="11">
        <v>265.68</v>
      </c>
    </row>
    <row r="1066" spans="2:4" x14ac:dyDescent="0.4">
      <c r="B1066" t="s">
        <v>683</v>
      </c>
      <c r="C1066" s="11">
        <v>504</v>
      </c>
      <c r="D1066" s="11"/>
    </row>
    <row r="1067" spans="2:4" x14ac:dyDescent="0.4">
      <c r="B1067" t="s">
        <v>691</v>
      </c>
      <c r="C1067" s="11">
        <v>780</v>
      </c>
      <c r="D1067" s="11"/>
    </row>
    <row r="1068" spans="2:4" x14ac:dyDescent="0.4">
      <c r="B1068" t="s">
        <v>739</v>
      </c>
      <c r="C1068" s="11"/>
      <c r="D1068" s="11">
        <v>500</v>
      </c>
    </row>
    <row r="1069" spans="2:4" x14ac:dyDescent="0.4">
      <c r="B1069" t="s">
        <v>712</v>
      </c>
      <c r="C1069" s="11">
        <v>689.97499999999991</v>
      </c>
      <c r="D1069" s="11"/>
    </row>
    <row r="1070" spans="2:4" x14ac:dyDescent="0.4">
      <c r="B1070" t="s">
        <v>686</v>
      </c>
      <c r="C1070" s="11">
        <v>331.3125</v>
      </c>
      <c r="D1070" s="11"/>
    </row>
    <row r="1071" spans="2:4" x14ac:dyDescent="0.4">
      <c r="B1071" t="s">
        <v>753</v>
      </c>
      <c r="C1071" s="11">
        <v>171</v>
      </c>
      <c r="D1071" s="11"/>
    </row>
    <row r="1072" spans="2:4" x14ac:dyDescent="0.4">
      <c r="B1072" t="s">
        <v>715</v>
      </c>
      <c r="C1072" s="11"/>
      <c r="D1072" s="11">
        <v>795</v>
      </c>
    </row>
    <row r="1073" spans="1:4" x14ac:dyDescent="0.4">
      <c r="B1073" t="s">
        <v>752</v>
      </c>
      <c r="C1073" s="11">
        <v>380</v>
      </c>
      <c r="D1073" s="11"/>
    </row>
    <row r="1074" spans="1:4" x14ac:dyDescent="0.4">
      <c r="A1074" t="s">
        <v>870</v>
      </c>
      <c r="C1074" s="11">
        <v>392.04842105263157</v>
      </c>
      <c r="D1074" s="11">
        <v>504.72799999999995</v>
      </c>
    </row>
    <row r="1075" spans="1:4" x14ac:dyDescent="0.4">
      <c r="A1075" t="s">
        <v>445</v>
      </c>
      <c r="B1075" t="s">
        <v>720</v>
      </c>
      <c r="C1075" s="11">
        <v>308.7</v>
      </c>
      <c r="D1075" s="11"/>
    </row>
    <row r="1076" spans="1:4" x14ac:dyDescent="0.4">
      <c r="B1076" t="s">
        <v>694</v>
      </c>
      <c r="C1076" s="11"/>
      <c r="D1076" s="11">
        <v>136</v>
      </c>
    </row>
    <row r="1077" spans="1:4" x14ac:dyDescent="0.4">
      <c r="B1077" t="s">
        <v>735</v>
      </c>
      <c r="C1077" s="11">
        <v>172.8</v>
      </c>
      <c r="D1077" s="11"/>
    </row>
    <row r="1078" spans="1:4" x14ac:dyDescent="0.4">
      <c r="B1078" t="s">
        <v>748</v>
      </c>
      <c r="C1078" s="11">
        <v>112</v>
      </c>
      <c r="D1078" s="11"/>
    </row>
    <row r="1079" spans="1:4" x14ac:dyDescent="0.4">
      <c r="B1079" t="s">
        <v>698</v>
      </c>
      <c r="C1079" s="11"/>
      <c r="D1079" s="11">
        <v>90</v>
      </c>
    </row>
    <row r="1080" spans="1:4" x14ac:dyDescent="0.4">
      <c r="B1080" t="s">
        <v>734</v>
      </c>
      <c r="C1080" s="11">
        <v>420</v>
      </c>
      <c r="D1080" s="11"/>
    </row>
    <row r="1081" spans="1:4" x14ac:dyDescent="0.4">
      <c r="B1081" t="s">
        <v>687</v>
      </c>
      <c r="C1081" s="11"/>
      <c r="D1081" s="11">
        <v>1060</v>
      </c>
    </row>
    <row r="1082" spans="1:4" x14ac:dyDescent="0.4">
      <c r="B1082" t="s">
        <v>705</v>
      </c>
      <c r="C1082" s="11">
        <v>196.79999999999998</v>
      </c>
      <c r="D1082" s="11"/>
    </row>
    <row r="1083" spans="1:4" x14ac:dyDescent="0.4">
      <c r="B1083" t="s">
        <v>683</v>
      </c>
      <c r="C1083" s="11"/>
      <c r="D1083" s="11">
        <v>210</v>
      </c>
    </row>
    <row r="1084" spans="1:4" x14ac:dyDescent="0.4">
      <c r="B1084" t="s">
        <v>731</v>
      </c>
      <c r="C1084" s="11">
        <v>62</v>
      </c>
      <c r="D1084" s="11"/>
    </row>
    <row r="1085" spans="1:4" x14ac:dyDescent="0.4">
      <c r="B1085" t="s">
        <v>756</v>
      </c>
      <c r="C1085" s="11">
        <v>199.5</v>
      </c>
      <c r="D1085" s="11"/>
    </row>
    <row r="1086" spans="1:4" x14ac:dyDescent="0.4">
      <c r="B1086" t="s">
        <v>727</v>
      </c>
      <c r="C1086" s="11">
        <v>655.19999999999993</v>
      </c>
      <c r="D1086" s="11"/>
    </row>
    <row r="1087" spans="1:4" x14ac:dyDescent="0.4">
      <c r="B1087" t="s">
        <v>722</v>
      </c>
      <c r="C1087" s="11">
        <v>396</v>
      </c>
      <c r="D1087" s="11"/>
    </row>
    <row r="1088" spans="1:4" x14ac:dyDescent="0.4">
      <c r="B1088" t="s">
        <v>686</v>
      </c>
      <c r="C1088" s="11">
        <v>223.20000000000002</v>
      </c>
      <c r="D1088" s="11"/>
    </row>
    <row r="1089" spans="1:4" x14ac:dyDescent="0.4">
      <c r="A1089" t="s">
        <v>871</v>
      </c>
      <c r="C1089" s="11">
        <v>274.62</v>
      </c>
      <c r="D1089" s="11">
        <v>374</v>
      </c>
    </row>
    <row r="1090" spans="1:4" x14ac:dyDescent="0.4">
      <c r="A1090" t="s">
        <v>451</v>
      </c>
      <c r="B1090" t="s">
        <v>718</v>
      </c>
      <c r="C1090" s="11">
        <v>1248</v>
      </c>
      <c r="D1090" s="11"/>
    </row>
    <row r="1091" spans="1:4" x14ac:dyDescent="0.4">
      <c r="B1091" t="s">
        <v>742</v>
      </c>
      <c r="C1091" s="11"/>
      <c r="D1091" s="11">
        <v>1750</v>
      </c>
    </row>
    <row r="1092" spans="1:4" x14ac:dyDescent="0.4">
      <c r="B1092" t="s">
        <v>750</v>
      </c>
      <c r="C1092" s="11">
        <v>8432</v>
      </c>
      <c r="D1092" s="11"/>
    </row>
    <row r="1093" spans="1:4" x14ac:dyDescent="0.4">
      <c r="B1093" t="s">
        <v>695</v>
      </c>
      <c r="C1093" s="11">
        <v>100</v>
      </c>
      <c r="D1093" s="11"/>
    </row>
    <row r="1094" spans="1:4" x14ac:dyDescent="0.4">
      <c r="B1094" t="s">
        <v>698</v>
      </c>
      <c r="C1094" s="11">
        <v>126</v>
      </c>
      <c r="D1094" s="11"/>
    </row>
    <row r="1095" spans="1:4" x14ac:dyDescent="0.4">
      <c r="B1095" t="s">
        <v>743</v>
      </c>
      <c r="C1095" s="11">
        <v>1260</v>
      </c>
      <c r="D1095" s="11"/>
    </row>
    <row r="1096" spans="1:4" x14ac:dyDescent="0.4">
      <c r="B1096" t="s">
        <v>751</v>
      </c>
      <c r="C1096" s="11">
        <v>468.45</v>
      </c>
      <c r="D1096" s="11"/>
    </row>
    <row r="1097" spans="1:4" x14ac:dyDescent="0.4">
      <c r="B1097" t="s">
        <v>690</v>
      </c>
      <c r="C1097" s="11"/>
      <c r="D1097" s="11">
        <v>735</v>
      </c>
    </row>
    <row r="1098" spans="1:4" x14ac:dyDescent="0.4">
      <c r="B1098" t="s">
        <v>723</v>
      </c>
      <c r="C1098" s="11">
        <v>1150</v>
      </c>
      <c r="D1098" s="11"/>
    </row>
    <row r="1099" spans="1:4" x14ac:dyDescent="0.4">
      <c r="B1099" t="s">
        <v>688</v>
      </c>
      <c r="C1099" s="11">
        <v>337.75</v>
      </c>
      <c r="D1099" s="11"/>
    </row>
    <row r="1100" spans="1:4" x14ac:dyDescent="0.4">
      <c r="B1100" t="s">
        <v>721</v>
      </c>
      <c r="C1100" s="11">
        <v>900</v>
      </c>
      <c r="D1100" s="11"/>
    </row>
    <row r="1101" spans="1:4" x14ac:dyDescent="0.4">
      <c r="B1101" t="s">
        <v>689</v>
      </c>
      <c r="C1101" s="11">
        <v>202.08000000000004</v>
      </c>
      <c r="D1101" s="11"/>
    </row>
    <row r="1102" spans="1:4" x14ac:dyDescent="0.4">
      <c r="B1102" t="s">
        <v>709</v>
      </c>
      <c r="C1102" s="11"/>
      <c r="D1102" s="11">
        <v>640</v>
      </c>
    </row>
    <row r="1103" spans="1:4" x14ac:dyDescent="0.4">
      <c r="B1103" t="s">
        <v>702</v>
      </c>
      <c r="C1103" s="11">
        <v>250.20000000000002</v>
      </c>
      <c r="D1103" s="11"/>
    </row>
    <row r="1104" spans="1:4" x14ac:dyDescent="0.4">
      <c r="B1104" t="s">
        <v>683</v>
      </c>
      <c r="C1104" s="11">
        <v>175.14000000000001</v>
      </c>
      <c r="D1104" s="11"/>
    </row>
    <row r="1105" spans="1:4" x14ac:dyDescent="0.4">
      <c r="B1105" t="s">
        <v>691</v>
      </c>
      <c r="C1105" s="11">
        <v>390</v>
      </c>
      <c r="D1105" s="11"/>
    </row>
    <row r="1106" spans="1:4" x14ac:dyDescent="0.4">
      <c r="B1106" t="s">
        <v>758</v>
      </c>
      <c r="C1106" s="11">
        <v>570</v>
      </c>
      <c r="D1106" s="11"/>
    </row>
    <row r="1107" spans="1:4" x14ac:dyDescent="0.4">
      <c r="B1107" t="s">
        <v>686</v>
      </c>
      <c r="C1107" s="11">
        <v>651</v>
      </c>
      <c r="D1107" s="11"/>
    </row>
    <row r="1108" spans="1:4" x14ac:dyDescent="0.4">
      <c r="B1108" t="s">
        <v>729</v>
      </c>
      <c r="C1108" s="11">
        <v>395.09999999999997</v>
      </c>
      <c r="D1108" s="11"/>
    </row>
    <row r="1109" spans="1:4" x14ac:dyDescent="0.4">
      <c r="B1109" t="s">
        <v>741</v>
      </c>
      <c r="C1109" s="11"/>
      <c r="D1109" s="11">
        <v>665</v>
      </c>
    </row>
    <row r="1110" spans="1:4" x14ac:dyDescent="0.4">
      <c r="A1110" t="s">
        <v>872</v>
      </c>
      <c r="C1110" s="11">
        <v>1017.8347368421053</v>
      </c>
      <c r="D1110" s="11">
        <v>947.5</v>
      </c>
    </row>
    <row r="1111" spans="1:4" x14ac:dyDescent="0.4">
      <c r="A1111" t="s">
        <v>458</v>
      </c>
      <c r="B1111" t="s">
        <v>735</v>
      </c>
      <c r="C1111" s="11">
        <v>216</v>
      </c>
      <c r="D1111" s="11"/>
    </row>
    <row r="1112" spans="1:4" x14ac:dyDescent="0.4">
      <c r="B1112" t="s">
        <v>696</v>
      </c>
      <c r="C1112" s="11">
        <v>216</v>
      </c>
      <c r="D1112" s="11"/>
    </row>
    <row r="1113" spans="1:4" x14ac:dyDescent="0.4">
      <c r="B1113" t="s">
        <v>745</v>
      </c>
      <c r="C1113" s="11">
        <v>285.12</v>
      </c>
      <c r="D1113" s="11"/>
    </row>
    <row r="1114" spans="1:4" x14ac:dyDescent="0.4">
      <c r="B1114" t="s">
        <v>716</v>
      </c>
      <c r="C1114" s="11">
        <v>851.19999999999993</v>
      </c>
      <c r="D1114" s="11"/>
    </row>
    <row r="1115" spans="1:4" x14ac:dyDescent="0.4">
      <c r="B1115" t="s">
        <v>687</v>
      </c>
      <c r="C1115" s="11">
        <v>648.71999999999991</v>
      </c>
      <c r="D1115" s="11"/>
    </row>
    <row r="1116" spans="1:4" x14ac:dyDescent="0.4">
      <c r="B1116" t="s">
        <v>754</v>
      </c>
      <c r="C1116" s="11"/>
      <c r="D1116" s="11">
        <v>1200</v>
      </c>
    </row>
    <row r="1117" spans="1:4" x14ac:dyDescent="0.4">
      <c r="B1117" t="s">
        <v>684</v>
      </c>
      <c r="C1117" s="11"/>
      <c r="D1117" s="11">
        <v>196</v>
      </c>
    </row>
    <row r="1118" spans="1:4" x14ac:dyDescent="0.4">
      <c r="B1118" t="s">
        <v>710</v>
      </c>
      <c r="C1118" s="11">
        <v>97</v>
      </c>
      <c r="D1118" s="11"/>
    </row>
    <row r="1119" spans="1:4" x14ac:dyDescent="0.4">
      <c r="B1119" t="s">
        <v>722</v>
      </c>
      <c r="C1119" s="11"/>
      <c r="D1119" s="11">
        <v>1237.9000000000001</v>
      </c>
    </row>
    <row r="1120" spans="1:4" x14ac:dyDescent="0.4">
      <c r="A1120" t="s">
        <v>873</v>
      </c>
      <c r="C1120" s="11">
        <v>344.43428571428569</v>
      </c>
      <c r="D1120" s="11">
        <v>877.9666666666667</v>
      </c>
    </row>
    <row r="1121" spans="1:4" x14ac:dyDescent="0.4">
      <c r="A1121" t="s">
        <v>463</v>
      </c>
      <c r="B1121" t="s">
        <v>696</v>
      </c>
      <c r="C1121" s="11">
        <v>360</v>
      </c>
      <c r="D1121" s="11"/>
    </row>
    <row r="1122" spans="1:4" x14ac:dyDescent="0.4">
      <c r="B1122" t="s">
        <v>725</v>
      </c>
      <c r="C1122" s="11">
        <v>172</v>
      </c>
      <c r="D1122" s="11"/>
    </row>
    <row r="1123" spans="1:4" x14ac:dyDescent="0.4">
      <c r="B1123" t="s">
        <v>746</v>
      </c>
      <c r="C1123" s="11"/>
      <c r="D1123" s="11">
        <v>1000</v>
      </c>
    </row>
    <row r="1124" spans="1:4" x14ac:dyDescent="0.4">
      <c r="B1124" t="s">
        <v>728</v>
      </c>
      <c r="C1124" s="11">
        <v>334.8</v>
      </c>
      <c r="D1124" s="11"/>
    </row>
    <row r="1125" spans="1:4" x14ac:dyDescent="0.4">
      <c r="B1125" t="s">
        <v>751</v>
      </c>
      <c r="C1125" s="11">
        <v>467.19</v>
      </c>
      <c r="D1125" s="11"/>
    </row>
    <row r="1126" spans="1:4" x14ac:dyDescent="0.4">
      <c r="B1126" t="s">
        <v>688</v>
      </c>
      <c r="C1126" s="11">
        <v>55.440000000000005</v>
      </c>
      <c r="D1126" s="11">
        <v>38.6</v>
      </c>
    </row>
    <row r="1127" spans="1:4" x14ac:dyDescent="0.4">
      <c r="B1127" t="s">
        <v>726</v>
      </c>
      <c r="C1127" s="11">
        <v>86.4</v>
      </c>
      <c r="D1127" s="11"/>
    </row>
    <row r="1128" spans="1:4" x14ac:dyDescent="0.4">
      <c r="B1128" t="s">
        <v>689</v>
      </c>
      <c r="C1128" s="11">
        <v>302.40000000000003</v>
      </c>
      <c r="D1128" s="11"/>
    </row>
    <row r="1129" spans="1:4" x14ac:dyDescent="0.4">
      <c r="B1129" t="s">
        <v>687</v>
      </c>
      <c r="C1129" s="11">
        <v>76.319999999999993</v>
      </c>
      <c r="D1129" s="11"/>
    </row>
    <row r="1130" spans="1:4" x14ac:dyDescent="0.4">
      <c r="B1130" t="s">
        <v>706</v>
      </c>
      <c r="C1130" s="11">
        <v>174.2</v>
      </c>
      <c r="D1130" s="11"/>
    </row>
    <row r="1131" spans="1:4" x14ac:dyDescent="0.4">
      <c r="B1131" t="s">
        <v>705</v>
      </c>
      <c r="C1131" s="11">
        <v>334.05</v>
      </c>
      <c r="D1131" s="11"/>
    </row>
    <row r="1132" spans="1:4" x14ac:dyDescent="0.4">
      <c r="B1132" t="s">
        <v>683</v>
      </c>
      <c r="C1132" s="11"/>
      <c r="D1132" s="11">
        <v>315</v>
      </c>
    </row>
    <row r="1133" spans="1:4" x14ac:dyDescent="0.4">
      <c r="B1133" t="s">
        <v>710</v>
      </c>
      <c r="C1133" s="11">
        <v>160</v>
      </c>
      <c r="D1133" s="11"/>
    </row>
    <row r="1134" spans="1:4" x14ac:dyDescent="0.4">
      <c r="B1134" t="s">
        <v>714</v>
      </c>
      <c r="C1134" s="11">
        <v>342</v>
      </c>
      <c r="D1134" s="11"/>
    </row>
    <row r="1135" spans="1:4" x14ac:dyDescent="0.4">
      <c r="B1135" t="s">
        <v>732</v>
      </c>
      <c r="C1135" s="11">
        <v>150.41</v>
      </c>
      <c r="D1135" s="11"/>
    </row>
    <row r="1136" spans="1:4" x14ac:dyDescent="0.4">
      <c r="B1136" t="s">
        <v>686</v>
      </c>
      <c r="C1136" s="11"/>
      <c r="D1136" s="11">
        <v>279</v>
      </c>
    </row>
    <row r="1137" spans="1:4" x14ac:dyDescent="0.4">
      <c r="B1137" t="s">
        <v>738</v>
      </c>
      <c r="C1137" s="11"/>
      <c r="D1137" s="11">
        <v>35.760000000000005</v>
      </c>
    </row>
    <row r="1138" spans="1:4" x14ac:dyDescent="0.4">
      <c r="B1138" t="s">
        <v>729</v>
      </c>
      <c r="C1138" s="11">
        <v>505.44000000000005</v>
      </c>
      <c r="D1138" s="11"/>
    </row>
    <row r="1139" spans="1:4" x14ac:dyDescent="0.4">
      <c r="A1139" t="s">
        <v>874</v>
      </c>
      <c r="C1139" s="11">
        <v>262.97105263157897</v>
      </c>
      <c r="D1139" s="11">
        <v>333.67199999999997</v>
      </c>
    </row>
    <row r="1140" spans="1:4" x14ac:dyDescent="0.4">
      <c r="A1140" t="s">
        <v>470</v>
      </c>
      <c r="B1140" t="s">
        <v>720</v>
      </c>
      <c r="C1140" s="11">
        <v>185.45999999999995</v>
      </c>
      <c r="D1140" s="11"/>
    </row>
    <row r="1141" spans="1:4" x14ac:dyDescent="0.4">
      <c r="B1141" t="s">
        <v>694</v>
      </c>
      <c r="C1141" s="11">
        <v>969</v>
      </c>
      <c r="D1141" s="11"/>
    </row>
    <row r="1142" spans="1:4" x14ac:dyDescent="0.4">
      <c r="B1142" t="s">
        <v>735</v>
      </c>
      <c r="C1142" s="11">
        <v>144</v>
      </c>
      <c r="D1142" s="11"/>
    </row>
    <row r="1143" spans="1:4" x14ac:dyDescent="0.4">
      <c r="B1143" t="s">
        <v>745</v>
      </c>
      <c r="C1143" s="11">
        <v>132</v>
      </c>
      <c r="D1143" s="11">
        <v>495</v>
      </c>
    </row>
    <row r="1144" spans="1:4" x14ac:dyDescent="0.4">
      <c r="B1144" t="s">
        <v>757</v>
      </c>
      <c r="C1144" s="11">
        <v>306</v>
      </c>
      <c r="D1144" s="11"/>
    </row>
    <row r="1145" spans="1:4" x14ac:dyDescent="0.4">
      <c r="B1145" t="s">
        <v>750</v>
      </c>
      <c r="C1145" s="11">
        <v>6324</v>
      </c>
      <c r="D1145" s="11"/>
    </row>
    <row r="1146" spans="1:4" x14ac:dyDescent="0.4">
      <c r="B1146" t="s">
        <v>747</v>
      </c>
      <c r="C1146" s="11"/>
      <c r="D1146" s="11">
        <v>198.75</v>
      </c>
    </row>
    <row r="1147" spans="1:4" x14ac:dyDescent="0.4">
      <c r="B1147" t="s">
        <v>748</v>
      </c>
      <c r="C1147" s="11"/>
      <c r="D1147" s="11">
        <v>39.9</v>
      </c>
    </row>
    <row r="1148" spans="1:4" x14ac:dyDescent="0.4">
      <c r="B1148" t="s">
        <v>725</v>
      </c>
      <c r="C1148" s="11"/>
      <c r="D1148" s="11">
        <v>537.5</v>
      </c>
    </row>
    <row r="1149" spans="1:4" x14ac:dyDescent="0.4">
      <c r="B1149" t="s">
        <v>693</v>
      </c>
      <c r="C1149" s="11"/>
      <c r="D1149" s="11">
        <v>75</v>
      </c>
    </row>
    <row r="1150" spans="1:4" x14ac:dyDescent="0.4">
      <c r="B1150" t="s">
        <v>716</v>
      </c>
      <c r="C1150" s="11">
        <v>2166</v>
      </c>
      <c r="D1150" s="11"/>
    </row>
    <row r="1151" spans="1:4" x14ac:dyDescent="0.4">
      <c r="B1151" t="s">
        <v>695</v>
      </c>
      <c r="C1151" s="11">
        <v>237.5</v>
      </c>
      <c r="D1151" s="11"/>
    </row>
    <row r="1152" spans="1:4" x14ac:dyDescent="0.4">
      <c r="B1152" t="s">
        <v>698</v>
      </c>
      <c r="C1152" s="11">
        <v>157.5</v>
      </c>
      <c r="D1152" s="11"/>
    </row>
    <row r="1153" spans="2:4" x14ac:dyDescent="0.4">
      <c r="B1153" t="s">
        <v>751</v>
      </c>
      <c r="C1153" s="11">
        <v>747</v>
      </c>
      <c r="D1153" s="11">
        <v>624.6</v>
      </c>
    </row>
    <row r="1154" spans="2:4" x14ac:dyDescent="0.4">
      <c r="B1154" t="s">
        <v>703</v>
      </c>
      <c r="C1154" s="11">
        <v>68.400000000000006</v>
      </c>
      <c r="D1154" s="11"/>
    </row>
    <row r="1155" spans="2:4" x14ac:dyDescent="0.4">
      <c r="B1155" t="s">
        <v>723</v>
      </c>
      <c r="C1155" s="11"/>
      <c r="D1155" s="11">
        <v>1407.6</v>
      </c>
    </row>
    <row r="1156" spans="2:4" x14ac:dyDescent="0.4">
      <c r="B1156" t="s">
        <v>721</v>
      </c>
      <c r="C1156" s="11"/>
      <c r="D1156" s="11">
        <v>1080</v>
      </c>
    </row>
    <row r="1157" spans="2:4" x14ac:dyDescent="0.4">
      <c r="B1157" t="s">
        <v>697</v>
      </c>
      <c r="C1157" s="11"/>
      <c r="D1157" s="11">
        <v>756</v>
      </c>
    </row>
    <row r="1158" spans="2:4" x14ac:dyDescent="0.4">
      <c r="B1158" t="s">
        <v>685</v>
      </c>
      <c r="C1158" s="11">
        <v>875.7</v>
      </c>
      <c r="D1158" s="11"/>
    </row>
    <row r="1159" spans="2:4" x14ac:dyDescent="0.4">
      <c r="B1159" t="s">
        <v>717</v>
      </c>
      <c r="C1159" s="11">
        <v>388.35</v>
      </c>
      <c r="D1159" s="11">
        <v>310.68000000000006</v>
      </c>
    </row>
    <row r="1160" spans="2:4" x14ac:dyDescent="0.4">
      <c r="B1160" t="s">
        <v>754</v>
      </c>
      <c r="C1160" s="11"/>
      <c r="D1160" s="11">
        <v>960</v>
      </c>
    </row>
    <row r="1161" spans="2:4" x14ac:dyDescent="0.4">
      <c r="B1161" t="s">
        <v>706</v>
      </c>
      <c r="C1161" s="11"/>
      <c r="D1161" s="11">
        <v>309.39999999999998</v>
      </c>
    </row>
    <row r="1162" spans="2:4" x14ac:dyDescent="0.4">
      <c r="B1162" t="s">
        <v>713</v>
      </c>
      <c r="C1162" s="11">
        <v>570</v>
      </c>
      <c r="D1162" s="11"/>
    </row>
    <row r="1163" spans="2:4" x14ac:dyDescent="0.4">
      <c r="B1163" t="s">
        <v>699</v>
      </c>
      <c r="C1163" s="11">
        <v>288</v>
      </c>
      <c r="D1163" s="11"/>
    </row>
    <row r="1164" spans="2:4" x14ac:dyDescent="0.4">
      <c r="B1164" t="s">
        <v>683</v>
      </c>
      <c r="C1164" s="11">
        <v>210</v>
      </c>
      <c r="D1164" s="11"/>
    </row>
    <row r="1165" spans="2:4" x14ac:dyDescent="0.4">
      <c r="B1165" t="s">
        <v>731</v>
      </c>
      <c r="C1165" s="11"/>
      <c r="D1165" s="11">
        <v>260.40000000000003</v>
      </c>
    </row>
    <row r="1166" spans="2:4" x14ac:dyDescent="0.4">
      <c r="B1166" t="s">
        <v>727</v>
      </c>
      <c r="C1166" s="11">
        <v>1375.92</v>
      </c>
      <c r="D1166" s="11">
        <v>310.08</v>
      </c>
    </row>
    <row r="1167" spans="2:4" x14ac:dyDescent="0.4">
      <c r="B1167" t="s">
        <v>692</v>
      </c>
      <c r="C1167" s="11">
        <v>583.19999999999993</v>
      </c>
      <c r="D1167" s="11"/>
    </row>
    <row r="1168" spans="2:4" x14ac:dyDescent="0.4">
      <c r="B1168" t="s">
        <v>710</v>
      </c>
      <c r="C1168" s="11">
        <v>216</v>
      </c>
      <c r="D1168" s="11"/>
    </row>
    <row r="1169" spans="1:4" x14ac:dyDescent="0.4">
      <c r="B1169" t="s">
        <v>714</v>
      </c>
      <c r="C1169" s="11"/>
      <c r="D1169" s="11">
        <v>540</v>
      </c>
    </row>
    <row r="1170" spans="1:4" x14ac:dyDescent="0.4">
      <c r="B1170" t="s">
        <v>732</v>
      </c>
      <c r="C1170" s="11">
        <v>36.5</v>
      </c>
      <c r="D1170" s="11"/>
    </row>
    <row r="1171" spans="1:4" x14ac:dyDescent="0.4">
      <c r="B1171" t="s">
        <v>738</v>
      </c>
      <c r="C1171" s="11">
        <v>106.20000000000002</v>
      </c>
      <c r="D1171" s="11"/>
    </row>
    <row r="1172" spans="1:4" x14ac:dyDescent="0.4">
      <c r="B1172" t="s">
        <v>755</v>
      </c>
      <c r="C1172" s="11">
        <v>385.9375</v>
      </c>
      <c r="D1172" s="11"/>
    </row>
    <row r="1173" spans="1:4" x14ac:dyDescent="0.4">
      <c r="A1173" t="s">
        <v>875</v>
      </c>
      <c r="C1173" s="11">
        <v>712.50350000000003</v>
      </c>
      <c r="D1173" s="11">
        <v>526.99400000000003</v>
      </c>
    </row>
    <row r="1174" spans="1:4" x14ac:dyDescent="0.4">
      <c r="A1174" t="s">
        <v>476</v>
      </c>
      <c r="B1174" t="s">
        <v>740</v>
      </c>
      <c r="C1174" s="11">
        <v>600</v>
      </c>
      <c r="D1174" s="11"/>
    </row>
    <row r="1175" spans="1:4" x14ac:dyDescent="0.4">
      <c r="B1175" t="s">
        <v>720</v>
      </c>
      <c r="C1175" s="11">
        <v>843.96666666666658</v>
      </c>
      <c r="D1175" s="11"/>
    </row>
    <row r="1176" spans="1:4" x14ac:dyDescent="0.4">
      <c r="B1176" t="s">
        <v>694</v>
      </c>
      <c r="C1176" s="11">
        <v>1850.1666666666667</v>
      </c>
      <c r="D1176" s="11">
        <v>1249.5</v>
      </c>
    </row>
    <row r="1177" spans="1:4" x14ac:dyDescent="0.4">
      <c r="B1177" t="s">
        <v>742</v>
      </c>
      <c r="C1177" s="11">
        <v>1750</v>
      </c>
      <c r="D1177" s="11"/>
    </row>
    <row r="1178" spans="1:4" x14ac:dyDescent="0.4">
      <c r="B1178" t="s">
        <v>735</v>
      </c>
      <c r="C1178" s="11">
        <v>529.20000000000005</v>
      </c>
      <c r="D1178" s="11"/>
    </row>
    <row r="1179" spans="1:4" x14ac:dyDescent="0.4">
      <c r="B1179" t="s">
        <v>701</v>
      </c>
      <c r="C1179" s="11">
        <v>912</v>
      </c>
      <c r="D1179" s="11">
        <v>458.375</v>
      </c>
    </row>
    <row r="1180" spans="1:4" x14ac:dyDescent="0.4">
      <c r="B1180" t="s">
        <v>696</v>
      </c>
      <c r="C1180" s="11">
        <v>699.84</v>
      </c>
      <c r="D1180" s="11">
        <v>1368</v>
      </c>
    </row>
    <row r="1181" spans="1:4" x14ac:dyDescent="0.4">
      <c r="B1181" t="s">
        <v>745</v>
      </c>
      <c r="C1181" s="11">
        <v>990</v>
      </c>
      <c r="D1181" s="11"/>
    </row>
    <row r="1182" spans="1:4" x14ac:dyDescent="0.4">
      <c r="B1182" t="s">
        <v>750</v>
      </c>
      <c r="C1182" s="11">
        <v>7905</v>
      </c>
      <c r="D1182" s="11">
        <v>15019.5</v>
      </c>
    </row>
    <row r="1183" spans="1:4" x14ac:dyDescent="0.4">
      <c r="B1183" t="s">
        <v>747</v>
      </c>
      <c r="C1183" s="11"/>
      <c r="D1183" s="11">
        <v>715.5</v>
      </c>
    </row>
    <row r="1184" spans="1:4" x14ac:dyDescent="0.4">
      <c r="B1184" t="s">
        <v>725</v>
      </c>
      <c r="C1184" s="11"/>
      <c r="D1184" s="11">
        <v>564.375</v>
      </c>
    </row>
    <row r="1185" spans="2:4" x14ac:dyDescent="0.4">
      <c r="B1185" t="s">
        <v>693</v>
      </c>
      <c r="C1185" s="11">
        <v>37</v>
      </c>
      <c r="D1185" s="11"/>
    </row>
    <row r="1186" spans="2:4" x14ac:dyDescent="0.4">
      <c r="B1186" t="s">
        <v>695</v>
      </c>
      <c r="C1186" s="11">
        <v>363.4375</v>
      </c>
      <c r="D1186" s="11"/>
    </row>
    <row r="1187" spans="2:4" x14ac:dyDescent="0.4">
      <c r="B1187" t="s">
        <v>743</v>
      </c>
      <c r="C1187" s="11"/>
      <c r="D1187" s="11">
        <v>324</v>
      </c>
    </row>
    <row r="1188" spans="2:4" x14ac:dyDescent="0.4">
      <c r="B1188" t="s">
        <v>728</v>
      </c>
      <c r="C1188" s="11">
        <v>567.29166666666663</v>
      </c>
      <c r="D1188" s="11"/>
    </row>
    <row r="1189" spans="2:4" x14ac:dyDescent="0.4">
      <c r="B1189" t="s">
        <v>751</v>
      </c>
      <c r="C1189" s="11">
        <v>1249.2</v>
      </c>
      <c r="D1189" s="11">
        <v>1967.49</v>
      </c>
    </row>
    <row r="1190" spans="2:4" x14ac:dyDescent="0.4">
      <c r="B1190" t="s">
        <v>724</v>
      </c>
      <c r="C1190" s="11">
        <v>565.44000000000005</v>
      </c>
      <c r="D1190" s="11"/>
    </row>
    <row r="1191" spans="2:4" x14ac:dyDescent="0.4">
      <c r="B1191" t="s">
        <v>703</v>
      </c>
      <c r="C1191" s="11">
        <v>347.7</v>
      </c>
      <c r="D1191" s="11"/>
    </row>
    <row r="1192" spans="2:4" x14ac:dyDescent="0.4">
      <c r="B1192" t="s">
        <v>723</v>
      </c>
      <c r="C1192" s="11">
        <v>1840</v>
      </c>
      <c r="D1192" s="11">
        <v>828</v>
      </c>
    </row>
    <row r="1193" spans="2:4" x14ac:dyDescent="0.4">
      <c r="B1193" t="s">
        <v>726</v>
      </c>
      <c r="C1193" s="11"/>
      <c r="D1193" s="11">
        <v>276</v>
      </c>
    </row>
    <row r="1194" spans="2:4" x14ac:dyDescent="0.4">
      <c r="B1194" t="s">
        <v>721</v>
      </c>
      <c r="C1194" s="11">
        <v>451.43999999999994</v>
      </c>
      <c r="D1194" s="11">
        <v>1044</v>
      </c>
    </row>
    <row r="1195" spans="2:4" x14ac:dyDescent="0.4">
      <c r="B1195" t="s">
        <v>700</v>
      </c>
      <c r="C1195" s="11">
        <v>120</v>
      </c>
      <c r="D1195" s="11"/>
    </row>
    <row r="1196" spans="2:4" x14ac:dyDescent="0.4">
      <c r="B1196" t="s">
        <v>689</v>
      </c>
      <c r="C1196" s="11">
        <v>423.36</v>
      </c>
      <c r="D1196" s="11">
        <v>1515.6000000000001</v>
      </c>
    </row>
    <row r="1197" spans="2:4" x14ac:dyDescent="0.4">
      <c r="B1197" t="s">
        <v>687</v>
      </c>
      <c r="C1197" s="11">
        <v>2162.4</v>
      </c>
      <c r="D1197" s="11">
        <v>1749</v>
      </c>
    </row>
    <row r="1198" spans="2:4" x14ac:dyDescent="0.4">
      <c r="B1198" t="s">
        <v>759</v>
      </c>
      <c r="C1198" s="11">
        <v>1319.2</v>
      </c>
      <c r="D1198" s="11"/>
    </row>
    <row r="1199" spans="2:4" x14ac:dyDescent="0.4">
      <c r="B1199" t="s">
        <v>685</v>
      </c>
      <c r="C1199" s="11">
        <v>243.59999999999997</v>
      </c>
      <c r="D1199" s="11">
        <v>1218</v>
      </c>
    </row>
    <row r="1200" spans="2:4" x14ac:dyDescent="0.4">
      <c r="B1200" t="s">
        <v>754</v>
      </c>
      <c r="C1200" s="11">
        <v>2240</v>
      </c>
      <c r="D1200" s="11"/>
    </row>
    <row r="1201" spans="2:4" x14ac:dyDescent="0.4">
      <c r="B1201" t="s">
        <v>706</v>
      </c>
      <c r="C1201" s="11">
        <v>689.65000000000009</v>
      </c>
      <c r="D1201" s="11"/>
    </row>
    <row r="1202" spans="2:4" x14ac:dyDescent="0.4">
      <c r="B1202" t="s">
        <v>713</v>
      </c>
      <c r="C1202" s="11">
        <v>750</v>
      </c>
      <c r="D1202" s="11">
        <v>240</v>
      </c>
    </row>
    <row r="1203" spans="2:4" x14ac:dyDescent="0.4">
      <c r="B1203" t="s">
        <v>699</v>
      </c>
      <c r="C1203" s="11">
        <v>2073.6</v>
      </c>
      <c r="D1203" s="11"/>
    </row>
    <row r="1204" spans="2:4" x14ac:dyDescent="0.4">
      <c r="B1204" t="s">
        <v>702</v>
      </c>
      <c r="C1204" s="11">
        <v>872.5</v>
      </c>
      <c r="D1204" s="11"/>
    </row>
    <row r="1205" spans="2:4" x14ac:dyDescent="0.4">
      <c r="B1205" t="s">
        <v>705</v>
      </c>
      <c r="C1205" s="11">
        <v>754.56</v>
      </c>
      <c r="D1205" s="11">
        <v>656</v>
      </c>
    </row>
    <row r="1206" spans="2:4" x14ac:dyDescent="0.4">
      <c r="B1206" t="s">
        <v>704</v>
      </c>
      <c r="C1206" s="11">
        <v>1925</v>
      </c>
      <c r="D1206" s="11"/>
    </row>
    <row r="1207" spans="2:4" x14ac:dyDescent="0.4">
      <c r="B1207" t="s">
        <v>731</v>
      </c>
      <c r="C1207" s="11"/>
      <c r="D1207" s="11">
        <v>294.5</v>
      </c>
    </row>
    <row r="1208" spans="2:4" x14ac:dyDescent="0.4">
      <c r="B1208" t="s">
        <v>756</v>
      </c>
      <c r="C1208" s="11">
        <v>807.5</v>
      </c>
      <c r="D1208" s="11"/>
    </row>
    <row r="1209" spans="2:4" x14ac:dyDescent="0.4">
      <c r="B1209" t="s">
        <v>707</v>
      </c>
      <c r="C1209" s="11">
        <v>5268</v>
      </c>
      <c r="D1209" s="11"/>
    </row>
    <row r="1210" spans="2:4" x14ac:dyDescent="0.4">
      <c r="B1210" t="s">
        <v>739</v>
      </c>
      <c r="C1210" s="11">
        <v>437.5</v>
      </c>
      <c r="D1210" s="11"/>
    </row>
    <row r="1211" spans="2:4" x14ac:dyDescent="0.4">
      <c r="B1211" t="s">
        <v>684</v>
      </c>
      <c r="C1211" s="11">
        <v>610.4</v>
      </c>
      <c r="D1211" s="11">
        <v>544.6</v>
      </c>
    </row>
    <row r="1212" spans="2:4" x14ac:dyDescent="0.4">
      <c r="B1212" t="s">
        <v>692</v>
      </c>
      <c r="C1212" s="11"/>
      <c r="D1212" s="11">
        <v>1377</v>
      </c>
    </row>
    <row r="1213" spans="2:4" x14ac:dyDescent="0.4">
      <c r="B1213" t="s">
        <v>710</v>
      </c>
      <c r="C1213" s="11">
        <v>600</v>
      </c>
      <c r="D1213" s="11"/>
    </row>
    <row r="1214" spans="2:4" x14ac:dyDescent="0.4">
      <c r="B1214" t="s">
        <v>758</v>
      </c>
      <c r="C1214" s="11">
        <v>364.8</v>
      </c>
      <c r="D1214" s="11"/>
    </row>
    <row r="1215" spans="2:4" x14ac:dyDescent="0.4">
      <c r="B1215" t="s">
        <v>714</v>
      </c>
      <c r="C1215" s="11">
        <v>1440</v>
      </c>
      <c r="D1215" s="11">
        <v>405</v>
      </c>
    </row>
    <row r="1216" spans="2:4" x14ac:dyDescent="0.4">
      <c r="B1216" t="s">
        <v>712</v>
      </c>
      <c r="C1216" s="11">
        <v>1971.1999999999998</v>
      </c>
      <c r="D1216" s="11"/>
    </row>
    <row r="1217" spans="1:4" x14ac:dyDescent="0.4">
      <c r="B1217" t="s">
        <v>732</v>
      </c>
      <c r="C1217" s="11">
        <v>584</v>
      </c>
      <c r="D1217" s="11">
        <v>436.99999999999994</v>
      </c>
    </row>
    <row r="1218" spans="1:4" x14ac:dyDescent="0.4">
      <c r="B1218" t="s">
        <v>722</v>
      </c>
      <c r="C1218" s="11">
        <v>4951.6000000000004</v>
      </c>
      <c r="D1218" s="11"/>
    </row>
    <row r="1219" spans="1:4" x14ac:dyDescent="0.4">
      <c r="B1219" t="s">
        <v>753</v>
      </c>
      <c r="C1219" s="11"/>
      <c r="D1219" s="11">
        <v>567</v>
      </c>
    </row>
    <row r="1220" spans="1:4" x14ac:dyDescent="0.4">
      <c r="B1220" t="s">
        <v>715</v>
      </c>
      <c r="C1220" s="11">
        <v>2700</v>
      </c>
      <c r="D1220" s="11">
        <v>1350</v>
      </c>
    </row>
    <row r="1221" spans="1:4" x14ac:dyDescent="0.4">
      <c r="B1221" t="s">
        <v>741</v>
      </c>
      <c r="C1221" s="11">
        <v>837.9</v>
      </c>
      <c r="D1221" s="11">
        <v>1596</v>
      </c>
    </row>
    <row r="1222" spans="1:4" x14ac:dyDescent="0.4">
      <c r="B1222" t="s">
        <v>752</v>
      </c>
      <c r="C1222" s="11">
        <v>418</v>
      </c>
      <c r="D1222" s="11"/>
    </row>
    <row r="1223" spans="1:4" x14ac:dyDescent="0.4">
      <c r="A1223" t="s">
        <v>876</v>
      </c>
      <c r="C1223" s="11">
        <v>1242.3314035087719</v>
      </c>
      <c r="D1223" s="11">
        <v>1360.8418965517242</v>
      </c>
    </row>
    <row r="1224" spans="1:4" x14ac:dyDescent="0.4">
      <c r="A1224" t="s">
        <v>482</v>
      </c>
      <c r="B1224" t="s">
        <v>720</v>
      </c>
      <c r="C1224" s="11">
        <v>294</v>
      </c>
      <c r="D1224" s="11"/>
    </row>
    <row r="1225" spans="1:4" x14ac:dyDescent="0.4">
      <c r="B1225" t="s">
        <v>750</v>
      </c>
      <c r="C1225" s="11"/>
      <c r="D1225" s="11">
        <v>527</v>
      </c>
    </row>
    <row r="1226" spans="1:4" x14ac:dyDescent="0.4">
      <c r="B1226" t="s">
        <v>751</v>
      </c>
      <c r="C1226" s="11">
        <v>149.39999999999998</v>
      </c>
      <c r="D1226" s="11"/>
    </row>
    <row r="1227" spans="1:4" x14ac:dyDescent="0.4">
      <c r="B1227" t="s">
        <v>687</v>
      </c>
      <c r="C1227" s="11">
        <v>371</v>
      </c>
      <c r="D1227" s="11"/>
    </row>
    <row r="1228" spans="1:4" x14ac:dyDescent="0.4">
      <c r="B1228" t="s">
        <v>709</v>
      </c>
      <c r="C1228" s="11"/>
      <c r="D1228" s="11">
        <v>192</v>
      </c>
    </row>
    <row r="1229" spans="1:4" x14ac:dyDescent="0.4">
      <c r="B1229" t="s">
        <v>697</v>
      </c>
      <c r="C1229" s="11"/>
      <c r="D1229" s="11">
        <v>40</v>
      </c>
    </row>
    <row r="1230" spans="1:4" x14ac:dyDescent="0.4">
      <c r="B1230" t="s">
        <v>702</v>
      </c>
      <c r="C1230" s="11"/>
      <c r="D1230" s="11">
        <v>104.69999999999999</v>
      </c>
    </row>
    <row r="1231" spans="1:4" x14ac:dyDescent="0.4">
      <c r="B1231" t="s">
        <v>691</v>
      </c>
      <c r="C1231" s="11"/>
      <c r="D1231" s="11">
        <v>390</v>
      </c>
    </row>
    <row r="1232" spans="1:4" x14ac:dyDescent="0.4">
      <c r="B1232" t="s">
        <v>692</v>
      </c>
      <c r="C1232" s="11"/>
      <c r="D1232" s="11">
        <v>405</v>
      </c>
    </row>
    <row r="1233" spans="1:4" x14ac:dyDescent="0.4">
      <c r="B1233" t="s">
        <v>710</v>
      </c>
      <c r="C1233" s="11">
        <v>50</v>
      </c>
      <c r="D1233" s="11"/>
    </row>
    <row r="1234" spans="1:4" x14ac:dyDescent="0.4">
      <c r="B1234" t="s">
        <v>758</v>
      </c>
      <c r="C1234" s="11">
        <v>285</v>
      </c>
      <c r="D1234" s="11"/>
    </row>
    <row r="1235" spans="1:4" x14ac:dyDescent="0.4">
      <c r="B1235" t="s">
        <v>737</v>
      </c>
      <c r="C1235" s="11"/>
      <c r="D1235" s="11">
        <v>36</v>
      </c>
    </row>
    <row r="1236" spans="1:4" x14ac:dyDescent="0.4">
      <c r="A1236" t="s">
        <v>877</v>
      </c>
      <c r="C1236" s="11">
        <v>229.88000000000002</v>
      </c>
      <c r="D1236" s="11">
        <v>242.1</v>
      </c>
    </row>
    <row r="1237" spans="1:4" x14ac:dyDescent="0.4">
      <c r="A1237" t="s">
        <v>488</v>
      </c>
      <c r="B1237" t="s">
        <v>718</v>
      </c>
      <c r="C1237" s="11">
        <v>690.56000000000006</v>
      </c>
      <c r="D1237" s="11">
        <v>234</v>
      </c>
    </row>
    <row r="1238" spans="1:4" x14ac:dyDescent="0.4">
      <c r="B1238" t="s">
        <v>740</v>
      </c>
      <c r="C1238" s="11"/>
      <c r="D1238" s="11">
        <v>40</v>
      </c>
    </row>
    <row r="1239" spans="1:4" x14ac:dyDescent="0.4">
      <c r="B1239" t="s">
        <v>694</v>
      </c>
      <c r="C1239" s="11">
        <v>571.19999999999993</v>
      </c>
      <c r="D1239" s="11">
        <v>63.919999999999995</v>
      </c>
    </row>
    <row r="1240" spans="1:4" x14ac:dyDescent="0.4">
      <c r="B1240" t="s">
        <v>735</v>
      </c>
      <c r="C1240" s="11">
        <v>259.2</v>
      </c>
      <c r="D1240" s="11"/>
    </row>
    <row r="1241" spans="1:4" x14ac:dyDescent="0.4">
      <c r="B1241" t="s">
        <v>701</v>
      </c>
      <c r="C1241" s="11"/>
      <c r="D1241" s="11">
        <v>324.89999999999998</v>
      </c>
    </row>
    <row r="1242" spans="1:4" x14ac:dyDescent="0.4">
      <c r="B1242" t="s">
        <v>696</v>
      </c>
      <c r="C1242" s="11"/>
      <c r="D1242" s="11">
        <v>34.199999999999996</v>
      </c>
    </row>
    <row r="1243" spans="1:4" x14ac:dyDescent="0.4">
      <c r="B1243" t="s">
        <v>745</v>
      </c>
      <c r="C1243" s="11"/>
      <c r="D1243" s="11">
        <v>217.25</v>
      </c>
    </row>
    <row r="1244" spans="1:4" x14ac:dyDescent="0.4">
      <c r="B1244" t="s">
        <v>708</v>
      </c>
      <c r="C1244" s="11">
        <v>163.20000000000002</v>
      </c>
      <c r="D1244" s="11"/>
    </row>
    <row r="1245" spans="1:4" x14ac:dyDescent="0.4">
      <c r="B1245" t="s">
        <v>750</v>
      </c>
      <c r="C1245" s="11">
        <v>6324</v>
      </c>
      <c r="D1245" s="11">
        <v>10540</v>
      </c>
    </row>
    <row r="1246" spans="1:4" x14ac:dyDescent="0.4">
      <c r="B1246" t="s">
        <v>747</v>
      </c>
      <c r="C1246" s="11">
        <v>286.2</v>
      </c>
      <c r="D1246" s="11"/>
    </row>
    <row r="1247" spans="1:4" x14ac:dyDescent="0.4">
      <c r="B1247" t="s">
        <v>748</v>
      </c>
      <c r="C1247" s="11"/>
      <c r="D1247" s="11">
        <v>14</v>
      </c>
    </row>
    <row r="1248" spans="1:4" x14ac:dyDescent="0.4">
      <c r="B1248" t="s">
        <v>725</v>
      </c>
      <c r="C1248" s="11">
        <v>612.75</v>
      </c>
      <c r="D1248" s="11"/>
    </row>
    <row r="1249" spans="2:4" x14ac:dyDescent="0.4">
      <c r="B1249" t="s">
        <v>716</v>
      </c>
      <c r="C1249" s="11">
        <v>932.26666666666677</v>
      </c>
      <c r="D1249" s="11">
        <v>1140</v>
      </c>
    </row>
    <row r="1250" spans="2:4" x14ac:dyDescent="0.4">
      <c r="B1250" t="s">
        <v>695</v>
      </c>
      <c r="C1250" s="11">
        <v>273.75</v>
      </c>
      <c r="D1250" s="11"/>
    </row>
    <row r="1251" spans="2:4" x14ac:dyDescent="0.4">
      <c r="B1251" t="s">
        <v>746</v>
      </c>
      <c r="C1251" s="11"/>
      <c r="D1251" s="11">
        <v>24.5</v>
      </c>
    </row>
    <row r="1252" spans="2:4" x14ac:dyDescent="0.4">
      <c r="B1252" t="s">
        <v>698</v>
      </c>
      <c r="C1252" s="11"/>
      <c r="D1252" s="11">
        <v>101.25</v>
      </c>
    </row>
    <row r="1253" spans="2:4" x14ac:dyDescent="0.4">
      <c r="B1253" t="s">
        <v>724</v>
      </c>
      <c r="C1253" s="11"/>
      <c r="D1253" s="11">
        <v>31</v>
      </c>
    </row>
    <row r="1254" spans="2:4" x14ac:dyDescent="0.4">
      <c r="B1254" t="s">
        <v>723</v>
      </c>
      <c r="C1254" s="11">
        <v>552</v>
      </c>
      <c r="D1254" s="11"/>
    </row>
    <row r="1255" spans="2:4" x14ac:dyDescent="0.4">
      <c r="B1255" t="s">
        <v>688</v>
      </c>
      <c r="C1255" s="11">
        <v>77</v>
      </c>
      <c r="D1255" s="11">
        <v>28.950000000000003</v>
      </c>
    </row>
    <row r="1256" spans="2:4" x14ac:dyDescent="0.4">
      <c r="B1256" t="s">
        <v>726</v>
      </c>
      <c r="C1256" s="11"/>
      <c r="D1256" s="11">
        <v>24</v>
      </c>
    </row>
    <row r="1257" spans="2:4" x14ac:dyDescent="0.4">
      <c r="B1257" t="s">
        <v>721</v>
      </c>
      <c r="C1257" s="11">
        <v>540</v>
      </c>
      <c r="D1257" s="11"/>
    </row>
    <row r="1258" spans="2:4" x14ac:dyDescent="0.4">
      <c r="B1258" t="s">
        <v>689</v>
      </c>
      <c r="C1258" s="11">
        <v>336</v>
      </c>
      <c r="D1258" s="11"/>
    </row>
    <row r="1259" spans="2:4" x14ac:dyDescent="0.4">
      <c r="B1259" t="s">
        <v>744</v>
      </c>
      <c r="C1259" s="11"/>
      <c r="D1259" s="11">
        <v>17</v>
      </c>
    </row>
    <row r="1260" spans="2:4" x14ac:dyDescent="0.4">
      <c r="B1260" t="s">
        <v>709</v>
      </c>
      <c r="C1260" s="11">
        <v>921.6</v>
      </c>
      <c r="D1260" s="11">
        <v>32</v>
      </c>
    </row>
    <row r="1261" spans="2:4" x14ac:dyDescent="0.4">
      <c r="B1261" t="s">
        <v>685</v>
      </c>
      <c r="C1261" s="11">
        <v>667.2</v>
      </c>
      <c r="D1261" s="11"/>
    </row>
    <row r="1262" spans="2:4" x14ac:dyDescent="0.4">
      <c r="B1262" t="s">
        <v>717</v>
      </c>
      <c r="C1262" s="11">
        <v>372.59999999999997</v>
      </c>
      <c r="D1262" s="11"/>
    </row>
    <row r="1263" spans="2:4" x14ac:dyDescent="0.4">
      <c r="B1263" t="s">
        <v>754</v>
      </c>
      <c r="C1263" s="11"/>
      <c r="D1263" s="11">
        <v>72</v>
      </c>
    </row>
    <row r="1264" spans="2:4" x14ac:dyDescent="0.4">
      <c r="B1264" t="s">
        <v>749</v>
      </c>
      <c r="C1264" s="11"/>
      <c r="D1264" s="11">
        <v>367.5</v>
      </c>
    </row>
    <row r="1265" spans="2:4" x14ac:dyDescent="0.4">
      <c r="B1265" t="s">
        <v>706</v>
      </c>
      <c r="C1265" s="11"/>
      <c r="D1265" s="11">
        <v>208</v>
      </c>
    </row>
    <row r="1266" spans="2:4" x14ac:dyDescent="0.4">
      <c r="B1266" t="s">
        <v>699</v>
      </c>
      <c r="C1266" s="11">
        <v>570</v>
      </c>
      <c r="D1266" s="11">
        <v>48</v>
      </c>
    </row>
    <row r="1267" spans="2:4" x14ac:dyDescent="0.4">
      <c r="B1267" t="s">
        <v>702</v>
      </c>
      <c r="C1267" s="11"/>
      <c r="D1267" s="11">
        <v>33.852999999999994</v>
      </c>
    </row>
    <row r="1268" spans="2:4" x14ac:dyDescent="0.4">
      <c r="B1268" t="s">
        <v>705</v>
      </c>
      <c r="C1268" s="11">
        <v>733.6</v>
      </c>
      <c r="D1268" s="11"/>
    </row>
    <row r="1269" spans="2:4" x14ac:dyDescent="0.4">
      <c r="B1269" t="s">
        <v>683</v>
      </c>
      <c r="C1269" s="11"/>
      <c r="D1269" s="11">
        <v>840</v>
      </c>
    </row>
    <row r="1270" spans="2:4" x14ac:dyDescent="0.4">
      <c r="B1270" t="s">
        <v>719</v>
      </c>
      <c r="C1270" s="11"/>
      <c r="D1270" s="11">
        <v>72.2</v>
      </c>
    </row>
    <row r="1271" spans="2:4" x14ac:dyDescent="0.4">
      <c r="B1271" t="s">
        <v>704</v>
      </c>
      <c r="C1271" s="11">
        <v>2640</v>
      </c>
      <c r="D1271" s="11"/>
    </row>
    <row r="1272" spans="2:4" x14ac:dyDescent="0.4">
      <c r="B1272" t="s">
        <v>731</v>
      </c>
      <c r="C1272" s="11">
        <v>37.200000000000003</v>
      </c>
      <c r="D1272" s="11">
        <v>85.25</v>
      </c>
    </row>
    <row r="1273" spans="2:4" x14ac:dyDescent="0.4">
      <c r="B1273" t="s">
        <v>730</v>
      </c>
      <c r="C1273" s="11"/>
      <c r="D1273" s="11">
        <v>29.7</v>
      </c>
    </row>
    <row r="1274" spans="2:4" x14ac:dyDescent="0.4">
      <c r="B1274" t="s">
        <v>707</v>
      </c>
      <c r="C1274" s="11">
        <v>2195</v>
      </c>
      <c r="D1274" s="11"/>
    </row>
    <row r="1275" spans="2:4" x14ac:dyDescent="0.4">
      <c r="B1275" t="s">
        <v>692</v>
      </c>
      <c r="C1275" s="11">
        <v>388.79999999999995</v>
      </c>
      <c r="D1275" s="11">
        <v>77.759999999999991</v>
      </c>
    </row>
    <row r="1276" spans="2:4" x14ac:dyDescent="0.4">
      <c r="B1276" t="s">
        <v>737</v>
      </c>
      <c r="C1276" s="11"/>
      <c r="D1276" s="11">
        <v>35.28</v>
      </c>
    </row>
    <row r="1277" spans="2:4" x14ac:dyDescent="0.4">
      <c r="B1277" t="s">
        <v>712</v>
      </c>
      <c r="C1277" s="11">
        <v>1822.25</v>
      </c>
      <c r="D1277" s="11">
        <v>2119.9</v>
      </c>
    </row>
    <row r="1278" spans="2:4" x14ac:dyDescent="0.4">
      <c r="B1278" t="s">
        <v>686</v>
      </c>
      <c r="C1278" s="11"/>
      <c r="D1278" s="11">
        <v>22.552499999999998</v>
      </c>
    </row>
    <row r="1279" spans="2:4" x14ac:dyDescent="0.4">
      <c r="B1279" t="s">
        <v>753</v>
      </c>
      <c r="C1279" s="11"/>
      <c r="D1279" s="11">
        <v>18</v>
      </c>
    </row>
    <row r="1280" spans="2:4" x14ac:dyDescent="0.4">
      <c r="B1280" t="s">
        <v>715</v>
      </c>
      <c r="C1280" s="11">
        <v>360</v>
      </c>
      <c r="D1280" s="11">
        <v>914.25</v>
      </c>
    </row>
    <row r="1281" spans="1:4" x14ac:dyDescent="0.4">
      <c r="B1281" t="s">
        <v>741</v>
      </c>
      <c r="C1281" s="11">
        <v>798</v>
      </c>
      <c r="D1281" s="11">
        <v>64.504999999999995</v>
      </c>
    </row>
    <row r="1282" spans="1:4" x14ac:dyDescent="0.4">
      <c r="A1282" t="s">
        <v>878</v>
      </c>
      <c r="C1282" s="11">
        <v>889.47060606060586</v>
      </c>
      <c r="D1282" s="11">
        <v>572.24396052631585</v>
      </c>
    </row>
    <row r="1283" spans="1:4" x14ac:dyDescent="0.4">
      <c r="A1283" t="s">
        <v>497</v>
      </c>
      <c r="B1283" t="s">
        <v>718</v>
      </c>
      <c r="C1283" s="11">
        <v>741</v>
      </c>
      <c r="D1283" s="11"/>
    </row>
    <row r="1284" spans="1:4" x14ac:dyDescent="0.4">
      <c r="B1284" t="s">
        <v>748</v>
      </c>
      <c r="C1284" s="11">
        <v>23.8</v>
      </c>
      <c r="D1284" s="11">
        <v>93.1</v>
      </c>
    </row>
    <row r="1285" spans="1:4" x14ac:dyDescent="0.4">
      <c r="B1285" t="s">
        <v>693</v>
      </c>
      <c r="C1285" s="11">
        <v>45</v>
      </c>
      <c r="D1285" s="11"/>
    </row>
    <row r="1286" spans="1:4" x14ac:dyDescent="0.4">
      <c r="B1286" t="s">
        <v>716</v>
      </c>
      <c r="C1286" s="11">
        <v>361</v>
      </c>
      <c r="D1286" s="11"/>
    </row>
    <row r="1287" spans="1:4" x14ac:dyDescent="0.4">
      <c r="B1287" t="s">
        <v>695</v>
      </c>
      <c r="C1287" s="11"/>
      <c r="D1287" s="11">
        <v>180</v>
      </c>
    </row>
    <row r="1288" spans="1:4" x14ac:dyDescent="0.4">
      <c r="B1288" t="s">
        <v>698</v>
      </c>
      <c r="C1288" s="11"/>
      <c r="D1288" s="11">
        <v>45</v>
      </c>
    </row>
    <row r="1289" spans="1:4" x14ac:dyDescent="0.4">
      <c r="B1289" t="s">
        <v>688</v>
      </c>
      <c r="C1289" s="11">
        <v>154.4</v>
      </c>
      <c r="D1289" s="11"/>
    </row>
    <row r="1290" spans="1:4" x14ac:dyDescent="0.4">
      <c r="B1290" t="s">
        <v>697</v>
      </c>
      <c r="C1290" s="11"/>
      <c r="D1290" s="11">
        <v>560</v>
      </c>
    </row>
    <row r="1291" spans="1:4" x14ac:dyDescent="0.4">
      <c r="B1291" t="s">
        <v>685</v>
      </c>
      <c r="C1291" s="11"/>
      <c r="D1291" s="11">
        <v>1252.8</v>
      </c>
    </row>
    <row r="1292" spans="1:4" x14ac:dyDescent="0.4">
      <c r="B1292" t="s">
        <v>706</v>
      </c>
      <c r="C1292" s="11"/>
      <c r="D1292" s="11">
        <v>260</v>
      </c>
    </row>
    <row r="1293" spans="1:4" x14ac:dyDescent="0.4">
      <c r="B1293" t="s">
        <v>713</v>
      </c>
      <c r="C1293" s="11"/>
      <c r="D1293" s="11">
        <v>144</v>
      </c>
    </row>
    <row r="1294" spans="1:4" x14ac:dyDescent="0.4">
      <c r="B1294" t="s">
        <v>705</v>
      </c>
      <c r="C1294" s="11"/>
      <c r="D1294" s="11">
        <v>262.40000000000003</v>
      </c>
    </row>
    <row r="1295" spans="1:4" x14ac:dyDescent="0.4">
      <c r="B1295" t="s">
        <v>683</v>
      </c>
      <c r="C1295" s="11">
        <v>80.640000000000015</v>
      </c>
      <c r="D1295" s="11"/>
    </row>
    <row r="1296" spans="1:4" x14ac:dyDescent="0.4">
      <c r="B1296" t="s">
        <v>704</v>
      </c>
      <c r="C1296" s="11">
        <v>522.5</v>
      </c>
      <c r="D1296" s="11"/>
    </row>
    <row r="1297" spans="1:4" x14ac:dyDescent="0.4">
      <c r="B1297" t="s">
        <v>727</v>
      </c>
      <c r="C1297" s="11">
        <v>436.79999999999995</v>
      </c>
      <c r="D1297" s="11"/>
    </row>
    <row r="1298" spans="1:4" x14ac:dyDescent="0.4">
      <c r="B1298" t="s">
        <v>739</v>
      </c>
      <c r="C1298" s="11">
        <v>27</v>
      </c>
      <c r="D1298" s="11"/>
    </row>
    <row r="1299" spans="1:4" x14ac:dyDescent="0.4">
      <c r="B1299" t="s">
        <v>737</v>
      </c>
      <c r="C1299" s="11">
        <v>192</v>
      </c>
      <c r="D1299" s="11"/>
    </row>
    <row r="1300" spans="1:4" x14ac:dyDescent="0.4">
      <c r="B1300" t="s">
        <v>712</v>
      </c>
      <c r="C1300" s="11">
        <v>443.7</v>
      </c>
      <c r="D1300" s="11"/>
    </row>
    <row r="1301" spans="1:4" x14ac:dyDescent="0.4">
      <c r="B1301" t="s">
        <v>738</v>
      </c>
      <c r="C1301" s="11">
        <v>53.1</v>
      </c>
      <c r="D1301" s="11"/>
    </row>
    <row r="1302" spans="1:4" x14ac:dyDescent="0.4">
      <c r="B1302" t="s">
        <v>715</v>
      </c>
      <c r="C1302" s="11"/>
      <c r="D1302" s="11">
        <v>585</v>
      </c>
    </row>
    <row r="1303" spans="1:4" x14ac:dyDescent="0.4">
      <c r="A1303" t="s">
        <v>879</v>
      </c>
      <c r="C1303" s="11">
        <v>256.745</v>
      </c>
      <c r="D1303" s="11">
        <v>396.73</v>
      </c>
    </row>
    <row r="1304" spans="1:4" x14ac:dyDescent="0.4">
      <c r="A1304" t="s">
        <v>504</v>
      </c>
      <c r="B1304" t="s">
        <v>718</v>
      </c>
      <c r="C1304" s="11"/>
      <c r="D1304" s="11">
        <v>468</v>
      </c>
    </row>
    <row r="1305" spans="1:4" x14ac:dyDescent="0.4">
      <c r="B1305" t="s">
        <v>694</v>
      </c>
      <c r="C1305" s="11">
        <v>1088</v>
      </c>
      <c r="D1305" s="11">
        <v>1190</v>
      </c>
    </row>
    <row r="1306" spans="1:4" x14ac:dyDescent="0.4">
      <c r="B1306" t="s">
        <v>742</v>
      </c>
      <c r="C1306" s="11"/>
      <c r="D1306" s="11">
        <v>1562.5</v>
      </c>
    </row>
    <row r="1307" spans="1:4" x14ac:dyDescent="0.4">
      <c r="B1307" t="s">
        <v>701</v>
      </c>
      <c r="C1307" s="11">
        <v>380</v>
      </c>
      <c r="D1307" s="11">
        <v>136.32499999999999</v>
      </c>
    </row>
    <row r="1308" spans="1:4" x14ac:dyDescent="0.4">
      <c r="B1308" t="s">
        <v>748</v>
      </c>
      <c r="C1308" s="11">
        <v>490</v>
      </c>
      <c r="D1308" s="11"/>
    </row>
    <row r="1309" spans="1:4" x14ac:dyDescent="0.4">
      <c r="B1309" t="s">
        <v>725</v>
      </c>
      <c r="C1309" s="11">
        <v>34.4</v>
      </c>
      <c r="D1309" s="11"/>
    </row>
    <row r="1310" spans="1:4" x14ac:dyDescent="0.4">
      <c r="B1310" t="s">
        <v>698</v>
      </c>
      <c r="C1310" s="11">
        <v>57.375</v>
      </c>
      <c r="D1310" s="11"/>
    </row>
    <row r="1311" spans="1:4" x14ac:dyDescent="0.4">
      <c r="B1311" t="s">
        <v>690</v>
      </c>
      <c r="C1311" s="11">
        <v>315</v>
      </c>
      <c r="D1311" s="11"/>
    </row>
    <row r="1312" spans="1:4" x14ac:dyDescent="0.4">
      <c r="B1312" t="s">
        <v>703</v>
      </c>
      <c r="C1312" s="11">
        <v>475</v>
      </c>
      <c r="D1312" s="11"/>
    </row>
    <row r="1313" spans="1:4" x14ac:dyDescent="0.4">
      <c r="B1313" t="s">
        <v>726</v>
      </c>
      <c r="C1313" s="11"/>
      <c r="D1313" s="11">
        <v>180</v>
      </c>
    </row>
    <row r="1314" spans="1:4" x14ac:dyDescent="0.4">
      <c r="B1314" t="s">
        <v>689</v>
      </c>
      <c r="C1314" s="11">
        <v>588</v>
      </c>
      <c r="D1314" s="11"/>
    </row>
    <row r="1315" spans="1:4" x14ac:dyDescent="0.4">
      <c r="B1315" t="s">
        <v>697</v>
      </c>
      <c r="C1315" s="11">
        <v>384</v>
      </c>
      <c r="D1315" s="11"/>
    </row>
    <row r="1316" spans="1:4" x14ac:dyDescent="0.4">
      <c r="B1316" t="s">
        <v>749</v>
      </c>
      <c r="C1316" s="11"/>
      <c r="D1316" s="11">
        <v>133</v>
      </c>
    </row>
    <row r="1317" spans="1:4" x14ac:dyDescent="0.4">
      <c r="B1317" t="s">
        <v>713</v>
      </c>
      <c r="C1317" s="11">
        <v>240</v>
      </c>
      <c r="D1317" s="11"/>
    </row>
    <row r="1318" spans="1:4" x14ac:dyDescent="0.4">
      <c r="B1318" t="s">
        <v>702</v>
      </c>
      <c r="C1318" s="11">
        <v>472.59999999999997</v>
      </c>
      <c r="D1318" s="11">
        <v>392.625</v>
      </c>
    </row>
    <row r="1319" spans="1:4" x14ac:dyDescent="0.4">
      <c r="B1319" t="s">
        <v>704</v>
      </c>
      <c r="C1319" s="11"/>
      <c r="D1319" s="11">
        <v>2194.5</v>
      </c>
    </row>
    <row r="1320" spans="1:4" x14ac:dyDescent="0.4">
      <c r="B1320" t="s">
        <v>691</v>
      </c>
      <c r="C1320" s="11"/>
      <c r="D1320" s="11">
        <v>185.25</v>
      </c>
    </row>
    <row r="1321" spans="1:4" x14ac:dyDescent="0.4">
      <c r="B1321" t="s">
        <v>736</v>
      </c>
      <c r="C1321" s="11">
        <v>224</v>
      </c>
      <c r="D1321" s="11"/>
    </row>
    <row r="1322" spans="1:4" x14ac:dyDescent="0.4">
      <c r="B1322" t="s">
        <v>739</v>
      </c>
      <c r="C1322" s="11">
        <v>180</v>
      </c>
      <c r="D1322" s="11"/>
    </row>
    <row r="1323" spans="1:4" x14ac:dyDescent="0.4">
      <c r="B1323" t="s">
        <v>737</v>
      </c>
      <c r="C1323" s="11">
        <v>122.39999999999999</v>
      </c>
      <c r="D1323" s="11">
        <v>420</v>
      </c>
    </row>
    <row r="1324" spans="1:4" x14ac:dyDescent="0.4">
      <c r="B1324" t="s">
        <v>732</v>
      </c>
      <c r="C1324" s="11">
        <v>200.75</v>
      </c>
      <c r="D1324" s="11"/>
    </row>
    <row r="1325" spans="1:4" x14ac:dyDescent="0.4">
      <c r="A1325" t="s">
        <v>880</v>
      </c>
      <c r="C1325" s="11">
        <v>340.76718749999998</v>
      </c>
      <c r="D1325" s="11">
        <v>636.22954545454547</v>
      </c>
    </row>
    <row r="1326" spans="1:4" x14ac:dyDescent="0.4">
      <c r="A1326" t="s">
        <v>510</v>
      </c>
      <c r="B1326" t="s">
        <v>694</v>
      </c>
      <c r="C1326" s="11">
        <v>1550.3999999999999</v>
      </c>
      <c r="D1326" s="11"/>
    </row>
    <row r="1327" spans="1:4" x14ac:dyDescent="0.4">
      <c r="B1327" t="s">
        <v>701</v>
      </c>
      <c r="C1327" s="11">
        <v>304</v>
      </c>
      <c r="D1327" s="11">
        <v>161.5</v>
      </c>
    </row>
    <row r="1328" spans="1:4" x14ac:dyDescent="0.4">
      <c r="B1328" t="s">
        <v>747</v>
      </c>
      <c r="C1328" s="11">
        <v>265</v>
      </c>
      <c r="D1328" s="11"/>
    </row>
    <row r="1329" spans="2:4" x14ac:dyDescent="0.4">
      <c r="B1329" t="s">
        <v>748</v>
      </c>
      <c r="C1329" s="11">
        <v>420</v>
      </c>
      <c r="D1329" s="11"/>
    </row>
    <row r="1330" spans="2:4" x14ac:dyDescent="0.4">
      <c r="B1330" t="s">
        <v>693</v>
      </c>
      <c r="C1330" s="11"/>
      <c r="D1330" s="11">
        <v>35.625</v>
      </c>
    </row>
    <row r="1331" spans="2:4" x14ac:dyDescent="0.4">
      <c r="B1331" t="s">
        <v>695</v>
      </c>
      <c r="C1331" s="11">
        <v>375</v>
      </c>
      <c r="D1331" s="11"/>
    </row>
    <row r="1332" spans="2:4" x14ac:dyDescent="0.4">
      <c r="B1332" t="s">
        <v>743</v>
      </c>
      <c r="C1332" s="11">
        <v>547.19999999999993</v>
      </c>
      <c r="D1332" s="11">
        <v>1166.4000000000001</v>
      </c>
    </row>
    <row r="1333" spans="2:4" x14ac:dyDescent="0.4">
      <c r="B1333" t="s">
        <v>751</v>
      </c>
      <c r="C1333" s="11">
        <v>480.94200000000001</v>
      </c>
      <c r="D1333" s="11"/>
    </row>
    <row r="1334" spans="2:4" x14ac:dyDescent="0.4">
      <c r="B1334" t="s">
        <v>703</v>
      </c>
      <c r="C1334" s="11">
        <v>380</v>
      </c>
      <c r="D1334" s="11"/>
    </row>
    <row r="1335" spans="2:4" x14ac:dyDescent="0.4">
      <c r="B1335" t="s">
        <v>688</v>
      </c>
      <c r="C1335" s="11"/>
      <c r="D1335" s="11">
        <v>55.005000000000003</v>
      </c>
    </row>
    <row r="1336" spans="2:4" x14ac:dyDescent="0.4">
      <c r="B1336" t="s">
        <v>726</v>
      </c>
      <c r="C1336" s="11"/>
      <c r="D1336" s="11">
        <v>214.2</v>
      </c>
    </row>
    <row r="1337" spans="2:4" x14ac:dyDescent="0.4">
      <c r="B1337" t="s">
        <v>721</v>
      </c>
      <c r="C1337" s="11"/>
      <c r="D1337" s="11">
        <v>30.599999999999998</v>
      </c>
    </row>
    <row r="1338" spans="2:4" x14ac:dyDescent="0.4">
      <c r="B1338" t="s">
        <v>689</v>
      </c>
      <c r="C1338" s="11">
        <v>210.5</v>
      </c>
      <c r="D1338" s="11"/>
    </row>
    <row r="1339" spans="2:4" x14ac:dyDescent="0.4">
      <c r="B1339" t="s">
        <v>687</v>
      </c>
      <c r="C1339" s="11">
        <v>318</v>
      </c>
      <c r="D1339" s="11"/>
    </row>
    <row r="1340" spans="2:4" x14ac:dyDescent="0.4">
      <c r="B1340" t="s">
        <v>685</v>
      </c>
      <c r="C1340" s="11">
        <v>730.8</v>
      </c>
      <c r="D1340" s="11"/>
    </row>
    <row r="1341" spans="2:4" x14ac:dyDescent="0.4">
      <c r="B1341" t="s">
        <v>717</v>
      </c>
      <c r="C1341" s="11">
        <v>776.7</v>
      </c>
      <c r="D1341" s="11"/>
    </row>
    <row r="1342" spans="2:4" x14ac:dyDescent="0.4">
      <c r="B1342" t="s">
        <v>713</v>
      </c>
      <c r="C1342" s="11">
        <v>600</v>
      </c>
      <c r="D1342" s="11"/>
    </row>
    <row r="1343" spans="2:4" x14ac:dyDescent="0.4">
      <c r="B1343" t="s">
        <v>702</v>
      </c>
      <c r="C1343" s="11">
        <v>486.5</v>
      </c>
      <c r="D1343" s="11"/>
    </row>
    <row r="1344" spans="2:4" x14ac:dyDescent="0.4">
      <c r="B1344" t="s">
        <v>705</v>
      </c>
      <c r="C1344" s="11"/>
      <c r="D1344" s="11">
        <v>2066.4</v>
      </c>
    </row>
    <row r="1345" spans="1:4" x14ac:dyDescent="0.4">
      <c r="B1345" t="s">
        <v>704</v>
      </c>
      <c r="C1345" s="11">
        <v>1320</v>
      </c>
      <c r="D1345" s="11"/>
    </row>
    <row r="1346" spans="1:4" x14ac:dyDescent="0.4">
      <c r="B1346" t="s">
        <v>691</v>
      </c>
      <c r="C1346" s="11"/>
      <c r="D1346" s="11">
        <v>585</v>
      </c>
    </row>
    <row r="1347" spans="1:4" x14ac:dyDescent="0.4">
      <c r="B1347" t="s">
        <v>731</v>
      </c>
      <c r="C1347" s="11"/>
      <c r="D1347" s="11">
        <v>368.125</v>
      </c>
    </row>
    <row r="1348" spans="1:4" x14ac:dyDescent="0.4">
      <c r="B1348" t="s">
        <v>730</v>
      </c>
      <c r="C1348" s="11">
        <v>180</v>
      </c>
      <c r="D1348" s="11"/>
    </row>
    <row r="1349" spans="1:4" x14ac:dyDescent="0.4">
      <c r="B1349" t="s">
        <v>737</v>
      </c>
      <c r="C1349" s="11"/>
      <c r="D1349" s="11">
        <v>306</v>
      </c>
    </row>
    <row r="1350" spans="1:4" x14ac:dyDescent="0.4">
      <c r="B1350" t="s">
        <v>722</v>
      </c>
      <c r="C1350" s="11">
        <v>4456.4400000000005</v>
      </c>
      <c r="D1350" s="11"/>
    </row>
    <row r="1351" spans="1:4" x14ac:dyDescent="0.4">
      <c r="B1351" t="s">
        <v>755</v>
      </c>
      <c r="C1351" s="11">
        <v>292.5</v>
      </c>
      <c r="D1351" s="11"/>
    </row>
    <row r="1352" spans="1:4" x14ac:dyDescent="0.4">
      <c r="A1352" t="s">
        <v>881</v>
      </c>
      <c r="C1352" s="11">
        <v>717.74620000000004</v>
      </c>
      <c r="D1352" s="11">
        <v>498.88550000000004</v>
      </c>
    </row>
    <row r="1353" spans="1:4" x14ac:dyDescent="0.4">
      <c r="A1353" t="s">
        <v>516</v>
      </c>
      <c r="B1353" t="s">
        <v>694</v>
      </c>
      <c r="C1353" s="11"/>
      <c r="D1353" s="11">
        <v>340</v>
      </c>
    </row>
    <row r="1354" spans="1:4" x14ac:dyDescent="0.4">
      <c r="B1354" t="s">
        <v>698</v>
      </c>
      <c r="C1354" s="11">
        <v>21.6</v>
      </c>
      <c r="D1354" s="11"/>
    </row>
    <row r="1355" spans="1:4" x14ac:dyDescent="0.4">
      <c r="B1355" t="s">
        <v>717</v>
      </c>
      <c r="C1355" s="11">
        <v>165.6</v>
      </c>
      <c r="D1355" s="11">
        <v>25.89</v>
      </c>
    </row>
    <row r="1356" spans="1:4" x14ac:dyDescent="0.4">
      <c r="B1356" t="s">
        <v>705</v>
      </c>
      <c r="C1356" s="11">
        <v>262</v>
      </c>
      <c r="D1356" s="11"/>
    </row>
    <row r="1357" spans="1:4" x14ac:dyDescent="0.4">
      <c r="B1357" t="s">
        <v>691</v>
      </c>
      <c r="C1357" s="11">
        <v>31.2</v>
      </c>
      <c r="D1357" s="11"/>
    </row>
    <row r="1358" spans="1:4" x14ac:dyDescent="0.4">
      <c r="B1358" t="s">
        <v>756</v>
      </c>
      <c r="C1358" s="11"/>
      <c r="D1358" s="11">
        <v>190</v>
      </c>
    </row>
    <row r="1359" spans="1:4" x14ac:dyDescent="0.4">
      <c r="B1359" t="s">
        <v>739</v>
      </c>
      <c r="C1359" s="11"/>
      <c r="D1359" s="11">
        <v>25</v>
      </c>
    </row>
    <row r="1360" spans="1:4" x14ac:dyDescent="0.4">
      <c r="B1360" t="s">
        <v>684</v>
      </c>
      <c r="C1360" s="11"/>
      <c r="D1360" s="11">
        <v>56</v>
      </c>
    </row>
    <row r="1361" spans="1:4" x14ac:dyDescent="0.4">
      <c r="B1361" t="s">
        <v>714</v>
      </c>
      <c r="C1361" s="11">
        <v>57.6</v>
      </c>
      <c r="D1361" s="11"/>
    </row>
    <row r="1362" spans="1:4" x14ac:dyDescent="0.4">
      <c r="B1362" t="s">
        <v>732</v>
      </c>
      <c r="C1362" s="11">
        <v>7.3</v>
      </c>
      <c r="D1362" s="11"/>
    </row>
    <row r="1363" spans="1:4" x14ac:dyDescent="0.4">
      <c r="B1363" t="s">
        <v>738</v>
      </c>
      <c r="C1363" s="11">
        <v>29.5</v>
      </c>
      <c r="D1363" s="11"/>
    </row>
    <row r="1364" spans="1:4" x14ac:dyDescent="0.4">
      <c r="B1364" t="s">
        <v>753</v>
      </c>
      <c r="C1364" s="11"/>
      <c r="D1364" s="11">
        <v>90</v>
      </c>
    </row>
    <row r="1365" spans="1:4" x14ac:dyDescent="0.4">
      <c r="A1365" t="s">
        <v>882</v>
      </c>
      <c r="C1365" s="11">
        <v>92.55</v>
      </c>
      <c r="D1365" s="11">
        <v>121.14833333333333</v>
      </c>
    </row>
    <row r="1366" spans="1:4" x14ac:dyDescent="0.4">
      <c r="A1366" t="s">
        <v>522</v>
      </c>
      <c r="B1366" t="s">
        <v>742</v>
      </c>
      <c r="C1366" s="11">
        <v>500</v>
      </c>
      <c r="D1366" s="11"/>
    </row>
    <row r="1367" spans="1:4" x14ac:dyDescent="0.4">
      <c r="B1367" t="s">
        <v>750</v>
      </c>
      <c r="C1367" s="11"/>
      <c r="D1367" s="11">
        <v>2108</v>
      </c>
    </row>
    <row r="1368" spans="1:4" x14ac:dyDescent="0.4">
      <c r="B1368" t="s">
        <v>725</v>
      </c>
      <c r="C1368" s="11">
        <v>258</v>
      </c>
      <c r="D1368" s="11"/>
    </row>
    <row r="1369" spans="1:4" x14ac:dyDescent="0.4">
      <c r="B1369" t="s">
        <v>698</v>
      </c>
      <c r="C1369" s="11">
        <v>45</v>
      </c>
      <c r="D1369" s="11"/>
    </row>
    <row r="1370" spans="1:4" x14ac:dyDescent="0.4">
      <c r="B1370" t="s">
        <v>723</v>
      </c>
      <c r="C1370" s="11"/>
      <c r="D1370" s="11">
        <v>414</v>
      </c>
    </row>
    <row r="1371" spans="1:4" x14ac:dyDescent="0.4">
      <c r="B1371" t="s">
        <v>688</v>
      </c>
      <c r="C1371" s="11"/>
      <c r="D1371" s="11">
        <v>48.25</v>
      </c>
    </row>
    <row r="1372" spans="1:4" x14ac:dyDescent="0.4">
      <c r="B1372" t="s">
        <v>717</v>
      </c>
      <c r="C1372" s="11"/>
      <c r="D1372" s="11">
        <v>388.35</v>
      </c>
    </row>
    <row r="1373" spans="1:4" x14ac:dyDescent="0.4">
      <c r="B1373" t="s">
        <v>706</v>
      </c>
      <c r="C1373" s="11"/>
      <c r="D1373" s="11">
        <v>234</v>
      </c>
    </row>
    <row r="1374" spans="1:4" x14ac:dyDescent="0.4">
      <c r="B1374" t="s">
        <v>702</v>
      </c>
      <c r="C1374" s="11"/>
      <c r="D1374" s="11">
        <v>261.75</v>
      </c>
    </row>
    <row r="1375" spans="1:4" x14ac:dyDescent="0.4">
      <c r="B1375" t="s">
        <v>705</v>
      </c>
      <c r="C1375" s="11">
        <v>164</v>
      </c>
      <c r="D1375" s="11"/>
    </row>
    <row r="1376" spans="1:4" x14ac:dyDescent="0.4">
      <c r="B1376" t="s">
        <v>704</v>
      </c>
      <c r="C1376" s="11">
        <v>528</v>
      </c>
      <c r="D1376" s="11"/>
    </row>
    <row r="1377" spans="1:4" x14ac:dyDescent="0.4">
      <c r="B1377" t="s">
        <v>727</v>
      </c>
      <c r="C1377" s="11">
        <v>218.39999999999998</v>
      </c>
      <c r="D1377" s="11"/>
    </row>
    <row r="1378" spans="1:4" x14ac:dyDescent="0.4">
      <c r="B1378" t="s">
        <v>714</v>
      </c>
      <c r="C1378" s="11"/>
      <c r="D1378" s="11">
        <v>144</v>
      </c>
    </row>
    <row r="1379" spans="1:4" x14ac:dyDescent="0.4">
      <c r="B1379" t="s">
        <v>732</v>
      </c>
      <c r="C1379" s="11"/>
      <c r="D1379" s="11">
        <v>18.399999999999999</v>
      </c>
    </row>
    <row r="1380" spans="1:4" x14ac:dyDescent="0.4">
      <c r="B1380" t="s">
        <v>715</v>
      </c>
      <c r="C1380" s="11"/>
      <c r="D1380" s="11">
        <v>360</v>
      </c>
    </row>
    <row r="1381" spans="1:4" x14ac:dyDescent="0.4">
      <c r="A1381" t="s">
        <v>883</v>
      </c>
      <c r="C1381" s="11">
        <v>251.20000000000002</v>
      </c>
      <c r="D1381" s="11">
        <v>441.86111111111109</v>
      </c>
    </row>
    <row r="1382" spans="1:4" x14ac:dyDescent="0.4">
      <c r="A1382" t="s">
        <v>530</v>
      </c>
      <c r="B1382" t="s">
        <v>718</v>
      </c>
      <c r="C1382" s="11">
        <v>2344.875</v>
      </c>
      <c r="D1382" s="11">
        <v>2702.7000000000003</v>
      </c>
    </row>
    <row r="1383" spans="1:4" x14ac:dyDescent="0.4">
      <c r="B1383" t="s">
        <v>720</v>
      </c>
      <c r="C1383" s="11">
        <v>754.4</v>
      </c>
      <c r="D1383" s="11"/>
    </row>
    <row r="1384" spans="1:4" x14ac:dyDescent="0.4">
      <c r="B1384" t="s">
        <v>694</v>
      </c>
      <c r="C1384" s="11">
        <v>1190</v>
      </c>
      <c r="D1384" s="11">
        <v>1224</v>
      </c>
    </row>
    <row r="1385" spans="1:4" x14ac:dyDescent="0.4">
      <c r="B1385" t="s">
        <v>735</v>
      </c>
      <c r="C1385" s="11">
        <v>72</v>
      </c>
      <c r="D1385" s="11">
        <v>981</v>
      </c>
    </row>
    <row r="1386" spans="1:4" x14ac:dyDescent="0.4">
      <c r="B1386" t="s">
        <v>701</v>
      </c>
      <c r="C1386" s="11">
        <v>337.72500000000002</v>
      </c>
      <c r="D1386" s="11">
        <v>1425</v>
      </c>
    </row>
    <row r="1387" spans="1:4" x14ac:dyDescent="0.4">
      <c r="B1387" t="s">
        <v>708</v>
      </c>
      <c r="C1387" s="11"/>
      <c r="D1387" s="11">
        <v>1494.5</v>
      </c>
    </row>
    <row r="1388" spans="1:4" x14ac:dyDescent="0.4">
      <c r="B1388" t="s">
        <v>747</v>
      </c>
      <c r="C1388" s="11">
        <v>119.25</v>
      </c>
      <c r="D1388" s="11"/>
    </row>
    <row r="1389" spans="1:4" x14ac:dyDescent="0.4">
      <c r="B1389" t="s">
        <v>725</v>
      </c>
      <c r="C1389" s="11">
        <v>1032</v>
      </c>
      <c r="D1389" s="11">
        <v>645</v>
      </c>
    </row>
    <row r="1390" spans="1:4" x14ac:dyDescent="0.4">
      <c r="B1390" t="s">
        <v>693</v>
      </c>
      <c r="C1390" s="11">
        <v>55</v>
      </c>
      <c r="D1390" s="11">
        <v>40</v>
      </c>
    </row>
    <row r="1391" spans="1:4" x14ac:dyDescent="0.4">
      <c r="B1391" t="s">
        <v>733</v>
      </c>
      <c r="C1391" s="11">
        <v>775</v>
      </c>
      <c r="D1391" s="11"/>
    </row>
    <row r="1392" spans="1:4" x14ac:dyDescent="0.4">
      <c r="B1392" t="s">
        <v>716</v>
      </c>
      <c r="C1392" s="11">
        <v>1125.75</v>
      </c>
      <c r="D1392" s="11"/>
    </row>
    <row r="1393" spans="2:4" x14ac:dyDescent="0.4">
      <c r="B1393" t="s">
        <v>695</v>
      </c>
      <c r="C1393" s="11">
        <v>472.5</v>
      </c>
      <c r="D1393" s="11">
        <v>412.5</v>
      </c>
    </row>
    <row r="1394" spans="2:4" x14ac:dyDescent="0.4">
      <c r="B1394" t="s">
        <v>711</v>
      </c>
      <c r="C1394" s="11"/>
      <c r="D1394" s="11">
        <v>1248</v>
      </c>
    </row>
    <row r="1395" spans="2:4" x14ac:dyDescent="0.4">
      <c r="B1395" t="s">
        <v>698</v>
      </c>
      <c r="C1395" s="11">
        <v>64.8</v>
      </c>
      <c r="D1395" s="11">
        <v>92.25</v>
      </c>
    </row>
    <row r="1396" spans="2:4" x14ac:dyDescent="0.4">
      <c r="B1396" t="s">
        <v>743</v>
      </c>
      <c r="C1396" s="11"/>
      <c r="D1396" s="11">
        <v>1710</v>
      </c>
    </row>
    <row r="1397" spans="2:4" x14ac:dyDescent="0.4">
      <c r="B1397" t="s">
        <v>728</v>
      </c>
      <c r="C1397" s="11">
        <v>1472.5</v>
      </c>
      <c r="D1397" s="11"/>
    </row>
    <row r="1398" spans="2:4" x14ac:dyDescent="0.4">
      <c r="B1398" t="s">
        <v>751</v>
      </c>
      <c r="C1398" s="11">
        <v>1122.075</v>
      </c>
      <c r="D1398" s="11"/>
    </row>
    <row r="1399" spans="2:4" x14ac:dyDescent="0.4">
      <c r="B1399" t="s">
        <v>690</v>
      </c>
      <c r="C1399" s="11">
        <v>1008</v>
      </c>
      <c r="D1399" s="11"/>
    </row>
    <row r="1400" spans="2:4" x14ac:dyDescent="0.4">
      <c r="B1400" t="s">
        <v>724</v>
      </c>
      <c r="C1400" s="11">
        <v>1364</v>
      </c>
      <c r="D1400" s="11"/>
    </row>
    <row r="1401" spans="2:4" x14ac:dyDescent="0.4">
      <c r="B1401" t="s">
        <v>703</v>
      </c>
      <c r="C1401" s="11">
        <v>1045</v>
      </c>
      <c r="D1401" s="11">
        <v>760</v>
      </c>
    </row>
    <row r="1402" spans="2:4" x14ac:dyDescent="0.4">
      <c r="B1402" t="s">
        <v>688</v>
      </c>
      <c r="C1402" s="11">
        <v>598.29999999999995</v>
      </c>
      <c r="D1402" s="11">
        <v>115.80000000000001</v>
      </c>
    </row>
    <row r="1403" spans="2:4" x14ac:dyDescent="0.4">
      <c r="B1403" t="s">
        <v>726</v>
      </c>
      <c r="C1403" s="11"/>
      <c r="D1403" s="11">
        <v>351</v>
      </c>
    </row>
    <row r="1404" spans="2:4" x14ac:dyDescent="0.4">
      <c r="B1404" t="s">
        <v>721</v>
      </c>
      <c r="C1404" s="11">
        <v>1440</v>
      </c>
      <c r="D1404" s="11"/>
    </row>
    <row r="1405" spans="2:4" x14ac:dyDescent="0.4">
      <c r="B1405" t="s">
        <v>687</v>
      </c>
      <c r="C1405" s="11">
        <v>848</v>
      </c>
      <c r="D1405" s="11"/>
    </row>
    <row r="1406" spans="2:4" x14ac:dyDescent="0.4">
      <c r="B1406" t="s">
        <v>697</v>
      </c>
      <c r="C1406" s="11">
        <v>417.5</v>
      </c>
      <c r="D1406" s="11">
        <v>340</v>
      </c>
    </row>
    <row r="1407" spans="2:4" x14ac:dyDescent="0.4">
      <c r="B1407" t="s">
        <v>685</v>
      </c>
      <c r="C1407" s="11">
        <v>417.59999999999997</v>
      </c>
      <c r="D1407" s="11">
        <v>1739.9999999999998</v>
      </c>
    </row>
    <row r="1408" spans="2:4" x14ac:dyDescent="0.4">
      <c r="B1408" t="s">
        <v>749</v>
      </c>
      <c r="C1408" s="11">
        <v>58.8</v>
      </c>
      <c r="D1408" s="11"/>
    </row>
    <row r="1409" spans="2:4" x14ac:dyDescent="0.4">
      <c r="B1409" t="s">
        <v>699</v>
      </c>
      <c r="C1409" s="11">
        <v>2073.6</v>
      </c>
      <c r="D1409" s="11">
        <v>523.20000000000005</v>
      </c>
    </row>
    <row r="1410" spans="2:4" x14ac:dyDescent="0.4">
      <c r="B1410" t="s">
        <v>702</v>
      </c>
      <c r="C1410" s="11">
        <v>413.52500000000003</v>
      </c>
      <c r="D1410" s="11">
        <v>959.75</v>
      </c>
    </row>
    <row r="1411" spans="2:4" x14ac:dyDescent="0.4">
      <c r="B1411" t="s">
        <v>705</v>
      </c>
      <c r="C1411" s="11">
        <v>3935.9999999999995</v>
      </c>
      <c r="D1411" s="11">
        <v>737.99999999999989</v>
      </c>
    </row>
    <row r="1412" spans="2:4" x14ac:dyDescent="0.4">
      <c r="B1412" t="s">
        <v>719</v>
      </c>
      <c r="C1412" s="11">
        <v>3800</v>
      </c>
      <c r="D1412" s="11"/>
    </row>
    <row r="1413" spans="2:4" x14ac:dyDescent="0.4">
      <c r="B1413" t="s">
        <v>704</v>
      </c>
      <c r="C1413" s="11">
        <v>940.5</v>
      </c>
      <c r="D1413" s="11">
        <v>4125</v>
      </c>
    </row>
    <row r="1414" spans="2:4" x14ac:dyDescent="0.4">
      <c r="B1414" t="s">
        <v>691</v>
      </c>
      <c r="C1414" s="11"/>
      <c r="D1414" s="11">
        <v>292.5</v>
      </c>
    </row>
    <row r="1415" spans="2:4" x14ac:dyDescent="0.4">
      <c r="B1415" t="s">
        <v>731</v>
      </c>
      <c r="C1415" s="11">
        <v>288.3</v>
      </c>
      <c r="D1415" s="11">
        <v>883.5</v>
      </c>
    </row>
    <row r="1416" spans="2:4" x14ac:dyDescent="0.4">
      <c r="B1416" t="s">
        <v>730</v>
      </c>
      <c r="C1416" s="11">
        <v>446.25</v>
      </c>
      <c r="D1416" s="11"/>
    </row>
    <row r="1417" spans="2:4" x14ac:dyDescent="0.4">
      <c r="B1417" t="s">
        <v>756</v>
      </c>
      <c r="C1417" s="11">
        <v>1045</v>
      </c>
      <c r="D1417" s="11">
        <v>273.60000000000002</v>
      </c>
    </row>
    <row r="1418" spans="2:4" x14ac:dyDescent="0.4">
      <c r="B1418" t="s">
        <v>727</v>
      </c>
      <c r="C1418" s="11">
        <v>546</v>
      </c>
      <c r="D1418" s="11"/>
    </row>
    <row r="1419" spans="2:4" x14ac:dyDescent="0.4">
      <c r="B1419" t="s">
        <v>736</v>
      </c>
      <c r="C1419" s="11">
        <v>277.2</v>
      </c>
      <c r="D1419" s="11"/>
    </row>
    <row r="1420" spans="2:4" x14ac:dyDescent="0.4">
      <c r="B1420" t="s">
        <v>739</v>
      </c>
      <c r="C1420" s="11">
        <v>481.25</v>
      </c>
      <c r="D1420" s="11">
        <v>718.75</v>
      </c>
    </row>
    <row r="1421" spans="2:4" x14ac:dyDescent="0.4">
      <c r="B1421" t="s">
        <v>684</v>
      </c>
      <c r="C1421" s="11"/>
      <c r="D1421" s="11">
        <v>317.79999999999995</v>
      </c>
    </row>
    <row r="1422" spans="2:4" x14ac:dyDescent="0.4">
      <c r="B1422" t="s">
        <v>758</v>
      </c>
      <c r="C1422" s="11">
        <v>1744.2</v>
      </c>
      <c r="D1422" s="11"/>
    </row>
    <row r="1423" spans="2:4" x14ac:dyDescent="0.4">
      <c r="B1423" t="s">
        <v>737</v>
      </c>
      <c r="C1423" s="11">
        <v>372</v>
      </c>
      <c r="D1423" s="11"/>
    </row>
    <row r="1424" spans="2:4" x14ac:dyDescent="0.4">
      <c r="B1424" t="s">
        <v>714</v>
      </c>
      <c r="C1424" s="11">
        <v>644.4</v>
      </c>
      <c r="D1424" s="11">
        <v>229.5</v>
      </c>
    </row>
    <row r="1425" spans="1:4" x14ac:dyDescent="0.4">
      <c r="B1425" t="s">
        <v>712</v>
      </c>
      <c r="C1425" s="11">
        <v>1109.25</v>
      </c>
      <c r="D1425" s="11">
        <v>1109.25</v>
      </c>
    </row>
    <row r="1426" spans="1:4" x14ac:dyDescent="0.4">
      <c r="B1426" t="s">
        <v>732</v>
      </c>
      <c r="C1426" s="11">
        <v>184</v>
      </c>
      <c r="D1426" s="11">
        <v>88.32</v>
      </c>
    </row>
    <row r="1427" spans="1:4" x14ac:dyDescent="0.4">
      <c r="B1427" t="s">
        <v>722</v>
      </c>
      <c r="C1427" s="11">
        <v>3238.0200000000004</v>
      </c>
      <c r="D1427" s="11">
        <v>5570.55</v>
      </c>
    </row>
    <row r="1428" spans="1:4" x14ac:dyDescent="0.4">
      <c r="B1428" t="s">
        <v>686</v>
      </c>
      <c r="C1428" s="11">
        <v>571.95000000000005</v>
      </c>
      <c r="D1428" s="11"/>
    </row>
    <row r="1429" spans="1:4" x14ac:dyDescent="0.4">
      <c r="B1429" t="s">
        <v>738</v>
      </c>
      <c r="C1429" s="11">
        <v>223.5</v>
      </c>
      <c r="D1429" s="11">
        <v>202.64</v>
      </c>
    </row>
    <row r="1430" spans="1:4" x14ac:dyDescent="0.4">
      <c r="B1430" t="s">
        <v>753</v>
      </c>
      <c r="C1430" s="11">
        <v>396</v>
      </c>
      <c r="D1430" s="11"/>
    </row>
    <row r="1431" spans="1:4" x14ac:dyDescent="0.4">
      <c r="B1431" t="s">
        <v>715</v>
      </c>
      <c r="C1431" s="11">
        <v>1350</v>
      </c>
      <c r="D1431" s="11"/>
    </row>
    <row r="1432" spans="1:4" x14ac:dyDescent="0.4">
      <c r="B1432" t="s">
        <v>729</v>
      </c>
      <c r="C1432" s="11">
        <v>2386.7999999999997</v>
      </c>
      <c r="D1432" s="11"/>
    </row>
    <row r="1433" spans="1:4" x14ac:dyDescent="0.4">
      <c r="B1433" t="s">
        <v>741</v>
      </c>
      <c r="C1433" s="11">
        <v>798</v>
      </c>
      <c r="D1433" s="11">
        <v>665</v>
      </c>
    </row>
    <row r="1434" spans="1:4" x14ac:dyDescent="0.4">
      <c r="B1434" t="s">
        <v>752</v>
      </c>
      <c r="C1434" s="11">
        <v>225.625</v>
      </c>
      <c r="D1434" s="11"/>
    </row>
    <row r="1435" spans="1:4" x14ac:dyDescent="0.4">
      <c r="A1435" t="s">
        <v>884</v>
      </c>
      <c r="C1435" s="11">
        <v>895.41894736842096</v>
      </c>
      <c r="D1435" s="11">
        <v>907.75274999999999</v>
      </c>
    </row>
    <row r="1436" spans="1:4" x14ac:dyDescent="0.4">
      <c r="A1436" t="s">
        <v>537</v>
      </c>
      <c r="B1436" t="s">
        <v>718</v>
      </c>
      <c r="C1436" s="11">
        <v>877.5</v>
      </c>
      <c r="D1436" s="11"/>
    </row>
    <row r="1437" spans="1:4" x14ac:dyDescent="0.4">
      <c r="B1437" t="s">
        <v>694</v>
      </c>
      <c r="C1437" s="11">
        <v>2067.1999999999998</v>
      </c>
      <c r="D1437" s="11"/>
    </row>
    <row r="1438" spans="1:4" x14ac:dyDescent="0.4">
      <c r="B1438" t="s">
        <v>735</v>
      </c>
      <c r="C1438" s="11"/>
      <c r="D1438" s="11">
        <v>720</v>
      </c>
    </row>
    <row r="1439" spans="1:4" x14ac:dyDescent="0.4">
      <c r="B1439" t="s">
        <v>696</v>
      </c>
      <c r="C1439" s="11">
        <v>244.79999999999998</v>
      </c>
      <c r="D1439" s="11"/>
    </row>
    <row r="1440" spans="1:4" x14ac:dyDescent="0.4">
      <c r="B1440" t="s">
        <v>748</v>
      </c>
      <c r="C1440" s="11">
        <v>89.600000000000009</v>
      </c>
      <c r="D1440" s="11"/>
    </row>
    <row r="1441" spans="2:4" x14ac:dyDescent="0.4">
      <c r="B1441" t="s">
        <v>695</v>
      </c>
      <c r="C1441" s="11">
        <v>665</v>
      </c>
      <c r="D1441" s="11"/>
    </row>
    <row r="1442" spans="2:4" x14ac:dyDescent="0.4">
      <c r="B1442" t="s">
        <v>711</v>
      </c>
      <c r="C1442" s="11">
        <v>421.2</v>
      </c>
      <c r="D1442" s="11"/>
    </row>
    <row r="1443" spans="2:4" x14ac:dyDescent="0.4">
      <c r="B1443" t="s">
        <v>698</v>
      </c>
      <c r="C1443" s="11">
        <v>273.59999999999997</v>
      </c>
      <c r="D1443" s="11"/>
    </row>
    <row r="1444" spans="2:4" x14ac:dyDescent="0.4">
      <c r="B1444" t="s">
        <v>724</v>
      </c>
      <c r="C1444" s="11"/>
      <c r="D1444" s="11">
        <v>1116</v>
      </c>
    </row>
    <row r="1445" spans="2:4" x14ac:dyDescent="0.4">
      <c r="B1445" t="s">
        <v>703</v>
      </c>
      <c r="C1445" s="11">
        <v>1140</v>
      </c>
      <c r="D1445" s="11"/>
    </row>
    <row r="1446" spans="2:4" x14ac:dyDescent="0.4">
      <c r="B1446" t="s">
        <v>688</v>
      </c>
      <c r="C1446" s="11">
        <v>52.110000000000007</v>
      </c>
      <c r="D1446" s="11"/>
    </row>
    <row r="1447" spans="2:4" x14ac:dyDescent="0.4">
      <c r="B1447" t="s">
        <v>687</v>
      </c>
      <c r="C1447" s="11">
        <v>763.19999999999993</v>
      </c>
      <c r="D1447" s="11">
        <v>477</v>
      </c>
    </row>
    <row r="1448" spans="2:4" x14ac:dyDescent="0.4">
      <c r="B1448" t="s">
        <v>709</v>
      </c>
      <c r="C1448" s="11">
        <v>652.79999999999995</v>
      </c>
      <c r="D1448" s="11"/>
    </row>
    <row r="1449" spans="2:4" x14ac:dyDescent="0.4">
      <c r="B1449" t="s">
        <v>697</v>
      </c>
      <c r="C1449" s="11"/>
      <c r="D1449" s="11">
        <v>68</v>
      </c>
    </row>
    <row r="1450" spans="2:4" x14ac:dyDescent="0.4">
      <c r="B1450" t="s">
        <v>702</v>
      </c>
      <c r="C1450" s="11">
        <v>739.4799999999999</v>
      </c>
      <c r="D1450" s="11"/>
    </row>
    <row r="1451" spans="2:4" x14ac:dyDescent="0.4">
      <c r="B1451" t="s">
        <v>705</v>
      </c>
      <c r="C1451" s="11">
        <v>1048</v>
      </c>
      <c r="D1451" s="11"/>
    </row>
    <row r="1452" spans="2:4" x14ac:dyDescent="0.4">
      <c r="B1452" t="s">
        <v>683</v>
      </c>
      <c r="C1452" s="11"/>
      <c r="D1452" s="11">
        <v>577.5</v>
      </c>
    </row>
    <row r="1453" spans="2:4" x14ac:dyDescent="0.4">
      <c r="B1453" t="s">
        <v>756</v>
      </c>
      <c r="C1453" s="11">
        <v>91.2</v>
      </c>
      <c r="D1453" s="11"/>
    </row>
    <row r="1454" spans="2:4" x14ac:dyDescent="0.4">
      <c r="B1454" t="s">
        <v>727</v>
      </c>
      <c r="C1454" s="11">
        <v>618.79999999999995</v>
      </c>
      <c r="D1454" s="11">
        <v>1094.4000000000001</v>
      </c>
    </row>
    <row r="1455" spans="2:4" x14ac:dyDescent="0.4">
      <c r="B1455" t="s">
        <v>739</v>
      </c>
      <c r="C1455" s="11"/>
      <c r="D1455" s="11">
        <v>250</v>
      </c>
    </row>
    <row r="1456" spans="2:4" x14ac:dyDescent="0.4">
      <c r="B1456" t="s">
        <v>692</v>
      </c>
      <c r="C1456" s="11">
        <v>1093.5</v>
      </c>
      <c r="D1456" s="11"/>
    </row>
    <row r="1457" spans="1:4" x14ac:dyDescent="0.4">
      <c r="B1457" t="s">
        <v>738</v>
      </c>
      <c r="C1457" s="11"/>
      <c r="D1457" s="11">
        <v>46.935000000000002</v>
      </c>
    </row>
    <row r="1458" spans="1:4" x14ac:dyDescent="0.4">
      <c r="B1458" t="s">
        <v>753</v>
      </c>
      <c r="C1458" s="11"/>
      <c r="D1458" s="11">
        <v>450</v>
      </c>
    </row>
    <row r="1459" spans="1:4" x14ac:dyDescent="0.4">
      <c r="A1459" t="s">
        <v>885</v>
      </c>
      <c r="C1459" s="11">
        <v>677.37437499999999</v>
      </c>
      <c r="D1459" s="11">
        <v>537.73350000000005</v>
      </c>
    </row>
    <row r="1460" spans="1:4" x14ac:dyDescent="0.4">
      <c r="A1460" t="s">
        <v>544</v>
      </c>
      <c r="B1460" t="s">
        <v>750</v>
      </c>
      <c r="C1460" s="11">
        <v>10540</v>
      </c>
      <c r="D1460" s="11"/>
    </row>
    <row r="1461" spans="1:4" x14ac:dyDescent="0.4">
      <c r="B1461" t="s">
        <v>693</v>
      </c>
      <c r="C1461" s="11">
        <v>16</v>
      </c>
      <c r="D1461" s="11"/>
    </row>
    <row r="1462" spans="1:4" x14ac:dyDescent="0.4">
      <c r="B1462" t="s">
        <v>703</v>
      </c>
      <c r="C1462" s="11">
        <v>570</v>
      </c>
      <c r="D1462" s="11"/>
    </row>
    <row r="1463" spans="1:4" x14ac:dyDescent="0.4">
      <c r="B1463" t="s">
        <v>687</v>
      </c>
      <c r="C1463" s="11"/>
      <c r="D1463" s="11">
        <v>1192.5</v>
      </c>
    </row>
    <row r="1464" spans="1:4" x14ac:dyDescent="0.4">
      <c r="B1464" t="s">
        <v>685</v>
      </c>
      <c r="C1464" s="11">
        <v>835.19999999999993</v>
      </c>
      <c r="D1464" s="11"/>
    </row>
    <row r="1465" spans="1:4" x14ac:dyDescent="0.4">
      <c r="B1465" t="s">
        <v>717</v>
      </c>
      <c r="C1465" s="11"/>
      <c r="D1465" s="11">
        <v>485.4375</v>
      </c>
    </row>
    <row r="1466" spans="1:4" x14ac:dyDescent="0.4">
      <c r="B1466" t="s">
        <v>706</v>
      </c>
      <c r="C1466" s="11">
        <v>364</v>
      </c>
      <c r="D1466" s="11"/>
    </row>
    <row r="1467" spans="1:4" x14ac:dyDescent="0.4">
      <c r="B1467" t="s">
        <v>699</v>
      </c>
      <c r="C1467" s="11"/>
      <c r="D1467" s="11">
        <v>1080</v>
      </c>
    </row>
    <row r="1468" spans="1:4" x14ac:dyDescent="0.4">
      <c r="B1468" t="s">
        <v>702</v>
      </c>
      <c r="C1468" s="11"/>
      <c r="D1468" s="11">
        <v>232.08499999999998</v>
      </c>
    </row>
    <row r="1469" spans="1:4" x14ac:dyDescent="0.4">
      <c r="B1469" t="s">
        <v>704</v>
      </c>
      <c r="C1469" s="11">
        <v>336.59999999999997</v>
      </c>
      <c r="D1469" s="11"/>
    </row>
    <row r="1470" spans="1:4" x14ac:dyDescent="0.4">
      <c r="B1470" t="s">
        <v>739</v>
      </c>
      <c r="C1470" s="11">
        <v>270</v>
      </c>
      <c r="D1470" s="11"/>
    </row>
    <row r="1471" spans="1:4" x14ac:dyDescent="0.4">
      <c r="B1471" t="s">
        <v>710</v>
      </c>
      <c r="C1471" s="11">
        <v>240</v>
      </c>
      <c r="D1471" s="11"/>
    </row>
    <row r="1472" spans="1:4" x14ac:dyDescent="0.4">
      <c r="B1472" t="s">
        <v>758</v>
      </c>
      <c r="C1472" s="11">
        <v>456</v>
      </c>
      <c r="D1472" s="11"/>
    </row>
    <row r="1473" spans="1:4" x14ac:dyDescent="0.4">
      <c r="B1473" t="s">
        <v>737</v>
      </c>
      <c r="C1473" s="11">
        <v>14.399999999999999</v>
      </c>
      <c r="D1473" s="11"/>
    </row>
    <row r="1474" spans="1:4" x14ac:dyDescent="0.4">
      <c r="B1474" t="s">
        <v>712</v>
      </c>
      <c r="C1474" s="11"/>
      <c r="D1474" s="11">
        <v>184.875</v>
      </c>
    </row>
    <row r="1475" spans="1:4" x14ac:dyDescent="0.4">
      <c r="A1475" t="s">
        <v>886</v>
      </c>
      <c r="C1475" s="11">
        <v>1364.22</v>
      </c>
      <c r="D1475" s="11">
        <v>634.97950000000003</v>
      </c>
    </row>
    <row r="1476" spans="1:4" x14ac:dyDescent="0.4">
      <c r="A1476" t="s">
        <v>552</v>
      </c>
      <c r="B1476" t="s">
        <v>742</v>
      </c>
      <c r="C1476" s="11"/>
      <c r="D1476" s="11">
        <v>375</v>
      </c>
    </row>
    <row r="1477" spans="1:4" x14ac:dyDescent="0.4">
      <c r="B1477" t="s">
        <v>750</v>
      </c>
      <c r="C1477" s="11"/>
      <c r="D1477" s="11">
        <v>1317.5</v>
      </c>
    </row>
    <row r="1478" spans="1:4" x14ac:dyDescent="0.4">
      <c r="B1478" t="s">
        <v>743</v>
      </c>
      <c r="C1478" s="11"/>
      <c r="D1478" s="11">
        <v>360</v>
      </c>
    </row>
    <row r="1479" spans="1:4" x14ac:dyDescent="0.4">
      <c r="B1479" t="s">
        <v>702</v>
      </c>
      <c r="C1479" s="11">
        <v>52.349999999999994</v>
      </c>
      <c r="D1479" s="11"/>
    </row>
    <row r="1480" spans="1:4" x14ac:dyDescent="0.4">
      <c r="B1480" t="s">
        <v>683</v>
      </c>
      <c r="C1480" s="11"/>
      <c r="D1480" s="11">
        <v>210</v>
      </c>
    </row>
    <row r="1481" spans="1:4" x14ac:dyDescent="0.4">
      <c r="B1481" t="s">
        <v>731</v>
      </c>
      <c r="C1481" s="11"/>
      <c r="D1481" s="11">
        <v>108.5</v>
      </c>
    </row>
    <row r="1482" spans="1:4" x14ac:dyDescent="0.4">
      <c r="A1482" t="s">
        <v>887</v>
      </c>
      <c r="C1482" s="11">
        <v>52.349999999999994</v>
      </c>
      <c r="D1482" s="11">
        <v>474.2</v>
      </c>
    </row>
    <row r="1483" spans="1:4" x14ac:dyDescent="0.4">
      <c r="A1483" t="s">
        <v>558</v>
      </c>
      <c r="B1483" t="s">
        <v>694</v>
      </c>
      <c r="C1483" s="11">
        <v>435.20000000000005</v>
      </c>
      <c r="D1483" s="11"/>
    </row>
    <row r="1484" spans="1:4" x14ac:dyDescent="0.4">
      <c r="B1484" t="s">
        <v>742</v>
      </c>
      <c r="C1484" s="11">
        <v>1050</v>
      </c>
      <c r="D1484" s="11"/>
    </row>
    <row r="1485" spans="1:4" x14ac:dyDescent="0.4">
      <c r="B1485" t="s">
        <v>750</v>
      </c>
      <c r="C1485" s="11">
        <v>4005.2</v>
      </c>
      <c r="D1485" s="11"/>
    </row>
    <row r="1486" spans="1:4" x14ac:dyDescent="0.4">
      <c r="B1486" t="s">
        <v>693</v>
      </c>
      <c r="C1486" s="11">
        <v>48</v>
      </c>
      <c r="D1486" s="11"/>
    </row>
    <row r="1487" spans="1:4" x14ac:dyDescent="0.4">
      <c r="B1487" t="s">
        <v>716</v>
      </c>
      <c r="C1487" s="11">
        <v>378.47999999999996</v>
      </c>
      <c r="D1487" s="11"/>
    </row>
    <row r="1488" spans="1:4" x14ac:dyDescent="0.4">
      <c r="B1488" t="s">
        <v>743</v>
      </c>
      <c r="C1488" s="11">
        <v>576</v>
      </c>
      <c r="D1488" s="11"/>
    </row>
    <row r="1489" spans="1:4" x14ac:dyDescent="0.4">
      <c r="B1489" t="s">
        <v>751</v>
      </c>
      <c r="C1489" s="11">
        <v>249</v>
      </c>
      <c r="D1489" s="11"/>
    </row>
    <row r="1490" spans="1:4" x14ac:dyDescent="0.4">
      <c r="B1490" t="s">
        <v>703</v>
      </c>
      <c r="C1490" s="11">
        <v>304</v>
      </c>
      <c r="D1490" s="11"/>
    </row>
    <row r="1491" spans="1:4" x14ac:dyDescent="0.4">
      <c r="B1491" t="s">
        <v>687</v>
      </c>
      <c r="C1491" s="11"/>
      <c r="D1491" s="11">
        <v>318</v>
      </c>
    </row>
    <row r="1492" spans="1:4" x14ac:dyDescent="0.4">
      <c r="B1492" t="s">
        <v>717</v>
      </c>
      <c r="C1492" s="11">
        <v>157.32</v>
      </c>
      <c r="D1492" s="11"/>
    </row>
    <row r="1493" spans="1:4" x14ac:dyDescent="0.4">
      <c r="B1493" t="s">
        <v>739</v>
      </c>
      <c r="C1493" s="11">
        <v>62</v>
      </c>
      <c r="D1493" s="11"/>
    </row>
    <row r="1494" spans="1:4" x14ac:dyDescent="0.4">
      <c r="B1494" t="s">
        <v>714</v>
      </c>
      <c r="C1494" s="11"/>
      <c r="D1494" s="11">
        <v>360</v>
      </c>
    </row>
    <row r="1495" spans="1:4" x14ac:dyDescent="0.4">
      <c r="B1495" t="s">
        <v>732</v>
      </c>
      <c r="C1495" s="11">
        <v>69.349999999999994</v>
      </c>
      <c r="D1495" s="11"/>
    </row>
    <row r="1496" spans="1:4" x14ac:dyDescent="0.4">
      <c r="B1496" t="s">
        <v>722</v>
      </c>
      <c r="C1496" s="11">
        <v>1980</v>
      </c>
      <c r="D1496" s="11"/>
    </row>
    <row r="1497" spans="1:4" x14ac:dyDescent="0.4">
      <c r="B1497" t="s">
        <v>738</v>
      </c>
      <c r="C1497" s="11">
        <v>188.8</v>
      </c>
      <c r="D1497" s="11"/>
    </row>
    <row r="1498" spans="1:4" x14ac:dyDescent="0.4">
      <c r="B1498" t="s">
        <v>715</v>
      </c>
      <c r="C1498" s="11">
        <v>192</v>
      </c>
      <c r="D1498" s="11"/>
    </row>
    <row r="1499" spans="1:4" x14ac:dyDescent="0.4">
      <c r="B1499" t="s">
        <v>729</v>
      </c>
      <c r="C1499" s="11"/>
      <c r="D1499" s="11">
        <v>439</v>
      </c>
    </row>
    <row r="1500" spans="1:4" x14ac:dyDescent="0.4">
      <c r="A1500" t="s">
        <v>888</v>
      </c>
      <c r="C1500" s="11">
        <v>607.33117647058816</v>
      </c>
      <c r="D1500" s="11">
        <v>372.33333333333331</v>
      </c>
    </row>
    <row r="1501" spans="1:4" x14ac:dyDescent="0.4">
      <c r="A1501" t="s">
        <v>566</v>
      </c>
      <c r="B1501" t="s">
        <v>718</v>
      </c>
      <c r="C1501" s="11">
        <v>1248</v>
      </c>
      <c r="D1501" s="11"/>
    </row>
    <row r="1502" spans="1:4" x14ac:dyDescent="0.4">
      <c r="B1502" t="s">
        <v>720</v>
      </c>
      <c r="C1502" s="11"/>
      <c r="D1502" s="11">
        <v>73.600000000000009</v>
      </c>
    </row>
    <row r="1503" spans="1:4" x14ac:dyDescent="0.4">
      <c r="B1503" t="s">
        <v>694</v>
      </c>
      <c r="C1503" s="11">
        <v>1088</v>
      </c>
      <c r="D1503" s="11"/>
    </row>
    <row r="1504" spans="1:4" x14ac:dyDescent="0.4">
      <c r="B1504" t="s">
        <v>735</v>
      </c>
      <c r="C1504" s="11"/>
      <c r="D1504" s="11">
        <v>180</v>
      </c>
    </row>
    <row r="1505" spans="2:4" x14ac:dyDescent="0.4">
      <c r="B1505" t="s">
        <v>701</v>
      </c>
      <c r="C1505" s="11"/>
      <c r="D1505" s="11">
        <v>380</v>
      </c>
    </row>
    <row r="1506" spans="2:4" x14ac:dyDescent="0.4">
      <c r="B1506" t="s">
        <v>745</v>
      </c>
      <c r="C1506" s="11"/>
      <c r="D1506" s="11">
        <v>462</v>
      </c>
    </row>
    <row r="1507" spans="2:4" x14ac:dyDescent="0.4">
      <c r="B1507" t="s">
        <v>747</v>
      </c>
      <c r="C1507" s="11"/>
      <c r="D1507" s="11">
        <v>318</v>
      </c>
    </row>
    <row r="1508" spans="2:4" x14ac:dyDescent="0.4">
      <c r="B1508" t="s">
        <v>748</v>
      </c>
      <c r="C1508" s="11"/>
      <c r="D1508" s="11">
        <v>14</v>
      </c>
    </row>
    <row r="1509" spans="2:4" x14ac:dyDescent="0.4">
      <c r="B1509" t="s">
        <v>725</v>
      </c>
      <c r="C1509" s="11">
        <v>860</v>
      </c>
      <c r="D1509" s="11">
        <v>645</v>
      </c>
    </row>
    <row r="1510" spans="2:4" x14ac:dyDescent="0.4">
      <c r="B1510" t="s">
        <v>693</v>
      </c>
      <c r="C1510" s="11">
        <v>47.5</v>
      </c>
      <c r="D1510" s="11"/>
    </row>
    <row r="1511" spans="2:4" x14ac:dyDescent="0.4">
      <c r="B1511" t="s">
        <v>716</v>
      </c>
      <c r="C1511" s="11">
        <v>456</v>
      </c>
      <c r="D1511" s="11">
        <v>1140</v>
      </c>
    </row>
    <row r="1512" spans="2:4" x14ac:dyDescent="0.4">
      <c r="B1512" t="s">
        <v>695</v>
      </c>
      <c r="C1512" s="11">
        <v>297.5</v>
      </c>
      <c r="D1512" s="11"/>
    </row>
    <row r="1513" spans="2:4" x14ac:dyDescent="0.4">
      <c r="B1513" t="s">
        <v>698</v>
      </c>
      <c r="C1513" s="11"/>
      <c r="D1513" s="11">
        <v>54</v>
      </c>
    </row>
    <row r="1514" spans="2:4" x14ac:dyDescent="0.4">
      <c r="B1514" t="s">
        <v>751</v>
      </c>
      <c r="C1514" s="11">
        <v>747</v>
      </c>
      <c r="D1514" s="11"/>
    </row>
    <row r="1515" spans="2:4" x14ac:dyDescent="0.4">
      <c r="B1515" t="s">
        <v>724</v>
      </c>
      <c r="C1515" s="11"/>
      <c r="D1515" s="11">
        <v>496</v>
      </c>
    </row>
    <row r="1516" spans="2:4" x14ac:dyDescent="0.4">
      <c r="B1516" t="s">
        <v>723</v>
      </c>
      <c r="C1516" s="11">
        <v>588.79999999999995</v>
      </c>
      <c r="D1516" s="11"/>
    </row>
    <row r="1517" spans="2:4" x14ac:dyDescent="0.4">
      <c r="B1517" t="s">
        <v>721</v>
      </c>
      <c r="C1517" s="11">
        <v>514.08000000000004</v>
      </c>
      <c r="D1517" s="11"/>
    </row>
    <row r="1518" spans="2:4" x14ac:dyDescent="0.4">
      <c r="B1518" t="s">
        <v>700</v>
      </c>
      <c r="C1518" s="11"/>
      <c r="D1518" s="11">
        <v>200</v>
      </c>
    </row>
    <row r="1519" spans="2:4" x14ac:dyDescent="0.4">
      <c r="B1519" t="s">
        <v>744</v>
      </c>
      <c r="C1519" s="11">
        <v>693.6</v>
      </c>
      <c r="D1519" s="11"/>
    </row>
    <row r="1520" spans="2:4" x14ac:dyDescent="0.4">
      <c r="B1520" t="s">
        <v>706</v>
      </c>
      <c r="C1520" s="11"/>
      <c r="D1520" s="11">
        <v>260</v>
      </c>
    </row>
    <row r="1521" spans="1:4" x14ac:dyDescent="0.4">
      <c r="B1521" t="s">
        <v>713</v>
      </c>
      <c r="C1521" s="11"/>
      <c r="D1521" s="11">
        <v>450</v>
      </c>
    </row>
    <row r="1522" spans="1:4" x14ac:dyDescent="0.4">
      <c r="B1522" t="s">
        <v>699</v>
      </c>
      <c r="C1522" s="11"/>
      <c r="D1522" s="11">
        <v>480</v>
      </c>
    </row>
    <row r="1523" spans="1:4" x14ac:dyDescent="0.4">
      <c r="B1523" t="s">
        <v>704</v>
      </c>
      <c r="C1523" s="11"/>
      <c r="D1523" s="11">
        <v>2750</v>
      </c>
    </row>
    <row r="1524" spans="1:4" x14ac:dyDescent="0.4">
      <c r="B1524" t="s">
        <v>727</v>
      </c>
      <c r="C1524" s="11">
        <v>1055.5999999999999</v>
      </c>
      <c r="D1524" s="11"/>
    </row>
    <row r="1525" spans="1:4" x14ac:dyDescent="0.4">
      <c r="B1525" t="s">
        <v>707</v>
      </c>
      <c r="C1525" s="11"/>
      <c r="D1525" s="11">
        <v>1097.5</v>
      </c>
    </row>
    <row r="1526" spans="1:4" x14ac:dyDescent="0.4">
      <c r="B1526" t="s">
        <v>684</v>
      </c>
      <c r="C1526" s="11">
        <v>560</v>
      </c>
      <c r="D1526" s="11">
        <v>224</v>
      </c>
    </row>
    <row r="1527" spans="1:4" x14ac:dyDescent="0.4">
      <c r="B1527" t="s">
        <v>692</v>
      </c>
      <c r="C1527" s="11">
        <v>2462.4</v>
      </c>
      <c r="D1527" s="11"/>
    </row>
    <row r="1528" spans="1:4" x14ac:dyDescent="0.4">
      <c r="B1528" t="s">
        <v>710</v>
      </c>
      <c r="C1528" s="11"/>
      <c r="D1528" s="11">
        <v>360</v>
      </c>
    </row>
    <row r="1529" spans="1:4" x14ac:dyDescent="0.4">
      <c r="B1529" t="s">
        <v>714</v>
      </c>
      <c r="C1529" s="11"/>
      <c r="D1529" s="11">
        <v>1080</v>
      </c>
    </row>
    <row r="1530" spans="1:4" x14ac:dyDescent="0.4">
      <c r="B1530" t="s">
        <v>732</v>
      </c>
      <c r="C1530" s="11">
        <v>153.29999999999998</v>
      </c>
      <c r="D1530" s="11"/>
    </row>
    <row r="1531" spans="1:4" x14ac:dyDescent="0.4">
      <c r="B1531" t="s">
        <v>738</v>
      </c>
      <c r="C1531" s="11"/>
      <c r="D1531" s="11">
        <v>74.5</v>
      </c>
    </row>
    <row r="1532" spans="1:4" x14ac:dyDescent="0.4">
      <c r="A1532" t="s">
        <v>889</v>
      </c>
      <c r="C1532" s="11">
        <v>776.0112499999999</v>
      </c>
      <c r="D1532" s="11">
        <v>507.50434782608698</v>
      </c>
    </row>
    <row r="1533" spans="1:4" x14ac:dyDescent="0.4">
      <c r="A1533" t="s">
        <v>574</v>
      </c>
      <c r="B1533" t="s">
        <v>708</v>
      </c>
      <c r="C1533" s="11">
        <v>85.4</v>
      </c>
      <c r="D1533" s="11"/>
    </row>
    <row r="1534" spans="1:4" x14ac:dyDescent="0.4">
      <c r="B1534" t="s">
        <v>750</v>
      </c>
      <c r="C1534" s="11"/>
      <c r="D1534" s="11">
        <v>2635</v>
      </c>
    </row>
    <row r="1535" spans="1:4" x14ac:dyDescent="0.4">
      <c r="B1535" t="s">
        <v>703</v>
      </c>
      <c r="C1535" s="11">
        <v>95</v>
      </c>
      <c r="D1535" s="11"/>
    </row>
    <row r="1536" spans="1:4" x14ac:dyDescent="0.4">
      <c r="B1536" t="s">
        <v>685</v>
      </c>
      <c r="C1536" s="11"/>
      <c r="D1536" s="11">
        <v>69.599999999999994</v>
      </c>
    </row>
    <row r="1537" spans="1:4" x14ac:dyDescent="0.4">
      <c r="B1537" t="s">
        <v>702</v>
      </c>
      <c r="C1537" s="11">
        <v>139</v>
      </c>
      <c r="D1537" s="11"/>
    </row>
    <row r="1538" spans="1:4" x14ac:dyDescent="0.4">
      <c r="B1538" t="s">
        <v>736</v>
      </c>
      <c r="C1538" s="11"/>
      <c r="D1538" s="11">
        <v>140</v>
      </c>
    </row>
    <row r="1539" spans="1:4" x14ac:dyDescent="0.4">
      <c r="B1539" t="s">
        <v>712</v>
      </c>
      <c r="C1539" s="11">
        <v>197</v>
      </c>
      <c r="D1539" s="11"/>
    </row>
    <row r="1540" spans="1:4" x14ac:dyDescent="0.4">
      <c r="A1540" t="s">
        <v>890</v>
      </c>
      <c r="C1540" s="11">
        <v>129.1</v>
      </c>
      <c r="D1540" s="11">
        <v>948.19999999999993</v>
      </c>
    </row>
    <row r="1541" spans="1:4" x14ac:dyDescent="0.4">
      <c r="A1541" t="s">
        <v>579</v>
      </c>
      <c r="B1541" t="s">
        <v>720</v>
      </c>
      <c r="C1541" s="11"/>
      <c r="D1541" s="11">
        <v>184</v>
      </c>
    </row>
    <row r="1542" spans="1:4" x14ac:dyDescent="0.4">
      <c r="B1542" t="s">
        <v>735</v>
      </c>
      <c r="C1542" s="11"/>
      <c r="D1542" s="11">
        <v>72</v>
      </c>
    </row>
    <row r="1543" spans="1:4" x14ac:dyDescent="0.4">
      <c r="B1543" t="s">
        <v>748</v>
      </c>
      <c r="C1543" s="11"/>
      <c r="D1543" s="11">
        <v>70</v>
      </c>
    </row>
    <row r="1544" spans="1:4" x14ac:dyDescent="0.4">
      <c r="B1544" t="s">
        <v>728</v>
      </c>
      <c r="C1544" s="11">
        <v>194.5</v>
      </c>
      <c r="D1544" s="11"/>
    </row>
    <row r="1545" spans="1:4" x14ac:dyDescent="0.4">
      <c r="B1545" t="s">
        <v>724</v>
      </c>
      <c r="C1545" s="11"/>
      <c r="D1545" s="11">
        <v>186</v>
      </c>
    </row>
    <row r="1546" spans="1:4" x14ac:dyDescent="0.4">
      <c r="B1546" t="s">
        <v>734</v>
      </c>
      <c r="C1546" s="11"/>
      <c r="D1546" s="11">
        <v>42</v>
      </c>
    </row>
    <row r="1547" spans="1:4" x14ac:dyDescent="0.4">
      <c r="B1547" t="s">
        <v>727</v>
      </c>
      <c r="C1547" s="11">
        <v>456</v>
      </c>
      <c r="D1547" s="11"/>
    </row>
    <row r="1548" spans="1:4" x14ac:dyDescent="0.4">
      <c r="B1548" t="s">
        <v>722</v>
      </c>
      <c r="C1548" s="11">
        <v>742.74</v>
      </c>
      <c r="D1548" s="11"/>
    </row>
    <row r="1549" spans="1:4" x14ac:dyDescent="0.4">
      <c r="A1549" t="s">
        <v>891</v>
      </c>
      <c r="C1549" s="11">
        <v>464.41333333333336</v>
      </c>
      <c r="D1549" s="11">
        <v>110.8</v>
      </c>
    </row>
    <row r="1550" spans="1:4" x14ac:dyDescent="0.4">
      <c r="A1550" t="s">
        <v>587</v>
      </c>
      <c r="B1550" t="s">
        <v>748</v>
      </c>
      <c r="C1550" s="11">
        <v>75.600000000000009</v>
      </c>
      <c r="D1550" s="11"/>
    </row>
    <row r="1551" spans="1:4" x14ac:dyDescent="0.4">
      <c r="B1551" t="s">
        <v>716</v>
      </c>
      <c r="C1551" s="11">
        <v>1064</v>
      </c>
      <c r="D1551" s="11"/>
    </row>
    <row r="1552" spans="1:4" x14ac:dyDescent="0.4">
      <c r="B1552" t="s">
        <v>695</v>
      </c>
      <c r="C1552" s="11">
        <v>27</v>
      </c>
      <c r="D1552" s="11"/>
    </row>
    <row r="1553" spans="1:4" x14ac:dyDescent="0.4">
      <c r="B1553" t="s">
        <v>698</v>
      </c>
      <c r="C1553" s="11">
        <v>64.8</v>
      </c>
      <c r="D1553" s="11"/>
    </row>
    <row r="1554" spans="1:4" x14ac:dyDescent="0.4">
      <c r="B1554" t="s">
        <v>688</v>
      </c>
      <c r="C1554" s="11">
        <v>135.1</v>
      </c>
      <c r="D1554" s="11"/>
    </row>
    <row r="1555" spans="1:4" x14ac:dyDescent="0.4">
      <c r="B1555" t="s">
        <v>687</v>
      </c>
      <c r="C1555" s="11">
        <v>1696</v>
      </c>
      <c r="D1555" s="11"/>
    </row>
    <row r="1556" spans="1:4" x14ac:dyDescent="0.4">
      <c r="B1556" t="s">
        <v>697</v>
      </c>
      <c r="C1556" s="11"/>
      <c r="D1556" s="11">
        <v>800</v>
      </c>
    </row>
    <row r="1557" spans="1:4" x14ac:dyDescent="0.4">
      <c r="B1557" t="s">
        <v>691</v>
      </c>
      <c r="C1557" s="11">
        <v>187.20000000000002</v>
      </c>
      <c r="D1557" s="11"/>
    </row>
    <row r="1558" spans="1:4" x14ac:dyDescent="0.4">
      <c r="B1558" t="s">
        <v>736</v>
      </c>
      <c r="C1558" s="11">
        <v>142.10000000000002</v>
      </c>
      <c r="D1558" s="11"/>
    </row>
    <row r="1559" spans="1:4" x14ac:dyDescent="0.4">
      <c r="B1559" t="s">
        <v>732</v>
      </c>
      <c r="C1559" s="11">
        <v>83.22</v>
      </c>
      <c r="D1559" s="11">
        <v>110.39999999999999</v>
      </c>
    </row>
    <row r="1560" spans="1:4" x14ac:dyDescent="0.4">
      <c r="B1560" t="s">
        <v>686</v>
      </c>
      <c r="C1560" s="11">
        <v>167.4</v>
      </c>
      <c r="D1560" s="11"/>
    </row>
    <row r="1561" spans="1:4" x14ac:dyDescent="0.4">
      <c r="A1561" t="s">
        <v>892</v>
      </c>
      <c r="C1561" s="11">
        <v>322.31166666666667</v>
      </c>
      <c r="D1561" s="11">
        <v>455.2</v>
      </c>
    </row>
    <row r="1562" spans="1:4" x14ac:dyDescent="0.4">
      <c r="A1562" t="s">
        <v>594</v>
      </c>
      <c r="B1562" t="s">
        <v>718</v>
      </c>
      <c r="C1562" s="11">
        <v>249.6</v>
      </c>
      <c r="D1562" s="11">
        <v>390</v>
      </c>
    </row>
    <row r="1563" spans="1:4" x14ac:dyDescent="0.4">
      <c r="B1563" t="s">
        <v>742</v>
      </c>
      <c r="C1563" s="11">
        <v>600</v>
      </c>
      <c r="D1563" s="11"/>
    </row>
    <row r="1564" spans="1:4" x14ac:dyDescent="0.4">
      <c r="B1564" t="s">
        <v>735</v>
      </c>
      <c r="C1564" s="11">
        <v>180</v>
      </c>
      <c r="D1564" s="11"/>
    </row>
    <row r="1565" spans="1:4" x14ac:dyDescent="0.4">
      <c r="B1565" t="s">
        <v>696</v>
      </c>
      <c r="C1565" s="11"/>
      <c r="D1565" s="11">
        <v>360</v>
      </c>
    </row>
    <row r="1566" spans="1:4" x14ac:dyDescent="0.4">
      <c r="B1566" t="s">
        <v>750</v>
      </c>
      <c r="C1566" s="11">
        <v>3952.5</v>
      </c>
      <c r="D1566" s="11"/>
    </row>
    <row r="1567" spans="1:4" x14ac:dyDescent="0.4">
      <c r="B1567" t="s">
        <v>725</v>
      </c>
      <c r="C1567" s="11">
        <v>34.4</v>
      </c>
      <c r="D1567" s="11"/>
    </row>
    <row r="1568" spans="1:4" x14ac:dyDescent="0.4">
      <c r="B1568" t="s">
        <v>693</v>
      </c>
      <c r="C1568" s="11"/>
      <c r="D1568" s="11">
        <v>75</v>
      </c>
    </row>
    <row r="1569" spans="2:4" x14ac:dyDescent="0.4">
      <c r="B1569" t="s">
        <v>695</v>
      </c>
      <c r="C1569" s="11">
        <v>250</v>
      </c>
      <c r="D1569" s="11"/>
    </row>
    <row r="1570" spans="2:4" x14ac:dyDescent="0.4">
      <c r="B1570" t="s">
        <v>698</v>
      </c>
      <c r="C1570" s="11">
        <v>29.25</v>
      </c>
      <c r="D1570" s="11"/>
    </row>
    <row r="1571" spans="2:4" x14ac:dyDescent="0.4">
      <c r="B1571" t="s">
        <v>728</v>
      </c>
      <c r="C1571" s="11">
        <v>330.65000000000003</v>
      </c>
      <c r="D1571" s="11"/>
    </row>
    <row r="1572" spans="2:4" x14ac:dyDescent="0.4">
      <c r="B1572" t="s">
        <v>724</v>
      </c>
      <c r="C1572" s="11">
        <v>217</v>
      </c>
      <c r="D1572" s="11"/>
    </row>
    <row r="1573" spans="2:4" x14ac:dyDescent="0.4">
      <c r="B1573" t="s">
        <v>723</v>
      </c>
      <c r="C1573" s="11"/>
      <c r="D1573" s="11">
        <v>230</v>
      </c>
    </row>
    <row r="1574" spans="2:4" x14ac:dyDescent="0.4">
      <c r="B1574" t="s">
        <v>726</v>
      </c>
      <c r="C1574" s="11">
        <v>48</v>
      </c>
      <c r="D1574" s="11"/>
    </row>
    <row r="1575" spans="2:4" x14ac:dyDescent="0.4">
      <c r="B1575" t="s">
        <v>721</v>
      </c>
      <c r="C1575" s="11">
        <v>432</v>
      </c>
      <c r="D1575" s="11"/>
    </row>
    <row r="1576" spans="2:4" x14ac:dyDescent="0.4">
      <c r="B1576" t="s">
        <v>697</v>
      </c>
      <c r="C1576" s="11">
        <v>480</v>
      </c>
      <c r="D1576" s="11"/>
    </row>
    <row r="1577" spans="2:4" x14ac:dyDescent="0.4">
      <c r="B1577" t="s">
        <v>713</v>
      </c>
      <c r="C1577" s="11"/>
      <c r="D1577" s="11">
        <v>180</v>
      </c>
    </row>
    <row r="1578" spans="2:4" x14ac:dyDescent="0.4">
      <c r="B1578" t="s">
        <v>683</v>
      </c>
      <c r="C1578" s="11"/>
      <c r="D1578" s="11">
        <v>315</v>
      </c>
    </row>
    <row r="1579" spans="2:4" x14ac:dyDescent="0.4">
      <c r="B1579" t="s">
        <v>704</v>
      </c>
      <c r="C1579" s="11">
        <v>440</v>
      </c>
      <c r="D1579" s="11"/>
    </row>
    <row r="1580" spans="2:4" x14ac:dyDescent="0.4">
      <c r="B1580" t="s">
        <v>731</v>
      </c>
      <c r="C1580" s="11">
        <v>37.200000000000003</v>
      </c>
      <c r="D1580" s="11"/>
    </row>
    <row r="1581" spans="2:4" x14ac:dyDescent="0.4">
      <c r="B1581" t="s">
        <v>727</v>
      </c>
      <c r="C1581" s="11">
        <v>509.59999999999997</v>
      </c>
      <c r="D1581" s="11"/>
    </row>
    <row r="1582" spans="2:4" x14ac:dyDescent="0.4">
      <c r="B1582" t="s">
        <v>739</v>
      </c>
      <c r="C1582" s="11"/>
      <c r="D1582" s="11">
        <v>250</v>
      </c>
    </row>
    <row r="1583" spans="2:4" x14ac:dyDescent="0.4">
      <c r="B1583" t="s">
        <v>732</v>
      </c>
      <c r="C1583" s="11">
        <v>64.399999999999991</v>
      </c>
      <c r="D1583" s="11"/>
    </row>
    <row r="1584" spans="2:4" x14ac:dyDescent="0.4">
      <c r="B1584" t="s">
        <v>738</v>
      </c>
      <c r="C1584" s="11"/>
      <c r="D1584" s="11">
        <v>74.5</v>
      </c>
    </row>
    <row r="1585" spans="1:4" x14ac:dyDescent="0.4">
      <c r="B1585" t="s">
        <v>729</v>
      </c>
      <c r="C1585" s="11">
        <v>175.5</v>
      </c>
      <c r="D1585" s="11"/>
    </row>
    <row r="1586" spans="1:4" x14ac:dyDescent="0.4">
      <c r="A1586" t="s">
        <v>893</v>
      </c>
      <c r="C1586" s="11">
        <v>425.60238095238094</v>
      </c>
      <c r="D1586" s="11">
        <v>234.3125</v>
      </c>
    </row>
    <row r="1587" spans="1:4" x14ac:dyDescent="0.4">
      <c r="A1587" t="s">
        <v>599</v>
      </c>
      <c r="B1587" t="s">
        <v>694</v>
      </c>
      <c r="C1587" s="11"/>
      <c r="D1587" s="11">
        <v>1020</v>
      </c>
    </row>
    <row r="1588" spans="1:4" x14ac:dyDescent="0.4">
      <c r="B1588" t="s">
        <v>696</v>
      </c>
      <c r="C1588" s="11"/>
      <c r="D1588" s="11">
        <v>504</v>
      </c>
    </row>
    <row r="1589" spans="1:4" x14ac:dyDescent="0.4">
      <c r="B1589" t="s">
        <v>745</v>
      </c>
      <c r="C1589" s="11">
        <v>352</v>
      </c>
      <c r="D1589" s="11"/>
    </row>
    <row r="1590" spans="1:4" x14ac:dyDescent="0.4">
      <c r="B1590" t="s">
        <v>747</v>
      </c>
      <c r="C1590" s="11"/>
      <c r="D1590" s="11">
        <v>357.75</v>
      </c>
    </row>
    <row r="1591" spans="1:4" x14ac:dyDescent="0.4">
      <c r="B1591" t="s">
        <v>695</v>
      </c>
      <c r="C1591" s="11">
        <v>190</v>
      </c>
      <c r="D1591" s="11"/>
    </row>
    <row r="1592" spans="1:4" x14ac:dyDescent="0.4">
      <c r="B1592" t="s">
        <v>746</v>
      </c>
      <c r="C1592" s="11"/>
      <c r="D1592" s="11">
        <v>150</v>
      </c>
    </row>
    <row r="1593" spans="1:4" x14ac:dyDescent="0.4">
      <c r="B1593" t="s">
        <v>685</v>
      </c>
      <c r="C1593" s="11"/>
      <c r="D1593" s="11">
        <v>469.8</v>
      </c>
    </row>
    <row r="1594" spans="1:4" x14ac:dyDescent="0.4">
      <c r="B1594" t="s">
        <v>717</v>
      </c>
      <c r="C1594" s="11"/>
      <c r="D1594" s="11">
        <v>491.90999999999991</v>
      </c>
    </row>
    <row r="1595" spans="1:4" x14ac:dyDescent="0.4">
      <c r="B1595" t="s">
        <v>699</v>
      </c>
      <c r="C1595" s="11">
        <v>384</v>
      </c>
      <c r="D1595" s="11"/>
    </row>
    <row r="1596" spans="1:4" x14ac:dyDescent="0.4">
      <c r="B1596" t="s">
        <v>739</v>
      </c>
      <c r="C1596" s="11"/>
      <c r="D1596" s="11">
        <v>300</v>
      </c>
    </row>
    <row r="1597" spans="1:4" x14ac:dyDescent="0.4">
      <c r="B1597" t="s">
        <v>692</v>
      </c>
      <c r="C1597" s="11">
        <v>1296</v>
      </c>
      <c r="D1597" s="11"/>
    </row>
    <row r="1598" spans="1:4" x14ac:dyDescent="0.4">
      <c r="B1598" t="s">
        <v>712</v>
      </c>
      <c r="C1598" s="11">
        <v>394.40000000000003</v>
      </c>
      <c r="D1598" s="11"/>
    </row>
    <row r="1599" spans="1:4" x14ac:dyDescent="0.4">
      <c r="B1599" t="s">
        <v>722</v>
      </c>
      <c r="C1599" s="11"/>
      <c r="D1599" s="11">
        <v>940.80399999999997</v>
      </c>
    </row>
    <row r="1600" spans="1:4" x14ac:dyDescent="0.4">
      <c r="A1600" t="s">
        <v>894</v>
      </c>
      <c r="C1600" s="11">
        <v>523.28</v>
      </c>
      <c r="D1600" s="11">
        <v>529.28300000000002</v>
      </c>
    </row>
    <row r="1601" spans="1:4" x14ac:dyDescent="0.4">
      <c r="A1601" t="s">
        <v>606</v>
      </c>
      <c r="B1601" t="s">
        <v>720</v>
      </c>
      <c r="C1601" s="11">
        <v>36.799999999999997</v>
      </c>
      <c r="D1601" s="11"/>
    </row>
    <row r="1602" spans="1:4" x14ac:dyDescent="0.4">
      <c r="B1602" t="s">
        <v>696</v>
      </c>
      <c r="C1602" s="11">
        <v>180</v>
      </c>
      <c r="D1602" s="11"/>
    </row>
    <row r="1603" spans="1:4" x14ac:dyDescent="0.4">
      <c r="B1603" t="s">
        <v>693</v>
      </c>
      <c r="C1603" s="11">
        <v>35</v>
      </c>
      <c r="D1603" s="11"/>
    </row>
    <row r="1604" spans="1:4" x14ac:dyDescent="0.4">
      <c r="B1604" t="s">
        <v>706</v>
      </c>
      <c r="C1604" s="11">
        <v>234</v>
      </c>
      <c r="D1604" s="11"/>
    </row>
    <row r="1605" spans="1:4" x14ac:dyDescent="0.4">
      <c r="B1605" t="s">
        <v>713</v>
      </c>
      <c r="C1605" s="11"/>
      <c r="D1605" s="11">
        <v>90</v>
      </c>
    </row>
    <row r="1606" spans="1:4" x14ac:dyDescent="0.4">
      <c r="B1606" t="s">
        <v>731</v>
      </c>
      <c r="C1606" s="11">
        <v>155</v>
      </c>
      <c r="D1606" s="11"/>
    </row>
    <row r="1607" spans="1:4" x14ac:dyDescent="0.4">
      <c r="B1607" t="s">
        <v>712</v>
      </c>
      <c r="C1607" s="11">
        <v>493</v>
      </c>
      <c r="D1607" s="11">
        <v>147.89999999999998</v>
      </c>
    </row>
    <row r="1608" spans="1:4" x14ac:dyDescent="0.4">
      <c r="B1608" t="s">
        <v>741</v>
      </c>
      <c r="C1608" s="11">
        <v>199.5</v>
      </c>
      <c r="D1608" s="11"/>
    </row>
    <row r="1609" spans="1:4" x14ac:dyDescent="0.4">
      <c r="A1609" t="s">
        <v>895</v>
      </c>
      <c r="C1609" s="11">
        <v>190.47142857142856</v>
      </c>
      <c r="D1609" s="11">
        <v>118.94999999999999</v>
      </c>
    </row>
    <row r="1610" spans="1:4" x14ac:dyDescent="0.4">
      <c r="A1610" t="s">
        <v>613</v>
      </c>
      <c r="B1610" t="s">
        <v>740</v>
      </c>
      <c r="C1610" s="11">
        <v>140</v>
      </c>
      <c r="D1610" s="11"/>
    </row>
    <row r="1611" spans="1:4" x14ac:dyDescent="0.4">
      <c r="B1611" t="s">
        <v>720</v>
      </c>
      <c r="C1611" s="11">
        <v>515</v>
      </c>
      <c r="D1611" s="11"/>
    </row>
    <row r="1612" spans="1:4" x14ac:dyDescent="0.4">
      <c r="B1612" t="s">
        <v>748</v>
      </c>
      <c r="C1612" s="11"/>
      <c r="D1612" s="11">
        <v>99.75</v>
      </c>
    </row>
    <row r="1613" spans="1:4" x14ac:dyDescent="0.4">
      <c r="B1613" t="s">
        <v>725</v>
      </c>
      <c r="C1613" s="11">
        <v>516</v>
      </c>
      <c r="D1613" s="11"/>
    </row>
    <row r="1614" spans="1:4" x14ac:dyDescent="0.4">
      <c r="B1614" t="s">
        <v>698</v>
      </c>
      <c r="C1614" s="11">
        <v>90</v>
      </c>
      <c r="D1614" s="11">
        <v>112.5</v>
      </c>
    </row>
    <row r="1615" spans="1:4" x14ac:dyDescent="0.4">
      <c r="B1615" t="s">
        <v>724</v>
      </c>
      <c r="C1615" s="11">
        <v>502.2</v>
      </c>
      <c r="D1615" s="11">
        <v>775</v>
      </c>
    </row>
    <row r="1616" spans="1:4" x14ac:dyDescent="0.4">
      <c r="B1616" t="s">
        <v>688</v>
      </c>
      <c r="C1616" s="11"/>
      <c r="D1616" s="11">
        <v>275.02499999999998</v>
      </c>
    </row>
    <row r="1617" spans="2:4" x14ac:dyDescent="0.4">
      <c r="B1617" t="s">
        <v>721</v>
      </c>
      <c r="C1617" s="11">
        <v>504</v>
      </c>
      <c r="D1617" s="11"/>
    </row>
    <row r="1618" spans="2:4" x14ac:dyDescent="0.4">
      <c r="B1618" t="s">
        <v>689</v>
      </c>
      <c r="C1618" s="11">
        <v>252</v>
      </c>
      <c r="D1618" s="11"/>
    </row>
    <row r="1619" spans="2:4" x14ac:dyDescent="0.4">
      <c r="B1619" t="s">
        <v>706</v>
      </c>
      <c r="C1619" s="11">
        <v>89.05</v>
      </c>
      <c r="D1619" s="11">
        <v>520</v>
      </c>
    </row>
    <row r="1620" spans="2:4" x14ac:dyDescent="0.4">
      <c r="B1620" t="s">
        <v>704</v>
      </c>
      <c r="C1620" s="11"/>
      <c r="D1620" s="11">
        <v>940.5</v>
      </c>
    </row>
    <row r="1621" spans="2:4" x14ac:dyDescent="0.4">
      <c r="B1621" t="s">
        <v>756</v>
      </c>
      <c r="C1621" s="11">
        <v>205.20000000000002</v>
      </c>
      <c r="D1621" s="11"/>
    </row>
    <row r="1622" spans="2:4" x14ac:dyDescent="0.4">
      <c r="B1622" t="s">
        <v>727</v>
      </c>
      <c r="C1622" s="11">
        <v>2462.4</v>
      </c>
      <c r="D1622" s="11"/>
    </row>
    <row r="1623" spans="2:4" x14ac:dyDescent="0.4">
      <c r="B1623" t="s">
        <v>736</v>
      </c>
      <c r="C1623" s="11">
        <v>299.60000000000002</v>
      </c>
      <c r="D1623" s="11"/>
    </row>
    <row r="1624" spans="2:4" x14ac:dyDescent="0.4">
      <c r="B1624" t="s">
        <v>739</v>
      </c>
      <c r="C1624" s="11">
        <v>600</v>
      </c>
      <c r="D1624" s="11"/>
    </row>
    <row r="1625" spans="2:4" x14ac:dyDescent="0.4">
      <c r="B1625" t="s">
        <v>758</v>
      </c>
      <c r="C1625" s="11"/>
      <c r="D1625" s="11">
        <v>570</v>
      </c>
    </row>
    <row r="1626" spans="2:4" x14ac:dyDescent="0.4">
      <c r="B1626" t="s">
        <v>714</v>
      </c>
      <c r="C1626" s="11"/>
      <c r="D1626" s="11">
        <v>180</v>
      </c>
    </row>
    <row r="1627" spans="2:4" x14ac:dyDescent="0.4">
      <c r="B1627" t="s">
        <v>712</v>
      </c>
      <c r="C1627" s="11"/>
      <c r="D1627" s="11">
        <v>739.5</v>
      </c>
    </row>
    <row r="1628" spans="2:4" x14ac:dyDescent="0.4">
      <c r="B1628" t="s">
        <v>722</v>
      </c>
      <c r="C1628" s="11">
        <v>1603.8</v>
      </c>
      <c r="D1628" s="11"/>
    </row>
    <row r="1629" spans="2:4" x14ac:dyDescent="0.4">
      <c r="B1629" t="s">
        <v>738</v>
      </c>
      <c r="C1629" s="11">
        <v>239.35</v>
      </c>
      <c r="D1629" s="11"/>
    </row>
    <row r="1630" spans="2:4" x14ac:dyDescent="0.4">
      <c r="B1630" t="s">
        <v>715</v>
      </c>
      <c r="C1630" s="11">
        <v>300</v>
      </c>
      <c r="D1630" s="11"/>
    </row>
    <row r="1631" spans="2:4" x14ac:dyDescent="0.4">
      <c r="B1631" t="s">
        <v>755</v>
      </c>
      <c r="C1631" s="11">
        <v>325</v>
      </c>
      <c r="D1631" s="11"/>
    </row>
    <row r="1632" spans="2:4" x14ac:dyDescent="0.4">
      <c r="B1632" t="s">
        <v>729</v>
      </c>
      <c r="C1632" s="11"/>
      <c r="D1632" s="11">
        <v>1756</v>
      </c>
    </row>
    <row r="1633" spans="1:4" x14ac:dyDescent="0.4">
      <c r="A1633" t="s">
        <v>896</v>
      </c>
      <c r="C1633" s="11">
        <v>470.26904761904763</v>
      </c>
      <c r="D1633" s="11">
        <v>596.82749999999999</v>
      </c>
    </row>
    <row r="1634" spans="1:4" x14ac:dyDescent="0.4">
      <c r="A1634" t="s">
        <v>620</v>
      </c>
      <c r="B1634" t="s">
        <v>701</v>
      </c>
      <c r="C1634" s="11"/>
      <c r="D1634" s="11">
        <v>285</v>
      </c>
    </row>
    <row r="1635" spans="1:4" x14ac:dyDescent="0.4">
      <c r="B1635" t="s">
        <v>757</v>
      </c>
      <c r="C1635" s="11"/>
      <c r="D1635" s="11">
        <v>86.7</v>
      </c>
    </row>
    <row r="1636" spans="1:4" x14ac:dyDescent="0.4">
      <c r="B1636" t="s">
        <v>748</v>
      </c>
      <c r="C1636" s="11">
        <v>44.8</v>
      </c>
      <c r="D1636" s="11"/>
    </row>
    <row r="1637" spans="1:4" x14ac:dyDescent="0.4">
      <c r="B1637" t="s">
        <v>693</v>
      </c>
      <c r="C1637" s="11"/>
      <c r="D1637" s="11">
        <v>8.5</v>
      </c>
    </row>
    <row r="1638" spans="1:4" x14ac:dyDescent="0.4">
      <c r="B1638" t="s">
        <v>690</v>
      </c>
      <c r="C1638" s="11">
        <v>95.76</v>
      </c>
      <c r="D1638" s="11"/>
    </row>
    <row r="1639" spans="1:4" x14ac:dyDescent="0.4">
      <c r="B1639" t="s">
        <v>724</v>
      </c>
      <c r="C1639" s="11">
        <v>434</v>
      </c>
      <c r="D1639" s="11"/>
    </row>
    <row r="1640" spans="1:4" x14ac:dyDescent="0.4">
      <c r="B1640" t="s">
        <v>723</v>
      </c>
      <c r="C1640" s="11"/>
      <c r="D1640" s="11">
        <v>782</v>
      </c>
    </row>
    <row r="1641" spans="1:4" x14ac:dyDescent="0.4">
      <c r="B1641" t="s">
        <v>688</v>
      </c>
      <c r="C1641" s="11"/>
      <c r="D1641" s="11">
        <v>193</v>
      </c>
    </row>
    <row r="1642" spans="1:4" x14ac:dyDescent="0.4">
      <c r="B1642" t="s">
        <v>700</v>
      </c>
      <c r="C1642" s="11"/>
      <c r="D1642" s="11">
        <v>112.5</v>
      </c>
    </row>
    <row r="1643" spans="1:4" x14ac:dyDescent="0.4">
      <c r="B1643" t="s">
        <v>689</v>
      </c>
      <c r="C1643" s="11">
        <v>336</v>
      </c>
      <c r="D1643" s="11">
        <v>42.1</v>
      </c>
    </row>
    <row r="1644" spans="1:4" x14ac:dyDescent="0.4">
      <c r="B1644" t="s">
        <v>687</v>
      </c>
      <c r="C1644" s="11"/>
      <c r="D1644" s="11">
        <v>159</v>
      </c>
    </row>
    <row r="1645" spans="1:4" x14ac:dyDescent="0.4">
      <c r="B1645" t="s">
        <v>685</v>
      </c>
      <c r="C1645" s="11">
        <v>1112</v>
      </c>
      <c r="D1645" s="11"/>
    </row>
    <row r="1646" spans="1:4" x14ac:dyDescent="0.4">
      <c r="B1646" t="s">
        <v>749</v>
      </c>
      <c r="C1646" s="11"/>
      <c r="D1646" s="11">
        <v>238</v>
      </c>
    </row>
    <row r="1647" spans="1:4" x14ac:dyDescent="0.4">
      <c r="B1647" t="s">
        <v>713</v>
      </c>
      <c r="C1647" s="11"/>
      <c r="D1647" s="11">
        <v>382.5</v>
      </c>
    </row>
    <row r="1648" spans="1:4" x14ac:dyDescent="0.4">
      <c r="B1648" t="s">
        <v>691</v>
      </c>
      <c r="C1648" s="11">
        <v>222.29999999999998</v>
      </c>
      <c r="D1648" s="11"/>
    </row>
    <row r="1649" spans="1:4" x14ac:dyDescent="0.4">
      <c r="B1649" t="s">
        <v>739</v>
      </c>
      <c r="C1649" s="11">
        <v>100</v>
      </c>
      <c r="D1649" s="11"/>
    </row>
    <row r="1650" spans="1:4" x14ac:dyDescent="0.4">
      <c r="B1650" t="s">
        <v>758</v>
      </c>
      <c r="C1650" s="11"/>
      <c r="D1650" s="11">
        <v>726.75</v>
      </c>
    </row>
    <row r="1651" spans="1:4" x14ac:dyDescent="0.4">
      <c r="B1651" t="s">
        <v>737</v>
      </c>
      <c r="C1651" s="11">
        <v>182.39999999999998</v>
      </c>
      <c r="D1651" s="11"/>
    </row>
    <row r="1652" spans="1:4" x14ac:dyDescent="0.4">
      <c r="B1652" t="s">
        <v>714</v>
      </c>
      <c r="C1652" s="11">
        <v>540</v>
      </c>
      <c r="D1652" s="11"/>
    </row>
    <row r="1653" spans="1:4" x14ac:dyDescent="0.4">
      <c r="B1653" t="s">
        <v>712</v>
      </c>
      <c r="C1653" s="11">
        <v>1972</v>
      </c>
      <c r="D1653" s="11"/>
    </row>
    <row r="1654" spans="1:4" x14ac:dyDescent="0.4">
      <c r="B1654" t="s">
        <v>738</v>
      </c>
      <c r="C1654" s="11">
        <v>28.320000000000007</v>
      </c>
      <c r="D1654" s="11"/>
    </row>
    <row r="1655" spans="1:4" x14ac:dyDescent="0.4">
      <c r="B1655" t="s">
        <v>715</v>
      </c>
      <c r="C1655" s="11">
        <v>332.4</v>
      </c>
      <c r="D1655" s="11"/>
    </row>
    <row r="1656" spans="1:4" x14ac:dyDescent="0.4">
      <c r="A1656" t="s">
        <v>897</v>
      </c>
      <c r="C1656" s="11">
        <v>440.45571428571429</v>
      </c>
      <c r="D1656" s="11">
        <v>274.18636363636364</v>
      </c>
    </row>
    <row r="1657" spans="1:4" x14ac:dyDescent="0.4">
      <c r="A1657" t="s">
        <v>627</v>
      </c>
      <c r="B1657" t="s">
        <v>748</v>
      </c>
      <c r="C1657" s="11">
        <v>126</v>
      </c>
      <c r="D1657" s="11"/>
    </row>
    <row r="1658" spans="1:4" x14ac:dyDescent="0.4">
      <c r="B1658" t="s">
        <v>725</v>
      </c>
      <c r="C1658" s="11">
        <v>344</v>
      </c>
      <c r="D1658" s="11"/>
    </row>
    <row r="1659" spans="1:4" x14ac:dyDescent="0.4">
      <c r="B1659" t="s">
        <v>716</v>
      </c>
      <c r="C1659" s="11">
        <v>121.6</v>
      </c>
      <c r="D1659" s="11"/>
    </row>
    <row r="1660" spans="1:4" x14ac:dyDescent="0.4">
      <c r="B1660" t="s">
        <v>703</v>
      </c>
      <c r="C1660" s="11">
        <v>114</v>
      </c>
      <c r="D1660" s="11"/>
    </row>
    <row r="1661" spans="1:4" x14ac:dyDescent="0.4">
      <c r="B1661" t="s">
        <v>688</v>
      </c>
      <c r="C1661" s="11">
        <v>115.80000000000001</v>
      </c>
      <c r="D1661" s="11"/>
    </row>
    <row r="1662" spans="1:4" x14ac:dyDescent="0.4">
      <c r="B1662" t="s">
        <v>726</v>
      </c>
      <c r="C1662" s="11">
        <v>24</v>
      </c>
      <c r="D1662" s="11"/>
    </row>
    <row r="1663" spans="1:4" x14ac:dyDescent="0.4">
      <c r="B1663" t="s">
        <v>685</v>
      </c>
      <c r="C1663" s="11">
        <v>184.3</v>
      </c>
      <c r="D1663" s="11"/>
    </row>
    <row r="1664" spans="1:4" x14ac:dyDescent="0.4">
      <c r="B1664" t="s">
        <v>683</v>
      </c>
      <c r="C1664" s="11">
        <v>168</v>
      </c>
      <c r="D1664" s="11"/>
    </row>
    <row r="1665" spans="1:4" x14ac:dyDescent="0.4">
      <c r="B1665" t="s">
        <v>684</v>
      </c>
      <c r="C1665" s="11">
        <v>98</v>
      </c>
      <c r="D1665" s="11"/>
    </row>
    <row r="1666" spans="1:4" x14ac:dyDescent="0.4">
      <c r="A1666" t="s">
        <v>898</v>
      </c>
      <c r="C1666" s="11">
        <v>148</v>
      </c>
      <c r="D1666" s="11"/>
    </row>
    <row r="1667" spans="1:4" x14ac:dyDescent="0.4">
      <c r="A1667" t="s">
        <v>641</v>
      </c>
      <c r="B1667" t="s">
        <v>694</v>
      </c>
      <c r="C1667" s="11">
        <v>693.6</v>
      </c>
      <c r="D1667" s="11"/>
    </row>
    <row r="1668" spans="1:4" x14ac:dyDescent="0.4">
      <c r="B1668" t="s">
        <v>735</v>
      </c>
      <c r="C1668" s="11">
        <v>122.39999999999999</v>
      </c>
      <c r="D1668" s="11">
        <v>162</v>
      </c>
    </row>
    <row r="1669" spans="1:4" x14ac:dyDescent="0.4">
      <c r="B1669" t="s">
        <v>696</v>
      </c>
      <c r="C1669" s="11">
        <v>288</v>
      </c>
      <c r="D1669" s="11"/>
    </row>
    <row r="1670" spans="1:4" x14ac:dyDescent="0.4">
      <c r="B1670" t="s">
        <v>745</v>
      </c>
      <c r="C1670" s="11">
        <v>550</v>
      </c>
      <c r="D1670" s="11"/>
    </row>
    <row r="1671" spans="1:4" x14ac:dyDescent="0.4">
      <c r="B1671" t="s">
        <v>747</v>
      </c>
      <c r="C1671" s="11">
        <v>79.5</v>
      </c>
      <c r="D1671" s="11"/>
    </row>
    <row r="1672" spans="1:4" x14ac:dyDescent="0.4">
      <c r="B1672" t="s">
        <v>725</v>
      </c>
      <c r="C1672" s="11">
        <v>550.4</v>
      </c>
      <c r="D1672" s="11"/>
    </row>
    <row r="1673" spans="1:4" x14ac:dyDescent="0.4">
      <c r="B1673" t="s">
        <v>716</v>
      </c>
      <c r="C1673" s="11">
        <v>969</v>
      </c>
      <c r="D1673" s="11">
        <v>608</v>
      </c>
    </row>
    <row r="1674" spans="1:4" x14ac:dyDescent="0.4">
      <c r="B1674" t="s">
        <v>695</v>
      </c>
      <c r="C1674" s="11">
        <v>375</v>
      </c>
      <c r="D1674" s="11"/>
    </row>
    <row r="1675" spans="1:4" x14ac:dyDescent="0.4">
      <c r="B1675" t="s">
        <v>743</v>
      </c>
      <c r="C1675" s="11">
        <v>306</v>
      </c>
      <c r="D1675" s="11"/>
    </row>
    <row r="1676" spans="1:4" x14ac:dyDescent="0.4">
      <c r="B1676" t="s">
        <v>690</v>
      </c>
      <c r="C1676" s="11">
        <v>504</v>
      </c>
      <c r="D1676" s="11"/>
    </row>
    <row r="1677" spans="1:4" x14ac:dyDescent="0.4">
      <c r="B1677" t="s">
        <v>703</v>
      </c>
      <c r="C1677" s="11">
        <v>456</v>
      </c>
      <c r="D1677" s="11"/>
    </row>
    <row r="1678" spans="1:4" x14ac:dyDescent="0.4">
      <c r="B1678" t="s">
        <v>723</v>
      </c>
      <c r="C1678" s="11">
        <v>919.99999999999989</v>
      </c>
      <c r="D1678" s="11"/>
    </row>
    <row r="1679" spans="1:4" x14ac:dyDescent="0.4">
      <c r="B1679" t="s">
        <v>726</v>
      </c>
      <c r="C1679" s="11">
        <v>60</v>
      </c>
      <c r="D1679" s="11">
        <v>108</v>
      </c>
    </row>
    <row r="1680" spans="1:4" x14ac:dyDescent="0.4">
      <c r="B1680" t="s">
        <v>700</v>
      </c>
      <c r="C1680" s="11"/>
      <c r="D1680" s="11">
        <v>350</v>
      </c>
    </row>
    <row r="1681" spans="1:4" x14ac:dyDescent="0.4">
      <c r="B1681" t="s">
        <v>702</v>
      </c>
      <c r="C1681" s="11">
        <v>244.29999999999998</v>
      </c>
      <c r="D1681" s="11"/>
    </row>
    <row r="1682" spans="1:4" x14ac:dyDescent="0.4">
      <c r="B1682" t="s">
        <v>705</v>
      </c>
      <c r="C1682" s="11">
        <v>655</v>
      </c>
      <c r="D1682" s="11"/>
    </row>
    <row r="1683" spans="1:4" x14ac:dyDescent="0.4">
      <c r="B1683" t="s">
        <v>683</v>
      </c>
      <c r="C1683" s="11">
        <v>315</v>
      </c>
      <c r="D1683" s="11"/>
    </row>
    <row r="1684" spans="1:4" x14ac:dyDescent="0.4">
      <c r="B1684" t="s">
        <v>719</v>
      </c>
      <c r="C1684" s="11">
        <v>346.55999999999995</v>
      </c>
      <c r="D1684" s="11"/>
    </row>
    <row r="1685" spans="1:4" x14ac:dyDescent="0.4">
      <c r="B1685" t="s">
        <v>704</v>
      </c>
      <c r="C1685" s="11">
        <v>1168.75</v>
      </c>
      <c r="D1685" s="11"/>
    </row>
    <row r="1686" spans="1:4" x14ac:dyDescent="0.4">
      <c r="B1686" t="s">
        <v>691</v>
      </c>
      <c r="C1686" s="11">
        <v>312</v>
      </c>
      <c r="D1686" s="11"/>
    </row>
    <row r="1687" spans="1:4" x14ac:dyDescent="0.4">
      <c r="B1687" t="s">
        <v>756</v>
      </c>
      <c r="C1687" s="11">
        <v>323</v>
      </c>
      <c r="D1687" s="11"/>
    </row>
    <row r="1688" spans="1:4" x14ac:dyDescent="0.4">
      <c r="B1688" t="s">
        <v>710</v>
      </c>
      <c r="C1688" s="11">
        <v>72</v>
      </c>
      <c r="D1688" s="11"/>
    </row>
    <row r="1689" spans="1:4" x14ac:dyDescent="0.4">
      <c r="B1689" t="s">
        <v>758</v>
      </c>
      <c r="C1689" s="11">
        <v>570</v>
      </c>
      <c r="D1689" s="11"/>
    </row>
    <row r="1690" spans="1:4" x14ac:dyDescent="0.4">
      <c r="B1690" t="s">
        <v>714</v>
      </c>
      <c r="C1690" s="11">
        <v>108</v>
      </c>
      <c r="D1690" s="11"/>
    </row>
    <row r="1691" spans="1:4" x14ac:dyDescent="0.4">
      <c r="B1691" t="s">
        <v>732</v>
      </c>
      <c r="C1691" s="11">
        <v>146</v>
      </c>
      <c r="D1691" s="11"/>
    </row>
    <row r="1692" spans="1:4" x14ac:dyDescent="0.4">
      <c r="B1692" t="s">
        <v>722</v>
      </c>
      <c r="C1692" s="11">
        <v>1237.9000000000001</v>
      </c>
      <c r="D1692" s="11"/>
    </row>
    <row r="1693" spans="1:4" x14ac:dyDescent="0.4">
      <c r="B1693" t="s">
        <v>686</v>
      </c>
      <c r="C1693" s="11">
        <v>206.53749999999999</v>
      </c>
      <c r="D1693" s="11"/>
    </row>
    <row r="1694" spans="1:4" x14ac:dyDescent="0.4">
      <c r="B1694" t="s">
        <v>738</v>
      </c>
      <c r="C1694" s="11"/>
      <c r="D1694" s="11">
        <v>17.880000000000003</v>
      </c>
    </row>
    <row r="1695" spans="1:4" x14ac:dyDescent="0.4">
      <c r="A1695" t="s">
        <v>899</v>
      </c>
      <c r="C1695" s="11">
        <v>450.08820312499995</v>
      </c>
      <c r="D1695" s="11">
        <v>249.17600000000002</v>
      </c>
    </row>
    <row r="1696" spans="1:4" x14ac:dyDescent="0.4">
      <c r="A1696" t="s">
        <v>648</v>
      </c>
      <c r="B1696" t="s">
        <v>742</v>
      </c>
      <c r="C1696" s="11">
        <v>225</v>
      </c>
      <c r="D1696" s="11">
        <v>187.5</v>
      </c>
    </row>
    <row r="1697" spans="1:4" x14ac:dyDescent="0.4">
      <c r="B1697" t="s">
        <v>735</v>
      </c>
      <c r="C1697" s="11"/>
      <c r="D1697" s="11">
        <v>360</v>
      </c>
    </row>
    <row r="1698" spans="1:4" x14ac:dyDescent="0.4">
      <c r="B1698" t="s">
        <v>748</v>
      </c>
      <c r="C1698" s="11"/>
      <c r="D1698" s="11">
        <v>140</v>
      </c>
    </row>
    <row r="1699" spans="1:4" x14ac:dyDescent="0.4">
      <c r="B1699" t="s">
        <v>723</v>
      </c>
      <c r="C1699" s="11">
        <v>920</v>
      </c>
      <c r="D1699" s="11"/>
    </row>
    <row r="1700" spans="1:4" x14ac:dyDescent="0.4">
      <c r="B1700" t="s">
        <v>726</v>
      </c>
      <c r="C1700" s="11">
        <v>8.64</v>
      </c>
      <c r="D1700" s="11"/>
    </row>
    <row r="1701" spans="1:4" x14ac:dyDescent="0.4">
      <c r="B1701" t="s">
        <v>759</v>
      </c>
      <c r="C1701" s="11">
        <v>1396.8</v>
      </c>
      <c r="D1701" s="11"/>
    </row>
    <row r="1702" spans="1:4" x14ac:dyDescent="0.4">
      <c r="B1702" t="s">
        <v>749</v>
      </c>
      <c r="C1702" s="11"/>
      <c r="D1702" s="11">
        <v>199.5</v>
      </c>
    </row>
    <row r="1703" spans="1:4" x14ac:dyDescent="0.4">
      <c r="B1703" t="s">
        <v>706</v>
      </c>
      <c r="C1703" s="11">
        <v>124.80000000000001</v>
      </c>
      <c r="D1703" s="11"/>
    </row>
    <row r="1704" spans="1:4" x14ac:dyDescent="0.4">
      <c r="B1704" t="s">
        <v>713</v>
      </c>
      <c r="C1704" s="11">
        <v>86.4</v>
      </c>
      <c r="D1704" s="11">
        <v>33.75</v>
      </c>
    </row>
    <row r="1705" spans="1:4" x14ac:dyDescent="0.4">
      <c r="B1705" t="s">
        <v>705</v>
      </c>
      <c r="C1705" s="11">
        <v>393</v>
      </c>
      <c r="D1705" s="11"/>
    </row>
    <row r="1706" spans="1:4" x14ac:dyDescent="0.4">
      <c r="B1706" t="s">
        <v>704</v>
      </c>
      <c r="C1706" s="11"/>
      <c r="D1706" s="11">
        <v>783.75</v>
      </c>
    </row>
    <row r="1707" spans="1:4" x14ac:dyDescent="0.4">
      <c r="B1707" t="s">
        <v>730</v>
      </c>
      <c r="C1707" s="11">
        <v>216</v>
      </c>
      <c r="D1707" s="11"/>
    </row>
    <row r="1708" spans="1:4" x14ac:dyDescent="0.4">
      <c r="B1708" t="s">
        <v>737</v>
      </c>
      <c r="C1708" s="11">
        <v>226.8</v>
      </c>
      <c r="D1708" s="11"/>
    </row>
    <row r="1709" spans="1:4" x14ac:dyDescent="0.4">
      <c r="B1709" t="s">
        <v>732</v>
      </c>
      <c r="C1709" s="11"/>
      <c r="D1709" s="11">
        <v>209.75999999999996</v>
      </c>
    </row>
    <row r="1710" spans="1:4" x14ac:dyDescent="0.4">
      <c r="B1710" t="s">
        <v>753</v>
      </c>
      <c r="C1710" s="11"/>
      <c r="D1710" s="11">
        <v>54</v>
      </c>
    </row>
    <row r="1711" spans="1:4" x14ac:dyDescent="0.4">
      <c r="B1711" t="s">
        <v>752</v>
      </c>
      <c r="C1711" s="11">
        <v>142.5</v>
      </c>
      <c r="D1711" s="11"/>
    </row>
    <row r="1712" spans="1:4" x14ac:dyDescent="0.4">
      <c r="A1712" t="s">
        <v>900</v>
      </c>
      <c r="C1712" s="11">
        <v>373.99400000000003</v>
      </c>
      <c r="D1712" s="11">
        <v>258.69555555555553</v>
      </c>
    </row>
    <row r="1713" spans="1:4" x14ac:dyDescent="0.4">
      <c r="A1713" t="s">
        <v>655</v>
      </c>
      <c r="B1713" t="s">
        <v>718</v>
      </c>
      <c r="C1713" s="11">
        <v>780</v>
      </c>
      <c r="D1713" s="11">
        <v>1638</v>
      </c>
    </row>
    <row r="1714" spans="1:4" x14ac:dyDescent="0.4">
      <c r="B1714" t="s">
        <v>742</v>
      </c>
      <c r="C1714" s="11"/>
      <c r="D1714" s="11">
        <v>1250</v>
      </c>
    </row>
    <row r="1715" spans="1:4" x14ac:dyDescent="0.4">
      <c r="B1715" t="s">
        <v>701</v>
      </c>
      <c r="C1715" s="11">
        <v>372.4</v>
      </c>
      <c r="D1715" s="11"/>
    </row>
    <row r="1716" spans="1:4" x14ac:dyDescent="0.4">
      <c r="B1716" t="s">
        <v>745</v>
      </c>
      <c r="C1716" s="11">
        <v>616</v>
      </c>
      <c r="D1716" s="11"/>
    </row>
    <row r="1717" spans="1:4" x14ac:dyDescent="0.4">
      <c r="B1717" t="s">
        <v>750</v>
      </c>
      <c r="C1717" s="11"/>
      <c r="D1717" s="11">
        <v>6587.5</v>
      </c>
    </row>
    <row r="1718" spans="1:4" x14ac:dyDescent="0.4">
      <c r="B1718" t="s">
        <v>747</v>
      </c>
      <c r="C1718" s="11"/>
      <c r="D1718" s="11">
        <v>198.75</v>
      </c>
    </row>
    <row r="1719" spans="1:4" x14ac:dyDescent="0.4">
      <c r="B1719" t="s">
        <v>693</v>
      </c>
      <c r="C1719" s="11">
        <v>114</v>
      </c>
      <c r="D1719" s="11">
        <v>87.5</v>
      </c>
    </row>
    <row r="1720" spans="1:4" x14ac:dyDescent="0.4">
      <c r="B1720" t="s">
        <v>716</v>
      </c>
      <c r="C1720" s="11">
        <v>288.8</v>
      </c>
      <c r="D1720" s="11"/>
    </row>
    <row r="1721" spans="1:4" x14ac:dyDescent="0.4">
      <c r="B1721" t="s">
        <v>743</v>
      </c>
      <c r="C1721" s="11">
        <v>918</v>
      </c>
      <c r="D1721" s="11"/>
    </row>
    <row r="1722" spans="1:4" x14ac:dyDescent="0.4">
      <c r="B1722" t="s">
        <v>728</v>
      </c>
      <c r="C1722" s="11">
        <v>26.349999999999998</v>
      </c>
      <c r="D1722" s="11"/>
    </row>
    <row r="1723" spans="1:4" x14ac:dyDescent="0.4">
      <c r="B1723" t="s">
        <v>751</v>
      </c>
      <c r="C1723" s="11">
        <v>468.45</v>
      </c>
      <c r="D1723" s="11"/>
    </row>
    <row r="1724" spans="1:4" x14ac:dyDescent="0.4">
      <c r="B1724" t="s">
        <v>703</v>
      </c>
      <c r="C1724" s="11"/>
      <c r="D1724" s="11">
        <v>665</v>
      </c>
    </row>
    <row r="1725" spans="1:4" x14ac:dyDescent="0.4">
      <c r="B1725" t="s">
        <v>759</v>
      </c>
      <c r="C1725" s="11">
        <v>582</v>
      </c>
      <c r="D1725" s="11"/>
    </row>
    <row r="1726" spans="1:4" x14ac:dyDescent="0.4">
      <c r="B1726" t="s">
        <v>685</v>
      </c>
      <c r="C1726" s="11">
        <v>528.19999999999993</v>
      </c>
      <c r="D1726" s="11"/>
    </row>
    <row r="1727" spans="1:4" x14ac:dyDescent="0.4">
      <c r="B1727" t="s">
        <v>754</v>
      </c>
      <c r="C1727" s="11">
        <v>1680</v>
      </c>
      <c r="D1727" s="11"/>
    </row>
    <row r="1728" spans="1:4" x14ac:dyDescent="0.4">
      <c r="B1728" t="s">
        <v>706</v>
      </c>
      <c r="C1728" s="11">
        <v>296.39999999999998</v>
      </c>
      <c r="D1728" s="11"/>
    </row>
    <row r="1729" spans="2:4" x14ac:dyDescent="0.4">
      <c r="B1729" t="s">
        <v>702</v>
      </c>
      <c r="C1729" s="11">
        <v>413.52499999999998</v>
      </c>
      <c r="D1729" s="11">
        <v>52.349999999999994</v>
      </c>
    </row>
    <row r="1730" spans="2:4" x14ac:dyDescent="0.4">
      <c r="B1730" t="s">
        <v>705</v>
      </c>
      <c r="C1730" s="11">
        <v>328</v>
      </c>
      <c r="D1730" s="11"/>
    </row>
    <row r="1731" spans="2:4" x14ac:dyDescent="0.4">
      <c r="B1731" t="s">
        <v>704</v>
      </c>
      <c r="C1731" s="11"/>
      <c r="D1731" s="11">
        <v>1650</v>
      </c>
    </row>
    <row r="1732" spans="2:4" x14ac:dyDescent="0.4">
      <c r="B1732" t="s">
        <v>731</v>
      </c>
      <c r="C1732" s="11">
        <v>186</v>
      </c>
      <c r="D1732" s="11"/>
    </row>
    <row r="1733" spans="2:4" x14ac:dyDescent="0.4">
      <c r="B1733" t="s">
        <v>730</v>
      </c>
      <c r="C1733" s="11">
        <v>191.25</v>
      </c>
      <c r="D1733" s="11"/>
    </row>
    <row r="1734" spans="2:4" x14ac:dyDescent="0.4">
      <c r="B1734" t="s">
        <v>756</v>
      </c>
      <c r="C1734" s="11">
        <v>304</v>
      </c>
      <c r="D1734" s="11"/>
    </row>
    <row r="1735" spans="2:4" x14ac:dyDescent="0.4">
      <c r="B1735" t="s">
        <v>727</v>
      </c>
      <c r="C1735" s="11">
        <v>182.4</v>
      </c>
      <c r="D1735" s="11"/>
    </row>
    <row r="1736" spans="2:4" x14ac:dyDescent="0.4">
      <c r="B1736" t="s">
        <v>736</v>
      </c>
      <c r="C1736" s="11">
        <v>372.4</v>
      </c>
      <c r="D1736" s="11">
        <v>490</v>
      </c>
    </row>
    <row r="1737" spans="2:4" x14ac:dyDescent="0.4">
      <c r="B1737" t="s">
        <v>710</v>
      </c>
      <c r="C1737" s="11">
        <v>120</v>
      </c>
      <c r="D1737" s="11">
        <v>400</v>
      </c>
    </row>
    <row r="1738" spans="2:4" x14ac:dyDescent="0.4">
      <c r="B1738" t="s">
        <v>758</v>
      </c>
      <c r="C1738" s="11">
        <v>712.5</v>
      </c>
      <c r="D1738" s="11"/>
    </row>
    <row r="1739" spans="2:4" x14ac:dyDescent="0.4">
      <c r="B1739" t="s">
        <v>737</v>
      </c>
      <c r="C1739" s="11">
        <v>216</v>
      </c>
      <c r="D1739" s="11"/>
    </row>
    <row r="1740" spans="2:4" x14ac:dyDescent="0.4">
      <c r="B1740" t="s">
        <v>714</v>
      </c>
      <c r="C1740" s="11">
        <v>504</v>
      </c>
      <c r="D1740" s="11"/>
    </row>
    <row r="1741" spans="2:4" x14ac:dyDescent="0.4">
      <c r="B1741" t="s">
        <v>712</v>
      </c>
      <c r="C1741" s="11"/>
      <c r="D1741" s="11">
        <v>936.7</v>
      </c>
    </row>
    <row r="1742" spans="2:4" x14ac:dyDescent="0.4">
      <c r="B1742" t="s">
        <v>732</v>
      </c>
      <c r="C1742" s="11"/>
      <c r="D1742" s="11">
        <v>386.4</v>
      </c>
    </row>
    <row r="1743" spans="2:4" x14ac:dyDescent="0.4">
      <c r="B1743" t="s">
        <v>738</v>
      </c>
      <c r="C1743" s="11">
        <v>379.95</v>
      </c>
      <c r="D1743" s="11"/>
    </row>
    <row r="1744" spans="2:4" x14ac:dyDescent="0.4">
      <c r="B1744" t="s">
        <v>729</v>
      </c>
      <c r="C1744" s="11">
        <v>842.88</v>
      </c>
      <c r="D1744" s="11"/>
    </row>
    <row r="1745" spans="1:4" x14ac:dyDescent="0.4">
      <c r="A1745" t="s">
        <v>901</v>
      </c>
      <c r="C1745" s="11">
        <v>447.58166666666659</v>
      </c>
      <c r="D1745" s="11">
        <v>1175.3</v>
      </c>
    </row>
    <row r="1746" spans="1:4" x14ac:dyDescent="0.4">
      <c r="A1746" t="s">
        <v>662</v>
      </c>
      <c r="B1746" t="s">
        <v>720</v>
      </c>
      <c r="C1746" s="11"/>
      <c r="D1746" s="11">
        <v>220.79999999999998</v>
      </c>
    </row>
    <row r="1747" spans="1:4" x14ac:dyDescent="0.4">
      <c r="B1747" t="s">
        <v>735</v>
      </c>
      <c r="C1747" s="11"/>
      <c r="D1747" s="11">
        <v>36</v>
      </c>
    </row>
    <row r="1748" spans="1:4" x14ac:dyDescent="0.4">
      <c r="B1748" t="s">
        <v>698</v>
      </c>
      <c r="C1748" s="11">
        <v>90</v>
      </c>
      <c r="D1748" s="11"/>
    </row>
    <row r="1749" spans="1:4" x14ac:dyDescent="0.4">
      <c r="B1749" t="s">
        <v>723</v>
      </c>
      <c r="C1749" s="11">
        <v>276</v>
      </c>
      <c r="D1749" s="11"/>
    </row>
    <row r="1750" spans="1:4" x14ac:dyDescent="0.4">
      <c r="B1750" t="s">
        <v>721</v>
      </c>
      <c r="C1750" s="11"/>
      <c r="D1750" s="11">
        <v>180</v>
      </c>
    </row>
    <row r="1751" spans="1:4" x14ac:dyDescent="0.4">
      <c r="B1751" t="s">
        <v>689</v>
      </c>
      <c r="C1751" s="11"/>
      <c r="D1751" s="11">
        <v>210.5</v>
      </c>
    </row>
    <row r="1752" spans="1:4" x14ac:dyDescent="0.4">
      <c r="B1752" t="s">
        <v>697</v>
      </c>
      <c r="C1752" s="11"/>
      <c r="D1752" s="11">
        <v>200</v>
      </c>
    </row>
    <row r="1753" spans="1:4" x14ac:dyDescent="0.4">
      <c r="B1753" t="s">
        <v>754</v>
      </c>
      <c r="C1753" s="11">
        <v>400</v>
      </c>
      <c r="D1753" s="11"/>
    </row>
    <row r="1754" spans="1:4" x14ac:dyDescent="0.4">
      <c r="B1754" t="s">
        <v>699</v>
      </c>
      <c r="C1754" s="11">
        <v>120</v>
      </c>
      <c r="D1754" s="11"/>
    </row>
    <row r="1755" spans="1:4" x14ac:dyDescent="0.4">
      <c r="B1755" t="s">
        <v>702</v>
      </c>
      <c r="C1755" s="11">
        <v>52.349999999999994</v>
      </c>
      <c r="D1755" s="11"/>
    </row>
    <row r="1756" spans="1:4" x14ac:dyDescent="0.4">
      <c r="B1756" t="s">
        <v>719</v>
      </c>
      <c r="C1756" s="11">
        <v>152</v>
      </c>
      <c r="D1756" s="11"/>
    </row>
    <row r="1757" spans="1:4" x14ac:dyDescent="0.4">
      <c r="B1757" t="s">
        <v>704</v>
      </c>
      <c r="C1757" s="11"/>
      <c r="D1757" s="11">
        <v>550</v>
      </c>
    </row>
    <row r="1758" spans="1:4" x14ac:dyDescent="0.4">
      <c r="B1758" t="s">
        <v>727</v>
      </c>
      <c r="C1758" s="11"/>
      <c r="D1758" s="11">
        <v>136.80000000000001</v>
      </c>
    </row>
    <row r="1759" spans="1:4" x14ac:dyDescent="0.4">
      <c r="B1759" t="s">
        <v>684</v>
      </c>
      <c r="C1759" s="11">
        <v>84</v>
      </c>
      <c r="D1759" s="11"/>
    </row>
    <row r="1760" spans="1:4" x14ac:dyDescent="0.4">
      <c r="B1760" t="s">
        <v>710</v>
      </c>
      <c r="C1760" s="11"/>
      <c r="D1760" s="11">
        <v>200</v>
      </c>
    </row>
    <row r="1761" spans="1:4" x14ac:dyDescent="0.4">
      <c r="B1761" t="s">
        <v>758</v>
      </c>
      <c r="C1761" s="11"/>
      <c r="D1761" s="11">
        <v>142.5</v>
      </c>
    </row>
    <row r="1762" spans="1:4" x14ac:dyDescent="0.4">
      <c r="B1762" t="s">
        <v>732</v>
      </c>
      <c r="C1762" s="11"/>
      <c r="D1762" s="11">
        <v>110.39999999999999</v>
      </c>
    </row>
    <row r="1763" spans="1:4" x14ac:dyDescent="0.4">
      <c r="A1763" t="s">
        <v>902</v>
      </c>
      <c r="C1763" s="11">
        <v>167.76428571428571</v>
      </c>
      <c r="D1763" s="11">
        <v>198.7</v>
      </c>
    </row>
    <row r="1764" spans="1:4" x14ac:dyDescent="0.4">
      <c r="A1764" t="s">
        <v>669</v>
      </c>
      <c r="B1764" t="s">
        <v>694</v>
      </c>
      <c r="C1764" s="11">
        <v>510</v>
      </c>
      <c r="D1764" s="11"/>
    </row>
    <row r="1765" spans="1:4" x14ac:dyDescent="0.4">
      <c r="B1765" t="s">
        <v>735</v>
      </c>
      <c r="C1765" s="11">
        <v>108</v>
      </c>
      <c r="D1765" s="11"/>
    </row>
    <row r="1766" spans="1:4" x14ac:dyDescent="0.4">
      <c r="B1766" t="s">
        <v>701</v>
      </c>
      <c r="C1766" s="11">
        <v>190</v>
      </c>
      <c r="D1766" s="11">
        <v>190</v>
      </c>
    </row>
    <row r="1767" spans="1:4" x14ac:dyDescent="0.4">
      <c r="B1767" t="s">
        <v>747</v>
      </c>
      <c r="C1767" s="11">
        <v>159</v>
      </c>
      <c r="D1767" s="11"/>
    </row>
    <row r="1768" spans="1:4" x14ac:dyDescent="0.4">
      <c r="B1768" t="s">
        <v>695</v>
      </c>
      <c r="C1768" s="11">
        <v>300</v>
      </c>
      <c r="D1768" s="11"/>
    </row>
    <row r="1769" spans="1:4" x14ac:dyDescent="0.4">
      <c r="B1769" t="s">
        <v>698</v>
      </c>
      <c r="C1769" s="11"/>
      <c r="D1769" s="11">
        <v>54</v>
      </c>
    </row>
    <row r="1770" spans="1:4" x14ac:dyDescent="0.4">
      <c r="B1770" t="s">
        <v>700</v>
      </c>
      <c r="C1770" s="11"/>
      <c r="D1770" s="11">
        <v>200</v>
      </c>
    </row>
    <row r="1771" spans="1:4" x14ac:dyDescent="0.4">
      <c r="B1771" t="s">
        <v>687</v>
      </c>
      <c r="C1771" s="11"/>
      <c r="D1771" s="11">
        <v>106</v>
      </c>
    </row>
    <row r="1772" spans="1:4" x14ac:dyDescent="0.4">
      <c r="B1772" t="s">
        <v>731</v>
      </c>
      <c r="C1772" s="11"/>
      <c r="D1772" s="11">
        <v>232.5</v>
      </c>
    </row>
    <row r="1773" spans="1:4" x14ac:dyDescent="0.4">
      <c r="B1773" t="s">
        <v>739</v>
      </c>
      <c r="C1773" s="11"/>
      <c r="D1773" s="11">
        <v>187.5</v>
      </c>
    </row>
    <row r="1774" spans="1:4" x14ac:dyDescent="0.4">
      <c r="B1774" t="s">
        <v>758</v>
      </c>
      <c r="C1774" s="11"/>
      <c r="D1774" s="11">
        <v>313.5</v>
      </c>
    </row>
    <row r="1775" spans="1:4" x14ac:dyDescent="0.4">
      <c r="B1775" t="s">
        <v>714</v>
      </c>
      <c r="C1775" s="11"/>
      <c r="D1775" s="11">
        <v>54</v>
      </c>
    </row>
    <row r="1776" spans="1:4" x14ac:dyDescent="0.4">
      <c r="B1776" t="s">
        <v>712</v>
      </c>
      <c r="C1776" s="11"/>
      <c r="D1776" s="11">
        <v>591.59999999999991</v>
      </c>
    </row>
    <row r="1777" spans="1:4" x14ac:dyDescent="0.4">
      <c r="B1777" t="s">
        <v>738</v>
      </c>
      <c r="C1777" s="11"/>
      <c r="D1777" s="11">
        <v>22.35</v>
      </c>
    </row>
    <row r="1778" spans="1:4" x14ac:dyDescent="0.4">
      <c r="A1778" t="s">
        <v>903</v>
      </c>
      <c r="C1778" s="11">
        <v>253.4</v>
      </c>
      <c r="D1778" s="11">
        <v>205.90454545454543</v>
      </c>
    </row>
    <row r="1779" spans="1:4" x14ac:dyDescent="0.4">
      <c r="A1779" t="s">
        <v>814</v>
      </c>
      <c r="C1779" s="11">
        <v>558.34870000000012</v>
      </c>
      <c r="D1779" s="11">
        <v>634.63332651796782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Customers</vt:lpstr>
      <vt:lpstr>Order Details</vt:lpstr>
      <vt:lpstr>Order Header</vt:lpstr>
      <vt:lpstr>OrderDetailsCustomers</vt:lpstr>
      <vt:lpstr>Pivot Table</vt:lpstr>
      <vt:lpstr>Customers!Customers</vt:lpstr>
      <vt:lpstr>Query1</vt:lpstr>
    </vt:vector>
  </TitlesOfParts>
  <Manager/>
  <Company>University of San Diego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USD</dc:creator>
  <cp:keywords/>
  <dc:description/>
  <cp:lastModifiedBy>Haicheng Xu</cp:lastModifiedBy>
  <cp:revision/>
  <dcterms:created xsi:type="dcterms:W3CDTF">2008-11-20T04:32:55Z</dcterms:created>
  <dcterms:modified xsi:type="dcterms:W3CDTF">2022-06-15T18:00:00Z</dcterms:modified>
  <cp:category/>
  <cp:contentStatus/>
</cp:coreProperties>
</file>